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4"/>
    <sheet state="visible" name="Introduction" sheetId="2" r:id="rId5"/>
    <sheet state="visible" name="Naming rule" sheetId="3" r:id="rId6"/>
    <sheet state="visible" name="Develop" sheetId="4" r:id="rId7"/>
    <sheet state="visible" name="Staging" sheetId="5" r:id="rId8"/>
    <sheet state="visible" name="Production" sheetId="6" r:id="rId9"/>
    <sheet state="visible" name="Third Party Service List" sheetId="7" r:id="rId10"/>
    <sheet state="visible" name="Reference_The Suggestion Servic" sheetId="8" r:id="rId11"/>
    <sheet state="visible" name="Template envparameter store"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Sample</t>
      </text>
    </comment>
  </commentList>
</comments>
</file>

<file path=xl/sharedStrings.xml><?xml version="1.0" encoding="utf-8"?>
<sst xmlns="http://schemas.openxmlformats.org/spreadsheetml/2006/main" count="163" uniqueCount="95">
  <si>
    <t>ACCOUNT &amp; KEY</t>
  </si>
  <si>
    <t>No: BM-QT-1701-24</t>
  </si>
  <si>
    <t>Version: 1.5</t>
  </si>
  <si>
    <t>Issue Date: 22/09/2026</t>
  </si>
  <si>
    <t>SUN ASTERISK VIETNAM CO., LTD</t>
  </si>
  <si>
    <t>ISO/IEC 27001:2022 &amp; ISO 9001:2015</t>
  </si>
  <si>
    <t>HISTORY OF CHANGES</t>
  </si>
  <si>
    <t>No</t>
  </si>
  <si>
    <t>Change Item</t>
  </si>
  <si>
    <t>Description of changes</t>
  </si>
  <si>
    <t>Change Date</t>
  </si>
  <si>
    <t>Add new</t>
  </si>
  <si>
    <t>15/05/2020</t>
  </si>
  <si>
    <t>Update format</t>
  </si>
  <si>
    <t>Update rule tạo acc và pass giữa các môi trường</t>
  </si>
  <si>
    <t>0/02/2023</t>
  </si>
  <si>
    <t>Sheet Introduce</t>
  </si>
  <si>
    <t>Bổ sung sheet Introduce nhằm hướng dẫn cách sử dụng template</t>
  </si>
  <si>
    <t>26/09/2023</t>
  </si>
  <si>
    <t>Sheet Third Party Service List</t>
  </si>
  <si>
    <t>Bổ sung sheet Quản lý thông tin của các dịch vụ được cung cấp bởi các bên thứ 3</t>
  </si>
  <si>
    <t>Naming rule</t>
  </si>
  <si>
    <t>Thay đổi Project Role theo thay đổi cơ cấu mới của tổ chức
- UM -&gt; Software Delivery Manager
- PSM -&gt; Project Leader</t>
  </si>
  <si>
    <t>23/12/2024</t>
  </si>
  <si>
    <t>Bổ sung sheet Quản lý danh sách các biến môi trường</t>
  </si>
  <si>
    <t>21/11/2025</t>
  </si>
  <si>
    <t>8</t>
  </si>
  <si>
    <t>All sheet</t>
  </si>
  <si>
    <t>Update mã biểu mẫu theo tiêu chuẩn ISO.</t>
  </si>
  <si>
    <t>22/09/2026</t>
  </si>
  <si>
    <t>I</t>
  </si>
  <si>
    <t>Mục đích</t>
  </si>
  <si>
    <t xml:space="preserve">Tài liệu này mô tả thông tin tài khoản được sử dụng trên các môi trường Development, Staging, Production và thông tin của các dịch vụ phần mềm được cung cấp bởi bên thứ 3, nhằm đảm bảo yêu cầu về chất lượng và an ninh thông tin trong quá trình vận hành phát triển dự án.                                                 </t>
  </si>
  <si>
    <t>II</t>
  </si>
  <si>
    <t>Phạm vi áp dụng</t>
  </si>
  <si>
    <t>1-</t>
  </si>
  <si>
    <t xml:space="preserve">Áp dụng cho toàn bộ các bộ phận phát triển phần mềm tại Sun Asterisk Việt Nam (bao gồm cả phát triển phần mềm nội bộ);                        </t>
  </si>
  <si>
    <t>2-</t>
  </si>
  <si>
    <t xml:space="preserve">Áp dụng cho các dịch vụ, phần mềm được cung cấp bởi bên thứ 3 bao gồm: dịch vụ nền tảng, phần mềm, công cụ, thư viện... được dự án sử dụng trực tiếp trong quá trình phát triển sản phẩm, hoạt động quản lý dự án và những dạng dịch vụ hỗ trợ cho việc thực hiện công việc. </t>
  </si>
  <si>
    <t>III</t>
  </si>
  <si>
    <t>Tài liệu liên quan</t>
  </si>
  <si>
    <t>QUY ĐỊNH SỬ DỤNG CÁC DỊCH VỤ CÔNG NGHỆ DO BÊN THỨ 3 CUNG CẤP</t>
  </si>
  <si>
    <t>[###(ProjectID)] ProjectName - Member Info</t>
  </si>
  <si>
    <t>Hoạt động quản lý quyền truy cập vào các dịch vụ yêu cầu được thực hiện, giám sát trên Tài liệu Member Info của dự án.</t>
  </si>
  <si>
    <t>### Project</t>
  </si>
  <si>
    <t xml:space="preserve">I. Introduction </t>
  </si>
  <si>
    <t>Mặc dù trong khi thực hiện dự án, hoặc ngay từ khi training các bạn Dev, QA đều được training rằng không được tự ý chỉnh sửa code, deploy, hay test trên môi trường Production của khách hàng. Tuy nhiên trong thực tế do vô tình hay cố ý, trong đầu năm 2019 đã có 3 incident liên quan đến việc QA, Dev thao tác trên môi trường Production, gây ra hậu quả khá nghiêm trọng.
Cho nên ngoài mặt training về mindset thì cần đặt ra các quy tắc để hạn chế tối đa rủi ro do people mistake. Trong sheet này sẽ hướng dẫn quy tắc đặt tên theo môi trường nhằm tránh trường hợp nhầm môi trường do không phân biệt được hoặc do account các môi trường được set giống nhau.</t>
  </si>
  <si>
    <t>II. Naming rule</t>
  </si>
  <si>
    <t>2.1 Naming rule for URL</t>
  </si>
  <si>
    <r>
      <rPr>
        <rFont val="Arial"/>
        <sz val="10.0"/>
      </rPr>
      <t xml:space="preserve">Thông thường 1 dự án có đầy đủ 3 môi trường bao gồm:
- </t>
    </r>
    <r>
      <rPr>
        <rFont val="Arial"/>
        <b/>
        <sz val="10.0"/>
      </rPr>
      <t>Development:</t>
    </r>
    <r>
      <rPr>
        <rFont val="Arial"/>
        <sz val="10.0"/>
      </rPr>
      <t xml:space="preserve"> dành cho đội dự án phát triển được tạo bởi team Infra của cty và cơ bản domain có đuôi (</t>
    </r>
    <r>
      <rPr>
        <rFont val="Arial"/>
        <color rgb="FFFF0000"/>
        <sz val="10.0"/>
      </rPr>
      <t>sun-asterisk.vn</t>
    </r>
    <r>
      <rPr>
        <rFont val="Arial"/>
        <sz val="10.0"/>
      </rPr>
      <t xml:space="preserve">) có thể phân biệt được với môi trường khác. Default đã được cái đặt basic authentication.
- </t>
    </r>
    <r>
      <rPr>
        <rFont val="Arial"/>
        <b/>
        <sz val="10.0"/>
      </rPr>
      <t>Staging:</t>
    </r>
    <r>
      <rPr>
        <rFont val="Arial"/>
        <sz val="10.0"/>
      </rPr>
      <t xml:space="preserve"> Là môi trường test của khách hàng trước khi đưa lên môi trường chính thức, được thiết kế, cấu hình như môi trường Production. Tuỳ vào kinh phí của khách hàng có thể có hoặc không có môi trường này.
- </t>
    </r>
    <r>
      <rPr>
        <rFont val="Arial"/>
        <b/>
        <sz val="10.0"/>
      </rPr>
      <t>Production</t>
    </r>
    <r>
      <rPr>
        <rFont val="Arial"/>
        <sz val="10.0"/>
      </rPr>
      <t>: Là môi trường thương mại thật nơi service của khách hàng được thực hiện. Về cơ bản nhân viên Sun* không tự ý thao tác trên môi trường này nếu không có yêu cầu từ phía khách hàng.</t>
    </r>
  </si>
  <si>
    <r>
      <rPr>
        <rFont val="Arial"/>
        <sz val="10.0"/>
      </rPr>
      <t xml:space="preserve">Như trên, tuy môi trường Development đã có domain khác với Staging và Production nhưng để rõ ràng thì trong domain name vẫn nên có thêm từ khoá để phân biệt môi trường.
Ví dụ như: 
- </t>
    </r>
    <r>
      <rPr>
        <rFont val="Arial"/>
        <color rgb="FF1155CC"/>
        <sz val="10.0"/>
        <u/>
      </rPr>
      <t>dev.productname.sun-asterisk.vn</t>
    </r>
  </si>
  <si>
    <r>
      <rPr>
        <rFont val="Arial"/>
        <sz val="10.0"/>
      </rPr>
      <t xml:space="preserve">Trên Staging và Production cũng nên phân biệt để tránh nhầm lẫn. Production thường là tên chính thức nên khó có thể đặt prefix vào domain nên chỉ cần đặt cho Staging là được
Ví dụ như: 
- </t>
    </r>
    <r>
      <rPr>
        <rFont val="Arial"/>
        <color rgb="FF1155CC"/>
        <sz val="10.0"/>
        <u/>
      </rPr>
      <t>stg.productname.com</t>
    </r>
    <r>
      <rPr>
        <rFont val="Arial"/>
        <sz val="10.0"/>
      </rPr>
      <t xml:space="preserve"> </t>
    </r>
  </si>
  <si>
    <t xml:space="preserve">2.2 Naming rule for Account </t>
  </si>
  <si>
    <r>
      <rPr>
        <rFont val="Arial"/>
        <sz val="10.0"/>
      </rPr>
      <t xml:space="preserve">Trong thực tế, hầu hết các dự án đã set URL cho từng môi trường khác nhau, nhưng vẫn xảy ra việc nhầm lẫn khi truy cập vào các môi trường. Nguyên nhân có thể do:
- URL các môi trường để gần nhau trên Description của Chatwork hoặc tin nhắn pin trên channel Slack, dẫn đến việc click nhầm.
- Có account và password giống nhau để truy cập vào các môi trường. Đặc biệt là account admin.
</t>
    </r>
    <r>
      <rPr>
        <rFont val="Arial"/>
        <color rgb="FFFF0000"/>
        <sz val="10.0"/>
      </rPr>
      <t>Vì vậy, đối với môi trường khác nhau, account và password của các account cũng phải khác nhau để tránh việc nhầm lẫn.</t>
    </r>
  </si>
  <si>
    <t xml:space="preserve">Quy tắc đặt tên (suggestion) </t>
  </si>
  <si>
    <r>
      <rPr>
        <rFont val="Arial"/>
        <sz val="10.0"/>
      </rPr>
      <t xml:space="preserve">- Thêm prefix môi trường vào trước account.
    Ví dụ: 
   </t>
    </r>
    <r>
      <rPr>
        <rFont val="Arial"/>
        <color rgb="FF1A1A1A"/>
        <sz val="10.0"/>
      </rPr>
      <t xml:space="preserve"> + dev.admin_acc / dev_admin / ...  (cho môi trường development) 
    + stg.admin_acc / stg_admin / ...(cho môi trường staging)</t>
    </r>
    <r>
      <rPr>
        <rFont val="Arial"/>
        <color rgb="FFFF0000"/>
        <sz val="10.0"/>
      </rPr>
      <t xml:space="preserve"> </t>
    </r>
  </si>
  <si>
    <r>
      <rPr>
        <rFont val="Arial"/>
        <color rgb="FF1A1A1A"/>
        <sz val="10.0"/>
      </rPr>
      <t xml:space="preserve">- Thêm role vào trong Account (tránh nhầm lẫn quyền hạn) 
    Ví dụ: 
    </t>
    </r>
    <r>
      <rPr>
        <rFont val="Arial"/>
        <color rgb="FF1A1A1A"/>
        <sz val="10.0"/>
      </rPr>
      <t xml:space="preserve">+ dev.pms.admin01 / operator01 (cho môi trường development) 
    + stg.pms.admin01 / operator01 (cho môi trường staging) 
</t>
    </r>
  </si>
  <si>
    <t>Chú ý: 
- Thường xuyên thay đổi password để tránh bị lộ.
- Account/Password Production không nên note public trên Chatwork/Slack cũng như document chung của dự án và nên được quản lý bởi PL/BrSE</t>
  </si>
  <si>
    <t>2.3 Rule khi thao tác, sử dụng Account trên Production</t>
  </si>
  <si>
    <t>Trong dự án khi có yêu cầu test, điều tra trên Production cần đưa ra và tuân theo một số rule nhất định để hạn chế rủi ro</t>
  </si>
  <si>
    <t xml:space="preserve">- Người cần thao tác request account/password  từ PL/BrSE hoặc QA leader </t>
  </si>
  <si>
    <t>- Thông báo tới toàn thể dự án về kế hoạch thực hiện trên Production, bao gồm:  thời gian, phương pháp, data thay đổi ...</t>
  </si>
  <si>
    <t>- Confirm với KH về kế hoạch thực hiện và  chỉ được thực hiện khi nhận được sự cho phép từ phía KH</t>
  </si>
  <si>
    <t xml:space="preserve">- Sau khi thực hiện điều tra, test cần rollback lại data Production như cũ </t>
  </si>
  <si>
    <t>- ...</t>
  </si>
  <si>
    <t>#</t>
  </si>
  <si>
    <t>Name</t>
  </si>
  <si>
    <t>Type</t>
  </si>
  <si>
    <t>Domain</t>
  </si>
  <si>
    <t>IP</t>
  </si>
  <si>
    <t>Description</t>
  </si>
  <si>
    <t>Account access</t>
  </si>
  <si>
    <t>Key</t>
  </si>
  <si>
    <t>Holder</t>
  </si>
  <si>
    <t>Note</t>
  </si>
  <si>
    <t>THIRD PARTY SERVICE LIST</t>
  </si>
  <si>
    <t>STT</t>
  </si>
  <si>
    <t>Type of Service</t>
  </si>
  <si>
    <t>Name of Service</t>
  </si>
  <si>
    <t>Owner</t>
  </si>
  <si>
    <t>License</t>
  </si>
  <si>
    <t>Version</t>
  </si>
  <si>
    <t>Developer tools (IDE..)</t>
  </si>
  <si>
    <t>THE SUGGESTION SERVICE LIST</t>
  </si>
  <si>
    <t>Paramater/Key</t>
  </si>
  <si>
    <t>Value</t>
  </si>
  <si>
    <t>Location</t>
  </si>
  <si>
    <t>KMS ARN</t>
  </si>
  <si>
    <t>PUT SSM CLI</t>
  </si>
  <si>
    <t>/prod/key</t>
  </si>
  <si>
    <t>value</t>
  </si>
  <si>
    <t>ap-northeast-1</t>
  </si>
  <si>
    <t>SecureString</t>
  </si>
  <si>
    <t>arn:aws:kms:ap-northeast-1:123456789:key/123456789abcd</t>
  </si>
  <si>
    <t>aws ssm put-parameter --name "/prod/KEY" --value "value" --key-id "arn:aws:kms:ap-northeast-1:1123456789:key/123456789abcd" --type "SecureString" --overwrite --region ap-northeast-1 --profile profile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</si>
</sst>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m/d h:mm"/>
    <numFmt numFmtId="166" formatCode="yyyy-mm-dd"/>
    <numFmt numFmtId="167" formatCode="000-0000-000"/>
  </numFmts>
  <fonts count="40">
    <font>
      <sz val="10.0"/>
      <color rgb="FF000000"/>
      <name val="Arial"/>
    </font>
    <font>
      <b/>
      <sz val="24.0"/>
      <name val="Times New Roman"/>
    </font>
    <font/>
    <font>
      <b/>
      <sz val="18.0"/>
      <name val="Times New Roman"/>
    </font>
    <font>
      <sz val="12.0"/>
      <name val="Times New Roman"/>
    </font>
    <font>
      <sz val="12.0"/>
      <color rgb="FF000000"/>
      <name val="Times New Roman"/>
    </font>
    <font>
      <b/>
      <sz val="10.0"/>
      <name val="Times New Roman"/>
    </font>
    <font>
      <b/>
      <sz val="14.0"/>
      <name val="Times New Roman"/>
    </font>
    <font>
      <b/>
      <sz val="12.0"/>
      <name val="Arial"/>
    </font>
    <font>
      <b/>
      <sz val="10.0"/>
      <name val="Arial"/>
    </font>
    <font>
      <sz val="10.0"/>
      <name val="Arial"/>
    </font>
    <font>
      <color rgb="FF000000"/>
      <name val="Arial"/>
    </font>
    <font>
      <name val="Arial"/>
    </font>
    <font>
      <b/>
      <sz val="13.0"/>
      <name val="&quot;Times New Roman&quot;"/>
    </font>
    <font>
      <sz val="13.0"/>
      <name val="&quot;Times New Roman&quot;"/>
    </font>
    <font>
      <sz val="13.0"/>
      <name val="Times New Roman"/>
    </font>
    <font>
      <b/>
      <sz val="13.0"/>
      <name val="Times New Roman"/>
    </font>
    <font>
      <u/>
      <sz val="13.0"/>
      <color rgb="FF0000FF"/>
      <name val="&quot;Times New Roman&quot;"/>
    </font>
    <font>
      <b/>
      <sz val="12.0"/>
      <name val="Times New Roman"/>
    </font>
    <font>
      <name val="Times New Roman"/>
    </font>
    <font>
      <b/>
      <sz val="24.0"/>
      <color rgb="FF434343"/>
      <name val="Arial"/>
    </font>
    <font>
      <sz val="11.0"/>
      <name val="Arial"/>
    </font>
    <font>
      <b/>
      <i/>
      <sz val="18.0"/>
      <color rgb="FF434343"/>
      <name val="Arial"/>
    </font>
    <font>
      <sz val="10.0"/>
      <color rgb="FF1A1A1A"/>
      <name val="Arial"/>
    </font>
    <font>
      <sz val="10.0"/>
      <color rgb="FF666666"/>
      <name val="Arial"/>
    </font>
    <font>
      <u/>
      <sz val="10.0"/>
      <color rgb="FF0000FF"/>
      <name val="Arial"/>
    </font>
    <font>
      <sz val="10.0"/>
      <color rgb="FFFF0000"/>
      <name val="Arial"/>
    </font>
    <font>
      <b/>
      <name val="Times New Roman"/>
    </font>
    <font>
      <b/>
      <sz val="10.0"/>
      <color rgb="FF000000"/>
      <name val="Arial"/>
    </font>
    <font>
      <b/>
      <sz val="11.0"/>
      <color rgb="FFFFFFFF"/>
      <name val="Times New Roman"/>
    </font>
    <font>
      <sz val="9.0"/>
      <name val="Times New Roman"/>
    </font>
    <font>
      <b/>
      <sz val="18.0"/>
      <name val="&quot;Times New Roman&quot;"/>
    </font>
    <font>
      <sz val="12.0"/>
      <name val="&quot;Times New Roman&quot;"/>
    </font>
    <font>
      <b/>
      <name val="&quot;Times New Roman&quot;"/>
    </font>
    <font>
      <b/>
    </font>
    <font>
      <b/>
      <name val="Arial"/>
    </font>
    <font>
      <u/>
      <color rgb="FF0000FF"/>
      <name val="Arial"/>
    </font>
    <font>
      <u/>
      <color rgb="FF1155CC"/>
      <name val="Arial"/>
    </font>
    <font>
      <b/>
      <sz val="12.0"/>
    </font>
    <font>
      <sz val="10.0"/>
    </font>
  </fonts>
  <fills count="5">
    <fill>
      <patternFill patternType="none"/>
    </fill>
    <fill>
      <patternFill patternType="lightGray"/>
    </fill>
    <fill>
      <patternFill patternType="solid">
        <fgColor rgb="FFD9D2E9"/>
        <bgColor rgb="FFD9D2E9"/>
      </patternFill>
    </fill>
    <fill>
      <patternFill patternType="solid">
        <fgColor rgb="FFFFFFFF"/>
        <bgColor rgb="FFFFFFFF"/>
      </patternFill>
    </fill>
    <fill>
      <patternFill patternType="solid">
        <fgColor rgb="FFFFFF00"/>
        <bgColor rgb="FFFFFF00"/>
      </patternFill>
    </fill>
  </fills>
  <borders count="3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border>
    <border>
      <right style="thin">
        <color rgb="FFFFFFFF"/>
      </right>
    </border>
    <border>
      <left style="thin">
        <color rgb="FF000000"/>
      </left>
      <right style="thin">
        <color rgb="FF000000"/>
      </right>
      <top style="thin">
        <color rgb="FF000000"/>
      </top>
      <bottom style="thin">
        <color rgb="FF000000"/>
      </bottom>
    </border>
    <border>
      <bottom style="thin">
        <color rgb="FF000000"/>
      </bottom>
    </border>
    <border>
      <left style="thin">
        <color rgb="FFFFFFFF"/>
      </left>
      <bottom style="thin">
        <color rgb="FFFFFFFF"/>
      </bottom>
    </border>
    <border>
      <bottom style="thin">
        <color rgb="FFFFFFFF"/>
      </bottom>
    </border>
    <border>
      <right style="thin">
        <color rgb="FFFFFFFF"/>
      </right>
      <bottom style="thin">
        <color rgb="FFFFFFFF"/>
      </bottom>
    </border>
    <border>
      <right/>
    </border>
    <border>
      <left/>
      <right/>
      <bottom style="thick">
        <color rgb="FF666666"/>
      </bottom>
    </border>
    <border>
      <right/>
      <bottom style="thick">
        <color rgb="FF666666"/>
      </bottom>
    </border>
    <border>
      <bottom style="thin">
        <color rgb="FF434343"/>
      </bottom>
    </border>
    <border>
      <top style="thin">
        <color rgb="FF434343"/>
      </top>
      <bottom style="thin">
        <color rgb="FF434343"/>
      </bottom>
    </border>
    <border>
      <left style="thin">
        <color rgb="FF000000"/>
      </left>
      <right style="thin">
        <color rgb="FF000000"/>
      </right>
      <bottom style="dotted">
        <color rgb="FF000000"/>
      </bottom>
    </border>
    <border>
      <right style="thin">
        <color rgb="FF000000"/>
      </right>
      <bottom style="dotted">
        <color rgb="FF000000"/>
      </bottom>
    </border>
    <border>
      <left style="thin">
        <color rgb="FF000000"/>
      </left>
      <right style="thin">
        <color rgb="FF000000"/>
      </right>
    </border>
    <border>
      <left style="dotted">
        <color rgb="FF000000"/>
      </left>
      <right style="thin">
        <color rgb="FF000000"/>
      </right>
      <top style="dotted">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right style="dotted">
        <color rgb="FF000000"/>
      </right>
      <top style="dotted">
        <color rgb="FF000000"/>
      </top>
      <bottom style="dotted">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1" fillId="0" fontId="3" numFmtId="0" xfId="0" applyAlignment="1" applyBorder="1" applyFont="1">
      <alignment horizontal="center" readingOrder="0" shrinkToFit="0" vertical="center" wrapText="1"/>
    </xf>
    <xf borderId="1" fillId="0" fontId="4" numFmtId="0" xfId="0" applyAlignment="1" applyBorder="1" applyFont="1">
      <alignment readingOrder="0" vertical="center"/>
    </xf>
    <xf borderId="3" fillId="0" fontId="2" numFmtId="0" xfId="0" applyBorder="1" applyFont="1"/>
    <xf borderId="4" fillId="0" fontId="2" numFmtId="0" xfId="0" applyBorder="1" applyFont="1"/>
    <xf borderId="4" fillId="0" fontId="5" numFmtId="0" xfId="0" applyAlignment="1" applyBorder="1" applyFont="1">
      <alignment readingOrder="0" vertical="center"/>
    </xf>
    <xf borderId="5" fillId="0" fontId="2" numFmtId="0" xfId="0" applyBorder="1" applyFont="1"/>
    <xf borderId="6" fillId="0" fontId="5" numFmtId="0" xfId="0" applyAlignment="1" applyBorder="1" applyFont="1">
      <alignment readingOrder="0" shrinkToFit="0" vertical="center" wrapText="0"/>
    </xf>
    <xf borderId="7" fillId="0" fontId="2" numFmtId="0" xfId="0" applyBorder="1" applyFont="1"/>
    <xf borderId="8" fillId="0" fontId="6" numFmtId="0" xfId="0" applyAlignment="1" applyBorder="1" applyFont="1">
      <alignment readingOrder="0" vertical="center"/>
    </xf>
    <xf borderId="9" fillId="0" fontId="2" numFmtId="0" xfId="0" applyBorder="1" applyFont="1"/>
    <xf borderId="10" fillId="0" fontId="2" numFmtId="0" xfId="0" applyBorder="1" applyFont="1"/>
    <xf borderId="6" fillId="0" fontId="6" numFmtId="0" xfId="0" applyAlignment="1" applyBorder="1" applyFont="1">
      <alignment horizontal="right" readingOrder="0" shrinkToFit="0" vertical="center" wrapText="1"/>
    </xf>
    <xf borderId="11" fillId="0" fontId="7" numFmtId="0" xfId="0" applyAlignment="1" applyBorder="1" applyFont="1">
      <alignment horizontal="center" readingOrder="0" shrinkToFit="0" vertical="center" wrapText="1"/>
    </xf>
    <xf borderId="12" fillId="0" fontId="2" numFmtId="0" xfId="0" applyBorder="1" applyFont="1"/>
    <xf borderId="11" fillId="0" fontId="8" numFmtId="0" xfId="0" applyAlignment="1" applyBorder="1" applyFont="1">
      <alignment horizontal="center" readingOrder="0" shrinkToFit="0" vertical="center" wrapText="1"/>
    </xf>
    <xf borderId="13" fillId="2" fontId="9" numFmtId="0" xfId="0" applyAlignment="1" applyBorder="1" applyFill="1" applyFont="1">
      <alignment horizontal="center" readingOrder="0" shrinkToFit="0" vertical="center" wrapText="1"/>
    </xf>
    <xf borderId="8" fillId="2" fontId="9" numFmtId="0" xfId="0" applyAlignment="1" applyBorder="1" applyFill="1" applyFont="1">
      <alignment horizontal="center" readingOrder="0" shrinkToFit="0" vertical="center" wrapText="1"/>
    </xf>
    <xf borderId="13" fillId="0" fontId="10" numFmtId="0" xfId="0" applyAlignment="1" applyBorder="1" applyFont="1">
      <alignment horizontal="center" readingOrder="0" shrinkToFit="0" vertical="center" wrapText="1"/>
    </xf>
    <xf borderId="8" fillId="0" fontId="10" numFmtId="0" xfId="0" applyAlignment="1" applyBorder="1" applyFont="1">
      <alignment horizontal="left" readingOrder="0" shrinkToFit="0" vertical="center" wrapText="1"/>
    </xf>
    <xf borderId="8" fillId="0" fontId="10" numFmtId="164" xfId="0" applyAlignment="1" applyBorder="1" applyFont="1" applyNumberFormat="1">
      <alignment horizontal="left" readingOrder="0" shrinkToFit="0" vertical="center" wrapText="1"/>
    </xf>
    <xf borderId="1" fillId="0" fontId="10" numFmtId="0" xfId="0" applyAlignment="1" applyBorder="1" applyFont="1">
      <alignment horizontal="left" readingOrder="0" shrinkToFit="0" vertical="center" wrapText="1"/>
    </xf>
    <xf borderId="8" fillId="0" fontId="11" numFmtId="0" xfId="0" applyAlignment="1" applyBorder="1" applyFont="1">
      <alignment shrinkToFit="0" wrapText="1"/>
    </xf>
    <xf borderId="9" fillId="0" fontId="11" numFmtId="0" xfId="0" applyAlignment="1" applyBorder="1" applyFont="1">
      <alignment shrinkToFit="0" wrapText="1"/>
    </xf>
    <xf borderId="13" fillId="0" fontId="0" numFmtId="0" xfId="0" applyAlignment="1" applyBorder="1" applyFont="1">
      <alignment horizontal="center" readingOrder="0" shrinkToFit="0" vertical="center" wrapText="1"/>
    </xf>
    <xf borderId="6" fillId="0" fontId="11" numFmtId="0" xfId="0" applyAlignment="1" applyBorder="1" applyFont="1">
      <alignment shrinkToFit="0" wrapText="1"/>
    </xf>
    <xf borderId="14" fillId="0" fontId="2" numFmtId="0" xfId="0" applyBorder="1" applyFont="1"/>
    <xf borderId="14" fillId="0" fontId="11" numFmtId="0" xfId="0" applyAlignment="1" applyBorder="1" applyFont="1">
      <alignment shrinkToFit="0" wrapText="1"/>
    </xf>
    <xf borderId="8" fillId="0" fontId="0" numFmtId="0" xfId="0" applyAlignment="1" applyBorder="1" applyFont="1">
      <alignment horizontal="left" readingOrder="0" shrinkToFit="0" vertical="center" wrapText="1"/>
    </xf>
    <xf borderId="8" fillId="0" fontId="11" numFmtId="49" xfId="0" applyAlignment="1" applyBorder="1" applyFont="1" applyNumberFormat="1">
      <alignment horizontal="left" shrinkToFit="0" vertical="bottom" wrapText="1"/>
    </xf>
    <xf borderId="8" fillId="0" fontId="11" numFmtId="49" xfId="0" applyAlignment="1" applyBorder="1" applyFont="1" applyNumberFormat="1">
      <alignment horizontal="left" readingOrder="0" shrinkToFit="0" vertical="bottom" wrapText="1"/>
    </xf>
    <xf borderId="13" fillId="0" fontId="11" numFmtId="49" xfId="0" applyAlignment="1" applyBorder="1" applyFont="1" applyNumberFormat="1">
      <alignment horizontal="center" shrinkToFit="0" wrapText="1"/>
    </xf>
    <xf borderId="8" fillId="0" fontId="12" numFmtId="49" xfId="0" applyBorder="1" applyFont="1" applyNumberFormat="1"/>
    <xf borderId="8" fillId="0" fontId="11" numFmtId="49" xfId="0" applyAlignment="1" applyBorder="1" applyFont="1" applyNumberFormat="1">
      <alignment shrinkToFit="0" vertical="bottom" wrapText="1"/>
    </xf>
    <xf borderId="8" fillId="0" fontId="11" numFmtId="49" xfId="0" applyAlignment="1" applyBorder="1" applyFont="1" applyNumberFormat="1">
      <alignment readingOrder="0" shrinkToFit="0" vertical="bottom" wrapText="1"/>
    </xf>
    <xf borderId="0" fillId="0" fontId="11" numFmtId="0" xfId="0" applyAlignment="1" applyFont="1">
      <alignment horizontal="center" readingOrder="0" shrinkToFit="0" wrapText="1"/>
    </xf>
    <xf borderId="0" fillId="0" fontId="12" numFmtId="0" xfId="0" applyAlignment="1" applyFont="1">
      <alignment readingOrder="0"/>
    </xf>
    <xf borderId="0" fillId="0" fontId="11" numFmtId="0" xfId="0" applyAlignment="1" applyFont="1">
      <alignment readingOrder="0" shrinkToFit="0" vertical="bottom" wrapText="1"/>
    </xf>
    <xf borderId="11" fillId="0" fontId="7" numFmtId="49" xfId="0" applyAlignment="1" applyBorder="1" applyFont="1" applyNumberFormat="1">
      <alignment horizontal="left" readingOrder="0" shrinkToFit="0" vertical="center" wrapText="1"/>
    </xf>
    <xf borderId="0" fillId="0" fontId="7" numFmtId="49" xfId="0" applyAlignment="1" applyFont="1" applyNumberFormat="1">
      <alignment horizontal="left" readingOrder="0" shrinkToFit="0" vertical="center" wrapText="1"/>
    </xf>
    <xf borderId="12" fillId="0" fontId="7" numFmtId="49" xfId="0" applyAlignment="1" applyBorder="1" applyFont="1" applyNumberFormat="1">
      <alignment horizontal="left" readingOrder="0" shrinkToFit="0" vertical="center" wrapText="1"/>
    </xf>
    <xf borderId="15" fillId="0" fontId="7" numFmtId="49" xfId="0" applyAlignment="1" applyBorder="1" applyFont="1" applyNumberFormat="1">
      <alignment horizontal="left" readingOrder="0" shrinkToFit="0" vertical="center" wrapText="1"/>
    </xf>
    <xf borderId="16" fillId="0" fontId="7" numFmtId="49" xfId="0" applyAlignment="1" applyBorder="1" applyFont="1" applyNumberFormat="1">
      <alignment horizontal="left" readingOrder="0" shrinkToFit="0" vertical="center" wrapText="1"/>
    </xf>
    <xf borderId="17" fillId="0" fontId="7" numFmtId="49" xfId="0" applyAlignment="1" applyBorder="1" applyFont="1" applyNumberFormat="1">
      <alignment horizontal="left" readingOrder="0" shrinkToFit="0" vertical="center" wrapText="1"/>
    </xf>
    <xf borderId="0" fillId="0" fontId="13" numFmtId="49" xfId="0" applyAlignment="1" applyFont="1" applyNumberFormat="1">
      <alignment horizontal="center" shrinkToFit="0" wrapText="1"/>
    </xf>
    <xf borderId="0" fillId="0" fontId="13" numFmtId="49" xfId="0" applyAlignment="1" applyFont="1" applyNumberFormat="1">
      <alignment shrinkToFit="0" wrapText="1"/>
    </xf>
    <xf borderId="12" fillId="3" fontId="12" numFmtId="49" xfId="0" applyAlignment="1" applyBorder="1" applyFill="1" applyFont="1" applyNumberFormat="1">
      <alignment vertical="center"/>
    </xf>
    <xf borderId="16" fillId="0" fontId="14" numFmtId="49" xfId="0" applyAlignment="1" applyBorder="1" applyFont="1" applyNumberFormat="1">
      <alignment readingOrder="0" shrinkToFit="0" vertical="center" wrapText="1"/>
    </xf>
    <xf borderId="16" fillId="0" fontId="2" numFmtId="0" xfId="0" applyBorder="1" applyFont="1"/>
    <xf borderId="17" fillId="0" fontId="2" numFmtId="0" xfId="0" applyBorder="1" applyFont="1"/>
    <xf borderId="0" fillId="0" fontId="13" numFmtId="49" xfId="0" applyAlignment="1" applyFont="1" applyNumberFormat="1">
      <alignment horizontal="center" shrinkToFit="0" vertical="center" wrapText="1"/>
    </xf>
    <xf borderId="0" fillId="0" fontId="13" numFmtId="49" xfId="0" applyAlignment="1" applyFont="1" applyNumberFormat="1">
      <alignment shrinkToFit="0" vertical="center" wrapText="1"/>
    </xf>
    <xf borderId="12" fillId="3" fontId="15" numFmtId="49" xfId="0" applyAlignment="1" applyBorder="1" applyFill="1" applyFont="1" applyNumberFormat="1">
      <alignment horizontal="center" vertical="center"/>
    </xf>
    <xf borderId="16" fillId="0" fontId="14" numFmtId="49" xfId="0" applyAlignment="1" applyBorder="1" applyFont="1" applyNumberFormat="1">
      <alignment shrinkToFit="0" vertical="center" wrapText="1"/>
    </xf>
    <xf borderId="0" fillId="0" fontId="16" numFmtId="49" xfId="0" applyAlignment="1" applyFont="1" applyNumberFormat="1">
      <alignment horizontal="center" readingOrder="0" shrinkToFit="0" vertical="center" wrapText="1"/>
    </xf>
    <xf borderId="0" fillId="0" fontId="13" numFmtId="49" xfId="0" applyAlignment="1" applyFont="1" applyNumberFormat="1">
      <alignment readingOrder="0" shrinkToFit="0" vertical="center" wrapText="1"/>
    </xf>
    <xf borderId="12" fillId="3" fontId="15" numFmtId="49" xfId="0" applyAlignment="1" applyBorder="1" applyFill="1" applyFont="1" applyNumberFormat="1">
      <alignment horizontal="center" readingOrder="0" vertical="center"/>
    </xf>
    <xf borderId="16" fillId="0" fontId="17" numFmtId="49" xfId="0" applyAlignment="1" applyBorder="1" applyFont="1" applyNumberFormat="1">
      <alignment readingOrder="0" shrinkToFit="0" vertical="center" wrapText="1"/>
    </xf>
    <xf borderId="16" fillId="0" fontId="14" numFmtId="49" xfId="0" applyAlignment="1" applyBorder="1" applyFont="1" applyNumberFormat="1">
      <alignment readingOrder="0" shrinkToFit="0" vertical="center" wrapText="1"/>
    </xf>
    <xf borderId="0" fillId="3" fontId="15" numFmtId="49" xfId="0" applyAlignment="1" applyFill="1" applyFont="1" applyNumberFormat="1">
      <alignment horizontal="center" vertical="center"/>
    </xf>
    <xf borderId="0" fillId="0" fontId="18" numFmtId="0" xfId="0" applyAlignment="1" applyFont="1">
      <alignment readingOrder="0"/>
    </xf>
    <xf borderId="0" fillId="0" fontId="19" numFmtId="0" xfId="0" applyFont="1"/>
    <xf borderId="0" fillId="0" fontId="8" numFmtId="0" xfId="0" applyAlignment="1" applyFont="1">
      <alignment readingOrder="0"/>
    </xf>
    <xf borderId="18" fillId="0" fontId="20" numFmtId="0" xfId="0" applyAlignment="1" applyBorder="1" applyFont="1">
      <alignment readingOrder="0" shrinkToFit="0" vertical="bottom" wrapText="0"/>
    </xf>
    <xf borderId="0" fillId="0" fontId="21" numFmtId="0" xfId="0" applyAlignment="1" applyFont="1">
      <alignment vertical="bottom"/>
    </xf>
    <xf borderId="0" fillId="0" fontId="12" numFmtId="0" xfId="0" applyFont="1"/>
    <xf borderId="19" fillId="0" fontId="22" numFmtId="0" xfId="0" applyAlignment="1" applyBorder="1" applyFont="1">
      <alignment readingOrder="0" shrinkToFit="0" vertical="bottom" wrapText="0"/>
    </xf>
    <xf borderId="20" fillId="0" fontId="21" numFmtId="0" xfId="0" applyAlignment="1" applyBorder="1" applyFont="1">
      <alignment vertical="bottom"/>
    </xf>
    <xf borderId="0" fillId="0" fontId="9" numFmtId="0" xfId="0" applyAlignment="1" applyFont="1">
      <alignment readingOrder="0"/>
    </xf>
    <xf borderId="0" fillId="0" fontId="10" numFmtId="0" xfId="0" applyFont="1"/>
    <xf borderId="0" fillId="0" fontId="10" numFmtId="0" xfId="0" applyAlignment="1" applyFont="1">
      <alignment readingOrder="0" shrinkToFit="0" wrapText="1"/>
    </xf>
    <xf borderId="0" fillId="0" fontId="10" numFmtId="0" xfId="0" applyAlignment="1" applyFont="1">
      <alignment readingOrder="0"/>
    </xf>
    <xf borderId="0" fillId="0" fontId="9" numFmtId="0" xfId="0" applyAlignment="1" applyFont="1">
      <alignment readingOrder="0" shrinkToFit="0" wrapText="1"/>
    </xf>
    <xf borderId="0" fillId="0" fontId="23" numFmtId="0" xfId="0" applyAlignment="1" applyFont="1">
      <alignment readingOrder="0" shrinkToFit="0" wrapText="1"/>
    </xf>
    <xf borderId="0" fillId="0" fontId="24" numFmtId="165" xfId="0" applyAlignment="1" applyFont="1" applyNumberFormat="1">
      <alignment readingOrder="0" shrinkToFit="0" wrapText="1"/>
    </xf>
    <xf borderId="0" fillId="0" fontId="25" numFmtId="0" xfId="0" applyAlignment="1" applyFont="1">
      <alignment readingOrder="0" shrinkToFit="0" wrapText="1"/>
    </xf>
    <xf borderId="0" fillId="0" fontId="24" numFmtId="0" xfId="0" applyAlignment="1" applyFont="1">
      <alignment readingOrder="0" shrinkToFit="0" wrapText="1"/>
    </xf>
    <xf borderId="0" fillId="0" fontId="24" numFmtId="20" xfId="0" applyAlignment="1" applyFont="1" applyNumberFormat="1">
      <alignment readingOrder="0" shrinkToFit="0" wrapText="1"/>
    </xf>
    <xf borderId="0" fillId="0" fontId="26" numFmtId="0" xfId="0" applyAlignment="1" applyFont="1">
      <alignment readingOrder="0" shrinkToFit="0" wrapText="1"/>
    </xf>
    <xf borderId="6" fillId="0" fontId="2" numFmtId="0" xfId="0" applyBorder="1" applyFont="1"/>
    <xf borderId="8" fillId="0" fontId="27" numFmtId="0" xfId="0" applyAlignment="1" applyBorder="1" applyFont="1">
      <alignment horizontal="left" readingOrder="0" vertical="center"/>
    </xf>
    <xf borderId="0" fillId="0" fontId="19" numFmtId="0" xfId="0" applyAlignment="1" applyFont="1">
      <alignment horizontal="left" readingOrder="0" vertical="top"/>
    </xf>
    <xf borderId="0" fillId="0" fontId="19" numFmtId="0" xfId="0" applyAlignment="1" applyFont="1">
      <alignment horizontal="left" vertical="top"/>
    </xf>
    <xf borderId="13" fillId="2" fontId="28" numFmtId="0" xfId="0" applyAlignment="1" applyBorder="1" applyFill="1" applyFont="1">
      <alignment horizontal="center" vertical="center"/>
    </xf>
    <xf borderId="13" fillId="2" fontId="28" numFmtId="0" xfId="0" applyAlignment="1" applyBorder="1" applyFill="1" applyFont="1">
      <alignment horizontal="center" readingOrder="0" vertical="center"/>
    </xf>
    <xf borderId="13" fillId="2" fontId="28" numFmtId="0" xfId="0" applyAlignment="1" applyBorder="1" applyFill="1" applyFont="1">
      <alignment horizontal="center" shrinkToFit="0" vertical="center" wrapText="1"/>
    </xf>
    <xf borderId="13" fillId="2" fontId="28" numFmtId="0" xfId="0" applyAlignment="1" applyBorder="1" applyFill="1" applyFont="1">
      <alignment horizontal="center" readingOrder="0" shrinkToFit="0" vertical="center" wrapText="1"/>
    </xf>
    <xf borderId="0" fillId="3" fontId="10" numFmtId="0" xfId="0" applyAlignment="1" applyFill="1" applyFont="1">
      <alignment horizontal="right" readingOrder="0" vertical="center"/>
    </xf>
    <xf borderId="13" fillId="3" fontId="10" numFmtId="0" xfId="0" applyAlignment="1" applyBorder="1" applyFill="1" applyFont="1">
      <alignment horizontal="right" readingOrder="0" vertical="center"/>
    </xf>
    <xf borderId="13" fillId="3" fontId="10" numFmtId="0" xfId="0" applyAlignment="1" applyBorder="1" applyFill="1" applyFont="1">
      <alignment horizontal="left" readingOrder="0" vertical="center"/>
    </xf>
    <xf borderId="13" fillId="3" fontId="10" numFmtId="166" xfId="0" applyAlignment="1" applyBorder="1" applyFill="1" applyFont="1" applyNumberFormat="1">
      <alignment horizontal="left" readingOrder="0" vertical="center"/>
    </xf>
    <xf borderId="13" fillId="3" fontId="10" numFmtId="167" xfId="0" applyAlignment="1" applyBorder="1" applyFill="1" applyFont="1" applyNumberFormat="1">
      <alignment horizontal="center" readingOrder="0" vertical="center"/>
    </xf>
    <xf borderId="13" fillId="3" fontId="10" numFmtId="167" xfId="0" applyAlignment="1" applyBorder="1" applyFill="1" applyFont="1" applyNumberFormat="1">
      <alignment horizontal="left" readingOrder="0" vertical="center"/>
    </xf>
    <xf borderId="13" fillId="3" fontId="0" numFmtId="166" xfId="0" applyAlignment="1" applyBorder="1" applyFill="1" applyFont="1" applyNumberFormat="1">
      <alignment horizontal="left" readingOrder="0"/>
    </xf>
    <xf borderId="13" fillId="3" fontId="10" numFmtId="0" xfId="0" applyAlignment="1" applyBorder="1" applyFill="1" applyFont="1">
      <alignment readingOrder="0" vertical="center"/>
    </xf>
    <xf borderId="13" fillId="3" fontId="10" numFmtId="0" xfId="0" applyAlignment="1" applyBorder="1" applyFill="1" applyFont="1">
      <alignment vertical="center"/>
    </xf>
    <xf borderId="13" fillId="3" fontId="10" numFmtId="167" xfId="0" applyAlignment="1" applyBorder="1" applyFill="1" applyFont="1" applyNumberFormat="1">
      <alignment readingOrder="0" vertical="center"/>
    </xf>
    <xf borderId="0" fillId="0" fontId="6" numFmtId="0" xfId="0" applyAlignment="1" applyFont="1">
      <alignment readingOrder="0" vertical="center"/>
    </xf>
    <xf borderId="0" fillId="0" fontId="27" numFmtId="0" xfId="0" applyAlignment="1" applyFont="1">
      <alignment horizontal="left" readingOrder="0" vertical="center"/>
    </xf>
    <xf borderId="0" fillId="0" fontId="29" numFmtId="0" xfId="0" applyAlignment="1" applyFont="1">
      <alignment horizontal="center" vertical="center"/>
    </xf>
    <xf borderId="0" fillId="0" fontId="29" numFmtId="0" xfId="0" applyAlignment="1" applyFont="1">
      <alignment horizontal="center" readingOrder="0" shrinkToFit="0" vertical="center" wrapText="1"/>
    </xf>
    <xf borderId="0" fillId="0" fontId="30" numFmtId="167" xfId="0" applyAlignment="1" applyFont="1" applyNumberFormat="1">
      <alignment horizontal="left" readingOrder="0" vertical="center"/>
    </xf>
    <xf borderId="0" fillId="0" fontId="19" numFmtId="0" xfId="0" applyAlignment="1" applyFont="1">
      <alignment vertical="top"/>
    </xf>
    <xf borderId="0" fillId="0" fontId="30" numFmtId="167" xfId="0" applyAlignment="1" applyFont="1" applyNumberFormat="1">
      <alignment readingOrder="0" vertical="center"/>
    </xf>
    <xf borderId="13" fillId="3" fontId="0" numFmtId="0" xfId="0" applyAlignment="1" applyBorder="1" applyFill="1" applyFont="1">
      <alignment horizontal="right" readingOrder="0" vertical="center"/>
    </xf>
    <xf borderId="13" fillId="3" fontId="0" numFmtId="0" xfId="0" applyAlignment="1" applyBorder="1" applyFill="1" applyFont="1">
      <alignment horizontal="left" readingOrder="0" vertical="center"/>
    </xf>
    <xf borderId="13" fillId="3" fontId="0" numFmtId="166" xfId="0" applyAlignment="1" applyBorder="1" applyFill="1" applyFont="1" applyNumberFormat="1">
      <alignment horizontal="left" readingOrder="0" vertical="center"/>
    </xf>
    <xf borderId="13" fillId="3" fontId="0" numFmtId="167" xfId="0" applyAlignment="1" applyBorder="1" applyFill="1" applyFont="1" applyNumberFormat="1">
      <alignment horizontal="center" readingOrder="0" vertical="center"/>
    </xf>
    <xf borderId="13" fillId="3" fontId="0" numFmtId="167" xfId="0" applyAlignment="1" applyBorder="1" applyFill="1" applyFont="1" applyNumberFormat="1">
      <alignment horizontal="left" readingOrder="0" vertical="center"/>
    </xf>
    <xf borderId="13" fillId="3" fontId="0" numFmtId="0" xfId="0" applyAlignment="1" applyBorder="1" applyFill="1" applyFont="1">
      <alignment readingOrder="0" vertical="center"/>
    </xf>
    <xf borderId="13" fillId="3" fontId="0" numFmtId="0" xfId="0" applyAlignment="1" applyBorder="1" applyFill="1" applyFont="1">
      <alignment vertical="center"/>
    </xf>
    <xf borderId="13" fillId="3" fontId="0" numFmtId="167" xfId="0" applyAlignment="1" applyBorder="1" applyFill="1" applyFont="1" applyNumberFormat="1">
      <alignment readingOrder="0" vertical="center"/>
    </xf>
    <xf borderId="1" fillId="0" fontId="6" numFmtId="0" xfId="0" applyAlignment="1" applyBorder="1" applyFont="1">
      <alignment horizontal="center" readingOrder="0" vertical="center"/>
    </xf>
    <xf borderId="1" fillId="0" fontId="31" numFmtId="0" xfId="0" applyAlignment="1" applyBorder="1" applyFont="1">
      <alignment horizontal="center" readingOrder="0" shrinkToFit="0" vertical="center" wrapText="1"/>
    </xf>
    <xf borderId="8" fillId="0" fontId="32" numFmtId="0" xfId="0" applyAlignment="1" applyBorder="1" applyFont="1">
      <alignment readingOrder="0" vertical="center"/>
    </xf>
    <xf borderId="6" fillId="0" fontId="33" numFmtId="0" xfId="0" applyAlignment="1" applyBorder="1" applyFont="1">
      <alignment vertical="center"/>
    </xf>
    <xf borderId="14" fillId="0" fontId="33" numFmtId="0" xfId="0" applyAlignment="1" applyBorder="1" applyFont="1">
      <alignment vertical="center"/>
    </xf>
    <xf borderId="14" fillId="0" fontId="33" numFmtId="0" xfId="0" applyAlignment="1" applyBorder="1" applyFont="1">
      <alignment horizontal="left" vertical="center"/>
    </xf>
    <xf borderId="8" fillId="0" fontId="33" numFmtId="0" xfId="0" applyAlignment="1" applyBorder="1" applyFont="1">
      <alignment readingOrder="0" vertical="center"/>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horizontal="left" readingOrder="0"/>
    </xf>
    <xf borderId="13" fillId="2" fontId="34" numFmtId="0" xfId="0" applyAlignment="1" applyBorder="1" applyFill="1" applyFont="1">
      <alignment horizontal="center" readingOrder="0" vertical="center"/>
    </xf>
    <xf borderId="0" fillId="2" fontId="34" numFmtId="0" xfId="0" applyAlignment="1" applyFill="1" applyFont="1">
      <alignment horizontal="center" readingOrder="0" vertical="center"/>
    </xf>
    <xf borderId="21" fillId="0" fontId="2" numFmtId="0" xfId="0" applyAlignment="1" applyBorder="1" applyFont="1">
      <alignment horizontal="center" readingOrder="0"/>
    </xf>
    <xf borderId="13" fillId="0" fontId="2" numFmtId="0" xfId="0" applyAlignment="1" applyBorder="1" applyFont="1">
      <alignment readingOrder="0"/>
    </xf>
    <xf borderId="13" fillId="0" fontId="2" numFmtId="0" xfId="0" applyAlignment="1" applyBorder="1" applyFont="1">
      <alignment horizontal="left" readingOrder="0"/>
    </xf>
    <xf borderId="22" fillId="0" fontId="2" numFmtId="0" xfId="0" applyAlignment="1" applyBorder="1" applyFont="1">
      <alignment horizontal="center" readingOrder="0"/>
    </xf>
    <xf borderId="2" fillId="0" fontId="31" numFmtId="0" xfId="0" applyAlignment="1" applyBorder="1" applyFont="1">
      <alignment horizontal="center" readingOrder="0" shrinkToFit="0" vertical="center" wrapText="1"/>
    </xf>
    <xf borderId="4" fillId="0" fontId="32" numFmtId="0" xfId="0" applyAlignment="1" applyBorder="1" applyFont="1">
      <alignment readingOrder="0" vertical="center"/>
    </xf>
    <xf borderId="0" fillId="0" fontId="2" numFmtId="0" xfId="0" applyAlignment="1" applyFont="1">
      <alignment readingOrder="0" shrinkToFit="0" wrapText="1"/>
    </xf>
    <xf borderId="13" fillId="2" fontId="35" numFmtId="0" xfId="0" applyAlignment="1" applyBorder="1" applyFill="1" applyFont="1">
      <alignment horizontal="center"/>
    </xf>
    <xf borderId="10" fillId="2" fontId="35" numFmtId="0" xfId="0" applyAlignment="1" applyBorder="1" applyFill="1" applyFont="1">
      <alignment horizontal="center" readingOrder="0" shrinkToFit="0" wrapText="1"/>
    </xf>
    <xf borderId="10" fillId="2" fontId="35" numFmtId="0" xfId="0" applyAlignment="1" applyBorder="1" applyFill="1" applyFont="1">
      <alignment horizontal="center" shrinkToFit="0" wrapText="1"/>
    </xf>
    <xf borderId="0" fillId="2" fontId="35" numFmtId="0" xfId="0" applyAlignment="1" applyFill="1" applyFont="1">
      <alignment horizontal="center" shrinkToFit="0" wrapText="1"/>
    </xf>
    <xf borderId="23" fillId="0" fontId="12" numFmtId="0" xfId="0" applyAlignment="1" applyBorder="1" applyFont="1">
      <alignment horizontal="center"/>
    </xf>
    <xf borderId="24" fillId="0" fontId="12" numFmtId="0" xfId="0" applyAlignment="1" applyBorder="1" applyFont="1">
      <alignment shrinkToFit="0" wrapText="1"/>
    </xf>
    <xf borderId="24" fillId="0" fontId="12" numFmtId="0" xfId="0" applyBorder="1" applyFont="1"/>
    <xf borderId="0" fillId="0" fontId="12" numFmtId="0" xfId="0" applyFont="1"/>
    <xf borderId="24" fillId="3" fontId="12" numFmtId="0" xfId="0" applyBorder="1" applyFill="1" applyFont="1"/>
    <xf borderId="24" fillId="0" fontId="36" numFmtId="0" xfId="0" applyAlignment="1" applyBorder="1" applyFont="1">
      <alignment shrinkToFit="0" wrapText="1"/>
    </xf>
    <xf borderId="24" fillId="0" fontId="37" numFmtId="0" xfId="0" applyAlignment="1" applyBorder="1" applyFont="1">
      <alignment shrinkToFit="0" wrapText="1"/>
    </xf>
    <xf borderId="25" fillId="0" fontId="12" numFmtId="0" xfId="0" applyAlignment="1" applyBorder="1" applyFont="1">
      <alignment horizontal="center"/>
    </xf>
    <xf borderId="5" fillId="0" fontId="12" numFmtId="0" xfId="0" applyAlignment="1" applyBorder="1" applyFont="1">
      <alignment shrinkToFit="0" wrapText="1"/>
    </xf>
    <xf borderId="5" fillId="0" fontId="12" numFmtId="0" xfId="0" applyBorder="1" applyFont="1"/>
    <xf borderId="26" fillId="0" fontId="12" numFmtId="0" xfId="0" applyAlignment="1" applyBorder="1" applyFont="1">
      <alignment horizontal="center"/>
    </xf>
    <xf borderId="27" fillId="0" fontId="12" numFmtId="0" xfId="0" applyAlignment="1" applyBorder="1" applyFont="1">
      <alignment shrinkToFit="0" wrapText="1"/>
    </xf>
    <xf borderId="27" fillId="0" fontId="12" numFmtId="0" xfId="0" applyBorder="1" applyFont="1"/>
    <xf borderId="28" fillId="0" fontId="12" numFmtId="0" xfId="0" applyBorder="1" applyFont="1"/>
    <xf borderId="27" fillId="0" fontId="12" numFmtId="0" xfId="0" applyAlignment="1" applyBorder="1" applyFont="1">
      <alignment readingOrder="0" shrinkToFit="0" wrapText="1"/>
    </xf>
    <xf borderId="0" fillId="0" fontId="12" numFmtId="0" xfId="0" applyAlignment="1" applyFont="1">
      <alignment horizontal="center"/>
    </xf>
    <xf borderId="0" fillId="0" fontId="12" numFmtId="0" xfId="0" applyAlignment="1" applyFont="1">
      <alignment readingOrder="0" shrinkToFit="0" wrapText="1"/>
    </xf>
    <xf borderId="0" fillId="0" fontId="12" numFmtId="0" xfId="0" applyAlignment="1" applyFont="1">
      <alignment shrinkToFit="0" wrapText="1"/>
    </xf>
    <xf borderId="5" fillId="0" fontId="32" numFmtId="0" xfId="0" applyAlignment="1" applyBorder="1" applyFont="1">
      <alignment readingOrder="0" vertical="center"/>
    </xf>
    <xf borderId="5" fillId="0" fontId="5" numFmtId="0" xfId="0" applyAlignment="1" applyBorder="1" applyFont="1">
      <alignment readingOrder="0" vertical="center"/>
    </xf>
    <xf borderId="29" fillId="0" fontId="5" numFmtId="0" xfId="0" applyAlignment="1" applyBorder="1" applyFont="1">
      <alignment readingOrder="0" shrinkToFit="0" vertical="center" wrapText="0"/>
    </xf>
    <xf borderId="13" fillId="0" fontId="33" numFmtId="0" xfId="0" applyAlignment="1" applyBorder="1" applyFont="1">
      <alignment readingOrder="0" vertical="center"/>
    </xf>
    <xf borderId="0" fillId="0" fontId="8" numFmtId="0" xfId="0" applyAlignment="1" applyFont="1">
      <alignment horizontal="center" vertical="bottom"/>
    </xf>
    <xf borderId="0" fillId="0" fontId="8" numFmtId="0" xfId="0" applyAlignment="1" applyFont="1">
      <alignment horizontal="center" readingOrder="0" vertical="bottom"/>
    </xf>
    <xf borderId="0" fillId="0" fontId="38" numFmtId="0" xfId="0" applyAlignment="1" applyFont="1">
      <alignment readingOrder="0"/>
    </xf>
    <xf borderId="13" fillId="2" fontId="9" numFmtId="0" xfId="0" applyAlignment="1" applyBorder="1" applyFill="1" applyFont="1">
      <alignment horizontal="center" vertical="bottom"/>
    </xf>
    <xf borderId="13" fillId="2" fontId="9" numFmtId="0" xfId="0" applyAlignment="1" applyBorder="1" applyFill="1" applyFont="1">
      <alignment horizontal="center" readingOrder="0" vertical="bottom"/>
    </xf>
    <xf borderId="13" fillId="2" fontId="9" numFmtId="0" xfId="0" applyAlignment="1" applyBorder="1" applyFill="1" applyFont="1">
      <alignment horizontal="center" readingOrder="0"/>
    </xf>
    <xf borderId="13" fillId="4" fontId="10" numFmtId="0" xfId="0" applyAlignment="1" applyBorder="1" applyFill="1" applyFont="1">
      <alignment readingOrder="0"/>
    </xf>
    <xf borderId="13" fillId="4" fontId="10" numFmtId="0" xfId="0" applyAlignment="1" applyBorder="1" applyFill="1" applyFont="1">
      <alignment readingOrder="0" shrinkToFit="0" wrapText="1"/>
    </xf>
    <xf borderId="13" fillId="0" fontId="10" numFmtId="0" xfId="0" applyBorder="1" applyFont="1"/>
    <xf borderId="0" fillId="0" fontId="39" numFmtId="0" xfId="0"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3">
    <tableStyle count="2" pivot="0" name="Develop-style">
      <tableStyleElement dxfId="1" type="firstRowStripe"/>
      <tableStyleElement dxfId="2" type="secondRowStripe"/>
    </tableStyle>
    <tableStyle count="2" pivot="0" name="Staging-style">
      <tableStyleElement dxfId="1" type="firstRowStripe"/>
      <tableStyleElement dxfId="2" type="secondRowStripe"/>
    </tableStyle>
    <tableStyle count="2" pivot="0" name="Production-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38125" cy="133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38125" cy="133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38125" cy="133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00050" cy="2286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42900"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7:K58" displayName="Table_1" name="Table_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evelop-style" showColumnStripes="0" showFirstColumn="1" showLastColumn="1" showRowStripes="1"/>
</table>
</file>

<file path=xl/tables/table2.xml><?xml version="1.0" encoding="utf-8"?>
<table xmlns="http://schemas.openxmlformats.org/spreadsheetml/2006/main" headerRowCount="0" ref="B7:K58" displayName="Table_2" name="Table_2" id="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taging-style" showColumnStripes="0" showFirstColumn="1" showLastColumn="1" showRowStripes="1"/>
</table>
</file>

<file path=xl/tables/table3.xml><?xml version="1.0" encoding="utf-8"?>
<table xmlns="http://schemas.openxmlformats.org/spreadsheetml/2006/main" headerRowCount="0" ref="B7:K58" displayName="Table_3" name="Table_3" id="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roduction-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eJtmT7HtnZpPhcquc_OAs191RWQPlHNmCSgXPVma02g/edi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dev.productname.sun-asterisk.vn/" TargetMode="External"/><Relationship Id="rId2" Type="http://schemas.openxmlformats.org/officeDocument/2006/relationships/hyperlink" Target="http://stg.productname.co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draw.io" TargetMode="External"/><Relationship Id="rId2" Type="http://schemas.openxmlformats.org/officeDocument/2006/relationships/hyperlink" Target="http://diagram.net" TargetMode="External"/><Relationship Id="rId3" Type="http://schemas.openxmlformats.org/officeDocument/2006/relationships/hyperlink" Target="http://sequencediagram.org/"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9.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2.63" defaultRowHeight="15.75"/>
  <cols>
    <col customWidth="1" min="1" max="1" width="5.75"/>
    <col customWidth="1" min="2" max="2" width="4.63"/>
    <col customWidth="1" min="3" max="3" width="6.38"/>
    <col customWidth="1" min="4" max="4" width="3.5"/>
    <col customWidth="1" min="5" max="9" width="9.75"/>
    <col customWidth="1" min="10" max="10" width="15.5"/>
    <col customWidth="1" min="11" max="11" width="13.75"/>
  </cols>
  <sheetData>
    <row r="1" ht="22.5" customHeight="1">
      <c r="A1" s="1"/>
      <c r="B1" s="2"/>
      <c r="C1" s="2"/>
      <c r="D1" s="2"/>
      <c r="E1" s="3" t="s">
        <v>0</v>
      </c>
      <c r="F1" s="2"/>
      <c r="G1" s="2"/>
      <c r="H1" s="2"/>
      <c r="I1" s="2"/>
      <c r="J1" s="4" t="s">
        <v>1</v>
      </c>
      <c r="K1" s="5"/>
    </row>
    <row r="2" ht="22.5" customHeight="1">
      <c r="A2" s="6"/>
      <c r="E2" s="6"/>
      <c r="J2" s="7" t="s">
        <v>2</v>
      </c>
      <c r="K2" s="8"/>
    </row>
    <row r="3" ht="22.5" customHeight="1">
      <c r="A3" s="6"/>
      <c r="E3" s="6"/>
      <c r="J3" s="9" t="s">
        <v>3</v>
      </c>
      <c r="K3" s="10"/>
    </row>
    <row r="4" ht="22.5" customHeight="1">
      <c r="A4" s="11" t="s">
        <v>4</v>
      </c>
      <c r="B4" s="12"/>
      <c r="C4" s="12"/>
      <c r="D4" s="12"/>
      <c r="E4" s="12"/>
      <c r="F4" s="12"/>
      <c r="G4" s="12"/>
      <c r="H4" s="12"/>
      <c r="I4" s="13"/>
      <c r="J4" s="14" t="s">
        <v>5</v>
      </c>
      <c r="K4" s="10"/>
    </row>
    <row r="5" ht="16.5" customHeight="1">
      <c r="A5" s="15"/>
      <c r="K5" s="16"/>
    </row>
    <row r="6" ht="31.5" customHeight="1">
      <c r="A6" s="17" t="s">
        <v>6</v>
      </c>
      <c r="K6" s="16"/>
    </row>
    <row r="7" ht="20.25" customHeight="1">
      <c r="A7" s="18" t="s">
        <v>7</v>
      </c>
      <c r="B7" s="19" t="s">
        <v>8</v>
      </c>
      <c r="C7" s="12"/>
      <c r="D7" s="13"/>
      <c r="E7" s="19" t="s">
        <v>9</v>
      </c>
      <c r="F7" s="12"/>
      <c r="G7" s="12"/>
      <c r="H7" s="12"/>
      <c r="I7" s="13"/>
      <c r="J7" s="19" t="s">
        <v>10</v>
      </c>
      <c r="K7" s="13"/>
    </row>
    <row r="8" ht="22.5" customHeight="1">
      <c r="A8" s="20">
        <v>1.0</v>
      </c>
      <c r="B8" s="21"/>
      <c r="C8" s="12"/>
      <c r="D8" s="13"/>
      <c r="E8" s="21" t="s">
        <v>11</v>
      </c>
      <c r="F8" s="12"/>
      <c r="G8" s="12"/>
      <c r="H8" s="12"/>
      <c r="I8" s="13"/>
      <c r="J8" s="21" t="s">
        <v>12</v>
      </c>
      <c r="K8" s="13"/>
    </row>
    <row r="9" ht="22.5" customHeight="1">
      <c r="A9" s="20">
        <v>2.0</v>
      </c>
      <c r="B9" s="21"/>
      <c r="C9" s="12"/>
      <c r="D9" s="13"/>
      <c r="E9" s="21" t="s">
        <v>13</v>
      </c>
      <c r="F9" s="12"/>
      <c r="G9" s="12"/>
      <c r="H9" s="12"/>
      <c r="I9" s="13"/>
      <c r="J9" s="22">
        <v>44320.0</v>
      </c>
      <c r="K9" s="13"/>
    </row>
    <row r="10" ht="22.5" customHeight="1">
      <c r="A10" s="20">
        <v>3.0</v>
      </c>
      <c r="B10" s="23"/>
      <c r="C10" s="2"/>
      <c r="D10" s="5"/>
      <c r="E10" s="23" t="s">
        <v>14</v>
      </c>
      <c r="F10" s="2"/>
      <c r="G10" s="2"/>
      <c r="H10" s="2"/>
      <c r="I10" s="5"/>
      <c r="J10" s="21" t="s">
        <v>15</v>
      </c>
      <c r="K10" s="13"/>
    </row>
    <row r="11">
      <c r="A11" s="20">
        <v>4.0</v>
      </c>
      <c r="B11" s="24" t="s">
        <v>16</v>
      </c>
      <c r="C11" s="12"/>
      <c r="D11" s="13"/>
      <c r="E11" s="25" t="s">
        <v>17</v>
      </c>
      <c r="F11" s="12"/>
      <c r="G11" s="12"/>
      <c r="H11" s="12"/>
      <c r="I11" s="13"/>
      <c r="J11" s="21" t="s">
        <v>18</v>
      </c>
      <c r="K11" s="13"/>
    </row>
    <row r="12">
      <c r="A12" s="26">
        <v>5.0</v>
      </c>
      <c r="B12" s="27" t="s">
        <v>19</v>
      </c>
      <c r="C12" s="28"/>
      <c r="D12" s="10"/>
      <c r="E12" s="29" t="s">
        <v>20</v>
      </c>
      <c r="F12" s="28"/>
      <c r="G12" s="28"/>
      <c r="H12" s="28"/>
      <c r="I12" s="10"/>
      <c r="J12" s="21" t="s">
        <v>18</v>
      </c>
      <c r="K12" s="13"/>
    </row>
    <row r="13" ht="51.75" customHeight="1">
      <c r="A13" s="26">
        <v>6.0</v>
      </c>
      <c r="B13" s="30" t="s">
        <v>21</v>
      </c>
      <c r="C13" s="12"/>
      <c r="D13" s="13"/>
      <c r="E13" s="31" t="s">
        <v>22</v>
      </c>
      <c r="F13" s="12"/>
      <c r="G13" s="12"/>
      <c r="H13" s="12"/>
      <c r="I13" s="13"/>
      <c r="J13" s="32" t="s">
        <v>23</v>
      </c>
      <c r="K13" s="13"/>
    </row>
    <row r="14" ht="22.5" customHeight="1">
      <c r="A14" s="33">
        <v>7.0</v>
      </c>
      <c r="B14" s="34"/>
      <c r="C14" s="12"/>
      <c r="D14" s="13"/>
      <c r="E14" s="35" t="s">
        <v>24</v>
      </c>
      <c r="F14" s="12"/>
      <c r="G14" s="12"/>
      <c r="H14" s="12"/>
      <c r="I14" s="13"/>
      <c r="J14" s="36" t="s">
        <v>25</v>
      </c>
      <c r="K14" s="13"/>
    </row>
    <row r="15" ht="22.5" customHeight="1">
      <c r="A15" s="37" t="s">
        <v>26</v>
      </c>
      <c r="B15" s="38" t="s">
        <v>27</v>
      </c>
      <c r="E15" s="39" t="s">
        <v>28</v>
      </c>
      <c r="J15" s="39" t="s">
        <v>29</v>
      </c>
    </row>
    <row r="16" ht="22.5" customHeight="1">
      <c r="A16" s="40"/>
      <c r="B16" s="41"/>
      <c r="C16" s="41"/>
      <c r="D16" s="41"/>
      <c r="E16" s="41"/>
      <c r="F16" s="41"/>
      <c r="G16" s="41"/>
      <c r="H16" s="41"/>
      <c r="I16" s="41"/>
      <c r="J16" s="41"/>
      <c r="K16" s="42"/>
    </row>
    <row r="17" ht="22.5" customHeight="1">
      <c r="A17" s="40"/>
      <c r="B17" s="41"/>
      <c r="C17" s="41"/>
      <c r="D17" s="41"/>
      <c r="E17" s="41"/>
      <c r="F17" s="41"/>
      <c r="G17" s="41"/>
      <c r="H17" s="41"/>
      <c r="I17" s="41"/>
      <c r="J17" s="41"/>
      <c r="K17" s="42"/>
    </row>
    <row r="18" ht="22.5" customHeight="1">
      <c r="A18" s="40"/>
      <c r="B18" s="41"/>
      <c r="C18" s="41"/>
      <c r="D18" s="41"/>
      <c r="E18" s="41"/>
      <c r="F18" s="41"/>
      <c r="G18" s="41"/>
      <c r="H18" s="41"/>
      <c r="I18" s="41"/>
      <c r="J18" s="41"/>
      <c r="K18" s="42"/>
    </row>
    <row r="19" ht="22.5" customHeight="1">
      <c r="A19" s="40"/>
      <c r="B19" s="41"/>
      <c r="C19" s="41"/>
      <c r="D19" s="41"/>
      <c r="E19" s="41"/>
      <c r="F19" s="41"/>
      <c r="G19" s="41"/>
      <c r="H19" s="41"/>
      <c r="I19" s="41"/>
      <c r="J19" s="41"/>
      <c r="K19" s="42"/>
    </row>
    <row r="20" ht="22.5" customHeight="1">
      <c r="A20" s="40"/>
      <c r="B20" s="41"/>
      <c r="C20" s="41"/>
      <c r="D20" s="41"/>
      <c r="E20" s="41"/>
      <c r="F20" s="41"/>
      <c r="G20" s="41"/>
      <c r="H20" s="41"/>
      <c r="I20" s="41"/>
      <c r="J20" s="41"/>
      <c r="K20" s="42"/>
    </row>
    <row r="21" ht="22.5" customHeight="1">
      <c r="A21" s="40"/>
      <c r="B21" s="41"/>
      <c r="C21" s="41"/>
      <c r="D21" s="41"/>
      <c r="E21" s="41"/>
      <c r="F21" s="41"/>
      <c r="G21" s="41"/>
      <c r="H21" s="41"/>
      <c r="I21" s="41"/>
      <c r="J21" s="41"/>
      <c r="K21" s="42"/>
    </row>
    <row r="22" ht="22.5" customHeight="1">
      <c r="A22" s="43"/>
      <c r="B22" s="44"/>
      <c r="C22" s="44"/>
      <c r="D22" s="44"/>
      <c r="E22" s="44"/>
      <c r="F22" s="44"/>
      <c r="G22" s="44"/>
      <c r="H22" s="44"/>
      <c r="I22" s="44"/>
      <c r="J22" s="44"/>
      <c r="K22" s="45"/>
    </row>
  </sheetData>
  <mergeCells count="36">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4:D14"/>
    <mergeCell ref="E14:I14"/>
    <mergeCell ref="J14:K14"/>
    <mergeCell ref="B15:D15"/>
    <mergeCell ref="E15:I15"/>
    <mergeCell ref="J15:K15"/>
    <mergeCell ref="B11:D11"/>
    <mergeCell ref="E11:I11"/>
    <mergeCell ref="J11:K11"/>
    <mergeCell ref="B12:D12"/>
    <mergeCell ref="E12:I12"/>
    <mergeCell ref="J12:K12"/>
    <mergeCell ref="B13:D13"/>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2.63" defaultRowHeight="15.75"/>
  <cols>
    <col customWidth="1" min="1" max="1" width="5.75"/>
    <col customWidth="1" min="2" max="2" width="4.63"/>
    <col customWidth="1" min="3" max="3" width="6.38"/>
    <col customWidth="1" min="4" max="4" width="3.5"/>
    <col customWidth="1" min="5" max="6" width="9.75"/>
    <col customWidth="1" min="7" max="7" width="20.5"/>
    <col customWidth="1" min="8" max="8" width="9.75"/>
    <col customWidth="1" min="9" max="9" width="17.5"/>
    <col customWidth="1" min="10" max="10" width="15.5"/>
    <col customWidth="1" min="11" max="11" width="13.75"/>
  </cols>
  <sheetData>
    <row r="1" ht="22.5" customHeight="1">
      <c r="A1" s="1"/>
      <c r="B1" s="2"/>
      <c r="C1" s="2"/>
      <c r="D1" s="2"/>
      <c r="E1" s="3" t="s">
        <v>0</v>
      </c>
      <c r="F1" s="2"/>
      <c r="G1" s="2"/>
      <c r="H1" s="2"/>
      <c r="I1" s="2"/>
      <c r="J1" s="4" t="s">
        <v>1</v>
      </c>
      <c r="K1" s="5"/>
    </row>
    <row r="2" ht="22.5" customHeight="1">
      <c r="A2" s="6"/>
      <c r="E2" s="6"/>
      <c r="J2" s="7" t="s">
        <v>2</v>
      </c>
      <c r="K2" s="8"/>
    </row>
    <row r="3" ht="22.5" customHeight="1">
      <c r="A3" s="6"/>
      <c r="E3" s="6"/>
      <c r="J3" s="9" t="s">
        <v>3</v>
      </c>
      <c r="K3" s="10"/>
    </row>
    <row r="4" ht="22.5" customHeight="1">
      <c r="A4" s="11" t="s">
        <v>4</v>
      </c>
      <c r="B4" s="12"/>
      <c r="C4" s="12"/>
      <c r="D4" s="12"/>
      <c r="E4" s="12"/>
      <c r="F4" s="12"/>
      <c r="G4" s="12"/>
      <c r="H4" s="12"/>
      <c r="I4" s="13"/>
      <c r="J4" s="14" t="s">
        <v>5</v>
      </c>
      <c r="K4" s="10"/>
    </row>
    <row r="5" ht="16.5" customHeight="1">
      <c r="A5" s="15"/>
      <c r="K5" s="16"/>
    </row>
    <row r="6" ht="22.5" customHeight="1">
      <c r="A6" s="46" t="s">
        <v>30</v>
      </c>
      <c r="B6" s="47" t="s">
        <v>31</v>
      </c>
      <c r="F6" s="47"/>
      <c r="G6" s="47"/>
      <c r="H6" s="47"/>
      <c r="I6" s="47"/>
      <c r="J6" s="41"/>
      <c r="K6" s="42"/>
    </row>
    <row r="7" ht="22.5" customHeight="1">
      <c r="A7" s="48"/>
      <c r="B7" s="49" t="s">
        <v>32</v>
      </c>
      <c r="C7" s="50"/>
      <c r="D7" s="50"/>
      <c r="E7" s="50"/>
      <c r="F7" s="50"/>
      <c r="G7" s="50"/>
      <c r="H7" s="50"/>
      <c r="I7" s="50"/>
      <c r="J7" s="50"/>
      <c r="K7" s="51"/>
    </row>
    <row r="8" ht="22.5" customHeight="1">
      <c r="A8" s="52" t="s">
        <v>33</v>
      </c>
      <c r="B8" s="53" t="s">
        <v>34</v>
      </c>
      <c r="F8" s="53"/>
      <c r="G8" s="53"/>
      <c r="H8" s="53"/>
      <c r="I8" s="53"/>
      <c r="J8" s="41"/>
      <c r="K8" s="42"/>
    </row>
    <row r="9" ht="22.5" customHeight="1">
      <c r="A9" s="54" t="s">
        <v>35</v>
      </c>
      <c r="B9" s="55" t="s">
        <v>36</v>
      </c>
      <c r="C9" s="50"/>
      <c r="D9" s="50"/>
      <c r="E9" s="50"/>
      <c r="F9" s="50"/>
      <c r="G9" s="50"/>
      <c r="H9" s="50"/>
      <c r="I9" s="50"/>
      <c r="J9" s="50"/>
      <c r="K9" s="51"/>
    </row>
    <row r="10" ht="22.5" customHeight="1">
      <c r="A10" s="54" t="s">
        <v>37</v>
      </c>
      <c r="B10" s="49" t="s">
        <v>38</v>
      </c>
      <c r="C10" s="50"/>
      <c r="D10" s="50"/>
      <c r="E10" s="50"/>
      <c r="F10" s="50"/>
      <c r="G10" s="50"/>
      <c r="H10" s="50"/>
      <c r="I10" s="50"/>
      <c r="J10" s="50"/>
      <c r="K10" s="51"/>
    </row>
    <row r="11" ht="22.5" customHeight="1">
      <c r="A11" s="56" t="s">
        <v>39</v>
      </c>
      <c r="B11" s="57" t="s">
        <v>40</v>
      </c>
      <c r="F11" s="53"/>
      <c r="G11" s="53"/>
      <c r="H11" s="53"/>
      <c r="I11" s="53"/>
      <c r="J11" s="44"/>
      <c r="K11" s="45"/>
    </row>
    <row r="12" ht="22.5" customHeight="1">
      <c r="A12" s="58" t="s">
        <v>35</v>
      </c>
      <c r="B12" s="59" t="s">
        <v>41</v>
      </c>
      <c r="C12" s="50"/>
      <c r="D12" s="50"/>
      <c r="E12" s="50"/>
      <c r="F12" s="50"/>
      <c r="G12" s="50"/>
      <c r="H12" s="50"/>
      <c r="I12" s="50"/>
      <c r="J12" s="50"/>
      <c r="K12" s="51"/>
    </row>
    <row r="13" ht="22.5" customHeight="1">
      <c r="A13" s="58" t="s">
        <v>37</v>
      </c>
      <c r="B13" s="60" t="s">
        <v>42</v>
      </c>
      <c r="C13" s="50"/>
      <c r="D13" s="50"/>
      <c r="E13" s="50"/>
      <c r="F13" s="50"/>
      <c r="G13" s="50"/>
      <c r="H13" s="50"/>
      <c r="I13" s="50"/>
      <c r="J13" s="50"/>
      <c r="K13" s="51"/>
    </row>
    <row r="14" ht="22.5" customHeight="1">
      <c r="A14" s="61"/>
      <c r="B14" s="60" t="s">
        <v>43</v>
      </c>
      <c r="C14" s="50"/>
      <c r="D14" s="50"/>
      <c r="E14" s="50"/>
      <c r="F14" s="50"/>
      <c r="G14" s="50"/>
      <c r="H14" s="50"/>
      <c r="I14" s="50"/>
      <c r="J14" s="50"/>
      <c r="K14" s="51"/>
    </row>
  </sheetData>
  <mergeCells count="17">
    <mergeCell ref="A1:D3"/>
    <mergeCell ref="E1:I3"/>
    <mergeCell ref="J1:K1"/>
    <mergeCell ref="J2:K2"/>
    <mergeCell ref="J3:K3"/>
    <mergeCell ref="A4:I4"/>
    <mergeCell ref="J4:K4"/>
    <mergeCell ref="B12:K12"/>
    <mergeCell ref="B13:K13"/>
    <mergeCell ref="B14:K14"/>
    <mergeCell ref="A5:K5"/>
    <mergeCell ref="B6:E6"/>
    <mergeCell ref="B7:K7"/>
    <mergeCell ref="B8:E8"/>
    <mergeCell ref="B9:K9"/>
    <mergeCell ref="B10:K10"/>
    <mergeCell ref="B11:E11"/>
  </mergeCells>
  <hyperlinks>
    <hyperlink r:id="rId1" location="gid=1672834635" ref="B12"/>
  </hyperlinks>
  <printOptions horizontalCentered="1"/>
  <pageMargins bottom="0.75" footer="0.0" header="0.0" left="0.7" right="0.7" top="0.75"/>
  <pageSetup fitToHeight="0" paperSize="9" orientation="portrait"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cols>
    <col customWidth="1" min="1" max="1" width="3.25"/>
    <col customWidth="1" min="2" max="2" width="3.5"/>
    <col customWidth="1" min="13" max="13" width="3.25"/>
  </cols>
  <sheetData>
    <row r="1">
      <c r="A1" s="62"/>
      <c r="B1" s="62"/>
      <c r="C1" s="63"/>
      <c r="D1" s="63"/>
      <c r="E1" s="63"/>
      <c r="F1" s="63"/>
      <c r="G1" s="63"/>
      <c r="H1" s="63"/>
      <c r="I1" s="63"/>
      <c r="J1" s="63"/>
      <c r="K1" s="63"/>
      <c r="L1" s="63"/>
      <c r="M1" s="63"/>
    </row>
    <row r="2">
      <c r="A2" s="64"/>
      <c r="B2" s="65" t="s">
        <v>44</v>
      </c>
      <c r="C2" s="66"/>
      <c r="D2" s="66"/>
      <c r="E2" s="66"/>
      <c r="F2" s="66"/>
      <c r="G2" s="67"/>
      <c r="H2" s="67"/>
      <c r="I2" s="67"/>
      <c r="J2" s="67"/>
      <c r="K2" s="67"/>
      <c r="L2" s="67"/>
      <c r="M2" s="67"/>
    </row>
    <row r="3">
      <c r="A3" s="64"/>
      <c r="B3" s="68" t="s">
        <v>21</v>
      </c>
      <c r="C3" s="69"/>
      <c r="D3" s="69"/>
      <c r="E3" s="69"/>
      <c r="F3" s="69"/>
      <c r="G3" s="67"/>
      <c r="H3" s="67"/>
      <c r="I3" s="67"/>
      <c r="J3" s="67"/>
      <c r="K3" s="67"/>
      <c r="L3" s="67"/>
      <c r="M3" s="67"/>
    </row>
    <row r="4">
      <c r="A4" s="70"/>
      <c r="B4" s="70" t="s">
        <v>45</v>
      </c>
      <c r="C4" s="71"/>
      <c r="D4" s="71"/>
      <c r="E4" s="71"/>
      <c r="F4" s="71"/>
      <c r="G4" s="71"/>
      <c r="H4" s="71"/>
      <c r="I4" s="71"/>
      <c r="J4" s="71"/>
      <c r="K4" s="71"/>
      <c r="L4" s="71"/>
      <c r="M4" s="71"/>
    </row>
    <row r="5">
      <c r="A5" s="72"/>
      <c r="B5" s="72"/>
      <c r="C5" s="72" t="s">
        <v>46</v>
      </c>
      <c r="M5" s="71"/>
    </row>
    <row r="6">
      <c r="A6" s="71"/>
      <c r="B6" s="71"/>
      <c r="C6" s="71"/>
      <c r="D6" s="71"/>
      <c r="E6" s="71"/>
      <c r="F6" s="71"/>
      <c r="G6" s="71"/>
      <c r="H6" s="71"/>
      <c r="I6" s="71"/>
      <c r="J6" s="71"/>
      <c r="K6" s="71"/>
      <c r="L6" s="71"/>
      <c r="M6" s="71"/>
    </row>
    <row r="7">
      <c r="A7" s="70"/>
      <c r="B7" s="70" t="s">
        <v>47</v>
      </c>
      <c r="C7" s="71"/>
      <c r="D7" s="71"/>
      <c r="E7" s="71"/>
      <c r="F7" s="71"/>
      <c r="G7" s="71"/>
      <c r="H7" s="71"/>
      <c r="I7" s="71"/>
      <c r="J7" s="71"/>
      <c r="K7" s="71"/>
      <c r="L7" s="71"/>
      <c r="M7" s="71"/>
    </row>
    <row r="8">
      <c r="A8" s="73"/>
      <c r="B8" s="73"/>
      <c r="C8" s="74" t="s">
        <v>48</v>
      </c>
      <c r="M8" s="75"/>
    </row>
    <row r="9">
      <c r="A9" s="71"/>
      <c r="B9" s="71"/>
      <c r="C9" s="72" t="s">
        <v>49</v>
      </c>
      <c r="M9" s="76"/>
    </row>
    <row r="10">
      <c r="A10" s="71"/>
      <c r="B10" s="71"/>
      <c r="C10" s="77" t="s">
        <v>50</v>
      </c>
      <c r="M10" s="78"/>
    </row>
    <row r="11">
      <c r="A11" s="71"/>
      <c r="B11" s="71"/>
      <c r="C11" s="77" t="s">
        <v>51</v>
      </c>
      <c r="M11" s="75"/>
    </row>
    <row r="12">
      <c r="A12" s="71"/>
      <c r="B12" s="71"/>
      <c r="C12" s="72"/>
      <c r="M12" s="79"/>
    </row>
    <row r="13">
      <c r="A13" s="71"/>
      <c r="B13" s="71"/>
      <c r="C13" s="74" t="s">
        <v>52</v>
      </c>
      <c r="M13" s="75"/>
    </row>
    <row r="14">
      <c r="A14" s="71"/>
      <c r="B14" s="71"/>
      <c r="C14" s="72" t="s">
        <v>53</v>
      </c>
      <c r="M14" s="75"/>
    </row>
    <row r="15">
      <c r="A15" s="71"/>
      <c r="B15" s="71"/>
      <c r="C15" s="72" t="s">
        <v>54</v>
      </c>
      <c r="M15" s="79"/>
    </row>
    <row r="16">
      <c r="A16" s="71"/>
      <c r="B16" s="71"/>
      <c r="C16" s="72" t="s">
        <v>55</v>
      </c>
      <c r="M16" s="75"/>
    </row>
    <row r="17">
      <c r="A17" s="71"/>
      <c r="B17" s="71"/>
      <c r="C17" s="75" t="s">
        <v>56</v>
      </c>
      <c r="M17" s="71"/>
    </row>
    <row r="18">
      <c r="A18" s="71"/>
      <c r="B18" s="71"/>
      <c r="C18" s="80" t="s">
        <v>57</v>
      </c>
      <c r="M18" s="71"/>
    </row>
    <row r="19">
      <c r="A19" s="71"/>
      <c r="B19" s="71"/>
      <c r="C19" s="72"/>
      <c r="M19" s="71"/>
    </row>
    <row r="20">
      <c r="A20" s="71"/>
      <c r="B20" s="71"/>
      <c r="C20" s="74" t="s">
        <v>58</v>
      </c>
      <c r="M20" s="71"/>
    </row>
    <row r="21">
      <c r="A21" s="71"/>
      <c r="B21" s="71"/>
      <c r="C21" s="72" t="s">
        <v>59</v>
      </c>
      <c r="M21" s="71"/>
    </row>
    <row r="22">
      <c r="A22" s="71"/>
      <c r="B22" s="71"/>
      <c r="C22" s="72" t="s">
        <v>60</v>
      </c>
      <c r="M22" s="71"/>
    </row>
    <row r="23">
      <c r="A23" s="71"/>
      <c r="B23" s="71"/>
      <c r="C23" s="72" t="s">
        <v>61</v>
      </c>
      <c r="M23" s="71"/>
    </row>
    <row r="24">
      <c r="A24" s="71"/>
      <c r="B24" s="71"/>
      <c r="C24" s="72" t="s">
        <v>62</v>
      </c>
      <c r="M24" s="71"/>
    </row>
    <row r="25">
      <c r="A25" s="71"/>
      <c r="B25" s="71"/>
      <c r="C25" s="72" t="s">
        <v>63</v>
      </c>
      <c r="M25" s="71"/>
    </row>
    <row r="26">
      <c r="A26" s="71"/>
      <c r="B26" s="71"/>
      <c r="C26" s="72" t="s">
        <v>64</v>
      </c>
      <c r="M26" s="71"/>
    </row>
    <row r="27">
      <c r="A27" s="71"/>
      <c r="B27" s="71"/>
      <c r="C27" s="71"/>
      <c r="D27" s="71"/>
      <c r="E27" s="71"/>
      <c r="F27" s="71"/>
      <c r="G27" s="71"/>
      <c r="H27" s="71"/>
      <c r="I27" s="71"/>
      <c r="J27" s="71"/>
      <c r="K27" s="71"/>
      <c r="L27" s="71"/>
      <c r="M27" s="71"/>
    </row>
    <row r="28">
      <c r="A28" s="71"/>
      <c r="B28" s="71"/>
      <c r="C28" s="71"/>
      <c r="D28" s="71"/>
      <c r="E28" s="71"/>
      <c r="F28" s="71"/>
      <c r="G28" s="71"/>
      <c r="H28" s="71"/>
      <c r="I28" s="71"/>
      <c r="J28" s="71"/>
      <c r="K28" s="71"/>
      <c r="L28" s="71"/>
      <c r="M28" s="71"/>
    </row>
    <row r="29">
      <c r="A29" s="63"/>
      <c r="B29" s="63"/>
      <c r="C29" s="63"/>
      <c r="D29" s="63"/>
      <c r="E29" s="63"/>
      <c r="F29" s="63"/>
      <c r="G29" s="63"/>
      <c r="H29" s="63"/>
      <c r="I29" s="63"/>
      <c r="J29" s="63"/>
      <c r="K29" s="63"/>
      <c r="L29" s="63"/>
      <c r="M29" s="63"/>
    </row>
  </sheetData>
  <mergeCells count="20">
    <mergeCell ref="C5:L5"/>
    <mergeCell ref="C8:L8"/>
    <mergeCell ref="C9:L9"/>
    <mergeCell ref="C10:L10"/>
    <mergeCell ref="C11:L11"/>
    <mergeCell ref="C12:L12"/>
    <mergeCell ref="C13:L13"/>
    <mergeCell ref="C21:L21"/>
    <mergeCell ref="C22:L22"/>
    <mergeCell ref="C23:L23"/>
    <mergeCell ref="C24:L24"/>
    <mergeCell ref="C25:L25"/>
    <mergeCell ref="C26:L26"/>
    <mergeCell ref="C14:L14"/>
    <mergeCell ref="C15:L15"/>
    <mergeCell ref="C16:L16"/>
    <mergeCell ref="C17:L17"/>
    <mergeCell ref="C18:L18"/>
    <mergeCell ref="C19:L19"/>
    <mergeCell ref="C20:L20"/>
  </mergeCells>
  <hyperlinks>
    <hyperlink r:id="rId1" ref="C10"/>
    <hyperlink r:id="rId2" ref="C11"/>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2" width="3.13"/>
    <col customWidth="1" min="3" max="3" width="21.75"/>
    <col customWidth="1" min="4" max="5" width="11.38"/>
    <col customWidth="1" min="6" max="6" width="16.25"/>
    <col customWidth="1" min="7" max="7" width="25.25"/>
    <col customWidth="1" min="8" max="8" width="18.38"/>
    <col customWidth="1" min="9" max="9" width="11.63"/>
    <col customWidth="1" min="10" max="10" width="13.63"/>
    <col customWidth="1" min="11" max="11" width="25.75"/>
  </cols>
  <sheetData>
    <row r="1">
      <c r="A1" s="1"/>
      <c r="B1" s="2"/>
      <c r="C1" s="2"/>
      <c r="D1" s="5"/>
      <c r="E1" s="3" t="s">
        <v>0</v>
      </c>
      <c r="F1" s="2"/>
      <c r="G1" s="2"/>
      <c r="H1" s="2"/>
      <c r="I1" s="2"/>
      <c r="J1" s="4" t="s">
        <v>1</v>
      </c>
      <c r="K1" s="5"/>
    </row>
    <row r="2">
      <c r="A2" s="6"/>
      <c r="D2" s="8"/>
      <c r="E2" s="6"/>
      <c r="J2" s="7" t="s">
        <v>2</v>
      </c>
      <c r="K2" s="8"/>
    </row>
    <row r="3">
      <c r="A3" s="81"/>
      <c r="B3" s="28"/>
      <c r="C3" s="28"/>
      <c r="D3" s="10"/>
      <c r="E3" s="6"/>
      <c r="J3" s="9" t="s">
        <v>3</v>
      </c>
      <c r="K3" s="10"/>
    </row>
    <row r="4" ht="22.5" customHeight="1">
      <c r="A4" s="11" t="s">
        <v>4</v>
      </c>
      <c r="B4" s="12"/>
      <c r="C4" s="12"/>
      <c r="D4" s="12"/>
      <c r="E4" s="12"/>
      <c r="F4" s="12"/>
      <c r="G4" s="12"/>
      <c r="H4" s="12"/>
      <c r="I4" s="13"/>
      <c r="J4" s="82" t="s">
        <v>5</v>
      </c>
      <c r="K4" s="13"/>
    </row>
    <row r="5" ht="22.5" customHeight="1">
      <c r="A5" s="83"/>
      <c r="B5" s="83"/>
      <c r="C5" s="83"/>
      <c r="D5" s="83"/>
      <c r="E5" s="83"/>
      <c r="F5" s="83"/>
      <c r="G5" s="83"/>
      <c r="H5" s="83"/>
      <c r="I5" s="83"/>
      <c r="J5" s="84"/>
      <c r="K5" s="84"/>
    </row>
    <row r="6" ht="23.25" customHeight="1">
      <c r="A6" s="83"/>
      <c r="B6" s="85" t="s">
        <v>65</v>
      </c>
      <c r="C6" s="86" t="s">
        <v>66</v>
      </c>
      <c r="D6" s="87" t="s">
        <v>67</v>
      </c>
      <c r="E6" s="88" t="s">
        <v>68</v>
      </c>
      <c r="F6" s="88" t="s">
        <v>69</v>
      </c>
      <c r="G6" s="87" t="s">
        <v>70</v>
      </c>
      <c r="H6" s="88" t="s">
        <v>71</v>
      </c>
      <c r="I6" s="88" t="s">
        <v>72</v>
      </c>
      <c r="J6" s="88" t="s">
        <v>73</v>
      </c>
      <c r="K6" s="88" t="s">
        <v>74</v>
      </c>
    </row>
    <row r="7">
      <c r="A7" s="89"/>
      <c r="B7" s="90">
        <v>1.0</v>
      </c>
      <c r="C7" s="91"/>
      <c r="D7" s="92"/>
      <c r="E7" s="91"/>
      <c r="F7" s="91"/>
      <c r="G7" s="91"/>
      <c r="H7" s="91"/>
      <c r="I7" s="91"/>
      <c r="J7" s="93"/>
      <c r="K7" s="94"/>
    </row>
    <row r="8">
      <c r="A8" s="89"/>
      <c r="B8" s="90">
        <v>2.0</v>
      </c>
      <c r="C8" s="91"/>
      <c r="D8" s="92"/>
      <c r="E8" s="92"/>
      <c r="F8" s="91"/>
      <c r="G8" s="91"/>
      <c r="H8" s="91"/>
      <c r="I8" s="91"/>
      <c r="J8" s="93"/>
      <c r="K8" s="94"/>
    </row>
    <row r="9">
      <c r="A9" s="89"/>
      <c r="B9" s="90">
        <v>3.0</v>
      </c>
      <c r="C9" s="91"/>
      <c r="D9" s="91"/>
      <c r="E9" s="91"/>
      <c r="F9" s="91"/>
      <c r="G9" s="91"/>
      <c r="H9" s="91"/>
      <c r="I9" s="91"/>
      <c r="J9" s="93"/>
      <c r="K9" s="94"/>
    </row>
    <row r="10">
      <c r="A10" s="89"/>
      <c r="B10" s="90">
        <v>4.0</v>
      </c>
      <c r="C10" s="91"/>
      <c r="D10" s="92"/>
      <c r="E10" s="92"/>
      <c r="F10" s="91"/>
      <c r="G10" s="91"/>
      <c r="H10" s="91"/>
      <c r="I10" s="91"/>
      <c r="J10" s="93"/>
      <c r="K10" s="94"/>
    </row>
    <row r="11">
      <c r="A11" s="89"/>
      <c r="B11" s="90">
        <v>5.0</v>
      </c>
      <c r="C11" s="91"/>
      <c r="D11" s="92"/>
      <c r="E11" s="91"/>
      <c r="F11" s="91"/>
      <c r="G11" s="91"/>
      <c r="H11" s="91"/>
      <c r="I11" s="91"/>
      <c r="J11" s="93"/>
      <c r="K11" s="94"/>
    </row>
    <row r="12">
      <c r="A12" s="89"/>
      <c r="B12" s="90">
        <v>6.0</v>
      </c>
      <c r="C12" s="91"/>
      <c r="D12" s="92"/>
      <c r="E12" s="91"/>
      <c r="F12" s="91"/>
      <c r="G12" s="91"/>
      <c r="H12" s="91"/>
      <c r="I12" s="91"/>
      <c r="J12" s="93"/>
      <c r="K12" s="94"/>
    </row>
    <row r="13">
      <c r="A13" s="89"/>
      <c r="B13" s="90">
        <v>7.0</v>
      </c>
      <c r="C13" s="91"/>
      <c r="D13" s="92"/>
      <c r="E13" s="91"/>
      <c r="F13" s="91"/>
      <c r="G13" s="91"/>
      <c r="H13" s="91"/>
      <c r="I13" s="91"/>
      <c r="J13" s="93"/>
      <c r="K13" s="94"/>
    </row>
    <row r="14">
      <c r="A14" s="89"/>
      <c r="B14" s="90">
        <v>8.0</v>
      </c>
      <c r="C14" s="91"/>
      <c r="D14" s="92"/>
      <c r="E14" s="92"/>
      <c r="F14" s="91"/>
      <c r="G14" s="91"/>
      <c r="H14" s="91"/>
      <c r="I14" s="91"/>
      <c r="J14" s="93"/>
      <c r="K14" s="94"/>
    </row>
    <row r="15">
      <c r="A15" s="89"/>
      <c r="B15" s="90">
        <v>9.0</v>
      </c>
      <c r="C15" s="91"/>
      <c r="D15" s="92"/>
      <c r="E15" s="91"/>
      <c r="F15" s="91"/>
      <c r="G15" s="91"/>
      <c r="H15" s="91"/>
      <c r="I15" s="91"/>
      <c r="J15" s="93"/>
      <c r="K15" s="94"/>
    </row>
    <row r="16">
      <c r="A16" s="89"/>
      <c r="B16" s="90">
        <v>10.0</v>
      </c>
      <c r="C16" s="91"/>
      <c r="D16" s="92"/>
      <c r="E16" s="91"/>
      <c r="F16" s="91"/>
      <c r="G16" s="91"/>
      <c r="H16" s="91"/>
      <c r="I16" s="91"/>
      <c r="J16" s="93"/>
      <c r="K16" s="94"/>
    </row>
    <row r="17">
      <c r="A17" s="89"/>
      <c r="B17" s="90">
        <v>11.0</v>
      </c>
      <c r="C17" s="91"/>
      <c r="D17" s="92"/>
      <c r="E17" s="91"/>
      <c r="F17" s="91"/>
      <c r="G17" s="91"/>
      <c r="H17" s="91"/>
      <c r="I17" s="91"/>
      <c r="J17" s="93"/>
      <c r="K17" s="94"/>
    </row>
    <row r="18">
      <c r="A18" s="89"/>
      <c r="B18" s="90">
        <v>12.0</v>
      </c>
      <c r="C18" s="91"/>
      <c r="D18" s="92"/>
      <c r="E18" s="92"/>
      <c r="F18" s="91"/>
      <c r="G18" s="91"/>
      <c r="H18" s="91"/>
      <c r="I18" s="91"/>
      <c r="J18" s="93"/>
      <c r="K18" s="94"/>
    </row>
    <row r="19">
      <c r="A19" s="89"/>
      <c r="B19" s="90">
        <v>13.0</v>
      </c>
      <c r="C19" s="91"/>
      <c r="D19" s="92"/>
      <c r="E19" s="92"/>
      <c r="F19" s="91"/>
      <c r="G19" s="91"/>
      <c r="H19" s="91"/>
      <c r="I19" s="91"/>
      <c r="J19" s="93"/>
      <c r="K19" s="94"/>
    </row>
    <row r="20">
      <c r="A20" s="89"/>
      <c r="B20" s="90">
        <v>14.0</v>
      </c>
      <c r="C20" s="91"/>
      <c r="D20" s="92"/>
      <c r="E20" s="91"/>
      <c r="F20" s="91"/>
      <c r="G20" s="91"/>
      <c r="H20" s="91"/>
      <c r="I20" s="91"/>
      <c r="J20" s="93"/>
      <c r="K20" s="94"/>
    </row>
    <row r="21">
      <c r="A21" s="89"/>
      <c r="B21" s="90">
        <v>15.0</v>
      </c>
      <c r="C21" s="91"/>
      <c r="D21" s="92"/>
      <c r="E21" s="91"/>
      <c r="F21" s="91"/>
      <c r="G21" s="91"/>
      <c r="H21" s="91"/>
      <c r="I21" s="91"/>
      <c r="J21" s="93"/>
      <c r="K21" s="94"/>
    </row>
    <row r="22">
      <c r="A22" s="89"/>
      <c r="B22" s="90">
        <v>16.0</v>
      </c>
      <c r="C22" s="91"/>
      <c r="D22" s="92"/>
      <c r="E22" s="91"/>
      <c r="F22" s="91"/>
      <c r="G22" s="91"/>
      <c r="H22" s="91"/>
      <c r="I22" s="91"/>
      <c r="J22" s="93"/>
      <c r="K22" s="94"/>
    </row>
    <row r="23">
      <c r="A23" s="89"/>
      <c r="B23" s="90">
        <v>17.0</v>
      </c>
      <c r="C23" s="91"/>
      <c r="D23" s="92"/>
      <c r="E23" s="91"/>
      <c r="F23" s="91"/>
      <c r="G23" s="91"/>
      <c r="H23" s="91"/>
      <c r="I23" s="91"/>
      <c r="J23" s="93"/>
      <c r="K23" s="94"/>
    </row>
    <row r="24">
      <c r="A24" s="89"/>
      <c r="B24" s="90">
        <v>18.0</v>
      </c>
      <c r="C24" s="91"/>
      <c r="D24" s="92"/>
      <c r="E24" s="95"/>
      <c r="F24" s="91"/>
      <c r="G24" s="91"/>
      <c r="H24" s="91"/>
      <c r="I24" s="91"/>
      <c r="J24" s="93"/>
      <c r="K24" s="94"/>
    </row>
    <row r="25">
      <c r="A25" s="89"/>
      <c r="B25" s="90">
        <v>19.0</v>
      </c>
      <c r="C25" s="91"/>
      <c r="D25" s="92"/>
      <c r="E25" s="91"/>
      <c r="F25" s="91"/>
      <c r="G25" s="91"/>
      <c r="H25" s="91"/>
      <c r="I25" s="91"/>
      <c r="J25" s="93"/>
      <c r="K25" s="94"/>
    </row>
    <row r="26">
      <c r="A26" s="89"/>
      <c r="B26" s="90">
        <v>20.0</v>
      </c>
      <c r="C26" s="91"/>
      <c r="D26" s="92"/>
      <c r="E26" s="91"/>
      <c r="F26" s="91"/>
      <c r="G26" s="91"/>
      <c r="H26" s="91"/>
      <c r="I26" s="91"/>
      <c r="J26" s="93"/>
      <c r="K26" s="94"/>
    </row>
    <row r="27">
      <c r="A27" s="89"/>
      <c r="B27" s="90">
        <v>21.0</v>
      </c>
      <c r="C27" s="91"/>
      <c r="D27" s="92"/>
      <c r="E27" s="91"/>
      <c r="F27" s="91"/>
      <c r="G27" s="91"/>
      <c r="H27" s="91"/>
      <c r="I27" s="91"/>
      <c r="J27" s="93"/>
      <c r="K27" s="94"/>
    </row>
    <row r="28">
      <c r="A28" s="89"/>
      <c r="B28" s="90">
        <v>22.0</v>
      </c>
      <c r="C28" s="91"/>
      <c r="D28" s="92"/>
      <c r="E28" s="91"/>
      <c r="F28" s="91"/>
      <c r="G28" s="91"/>
      <c r="H28" s="91"/>
      <c r="I28" s="91"/>
      <c r="J28" s="93"/>
      <c r="K28" s="94"/>
    </row>
    <row r="29">
      <c r="A29" s="89"/>
      <c r="B29" s="90">
        <v>23.0</v>
      </c>
      <c r="C29" s="91"/>
      <c r="D29" s="92"/>
      <c r="E29" s="91"/>
      <c r="F29" s="91"/>
      <c r="G29" s="91"/>
      <c r="H29" s="91"/>
      <c r="I29" s="91"/>
      <c r="J29" s="93"/>
      <c r="K29" s="94"/>
    </row>
    <row r="30">
      <c r="A30" s="89"/>
      <c r="B30" s="90">
        <v>24.0</v>
      </c>
      <c r="C30" s="91"/>
      <c r="D30" s="92"/>
      <c r="E30" s="91"/>
      <c r="F30" s="91"/>
      <c r="G30" s="91"/>
      <c r="H30" s="91"/>
      <c r="I30" s="91"/>
      <c r="J30" s="93"/>
      <c r="K30" s="94"/>
    </row>
    <row r="31">
      <c r="A31" s="89"/>
      <c r="B31" s="90">
        <v>25.0</v>
      </c>
      <c r="C31" s="91"/>
      <c r="D31" s="92"/>
      <c r="E31" s="91"/>
      <c r="F31" s="91"/>
      <c r="G31" s="91"/>
      <c r="H31" s="91"/>
      <c r="I31" s="91"/>
      <c r="J31" s="93"/>
      <c r="K31" s="94"/>
    </row>
    <row r="32">
      <c r="A32" s="89"/>
      <c r="B32" s="90">
        <v>26.0</v>
      </c>
      <c r="C32" s="91"/>
      <c r="D32" s="92"/>
      <c r="E32" s="91"/>
      <c r="F32" s="91"/>
      <c r="G32" s="91"/>
      <c r="H32" s="91"/>
      <c r="I32" s="91"/>
      <c r="J32" s="93"/>
      <c r="K32" s="94"/>
    </row>
    <row r="33">
      <c r="A33" s="89"/>
      <c r="B33" s="90">
        <v>27.0</v>
      </c>
      <c r="C33" s="91"/>
      <c r="D33" s="92"/>
      <c r="E33" s="91"/>
      <c r="F33" s="91"/>
      <c r="G33" s="91"/>
      <c r="H33" s="91"/>
      <c r="I33" s="91"/>
      <c r="J33" s="93"/>
      <c r="K33" s="94"/>
    </row>
    <row r="34">
      <c r="A34" s="89"/>
      <c r="B34" s="90">
        <v>30.0</v>
      </c>
      <c r="C34" s="91"/>
      <c r="D34" s="92"/>
      <c r="E34" s="91"/>
      <c r="F34" s="91"/>
      <c r="G34" s="91"/>
      <c r="H34" s="91"/>
      <c r="I34" s="91"/>
      <c r="J34" s="93"/>
      <c r="K34" s="94"/>
    </row>
    <row r="35">
      <c r="A35" s="89"/>
      <c r="B35" s="90">
        <v>31.0</v>
      </c>
      <c r="C35" s="91"/>
      <c r="D35" s="92"/>
      <c r="E35" s="91"/>
      <c r="F35" s="91"/>
      <c r="G35" s="91"/>
      <c r="H35" s="91"/>
      <c r="I35" s="91"/>
      <c r="J35" s="93"/>
      <c r="K35" s="94"/>
    </row>
    <row r="36">
      <c r="A36" s="89"/>
      <c r="B36" s="90">
        <v>32.0</v>
      </c>
      <c r="C36" s="91"/>
      <c r="D36" s="91"/>
      <c r="E36" s="91"/>
      <c r="F36" s="91"/>
      <c r="G36" s="91"/>
      <c r="H36" s="91"/>
      <c r="I36" s="91"/>
      <c r="J36" s="93"/>
      <c r="K36" s="94"/>
    </row>
    <row r="37">
      <c r="A37" s="89"/>
      <c r="B37" s="90">
        <v>33.0</v>
      </c>
      <c r="C37" s="91"/>
      <c r="D37" s="91"/>
      <c r="E37" s="91"/>
      <c r="F37" s="91"/>
      <c r="G37" s="91"/>
      <c r="H37" s="91"/>
      <c r="I37" s="91"/>
      <c r="J37" s="93"/>
      <c r="K37" s="94"/>
    </row>
    <row r="38">
      <c r="A38" s="89"/>
      <c r="B38" s="90">
        <v>34.0</v>
      </c>
      <c r="C38" s="91"/>
      <c r="D38" s="91"/>
      <c r="E38" s="91"/>
      <c r="F38" s="91"/>
      <c r="G38" s="91"/>
      <c r="H38" s="91"/>
      <c r="I38" s="91"/>
      <c r="J38" s="93"/>
      <c r="K38" s="94"/>
    </row>
    <row r="39">
      <c r="A39" s="89"/>
      <c r="B39" s="90">
        <v>35.0</v>
      </c>
      <c r="C39" s="91"/>
      <c r="D39" s="91"/>
      <c r="E39" s="91"/>
      <c r="F39" s="91"/>
      <c r="G39" s="91"/>
      <c r="H39" s="91"/>
      <c r="I39" s="91"/>
      <c r="J39" s="93"/>
      <c r="K39" s="94"/>
    </row>
    <row r="40">
      <c r="A40" s="89"/>
      <c r="B40" s="90">
        <v>36.0</v>
      </c>
      <c r="C40" s="91"/>
      <c r="D40" s="91"/>
      <c r="E40" s="91"/>
      <c r="F40" s="91"/>
      <c r="G40" s="91"/>
      <c r="H40" s="91"/>
      <c r="I40" s="91"/>
      <c r="J40" s="93"/>
      <c r="K40" s="94"/>
    </row>
    <row r="41">
      <c r="A41" s="89"/>
      <c r="B41" s="90">
        <v>37.0</v>
      </c>
      <c r="C41" s="91"/>
      <c r="D41" s="91"/>
      <c r="E41" s="91"/>
      <c r="F41" s="91"/>
      <c r="G41" s="91"/>
      <c r="H41" s="91"/>
      <c r="I41" s="91"/>
      <c r="J41" s="93"/>
      <c r="K41" s="94"/>
    </row>
    <row r="42">
      <c r="A42" s="89"/>
      <c r="B42" s="90">
        <v>38.0</v>
      </c>
      <c r="C42" s="91"/>
      <c r="D42" s="91"/>
      <c r="E42" s="91"/>
      <c r="F42" s="91"/>
      <c r="G42" s="91"/>
      <c r="H42" s="91"/>
      <c r="I42" s="91"/>
      <c r="J42" s="93"/>
      <c r="K42" s="94"/>
    </row>
    <row r="43">
      <c r="A43" s="89"/>
      <c r="B43" s="90">
        <v>39.0</v>
      </c>
      <c r="C43" s="91"/>
      <c r="D43" s="91"/>
      <c r="E43" s="91"/>
      <c r="F43" s="91"/>
      <c r="G43" s="91"/>
      <c r="H43" s="91"/>
      <c r="I43" s="91"/>
      <c r="J43" s="93"/>
      <c r="K43" s="94"/>
    </row>
    <row r="44">
      <c r="A44" s="89"/>
      <c r="B44" s="90">
        <v>40.0</v>
      </c>
      <c r="C44" s="96"/>
      <c r="D44" s="91"/>
      <c r="E44" s="91"/>
      <c r="F44" s="91"/>
      <c r="G44" s="91"/>
      <c r="H44" s="91"/>
      <c r="I44" s="91"/>
      <c r="J44" s="93"/>
      <c r="K44" s="94"/>
    </row>
    <row r="45">
      <c r="A45" s="89"/>
      <c r="B45" s="90">
        <v>41.0</v>
      </c>
      <c r="C45" s="91"/>
      <c r="D45" s="91"/>
      <c r="E45" s="91"/>
      <c r="F45" s="91"/>
      <c r="G45" s="91"/>
      <c r="H45" s="91"/>
      <c r="I45" s="91"/>
      <c r="J45" s="93"/>
      <c r="K45" s="94"/>
    </row>
    <row r="46">
      <c r="A46" s="89"/>
      <c r="B46" s="90">
        <v>42.0</v>
      </c>
      <c r="C46" s="96"/>
      <c r="D46" s="97"/>
      <c r="E46" s="97"/>
      <c r="F46" s="91"/>
      <c r="G46" s="96"/>
      <c r="H46" s="97"/>
      <c r="I46" s="91"/>
      <c r="J46" s="93"/>
      <c r="K46" s="98"/>
    </row>
    <row r="47">
      <c r="A47" s="89"/>
      <c r="B47" s="90">
        <v>43.0</v>
      </c>
      <c r="C47" s="96"/>
      <c r="D47" s="97"/>
      <c r="E47" s="97"/>
      <c r="F47" s="91"/>
      <c r="G47" s="96"/>
      <c r="H47" s="97"/>
      <c r="I47" s="91"/>
      <c r="J47" s="93"/>
      <c r="K47" s="98"/>
    </row>
    <row r="48">
      <c r="A48" s="89"/>
      <c r="B48" s="90">
        <v>45.0</v>
      </c>
      <c r="C48" s="96"/>
      <c r="D48" s="97"/>
      <c r="E48" s="97"/>
      <c r="F48" s="91"/>
      <c r="G48" s="96"/>
      <c r="H48" s="96"/>
      <c r="I48" s="91"/>
      <c r="J48" s="93"/>
      <c r="K48" s="98"/>
    </row>
    <row r="49">
      <c r="A49" s="89"/>
      <c r="B49" s="90">
        <v>44.0</v>
      </c>
      <c r="C49" s="96"/>
      <c r="D49" s="97"/>
      <c r="E49" s="97"/>
      <c r="F49" s="91"/>
      <c r="G49" s="96"/>
      <c r="H49" s="96"/>
      <c r="I49" s="91"/>
      <c r="J49" s="93"/>
      <c r="K49" s="98"/>
    </row>
    <row r="50">
      <c r="A50" s="89"/>
      <c r="B50" s="90">
        <v>46.0</v>
      </c>
      <c r="C50" s="96"/>
      <c r="D50" s="97"/>
      <c r="E50" s="97"/>
      <c r="F50" s="91"/>
      <c r="G50" s="96"/>
      <c r="H50" s="96"/>
      <c r="I50" s="91"/>
      <c r="J50" s="93"/>
      <c r="K50" s="98"/>
    </row>
    <row r="51">
      <c r="A51" s="89"/>
      <c r="B51" s="90">
        <v>47.0</v>
      </c>
      <c r="C51" s="96"/>
      <c r="D51" s="97"/>
      <c r="E51" s="97"/>
      <c r="F51" s="91"/>
      <c r="G51" s="96"/>
      <c r="H51" s="96"/>
      <c r="I51" s="91"/>
      <c r="J51" s="93"/>
      <c r="K51" s="98"/>
    </row>
    <row r="52">
      <c r="A52" s="89"/>
      <c r="B52" s="90">
        <v>48.0</v>
      </c>
      <c r="C52" s="96"/>
      <c r="D52" s="97"/>
      <c r="E52" s="97"/>
      <c r="F52" s="91"/>
      <c r="G52" s="96"/>
      <c r="H52" s="96"/>
      <c r="I52" s="91"/>
      <c r="J52" s="93"/>
      <c r="K52" s="98"/>
    </row>
    <row r="53">
      <c r="A53" s="89"/>
      <c r="B53" s="90">
        <v>49.0</v>
      </c>
      <c r="C53" s="96"/>
      <c r="D53" s="97"/>
      <c r="E53" s="97"/>
      <c r="F53" s="91"/>
      <c r="G53" s="96"/>
      <c r="H53" s="96"/>
      <c r="I53" s="91"/>
      <c r="J53" s="93"/>
      <c r="K53" s="98"/>
    </row>
    <row r="54">
      <c r="A54" s="89"/>
      <c r="B54" s="90">
        <v>50.0</v>
      </c>
      <c r="C54" s="96"/>
      <c r="D54" s="97"/>
      <c r="E54" s="97"/>
      <c r="F54" s="91"/>
      <c r="G54" s="96"/>
      <c r="H54" s="96"/>
      <c r="I54" s="91"/>
      <c r="J54" s="93"/>
      <c r="K54" s="98"/>
    </row>
    <row r="55">
      <c r="A55" s="89"/>
      <c r="B55" s="90">
        <v>51.0</v>
      </c>
      <c r="C55" s="96"/>
      <c r="D55" s="97"/>
      <c r="E55" s="97"/>
      <c r="F55" s="91"/>
      <c r="G55" s="96"/>
      <c r="H55" s="96"/>
      <c r="I55" s="91"/>
      <c r="J55" s="93"/>
      <c r="K55" s="98"/>
    </row>
    <row r="56">
      <c r="A56" s="89"/>
      <c r="B56" s="90">
        <v>52.0</v>
      </c>
      <c r="C56" s="96"/>
      <c r="D56" s="97"/>
      <c r="E56" s="97"/>
      <c r="F56" s="91"/>
      <c r="G56" s="96"/>
      <c r="H56" s="96"/>
      <c r="I56" s="91"/>
      <c r="J56" s="93"/>
      <c r="K56" s="98"/>
    </row>
    <row r="57">
      <c r="A57" s="89"/>
      <c r="B57" s="90">
        <v>53.0</v>
      </c>
      <c r="C57" s="96"/>
      <c r="D57" s="97"/>
      <c r="E57" s="97"/>
      <c r="F57" s="91"/>
      <c r="G57" s="96"/>
      <c r="H57" s="96"/>
      <c r="I57" s="91"/>
      <c r="J57" s="93"/>
      <c r="K57" s="98"/>
    </row>
    <row r="58">
      <c r="A58" s="89"/>
      <c r="B58" s="90">
        <v>54.0</v>
      </c>
      <c r="C58" s="96"/>
      <c r="D58" s="97"/>
      <c r="E58" s="97"/>
      <c r="F58" s="91"/>
      <c r="G58" s="96"/>
      <c r="H58" s="96"/>
      <c r="I58" s="91"/>
      <c r="J58" s="93"/>
      <c r="K58" s="98"/>
    </row>
  </sheetData>
  <mergeCells count="7">
    <mergeCell ref="A1:D3"/>
    <mergeCell ref="E1:I3"/>
    <mergeCell ref="J1:K1"/>
    <mergeCell ref="J2:K2"/>
    <mergeCell ref="J3:K3"/>
    <mergeCell ref="A4:I4"/>
    <mergeCell ref="J4:K4"/>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2" width="3.13"/>
    <col customWidth="1" min="3" max="3" width="21.75"/>
    <col customWidth="1" min="4" max="5" width="11.38"/>
    <col customWidth="1" min="6" max="6" width="16.25"/>
    <col customWidth="1" min="7" max="7" width="28.5"/>
    <col customWidth="1" min="8" max="8" width="18.38"/>
    <col customWidth="1" min="9" max="9" width="19.38"/>
    <col customWidth="1" min="10" max="10" width="13.63"/>
    <col customWidth="1" min="11" max="11" width="16.75"/>
    <col customWidth="1" min="12" max="12" width="3.13"/>
  </cols>
  <sheetData>
    <row r="1">
      <c r="A1" s="1"/>
      <c r="B1" s="2"/>
      <c r="C1" s="2"/>
      <c r="D1" s="5"/>
      <c r="E1" s="3" t="s">
        <v>0</v>
      </c>
      <c r="F1" s="2"/>
      <c r="G1" s="2"/>
      <c r="H1" s="2"/>
      <c r="I1" s="2"/>
      <c r="J1" s="4" t="s">
        <v>1</v>
      </c>
      <c r="K1" s="5"/>
      <c r="L1" s="84"/>
    </row>
    <row r="2">
      <c r="A2" s="6"/>
      <c r="D2" s="8"/>
      <c r="E2" s="6"/>
      <c r="J2" s="7" t="s">
        <v>2</v>
      </c>
      <c r="K2" s="8"/>
      <c r="L2" s="84"/>
    </row>
    <row r="3">
      <c r="A3" s="81"/>
      <c r="B3" s="28"/>
      <c r="C3" s="28"/>
      <c r="D3" s="10"/>
      <c r="E3" s="6"/>
      <c r="J3" s="9" t="s">
        <v>3</v>
      </c>
      <c r="K3" s="10"/>
      <c r="L3" s="84"/>
    </row>
    <row r="4" ht="22.5" customHeight="1">
      <c r="A4" s="11" t="s">
        <v>4</v>
      </c>
      <c r="B4" s="12"/>
      <c r="C4" s="12"/>
      <c r="D4" s="12"/>
      <c r="E4" s="12"/>
      <c r="F4" s="12"/>
      <c r="G4" s="12"/>
      <c r="H4" s="12"/>
      <c r="I4" s="13"/>
      <c r="J4" s="82" t="s">
        <v>5</v>
      </c>
      <c r="K4" s="13"/>
      <c r="L4" s="84"/>
    </row>
    <row r="5" ht="22.5" customHeight="1">
      <c r="A5" s="99"/>
      <c r="B5" s="99"/>
      <c r="C5" s="99"/>
      <c r="D5" s="99"/>
      <c r="E5" s="99"/>
      <c r="F5" s="99"/>
      <c r="G5" s="99"/>
      <c r="H5" s="99"/>
      <c r="I5" s="99"/>
      <c r="J5" s="100"/>
      <c r="K5" s="100"/>
      <c r="L5" s="84"/>
    </row>
    <row r="6" ht="23.25" customHeight="1">
      <c r="A6" s="101"/>
      <c r="B6" s="85" t="s">
        <v>65</v>
      </c>
      <c r="C6" s="86" t="s">
        <v>66</v>
      </c>
      <c r="D6" s="87" t="s">
        <v>67</v>
      </c>
      <c r="E6" s="88" t="s">
        <v>68</v>
      </c>
      <c r="F6" s="88" t="s">
        <v>69</v>
      </c>
      <c r="G6" s="87" t="s">
        <v>70</v>
      </c>
      <c r="H6" s="88" t="s">
        <v>71</v>
      </c>
      <c r="I6" s="88" t="s">
        <v>72</v>
      </c>
      <c r="J6" s="88" t="s">
        <v>73</v>
      </c>
      <c r="K6" s="88" t="s">
        <v>74</v>
      </c>
      <c r="L6" s="102"/>
    </row>
    <row r="7">
      <c r="A7" s="83"/>
      <c r="B7" s="90">
        <v>1.0</v>
      </c>
      <c r="C7" s="91"/>
      <c r="D7" s="92"/>
      <c r="E7" s="91"/>
      <c r="F7" s="91"/>
      <c r="G7" s="91"/>
      <c r="H7" s="91"/>
      <c r="I7" s="91"/>
      <c r="J7" s="93"/>
      <c r="K7" s="94"/>
      <c r="L7" s="103"/>
    </row>
    <row r="8">
      <c r="A8" s="83"/>
      <c r="B8" s="90">
        <v>2.0</v>
      </c>
      <c r="C8" s="91"/>
      <c r="D8" s="92"/>
      <c r="E8" s="92"/>
      <c r="F8" s="91"/>
      <c r="G8" s="91"/>
      <c r="H8" s="91"/>
      <c r="I8" s="91"/>
      <c r="J8" s="93"/>
      <c r="K8" s="94"/>
      <c r="L8" s="103"/>
    </row>
    <row r="9">
      <c r="A9" s="83"/>
      <c r="B9" s="90">
        <v>3.0</v>
      </c>
      <c r="C9" s="91"/>
      <c r="D9" s="91"/>
      <c r="E9" s="91"/>
      <c r="F9" s="91"/>
      <c r="G9" s="91"/>
      <c r="H9" s="91"/>
      <c r="I9" s="91"/>
      <c r="J9" s="93"/>
      <c r="K9" s="94"/>
      <c r="L9" s="103"/>
    </row>
    <row r="10">
      <c r="A10" s="83"/>
      <c r="B10" s="90">
        <v>4.0</v>
      </c>
      <c r="C10" s="91"/>
      <c r="D10" s="92"/>
      <c r="E10" s="92"/>
      <c r="F10" s="91"/>
      <c r="G10" s="91"/>
      <c r="H10" s="91"/>
      <c r="I10" s="91"/>
      <c r="J10" s="93"/>
      <c r="K10" s="94"/>
      <c r="L10" s="103"/>
    </row>
    <row r="11">
      <c r="A11" s="83"/>
      <c r="B11" s="90">
        <v>5.0</v>
      </c>
      <c r="C11" s="91"/>
      <c r="D11" s="92"/>
      <c r="E11" s="91"/>
      <c r="F11" s="91"/>
      <c r="G11" s="91"/>
      <c r="H11" s="91"/>
      <c r="I11" s="91"/>
      <c r="J11" s="93"/>
      <c r="K11" s="94"/>
      <c r="L11" s="103"/>
    </row>
    <row r="12">
      <c r="A12" s="83"/>
      <c r="B12" s="90">
        <v>6.0</v>
      </c>
      <c r="C12" s="91"/>
      <c r="D12" s="92"/>
      <c r="E12" s="91"/>
      <c r="F12" s="91"/>
      <c r="G12" s="91"/>
      <c r="H12" s="91"/>
      <c r="I12" s="91"/>
      <c r="J12" s="93"/>
      <c r="K12" s="94"/>
      <c r="L12" s="103"/>
    </row>
    <row r="13">
      <c r="A13" s="83"/>
      <c r="B13" s="90">
        <v>7.0</v>
      </c>
      <c r="C13" s="91"/>
      <c r="D13" s="92"/>
      <c r="E13" s="91"/>
      <c r="F13" s="91"/>
      <c r="G13" s="91"/>
      <c r="H13" s="91"/>
      <c r="I13" s="91"/>
      <c r="J13" s="93"/>
      <c r="K13" s="94"/>
      <c r="L13" s="103"/>
    </row>
    <row r="14">
      <c r="A14" s="83"/>
      <c r="B14" s="90">
        <v>8.0</v>
      </c>
      <c r="C14" s="91"/>
      <c r="D14" s="92"/>
      <c r="E14" s="92"/>
      <c r="F14" s="91"/>
      <c r="G14" s="91"/>
      <c r="H14" s="91"/>
      <c r="I14" s="91"/>
      <c r="J14" s="93"/>
      <c r="K14" s="94"/>
      <c r="L14" s="103"/>
    </row>
    <row r="15">
      <c r="A15" s="83"/>
      <c r="B15" s="90">
        <v>9.0</v>
      </c>
      <c r="C15" s="91"/>
      <c r="D15" s="92"/>
      <c r="E15" s="91"/>
      <c r="F15" s="91"/>
      <c r="G15" s="91"/>
      <c r="H15" s="91"/>
      <c r="I15" s="91"/>
      <c r="J15" s="93"/>
      <c r="K15" s="94"/>
      <c r="L15" s="103"/>
    </row>
    <row r="16">
      <c r="A16" s="83"/>
      <c r="B16" s="90">
        <v>10.0</v>
      </c>
      <c r="C16" s="91"/>
      <c r="D16" s="92"/>
      <c r="E16" s="91"/>
      <c r="F16" s="91"/>
      <c r="G16" s="91"/>
      <c r="H16" s="91"/>
      <c r="I16" s="91"/>
      <c r="J16" s="93"/>
      <c r="K16" s="94"/>
      <c r="L16" s="103"/>
    </row>
    <row r="17">
      <c r="A17" s="83"/>
      <c r="B17" s="90">
        <v>11.0</v>
      </c>
      <c r="C17" s="91"/>
      <c r="D17" s="92"/>
      <c r="E17" s="91"/>
      <c r="F17" s="91"/>
      <c r="G17" s="91"/>
      <c r="H17" s="91"/>
      <c r="I17" s="91"/>
      <c r="J17" s="93"/>
      <c r="K17" s="94"/>
      <c r="L17" s="103"/>
    </row>
    <row r="18">
      <c r="A18" s="83"/>
      <c r="B18" s="90">
        <v>12.0</v>
      </c>
      <c r="C18" s="91"/>
      <c r="D18" s="92"/>
      <c r="E18" s="92"/>
      <c r="F18" s="91"/>
      <c r="G18" s="91"/>
      <c r="H18" s="91"/>
      <c r="I18" s="91"/>
      <c r="J18" s="93"/>
      <c r="K18" s="94"/>
      <c r="L18" s="103"/>
    </row>
    <row r="19">
      <c r="A19" s="83"/>
      <c r="B19" s="90">
        <v>13.0</v>
      </c>
      <c r="C19" s="91"/>
      <c r="D19" s="92"/>
      <c r="E19" s="92"/>
      <c r="F19" s="91"/>
      <c r="G19" s="91"/>
      <c r="H19" s="91"/>
      <c r="I19" s="91"/>
      <c r="J19" s="93"/>
      <c r="K19" s="94"/>
      <c r="L19" s="103"/>
    </row>
    <row r="20">
      <c r="A20" s="84"/>
      <c r="B20" s="90">
        <v>14.0</v>
      </c>
      <c r="C20" s="91"/>
      <c r="D20" s="92"/>
      <c r="E20" s="91"/>
      <c r="F20" s="91"/>
      <c r="G20" s="91"/>
      <c r="H20" s="91"/>
      <c r="I20" s="91"/>
      <c r="J20" s="93"/>
      <c r="K20" s="94"/>
      <c r="L20" s="103"/>
    </row>
    <row r="21">
      <c r="A21" s="84"/>
      <c r="B21" s="90">
        <v>15.0</v>
      </c>
      <c r="C21" s="91"/>
      <c r="D21" s="92"/>
      <c r="E21" s="91"/>
      <c r="F21" s="91"/>
      <c r="G21" s="91"/>
      <c r="H21" s="91"/>
      <c r="I21" s="91"/>
      <c r="J21" s="93"/>
      <c r="K21" s="94"/>
      <c r="L21" s="103"/>
    </row>
    <row r="22">
      <c r="A22" s="84"/>
      <c r="B22" s="90">
        <v>16.0</v>
      </c>
      <c r="C22" s="91"/>
      <c r="D22" s="92"/>
      <c r="E22" s="91"/>
      <c r="F22" s="91"/>
      <c r="G22" s="91"/>
      <c r="H22" s="91"/>
      <c r="I22" s="91"/>
      <c r="J22" s="93"/>
      <c r="K22" s="94"/>
      <c r="L22" s="103"/>
    </row>
    <row r="23">
      <c r="A23" s="84"/>
      <c r="B23" s="90">
        <v>17.0</v>
      </c>
      <c r="C23" s="91"/>
      <c r="D23" s="92"/>
      <c r="E23" s="91"/>
      <c r="F23" s="91"/>
      <c r="G23" s="91"/>
      <c r="H23" s="91"/>
      <c r="I23" s="91"/>
      <c r="J23" s="93"/>
      <c r="K23" s="94"/>
      <c r="L23" s="103"/>
    </row>
    <row r="24">
      <c r="A24" s="84"/>
      <c r="B24" s="90">
        <v>18.0</v>
      </c>
      <c r="C24" s="91"/>
      <c r="D24" s="92"/>
      <c r="E24" s="95"/>
      <c r="F24" s="91"/>
      <c r="G24" s="91"/>
      <c r="H24" s="91"/>
      <c r="I24" s="91"/>
      <c r="J24" s="93"/>
      <c r="K24" s="94"/>
      <c r="L24" s="103"/>
    </row>
    <row r="25">
      <c r="A25" s="84"/>
      <c r="B25" s="90">
        <v>19.0</v>
      </c>
      <c r="C25" s="91"/>
      <c r="D25" s="92"/>
      <c r="E25" s="91"/>
      <c r="F25" s="91"/>
      <c r="G25" s="91"/>
      <c r="H25" s="91"/>
      <c r="I25" s="91"/>
      <c r="J25" s="93"/>
      <c r="K25" s="94"/>
      <c r="L25" s="103"/>
    </row>
    <row r="26">
      <c r="A26" s="84"/>
      <c r="B26" s="90">
        <v>20.0</v>
      </c>
      <c r="C26" s="91"/>
      <c r="D26" s="92"/>
      <c r="E26" s="91"/>
      <c r="F26" s="91"/>
      <c r="G26" s="91"/>
      <c r="H26" s="91"/>
      <c r="I26" s="91"/>
      <c r="J26" s="93"/>
      <c r="K26" s="94"/>
      <c r="L26" s="103"/>
    </row>
    <row r="27">
      <c r="A27" s="84"/>
      <c r="B27" s="90">
        <v>21.0</v>
      </c>
      <c r="C27" s="91"/>
      <c r="D27" s="92"/>
      <c r="E27" s="91"/>
      <c r="F27" s="91"/>
      <c r="G27" s="91"/>
      <c r="H27" s="91"/>
      <c r="I27" s="91"/>
      <c r="J27" s="93"/>
      <c r="K27" s="94"/>
      <c r="L27" s="103"/>
    </row>
    <row r="28">
      <c r="A28" s="84"/>
      <c r="B28" s="90">
        <v>22.0</v>
      </c>
      <c r="C28" s="91"/>
      <c r="D28" s="92"/>
      <c r="E28" s="91"/>
      <c r="F28" s="91"/>
      <c r="G28" s="91"/>
      <c r="H28" s="91"/>
      <c r="I28" s="91"/>
      <c r="J28" s="93"/>
      <c r="K28" s="94"/>
      <c r="L28" s="103"/>
    </row>
    <row r="29">
      <c r="A29" s="84"/>
      <c r="B29" s="90">
        <v>23.0</v>
      </c>
      <c r="C29" s="91"/>
      <c r="D29" s="92"/>
      <c r="E29" s="91"/>
      <c r="F29" s="91"/>
      <c r="G29" s="91"/>
      <c r="H29" s="91"/>
      <c r="I29" s="91"/>
      <c r="J29" s="93"/>
      <c r="K29" s="94"/>
      <c r="L29" s="103"/>
    </row>
    <row r="30">
      <c r="A30" s="84"/>
      <c r="B30" s="90">
        <v>24.0</v>
      </c>
      <c r="C30" s="91"/>
      <c r="D30" s="92"/>
      <c r="E30" s="91"/>
      <c r="F30" s="91"/>
      <c r="G30" s="91"/>
      <c r="H30" s="91"/>
      <c r="I30" s="91"/>
      <c r="J30" s="93"/>
      <c r="K30" s="94"/>
      <c r="L30" s="103"/>
    </row>
    <row r="31">
      <c r="A31" s="84"/>
      <c r="B31" s="90">
        <v>25.0</v>
      </c>
      <c r="C31" s="91"/>
      <c r="D31" s="92"/>
      <c r="E31" s="91"/>
      <c r="F31" s="91"/>
      <c r="G31" s="91"/>
      <c r="H31" s="91"/>
      <c r="I31" s="91"/>
      <c r="J31" s="93"/>
      <c r="K31" s="94"/>
      <c r="L31" s="103"/>
    </row>
    <row r="32">
      <c r="A32" s="84"/>
      <c r="B32" s="90">
        <v>26.0</v>
      </c>
      <c r="C32" s="91"/>
      <c r="D32" s="92"/>
      <c r="E32" s="91"/>
      <c r="F32" s="91"/>
      <c r="G32" s="91"/>
      <c r="H32" s="91"/>
      <c r="I32" s="91"/>
      <c r="J32" s="93"/>
      <c r="K32" s="94"/>
      <c r="L32" s="103"/>
    </row>
    <row r="33">
      <c r="A33" s="84"/>
      <c r="B33" s="90">
        <v>27.0</v>
      </c>
      <c r="C33" s="91"/>
      <c r="D33" s="92"/>
      <c r="E33" s="91"/>
      <c r="F33" s="91"/>
      <c r="G33" s="91"/>
      <c r="H33" s="91"/>
      <c r="I33" s="91"/>
      <c r="J33" s="93"/>
      <c r="K33" s="94"/>
      <c r="L33" s="103"/>
    </row>
    <row r="34">
      <c r="A34" s="84"/>
      <c r="B34" s="90">
        <v>30.0</v>
      </c>
      <c r="C34" s="91"/>
      <c r="D34" s="92"/>
      <c r="E34" s="91"/>
      <c r="F34" s="91"/>
      <c r="G34" s="91"/>
      <c r="H34" s="91"/>
      <c r="I34" s="91"/>
      <c r="J34" s="93"/>
      <c r="K34" s="94"/>
      <c r="L34" s="103"/>
    </row>
    <row r="35">
      <c r="A35" s="84"/>
      <c r="B35" s="90">
        <v>31.0</v>
      </c>
      <c r="C35" s="91"/>
      <c r="D35" s="92"/>
      <c r="E35" s="91"/>
      <c r="F35" s="91"/>
      <c r="G35" s="91"/>
      <c r="H35" s="91"/>
      <c r="I35" s="91"/>
      <c r="J35" s="93"/>
      <c r="K35" s="94"/>
      <c r="L35" s="103"/>
    </row>
    <row r="36">
      <c r="A36" s="84"/>
      <c r="B36" s="90">
        <v>32.0</v>
      </c>
      <c r="C36" s="91"/>
      <c r="D36" s="91"/>
      <c r="E36" s="91"/>
      <c r="F36" s="91"/>
      <c r="G36" s="91"/>
      <c r="H36" s="91"/>
      <c r="I36" s="91"/>
      <c r="J36" s="93"/>
      <c r="K36" s="94"/>
      <c r="L36" s="103"/>
    </row>
    <row r="37">
      <c r="A37" s="84"/>
      <c r="B37" s="90">
        <v>33.0</v>
      </c>
      <c r="C37" s="91"/>
      <c r="D37" s="91"/>
      <c r="E37" s="91"/>
      <c r="F37" s="91"/>
      <c r="G37" s="91"/>
      <c r="H37" s="91"/>
      <c r="I37" s="91"/>
      <c r="J37" s="93"/>
      <c r="K37" s="94"/>
      <c r="L37" s="103"/>
    </row>
    <row r="38">
      <c r="A38" s="84"/>
      <c r="B38" s="90">
        <v>34.0</v>
      </c>
      <c r="C38" s="91"/>
      <c r="D38" s="91"/>
      <c r="E38" s="91"/>
      <c r="F38" s="91"/>
      <c r="G38" s="91"/>
      <c r="H38" s="91"/>
      <c r="I38" s="91"/>
      <c r="J38" s="93"/>
      <c r="K38" s="94"/>
      <c r="L38" s="103"/>
    </row>
    <row r="39">
      <c r="A39" s="84"/>
      <c r="B39" s="90">
        <v>35.0</v>
      </c>
      <c r="C39" s="91"/>
      <c r="D39" s="91"/>
      <c r="E39" s="91"/>
      <c r="F39" s="91"/>
      <c r="G39" s="91"/>
      <c r="H39" s="91"/>
      <c r="I39" s="91"/>
      <c r="J39" s="93"/>
      <c r="K39" s="94"/>
      <c r="L39" s="103"/>
    </row>
    <row r="40">
      <c r="A40" s="84"/>
      <c r="B40" s="90">
        <v>36.0</v>
      </c>
      <c r="C40" s="91"/>
      <c r="D40" s="91"/>
      <c r="E40" s="91"/>
      <c r="F40" s="91"/>
      <c r="G40" s="91"/>
      <c r="H40" s="91"/>
      <c r="I40" s="91"/>
      <c r="J40" s="93"/>
      <c r="K40" s="94"/>
      <c r="L40" s="103"/>
    </row>
    <row r="41">
      <c r="A41" s="84"/>
      <c r="B41" s="90">
        <v>37.0</v>
      </c>
      <c r="C41" s="91"/>
      <c r="D41" s="91"/>
      <c r="E41" s="91"/>
      <c r="F41" s="91"/>
      <c r="G41" s="91"/>
      <c r="H41" s="91"/>
      <c r="I41" s="91"/>
      <c r="J41" s="93"/>
      <c r="K41" s="94"/>
      <c r="L41" s="103"/>
    </row>
    <row r="42">
      <c r="A42" s="84"/>
      <c r="B42" s="90">
        <v>38.0</v>
      </c>
      <c r="C42" s="91"/>
      <c r="D42" s="91"/>
      <c r="E42" s="91"/>
      <c r="F42" s="91"/>
      <c r="G42" s="91"/>
      <c r="H42" s="91"/>
      <c r="I42" s="91"/>
      <c r="J42" s="93"/>
      <c r="K42" s="94"/>
      <c r="L42" s="103"/>
    </row>
    <row r="43">
      <c r="A43" s="84"/>
      <c r="B43" s="90">
        <v>39.0</v>
      </c>
      <c r="C43" s="91"/>
      <c r="D43" s="91"/>
      <c r="E43" s="91"/>
      <c r="F43" s="91"/>
      <c r="G43" s="91"/>
      <c r="H43" s="91"/>
      <c r="I43" s="91"/>
      <c r="J43" s="93"/>
      <c r="K43" s="94"/>
      <c r="L43" s="103"/>
    </row>
    <row r="44">
      <c r="A44" s="84"/>
      <c r="B44" s="90">
        <v>40.0</v>
      </c>
      <c r="C44" s="96"/>
      <c r="D44" s="91"/>
      <c r="E44" s="91"/>
      <c r="F44" s="91"/>
      <c r="G44" s="91"/>
      <c r="H44" s="91"/>
      <c r="I44" s="91"/>
      <c r="J44" s="93"/>
      <c r="K44" s="94"/>
      <c r="L44" s="103"/>
    </row>
    <row r="45">
      <c r="A45" s="84"/>
      <c r="B45" s="90">
        <v>41.0</v>
      </c>
      <c r="C45" s="91"/>
      <c r="D45" s="91"/>
      <c r="E45" s="91"/>
      <c r="F45" s="91"/>
      <c r="G45" s="91"/>
      <c r="H45" s="91"/>
      <c r="I45" s="91"/>
      <c r="J45" s="93"/>
      <c r="K45" s="94"/>
      <c r="L45" s="103"/>
    </row>
    <row r="46">
      <c r="A46" s="104"/>
      <c r="B46" s="90">
        <v>42.0</v>
      </c>
      <c r="C46" s="96"/>
      <c r="D46" s="97"/>
      <c r="E46" s="97"/>
      <c r="F46" s="91"/>
      <c r="G46" s="96"/>
      <c r="H46" s="97"/>
      <c r="I46" s="91"/>
      <c r="J46" s="93"/>
      <c r="K46" s="98"/>
      <c r="L46" s="105"/>
    </row>
    <row r="47">
      <c r="A47" s="84"/>
      <c r="B47" s="90">
        <v>43.0</v>
      </c>
      <c r="C47" s="96"/>
      <c r="D47" s="97"/>
      <c r="E47" s="97"/>
      <c r="F47" s="91"/>
      <c r="G47" s="96"/>
      <c r="H47" s="97"/>
      <c r="I47" s="91"/>
      <c r="J47" s="93"/>
      <c r="K47" s="98"/>
      <c r="L47" s="105"/>
    </row>
    <row r="48">
      <c r="A48" s="84"/>
      <c r="B48" s="90">
        <v>45.0</v>
      </c>
      <c r="C48" s="96"/>
      <c r="D48" s="97"/>
      <c r="E48" s="97"/>
      <c r="F48" s="91"/>
      <c r="G48" s="96"/>
      <c r="H48" s="96"/>
      <c r="I48" s="91"/>
      <c r="J48" s="93"/>
      <c r="K48" s="98"/>
      <c r="L48" s="105"/>
    </row>
    <row r="49">
      <c r="A49" s="84"/>
      <c r="B49" s="90">
        <v>44.0</v>
      </c>
      <c r="C49" s="96"/>
      <c r="D49" s="97"/>
      <c r="E49" s="97"/>
      <c r="F49" s="91"/>
      <c r="G49" s="96"/>
      <c r="H49" s="96"/>
      <c r="I49" s="91"/>
      <c r="J49" s="93"/>
      <c r="K49" s="98"/>
      <c r="L49" s="105"/>
    </row>
    <row r="50">
      <c r="A50" s="84"/>
      <c r="B50" s="90">
        <v>46.0</v>
      </c>
      <c r="C50" s="96"/>
      <c r="D50" s="97"/>
      <c r="E50" s="97"/>
      <c r="F50" s="91"/>
      <c r="G50" s="96"/>
      <c r="H50" s="96"/>
      <c r="I50" s="91"/>
      <c r="J50" s="93"/>
      <c r="K50" s="98"/>
      <c r="L50" s="105"/>
    </row>
    <row r="51">
      <c r="A51" s="84"/>
      <c r="B51" s="90">
        <v>47.0</v>
      </c>
      <c r="C51" s="96"/>
      <c r="D51" s="97"/>
      <c r="E51" s="97"/>
      <c r="F51" s="91"/>
      <c r="G51" s="96"/>
      <c r="H51" s="96"/>
      <c r="I51" s="91"/>
      <c r="J51" s="93"/>
      <c r="K51" s="98"/>
      <c r="L51" s="105"/>
    </row>
    <row r="52">
      <c r="A52" s="84"/>
      <c r="B52" s="90">
        <v>48.0</v>
      </c>
      <c r="C52" s="96"/>
      <c r="D52" s="97"/>
      <c r="E52" s="97"/>
      <c r="F52" s="91"/>
      <c r="G52" s="96"/>
      <c r="H52" s="96"/>
      <c r="I52" s="91"/>
      <c r="J52" s="93"/>
      <c r="K52" s="98"/>
      <c r="L52" s="105"/>
    </row>
    <row r="53">
      <c r="A53" s="84"/>
      <c r="B53" s="90">
        <v>49.0</v>
      </c>
      <c r="C53" s="96"/>
      <c r="D53" s="97"/>
      <c r="E53" s="97"/>
      <c r="F53" s="91"/>
      <c r="G53" s="96"/>
      <c r="H53" s="96"/>
      <c r="I53" s="91"/>
      <c r="J53" s="93"/>
      <c r="K53" s="98"/>
      <c r="L53" s="105"/>
    </row>
    <row r="54">
      <c r="A54" s="84"/>
      <c r="B54" s="90">
        <v>50.0</v>
      </c>
      <c r="C54" s="96"/>
      <c r="D54" s="97"/>
      <c r="E54" s="97"/>
      <c r="F54" s="91"/>
      <c r="G54" s="96"/>
      <c r="H54" s="96"/>
      <c r="I54" s="91"/>
      <c r="J54" s="93"/>
      <c r="K54" s="98"/>
      <c r="L54" s="105"/>
    </row>
    <row r="55">
      <c r="A55" s="84"/>
      <c r="B55" s="90">
        <v>51.0</v>
      </c>
      <c r="C55" s="96"/>
      <c r="D55" s="97"/>
      <c r="E55" s="97"/>
      <c r="F55" s="91"/>
      <c r="G55" s="96"/>
      <c r="H55" s="96"/>
      <c r="I55" s="91"/>
      <c r="J55" s="93"/>
      <c r="K55" s="98"/>
      <c r="L55" s="105"/>
    </row>
    <row r="56">
      <c r="A56" s="84"/>
      <c r="B56" s="90">
        <v>52.0</v>
      </c>
      <c r="C56" s="96"/>
      <c r="D56" s="97"/>
      <c r="E56" s="97"/>
      <c r="F56" s="91"/>
      <c r="G56" s="96"/>
      <c r="H56" s="96"/>
      <c r="I56" s="91"/>
      <c r="J56" s="93"/>
      <c r="K56" s="98"/>
      <c r="L56" s="105"/>
    </row>
    <row r="57">
      <c r="A57" s="84"/>
      <c r="B57" s="90">
        <v>53.0</v>
      </c>
      <c r="C57" s="96"/>
      <c r="D57" s="97"/>
      <c r="E57" s="97"/>
      <c r="F57" s="91"/>
      <c r="G57" s="96"/>
      <c r="H57" s="96"/>
      <c r="I57" s="91"/>
      <c r="J57" s="93"/>
      <c r="K57" s="98"/>
      <c r="L57" s="105"/>
    </row>
    <row r="58">
      <c r="A58" s="84"/>
      <c r="B58" s="90">
        <v>54.0</v>
      </c>
      <c r="C58" s="96"/>
      <c r="D58" s="97"/>
      <c r="E58" s="97"/>
      <c r="F58" s="91"/>
      <c r="G58" s="96"/>
      <c r="H58" s="96"/>
      <c r="I58" s="91"/>
      <c r="J58" s="93"/>
      <c r="K58" s="98"/>
      <c r="L58" s="105"/>
    </row>
  </sheetData>
  <mergeCells count="7">
    <mergeCell ref="A1:D3"/>
    <mergeCell ref="E1:I3"/>
    <mergeCell ref="J1:K1"/>
    <mergeCell ref="J2:K2"/>
    <mergeCell ref="J3:K3"/>
    <mergeCell ref="A4:I4"/>
    <mergeCell ref="J4:K4"/>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2" width="3.13"/>
    <col customWidth="1" min="3" max="3" width="21.75"/>
    <col customWidth="1" min="4" max="5" width="11.38"/>
    <col customWidth="1" min="6" max="6" width="16.25"/>
    <col customWidth="1" min="7" max="7" width="28.5"/>
    <col customWidth="1" min="8" max="8" width="18.38"/>
    <col customWidth="1" hidden="1" min="9" max="9" width="11.63"/>
    <col customWidth="1" min="10" max="10" width="13.63"/>
    <col customWidth="1" min="11" max="11" width="20.0"/>
    <col customWidth="1" min="12" max="12" width="3.13"/>
  </cols>
  <sheetData>
    <row r="1">
      <c r="A1" s="1"/>
      <c r="B1" s="2"/>
      <c r="C1" s="2"/>
      <c r="D1" s="5"/>
      <c r="E1" s="3" t="s">
        <v>0</v>
      </c>
      <c r="F1" s="2"/>
      <c r="G1" s="2"/>
      <c r="H1" s="2"/>
      <c r="I1" s="2"/>
      <c r="J1" s="4" t="s">
        <v>1</v>
      </c>
      <c r="K1" s="5"/>
      <c r="L1" s="84"/>
    </row>
    <row r="2">
      <c r="A2" s="6"/>
      <c r="D2" s="8"/>
      <c r="E2" s="6"/>
      <c r="J2" s="7" t="s">
        <v>2</v>
      </c>
      <c r="K2" s="8"/>
      <c r="L2" s="84"/>
    </row>
    <row r="3">
      <c r="A3" s="81"/>
      <c r="B3" s="28"/>
      <c r="C3" s="28"/>
      <c r="D3" s="10"/>
      <c r="E3" s="6"/>
      <c r="J3" s="9" t="s">
        <v>3</v>
      </c>
      <c r="K3" s="10"/>
      <c r="L3" s="84"/>
    </row>
    <row r="4" ht="22.5" customHeight="1">
      <c r="A4" s="11" t="s">
        <v>4</v>
      </c>
      <c r="B4" s="12"/>
      <c r="C4" s="12"/>
      <c r="D4" s="12"/>
      <c r="E4" s="12"/>
      <c r="F4" s="12"/>
      <c r="G4" s="12"/>
      <c r="H4" s="12"/>
      <c r="I4" s="13"/>
      <c r="J4" s="82" t="s">
        <v>5</v>
      </c>
      <c r="K4" s="13"/>
      <c r="L4" s="84"/>
    </row>
    <row r="5" ht="22.5" customHeight="1">
      <c r="A5" s="99"/>
      <c r="B5" s="99"/>
      <c r="C5" s="99"/>
      <c r="D5" s="99"/>
      <c r="E5" s="99"/>
      <c r="F5" s="99"/>
      <c r="G5" s="99"/>
      <c r="H5" s="99"/>
      <c r="I5" s="99"/>
      <c r="J5" s="100"/>
      <c r="K5" s="100"/>
      <c r="L5" s="84"/>
    </row>
    <row r="6" ht="23.25" customHeight="1">
      <c r="A6" s="101"/>
      <c r="B6" s="85" t="s">
        <v>65</v>
      </c>
      <c r="C6" s="86" t="s">
        <v>66</v>
      </c>
      <c r="D6" s="87" t="s">
        <v>67</v>
      </c>
      <c r="E6" s="88" t="s">
        <v>68</v>
      </c>
      <c r="F6" s="88" t="s">
        <v>69</v>
      </c>
      <c r="G6" s="87" t="s">
        <v>70</v>
      </c>
      <c r="H6" s="88" t="s">
        <v>71</v>
      </c>
      <c r="I6" s="88" t="s">
        <v>72</v>
      </c>
      <c r="J6" s="88" t="s">
        <v>73</v>
      </c>
      <c r="K6" s="88" t="s">
        <v>74</v>
      </c>
      <c r="L6" s="102"/>
    </row>
    <row r="7">
      <c r="A7" s="83"/>
      <c r="B7" s="106">
        <v>1.0</v>
      </c>
      <c r="C7" s="107"/>
      <c r="D7" s="108"/>
      <c r="E7" s="107"/>
      <c r="F7" s="107"/>
      <c r="G7" s="107"/>
      <c r="H7" s="107"/>
      <c r="I7" s="107"/>
      <c r="J7" s="109"/>
      <c r="K7" s="110"/>
      <c r="L7" s="103"/>
    </row>
    <row r="8">
      <c r="A8" s="83"/>
      <c r="B8" s="106">
        <v>2.0</v>
      </c>
      <c r="C8" s="107"/>
      <c r="D8" s="108"/>
      <c r="E8" s="108"/>
      <c r="F8" s="107"/>
      <c r="G8" s="107"/>
      <c r="H8" s="107"/>
      <c r="I8" s="107"/>
      <c r="J8" s="109"/>
      <c r="K8" s="110"/>
      <c r="L8" s="103"/>
    </row>
    <row r="9">
      <c r="A9" s="83"/>
      <c r="B9" s="106">
        <v>3.0</v>
      </c>
      <c r="C9" s="107"/>
      <c r="D9" s="107"/>
      <c r="E9" s="107"/>
      <c r="F9" s="107"/>
      <c r="G9" s="107"/>
      <c r="H9" s="107"/>
      <c r="I9" s="107"/>
      <c r="J9" s="109"/>
      <c r="K9" s="110"/>
      <c r="L9" s="103"/>
    </row>
    <row r="10">
      <c r="A10" s="83"/>
      <c r="B10" s="106">
        <v>4.0</v>
      </c>
      <c r="C10" s="107"/>
      <c r="D10" s="108"/>
      <c r="E10" s="108"/>
      <c r="F10" s="107"/>
      <c r="G10" s="107"/>
      <c r="H10" s="107"/>
      <c r="I10" s="107"/>
      <c r="J10" s="109"/>
      <c r="K10" s="110"/>
      <c r="L10" s="103"/>
    </row>
    <row r="11">
      <c r="A11" s="83"/>
      <c r="B11" s="106">
        <v>5.0</v>
      </c>
      <c r="C11" s="107"/>
      <c r="D11" s="108"/>
      <c r="E11" s="107"/>
      <c r="F11" s="107"/>
      <c r="G11" s="107"/>
      <c r="H11" s="107"/>
      <c r="I11" s="107"/>
      <c r="J11" s="109"/>
      <c r="K11" s="110"/>
      <c r="L11" s="103"/>
    </row>
    <row r="12">
      <c r="A12" s="83"/>
      <c r="B12" s="106">
        <v>6.0</v>
      </c>
      <c r="C12" s="107"/>
      <c r="D12" s="108"/>
      <c r="E12" s="107"/>
      <c r="F12" s="107"/>
      <c r="G12" s="107"/>
      <c r="H12" s="107"/>
      <c r="I12" s="107"/>
      <c r="J12" s="109"/>
      <c r="K12" s="110"/>
      <c r="L12" s="103"/>
    </row>
    <row r="13">
      <c r="A13" s="83"/>
      <c r="B13" s="106">
        <v>7.0</v>
      </c>
      <c r="C13" s="107"/>
      <c r="D13" s="108"/>
      <c r="E13" s="107"/>
      <c r="F13" s="107"/>
      <c r="G13" s="107"/>
      <c r="H13" s="107"/>
      <c r="I13" s="107"/>
      <c r="J13" s="109"/>
      <c r="K13" s="110"/>
      <c r="L13" s="103"/>
    </row>
    <row r="14">
      <c r="A14" s="83"/>
      <c r="B14" s="106">
        <v>8.0</v>
      </c>
      <c r="C14" s="107"/>
      <c r="D14" s="108"/>
      <c r="E14" s="108"/>
      <c r="F14" s="107"/>
      <c r="G14" s="107"/>
      <c r="H14" s="107"/>
      <c r="I14" s="107"/>
      <c r="J14" s="109"/>
      <c r="K14" s="110"/>
      <c r="L14" s="103"/>
    </row>
    <row r="15">
      <c r="A15" s="83"/>
      <c r="B15" s="106">
        <v>9.0</v>
      </c>
      <c r="C15" s="107"/>
      <c r="D15" s="108"/>
      <c r="E15" s="107"/>
      <c r="F15" s="107"/>
      <c r="G15" s="107"/>
      <c r="H15" s="107"/>
      <c r="I15" s="107"/>
      <c r="J15" s="109"/>
      <c r="K15" s="110"/>
      <c r="L15" s="103"/>
    </row>
    <row r="16">
      <c r="A16" s="83"/>
      <c r="B16" s="106">
        <v>10.0</v>
      </c>
      <c r="C16" s="107"/>
      <c r="D16" s="108"/>
      <c r="E16" s="107"/>
      <c r="F16" s="107"/>
      <c r="G16" s="107"/>
      <c r="H16" s="107"/>
      <c r="I16" s="107"/>
      <c r="J16" s="109"/>
      <c r="K16" s="110"/>
      <c r="L16" s="103"/>
    </row>
    <row r="17">
      <c r="A17" s="83"/>
      <c r="B17" s="106">
        <v>11.0</v>
      </c>
      <c r="C17" s="107"/>
      <c r="D17" s="108"/>
      <c r="E17" s="107"/>
      <c r="F17" s="107"/>
      <c r="G17" s="107"/>
      <c r="H17" s="107"/>
      <c r="I17" s="107"/>
      <c r="J17" s="109"/>
      <c r="K17" s="110"/>
      <c r="L17" s="103"/>
    </row>
    <row r="18">
      <c r="A18" s="83"/>
      <c r="B18" s="106">
        <v>12.0</v>
      </c>
      <c r="C18" s="107"/>
      <c r="D18" s="108"/>
      <c r="E18" s="108"/>
      <c r="F18" s="107"/>
      <c r="G18" s="107"/>
      <c r="H18" s="107"/>
      <c r="I18" s="107"/>
      <c r="J18" s="109"/>
      <c r="K18" s="110"/>
      <c r="L18" s="103"/>
    </row>
    <row r="19">
      <c r="A19" s="83"/>
      <c r="B19" s="106">
        <v>13.0</v>
      </c>
      <c r="C19" s="107"/>
      <c r="D19" s="108"/>
      <c r="E19" s="108"/>
      <c r="F19" s="107"/>
      <c r="G19" s="107"/>
      <c r="H19" s="107"/>
      <c r="I19" s="107"/>
      <c r="J19" s="109"/>
      <c r="K19" s="110"/>
      <c r="L19" s="103"/>
    </row>
    <row r="20">
      <c r="A20" s="84"/>
      <c r="B20" s="106">
        <v>14.0</v>
      </c>
      <c r="C20" s="107"/>
      <c r="D20" s="108"/>
      <c r="E20" s="107"/>
      <c r="F20" s="107"/>
      <c r="G20" s="107"/>
      <c r="H20" s="107"/>
      <c r="I20" s="107"/>
      <c r="J20" s="109"/>
      <c r="K20" s="110"/>
      <c r="L20" s="103"/>
    </row>
    <row r="21">
      <c r="A21" s="84"/>
      <c r="B21" s="106">
        <v>15.0</v>
      </c>
      <c r="C21" s="107"/>
      <c r="D21" s="108"/>
      <c r="E21" s="107"/>
      <c r="F21" s="107"/>
      <c r="G21" s="107"/>
      <c r="H21" s="107"/>
      <c r="I21" s="107"/>
      <c r="J21" s="109"/>
      <c r="K21" s="110"/>
      <c r="L21" s="103"/>
    </row>
    <row r="22">
      <c r="A22" s="84"/>
      <c r="B22" s="106">
        <v>16.0</v>
      </c>
      <c r="C22" s="107"/>
      <c r="D22" s="108"/>
      <c r="E22" s="107"/>
      <c r="F22" s="107"/>
      <c r="G22" s="107"/>
      <c r="H22" s="107"/>
      <c r="I22" s="107"/>
      <c r="J22" s="109"/>
      <c r="K22" s="110"/>
      <c r="L22" s="103"/>
    </row>
    <row r="23">
      <c r="A23" s="84"/>
      <c r="B23" s="106">
        <v>17.0</v>
      </c>
      <c r="C23" s="107"/>
      <c r="D23" s="108"/>
      <c r="E23" s="107"/>
      <c r="F23" s="107"/>
      <c r="G23" s="107"/>
      <c r="H23" s="107"/>
      <c r="I23" s="107"/>
      <c r="J23" s="109"/>
      <c r="K23" s="110"/>
      <c r="L23" s="103"/>
    </row>
    <row r="24">
      <c r="A24" s="84"/>
      <c r="B24" s="106">
        <v>18.0</v>
      </c>
      <c r="C24" s="107"/>
      <c r="D24" s="108"/>
      <c r="E24" s="95"/>
      <c r="F24" s="107"/>
      <c r="G24" s="107"/>
      <c r="H24" s="107"/>
      <c r="I24" s="107"/>
      <c r="J24" s="109"/>
      <c r="K24" s="110"/>
      <c r="L24" s="103"/>
    </row>
    <row r="25">
      <c r="A25" s="84"/>
      <c r="B25" s="106">
        <v>19.0</v>
      </c>
      <c r="C25" s="107"/>
      <c r="D25" s="108"/>
      <c r="E25" s="107"/>
      <c r="F25" s="107"/>
      <c r="G25" s="107"/>
      <c r="H25" s="107"/>
      <c r="I25" s="107"/>
      <c r="J25" s="109"/>
      <c r="K25" s="110"/>
      <c r="L25" s="103"/>
    </row>
    <row r="26">
      <c r="A26" s="84"/>
      <c r="B26" s="106">
        <v>20.0</v>
      </c>
      <c r="C26" s="107"/>
      <c r="D26" s="108"/>
      <c r="E26" s="107"/>
      <c r="F26" s="107"/>
      <c r="G26" s="107"/>
      <c r="H26" s="107"/>
      <c r="I26" s="107"/>
      <c r="J26" s="109"/>
      <c r="K26" s="110"/>
      <c r="L26" s="103"/>
    </row>
    <row r="27">
      <c r="A27" s="84"/>
      <c r="B27" s="106">
        <v>21.0</v>
      </c>
      <c r="C27" s="107"/>
      <c r="D27" s="108"/>
      <c r="E27" s="107"/>
      <c r="F27" s="107"/>
      <c r="G27" s="107"/>
      <c r="H27" s="107"/>
      <c r="I27" s="107"/>
      <c r="J27" s="109"/>
      <c r="K27" s="110"/>
      <c r="L27" s="103"/>
    </row>
    <row r="28">
      <c r="A28" s="84"/>
      <c r="B28" s="106">
        <v>22.0</v>
      </c>
      <c r="C28" s="107"/>
      <c r="D28" s="108"/>
      <c r="E28" s="107"/>
      <c r="F28" s="107"/>
      <c r="G28" s="107"/>
      <c r="H28" s="107"/>
      <c r="I28" s="107"/>
      <c r="J28" s="109"/>
      <c r="K28" s="110"/>
      <c r="L28" s="103"/>
    </row>
    <row r="29">
      <c r="A29" s="84"/>
      <c r="B29" s="106">
        <v>23.0</v>
      </c>
      <c r="C29" s="107"/>
      <c r="D29" s="108"/>
      <c r="E29" s="107"/>
      <c r="F29" s="107"/>
      <c r="G29" s="107"/>
      <c r="H29" s="107"/>
      <c r="I29" s="107"/>
      <c r="J29" s="109"/>
      <c r="K29" s="110"/>
      <c r="L29" s="103"/>
    </row>
    <row r="30">
      <c r="A30" s="84"/>
      <c r="B30" s="106">
        <v>24.0</v>
      </c>
      <c r="C30" s="107"/>
      <c r="D30" s="108"/>
      <c r="E30" s="107"/>
      <c r="F30" s="107"/>
      <c r="G30" s="107"/>
      <c r="H30" s="107"/>
      <c r="I30" s="107"/>
      <c r="J30" s="109"/>
      <c r="K30" s="110"/>
      <c r="L30" s="103"/>
    </row>
    <row r="31">
      <c r="A31" s="84"/>
      <c r="B31" s="106">
        <v>25.0</v>
      </c>
      <c r="C31" s="107"/>
      <c r="D31" s="108"/>
      <c r="E31" s="107"/>
      <c r="F31" s="107"/>
      <c r="G31" s="107"/>
      <c r="H31" s="107"/>
      <c r="I31" s="107"/>
      <c r="J31" s="109"/>
      <c r="K31" s="110"/>
      <c r="L31" s="103"/>
    </row>
    <row r="32">
      <c r="A32" s="84"/>
      <c r="B32" s="106">
        <v>26.0</v>
      </c>
      <c r="C32" s="107"/>
      <c r="D32" s="108"/>
      <c r="E32" s="107"/>
      <c r="F32" s="107"/>
      <c r="G32" s="107"/>
      <c r="H32" s="107"/>
      <c r="I32" s="107"/>
      <c r="J32" s="109"/>
      <c r="K32" s="110"/>
      <c r="L32" s="103"/>
    </row>
    <row r="33">
      <c r="A33" s="84"/>
      <c r="B33" s="106">
        <v>27.0</v>
      </c>
      <c r="C33" s="107"/>
      <c r="D33" s="108"/>
      <c r="E33" s="107"/>
      <c r="F33" s="107"/>
      <c r="G33" s="107"/>
      <c r="H33" s="107"/>
      <c r="I33" s="107"/>
      <c r="J33" s="109"/>
      <c r="K33" s="110"/>
      <c r="L33" s="103"/>
    </row>
    <row r="34">
      <c r="A34" s="84"/>
      <c r="B34" s="106">
        <v>30.0</v>
      </c>
      <c r="C34" s="107"/>
      <c r="D34" s="108"/>
      <c r="E34" s="107"/>
      <c r="F34" s="107"/>
      <c r="G34" s="107"/>
      <c r="H34" s="107"/>
      <c r="I34" s="107"/>
      <c r="J34" s="109"/>
      <c r="K34" s="110"/>
      <c r="L34" s="103"/>
    </row>
    <row r="35">
      <c r="A35" s="84"/>
      <c r="B35" s="106">
        <v>31.0</v>
      </c>
      <c r="C35" s="107"/>
      <c r="D35" s="108"/>
      <c r="E35" s="107"/>
      <c r="F35" s="107"/>
      <c r="G35" s="107"/>
      <c r="H35" s="107"/>
      <c r="I35" s="107"/>
      <c r="J35" s="109"/>
      <c r="K35" s="110"/>
      <c r="L35" s="103"/>
    </row>
    <row r="36">
      <c r="A36" s="84"/>
      <c r="B36" s="106">
        <v>32.0</v>
      </c>
      <c r="C36" s="107"/>
      <c r="D36" s="107"/>
      <c r="E36" s="107"/>
      <c r="F36" s="107"/>
      <c r="G36" s="107"/>
      <c r="H36" s="107"/>
      <c r="I36" s="107"/>
      <c r="J36" s="109"/>
      <c r="K36" s="110"/>
      <c r="L36" s="103"/>
    </row>
    <row r="37">
      <c r="A37" s="84"/>
      <c r="B37" s="106">
        <v>33.0</v>
      </c>
      <c r="C37" s="107"/>
      <c r="D37" s="107"/>
      <c r="E37" s="107"/>
      <c r="F37" s="107"/>
      <c r="G37" s="107"/>
      <c r="H37" s="107"/>
      <c r="I37" s="107"/>
      <c r="J37" s="109"/>
      <c r="K37" s="110"/>
      <c r="L37" s="103"/>
    </row>
    <row r="38">
      <c r="A38" s="84"/>
      <c r="B38" s="106">
        <v>34.0</v>
      </c>
      <c r="C38" s="107"/>
      <c r="D38" s="107"/>
      <c r="E38" s="107"/>
      <c r="F38" s="107"/>
      <c r="G38" s="107"/>
      <c r="H38" s="107"/>
      <c r="I38" s="107"/>
      <c r="J38" s="109"/>
      <c r="K38" s="110"/>
      <c r="L38" s="103"/>
    </row>
    <row r="39">
      <c r="A39" s="84"/>
      <c r="B39" s="106">
        <v>35.0</v>
      </c>
      <c r="C39" s="107"/>
      <c r="D39" s="107"/>
      <c r="E39" s="107"/>
      <c r="F39" s="107"/>
      <c r="G39" s="107"/>
      <c r="H39" s="107"/>
      <c r="I39" s="107"/>
      <c r="J39" s="109"/>
      <c r="K39" s="110"/>
      <c r="L39" s="103"/>
    </row>
    <row r="40">
      <c r="A40" s="84"/>
      <c r="B40" s="106">
        <v>36.0</v>
      </c>
      <c r="C40" s="107"/>
      <c r="D40" s="107"/>
      <c r="E40" s="107"/>
      <c r="F40" s="107"/>
      <c r="G40" s="107"/>
      <c r="H40" s="107"/>
      <c r="I40" s="107"/>
      <c r="J40" s="109"/>
      <c r="K40" s="110"/>
      <c r="L40" s="103"/>
    </row>
    <row r="41">
      <c r="A41" s="84"/>
      <c r="B41" s="106">
        <v>37.0</v>
      </c>
      <c r="C41" s="107"/>
      <c r="D41" s="107"/>
      <c r="E41" s="107"/>
      <c r="F41" s="107"/>
      <c r="G41" s="107"/>
      <c r="H41" s="107"/>
      <c r="I41" s="107"/>
      <c r="J41" s="109"/>
      <c r="K41" s="110"/>
      <c r="L41" s="103"/>
    </row>
    <row r="42">
      <c r="A42" s="84"/>
      <c r="B42" s="106">
        <v>38.0</v>
      </c>
      <c r="C42" s="107"/>
      <c r="D42" s="107"/>
      <c r="E42" s="107"/>
      <c r="F42" s="107"/>
      <c r="G42" s="107"/>
      <c r="H42" s="107"/>
      <c r="I42" s="107"/>
      <c r="J42" s="109"/>
      <c r="K42" s="110"/>
      <c r="L42" s="103"/>
    </row>
    <row r="43">
      <c r="A43" s="84"/>
      <c r="B43" s="106">
        <v>39.0</v>
      </c>
      <c r="C43" s="107"/>
      <c r="D43" s="107"/>
      <c r="E43" s="107"/>
      <c r="F43" s="107"/>
      <c r="G43" s="107"/>
      <c r="H43" s="107"/>
      <c r="I43" s="107"/>
      <c r="J43" s="109"/>
      <c r="K43" s="110"/>
      <c r="L43" s="103"/>
    </row>
    <row r="44">
      <c r="A44" s="84"/>
      <c r="B44" s="106">
        <v>40.0</v>
      </c>
      <c r="C44" s="111"/>
      <c r="D44" s="107"/>
      <c r="E44" s="107"/>
      <c r="F44" s="107"/>
      <c r="G44" s="107"/>
      <c r="H44" s="107"/>
      <c r="I44" s="107"/>
      <c r="J44" s="109"/>
      <c r="K44" s="110"/>
      <c r="L44" s="103"/>
    </row>
    <row r="45">
      <c r="A45" s="84"/>
      <c r="B45" s="106">
        <v>41.0</v>
      </c>
      <c r="C45" s="107"/>
      <c r="D45" s="107"/>
      <c r="E45" s="107"/>
      <c r="F45" s="107"/>
      <c r="G45" s="107"/>
      <c r="H45" s="107"/>
      <c r="I45" s="107"/>
      <c r="J45" s="109"/>
      <c r="K45" s="110"/>
      <c r="L45" s="103"/>
    </row>
    <row r="46">
      <c r="A46" s="104"/>
      <c r="B46" s="106">
        <v>42.0</v>
      </c>
      <c r="C46" s="111"/>
      <c r="D46" s="112"/>
      <c r="E46" s="112"/>
      <c r="F46" s="107"/>
      <c r="G46" s="111"/>
      <c r="H46" s="112"/>
      <c r="I46" s="107"/>
      <c r="J46" s="109"/>
      <c r="K46" s="113"/>
      <c r="L46" s="105"/>
    </row>
    <row r="47">
      <c r="A47" s="84"/>
      <c r="B47" s="106">
        <v>43.0</v>
      </c>
      <c r="C47" s="111"/>
      <c r="D47" s="112"/>
      <c r="E47" s="112"/>
      <c r="F47" s="107"/>
      <c r="G47" s="111"/>
      <c r="H47" s="112"/>
      <c r="I47" s="107"/>
      <c r="J47" s="109"/>
      <c r="K47" s="113"/>
      <c r="L47" s="105"/>
    </row>
    <row r="48">
      <c r="A48" s="84"/>
      <c r="B48" s="106">
        <v>45.0</v>
      </c>
      <c r="C48" s="111"/>
      <c r="D48" s="112"/>
      <c r="E48" s="112"/>
      <c r="F48" s="107"/>
      <c r="G48" s="111"/>
      <c r="H48" s="111"/>
      <c r="I48" s="107"/>
      <c r="J48" s="109"/>
      <c r="K48" s="113"/>
      <c r="L48" s="105"/>
    </row>
    <row r="49">
      <c r="A49" s="84"/>
      <c r="B49" s="106">
        <v>44.0</v>
      </c>
      <c r="C49" s="111"/>
      <c r="D49" s="112"/>
      <c r="E49" s="112"/>
      <c r="F49" s="107"/>
      <c r="G49" s="111"/>
      <c r="H49" s="111"/>
      <c r="I49" s="107"/>
      <c r="J49" s="109"/>
      <c r="K49" s="113"/>
      <c r="L49" s="105"/>
    </row>
    <row r="50">
      <c r="A50" s="84"/>
      <c r="B50" s="106">
        <v>46.0</v>
      </c>
      <c r="C50" s="111"/>
      <c r="D50" s="112"/>
      <c r="E50" s="112"/>
      <c r="F50" s="107"/>
      <c r="G50" s="111"/>
      <c r="H50" s="111"/>
      <c r="I50" s="107"/>
      <c r="J50" s="109"/>
      <c r="K50" s="113"/>
      <c r="L50" s="105"/>
    </row>
    <row r="51">
      <c r="A51" s="84"/>
      <c r="B51" s="106">
        <v>47.0</v>
      </c>
      <c r="C51" s="111"/>
      <c r="D51" s="112"/>
      <c r="E51" s="112"/>
      <c r="F51" s="107"/>
      <c r="G51" s="111"/>
      <c r="H51" s="111"/>
      <c r="I51" s="107"/>
      <c r="J51" s="109"/>
      <c r="K51" s="113"/>
      <c r="L51" s="105"/>
    </row>
    <row r="52">
      <c r="A52" s="84"/>
      <c r="B52" s="106">
        <v>48.0</v>
      </c>
      <c r="C52" s="111"/>
      <c r="D52" s="112"/>
      <c r="E52" s="112"/>
      <c r="F52" s="107"/>
      <c r="G52" s="111"/>
      <c r="H52" s="111"/>
      <c r="I52" s="107"/>
      <c r="J52" s="109"/>
      <c r="K52" s="113"/>
      <c r="L52" s="105"/>
    </row>
    <row r="53">
      <c r="A53" s="84"/>
      <c r="B53" s="106">
        <v>49.0</v>
      </c>
      <c r="C53" s="111"/>
      <c r="D53" s="112"/>
      <c r="E53" s="112"/>
      <c r="F53" s="107"/>
      <c r="G53" s="111"/>
      <c r="H53" s="111"/>
      <c r="I53" s="107"/>
      <c r="J53" s="109"/>
      <c r="K53" s="113"/>
      <c r="L53" s="105"/>
    </row>
    <row r="54">
      <c r="A54" s="84"/>
      <c r="B54" s="106">
        <v>50.0</v>
      </c>
      <c r="C54" s="111"/>
      <c r="D54" s="112"/>
      <c r="E54" s="112"/>
      <c r="F54" s="107"/>
      <c r="G54" s="111"/>
      <c r="H54" s="111"/>
      <c r="I54" s="107"/>
      <c r="J54" s="109"/>
      <c r="K54" s="113"/>
      <c r="L54" s="105"/>
    </row>
    <row r="55">
      <c r="A55" s="84"/>
      <c r="B55" s="106">
        <v>51.0</v>
      </c>
      <c r="C55" s="111"/>
      <c r="D55" s="112"/>
      <c r="E55" s="112"/>
      <c r="F55" s="107"/>
      <c r="G55" s="111"/>
      <c r="H55" s="111"/>
      <c r="I55" s="107"/>
      <c r="J55" s="109"/>
      <c r="K55" s="113"/>
      <c r="L55" s="105"/>
    </row>
    <row r="56">
      <c r="A56" s="84"/>
      <c r="B56" s="106">
        <v>52.0</v>
      </c>
      <c r="C56" s="111"/>
      <c r="D56" s="112"/>
      <c r="E56" s="112"/>
      <c r="F56" s="107"/>
      <c r="G56" s="111"/>
      <c r="H56" s="111"/>
      <c r="I56" s="107"/>
      <c r="J56" s="109"/>
      <c r="K56" s="113"/>
      <c r="L56" s="105"/>
    </row>
    <row r="57">
      <c r="A57" s="84"/>
      <c r="B57" s="106">
        <v>53.0</v>
      </c>
      <c r="C57" s="111"/>
      <c r="D57" s="112"/>
      <c r="E57" s="112"/>
      <c r="F57" s="107"/>
      <c r="G57" s="111"/>
      <c r="H57" s="111"/>
      <c r="I57" s="107"/>
      <c r="J57" s="109"/>
      <c r="K57" s="113"/>
      <c r="L57" s="105"/>
    </row>
    <row r="58">
      <c r="A58" s="84"/>
      <c r="B58" s="106">
        <v>54.0</v>
      </c>
      <c r="C58" s="111"/>
      <c r="D58" s="112"/>
      <c r="E58" s="112"/>
      <c r="F58" s="107"/>
      <c r="G58" s="111"/>
      <c r="H58" s="111"/>
      <c r="I58" s="107"/>
      <c r="J58" s="109"/>
      <c r="K58" s="113"/>
      <c r="L58" s="105"/>
    </row>
  </sheetData>
  <mergeCells count="7">
    <mergeCell ref="A1:D3"/>
    <mergeCell ref="E1:I3"/>
    <mergeCell ref="J1:K1"/>
    <mergeCell ref="J2:K2"/>
    <mergeCell ref="J3:K3"/>
    <mergeCell ref="A4:I4"/>
    <mergeCell ref="J4:K4"/>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25.5"/>
    <col customWidth="1" min="3" max="3" width="39.0"/>
    <col customWidth="1" min="4" max="4" width="14.38"/>
    <col customWidth="1" min="5" max="5" width="15.38"/>
    <col customWidth="1" min="6" max="6" width="23.88"/>
    <col customWidth="1" min="7" max="8" width="30.25"/>
  </cols>
  <sheetData>
    <row r="1" ht="18.0" customHeight="1">
      <c r="A1" s="114"/>
      <c r="B1" s="5"/>
      <c r="C1" s="115" t="s">
        <v>75</v>
      </c>
      <c r="D1" s="2"/>
      <c r="E1" s="2"/>
      <c r="F1" s="5"/>
      <c r="G1" s="116" t="s">
        <v>1</v>
      </c>
      <c r="H1" s="13"/>
    </row>
    <row r="2" ht="18.0" customHeight="1">
      <c r="A2" s="6"/>
      <c r="B2" s="8"/>
      <c r="C2" s="6"/>
      <c r="F2" s="8"/>
      <c r="G2" s="7" t="s">
        <v>2</v>
      </c>
      <c r="H2" s="8"/>
    </row>
    <row r="3" ht="24.0" customHeight="1">
      <c r="A3" s="81"/>
      <c r="B3" s="10"/>
      <c r="C3" s="81"/>
      <c r="D3" s="28"/>
      <c r="E3" s="28"/>
      <c r="F3" s="10"/>
      <c r="G3" s="9" t="s">
        <v>3</v>
      </c>
      <c r="H3" s="10"/>
    </row>
    <row r="4" ht="18.0" customHeight="1">
      <c r="A4" s="117" t="s">
        <v>4</v>
      </c>
      <c r="B4" s="118"/>
      <c r="C4" s="118"/>
      <c r="D4" s="119"/>
      <c r="E4" s="118"/>
      <c r="F4" s="118"/>
      <c r="G4" s="120" t="s">
        <v>5</v>
      </c>
      <c r="H4" s="13"/>
    </row>
    <row r="5">
      <c r="A5" s="121"/>
      <c r="B5" s="122"/>
      <c r="C5" s="122"/>
      <c r="D5" s="123"/>
      <c r="E5" s="122"/>
      <c r="F5" s="122"/>
      <c r="G5" s="122"/>
      <c r="H5" s="122"/>
    </row>
    <row r="6" ht="23.25" customHeight="1">
      <c r="A6" s="124" t="s">
        <v>76</v>
      </c>
      <c r="B6" s="124" t="s">
        <v>77</v>
      </c>
      <c r="C6" s="124" t="s">
        <v>78</v>
      </c>
      <c r="D6" s="124" t="s">
        <v>79</v>
      </c>
      <c r="E6" s="124" t="s">
        <v>80</v>
      </c>
      <c r="F6" s="124" t="s">
        <v>81</v>
      </c>
      <c r="G6" s="124" t="s">
        <v>70</v>
      </c>
      <c r="H6" s="125"/>
    </row>
    <row r="7">
      <c r="A7" s="126">
        <v>1.0</v>
      </c>
      <c r="B7" s="127" t="s">
        <v>82</v>
      </c>
      <c r="C7" s="127"/>
      <c r="D7" s="128"/>
      <c r="E7" s="127" t="s">
        <v>80</v>
      </c>
      <c r="F7" s="127"/>
      <c r="G7" s="127"/>
      <c r="H7" s="122"/>
    </row>
    <row r="8">
      <c r="A8" s="129">
        <v>2.0</v>
      </c>
      <c r="B8" s="127"/>
      <c r="C8" s="127"/>
      <c r="D8" s="128"/>
      <c r="E8" s="127"/>
      <c r="F8" s="127"/>
      <c r="G8" s="127"/>
      <c r="H8" s="122"/>
    </row>
    <row r="9">
      <c r="A9" s="129">
        <v>3.0</v>
      </c>
      <c r="B9" s="127"/>
      <c r="C9" s="127"/>
      <c r="D9" s="128"/>
      <c r="E9" s="127"/>
      <c r="F9" s="127"/>
      <c r="G9" s="127"/>
      <c r="H9" s="122"/>
    </row>
    <row r="10">
      <c r="A10" s="129">
        <v>4.0</v>
      </c>
      <c r="B10" s="127"/>
      <c r="C10" s="127"/>
      <c r="D10" s="128"/>
      <c r="E10" s="127"/>
      <c r="F10" s="127"/>
      <c r="G10" s="127"/>
      <c r="H10" s="122"/>
    </row>
    <row r="11">
      <c r="A11" s="129">
        <v>5.0</v>
      </c>
      <c r="B11" s="127"/>
      <c r="C11" s="127"/>
      <c r="D11" s="128"/>
      <c r="E11" s="127"/>
      <c r="F11" s="127"/>
      <c r="G11" s="127"/>
      <c r="H11" s="122"/>
    </row>
    <row r="12">
      <c r="A12" s="129">
        <v>6.0</v>
      </c>
      <c r="B12" s="127"/>
      <c r="C12" s="127"/>
      <c r="D12" s="128"/>
      <c r="E12" s="127"/>
      <c r="F12" s="127"/>
      <c r="G12" s="127"/>
      <c r="H12" s="122"/>
    </row>
    <row r="13">
      <c r="A13" s="129">
        <v>7.0</v>
      </c>
      <c r="B13" s="127"/>
      <c r="C13" s="127"/>
      <c r="D13" s="128"/>
      <c r="E13" s="127"/>
      <c r="F13" s="127"/>
      <c r="G13" s="127"/>
      <c r="H13" s="122"/>
    </row>
    <row r="14">
      <c r="A14" s="129">
        <v>8.0</v>
      </c>
      <c r="B14" s="127"/>
      <c r="C14" s="127"/>
      <c r="D14" s="128"/>
      <c r="E14" s="127"/>
      <c r="F14" s="127"/>
      <c r="G14" s="127"/>
      <c r="H14" s="122"/>
    </row>
    <row r="15">
      <c r="A15" s="129">
        <v>9.0</v>
      </c>
      <c r="B15" s="127"/>
      <c r="C15" s="127"/>
      <c r="D15" s="128"/>
      <c r="E15" s="127"/>
      <c r="F15" s="127"/>
      <c r="G15" s="127"/>
      <c r="H15" s="122"/>
    </row>
    <row r="16">
      <c r="A16" s="129">
        <v>10.0</v>
      </c>
      <c r="B16" s="127"/>
      <c r="C16" s="127"/>
      <c r="D16" s="128"/>
      <c r="E16" s="127"/>
      <c r="F16" s="127"/>
      <c r="G16" s="127"/>
      <c r="H16" s="122"/>
    </row>
    <row r="17">
      <c r="A17" s="129">
        <v>11.0</v>
      </c>
      <c r="B17" s="127"/>
      <c r="C17" s="127"/>
      <c r="D17" s="128"/>
      <c r="E17" s="127"/>
      <c r="F17" s="127"/>
      <c r="G17" s="127"/>
      <c r="H17" s="122"/>
    </row>
    <row r="18">
      <c r="A18" s="129">
        <v>12.0</v>
      </c>
      <c r="B18" s="127"/>
      <c r="C18" s="127"/>
      <c r="D18" s="128"/>
      <c r="E18" s="127"/>
      <c r="F18" s="127"/>
      <c r="G18" s="127"/>
      <c r="H18" s="122"/>
    </row>
    <row r="19">
      <c r="A19" s="129">
        <v>13.0</v>
      </c>
      <c r="B19" s="127"/>
      <c r="C19" s="127"/>
      <c r="D19" s="128"/>
      <c r="E19" s="127"/>
      <c r="F19" s="127"/>
      <c r="G19" s="127"/>
      <c r="H19" s="122"/>
    </row>
    <row r="20">
      <c r="A20" s="129">
        <v>14.0</v>
      </c>
      <c r="B20" s="127"/>
      <c r="C20" s="127"/>
      <c r="D20" s="128"/>
      <c r="E20" s="127"/>
      <c r="F20" s="127"/>
      <c r="G20" s="127"/>
      <c r="H20" s="122"/>
    </row>
    <row r="21">
      <c r="A21" s="129">
        <v>15.0</v>
      </c>
      <c r="B21" s="127"/>
      <c r="C21" s="127"/>
      <c r="D21" s="128"/>
      <c r="E21" s="127"/>
      <c r="F21" s="127"/>
      <c r="G21" s="127"/>
      <c r="H21" s="122"/>
    </row>
    <row r="22">
      <c r="A22" s="129">
        <v>16.0</v>
      </c>
      <c r="B22" s="127"/>
      <c r="C22" s="127"/>
      <c r="D22" s="128"/>
      <c r="E22" s="127"/>
      <c r="F22" s="127"/>
      <c r="G22" s="127"/>
      <c r="H22" s="122"/>
    </row>
  </sheetData>
  <mergeCells count="6">
    <mergeCell ref="A1:B3"/>
    <mergeCell ref="C1:F3"/>
    <mergeCell ref="G1:H1"/>
    <mergeCell ref="G2:H2"/>
    <mergeCell ref="G3:H3"/>
    <mergeCell ref="G4:H4"/>
  </mergeCells>
  <dataValidations>
    <dataValidation type="list" allowBlank="1" showErrorMessage="1" sqref="D7:D22">
      <formula1>"Sun*,Client"</formula1>
    </dataValidation>
    <dataValidation type="list" allowBlank="1" showErrorMessage="1" sqref="B7:B22">
      <formula1>'Reference_The Suggestion Servic'!$C$7:$C$80</formula1>
    </dataValidation>
    <dataValidation type="list" allowBlank="1" showErrorMessage="1" sqref="E7:E22">
      <formula1>"Free,License"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24.75"/>
    <col customWidth="1" min="3" max="3" width="32.63"/>
    <col customWidth="1" min="4" max="4" width="36.13"/>
    <col customWidth="1" min="5" max="6" width="28.13"/>
  </cols>
  <sheetData>
    <row r="1">
      <c r="A1" s="114"/>
      <c r="B1" s="5"/>
      <c r="C1" s="130" t="s">
        <v>83</v>
      </c>
      <c r="D1" s="2"/>
      <c r="E1" s="131" t="s">
        <v>1</v>
      </c>
      <c r="F1" s="8"/>
    </row>
    <row r="2">
      <c r="A2" s="6"/>
      <c r="B2" s="8"/>
      <c r="E2" s="7" t="s">
        <v>2</v>
      </c>
      <c r="F2" s="8"/>
    </row>
    <row r="3">
      <c r="A3" s="81"/>
      <c r="B3" s="10"/>
      <c r="C3" s="28"/>
      <c r="D3" s="28"/>
      <c r="E3" s="9" t="s">
        <v>3</v>
      </c>
      <c r="F3" s="10"/>
    </row>
    <row r="4">
      <c r="A4" s="117" t="s">
        <v>4</v>
      </c>
      <c r="B4" s="118"/>
      <c r="C4" s="118"/>
      <c r="D4" s="118"/>
      <c r="E4" s="120" t="s">
        <v>5</v>
      </c>
      <c r="F4" s="13"/>
    </row>
    <row r="5">
      <c r="A5" s="121"/>
      <c r="B5" s="132"/>
      <c r="C5" s="132"/>
      <c r="D5" s="122"/>
      <c r="E5" s="122"/>
      <c r="F5" s="122"/>
    </row>
    <row r="6">
      <c r="A6" s="133" t="str">
        <f>IFERROR(__xludf.DUMMYFUNCTION("IMPORTRANGE(""https://docs.google.com/spreadsheets/d/1eJtmT7HtnZpPhcquc_OAs191RWQPlHNmCSgXPVma02g/edit?gid=1016127051#gid=1016127051"",""BM-QD-505-01!A6:E"")"),"No")</f>
        <v>No</v>
      </c>
      <c r="B6" s="134" t="str">
        <f>IFERROR(__xludf.DUMMYFUNCTION("""COMPUTED_VALUE"""),"Categories")</f>
        <v>Categories</v>
      </c>
      <c r="C6" s="135" t="str">
        <f>IFERROR(__xludf.DUMMYFUNCTION("""COMPUTED_VALUE"""),"Type of service")</f>
        <v>Type of service</v>
      </c>
      <c r="D6" s="135" t="str">
        <f>IFERROR(__xludf.DUMMYFUNCTION("""COMPUTED_VALUE"""),"Name")</f>
        <v>Name</v>
      </c>
      <c r="E6" s="135"/>
      <c r="F6" s="136"/>
    </row>
    <row r="7">
      <c r="A7" s="137">
        <f>IFERROR(__xludf.DUMMYFUNCTION("""COMPUTED_VALUE"""),1.0)</f>
        <v>1</v>
      </c>
      <c r="B7" s="138" t="str">
        <f>IFERROR(__xludf.DUMMYFUNCTION("""COMPUTED_VALUE"""),"Platform as a Service PaaS")</f>
        <v>Platform as a Service PaaS</v>
      </c>
      <c r="C7" s="138" t="str">
        <f>IFERROR(__xludf.DUMMYFUNCTION("""COMPUTED_VALUE"""),"Developer tools (IDE..)")</f>
        <v>Developer tools (IDE..)</v>
      </c>
      <c r="D7" s="138" t="str">
        <f>IFERROR(__xludf.DUMMYFUNCTION("""COMPUTED_VALUE"""),"VSCode")</f>
        <v>VSCode</v>
      </c>
      <c r="E7" s="139"/>
      <c r="F7" s="140"/>
    </row>
    <row r="8">
      <c r="A8" s="137">
        <f>IFERROR(__xludf.DUMMYFUNCTION("""COMPUTED_VALUE"""),2.0)</f>
        <v>2</v>
      </c>
      <c r="B8" s="138" t="str">
        <f>IFERROR(__xludf.DUMMYFUNCTION("""COMPUTED_VALUE"""),"Platform as a Service PaaS")</f>
        <v>Platform as a Service PaaS</v>
      </c>
      <c r="C8" s="138" t="str">
        <f>IFERROR(__xludf.DUMMYFUNCTION("""COMPUTED_VALUE"""),"Developer tools (IDE..)")</f>
        <v>Developer tools (IDE..)</v>
      </c>
      <c r="D8" s="138" t="str">
        <f>IFERROR(__xludf.DUMMYFUNCTION("""COMPUTED_VALUE"""),"Xcode")</f>
        <v>Xcode</v>
      </c>
      <c r="E8" s="139"/>
      <c r="F8" s="140"/>
    </row>
    <row r="9">
      <c r="A9" s="137">
        <f>IFERROR(__xludf.DUMMYFUNCTION("""COMPUTED_VALUE"""),3.0)</f>
        <v>3</v>
      </c>
      <c r="B9" s="138" t="str">
        <f>IFERROR(__xludf.DUMMYFUNCTION("""COMPUTED_VALUE"""),"Platform as a Service PaaS")</f>
        <v>Platform as a Service PaaS</v>
      </c>
      <c r="C9" s="138" t="str">
        <f>IFERROR(__xludf.DUMMYFUNCTION("""COMPUTED_VALUE"""),"Developer tools (IDE..)")</f>
        <v>Developer tools (IDE..)</v>
      </c>
      <c r="D9" s="138" t="str">
        <f>IFERROR(__xludf.DUMMYFUNCTION("""COMPUTED_VALUE"""),"JetBrains")</f>
        <v>JetBrains</v>
      </c>
      <c r="E9" s="139"/>
      <c r="F9" s="140"/>
    </row>
    <row r="10">
      <c r="A10" s="137">
        <f>IFERROR(__xludf.DUMMYFUNCTION("""COMPUTED_VALUE"""),4.0)</f>
        <v>4</v>
      </c>
      <c r="B10" s="138" t="str">
        <f>IFERROR(__xludf.DUMMYFUNCTION("""COMPUTED_VALUE"""),"Platform as a Service PaaS")</f>
        <v>Platform as a Service PaaS</v>
      </c>
      <c r="C10" s="138" t="str">
        <f>IFERROR(__xludf.DUMMYFUNCTION("""COMPUTED_VALUE"""),"Developer tools (IDE..)")</f>
        <v>Developer tools (IDE..)</v>
      </c>
      <c r="D10" s="138" t="str">
        <f>IFERROR(__xludf.DUMMYFUNCTION("""COMPUTED_VALUE"""),"Google Script IDE")</f>
        <v>Google Script IDE</v>
      </c>
      <c r="E10" s="139"/>
      <c r="F10" s="140"/>
    </row>
    <row r="11">
      <c r="A11" s="137">
        <f>IFERROR(__xludf.DUMMYFUNCTION("""COMPUTED_VALUE"""),5.0)</f>
        <v>5</v>
      </c>
      <c r="B11" s="138" t="str">
        <f>IFERROR(__xludf.DUMMYFUNCTION("""COMPUTED_VALUE"""),"Platform as a Service PaaS")</f>
        <v>Platform as a Service PaaS</v>
      </c>
      <c r="C11" s="138" t="str">
        <f>IFERROR(__xludf.DUMMYFUNCTION("""COMPUTED_VALUE"""),"Developer tools (IDE..)")</f>
        <v>Developer tools (IDE..)</v>
      </c>
      <c r="D11" s="138" t="str">
        <f>IFERROR(__xludf.DUMMYFUNCTION("""COMPUTED_VALUE"""),"JetBrains")</f>
        <v>JetBrains</v>
      </c>
      <c r="E11" s="139"/>
      <c r="F11" s="140"/>
    </row>
    <row r="12">
      <c r="A12" s="137">
        <f>IFERROR(__xludf.DUMMYFUNCTION("""COMPUTED_VALUE"""),6.0)</f>
        <v>6</v>
      </c>
      <c r="B12" s="138" t="str">
        <f>IFERROR(__xludf.DUMMYFUNCTION("""COMPUTED_VALUE"""),"Platform as a Service PaaS")</f>
        <v>Platform as a Service PaaS</v>
      </c>
      <c r="C12" s="138" t="str">
        <f>IFERROR(__xludf.DUMMYFUNCTION("""COMPUTED_VALUE"""),"Developer tools (IDE..)")</f>
        <v>Developer tools (IDE..)</v>
      </c>
      <c r="D12" s="138" t="str">
        <f>IFERROR(__xludf.DUMMYFUNCTION("""COMPUTED_VALUE"""),"PyCharm")</f>
        <v>PyCharm</v>
      </c>
      <c r="E12" s="139"/>
      <c r="F12" s="140"/>
    </row>
    <row r="13">
      <c r="A13" s="137">
        <f>IFERROR(__xludf.DUMMYFUNCTION("""COMPUTED_VALUE"""),7.0)</f>
        <v>7</v>
      </c>
      <c r="B13" s="138" t="str">
        <f>IFERROR(__xludf.DUMMYFUNCTION("""COMPUTED_VALUE"""),"Platform as a Service PaaS")</f>
        <v>Platform as a Service PaaS</v>
      </c>
      <c r="C13" s="138" t="str">
        <f>IFERROR(__xludf.DUMMYFUNCTION("""COMPUTED_VALUE"""),"Developer tools (IDE..)")</f>
        <v>Developer tools (IDE..)</v>
      </c>
      <c r="D13" s="138" t="str">
        <f>IFERROR(__xludf.DUMMYFUNCTION("""COMPUTED_VALUE"""),"Android Studio")</f>
        <v>Android Studio</v>
      </c>
      <c r="E13" s="139"/>
      <c r="F13" s="140"/>
    </row>
    <row r="14">
      <c r="A14" s="137">
        <f>IFERROR(__xludf.DUMMYFUNCTION("""COMPUTED_VALUE"""),8.0)</f>
        <v>8</v>
      </c>
      <c r="B14" s="138" t="str">
        <f>IFERROR(__xludf.DUMMYFUNCTION("""COMPUTED_VALUE"""),"Platform as a Service PaaS")</f>
        <v>Platform as a Service PaaS</v>
      </c>
      <c r="C14" s="138" t="str">
        <f>IFERROR(__xludf.DUMMYFUNCTION("""COMPUTED_VALUE"""),"Developer tools (IDE..)")</f>
        <v>Developer tools (IDE..)</v>
      </c>
      <c r="D14" s="138" t="str">
        <f>IFERROR(__xludf.DUMMYFUNCTION("""COMPUTED_VALUE"""),"XCode")</f>
        <v>XCode</v>
      </c>
      <c r="E14" s="139"/>
      <c r="F14" s="140"/>
    </row>
    <row r="15">
      <c r="A15" s="137">
        <f>IFERROR(__xludf.DUMMYFUNCTION("""COMPUTED_VALUE"""),9.0)</f>
        <v>9</v>
      </c>
      <c r="B15" s="138" t="str">
        <f>IFERROR(__xludf.DUMMYFUNCTION("""COMPUTED_VALUE"""),"Platform as a Service PaaS")</f>
        <v>Platform as a Service PaaS</v>
      </c>
      <c r="C15" s="138" t="str">
        <f>IFERROR(__xludf.DUMMYFUNCTION("""COMPUTED_VALUE"""),"Developer tools (IDE..)")</f>
        <v>Developer tools (IDE..)</v>
      </c>
      <c r="D15" s="138" t="str">
        <f>IFERROR(__xludf.DUMMYFUNCTION("""COMPUTED_VALUE"""),"Notepad++")</f>
        <v>Notepad++</v>
      </c>
      <c r="E15" s="139"/>
      <c r="F15" s="140"/>
    </row>
    <row r="16">
      <c r="A16" s="137">
        <f>IFERROR(__xludf.DUMMYFUNCTION("""COMPUTED_VALUE"""),10.0)</f>
        <v>10</v>
      </c>
      <c r="B16" s="138" t="str">
        <f>IFERROR(__xludf.DUMMYFUNCTION("""COMPUTED_VALUE"""),"Platform as a Service PaaS")</f>
        <v>Platform as a Service PaaS</v>
      </c>
      <c r="C16" s="138" t="str">
        <f>IFERROR(__xludf.DUMMYFUNCTION("""COMPUTED_VALUE"""),"Developer tools (IDE..)")</f>
        <v>Developer tools (IDE..)</v>
      </c>
      <c r="D16" s="138" t="str">
        <f>IFERROR(__xludf.DUMMYFUNCTION("""COMPUTED_VALUE"""),"Visual Studio Code")</f>
        <v>Visual Studio Code</v>
      </c>
      <c r="E16" s="139"/>
      <c r="F16" s="140"/>
    </row>
    <row r="17">
      <c r="A17" s="137">
        <f>IFERROR(__xludf.DUMMYFUNCTION("""COMPUTED_VALUE"""),11.0)</f>
        <v>11</v>
      </c>
      <c r="B17" s="138" t="str">
        <f>IFERROR(__xludf.DUMMYFUNCTION("""COMPUTED_VALUE"""),"Platform as a Service PaaS")</f>
        <v>Platform as a Service PaaS</v>
      </c>
      <c r="C17" s="138" t="str">
        <f>IFERROR(__xludf.DUMMYFUNCTION("""COMPUTED_VALUE"""),"Developer tools (IDE..)")</f>
        <v>Developer tools (IDE..)</v>
      </c>
      <c r="D17" s="138" t="str">
        <f>IFERROR(__xludf.DUMMYFUNCTION("""COMPUTED_VALUE"""),"PHPSTORM, SUBLIME TEXT")</f>
        <v>PHPSTORM, SUBLIME TEXT</v>
      </c>
      <c r="E17" s="139"/>
      <c r="F17" s="140"/>
    </row>
    <row r="18">
      <c r="A18" s="137">
        <f>IFERROR(__xludf.DUMMYFUNCTION("""COMPUTED_VALUE"""),12.0)</f>
        <v>12</v>
      </c>
      <c r="B18" s="138" t="str">
        <f>IFERROR(__xludf.DUMMYFUNCTION("""COMPUTED_VALUE"""),"Platform as a Service PaaS")</f>
        <v>Platform as a Service PaaS</v>
      </c>
      <c r="C18" s="138" t="str">
        <f>IFERROR(__xludf.DUMMYFUNCTION("""COMPUTED_VALUE"""),"Developer tools (IDE..)")</f>
        <v>Developer tools (IDE..)</v>
      </c>
      <c r="D18" s="138" t="str">
        <f>IFERROR(__xludf.DUMMYFUNCTION("""COMPUTED_VALUE"""),"Atom, Sublime Text, vim")</f>
        <v>Atom, Sublime Text, vim</v>
      </c>
      <c r="E18" s="139"/>
      <c r="F18" s="140"/>
    </row>
    <row r="19">
      <c r="A19" s="137">
        <f>IFERROR(__xludf.DUMMYFUNCTION("""COMPUTED_VALUE"""),13.0)</f>
        <v>13</v>
      </c>
      <c r="B19" s="138" t="str">
        <f>IFERROR(__xludf.DUMMYFUNCTION("""COMPUTED_VALUE"""),"Platform as a Service PaaS")</f>
        <v>Platform as a Service PaaS</v>
      </c>
      <c r="C19" s="138" t="str">
        <f>IFERROR(__xludf.DUMMYFUNCTION("""COMPUTED_VALUE"""),"Developer tools (IDE..)")</f>
        <v>Developer tools (IDE..)</v>
      </c>
      <c r="D19" s="138" t="str">
        <f>IFERROR(__xludf.DUMMYFUNCTION("""COMPUTED_VALUE"""),"Jupyter Notebook")</f>
        <v>Jupyter Notebook</v>
      </c>
      <c r="E19" s="139"/>
      <c r="F19" s="140"/>
    </row>
    <row r="20">
      <c r="A20" s="137">
        <f>IFERROR(__xludf.DUMMYFUNCTION("""COMPUTED_VALUE"""),14.0)</f>
        <v>14</v>
      </c>
      <c r="B20" s="138" t="str">
        <f>IFERROR(__xludf.DUMMYFUNCTION("""COMPUTED_VALUE"""),"Software-as-a-Service SaaS")</f>
        <v>Software-as-a-Service SaaS</v>
      </c>
      <c r="C20" s="141" t="str">
        <f>IFERROR(__xludf.DUMMYFUNCTION("""COMPUTED_VALUE"""),"AI Tools")</f>
        <v>AI Tools</v>
      </c>
      <c r="D20" s="138" t="str">
        <f>IFERROR(__xludf.DUMMYFUNCTION("""COMPUTED_VALUE"""),"GitHub Copilot Business")</f>
        <v>GitHub Copilot Business</v>
      </c>
      <c r="E20" s="139" t="str">
        <f>IFERROR(__xludf.DUMMYFUNCTION("""COMPUTED_VALUE"""),"Tài khoản do Công ty cấp")</f>
        <v>Tài khoản do Công ty cấp</v>
      </c>
      <c r="F20" s="140"/>
    </row>
    <row r="21">
      <c r="A21" s="137">
        <f>IFERROR(__xludf.DUMMYFUNCTION("""COMPUTED_VALUE"""),15.0)</f>
        <v>15</v>
      </c>
      <c r="B21" s="138" t="str">
        <f>IFERROR(__xludf.DUMMYFUNCTION("""COMPUTED_VALUE"""),"Software-as-a-Service SaaS")</f>
        <v>Software-as-a-Service SaaS</v>
      </c>
      <c r="C21" s="138" t="str">
        <f>IFERROR(__xludf.DUMMYFUNCTION("""COMPUTED_VALUE"""),"AI Tools")</f>
        <v>AI Tools</v>
      </c>
      <c r="D21" s="138" t="str">
        <f>IFERROR(__xludf.DUMMYFUNCTION("""COMPUTED_VALUE"""),"Cursor")</f>
        <v>Cursor</v>
      </c>
      <c r="E21" s="139"/>
      <c r="F21" s="140"/>
    </row>
    <row r="22">
      <c r="A22" s="137">
        <f>IFERROR(__xludf.DUMMYFUNCTION("""COMPUTED_VALUE"""),16.0)</f>
        <v>16</v>
      </c>
      <c r="B22" s="138" t="str">
        <f>IFERROR(__xludf.DUMMYFUNCTION("""COMPUTED_VALUE"""),"Software-as-a-Service SaaS")</f>
        <v>Software-as-a-Service SaaS</v>
      </c>
      <c r="C22" s="138" t="str">
        <f>IFERROR(__xludf.DUMMYFUNCTION("""COMPUTED_VALUE"""),"AI Tools")</f>
        <v>AI Tools</v>
      </c>
      <c r="D22" s="138" t="str">
        <f>IFERROR(__xludf.DUMMYFUNCTION("""COMPUTED_VALUE"""),"Devin")</f>
        <v>Devin</v>
      </c>
      <c r="E22" s="139"/>
      <c r="F22" s="140"/>
    </row>
    <row r="23">
      <c r="A23" s="137">
        <f>IFERROR(__xludf.DUMMYFUNCTION("""COMPUTED_VALUE"""),17.0)</f>
        <v>17</v>
      </c>
      <c r="B23" s="138" t="str">
        <f>IFERROR(__xludf.DUMMYFUNCTION("""COMPUTED_VALUE"""),"Software-as-a-Service SaaS")</f>
        <v>Software-as-a-Service SaaS</v>
      </c>
      <c r="C23" s="138" t="str">
        <f>IFERROR(__xludf.DUMMYFUNCTION("""COMPUTED_VALUE"""),"AI Tools")</f>
        <v>AI Tools</v>
      </c>
      <c r="D23" s="138" t="str">
        <f>IFERROR(__xludf.DUMMYFUNCTION("""COMPUTED_VALUE"""),"ChatGPT")</f>
        <v>ChatGPT</v>
      </c>
      <c r="E23" s="139"/>
      <c r="F23" s="140"/>
    </row>
    <row r="24">
      <c r="A24" s="137">
        <f>IFERROR(__xludf.DUMMYFUNCTION("""COMPUTED_VALUE"""),18.0)</f>
        <v>18</v>
      </c>
      <c r="B24" s="138" t="str">
        <f>IFERROR(__xludf.DUMMYFUNCTION("""COMPUTED_VALUE"""),"Software-as-a-Service SaaS")</f>
        <v>Software-as-a-Service SaaS</v>
      </c>
      <c r="C24" s="138" t="str">
        <f>IFERROR(__xludf.DUMMYFUNCTION("""COMPUTED_VALUE"""),"AI Tools")</f>
        <v>AI Tools</v>
      </c>
      <c r="D24" s="138" t="str">
        <f>IFERROR(__xludf.DUMMYFUNCTION("""COMPUTED_VALUE"""),"Claude")</f>
        <v>Claude</v>
      </c>
      <c r="E24" s="139"/>
      <c r="F24" s="140"/>
    </row>
    <row r="25">
      <c r="A25" s="137">
        <f>IFERROR(__xludf.DUMMYFUNCTION("""COMPUTED_VALUE"""),19.0)</f>
        <v>19</v>
      </c>
      <c r="B25" s="138" t="str">
        <f>IFERROR(__xludf.DUMMYFUNCTION("""COMPUTED_VALUE"""),"Software-as-a-Service SaaS")</f>
        <v>Software-as-a-Service SaaS</v>
      </c>
      <c r="C25" s="138" t="str">
        <f>IFERROR(__xludf.DUMMYFUNCTION("""COMPUTED_VALUE"""),"AI Tools")</f>
        <v>AI Tools</v>
      </c>
      <c r="D25" s="138" t="str">
        <f>IFERROR(__xludf.DUMMYFUNCTION("""COMPUTED_VALUE"""),"Google Gemini")</f>
        <v>Google Gemini</v>
      </c>
      <c r="E25" s="139" t="str">
        <f>IFERROR(__xludf.DUMMYFUNCTION("""COMPUTED_VALUE"""),"Sun* Google Workspace ")</f>
        <v>Sun* Google Workspace </v>
      </c>
      <c r="F25" s="140"/>
    </row>
    <row r="26">
      <c r="A26" s="137">
        <f>IFERROR(__xludf.DUMMYFUNCTION("""COMPUTED_VALUE"""),20.0)</f>
        <v>20</v>
      </c>
      <c r="B26" s="138" t="str">
        <f>IFERROR(__xludf.DUMMYFUNCTION("""COMPUTED_VALUE"""),"Platform as a Service PaaS")</f>
        <v>Platform as a Service PaaS</v>
      </c>
      <c r="C26" s="138" t="str">
        <f>IFERROR(__xludf.DUMMYFUNCTION("""COMPUTED_VALUE"""),"API AI service")</f>
        <v>API AI service</v>
      </c>
      <c r="D26" s="138" t="str">
        <f>IFERROR(__xludf.DUMMYFUNCTION("""COMPUTED_VALUE"""),"Azure OpenAI Services / Azure AI Foundry")</f>
        <v>Azure OpenAI Services / Azure AI Foundry</v>
      </c>
      <c r="E26" s="139"/>
      <c r="F26" s="140"/>
    </row>
    <row r="27">
      <c r="A27" s="137">
        <f>IFERROR(__xludf.DUMMYFUNCTION("""COMPUTED_VALUE"""),21.0)</f>
        <v>21</v>
      </c>
      <c r="B27" s="138" t="str">
        <f>IFERROR(__xludf.DUMMYFUNCTION("""COMPUTED_VALUE"""),"Platform as a Service PaaS")</f>
        <v>Platform as a Service PaaS</v>
      </c>
      <c r="C27" s="138" t="str">
        <f>IFERROR(__xludf.DUMMYFUNCTION("""COMPUTED_VALUE"""),"API AI service")</f>
        <v>API AI service</v>
      </c>
      <c r="D27" s="138" t="str">
        <f>IFERROR(__xludf.DUMMYFUNCTION("""COMPUTED_VALUE"""),"AWS Bedrock")</f>
        <v>AWS Bedrock</v>
      </c>
      <c r="E27" s="139"/>
      <c r="F27" s="140"/>
    </row>
    <row r="28">
      <c r="A28" s="137">
        <f>IFERROR(__xludf.DUMMYFUNCTION("""COMPUTED_VALUE"""),22.0)</f>
        <v>22</v>
      </c>
      <c r="B28" s="138" t="str">
        <f>IFERROR(__xludf.DUMMYFUNCTION("""COMPUTED_VALUE"""),"Platform as a Service PaaS")</f>
        <v>Platform as a Service PaaS</v>
      </c>
      <c r="C28" s="138" t="str">
        <f>IFERROR(__xludf.DUMMYFUNCTION("""COMPUTED_VALUE"""),"API AI service")</f>
        <v>API AI service</v>
      </c>
      <c r="D28" s="138" t="str">
        <f>IFERROR(__xludf.DUMMYFUNCTION("""COMPUTED_VALUE"""),"Google AI Studio")</f>
        <v>Google AI Studio</v>
      </c>
      <c r="E28" s="139"/>
      <c r="F28" s="140"/>
    </row>
    <row r="29">
      <c r="A29" s="137">
        <f>IFERROR(__xludf.DUMMYFUNCTION("""COMPUTED_VALUE"""),16.0)</f>
        <v>16</v>
      </c>
      <c r="B29" s="138" t="str">
        <f>IFERROR(__xludf.DUMMYFUNCTION("""COMPUTED_VALUE"""),"Software-as-a-Service SaaS")</f>
        <v>Software-as-a-Service SaaS</v>
      </c>
      <c r="C29" s="138" t="str">
        <f>IFERROR(__xludf.DUMMYFUNCTION("""COMPUTED_VALUE"""),"Design Tool")</f>
        <v>Design Tool</v>
      </c>
      <c r="D29" s="138" t="str">
        <f>IFERROR(__xludf.DUMMYFUNCTION("""COMPUTED_VALUE"""),"Adobe Illustrator")</f>
        <v>Adobe Illustrator</v>
      </c>
      <c r="E29" s="139"/>
      <c r="F29" s="140"/>
    </row>
    <row r="30">
      <c r="A30" s="137">
        <f>IFERROR(__xludf.DUMMYFUNCTION("""COMPUTED_VALUE"""),17.0)</f>
        <v>17</v>
      </c>
      <c r="B30" s="138" t="str">
        <f>IFERROR(__xludf.DUMMYFUNCTION("""COMPUTED_VALUE"""),"Software-as-a-Service SaaS")</f>
        <v>Software-as-a-Service SaaS</v>
      </c>
      <c r="C30" s="138" t="str">
        <f>IFERROR(__xludf.DUMMYFUNCTION("""COMPUTED_VALUE"""),"Design Tool")</f>
        <v>Design Tool</v>
      </c>
      <c r="D30" s="138" t="str">
        <f>IFERROR(__xludf.DUMMYFUNCTION("""COMPUTED_VALUE"""),"Official Adobe Photoshop")</f>
        <v>Official Adobe Photoshop</v>
      </c>
      <c r="E30" s="139"/>
      <c r="F30" s="140"/>
    </row>
    <row r="31">
      <c r="A31" s="137">
        <f>IFERROR(__xludf.DUMMYFUNCTION("""COMPUTED_VALUE"""),18.0)</f>
        <v>18</v>
      </c>
      <c r="B31" s="138" t="str">
        <f>IFERROR(__xludf.DUMMYFUNCTION("""COMPUTED_VALUE"""),"Software-as-a-Service SaaS")</f>
        <v>Software-as-a-Service SaaS</v>
      </c>
      <c r="C31" s="138" t="str">
        <f>IFERROR(__xludf.DUMMYFUNCTION("""COMPUTED_VALUE"""),"Design Tool")</f>
        <v>Design Tool</v>
      </c>
      <c r="D31" s="138" t="str">
        <f>IFERROR(__xludf.DUMMYFUNCTION("""COMPUTED_VALUE"""),"Figma")</f>
        <v>Figma</v>
      </c>
      <c r="E31" s="139"/>
      <c r="F31" s="140"/>
    </row>
    <row r="32">
      <c r="A32" s="137">
        <f>IFERROR(__xludf.DUMMYFUNCTION("""COMPUTED_VALUE"""),19.0)</f>
        <v>19</v>
      </c>
      <c r="B32" s="138" t="str">
        <f>IFERROR(__xludf.DUMMYFUNCTION("""COMPUTED_VALUE"""),"Software-as-a-Service SaaS")</f>
        <v>Software-as-a-Service SaaS</v>
      </c>
      <c r="C32" s="138" t="str">
        <f>IFERROR(__xludf.DUMMYFUNCTION("""COMPUTED_VALUE"""),"Design Tool")</f>
        <v>Design Tool</v>
      </c>
      <c r="D32" s="138" t="str">
        <f>IFERROR(__xludf.DUMMYFUNCTION("""COMPUTED_VALUE"""),"XD Adobe")</f>
        <v>XD Adobe</v>
      </c>
      <c r="E32" s="139"/>
      <c r="F32" s="140"/>
    </row>
    <row r="33">
      <c r="A33" s="137">
        <f>IFERROR(__xludf.DUMMYFUNCTION("""COMPUTED_VALUE"""),20.0)</f>
        <v>20</v>
      </c>
      <c r="B33" s="138" t="str">
        <f>IFERROR(__xludf.DUMMYFUNCTION("""COMPUTED_VALUE"""),"Software-as-a-Service SaaS")</f>
        <v>Software-as-a-Service SaaS</v>
      </c>
      <c r="C33" s="138" t="str">
        <f>IFERROR(__xludf.DUMMYFUNCTION("""COMPUTED_VALUE"""),"Design Tool")</f>
        <v>Design Tool</v>
      </c>
      <c r="D33" s="138" t="str">
        <f>IFERROR(__xludf.DUMMYFUNCTION("""COMPUTED_VALUE"""),"Studio")</f>
        <v>Studio</v>
      </c>
      <c r="E33" s="139"/>
      <c r="F33" s="140"/>
    </row>
    <row r="34">
      <c r="A34" s="137">
        <f>IFERROR(__xludf.DUMMYFUNCTION("""COMPUTED_VALUE"""),21.0)</f>
        <v>21</v>
      </c>
      <c r="B34" s="138" t="str">
        <f>IFERROR(__xludf.DUMMYFUNCTION("""COMPUTED_VALUE"""),"Software-as-a-Service SaaS")</f>
        <v>Software-as-a-Service SaaS</v>
      </c>
      <c r="C34" s="138" t="str">
        <f>IFERROR(__xludf.DUMMYFUNCTION("""COMPUTED_VALUE"""),"Design Tool")</f>
        <v>Design Tool</v>
      </c>
      <c r="D34" s="138" t="str">
        <f>IFERROR(__xludf.DUMMYFUNCTION("""COMPUTED_VALUE"""),"Mockup html")</f>
        <v>Mockup html</v>
      </c>
      <c r="E34" s="139"/>
      <c r="F34" s="140"/>
    </row>
    <row r="35">
      <c r="A35" s="137">
        <f>IFERROR(__xludf.DUMMYFUNCTION("""COMPUTED_VALUE"""),22.0)</f>
        <v>22</v>
      </c>
      <c r="B35" s="138" t="str">
        <f>IFERROR(__xludf.DUMMYFUNCTION("""COMPUTED_VALUE"""),"Software-as-a-Service SaaS")</f>
        <v>Software-as-a-Service SaaS</v>
      </c>
      <c r="C35" s="138" t="str">
        <f>IFERROR(__xludf.DUMMYFUNCTION("""COMPUTED_VALUE"""),"Design Tool")</f>
        <v>Design Tool</v>
      </c>
      <c r="D35" s="138" t="str">
        <f>IFERROR(__xludf.DUMMYFUNCTION("""COMPUTED_VALUE"""),"Microsoft Powerpoint")</f>
        <v>Microsoft Powerpoint</v>
      </c>
      <c r="E35" s="139"/>
      <c r="F35" s="140"/>
    </row>
    <row r="36">
      <c r="A36" s="137">
        <f>IFERROR(__xludf.DUMMYFUNCTION("""COMPUTED_VALUE"""),23.0)</f>
        <v>23</v>
      </c>
      <c r="B36" s="138" t="str">
        <f>IFERROR(__xludf.DUMMYFUNCTION("""COMPUTED_VALUE"""),"Software-as-a-Service SaaS")</f>
        <v>Software-as-a-Service SaaS</v>
      </c>
      <c r="C36" s="138" t="str">
        <f>IFERROR(__xludf.DUMMYFUNCTION("""COMPUTED_VALUE"""),"Design tool ")</f>
        <v>Design tool </v>
      </c>
      <c r="D36" s="138" t="str">
        <f>IFERROR(__xludf.DUMMYFUNCTION("""COMPUTED_VALUE"""),"Zeplin")</f>
        <v>Zeplin</v>
      </c>
      <c r="E36" s="139"/>
      <c r="F36" s="140"/>
    </row>
    <row r="37">
      <c r="A37" s="137">
        <f>IFERROR(__xludf.DUMMYFUNCTION("""COMPUTED_VALUE"""),24.0)</f>
        <v>24</v>
      </c>
      <c r="B37" s="138" t="str">
        <f>IFERROR(__xludf.DUMMYFUNCTION("""COMPUTED_VALUE"""),"Software-as-a-Service SaaS")</f>
        <v>Software-as-a-Service SaaS</v>
      </c>
      <c r="C37" s="138" t="str">
        <f>IFERROR(__xludf.DUMMYFUNCTION("""COMPUTED_VALUE"""),"Design tool ")</f>
        <v>Design tool </v>
      </c>
      <c r="D37" s="138" t="str">
        <f>IFERROR(__xludf.DUMMYFUNCTION("""COMPUTED_VALUE"""),"Figma")</f>
        <v>Figma</v>
      </c>
      <c r="E37" s="139"/>
      <c r="F37" s="140"/>
    </row>
    <row r="38">
      <c r="A38" s="137">
        <f>IFERROR(__xludf.DUMMYFUNCTION("""COMPUTED_VALUE"""),25.0)</f>
        <v>25</v>
      </c>
      <c r="B38" s="138" t="str">
        <f>IFERROR(__xludf.DUMMYFUNCTION("""COMPUTED_VALUE"""),"Software-as-a-Service SaaS")</f>
        <v>Software-as-a-Service SaaS</v>
      </c>
      <c r="C38" s="138" t="str">
        <f>IFERROR(__xludf.DUMMYFUNCTION("""COMPUTED_VALUE"""),"Design tool ")</f>
        <v>Design tool </v>
      </c>
      <c r="D38" s="138" t="str">
        <f>IFERROR(__xludf.DUMMYFUNCTION("""COMPUTED_VALUE"""),"Sketch")</f>
        <v>Sketch</v>
      </c>
      <c r="E38" s="139"/>
      <c r="F38" s="140"/>
    </row>
    <row r="39">
      <c r="A39" s="137">
        <f>IFERROR(__xludf.DUMMYFUNCTION("""COMPUTED_VALUE"""),26.0)</f>
        <v>26</v>
      </c>
      <c r="B39" s="138" t="str">
        <f>IFERROR(__xludf.DUMMYFUNCTION("""COMPUTED_VALUE"""),"Software-as-a-Service SaaS")</f>
        <v>Software-as-a-Service SaaS</v>
      </c>
      <c r="C39" s="138" t="str">
        <f>IFERROR(__xludf.DUMMYFUNCTION("""COMPUTED_VALUE"""),"Communication Tool")</f>
        <v>Communication Tool</v>
      </c>
      <c r="D39" s="138" t="str">
        <f>IFERROR(__xludf.DUMMYFUNCTION("""COMPUTED_VALUE"""),"Chatwork ")</f>
        <v>Chatwork </v>
      </c>
      <c r="E39" s="139"/>
      <c r="F39" s="140"/>
    </row>
    <row r="40">
      <c r="A40" s="137">
        <f>IFERROR(__xludf.DUMMYFUNCTION("""COMPUTED_VALUE"""),27.0)</f>
        <v>27</v>
      </c>
      <c r="B40" s="138" t="str">
        <f>IFERROR(__xludf.DUMMYFUNCTION("""COMPUTED_VALUE"""),"Software-as-a-Service SaaS")</f>
        <v>Software-as-a-Service SaaS</v>
      </c>
      <c r="C40" s="138" t="str">
        <f>IFERROR(__xludf.DUMMYFUNCTION("""COMPUTED_VALUE"""),"Communication Tool")</f>
        <v>Communication Tool</v>
      </c>
      <c r="D40" s="138" t="str">
        <f>IFERROR(__xludf.DUMMYFUNCTION("""COMPUTED_VALUE"""),"Backlog")</f>
        <v>Backlog</v>
      </c>
      <c r="E40" s="139"/>
      <c r="F40" s="140"/>
    </row>
    <row r="41">
      <c r="A41" s="137">
        <f>IFERROR(__xludf.DUMMYFUNCTION("""COMPUTED_VALUE"""),28.0)</f>
        <v>28</v>
      </c>
      <c r="B41" s="138" t="str">
        <f>IFERROR(__xludf.DUMMYFUNCTION("""COMPUTED_VALUE"""),"Software-as-a-Service SaaS")</f>
        <v>Software-as-a-Service SaaS</v>
      </c>
      <c r="C41" s="138" t="str">
        <f>IFERROR(__xludf.DUMMYFUNCTION("""COMPUTED_VALUE"""),"Communication Tool")</f>
        <v>Communication Tool</v>
      </c>
      <c r="D41" s="138" t="str">
        <f>IFERROR(__xludf.DUMMYFUNCTION("""COMPUTED_VALUE"""),"Slack")</f>
        <v>Slack</v>
      </c>
      <c r="E41" s="139"/>
      <c r="F41" s="140"/>
    </row>
    <row r="42">
      <c r="A42" s="137">
        <f>IFERROR(__xludf.DUMMYFUNCTION("""COMPUTED_VALUE"""),29.0)</f>
        <v>29</v>
      </c>
      <c r="B42" s="138" t="str">
        <f>IFERROR(__xludf.DUMMYFUNCTION("""COMPUTED_VALUE"""),"Software-as-a-Service SaaS")</f>
        <v>Software-as-a-Service SaaS</v>
      </c>
      <c r="C42" s="138" t="str">
        <f>IFERROR(__xludf.DUMMYFUNCTION("""COMPUTED_VALUE"""),"Communication Tool")</f>
        <v>Communication Tool</v>
      </c>
      <c r="D42" s="138" t="str">
        <f>IFERROR(__xludf.DUMMYFUNCTION("""COMPUTED_VALUE"""),"Microsoft team")</f>
        <v>Microsoft team</v>
      </c>
      <c r="E42" s="139"/>
      <c r="F42" s="140"/>
    </row>
    <row r="43">
      <c r="A43" s="137">
        <f>IFERROR(__xludf.DUMMYFUNCTION("""COMPUTED_VALUE"""),30.0)</f>
        <v>30</v>
      </c>
      <c r="B43" s="138" t="str">
        <f>IFERROR(__xludf.DUMMYFUNCTION("""COMPUTED_VALUE"""),"Software-as-a-Service SaaS")</f>
        <v>Software-as-a-Service SaaS</v>
      </c>
      <c r="C43" s="138" t="str">
        <f>IFERROR(__xludf.DUMMYFUNCTION("""COMPUTED_VALUE"""),"Productivity Tools")</f>
        <v>Productivity Tools</v>
      </c>
      <c r="D43" s="138" t="str">
        <f>IFERROR(__xludf.DUMMYFUNCTION("""COMPUTED_VALUE"""),"Cacoo")</f>
        <v>Cacoo</v>
      </c>
      <c r="E43" s="139"/>
      <c r="F43" s="140"/>
    </row>
    <row r="44">
      <c r="A44" s="137">
        <f>IFERROR(__xludf.DUMMYFUNCTION("""COMPUTED_VALUE"""),31.0)</f>
        <v>31</v>
      </c>
      <c r="B44" s="138" t="str">
        <f>IFERROR(__xludf.DUMMYFUNCTION("""COMPUTED_VALUE"""),"Software-as-a-Service SaaS")</f>
        <v>Software-as-a-Service SaaS</v>
      </c>
      <c r="C44" s="138" t="str">
        <f>IFERROR(__xludf.DUMMYFUNCTION("""COMPUTED_VALUE"""),"Productivity Tools")</f>
        <v>Productivity Tools</v>
      </c>
      <c r="D44" s="138" t="str">
        <f>IFERROR(__xludf.DUMMYFUNCTION("""COMPUTED_VALUE"""),"Notion")</f>
        <v>Notion</v>
      </c>
      <c r="E44" s="139"/>
      <c r="F44" s="140"/>
    </row>
    <row r="45">
      <c r="A45" s="137">
        <f>IFERROR(__xludf.DUMMYFUNCTION("""COMPUTED_VALUE"""),32.0)</f>
        <v>32</v>
      </c>
      <c r="B45" s="138" t="str">
        <f>IFERROR(__xludf.DUMMYFUNCTION("""COMPUTED_VALUE"""),"Software-as-a-Service SaaS")</f>
        <v>Software-as-a-Service SaaS</v>
      </c>
      <c r="C45" s="138" t="str">
        <f>IFERROR(__xludf.DUMMYFUNCTION("""COMPUTED_VALUE"""),"Productivity Tools")</f>
        <v>Productivity Tools</v>
      </c>
      <c r="D45" s="138" t="str">
        <f>IFERROR(__xludf.DUMMYFUNCTION("""COMPUTED_VALUE"""),"Google Docs and Sheets")</f>
        <v>Google Docs and Sheets</v>
      </c>
      <c r="E45" s="139"/>
      <c r="F45" s="140"/>
    </row>
    <row r="46">
      <c r="A46" s="137">
        <f>IFERROR(__xludf.DUMMYFUNCTION("""COMPUTED_VALUE"""),33.0)</f>
        <v>33</v>
      </c>
      <c r="B46" s="138" t="str">
        <f>IFERROR(__xludf.DUMMYFUNCTION("""COMPUTED_VALUE"""),"Software-as-a-Service SaaS")</f>
        <v>Software-as-a-Service SaaS</v>
      </c>
      <c r="C46" s="138" t="str">
        <f>IFERROR(__xludf.DUMMYFUNCTION("""COMPUTED_VALUE"""),"Productivity Tools")</f>
        <v>Productivity Tools</v>
      </c>
      <c r="D46" s="138" t="str">
        <f>IFERROR(__xludf.DUMMYFUNCTION("""COMPUTED_VALUE"""),"Microsoft’s Office 365")</f>
        <v>Microsoft’s Office 365</v>
      </c>
      <c r="E46" s="139"/>
      <c r="F46" s="140"/>
    </row>
    <row r="47">
      <c r="A47" s="137">
        <f>IFERROR(__xludf.DUMMYFUNCTION("""COMPUTED_VALUE"""),34.0)</f>
        <v>34</v>
      </c>
      <c r="B47" s="138" t="str">
        <f>IFERROR(__xludf.DUMMYFUNCTION("""COMPUTED_VALUE"""),"Software-as-a-Service SaaS")</f>
        <v>Software-as-a-Service SaaS</v>
      </c>
      <c r="C47" s="138" t="str">
        <f>IFERROR(__xludf.DUMMYFUNCTION("""COMPUTED_VALUE"""),"Productivity Tools")</f>
        <v>Productivity Tools</v>
      </c>
      <c r="D47" s="142" t="str">
        <f>IFERROR(__xludf.DUMMYFUNCTION("""COMPUTED_VALUE"""),"draw.io")</f>
        <v>draw.io</v>
      </c>
      <c r="E47" s="139"/>
      <c r="F47" s="140"/>
    </row>
    <row r="48">
      <c r="A48" s="137">
        <f>IFERROR(__xludf.DUMMYFUNCTION("""COMPUTED_VALUE"""),35.0)</f>
        <v>35</v>
      </c>
      <c r="B48" s="138" t="str">
        <f>IFERROR(__xludf.DUMMYFUNCTION("""COMPUTED_VALUE"""),"Software-as-a-Service SaaS")</f>
        <v>Software-as-a-Service SaaS</v>
      </c>
      <c r="C48" s="138" t="str">
        <f>IFERROR(__xludf.DUMMYFUNCTION("""COMPUTED_VALUE"""),"Productivity Tools")</f>
        <v>Productivity Tools</v>
      </c>
      <c r="D48" s="138" t="str">
        <f>IFERROR(__xludf.DUMMYFUNCTION("""COMPUTED_VALUE"""),"Miro")</f>
        <v>Miro</v>
      </c>
      <c r="E48" s="139"/>
      <c r="F48" s="140"/>
    </row>
    <row r="49">
      <c r="A49" s="137">
        <f>IFERROR(__xludf.DUMMYFUNCTION("""COMPUTED_VALUE"""),36.0)</f>
        <v>36</v>
      </c>
      <c r="B49" s="138" t="str">
        <f>IFERROR(__xludf.DUMMYFUNCTION("""COMPUTED_VALUE"""),"Software-as-a-Service SaaS")</f>
        <v>Software-as-a-Service SaaS</v>
      </c>
      <c r="C49" s="138" t="str">
        <f>IFERROR(__xludf.DUMMYFUNCTION("""COMPUTED_VALUE"""),"Productivity Tools")</f>
        <v>Productivity Tools</v>
      </c>
      <c r="D49" s="138" t="str">
        <f>IFERROR(__xludf.DUMMYFUNCTION("""COMPUTED_VALUE"""),"Lucidchart")</f>
        <v>Lucidchart</v>
      </c>
      <c r="E49" s="139"/>
      <c r="F49" s="140"/>
    </row>
    <row r="50">
      <c r="A50" s="137">
        <f>IFERROR(__xludf.DUMMYFUNCTION("""COMPUTED_VALUE"""),37.0)</f>
        <v>37</v>
      </c>
      <c r="B50" s="138" t="str">
        <f>IFERROR(__xludf.DUMMYFUNCTION("""COMPUTED_VALUE"""),"Software-as-a-Service SaaS")</f>
        <v>Software-as-a-Service SaaS</v>
      </c>
      <c r="C50" s="138" t="str">
        <f>IFERROR(__xludf.DUMMYFUNCTION("""COMPUTED_VALUE"""),"Productivity Tools")</f>
        <v>Productivity Tools</v>
      </c>
      <c r="D50" s="143" t="str">
        <f>IFERROR(__xludf.DUMMYFUNCTION("""COMPUTED_VALUE"""),"Diagram.net")</f>
        <v>Diagram.net</v>
      </c>
      <c r="E50" s="139"/>
      <c r="F50" s="140"/>
    </row>
    <row r="51">
      <c r="A51" s="137">
        <f>IFERROR(__xludf.DUMMYFUNCTION("""COMPUTED_VALUE"""),38.0)</f>
        <v>38</v>
      </c>
      <c r="B51" s="138" t="str">
        <f>IFERROR(__xludf.DUMMYFUNCTION("""COMPUTED_VALUE"""),"Software-as-a-Service SaaS")</f>
        <v>Software-as-a-Service SaaS</v>
      </c>
      <c r="C51" s="138" t="str">
        <f>IFERROR(__xludf.DUMMYFUNCTION("""COMPUTED_VALUE"""),"Productivity Tools")</f>
        <v>Productivity Tools</v>
      </c>
      <c r="D51" s="138" t="str">
        <f>IFERROR(__xludf.DUMMYFUNCTION("""COMPUTED_VALUE"""),"Dropbox")</f>
        <v>Dropbox</v>
      </c>
      <c r="E51" s="139"/>
      <c r="F51" s="140"/>
    </row>
    <row r="52">
      <c r="A52" s="137">
        <f>IFERROR(__xludf.DUMMYFUNCTION("""COMPUTED_VALUE"""),39.0)</f>
        <v>39</v>
      </c>
      <c r="B52" s="138" t="str">
        <f>IFERROR(__xludf.DUMMYFUNCTION("""COMPUTED_VALUE"""),"Software-as-a-Service SaaS")</f>
        <v>Software-as-a-Service SaaS</v>
      </c>
      <c r="C52" s="138" t="str">
        <f>IFERROR(__xludf.DUMMYFUNCTION("""COMPUTED_VALUE"""),"Productivity Tools")</f>
        <v>Productivity Tools</v>
      </c>
      <c r="D52" s="138" t="str">
        <f>IFERROR(__xludf.DUMMYFUNCTION("""COMPUTED_VALUE"""),"Microsoft’s OneDrive")</f>
        <v>Microsoft’s OneDrive</v>
      </c>
      <c r="E52" s="139"/>
      <c r="F52" s="140"/>
    </row>
    <row r="53">
      <c r="A53" s="137">
        <f>IFERROR(__xludf.DUMMYFUNCTION("""COMPUTED_VALUE"""),40.0)</f>
        <v>40</v>
      </c>
      <c r="B53" s="138" t="str">
        <f>IFERROR(__xludf.DUMMYFUNCTION("""COMPUTED_VALUE"""),"Software-as-a-Service SaaS")</f>
        <v>Software-as-a-Service SaaS</v>
      </c>
      <c r="C53" s="138" t="str">
        <f>IFERROR(__xludf.DUMMYFUNCTION("""COMPUTED_VALUE"""),"Productivity Tools")</f>
        <v>Productivity Tools</v>
      </c>
      <c r="D53" s="138" t="str">
        <f>IFERROR(__xludf.DUMMYFUNCTION("""COMPUTED_VALUE"""),"Confluence")</f>
        <v>Confluence</v>
      </c>
      <c r="E53" s="139"/>
      <c r="F53" s="140"/>
    </row>
    <row r="54">
      <c r="A54" s="137">
        <f>IFERROR(__xludf.DUMMYFUNCTION("""COMPUTED_VALUE"""),41.0)</f>
        <v>41</v>
      </c>
      <c r="B54" s="138" t="str">
        <f>IFERROR(__xludf.DUMMYFUNCTION("""COMPUTED_VALUE"""),"Software-as-a-Service SaaS")</f>
        <v>Software-as-a-Service SaaS</v>
      </c>
      <c r="C54" s="138" t="str">
        <f>IFERROR(__xludf.DUMMYFUNCTION("""COMPUTED_VALUE"""),"Productivity Tools")</f>
        <v>Productivity Tools</v>
      </c>
      <c r="D54" s="138" t="str">
        <f>IFERROR(__xludf.DUMMYFUNCTION("""COMPUTED_VALUE"""),"Google Drive")</f>
        <v>Google Drive</v>
      </c>
      <c r="E54" s="139"/>
      <c r="F54" s="140"/>
    </row>
    <row r="55">
      <c r="A55" s="137">
        <f>IFERROR(__xludf.DUMMYFUNCTION("""COMPUTED_VALUE"""),42.0)</f>
        <v>42</v>
      </c>
      <c r="B55" s="138" t="str">
        <f>IFERROR(__xludf.DUMMYFUNCTION("""COMPUTED_VALUE"""),"Software-as-a-Service SaaS")</f>
        <v>Software-as-a-Service SaaS</v>
      </c>
      <c r="C55" s="138" t="str">
        <f>IFERROR(__xludf.DUMMYFUNCTION("""COMPUTED_VALUE"""),"Productivity Tools")</f>
        <v>Productivity Tools</v>
      </c>
      <c r="D55" s="138" t="str">
        <f>IFERROR(__xludf.DUMMYFUNCTION("""COMPUTED_VALUE"""),"Sharepoint")</f>
        <v>Sharepoint</v>
      </c>
      <c r="E55" s="139"/>
      <c r="F55" s="140"/>
    </row>
    <row r="56">
      <c r="A56" s="137">
        <f>IFERROR(__xludf.DUMMYFUNCTION("""COMPUTED_VALUE"""),43.0)</f>
        <v>43</v>
      </c>
      <c r="B56" s="138" t="str">
        <f>IFERROR(__xludf.DUMMYFUNCTION("""COMPUTED_VALUE"""),"Software-as-a-Service SaaS")</f>
        <v>Software-as-a-Service SaaS</v>
      </c>
      <c r="C56" s="138" t="str">
        <f>IFERROR(__xludf.DUMMYFUNCTION("""COMPUTED_VALUE"""),"Productivity Tools")</f>
        <v>Productivity Tools</v>
      </c>
      <c r="D56" s="138" t="str">
        <f>IFERROR(__xludf.DUMMYFUNCTION("""COMPUTED_VALUE"""),"Box")</f>
        <v>Box</v>
      </c>
      <c r="E56" s="139"/>
      <c r="F56" s="140"/>
    </row>
    <row r="57">
      <c r="A57" s="137">
        <f>IFERROR(__xludf.DUMMYFUNCTION("""COMPUTED_VALUE"""),44.0)</f>
        <v>44</v>
      </c>
      <c r="B57" s="138" t="str">
        <f>IFERROR(__xludf.DUMMYFUNCTION("""COMPUTED_VALUE"""),"Software-as-a-Service SaaS")</f>
        <v>Software-as-a-Service SaaS</v>
      </c>
      <c r="C57" s="138" t="str">
        <f>IFERROR(__xludf.DUMMYFUNCTION("""COMPUTED_VALUE"""),"Productivity Tools")</f>
        <v>Productivity Tools</v>
      </c>
      <c r="D57" s="138" t="str">
        <f>IFERROR(__xludf.DUMMYFUNCTION("""COMPUTED_VALUE"""),"Loom ")</f>
        <v>Loom </v>
      </c>
      <c r="E57" s="139"/>
      <c r="F57" s="140"/>
    </row>
    <row r="58">
      <c r="A58" s="137">
        <f>IFERROR(__xludf.DUMMYFUNCTION("""COMPUTED_VALUE"""),45.0)</f>
        <v>45</v>
      </c>
      <c r="B58" s="138" t="str">
        <f>IFERROR(__xludf.DUMMYFUNCTION("""COMPUTED_VALUE"""),"Software-as-a-Service SaaS")</f>
        <v>Software-as-a-Service SaaS</v>
      </c>
      <c r="C58" s="138" t="str">
        <f>IFERROR(__xludf.DUMMYFUNCTION("""COMPUTED_VALUE"""),"Productivity Tools")</f>
        <v>Productivity Tools</v>
      </c>
      <c r="D58" s="138" t="str">
        <f>IFERROR(__xludf.DUMMYFUNCTION("""COMPUTED_VALUE"""),"Fleek drive")</f>
        <v>Fleek drive</v>
      </c>
      <c r="E58" s="139"/>
      <c r="F58" s="140"/>
    </row>
    <row r="59">
      <c r="A59" s="137">
        <f>IFERROR(__xludf.DUMMYFUNCTION("""COMPUTED_VALUE"""),46.0)</f>
        <v>46</v>
      </c>
      <c r="B59" s="138" t="str">
        <f>IFERROR(__xludf.DUMMYFUNCTION("""COMPUTED_VALUE"""),"Software-as-a-Service SaaS")</f>
        <v>Software-as-a-Service SaaS</v>
      </c>
      <c r="C59" s="138" t="str">
        <f>IFERROR(__xludf.DUMMYFUNCTION("""COMPUTED_VALUE"""),"Productivity Tools")</f>
        <v>Productivity Tools</v>
      </c>
      <c r="D59" s="142" t="str">
        <f>IFERROR(__xludf.DUMMYFUNCTION("""COMPUTED_VALUE"""),"sequencediagram")</f>
        <v>sequencediagram</v>
      </c>
      <c r="E59" s="139"/>
      <c r="F59" s="140"/>
    </row>
    <row r="60">
      <c r="A60" s="137">
        <f>IFERROR(__xludf.DUMMYFUNCTION("""COMPUTED_VALUE"""),47.0)</f>
        <v>47</v>
      </c>
      <c r="B60" s="138" t="str">
        <f>IFERROR(__xludf.DUMMYFUNCTION("""COMPUTED_VALUE"""),"Software-as-a-Service SaaS")</f>
        <v>Software-as-a-Service SaaS</v>
      </c>
      <c r="C60" s="138" t="str">
        <f>IFERROR(__xludf.DUMMYFUNCTION("""COMPUTED_VALUE"""),"Productivity Tools")</f>
        <v>Productivity Tools</v>
      </c>
      <c r="D60" s="138" t="str">
        <f>IFERROR(__xludf.DUMMYFUNCTION("""COMPUTED_VALUE"""),"Grafana")</f>
        <v>Grafana</v>
      </c>
      <c r="E60" s="139"/>
      <c r="F60" s="140"/>
    </row>
    <row r="61">
      <c r="A61" s="137">
        <f>IFERROR(__xludf.DUMMYFUNCTION("""COMPUTED_VALUE"""),48.0)</f>
        <v>48</v>
      </c>
      <c r="B61" s="138" t="str">
        <f>IFERROR(__xludf.DUMMYFUNCTION("""COMPUTED_VALUE"""),"Software-as-a-Service SaaS")</f>
        <v>Software-as-a-Service SaaS</v>
      </c>
      <c r="C61" s="138" t="str">
        <f>IFERROR(__xludf.DUMMYFUNCTION("""COMPUTED_VALUE"""),"Productivity Tools")</f>
        <v>Productivity Tools</v>
      </c>
      <c r="D61" s="138" t="str">
        <f>IFERROR(__xludf.DUMMYFUNCTION("""COMPUTED_VALUE"""),"Google Firebase")</f>
        <v>Google Firebase</v>
      </c>
      <c r="E61" s="139"/>
      <c r="F61" s="140"/>
    </row>
    <row r="62">
      <c r="A62" s="137">
        <f>IFERROR(__xludf.DUMMYFUNCTION("""COMPUTED_VALUE"""),49.0)</f>
        <v>49</v>
      </c>
      <c r="B62" s="138" t="str">
        <f>IFERROR(__xludf.DUMMYFUNCTION("""COMPUTED_VALUE"""),"Software-as-a-Service SaaS")</f>
        <v>Software-as-a-Service SaaS</v>
      </c>
      <c r="C62" s="138" t="str">
        <f>IFERROR(__xludf.DUMMYFUNCTION("""COMPUTED_VALUE"""),"Productivity Tools")</f>
        <v>Productivity Tools</v>
      </c>
      <c r="D62" s="138" t="str">
        <f>IFERROR(__xludf.DUMMYFUNCTION("""COMPUTED_VALUE"""),"OneSignal Push Notifications")</f>
        <v>OneSignal Push Notifications</v>
      </c>
      <c r="E62" s="139"/>
      <c r="F62" s="140"/>
    </row>
    <row r="63">
      <c r="A63" s="137">
        <f>IFERROR(__xludf.DUMMYFUNCTION("""COMPUTED_VALUE"""),50.0)</f>
        <v>50</v>
      </c>
      <c r="B63" s="138" t="str">
        <f>IFERROR(__xludf.DUMMYFUNCTION("""COMPUTED_VALUE"""),"Software-as-a-Service SaaS")</f>
        <v>Software-as-a-Service SaaS</v>
      </c>
      <c r="C63" s="138" t="str">
        <f>IFERROR(__xludf.DUMMYFUNCTION("""COMPUTED_VALUE"""),"Productivity Tools")</f>
        <v>Productivity Tools</v>
      </c>
      <c r="D63" s="138" t="str">
        <f>IFERROR(__xludf.DUMMYFUNCTION("""COMPUTED_VALUE"""),"Pipedrive ")</f>
        <v>Pipedrive </v>
      </c>
      <c r="E63" s="139"/>
      <c r="F63" s="140"/>
    </row>
    <row r="64">
      <c r="A64" s="137">
        <f>IFERROR(__xludf.DUMMYFUNCTION("""COMPUTED_VALUE"""),51.0)</f>
        <v>51</v>
      </c>
      <c r="B64" s="138" t="str">
        <f>IFERROR(__xludf.DUMMYFUNCTION("""COMPUTED_VALUE"""),"Software-as-a-Service SaaS")</f>
        <v>Software-as-a-Service SaaS</v>
      </c>
      <c r="C64" s="138" t="str">
        <f>IFERROR(__xludf.DUMMYFUNCTION("""COMPUTED_VALUE"""),"Productivity Tools")</f>
        <v>Productivity Tools</v>
      </c>
      <c r="D64" s="138" t="str">
        <f>IFERROR(__xludf.DUMMYFUNCTION("""COMPUTED_VALUE"""),"Whimsical")</f>
        <v>Whimsical</v>
      </c>
      <c r="E64" s="139"/>
      <c r="F64" s="140"/>
    </row>
    <row r="65">
      <c r="A65" s="137">
        <f>IFERROR(__xludf.DUMMYFUNCTION("""COMPUTED_VALUE"""),52.0)</f>
        <v>52</v>
      </c>
      <c r="B65" s="138" t="str">
        <f>IFERROR(__xludf.DUMMYFUNCTION("""COMPUTED_VALUE"""),"Software-as-a-Service SaaS")</f>
        <v>Software-as-a-Service SaaS</v>
      </c>
      <c r="C65" s="138" t="str">
        <f>IFERROR(__xludf.DUMMYFUNCTION("""COMPUTED_VALUE"""),"Productivity Tools")</f>
        <v>Productivity Tools</v>
      </c>
      <c r="D65" s="138" t="str">
        <f>IFERROR(__xludf.DUMMYFUNCTION("""COMPUTED_VALUE"""),"IVS")</f>
        <v>IVS</v>
      </c>
      <c r="E65" s="139"/>
      <c r="F65" s="140"/>
    </row>
    <row r="66">
      <c r="A66" s="137">
        <f>IFERROR(__xludf.DUMMYFUNCTION("""COMPUTED_VALUE"""),53.0)</f>
        <v>53</v>
      </c>
      <c r="B66" s="138" t="str">
        <f>IFERROR(__xludf.DUMMYFUNCTION("""COMPUTED_VALUE"""),"Platform as a Service PaaS")</f>
        <v>Platform as a Service PaaS</v>
      </c>
      <c r="C66" s="138" t="str">
        <f>IFERROR(__xludf.DUMMYFUNCTION("""COMPUTED_VALUE"""),"Repository management tool")</f>
        <v>Repository management tool</v>
      </c>
      <c r="D66" s="138" t="str">
        <f>IFERROR(__xludf.DUMMYFUNCTION("""COMPUTED_VALUE"""),"Gitlab")</f>
        <v>Gitlab</v>
      </c>
      <c r="E66" s="139"/>
      <c r="F66" s="140"/>
    </row>
    <row r="67">
      <c r="A67" s="137">
        <f>IFERROR(__xludf.DUMMYFUNCTION("""COMPUTED_VALUE"""),54.0)</f>
        <v>54</v>
      </c>
      <c r="B67" s="138" t="str">
        <f>IFERROR(__xludf.DUMMYFUNCTION("""COMPUTED_VALUE"""),"Platform as a Service PaaS")</f>
        <v>Platform as a Service PaaS</v>
      </c>
      <c r="C67" s="138" t="str">
        <f>IFERROR(__xludf.DUMMYFUNCTION("""COMPUTED_VALUE"""),"Repository management tool")</f>
        <v>Repository management tool</v>
      </c>
      <c r="D67" s="138" t="str">
        <f>IFERROR(__xludf.DUMMYFUNCTION("""COMPUTED_VALUE"""),"Github")</f>
        <v>Github</v>
      </c>
      <c r="E67" s="139"/>
      <c r="F67" s="140"/>
    </row>
    <row r="68">
      <c r="A68" s="137">
        <f>IFERROR(__xludf.DUMMYFUNCTION("""COMPUTED_VALUE"""),55.0)</f>
        <v>55</v>
      </c>
      <c r="B68" s="138" t="str">
        <f>IFERROR(__xludf.DUMMYFUNCTION("""COMPUTED_VALUE"""),"Software-as-a-Service SaaS")</f>
        <v>Software-as-a-Service SaaS</v>
      </c>
      <c r="C68" s="138" t="str">
        <f>IFERROR(__xludf.DUMMYFUNCTION("""COMPUTED_VALUE"""),"Task Management service")</f>
        <v>Task Management service</v>
      </c>
      <c r="D68" s="138" t="str">
        <f>IFERROR(__xludf.DUMMYFUNCTION("""COMPUTED_VALUE"""),"Asana")</f>
        <v>Asana</v>
      </c>
      <c r="E68" s="139"/>
      <c r="F68" s="140"/>
    </row>
    <row r="69">
      <c r="A69" s="137">
        <f>IFERROR(__xludf.DUMMYFUNCTION("""COMPUTED_VALUE"""),56.0)</f>
        <v>56</v>
      </c>
      <c r="B69" s="138" t="str">
        <f>IFERROR(__xludf.DUMMYFUNCTION("""COMPUTED_VALUE"""),"Software-as-a-Service SaaS")</f>
        <v>Software-as-a-Service SaaS</v>
      </c>
      <c r="C69" s="138" t="str">
        <f>IFERROR(__xludf.DUMMYFUNCTION("""COMPUTED_VALUE"""),"Task Management service")</f>
        <v>Task Management service</v>
      </c>
      <c r="D69" s="138" t="str">
        <f>IFERROR(__xludf.DUMMYFUNCTION("""COMPUTED_VALUE"""),"Jira")</f>
        <v>Jira</v>
      </c>
      <c r="E69" s="139"/>
      <c r="F69" s="140"/>
    </row>
    <row r="70">
      <c r="A70" s="137">
        <f>IFERROR(__xludf.DUMMYFUNCTION("""COMPUTED_VALUE"""),57.0)</f>
        <v>57</v>
      </c>
      <c r="B70" s="138" t="str">
        <f>IFERROR(__xludf.DUMMYFUNCTION("""COMPUTED_VALUE"""),"Software-as-a-Service SaaS")</f>
        <v>Software-as-a-Service SaaS</v>
      </c>
      <c r="C70" s="138" t="str">
        <f>IFERROR(__xludf.DUMMYFUNCTION("""COMPUTED_VALUE"""),"Task Management service")</f>
        <v>Task Management service</v>
      </c>
      <c r="D70" s="138" t="str">
        <f>IFERROR(__xludf.DUMMYFUNCTION("""COMPUTED_VALUE"""),"Backlog")</f>
        <v>Backlog</v>
      </c>
      <c r="E70" s="139"/>
      <c r="F70" s="140"/>
    </row>
    <row r="71">
      <c r="A71" s="137">
        <f>IFERROR(__xludf.DUMMYFUNCTION("""COMPUTED_VALUE"""),58.0)</f>
        <v>58</v>
      </c>
      <c r="B71" s="138" t="str">
        <f>IFERROR(__xludf.DUMMYFUNCTION("""COMPUTED_VALUE"""),"Software-as-a-Service SaaS")</f>
        <v>Software-as-a-Service SaaS</v>
      </c>
      <c r="C71" s="138" t="str">
        <f>IFERROR(__xludf.DUMMYFUNCTION("""COMPUTED_VALUE"""),"Task Management service")</f>
        <v>Task Management service</v>
      </c>
      <c r="D71" s="138" t="str">
        <f>IFERROR(__xludf.DUMMYFUNCTION("""COMPUTED_VALUE"""),"Redmine ")</f>
        <v>Redmine </v>
      </c>
      <c r="E71" s="139"/>
      <c r="F71" s="140"/>
    </row>
    <row r="72">
      <c r="A72" s="137">
        <f>IFERROR(__xludf.DUMMYFUNCTION("""COMPUTED_VALUE"""),59.0)</f>
        <v>59</v>
      </c>
      <c r="B72" s="138" t="str">
        <f>IFERROR(__xludf.DUMMYFUNCTION("""COMPUTED_VALUE"""),"Software-as-a-Service SaaS")</f>
        <v>Software-as-a-Service SaaS</v>
      </c>
      <c r="C72" s="138" t="str">
        <f>IFERROR(__xludf.DUMMYFUNCTION("""COMPUTED_VALUE"""),"Task Management service")</f>
        <v>Task Management service</v>
      </c>
      <c r="D72" s="138" t="str">
        <f>IFERROR(__xludf.DUMMYFUNCTION("""COMPUTED_VALUE"""),"Zenhub")</f>
        <v>Zenhub</v>
      </c>
      <c r="E72" s="139"/>
      <c r="F72" s="140"/>
    </row>
    <row r="73">
      <c r="A73" s="137">
        <f>IFERROR(__xludf.DUMMYFUNCTION("""COMPUTED_VALUE"""),60.0)</f>
        <v>60</v>
      </c>
      <c r="B73" s="138" t="str">
        <f>IFERROR(__xludf.DUMMYFUNCTION("""COMPUTED_VALUE"""),"Software-as-a-Service SaaS")</f>
        <v>Software-as-a-Service SaaS</v>
      </c>
      <c r="C73" s="138" t="str">
        <f>IFERROR(__xludf.DUMMYFUNCTION("""COMPUTED_VALUE"""),"Task Management service")</f>
        <v>Task Management service</v>
      </c>
      <c r="D73" s="138" t="str">
        <f>IFERROR(__xludf.DUMMYFUNCTION("""COMPUTED_VALUE"""),"Pivotaltracker")</f>
        <v>Pivotaltracker</v>
      </c>
      <c r="E73" s="139"/>
      <c r="F73" s="140"/>
    </row>
    <row r="74">
      <c r="A74" s="137">
        <f>IFERROR(__xludf.DUMMYFUNCTION("""COMPUTED_VALUE"""),61.0)</f>
        <v>61</v>
      </c>
      <c r="B74" s="138" t="str">
        <f>IFERROR(__xludf.DUMMYFUNCTION("""COMPUTED_VALUE"""),"Software-as-a-Service SaaS")</f>
        <v>Software-as-a-Service SaaS</v>
      </c>
      <c r="C74" s="138" t="str">
        <f>IFERROR(__xludf.DUMMYFUNCTION("""COMPUTED_VALUE"""),"Task Management service")</f>
        <v>Task Management service</v>
      </c>
      <c r="D74" s="138" t="str">
        <f>IFERROR(__xludf.DUMMYFUNCTION("""COMPUTED_VALUE"""),"Trello")</f>
        <v>Trello</v>
      </c>
      <c r="E74" s="139"/>
      <c r="F74" s="140"/>
    </row>
    <row r="75">
      <c r="A75" s="137">
        <f>IFERROR(__xludf.DUMMYFUNCTION("""COMPUTED_VALUE"""),62.0)</f>
        <v>62</v>
      </c>
      <c r="B75" s="138" t="str">
        <f>IFERROR(__xludf.DUMMYFUNCTION("""COMPUTED_VALUE"""),"Platform as a Service PaaS")</f>
        <v>Platform as a Service PaaS</v>
      </c>
      <c r="C75" s="138" t="str">
        <f>IFERROR(__xludf.DUMMYFUNCTION("""COMPUTED_VALUE"""),"Testing Tool")</f>
        <v>Testing Tool</v>
      </c>
      <c r="D75" s="139" t="str">
        <f>IFERROR(__xludf.DUMMYFUNCTION("""COMPUTED_VALUE"""),"Gauge")</f>
        <v>Gauge</v>
      </c>
      <c r="E75" s="139"/>
      <c r="F75" s="140"/>
    </row>
    <row r="76">
      <c r="A76" s="137">
        <f>IFERROR(__xludf.DUMMYFUNCTION("""COMPUTED_VALUE"""),63.0)</f>
        <v>63</v>
      </c>
      <c r="B76" s="138" t="str">
        <f>IFERROR(__xludf.DUMMYFUNCTION("""COMPUTED_VALUE"""),"Platform as a Service PaaS")</f>
        <v>Platform as a Service PaaS</v>
      </c>
      <c r="C76" s="138" t="str">
        <f>IFERROR(__xludf.DUMMYFUNCTION("""COMPUTED_VALUE"""),"Testing Tool")</f>
        <v>Testing Tool</v>
      </c>
      <c r="D76" s="139" t="str">
        <f>IFERROR(__xludf.DUMMYFUNCTION("""COMPUTED_VALUE"""),"Selenium")</f>
        <v>Selenium</v>
      </c>
      <c r="E76" s="139"/>
      <c r="F76" s="140"/>
    </row>
    <row r="77">
      <c r="A77" s="137">
        <f>IFERROR(__xludf.DUMMYFUNCTION("""COMPUTED_VALUE"""),64.0)</f>
        <v>64</v>
      </c>
      <c r="B77" s="138" t="str">
        <f>IFERROR(__xludf.DUMMYFUNCTION("""COMPUTED_VALUE"""),"Software-as-a-Service SaaS")</f>
        <v>Software-as-a-Service SaaS</v>
      </c>
      <c r="C77" s="138" t="str">
        <f>IFERROR(__xludf.DUMMYFUNCTION("""COMPUTED_VALUE"""),"Testing Tool")</f>
        <v>Testing Tool</v>
      </c>
      <c r="D77" s="139" t="str">
        <f>IFERROR(__xludf.DUMMYFUNCTION("""COMPUTED_VALUE"""),"Jmetter")</f>
        <v>Jmetter</v>
      </c>
      <c r="E77" s="139"/>
      <c r="F77" s="140"/>
    </row>
    <row r="78">
      <c r="A78" s="144">
        <f>IFERROR(__xludf.DUMMYFUNCTION("""COMPUTED_VALUE"""),65.0)</f>
        <v>65</v>
      </c>
      <c r="B78" s="145" t="str">
        <f>IFERROR(__xludf.DUMMYFUNCTION("""COMPUTED_VALUE"""),"Software-as-a-Service SaaS")</f>
        <v>Software-as-a-Service SaaS</v>
      </c>
      <c r="C78" s="145" t="str">
        <f>IFERROR(__xludf.DUMMYFUNCTION("""COMPUTED_VALUE"""),"Testing Tool")</f>
        <v>Testing Tool</v>
      </c>
      <c r="D78" s="146" t="str">
        <f>IFERROR(__xludf.DUMMYFUNCTION("""COMPUTED_VALUE"""),"Postman, MySQL Workbench, DBeaver")</f>
        <v>Postman, MySQL Workbench, DBeaver</v>
      </c>
      <c r="E78" s="146"/>
      <c r="F78" s="140"/>
    </row>
    <row r="79">
      <c r="A79" s="147">
        <f>IFERROR(__xludf.DUMMYFUNCTION("""COMPUTED_VALUE"""),66.0)</f>
        <v>66</v>
      </c>
      <c r="B79" s="148" t="str">
        <f>IFERROR(__xludf.DUMMYFUNCTION("""COMPUTED_VALUE"""),"Software-as-a-Service SaaS")</f>
        <v>Software-as-a-Service SaaS</v>
      </c>
      <c r="C79" s="148" t="str">
        <f>IFERROR(__xludf.DUMMYFUNCTION("""COMPUTED_VALUE"""),"Testing Tool")</f>
        <v>Testing Tool</v>
      </c>
      <c r="D79" s="149" t="str">
        <f>IFERROR(__xludf.DUMMYFUNCTION("""COMPUTED_VALUE"""),"Katalon")</f>
        <v>Katalon</v>
      </c>
      <c r="E79" s="150"/>
      <c r="F79" s="140"/>
    </row>
    <row r="80">
      <c r="A80" s="147">
        <f>IFERROR(__xludf.DUMMYFUNCTION("""COMPUTED_VALUE"""),67.0)</f>
        <v>67</v>
      </c>
      <c r="B80" s="151" t="str">
        <f>IFERROR(__xludf.DUMMYFUNCTION("""COMPUTED_VALUE"""),"Software-as-a-Service SaaS")</f>
        <v>Software-as-a-Service SaaS</v>
      </c>
      <c r="C80" s="151" t="str">
        <f>IFERROR(__xludf.DUMMYFUNCTION("""COMPUTED_VALUE"""),"Testing Tool")</f>
        <v>Testing Tool</v>
      </c>
      <c r="D80" s="148" t="str">
        <f>IFERROR(__xludf.DUMMYFUNCTION("""COMPUTED_VALUE"""),"Rspec Gem ROR")</f>
        <v>Rspec Gem ROR</v>
      </c>
      <c r="E80" s="150"/>
      <c r="F80" s="140"/>
    </row>
    <row r="81">
      <c r="A81" s="147">
        <f>IFERROR(__xludf.DUMMYFUNCTION("""COMPUTED_VALUE"""),68.0)</f>
        <v>68</v>
      </c>
      <c r="B81" s="151" t="str">
        <f>IFERROR(__xludf.DUMMYFUNCTION("""COMPUTED_VALUE"""),"Software-as-a-Service SaaS")</f>
        <v>Software-as-a-Service SaaS</v>
      </c>
      <c r="C81" s="151" t="str">
        <f>IFERROR(__xludf.DUMMYFUNCTION("""COMPUTED_VALUE"""),"Testing Tool")</f>
        <v>Testing Tool</v>
      </c>
      <c r="D81" s="148" t="str">
        <f>IFERROR(__xludf.DUMMYFUNCTION("""COMPUTED_VALUE"""),"Selenium")</f>
        <v>Selenium</v>
      </c>
      <c r="E81" s="150"/>
      <c r="F81" s="140"/>
    </row>
    <row r="82">
      <c r="A82" s="152">
        <f>IFERROR(__xludf.DUMMYFUNCTION("""COMPUTED_VALUE"""),69.0)</f>
        <v>69</v>
      </c>
      <c r="B82" s="153" t="str">
        <f>IFERROR(__xludf.DUMMYFUNCTION("""COMPUTED_VALUE"""),"Software-as-a-Service SaaS")</f>
        <v>Software-as-a-Service SaaS</v>
      </c>
      <c r="C82" s="153" t="str">
        <f>IFERROR(__xludf.DUMMYFUNCTION("""COMPUTED_VALUE"""),"Testing Tool")</f>
        <v>Testing Tool</v>
      </c>
      <c r="D82" s="154" t="str">
        <f>IFERROR(__xludf.DUMMYFUNCTION("""COMPUTED_VALUE"""),"Selenide")</f>
        <v>Selenide</v>
      </c>
      <c r="E82" s="140"/>
      <c r="F82" s="140"/>
    </row>
    <row r="83">
      <c r="A83" s="152">
        <f>IFERROR(__xludf.DUMMYFUNCTION("""COMPUTED_VALUE"""),70.0)</f>
        <v>70</v>
      </c>
      <c r="B83" s="153" t="str">
        <f>IFERROR(__xludf.DUMMYFUNCTION("""COMPUTED_VALUE"""),"Software-as-a-Service SaaS")</f>
        <v>Software-as-a-Service SaaS</v>
      </c>
      <c r="C83" s="153" t="str">
        <f>IFERROR(__xludf.DUMMYFUNCTION("""COMPUTED_VALUE"""),"Testing Tool")</f>
        <v>Testing Tool</v>
      </c>
      <c r="D83" s="154" t="str">
        <f>IFERROR(__xludf.DUMMYFUNCTION("""COMPUTED_VALUE"""),"Postman, Burp Suite")</f>
        <v>Postman, Burp Suite</v>
      </c>
      <c r="E83" s="140"/>
      <c r="F83" s="140"/>
    </row>
    <row r="84">
      <c r="A84" s="152">
        <f>IFERROR(__xludf.DUMMYFUNCTION("""COMPUTED_VALUE"""),71.0)</f>
        <v>71</v>
      </c>
      <c r="B84" s="153" t="str">
        <f>IFERROR(__xludf.DUMMYFUNCTION("""COMPUTED_VALUE"""),"Software-as-a-Service SaaS")</f>
        <v>Software-as-a-Service SaaS</v>
      </c>
      <c r="C84" s="153" t="str">
        <f>IFERROR(__xludf.DUMMYFUNCTION("""COMPUTED_VALUE"""),"Testing Tool")</f>
        <v>Testing Tool</v>
      </c>
      <c r="D84" s="154" t="str">
        <f>IFERROR(__xludf.DUMMYFUNCTION("""COMPUTED_VALUE"""),"Jest Unit Test")</f>
        <v>Jest Unit Test</v>
      </c>
      <c r="E84" s="140"/>
      <c r="F84" s="140"/>
    </row>
    <row r="85">
      <c r="A85" s="152">
        <f>IFERROR(__xludf.DUMMYFUNCTION("""COMPUTED_VALUE"""),72.0)</f>
        <v>72</v>
      </c>
      <c r="B85" s="153" t="str">
        <f>IFERROR(__xludf.DUMMYFUNCTION("""COMPUTED_VALUE"""),"Software-as-a-Service SaaS")</f>
        <v>Software-as-a-Service SaaS</v>
      </c>
      <c r="C85" s="153" t="str">
        <f>IFERROR(__xludf.DUMMYFUNCTION("""COMPUTED_VALUE"""),"Testing Tool")</f>
        <v>Testing Tool</v>
      </c>
      <c r="D85" s="154" t="str">
        <f>IFERROR(__xludf.DUMMYFUNCTION("""COMPUTED_VALUE"""),"Browserstack")</f>
        <v>Browserstack</v>
      </c>
      <c r="E85" s="140"/>
      <c r="F85" s="140"/>
    </row>
    <row r="86">
      <c r="A86" s="152">
        <f>IFERROR(__xludf.DUMMYFUNCTION("""COMPUTED_VALUE"""),73.0)</f>
        <v>73</v>
      </c>
      <c r="B86" s="153" t="str">
        <f>IFERROR(__xludf.DUMMYFUNCTION("""COMPUTED_VALUE"""),"Software-as-a-Service SaaS")</f>
        <v>Software-as-a-Service SaaS</v>
      </c>
      <c r="C86" s="153" t="str">
        <f>IFERROR(__xludf.DUMMYFUNCTION("""COMPUTED_VALUE"""),"Testing Tool")</f>
        <v>Testing Tool</v>
      </c>
      <c r="D86" s="154" t="str">
        <f>IFERROR(__xludf.DUMMYFUNCTION("""COMPUTED_VALUE"""),"Selenoid")</f>
        <v>Selenoid</v>
      </c>
      <c r="E86" s="140"/>
      <c r="F86" s="140"/>
    </row>
    <row r="87">
      <c r="A87" s="152">
        <f>IFERROR(__xludf.DUMMYFUNCTION("""COMPUTED_VALUE"""),74.0)</f>
        <v>74</v>
      </c>
      <c r="B87" s="153" t="str">
        <f>IFERROR(__xludf.DUMMYFUNCTION("""COMPUTED_VALUE"""),"Software-as-a-Service SaaS")</f>
        <v>Software-as-a-Service SaaS</v>
      </c>
      <c r="C87" s="153" t="str">
        <f>IFERROR(__xludf.DUMMYFUNCTION("""COMPUTED_VALUE"""),"Testing Tool")</f>
        <v>Testing Tool</v>
      </c>
      <c r="D87" s="154" t="str">
        <f>IFERROR(__xludf.DUMMYFUNCTION("""COMPUTED_VALUE"""),"Maven Dependency Management")</f>
        <v>Maven Dependency Management</v>
      </c>
      <c r="E87" s="140"/>
      <c r="F87" s="140"/>
    </row>
    <row r="88">
      <c r="A88" s="152"/>
      <c r="B88" s="153"/>
      <c r="C88" s="153"/>
      <c r="D88" s="154"/>
      <c r="E88" s="140"/>
      <c r="F88" s="140"/>
    </row>
    <row r="89">
      <c r="A89" s="152"/>
      <c r="B89" s="153"/>
      <c r="C89" s="153"/>
      <c r="D89" s="154"/>
      <c r="E89" s="140"/>
      <c r="F89" s="140"/>
    </row>
    <row r="90">
      <c r="A90" s="152"/>
      <c r="B90" s="153"/>
      <c r="C90" s="153"/>
      <c r="D90" s="154"/>
      <c r="E90" s="140"/>
      <c r="F90" s="140"/>
    </row>
    <row r="91">
      <c r="A91" s="152"/>
      <c r="B91" s="153"/>
      <c r="C91" s="153"/>
      <c r="D91" s="154"/>
      <c r="E91" s="140"/>
      <c r="F91" s="140"/>
    </row>
    <row r="92">
      <c r="A92" s="152"/>
      <c r="B92" s="153"/>
      <c r="C92" s="153"/>
      <c r="D92" s="154"/>
      <c r="E92" s="140"/>
      <c r="F92" s="140"/>
    </row>
    <row r="93">
      <c r="A93" s="152"/>
      <c r="B93" s="153"/>
      <c r="C93" s="153"/>
      <c r="D93" s="154"/>
      <c r="E93" s="140"/>
      <c r="F93" s="140"/>
    </row>
    <row r="94">
      <c r="A94" s="152"/>
      <c r="B94" s="153"/>
      <c r="C94" s="153"/>
      <c r="D94" s="154"/>
      <c r="E94" s="140"/>
      <c r="F94" s="140"/>
    </row>
    <row r="95">
      <c r="A95" s="152"/>
      <c r="B95" s="153"/>
      <c r="C95" s="153"/>
      <c r="D95" s="154"/>
      <c r="E95" s="140"/>
      <c r="F95" s="140"/>
    </row>
    <row r="96">
      <c r="A96" s="152"/>
      <c r="B96" s="153"/>
      <c r="C96" s="153"/>
      <c r="D96" s="154"/>
      <c r="E96" s="140"/>
      <c r="F96" s="140"/>
    </row>
    <row r="97">
      <c r="A97" s="152"/>
      <c r="B97" s="153"/>
      <c r="C97" s="153"/>
      <c r="D97" s="154"/>
      <c r="E97" s="140"/>
      <c r="F97" s="140"/>
    </row>
    <row r="98">
      <c r="A98" s="152"/>
      <c r="B98" s="153"/>
      <c r="C98" s="153"/>
      <c r="D98" s="154"/>
      <c r="E98" s="140"/>
      <c r="F98" s="140"/>
    </row>
    <row r="99">
      <c r="A99" s="152"/>
      <c r="B99" s="153"/>
      <c r="C99" s="153"/>
      <c r="D99" s="154"/>
      <c r="E99" s="140"/>
      <c r="F99" s="140"/>
    </row>
    <row r="100">
      <c r="A100" s="152"/>
      <c r="B100" s="153"/>
      <c r="C100" s="153"/>
      <c r="D100" s="154"/>
      <c r="E100" s="140"/>
      <c r="F100" s="140"/>
    </row>
    <row r="101">
      <c r="A101" s="152"/>
      <c r="B101" s="153"/>
      <c r="C101" s="153"/>
      <c r="D101" s="154"/>
      <c r="E101" s="140"/>
      <c r="F101" s="140"/>
    </row>
    <row r="102">
      <c r="A102" s="152"/>
      <c r="B102" s="153"/>
      <c r="C102" s="153"/>
      <c r="D102" s="154"/>
      <c r="E102" s="140"/>
      <c r="F102" s="140"/>
    </row>
    <row r="103">
      <c r="A103" s="152"/>
      <c r="B103" s="153"/>
      <c r="C103" s="153"/>
      <c r="D103" s="154"/>
      <c r="E103" s="140"/>
      <c r="F103" s="140"/>
    </row>
    <row r="104">
      <c r="A104" s="152"/>
      <c r="B104" s="153"/>
      <c r="C104" s="153"/>
      <c r="D104" s="154"/>
      <c r="E104" s="140"/>
      <c r="F104" s="140"/>
    </row>
    <row r="105">
      <c r="A105" s="152"/>
      <c r="B105" s="153"/>
      <c r="C105" s="153"/>
      <c r="D105" s="154"/>
      <c r="E105" s="140"/>
      <c r="F105" s="140"/>
    </row>
    <row r="106">
      <c r="A106" s="152"/>
      <c r="B106" s="153"/>
      <c r="C106" s="153"/>
      <c r="D106" s="154"/>
      <c r="E106" s="140"/>
      <c r="F106" s="140"/>
    </row>
    <row r="107">
      <c r="A107" s="152"/>
      <c r="B107" s="153"/>
      <c r="C107" s="153"/>
      <c r="D107" s="154"/>
      <c r="E107" s="140"/>
      <c r="F107" s="140"/>
    </row>
    <row r="108">
      <c r="A108" s="152"/>
      <c r="B108" s="153"/>
      <c r="C108" s="153"/>
      <c r="D108" s="154"/>
      <c r="E108" s="140"/>
      <c r="F108" s="140"/>
    </row>
    <row r="109">
      <c r="A109" s="152"/>
      <c r="B109" s="153"/>
      <c r="C109" s="153"/>
      <c r="D109" s="154"/>
      <c r="E109" s="140"/>
      <c r="F109" s="140"/>
    </row>
    <row r="110">
      <c r="A110" s="152"/>
      <c r="B110" s="153"/>
      <c r="C110" s="153"/>
      <c r="D110" s="154"/>
      <c r="E110" s="140"/>
      <c r="F110" s="140"/>
    </row>
    <row r="111">
      <c r="A111" s="152"/>
      <c r="B111" s="153"/>
      <c r="C111" s="153"/>
      <c r="D111" s="154"/>
      <c r="E111" s="140"/>
      <c r="F111" s="140"/>
    </row>
    <row r="112">
      <c r="A112" s="152"/>
      <c r="B112" s="153"/>
      <c r="C112" s="153"/>
      <c r="D112" s="154"/>
      <c r="E112" s="140"/>
      <c r="F112" s="140"/>
    </row>
    <row r="113">
      <c r="A113" s="152"/>
      <c r="B113" s="153"/>
      <c r="C113" s="153"/>
      <c r="D113" s="154"/>
      <c r="E113" s="140"/>
      <c r="F113" s="140"/>
    </row>
    <row r="114">
      <c r="A114" s="152"/>
      <c r="B114" s="153"/>
      <c r="C114" s="153"/>
      <c r="D114" s="154"/>
      <c r="E114" s="140"/>
      <c r="F114" s="140"/>
    </row>
    <row r="115">
      <c r="A115" s="152"/>
      <c r="B115" s="153"/>
      <c r="C115" s="153"/>
      <c r="D115" s="154"/>
      <c r="E115" s="140"/>
      <c r="F115" s="140"/>
    </row>
    <row r="116">
      <c r="A116" s="152"/>
      <c r="B116" s="153"/>
      <c r="C116" s="153"/>
      <c r="D116" s="154"/>
      <c r="E116" s="140"/>
      <c r="F116" s="140"/>
    </row>
    <row r="117">
      <c r="A117" s="152"/>
      <c r="B117" s="153"/>
      <c r="C117" s="153"/>
      <c r="D117" s="154"/>
      <c r="E117" s="140"/>
      <c r="F117" s="140"/>
    </row>
    <row r="118">
      <c r="A118" s="152"/>
      <c r="B118" s="153"/>
      <c r="C118" s="153"/>
      <c r="D118" s="154"/>
      <c r="E118" s="140"/>
      <c r="F118" s="140"/>
    </row>
    <row r="119">
      <c r="A119" s="152"/>
      <c r="B119" s="153"/>
      <c r="C119" s="153"/>
      <c r="D119" s="154"/>
      <c r="E119" s="140"/>
      <c r="F119" s="140"/>
    </row>
    <row r="120">
      <c r="A120" s="152"/>
      <c r="B120" s="153"/>
      <c r="C120" s="153"/>
      <c r="D120" s="154"/>
      <c r="E120" s="140"/>
      <c r="F120" s="140"/>
    </row>
    <row r="121">
      <c r="A121" s="152"/>
      <c r="B121" s="153"/>
      <c r="C121" s="153"/>
      <c r="D121" s="154"/>
      <c r="E121" s="140"/>
      <c r="F121" s="140"/>
    </row>
    <row r="122">
      <c r="A122" s="152"/>
      <c r="B122" s="153"/>
      <c r="C122" s="153"/>
      <c r="D122" s="154"/>
      <c r="E122" s="140"/>
      <c r="F122" s="140"/>
    </row>
    <row r="123">
      <c r="A123" s="152"/>
      <c r="B123" s="153"/>
      <c r="C123" s="153"/>
      <c r="D123" s="154"/>
      <c r="E123" s="140"/>
      <c r="F123" s="140"/>
    </row>
    <row r="124">
      <c r="A124" s="152"/>
      <c r="B124" s="153"/>
      <c r="C124" s="153"/>
      <c r="D124" s="154"/>
      <c r="E124" s="140"/>
      <c r="F124" s="140"/>
    </row>
    <row r="125">
      <c r="A125" s="152"/>
      <c r="B125" s="153"/>
      <c r="C125" s="153"/>
      <c r="D125" s="154"/>
      <c r="E125" s="140"/>
      <c r="F125" s="140"/>
    </row>
    <row r="126">
      <c r="A126" s="152"/>
      <c r="B126" s="153"/>
      <c r="C126" s="153"/>
      <c r="D126" s="154"/>
      <c r="E126" s="140"/>
      <c r="F126" s="140"/>
    </row>
    <row r="127">
      <c r="A127" s="152"/>
      <c r="B127" s="153"/>
      <c r="C127" s="153"/>
      <c r="D127" s="154"/>
      <c r="E127" s="140"/>
      <c r="F127" s="140"/>
    </row>
    <row r="128">
      <c r="A128" s="152"/>
      <c r="B128" s="153"/>
      <c r="C128" s="153"/>
      <c r="D128" s="154"/>
      <c r="E128" s="140"/>
      <c r="F128" s="140"/>
    </row>
    <row r="129">
      <c r="A129" s="152"/>
      <c r="B129" s="153"/>
      <c r="C129" s="153"/>
      <c r="D129" s="154"/>
      <c r="E129" s="140"/>
      <c r="F129" s="140"/>
    </row>
    <row r="130">
      <c r="A130" s="152"/>
      <c r="B130" s="153"/>
      <c r="C130" s="153"/>
      <c r="D130" s="154"/>
      <c r="E130" s="140"/>
      <c r="F130" s="140"/>
    </row>
    <row r="131">
      <c r="A131" s="152"/>
      <c r="B131" s="153"/>
      <c r="C131" s="153"/>
      <c r="D131" s="154"/>
      <c r="E131" s="140"/>
      <c r="F131" s="140"/>
    </row>
    <row r="132">
      <c r="A132" s="152"/>
      <c r="B132" s="153"/>
      <c r="C132" s="153"/>
      <c r="D132" s="154"/>
      <c r="E132" s="140"/>
      <c r="F132" s="140"/>
    </row>
    <row r="133">
      <c r="A133" s="152"/>
      <c r="B133" s="153"/>
      <c r="C133" s="153"/>
      <c r="D133" s="154"/>
      <c r="E133" s="140"/>
      <c r="F133" s="140"/>
    </row>
    <row r="134">
      <c r="A134" s="152"/>
      <c r="B134" s="153"/>
      <c r="C134" s="153"/>
      <c r="D134" s="154"/>
      <c r="E134" s="140"/>
      <c r="F134" s="140"/>
    </row>
    <row r="135">
      <c r="A135" s="152"/>
      <c r="B135" s="153"/>
      <c r="C135" s="153"/>
      <c r="D135" s="154"/>
      <c r="E135" s="140"/>
      <c r="F135" s="140"/>
    </row>
    <row r="136">
      <c r="A136" s="152"/>
      <c r="B136" s="153"/>
      <c r="C136" s="153"/>
      <c r="D136" s="154"/>
      <c r="E136" s="140"/>
      <c r="F136" s="140"/>
    </row>
    <row r="137">
      <c r="A137" s="152"/>
      <c r="B137" s="153"/>
      <c r="C137" s="153"/>
      <c r="D137" s="154"/>
      <c r="E137" s="140"/>
      <c r="F137" s="140"/>
    </row>
    <row r="138">
      <c r="A138" s="152"/>
      <c r="B138" s="153"/>
      <c r="C138" s="153"/>
      <c r="D138" s="154"/>
      <c r="E138" s="140"/>
      <c r="F138" s="140"/>
    </row>
    <row r="139">
      <c r="A139" s="152"/>
      <c r="B139" s="153"/>
      <c r="C139" s="153"/>
      <c r="D139" s="154"/>
      <c r="E139" s="140"/>
      <c r="F139" s="140"/>
    </row>
    <row r="140">
      <c r="A140" s="152"/>
      <c r="B140" s="153"/>
      <c r="C140" s="153"/>
      <c r="D140" s="154"/>
      <c r="E140" s="140"/>
      <c r="F140" s="140"/>
    </row>
    <row r="141">
      <c r="A141" s="152"/>
      <c r="B141" s="153"/>
      <c r="C141" s="153"/>
      <c r="D141" s="154"/>
      <c r="E141" s="140"/>
      <c r="F141" s="140"/>
    </row>
    <row r="142">
      <c r="A142" s="152"/>
      <c r="B142" s="153"/>
      <c r="C142" s="153"/>
      <c r="D142" s="154"/>
      <c r="E142" s="140"/>
      <c r="F142" s="140"/>
    </row>
    <row r="143">
      <c r="A143" s="152"/>
      <c r="B143" s="153"/>
      <c r="C143" s="153"/>
      <c r="D143" s="154"/>
      <c r="E143" s="140"/>
      <c r="F143" s="140"/>
    </row>
    <row r="144">
      <c r="A144" s="152"/>
      <c r="B144" s="153"/>
      <c r="C144" s="153"/>
      <c r="D144" s="154"/>
      <c r="E144" s="140"/>
      <c r="F144" s="140"/>
    </row>
    <row r="145">
      <c r="A145" s="152"/>
      <c r="B145" s="153"/>
      <c r="C145" s="153"/>
      <c r="D145" s="154"/>
      <c r="E145" s="140"/>
      <c r="F145" s="140"/>
    </row>
    <row r="146">
      <c r="A146" s="152"/>
      <c r="B146" s="153"/>
      <c r="C146" s="153"/>
      <c r="D146" s="154"/>
      <c r="E146" s="140"/>
      <c r="F146" s="140"/>
    </row>
    <row r="147">
      <c r="A147" s="152"/>
      <c r="B147" s="153"/>
      <c r="C147" s="153"/>
      <c r="D147" s="154"/>
      <c r="E147" s="140"/>
      <c r="F147" s="140"/>
    </row>
    <row r="148">
      <c r="A148" s="152"/>
      <c r="B148" s="153"/>
      <c r="C148" s="153"/>
      <c r="D148" s="154"/>
      <c r="E148" s="140"/>
      <c r="F148" s="140"/>
    </row>
    <row r="149">
      <c r="A149" s="152"/>
      <c r="B149" s="153"/>
      <c r="C149" s="153"/>
      <c r="D149" s="154"/>
      <c r="E149" s="140"/>
      <c r="F149" s="140"/>
    </row>
    <row r="150">
      <c r="A150" s="152"/>
      <c r="B150" s="153"/>
      <c r="C150" s="153"/>
      <c r="D150" s="154"/>
      <c r="E150" s="140"/>
      <c r="F150" s="140"/>
    </row>
    <row r="151">
      <c r="A151" s="152"/>
      <c r="B151" s="153"/>
      <c r="C151" s="153"/>
      <c r="D151" s="154"/>
      <c r="E151" s="140"/>
      <c r="F151" s="140"/>
    </row>
    <row r="152">
      <c r="A152" s="152"/>
      <c r="B152" s="153"/>
      <c r="C152" s="153"/>
      <c r="D152" s="154"/>
      <c r="E152" s="140"/>
      <c r="F152" s="140"/>
    </row>
    <row r="153">
      <c r="A153" s="152"/>
      <c r="B153" s="153"/>
      <c r="C153" s="153"/>
      <c r="D153" s="154"/>
      <c r="E153" s="140"/>
      <c r="F153" s="140"/>
    </row>
    <row r="154">
      <c r="A154" s="152"/>
      <c r="B154" s="153"/>
      <c r="C154" s="153"/>
      <c r="D154" s="154"/>
      <c r="E154" s="140"/>
      <c r="F154" s="140"/>
    </row>
    <row r="155">
      <c r="A155" s="152"/>
      <c r="B155" s="153"/>
      <c r="C155" s="153"/>
      <c r="D155" s="154"/>
      <c r="E155" s="140"/>
      <c r="F155" s="140"/>
    </row>
    <row r="156">
      <c r="A156" s="152"/>
      <c r="B156" s="153"/>
      <c r="C156" s="153"/>
      <c r="D156" s="154"/>
      <c r="E156" s="140"/>
      <c r="F156" s="140"/>
    </row>
    <row r="157">
      <c r="A157" s="152"/>
      <c r="B157" s="153"/>
      <c r="C157" s="153"/>
      <c r="D157" s="154"/>
      <c r="E157" s="140"/>
      <c r="F157" s="140"/>
    </row>
    <row r="158">
      <c r="A158" s="152"/>
      <c r="B158" s="153"/>
      <c r="C158" s="153"/>
      <c r="D158" s="154"/>
      <c r="E158" s="140"/>
      <c r="F158" s="140"/>
    </row>
    <row r="159">
      <c r="A159" s="152"/>
      <c r="B159" s="153"/>
      <c r="C159" s="153"/>
      <c r="D159" s="154"/>
      <c r="E159" s="140"/>
      <c r="F159" s="140"/>
    </row>
    <row r="160">
      <c r="A160" s="152"/>
      <c r="B160" s="153"/>
      <c r="C160" s="153"/>
      <c r="D160" s="154"/>
      <c r="E160" s="140"/>
      <c r="F160" s="140"/>
    </row>
    <row r="161">
      <c r="A161" s="152"/>
      <c r="B161" s="153"/>
      <c r="C161" s="153"/>
      <c r="D161" s="154"/>
      <c r="E161" s="140"/>
      <c r="F161" s="140"/>
    </row>
    <row r="162">
      <c r="A162" s="152"/>
      <c r="B162" s="153"/>
      <c r="C162" s="153"/>
      <c r="D162" s="154"/>
      <c r="E162" s="140"/>
      <c r="F162" s="140"/>
    </row>
    <row r="163">
      <c r="A163" s="152"/>
      <c r="B163" s="153"/>
      <c r="C163" s="153"/>
      <c r="D163" s="154"/>
      <c r="E163" s="140"/>
      <c r="F163" s="140"/>
    </row>
    <row r="164">
      <c r="A164" s="152"/>
      <c r="B164" s="153"/>
      <c r="C164" s="153"/>
      <c r="D164" s="154"/>
      <c r="E164" s="140"/>
      <c r="F164" s="140"/>
    </row>
    <row r="165">
      <c r="A165" s="152"/>
      <c r="B165" s="153"/>
      <c r="C165" s="153"/>
      <c r="D165" s="154"/>
      <c r="E165" s="140"/>
      <c r="F165" s="140"/>
    </row>
    <row r="166">
      <c r="A166" s="152"/>
      <c r="B166" s="153"/>
      <c r="C166" s="153"/>
      <c r="D166" s="154"/>
      <c r="E166" s="140"/>
      <c r="F166" s="140"/>
    </row>
    <row r="167">
      <c r="A167" s="152"/>
      <c r="B167" s="153"/>
      <c r="C167" s="153"/>
      <c r="D167" s="154"/>
      <c r="E167" s="140"/>
      <c r="F167" s="140"/>
    </row>
    <row r="168">
      <c r="A168" s="152"/>
      <c r="B168" s="153"/>
      <c r="C168" s="153"/>
      <c r="D168" s="154"/>
      <c r="E168" s="140"/>
      <c r="F168" s="140"/>
    </row>
    <row r="169">
      <c r="A169" s="152"/>
      <c r="B169" s="153"/>
      <c r="C169" s="153"/>
      <c r="D169" s="154"/>
      <c r="E169" s="140"/>
      <c r="F169" s="140"/>
    </row>
    <row r="170">
      <c r="A170" s="152"/>
      <c r="B170" s="153"/>
      <c r="C170" s="153"/>
      <c r="D170" s="154"/>
      <c r="E170" s="140"/>
      <c r="F170" s="140"/>
    </row>
    <row r="171">
      <c r="A171" s="152"/>
      <c r="B171" s="153"/>
      <c r="C171" s="153"/>
      <c r="D171" s="154"/>
      <c r="E171" s="140"/>
      <c r="F171" s="140"/>
    </row>
    <row r="172">
      <c r="A172" s="152"/>
      <c r="B172" s="153"/>
      <c r="C172" s="153"/>
      <c r="D172" s="154"/>
      <c r="E172" s="140"/>
      <c r="F172" s="140"/>
    </row>
    <row r="173">
      <c r="A173" s="152"/>
      <c r="B173" s="153"/>
      <c r="C173" s="153"/>
      <c r="D173" s="154"/>
      <c r="E173" s="140"/>
      <c r="F173" s="140"/>
    </row>
    <row r="174">
      <c r="A174" s="152"/>
      <c r="B174" s="153"/>
      <c r="C174" s="153"/>
      <c r="D174" s="154"/>
      <c r="E174" s="140"/>
      <c r="F174" s="140"/>
    </row>
    <row r="175">
      <c r="A175" s="152"/>
      <c r="B175" s="153"/>
      <c r="C175" s="153"/>
      <c r="D175" s="154"/>
      <c r="E175" s="140"/>
      <c r="F175" s="140"/>
    </row>
    <row r="176">
      <c r="A176" s="152"/>
      <c r="B176" s="153"/>
      <c r="C176" s="153"/>
      <c r="D176" s="154"/>
      <c r="E176" s="140"/>
      <c r="F176" s="140"/>
    </row>
    <row r="177">
      <c r="A177" s="152"/>
      <c r="B177" s="153"/>
      <c r="C177" s="153"/>
      <c r="D177" s="154"/>
      <c r="E177" s="140"/>
      <c r="F177" s="140"/>
    </row>
    <row r="178">
      <c r="A178" s="152"/>
      <c r="B178" s="153"/>
      <c r="C178" s="153"/>
      <c r="D178" s="154"/>
      <c r="E178" s="140"/>
      <c r="F178" s="140"/>
    </row>
    <row r="179">
      <c r="A179" s="152"/>
      <c r="B179" s="153"/>
      <c r="C179" s="153"/>
      <c r="D179" s="154"/>
      <c r="E179" s="140"/>
      <c r="F179" s="140"/>
    </row>
    <row r="180">
      <c r="A180" s="152"/>
      <c r="B180" s="153"/>
      <c r="C180" s="153"/>
      <c r="D180" s="154"/>
      <c r="E180" s="140"/>
      <c r="F180" s="140"/>
    </row>
    <row r="181">
      <c r="A181" s="152"/>
      <c r="B181" s="153"/>
      <c r="C181" s="153"/>
      <c r="D181" s="154"/>
      <c r="E181" s="140"/>
      <c r="F181" s="140"/>
    </row>
    <row r="182">
      <c r="A182" s="152"/>
      <c r="B182" s="153"/>
      <c r="C182" s="153"/>
      <c r="D182" s="154"/>
      <c r="E182" s="140"/>
      <c r="F182" s="140"/>
    </row>
    <row r="183">
      <c r="A183" s="152"/>
      <c r="B183" s="153"/>
      <c r="C183" s="153"/>
      <c r="D183" s="154"/>
      <c r="E183" s="140"/>
      <c r="F183" s="140"/>
    </row>
    <row r="184">
      <c r="A184" s="152"/>
      <c r="B184" s="153"/>
      <c r="C184" s="153"/>
      <c r="D184" s="154"/>
      <c r="E184" s="140"/>
      <c r="F184" s="140"/>
    </row>
    <row r="185">
      <c r="A185" s="152"/>
      <c r="B185" s="153"/>
      <c r="C185" s="153"/>
      <c r="D185" s="154"/>
      <c r="E185" s="140"/>
      <c r="F185" s="140"/>
    </row>
    <row r="186">
      <c r="A186" s="152"/>
      <c r="B186" s="153"/>
      <c r="C186" s="153"/>
      <c r="D186" s="154"/>
      <c r="E186" s="140"/>
      <c r="F186" s="140"/>
    </row>
    <row r="187">
      <c r="A187" s="152"/>
      <c r="B187" s="153"/>
      <c r="C187" s="153"/>
      <c r="D187" s="154"/>
      <c r="E187" s="140"/>
      <c r="F187" s="140"/>
    </row>
    <row r="188">
      <c r="A188" s="152"/>
      <c r="B188" s="153"/>
      <c r="C188" s="153"/>
      <c r="D188" s="154"/>
      <c r="E188" s="140"/>
      <c r="F188" s="140"/>
    </row>
    <row r="189">
      <c r="A189" s="152"/>
      <c r="B189" s="153"/>
      <c r="C189" s="153"/>
      <c r="D189" s="154"/>
      <c r="E189" s="140"/>
      <c r="F189" s="140"/>
    </row>
    <row r="190">
      <c r="A190" s="152"/>
      <c r="B190" s="153"/>
      <c r="C190" s="153"/>
      <c r="D190" s="154"/>
      <c r="E190" s="140"/>
      <c r="F190" s="140"/>
    </row>
    <row r="191">
      <c r="A191" s="152"/>
      <c r="B191" s="153"/>
      <c r="C191" s="153"/>
      <c r="D191" s="154"/>
      <c r="E191" s="140"/>
      <c r="F191" s="140"/>
    </row>
    <row r="192">
      <c r="A192" s="152"/>
      <c r="B192" s="153"/>
      <c r="C192" s="153"/>
      <c r="D192" s="154"/>
      <c r="E192" s="140"/>
      <c r="F192" s="140"/>
    </row>
    <row r="193">
      <c r="A193" s="152"/>
      <c r="B193" s="153"/>
      <c r="C193" s="153"/>
      <c r="D193" s="154"/>
      <c r="E193" s="140"/>
      <c r="F193" s="140"/>
    </row>
    <row r="194">
      <c r="A194" s="152"/>
      <c r="B194" s="153"/>
      <c r="C194" s="153"/>
      <c r="D194" s="154"/>
      <c r="E194" s="140"/>
      <c r="F194" s="140"/>
    </row>
    <row r="195">
      <c r="A195" s="152"/>
      <c r="B195" s="153"/>
      <c r="C195" s="153"/>
      <c r="D195" s="154"/>
      <c r="E195" s="140"/>
      <c r="F195" s="140"/>
    </row>
    <row r="196">
      <c r="A196" s="152"/>
      <c r="B196" s="153"/>
      <c r="C196" s="153"/>
      <c r="D196" s="154"/>
      <c r="E196" s="140"/>
      <c r="F196" s="140"/>
    </row>
    <row r="197">
      <c r="A197" s="152"/>
      <c r="B197" s="153"/>
      <c r="C197" s="153"/>
      <c r="D197" s="154"/>
      <c r="E197" s="140"/>
      <c r="F197" s="140"/>
    </row>
    <row r="198">
      <c r="A198" s="152"/>
      <c r="B198" s="153"/>
      <c r="C198" s="153"/>
      <c r="D198" s="154"/>
      <c r="E198" s="140"/>
      <c r="F198" s="140"/>
    </row>
    <row r="199">
      <c r="A199" s="152"/>
      <c r="B199" s="153"/>
      <c r="C199" s="153"/>
      <c r="D199" s="154"/>
      <c r="E199" s="140"/>
      <c r="F199" s="140"/>
    </row>
    <row r="200">
      <c r="A200" s="152"/>
      <c r="B200" s="153"/>
      <c r="C200" s="153"/>
      <c r="D200" s="154"/>
      <c r="E200" s="140"/>
      <c r="F200" s="140"/>
    </row>
    <row r="201">
      <c r="A201" s="152"/>
      <c r="B201" s="153"/>
      <c r="C201" s="153"/>
      <c r="D201" s="154"/>
      <c r="E201" s="140"/>
      <c r="F201" s="140"/>
    </row>
    <row r="202">
      <c r="A202" s="152"/>
      <c r="B202" s="153"/>
      <c r="C202" s="153"/>
      <c r="D202" s="154"/>
      <c r="E202" s="140"/>
      <c r="F202" s="140"/>
    </row>
    <row r="203">
      <c r="A203" s="152"/>
      <c r="B203" s="153"/>
      <c r="C203" s="153"/>
      <c r="D203" s="154"/>
      <c r="E203" s="140"/>
      <c r="F203" s="140"/>
    </row>
    <row r="204">
      <c r="A204" s="152"/>
      <c r="B204" s="153"/>
      <c r="C204" s="153"/>
      <c r="D204" s="154"/>
      <c r="E204" s="140"/>
      <c r="F204" s="140"/>
    </row>
    <row r="205">
      <c r="A205" s="152"/>
      <c r="B205" s="153"/>
      <c r="C205" s="153"/>
      <c r="D205" s="154"/>
      <c r="E205" s="140"/>
      <c r="F205" s="140"/>
    </row>
    <row r="206">
      <c r="A206" s="152"/>
      <c r="B206" s="153"/>
      <c r="C206" s="153"/>
      <c r="D206" s="154"/>
      <c r="E206" s="140"/>
      <c r="F206" s="140"/>
    </row>
    <row r="207">
      <c r="A207" s="152"/>
      <c r="B207" s="153"/>
      <c r="C207" s="153"/>
      <c r="D207" s="154"/>
      <c r="E207" s="140"/>
      <c r="F207" s="140"/>
    </row>
    <row r="208">
      <c r="A208" s="152"/>
      <c r="B208" s="153"/>
      <c r="C208" s="153"/>
      <c r="D208" s="154"/>
      <c r="E208" s="140"/>
      <c r="F208" s="140"/>
    </row>
    <row r="209">
      <c r="A209" s="152"/>
      <c r="B209" s="153"/>
      <c r="C209" s="153"/>
      <c r="D209" s="154"/>
      <c r="E209" s="140"/>
      <c r="F209" s="140"/>
    </row>
    <row r="210">
      <c r="A210" s="152"/>
      <c r="B210" s="153"/>
      <c r="C210" s="153"/>
      <c r="D210" s="154"/>
      <c r="E210" s="140"/>
      <c r="F210" s="140"/>
    </row>
    <row r="211">
      <c r="A211" s="152"/>
      <c r="B211" s="153"/>
      <c r="C211" s="153"/>
      <c r="D211" s="154"/>
      <c r="E211" s="140"/>
      <c r="F211" s="140"/>
    </row>
    <row r="212">
      <c r="A212" s="152"/>
      <c r="B212" s="153"/>
      <c r="C212" s="153"/>
      <c r="D212" s="154"/>
      <c r="E212" s="140"/>
      <c r="F212" s="140"/>
    </row>
    <row r="213">
      <c r="A213" s="152"/>
      <c r="B213" s="153"/>
      <c r="C213" s="153"/>
      <c r="D213" s="154"/>
      <c r="E213" s="140"/>
      <c r="F213" s="140"/>
    </row>
    <row r="214">
      <c r="A214" s="152"/>
      <c r="B214" s="153"/>
      <c r="C214" s="153"/>
      <c r="D214" s="154"/>
      <c r="E214" s="140"/>
      <c r="F214" s="140"/>
    </row>
    <row r="215">
      <c r="A215" s="152"/>
      <c r="B215" s="153"/>
      <c r="C215" s="153"/>
      <c r="D215" s="154"/>
      <c r="E215" s="140"/>
      <c r="F215" s="140"/>
    </row>
    <row r="216">
      <c r="A216" s="152"/>
      <c r="B216" s="153"/>
      <c r="C216" s="153"/>
      <c r="D216" s="154"/>
      <c r="E216" s="140"/>
      <c r="F216" s="140"/>
    </row>
    <row r="217">
      <c r="A217" s="152"/>
      <c r="B217" s="153"/>
      <c r="C217" s="153"/>
      <c r="D217" s="154"/>
      <c r="E217" s="140"/>
      <c r="F217" s="140"/>
    </row>
    <row r="218">
      <c r="A218" s="152"/>
      <c r="B218" s="153"/>
      <c r="C218" s="153"/>
      <c r="D218" s="154"/>
      <c r="E218" s="140"/>
      <c r="F218" s="140"/>
    </row>
    <row r="219">
      <c r="A219" s="152"/>
      <c r="B219" s="153"/>
      <c r="C219" s="153"/>
      <c r="D219" s="154"/>
      <c r="E219" s="140"/>
      <c r="F219" s="140"/>
    </row>
    <row r="220">
      <c r="A220" s="152"/>
      <c r="B220" s="153"/>
      <c r="C220" s="153"/>
      <c r="D220" s="154"/>
      <c r="E220" s="140"/>
      <c r="F220" s="140"/>
    </row>
    <row r="221">
      <c r="A221" s="152"/>
      <c r="B221" s="153"/>
      <c r="C221" s="153"/>
      <c r="D221" s="154"/>
      <c r="E221" s="140"/>
      <c r="F221" s="140"/>
    </row>
    <row r="222">
      <c r="A222" s="152"/>
      <c r="B222" s="153"/>
      <c r="C222" s="153"/>
      <c r="D222" s="154"/>
      <c r="E222" s="140"/>
      <c r="F222" s="140"/>
    </row>
    <row r="223">
      <c r="A223" s="152"/>
      <c r="B223" s="153"/>
      <c r="C223" s="153"/>
      <c r="D223" s="154"/>
      <c r="E223" s="140"/>
      <c r="F223" s="140"/>
    </row>
    <row r="224">
      <c r="A224" s="152"/>
      <c r="B224" s="153"/>
      <c r="C224" s="153"/>
      <c r="D224" s="154"/>
      <c r="E224" s="140"/>
      <c r="F224" s="140"/>
    </row>
    <row r="225">
      <c r="A225" s="152"/>
      <c r="B225" s="153"/>
      <c r="C225" s="153"/>
      <c r="D225" s="154"/>
      <c r="E225" s="140"/>
      <c r="F225" s="140"/>
    </row>
    <row r="226">
      <c r="A226" s="152"/>
      <c r="B226" s="153"/>
      <c r="C226" s="153"/>
      <c r="D226" s="154"/>
      <c r="E226" s="140"/>
      <c r="F226" s="140"/>
    </row>
    <row r="227">
      <c r="A227" s="152"/>
      <c r="B227" s="153"/>
      <c r="C227" s="153"/>
      <c r="D227" s="154"/>
      <c r="E227" s="140"/>
      <c r="F227" s="140"/>
    </row>
    <row r="228">
      <c r="A228" s="152"/>
      <c r="B228" s="153"/>
      <c r="C228" s="153"/>
      <c r="D228" s="154"/>
      <c r="E228" s="140"/>
      <c r="F228" s="140"/>
    </row>
    <row r="229">
      <c r="A229" s="152"/>
      <c r="B229" s="153"/>
      <c r="C229" s="153"/>
      <c r="D229" s="154"/>
      <c r="E229" s="140"/>
      <c r="F229" s="140"/>
    </row>
    <row r="230">
      <c r="A230" s="152"/>
      <c r="B230" s="153"/>
      <c r="C230" s="153"/>
      <c r="D230" s="154"/>
      <c r="E230" s="140"/>
      <c r="F230" s="140"/>
    </row>
    <row r="231">
      <c r="A231" s="152"/>
      <c r="B231" s="153"/>
      <c r="C231" s="153"/>
      <c r="D231" s="154"/>
      <c r="E231" s="140"/>
      <c r="F231" s="140"/>
    </row>
    <row r="232">
      <c r="A232" s="152"/>
      <c r="B232" s="153"/>
      <c r="C232" s="153"/>
      <c r="D232" s="154"/>
      <c r="E232" s="140"/>
      <c r="F232" s="140"/>
    </row>
    <row r="233">
      <c r="A233" s="152"/>
      <c r="B233" s="153"/>
      <c r="C233" s="153"/>
      <c r="D233" s="154"/>
      <c r="E233" s="140"/>
      <c r="F233" s="140"/>
    </row>
    <row r="234">
      <c r="A234" s="152"/>
      <c r="B234" s="153"/>
      <c r="C234" s="153"/>
      <c r="D234" s="154"/>
      <c r="E234" s="140"/>
      <c r="F234" s="140"/>
    </row>
    <row r="235">
      <c r="A235" s="152"/>
      <c r="B235" s="153"/>
      <c r="C235" s="153"/>
      <c r="D235" s="154"/>
      <c r="E235" s="140"/>
      <c r="F235" s="140"/>
    </row>
    <row r="236">
      <c r="A236" s="152"/>
      <c r="B236" s="153"/>
      <c r="C236" s="153"/>
      <c r="D236" s="154"/>
      <c r="E236" s="140"/>
      <c r="F236" s="140"/>
    </row>
    <row r="237">
      <c r="A237" s="152"/>
      <c r="B237" s="153"/>
      <c r="C237" s="153"/>
      <c r="D237" s="154"/>
      <c r="E237" s="140"/>
      <c r="F237" s="140"/>
    </row>
    <row r="238">
      <c r="A238" s="152"/>
      <c r="B238" s="153"/>
      <c r="C238" s="153"/>
      <c r="D238" s="154"/>
      <c r="E238" s="140"/>
      <c r="F238" s="140"/>
    </row>
    <row r="239">
      <c r="A239" s="152"/>
      <c r="B239" s="153"/>
      <c r="C239" s="153"/>
      <c r="D239" s="154"/>
      <c r="E239" s="140"/>
      <c r="F239" s="140"/>
    </row>
    <row r="240">
      <c r="A240" s="152"/>
      <c r="B240" s="153"/>
      <c r="C240" s="153"/>
      <c r="D240" s="154"/>
      <c r="E240" s="140"/>
      <c r="F240" s="140"/>
    </row>
    <row r="241">
      <c r="A241" s="152"/>
      <c r="B241" s="153"/>
      <c r="C241" s="153"/>
      <c r="D241" s="154"/>
      <c r="E241" s="140"/>
      <c r="F241" s="140"/>
    </row>
    <row r="242">
      <c r="A242" s="152"/>
      <c r="B242" s="153"/>
      <c r="C242" s="153"/>
      <c r="D242" s="154"/>
      <c r="E242" s="140"/>
      <c r="F242" s="140"/>
    </row>
    <row r="243">
      <c r="A243" s="152"/>
      <c r="B243" s="153"/>
      <c r="C243" s="153"/>
      <c r="D243" s="154"/>
      <c r="E243" s="140"/>
      <c r="F243" s="140"/>
    </row>
    <row r="244">
      <c r="A244" s="152"/>
      <c r="B244" s="153"/>
      <c r="C244" s="153"/>
      <c r="D244" s="154"/>
      <c r="E244" s="140"/>
      <c r="F244" s="140"/>
    </row>
    <row r="245">
      <c r="A245" s="152"/>
      <c r="B245" s="153"/>
      <c r="C245" s="153"/>
      <c r="D245" s="154"/>
      <c r="E245" s="140"/>
      <c r="F245" s="140"/>
    </row>
    <row r="246">
      <c r="A246" s="152"/>
      <c r="B246" s="153"/>
      <c r="C246" s="153"/>
      <c r="D246" s="154"/>
      <c r="E246" s="140"/>
      <c r="F246" s="140"/>
    </row>
    <row r="247">
      <c r="A247" s="152"/>
      <c r="B247" s="153"/>
      <c r="C247" s="153"/>
      <c r="D247" s="154"/>
      <c r="E247" s="140"/>
      <c r="F247" s="140"/>
    </row>
    <row r="248">
      <c r="A248" s="152"/>
      <c r="B248" s="153"/>
      <c r="C248" s="153"/>
      <c r="D248" s="154"/>
      <c r="E248" s="140"/>
      <c r="F248" s="140"/>
    </row>
    <row r="249">
      <c r="A249" s="152"/>
      <c r="B249" s="153"/>
      <c r="C249" s="153"/>
      <c r="D249" s="154"/>
      <c r="E249" s="140"/>
      <c r="F249" s="140"/>
    </row>
    <row r="250">
      <c r="A250" s="152"/>
      <c r="B250" s="153"/>
      <c r="C250" s="153"/>
      <c r="D250" s="154"/>
      <c r="E250" s="140"/>
      <c r="F250" s="140"/>
    </row>
    <row r="251">
      <c r="A251" s="152"/>
      <c r="B251" s="153"/>
      <c r="C251" s="153"/>
      <c r="D251" s="154"/>
      <c r="E251" s="140"/>
      <c r="F251" s="140"/>
    </row>
    <row r="252">
      <c r="A252" s="152"/>
      <c r="B252" s="153"/>
      <c r="C252" s="153"/>
      <c r="D252" s="154"/>
      <c r="E252" s="140"/>
      <c r="F252" s="140"/>
    </row>
    <row r="253">
      <c r="A253" s="152"/>
      <c r="B253" s="153"/>
      <c r="C253" s="153"/>
      <c r="D253" s="154"/>
      <c r="E253" s="140"/>
      <c r="F253" s="140"/>
    </row>
    <row r="254">
      <c r="A254" s="152"/>
      <c r="B254" s="153"/>
      <c r="C254" s="153"/>
      <c r="D254" s="154"/>
      <c r="E254" s="140"/>
      <c r="F254" s="140"/>
    </row>
    <row r="255">
      <c r="A255" s="152"/>
      <c r="B255" s="153"/>
      <c r="C255" s="153"/>
      <c r="D255" s="154"/>
      <c r="E255" s="140"/>
      <c r="F255" s="140"/>
    </row>
    <row r="256">
      <c r="A256" s="152"/>
      <c r="B256" s="153"/>
      <c r="C256" s="153"/>
      <c r="D256" s="154"/>
      <c r="E256" s="140"/>
      <c r="F256" s="140"/>
    </row>
    <row r="257">
      <c r="A257" s="152"/>
      <c r="B257" s="153"/>
      <c r="C257" s="153"/>
      <c r="D257" s="154"/>
      <c r="E257" s="140"/>
      <c r="F257" s="140"/>
    </row>
    <row r="258">
      <c r="A258" s="152"/>
      <c r="B258" s="153"/>
      <c r="C258" s="153"/>
      <c r="D258" s="154"/>
      <c r="E258" s="140"/>
      <c r="F258" s="140"/>
    </row>
    <row r="259">
      <c r="A259" s="152"/>
      <c r="B259" s="153"/>
      <c r="C259" s="153"/>
      <c r="D259" s="154"/>
      <c r="E259" s="140"/>
      <c r="F259" s="140"/>
    </row>
    <row r="260">
      <c r="A260" s="152"/>
      <c r="B260" s="153"/>
      <c r="C260" s="153"/>
      <c r="D260" s="154"/>
      <c r="E260" s="140"/>
      <c r="F260" s="140"/>
    </row>
    <row r="261">
      <c r="A261" s="152"/>
      <c r="B261" s="153"/>
      <c r="C261" s="153"/>
      <c r="D261" s="154"/>
      <c r="E261" s="140"/>
      <c r="F261" s="140"/>
    </row>
    <row r="262">
      <c r="A262" s="152"/>
      <c r="B262" s="153"/>
      <c r="C262" s="153"/>
      <c r="D262" s="154"/>
      <c r="E262" s="140"/>
      <c r="F262" s="140"/>
    </row>
    <row r="263">
      <c r="A263" s="152"/>
      <c r="B263" s="153"/>
      <c r="C263" s="153"/>
      <c r="D263" s="154"/>
      <c r="E263" s="140"/>
      <c r="F263" s="140"/>
    </row>
    <row r="264">
      <c r="A264" s="152"/>
      <c r="B264" s="153"/>
      <c r="C264" s="153"/>
      <c r="D264" s="154"/>
      <c r="E264" s="140"/>
      <c r="F264" s="140"/>
    </row>
    <row r="265">
      <c r="A265" s="152"/>
      <c r="B265" s="153"/>
      <c r="C265" s="153"/>
      <c r="D265" s="154"/>
      <c r="E265" s="140"/>
      <c r="F265" s="140"/>
    </row>
    <row r="266">
      <c r="A266" s="152"/>
      <c r="B266" s="153"/>
      <c r="C266" s="153"/>
      <c r="D266" s="154"/>
      <c r="E266" s="140"/>
      <c r="F266" s="140"/>
    </row>
    <row r="267">
      <c r="A267" s="152"/>
      <c r="B267" s="153"/>
      <c r="C267" s="153"/>
      <c r="D267" s="154"/>
      <c r="E267" s="140"/>
      <c r="F267" s="140"/>
    </row>
    <row r="268">
      <c r="A268" s="152"/>
      <c r="B268" s="153"/>
      <c r="C268" s="153"/>
      <c r="D268" s="154"/>
      <c r="E268" s="140"/>
      <c r="F268" s="140"/>
    </row>
    <row r="269">
      <c r="A269" s="152"/>
      <c r="B269" s="153"/>
      <c r="C269" s="153"/>
      <c r="D269" s="154"/>
      <c r="E269" s="140"/>
      <c r="F269" s="140"/>
    </row>
    <row r="270">
      <c r="A270" s="152"/>
      <c r="B270" s="153"/>
      <c r="C270" s="153"/>
      <c r="D270" s="154"/>
      <c r="E270" s="140"/>
      <c r="F270" s="140"/>
    </row>
    <row r="271">
      <c r="A271" s="152"/>
      <c r="B271" s="153"/>
      <c r="C271" s="153"/>
      <c r="D271" s="154"/>
      <c r="E271" s="140"/>
      <c r="F271" s="140"/>
    </row>
    <row r="272">
      <c r="A272" s="152"/>
      <c r="B272" s="153"/>
      <c r="C272" s="153"/>
      <c r="D272" s="154"/>
      <c r="E272" s="140"/>
      <c r="F272" s="140"/>
    </row>
    <row r="273">
      <c r="A273" s="152"/>
      <c r="B273" s="153"/>
      <c r="C273" s="153"/>
      <c r="D273" s="154"/>
      <c r="E273" s="140"/>
      <c r="F273" s="140"/>
    </row>
    <row r="274">
      <c r="A274" s="152"/>
      <c r="B274" s="153"/>
      <c r="C274" s="153"/>
      <c r="D274" s="154"/>
      <c r="E274" s="140"/>
      <c r="F274" s="140"/>
    </row>
    <row r="275">
      <c r="A275" s="152"/>
      <c r="B275" s="153"/>
      <c r="C275" s="153"/>
      <c r="D275" s="154"/>
      <c r="E275" s="140"/>
      <c r="F275" s="140"/>
    </row>
    <row r="276">
      <c r="A276" s="152"/>
      <c r="B276" s="153"/>
      <c r="C276" s="153"/>
      <c r="D276" s="154"/>
      <c r="E276" s="140"/>
      <c r="F276" s="140"/>
    </row>
    <row r="277">
      <c r="A277" s="152"/>
      <c r="B277" s="153"/>
      <c r="C277" s="153"/>
      <c r="D277" s="154"/>
      <c r="E277" s="140"/>
      <c r="F277" s="140"/>
    </row>
    <row r="278">
      <c r="A278" s="152"/>
      <c r="B278" s="153"/>
      <c r="C278" s="153"/>
      <c r="D278" s="154"/>
      <c r="E278" s="140"/>
      <c r="F278" s="140"/>
    </row>
    <row r="279">
      <c r="A279" s="152"/>
      <c r="B279" s="153"/>
      <c r="C279" s="153"/>
      <c r="D279" s="154"/>
      <c r="E279" s="140"/>
      <c r="F279" s="140"/>
    </row>
    <row r="280">
      <c r="A280" s="152"/>
      <c r="B280" s="153"/>
      <c r="C280" s="153"/>
      <c r="D280" s="154"/>
      <c r="E280" s="140"/>
      <c r="F280" s="140"/>
    </row>
    <row r="281">
      <c r="A281" s="152"/>
      <c r="B281" s="153"/>
      <c r="C281" s="153"/>
      <c r="D281" s="154"/>
      <c r="E281" s="140"/>
      <c r="F281" s="140"/>
    </row>
    <row r="282">
      <c r="A282" s="152"/>
      <c r="B282" s="153"/>
      <c r="C282" s="153"/>
      <c r="D282" s="154"/>
      <c r="E282" s="140"/>
      <c r="F282" s="140"/>
    </row>
    <row r="283">
      <c r="A283" s="152"/>
      <c r="B283" s="153"/>
      <c r="C283" s="153"/>
      <c r="D283" s="154"/>
      <c r="E283" s="140"/>
      <c r="F283" s="140"/>
    </row>
    <row r="284">
      <c r="A284" s="152"/>
      <c r="B284" s="153"/>
      <c r="C284" s="153"/>
      <c r="D284" s="154"/>
      <c r="E284" s="140"/>
      <c r="F284" s="140"/>
    </row>
    <row r="285">
      <c r="A285" s="152"/>
      <c r="B285" s="153"/>
      <c r="C285" s="153"/>
      <c r="D285" s="154"/>
      <c r="E285" s="140"/>
      <c r="F285" s="140"/>
    </row>
    <row r="286">
      <c r="A286" s="152"/>
      <c r="B286" s="153"/>
      <c r="C286" s="153"/>
      <c r="D286" s="154"/>
      <c r="E286" s="140"/>
      <c r="F286" s="140"/>
    </row>
    <row r="287">
      <c r="A287" s="152"/>
      <c r="B287" s="153"/>
      <c r="C287" s="153"/>
      <c r="D287" s="154"/>
      <c r="E287" s="140"/>
      <c r="F287" s="140"/>
    </row>
    <row r="288">
      <c r="A288" s="152"/>
      <c r="B288" s="153"/>
      <c r="C288" s="153"/>
      <c r="D288" s="154"/>
      <c r="E288" s="140"/>
      <c r="F288" s="140"/>
    </row>
    <row r="289">
      <c r="A289" s="152"/>
      <c r="B289" s="153"/>
      <c r="C289" s="153"/>
      <c r="D289" s="154"/>
      <c r="E289" s="140"/>
      <c r="F289" s="140"/>
    </row>
    <row r="290">
      <c r="A290" s="152"/>
      <c r="B290" s="153"/>
      <c r="C290" s="153"/>
      <c r="D290" s="154"/>
      <c r="E290" s="140"/>
      <c r="F290" s="140"/>
    </row>
    <row r="291">
      <c r="A291" s="152"/>
      <c r="B291" s="153"/>
      <c r="C291" s="153"/>
      <c r="D291" s="154"/>
      <c r="E291" s="140"/>
      <c r="F291" s="140"/>
    </row>
    <row r="292">
      <c r="A292" s="152"/>
      <c r="B292" s="153"/>
      <c r="C292" s="153"/>
      <c r="D292" s="154"/>
      <c r="E292" s="140"/>
      <c r="F292" s="140"/>
    </row>
    <row r="293">
      <c r="A293" s="152"/>
      <c r="B293" s="153"/>
      <c r="C293" s="153"/>
      <c r="D293" s="154"/>
      <c r="E293" s="140"/>
      <c r="F293" s="140"/>
    </row>
    <row r="294">
      <c r="A294" s="152"/>
      <c r="B294" s="153"/>
      <c r="C294" s="153"/>
      <c r="D294" s="154"/>
      <c r="E294" s="140"/>
      <c r="F294" s="140"/>
    </row>
    <row r="295">
      <c r="A295" s="152"/>
      <c r="B295" s="153"/>
      <c r="C295" s="153"/>
      <c r="D295" s="154"/>
      <c r="E295" s="140"/>
      <c r="F295" s="140"/>
    </row>
    <row r="296">
      <c r="A296" s="152"/>
      <c r="B296" s="153"/>
      <c r="C296" s="153"/>
      <c r="D296" s="154"/>
      <c r="E296" s="140"/>
      <c r="F296" s="140"/>
    </row>
    <row r="297">
      <c r="A297" s="152"/>
      <c r="B297" s="153"/>
      <c r="C297" s="153"/>
      <c r="D297" s="154"/>
      <c r="E297" s="140"/>
      <c r="F297" s="140"/>
    </row>
    <row r="298">
      <c r="A298" s="152"/>
      <c r="B298" s="153"/>
      <c r="C298" s="153"/>
      <c r="D298" s="154"/>
      <c r="E298" s="140"/>
      <c r="F298" s="140"/>
    </row>
    <row r="299">
      <c r="A299" s="152"/>
      <c r="B299" s="153"/>
      <c r="C299" s="153"/>
      <c r="D299" s="154"/>
      <c r="E299" s="140"/>
      <c r="F299" s="140"/>
    </row>
    <row r="300">
      <c r="A300" s="152"/>
      <c r="B300" s="153"/>
      <c r="C300" s="153"/>
      <c r="D300" s="154"/>
      <c r="E300" s="140"/>
      <c r="F300" s="140"/>
    </row>
    <row r="301">
      <c r="A301" s="152"/>
      <c r="B301" s="153"/>
      <c r="C301" s="153"/>
      <c r="D301" s="154"/>
      <c r="E301" s="140"/>
      <c r="F301" s="140"/>
    </row>
    <row r="302">
      <c r="A302" s="152"/>
      <c r="B302" s="153"/>
      <c r="C302" s="153"/>
      <c r="D302" s="154"/>
      <c r="E302" s="140"/>
      <c r="F302" s="140"/>
    </row>
    <row r="303">
      <c r="A303" s="152"/>
      <c r="B303" s="153"/>
      <c r="C303" s="153"/>
      <c r="D303" s="154"/>
      <c r="E303" s="140"/>
      <c r="F303" s="140"/>
    </row>
    <row r="304">
      <c r="A304" s="152"/>
      <c r="B304" s="153"/>
      <c r="C304" s="153"/>
      <c r="D304" s="154"/>
      <c r="E304" s="140"/>
      <c r="F304" s="140"/>
    </row>
    <row r="305">
      <c r="A305" s="152"/>
      <c r="B305" s="153"/>
      <c r="C305" s="153"/>
      <c r="D305" s="154"/>
      <c r="E305" s="140"/>
      <c r="F305" s="140"/>
    </row>
    <row r="306">
      <c r="A306" s="152"/>
      <c r="B306" s="153"/>
      <c r="C306" s="153"/>
      <c r="D306" s="154"/>
      <c r="E306" s="140"/>
      <c r="F306" s="140"/>
    </row>
    <row r="307">
      <c r="A307" s="152"/>
      <c r="B307" s="153"/>
      <c r="C307" s="153"/>
      <c r="D307" s="154"/>
      <c r="E307" s="140"/>
      <c r="F307" s="140"/>
    </row>
    <row r="308">
      <c r="A308" s="152"/>
      <c r="B308" s="153"/>
      <c r="C308" s="153"/>
      <c r="D308" s="154"/>
      <c r="E308" s="140"/>
      <c r="F308" s="140"/>
    </row>
    <row r="309">
      <c r="A309" s="152"/>
      <c r="B309" s="153"/>
      <c r="C309" s="153"/>
      <c r="D309" s="154"/>
      <c r="E309" s="140"/>
      <c r="F309" s="140"/>
    </row>
    <row r="310">
      <c r="A310" s="152"/>
      <c r="B310" s="153"/>
      <c r="C310" s="153"/>
      <c r="D310" s="154"/>
      <c r="E310" s="140"/>
      <c r="F310" s="140"/>
    </row>
    <row r="311">
      <c r="A311" s="152"/>
      <c r="B311" s="153"/>
      <c r="C311" s="153"/>
      <c r="D311" s="154"/>
      <c r="E311" s="140"/>
      <c r="F311" s="140"/>
    </row>
    <row r="312">
      <c r="A312" s="152"/>
      <c r="B312" s="153"/>
      <c r="C312" s="153"/>
      <c r="D312" s="154"/>
      <c r="E312" s="140"/>
      <c r="F312" s="140"/>
    </row>
    <row r="313">
      <c r="A313" s="152"/>
      <c r="B313" s="153"/>
      <c r="C313" s="153"/>
      <c r="D313" s="154"/>
      <c r="E313" s="140"/>
      <c r="F313" s="140"/>
    </row>
    <row r="314">
      <c r="A314" s="152"/>
      <c r="B314" s="153"/>
      <c r="C314" s="153"/>
      <c r="D314" s="154"/>
      <c r="E314" s="140"/>
      <c r="F314" s="140"/>
    </row>
    <row r="315">
      <c r="A315" s="152"/>
      <c r="B315" s="153"/>
      <c r="C315" s="153"/>
      <c r="D315" s="154"/>
      <c r="E315" s="140"/>
      <c r="F315" s="140"/>
    </row>
    <row r="316">
      <c r="A316" s="152"/>
      <c r="B316" s="153"/>
      <c r="C316" s="153"/>
      <c r="D316" s="154"/>
      <c r="E316" s="140"/>
      <c r="F316" s="140"/>
    </row>
    <row r="317">
      <c r="A317" s="152"/>
      <c r="B317" s="153"/>
      <c r="C317" s="153"/>
      <c r="D317" s="154"/>
      <c r="E317" s="140"/>
      <c r="F317" s="140"/>
    </row>
    <row r="318">
      <c r="A318" s="152"/>
      <c r="B318" s="153"/>
      <c r="C318" s="153"/>
      <c r="D318" s="154"/>
      <c r="E318" s="140"/>
      <c r="F318" s="140"/>
    </row>
    <row r="319">
      <c r="A319" s="152"/>
      <c r="B319" s="153"/>
      <c r="C319" s="153"/>
      <c r="D319" s="154"/>
      <c r="E319" s="140"/>
      <c r="F319" s="140"/>
    </row>
    <row r="320">
      <c r="A320" s="152"/>
      <c r="B320" s="153"/>
      <c r="C320" s="153"/>
      <c r="D320" s="154"/>
      <c r="E320" s="140"/>
      <c r="F320" s="140"/>
    </row>
    <row r="321">
      <c r="A321" s="152"/>
      <c r="B321" s="153"/>
      <c r="C321" s="153"/>
      <c r="D321" s="154"/>
      <c r="E321" s="140"/>
      <c r="F321" s="140"/>
    </row>
    <row r="322">
      <c r="A322" s="152"/>
      <c r="B322" s="153"/>
      <c r="C322" s="153"/>
      <c r="D322" s="154"/>
      <c r="E322" s="140"/>
      <c r="F322" s="140"/>
    </row>
    <row r="323">
      <c r="A323" s="152"/>
      <c r="B323" s="153"/>
      <c r="C323" s="153"/>
      <c r="D323" s="154"/>
      <c r="E323" s="140"/>
      <c r="F323" s="140"/>
    </row>
    <row r="324">
      <c r="A324" s="152"/>
      <c r="B324" s="153"/>
      <c r="C324" s="153"/>
      <c r="D324" s="154"/>
      <c r="E324" s="140"/>
      <c r="F324" s="140"/>
    </row>
    <row r="325">
      <c r="A325" s="152"/>
      <c r="B325" s="153"/>
      <c r="C325" s="153"/>
      <c r="D325" s="154"/>
      <c r="E325" s="140"/>
      <c r="F325" s="140"/>
    </row>
    <row r="326">
      <c r="A326" s="152"/>
      <c r="B326" s="153"/>
      <c r="C326" s="153"/>
      <c r="D326" s="154"/>
      <c r="E326" s="140"/>
      <c r="F326" s="140"/>
    </row>
    <row r="327">
      <c r="A327" s="152"/>
      <c r="B327" s="153"/>
      <c r="C327" s="153"/>
      <c r="D327" s="154"/>
      <c r="E327" s="140"/>
      <c r="F327" s="140"/>
    </row>
    <row r="328">
      <c r="A328" s="152"/>
      <c r="B328" s="153"/>
      <c r="C328" s="153"/>
      <c r="D328" s="154"/>
      <c r="E328" s="140"/>
      <c r="F328" s="140"/>
    </row>
    <row r="329">
      <c r="A329" s="152"/>
      <c r="B329" s="153"/>
      <c r="C329" s="153"/>
      <c r="D329" s="154"/>
      <c r="E329" s="140"/>
      <c r="F329" s="140"/>
    </row>
    <row r="330">
      <c r="A330" s="152"/>
      <c r="B330" s="153"/>
      <c r="C330" s="153"/>
      <c r="D330" s="154"/>
      <c r="E330" s="140"/>
      <c r="F330" s="140"/>
    </row>
    <row r="331">
      <c r="A331" s="152"/>
      <c r="B331" s="153"/>
      <c r="C331" s="153"/>
      <c r="D331" s="154"/>
      <c r="E331" s="140"/>
      <c r="F331" s="140"/>
    </row>
    <row r="332">
      <c r="A332" s="152"/>
      <c r="B332" s="153"/>
      <c r="C332" s="153"/>
      <c r="D332" s="154"/>
      <c r="E332" s="140"/>
      <c r="F332" s="140"/>
    </row>
    <row r="333">
      <c r="A333" s="152"/>
      <c r="B333" s="153"/>
      <c r="C333" s="153"/>
      <c r="D333" s="154"/>
      <c r="E333" s="140"/>
      <c r="F333" s="140"/>
    </row>
    <row r="334">
      <c r="A334" s="152"/>
      <c r="B334" s="153"/>
      <c r="C334" s="153"/>
      <c r="D334" s="154"/>
      <c r="E334" s="140"/>
      <c r="F334" s="140"/>
    </row>
    <row r="335">
      <c r="A335" s="152"/>
      <c r="B335" s="153"/>
      <c r="C335" s="153"/>
      <c r="D335" s="154"/>
      <c r="E335" s="140"/>
      <c r="F335" s="140"/>
    </row>
    <row r="336">
      <c r="A336" s="152"/>
      <c r="B336" s="153"/>
      <c r="C336" s="153"/>
      <c r="D336" s="154"/>
      <c r="E336" s="140"/>
      <c r="F336" s="140"/>
    </row>
    <row r="337">
      <c r="A337" s="152"/>
      <c r="B337" s="153"/>
      <c r="C337" s="153"/>
      <c r="D337" s="154"/>
      <c r="E337" s="140"/>
      <c r="F337" s="140"/>
    </row>
    <row r="338">
      <c r="A338" s="152"/>
      <c r="B338" s="153"/>
      <c r="C338" s="153"/>
      <c r="D338" s="154"/>
      <c r="E338" s="140"/>
      <c r="F338" s="140"/>
    </row>
    <row r="339">
      <c r="A339" s="152"/>
      <c r="B339" s="153"/>
      <c r="C339" s="153"/>
      <c r="D339" s="154"/>
      <c r="E339" s="140"/>
      <c r="F339" s="140"/>
    </row>
    <row r="340">
      <c r="A340" s="152"/>
      <c r="B340" s="153"/>
      <c r="C340" s="153"/>
      <c r="D340" s="154"/>
      <c r="E340" s="140"/>
      <c r="F340" s="140"/>
    </row>
    <row r="341">
      <c r="A341" s="152"/>
      <c r="B341" s="153"/>
      <c r="C341" s="153"/>
      <c r="D341" s="154"/>
      <c r="E341" s="140"/>
      <c r="F341" s="140"/>
    </row>
    <row r="342">
      <c r="A342" s="152"/>
      <c r="B342" s="153"/>
      <c r="C342" s="153"/>
      <c r="D342" s="154"/>
      <c r="E342" s="140"/>
      <c r="F342" s="140"/>
    </row>
    <row r="343">
      <c r="A343" s="152"/>
      <c r="B343" s="153"/>
      <c r="C343" s="153"/>
      <c r="D343" s="154"/>
      <c r="E343" s="140"/>
      <c r="F343" s="140"/>
    </row>
    <row r="344">
      <c r="A344" s="152"/>
      <c r="B344" s="153"/>
      <c r="C344" s="153"/>
      <c r="D344" s="154"/>
      <c r="E344" s="140"/>
      <c r="F344" s="140"/>
    </row>
    <row r="345">
      <c r="A345" s="152"/>
      <c r="B345" s="153"/>
      <c r="C345" s="153"/>
      <c r="D345" s="154"/>
      <c r="E345" s="140"/>
      <c r="F345" s="140"/>
    </row>
    <row r="346">
      <c r="A346" s="152"/>
      <c r="B346" s="153"/>
      <c r="C346" s="153"/>
      <c r="D346" s="154"/>
      <c r="E346" s="140"/>
      <c r="F346" s="140"/>
    </row>
    <row r="347">
      <c r="A347" s="152"/>
      <c r="B347" s="153"/>
      <c r="C347" s="153"/>
      <c r="D347" s="154"/>
      <c r="E347" s="140"/>
      <c r="F347" s="140"/>
    </row>
    <row r="348">
      <c r="A348" s="152"/>
      <c r="B348" s="153"/>
      <c r="C348" s="153"/>
      <c r="D348" s="154"/>
      <c r="E348" s="140"/>
      <c r="F348" s="140"/>
    </row>
    <row r="349">
      <c r="A349" s="152"/>
      <c r="B349" s="153"/>
      <c r="C349" s="153"/>
      <c r="D349" s="154"/>
      <c r="E349" s="140"/>
      <c r="F349" s="140"/>
    </row>
    <row r="350">
      <c r="A350" s="152"/>
      <c r="B350" s="153"/>
      <c r="C350" s="153"/>
      <c r="D350" s="154"/>
      <c r="E350" s="140"/>
      <c r="F350" s="140"/>
    </row>
    <row r="351">
      <c r="A351" s="152"/>
      <c r="B351" s="153"/>
      <c r="C351" s="153"/>
      <c r="D351" s="154"/>
      <c r="E351" s="140"/>
      <c r="F351" s="140"/>
    </row>
    <row r="352">
      <c r="A352" s="152"/>
      <c r="B352" s="153"/>
      <c r="C352" s="153"/>
      <c r="D352" s="154"/>
      <c r="E352" s="140"/>
      <c r="F352" s="140"/>
    </row>
    <row r="353">
      <c r="A353" s="152"/>
      <c r="B353" s="153"/>
      <c r="C353" s="153"/>
      <c r="D353" s="154"/>
      <c r="E353" s="140"/>
      <c r="F353" s="140"/>
    </row>
    <row r="354">
      <c r="A354" s="152"/>
      <c r="B354" s="153"/>
      <c r="C354" s="153"/>
      <c r="D354" s="154"/>
      <c r="E354" s="140"/>
      <c r="F354" s="140"/>
    </row>
    <row r="355">
      <c r="A355" s="152"/>
      <c r="B355" s="153"/>
      <c r="C355" s="153"/>
      <c r="D355" s="154"/>
      <c r="E355" s="140"/>
      <c r="F355" s="140"/>
    </row>
    <row r="356">
      <c r="A356" s="152"/>
      <c r="B356" s="153"/>
      <c r="C356" s="153"/>
      <c r="D356" s="154"/>
      <c r="E356" s="140"/>
      <c r="F356" s="140"/>
    </row>
    <row r="357">
      <c r="A357" s="152"/>
      <c r="B357" s="153"/>
      <c r="C357" s="153"/>
      <c r="D357" s="154"/>
      <c r="E357" s="140"/>
      <c r="F357" s="140"/>
    </row>
    <row r="358">
      <c r="A358" s="152"/>
      <c r="B358" s="153"/>
      <c r="C358" s="153"/>
      <c r="D358" s="154"/>
      <c r="E358" s="140"/>
      <c r="F358" s="140"/>
    </row>
    <row r="359">
      <c r="A359" s="152"/>
      <c r="B359" s="153"/>
      <c r="C359" s="153"/>
      <c r="D359" s="154"/>
      <c r="E359" s="140"/>
      <c r="F359" s="140"/>
    </row>
    <row r="360">
      <c r="A360" s="152"/>
      <c r="B360" s="153"/>
      <c r="C360" s="153"/>
      <c r="D360" s="154"/>
      <c r="E360" s="140"/>
      <c r="F360" s="140"/>
    </row>
    <row r="361">
      <c r="A361" s="152"/>
      <c r="B361" s="153"/>
      <c r="C361" s="153"/>
      <c r="D361" s="154"/>
      <c r="E361" s="140"/>
      <c r="F361" s="140"/>
    </row>
    <row r="362">
      <c r="A362" s="152"/>
      <c r="B362" s="153"/>
      <c r="C362" s="153"/>
      <c r="D362" s="154"/>
      <c r="E362" s="140"/>
      <c r="F362" s="140"/>
    </row>
    <row r="363">
      <c r="A363" s="152"/>
      <c r="B363" s="153"/>
      <c r="C363" s="153"/>
      <c r="D363" s="154"/>
      <c r="E363" s="140"/>
      <c r="F363" s="140"/>
    </row>
    <row r="364">
      <c r="A364" s="152"/>
      <c r="B364" s="153"/>
      <c r="C364" s="153"/>
      <c r="D364" s="154"/>
      <c r="E364" s="140"/>
      <c r="F364" s="140"/>
    </row>
    <row r="365">
      <c r="A365" s="152"/>
      <c r="B365" s="153"/>
      <c r="C365" s="153"/>
      <c r="D365" s="154"/>
      <c r="E365" s="140"/>
      <c r="F365" s="140"/>
    </row>
    <row r="366">
      <c r="A366" s="152"/>
      <c r="B366" s="153"/>
      <c r="C366" s="153"/>
      <c r="D366" s="154"/>
      <c r="E366" s="140"/>
      <c r="F366" s="140"/>
    </row>
    <row r="367">
      <c r="A367" s="152"/>
      <c r="B367" s="153"/>
      <c r="C367" s="153"/>
      <c r="D367" s="154"/>
      <c r="E367" s="140"/>
      <c r="F367" s="140"/>
    </row>
    <row r="368">
      <c r="A368" s="152"/>
      <c r="B368" s="153"/>
      <c r="C368" s="153"/>
      <c r="D368" s="154"/>
      <c r="E368" s="140"/>
      <c r="F368" s="140"/>
    </row>
    <row r="369">
      <c r="A369" s="152"/>
      <c r="B369" s="153"/>
      <c r="C369" s="153"/>
      <c r="D369" s="154"/>
      <c r="E369" s="140"/>
      <c r="F369" s="140"/>
    </row>
    <row r="370">
      <c r="A370" s="152"/>
      <c r="B370" s="153"/>
      <c r="C370" s="153"/>
      <c r="D370" s="154"/>
      <c r="E370" s="140"/>
      <c r="F370" s="140"/>
    </row>
    <row r="371">
      <c r="A371" s="152"/>
      <c r="B371" s="153"/>
      <c r="C371" s="153"/>
      <c r="D371" s="154"/>
      <c r="E371" s="140"/>
      <c r="F371" s="140"/>
    </row>
    <row r="372">
      <c r="A372" s="152"/>
      <c r="B372" s="153"/>
      <c r="C372" s="153"/>
      <c r="D372" s="154"/>
      <c r="E372" s="140"/>
      <c r="F372" s="140"/>
    </row>
    <row r="373">
      <c r="A373" s="152"/>
      <c r="B373" s="153"/>
      <c r="C373" s="153"/>
      <c r="D373" s="154"/>
      <c r="E373" s="140"/>
      <c r="F373" s="140"/>
    </row>
    <row r="374">
      <c r="A374" s="152"/>
      <c r="B374" s="153"/>
      <c r="C374" s="153"/>
      <c r="D374" s="154"/>
      <c r="E374" s="140"/>
      <c r="F374" s="140"/>
    </row>
    <row r="375">
      <c r="A375" s="152"/>
      <c r="B375" s="153"/>
      <c r="C375" s="153"/>
      <c r="D375" s="154"/>
      <c r="E375" s="140"/>
      <c r="F375" s="140"/>
    </row>
    <row r="376">
      <c r="A376" s="152"/>
      <c r="B376" s="153"/>
      <c r="C376" s="153"/>
      <c r="D376" s="154"/>
      <c r="E376" s="140"/>
      <c r="F376" s="140"/>
    </row>
    <row r="377">
      <c r="A377" s="152"/>
      <c r="B377" s="153"/>
      <c r="C377" s="153"/>
      <c r="D377" s="154"/>
      <c r="E377" s="140"/>
      <c r="F377" s="140"/>
    </row>
    <row r="378">
      <c r="A378" s="152"/>
      <c r="B378" s="153"/>
      <c r="C378" s="153"/>
      <c r="D378" s="154"/>
      <c r="E378" s="140"/>
      <c r="F378" s="140"/>
    </row>
    <row r="379">
      <c r="A379" s="152"/>
      <c r="B379" s="153"/>
      <c r="C379" s="153"/>
      <c r="D379" s="154"/>
      <c r="E379" s="140"/>
      <c r="F379" s="140"/>
    </row>
    <row r="380">
      <c r="A380" s="152"/>
      <c r="B380" s="153"/>
      <c r="C380" s="153"/>
      <c r="D380" s="154"/>
      <c r="E380" s="140"/>
      <c r="F380" s="140"/>
    </row>
    <row r="381">
      <c r="A381" s="152"/>
      <c r="B381" s="153"/>
      <c r="C381" s="153"/>
      <c r="D381" s="154"/>
      <c r="E381" s="140"/>
      <c r="F381" s="140"/>
    </row>
    <row r="382">
      <c r="A382" s="152"/>
      <c r="B382" s="153"/>
      <c r="C382" s="153"/>
      <c r="D382" s="154"/>
      <c r="E382" s="140"/>
      <c r="F382" s="140"/>
    </row>
    <row r="383">
      <c r="A383" s="152"/>
      <c r="B383" s="153"/>
      <c r="C383" s="153"/>
      <c r="D383" s="154"/>
      <c r="E383" s="140"/>
      <c r="F383" s="140"/>
    </row>
    <row r="384">
      <c r="A384" s="152"/>
      <c r="B384" s="153"/>
      <c r="C384" s="153"/>
      <c r="D384" s="154"/>
      <c r="E384" s="140"/>
      <c r="F384" s="140"/>
    </row>
    <row r="385">
      <c r="A385" s="152"/>
      <c r="B385" s="153"/>
      <c r="C385" s="153"/>
      <c r="D385" s="154"/>
      <c r="E385" s="140"/>
      <c r="F385" s="140"/>
    </row>
    <row r="386">
      <c r="A386" s="152"/>
      <c r="B386" s="153"/>
      <c r="C386" s="153"/>
      <c r="D386" s="154"/>
      <c r="E386" s="140"/>
      <c r="F386" s="140"/>
    </row>
    <row r="387">
      <c r="A387" s="152"/>
      <c r="B387" s="153"/>
      <c r="C387" s="153"/>
      <c r="D387" s="154"/>
      <c r="E387" s="140"/>
      <c r="F387" s="140"/>
    </row>
    <row r="388">
      <c r="A388" s="152"/>
      <c r="B388" s="153"/>
      <c r="C388" s="153"/>
      <c r="D388" s="154"/>
      <c r="E388" s="140"/>
      <c r="F388" s="140"/>
    </row>
    <row r="389">
      <c r="A389" s="152"/>
      <c r="B389" s="153"/>
      <c r="C389" s="153"/>
      <c r="D389" s="154"/>
      <c r="E389" s="140"/>
      <c r="F389" s="140"/>
    </row>
    <row r="390">
      <c r="A390" s="152"/>
      <c r="B390" s="153"/>
      <c r="C390" s="153"/>
      <c r="D390" s="154"/>
      <c r="E390" s="140"/>
      <c r="F390" s="140"/>
    </row>
    <row r="391">
      <c r="A391" s="152"/>
      <c r="B391" s="153"/>
      <c r="C391" s="153"/>
      <c r="D391" s="154"/>
      <c r="E391" s="140"/>
      <c r="F391" s="140"/>
    </row>
    <row r="392">
      <c r="A392" s="152"/>
      <c r="B392" s="153"/>
      <c r="C392" s="153"/>
      <c r="D392" s="154"/>
      <c r="E392" s="140"/>
      <c r="F392" s="140"/>
    </row>
    <row r="393">
      <c r="A393" s="152"/>
      <c r="B393" s="153"/>
      <c r="C393" s="153"/>
      <c r="D393" s="154"/>
      <c r="E393" s="140"/>
      <c r="F393" s="140"/>
    </row>
    <row r="394">
      <c r="A394" s="152"/>
      <c r="B394" s="153"/>
      <c r="C394" s="153"/>
      <c r="D394" s="154"/>
      <c r="E394" s="140"/>
      <c r="F394" s="140"/>
    </row>
    <row r="395">
      <c r="A395" s="152"/>
      <c r="B395" s="153"/>
      <c r="C395" s="153"/>
      <c r="D395" s="154"/>
      <c r="E395" s="140"/>
      <c r="F395" s="140"/>
    </row>
    <row r="396">
      <c r="A396" s="152"/>
      <c r="B396" s="153"/>
      <c r="C396" s="153"/>
      <c r="D396" s="154"/>
      <c r="E396" s="140"/>
      <c r="F396" s="140"/>
    </row>
    <row r="397">
      <c r="A397" s="152"/>
      <c r="B397" s="153"/>
      <c r="C397" s="153"/>
      <c r="D397" s="154"/>
      <c r="E397" s="140"/>
      <c r="F397" s="140"/>
    </row>
    <row r="398">
      <c r="A398" s="152"/>
      <c r="B398" s="153"/>
      <c r="C398" s="153"/>
      <c r="D398" s="154"/>
      <c r="E398" s="140"/>
      <c r="F398" s="140"/>
    </row>
    <row r="399">
      <c r="A399" s="152"/>
      <c r="B399" s="153"/>
      <c r="C399" s="153"/>
      <c r="D399" s="154"/>
      <c r="E399" s="140"/>
      <c r="F399" s="140"/>
    </row>
    <row r="400">
      <c r="A400" s="152"/>
      <c r="B400" s="153"/>
      <c r="C400" s="153"/>
      <c r="D400" s="154"/>
      <c r="E400" s="140"/>
      <c r="F400" s="140"/>
    </row>
    <row r="401">
      <c r="A401" s="152"/>
      <c r="B401" s="153"/>
      <c r="C401" s="153"/>
      <c r="D401" s="154"/>
      <c r="E401" s="140"/>
      <c r="F401" s="140"/>
    </row>
    <row r="402">
      <c r="A402" s="152"/>
      <c r="B402" s="153"/>
      <c r="C402" s="153"/>
      <c r="D402" s="154"/>
      <c r="E402" s="140"/>
      <c r="F402" s="140"/>
    </row>
    <row r="403">
      <c r="A403" s="152"/>
      <c r="B403" s="153"/>
      <c r="C403" s="153"/>
      <c r="D403" s="154"/>
      <c r="E403" s="140"/>
      <c r="F403" s="140"/>
    </row>
    <row r="404">
      <c r="A404" s="152"/>
      <c r="B404" s="153"/>
      <c r="C404" s="153"/>
      <c r="D404" s="154"/>
      <c r="E404" s="140"/>
      <c r="F404" s="140"/>
    </row>
    <row r="405">
      <c r="A405" s="152"/>
      <c r="B405" s="153"/>
      <c r="C405" s="153"/>
      <c r="D405" s="154"/>
      <c r="E405" s="140"/>
      <c r="F405" s="140"/>
    </row>
    <row r="406">
      <c r="A406" s="152"/>
      <c r="B406" s="153"/>
      <c r="C406" s="153"/>
      <c r="D406" s="154"/>
      <c r="E406" s="140"/>
      <c r="F406" s="140"/>
    </row>
    <row r="407">
      <c r="A407" s="152"/>
      <c r="B407" s="153"/>
      <c r="C407" s="153"/>
      <c r="D407" s="154"/>
      <c r="E407" s="140"/>
      <c r="F407" s="140"/>
    </row>
    <row r="408">
      <c r="A408" s="152"/>
      <c r="B408" s="153"/>
      <c r="C408" s="153"/>
      <c r="D408" s="154"/>
      <c r="E408" s="140"/>
      <c r="F408" s="140"/>
    </row>
    <row r="409">
      <c r="A409" s="152"/>
      <c r="B409" s="153"/>
      <c r="C409" s="153"/>
      <c r="D409" s="154"/>
      <c r="E409" s="140"/>
      <c r="F409" s="140"/>
    </row>
    <row r="410">
      <c r="A410" s="152"/>
      <c r="B410" s="153"/>
      <c r="C410" s="153"/>
      <c r="D410" s="154"/>
      <c r="E410" s="140"/>
      <c r="F410" s="140"/>
    </row>
    <row r="411">
      <c r="A411" s="152"/>
      <c r="B411" s="153"/>
      <c r="C411" s="153"/>
      <c r="D411" s="154"/>
      <c r="E411" s="140"/>
      <c r="F411" s="140"/>
    </row>
    <row r="412">
      <c r="A412" s="152"/>
      <c r="B412" s="153"/>
      <c r="C412" s="153"/>
      <c r="D412" s="154"/>
      <c r="E412" s="140"/>
      <c r="F412" s="140"/>
    </row>
    <row r="413">
      <c r="A413" s="152"/>
      <c r="B413" s="153"/>
      <c r="C413" s="153"/>
      <c r="D413" s="154"/>
      <c r="E413" s="140"/>
      <c r="F413" s="140"/>
    </row>
    <row r="414">
      <c r="A414" s="152"/>
      <c r="B414" s="153"/>
      <c r="C414" s="153"/>
      <c r="D414" s="154"/>
      <c r="E414" s="140"/>
      <c r="F414" s="140"/>
    </row>
    <row r="415">
      <c r="A415" s="152"/>
      <c r="B415" s="153"/>
      <c r="C415" s="153"/>
      <c r="D415" s="154"/>
      <c r="E415" s="140"/>
      <c r="F415" s="140"/>
    </row>
    <row r="416">
      <c r="A416" s="152"/>
      <c r="B416" s="153"/>
      <c r="C416" s="153"/>
      <c r="D416" s="154"/>
      <c r="E416" s="140"/>
      <c r="F416" s="140"/>
    </row>
    <row r="417">
      <c r="A417" s="152"/>
      <c r="B417" s="153"/>
      <c r="C417" s="153"/>
      <c r="D417" s="154"/>
      <c r="E417" s="140"/>
      <c r="F417" s="140"/>
    </row>
    <row r="418">
      <c r="A418" s="152"/>
      <c r="B418" s="153"/>
      <c r="C418" s="153"/>
      <c r="D418" s="154"/>
      <c r="E418" s="140"/>
      <c r="F418" s="140"/>
    </row>
    <row r="419">
      <c r="A419" s="152"/>
      <c r="B419" s="153"/>
      <c r="C419" s="153"/>
      <c r="D419" s="154"/>
      <c r="E419" s="140"/>
      <c r="F419" s="140"/>
    </row>
    <row r="420">
      <c r="A420" s="152"/>
      <c r="B420" s="153"/>
      <c r="C420" s="153"/>
      <c r="D420" s="154"/>
      <c r="E420" s="140"/>
      <c r="F420" s="140"/>
    </row>
    <row r="421">
      <c r="A421" s="152"/>
      <c r="B421" s="153"/>
      <c r="C421" s="153"/>
      <c r="D421" s="154"/>
      <c r="E421" s="140"/>
      <c r="F421" s="140"/>
    </row>
    <row r="422">
      <c r="A422" s="152"/>
      <c r="B422" s="153"/>
      <c r="C422" s="153"/>
      <c r="D422" s="154"/>
      <c r="E422" s="140"/>
      <c r="F422" s="140"/>
    </row>
    <row r="423">
      <c r="A423" s="152"/>
      <c r="B423" s="153"/>
      <c r="C423" s="153"/>
      <c r="D423" s="154"/>
      <c r="E423" s="140"/>
      <c r="F423" s="140"/>
    </row>
    <row r="424">
      <c r="A424" s="152"/>
      <c r="B424" s="153"/>
      <c r="C424" s="153"/>
      <c r="D424" s="154"/>
      <c r="E424" s="140"/>
      <c r="F424" s="140"/>
    </row>
    <row r="425">
      <c r="A425" s="152"/>
      <c r="B425" s="153"/>
      <c r="C425" s="153"/>
      <c r="D425" s="154"/>
      <c r="E425" s="140"/>
      <c r="F425" s="140"/>
    </row>
    <row r="426">
      <c r="A426" s="152"/>
      <c r="B426" s="153"/>
      <c r="C426" s="153"/>
      <c r="D426" s="154"/>
      <c r="E426" s="140"/>
      <c r="F426" s="140"/>
    </row>
    <row r="427">
      <c r="A427" s="152"/>
      <c r="B427" s="153"/>
      <c r="C427" s="153"/>
      <c r="D427" s="154"/>
      <c r="E427" s="140"/>
      <c r="F427" s="140"/>
    </row>
    <row r="428">
      <c r="A428" s="152"/>
      <c r="B428" s="153"/>
      <c r="C428" s="153"/>
      <c r="D428" s="154"/>
      <c r="E428" s="140"/>
      <c r="F428" s="140"/>
    </row>
    <row r="429">
      <c r="A429" s="152"/>
      <c r="B429" s="153"/>
      <c r="C429" s="153"/>
      <c r="D429" s="154"/>
      <c r="E429" s="140"/>
      <c r="F429" s="140"/>
    </row>
    <row r="430">
      <c r="A430" s="152"/>
      <c r="B430" s="153"/>
      <c r="C430" s="153"/>
      <c r="D430" s="154"/>
      <c r="E430" s="140"/>
      <c r="F430" s="140"/>
    </row>
    <row r="431">
      <c r="A431" s="152"/>
      <c r="B431" s="153"/>
      <c r="C431" s="153"/>
      <c r="D431" s="154"/>
      <c r="E431" s="140"/>
      <c r="F431" s="140"/>
    </row>
    <row r="432">
      <c r="A432" s="152"/>
      <c r="B432" s="153"/>
      <c r="C432" s="153"/>
      <c r="D432" s="154"/>
      <c r="E432" s="140"/>
      <c r="F432" s="140"/>
    </row>
    <row r="433">
      <c r="A433" s="152"/>
      <c r="B433" s="153"/>
      <c r="C433" s="153"/>
      <c r="D433" s="154"/>
      <c r="E433" s="140"/>
      <c r="F433" s="140"/>
    </row>
    <row r="434">
      <c r="A434" s="152"/>
      <c r="B434" s="153"/>
      <c r="C434" s="153"/>
      <c r="D434" s="154"/>
      <c r="E434" s="140"/>
      <c r="F434" s="140"/>
    </row>
    <row r="435">
      <c r="A435" s="152"/>
      <c r="B435" s="153"/>
      <c r="C435" s="153"/>
      <c r="D435" s="154"/>
      <c r="E435" s="140"/>
      <c r="F435" s="140"/>
    </row>
    <row r="436">
      <c r="A436" s="152"/>
      <c r="B436" s="153"/>
      <c r="C436" s="153"/>
      <c r="D436" s="154"/>
      <c r="E436" s="140"/>
      <c r="F436" s="140"/>
    </row>
    <row r="437">
      <c r="A437" s="152"/>
      <c r="B437" s="153"/>
      <c r="C437" s="153"/>
      <c r="D437" s="154"/>
      <c r="E437" s="140"/>
      <c r="F437" s="140"/>
    </row>
    <row r="438">
      <c r="A438" s="152"/>
      <c r="B438" s="153"/>
      <c r="C438" s="153"/>
      <c r="D438" s="154"/>
      <c r="E438" s="140"/>
      <c r="F438" s="140"/>
    </row>
    <row r="439">
      <c r="A439" s="152"/>
      <c r="B439" s="153"/>
      <c r="C439" s="153"/>
      <c r="D439" s="154"/>
      <c r="E439" s="140"/>
      <c r="F439" s="140"/>
    </row>
    <row r="440">
      <c r="A440" s="152"/>
      <c r="B440" s="153"/>
      <c r="C440" s="153"/>
      <c r="D440" s="154"/>
      <c r="E440" s="140"/>
      <c r="F440" s="140"/>
    </row>
    <row r="441">
      <c r="A441" s="152"/>
      <c r="B441" s="153"/>
      <c r="C441" s="153"/>
      <c r="D441" s="154"/>
      <c r="E441" s="140"/>
      <c r="F441" s="140"/>
    </row>
    <row r="442">
      <c r="A442" s="152"/>
      <c r="B442" s="153"/>
      <c r="C442" s="153"/>
      <c r="D442" s="154"/>
      <c r="E442" s="140"/>
      <c r="F442" s="140"/>
    </row>
    <row r="443">
      <c r="A443" s="152"/>
      <c r="B443" s="153"/>
      <c r="C443" s="153"/>
      <c r="D443" s="154"/>
      <c r="E443" s="140"/>
      <c r="F443" s="140"/>
    </row>
    <row r="444">
      <c r="A444" s="152"/>
      <c r="B444" s="153"/>
      <c r="C444" s="153"/>
      <c r="D444" s="154"/>
      <c r="E444" s="140"/>
      <c r="F444" s="140"/>
    </row>
    <row r="445">
      <c r="A445" s="152"/>
      <c r="B445" s="153"/>
      <c r="C445" s="153"/>
      <c r="D445" s="154"/>
      <c r="E445" s="140"/>
      <c r="F445" s="140"/>
    </row>
    <row r="446">
      <c r="A446" s="152"/>
      <c r="B446" s="153"/>
      <c r="C446" s="153"/>
      <c r="D446" s="154"/>
      <c r="E446" s="140"/>
      <c r="F446" s="140"/>
    </row>
    <row r="447">
      <c r="A447" s="152"/>
      <c r="B447" s="153"/>
      <c r="C447" s="153"/>
      <c r="D447" s="154"/>
      <c r="E447" s="140"/>
      <c r="F447" s="140"/>
    </row>
    <row r="448">
      <c r="A448" s="152"/>
      <c r="B448" s="153"/>
      <c r="C448" s="153"/>
      <c r="D448" s="154"/>
      <c r="E448" s="140"/>
      <c r="F448" s="140"/>
    </row>
    <row r="449">
      <c r="A449" s="152"/>
      <c r="B449" s="153"/>
      <c r="C449" s="153"/>
      <c r="D449" s="154"/>
      <c r="E449" s="140"/>
      <c r="F449" s="140"/>
    </row>
    <row r="450">
      <c r="A450" s="152"/>
      <c r="B450" s="153"/>
      <c r="C450" s="153"/>
      <c r="D450" s="154"/>
      <c r="E450" s="140"/>
      <c r="F450" s="140"/>
    </row>
    <row r="451">
      <c r="A451" s="152"/>
      <c r="B451" s="153"/>
      <c r="C451" s="153"/>
      <c r="D451" s="154"/>
      <c r="E451" s="140"/>
      <c r="F451" s="140"/>
    </row>
    <row r="452">
      <c r="A452" s="152"/>
      <c r="B452" s="153"/>
      <c r="C452" s="153"/>
      <c r="D452" s="154"/>
      <c r="E452" s="140"/>
      <c r="F452" s="140"/>
    </row>
    <row r="453">
      <c r="A453" s="152"/>
      <c r="B453" s="153"/>
      <c r="C453" s="153"/>
      <c r="D453" s="154"/>
      <c r="E453" s="140"/>
      <c r="F453" s="140"/>
    </row>
    <row r="454">
      <c r="A454" s="152"/>
      <c r="B454" s="153"/>
      <c r="C454" s="153"/>
      <c r="D454" s="154"/>
      <c r="E454" s="140"/>
      <c r="F454" s="140"/>
    </row>
    <row r="455">
      <c r="A455" s="152"/>
      <c r="B455" s="153"/>
      <c r="C455" s="153"/>
      <c r="D455" s="154"/>
      <c r="E455" s="140"/>
      <c r="F455" s="140"/>
    </row>
    <row r="456">
      <c r="A456" s="152"/>
      <c r="B456" s="153"/>
      <c r="C456" s="153"/>
      <c r="D456" s="154"/>
      <c r="E456" s="140"/>
      <c r="F456" s="140"/>
    </row>
    <row r="457">
      <c r="A457" s="152"/>
      <c r="B457" s="153"/>
      <c r="C457" s="153"/>
      <c r="D457" s="154"/>
      <c r="E457" s="140"/>
      <c r="F457" s="140"/>
    </row>
    <row r="458">
      <c r="A458" s="152"/>
      <c r="B458" s="153"/>
      <c r="C458" s="153"/>
      <c r="D458" s="154"/>
      <c r="E458" s="140"/>
      <c r="F458" s="140"/>
    </row>
    <row r="459">
      <c r="A459" s="152"/>
      <c r="B459" s="153"/>
      <c r="C459" s="153"/>
      <c r="D459" s="154"/>
      <c r="E459" s="140"/>
      <c r="F459" s="140"/>
    </row>
    <row r="460">
      <c r="A460" s="152"/>
      <c r="B460" s="153"/>
      <c r="C460" s="153"/>
      <c r="D460" s="154"/>
      <c r="E460" s="140"/>
      <c r="F460" s="140"/>
    </row>
    <row r="461">
      <c r="A461" s="152"/>
      <c r="B461" s="153"/>
      <c r="C461" s="153"/>
      <c r="D461" s="154"/>
      <c r="E461" s="140"/>
      <c r="F461" s="140"/>
    </row>
    <row r="462">
      <c r="A462" s="152"/>
      <c r="B462" s="153"/>
      <c r="C462" s="153"/>
      <c r="D462" s="154"/>
      <c r="E462" s="140"/>
      <c r="F462" s="140"/>
    </row>
    <row r="463">
      <c r="A463" s="152"/>
      <c r="B463" s="153"/>
      <c r="C463" s="153"/>
      <c r="D463" s="154"/>
      <c r="E463" s="140"/>
      <c r="F463" s="140"/>
    </row>
    <row r="464">
      <c r="A464" s="152"/>
      <c r="B464" s="153"/>
      <c r="C464" s="153"/>
      <c r="D464" s="154"/>
      <c r="E464" s="140"/>
      <c r="F464" s="140"/>
    </row>
    <row r="465">
      <c r="A465" s="152"/>
      <c r="B465" s="153"/>
      <c r="C465" s="153"/>
      <c r="D465" s="154"/>
      <c r="E465" s="140"/>
      <c r="F465" s="140"/>
    </row>
    <row r="466">
      <c r="A466" s="152"/>
      <c r="B466" s="153"/>
      <c r="C466" s="153"/>
      <c r="D466" s="154"/>
      <c r="E466" s="140"/>
      <c r="F466" s="140"/>
    </row>
    <row r="467">
      <c r="A467" s="152"/>
      <c r="B467" s="153"/>
      <c r="C467" s="153"/>
      <c r="D467" s="154"/>
      <c r="E467" s="140"/>
      <c r="F467" s="140"/>
    </row>
    <row r="468">
      <c r="A468" s="152"/>
      <c r="B468" s="153"/>
      <c r="C468" s="153"/>
      <c r="D468" s="154"/>
      <c r="E468" s="140"/>
      <c r="F468" s="140"/>
    </row>
    <row r="469">
      <c r="A469" s="152"/>
      <c r="B469" s="153"/>
      <c r="C469" s="153"/>
      <c r="D469" s="154"/>
      <c r="E469" s="140"/>
      <c r="F469" s="140"/>
    </row>
    <row r="470">
      <c r="A470" s="152"/>
      <c r="B470" s="153"/>
      <c r="C470" s="153"/>
      <c r="D470" s="154"/>
      <c r="E470" s="140"/>
      <c r="F470" s="140"/>
    </row>
    <row r="471">
      <c r="A471" s="152"/>
      <c r="B471" s="153"/>
      <c r="C471" s="153"/>
      <c r="D471" s="154"/>
      <c r="E471" s="140"/>
      <c r="F471" s="140"/>
    </row>
    <row r="472">
      <c r="A472" s="152"/>
      <c r="B472" s="153"/>
      <c r="C472" s="153"/>
      <c r="D472" s="154"/>
      <c r="E472" s="140"/>
      <c r="F472" s="140"/>
    </row>
    <row r="473">
      <c r="A473" s="152"/>
      <c r="B473" s="153"/>
      <c r="C473" s="153"/>
      <c r="D473" s="154"/>
      <c r="E473" s="140"/>
      <c r="F473" s="140"/>
    </row>
    <row r="474">
      <c r="A474" s="152"/>
      <c r="B474" s="153"/>
      <c r="C474" s="153"/>
      <c r="D474" s="154"/>
      <c r="E474" s="140"/>
      <c r="F474" s="140"/>
    </row>
    <row r="475">
      <c r="A475" s="152"/>
      <c r="B475" s="153"/>
      <c r="C475" s="153"/>
      <c r="D475" s="154"/>
      <c r="E475" s="140"/>
      <c r="F475" s="140"/>
    </row>
    <row r="476">
      <c r="A476" s="152"/>
      <c r="B476" s="153"/>
      <c r="C476" s="153"/>
      <c r="D476" s="154"/>
      <c r="E476" s="140"/>
      <c r="F476" s="140"/>
    </row>
    <row r="477">
      <c r="A477" s="152"/>
      <c r="B477" s="153"/>
      <c r="C477" s="153"/>
      <c r="D477" s="154"/>
      <c r="E477" s="140"/>
      <c r="F477" s="140"/>
    </row>
    <row r="478">
      <c r="A478" s="152"/>
      <c r="B478" s="153"/>
      <c r="C478" s="153"/>
      <c r="D478" s="154"/>
      <c r="E478" s="140"/>
      <c r="F478" s="140"/>
    </row>
    <row r="479">
      <c r="A479" s="152"/>
      <c r="B479" s="153"/>
      <c r="C479" s="153"/>
      <c r="D479" s="154"/>
      <c r="E479" s="140"/>
      <c r="F479" s="140"/>
    </row>
    <row r="480">
      <c r="A480" s="152"/>
      <c r="B480" s="153"/>
      <c r="C480" s="153"/>
      <c r="D480" s="154"/>
      <c r="E480" s="140"/>
      <c r="F480" s="140"/>
    </row>
    <row r="481">
      <c r="A481" s="152"/>
      <c r="B481" s="153"/>
      <c r="C481" s="153"/>
      <c r="D481" s="154"/>
      <c r="E481" s="140"/>
      <c r="F481" s="140"/>
    </row>
    <row r="482">
      <c r="A482" s="152"/>
      <c r="B482" s="153"/>
      <c r="C482" s="153"/>
      <c r="D482" s="154"/>
      <c r="E482" s="140"/>
      <c r="F482" s="140"/>
    </row>
    <row r="483">
      <c r="A483" s="152"/>
      <c r="B483" s="153"/>
      <c r="C483" s="153"/>
      <c r="D483" s="154"/>
      <c r="E483" s="140"/>
      <c r="F483" s="140"/>
    </row>
    <row r="484">
      <c r="A484" s="152"/>
      <c r="B484" s="153"/>
      <c r="C484" s="153"/>
      <c r="D484" s="154"/>
      <c r="E484" s="140"/>
      <c r="F484" s="140"/>
    </row>
    <row r="485">
      <c r="A485" s="152"/>
      <c r="B485" s="153"/>
      <c r="C485" s="153"/>
      <c r="D485" s="154"/>
      <c r="E485" s="140"/>
      <c r="F485" s="140"/>
    </row>
    <row r="486">
      <c r="A486" s="152"/>
      <c r="B486" s="153"/>
      <c r="C486" s="153"/>
      <c r="D486" s="154"/>
      <c r="E486" s="140"/>
      <c r="F486" s="140"/>
    </row>
    <row r="487">
      <c r="A487" s="152"/>
      <c r="B487" s="153"/>
      <c r="C487" s="153"/>
      <c r="D487" s="154"/>
      <c r="E487" s="140"/>
      <c r="F487" s="140"/>
    </row>
    <row r="488">
      <c r="A488" s="152"/>
      <c r="B488" s="153"/>
      <c r="C488" s="153"/>
      <c r="D488" s="154"/>
      <c r="E488" s="140"/>
      <c r="F488" s="140"/>
    </row>
    <row r="489">
      <c r="A489" s="152"/>
      <c r="B489" s="153"/>
      <c r="C489" s="153"/>
      <c r="D489" s="154"/>
      <c r="E489" s="140"/>
      <c r="F489" s="140"/>
    </row>
    <row r="490">
      <c r="A490" s="152"/>
      <c r="B490" s="153"/>
      <c r="C490" s="153"/>
      <c r="D490" s="154"/>
      <c r="E490" s="140"/>
      <c r="F490" s="140"/>
    </row>
    <row r="491">
      <c r="A491" s="152"/>
      <c r="B491" s="153"/>
      <c r="C491" s="153"/>
      <c r="D491" s="154"/>
      <c r="E491" s="140"/>
      <c r="F491" s="140"/>
    </row>
    <row r="492">
      <c r="A492" s="152"/>
      <c r="B492" s="153"/>
      <c r="C492" s="153"/>
      <c r="D492" s="154"/>
      <c r="E492" s="140"/>
      <c r="F492" s="140"/>
    </row>
    <row r="493">
      <c r="A493" s="152"/>
      <c r="B493" s="153"/>
      <c r="C493" s="153"/>
      <c r="D493" s="154"/>
      <c r="E493" s="140"/>
      <c r="F493" s="140"/>
    </row>
    <row r="494">
      <c r="A494" s="152"/>
      <c r="B494" s="153"/>
      <c r="C494" s="153"/>
      <c r="D494" s="154"/>
      <c r="E494" s="140"/>
      <c r="F494" s="140"/>
    </row>
    <row r="495">
      <c r="A495" s="152"/>
      <c r="B495" s="153"/>
      <c r="C495" s="153"/>
      <c r="D495" s="154"/>
      <c r="E495" s="140"/>
      <c r="F495" s="140"/>
    </row>
    <row r="496">
      <c r="A496" s="152"/>
      <c r="B496" s="153"/>
      <c r="C496" s="153"/>
      <c r="D496" s="154"/>
      <c r="E496" s="140"/>
      <c r="F496" s="140"/>
    </row>
    <row r="497">
      <c r="A497" s="152"/>
      <c r="B497" s="153"/>
      <c r="C497" s="153"/>
      <c r="D497" s="154"/>
      <c r="E497" s="140"/>
      <c r="F497" s="140"/>
    </row>
    <row r="498">
      <c r="A498" s="152"/>
      <c r="B498" s="153"/>
      <c r="C498" s="153"/>
      <c r="D498" s="154"/>
      <c r="E498" s="140"/>
      <c r="F498" s="140"/>
    </row>
    <row r="499">
      <c r="A499" s="152"/>
      <c r="B499" s="153"/>
      <c r="C499" s="153"/>
      <c r="D499" s="154"/>
      <c r="E499" s="140"/>
      <c r="F499" s="140"/>
    </row>
    <row r="500">
      <c r="A500" s="152"/>
      <c r="B500" s="153"/>
      <c r="C500" s="153"/>
      <c r="D500" s="154"/>
      <c r="E500" s="140"/>
      <c r="F500" s="140"/>
    </row>
    <row r="501">
      <c r="A501" s="152"/>
      <c r="B501" s="153"/>
      <c r="C501" s="153"/>
      <c r="D501" s="154"/>
      <c r="E501" s="140"/>
      <c r="F501" s="140"/>
    </row>
    <row r="502">
      <c r="A502" s="152"/>
      <c r="B502" s="153"/>
      <c r="C502" s="153"/>
      <c r="D502" s="154"/>
      <c r="E502" s="140"/>
      <c r="F502" s="140"/>
    </row>
    <row r="503">
      <c r="A503" s="152"/>
      <c r="B503" s="153"/>
      <c r="C503" s="153"/>
      <c r="D503" s="154"/>
      <c r="E503" s="140"/>
      <c r="F503" s="140"/>
    </row>
    <row r="504">
      <c r="A504" s="152"/>
      <c r="B504" s="153"/>
      <c r="C504" s="153"/>
      <c r="D504" s="154"/>
      <c r="E504" s="140"/>
      <c r="F504" s="140"/>
    </row>
    <row r="505">
      <c r="A505" s="152"/>
      <c r="B505" s="153"/>
      <c r="C505" s="153"/>
      <c r="D505" s="154"/>
      <c r="E505" s="140"/>
      <c r="F505" s="140"/>
    </row>
    <row r="506">
      <c r="A506" s="152"/>
      <c r="B506" s="153"/>
      <c r="C506" s="153"/>
      <c r="D506" s="154"/>
      <c r="E506" s="140"/>
      <c r="F506" s="140"/>
    </row>
    <row r="507">
      <c r="A507" s="152"/>
      <c r="B507" s="153"/>
      <c r="C507" s="153"/>
      <c r="D507" s="154"/>
      <c r="E507" s="140"/>
      <c r="F507" s="140"/>
    </row>
    <row r="508">
      <c r="A508" s="152"/>
      <c r="B508" s="153"/>
      <c r="C508" s="153"/>
      <c r="D508" s="154"/>
      <c r="E508" s="140"/>
      <c r="F508" s="140"/>
    </row>
    <row r="509">
      <c r="A509" s="152"/>
      <c r="B509" s="153"/>
      <c r="C509" s="153"/>
      <c r="D509" s="154"/>
      <c r="E509" s="140"/>
      <c r="F509" s="140"/>
    </row>
    <row r="510">
      <c r="A510" s="152"/>
      <c r="B510" s="153"/>
      <c r="C510" s="153"/>
      <c r="D510" s="154"/>
      <c r="E510" s="140"/>
      <c r="F510" s="140"/>
    </row>
    <row r="511">
      <c r="A511" s="152"/>
      <c r="B511" s="153"/>
      <c r="C511" s="153"/>
      <c r="D511" s="154"/>
      <c r="E511" s="140"/>
      <c r="F511" s="140"/>
    </row>
    <row r="512">
      <c r="A512" s="152"/>
      <c r="B512" s="153"/>
      <c r="C512" s="153"/>
      <c r="D512" s="154"/>
      <c r="E512" s="140"/>
      <c r="F512" s="140"/>
    </row>
    <row r="513">
      <c r="A513" s="152"/>
      <c r="B513" s="153"/>
      <c r="C513" s="153"/>
      <c r="D513" s="154"/>
      <c r="E513" s="140"/>
      <c r="F513" s="140"/>
    </row>
    <row r="514">
      <c r="A514" s="152"/>
      <c r="B514" s="153"/>
      <c r="C514" s="153"/>
      <c r="D514" s="154"/>
      <c r="E514" s="140"/>
      <c r="F514" s="140"/>
    </row>
    <row r="515">
      <c r="A515" s="152"/>
      <c r="B515" s="153"/>
      <c r="C515" s="153"/>
      <c r="D515" s="154"/>
      <c r="E515" s="140"/>
      <c r="F515" s="140"/>
    </row>
    <row r="516">
      <c r="A516" s="152"/>
      <c r="B516" s="153"/>
      <c r="C516" s="153"/>
      <c r="D516" s="154"/>
      <c r="E516" s="140"/>
      <c r="F516" s="140"/>
    </row>
    <row r="517">
      <c r="A517" s="152"/>
      <c r="B517" s="153"/>
      <c r="C517" s="153"/>
      <c r="D517" s="154"/>
      <c r="E517" s="140"/>
      <c r="F517" s="140"/>
    </row>
    <row r="518">
      <c r="A518" s="152"/>
      <c r="B518" s="153"/>
      <c r="C518" s="153"/>
      <c r="D518" s="154"/>
      <c r="E518" s="140"/>
      <c r="F518" s="140"/>
    </row>
    <row r="519">
      <c r="A519" s="152"/>
      <c r="B519" s="153"/>
      <c r="C519" s="153"/>
      <c r="D519" s="154"/>
      <c r="E519" s="140"/>
      <c r="F519" s="140"/>
    </row>
    <row r="520">
      <c r="A520" s="152"/>
      <c r="B520" s="153"/>
      <c r="C520" s="153"/>
      <c r="D520" s="154"/>
      <c r="E520" s="140"/>
      <c r="F520" s="140"/>
    </row>
    <row r="521">
      <c r="A521" s="152"/>
      <c r="B521" s="153"/>
      <c r="C521" s="153"/>
      <c r="D521" s="154"/>
      <c r="E521" s="140"/>
      <c r="F521" s="140"/>
    </row>
    <row r="522">
      <c r="A522" s="152"/>
      <c r="B522" s="153"/>
      <c r="C522" s="153"/>
      <c r="D522" s="154"/>
      <c r="E522" s="140"/>
      <c r="F522" s="140"/>
    </row>
    <row r="523">
      <c r="A523" s="152"/>
      <c r="B523" s="153"/>
      <c r="C523" s="153"/>
      <c r="D523" s="154"/>
      <c r="E523" s="140"/>
      <c r="F523" s="140"/>
    </row>
    <row r="524">
      <c r="A524" s="152"/>
      <c r="B524" s="153"/>
      <c r="C524" s="153"/>
      <c r="D524" s="154"/>
      <c r="E524" s="140"/>
      <c r="F524" s="140"/>
    </row>
    <row r="525">
      <c r="A525" s="152"/>
      <c r="B525" s="153"/>
      <c r="C525" s="153"/>
      <c r="D525" s="154"/>
      <c r="E525" s="140"/>
      <c r="F525" s="140"/>
    </row>
    <row r="526">
      <c r="A526" s="152"/>
      <c r="B526" s="153"/>
      <c r="C526" s="153"/>
      <c r="D526" s="154"/>
      <c r="E526" s="140"/>
      <c r="F526" s="140"/>
    </row>
    <row r="527">
      <c r="A527" s="152"/>
      <c r="B527" s="153"/>
      <c r="C527" s="153"/>
      <c r="D527" s="154"/>
      <c r="E527" s="140"/>
      <c r="F527" s="140"/>
    </row>
    <row r="528">
      <c r="A528" s="152"/>
      <c r="B528" s="153"/>
      <c r="C528" s="153"/>
      <c r="D528" s="154"/>
      <c r="E528" s="140"/>
      <c r="F528" s="140"/>
    </row>
    <row r="529">
      <c r="A529" s="152"/>
      <c r="B529" s="153"/>
      <c r="C529" s="153"/>
      <c r="D529" s="154"/>
      <c r="E529" s="140"/>
      <c r="F529" s="140"/>
    </row>
    <row r="530">
      <c r="A530" s="152"/>
      <c r="B530" s="153"/>
      <c r="C530" s="153"/>
      <c r="D530" s="154"/>
      <c r="E530" s="140"/>
      <c r="F530" s="140"/>
    </row>
    <row r="531">
      <c r="A531" s="152"/>
      <c r="B531" s="153"/>
      <c r="C531" s="153"/>
      <c r="D531" s="154"/>
      <c r="E531" s="140"/>
      <c r="F531" s="140"/>
    </row>
    <row r="532">
      <c r="A532" s="152"/>
      <c r="B532" s="153"/>
      <c r="C532" s="153"/>
      <c r="D532" s="154"/>
      <c r="E532" s="140"/>
      <c r="F532" s="140"/>
    </row>
    <row r="533">
      <c r="A533" s="152"/>
      <c r="B533" s="153"/>
      <c r="C533" s="153"/>
      <c r="D533" s="154"/>
      <c r="E533" s="140"/>
      <c r="F533" s="140"/>
    </row>
    <row r="534">
      <c r="A534" s="152"/>
      <c r="B534" s="153"/>
      <c r="C534" s="153"/>
      <c r="D534" s="154"/>
      <c r="E534" s="140"/>
      <c r="F534" s="140"/>
    </row>
    <row r="535">
      <c r="A535" s="152"/>
      <c r="B535" s="153"/>
      <c r="C535" s="153"/>
      <c r="D535" s="154"/>
      <c r="E535" s="140"/>
      <c r="F535" s="140"/>
    </row>
    <row r="536">
      <c r="A536" s="152"/>
      <c r="B536" s="153"/>
      <c r="C536" s="153"/>
      <c r="D536" s="154"/>
      <c r="E536" s="140"/>
      <c r="F536" s="140"/>
    </row>
    <row r="537">
      <c r="A537" s="152"/>
      <c r="B537" s="153"/>
      <c r="C537" s="153"/>
      <c r="D537" s="154"/>
      <c r="E537" s="140"/>
      <c r="F537" s="140"/>
    </row>
    <row r="538">
      <c r="A538" s="152"/>
      <c r="B538" s="153"/>
      <c r="C538" s="153"/>
      <c r="D538" s="154"/>
      <c r="E538" s="140"/>
      <c r="F538" s="140"/>
    </row>
    <row r="539">
      <c r="A539" s="152"/>
      <c r="B539" s="153"/>
      <c r="C539" s="153"/>
      <c r="D539" s="154"/>
      <c r="E539" s="140"/>
      <c r="F539" s="140"/>
    </row>
    <row r="540">
      <c r="A540" s="152"/>
      <c r="B540" s="153"/>
      <c r="C540" s="153"/>
      <c r="D540" s="154"/>
      <c r="E540" s="140"/>
      <c r="F540" s="140"/>
    </row>
    <row r="541">
      <c r="A541" s="152"/>
      <c r="B541" s="153"/>
      <c r="C541" s="153"/>
      <c r="D541" s="154"/>
      <c r="E541" s="140"/>
      <c r="F541" s="140"/>
    </row>
    <row r="542">
      <c r="A542" s="152"/>
      <c r="B542" s="153"/>
      <c r="C542" s="153"/>
      <c r="D542" s="154"/>
      <c r="E542" s="140"/>
      <c r="F542" s="140"/>
    </row>
    <row r="543">
      <c r="A543" s="152"/>
      <c r="B543" s="153"/>
      <c r="C543" s="153"/>
      <c r="D543" s="154"/>
      <c r="E543" s="140"/>
      <c r="F543" s="140"/>
    </row>
    <row r="544">
      <c r="A544" s="152"/>
      <c r="B544" s="153"/>
      <c r="C544" s="153"/>
      <c r="D544" s="154"/>
      <c r="E544" s="140"/>
      <c r="F544" s="140"/>
    </row>
    <row r="545">
      <c r="A545" s="152"/>
      <c r="B545" s="153"/>
      <c r="C545" s="153"/>
      <c r="D545" s="154"/>
      <c r="E545" s="140"/>
      <c r="F545" s="140"/>
    </row>
    <row r="546">
      <c r="A546" s="152"/>
      <c r="B546" s="153"/>
      <c r="C546" s="153"/>
      <c r="D546" s="154"/>
      <c r="E546" s="140"/>
      <c r="F546" s="140"/>
    </row>
    <row r="547">
      <c r="A547" s="152"/>
      <c r="B547" s="153"/>
      <c r="C547" s="153"/>
      <c r="D547" s="154"/>
      <c r="E547" s="140"/>
      <c r="F547" s="140"/>
    </row>
    <row r="548">
      <c r="A548" s="152"/>
      <c r="B548" s="153"/>
      <c r="C548" s="153"/>
      <c r="D548" s="154"/>
      <c r="E548" s="140"/>
      <c r="F548" s="140"/>
    </row>
    <row r="549">
      <c r="A549" s="152"/>
      <c r="B549" s="153"/>
      <c r="C549" s="153"/>
      <c r="D549" s="154"/>
      <c r="E549" s="140"/>
      <c r="F549" s="140"/>
    </row>
    <row r="550">
      <c r="A550" s="152"/>
      <c r="B550" s="153"/>
      <c r="C550" s="153"/>
      <c r="D550" s="154"/>
      <c r="E550" s="140"/>
      <c r="F550" s="140"/>
    </row>
    <row r="551">
      <c r="A551" s="152"/>
      <c r="B551" s="153"/>
      <c r="C551" s="153"/>
      <c r="D551" s="154"/>
      <c r="E551" s="140"/>
      <c r="F551" s="140"/>
    </row>
    <row r="552">
      <c r="A552" s="152"/>
      <c r="B552" s="153"/>
      <c r="C552" s="153"/>
      <c r="D552" s="154"/>
      <c r="E552" s="140"/>
      <c r="F552" s="140"/>
    </row>
    <row r="553">
      <c r="A553" s="152"/>
      <c r="B553" s="153"/>
      <c r="C553" s="153"/>
      <c r="D553" s="154"/>
      <c r="E553" s="140"/>
      <c r="F553" s="140"/>
    </row>
    <row r="554">
      <c r="A554" s="152"/>
      <c r="B554" s="153"/>
      <c r="C554" s="153"/>
      <c r="D554" s="154"/>
      <c r="E554" s="140"/>
      <c r="F554" s="140"/>
    </row>
    <row r="555">
      <c r="A555" s="152"/>
      <c r="B555" s="153"/>
      <c r="C555" s="153"/>
      <c r="D555" s="154"/>
      <c r="E555" s="140"/>
      <c r="F555" s="140"/>
    </row>
    <row r="556">
      <c r="A556" s="152"/>
      <c r="B556" s="153"/>
      <c r="C556" s="153"/>
      <c r="D556" s="154"/>
      <c r="E556" s="140"/>
      <c r="F556" s="140"/>
    </row>
    <row r="557">
      <c r="A557" s="152"/>
      <c r="B557" s="153"/>
      <c r="C557" s="153"/>
      <c r="D557" s="154"/>
      <c r="E557" s="140"/>
      <c r="F557" s="140"/>
    </row>
    <row r="558">
      <c r="A558" s="152"/>
      <c r="B558" s="153"/>
      <c r="C558" s="153"/>
      <c r="D558" s="154"/>
      <c r="E558" s="140"/>
      <c r="F558" s="140"/>
    </row>
    <row r="559">
      <c r="A559" s="152"/>
      <c r="B559" s="153"/>
      <c r="C559" s="153"/>
      <c r="D559" s="154"/>
      <c r="E559" s="140"/>
      <c r="F559" s="140"/>
    </row>
    <row r="560">
      <c r="A560" s="152"/>
      <c r="B560" s="153"/>
      <c r="C560" s="153"/>
      <c r="D560" s="154"/>
      <c r="E560" s="140"/>
      <c r="F560" s="140"/>
    </row>
    <row r="561">
      <c r="A561" s="152"/>
      <c r="B561" s="153"/>
      <c r="C561" s="153"/>
      <c r="D561" s="154"/>
      <c r="E561" s="140"/>
      <c r="F561" s="140"/>
    </row>
    <row r="562">
      <c r="A562" s="152"/>
      <c r="B562" s="153"/>
      <c r="C562" s="153"/>
      <c r="D562" s="154"/>
      <c r="E562" s="140"/>
      <c r="F562" s="140"/>
    </row>
    <row r="563">
      <c r="A563" s="152"/>
      <c r="B563" s="153"/>
      <c r="C563" s="153"/>
      <c r="D563" s="154"/>
      <c r="E563" s="140"/>
      <c r="F563" s="140"/>
    </row>
    <row r="564">
      <c r="A564" s="152"/>
      <c r="B564" s="153"/>
      <c r="C564" s="153"/>
      <c r="D564" s="154"/>
      <c r="E564" s="140"/>
      <c r="F564" s="140"/>
    </row>
    <row r="565">
      <c r="A565" s="152"/>
      <c r="B565" s="153"/>
      <c r="C565" s="153"/>
      <c r="D565" s="154"/>
      <c r="E565" s="140"/>
      <c r="F565" s="140"/>
    </row>
    <row r="566">
      <c r="A566" s="152"/>
      <c r="B566" s="153"/>
      <c r="C566" s="153"/>
      <c r="D566" s="154"/>
      <c r="E566" s="140"/>
      <c r="F566" s="140"/>
    </row>
    <row r="567">
      <c r="A567" s="152"/>
      <c r="B567" s="153"/>
      <c r="C567" s="153"/>
      <c r="D567" s="154"/>
      <c r="E567" s="140"/>
      <c r="F567" s="140"/>
    </row>
    <row r="568">
      <c r="A568" s="152"/>
      <c r="B568" s="153"/>
      <c r="C568" s="153"/>
      <c r="D568" s="154"/>
      <c r="E568" s="140"/>
      <c r="F568" s="140"/>
    </row>
    <row r="569">
      <c r="A569" s="152"/>
      <c r="B569" s="153"/>
      <c r="C569" s="153"/>
      <c r="D569" s="154"/>
      <c r="E569" s="140"/>
      <c r="F569" s="140"/>
    </row>
    <row r="570">
      <c r="A570" s="152"/>
      <c r="B570" s="153"/>
      <c r="C570" s="153"/>
      <c r="D570" s="154"/>
      <c r="E570" s="140"/>
      <c r="F570" s="140"/>
    </row>
    <row r="571">
      <c r="A571" s="152"/>
      <c r="B571" s="153"/>
      <c r="C571" s="153"/>
      <c r="D571" s="154"/>
      <c r="E571" s="140"/>
      <c r="F571" s="140"/>
    </row>
    <row r="572">
      <c r="A572" s="152"/>
      <c r="B572" s="153"/>
      <c r="C572" s="153"/>
      <c r="D572" s="154"/>
      <c r="E572" s="140"/>
      <c r="F572" s="140"/>
    </row>
    <row r="573">
      <c r="A573" s="152"/>
      <c r="B573" s="153"/>
      <c r="C573" s="153"/>
      <c r="D573" s="154"/>
      <c r="E573" s="140"/>
      <c r="F573" s="140"/>
    </row>
    <row r="574">
      <c r="A574" s="152"/>
      <c r="B574" s="153"/>
      <c r="C574" s="153"/>
      <c r="D574" s="154"/>
      <c r="E574" s="140"/>
      <c r="F574" s="140"/>
    </row>
    <row r="575">
      <c r="A575" s="152"/>
      <c r="B575" s="153"/>
      <c r="C575" s="153"/>
      <c r="D575" s="154"/>
      <c r="E575" s="140"/>
      <c r="F575" s="140"/>
    </row>
    <row r="576">
      <c r="A576" s="152"/>
      <c r="B576" s="153"/>
      <c r="C576" s="153"/>
      <c r="D576" s="154"/>
      <c r="E576" s="140"/>
      <c r="F576" s="140"/>
    </row>
    <row r="577">
      <c r="A577" s="152"/>
      <c r="B577" s="153"/>
      <c r="C577" s="153"/>
      <c r="D577" s="154"/>
      <c r="E577" s="140"/>
      <c r="F577" s="140"/>
    </row>
    <row r="578">
      <c r="A578" s="152"/>
      <c r="B578" s="153"/>
      <c r="C578" s="153"/>
      <c r="D578" s="154"/>
      <c r="E578" s="140"/>
      <c r="F578" s="140"/>
    </row>
    <row r="579">
      <c r="A579" s="152"/>
      <c r="B579" s="153"/>
      <c r="C579" s="153"/>
      <c r="D579" s="154"/>
      <c r="E579" s="140"/>
      <c r="F579" s="140"/>
    </row>
    <row r="580">
      <c r="A580" s="152"/>
      <c r="B580" s="153"/>
      <c r="C580" s="153"/>
      <c r="D580" s="154"/>
      <c r="E580" s="140"/>
      <c r="F580" s="140"/>
    </row>
    <row r="581">
      <c r="A581" s="152"/>
      <c r="B581" s="153"/>
      <c r="C581" s="153"/>
      <c r="D581" s="154"/>
      <c r="E581" s="140"/>
      <c r="F581" s="140"/>
    </row>
    <row r="582">
      <c r="A582" s="152"/>
      <c r="B582" s="153"/>
      <c r="C582" s="153"/>
      <c r="D582" s="154"/>
      <c r="E582" s="140"/>
      <c r="F582" s="140"/>
    </row>
    <row r="583">
      <c r="A583" s="152"/>
      <c r="B583" s="153"/>
      <c r="C583" s="153"/>
      <c r="D583" s="154"/>
      <c r="E583" s="140"/>
      <c r="F583" s="140"/>
    </row>
    <row r="584">
      <c r="A584" s="152"/>
      <c r="B584" s="153"/>
      <c r="C584" s="153"/>
      <c r="D584" s="154"/>
      <c r="E584" s="140"/>
      <c r="F584" s="140"/>
    </row>
    <row r="585">
      <c r="A585" s="152"/>
      <c r="B585" s="153"/>
      <c r="C585" s="153"/>
      <c r="D585" s="154"/>
      <c r="E585" s="140"/>
      <c r="F585" s="140"/>
    </row>
    <row r="586">
      <c r="A586" s="152"/>
      <c r="B586" s="153"/>
      <c r="C586" s="153"/>
      <c r="D586" s="154"/>
      <c r="E586" s="140"/>
      <c r="F586" s="140"/>
    </row>
    <row r="587">
      <c r="A587" s="152"/>
      <c r="B587" s="153"/>
      <c r="C587" s="153"/>
      <c r="D587" s="154"/>
      <c r="E587" s="140"/>
      <c r="F587" s="140"/>
    </row>
  </sheetData>
  <mergeCells count="6">
    <mergeCell ref="A1:B3"/>
    <mergeCell ref="C1:D3"/>
    <mergeCell ref="E1:F1"/>
    <mergeCell ref="E2:F2"/>
    <mergeCell ref="E3:F3"/>
    <mergeCell ref="E4:F4"/>
  </mergeCells>
  <hyperlinks>
    <hyperlink r:id="rId1" ref="D47"/>
    <hyperlink r:id="rId2" ref="D50"/>
    <hyperlink r:id="rId3" ref="D59"/>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0"/>
    <col customWidth="1" min="2" max="5" width="18.88"/>
    <col customWidth="1" min="6" max="7" width="43.75"/>
  </cols>
  <sheetData>
    <row r="1">
      <c r="A1" s="114"/>
      <c r="B1" s="5"/>
      <c r="C1" s="115" t="s">
        <v>0</v>
      </c>
      <c r="D1" s="2"/>
      <c r="E1" s="2"/>
      <c r="F1" s="5"/>
      <c r="G1" s="155" t="s">
        <v>1</v>
      </c>
    </row>
    <row r="2">
      <c r="A2" s="6"/>
      <c r="B2" s="8"/>
      <c r="C2" s="6"/>
      <c r="F2" s="8"/>
      <c r="G2" s="156" t="s">
        <v>2</v>
      </c>
    </row>
    <row r="3">
      <c r="A3" s="81"/>
      <c r="B3" s="10"/>
      <c r="C3" s="81"/>
      <c r="D3" s="28"/>
      <c r="E3" s="28"/>
      <c r="F3" s="10"/>
      <c r="G3" s="157" t="s">
        <v>3</v>
      </c>
    </row>
    <row r="4">
      <c r="A4" s="117" t="s">
        <v>4</v>
      </c>
      <c r="B4" s="118"/>
      <c r="C4" s="118"/>
      <c r="D4" s="119"/>
      <c r="E4" s="118"/>
      <c r="F4" s="118"/>
      <c r="G4" s="158" t="s">
        <v>5</v>
      </c>
    </row>
    <row r="5">
      <c r="A5" s="159"/>
      <c r="B5" s="160"/>
      <c r="C5" s="159"/>
      <c r="D5" s="159"/>
      <c r="E5" s="160"/>
      <c r="F5" s="161"/>
      <c r="G5" s="161"/>
    </row>
    <row r="6">
      <c r="A6" s="159"/>
      <c r="B6" s="160"/>
      <c r="C6" s="159"/>
      <c r="D6" s="159"/>
      <c r="E6" s="160"/>
      <c r="F6" s="161"/>
      <c r="G6" s="161"/>
    </row>
    <row r="7">
      <c r="A7" s="162" t="s">
        <v>7</v>
      </c>
      <c r="B7" s="163" t="s">
        <v>84</v>
      </c>
      <c r="C7" s="162" t="s">
        <v>85</v>
      </c>
      <c r="D7" s="162" t="s">
        <v>86</v>
      </c>
      <c r="E7" s="163" t="s">
        <v>67</v>
      </c>
      <c r="F7" s="164" t="s">
        <v>87</v>
      </c>
      <c r="G7" s="164" t="s">
        <v>88</v>
      </c>
    </row>
    <row r="8">
      <c r="A8" s="165">
        <v>1.0</v>
      </c>
      <c r="B8" s="165" t="s">
        <v>89</v>
      </c>
      <c r="C8" s="165" t="s">
        <v>90</v>
      </c>
      <c r="D8" s="165" t="s">
        <v>91</v>
      </c>
      <c r="E8" s="165" t="s">
        <v>92</v>
      </c>
      <c r="F8" s="165" t="s">
        <v>93</v>
      </c>
      <c r="G8" s="166" t="s">
        <v>94</v>
      </c>
    </row>
    <row r="9">
      <c r="A9" s="167"/>
      <c r="B9" s="167"/>
      <c r="C9" s="167"/>
      <c r="D9" s="167"/>
      <c r="E9" s="167"/>
      <c r="F9" s="167"/>
      <c r="G9" s="167"/>
    </row>
    <row r="10">
      <c r="A10" s="167"/>
      <c r="B10" s="167"/>
      <c r="C10" s="167"/>
      <c r="D10" s="167"/>
      <c r="E10" s="167"/>
      <c r="F10" s="167"/>
      <c r="G10" s="167"/>
    </row>
    <row r="11">
      <c r="A11" s="167"/>
      <c r="B11" s="167"/>
      <c r="C11" s="167"/>
      <c r="D11" s="167"/>
      <c r="E11" s="167"/>
      <c r="F11" s="167"/>
      <c r="G11" s="167"/>
    </row>
    <row r="12">
      <c r="A12" s="167"/>
      <c r="B12" s="167"/>
      <c r="C12" s="167"/>
      <c r="D12" s="167"/>
      <c r="E12" s="167"/>
      <c r="F12" s="167"/>
      <c r="G12" s="167"/>
    </row>
    <row r="13">
      <c r="A13" s="167"/>
      <c r="B13" s="167"/>
      <c r="C13" s="167"/>
      <c r="D13" s="167"/>
      <c r="E13" s="167"/>
      <c r="F13" s="167"/>
      <c r="G13" s="167"/>
    </row>
    <row r="14">
      <c r="A14" s="167"/>
      <c r="B14" s="167"/>
      <c r="C14" s="167"/>
      <c r="D14" s="167"/>
      <c r="E14" s="167"/>
      <c r="F14" s="167"/>
      <c r="G14" s="167"/>
    </row>
    <row r="15">
      <c r="A15" s="167"/>
      <c r="B15" s="167"/>
      <c r="C15" s="167"/>
      <c r="D15" s="167"/>
      <c r="E15" s="167"/>
      <c r="F15" s="167"/>
      <c r="G15" s="167"/>
    </row>
    <row r="16">
      <c r="A16" s="167"/>
      <c r="B16" s="167"/>
      <c r="C16" s="167"/>
      <c r="D16" s="167"/>
      <c r="E16" s="167"/>
      <c r="F16" s="167"/>
      <c r="G16" s="167"/>
    </row>
    <row r="17">
      <c r="A17" s="167"/>
      <c r="B17" s="167"/>
      <c r="C17" s="167"/>
      <c r="D17" s="167"/>
      <c r="E17" s="167"/>
      <c r="F17" s="167"/>
      <c r="G17" s="167"/>
    </row>
    <row r="18">
      <c r="A18" s="167"/>
      <c r="B18" s="167"/>
      <c r="C18" s="167"/>
      <c r="D18" s="167"/>
      <c r="E18" s="167"/>
      <c r="F18" s="167"/>
      <c r="G18" s="167"/>
    </row>
    <row r="19">
      <c r="A19" s="167"/>
      <c r="B19" s="167"/>
      <c r="C19" s="167"/>
      <c r="D19" s="167"/>
      <c r="E19" s="167"/>
      <c r="F19" s="167"/>
      <c r="G19" s="167"/>
    </row>
    <row r="20">
      <c r="A20" s="167"/>
      <c r="B20" s="167"/>
      <c r="C20" s="167"/>
      <c r="D20" s="167"/>
      <c r="E20" s="167"/>
      <c r="F20" s="167"/>
      <c r="G20" s="167"/>
    </row>
    <row r="21">
      <c r="A21" s="167"/>
      <c r="B21" s="167"/>
      <c r="C21" s="167"/>
      <c r="D21" s="167"/>
      <c r="E21" s="167"/>
      <c r="F21" s="167"/>
      <c r="G21" s="167"/>
    </row>
    <row r="22">
      <c r="A22" s="167"/>
      <c r="B22" s="167"/>
      <c r="C22" s="167"/>
      <c r="D22" s="167"/>
      <c r="E22" s="167"/>
      <c r="F22" s="167"/>
      <c r="G22" s="167"/>
    </row>
    <row r="23">
      <c r="A23" s="167"/>
      <c r="B23" s="167"/>
      <c r="C23" s="167"/>
      <c r="D23" s="167"/>
      <c r="E23" s="167"/>
      <c r="F23" s="167"/>
      <c r="G23" s="167"/>
    </row>
    <row r="24">
      <c r="A24" s="167"/>
      <c r="B24" s="167"/>
      <c r="C24" s="167"/>
      <c r="D24" s="167"/>
      <c r="E24" s="167"/>
      <c r="F24" s="167"/>
      <c r="G24" s="167"/>
    </row>
    <row r="25">
      <c r="A25" s="167"/>
      <c r="B25" s="167"/>
      <c r="C25" s="167"/>
      <c r="D25" s="167"/>
      <c r="E25" s="167"/>
      <c r="F25" s="167"/>
      <c r="G25" s="167"/>
    </row>
    <row r="26">
      <c r="A26" s="167"/>
      <c r="B26" s="167"/>
      <c r="C26" s="167"/>
      <c r="D26" s="167"/>
      <c r="E26" s="167"/>
      <c r="F26" s="167"/>
      <c r="G26" s="167"/>
    </row>
    <row r="27">
      <c r="A27" s="167"/>
      <c r="B27" s="167"/>
      <c r="C27" s="167"/>
      <c r="D27" s="167"/>
      <c r="E27" s="167"/>
      <c r="F27" s="167"/>
      <c r="G27" s="167"/>
    </row>
    <row r="28">
      <c r="A28" s="167"/>
      <c r="B28" s="167"/>
      <c r="C28" s="167"/>
      <c r="D28" s="167"/>
      <c r="E28" s="167"/>
      <c r="F28" s="167"/>
      <c r="G28" s="167"/>
    </row>
    <row r="29">
      <c r="A29" s="167"/>
      <c r="B29" s="167"/>
      <c r="C29" s="167"/>
      <c r="D29" s="167"/>
      <c r="E29" s="167"/>
      <c r="F29" s="167"/>
      <c r="G29" s="167"/>
    </row>
    <row r="30">
      <c r="A30" s="167"/>
      <c r="B30" s="167"/>
      <c r="C30" s="167"/>
      <c r="D30" s="167"/>
      <c r="E30" s="167"/>
      <c r="F30" s="167"/>
      <c r="G30" s="167"/>
    </row>
    <row r="31">
      <c r="A31" s="167"/>
      <c r="B31" s="167"/>
      <c r="C31" s="167"/>
      <c r="D31" s="167"/>
      <c r="E31" s="167"/>
      <c r="F31" s="167"/>
      <c r="G31" s="167"/>
    </row>
    <row r="32">
      <c r="A32" s="167"/>
      <c r="B32" s="167"/>
      <c r="C32" s="167"/>
      <c r="D32" s="167"/>
      <c r="E32" s="167"/>
      <c r="F32" s="167"/>
      <c r="G32" s="167"/>
    </row>
    <row r="33">
      <c r="A33" s="167"/>
      <c r="B33" s="167"/>
      <c r="C33" s="167"/>
      <c r="D33" s="167"/>
      <c r="E33" s="167"/>
      <c r="F33" s="167"/>
      <c r="G33" s="167"/>
    </row>
    <row r="34">
      <c r="A34" s="167"/>
      <c r="B34" s="167"/>
      <c r="C34" s="167"/>
      <c r="D34" s="167"/>
      <c r="E34" s="167"/>
      <c r="F34" s="167"/>
      <c r="G34" s="167"/>
    </row>
    <row r="35">
      <c r="A35" s="167"/>
      <c r="B35" s="167"/>
      <c r="C35" s="167"/>
      <c r="D35" s="167"/>
      <c r="E35" s="167"/>
      <c r="F35" s="167"/>
      <c r="G35" s="167"/>
    </row>
    <row r="36">
      <c r="A36" s="167"/>
      <c r="B36" s="167"/>
      <c r="C36" s="167"/>
      <c r="D36" s="167"/>
      <c r="E36" s="167"/>
      <c r="F36" s="167"/>
      <c r="G36" s="167"/>
    </row>
    <row r="37">
      <c r="A37" s="167"/>
      <c r="B37" s="167"/>
      <c r="C37" s="167"/>
      <c r="D37" s="167"/>
      <c r="E37" s="167"/>
      <c r="F37" s="167"/>
      <c r="G37" s="167"/>
    </row>
    <row r="38">
      <c r="A38" s="167"/>
      <c r="B38" s="167"/>
      <c r="C38" s="167"/>
      <c r="D38" s="167"/>
      <c r="E38" s="167"/>
      <c r="F38" s="167"/>
      <c r="G38" s="167"/>
    </row>
    <row r="39">
      <c r="A39" s="167"/>
      <c r="B39" s="167"/>
      <c r="C39" s="167"/>
      <c r="D39" s="167"/>
      <c r="E39" s="167"/>
      <c r="F39" s="167"/>
      <c r="G39" s="167"/>
    </row>
    <row r="40">
      <c r="A40" s="167"/>
      <c r="B40" s="167"/>
      <c r="C40" s="167"/>
      <c r="D40" s="167"/>
      <c r="E40" s="167"/>
      <c r="F40" s="167"/>
      <c r="G40" s="167"/>
    </row>
    <row r="41">
      <c r="A41" s="167"/>
      <c r="B41" s="167"/>
      <c r="C41" s="167"/>
      <c r="D41" s="167"/>
      <c r="E41" s="167"/>
      <c r="F41" s="167"/>
      <c r="G41" s="167"/>
    </row>
    <row r="42">
      <c r="A42" s="167"/>
      <c r="B42" s="167"/>
      <c r="C42" s="167"/>
      <c r="D42" s="167"/>
      <c r="E42" s="167"/>
      <c r="F42" s="167"/>
      <c r="G42" s="167"/>
    </row>
    <row r="43">
      <c r="A43" s="167"/>
      <c r="B43" s="167"/>
      <c r="C43" s="167"/>
      <c r="D43" s="167"/>
      <c r="E43" s="167"/>
      <c r="F43" s="167"/>
      <c r="G43" s="167"/>
    </row>
    <row r="44">
      <c r="A44" s="167"/>
      <c r="B44" s="167"/>
      <c r="C44" s="167"/>
      <c r="D44" s="167"/>
      <c r="E44" s="167"/>
      <c r="F44" s="167"/>
      <c r="G44" s="167"/>
    </row>
    <row r="45">
      <c r="A45" s="167"/>
      <c r="B45" s="167"/>
      <c r="C45" s="167"/>
      <c r="D45" s="167"/>
      <c r="E45" s="167"/>
      <c r="F45" s="167"/>
      <c r="G45" s="167"/>
    </row>
    <row r="46">
      <c r="A46" s="167"/>
      <c r="B46" s="167"/>
      <c r="C46" s="167"/>
      <c r="D46" s="167"/>
      <c r="E46" s="167"/>
      <c r="F46" s="167"/>
      <c r="G46" s="167"/>
    </row>
    <row r="47">
      <c r="A47" s="167"/>
      <c r="B47" s="167"/>
      <c r="C47" s="167"/>
      <c r="D47" s="167"/>
      <c r="E47" s="167"/>
      <c r="F47" s="167"/>
      <c r="G47" s="167"/>
    </row>
    <row r="48">
      <c r="A48" s="167"/>
      <c r="B48" s="167"/>
      <c r="C48" s="167"/>
      <c r="D48" s="167"/>
      <c r="E48" s="167"/>
      <c r="F48" s="167"/>
      <c r="G48" s="167"/>
    </row>
    <row r="49">
      <c r="A49" s="167"/>
      <c r="B49" s="167"/>
      <c r="C49" s="167"/>
      <c r="D49" s="167"/>
      <c r="E49" s="167"/>
      <c r="F49" s="167"/>
      <c r="G49" s="167"/>
    </row>
    <row r="50">
      <c r="A50" s="167"/>
      <c r="B50" s="167"/>
      <c r="C50" s="167"/>
      <c r="D50" s="167"/>
      <c r="E50" s="167"/>
      <c r="F50" s="167"/>
      <c r="G50" s="167"/>
    </row>
    <row r="51">
      <c r="A51" s="167"/>
      <c r="B51" s="167"/>
      <c r="C51" s="167"/>
      <c r="D51" s="167"/>
      <c r="E51" s="167"/>
      <c r="F51" s="167"/>
      <c r="G51" s="167"/>
    </row>
    <row r="52">
      <c r="A52" s="168"/>
      <c r="B52" s="168"/>
      <c r="C52" s="168"/>
      <c r="D52" s="168"/>
      <c r="E52" s="168"/>
      <c r="F52" s="168"/>
      <c r="G52" s="168"/>
    </row>
    <row r="53">
      <c r="A53" s="168"/>
      <c r="B53" s="168"/>
      <c r="C53" s="168"/>
      <c r="D53" s="168"/>
      <c r="E53" s="168"/>
      <c r="F53" s="168"/>
      <c r="G53" s="168"/>
    </row>
    <row r="54">
      <c r="A54" s="168"/>
      <c r="B54" s="168"/>
      <c r="C54" s="168"/>
      <c r="D54" s="168"/>
      <c r="E54" s="168"/>
      <c r="F54" s="168"/>
      <c r="G54" s="168"/>
    </row>
    <row r="55">
      <c r="A55" s="168"/>
      <c r="B55" s="168"/>
      <c r="C55" s="168"/>
      <c r="D55" s="168"/>
      <c r="E55" s="168"/>
      <c r="F55" s="168"/>
      <c r="G55" s="168"/>
    </row>
    <row r="56">
      <c r="A56" s="168"/>
      <c r="B56" s="168"/>
      <c r="C56" s="168"/>
      <c r="D56" s="168"/>
      <c r="E56" s="168"/>
      <c r="F56" s="168"/>
      <c r="G56" s="168"/>
    </row>
    <row r="57">
      <c r="A57" s="168"/>
      <c r="B57" s="168"/>
      <c r="C57" s="168"/>
      <c r="D57" s="168"/>
      <c r="E57" s="168"/>
      <c r="F57" s="168"/>
      <c r="G57" s="168"/>
    </row>
    <row r="58">
      <c r="A58" s="168"/>
      <c r="B58" s="168"/>
      <c r="C58" s="168"/>
      <c r="D58" s="168"/>
      <c r="E58" s="168"/>
      <c r="F58" s="168"/>
      <c r="G58" s="168"/>
    </row>
    <row r="59">
      <c r="A59" s="168"/>
      <c r="B59" s="168"/>
      <c r="C59" s="168"/>
      <c r="D59" s="168"/>
      <c r="E59" s="168"/>
      <c r="F59" s="168"/>
      <c r="G59" s="168"/>
    </row>
    <row r="60">
      <c r="A60" s="168"/>
      <c r="B60" s="168"/>
      <c r="C60" s="168"/>
      <c r="D60" s="168"/>
      <c r="E60" s="168"/>
      <c r="F60" s="168"/>
      <c r="G60" s="168"/>
    </row>
    <row r="61">
      <c r="A61" s="168"/>
      <c r="B61" s="168"/>
      <c r="C61" s="168"/>
      <c r="D61" s="168"/>
      <c r="E61" s="168"/>
      <c r="F61" s="168"/>
      <c r="G61" s="168"/>
    </row>
    <row r="62">
      <c r="A62" s="168"/>
      <c r="B62" s="168"/>
      <c r="C62" s="168"/>
      <c r="D62" s="168"/>
      <c r="E62" s="168"/>
      <c r="F62" s="168"/>
      <c r="G62" s="168"/>
    </row>
    <row r="63">
      <c r="A63" s="168"/>
      <c r="B63" s="168"/>
      <c r="C63" s="168"/>
      <c r="D63" s="168"/>
      <c r="E63" s="168"/>
      <c r="F63" s="168"/>
      <c r="G63" s="168"/>
    </row>
    <row r="64">
      <c r="A64" s="168"/>
      <c r="B64" s="168"/>
      <c r="C64" s="168"/>
      <c r="D64" s="168"/>
      <c r="E64" s="168"/>
      <c r="F64" s="168"/>
      <c r="G64" s="168"/>
    </row>
    <row r="65">
      <c r="A65" s="168"/>
      <c r="B65" s="168"/>
      <c r="C65" s="168"/>
      <c r="D65" s="168"/>
      <c r="E65" s="168"/>
      <c r="F65" s="168"/>
      <c r="G65" s="168"/>
    </row>
    <row r="66">
      <c r="A66" s="168"/>
      <c r="B66" s="168"/>
      <c r="C66" s="168"/>
      <c r="D66" s="168"/>
      <c r="E66" s="168"/>
      <c r="F66" s="168"/>
      <c r="G66" s="168"/>
    </row>
    <row r="67">
      <c r="A67" s="168"/>
      <c r="B67" s="168"/>
      <c r="C67" s="168"/>
      <c r="D67" s="168"/>
      <c r="E67" s="168"/>
      <c r="F67" s="168"/>
      <c r="G67" s="168"/>
    </row>
    <row r="68">
      <c r="A68" s="168"/>
      <c r="B68" s="168"/>
      <c r="C68" s="168"/>
      <c r="D68" s="168"/>
      <c r="E68" s="168"/>
      <c r="F68" s="168"/>
      <c r="G68" s="168"/>
    </row>
    <row r="69">
      <c r="A69" s="168"/>
      <c r="B69" s="168"/>
      <c r="C69" s="168"/>
      <c r="D69" s="168"/>
      <c r="E69" s="168"/>
      <c r="F69" s="168"/>
      <c r="G69" s="168"/>
    </row>
  </sheetData>
  <mergeCells count="2">
    <mergeCell ref="A1:B3"/>
    <mergeCell ref="C1:F3"/>
  </mergeCells>
  <drawing r:id="rId2"/>
  <legacyDrawing r:id="rId3"/>
</worksheet>
</file>