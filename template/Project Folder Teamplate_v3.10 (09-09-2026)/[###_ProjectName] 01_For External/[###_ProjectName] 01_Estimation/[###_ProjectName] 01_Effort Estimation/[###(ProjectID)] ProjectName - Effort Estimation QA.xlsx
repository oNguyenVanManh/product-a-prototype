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Guideline" sheetId="2" r:id="rId5"/>
    <sheet state="visible" name="WBS_Overview" sheetId="3" r:id="rId6"/>
    <sheet state="visible" name="WBS Estimation_Test Cases Break" sheetId="4" r:id="rId7"/>
    <sheet state="visible" name="Criteria for project complexity" sheetId="5" r:id="rId8"/>
    <sheet state="visible" name="Appendix" sheetId="6" r:id="rId9"/>
    <sheet state="visible" name="Common function"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4">
      <text>
        <t xml:space="preserve">Các con số tổng này c nghĩ nên đẩy lên row 11, ngay dưới mục tiêu đề bảng để dễ follow.
	-Do Kim Dung
Ngoài ra, CT chị nghĩ nên để chặn là I, dự phòng còn thêm row khác, dự án cũng đỡ phải update CT
	-Do Kim Dung</t>
      </text>
    </comment>
    <comment authorId="0" ref="H11">
      <text>
        <t xml:space="preserve">@nguyen.thi.truc.na@sun-asterisk.com ơi, chị vẫn lăn tăn cột này.
1- Bình thường thì QA có nhân hệ số riêng theo từng Function không em nhỉ?
Mình đánh giá thêm cái này để quyết định xem nên để hẳn 1 cột Coefficient độc lập, hay là nhân chung với Coefficient với total effort.
2- Với các function mà lấy từ Common Function, đã có sẵn các con số Estimation rồi thì không cần nhân với Coefficient nữa đúng không em?
_Assigned to Nguyen Thi Truc Na_
	-Do Kim Dung
1. Việc nhân hay không phụ thuộc vào nhiều yếu tố á c
e có note ở sheet guideline ạ
- Tùy theo mức độ phức tạp về function mà QA có thể thay đổi hệ số tương ứng hoặc sử dụng default hệ số được tính
2. Các function common đang được viết theo spec cơ bản nhất nên khi clear spec của dự án nếu thấy function common đảm bảo rồi thì k cần nhân nữa, nếu chưa thì có thể nhân vào ạ
	-Nguyen Thi Truc Na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
      <text>
        <t xml:space="preserve">Pattenrn này được mô tả ở đâu í em nhỉ? Chị chỉ quyền Comment nên không nhìn thấy các Option khác
	-Do Kim Dung
@nguyen.thi.truc.na@sun-asterisk.com ơi, cái này chị vẫn chưa clear :D
	-Do Kim Dung
Công thức nó như này ạ:
IFS(
4&gt;=D9, "Pattern III – Lean QA",
7&gt;=D9, "Pattern II – Balanced QA",
TRUE, "Pattern I – Intensive QA"
)
Chỗ chốt các partern này thì nó cũng ở mức tương đối để thử nghiệm, sau thời gian chạy đánh giá lại rồi team có thể sẽ thay đổi để có con số phù hợp
	-Nguyen Thi Truc Na
@nguyen.thi.truc.na@sun-asterisk.com ơi, cái đoạn rule trong công thức í, em cũng làm 1 bảng refer đến để hiểu ý nghĩa nhé. Chứ User không nhìn công thức để hiểu đâu em ạ. Ngoài ra, ý nghĩa của từng Pattern đó là gì nữa.
	-Do Kim Dung</t>
      </text>
    </comment>
  </commentList>
</comments>
</file>

<file path=xl/sharedStrings.xml><?xml version="1.0" encoding="utf-8"?>
<sst xmlns="http://schemas.openxmlformats.org/spreadsheetml/2006/main" count="463" uniqueCount="325">
  <si>
    <t>WBS ESTIMATION</t>
  </si>
  <si>
    <t xml:space="preserve">WBS ESTIMATION
</t>
  </si>
  <si>
    <t>No: BM-QT-1701-02</t>
  </si>
  <si>
    <t>Version: 1.3</t>
  </si>
  <si>
    <t>Issue Date: 22/09/2026</t>
  </si>
  <si>
    <t>SUN ASTERISK VIETNAM CO., LTD</t>
  </si>
  <si>
    <t>ISO/IEC 27001:2022 &amp; ISO 9001:2015</t>
  </si>
  <si>
    <t>HISTORY OF CHANGES</t>
  </si>
  <si>
    <t>No</t>
  </si>
  <si>
    <t>Change Item</t>
  </si>
  <si>
    <t>Description of changes</t>
  </si>
  <si>
    <t>Change Date</t>
  </si>
  <si>
    <t>I. WBS_Overview</t>
  </si>
  <si>
    <t>Update format</t>
  </si>
  <si>
    <t>I. Estimation Effort</t>
  </si>
  <si>
    <t>Thể hiện tổng effort cần có cho dự án</t>
  </si>
  <si>
    <t>Cần điền đầy đủ các thông số về scope test, browser/ thiết bị test để làm căn cứ tiền đề estimate</t>
  </si>
  <si>
    <t>Project name</t>
  </si>
  <si>
    <t>- Add sheet: 
+ Guideline
+ Criteria for project complexity level selection
+ Appendix
+ Common function
- Update sheet:
+ WBS Estimation_Test Cases Break</t>
  </si>
  <si>
    <t>II. WBS Estimation_Test Cases Break</t>
  </si>
  <si>
    <t xml:space="preserve"> Total Estimated Effort (hours)</t>
  </si>
  <si>
    <t>3</t>
  </si>
  <si>
    <t>- Đảm bảo Function list ở file này và của dự án phải giống nhau</t>
  </si>
  <si>
    <t>All sheet</t>
  </si>
  <si>
    <t>Total Estimated Effort (Man-day)</t>
  </si>
  <si>
    <t>Update mã biểu mẫu theo tiêu chuẩn ISO.</t>
  </si>
  <si>
    <t>Total Estimated Effort (Man-month)</t>
  </si>
  <si>
    <t>22/09/2026</t>
  </si>
  <si>
    <r>
      <rPr>
        <rFont val="Arial"/>
        <color/>
      </rPr>
      <t xml:space="preserve">- </t>
    </r>
    <r>
      <rPr>
        <rFont val="Arial"/>
        <color rgb="FF1155CC"/>
        <u/>
      </rPr>
      <t>Cột G_Link with common function</t>
    </r>
    <r>
      <rPr>
        <rFont val="Arial"/>
        <color/>
      </rPr>
      <t xml:space="preserve">: Lựa chọn function common có sẵn nếu function của hệ thống mapping được với function common đã có, các data về time create/ review/ execute sẽ auto fill (người est có thể sử dụng hoàn toàn hoặc chỉnh sửa tùy theo spec của hệ thống)
+ Có thể tham khảo testcase common đã viết, tùy theo độ phức tạp/ số component của function mà thay đổi hệ số tương ứng để ra effort cuối cùng
+ Nếu không mapping được với function đã có thì điền trực tiếp time estimate vào </t>
    </r>
    <r>
      <rPr>
        <rFont val="Arial"/>
        <color rgb="FF1155CC"/>
        <u/>
      </rPr>
      <t>cột I, J, K</t>
    </r>
  </si>
  <si>
    <t xml:space="preserve"> Total Effort 
(Hours)</t>
  </si>
  <si>
    <t>Total Effort (Man-day)</t>
  </si>
  <si>
    <t>Total Effort (Man-month)</t>
  </si>
  <si>
    <t>Estimated by</t>
  </si>
  <si>
    <t>Date</t>
  </si>
  <si>
    <t>dd/mm/yyyy</t>
  </si>
  <si>
    <t>Total</t>
  </si>
  <si>
    <r>
      <rPr>
        <rFont val="Arial"/>
        <color/>
      </rPr>
      <t xml:space="preserve">- </t>
    </r>
    <r>
      <rPr>
        <rFont val="Arial"/>
        <color rgb="FF1155CC"/>
        <u/>
      </rPr>
      <t>Cột H_Coefficient</t>
    </r>
    <r>
      <rPr>
        <rFont val="Arial"/>
        <color/>
      </rPr>
      <t>: Hệ số được tính cho toàn bộ dự án ở sheet Appendix
Tùy theo mức độ phức tạp về function mà QA có thể thay đổi hệ số tương ứng hoặc sử dụng default hệ số được tính
Tổng effort của 1 function = (thời gian create + review + execute TCs+ verify bug + final) * hệ số Coefficient</t>
    </r>
  </si>
  <si>
    <t>- Thay đổi add/edit/delete column cho phù hợp với dự án</t>
  </si>
  <si>
    <t>NOTE: Thay đổi việc tính effort 1 function từ dựa vào số testcase bằng việc quy ra giờ cụ thể</t>
  </si>
  <si>
    <t>III. Criteria for project complexity level selection</t>
  </si>
  <si>
    <t xml:space="preserve">- Liệt kê các tiêu chí đánh giá complexity: </t>
  </si>
  <si>
    <t>+ Đánh giá complexity về Quality Requiremen</t>
  </si>
  <si>
    <t>+ Đánh giá complexity về Project</t>
  </si>
  <si>
    <t>II. Scope of Work</t>
  </si>
  <si>
    <t>Review by</t>
  </si>
  <si>
    <t>- Từ complexity của 2 mục trên sẽ đánh giá Coefficient của dự án chi tiết ở sheet Appendix</t>
  </si>
  <si>
    <t>1. In Scope</t>
  </si>
  <si>
    <t>- Gợi ý 1 số lựa chọn về scope test phù hợp với dự án ở mục 3</t>
  </si>
  <si>
    <t xml:space="preserve"> </t>
  </si>
  <si>
    <t>IV. Appendix</t>
  </si>
  <si>
    <t>The scope for estimate does include the following items:</t>
  </si>
  <si>
    <t>Phụ lục bao gồm:
- Lựa chọn coefficient cho dự án dựa trên các tiêu chí được mô tả ở sheet Criteria for project complexity level selection</t>
  </si>
  <si>
    <t>- Các tham số khác: Buffer, TVP, Review, Management, Working days in a month, Working hours in a day, Bug rate</t>
  </si>
  <si>
    <r>
      <rPr>
        <rFont val="Arial"/>
        <color/>
      </rPr>
      <t>+ Lưu ý: theo norm chung của công ty:
    ++ Bug rate = 5% ~ 7% test cases 
    ++ Bug verification : 0.5 hour / 1 bug</t>
    </r>
    <r>
      <rPr>
        <rFont val="Arial"/>
        <color rgb="FFFF0000"/>
      </rPr>
      <t xml:space="preserve">
=&gt; Quy đổi tỉ lệ effort so với effort Execute Test case = 25% ~ 35%</t>
    </r>
    <r>
      <rPr>
        <rFont val="Arial"/>
        <color/>
      </rPr>
      <t xml:space="preserve">
</t>
    </r>
  </si>
  <si>
    <t>V. Common function</t>
  </si>
  <si>
    <t>#</t>
  </si>
  <si>
    <t>Danh sách các function common hay gặp và thời gian create/ review/ execute TCs của function đó</t>
  </si>
  <si>
    <t>Có link refer testcase common đã viết để tham khảo</t>
  </si>
  <si>
    <t>Item</t>
  </si>
  <si>
    <t>TOTAL (MH)</t>
  </si>
  <si>
    <t>Description</t>
  </si>
  <si>
    <t>Note</t>
  </si>
  <si>
    <t>Feature</t>
  </si>
  <si>
    <t>Screen name</t>
  </si>
  <si>
    <t>Functions</t>
  </si>
  <si>
    <t>Sub Functions</t>
  </si>
  <si>
    <t>Detail</t>
  </si>
  <si>
    <t>Link with common function</t>
  </si>
  <si>
    <t>Coefficient</t>
  </si>
  <si>
    <t>Effort Create
(Hour)</t>
  </si>
  <si>
    <t>Effort Review
(Hour)</t>
  </si>
  <si>
    <t>Effort Execute
(Hour)</t>
  </si>
  <si>
    <t>Effort Bug Verification
(Hour)</t>
  </si>
  <si>
    <t>Effort final inspection before release
(Hour)</t>
  </si>
  <si>
    <t>Total Effort
(Hours)</t>
  </si>
  <si>
    <r>
      <rPr>
        <rFont val="Times New Roman"/>
        <b/>
        <color rgb="FF000000"/>
        <sz val="12.0"/>
      </rPr>
      <t xml:space="preserve">Note
</t>
    </r>
    <r>
      <rPr>
        <rFont val="Times New Roman"/>
        <b/>
        <i/>
        <color rgb="FF000000"/>
        <sz val="8.0"/>
      </rPr>
      <t>*List out the assumptions while estimating</t>
    </r>
  </si>
  <si>
    <t>System test/Final inspection test</t>
  </si>
  <si>
    <t>TIÊU CHÍ LỰA CHỌN HỆ SỐ COMPLEXITY CHO DỰ ÁN</t>
  </si>
  <si>
    <t>Test ‘Compatibility’ matrix</t>
  </si>
  <si>
    <t>Type</t>
  </si>
  <si>
    <t>Item 1</t>
  </si>
  <si>
    <t>Item 2</t>
  </si>
  <si>
    <t>Item 3</t>
  </si>
  <si>
    <t>OS</t>
  </si>
  <si>
    <t>-</t>
  </si>
  <si>
    <t>No: BM-2-901-23</t>
  </si>
  <si>
    <t>Browser</t>
  </si>
  <si>
    <t>Device</t>
  </si>
  <si>
    <t>Network</t>
  </si>
  <si>
    <t>Version: 1.2</t>
  </si>
  <si>
    <t>2. Out of Scope</t>
  </si>
  <si>
    <t>Issue Date: 06/11/2025</t>
  </si>
  <si>
    <t>The estimation does not include the following items:</t>
  </si>
  <si>
    <t>III. Deliverable</t>
  </si>
  <si>
    <t>Yes/No</t>
  </si>
  <si>
    <t>Test Strategy</t>
  </si>
  <si>
    <t>1. MỤC ĐÍCH CỦA VIỆC LỰA CHỌN HỆ SỐ CỦA DỰ ÁN</t>
  </si>
  <si>
    <t>N</t>
  </si>
  <si>
    <t>Test Plan</t>
  </si>
  <si>
    <t>- Hệ số được sử dụng để điều chỉnh các giá trị ước tính ban đầu do mỗi dự án sẽ có những yêu cầu khác nhau, có độ phức tạp khác nhau.</t>
  </si>
  <si>
    <t>Y</t>
  </si>
  <si>
    <t>Test Cases/Scripts</t>
  </si>
  <si>
    <t>- Mỗi dự án đều có các function common, từ hệ số dự án, có thể đưa luôn effort vào cho các function common đó.</t>
  </si>
  <si>
    <r>
      <rPr>
        <rFont val="Times New Roman"/>
        <color/>
        <sz val="12.0"/>
      </rPr>
      <t xml:space="preserve">Responsive
</t>
    </r>
    <r>
      <rPr>
        <rFont val="Times New Roman"/>
        <i/>
        <color/>
        <sz val="12.0"/>
      </rPr>
      <t>(If any)</t>
    </r>
  </si>
  <si>
    <t>Test Data/Test Evidence</t>
  </si>
  <si>
    <t>- Bên cạnh đó, dựa trên độ phức tạp của dự án + hệ số dự án, có thể đánh giá effort của các function không thuộc list common 1 cách hiệu quả.</t>
  </si>
  <si>
    <t>Defect Report/Bug Report</t>
  </si>
  <si>
    <t>Test Execution Report</t>
  </si>
  <si>
    <t>- Đánh giá độ phức tạp của dự án và hệ số của dự án là thực hiện cho toàn dự án, không cho từng function.</t>
  </si>
  <si>
    <t>Installation/configuration guide</t>
  </si>
  <si>
    <t>User guide</t>
  </si>
  <si>
    <t xml:space="preserve">2. CÁC TIÊU CHÍ ĐÁNH GIÁ </t>
  </si>
  <si>
    <t>Test status report</t>
  </si>
  <si>
    <t>2.1. Quality Requirement</t>
  </si>
  <si>
    <t xml:space="preserve">IV. Other </t>
  </si>
  <si>
    <t>Assumption Description</t>
  </si>
  <si>
    <t>Test Evidence is not in project deliverables. During test execution, we take note all test information for double check process if an error/defect has occurred such as: 
  - Test enviroment: Staging / Dev / Prod
  - OS/Browser version/Device model
  - Build version
  - Test result 
  - QA who execute the test case
  - Date execute the test case                
An error/defect evidence must be provided in report details. Evidence recording provides a detailed, date stamped record proving that a specific activity was undertaken.</t>
  </si>
  <si>
    <r>
      <rPr>
        <rFont val="Times New Roman"/>
        <color/>
        <sz val="12.0"/>
      </rPr>
      <t xml:space="preserve">Test enviroment as below: 
- </t>
    </r>
    <r>
      <rPr>
        <rFont val="Times New Roman"/>
        <i/>
        <color/>
        <sz val="12.0"/>
      </rPr>
      <t xml:space="preserve">Note test env 
- Note test env </t>
    </r>
  </si>
  <si>
    <t>Productivity: 
- Create testcase : xx cases/day
- Execute testcase and closed bugs : yy cases/day</t>
  </si>
  <si>
    <t>Lựa chọn</t>
  </si>
  <si>
    <t>Giải thích</t>
  </si>
  <si>
    <r>
      <rPr>
        <rFont val="Times New Roman"/>
        <color/>
        <sz val="12.0"/>
      </rPr>
      <t xml:space="preserve">Multi language
</t>
    </r>
    <r>
      <rPr>
        <rFont val="Times New Roman"/>
        <i/>
        <color/>
        <sz val="12.0"/>
      </rPr>
      <t>(If any)</t>
    </r>
  </si>
  <si>
    <t>Tiêu chí</t>
  </si>
  <si>
    <t>High</t>
  </si>
  <si>
    <t>- Dự án có yêu cầu cao về mặt chất lượng</t>
  </si>
  <si>
    <t>- Ngoài mặt logic nghiệp vụ dự án, KH có thêm các yêu cầu:
+ Chất lượng test: Cần test đầy đủ các validate, validate theo từng items, UI cũng yêu cầu cao. Ngoài ra, cần test tương tác nhiều với các hệ thống bên ngoài, hoặc phần cứng của device/browser...
+ Chất lượng spec: Cần có những đóng góp thêm về spec, đóng góp thêm về validate cho các items, tính năng...
+ Chất lượng quản lý: Cần có sự qly chặt chẽ, có các báo cáo bài bản, tiêu chuẩn, thường xuyên
+ Chất lượng test: Cần có evidence đầy đủ cho mỗi case test
...
- Hoặc có thể KH có riêng đội test
---
Note: Tiêu chí chất lượng test là tiêu chí quan trọng nhất, các tiêu chí khác có thể bỏ qua</t>
  </si>
  <si>
    <t>Lựa chọn coefficient của dự án</t>
  </si>
  <si>
    <t>Medium</t>
  </si>
  <si>
    <t>Category</t>
  </si>
  <si>
    <t>- Dự án có yêu cầu trung bình về mặt chất lượng</t>
  </si>
  <si>
    <t>Select value</t>
  </si>
  <si>
    <t>Total Score</t>
  </si>
  <si>
    <t>- Ngoài mặt logic nghiệp vụ dự án, KH có thêm các yêu cầu:
+ Chất lượng test: Cần test đầy đủ các validate, validate theo từng items , tính năng. Tuy nhiên, k cần quá kỹ nếu là các site do bên KH quản lý.
...
---
Note: Tiêu chí chất lượng test là tiêu chí quan trọng nhất, các tiêu chí khác có thể bỏ qua</t>
  </si>
  <si>
    <t>Project Type</t>
  </si>
  <si>
    <t>POC/MVP</t>
  </si>
  <si>
    <t>Low</t>
  </si>
  <si>
    <t>- Dự án có yêu cầu thấp về mặt chất lượng</t>
  </si>
  <si>
    <t>- Khách hàng không có yêu cầu cụ thể, chỉ cần có thể đảm bảo về mặt logic nghiệp vụ OK, luồng dự án chạy đúng</t>
  </si>
  <si>
    <t>Admin</t>
  </si>
  <si>
    <t>Screen 1</t>
  </si>
  <si>
    <t>Quality Requirement</t>
  </si>
  <si>
    <t>Task 1</t>
  </si>
  <si>
    <t>Login</t>
  </si>
  <si>
    <t>2.2. Project Complexity</t>
  </si>
  <si>
    <t>Project Complexity</t>
  </si>
  <si>
    <t>Select Pattern</t>
  </si>
  <si>
    <t>Chi tiết tiêu chí đánh giá</t>
  </si>
  <si>
    <t xml:space="preserve">- Refer table Pattern </t>
  </si>
  <si>
    <t xml:space="preserve">Medium				</t>
  </si>
  <si>
    <t>- QA có thể thay đổi coefficient của function estimate tùy theo yêu cầu</t>
  </si>
  <si>
    <t>Note:
- Yếu tố nghiệp vụ + Kỹ thuật là bắt buộc phải đánh giá
- Yếu tố khác là optional
- Nếu 2/3 số tiêu chí thuộc loại nào thì độ phức tạp là loại đó
- Nếu yếu tố ngân sách là chủ chốt thì từ đầu sẽ chốt luôn scope test với KH để tránh tăng effort về sau</t>
  </si>
  <si>
    <t>Pattern name</t>
  </si>
  <si>
    <t xml:space="preserve">
Note</t>
  </si>
  <si>
    <t>Pattern I – Intensive QA</t>
  </si>
  <si>
    <t>&lt; 4</t>
  </si>
  <si>
    <t>Pattern II – Balanced QA</t>
  </si>
  <si>
    <t>4~7</t>
  </si>
  <si>
    <t>Pattern III – Lean QA</t>
  </si>
  <si>
    <t>&gt;7</t>
  </si>
  <si>
    <r>
      <rPr>
        <rFont val="Times New Roman"/>
        <color/>
        <sz val="12.0"/>
      </rPr>
      <t xml:space="preserve">I. Nghiệp vụ </t>
    </r>
    <r>
      <rPr>
        <rFont val="Times New Roman"/>
        <color rgb="FFFF0000"/>
        <sz val="12.0"/>
      </rPr>
      <t>*</t>
    </r>
  </si>
  <si>
    <t>1. Rõ ràng của Yêu cầu</t>
  </si>
  <si>
    <t>Value</t>
  </si>
  <si>
    <t>Working days in a month</t>
  </si>
  <si>
    <t>Yêu cầu không rõ ràng, thay đổi liên tục, mâu thuẫn lớn, cần rất nhiều thời gian để làm rõ.</t>
  </si>
  <si>
    <t>Task 2</t>
  </si>
  <si>
    <t>Login with SSO</t>
  </si>
  <si>
    <t>Yêu cầu mơ hồ, nhiều điểm cần làm rõ, có thể có mâu thuẫn.</t>
  </si>
  <si>
    <t>Yêu cầu khá rõ ràng, cần làm rõ thêm một vài điểm nhỏ.</t>
  </si>
  <si>
    <t>2. Độ phức tạp của Logic &amp; Quy tắc</t>
  </si>
  <si>
    <t>Working hours in a day</t>
  </si>
  <si>
    <t>Rất nhiều quy tắc phức tạp, thay đổi thường xuyên, tương tác cực kỳ phức tạp giữa các quy tắc, rất nhiều ngoại lệ.</t>
  </si>
  <si>
    <t xml:space="preserve">Bug rate </t>
  </si>
  <si>
    <t>Nhiều quy tắc phức tạp, lồng ghép, nhiều điều kiện đặc biệt, luồng phi tuyến tính.</t>
  </si>
  <si>
    <t>25%~35% so với time execute testcase, tương ứng với 5%~7% nếu tính theo số testcase và time verify bug 0.5h/1 bug trước đây</t>
  </si>
  <si>
    <t>Khá nhiều quy tắc, một số điều kiện rẽ nhánh, vài luồng phụ.</t>
  </si>
  <si>
    <t>* Have to estimate base on qualification of rank 3.5 QA</t>
  </si>
  <si>
    <t>3. Mức độ ràng buộc &amp; Ảnh hưởng</t>
  </si>
  <si>
    <t>Ràng buộc cực kỳ phức tạp, ảnh hưởng toàn hệ thống, rủi ro cao về tính toàn vẹn và nghiệp vụ nếu sai.</t>
  </si>
  <si>
    <t>Nhiều ràng buộc chéo, ảnh hưởng đến nhiều module/quy trình, tác động lớn đến dữ liệu.</t>
  </si>
  <si>
    <t>Có một số ràng buộc, ảnh hưởng đến vài chức năng liên quan.</t>
  </si>
  <si>
    <t>4. Độ nhạy cảm Dữ liệu / Tác động rủi ro</t>
  </si>
  <si>
    <t>Dữ liệu cực kỳ nhạy cảm (ngân hàng, y tế), lỗi gây thiệt hại nghiêm trọng (mất tiền lớn, vi phạm pháp lý, ảnh hưởng tính mạng).</t>
  </si>
  <si>
    <t>Dữ liệu nhạy cảm (cá nhân, tài chính), lỗi gây thiệt hại đáng kể (mất doanh thu nhỏ, mất uy tín).</t>
  </si>
  <si>
    <t>Task 3</t>
  </si>
  <si>
    <t>Dữ liệu bình thường, lỗi có tác động trung bình (ví dụ: cần sửa thủ công, làm chậm process).</t>
  </si>
  <si>
    <t>Logout</t>
  </si>
  <si>
    <t>5. Tính đặc thù / Tính mới của chức năng</t>
  </si>
  <si>
    <t>Chức năng hoàn toàn mới, chưa từng làm, yêu cầu R&amp;D sâu rộng, rủi ro cao về tính khả thi.</t>
  </si>
  <si>
    <t>Chức năng rất đặc thù, ít kinh nghiệm, cần nghiên cứu sâu hoặc thuật toán phức tạp.</t>
  </si>
  <si>
    <t>Chức năng tùy chỉnh một phần, có yếu tố đặc thù nhưng dựa trên cơ sở quen thuộc.</t>
  </si>
  <si>
    <t>6. Tần suất thay đổi Yêu cầu (CR)</t>
  </si>
  <si>
    <t>Yêu cầu thay đổi liên tục, ảnh hưởng lớn đến thiết kế và tiến độ, gây rework đáng kể.</t>
  </si>
  <si>
    <t>COMMON FUNCTION</t>
  </si>
  <si>
    <t>Yêu cầu thay đổi khá thường xuyên, đôi khi ảnh hưởng đến thiết kế.</t>
  </si>
  <si>
    <t>Có thể có một vài thay đổi nhỏ, đã được lường trước.</t>
  </si>
  <si>
    <r>
      <rPr>
        <rFont val="Times New Roman"/>
        <color/>
        <sz val="12.0"/>
      </rPr>
      <t xml:space="preserve">II. Kỹ thuật </t>
    </r>
    <r>
      <rPr>
        <rFont val="Times New Roman"/>
        <color rgb="FFFF0000"/>
        <sz val="12.0"/>
      </rPr>
      <t>*</t>
    </r>
  </si>
  <si>
    <t>1. Độ lớn của Tính năng / Phạm vi ảnh hưởng Code</t>
  </si>
  <si>
    <t>Rất lớn, ảnh hưởng toàn bộ hệ thống, cần thay đổi kiến trúc cốt lõi, tiềm ẩn rủi ro regression lớn.</t>
  </si>
  <si>
    <t>Task 4</t>
  </si>
  <si>
    <t>Lớn, ảnh hưởng nhiều module, cần thay đổi kiến trúc nhỏ.</t>
  </si>
  <si>
    <t>Forgot Password</t>
  </si>
  <si>
    <t>Trung bình, ảnh hưởng vài file/màn hình, một module.</t>
  </si>
  <si>
    <t>Function name</t>
  </si>
  <si>
    <t>Refer common testcase</t>
  </si>
  <si>
    <t>Effort (hour)</t>
  </si>
  <si>
    <t>2. Phức tạp về Công nghệ / Kiến trúc
-- 
Dev + QA</t>
  </si>
  <si>
    <t>Cần phát triển công nghệ lõi mới, chưa có tiền lệ, rủi ro cực cao về tính khả thi và ổn định.</t>
  </si>
  <si>
    <t>Create</t>
  </si>
  <si>
    <t>Review</t>
  </si>
  <si>
    <t>Execute</t>
  </si>
  <si>
    <t>Công nghệ/Kiến trúc hoàn toàn mới, cần R&amp;D đáng kể, không có nhiều tài liệu/hỗ trợ.</t>
  </si>
  <si>
    <t>Authentication &amp; Authorization</t>
  </si>
  <si>
    <t>Có sử dụng công nghệ/kiến trúc mới một phần, cần tìm hiểu thêm, có tài liệu hỗ trợ.</t>
  </si>
  <si>
    <t xml:space="preserve">ID+ PW </t>
  </si>
  <si>
    <t>https://docs.google.com/spreadsheets/d/1lhm7pXbSCYciKSZGAbRZeaL-eJXuaKt4y2aa9AfQq9M/edit?gid=627680991#gid=627680991</t>
  </si>
  <si>
    <t>3. Ảnh hưởng đến Mã nguồn cũ (Legacy Code)</t>
  </si>
  <si>
    <t>Ảnh hưởng đến mã nguồn legacy cốt lõi, không có tài liệu, rất khó thay đổi mà không gây lỗi lan truyền toàn hệ thống.</t>
  </si>
  <si>
    <t>Ảnh hưởng đến vùng mã nguồn cũ phức tạp, thiếu tài liệu, cần refactor lớn hoặc thay đổi cấu trúc đáng kể.</t>
  </si>
  <si>
    <t>Ảnh hưởng một phần mã nguồn cũ, có tài liệu cơ bản, cần refactor nhỏ để tích hợp.</t>
  </si>
  <si>
    <t>4. Tích hợp với hệ thống bên ngoài / API bên thứ 3</t>
  </si>
  <si>
    <t>Tích hợp với các hệ thống legacy/đặc thù, không có tài liệu, đòi hỏi nhiều kỹ thuật kết nối đặc biệt, xử lý dữ liệu lớn, độ tin cậy thấp.</t>
  </si>
  <si>
    <t>SSO - 1 method (Login with apple /gg/ facebook/...)</t>
  </si>
  <si>
    <t>Tích hợp nhiều hệ thống/API phức tạp, tài liệu không đầy đủ, yêu cầu xử lý lỗi/kịch bản đặc biệt.</t>
  </si>
  <si>
    <t>Login 2FA - Authenticatior</t>
  </si>
  <si>
    <t>Tích hợp với 1-2 hệ thống/API ngoài, có tài liệu, cần một số điều chỉnh nhỏ.</t>
  </si>
  <si>
    <t>Login 2FA - SMS</t>
  </si>
  <si>
    <t>Task 5</t>
  </si>
  <si>
    <t>5. Môi trường triển khai</t>
  </si>
  <si>
    <t>Change password</t>
  </si>
  <si>
    <t>Registration/Sign-up</t>
  </si>
  <si>
    <t>Include basic fields:
- Full Name
- Email
- Password
- Confirm Password
- Phone Number
- Register button
- Cancel button</t>
  </si>
  <si>
    <t>Triển khai trên môi trường không ổn định, nhiều ràng buộc về hạ tầng, yêu cầu xử lý các trường hợp thất bại phức tạp và khôi phục.</t>
  </si>
  <si>
    <t>https://docs.google.com/spreadsheets/d/1asmCpS5JjdFiGWfuhvWXQq0SosnxoPuDKnEnuk8v-vA/edit?gid=949616877#gid=949616877</t>
  </si>
  <si>
    <t>Triển khai trên môi trường mới/phức tạp (ví dụ: multi-cloud, on-premise), cần thiết lập nhiều.</t>
  </si>
  <si>
    <t>Triển khai trên môi trường quen thuộc nhưng có một số tùy chỉnh, cần cấu hình thủ công.</t>
  </si>
  <si>
    <t>III. Quản lý &amp; Nguồn lực</t>
  </si>
  <si>
    <t>1. Thời gian / Ngân sách dự kiến</t>
  </si>
  <si>
    <t>https://docs.google.com/spreadsheets/d/1lhm7pXbSCYciKSZGAbRZeaL-eJXuaKt4y2aa9AfQq9M/edit?gid=1562053010#gid=1562053010</t>
  </si>
  <si>
    <t>Thời gian/Ngân sách không khả thi, đòi hỏi hy sinh chất lượng hoặc phạm vi lớn.</t>
  </si>
  <si>
    <t>Thời gian/Ngân sách eo hẹp, gây áp lực lớn cho đội ngũ, tiềm ẩn rủi ro về chất lượng.</t>
  </si>
  <si>
    <t>Thời gian/Ngân sách đủ dùng, có thể có chút áp lực.</t>
  </si>
  <si>
    <t>- Input email
- Send mail
- Reset pw</t>
  </si>
  <si>
    <t>https://docs.google.com/spreadsheets/d/1FZNv6LmXWMwc54F7_M3HgodhXYMzBrxzKqaUpB6m7_U/edit?gid=543789658#gid=543789658</t>
  </si>
  <si>
    <t>2. Mức độ quen thuộc / Kỹ năng đội ngũ</t>
  </si>
  <si>
    <t>Đội ngũ không có ai đủ năng lực để thực hiện task, cần tuyển dụng mới hoặc học hỏi từ đầu, rất tốn thời gian.</t>
  </si>
  <si>
    <t>Đội ngũ thiếu kinh nghiệm/kỹ năng cần thiết, cần đào tạo đáng kể hoặc sự hỗ trợ từ chuyên gia bên ngoài.</t>
  </si>
  <si>
    <t>Đội ngũ có đủ kỹ năng, có thể cần học hỏi thêm một chút hoặc tìm hiểu tài liệu.</t>
  </si>
  <si>
    <t>Include these fields:
- Current pw
- New pw
- Re-enter New pw</t>
  </si>
  <si>
    <t>https://docs.google.com/spreadsheets/d/1yrlY6-UBByeZjo57Q6AiIvUEJrbQjTAZ496fVwUOmwI/edit?gid=782978744#gid=782978744</t>
  </si>
  <si>
    <t>3. Phụ thuộc vào các bên / đội nhóm khác</t>
  </si>
  <si>
    <t>Phụ thuộc lẫn nhau phức tạp với nhiều đội/bên ngoài, rủi ro lớn về lịch trình và sự đồng bộ.</t>
  </si>
  <si>
    <t>Phụ thuộc vào nhiều đội nhóm hoặc bên thứ ba, lịch trình chồng chéo, giao tiếp khó khăn.</t>
  </si>
  <si>
    <t>Phụ thuộc vào 1-2 đội nhóm khác nhưng lịch trình rõ ràng, ít rủi ro.</t>
  </si>
  <si>
    <t>Task 6</t>
  </si>
  <si>
    <t>CRUD Functionality</t>
  </si>
  <si>
    <t>List</t>
  </si>
  <si>
    <t>Basic, no search function</t>
  </si>
  <si>
    <t>https://docs.google.com/spreadsheets/d/1piJjiSb5HvAMLp4ATweMTtk_6pxmbUzJJuAGrWds-fc/edit?gid=1752790160#gid=1752790160</t>
  </si>
  <si>
    <t>3. MỘT SỐ GỢI Ý LỰA CHỌN HỆ SỐ CHO EXECUTE</t>
  </si>
  <si>
    <t>List with search function</t>
  </si>
  <si>
    <t>~ 10 fields
Tùy thuộc vào thuộc tính của đối tượng, giả định est với 10 field</t>
  </si>
  <si>
    <t>https://docs.google.com/spreadsheets/d/1YRHNPc3wiTuEX7sK6qwes-ROunIHqDjnQOBU7J2eOEw/edit?gid=280769628#gid=280769628</t>
  </si>
  <si>
    <t>Các loại test</t>
  </si>
  <si>
    <t>Language code</t>
  </si>
  <si>
    <t>Hệ số (tham khảo)</t>
  </si>
  <si>
    <t>https://docs.google.com/spreadsheets/d/1M_9cQpWXNS89b7oa9OAElutO7YPolDFsw_Ds15Joq2k/edit?gid=1406801780#gid=1406801780</t>
  </si>
  <si>
    <t>Trên nhiều device</t>
  </si>
  <si>
    <t>Native thuần</t>
  </si>
  <si>
    <t>- Android/iOS (Môi trường chính): 100% execute
- Các môi trường phụ: 10-20% effort execute</t>
  </si>
  <si>
    <t>Update</t>
  </si>
  <si>
    <t>The logic is the same as the create screen</t>
  </si>
  <si>
    <t>https://docs.google.com/spreadsheets/d/1_GaG9bVYeXsDRT2H4ht6Zwq24xQ4aeLLgeaLy8LbUv4/edit?gid=823311358#gid=823311358</t>
  </si>
  <si>
    <t>Flutter</t>
  </si>
  <si>
    <t>- Android (Môi trường chính): 100% execute
- iOS (Môi trường chính): 20-70% execute tùy thuộc vào app
- Các môi trường phụ: 10-20% effort execute</t>
  </si>
  <si>
    <t>Task 7</t>
  </si>
  <si>
    <t>Trên nhiều browser</t>
  </si>
  <si>
    <t>Delete</t>
  </si>
  <si>
    <t>https://docs.google.com/spreadsheets/d/1MlAjJvbtOsxWn4aof-dNM3tTO0YgZNi-tP9ReLSXgdM/edit?gid=975778227#gid=975778227</t>
  </si>
  <si>
    <t>- Môi trường chính: 100% execute
- Các môi trường phụ: 10-20% effort execute</t>
  </si>
  <si>
    <t>Multi language</t>
  </si>
  <si>
    <t>E-Commerce Basics</t>
  </si>
  <si>
    <t>- Môi trường chính: 100% execute
- Các môi trường phụ: 10-15% effort execute</t>
  </si>
  <si>
    <t>Add to Cart</t>
  </si>
  <si>
    <t>- Add to card only
- Not include detail product</t>
  </si>
  <si>
    <t>https://docs.google.com/spreadsheets/d/168COdtJSr2eZeEmOQGCcVXZY22uTursdYcXEVTH3R0c/edit?gid=799253690#gid=799253690</t>
  </si>
  <si>
    <t>List cart</t>
  </si>
  <si>
    <t>Payment - Credit card</t>
  </si>
  <si>
    <t>- Payment thông qua cổng thanh toán GMO/Stripe
- Hệ thống sử dụng phương thức API (tự lựa chọn các phương thức thanh toán tại hệ thống của mình và gởi API qua GMO để lấy token)</t>
  </si>
  <si>
    <t>Payment - PayEasy</t>
  </si>
  <si>
    <t>Payment - Convenience store</t>
  </si>
  <si>
    <t>Payment - PayPal</t>
  </si>
  <si>
    <t>Task 8</t>
  </si>
  <si>
    <t>In-app Purchases (IAP)</t>
  </si>
  <si>
    <t>Buy premium features, remove ads</t>
  </si>
  <si>
    <t>Payment Gateway Integration</t>
  </si>
  <si>
    <t>Apple Pay/ Google Pay</t>
  </si>
  <si>
    <t>Subscription Management</t>
  </si>
  <si>
    <t>File Handling</t>
  </si>
  <si>
    <t>Upload</t>
  </si>
  <si>
    <t>https://docs.google.com/spreadsheets/d/17If0wIjy6cqS-eXq7YyhMVf_0BTu6pPAQP5frmiTD8w/edit?gid=1255909033#gid=1255909033</t>
  </si>
  <si>
    <t>Download</t>
  </si>
  <si>
    <t>~ 5 params</t>
  </si>
  <si>
    <t>Task 9</t>
  </si>
  <si>
    <t>Import</t>
  </si>
  <si>
    <t>https://docs.google.com/spreadsheets/d/1sXTBqueRfxMXWxVloh9svaNu88rF7M75jg6AcurGdQg/edit?gid=79899913#gid=79899913</t>
  </si>
  <si>
    <t>Export</t>
  </si>
  <si>
    <t>https://docs.google.com/spreadsheets/d/1ygEBjXKMtq_909choT2TtnTle-7ugBcJMVi4S6I2LK4/edit?gid=1717995246#gid=1717995246</t>
  </si>
  <si>
    <t>Task 10</t>
  </si>
  <si>
    <t>Screen 2</t>
  </si>
  <si>
    <t>Task 11</t>
  </si>
  <si>
    <t>Task 12</t>
  </si>
  <si>
    <t>Task 13</t>
  </si>
  <si>
    <t>Task 14</t>
  </si>
  <si>
    <t>Task 15</t>
  </si>
  <si>
    <t>Task 16</t>
  </si>
  <si>
    <t>Task 17</t>
  </si>
  <si>
    <t>Task 18</t>
  </si>
  <si>
    <t>Task 19</t>
  </si>
  <si>
    <t>Task 20</t>
  </si>
  <si>
    <t>Task 21</t>
  </si>
  <si>
    <t>Task 22</t>
  </si>
  <si>
    <t>Task 23</t>
  </si>
  <si>
    <t>Task 24</t>
  </si>
  <si>
    <t>Task 25</t>
  </si>
  <si>
    <t>Task 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</si>
</sst>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m/dd/yyyy"/>
  </numFmts>
  <fonts count="38">
    <font>
      <sz val="10.0"/>
      <color rgb="FF000000"/>
      <name val="Arial"/>
    </font>
    <font>
      <b/>
      <sz val="24.0"/>
      <color/>
      <name val="Times New Roman"/>
    </font>
    <font/>
    <font>
      <b/>
      <sz val="18.0"/>
      <color/>
      <name val="Times New Roman"/>
    </font>
    <font>
      <sz val="12.0"/>
      <color/>
      <name val="Times New Roman"/>
    </font>
    <font>
      <color/>
      <name val="Arial"/>
    </font>
    <font>
      <sz val="12.0"/>
      <color rgb="FF000000"/>
      <name val="Times New Roman"/>
    </font>
    <font>
      <b/>
      <sz val="10.0"/>
      <color/>
      <name val="Times New Roman"/>
    </font>
    <font>
      <b/>
      <sz val="14.0"/>
      <color/>
      <name val="Times New Roman"/>
    </font>
    <font>
      <color rgb="FF000000"/>
      <name val="Tahoma"/>
    </font>
    <font>
      <b/>
      <sz val="10.0"/>
      <color/>
      <name val="Arial"/>
    </font>
    <font>
      <b/>
      <sz val="10.0"/>
      <color rgb="FF000000"/>
      <name val="Arial"/>
    </font>
    <font>
      <b/>
      <sz val="12.0"/>
      <color/>
      <name val="Times New Roman"/>
    </font>
    <font>
      <sz val="10.0"/>
      <color/>
      <name val="Arial"/>
    </font>
    <font>
      <b/>
      <sz val="12.0"/>
      <color rgb="FF000000"/>
      <name val="Times New Roman"/>
    </font>
    <font>
      <sz val="12.0"/>
      <color rgb="FFFF0000"/>
      <name val="Times New Roman"/>
    </font>
    <font>
      <b/>
      <sz val="12.0"/>
      <color rgb="FFFF0000"/>
      <name val="Times New Roman"/>
    </font>
    <font>
      <b/>
      <sz val="10.0"/>
      <color rgb="FFFF0000"/>
      <name val="Arial"/>
    </font>
    <font>
      <sz val="10.0"/>
      <color rgb="FFFF0000"/>
      <name val="Arial"/>
    </font>
    <font>
      <color rgb="FFFF0000"/>
      <name val="Arial"/>
    </font>
    <font>
      <color/>
      <name val="Times New Roman"/>
    </font>
    <font>
      <b/>
      <sz val="18.0"/>
      <color rgb="FF000000"/>
      <name val="Times New Roman"/>
    </font>
    <font>
      <b/>
      <sz val="24.0"/>
      <color rgb="FF000000"/>
      <name val="Tahoma"/>
    </font>
    <font>
      <color/>
      <name val="Tahoma"/>
    </font>
    <font>
      <sz val="11.0"/>
      <color/>
      <name val="Tahoma"/>
    </font>
    <font>
      <sz val="12.0"/>
      <color rgb="FF1155CC"/>
      <name val="Times New Roman"/>
    </font>
    <font>
      <b/>
      <sz val="11.0"/>
      <color/>
      <name val="Tahoma"/>
    </font>
    <font>
      <b/>
      <sz val="13.0"/>
      <color rgb="FF0000FF"/>
      <name val="Arial"/>
    </font>
    <font>
      <sz val="12.0"/>
      <name val="Times New Roman"/>
    </font>
    <font>
      <b/>
      <sz val="12.0"/>
      <color rgb="FF6AA84F"/>
      <name val="Times New Roman"/>
    </font>
    <font>
      <u/>
      <sz val="12.0"/>
      <color rgb="FF0000FF"/>
      <name val="Times New Roman"/>
    </font>
    <font>
      <i/>
      <sz val="12.0"/>
      <color/>
      <name val="Times New Roman"/>
    </font>
    <font>
      <i/>
      <sz val="12.0"/>
      <color rgb="FF0000FF"/>
      <name val="Times New Roman"/>
    </font>
    <font>
      <u/>
      <sz val="12.0"/>
      <color rgb="FF0000FF"/>
      <name val="Times New Roman"/>
    </font>
    <font>
      <i/>
      <sz val="12.0"/>
      <color rgb="FFCC0000"/>
      <name val="Times New Roman"/>
    </font>
    <font>
      <u/>
      <sz val="12.0"/>
      <color rgb="FF0000FF"/>
      <name val="Times New Roman"/>
    </font>
    <font>
      <u/>
      <sz val="12.0"/>
      <color rgb="FF0000FF"/>
      <name val="Times New Roman"/>
    </font>
    <font>
      <sz val="12.0"/>
      <color rgb="FF0000FF"/>
      <name val="Times New Roman"/>
    </font>
  </fonts>
  <fills count="5">
    <fill>
      <patternFill patternType="none"/>
    </fill>
    <fill>
      <patternFill patternType="lightGray"/>
    </fill>
    <fill>
      <patternFill patternType="solid">
        <fgColor rgb="FFD9D2E9"/>
        <bgColor rgb="FFD9D2E9"/>
      </patternFill>
    </fill>
    <fill>
      <patternFill patternType="solid">
        <fgColor rgb="FFD9D9D9"/>
        <bgColor rgb="FFD9D9D9"/>
      </patternFill>
    </fill>
    <fill>
      <patternFill patternType="solid">
        <fgColor rgb="FFFFFFFF"/>
        <bgColor rgb="FFFFFFFF"/>
      </patternFill>
    </fill>
  </fills>
  <borders count="7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ck">
        <color rgb="FF999999"/>
      </left>
      <right style="thin">
        <color rgb="FFFFFFFF"/>
      </right>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000000"/>
      </left>
      <right style="thin">
        <color rgb="FF000000"/>
      </right>
      <top style="thin">
        <color rgb="FF000000"/>
      </top>
      <bottom style="thin">
        <color rgb="FF000000"/>
      </bottom>
    </border>
    <border>
      <left style="thin">
        <color rgb="FFFFFFFF"/>
      </left>
      <bottom style="thin">
        <color rgb="FFFFFFFF"/>
      </bottom>
    </border>
    <border>
      <left style="thin">
        <color rgb="FFFFFFFF"/>
      </left>
      <right style="thick">
        <color rgb="FF999999"/>
      </righ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ck">
        <color rgb="FF999999"/>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FFFFFF"/>
      </right>
    </border>
    <border>
      <right style="thin">
        <color rgb="FFFFFFFF"/>
      </right>
      <top style="thin">
        <color rgb="FFFFFFFF"/>
      </top>
    </border>
    <border>
      <left style="thin">
        <color rgb="FFFFFFFF"/>
      </left>
      <right style="thick">
        <color rgb="FF999999"/>
      </right>
      <top style="thin">
        <color rgb="FFFFFFFF"/>
      </top>
      <bottom style="thin">
        <color rgb="FFFFFFFF"/>
      </bottom>
    </border>
    <border>
      <left style="thin">
        <color rgb="FFFFFFFF"/>
      </left>
      <right style="thin">
        <color rgb="FFFFFFFF"/>
      </right>
      <top style="thin">
        <color rgb="FFFFFFFF"/>
      </top>
    </border>
    <border>
      <left style="thick">
        <color rgb="FF999999"/>
      </left>
      <top style="thin">
        <color rgb="FFFFFFFF"/>
      </top>
      <bottom style="thin">
        <color rgb="FFFFFFFF"/>
      </bottom>
    </border>
    <border>
      <left style="thin">
        <color rgb="FFB7B7B7"/>
      </left>
      <top style="thin">
        <color rgb="FFB7B7B7"/>
      </top>
      <bottom style="thin">
        <color rgb="FFB7B7B7"/>
      </bottom>
    </border>
    <border>
      <left style="thin">
        <color rgb="FF999999"/>
      </left>
      <top style="thin">
        <color rgb="FF999999"/>
      </top>
      <bottom style="thin">
        <color rgb="FF999999"/>
      </bottom>
    </border>
    <border>
      <right style="thin">
        <color rgb="FFB7B7B7"/>
      </right>
      <top style="thin">
        <color rgb="FFB7B7B7"/>
      </top>
      <bottom style="thin">
        <color rgb="FFB7B7B7"/>
      </bottom>
    </border>
    <border>
      <right style="thin">
        <color rgb="FF999999"/>
      </right>
      <top style="thin">
        <color rgb="FF999999"/>
      </top>
      <bottom style="thin">
        <color rgb="FF999999"/>
      </bottom>
    </border>
    <border>
      <top style="thin">
        <color rgb="FFB7B7B7"/>
      </top>
      <bottom style="thin">
        <color rgb="FFB7B7B7"/>
      </bottom>
    </border>
    <border>
      <left style="thin">
        <color rgb="FF999999"/>
      </left>
      <right style="thin">
        <color rgb="FF999999"/>
      </right>
      <top style="thin">
        <color rgb="FF999999"/>
      </top>
      <bottom style="thin">
        <color rgb="FF999999"/>
      </bottom>
    </border>
    <border>
      <left style="thin">
        <color rgb="FFB7B7B7"/>
      </left>
      <bottom style="thin">
        <color rgb="FFB7B7B7"/>
      </bottom>
    </border>
    <border>
      <bottom style="thin">
        <color rgb="FFB7B7B7"/>
      </bottom>
    </border>
    <border>
      <left style="thin">
        <color rgb="FFB7B7B7"/>
      </left>
      <right style="thin">
        <color rgb="FFB7B7B7"/>
      </right>
      <bottom style="thin">
        <color rgb="FFB7B7B7"/>
      </bottom>
    </border>
    <border>
      <bottom style="thin">
        <color rgb="FFFFFFFF"/>
      </bottom>
    </border>
    <border>
      <left style="thin">
        <color rgb="FFB7B7B7"/>
      </left>
      <right style="thin">
        <color rgb="FFB7B7B7"/>
      </right>
      <top style="thin">
        <color rgb="FFB7B7B7"/>
      </top>
      <bottom style="thin">
        <color rgb="FFB7B7B7"/>
      </bottom>
    </border>
    <border>
      <left style="thin">
        <color rgb="FFFFFFFF"/>
      </left>
      <top style="thin">
        <color rgb="FFFFFFFF"/>
      </top>
    </border>
    <border>
      <top style="thin">
        <color rgb="FFFFFFFF"/>
      </top>
    </border>
    <border>
      <right style="thick">
        <color rgb="FF999999"/>
      </right>
      <top style="thin">
        <color rgb="FFFFFFFF"/>
      </top>
      <bottom style="thin">
        <color rgb="FFFFFFFF"/>
      </bottom>
    </border>
    <border>
      <left style="thin">
        <color rgb="FFD9D9D9"/>
      </left>
      <right style="thick">
        <color rgb="FF999999"/>
      </right>
      <top style="thin">
        <color rgb="FFD9D9D9"/>
      </top>
    </border>
    <border>
      <left style="thick">
        <color rgb="FF999999"/>
      </left>
      <top style="thin">
        <color rgb="FFD9D9D9"/>
      </top>
    </border>
    <border>
      <top style="thin">
        <color rgb="FFD9D9D9"/>
      </top>
    </border>
    <border>
      <right style="thick">
        <color rgb="FF999999"/>
      </right>
      <top style="thin">
        <color rgb="FF000000"/>
      </top>
    </border>
    <border>
      <right style="thin">
        <color rgb="FFD9D9D9"/>
      </right>
      <top style="thin">
        <color rgb="FFD9D9D9"/>
      </top>
    </border>
    <border>
      <left style="thin">
        <color rgb="FFD9D9D9"/>
      </left>
      <right style="thick">
        <color rgb="FF999999"/>
      </right>
    </border>
    <border>
      <left style="thick">
        <color rgb="FF999999"/>
      </left>
    </border>
    <border>
      <right style="thick">
        <color rgb="FF999999"/>
      </right>
    </border>
    <border>
      <right style="thin">
        <color rgb="FFD9D9D9"/>
      </right>
    </border>
    <border>
      <right style="thick">
        <color rgb="FF999999"/>
      </right>
      <bottom style="thin">
        <color rgb="FF000000"/>
      </bottom>
    </border>
    <border>
      <left style="thin">
        <color rgb="FFD9D9D9"/>
      </left>
      <right style="thick">
        <color rgb="FF999999"/>
      </right>
      <bottom style="thick">
        <color rgb="FF999999"/>
      </bottom>
    </border>
    <border>
      <left style="thick">
        <color rgb="FF999999"/>
      </left>
      <bottom style="thick">
        <color rgb="FF999999"/>
      </bottom>
    </border>
    <border>
      <bottom style="thick">
        <color rgb="FF999999"/>
      </bottom>
    </border>
    <border>
      <left style="thin">
        <color rgb="FF000000"/>
      </left>
      <top style="thin">
        <color rgb="FF000000"/>
      </top>
      <bottom style="thick">
        <color rgb="FF999999"/>
      </bottom>
    </border>
    <border>
      <top style="thin">
        <color rgb="FF000000"/>
      </top>
      <bottom style="thick">
        <color rgb="FF999999"/>
      </bottom>
    </border>
    <border>
      <right style="thick">
        <color rgb="FF999999"/>
      </right>
      <top style="thin">
        <color rgb="FF000000"/>
      </top>
      <bottom style="thick">
        <color rgb="FF999999"/>
      </bottom>
    </border>
    <border>
      <left style="thin">
        <color rgb="FFD9D9D9"/>
      </left>
    </border>
    <border>
      <top style="thin">
        <color rgb="FF999999"/>
      </top>
      <bottom style="thin">
        <color rgb="FF999999"/>
      </bottom>
    </border>
    <border>
      <left style="thick">
        <color rgb="FF999999"/>
      </left>
      <right style="thin">
        <color rgb="FFFFFFFF"/>
      </right>
      <top style="thin">
        <color rgb="FFFFFFFF"/>
      </top>
      <bottom style="thick">
        <color rgb="FF999999"/>
      </bottom>
    </border>
    <border>
      <left style="thin">
        <color rgb="FF000000"/>
      </left>
      <right style="thin">
        <color rgb="FF000000"/>
      </right>
      <top style="thin">
        <color rgb="FF000000"/>
      </top>
    </border>
    <border>
      <left style="thin">
        <color rgb="FFFFFFFF"/>
      </left>
      <right style="thin">
        <color rgb="FFFFFFFF"/>
      </right>
      <top style="thin">
        <color rgb="FFFFFFFF"/>
      </top>
      <bottom style="thick">
        <color rgb="FF999999"/>
      </bottom>
    </border>
    <border>
      <left style="thin">
        <color rgb="FFFFFFFF"/>
      </left>
      <right style="thick">
        <color rgb="FF999999"/>
      </right>
      <top style="thin">
        <color rgb="FFFFFFFF"/>
      </top>
      <bottom style="thick">
        <color rgb="FF999999"/>
      </bottom>
    </border>
    <border>
      <left style="thin">
        <color rgb="FF000000"/>
      </left>
      <right style="thin">
        <color rgb="FF000000"/>
      </right>
    </border>
    <border>
      <left style="thin">
        <color rgb="FF000000"/>
      </left>
      <right style="thin">
        <color rgb="FF000000"/>
      </right>
      <bottom style="thin">
        <color rgb="FF000000"/>
      </bottom>
    </border>
    <border>
      <left style="thin">
        <color rgb="FFD9D9D9"/>
      </left>
      <top style="thin">
        <color rgb="FFD9D9D9"/>
      </top>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27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readingOrder="0" vertical="center"/>
    </xf>
    <xf borderId="1" fillId="0" fontId="4" numFmtId="0" xfId="0" applyAlignment="1" applyBorder="1" applyFont="1">
      <alignment horizontal="left" readingOrder="0" shrinkToFit="0" vertical="center" wrapText="1"/>
    </xf>
    <xf borderId="3" fillId="0" fontId="2" numFmtId="0" xfId="0" applyBorder="1" applyFont="1"/>
    <xf borderId="0" fillId="0" fontId="5" numFmtId="0" xfId="0" applyAlignment="1" applyFont="1">
      <alignment vertical="center"/>
    </xf>
    <xf borderId="4" fillId="0" fontId="2" numFmtId="0" xfId="0" applyBorder="1" applyFont="1"/>
    <xf borderId="4" fillId="0" fontId="6" numFmtId="0" xfId="0" applyAlignment="1" applyBorder="1" applyFont="1">
      <alignment readingOrder="0" vertical="center"/>
    </xf>
    <xf borderId="5" fillId="0" fontId="2" numFmtId="0" xfId="0" applyBorder="1" applyFont="1"/>
    <xf borderId="4" fillId="0" fontId="4" numFmtId="0" xfId="0" applyAlignment="1" applyBorder="1" applyFont="1">
      <alignment horizontal="left" readingOrder="0" shrinkToFit="0" vertical="center" wrapText="1"/>
    </xf>
    <xf borderId="6" fillId="0" fontId="6" numFmtId="0" xfId="0" applyAlignment="1" applyBorder="1" applyFont="1">
      <alignment readingOrder="0" shrinkToFit="0" vertical="center" wrapText="0"/>
    </xf>
    <xf borderId="7" fillId="0" fontId="2" numFmtId="0" xfId="0" applyBorder="1" applyFont="1"/>
    <xf borderId="8" fillId="0" fontId="2" numFmtId="0" xfId="0" applyBorder="1" applyFont="1"/>
    <xf borderId="6" fillId="0" fontId="4" numFmtId="0" xfId="0" applyAlignment="1" applyBorder="1" applyFont="1">
      <alignment horizontal="left" readingOrder="0" shrinkToFit="0" vertical="center" wrapText="1"/>
    </xf>
    <xf borderId="9" fillId="0" fontId="7" numFmtId="0" xfId="0" applyAlignment="1" applyBorder="1" applyFont="1">
      <alignment vertical="center"/>
    </xf>
    <xf borderId="10" fillId="0" fontId="2" numFmtId="0" xfId="0" applyBorder="1" applyFont="1"/>
    <xf borderId="11" fillId="0" fontId="2" numFmtId="0" xfId="0" applyBorder="1" applyFont="1"/>
    <xf borderId="10" fillId="0" fontId="7" numFmtId="0" xfId="0" applyAlignment="1" applyBorder="1" applyFont="1">
      <alignment vertical="center"/>
    </xf>
    <xf borderId="6" fillId="0" fontId="7" numFmtId="0" xfId="0" applyAlignment="1" applyBorder="1" applyFont="1">
      <alignment horizontal="right" readingOrder="0" shrinkToFit="0" vertical="center" wrapText="1"/>
    </xf>
    <xf borderId="12" fillId="0" fontId="8" numFmtId="0" xfId="0" applyAlignment="1" applyBorder="1" applyFont="1">
      <alignment horizontal="center" shrinkToFit="0" vertical="center" wrapText="1"/>
    </xf>
    <xf borderId="13" fillId="0" fontId="2" numFmtId="0" xfId="0" applyBorder="1" applyFont="1"/>
    <xf borderId="0" fillId="0" fontId="9" numFmtId="0" xfId="0" applyAlignment="1" applyFont="1">
      <alignment vertical="bottom"/>
    </xf>
    <xf borderId="12" fillId="0" fontId="10" numFmtId="0" xfId="0" applyAlignment="1" applyBorder="1" applyFont="1">
      <alignment horizontal="center" shrinkToFit="0" vertical="center" wrapText="1"/>
    </xf>
    <xf borderId="10" fillId="0" fontId="7" numFmtId="164" xfId="0" applyAlignment="1" applyBorder="1" applyFont="1" applyNumberFormat="1">
      <alignment vertical="center"/>
    </xf>
    <xf borderId="15" fillId="0" fontId="9" numFmtId="0" xfId="0" applyAlignment="1" applyBorder="1" applyFont="1">
      <alignment shrinkToFit="0" vertical="bottom" wrapText="1"/>
    </xf>
    <xf borderId="14" fillId="0" fontId="9" numFmtId="0" xfId="0" applyAlignment="1" applyBorder="1" applyFont="1">
      <alignment vertical="bottom"/>
    </xf>
    <xf borderId="16" fillId="0" fontId="9" numFmtId="0" xfId="0" applyAlignment="1" applyBorder="1" applyFont="1">
      <alignment shrinkToFit="0" vertical="bottom" wrapText="1"/>
    </xf>
    <xf borderId="17" fillId="2" fontId="11" numFmtId="0" xfId="0" applyAlignment="1" applyBorder="1" applyFill="1" applyFont="1">
      <alignment horizontal="center" shrinkToFit="0" vertical="center" wrapText="1"/>
    </xf>
    <xf borderId="18" fillId="0" fontId="9" numFmtId="0" xfId="0" applyAlignment="1" applyBorder="1" applyFont="1">
      <alignment vertical="bottom"/>
    </xf>
    <xf borderId="9" fillId="2" fontId="11" numFmtId="0" xfId="0" applyAlignment="1" applyBorder="1" applyFill="1" applyFont="1">
      <alignment horizontal="center" shrinkToFit="0" vertical="center" wrapText="1"/>
    </xf>
    <xf borderId="16" fillId="0" fontId="9" numFmtId="0" xfId="0" applyAlignment="1" applyBorder="1" applyFont="1">
      <alignment vertical="bottom"/>
    </xf>
    <xf borderId="9" fillId="0" fontId="12" numFmtId="164" xfId="0" applyAlignment="1" applyBorder="1" applyFont="1" applyNumberFormat="1">
      <alignment readingOrder="0" vertical="center"/>
    </xf>
    <xf borderId="19" fillId="0" fontId="9" numFmtId="0" xfId="0" applyAlignment="1" applyBorder="1" applyFont="1">
      <alignment vertical="bottom"/>
    </xf>
    <xf borderId="20" fillId="0" fontId="9" numFmtId="0" xfId="0" applyAlignment="1" applyBorder="1" applyFont="1">
      <alignment shrinkToFit="0" vertical="bottom" wrapText="1"/>
    </xf>
    <xf borderId="21" fillId="0" fontId="9" numFmtId="0" xfId="0" applyAlignment="1" applyBorder="1" applyFont="1">
      <alignment shrinkToFit="0" vertical="bottom" wrapText="1"/>
    </xf>
    <xf borderId="22" fillId="0" fontId="9" numFmtId="0" xfId="0" applyAlignment="1" applyBorder="1" applyFont="1">
      <alignment vertical="bottom"/>
    </xf>
    <xf borderId="23" fillId="0" fontId="9" numFmtId="0" xfId="0" applyAlignment="1" applyBorder="1" applyFont="1">
      <alignment vertical="bottom"/>
    </xf>
    <xf borderId="17" fillId="0" fontId="13" numFmtId="0" xfId="0" applyAlignment="1" applyBorder="1" applyFont="1">
      <alignment horizontal="center" shrinkToFit="0" vertical="center" wrapText="1"/>
    </xf>
    <xf borderId="24" fillId="0" fontId="5" numFmtId="0" xfId="0" applyAlignment="1" applyBorder="1" applyFont="1">
      <alignment shrinkToFit="0" vertical="center" wrapText="1"/>
    </xf>
    <xf borderId="0" fillId="0" fontId="14" numFmtId="0" xfId="0" applyAlignment="1" applyFont="1">
      <alignment horizontal="left" vertical="bottom"/>
    </xf>
    <xf borderId="21" fillId="0" fontId="9" numFmtId="0" xfId="0" applyAlignment="1" applyBorder="1" applyFont="1">
      <alignment vertical="bottom"/>
    </xf>
    <xf borderId="9" fillId="0" fontId="13" numFmtId="0" xfId="0" applyAlignment="1" applyBorder="1" applyFont="1">
      <alignment horizontal="left" shrinkToFit="0" vertical="center" wrapText="1"/>
    </xf>
    <xf borderId="25" fillId="0" fontId="6" numFmtId="0" xfId="0" applyAlignment="1" applyBorder="1" applyFont="1">
      <alignment horizontal="left" shrinkToFit="0" vertical="bottom" wrapText="1"/>
    </xf>
    <xf borderId="26" fillId="0" fontId="9" numFmtId="0" xfId="0" applyAlignment="1" applyBorder="1" applyFont="1">
      <alignment vertical="bottom"/>
    </xf>
    <xf borderId="24" fillId="0" fontId="5" numFmtId="164" xfId="0" applyAlignment="1" applyBorder="1" applyFont="1" applyNumberFormat="1">
      <alignment shrinkToFit="0" vertical="center" wrapText="1"/>
    </xf>
    <xf borderId="27" fillId="0" fontId="6" numFmtId="0" xfId="0" applyAlignment="1" applyBorder="1" applyFont="1">
      <alignment horizontal="left" shrinkToFit="0" vertical="bottom" wrapText="1"/>
    </xf>
    <xf borderId="22" fillId="0" fontId="14" numFmtId="0" xfId="0" applyAlignment="1" applyBorder="1" applyFont="1">
      <alignment horizontal="left" vertical="bottom"/>
    </xf>
    <xf borderId="23" fillId="0" fontId="6" numFmtId="0" xfId="0" applyAlignment="1" applyBorder="1" applyFont="1">
      <alignment horizontal="left" vertical="bottom"/>
    </xf>
    <xf borderId="0" fillId="0" fontId="6" numFmtId="0" xfId="0" applyAlignment="1" applyFont="1">
      <alignment vertical="bottom"/>
    </xf>
    <xf borderId="9" fillId="0" fontId="13" numFmtId="165" xfId="0" applyAlignment="1" applyBorder="1" applyFont="1" applyNumberFormat="1">
      <alignment horizontal="left" shrinkToFit="0" vertical="center" wrapText="1"/>
    </xf>
    <xf borderId="16" fillId="0" fontId="5" numFmtId="0" xfId="0" applyAlignment="1" applyBorder="1" applyFont="1">
      <alignment shrinkToFit="0" vertical="center" wrapText="1"/>
    </xf>
    <xf borderId="21" fillId="0" fontId="6" numFmtId="0" xfId="0" applyAlignment="1" applyBorder="1" applyFont="1">
      <alignment horizontal="left" vertical="bottom"/>
    </xf>
    <xf borderId="0" fillId="0" fontId="5" numFmtId="0" xfId="0" applyFont="1"/>
    <xf borderId="26" fillId="0" fontId="6" numFmtId="0" xfId="0" applyAlignment="1" applyBorder="1" applyFont="1">
      <alignment vertical="bottom"/>
    </xf>
    <xf borderId="28" fillId="0" fontId="6" numFmtId="0" xfId="0" applyAlignment="1" applyBorder="1" applyFont="1">
      <alignment shrinkToFit="0" vertical="bottom" wrapText="1"/>
    </xf>
    <xf borderId="29" fillId="2" fontId="14" numFmtId="0" xfId="0" applyAlignment="1" applyBorder="1" applyFill="1" applyFont="1">
      <alignment shrinkToFit="0" vertical="center" wrapText="1"/>
    </xf>
    <xf borderId="9" fillId="0" fontId="13" numFmtId="14" xfId="0" applyAlignment="1" applyBorder="1" applyFont="1" applyNumberFormat="1">
      <alignment horizontal="left" readingOrder="0" shrinkToFit="0" vertical="center" wrapText="1"/>
    </xf>
    <xf borderId="31" fillId="0" fontId="2" numFmtId="0" xfId="0" applyBorder="1" applyFont="1"/>
    <xf borderId="30" fillId="2" fontId="14" numFmtId="0" xfId="0" applyAlignment="1" applyBorder="1" applyFill="1" applyFont="1">
      <alignment horizontal="center" shrinkToFit="0" vertical="center" wrapText="1"/>
    </xf>
    <xf quotePrefix="1" borderId="17" fillId="0" fontId="13" numFmtId="0" xfId="0" applyAlignment="1" applyBorder="1" applyFont="1">
      <alignment horizontal="center" readingOrder="0" shrinkToFit="0" vertical="center" wrapText="1"/>
    </xf>
    <xf borderId="32" fillId="0" fontId="2" numFmtId="0" xfId="0" applyBorder="1" applyFont="1"/>
    <xf borderId="0" fillId="0" fontId="5" numFmtId="0" xfId="0" applyAlignment="1" applyFont="1">
      <alignment readingOrder="0"/>
    </xf>
    <xf borderId="1" fillId="0" fontId="13" numFmtId="0" xfId="0" applyAlignment="1" applyBorder="1" applyFont="1">
      <alignment horizontal="left" readingOrder="0" shrinkToFit="0" vertical="center" wrapText="1"/>
    </xf>
    <xf borderId="29" fillId="0" fontId="12" numFmtId="0" xfId="0" applyAlignment="1" applyBorder="1" applyFont="1">
      <alignment shrinkToFit="0" vertical="center" wrapText="1"/>
    </xf>
    <xf borderId="33" fillId="0" fontId="2" numFmtId="0" xfId="0" applyBorder="1" applyFont="1"/>
    <xf borderId="0" fillId="0" fontId="12" numFmtId="0" xfId="0" applyAlignment="1" applyFont="1">
      <alignment shrinkToFit="0" vertical="center" wrapText="1"/>
    </xf>
    <xf borderId="0" fillId="0" fontId="4" numFmtId="0" xfId="0" applyAlignment="1" applyFont="1">
      <alignment vertical="center"/>
    </xf>
    <xf borderId="9" fillId="0" fontId="13" numFmtId="0" xfId="0" applyAlignment="1" applyBorder="1" applyFont="1">
      <alignment horizontal="left" readingOrder="0" shrinkToFit="0" vertical="center" wrapText="1"/>
    </xf>
    <xf borderId="34" fillId="2" fontId="6" numFmtId="164" xfId="0" applyAlignment="1" applyBorder="1" applyFill="1" applyFont="1" applyNumberFormat="1">
      <alignment shrinkToFit="0" vertical="center" wrapText="1"/>
    </xf>
    <xf borderId="20" fillId="0" fontId="6" numFmtId="0" xfId="0" applyAlignment="1" applyBorder="1" applyFont="1">
      <alignment horizontal="center" shrinkToFit="0" vertical="center" wrapText="1"/>
    </xf>
    <xf borderId="1" fillId="0" fontId="13" numFmtId="0" xfId="0" applyAlignment="1" applyBorder="1" applyFont="1">
      <alignment horizontal="left" shrinkToFit="0" vertical="center" wrapText="1"/>
    </xf>
    <xf borderId="34" fillId="2" fontId="14" numFmtId="164" xfId="0" applyAlignment="1" applyBorder="1" applyFill="1" applyFont="1" applyNumberFormat="1">
      <alignment horizontal="center" shrinkToFit="0" vertical="center" wrapText="1"/>
    </xf>
    <xf borderId="0" fillId="0" fontId="5" numFmtId="164" xfId="0" applyFont="1" applyNumberFormat="1"/>
    <xf borderId="21" fillId="0" fontId="4" numFmtId="0" xfId="0" applyAlignment="1" applyBorder="1" applyFont="1">
      <alignment shrinkToFit="0" vertical="center" wrapText="1"/>
    </xf>
    <xf borderId="10" fillId="0" fontId="0" numFmtId="0" xfId="0" applyAlignment="1" applyBorder="1" applyFont="1">
      <alignment horizontal="left" shrinkToFit="0" vertical="center" wrapText="1"/>
    </xf>
    <xf borderId="9" fillId="0" fontId="0" numFmtId="0" xfId="0" applyAlignment="1" applyBorder="1" applyFont="1">
      <alignment horizontal="left" shrinkToFit="0" vertical="center" wrapText="1"/>
    </xf>
    <xf borderId="35" fillId="0" fontId="12" numFmtId="0" xfId="0" applyAlignment="1" applyBorder="1" applyFont="1">
      <alignment shrinkToFit="0" vertical="center" wrapText="1"/>
    </xf>
    <xf borderId="36" fillId="0" fontId="12" numFmtId="0" xfId="0" applyAlignment="1" applyBorder="1" applyFont="1">
      <alignment shrinkToFit="0" vertical="center" wrapText="1"/>
    </xf>
    <xf borderId="37" fillId="0" fontId="4" numFmtId="0" xfId="0" applyAlignment="1" applyBorder="1" applyFont="1">
      <alignment shrinkToFit="0" vertical="center" wrapText="1"/>
    </xf>
    <xf borderId="17" fillId="0" fontId="11" numFmtId="0" xfId="0" applyAlignment="1" applyBorder="1" applyFont="1">
      <alignment horizontal="center" shrinkToFit="0" vertical="center" wrapText="1"/>
    </xf>
    <xf borderId="37" fillId="0"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30" fillId="0" fontId="16" numFmtId="164" xfId="0" applyAlignment="1" applyBorder="1" applyFont="1" applyNumberFormat="1">
      <alignment shrinkToFit="0" vertical="bottom" wrapText="1"/>
    </xf>
    <xf borderId="34" fillId="0" fontId="12" numFmtId="164" xfId="0" applyAlignment="1" applyBorder="1" applyFont="1" applyNumberFormat="1">
      <alignment vertical="center"/>
    </xf>
    <xf borderId="17" fillId="0" fontId="17" numFmtId="0" xfId="0" applyAlignment="1" applyBorder="1" applyFont="1">
      <alignment horizontal="center" shrinkToFit="0" vertical="center" wrapText="1"/>
    </xf>
    <xf borderId="0" fillId="0" fontId="5" numFmtId="0" xfId="0" applyAlignment="1" applyFont="1">
      <alignment readingOrder="0"/>
    </xf>
    <xf borderId="9" fillId="0" fontId="18" numFmtId="0" xfId="0" applyAlignment="1" applyBorder="1" applyFont="1">
      <alignment horizontal="left" shrinkToFit="0" vertical="center" wrapText="1"/>
    </xf>
    <xf borderId="9" fillId="0" fontId="17" numFmtId="49" xfId="0" applyAlignment="1" applyBorder="1" applyFont="1" applyNumberFormat="1">
      <alignment horizontal="left" shrinkToFit="0" vertical="center" wrapText="1"/>
    </xf>
    <xf borderId="12" fillId="0" fontId="8" numFmtId="49" xfId="0" applyAlignment="1" applyBorder="1" applyFont="1" applyNumberFormat="1">
      <alignment horizontal="left" shrinkToFit="0" vertical="center" wrapText="1"/>
    </xf>
    <xf borderId="0" fillId="0" fontId="8" numFmtId="49" xfId="0" applyAlignment="1" applyFont="1" applyNumberFormat="1">
      <alignment horizontal="left" shrinkToFit="0" vertical="center" wrapText="1"/>
    </xf>
    <xf borderId="13" fillId="0" fontId="8" numFmtId="49" xfId="0" applyAlignment="1" applyBorder="1" applyFont="1" applyNumberFormat="1">
      <alignment horizontal="left" shrinkToFit="0" vertical="center" wrapText="1"/>
    </xf>
    <xf borderId="20" fillId="0" fontId="6" numFmtId="0" xfId="0" applyAlignment="1" applyBorder="1" applyFont="1">
      <alignment shrinkToFit="0" vertical="bottom" wrapText="1"/>
    </xf>
    <xf borderId="22" fillId="0" fontId="6" numFmtId="0" xfId="0" applyAlignment="1" applyBorder="1" applyFont="1">
      <alignment shrinkToFit="0" vertical="bottom" wrapText="1"/>
    </xf>
    <xf borderId="0" fillId="0" fontId="19" numFmtId="0" xfId="0" applyFont="1"/>
    <xf borderId="16" fillId="0" fontId="6" numFmtId="0" xfId="0" applyAlignment="1" applyBorder="1" applyFont="1">
      <alignment shrinkToFit="0" vertical="bottom" wrapText="1"/>
    </xf>
    <xf borderId="21" fillId="0" fontId="6" numFmtId="0" xfId="0" applyAlignment="1" applyBorder="1" applyFont="1">
      <alignment shrinkToFit="0" vertical="bottom" wrapText="1"/>
    </xf>
    <xf quotePrefix="1" borderId="0" fillId="0" fontId="5" numFmtId="0" xfId="0" applyFont="1"/>
    <xf borderId="18" fillId="0" fontId="8" numFmtId="49" xfId="0" applyAlignment="1" applyBorder="1" applyFont="1" applyNumberFormat="1">
      <alignment horizontal="left" shrinkToFit="0" vertical="center" wrapText="1"/>
    </xf>
    <xf borderId="38" fillId="0" fontId="8" numFmtId="49" xfId="0" applyAlignment="1" applyBorder="1" applyFont="1" applyNumberFormat="1">
      <alignment horizontal="left" shrinkToFit="0" vertical="center" wrapText="1"/>
    </xf>
    <xf borderId="15" fillId="0" fontId="8" numFmtId="49" xfId="0" applyAlignment="1" applyBorder="1" applyFont="1" applyNumberFormat="1">
      <alignment horizontal="left" shrinkToFit="0" vertical="center" wrapText="1"/>
    </xf>
    <xf borderId="22" fillId="0" fontId="12" numFmtId="0" xfId="0" applyAlignment="1" applyBorder="1" applyFont="1">
      <alignment horizontal="center"/>
    </xf>
    <xf borderId="33" fillId="0" fontId="12" numFmtId="0" xfId="0" applyAlignment="1" applyBorder="1" applyFont="1">
      <alignment shrinkToFit="0" vertical="center" wrapText="1"/>
    </xf>
    <xf borderId="21" fillId="0" fontId="12" numFmtId="0" xfId="0" applyBorder="1" applyFont="1"/>
    <xf borderId="0" fillId="0" fontId="5" numFmtId="0" xfId="0" applyFont="1"/>
    <xf borderId="21" fillId="0" fontId="12" numFmtId="0" xfId="0" applyAlignment="1" applyBorder="1" applyFont="1">
      <alignment horizontal="center"/>
    </xf>
    <xf borderId="39" fillId="0" fontId="4" numFmtId="0" xfId="0" applyAlignment="1" applyBorder="1" applyFont="1">
      <alignment shrinkToFit="0" vertical="center" wrapText="1"/>
    </xf>
    <xf borderId="21" fillId="0" fontId="12" numFmtId="0" xfId="0" applyAlignment="1" applyBorder="1" applyFont="1">
      <alignment shrinkToFit="0" wrapText="1"/>
    </xf>
    <xf borderId="39" fillId="0" fontId="15" numFmtId="0" xfId="0" applyAlignment="1" applyBorder="1" applyFont="1">
      <alignment horizontal="center" shrinkToFit="0" vertical="center" wrapText="1"/>
    </xf>
    <xf borderId="0" fillId="0" fontId="4" numFmtId="164" xfId="0" applyAlignment="1" applyFont="1" applyNumberFormat="1">
      <alignment shrinkToFit="0" vertical="center" wrapText="1"/>
    </xf>
    <xf borderId="22" fillId="0" fontId="4" numFmtId="0" xfId="0" applyAlignment="1" applyBorder="1" applyFont="1">
      <alignment horizontal="center"/>
    </xf>
    <xf borderId="27" fillId="0" fontId="4" numFmtId="0" xfId="0" applyBorder="1" applyFont="1"/>
    <xf borderId="27" fillId="0" fontId="4" numFmtId="0" xfId="0" applyAlignment="1" applyBorder="1" applyFont="1">
      <alignment horizontal="center"/>
    </xf>
    <xf borderId="27" fillId="0" fontId="4" numFmtId="0" xfId="0" applyAlignment="1" applyBorder="1" applyFont="1">
      <alignment vertical="center"/>
    </xf>
    <xf borderId="27" fillId="0" fontId="4" numFmtId="0" xfId="0" applyAlignment="1" applyBorder="1" applyFont="1">
      <alignment shrinkToFit="0" wrapText="1"/>
    </xf>
    <xf borderId="24" fillId="0" fontId="4" numFmtId="0" xfId="0" applyAlignment="1" applyBorder="1" applyFont="1">
      <alignment vertical="center"/>
    </xf>
    <xf borderId="27" fillId="0" fontId="6" numFmtId="0" xfId="0" applyAlignment="1" applyBorder="1" applyFont="1">
      <alignment shrinkToFit="0" vertical="bottom" wrapText="1"/>
    </xf>
    <xf borderId="24" fillId="0" fontId="4" numFmtId="164" xfId="0" applyAlignment="1" applyBorder="1" applyFont="1" applyNumberFormat="1">
      <alignment vertical="center"/>
    </xf>
    <xf borderId="28" fillId="0" fontId="4" numFmtId="0" xfId="0" applyBorder="1" applyFont="1"/>
    <xf borderId="27" fillId="0" fontId="4" numFmtId="0" xfId="0" applyAlignment="1" applyBorder="1" applyFont="1">
      <alignment shrinkToFit="0" vertical="center" wrapText="1"/>
    </xf>
    <xf borderId="34" fillId="2" fontId="14" numFmtId="0" xfId="0" applyAlignment="1" applyBorder="1" applyFill="1" applyFont="1">
      <alignment horizontal="center" vertical="bottom"/>
    </xf>
    <xf borderId="40" fillId="2" fontId="14" numFmtId="0" xfId="0" applyAlignment="1" applyBorder="1" applyFill="1" applyFont="1">
      <alignment horizontal="center" vertical="center"/>
    </xf>
    <xf borderId="41" fillId="0" fontId="2" numFmtId="0" xfId="0" applyBorder="1" applyFont="1"/>
    <xf borderId="25" fillId="0" fontId="2" numFmtId="0" xfId="0" applyBorder="1" applyFont="1"/>
    <xf borderId="42" fillId="0" fontId="6" numFmtId="0" xfId="0" applyAlignment="1" applyBorder="1" applyFont="1">
      <alignment vertical="bottom"/>
    </xf>
    <xf borderId="24" fillId="2" fontId="14" numFmtId="164" xfId="0" applyAlignment="1" applyBorder="1" applyFill="1" applyFont="1" applyNumberFormat="1">
      <alignment horizontal="center" shrinkToFit="0" vertical="center" wrapText="1"/>
    </xf>
    <xf borderId="34" fillId="0" fontId="4" numFmtId="0" xfId="0" applyAlignment="1" applyBorder="1" applyFont="1">
      <alignment horizontal="center"/>
    </xf>
    <xf borderId="30" fillId="0" fontId="12" numFmtId="0" xfId="0" applyAlignment="1" applyBorder="1" applyFont="1">
      <alignment horizontal="center" shrinkToFit="0" vertical="center" wrapText="1"/>
    </xf>
    <xf borderId="27" fillId="2" fontId="14" numFmtId="0" xfId="0" applyAlignment="1" applyBorder="1" applyFill="1" applyFont="1">
      <alignment horizontal="center" vertical="center"/>
    </xf>
    <xf borderId="27" fillId="2" fontId="14" numFmtId="0" xfId="0" applyAlignment="1" applyBorder="1" applyFill="1" applyFont="1">
      <alignment horizontal="center" shrinkToFit="0" vertical="center" wrapText="1"/>
    </xf>
    <xf borderId="27" fillId="2" fontId="14" numFmtId="164" xfId="0" applyAlignment="1" applyBorder="1" applyFill="1" applyFont="1" applyNumberFormat="1">
      <alignment horizontal="center" shrinkToFit="0" vertical="center" wrapText="1"/>
    </xf>
    <xf borderId="0" fillId="0" fontId="20" numFmtId="0" xfId="0" applyAlignment="1" applyFont="1">
      <alignment vertical="center"/>
    </xf>
    <xf borderId="16" fillId="0" fontId="4" numFmtId="0" xfId="0" applyBorder="1" applyFont="1"/>
    <xf borderId="16" fillId="0" fontId="4" numFmtId="0" xfId="0" applyAlignment="1" applyBorder="1" applyFont="1">
      <alignment horizontal="center"/>
    </xf>
    <xf borderId="17" fillId="0" fontId="4" numFmtId="0" xfId="0" applyAlignment="1" applyBorder="1" applyFont="1">
      <alignment vertical="center"/>
    </xf>
    <xf borderId="16" fillId="0" fontId="4" numFmtId="0" xfId="0" applyAlignment="1" applyBorder="1" applyFont="1">
      <alignment shrinkToFit="0" wrapText="1"/>
    </xf>
    <xf borderId="17" fillId="0" fontId="4" numFmtId="0" xfId="0" applyAlignment="1" applyBorder="1" applyFont="1">
      <alignment shrinkToFit="0" vertical="center" wrapText="1"/>
    </xf>
    <xf borderId="43" fillId="0" fontId="9" numFmtId="0" xfId="0" applyAlignment="1" applyBorder="1" applyFont="1">
      <alignment vertical="bottom"/>
    </xf>
    <xf borderId="22" fillId="0" fontId="6" numFmtId="0" xfId="0" applyAlignment="1" applyBorder="1" applyFont="1">
      <alignment horizontal="left" vertical="bottom"/>
    </xf>
    <xf borderId="27" fillId="0" fontId="6" numFmtId="0" xfId="0" applyAlignment="1" applyBorder="1" applyFont="1">
      <alignment horizontal="left" vertical="bottom"/>
    </xf>
    <xf borderId="44" fillId="0" fontId="21" numFmtId="0" xfId="0" applyAlignment="1" applyBorder="1" applyFont="1">
      <alignment horizontal="center" shrinkToFit="0" vertical="center" wrapText="1"/>
    </xf>
    <xf borderId="45" fillId="0" fontId="2" numFmtId="0" xfId="0" applyBorder="1" applyFont="1"/>
    <xf borderId="28" fillId="0" fontId="6" numFmtId="0" xfId="0" applyAlignment="1" applyBorder="1" applyFont="1">
      <alignment horizontal="left" vertical="bottom"/>
    </xf>
    <xf borderId="34" fillId="2" fontId="14" numFmtId="0" xfId="0" applyAlignment="1" applyBorder="1" applyFill="1" applyFont="1">
      <alignment horizontal="center"/>
    </xf>
    <xf borderId="17" fillId="0" fontId="4" numFmtId="0" xfId="0" applyAlignment="1" applyBorder="1" applyFont="1">
      <alignment horizontal="center" shrinkToFit="0" vertical="center" wrapText="1"/>
    </xf>
    <xf borderId="34" fillId="0" fontId="6" numFmtId="0" xfId="0" applyAlignment="1" applyBorder="1" applyFont="1">
      <alignment horizontal="left" vertical="bottom"/>
    </xf>
    <xf borderId="1" fillId="0" fontId="4" numFmtId="164" xfId="0" applyAlignment="1" applyBorder="1" applyFont="1" applyNumberFormat="1">
      <alignment horizontal="left" shrinkToFit="0" vertical="center" wrapText="1"/>
    </xf>
    <xf borderId="46" fillId="0" fontId="2" numFmtId="0" xfId="0" applyBorder="1" applyFont="1"/>
    <xf borderId="45" fillId="0" fontId="22" numFmtId="0" xfId="0" applyAlignment="1" applyBorder="1" applyFont="1">
      <alignment horizontal="center" shrinkToFit="0" vertical="center" wrapText="1"/>
    </xf>
    <xf borderId="47" fillId="0" fontId="23" numFmtId="0" xfId="0" applyAlignment="1" applyBorder="1" applyFont="1">
      <alignment vertical="center"/>
    </xf>
    <xf borderId="48" fillId="0" fontId="2" numFmtId="0" xfId="0" applyBorder="1" applyFont="1"/>
    <xf borderId="49" fillId="0" fontId="2" numFmtId="0" xfId="0" applyBorder="1" applyFont="1"/>
    <xf borderId="4" fillId="0" fontId="4" numFmtId="164" xfId="0" applyAlignment="1" applyBorder="1" applyFont="1" applyNumberFormat="1">
      <alignment horizontal="left" readingOrder="0" shrinkToFit="0" vertical="center" wrapText="1"/>
    </xf>
    <xf borderId="50" fillId="0" fontId="2" numFmtId="0" xfId="0" applyBorder="1" applyFont="1"/>
    <xf borderId="0" fillId="0" fontId="22" numFmtId="0" xfId="0" applyAlignment="1" applyFont="1">
      <alignment horizontal="center" shrinkToFit="0" vertical="center" wrapText="1"/>
    </xf>
    <xf borderId="51" fillId="0" fontId="23" numFmtId="0" xfId="0" applyAlignment="1" applyBorder="1" applyFont="1">
      <alignment vertical="center"/>
    </xf>
    <xf borderId="21" fillId="0" fontId="6" numFmtId="0" xfId="0" applyBorder="1" applyFont="1"/>
    <xf borderId="6" fillId="0" fontId="4" numFmtId="164" xfId="0" applyAlignment="1" applyBorder="1" applyFont="1" applyNumberFormat="1">
      <alignment horizontal="left" readingOrder="0" shrinkToFit="0" vertical="center" wrapText="1"/>
    </xf>
    <xf borderId="17" fillId="0" fontId="4" numFmtId="164" xfId="0" applyAlignment="1" applyBorder="1" applyFont="1" applyNumberFormat="1">
      <alignment horizontal="center" shrinkToFit="0" vertical="center" wrapText="1"/>
    </xf>
    <xf borderId="52" fillId="0" fontId="2" numFmtId="0" xfId="0" applyBorder="1" applyFont="1"/>
    <xf borderId="51" fillId="0" fontId="24" numFmtId="0" xfId="0" applyAlignment="1" applyBorder="1" applyFont="1">
      <alignment vertical="center"/>
    </xf>
    <xf borderId="53" fillId="0" fontId="2" numFmtId="0" xfId="0" applyBorder="1" applyFont="1"/>
    <xf borderId="54" fillId="0" fontId="2" numFmtId="0" xfId="0" applyBorder="1" applyFont="1"/>
    <xf borderId="30" fillId="0" fontId="25" numFmtId="0" xfId="0" applyAlignment="1" applyBorder="1" applyFont="1">
      <alignment horizontal="left" shrinkToFit="0" vertical="center" wrapText="1"/>
    </xf>
    <xf borderId="55" fillId="0" fontId="2" numFmtId="0" xfId="0" applyBorder="1" applyFont="1"/>
    <xf borderId="56" fillId="0" fontId="12" numFmtId="164" xfId="0" applyAlignment="1" applyBorder="1" applyFont="1" applyNumberFormat="1">
      <alignment readingOrder="0" vertical="center"/>
    </xf>
    <xf borderId="57" fillId="0" fontId="2" numFmtId="0" xfId="0" applyBorder="1" applyFont="1"/>
    <xf borderId="58" fillId="0" fontId="2" numFmtId="0" xfId="0" applyBorder="1" applyFont="1"/>
    <xf borderId="16" fillId="0" fontId="6" numFmtId="0" xfId="0" applyAlignment="1" applyBorder="1" applyFont="1">
      <alignment horizontal="left" vertical="bottom"/>
    </xf>
    <xf borderId="24" fillId="0" fontId="6" numFmtId="0" xfId="0" applyAlignment="1" applyBorder="1" applyFont="1">
      <alignment horizontal="left" vertical="bottom"/>
    </xf>
    <xf borderId="24" fillId="0" fontId="6" numFmtId="0" xfId="0" applyAlignment="1" applyBorder="1" applyFont="1">
      <alignment shrinkToFit="0" vertical="bottom" wrapText="1"/>
    </xf>
    <xf borderId="0" fillId="0" fontId="24" numFmtId="0" xfId="0" applyAlignment="1" applyFont="1">
      <alignment vertical="center"/>
    </xf>
    <xf borderId="59" fillId="0" fontId="24" numFmtId="0" xfId="0" applyAlignment="1" applyBorder="1" applyFont="1">
      <alignment vertical="center"/>
    </xf>
    <xf borderId="59" fillId="0" fontId="26" numFmtId="0" xfId="0" applyBorder="1" applyFont="1"/>
    <xf borderId="30" fillId="0" fontId="6" numFmtId="0" xfId="0" applyAlignment="1" applyBorder="1" applyFont="1">
      <alignment horizontal="left" shrinkToFit="0" vertical="center" wrapText="1"/>
    </xf>
    <xf borderId="0" fillId="0" fontId="12" numFmtId="0" xfId="0" applyFont="1"/>
    <xf borderId="17" fillId="3" fontId="12" numFmtId="164" xfId="0" applyAlignment="1" applyBorder="1" applyFill="1" applyFont="1" applyNumberFormat="1">
      <alignment horizontal="center" shrinkToFit="0" vertical="center" wrapText="1"/>
    </xf>
    <xf borderId="0" fillId="0" fontId="15" numFmtId="0" xfId="0" applyAlignment="1" applyFont="1">
      <alignment vertical="center"/>
    </xf>
    <xf borderId="0" fillId="0" fontId="4" numFmtId="0" xfId="0" applyFont="1"/>
    <xf borderId="22" fillId="0" fontId="4" numFmtId="0" xfId="0" applyBorder="1" applyFont="1"/>
    <xf borderId="21" fillId="0" fontId="4" numFmtId="0" xfId="0" applyAlignment="1" applyBorder="1" applyFont="1">
      <alignment shrinkToFit="0" wrapText="1"/>
    </xf>
    <xf borderId="21" fillId="0" fontId="4" numFmtId="0" xfId="0" applyBorder="1" applyFont="1"/>
    <xf borderId="26" fillId="0" fontId="4" numFmtId="0" xfId="0" applyBorder="1" applyFont="1"/>
    <xf borderId="22" fillId="0" fontId="12" numFmtId="0" xfId="0" applyBorder="1" applyFont="1"/>
    <xf borderId="60" fillId="0" fontId="2" numFmtId="0" xfId="0" applyBorder="1" applyFont="1"/>
    <xf borderId="9" fillId="2" fontId="14" numFmtId="0" xfId="0" applyAlignment="1" applyBorder="1" applyFill="1" applyFont="1">
      <alignment horizontal="center" vertical="center"/>
    </xf>
    <xf borderId="42" fillId="0" fontId="4" numFmtId="0" xfId="0" applyBorder="1" applyFont="1"/>
    <xf borderId="30" fillId="0" fontId="4" numFmtId="0" xfId="0" applyAlignment="1" applyBorder="1" applyFont="1">
      <alignment shrinkToFit="0" wrapText="1"/>
    </xf>
    <xf borderId="9" fillId="0" fontId="12" numFmtId="0" xfId="0" applyAlignment="1" applyBorder="1" applyFont="1">
      <alignment shrinkToFit="0" vertical="center" wrapText="1"/>
    </xf>
    <xf borderId="61" fillId="0" fontId="4" numFmtId="0" xfId="0" applyBorder="1" applyFont="1"/>
    <xf borderId="62" fillId="0" fontId="1" numFmtId="0" xfId="0" applyAlignment="1" applyBorder="1" applyFont="1">
      <alignment horizontal="center" vertical="center"/>
    </xf>
    <xf borderId="63" fillId="0" fontId="4" numFmtId="0" xfId="0" applyAlignment="1" applyBorder="1" applyFont="1">
      <alignment shrinkToFit="0" wrapText="1"/>
    </xf>
    <xf borderId="10" fillId="0" fontId="12" numFmtId="0" xfId="0" applyAlignment="1" applyBorder="1" applyFont="1">
      <alignment shrinkToFit="0" vertical="center" wrapText="1"/>
    </xf>
    <xf borderId="63" fillId="0" fontId="4" numFmtId="0" xfId="0" applyBorder="1" applyFont="1"/>
    <xf borderId="64" fillId="0" fontId="4" numFmtId="0" xfId="0" applyBorder="1" applyFont="1"/>
    <xf borderId="2" fillId="0" fontId="4" numFmtId="0" xfId="0" applyAlignment="1" applyBorder="1" applyFont="1">
      <alignment horizontal="left" readingOrder="0" shrinkToFit="0" vertical="center" wrapText="1"/>
    </xf>
    <xf borderId="16" fillId="0" fontId="23" numFmtId="0" xfId="0" applyBorder="1" applyFont="1"/>
    <xf borderId="16" fillId="0" fontId="23" numFmtId="0" xfId="0" applyAlignment="1" applyBorder="1" applyFont="1">
      <alignment shrinkToFit="0" wrapText="1"/>
    </xf>
    <xf borderId="9" fillId="0" fontId="4" numFmtId="0" xfId="0" applyAlignment="1" applyBorder="1" applyFont="1">
      <alignment shrinkToFit="0" vertical="center" wrapText="1"/>
    </xf>
    <xf borderId="65" fillId="0" fontId="2" numFmtId="0" xfId="0" applyBorder="1" applyFont="1"/>
    <xf borderId="0" fillId="0" fontId="23" numFmtId="0" xfId="0" applyFont="1"/>
    <xf borderId="0" fillId="0" fontId="4" numFmtId="0" xfId="0" applyAlignment="1" applyFont="1">
      <alignment horizontal="left" readingOrder="0" shrinkToFit="0" vertical="center" wrapText="1"/>
    </xf>
    <xf borderId="66" fillId="0" fontId="2" numFmtId="0" xfId="0" applyBorder="1" applyFont="1"/>
    <xf borderId="6" fillId="0" fontId="2" numFmtId="0" xfId="0" applyBorder="1" applyFont="1"/>
    <xf borderId="8" fillId="0" fontId="4" numFmtId="0" xfId="0" applyAlignment="1" applyBorder="1" applyFont="1">
      <alignment horizontal="left" readingOrder="0" shrinkToFit="0" vertical="center" wrapText="1"/>
    </xf>
    <xf borderId="10" fillId="0" fontId="7" numFmtId="0" xfId="0" applyAlignment="1" applyBorder="1" applyFont="1">
      <alignment horizontal="right" readingOrder="0" vertical="center"/>
    </xf>
    <xf borderId="9" fillId="0" fontId="27" numFmtId="0" xfId="0" applyAlignment="1" applyBorder="1" applyFont="1">
      <alignment horizontal="center"/>
    </xf>
    <xf borderId="4" fillId="2" fontId="14" numFmtId="0" xfId="0" applyAlignment="1" applyBorder="1" applyFill="1" applyFont="1">
      <alignment horizontal="center" vertical="bottom"/>
    </xf>
    <xf borderId="0" fillId="2" fontId="14" numFmtId="0" xfId="0" applyAlignment="1" applyFill="1" applyFont="1">
      <alignment horizontal="center" vertical="bottom"/>
    </xf>
    <xf borderId="5" fillId="2" fontId="14" numFmtId="0" xfId="0" applyAlignment="1" applyBorder="1" applyFill="1" applyFont="1">
      <alignment horizontal="center" readingOrder="0" vertical="bottom"/>
    </xf>
    <xf borderId="0" fillId="0" fontId="28" numFmtId="0" xfId="0" applyFont="1"/>
    <xf borderId="17" fillId="0" fontId="4" numFmtId="0" xfId="0" applyBorder="1" applyFont="1"/>
    <xf borderId="17" fillId="0" fontId="4" numFmtId="0" xfId="0" applyAlignment="1" applyBorder="1" applyFont="1">
      <alignment readingOrder="0"/>
    </xf>
    <xf borderId="62" fillId="0" fontId="12" numFmtId="0" xfId="0" applyAlignment="1" applyBorder="1" applyFont="1">
      <alignment horizontal="center" vertical="center"/>
    </xf>
    <xf borderId="62" fillId="0" fontId="4" numFmtId="0" xfId="0" applyAlignment="1" applyBorder="1" applyFont="1">
      <alignment vertical="center"/>
    </xf>
    <xf borderId="17" fillId="0" fontId="4" numFmtId="0" xfId="0" applyAlignment="1" applyBorder="1" applyFont="1">
      <alignment horizontal="left" readingOrder="0" vertical="center"/>
    </xf>
    <xf borderId="67" fillId="2" fontId="14" numFmtId="0" xfId="0" applyAlignment="1" applyBorder="1" applyFill="1" applyFont="1">
      <alignment horizontal="center" vertical="center"/>
    </xf>
    <xf borderId="47" fillId="0" fontId="2" numFmtId="0" xfId="0" applyBorder="1" applyFont="1"/>
    <xf borderId="1" fillId="0" fontId="12" numFmtId="0" xfId="0" applyAlignment="1" applyBorder="1" applyFont="1">
      <alignment shrinkToFit="0" vertical="center" wrapText="1"/>
    </xf>
    <xf borderId="17" fillId="0" fontId="29" numFmtId="0" xfId="0" applyBorder="1" applyFont="1"/>
    <xf borderId="10" fillId="0" fontId="12" numFmtId="0" xfId="0" applyAlignment="1" applyBorder="1" applyFont="1">
      <alignment horizontal="center" shrinkToFit="0" vertical="center" wrapText="1"/>
    </xf>
    <xf borderId="9" fillId="0" fontId="30" numFmtId="0" xfId="0" applyBorder="1" applyFont="1"/>
    <xf borderId="9" fillId="0" fontId="4" numFmtId="0" xfId="0" applyAlignment="1" applyBorder="1" applyFont="1">
      <alignment horizontal="center" shrinkToFit="0" vertical="center" wrapText="1"/>
    </xf>
    <xf borderId="17" fillId="0" fontId="16" numFmtId="0" xfId="0" applyAlignment="1" applyBorder="1" applyFont="1">
      <alignment horizontal="center"/>
    </xf>
    <xf borderId="9" fillId="0" fontId="31" numFmtId="0" xfId="0" applyBorder="1" applyFont="1"/>
    <xf borderId="17" fillId="2" fontId="14" numFmtId="0" xfId="0" applyAlignment="1" applyBorder="1" applyFill="1" applyFont="1">
      <alignment horizontal="center" vertical="bottom"/>
    </xf>
    <xf borderId="9" fillId="0" fontId="32" numFmtId="0" xfId="0" applyAlignment="1" applyBorder="1" applyFont="1">
      <alignment shrinkToFit="0" vertical="center" wrapText="1"/>
    </xf>
    <xf borderId="0" fillId="0" fontId="4" numFmtId="0" xfId="0" applyAlignment="1" applyFont="1">
      <alignment vertical="bottom"/>
    </xf>
    <xf borderId="68" fillId="0" fontId="4" numFmtId="0" xfId="0" applyAlignment="1" applyBorder="1" applyFont="1">
      <alignment shrinkToFit="0" vertical="top" wrapText="1"/>
    </xf>
    <xf borderId="69" fillId="0" fontId="2" numFmtId="0" xfId="0" applyBorder="1" applyFont="1"/>
    <xf borderId="17" fillId="0" fontId="4" numFmtId="0" xfId="0" applyAlignment="1" applyBorder="1" applyFont="1">
      <alignment vertical="top"/>
    </xf>
    <xf borderId="70" fillId="0" fontId="2" numFmtId="0" xfId="0" applyBorder="1" applyFont="1"/>
    <xf borderId="17" fillId="0" fontId="4" numFmtId="0" xfId="0" applyAlignment="1" applyBorder="1" applyFont="1">
      <alignment horizontal="right" vertical="top"/>
    </xf>
    <xf borderId="17" fillId="0" fontId="31" numFmtId="0" xfId="0" applyAlignment="1" applyBorder="1" applyFont="1">
      <alignment vertical="top"/>
    </xf>
    <xf borderId="9" fillId="0" fontId="4" numFmtId="0" xfId="0" applyAlignment="1" applyBorder="1" applyFont="1">
      <alignment horizontal="left" shrinkToFit="0" vertical="center" wrapText="1"/>
    </xf>
    <xf borderId="65" fillId="0" fontId="4" numFmtId="0" xfId="0" applyAlignment="1" applyBorder="1" applyFont="1">
      <alignment vertical="center"/>
    </xf>
    <xf borderId="17" fillId="0" fontId="4" numFmtId="0" xfId="0" applyAlignment="1" applyBorder="1" applyFont="1">
      <alignment shrinkToFit="0" vertical="top" wrapText="1"/>
    </xf>
    <xf borderId="17" fillId="0" fontId="4" numFmtId="9" xfId="0" applyAlignment="1" applyBorder="1" applyFont="1" applyNumberFormat="1">
      <alignment horizontal="right" vertical="top"/>
    </xf>
    <xf borderId="17" fillId="0" fontId="31" numFmtId="0" xfId="0" applyAlignment="1" applyBorder="1" applyFont="1">
      <alignment shrinkToFit="0" vertical="top" wrapText="1"/>
    </xf>
    <xf borderId="0" fillId="0" fontId="5" numFmtId="0" xfId="0" applyAlignment="1" applyFont="1">
      <alignment vertical="bottom"/>
    </xf>
    <xf borderId="59" fillId="0" fontId="26" numFmtId="0" xfId="0" applyAlignment="1" applyBorder="1" applyFont="1">
      <alignment vertical="center"/>
    </xf>
    <xf borderId="0" fillId="0" fontId="12" numFmtId="0" xfId="0" applyAlignment="1" applyFont="1">
      <alignment vertical="center"/>
    </xf>
    <xf borderId="0" fillId="0" fontId="5" numFmtId="0" xfId="0" applyAlignment="1" applyFont="1">
      <alignment shrinkToFit="0" vertical="top" wrapText="1"/>
    </xf>
    <xf borderId="62" fillId="2" fontId="12" numFmtId="0" xfId="0" applyAlignment="1" applyBorder="1" applyFill="1" applyFont="1">
      <alignment horizontal="center" shrinkToFit="0" vertical="center" wrapText="1"/>
    </xf>
    <xf borderId="9" fillId="2" fontId="12" numFmtId="0" xfId="0" applyAlignment="1" applyBorder="1" applyFill="1" applyFont="1">
      <alignment horizontal="center" shrinkToFit="0" vertical="center" wrapText="1"/>
    </xf>
    <xf borderId="0" fillId="0" fontId="4" numFmtId="0" xfId="0" applyAlignment="1" applyFont="1">
      <alignment shrinkToFit="0" vertical="top" wrapText="1"/>
    </xf>
    <xf borderId="17" fillId="2" fontId="12" numFmtId="0" xfId="0" applyAlignment="1" applyBorder="1" applyFill="1" applyFont="1">
      <alignment horizontal="center" shrinkToFit="0" vertical="center" wrapText="1"/>
    </xf>
    <xf borderId="17" fillId="0" fontId="4" numFmtId="0" xfId="0" applyAlignment="1" applyBorder="1" applyFont="1">
      <alignment horizontal="center" readingOrder="0" shrinkToFit="0" vertical="top" wrapText="1"/>
    </xf>
    <xf borderId="62" fillId="0" fontId="4" numFmtId="0" xfId="0" applyAlignment="1" applyBorder="1" applyFont="1">
      <alignment shrinkToFit="0" vertical="top" wrapText="1"/>
    </xf>
    <xf borderId="17" fillId="0" fontId="33" numFmtId="0" xfId="0" applyAlignment="1" applyBorder="1" applyFont="1">
      <alignment readingOrder="0" shrinkToFit="0" vertical="top" wrapText="0"/>
    </xf>
    <xf borderId="17" fillId="0" fontId="4" numFmtId="0" xfId="0" applyAlignment="1" applyBorder="1" applyFont="1">
      <alignment shrinkToFit="0" vertical="top" wrapText="0"/>
    </xf>
    <xf borderId="68" fillId="0" fontId="34" numFmtId="0" xfId="0" applyAlignment="1" applyBorder="1" applyFont="1">
      <alignment shrinkToFit="0" vertical="top" wrapText="1"/>
    </xf>
    <xf borderId="0" fillId="0" fontId="12" numFmtId="0" xfId="0" applyAlignment="1" applyFont="1">
      <alignment vertical="bottom"/>
    </xf>
    <xf borderId="9" fillId="0" fontId="12" numFmtId="0" xfId="0" applyAlignment="1" applyBorder="1" applyFont="1">
      <alignment horizontal="center" vertical="center"/>
    </xf>
    <xf borderId="1" fillId="0" fontId="4" numFmtId="0" xfId="0" applyAlignment="1" applyBorder="1" applyFont="1">
      <alignment vertical="top"/>
    </xf>
    <xf borderId="9" fillId="0" fontId="4" numFmtId="0" xfId="0" applyAlignment="1" applyBorder="1" applyFont="1">
      <alignment vertical="top"/>
    </xf>
    <xf borderId="62" fillId="0" fontId="35" numFmtId="0" xfId="0" applyAlignment="1" applyBorder="1" applyFont="1">
      <alignment readingOrder="0" shrinkToFit="0" vertical="top" wrapText="0"/>
    </xf>
    <xf borderId="17" fillId="4" fontId="4" numFmtId="0" xfId="0" applyAlignment="1" applyBorder="1" applyFill="1" applyFont="1">
      <alignment shrinkToFit="0" vertical="top" wrapText="1"/>
    </xf>
    <xf borderId="17" fillId="4" fontId="4" numFmtId="0" xfId="0" applyAlignment="1" applyBorder="1" applyFill="1" applyFont="1">
      <alignment shrinkToFit="0" vertical="top" wrapText="0"/>
    </xf>
    <xf borderId="17" fillId="4" fontId="36" numFmtId="0" xfId="0" applyAlignment="1" applyBorder="1" applyFill="1" applyFont="1">
      <alignment readingOrder="0" shrinkToFit="0" vertical="top" wrapText="0"/>
    </xf>
    <xf borderId="17" fillId="4" fontId="28" numFmtId="0" xfId="0" applyAlignment="1" applyBorder="1" applyFill="1" applyFont="1">
      <alignment shrinkToFit="0" vertical="top" wrapText="0"/>
    </xf>
    <xf borderId="66" fillId="0" fontId="4" numFmtId="0" xfId="0" applyAlignment="1" applyBorder="1" applyFont="1">
      <alignment vertical="center"/>
    </xf>
    <xf borderId="17" fillId="0" fontId="4" numFmtId="0" xfId="0" applyAlignment="1" applyBorder="1" applyFont="1">
      <alignment horizontal="left" vertical="center"/>
    </xf>
    <xf borderId="17" fillId="4" fontId="4" numFmtId="0" xfId="0" applyAlignment="1" applyBorder="1" applyFill="1" applyFont="1">
      <alignment horizontal="left" shrinkToFit="0" vertical="center" wrapText="1"/>
    </xf>
    <xf borderId="17" fillId="0" fontId="37" numFmtId="0" xfId="0" applyAlignment="1" applyBorder="1" applyFont="1">
      <alignment horizontal="left" vertical="center"/>
    </xf>
    <xf borderId="17" fillId="4" fontId="4" numFmtId="0" xfId="0" applyAlignment="1" applyBorder="1" applyFill="1" applyFont="1">
      <alignment horizontal="center" shrinkToFit="0" vertical="center" wrapText="1"/>
    </xf>
    <xf borderId="16" fillId="0" fontId="4" numFmtId="0" xfId="0" applyAlignment="1" applyBorder="1" applyFont="1">
      <alignment vertical="center"/>
    </xf>
    <xf borderId="16" fillId="0" fontId="4" numFmtId="164" xfId="0" applyAlignment="1" applyBorder="1" applyFont="1" applyNumberFormat="1">
      <alignment vertical="center"/>
    </xf>
    <xf borderId="21" fillId="0" fontId="4" numFmtId="0" xfId="0" applyAlignment="1" applyBorder="1" applyFont="1">
      <alignment vertical="center"/>
    </xf>
    <xf borderId="21" fillId="0" fontId="4" numFmtId="164" xfId="0" applyAlignment="1" applyBorder="1" applyFont="1" applyNumberFormat="1">
      <alignment vertical="center"/>
    </xf>
    <xf borderId="21" fillId="0" fontId="5" numFmtId="0" xfId="0" applyAlignment="1" applyBorder="1" applyFont="1">
      <alignment vertical="center"/>
    </xf>
    <xf borderId="21" fillId="0" fontId="5" numFmtId="164" xfId="0" applyAlignment="1" applyBorder="1" applyFont="1" applyNumberFormat="1">
      <alignment vertical="center"/>
    </xf>
    <xf borderId="21" fillId="0" fontId="5" numFmtId="0" xfId="0" applyAlignment="1" applyBorder="1" applyFont="1">
      <alignment horizontal="center" shrinkToFit="0" vertical="center" wrapText="1"/>
    </xf>
    <xf borderId="0" fillId="0" fontId="5" numFmtId="164" xfId="0" applyAlignment="1" applyFont="1" applyNumberFormat="1">
      <alignment vertical="center"/>
    </xf>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14350" cy="2857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14350" cy="2952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5275"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190500"/>
    <xdr:pic>
      <xdr:nvPicPr>
        <xdr:cNvPr id="0" name="image7.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1" Type="http://schemas.openxmlformats.org/officeDocument/2006/relationships/hyperlink" Target="https://docs.google.com/spreadsheets/d/168COdtJSr2eZeEmOQGCcVXZY22uTursdYcXEVTH3R0c/edit?gid=799253690" TargetMode="External"/><Relationship Id="rId10" Type="http://schemas.openxmlformats.org/officeDocument/2006/relationships/hyperlink" Target="https://docs.google.com/spreadsheets/d/1MlAjJvbtOsxWn4aof-dNM3tTO0YgZNi-tP9ReLSXgdM/edit?gid=975778227" TargetMode="External"/><Relationship Id="rId13" Type="http://schemas.openxmlformats.org/officeDocument/2006/relationships/hyperlink" Target="https://docs.google.com/spreadsheets/d/1sXTBqueRfxMXWxVloh9svaNu88rF7M75jg6AcurGdQg/edit?gid=79899913" TargetMode="External"/><Relationship Id="rId12" Type="http://schemas.openxmlformats.org/officeDocument/2006/relationships/hyperlink" Target="https://docs.google.com/spreadsheets/d/17If0wIjy6cqS-eXq7YyhMVf_0BTu6pPAQP5frmiTD8w/edit?gid=1255909033" TargetMode="External"/><Relationship Id="rId1" Type="http://schemas.openxmlformats.org/officeDocument/2006/relationships/hyperlink" Target="https://docs.google.com/spreadsheets/d/1lhm7pXbSCYciKSZGAbRZeaL-eJXuaKt4y2aa9AfQq9M/edit?gid=627680991" TargetMode="External"/><Relationship Id="rId2" Type="http://schemas.openxmlformats.org/officeDocument/2006/relationships/hyperlink" Target="https://docs.google.com/spreadsheets/d/1asmCpS5JjdFiGWfuhvWXQq0SosnxoPuDKnEnuk8v-vA/edit?gid=949616877" TargetMode="External"/><Relationship Id="rId3" Type="http://schemas.openxmlformats.org/officeDocument/2006/relationships/hyperlink" Target="https://docs.google.com/spreadsheets/d/1lhm7pXbSCYciKSZGAbRZeaL-eJXuaKt4y2aa9AfQq9M/edit?gid=1562053010" TargetMode="External"/><Relationship Id="rId4" Type="http://schemas.openxmlformats.org/officeDocument/2006/relationships/hyperlink" Target="https://docs.google.com/spreadsheets/d/1FZNv6LmXWMwc54F7_M3HgodhXYMzBrxzKqaUpB6m7_U/edit?gid=543789658" TargetMode="External"/><Relationship Id="rId9" Type="http://schemas.openxmlformats.org/officeDocument/2006/relationships/hyperlink" Target="https://docs.google.com/spreadsheets/d/1_GaG9bVYeXsDRT2H4ht6Zwq24xQ4aeLLgeaLy8LbUv4/edit?gid=823311358" TargetMode="External"/><Relationship Id="rId15" Type="http://schemas.openxmlformats.org/officeDocument/2006/relationships/drawing" Target="../drawings/drawing7.xml"/><Relationship Id="rId14" Type="http://schemas.openxmlformats.org/officeDocument/2006/relationships/hyperlink" Target="https://docs.google.com/spreadsheets/d/1ygEBjXKMtq_909choT2TtnTle-7ugBcJMVi4S6I2LK4/edit?gid=1717995246" TargetMode="External"/><Relationship Id="rId5" Type="http://schemas.openxmlformats.org/officeDocument/2006/relationships/hyperlink" Target="https://docs.google.com/spreadsheets/d/1yrlY6-UBByeZjo57Q6AiIvUEJrbQjTAZ496fVwUOmwI/edit?gid=782978744" TargetMode="External"/><Relationship Id="rId6" Type="http://schemas.openxmlformats.org/officeDocument/2006/relationships/hyperlink" Target="https://docs.google.com/spreadsheets/d/1piJjiSb5HvAMLp4ATweMTtk_6pxmbUzJJuAGrWds-fc/edit?gid=1752790160" TargetMode="External"/><Relationship Id="rId7" Type="http://schemas.openxmlformats.org/officeDocument/2006/relationships/hyperlink" Target="https://docs.google.com/spreadsheets/d/1YRHNPc3wiTuEX7sK6qwes-ROunIHqDjnQOBU7J2eOEw/edit?gid=280769628" TargetMode="External"/><Relationship Id="rId8" Type="http://schemas.openxmlformats.org/officeDocument/2006/relationships/hyperlink" Target="https://docs.google.com/spreadsheets/d/1M_9cQpWXNS89b7oa9OAElutO7YPolDFsw_Ds15Joq2k/edit?gid=140680178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showGridLines="0" workbookViewId="0"/>
  </sheetViews>
  <sheetFormatPr customHeight="1" defaultColWidth="12.63" defaultRowHeight="15.0"/>
  <cols>
    <col customWidth="1" min="1" max="1" width="5.75"/>
    <col customWidth="1" min="2" max="2" width="4.63"/>
    <col customWidth="1" min="3" max="3" width="6.38"/>
    <col customWidth="1" min="4" max="4" width="3.5"/>
    <col customWidth="1" min="5" max="9" width="9.75"/>
    <col customWidth="1" min="10" max="10" width="15.38"/>
    <col customWidth="1" min="11" max="11" width="13.75"/>
  </cols>
  <sheetData>
    <row r="1" ht="22.5" customHeight="1">
      <c r="A1" s="1"/>
      <c r="B1" s="2"/>
      <c r="C1" s="2"/>
      <c r="D1" s="2"/>
      <c r="E1" s="4" t="s">
        <v>1</v>
      </c>
      <c r="F1" s="2"/>
      <c r="G1" s="2"/>
      <c r="H1" s="2"/>
      <c r="I1" s="2"/>
      <c r="J1" s="5" t="s">
        <v>2</v>
      </c>
      <c r="K1" s="7"/>
    </row>
    <row r="2" ht="22.5" customHeight="1">
      <c r="A2" s="9"/>
      <c r="E2" s="9"/>
      <c r="J2" s="10" t="s">
        <v>3</v>
      </c>
      <c r="K2" s="11"/>
    </row>
    <row r="3" ht="22.5" customHeight="1">
      <c r="A3" s="9"/>
      <c r="E3" s="9"/>
      <c r="J3" s="13" t="s">
        <v>4</v>
      </c>
      <c r="K3" s="14"/>
    </row>
    <row r="4" ht="22.5" customHeight="1">
      <c r="A4" s="17" t="s">
        <v>5</v>
      </c>
      <c r="B4" s="18"/>
      <c r="C4" s="18"/>
      <c r="D4" s="18"/>
      <c r="E4" s="18"/>
      <c r="F4" s="18"/>
      <c r="G4" s="18"/>
      <c r="H4" s="18"/>
      <c r="I4" s="19"/>
      <c r="J4" s="21" t="s">
        <v>6</v>
      </c>
      <c r="K4" s="14"/>
    </row>
    <row r="5" ht="16.5" customHeight="1">
      <c r="A5" s="22"/>
      <c r="K5" s="23"/>
    </row>
    <row r="6" ht="31.5" customHeight="1">
      <c r="A6" s="25" t="s">
        <v>7</v>
      </c>
      <c r="K6" s="23"/>
    </row>
    <row r="7" ht="20.25" customHeight="1">
      <c r="A7" s="30" t="s">
        <v>8</v>
      </c>
      <c r="B7" s="32" t="s">
        <v>9</v>
      </c>
      <c r="C7" s="18"/>
      <c r="D7" s="19"/>
      <c r="E7" s="32" t="s">
        <v>10</v>
      </c>
      <c r="F7" s="18"/>
      <c r="G7" s="18"/>
      <c r="H7" s="18"/>
      <c r="I7" s="19"/>
      <c r="J7" s="32" t="s">
        <v>11</v>
      </c>
      <c r="K7" s="19"/>
    </row>
    <row r="8" ht="22.5" customHeight="1">
      <c r="A8" s="40">
        <v>1.0</v>
      </c>
      <c r="B8" s="44"/>
      <c r="C8" s="18"/>
      <c r="D8" s="19"/>
      <c r="E8" s="44" t="s">
        <v>13</v>
      </c>
      <c r="F8" s="18"/>
      <c r="G8" s="18"/>
      <c r="H8" s="18"/>
      <c r="I8" s="19"/>
      <c r="J8" s="52">
        <v>44320.0</v>
      </c>
      <c r="K8" s="19"/>
    </row>
    <row r="9">
      <c r="A9" s="40">
        <v>2.0</v>
      </c>
      <c r="B9" s="44"/>
      <c r="C9" s="18"/>
      <c r="D9" s="19"/>
      <c r="E9" s="44" t="s">
        <v>18</v>
      </c>
      <c r="F9" s="18"/>
      <c r="G9" s="18"/>
      <c r="H9" s="18"/>
      <c r="I9" s="19"/>
      <c r="J9" s="59">
        <v>45967.0</v>
      </c>
      <c r="K9" s="19"/>
    </row>
    <row r="10">
      <c r="A10" s="62" t="s">
        <v>21</v>
      </c>
      <c r="B10" s="65" t="s">
        <v>23</v>
      </c>
      <c r="C10" s="2"/>
      <c r="D10" s="7"/>
      <c r="E10" s="65" t="s">
        <v>25</v>
      </c>
      <c r="F10" s="2"/>
      <c r="G10" s="2"/>
      <c r="H10" s="2"/>
      <c r="I10" s="7"/>
      <c r="J10" s="70" t="s">
        <v>27</v>
      </c>
      <c r="K10" s="19"/>
    </row>
    <row r="11" ht="22.5" customHeight="1">
      <c r="A11" s="40"/>
      <c r="B11" s="73"/>
      <c r="C11" s="2"/>
      <c r="D11" s="7"/>
      <c r="E11" s="73"/>
      <c r="F11" s="2"/>
      <c r="G11" s="2"/>
      <c r="H11" s="2"/>
      <c r="I11" s="7"/>
      <c r="J11" s="44"/>
      <c r="K11" s="19"/>
    </row>
    <row r="12" ht="22.5" customHeight="1">
      <c r="A12" s="40"/>
      <c r="B12" s="77"/>
      <c r="C12" s="18"/>
      <c r="D12" s="19"/>
      <c r="E12" s="78"/>
      <c r="F12" s="18"/>
      <c r="G12" s="18"/>
      <c r="H12" s="18"/>
      <c r="I12" s="19"/>
      <c r="J12" s="44"/>
      <c r="K12" s="19"/>
    </row>
    <row r="13" ht="22.5" customHeight="1">
      <c r="A13" s="82"/>
      <c r="B13" s="77"/>
      <c r="C13" s="18"/>
      <c r="D13" s="19"/>
      <c r="E13" s="78"/>
      <c r="F13" s="18"/>
      <c r="G13" s="18"/>
      <c r="H13" s="18"/>
      <c r="I13" s="19"/>
      <c r="J13" s="44"/>
      <c r="K13" s="19"/>
    </row>
    <row r="14" ht="22.5" customHeight="1">
      <c r="A14" s="87"/>
      <c r="B14" s="89"/>
      <c r="C14" s="18"/>
      <c r="D14" s="19"/>
      <c r="E14" s="90"/>
      <c r="F14" s="18"/>
      <c r="G14" s="18"/>
      <c r="H14" s="18"/>
      <c r="I14" s="19"/>
      <c r="J14" s="44"/>
      <c r="K14" s="19"/>
    </row>
    <row r="15" ht="22.5" customHeight="1">
      <c r="A15" s="91"/>
      <c r="B15" s="92"/>
      <c r="C15" s="92"/>
      <c r="D15" s="92"/>
      <c r="E15" s="92"/>
      <c r="F15" s="92"/>
      <c r="G15" s="92"/>
      <c r="H15" s="92"/>
      <c r="I15" s="92"/>
      <c r="J15" s="92"/>
      <c r="K15" s="93"/>
    </row>
    <row r="16" ht="22.5" customHeight="1">
      <c r="A16" s="91"/>
      <c r="B16" s="92"/>
      <c r="C16" s="92"/>
      <c r="D16" s="92"/>
      <c r="E16" s="92"/>
      <c r="F16" s="92"/>
      <c r="G16" s="92"/>
      <c r="H16" s="92"/>
      <c r="I16" s="92"/>
      <c r="J16" s="92"/>
      <c r="K16" s="93"/>
    </row>
    <row r="17" ht="22.5" customHeight="1">
      <c r="A17" s="91"/>
      <c r="B17" s="92"/>
      <c r="C17" s="92"/>
      <c r="D17" s="92"/>
      <c r="E17" s="92"/>
      <c r="F17" s="92"/>
      <c r="G17" s="92"/>
      <c r="H17" s="92"/>
      <c r="I17" s="92"/>
      <c r="J17" s="92"/>
      <c r="K17" s="93"/>
    </row>
    <row r="18" ht="22.5" customHeight="1">
      <c r="A18" s="91"/>
      <c r="B18" s="92"/>
      <c r="C18" s="92"/>
      <c r="D18" s="92"/>
      <c r="E18" s="92"/>
      <c r="F18" s="92"/>
      <c r="G18" s="92"/>
      <c r="H18" s="92"/>
      <c r="I18" s="92"/>
      <c r="J18" s="92"/>
      <c r="K18" s="93"/>
    </row>
    <row r="19" ht="22.5" customHeight="1">
      <c r="A19" s="91"/>
      <c r="B19" s="92"/>
      <c r="C19" s="92"/>
      <c r="D19" s="92"/>
      <c r="E19" s="92"/>
      <c r="F19" s="92"/>
      <c r="G19" s="92"/>
      <c r="H19" s="92"/>
      <c r="I19" s="92"/>
      <c r="J19" s="92"/>
      <c r="K19" s="93"/>
    </row>
    <row r="20" ht="22.5" customHeight="1">
      <c r="A20" s="91"/>
      <c r="B20" s="92"/>
      <c r="C20" s="92"/>
      <c r="D20" s="92"/>
      <c r="E20" s="92"/>
      <c r="F20" s="92"/>
      <c r="G20" s="92"/>
      <c r="H20" s="92"/>
      <c r="I20" s="92"/>
      <c r="J20" s="92"/>
      <c r="K20" s="93"/>
    </row>
    <row r="21" ht="22.5" customHeight="1">
      <c r="A21" s="91"/>
      <c r="B21" s="92"/>
      <c r="C21" s="92"/>
      <c r="D21" s="92"/>
      <c r="E21" s="92"/>
      <c r="F21" s="92"/>
      <c r="G21" s="92"/>
      <c r="H21" s="92"/>
      <c r="I21" s="92"/>
      <c r="J21" s="92"/>
      <c r="K21" s="93"/>
    </row>
    <row r="22" ht="22.5" customHeight="1">
      <c r="A22" s="100"/>
      <c r="B22" s="101"/>
      <c r="C22" s="101"/>
      <c r="D22" s="101"/>
      <c r="E22" s="101"/>
      <c r="F22" s="101"/>
      <c r="G22" s="101"/>
      <c r="H22" s="101"/>
      <c r="I22" s="101"/>
      <c r="J22" s="101"/>
      <c r="K22" s="102"/>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6.75"/>
    <col customWidth="1" min="2" max="2" width="22.38"/>
    <col customWidth="1" min="3" max="5" width="12.63"/>
    <col customWidth="1" min="6" max="6" width="37.0"/>
  </cols>
  <sheetData>
    <row r="1" ht="23.25" customHeight="1">
      <c r="A1" s="1"/>
      <c r="B1" s="2"/>
      <c r="C1" s="4" t="s">
        <v>0</v>
      </c>
      <c r="D1" s="2"/>
      <c r="E1" s="2"/>
      <c r="F1" s="2"/>
      <c r="G1" s="5" t="s">
        <v>2</v>
      </c>
      <c r="H1" s="2"/>
      <c r="I1" s="7"/>
    </row>
    <row r="2">
      <c r="A2" s="9"/>
      <c r="C2" s="9"/>
      <c r="G2" s="10" t="s">
        <v>3</v>
      </c>
      <c r="I2" s="11"/>
    </row>
    <row r="3">
      <c r="A3" s="9"/>
      <c r="C3" s="9"/>
      <c r="G3" s="13" t="s">
        <v>4</v>
      </c>
      <c r="H3" s="15"/>
      <c r="I3" s="14"/>
    </row>
    <row r="4">
      <c r="A4" s="17" t="s">
        <v>5</v>
      </c>
      <c r="B4" s="18"/>
      <c r="C4" s="18"/>
      <c r="D4" s="18"/>
      <c r="E4" s="18"/>
      <c r="F4" s="19"/>
      <c r="G4" s="21" t="s">
        <v>6</v>
      </c>
      <c r="H4" s="15"/>
      <c r="I4" s="14"/>
    </row>
    <row r="5">
      <c r="A5" s="24"/>
      <c r="B5" s="27"/>
      <c r="C5" s="29"/>
      <c r="D5" s="29"/>
      <c r="E5" s="29"/>
      <c r="F5" s="29"/>
      <c r="G5" s="29"/>
      <c r="H5" s="31"/>
      <c r="I5" s="24"/>
    </row>
    <row r="6">
      <c r="A6" s="24"/>
      <c r="B6" s="36"/>
      <c r="C6" s="37"/>
      <c r="D6" s="37"/>
      <c r="E6" s="37"/>
      <c r="F6" s="37"/>
      <c r="G6" s="37"/>
      <c r="H6" s="39"/>
      <c r="I6" s="24"/>
    </row>
    <row r="7">
      <c r="A7" s="42" t="s">
        <v>12</v>
      </c>
      <c r="B7" s="45"/>
      <c r="C7" s="48"/>
      <c r="D7" s="48"/>
      <c r="E7" s="48"/>
      <c r="F7" s="48"/>
      <c r="G7" s="48"/>
      <c r="H7" s="50"/>
      <c r="I7" s="51"/>
    </row>
    <row r="8">
      <c r="B8" s="55" t="s">
        <v>15</v>
      </c>
    </row>
    <row r="9">
      <c r="B9" s="55" t="s">
        <v>16</v>
      </c>
    </row>
    <row r="11">
      <c r="A11" s="49" t="s">
        <v>19</v>
      </c>
    </row>
    <row r="12">
      <c r="B12" s="64" t="s">
        <v>22</v>
      </c>
    </row>
    <row r="13">
      <c r="B13" s="88" t="s">
        <v>28</v>
      </c>
    </row>
    <row r="14">
      <c r="B14" s="88" t="s">
        <v>36</v>
      </c>
    </row>
    <row r="15">
      <c r="B15" s="64" t="s">
        <v>37</v>
      </c>
    </row>
    <row r="16">
      <c r="B16" s="96" t="s">
        <v>38</v>
      </c>
    </row>
    <row r="17">
      <c r="B17" s="96"/>
    </row>
    <row r="18">
      <c r="A18" s="49" t="s">
        <v>39</v>
      </c>
    </row>
    <row r="19">
      <c r="B19" s="55" t="s">
        <v>40</v>
      </c>
    </row>
    <row r="20">
      <c r="B20" s="99" t="s">
        <v>41</v>
      </c>
    </row>
    <row r="21" ht="15.75" customHeight="1">
      <c r="B21" s="99" t="s">
        <v>42</v>
      </c>
    </row>
    <row r="22" ht="15.75" customHeight="1">
      <c r="B22" s="106" t="s">
        <v>45</v>
      </c>
    </row>
    <row r="23" ht="15.75" customHeight="1">
      <c r="B23" s="106" t="s">
        <v>47</v>
      </c>
    </row>
    <row r="24" ht="15.75" customHeight="1">
      <c r="B24" s="55"/>
    </row>
    <row r="25" ht="15.75" customHeight="1">
      <c r="A25" s="49" t="s">
        <v>49</v>
      </c>
    </row>
    <row r="26" ht="15.75" customHeight="1">
      <c r="B26" s="106" t="s">
        <v>51</v>
      </c>
    </row>
    <row r="27" ht="15.75" customHeight="1">
      <c r="B27" s="55" t="s">
        <v>52</v>
      </c>
    </row>
    <row r="28" ht="15.75" customHeight="1">
      <c r="B28" s="55" t="s">
        <v>53</v>
      </c>
    </row>
    <row r="29" ht="15.75" customHeight="1">
      <c r="A29" s="49" t="s">
        <v>54</v>
      </c>
    </row>
    <row r="30" ht="15.75" customHeight="1">
      <c r="B30" s="55" t="s">
        <v>56</v>
      </c>
    </row>
    <row r="31" ht="15.75" customHeight="1">
      <c r="B31" s="55" t="s">
        <v>57</v>
      </c>
    </row>
    <row r="32" ht="15.75" customHeight="1"/>
    <row r="33" ht="15.75" customHeight="1"/>
    <row r="34" ht="15.75" customHeight="1"/>
  </sheetData>
  <mergeCells count="9">
    <mergeCell ref="B13:I13"/>
    <mergeCell ref="B14:I14"/>
    <mergeCell ref="A1:B3"/>
    <mergeCell ref="C1:F3"/>
    <mergeCell ref="G1:I1"/>
    <mergeCell ref="G2:I2"/>
    <mergeCell ref="G3:I3"/>
    <mergeCell ref="A4:F4"/>
    <mergeCell ref="G4:I4"/>
  </mergeCells>
  <hyperlinks>
    <hyperlink display="- Cột G_Link with common function: Lựa chọn function common có sẵn nếu function của hệ thống mapping được với function common đã có, các data về time create/ review/ execute sẽ auto fill (người est có thể sử dụng hoàn toàn hoặc chỉnh sửa tùy theo spec của hệ thống)&#10;+ Có thể tham khảo testcase common đã viết, tùy theo độ phức tạp/ số component của function mà thay đổi hệ số tương ứng để ra effort cuối cùng&#10;+ Nếu không mapping được với function đã có thì điền trực tiếp time estimate vào cột I, J, K" location="null!G12:G" ref="B13"/>
    <hyperlink display="- Cột H_Coefficient: Hệ số được tính cho toàn bộ dự án ở sheet Appendix&#10;Tùy theo mức độ phức tạp về function mà QA có thể thay đổi hệ số tương ứng hoặc sử dụng default hệ số được tính&#10;Tổng effort của 1 function = (thời gian create + review + execute TCs+ verify bug + final) * hệ số Coefficient" location="null!H:H" ref="B14"/>
    <hyperlink display="- Từ complexity của 2 mục trên sẽ đánh giá Coefficient của dự án chi tiết ở sheet Appendix" location="null!A8:E13" ref="B22"/>
    <hyperlink display="- Gợi ý 1 số lựa chọn về scope test phù hợp với dự án ở mục 3" location="null!B43:AD48" ref="B23"/>
    <hyperlink display="Phụ lục bao gồm:&#10;- Lựa chọn coefficient cho dự án dựa trên các tiêu chí được mô tả ở sheet Criteria for project complexity level selection" location="null!A1" ref="B26"/>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1.75"/>
    <col customWidth="1" min="2" max="2" width="12.63"/>
    <col customWidth="1" min="3" max="4" width="18.88"/>
    <col customWidth="1" min="5" max="5" width="20.63"/>
    <col customWidth="1" min="6" max="6" width="18.88"/>
  </cols>
  <sheetData>
    <row r="1" ht="23.25" customHeight="1">
      <c r="A1" s="1"/>
      <c r="B1" s="2"/>
      <c r="C1" s="4" t="s">
        <v>0</v>
      </c>
      <c r="D1" s="2"/>
      <c r="E1" s="2"/>
      <c r="F1" s="2"/>
      <c r="G1" s="5" t="s">
        <v>2</v>
      </c>
      <c r="H1" s="2"/>
      <c r="I1" s="7"/>
    </row>
    <row r="2">
      <c r="A2" s="9"/>
      <c r="C2" s="9"/>
      <c r="G2" s="10" t="s">
        <v>3</v>
      </c>
      <c r="I2" s="11"/>
    </row>
    <row r="3">
      <c r="A3" s="9"/>
      <c r="C3" s="9"/>
      <c r="G3" s="13" t="s">
        <v>4</v>
      </c>
      <c r="H3" s="15"/>
      <c r="I3" s="14"/>
    </row>
    <row r="4">
      <c r="A4" s="17" t="s">
        <v>5</v>
      </c>
      <c r="B4" s="18"/>
      <c r="C4" s="18"/>
      <c r="D4" s="18"/>
      <c r="E4" s="18"/>
      <c r="F4" s="18"/>
      <c r="G4" s="21" t="s">
        <v>6</v>
      </c>
      <c r="H4" s="15"/>
      <c r="I4" s="14"/>
    </row>
    <row r="5">
      <c r="A5" s="28"/>
      <c r="B5" s="29"/>
      <c r="C5" s="29"/>
      <c r="D5" s="29"/>
      <c r="E5" s="29"/>
      <c r="F5" s="29"/>
      <c r="G5" s="29"/>
      <c r="H5" s="33"/>
      <c r="I5" s="35"/>
      <c r="J5" s="24"/>
      <c r="K5" s="24"/>
    </row>
    <row r="6">
      <c r="A6" s="38"/>
      <c r="B6" s="37"/>
      <c r="C6" s="37"/>
      <c r="D6" s="37"/>
      <c r="E6" s="37"/>
      <c r="F6" s="37"/>
      <c r="G6" s="37"/>
      <c r="H6" s="43"/>
      <c r="I6" s="46"/>
      <c r="J6" s="24"/>
      <c r="K6" s="24"/>
    </row>
    <row r="7">
      <c r="A7" s="49" t="s">
        <v>14</v>
      </c>
      <c r="B7" s="48"/>
      <c r="C7" s="48"/>
      <c r="D7" s="48"/>
      <c r="E7" s="48"/>
      <c r="F7" s="48"/>
      <c r="G7" s="48"/>
      <c r="H7" s="54"/>
      <c r="I7" s="56"/>
      <c r="J7" s="51"/>
      <c r="K7" s="51"/>
    </row>
    <row r="8">
      <c r="A8" s="57"/>
      <c r="B8" s="61" t="s">
        <v>20</v>
      </c>
      <c r="C8" s="63"/>
      <c r="D8" s="61" t="s">
        <v>24</v>
      </c>
      <c r="E8" s="63"/>
      <c r="F8" s="61" t="s">
        <v>26</v>
      </c>
      <c r="G8" s="63"/>
      <c r="H8" s="72"/>
      <c r="I8" s="56"/>
      <c r="J8" s="51"/>
      <c r="K8" s="51"/>
    </row>
    <row r="9">
      <c r="A9" s="57"/>
      <c r="B9" s="85">
        <f>'WBS Estimation_Test Cases Break'!J7</f>
        <v>29.1875</v>
      </c>
      <c r="C9" s="63"/>
      <c r="D9" s="85">
        <f>'WBS Estimation_Test Cases Break'!K7</f>
        <v>4.17</v>
      </c>
      <c r="E9" s="63"/>
      <c r="F9" s="85">
        <f>'WBS Estimation_Test Cases Break'!L7</f>
        <v>0.21</v>
      </c>
      <c r="G9" s="63"/>
      <c r="H9" s="94"/>
      <c r="I9" s="56"/>
      <c r="J9" s="51"/>
      <c r="K9" s="51"/>
    </row>
    <row r="10">
      <c r="A10" s="95"/>
      <c r="B10" s="97"/>
      <c r="C10" s="97"/>
      <c r="D10" s="97"/>
      <c r="E10" s="97"/>
      <c r="F10" s="97"/>
      <c r="G10" s="97"/>
      <c r="H10" s="98"/>
      <c r="I10" s="56"/>
      <c r="J10" s="51"/>
      <c r="K10" s="51"/>
    </row>
    <row r="11">
      <c r="A11" s="49"/>
      <c r="B11" s="97"/>
      <c r="C11" s="97"/>
      <c r="D11" s="97"/>
      <c r="E11" s="97"/>
      <c r="F11" s="97"/>
      <c r="G11" s="97"/>
      <c r="H11" s="98"/>
      <c r="I11" s="56"/>
      <c r="J11" s="51"/>
      <c r="K11" s="51"/>
    </row>
    <row r="12">
      <c r="A12" s="49" t="s">
        <v>43</v>
      </c>
      <c r="B12" s="98"/>
      <c r="C12" s="98"/>
      <c r="D12" s="98"/>
      <c r="E12" s="98"/>
      <c r="F12" s="98"/>
      <c r="G12" s="98"/>
      <c r="H12" s="98"/>
      <c r="I12" s="56"/>
      <c r="J12" s="51"/>
      <c r="K12" s="51"/>
    </row>
    <row r="13">
      <c r="A13" s="103"/>
      <c r="B13" s="105" t="s">
        <v>46</v>
      </c>
      <c r="C13" s="107"/>
      <c r="D13" s="109"/>
      <c r="E13" s="98"/>
      <c r="F13" s="98"/>
      <c r="G13" s="98"/>
      <c r="H13" s="98"/>
      <c r="I13" s="56"/>
      <c r="J13" s="51"/>
      <c r="K13" s="51"/>
    </row>
    <row r="14">
      <c r="A14" s="112" t="s">
        <v>48</v>
      </c>
      <c r="B14" s="113" t="s">
        <v>50</v>
      </c>
      <c r="C14" s="114"/>
      <c r="D14" s="116"/>
      <c r="E14" s="118"/>
      <c r="F14" s="118"/>
      <c r="G14" s="118"/>
      <c r="H14" s="118"/>
      <c r="I14" s="56"/>
      <c r="J14" s="51"/>
      <c r="K14" s="51"/>
    </row>
    <row r="15">
      <c r="A15" s="120"/>
      <c r="B15" s="122" t="s">
        <v>55</v>
      </c>
      <c r="C15" s="61" t="s">
        <v>58</v>
      </c>
      <c r="D15" s="63"/>
      <c r="E15" s="61" t="s">
        <v>60</v>
      </c>
      <c r="F15" s="63"/>
      <c r="G15" s="61" t="s">
        <v>61</v>
      </c>
      <c r="H15" s="63"/>
      <c r="I15" s="126"/>
      <c r="J15" s="51"/>
      <c r="K15" s="51"/>
    </row>
    <row r="16">
      <c r="A16" s="120"/>
      <c r="B16" s="128">
        <v>1.0</v>
      </c>
      <c r="C16" s="129"/>
      <c r="D16" s="63"/>
      <c r="E16" s="129"/>
      <c r="F16" s="63"/>
      <c r="G16" s="129"/>
      <c r="H16" s="63"/>
      <c r="I16" s="126"/>
      <c r="J16" s="51"/>
      <c r="K16" s="51"/>
    </row>
    <row r="17">
      <c r="A17" s="120"/>
      <c r="B17" s="128">
        <v>2.0</v>
      </c>
      <c r="C17" s="129"/>
      <c r="D17" s="63"/>
      <c r="E17" s="129"/>
      <c r="F17" s="63"/>
      <c r="G17" s="129"/>
      <c r="H17" s="63"/>
      <c r="I17" s="126"/>
      <c r="J17" s="51"/>
      <c r="K17" s="51"/>
    </row>
    <row r="18">
      <c r="A18" s="120"/>
      <c r="B18" s="128">
        <v>3.0</v>
      </c>
      <c r="C18" s="129"/>
      <c r="D18" s="63"/>
      <c r="E18" s="129"/>
      <c r="F18" s="63"/>
      <c r="G18" s="129"/>
      <c r="H18" s="63"/>
      <c r="I18" s="126"/>
      <c r="J18" s="51"/>
      <c r="K18" s="51"/>
    </row>
    <row r="19">
      <c r="A19" s="120"/>
      <c r="B19" s="128">
        <v>4.0</v>
      </c>
      <c r="C19" s="129"/>
      <c r="D19" s="63"/>
      <c r="E19" s="129"/>
      <c r="F19" s="63"/>
      <c r="G19" s="129"/>
      <c r="H19" s="63"/>
      <c r="I19" s="126"/>
      <c r="J19" s="51"/>
      <c r="K19" s="51"/>
    </row>
    <row r="20">
      <c r="A20" s="112"/>
      <c r="B20" s="134"/>
      <c r="C20" s="135"/>
      <c r="D20" s="137"/>
      <c r="E20" s="97"/>
      <c r="F20" s="97"/>
      <c r="G20" s="97"/>
      <c r="H20" s="97"/>
      <c r="I20" s="56"/>
      <c r="J20" s="51"/>
      <c r="K20" s="51"/>
    </row>
    <row r="21" ht="15.75" customHeight="1">
      <c r="A21" s="140"/>
      <c r="B21" s="141" t="s">
        <v>78</v>
      </c>
      <c r="C21" s="141"/>
      <c r="D21" s="141"/>
      <c r="E21" s="141"/>
      <c r="F21" s="141"/>
      <c r="G21" s="141"/>
      <c r="H21" s="141"/>
      <c r="I21" s="56"/>
      <c r="J21" s="51"/>
      <c r="K21" s="51"/>
    </row>
    <row r="22" ht="15.75" customHeight="1">
      <c r="A22" s="144"/>
      <c r="B22" s="122" t="s">
        <v>55</v>
      </c>
      <c r="C22" s="145" t="s">
        <v>79</v>
      </c>
      <c r="D22" s="145" t="s">
        <v>80</v>
      </c>
      <c r="E22" s="145" t="s">
        <v>81</v>
      </c>
      <c r="F22" s="145" t="s">
        <v>82</v>
      </c>
      <c r="G22" s="61" t="s">
        <v>61</v>
      </c>
      <c r="H22" s="63"/>
      <c r="I22" s="126"/>
      <c r="J22" s="51"/>
      <c r="K22" s="51"/>
    </row>
    <row r="23" ht="15.75" customHeight="1">
      <c r="A23" s="144"/>
      <c r="B23" s="128">
        <v>1.0</v>
      </c>
      <c r="C23" s="147" t="s">
        <v>83</v>
      </c>
      <c r="D23" s="147" t="s">
        <v>84</v>
      </c>
      <c r="E23" s="147" t="s">
        <v>84</v>
      </c>
      <c r="F23" s="147" t="s">
        <v>84</v>
      </c>
      <c r="G23" s="129"/>
      <c r="H23" s="63"/>
      <c r="I23" s="126"/>
      <c r="J23" s="51"/>
      <c r="K23" s="51"/>
    </row>
    <row r="24" ht="15.75" customHeight="1">
      <c r="A24" s="144"/>
      <c r="B24" s="128">
        <v>2.0</v>
      </c>
      <c r="C24" s="147" t="s">
        <v>86</v>
      </c>
      <c r="D24" s="147" t="s">
        <v>84</v>
      </c>
      <c r="E24" s="147" t="s">
        <v>84</v>
      </c>
      <c r="F24" s="147" t="s">
        <v>84</v>
      </c>
      <c r="G24" s="129"/>
      <c r="H24" s="63"/>
      <c r="I24" s="126"/>
      <c r="J24" s="51"/>
      <c r="K24" s="51"/>
    </row>
    <row r="25" ht="15.75" customHeight="1">
      <c r="A25" s="144"/>
      <c r="B25" s="128">
        <v>3.0</v>
      </c>
      <c r="C25" s="147" t="s">
        <v>87</v>
      </c>
      <c r="D25" s="147" t="s">
        <v>84</v>
      </c>
      <c r="E25" s="147" t="s">
        <v>84</v>
      </c>
      <c r="F25" s="147" t="s">
        <v>84</v>
      </c>
      <c r="G25" s="129"/>
      <c r="H25" s="63"/>
      <c r="I25" s="126"/>
      <c r="J25" s="51"/>
      <c r="K25" s="51"/>
    </row>
    <row r="26" ht="15.75" customHeight="1">
      <c r="A26" s="144"/>
      <c r="B26" s="128">
        <v>4.0</v>
      </c>
      <c r="C26" s="147" t="s">
        <v>88</v>
      </c>
      <c r="D26" s="147" t="s">
        <v>84</v>
      </c>
      <c r="E26" s="147" t="s">
        <v>84</v>
      </c>
      <c r="F26" s="147" t="s">
        <v>84</v>
      </c>
      <c r="G26" s="129"/>
      <c r="H26" s="63"/>
      <c r="I26" s="126"/>
      <c r="J26" s="51"/>
      <c r="K26" s="51"/>
    </row>
    <row r="27" ht="15.75" customHeight="1">
      <c r="A27" s="112"/>
      <c r="B27" s="134"/>
      <c r="C27" s="135"/>
      <c r="D27" s="137"/>
      <c r="E27" s="134"/>
      <c r="F27" s="97"/>
      <c r="G27" s="97"/>
      <c r="H27" s="97"/>
      <c r="I27" s="56"/>
      <c r="J27" s="51"/>
      <c r="K27" s="51"/>
    </row>
    <row r="28" ht="15.75" customHeight="1">
      <c r="A28" s="103"/>
      <c r="B28" s="105" t="s">
        <v>90</v>
      </c>
      <c r="C28" s="107"/>
      <c r="D28" s="109"/>
      <c r="E28" s="158"/>
      <c r="F28" s="98"/>
      <c r="G28" s="98"/>
      <c r="H28" s="98"/>
      <c r="I28" s="56"/>
      <c r="J28" s="51"/>
      <c r="K28" s="51"/>
    </row>
    <row r="29" ht="15.75" customHeight="1">
      <c r="A29" s="112"/>
      <c r="B29" s="113" t="s">
        <v>92</v>
      </c>
      <c r="C29" s="114"/>
      <c r="D29" s="116"/>
      <c r="E29" s="141"/>
      <c r="F29" s="118"/>
      <c r="G29" s="118"/>
      <c r="H29" s="118"/>
      <c r="I29" s="56"/>
      <c r="J29" s="51"/>
      <c r="K29" s="51"/>
    </row>
    <row r="30" ht="15.75" customHeight="1">
      <c r="A30" s="120"/>
      <c r="B30" s="145" t="s">
        <v>55</v>
      </c>
      <c r="C30" s="61" t="s">
        <v>58</v>
      </c>
      <c r="D30" s="63"/>
      <c r="E30" s="61" t="s">
        <v>60</v>
      </c>
      <c r="F30" s="63"/>
      <c r="G30" s="61" t="s">
        <v>61</v>
      </c>
      <c r="H30" s="63"/>
      <c r="I30" s="126"/>
      <c r="J30" s="51"/>
      <c r="K30" s="51"/>
    </row>
    <row r="31" ht="15.75" customHeight="1">
      <c r="A31" s="120"/>
      <c r="B31" s="128">
        <v>1.0</v>
      </c>
      <c r="C31" s="165"/>
      <c r="D31" s="63"/>
      <c r="E31" s="129"/>
      <c r="F31" s="63"/>
      <c r="G31" s="129"/>
      <c r="H31" s="63"/>
      <c r="I31" s="126"/>
      <c r="J31" s="51"/>
      <c r="K31" s="51"/>
    </row>
    <row r="32" ht="15.75" customHeight="1">
      <c r="A32" s="120"/>
      <c r="B32" s="128">
        <v>2.0</v>
      </c>
      <c r="C32" s="165"/>
      <c r="D32" s="63"/>
      <c r="E32" s="129"/>
      <c r="F32" s="63"/>
      <c r="G32" s="129"/>
      <c r="H32" s="63"/>
      <c r="I32" s="126"/>
      <c r="J32" s="51"/>
      <c r="K32" s="51"/>
    </row>
    <row r="33" ht="15.75" customHeight="1">
      <c r="A33" s="120"/>
      <c r="B33" s="128">
        <v>3.0</v>
      </c>
      <c r="C33" s="165"/>
      <c r="D33" s="63"/>
      <c r="E33" s="129"/>
      <c r="F33" s="63"/>
      <c r="G33" s="129"/>
      <c r="H33" s="63"/>
      <c r="I33" s="126"/>
      <c r="J33" s="51"/>
      <c r="K33" s="51"/>
    </row>
    <row r="34" ht="15.75" customHeight="1">
      <c r="A34" s="144"/>
      <c r="B34" s="128">
        <v>4.0</v>
      </c>
      <c r="C34" s="165"/>
      <c r="D34" s="63"/>
      <c r="E34" s="129"/>
      <c r="F34" s="63"/>
      <c r="G34" s="129"/>
      <c r="H34" s="63"/>
      <c r="I34" s="126"/>
      <c r="J34" s="51"/>
      <c r="K34" s="51"/>
    </row>
    <row r="35" ht="15.75" customHeight="1">
      <c r="A35" s="140"/>
      <c r="B35" s="170"/>
      <c r="C35" s="170"/>
      <c r="D35" s="170"/>
      <c r="E35" s="170"/>
      <c r="F35" s="97"/>
      <c r="G35" s="97"/>
      <c r="H35" s="97"/>
      <c r="I35" s="56"/>
      <c r="J35" s="51"/>
      <c r="K35" s="51"/>
    </row>
    <row r="36" ht="15.75" customHeight="1">
      <c r="A36" s="49"/>
      <c r="B36" s="171"/>
      <c r="C36" s="171"/>
      <c r="D36" s="171"/>
      <c r="E36" s="171"/>
      <c r="F36" s="172"/>
      <c r="G36" s="172"/>
      <c r="H36" s="172"/>
      <c r="I36" s="56"/>
      <c r="J36" s="51"/>
      <c r="K36" s="51"/>
    </row>
    <row r="37" ht="15.75" customHeight="1">
      <c r="A37" s="49" t="s">
        <v>93</v>
      </c>
      <c r="B37" s="141"/>
      <c r="C37" s="141"/>
      <c r="D37" s="141"/>
      <c r="E37" s="141"/>
      <c r="F37" s="118"/>
      <c r="G37" s="118"/>
      <c r="H37" s="118"/>
      <c r="I37" s="56"/>
      <c r="J37" s="51"/>
      <c r="K37" s="51"/>
    </row>
    <row r="38" ht="15.75" customHeight="1">
      <c r="A38" s="144"/>
      <c r="B38" s="145" t="s">
        <v>55</v>
      </c>
      <c r="C38" s="61" t="s">
        <v>58</v>
      </c>
      <c r="D38" s="63"/>
      <c r="E38" s="61" t="s">
        <v>94</v>
      </c>
      <c r="F38" s="63"/>
      <c r="G38" s="61" t="s">
        <v>61</v>
      </c>
      <c r="H38" s="63"/>
      <c r="I38" s="126"/>
      <c r="J38" s="51"/>
      <c r="K38" s="51"/>
    </row>
    <row r="39" ht="15.75" customHeight="1">
      <c r="A39" s="144"/>
      <c r="B39" s="128">
        <v>1.0</v>
      </c>
      <c r="C39" s="176" t="s">
        <v>95</v>
      </c>
      <c r="D39" s="63"/>
      <c r="E39" s="129" t="s">
        <v>97</v>
      </c>
      <c r="F39" s="63"/>
      <c r="G39" s="129"/>
      <c r="H39" s="63"/>
      <c r="I39" s="126"/>
      <c r="J39" s="51"/>
      <c r="K39" s="51"/>
    </row>
    <row r="40" ht="15.75" customHeight="1">
      <c r="A40" s="144"/>
      <c r="B40" s="128">
        <v>2.0</v>
      </c>
      <c r="C40" s="176" t="s">
        <v>98</v>
      </c>
      <c r="D40" s="63"/>
      <c r="E40" s="129" t="s">
        <v>100</v>
      </c>
      <c r="F40" s="63"/>
      <c r="G40" s="129"/>
      <c r="H40" s="63"/>
      <c r="I40" s="126"/>
      <c r="J40" s="51"/>
      <c r="K40" s="51"/>
    </row>
    <row r="41" ht="15.75" customHeight="1">
      <c r="A41" s="144"/>
      <c r="B41" s="128">
        <v>3.0</v>
      </c>
      <c r="C41" s="176" t="s">
        <v>101</v>
      </c>
      <c r="D41" s="63"/>
      <c r="E41" s="129" t="s">
        <v>100</v>
      </c>
      <c r="F41" s="63"/>
      <c r="G41" s="129"/>
      <c r="H41" s="63"/>
      <c r="I41" s="126"/>
      <c r="J41" s="51"/>
      <c r="K41" s="51"/>
    </row>
    <row r="42" ht="15.75" customHeight="1">
      <c r="A42" s="144"/>
      <c r="B42" s="128">
        <v>4.0</v>
      </c>
      <c r="C42" s="176" t="s">
        <v>104</v>
      </c>
      <c r="D42" s="63"/>
      <c r="E42" s="129" t="s">
        <v>97</v>
      </c>
      <c r="F42" s="63"/>
      <c r="G42" s="129"/>
      <c r="H42" s="63"/>
      <c r="I42" s="126"/>
      <c r="J42" s="51"/>
      <c r="K42" s="51"/>
    </row>
    <row r="43" ht="15.75" customHeight="1">
      <c r="A43" s="144"/>
      <c r="B43" s="128">
        <v>5.0</v>
      </c>
      <c r="C43" s="176" t="s">
        <v>106</v>
      </c>
      <c r="D43" s="63"/>
      <c r="E43" s="129" t="s">
        <v>100</v>
      </c>
      <c r="F43" s="63"/>
      <c r="G43" s="129"/>
      <c r="H43" s="63"/>
      <c r="I43" s="126"/>
      <c r="J43" s="51"/>
      <c r="K43" s="51"/>
    </row>
    <row r="44" ht="15.75" customHeight="1">
      <c r="A44" s="144"/>
      <c r="B44" s="128">
        <v>6.0</v>
      </c>
      <c r="C44" s="176" t="s">
        <v>107</v>
      </c>
      <c r="D44" s="63"/>
      <c r="E44" s="129" t="s">
        <v>100</v>
      </c>
      <c r="F44" s="63"/>
      <c r="G44" s="129"/>
      <c r="H44" s="63"/>
      <c r="I44" s="126"/>
      <c r="J44" s="51"/>
      <c r="K44" s="51"/>
    </row>
    <row r="45" ht="15.75" customHeight="1">
      <c r="A45" s="144"/>
      <c r="B45" s="128">
        <v>7.0</v>
      </c>
      <c r="C45" s="176" t="s">
        <v>109</v>
      </c>
      <c r="D45" s="63"/>
      <c r="E45" s="129" t="s">
        <v>84</v>
      </c>
      <c r="F45" s="63"/>
      <c r="G45" s="129"/>
      <c r="H45" s="63"/>
      <c r="I45" s="126"/>
      <c r="J45" s="51"/>
      <c r="K45" s="51"/>
    </row>
    <row r="46" ht="15.75" customHeight="1">
      <c r="A46" s="144"/>
      <c r="B46" s="128">
        <v>8.0</v>
      </c>
      <c r="C46" s="176" t="s">
        <v>110</v>
      </c>
      <c r="D46" s="63"/>
      <c r="E46" s="129" t="s">
        <v>84</v>
      </c>
      <c r="F46" s="63"/>
      <c r="G46" s="129"/>
      <c r="H46" s="63"/>
      <c r="I46" s="126"/>
      <c r="J46" s="51"/>
      <c r="K46" s="51"/>
    </row>
    <row r="47" ht="15.75" customHeight="1">
      <c r="A47" s="144"/>
      <c r="B47" s="128">
        <v>9.0</v>
      </c>
      <c r="C47" s="176" t="s">
        <v>112</v>
      </c>
      <c r="D47" s="63"/>
      <c r="E47" s="129" t="s">
        <v>84</v>
      </c>
      <c r="F47" s="63"/>
      <c r="G47" s="129"/>
      <c r="H47" s="63"/>
      <c r="I47" s="126"/>
      <c r="J47" s="51"/>
      <c r="K47" s="51"/>
    </row>
    <row r="48" ht="15.75" customHeight="1">
      <c r="A48" s="140"/>
      <c r="B48" s="170"/>
      <c r="C48" s="170"/>
      <c r="D48" s="170"/>
      <c r="E48" s="170"/>
      <c r="F48" s="170"/>
      <c r="G48" s="170"/>
      <c r="H48" s="170"/>
      <c r="I48" s="56"/>
      <c r="J48" s="51"/>
      <c r="K48" s="51"/>
    </row>
    <row r="49" ht="15.75" customHeight="1">
      <c r="A49" s="181"/>
      <c r="B49" s="182"/>
      <c r="C49" s="182"/>
      <c r="D49" s="182"/>
      <c r="E49" s="182"/>
      <c r="F49" s="182"/>
      <c r="G49" s="182"/>
      <c r="H49" s="183"/>
      <c r="I49" s="184"/>
      <c r="J49" s="180"/>
      <c r="K49" s="180"/>
    </row>
    <row r="50" ht="15.75" customHeight="1">
      <c r="A50" s="185" t="s">
        <v>114</v>
      </c>
      <c r="B50" s="116"/>
      <c r="C50" s="116"/>
      <c r="D50" s="116"/>
      <c r="E50" s="116"/>
      <c r="F50" s="116"/>
      <c r="G50" s="116"/>
      <c r="H50" s="113"/>
      <c r="I50" s="184"/>
      <c r="J50" s="180"/>
      <c r="K50" s="180"/>
    </row>
    <row r="51" ht="15.75" customHeight="1">
      <c r="A51" s="120"/>
      <c r="B51" s="145" t="s">
        <v>55</v>
      </c>
      <c r="C51" s="61" t="s">
        <v>115</v>
      </c>
      <c r="D51" s="186"/>
      <c r="E51" s="186"/>
      <c r="F51" s="186"/>
      <c r="G51" s="186"/>
      <c r="H51" s="63"/>
      <c r="I51" s="188"/>
      <c r="J51" s="180"/>
      <c r="K51" s="180"/>
    </row>
    <row r="52" ht="15.75" customHeight="1">
      <c r="A52" s="120"/>
      <c r="B52" s="128">
        <v>1.0</v>
      </c>
      <c r="C52" s="189" t="s">
        <v>116</v>
      </c>
      <c r="D52" s="186"/>
      <c r="E52" s="186"/>
      <c r="F52" s="186"/>
      <c r="G52" s="186"/>
      <c r="H52" s="63"/>
      <c r="I52" s="188"/>
      <c r="J52" s="180"/>
      <c r="K52" s="180"/>
    </row>
    <row r="53" ht="15.75" customHeight="1">
      <c r="A53" s="120"/>
      <c r="B53" s="128">
        <v>2.0</v>
      </c>
      <c r="C53" s="189" t="s">
        <v>117</v>
      </c>
      <c r="D53" s="186"/>
      <c r="E53" s="186"/>
      <c r="F53" s="186"/>
      <c r="G53" s="186"/>
      <c r="H53" s="63"/>
      <c r="I53" s="188"/>
      <c r="J53" s="180"/>
      <c r="K53" s="180"/>
    </row>
    <row r="54" ht="15.75" customHeight="1">
      <c r="A54" s="120"/>
      <c r="B54" s="128">
        <v>3.0</v>
      </c>
      <c r="C54" s="189" t="s">
        <v>118</v>
      </c>
      <c r="D54" s="186"/>
      <c r="E54" s="186"/>
      <c r="F54" s="186"/>
      <c r="G54" s="186"/>
      <c r="H54" s="63"/>
      <c r="I54" s="188"/>
      <c r="J54" s="180"/>
      <c r="K54" s="180"/>
    </row>
    <row r="55" ht="15.75" customHeight="1">
      <c r="A55" s="181"/>
      <c r="B55" s="128">
        <v>4.0</v>
      </c>
      <c r="C55" s="189"/>
      <c r="D55" s="186"/>
      <c r="E55" s="186"/>
      <c r="F55" s="186"/>
      <c r="G55" s="186"/>
      <c r="H55" s="63"/>
      <c r="I55" s="184"/>
      <c r="J55" s="180"/>
      <c r="K55" s="180"/>
    </row>
    <row r="56" ht="15.75" customHeight="1">
      <c r="A56" s="181"/>
      <c r="B56" s="182"/>
      <c r="C56" s="182"/>
      <c r="D56" s="182"/>
      <c r="E56" s="182"/>
      <c r="F56" s="182"/>
      <c r="G56" s="182"/>
      <c r="H56" s="183"/>
      <c r="I56" s="184"/>
      <c r="J56" s="180"/>
      <c r="K56" s="180"/>
    </row>
    <row r="57" ht="15.75" customHeight="1">
      <c r="A57" s="181"/>
      <c r="B57" s="182"/>
      <c r="C57" s="182"/>
      <c r="D57" s="182"/>
      <c r="E57" s="182"/>
      <c r="F57" s="182"/>
      <c r="G57" s="182"/>
      <c r="H57" s="183"/>
      <c r="I57" s="184"/>
      <c r="J57" s="180"/>
      <c r="K57" s="180"/>
    </row>
    <row r="58" ht="15.75" customHeight="1">
      <c r="A58" s="191"/>
      <c r="B58" s="193"/>
      <c r="C58" s="193"/>
      <c r="D58" s="193"/>
      <c r="E58" s="193"/>
      <c r="F58" s="193"/>
      <c r="G58" s="193"/>
      <c r="H58" s="195"/>
      <c r="I58" s="196"/>
      <c r="J58" s="180"/>
      <c r="K58" s="180"/>
    </row>
    <row r="59" ht="15.75" customHeight="1">
      <c r="A59" s="198"/>
      <c r="B59" s="199"/>
      <c r="C59" s="199"/>
      <c r="D59" s="199"/>
      <c r="E59" s="199"/>
      <c r="F59" s="199"/>
      <c r="G59" s="199"/>
      <c r="H59" s="198"/>
      <c r="I59" s="198"/>
      <c r="J59" s="202"/>
      <c r="K59" s="202"/>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3">
    <mergeCell ref="E32:F32"/>
    <mergeCell ref="G32:H32"/>
    <mergeCell ref="C30:D30"/>
    <mergeCell ref="E30:F30"/>
    <mergeCell ref="G30:H30"/>
    <mergeCell ref="C31:D31"/>
    <mergeCell ref="E31:F31"/>
    <mergeCell ref="G31:H31"/>
    <mergeCell ref="C32:D32"/>
    <mergeCell ref="E38:F38"/>
    <mergeCell ref="G38:H38"/>
    <mergeCell ref="C33:D33"/>
    <mergeCell ref="E33:F33"/>
    <mergeCell ref="G33:H33"/>
    <mergeCell ref="C34:D34"/>
    <mergeCell ref="E34:F34"/>
    <mergeCell ref="G34:H34"/>
    <mergeCell ref="C38:D38"/>
    <mergeCell ref="E41:F41"/>
    <mergeCell ref="G41:H41"/>
    <mergeCell ref="C39:D39"/>
    <mergeCell ref="E39:F39"/>
    <mergeCell ref="G39:H39"/>
    <mergeCell ref="C40:D40"/>
    <mergeCell ref="E40:F40"/>
    <mergeCell ref="G40:H40"/>
    <mergeCell ref="C41:D41"/>
    <mergeCell ref="E44:F44"/>
    <mergeCell ref="G44:H44"/>
    <mergeCell ref="C42:D42"/>
    <mergeCell ref="E42:F42"/>
    <mergeCell ref="G42:H42"/>
    <mergeCell ref="C43:D43"/>
    <mergeCell ref="E43:F43"/>
    <mergeCell ref="G43:H43"/>
    <mergeCell ref="C44:D44"/>
    <mergeCell ref="E47:F47"/>
    <mergeCell ref="G47:H47"/>
    <mergeCell ref="C45:D45"/>
    <mergeCell ref="E45:F45"/>
    <mergeCell ref="G45:H45"/>
    <mergeCell ref="C46:D46"/>
    <mergeCell ref="E46:F46"/>
    <mergeCell ref="G46:H46"/>
    <mergeCell ref="C47:D47"/>
    <mergeCell ref="A1:B3"/>
    <mergeCell ref="C1:F3"/>
    <mergeCell ref="G1:I1"/>
    <mergeCell ref="G2:I2"/>
    <mergeCell ref="G3:I3"/>
    <mergeCell ref="A4:F4"/>
    <mergeCell ref="G4:I4"/>
    <mergeCell ref="E15:F15"/>
    <mergeCell ref="G15:H15"/>
    <mergeCell ref="B8:C8"/>
    <mergeCell ref="D8:E8"/>
    <mergeCell ref="F8:G8"/>
    <mergeCell ref="B9:C9"/>
    <mergeCell ref="D9:E9"/>
    <mergeCell ref="F9:G9"/>
    <mergeCell ref="C15:D15"/>
    <mergeCell ref="C19:D19"/>
    <mergeCell ref="E19:F19"/>
    <mergeCell ref="G19:H19"/>
    <mergeCell ref="C16:D16"/>
    <mergeCell ref="E16:F16"/>
    <mergeCell ref="G16:H16"/>
    <mergeCell ref="C17:D17"/>
    <mergeCell ref="E17:F17"/>
    <mergeCell ref="G17:H17"/>
    <mergeCell ref="C18:D18"/>
    <mergeCell ref="E18:F18"/>
    <mergeCell ref="G18:H18"/>
    <mergeCell ref="G22:H22"/>
    <mergeCell ref="G23:H23"/>
    <mergeCell ref="G24:H24"/>
    <mergeCell ref="G25:H25"/>
    <mergeCell ref="G26:H26"/>
    <mergeCell ref="C51:H51"/>
    <mergeCell ref="C52:H52"/>
    <mergeCell ref="C53:H53"/>
    <mergeCell ref="C54:H54"/>
    <mergeCell ref="C55:H55"/>
  </mergeCells>
  <dataValidations>
    <dataValidation type="list" allowBlank="1" sqref="E39:E47">
      <formula1>"-,Y,N"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1.0" topLeftCell="A12" activePane="bottomLeft" state="frozen"/>
      <selection activeCell="B13" sqref="B13" pane="bottomLeft"/>
    </sheetView>
  </sheetViews>
  <sheetFormatPr customHeight="1" defaultColWidth="12.63" defaultRowHeight="15.0"/>
  <cols>
    <col customWidth="1" min="1" max="1" width="3.88"/>
    <col customWidth="1" min="2" max="2" width="12.75"/>
    <col customWidth="1" min="3" max="3" width="13.25"/>
    <col customWidth="1" min="4" max="4" width="14.25"/>
    <col customWidth="1" min="5" max="5" width="15.5"/>
    <col customWidth="1" min="6" max="7" width="21.38"/>
    <col customWidth="1" min="8" max="8" width="11.88"/>
    <col customWidth="1" min="9" max="14" width="18.5"/>
    <col customWidth="1" min="15" max="15" width="28.75"/>
  </cols>
  <sheetData>
    <row r="1" ht="15.0" customHeight="1">
      <c r="A1" s="1"/>
      <c r="B1" s="2"/>
      <c r="C1" s="2"/>
      <c r="D1" s="3" t="s">
        <v>0</v>
      </c>
      <c r="E1" s="2"/>
      <c r="F1" s="2"/>
      <c r="G1" s="2"/>
      <c r="H1" s="2"/>
      <c r="I1" s="2"/>
      <c r="J1" s="2"/>
      <c r="K1" s="2"/>
      <c r="L1" s="2"/>
      <c r="M1" s="2"/>
      <c r="N1" s="6" t="s">
        <v>2</v>
      </c>
      <c r="O1" s="7"/>
      <c r="P1" s="8"/>
      <c r="Q1" s="8"/>
      <c r="R1" s="8"/>
      <c r="S1" s="8"/>
      <c r="T1" s="8"/>
      <c r="U1" s="8"/>
      <c r="V1" s="8"/>
      <c r="W1" s="8"/>
      <c r="X1" s="8"/>
      <c r="Y1" s="8"/>
      <c r="Z1" s="8"/>
      <c r="AA1" s="8"/>
      <c r="AB1" s="8"/>
      <c r="AC1" s="8"/>
    </row>
    <row r="2" ht="15.0" customHeight="1">
      <c r="A2" s="9"/>
      <c r="D2" s="9"/>
      <c r="N2" s="12" t="s">
        <v>3</v>
      </c>
      <c r="O2" s="11"/>
      <c r="P2" s="8"/>
      <c r="Q2" s="8"/>
      <c r="R2" s="8"/>
      <c r="S2" s="8"/>
      <c r="T2" s="8"/>
      <c r="U2" s="8"/>
      <c r="V2" s="8"/>
      <c r="W2" s="8"/>
      <c r="X2" s="8"/>
      <c r="Y2" s="8"/>
      <c r="Z2" s="8"/>
      <c r="AA2" s="8"/>
      <c r="AB2" s="8"/>
      <c r="AC2" s="8"/>
    </row>
    <row r="3" ht="15.0" customHeight="1">
      <c r="A3" s="9"/>
      <c r="D3" s="9"/>
      <c r="N3" s="16" t="s">
        <v>4</v>
      </c>
      <c r="O3" s="14"/>
      <c r="P3" s="8"/>
      <c r="Q3" s="8"/>
      <c r="R3" s="8"/>
      <c r="S3" s="8"/>
      <c r="T3" s="8"/>
      <c r="U3" s="8"/>
      <c r="V3" s="8"/>
      <c r="W3" s="8"/>
      <c r="X3" s="8"/>
      <c r="Y3" s="8"/>
      <c r="Z3" s="8"/>
      <c r="AA3" s="8"/>
      <c r="AB3" s="8"/>
      <c r="AC3" s="8"/>
    </row>
    <row r="4" ht="15.75" customHeight="1">
      <c r="A4" s="17" t="s">
        <v>5</v>
      </c>
      <c r="B4" s="20"/>
      <c r="C4" s="20"/>
      <c r="D4" s="20"/>
      <c r="E4" s="20"/>
      <c r="F4" s="20"/>
      <c r="G4" s="20"/>
      <c r="H4" s="20"/>
      <c r="I4" s="26"/>
      <c r="J4" s="26"/>
      <c r="K4" s="26"/>
      <c r="L4" s="26"/>
      <c r="M4" s="26"/>
      <c r="N4" s="34" t="s">
        <v>6</v>
      </c>
      <c r="O4" s="19"/>
      <c r="P4" s="8"/>
      <c r="Q4" s="8"/>
      <c r="R4" s="8"/>
      <c r="S4" s="8"/>
      <c r="T4" s="8"/>
      <c r="U4" s="8"/>
      <c r="V4" s="8"/>
      <c r="W4" s="8"/>
      <c r="X4" s="8"/>
      <c r="Y4" s="8"/>
      <c r="Z4" s="8"/>
      <c r="AA4" s="8"/>
      <c r="AB4" s="8"/>
      <c r="AC4" s="8"/>
    </row>
    <row r="5" ht="9.0" customHeight="1">
      <c r="A5" s="41"/>
      <c r="B5" s="41"/>
      <c r="C5" s="41"/>
      <c r="D5" s="41"/>
      <c r="E5" s="41"/>
      <c r="F5" s="41"/>
      <c r="G5" s="41"/>
      <c r="H5" s="41"/>
      <c r="I5" s="47"/>
      <c r="J5" s="47"/>
      <c r="K5" s="47"/>
      <c r="L5" s="47"/>
      <c r="M5" s="47"/>
      <c r="N5" s="47"/>
      <c r="O5" s="53"/>
      <c r="P5" s="8"/>
      <c r="Q5" s="8"/>
      <c r="R5" s="8"/>
      <c r="S5" s="8"/>
      <c r="T5" s="8"/>
      <c r="U5" s="8"/>
      <c r="V5" s="8"/>
      <c r="W5" s="8"/>
      <c r="X5" s="8"/>
      <c r="Y5" s="8"/>
      <c r="Z5" s="8"/>
      <c r="AA5" s="8"/>
      <c r="AB5" s="8"/>
      <c r="AC5" s="8"/>
    </row>
    <row r="6" ht="38.25" customHeight="1">
      <c r="A6" s="58" t="s">
        <v>17</v>
      </c>
      <c r="B6" s="60"/>
      <c r="C6" s="66"/>
      <c r="D6" s="67"/>
      <c r="E6" s="67"/>
      <c r="F6" s="60"/>
      <c r="G6" s="68"/>
      <c r="H6" s="69"/>
      <c r="I6" s="71"/>
      <c r="J6" s="74" t="s">
        <v>29</v>
      </c>
      <c r="K6" s="74" t="s">
        <v>30</v>
      </c>
      <c r="L6" s="74" t="s">
        <v>31</v>
      </c>
      <c r="M6" s="75"/>
      <c r="N6" s="75"/>
      <c r="O6" s="76"/>
      <c r="P6" s="8"/>
      <c r="Q6" s="8"/>
      <c r="R6" s="8"/>
      <c r="S6" s="8"/>
      <c r="T6" s="8"/>
      <c r="U6" s="8"/>
      <c r="V6" s="8"/>
      <c r="W6" s="8"/>
      <c r="X6" s="8"/>
      <c r="Y6" s="8"/>
      <c r="Z6" s="8"/>
      <c r="AA6" s="8"/>
      <c r="AB6" s="8"/>
      <c r="AC6" s="8"/>
    </row>
    <row r="7" ht="15.75" customHeight="1">
      <c r="A7" s="58" t="s">
        <v>32</v>
      </c>
      <c r="B7" s="60"/>
      <c r="C7" s="79"/>
      <c r="D7" s="80"/>
      <c r="E7" s="81" t="s">
        <v>33</v>
      </c>
      <c r="F7" s="83" t="s">
        <v>34</v>
      </c>
      <c r="G7" s="84"/>
      <c r="H7" s="69"/>
      <c r="I7" s="86" t="s">
        <v>35</v>
      </c>
      <c r="J7" s="86">
        <f>N10</f>
        <v>29.1875</v>
      </c>
      <c r="K7" s="86">
        <f>round(J7/Appendix!B22,2)</f>
        <v>4.17</v>
      </c>
      <c r="L7" s="86">
        <f>round(K7/20,2)</f>
        <v>0.21</v>
      </c>
      <c r="M7" s="75"/>
      <c r="N7" s="75"/>
      <c r="O7" s="76"/>
      <c r="P7" s="8"/>
      <c r="Q7" s="8"/>
      <c r="R7" s="8"/>
      <c r="S7" s="8"/>
      <c r="T7" s="8"/>
      <c r="U7" s="8"/>
      <c r="V7" s="8"/>
      <c r="W7" s="8"/>
      <c r="X7" s="8"/>
      <c r="Y7" s="8"/>
      <c r="Z7" s="8"/>
      <c r="AA7" s="8"/>
      <c r="AB7" s="8"/>
      <c r="AC7" s="8"/>
    </row>
    <row r="8" ht="15.75" customHeight="1">
      <c r="A8" s="58" t="s">
        <v>44</v>
      </c>
      <c r="B8" s="60"/>
      <c r="C8" s="66"/>
      <c r="D8" s="104"/>
      <c r="E8" s="108" t="s">
        <v>33</v>
      </c>
      <c r="F8" s="110" t="s">
        <v>34</v>
      </c>
      <c r="G8" s="84"/>
      <c r="H8" s="69"/>
      <c r="I8" s="111"/>
      <c r="J8" s="111"/>
      <c r="K8" s="111"/>
      <c r="L8" s="111"/>
      <c r="M8" s="111"/>
      <c r="N8" s="111"/>
      <c r="O8" s="76"/>
      <c r="P8" s="8"/>
      <c r="Q8" s="8"/>
      <c r="R8" s="8"/>
      <c r="S8" s="8"/>
      <c r="T8" s="8"/>
      <c r="U8" s="8"/>
      <c r="V8" s="8"/>
      <c r="W8" s="8"/>
      <c r="X8" s="8"/>
      <c r="Y8" s="8"/>
      <c r="Z8" s="8"/>
      <c r="AA8" s="8"/>
      <c r="AB8" s="8"/>
      <c r="AC8" s="8"/>
    </row>
    <row r="9" ht="9.75" customHeight="1">
      <c r="A9" s="115"/>
      <c r="B9" s="115"/>
      <c r="C9" s="117"/>
      <c r="D9" s="117"/>
      <c r="E9" s="117"/>
      <c r="F9" s="117"/>
      <c r="G9" s="117"/>
      <c r="H9" s="117"/>
      <c r="I9" s="119"/>
      <c r="J9" s="119"/>
      <c r="K9" s="119"/>
      <c r="L9" s="119"/>
      <c r="M9" s="119"/>
      <c r="N9" s="119"/>
      <c r="O9" s="121"/>
      <c r="P9" s="8"/>
      <c r="Q9" s="8"/>
      <c r="R9" s="8"/>
      <c r="S9" s="8"/>
      <c r="T9" s="8"/>
      <c r="U9" s="8"/>
      <c r="V9" s="8"/>
      <c r="W9" s="8"/>
      <c r="X9" s="8"/>
      <c r="Y9" s="8"/>
      <c r="Z9" s="8"/>
      <c r="AA9" s="8"/>
      <c r="AB9" s="8"/>
      <c r="AC9" s="8"/>
    </row>
    <row r="10">
      <c r="A10" s="123" t="s">
        <v>59</v>
      </c>
      <c r="B10" s="124"/>
      <c r="C10" s="124"/>
      <c r="D10" s="124"/>
      <c r="E10" s="124"/>
      <c r="F10" s="124"/>
      <c r="G10" s="124"/>
      <c r="H10" s="125"/>
      <c r="I10" s="127">
        <f t="shared" ref="I10:N10" si="1">SUM(I12:I1022)</f>
        <v>11.5</v>
      </c>
      <c r="J10" s="127">
        <f t="shared" si="1"/>
        <v>0</v>
      </c>
      <c r="K10" s="127">
        <f t="shared" si="1"/>
        <v>13</v>
      </c>
      <c r="L10" s="127">
        <f t="shared" si="1"/>
        <v>1.95</v>
      </c>
      <c r="M10" s="127">
        <f t="shared" si="1"/>
        <v>1.3</v>
      </c>
      <c r="N10" s="127">
        <f t="shared" si="1"/>
        <v>29.1875</v>
      </c>
      <c r="O10" s="130"/>
      <c r="P10" s="8"/>
      <c r="Q10" s="8"/>
      <c r="R10" s="8"/>
      <c r="S10" s="8"/>
      <c r="T10" s="8"/>
      <c r="U10" s="8"/>
      <c r="V10" s="8"/>
      <c r="W10" s="8"/>
      <c r="X10" s="8"/>
      <c r="Y10" s="8"/>
      <c r="Z10" s="8"/>
      <c r="AA10" s="8"/>
      <c r="AB10" s="8"/>
      <c r="AC10" s="8"/>
    </row>
    <row r="11" ht="43.5" customHeight="1">
      <c r="A11" s="130" t="s">
        <v>55</v>
      </c>
      <c r="B11" s="130" t="s">
        <v>62</v>
      </c>
      <c r="C11" s="130" t="s">
        <v>63</v>
      </c>
      <c r="D11" s="130" t="s">
        <v>64</v>
      </c>
      <c r="E11" s="130" t="s">
        <v>65</v>
      </c>
      <c r="F11" s="130" t="s">
        <v>66</v>
      </c>
      <c r="G11" s="131" t="s">
        <v>67</v>
      </c>
      <c r="H11" s="131" t="s">
        <v>68</v>
      </c>
      <c r="I11" s="132" t="s">
        <v>69</v>
      </c>
      <c r="J11" s="132" t="s">
        <v>70</v>
      </c>
      <c r="K11" s="132" t="s">
        <v>71</v>
      </c>
      <c r="L11" s="132" t="s">
        <v>72</v>
      </c>
      <c r="M11" s="132" t="s">
        <v>73</v>
      </c>
      <c r="N11" s="132" t="s">
        <v>74</v>
      </c>
      <c r="O11" s="130" t="s">
        <v>75</v>
      </c>
      <c r="P11" s="133"/>
      <c r="Q11" s="133"/>
      <c r="R11" s="133"/>
      <c r="S11" s="133"/>
      <c r="T11" s="133"/>
      <c r="U11" s="133"/>
      <c r="V11" s="133"/>
      <c r="W11" s="133"/>
      <c r="X11" s="133"/>
      <c r="Y11" s="133"/>
      <c r="Z11" s="133"/>
      <c r="AA11" s="133"/>
      <c r="AB11" s="133"/>
      <c r="AC11" s="133"/>
    </row>
    <row r="12">
      <c r="A12" s="136">
        <f t="shared" ref="A12:A49" si="2">row()-11</f>
        <v>1</v>
      </c>
      <c r="B12" s="138" t="s">
        <v>76</v>
      </c>
      <c r="C12" s="136"/>
      <c r="D12" s="136"/>
      <c r="E12" s="136"/>
      <c r="F12" s="136"/>
      <c r="G12" s="136"/>
      <c r="H12" s="146"/>
      <c r="I12" s="160" t="str">
        <f t="array" ref="I12">If($G12="","",INDEX('Common function'!$F$8:$F56, match($G12,'Common function'!$C$8:$C56,0)))</f>
        <v/>
      </c>
      <c r="J12" s="160" t="str">
        <f t="array" ref="J12">If($G12="","",INDEX('Common function'!$G$8:$G56, match($G12,'Common function'!$C$8:$C56,0)))</f>
        <v/>
      </c>
      <c r="K12" s="160" t="str">
        <f t="array" ref="K12">If($G12="","",INDEX('Common function'!$H$8:$H56, match($G12,'Common function'!$C$8:$C56,0)))</f>
        <v/>
      </c>
      <c r="L12" s="160" t="str">
        <f t="shared" ref="L12:L14" si="3">If($K12="","",$K12*Appendix!$B$23)</f>
        <v/>
      </c>
      <c r="M12" s="160" t="str">
        <f t="shared" ref="M12:M63" si="4">If($K12="","",K12*0.1)</f>
        <v/>
      </c>
      <c r="N12" s="178">
        <f t="shared" ref="N12:N49" si="5">$H12*sum($I12:$M12)</f>
        <v>0</v>
      </c>
      <c r="O12" s="146"/>
      <c r="P12" s="69"/>
      <c r="Q12" s="69"/>
      <c r="R12" s="69"/>
      <c r="S12" s="69"/>
      <c r="T12" s="69"/>
      <c r="U12" s="69"/>
      <c r="V12" s="69"/>
      <c r="W12" s="69"/>
      <c r="X12" s="69"/>
      <c r="Y12" s="69"/>
      <c r="Z12" s="69"/>
      <c r="AA12" s="69"/>
      <c r="AB12" s="69"/>
      <c r="AC12" s="69"/>
    </row>
    <row r="13">
      <c r="A13" s="136">
        <f t="shared" si="2"/>
        <v>2</v>
      </c>
      <c r="B13" s="136" t="s">
        <v>103</v>
      </c>
      <c r="C13" s="136"/>
      <c r="D13" s="136"/>
      <c r="E13" s="136"/>
      <c r="F13" s="136"/>
      <c r="G13" s="136"/>
      <c r="H13" s="146"/>
      <c r="I13" s="160" t="str">
        <f t="array" ref="I13">If($G13="","",INDEX('Common function'!$F$8:$F56, match($G13,'Common function'!$C$8:$C56,0)))</f>
        <v/>
      </c>
      <c r="J13" s="160" t="str">
        <f t="array" ref="J13">If($G13="","",INDEX('Common function'!$G$8:$G56, match($G13,'Common function'!$C$8:$C56,0)))</f>
        <v/>
      </c>
      <c r="K13" s="160" t="str">
        <f t="array" ref="K13">If($G13="","",INDEX('Common function'!$H$8:$H56, match($G13,'Common function'!$C$8:$C56,0)))</f>
        <v/>
      </c>
      <c r="L13" s="160" t="str">
        <f t="shared" si="3"/>
        <v/>
      </c>
      <c r="M13" s="160" t="str">
        <f t="shared" si="4"/>
        <v/>
      </c>
      <c r="N13" s="178">
        <f t="shared" si="5"/>
        <v>0</v>
      </c>
      <c r="O13" s="146"/>
      <c r="P13" s="69"/>
      <c r="Q13" s="69"/>
      <c r="R13" s="69"/>
      <c r="S13" s="69"/>
      <c r="T13" s="69"/>
      <c r="U13" s="69"/>
      <c r="V13" s="69"/>
      <c r="W13" s="69"/>
      <c r="X13" s="69"/>
      <c r="Y13" s="69"/>
      <c r="Z13" s="69"/>
      <c r="AA13" s="69"/>
      <c r="AB13" s="69"/>
      <c r="AC13" s="69"/>
    </row>
    <row r="14">
      <c r="A14" s="136">
        <f t="shared" si="2"/>
        <v>3</v>
      </c>
      <c r="B14" s="136" t="s">
        <v>121</v>
      </c>
      <c r="C14" s="136"/>
      <c r="D14" s="136"/>
      <c r="E14" s="136"/>
      <c r="F14" s="136"/>
      <c r="G14" s="136"/>
      <c r="H14" s="146"/>
      <c r="I14" s="160" t="str">
        <f t="array" ref="I14">If($G14="","",INDEX('Common function'!$F$8:$F56, match($G14,'Common function'!$C$8:$C56,0)))</f>
        <v/>
      </c>
      <c r="J14" s="160" t="str">
        <f t="array" ref="J14">If($G14="","",INDEX('Common function'!$G$8:$G56, match($G14,'Common function'!$C$8:$C56,0)))</f>
        <v/>
      </c>
      <c r="K14" s="160" t="str">
        <f t="array" ref="K14">If($G14="","",INDEX('Common function'!$H$8:$H56, match($G14,'Common function'!$C$8:$C56,0)))</f>
        <v/>
      </c>
      <c r="L14" s="160" t="str">
        <f t="shared" si="3"/>
        <v/>
      </c>
      <c r="M14" s="160" t="str">
        <f t="shared" si="4"/>
        <v/>
      </c>
      <c r="N14" s="178">
        <f t="shared" si="5"/>
        <v>0</v>
      </c>
      <c r="O14" s="146"/>
      <c r="P14" s="69"/>
      <c r="Q14" s="69"/>
      <c r="R14" s="69"/>
      <c r="S14" s="69"/>
      <c r="T14" s="69"/>
      <c r="U14" s="69"/>
      <c r="V14" s="69"/>
      <c r="W14" s="69"/>
      <c r="X14" s="69"/>
      <c r="Y14" s="69"/>
      <c r="Z14" s="69"/>
      <c r="AA14" s="69"/>
      <c r="AB14" s="69"/>
      <c r="AC14" s="69"/>
    </row>
    <row r="15" ht="15.75" customHeight="1">
      <c r="A15" s="136">
        <f t="shared" si="2"/>
        <v>4</v>
      </c>
      <c r="B15" s="216" t="s">
        <v>138</v>
      </c>
      <c r="C15" s="217" t="s">
        <v>139</v>
      </c>
      <c r="D15" s="136" t="s">
        <v>141</v>
      </c>
      <c r="E15" s="136" t="s">
        <v>141</v>
      </c>
      <c r="F15" s="136"/>
      <c r="G15" s="136" t="s">
        <v>142</v>
      </c>
      <c r="H15" s="146">
        <f>Appendix!$B$13</f>
        <v>1</v>
      </c>
      <c r="I15" s="160">
        <f t="array" ref="I15">If($G15="","",INDEX('Common function'!$F$8:$F56, match($G15,'Common function'!$C$8:$C56,0)))</f>
        <v>2</v>
      </c>
      <c r="J15" s="160">
        <f t="array" ref="J15">If($G15="","",INDEX('Common function'!$G$8:$G56, match($G15,'Common function'!$C$8:$C56,0)))</f>
        <v>0</v>
      </c>
      <c r="K15" s="160">
        <f t="array" ref="K15">If($G15="","",INDEX('Common function'!$H$8:$H56, match($G15,'Common function'!$C$8:$C56,0)))</f>
        <v>2.5</v>
      </c>
      <c r="L15" s="160">
        <f>If($K15="","",$K15*Appendix!$B$23)</f>
        <v>0.375</v>
      </c>
      <c r="M15" s="160">
        <f t="shared" si="4"/>
        <v>0.25</v>
      </c>
      <c r="N15" s="178">
        <f t="shared" si="5"/>
        <v>5.125</v>
      </c>
      <c r="O15" s="146"/>
      <c r="P15" s="69"/>
      <c r="Q15" s="69"/>
      <c r="R15" s="69"/>
      <c r="S15" s="69"/>
      <c r="T15" s="69"/>
      <c r="U15" s="69"/>
      <c r="V15" s="69"/>
      <c r="W15" s="69"/>
      <c r="X15" s="69"/>
      <c r="Y15" s="69"/>
      <c r="Z15" s="69"/>
      <c r="AA15" s="69"/>
      <c r="AB15" s="69"/>
      <c r="AC15" s="69"/>
    </row>
    <row r="16" ht="15.75" customHeight="1">
      <c r="A16" s="136">
        <f t="shared" si="2"/>
        <v>5</v>
      </c>
      <c r="B16" s="237"/>
      <c r="C16" s="217" t="s">
        <v>139</v>
      </c>
      <c r="D16" s="136" t="s">
        <v>164</v>
      </c>
      <c r="E16" s="136" t="s">
        <v>164</v>
      </c>
      <c r="F16" s="136"/>
      <c r="G16" s="136" t="s">
        <v>165</v>
      </c>
      <c r="H16" s="146">
        <v>1.5</v>
      </c>
      <c r="I16" s="160">
        <f t="array" ref="I16">If($G16="","",INDEX('Common function'!$F$8:$F56, match($G16,'Common function'!$C$8:$C56,0)))</f>
        <v>1</v>
      </c>
      <c r="J16" s="160">
        <f t="array" ref="J16">If($G16="","",INDEX('Common function'!$G$8:$G56, match($G16,'Common function'!$C$8:$C56,0)))</f>
        <v>0</v>
      </c>
      <c r="K16" s="160">
        <f t="array" ref="K16">If($G16="","",INDEX('Common function'!$H$8:$H56, match($G16,'Common function'!$C$8:$C56,0)))</f>
        <v>1.5</v>
      </c>
      <c r="L16" s="160">
        <f>If($K16="","",$K16*Appendix!$B$23)</f>
        <v>0.225</v>
      </c>
      <c r="M16" s="160">
        <f t="shared" si="4"/>
        <v>0.15</v>
      </c>
      <c r="N16" s="178">
        <f t="shared" si="5"/>
        <v>4.3125</v>
      </c>
      <c r="O16" s="146"/>
      <c r="P16" s="69"/>
      <c r="Q16" s="69"/>
      <c r="R16" s="69"/>
      <c r="S16" s="69"/>
      <c r="T16" s="69"/>
      <c r="U16" s="69"/>
      <c r="V16" s="69"/>
      <c r="W16" s="69"/>
      <c r="X16" s="69"/>
      <c r="Y16" s="69"/>
      <c r="Z16" s="69"/>
      <c r="AA16" s="69"/>
      <c r="AB16" s="69"/>
      <c r="AC16" s="69"/>
    </row>
    <row r="17" ht="15.75" customHeight="1">
      <c r="A17" s="136">
        <f t="shared" si="2"/>
        <v>6</v>
      </c>
      <c r="B17" s="237"/>
      <c r="C17" s="217" t="s">
        <v>139</v>
      </c>
      <c r="D17" s="136" t="s">
        <v>183</v>
      </c>
      <c r="E17" s="136" t="s">
        <v>183</v>
      </c>
      <c r="F17" s="136"/>
      <c r="G17" s="136" t="s">
        <v>185</v>
      </c>
      <c r="H17" s="146">
        <f>Appendix!$B$13</f>
        <v>1</v>
      </c>
      <c r="I17" s="160">
        <f t="array" ref="I17">If($G17="","",INDEX('Common function'!$F$8:$F56, match($G17,'Common function'!$C$8:$C56,0)))</f>
        <v>1</v>
      </c>
      <c r="J17" s="160">
        <f t="array" ref="J17">If($G17="","",INDEX('Common function'!$G$8:$G56, match($G17,'Common function'!$C$8:$C56,0)))</f>
        <v>0</v>
      </c>
      <c r="K17" s="160">
        <f t="array" ref="K17">If($G17="","",INDEX('Common function'!$H$8:$H56, match($G17,'Common function'!$C$8:$C56,0)))</f>
        <v>1</v>
      </c>
      <c r="L17" s="160">
        <f>If($K17="","",$K17*Appendix!$B$23)</f>
        <v>0.15</v>
      </c>
      <c r="M17" s="160">
        <f t="shared" si="4"/>
        <v>0.1</v>
      </c>
      <c r="N17" s="178">
        <f t="shared" si="5"/>
        <v>2.25</v>
      </c>
      <c r="O17" s="146"/>
      <c r="P17" s="69"/>
      <c r="Q17" s="69"/>
      <c r="R17" s="69"/>
      <c r="S17" s="69"/>
      <c r="T17" s="69"/>
      <c r="U17" s="69"/>
      <c r="V17" s="69"/>
      <c r="W17" s="69"/>
      <c r="X17" s="69"/>
      <c r="Y17" s="69"/>
      <c r="Z17" s="69"/>
      <c r="AA17" s="69"/>
      <c r="AB17" s="69"/>
      <c r="AC17" s="69"/>
    </row>
    <row r="18" ht="15.75" customHeight="1">
      <c r="A18" s="136">
        <f t="shared" si="2"/>
        <v>7</v>
      </c>
      <c r="B18" s="237"/>
      <c r="C18" s="217" t="s">
        <v>139</v>
      </c>
      <c r="D18" s="136" t="s">
        <v>198</v>
      </c>
      <c r="E18" s="136" t="s">
        <v>198</v>
      </c>
      <c r="F18" s="136"/>
      <c r="G18" s="136" t="s">
        <v>200</v>
      </c>
      <c r="H18" s="146">
        <f>Appendix!$B$13</f>
        <v>1</v>
      </c>
      <c r="I18" s="160">
        <f t="array" ref="I18">If($G18="","",INDEX('Common function'!$F$8:$F56, match($G18,'Common function'!$C$8:$C56,0)))</f>
        <v>3</v>
      </c>
      <c r="J18" s="160">
        <f t="array" ref="J18">If($G18="","",INDEX('Common function'!$G$8:$G56, match($G18,'Common function'!$C$8:$C56,0)))</f>
        <v>0</v>
      </c>
      <c r="K18" s="160">
        <f t="array" ref="K18">If($G18="","",INDEX('Common function'!$H$8:$H56, match($G18,'Common function'!$C$8:$C56,0)))</f>
        <v>3</v>
      </c>
      <c r="L18" s="160">
        <f>If($K18="","",$K18*Appendix!$B$23)</f>
        <v>0.45</v>
      </c>
      <c r="M18" s="160">
        <f t="shared" si="4"/>
        <v>0.3</v>
      </c>
      <c r="N18" s="178">
        <f t="shared" si="5"/>
        <v>6.75</v>
      </c>
      <c r="O18" s="146"/>
      <c r="P18" s="69"/>
      <c r="Q18" s="69"/>
      <c r="R18" s="69"/>
      <c r="S18" s="69"/>
      <c r="T18" s="69"/>
      <c r="U18" s="69"/>
      <c r="V18" s="69"/>
      <c r="W18" s="69"/>
      <c r="X18" s="69"/>
      <c r="Y18" s="69"/>
      <c r="Z18" s="69"/>
      <c r="AA18" s="69"/>
      <c r="AB18" s="69"/>
      <c r="AC18" s="69"/>
    </row>
    <row r="19" ht="15.75" customHeight="1">
      <c r="A19" s="136">
        <f t="shared" si="2"/>
        <v>8</v>
      </c>
      <c r="B19" s="237"/>
      <c r="C19" s="217" t="s">
        <v>139</v>
      </c>
      <c r="D19" s="136" t="s">
        <v>226</v>
      </c>
      <c r="E19" s="136" t="s">
        <v>226</v>
      </c>
      <c r="F19" s="136"/>
      <c r="G19" s="136" t="s">
        <v>228</v>
      </c>
      <c r="H19" s="146">
        <f>Appendix!$B$13</f>
        <v>1</v>
      </c>
      <c r="I19" s="160">
        <f t="array" ref="I19">If($G19="","",INDEX('Common function'!$F$8:$F56, match($G19,'Common function'!$C$8:$C56,0)))</f>
        <v>2</v>
      </c>
      <c r="J19" s="160">
        <f t="array" ref="J19">If($G19="","",INDEX('Common function'!$G$8:$G56, match($G19,'Common function'!$C$8:$C56,0)))</f>
        <v>0</v>
      </c>
      <c r="K19" s="160">
        <f t="array" ref="K19">If($G19="","",INDEX('Common function'!$H$8:$H56, match($G19,'Common function'!$C$8:$C56,0)))</f>
        <v>2</v>
      </c>
      <c r="L19" s="160">
        <f>If($K19="","",$K19*Appendix!$B$23)</f>
        <v>0.3</v>
      </c>
      <c r="M19" s="160">
        <f t="shared" si="4"/>
        <v>0.2</v>
      </c>
      <c r="N19" s="178">
        <f t="shared" si="5"/>
        <v>4.5</v>
      </c>
      <c r="O19" s="146"/>
      <c r="P19" s="69"/>
      <c r="Q19" s="69"/>
      <c r="R19" s="69"/>
      <c r="S19" s="69"/>
      <c r="T19" s="69"/>
      <c r="U19" s="69"/>
      <c r="V19" s="69"/>
      <c r="W19" s="69"/>
      <c r="X19" s="69"/>
      <c r="Y19" s="69"/>
      <c r="Z19" s="69"/>
      <c r="AA19" s="69"/>
      <c r="AB19" s="69"/>
      <c r="AC19" s="69"/>
    </row>
    <row r="20" ht="15.75" customHeight="1">
      <c r="A20" s="136">
        <f t="shared" si="2"/>
        <v>9</v>
      </c>
      <c r="B20" s="237"/>
      <c r="C20" s="217" t="s">
        <v>139</v>
      </c>
      <c r="D20" s="136" t="s">
        <v>253</v>
      </c>
      <c r="E20" s="136" t="s">
        <v>253</v>
      </c>
      <c r="F20" s="136"/>
      <c r="G20" s="136" t="s">
        <v>223</v>
      </c>
      <c r="H20" s="146">
        <f>Appendix!$B$13</f>
        <v>1</v>
      </c>
      <c r="I20" s="160">
        <f t="array" ref="I20">If($G20="","",INDEX('Common function'!$F$8:$F56, match($G20,'Common function'!$C$8:$C56,0)))</f>
        <v>2.5</v>
      </c>
      <c r="J20" s="160">
        <f t="array" ref="J20">If($G20="","",INDEX('Common function'!$G$8:$G56, match($G20,'Common function'!$C$8:$C56,0)))</f>
        <v>0</v>
      </c>
      <c r="K20" s="160">
        <f t="array" ref="K20">If($G20="","",INDEX('Common function'!$H$8:$H56, match($G20,'Common function'!$C$8:$C56,0)))</f>
        <v>3</v>
      </c>
      <c r="L20" s="160">
        <f>If($K20="","",$K20*Appendix!$B$23)</f>
        <v>0.45</v>
      </c>
      <c r="M20" s="160">
        <f t="shared" si="4"/>
        <v>0.3</v>
      </c>
      <c r="N20" s="178">
        <f t="shared" si="5"/>
        <v>6.25</v>
      </c>
      <c r="O20" s="146"/>
      <c r="P20" s="69"/>
      <c r="Q20" s="69"/>
      <c r="R20" s="69"/>
      <c r="S20" s="69"/>
      <c r="T20" s="69"/>
      <c r="U20" s="69"/>
      <c r="V20" s="69"/>
      <c r="W20" s="69"/>
      <c r="X20" s="69"/>
      <c r="Y20" s="69"/>
      <c r="Z20" s="69"/>
      <c r="AA20" s="69"/>
      <c r="AB20" s="69"/>
      <c r="AC20" s="69"/>
    </row>
    <row r="21" ht="15.75" customHeight="1">
      <c r="A21" s="136">
        <f t="shared" si="2"/>
        <v>10</v>
      </c>
      <c r="B21" s="237"/>
      <c r="C21" s="217" t="s">
        <v>139</v>
      </c>
      <c r="D21" s="136" t="s">
        <v>274</v>
      </c>
      <c r="E21" s="136" t="s">
        <v>274</v>
      </c>
      <c r="F21" s="136"/>
      <c r="G21" s="136"/>
      <c r="H21" s="146">
        <f>Appendix!$B$13</f>
        <v>1</v>
      </c>
      <c r="I21" s="160" t="str">
        <f t="array" ref="I21">If($G21="","",INDEX('Common function'!$F$8:$F56, match($G21,'Common function'!$C$8:$C56,0)))</f>
        <v/>
      </c>
      <c r="J21" s="160" t="str">
        <f t="array" ref="J21">If($G21="","",INDEX('Common function'!$G$8:$G56, match($G21,'Common function'!$C$8:$C56,0)))</f>
        <v/>
      </c>
      <c r="K21" s="160" t="str">
        <f t="array" ref="K21">If($G21="","",INDEX('Common function'!$H$8:$H56, match($G21,'Common function'!$C$8:$C56,0)))</f>
        <v/>
      </c>
      <c r="L21" s="160" t="str">
        <f t="shared" ref="L21:L63" si="6">If($K21="","",$K21*Appendix!$B$23)</f>
        <v/>
      </c>
      <c r="M21" s="160" t="str">
        <f t="shared" si="4"/>
        <v/>
      </c>
      <c r="N21" s="178">
        <f t="shared" si="5"/>
        <v>0</v>
      </c>
      <c r="O21" s="146"/>
      <c r="P21" s="69"/>
      <c r="Q21" s="69"/>
      <c r="R21" s="69"/>
      <c r="S21" s="69"/>
      <c r="T21" s="69"/>
      <c r="U21" s="69"/>
      <c r="V21" s="69"/>
      <c r="W21" s="69"/>
      <c r="X21" s="69"/>
      <c r="Y21" s="69"/>
      <c r="Z21" s="69"/>
      <c r="AA21" s="69"/>
      <c r="AB21" s="69"/>
      <c r="AC21" s="69"/>
    </row>
    <row r="22" ht="15.75" customHeight="1">
      <c r="A22" s="136">
        <f t="shared" si="2"/>
        <v>11</v>
      </c>
      <c r="B22" s="237"/>
      <c r="C22" s="217" t="s">
        <v>139</v>
      </c>
      <c r="D22" s="136" t="s">
        <v>291</v>
      </c>
      <c r="E22" s="136" t="s">
        <v>291</v>
      </c>
      <c r="F22" s="136"/>
      <c r="G22" s="136"/>
      <c r="H22" s="146">
        <f>Appendix!$B$13</f>
        <v>1</v>
      </c>
      <c r="I22" s="160" t="str">
        <f t="array" ref="I22">If($G22="","",INDEX('Common function'!$F$8:$F56, match($G22,'Common function'!$C$8:$C56,0)))</f>
        <v/>
      </c>
      <c r="J22" s="160" t="str">
        <f t="array" ref="J22">If($G22="","",INDEX('Common function'!$G$8:$G56, match($G22,'Common function'!$C$8:$C56,0)))</f>
        <v/>
      </c>
      <c r="K22" s="160" t="str">
        <f t="array" ref="K22">If($G22="","",INDEX('Common function'!$H$8:$H56, match($G22,'Common function'!$C$8:$C56,0)))</f>
        <v/>
      </c>
      <c r="L22" s="160" t="str">
        <f t="shared" si="6"/>
        <v/>
      </c>
      <c r="M22" s="160" t="str">
        <f t="shared" si="4"/>
        <v/>
      </c>
      <c r="N22" s="178">
        <f t="shared" si="5"/>
        <v>0</v>
      </c>
      <c r="O22" s="146"/>
      <c r="P22" s="69"/>
      <c r="Q22" s="69"/>
      <c r="R22" s="69"/>
      <c r="S22" s="69"/>
      <c r="T22" s="69"/>
      <c r="U22" s="69"/>
      <c r="V22" s="69"/>
      <c r="W22" s="69"/>
      <c r="X22" s="69"/>
      <c r="Y22" s="69"/>
      <c r="Z22" s="69"/>
      <c r="AA22" s="69"/>
      <c r="AB22" s="69"/>
      <c r="AC22" s="69"/>
    </row>
    <row r="23" ht="15.75" customHeight="1">
      <c r="A23" s="136">
        <f t="shared" si="2"/>
        <v>12</v>
      </c>
      <c r="B23" s="237"/>
      <c r="C23" s="217" t="s">
        <v>139</v>
      </c>
      <c r="D23" s="136" t="s">
        <v>302</v>
      </c>
      <c r="E23" s="136" t="s">
        <v>302</v>
      </c>
      <c r="F23" s="136"/>
      <c r="G23" s="136"/>
      <c r="H23" s="146">
        <f>Appendix!$B$13</f>
        <v>1</v>
      </c>
      <c r="I23" s="160" t="str">
        <f t="array" ref="I23">If($G23="","",INDEX('Common function'!$F$8:$F56, match($G23,'Common function'!$C$8:$C56,0)))</f>
        <v/>
      </c>
      <c r="J23" s="160" t="str">
        <f t="array" ref="J23">If($G23="","",INDEX('Common function'!$G$8:$G56, match($G23,'Common function'!$C$8:$C56,0)))</f>
        <v/>
      </c>
      <c r="K23" s="160" t="str">
        <f t="array" ref="K23">If($G23="","",INDEX('Common function'!$H$8:$H56, match($G23,'Common function'!$C$8:$C56,0)))</f>
        <v/>
      </c>
      <c r="L23" s="160" t="str">
        <f t="shared" si="6"/>
        <v/>
      </c>
      <c r="M23" s="160" t="str">
        <f t="shared" si="4"/>
        <v/>
      </c>
      <c r="N23" s="178">
        <f t="shared" si="5"/>
        <v>0</v>
      </c>
      <c r="O23" s="146"/>
      <c r="P23" s="69"/>
      <c r="Q23" s="69"/>
      <c r="R23" s="69"/>
      <c r="S23" s="69"/>
      <c r="T23" s="69"/>
      <c r="U23" s="69"/>
      <c r="V23" s="69"/>
      <c r="W23" s="69"/>
      <c r="X23" s="69"/>
      <c r="Y23" s="69"/>
      <c r="Z23" s="69"/>
      <c r="AA23" s="69"/>
      <c r="AB23" s="69"/>
      <c r="AC23" s="69"/>
    </row>
    <row r="24" ht="15.75" customHeight="1">
      <c r="A24" s="136">
        <f t="shared" si="2"/>
        <v>13</v>
      </c>
      <c r="B24" s="237"/>
      <c r="C24" s="217" t="s">
        <v>139</v>
      </c>
      <c r="D24" s="136" t="s">
        <v>307</v>
      </c>
      <c r="E24" s="136" t="s">
        <v>307</v>
      </c>
      <c r="F24" s="136"/>
      <c r="G24" s="136"/>
      <c r="H24" s="146">
        <f>Appendix!$B$13</f>
        <v>1</v>
      </c>
      <c r="I24" s="160" t="str">
        <f t="array" ref="I24">If($G24="","",INDEX('Common function'!$F$8:$F56, match($G24,'Common function'!$C$8:$C56,0)))</f>
        <v/>
      </c>
      <c r="J24" s="160" t="str">
        <f t="array" ref="J24">If($G24="","",INDEX('Common function'!$G$8:$G56, match($G24,'Common function'!$C$8:$C56,0)))</f>
        <v/>
      </c>
      <c r="K24" s="160" t="str">
        <f t="array" ref="K24">If($G24="","",INDEX('Common function'!$H$8:$H56, match($G24,'Common function'!$C$8:$C56,0)))</f>
        <v/>
      </c>
      <c r="L24" s="160" t="str">
        <f t="shared" si="6"/>
        <v/>
      </c>
      <c r="M24" s="160" t="str">
        <f t="shared" si="4"/>
        <v/>
      </c>
      <c r="N24" s="178">
        <f t="shared" si="5"/>
        <v>0</v>
      </c>
      <c r="O24" s="146"/>
      <c r="P24" s="69"/>
      <c r="Q24" s="69"/>
      <c r="R24" s="69"/>
      <c r="S24" s="69"/>
      <c r="T24" s="69"/>
      <c r="U24" s="69"/>
      <c r="V24" s="69"/>
      <c r="W24" s="69"/>
      <c r="X24" s="69"/>
      <c r="Y24" s="69"/>
      <c r="Z24" s="69"/>
      <c r="AA24" s="69"/>
      <c r="AB24" s="69"/>
      <c r="AC24" s="69"/>
    </row>
    <row r="25" ht="15.75" customHeight="1">
      <c r="A25" s="136">
        <f t="shared" si="2"/>
        <v>14</v>
      </c>
      <c r="B25" s="237"/>
      <c r="C25" s="217" t="s">
        <v>308</v>
      </c>
      <c r="D25" s="136" t="s">
        <v>309</v>
      </c>
      <c r="E25" s="136" t="s">
        <v>309</v>
      </c>
      <c r="F25" s="136"/>
      <c r="G25" s="136"/>
      <c r="H25" s="146">
        <f>Appendix!$B$13</f>
        <v>1</v>
      </c>
      <c r="I25" s="160" t="str">
        <f t="array" ref="I25">If($G25="","",INDEX('Common function'!$F$8:$F56, match($G25,'Common function'!$C$8:$C56,0)))</f>
        <v/>
      </c>
      <c r="J25" s="160" t="str">
        <f t="array" ref="J25">If($G25="","",INDEX('Common function'!$G$8:$G56, match($G25,'Common function'!$C$8:$C56,0)))</f>
        <v/>
      </c>
      <c r="K25" s="160" t="str">
        <f t="array" ref="K25">If($G25="","",INDEX('Common function'!$H$8:$H56, match($G25,'Common function'!$C$8:$C56,0)))</f>
        <v/>
      </c>
      <c r="L25" s="160" t="str">
        <f t="shared" si="6"/>
        <v/>
      </c>
      <c r="M25" s="160" t="str">
        <f t="shared" si="4"/>
        <v/>
      </c>
      <c r="N25" s="178">
        <f t="shared" si="5"/>
        <v>0</v>
      </c>
      <c r="O25" s="146"/>
      <c r="P25" s="69"/>
      <c r="Q25" s="69"/>
      <c r="R25" s="69"/>
      <c r="S25" s="69"/>
      <c r="T25" s="69"/>
      <c r="U25" s="69"/>
      <c r="V25" s="69"/>
      <c r="W25" s="69"/>
      <c r="X25" s="69"/>
      <c r="Y25" s="69"/>
      <c r="Z25" s="69"/>
      <c r="AA25" s="69"/>
      <c r="AB25" s="69"/>
      <c r="AC25" s="69"/>
    </row>
    <row r="26" ht="15.75" customHeight="1">
      <c r="A26" s="136">
        <f t="shared" si="2"/>
        <v>15</v>
      </c>
      <c r="B26" s="237"/>
      <c r="C26" s="217" t="s">
        <v>308</v>
      </c>
      <c r="D26" s="136" t="s">
        <v>310</v>
      </c>
      <c r="E26" s="136" t="s">
        <v>310</v>
      </c>
      <c r="F26" s="136"/>
      <c r="G26" s="136"/>
      <c r="H26" s="146">
        <f>Appendix!$B$13</f>
        <v>1</v>
      </c>
      <c r="I26" s="160" t="str">
        <f t="array" ref="I26">If($G26="","",INDEX('Common function'!$F$8:$F56, match($G26,'Common function'!$C$8:$C56,0)))</f>
        <v/>
      </c>
      <c r="J26" s="160" t="str">
        <f t="array" ref="J26">If($G26="","",INDEX('Common function'!$G$8:$G56, match($G26,'Common function'!$C$8:$C56,0)))</f>
        <v/>
      </c>
      <c r="K26" s="160" t="str">
        <f t="array" ref="K26">If($G26="","",INDEX('Common function'!$H$8:$H56, match($G26,'Common function'!$C$8:$C56,0)))</f>
        <v/>
      </c>
      <c r="L26" s="160" t="str">
        <f t="shared" si="6"/>
        <v/>
      </c>
      <c r="M26" s="160" t="str">
        <f t="shared" si="4"/>
        <v/>
      </c>
      <c r="N26" s="178">
        <f t="shared" si="5"/>
        <v>0</v>
      </c>
      <c r="O26" s="146"/>
      <c r="P26" s="69"/>
      <c r="Q26" s="69"/>
      <c r="R26" s="69"/>
      <c r="S26" s="69"/>
      <c r="T26" s="69"/>
      <c r="U26" s="69"/>
      <c r="V26" s="69"/>
      <c r="W26" s="69"/>
      <c r="X26" s="69"/>
      <c r="Y26" s="69"/>
      <c r="Z26" s="69"/>
      <c r="AA26" s="69"/>
      <c r="AB26" s="69"/>
      <c r="AC26" s="69"/>
    </row>
    <row r="27" ht="15.75" customHeight="1">
      <c r="A27" s="136">
        <f t="shared" si="2"/>
        <v>16</v>
      </c>
      <c r="B27" s="237"/>
      <c r="C27" s="217" t="s">
        <v>308</v>
      </c>
      <c r="D27" s="136" t="s">
        <v>311</v>
      </c>
      <c r="E27" s="136" t="s">
        <v>311</v>
      </c>
      <c r="F27" s="136"/>
      <c r="G27" s="136"/>
      <c r="H27" s="146">
        <f>Appendix!$B$13</f>
        <v>1</v>
      </c>
      <c r="I27" s="160" t="str">
        <f t="array" ref="I27">If($G27="","",INDEX('Common function'!$F$8:$F56, match($G27,'Common function'!$C$8:$C56,0)))</f>
        <v/>
      </c>
      <c r="J27" s="160" t="str">
        <f t="array" ref="J27">If($G27="","",INDEX('Common function'!$G$8:$G56, match($G27,'Common function'!$C$8:$C56,0)))</f>
        <v/>
      </c>
      <c r="K27" s="160" t="str">
        <f t="array" ref="K27">If($G27="","",INDEX('Common function'!$H$8:$H56, match($G27,'Common function'!$C$8:$C56,0)))</f>
        <v/>
      </c>
      <c r="L27" s="160" t="str">
        <f t="shared" si="6"/>
        <v/>
      </c>
      <c r="M27" s="160" t="str">
        <f t="shared" si="4"/>
        <v/>
      </c>
      <c r="N27" s="178">
        <f t="shared" si="5"/>
        <v>0</v>
      </c>
      <c r="O27" s="146"/>
      <c r="P27" s="69"/>
      <c r="Q27" s="69"/>
      <c r="R27" s="69"/>
      <c r="S27" s="69"/>
      <c r="T27" s="69"/>
      <c r="U27" s="69"/>
      <c r="V27" s="69"/>
      <c r="W27" s="69"/>
      <c r="X27" s="69"/>
      <c r="Y27" s="69"/>
      <c r="Z27" s="69"/>
      <c r="AA27" s="69"/>
      <c r="AB27" s="69"/>
      <c r="AC27" s="69"/>
    </row>
    <row r="28" ht="15.75" customHeight="1">
      <c r="A28" s="136">
        <f t="shared" si="2"/>
        <v>17</v>
      </c>
      <c r="B28" s="237"/>
      <c r="C28" s="217" t="s">
        <v>308</v>
      </c>
      <c r="D28" s="136" t="s">
        <v>312</v>
      </c>
      <c r="E28" s="136" t="s">
        <v>312</v>
      </c>
      <c r="F28" s="136"/>
      <c r="G28" s="136"/>
      <c r="H28" s="146">
        <f>Appendix!$B$13</f>
        <v>1</v>
      </c>
      <c r="I28" s="160" t="str">
        <f t="array" ref="I28">If($G28="","",INDEX('Common function'!$F$8:$F56, match($G28,'Common function'!$C$8:$C56,0)))</f>
        <v/>
      </c>
      <c r="J28" s="160" t="str">
        <f t="array" ref="J28">If($G28="","",INDEX('Common function'!$G$8:$G56, match($G28,'Common function'!$C$8:$C56,0)))</f>
        <v/>
      </c>
      <c r="K28" s="160" t="str">
        <f t="array" ref="K28">If($G28="","",INDEX('Common function'!$H$8:$H56, match($G28,'Common function'!$C$8:$C56,0)))</f>
        <v/>
      </c>
      <c r="L28" s="160" t="str">
        <f t="shared" si="6"/>
        <v/>
      </c>
      <c r="M28" s="160" t="str">
        <f t="shared" si="4"/>
        <v/>
      </c>
      <c r="N28" s="178">
        <f t="shared" si="5"/>
        <v>0</v>
      </c>
      <c r="O28" s="146"/>
      <c r="P28" s="69"/>
      <c r="Q28" s="69"/>
      <c r="R28" s="69"/>
      <c r="S28" s="69"/>
      <c r="T28" s="69"/>
      <c r="U28" s="69"/>
      <c r="V28" s="69"/>
      <c r="W28" s="69"/>
      <c r="X28" s="69"/>
      <c r="Y28" s="69"/>
      <c r="Z28" s="69"/>
      <c r="AA28" s="69"/>
      <c r="AB28" s="69"/>
      <c r="AC28" s="69"/>
    </row>
    <row r="29" ht="15.75" customHeight="1">
      <c r="A29" s="136">
        <f t="shared" si="2"/>
        <v>18</v>
      </c>
      <c r="B29" s="237"/>
      <c r="C29" s="217" t="s">
        <v>308</v>
      </c>
      <c r="D29" s="136" t="s">
        <v>313</v>
      </c>
      <c r="E29" s="136" t="s">
        <v>313</v>
      </c>
      <c r="F29" s="136"/>
      <c r="G29" s="136"/>
      <c r="H29" s="146">
        <f>Appendix!$B$13</f>
        <v>1</v>
      </c>
      <c r="I29" s="160" t="str">
        <f t="array" ref="I29">If($G29="","",INDEX('Common function'!$F$8:$F56, match($G29,'Common function'!$C$8:$C56,0)))</f>
        <v/>
      </c>
      <c r="J29" s="160" t="str">
        <f t="array" ref="J29">If($G29="","",INDEX('Common function'!$G$8:$G56, match($G29,'Common function'!$C$8:$C56,0)))</f>
        <v/>
      </c>
      <c r="K29" s="160" t="str">
        <f t="array" ref="K29">If($G29="","",INDEX('Common function'!$H$8:$H56, match($G29,'Common function'!$C$8:$C56,0)))</f>
        <v/>
      </c>
      <c r="L29" s="160" t="str">
        <f t="shared" si="6"/>
        <v/>
      </c>
      <c r="M29" s="160" t="str">
        <f t="shared" si="4"/>
        <v/>
      </c>
      <c r="N29" s="178">
        <f t="shared" si="5"/>
        <v>0</v>
      </c>
      <c r="O29" s="146"/>
      <c r="P29" s="69"/>
      <c r="Q29" s="69"/>
      <c r="R29" s="69"/>
      <c r="S29" s="69"/>
      <c r="T29" s="69"/>
      <c r="U29" s="69"/>
      <c r="V29" s="69"/>
      <c r="W29" s="69"/>
      <c r="X29" s="69"/>
      <c r="Y29" s="69"/>
      <c r="Z29" s="69"/>
      <c r="AA29" s="69"/>
      <c r="AB29" s="69"/>
      <c r="AC29" s="69"/>
    </row>
    <row r="30" ht="15.75" customHeight="1">
      <c r="A30" s="136">
        <f t="shared" si="2"/>
        <v>19</v>
      </c>
      <c r="B30" s="237"/>
      <c r="C30" s="217" t="s">
        <v>308</v>
      </c>
      <c r="D30" s="136" t="s">
        <v>314</v>
      </c>
      <c r="E30" s="136" t="s">
        <v>314</v>
      </c>
      <c r="F30" s="136"/>
      <c r="G30" s="136"/>
      <c r="H30" s="146">
        <f>Appendix!$B$13</f>
        <v>1</v>
      </c>
      <c r="I30" s="160" t="str">
        <f t="array" ref="I30">If($G30="","",INDEX('Common function'!$F$8:$F56, match($G30,'Common function'!$C$8:$C56,0)))</f>
        <v/>
      </c>
      <c r="J30" s="160" t="str">
        <f t="array" ref="J30">If($G30="","",INDEX('Common function'!$G$8:$G56, match($G30,'Common function'!$C$8:$C56,0)))</f>
        <v/>
      </c>
      <c r="K30" s="160" t="str">
        <f t="array" ref="K30">If($G30="","",INDEX('Common function'!$H$8:$H56, match($G30,'Common function'!$C$8:$C56,0)))</f>
        <v/>
      </c>
      <c r="L30" s="160" t="str">
        <f t="shared" si="6"/>
        <v/>
      </c>
      <c r="M30" s="160" t="str">
        <f t="shared" si="4"/>
        <v/>
      </c>
      <c r="N30" s="178">
        <f t="shared" si="5"/>
        <v>0</v>
      </c>
      <c r="O30" s="146"/>
      <c r="P30" s="69"/>
      <c r="Q30" s="69"/>
      <c r="R30" s="69"/>
      <c r="S30" s="69"/>
      <c r="T30" s="69"/>
      <c r="U30" s="69"/>
      <c r="V30" s="69"/>
      <c r="W30" s="69"/>
      <c r="X30" s="69"/>
      <c r="Y30" s="69"/>
      <c r="Z30" s="69"/>
      <c r="AA30" s="69"/>
      <c r="AB30" s="69"/>
      <c r="AC30" s="69"/>
    </row>
    <row r="31" ht="15.75" customHeight="1">
      <c r="A31" s="136">
        <f t="shared" si="2"/>
        <v>20</v>
      </c>
      <c r="B31" s="237"/>
      <c r="C31" s="217" t="s">
        <v>308</v>
      </c>
      <c r="D31" s="136" t="s">
        <v>315</v>
      </c>
      <c r="E31" s="136" t="s">
        <v>315</v>
      </c>
      <c r="F31" s="136"/>
      <c r="G31" s="136"/>
      <c r="H31" s="146">
        <f>Appendix!$B$13</f>
        <v>1</v>
      </c>
      <c r="I31" s="160" t="str">
        <f t="array" ref="I31">If($G31="","",INDEX('Common function'!$F$8:$F56, match($G31,'Common function'!$C$8:$C56,0)))</f>
        <v/>
      </c>
      <c r="J31" s="160" t="str">
        <f t="array" ref="J31">If($G31="","",INDEX('Common function'!$G$8:$G56, match($G31,'Common function'!$C$8:$C56,0)))</f>
        <v/>
      </c>
      <c r="K31" s="160" t="str">
        <f t="array" ref="K31">If($G31="","",INDEX('Common function'!$H$8:$H56, match($G31,'Common function'!$C$8:$C56,0)))</f>
        <v/>
      </c>
      <c r="L31" s="160" t="str">
        <f t="shared" si="6"/>
        <v/>
      </c>
      <c r="M31" s="160" t="str">
        <f t="shared" si="4"/>
        <v/>
      </c>
      <c r="N31" s="178">
        <f t="shared" si="5"/>
        <v>0</v>
      </c>
      <c r="O31" s="146"/>
      <c r="P31" s="69"/>
      <c r="Q31" s="69"/>
      <c r="R31" s="69"/>
      <c r="S31" s="69"/>
      <c r="T31" s="69"/>
      <c r="U31" s="69"/>
      <c r="V31" s="69"/>
      <c r="W31" s="69"/>
      <c r="X31" s="69"/>
      <c r="Y31" s="69"/>
      <c r="Z31" s="69"/>
      <c r="AA31" s="69"/>
      <c r="AB31" s="69"/>
      <c r="AC31" s="69"/>
    </row>
    <row r="32" ht="15.75" customHeight="1">
      <c r="A32" s="136">
        <f t="shared" si="2"/>
        <v>21</v>
      </c>
      <c r="B32" s="237"/>
      <c r="C32" s="217" t="s">
        <v>308</v>
      </c>
      <c r="D32" s="136" t="s">
        <v>316</v>
      </c>
      <c r="E32" s="136" t="s">
        <v>316</v>
      </c>
      <c r="F32" s="136"/>
      <c r="G32" s="136"/>
      <c r="H32" s="146">
        <f>Appendix!$B$13</f>
        <v>1</v>
      </c>
      <c r="I32" s="160" t="str">
        <f t="array" ref="I32">If($G32="","",INDEX('Common function'!$F$8:$F56, match($G32,'Common function'!$C$8:$C56,0)))</f>
        <v/>
      </c>
      <c r="J32" s="160" t="str">
        <f t="array" ref="J32">If($G32="","",INDEX('Common function'!$G$8:$G56, match($G32,'Common function'!$C$8:$C56,0)))</f>
        <v/>
      </c>
      <c r="K32" s="160" t="str">
        <f t="array" ref="K32">If($G32="","",INDEX('Common function'!$H$8:$H56, match($G32,'Common function'!$C$8:$C56,0)))</f>
        <v/>
      </c>
      <c r="L32" s="160" t="str">
        <f t="shared" si="6"/>
        <v/>
      </c>
      <c r="M32" s="160" t="str">
        <f t="shared" si="4"/>
        <v/>
      </c>
      <c r="N32" s="178">
        <f t="shared" si="5"/>
        <v>0</v>
      </c>
      <c r="O32" s="146"/>
      <c r="P32" s="69"/>
      <c r="Q32" s="69"/>
      <c r="R32" s="69"/>
      <c r="S32" s="69"/>
      <c r="T32" s="69"/>
      <c r="U32" s="69"/>
      <c r="V32" s="69"/>
      <c r="W32" s="69"/>
      <c r="X32" s="69"/>
      <c r="Y32" s="69"/>
      <c r="Z32" s="69"/>
      <c r="AA32" s="69"/>
      <c r="AB32" s="69"/>
      <c r="AC32" s="69"/>
    </row>
    <row r="33" ht="15.75" customHeight="1">
      <c r="A33" s="136">
        <f t="shared" si="2"/>
        <v>22</v>
      </c>
      <c r="B33" s="237"/>
      <c r="C33" s="217" t="s">
        <v>308</v>
      </c>
      <c r="D33" s="136" t="s">
        <v>317</v>
      </c>
      <c r="E33" s="136" t="s">
        <v>317</v>
      </c>
      <c r="F33" s="136"/>
      <c r="G33" s="136"/>
      <c r="H33" s="146">
        <f>Appendix!$B$13</f>
        <v>1</v>
      </c>
      <c r="I33" s="160" t="str">
        <f t="array" ref="I33">If($G33="","",INDEX('Common function'!$F$8:$F56, match($G33,'Common function'!$C$8:$C56,0)))</f>
        <v/>
      </c>
      <c r="J33" s="160" t="str">
        <f t="array" ref="J33">If($G33="","",INDEX('Common function'!$G$8:$G56, match($G33,'Common function'!$C$8:$C56,0)))</f>
        <v/>
      </c>
      <c r="K33" s="160" t="str">
        <f t="array" ref="K33">If($G33="","",INDEX('Common function'!$H$8:$H56, match($G33,'Common function'!$C$8:$C56,0)))</f>
        <v/>
      </c>
      <c r="L33" s="160" t="str">
        <f t="shared" si="6"/>
        <v/>
      </c>
      <c r="M33" s="160" t="str">
        <f t="shared" si="4"/>
        <v/>
      </c>
      <c r="N33" s="178">
        <f t="shared" si="5"/>
        <v>0</v>
      </c>
      <c r="O33" s="146"/>
      <c r="P33" s="69"/>
      <c r="Q33" s="69"/>
      <c r="R33" s="69"/>
      <c r="S33" s="69"/>
      <c r="T33" s="69"/>
      <c r="U33" s="69"/>
      <c r="V33" s="69"/>
      <c r="W33" s="69"/>
      <c r="X33" s="69"/>
      <c r="Y33" s="69"/>
      <c r="Z33" s="69"/>
      <c r="AA33" s="69"/>
      <c r="AB33" s="69"/>
      <c r="AC33" s="69"/>
    </row>
    <row r="34" ht="15.75" customHeight="1">
      <c r="A34" s="136">
        <f t="shared" si="2"/>
        <v>23</v>
      </c>
      <c r="B34" s="237"/>
      <c r="C34" s="217" t="s">
        <v>308</v>
      </c>
      <c r="D34" s="136" t="s">
        <v>318</v>
      </c>
      <c r="E34" s="136" t="s">
        <v>318</v>
      </c>
      <c r="F34" s="136"/>
      <c r="G34" s="136"/>
      <c r="H34" s="146">
        <f>Appendix!$B$13</f>
        <v>1</v>
      </c>
      <c r="I34" s="160" t="str">
        <f t="array" ref="I34">If($G34="","",INDEX('Common function'!$F$8:$F56, match($G34,'Common function'!$C$8:$C56,0)))</f>
        <v/>
      </c>
      <c r="J34" s="160" t="str">
        <f t="array" ref="J34">If($G34="","",INDEX('Common function'!$G$8:$G56, match($G34,'Common function'!$C$8:$C56,0)))</f>
        <v/>
      </c>
      <c r="K34" s="160" t="str">
        <f t="array" ref="K34">If($G34="","",INDEX('Common function'!$H$8:$H56, match($G34,'Common function'!$C$8:$C56,0)))</f>
        <v/>
      </c>
      <c r="L34" s="160" t="str">
        <f t="shared" si="6"/>
        <v/>
      </c>
      <c r="M34" s="160" t="str">
        <f t="shared" si="4"/>
        <v/>
      </c>
      <c r="N34" s="178">
        <f t="shared" si="5"/>
        <v>0</v>
      </c>
      <c r="O34" s="146"/>
      <c r="P34" s="69"/>
      <c r="Q34" s="69"/>
      <c r="R34" s="69"/>
      <c r="S34" s="69"/>
      <c r="T34" s="69"/>
      <c r="U34" s="69"/>
      <c r="V34" s="69"/>
      <c r="W34" s="69"/>
      <c r="X34" s="69"/>
      <c r="Y34" s="69"/>
      <c r="Z34" s="69"/>
      <c r="AA34" s="69"/>
      <c r="AB34" s="69"/>
      <c r="AC34" s="69"/>
    </row>
    <row r="35" ht="15.75" customHeight="1">
      <c r="A35" s="136">
        <f t="shared" si="2"/>
        <v>24</v>
      </c>
      <c r="B35" s="237"/>
      <c r="C35" s="217" t="s">
        <v>308</v>
      </c>
      <c r="D35" s="136" t="s">
        <v>319</v>
      </c>
      <c r="E35" s="136" t="s">
        <v>319</v>
      </c>
      <c r="F35" s="136"/>
      <c r="G35" s="136"/>
      <c r="H35" s="146">
        <f>Appendix!$B$13</f>
        <v>1</v>
      </c>
      <c r="I35" s="160" t="str">
        <f t="array" ref="I35">If($G35="","",INDEX('Common function'!$F$8:$F56, match($G35,'Common function'!$C$8:$C56,0)))</f>
        <v/>
      </c>
      <c r="J35" s="160" t="str">
        <f t="array" ref="J35">If($G35="","",INDEX('Common function'!$G$8:$G56, match($G35,'Common function'!$C$8:$C56,0)))</f>
        <v/>
      </c>
      <c r="K35" s="160" t="str">
        <f t="array" ref="K35">If($G35="","",INDEX('Common function'!$H$8:$H56, match($G35,'Common function'!$C$8:$C56,0)))</f>
        <v/>
      </c>
      <c r="L35" s="160" t="str">
        <f t="shared" si="6"/>
        <v/>
      </c>
      <c r="M35" s="160" t="str">
        <f t="shared" si="4"/>
        <v/>
      </c>
      <c r="N35" s="178">
        <f t="shared" si="5"/>
        <v>0</v>
      </c>
      <c r="O35" s="146"/>
      <c r="P35" s="69"/>
      <c r="Q35" s="69"/>
      <c r="R35" s="69"/>
      <c r="S35" s="69"/>
      <c r="T35" s="69"/>
      <c r="U35" s="69"/>
      <c r="V35" s="69"/>
      <c r="W35" s="69"/>
      <c r="X35" s="69"/>
      <c r="Y35" s="69"/>
      <c r="Z35" s="69"/>
      <c r="AA35" s="69"/>
      <c r="AB35" s="69"/>
      <c r="AC35" s="69"/>
    </row>
    <row r="36" ht="15.75" customHeight="1">
      <c r="A36" s="136">
        <f t="shared" si="2"/>
        <v>25</v>
      </c>
      <c r="B36" s="237"/>
      <c r="C36" s="217" t="s">
        <v>308</v>
      </c>
      <c r="D36" s="136" t="s">
        <v>320</v>
      </c>
      <c r="E36" s="136" t="s">
        <v>320</v>
      </c>
      <c r="F36" s="136"/>
      <c r="G36" s="136"/>
      <c r="H36" s="146">
        <f>Appendix!$B$13</f>
        <v>1</v>
      </c>
      <c r="I36" s="160" t="str">
        <f t="array" ref="I36">If($G36="","",INDEX('Common function'!$F$8:$F56, match($G36,'Common function'!$C$8:$C56,0)))</f>
        <v/>
      </c>
      <c r="J36" s="160" t="str">
        <f t="array" ref="J36">If($G36="","",INDEX('Common function'!$G$8:$G56, match($G36,'Common function'!$C$8:$C56,0)))</f>
        <v/>
      </c>
      <c r="K36" s="160" t="str">
        <f t="array" ref="K36">If($G36="","",INDEX('Common function'!$H$8:$H56, match($G36,'Common function'!$C$8:$C56,0)))</f>
        <v/>
      </c>
      <c r="L36" s="160" t="str">
        <f t="shared" si="6"/>
        <v/>
      </c>
      <c r="M36" s="160" t="str">
        <f t="shared" si="4"/>
        <v/>
      </c>
      <c r="N36" s="178">
        <f t="shared" si="5"/>
        <v>0</v>
      </c>
      <c r="O36" s="146"/>
      <c r="P36" s="69"/>
      <c r="Q36" s="69"/>
      <c r="R36" s="69"/>
      <c r="S36" s="69"/>
      <c r="T36" s="69"/>
      <c r="U36" s="69"/>
      <c r="V36" s="69"/>
      <c r="W36" s="69"/>
      <c r="X36" s="69"/>
      <c r="Y36" s="69"/>
      <c r="Z36" s="69"/>
      <c r="AA36" s="69"/>
      <c r="AB36" s="69"/>
      <c r="AC36" s="69"/>
    </row>
    <row r="37" ht="15.75" customHeight="1">
      <c r="A37" s="136">
        <f t="shared" si="2"/>
        <v>26</v>
      </c>
      <c r="B37" s="237"/>
      <c r="C37" s="217" t="s">
        <v>308</v>
      </c>
      <c r="D37" s="136" t="s">
        <v>321</v>
      </c>
      <c r="E37" s="136" t="s">
        <v>321</v>
      </c>
      <c r="F37" s="136"/>
      <c r="G37" s="136"/>
      <c r="H37" s="146">
        <f>Appendix!$B$13</f>
        <v>1</v>
      </c>
      <c r="I37" s="160" t="str">
        <f t="array" ref="I37">If($G37="","",INDEX('Common function'!$F$8:$F56, match($G37,'Common function'!$C$8:$C56,0)))</f>
        <v/>
      </c>
      <c r="J37" s="160" t="str">
        <f t="array" ref="J37">If($G37="","",INDEX('Common function'!$G$8:$G56, match($G37,'Common function'!$C$8:$C56,0)))</f>
        <v/>
      </c>
      <c r="K37" s="160" t="str">
        <f t="array" ref="K37">If($G37="","",INDEX('Common function'!$H$8:$H56, match($G37,'Common function'!$C$8:$C56,0)))</f>
        <v/>
      </c>
      <c r="L37" s="160" t="str">
        <f t="shared" si="6"/>
        <v/>
      </c>
      <c r="M37" s="160" t="str">
        <f t="shared" si="4"/>
        <v/>
      </c>
      <c r="N37" s="178">
        <f t="shared" si="5"/>
        <v>0</v>
      </c>
      <c r="O37" s="146"/>
      <c r="P37" s="69"/>
      <c r="Q37" s="69"/>
      <c r="R37" s="69"/>
      <c r="S37" s="69"/>
      <c r="T37" s="69"/>
      <c r="U37" s="69"/>
      <c r="V37" s="69"/>
      <c r="W37" s="69"/>
      <c r="X37" s="69"/>
      <c r="Y37" s="69"/>
      <c r="Z37" s="69"/>
      <c r="AA37" s="69"/>
      <c r="AB37" s="69"/>
      <c r="AC37" s="69"/>
    </row>
    <row r="38" ht="15.75" customHeight="1">
      <c r="A38" s="136">
        <f t="shared" si="2"/>
        <v>27</v>
      </c>
      <c r="B38" s="237"/>
      <c r="C38" s="217" t="s">
        <v>308</v>
      </c>
      <c r="D38" s="136" t="s">
        <v>322</v>
      </c>
      <c r="E38" s="136" t="s">
        <v>322</v>
      </c>
      <c r="F38" s="136"/>
      <c r="G38" s="136"/>
      <c r="H38" s="146">
        <f>Appendix!$B$13</f>
        <v>1</v>
      </c>
      <c r="I38" s="160" t="str">
        <f t="array" ref="I38">If($G38="","",INDEX('Common function'!$F$8:$F56, match($G38,'Common function'!$C$8:$C56,0)))</f>
        <v/>
      </c>
      <c r="J38" s="160" t="str">
        <f t="array" ref="J38">If($G38="","",INDEX('Common function'!$G$8:$G56, match($G38,'Common function'!$C$8:$C56,0)))</f>
        <v/>
      </c>
      <c r="K38" s="160" t="str">
        <f t="array" ref="K38">If($G38="","",INDEX('Common function'!$H$8:$H56, match($G38,'Common function'!$C$8:$C56,0)))</f>
        <v/>
      </c>
      <c r="L38" s="160" t="str">
        <f t="shared" si="6"/>
        <v/>
      </c>
      <c r="M38" s="160" t="str">
        <f t="shared" si="4"/>
        <v/>
      </c>
      <c r="N38" s="178">
        <f t="shared" si="5"/>
        <v>0</v>
      </c>
      <c r="O38" s="146"/>
      <c r="P38" s="69"/>
      <c r="Q38" s="69"/>
      <c r="R38" s="69"/>
      <c r="S38" s="69"/>
      <c r="T38" s="69"/>
      <c r="U38" s="69"/>
      <c r="V38" s="69"/>
      <c r="W38" s="69"/>
      <c r="X38" s="69"/>
      <c r="Y38" s="69"/>
      <c r="Z38" s="69"/>
      <c r="AA38" s="69"/>
      <c r="AB38" s="69"/>
      <c r="AC38" s="69"/>
    </row>
    <row r="39" ht="15.75" customHeight="1">
      <c r="A39" s="136">
        <f t="shared" si="2"/>
        <v>28</v>
      </c>
      <c r="B39" s="237"/>
      <c r="C39" s="217" t="s">
        <v>308</v>
      </c>
      <c r="D39" s="136" t="s">
        <v>323</v>
      </c>
      <c r="E39" s="136" t="s">
        <v>323</v>
      </c>
      <c r="F39" s="136"/>
      <c r="G39" s="136"/>
      <c r="H39" s="146">
        <f>Appendix!$B$13</f>
        <v>1</v>
      </c>
      <c r="I39" s="160" t="str">
        <f t="array" ref="I39">If($G39="","",INDEX('Common function'!$F$8:$F56, match($G39,'Common function'!$C$8:$C56,0)))</f>
        <v/>
      </c>
      <c r="J39" s="160" t="str">
        <f t="array" ref="J39">If($G39="","",INDEX('Common function'!$G$8:$G56, match($G39,'Common function'!$C$8:$C56,0)))</f>
        <v/>
      </c>
      <c r="K39" s="160" t="str">
        <f t="array" ref="K39">If($G39="","",INDEX('Common function'!$H$8:$H56, match($G39,'Common function'!$C$8:$C56,0)))</f>
        <v/>
      </c>
      <c r="L39" s="160" t="str">
        <f t="shared" si="6"/>
        <v/>
      </c>
      <c r="M39" s="160" t="str">
        <f t="shared" si="4"/>
        <v/>
      </c>
      <c r="N39" s="178">
        <f t="shared" si="5"/>
        <v>0</v>
      </c>
      <c r="O39" s="146"/>
      <c r="P39" s="69"/>
      <c r="Q39" s="69"/>
      <c r="R39" s="69"/>
      <c r="S39" s="69"/>
      <c r="T39" s="69"/>
      <c r="U39" s="69"/>
      <c r="V39" s="69"/>
      <c r="W39" s="69"/>
      <c r="X39" s="69"/>
      <c r="Y39" s="69"/>
      <c r="Z39" s="69"/>
      <c r="AA39" s="69"/>
      <c r="AB39" s="69"/>
      <c r="AC39" s="69"/>
    </row>
    <row r="40" ht="15.75" customHeight="1">
      <c r="A40" s="136">
        <f t="shared" si="2"/>
        <v>29</v>
      </c>
      <c r="B40" s="263"/>
      <c r="C40" s="217" t="s">
        <v>308</v>
      </c>
      <c r="D40" s="136" t="s">
        <v>324</v>
      </c>
      <c r="E40" s="136" t="s">
        <v>324</v>
      </c>
      <c r="F40" s="136"/>
      <c r="G40" s="136"/>
      <c r="H40" s="146">
        <f>Appendix!$B$13</f>
        <v>1</v>
      </c>
      <c r="I40" s="160" t="str">
        <f t="array" ref="I40">If($G40="","",INDEX('Common function'!$F$8:$F56, match($G40,'Common function'!$C$8:$C56,0)))</f>
        <v/>
      </c>
      <c r="J40" s="160" t="str">
        <f t="array" ref="J40">If($G40="","",INDEX('Common function'!$G$8:$G56, match($G40,'Common function'!$C$8:$C56,0)))</f>
        <v/>
      </c>
      <c r="K40" s="160" t="str">
        <f t="array" ref="K40">If($G40="","",INDEX('Common function'!$H$8:$H56, match($G40,'Common function'!$C$8:$C56,0)))</f>
        <v/>
      </c>
      <c r="L40" s="160" t="str">
        <f t="shared" si="6"/>
        <v/>
      </c>
      <c r="M40" s="160" t="str">
        <f t="shared" si="4"/>
        <v/>
      </c>
      <c r="N40" s="178">
        <f t="shared" si="5"/>
        <v>0</v>
      </c>
      <c r="O40" s="146"/>
      <c r="P40" s="69"/>
      <c r="Q40" s="69"/>
      <c r="R40" s="69"/>
      <c r="S40" s="69"/>
      <c r="T40" s="69"/>
      <c r="U40" s="69"/>
      <c r="V40" s="69"/>
      <c r="W40" s="69"/>
      <c r="X40" s="69"/>
      <c r="Y40" s="69"/>
      <c r="Z40" s="69"/>
      <c r="AA40" s="69"/>
      <c r="AB40" s="69"/>
      <c r="AC40" s="69"/>
    </row>
    <row r="41" ht="15.75" customHeight="1">
      <c r="A41" s="136">
        <f t="shared" si="2"/>
        <v>30</v>
      </c>
      <c r="B41" s="216"/>
      <c r="C41" s="264"/>
      <c r="D41" s="136"/>
      <c r="E41" s="136"/>
      <c r="F41" s="136"/>
      <c r="G41" s="136"/>
      <c r="H41" s="146"/>
      <c r="I41" s="160" t="str">
        <f t="array" ref="I41">If($G41="","",INDEX('Common function'!$F$8:$F56, match($G41,'Common function'!$C$8:$C56,0)))</f>
        <v/>
      </c>
      <c r="J41" s="160" t="str">
        <f t="array" ref="J41">If($G41="","",INDEX('Common function'!$G$8:$G56, match($G41,'Common function'!$C$8:$C56,0)))</f>
        <v/>
      </c>
      <c r="K41" s="160" t="str">
        <f t="array" ref="K41">If($G41="","",INDEX('Common function'!$H$8:$H56, match($G41,'Common function'!$C$8:$C56,0)))</f>
        <v/>
      </c>
      <c r="L41" s="160" t="str">
        <f t="shared" si="6"/>
        <v/>
      </c>
      <c r="M41" s="160" t="str">
        <f t="shared" si="4"/>
        <v/>
      </c>
      <c r="N41" s="178">
        <f t="shared" si="5"/>
        <v>0</v>
      </c>
      <c r="O41" s="146"/>
      <c r="P41" s="69"/>
      <c r="Q41" s="69"/>
      <c r="R41" s="69"/>
      <c r="S41" s="69"/>
      <c r="T41" s="69"/>
      <c r="U41" s="69"/>
      <c r="V41" s="69"/>
      <c r="W41" s="69"/>
      <c r="X41" s="69"/>
      <c r="Y41" s="69"/>
      <c r="Z41" s="69"/>
      <c r="AA41" s="69"/>
      <c r="AB41" s="69"/>
      <c r="AC41" s="69"/>
    </row>
    <row r="42" ht="15.75" customHeight="1">
      <c r="A42" s="136">
        <f t="shared" si="2"/>
        <v>31</v>
      </c>
      <c r="B42" s="237"/>
      <c r="C42" s="264"/>
      <c r="D42" s="136"/>
      <c r="E42" s="136"/>
      <c r="F42" s="136"/>
      <c r="G42" s="136"/>
      <c r="H42" s="146"/>
      <c r="I42" s="160" t="str">
        <f t="array" ref="I42">If($G42="","",INDEX('Common function'!$F$8:$F56, match($G42,'Common function'!$C$8:$C56,0)))</f>
        <v/>
      </c>
      <c r="J42" s="160" t="str">
        <f t="array" ref="J42">If($G42="","",INDEX('Common function'!$G$8:$G56, match($G42,'Common function'!$C$8:$C56,0)))</f>
        <v/>
      </c>
      <c r="K42" s="160" t="str">
        <f t="array" ref="K42">If($G42="","",INDEX('Common function'!$H$8:$H56, match($G42,'Common function'!$C$8:$C56,0)))</f>
        <v/>
      </c>
      <c r="L42" s="160" t="str">
        <f t="shared" si="6"/>
        <v/>
      </c>
      <c r="M42" s="160" t="str">
        <f t="shared" si="4"/>
        <v/>
      </c>
      <c r="N42" s="178">
        <f t="shared" si="5"/>
        <v>0</v>
      </c>
      <c r="O42" s="146"/>
      <c r="P42" s="69"/>
      <c r="Q42" s="69"/>
      <c r="R42" s="69"/>
      <c r="S42" s="69"/>
      <c r="T42" s="69"/>
      <c r="U42" s="69"/>
      <c r="V42" s="69"/>
      <c r="W42" s="69"/>
      <c r="X42" s="69"/>
      <c r="Y42" s="69"/>
      <c r="Z42" s="69"/>
      <c r="AA42" s="69"/>
      <c r="AB42" s="69"/>
      <c r="AC42" s="69"/>
    </row>
    <row r="43" ht="15.75" customHeight="1">
      <c r="A43" s="136">
        <f t="shared" si="2"/>
        <v>32</v>
      </c>
      <c r="B43" s="237"/>
      <c r="C43" s="264"/>
      <c r="D43" s="136"/>
      <c r="E43" s="136"/>
      <c r="F43" s="136"/>
      <c r="G43" s="136"/>
      <c r="H43" s="146"/>
      <c r="I43" s="160" t="str">
        <f t="array" ref="I43">If($G43="","",INDEX('Common function'!$F$8:$F56, match($G43,'Common function'!$C$8:$C56,0)))</f>
        <v/>
      </c>
      <c r="J43" s="160" t="str">
        <f t="array" ref="J43">If($G43="","",INDEX('Common function'!$G$8:$G56, match($G43,'Common function'!$C$8:$C56,0)))</f>
        <v/>
      </c>
      <c r="K43" s="160" t="str">
        <f t="array" ref="K43">If($G43="","",INDEX('Common function'!$H$8:$H56, match($G43,'Common function'!$C$8:$C56,0)))</f>
        <v/>
      </c>
      <c r="L43" s="160" t="str">
        <f t="shared" si="6"/>
        <v/>
      </c>
      <c r="M43" s="160" t="str">
        <f t="shared" si="4"/>
        <v/>
      </c>
      <c r="N43" s="178">
        <f t="shared" si="5"/>
        <v>0</v>
      </c>
      <c r="O43" s="146"/>
      <c r="P43" s="69"/>
      <c r="Q43" s="69"/>
      <c r="R43" s="69"/>
      <c r="S43" s="69"/>
      <c r="T43" s="69"/>
      <c r="U43" s="69"/>
      <c r="V43" s="69"/>
      <c r="W43" s="69"/>
      <c r="X43" s="69"/>
      <c r="Y43" s="69"/>
      <c r="Z43" s="69"/>
      <c r="AA43" s="69"/>
      <c r="AB43" s="69"/>
      <c r="AC43" s="69"/>
    </row>
    <row r="44" ht="15.75" customHeight="1">
      <c r="A44" s="136">
        <f t="shared" si="2"/>
        <v>33</v>
      </c>
      <c r="B44" s="237"/>
      <c r="C44" s="264"/>
      <c r="D44" s="136"/>
      <c r="E44" s="136"/>
      <c r="F44" s="136"/>
      <c r="G44" s="136"/>
      <c r="H44" s="146"/>
      <c r="I44" s="160" t="str">
        <f t="array" ref="I44">If($G44="","",INDEX('Common function'!$F$8:$F56, match($G44,'Common function'!$C$8:$C56,0)))</f>
        <v/>
      </c>
      <c r="J44" s="160" t="str">
        <f t="array" ref="J44">If($G44="","",INDEX('Common function'!$G$8:$G56, match($G44,'Common function'!$C$8:$C56,0)))</f>
        <v/>
      </c>
      <c r="K44" s="160" t="str">
        <f t="array" ref="K44">If($G44="","",INDEX('Common function'!$H$8:$H56, match($G44,'Common function'!$C$8:$C56,0)))</f>
        <v/>
      </c>
      <c r="L44" s="160" t="str">
        <f t="shared" si="6"/>
        <v/>
      </c>
      <c r="M44" s="160" t="str">
        <f t="shared" si="4"/>
        <v/>
      </c>
      <c r="N44" s="178">
        <f t="shared" si="5"/>
        <v>0</v>
      </c>
      <c r="O44" s="146"/>
      <c r="P44" s="69"/>
      <c r="Q44" s="69"/>
      <c r="R44" s="69"/>
      <c r="S44" s="69"/>
      <c r="T44" s="69"/>
      <c r="U44" s="69"/>
      <c r="V44" s="69"/>
      <c r="W44" s="69"/>
      <c r="X44" s="69"/>
      <c r="Y44" s="69"/>
      <c r="Z44" s="69"/>
      <c r="AA44" s="69"/>
      <c r="AB44" s="69"/>
      <c r="AC44" s="69"/>
    </row>
    <row r="45" ht="15.75" customHeight="1">
      <c r="A45" s="136">
        <f t="shared" si="2"/>
        <v>34</v>
      </c>
      <c r="B45" s="237"/>
      <c r="C45" s="264"/>
      <c r="D45" s="136"/>
      <c r="E45" s="136"/>
      <c r="F45" s="136"/>
      <c r="G45" s="136"/>
      <c r="H45" s="146"/>
      <c r="I45" s="160" t="str">
        <f t="array" ref="I45">If($G45="","",INDEX('Common function'!$F$8:$F56, match($G45,'Common function'!$C$8:$C56,0)))</f>
        <v/>
      </c>
      <c r="J45" s="160" t="str">
        <f t="array" ref="J45">If($G45="","",INDEX('Common function'!$G$8:$G56, match($G45,'Common function'!$C$8:$C56,0)))</f>
        <v/>
      </c>
      <c r="K45" s="160" t="str">
        <f t="array" ref="K45">If($G45="","",INDEX('Common function'!$H$8:$H56, match($G45,'Common function'!$C$8:$C56,0)))</f>
        <v/>
      </c>
      <c r="L45" s="160" t="str">
        <f t="shared" si="6"/>
        <v/>
      </c>
      <c r="M45" s="160" t="str">
        <f t="shared" si="4"/>
        <v/>
      </c>
      <c r="N45" s="178">
        <f t="shared" si="5"/>
        <v>0</v>
      </c>
      <c r="O45" s="146"/>
      <c r="P45" s="69"/>
      <c r="Q45" s="69"/>
      <c r="R45" s="69"/>
      <c r="S45" s="69"/>
      <c r="T45" s="69"/>
      <c r="U45" s="69"/>
      <c r="V45" s="69"/>
      <c r="W45" s="69"/>
      <c r="X45" s="69"/>
      <c r="Y45" s="69"/>
      <c r="Z45" s="69"/>
      <c r="AA45" s="69"/>
      <c r="AB45" s="69"/>
      <c r="AC45" s="69"/>
    </row>
    <row r="46" ht="15.75" customHeight="1">
      <c r="A46" s="136">
        <f t="shared" si="2"/>
        <v>35</v>
      </c>
      <c r="B46" s="237"/>
      <c r="C46" s="264"/>
      <c r="D46" s="136"/>
      <c r="E46" s="136"/>
      <c r="F46" s="136"/>
      <c r="G46" s="136"/>
      <c r="H46" s="146"/>
      <c r="I46" s="160" t="str">
        <f t="array" ref="I46">If($G46="","",INDEX('Common function'!$F$8:$F56, match($G46,'Common function'!$C$8:$C56,0)))</f>
        <v/>
      </c>
      <c r="J46" s="160" t="str">
        <f t="array" ref="J46">If($G46="","",INDEX('Common function'!$G$8:$G56, match($G46,'Common function'!$C$8:$C56,0)))</f>
        <v/>
      </c>
      <c r="K46" s="160" t="str">
        <f t="array" ref="K46">If($G46="","",INDEX('Common function'!$H$8:$H56, match($G46,'Common function'!$C$8:$C56,0)))</f>
        <v/>
      </c>
      <c r="L46" s="160" t="str">
        <f t="shared" si="6"/>
        <v/>
      </c>
      <c r="M46" s="160" t="str">
        <f t="shared" si="4"/>
        <v/>
      </c>
      <c r="N46" s="178">
        <f t="shared" si="5"/>
        <v>0</v>
      </c>
      <c r="O46" s="146"/>
      <c r="P46" s="69"/>
      <c r="Q46" s="69"/>
      <c r="R46" s="69"/>
      <c r="S46" s="69"/>
      <c r="T46" s="69"/>
      <c r="U46" s="69"/>
      <c r="V46" s="69"/>
      <c r="W46" s="69"/>
      <c r="X46" s="69"/>
      <c r="Y46" s="69"/>
      <c r="Z46" s="69"/>
      <c r="AA46" s="69"/>
      <c r="AB46" s="69"/>
      <c r="AC46" s="69"/>
    </row>
    <row r="47" ht="15.75" customHeight="1">
      <c r="A47" s="136">
        <f t="shared" si="2"/>
        <v>36</v>
      </c>
      <c r="B47" s="237"/>
      <c r="C47" s="264"/>
      <c r="D47" s="136"/>
      <c r="E47" s="136"/>
      <c r="F47" s="136"/>
      <c r="G47" s="136"/>
      <c r="H47" s="146"/>
      <c r="I47" s="160" t="str">
        <f t="array" ref="I47">If($G47="","",INDEX('Common function'!$F$8:$F56, match($G47,'Common function'!$C$8:$C56,0)))</f>
        <v/>
      </c>
      <c r="J47" s="160" t="str">
        <f t="array" ref="J47">If($G47="","",INDEX('Common function'!$G$8:$G56, match($G47,'Common function'!$C$8:$C56,0)))</f>
        <v/>
      </c>
      <c r="K47" s="160" t="str">
        <f t="array" ref="K47">If($G47="","",INDEX('Common function'!$H$8:$H56, match($G47,'Common function'!$C$8:$C56,0)))</f>
        <v/>
      </c>
      <c r="L47" s="160" t="str">
        <f t="shared" si="6"/>
        <v/>
      </c>
      <c r="M47" s="160" t="str">
        <f t="shared" si="4"/>
        <v/>
      </c>
      <c r="N47" s="178">
        <f t="shared" si="5"/>
        <v>0</v>
      </c>
      <c r="O47" s="146"/>
      <c r="P47" s="69"/>
      <c r="Q47" s="69"/>
      <c r="R47" s="69"/>
      <c r="S47" s="69"/>
      <c r="T47" s="69"/>
      <c r="U47" s="69"/>
      <c r="V47" s="69"/>
      <c r="W47" s="69"/>
      <c r="X47" s="69"/>
      <c r="Y47" s="69"/>
      <c r="Z47" s="69"/>
      <c r="AA47" s="69"/>
      <c r="AB47" s="69"/>
      <c r="AC47" s="69"/>
    </row>
    <row r="48" ht="15.75" customHeight="1">
      <c r="A48" s="136">
        <f t="shared" si="2"/>
        <v>37</v>
      </c>
      <c r="B48" s="237"/>
      <c r="C48" s="264"/>
      <c r="D48" s="136"/>
      <c r="E48" s="136"/>
      <c r="F48" s="136"/>
      <c r="G48" s="136"/>
      <c r="H48" s="146"/>
      <c r="I48" s="160" t="str">
        <f t="array" ref="I48">If($G48="","",INDEX('Common function'!$F$8:$F56, match($G48,'Common function'!$C$8:$C56,0)))</f>
        <v/>
      </c>
      <c r="J48" s="160" t="str">
        <f t="array" ref="J48">If($G48="","",INDEX('Common function'!$G$8:$G56, match($G48,'Common function'!$C$8:$C56,0)))</f>
        <v/>
      </c>
      <c r="K48" s="160" t="str">
        <f t="array" ref="K48">If($G48="","",INDEX('Common function'!$H$8:$H56, match($G48,'Common function'!$C$8:$C56,0)))</f>
        <v/>
      </c>
      <c r="L48" s="160" t="str">
        <f t="shared" si="6"/>
        <v/>
      </c>
      <c r="M48" s="160" t="str">
        <f t="shared" si="4"/>
        <v/>
      </c>
      <c r="N48" s="178">
        <f t="shared" si="5"/>
        <v>0</v>
      </c>
      <c r="O48" s="146"/>
      <c r="P48" s="69"/>
      <c r="Q48" s="69"/>
      <c r="R48" s="69"/>
      <c r="S48" s="69"/>
      <c r="T48" s="69"/>
      <c r="U48" s="69"/>
      <c r="V48" s="69"/>
      <c r="W48" s="69"/>
      <c r="X48" s="69"/>
      <c r="Y48" s="69"/>
      <c r="Z48" s="69"/>
      <c r="AA48" s="69"/>
      <c r="AB48" s="69"/>
      <c r="AC48" s="69"/>
    </row>
    <row r="49" ht="15.75" customHeight="1">
      <c r="A49" s="136">
        <f t="shared" si="2"/>
        <v>38</v>
      </c>
      <c r="B49" s="263"/>
      <c r="C49" s="264"/>
      <c r="D49" s="136"/>
      <c r="E49" s="136"/>
      <c r="F49" s="136"/>
      <c r="G49" s="136"/>
      <c r="H49" s="146"/>
      <c r="I49" s="160" t="str">
        <f t="array" ref="I49">If($G49="","",INDEX('Common function'!$F$8:$F56, match($G49,'Common function'!$C$8:$C56,0)))</f>
        <v/>
      </c>
      <c r="J49" s="160" t="str">
        <f t="array" ref="J49">If($G49="","",INDEX('Common function'!$G$8:$G56, match($G49,'Common function'!$C$8:$C56,0)))</f>
        <v/>
      </c>
      <c r="K49" s="160" t="str">
        <f t="array" ref="K49">If($G49="","",INDEX('Common function'!$H$8:$H56, match($G49,'Common function'!$C$8:$C56,0)))</f>
        <v/>
      </c>
      <c r="L49" s="160" t="str">
        <f t="shared" si="6"/>
        <v/>
      </c>
      <c r="M49" s="160" t="str">
        <f t="shared" si="4"/>
        <v/>
      </c>
      <c r="N49" s="178">
        <f t="shared" si="5"/>
        <v>0</v>
      </c>
      <c r="O49" s="146"/>
      <c r="P49" s="69"/>
      <c r="Q49" s="69"/>
      <c r="R49" s="69"/>
      <c r="S49" s="69"/>
      <c r="T49" s="69"/>
      <c r="U49" s="69"/>
      <c r="V49" s="69"/>
      <c r="W49" s="69"/>
      <c r="X49" s="69"/>
      <c r="Y49" s="69"/>
      <c r="Z49" s="69"/>
      <c r="AA49" s="69"/>
      <c r="AB49" s="69"/>
      <c r="AC49" s="69"/>
    </row>
    <row r="50" ht="15.75" customHeight="1">
      <c r="A50" s="265"/>
      <c r="B50" s="266"/>
      <c r="C50" s="265"/>
      <c r="D50" s="265"/>
      <c r="E50" s="265"/>
      <c r="F50" s="136"/>
      <c r="G50" s="136"/>
      <c r="H50" s="267"/>
      <c r="I50" s="160" t="str">
        <f t="array" ref="I50">If($G50="","",INDEX('Common function'!$F$8:$F56, match($G50,'Common function'!$C$8:$C56,0)))</f>
        <v/>
      </c>
      <c r="J50" s="160" t="str">
        <f t="array" ref="J50">If($G50="","",INDEX('Common function'!$G$8:$G56, match($G50,'Common function'!$C$8:$C56,0)))</f>
        <v/>
      </c>
      <c r="K50" s="160" t="str">
        <f t="array" ref="K50">If($G50="","",INDEX('Common function'!$H$8:$H56, match($G50,'Common function'!$C$8:$C56,0)))</f>
        <v/>
      </c>
      <c r="L50" s="160" t="str">
        <f t="shared" si="6"/>
        <v/>
      </c>
      <c r="M50" s="160" t="str">
        <f t="shared" si="4"/>
        <v/>
      </c>
      <c r="N50" s="178"/>
      <c r="O50" s="146"/>
      <c r="P50" s="69"/>
      <c r="Q50" s="69"/>
      <c r="R50" s="69"/>
      <c r="S50" s="69"/>
      <c r="T50" s="69"/>
      <c r="U50" s="69"/>
      <c r="V50" s="69"/>
      <c r="W50" s="69"/>
      <c r="X50" s="69"/>
      <c r="Y50" s="69"/>
      <c r="Z50" s="69"/>
      <c r="AA50" s="69"/>
      <c r="AB50" s="69"/>
      <c r="AC50" s="69"/>
    </row>
    <row r="51" ht="15.75" customHeight="1">
      <c r="A51" s="265"/>
      <c r="B51" s="266"/>
      <c r="C51" s="265"/>
      <c r="D51" s="265"/>
      <c r="E51" s="265"/>
      <c r="F51" s="136"/>
      <c r="G51" s="136"/>
      <c r="H51" s="267"/>
      <c r="I51" s="160" t="str">
        <f t="array" ref="I51">If($G51="","",INDEX('Common function'!$F$8:$F56, match($G51,'Common function'!$C$8:$C56,0)))</f>
        <v/>
      </c>
      <c r="J51" s="160" t="str">
        <f t="array" ref="J51">If($G51="","",INDEX('Common function'!$G$8:$G56, match($G51,'Common function'!$C$8:$C56,0)))</f>
        <v/>
      </c>
      <c r="K51" s="160" t="str">
        <f t="array" ref="K51">If($G51="","",INDEX('Common function'!$H$8:$H56, match($G51,'Common function'!$C$8:$C56,0)))</f>
        <v/>
      </c>
      <c r="L51" s="160" t="str">
        <f t="shared" si="6"/>
        <v/>
      </c>
      <c r="M51" s="160" t="str">
        <f t="shared" si="4"/>
        <v/>
      </c>
      <c r="N51" s="178"/>
      <c r="O51" s="146"/>
      <c r="P51" s="69"/>
      <c r="Q51" s="69"/>
      <c r="R51" s="69"/>
      <c r="S51" s="69"/>
      <c r="T51" s="69"/>
      <c r="U51" s="69"/>
      <c r="V51" s="69"/>
      <c r="W51" s="69"/>
      <c r="X51" s="69"/>
      <c r="Y51" s="69"/>
      <c r="Z51" s="69"/>
      <c r="AA51" s="69"/>
      <c r="AB51" s="69"/>
      <c r="AC51" s="69"/>
    </row>
    <row r="52" ht="15.75" customHeight="1">
      <c r="A52" s="265"/>
      <c r="B52" s="266"/>
      <c r="C52" s="265"/>
      <c r="D52" s="265"/>
      <c r="E52" s="265"/>
      <c r="F52" s="136"/>
      <c r="G52" s="136"/>
      <c r="H52" s="267"/>
      <c r="I52" s="160" t="str">
        <f t="array" ref="I52">If($G52="","",INDEX('Common function'!$F$8:$F56, match($G52,'Common function'!$C$8:$C56,0)))</f>
        <v/>
      </c>
      <c r="J52" s="160" t="str">
        <f t="array" ref="J52">If($G52="","",INDEX('Common function'!$G$8:$G56, match($G52,'Common function'!$C$8:$C56,0)))</f>
        <v/>
      </c>
      <c r="K52" s="160" t="str">
        <f t="array" ref="K52">If($G52="","",INDEX('Common function'!$H$8:$H56, match($G52,'Common function'!$C$8:$C56,0)))</f>
        <v/>
      </c>
      <c r="L52" s="160" t="str">
        <f t="shared" si="6"/>
        <v/>
      </c>
      <c r="M52" s="160" t="str">
        <f t="shared" si="4"/>
        <v/>
      </c>
      <c r="N52" s="178"/>
      <c r="O52" s="146"/>
      <c r="P52" s="69"/>
      <c r="Q52" s="69"/>
      <c r="R52" s="69"/>
      <c r="S52" s="69"/>
      <c r="T52" s="69"/>
      <c r="U52" s="69"/>
      <c r="V52" s="69"/>
      <c r="W52" s="69"/>
      <c r="X52" s="69"/>
      <c r="Y52" s="69"/>
      <c r="Z52" s="69"/>
      <c r="AA52" s="69"/>
      <c r="AB52" s="69"/>
      <c r="AC52" s="69"/>
    </row>
    <row r="53" ht="15.75" customHeight="1">
      <c r="A53" s="265"/>
      <c r="B53" s="266"/>
      <c r="C53" s="265"/>
      <c r="D53" s="265"/>
      <c r="E53" s="265"/>
      <c r="F53" s="136"/>
      <c r="G53" s="136"/>
      <c r="H53" s="267"/>
      <c r="I53" s="160" t="str">
        <f t="array" ref="I53">If($G53="","",INDEX('Common function'!$F$8:$F56, match($G53,'Common function'!$C$8:$C56,0)))</f>
        <v/>
      </c>
      <c r="J53" s="160" t="str">
        <f t="array" ref="J53">If($G53="","",INDEX('Common function'!$G$8:$G56, match($G53,'Common function'!$C$8:$C56,0)))</f>
        <v/>
      </c>
      <c r="K53" s="160" t="str">
        <f t="array" ref="K53">If($G53="","",INDEX('Common function'!$H$8:$H56, match($G53,'Common function'!$C$8:$C56,0)))</f>
        <v/>
      </c>
      <c r="L53" s="160" t="str">
        <f t="shared" si="6"/>
        <v/>
      </c>
      <c r="M53" s="160" t="str">
        <f t="shared" si="4"/>
        <v/>
      </c>
      <c r="N53" s="178"/>
      <c r="O53" s="146"/>
      <c r="P53" s="69"/>
      <c r="Q53" s="69"/>
      <c r="R53" s="69"/>
      <c r="S53" s="69"/>
      <c r="T53" s="69"/>
      <c r="U53" s="69"/>
      <c r="V53" s="69"/>
      <c r="W53" s="69"/>
      <c r="X53" s="69"/>
      <c r="Y53" s="69"/>
      <c r="Z53" s="69"/>
      <c r="AA53" s="69"/>
      <c r="AB53" s="69"/>
      <c r="AC53" s="69"/>
    </row>
    <row r="54" ht="15.75" customHeight="1">
      <c r="A54" s="265"/>
      <c r="B54" s="266"/>
      <c r="C54" s="265"/>
      <c r="D54" s="265"/>
      <c r="E54" s="265"/>
      <c r="F54" s="136"/>
      <c r="G54" s="136"/>
      <c r="H54" s="267"/>
      <c r="I54" s="160" t="str">
        <f t="array" ref="I54">If($G54="","",INDEX('Common function'!$F$8:$F56, match($G54,'Common function'!$C$8:$C56,0)))</f>
        <v/>
      </c>
      <c r="J54" s="160" t="str">
        <f t="array" ref="J54">If($G54="","",INDEX('Common function'!$G$8:$G56, match($G54,'Common function'!$C$8:$C56,0)))</f>
        <v/>
      </c>
      <c r="K54" s="160" t="str">
        <f t="array" ref="K54">If($G54="","",INDEX('Common function'!$H$8:$H56, match($G54,'Common function'!$C$8:$C56,0)))</f>
        <v/>
      </c>
      <c r="L54" s="160" t="str">
        <f t="shared" si="6"/>
        <v/>
      </c>
      <c r="M54" s="160" t="str">
        <f t="shared" si="4"/>
        <v/>
      </c>
      <c r="N54" s="178"/>
      <c r="O54" s="146"/>
      <c r="P54" s="69"/>
      <c r="Q54" s="69"/>
      <c r="R54" s="69"/>
      <c r="S54" s="69"/>
      <c r="T54" s="69"/>
      <c r="U54" s="69"/>
      <c r="V54" s="69"/>
      <c r="W54" s="69"/>
      <c r="X54" s="69"/>
      <c r="Y54" s="69"/>
      <c r="Z54" s="69"/>
      <c r="AA54" s="69"/>
      <c r="AB54" s="69"/>
      <c r="AC54" s="69"/>
    </row>
    <row r="55" ht="15.75" customHeight="1">
      <c r="A55" s="265"/>
      <c r="B55" s="266"/>
      <c r="C55" s="265"/>
      <c r="D55" s="265"/>
      <c r="E55" s="265"/>
      <c r="F55" s="136"/>
      <c r="G55" s="136"/>
      <c r="H55" s="267"/>
      <c r="I55" s="160" t="str">
        <f t="array" ref="I55">If($G55="","",INDEX('Common function'!$F$8:$F56, match($G55,'Common function'!$C$8:$C56,0)))</f>
        <v/>
      </c>
      <c r="J55" s="160" t="str">
        <f t="array" ref="J55">If($G55="","",INDEX('Common function'!$G$8:$G56, match($G55,'Common function'!$C$8:$C56,0)))</f>
        <v/>
      </c>
      <c r="K55" s="160" t="str">
        <f t="array" ref="K55">If($G55="","",INDEX('Common function'!$H$8:$H56, match($G55,'Common function'!$C$8:$C56,0)))</f>
        <v/>
      </c>
      <c r="L55" s="160" t="str">
        <f t="shared" si="6"/>
        <v/>
      </c>
      <c r="M55" s="160" t="str">
        <f t="shared" si="4"/>
        <v/>
      </c>
      <c r="N55" s="178"/>
      <c r="O55" s="146"/>
      <c r="P55" s="69"/>
      <c r="Q55" s="69"/>
      <c r="R55" s="69"/>
      <c r="S55" s="69"/>
      <c r="T55" s="69"/>
      <c r="U55" s="69"/>
      <c r="V55" s="69"/>
      <c r="W55" s="69"/>
      <c r="X55" s="69"/>
      <c r="Y55" s="69"/>
      <c r="Z55" s="69"/>
      <c r="AA55" s="69"/>
      <c r="AB55" s="69"/>
      <c r="AC55" s="69"/>
    </row>
    <row r="56" ht="15.75" customHeight="1">
      <c r="A56" s="265"/>
      <c r="B56" s="266"/>
      <c r="C56" s="265"/>
      <c r="D56" s="265"/>
      <c r="E56" s="265"/>
      <c r="F56" s="136"/>
      <c r="G56" s="136"/>
      <c r="H56" s="267"/>
      <c r="I56" s="160" t="str">
        <f t="array" ref="I56">If($G56="","",INDEX('Common function'!$F$8:$F56, match($G56,'Common function'!$C$8:$C56,0)))</f>
        <v/>
      </c>
      <c r="J56" s="160" t="str">
        <f t="array" ref="J56">If($G56="","",INDEX('Common function'!$G$8:$G56, match($G56,'Common function'!$C$8:$C56,0)))</f>
        <v/>
      </c>
      <c r="K56" s="160" t="str">
        <f t="array" ref="K56">If($G56="","",INDEX('Common function'!$H$8:$H56, match($G56,'Common function'!$C$8:$C56,0)))</f>
        <v/>
      </c>
      <c r="L56" s="160" t="str">
        <f t="shared" si="6"/>
        <v/>
      </c>
      <c r="M56" s="160" t="str">
        <f t="shared" si="4"/>
        <v/>
      </c>
      <c r="N56" s="178"/>
      <c r="O56" s="146"/>
      <c r="P56" s="69"/>
      <c r="Q56" s="69"/>
      <c r="R56" s="69"/>
      <c r="S56" s="69"/>
      <c r="T56" s="69"/>
      <c r="U56" s="69"/>
      <c r="V56" s="69"/>
      <c r="W56" s="69"/>
      <c r="X56" s="69"/>
      <c r="Y56" s="69"/>
      <c r="Z56" s="69"/>
      <c r="AA56" s="69"/>
      <c r="AB56" s="69"/>
      <c r="AC56" s="69"/>
    </row>
    <row r="57" ht="15.75" customHeight="1">
      <c r="A57" s="265"/>
      <c r="B57" s="266"/>
      <c r="C57" s="265"/>
      <c r="D57" s="265"/>
      <c r="E57" s="265"/>
      <c r="F57" s="136"/>
      <c r="G57" s="136"/>
      <c r="H57" s="267"/>
      <c r="I57" s="160" t="str">
        <f t="array" ref="I57">If($G57="","",INDEX('Common function'!$F$8:$F56, match($G57,'Common function'!$C$8:$C56,0)))</f>
        <v/>
      </c>
      <c r="J57" s="160" t="str">
        <f t="array" ref="J57">If($G57="","",INDEX('Common function'!$G$8:$G56, match($G57,'Common function'!$C$8:$C56,0)))</f>
        <v/>
      </c>
      <c r="K57" s="160" t="str">
        <f t="array" ref="K57">If($G57="","",INDEX('Common function'!$H$8:$H56, match($G57,'Common function'!$C$8:$C56,0)))</f>
        <v/>
      </c>
      <c r="L57" s="160" t="str">
        <f t="shared" si="6"/>
        <v/>
      </c>
      <c r="M57" s="160" t="str">
        <f t="shared" si="4"/>
        <v/>
      </c>
      <c r="N57" s="178"/>
      <c r="O57" s="146"/>
      <c r="P57" s="69"/>
      <c r="Q57" s="69"/>
      <c r="R57" s="69"/>
      <c r="S57" s="69"/>
      <c r="T57" s="69"/>
      <c r="U57" s="69"/>
      <c r="V57" s="69"/>
      <c r="W57" s="69"/>
      <c r="X57" s="69"/>
      <c r="Y57" s="69"/>
      <c r="Z57" s="69"/>
      <c r="AA57" s="69"/>
      <c r="AB57" s="69"/>
      <c r="AC57" s="69"/>
    </row>
    <row r="58" ht="15.75" customHeight="1">
      <c r="A58" s="265"/>
      <c r="B58" s="266"/>
      <c r="C58" s="265"/>
      <c r="D58" s="265"/>
      <c r="E58" s="265"/>
      <c r="F58" s="136"/>
      <c r="G58" s="136"/>
      <c r="H58" s="267"/>
      <c r="I58" s="160" t="str">
        <f t="array" ref="I58">If($G58="","",INDEX('Common function'!$F$8:$F56, match($G58,'Common function'!$C$8:$C56,0)))</f>
        <v/>
      </c>
      <c r="J58" s="160" t="str">
        <f t="array" ref="J58">If($G58="","",INDEX('Common function'!$G$8:$G56, match($G58,'Common function'!$C$8:$C56,0)))</f>
        <v/>
      </c>
      <c r="K58" s="160" t="str">
        <f t="array" ref="K58">If($G58="","",INDEX('Common function'!$H$8:$H56, match($G58,'Common function'!$C$8:$C56,0)))</f>
        <v/>
      </c>
      <c r="L58" s="160" t="str">
        <f t="shared" si="6"/>
        <v/>
      </c>
      <c r="M58" s="160" t="str">
        <f t="shared" si="4"/>
        <v/>
      </c>
      <c r="N58" s="178"/>
      <c r="O58" s="146"/>
      <c r="P58" s="69"/>
      <c r="Q58" s="69"/>
      <c r="R58" s="69"/>
      <c r="S58" s="69"/>
      <c r="T58" s="69"/>
      <c r="U58" s="69"/>
      <c r="V58" s="69"/>
      <c r="W58" s="69"/>
      <c r="X58" s="69"/>
      <c r="Y58" s="69"/>
      <c r="Z58" s="69"/>
      <c r="AA58" s="69"/>
      <c r="AB58" s="69"/>
      <c r="AC58" s="69"/>
    </row>
    <row r="59" ht="15.75" customHeight="1">
      <c r="A59" s="265"/>
      <c r="B59" s="266"/>
      <c r="C59" s="265"/>
      <c r="D59" s="265"/>
      <c r="E59" s="265"/>
      <c r="F59" s="136"/>
      <c r="G59" s="136"/>
      <c r="H59" s="267"/>
      <c r="I59" s="160" t="str">
        <f t="array" ref="I59">If($G59="","",INDEX('Common function'!$F$8:$F56, match($G59,'Common function'!$C$8:$C56,0)))</f>
        <v/>
      </c>
      <c r="J59" s="160" t="str">
        <f t="array" ref="J59">If($G59="","",INDEX('Common function'!$G$8:$G56, match($G59,'Common function'!$C$8:$C56,0)))</f>
        <v/>
      </c>
      <c r="K59" s="160" t="str">
        <f t="array" ref="K59">If($G59="","",INDEX('Common function'!$H$8:$H56, match($G59,'Common function'!$C$8:$C56,0)))</f>
        <v/>
      </c>
      <c r="L59" s="160" t="str">
        <f t="shared" si="6"/>
        <v/>
      </c>
      <c r="M59" s="160" t="str">
        <f t="shared" si="4"/>
        <v/>
      </c>
      <c r="N59" s="178"/>
      <c r="O59" s="146"/>
      <c r="P59" s="69"/>
      <c r="Q59" s="69"/>
      <c r="R59" s="69"/>
      <c r="S59" s="69"/>
      <c r="T59" s="69"/>
      <c r="U59" s="69"/>
      <c r="V59" s="69"/>
      <c r="W59" s="69"/>
      <c r="X59" s="69"/>
      <c r="Y59" s="69"/>
      <c r="Z59" s="69"/>
      <c r="AA59" s="69"/>
      <c r="AB59" s="69"/>
      <c r="AC59" s="69"/>
    </row>
    <row r="60" ht="15.75" customHeight="1">
      <c r="A60" s="265"/>
      <c r="B60" s="266"/>
      <c r="C60" s="265"/>
      <c r="D60" s="265"/>
      <c r="E60" s="265"/>
      <c r="F60" s="136"/>
      <c r="G60" s="136"/>
      <c r="H60" s="267"/>
      <c r="I60" s="160" t="str">
        <f t="array" ref="I60">If($G60="","",INDEX('Common function'!$F$8:$F56, match($G60,'Common function'!$C$8:$C56,0)))</f>
        <v/>
      </c>
      <c r="J60" s="160" t="str">
        <f t="array" ref="J60">If($G60="","",INDEX('Common function'!$G$8:$G56, match($G60,'Common function'!$C$8:$C56,0)))</f>
        <v/>
      </c>
      <c r="K60" s="160" t="str">
        <f t="array" ref="K60">If($G60="","",INDEX('Common function'!$H$8:$H56, match($G60,'Common function'!$C$8:$C56,0)))</f>
        <v/>
      </c>
      <c r="L60" s="160" t="str">
        <f t="shared" si="6"/>
        <v/>
      </c>
      <c r="M60" s="160" t="str">
        <f t="shared" si="4"/>
        <v/>
      </c>
      <c r="N60" s="178"/>
      <c r="O60" s="146"/>
      <c r="P60" s="69"/>
      <c r="Q60" s="69"/>
      <c r="R60" s="69"/>
      <c r="S60" s="69"/>
      <c r="T60" s="69"/>
      <c r="U60" s="69"/>
      <c r="V60" s="69"/>
      <c r="W60" s="69"/>
      <c r="X60" s="69"/>
      <c r="Y60" s="69"/>
      <c r="Z60" s="69"/>
      <c r="AA60" s="69"/>
      <c r="AB60" s="69"/>
      <c r="AC60" s="69"/>
    </row>
    <row r="61" ht="15.75" customHeight="1">
      <c r="A61" s="265"/>
      <c r="B61" s="266"/>
      <c r="C61" s="265"/>
      <c r="D61" s="265"/>
      <c r="E61" s="265"/>
      <c r="F61" s="136"/>
      <c r="G61" s="136"/>
      <c r="H61" s="267"/>
      <c r="I61" s="160" t="str">
        <f t="array" ref="I61">If($G61="","",INDEX('Common function'!$F$8:$F56, match($G61,'Common function'!$C$8:$C56,0)))</f>
        <v/>
      </c>
      <c r="J61" s="160" t="str">
        <f t="array" ref="J61">If($G61="","",INDEX('Common function'!$G$8:$G56, match($G61,'Common function'!$C$8:$C56,0)))</f>
        <v/>
      </c>
      <c r="K61" s="160" t="str">
        <f t="array" ref="K61">If($G61="","",INDEX('Common function'!$H$8:$H56, match($G61,'Common function'!$C$8:$C56,0)))</f>
        <v/>
      </c>
      <c r="L61" s="160" t="str">
        <f t="shared" si="6"/>
        <v/>
      </c>
      <c r="M61" s="160" t="str">
        <f t="shared" si="4"/>
        <v/>
      </c>
      <c r="N61" s="178"/>
      <c r="O61" s="146"/>
      <c r="P61" s="69"/>
      <c r="Q61" s="69"/>
      <c r="R61" s="69"/>
      <c r="S61" s="69"/>
      <c r="T61" s="69"/>
      <c r="U61" s="69"/>
      <c r="V61" s="69"/>
      <c r="W61" s="69"/>
      <c r="X61" s="69"/>
      <c r="Y61" s="69"/>
      <c r="Z61" s="69"/>
      <c r="AA61" s="69"/>
      <c r="AB61" s="69"/>
      <c r="AC61" s="69"/>
    </row>
    <row r="62" ht="15.75" customHeight="1">
      <c r="A62" s="265"/>
      <c r="B62" s="266"/>
      <c r="C62" s="265"/>
      <c r="D62" s="265"/>
      <c r="E62" s="265"/>
      <c r="F62" s="136"/>
      <c r="G62" s="136"/>
      <c r="H62" s="267"/>
      <c r="I62" s="160" t="str">
        <f t="array" ref="I62">If($G62="","",INDEX('Common function'!$F$8:$F56, match($G62,'Common function'!$C$8:$C56,0)))</f>
        <v/>
      </c>
      <c r="J62" s="160" t="str">
        <f t="array" ref="J62">If($G62="","",INDEX('Common function'!$G$8:$G56, match($G62,'Common function'!$C$8:$C56,0)))</f>
        <v/>
      </c>
      <c r="K62" s="160" t="str">
        <f t="array" ref="K62">If($G62="","",INDEX('Common function'!$H$8:$H56, match($G62,'Common function'!$C$8:$C56,0)))</f>
        <v/>
      </c>
      <c r="L62" s="160" t="str">
        <f t="shared" si="6"/>
        <v/>
      </c>
      <c r="M62" s="160" t="str">
        <f t="shared" si="4"/>
        <v/>
      </c>
      <c r="N62" s="178"/>
      <c r="O62" s="146"/>
      <c r="P62" s="69"/>
      <c r="Q62" s="69"/>
      <c r="R62" s="69"/>
      <c r="S62" s="69"/>
      <c r="T62" s="69"/>
      <c r="U62" s="69"/>
      <c r="V62" s="69"/>
      <c r="W62" s="69"/>
      <c r="X62" s="69"/>
      <c r="Y62" s="69"/>
      <c r="Z62" s="69"/>
      <c r="AA62" s="69"/>
      <c r="AB62" s="69"/>
      <c r="AC62" s="69"/>
    </row>
    <row r="63" ht="15.75" customHeight="1">
      <c r="A63" s="265"/>
      <c r="B63" s="266"/>
      <c r="C63" s="265"/>
      <c r="D63" s="265"/>
      <c r="E63" s="265"/>
      <c r="F63" s="136"/>
      <c r="G63" s="136"/>
      <c r="H63" s="267"/>
      <c r="I63" s="160"/>
      <c r="J63" s="160"/>
      <c r="K63" s="160"/>
      <c r="L63" s="160" t="str">
        <f t="shared" si="6"/>
        <v/>
      </c>
      <c r="M63" s="160" t="str">
        <f t="shared" si="4"/>
        <v/>
      </c>
      <c r="N63" s="178"/>
      <c r="O63" s="146"/>
      <c r="P63" s="69"/>
      <c r="Q63" s="69"/>
      <c r="R63" s="69"/>
      <c r="S63" s="69"/>
      <c r="T63" s="69"/>
      <c r="U63" s="69"/>
      <c r="V63" s="69"/>
      <c r="W63" s="69"/>
      <c r="X63" s="69"/>
      <c r="Y63" s="69"/>
      <c r="Z63" s="69"/>
      <c r="AA63" s="69"/>
      <c r="AB63" s="69"/>
      <c r="AC63" s="69"/>
    </row>
    <row r="64" ht="15.75" customHeight="1">
      <c r="A64" s="268"/>
      <c r="B64" s="268"/>
      <c r="C64" s="268"/>
      <c r="D64" s="268"/>
      <c r="E64" s="268"/>
      <c r="F64" s="268"/>
      <c r="G64" s="268"/>
      <c r="H64" s="268"/>
      <c r="I64" s="269"/>
      <c r="J64" s="269"/>
      <c r="K64" s="269"/>
      <c r="L64" s="269"/>
      <c r="M64" s="269"/>
      <c r="N64" s="269"/>
      <c r="O64" s="268"/>
      <c r="P64" s="8"/>
      <c r="Q64" s="8"/>
      <c r="R64" s="8"/>
      <c r="S64" s="8"/>
      <c r="T64" s="8"/>
      <c r="U64" s="8"/>
      <c r="V64" s="8"/>
      <c r="W64" s="8"/>
      <c r="X64" s="8"/>
      <c r="Y64" s="8"/>
      <c r="Z64" s="8"/>
      <c r="AA64" s="8"/>
      <c r="AB64" s="8"/>
      <c r="AC64" s="8"/>
    </row>
    <row r="65" ht="15.75" customHeight="1">
      <c r="A65" s="270"/>
      <c r="B65" s="270"/>
      <c r="C65" s="270"/>
      <c r="D65" s="270"/>
      <c r="E65" s="270"/>
      <c r="F65" s="270"/>
      <c r="G65" s="270"/>
      <c r="H65" s="270"/>
      <c r="I65" s="271"/>
      <c r="J65" s="271"/>
      <c r="K65" s="271"/>
      <c r="L65" s="271"/>
      <c r="M65" s="271"/>
      <c r="N65" s="271"/>
      <c r="O65" s="270"/>
      <c r="P65" s="8"/>
      <c r="Q65" s="8"/>
      <c r="R65" s="8"/>
      <c r="S65" s="8"/>
      <c r="T65" s="8"/>
      <c r="U65" s="8"/>
      <c r="V65" s="8"/>
      <c r="W65" s="8"/>
      <c r="X65" s="8"/>
      <c r="Y65" s="8"/>
      <c r="Z65" s="8"/>
      <c r="AA65" s="8"/>
      <c r="AB65" s="8"/>
      <c r="AC65" s="8"/>
    </row>
    <row r="66" ht="15.75" customHeight="1">
      <c r="A66" s="270"/>
      <c r="B66" s="270"/>
      <c r="C66" s="270"/>
      <c r="D66" s="270"/>
      <c r="E66" s="270"/>
      <c r="F66" s="270"/>
      <c r="G66" s="270"/>
      <c r="H66" s="270"/>
      <c r="I66" s="271"/>
      <c r="J66" s="271"/>
      <c r="K66" s="271"/>
      <c r="L66" s="271"/>
      <c r="M66" s="271"/>
      <c r="N66" s="271"/>
      <c r="O66" s="270"/>
      <c r="P66" s="8"/>
      <c r="Q66" s="8"/>
      <c r="R66" s="8"/>
      <c r="S66" s="8"/>
      <c r="T66" s="8"/>
      <c r="U66" s="8"/>
      <c r="V66" s="8"/>
      <c r="W66" s="8"/>
      <c r="X66" s="8"/>
      <c r="Y66" s="8"/>
      <c r="Z66" s="8"/>
      <c r="AA66" s="8"/>
      <c r="AB66" s="8"/>
      <c r="AC66" s="8"/>
    </row>
    <row r="67" ht="15.75" customHeight="1">
      <c r="A67" s="270"/>
      <c r="B67" s="270"/>
      <c r="C67" s="270"/>
      <c r="D67" s="270"/>
      <c r="E67" s="270"/>
      <c r="F67" s="270"/>
      <c r="G67" s="270"/>
      <c r="H67" s="270"/>
      <c r="I67" s="271"/>
      <c r="J67" s="271"/>
      <c r="K67" s="271"/>
      <c r="L67" s="271"/>
      <c r="M67" s="271"/>
      <c r="N67" s="271"/>
      <c r="O67" s="270"/>
      <c r="P67" s="8"/>
      <c r="Q67" s="8"/>
      <c r="R67" s="8"/>
      <c r="S67" s="8"/>
      <c r="T67" s="8"/>
      <c r="U67" s="8"/>
      <c r="V67" s="8"/>
      <c r="W67" s="8"/>
      <c r="X67" s="8"/>
      <c r="Y67" s="8"/>
      <c r="Z67" s="8"/>
      <c r="AA67" s="8"/>
      <c r="AB67" s="8"/>
      <c r="AC67" s="8"/>
    </row>
    <row r="68" ht="15.75" customHeight="1">
      <c r="A68" s="272"/>
      <c r="B68" s="272"/>
      <c r="C68" s="272"/>
      <c r="D68" s="272"/>
      <c r="E68" s="272"/>
      <c r="F68" s="272"/>
      <c r="G68" s="272"/>
      <c r="H68" s="272"/>
      <c r="I68" s="273"/>
      <c r="J68" s="273"/>
      <c r="K68" s="273"/>
      <c r="L68" s="273"/>
      <c r="M68" s="273"/>
      <c r="N68" s="273"/>
      <c r="O68" s="272"/>
      <c r="P68" s="8"/>
      <c r="Q68" s="8"/>
      <c r="R68" s="8"/>
      <c r="S68" s="8"/>
      <c r="T68" s="8"/>
      <c r="U68" s="8"/>
      <c r="V68" s="8"/>
      <c r="W68" s="8"/>
      <c r="X68" s="8"/>
      <c r="Y68" s="8"/>
      <c r="Z68" s="8"/>
      <c r="AA68" s="8"/>
      <c r="AB68" s="8"/>
      <c r="AC68" s="8"/>
    </row>
    <row r="69" ht="15.75" customHeight="1">
      <c r="A69" s="272"/>
      <c r="B69" s="272"/>
      <c r="C69" s="272"/>
      <c r="D69" s="272"/>
      <c r="E69" s="272"/>
      <c r="F69" s="272"/>
      <c r="G69" s="272"/>
      <c r="H69" s="272"/>
      <c r="I69" s="273"/>
      <c r="J69" s="273"/>
      <c r="K69" s="273"/>
      <c r="L69" s="273"/>
      <c r="M69" s="273"/>
      <c r="N69" s="273"/>
      <c r="O69" s="274"/>
      <c r="P69" s="8"/>
      <c r="Q69" s="8"/>
      <c r="R69" s="8"/>
      <c r="S69" s="8"/>
      <c r="T69" s="8"/>
      <c r="U69" s="8"/>
      <c r="V69" s="8"/>
      <c r="W69" s="8"/>
      <c r="X69" s="8"/>
      <c r="Y69" s="8"/>
      <c r="Z69" s="8"/>
      <c r="AA69" s="8"/>
      <c r="AB69" s="8"/>
      <c r="AC69" s="8"/>
    </row>
    <row r="70" ht="15.75" customHeight="1">
      <c r="A70" s="272"/>
      <c r="B70" s="272"/>
      <c r="C70" s="272"/>
      <c r="D70" s="272"/>
      <c r="E70" s="272"/>
      <c r="F70" s="272"/>
      <c r="G70" s="272"/>
      <c r="H70" s="272"/>
      <c r="I70" s="273"/>
      <c r="J70" s="273"/>
      <c r="K70" s="273"/>
      <c r="L70" s="273"/>
      <c r="M70" s="273"/>
      <c r="N70" s="273"/>
      <c r="O70" s="272"/>
      <c r="P70" s="8"/>
      <c r="Q70" s="8"/>
      <c r="R70" s="8"/>
      <c r="S70" s="8"/>
      <c r="T70" s="8"/>
      <c r="U70" s="8"/>
      <c r="V70" s="8"/>
      <c r="W70" s="8"/>
      <c r="X70" s="8"/>
      <c r="Y70" s="8"/>
      <c r="Z70" s="8"/>
      <c r="AA70" s="8"/>
      <c r="AB70" s="8"/>
      <c r="AC70" s="8"/>
    </row>
    <row r="71" ht="15.75" customHeight="1">
      <c r="A71" s="272"/>
      <c r="B71" s="272"/>
      <c r="C71" s="272"/>
      <c r="D71" s="272"/>
      <c r="E71" s="272"/>
      <c r="F71" s="272"/>
      <c r="G71" s="272"/>
      <c r="H71" s="272"/>
      <c r="I71" s="273"/>
      <c r="J71" s="273"/>
      <c r="K71" s="273"/>
      <c r="L71" s="273"/>
      <c r="M71" s="273"/>
      <c r="N71" s="273"/>
      <c r="O71" s="272"/>
      <c r="P71" s="8"/>
      <c r="Q71" s="8"/>
      <c r="R71" s="8"/>
      <c r="S71" s="8"/>
      <c r="T71" s="8"/>
      <c r="U71" s="8"/>
      <c r="V71" s="8"/>
      <c r="W71" s="8"/>
      <c r="X71" s="8"/>
      <c r="Y71" s="8"/>
      <c r="Z71" s="8"/>
      <c r="AA71" s="8"/>
      <c r="AB71" s="8"/>
      <c r="AC71" s="8"/>
    </row>
    <row r="72" ht="15.75" customHeight="1">
      <c r="A72" s="272"/>
      <c r="B72" s="272"/>
      <c r="C72" s="272"/>
      <c r="D72" s="272"/>
      <c r="E72" s="272"/>
      <c r="F72" s="272"/>
      <c r="G72" s="272"/>
      <c r="H72" s="272"/>
      <c r="I72" s="273"/>
      <c r="J72" s="273"/>
      <c r="K72" s="273"/>
      <c r="L72" s="273"/>
      <c r="M72" s="273"/>
      <c r="N72" s="273"/>
      <c r="O72" s="274"/>
      <c r="P72" s="8"/>
      <c r="Q72" s="8"/>
      <c r="R72" s="8"/>
      <c r="S72" s="8"/>
      <c r="T72" s="8"/>
      <c r="U72" s="8"/>
      <c r="V72" s="8"/>
      <c r="W72" s="8"/>
      <c r="X72" s="8"/>
      <c r="Y72" s="8"/>
      <c r="Z72" s="8"/>
      <c r="AA72" s="8"/>
      <c r="AB72" s="8"/>
      <c r="AC72" s="8"/>
    </row>
    <row r="73" ht="15.75" customHeight="1">
      <c r="A73" s="272"/>
      <c r="B73" s="272"/>
      <c r="C73" s="272"/>
      <c r="D73" s="272"/>
      <c r="E73" s="272"/>
      <c r="F73" s="272"/>
      <c r="G73" s="272"/>
      <c r="H73" s="272"/>
      <c r="I73" s="273"/>
      <c r="J73" s="273"/>
      <c r="K73" s="273"/>
      <c r="L73" s="273"/>
      <c r="M73" s="273"/>
      <c r="N73" s="273"/>
      <c r="O73" s="272"/>
      <c r="P73" s="8"/>
      <c r="Q73" s="8"/>
      <c r="R73" s="8"/>
      <c r="S73" s="8"/>
      <c r="T73" s="8"/>
      <c r="U73" s="8"/>
      <c r="V73" s="8"/>
      <c r="W73" s="8"/>
      <c r="X73" s="8"/>
      <c r="Y73" s="8"/>
      <c r="Z73" s="8"/>
      <c r="AA73" s="8"/>
      <c r="AB73" s="8"/>
      <c r="AC73" s="8"/>
    </row>
    <row r="74" ht="15.75" customHeight="1">
      <c r="A74" s="272"/>
      <c r="B74" s="272"/>
      <c r="C74" s="272"/>
      <c r="D74" s="272"/>
      <c r="E74" s="272"/>
      <c r="F74" s="272"/>
      <c r="G74" s="272"/>
      <c r="H74" s="272"/>
      <c r="I74" s="273"/>
      <c r="J74" s="273"/>
      <c r="K74" s="273"/>
      <c r="L74" s="273"/>
      <c r="M74" s="273"/>
      <c r="N74" s="273"/>
      <c r="O74" s="272"/>
      <c r="P74" s="8"/>
      <c r="Q74" s="8"/>
      <c r="R74" s="8"/>
      <c r="S74" s="8"/>
      <c r="T74" s="8"/>
      <c r="U74" s="8"/>
      <c r="V74" s="8"/>
      <c r="W74" s="8"/>
      <c r="X74" s="8"/>
      <c r="Y74" s="8"/>
      <c r="Z74" s="8"/>
      <c r="AA74" s="8"/>
      <c r="AB74" s="8"/>
      <c r="AC74" s="8"/>
    </row>
    <row r="75" ht="15.75" customHeight="1">
      <c r="A75" s="272"/>
      <c r="B75" s="272"/>
      <c r="C75" s="272"/>
      <c r="D75" s="272"/>
      <c r="E75" s="272"/>
      <c r="F75" s="272"/>
      <c r="G75" s="272"/>
      <c r="H75" s="272"/>
      <c r="I75" s="273"/>
      <c r="J75" s="273"/>
      <c r="K75" s="273"/>
      <c r="L75" s="273"/>
      <c r="M75" s="273"/>
      <c r="N75" s="273"/>
      <c r="O75" s="272"/>
      <c r="P75" s="8"/>
      <c r="Q75" s="8"/>
      <c r="R75" s="8"/>
      <c r="S75" s="8"/>
      <c r="T75" s="8"/>
      <c r="U75" s="8"/>
      <c r="V75" s="8"/>
      <c r="W75" s="8"/>
      <c r="X75" s="8"/>
      <c r="Y75" s="8"/>
      <c r="Z75" s="8"/>
      <c r="AA75" s="8"/>
      <c r="AB75" s="8"/>
      <c r="AC75" s="8"/>
    </row>
    <row r="76" ht="15.75" customHeight="1">
      <c r="A76" s="272"/>
      <c r="B76" s="272"/>
      <c r="C76" s="272"/>
      <c r="D76" s="272"/>
      <c r="E76" s="272"/>
      <c r="F76" s="272"/>
      <c r="G76" s="272"/>
      <c r="H76" s="272"/>
      <c r="I76" s="273"/>
      <c r="J76" s="273"/>
      <c r="K76" s="273"/>
      <c r="L76" s="273"/>
      <c r="M76" s="273"/>
      <c r="N76" s="273"/>
      <c r="O76" s="272"/>
      <c r="P76" s="8"/>
      <c r="Q76" s="8"/>
      <c r="R76" s="8"/>
      <c r="S76" s="8"/>
      <c r="T76" s="8"/>
      <c r="U76" s="8"/>
      <c r="V76" s="8"/>
      <c r="W76" s="8"/>
      <c r="X76" s="8"/>
      <c r="Y76" s="8"/>
      <c r="Z76" s="8"/>
      <c r="AA76" s="8"/>
      <c r="AB76" s="8"/>
      <c r="AC76" s="8"/>
    </row>
    <row r="77" ht="15.75" customHeight="1">
      <c r="A77" s="272"/>
      <c r="B77" s="272"/>
      <c r="C77" s="272"/>
      <c r="D77" s="272"/>
      <c r="E77" s="272"/>
      <c r="F77" s="272"/>
      <c r="G77" s="272"/>
      <c r="H77" s="272"/>
      <c r="I77" s="273"/>
      <c r="J77" s="273"/>
      <c r="K77" s="273"/>
      <c r="L77" s="273"/>
      <c r="M77" s="273"/>
      <c r="N77" s="273"/>
      <c r="O77" s="272"/>
      <c r="P77" s="8"/>
      <c r="Q77" s="8"/>
      <c r="R77" s="8"/>
      <c r="S77" s="8"/>
      <c r="T77" s="8"/>
      <c r="U77" s="8"/>
      <c r="V77" s="8"/>
      <c r="W77" s="8"/>
      <c r="X77" s="8"/>
      <c r="Y77" s="8"/>
      <c r="Z77" s="8"/>
      <c r="AA77" s="8"/>
      <c r="AB77" s="8"/>
      <c r="AC77" s="8"/>
    </row>
    <row r="78" ht="15.75" customHeight="1">
      <c r="A78" s="272"/>
      <c r="B78" s="272"/>
      <c r="C78" s="272"/>
      <c r="D78" s="272"/>
      <c r="E78" s="272"/>
      <c r="F78" s="272"/>
      <c r="G78" s="272"/>
      <c r="H78" s="272"/>
      <c r="I78" s="273"/>
      <c r="J78" s="273"/>
      <c r="K78" s="273"/>
      <c r="L78" s="273"/>
      <c r="M78" s="273"/>
      <c r="N78" s="273"/>
      <c r="O78" s="272"/>
      <c r="P78" s="8"/>
      <c r="Q78" s="8"/>
      <c r="R78" s="8"/>
      <c r="S78" s="8"/>
      <c r="T78" s="8"/>
      <c r="U78" s="8"/>
      <c r="V78" s="8"/>
      <c r="W78" s="8"/>
      <c r="X78" s="8"/>
      <c r="Y78" s="8"/>
      <c r="Z78" s="8"/>
      <c r="AA78" s="8"/>
      <c r="AB78" s="8"/>
      <c r="AC78" s="8"/>
    </row>
    <row r="79" ht="15.75" customHeight="1">
      <c r="A79" s="272"/>
      <c r="B79" s="272"/>
      <c r="C79" s="272"/>
      <c r="D79" s="272"/>
      <c r="E79" s="272"/>
      <c r="F79" s="272"/>
      <c r="G79" s="272"/>
      <c r="H79" s="272"/>
      <c r="I79" s="273"/>
      <c r="J79" s="273"/>
      <c r="K79" s="273"/>
      <c r="L79" s="273"/>
      <c r="M79" s="273"/>
      <c r="N79" s="273"/>
      <c r="O79" s="272"/>
      <c r="P79" s="8"/>
      <c r="Q79" s="8"/>
      <c r="R79" s="8"/>
      <c r="S79" s="8"/>
      <c r="T79" s="8"/>
      <c r="U79" s="8"/>
      <c r="V79" s="8"/>
      <c r="W79" s="8"/>
      <c r="X79" s="8"/>
      <c r="Y79" s="8"/>
      <c r="Z79" s="8"/>
      <c r="AA79" s="8"/>
      <c r="AB79" s="8"/>
      <c r="AC79" s="8"/>
    </row>
    <row r="80" ht="15.75" customHeight="1">
      <c r="A80" s="272"/>
      <c r="B80" s="272"/>
      <c r="C80" s="272"/>
      <c r="D80" s="272"/>
      <c r="E80" s="272"/>
      <c r="F80" s="272"/>
      <c r="G80" s="272"/>
      <c r="H80" s="272"/>
      <c r="I80" s="273"/>
      <c r="J80" s="273"/>
      <c r="K80" s="273"/>
      <c r="L80" s="273"/>
      <c r="M80" s="273"/>
      <c r="N80" s="273"/>
      <c r="O80" s="272"/>
      <c r="P80" s="8"/>
      <c r="Q80" s="8"/>
      <c r="R80" s="8"/>
      <c r="S80" s="8"/>
      <c r="T80" s="8"/>
      <c r="U80" s="8"/>
      <c r="V80" s="8"/>
      <c r="W80" s="8"/>
      <c r="X80" s="8"/>
      <c r="Y80" s="8"/>
      <c r="Z80" s="8"/>
      <c r="AA80" s="8"/>
      <c r="AB80" s="8"/>
      <c r="AC80" s="8"/>
    </row>
    <row r="81" ht="15.75" customHeight="1">
      <c r="A81" s="272"/>
      <c r="B81" s="272"/>
      <c r="C81" s="272"/>
      <c r="D81" s="272"/>
      <c r="E81" s="272"/>
      <c r="F81" s="272"/>
      <c r="G81" s="272"/>
      <c r="H81" s="272"/>
      <c r="I81" s="273"/>
      <c r="J81" s="273"/>
      <c r="K81" s="273"/>
      <c r="L81" s="273"/>
      <c r="M81" s="273"/>
      <c r="N81" s="273"/>
      <c r="O81" s="272"/>
      <c r="P81" s="8"/>
      <c r="Q81" s="8"/>
      <c r="R81" s="8"/>
      <c r="S81" s="8"/>
      <c r="T81" s="8"/>
      <c r="U81" s="8"/>
      <c r="V81" s="8"/>
      <c r="W81" s="8"/>
      <c r="X81" s="8"/>
      <c r="Y81" s="8"/>
      <c r="Z81" s="8"/>
      <c r="AA81" s="8"/>
      <c r="AB81" s="8"/>
      <c r="AC81" s="8"/>
    </row>
    <row r="82" ht="15.75" customHeight="1">
      <c r="A82" s="272"/>
      <c r="B82" s="272"/>
      <c r="C82" s="272"/>
      <c r="D82" s="272"/>
      <c r="E82" s="272"/>
      <c r="F82" s="272"/>
      <c r="G82" s="272"/>
      <c r="H82" s="272"/>
      <c r="I82" s="273"/>
      <c r="J82" s="273"/>
      <c r="K82" s="273"/>
      <c r="L82" s="273"/>
      <c r="M82" s="273"/>
      <c r="N82" s="273"/>
      <c r="O82" s="272"/>
      <c r="P82" s="8"/>
      <c r="Q82" s="8"/>
      <c r="R82" s="8"/>
      <c r="S82" s="8"/>
      <c r="T82" s="8"/>
      <c r="U82" s="8"/>
      <c r="V82" s="8"/>
      <c r="W82" s="8"/>
      <c r="X82" s="8"/>
      <c r="Y82" s="8"/>
      <c r="Z82" s="8"/>
      <c r="AA82" s="8"/>
      <c r="AB82" s="8"/>
      <c r="AC82" s="8"/>
    </row>
    <row r="83" ht="15.75" customHeight="1">
      <c r="A83" s="272"/>
      <c r="B83" s="272"/>
      <c r="C83" s="272"/>
      <c r="D83" s="272"/>
      <c r="E83" s="272"/>
      <c r="F83" s="272"/>
      <c r="G83" s="272"/>
      <c r="H83" s="272"/>
      <c r="I83" s="273"/>
      <c r="J83" s="273"/>
      <c r="K83" s="273"/>
      <c r="L83" s="273"/>
      <c r="M83" s="273"/>
      <c r="N83" s="273"/>
      <c r="O83" s="272"/>
      <c r="P83" s="8"/>
      <c r="Q83" s="8"/>
      <c r="R83" s="8"/>
      <c r="S83" s="8"/>
      <c r="T83" s="8"/>
      <c r="U83" s="8"/>
      <c r="V83" s="8"/>
      <c r="W83" s="8"/>
      <c r="X83" s="8"/>
      <c r="Y83" s="8"/>
      <c r="Z83" s="8"/>
      <c r="AA83" s="8"/>
      <c r="AB83" s="8"/>
      <c r="AC83" s="8"/>
    </row>
    <row r="84" ht="15.75" customHeight="1">
      <c r="A84" s="272"/>
      <c r="B84" s="272"/>
      <c r="C84" s="272"/>
      <c r="D84" s="272"/>
      <c r="E84" s="272"/>
      <c r="F84" s="272"/>
      <c r="G84" s="272"/>
      <c r="H84" s="272"/>
      <c r="I84" s="273"/>
      <c r="J84" s="273"/>
      <c r="K84" s="273"/>
      <c r="L84" s="273"/>
      <c r="M84" s="273"/>
      <c r="N84" s="273"/>
      <c r="O84" s="272"/>
      <c r="P84" s="8"/>
      <c r="Q84" s="8"/>
      <c r="R84" s="8"/>
      <c r="S84" s="8"/>
      <c r="T84" s="8"/>
      <c r="U84" s="8"/>
      <c r="V84" s="8"/>
      <c r="W84" s="8"/>
      <c r="X84" s="8"/>
      <c r="Y84" s="8"/>
      <c r="Z84" s="8"/>
      <c r="AA84" s="8"/>
      <c r="AB84" s="8"/>
      <c r="AC84" s="8"/>
    </row>
    <row r="85" ht="15.75" customHeight="1">
      <c r="A85" s="272"/>
      <c r="B85" s="272"/>
      <c r="C85" s="272"/>
      <c r="D85" s="272"/>
      <c r="E85" s="272"/>
      <c r="F85" s="272"/>
      <c r="G85" s="272"/>
      <c r="H85" s="272"/>
      <c r="I85" s="273"/>
      <c r="J85" s="273"/>
      <c r="K85" s="273"/>
      <c r="L85" s="273"/>
      <c r="M85" s="273"/>
      <c r="N85" s="273"/>
      <c r="O85" s="272"/>
      <c r="P85" s="8"/>
      <c r="Q85" s="8"/>
      <c r="R85" s="8"/>
      <c r="S85" s="8"/>
      <c r="T85" s="8"/>
      <c r="U85" s="8"/>
      <c r="V85" s="8"/>
      <c r="W85" s="8"/>
      <c r="X85" s="8"/>
      <c r="Y85" s="8"/>
      <c r="Z85" s="8"/>
      <c r="AA85" s="8"/>
      <c r="AB85" s="8"/>
      <c r="AC85" s="8"/>
    </row>
    <row r="86" ht="15.75" customHeight="1">
      <c r="A86" s="272"/>
      <c r="B86" s="272"/>
      <c r="C86" s="272"/>
      <c r="D86" s="272"/>
      <c r="E86" s="272"/>
      <c r="F86" s="272"/>
      <c r="G86" s="272"/>
      <c r="H86" s="272"/>
      <c r="I86" s="273"/>
      <c r="J86" s="273"/>
      <c r="K86" s="273"/>
      <c r="L86" s="273"/>
      <c r="M86" s="273"/>
      <c r="N86" s="273"/>
      <c r="O86" s="272"/>
      <c r="P86" s="8"/>
      <c r="Q86" s="8"/>
      <c r="R86" s="8"/>
      <c r="S86" s="8"/>
      <c r="T86" s="8"/>
      <c r="U86" s="8"/>
      <c r="V86" s="8"/>
      <c r="W86" s="8"/>
      <c r="X86" s="8"/>
      <c r="Y86" s="8"/>
      <c r="Z86" s="8"/>
      <c r="AA86" s="8"/>
      <c r="AB86" s="8"/>
      <c r="AC86" s="8"/>
    </row>
    <row r="87" ht="15.75" customHeight="1">
      <c r="A87" s="8"/>
      <c r="B87" s="8"/>
      <c r="C87" s="8"/>
      <c r="D87" s="8"/>
      <c r="E87" s="8"/>
      <c r="F87" s="8"/>
      <c r="G87" s="8"/>
      <c r="H87" s="8"/>
      <c r="I87" s="275"/>
      <c r="J87" s="275"/>
      <c r="K87" s="275"/>
      <c r="L87" s="275"/>
      <c r="M87" s="275"/>
      <c r="N87" s="275"/>
      <c r="O87" s="8"/>
      <c r="P87" s="8"/>
      <c r="Q87" s="8"/>
      <c r="R87" s="8"/>
      <c r="S87" s="8"/>
      <c r="T87" s="8"/>
      <c r="U87" s="8"/>
      <c r="V87" s="8"/>
      <c r="W87" s="8"/>
      <c r="X87" s="8"/>
      <c r="Y87" s="8"/>
      <c r="Z87" s="8"/>
      <c r="AA87" s="8"/>
      <c r="AB87" s="8"/>
      <c r="AC87" s="8"/>
    </row>
    <row r="88" ht="15.75" customHeight="1">
      <c r="A88" s="8"/>
      <c r="B88" s="8"/>
      <c r="C88" s="8"/>
      <c r="D88" s="8"/>
      <c r="E88" s="8"/>
      <c r="F88" s="8"/>
      <c r="G88" s="8"/>
      <c r="H88" s="8"/>
      <c r="I88" s="275"/>
      <c r="J88" s="275"/>
      <c r="K88" s="275"/>
      <c r="L88" s="275"/>
      <c r="M88" s="275"/>
      <c r="N88" s="275"/>
      <c r="O88" s="8"/>
      <c r="P88" s="8"/>
      <c r="Q88" s="8"/>
      <c r="R88" s="8"/>
      <c r="S88" s="8"/>
      <c r="T88" s="8"/>
      <c r="U88" s="8"/>
      <c r="V88" s="8"/>
      <c r="W88" s="8"/>
      <c r="X88" s="8"/>
      <c r="Y88" s="8"/>
      <c r="Z88" s="8"/>
      <c r="AA88" s="8"/>
      <c r="AB88" s="8"/>
      <c r="AC88" s="8"/>
    </row>
    <row r="89" ht="15.75" customHeight="1">
      <c r="A89" s="8"/>
      <c r="B89" s="8"/>
      <c r="C89" s="8"/>
      <c r="D89" s="8"/>
      <c r="E89" s="8"/>
      <c r="F89" s="8"/>
      <c r="G89" s="8"/>
      <c r="H89" s="8"/>
      <c r="I89" s="275"/>
      <c r="J89" s="275"/>
      <c r="K89" s="275"/>
      <c r="L89" s="275"/>
      <c r="M89" s="275"/>
      <c r="N89" s="275"/>
      <c r="O89" s="8"/>
      <c r="P89" s="8"/>
      <c r="Q89" s="8"/>
      <c r="R89" s="8"/>
      <c r="S89" s="8"/>
      <c r="T89" s="8"/>
      <c r="U89" s="8"/>
      <c r="V89" s="8"/>
      <c r="W89" s="8"/>
      <c r="X89" s="8"/>
      <c r="Y89" s="8"/>
      <c r="Z89" s="8"/>
      <c r="AA89" s="8"/>
      <c r="AB89" s="8"/>
      <c r="AC89" s="8"/>
    </row>
    <row r="90" ht="15.75" customHeight="1">
      <c r="A90" s="8"/>
      <c r="B90" s="8"/>
      <c r="C90" s="8"/>
      <c r="D90" s="8"/>
      <c r="E90" s="8"/>
      <c r="F90" s="8"/>
      <c r="G90" s="8"/>
      <c r="H90" s="8"/>
      <c r="I90" s="275"/>
      <c r="J90" s="275"/>
      <c r="K90" s="275"/>
      <c r="L90" s="275"/>
      <c r="M90" s="275"/>
      <c r="N90" s="275"/>
      <c r="O90" s="8"/>
      <c r="P90" s="8"/>
      <c r="Q90" s="8"/>
      <c r="R90" s="8"/>
      <c r="S90" s="8"/>
      <c r="T90" s="8"/>
      <c r="U90" s="8"/>
      <c r="V90" s="8"/>
      <c r="W90" s="8"/>
      <c r="X90" s="8"/>
      <c r="Y90" s="8"/>
      <c r="Z90" s="8"/>
      <c r="AA90" s="8"/>
      <c r="AB90" s="8"/>
      <c r="AC90" s="8"/>
    </row>
    <row r="91" ht="15.75" customHeight="1">
      <c r="A91" s="8"/>
      <c r="B91" s="8"/>
      <c r="C91" s="8"/>
      <c r="D91" s="8"/>
      <c r="E91" s="8"/>
      <c r="F91" s="8"/>
      <c r="G91" s="8"/>
      <c r="H91" s="8"/>
      <c r="I91" s="275"/>
      <c r="J91" s="275"/>
      <c r="K91" s="275"/>
      <c r="L91" s="275"/>
      <c r="M91" s="275"/>
      <c r="N91" s="275"/>
      <c r="O91" s="8"/>
      <c r="P91" s="8"/>
      <c r="Q91" s="8"/>
      <c r="R91" s="8"/>
      <c r="S91" s="8"/>
      <c r="T91" s="8"/>
      <c r="U91" s="8"/>
      <c r="V91" s="8"/>
      <c r="W91" s="8"/>
      <c r="X91" s="8"/>
      <c r="Y91" s="8"/>
      <c r="Z91" s="8"/>
      <c r="AA91" s="8"/>
      <c r="AB91" s="8"/>
      <c r="AC91" s="8"/>
    </row>
    <row r="92" ht="15.75" customHeight="1">
      <c r="A92" s="8"/>
      <c r="B92" s="8"/>
      <c r="C92" s="8"/>
      <c r="D92" s="8"/>
      <c r="E92" s="8"/>
      <c r="F92" s="8"/>
      <c r="G92" s="8"/>
      <c r="H92" s="8"/>
      <c r="I92" s="275"/>
      <c r="J92" s="275"/>
      <c r="K92" s="275"/>
      <c r="L92" s="275"/>
      <c r="M92" s="275"/>
      <c r="N92" s="275"/>
      <c r="O92" s="8"/>
      <c r="P92" s="8"/>
      <c r="Q92" s="8"/>
      <c r="R92" s="8"/>
      <c r="S92" s="8"/>
      <c r="T92" s="8"/>
      <c r="U92" s="8"/>
      <c r="V92" s="8"/>
      <c r="W92" s="8"/>
      <c r="X92" s="8"/>
      <c r="Y92" s="8"/>
      <c r="Z92" s="8"/>
      <c r="AA92" s="8"/>
      <c r="AB92" s="8"/>
      <c r="AC92" s="8"/>
    </row>
    <row r="93" ht="15.75" customHeight="1">
      <c r="A93" s="8"/>
      <c r="B93" s="8"/>
      <c r="C93" s="8"/>
      <c r="D93" s="8"/>
      <c r="E93" s="8"/>
      <c r="F93" s="8"/>
      <c r="G93" s="8"/>
      <c r="H93" s="8"/>
      <c r="I93" s="275"/>
      <c r="J93" s="275"/>
      <c r="K93" s="275"/>
      <c r="L93" s="275"/>
      <c r="M93" s="275"/>
      <c r="N93" s="275"/>
      <c r="O93" s="8"/>
      <c r="P93" s="8"/>
      <c r="Q93" s="8"/>
      <c r="R93" s="8"/>
      <c r="S93" s="8"/>
      <c r="T93" s="8"/>
      <c r="U93" s="8"/>
      <c r="V93" s="8"/>
      <c r="W93" s="8"/>
      <c r="X93" s="8"/>
      <c r="Y93" s="8"/>
      <c r="Z93" s="8"/>
      <c r="AA93" s="8"/>
      <c r="AB93" s="8"/>
      <c r="AC93" s="8"/>
    </row>
    <row r="94" ht="15.75" customHeight="1">
      <c r="A94" s="8"/>
      <c r="B94" s="8"/>
      <c r="C94" s="8"/>
      <c r="D94" s="8"/>
      <c r="E94" s="8"/>
      <c r="F94" s="8"/>
      <c r="G94" s="8"/>
      <c r="H94" s="8"/>
      <c r="I94" s="275"/>
      <c r="J94" s="275"/>
      <c r="K94" s="275"/>
      <c r="L94" s="275"/>
      <c r="M94" s="275"/>
      <c r="N94" s="275"/>
      <c r="O94" s="8"/>
      <c r="P94" s="8"/>
      <c r="Q94" s="8"/>
      <c r="R94" s="8"/>
      <c r="S94" s="8"/>
      <c r="T94" s="8"/>
      <c r="U94" s="8"/>
      <c r="V94" s="8"/>
      <c r="W94" s="8"/>
      <c r="X94" s="8"/>
      <c r="Y94" s="8"/>
      <c r="Z94" s="8"/>
      <c r="AA94" s="8"/>
      <c r="AB94" s="8"/>
      <c r="AC94" s="8"/>
    </row>
    <row r="95" ht="15.75" customHeight="1">
      <c r="A95" s="8"/>
      <c r="B95" s="8"/>
      <c r="C95" s="8"/>
      <c r="D95" s="8"/>
      <c r="E95" s="8"/>
      <c r="F95" s="8"/>
      <c r="G95" s="8"/>
      <c r="H95" s="8"/>
      <c r="I95" s="275"/>
      <c r="J95" s="275"/>
      <c r="K95" s="275"/>
      <c r="L95" s="275"/>
      <c r="M95" s="275"/>
      <c r="N95" s="275"/>
      <c r="O95" s="8"/>
      <c r="P95" s="8"/>
      <c r="Q95" s="8"/>
      <c r="R95" s="8"/>
      <c r="S95" s="8"/>
      <c r="T95" s="8"/>
      <c r="U95" s="8"/>
      <c r="V95" s="8"/>
      <c r="W95" s="8"/>
      <c r="X95" s="8"/>
      <c r="Y95" s="8"/>
      <c r="Z95" s="8"/>
      <c r="AA95" s="8"/>
      <c r="AB95" s="8"/>
      <c r="AC95" s="8"/>
    </row>
    <row r="96" ht="15.75" customHeight="1">
      <c r="A96" s="8"/>
      <c r="B96" s="8"/>
      <c r="C96" s="8"/>
      <c r="D96" s="8"/>
      <c r="E96" s="8"/>
      <c r="F96" s="8"/>
      <c r="G96" s="8"/>
      <c r="H96" s="8"/>
      <c r="I96" s="275"/>
      <c r="J96" s="275"/>
      <c r="K96" s="275"/>
      <c r="L96" s="275"/>
      <c r="M96" s="275"/>
      <c r="N96" s="275"/>
      <c r="O96" s="8"/>
      <c r="P96" s="8"/>
      <c r="Q96" s="8"/>
      <c r="R96" s="8"/>
      <c r="S96" s="8"/>
      <c r="T96" s="8"/>
      <c r="U96" s="8"/>
      <c r="V96" s="8"/>
      <c r="W96" s="8"/>
      <c r="X96" s="8"/>
      <c r="Y96" s="8"/>
      <c r="Z96" s="8"/>
      <c r="AA96" s="8"/>
      <c r="AB96" s="8"/>
      <c r="AC96" s="8"/>
    </row>
    <row r="97" ht="15.75" customHeight="1">
      <c r="A97" s="8"/>
      <c r="B97" s="8"/>
      <c r="C97" s="8"/>
      <c r="D97" s="8"/>
      <c r="E97" s="8"/>
      <c r="F97" s="8"/>
      <c r="G97" s="8"/>
      <c r="H97" s="8"/>
      <c r="I97" s="275"/>
      <c r="J97" s="275"/>
      <c r="K97" s="275"/>
      <c r="L97" s="275"/>
      <c r="M97" s="275"/>
      <c r="N97" s="275"/>
      <c r="O97" s="8"/>
      <c r="P97" s="8"/>
      <c r="Q97" s="8"/>
      <c r="R97" s="8"/>
      <c r="S97" s="8"/>
      <c r="T97" s="8"/>
      <c r="U97" s="8"/>
      <c r="V97" s="8"/>
      <c r="W97" s="8"/>
      <c r="X97" s="8"/>
      <c r="Y97" s="8"/>
      <c r="Z97" s="8"/>
      <c r="AA97" s="8"/>
      <c r="AB97" s="8"/>
      <c r="AC97" s="8"/>
    </row>
    <row r="98" ht="15.75" customHeight="1">
      <c r="A98" s="8"/>
      <c r="B98" s="8"/>
      <c r="C98" s="8"/>
      <c r="D98" s="8"/>
      <c r="E98" s="8"/>
      <c r="F98" s="8"/>
      <c r="G98" s="8"/>
      <c r="H98" s="8"/>
      <c r="I98" s="275"/>
      <c r="J98" s="275"/>
      <c r="K98" s="275"/>
      <c r="L98" s="275"/>
      <c r="M98" s="275"/>
      <c r="N98" s="275"/>
      <c r="O98" s="8"/>
      <c r="P98" s="8"/>
      <c r="Q98" s="8"/>
      <c r="R98" s="8"/>
      <c r="S98" s="8"/>
      <c r="T98" s="8"/>
      <c r="U98" s="8"/>
      <c r="V98" s="8"/>
      <c r="W98" s="8"/>
      <c r="X98" s="8"/>
      <c r="Y98" s="8"/>
      <c r="Z98" s="8"/>
      <c r="AA98" s="8"/>
      <c r="AB98" s="8"/>
      <c r="AC98" s="8"/>
    </row>
    <row r="99" ht="15.75" customHeight="1">
      <c r="A99" s="8"/>
      <c r="B99" s="8"/>
      <c r="C99" s="8"/>
      <c r="D99" s="8"/>
      <c r="E99" s="8"/>
      <c r="F99" s="8"/>
      <c r="G99" s="8"/>
      <c r="H99" s="8"/>
      <c r="I99" s="275"/>
      <c r="J99" s="275"/>
      <c r="K99" s="275"/>
      <c r="L99" s="275"/>
      <c r="M99" s="275"/>
      <c r="N99" s="275"/>
      <c r="O99" s="8"/>
      <c r="P99" s="8"/>
      <c r="Q99" s="8"/>
      <c r="R99" s="8"/>
      <c r="S99" s="8"/>
      <c r="T99" s="8"/>
      <c r="U99" s="8"/>
      <c r="V99" s="8"/>
      <c r="W99" s="8"/>
      <c r="X99" s="8"/>
      <c r="Y99" s="8"/>
      <c r="Z99" s="8"/>
      <c r="AA99" s="8"/>
      <c r="AB99" s="8"/>
      <c r="AC99" s="8"/>
    </row>
    <row r="100" ht="15.75" customHeight="1">
      <c r="A100" s="8"/>
      <c r="B100" s="8"/>
      <c r="C100" s="8"/>
      <c r="D100" s="8"/>
      <c r="E100" s="8"/>
      <c r="F100" s="8"/>
      <c r="G100" s="8"/>
      <c r="H100" s="8"/>
      <c r="I100" s="275"/>
      <c r="J100" s="275"/>
      <c r="K100" s="275"/>
      <c r="L100" s="275"/>
      <c r="M100" s="275"/>
      <c r="N100" s="275"/>
      <c r="O100" s="8"/>
      <c r="P100" s="8"/>
      <c r="Q100" s="8"/>
      <c r="R100" s="8"/>
      <c r="S100" s="8"/>
      <c r="T100" s="8"/>
      <c r="U100" s="8"/>
      <c r="V100" s="8"/>
      <c r="W100" s="8"/>
      <c r="X100" s="8"/>
      <c r="Y100" s="8"/>
      <c r="Z100" s="8"/>
      <c r="AA100" s="8"/>
      <c r="AB100" s="8"/>
      <c r="AC100" s="8"/>
    </row>
    <row r="101" ht="15.75" customHeight="1">
      <c r="A101" s="8"/>
      <c r="B101" s="8"/>
      <c r="C101" s="8"/>
      <c r="D101" s="8"/>
      <c r="E101" s="8"/>
      <c r="F101" s="8"/>
      <c r="G101" s="8"/>
      <c r="H101" s="8"/>
      <c r="I101" s="275"/>
      <c r="J101" s="275"/>
      <c r="K101" s="275"/>
      <c r="L101" s="275"/>
      <c r="M101" s="275"/>
      <c r="N101" s="275"/>
      <c r="O101" s="8"/>
      <c r="P101" s="8"/>
      <c r="Q101" s="8"/>
      <c r="R101" s="8"/>
      <c r="S101" s="8"/>
      <c r="T101" s="8"/>
      <c r="U101" s="8"/>
      <c r="V101" s="8"/>
      <c r="W101" s="8"/>
      <c r="X101" s="8"/>
      <c r="Y101" s="8"/>
      <c r="Z101" s="8"/>
      <c r="AA101" s="8"/>
      <c r="AB101" s="8"/>
      <c r="AC101" s="8"/>
    </row>
    <row r="102" ht="15.75" customHeight="1">
      <c r="A102" s="8"/>
      <c r="B102" s="8"/>
      <c r="C102" s="8"/>
      <c r="D102" s="8"/>
      <c r="E102" s="8"/>
      <c r="F102" s="8"/>
      <c r="G102" s="8"/>
      <c r="H102" s="8"/>
      <c r="I102" s="275"/>
      <c r="J102" s="275"/>
      <c r="K102" s="275"/>
      <c r="L102" s="275"/>
      <c r="M102" s="275"/>
      <c r="N102" s="275"/>
      <c r="O102" s="8"/>
      <c r="P102" s="8"/>
      <c r="Q102" s="8"/>
      <c r="R102" s="8"/>
      <c r="S102" s="8"/>
      <c r="T102" s="8"/>
      <c r="U102" s="8"/>
      <c r="V102" s="8"/>
      <c r="W102" s="8"/>
      <c r="X102" s="8"/>
      <c r="Y102" s="8"/>
      <c r="Z102" s="8"/>
      <c r="AA102" s="8"/>
      <c r="AB102" s="8"/>
      <c r="AC102" s="8"/>
    </row>
    <row r="103" ht="15.75" customHeight="1">
      <c r="A103" s="8"/>
      <c r="B103" s="8"/>
      <c r="C103" s="8"/>
      <c r="D103" s="8"/>
      <c r="E103" s="8"/>
      <c r="F103" s="8"/>
      <c r="G103" s="8"/>
      <c r="H103" s="8"/>
      <c r="I103" s="275"/>
      <c r="J103" s="275"/>
      <c r="K103" s="275"/>
      <c r="L103" s="275"/>
      <c r="M103" s="275"/>
      <c r="N103" s="275"/>
      <c r="O103" s="8"/>
      <c r="P103" s="8"/>
      <c r="Q103" s="8"/>
      <c r="R103" s="8"/>
      <c r="S103" s="8"/>
      <c r="T103" s="8"/>
      <c r="U103" s="8"/>
      <c r="V103" s="8"/>
      <c r="W103" s="8"/>
      <c r="X103" s="8"/>
      <c r="Y103" s="8"/>
      <c r="Z103" s="8"/>
      <c r="AA103" s="8"/>
      <c r="AB103" s="8"/>
      <c r="AC103" s="8"/>
    </row>
    <row r="104" ht="15.75" customHeight="1">
      <c r="A104" s="8"/>
      <c r="B104" s="8"/>
      <c r="C104" s="8"/>
      <c r="D104" s="8"/>
      <c r="E104" s="8"/>
      <c r="F104" s="8"/>
      <c r="G104" s="8"/>
      <c r="H104" s="8"/>
      <c r="I104" s="275"/>
      <c r="J104" s="275"/>
      <c r="K104" s="275"/>
      <c r="L104" s="275"/>
      <c r="M104" s="275"/>
      <c r="N104" s="275"/>
      <c r="O104" s="8"/>
      <c r="P104" s="8"/>
      <c r="Q104" s="8"/>
      <c r="R104" s="8"/>
      <c r="S104" s="8"/>
      <c r="T104" s="8"/>
      <c r="U104" s="8"/>
      <c r="V104" s="8"/>
      <c r="W104" s="8"/>
      <c r="X104" s="8"/>
      <c r="Y104" s="8"/>
      <c r="Z104" s="8"/>
      <c r="AA104" s="8"/>
      <c r="AB104" s="8"/>
      <c r="AC104" s="8"/>
    </row>
    <row r="105" ht="15.75" customHeight="1">
      <c r="A105" s="8"/>
      <c r="B105" s="8"/>
      <c r="C105" s="8"/>
      <c r="D105" s="8"/>
      <c r="E105" s="8"/>
      <c r="F105" s="8"/>
      <c r="G105" s="8"/>
      <c r="H105" s="8"/>
      <c r="I105" s="275"/>
      <c r="J105" s="275"/>
      <c r="K105" s="275"/>
      <c r="L105" s="275"/>
      <c r="M105" s="275"/>
      <c r="N105" s="275"/>
      <c r="O105" s="8"/>
      <c r="P105" s="8"/>
      <c r="Q105" s="8"/>
      <c r="R105" s="8"/>
      <c r="S105" s="8"/>
      <c r="T105" s="8"/>
      <c r="U105" s="8"/>
      <c r="V105" s="8"/>
      <c r="W105" s="8"/>
      <c r="X105" s="8"/>
      <c r="Y105" s="8"/>
      <c r="Z105" s="8"/>
      <c r="AA105" s="8"/>
      <c r="AB105" s="8"/>
      <c r="AC105" s="8"/>
    </row>
    <row r="106" ht="15.75" customHeight="1">
      <c r="A106" s="8"/>
      <c r="B106" s="8"/>
      <c r="C106" s="8"/>
      <c r="D106" s="8"/>
      <c r="E106" s="8"/>
      <c r="F106" s="8"/>
      <c r="G106" s="8"/>
      <c r="H106" s="8"/>
      <c r="I106" s="275"/>
      <c r="J106" s="275"/>
      <c r="K106" s="275"/>
      <c r="L106" s="275"/>
      <c r="M106" s="275"/>
      <c r="N106" s="275"/>
      <c r="O106" s="8"/>
      <c r="P106" s="8"/>
      <c r="Q106" s="8"/>
      <c r="R106" s="8"/>
      <c r="S106" s="8"/>
      <c r="T106" s="8"/>
      <c r="U106" s="8"/>
      <c r="V106" s="8"/>
      <c r="W106" s="8"/>
      <c r="X106" s="8"/>
      <c r="Y106" s="8"/>
      <c r="Z106" s="8"/>
      <c r="AA106" s="8"/>
      <c r="AB106" s="8"/>
      <c r="AC106" s="8"/>
    </row>
    <row r="107" ht="15.75" customHeight="1">
      <c r="A107" s="8"/>
      <c r="B107" s="8"/>
      <c r="C107" s="8"/>
      <c r="D107" s="8"/>
      <c r="E107" s="8"/>
      <c r="F107" s="8"/>
      <c r="G107" s="8"/>
      <c r="H107" s="8"/>
      <c r="I107" s="275"/>
      <c r="J107" s="275"/>
      <c r="K107" s="275"/>
      <c r="L107" s="275"/>
      <c r="M107" s="275"/>
      <c r="N107" s="275"/>
      <c r="O107" s="8"/>
      <c r="P107" s="8"/>
      <c r="Q107" s="8"/>
      <c r="R107" s="8"/>
      <c r="S107" s="8"/>
      <c r="T107" s="8"/>
      <c r="U107" s="8"/>
      <c r="V107" s="8"/>
      <c r="W107" s="8"/>
      <c r="X107" s="8"/>
      <c r="Y107" s="8"/>
      <c r="Z107" s="8"/>
      <c r="AA107" s="8"/>
      <c r="AB107" s="8"/>
      <c r="AC107" s="8"/>
    </row>
    <row r="108" ht="15.75" customHeight="1">
      <c r="A108" s="8"/>
      <c r="B108" s="8"/>
      <c r="C108" s="8"/>
      <c r="D108" s="8"/>
      <c r="E108" s="8"/>
      <c r="F108" s="8"/>
      <c r="G108" s="8"/>
      <c r="H108" s="8"/>
      <c r="I108" s="275"/>
      <c r="J108" s="275"/>
      <c r="K108" s="275"/>
      <c r="L108" s="275"/>
      <c r="M108" s="275"/>
      <c r="N108" s="275"/>
      <c r="O108" s="8"/>
      <c r="P108" s="8"/>
      <c r="Q108" s="8"/>
      <c r="R108" s="8"/>
      <c r="S108" s="8"/>
      <c r="T108" s="8"/>
      <c r="U108" s="8"/>
      <c r="V108" s="8"/>
      <c r="W108" s="8"/>
      <c r="X108" s="8"/>
      <c r="Y108" s="8"/>
      <c r="Z108" s="8"/>
      <c r="AA108" s="8"/>
      <c r="AB108" s="8"/>
      <c r="AC108" s="8"/>
    </row>
    <row r="109" ht="15.75" customHeight="1">
      <c r="A109" s="8"/>
      <c r="B109" s="8"/>
      <c r="C109" s="8"/>
      <c r="D109" s="8"/>
      <c r="E109" s="8"/>
      <c r="F109" s="8"/>
      <c r="G109" s="8"/>
      <c r="H109" s="8"/>
      <c r="I109" s="275"/>
      <c r="J109" s="275"/>
      <c r="K109" s="275"/>
      <c r="L109" s="275"/>
      <c r="M109" s="275"/>
      <c r="N109" s="275"/>
      <c r="O109" s="8"/>
      <c r="P109" s="8"/>
      <c r="Q109" s="8"/>
      <c r="R109" s="8"/>
      <c r="S109" s="8"/>
      <c r="T109" s="8"/>
      <c r="U109" s="8"/>
      <c r="V109" s="8"/>
      <c r="W109" s="8"/>
      <c r="X109" s="8"/>
      <c r="Y109" s="8"/>
      <c r="Z109" s="8"/>
      <c r="AA109" s="8"/>
      <c r="AB109" s="8"/>
      <c r="AC109" s="8"/>
    </row>
    <row r="110" ht="15.75" customHeight="1">
      <c r="A110" s="8"/>
      <c r="B110" s="8"/>
      <c r="C110" s="8"/>
      <c r="D110" s="8"/>
      <c r="E110" s="8"/>
      <c r="F110" s="8"/>
      <c r="G110" s="8"/>
      <c r="H110" s="8"/>
      <c r="I110" s="275"/>
      <c r="J110" s="275"/>
      <c r="K110" s="275"/>
      <c r="L110" s="275"/>
      <c r="M110" s="275"/>
      <c r="N110" s="275"/>
      <c r="O110" s="8"/>
      <c r="P110" s="8"/>
      <c r="Q110" s="8"/>
      <c r="R110" s="8"/>
      <c r="S110" s="8"/>
      <c r="T110" s="8"/>
      <c r="U110" s="8"/>
      <c r="V110" s="8"/>
      <c r="W110" s="8"/>
      <c r="X110" s="8"/>
      <c r="Y110" s="8"/>
      <c r="Z110" s="8"/>
      <c r="AA110" s="8"/>
      <c r="AB110" s="8"/>
      <c r="AC110" s="8"/>
    </row>
    <row r="111" ht="15.75" customHeight="1">
      <c r="A111" s="8"/>
      <c r="B111" s="8"/>
      <c r="C111" s="8"/>
      <c r="D111" s="8"/>
      <c r="E111" s="8"/>
      <c r="F111" s="8"/>
      <c r="G111" s="8"/>
      <c r="H111" s="8"/>
      <c r="I111" s="275"/>
      <c r="J111" s="275"/>
      <c r="K111" s="275"/>
      <c r="L111" s="275"/>
      <c r="M111" s="275"/>
      <c r="N111" s="275"/>
      <c r="O111" s="8"/>
      <c r="P111" s="8"/>
      <c r="Q111" s="8"/>
      <c r="R111" s="8"/>
      <c r="S111" s="8"/>
      <c r="T111" s="8"/>
      <c r="U111" s="8"/>
      <c r="V111" s="8"/>
      <c r="W111" s="8"/>
      <c r="X111" s="8"/>
      <c r="Y111" s="8"/>
      <c r="Z111" s="8"/>
      <c r="AA111" s="8"/>
      <c r="AB111" s="8"/>
      <c r="AC111" s="8"/>
    </row>
    <row r="112" ht="15.75" customHeight="1">
      <c r="A112" s="8"/>
      <c r="B112" s="8"/>
      <c r="C112" s="8"/>
      <c r="D112" s="8"/>
      <c r="E112" s="8"/>
      <c r="F112" s="8"/>
      <c r="G112" s="8"/>
      <c r="H112" s="8"/>
      <c r="I112" s="275"/>
      <c r="J112" s="275"/>
      <c r="K112" s="275"/>
      <c r="L112" s="275"/>
      <c r="M112" s="275"/>
      <c r="N112" s="275"/>
      <c r="O112" s="8"/>
      <c r="P112" s="8"/>
      <c r="Q112" s="8"/>
      <c r="R112" s="8"/>
      <c r="S112" s="8"/>
      <c r="T112" s="8"/>
      <c r="U112" s="8"/>
      <c r="V112" s="8"/>
      <c r="W112" s="8"/>
      <c r="X112" s="8"/>
      <c r="Y112" s="8"/>
      <c r="Z112" s="8"/>
      <c r="AA112" s="8"/>
      <c r="AB112" s="8"/>
      <c r="AC112" s="8"/>
    </row>
    <row r="113" ht="15.75" customHeight="1">
      <c r="A113" s="8"/>
      <c r="B113" s="8"/>
      <c r="C113" s="8"/>
      <c r="D113" s="8"/>
      <c r="E113" s="8"/>
      <c r="F113" s="8"/>
      <c r="G113" s="8"/>
      <c r="H113" s="8"/>
      <c r="I113" s="275"/>
      <c r="J113" s="275"/>
      <c r="K113" s="275"/>
      <c r="L113" s="275"/>
      <c r="M113" s="275"/>
      <c r="N113" s="275"/>
      <c r="O113" s="8"/>
      <c r="P113" s="8"/>
      <c r="Q113" s="8"/>
      <c r="R113" s="8"/>
      <c r="S113" s="8"/>
      <c r="T113" s="8"/>
      <c r="U113" s="8"/>
      <c r="V113" s="8"/>
      <c r="W113" s="8"/>
      <c r="X113" s="8"/>
      <c r="Y113" s="8"/>
      <c r="Z113" s="8"/>
      <c r="AA113" s="8"/>
      <c r="AB113" s="8"/>
      <c r="AC113" s="8"/>
    </row>
    <row r="114" ht="15.75" customHeight="1">
      <c r="A114" s="8"/>
      <c r="B114" s="8"/>
      <c r="C114" s="8"/>
      <c r="D114" s="8"/>
      <c r="E114" s="8"/>
      <c r="F114" s="8"/>
      <c r="G114" s="8"/>
      <c r="H114" s="8"/>
      <c r="I114" s="275"/>
      <c r="J114" s="275"/>
      <c r="K114" s="275"/>
      <c r="L114" s="275"/>
      <c r="M114" s="275"/>
      <c r="N114" s="275"/>
      <c r="O114" s="8"/>
      <c r="P114" s="8"/>
      <c r="Q114" s="8"/>
      <c r="R114" s="8"/>
      <c r="S114" s="8"/>
      <c r="T114" s="8"/>
      <c r="U114" s="8"/>
      <c r="V114" s="8"/>
      <c r="W114" s="8"/>
      <c r="X114" s="8"/>
      <c r="Y114" s="8"/>
      <c r="Z114" s="8"/>
      <c r="AA114" s="8"/>
      <c r="AB114" s="8"/>
      <c r="AC114" s="8"/>
    </row>
    <row r="115" ht="15.75" customHeight="1">
      <c r="A115" s="8"/>
      <c r="B115" s="8"/>
      <c r="C115" s="8"/>
      <c r="D115" s="8"/>
      <c r="E115" s="8"/>
      <c r="F115" s="8"/>
      <c r="G115" s="8"/>
      <c r="H115" s="8"/>
      <c r="I115" s="275"/>
      <c r="J115" s="275"/>
      <c r="K115" s="275"/>
      <c r="L115" s="275"/>
      <c r="M115" s="275"/>
      <c r="N115" s="275"/>
      <c r="O115" s="8"/>
      <c r="P115" s="8"/>
      <c r="Q115" s="8"/>
      <c r="R115" s="8"/>
      <c r="S115" s="8"/>
      <c r="T115" s="8"/>
      <c r="U115" s="8"/>
      <c r="V115" s="8"/>
      <c r="W115" s="8"/>
      <c r="X115" s="8"/>
      <c r="Y115" s="8"/>
      <c r="Z115" s="8"/>
      <c r="AA115" s="8"/>
      <c r="AB115" s="8"/>
      <c r="AC115" s="8"/>
    </row>
    <row r="116" ht="15.75" customHeight="1">
      <c r="A116" s="8"/>
      <c r="B116" s="8"/>
      <c r="C116" s="8"/>
      <c r="D116" s="8"/>
      <c r="E116" s="8"/>
      <c r="F116" s="8"/>
      <c r="G116" s="8"/>
      <c r="H116" s="8"/>
      <c r="I116" s="275"/>
      <c r="J116" s="275"/>
      <c r="K116" s="275"/>
      <c r="L116" s="275"/>
      <c r="M116" s="275"/>
      <c r="N116" s="275"/>
      <c r="O116" s="8"/>
      <c r="P116" s="8"/>
      <c r="Q116" s="8"/>
      <c r="R116" s="8"/>
      <c r="S116" s="8"/>
      <c r="T116" s="8"/>
      <c r="U116" s="8"/>
      <c r="V116" s="8"/>
      <c r="W116" s="8"/>
      <c r="X116" s="8"/>
      <c r="Y116" s="8"/>
      <c r="Z116" s="8"/>
      <c r="AA116" s="8"/>
      <c r="AB116" s="8"/>
      <c r="AC116" s="8"/>
    </row>
    <row r="117" ht="15.75" customHeight="1">
      <c r="A117" s="8"/>
      <c r="B117" s="8"/>
      <c r="C117" s="8"/>
      <c r="D117" s="8"/>
      <c r="E117" s="8"/>
      <c r="F117" s="8"/>
      <c r="G117" s="8"/>
      <c r="H117" s="8"/>
      <c r="I117" s="275"/>
      <c r="J117" s="275"/>
      <c r="K117" s="275"/>
      <c r="L117" s="275"/>
      <c r="M117" s="275"/>
      <c r="N117" s="275"/>
      <c r="O117" s="8"/>
      <c r="P117" s="8"/>
      <c r="Q117" s="8"/>
      <c r="R117" s="8"/>
      <c r="S117" s="8"/>
      <c r="T117" s="8"/>
      <c r="U117" s="8"/>
      <c r="V117" s="8"/>
      <c r="W117" s="8"/>
      <c r="X117" s="8"/>
      <c r="Y117" s="8"/>
      <c r="Z117" s="8"/>
      <c r="AA117" s="8"/>
      <c r="AB117" s="8"/>
      <c r="AC117" s="8"/>
    </row>
    <row r="118" ht="15.75" customHeight="1">
      <c r="A118" s="8"/>
      <c r="B118" s="8"/>
      <c r="C118" s="8"/>
      <c r="D118" s="8"/>
      <c r="E118" s="8"/>
      <c r="F118" s="8"/>
      <c r="G118" s="8"/>
      <c r="H118" s="8"/>
      <c r="I118" s="275"/>
      <c r="J118" s="275"/>
      <c r="K118" s="275"/>
      <c r="L118" s="275"/>
      <c r="M118" s="275"/>
      <c r="N118" s="275"/>
      <c r="O118" s="8"/>
      <c r="P118" s="8"/>
      <c r="Q118" s="8"/>
      <c r="R118" s="8"/>
      <c r="S118" s="8"/>
      <c r="T118" s="8"/>
      <c r="U118" s="8"/>
      <c r="V118" s="8"/>
      <c r="W118" s="8"/>
      <c r="X118" s="8"/>
      <c r="Y118" s="8"/>
      <c r="Z118" s="8"/>
      <c r="AA118" s="8"/>
      <c r="AB118" s="8"/>
      <c r="AC118" s="8"/>
    </row>
    <row r="119" ht="15.75" customHeight="1">
      <c r="A119" s="8"/>
      <c r="B119" s="8"/>
      <c r="C119" s="8"/>
      <c r="D119" s="8"/>
      <c r="E119" s="8"/>
      <c r="F119" s="8"/>
      <c r="G119" s="8"/>
      <c r="H119" s="8"/>
      <c r="I119" s="275"/>
      <c r="J119" s="275"/>
      <c r="K119" s="275"/>
      <c r="L119" s="275"/>
      <c r="M119" s="275"/>
      <c r="N119" s="275"/>
      <c r="O119" s="8"/>
      <c r="P119" s="8"/>
      <c r="Q119" s="8"/>
      <c r="R119" s="8"/>
      <c r="S119" s="8"/>
      <c r="T119" s="8"/>
      <c r="U119" s="8"/>
      <c r="V119" s="8"/>
      <c r="W119" s="8"/>
      <c r="X119" s="8"/>
      <c r="Y119" s="8"/>
      <c r="Z119" s="8"/>
      <c r="AA119" s="8"/>
      <c r="AB119" s="8"/>
      <c r="AC119" s="8"/>
    </row>
    <row r="120" ht="15.75" customHeight="1">
      <c r="A120" s="8"/>
      <c r="B120" s="8"/>
      <c r="C120" s="8"/>
      <c r="D120" s="8"/>
      <c r="E120" s="8"/>
      <c r="F120" s="8"/>
      <c r="G120" s="8"/>
      <c r="H120" s="8"/>
      <c r="I120" s="275"/>
      <c r="J120" s="275"/>
      <c r="K120" s="275"/>
      <c r="L120" s="275"/>
      <c r="M120" s="275"/>
      <c r="N120" s="275"/>
      <c r="O120" s="8"/>
      <c r="P120" s="8"/>
      <c r="Q120" s="8"/>
      <c r="R120" s="8"/>
      <c r="S120" s="8"/>
      <c r="T120" s="8"/>
      <c r="U120" s="8"/>
      <c r="V120" s="8"/>
      <c r="W120" s="8"/>
      <c r="X120" s="8"/>
      <c r="Y120" s="8"/>
      <c r="Z120" s="8"/>
      <c r="AA120" s="8"/>
      <c r="AB120" s="8"/>
      <c r="AC120" s="8"/>
    </row>
    <row r="121" ht="15.75" customHeight="1">
      <c r="A121" s="8"/>
      <c r="B121" s="8"/>
      <c r="C121" s="8"/>
      <c r="D121" s="8"/>
      <c r="E121" s="8"/>
      <c r="F121" s="8"/>
      <c r="G121" s="8"/>
      <c r="H121" s="8"/>
      <c r="I121" s="275"/>
      <c r="J121" s="275"/>
      <c r="K121" s="275"/>
      <c r="L121" s="275"/>
      <c r="M121" s="275"/>
      <c r="N121" s="275"/>
      <c r="O121" s="8"/>
      <c r="P121" s="8"/>
      <c r="Q121" s="8"/>
      <c r="R121" s="8"/>
      <c r="S121" s="8"/>
      <c r="T121" s="8"/>
      <c r="U121" s="8"/>
      <c r="V121" s="8"/>
      <c r="W121" s="8"/>
      <c r="X121" s="8"/>
      <c r="Y121" s="8"/>
      <c r="Z121" s="8"/>
      <c r="AA121" s="8"/>
      <c r="AB121" s="8"/>
      <c r="AC121" s="8"/>
    </row>
    <row r="122" ht="15.75" customHeight="1">
      <c r="A122" s="8"/>
      <c r="B122" s="8"/>
      <c r="C122" s="8"/>
      <c r="D122" s="8"/>
      <c r="E122" s="8"/>
      <c r="F122" s="8"/>
      <c r="G122" s="8"/>
      <c r="H122" s="8"/>
      <c r="I122" s="275"/>
      <c r="J122" s="275"/>
      <c r="K122" s="275"/>
      <c r="L122" s="275"/>
      <c r="M122" s="275"/>
      <c r="N122" s="275"/>
      <c r="O122" s="8"/>
      <c r="P122" s="8"/>
      <c r="Q122" s="8"/>
      <c r="R122" s="8"/>
      <c r="S122" s="8"/>
      <c r="T122" s="8"/>
      <c r="U122" s="8"/>
      <c r="V122" s="8"/>
      <c r="W122" s="8"/>
      <c r="X122" s="8"/>
      <c r="Y122" s="8"/>
      <c r="Z122" s="8"/>
      <c r="AA122" s="8"/>
      <c r="AB122" s="8"/>
      <c r="AC122" s="8"/>
    </row>
    <row r="123" ht="15.75" customHeight="1">
      <c r="A123" s="8"/>
      <c r="B123" s="8"/>
      <c r="C123" s="8"/>
      <c r="D123" s="8"/>
      <c r="E123" s="8"/>
      <c r="F123" s="8"/>
      <c r="G123" s="8"/>
      <c r="H123" s="8"/>
      <c r="I123" s="275"/>
      <c r="J123" s="275"/>
      <c r="K123" s="275"/>
      <c r="L123" s="275"/>
      <c r="M123" s="275"/>
      <c r="N123" s="275"/>
      <c r="O123" s="8"/>
      <c r="P123" s="8"/>
      <c r="Q123" s="8"/>
      <c r="R123" s="8"/>
      <c r="S123" s="8"/>
      <c r="T123" s="8"/>
      <c r="U123" s="8"/>
      <c r="V123" s="8"/>
      <c r="W123" s="8"/>
      <c r="X123" s="8"/>
      <c r="Y123" s="8"/>
      <c r="Z123" s="8"/>
      <c r="AA123" s="8"/>
      <c r="AB123" s="8"/>
      <c r="AC123" s="8"/>
    </row>
    <row r="124" ht="15.75" customHeight="1">
      <c r="A124" s="8"/>
      <c r="B124" s="8"/>
      <c r="C124" s="8"/>
      <c r="D124" s="8"/>
      <c r="E124" s="8"/>
      <c r="F124" s="8"/>
      <c r="G124" s="8"/>
      <c r="H124" s="8"/>
      <c r="I124" s="275"/>
      <c r="J124" s="275"/>
      <c r="K124" s="275"/>
      <c r="L124" s="275"/>
      <c r="M124" s="275"/>
      <c r="N124" s="275"/>
      <c r="O124" s="8"/>
      <c r="P124" s="8"/>
      <c r="Q124" s="8"/>
      <c r="R124" s="8"/>
      <c r="S124" s="8"/>
      <c r="T124" s="8"/>
      <c r="U124" s="8"/>
      <c r="V124" s="8"/>
      <c r="W124" s="8"/>
      <c r="X124" s="8"/>
      <c r="Y124" s="8"/>
      <c r="Z124" s="8"/>
      <c r="AA124" s="8"/>
      <c r="AB124" s="8"/>
      <c r="AC124" s="8"/>
    </row>
    <row r="125" ht="15.75" customHeight="1">
      <c r="A125" s="8"/>
      <c r="B125" s="8"/>
      <c r="C125" s="8"/>
      <c r="D125" s="8"/>
      <c r="E125" s="8"/>
      <c r="F125" s="8"/>
      <c r="G125" s="8"/>
      <c r="H125" s="8"/>
      <c r="I125" s="275"/>
      <c r="J125" s="275"/>
      <c r="K125" s="275"/>
      <c r="L125" s="275"/>
      <c r="M125" s="275"/>
      <c r="N125" s="275"/>
      <c r="O125" s="8"/>
      <c r="P125" s="8"/>
      <c r="Q125" s="8"/>
      <c r="R125" s="8"/>
      <c r="S125" s="8"/>
      <c r="T125" s="8"/>
      <c r="U125" s="8"/>
      <c r="V125" s="8"/>
      <c r="W125" s="8"/>
      <c r="X125" s="8"/>
      <c r="Y125" s="8"/>
      <c r="Z125" s="8"/>
      <c r="AA125" s="8"/>
      <c r="AB125" s="8"/>
      <c r="AC125" s="8"/>
    </row>
    <row r="126" ht="15.75" customHeight="1">
      <c r="A126" s="8"/>
      <c r="B126" s="8"/>
      <c r="C126" s="8"/>
      <c r="D126" s="8"/>
      <c r="E126" s="8"/>
      <c r="F126" s="8"/>
      <c r="G126" s="8"/>
      <c r="H126" s="8"/>
      <c r="I126" s="275"/>
      <c r="J126" s="275"/>
      <c r="K126" s="275"/>
      <c r="L126" s="275"/>
      <c r="M126" s="275"/>
      <c r="N126" s="275"/>
      <c r="O126" s="8"/>
      <c r="P126" s="8"/>
      <c r="Q126" s="8"/>
      <c r="R126" s="8"/>
      <c r="S126" s="8"/>
      <c r="T126" s="8"/>
      <c r="U126" s="8"/>
      <c r="V126" s="8"/>
      <c r="W126" s="8"/>
      <c r="X126" s="8"/>
      <c r="Y126" s="8"/>
      <c r="Z126" s="8"/>
      <c r="AA126" s="8"/>
      <c r="AB126" s="8"/>
      <c r="AC126" s="8"/>
    </row>
    <row r="127" ht="15.75" customHeight="1">
      <c r="A127" s="8"/>
      <c r="B127" s="8"/>
      <c r="C127" s="8"/>
      <c r="D127" s="8"/>
      <c r="E127" s="8"/>
      <c r="F127" s="8"/>
      <c r="G127" s="8"/>
      <c r="H127" s="8"/>
      <c r="I127" s="275"/>
      <c r="J127" s="275"/>
      <c r="K127" s="275"/>
      <c r="L127" s="275"/>
      <c r="M127" s="275"/>
      <c r="N127" s="275"/>
      <c r="O127" s="8"/>
      <c r="P127" s="8"/>
      <c r="Q127" s="8"/>
      <c r="R127" s="8"/>
      <c r="S127" s="8"/>
      <c r="T127" s="8"/>
      <c r="U127" s="8"/>
      <c r="V127" s="8"/>
      <c r="W127" s="8"/>
      <c r="X127" s="8"/>
      <c r="Y127" s="8"/>
      <c r="Z127" s="8"/>
      <c r="AA127" s="8"/>
      <c r="AB127" s="8"/>
      <c r="AC127" s="8"/>
    </row>
    <row r="128" ht="15.75" customHeight="1">
      <c r="A128" s="8"/>
      <c r="B128" s="8"/>
      <c r="C128" s="8"/>
      <c r="D128" s="8"/>
      <c r="E128" s="8"/>
      <c r="F128" s="8"/>
      <c r="G128" s="8"/>
      <c r="H128" s="8"/>
      <c r="I128" s="275"/>
      <c r="J128" s="275"/>
      <c r="K128" s="275"/>
      <c r="L128" s="275"/>
      <c r="M128" s="275"/>
      <c r="N128" s="275"/>
      <c r="O128" s="8"/>
      <c r="P128" s="8"/>
      <c r="Q128" s="8"/>
      <c r="R128" s="8"/>
      <c r="S128" s="8"/>
      <c r="T128" s="8"/>
      <c r="U128" s="8"/>
      <c r="V128" s="8"/>
      <c r="W128" s="8"/>
      <c r="X128" s="8"/>
      <c r="Y128" s="8"/>
      <c r="Z128" s="8"/>
      <c r="AA128" s="8"/>
      <c r="AB128" s="8"/>
      <c r="AC128" s="8"/>
    </row>
    <row r="129" ht="15.75" customHeight="1">
      <c r="A129" s="8"/>
      <c r="B129" s="8"/>
      <c r="C129" s="8"/>
      <c r="D129" s="8"/>
      <c r="E129" s="8"/>
      <c r="F129" s="8"/>
      <c r="G129" s="8"/>
      <c r="H129" s="8"/>
      <c r="I129" s="275"/>
      <c r="J129" s="275"/>
      <c r="K129" s="275"/>
      <c r="L129" s="275"/>
      <c r="M129" s="275"/>
      <c r="N129" s="275"/>
      <c r="O129" s="8"/>
      <c r="P129" s="8"/>
      <c r="Q129" s="8"/>
      <c r="R129" s="8"/>
      <c r="S129" s="8"/>
      <c r="T129" s="8"/>
      <c r="U129" s="8"/>
      <c r="V129" s="8"/>
      <c r="W129" s="8"/>
      <c r="X129" s="8"/>
      <c r="Y129" s="8"/>
      <c r="Z129" s="8"/>
      <c r="AA129" s="8"/>
      <c r="AB129" s="8"/>
      <c r="AC129" s="8"/>
    </row>
    <row r="130" ht="15.75" customHeight="1">
      <c r="A130" s="8"/>
      <c r="B130" s="8"/>
      <c r="C130" s="8"/>
      <c r="D130" s="8"/>
      <c r="E130" s="8"/>
      <c r="F130" s="8"/>
      <c r="G130" s="8"/>
      <c r="H130" s="8"/>
      <c r="I130" s="275"/>
      <c r="J130" s="275"/>
      <c r="K130" s="275"/>
      <c r="L130" s="275"/>
      <c r="M130" s="275"/>
      <c r="N130" s="275"/>
      <c r="O130" s="8"/>
      <c r="P130" s="8"/>
      <c r="Q130" s="8"/>
      <c r="R130" s="8"/>
      <c r="S130" s="8"/>
      <c r="T130" s="8"/>
      <c r="U130" s="8"/>
      <c r="V130" s="8"/>
      <c r="W130" s="8"/>
      <c r="X130" s="8"/>
      <c r="Y130" s="8"/>
      <c r="Z130" s="8"/>
      <c r="AA130" s="8"/>
      <c r="AB130" s="8"/>
      <c r="AC130" s="8"/>
    </row>
    <row r="131" ht="15.75" customHeight="1">
      <c r="A131" s="8"/>
      <c r="B131" s="8"/>
      <c r="C131" s="8"/>
      <c r="D131" s="8"/>
      <c r="E131" s="8"/>
      <c r="F131" s="8"/>
      <c r="G131" s="8"/>
      <c r="H131" s="8"/>
      <c r="I131" s="275"/>
      <c r="J131" s="275"/>
      <c r="K131" s="275"/>
      <c r="L131" s="275"/>
      <c r="M131" s="275"/>
      <c r="N131" s="275"/>
      <c r="O131" s="8"/>
      <c r="P131" s="8"/>
      <c r="Q131" s="8"/>
      <c r="R131" s="8"/>
      <c r="S131" s="8"/>
      <c r="T131" s="8"/>
      <c r="U131" s="8"/>
      <c r="V131" s="8"/>
      <c r="W131" s="8"/>
      <c r="X131" s="8"/>
      <c r="Y131" s="8"/>
      <c r="Z131" s="8"/>
      <c r="AA131" s="8"/>
      <c r="AB131" s="8"/>
      <c r="AC131" s="8"/>
    </row>
    <row r="132" ht="15.75" customHeight="1">
      <c r="A132" s="8"/>
      <c r="B132" s="8"/>
      <c r="C132" s="8"/>
      <c r="D132" s="8"/>
      <c r="E132" s="8"/>
      <c r="F132" s="8"/>
      <c r="G132" s="8"/>
      <c r="H132" s="8"/>
      <c r="I132" s="275"/>
      <c r="J132" s="275"/>
      <c r="K132" s="275"/>
      <c r="L132" s="275"/>
      <c r="M132" s="275"/>
      <c r="N132" s="275"/>
      <c r="O132" s="8"/>
      <c r="P132" s="8"/>
      <c r="Q132" s="8"/>
      <c r="R132" s="8"/>
      <c r="S132" s="8"/>
      <c r="T132" s="8"/>
      <c r="U132" s="8"/>
      <c r="V132" s="8"/>
      <c r="W132" s="8"/>
      <c r="X132" s="8"/>
      <c r="Y132" s="8"/>
      <c r="Z132" s="8"/>
      <c r="AA132" s="8"/>
      <c r="AB132" s="8"/>
      <c r="AC132" s="8"/>
    </row>
    <row r="133" ht="15.75" customHeight="1">
      <c r="A133" s="8"/>
      <c r="B133" s="8"/>
      <c r="C133" s="8"/>
      <c r="D133" s="8"/>
      <c r="E133" s="8"/>
      <c r="F133" s="8"/>
      <c r="G133" s="8"/>
      <c r="H133" s="8"/>
      <c r="I133" s="275"/>
      <c r="J133" s="275"/>
      <c r="K133" s="275"/>
      <c r="L133" s="275"/>
      <c r="M133" s="275"/>
      <c r="N133" s="275"/>
      <c r="O133" s="8"/>
      <c r="P133" s="8"/>
      <c r="Q133" s="8"/>
      <c r="R133" s="8"/>
      <c r="S133" s="8"/>
      <c r="T133" s="8"/>
      <c r="U133" s="8"/>
      <c r="V133" s="8"/>
      <c r="W133" s="8"/>
      <c r="X133" s="8"/>
      <c r="Y133" s="8"/>
      <c r="Z133" s="8"/>
      <c r="AA133" s="8"/>
      <c r="AB133" s="8"/>
      <c r="AC133" s="8"/>
    </row>
    <row r="134" ht="15.75" customHeight="1">
      <c r="A134" s="8"/>
      <c r="B134" s="8"/>
      <c r="C134" s="8"/>
      <c r="D134" s="8"/>
      <c r="E134" s="8"/>
      <c r="F134" s="8"/>
      <c r="G134" s="8"/>
      <c r="H134" s="8"/>
      <c r="I134" s="275"/>
      <c r="J134" s="275"/>
      <c r="K134" s="275"/>
      <c r="L134" s="275"/>
      <c r="M134" s="275"/>
      <c r="N134" s="275"/>
      <c r="O134" s="8"/>
      <c r="P134" s="8"/>
      <c r="Q134" s="8"/>
      <c r="R134" s="8"/>
      <c r="S134" s="8"/>
      <c r="T134" s="8"/>
      <c r="U134" s="8"/>
      <c r="V134" s="8"/>
      <c r="W134" s="8"/>
      <c r="X134" s="8"/>
      <c r="Y134" s="8"/>
      <c r="Z134" s="8"/>
      <c r="AA134" s="8"/>
      <c r="AB134" s="8"/>
      <c r="AC134" s="8"/>
    </row>
    <row r="135" ht="15.75" customHeight="1">
      <c r="A135" s="8"/>
      <c r="B135" s="8"/>
      <c r="C135" s="8"/>
      <c r="D135" s="8"/>
      <c r="E135" s="8"/>
      <c r="F135" s="8"/>
      <c r="G135" s="8"/>
      <c r="H135" s="8"/>
      <c r="I135" s="275"/>
      <c r="J135" s="275"/>
      <c r="K135" s="275"/>
      <c r="L135" s="275"/>
      <c r="M135" s="275"/>
      <c r="N135" s="275"/>
      <c r="O135" s="8"/>
      <c r="P135" s="8"/>
      <c r="Q135" s="8"/>
      <c r="R135" s="8"/>
      <c r="S135" s="8"/>
      <c r="T135" s="8"/>
      <c r="U135" s="8"/>
      <c r="V135" s="8"/>
      <c r="W135" s="8"/>
      <c r="X135" s="8"/>
      <c r="Y135" s="8"/>
      <c r="Z135" s="8"/>
      <c r="AA135" s="8"/>
      <c r="AB135" s="8"/>
      <c r="AC135" s="8"/>
    </row>
    <row r="136" ht="15.75" customHeight="1">
      <c r="A136" s="8"/>
      <c r="B136" s="8"/>
      <c r="C136" s="8"/>
      <c r="D136" s="8"/>
      <c r="E136" s="8"/>
      <c r="F136" s="8"/>
      <c r="G136" s="8"/>
      <c r="H136" s="8"/>
      <c r="I136" s="275"/>
      <c r="J136" s="275"/>
      <c r="K136" s="275"/>
      <c r="L136" s="275"/>
      <c r="M136" s="275"/>
      <c r="N136" s="275"/>
      <c r="O136" s="8"/>
      <c r="P136" s="8"/>
      <c r="Q136" s="8"/>
      <c r="R136" s="8"/>
      <c r="S136" s="8"/>
      <c r="T136" s="8"/>
      <c r="U136" s="8"/>
      <c r="V136" s="8"/>
      <c r="W136" s="8"/>
      <c r="X136" s="8"/>
      <c r="Y136" s="8"/>
      <c r="Z136" s="8"/>
      <c r="AA136" s="8"/>
      <c r="AB136" s="8"/>
      <c r="AC136" s="8"/>
    </row>
    <row r="137" ht="15.75" customHeight="1">
      <c r="A137" s="8"/>
      <c r="B137" s="8"/>
      <c r="C137" s="8"/>
      <c r="D137" s="8"/>
      <c r="E137" s="8"/>
      <c r="F137" s="8"/>
      <c r="G137" s="8"/>
      <c r="H137" s="8"/>
      <c r="I137" s="275"/>
      <c r="J137" s="275"/>
      <c r="K137" s="275"/>
      <c r="L137" s="275"/>
      <c r="M137" s="275"/>
      <c r="N137" s="275"/>
      <c r="O137" s="8"/>
      <c r="P137" s="8"/>
      <c r="Q137" s="8"/>
      <c r="R137" s="8"/>
      <c r="S137" s="8"/>
      <c r="T137" s="8"/>
      <c r="U137" s="8"/>
      <c r="V137" s="8"/>
      <c r="W137" s="8"/>
      <c r="X137" s="8"/>
      <c r="Y137" s="8"/>
      <c r="Z137" s="8"/>
      <c r="AA137" s="8"/>
      <c r="AB137" s="8"/>
      <c r="AC137" s="8"/>
    </row>
    <row r="138" ht="15.75" customHeight="1">
      <c r="A138" s="8"/>
      <c r="B138" s="8"/>
      <c r="C138" s="8"/>
      <c r="D138" s="8"/>
      <c r="E138" s="8"/>
      <c r="F138" s="8"/>
      <c r="G138" s="8"/>
      <c r="H138" s="8"/>
      <c r="I138" s="275"/>
      <c r="J138" s="275"/>
      <c r="K138" s="275"/>
      <c r="L138" s="275"/>
      <c r="M138" s="275"/>
      <c r="N138" s="275"/>
      <c r="O138" s="8"/>
      <c r="P138" s="8"/>
      <c r="Q138" s="8"/>
      <c r="R138" s="8"/>
      <c r="S138" s="8"/>
      <c r="T138" s="8"/>
      <c r="U138" s="8"/>
      <c r="V138" s="8"/>
      <c r="W138" s="8"/>
      <c r="X138" s="8"/>
      <c r="Y138" s="8"/>
      <c r="Z138" s="8"/>
      <c r="AA138" s="8"/>
      <c r="AB138" s="8"/>
      <c r="AC138" s="8"/>
    </row>
    <row r="139" ht="15.75" customHeight="1">
      <c r="A139" s="8"/>
      <c r="B139" s="8"/>
      <c r="C139" s="8"/>
      <c r="D139" s="8"/>
      <c r="E139" s="8"/>
      <c r="F139" s="8"/>
      <c r="G139" s="8"/>
      <c r="H139" s="8"/>
      <c r="I139" s="275"/>
      <c r="J139" s="275"/>
      <c r="K139" s="275"/>
      <c r="L139" s="275"/>
      <c r="M139" s="275"/>
      <c r="N139" s="275"/>
      <c r="O139" s="8"/>
      <c r="P139" s="8"/>
      <c r="Q139" s="8"/>
      <c r="R139" s="8"/>
      <c r="S139" s="8"/>
      <c r="T139" s="8"/>
      <c r="U139" s="8"/>
      <c r="V139" s="8"/>
      <c r="W139" s="8"/>
      <c r="X139" s="8"/>
      <c r="Y139" s="8"/>
      <c r="Z139" s="8"/>
      <c r="AA139" s="8"/>
      <c r="AB139" s="8"/>
      <c r="AC139" s="8"/>
    </row>
    <row r="140" ht="15.75" customHeight="1">
      <c r="A140" s="8"/>
      <c r="B140" s="8"/>
      <c r="C140" s="8"/>
      <c r="D140" s="8"/>
      <c r="E140" s="8"/>
      <c r="F140" s="8"/>
      <c r="G140" s="8"/>
      <c r="H140" s="8"/>
      <c r="I140" s="275"/>
      <c r="J140" s="275"/>
      <c r="K140" s="275"/>
      <c r="L140" s="275"/>
      <c r="M140" s="275"/>
      <c r="N140" s="275"/>
      <c r="O140" s="8"/>
      <c r="P140" s="8"/>
      <c r="Q140" s="8"/>
      <c r="R140" s="8"/>
      <c r="S140" s="8"/>
      <c r="T140" s="8"/>
      <c r="U140" s="8"/>
      <c r="V140" s="8"/>
      <c r="W140" s="8"/>
      <c r="X140" s="8"/>
      <c r="Y140" s="8"/>
      <c r="Z140" s="8"/>
      <c r="AA140" s="8"/>
      <c r="AB140" s="8"/>
      <c r="AC140" s="8"/>
    </row>
    <row r="141" ht="15.75" customHeight="1">
      <c r="A141" s="8"/>
      <c r="B141" s="8"/>
      <c r="C141" s="8"/>
      <c r="D141" s="8"/>
      <c r="E141" s="8"/>
      <c r="F141" s="8"/>
      <c r="G141" s="8"/>
      <c r="H141" s="8"/>
      <c r="I141" s="275"/>
      <c r="J141" s="275"/>
      <c r="K141" s="275"/>
      <c r="L141" s="275"/>
      <c r="M141" s="275"/>
      <c r="N141" s="275"/>
      <c r="O141" s="8"/>
      <c r="P141" s="8"/>
      <c r="Q141" s="8"/>
      <c r="R141" s="8"/>
      <c r="S141" s="8"/>
      <c r="T141" s="8"/>
      <c r="U141" s="8"/>
      <c r="V141" s="8"/>
      <c r="W141" s="8"/>
      <c r="X141" s="8"/>
      <c r="Y141" s="8"/>
      <c r="Z141" s="8"/>
      <c r="AA141" s="8"/>
      <c r="AB141" s="8"/>
      <c r="AC141" s="8"/>
    </row>
    <row r="142" ht="15.75" customHeight="1">
      <c r="A142" s="8"/>
      <c r="B142" s="8"/>
      <c r="C142" s="8"/>
      <c r="D142" s="8"/>
      <c r="E142" s="8"/>
      <c r="F142" s="8"/>
      <c r="G142" s="8"/>
      <c r="H142" s="8"/>
      <c r="I142" s="275"/>
      <c r="J142" s="275"/>
      <c r="K142" s="275"/>
      <c r="L142" s="275"/>
      <c r="M142" s="275"/>
      <c r="N142" s="275"/>
      <c r="O142" s="8"/>
      <c r="P142" s="8"/>
      <c r="Q142" s="8"/>
      <c r="R142" s="8"/>
      <c r="S142" s="8"/>
      <c r="T142" s="8"/>
      <c r="U142" s="8"/>
      <c r="V142" s="8"/>
      <c r="W142" s="8"/>
      <c r="X142" s="8"/>
      <c r="Y142" s="8"/>
      <c r="Z142" s="8"/>
      <c r="AA142" s="8"/>
      <c r="AB142" s="8"/>
      <c r="AC142" s="8"/>
    </row>
    <row r="143" ht="15.75" customHeight="1">
      <c r="A143" s="8"/>
      <c r="B143" s="8"/>
      <c r="C143" s="8"/>
      <c r="D143" s="8"/>
      <c r="E143" s="8"/>
      <c r="F143" s="8"/>
      <c r="G143" s="8"/>
      <c r="H143" s="8"/>
      <c r="I143" s="275"/>
      <c r="J143" s="275"/>
      <c r="K143" s="275"/>
      <c r="L143" s="275"/>
      <c r="M143" s="275"/>
      <c r="N143" s="275"/>
      <c r="O143" s="8"/>
      <c r="P143" s="8"/>
      <c r="Q143" s="8"/>
      <c r="R143" s="8"/>
      <c r="S143" s="8"/>
      <c r="T143" s="8"/>
      <c r="U143" s="8"/>
      <c r="V143" s="8"/>
      <c r="W143" s="8"/>
      <c r="X143" s="8"/>
      <c r="Y143" s="8"/>
      <c r="Z143" s="8"/>
      <c r="AA143" s="8"/>
      <c r="AB143" s="8"/>
      <c r="AC143" s="8"/>
    </row>
    <row r="144" ht="15.75" customHeight="1">
      <c r="A144" s="8"/>
      <c r="B144" s="8"/>
      <c r="C144" s="8"/>
      <c r="D144" s="8"/>
      <c r="E144" s="8"/>
      <c r="F144" s="8"/>
      <c r="G144" s="8"/>
      <c r="H144" s="8"/>
      <c r="I144" s="275"/>
      <c r="J144" s="275"/>
      <c r="K144" s="275"/>
      <c r="L144" s="275"/>
      <c r="M144" s="275"/>
      <c r="N144" s="275"/>
      <c r="O144" s="8"/>
      <c r="P144" s="8"/>
      <c r="Q144" s="8"/>
      <c r="R144" s="8"/>
      <c r="S144" s="8"/>
      <c r="T144" s="8"/>
      <c r="U144" s="8"/>
      <c r="V144" s="8"/>
      <c r="W144" s="8"/>
      <c r="X144" s="8"/>
      <c r="Y144" s="8"/>
      <c r="Z144" s="8"/>
      <c r="AA144" s="8"/>
      <c r="AB144" s="8"/>
      <c r="AC144" s="8"/>
    </row>
    <row r="145" ht="15.75" customHeight="1">
      <c r="A145" s="8"/>
      <c r="B145" s="8"/>
      <c r="C145" s="8"/>
      <c r="D145" s="8"/>
      <c r="E145" s="8"/>
      <c r="F145" s="8"/>
      <c r="G145" s="8"/>
      <c r="H145" s="8"/>
      <c r="I145" s="275"/>
      <c r="J145" s="275"/>
      <c r="K145" s="275"/>
      <c r="L145" s="275"/>
      <c r="M145" s="275"/>
      <c r="N145" s="275"/>
      <c r="O145" s="8"/>
      <c r="P145" s="8"/>
      <c r="Q145" s="8"/>
      <c r="R145" s="8"/>
      <c r="S145" s="8"/>
      <c r="T145" s="8"/>
      <c r="U145" s="8"/>
      <c r="V145" s="8"/>
      <c r="W145" s="8"/>
      <c r="X145" s="8"/>
      <c r="Y145" s="8"/>
      <c r="Z145" s="8"/>
      <c r="AA145" s="8"/>
      <c r="AB145" s="8"/>
      <c r="AC145" s="8"/>
    </row>
    <row r="146" ht="15.75" customHeight="1">
      <c r="A146" s="8"/>
      <c r="B146" s="8"/>
      <c r="C146" s="8"/>
      <c r="D146" s="8"/>
      <c r="E146" s="8"/>
      <c r="F146" s="8"/>
      <c r="G146" s="8"/>
      <c r="H146" s="8"/>
      <c r="I146" s="275"/>
      <c r="J146" s="275"/>
      <c r="K146" s="275"/>
      <c r="L146" s="275"/>
      <c r="M146" s="275"/>
      <c r="N146" s="275"/>
      <c r="O146" s="8"/>
      <c r="P146" s="8"/>
      <c r="Q146" s="8"/>
      <c r="R146" s="8"/>
      <c r="S146" s="8"/>
      <c r="T146" s="8"/>
      <c r="U146" s="8"/>
      <c r="V146" s="8"/>
      <c r="W146" s="8"/>
      <c r="X146" s="8"/>
      <c r="Y146" s="8"/>
      <c r="Z146" s="8"/>
      <c r="AA146" s="8"/>
      <c r="AB146" s="8"/>
      <c r="AC146" s="8"/>
    </row>
    <row r="147" ht="15.75" customHeight="1">
      <c r="A147" s="8"/>
      <c r="B147" s="8"/>
      <c r="C147" s="8"/>
      <c r="D147" s="8"/>
      <c r="E147" s="8"/>
      <c r="F147" s="8"/>
      <c r="G147" s="8"/>
      <c r="H147" s="8"/>
      <c r="I147" s="275"/>
      <c r="J147" s="275"/>
      <c r="K147" s="275"/>
      <c r="L147" s="275"/>
      <c r="M147" s="275"/>
      <c r="N147" s="275"/>
      <c r="O147" s="8"/>
      <c r="P147" s="8"/>
      <c r="Q147" s="8"/>
      <c r="R147" s="8"/>
      <c r="S147" s="8"/>
      <c r="T147" s="8"/>
      <c r="U147" s="8"/>
      <c r="V147" s="8"/>
      <c r="W147" s="8"/>
      <c r="X147" s="8"/>
      <c r="Y147" s="8"/>
      <c r="Z147" s="8"/>
      <c r="AA147" s="8"/>
      <c r="AB147" s="8"/>
      <c r="AC147" s="8"/>
    </row>
    <row r="148" ht="15.75" customHeight="1">
      <c r="A148" s="8"/>
      <c r="B148" s="8"/>
      <c r="C148" s="8"/>
      <c r="D148" s="8"/>
      <c r="E148" s="8"/>
      <c r="F148" s="8"/>
      <c r="G148" s="8"/>
      <c r="H148" s="8"/>
      <c r="I148" s="275"/>
      <c r="J148" s="275"/>
      <c r="K148" s="275"/>
      <c r="L148" s="275"/>
      <c r="M148" s="275"/>
      <c r="N148" s="275"/>
      <c r="O148" s="8"/>
      <c r="P148" s="8"/>
      <c r="Q148" s="8"/>
      <c r="R148" s="8"/>
      <c r="S148" s="8"/>
      <c r="T148" s="8"/>
      <c r="U148" s="8"/>
      <c r="V148" s="8"/>
      <c r="W148" s="8"/>
      <c r="X148" s="8"/>
      <c r="Y148" s="8"/>
      <c r="Z148" s="8"/>
      <c r="AA148" s="8"/>
      <c r="AB148" s="8"/>
      <c r="AC148" s="8"/>
    </row>
    <row r="149" ht="15.75" customHeight="1">
      <c r="A149" s="8"/>
      <c r="B149" s="8"/>
      <c r="C149" s="8"/>
      <c r="D149" s="8"/>
      <c r="E149" s="8"/>
      <c r="F149" s="8"/>
      <c r="G149" s="8"/>
      <c r="H149" s="8"/>
      <c r="I149" s="275"/>
      <c r="J149" s="275"/>
      <c r="K149" s="275"/>
      <c r="L149" s="275"/>
      <c r="M149" s="275"/>
      <c r="N149" s="275"/>
      <c r="O149" s="8"/>
      <c r="P149" s="8"/>
      <c r="Q149" s="8"/>
      <c r="R149" s="8"/>
      <c r="S149" s="8"/>
      <c r="T149" s="8"/>
      <c r="U149" s="8"/>
      <c r="V149" s="8"/>
      <c r="W149" s="8"/>
      <c r="X149" s="8"/>
      <c r="Y149" s="8"/>
      <c r="Z149" s="8"/>
      <c r="AA149" s="8"/>
      <c r="AB149" s="8"/>
      <c r="AC149" s="8"/>
    </row>
    <row r="150" ht="15.75" customHeight="1">
      <c r="A150" s="8"/>
      <c r="B150" s="8"/>
      <c r="C150" s="8"/>
      <c r="D150" s="8"/>
      <c r="E150" s="8"/>
      <c r="F150" s="8"/>
      <c r="G150" s="8"/>
      <c r="H150" s="8"/>
      <c r="I150" s="275"/>
      <c r="J150" s="275"/>
      <c r="K150" s="275"/>
      <c r="L150" s="275"/>
      <c r="M150" s="275"/>
      <c r="N150" s="275"/>
      <c r="O150" s="8"/>
      <c r="P150" s="8"/>
      <c r="Q150" s="8"/>
      <c r="R150" s="8"/>
      <c r="S150" s="8"/>
      <c r="T150" s="8"/>
      <c r="U150" s="8"/>
      <c r="V150" s="8"/>
      <c r="W150" s="8"/>
      <c r="X150" s="8"/>
      <c r="Y150" s="8"/>
      <c r="Z150" s="8"/>
      <c r="AA150" s="8"/>
      <c r="AB150" s="8"/>
      <c r="AC150" s="8"/>
    </row>
    <row r="151" ht="15.75" customHeight="1">
      <c r="A151" s="8"/>
      <c r="B151" s="8"/>
      <c r="C151" s="8"/>
      <c r="D151" s="8"/>
      <c r="E151" s="8"/>
      <c r="F151" s="8"/>
      <c r="G151" s="8"/>
      <c r="H151" s="8"/>
      <c r="I151" s="275"/>
      <c r="J151" s="275"/>
      <c r="K151" s="275"/>
      <c r="L151" s="275"/>
      <c r="M151" s="275"/>
      <c r="N151" s="275"/>
      <c r="O151" s="8"/>
      <c r="P151" s="8"/>
      <c r="Q151" s="8"/>
      <c r="R151" s="8"/>
      <c r="S151" s="8"/>
      <c r="T151" s="8"/>
      <c r="U151" s="8"/>
      <c r="V151" s="8"/>
      <c r="W151" s="8"/>
      <c r="X151" s="8"/>
      <c r="Y151" s="8"/>
      <c r="Z151" s="8"/>
      <c r="AA151" s="8"/>
      <c r="AB151" s="8"/>
      <c r="AC151" s="8"/>
    </row>
    <row r="152" ht="15.75" customHeight="1">
      <c r="A152" s="8"/>
      <c r="B152" s="8"/>
      <c r="C152" s="8"/>
      <c r="D152" s="8"/>
      <c r="E152" s="8"/>
      <c r="F152" s="8"/>
      <c r="G152" s="8"/>
      <c r="H152" s="8"/>
      <c r="I152" s="275"/>
      <c r="J152" s="275"/>
      <c r="K152" s="275"/>
      <c r="L152" s="275"/>
      <c r="M152" s="275"/>
      <c r="N152" s="275"/>
      <c r="O152" s="8"/>
      <c r="P152" s="8"/>
      <c r="Q152" s="8"/>
      <c r="R152" s="8"/>
      <c r="S152" s="8"/>
      <c r="T152" s="8"/>
      <c r="U152" s="8"/>
      <c r="V152" s="8"/>
      <c r="W152" s="8"/>
      <c r="X152" s="8"/>
      <c r="Y152" s="8"/>
      <c r="Z152" s="8"/>
      <c r="AA152" s="8"/>
      <c r="AB152" s="8"/>
      <c r="AC152" s="8"/>
    </row>
    <row r="153" ht="15.75" customHeight="1">
      <c r="A153" s="8"/>
      <c r="B153" s="8"/>
      <c r="C153" s="8"/>
      <c r="D153" s="8"/>
      <c r="E153" s="8"/>
      <c r="F153" s="8"/>
      <c r="G153" s="8"/>
      <c r="H153" s="8"/>
      <c r="I153" s="275"/>
      <c r="J153" s="275"/>
      <c r="K153" s="275"/>
      <c r="L153" s="275"/>
      <c r="M153" s="275"/>
      <c r="N153" s="275"/>
      <c r="O153" s="8"/>
      <c r="P153" s="8"/>
      <c r="Q153" s="8"/>
      <c r="R153" s="8"/>
      <c r="S153" s="8"/>
      <c r="T153" s="8"/>
      <c r="U153" s="8"/>
      <c r="V153" s="8"/>
      <c r="W153" s="8"/>
      <c r="X153" s="8"/>
      <c r="Y153" s="8"/>
      <c r="Z153" s="8"/>
      <c r="AA153" s="8"/>
      <c r="AB153" s="8"/>
      <c r="AC153" s="8"/>
    </row>
    <row r="154" ht="15.75" customHeight="1">
      <c r="A154" s="8"/>
      <c r="B154" s="8"/>
      <c r="C154" s="8"/>
      <c r="D154" s="8"/>
      <c r="E154" s="8"/>
      <c r="F154" s="8"/>
      <c r="G154" s="8"/>
      <c r="H154" s="8"/>
      <c r="I154" s="275"/>
      <c r="J154" s="275"/>
      <c r="K154" s="275"/>
      <c r="L154" s="275"/>
      <c r="M154" s="275"/>
      <c r="N154" s="275"/>
      <c r="O154" s="8"/>
      <c r="P154" s="8"/>
      <c r="Q154" s="8"/>
      <c r="R154" s="8"/>
      <c r="S154" s="8"/>
      <c r="T154" s="8"/>
      <c r="U154" s="8"/>
      <c r="V154" s="8"/>
      <c r="W154" s="8"/>
      <c r="X154" s="8"/>
      <c r="Y154" s="8"/>
      <c r="Z154" s="8"/>
      <c r="AA154" s="8"/>
      <c r="AB154" s="8"/>
      <c r="AC154" s="8"/>
    </row>
    <row r="155" ht="15.75" customHeight="1">
      <c r="A155" s="8"/>
      <c r="B155" s="8"/>
      <c r="C155" s="8"/>
      <c r="D155" s="8"/>
      <c r="E155" s="8"/>
      <c r="F155" s="8"/>
      <c r="G155" s="8"/>
      <c r="H155" s="8"/>
      <c r="I155" s="275"/>
      <c r="J155" s="275"/>
      <c r="K155" s="275"/>
      <c r="L155" s="275"/>
      <c r="M155" s="275"/>
      <c r="N155" s="275"/>
      <c r="O155" s="8"/>
      <c r="P155" s="8"/>
      <c r="Q155" s="8"/>
      <c r="R155" s="8"/>
      <c r="S155" s="8"/>
      <c r="T155" s="8"/>
      <c r="U155" s="8"/>
      <c r="V155" s="8"/>
      <c r="W155" s="8"/>
      <c r="X155" s="8"/>
      <c r="Y155" s="8"/>
      <c r="Z155" s="8"/>
      <c r="AA155" s="8"/>
      <c r="AB155" s="8"/>
      <c r="AC155" s="8"/>
    </row>
    <row r="156" ht="15.75" customHeight="1">
      <c r="A156" s="8"/>
      <c r="B156" s="8"/>
      <c r="C156" s="8"/>
      <c r="D156" s="8"/>
      <c r="E156" s="8"/>
      <c r="F156" s="8"/>
      <c r="G156" s="8"/>
      <c r="H156" s="8"/>
      <c r="I156" s="275"/>
      <c r="J156" s="275"/>
      <c r="K156" s="275"/>
      <c r="L156" s="275"/>
      <c r="M156" s="275"/>
      <c r="N156" s="275"/>
      <c r="O156" s="8"/>
      <c r="P156" s="8"/>
      <c r="Q156" s="8"/>
      <c r="R156" s="8"/>
      <c r="S156" s="8"/>
      <c r="T156" s="8"/>
      <c r="U156" s="8"/>
      <c r="V156" s="8"/>
      <c r="W156" s="8"/>
      <c r="X156" s="8"/>
      <c r="Y156" s="8"/>
      <c r="Z156" s="8"/>
      <c r="AA156" s="8"/>
      <c r="AB156" s="8"/>
      <c r="AC156" s="8"/>
    </row>
    <row r="157" ht="15.75" customHeight="1">
      <c r="A157" s="8"/>
      <c r="B157" s="8"/>
      <c r="C157" s="8"/>
      <c r="D157" s="8"/>
      <c r="E157" s="8"/>
      <c r="F157" s="8"/>
      <c r="G157" s="8"/>
      <c r="H157" s="8"/>
      <c r="I157" s="275"/>
      <c r="J157" s="275"/>
      <c r="K157" s="275"/>
      <c r="L157" s="275"/>
      <c r="M157" s="275"/>
      <c r="N157" s="275"/>
      <c r="O157" s="8"/>
      <c r="P157" s="8"/>
      <c r="Q157" s="8"/>
      <c r="R157" s="8"/>
      <c r="S157" s="8"/>
      <c r="T157" s="8"/>
      <c r="U157" s="8"/>
      <c r="V157" s="8"/>
      <c r="W157" s="8"/>
      <c r="X157" s="8"/>
      <c r="Y157" s="8"/>
      <c r="Z157" s="8"/>
      <c r="AA157" s="8"/>
      <c r="AB157" s="8"/>
      <c r="AC157" s="8"/>
    </row>
    <row r="158" ht="15.75" customHeight="1">
      <c r="A158" s="8"/>
      <c r="B158" s="8"/>
      <c r="C158" s="8"/>
      <c r="D158" s="8"/>
      <c r="E158" s="8"/>
      <c r="F158" s="8"/>
      <c r="G158" s="8"/>
      <c r="H158" s="8"/>
      <c r="I158" s="275"/>
      <c r="J158" s="275"/>
      <c r="K158" s="275"/>
      <c r="L158" s="275"/>
      <c r="M158" s="275"/>
      <c r="N158" s="275"/>
      <c r="O158" s="8"/>
      <c r="P158" s="8"/>
      <c r="Q158" s="8"/>
      <c r="R158" s="8"/>
      <c r="S158" s="8"/>
      <c r="T158" s="8"/>
      <c r="U158" s="8"/>
      <c r="V158" s="8"/>
      <c r="W158" s="8"/>
      <c r="X158" s="8"/>
      <c r="Y158" s="8"/>
      <c r="Z158" s="8"/>
      <c r="AA158" s="8"/>
      <c r="AB158" s="8"/>
      <c r="AC158" s="8"/>
    </row>
    <row r="159" ht="15.75" customHeight="1">
      <c r="A159" s="8"/>
      <c r="B159" s="8"/>
      <c r="C159" s="8"/>
      <c r="D159" s="8"/>
      <c r="E159" s="8"/>
      <c r="F159" s="8"/>
      <c r="G159" s="8"/>
      <c r="H159" s="8"/>
      <c r="I159" s="275"/>
      <c r="J159" s="275"/>
      <c r="K159" s="275"/>
      <c r="L159" s="275"/>
      <c r="M159" s="275"/>
      <c r="N159" s="275"/>
      <c r="O159" s="8"/>
      <c r="P159" s="8"/>
      <c r="Q159" s="8"/>
      <c r="R159" s="8"/>
      <c r="S159" s="8"/>
      <c r="T159" s="8"/>
      <c r="U159" s="8"/>
      <c r="V159" s="8"/>
      <c r="W159" s="8"/>
      <c r="X159" s="8"/>
      <c r="Y159" s="8"/>
      <c r="Z159" s="8"/>
      <c r="AA159" s="8"/>
      <c r="AB159" s="8"/>
      <c r="AC159" s="8"/>
    </row>
    <row r="160" ht="15.75" customHeight="1">
      <c r="A160" s="8"/>
      <c r="B160" s="8"/>
      <c r="C160" s="8"/>
      <c r="D160" s="8"/>
      <c r="E160" s="8"/>
      <c r="F160" s="8"/>
      <c r="G160" s="8"/>
      <c r="H160" s="8"/>
      <c r="I160" s="275"/>
      <c r="J160" s="275"/>
      <c r="K160" s="275"/>
      <c r="L160" s="275"/>
      <c r="M160" s="275"/>
      <c r="N160" s="275"/>
      <c r="O160" s="8"/>
      <c r="P160" s="8"/>
      <c r="Q160" s="8"/>
      <c r="R160" s="8"/>
      <c r="S160" s="8"/>
      <c r="T160" s="8"/>
      <c r="U160" s="8"/>
      <c r="V160" s="8"/>
      <c r="W160" s="8"/>
      <c r="X160" s="8"/>
      <c r="Y160" s="8"/>
      <c r="Z160" s="8"/>
      <c r="AA160" s="8"/>
      <c r="AB160" s="8"/>
      <c r="AC160" s="8"/>
    </row>
    <row r="161" ht="15.75" customHeight="1">
      <c r="A161" s="8"/>
      <c r="B161" s="8"/>
      <c r="C161" s="8"/>
      <c r="D161" s="8"/>
      <c r="E161" s="8"/>
      <c r="F161" s="8"/>
      <c r="G161" s="8"/>
      <c r="H161" s="8"/>
      <c r="I161" s="275"/>
      <c r="J161" s="275"/>
      <c r="K161" s="275"/>
      <c r="L161" s="275"/>
      <c r="M161" s="275"/>
      <c r="N161" s="275"/>
      <c r="O161" s="8"/>
      <c r="P161" s="8"/>
      <c r="Q161" s="8"/>
      <c r="R161" s="8"/>
      <c r="S161" s="8"/>
      <c r="T161" s="8"/>
      <c r="U161" s="8"/>
      <c r="V161" s="8"/>
      <c r="W161" s="8"/>
      <c r="X161" s="8"/>
      <c r="Y161" s="8"/>
      <c r="Z161" s="8"/>
      <c r="AA161" s="8"/>
      <c r="AB161" s="8"/>
      <c r="AC161" s="8"/>
    </row>
    <row r="162" ht="15.75" customHeight="1">
      <c r="A162" s="8"/>
      <c r="B162" s="8"/>
      <c r="C162" s="8"/>
      <c r="D162" s="8"/>
      <c r="E162" s="8"/>
      <c r="F162" s="8"/>
      <c r="G162" s="8"/>
      <c r="H162" s="8"/>
      <c r="I162" s="275"/>
      <c r="J162" s="275"/>
      <c r="K162" s="275"/>
      <c r="L162" s="275"/>
      <c r="M162" s="275"/>
      <c r="N162" s="275"/>
      <c r="O162" s="8"/>
      <c r="P162" s="8"/>
      <c r="Q162" s="8"/>
      <c r="R162" s="8"/>
      <c r="S162" s="8"/>
      <c r="T162" s="8"/>
      <c r="U162" s="8"/>
      <c r="V162" s="8"/>
      <c r="W162" s="8"/>
      <c r="X162" s="8"/>
      <c r="Y162" s="8"/>
      <c r="Z162" s="8"/>
      <c r="AA162" s="8"/>
      <c r="AB162" s="8"/>
      <c r="AC162" s="8"/>
    </row>
    <row r="163" ht="15.75" customHeight="1">
      <c r="A163" s="8"/>
      <c r="B163" s="8"/>
      <c r="C163" s="8"/>
      <c r="D163" s="8"/>
      <c r="E163" s="8"/>
      <c r="F163" s="8"/>
      <c r="G163" s="8"/>
      <c r="H163" s="8"/>
      <c r="I163" s="275"/>
      <c r="J163" s="275"/>
      <c r="K163" s="275"/>
      <c r="L163" s="275"/>
      <c r="M163" s="275"/>
      <c r="N163" s="275"/>
      <c r="O163" s="8"/>
      <c r="P163" s="8"/>
      <c r="Q163" s="8"/>
      <c r="R163" s="8"/>
      <c r="S163" s="8"/>
      <c r="T163" s="8"/>
      <c r="U163" s="8"/>
      <c r="V163" s="8"/>
      <c r="W163" s="8"/>
      <c r="X163" s="8"/>
      <c r="Y163" s="8"/>
      <c r="Z163" s="8"/>
      <c r="AA163" s="8"/>
      <c r="AB163" s="8"/>
      <c r="AC163" s="8"/>
    </row>
    <row r="164" ht="15.75" customHeight="1">
      <c r="A164" s="8"/>
      <c r="B164" s="8"/>
      <c r="C164" s="8"/>
      <c r="D164" s="8"/>
      <c r="E164" s="8"/>
      <c r="F164" s="8"/>
      <c r="G164" s="8"/>
      <c r="H164" s="8"/>
      <c r="I164" s="275"/>
      <c r="J164" s="275"/>
      <c r="K164" s="275"/>
      <c r="L164" s="275"/>
      <c r="M164" s="275"/>
      <c r="N164" s="275"/>
      <c r="O164" s="8"/>
      <c r="P164" s="8"/>
      <c r="Q164" s="8"/>
      <c r="R164" s="8"/>
      <c r="S164" s="8"/>
      <c r="T164" s="8"/>
      <c r="U164" s="8"/>
      <c r="V164" s="8"/>
      <c r="W164" s="8"/>
      <c r="X164" s="8"/>
      <c r="Y164" s="8"/>
      <c r="Z164" s="8"/>
      <c r="AA164" s="8"/>
      <c r="AB164" s="8"/>
      <c r="AC164" s="8"/>
    </row>
    <row r="165" ht="15.75" customHeight="1">
      <c r="A165" s="8"/>
      <c r="B165" s="8"/>
      <c r="C165" s="8"/>
      <c r="D165" s="8"/>
      <c r="E165" s="8"/>
      <c r="F165" s="8"/>
      <c r="G165" s="8"/>
      <c r="H165" s="8"/>
      <c r="I165" s="275"/>
      <c r="J165" s="275"/>
      <c r="K165" s="275"/>
      <c r="L165" s="275"/>
      <c r="M165" s="275"/>
      <c r="N165" s="275"/>
      <c r="O165" s="8"/>
      <c r="P165" s="8"/>
      <c r="Q165" s="8"/>
      <c r="R165" s="8"/>
      <c r="S165" s="8"/>
      <c r="T165" s="8"/>
      <c r="U165" s="8"/>
      <c r="V165" s="8"/>
      <c r="W165" s="8"/>
      <c r="X165" s="8"/>
      <c r="Y165" s="8"/>
      <c r="Z165" s="8"/>
      <c r="AA165" s="8"/>
      <c r="AB165" s="8"/>
      <c r="AC165" s="8"/>
    </row>
    <row r="166" ht="15.75" customHeight="1">
      <c r="A166" s="8"/>
      <c r="B166" s="8"/>
      <c r="C166" s="8"/>
      <c r="D166" s="8"/>
      <c r="E166" s="8"/>
      <c r="F166" s="8"/>
      <c r="G166" s="8"/>
      <c r="H166" s="8"/>
      <c r="I166" s="275"/>
      <c r="J166" s="275"/>
      <c r="K166" s="275"/>
      <c r="L166" s="275"/>
      <c r="M166" s="275"/>
      <c r="N166" s="275"/>
      <c r="O166" s="8"/>
      <c r="P166" s="8"/>
      <c r="Q166" s="8"/>
      <c r="R166" s="8"/>
      <c r="S166" s="8"/>
      <c r="T166" s="8"/>
      <c r="U166" s="8"/>
      <c r="V166" s="8"/>
      <c r="W166" s="8"/>
      <c r="X166" s="8"/>
      <c r="Y166" s="8"/>
      <c r="Z166" s="8"/>
      <c r="AA166" s="8"/>
      <c r="AB166" s="8"/>
      <c r="AC166" s="8"/>
    </row>
    <row r="167" ht="15.75" customHeight="1">
      <c r="A167" s="8"/>
      <c r="B167" s="8"/>
      <c r="C167" s="8"/>
      <c r="D167" s="8"/>
      <c r="E167" s="8"/>
      <c r="F167" s="8"/>
      <c r="G167" s="8"/>
      <c r="H167" s="8"/>
      <c r="I167" s="275"/>
      <c r="J167" s="275"/>
      <c r="K167" s="275"/>
      <c r="L167" s="275"/>
      <c r="M167" s="275"/>
      <c r="N167" s="275"/>
      <c r="O167" s="8"/>
      <c r="P167" s="8"/>
      <c r="Q167" s="8"/>
      <c r="R167" s="8"/>
      <c r="S167" s="8"/>
      <c r="T167" s="8"/>
      <c r="U167" s="8"/>
      <c r="V167" s="8"/>
      <c r="W167" s="8"/>
      <c r="X167" s="8"/>
      <c r="Y167" s="8"/>
      <c r="Z167" s="8"/>
      <c r="AA167" s="8"/>
      <c r="AB167" s="8"/>
      <c r="AC167" s="8"/>
    </row>
    <row r="168" ht="15.75" customHeight="1">
      <c r="A168" s="8"/>
      <c r="B168" s="8"/>
      <c r="C168" s="8"/>
      <c r="D168" s="8"/>
      <c r="E168" s="8"/>
      <c r="F168" s="8"/>
      <c r="G168" s="8"/>
      <c r="H168" s="8"/>
      <c r="I168" s="275"/>
      <c r="J168" s="275"/>
      <c r="K168" s="275"/>
      <c r="L168" s="275"/>
      <c r="M168" s="275"/>
      <c r="N168" s="275"/>
      <c r="O168" s="8"/>
      <c r="P168" s="8"/>
      <c r="Q168" s="8"/>
      <c r="R168" s="8"/>
      <c r="S168" s="8"/>
      <c r="T168" s="8"/>
      <c r="U168" s="8"/>
      <c r="V168" s="8"/>
      <c r="W168" s="8"/>
      <c r="X168" s="8"/>
      <c r="Y168" s="8"/>
      <c r="Z168" s="8"/>
      <c r="AA168" s="8"/>
      <c r="AB168" s="8"/>
      <c r="AC168" s="8"/>
    </row>
    <row r="169" ht="15.75" customHeight="1">
      <c r="A169" s="8"/>
      <c r="B169" s="8"/>
      <c r="C169" s="8"/>
      <c r="D169" s="8"/>
      <c r="E169" s="8"/>
      <c r="F169" s="8"/>
      <c r="G169" s="8"/>
      <c r="H169" s="8"/>
      <c r="I169" s="275"/>
      <c r="J169" s="275"/>
      <c r="K169" s="275"/>
      <c r="L169" s="275"/>
      <c r="M169" s="275"/>
      <c r="N169" s="275"/>
      <c r="O169" s="8"/>
      <c r="P169" s="8"/>
      <c r="Q169" s="8"/>
      <c r="R169" s="8"/>
      <c r="S169" s="8"/>
      <c r="T169" s="8"/>
      <c r="U169" s="8"/>
      <c r="V169" s="8"/>
      <c r="W169" s="8"/>
      <c r="X169" s="8"/>
      <c r="Y169" s="8"/>
      <c r="Z169" s="8"/>
      <c r="AA169" s="8"/>
      <c r="AB169" s="8"/>
      <c r="AC169" s="8"/>
    </row>
    <row r="170" ht="15.75" customHeight="1">
      <c r="A170" s="8"/>
      <c r="B170" s="8"/>
      <c r="C170" s="8"/>
      <c r="D170" s="8"/>
      <c r="E170" s="8"/>
      <c r="F170" s="8"/>
      <c r="G170" s="8"/>
      <c r="H170" s="8"/>
      <c r="I170" s="275"/>
      <c r="J170" s="275"/>
      <c r="K170" s="275"/>
      <c r="L170" s="275"/>
      <c r="M170" s="275"/>
      <c r="N170" s="275"/>
      <c r="O170" s="8"/>
      <c r="P170" s="8"/>
      <c r="Q170" s="8"/>
      <c r="R170" s="8"/>
      <c r="S170" s="8"/>
      <c r="T170" s="8"/>
      <c r="U170" s="8"/>
      <c r="V170" s="8"/>
      <c r="W170" s="8"/>
      <c r="X170" s="8"/>
      <c r="Y170" s="8"/>
      <c r="Z170" s="8"/>
      <c r="AA170" s="8"/>
      <c r="AB170" s="8"/>
      <c r="AC170" s="8"/>
    </row>
    <row r="171" ht="15.75" customHeight="1">
      <c r="A171" s="8"/>
      <c r="B171" s="8"/>
      <c r="C171" s="8"/>
      <c r="D171" s="8"/>
      <c r="E171" s="8"/>
      <c r="F171" s="8"/>
      <c r="G171" s="8"/>
      <c r="H171" s="8"/>
      <c r="I171" s="275"/>
      <c r="J171" s="275"/>
      <c r="K171" s="275"/>
      <c r="L171" s="275"/>
      <c r="M171" s="275"/>
      <c r="N171" s="275"/>
      <c r="O171" s="8"/>
      <c r="P171" s="8"/>
      <c r="Q171" s="8"/>
      <c r="R171" s="8"/>
      <c r="S171" s="8"/>
      <c r="T171" s="8"/>
      <c r="U171" s="8"/>
      <c r="V171" s="8"/>
      <c r="W171" s="8"/>
      <c r="X171" s="8"/>
      <c r="Y171" s="8"/>
      <c r="Z171" s="8"/>
      <c r="AA171" s="8"/>
      <c r="AB171" s="8"/>
      <c r="AC171" s="8"/>
    </row>
    <row r="172" ht="15.75" customHeight="1">
      <c r="A172" s="8"/>
      <c r="B172" s="8"/>
      <c r="C172" s="8"/>
      <c r="D172" s="8"/>
      <c r="E172" s="8"/>
      <c r="F172" s="8"/>
      <c r="G172" s="8"/>
      <c r="H172" s="8"/>
      <c r="I172" s="275"/>
      <c r="J172" s="275"/>
      <c r="K172" s="275"/>
      <c r="L172" s="275"/>
      <c r="M172" s="275"/>
      <c r="N172" s="275"/>
      <c r="O172" s="8"/>
      <c r="P172" s="8"/>
      <c r="Q172" s="8"/>
      <c r="R172" s="8"/>
      <c r="S172" s="8"/>
      <c r="T172" s="8"/>
      <c r="U172" s="8"/>
      <c r="V172" s="8"/>
      <c r="W172" s="8"/>
      <c r="X172" s="8"/>
      <c r="Y172" s="8"/>
      <c r="Z172" s="8"/>
      <c r="AA172" s="8"/>
      <c r="AB172" s="8"/>
      <c r="AC172" s="8"/>
    </row>
    <row r="173" ht="15.75" customHeight="1">
      <c r="A173" s="8"/>
      <c r="B173" s="8"/>
      <c r="C173" s="8"/>
      <c r="D173" s="8"/>
      <c r="E173" s="8"/>
      <c r="F173" s="8"/>
      <c r="G173" s="8"/>
      <c r="H173" s="8"/>
      <c r="I173" s="275"/>
      <c r="J173" s="275"/>
      <c r="K173" s="275"/>
      <c r="L173" s="275"/>
      <c r="M173" s="275"/>
      <c r="N173" s="275"/>
      <c r="O173" s="8"/>
      <c r="P173" s="8"/>
      <c r="Q173" s="8"/>
      <c r="R173" s="8"/>
      <c r="S173" s="8"/>
      <c r="T173" s="8"/>
      <c r="U173" s="8"/>
      <c r="V173" s="8"/>
      <c r="W173" s="8"/>
      <c r="X173" s="8"/>
      <c r="Y173" s="8"/>
      <c r="Z173" s="8"/>
      <c r="AA173" s="8"/>
      <c r="AB173" s="8"/>
      <c r="AC173" s="8"/>
    </row>
    <row r="174" ht="15.75" customHeight="1">
      <c r="A174" s="8"/>
      <c r="B174" s="8"/>
      <c r="C174" s="8"/>
      <c r="D174" s="8"/>
      <c r="E174" s="8"/>
      <c r="F174" s="8"/>
      <c r="G174" s="8"/>
      <c r="H174" s="8"/>
      <c r="I174" s="275"/>
      <c r="J174" s="275"/>
      <c r="K174" s="275"/>
      <c r="L174" s="275"/>
      <c r="M174" s="275"/>
      <c r="N174" s="275"/>
      <c r="O174" s="8"/>
      <c r="P174" s="8"/>
      <c r="Q174" s="8"/>
      <c r="R174" s="8"/>
      <c r="S174" s="8"/>
      <c r="T174" s="8"/>
      <c r="U174" s="8"/>
      <c r="V174" s="8"/>
      <c r="W174" s="8"/>
      <c r="X174" s="8"/>
      <c r="Y174" s="8"/>
      <c r="Z174" s="8"/>
      <c r="AA174" s="8"/>
      <c r="AB174" s="8"/>
      <c r="AC174" s="8"/>
    </row>
    <row r="175" ht="15.75" customHeight="1">
      <c r="A175" s="8"/>
      <c r="B175" s="8"/>
      <c r="C175" s="8"/>
      <c r="D175" s="8"/>
      <c r="E175" s="8"/>
      <c r="F175" s="8"/>
      <c r="G175" s="8"/>
      <c r="H175" s="8"/>
      <c r="I175" s="275"/>
      <c r="J175" s="275"/>
      <c r="K175" s="275"/>
      <c r="L175" s="275"/>
      <c r="M175" s="275"/>
      <c r="N175" s="275"/>
      <c r="O175" s="8"/>
      <c r="P175" s="8"/>
      <c r="Q175" s="8"/>
      <c r="R175" s="8"/>
      <c r="S175" s="8"/>
      <c r="T175" s="8"/>
      <c r="U175" s="8"/>
      <c r="V175" s="8"/>
      <c r="W175" s="8"/>
      <c r="X175" s="8"/>
      <c r="Y175" s="8"/>
      <c r="Z175" s="8"/>
      <c r="AA175" s="8"/>
      <c r="AB175" s="8"/>
      <c r="AC175" s="8"/>
    </row>
    <row r="176" ht="15.75" customHeight="1">
      <c r="A176" s="8"/>
      <c r="B176" s="8"/>
      <c r="C176" s="8"/>
      <c r="D176" s="8"/>
      <c r="E176" s="8"/>
      <c r="F176" s="8"/>
      <c r="G176" s="8"/>
      <c r="H176" s="8"/>
      <c r="I176" s="275"/>
      <c r="J176" s="275"/>
      <c r="K176" s="275"/>
      <c r="L176" s="275"/>
      <c r="M176" s="275"/>
      <c r="N176" s="275"/>
      <c r="O176" s="8"/>
      <c r="P176" s="8"/>
      <c r="Q176" s="8"/>
      <c r="R176" s="8"/>
      <c r="S176" s="8"/>
      <c r="T176" s="8"/>
      <c r="U176" s="8"/>
      <c r="V176" s="8"/>
      <c r="W176" s="8"/>
      <c r="X176" s="8"/>
      <c r="Y176" s="8"/>
      <c r="Z176" s="8"/>
      <c r="AA176" s="8"/>
      <c r="AB176" s="8"/>
      <c r="AC176" s="8"/>
    </row>
    <row r="177" ht="15.75" customHeight="1">
      <c r="A177" s="8"/>
      <c r="B177" s="8"/>
      <c r="C177" s="8"/>
      <c r="D177" s="8"/>
      <c r="E177" s="8"/>
      <c r="F177" s="8"/>
      <c r="G177" s="8"/>
      <c r="H177" s="8"/>
      <c r="I177" s="275"/>
      <c r="J177" s="275"/>
      <c r="K177" s="275"/>
      <c r="L177" s="275"/>
      <c r="M177" s="275"/>
      <c r="N177" s="275"/>
      <c r="O177" s="8"/>
      <c r="P177" s="8"/>
      <c r="Q177" s="8"/>
      <c r="R177" s="8"/>
      <c r="S177" s="8"/>
      <c r="T177" s="8"/>
      <c r="U177" s="8"/>
      <c r="V177" s="8"/>
      <c r="W177" s="8"/>
      <c r="X177" s="8"/>
      <c r="Y177" s="8"/>
      <c r="Z177" s="8"/>
      <c r="AA177" s="8"/>
      <c r="AB177" s="8"/>
      <c r="AC177" s="8"/>
    </row>
    <row r="178" ht="15.75" customHeight="1">
      <c r="A178" s="8"/>
      <c r="B178" s="8"/>
      <c r="C178" s="8"/>
      <c r="D178" s="8"/>
      <c r="E178" s="8"/>
      <c r="F178" s="8"/>
      <c r="G178" s="8"/>
      <c r="H178" s="8"/>
      <c r="I178" s="275"/>
      <c r="J178" s="275"/>
      <c r="K178" s="275"/>
      <c r="L178" s="275"/>
      <c r="M178" s="275"/>
      <c r="N178" s="275"/>
      <c r="O178" s="8"/>
      <c r="P178" s="8"/>
      <c r="Q178" s="8"/>
      <c r="R178" s="8"/>
      <c r="S178" s="8"/>
      <c r="T178" s="8"/>
      <c r="U178" s="8"/>
      <c r="V178" s="8"/>
      <c r="W178" s="8"/>
      <c r="X178" s="8"/>
      <c r="Y178" s="8"/>
      <c r="Z178" s="8"/>
      <c r="AA178" s="8"/>
      <c r="AB178" s="8"/>
      <c r="AC178" s="8"/>
    </row>
    <row r="179" ht="15.75" customHeight="1">
      <c r="A179" s="8"/>
      <c r="B179" s="8"/>
      <c r="C179" s="8"/>
      <c r="D179" s="8"/>
      <c r="E179" s="8"/>
      <c r="F179" s="8"/>
      <c r="G179" s="8"/>
      <c r="H179" s="8"/>
      <c r="I179" s="275"/>
      <c r="J179" s="275"/>
      <c r="K179" s="275"/>
      <c r="L179" s="275"/>
      <c r="M179" s="275"/>
      <c r="N179" s="275"/>
      <c r="O179" s="8"/>
      <c r="P179" s="8"/>
      <c r="Q179" s="8"/>
      <c r="R179" s="8"/>
      <c r="S179" s="8"/>
      <c r="T179" s="8"/>
      <c r="U179" s="8"/>
      <c r="V179" s="8"/>
      <c r="W179" s="8"/>
      <c r="X179" s="8"/>
      <c r="Y179" s="8"/>
      <c r="Z179" s="8"/>
      <c r="AA179" s="8"/>
      <c r="AB179" s="8"/>
      <c r="AC179" s="8"/>
    </row>
    <row r="180" ht="15.75" customHeight="1">
      <c r="A180" s="8"/>
      <c r="B180" s="8"/>
      <c r="C180" s="8"/>
      <c r="D180" s="8"/>
      <c r="E180" s="8"/>
      <c r="F180" s="8"/>
      <c r="G180" s="8"/>
      <c r="H180" s="8"/>
      <c r="I180" s="275"/>
      <c r="J180" s="275"/>
      <c r="K180" s="275"/>
      <c r="L180" s="275"/>
      <c r="M180" s="275"/>
      <c r="N180" s="275"/>
      <c r="O180" s="8"/>
      <c r="P180" s="8"/>
      <c r="Q180" s="8"/>
      <c r="R180" s="8"/>
      <c r="S180" s="8"/>
      <c r="T180" s="8"/>
      <c r="U180" s="8"/>
      <c r="V180" s="8"/>
      <c r="W180" s="8"/>
      <c r="X180" s="8"/>
      <c r="Y180" s="8"/>
      <c r="Z180" s="8"/>
      <c r="AA180" s="8"/>
      <c r="AB180" s="8"/>
      <c r="AC180" s="8"/>
    </row>
    <row r="181" ht="15.75" customHeight="1">
      <c r="A181" s="8"/>
      <c r="B181" s="8"/>
      <c r="C181" s="8"/>
      <c r="D181" s="8"/>
      <c r="E181" s="8"/>
      <c r="F181" s="8"/>
      <c r="G181" s="8"/>
      <c r="H181" s="8"/>
      <c r="I181" s="275"/>
      <c r="J181" s="275"/>
      <c r="K181" s="275"/>
      <c r="L181" s="275"/>
      <c r="M181" s="275"/>
      <c r="N181" s="275"/>
      <c r="O181" s="8"/>
      <c r="P181" s="8"/>
      <c r="Q181" s="8"/>
      <c r="R181" s="8"/>
      <c r="S181" s="8"/>
      <c r="T181" s="8"/>
      <c r="U181" s="8"/>
      <c r="V181" s="8"/>
      <c r="W181" s="8"/>
      <c r="X181" s="8"/>
      <c r="Y181" s="8"/>
      <c r="Z181" s="8"/>
      <c r="AA181" s="8"/>
      <c r="AB181" s="8"/>
      <c r="AC181" s="8"/>
    </row>
    <row r="182" ht="15.75" customHeight="1">
      <c r="A182" s="8"/>
      <c r="B182" s="8"/>
      <c r="C182" s="8"/>
      <c r="D182" s="8"/>
      <c r="E182" s="8"/>
      <c r="F182" s="8"/>
      <c r="G182" s="8"/>
      <c r="H182" s="8"/>
      <c r="I182" s="275"/>
      <c r="J182" s="275"/>
      <c r="K182" s="275"/>
      <c r="L182" s="275"/>
      <c r="M182" s="275"/>
      <c r="N182" s="275"/>
      <c r="O182" s="8"/>
      <c r="P182" s="8"/>
      <c r="Q182" s="8"/>
      <c r="R182" s="8"/>
      <c r="S182" s="8"/>
      <c r="T182" s="8"/>
      <c r="U182" s="8"/>
      <c r="V182" s="8"/>
      <c r="W182" s="8"/>
      <c r="X182" s="8"/>
      <c r="Y182" s="8"/>
      <c r="Z182" s="8"/>
      <c r="AA182" s="8"/>
      <c r="AB182" s="8"/>
      <c r="AC182" s="8"/>
    </row>
    <row r="183" ht="15.75" customHeight="1">
      <c r="A183" s="8"/>
      <c r="B183" s="8"/>
      <c r="C183" s="8"/>
      <c r="D183" s="8"/>
      <c r="E183" s="8"/>
      <c r="F183" s="8"/>
      <c r="G183" s="8"/>
      <c r="H183" s="8"/>
      <c r="I183" s="275"/>
      <c r="J183" s="275"/>
      <c r="K183" s="275"/>
      <c r="L183" s="275"/>
      <c r="M183" s="275"/>
      <c r="N183" s="275"/>
      <c r="O183" s="8"/>
      <c r="P183" s="8"/>
      <c r="Q183" s="8"/>
      <c r="R183" s="8"/>
      <c r="S183" s="8"/>
      <c r="T183" s="8"/>
      <c r="U183" s="8"/>
      <c r="V183" s="8"/>
      <c r="W183" s="8"/>
      <c r="X183" s="8"/>
      <c r="Y183" s="8"/>
      <c r="Z183" s="8"/>
      <c r="AA183" s="8"/>
      <c r="AB183" s="8"/>
      <c r="AC183" s="8"/>
    </row>
    <row r="184" ht="15.75" customHeight="1">
      <c r="A184" s="8"/>
      <c r="B184" s="8"/>
      <c r="C184" s="8"/>
      <c r="D184" s="8"/>
      <c r="E184" s="8"/>
      <c r="F184" s="8"/>
      <c r="G184" s="8"/>
      <c r="H184" s="8"/>
      <c r="I184" s="275"/>
      <c r="J184" s="275"/>
      <c r="K184" s="275"/>
      <c r="L184" s="275"/>
      <c r="M184" s="275"/>
      <c r="N184" s="275"/>
      <c r="O184" s="8"/>
      <c r="P184" s="8"/>
      <c r="Q184" s="8"/>
      <c r="R184" s="8"/>
      <c r="S184" s="8"/>
      <c r="T184" s="8"/>
      <c r="U184" s="8"/>
      <c r="V184" s="8"/>
      <c r="W184" s="8"/>
      <c r="X184" s="8"/>
      <c r="Y184" s="8"/>
      <c r="Z184" s="8"/>
      <c r="AA184" s="8"/>
      <c r="AB184" s="8"/>
      <c r="AC184" s="8"/>
    </row>
    <row r="185" ht="15.75" customHeight="1">
      <c r="A185" s="8"/>
      <c r="B185" s="8"/>
      <c r="C185" s="8"/>
      <c r="D185" s="8"/>
      <c r="E185" s="8"/>
      <c r="F185" s="8"/>
      <c r="G185" s="8"/>
      <c r="H185" s="8"/>
      <c r="I185" s="275"/>
      <c r="J185" s="275"/>
      <c r="K185" s="275"/>
      <c r="L185" s="275"/>
      <c r="M185" s="275"/>
      <c r="N185" s="275"/>
      <c r="O185" s="8"/>
      <c r="P185" s="8"/>
      <c r="Q185" s="8"/>
      <c r="R185" s="8"/>
      <c r="S185" s="8"/>
      <c r="T185" s="8"/>
      <c r="U185" s="8"/>
      <c r="V185" s="8"/>
      <c r="W185" s="8"/>
      <c r="X185" s="8"/>
      <c r="Y185" s="8"/>
      <c r="Z185" s="8"/>
      <c r="AA185" s="8"/>
      <c r="AB185" s="8"/>
      <c r="AC185" s="8"/>
    </row>
    <row r="186" ht="15.75" customHeight="1">
      <c r="A186" s="8"/>
      <c r="B186" s="8"/>
      <c r="C186" s="8"/>
      <c r="D186" s="8"/>
      <c r="E186" s="8"/>
      <c r="F186" s="8"/>
      <c r="G186" s="8"/>
      <c r="H186" s="8"/>
      <c r="I186" s="275"/>
      <c r="J186" s="275"/>
      <c r="K186" s="275"/>
      <c r="L186" s="275"/>
      <c r="M186" s="275"/>
      <c r="N186" s="275"/>
      <c r="O186" s="8"/>
      <c r="P186" s="8"/>
      <c r="Q186" s="8"/>
      <c r="R186" s="8"/>
      <c r="S186" s="8"/>
      <c r="T186" s="8"/>
      <c r="U186" s="8"/>
      <c r="V186" s="8"/>
      <c r="W186" s="8"/>
      <c r="X186" s="8"/>
      <c r="Y186" s="8"/>
      <c r="Z186" s="8"/>
      <c r="AA186" s="8"/>
      <c r="AB186" s="8"/>
      <c r="AC186" s="8"/>
    </row>
    <row r="187" ht="15.75" customHeight="1">
      <c r="A187" s="8"/>
      <c r="B187" s="8"/>
      <c r="C187" s="8"/>
      <c r="D187" s="8"/>
      <c r="E187" s="8"/>
      <c r="F187" s="8"/>
      <c r="G187" s="8"/>
      <c r="H187" s="8"/>
      <c r="I187" s="275"/>
      <c r="J187" s="275"/>
      <c r="K187" s="275"/>
      <c r="L187" s="275"/>
      <c r="M187" s="275"/>
      <c r="N187" s="275"/>
      <c r="O187" s="8"/>
      <c r="P187" s="8"/>
      <c r="Q187" s="8"/>
      <c r="R187" s="8"/>
      <c r="S187" s="8"/>
      <c r="T187" s="8"/>
      <c r="U187" s="8"/>
      <c r="V187" s="8"/>
      <c r="W187" s="8"/>
      <c r="X187" s="8"/>
      <c r="Y187" s="8"/>
      <c r="Z187" s="8"/>
      <c r="AA187" s="8"/>
      <c r="AB187" s="8"/>
      <c r="AC187" s="8"/>
    </row>
    <row r="188" ht="15.75" customHeight="1">
      <c r="A188" s="8"/>
      <c r="B188" s="8"/>
      <c r="C188" s="8"/>
      <c r="D188" s="8"/>
      <c r="E188" s="8"/>
      <c r="F188" s="8"/>
      <c r="G188" s="8"/>
      <c r="H188" s="8"/>
      <c r="I188" s="275"/>
      <c r="J188" s="275"/>
      <c r="K188" s="275"/>
      <c r="L188" s="275"/>
      <c r="M188" s="275"/>
      <c r="N188" s="275"/>
      <c r="O188" s="8"/>
      <c r="P188" s="8"/>
      <c r="Q188" s="8"/>
      <c r="R188" s="8"/>
      <c r="S188" s="8"/>
      <c r="T188" s="8"/>
      <c r="U188" s="8"/>
      <c r="V188" s="8"/>
      <c r="W188" s="8"/>
      <c r="X188" s="8"/>
      <c r="Y188" s="8"/>
      <c r="Z188" s="8"/>
      <c r="AA188" s="8"/>
      <c r="AB188" s="8"/>
      <c r="AC188" s="8"/>
    </row>
    <row r="189" ht="15.75" customHeight="1">
      <c r="A189" s="8"/>
      <c r="B189" s="8"/>
      <c r="C189" s="8"/>
      <c r="D189" s="8"/>
      <c r="E189" s="8"/>
      <c r="F189" s="8"/>
      <c r="G189" s="8"/>
      <c r="H189" s="8"/>
      <c r="I189" s="275"/>
      <c r="J189" s="275"/>
      <c r="K189" s="275"/>
      <c r="L189" s="275"/>
      <c r="M189" s="275"/>
      <c r="N189" s="275"/>
      <c r="O189" s="8"/>
      <c r="P189" s="8"/>
      <c r="Q189" s="8"/>
      <c r="R189" s="8"/>
      <c r="S189" s="8"/>
      <c r="T189" s="8"/>
      <c r="U189" s="8"/>
      <c r="V189" s="8"/>
      <c r="W189" s="8"/>
      <c r="X189" s="8"/>
      <c r="Y189" s="8"/>
      <c r="Z189" s="8"/>
      <c r="AA189" s="8"/>
      <c r="AB189" s="8"/>
      <c r="AC189" s="8"/>
    </row>
    <row r="190" ht="15.75" customHeight="1">
      <c r="A190" s="8"/>
      <c r="B190" s="8"/>
      <c r="C190" s="8"/>
      <c r="D190" s="8"/>
      <c r="E190" s="8"/>
      <c r="F190" s="8"/>
      <c r="G190" s="8"/>
      <c r="H190" s="8"/>
      <c r="I190" s="275"/>
      <c r="J190" s="275"/>
      <c r="K190" s="275"/>
      <c r="L190" s="275"/>
      <c r="M190" s="275"/>
      <c r="N190" s="275"/>
      <c r="O190" s="8"/>
      <c r="P190" s="8"/>
      <c r="Q190" s="8"/>
      <c r="R190" s="8"/>
      <c r="S190" s="8"/>
      <c r="T190" s="8"/>
      <c r="U190" s="8"/>
      <c r="V190" s="8"/>
      <c r="W190" s="8"/>
      <c r="X190" s="8"/>
      <c r="Y190" s="8"/>
      <c r="Z190" s="8"/>
      <c r="AA190" s="8"/>
      <c r="AB190" s="8"/>
      <c r="AC190" s="8"/>
    </row>
    <row r="191" ht="15.75" customHeight="1">
      <c r="A191" s="8"/>
      <c r="B191" s="8"/>
      <c r="C191" s="8"/>
      <c r="D191" s="8"/>
      <c r="E191" s="8"/>
      <c r="F191" s="8"/>
      <c r="G191" s="8"/>
      <c r="H191" s="8"/>
      <c r="I191" s="275"/>
      <c r="J191" s="275"/>
      <c r="K191" s="275"/>
      <c r="L191" s="275"/>
      <c r="M191" s="275"/>
      <c r="N191" s="275"/>
      <c r="O191" s="8"/>
      <c r="P191" s="8"/>
      <c r="Q191" s="8"/>
      <c r="R191" s="8"/>
      <c r="S191" s="8"/>
      <c r="T191" s="8"/>
      <c r="U191" s="8"/>
      <c r="V191" s="8"/>
      <c r="W191" s="8"/>
      <c r="X191" s="8"/>
      <c r="Y191" s="8"/>
      <c r="Z191" s="8"/>
      <c r="AA191" s="8"/>
      <c r="AB191" s="8"/>
      <c r="AC191" s="8"/>
    </row>
    <row r="192" ht="15.75" customHeight="1">
      <c r="A192" s="8"/>
      <c r="B192" s="8"/>
      <c r="C192" s="8"/>
      <c r="D192" s="8"/>
      <c r="E192" s="8"/>
      <c r="F192" s="8"/>
      <c r="G192" s="8"/>
      <c r="H192" s="8"/>
      <c r="I192" s="275"/>
      <c r="J192" s="275"/>
      <c r="K192" s="275"/>
      <c r="L192" s="275"/>
      <c r="M192" s="275"/>
      <c r="N192" s="275"/>
      <c r="O192" s="8"/>
      <c r="P192" s="8"/>
      <c r="Q192" s="8"/>
      <c r="R192" s="8"/>
      <c r="S192" s="8"/>
      <c r="T192" s="8"/>
      <c r="U192" s="8"/>
      <c r="V192" s="8"/>
      <c r="W192" s="8"/>
      <c r="X192" s="8"/>
      <c r="Y192" s="8"/>
      <c r="Z192" s="8"/>
      <c r="AA192" s="8"/>
      <c r="AB192" s="8"/>
      <c r="AC192" s="8"/>
    </row>
    <row r="193" ht="15.75" customHeight="1">
      <c r="A193" s="8"/>
      <c r="B193" s="8"/>
      <c r="C193" s="8"/>
      <c r="D193" s="8"/>
      <c r="E193" s="8"/>
      <c r="F193" s="8"/>
      <c r="G193" s="8"/>
      <c r="H193" s="8"/>
      <c r="I193" s="275"/>
      <c r="J193" s="275"/>
      <c r="K193" s="275"/>
      <c r="L193" s="275"/>
      <c r="M193" s="275"/>
      <c r="N193" s="275"/>
      <c r="O193" s="8"/>
      <c r="P193" s="8"/>
      <c r="Q193" s="8"/>
      <c r="R193" s="8"/>
      <c r="S193" s="8"/>
      <c r="T193" s="8"/>
      <c r="U193" s="8"/>
      <c r="V193" s="8"/>
      <c r="W193" s="8"/>
      <c r="X193" s="8"/>
      <c r="Y193" s="8"/>
      <c r="Z193" s="8"/>
      <c r="AA193" s="8"/>
      <c r="AB193" s="8"/>
      <c r="AC193" s="8"/>
    </row>
    <row r="194" ht="15.75" customHeight="1">
      <c r="A194" s="8"/>
      <c r="B194" s="8"/>
      <c r="C194" s="8"/>
      <c r="D194" s="8"/>
      <c r="E194" s="8"/>
      <c r="F194" s="8"/>
      <c r="G194" s="8"/>
      <c r="H194" s="8"/>
      <c r="I194" s="275"/>
      <c r="J194" s="275"/>
      <c r="K194" s="275"/>
      <c r="L194" s="275"/>
      <c r="M194" s="275"/>
      <c r="N194" s="275"/>
      <c r="O194" s="8"/>
      <c r="P194" s="8"/>
      <c r="Q194" s="8"/>
      <c r="R194" s="8"/>
      <c r="S194" s="8"/>
      <c r="T194" s="8"/>
      <c r="U194" s="8"/>
      <c r="V194" s="8"/>
      <c r="W194" s="8"/>
      <c r="X194" s="8"/>
      <c r="Y194" s="8"/>
      <c r="Z194" s="8"/>
      <c r="AA194" s="8"/>
      <c r="AB194" s="8"/>
      <c r="AC194" s="8"/>
    </row>
    <row r="195" ht="15.75" customHeight="1">
      <c r="A195" s="8"/>
      <c r="B195" s="8"/>
      <c r="C195" s="8"/>
      <c r="D195" s="8"/>
      <c r="E195" s="8"/>
      <c r="F195" s="8"/>
      <c r="G195" s="8"/>
      <c r="H195" s="8"/>
      <c r="I195" s="275"/>
      <c r="J195" s="275"/>
      <c r="K195" s="275"/>
      <c r="L195" s="275"/>
      <c r="M195" s="275"/>
      <c r="N195" s="275"/>
      <c r="O195" s="8"/>
      <c r="P195" s="8"/>
      <c r="Q195" s="8"/>
      <c r="R195" s="8"/>
      <c r="S195" s="8"/>
      <c r="T195" s="8"/>
      <c r="U195" s="8"/>
      <c r="V195" s="8"/>
      <c r="W195" s="8"/>
      <c r="X195" s="8"/>
      <c r="Y195" s="8"/>
      <c r="Z195" s="8"/>
      <c r="AA195" s="8"/>
      <c r="AB195" s="8"/>
      <c r="AC195" s="8"/>
    </row>
    <row r="196" ht="15.75" customHeight="1">
      <c r="A196" s="8"/>
      <c r="B196" s="8"/>
      <c r="C196" s="8"/>
      <c r="D196" s="8"/>
      <c r="E196" s="8"/>
      <c r="F196" s="8"/>
      <c r="G196" s="8"/>
      <c r="H196" s="8"/>
      <c r="I196" s="275"/>
      <c r="J196" s="275"/>
      <c r="K196" s="275"/>
      <c r="L196" s="275"/>
      <c r="M196" s="275"/>
      <c r="N196" s="275"/>
      <c r="O196" s="8"/>
      <c r="P196" s="8"/>
      <c r="Q196" s="8"/>
      <c r="R196" s="8"/>
      <c r="S196" s="8"/>
      <c r="T196" s="8"/>
      <c r="U196" s="8"/>
      <c r="V196" s="8"/>
      <c r="W196" s="8"/>
      <c r="X196" s="8"/>
      <c r="Y196" s="8"/>
      <c r="Z196" s="8"/>
      <c r="AA196" s="8"/>
      <c r="AB196" s="8"/>
      <c r="AC196" s="8"/>
    </row>
    <row r="197" ht="15.75" customHeight="1">
      <c r="A197" s="8"/>
      <c r="B197" s="8"/>
      <c r="C197" s="8"/>
      <c r="D197" s="8"/>
      <c r="E197" s="8"/>
      <c r="F197" s="8"/>
      <c r="G197" s="8"/>
      <c r="H197" s="8"/>
      <c r="I197" s="275"/>
      <c r="J197" s="275"/>
      <c r="K197" s="275"/>
      <c r="L197" s="275"/>
      <c r="M197" s="275"/>
      <c r="N197" s="275"/>
      <c r="O197" s="8"/>
      <c r="P197" s="8"/>
      <c r="Q197" s="8"/>
      <c r="R197" s="8"/>
      <c r="S197" s="8"/>
      <c r="T197" s="8"/>
      <c r="U197" s="8"/>
      <c r="V197" s="8"/>
      <c r="W197" s="8"/>
      <c r="X197" s="8"/>
      <c r="Y197" s="8"/>
      <c r="Z197" s="8"/>
      <c r="AA197" s="8"/>
      <c r="AB197" s="8"/>
      <c r="AC197" s="8"/>
    </row>
    <row r="198" ht="15.75" customHeight="1">
      <c r="A198" s="8"/>
      <c r="B198" s="8"/>
      <c r="C198" s="8"/>
      <c r="D198" s="8"/>
      <c r="E198" s="8"/>
      <c r="F198" s="8"/>
      <c r="G198" s="8"/>
      <c r="H198" s="8"/>
      <c r="I198" s="275"/>
      <c r="J198" s="275"/>
      <c r="K198" s="275"/>
      <c r="L198" s="275"/>
      <c r="M198" s="275"/>
      <c r="N198" s="275"/>
      <c r="O198" s="8"/>
      <c r="P198" s="8"/>
      <c r="Q198" s="8"/>
      <c r="R198" s="8"/>
      <c r="S198" s="8"/>
      <c r="T198" s="8"/>
      <c r="U198" s="8"/>
      <c r="V198" s="8"/>
      <c r="W198" s="8"/>
      <c r="X198" s="8"/>
      <c r="Y198" s="8"/>
      <c r="Z198" s="8"/>
      <c r="AA198" s="8"/>
      <c r="AB198" s="8"/>
      <c r="AC198" s="8"/>
    </row>
    <row r="199" ht="15.75" customHeight="1">
      <c r="A199" s="8"/>
      <c r="B199" s="8"/>
      <c r="C199" s="8"/>
      <c r="D199" s="8"/>
      <c r="E199" s="8"/>
      <c r="F199" s="8"/>
      <c r="G199" s="8"/>
      <c r="H199" s="8"/>
      <c r="I199" s="275"/>
      <c r="J199" s="275"/>
      <c r="K199" s="275"/>
      <c r="L199" s="275"/>
      <c r="M199" s="275"/>
      <c r="N199" s="275"/>
      <c r="O199" s="8"/>
      <c r="P199" s="8"/>
      <c r="Q199" s="8"/>
      <c r="R199" s="8"/>
      <c r="S199" s="8"/>
      <c r="T199" s="8"/>
      <c r="U199" s="8"/>
      <c r="V199" s="8"/>
      <c r="W199" s="8"/>
      <c r="X199" s="8"/>
      <c r="Y199" s="8"/>
      <c r="Z199" s="8"/>
      <c r="AA199" s="8"/>
      <c r="AB199" s="8"/>
      <c r="AC199" s="8"/>
    </row>
    <row r="200" ht="15.75" customHeight="1">
      <c r="A200" s="8"/>
      <c r="B200" s="8"/>
      <c r="C200" s="8"/>
      <c r="D200" s="8"/>
      <c r="E200" s="8"/>
      <c r="F200" s="8"/>
      <c r="G200" s="8"/>
      <c r="H200" s="8"/>
      <c r="I200" s="275"/>
      <c r="J200" s="275"/>
      <c r="K200" s="275"/>
      <c r="L200" s="275"/>
      <c r="M200" s="275"/>
      <c r="N200" s="275"/>
      <c r="O200" s="8"/>
      <c r="P200" s="8"/>
      <c r="Q200" s="8"/>
      <c r="R200" s="8"/>
      <c r="S200" s="8"/>
      <c r="T200" s="8"/>
      <c r="U200" s="8"/>
      <c r="V200" s="8"/>
      <c r="W200" s="8"/>
      <c r="X200" s="8"/>
      <c r="Y200" s="8"/>
      <c r="Z200" s="8"/>
      <c r="AA200" s="8"/>
      <c r="AB200" s="8"/>
      <c r="AC200" s="8"/>
    </row>
    <row r="201" ht="15.75" customHeight="1">
      <c r="A201" s="8"/>
      <c r="B201" s="8"/>
      <c r="C201" s="8"/>
      <c r="D201" s="8"/>
      <c r="E201" s="8"/>
      <c r="F201" s="8"/>
      <c r="G201" s="8"/>
      <c r="H201" s="8"/>
      <c r="I201" s="275"/>
      <c r="J201" s="275"/>
      <c r="K201" s="275"/>
      <c r="L201" s="275"/>
      <c r="M201" s="275"/>
      <c r="N201" s="275"/>
      <c r="O201" s="8"/>
      <c r="P201" s="8"/>
      <c r="Q201" s="8"/>
      <c r="R201" s="8"/>
      <c r="S201" s="8"/>
      <c r="T201" s="8"/>
      <c r="U201" s="8"/>
      <c r="V201" s="8"/>
      <c r="W201" s="8"/>
      <c r="X201" s="8"/>
      <c r="Y201" s="8"/>
      <c r="Z201" s="8"/>
      <c r="AA201" s="8"/>
      <c r="AB201" s="8"/>
      <c r="AC201" s="8"/>
    </row>
    <row r="202" ht="15.75" customHeight="1">
      <c r="A202" s="8"/>
      <c r="B202" s="8"/>
      <c r="C202" s="8"/>
      <c r="D202" s="8"/>
      <c r="E202" s="8"/>
      <c r="F202" s="8"/>
      <c r="G202" s="8"/>
      <c r="H202" s="8"/>
      <c r="I202" s="275"/>
      <c r="J202" s="275"/>
      <c r="K202" s="275"/>
      <c r="L202" s="275"/>
      <c r="M202" s="275"/>
      <c r="N202" s="275"/>
      <c r="O202" s="8"/>
      <c r="P202" s="8"/>
      <c r="Q202" s="8"/>
      <c r="R202" s="8"/>
      <c r="S202" s="8"/>
      <c r="T202" s="8"/>
      <c r="U202" s="8"/>
      <c r="V202" s="8"/>
      <c r="W202" s="8"/>
      <c r="X202" s="8"/>
      <c r="Y202" s="8"/>
      <c r="Z202" s="8"/>
      <c r="AA202" s="8"/>
      <c r="AB202" s="8"/>
      <c r="AC202" s="8"/>
    </row>
    <row r="203" ht="15.75" customHeight="1">
      <c r="A203" s="8"/>
      <c r="B203" s="8"/>
      <c r="C203" s="8"/>
      <c r="D203" s="8"/>
      <c r="E203" s="8"/>
      <c r="F203" s="8"/>
      <c r="G203" s="8"/>
      <c r="H203" s="8"/>
      <c r="I203" s="275"/>
      <c r="J203" s="275"/>
      <c r="K203" s="275"/>
      <c r="L203" s="275"/>
      <c r="M203" s="275"/>
      <c r="N203" s="275"/>
      <c r="O203" s="8"/>
      <c r="P203" s="8"/>
      <c r="Q203" s="8"/>
      <c r="R203" s="8"/>
      <c r="S203" s="8"/>
      <c r="T203" s="8"/>
      <c r="U203" s="8"/>
      <c r="V203" s="8"/>
      <c r="W203" s="8"/>
      <c r="X203" s="8"/>
      <c r="Y203" s="8"/>
      <c r="Z203" s="8"/>
      <c r="AA203" s="8"/>
      <c r="AB203" s="8"/>
      <c r="AC203" s="8"/>
    </row>
    <row r="204" ht="15.75" customHeight="1">
      <c r="A204" s="8"/>
      <c r="B204" s="8"/>
      <c r="C204" s="8"/>
      <c r="D204" s="8"/>
      <c r="E204" s="8"/>
      <c r="F204" s="8"/>
      <c r="G204" s="8"/>
      <c r="H204" s="8"/>
      <c r="I204" s="275"/>
      <c r="J204" s="275"/>
      <c r="K204" s="275"/>
      <c r="L204" s="275"/>
      <c r="M204" s="275"/>
      <c r="N204" s="275"/>
      <c r="O204" s="8"/>
      <c r="P204" s="8"/>
      <c r="Q204" s="8"/>
      <c r="R204" s="8"/>
      <c r="S204" s="8"/>
      <c r="T204" s="8"/>
      <c r="U204" s="8"/>
      <c r="V204" s="8"/>
      <c r="W204" s="8"/>
      <c r="X204" s="8"/>
      <c r="Y204" s="8"/>
      <c r="Z204" s="8"/>
      <c r="AA204" s="8"/>
      <c r="AB204" s="8"/>
      <c r="AC204" s="8"/>
    </row>
    <row r="205" ht="15.75" customHeight="1">
      <c r="A205" s="8"/>
      <c r="B205" s="8"/>
      <c r="C205" s="8"/>
      <c r="D205" s="8"/>
      <c r="E205" s="8"/>
      <c r="F205" s="8"/>
      <c r="G205" s="8"/>
      <c r="H205" s="8"/>
      <c r="I205" s="275"/>
      <c r="J205" s="275"/>
      <c r="K205" s="275"/>
      <c r="L205" s="275"/>
      <c r="M205" s="275"/>
      <c r="N205" s="275"/>
      <c r="O205" s="8"/>
      <c r="P205" s="8"/>
      <c r="Q205" s="8"/>
      <c r="R205" s="8"/>
      <c r="S205" s="8"/>
      <c r="T205" s="8"/>
      <c r="U205" s="8"/>
      <c r="V205" s="8"/>
      <c r="W205" s="8"/>
      <c r="X205" s="8"/>
      <c r="Y205" s="8"/>
      <c r="Z205" s="8"/>
      <c r="AA205" s="8"/>
      <c r="AB205" s="8"/>
      <c r="AC205" s="8"/>
    </row>
    <row r="206" ht="15.75" customHeight="1">
      <c r="A206" s="8"/>
      <c r="B206" s="8"/>
      <c r="C206" s="8"/>
      <c r="D206" s="8"/>
      <c r="E206" s="8"/>
      <c r="F206" s="8"/>
      <c r="G206" s="8"/>
      <c r="H206" s="8"/>
      <c r="I206" s="275"/>
      <c r="J206" s="275"/>
      <c r="K206" s="275"/>
      <c r="L206" s="275"/>
      <c r="M206" s="275"/>
      <c r="N206" s="275"/>
      <c r="O206" s="8"/>
      <c r="P206" s="8"/>
      <c r="Q206" s="8"/>
      <c r="R206" s="8"/>
      <c r="S206" s="8"/>
      <c r="T206" s="8"/>
      <c r="U206" s="8"/>
      <c r="V206" s="8"/>
      <c r="W206" s="8"/>
      <c r="X206" s="8"/>
      <c r="Y206" s="8"/>
      <c r="Z206" s="8"/>
      <c r="AA206" s="8"/>
      <c r="AB206" s="8"/>
      <c r="AC206" s="8"/>
    </row>
    <row r="207" ht="15.75" customHeight="1">
      <c r="A207" s="8"/>
      <c r="B207" s="8"/>
      <c r="C207" s="8"/>
      <c r="D207" s="8"/>
      <c r="E207" s="8"/>
      <c r="F207" s="8"/>
      <c r="G207" s="8"/>
      <c r="H207" s="8"/>
      <c r="I207" s="275"/>
      <c r="J207" s="275"/>
      <c r="K207" s="275"/>
      <c r="L207" s="275"/>
      <c r="M207" s="275"/>
      <c r="N207" s="275"/>
      <c r="O207" s="8"/>
      <c r="P207" s="8"/>
      <c r="Q207" s="8"/>
      <c r="R207" s="8"/>
      <c r="S207" s="8"/>
      <c r="T207" s="8"/>
      <c r="U207" s="8"/>
      <c r="V207" s="8"/>
      <c r="W207" s="8"/>
      <c r="X207" s="8"/>
      <c r="Y207" s="8"/>
      <c r="Z207" s="8"/>
      <c r="AA207" s="8"/>
      <c r="AB207" s="8"/>
      <c r="AC207" s="8"/>
    </row>
    <row r="208" ht="15.75" customHeight="1">
      <c r="A208" s="8"/>
      <c r="B208" s="8"/>
      <c r="C208" s="8"/>
      <c r="D208" s="8"/>
      <c r="E208" s="8"/>
      <c r="F208" s="8"/>
      <c r="G208" s="8"/>
      <c r="H208" s="8"/>
      <c r="I208" s="275"/>
      <c r="J208" s="275"/>
      <c r="K208" s="275"/>
      <c r="L208" s="275"/>
      <c r="M208" s="275"/>
      <c r="N208" s="275"/>
      <c r="O208" s="8"/>
      <c r="P208" s="8"/>
      <c r="Q208" s="8"/>
      <c r="R208" s="8"/>
      <c r="S208" s="8"/>
      <c r="T208" s="8"/>
      <c r="U208" s="8"/>
      <c r="V208" s="8"/>
      <c r="W208" s="8"/>
      <c r="X208" s="8"/>
      <c r="Y208" s="8"/>
      <c r="Z208" s="8"/>
      <c r="AA208" s="8"/>
      <c r="AB208" s="8"/>
      <c r="AC208" s="8"/>
    </row>
    <row r="209" ht="15.75" customHeight="1">
      <c r="A209" s="8"/>
      <c r="B209" s="8"/>
      <c r="C209" s="8"/>
      <c r="D209" s="8"/>
      <c r="E209" s="8"/>
      <c r="F209" s="8"/>
      <c r="G209" s="8"/>
      <c r="H209" s="8"/>
      <c r="I209" s="275"/>
      <c r="J209" s="275"/>
      <c r="K209" s="275"/>
      <c r="L209" s="275"/>
      <c r="M209" s="275"/>
      <c r="N209" s="275"/>
      <c r="O209" s="8"/>
      <c r="P209" s="8"/>
      <c r="Q209" s="8"/>
      <c r="R209" s="8"/>
      <c r="S209" s="8"/>
      <c r="T209" s="8"/>
      <c r="U209" s="8"/>
      <c r="V209" s="8"/>
      <c r="W209" s="8"/>
      <c r="X209" s="8"/>
      <c r="Y209" s="8"/>
      <c r="Z209" s="8"/>
      <c r="AA209" s="8"/>
      <c r="AB209" s="8"/>
      <c r="AC209" s="8"/>
    </row>
    <row r="210" ht="15.75" customHeight="1">
      <c r="A210" s="8"/>
      <c r="B210" s="8"/>
      <c r="C210" s="8"/>
      <c r="D210" s="8"/>
      <c r="E210" s="8"/>
      <c r="F210" s="8"/>
      <c r="G210" s="8"/>
      <c r="H210" s="8"/>
      <c r="I210" s="275"/>
      <c r="J210" s="275"/>
      <c r="K210" s="275"/>
      <c r="L210" s="275"/>
      <c r="M210" s="275"/>
      <c r="N210" s="275"/>
      <c r="O210" s="8"/>
      <c r="P210" s="8"/>
      <c r="Q210" s="8"/>
      <c r="R210" s="8"/>
      <c r="S210" s="8"/>
      <c r="T210" s="8"/>
      <c r="U210" s="8"/>
      <c r="V210" s="8"/>
      <c r="W210" s="8"/>
      <c r="X210" s="8"/>
      <c r="Y210" s="8"/>
      <c r="Z210" s="8"/>
      <c r="AA210" s="8"/>
      <c r="AB210" s="8"/>
      <c r="AC210" s="8"/>
    </row>
    <row r="211" ht="15.75" customHeight="1">
      <c r="A211" s="8"/>
      <c r="B211" s="8"/>
      <c r="C211" s="8"/>
      <c r="D211" s="8"/>
      <c r="E211" s="8"/>
      <c r="F211" s="8"/>
      <c r="G211" s="8"/>
      <c r="H211" s="8"/>
      <c r="I211" s="275"/>
      <c r="J211" s="275"/>
      <c r="K211" s="275"/>
      <c r="L211" s="275"/>
      <c r="M211" s="275"/>
      <c r="N211" s="275"/>
      <c r="O211" s="8"/>
      <c r="P211" s="8"/>
      <c r="Q211" s="8"/>
      <c r="R211" s="8"/>
      <c r="S211" s="8"/>
      <c r="T211" s="8"/>
      <c r="U211" s="8"/>
      <c r="V211" s="8"/>
      <c r="W211" s="8"/>
      <c r="X211" s="8"/>
      <c r="Y211" s="8"/>
      <c r="Z211" s="8"/>
      <c r="AA211" s="8"/>
      <c r="AB211" s="8"/>
      <c r="AC211" s="8"/>
    </row>
    <row r="212" ht="15.75" customHeight="1">
      <c r="A212" s="8"/>
      <c r="B212" s="8"/>
      <c r="C212" s="8"/>
      <c r="D212" s="8"/>
      <c r="E212" s="8"/>
      <c r="F212" s="8"/>
      <c r="G212" s="8"/>
      <c r="H212" s="8"/>
      <c r="I212" s="275"/>
      <c r="J212" s="275"/>
      <c r="K212" s="275"/>
      <c r="L212" s="275"/>
      <c r="M212" s="275"/>
      <c r="N212" s="275"/>
      <c r="O212" s="8"/>
      <c r="P212" s="8"/>
      <c r="Q212" s="8"/>
      <c r="R212" s="8"/>
      <c r="S212" s="8"/>
      <c r="T212" s="8"/>
      <c r="U212" s="8"/>
      <c r="V212" s="8"/>
      <c r="W212" s="8"/>
      <c r="X212" s="8"/>
      <c r="Y212" s="8"/>
      <c r="Z212" s="8"/>
      <c r="AA212" s="8"/>
      <c r="AB212" s="8"/>
      <c r="AC212" s="8"/>
    </row>
    <row r="213" ht="15.75" customHeight="1">
      <c r="A213" s="8"/>
      <c r="B213" s="8"/>
      <c r="C213" s="8"/>
      <c r="D213" s="8"/>
      <c r="E213" s="8"/>
      <c r="F213" s="8"/>
      <c r="G213" s="8"/>
      <c r="H213" s="8"/>
      <c r="I213" s="275"/>
      <c r="J213" s="275"/>
      <c r="K213" s="275"/>
      <c r="L213" s="275"/>
      <c r="M213" s="275"/>
      <c r="N213" s="275"/>
      <c r="O213" s="8"/>
      <c r="P213" s="8"/>
      <c r="Q213" s="8"/>
      <c r="R213" s="8"/>
      <c r="S213" s="8"/>
      <c r="T213" s="8"/>
      <c r="U213" s="8"/>
      <c r="V213" s="8"/>
      <c r="W213" s="8"/>
      <c r="X213" s="8"/>
      <c r="Y213" s="8"/>
      <c r="Z213" s="8"/>
      <c r="AA213" s="8"/>
      <c r="AB213" s="8"/>
      <c r="AC213" s="8"/>
    </row>
    <row r="214" ht="15.75" customHeight="1">
      <c r="A214" s="8"/>
      <c r="B214" s="8"/>
      <c r="C214" s="8"/>
      <c r="D214" s="8"/>
      <c r="E214" s="8"/>
      <c r="F214" s="8"/>
      <c r="G214" s="8"/>
      <c r="H214" s="8"/>
      <c r="I214" s="275"/>
      <c r="J214" s="275"/>
      <c r="K214" s="275"/>
      <c r="L214" s="275"/>
      <c r="M214" s="275"/>
      <c r="N214" s="275"/>
      <c r="O214" s="8"/>
      <c r="P214" s="8"/>
      <c r="Q214" s="8"/>
      <c r="R214" s="8"/>
      <c r="S214" s="8"/>
      <c r="T214" s="8"/>
      <c r="U214" s="8"/>
      <c r="V214" s="8"/>
      <c r="W214" s="8"/>
      <c r="X214" s="8"/>
      <c r="Y214" s="8"/>
      <c r="Z214" s="8"/>
      <c r="AA214" s="8"/>
      <c r="AB214" s="8"/>
      <c r="AC214" s="8"/>
    </row>
    <row r="215" ht="15.75" customHeight="1">
      <c r="A215" s="8"/>
      <c r="B215" s="8"/>
      <c r="C215" s="8"/>
      <c r="D215" s="8"/>
      <c r="E215" s="8"/>
      <c r="F215" s="8"/>
      <c r="G215" s="8"/>
      <c r="H215" s="8"/>
      <c r="I215" s="275"/>
      <c r="J215" s="275"/>
      <c r="K215" s="275"/>
      <c r="L215" s="275"/>
      <c r="M215" s="275"/>
      <c r="N215" s="275"/>
      <c r="O215" s="8"/>
      <c r="P215" s="8"/>
      <c r="Q215" s="8"/>
      <c r="R215" s="8"/>
      <c r="S215" s="8"/>
      <c r="T215" s="8"/>
      <c r="U215" s="8"/>
      <c r="V215" s="8"/>
      <c r="W215" s="8"/>
      <c r="X215" s="8"/>
      <c r="Y215" s="8"/>
      <c r="Z215" s="8"/>
      <c r="AA215" s="8"/>
      <c r="AB215" s="8"/>
      <c r="AC215" s="8"/>
    </row>
    <row r="216" ht="15.75" customHeight="1">
      <c r="A216" s="8"/>
      <c r="B216" s="8"/>
      <c r="C216" s="8"/>
      <c r="D216" s="8"/>
      <c r="E216" s="8"/>
      <c r="F216" s="8"/>
      <c r="G216" s="8"/>
      <c r="H216" s="8"/>
      <c r="I216" s="275"/>
      <c r="J216" s="275"/>
      <c r="K216" s="275"/>
      <c r="L216" s="275"/>
      <c r="M216" s="275"/>
      <c r="N216" s="275"/>
      <c r="O216" s="8"/>
      <c r="P216" s="8"/>
      <c r="Q216" s="8"/>
      <c r="R216" s="8"/>
      <c r="S216" s="8"/>
      <c r="T216" s="8"/>
      <c r="U216" s="8"/>
      <c r="V216" s="8"/>
      <c r="W216" s="8"/>
      <c r="X216" s="8"/>
      <c r="Y216" s="8"/>
      <c r="Z216" s="8"/>
      <c r="AA216" s="8"/>
      <c r="AB216" s="8"/>
      <c r="AC216" s="8"/>
    </row>
    <row r="217" ht="15.75" customHeight="1">
      <c r="A217" s="8"/>
      <c r="B217" s="8"/>
      <c r="C217" s="8"/>
      <c r="D217" s="8"/>
      <c r="E217" s="8"/>
      <c r="F217" s="8"/>
      <c r="G217" s="8"/>
      <c r="H217" s="8"/>
      <c r="I217" s="275"/>
      <c r="J217" s="275"/>
      <c r="K217" s="275"/>
      <c r="L217" s="275"/>
      <c r="M217" s="275"/>
      <c r="N217" s="275"/>
      <c r="O217" s="8"/>
      <c r="P217" s="8"/>
      <c r="Q217" s="8"/>
      <c r="R217" s="8"/>
      <c r="S217" s="8"/>
      <c r="T217" s="8"/>
      <c r="U217" s="8"/>
      <c r="V217" s="8"/>
      <c r="W217" s="8"/>
      <c r="X217" s="8"/>
      <c r="Y217" s="8"/>
      <c r="Z217" s="8"/>
      <c r="AA217" s="8"/>
      <c r="AB217" s="8"/>
      <c r="AC217" s="8"/>
    </row>
    <row r="218" ht="15.75" customHeight="1">
      <c r="A218" s="8"/>
      <c r="B218" s="8"/>
      <c r="C218" s="8"/>
      <c r="D218" s="8"/>
      <c r="E218" s="8"/>
      <c r="F218" s="8"/>
      <c r="G218" s="8"/>
      <c r="H218" s="8"/>
      <c r="I218" s="275"/>
      <c r="J218" s="275"/>
      <c r="K218" s="275"/>
      <c r="L218" s="275"/>
      <c r="M218" s="275"/>
      <c r="N218" s="275"/>
      <c r="O218" s="8"/>
      <c r="P218" s="8"/>
      <c r="Q218" s="8"/>
      <c r="R218" s="8"/>
      <c r="S218" s="8"/>
      <c r="T218" s="8"/>
      <c r="U218" s="8"/>
      <c r="V218" s="8"/>
      <c r="W218" s="8"/>
      <c r="X218" s="8"/>
      <c r="Y218" s="8"/>
      <c r="Z218" s="8"/>
      <c r="AA218" s="8"/>
      <c r="AB218" s="8"/>
      <c r="AC218" s="8"/>
    </row>
    <row r="219" ht="15.75" customHeight="1">
      <c r="A219" s="8"/>
      <c r="B219" s="8"/>
      <c r="C219" s="8"/>
      <c r="D219" s="8"/>
      <c r="E219" s="8"/>
      <c r="F219" s="8"/>
      <c r="G219" s="8"/>
      <c r="H219" s="8"/>
      <c r="I219" s="275"/>
      <c r="J219" s="275"/>
      <c r="K219" s="275"/>
      <c r="L219" s="275"/>
      <c r="M219" s="275"/>
      <c r="N219" s="275"/>
      <c r="O219" s="8"/>
      <c r="P219" s="8"/>
      <c r="Q219" s="8"/>
      <c r="R219" s="8"/>
      <c r="S219" s="8"/>
      <c r="T219" s="8"/>
      <c r="U219" s="8"/>
      <c r="V219" s="8"/>
      <c r="W219" s="8"/>
      <c r="X219" s="8"/>
      <c r="Y219" s="8"/>
      <c r="Z219" s="8"/>
      <c r="AA219" s="8"/>
      <c r="AB219" s="8"/>
      <c r="AC219" s="8"/>
    </row>
    <row r="220" ht="15.75" customHeight="1">
      <c r="A220" s="8"/>
      <c r="B220" s="8"/>
      <c r="C220" s="8"/>
      <c r="D220" s="8"/>
      <c r="E220" s="8"/>
      <c r="F220" s="8"/>
      <c r="G220" s="8"/>
      <c r="H220" s="8"/>
      <c r="I220" s="275"/>
      <c r="J220" s="275"/>
      <c r="K220" s="275"/>
      <c r="L220" s="275"/>
      <c r="M220" s="275"/>
      <c r="N220" s="275"/>
      <c r="O220" s="8"/>
      <c r="P220" s="8"/>
      <c r="Q220" s="8"/>
      <c r="R220" s="8"/>
      <c r="S220" s="8"/>
      <c r="T220" s="8"/>
      <c r="U220" s="8"/>
      <c r="V220" s="8"/>
      <c r="W220" s="8"/>
      <c r="X220" s="8"/>
      <c r="Y220" s="8"/>
      <c r="Z220" s="8"/>
      <c r="AA220" s="8"/>
      <c r="AB220" s="8"/>
      <c r="AC220" s="8"/>
    </row>
    <row r="221" ht="15.75" customHeight="1">
      <c r="A221" s="8"/>
      <c r="B221" s="8"/>
      <c r="C221" s="8"/>
      <c r="D221" s="8"/>
      <c r="E221" s="8"/>
      <c r="F221" s="8"/>
      <c r="G221" s="8"/>
      <c r="H221" s="8"/>
      <c r="I221" s="275"/>
      <c r="J221" s="275"/>
      <c r="K221" s="275"/>
      <c r="L221" s="275"/>
      <c r="M221" s="275"/>
      <c r="N221" s="275"/>
      <c r="O221" s="8"/>
      <c r="P221" s="8"/>
      <c r="Q221" s="8"/>
      <c r="R221" s="8"/>
      <c r="S221" s="8"/>
      <c r="T221" s="8"/>
      <c r="U221" s="8"/>
      <c r="V221" s="8"/>
      <c r="W221" s="8"/>
      <c r="X221" s="8"/>
      <c r="Y221" s="8"/>
      <c r="Z221" s="8"/>
      <c r="AA221" s="8"/>
      <c r="AB221" s="8"/>
      <c r="AC221" s="8"/>
    </row>
    <row r="222" ht="15.75" customHeight="1">
      <c r="A222" s="8"/>
      <c r="B222" s="8"/>
      <c r="C222" s="8"/>
      <c r="D222" s="8"/>
      <c r="E222" s="8"/>
      <c r="F222" s="8"/>
      <c r="G222" s="8"/>
      <c r="H222" s="8"/>
      <c r="I222" s="275"/>
      <c r="J222" s="275"/>
      <c r="K222" s="275"/>
      <c r="L222" s="275"/>
      <c r="M222" s="275"/>
      <c r="N222" s="275"/>
      <c r="O222" s="8"/>
      <c r="P222" s="8"/>
      <c r="Q222" s="8"/>
      <c r="R222" s="8"/>
      <c r="S222" s="8"/>
      <c r="T222" s="8"/>
      <c r="U222" s="8"/>
      <c r="V222" s="8"/>
      <c r="W222" s="8"/>
      <c r="X222" s="8"/>
      <c r="Y222" s="8"/>
      <c r="Z222" s="8"/>
      <c r="AA222" s="8"/>
      <c r="AB222" s="8"/>
      <c r="AC222" s="8"/>
    </row>
    <row r="223" ht="15.75" customHeight="1">
      <c r="A223" s="8"/>
      <c r="B223" s="8"/>
      <c r="C223" s="8"/>
      <c r="D223" s="8"/>
      <c r="E223" s="8"/>
      <c r="F223" s="8"/>
      <c r="G223" s="8"/>
      <c r="H223" s="8"/>
      <c r="I223" s="275"/>
      <c r="J223" s="275"/>
      <c r="K223" s="275"/>
      <c r="L223" s="275"/>
      <c r="M223" s="275"/>
      <c r="N223" s="275"/>
      <c r="O223" s="8"/>
      <c r="P223" s="8"/>
      <c r="Q223" s="8"/>
      <c r="R223" s="8"/>
      <c r="S223" s="8"/>
      <c r="T223" s="8"/>
      <c r="U223" s="8"/>
      <c r="V223" s="8"/>
      <c r="W223" s="8"/>
      <c r="X223" s="8"/>
      <c r="Y223" s="8"/>
      <c r="Z223" s="8"/>
      <c r="AA223" s="8"/>
      <c r="AB223" s="8"/>
      <c r="AC223" s="8"/>
    </row>
    <row r="224" ht="15.75" customHeight="1">
      <c r="A224" s="8"/>
      <c r="B224" s="8"/>
      <c r="C224" s="8"/>
      <c r="D224" s="8"/>
      <c r="E224" s="8"/>
      <c r="F224" s="8"/>
      <c r="G224" s="8"/>
      <c r="H224" s="8"/>
      <c r="I224" s="275"/>
      <c r="J224" s="275"/>
      <c r="K224" s="275"/>
      <c r="L224" s="275"/>
      <c r="M224" s="275"/>
      <c r="N224" s="275"/>
      <c r="O224" s="8"/>
      <c r="P224" s="8"/>
      <c r="Q224" s="8"/>
      <c r="R224" s="8"/>
      <c r="S224" s="8"/>
      <c r="T224" s="8"/>
      <c r="U224" s="8"/>
      <c r="V224" s="8"/>
      <c r="W224" s="8"/>
      <c r="X224" s="8"/>
      <c r="Y224" s="8"/>
      <c r="Z224" s="8"/>
      <c r="AA224" s="8"/>
      <c r="AB224" s="8"/>
      <c r="AC224" s="8"/>
    </row>
    <row r="225" ht="15.75" customHeight="1">
      <c r="A225" s="8"/>
      <c r="B225" s="8"/>
      <c r="C225" s="8"/>
      <c r="D225" s="8"/>
      <c r="E225" s="8"/>
      <c r="F225" s="8"/>
      <c r="G225" s="8"/>
      <c r="H225" s="8"/>
      <c r="I225" s="275"/>
      <c r="J225" s="275"/>
      <c r="K225" s="275"/>
      <c r="L225" s="275"/>
      <c r="M225" s="275"/>
      <c r="N225" s="275"/>
      <c r="O225" s="8"/>
      <c r="P225" s="8"/>
      <c r="Q225" s="8"/>
      <c r="R225" s="8"/>
      <c r="S225" s="8"/>
      <c r="T225" s="8"/>
      <c r="U225" s="8"/>
      <c r="V225" s="8"/>
      <c r="W225" s="8"/>
      <c r="X225" s="8"/>
      <c r="Y225" s="8"/>
      <c r="Z225" s="8"/>
      <c r="AA225" s="8"/>
      <c r="AB225" s="8"/>
      <c r="AC225" s="8"/>
    </row>
    <row r="226" ht="15.75" customHeight="1">
      <c r="A226" s="8"/>
      <c r="B226" s="8"/>
      <c r="C226" s="8"/>
      <c r="D226" s="8"/>
      <c r="E226" s="8"/>
      <c r="F226" s="8"/>
      <c r="G226" s="8"/>
      <c r="H226" s="8"/>
      <c r="I226" s="275"/>
      <c r="J226" s="275"/>
      <c r="K226" s="275"/>
      <c r="L226" s="275"/>
      <c r="M226" s="275"/>
      <c r="N226" s="275"/>
      <c r="O226" s="8"/>
      <c r="P226" s="8"/>
      <c r="Q226" s="8"/>
      <c r="R226" s="8"/>
      <c r="S226" s="8"/>
      <c r="T226" s="8"/>
      <c r="U226" s="8"/>
      <c r="V226" s="8"/>
      <c r="W226" s="8"/>
      <c r="X226" s="8"/>
      <c r="Y226" s="8"/>
      <c r="Z226" s="8"/>
      <c r="AA226" s="8"/>
      <c r="AB226" s="8"/>
      <c r="AC226" s="8"/>
    </row>
    <row r="227" ht="15.75" customHeight="1">
      <c r="A227" s="8"/>
      <c r="B227" s="8"/>
      <c r="C227" s="8"/>
      <c r="D227" s="8"/>
      <c r="E227" s="8"/>
      <c r="F227" s="8"/>
      <c r="G227" s="8"/>
      <c r="H227" s="8"/>
      <c r="I227" s="275"/>
      <c r="J227" s="275"/>
      <c r="K227" s="275"/>
      <c r="L227" s="275"/>
      <c r="M227" s="275"/>
      <c r="N227" s="275"/>
      <c r="O227" s="8"/>
      <c r="P227" s="8"/>
      <c r="Q227" s="8"/>
      <c r="R227" s="8"/>
      <c r="S227" s="8"/>
      <c r="T227" s="8"/>
      <c r="U227" s="8"/>
      <c r="V227" s="8"/>
      <c r="W227" s="8"/>
      <c r="X227" s="8"/>
      <c r="Y227" s="8"/>
      <c r="Z227" s="8"/>
      <c r="AA227" s="8"/>
      <c r="AB227" s="8"/>
      <c r="AC227" s="8"/>
    </row>
    <row r="228" ht="15.75" customHeight="1">
      <c r="A228" s="8"/>
      <c r="B228" s="8"/>
      <c r="C228" s="8"/>
      <c r="D228" s="8"/>
      <c r="E228" s="8"/>
      <c r="F228" s="8"/>
      <c r="G228" s="8"/>
      <c r="H228" s="8"/>
      <c r="I228" s="275"/>
      <c r="J228" s="275"/>
      <c r="K228" s="275"/>
      <c r="L228" s="275"/>
      <c r="M228" s="275"/>
      <c r="N228" s="275"/>
      <c r="O228" s="8"/>
      <c r="P228" s="8"/>
      <c r="Q228" s="8"/>
      <c r="R228" s="8"/>
      <c r="S228" s="8"/>
      <c r="T228" s="8"/>
      <c r="U228" s="8"/>
      <c r="V228" s="8"/>
      <c r="W228" s="8"/>
      <c r="X228" s="8"/>
      <c r="Y228" s="8"/>
      <c r="Z228" s="8"/>
      <c r="AA228" s="8"/>
      <c r="AB228" s="8"/>
      <c r="AC228" s="8"/>
    </row>
    <row r="229" ht="15.75" customHeight="1">
      <c r="A229" s="8"/>
      <c r="B229" s="8"/>
      <c r="C229" s="8"/>
      <c r="D229" s="8"/>
      <c r="E229" s="8"/>
      <c r="F229" s="8"/>
      <c r="G229" s="8"/>
      <c r="H229" s="8"/>
      <c r="I229" s="275"/>
      <c r="J229" s="275"/>
      <c r="K229" s="275"/>
      <c r="L229" s="275"/>
      <c r="M229" s="275"/>
      <c r="N229" s="275"/>
      <c r="O229" s="8"/>
      <c r="P229" s="8"/>
      <c r="Q229" s="8"/>
      <c r="R229" s="8"/>
      <c r="S229" s="8"/>
      <c r="T229" s="8"/>
      <c r="U229" s="8"/>
      <c r="V229" s="8"/>
      <c r="W229" s="8"/>
      <c r="X229" s="8"/>
      <c r="Y229" s="8"/>
      <c r="Z229" s="8"/>
      <c r="AA229" s="8"/>
      <c r="AB229" s="8"/>
      <c r="AC229" s="8"/>
    </row>
    <row r="230" ht="15.75" customHeight="1">
      <c r="A230" s="8"/>
      <c r="B230" s="8"/>
      <c r="C230" s="8"/>
      <c r="D230" s="8"/>
      <c r="E230" s="8"/>
      <c r="F230" s="8"/>
      <c r="G230" s="8"/>
      <c r="H230" s="8"/>
      <c r="I230" s="275"/>
      <c r="J230" s="275"/>
      <c r="K230" s="275"/>
      <c r="L230" s="275"/>
      <c r="M230" s="275"/>
      <c r="N230" s="275"/>
      <c r="O230" s="8"/>
      <c r="P230" s="8"/>
      <c r="Q230" s="8"/>
      <c r="R230" s="8"/>
      <c r="S230" s="8"/>
      <c r="T230" s="8"/>
      <c r="U230" s="8"/>
      <c r="V230" s="8"/>
      <c r="W230" s="8"/>
      <c r="X230" s="8"/>
      <c r="Y230" s="8"/>
      <c r="Z230" s="8"/>
      <c r="AA230" s="8"/>
      <c r="AB230" s="8"/>
      <c r="AC230" s="8"/>
    </row>
    <row r="231" ht="15.75" customHeight="1">
      <c r="A231" s="8"/>
      <c r="B231" s="8"/>
      <c r="C231" s="8"/>
      <c r="D231" s="8"/>
      <c r="E231" s="8"/>
      <c r="F231" s="8"/>
      <c r="G231" s="8"/>
      <c r="H231" s="8"/>
      <c r="I231" s="275"/>
      <c r="J231" s="275"/>
      <c r="K231" s="275"/>
      <c r="L231" s="275"/>
      <c r="M231" s="275"/>
      <c r="N231" s="275"/>
      <c r="O231" s="8"/>
      <c r="P231" s="8"/>
      <c r="Q231" s="8"/>
      <c r="R231" s="8"/>
      <c r="S231" s="8"/>
      <c r="T231" s="8"/>
      <c r="U231" s="8"/>
      <c r="V231" s="8"/>
      <c r="W231" s="8"/>
      <c r="X231" s="8"/>
      <c r="Y231" s="8"/>
      <c r="Z231" s="8"/>
      <c r="AA231" s="8"/>
      <c r="AB231" s="8"/>
      <c r="AC231" s="8"/>
    </row>
    <row r="232" ht="15.75" customHeight="1">
      <c r="A232" s="8"/>
      <c r="B232" s="8"/>
      <c r="C232" s="8"/>
      <c r="D232" s="8"/>
      <c r="E232" s="8"/>
      <c r="F232" s="8"/>
      <c r="G232" s="8"/>
      <c r="H232" s="8"/>
      <c r="I232" s="275"/>
      <c r="J232" s="275"/>
      <c r="K232" s="275"/>
      <c r="L232" s="275"/>
      <c r="M232" s="275"/>
      <c r="N232" s="275"/>
      <c r="O232" s="8"/>
      <c r="P232" s="8"/>
      <c r="Q232" s="8"/>
      <c r="R232" s="8"/>
      <c r="S232" s="8"/>
      <c r="T232" s="8"/>
      <c r="U232" s="8"/>
      <c r="V232" s="8"/>
      <c r="W232" s="8"/>
      <c r="X232" s="8"/>
      <c r="Y232" s="8"/>
      <c r="Z232" s="8"/>
      <c r="AA232" s="8"/>
      <c r="AB232" s="8"/>
      <c r="AC232" s="8"/>
    </row>
    <row r="233" ht="15.75" customHeight="1">
      <c r="A233" s="8"/>
      <c r="B233" s="8"/>
      <c r="C233" s="8"/>
      <c r="D233" s="8"/>
      <c r="E233" s="8"/>
      <c r="F233" s="8"/>
      <c r="G233" s="8"/>
      <c r="H233" s="8"/>
      <c r="I233" s="275"/>
      <c r="J233" s="275"/>
      <c r="K233" s="275"/>
      <c r="L233" s="275"/>
      <c r="M233" s="275"/>
      <c r="N233" s="275"/>
      <c r="O233" s="8"/>
      <c r="P233" s="8"/>
      <c r="Q233" s="8"/>
      <c r="R233" s="8"/>
      <c r="S233" s="8"/>
      <c r="T233" s="8"/>
      <c r="U233" s="8"/>
      <c r="V233" s="8"/>
      <c r="W233" s="8"/>
      <c r="X233" s="8"/>
      <c r="Y233" s="8"/>
      <c r="Z233" s="8"/>
      <c r="AA233" s="8"/>
      <c r="AB233" s="8"/>
      <c r="AC233" s="8"/>
    </row>
    <row r="234" ht="15.75" customHeight="1">
      <c r="A234" s="8"/>
      <c r="B234" s="8"/>
      <c r="C234" s="8"/>
      <c r="D234" s="8"/>
      <c r="E234" s="8"/>
      <c r="F234" s="8"/>
      <c r="G234" s="8"/>
      <c r="H234" s="8"/>
      <c r="I234" s="275"/>
      <c r="J234" s="275"/>
      <c r="K234" s="275"/>
      <c r="L234" s="275"/>
      <c r="M234" s="275"/>
      <c r="N234" s="275"/>
      <c r="O234" s="8"/>
      <c r="P234" s="8"/>
      <c r="Q234" s="8"/>
      <c r="R234" s="8"/>
      <c r="S234" s="8"/>
      <c r="T234" s="8"/>
      <c r="U234" s="8"/>
      <c r="V234" s="8"/>
      <c r="W234" s="8"/>
      <c r="X234" s="8"/>
      <c r="Y234" s="8"/>
      <c r="Z234" s="8"/>
      <c r="AA234" s="8"/>
      <c r="AB234" s="8"/>
      <c r="AC234" s="8"/>
    </row>
    <row r="235" ht="15.75" customHeight="1">
      <c r="A235" s="8"/>
      <c r="B235" s="8"/>
      <c r="C235" s="8"/>
      <c r="D235" s="8"/>
      <c r="E235" s="8"/>
      <c r="F235" s="8"/>
      <c r="G235" s="8"/>
      <c r="H235" s="8"/>
      <c r="I235" s="275"/>
      <c r="J235" s="275"/>
      <c r="K235" s="275"/>
      <c r="L235" s="275"/>
      <c r="M235" s="275"/>
      <c r="N235" s="275"/>
      <c r="O235" s="8"/>
      <c r="P235" s="8"/>
      <c r="Q235" s="8"/>
      <c r="R235" s="8"/>
      <c r="S235" s="8"/>
      <c r="T235" s="8"/>
      <c r="U235" s="8"/>
      <c r="V235" s="8"/>
      <c r="W235" s="8"/>
      <c r="X235" s="8"/>
      <c r="Y235" s="8"/>
      <c r="Z235" s="8"/>
      <c r="AA235" s="8"/>
      <c r="AB235" s="8"/>
      <c r="AC235" s="8"/>
    </row>
    <row r="236" ht="15.75" customHeight="1">
      <c r="A236" s="8"/>
      <c r="B236" s="8"/>
      <c r="C236" s="8"/>
      <c r="D236" s="8"/>
      <c r="E236" s="8"/>
      <c r="F236" s="8"/>
      <c r="G236" s="8"/>
      <c r="H236" s="8"/>
      <c r="I236" s="275"/>
      <c r="J236" s="275"/>
      <c r="K236" s="275"/>
      <c r="L236" s="275"/>
      <c r="M236" s="275"/>
      <c r="N236" s="275"/>
      <c r="O236" s="8"/>
      <c r="P236" s="8"/>
      <c r="Q236" s="8"/>
      <c r="R236" s="8"/>
      <c r="S236" s="8"/>
      <c r="T236" s="8"/>
      <c r="U236" s="8"/>
      <c r="V236" s="8"/>
      <c r="W236" s="8"/>
      <c r="X236" s="8"/>
      <c r="Y236" s="8"/>
      <c r="Z236" s="8"/>
      <c r="AA236" s="8"/>
      <c r="AB236" s="8"/>
      <c r="AC236" s="8"/>
    </row>
    <row r="237" ht="15.75" customHeight="1">
      <c r="A237" s="8"/>
      <c r="B237" s="8"/>
      <c r="C237" s="8"/>
      <c r="D237" s="8"/>
      <c r="E237" s="8"/>
      <c r="F237" s="8"/>
      <c r="G237" s="8"/>
      <c r="H237" s="8"/>
      <c r="I237" s="275"/>
      <c r="J237" s="275"/>
      <c r="K237" s="275"/>
      <c r="L237" s="275"/>
      <c r="M237" s="275"/>
      <c r="N237" s="275"/>
      <c r="O237" s="8"/>
      <c r="P237" s="8"/>
      <c r="Q237" s="8"/>
      <c r="R237" s="8"/>
      <c r="S237" s="8"/>
      <c r="T237" s="8"/>
      <c r="U237" s="8"/>
      <c r="V237" s="8"/>
      <c r="W237" s="8"/>
      <c r="X237" s="8"/>
      <c r="Y237" s="8"/>
      <c r="Z237" s="8"/>
      <c r="AA237" s="8"/>
      <c r="AB237" s="8"/>
      <c r="AC237" s="8"/>
    </row>
    <row r="238" ht="15.75" customHeight="1">
      <c r="A238" s="8"/>
      <c r="B238" s="8"/>
      <c r="C238" s="8"/>
      <c r="D238" s="8"/>
      <c r="E238" s="8"/>
      <c r="F238" s="8"/>
      <c r="G238" s="8"/>
      <c r="H238" s="8"/>
      <c r="I238" s="275"/>
      <c r="J238" s="275"/>
      <c r="K238" s="275"/>
      <c r="L238" s="275"/>
      <c r="M238" s="275"/>
      <c r="N238" s="275"/>
      <c r="O238" s="8"/>
      <c r="P238" s="8"/>
      <c r="Q238" s="8"/>
      <c r="R238" s="8"/>
      <c r="S238" s="8"/>
      <c r="T238" s="8"/>
      <c r="U238" s="8"/>
      <c r="V238" s="8"/>
      <c r="W238" s="8"/>
      <c r="X238" s="8"/>
      <c r="Y238" s="8"/>
      <c r="Z238" s="8"/>
      <c r="AA238" s="8"/>
      <c r="AB238" s="8"/>
      <c r="AC238" s="8"/>
    </row>
    <row r="239" ht="15.75" customHeight="1">
      <c r="A239" s="8"/>
      <c r="B239" s="8"/>
      <c r="C239" s="8"/>
      <c r="D239" s="8"/>
      <c r="E239" s="8"/>
      <c r="F239" s="8"/>
      <c r="G239" s="8"/>
      <c r="H239" s="8"/>
      <c r="I239" s="275"/>
      <c r="J239" s="275"/>
      <c r="K239" s="275"/>
      <c r="L239" s="275"/>
      <c r="M239" s="275"/>
      <c r="N239" s="275"/>
      <c r="O239" s="8"/>
      <c r="P239" s="8"/>
      <c r="Q239" s="8"/>
      <c r="R239" s="8"/>
      <c r="S239" s="8"/>
      <c r="T239" s="8"/>
      <c r="U239" s="8"/>
      <c r="V239" s="8"/>
      <c r="W239" s="8"/>
      <c r="X239" s="8"/>
      <c r="Y239" s="8"/>
      <c r="Z239" s="8"/>
      <c r="AA239" s="8"/>
      <c r="AB239" s="8"/>
      <c r="AC239" s="8"/>
    </row>
    <row r="240" ht="15.75" customHeight="1">
      <c r="A240" s="8"/>
      <c r="B240" s="8"/>
      <c r="C240" s="8"/>
      <c r="D240" s="8"/>
      <c r="E240" s="8"/>
      <c r="F240" s="8"/>
      <c r="G240" s="8"/>
      <c r="H240" s="8"/>
      <c r="I240" s="275"/>
      <c r="J240" s="275"/>
      <c r="K240" s="275"/>
      <c r="L240" s="275"/>
      <c r="M240" s="275"/>
      <c r="N240" s="275"/>
      <c r="O240" s="8"/>
      <c r="P240" s="8"/>
      <c r="Q240" s="8"/>
      <c r="R240" s="8"/>
      <c r="S240" s="8"/>
      <c r="T240" s="8"/>
      <c r="U240" s="8"/>
      <c r="V240" s="8"/>
      <c r="W240" s="8"/>
      <c r="X240" s="8"/>
      <c r="Y240" s="8"/>
      <c r="Z240" s="8"/>
      <c r="AA240" s="8"/>
      <c r="AB240" s="8"/>
      <c r="AC240" s="8"/>
    </row>
    <row r="241" ht="15.75" customHeight="1">
      <c r="A241" s="8"/>
      <c r="B241" s="8"/>
      <c r="C241" s="8"/>
      <c r="D241" s="8"/>
      <c r="E241" s="8"/>
      <c r="F241" s="8"/>
      <c r="G241" s="8"/>
      <c r="H241" s="8"/>
      <c r="I241" s="275"/>
      <c r="J241" s="275"/>
      <c r="K241" s="275"/>
      <c r="L241" s="275"/>
      <c r="M241" s="275"/>
      <c r="N241" s="275"/>
      <c r="O241" s="8"/>
      <c r="P241" s="8"/>
      <c r="Q241" s="8"/>
      <c r="R241" s="8"/>
      <c r="S241" s="8"/>
      <c r="T241" s="8"/>
      <c r="U241" s="8"/>
      <c r="V241" s="8"/>
      <c r="W241" s="8"/>
      <c r="X241" s="8"/>
      <c r="Y241" s="8"/>
      <c r="Z241" s="8"/>
      <c r="AA241" s="8"/>
      <c r="AB241" s="8"/>
      <c r="AC241" s="8"/>
    </row>
    <row r="242" ht="15.75" customHeight="1">
      <c r="A242" s="8"/>
      <c r="B242" s="8"/>
      <c r="C242" s="8"/>
      <c r="D242" s="8"/>
      <c r="E242" s="8"/>
      <c r="F242" s="8"/>
      <c r="G242" s="8"/>
      <c r="H242" s="8"/>
      <c r="I242" s="275"/>
      <c r="J242" s="275"/>
      <c r="K242" s="275"/>
      <c r="L242" s="275"/>
      <c r="M242" s="275"/>
      <c r="N242" s="275"/>
      <c r="O242" s="8"/>
      <c r="P242" s="8"/>
      <c r="Q242" s="8"/>
      <c r="R242" s="8"/>
      <c r="S242" s="8"/>
      <c r="T242" s="8"/>
      <c r="U242" s="8"/>
      <c r="V242" s="8"/>
      <c r="W242" s="8"/>
      <c r="X242" s="8"/>
      <c r="Y242" s="8"/>
      <c r="Z242" s="8"/>
      <c r="AA242" s="8"/>
      <c r="AB242" s="8"/>
      <c r="AC242" s="8"/>
    </row>
    <row r="243" ht="15.75" customHeight="1">
      <c r="A243" s="8"/>
      <c r="B243" s="8"/>
      <c r="C243" s="8"/>
      <c r="D243" s="8"/>
      <c r="E243" s="8"/>
      <c r="F243" s="8"/>
      <c r="G243" s="8"/>
      <c r="H243" s="8"/>
      <c r="I243" s="275"/>
      <c r="J243" s="275"/>
      <c r="K243" s="275"/>
      <c r="L243" s="275"/>
      <c r="M243" s="275"/>
      <c r="N243" s="275"/>
      <c r="O243" s="8"/>
      <c r="P243" s="8"/>
      <c r="Q243" s="8"/>
      <c r="R243" s="8"/>
      <c r="S243" s="8"/>
      <c r="T243" s="8"/>
      <c r="U243" s="8"/>
      <c r="V243" s="8"/>
      <c r="W243" s="8"/>
      <c r="X243" s="8"/>
      <c r="Y243" s="8"/>
      <c r="Z243" s="8"/>
      <c r="AA243" s="8"/>
      <c r="AB243" s="8"/>
      <c r="AC243" s="8"/>
    </row>
    <row r="244" ht="15.75" customHeight="1">
      <c r="A244" s="8"/>
      <c r="B244" s="8"/>
      <c r="C244" s="8"/>
      <c r="D244" s="8"/>
      <c r="E244" s="8"/>
      <c r="F244" s="8"/>
      <c r="G244" s="8"/>
      <c r="H244" s="8"/>
      <c r="I244" s="275"/>
      <c r="J244" s="275"/>
      <c r="K244" s="275"/>
      <c r="L244" s="275"/>
      <c r="M244" s="275"/>
      <c r="N244" s="275"/>
      <c r="O244" s="8"/>
      <c r="P244" s="8"/>
      <c r="Q244" s="8"/>
      <c r="R244" s="8"/>
      <c r="S244" s="8"/>
      <c r="T244" s="8"/>
      <c r="U244" s="8"/>
      <c r="V244" s="8"/>
      <c r="W244" s="8"/>
      <c r="X244" s="8"/>
      <c r="Y244" s="8"/>
      <c r="Z244" s="8"/>
      <c r="AA244" s="8"/>
      <c r="AB244" s="8"/>
      <c r="AC244" s="8"/>
    </row>
    <row r="245" ht="15.75" customHeight="1">
      <c r="A245" s="8"/>
      <c r="B245" s="8"/>
      <c r="C245" s="8"/>
      <c r="D245" s="8"/>
      <c r="E245" s="8"/>
      <c r="F245" s="8"/>
      <c r="G245" s="8"/>
      <c r="H245" s="8"/>
      <c r="I245" s="275"/>
      <c r="J245" s="275"/>
      <c r="K245" s="275"/>
      <c r="L245" s="275"/>
      <c r="M245" s="275"/>
      <c r="N245" s="275"/>
      <c r="O245" s="8"/>
      <c r="P245" s="8"/>
      <c r="Q245" s="8"/>
      <c r="R245" s="8"/>
      <c r="S245" s="8"/>
      <c r="T245" s="8"/>
      <c r="U245" s="8"/>
      <c r="V245" s="8"/>
      <c r="W245" s="8"/>
      <c r="X245" s="8"/>
      <c r="Y245" s="8"/>
      <c r="Z245" s="8"/>
      <c r="AA245" s="8"/>
      <c r="AB245" s="8"/>
      <c r="AC245" s="8"/>
    </row>
    <row r="246" ht="15.75" customHeight="1">
      <c r="A246" s="8"/>
      <c r="B246" s="8"/>
      <c r="C246" s="8"/>
      <c r="D246" s="8"/>
      <c r="E246" s="8"/>
      <c r="F246" s="8"/>
      <c r="G246" s="8"/>
      <c r="H246" s="8"/>
      <c r="I246" s="275"/>
      <c r="J246" s="275"/>
      <c r="K246" s="275"/>
      <c r="L246" s="275"/>
      <c r="M246" s="275"/>
      <c r="N246" s="275"/>
      <c r="O246" s="8"/>
      <c r="P246" s="8"/>
      <c r="Q246" s="8"/>
      <c r="R246" s="8"/>
      <c r="S246" s="8"/>
      <c r="T246" s="8"/>
      <c r="U246" s="8"/>
      <c r="V246" s="8"/>
      <c r="W246" s="8"/>
      <c r="X246" s="8"/>
      <c r="Y246" s="8"/>
      <c r="Z246" s="8"/>
      <c r="AA246" s="8"/>
      <c r="AB246" s="8"/>
      <c r="AC246" s="8"/>
    </row>
    <row r="247" ht="15.75" customHeight="1">
      <c r="A247" s="8"/>
      <c r="B247" s="8"/>
      <c r="C247" s="8"/>
      <c r="D247" s="8"/>
      <c r="E247" s="8"/>
      <c r="F247" s="8"/>
      <c r="G247" s="8"/>
      <c r="H247" s="8"/>
      <c r="I247" s="275"/>
      <c r="J247" s="275"/>
      <c r="K247" s="275"/>
      <c r="L247" s="275"/>
      <c r="M247" s="275"/>
      <c r="N247" s="275"/>
      <c r="O247" s="8"/>
      <c r="P247" s="8"/>
      <c r="Q247" s="8"/>
      <c r="R247" s="8"/>
      <c r="S247" s="8"/>
      <c r="T247" s="8"/>
      <c r="U247" s="8"/>
      <c r="V247" s="8"/>
      <c r="W247" s="8"/>
      <c r="X247" s="8"/>
      <c r="Y247" s="8"/>
      <c r="Z247" s="8"/>
      <c r="AA247" s="8"/>
      <c r="AB247" s="8"/>
      <c r="AC247" s="8"/>
    </row>
    <row r="248" ht="15.75" customHeight="1">
      <c r="A248" s="8"/>
      <c r="B248" s="8"/>
      <c r="C248" s="8"/>
      <c r="D248" s="8"/>
      <c r="E248" s="8"/>
      <c r="F248" s="8"/>
      <c r="G248" s="8"/>
      <c r="H248" s="8"/>
      <c r="I248" s="275"/>
      <c r="J248" s="275"/>
      <c r="K248" s="275"/>
      <c r="L248" s="275"/>
      <c r="M248" s="275"/>
      <c r="N248" s="275"/>
      <c r="O248" s="8"/>
      <c r="P248" s="8"/>
      <c r="Q248" s="8"/>
      <c r="R248" s="8"/>
      <c r="S248" s="8"/>
      <c r="T248" s="8"/>
      <c r="U248" s="8"/>
      <c r="V248" s="8"/>
      <c r="W248" s="8"/>
      <c r="X248" s="8"/>
      <c r="Y248" s="8"/>
      <c r="Z248" s="8"/>
      <c r="AA248" s="8"/>
      <c r="AB248" s="8"/>
      <c r="AC248" s="8"/>
    </row>
    <row r="249" ht="15.75" customHeight="1">
      <c r="A249" s="8"/>
      <c r="B249" s="8"/>
      <c r="C249" s="8"/>
      <c r="D249" s="8"/>
      <c r="E249" s="8"/>
      <c r="F249" s="8"/>
      <c r="G249" s="8"/>
      <c r="H249" s="8"/>
      <c r="I249" s="275"/>
      <c r="J249" s="275"/>
      <c r="K249" s="275"/>
      <c r="L249" s="275"/>
      <c r="M249" s="275"/>
      <c r="N249" s="275"/>
      <c r="O249" s="8"/>
      <c r="P249" s="8"/>
      <c r="Q249" s="8"/>
      <c r="R249" s="8"/>
      <c r="S249" s="8"/>
      <c r="T249" s="8"/>
      <c r="U249" s="8"/>
      <c r="V249" s="8"/>
      <c r="W249" s="8"/>
      <c r="X249" s="8"/>
      <c r="Y249" s="8"/>
      <c r="Z249" s="8"/>
      <c r="AA249" s="8"/>
      <c r="AB249" s="8"/>
      <c r="AC249" s="8"/>
    </row>
    <row r="250" ht="15.75" customHeight="1">
      <c r="A250" s="8"/>
      <c r="B250" s="8"/>
      <c r="C250" s="8"/>
      <c r="D250" s="8"/>
      <c r="E250" s="8"/>
      <c r="F250" s="8"/>
      <c r="G250" s="8"/>
      <c r="H250" s="8"/>
      <c r="I250" s="275"/>
      <c r="J250" s="275"/>
      <c r="K250" s="275"/>
      <c r="L250" s="275"/>
      <c r="M250" s="275"/>
      <c r="N250" s="275"/>
      <c r="O250" s="8"/>
      <c r="P250" s="8"/>
      <c r="Q250" s="8"/>
      <c r="R250" s="8"/>
      <c r="S250" s="8"/>
      <c r="T250" s="8"/>
      <c r="U250" s="8"/>
      <c r="V250" s="8"/>
      <c r="W250" s="8"/>
      <c r="X250" s="8"/>
      <c r="Y250" s="8"/>
      <c r="Z250" s="8"/>
      <c r="AA250" s="8"/>
      <c r="AB250" s="8"/>
      <c r="AC250" s="8"/>
    </row>
    <row r="251" ht="15.75" customHeight="1">
      <c r="A251" s="8"/>
      <c r="B251" s="8"/>
      <c r="C251" s="8"/>
      <c r="D251" s="8"/>
      <c r="E251" s="8"/>
      <c r="F251" s="8"/>
      <c r="G251" s="8"/>
      <c r="H251" s="8"/>
      <c r="I251" s="275"/>
      <c r="J251" s="275"/>
      <c r="K251" s="275"/>
      <c r="L251" s="275"/>
      <c r="M251" s="275"/>
      <c r="N251" s="275"/>
      <c r="O251" s="8"/>
      <c r="P251" s="8"/>
      <c r="Q251" s="8"/>
      <c r="R251" s="8"/>
      <c r="S251" s="8"/>
      <c r="T251" s="8"/>
      <c r="U251" s="8"/>
      <c r="V251" s="8"/>
      <c r="W251" s="8"/>
      <c r="X251" s="8"/>
      <c r="Y251" s="8"/>
      <c r="Z251" s="8"/>
      <c r="AA251" s="8"/>
      <c r="AB251" s="8"/>
      <c r="AC251" s="8"/>
    </row>
    <row r="252" ht="15.75" customHeight="1">
      <c r="A252" s="8"/>
      <c r="B252" s="8"/>
      <c r="C252" s="8"/>
      <c r="D252" s="8"/>
      <c r="E252" s="8"/>
      <c r="F252" s="8"/>
      <c r="G252" s="8"/>
      <c r="H252" s="8"/>
      <c r="I252" s="275"/>
      <c r="J252" s="275"/>
      <c r="K252" s="275"/>
      <c r="L252" s="275"/>
      <c r="M252" s="275"/>
      <c r="N252" s="275"/>
      <c r="O252" s="8"/>
      <c r="P252" s="8"/>
      <c r="Q252" s="8"/>
      <c r="R252" s="8"/>
      <c r="S252" s="8"/>
      <c r="T252" s="8"/>
      <c r="U252" s="8"/>
      <c r="V252" s="8"/>
      <c r="W252" s="8"/>
      <c r="X252" s="8"/>
      <c r="Y252" s="8"/>
      <c r="Z252" s="8"/>
      <c r="AA252" s="8"/>
      <c r="AB252" s="8"/>
      <c r="AC252" s="8"/>
    </row>
    <row r="253" ht="15.75" customHeight="1">
      <c r="A253" s="8"/>
      <c r="B253" s="8"/>
      <c r="C253" s="8"/>
      <c r="D253" s="8"/>
      <c r="E253" s="8"/>
      <c r="F253" s="8"/>
      <c r="G253" s="8"/>
      <c r="H253" s="8"/>
      <c r="I253" s="275"/>
      <c r="J253" s="275"/>
      <c r="K253" s="275"/>
      <c r="L253" s="275"/>
      <c r="M253" s="275"/>
      <c r="N253" s="275"/>
      <c r="O253" s="8"/>
      <c r="P253" s="8"/>
      <c r="Q253" s="8"/>
      <c r="R253" s="8"/>
      <c r="S253" s="8"/>
      <c r="T253" s="8"/>
      <c r="U253" s="8"/>
      <c r="V253" s="8"/>
      <c r="W253" s="8"/>
      <c r="X253" s="8"/>
      <c r="Y253" s="8"/>
      <c r="Z253" s="8"/>
      <c r="AA253" s="8"/>
      <c r="AB253" s="8"/>
      <c r="AC253" s="8"/>
    </row>
    <row r="254" ht="15.75" customHeight="1">
      <c r="A254" s="8"/>
      <c r="B254" s="8"/>
      <c r="C254" s="8"/>
      <c r="D254" s="8"/>
      <c r="E254" s="8"/>
      <c r="F254" s="8"/>
      <c r="G254" s="8"/>
      <c r="H254" s="8"/>
      <c r="I254" s="275"/>
      <c r="J254" s="275"/>
      <c r="K254" s="275"/>
      <c r="L254" s="275"/>
      <c r="M254" s="275"/>
      <c r="N254" s="275"/>
      <c r="O254" s="8"/>
      <c r="P254" s="8"/>
      <c r="Q254" s="8"/>
      <c r="R254" s="8"/>
      <c r="S254" s="8"/>
      <c r="T254" s="8"/>
      <c r="U254" s="8"/>
      <c r="V254" s="8"/>
      <c r="W254" s="8"/>
      <c r="X254" s="8"/>
      <c r="Y254" s="8"/>
      <c r="Z254" s="8"/>
      <c r="AA254" s="8"/>
      <c r="AB254" s="8"/>
      <c r="AC254" s="8"/>
    </row>
    <row r="255" ht="15.75" customHeight="1">
      <c r="A255" s="8"/>
      <c r="B255" s="8"/>
      <c r="C255" s="8"/>
      <c r="D255" s="8"/>
      <c r="E255" s="8"/>
      <c r="F255" s="8"/>
      <c r="G255" s="8"/>
      <c r="H255" s="8"/>
      <c r="I255" s="275"/>
      <c r="J255" s="275"/>
      <c r="K255" s="275"/>
      <c r="L255" s="275"/>
      <c r="M255" s="275"/>
      <c r="N255" s="275"/>
      <c r="O255" s="8"/>
      <c r="P255" s="8"/>
      <c r="Q255" s="8"/>
      <c r="R255" s="8"/>
      <c r="S255" s="8"/>
      <c r="T255" s="8"/>
      <c r="U255" s="8"/>
      <c r="V255" s="8"/>
      <c r="W255" s="8"/>
      <c r="X255" s="8"/>
      <c r="Y255" s="8"/>
      <c r="Z255" s="8"/>
      <c r="AA255" s="8"/>
      <c r="AB255" s="8"/>
      <c r="AC255" s="8"/>
    </row>
    <row r="256" ht="15.75" customHeight="1">
      <c r="A256" s="8"/>
      <c r="B256" s="8"/>
      <c r="C256" s="8"/>
      <c r="D256" s="8"/>
      <c r="E256" s="8"/>
      <c r="F256" s="8"/>
      <c r="G256" s="8"/>
      <c r="H256" s="8"/>
      <c r="I256" s="275"/>
      <c r="J256" s="275"/>
      <c r="K256" s="275"/>
      <c r="L256" s="275"/>
      <c r="M256" s="275"/>
      <c r="N256" s="275"/>
      <c r="O256" s="8"/>
      <c r="P256" s="8"/>
      <c r="Q256" s="8"/>
      <c r="R256" s="8"/>
      <c r="S256" s="8"/>
      <c r="T256" s="8"/>
      <c r="U256" s="8"/>
      <c r="V256" s="8"/>
      <c r="W256" s="8"/>
      <c r="X256" s="8"/>
      <c r="Y256" s="8"/>
      <c r="Z256" s="8"/>
      <c r="AA256" s="8"/>
      <c r="AB256" s="8"/>
      <c r="AC256" s="8"/>
    </row>
    <row r="257" ht="15.75" customHeight="1">
      <c r="A257" s="8"/>
      <c r="B257" s="8"/>
      <c r="C257" s="8"/>
      <c r="D257" s="8"/>
      <c r="E257" s="8"/>
      <c r="F257" s="8"/>
      <c r="G257" s="8"/>
      <c r="H257" s="8"/>
      <c r="I257" s="275"/>
      <c r="J257" s="275"/>
      <c r="K257" s="275"/>
      <c r="L257" s="275"/>
      <c r="M257" s="275"/>
      <c r="N257" s="275"/>
      <c r="O257" s="8"/>
      <c r="P257" s="8"/>
      <c r="Q257" s="8"/>
      <c r="R257" s="8"/>
      <c r="S257" s="8"/>
      <c r="T257" s="8"/>
      <c r="U257" s="8"/>
      <c r="V257" s="8"/>
      <c r="W257" s="8"/>
      <c r="X257" s="8"/>
      <c r="Y257" s="8"/>
      <c r="Z257" s="8"/>
      <c r="AA257" s="8"/>
      <c r="AB257" s="8"/>
      <c r="AC257" s="8"/>
    </row>
    <row r="258" ht="15.75" customHeight="1">
      <c r="A258" s="8"/>
      <c r="B258" s="8"/>
      <c r="C258" s="8"/>
      <c r="D258" s="8"/>
      <c r="E258" s="8"/>
      <c r="F258" s="8"/>
      <c r="G258" s="8"/>
      <c r="H258" s="8"/>
      <c r="I258" s="275"/>
      <c r="J258" s="275"/>
      <c r="K258" s="275"/>
      <c r="L258" s="275"/>
      <c r="M258" s="275"/>
      <c r="N258" s="275"/>
      <c r="O258" s="8"/>
      <c r="P258" s="8"/>
      <c r="Q258" s="8"/>
      <c r="R258" s="8"/>
      <c r="S258" s="8"/>
      <c r="T258" s="8"/>
      <c r="U258" s="8"/>
      <c r="V258" s="8"/>
      <c r="W258" s="8"/>
      <c r="X258" s="8"/>
      <c r="Y258" s="8"/>
      <c r="Z258" s="8"/>
      <c r="AA258" s="8"/>
      <c r="AB258" s="8"/>
      <c r="AC258" s="8"/>
    </row>
    <row r="259" ht="15.75" customHeight="1">
      <c r="A259" s="8"/>
      <c r="B259" s="8"/>
      <c r="C259" s="8"/>
      <c r="D259" s="8"/>
      <c r="E259" s="8"/>
      <c r="F259" s="8"/>
      <c r="G259" s="8"/>
      <c r="H259" s="8"/>
      <c r="I259" s="275"/>
      <c r="J259" s="275"/>
      <c r="K259" s="275"/>
      <c r="L259" s="275"/>
      <c r="M259" s="275"/>
      <c r="N259" s="275"/>
      <c r="O259" s="8"/>
      <c r="P259" s="8"/>
      <c r="Q259" s="8"/>
      <c r="R259" s="8"/>
      <c r="S259" s="8"/>
      <c r="T259" s="8"/>
      <c r="U259" s="8"/>
      <c r="V259" s="8"/>
      <c r="W259" s="8"/>
      <c r="X259" s="8"/>
      <c r="Y259" s="8"/>
      <c r="Z259" s="8"/>
      <c r="AA259" s="8"/>
      <c r="AB259" s="8"/>
      <c r="AC259" s="8"/>
    </row>
    <row r="260" ht="15.75" customHeight="1">
      <c r="A260" s="8"/>
      <c r="B260" s="8"/>
      <c r="C260" s="8"/>
      <c r="D260" s="8"/>
      <c r="E260" s="8"/>
      <c r="F260" s="8"/>
      <c r="G260" s="8"/>
      <c r="H260" s="8"/>
      <c r="I260" s="275"/>
      <c r="J260" s="275"/>
      <c r="K260" s="275"/>
      <c r="L260" s="275"/>
      <c r="M260" s="275"/>
      <c r="N260" s="275"/>
      <c r="O260" s="8"/>
      <c r="P260" s="8"/>
      <c r="Q260" s="8"/>
      <c r="R260" s="8"/>
      <c r="S260" s="8"/>
      <c r="T260" s="8"/>
      <c r="U260" s="8"/>
      <c r="V260" s="8"/>
      <c r="W260" s="8"/>
      <c r="X260" s="8"/>
      <c r="Y260" s="8"/>
      <c r="Z260" s="8"/>
      <c r="AA260" s="8"/>
      <c r="AB260" s="8"/>
      <c r="AC260" s="8"/>
    </row>
    <row r="261" ht="15.75" customHeight="1">
      <c r="A261" s="8"/>
      <c r="B261" s="8"/>
      <c r="C261" s="8"/>
      <c r="D261" s="8"/>
      <c r="E261" s="8"/>
      <c r="F261" s="8"/>
      <c r="G261" s="8"/>
      <c r="H261" s="8"/>
      <c r="I261" s="275"/>
      <c r="J261" s="275"/>
      <c r="K261" s="275"/>
      <c r="L261" s="275"/>
      <c r="M261" s="275"/>
      <c r="N261" s="275"/>
      <c r="O261" s="8"/>
      <c r="P261" s="8"/>
      <c r="Q261" s="8"/>
      <c r="R261" s="8"/>
      <c r="S261" s="8"/>
      <c r="T261" s="8"/>
      <c r="U261" s="8"/>
      <c r="V261" s="8"/>
      <c r="W261" s="8"/>
      <c r="X261" s="8"/>
      <c r="Y261" s="8"/>
      <c r="Z261" s="8"/>
      <c r="AA261" s="8"/>
      <c r="AB261" s="8"/>
      <c r="AC261" s="8"/>
    </row>
    <row r="262" ht="15.75" customHeight="1">
      <c r="A262" s="8"/>
      <c r="B262" s="8"/>
      <c r="C262" s="8"/>
      <c r="D262" s="8"/>
      <c r="E262" s="8"/>
      <c r="F262" s="8"/>
      <c r="G262" s="8"/>
      <c r="H262" s="8"/>
      <c r="I262" s="275"/>
      <c r="J262" s="275"/>
      <c r="K262" s="275"/>
      <c r="L262" s="275"/>
      <c r="M262" s="275"/>
      <c r="N262" s="275"/>
      <c r="O262" s="8"/>
      <c r="P262" s="8"/>
      <c r="Q262" s="8"/>
      <c r="R262" s="8"/>
      <c r="S262" s="8"/>
      <c r="T262" s="8"/>
      <c r="U262" s="8"/>
      <c r="V262" s="8"/>
      <c r="W262" s="8"/>
      <c r="X262" s="8"/>
      <c r="Y262" s="8"/>
      <c r="Z262" s="8"/>
      <c r="AA262" s="8"/>
      <c r="AB262" s="8"/>
      <c r="AC262" s="8"/>
    </row>
    <row r="263" ht="15.75" customHeight="1">
      <c r="A263" s="8"/>
      <c r="B263" s="8"/>
      <c r="C263" s="8"/>
      <c r="D263" s="8"/>
      <c r="E263" s="8"/>
      <c r="F263" s="8"/>
      <c r="G263" s="8"/>
      <c r="H263" s="8"/>
      <c r="I263" s="275"/>
      <c r="J263" s="275"/>
      <c r="K263" s="275"/>
      <c r="L263" s="275"/>
      <c r="M263" s="275"/>
      <c r="N263" s="275"/>
      <c r="O263" s="8"/>
      <c r="P263" s="8"/>
      <c r="Q263" s="8"/>
      <c r="R263" s="8"/>
      <c r="S263" s="8"/>
      <c r="T263" s="8"/>
      <c r="U263" s="8"/>
      <c r="V263" s="8"/>
      <c r="W263" s="8"/>
      <c r="X263" s="8"/>
      <c r="Y263" s="8"/>
      <c r="Z263" s="8"/>
      <c r="AA263" s="8"/>
      <c r="AB263" s="8"/>
      <c r="AC263" s="8"/>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6:B6"/>
    <mergeCell ref="A7:B7"/>
    <mergeCell ref="A8:B8"/>
    <mergeCell ref="A10:H10"/>
    <mergeCell ref="A1:C3"/>
    <mergeCell ref="D1:M3"/>
    <mergeCell ref="N1:O1"/>
    <mergeCell ref="N2:O2"/>
    <mergeCell ref="N3:O3"/>
    <mergeCell ref="N4:O4"/>
    <mergeCell ref="C6:F6"/>
  </mergeCells>
  <conditionalFormatting sqref="I12:M63">
    <cfRule type="containsBlanks" dxfId="0" priority="1">
      <formula>LEN(TRIM(I12))=0</formula>
    </cfRule>
  </conditionalFormatting>
  <dataValidations>
    <dataValidation type="list" allowBlank="1" showErrorMessage="1" sqref="G12:G63">
      <formula1>'Common function'!$C$8:$C$56</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9.38"/>
    <col customWidth="1" min="2" max="46" width="3.25"/>
    <col customWidth="1" min="47" max="47" width="6.0"/>
    <col customWidth="1" min="48" max="52" width="3.25"/>
  </cols>
  <sheetData>
    <row r="1">
      <c r="A1" s="139"/>
      <c r="B1" s="142" t="s">
        <v>77</v>
      </c>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8" t="s">
        <v>85</v>
      </c>
      <c r="AM1" s="2"/>
      <c r="AN1" s="2"/>
      <c r="AO1" s="2"/>
      <c r="AP1" s="2"/>
      <c r="AQ1" s="2"/>
      <c r="AR1" s="2"/>
      <c r="AS1" s="2"/>
      <c r="AT1" s="2"/>
      <c r="AU1" s="149"/>
      <c r="AV1" s="150"/>
      <c r="AW1" s="150"/>
      <c r="AX1" s="150"/>
      <c r="AY1" s="150"/>
      <c r="AZ1" s="151"/>
    </row>
    <row r="2">
      <c r="A2" s="152"/>
      <c r="B2" s="153"/>
      <c r="AL2" s="154" t="s">
        <v>89</v>
      </c>
      <c r="AU2" s="155"/>
      <c r="AV2" s="156"/>
      <c r="AW2" s="156"/>
      <c r="AX2" s="156"/>
      <c r="AY2" s="156"/>
      <c r="AZ2" s="157"/>
    </row>
    <row r="3">
      <c r="A3" s="152"/>
      <c r="B3" s="153"/>
      <c r="AL3" s="159" t="s">
        <v>91</v>
      </c>
      <c r="AM3" s="15"/>
      <c r="AN3" s="15"/>
      <c r="AO3" s="15"/>
      <c r="AP3" s="15"/>
      <c r="AQ3" s="15"/>
      <c r="AR3" s="15"/>
      <c r="AS3" s="15"/>
      <c r="AT3" s="15"/>
      <c r="AU3" s="161"/>
      <c r="AV3" s="156"/>
      <c r="AW3" s="156"/>
      <c r="AX3" s="156"/>
      <c r="AY3" s="156"/>
      <c r="AZ3" s="162"/>
    </row>
    <row r="4">
      <c r="A4" s="163"/>
      <c r="B4" s="164"/>
      <c r="C4" s="166"/>
      <c r="D4" s="166"/>
      <c r="E4" s="166"/>
      <c r="F4" s="166"/>
      <c r="G4" s="166"/>
      <c r="H4" s="166"/>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7" t="s">
        <v>6</v>
      </c>
      <c r="AM4" s="168"/>
      <c r="AN4" s="168"/>
      <c r="AO4" s="168"/>
      <c r="AP4" s="168"/>
      <c r="AQ4" s="168"/>
      <c r="AR4" s="168"/>
      <c r="AS4" s="168"/>
      <c r="AT4" s="168"/>
      <c r="AU4" s="169"/>
      <c r="AV4" s="156"/>
      <c r="AW4" s="156"/>
      <c r="AX4" s="156"/>
      <c r="AY4" s="156"/>
      <c r="AZ4" s="162"/>
    </row>
    <row r="5">
      <c r="A5" s="17" t="s">
        <v>5</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9"/>
      <c r="AV5" s="173"/>
      <c r="AW5" s="173"/>
      <c r="AX5" s="173"/>
      <c r="AY5" s="173"/>
      <c r="AZ5" s="162"/>
    </row>
    <row r="6">
      <c r="A6" s="174"/>
      <c r="B6" s="173"/>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c r="AL6" s="173"/>
      <c r="AM6" s="173"/>
      <c r="AN6" s="173"/>
      <c r="AO6" s="173"/>
      <c r="AP6" s="173"/>
      <c r="AQ6" s="173"/>
      <c r="AR6" s="173"/>
      <c r="AS6" s="173"/>
      <c r="AT6" s="173"/>
      <c r="AU6" s="173"/>
      <c r="AV6" s="173"/>
      <c r="AW6" s="173"/>
      <c r="AX6" s="173"/>
      <c r="AY6" s="173"/>
      <c r="AZ6" s="162"/>
    </row>
    <row r="7">
      <c r="A7" s="175"/>
      <c r="B7" s="177" t="s">
        <v>96</v>
      </c>
      <c r="C7" s="177"/>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173"/>
      <c r="AW7" s="173"/>
      <c r="AX7" s="173"/>
      <c r="AY7" s="173"/>
      <c r="AZ7" s="162"/>
    </row>
    <row r="8">
      <c r="A8" s="174"/>
      <c r="B8" s="69"/>
      <c r="C8" s="69" t="s">
        <v>99</v>
      </c>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173"/>
      <c r="AW8" s="173"/>
      <c r="AX8" s="173"/>
      <c r="AY8" s="173"/>
      <c r="AZ8" s="162"/>
    </row>
    <row r="9">
      <c r="A9" s="174"/>
      <c r="B9" s="69"/>
      <c r="C9" s="69" t="s">
        <v>102</v>
      </c>
      <c r="D9" s="69"/>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173"/>
      <c r="AW9" s="173"/>
      <c r="AX9" s="173"/>
      <c r="AY9" s="173"/>
      <c r="AZ9" s="162"/>
    </row>
    <row r="10">
      <c r="A10" s="174"/>
      <c r="B10" s="69"/>
      <c r="C10" s="69" t="s">
        <v>105</v>
      </c>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173"/>
      <c r="AW10" s="173"/>
      <c r="AX10" s="173"/>
      <c r="AY10" s="173"/>
      <c r="AZ10" s="162"/>
    </row>
    <row r="11">
      <c r="A11" s="174"/>
      <c r="B11" s="69"/>
      <c r="C11" s="179" t="s">
        <v>108</v>
      </c>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173"/>
      <c r="AW11" s="173"/>
      <c r="AX11" s="173"/>
      <c r="AY11" s="173"/>
      <c r="AZ11" s="162"/>
    </row>
    <row r="12">
      <c r="A12" s="174"/>
      <c r="B12" s="69"/>
      <c r="C12" s="69"/>
      <c r="D12" s="69"/>
      <c r="E12" s="69"/>
      <c r="F12" s="69"/>
      <c r="G12" s="69"/>
      <c r="H12" s="69"/>
      <c r="I12" s="69"/>
      <c r="J12" s="69"/>
      <c r="K12" s="69"/>
      <c r="L12" s="69"/>
      <c r="M12" s="69"/>
      <c r="N12" s="69"/>
      <c r="O12" s="69"/>
      <c r="P12" s="69"/>
      <c r="Q12" s="69"/>
      <c r="R12" s="69"/>
      <c r="S12" s="69"/>
      <c r="T12" s="69"/>
      <c r="U12" s="69"/>
      <c r="V12" s="69"/>
      <c r="W12" s="69"/>
      <c r="X12" s="69"/>
      <c r="Y12" s="180"/>
      <c r="Z12" s="180"/>
      <c r="AA12" s="180"/>
      <c r="AB12" s="180"/>
      <c r="AC12" s="180"/>
      <c r="AD12" s="180"/>
      <c r="AE12" s="69"/>
      <c r="AF12" s="69"/>
      <c r="AG12" s="69"/>
      <c r="AH12" s="69"/>
      <c r="AI12" s="69"/>
      <c r="AJ12" s="69"/>
      <c r="AK12" s="69"/>
      <c r="AL12" s="69"/>
      <c r="AM12" s="69"/>
      <c r="AN12" s="69"/>
      <c r="AO12" s="69"/>
      <c r="AP12" s="69"/>
      <c r="AQ12" s="69"/>
      <c r="AR12" s="69"/>
      <c r="AS12" s="69"/>
      <c r="AT12" s="69"/>
      <c r="AU12" s="69"/>
      <c r="AV12" s="173"/>
      <c r="AW12" s="173"/>
      <c r="AX12" s="173"/>
      <c r="AY12" s="173"/>
      <c r="AZ12" s="162"/>
    </row>
    <row r="13">
      <c r="A13" s="174"/>
      <c r="B13" s="177" t="s">
        <v>111</v>
      </c>
      <c r="C13" s="69"/>
      <c r="D13" s="69"/>
      <c r="E13" s="69"/>
      <c r="F13" s="69"/>
      <c r="G13" s="69"/>
      <c r="H13" s="69"/>
      <c r="I13" s="69"/>
      <c r="J13" s="69"/>
      <c r="K13" s="69"/>
      <c r="L13" s="69"/>
      <c r="M13" s="69"/>
      <c r="N13" s="69"/>
      <c r="O13" s="69"/>
      <c r="P13" s="69"/>
      <c r="Q13" s="69"/>
      <c r="R13" s="69"/>
      <c r="S13" s="69"/>
      <c r="T13" s="69"/>
      <c r="U13" s="69"/>
      <c r="V13" s="69"/>
      <c r="W13" s="69"/>
      <c r="X13" s="69"/>
      <c r="Y13" s="180"/>
      <c r="Z13" s="180"/>
      <c r="AA13" s="180"/>
      <c r="AB13" s="180"/>
      <c r="AC13" s="180"/>
      <c r="AD13" s="180"/>
      <c r="AE13" s="69"/>
      <c r="AF13" s="69"/>
      <c r="AG13" s="69"/>
      <c r="AH13" s="69"/>
      <c r="AI13" s="69"/>
      <c r="AJ13" s="69"/>
      <c r="AK13" s="69"/>
      <c r="AL13" s="69"/>
      <c r="AM13" s="69"/>
      <c r="AN13" s="69"/>
      <c r="AO13" s="69"/>
      <c r="AP13" s="69"/>
      <c r="AQ13" s="69"/>
      <c r="AR13" s="69"/>
      <c r="AS13" s="69"/>
      <c r="AT13" s="69"/>
      <c r="AU13" s="69"/>
      <c r="AV13" s="173"/>
      <c r="AW13" s="173"/>
      <c r="AX13" s="173"/>
      <c r="AY13" s="173"/>
      <c r="AZ13" s="162"/>
    </row>
    <row r="14">
      <c r="A14" s="174"/>
      <c r="B14" s="69"/>
      <c r="C14" s="69"/>
      <c r="D14" s="69"/>
      <c r="E14" s="69"/>
      <c r="F14" s="69"/>
      <c r="G14" s="69"/>
      <c r="H14" s="69"/>
      <c r="I14" s="69"/>
      <c r="J14" s="69"/>
      <c r="K14" s="69"/>
      <c r="L14" s="69"/>
      <c r="M14" s="69"/>
      <c r="N14" s="69"/>
      <c r="O14" s="69"/>
      <c r="P14" s="69"/>
      <c r="Q14" s="69"/>
      <c r="R14" s="69"/>
      <c r="S14" s="69"/>
      <c r="T14" s="69"/>
      <c r="U14" s="69"/>
      <c r="V14" s="69"/>
      <c r="W14" s="69"/>
      <c r="X14" s="69"/>
      <c r="Y14" s="180"/>
      <c r="Z14" s="180"/>
      <c r="AA14" s="180"/>
      <c r="AB14" s="180"/>
      <c r="AC14" s="180"/>
      <c r="AD14" s="180"/>
      <c r="AE14" s="69"/>
      <c r="AF14" s="69"/>
      <c r="AG14" s="69"/>
      <c r="AH14" s="69"/>
      <c r="AI14" s="69"/>
      <c r="AJ14" s="69"/>
      <c r="AK14" s="69"/>
      <c r="AL14" s="69"/>
      <c r="AM14" s="69"/>
      <c r="AN14" s="69"/>
      <c r="AO14" s="69"/>
      <c r="AP14" s="69"/>
      <c r="AQ14" s="69"/>
      <c r="AR14" s="69"/>
      <c r="AS14" s="69"/>
      <c r="AT14" s="69"/>
      <c r="AU14" s="69"/>
      <c r="AV14" s="173"/>
      <c r="AW14" s="173"/>
      <c r="AX14" s="173"/>
      <c r="AY14" s="173"/>
      <c r="AZ14" s="162"/>
    </row>
    <row r="15">
      <c r="A15" s="174"/>
      <c r="B15" s="69"/>
      <c r="C15" s="187" t="s">
        <v>113</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9"/>
      <c r="AV15" s="173"/>
      <c r="AW15" s="173"/>
      <c r="AX15" s="173"/>
      <c r="AY15" s="173"/>
      <c r="AZ15" s="162"/>
    </row>
    <row r="16">
      <c r="A16" s="174"/>
      <c r="B16" s="69"/>
      <c r="C16" s="190" t="s">
        <v>119</v>
      </c>
      <c r="D16" s="18"/>
      <c r="E16" s="18"/>
      <c r="F16" s="18"/>
      <c r="G16" s="19"/>
      <c r="H16" s="190" t="s">
        <v>120</v>
      </c>
      <c r="I16" s="18"/>
      <c r="J16" s="18"/>
      <c r="K16" s="18"/>
      <c r="L16" s="18"/>
      <c r="M16" s="18"/>
      <c r="N16" s="18"/>
      <c r="O16" s="18"/>
      <c r="P16" s="18"/>
      <c r="Q16" s="18"/>
      <c r="R16" s="18"/>
      <c r="S16" s="19"/>
      <c r="T16" s="194" t="s">
        <v>122</v>
      </c>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73"/>
      <c r="AW16" s="173"/>
      <c r="AX16" s="173"/>
      <c r="AY16" s="173"/>
      <c r="AZ16" s="162"/>
    </row>
    <row r="17">
      <c r="A17" s="174"/>
      <c r="B17" s="69"/>
      <c r="C17" s="200" t="s">
        <v>123</v>
      </c>
      <c r="D17" s="18"/>
      <c r="E17" s="18"/>
      <c r="F17" s="18"/>
      <c r="G17" s="19"/>
      <c r="H17" s="200" t="s">
        <v>124</v>
      </c>
      <c r="I17" s="18"/>
      <c r="J17" s="18"/>
      <c r="K17" s="18"/>
      <c r="L17" s="18"/>
      <c r="M17" s="18"/>
      <c r="N17" s="18"/>
      <c r="O17" s="18"/>
      <c r="P17" s="18"/>
      <c r="Q17" s="18"/>
      <c r="R17" s="18"/>
      <c r="S17" s="19"/>
      <c r="T17" s="200" t="s">
        <v>125</v>
      </c>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9"/>
      <c r="AV17" s="173"/>
      <c r="AW17" s="173"/>
      <c r="AX17" s="173"/>
      <c r="AY17" s="173"/>
      <c r="AZ17" s="162"/>
    </row>
    <row r="18">
      <c r="A18" s="174"/>
      <c r="B18" s="69"/>
      <c r="C18" s="200" t="s">
        <v>127</v>
      </c>
      <c r="D18" s="18"/>
      <c r="E18" s="18"/>
      <c r="F18" s="18"/>
      <c r="G18" s="19"/>
      <c r="H18" s="200" t="s">
        <v>129</v>
      </c>
      <c r="I18" s="18"/>
      <c r="J18" s="18"/>
      <c r="K18" s="18"/>
      <c r="L18" s="18"/>
      <c r="M18" s="18"/>
      <c r="N18" s="18"/>
      <c r="O18" s="18"/>
      <c r="P18" s="18"/>
      <c r="Q18" s="18"/>
      <c r="R18" s="18"/>
      <c r="S18" s="19"/>
      <c r="T18" s="200" t="s">
        <v>132</v>
      </c>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9"/>
      <c r="AV18" s="173"/>
      <c r="AW18" s="173"/>
      <c r="AX18" s="173"/>
      <c r="AY18" s="173"/>
      <c r="AZ18" s="162"/>
    </row>
    <row r="19">
      <c r="A19" s="174"/>
      <c r="B19" s="69"/>
      <c r="C19" s="200" t="s">
        <v>135</v>
      </c>
      <c r="D19" s="18"/>
      <c r="E19" s="18"/>
      <c r="F19" s="18"/>
      <c r="G19" s="19"/>
      <c r="H19" s="200" t="s">
        <v>136</v>
      </c>
      <c r="I19" s="18"/>
      <c r="J19" s="18"/>
      <c r="K19" s="18"/>
      <c r="L19" s="18"/>
      <c r="M19" s="18"/>
      <c r="N19" s="18"/>
      <c r="O19" s="18"/>
      <c r="P19" s="18"/>
      <c r="Q19" s="18"/>
      <c r="R19" s="18"/>
      <c r="S19" s="19"/>
      <c r="T19" s="200" t="s">
        <v>137</v>
      </c>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9"/>
      <c r="AV19" s="173"/>
      <c r="AW19" s="173"/>
      <c r="AX19" s="173"/>
      <c r="AY19" s="173"/>
      <c r="AZ19" s="162"/>
    </row>
    <row r="20">
      <c r="A20" s="174"/>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173"/>
      <c r="AW20" s="173"/>
      <c r="AX20" s="173"/>
      <c r="AY20" s="173"/>
      <c r="AZ20" s="162"/>
    </row>
    <row r="21">
      <c r="A21" s="174"/>
      <c r="B21" s="69"/>
      <c r="C21" s="218" t="s">
        <v>143</v>
      </c>
      <c r="D21" s="143"/>
      <c r="E21" s="143"/>
      <c r="F21" s="143"/>
      <c r="G21" s="143"/>
      <c r="H21" s="143"/>
      <c r="I21" s="143"/>
      <c r="J21" s="143"/>
      <c r="K21" s="143"/>
      <c r="L21" s="143"/>
      <c r="M21" s="143"/>
      <c r="N21" s="143"/>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219"/>
      <c r="AV21" s="173"/>
      <c r="AW21" s="173"/>
      <c r="AX21" s="173"/>
      <c r="AY21" s="173"/>
      <c r="AZ21" s="162"/>
    </row>
    <row r="22">
      <c r="A22" s="174"/>
      <c r="B22" s="69"/>
      <c r="C22" s="220" t="s">
        <v>122</v>
      </c>
      <c r="D22" s="2"/>
      <c r="E22" s="2"/>
      <c r="F22" s="2"/>
      <c r="G22" s="7"/>
      <c r="H22" s="220" t="s">
        <v>146</v>
      </c>
      <c r="I22" s="2"/>
      <c r="J22" s="2"/>
      <c r="K22" s="2"/>
      <c r="L22" s="2"/>
      <c r="M22" s="2"/>
      <c r="N22" s="7"/>
      <c r="O22" s="222" t="s">
        <v>119</v>
      </c>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73"/>
      <c r="AW22" s="173"/>
      <c r="AX22" s="173"/>
      <c r="AY22" s="173"/>
      <c r="AZ22" s="162"/>
    </row>
    <row r="23">
      <c r="A23" s="174"/>
      <c r="B23" s="69"/>
      <c r="C23" s="205"/>
      <c r="D23" s="15"/>
      <c r="E23" s="15"/>
      <c r="F23" s="15"/>
      <c r="G23" s="14"/>
      <c r="H23" s="205"/>
      <c r="I23" s="15"/>
      <c r="J23" s="15"/>
      <c r="K23" s="15"/>
      <c r="L23" s="15"/>
      <c r="M23" s="15"/>
      <c r="N23" s="14"/>
      <c r="O23" s="224" t="s">
        <v>123</v>
      </c>
      <c r="P23" s="18"/>
      <c r="Q23" s="18"/>
      <c r="R23" s="18"/>
      <c r="S23" s="18"/>
      <c r="T23" s="18"/>
      <c r="U23" s="18"/>
      <c r="V23" s="18"/>
      <c r="W23" s="18"/>
      <c r="X23" s="18"/>
      <c r="Y23" s="19"/>
      <c r="Z23" s="224" t="s">
        <v>148</v>
      </c>
      <c r="AA23" s="18"/>
      <c r="AB23" s="18"/>
      <c r="AC23" s="18"/>
      <c r="AD23" s="18"/>
      <c r="AE23" s="18"/>
      <c r="AF23" s="18"/>
      <c r="AG23" s="18"/>
      <c r="AH23" s="18"/>
      <c r="AI23" s="18"/>
      <c r="AJ23" s="19"/>
      <c r="AK23" s="224" t="s">
        <v>135</v>
      </c>
      <c r="AL23" s="18"/>
      <c r="AM23" s="18"/>
      <c r="AN23" s="18"/>
      <c r="AO23" s="18"/>
      <c r="AP23" s="18"/>
      <c r="AQ23" s="18"/>
      <c r="AR23" s="18"/>
      <c r="AS23" s="18"/>
      <c r="AT23" s="18"/>
      <c r="AU23" s="19"/>
      <c r="AV23" s="173"/>
      <c r="AW23" s="173"/>
      <c r="AX23" s="173"/>
      <c r="AY23" s="173"/>
      <c r="AZ23" s="162"/>
    </row>
    <row r="24">
      <c r="A24" s="174"/>
      <c r="B24" s="69"/>
      <c r="C24" s="228" t="s">
        <v>150</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9"/>
      <c r="AV24" s="173"/>
      <c r="AW24" s="173"/>
      <c r="AX24" s="173"/>
      <c r="AY24" s="173"/>
      <c r="AZ24" s="162"/>
    </row>
    <row r="25">
      <c r="A25" s="174"/>
      <c r="B25" s="69"/>
      <c r="C25" s="200" t="s">
        <v>159</v>
      </c>
      <c r="D25" s="18"/>
      <c r="E25" s="18"/>
      <c r="F25" s="18"/>
      <c r="G25" s="19"/>
      <c r="H25" s="230" t="s">
        <v>160</v>
      </c>
      <c r="I25" s="231"/>
      <c r="J25" s="231"/>
      <c r="K25" s="231"/>
      <c r="L25" s="231"/>
      <c r="M25" s="231"/>
      <c r="N25" s="233"/>
      <c r="O25" s="236" t="s">
        <v>163</v>
      </c>
      <c r="P25" s="18"/>
      <c r="Q25" s="18"/>
      <c r="R25" s="18"/>
      <c r="S25" s="18"/>
      <c r="T25" s="18"/>
      <c r="U25" s="18"/>
      <c r="V25" s="18"/>
      <c r="W25" s="18"/>
      <c r="X25" s="18"/>
      <c r="Y25" s="19"/>
      <c r="Z25" s="236" t="s">
        <v>166</v>
      </c>
      <c r="AA25" s="18"/>
      <c r="AB25" s="18"/>
      <c r="AC25" s="18"/>
      <c r="AD25" s="18"/>
      <c r="AE25" s="18"/>
      <c r="AF25" s="18"/>
      <c r="AG25" s="18"/>
      <c r="AH25" s="18"/>
      <c r="AI25" s="18"/>
      <c r="AJ25" s="19"/>
      <c r="AK25" s="236" t="s">
        <v>167</v>
      </c>
      <c r="AL25" s="18"/>
      <c r="AM25" s="18"/>
      <c r="AN25" s="18"/>
      <c r="AO25" s="18"/>
      <c r="AP25" s="18"/>
      <c r="AQ25" s="18"/>
      <c r="AR25" s="18"/>
      <c r="AS25" s="18"/>
      <c r="AT25" s="18"/>
      <c r="AU25" s="19"/>
      <c r="AV25" s="173"/>
      <c r="AW25" s="173"/>
      <c r="AX25" s="173"/>
      <c r="AY25" s="173"/>
      <c r="AZ25" s="162"/>
    </row>
    <row r="26">
      <c r="A26" s="174"/>
      <c r="B26" s="69"/>
      <c r="C26" s="200"/>
      <c r="D26" s="18"/>
      <c r="E26" s="18"/>
      <c r="F26" s="18"/>
      <c r="G26" s="19"/>
      <c r="H26" s="230" t="s">
        <v>168</v>
      </c>
      <c r="I26" s="231"/>
      <c r="J26" s="231"/>
      <c r="K26" s="231"/>
      <c r="L26" s="231"/>
      <c r="M26" s="231"/>
      <c r="N26" s="233"/>
      <c r="O26" s="236" t="s">
        <v>170</v>
      </c>
      <c r="P26" s="18"/>
      <c r="Q26" s="18"/>
      <c r="R26" s="18"/>
      <c r="S26" s="18"/>
      <c r="T26" s="18"/>
      <c r="U26" s="18"/>
      <c r="V26" s="18"/>
      <c r="W26" s="18"/>
      <c r="X26" s="18"/>
      <c r="Y26" s="19"/>
      <c r="Z26" s="236" t="s">
        <v>172</v>
      </c>
      <c r="AA26" s="18"/>
      <c r="AB26" s="18"/>
      <c r="AC26" s="18"/>
      <c r="AD26" s="18"/>
      <c r="AE26" s="18"/>
      <c r="AF26" s="18"/>
      <c r="AG26" s="18"/>
      <c r="AH26" s="18"/>
      <c r="AI26" s="18"/>
      <c r="AJ26" s="19"/>
      <c r="AK26" s="236" t="s">
        <v>174</v>
      </c>
      <c r="AL26" s="18"/>
      <c r="AM26" s="18"/>
      <c r="AN26" s="18"/>
      <c r="AO26" s="18"/>
      <c r="AP26" s="18"/>
      <c r="AQ26" s="18"/>
      <c r="AR26" s="18"/>
      <c r="AS26" s="18"/>
      <c r="AT26" s="18"/>
      <c r="AU26" s="19"/>
      <c r="AV26" s="173"/>
      <c r="AW26" s="173"/>
      <c r="AX26" s="173"/>
      <c r="AY26" s="173"/>
      <c r="AZ26" s="162"/>
    </row>
    <row r="27">
      <c r="A27" s="242"/>
      <c r="B27" s="243"/>
      <c r="C27" s="200"/>
      <c r="D27" s="18"/>
      <c r="E27" s="18"/>
      <c r="F27" s="18"/>
      <c r="G27" s="19"/>
      <c r="H27" s="230" t="s">
        <v>176</v>
      </c>
      <c r="I27" s="231"/>
      <c r="J27" s="231"/>
      <c r="K27" s="231"/>
      <c r="L27" s="231"/>
      <c r="M27" s="231"/>
      <c r="N27" s="233"/>
      <c r="O27" s="236" t="s">
        <v>177</v>
      </c>
      <c r="P27" s="18"/>
      <c r="Q27" s="18"/>
      <c r="R27" s="18"/>
      <c r="S27" s="18"/>
      <c r="T27" s="18"/>
      <c r="U27" s="18"/>
      <c r="V27" s="18"/>
      <c r="W27" s="18"/>
      <c r="X27" s="18"/>
      <c r="Y27" s="19"/>
      <c r="Z27" s="236" t="s">
        <v>178</v>
      </c>
      <c r="AA27" s="18"/>
      <c r="AB27" s="18"/>
      <c r="AC27" s="18"/>
      <c r="AD27" s="18"/>
      <c r="AE27" s="18"/>
      <c r="AF27" s="18"/>
      <c r="AG27" s="18"/>
      <c r="AH27" s="18"/>
      <c r="AI27" s="18"/>
      <c r="AJ27" s="19"/>
      <c r="AK27" s="236" t="s">
        <v>179</v>
      </c>
      <c r="AL27" s="18"/>
      <c r="AM27" s="18"/>
      <c r="AN27" s="18"/>
      <c r="AO27" s="18"/>
      <c r="AP27" s="18"/>
      <c r="AQ27" s="18"/>
      <c r="AR27" s="18"/>
      <c r="AS27" s="18"/>
      <c r="AT27" s="18"/>
      <c r="AU27" s="19"/>
      <c r="AV27" s="173"/>
      <c r="AW27" s="173"/>
      <c r="AX27" s="173"/>
      <c r="AY27" s="173"/>
      <c r="AZ27" s="162"/>
    </row>
    <row r="28">
      <c r="A28" s="174"/>
      <c r="B28" s="69"/>
      <c r="C28" s="200"/>
      <c r="D28" s="18"/>
      <c r="E28" s="18"/>
      <c r="F28" s="18"/>
      <c r="G28" s="19"/>
      <c r="H28" s="230" t="s">
        <v>180</v>
      </c>
      <c r="I28" s="231"/>
      <c r="J28" s="231"/>
      <c r="K28" s="231"/>
      <c r="L28" s="231"/>
      <c r="M28" s="231"/>
      <c r="N28" s="233"/>
      <c r="O28" s="236" t="s">
        <v>181</v>
      </c>
      <c r="P28" s="18"/>
      <c r="Q28" s="18"/>
      <c r="R28" s="18"/>
      <c r="S28" s="18"/>
      <c r="T28" s="18"/>
      <c r="U28" s="18"/>
      <c r="V28" s="18"/>
      <c r="W28" s="18"/>
      <c r="X28" s="18"/>
      <c r="Y28" s="19"/>
      <c r="Z28" s="236" t="s">
        <v>182</v>
      </c>
      <c r="AA28" s="18"/>
      <c r="AB28" s="18"/>
      <c r="AC28" s="18"/>
      <c r="AD28" s="18"/>
      <c r="AE28" s="18"/>
      <c r="AF28" s="18"/>
      <c r="AG28" s="18"/>
      <c r="AH28" s="18"/>
      <c r="AI28" s="18"/>
      <c r="AJ28" s="19"/>
      <c r="AK28" s="236" t="s">
        <v>184</v>
      </c>
      <c r="AL28" s="18"/>
      <c r="AM28" s="18"/>
      <c r="AN28" s="18"/>
      <c r="AO28" s="18"/>
      <c r="AP28" s="18"/>
      <c r="AQ28" s="18"/>
      <c r="AR28" s="18"/>
      <c r="AS28" s="18"/>
      <c r="AT28" s="18"/>
      <c r="AU28" s="19"/>
      <c r="AV28" s="173"/>
      <c r="AW28" s="173"/>
      <c r="AX28" s="173"/>
      <c r="AY28" s="173"/>
      <c r="AZ28" s="162"/>
    </row>
    <row r="29">
      <c r="A29" s="174"/>
      <c r="B29" s="69"/>
      <c r="C29" s="200"/>
      <c r="D29" s="18"/>
      <c r="E29" s="18"/>
      <c r="F29" s="18"/>
      <c r="G29" s="19"/>
      <c r="H29" s="230" t="s">
        <v>186</v>
      </c>
      <c r="I29" s="231"/>
      <c r="J29" s="231"/>
      <c r="K29" s="231"/>
      <c r="L29" s="231"/>
      <c r="M29" s="231"/>
      <c r="N29" s="233"/>
      <c r="O29" s="236" t="s">
        <v>187</v>
      </c>
      <c r="P29" s="18"/>
      <c r="Q29" s="18"/>
      <c r="R29" s="18"/>
      <c r="S29" s="18"/>
      <c r="T29" s="18"/>
      <c r="U29" s="18"/>
      <c r="V29" s="18"/>
      <c r="W29" s="18"/>
      <c r="X29" s="18"/>
      <c r="Y29" s="19"/>
      <c r="Z29" s="236" t="s">
        <v>188</v>
      </c>
      <c r="AA29" s="18"/>
      <c r="AB29" s="18"/>
      <c r="AC29" s="18"/>
      <c r="AD29" s="18"/>
      <c r="AE29" s="18"/>
      <c r="AF29" s="18"/>
      <c r="AG29" s="18"/>
      <c r="AH29" s="18"/>
      <c r="AI29" s="18"/>
      <c r="AJ29" s="19"/>
      <c r="AK29" s="236" t="s">
        <v>189</v>
      </c>
      <c r="AL29" s="18"/>
      <c r="AM29" s="18"/>
      <c r="AN29" s="18"/>
      <c r="AO29" s="18"/>
      <c r="AP29" s="18"/>
      <c r="AQ29" s="18"/>
      <c r="AR29" s="18"/>
      <c r="AS29" s="18"/>
      <c r="AT29" s="18"/>
      <c r="AU29" s="19"/>
      <c r="AV29" s="173"/>
      <c r="AW29" s="173"/>
      <c r="AX29" s="173"/>
      <c r="AY29" s="173"/>
      <c r="AZ29" s="162"/>
    </row>
    <row r="30">
      <c r="A30" s="242"/>
      <c r="B30" s="243"/>
      <c r="C30" s="200"/>
      <c r="D30" s="18"/>
      <c r="E30" s="18"/>
      <c r="F30" s="18"/>
      <c r="G30" s="19"/>
      <c r="H30" s="230" t="s">
        <v>190</v>
      </c>
      <c r="I30" s="231"/>
      <c r="J30" s="231"/>
      <c r="K30" s="231"/>
      <c r="L30" s="231"/>
      <c r="M30" s="231"/>
      <c r="N30" s="233"/>
      <c r="O30" s="236" t="s">
        <v>191</v>
      </c>
      <c r="P30" s="18"/>
      <c r="Q30" s="18"/>
      <c r="R30" s="18"/>
      <c r="S30" s="18"/>
      <c r="T30" s="18"/>
      <c r="U30" s="18"/>
      <c r="V30" s="18"/>
      <c r="W30" s="18"/>
      <c r="X30" s="18"/>
      <c r="Y30" s="19"/>
      <c r="Z30" s="236" t="s">
        <v>193</v>
      </c>
      <c r="AA30" s="18"/>
      <c r="AB30" s="18"/>
      <c r="AC30" s="18"/>
      <c r="AD30" s="18"/>
      <c r="AE30" s="18"/>
      <c r="AF30" s="18"/>
      <c r="AG30" s="18"/>
      <c r="AH30" s="18"/>
      <c r="AI30" s="18"/>
      <c r="AJ30" s="19"/>
      <c r="AK30" s="236" t="s">
        <v>194</v>
      </c>
      <c r="AL30" s="18"/>
      <c r="AM30" s="18"/>
      <c r="AN30" s="18"/>
      <c r="AO30" s="18"/>
      <c r="AP30" s="18"/>
      <c r="AQ30" s="18"/>
      <c r="AR30" s="18"/>
      <c r="AS30" s="18"/>
      <c r="AT30" s="18"/>
      <c r="AU30" s="19"/>
      <c r="AV30" s="173"/>
      <c r="AW30" s="173"/>
      <c r="AX30" s="173"/>
      <c r="AY30" s="173"/>
      <c r="AZ30" s="162"/>
    </row>
    <row r="31">
      <c r="A31" s="174"/>
      <c r="B31" s="69"/>
      <c r="C31" s="200" t="s">
        <v>195</v>
      </c>
      <c r="D31" s="18"/>
      <c r="E31" s="18"/>
      <c r="F31" s="18"/>
      <c r="G31" s="19"/>
      <c r="H31" s="230" t="s">
        <v>196</v>
      </c>
      <c r="I31" s="231"/>
      <c r="J31" s="231"/>
      <c r="K31" s="231"/>
      <c r="L31" s="231"/>
      <c r="M31" s="231"/>
      <c r="N31" s="233"/>
      <c r="O31" s="236" t="s">
        <v>197</v>
      </c>
      <c r="P31" s="18"/>
      <c r="Q31" s="18"/>
      <c r="R31" s="18"/>
      <c r="S31" s="18"/>
      <c r="T31" s="18"/>
      <c r="U31" s="18"/>
      <c r="V31" s="18"/>
      <c r="W31" s="18"/>
      <c r="X31" s="18"/>
      <c r="Y31" s="19"/>
      <c r="Z31" s="236" t="s">
        <v>199</v>
      </c>
      <c r="AA31" s="18"/>
      <c r="AB31" s="18"/>
      <c r="AC31" s="18"/>
      <c r="AD31" s="18"/>
      <c r="AE31" s="18"/>
      <c r="AF31" s="18"/>
      <c r="AG31" s="18"/>
      <c r="AH31" s="18"/>
      <c r="AI31" s="18"/>
      <c r="AJ31" s="19"/>
      <c r="AK31" s="236" t="s">
        <v>201</v>
      </c>
      <c r="AL31" s="18"/>
      <c r="AM31" s="18"/>
      <c r="AN31" s="18"/>
      <c r="AO31" s="18"/>
      <c r="AP31" s="18"/>
      <c r="AQ31" s="18"/>
      <c r="AR31" s="18"/>
      <c r="AS31" s="18"/>
      <c r="AT31" s="18"/>
      <c r="AU31" s="19"/>
      <c r="AV31" s="173"/>
      <c r="AW31" s="173"/>
      <c r="AX31" s="173"/>
      <c r="AY31" s="173"/>
      <c r="AZ31" s="162"/>
    </row>
    <row r="32">
      <c r="A32" s="174"/>
      <c r="B32" s="69"/>
      <c r="C32" s="200"/>
      <c r="D32" s="18"/>
      <c r="E32" s="18"/>
      <c r="F32" s="18"/>
      <c r="G32" s="19"/>
      <c r="H32" s="230" t="s">
        <v>205</v>
      </c>
      <c r="I32" s="231"/>
      <c r="J32" s="231"/>
      <c r="K32" s="231"/>
      <c r="L32" s="231"/>
      <c r="M32" s="231"/>
      <c r="N32" s="233"/>
      <c r="O32" s="236" t="s">
        <v>206</v>
      </c>
      <c r="P32" s="18"/>
      <c r="Q32" s="18"/>
      <c r="R32" s="18"/>
      <c r="S32" s="18"/>
      <c r="T32" s="18"/>
      <c r="U32" s="18"/>
      <c r="V32" s="18"/>
      <c r="W32" s="18"/>
      <c r="X32" s="18"/>
      <c r="Y32" s="19"/>
      <c r="Z32" s="236" t="s">
        <v>210</v>
      </c>
      <c r="AA32" s="18"/>
      <c r="AB32" s="18"/>
      <c r="AC32" s="18"/>
      <c r="AD32" s="18"/>
      <c r="AE32" s="18"/>
      <c r="AF32" s="18"/>
      <c r="AG32" s="18"/>
      <c r="AH32" s="18"/>
      <c r="AI32" s="18"/>
      <c r="AJ32" s="19"/>
      <c r="AK32" s="236" t="s">
        <v>212</v>
      </c>
      <c r="AL32" s="18"/>
      <c r="AM32" s="18"/>
      <c r="AN32" s="18"/>
      <c r="AO32" s="18"/>
      <c r="AP32" s="18"/>
      <c r="AQ32" s="18"/>
      <c r="AR32" s="18"/>
      <c r="AS32" s="18"/>
      <c r="AT32" s="18"/>
      <c r="AU32" s="19"/>
      <c r="AV32" s="173"/>
      <c r="AW32" s="173"/>
      <c r="AX32" s="173"/>
      <c r="AY32" s="173"/>
      <c r="AZ32" s="162"/>
    </row>
    <row r="33">
      <c r="A33" s="242"/>
      <c r="B33" s="243"/>
      <c r="C33" s="200"/>
      <c r="D33" s="18"/>
      <c r="E33" s="18"/>
      <c r="F33" s="18"/>
      <c r="G33" s="19"/>
      <c r="H33" s="230" t="s">
        <v>215</v>
      </c>
      <c r="I33" s="231"/>
      <c r="J33" s="231"/>
      <c r="K33" s="231"/>
      <c r="L33" s="231"/>
      <c r="M33" s="231"/>
      <c r="N33" s="233"/>
      <c r="O33" s="236" t="s">
        <v>216</v>
      </c>
      <c r="P33" s="18"/>
      <c r="Q33" s="18"/>
      <c r="R33" s="18"/>
      <c r="S33" s="18"/>
      <c r="T33" s="18"/>
      <c r="U33" s="18"/>
      <c r="V33" s="18"/>
      <c r="W33" s="18"/>
      <c r="X33" s="18"/>
      <c r="Y33" s="19"/>
      <c r="Z33" s="236" t="s">
        <v>217</v>
      </c>
      <c r="AA33" s="18"/>
      <c r="AB33" s="18"/>
      <c r="AC33" s="18"/>
      <c r="AD33" s="18"/>
      <c r="AE33" s="18"/>
      <c r="AF33" s="18"/>
      <c r="AG33" s="18"/>
      <c r="AH33" s="18"/>
      <c r="AI33" s="18"/>
      <c r="AJ33" s="19"/>
      <c r="AK33" s="236" t="s">
        <v>218</v>
      </c>
      <c r="AL33" s="18"/>
      <c r="AM33" s="18"/>
      <c r="AN33" s="18"/>
      <c r="AO33" s="18"/>
      <c r="AP33" s="18"/>
      <c r="AQ33" s="18"/>
      <c r="AR33" s="18"/>
      <c r="AS33" s="18"/>
      <c r="AT33" s="18"/>
      <c r="AU33" s="19"/>
      <c r="AV33" s="173"/>
      <c r="AW33" s="173"/>
      <c r="AX33" s="173"/>
      <c r="AY33" s="173"/>
      <c r="AZ33" s="162"/>
    </row>
    <row r="34">
      <c r="A34" s="174"/>
      <c r="B34" s="69"/>
      <c r="C34" s="200"/>
      <c r="D34" s="18"/>
      <c r="E34" s="18"/>
      <c r="F34" s="18"/>
      <c r="G34" s="19"/>
      <c r="H34" s="230" t="s">
        <v>219</v>
      </c>
      <c r="I34" s="231"/>
      <c r="J34" s="231"/>
      <c r="K34" s="231"/>
      <c r="L34" s="231"/>
      <c r="M34" s="231"/>
      <c r="N34" s="233"/>
      <c r="O34" s="236" t="s">
        <v>220</v>
      </c>
      <c r="P34" s="18"/>
      <c r="Q34" s="18"/>
      <c r="R34" s="18"/>
      <c r="S34" s="18"/>
      <c r="T34" s="18"/>
      <c r="U34" s="18"/>
      <c r="V34" s="18"/>
      <c r="W34" s="18"/>
      <c r="X34" s="18"/>
      <c r="Y34" s="19"/>
      <c r="Z34" s="236" t="s">
        <v>222</v>
      </c>
      <c r="AA34" s="18"/>
      <c r="AB34" s="18"/>
      <c r="AC34" s="18"/>
      <c r="AD34" s="18"/>
      <c r="AE34" s="18"/>
      <c r="AF34" s="18"/>
      <c r="AG34" s="18"/>
      <c r="AH34" s="18"/>
      <c r="AI34" s="18"/>
      <c r="AJ34" s="19"/>
      <c r="AK34" s="236" t="s">
        <v>224</v>
      </c>
      <c r="AL34" s="18"/>
      <c r="AM34" s="18"/>
      <c r="AN34" s="18"/>
      <c r="AO34" s="18"/>
      <c r="AP34" s="18"/>
      <c r="AQ34" s="18"/>
      <c r="AR34" s="18"/>
      <c r="AS34" s="18"/>
      <c r="AT34" s="18"/>
      <c r="AU34" s="19"/>
      <c r="AV34" s="173"/>
      <c r="AW34" s="173"/>
      <c r="AX34" s="173"/>
      <c r="AY34" s="173"/>
      <c r="AZ34" s="162"/>
    </row>
    <row r="35">
      <c r="A35" s="174"/>
      <c r="B35" s="69"/>
      <c r="C35" s="200"/>
      <c r="D35" s="18"/>
      <c r="E35" s="18"/>
      <c r="F35" s="18"/>
      <c r="G35" s="19"/>
      <c r="H35" s="230" t="s">
        <v>227</v>
      </c>
      <c r="I35" s="231"/>
      <c r="J35" s="231"/>
      <c r="K35" s="231"/>
      <c r="L35" s="231"/>
      <c r="M35" s="231"/>
      <c r="N35" s="233"/>
      <c r="O35" s="236" t="s">
        <v>231</v>
      </c>
      <c r="P35" s="18"/>
      <c r="Q35" s="18"/>
      <c r="R35" s="18"/>
      <c r="S35" s="18"/>
      <c r="T35" s="18"/>
      <c r="U35" s="18"/>
      <c r="V35" s="18"/>
      <c r="W35" s="18"/>
      <c r="X35" s="18"/>
      <c r="Y35" s="19"/>
      <c r="Z35" s="236" t="s">
        <v>233</v>
      </c>
      <c r="AA35" s="18"/>
      <c r="AB35" s="18"/>
      <c r="AC35" s="18"/>
      <c r="AD35" s="18"/>
      <c r="AE35" s="18"/>
      <c r="AF35" s="18"/>
      <c r="AG35" s="18"/>
      <c r="AH35" s="18"/>
      <c r="AI35" s="18"/>
      <c r="AJ35" s="19"/>
      <c r="AK35" s="236" t="s">
        <v>234</v>
      </c>
      <c r="AL35" s="18"/>
      <c r="AM35" s="18"/>
      <c r="AN35" s="18"/>
      <c r="AO35" s="18"/>
      <c r="AP35" s="18"/>
      <c r="AQ35" s="18"/>
      <c r="AR35" s="18"/>
      <c r="AS35" s="18"/>
      <c r="AT35" s="18"/>
      <c r="AU35" s="19"/>
      <c r="AV35" s="173"/>
      <c r="AW35" s="173"/>
      <c r="AX35" s="173"/>
      <c r="AY35" s="173"/>
      <c r="AZ35" s="162"/>
    </row>
    <row r="36">
      <c r="A36" s="242"/>
      <c r="B36" s="243"/>
      <c r="C36" s="200" t="s">
        <v>235</v>
      </c>
      <c r="D36" s="18"/>
      <c r="E36" s="18"/>
      <c r="F36" s="18"/>
      <c r="G36" s="19"/>
      <c r="H36" s="253" t="s">
        <v>236</v>
      </c>
      <c r="I36" s="231"/>
      <c r="J36" s="231"/>
      <c r="K36" s="231"/>
      <c r="L36" s="231"/>
      <c r="M36" s="231"/>
      <c r="N36" s="233"/>
      <c r="O36" s="236" t="s">
        <v>238</v>
      </c>
      <c r="P36" s="18"/>
      <c r="Q36" s="18"/>
      <c r="R36" s="18"/>
      <c r="S36" s="18"/>
      <c r="T36" s="18"/>
      <c r="U36" s="18"/>
      <c r="V36" s="18"/>
      <c r="W36" s="18"/>
      <c r="X36" s="18"/>
      <c r="Y36" s="19"/>
      <c r="Z36" s="236" t="s">
        <v>239</v>
      </c>
      <c r="AA36" s="18"/>
      <c r="AB36" s="18"/>
      <c r="AC36" s="18"/>
      <c r="AD36" s="18"/>
      <c r="AE36" s="18"/>
      <c r="AF36" s="18"/>
      <c r="AG36" s="18"/>
      <c r="AH36" s="18"/>
      <c r="AI36" s="18"/>
      <c r="AJ36" s="19"/>
      <c r="AK36" s="236" t="s">
        <v>240</v>
      </c>
      <c r="AL36" s="18"/>
      <c r="AM36" s="18"/>
      <c r="AN36" s="18"/>
      <c r="AO36" s="18"/>
      <c r="AP36" s="18"/>
      <c r="AQ36" s="18"/>
      <c r="AR36" s="18"/>
      <c r="AS36" s="18"/>
      <c r="AT36" s="18"/>
      <c r="AU36" s="19"/>
      <c r="AV36" s="173"/>
      <c r="AW36" s="173"/>
      <c r="AX36" s="173"/>
      <c r="AY36" s="173"/>
      <c r="AZ36" s="162"/>
    </row>
    <row r="37">
      <c r="A37" s="174"/>
      <c r="B37" s="69"/>
      <c r="C37" s="200"/>
      <c r="D37" s="18"/>
      <c r="E37" s="18"/>
      <c r="F37" s="18"/>
      <c r="G37" s="19"/>
      <c r="H37" s="230" t="s">
        <v>243</v>
      </c>
      <c r="I37" s="231"/>
      <c r="J37" s="231"/>
      <c r="K37" s="231"/>
      <c r="L37" s="231"/>
      <c r="M37" s="231"/>
      <c r="N37" s="233"/>
      <c r="O37" s="236" t="s">
        <v>244</v>
      </c>
      <c r="P37" s="18"/>
      <c r="Q37" s="18"/>
      <c r="R37" s="18"/>
      <c r="S37" s="18"/>
      <c r="T37" s="18"/>
      <c r="U37" s="18"/>
      <c r="V37" s="18"/>
      <c r="W37" s="18"/>
      <c r="X37" s="18"/>
      <c r="Y37" s="19"/>
      <c r="Z37" s="236" t="s">
        <v>245</v>
      </c>
      <c r="AA37" s="18"/>
      <c r="AB37" s="18"/>
      <c r="AC37" s="18"/>
      <c r="AD37" s="18"/>
      <c r="AE37" s="18"/>
      <c r="AF37" s="18"/>
      <c r="AG37" s="18"/>
      <c r="AH37" s="18"/>
      <c r="AI37" s="18"/>
      <c r="AJ37" s="19"/>
      <c r="AK37" s="236" t="s">
        <v>246</v>
      </c>
      <c r="AL37" s="18"/>
      <c r="AM37" s="18"/>
      <c r="AN37" s="18"/>
      <c r="AO37" s="18"/>
      <c r="AP37" s="18"/>
      <c r="AQ37" s="18"/>
      <c r="AR37" s="18"/>
      <c r="AS37" s="18"/>
      <c r="AT37" s="18"/>
      <c r="AU37" s="19"/>
      <c r="AV37" s="173"/>
      <c r="AW37" s="173"/>
      <c r="AX37" s="173"/>
      <c r="AY37" s="173"/>
      <c r="AZ37" s="162"/>
    </row>
    <row r="38">
      <c r="A38" s="174"/>
      <c r="B38" s="69"/>
      <c r="C38" s="200"/>
      <c r="D38" s="18"/>
      <c r="E38" s="18"/>
      <c r="F38" s="18"/>
      <c r="G38" s="19"/>
      <c r="H38" s="230" t="s">
        <v>249</v>
      </c>
      <c r="I38" s="231"/>
      <c r="J38" s="231"/>
      <c r="K38" s="231"/>
      <c r="L38" s="231"/>
      <c r="M38" s="231"/>
      <c r="N38" s="233"/>
      <c r="O38" s="236" t="s">
        <v>250</v>
      </c>
      <c r="P38" s="18"/>
      <c r="Q38" s="18"/>
      <c r="R38" s="18"/>
      <c r="S38" s="18"/>
      <c r="T38" s="18"/>
      <c r="U38" s="18"/>
      <c r="V38" s="18"/>
      <c r="W38" s="18"/>
      <c r="X38" s="18"/>
      <c r="Y38" s="19"/>
      <c r="Z38" s="236" t="s">
        <v>251</v>
      </c>
      <c r="AA38" s="18"/>
      <c r="AB38" s="18"/>
      <c r="AC38" s="18"/>
      <c r="AD38" s="18"/>
      <c r="AE38" s="18"/>
      <c r="AF38" s="18"/>
      <c r="AG38" s="18"/>
      <c r="AH38" s="18"/>
      <c r="AI38" s="18"/>
      <c r="AJ38" s="19"/>
      <c r="AK38" s="236" t="s">
        <v>252</v>
      </c>
      <c r="AL38" s="18"/>
      <c r="AM38" s="18"/>
      <c r="AN38" s="18"/>
      <c r="AO38" s="18"/>
      <c r="AP38" s="18"/>
      <c r="AQ38" s="18"/>
      <c r="AR38" s="18"/>
      <c r="AS38" s="18"/>
      <c r="AT38" s="18"/>
      <c r="AU38" s="19"/>
      <c r="AV38" s="173"/>
      <c r="AW38" s="173"/>
      <c r="AX38" s="173"/>
      <c r="AY38" s="173"/>
      <c r="AZ38" s="162"/>
    </row>
    <row r="39" ht="15.75" customHeight="1">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row>
    <row r="40" ht="15.75" customHeight="1">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row>
    <row r="41" ht="15.75" customHeight="1">
      <c r="B41" s="254" t="s">
        <v>258</v>
      </c>
      <c r="C41" s="180"/>
      <c r="D41" s="180"/>
      <c r="E41" s="180"/>
      <c r="F41" s="180"/>
      <c r="G41" s="180"/>
      <c r="H41" s="180"/>
      <c r="I41" s="180"/>
      <c r="J41" s="212"/>
      <c r="K41" s="212"/>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row>
    <row r="42" ht="15.75" customHeight="1">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row>
    <row r="43" ht="15.75" customHeight="1">
      <c r="B43" s="255" t="s">
        <v>262</v>
      </c>
      <c r="C43" s="18"/>
      <c r="D43" s="18"/>
      <c r="E43" s="18"/>
      <c r="F43" s="18"/>
      <c r="G43" s="19"/>
      <c r="H43" s="255" t="s">
        <v>263</v>
      </c>
      <c r="I43" s="18"/>
      <c r="J43" s="18"/>
      <c r="K43" s="18"/>
      <c r="L43" s="18"/>
      <c r="M43" s="18"/>
      <c r="N43" s="19"/>
      <c r="O43" s="255" t="s">
        <v>264</v>
      </c>
      <c r="P43" s="18"/>
      <c r="Q43" s="18"/>
      <c r="R43" s="18"/>
      <c r="S43" s="18"/>
      <c r="T43" s="18"/>
      <c r="U43" s="18"/>
      <c r="V43" s="18"/>
      <c r="W43" s="18"/>
      <c r="X43" s="18"/>
      <c r="Y43" s="18"/>
      <c r="Z43" s="18"/>
      <c r="AA43" s="18"/>
      <c r="AB43" s="18"/>
      <c r="AC43" s="18"/>
      <c r="AD43" s="19"/>
      <c r="AE43" s="212"/>
      <c r="AF43" s="212"/>
      <c r="AG43" s="212"/>
      <c r="AH43" s="212"/>
      <c r="AI43" s="212"/>
      <c r="AJ43" s="212"/>
      <c r="AK43" s="212"/>
      <c r="AL43" s="212"/>
      <c r="AM43" s="212"/>
      <c r="AN43" s="212"/>
      <c r="AO43" s="212"/>
      <c r="AP43" s="212"/>
      <c r="AQ43" s="212"/>
      <c r="AR43" s="212"/>
      <c r="AS43" s="212"/>
      <c r="AT43" s="212"/>
      <c r="AU43" s="212"/>
    </row>
    <row r="44" ht="15.75" customHeight="1">
      <c r="B44" s="256" t="s">
        <v>266</v>
      </c>
      <c r="C44" s="2"/>
      <c r="D44" s="2"/>
      <c r="E44" s="2"/>
      <c r="F44" s="2"/>
      <c r="G44" s="7"/>
      <c r="H44" s="257" t="s">
        <v>267</v>
      </c>
      <c r="I44" s="18"/>
      <c r="J44" s="18"/>
      <c r="K44" s="18"/>
      <c r="L44" s="18"/>
      <c r="M44" s="18"/>
      <c r="N44" s="19"/>
      <c r="O44" s="257" t="s">
        <v>268</v>
      </c>
      <c r="P44" s="18"/>
      <c r="Q44" s="18"/>
      <c r="R44" s="18"/>
      <c r="S44" s="18"/>
      <c r="T44" s="18"/>
      <c r="U44" s="18"/>
      <c r="V44" s="18"/>
      <c r="W44" s="18"/>
      <c r="X44" s="18"/>
      <c r="Y44" s="18"/>
      <c r="Z44" s="18"/>
      <c r="AA44" s="18"/>
      <c r="AB44" s="18"/>
      <c r="AC44" s="18"/>
      <c r="AD44" s="19"/>
      <c r="AE44" s="212"/>
      <c r="AF44" s="212"/>
      <c r="AG44" s="212"/>
      <c r="AH44" s="212"/>
      <c r="AI44" s="212"/>
      <c r="AJ44" s="212"/>
      <c r="AK44" s="212"/>
      <c r="AL44" s="212"/>
      <c r="AM44" s="212"/>
      <c r="AN44" s="212"/>
      <c r="AO44" s="212"/>
      <c r="AP44" s="212"/>
      <c r="AQ44" s="212"/>
      <c r="AR44" s="212"/>
      <c r="AS44" s="212"/>
      <c r="AT44" s="212"/>
      <c r="AU44" s="212"/>
    </row>
    <row r="45" ht="15.75" customHeight="1">
      <c r="B45" s="205"/>
      <c r="C45" s="15"/>
      <c r="D45" s="15"/>
      <c r="E45" s="15"/>
      <c r="F45" s="15"/>
      <c r="G45" s="14"/>
      <c r="H45" s="257" t="s">
        <v>272</v>
      </c>
      <c r="I45" s="18"/>
      <c r="J45" s="18"/>
      <c r="K45" s="18"/>
      <c r="L45" s="18"/>
      <c r="M45" s="18"/>
      <c r="N45" s="19"/>
      <c r="O45" s="257" t="s">
        <v>273</v>
      </c>
      <c r="P45" s="18"/>
      <c r="Q45" s="18"/>
      <c r="R45" s="18"/>
      <c r="S45" s="18"/>
      <c r="T45" s="18"/>
      <c r="U45" s="18"/>
      <c r="V45" s="18"/>
      <c r="W45" s="18"/>
      <c r="X45" s="18"/>
      <c r="Y45" s="18"/>
      <c r="Z45" s="18"/>
      <c r="AA45" s="18"/>
      <c r="AB45" s="18"/>
      <c r="AC45" s="18"/>
      <c r="AD45" s="19"/>
      <c r="AE45" s="212"/>
      <c r="AF45" s="212"/>
      <c r="AG45" s="212"/>
      <c r="AH45" s="212"/>
      <c r="AI45" s="212"/>
      <c r="AJ45" s="212"/>
      <c r="AK45" s="212"/>
      <c r="AL45" s="212"/>
      <c r="AM45" s="212"/>
      <c r="AN45" s="212"/>
      <c r="AO45" s="212"/>
      <c r="AP45" s="212"/>
      <c r="AQ45" s="212"/>
      <c r="AR45" s="212"/>
      <c r="AS45" s="212"/>
      <c r="AT45" s="212"/>
      <c r="AU45" s="212"/>
    </row>
    <row r="46" ht="15.75" customHeight="1">
      <c r="B46" s="257" t="s">
        <v>275</v>
      </c>
      <c r="C46" s="18"/>
      <c r="D46" s="18"/>
      <c r="E46" s="18"/>
      <c r="F46" s="18"/>
      <c r="G46" s="19"/>
      <c r="H46" s="257" t="s">
        <v>84</v>
      </c>
      <c r="I46" s="18"/>
      <c r="J46" s="18"/>
      <c r="K46" s="18"/>
      <c r="L46" s="18"/>
      <c r="M46" s="18"/>
      <c r="N46" s="19"/>
      <c r="O46" s="257" t="s">
        <v>278</v>
      </c>
      <c r="P46" s="18"/>
      <c r="Q46" s="18"/>
      <c r="R46" s="18"/>
      <c r="S46" s="18"/>
      <c r="T46" s="18"/>
      <c r="U46" s="18"/>
      <c r="V46" s="18"/>
      <c r="W46" s="18"/>
      <c r="X46" s="18"/>
      <c r="Y46" s="18"/>
      <c r="Z46" s="18"/>
      <c r="AA46" s="18"/>
      <c r="AB46" s="18"/>
      <c r="AC46" s="18"/>
      <c r="AD46" s="19"/>
      <c r="AE46" s="212"/>
      <c r="AF46" s="212"/>
      <c r="AG46" s="212"/>
      <c r="AH46" s="212"/>
      <c r="AI46" s="212"/>
      <c r="AJ46" s="212"/>
      <c r="AK46" s="212"/>
      <c r="AL46" s="212"/>
      <c r="AM46" s="212"/>
      <c r="AN46" s="212"/>
      <c r="AO46" s="212"/>
      <c r="AP46" s="212"/>
      <c r="AQ46" s="212"/>
      <c r="AR46" s="212"/>
      <c r="AS46" s="212"/>
      <c r="AT46" s="212"/>
      <c r="AU46" s="212"/>
    </row>
    <row r="47" ht="15.75" customHeight="1">
      <c r="B47" s="257" t="s">
        <v>279</v>
      </c>
      <c r="C47" s="18"/>
      <c r="D47" s="18"/>
      <c r="E47" s="18"/>
      <c r="F47" s="18"/>
      <c r="G47" s="19"/>
      <c r="H47" s="257" t="s">
        <v>84</v>
      </c>
      <c r="I47" s="18"/>
      <c r="J47" s="18"/>
      <c r="K47" s="18"/>
      <c r="L47" s="18"/>
      <c r="M47" s="18"/>
      <c r="N47" s="19"/>
      <c r="O47" s="257" t="s">
        <v>281</v>
      </c>
      <c r="P47" s="18"/>
      <c r="Q47" s="18"/>
      <c r="R47" s="18"/>
      <c r="S47" s="18"/>
      <c r="T47" s="18"/>
      <c r="U47" s="18"/>
      <c r="V47" s="18"/>
      <c r="W47" s="18"/>
      <c r="X47" s="18"/>
      <c r="Y47" s="18"/>
      <c r="Z47" s="18"/>
      <c r="AA47" s="18"/>
      <c r="AB47" s="18"/>
      <c r="AC47" s="18"/>
      <c r="AD47" s="19"/>
      <c r="AE47" s="212"/>
      <c r="AF47" s="212"/>
      <c r="AG47" s="212"/>
      <c r="AH47" s="212"/>
      <c r="AI47" s="212"/>
      <c r="AJ47" s="212"/>
      <c r="AK47" s="212"/>
      <c r="AL47" s="212"/>
      <c r="AM47" s="212"/>
      <c r="AN47" s="212"/>
      <c r="AO47" s="212"/>
      <c r="AP47" s="212"/>
      <c r="AQ47" s="212"/>
      <c r="AR47" s="212"/>
      <c r="AS47" s="212"/>
      <c r="AT47" s="212"/>
      <c r="AU47" s="212"/>
    </row>
    <row r="48" ht="15.75" customHeight="1">
      <c r="B48" s="257"/>
      <c r="C48" s="18"/>
      <c r="D48" s="18"/>
      <c r="E48" s="18"/>
      <c r="F48" s="18"/>
      <c r="G48" s="19"/>
      <c r="H48" s="257"/>
      <c r="I48" s="18"/>
      <c r="J48" s="18"/>
      <c r="K48" s="18"/>
      <c r="L48" s="18"/>
      <c r="M48" s="18"/>
      <c r="N48" s="19"/>
      <c r="O48" s="257"/>
      <c r="P48" s="18"/>
      <c r="Q48" s="18"/>
      <c r="R48" s="18"/>
      <c r="S48" s="18"/>
      <c r="T48" s="18"/>
      <c r="U48" s="18"/>
      <c r="V48" s="18"/>
      <c r="W48" s="18"/>
      <c r="X48" s="18"/>
      <c r="Y48" s="18"/>
      <c r="Z48" s="18"/>
      <c r="AA48" s="18"/>
      <c r="AB48" s="18"/>
      <c r="AC48" s="18"/>
      <c r="AD48" s="19"/>
      <c r="AE48" s="212"/>
      <c r="AF48" s="212"/>
      <c r="AG48" s="212"/>
      <c r="AH48" s="212"/>
      <c r="AI48" s="212"/>
      <c r="AJ48" s="212"/>
      <c r="AK48" s="212"/>
      <c r="AL48" s="212"/>
      <c r="AM48" s="212"/>
      <c r="AN48" s="212"/>
      <c r="AO48" s="212"/>
      <c r="AP48" s="212"/>
      <c r="AQ48" s="212"/>
      <c r="AR48" s="212"/>
      <c r="AS48" s="212"/>
      <c r="AT48" s="212"/>
      <c r="AU48" s="212"/>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6">
    <mergeCell ref="A1:A4"/>
    <mergeCell ref="B1:AK4"/>
    <mergeCell ref="AL1:AU1"/>
    <mergeCell ref="AL2:AU2"/>
    <mergeCell ref="AL3:AU3"/>
    <mergeCell ref="AL4:AU4"/>
    <mergeCell ref="A5:AU5"/>
    <mergeCell ref="C15:AU15"/>
    <mergeCell ref="C16:G16"/>
    <mergeCell ref="H16:S16"/>
    <mergeCell ref="T16:AU16"/>
    <mergeCell ref="C17:G17"/>
    <mergeCell ref="H17:S17"/>
    <mergeCell ref="T17:AU17"/>
    <mergeCell ref="C18:G18"/>
    <mergeCell ref="H18:S18"/>
    <mergeCell ref="T18:AU18"/>
    <mergeCell ref="C19:G19"/>
    <mergeCell ref="H19:S19"/>
    <mergeCell ref="T19:AU19"/>
    <mergeCell ref="C21:AU21"/>
    <mergeCell ref="O22:AU22"/>
    <mergeCell ref="Z25:AJ25"/>
    <mergeCell ref="AK25:AU25"/>
    <mergeCell ref="Z26:AJ26"/>
    <mergeCell ref="AK26:AU26"/>
    <mergeCell ref="Z27:AJ27"/>
    <mergeCell ref="AK27:AU27"/>
    <mergeCell ref="C22:G23"/>
    <mergeCell ref="H22:N23"/>
    <mergeCell ref="O23:Y23"/>
    <mergeCell ref="Z23:AJ23"/>
    <mergeCell ref="AK23:AU23"/>
    <mergeCell ref="C24:AU24"/>
    <mergeCell ref="C25:G25"/>
    <mergeCell ref="H25:N25"/>
    <mergeCell ref="O25:Y25"/>
    <mergeCell ref="C26:G26"/>
    <mergeCell ref="H26:N26"/>
    <mergeCell ref="O26:Y26"/>
    <mergeCell ref="H27:N27"/>
    <mergeCell ref="O27:Y27"/>
    <mergeCell ref="H29:N29"/>
    <mergeCell ref="O29:Y29"/>
    <mergeCell ref="Z37:AJ37"/>
    <mergeCell ref="AK37:AU37"/>
    <mergeCell ref="Z38:AJ38"/>
    <mergeCell ref="AK38:AU38"/>
    <mergeCell ref="C35:G35"/>
    <mergeCell ref="C36:G36"/>
    <mergeCell ref="H36:N36"/>
    <mergeCell ref="O36:Y36"/>
    <mergeCell ref="Z36:AJ36"/>
    <mergeCell ref="AK36:AU36"/>
    <mergeCell ref="C37:G37"/>
    <mergeCell ref="O44:AD44"/>
    <mergeCell ref="O45:AD45"/>
    <mergeCell ref="O46:AD46"/>
    <mergeCell ref="O47:AD47"/>
    <mergeCell ref="O48:AD48"/>
    <mergeCell ref="O49:AD49"/>
    <mergeCell ref="H37:N37"/>
    <mergeCell ref="O37:Y37"/>
    <mergeCell ref="C38:G38"/>
    <mergeCell ref="H38:N38"/>
    <mergeCell ref="O38:Y38"/>
    <mergeCell ref="H43:N43"/>
    <mergeCell ref="O43:AD43"/>
    <mergeCell ref="B47:G47"/>
    <mergeCell ref="B48:G48"/>
    <mergeCell ref="B43:G43"/>
    <mergeCell ref="B44:G45"/>
    <mergeCell ref="H44:N44"/>
    <mergeCell ref="H45:N45"/>
    <mergeCell ref="B46:G46"/>
    <mergeCell ref="H46:N46"/>
    <mergeCell ref="H47:N47"/>
    <mergeCell ref="H48:N48"/>
    <mergeCell ref="Z29:AJ29"/>
    <mergeCell ref="AK29:AU29"/>
    <mergeCell ref="C27:G27"/>
    <mergeCell ref="C28:G28"/>
    <mergeCell ref="H28:N28"/>
    <mergeCell ref="O28:Y28"/>
    <mergeCell ref="Z28:AJ28"/>
    <mergeCell ref="AK28:AU28"/>
    <mergeCell ref="C29:G29"/>
    <mergeCell ref="O31:Y31"/>
    <mergeCell ref="Z31:AJ31"/>
    <mergeCell ref="C30:G30"/>
    <mergeCell ref="H30:N30"/>
    <mergeCell ref="O30:Y30"/>
    <mergeCell ref="Z30:AJ30"/>
    <mergeCell ref="AK30:AU30"/>
    <mergeCell ref="H31:N31"/>
    <mergeCell ref="AK31:AU31"/>
    <mergeCell ref="Z33:AJ33"/>
    <mergeCell ref="AK33:AU33"/>
    <mergeCell ref="Z34:AJ34"/>
    <mergeCell ref="AK34:AU34"/>
    <mergeCell ref="Z35:AJ35"/>
    <mergeCell ref="AK35:AU35"/>
    <mergeCell ref="C31:G31"/>
    <mergeCell ref="C32:G32"/>
    <mergeCell ref="H32:N32"/>
    <mergeCell ref="O32:Y32"/>
    <mergeCell ref="Z32:AJ32"/>
    <mergeCell ref="AK32:AU32"/>
    <mergeCell ref="C33:G33"/>
    <mergeCell ref="H33:N33"/>
    <mergeCell ref="O33:Y33"/>
    <mergeCell ref="C34:G34"/>
    <mergeCell ref="H34:N34"/>
    <mergeCell ref="O34:Y34"/>
    <mergeCell ref="H35:N35"/>
    <mergeCell ref="O35:Y3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2.25"/>
    <col customWidth="1" min="2" max="2" width="28.13"/>
    <col customWidth="1" min="3" max="3" width="25.5"/>
    <col customWidth="1" min="4" max="4" width="31.38"/>
    <col customWidth="1" min="5" max="5" width="12.63"/>
    <col customWidth="1" min="6" max="6" width="9.38"/>
    <col customWidth="1" min="7" max="7" width="15.38"/>
    <col customWidth="1" min="8" max="8" width="16.5"/>
    <col customWidth="1" min="9" max="11" width="15.25"/>
    <col customWidth="1" min="12" max="12" width="26.88"/>
  </cols>
  <sheetData>
    <row r="1">
      <c r="A1" s="192"/>
      <c r="B1" s="4" t="s">
        <v>0</v>
      </c>
      <c r="C1" s="2"/>
      <c r="D1" s="2"/>
      <c r="E1" s="7"/>
      <c r="F1" s="197" t="s">
        <v>2</v>
      </c>
      <c r="G1" s="2"/>
      <c r="H1" s="7"/>
    </row>
    <row r="2">
      <c r="A2" s="201"/>
      <c r="B2" s="9"/>
      <c r="E2" s="11"/>
      <c r="F2" s="203" t="s">
        <v>3</v>
      </c>
      <c r="H2" s="11"/>
    </row>
    <row r="3">
      <c r="A3" s="204"/>
      <c r="B3" s="205"/>
      <c r="C3" s="15"/>
      <c r="D3" s="15"/>
      <c r="E3" s="14"/>
      <c r="F3" s="206" t="s">
        <v>4</v>
      </c>
      <c r="G3" s="15"/>
      <c r="H3" s="14"/>
    </row>
    <row r="4">
      <c r="A4" s="17" t="s">
        <v>5</v>
      </c>
      <c r="B4" s="20"/>
      <c r="C4" s="20"/>
      <c r="D4" s="20"/>
      <c r="E4" s="20"/>
      <c r="F4" s="207" t="s">
        <v>6</v>
      </c>
      <c r="G4" s="18"/>
      <c r="H4" s="19"/>
    </row>
    <row r="7">
      <c r="A7" s="208" t="s">
        <v>126</v>
      </c>
      <c r="B7" s="18"/>
      <c r="C7" s="18"/>
      <c r="D7" s="19"/>
    </row>
    <row r="8">
      <c r="A8" s="209" t="s">
        <v>128</v>
      </c>
      <c r="B8" s="210" t="s">
        <v>130</v>
      </c>
      <c r="C8" s="210" t="s">
        <v>68</v>
      </c>
      <c r="D8" s="211" t="s">
        <v>131</v>
      </c>
      <c r="E8" s="212"/>
      <c r="F8" s="212"/>
      <c r="G8" s="212"/>
      <c r="H8" s="212"/>
      <c r="I8" s="212"/>
      <c r="J8" s="212"/>
      <c r="K8" s="212"/>
      <c r="L8" s="212"/>
      <c r="M8" s="212"/>
      <c r="N8" s="212"/>
      <c r="O8" s="212"/>
      <c r="P8" s="212"/>
      <c r="Q8" s="212"/>
      <c r="R8" s="212"/>
      <c r="S8" s="212"/>
      <c r="T8" s="212"/>
      <c r="U8" s="212"/>
      <c r="V8" s="212"/>
      <c r="W8" s="212"/>
      <c r="X8" s="212"/>
      <c r="Y8" s="212"/>
      <c r="Z8" s="212"/>
    </row>
    <row r="9">
      <c r="A9" s="213" t="s">
        <v>133</v>
      </c>
      <c r="B9" s="214" t="s">
        <v>134</v>
      </c>
      <c r="C9" s="213">
        <f>IFS(B9="POC/MVP", 1, B9="New Development - Small",1,B9="New Development - Medium",2,B9="New Development - Big",3, B9="Enhancement - Small",1,B9="Enhancement - Medium",2,B9="Enhancement - Big",3 )</f>
        <v>1</v>
      </c>
      <c r="D9" s="215">
        <f>SUM(C9:C11)</f>
        <v>4</v>
      </c>
      <c r="E9" s="212"/>
      <c r="F9" s="212"/>
      <c r="G9" s="212"/>
      <c r="H9" s="212"/>
      <c r="I9" s="212"/>
      <c r="J9" s="212"/>
      <c r="K9" s="212"/>
      <c r="L9" s="212"/>
      <c r="M9" s="212"/>
      <c r="N9" s="212"/>
      <c r="O9" s="212"/>
      <c r="P9" s="212"/>
      <c r="Q9" s="212"/>
      <c r="R9" s="212"/>
      <c r="S9" s="212"/>
      <c r="T9" s="212"/>
      <c r="U9" s="212"/>
      <c r="V9" s="212"/>
      <c r="W9" s="212"/>
      <c r="X9" s="212"/>
      <c r="Y9" s="212"/>
      <c r="Z9" s="212"/>
    </row>
    <row r="10">
      <c r="A10" s="213" t="s">
        <v>140</v>
      </c>
      <c r="B10" s="214" t="s">
        <v>135</v>
      </c>
      <c r="C10" s="213">
        <f t="shared" ref="C10:C11" si="1">IFS(B10="High",3, B10="Medium",2,B10="Low",1 )</f>
        <v>1</v>
      </c>
      <c r="D10" s="201"/>
      <c r="E10" s="212"/>
      <c r="F10" s="212"/>
      <c r="G10" s="212"/>
      <c r="H10" s="212"/>
      <c r="I10" s="212"/>
      <c r="J10" s="212"/>
      <c r="K10" s="212"/>
      <c r="L10" s="212"/>
      <c r="M10" s="212"/>
      <c r="N10" s="212"/>
      <c r="O10" s="212"/>
      <c r="P10" s="212"/>
      <c r="Q10" s="212"/>
      <c r="R10" s="212"/>
      <c r="S10" s="212"/>
      <c r="T10" s="212"/>
      <c r="U10" s="212"/>
      <c r="V10" s="212"/>
      <c r="W10" s="212"/>
      <c r="X10" s="212"/>
      <c r="Y10" s="212"/>
      <c r="Z10" s="212"/>
    </row>
    <row r="11">
      <c r="A11" s="213" t="s">
        <v>144</v>
      </c>
      <c r="B11" s="214" t="s">
        <v>127</v>
      </c>
      <c r="C11" s="213">
        <f t="shared" si="1"/>
        <v>2</v>
      </c>
      <c r="D11" s="204"/>
      <c r="E11" s="212"/>
      <c r="F11" s="212"/>
      <c r="G11" s="212"/>
      <c r="H11" s="212"/>
      <c r="I11" s="212"/>
      <c r="J11" s="212"/>
      <c r="K11" s="212"/>
      <c r="L11" s="212"/>
      <c r="M11" s="212"/>
      <c r="N11" s="212"/>
      <c r="O11" s="212"/>
      <c r="P11" s="212"/>
      <c r="Q11" s="212"/>
      <c r="R11" s="212"/>
      <c r="S11" s="212"/>
      <c r="T11" s="212"/>
      <c r="U11" s="212"/>
      <c r="V11" s="212"/>
      <c r="W11" s="212"/>
      <c r="X11" s="212"/>
      <c r="Y11" s="212"/>
      <c r="Z11" s="212"/>
    </row>
    <row r="12">
      <c r="A12" s="213" t="s">
        <v>145</v>
      </c>
      <c r="B12" s="221" t="str">
        <f>IFS(
 4&gt;=D9, "Pattern III – Lean QA",
  7&gt;=D9, "Pattern II – Balanced QA",
  TRUE, "Pattern I – Intensive QA"
)</f>
        <v>Pattern III – Lean QA</v>
      </c>
      <c r="C12" s="223" t="s">
        <v>147</v>
      </c>
      <c r="D12" s="19"/>
      <c r="E12" s="212"/>
      <c r="F12" s="212"/>
      <c r="G12" s="212"/>
      <c r="H12" s="212"/>
      <c r="I12" s="212"/>
      <c r="J12" s="212"/>
      <c r="K12" s="212"/>
      <c r="L12" s="212"/>
      <c r="M12" s="212"/>
      <c r="N12" s="212"/>
      <c r="O12" s="212"/>
      <c r="P12" s="212"/>
      <c r="Q12" s="212"/>
      <c r="R12" s="212"/>
      <c r="S12" s="212"/>
      <c r="T12" s="212"/>
      <c r="U12" s="212"/>
      <c r="V12" s="212"/>
      <c r="W12" s="212"/>
      <c r="X12" s="212"/>
      <c r="Y12" s="212"/>
      <c r="Z12" s="212"/>
    </row>
    <row r="13">
      <c r="A13" s="213" t="s">
        <v>68</v>
      </c>
      <c r="B13" s="225">
        <f>IFS(B12="Pattern I – Intensive QA",2,B12="Pattern II – Balanced QA",1.5, B12="Pattern III – Lean QA",1)</f>
        <v>1</v>
      </c>
      <c r="C13" s="226" t="s">
        <v>149</v>
      </c>
      <c r="D13" s="19"/>
      <c r="E13" s="212"/>
      <c r="F13" s="212"/>
      <c r="G13" s="212"/>
      <c r="H13" s="212"/>
      <c r="I13" s="212"/>
      <c r="J13" s="212"/>
      <c r="K13" s="212"/>
      <c r="L13" s="212"/>
      <c r="M13" s="180"/>
      <c r="N13" s="180"/>
      <c r="O13" s="180"/>
      <c r="P13" s="180"/>
      <c r="Q13" s="180"/>
      <c r="R13" s="180"/>
      <c r="S13" s="180"/>
      <c r="T13" s="180"/>
      <c r="U13" s="180"/>
      <c r="V13" s="212"/>
      <c r="W13" s="212"/>
      <c r="X13" s="212"/>
      <c r="Y13" s="212"/>
      <c r="Z13" s="212"/>
    </row>
    <row r="14">
      <c r="A14" s="212"/>
      <c r="B14" s="212"/>
      <c r="C14" s="212"/>
      <c r="D14" s="212"/>
      <c r="E14" s="212"/>
      <c r="F14" s="212"/>
      <c r="G14" s="212"/>
      <c r="H14" s="212"/>
      <c r="I14" s="212"/>
      <c r="J14" s="212"/>
      <c r="K14" s="212"/>
      <c r="L14" s="212"/>
      <c r="M14" s="180"/>
      <c r="N14" s="180"/>
      <c r="O14" s="180"/>
      <c r="P14" s="180"/>
      <c r="Q14" s="180"/>
      <c r="R14" s="180"/>
      <c r="S14" s="180"/>
      <c r="T14" s="180"/>
      <c r="U14" s="180"/>
      <c r="V14" s="212"/>
      <c r="W14" s="212"/>
      <c r="X14" s="212"/>
      <c r="Y14" s="212"/>
      <c r="Z14" s="212"/>
    </row>
    <row r="15">
      <c r="A15" s="227" t="s">
        <v>151</v>
      </c>
      <c r="B15" s="227" t="s">
        <v>131</v>
      </c>
      <c r="C15" s="227" t="s">
        <v>68</v>
      </c>
      <c r="D15" s="227" t="s">
        <v>152</v>
      </c>
      <c r="E15" s="212"/>
      <c r="F15" s="212"/>
      <c r="G15" s="212"/>
      <c r="H15" s="212"/>
      <c r="I15" s="212"/>
      <c r="J15" s="212"/>
      <c r="K15" s="212"/>
      <c r="L15" s="212"/>
      <c r="M15" s="180"/>
      <c r="N15" s="180"/>
      <c r="O15" s="180"/>
      <c r="P15" s="180"/>
      <c r="Q15" s="180"/>
      <c r="R15" s="180"/>
      <c r="S15" s="180"/>
      <c r="T15" s="180"/>
      <c r="U15" s="180"/>
      <c r="V15" s="212"/>
      <c r="W15" s="212"/>
      <c r="X15" s="212"/>
      <c r="Y15" s="212"/>
      <c r="Z15" s="212"/>
    </row>
    <row r="16">
      <c r="A16" s="213" t="s">
        <v>153</v>
      </c>
      <c r="B16" s="213" t="s">
        <v>154</v>
      </c>
      <c r="C16" s="213">
        <v>1.0</v>
      </c>
      <c r="D16" s="213"/>
      <c r="E16" s="212"/>
      <c r="F16" s="212"/>
      <c r="G16" s="212"/>
      <c r="H16" s="212"/>
      <c r="I16" s="212"/>
      <c r="J16" s="212"/>
      <c r="K16" s="212"/>
      <c r="L16" s="212"/>
      <c r="M16" s="180"/>
      <c r="N16" s="180"/>
      <c r="O16" s="180"/>
      <c r="P16" s="180"/>
      <c r="Q16" s="180"/>
      <c r="R16" s="180"/>
      <c r="S16" s="180"/>
      <c r="T16" s="180"/>
      <c r="U16" s="180"/>
      <c r="V16" s="212"/>
      <c r="W16" s="212"/>
      <c r="X16" s="212"/>
      <c r="Y16" s="212"/>
      <c r="Z16" s="212"/>
    </row>
    <row r="17">
      <c r="A17" s="213" t="s">
        <v>155</v>
      </c>
      <c r="B17" s="213" t="s">
        <v>156</v>
      </c>
      <c r="C17" s="213">
        <v>1.5</v>
      </c>
      <c r="D17" s="213"/>
      <c r="E17" s="212"/>
      <c r="F17" s="212"/>
      <c r="G17" s="212"/>
      <c r="H17" s="212"/>
      <c r="I17" s="212"/>
      <c r="J17" s="212"/>
      <c r="K17" s="212"/>
      <c r="L17" s="212"/>
      <c r="M17" s="180"/>
      <c r="N17" s="180"/>
      <c r="O17" s="180"/>
      <c r="P17" s="180"/>
      <c r="Q17" s="180"/>
      <c r="R17" s="180"/>
      <c r="S17" s="180"/>
      <c r="T17" s="180"/>
      <c r="U17" s="180"/>
      <c r="V17" s="212"/>
      <c r="W17" s="212"/>
      <c r="X17" s="212"/>
      <c r="Y17" s="212"/>
      <c r="Z17" s="212"/>
    </row>
    <row r="18">
      <c r="A18" s="213" t="s">
        <v>157</v>
      </c>
      <c r="B18" s="213" t="s">
        <v>158</v>
      </c>
      <c r="C18" s="213">
        <v>2.0</v>
      </c>
      <c r="D18" s="213"/>
      <c r="E18" s="212"/>
      <c r="F18" s="212"/>
      <c r="G18" s="212"/>
      <c r="H18" s="212"/>
      <c r="I18" s="212"/>
      <c r="J18" s="212"/>
      <c r="K18" s="212"/>
      <c r="L18" s="212"/>
      <c r="M18" s="180"/>
      <c r="N18" s="180"/>
      <c r="O18" s="180"/>
      <c r="P18" s="180"/>
      <c r="Q18" s="180"/>
      <c r="R18" s="180"/>
      <c r="S18" s="180"/>
      <c r="T18" s="180"/>
      <c r="U18" s="180"/>
      <c r="V18" s="212"/>
      <c r="W18" s="212"/>
      <c r="X18" s="212"/>
      <c r="Y18" s="212"/>
      <c r="Z18" s="212"/>
    </row>
    <row r="19">
      <c r="A19" s="212"/>
      <c r="B19" s="212"/>
      <c r="C19" s="212"/>
      <c r="D19" s="212"/>
      <c r="E19" s="212"/>
      <c r="F19" s="212"/>
      <c r="G19" s="212"/>
      <c r="H19" s="212"/>
      <c r="I19" s="212"/>
      <c r="J19" s="212"/>
      <c r="K19" s="212"/>
      <c r="L19" s="212"/>
      <c r="M19" s="180"/>
      <c r="N19" s="180"/>
      <c r="O19" s="180"/>
      <c r="P19" s="180"/>
      <c r="Q19" s="180"/>
      <c r="R19" s="180"/>
      <c r="S19" s="180"/>
      <c r="T19" s="180"/>
      <c r="U19" s="180"/>
      <c r="V19" s="212"/>
      <c r="W19" s="212"/>
      <c r="X19" s="212"/>
      <c r="Y19" s="212"/>
      <c r="Z19" s="212"/>
    </row>
    <row r="20">
      <c r="A20" s="227" t="s">
        <v>161</v>
      </c>
      <c r="B20" s="227" t="s">
        <v>68</v>
      </c>
      <c r="C20" s="227" t="s">
        <v>152</v>
      </c>
      <c r="D20" s="229"/>
      <c r="E20" s="229"/>
      <c r="F20" s="229"/>
      <c r="G20" s="229"/>
      <c r="H20" s="212"/>
      <c r="I20" s="212"/>
      <c r="J20" s="212"/>
      <c r="K20" s="212"/>
      <c r="L20" s="212"/>
      <c r="M20" s="180"/>
      <c r="N20" s="180"/>
      <c r="O20" s="180"/>
      <c r="P20" s="180"/>
      <c r="Q20" s="180"/>
      <c r="R20" s="180"/>
      <c r="S20" s="180"/>
      <c r="T20" s="180"/>
      <c r="U20" s="180"/>
      <c r="V20" s="212"/>
      <c r="W20" s="212"/>
      <c r="X20" s="212"/>
      <c r="Y20" s="212"/>
      <c r="Z20" s="212"/>
    </row>
    <row r="21" ht="15.75" customHeight="1">
      <c r="A21" s="232" t="s">
        <v>162</v>
      </c>
      <c r="B21" s="234">
        <v>20.0</v>
      </c>
      <c r="C21" s="235"/>
      <c r="D21" s="229"/>
      <c r="E21" s="229"/>
      <c r="F21" s="229"/>
      <c r="G21" s="229"/>
      <c r="H21" s="212"/>
      <c r="I21" s="212"/>
      <c r="J21" s="212"/>
      <c r="K21" s="212"/>
      <c r="L21" s="212"/>
      <c r="M21" s="180"/>
      <c r="N21" s="180"/>
      <c r="O21" s="180"/>
      <c r="P21" s="180"/>
      <c r="Q21" s="180"/>
      <c r="R21" s="180"/>
      <c r="S21" s="180"/>
      <c r="T21" s="180"/>
      <c r="U21" s="180"/>
      <c r="V21" s="212"/>
      <c r="W21" s="212"/>
      <c r="X21" s="212"/>
      <c r="Y21" s="212"/>
      <c r="Z21" s="212"/>
    </row>
    <row r="22" ht="15.75" customHeight="1">
      <c r="A22" s="232" t="s">
        <v>169</v>
      </c>
      <c r="B22" s="234">
        <v>7.0</v>
      </c>
      <c r="C22" s="235"/>
      <c r="D22" s="229"/>
      <c r="E22" s="229"/>
      <c r="F22" s="229"/>
      <c r="G22" s="229"/>
      <c r="H22" s="212"/>
      <c r="I22" s="212"/>
      <c r="J22" s="212"/>
      <c r="K22" s="212"/>
      <c r="L22" s="212"/>
      <c r="M22" s="180"/>
      <c r="N22" s="180"/>
      <c r="O22" s="180"/>
      <c r="P22" s="180"/>
      <c r="Q22" s="180"/>
      <c r="R22" s="180"/>
      <c r="S22" s="180"/>
      <c r="T22" s="180"/>
      <c r="U22" s="180"/>
      <c r="V22" s="212"/>
      <c r="W22" s="212"/>
      <c r="X22" s="212"/>
      <c r="Y22" s="212"/>
      <c r="Z22" s="212"/>
    </row>
    <row r="23" ht="15.75" customHeight="1">
      <c r="A23" s="238" t="s">
        <v>171</v>
      </c>
      <c r="B23" s="239">
        <v>0.15</v>
      </c>
      <c r="C23" s="240" t="s">
        <v>173</v>
      </c>
      <c r="D23" s="229"/>
      <c r="E23" s="229"/>
      <c r="F23" s="229"/>
      <c r="G23" s="229"/>
      <c r="H23" s="212"/>
      <c r="I23" s="212"/>
      <c r="J23" s="212"/>
      <c r="K23" s="212"/>
      <c r="L23" s="212"/>
      <c r="M23" s="180"/>
      <c r="N23" s="180"/>
      <c r="O23" s="180"/>
      <c r="P23" s="180"/>
      <c r="Q23" s="180"/>
      <c r="R23" s="180"/>
      <c r="S23" s="180"/>
      <c r="T23" s="180"/>
      <c r="U23" s="180"/>
      <c r="V23" s="212"/>
      <c r="W23" s="212"/>
      <c r="X23" s="212"/>
      <c r="Y23" s="212"/>
      <c r="Z23" s="212"/>
    </row>
    <row r="24" ht="15.75" customHeight="1">
      <c r="A24" s="229" t="s">
        <v>175</v>
      </c>
      <c r="B24" s="229"/>
      <c r="C24" s="229"/>
      <c r="D24" s="229"/>
      <c r="E24" s="229"/>
      <c r="F24" s="229"/>
      <c r="G24" s="229"/>
      <c r="H24" s="212"/>
      <c r="I24" s="212"/>
      <c r="J24" s="212"/>
      <c r="K24" s="212"/>
      <c r="L24" s="212"/>
      <c r="M24" s="180"/>
      <c r="N24" s="180"/>
      <c r="O24" s="180"/>
      <c r="P24" s="180"/>
      <c r="Q24" s="180"/>
      <c r="R24" s="180"/>
      <c r="S24" s="180"/>
      <c r="T24" s="180"/>
      <c r="U24" s="180"/>
      <c r="V24" s="212"/>
      <c r="W24" s="212"/>
      <c r="X24" s="212"/>
      <c r="Y24" s="212"/>
      <c r="Z24" s="212"/>
    </row>
    <row r="25" ht="15.75" customHeight="1">
      <c r="A25" s="241"/>
      <c r="B25" s="241"/>
      <c r="C25" s="241"/>
      <c r="D25" s="241"/>
      <c r="E25" s="241"/>
      <c r="F25" s="241"/>
      <c r="G25" s="241"/>
      <c r="M25" s="180"/>
      <c r="N25" s="180"/>
      <c r="O25" s="180"/>
      <c r="P25" s="180"/>
      <c r="Q25" s="180"/>
      <c r="R25" s="180"/>
      <c r="S25" s="180"/>
      <c r="T25" s="180"/>
      <c r="U25" s="180"/>
    </row>
    <row r="26" ht="15.75" customHeight="1">
      <c r="A26" s="241"/>
      <c r="B26" s="241"/>
      <c r="C26" s="241"/>
      <c r="D26" s="241"/>
      <c r="E26" s="241"/>
      <c r="F26" s="241"/>
      <c r="G26" s="241"/>
      <c r="M26" s="180"/>
      <c r="N26" s="180"/>
      <c r="O26" s="180"/>
      <c r="P26" s="180"/>
      <c r="Q26" s="180"/>
      <c r="R26" s="180"/>
      <c r="S26" s="180"/>
      <c r="T26" s="180"/>
      <c r="U26" s="18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D9:D11"/>
    <mergeCell ref="C12:D12"/>
    <mergeCell ref="C13:D13"/>
    <mergeCell ref="A1:A3"/>
    <mergeCell ref="B1:E3"/>
    <mergeCell ref="F1:H1"/>
    <mergeCell ref="F2:H2"/>
    <mergeCell ref="F3:H3"/>
    <mergeCell ref="F4:H4"/>
    <mergeCell ref="A7:D7"/>
  </mergeCells>
  <dataValidations>
    <dataValidation type="list" allowBlank="1" showErrorMessage="1" sqref="B9">
      <formula1>"POC/MVP,New Development - Small,New Development - Medium,New Development - Big,Enhancement - Small,Enhancement - Medium,Enhancement - Big"</formula1>
    </dataValidation>
    <dataValidation type="list" allowBlank="1" showErrorMessage="1" sqref="B23">
      <formula1>"15%,20%,25%,30%,35%"</formula1>
    </dataValidation>
    <dataValidation type="list" allowBlank="1" showErrorMessage="1" sqref="B10:B11">
      <formula1>"High,Medium,Low"</formula1>
    </dataValidation>
  </dataValidations>
  <hyperlinks>
    <hyperlink display="- Refer table Pattern " location="null!A15:B18" ref="C12"/>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75"/>
    <col customWidth="1" min="2" max="2" width="18.5"/>
    <col customWidth="1" min="3" max="3" width="23.5"/>
    <col customWidth="1" min="4" max="4" width="32.5"/>
    <col customWidth="1" min="5" max="5" width="17.75"/>
    <col customWidth="1" min="6" max="6" width="12.63"/>
  </cols>
  <sheetData>
    <row r="1">
      <c r="A1" s="1"/>
      <c r="B1" s="7"/>
      <c r="C1" s="3" t="s">
        <v>192</v>
      </c>
      <c r="D1" s="2"/>
      <c r="E1" s="2"/>
      <c r="F1" s="5" t="s">
        <v>2</v>
      </c>
      <c r="G1" s="2"/>
      <c r="H1" s="7"/>
      <c r="I1" s="156"/>
      <c r="J1" s="156"/>
    </row>
    <row r="2">
      <c r="A2" s="9"/>
      <c r="B2" s="11"/>
      <c r="C2" s="9"/>
      <c r="F2" s="10" t="s">
        <v>3</v>
      </c>
      <c r="H2" s="11"/>
      <c r="I2" s="156"/>
      <c r="J2" s="156"/>
    </row>
    <row r="3">
      <c r="A3" s="205"/>
      <c r="B3" s="14"/>
      <c r="C3" s="205"/>
      <c r="D3" s="15"/>
      <c r="E3" s="15"/>
      <c r="F3" s="13" t="s">
        <v>4</v>
      </c>
      <c r="G3" s="15"/>
      <c r="H3" s="14"/>
      <c r="I3" s="156"/>
      <c r="J3" s="156"/>
    </row>
    <row r="4">
      <c r="A4" s="17" t="s">
        <v>5</v>
      </c>
      <c r="B4" s="18"/>
      <c r="C4" s="18"/>
      <c r="D4" s="18"/>
      <c r="E4" s="18"/>
      <c r="F4" s="21" t="s">
        <v>6</v>
      </c>
      <c r="G4" s="15"/>
      <c r="H4" s="14"/>
      <c r="I4" s="244"/>
      <c r="J4" s="244"/>
    </row>
    <row r="5">
      <c r="A5" s="24"/>
      <c r="B5" s="156"/>
      <c r="C5" s="156"/>
      <c r="D5" s="156"/>
      <c r="E5" s="156"/>
      <c r="F5" s="156"/>
      <c r="G5" s="156"/>
      <c r="H5" s="156"/>
      <c r="I5" s="244"/>
      <c r="J5" s="244"/>
    </row>
    <row r="6">
      <c r="A6" s="245" t="s">
        <v>8</v>
      </c>
      <c r="B6" s="245" t="s">
        <v>62</v>
      </c>
      <c r="C6" s="245" t="s">
        <v>202</v>
      </c>
      <c r="D6" s="245" t="s">
        <v>66</v>
      </c>
      <c r="E6" s="245" t="s">
        <v>203</v>
      </c>
      <c r="F6" s="246" t="s">
        <v>204</v>
      </c>
      <c r="G6" s="18"/>
      <c r="H6" s="19"/>
      <c r="I6" s="247"/>
      <c r="J6" s="247"/>
      <c r="K6" s="212"/>
      <c r="L6" s="212"/>
      <c r="M6" s="212"/>
      <c r="N6" s="212"/>
      <c r="O6" s="212"/>
      <c r="P6" s="212"/>
      <c r="Q6" s="212"/>
      <c r="R6" s="212"/>
      <c r="S6" s="212"/>
      <c r="T6" s="212"/>
      <c r="U6" s="212"/>
      <c r="V6" s="212"/>
      <c r="W6" s="212"/>
      <c r="X6" s="212"/>
      <c r="Y6" s="212"/>
      <c r="Z6" s="212"/>
    </row>
    <row r="7">
      <c r="A7" s="204"/>
      <c r="B7" s="204"/>
      <c r="C7" s="204"/>
      <c r="D7" s="204"/>
      <c r="E7" s="204"/>
      <c r="F7" s="248" t="s">
        <v>207</v>
      </c>
      <c r="G7" s="248" t="s">
        <v>208</v>
      </c>
      <c r="H7" s="248" t="s">
        <v>209</v>
      </c>
      <c r="I7" s="247"/>
      <c r="J7" s="247"/>
      <c r="K7" s="212"/>
      <c r="L7" s="212"/>
      <c r="M7" s="212"/>
      <c r="N7" s="212"/>
      <c r="O7" s="212"/>
      <c r="P7" s="212"/>
      <c r="Q7" s="212"/>
      <c r="R7" s="212"/>
      <c r="S7" s="212"/>
      <c r="T7" s="212"/>
      <c r="U7" s="212"/>
      <c r="V7" s="212"/>
      <c r="W7" s="212"/>
      <c r="X7" s="212"/>
      <c r="Y7" s="212"/>
      <c r="Z7" s="212"/>
    </row>
    <row r="8">
      <c r="A8" s="249">
        <v>1.0</v>
      </c>
      <c r="B8" s="250" t="s">
        <v>211</v>
      </c>
      <c r="C8" s="238" t="s">
        <v>142</v>
      </c>
      <c r="D8" s="238" t="s">
        <v>213</v>
      </c>
      <c r="E8" s="251" t="s">
        <v>214</v>
      </c>
      <c r="F8" s="238">
        <v>2.0</v>
      </c>
      <c r="G8" s="238">
        <v>0.0</v>
      </c>
      <c r="H8" s="238">
        <v>2.5</v>
      </c>
      <c r="I8" s="247"/>
      <c r="J8" s="247"/>
      <c r="K8" s="212"/>
      <c r="L8" s="212"/>
      <c r="M8" s="212"/>
      <c r="N8" s="212"/>
      <c r="O8" s="212"/>
      <c r="P8" s="212"/>
      <c r="Q8" s="212"/>
      <c r="R8" s="212"/>
      <c r="S8" s="212"/>
      <c r="T8" s="212"/>
      <c r="U8" s="212"/>
      <c r="V8" s="212"/>
      <c r="W8" s="212"/>
      <c r="X8" s="212"/>
      <c r="Y8" s="212"/>
      <c r="Z8" s="212"/>
    </row>
    <row r="9">
      <c r="A9" s="249">
        <v>2.0</v>
      </c>
      <c r="B9" s="201"/>
      <c r="C9" s="238" t="s">
        <v>165</v>
      </c>
      <c r="D9" s="238" t="s">
        <v>221</v>
      </c>
      <c r="E9" s="252"/>
      <c r="F9" s="238">
        <v>1.0</v>
      </c>
      <c r="G9" s="238">
        <v>0.0</v>
      </c>
      <c r="H9" s="238">
        <v>1.5</v>
      </c>
      <c r="I9" s="247"/>
      <c r="J9" s="247"/>
      <c r="K9" s="212"/>
      <c r="L9" s="212"/>
      <c r="M9" s="212"/>
      <c r="N9" s="212"/>
      <c r="O9" s="212"/>
      <c r="P9" s="212"/>
      <c r="Q9" s="212"/>
      <c r="R9" s="212"/>
      <c r="S9" s="212"/>
      <c r="T9" s="212"/>
      <c r="U9" s="212"/>
      <c r="V9" s="212"/>
      <c r="W9" s="212"/>
      <c r="X9" s="212"/>
      <c r="Y9" s="212"/>
      <c r="Z9" s="212"/>
    </row>
    <row r="10">
      <c r="A10" s="249">
        <v>3.0</v>
      </c>
      <c r="B10" s="201"/>
      <c r="C10" s="238" t="s">
        <v>223</v>
      </c>
      <c r="D10" s="238"/>
      <c r="E10" s="252"/>
      <c r="F10" s="238">
        <v>2.5</v>
      </c>
      <c r="G10" s="238">
        <v>0.0</v>
      </c>
      <c r="H10" s="238">
        <v>3.0</v>
      </c>
      <c r="I10" s="247"/>
      <c r="J10" s="247"/>
      <c r="K10" s="212"/>
      <c r="L10" s="212"/>
      <c r="M10" s="212"/>
      <c r="N10" s="212"/>
      <c r="O10" s="212"/>
      <c r="P10" s="212"/>
      <c r="Q10" s="212"/>
      <c r="R10" s="212"/>
      <c r="S10" s="212"/>
      <c r="T10" s="212"/>
      <c r="U10" s="212"/>
      <c r="V10" s="212"/>
      <c r="W10" s="212"/>
      <c r="X10" s="212"/>
      <c r="Y10" s="212"/>
      <c r="Z10" s="212"/>
    </row>
    <row r="11">
      <c r="A11" s="249">
        <v>4.0</v>
      </c>
      <c r="B11" s="201"/>
      <c r="C11" s="238" t="s">
        <v>225</v>
      </c>
      <c r="D11" s="238"/>
      <c r="E11" s="252"/>
      <c r="F11" s="238">
        <v>2.5</v>
      </c>
      <c r="G11" s="238">
        <v>0.0</v>
      </c>
      <c r="H11" s="238">
        <v>3.0</v>
      </c>
      <c r="I11" s="247"/>
      <c r="J11" s="247"/>
      <c r="K11" s="212"/>
      <c r="L11" s="212"/>
      <c r="M11" s="212"/>
      <c r="N11" s="212"/>
      <c r="O11" s="212"/>
      <c r="P11" s="212"/>
      <c r="Q11" s="212"/>
      <c r="R11" s="212"/>
      <c r="S11" s="212"/>
      <c r="T11" s="212"/>
      <c r="U11" s="212"/>
      <c r="V11" s="212"/>
      <c r="W11" s="212"/>
      <c r="X11" s="212"/>
      <c r="Y11" s="212"/>
      <c r="Z11" s="212"/>
    </row>
    <row r="12">
      <c r="A12" s="249">
        <v>5.0</v>
      </c>
      <c r="B12" s="201"/>
      <c r="C12" s="238" t="s">
        <v>229</v>
      </c>
      <c r="D12" s="238" t="s">
        <v>230</v>
      </c>
      <c r="E12" s="251" t="s">
        <v>232</v>
      </c>
      <c r="F12" s="238">
        <v>3.0</v>
      </c>
      <c r="G12" s="238">
        <v>0.0</v>
      </c>
      <c r="H12" s="238">
        <v>3.0</v>
      </c>
      <c r="I12" s="247"/>
      <c r="J12" s="247"/>
      <c r="K12" s="212"/>
      <c r="L12" s="212"/>
      <c r="M12" s="212"/>
      <c r="N12" s="212"/>
      <c r="O12" s="212"/>
      <c r="P12" s="212"/>
      <c r="Q12" s="212"/>
      <c r="R12" s="212"/>
      <c r="S12" s="212"/>
      <c r="T12" s="212"/>
      <c r="U12" s="212"/>
      <c r="V12" s="212"/>
      <c r="W12" s="212"/>
      <c r="X12" s="212"/>
      <c r="Y12" s="212"/>
      <c r="Z12" s="212"/>
    </row>
    <row r="13">
      <c r="A13" s="249">
        <v>6.0</v>
      </c>
      <c r="B13" s="201"/>
      <c r="C13" s="238" t="s">
        <v>185</v>
      </c>
      <c r="D13" s="238"/>
      <c r="E13" s="251" t="s">
        <v>237</v>
      </c>
      <c r="F13" s="238">
        <v>1.0</v>
      </c>
      <c r="G13" s="238">
        <v>0.0</v>
      </c>
      <c r="H13" s="238">
        <v>1.0</v>
      </c>
      <c r="I13" s="247"/>
      <c r="J13" s="247"/>
      <c r="K13" s="212"/>
      <c r="L13" s="212"/>
      <c r="M13" s="212"/>
      <c r="N13" s="212"/>
      <c r="O13" s="212"/>
      <c r="P13" s="212"/>
      <c r="Q13" s="212"/>
      <c r="R13" s="212"/>
      <c r="S13" s="212"/>
      <c r="T13" s="212"/>
      <c r="U13" s="212"/>
      <c r="V13" s="212"/>
      <c r="W13" s="212"/>
      <c r="X13" s="212"/>
      <c r="Y13" s="212"/>
      <c r="Z13" s="212"/>
    </row>
    <row r="14">
      <c r="A14" s="249">
        <v>7.0</v>
      </c>
      <c r="B14" s="201"/>
      <c r="C14" s="238" t="s">
        <v>200</v>
      </c>
      <c r="D14" s="238" t="s">
        <v>241</v>
      </c>
      <c r="E14" s="251" t="s">
        <v>242</v>
      </c>
      <c r="F14" s="238">
        <v>3.0</v>
      </c>
      <c r="G14" s="238">
        <v>0.0</v>
      </c>
      <c r="H14" s="238">
        <v>3.0</v>
      </c>
      <c r="I14" s="247"/>
      <c r="J14" s="247"/>
      <c r="K14" s="212"/>
      <c r="L14" s="212"/>
      <c r="M14" s="212"/>
      <c r="N14" s="212"/>
      <c r="O14" s="212"/>
      <c r="P14" s="212"/>
      <c r="Q14" s="212"/>
      <c r="R14" s="212"/>
      <c r="S14" s="212"/>
      <c r="T14" s="212"/>
      <c r="U14" s="212"/>
      <c r="V14" s="212"/>
      <c r="W14" s="212"/>
      <c r="X14" s="212"/>
      <c r="Y14" s="212"/>
      <c r="Z14" s="212"/>
    </row>
    <row r="15">
      <c r="A15" s="249">
        <v>8.0</v>
      </c>
      <c r="B15" s="204"/>
      <c r="C15" s="238" t="s">
        <v>228</v>
      </c>
      <c r="D15" s="238" t="s">
        <v>247</v>
      </c>
      <c r="E15" s="251" t="s">
        <v>248</v>
      </c>
      <c r="F15" s="238">
        <v>2.0</v>
      </c>
      <c r="G15" s="238">
        <v>0.0</v>
      </c>
      <c r="H15" s="238">
        <v>2.0</v>
      </c>
      <c r="I15" s="247"/>
      <c r="J15" s="247"/>
      <c r="K15" s="212"/>
      <c r="L15" s="212"/>
      <c r="M15" s="212"/>
      <c r="N15" s="212"/>
      <c r="O15" s="212"/>
      <c r="P15" s="212"/>
      <c r="Q15" s="212"/>
      <c r="R15" s="212"/>
      <c r="S15" s="212"/>
      <c r="T15" s="212"/>
      <c r="U15" s="212"/>
      <c r="V15" s="212"/>
      <c r="W15" s="212"/>
      <c r="X15" s="212"/>
      <c r="Y15" s="212"/>
      <c r="Z15" s="212"/>
    </row>
    <row r="16">
      <c r="A16" s="249">
        <v>9.0</v>
      </c>
      <c r="B16" s="250" t="s">
        <v>254</v>
      </c>
      <c r="C16" s="238" t="s">
        <v>255</v>
      </c>
      <c r="D16" s="238" t="s">
        <v>256</v>
      </c>
      <c r="E16" s="251" t="s">
        <v>257</v>
      </c>
      <c r="F16" s="238">
        <v>2.0</v>
      </c>
      <c r="G16" s="238">
        <v>0.0</v>
      </c>
      <c r="H16" s="238">
        <v>3.0</v>
      </c>
      <c r="I16" s="247"/>
      <c r="J16" s="247"/>
      <c r="K16" s="212"/>
      <c r="L16" s="212"/>
      <c r="M16" s="212"/>
      <c r="N16" s="212"/>
      <c r="O16" s="212"/>
      <c r="P16" s="212"/>
      <c r="Q16" s="212"/>
      <c r="R16" s="212"/>
      <c r="S16" s="212"/>
      <c r="T16" s="212"/>
      <c r="U16" s="212"/>
      <c r="V16" s="212"/>
      <c r="W16" s="212"/>
      <c r="X16" s="212"/>
      <c r="Y16" s="212"/>
      <c r="Z16" s="212"/>
    </row>
    <row r="17">
      <c r="A17" s="249">
        <v>10.0</v>
      </c>
      <c r="B17" s="201"/>
      <c r="C17" s="238" t="s">
        <v>259</v>
      </c>
      <c r="D17" s="238"/>
      <c r="E17" s="252"/>
      <c r="F17" s="238">
        <v>5.0</v>
      </c>
      <c r="G17" s="238">
        <v>1.0</v>
      </c>
      <c r="H17" s="238">
        <v>7.0</v>
      </c>
      <c r="I17" s="247"/>
      <c r="J17" s="247"/>
      <c r="K17" s="212"/>
      <c r="L17" s="212"/>
      <c r="M17" s="212"/>
      <c r="N17" s="212"/>
      <c r="O17" s="212"/>
      <c r="P17" s="212"/>
      <c r="Q17" s="212"/>
      <c r="R17" s="212"/>
      <c r="S17" s="212"/>
      <c r="T17" s="212"/>
      <c r="U17" s="212"/>
      <c r="V17" s="212"/>
      <c r="W17" s="212"/>
      <c r="X17" s="212"/>
      <c r="Y17" s="212"/>
      <c r="Z17" s="212"/>
    </row>
    <row r="18">
      <c r="A18" s="249">
        <v>11.0</v>
      </c>
      <c r="B18" s="201"/>
      <c r="C18" s="238" t="s">
        <v>207</v>
      </c>
      <c r="D18" s="238" t="s">
        <v>260</v>
      </c>
      <c r="E18" s="251" t="s">
        <v>261</v>
      </c>
      <c r="F18" s="238">
        <v>5.0</v>
      </c>
      <c r="G18" s="238">
        <v>0.0</v>
      </c>
      <c r="H18" s="238">
        <v>6.0</v>
      </c>
      <c r="I18" s="247"/>
      <c r="J18" s="247"/>
      <c r="K18" s="212"/>
      <c r="L18" s="212"/>
      <c r="M18" s="212"/>
      <c r="N18" s="212"/>
      <c r="O18" s="212"/>
      <c r="P18" s="212"/>
      <c r="Q18" s="212"/>
      <c r="R18" s="212"/>
      <c r="S18" s="212"/>
      <c r="T18" s="212"/>
      <c r="U18" s="212"/>
      <c r="V18" s="212"/>
      <c r="W18" s="212"/>
      <c r="X18" s="212"/>
      <c r="Y18" s="212"/>
      <c r="Z18" s="212"/>
    </row>
    <row r="19">
      <c r="A19" s="249">
        <v>12.0</v>
      </c>
      <c r="B19" s="201"/>
      <c r="C19" s="238" t="s">
        <v>66</v>
      </c>
      <c r="D19" s="238"/>
      <c r="E19" s="251" t="s">
        <v>265</v>
      </c>
      <c r="F19" s="238">
        <v>1.0</v>
      </c>
      <c r="G19" s="238">
        <v>0.0</v>
      </c>
      <c r="H19" s="238">
        <v>2.0</v>
      </c>
      <c r="I19" s="247"/>
      <c r="J19" s="247"/>
      <c r="K19" s="212"/>
      <c r="L19" s="212"/>
      <c r="M19" s="212"/>
      <c r="N19" s="212"/>
      <c r="O19" s="212"/>
      <c r="P19" s="212"/>
      <c r="Q19" s="212"/>
      <c r="R19" s="212"/>
      <c r="S19" s="212"/>
      <c r="T19" s="212"/>
      <c r="U19" s="212"/>
      <c r="V19" s="212"/>
      <c r="W19" s="212"/>
      <c r="X19" s="212"/>
      <c r="Y19" s="212"/>
      <c r="Z19" s="212"/>
    </row>
    <row r="20">
      <c r="A20" s="249">
        <v>13.0</v>
      </c>
      <c r="B20" s="201"/>
      <c r="C20" s="238" t="s">
        <v>269</v>
      </c>
      <c r="D20" s="238" t="s">
        <v>270</v>
      </c>
      <c r="E20" s="251" t="s">
        <v>271</v>
      </c>
      <c r="F20" s="238">
        <v>2.0</v>
      </c>
      <c r="G20" s="238">
        <v>0.0</v>
      </c>
      <c r="H20" s="238">
        <v>3.0</v>
      </c>
      <c r="I20" s="247"/>
      <c r="J20" s="247"/>
      <c r="K20" s="212"/>
      <c r="L20" s="212"/>
      <c r="M20" s="212"/>
      <c r="N20" s="212"/>
      <c r="O20" s="212"/>
      <c r="P20" s="212"/>
      <c r="Q20" s="212"/>
      <c r="R20" s="212"/>
      <c r="S20" s="212"/>
      <c r="T20" s="212"/>
      <c r="U20" s="212"/>
      <c r="V20" s="212"/>
      <c r="W20" s="212"/>
      <c r="X20" s="212"/>
      <c r="Y20" s="212"/>
      <c r="Z20" s="212"/>
    </row>
    <row r="21" ht="15.75" customHeight="1">
      <c r="A21" s="249">
        <v>14.0</v>
      </c>
      <c r="B21" s="204"/>
      <c r="C21" s="238" t="s">
        <v>276</v>
      </c>
      <c r="D21" s="238"/>
      <c r="E21" s="251" t="s">
        <v>277</v>
      </c>
      <c r="F21" s="238">
        <v>1.0</v>
      </c>
      <c r="G21" s="238">
        <v>0.0</v>
      </c>
      <c r="H21" s="238">
        <v>1.0</v>
      </c>
      <c r="I21" s="247"/>
      <c r="J21" s="247"/>
      <c r="K21" s="212"/>
      <c r="L21" s="212"/>
      <c r="M21" s="212"/>
      <c r="N21" s="212"/>
      <c r="O21" s="212"/>
      <c r="P21" s="212"/>
      <c r="Q21" s="212"/>
      <c r="R21" s="212"/>
      <c r="S21" s="212"/>
      <c r="T21" s="212"/>
      <c r="U21" s="212"/>
      <c r="V21" s="212"/>
      <c r="W21" s="212"/>
      <c r="X21" s="212"/>
      <c r="Y21" s="212"/>
      <c r="Z21" s="212"/>
    </row>
    <row r="22" ht="15.75" customHeight="1">
      <c r="A22" s="249">
        <v>15.0</v>
      </c>
      <c r="B22" s="250" t="s">
        <v>280</v>
      </c>
      <c r="C22" s="238" t="s">
        <v>282</v>
      </c>
      <c r="D22" s="238" t="s">
        <v>283</v>
      </c>
      <c r="E22" s="258" t="s">
        <v>284</v>
      </c>
      <c r="F22" s="238">
        <v>3.0</v>
      </c>
      <c r="G22" s="238">
        <v>0.0</v>
      </c>
      <c r="H22" s="238">
        <v>4.0</v>
      </c>
      <c r="I22" s="247"/>
      <c r="J22" s="247"/>
      <c r="K22" s="212"/>
      <c r="L22" s="212"/>
      <c r="M22" s="212"/>
      <c r="N22" s="212"/>
      <c r="O22" s="212"/>
      <c r="P22" s="212"/>
      <c r="Q22" s="212"/>
      <c r="R22" s="212"/>
      <c r="S22" s="212"/>
      <c r="T22" s="212"/>
      <c r="U22" s="212"/>
      <c r="V22" s="212"/>
      <c r="W22" s="212"/>
      <c r="X22" s="212"/>
      <c r="Y22" s="212"/>
      <c r="Z22" s="212"/>
    </row>
    <row r="23" ht="15.75" customHeight="1">
      <c r="A23" s="249">
        <v>16.0</v>
      </c>
      <c r="B23" s="201"/>
      <c r="C23" s="238" t="s">
        <v>285</v>
      </c>
      <c r="D23" s="238"/>
      <c r="E23" s="201"/>
      <c r="F23" s="238">
        <v>3.0</v>
      </c>
      <c r="G23" s="238">
        <v>0.0</v>
      </c>
      <c r="H23" s="238">
        <v>4.0</v>
      </c>
      <c r="I23" s="247"/>
      <c r="J23" s="247"/>
      <c r="K23" s="212"/>
      <c r="L23" s="212"/>
      <c r="M23" s="212"/>
      <c r="N23" s="212"/>
      <c r="O23" s="212"/>
      <c r="P23" s="212"/>
      <c r="Q23" s="212"/>
      <c r="R23" s="212"/>
      <c r="S23" s="212"/>
      <c r="T23" s="212"/>
      <c r="U23" s="212"/>
      <c r="V23" s="212"/>
      <c r="W23" s="212"/>
      <c r="X23" s="212"/>
      <c r="Y23" s="212"/>
      <c r="Z23" s="212"/>
    </row>
    <row r="24" ht="15.75" customHeight="1">
      <c r="A24" s="249">
        <v>17.0</v>
      </c>
      <c r="B24" s="201"/>
      <c r="C24" s="250" t="s">
        <v>286</v>
      </c>
      <c r="D24" s="250" t="s">
        <v>287</v>
      </c>
      <c r="E24" s="201"/>
      <c r="F24" s="238">
        <v>10.0</v>
      </c>
      <c r="G24" s="238">
        <v>4.0</v>
      </c>
      <c r="H24" s="238">
        <v>16.0</v>
      </c>
      <c r="I24" s="247"/>
      <c r="J24" s="247"/>
      <c r="K24" s="212"/>
      <c r="L24" s="212"/>
      <c r="M24" s="212"/>
      <c r="N24" s="212"/>
      <c r="O24" s="212"/>
      <c r="P24" s="212"/>
      <c r="Q24" s="212"/>
      <c r="R24" s="212"/>
      <c r="S24" s="212"/>
      <c r="T24" s="212"/>
      <c r="U24" s="212"/>
      <c r="V24" s="212"/>
      <c r="W24" s="212"/>
      <c r="X24" s="212"/>
      <c r="Y24" s="212"/>
      <c r="Z24" s="212"/>
    </row>
    <row r="25" ht="15.75" customHeight="1">
      <c r="A25" s="249">
        <v>18.0</v>
      </c>
      <c r="B25" s="201"/>
      <c r="C25" s="250" t="s">
        <v>288</v>
      </c>
      <c r="D25" s="201"/>
      <c r="E25" s="201"/>
      <c r="F25" s="238">
        <v>4.0</v>
      </c>
      <c r="G25" s="238">
        <v>2.0</v>
      </c>
      <c r="H25" s="238">
        <v>6.0</v>
      </c>
      <c r="I25" s="247"/>
      <c r="J25" s="247"/>
      <c r="K25" s="212"/>
      <c r="L25" s="212"/>
      <c r="M25" s="212"/>
      <c r="N25" s="212"/>
      <c r="O25" s="212"/>
      <c r="P25" s="212"/>
      <c r="Q25" s="212"/>
      <c r="R25" s="212"/>
      <c r="S25" s="212"/>
      <c r="T25" s="212"/>
      <c r="U25" s="212"/>
      <c r="V25" s="212"/>
      <c r="W25" s="212"/>
      <c r="X25" s="212"/>
      <c r="Y25" s="212"/>
      <c r="Z25" s="212"/>
    </row>
    <row r="26" ht="15.75" customHeight="1">
      <c r="A26" s="249">
        <v>19.0</v>
      </c>
      <c r="B26" s="201"/>
      <c r="C26" s="250" t="s">
        <v>289</v>
      </c>
      <c r="D26" s="201"/>
      <c r="E26" s="201"/>
      <c r="F26" s="238">
        <v>4.0</v>
      </c>
      <c r="G26" s="238">
        <v>2.0</v>
      </c>
      <c r="H26" s="238">
        <v>6.0</v>
      </c>
      <c r="I26" s="247"/>
      <c r="J26" s="247"/>
      <c r="K26" s="212"/>
      <c r="L26" s="212"/>
      <c r="M26" s="212"/>
      <c r="N26" s="212"/>
      <c r="O26" s="212"/>
      <c r="P26" s="212"/>
      <c r="Q26" s="212"/>
      <c r="R26" s="212"/>
      <c r="S26" s="212"/>
      <c r="T26" s="212"/>
      <c r="U26" s="212"/>
      <c r="V26" s="212"/>
      <c r="W26" s="212"/>
      <c r="X26" s="212"/>
      <c r="Y26" s="212"/>
      <c r="Z26" s="212"/>
    </row>
    <row r="27" ht="15.75" customHeight="1">
      <c r="A27" s="249">
        <v>20.0</v>
      </c>
      <c r="B27" s="201"/>
      <c r="C27" s="250" t="s">
        <v>290</v>
      </c>
      <c r="D27" s="204"/>
      <c r="E27" s="204"/>
      <c r="F27" s="238">
        <v>4.0</v>
      </c>
      <c r="G27" s="238">
        <v>2.0</v>
      </c>
      <c r="H27" s="238">
        <v>6.0</v>
      </c>
      <c r="I27" s="247"/>
      <c r="J27" s="247"/>
      <c r="K27" s="212"/>
      <c r="L27" s="212"/>
      <c r="M27" s="212"/>
      <c r="N27" s="212"/>
      <c r="O27" s="212"/>
      <c r="P27" s="212"/>
      <c r="Q27" s="212"/>
      <c r="R27" s="212"/>
      <c r="S27" s="212"/>
      <c r="T27" s="212"/>
      <c r="U27" s="212"/>
      <c r="V27" s="212"/>
      <c r="W27" s="212"/>
      <c r="X27" s="212"/>
      <c r="Y27" s="212"/>
      <c r="Z27" s="212"/>
    </row>
    <row r="28" ht="15.75" customHeight="1">
      <c r="A28" s="249">
        <v>21.0</v>
      </c>
      <c r="B28" s="201"/>
      <c r="C28" s="259" t="s">
        <v>292</v>
      </c>
      <c r="D28" s="259" t="s">
        <v>293</v>
      </c>
      <c r="E28" s="260"/>
      <c r="F28" s="259"/>
      <c r="G28" s="259"/>
      <c r="H28" s="259"/>
      <c r="I28" s="247"/>
      <c r="J28" s="247"/>
      <c r="K28" s="212"/>
      <c r="L28" s="212"/>
      <c r="M28" s="212"/>
      <c r="N28" s="212"/>
      <c r="O28" s="212"/>
      <c r="P28" s="212"/>
      <c r="Q28" s="212"/>
      <c r="R28" s="212"/>
      <c r="S28" s="212"/>
      <c r="T28" s="212"/>
      <c r="U28" s="212"/>
      <c r="V28" s="212"/>
      <c r="W28" s="212"/>
      <c r="X28" s="212"/>
      <c r="Y28" s="212"/>
      <c r="Z28" s="212"/>
    </row>
    <row r="29" ht="15.75" customHeight="1">
      <c r="A29" s="249">
        <v>22.0</v>
      </c>
      <c r="B29" s="201"/>
      <c r="C29" s="259" t="s">
        <v>294</v>
      </c>
      <c r="D29" s="259" t="s">
        <v>295</v>
      </c>
      <c r="E29" s="260"/>
      <c r="F29" s="259"/>
      <c r="G29" s="259"/>
      <c r="H29" s="259"/>
      <c r="I29" s="247"/>
      <c r="J29" s="247"/>
      <c r="K29" s="212"/>
      <c r="L29" s="212"/>
      <c r="M29" s="212"/>
      <c r="N29" s="212"/>
      <c r="O29" s="212"/>
      <c r="P29" s="212"/>
      <c r="Q29" s="212"/>
      <c r="R29" s="212"/>
      <c r="S29" s="212"/>
      <c r="T29" s="212"/>
      <c r="U29" s="212"/>
      <c r="V29" s="212"/>
      <c r="W29" s="212"/>
      <c r="X29" s="212"/>
      <c r="Y29" s="212"/>
      <c r="Z29" s="212"/>
    </row>
    <row r="30" ht="15.75" customHeight="1">
      <c r="A30" s="249">
        <v>23.0</v>
      </c>
      <c r="B30" s="204"/>
      <c r="C30" s="259" t="s">
        <v>296</v>
      </c>
      <c r="D30" s="259"/>
      <c r="E30" s="260"/>
      <c r="F30" s="259"/>
      <c r="G30" s="259"/>
      <c r="H30" s="259"/>
      <c r="I30" s="247"/>
      <c r="J30" s="247"/>
      <c r="K30" s="212"/>
      <c r="L30" s="212"/>
      <c r="M30" s="212"/>
      <c r="N30" s="212"/>
      <c r="O30" s="212"/>
      <c r="P30" s="212"/>
      <c r="Q30" s="212"/>
      <c r="R30" s="212"/>
      <c r="S30" s="212"/>
      <c r="T30" s="212"/>
      <c r="U30" s="212"/>
      <c r="V30" s="212"/>
      <c r="W30" s="212"/>
      <c r="X30" s="212"/>
      <c r="Y30" s="212"/>
      <c r="Z30" s="212"/>
    </row>
    <row r="31" ht="15.75" customHeight="1">
      <c r="A31" s="249">
        <v>24.0</v>
      </c>
      <c r="B31" s="250" t="s">
        <v>297</v>
      </c>
      <c r="C31" s="259" t="s">
        <v>298</v>
      </c>
      <c r="D31" s="259"/>
      <c r="E31" s="261" t="s">
        <v>299</v>
      </c>
      <c r="F31" s="259"/>
      <c r="G31" s="259"/>
      <c r="H31" s="259"/>
      <c r="I31" s="247"/>
      <c r="J31" s="247"/>
      <c r="K31" s="212"/>
      <c r="L31" s="212"/>
      <c r="M31" s="212"/>
      <c r="N31" s="212"/>
      <c r="O31" s="212"/>
      <c r="P31" s="212"/>
      <c r="Q31" s="212"/>
      <c r="R31" s="212"/>
      <c r="S31" s="212"/>
      <c r="T31" s="212"/>
      <c r="U31" s="212"/>
      <c r="V31" s="212"/>
      <c r="W31" s="212"/>
      <c r="X31" s="212"/>
      <c r="Y31" s="212"/>
      <c r="Z31" s="212"/>
    </row>
    <row r="32" ht="15.75" customHeight="1">
      <c r="A32" s="249">
        <v>25.0</v>
      </c>
      <c r="B32" s="201"/>
      <c r="C32" s="259" t="s">
        <v>300</v>
      </c>
      <c r="D32" s="259" t="s">
        <v>301</v>
      </c>
      <c r="E32" s="262"/>
      <c r="F32" s="259"/>
      <c r="G32" s="259"/>
      <c r="H32" s="259"/>
      <c r="I32" s="247"/>
      <c r="J32" s="247"/>
      <c r="K32" s="212"/>
      <c r="L32" s="212"/>
      <c r="M32" s="212"/>
      <c r="N32" s="212"/>
      <c r="O32" s="212"/>
      <c r="P32" s="212"/>
      <c r="Q32" s="212"/>
      <c r="R32" s="212"/>
      <c r="S32" s="212"/>
      <c r="T32" s="212"/>
      <c r="U32" s="212"/>
      <c r="V32" s="212"/>
      <c r="W32" s="212"/>
      <c r="X32" s="212"/>
      <c r="Y32" s="212"/>
      <c r="Z32" s="212"/>
    </row>
    <row r="33" ht="15.75" customHeight="1">
      <c r="A33" s="249">
        <v>26.0</v>
      </c>
      <c r="B33" s="201"/>
      <c r="C33" s="259" t="s">
        <v>303</v>
      </c>
      <c r="D33" s="259" t="s">
        <v>301</v>
      </c>
      <c r="E33" s="261" t="s">
        <v>304</v>
      </c>
      <c r="F33" s="259"/>
      <c r="G33" s="259"/>
      <c r="H33" s="259"/>
      <c r="I33" s="247"/>
      <c r="J33" s="247"/>
      <c r="K33" s="212"/>
      <c r="L33" s="212"/>
      <c r="M33" s="212"/>
      <c r="N33" s="212"/>
      <c r="O33" s="212"/>
      <c r="P33" s="212"/>
      <c r="Q33" s="212"/>
      <c r="R33" s="212"/>
      <c r="S33" s="212"/>
      <c r="T33" s="212"/>
      <c r="U33" s="212"/>
      <c r="V33" s="212"/>
      <c r="W33" s="212"/>
      <c r="X33" s="212"/>
      <c r="Y33" s="212"/>
      <c r="Z33" s="212"/>
    </row>
    <row r="34" ht="15.75" customHeight="1">
      <c r="A34" s="249">
        <v>27.0</v>
      </c>
      <c r="B34" s="204"/>
      <c r="C34" s="259" t="s">
        <v>305</v>
      </c>
      <c r="D34" s="259" t="s">
        <v>301</v>
      </c>
      <c r="E34" s="261" t="s">
        <v>306</v>
      </c>
      <c r="F34" s="259"/>
      <c r="G34" s="259"/>
      <c r="H34" s="259"/>
      <c r="I34" s="247"/>
      <c r="J34" s="247"/>
      <c r="K34" s="212"/>
      <c r="L34" s="212"/>
      <c r="M34" s="212"/>
      <c r="N34" s="212"/>
      <c r="O34" s="212"/>
      <c r="P34" s="212"/>
      <c r="Q34" s="212"/>
      <c r="R34" s="212"/>
      <c r="S34" s="212"/>
      <c r="T34" s="212"/>
      <c r="U34" s="212"/>
      <c r="V34" s="212"/>
      <c r="W34" s="212"/>
      <c r="X34" s="212"/>
      <c r="Y34" s="212"/>
      <c r="Z34" s="212"/>
    </row>
  </sheetData>
  <mergeCells count="19">
    <mergeCell ref="A1:B3"/>
    <mergeCell ref="C1:E3"/>
    <mergeCell ref="F1:H1"/>
    <mergeCell ref="F2:H2"/>
    <mergeCell ref="F3:H3"/>
    <mergeCell ref="A4:E4"/>
    <mergeCell ref="F4:H4"/>
    <mergeCell ref="B16:B21"/>
    <mergeCell ref="B22:B30"/>
    <mergeCell ref="E22:E27"/>
    <mergeCell ref="D24:D27"/>
    <mergeCell ref="B31:B34"/>
    <mergeCell ref="A6:A7"/>
    <mergeCell ref="B6:B7"/>
    <mergeCell ref="C6:C7"/>
    <mergeCell ref="D6:D7"/>
    <mergeCell ref="E6:E7"/>
    <mergeCell ref="F6:H6"/>
    <mergeCell ref="B8:B15"/>
  </mergeCells>
  <hyperlinks>
    <hyperlink r:id="rId1" location="gid=627680991" ref="E8"/>
    <hyperlink r:id="rId2" location="gid=949616877" ref="E12"/>
    <hyperlink r:id="rId3" location="gid=1562053010" ref="E13"/>
    <hyperlink r:id="rId4" location="gid=543789658" ref="E14"/>
    <hyperlink r:id="rId5" location="gid=782978744" ref="E15"/>
    <hyperlink r:id="rId6" location="gid=1752790160" ref="E16"/>
    <hyperlink r:id="rId7" location="gid=280769628" ref="E18"/>
    <hyperlink r:id="rId8" location="gid=1406801780" ref="E19"/>
    <hyperlink r:id="rId9" location="gid=823311358" ref="E20"/>
    <hyperlink r:id="rId10" location="gid=975778227" ref="E21"/>
    <hyperlink r:id="rId11" location="gid=799253690" ref="E22"/>
    <hyperlink r:id="rId12" location="gid=1255909033" ref="E31"/>
    <hyperlink r:id="rId13" location="gid=79899913" ref="E33"/>
    <hyperlink r:id="rId14" location="gid=1717995246" ref="E34"/>
  </hyperlinks>
  <drawing r:id="rId15"/>
</worksheet>
</file>