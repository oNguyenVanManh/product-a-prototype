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Summary" sheetId="2" r:id="rId5"/>
    <sheet state="visible" name="WBS Estimation" sheetId="3" r:id="rId6"/>
    <sheet state="visible" name="Effort distribution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Based on project characteristics, select items to apply to the project.
If "Not Apply" you must give the reason  in the Reason column</t>
      </text>
    </comment>
    <comment authorId="0" ref="E50">
      <text>
        <t xml:space="preserve">Based on project characteristics, select items to apply to the project.
If "Not Apply" you must give the reason  in the Reason column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Please fill QA Effort at here
</t>
      </text>
    </comment>
  </commentList>
</comments>
</file>

<file path=xl/sharedStrings.xml><?xml version="1.0" encoding="utf-8"?>
<sst xmlns="http://schemas.openxmlformats.org/spreadsheetml/2006/main" count="330" uniqueCount="181">
  <si>
    <t>Effort Distribution by process</t>
  </si>
  <si>
    <t xml:space="preserve">Process Name </t>
  </si>
  <si>
    <t xml:space="preserve">Coding </t>
  </si>
  <si>
    <t>Unit test</t>
  </si>
  <si>
    <t>Fixbug</t>
  </si>
  <si>
    <t>ESTIMATION</t>
  </si>
  <si>
    <t>Specs</t>
  </si>
  <si>
    <t>Infra</t>
  </si>
  <si>
    <t>Management</t>
  </si>
  <si>
    <t>Distribution(%)</t>
  </si>
  <si>
    <t>No: BM-2-901-06</t>
  </si>
  <si>
    <t>Version: 2.2</t>
  </si>
  <si>
    <t>Issue Date: 23/12/2024</t>
  </si>
  <si>
    <t>Version: 2.1</t>
  </si>
  <si>
    <t>SUN ASTERISK VIETNAM CO., LTD</t>
  </si>
  <si>
    <t>Issue Date: 05/04/2021</t>
  </si>
  <si>
    <t>ISO/IEC 27001:2013&amp;ISO 9001:2015</t>
  </si>
  <si>
    <t>HISTORY OF CHANGES</t>
  </si>
  <si>
    <t>No</t>
  </si>
  <si>
    <t>Change Item</t>
  </si>
  <si>
    <t xml:space="preserve">Total Project Effort </t>
  </si>
  <si>
    <t>Description of changes</t>
  </si>
  <si>
    <t>Man-hour(s)</t>
  </si>
  <si>
    <t>Man-day(s)</t>
  </si>
  <si>
    <t>Change Date</t>
  </si>
  <si>
    <t>Man-month(s)</t>
  </si>
  <si>
    <t>Update format</t>
  </si>
  <si>
    <t>Sheet Summary</t>
  </si>
  <si>
    <t>Update Summary sheet mục Assumptions</t>
  </si>
  <si>
    <t>11//26/2024</t>
  </si>
  <si>
    <t>Thay đổi Project Role theo thay đổi cơ cấu mới của tổ chức
- PSM -&gt; Project Leader</t>
  </si>
  <si>
    <t>23/12/2024</t>
  </si>
  <si>
    <t>Role</t>
  </si>
  <si>
    <t>PG</t>
  </si>
  <si>
    <t>QA</t>
  </si>
  <si>
    <t>BrSE</t>
  </si>
  <si>
    <t>WBS Estimate for :  (project/customer name....)</t>
  </si>
  <si>
    <t>PM</t>
  </si>
  <si>
    <t>I. Estimation</t>
  </si>
  <si>
    <t>Feature</t>
  </si>
  <si>
    <t>Function</t>
  </si>
  <si>
    <t>Task Name</t>
  </si>
  <si>
    <t>Coding 
(hours)</t>
  </si>
  <si>
    <t xml:space="preserve"> Total Estimated Effort (hours)</t>
  </si>
  <si>
    <t>Fixbug
(hours)</t>
  </si>
  <si>
    <t>Specs
(hours)</t>
  </si>
  <si>
    <t>Infra
(hours)</t>
  </si>
  <si>
    <t>Management
(hours)</t>
  </si>
  <si>
    <t>Total
(hours)</t>
  </si>
  <si>
    <t xml:space="preserve"> Total Esstimated Effort (Man-day)</t>
  </si>
  <si>
    <t>Total Esstimated Effort (Man-month)</t>
  </si>
  <si>
    <t>Feature 1</t>
  </si>
  <si>
    <t>Function 1.1</t>
  </si>
  <si>
    <t>Task 1</t>
  </si>
  <si>
    <t>II. Scope &amp; Assumptions</t>
  </si>
  <si>
    <t>1. In Scope</t>
  </si>
  <si>
    <t>The scope for estimate does include the following items:</t>
  </si>
  <si>
    <t>#</t>
  </si>
  <si>
    <t>Item</t>
  </si>
  <si>
    <t>Description</t>
  </si>
  <si>
    <t>Note</t>
  </si>
  <si>
    <t>- Develop new system</t>
  </si>
  <si>
    <t>Task 2</t>
  </si>
  <si>
    <t>- Migrate data from old system</t>
  </si>
  <si>
    <t>- User Manual</t>
  </si>
  <si>
    <t>2. Out of Scope</t>
  </si>
  <si>
    <t>The estimation does not include the following items:</t>
  </si>
  <si>
    <t>- Setup system os on servers</t>
  </si>
  <si>
    <t>- Onsite trainning for user</t>
  </si>
  <si>
    <t>3. Assumptions</t>
  </si>
  <si>
    <t>3-1. Overall Assumptions</t>
  </si>
  <si>
    <t>→ Japanese Translation 日本語訳（自動翻訳）</t>
  </si>
  <si>
    <t>Function 1.2</t>
  </si>
  <si>
    <t>Applicable degree</t>
  </si>
  <si>
    <t>Assumptions</t>
  </si>
  <si>
    <t>Reason for not applicable</t>
  </si>
  <si>
    <t>Accuracy of this estimation</t>
  </si>
  <si>
    <t>Super Rough</t>
  </si>
  <si>
    <t>見積もりの精度</t>
  </si>
  <si>
    <t>Feature 2</t>
  </si>
  <si>
    <t>Function 2.1</t>
  </si>
  <si>
    <r>
      <rPr>
        <rFont val="Arial"/>
      </rPr>
      <t xml:space="preserve">Roles and expected outputs of each role
</t>
    </r>
    <r>
      <rPr>
        <rFont val="Arial"/>
        <color rgb="FF999999"/>
      </rPr>
      <t xml:space="preserve">(What tasks will each role be responsible for, and what will they output?)
</t>
    </r>
    <r>
      <rPr>
        <rFont val="Arial"/>
      </rPr>
      <t>Ref: Responsibility of each role: [JP] Onboarding for JPPM</t>
    </r>
  </si>
  <si>
    <t>PL</t>
  </si>
  <si>
    <t>Function 2.2</t>
  </si>
  <si>
    <t>Communicator</t>
  </si>
  <si>
    <r>
      <rPr>
        <rFont val="Arial"/>
      </rPr>
      <t xml:space="preserve">Roles and expected output from JP members
</t>
    </r>
    <r>
      <rPr>
        <rFont val="Arial"/>
        <color rgb="FFB7B7B7"/>
      </rPr>
      <t>(What are you expecting to get from JP side?)</t>
    </r>
  </si>
  <si>
    <r>
      <rPr>
        <rFont val="Arial"/>
      </rPr>
      <t xml:space="preserve">Schedule and expected inputs and outputs at each milestone
</t>
    </r>
    <r>
      <rPr>
        <rFont val="Arial"/>
        <color rgb="FF999999"/>
      </rPr>
      <t xml:space="preserve">(When and what will be output during the project period? When are dependent inputs expected to be completed/received?) </t>
    </r>
    <r>
      <rPr>
        <rFont val="Arial"/>
      </rPr>
      <t xml:space="preserve">
</t>
    </r>
    <r>
      <rPr>
        <rFont val="Arial"/>
        <i/>
      </rPr>
      <t>Example: timeline for receiving existing database structure from customer and timeline for starting development</t>
    </r>
  </si>
  <si>
    <t>Must have</t>
  </si>
  <si>
    <t>Number of screens</t>
  </si>
  <si>
    <t>Feature 3</t>
  </si>
  <si>
    <t>Function 3.1</t>
  </si>
  <si>
    <t>Number of APIs per screen</t>
  </si>
  <si>
    <t>Interfaces</t>
  </si>
  <si>
    <t>Forms ("Cho-hyo" in Japanese)</t>
  </si>
  <si>
    <r>
      <rPr>
        <rFont val="Arial"/>
      </rPr>
      <t xml:space="preserve">System scale
</t>
    </r>
    <r>
      <rPr>
        <rFont val="Arial"/>
        <color rgb="FF999999"/>
      </rPr>
      <t>(How do you envision the number of users and infrastructure configuration? *If specified by the customer, attach a link to the customer request.)</t>
    </r>
  </si>
  <si>
    <t>Function 3.2</t>
  </si>
  <si>
    <r>
      <rPr>
        <rFont val="Arial"/>
      </rPr>
      <t xml:space="preserve">Non-functional requirements
</t>
    </r>
    <r>
      <rPr>
        <rFont val="Arial"/>
        <color rgb="FF999999"/>
      </rPr>
      <t>(What do you envision for SLA and security requirements? *If specified by the customer, attach a link to the customer request.)</t>
    </r>
  </si>
  <si>
    <r>
      <rPr>
        <rFont val="Arial"/>
      </rPr>
      <t xml:space="preserve">Buffer rate (%) and its breakdown
</t>
    </r>
    <r>
      <rPr>
        <rFont val="Arial"/>
        <color rgb="FF999999"/>
      </rPr>
      <t>(Buffer for risk, such as change request, bugs and issue solving, technical difficulty only)</t>
    </r>
  </si>
  <si>
    <t>3-2. Detail Assumptions per each role</t>
  </si>
  <si>
    <t>Feature 4</t>
  </si>
  <si>
    <t>Function 4.1</t>
  </si>
  <si>
    <t>Backend</t>
  </si>
  <si>
    <t>Develop new system or Develop in existing System?</t>
  </si>
  <si>
    <t>Function 4.2</t>
  </si>
  <si>
    <t>Architecture (microservices, monolithic, multitenant)</t>
  </si>
  <si>
    <t>Scope of work</t>
  </si>
  <si>
    <t xml:space="preserve">Unit Test </t>
  </si>
  <si>
    <t>Total</t>
  </si>
  <si>
    <t>Provide system Design</t>
  </si>
  <si>
    <t>Provide API Design</t>
  </si>
  <si>
    <t>Provide DB Design</t>
  </si>
  <si>
    <t>Integrate CI/CD</t>
  </si>
  <si>
    <t>Intergrate third parties services</t>
  </si>
  <si>
    <t>Develop payment related functions</t>
  </si>
  <si>
    <t>Migrate data from old system</t>
  </si>
  <si>
    <t>Production Deployment</t>
  </si>
  <si>
    <t>Other assumed risks and assumptions</t>
  </si>
  <si>
    <t>Buffer rate (%)</t>
  </si>
  <si>
    <t>Frontend</t>
  </si>
  <si>
    <t>Architectural assumptions
- Frameworks and libraries used
- Whether SSR or CSR is applied</t>
  </si>
  <si>
    <t>Browser and versions (Chrome, Safari, IE etc)</t>
  </si>
  <si>
    <t>Responsive design</t>
  </si>
  <si>
    <t>State management</t>
  </si>
  <si>
    <t>Automated testing</t>
  </si>
  <si>
    <t>SEO(Google Analytics, OGP tag, SSR)</t>
  </si>
  <si>
    <t>Mobile</t>
  </si>
  <si>
    <t>OS and versions (iOS, Android)</t>
  </si>
  <si>
    <t>Play store / App store publish</t>
  </si>
  <si>
    <t>Productivity</t>
  </si>
  <si>
    <t>Test case creation</t>
  </si>
  <si>
    <t>[               ] case/1 man-day</t>
  </si>
  <si>
    <t>Test execution and bug identification</t>
  </si>
  <si>
    <t>Final inspection effort in total man-hours</t>
  </si>
  <si>
    <t>[               ] %</t>
  </si>
  <si>
    <t>Expected bug occurrence rate</t>
  </si>
  <si>
    <t>Testing scope</t>
  </si>
  <si>
    <t>Function test</t>
  </si>
  <si>
    <t>Integration test</t>
  </si>
  <si>
    <t>E2E test (Screen, API end point)</t>
  </si>
  <si>
    <t>Regression test</t>
  </si>
  <si>
    <t>リグレッションテスト</t>
  </si>
  <si>
    <t>Other test</t>
  </si>
  <si>
    <t>Environments to be tested and range of test cases covered for each environment</t>
  </si>
  <si>
    <t>AI</t>
  </si>
  <si>
    <t>Data flow in the AI scope</t>
  </si>
  <si>
    <t>AI スコープ内のデータ フロー</t>
  </si>
  <si>
    <t/>
  </si>
  <si>
    <t>Architecture in the AI ​​scope</t>
  </si>
  <si>
    <t>AIの範囲におけるアーキテクチャ</t>
  </si>
  <si>
    <t>AI models and AI services</t>
  </si>
  <si>
    <t>AIモデルとAIサービス</t>
  </si>
  <si>
    <t>Estimated cost of AI infrastructure (at the time of development and operation after release)</t>
  </si>
  <si>
    <t>AIインフラの概算費用（開発時、リリース後の運用時）</t>
  </si>
  <si>
    <t>Possibility of training (tuning) of AI models</t>
  </si>
  <si>
    <t>AIモデルのトレーニング（チューニング）が可能</t>
  </si>
  <si>
    <t>Number of data required when training (tuning) an AI model</t>
  </si>
  <si>
    <t>AIモデルのトレーニング（チューニング）時に必要なデータ数</t>
  </si>
  <si>
    <t>Prerequisites for implementing AI models and degree of difficulty in realizing them</t>
  </si>
  <si>
    <t>AIモデル導入の前提条件と実現難易度</t>
  </si>
  <si>
    <t>Other assumed risks and assumptions (if not available, write “none”)</t>
  </si>
  <si>
    <t>その他の想定されるリスクと仮定 (利用できない場合は「なし」と記入してください)</t>
  </si>
  <si>
    <t>Buffer value (%)</t>
  </si>
  <si>
    <t>バッファ値(%)</t>
  </si>
  <si>
    <t>Infrastructure</t>
  </si>
  <si>
    <t>Building environment; Dev, Stag, UAT, Prod etc</t>
  </si>
  <si>
    <t>Cloud service selection and architecture</t>
  </si>
  <si>
    <t>Selection and management of containers and virtual machines (VM)</t>
  </si>
  <si>
    <t>Database</t>
  </si>
  <si>
    <t>Network design and security measures</t>
  </si>
  <si>
    <t>Caching (CDN, redis, In-memory caching system, etc.)</t>
  </si>
  <si>
    <t>CI/CD</t>
  </si>
  <si>
    <t>Monitoring and alerting</t>
  </si>
  <si>
    <t>Backup and recovery strategy</t>
  </si>
  <si>
    <t>Performance testing and load testing</t>
  </si>
  <si>
    <t>Other assumptions for non-functional requirements (availability, performance/scalability, operational maintainability, portability, things to be done to ensure security etc)</t>
  </si>
  <si>
    <t>Production Deployment  and Maintenance</t>
  </si>
  <si>
    <t xml:space="preserve">Other assumed risks and assumptions </t>
  </si>
  <si>
    <t>Design</t>
  </si>
  <si>
    <t>Wireframe</t>
  </si>
  <si>
    <t>Mockup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</si>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</sst>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4">
    <font>
      <sz val="10.0"/>
      <color rgb="FF000000"/>
      <name val="Arial"/>
    </font>
    <font>
      <sz val="14.0"/>
    </font>
    <font>
      <b/>
    </font>
    <font>
      <b/>
      <sz val="24.0"/>
      <name val="Times New Roman"/>
    </font>
    <font/>
    <font>
      <b/>
      <sz val="18.0"/>
      <name val="Times New Roman"/>
    </font>
    <font>
      <sz val="12.0"/>
      <name val="Times New Roman"/>
    </font>
    <font>
      <sz val="12.0"/>
      <color rgb="FF000000"/>
      <name val="Times New Roman"/>
    </font>
    <font>
      <b/>
      <sz val="10.0"/>
      <name val="Times New Roman"/>
    </font>
    <font>
      <b/>
      <sz val="14.0"/>
      <name val="Times New Roman"/>
    </font>
    <font>
      <b/>
      <sz val="12.0"/>
      <name val="Arial"/>
    </font>
    <font>
      <b/>
      <sz val="10.0"/>
      <color rgb="FF000000"/>
      <name val="Arial"/>
    </font>
    <font>
      <b/>
      <sz val="12.0"/>
    </font>
    <font>
      <sz val="10.0"/>
      <name val="Arial"/>
    </font>
    <font>
      <name val="Arial"/>
    </font>
    <font>
      <color rgb="FF000000"/>
      <name val="Arial"/>
    </font>
    <font>
      <b/>
      <sz val="14.0"/>
    </font>
    <font>
      <b/>
      <sz val="10.0"/>
      <color rgb="FFFF0000"/>
      <name val="Arial"/>
    </font>
    <font>
      <sz val="10.0"/>
      <color rgb="FFFF0000"/>
      <name val="Arial"/>
    </font>
    <font>
      <b/>
      <sz val="10.0"/>
      <name val="Arial"/>
    </font>
    <font>
      <b/>
      <name val="Arial"/>
    </font>
    <font>
      <u/>
      <color rgb="FF0000FF"/>
      <name val="Arial"/>
    </font>
    <font>
      <name val="Times New Roman"/>
    </font>
    <font>
      <sz val="12.0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3" fillId="0" fontId="4" numFmtId="0" xfId="0" applyBorder="1" applyFont="1"/>
    <xf borderId="0" fillId="0" fontId="2" numFmtId="0" xfId="0" applyFont="1"/>
    <xf borderId="2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2" fillId="0" fontId="6" numFmtId="0" xfId="0" applyAlignment="1" applyBorder="1" applyFont="1">
      <alignment readingOrder="0" vertical="center"/>
    </xf>
    <xf borderId="4" fillId="0" fontId="4" numFmtId="0" xfId="0" applyBorder="1" applyFont="1"/>
    <xf borderId="5" fillId="0" fontId="4" numFmtId="0" xfId="0" applyBorder="1" applyFont="1"/>
    <xf borderId="0" fillId="0" fontId="4" numFmtId="0" xfId="0" applyAlignment="1" applyFont="1">
      <alignment shrinkToFit="0" vertical="center" wrapText="1"/>
    </xf>
    <xf borderId="5" fillId="0" fontId="7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6" fillId="0" fontId="4" numFmtId="0" xfId="0" applyBorder="1" applyFont="1"/>
    <xf borderId="7" fillId="0" fontId="7" numFmtId="0" xfId="0" applyAlignment="1" applyBorder="1" applyFont="1">
      <alignment readingOrder="0" shrinkToFit="0" vertical="center" wrapText="0"/>
    </xf>
    <xf borderId="8" fillId="0" fontId="4" numFmtId="0" xfId="0" applyBorder="1" applyFont="1"/>
    <xf borderId="9" fillId="0" fontId="8" numFmtId="0" xfId="0" applyAlignment="1" applyBorder="1" applyFont="1">
      <alignment readingOrder="0" vertical="center"/>
    </xf>
    <xf borderId="10" fillId="0" fontId="4" numFmtId="0" xfId="0" applyBorder="1" applyFont="1"/>
    <xf borderId="11" fillId="0" fontId="4" numFmtId="0" xfId="0" applyBorder="1" applyFont="1"/>
    <xf borderId="7" fillId="0" fontId="8" numFmtId="0" xfId="0" applyAlignment="1" applyBorder="1" applyFont="1">
      <alignment horizontal="right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0" fillId="0" fontId="4" numFmtId="0" xfId="0" applyAlignment="1" applyFont="1">
      <alignment horizontal="center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9" fillId="2" fontId="11" numFmtId="0" xfId="0" applyAlignment="1" applyBorder="1" applyFill="1" applyFont="1">
      <alignment horizontal="center" readingOrder="0" shrinkToFit="0" vertical="center" wrapText="1"/>
    </xf>
    <xf borderId="14" fillId="3" fontId="1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left" readingOrder="0" shrinkToFit="0" vertical="center" wrapText="1"/>
    </xf>
    <xf borderId="15" fillId="0" fontId="4" numFmtId="0" xfId="0" applyBorder="1" applyFont="1"/>
    <xf borderId="9" fillId="0" fontId="13" numFmtId="164" xfId="0" applyAlignment="1" applyBorder="1" applyFont="1" applyNumberFormat="1">
      <alignment horizontal="left" readingOrder="0" shrinkToFit="0" vertical="center" wrapText="1"/>
    </xf>
    <xf borderId="1" fillId="0" fontId="14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shrinkToFit="0" wrapText="1"/>
    </xf>
    <xf borderId="1" fillId="4" fontId="12" numFmtId="0" xfId="0" applyAlignment="1" applyBorder="1" applyFill="1" applyFont="1">
      <alignment horizontal="center" shrinkToFit="0" vertical="center" wrapText="1"/>
    </xf>
    <xf borderId="1" fillId="0" fontId="0" numFmtId="0" xfId="0" applyAlignment="1" applyBorder="1" applyFont="1">
      <alignment horizontal="center" readingOrder="0" shrinkToFit="0" vertical="bottom" wrapText="1"/>
    </xf>
    <xf borderId="9" fillId="0" fontId="15" numFmtId="0" xfId="0" applyAlignment="1" applyBorder="1" applyFont="1">
      <alignment readingOrder="0" shrinkToFit="0" vertical="bottom" wrapText="1"/>
    </xf>
    <xf borderId="1" fillId="4" fontId="2" numFmtId="0" xfId="0" applyAlignment="1" applyBorder="1" applyFill="1" applyFont="1">
      <alignment horizontal="center" shrinkToFit="0" vertical="center" wrapText="1"/>
    </xf>
    <xf borderId="9" fillId="0" fontId="15" numFmtId="49" xfId="0" applyAlignment="1" applyBorder="1" applyFont="1" applyNumberFormat="1">
      <alignment readingOrder="0" shrinkToFit="0" vertical="bottom" wrapText="1"/>
    </xf>
    <xf borderId="10" fillId="0" fontId="0" numFmtId="0" xfId="0" applyAlignment="1" applyBorder="1" applyFont="1">
      <alignment horizontal="left" readingOrder="0" shrinkToFit="0" vertical="center" wrapText="1"/>
    </xf>
    <xf borderId="1" fillId="2" fontId="12" numFmtId="0" xfId="0" applyAlignment="1" applyBorder="1" applyFill="1" applyFont="1">
      <alignment horizontal="center" vertical="center"/>
    </xf>
    <xf borderId="9" fillId="0" fontId="0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vertical="center"/>
    </xf>
    <xf borderId="3" fillId="0" fontId="5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3" fontId="16" numFmtId="0" xfId="0" applyFill="1" applyFont="1"/>
    <xf borderId="1" fillId="0" fontId="4" numFmtId="0" xfId="0" applyAlignment="1" applyBorder="1" applyFont="1">
      <alignment horizontal="center" shrinkToFit="0" vertical="center" wrapText="1"/>
    </xf>
    <xf borderId="0" fillId="3" fontId="12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vertical="center"/>
    </xf>
    <xf borderId="9" fillId="0" fontId="17" numFmtId="49" xfId="0" applyAlignment="1" applyBorder="1" applyFont="1" applyNumberFormat="1">
      <alignment horizontal="left" readingOrder="0" shrinkToFit="0" vertical="center" wrapText="1"/>
    </xf>
    <xf borderId="0" fillId="3" fontId="16" numFmtId="0" xfId="0" applyAlignment="1" applyFill="1" applyFont="1">
      <alignment horizontal="center"/>
    </xf>
    <xf borderId="12" fillId="0" fontId="9" numFmtId="49" xfId="0" applyAlignment="1" applyBorder="1" applyFont="1" applyNumberFormat="1">
      <alignment horizontal="left" readingOrder="0" shrinkToFit="0" vertical="center" wrapText="1"/>
    </xf>
    <xf borderId="0" fillId="3" fontId="16" numFmtId="0" xfId="0" applyAlignment="1" applyFill="1" applyFont="1">
      <alignment shrinkToFit="0" wrapText="1"/>
    </xf>
    <xf borderId="0" fillId="0" fontId="9" numFmtId="49" xfId="0" applyAlignment="1" applyFont="1" applyNumberFormat="1">
      <alignment horizontal="left" readingOrder="0" shrinkToFit="0" vertical="center" wrapText="1"/>
    </xf>
    <xf borderId="13" fillId="0" fontId="9" numFmtId="49" xfId="0" applyAlignment="1" applyBorder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6" numFmtId="0" xfId="0" applyFont="1"/>
    <xf borderId="0" fillId="0" fontId="16" numFmtId="0" xfId="0" applyAlignment="1" applyFont="1">
      <alignment shrinkToFit="0" wrapText="1"/>
    </xf>
    <xf borderId="16" fillId="0" fontId="9" numFmtId="49" xfId="0" applyAlignment="1" applyBorder="1" applyFont="1" applyNumberFormat="1">
      <alignment horizontal="left" readingOrder="0" shrinkToFit="0" vertical="center" wrapText="1"/>
    </xf>
    <xf borderId="17" fillId="0" fontId="9" numFmtId="49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18" fillId="0" fontId="9" numFmtId="49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shrinkToFit="0" wrapText="1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0" fillId="0" fontId="13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3" numFmtId="0" xfId="0" applyAlignment="1" applyFont="1">
      <alignment shrinkToFit="0" vertical="center" wrapText="1"/>
    </xf>
    <xf borderId="1" fillId="2" fontId="19" numFmtId="0" xfId="0" applyAlignment="1" applyBorder="1" applyFill="1" applyFont="1">
      <alignment horizontal="center" readingOrder="0" shrinkToFit="0" vertical="center" wrapText="1"/>
    </xf>
    <xf borderId="9" fillId="2" fontId="19" numFmtId="0" xfId="0" applyAlignment="1" applyBorder="1" applyFill="1" applyFont="1">
      <alignment horizontal="center" readingOrder="0" shrinkToFit="0" vertical="center" wrapText="1"/>
    </xf>
    <xf borderId="1" fillId="2" fontId="20" numFmtId="0" xfId="0" applyAlignment="1" applyBorder="1" applyFill="1" applyFont="1">
      <alignment horizontal="center" readingOrder="0" shrinkToFit="0" vertical="center" wrapText="1"/>
    </xf>
    <xf borderId="1" fillId="5" fontId="19" numFmtId="0" xfId="0" applyAlignment="1" applyBorder="1" applyFill="1" applyFont="1">
      <alignment horizontal="center" readingOrder="0" shrinkToFit="0" vertical="center" wrapText="1"/>
    </xf>
    <xf borderId="9" fillId="5" fontId="19" numFmtId="0" xfId="0" applyAlignment="1" applyBorder="1" applyFill="1" applyFont="1">
      <alignment horizontal="center" shrinkToFit="0" vertical="center" wrapText="1"/>
    </xf>
    <xf borderId="1" fillId="5" fontId="19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9" fillId="0" fontId="14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readingOrder="0" shrinkToFit="0" wrapText="1"/>
    </xf>
    <xf borderId="10" fillId="0" fontId="13" numFmtId="0" xfId="0" applyAlignment="1" applyBorder="1" applyFont="1">
      <alignment readingOrder="0" shrinkToFit="0" wrapText="1"/>
    </xf>
    <xf borderId="9" fillId="0" fontId="13" numFmtId="0" xfId="0" applyAlignment="1" applyBorder="1" applyFont="1">
      <alignment readingOrder="0" shrinkToFit="0" wrapText="1"/>
    </xf>
    <xf borderId="14" fillId="0" fontId="13" numFmtId="0" xfId="0" applyAlignment="1" applyBorder="1" applyFont="1">
      <alignment horizontal="center" readingOrder="0" shrinkToFit="0" vertical="center" wrapText="1"/>
    </xf>
    <xf borderId="14" fillId="0" fontId="21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4" fillId="0" fontId="13" numFmtId="0" xfId="0" applyAlignment="1" applyBorder="1" applyFont="1">
      <alignment shrinkToFit="0" wrapText="1"/>
    </xf>
    <xf borderId="1" fillId="3" fontId="20" numFmtId="0" xfId="0" applyAlignment="1" applyBorder="1" applyFill="1" applyFont="1">
      <alignment horizontal="center" shrinkToFit="0" vertical="center" wrapText="1"/>
    </xf>
    <xf borderId="19" fillId="0" fontId="4" numFmtId="0" xfId="0" applyBorder="1" applyFont="1"/>
    <xf borderId="1" fillId="0" fontId="14" numFmtId="0" xfId="0" applyAlignment="1" applyBorder="1" applyFont="1">
      <alignment horizontal="left" readingOrder="0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shrinkToFit="0" wrapText="1"/>
    </xf>
    <xf borderId="9" fillId="0" fontId="14" numFmtId="0" xfId="0" applyAlignment="1" applyBorder="1" applyFont="1">
      <alignment shrinkToFit="0" vertical="bottom" wrapText="1"/>
    </xf>
    <xf borderId="0" fillId="0" fontId="22" numFmtId="0" xfId="0" applyAlignment="1" applyFont="1">
      <alignment shrinkToFit="0" wrapText="1"/>
    </xf>
    <xf borderId="1" fillId="0" fontId="22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shrinkToFit="0" wrapText="1"/>
    </xf>
    <xf borderId="0" fillId="0" fontId="22" numFmtId="0" xfId="0" applyFont="1"/>
    <xf borderId="0" fillId="0" fontId="14" numFmtId="0" xfId="0" applyFont="1"/>
    <xf borderId="0" fillId="0" fontId="11" numFmtId="0" xfId="0" applyAlignment="1" applyFont="1">
      <alignment horizontal="left" readingOrder="0" shrinkToFit="0" vertical="center" wrapText="1"/>
    </xf>
    <xf borderId="14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4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shrinkToFit="0" wrapText="1"/>
    </xf>
    <xf borderId="1" fillId="0" fontId="14" numFmtId="0" xfId="0" applyAlignment="1" applyBorder="1" applyFont="1">
      <alignment readingOrder="0" shrinkToFit="0" vertical="bottom" wrapText="1"/>
    </xf>
    <xf borderId="2" fillId="6" fontId="12" numFmtId="0" xfId="0" applyAlignment="1" applyBorder="1" applyFill="1" applyFont="1">
      <alignment horizontal="center" readingOrder="0" vertical="center"/>
    </xf>
    <xf borderId="14" fillId="0" fontId="1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7" fillId="0" fontId="4" numFmtId="0" xfId="0" applyBorder="1" applyFont="1"/>
    <xf borderId="20" fillId="0" fontId="4" numFmtId="0" xfId="0" applyBorder="1" applyFont="1"/>
    <xf borderId="1" fillId="0" fontId="14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readingOrder="0" shrinkToFit="0" wrapText="1"/>
    </xf>
    <xf borderId="9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shrinkToFit="0" vertical="bottom" wrapText="1"/>
    </xf>
    <xf borderId="14" fillId="0" fontId="14" numFmtId="0" xfId="0" applyAlignment="1" applyBorder="1" applyFont="1">
      <alignment readingOrder="0" shrinkToFit="0" vertical="center" wrapText="1"/>
    </xf>
    <xf borderId="11" fillId="0" fontId="14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readingOrder="0" shrinkToFit="0" vertical="bottom" wrapText="1"/>
    </xf>
    <xf borderId="1" fillId="0" fontId="13" numFmtId="0" xfId="0" applyAlignment="1" applyBorder="1" applyFont="1">
      <alignment readingOrder="0" shrinkToFit="0" wrapText="1"/>
    </xf>
    <xf borderId="11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14" fillId="0" fontId="1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wrapText="1"/>
    </xf>
    <xf borderId="9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wrapText="1"/>
    </xf>
    <xf borderId="9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14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presentation/d/1bnu0IpTnSrsI9QRD2peeBY5J7eB2B-tAPPKzyQnRUco/edit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5.88"/>
  </cols>
  <sheetData>
    <row r="1" ht="22.5" customHeight="1">
      <c r="A1" s="4"/>
      <c r="B1" s="6"/>
      <c r="C1" s="6"/>
      <c r="D1" s="6"/>
      <c r="E1" s="8" t="s">
        <v>5</v>
      </c>
      <c r="F1" s="6"/>
      <c r="G1" s="6"/>
      <c r="H1" s="6"/>
      <c r="I1" s="6"/>
      <c r="J1" s="11" t="s">
        <v>10</v>
      </c>
      <c r="K1" s="12"/>
    </row>
    <row r="2" ht="22.5" customHeight="1">
      <c r="A2" s="13"/>
      <c r="E2" s="13"/>
      <c r="J2" s="15" t="s">
        <v>11</v>
      </c>
      <c r="K2" s="17"/>
    </row>
    <row r="3" ht="22.5" customHeight="1">
      <c r="A3" s="13"/>
      <c r="E3" s="13"/>
      <c r="J3" s="18" t="s">
        <v>12</v>
      </c>
      <c r="K3" s="19"/>
    </row>
    <row r="4" ht="22.5" customHeight="1">
      <c r="A4" s="20" t="s">
        <v>14</v>
      </c>
      <c r="B4" s="21"/>
      <c r="C4" s="21"/>
      <c r="D4" s="21"/>
      <c r="E4" s="21"/>
      <c r="F4" s="21"/>
      <c r="G4" s="21"/>
      <c r="H4" s="21"/>
      <c r="I4" s="22"/>
      <c r="J4" s="23" t="s">
        <v>16</v>
      </c>
      <c r="K4" s="19"/>
    </row>
    <row r="5" ht="16.5" customHeight="1">
      <c r="A5" s="24"/>
      <c r="K5" s="25"/>
    </row>
    <row r="6" ht="31.5" customHeight="1">
      <c r="A6" s="27" t="s">
        <v>17</v>
      </c>
      <c r="K6" s="25"/>
    </row>
    <row r="7" ht="20.25" customHeight="1">
      <c r="A7" s="28" t="s">
        <v>18</v>
      </c>
      <c r="B7" s="29" t="s">
        <v>19</v>
      </c>
      <c r="C7" s="21"/>
      <c r="D7" s="22"/>
      <c r="E7" s="29" t="s">
        <v>21</v>
      </c>
      <c r="F7" s="21"/>
      <c r="G7" s="21"/>
      <c r="H7" s="21"/>
      <c r="I7" s="22"/>
      <c r="J7" s="29" t="s">
        <v>24</v>
      </c>
      <c r="K7" s="22"/>
    </row>
    <row r="8" ht="22.5" customHeight="1">
      <c r="A8" s="33">
        <v>1.0</v>
      </c>
      <c r="B8" s="34"/>
      <c r="C8" s="21"/>
      <c r="D8" s="22"/>
      <c r="E8" s="34" t="s">
        <v>26</v>
      </c>
      <c r="F8" s="21"/>
      <c r="G8" s="21"/>
      <c r="H8" s="21"/>
      <c r="I8" s="22"/>
      <c r="J8" s="36">
        <v>44320.0</v>
      </c>
      <c r="K8" s="22"/>
    </row>
    <row r="9" ht="22.5" customHeight="1">
      <c r="A9" s="37">
        <v>2.0</v>
      </c>
      <c r="B9" s="38" t="s">
        <v>27</v>
      </c>
      <c r="C9" s="21"/>
      <c r="D9" s="22"/>
      <c r="E9" s="38" t="s">
        <v>28</v>
      </c>
      <c r="F9" s="21"/>
      <c r="G9" s="21"/>
      <c r="H9" s="21"/>
      <c r="I9" s="22"/>
      <c r="J9" s="38" t="s">
        <v>29</v>
      </c>
      <c r="K9" s="22"/>
    </row>
    <row r="10" ht="49.5" customHeight="1">
      <c r="A10" s="40">
        <v>3.0</v>
      </c>
      <c r="B10" s="41" t="s">
        <v>27</v>
      </c>
      <c r="C10" s="21"/>
      <c r="D10" s="22"/>
      <c r="E10" s="43" t="s">
        <v>30</v>
      </c>
      <c r="F10" s="21"/>
      <c r="G10" s="21"/>
      <c r="H10" s="21"/>
      <c r="I10" s="22"/>
      <c r="J10" s="41" t="s">
        <v>31</v>
      </c>
      <c r="K10" s="22"/>
    </row>
    <row r="11" ht="22.5" customHeight="1">
      <c r="A11" s="33"/>
      <c r="B11" s="44"/>
      <c r="C11" s="21"/>
      <c r="D11" s="22"/>
      <c r="E11" s="46"/>
      <c r="F11" s="21"/>
      <c r="G11" s="21"/>
      <c r="H11" s="21"/>
      <c r="I11" s="22"/>
      <c r="J11" s="34"/>
      <c r="K11" s="22"/>
    </row>
    <row r="12" ht="22.5" customHeight="1">
      <c r="A12" s="49"/>
      <c r="B12" s="44"/>
      <c r="C12" s="21"/>
      <c r="D12" s="22"/>
      <c r="E12" s="46"/>
      <c r="F12" s="21"/>
      <c r="G12" s="21"/>
      <c r="H12" s="21"/>
      <c r="I12" s="22"/>
      <c r="J12" s="34"/>
      <c r="K12" s="22"/>
    </row>
    <row r="13" ht="22.5" customHeight="1">
      <c r="A13" s="54"/>
      <c r="B13" s="55"/>
      <c r="C13" s="21"/>
      <c r="D13" s="22"/>
      <c r="E13" s="57"/>
      <c r="F13" s="21"/>
      <c r="G13" s="21"/>
      <c r="H13" s="21"/>
      <c r="I13" s="22"/>
      <c r="J13" s="34"/>
      <c r="K13" s="22"/>
    </row>
    <row r="14" ht="22.5" customHeight="1">
      <c r="A14" s="59"/>
      <c r="B14" s="61"/>
      <c r="C14" s="61"/>
      <c r="D14" s="61"/>
      <c r="E14" s="61"/>
      <c r="F14" s="61"/>
      <c r="G14" s="61"/>
      <c r="H14" s="61"/>
      <c r="I14" s="61"/>
      <c r="J14" s="61"/>
      <c r="K14" s="62"/>
    </row>
    <row r="15" ht="22.5" customHeight="1">
      <c r="A15" s="59"/>
      <c r="B15" s="61"/>
      <c r="C15" s="61"/>
      <c r="D15" s="61"/>
      <c r="E15" s="61"/>
      <c r="F15" s="61"/>
      <c r="G15" s="61"/>
      <c r="H15" s="61"/>
      <c r="I15" s="61"/>
      <c r="J15" s="61"/>
      <c r="K15" s="62"/>
    </row>
    <row r="16" ht="22.5" customHeight="1">
      <c r="A16" s="59"/>
      <c r="B16" s="61"/>
      <c r="C16" s="61"/>
      <c r="D16" s="61"/>
      <c r="E16" s="61"/>
      <c r="F16" s="61"/>
      <c r="G16" s="61"/>
      <c r="H16" s="61"/>
      <c r="I16" s="61"/>
      <c r="J16" s="61"/>
      <c r="K16" s="62"/>
    </row>
    <row r="17" ht="22.5" customHeight="1">
      <c r="A17" s="59"/>
      <c r="B17" s="61"/>
      <c r="C17" s="61"/>
      <c r="D17" s="61"/>
      <c r="E17" s="61"/>
      <c r="F17" s="61"/>
      <c r="G17" s="61"/>
      <c r="H17" s="61"/>
      <c r="I17" s="61"/>
      <c r="J17" s="61"/>
      <c r="K17" s="62"/>
    </row>
    <row r="18" ht="22.5" customHeight="1">
      <c r="A18" s="59"/>
      <c r="B18" s="61"/>
      <c r="C18" s="61"/>
      <c r="D18" s="61"/>
      <c r="E18" s="61"/>
      <c r="F18" s="61"/>
      <c r="G18" s="61"/>
      <c r="H18" s="61"/>
      <c r="I18" s="61"/>
      <c r="J18" s="61"/>
      <c r="K18" s="62"/>
    </row>
    <row r="19" ht="22.5" customHeight="1">
      <c r="A19" s="59"/>
      <c r="B19" s="61"/>
      <c r="C19" s="61"/>
      <c r="D19" s="61"/>
      <c r="E19" s="61"/>
      <c r="F19" s="61"/>
      <c r="G19" s="61"/>
      <c r="H19" s="61"/>
      <c r="I19" s="61"/>
      <c r="J19" s="61"/>
      <c r="K19" s="62"/>
    </row>
    <row r="20" ht="22.5" customHeight="1">
      <c r="A20" s="59"/>
      <c r="B20" s="61"/>
      <c r="C20" s="61"/>
      <c r="D20" s="61"/>
      <c r="E20" s="61"/>
      <c r="F20" s="61"/>
      <c r="G20" s="61"/>
      <c r="H20" s="61"/>
      <c r="I20" s="61"/>
      <c r="J20" s="61"/>
      <c r="K20" s="62"/>
    </row>
    <row r="21" ht="22.5" customHeight="1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2"/>
    </row>
  </sheetData>
  <mergeCells count="30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9.75"/>
    <col customWidth="1" min="3" max="3" width="35.88"/>
    <col customWidth="1" min="4" max="4" width="24.75"/>
    <col customWidth="1" min="5" max="5" width="20.0"/>
    <col customWidth="1" min="6" max="6" width="12.63"/>
    <col customWidth="1" min="7" max="7" width="9.5"/>
    <col customWidth="1" min="8" max="8" width="12.63"/>
    <col customWidth="1" min="9" max="9" width="10.5"/>
    <col customWidth="1" min="10" max="10" width="9.25"/>
    <col customWidth="1" min="11" max="11" width="12.63"/>
    <col customWidth="1" min="12" max="12" width="21.63"/>
    <col customWidth="1" min="13" max="13" width="27.38"/>
    <col customWidth="1" min="14" max="14" width="17.25"/>
  </cols>
  <sheetData>
    <row r="1" ht="15.75" customHeight="1">
      <c r="A1" s="4"/>
      <c r="B1" s="6"/>
      <c r="C1" s="8" t="s">
        <v>5</v>
      </c>
      <c r="D1" s="6"/>
      <c r="E1" s="11" t="s">
        <v>10</v>
      </c>
      <c r="F1" s="12"/>
      <c r="G1" s="48"/>
      <c r="L1" s="50"/>
      <c r="M1" s="50"/>
      <c r="N1" s="50"/>
    </row>
    <row r="2" ht="15.75" customHeight="1">
      <c r="A2" s="13"/>
      <c r="C2" s="13"/>
      <c r="E2" s="15" t="s">
        <v>13</v>
      </c>
      <c r="F2" s="17"/>
      <c r="G2" s="53"/>
      <c r="L2" s="50"/>
      <c r="M2" s="50"/>
      <c r="N2" s="50"/>
    </row>
    <row r="3" ht="15.75" customHeight="1">
      <c r="A3" s="13"/>
      <c r="C3" s="13"/>
      <c r="E3" s="18" t="s">
        <v>15</v>
      </c>
      <c r="F3" s="19"/>
      <c r="G3" s="53"/>
      <c r="L3" s="50"/>
      <c r="M3" s="50"/>
      <c r="N3" s="50"/>
    </row>
    <row r="4" ht="15.75" customHeight="1">
      <c r="A4" s="20" t="s">
        <v>14</v>
      </c>
      <c r="B4" s="21"/>
      <c r="C4" s="21"/>
      <c r="D4" s="21"/>
      <c r="E4" s="23" t="s">
        <v>16</v>
      </c>
      <c r="F4" s="19"/>
      <c r="G4" s="53"/>
      <c r="L4" s="50"/>
      <c r="M4" s="50"/>
      <c r="N4" s="50"/>
    </row>
    <row r="5" ht="15.75" customHeight="1">
      <c r="A5" s="58"/>
      <c r="B5" s="50"/>
      <c r="C5" s="58"/>
      <c r="D5" s="60"/>
      <c r="E5" s="50"/>
      <c r="F5" s="50"/>
      <c r="G5" s="53"/>
      <c r="J5" s="50"/>
      <c r="K5" s="50"/>
      <c r="L5" s="50"/>
      <c r="M5" s="50"/>
      <c r="N5" s="50"/>
    </row>
    <row r="6" ht="15.75" customHeight="1">
      <c r="A6" s="58"/>
      <c r="B6" s="50" t="s">
        <v>36</v>
      </c>
      <c r="C6" s="58"/>
      <c r="D6" s="6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ht="15.75" customHeight="1">
      <c r="A7" s="63"/>
      <c r="C7" s="63"/>
      <c r="D7" s="64"/>
    </row>
    <row r="8" ht="15.75" customHeight="1">
      <c r="A8" s="65"/>
      <c r="B8" s="67" t="s">
        <v>38</v>
      </c>
      <c r="C8" s="65"/>
      <c r="D8" s="68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ht="15.75" customHeight="1">
      <c r="A9" s="71"/>
      <c r="B9" s="7"/>
      <c r="C9" s="71"/>
      <c r="D9" s="73"/>
      <c r="E9" s="7"/>
      <c r="F9" s="7"/>
      <c r="G9" s="7"/>
      <c r="H9" s="7"/>
      <c r="I9" s="7"/>
      <c r="J9" s="7"/>
      <c r="K9" s="7"/>
      <c r="L9" s="7"/>
      <c r="M9" s="7"/>
      <c r="N9" s="7"/>
    </row>
    <row r="10" ht="15.75" customHeight="1">
      <c r="A10" s="74"/>
      <c r="B10" s="76" t="s">
        <v>43</v>
      </c>
      <c r="C10" s="76" t="s">
        <v>49</v>
      </c>
      <c r="D10" s="76" t="s">
        <v>50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</row>
    <row r="11" ht="15.75" customHeight="1">
      <c r="A11" s="71"/>
      <c r="B11" s="10">
        <f>'WBS Estimation'!B7</f>
        <v>357.2</v>
      </c>
      <c r="C11" s="10">
        <f>ROUNDUP(B11/8,2)</f>
        <v>44.65</v>
      </c>
      <c r="D11" s="83">
        <f>ROUNDUP(C11/20,2)</f>
        <v>2.24</v>
      </c>
    </row>
    <row r="12" ht="15.75" customHeight="1">
      <c r="A12" s="84"/>
      <c r="B12" s="85"/>
      <c r="C12" s="63"/>
      <c r="D12" s="64"/>
      <c r="E12" s="86"/>
    </row>
    <row r="13" ht="15.75" customHeight="1">
      <c r="A13" s="84"/>
      <c r="B13" s="85"/>
      <c r="C13" s="63"/>
      <c r="D13" s="64"/>
    </row>
    <row r="14" ht="15.75" customHeight="1">
      <c r="A14" s="65"/>
      <c r="B14" s="67" t="s">
        <v>54</v>
      </c>
      <c r="C14" s="87"/>
      <c r="D14" s="88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5.75" customHeight="1">
      <c r="A15" s="63"/>
      <c r="C15" s="63"/>
      <c r="D15" s="64"/>
    </row>
    <row r="16" ht="15.75" customHeight="1">
      <c r="A16" s="71"/>
      <c r="B16" s="7" t="s">
        <v>55</v>
      </c>
      <c r="C16" s="71"/>
      <c r="D16" s="73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ht="15.75" customHeight="1">
      <c r="A17" s="63"/>
      <c r="B17" t="s">
        <v>56</v>
      </c>
      <c r="C17" s="63"/>
      <c r="D17" s="64"/>
    </row>
    <row r="18" ht="15.75" customHeight="1">
      <c r="B18" s="89" t="s">
        <v>57</v>
      </c>
      <c r="C18" s="89" t="s">
        <v>58</v>
      </c>
      <c r="D18" s="89" t="s">
        <v>59</v>
      </c>
      <c r="E18" s="90" t="s">
        <v>60</v>
      </c>
    </row>
    <row r="19" ht="15.75" customHeight="1">
      <c r="B19" s="10">
        <v>1.0</v>
      </c>
      <c r="C19" s="91" t="s">
        <v>61</v>
      </c>
      <c r="D19" s="10"/>
      <c r="E19" s="92"/>
    </row>
    <row r="20" ht="15.75" customHeight="1">
      <c r="B20" s="10">
        <v>2.0</v>
      </c>
      <c r="C20" s="91" t="s">
        <v>63</v>
      </c>
      <c r="D20" s="10"/>
      <c r="E20" s="92"/>
    </row>
    <row r="21" ht="15.75" customHeight="1">
      <c r="B21" s="10">
        <v>3.0</v>
      </c>
      <c r="C21" s="91" t="s">
        <v>64</v>
      </c>
      <c r="D21" s="10"/>
      <c r="E21" s="92"/>
    </row>
    <row r="22" ht="15.75" customHeight="1">
      <c r="A22" s="63"/>
      <c r="C22" s="63"/>
      <c r="D22" s="64"/>
    </row>
    <row r="23" ht="15.75" customHeight="1">
      <c r="A23" s="63"/>
      <c r="C23" s="63"/>
      <c r="D23" s="64"/>
    </row>
    <row r="24" ht="15.75" customHeight="1">
      <c r="A24" s="71"/>
      <c r="B24" s="7" t="s">
        <v>65</v>
      </c>
      <c r="C24" s="71"/>
      <c r="D24" s="7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ht="15.75" customHeight="1">
      <c r="A25" s="63"/>
      <c r="B25" t="s">
        <v>66</v>
      </c>
      <c r="C25" s="63"/>
      <c r="D25" s="64"/>
    </row>
    <row r="26" ht="15.75" customHeight="1">
      <c r="B26" s="89" t="s">
        <v>57</v>
      </c>
      <c r="C26" s="89" t="s">
        <v>58</v>
      </c>
      <c r="D26" s="89" t="s">
        <v>59</v>
      </c>
      <c r="E26" s="90" t="s">
        <v>60</v>
      </c>
    </row>
    <row r="27" ht="15.75" customHeight="1">
      <c r="B27" s="10">
        <v>1.0</v>
      </c>
      <c r="C27" s="91" t="s">
        <v>67</v>
      </c>
      <c r="D27" s="10"/>
      <c r="E27" s="92"/>
    </row>
    <row r="28" ht="15.75" customHeight="1">
      <c r="B28" s="10">
        <v>2.0</v>
      </c>
      <c r="C28" s="91" t="s">
        <v>68</v>
      </c>
      <c r="D28" s="10"/>
      <c r="E28" s="92"/>
    </row>
    <row r="29" ht="15.75" customHeight="1">
      <c r="B29" s="10"/>
      <c r="C29" s="91"/>
      <c r="D29" s="10"/>
      <c r="E29" s="92"/>
    </row>
    <row r="30" ht="15.75" customHeight="1">
      <c r="A30" s="63"/>
      <c r="C30" s="63"/>
      <c r="D30" s="64"/>
    </row>
    <row r="31" ht="15.75" customHeight="1">
      <c r="A31" s="63"/>
      <c r="C31" s="63"/>
      <c r="D31" s="64"/>
    </row>
    <row r="32" ht="15.75" customHeight="1">
      <c r="A32" s="93"/>
      <c r="B32" s="94" t="s">
        <v>69</v>
      </c>
      <c r="C32" s="93"/>
      <c r="D32" s="93"/>
      <c r="E32" s="95"/>
      <c r="F32" s="96"/>
      <c r="G32" s="96"/>
      <c r="H32" s="96"/>
      <c r="I32" s="96"/>
      <c r="J32" s="96"/>
      <c r="K32" s="96"/>
      <c r="L32" s="96"/>
      <c r="M32" s="96"/>
      <c r="N32" s="96"/>
    </row>
    <row r="33" ht="15.75" customHeight="1">
      <c r="A33" s="96"/>
      <c r="B33" s="97" t="s">
        <v>70</v>
      </c>
      <c r="C33" s="98"/>
      <c r="D33" s="98"/>
      <c r="E33" s="98"/>
      <c r="F33" s="96"/>
      <c r="G33" s="96"/>
      <c r="H33" s="96"/>
      <c r="I33" s="96"/>
      <c r="J33" s="96"/>
      <c r="K33" s="99" t="s">
        <v>71</v>
      </c>
      <c r="L33" s="96"/>
      <c r="M33" s="96"/>
      <c r="N33" s="96"/>
    </row>
    <row r="34" ht="33.75" customHeight="1">
      <c r="A34" s="100"/>
      <c r="B34" s="101" t="s">
        <v>57</v>
      </c>
      <c r="C34" s="102" t="s">
        <v>58</v>
      </c>
      <c r="D34" s="22"/>
      <c r="E34" s="103" t="s">
        <v>73</v>
      </c>
      <c r="F34" s="102" t="s">
        <v>74</v>
      </c>
      <c r="G34" s="22"/>
      <c r="H34" s="102" t="s">
        <v>75</v>
      </c>
      <c r="I34" s="22"/>
      <c r="J34" s="100"/>
      <c r="K34" s="104" t="s">
        <v>57</v>
      </c>
      <c r="L34" s="105" t="str">
        <f>IFERROR(__xludf.DUMMYFUNCTION("GOOGLETRANSLATE(C34,""en"",""ja"")"),"アイテム")</f>
        <v>アイテム</v>
      </c>
      <c r="M34" s="22"/>
      <c r="N34" s="106" t="str">
        <f>IFERROR(__xludf.DUMMYFUNCTION("GOOGLETRANSLATE(E34,""en"",""ja"")"),"該当する学位")</f>
        <v>該当する学位</v>
      </c>
      <c r="O34" s="105" t="str">
        <f>IFERROR(__xludf.DUMMYFUNCTION("GOOGLETRANSLATE(F34,""en"",""ja"")"),"前提条件")</f>
        <v>前提条件</v>
      </c>
      <c r="P34" s="22"/>
      <c r="Q34" s="105" t="str">
        <f>IFERROR(__xludf.DUMMYFUNCTION("GOOGLETRANSLATE(H34,""en"",""ja"")"),"該当しない理由")</f>
        <v>該当しない理由</v>
      </c>
      <c r="R34" s="22"/>
      <c r="S34" s="14"/>
      <c r="T34" s="14"/>
    </row>
    <row r="35" ht="25.5" customHeight="1">
      <c r="A35" s="107"/>
      <c r="B35" s="33">
        <v>1.0</v>
      </c>
      <c r="C35" s="108" t="s">
        <v>76</v>
      </c>
      <c r="D35" s="22"/>
      <c r="E35" s="109" t="s">
        <v>77</v>
      </c>
      <c r="F35" s="110"/>
      <c r="G35" s="21"/>
      <c r="H35" s="111"/>
      <c r="I35" s="22"/>
      <c r="J35" s="107"/>
      <c r="K35" s="33">
        <v>1.0</v>
      </c>
      <c r="L35" s="111" t="s">
        <v>78</v>
      </c>
      <c r="M35" s="22"/>
      <c r="N35" s="109" t="s">
        <v>77</v>
      </c>
      <c r="O35" s="111"/>
      <c r="P35" s="22"/>
      <c r="Q35" s="111"/>
      <c r="R35" s="22"/>
      <c r="S35" s="64"/>
      <c r="T35" s="64"/>
    </row>
    <row r="36" ht="20.25" customHeight="1">
      <c r="A36" s="107"/>
      <c r="B36" s="112">
        <v>2.0</v>
      </c>
      <c r="C36" s="113" t="s">
        <v>81</v>
      </c>
      <c r="D36" s="114" t="s">
        <v>82</v>
      </c>
      <c r="E36" s="109" t="b">
        <v>1</v>
      </c>
      <c r="F36" s="110"/>
      <c r="G36" s="21"/>
      <c r="H36" s="111"/>
      <c r="I36" s="22"/>
      <c r="J36" s="107"/>
      <c r="K36" s="112">
        <v>2.0</v>
      </c>
      <c r="L36" s="115" t="str">
        <f>IFERROR(__xludf.DUMMYFUNCTION("GOOGLETRANSLATE(C36,""en"",""ja"")"),"各役割の役割と期待される成果物
（各役割はどのようなタスクを担当し、どのような成果物を出すのか？）
参照：各役割の責任：[JP] JPPMオンボーディング")</f>
        <v>各役割の役割と期待される成果物
（各役割はどのようなタスクを担当し、どのような成果物を出すのか？）
参照：各役割の責任：[JP] JPPMオンボーディング</v>
      </c>
      <c r="M36" s="114" t="s">
        <v>82</v>
      </c>
      <c r="N36" s="109" t="b">
        <v>0</v>
      </c>
      <c r="O36" s="111"/>
      <c r="P36" s="22"/>
      <c r="Q36" s="111"/>
      <c r="R36" s="22"/>
      <c r="S36" s="64"/>
      <c r="T36" s="64"/>
    </row>
    <row r="37" ht="20.25" customHeight="1">
      <c r="A37" s="107"/>
      <c r="B37" s="117"/>
      <c r="C37" s="117"/>
      <c r="D37" s="118" t="s">
        <v>35</v>
      </c>
      <c r="E37" s="109" t="b">
        <v>1</v>
      </c>
      <c r="F37" s="110"/>
      <c r="G37" s="21"/>
      <c r="H37" s="111"/>
      <c r="I37" s="22"/>
      <c r="J37" s="107"/>
      <c r="K37" s="117"/>
      <c r="L37" s="117"/>
      <c r="M37" s="118" t="s">
        <v>35</v>
      </c>
      <c r="N37" s="37" t="b">
        <v>0</v>
      </c>
      <c r="O37" s="111"/>
      <c r="P37" s="22"/>
      <c r="Q37" s="111"/>
      <c r="R37" s="22"/>
      <c r="S37" s="64"/>
      <c r="T37" s="64"/>
    </row>
    <row r="38" ht="21.75" customHeight="1">
      <c r="A38" s="107"/>
      <c r="B38" s="35"/>
      <c r="C38" s="35"/>
      <c r="D38" s="118" t="s">
        <v>84</v>
      </c>
      <c r="E38" s="109" t="b">
        <v>1</v>
      </c>
      <c r="F38" s="110"/>
      <c r="G38" s="21"/>
      <c r="H38" s="111"/>
      <c r="I38" s="22"/>
      <c r="J38" s="107"/>
      <c r="K38" s="35"/>
      <c r="L38" s="35"/>
      <c r="M38" s="118" t="s">
        <v>84</v>
      </c>
      <c r="N38" s="37" t="b">
        <v>0</v>
      </c>
      <c r="O38" s="111"/>
      <c r="P38" s="22"/>
      <c r="Q38" s="111"/>
      <c r="R38" s="22"/>
      <c r="S38" s="64"/>
      <c r="T38" s="64"/>
    </row>
    <row r="39" ht="33.0" customHeight="1">
      <c r="A39" s="107"/>
      <c r="B39" s="33">
        <v>3.0</v>
      </c>
      <c r="C39" s="119" t="s">
        <v>85</v>
      </c>
      <c r="D39" s="22"/>
      <c r="E39" s="109" t="b">
        <v>1</v>
      </c>
      <c r="F39" s="110"/>
      <c r="G39" s="21"/>
      <c r="H39" s="111"/>
      <c r="I39" s="22"/>
      <c r="J39" s="107"/>
      <c r="K39" s="33">
        <v>3.0</v>
      </c>
      <c r="L39" s="120" t="str">
        <f>IFERROR(__xludf.DUMMYFUNCTION("GOOGLETRANSLATE(C39,""en"",""ja"")"),"日本人メンバーの役割と期待される成果
（日本人メンバーにはどのような成果を期待していますか？）")</f>
        <v>日本人メンバーの役割と期待される成果
（日本人メンバーにはどのような成果を期待していますか？）</v>
      </c>
      <c r="M39" s="22"/>
      <c r="N39" s="37" t="b">
        <v>0</v>
      </c>
      <c r="O39" s="111"/>
      <c r="P39" s="22"/>
      <c r="Q39" s="111"/>
      <c r="R39" s="22"/>
      <c r="S39" s="64"/>
      <c r="T39" s="64"/>
    </row>
    <row r="40" ht="70.5" customHeight="1">
      <c r="A40" s="107"/>
      <c r="B40" s="33">
        <v>4.0</v>
      </c>
      <c r="C40" s="108" t="s">
        <v>86</v>
      </c>
      <c r="D40" s="22"/>
      <c r="E40" s="121" t="s">
        <v>87</v>
      </c>
      <c r="F40" s="110"/>
      <c r="G40" s="21"/>
      <c r="H40" s="111"/>
      <c r="I40" s="22"/>
      <c r="J40" s="107"/>
      <c r="K40" s="33">
        <v>4.0</v>
      </c>
      <c r="L40" s="122" t="str">
        <f>IFERROR(__xludf.DUMMYFUNCTION("GOOGLETRANSLATE(C40,""en"",""ja"")"),"各マイルストーンにおけるスケジュールと想定されるインプットおよびアウトプット
（プロジェクト期間中にいつ、どのようなアウトプットが得られるのか？依存するインプットはいつ完了／受領される予定か？）例：顧客から既存のデータベース構造を受け取るまでのタイムラインと、開発を開始するまでのタイムライン")</f>
        <v>各マイルストーンにおけるスケジュールと想定されるインプットおよびアウトプット
（プロジェクト期間中にいつ、どのようなアウトプットが得られるのか？依存するインプットはいつ完了／受領される予定か？）例：顧客から既存のデータベース構造を受け取るまでのタイムラインと、開発を開始するまでのタイムライン</v>
      </c>
      <c r="M40" s="22"/>
      <c r="N40" s="121" t="s">
        <v>87</v>
      </c>
      <c r="O40" s="111"/>
      <c r="P40" s="22"/>
      <c r="Q40" s="111"/>
      <c r="R40" s="22"/>
      <c r="S40" s="64"/>
      <c r="T40" s="64"/>
    </row>
    <row r="41" ht="15.75" customHeight="1">
      <c r="A41" s="107"/>
      <c r="B41" s="33">
        <v>5.0</v>
      </c>
      <c r="C41" s="123" t="s">
        <v>88</v>
      </c>
      <c r="D41" s="22"/>
      <c r="E41" s="109" t="s">
        <v>87</v>
      </c>
      <c r="F41" s="110"/>
      <c r="G41" s="21"/>
      <c r="H41" s="111"/>
      <c r="I41" s="22"/>
      <c r="J41" s="107"/>
      <c r="K41" s="33">
        <v>5.0</v>
      </c>
      <c r="L41" s="122" t="str">
        <f>IFERROR(__xludf.DUMMYFUNCTION("GOOGLETRANSLATE(C41,""en"",""ja"")"),"画面数")</f>
        <v>画面数</v>
      </c>
      <c r="M41" s="22"/>
      <c r="N41" s="109" t="s">
        <v>87</v>
      </c>
      <c r="O41" s="111"/>
      <c r="P41" s="22"/>
      <c r="Q41" s="111"/>
      <c r="R41" s="22"/>
      <c r="S41" s="64"/>
      <c r="T41" s="64"/>
    </row>
    <row r="42" ht="15.75" customHeight="1">
      <c r="A42" s="107"/>
      <c r="B42" s="33">
        <v>6.0</v>
      </c>
      <c r="C42" s="108" t="s">
        <v>91</v>
      </c>
      <c r="D42" s="22"/>
      <c r="E42" s="109" t="b">
        <v>1</v>
      </c>
      <c r="F42" s="110"/>
      <c r="G42" s="21"/>
      <c r="H42" s="111"/>
      <c r="I42" s="22"/>
      <c r="J42" s="107"/>
      <c r="K42" s="33">
        <v>6.0</v>
      </c>
      <c r="L42" s="122" t="str">
        <f>IFERROR(__xludf.DUMMYFUNCTION("GOOGLETRANSLATE(C42,""en"",""ja"")"),"画面あたりのAPI数")</f>
        <v>画面あたりのAPI数</v>
      </c>
      <c r="M42" s="22"/>
      <c r="N42" s="37" t="b">
        <v>0</v>
      </c>
      <c r="O42" s="111"/>
      <c r="P42" s="22"/>
      <c r="Q42" s="111"/>
      <c r="R42" s="22"/>
      <c r="S42" s="64"/>
      <c r="T42" s="64"/>
    </row>
    <row r="43" ht="15.75" customHeight="1">
      <c r="A43" s="107"/>
      <c r="B43" s="33">
        <v>7.0</v>
      </c>
      <c r="C43" s="108" t="s">
        <v>92</v>
      </c>
      <c r="D43" s="22"/>
      <c r="E43" s="109" t="b">
        <v>1</v>
      </c>
      <c r="F43" s="110"/>
      <c r="G43" s="21"/>
      <c r="H43" s="111"/>
      <c r="I43" s="22"/>
      <c r="J43" s="107"/>
      <c r="K43" s="33">
        <v>7.0</v>
      </c>
      <c r="L43" s="122" t="str">
        <f>IFERROR(__xludf.DUMMYFUNCTION("GOOGLETRANSLATE(C43,""en"",""ja"")"),"インターフェース")</f>
        <v>インターフェース</v>
      </c>
      <c r="M43" s="22"/>
      <c r="N43" s="37" t="b">
        <v>0</v>
      </c>
      <c r="O43" s="111"/>
      <c r="P43" s="22"/>
      <c r="Q43" s="111"/>
      <c r="R43" s="22"/>
      <c r="S43" s="64"/>
      <c r="T43" s="64"/>
    </row>
    <row r="44" ht="15.75" customHeight="1">
      <c r="A44" s="107"/>
      <c r="B44" s="33">
        <v>8.0</v>
      </c>
      <c r="C44" s="108" t="s">
        <v>93</v>
      </c>
      <c r="D44" s="22"/>
      <c r="E44" s="109" t="b">
        <v>1</v>
      </c>
      <c r="F44" s="110"/>
      <c r="G44" s="21"/>
      <c r="H44" s="111"/>
      <c r="I44" s="22"/>
      <c r="J44" s="107"/>
      <c r="K44" s="33">
        <v>8.0</v>
      </c>
      <c r="L44" s="122" t="str">
        <f>IFERROR(__xludf.DUMMYFUNCTION("GOOGLETRANSLATE(C44,""en"",""ja"")"),"形態（日本語では「チョヒョ」）")</f>
        <v>形態（日本語では「チョヒョ」）</v>
      </c>
      <c r="M44" s="22"/>
      <c r="N44" s="37" t="b">
        <v>0</v>
      </c>
      <c r="O44" s="111"/>
      <c r="P44" s="22"/>
      <c r="Q44" s="111"/>
      <c r="R44" s="22"/>
      <c r="S44" s="64"/>
      <c r="T44" s="64"/>
    </row>
    <row r="45" ht="15.75" customHeight="1">
      <c r="A45" s="124"/>
      <c r="B45" s="33">
        <v>9.0</v>
      </c>
      <c r="C45" s="108" t="s">
        <v>94</v>
      </c>
      <c r="D45" s="22"/>
      <c r="E45" s="125" t="b">
        <v>1</v>
      </c>
      <c r="F45" s="110"/>
      <c r="G45" s="21"/>
      <c r="H45" s="111"/>
      <c r="I45" s="22"/>
      <c r="J45" s="124"/>
      <c r="K45" s="33">
        <v>9.0</v>
      </c>
      <c r="L45" s="122" t="str">
        <f>IFERROR(__xludf.DUMMYFUNCTION("GOOGLETRANSLATE(C45,""en"",""ja"")"),"システム規模
（ユーザー数とインフラ構成について、どのような想定をお持ちですか？※お客様から指定がある場合は、お客様からのご要望へのリンクを添付してください。）")</f>
        <v>システム規模
（ユーザー数とインフラ構成について、どのような想定をお持ちですか？※お客様から指定がある場合は、お客様からのご要望へのリンクを添付してください。）</v>
      </c>
      <c r="M45" s="22"/>
      <c r="N45" s="126" t="b">
        <v>0</v>
      </c>
      <c r="O45" s="111"/>
      <c r="P45" s="22"/>
      <c r="Q45" s="111"/>
      <c r="R45" s="22"/>
      <c r="S45" s="64"/>
      <c r="T45" s="64"/>
    </row>
    <row r="46" ht="15.75" customHeight="1">
      <c r="A46" s="124"/>
      <c r="B46" s="33">
        <v>10.0</v>
      </c>
      <c r="C46" s="108" t="s">
        <v>96</v>
      </c>
      <c r="D46" s="22"/>
      <c r="E46" s="125" t="b">
        <v>1</v>
      </c>
      <c r="F46" s="110"/>
      <c r="G46" s="21"/>
      <c r="H46" s="111"/>
      <c r="I46" s="22"/>
      <c r="J46" s="124"/>
      <c r="K46" s="33">
        <v>10.0</v>
      </c>
      <c r="L46" s="122" t="str">
        <f>IFERROR(__xludf.DUMMYFUNCTION("GOOGLETRANSLATE(C46,""en"",""ja"")"),"非機能要件
（SLAおよびセキュリティ要件について、どのような構想をお持ちですか？※お客様から指定がある場合は、お客様からのリクエストへのリンクを添付してください。）")</f>
        <v>非機能要件
（SLAおよびセキュリティ要件について、どのような構想をお持ちですか？※お客様から指定がある場合は、お客様からのリクエストへのリンクを添付してください。）</v>
      </c>
      <c r="M46" s="22"/>
      <c r="N46" s="126" t="b">
        <v>0</v>
      </c>
      <c r="O46" s="111"/>
      <c r="P46" s="22"/>
      <c r="Q46" s="111"/>
      <c r="R46" s="22"/>
      <c r="S46" s="64"/>
      <c r="T46" s="64"/>
    </row>
    <row r="47" ht="15.75" customHeight="1">
      <c r="A47" s="124"/>
      <c r="B47" s="33">
        <v>11.0</v>
      </c>
      <c r="C47" s="108" t="s">
        <v>97</v>
      </c>
      <c r="D47" s="22"/>
      <c r="E47" s="121" t="s">
        <v>87</v>
      </c>
      <c r="F47" s="110"/>
      <c r="G47" s="21"/>
      <c r="H47" s="111"/>
      <c r="I47" s="22"/>
      <c r="J47" s="124"/>
      <c r="K47" s="33">
        <v>11.0</v>
      </c>
      <c r="L47" s="122" t="str">
        <f>IFERROR(__xludf.DUMMYFUNCTION("GOOGLETRANSLATE(C47,""en"",""ja"")"),"バッファ率（％）とその内訳
（変更要求、バグや問題の解決、技術的な困難など、リスクに対するバッファのみ）")</f>
        <v>バッファ率（％）とその内訳
（変更要求、バグや問題の解決、技術的な困難など、リスクに対するバッファのみ）</v>
      </c>
      <c r="M47" s="22"/>
      <c r="N47" s="121" t="s">
        <v>87</v>
      </c>
      <c r="O47" s="111"/>
      <c r="P47" s="22"/>
      <c r="Q47" s="111"/>
      <c r="R47" s="22"/>
      <c r="S47" s="64"/>
      <c r="T47" s="64"/>
    </row>
    <row r="48" ht="15.75" customHeight="1">
      <c r="A48" s="127"/>
      <c r="B48" s="128"/>
      <c r="C48" s="127"/>
      <c r="D48" s="127"/>
      <c r="E48" s="127"/>
      <c r="G48" s="127"/>
      <c r="H48" s="127"/>
      <c r="I48" s="127"/>
      <c r="J48" s="127"/>
      <c r="K48" s="127"/>
      <c r="L48" s="127"/>
      <c r="M48" s="127"/>
      <c r="N48" s="127"/>
    </row>
    <row r="49" ht="15.75" customHeight="1">
      <c r="B49" s="129" t="s">
        <v>98</v>
      </c>
      <c r="C49" s="64"/>
      <c r="D49" s="64"/>
      <c r="E49" s="64"/>
      <c r="F49" s="64"/>
      <c r="G49" s="64"/>
      <c r="H49" s="64"/>
      <c r="I49" s="64"/>
      <c r="K49" s="99" t="s">
        <v>71</v>
      </c>
    </row>
    <row r="50" ht="30.75" customHeight="1">
      <c r="A50" s="100"/>
      <c r="B50" s="101" t="s">
        <v>32</v>
      </c>
      <c r="C50" s="102" t="s">
        <v>58</v>
      </c>
      <c r="D50" s="22"/>
      <c r="E50" s="103" t="s">
        <v>73</v>
      </c>
      <c r="F50" s="102" t="s">
        <v>74</v>
      </c>
      <c r="G50" s="22"/>
      <c r="H50" s="102" t="s">
        <v>75</v>
      </c>
      <c r="I50" s="22"/>
      <c r="J50" s="100"/>
      <c r="K50" s="106" t="str">
        <f>IFERROR(__xludf.DUMMYFUNCTION("GOOGLETRANSLATE(B50,""en"",""ja"")"),"役割")</f>
        <v>役割</v>
      </c>
      <c r="L50" s="105" t="str">
        <f>IFERROR(__xludf.DUMMYFUNCTION("GOOGLETRANSLATE(C50,""en"",""ja"")"),"アイテム")</f>
        <v>アイテム</v>
      </c>
      <c r="M50" s="22"/>
      <c r="N50" s="106" t="str">
        <f>IFERROR(__xludf.DUMMYFUNCTION("GOOGLETRANSLATE(E50,""en"",""ja"")"),"該当する学位")</f>
        <v>該当する学位</v>
      </c>
      <c r="O50" s="105" t="str">
        <f>IFERROR(__xludf.DUMMYFUNCTION("GOOGLETRANSLATE(F50,""en"",""ja"")"),"前提条件")</f>
        <v>前提条件</v>
      </c>
      <c r="P50" s="22"/>
      <c r="Q50" s="105" t="str">
        <f>IFERROR(__xludf.DUMMYFUNCTION("GOOGLETRANSLATE(H50,""en"",""ja"")"),"該当しない理由")</f>
        <v>該当しない理由</v>
      </c>
      <c r="R50" s="22"/>
      <c r="S50" s="14"/>
      <c r="T50" s="14"/>
    </row>
    <row r="51" ht="15.75" customHeight="1">
      <c r="A51" s="64"/>
      <c r="B51" s="112" t="s">
        <v>101</v>
      </c>
      <c r="C51" s="108" t="s">
        <v>102</v>
      </c>
      <c r="D51" s="22"/>
      <c r="E51" s="109" t="s">
        <v>87</v>
      </c>
      <c r="F51" s="110"/>
      <c r="G51" s="21"/>
      <c r="H51" s="111"/>
      <c r="I51" s="22"/>
      <c r="J51" s="64"/>
      <c r="K51" s="112" t="s">
        <v>101</v>
      </c>
      <c r="L51" s="122" t="str">
        <f>IFERROR(__xludf.DUMMYFUNCTION("GOOGLETRANSLATE(C51,""en"",""ja"")"),"新規システムを開発するか、既存システム内で開発するか？")</f>
        <v>新規システムを開発するか、既存システム内で開発するか？</v>
      </c>
      <c r="M51" s="22"/>
      <c r="N51" s="109" t="s">
        <v>87</v>
      </c>
      <c r="O51" s="111"/>
      <c r="P51" s="22"/>
      <c r="Q51" s="111"/>
      <c r="R51" s="22"/>
      <c r="S51" s="64"/>
      <c r="T51" s="64"/>
    </row>
    <row r="52" ht="15.75" customHeight="1">
      <c r="A52" s="64"/>
      <c r="B52" s="117"/>
      <c r="C52" s="92" t="s">
        <v>104</v>
      </c>
      <c r="D52" s="92"/>
      <c r="E52" s="109" t="b">
        <v>1</v>
      </c>
      <c r="F52" s="110"/>
      <c r="G52" s="21"/>
      <c r="H52" s="111"/>
      <c r="I52" s="22"/>
      <c r="J52" s="64"/>
      <c r="K52" s="117"/>
      <c r="L52" s="122" t="str">
        <f>IFERROR(__xludf.DUMMYFUNCTION("GOOGLETRANSLATE(C52,""en"",""ja"")"),"アーキテクチャ（マイクロサービス、モノリシック、マルチテナント）")</f>
        <v>アーキテクチャ（マイクロサービス、モノリシック、マルチテナント）</v>
      </c>
      <c r="M52" s="22"/>
      <c r="N52" s="109" t="b">
        <v>0</v>
      </c>
      <c r="O52" s="111" t="str">
        <f>IFERROR(__xludf.DUMMYFUNCTION("iferror(GOOGLETRANSLATE(F52,""en"",""ja""),"""")"),"")</f>
        <v/>
      </c>
      <c r="P52" s="22"/>
      <c r="Q52" s="111"/>
      <c r="R52" s="22"/>
      <c r="S52" s="64"/>
      <c r="T52" s="64"/>
    </row>
    <row r="53" ht="15.75" customHeight="1">
      <c r="A53" s="64"/>
      <c r="B53" s="117"/>
      <c r="C53" s="130" t="s">
        <v>105</v>
      </c>
      <c r="D53" s="131" t="s">
        <v>106</v>
      </c>
      <c r="E53" s="109" t="b">
        <v>1</v>
      </c>
      <c r="F53" s="110"/>
      <c r="G53" s="21"/>
      <c r="H53" s="111"/>
      <c r="I53" s="22"/>
      <c r="J53" s="64"/>
      <c r="K53" s="117"/>
      <c r="L53" s="132" t="str">
        <f>IFERROR(__xludf.DUMMYFUNCTION("GOOGLETRANSLATE(C53,""en"",""ja"")"),"作業範囲")</f>
        <v>作業範囲</v>
      </c>
      <c r="M53" s="133" t="str">
        <f>IFERROR(__xludf.DUMMYFUNCTION("GOOGLETRANSLATE(D53,""en"",""ja"")"),"単体テスト")</f>
        <v>単体テスト</v>
      </c>
      <c r="N53" s="109" t="b">
        <v>0</v>
      </c>
      <c r="O53" s="111" t="str">
        <f>IFERROR(__xludf.DUMMYFUNCTION("iferror(GOOGLETRANSLATE(F53,""en"",""ja""),"""")"),"")</f>
        <v/>
      </c>
      <c r="P53" s="22"/>
      <c r="Q53" s="111"/>
      <c r="R53" s="22"/>
      <c r="S53" s="64"/>
      <c r="T53" s="64"/>
    </row>
    <row r="54" ht="15.75" customHeight="1">
      <c r="A54" s="64"/>
      <c r="B54" s="117"/>
      <c r="C54" s="117"/>
      <c r="D54" s="134" t="s">
        <v>108</v>
      </c>
      <c r="E54" s="109" t="b">
        <v>1</v>
      </c>
      <c r="F54" s="110"/>
      <c r="G54" s="21"/>
      <c r="H54" s="111"/>
      <c r="I54" s="22"/>
      <c r="J54" s="64"/>
      <c r="K54" s="117"/>
      <c r="L54" s="117"/>
      <c r="M54" s="133" t="str">
        <f>IFERROR(__xludf.DUMMYFUNCTION("GOOGLETRANSLATE(D54,""en"",""ja"")"),"システム設計を提供する")</f>
        <v>システム設計を提供する</v>
      </c>
      <c r="N54" s="109" t="b">
        <v>0</v>
      </c>
      <c r="O54" s="111" t="str">
        <f>IFERROR(__xludf.DUMMYFUNCTION("iferror(GOOGLETRANSLATE(F54,""en"",""ja""),"""")"),"")</f>
        <v/>
      </c>
      <c r="P54" s="22"/>
      <c r="Q54" s="111"/>
      <c r="R54" s="22"/>
      <c r="S54" s="64"/>
      <c r="T54" s="64"/>
    </row>
    <row r="55" ht="15.75" customHeight="1">
      <c r="A55" s="64"/>
      <c r="B55" s="117"/>
      <c r="C55" s="117"/>
      <c r="D55" s="134" t="s">
        <v>109</v>
      </c>
      <c r="E55" s="109" t="b">
        <v>1</v>
      </c>
      <c r="F55" s="110"/>
      <c r="G55" s="21"/>
      <c r="H55" s="111"/>
      <c r="I55" s="22"/>
      <c r="J55" s="64"/>
      <c r="K55" s="117"/>
      <c r="L55" s="117"/>
      <c r="M55" s="133" t="str">
        <f>IFERROR(__xludf.DUMMYFUNCTION("GOOGLETRANSLATE(D55,""en"",""ja"")"),"API設計を提供する")</f>
        <v>API設計を提供する</v>
      </c>
      <c r="N55" s="109" t="b">
        <v>0</v>
      </c>
      <c r="O55" s="111" t="str">
        <f>IFERROR(__xludf.DUMMYFUNCTION("iferror(GOOGLETRANSLATE(F55,""en"",""ja""),"""")"),"")</f>
        <v/>
      </c>
      <c r="P55" s="22"/>
      <c r="Q55" s="111"/>
      <c r="R55" s="22"/>
      <c r="S55" s="64"/>
      <c r="T55" s="64"/>
    </row>
    <row r="56" ht="15.75" customHeight="1">
      <c r="A56" s="64"/>
      <c r="B56" s="117"/>
      <c r="C56" s="117"/>
      <c r="D56" s="134" t="s">
        <v>110</v>
      </c>
      <c r="E56" s="109" t="b">
        <v>1</v>
      </c>
      <c r="F56" s="110"/>
      <c r="G56" s="21"/>
      <c r="H56" s="111"/>
      <c r="I56" s="22"/>
      <c r="J56" s="64"/>
      <c r="K56" s="117"/>
      <c r="L56" s="117"/>
      <c r="M56" s="133" t="str">
        <f>IFERROR(__xludf.DUMMYFUNCTION("GOOGLETRANSLATE(D56,""en"",""ja"")"),"データベース設計を提供する")</f>
        <v>データベース設計を提供する</v>
      </c>
      <c r="N56" s="109" t="b">
        <v>0</v>
      </c>
      <c r="O56" s="111" t="str">
        <f>IFERROR(__xludf.DUMMYFUNCTION("iferror(GOOGLETRANSLATE(F56,""en"",""ja""),"""")"),"")</f>
        <v/>
      </c>
      <c r="P56" s="22"/>
      <c r="Q56" s="111"/>
      <c r="R56" s="22"/>
      <c r="S56" s="64"/>
      <c r="T56" s="64"/>
    </row>
    <row r="57" ht="15.75" customHeight="1">
      <c r="A57" s="64"/>
      <c r="B57" s="117"/>
      <c r="C57" s="117"/>
      <c r="D57" s="140" t="s">
        <v>111</v>
      </c>
      <c r="E57" s="109" t="b">
        <v>1</v>
      </c>
      <c r="F57" s="110"/>
      <c r="G57" s="21"/>
      <c r="H57" s="111"/>
      <c r="I57" s="22"/>
      <c r="J57" s="64"/>
      <c r="K57" s="117"/>
      <c r="L57" s="117"/>
      <c r="M57" s="133" t="str">
        <f>IFERROR(__xludf.DUMMYFUNCTION("GOOGLETRANSLATE(D57,""en"",""ja"")"),"CI/CDを統合する")</f>
        <v>CI/CDを統合する</v>
      </c>
      <c r="N57" s="109" t="b">
        <v>0</v>
      </c>
      <c r="O57" s="111" t="str">
        <f>IFERROR(__xludf.DUMMYFUNCTION("iferror(GOOGLETRANSLATE(F57,""en"",""ja""),"""")"),"")</f>
        <v/>
      </c>
      <c r="P57" s="22"/>
      <c r="Q57" s="111"/>
      <c r="R57" s="22"/>
      <c r="S57" s="64"/>
      <c r="T57" s="64"/>
    </row>
    <row r="58" ht="15.75" customHeight="1">
      <c r="A58" s="64"/>
      <c r="B58" s="117"/>
      <c r="C58" s="117"/>
      <c r="D58" s="140" t="s">
        <v>112</v>
      </c>
      <c r="E58" s="109" t="b">
        <v>1</v>
      </c>
      <c r="F58" s="110"/>
      <c r="G58" s="21"/>
      <c r="H58" s="111"/>
      <c r="I58" s="22"/>
      <c r="J58" s="64"/>
      <c r="K58" s="117"/>
      <c r="L58" s="117"/>
      <c r="M58" s="133" t="str">
        <f>IFERROR(__xludf.DUMMYFUNCTION("GOOGLETRANSLATE(D58,""en"",""ja"")"),"サードパーティサービスを統合する")</f>
        <v>サードパーティサービスを統合する</v>
      </c>
      <c r="N58" s="109" t="b">
        <v>0</v>
      </c>
      <c r="O58" s="111" t="str">
        <f>IFERROR(__xludf.DUMMYFUNCTION("iferror(GOOGLETRANSLATE(F58,""en"",""ja""),"""")"),"")</f>
        <v/>
      </c>
      <c r="P58" s="22"/>
      <c r="Q58" s="111"/>
      <c r="R58" s="22"/>
      <c r="S58" s="64"/>
      <c r="T58" s="64"/>
    </row>
    <row r="59" ht="15.75" customHeight="1">
      <c r="A59" s="64"/>
      <c r="B59" s="117"/>
      <c r="C59" s="117"/>
      <c r="D59" s="134" t="s">
        <v>113</v>
      </c>
      <c r="E59" s="109" t="b">
        <v>1</v>
      </c>
      <c r="F59" s="110"/>
      <c r="G59" s="21"/>
      <c r="H59" s="111"/>
      <c r="I59" s="22"/>
      <c r="J59" s="64"/>
      <c r="K59" s="117"/>
      <c r="L59" s="117"/>
      <c r="M59" s="133" t="str">
        <f>IFERROR(__xludf.DUMMYFUNCTION("GOOGLETRANSLATE(D59,""en"",""ja"")"),"支払い関連機能の開発")</f>
        <v>支払い関連機能の開発</v>
      </c>
      <c r="N59" s="109" t="b">
        <v>0</v>
      </c>
      <c r="O59" s="111" t="str">
        <f>IFERROR(__xludf.DUMMYFUNCTION("iferror(GOOGLETRANSLATE(F59,""en"",""ja""),"""")"),"")</f>
        <v/>
      </c>
      <c r="P59" s="22"/>
      <c r="Q59" s="111"/>
      <c r="R59" s="22"/>
      <c r="S59" s="64"/>
      <c r="T59" s="64"/>
    </row>
    <row r="60" ht="15.75" customHeight="1">
      <c r="A60" s="64"/>
      <c r="B60" s="117"/>
      <c r="C60" s="117"/>
      <c r="D60" s="131" t="s">
        <v>114</v>
      </c>
      <c r="E60" s="109" t="b">
        <v>1</v>
      </c>
      <c r="F60" s="110"/>
      <c r="G60" s="21"/>
      <c r="H60" s="111"/>
      <c r="I60" s="22"/>
      <c r="J60" s="64"/>
      <c r="K60" s="117"/>
      <c r="L60" s="117"/>
      <c r="M60" s="133" t="str">
        <f>IFERROR(__xludf.DUMMYFUNCTION("GOOGLETRANSLATE(D60,""en"",""ja"")"),"古いシステムからデータを移行する")</f>
        <v>古いシステムからデータを移行する</v>
      </c>
      <c r="N60" s="109" t="b">
        <v>0</v>
      </c>
      <c r="O60" s="111" t="str">
        <f>IFERROR(__xludf.DUMMYFUNCTION("iferror(GOOGLETRANSLATE(F60,""en"",""ja""),"""")"),"")</f>
        <v/>
      </c>
      <c r="P60" s="22"/>
      <c r="Q60" s="111"/>
      <c r="R60" s="22"/>
      <c r="S60" s="64"/>
      <c r="T60" s="64"/>
    </row>
    <row r="61" ht="15.75" customHeight="1">
      <c r="A61" s="64"/>
      <c r="B61" s="117"/>
      <c r="C61" s="35"/>
      <c r="D61" s="131" t="s">
        <v>115</v>
      </c>
      <c r="E61" s="109" t="b">
        <v>1</v>
      </c>
      <c r="F61" s="110"/>
      <c r="G61" s="21"/>
      <c r="H61" s="111"/>
      <c r="I61" s="22"/>
      <c r="J61" s="64"/>
      <c r="K61" s="117"/>
      <c r="L61" s="35"/>
      <c r="M61" s="133" t="str">
        <f>IFERROR(__xludf.DUMMYFUNCTION("GOOGLETRANSLATE(D61,""en"",""ja"")"),"本番環境への展開")</f>
        <v>本番環境への展開</v>
      </c>
      <c r="N61" s="109" t="b">
        <v>0</v>
      </c>
      <c r="O61" s="111" t="str">
        <f>IFERROR(__xludf.DUMMYFUNCTION("iferror(GOOGLETRANSLATE(F61,""en"",""ja""),"""")"),"")</f>
        <v/>
      </c>
      <c r="P61" s="22"/>
      <c r="Q61" s="111"/>
      <c r="R61" s="22"/>
      <c r="S61" s="64"/>
      <c r="T61" s="64"/>
    </row>
    <row r="62" ht="15.75" customHeight="1">
      <c r="A62" s="64"/>
      <c r="B62" s="117"/>
      <c r="C62" s="141" t="s">
        <v>116</v>
      </c>
      <c r="D62" s="22"/>
      <c r="E62" s="109" t="s">
        <v>87</v>
      </c>
      <c r="F62" s="110"/>
      <c r="G62" s="21"/>
      <c r="H62" s="111"/>
      <c r="I62" s="22"/>
      <c r="J62" s="64"/>
      <c r="K62" s="117"/>
      <c r="L62" s="122" t="str">
        <f>IFERROR(__xludf.DUMMYFUNCTION("GOOGLETRANSLATE(C62,""en"",""ja"")"),"その他の想定リスクおよび前提条件")</f>
        <v>その他の想定リスクおよび前提条件</v>
      </c>
      <c r="M62" s="22"/>
      <c r="N62" s="109" t="s">
        <v>87</v>
      </c>
      <c r="O62" s="111" t="str">
        <f>IFERROR(__xludf.DUMMYFUNCTION("iferror(GOOGLETRANSLATE(F62,""en"",""ja""),"""")"),"")</f>
        <v/>
      </c>
      <c r="P62" s="22"/>
      <c r="Q62" s="111"/>
      <c r="R62" s="22"/>
      <c r="S62" s="64"/>
      <c r="T62" s="64"/>
    </row>
    <row r="63" ht="15.75" customHeight="1">
      <c r="A63" s="64"/>
      <c r="B63" s="35"/>
      <c r="C63" s="141" t="s">
        <v>117</v>
      </c>
      <c r="D63" s="22"/>
      <c r="E63" s="109" t="s">
        <v>87</v>
      </c>
      <c r="F63" s="110"/>
      <c r="G63" s="21"/>
      <c r="H63" s="111"/>
      <c r="I63" s="22"/>
      <c r="J63" s="64"/>
      <c r="K63" s="35"/>
      <c r="L63" s="122" t="str">
        <f>IFERROR(__xludf.DUMMYFUNCTION("GOOGLETRANSLATE(C63,""en"",""ja"")"),"バッファ率（％）")</f>
        <v>バッファ率（％）</v>
      </c>
      <c r="M63" s="22"/>
      <c r="N63" s="109" t="s">
        <v>87</v>
      </c>
      <c r="O63" s="111" t="str">
        <f>IFERROR(__xludf.DUMMYFUNCTION("iferror(GOOGLETRANSLATE(F63,""en"",""ja""),"""")"),"")</f>
        <v/>
      </c>
      <c r="P63" s="22"/>
      <c r="Q63" s="111"/>
      <c r="R63" s="22"/>
      <c r="S63" s="64"/>
      <c r="T63" s="64"/>
    </row>
    <row r="64" ht="15.75" customHeight="1">
      <c r="A64" s="64"/>
      <c r="B64" s="112" t="s">
        <v>118</v>
      </c>
      <c r="C64" s="108" t="s">
        <v>102</v>
      </c>
      <c r="D64" s="22"/>
      <c r="E64" s="109" t="s">
        <v>87</v>
      </c>
      <c r="F64" s="110"/>
      <c r="G64" s="21"/>
      <c r="H64" s="111"/>
      <c r="I64" s="22"/>
      <c r="J64" s="64"/>
      <c r="K64" s="112" t="s">
        <v>118</v>
      </c>
      <c r="L64" s="122" t="str">
        <f>IFERROR(__xludf.DUMMYFUNCTION("GOOGLETRANSLATE(C64,""en"",""ja"")"),"新規システムを開発するか、既存システム内で開発するか？")</f>
        <v>新規システムを開発するか、既存システム内で開発するか？</v>
      </c>
      <c r="M64" s="22"/>
      <c r="N64" s="109" t="s">
        <v>87</v>
      </c>
      <c r="O64" s="111" t="str">
        <f>IFERROR(__xludf.DUMMYFUNCTION("iferror(GOOGLETRANSLATE(F64,""en"",""ja""),"""")"),"")</f>
        <v/>
      </c>
      <c r="P64" s="22"/>
      <c r="Q64" s="111"/>
      <c r="R64" s="22"/>
      <c r="S64" s="64"/>
      <c r="T64" s="64"/>
    </row>
    <row r="65" ht="15.75" customHeight="1">
      <c r="A65" s="64"/>
      <c r="B65" s="117"/>
      <c r="C65" s="142" t="s">
        <v>119</v>
      </c>
      <c r="D65" s="22"/>
      <c r="E65" s="121" t="b">
        <v>1</v>
      </c>
      <c r="F65" s="110"/>
      <c r="G65" s="21"/>
      <c r="H65" s="111"/>
      <c r="I65" s="22"/>
      <c r="J65" s="64"/>
      <c r="K65" s="117"/>
      <c r="L65" s="122" t="str">
        <f>IFERROR(__xludf.DUMMYFUNCTION("GOOGLETRANSLATE(C65,""en"",""ja"")"),"アーキテクチャ上の前提条件
- 使用するフレームワークとライブラリ
- SSRまたはCSRの適用の有無")</f>
        <v>アーキテクチャ上の前提条件
- 使用するフレームワークとライブラリ
- SSRまたはCSRの適用の有無</v>
      </c>
      <c r="M65" s="22"/>
      <c r="N65" s="121" t="b">
        <v>0</v>
      </c>
      <c r="O65" s="111" t="str">
        <f>IFERROR(__xludf.DUMMYFUNCTION("iferror(GOOGLETRANSLATE(F65,""en"",""ja""),"""")"),"")</f>
        <v/>
      </c>
      <c r="P65" s="22"/>
      <c r="Q65" s="111"/>
      <c r="R65" s="22"/>
      <c r="S65" s="64"/>
      <c r="T65" s="64"/>
    </row>
    <row r="66" ht="15.75" customHeight="1">
      <c r="A66" s="64"/>
      <c r="B66" s="117"/>
      <c r="C66" s="108" t="s">
        <v>120</v>
      </c>
      <c r="D66" s="22"/>
      <c r="E66" s="109" t="b">
        <v>1</v>
      </c>
      <c r="F66" s="110"/>
      <c r="G66" s="21"/>
      <c r="H66" s="111"/>
      <c r="I66" s="22"/>
      <c r="J66" s="64"/>
      <c r="K66" s="117"/>
      <c r="L66" s="122" t="str">
        <f>IFERROR(__xludf.DUMMYFUNCTION("GOOGLETRANSLATE(C66,""en"",""ja"")"),"ブラウザとバージョン（Chrome、Safari、IEなど）")</f>
        <v>ブラウザとバージョン（Chrome、Safari、IEなど）</v>
      </c>
      <c r="M66" s="22"/>
      <c r="N66" s="109" t="b">
        <v>0</v>
      </c>
      <c r="O66" s="111" t="str">
        <f>IFERROR(__xludf.DUMMYFUNCTION("iferror(GOOGLETRANSLATE(F66,""en"",""ja""),"""")"),"")</f>
        <v/>
      </c>
      <c r="P66" s="22"/>
      <c r="Q66" s="111"/>
      <c r="R66" s="22"/>
      <c r="S66" s="64"/>
      <c r="T66" s="64"/>
    </row>
    <row r="67" ht="15.75" customHeight="1">
      <c r="A67" s="64"/>
      <c r="B67" s="117"/>
      <c r="C67" s="130" t="s">
        <v>105</v>
      </c>
      <c r="D67" s="134" t="s">
        <v>121</v>
      </c>
      <c r="E67" s="109" t="b">
        <v>1</v>
      </c>
      <c r="F67" s="110"/>
      <c r="G67" s="21"/>
      <c r="H67" s="111"/>
      <c r="I67" s="22"/>
      <c r="J67" s="64"/>
      <c r="K67" s="117"/>
      <c r="L67" s="132" t="str">
        <f>IFERROR(__xludf.DUMMYFUNCTION("GOOGLETRANSLATE(C67,""en"",""ja"")"),"作業範囲")</f>
        <v>作業範囲</v>
      </c>
      <c r="M67" s="133" t="str">
        <f>IFERROR(__xludf.DUMMYFUNCTION("GOOGLETRANSLATE(D67,""en"",""ja"")"),"レスポンシブデザイン")</f>
        <v>レスポンシブデザイン</v>
      </c>
      <c r="N67" s="109" t="b">
        <v>0</v>
      </c>
      <c r="O67" s="111" t="str">
        <f>IFERROR(__xludf.DUMMYFUNCTION("iferror(GOOGLETRANSLATE(F67,""en"",""ja""),"""")"),"")</f>
        <v/>
      </c>
      <c r="P67" s="22"/>
      <c r="Q67" s="111"/>
      <c r="R67" s="22"/>
      <c r="S67" s="64"/>
      <c r="T67" s="64"/>
    </row>
    <row r="68" ht="15.75" customHeight="1">
      <c r="A68" s="64"/>
      <c r="B68" s="117"/>
      <c r="C68" s="117"/>
      <c r="D68" s="134" t="s">
        <v>122</v>
      </c>
      <c r="E68" s="109" t="b">
        <v>1</v>
      </c>
      <c r="F68" s="110"/>
      <c r="G68" s="21"/>
      <c r="H68" s="111"/>
      <c r="I68" s="22"/>
      <c r="J68" s="64"/>
      <c r="K68" s="117"/>
      <c r="L68" s="117"/>
      <c r="M68" s="133" t="str">
        <f>IFERROR(__xludf.DUMMYFUNCTION("GOOGLETRANSLATE(D68,""en"",""ja"")"),"国家管理")</f>
        <v>国家管理</v>
      </c>
      <c r="N68" s="109" t="b">
        <v>0</v>
      </c>
      <c r="O68" s="111" t="str">
        <f>IFERROR(__xludf.DUMMYFUNCTION("iferror(GOOGLETRANSLATE(F68,""en"",""ja""),"""")"),"")</f>
        <v/>
      </c>
      <c r="P68" s="22"/>
      <c r="Q68" s="111"/>
      <c r="R68" s="22"/>
      <c r="S68" s="64"/>
      <c r="T68" s="64"/>
    </row>
    <row r="69" ht="15.75" customHeight="1">
      <c r="A69" s="64"/>
      <c r="B69" s="117"/>
      <c r="C69" s="117"/>
      <c r="D69" s="134" t="s">
        <v>123</v>
      </c>
      <c r="E69" s="109" t="b">
        <v>1</v>
      </c>
      <c r="F69" s="110"/>
      <c r="G69" s="21"/>
      <c r="H69" s="111"/>
      <c r="I69" s="22"/>
      <c r="J69" s="64"/>
      <c r="K69" s="117"/>
      <c r="L69" s="117"/>
      <c r="M69" s="133" t="str">
        <f>IFERROR(__xludf.DUMMYFUNCTION("GOOGLETRANSLATE(D69,""en"",""ja"")"),"自動テスト")</f>
        <v>自動テスト</v>
      </c>
      <c r="N69" s="109" t="b">
        <v>0</v>
      </c>
      <c r="O69" s="111" t="str">
        <f>IFERROR(__xludf.DUMMYFUNCTION("iferror(GOOGLETRANSLATE(F69,""en"",""ja""),"""")"),"")</f>
        <v/>
      </c>
      <c r="P69" s="22"/>
      <c r="Q69" s="111"/>
      <c r="R69" s="22"/>
      <c r="S69" s="64"/>
      <c r="T69" s="64"/>
    </row>
    <row r="70" ht="15.75" customHeight="1">
      <c r="A70" s="64"/>
      <c r="B70" s="117"/>
      <c r="C70" s="117"/>
      <c r="D70" s="134" t="s">
        <v>3</v>
      </c>
      <c r="E70" s="109" t="b">
        <v>1</v>
      </c>
      <c r="F70" s="110"/>
      <c r="G70" s="21"/>
      <c r="H70" s="111"/>
      <c r="I70" s="22"/>
      <c r="J70" s="64"/>
      <c r="K70" s="117"/>
      <c r="L70" s="117"/>
      <c r="M70" s="133" t="str">
        <f>IFERROR(__xludf.DUMMYFUNCTION("GOOGLETRANSLATE(D70,""en"",""ja"")"),"単体テスト")</f>
        <v>単体テスト</v>
      </c>
      <c r="N70" s="109" t="b">
        <v>0</v>
      </c>
      <c r="O70" s="111" t="str">
        <f>IFERROR(__xludf.DUMMYFUNCTION("iferror(GOOGLETRANSLATE(F70,""en"",""ja""),"""")"),"")</f>
        <v/>
      </c>
      <c r="P70" s="22"/>
      <c r="Q70" s="111"/>
      <c r="R70" s="22"/>
      <c r="S70" s="64"/>
      <c r="T70" s="64"/>
    </row>
    <row r="71" ht="15.75" customHeight="1">
      <c r="A71" s="64"/>
      <c r="B71" s="117"/>
      <c r="C71" s="117"/>
      <c r="D71" s="140" t="s">
        <v>124</v>
      </c>
      <c r="E71" s="109" t="b">
        <v>1</v>
      </c>
      <c r="F71" s="110"/>
      <c r="G71" s="21"/>
      <c r="H71" s="111"/>
      <c r="I71" s="22"/>
      <c r="J71" s="64"/>
      <c r="K71" s="117"/>
      <c r="L71" s="117"/>
      <c r="M71" s="133" t="str">
        <f>IFERROR(__xludf.DUMMYFUNCTION("GOOGLETRANSLATE(D71,""en"",""ja"")"),"SEO（Google Analytics、OGPタグ、SSR）")</f>
        <v>SEO（Google Analytics、OGPタグ、SSR）</v>
      </c>
      <c r="N71" s="109" t="b">
        <v>0</v>
      </c>
      <c r="O71" s="111" t="str">
        <f>IFERROR(__xludf.DUMMYFUNCTION("iferror(GOOGLETRANSLATE(F71,""en"",""ja""),"""")"),"")</f>
        <v/>
      </c>
      <c r="P71" s="22"/>
      <c r="Q71" s="111"/>
      <c r="R71" s="22"/>
      <c r="S71" s="64"/>
      <c r="T71" s="64"/>
    </row>
    <row r="72" ht="15.75" customHeight="1">
      <c r="A72" s="64"/>
      <c r="B72" s="117"/>
      <c r="C72" s="117"/>
      <c r="D72" s="143" t="s">
        <v>112</v>
      </c>
      <c r="E72" s="109" t="b">
        <v>1</v>
      </c>
      <c r="F72" s="110"/>
      <c r="G72" s="21"/>
      <c r="H72" s="111"/>
      <c r="I72" s="22"/>
      <c r="J72" s="64"/>
      <c r="K72" s="117"/>
      <c r="L72" s="117"/>
      <c r="M72" s="133" t="str">
        <f>IFERROR(__xludf.DUMMYFUNCTION("GOOGLETRANSLATE(D72,""en"",""ja"")"),"サードパーティサービスを統合する")</f>
        <v>サードパーティサービスを統合する</v>
      </c>
      <c r="N72" s="109" t="b">
        <v>0</v>
      </c>
      <c r="O72" s="111" t="str">
        <f>IFERROR(__xludf.DUMMYFUNCTION("iferror(GOOGLETRANSLATE(F72,""en"",""ja""),"""")"),"")</f>
        <v/>
      </c>
      <c r="P72" s="22"/>
      <c r="Q72" s="111"/>
      <c r="R72" s="22"/>
      <c r="S72" s="64"/>
      <c r="T72" s="64"/>
    </row>
    <row r="73" ht="15.75" customHeight="1">
      <c r="A73" s="64"/>
      <c r="B73" s="117"/>
      <c r="C73" s="117"/>
      <c r="D73" s="140" t="s">
        <v>111</v>
      </c>
      <c r="E73" s="109" t="b">
        <v>1</v>
      </c>
      <c r="F73" s="110"/>
      <c r="G73" s="21"/>
      <c r="H73" s="111"/>
      <c r="I73" s="22"/>
      <c r="J73" s="64"/>
      <c r="K73" s="117"/>
      <c r="L73" s="117"/>
      <c r="M73" s="133" t="str">
        <f>IFERROR(__xludf.DUMMYFUNCTION("GOOGLETRANSLATE(D73,""en"",""ja"")"),"CI/CDを統合する")</f>
        <v>CI/CDを統合する</v>
      </c>
      <c r="N73" s="109" t="b">
        <v>0</v>
      </c>
      <c r="O73" s="111" t="str">
        <f>IFERROR(__xludf.DUMMYFUNCTION("iferror(GOOGLETRANSLATE(F73,""en"",""ja""),"""")"),"")</f>
        <v/>
      </c>
      <c r="P73" s="22"/>
      <c r="Q73" s="111"/>
      <c r="R73" s="22"/>
      <c r="S73" s="64"/>
      <c r="T73" s="64"/>
    </row>
    <row r="74" ht="15.75" customHeight="1">
      <c r="A74" s="64"/>
      <c r="B74" s="117"/>
      <c r="C74" s="35"/>
      <c r="D74" s="134" t="s">
        <v>115</v>
      </c>
      <c r="E74" s="109" t="b">
        <v>1</v>
      </c>
      <c r="F74" s="110"/>
      <c r="G74" s="21"/>
      <c r="H74" s="111"/>
      <c r="I74" s="22"/>
      <c r="J74" s="64"/>
      <c r="K74" s="117"/>
      <c r="L74" s="35"/>
      <c r="M74" s="133" t="str">
        <f>IFERROR(__xludf.DUMMYFUNCTION("GOOGLETRANSLATE(D74,""en"",""ja"")"),"本番環境への展開")</f>
        <v>本番環境への展開</v>
      </c>
      <c r="N74" s="109" t="b">
        <v>0</v>
      </c>
      <c r="O74" s="111" t="str">
        <f>IFERROR(__xludf.DUMMYFUNCTION("iferror(GOOGLETRANSLATE(F74,""en"",""ja""),"""")"),"")</f>
        <v/>
      </c>
      <c r="P74" s="22"/>
      <c r="Q74" s="111"/>
      <c r="R74" s="22"/>
      <c r="S74" s="64"/>
      <c r="T74" s="64"/>
    </row>
    <row r="75" ht="15.75" customHeight="1">
      <c r="A75" s="64"/>
      <c r="B75" s="117"/>
      <c r="C75" s="141" t="s">
        <v>116</v>
      </c>
      <c r="D75" s="22"/>
      <c r="E75" s="109" t="s">
        <v>87</v>
      </c>
      <c r="F75" s="110"/>
      <c r="G75" s="21"/>
      <c r="H75" s="111"/>
      <c r="I75" s="22"/>
      <c r="J75" s="64"/>
      <c r="K75" s="117"/>
      <c r="L75" s="122" t="str">
        <f>IFERROR(__xludf.DUMMYFUNCTION("GOOGLETRANSLATE(C75,""en"",""ja"")"),"その他の想定リスクおよび前提条件")</f>
        <v>その他の想定リスクおよび前提条件</v>
      </c>
      <c r="M75" s="22"/>
      <c r="N75" s="109" t="s">
        <v>87</v>
      </c>
      <c r="O75" s="111" t="str">
        <f>IFERROR(__xludf.DUMMYFUNCTION("iferror(GOOGLETRANSLATE(F75,""en"",""ja""),"""")"),"")</f>
        <v/>
      </c>
      <c r="P75" s="22"/>
      <c r="Q75" s="111"/>
      <c r="R75" s="22"/>
      <c r="S75" s="64"/>
      <c r="T75" s="64"/>
    </row>
    <row r="76" ht="15.75" customHeight="1">
      <c r="A76" s="64"/>
      <c r="B76" s="35"/>
      <c r="C76" s="141" t="s">
        <v>117</v>
      </c>
      <c r="D76" s="22"/>
      <c r="E76" s="109" t="s">
        <v>87</v>
      </c>
      <c r="F76" s="110"/>
      <c r="G76" s="21"/>
      <c r="H76" s="111"/>
      <c r="I76" s="22"/>
      <c r="J76" s="64"/>
      <c r="K76" s="35"/>
      <c r="L76" s="122" t="str">
        <f>IFERROR(__xludf.DUMMYFUNCTION("GOOGLETRANSLATE(C76,""en"",""ja"")"),"バッファ率（％）")</f>
        <v>バッファ率（％）</v>
      </c>
      <c r="M76" s="22"/>
      <c r="N76" s="109" t="s">
        <v>87</v>
      </c>
      <c r="O76" s="111" t="str">
        <f>IFERROR(__xludf.DUMMYFUNCTION("iferror(GOOGLETRANSLATE(F76,""en"",""ja""),"""")"),"")</f>
        <v/>
      </c>
      <c r="P76" s="22"/>
      <c r="Q76" s="111"/>
      <c r="R76" s="22"/>
      <c r="S76" s="64"/>
      <c r="T76" s="64"/>
    </row>
    <row r="77" ht="15.75" customHeight="1">
      <c r="A77" s="64"/>
      <c r="B77" s="112" t="s">
        <v>125</v>
      </c>
      <c r="C77" s="108" t="s">
        <v>102</v>
      </c>
      <c r="D77" s="22"/>
      <c r="E77" s="109" t="s">
        <v>87</v>
      </c>
      <c r="F77" s="110"/>
      <c r="G77" s="21"/>
      <c r="H77" s="111"/>
      <c r="I77" s="22"/>
      <c r="J77" s="64"/>
      <c r="K77" s="112" t="s">
        <v>125</v>
      </c>
      <c r="L77" s="122" t="str">
        <f>IFERROR(__xludf.DUMMYFUNCTION("GOOGLETRANSLATE(C77,""en"",""ja"")"),"新規システムを開発するか、既存システム内で開発するか？")</f>
        <v>新規システムを開発するか、既存システム内で開発するか？</v>
      </c>
      <c r="M77" s="22"/>
      <c r="N77" s="109" t="s">
        <v>87</v>
      </c>
      <c r="O77" s="111" t="str">
        <f>IFERROR(__xludf.DUMMYFUNCTION("iferror(GOOGLETRANSLATE(F77,""en"",""ja""),"""")"),"")</f>
        <v/>
      </c>
      <c r="P77" s="22"/>
      <c r="Q77" s="111"/>
      <c r="R77" s="22"/>
      <c r="S77" s="64"/>
      <c r="T77" s="64"/>
    </row>
    <row r="78" ht="15.75" customHeight="1">
      <c r="A78" s="64"/>
      <c r="B78" s="117"/>
      <c r="C78" s="108" t="s">
        <v>126</v>
      </c>
      <c r="D78" s="22"/>
      <c r="E78" s="109" t="b">
        <v>1</v>
      </c>
      <c r="F78" s="110"/>
      <c r="G78" s="21"/>
      <c r="H78" s="111"/>
      <c r="I78" s="22"/>
      <c r="J78" s="64"/>
      <c r="K78" s="117"/>
      <c r="L78" s="122" t="str">
        <f>IFERROR(__xludf.DUMMYFUNCTION("GOOGLETRANSLATE(C78,""en"",""ja"")"),"OSとバージョン（iOS、Android）")</f>
        <v>OSとバージョン（iOS、Android）</v>
      </c>
      <c r="M78" s="22"/>
      <c r="N78" s="109" t="b">
        <v>0</v>
      </c>
      <c r="O78" s="111" t="str">
        <f>IFERROR(__xludf.DUMMYFUNCTION("iferror(GOOGLETRANSLATE(F78,""en"",""ja""),"""")"),"")</f>
        <v/>
      </c>
      <c r="P78" s="22"/>
      <c r="Q78" s="111"/>
      <c r="R78" s="22"/>
      <c r="S78" s="64"/>
      <c r="T78" s="64"/>
    </row>
    <row r="79" ht="15.75" customHeight="1">
      <c r="A79" s="64"/>
      <c r="B79" s="117"/>
      <c r="C79" s="130" t="s">
        <v>105</v>
      </c>
      <c r="D79" s="140" t="s">
        <v>3</v>
      </c>
      <c r="E79" s="109" t="b">
        <v>1</v>
      </c>
      <c r="F79" s="110"/>
      <c r="G79" s="21"/>
      <c r="H79" s="111"/>
      <c r="I79" s="22"/>
      <c r="J79" s="64"/>
      <c r="K79" s="117"/>
      <c r="L79" s="132" t="str">
        <f>IFERROR(__xludf.DUMMYFUNCTION("GOOGLETRANSLATE(C79,""en"",""ja"")"),"作業範囲")</f>
        <v>作業範囲</v>
      </c>
      <c r="M79" s="133" t="str">
        <f>IFERROR(__xludf.DUMMYFUNCTION("GOOGLETRANSLATE(D79,""en"",""ja"")"),"単体テスト")</f>
        <v>単体テスト</v>
      </c>
      <c r="N79" s="109" t="b">
        <v>0</v>
      </c>
      <c r="O79" s="111" t="str">
        <f>IFERROR(__xludf.DUMMYFUNCTION("iferror(GOOGLETRANSLATE(F79,""en"",""ja""),"""")"),"")</f>
        <v/>
      </c>
      <c r="P79" s="22"/>
      <c r="Q79" s="111"/>
      <c r="R79" s="22"/>
      <c r="S79" s="64"/>
      <c r="T79" s="64"/>
    </row>
    <row r="80" ht="15.75" customHeight="1">
      <c r="A80" s="64"/>
      <c r="B80" s="117"/>
      <c r="C80" s="117"/>
      <c r="D80" s="140" t="s">
        <v>112</v>
      </c>
      <c r="E80" s="109" t="b">
        <v>1</v>
      </c>
      <c r="F80" s="110"/>
      <c r="G80" s="21"/>
      <c r="H80" s="111"/>
      <c r="I80" s="22"/>
      <c r="J80" s="64"/>
      <c r="K80" s="117"/>
      <c r="L80" s="117"/>
      <c r="M80" s="133" t="str">
        <f>IFERROR(__xludf.DUMMYFUNCTION("GOOGLETRANSLATE(D80,""en"",""ja"")"),"サードパーティサービスを統合する")</f>
        <v>サードパーティサービスを統合する</v>
      </c>
      <c r="N80" s="109" t="b">
        <v>0</v>
      </c>
      <c r="O80" s="111" t="str">
        <f>IFERROR(__xludf.DUMMYFUNCTION("iferror(GOOGLETRANSLATE(F80,""en"",""ja""),"""")"),"")</f>
        <v/>
      </c>
      <c r="P80" s="22"/>
      <c r="Q80" s="111"/>
      <c r="R80" s="22"/>
      <c r="S80" s="64"/>
      <c r="T80" s="64"/>
    </row>
    <row r="81" ht="15.75" customHeight="1">
      <c r="A81" s="64"/>
      <c r="B81" s="117"/>
      <c r="C81" s="117"/>
      <c r="D81" s="140" t="s">
        <v>111</v>
      </c>
      <c r="E81" s="109" t="b">
        <v>1</v>
      </c>
      <c r="F81" s="110"/>
      <c r="G81" s="21"/>
      <c r="H81" s="111"/>
      <c r="I81" s="22"/>
      <c r="J81" s="64"/>
      <c r="K81" s="117"/>
      <c r="L81" s="117"/>
      <c r="M81" s="133" t="str">
        <f>IFERROR(__xludf.DUMMYFUNCTION("GOOGLETRANSLATE(D81,""en"",""ja"")"),"CI/CDを統合する")</f>
        <v>CI/CDを統合する</v>
      </c>
      <c r="N81" s="109" t="b">
        <v>0</v>
      </c>
      <c r="O81" s="111" t="str">
        <f>IFERROR(__xludf.DUMMYFUNCTION("iferror(GOOGLETRANSLATE(F81,""en"",""ja""),"""")"),"")</f>
        <v/>
      </c>
      <c r="P81" s="22"/>
      <c r="Q81" s="111"/>
      <c r="R81" s="22"/>
      <c r="S81" s="64"/>
      <c r="T81" s="64"/>
    </row>
    <row r="82" ht="15.75" customHeight="1">
      <c r="A82" s="64"/>
      <c r="B82" s="117"/>
      <c r="C82" s="35"/>
      <c r="D82" s="131" t="s">
        <v>127</v>
      </c>
      <c r="E82" s="109" t="b">
        <v>1</v>
      </c>
      <c r="F82" s="110"/>
      <c r="G82" s="21"/>
      <c r="H82" s="111"/>
      <c r="I82" s="22"/>
      <c r="J82" s="64"/>
      <c r="K82" s="117"/>
      <c r="L82" s="35"/>
      <c r="M82" s="133" t="str">
        <f>IFERROR(__xludf.DUMMYFUNCTION("GOOGLETRANSLATE(D82,""en"",""ja"")"),"Playストア/Appストアで公開")</f>
        <v>Playストア/Appストアで公開</v>
      </c>
      <c r="N82" s="109" t="b">
        <v>0</v>
      </c>
      <c r="O82" s="111" t="str">
        <f>IFERROR(__xludf.DUMMYFUNCTION("iferror(GOOGLETRANSLATE(F82,""en"",""ja""),"""")"),"")</f>
        <v/>
      </c>
      <c r="P82" s="22"/>
      <c r="Q82" s="111"/>
      <c r="R82" s="22"/>
      <c r="S82" s="64"/>
      <c r="T82" s="64"/>
    </row>
    <row r="83" ht="15.75" customHeight="1">
      <c r="A83" s="64"/>
      <c r="B83" s="117"/>
      <c r="C83" s="141" t="s">
        <v>116</v>
      </c>
      <c r="D83" s="22"/>
      <c r="E83" s="109" t="s">
        <v>87</v>
      </c>
      <c r="F83" s="110"/>
      <c r="G83" s="21"/>
      <c r="H83" s="111"/>
      <c r="I83" s="22"/>
      <c r="J83" s="64"/>
      <c r="K83" s="117"/>
      <c r="L83" s="122" t="str">
        <f>IFERROR(__xludf.DUMMYFUNCTION("GOOGLETRANSLATE(C83,""en"",""ja"")"),"その他の想定リスクおよび前提条件")</f>
        <v>その他の想定リスクおよび前提条件</v>
      </c>
      <c r="M83" s="22"/>
      <c r="N83" s="109" t="s">
        <v>87</v>
      </c>
      <c r="O83" s="111" t="str">
        <f>IFERROR(__xludf.DUMMYFUNCTION("iferror(GOOGLETRANSLATE(F83,""en"",""ja""),"""")"),"")</f>
        <v/>
      </c>
      <c r="P83" s="22"/>
      <c r="Q83" s="111"/>
      <c r="R83" s="22"/>
      <c r="S83" s="64"/>
      <c r="T83" s="64"/>
    </row>
    <row r="84" ht="15.75" customHeight="1">
      <c r="A84" s="64"/>
      <c r="B84" s="35"/>
      <c r="C84" s="141" t="s">
        <v>117</v>
      </c>
      <c r="D84" s="22"/>
      <c r="E84" s="109" t="s">
        <v>87</v>
      </c>
      <c r="F84" s="110"/>
      <c r="G84" s="21"/>
      <c r="H84" s="111"/>
      <c r="I84" s="22"/>
      <c r="J84" s="64"/>
      <c r="K84" s="35"/>
      <c r="L84" s="122" t="str">
        <f>IFERROR(__xludf.DUMMYFUNCTION("GOOGLETRANSLATE(C84,""en"",""ja"")"),"バッファ率（％）")</f>
        <v>バッファ率（％）</v>
      </c>
      <c r="M84" s="22"/>
      <c r="N84" s="109" t="s">
        <v>87</v>
      </c>
      <c r="O84" s="111" t="str">
        <f>IFERROR(__xludf.DUMMYFUNCTION("iferror(GOOGLETRANSLATE(F84,""en"",""ja""),"""")"),"")</f>
        <v/>
      </c>
      <c r="P84" s="22"/>
      <c r="Q84" s="111"/>
      <c r="R84" s="22"/>
      <c r="S84" s="64"/>
      <c r="T84" s="64"/>
    </row>
    <row r="85" ht="15.75" customHeight="1">
      <c r="A85" s="107"/>
      <c r="B85" s="112" t="s">
        <v>34</v>
      </c>
      <c r="C85" s="144" t="s">
        <v>128</v>
      </c>
      <c r="D85" s="114" t="s">
        <v>129</v>
      </c>
      <c r="E85" s="109" t="s">
        <v>87</v>
      </c>
      <c r="F85" s="110" t="s">
        <v>130</v>
      </c>
      <c r="G85" s="21"/>
      <c r="H85" s="111"/>
      <c r="I85" s="22"/>
      <c r="J85" s="107"/>
      <c r="K85" s="112" t="s">
        <v>34</v>
      </c>
      <c r="L85" s="132" t="str">
        <f>IFERROR(__xludf.DUMMYFUNCTION("GOOGLETRANSLATE(C85,""en"",""ja"")"),"生産性")</f>
        <v>生産性</v>
      </c>
      <c r="M85" s="133" t="str">
        <f>IFERROR(__xludf.DUMMYFUNCTION("GOOGLETRANSLATE(D85,""en"",""ja"")"),"テストケースの作成")</f>
        <v>テストケースの作成</v>
      </c>
      <c r="N85" s="109" t="s">
        <v>87</v>
      </c>
      <c r="O85" s="111" t="str">
        <f>IFERROR(__xludf.DUMMYFUNCTION("iferror(GOOGLETRANSLATE(F85,""en"",""ja""),"""")"),"[ ] 症例/1人日")</f>
        <v>[ ] 症例/1人日</v>
      </c>
      <c r="P85" s="22"/>
      <c r="Q85" s="111"/>
      <c r="R85" s="22"/>
      <c r="S85" s="64"/>
      <c r="T85" s="64"/>
    </row>
    <row r="86" ht="15.75" customHeight="1">
      <c r="A86" s="107"/>
      <c r="B86" s="117"/>
      <c r="C86" s="117"/>
      <c r="D86" s="118" t="s">
        <v>131</v>
      </c>
      <c r="E86" s="109" t="s">
        <v>87</v>
      </c>
      <c r="F86" s="110" t="s">
        <v>130</v>
      </c>
      <c r="G86" s="21"/>
      <c r="H86" s="111"/>
      <c r="I86" s="22"/>
      <c r="J86" s="107"/>
      <c r="K86" s="117"/>
      <c r="L86" s="117"/>
      <c r="M86" s="133" t="str">
        <f>IFERROR(__xludf.DUMMYFUNCTION("GOOGLETRANSLATE(D86,""en"",""ja"")"),"テスト実行とバグの特定")</f>
        <v>テスト実行とバグの特定</v>
      </c>
      <c r="N86" s="109" t="s">
        <v>87</v>
      </c>
      <c r="O86" s="111" t="str">
        <f>IFERROR(__xludf.DUMMYFUNCTION("iferror(GOOGLETRANSLATE(F86,""en"",""ja""),"""")"),"[ ] 症例/1人日")</f>
        <v>[ ] 症例/1人日</v>
      </c>
      <c r="P86" s="22"/>
      <c r="Q86" s="111"/>
      <c r="R86" s="22"/>
      <c r="S86" s="64"/>
      <c r="T86" s="64"/>
    </row>
    <row r="87" ht="15.75" customHeight="1">
      <c r="A87" s="107"/>
      <c r="B87" s="117"/>
      <c r="C87" s="117"/>
      <c r="D87" s="118" t="s">
        <v>132</v>
      </c>
      <c r="E87" s="109" t="s">
        <v>87</v>
      </c>
      <c r="F87" s="110" t="s">
        <v>133</v>
      </c>
      <c r="G87" s="21"/>
      <c r="H87" s="111"/>
      <c r="I87" s="22"/>
      <c r="J87" s="107"/>
      <c r="K87" s="117"/>
      <c r="L87" s="117"/>
      <c r="M87" s="133" t="str">
        <f>IFERROR(__xludf.DUMMYFUNCTION("GOOGLETRANSLATE(D87,""en"",""ja"")"),"最終検査にかかる総工数")</f>
        <v>最終検査にかかる総工数</v>
      </c>
      <c r="N87" s="109" t="s">
        <v>87</v>
      </c>
      <c r="O87" s="111" t="str">
        <f>IFERROR(__xludf.DUMMYFUNCTION("iferror(GOOGLETRANSLATE(F87,""en"",""ja""),"""")"),"[ ] %")</f>
        <v>[ ] %</v>
      </c>
      <c r="P87" s="22"/>
      <c r="Q87" s="111"/>
      <c r="R87" s="22"/>
      <c r="S87" s="64"/>
      <c r="T87" s="64"/>
    </row>
    <row r="88" ht="15.75" customHeight="1">
      <c r="A88" s="107"/>
      <c r="B88" s="117"/>
      <c r="C88" s="35"/>
      <c r="D88" s="145" t="s">
        <v>134</v>
      </c>
      <c r="E88" s="109" t="s">
        <v>87</v>
      </c>
      <c r="F88" s="110" t="s">
        <v>133</v>
      </c>
      <c r="G88" s="21"/>
      <c r="H88" s="111"/>
      <c r="I88" s="22"/>
      <c r="J88" s="107"/>
      <c r="K88" s="117"/>
      <c r="L88" s="35"/>
      <c r="M88" s="133" t="str">
        <f>IFERROR(__xludf.DUMMYFUNCTION("GOOGLETRANSLATE(D88,""en"",""ja"")"),"予想されるバグ発生率")</f>
        <v>予想されるバグ発生率</v>
      </c>
      <c r="N88" s="109" t="s">
        <v>87</v>
      </c>
      <c r="O88" s="111" t="str">
        <f>IFERROR(__xludf.DUMMYFUNCTION("iferror(GOOGLETRANSLATE(F88,""en"",""ja""),"""")"),"[ ] %")</f>
        <v>[ ] %</v>
      </c>
      <c r="P88" s="22"/>
      <c r="Q88" s="111"/>
      <c r="R88" s="22"/>
      <c r="S88" s="64"/>
      <c r="T88" s="64"/>
    </row>
    <row r="89" ht="15.75" customHeight="1">
      <c r="A89" s="107"/>
      <c r="B89" s="117"/>
      <c r="C89" s="144" t="s">
        <v>135</v>
      </c>
      <c r="D89" s="143" t="s">
        <v>136</v>
      </c>
      <c r="E89" s="146" t="b">
        <v>1</v>
      </c>
      <c r="F89" s="110"/>
      <c r="G89" s="21"/>
      <c r="H89" s="111"/>
      <c r="I89" s="22"/>
      <c r="J89" s="107"/>
      <c r="K89" s="117"/>
      <c r="L89" s="132" t="str">
        <f>IFERROR(__xludf.DUMMYFUNCTION("GOOGLETRANSLATE(C89,""en"",""ja"")"),"テスト範囲")</f>
        <v>テスト範囲</v>
      </c>
      <c r="M89" s="133" t="str">
        <f>IFERROR(__xludf.DUMMYFUNCTION("GOOGLETRANSLATE(D89,""en"",""ja"")"),"機能テスト")</f>
        <v>機能テスト</v>
      </c>
      <c r="N89" s="146" t="b">
        <v>0</v>
      </c>
      <c r="O89" s="111" t="str">
        <f>IFERROR(__xludf.DUMMYFUNCTION("iferror(GOOGLETRANSLATE(F89,""en"",""ja""),"""")"),"")</f>
        <v/>
      </c>
      <c r="P89" s="22"/>
      <c r="Q89" s="111"/>
      <c r="R89" s="22"/>
      <c r="S89" s="64"/>
      <c r="T89" s="64"/>
    </row>
    <row r="90" ht="15.75" customHeight="1">
      <c r="A90" s="107"/>
      <c r="B90" s="117"/>
      <c r="C90" s="117"/>
      <c r="D90" s="143" t="s">
        <v>137</v>
      </c>
      <c r="E90" s="146" t="b">
        <v>1</v>
      </c>
      <c r="F90" s="110"/>
      <c r="G90" s="21"/>
      <c r="H90" s="111"/>
      <c r="I90" s="22"/>
      <c r="J90" s="107"/>
      <c r="K90" s="117"/>
      <c r="L90" s="117"/>
      <c r="M90" s="133" t="str">
        <f>IFERROR(__xludf.DUMMYFUNCTION("GOOGLETRANSLATE(D90,""en"",""ja"")"),"統合テスト")</f>
        <v>統合テスト</v>
      </c>
      <c r="N90" s="109" t="b">
        <v>0</v>
      </c>
      <c r="O90" s="111" t="str">
        <f>IFERROR(__xludf.DUMMYFUNCTION("iferror(GOOGLETRANSLATE(F90,""en"",""ja""),"""")"),"")</f>
        <v/>
      </c>
      <c r="P90" s="22"/>
      <c r="Q90" s="111"/>
      <c r="R90" s="22"/>
      <c r="S90" s="64"/>
      <c r="T90" s="64"/>
    </row>
    <row r="91" ht="15.75" customHeight="1">
      <c r="A91" s="107"/>
      <c r="B91" s="117"/>
      <c r="C91" s="117"/>
      <c r="D91" s="143" t="s">
        <v>138</v>
      </c>
      <c r="E91" s="146" t="b">
        <v>1</v>
      </c>
      <c r="F91" s="110"/>
      <c r="G91" s="21"/>
      <c r="H91" s="111"/>
      <c r="I91" s="22"/>
      <c r="J91" s="107"/>
      <c r="K91" s="117"/>
      <c r="L91" s="117"/>
      <c r="M91" s="133" t="str">
        <f>IFERROR(__xludf.DUMMYFUNCTION("GOOGLETRANSLATE(D91,""en"",""ja"")"),"エンドツーエンドテスト（画面、APIエンドポイント）")</f>
        <v>エンドツーエンドテスト（画面、APIエンドポイント）</v>
      </c>
      <c r="N91" s="126" t="b">
        <v>0</v>
      </c>
      <c r="O91" s="111" t="str">
        <f>IFERROR(__xludf.DUMMYFUNCTION("iferror(GOOGLETRANSLATE(F91,""en"",""ja""),"""")"),"")</f>
        <v/>
      </c>
      <c r="P91" s="22"/>
      <c r="Q91" s="111"/>
      <c r="R91" s="22"/>
      <c r="S91" s="64"/>
      <c r="T91" s="64"/>
    </row>
    <row r="92" ht="15.75" customHeight="1">
      <c r="A92" s="124"/>
      <c r="B92" s="117"/>
      <c r="C92" s="117"/>
      <c r="D92" s="143" t="s">
        <v>139</v>
      </c>
      <c r="E92" s="146" t="b">
        <v>1</v>
      </c>
      <c r="F92" s="110"/>
      <c r="G92" s="21"/>
      <c r="H92" s="111"/>
      <c r="I92" s="22"/>
      <c r="J92" s="124"/>
      <c r="K92" s="117"/>
      <c r="L92" s="117"/>
      <c r="M92" s="147" t="s">
        <v>140</v>
      </c>
      <c r="N92" s="126" t="b">
        <v>0</v>
      </c>
      <c r="O92" s="111" t="str">
        <f>IFERROR(__xludf.DUMMYFUNCTION("iferror(GOOGLETRANSLATE(F92,""en"",""ja""),"""")"),"")</f>
        <v/>
      </c>
      <c r="P92" s="22"/>
      <c r="Q92" s="111"/>
      <c r="R92" s="22"/>
      <c r="S92" s="64"/>
      <c r="T92" s="64"/>
    </row>
    <row r="93" ht="15.75" customHeight="1">
      <c r="A93" s="124"/>
      <c r="B93" s="117"/>
      <c r="C93" s="117"/>
      <c r="D93" s="145" t="s">
        <v>141</v>
      </c>
      <c r="E93" s="146" t="b">
        <v>1</v>
      </c>
      <c r="F93" s="110"/>
      <c r="G93" s="21"/>
      <c r="H93" s="111"/>
      <c r="I93" s="22"/>
      <c r="J93" s="124"/>
      <c r="K93" s="117"/>
      <c r="L93" s="117"/>
      <c r="M93" s="133" t="str">
        <f>IFERROR(__xludf.DUMMYFUNCTION("GOOGLETRANSLATE(D93,""en"",""ja"")"),"その他のテスト")</f>
        <v>その他のテスト</v>
      </c>
      <c r="N93" s="126" t="b">
        <v>0</v>
      </c>
      <c r="O93" s="111" t="str">
        <f>IFERROR(__xludf.DUMMYFUNCTION("iferror(GOOGLETRANSLATE(F93,""en"",""ja""),"""")"),"")</f>
        <v/>
      </c>
      <c r="P93" s="22"/>
      <c r="Q93" s="111"/>
      <c r="R93" s="22"/>
      <c r="S93" s="64"/>
      <c r="T93" s="64"/>
    </row>
    <row r="94" ht="15.75" customHeight="1">
      <c r="A94" s="124"/>
      <c r="B94" s="117"/>
      <c r="C94" s="35"/>
      <c r="D94" s="148" t="s">
        <v>142</v>
      </c>
      <c r="E94" s="121" t="s">
        <v>87</v>
      </c>
      <c r="F94" s="110"/>
      <c r="G94" s="21"/>
      <c r="H94" s="111"/>
      <c r="I94" s="22"/>
      <c r="J94" s="124"/>
      <c r="K94" s="117"/>
      <c r="L94" s="35"/>
      <c r="M94" s="133" t="str">
        <f>IFERROR(__xludf.DUMMYFUNCTION("GOOGLETRANSLATE(D94,""en"",""ja"")"),"テスト対象環境と、各環境でカバーされるテストケースの範囲")</f>
        <v>テスト対象環境と、各環境でカバーされるテストケースの範囲</v>
      </c>
      <c r="N94" s="121" t="s">
        <v>87</v>
      </c>
      <c r="O94" s="111" t="str">
        <f>IFERROR(__xludf.DUMMYFUNCTION("iferror(GOOGLETRANSLATE(F94,""en"",""ja""),"""")"),"")</f>
        <v/>
      </c>
      <c r="P94" s="22"/>
      <c r="Q94" s="111"/>
      <c r="R94" s="22"/>
      <c r="S94" s="64"/>
      <c r="T94" s="64"/>
    </row>
    <row r="95" ht="15.75" customHeight="1">
      <c r="A95" s="124"/>
      <c r="B95" s="35"/>
      <c r="C95" s="141" t="s">
        <v>117</v>
      </c>
      <c r="D95" s="22"/>
      <c r="E95" s="109" t="s">
        <v>87</v>
      </c>
      <c r="F95" s="110"/>
      <c r="G95" s="21"/>
      <c r="H95" s="111"/>
      <c r="I95" s="22"/>
      <c r="J95" s="124"/>
      <c r="K95" s="35"/>
      <c r="L95" s="120" t="str">
        <f>IFERROR(__xludf.DUMMYFUNCTION("GOOGLETRANSLATE(C95,""en"",""ja"")"),"バッファ率（％）")</f>
        <v>バッファ率（％）</v>
      </c>
      <c r="M95" s="22"/>
      <c r="N95" s="149" t="s">
        <v>87</v>
      </c>
      <c r="O95" s="111"/>
      <c r="P95" s="22"/>
      <c r="Q95" s="111"/>
      <c r="R95" s="22"/>
      <c r="S95" s="64"/>
      <c r="T95" s="64"/>
    </row>
    <row r="96" ht="15.75" customHeight="1">
      <c r="A96" s="64"/>
      <c r="B96" s="150" t="s">
        <v>143</v>
      </c>
      <c r="C96" s="151" t="s">
        <v>144</v>
      </c>
      <c r="D96" s="152"/>
      <c r="E96" s="109" t="b">
        <v>1</v>
      </c>
      <c r="F96" s="110"/>
      <c r="G96" s="21"/>
      <c r="H96" s="111"/>
      <c r="I96" s="22"/>
      <c r="J96" s="64"/>
      <c r="K96" s="150" t="s">
        <v>143</v>
      </c>
      <c r="L96" s="133" t="s">
        <v>145</v>
      </c>
      <c r="M96" s="153"/>
      <c r="N96" s="109" t="b">
        <v>0</v>
      </c>
      <c r="O96" s="111" t="s">
        <v>146</v>
      </c>
      <c r="P96" s="22"/>
      <c r="Q96" s="111"/>
      <c r="R96" s="22"/>
      <c r="S96" s="64"/>
      <c r="T96" s="64"/>
    </row>
    <row r="97" ht="15.75" customHeight="1">
      <c r="A97" s="64"/>
      <c r="B97" s="117"/>
      <c r="C97" s="151" t="s">
        <v>147</v>
      </c>
      <c r="D97" s="152"/>
      <c r="E97" s="109" t="b">
        <v>1</v>
      </c>
      <c r="F97" s="110"/>
      <c r="G97" s="21"/>
      <c r="H97" s="111"/>
      <c r="I97" s="22"/>
      <c r="J97" s="64"/>
      <c r="K97" s="117"/>
      <c r="L97" s="133" t="s">
        <v>148</v>
      </c>
      <c r="M97" s="153"/>
      <c r="N97" s="109" t="b">
        <v>0</v>
      </c>
      <c r="O97" s="111" t="s">
        <v>146</v>
      </c>
      <c r="P97" s="22"/>
      <c r="Q97" s="111"/>
      <c r="R97" s="22"/>
      <c r="S97" s="64"/>
      <c r="T97" s="64"/>
    </row>
    <row r="98" ht="15.75" customHeight="1">
      <c r="A98" s="64"/>
      <c r="B98" s="117"/>
      <c r="C98" s="151" t="s">
        <v>149</v>
      </c>
      <c r="D98" s="152"/>
      <c r="E98" s="109" t="b">
        <v>1</v>
      </c>
      <c r="F98" s="110"/>
      <c r="G98" s="21"/>
      <c r="H98" s="111"/>
      <c r="I98" s="22"/>
      <c r="J98" s="64"/>
      <c r="K98" s="117"/>
      <c r="L98" s="133" t="s">
        <v>150</v>
      </c>
      <c r="M98" s="153"/>
      <c r="N98" s="109" t="b">
        <v>0</v>
      </c>
      <c r="O98" s="111" t="s">
        <v>146</v>
      </c>
      <c r="P98" s="22"/>
      <c r="Q98" s="111"/>
      <c r="R98" s="22"/>
      <c r="S98" s="64"/>
      <c r="T98" s="64"/>
    </row>
    <row r="99" ht="15.75" customHeight="1">
      <c r="A99" s="64"/>
      <c r="B99" s="117"/>
      <c r="C99" s="152" t="s">
        <v>151</v>
      </c>
      <c r="D99" s="152"/>
      <c r="E99" s="109" t="b">
        <v>1</v>
      </c>
      <c r="F99" s="110"/>
      <c r="G99" s="21"/>
      <c r="H99" s="111"/>
      <c r="I99" s="22"/>
      <c r="J99" s="64"/>
      <c r="K99" s="117"/>
      <c r="L99" s="133" t="s">
        <v>152</v>
      </c>
      <c r="M99" s="153"/>
      <c r="N99" s="109" t="b">
        <v>0</v>
      </c>
      <c r="O99" s="111" t="s">
        <v>146</v>
      </c>
      <c r="P99" s="22"/>
      <c r="Q99" s="111"/>
      <c r="R99" s="22"/>
      <c r="S99" s="64"/>
      <c r="T99" s="64"/>
    </row>
    <row r="100" ht="15.75" customHeight="1">
      <c r="A100" s="64"/>
      <c r="B100" s="117"/>
      <c r="C100" s="152" t="s">
        <v>153</v>
      </c>
      <c r="D100" s="152"/>
      <c r="E100" s="109" t="b">
        <v>1</v>
      </c>
      <c r="F100" s="110"/>
      <c r="G100" s="21"/>
      <c r="H100" s="111"/>
      <c r="I100" s="22"/>
      <c r="J100" s="64"/>
      <c r="K100" s="117"/>
      <c r="L100" s="133" t="s">
        <v>154</v>
      </c>
      <c r="M100" s="153"/>
      <c r="N100" s="109" t="b">
        <v>0</v>
      </c>
      <c r="O100" s="111" t="s">
        <v>146</v>
      </c>
      <c r="P100" s="22"/>
      <c r="Q100" s="111"/>
      <c r="R100" s="22"/>
      <c r="S100" s="64"/>
      <c r="T100" s="64"/>
    </row>
    <row r="101" ht="15.75" customHeight="1">
      <c r="A101" s="64"/>
      <c r="B101" s="117"/>
      <c r="C101" s="152" t="s">
        <v>155</v>
      </c>
      <c r="D101" s="152"/>
      <c r="E101" s="109" t="b">
        <v>1</v>
      </c>
      <c r="F101" s="110"/>
      <c r="G101" s="21"/>
      <c r="H101" s="111"/>
      <c r="I101" s="22"/>
      <c r="J101" s="64"/>
      <c r="K101" s="117"/>
      <c r="L101" s="133" t="s">
        <v>156</v>
      </c>
      <c r="M101" s="153"/>
      <c r="N101" s="109" t="b">
        <v>0</v>
      </c>
      <c r="O101" s="111" t="s">
        <v>146</v>
      </c>
      <c r="P101" s="22"/>
      <c r="Q101" s="111"/>
      <c r="R101" s="22"/>
      <c r="S101" s="64"/>
      <c r="T101" s="64"/>
    </row>
    <row r="102" ht="15.75" customHeight="1">
      <c r="A102" s="64"/>
      <c r="B102" s="117"/>
      <c r="C102" s="152" t="s">
        <v>157</v>
      </c>
      <c r="D102" s="152"/>
      <c r="E102" s="109" t="b">
        <v>1</v>
      </c>
      <c r="F102" s="110"/>
      <c r="G102" s="21"/>
      <c r="H102" s="111"/>
      <c r="I102" s="22"/>
      <c r="J102" s="64"/>
      <c r="K102" s="117"/>
      <c r="L102" s="133" t="s">
        <v>158</v>
      </c>
      <c r="M102" s="153"/>
      <c r="N102" s="109" t="b">
        <v>0</v>
      </c>
      <c r="O102" s="111" t="s">
        <v>146</v>
      </c>
      <c r="P102" s="22"/>
      <c r="Q102" s="111"/>
      <c r="R102" s="22"/>
      <c r="S102" s="64"/>
      <c r="T102" s="64"/>
    </row>
    <row r="103" ht="15.75" customHeight="1">
      <c r="A103" s="64"/>
      <c r="B103" s="117"/>
      <c r="C103" s="152" t="s">
        <v>159</v>
      </c>
      <c r="D103" s="152"/>
      <c r="E103" s="109" t="s">
        <v>87</v>
      </c>
      <c r="F103" s="110"/>
      <c r="G103" s="21"/>
      <c r="H103" s="111"/>
      <c r="I103" s="22"/>
      <c r="J103" s="64"/>
      <c r="K103" s="117"/>
      <c r="L103" s="133" t="s">
        <v>160</v>
      </c>
      <c r="M103" s="153"/>
      <c r="N103" s="109" t="s">
        <v>87</v>
      </c>
      <c r="O103" s="111" t="s">
        <v>146</v>
      </c>
      <c r="P103" s="22"/>
      <c r="Q103" s="111"/>
      <c r="R103" s="22"/>
      <c r="S103" s="64"/>
      <c r="T103" s="64"/>
    </row>
    <row r="104" ht="15.75" customHeight="1">
      <c r="A104" s="64"/>
      <c r="B104" s="35"/>
      <c r="C104" s="152" t="s">
        <v>161</v>
      </c>
      <c r="D104" s="152"/>
      <c r="E104" s="109" t="s">
        <v>87</v>
      </c>
      <c r="F104" s="110"/>
      <c r="G104" s="21"/>
      <c r="H104" s="111"/>
      <c r="I104" s="22"/>
      <c r="J104" s="64"/>
      <c r="K104" s="35"/>
      <c r="L104" s="133" t="s">
        <v>162</v>
      </c>
      <c r="M104" s="153"/>
      <c r="N104" s="109" t="s">
        <v>87</v>
      </c>
      <c r="O104" s="111" t="s">
        <v>146</v>
      </c>
      <c r="P104" s="22"/>
      <c r="Q104" s="111"/>
      <c r="R104" s="22"/>
      <c r="S104" s="64"/>
      <c r="T104" s="64"/>
    </row>
    <row r="105" ht="15.75" customHeight="1">
      <c r="A105" s="64"/>
      <c r="B105" s="150" t="s">
        <v>163</v>
      </c>
      <c r="C105" s="154" t="s">
        <v>164</v>
      </c>
      <c r="D105" s="22"/>
      <c r="E105" s="109" t="s">
        <v>87</v>
      </c>
      <c r="F105" s="110"/>
      <c r="G105" s="21"/>
      <c r="H105" s="111"/>
      <c r="I105" s="22"/>
      <c r="J105" s="64"/>
      <c r="K105" s="150" t="s">
        <v>163</v>
      </c>
      <c r="L105" s="122" t="str">
        <f>IFERROR(__xludf.DUMMYFUNCTION("GOOGLETRANSLATE(C105,""en"",""ja"")"),"構築環境；開発、ステージング、UAT、本番など")</f>
        <v>構築環境；開発、ステージング、UAT、本番など</v>
      </c>
      <c r="M105" s="22"/>
      <c r="N105" s="109" t="s">
        <v>87</v>
      </c>
      <c r="O105" s="111" t="str">
        <f>IFERROR(__xludf.DUMMYFUNCTION("iferror(GOOGLETRANSLATE(F105,""en"",""ja""),"""")"),"")</f>
        <v/>
      </c>
      <c r="P105" s="22"/>
      <c r="Q105" s="111"/>
      <c r="R105" s="22"/>
      <c r="S105" s="64"/>
      <c r="T105" s="64"/>
    </row>
    <row r="106" ht="15.75" customHeight="1">
      <c r="A106" s="64"/>
      <c r="B106" s="117"/>
      <c r="C106" s="155" t="s">
        <v>165</v>
      </c>
      <c r="D106" s="22"/>
      <c r="E106" s="109" t="b">
        <v>1</v>
      </c>
      <c r="F106" s="110"/>
      <c r="G106" s="21"/>
      <c r="H106" s="111"/>
      <c r="I106" s="22"/>
      <c r="J106" s="64"/>
      <c r="K106" s="117"/>
      <c r="L106" s="122" t="str">
        <f>IFERROR(__xludf.DUMMYFUNCTION("GOOGLETRANSLATE(C106,""en"",""ja"")"),"クラウドサービスの選択とアーキテクチャ")</f>
        <v>クラウドサービスの選択とアーキテクチャ</v>
      </c>
      <c r="M106" s="22"/>
      <c r="N106" s="109" t="b">
        <v>0</v>
      </c>
      <c r="O106" s="111" t="str">
        <f>IFERROR(__xludf.DUMMYFUNCTION("iferror(GOOGLETRANSLATE(F106,""en"",""ja""),"""")"),"")</f>
        <v/>
      </c>
      <c r="P106" s="22"/>
      <c r="Q106" s="111"/>
      <c r="R106" s="22"/>
      <c r="S106" s="64"/>
      <c r="T106" s="64"/>
    </row>
    <row r="107" ht="15.75" customHeight="1">
      <c r="A107" s="64"/>
      <c r="B107" s="117"/>
      <c r="C107" s="156" t="s">
        <v>166</v>
      </c>
      <c r="D107" s="22"/>
      <c r="E107" s="109" t="b">
        <v>1</v>
      </c>
      <c r="F107" s="110"/>
      <c r="G107" s="21"/>
      <c r="H107" s="111"/>
      <c r="I107" s="22"/>
      <c r="J107" s="64"/>
      <c r="K107" s="117"/>
      <c r="L107" s="122" t="str">
        <f>IFERROR(__xludf.DUMMYFUNCTION("GOOGLETRANSLATE(C107,""en"",""ja"")"),"コンテナおよび仮想マシン（VM）の選択と管理")</f>
        <v>コンテナおよび仮想マシン（VM）の選択と管理</v>
      </c>
      <c r="M107" s="22"/>
      <c r="N107" s="109" t="b">
        <v>0</v>
      </c>
      <c r="O107" s="111" t="str">
        <f>IFERROR(__xludf.DUMMYFUNCTION("iferror(GOOGLETRANSLATE(F107,""en"",""ja""),"""")"),"")</f>
        <v/>
      </c>
      <c r="P107" s="22"/>
      <c r="Q107" s="111"/>
      <c r="R107" s="22"/>
      <c r="S107" s="64"/>
      <c r="T107" s="64"/>
    </row>
    <row r="108" ht="15.75" customHeight="1">
      <c r="A108" s="64"/>
      <c r="B108" s="117"/>
      <c r="C108" s="141" t="s">
        <v>167</v>
      </c>
      <c r="D108" s="22"/>
      <c r="E108" s="109" t="b">
        <v>1</v>
      </c>
      <c r="F108" s="110"/>
      <c r="G108" s="21"/>
      <c r="H108" s="111"/>
      <c r="I108" s="22"/>
      <c r="J108" s="64"/>
      <c r="K108" s="117"/>
      <c r="L108" s="122" t="str">
        <f>IFERROR(__xludf.DUMMYFUNCTION("GOOGLETRANSLATE(C108,""en"",""ja"")"),"データベース")</f>
        <v>データベース</v>
      </c>
      <c r="M108" s="22"/>
      <c r="N108" s="109" t="b">
        <v>0</v>
      </c>
      <c r="O108" s="111" t="str">
        <f>IFERROR(__xludf.DUMMYFUNCTION("iferror(GOOGLETRANSLATE(F108,""en"",""ja""),"""")"),"")</f>
        <v/>
      </c>
      <c r="P108" s="22"/>
      <c r="Q108" s="111"/>
      <c r="R108" s="22"/>
      <c r="S108" s="64"/>
      <c r="T108" s="64"/>
    </row>
    <row r="109" ht="15.75" customHeight="1">
      <c r="A109" s="64"/>
      <c r="B109" s="117"/>
      <c r="C109" s="156" t="s">
        <v>168</v>
      </c>
      <c r="D109" s="22"/>
      <c r="E109" s="109" t="b">
        <v>1</v>
      </c>
      <c r="F109" s="110"/>
      <c r="G109" s="21"/>
      <c r="H109" s="111"/>
      <c r="I109" s="22"/>
      <c r="J109" s="64"/>
      <c r="K109" s="117"/>
      <c r="L109" s="122" t="str">
        <f>IFERROR(__xludf.DUMMYFUNCTION("GOOGLETRANSLATE(C109,""en"",""ja"")"),"ネットワーク設計とセキュリティ対策")</f>
        <v>ネットワーク設計とセキュリティ対策</v>
      </c>
      <c r="M109" s="22"/>
      <c r="N109" s="109" t="b">
        <v>0</v>
      </c>
      <c r="O109" s="111" t="str">
        <f>IFERROR(__xludf.DUMMYFUNCTION("iferror(GOOGLETRANSLATE(F109,""en"",""ja""),"""")"),"")</f>
        <v/>
      </c>
      <c r="P109" s="22"/>
      <c r="Q109" s="111"/>
      <c r="R109" s="22"/>
      <c r="S109" s="64"/>
      <c r="T109" s="64"/>
    </row>
    <row r="110" ht="15.75" customHeight="1">
      <c r="A110" s="64"/>
      <c r="B110" s="117"/>
      <c r="C110" s="156" t="s">
        <v>169</v>
      </c>
      <c r="D110" s="22"/>
      <c r="E110" s="109" t="b">
        <v>1</v>
      </c>
      <c r="F110" s="110"/>
      <c r="G110" s="21"/>
      <c r="H110" s="111"/>
      <c r="I110" s="22"/>
      <c r="J110" s="64"/>
      <c r="K110" s="117"/>
      <c r="L110" s="122" t="str">
        <f>IFERROR(__xludf.DUMMYFUNCTION("GOOGLETRANSLATE(C110,""en"",""ja"")"),"キャッシング（CDN、Redis、インメモリキャッシングシステムなど）")</f>
        <v>キャッシング（CDN、Redis、インメモリキャッシングシステムなど）</v>
      </c>
      <c r="M110" s="22"/>
      <c r="N110" s="109" t="b">
        <v>0</v>
      </c>
      <c r="O110" s="111" t="str">
        <f>IFERROR(__xludf.DUMMYFUNCTION("iferror(GOOGLETRANSLATE(F110,""en"",""ja""),"""")"),"")</f>
        <v/>
      </c>
      <c r="P110" s="22"/>
      <c r="Q110" s="111"/>
      <c r="R110" s="22"/>
      <c r="S110" s="64"/>
      <c r="T110" s="64"/>
    </row>
    <row r="111" ht="15.75" customHeight="1">
      <c r="A111" s="64"/>
      <c r="B111" s="117"/>
      <c r="C111" s="108" t="s">
        <v>170</v>
      </c>
      <c r="D111" s="22"/>
      <c r="E111" s="109" t="b">
        <v>1</v>
      </c>
      <c r="F111" s="110"/>
      <c r="G111" s="21"/>
      <c r="H111" s="111"/>
      <c r="I111" s="22"/>
      <c r="J111" s="64"/>
      <c r="K111" s="117"/>
      <c r="L111" s="122" t="str">
        <f>IFERROR(__xludf.DUMMYFUNCTION("GOOGLETRANSLATE(C111,""en"",""ja"")"),"CI/CD")</f>
        <v>CI/CD</v>
      </c>
      <c r="M111" s="22"/>
      <c r="N111" s="109" t="b">
        <v>0</v>
      </c>
      <c r="O111" s="111" t="str">
        <f>IFERROR(__xludf.DUMMYFUNCTION("iferror(GOOGLETRANSLATE(F111,""en"",""ja""),"""")"),"")</f>
        <v/>
      </c>
      <c r="P111" s="22"/>
      <c r="Q111" s="111"/>
      <c r="R111" s="22"/>
      <c r="S111" s="64"/>
      <c r="T111" s="64"/>
    </row>
    <row r="112" ht="15.75" customHeight="1">
      <c r="A112" s="64"/>
      <c r="B112" s="117"/>
      <c r="C112" s="141" t="s">
        <v>171</v>
      </c>
      <c r="D112" s="22"/>
      <c r="E112" s="109" t="b">
        <v>1</v>
      </c>
      <c r="F112" s="110"/>
      <c r="G112" s="21"/>
      <c r="H112" s="111"/>
      <c r="I112" s="22"/>
      <c r="J112" s="64"/>
      <c r="K112" s="117"/>
      <c r="L112" s="122" t="str">
        <f>IFERROR(__xludf.DUMMYFUNCTION("GOOGLETRANSLATE(C112,""en"",""ja"")"),"監視と警告")</f>
        <v>監視と警告</v>
      </c>
      <c r="M112" s="22"/>
      <c r="N112" s="109" t="b">
        <v>0</v>
      </c>
      <c r="O112" s="111" t="str">
        <f>IFERROR(__xludf.DUMMYFUNCTION("iferror(GOOGLETRANSLATE(F112,""en"",""ja""),"""")"),"")</f>
        <v/>
      </c>
      <c r="P112" s="22"/>
      <c r="Q112" s="111"/>
      <c r="R112" s="22"/>
      <c r="S112" s="64"/>
      <c r="T112" s="64"/>
    </row>
    <row r="113" ht="15.75" customHeight="1">
      <c r="A113" s="64"/>
      <c r="B113" s="117"/>
      <c r="C113" s="141" t="s">
        <v>172</v>
      </c>
      <c r="D113" s="22"/>
      <c r="E113" s="109" t="b">
        <v>1</v>
      </c>
      <c r="F113" s="110"/>
      <c r="G113" s="21"/>
      <c r="H113" s="111"/>
      <c r="I113" s="22"/>
      <c r="J113" s="64"/>
      <c r="K113" s="117"/>
      <c r="L113" s="122" t="str">
        <f>IFERROR(__xludf.DUMMYFUNCTION("GOOGLETRANSLATE(C113,""en"",""ja"")"),"バックアップと復旧戦略")</f>
        <v>バックアップと復旧戦略</v>
      </c>
      <c r="M113" s="22"/>
      <c r="N113" s="109" t="b">
        <v>0</v>
      </c>
      <c r="O113" s="111" t="str">
        <f>IFERROR(__xludf.DUMMYFUNCTION("iferror(GOOGLETRANSLATE(F113,""en"",""ja""),"""")"),"")</f>
        <v/>
      </c>
      <c r="P113" s="22"/>
      <c r="Q113" s="111"/>
      <c r="R113" s="22"/>
      <c r="S113" s="64"/>
      <c r="T113" s="64"/>
    </row>
    <row r="114" ht="15.75" customHeight="1">
      <c r="A114" s="64"/>
      <c r="B114" s="117"/>
      <c r="C114" s="156" t="s">
        <v>173</v>
      </c>
      <c r="D114" s="22"/>
      <c r="E114" s="109" t="b">
        <v>1</v>
      </c>
      <c r="F114" s="110"/>
      <c r="G114" s="21"/>
      <c r="H114" s="111"/>
      <c r="I114" s="22"/>
      <c r="J114" s="64"/>
      <c r="K114" s="117"/>
      <c r="L114" s="122" t="str">
        <f>IFERROR(__xludf.DUMMYFUNCTION("GOOGLETRANSLATE(C114,""en"",""ja"")"),"パフォーマンス テストと負荷テスト")</f>
        <v>パフォーマンス テストと負荷テスト</v>
      </c>
      <c r="M114" s="22"/>
      <c r="N114" s="109" t="b">
        <v>0</v>
      </c>
      <c r="O114" s="111" t="str">
        <f>IFERROR(__xludf.DUMMYFUNCTION("iferror(GOOGLETRANSLATE(F114,""en"",""ja""),"""")"),"")</f>
        <v/>
      </c>
      <c r="P114" s="22"/>
      <c r="Q114" s="111"/>
      <c r="R114" s="22"/>
      <c r="S114" s="64"/>
      <c r="T114" s="64"/>
    </row>
    <row r="115" ht="15.75" customHeight="1">
      <c r="A115" s="64"/>
      <c r="B115" s="117"/>
      <c r="C115" s="141" t="s">
        <v>174</v>
      </c>
      <c r="D115" s="22"/>
      <c r="E115" s="109" t="b">
        <v>1</v>
      </c>
      <c r="F115" s="110"/>
      <c r="G115" s="21"/>
      <c r="H115" s="111"/>
      <c r="I115" s="22"/>
      <c r="J115" s="64"/>
      <c r="K115" s="117"/>
      <c r="L115" s="157" t="str">
        <f>IFERROR(__xludf.DUMMYFUNCTION("GOOGLETRANSLATE(C115,""en"",""ja"")"),"非機能要件に関するその他の前提条件（可用性、パフォーマンス／拡張性、運用保守性、移植性、セキュリティ確保のために実施すべき事項など）")</f>
        <v>非機能要件に関するその他の前提条件（可用性、パフォーマンス／拡張性、運用保守性、移植性、セキュリティ確保のために実施すべき事項など）</v>
      </c>
      <c r="M115" s="22"/>
      <c r="N115" s="121" t="b">
        <v>0</v>
      </c>
      <c r="O115" s="111" t="str">
        <f>IFERROR(__xludf.DUMMYFUNCTION("iferror(GOOGLETRANSLATE(F115,""en"",""ja""),"""")"),"")</f>
        <v/>
      </c>
      <c r="P115" s="22"/>
      <c r="Q115" s="111"/>
      <c r="R115" s="22"/>
      <c r="S115" s="64"/>
      <c r="T115" s="64"/>
    </row>
    <row r="116" ht="15.75" customHeight="1">
      <c r="A116" s="64"/>
      <c r="B116" s="117"/>
      <c r="C116" s="141" t="s">
        <v>175</v>
      </c>
      <c r="D116" s="22"/>
      <c r="E116" s="109" t="b">
        <v>1</v>
      </c>
      <c r="F116" s="110"/>
      <c r="G116" s="21"/>
      <c r="H116" s="111"/>
      <c r="I116" s="22"/>
      <c r="J116" s="64"/>
      <c r="K116" s="117"/>
      <c r="L116" s="122" t="str">
        <f>IFERROR(__xludf.DUMMYFUNCTION("GOOGLETRANSLATE(C116,""en"",""ja"")"),"本番環境への展開と保守")</f>
        <v>本番環境への展開と保守</v>
      </c>
      <c r="M116" s="22"/>
      <c r="N116" s="121" t="b">
        <v>0</v>
      </c>
      <c r="O116" s="111" t="str">
        <f>IFERROR(__xludf.DUMMYFUNCTION("iferror(GOOGLETRANSLATE(F116,""en"",""ja""),"""")"),"")</f>
        <v/>
      </c>
      <c r="P116" s="22"/>
      <c r="Q116" s="111"/>
      <c r="R116" s="22"/>
      <c r="S116" s="64"/>
      <c r="T116" s="64"/>
    </row>
    <row r="117" ht="15.75" customHeight="1">
      <c r="A117" s="64"/>
      <c r="B117" s="117"/>
      <c r="C117" s="141" t="s">
        <v>176</v>
      </c>
      <c r="D117" s="22"/>
      <c r="E117" s="109" t="s">
        <v>87</v>
      </c>
      <c r="F117" s="110"/>
      <c r="G117" s="21"/>
      <c r="H117" s="111"/>
      <c r="I117" s="22"/>
      <c r="J117" s="64"/>
      <c r="K117" s="117"/>
      <c r="L117" s="122" t="str">
        <f>IFERROR(__xludf.DUMMYFUNCTION("GOOGLETRANSLATE(C117,""en"",""ja"")"),"その他の想定リスクおよび前提条件")</f>
        <v>その他の想定リスクおよび前提条件</v>
      </c>
      <c r="M117" s="22"/>
      <c r="N117" s="109" t="s">
        <v>87</v>
      </c>
      <c r="O117" s="111" t="str">
        <f>IFERROR(__xludf.DUMMYFUNCTION("iferror(GOOGLETRANSLATE(F117,""en"",""ja""),"""")"),"")</f>
        <v/>
      </c>
      <c r="P117" s="22"/>
      <c r="Q117" s="111"/>
      <c r="R117" s="22"/>
      <c r="S117" s="64"/>
      <c r="T117" s="64"/>
    </row>
    <row r="118" ht="15.75" customHeight="1">
      <c r="A118" s="64"/>
      <c r="B118" s="35"/>
      <c r="C118" s="141" t="s">
        <v>117</v>
      </c>
      <c r="D118" s="22"/>
      <c r="E118" s="109" t="s">
        <v>87</v>
      </c>
      <c r="F118" s="110"/>
      <c r="G118" s="21"/>
      <c r="H118" s="111"/>
      <c r="I118" s="22"/>
      <c r="J118" s="64"/>
      <c r="K118" s="35"/>
      <c r="L118" s="122" t="str">
        <f>IFERROR(__xludf.DUMMYFUNCTION("GOOGLETRANSLATE(C118,""en"",""ja"")"),"バッファ率（％）")</f>
        <v>バッファ率（％）</v>
      </c>
      <c r="M118" s="22"/>
      <c r="N118" s="109" t="s">
        <v>87</v>
      </c>
      <c r="O118" s="111" t="str">
        <f>IFERROR(__xludf.DUMMYFUNCTION("iferror(GOOGLETRANSLATE(F118,""en"",""ja""),"""")"),"")</f>
        <v/>
      </c>
      <c r="P118" s="22"/>
      <c r="Q118" s="111"/>
      <c r="R118" s="22"/>
      <c r="S118" s="64"/>
      <c r="T118" s="64"/>
    </row>
    <row r="119" ht="15.75" customHeight="1">
      <c r="A119" s="107"/>
      <c r="B119" s="112" t="s">
        <v>177</v>
      </c>
      <c r="C119" s="130" t="s">
        <v>105</v>
      </c>
      <c r="D119" s="151" t="s">
        <v>178</v>
      </c>
      <c r="E119" s="146" t="b">
        <v>1</v>
      </c>
      <c r="F119" s="110"/>
      <c r="G119" s="21"/>
      <c r="H119" s="111"/>
      <c r="I119" s="22"/>
      <c r="J119" s="107"/>
      <c r="K119" s="112" t="s">
        <v>177</v>
      </c>
      <c r="L119" s="132" t="str">
        <f>IFERROR(__xludf.DUMMYFUNCTION("GOOGLETRANSLATE(C119,""en"",""ja"")"),"作業範囲")</f>
        <v>作業範囲</v>
      </c>
      <c r="M119" s="133" t="str">
        <f>IFERROR(__xludf.DUMMYFUNCTION("GOOGLETRANSLATE(D119,""en"",""ja"")"),"ワイヤーフレーム")</f>
        <v>ワイヤーフレーム</v>
      </c>
      <c r="N119" s="146" t="b">
        <v>0</v>
      </c>
      <c r="O119" s="111" t="str">
        <f>IFERROR(__xludf.DUMMYFUNCTION("iferror(GOOGLETRANSLATE(F119,""en"",""ja""),"""")"),"")</f>
        <v/>
      </c>
      <c r="P119" s="22"/>
      <c r="Q119" s="111"/>
      <c r="R119" s="22"/>
      <c r="S119" s="64"/>
      <c r="T119" s="64"/>
    </row>
    <row r="120" ht="15.75" customHeight="1">
      <c r="A120" s="107"/>
      <c r="B120" s="117"/>
      <c r="C120" s="117"/>
      <c r="D120" s="151" t="s">
        <v>179</v>
      </c>
      <c r="E120" s="146" t="b">
        <v>1</v>
      </c>
      <c r="F120" s="110"/>
      <c r="G120" s="21"/>
      <c r="H120" s="111"/>
      <c r="I120" s="22"/>
      <c r="J120" s="107"/>
      <c r="K120" s="117"/>
      <c r="L120" s="117"/>
      <c r="M120" s="133" t="str">
        <f>IFERROR(__xludf.DUMMYFUNCTION("GOOGLETRANSLATE(D120,""en"",""ja"")"),"モックアップ")</f>
        <v>モックアップ</v>
      </c>
      <c r="N120" s="146" t="b">
        <v>0</v>
      </c>
      <c r="O120" s="111" t="str">
        <f>IFERROR(__xludf.DUMMYFUNCTION("iferror(GOOGLETRANSLATE(F120,""en"",""ja""),"""")"),"")</f>
        <v/>
      </c>
      <c r="P120" s="22"/>
      <c r="Q120" s="111"/>
      <c r="R120" s="22"/>
      <c r="S120" s="64"/>
      <c r="T120" s="64"/>
    </row>
    <row r="121" ht="15.75" customHeight="1">
      <c r="A121" s="107"/>
      <c r="B121" s="117"/>
      <c r="C121" s="35"/>
      <c r="D121" s="151" t="s">
        <v>180</v>
      </c>
      <c r="E121" s="146" t="b">
        <v>1</v>
      </c>
      <c r="F121" s="110"/>
      <c r="G121" s="21"/>
      <c r="H121" s="111"/>
      <c r="I121" s="22"/>
      <c r="J121" s="107"/>
      <c r="K121" s="117"/>
      <c r="L121" s="35"/>
      <c r="M121" s="133" t="str">
        <f>IFERROR(__xludf.DUMMYFUNCTION("GOOGLETRANSLATE(D121,""en"",""ja"")"),"他の")</f>
        <v>他の</v>
      </c>
      <c r="N121" s="146" t="b">
        <v>0</v>
      </c>
      <c r="O121" s="111" t="str">
        <f>IFERROR(__xludf.DUMMYFUNCTION("iferror(GOOGLETRANSLATE(F121,""en"",""ja""),"""")"),"")</f>
        <v/>
      </c>
      <c r="P121" s="22"/>
      <c r="Q121" s="111"/>
      <c r="R121" s="22"/>
      <c r="S121" s="64"/>
      <c r="T121" s="64"/>
    </row>
    <row r="122" ht="15.75" customHeight="1">
      <c r="A122" s="107"/>
      <c r="B122" s="35"/>
      <c r="C122" s="141" t="s">
        <v>117</v>
      </c>
      <c r="D122" s="22"/>
      <c r="E122" s="146" t="b">
        <v>1</v>
      </c>
      <c r="F122" s="110"/>
      <c r="G122" s="21"/>
      <c r="H122" s="111"/>
      <c r="I122" s="22"/>
      <c r="J122" s="107"/>
      <c r="K122" s="35"/>
      <c r="L122" s="120" t="str">
        <f>IFERROR(__xludf.DUMMYFUNCTION("GOOGLETRANSLATE(C122,""en"",""ja"")"),"バッファ率（％）")</f>
        <v>バッファ率（％）</v>
      </c>
      <c r="M122" s="22"/>
      <c r="N122" s="109" t="s">
        <v>87</v>
      </c>
      <c r="O122" s="111"/>
      <c r="P122" s="22"/>
      <c r="Q122" s="111"/>
      <c r="R122" s="22"/>
      <c r="S122" s="64"/>
      <c r="T122" s="64"/>
    </row>
    <row r="123" ht="15.75" customHeight="1">
      <c r="A123" s="107"/>
      <c r="B123" s="158"/>
      <c r="C123" s="159"/>
      <c r="D123" s="159"/>
      <c r="E123" s="160"/>
      <c r="F123" s="161"/>
      <c r="G123" s="161"/>
      <c r="H123" s="161"/>
      <c r="I123" s="161"/>
      <c r="J123" s="107"/>
      <c r="K123" s="158"/>
      <c r="L123" s="162"/>
      <c r="M123" s="107"/>
      <c r="N123" s="160"/>
      <c r="O123" s="161"/>
      <c r="P123" s="161"/>
      <c r="Q123" s="161"/>
      <c r="R123" s="64"/>
      <c r="S123" s="64"/>
      <c r="T123" s="64"/>
    </row>
    <row r="124" ht="15.75" customHeight="1">
      <c r="A124" s="107"/>
      <c r="B124" s="158"/>
      <c r="C124" s="159"/>
      <c r="D124" s="159"/>
      <c r="E124" s="160"/>
      <c r="F124" s="161"/>
      <c r="G124" s="161"/>
      <c r="H124" s="161"/>
      <c r="I124" s="161"/>
      <c r="J124" s="107"/>
      <c r="K124" s="158"/>
      <c r="L124" s="162"/>
      <c r="M124" s="107"/>
      <c r="N124" s="160"/>
      <c r="O124" s="161"/>
      <c r="P124" s="161"/>
      <c r="Q124" s="161"/>
      <c r="R124" s="64"/>
      <c r="S124" s="64"/>
      <c r="T124" s="64"/>
    </row>
  </sheetData>
  <mergeCells count="467">
    <mergeCell ref="Q61:R61"/>
    <mergeCell ref="O62:P62"/>
    <mergeCell ref="Q62:R62"/>
    <mergeCell ref="O63:P63"/>
    <mergeCell ref="Q63:R63"/>
    <mergeCell ref="O64:P64"/>
    <mergeCell ref="Q64:R64"/>
    <mergeCell ref="O65:P65"/>
    <mergeCell ref="Q65:R65"/>
    <mergeCell ref="O67:P67"/>
    <mergeCell ref="Q67:R67"/>
    <mergeCell ref="O68:P68"/>
    <mergeCell ref="Q68:R68"/>
    <mergeCell ref="Q69:R69"/>
    <mergeCell ref="O69:P69"/>
    <mergeCell ref="O70:P70"/>
    <mergeCell ref="O71:P71"/>
    <mergeCell ref="O72:P72"/>
    <mergeCell ref="O73:P73"/>
    <mergeCell ref="O74:P74"/>
    <mergeCell ref="O75:P75"/>
    <mergeCell ref="Q70:R70"/>
    <mergeCell ref="Q71:R71"/>
    <mergeCell ref="Q72:R72"/>
    <mergeCell ref="Q73:R73"/>
    <mergeCell ref="Q74:R74"/>
    <mergeCell ref="Q75:R75"/>
    <mergeCell ref="Q76:R76"/>
    <mergeCell ref="O76:P76"/>
    <mergeCell ref="O77:P77"/>
    <mergeCell ref="O78:P78"/>
    <mergeCell ref="O79:P79"/>
    <mergeCell ref="O80:P80"/>
    <mergeCell ref="O81:P81"/>
    <mergeCell ref="O82:P82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O119:P119"/>
    <mergeCell ref="O120:P120"/>
    <mergeCell ref="O121:P121"/>
    <mergeCell ref="O122:P122"/>
    <mergeCell ref="O112:P112"/>
    <mergeCell ref="O113:P113"/>
    <mergeCell ref="O114:P114"/>
    <mergeCell ref="O115:P115"/>
    <mergeCell ref="O116:P116"/>
    <mergeCell ref="O117:P117"/>
    <mergeCell ref="O118:P118"/>
    <mergeCell ref="O83:P83"/>
    <mergeCell ref="O84:P84"/>
    <mergeCell ref="O85:P85"/>
    <mergeCell ref="O86:P86"/>
    <mergeCell ref="O87:P87"/>
    <mergeCell ref="O88:P88"/>
    <mergeCell ref="O89:P8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O100:P100"/>
    <mergeCell ref="Q100:R100"/>
    <mergeCell ref="O101:P101"/>
    <mergeCell ref="Q101:R101"/>
    <mergeCell ref="O102:P102"/>
    <mergeCell ref="Q102:R102"/>
    <mergeCell ref="O103:P103"/>
    <mergeCell ref="Q103:R103"/>
    <mergeCell ref="O104:P104"/>
    <mergeCell ref="Q104:R104"/>
    <mergeCell ref="Q105:R105"/>
    <mergeCell ref="O105:P105"/>
    <mergeCell ref="O106:P106"/>
    <mergeCell ref="O107:P107"/>
    <mergeCell ref="O108:P108"/>
    <mergeCell ref="O109:P109"/>
    <mergeCell ref="O110:P110"/>
    <mergeCell ref="O111:P111"/>
    <mergeCell ref="Q106:R106"/>
    <mergeCell ref="Q107:R107"/>
    <mergeCell ref="Q108:R108"/>
    <mergeCell ref="Q109:R109"/>
    <mergeCell ref="Q110:R110"/>
    <mergeCell ref="Q111:R111"/>
    <mergeCell ref="Q112:R112"/>
    <mergeCell ref="Q120:R120"/>
    <mergeCell ref="Q121:R121"/>
    <mergeCell ref="Q122:R122"/>
    <mergeCell ref="Q113:R113"/>
    <mergeCell ref="Q114:R114"/>
    <mergeCell ref="Q115:R115"/>
    <mergeCell ref="Q116:R116"/>
    <mergeCell ref="Q117:R117"/>
    <mergeCell ref="Q118:R118"/>
    <mergeCell ref="Q119:R119"/>
    <mergeCell ref="A1:B3"/>
    <mergeCell ref="C1:D3"/>
    <mergeCell ref="E1:F1"/>
    <mergeCell ref="E2:F2"/>
    <mergeCell ref="E3:F3"/>
    <mergeCell ref="A4:D4"/>
    <mergeCell ref="E4:F4"/>
    <mergeCell ref="O34:P34"/>
    <mergeCell ref="O35:P35"/>
    <mergeCell ref="O36:P36"/>
    <mergeCell ref="Q36:R36"/>
    <mergeCell ref="O37:P37"/>
    <mergeCell ref="Q37:R37"/>
    <mergeCell ref="O38:P38"/>
    <mergeCell ref="Q38:R38"/>
    <mergeCell ref="C34:D34"/>
    <mergeCell ref="F34:G34"/>
    <mergeCell ref="H34:I34"/>
    <mergeCell ref="L34:M34"/>
    <mergeCell ref="Q34:R34"/>
    <mergeCell ref="C35:D35"/>
    <mergeCell ref="L35:M35"/>
    <mergeCell ref="Q35:R35"/>
    <mergeCell ref="F36:G36"/>
    <mergeCell ref="F37:G37"/>
    <mergeCell ref="H37:I37"/>
    <mergeCell ref="F38:G38"/>
    <mergeCell ref="H38:I38"/>
    <mergeCell ref="F35:G35"/>
    <mergeCell ref="H35:I35"/>
    <mergeCell ref="B36:B38"/>
    <mergeCell ref="C36:C38"/>
    <mergeCell ref="H36:I36"/>
    <mergeCell ref="K36:K38"/>
    <mergeCell ref="L36:L38"/>
    <mergeCell ref="F40:G40"/>
    <mergeCell ref="H40:I40"/>
    <mergeCell ref="C39:D39"/>
    <mergeCell ref="F39:G39"/>
    <mergeCell ref="H39:I39"/>
    <mergeCell ref="L39:M39"/>
    <mergeCell ref="Q39:R39"/>
    <mergeCell ref="L40:M40"/>
    <mergeCell ref="Q40:R40"/>
    <mergeCell ref="L41:M41"/>
    <mergeCell ref="L42:M42"/>
    <mergeCell ref="L43:M43"/>
    <mergeCell ref="L44:M44"/>
    <mergeCell ref="L45:M45"/>
    <mergeCell ref="L46:M46"/>
    <mergeCell ref="L47:M47"/>
    <mergeCell ref="C43:D43"/>
    <mergeCell ref="C44:D44"/>
    <mergeCell ref="C45:D45"/>
    <mergeCell ref="C46:D46"/>
    <mergeCell ref="C47:D47"/>
    <mergeCell ref="C40:D40"/>
    <mergeCell ref="C41:D41"/>
    <mergeCell ref="F41:G41"/>
    <mergeCell ref="H41:I41"/>
    <mergeCell ref="C42:D42"/>
    <mergeCell ref="H42:I42"/>
    <mergeCell ref="H43:I43"/>
    <mergeCell ref="O43:P43"/>
    <mergeCell ref="O44:P44"/>
    <mergeCell ref="O45:P45"/>
    <mergeCell ref="O46:P46"/>
    <mergeCell ref="O47:P47"/>
    <mergeCell ref="Q44:R44"/>
    <mergeCell ref="Q45:R45"/>
    <mergeCell ref="Q46:R46"/>
    <mergeCell ref="Q47:R47"/>
    <mergeCell ref="O39:P39"/>
    <mergeCell ref="O40:P40"/>
    <mergeCell ref="O41:P41"/>
    <mergeCell ref="Q41:R41"/>
    <mergeCell ref="O42:P42"/>
    <mergeCell ref="Q42:R42"/>
    <mergeCell ref="Q43:R43"/>
    <mergeCell ref="O60:P60"/>
    <mergeCell ref="O61:P61"/>
    <mergeCell ref="O53:P53"/>
    <mergeCell ref="O54:P54"/>
    <mergeCell ref="O55:P55"/>
    <mergeCell ref="O56:P56"/>
    <mergeCell ref="O57:P57"/>
    <mergeCell ref="O58:P58"/>
    <mergeCell ref="O59:P59"/>
    <mergeCell ref="F46:G46"/>
    <mergeCell ref="F47:G47"/>
    <mergeCell ref="E48:F48"/>
    <mergeCell ref="C50:D50"/>
    <mergeCell ref="F50:G50"/>
    <mergeCell ref="H50:I50"/>
    <mergeCell ref="H51:I51"/>
    <mergeCell ref="H62:I62"/>
    <mergeCell ref="C63:D63"/>
    <mergeCell ref="F63:G63"/>
    <mergeCell ref="H63:I63"/>
    <mergeCell ref="F45:G45"/>
    <mergeCell ref="B51:B63"/>
    <mergeCell ref="C51:D51"/>
    <mergeCell ref="F51:G51"/>
    <mergeCell ref="K51:K63"/>
    <mergeCell ref="H52:I52"/>
    <mergeCell ref="C53:C61"/>
    <mergeCell ref="F42:G42"/>
    <mergeCell ref="F43:G43"/>
    <mergeCell ref="F44:G44"/>
    <mergeCell ref="H44:I44"/>
    <mergeCell ref="H45:I45"/>
    <mergeCell ref="H46:I46"/>
    <mergeCell ref="H47:I47"/>
    <mergeCell ref="F52:G52"/>
    <mergeCell ref="F53:G53"/>
    <mergeCell ref="H53:I53"/>
    <mergeCell ref="F54:G54"/>
    <mergeCell ref="H54:I54"/>
    <mergeCell ref="F55:G55"/>
    <mergeCell ref="H55:I55"/>
    <mergeCell ref="O50:P50"/>
    <mergeCell ref="Q50:R50"/>
    <mergeCell ref="O51:P51"/>
    <mergeCell ref="Q51:R51"/>
    <mergeCell ref="O52:P52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L65:M65"/>
    <mergeCell ref="L66:M66"/>
    <mergeCell ref="O66:P66"/>
    <mergeCell ref="Q66:R66"/>
    <mergeCell ref="L50:M50"/>
    <mergeCell ref="L51:M51"/>
    <mergeCell ref="L52:M52"/>
    <mergeCell ref="L53:L61"/>
    <mergeCell ref="L62:M62"/>
    <mergeCell ref="L63:M63"/>
    <mergeCell ref="L64:M64"/>
    <mergeCell ref="F56:G56"/>
    <mergeCell ref="H56:I56"/>
    <mergeCell ref="F57:G57"/>
    <mergeCell ref="H57:I57"/>
    <mergeCell ref="F58:G58"/>
    <mergeCell ref="H58:I58"/>
    <mergeCell ref="F59:G59"/>
    <mergeCell ref="H59:I59"/>
    <mergeCell ref="F60:G60"/>
    <mergeCell ref="H60:I60"/>
    <mergeCell ref="F65:G65"/>
    <mergeCell ref="H65:I65"/>
    <mergeCell ref="C66:D66"/>
    <mergeCell ref="F66:G66"/>
    <mergeCell ref="Q98:R98"/>
    <mergeCell ref="Q99:R99"/>
    <mergeCell ref="Q91:R91"/>
    <mergeCell ref="Q92:R92"/>
    <mergeCell ref="Q93:R93"/>
    <mergeCell ref="Q94:R94"/>
    <mergeCell ref="Q95:R95"/>
    <mergeCell ref="Q96:R96"/>
    <mergeCell ref="Q97:R97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L119:L121"/>
    <mergeCell ref="H120:I120"/>
    <mergeCell ref="H121:I121"/>
    <mergeCell ref="K119:K122"/>
    <mergeCell ref="H122:I122"/>
    <mergeCell ref="L122:M122"/>
    <mergeCell ref="H103:I103"/>
    <mergeCell ref="H105:I105"/>
    <mergeCell ref="K105:K118"/>
    <mergeCell ref="H106:I106"/>
    <mergeCell ref="H107:I107"/>
    <mergeCell ref="H108:I108"/>
    <mergeCell ref="H109:I109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F119:G119"/>
    <mergeCell ref="F120:G120"/>
    <mergeCell ref="F121:G121"/>
    <mergeCell ref="F122:G122"/>
    <mergeCell ref="B119:B122"/>
    <mergeCell ref="C119:C121"/>
    <mergeCell ref="C122:D122"/>
    <mergeCell ref="F102:G102"/>
    <mergeCell ref="F103:G103"/>
    <mergeCell ref="B105:B118"/>
    <mergeCell ref="C105:D105"/>
    <mergeCell ref="F105:G105"/>
    <mergeCell ref="C106:D106"/>
    <mergeCell ref="C107:D107"/>
    <mergeCell ref="F99:G99"/>
    <mergeCell ref="H99:I99"/>
    <mergeCell ref="F100:G100"/>
    <mergeCell ref="H100:I100"/>
    <mergeCell ref="F101:G101"/>
    <mergeCell ref="H101:I101"/>
    <mergeCell ref="H102:I102"/>
    <mergeCell ref="F106:G106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F61:G61"/>
    <mergeCell ref="H61:I61"/>
    <mergeCell ref="H64:I64"/>
    <mergeCell ref="F67:G67"/>
    <mergeCell ref="H67:I67"/>
    <mergeCell ref="F64:G64"/>
    <mergeCell ref="F68:G68"/>
    <mergeCell ref="H68:I68"/>
    <mergeCell ref="F69:G69"/>
    <mergeCell ref="H69:I69"/>
    <mergeCell ref="F70:G70"/>
    <mergeCell ref="H70:I70"/>
    <mergeCell ref="F71:G71"/>
    <mergeCell ref="H71:I71"/>
    <mergeCell ref="F72:G72"/>
    <mergeCell ref="H72:I72"/>
    <mergeCell ref="H80:I80"/>
    <mergeCell ref="F81:G81"/>
    <mergeCell ref="H81:I81"/>
    <mergeCell ref="F82:G82"/>
    <mergeCell ref="H82:I82"/>
    <mergeCell ref="F83:G83"/>
    <mergeCell ref="H83:I83"/>
    <mergeCell ref="F84:G84"/>
    <mergeCell ref="H84:I84"/>
    <mergeCell ref="F74:G74"/>
    <mergeCell ref="H74:I74"/>
    <mergeCell ref="K77:K84"/>
    <mergeCell ref="F78:G78"/>
    <mergeCell ref="H78:I78"/>
    <mergeCell ref="H79:I79"/>
    <mergeCell ref="L79:L82"/>
    <mergeCell ref="C77:D77"/>
    <mergeCell ref="F77:G77"/>
    <mergeCell ref="H77:I77"/>
    <mergeCell ref="L77:M77"/>
    <mergeCell ref="C78:D78"/>
    <mergeCell ref="L78:M78"/>
    <mergeCell ref="F79:G79"/>
    <mergeCell ref="F80:G80"/>
    <mergeCell ref="C83:D83"/>
    <mergeCell ref="L83:M83"/>
    <mergeCell ref="C84:D84"/>
    <mergeCell ref="F85:G85"/>
    <mergeCell ref="H85:I85"/>
    <mergeCell ref="F89:G89"/>
    <mergeCell ref="F90:G90"/>
    <mergeCell ref="F91:G91"/>
    <mergeCell ref="F86:G86"/>
    <mergeCell ref="H86:I86"/>
    <mergeCell ref="F87:G87"/>
    <mergeCell ref="H87:I87"/>
    <mergeCell ref="F88:G88"/>
    <mergeCell ref="H88:I88"/>
    <mergeCell ref="H89:I89"/>
    <mergeCell ref="H95:I95"/>
    <mergeCell ref="F96:G96"/>
    <mergeCell ref="H96:I96"/>
    <mergeCell ref="H90:I90"/>
    <mergeCell ref="H91:I91"/>
    <mergeCell ref="F92:G92"/>
    <mergeCell ref="H92:I92"/>
    <mergeCell ref="F93:G93"/>
    <mergeCell ref="H93:I93"/>
    <mergeCell ref="H94:I94"/>
    <mergeCell ref="L84:M84"/>
    <mergeCell ref="K85:K95"/>
    <mergeCell ref="L85:L88"/>
    <mergeCell ref="L89:L94"/>
    <mergeCell ref="L95:M95"/>
    <mergeCell ref="K96:K104"/>
    <mergeCell ref="L105:M105"/>
    <mergeCell ref="L113:M113"/>
    <mergeCell ref="L114:M114"/>
    <mergeCell ref="L115:M115"/>
    <mergeCell ref="L116:M116"/>
    <mergeCell ref="L117:M117"/>
    <mergeCell ref="L118:M118"/>
    <mergeCell ref="L106:M106"/>
    <mergeCell ref="L107:M107"/>
    <mergeCell ref="L108:M108"/>
    <mergeCell ref="L109:M109"/>
    <mergeCell ref="L110:M110"/>
    <mergeCell ref="L111:M111"/>
    <mergeCell ref="L112:M112"/>
    <mergeCell ref="B64:B76"/>
    <mergeCell ref="C67:C74"/>
    <mergeCell ref="B77:B84"/>
    <mergeCell ref="C79:C82"/>
    <mergeCell ref="B85:B95"/>
    <mergeCell ref="C85:C88"/>
    <mergeCell ref="C89:C94"/>
    <mergeCell ref="B96:B104"/>
    <mergeCell ref="F73:G73"/>
    <mergeCell ref="H73:I73"/>
    <mergeCell ref="C75:D75"/>
    <mergeCell ref="F75:G75"/>
    <mergeCell ref="L75:M75"/>
    <mergeCell ref="H75:I75"/>
    <mergeCell ref="C76:D76"/>
    <mergeCell ref="F76:G76"/>
    <mergeCell ref="H76:I76"/>
    <mergeCell ref="L76:M76"/>
    <mergeCell ref="C62:D62"/>
    <mergeCell ref="F62:G62"/>
    <mergeCell ref="C64:D64"/>
    <mergeCell ref="K64:K76"/>
    <mergeCell ref="C65:D65"/>
    <mergeCell ref="H66:I66"/>
    <mergeCell ref="L67:L74"/>
    <mergeCell ref="F104:G104"/>
    <mergeCell ref="H104:I104"/>
    <mergeCell ref="F94:G94"/>
    <mergeCell ref="C95:D95"/>
    <mergeCell ref="F95:G95"/>
    <mergeCell ref="F97:G97"/>
    <mergeCell ref="H97:I97"/>
    <mergeCell ref="F98:G98"/>
    <mergeCell ref="H98:I98"/>
  </mergeCells>
  <conditionalFormatting sqref="E32:E124 N35:N47 N51:N124">
    <cfRule type="cellIs" dxfId="0" priority="1" operator="equal">
      <formula>"Must have"</formula>
    </cfRule>
  </conditionalFormatting>
  <dataValidations>
    <dataValidation type="list" allowBlank="1" showErrorMessage="1" sqref="E35 N35">
      <formula1>"Super Rough,Rough"</formula1>
    </dataValidation>
  </dataValidations>
  <hyperlinks>
    <hyperlink r:id="rId2" location="slide=id.g2e6276d50ae_0_22" ref="C3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3.63"/>
    <col customWidth="1" min="2" max="2" width="28.13"/>
    <col customWidth="1" min="3" max="3" width="13.13"/>
    <col customWidth="1" min="4" max="5" width="14.88"/>
    <col customWidth="1" min="6" max="6" width="15.13"/>
    <col customWidth="1" min="7" max="20" width="12.63"/>
  </cols>
  <sheetData>
    <row r="1" ht="15.75" customHeight="1">
      <c r="A1" s="4"/>
      <c r="B1" s="8" t="s">
        <v>5</v>
      </c>
      <c r="C1" s="6"/>
      <c r="D1" s="6"/>
      <c r="E1" s="11" t="s">
        <v>10</v>
      </c>
      <c r="F1" s="12"/>
      <c r="G1" s="14"/>
      <c r="H1" s="14"/>
      <c r="I1" s="14"/>
      <c r="J1" s="14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3"/>
      <c r="B2" s="13"/>
      <c r="E2" s="15" t="s">
        <v>13</v>
      </c>
      <c r="F2" s="17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3"/>
      <c r="B3" s="13"/>
      <c r="E3" s="18" t="s">
        <v>15</v>
      </c>
      <c r="F3" s="19"/>
      <c r="G3" s="14"/>
      <c r="H3" s="14"/>
      <c r="I3" s="14"/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20" t="s">
        <v>14</v>
      </c>
      <c r="B4" s="21"/>
      <c r="C4" s="21"/>
      <c r="D4" s="21"/>
      <c r="E4" s="23" t="s">
        <v>16</v>
      </c>
      <c r="F4" s="19"/>
      <c r="G4" s="14"/>
      <c r="H4" s="14"/>
      <c r="I4" s="14"/>
      <c r="J4" s="14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6"/>
      <c r="B5" s="16"/>
      <c r="C5" s="14"/>
      <c r="D5" s="26"/>
      <c r="E5" s="26"/>
      <c r="F5" s="14"/>
      <c r="G5" s="14"/>
      <c r="H5" s="14"/>
      <c r="I5" s="14"/>
      <c r="J5" s="1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30" t="s">
        <v>20</v>
      </c>
      <c r="B6" s="31" t="s">
        <v>22</v>
      </c>
      <c r="C6" s="32" t="s">
        <v>23</v>
      </c>
      <c r="D6" s="32" t="s">
        <v>25</v>
      </c>
      <c r="E6" s="26"/>
      <c r="F6" s="14"/>
      <c r="G6" s="14"/>
      <c r="H6" s="14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35"/>
      <c r="B7" s="39">
        <f>SUM(J17:J32)</f>
        <v>357.2</v>
      </c>
      <c r="C7" s="42">
        <f>ROUNDUP(B7/8,2)</f>
        <v>44.65</v>
      </c>
      <c r="D7" s="42">
        <f>ROUNDUP(C7/20,2)</f>
        <v>2.24</v>
      </c>
      <c r="E7" s="26"/>
      <c r="F7" s="14"/>
      <c r="G7" s="14"/>
      <c r="H7" s="14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6"/>
      <c r="B8" s="16"/>
      <c r="C8" s="14"/>
      <c r="D8" s="26"/>
      <c r="E8" s="26"/>
      <c r="F8" s="14"/>
      <c r="G8" s="14"/>
      <c r="H8" s="14"/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45" t="s">
        <v>32</v>
      </c>
      <c r="B9" s="31" t="s">
        <v>22</v>
      </c>
      <c r="C9" s="14"/>
      <c r="D9" s="26"/>
      <c r="E9" s="26"/>
      <c r="F9" s="14"/>
      <c r="G9" s="14"/>
      <c r="H9" s="14"/>
      <c r="I9" s="14"/>
      <c r="J9" s="1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47" t="s">
        <v>33</v>
      </c>
      <c r="B10" s="51">
        <f>SUM(D17:D32)+SUM(E17:E32)+SUM(F17:F32)</f>
        <v>267</v>
      </c>
      <c r="C10" s="14"/>
      <c r="D10" s="52"/>
      <c r="E10" s="52"/>
      <c r="F10" s="14"/>
      <c r="G10" s="14"/>
      <c r="H10" s="14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47" t="s">
        <v>7</v>
      </c>
      <c r="B11" s="51">
        <f>SUM(H17:H32)</f>
        <v>22.7</v>
      </c>
      <c r="C11" s="14"/>
      <c r="D11" s="26"/>
      <c r="E11" s="26"/>
      <c r="F11" s="14"/>
      <c r="G11" s="14"/>
      <c r="H11" s="14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56" t="s">
        <v>34</v>
      </c>
      <c r="B12" s="51"/>
      <c r="C12" s="14"/>
      <c r="D12" s="26"/>
      <c r="E12" s="26"/>
      <c r="F12" s="14"/>
      <c r="G12" s="14"/>
      <c r="H12" s="14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47" t="s">
        <v>35</v>
      </c>
      <c r="B13" s="51">
        <f>SUM(G17:G32)</f>
        <v>44.8</v>
      </c>
      <c r="C13" s="14"/>
      <c r="D13" s="26"/>
      <c r="E13" s="26"/>
      <c r="F13" s="14"/>
      <c r="G13" s="14"/>
      <c r="H13" s="14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56" t="s">
        <v>37</v>
      </c>
      <c r="B14" s="66">
        <f>SUM(I17:I32)</f>
        <v>22.7</v>
      </c>
      <c r="C14" s="14"/>
      <c r="D14" s="26"/>
      <c r="E14" s="26"/>
      <c r="F14" s="14"/>
      <c r="G14" s="14"/>
      <c r="H14" s="14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/>
      <c r="C15" s="14"/>
      <c r="D15" s="26"/>
      <c r="E15" s="26"/>
      <c r="F15" s="14"/>
      <c r="G15" s="14"/>
      <c r="H15" s="14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31" t="s">
        <v>39</v>
      </c>
      <c r="B16" s="31" t="s">
        <v>40</v>
      </c>
      <c r="C16" s="32" t="s">
        <v>41</v>
      </c>
      <c r="D16" s="32" t="s">
        <v>42</v>
      </c>
      <c r="E16" s="75" t="s">
        <v>3</v>
      </c>
      <c r="F16" s="32" t="s">
        <v>44</v>
      </c>
      <c r="G16" s="32" t="s">
        <v>45</v>
      </c>
      <c r="H16" s="32" t="s">
        <v>46</v>
      </c>
      <c r="I16" s="32" t="s">
        <v>47</v>
      </c>
      <c r="J16" s="32" t="s">
        <v>48</v>
      </c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16"/>
      <c r="V16" s="16"/>
      <c r="W16" s="16"/>
      <c r="X16" s="16"/>
      <c r="Y16" s="16"/>
      <c r="Z16" s="16"/>
    </row>
    <row r="17" ht="15.75" customHeight="1">
      <c r="A17" s="78" t="s">
        <v>51</v>
      </c>
      <c r="B17" s="79" t="s">
        <v>52</v>
      </c>
      <c r="C17" s="80" t="s">
        <v>53</v>
      </c>
      <c r="D17" s="81">
        <v>4.0</v>
      </c>
      <c r="E17" s="82">
        <f>ROUNDUP($D17*'Effort distribution'!$C$5/'Effort distribution'!$B$5,1)</f>
        <v>2.7</v>
      </c>
      <c r="F17" s="82">
        <f>ROUNDUP($D17*'Effort distribution'!$D$5/'Effort distribution'!$B$5,1)</f>
        <v>1.4</v>
      </c>
      <c r="G17" s="82">
        <f>ROUNDUP($D17*'Effort distribution'!$E$5/'Effort distribution'!$B$5,1)</f>
        <v>1.4</v>
      </c>
      <c r="H17" s="82">
        <f>ROUNDUP($D17*'Effort distribution'!$F$5/'Effort distribution'!$B$5,1)</f>
        <v>0.7</v>
      </c>
      <c r="I17" s="82">
        <f>ROUNDUP($D17*'Effort distribution'!$G$5/'Effort distribution'!$B$5,1)</f>
        <v>0.7</v>
      </c>
      <c r="J17" s="82">
        <f t="shared" ref="J17:J32" si="1">SUM(D17:I17)</f>
        <v>10.9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78" t="s">
        <v>51</v>
      </c>
      <c r="B18" s="79" t="s">
        <v>52</v>
      </c>
      <c r="C18" s="80" t="s">
        <v>62</v>
      </c>
      <c r="D18" s="81">
        <v>4.0</v>
      </c>
      <c r="E18" s="82">
        <f>ROUNDUP($D18*'Effort distribution'!$C$5/'Effort distribution'!$B$5,1)</f>
        <v>2.7</v>
      </c>
      <c r="F18" s="82">
        <f>ROUNDUP($D18*'Effort distribution'!$D$5/'Effort distribution'!$B$5,1)</f>
        <v>1.4</v>
      </c>
      <c r="G18" s="82">
        <f>ROUNDUP($D18*'Effort distribution'!$E$5/'Effort distribution'!$B$5,1)</f>
        <v>1.4</v>
      </c>
      <c r="H18" s="82">
        <f>ROUNDUP($D18*'Effort distribution'!$F$5/'Effort distribution'!$B$5,1)</f>
        <v>0.7</v>
      </c>
      <c r="I18" s="82">
        <f>ROUNDUP($D18*'Effort distribution'!$G$5/'Effort distribution'!$B$5,1)</f>
        <v>0.7</v>
      </c>
      <c r="J18" s="82">
        <f t="shared" si="1"/>
        <v>10.9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78" t="s">
        <v>51</v>
      </c>
      <c r="B19" s="79" t="s">
        <v>72</v>
      </c>
      <c r="C19" s="80" t="s">
        <v>53</v>
      </c>
      <c r="D19" s="81">
        <v>4.0</v>
      </c>
      <c r="E19" s="82">
        <f>ROUNDUP($D19*'Effort distribution'!$C$5/'Effort distribution'!$B$5,1)</f>
        <v>2.7</v>
      </c>
      <c r="F19" s="82">
        <f>ROUNDUP($D19*'Effort distribution'!$D$5/'Effort distribution'!$B$5,1)</f>
        <v>1.4</v>
      </c>
      <c r="G19" s="82">
        <f>ROUNDUP($D19*'Effort distribution'!$E$5/'Effort distribution'!$B$5,1)</f>
        <v>1.4</v>
      </c>
      <c r="H19" s="82">
        <f>ROUNDUP($D19*'Effort distribution'!$F$5/'Effort distribution'!$B$5,1)</f>
        <v>0.7</v>
      </c>
      <c r="I19" s="82">
        <f>ROUNDUP($D19*'Effort distribution'!$G$5/'Effort distribution'!$B$5,1)</f>
        <v>0.7</v>
      </c>
      <c r="J19" s="82">
        <f t="shared" si="1"/>
        <v>10.9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78" t="s">
        <v>51</v>
      </c>
      <c r="B20" s="79" t="s">
        <v>72</v>
      </c>
      <c r="C20" s="80" t="s">
        <v>62</v>
      </c>
      <c r="D20" s="81">
        <v>4.0</v>
      </c>
      <c r="E20" s="82">
        <f>ROUNDUP($D20*'Effort distribution'!$C$5/'Effort distribution'!$B$5,1)</f>
        <v>2.7</v>
      </c>
      <c r="F20" s="82">
        <f>ROUNDUP($D20*'Effort distribution'!$D$5/'Effort distribution'!$B$5,1)</f>
        <v>1.4</v>
      </c>
      <c r="G20" s="82">
        <f>ROUNDUP($D20*'Effort distribution'!$E$5/'Effort distribution'!$B$5,1)</f>
        <v>1.4</v>
      </c>
      <c r="H20" s="82">
        <f>ROUNDUP($D20*'Effort distribution'!$F$5/'Effort distribution'!$B$5,1)</f>
        <v>0.7</v>
      </c>
      <c r="I20" s="82">
        <f>ROUNDUP($D20*'Effort distribution'!$G$5/'Effort distribution'!$B$5,1)</f>
        <v>0.7</v>
      </c>
      <c r="J20" s="82">
        <f t="shared" si="1"/>
        <v>10.9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78" t="s">
        <v>79</v>
      </c>
      <c r="B21" s="79" t="s">
        <v>80</v>
      </c>
      <c r="C21" s="80" t="s">
        <v>53</v>
      </c>
      <c r="D21" s="81">
        <v>8.0</v>
      </c>
      <c r="E21" s="82">
        <f>ROUNDUP($D21*'Effort distribution'!$C$5/'Effort distribution'!$B$5,1)</f>
        <v>5.4</v>
      </c>
      <c r="F21" s="82">
        <f>ROUNDUP($D21*'Effort distribution'!$D$5/'Effort distribution'!$B$5,1)</f>
        <v>2.7</v>
      </c>
      <c r="G21" s="82">
        <f>ROUNDUP($D21*'Effort distribution'!$E$5/'Effort distribution'!$B$5,1)</f>
        <v>2.7</v>
      </c>
      <c r="H21" s="82">
        <f>ROUNDUP($D21*'Effort distribution'!$F$5/'Effort distribution'!$B$5,1)</f>
        <v>1.4</v>
      </c>
      <c r="I21" s="82">
        <f>ROUNDUP($D21*'Effort distribution'!$G$5/'Effort distribution'!$B$5,1)</f>
        <v>1.4</v>
      </c>
      <c r="J21" s="82">
        <f t="shared" si="1"/>
        <v>21.6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78" t="s">
        <v>79</v>
      </c>
      <c r="B22" s="79" t="s">
        <v>80</v>
      </c>
      <c r="C22" s="80" t="s">
        <v>62</v>
      </c>
      <c r="D22" s="81">
        <v>5.0</v>
      </c>
      <c r="E22" s="82">
        <f>ROUNDUP($D22*'Effort distribution'!$C$5/'Effort distribution'!$B$5,1)</f>
        <v>3.4</v>
      </c>
      <c r="F22" s="82">
        <f>ROUNDUP($D22*'Effort distribution'!$D$5/'Effort distribution'!$B$5,1)</f>
        <v>1.7</v>
      </c>
      <c r="G22" s="82">
        <f>ROUNDUP($D22*'Effort distribution'!$E$5/'Effort distribution'!$B$5,1)</f>
        <v>1.7</v>
      </c>
      <c r="H22" s="82">
        <f>ROUNDUP($D22*'Effort distribution'!$F$5/'Effort distribution'!$B$5,1)</f>
        <v>0.9</v>
      </c>
      <c r="I22" s="82">
        <f>ROUNDUP($D22*'Effort distribution'!$G$5/'Effort distribution'!$B$5,1)</f>
        <v>0.9</v>
      </c>
      <c r="J22" s="82">
        <f t="shared" si="1"/>
        <v>13.6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16" t="s">
        <v>79</v>
      </c>
      <c r="B23" s="79" t="s">
        <v>83</v>
      </c>
      <c r="C23" s="80" t="s">
        <v>53</v>
      </c>
      <c r="D23" s="81">
        <v>8.0</v>
      </c>
      <c r="E23" s="82">
        <f>ROUNDUP($D23*'Effort distribution'!$C$5/'Effort distribution'!$B$5,1)</f>
        <v>5.4</v>
      </c>
      <c r="F23" s="82">
        <f>ROUNDUP($D23*'Effort distribution'!$D$5/'Effort distribution'!$B$5,1)</f>
        <v>2.7</v>
      </c>
      <c r="G23" s="82">
        <f>ROUNDUP($D23*'Effort distribution'!$E$5/'Effort distribution'!$B$5,1)</f>
        <v>2.7</v>
      </c>
      <c r="H23" s="82">
        <f>ROUNDUP($D23*'Effort distribution'!$F$5/'Effort distribution'!$B$5,1)</f>
        <v>1.4</v>
      </c>
      <c r="I23" s="82">
        <f>ROUNDUP($D23*'Effort distribution'!$G$5/'Effort distribution'!$B$5,1)</f>
        <v>1.4</v>
      </c>
      <c r="J23" s="82">
        <f t="shared" si="1"/>
        <v>21.6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16" t="s">
        <v>79</v>
      </c>
      <c r="B24" s="79" t="s">
        <v>83</v>
      </c>
      <c r="C24" s="80" t="s">
        <v>62</v>
      </c>
      <c r="D24" s="81">
        <v>8.0</v>
      </c>
      <c r="E24" s="82">
        <f>ROUNDUP($D24*'Effort distribution'!$C$5/'Effort distribution'!$B$5,1)</f>
        <v>5.4</v>
      </c>
      <c r="F24" s="82">
        <f>ROUNDUP($D24*'Effort distribution'!$D$5/'Effort distribution'!$B$5,1)</f>
        <v>2.7</v>
      </c>
      <c r="G24" s="82">
        <f>ROUNDUP($D24*'Effort distribution'!$E$5/'Effort distribution'!$B$5,1)</f>
        <v>2.7</v>
      </c>
      <c r="H24" s="82">
        <f>ROUNDUP($D24*'Effort distribution'!$F$5/'Effort distribution'!$B$5,1)</f>
        <v>1.4</v>
      </c>
      <c r="I24" s="82">
        <f>ROUNDUP($D24*'Effort distribution'!$G$5/'Effort distribution'!$B$5,1)</f>
        <v>1.4</v>
      </c>
      <c r="J24" s="82">
        <f t="shared" si="1"/>
        <v>21.6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16" t="s">
        <v>89</v>
      </c>
      <c r="B25" s="79" t="s">
        <v>90</v>
      </c>
      <c r="C25" s="80" t="s">
        <v>53</v>
      </c>
      <c r="D25" s="81">
        <v>8.0</v>
      </c>
      <c r="E25" s="82">
        <f>ROUNDUP($D25*'Effort distribution'!$C$5/'Effort distribution'!$B$5,1)</f>
        <v>5.4</v>
      </c>
      <c r="F25" s="82">
        <f>ROUNDUP($D25*'Effort distribution'!$D$5/'Effort distribution'!$B$5,1)</f>
        <v>2.7</v>
      </c>
      <c r="G25" s="82">
        <f>ROUNDUP($D25*'Effort distribution'!$E$5/'Effort distribution'!$B$5,1)</f>
        <v>2.7</v>
      </c>
      <c r="H25" s="82">
        <f>ROUNDUP($D25*'Effort distribution'!$F$5/'Effort distribution'!$B$5,1)</f>
        <v>1.4</v>
      </c>
      <c r="I25" s="82">
        <f>ROUNDUP($D25*'Effort distribution'!$G$5/'Effort distribution'!$B$5,1)</f>
        <v>1.4</v>
      </c>
      <c r="J25" s="82">
        <f t="shared" si="1"/>
        <v>21.6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16" t="s">
        <v>89</v>
      </c>
      <c r="B26" s="79" t="s">
        <v>90</v>
      </c>
      <c r="C26" s="80" t="s">
        <v>62</v>
      </c>
      <c r="D26" s="81">
        <v>8.0</v>
      </c>
      <c r="E26" s="82">
        <f>ROUNDUP($D26*'Effort distribution'!$C$5/'Effort distribution'!$B$5,1)</f>
        <v>5.4</v>
      </c>
      <c r="F26" s="82">
        <f>ROUNDUP($D26*'Effort distribution'!$D$5/'Effort distribution'!$B$5,1)</f>
        <v>2.7</v>
      </c>
      <c r="G26" s="82">
        <f>ROUNDUP($D26*'Effort distribution'!$E$5/'Effort distribution'!$B$5,1)</f>
        <v>2.7</v>
      </c>
      <c r="H26" s="82">
        <f>ROUNDUP($D26*'Effort distribution'!$F$5/'Effort distribution'!$B$5,1)</f>
        <v>1.4</v>
      </c>
      <c r="I26" s="82">
        <f>ROUNDUP($D26*'Effort distribution'!$G$5/'Effort distribution'!$B$5,1)</f>
        <v>1.4</v>
      </c>
      <c r="J26" s="82">
        <f t="shared" si="1"/>
        <v>21.6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16" t="s">
        <v>89</v>
      </c>
      <c r="B27" s="79" t="s">
        <v>95</v>
      </c>
      <c r="C27" s="80" t="s">
        <v>53</v>
      </c>
      <c r="D27" s="81">
        <v>12.0</v>
      </c>
      <c r="E27" s="82">
        <f>ROUNDUP($D27*'Effort distribution'!$C$5/'Effort distribution'!$B$5,1)</f>
        <v>8</v>
      </c>
      <c r="F27" s="82">
        <f>ROUNDUP($D27*'Effort distribution'!$D$5/'Effort distribution'!$B$5,1)</f>
        <v>4</v>
      </c>
      <c r="G27" s="82">
        <f>ROUNDUP($D27*'Effort distribution'!$E$5/'Effort distribution'!$B$5,1)</f>
        <v>4</v>
      </c>
      <c r="H27" s="82">
        <f>ROUNDUP($D27*'Effort distribution'!$F$5/'Effort distribution'!$B$5,1)</f>
        <v>2</v>
      </c>
      <c r="I27" s="82">
        <f>ROUNDUP($D27*'Effort distribution'!$G$5/'Effort distribution'!$B$5,1)</f>
        <v>2</v>
      </c>
      <c r="J27" s="82">
        <f t="shared" si="1"/>
        <v>32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16" t="s">
        <v>89</v>
      </c>
      <c r="B28" s="79" t="s">
        <v>95</v>
      </c>
      <c r="C28" s="80" t="s">
        <v>62</v>
      </c>
      <c r="D28" s="81">
        <v>12.0</v>
      </c>
      <c r="E28" s="82">
        <f>ROUNDUP($D28*'Effort distribution'!$C$5/'Effort distribution'!$B$5,1)</f>
        <v>8</v>
      </c>
      <c r="F28" s="82">
        <f>ROUNDUP($D28*'Effort distribution'!$D$5/'Effort distribution'!$B$5,1)</f>
        <v>4</v>
      </c>
      <c r="G28" s="82">
        <f>ROUNDUP($D28*'Effort distribution'!$E$5/'Effort distribution'!$B$5,1)</f>
        <v>4</v>
      </c>
      <c r="H28" s="82">
        <f>ROUNDUP($D28*'Effort distribution'!$F$5/'Effort distribution'!$B$5,1)</f>
        <v>2</v>
      </c>
      <c r="I28" s="82">
        <f>ROUNDUP($D28*'Effort distribution'!$G$5/'Effort distribution'!$B$5,1)</f>
        <v>2</v>
      </c>
      <c r="J28" s="82">
        <f t="shared" si="1"/>
        <v>32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78" t="s">
        <v>99</v>
      </c>
      <c r="B29" s="79" t="s">
        <v>100</v>
      </c>
      <c r="C29" s="80" t="s">
        <v>53</v>
      </c>
      <c r="D29" s="81">
        <v>12.0</v>
      </c>
      <c r="E29" s="82">
        <f>ROUNDUP($D29*'Effort distribution'!$C$5/'Effort distribution'!$B$5,1)</f>
        <v>8</v>
      </c>
      <c r="F29" s="82">
        <f>ROUNDUP($D29*'Effort distribution'!$D$5/'Effort distribution'!$B$5,1)</f>
        <v>4</v>
      </c>
      <c r="G29" s="82">
        <f>ROUNDUP($D29*'Effort distribution'!$E$5/'Effort distribution'!$B$5,1)</f>
        <v>4</v>
      </c>
      <c r="H29" s="82">
        <f>ROUNDUP($D29*'Effort distribution'!$F$5/'Effort distribution'!$B$5,1)</f>
        <v>2</v>
      </c>
      <c r="I29" s="82">
        <f>ROUNDUP($D29*'Effort distribution'!$G$5/'Effort distribution'!$B$5,1)</f>
        <v>2</v>
      </c>
      <c r="J29" s="82">
        <f t="shared" si="1"/>
        <v>32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78" t="s">
        <v>99</v>
      </c>
      <c r="B30" s="79" t="s">
        <v>100</v>
      </c>
      <c r="C30" s="80" t="s">
        <v>62</v>
      </c>
      <c r="D30" s="81">
        <v>12.0</v>
      </c>
      <c r="E30" s="82">
        <f>ROUNDUP($D30*'Effort distribution'!$C$5/'Effort distribution'!$B$5,1)</f>
        <v>8</v>
      </c>
      <c r="F30" s="82">
        <f>ROUNDUP($D30*'Effort distribution'!$D$5/'Effort distribution'!$B$5,1)</f>
        <v>4</v>
      </c>
      <c r="G30" s="82">
        <f>ROUNDUP($D30*'Effort distribution'!$E$5/'Effort distribution'!$B$5,1)</f>
        <v>4</v>
      </c>
      <c r="H30" s="82">
        <f>ROUNDUP($D30*'Effort distribution'!$F$5/'Effort distribution'!$B$5,1)</f>
        <v>2</v>
      </c>
      <c r="I30" s="82">
        <f>ROUNDUP($D30*'Effort distribution'!$G$5/'Effort distribution'!$B$5,1)</f>
        <v>2</v>
      </c>
      <c r="J30" s="82">
        <f t="shared" si="1"/>
        <v>32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78" t="s">
        <v>99</v>
      </c>
      <c r="B31" s="79" t="s">
        <v>103</v>
      </c>
      <c r="C31" s="80" t="s">
        <v>53</v>
      </c>
      <c r="D31" s="81">
        <v>12.0</v>
      </c>
      <c r="E31" s="82">
        <f>ROUNDUP($D31*'Effort distribution'!$C$5/'Effort distribution'!$B$5,1)</f>
        <v>8</v>
      </c>
      <c r="F31" s="82">
        <f>ROUNDUP($D31*'Effort distribution'!$D$5/'Effort distribution'!$B$5,1)</f>
        <v>4</v>
      </c>
      <c r="G31" s="82">
        <f>ROUNDUP($D31*'Effort distribution'!$E$5/'Effort distribution'!$B$5,1)</f>
        <v>4</v>
      </c>
      <c r="H31" s="82">
        <f>ROUNDUP($D31*'Effort distribution'!$F$5/'Effort distribution'!$B$5,1)</f>
        <v>2</v>
      </c>
      <c r="I31" s="82">
        <f>ROUNDUP($D31*'Effort distribution'!$G$5/'Effort distribution'!$B$5,1)</f>
        <v>2</v>
      </c>
      <c r="J31" s="82">
        <f t="shared" si="1"/>
        <v>32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78" t="s">
        <v>99</v>
      </c>
      <c r="B32" s="79" t="s">
        <v>103</v>
      </c>
      <c r="C32" s="80" t="s">
        <v>62</v>
      </c>
      <c r="D32" s="81">
        <v>12.0</v>
      </c>
      <c r="E32" s="82">
        <f>ROUNDUP($D32*'Effort distribution'!$C$5/'Effort distribution'!$B$5,1)</f>
        <v>8</v>
      </c>
      <c r="F32" s="82">
        <f>ROUNDUP($D32*'Effort distribution'!$D$5/'Effort distribution'!$B$5,1)</f>
        <v>4</v>
      </c>
      <c r="G32" s="82">
        <f>ROUNDUP($D32*'Effort distribution'!$E$5/'Effort distribution'!$B$5,1)</f>
        <v>4</v>
      </c>
      <c r="H32" s="82">
        <f>ROUNDUP($D32*'Effort distribution'!$F$5/'Effort distribution'!$B$5,1)</f>
        <v>2</v>
      </c>
      <c r="I32" s="82">
        <f>ROUNDUP($D32*'Effort distribution'!$G$5/'Effort distribution'!$B$5,1)</f>
        <v>2</v>
      </c>
      <c r="J32" s="82">
        <f t="shared" si="1"/>
        <v>32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35" t="s">
        <v>107</v>
      </c>
      <c r="B33" s="6"/>
      <c r="C33" s="12"/>
      <c r="D33" s="136">
        <f t="shared" ref="D33:J33" si="2">SUm(D17:D32)</f>
        <v>133</v>
      </c>
      <c r="E33" s="136">
        <f t="shared" si="2"/>
        <v>89.2</v>
      </c>
      <c r="F33" s="136">
        <f t="shared" si="2"/>
        <v>44.8</v>
      </c>
      <c r="G33" s="136">
        <f t="shared" si="2"/>
        <v>44.8</v>
      </c>
      <c r="H33" s="136">
        <f t="shared" si="2"/>
        <v>22.7</v>
      </c>
      <c r="I33" s="136">
        <f t="shared" si="2"/>
        <v>22.7</v>
      </c>
      <c r="J33" s="136">
        <f t="shared" si="2"/>
        <v>357.2</v>
      </c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ht="15.75" customHeight="1">
      <c r="A34" s="138"/>
      <c r="B34" s="139"/>
      <c r="C34" s="19"/>
      <c r="D34" s="35"/>
      <c r="E34" s="35"/>
      <c r="F34" s="35"/>
      <c r="G34" s="35"/>
      <c r="H34" s="35"/>
      <c r="I34" s="35"/>
      <c r="J34" s="3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4"/>
      <c r="D40" s="26"/>
      <c r="E40" s="26"/>
      <c r="F40" s="14"/>
      <c r="G40" s="14"/>
      <c r="H40" s="14"/>
      <c r="I40" s="14"/>
      <c r="J40" s="14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4"/>
      <c r="D43" s="26"/>
      <c r="E43" s="26"/>
      <c r="F43" s="14"/>
      <c r="G43" s="14"/>
      <c r="H43" s="14"/>
      <c r="I43" s="14"/>
      <c r="J43" s="14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ht="15.7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</sheetData>
  <mergeCells count="16">
    <mergeCell ref="A1:A3"/>
    <mergeCell ref="B1:D3"/>
    <mergeCell ref="E1:F1"/>
    <mergeCell ref="E2:F2"/>
    <mergeCell ref="E3:F3"/>
    <mergeCell ref="A4:D4"/>
    <mergeCell ref="E4:F4"/>
    <mergeCell ref="I33:I34"/>
    <mergeCell ref="J33:J34"/>
    <mergeCell ref="A6:A7"/>
    <mergeCell ref="A33:C34"/>
    <mergeCell ref="D33:D34"/>
    <mergeCell ref="E33:E34"/>
    <mergeCell ref="F33:F34"/>
    <mergeCell ref="G33:G34"/>
    <mergeCell ref="H33:H3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17" width="12.63"/>
  </cols>
  <sheetData>
    <row r="1" ht="15.75" customHeight="1">
      <c r="A1" s="1" t="s">
        <v>0</v>
      </c>
    </row>
    <row r="2" ht="15.75" customHeight="1"/>
    <row r="3" ht="15.75" customHeight="1"/>
    <row r="4" ht="15.75" customHeight="1">
      <c r="A4" s="2" t="s">
        <v>1</v>
      </c>
      <c r="B4" s="3" t="s">
        <v>2</v>
      </c>
      <c r="C4" s="5" t="s">
        <v>3</v>
      </c>
      <c r="D4" s="3" t="s">
        <v>4</v>
      </c>
      <c r="E4" s="3" t="s">
        <v>6</v>
      </c>
      <c r="F4" s="3" t="s">
        <v>7</v>
      </c>
      <c r="G4" s="3" t="s">
        <v>8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2" t="s">
        <v>9</v>
      </c>
      <c r="B5" s="9">
        <v>30.0</v>
      </c>
      <c r="C5" s="9">
        <v>20.0</v>
      </c>
      <c r="D5" s="10">
        <v>10.0</v>
      </c>
      <c r="E5" s="10">
        <v>10.0</v>
      </c>
      <c r="F5" s="10">
        <v>5.0</v>
      </c>
      <c r="G5" s="10">
        <v>5.0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