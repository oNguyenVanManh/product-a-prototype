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Technical Suggestion" sheetId="2" r:id="rId5"/>
    <sheet state="visible" name="00_Summary" sheetId="3" r:id="rId6"/>
    <sheet state="visible" name="01_Server" sheetId="4" r:id="rId7"/>
    <sheet state="visible" name="02_Native App" sheetId="5" r:id="rId8"/>
    <sheet state="visible" name="03_Infrastructure" sheetId="6" r:id="rId9"/>
    <sheet state="visible" name="04_Infrastructure for AWS" sheetId="7" r:id="rId10"/>
    <sheet state="visible" name="05_Resource plan" sheetId="8" r:id="rId11"/>
    <sheet state="visible" name="Appendix" sheetId="9" r:id="rId12"/>
    <sheet state="visible" name="Project Organization Structure "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5">
      <text>
        <t xml:space="preserve">Based on project characteristics, select items to apply to the project.
If "Not Apply" you must give the reason  in the Reason column</t>
      </text>
    </comment>
    <comment authorId="0" ref="E51">
      <text>
        <t xml:space="preserve">Based on project characteristics, select items to apply to the project.
If "Not Apply" you must give the reason  in the Reason column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Include Buffer effort
</t>
      </text>
    </comment>
    <comment authorId="0" ref="F12">
      <text>
        <t xml:space="preserve">Included in Specs effort </t>
      </text>
    </comment>
    <comment authorId="0" ref="I12">
      <text>
        <t xml:space="preserve">Included in Specs effort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Include Buffer effort</t>
      </text>
    </comment>
    <comment authorId="0" ref="F12">
      <text>
        <t xml:space="preserve">Included in Specs effort </t>
      </text>
    </comment>
    <comment authorId="0" ref="I12">
      <text>
        <t xml:space="preserve">Included in Specs effort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Include Buffer effort</t>
      </text>
    </comment>
    <comment authorId="0" ref="F12">
      <text>
        <t xml:space="preserve">Included in Specs effort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Bằng 30% của Implement DEV</t>
      </text>
    </comment>
  </commentList>
</comments>
</file>

<file path=xl/sharedStrings.xml><?xml version="1.0" encoding="utf-8"?>
<sst xmlns="http://schemas.openxmlformats.org/spreadsheetml/2006/main" count="934" uniqueCount="592">
  <si>
    <t>ESTIMATION</t>
  </si>
  <si>
    <t>No: BM-2-901-22</t>
  </si>
  <si>
    <t>Version: 1.5</t>
  </si>
  <si>
    <t>Issue Date: 10/03/2026</t>
  </si>
  <si>
    <t>SUN ASTERISK VIETNAM CO., LTD</t>
  </si>
  <si>
    <t>ISO/IEC 27001:2022 &amp; ISO 9001:2015</t>
  </si>
  <si>
    <t>HISTORY OF CHANGES</t>
  </si>
  <si>
    <t>No</t>
  </si>
  <si>
    <t>Change Item</t>
  </si>
  <si>
    <t>Description of changes</t>
  </si>
  <si>
    <t>Change Date</t>
  </si>
  <si>
    <t>Version</t>
  </si>
  <si>
    <t>Update format</t>
  </si>
  <si>
    <t>Sheet Note-Coeficient</t>
  </si>
  <si>
    <t>Change Working hours in a day from 8 hour to 7 hour</t>
  </si>
  <si>
    <t>14/04/2023</t>
  </si>
  <si>
    <t>Techical Suggestion</t>
  </si>
  <si>
    <t>Add new sheet about Technical Suggestion</t>
  </si>
  <si>
    <t>28/06/2023</t>
  </si>
  <si>
    <t>Sheet 00_Summary</t>
  </si>
  <si>
    <t>Update nội dung mục Assumptions</t>
  </si>
  <si>
    <t>26/11/2024</t>
  </si>
  <si>
    <t>Security Requirement</t>
  </si>
  <si>
    <t>Update thêm mục Security Requirement ở sheet 00_Summary
Add new sheet about Security Requirement &amp; Security Requirement (Recommendation)</t>
  </si>
  <si>
    <t>Sheet Summary</t>
  </si>
  <si>
    <t>Thay đổi Project Role theo thay đổi cơ cấu mới của tổ chức
- PSM -&gt; Project Leader</t>
  </si>
  <si>
    <t>23/12/2024</t>
  </si>
  <si>
    <t>Remove</t>
  </si>
  <si>
    <t xml:space="preserve">Remove 2 sheet: 04_Security Requirement  và 04_Security Requirement (Recommendation) </t>
  </si>
  <si>
    <t>Add new</t>
  </si>
  <si>
    <t>Bổ sung sheet 04_Infrastructure for AWS dành cho hoạt động estimation liên quan đến AWS</t>
  </si>
  <si>
    <t>21/11/2025</t>
  </si>
  <si>
    <t>9</t>
  </si>
  <si>
    <t>00_Summary</t>
  </si>
  <si>
    <t>Bổ sung mục III. Documents List tại sheet 00_Summary</t>
  </si>
  <si>
    <t>06/02/2026</t>
  </si>
  <si>
    <t>v1.4</t>
  </si>
  <si>
    <t>10</t>
  </si>
  <si>
    <r>
      <rPr>
        <rFont val="Arial"/>
        <color rgb="FFFF0000"/>
      </rPr>
      <t>Tại sheet 00_Summary: 
- Đổi tên mục</t>
    </r>
    <r>
      <rPr>
        <rFont val="Arial"/>
        <b/>
        <color rgb="FFFF0000"/>
      </rPr>
      <t xml:space="preserve"> III. Documents List</t>
    </r>
    <r>
      <rPr>
        <rFont val="Arial"/>
        <color rgb="FFFF0000"/>
      </rPr>
      <t xml:space="preserve"> thành mục </t>
    </r>
    <r>
      <rPr>
        <rFont val="Arial"/>
        <b/>
        <color rgb="FFFF0000"/>
      </rPr>
      <t>IV. Documents List</t>
    </r>
    <r>
      <rPr>
        <rFont val="Arial"/>
        <color rgb="FFFF0000"/>
      </rPr>
      <t xml:space="preserve">
- Thêm mới mục </t>
    </r>
    <r>
      <rPr>
        <rFont val="Arial"/>
        <b/>
        <color rgb="FFFF0000"/>
      </rPr>
      <t>III. Deliveriable List</t>
    </r>
    <r>
      <rPr>
        <rFont val="Arial"/>
        <color rgb="FFFF0000"/>
      </rPr>
      <t>: liệt kê danh sách các output cần bàn giao cho Khách hàng dựa trên sự thống nhất giữa Sun* và Khách hàng.</t>
    </r>
  </si>
  <si>
    <t>10/03/2026</t>
  </si>
  <si>
    <t>v1.5</t>
  </si>
  <si>
    <t>11</t>
  </si>
  <si>
    <r>
      <rPr>
        <rFont val="Arial"/>
        <color rgb="FFFF0000"/>
      </rPr>
      <t xml:space="preserve">Thêm mới sheet </t>
    </r>
    <r>
      <rPr>
        <rFont val="Arial"/>
        <b/>
        <color rgb="FFFF0000"/>
      </rPr>
      <t>05_Resource Plan</t>
    </r>
    <r>
      <rPr>
        <rFont val="Arial"/>
        <color rgb="FFFF0000"/>
      </rPr>
      <t>: nhằm cung cấp cái nhìn tổng thể về kế hoạch phân bổ nguồn lực theo từng vai trò và theo từng giai đoạn/thời gian phát triển của dự án.</t>
    </r>
  </si>
  <si>
    <r>
      <rPr/>
      <t xml:space="preserve">Reference document </t>
    </r>
    <r>
      <rPr>
        <color rgb="FF1155CC"/>
        <u/>
      </rPr>
      <t>tại đây</t>
    </r>
  </si>
  <si>
    <t>■ Development strategy:</t>
  </si>
  <si>
    <t>MVP / POC</t>
  </si>
  <si>
    <t>■ Type of service:</t>
  </si>
  <si>
    <t>Web</t>
  </si>
  <si>
    <t>■ Programming language:</t>
  </si>
  <si>
    <t>■ Framework:</t>
  </si>
  <si>
    <t>■ Server or serverless:</t>
  </si>
  <si>
    <t>Server</t>
  </si>
  <si>
    <t>■ Infrastructure diagram:</t>
  </si>
  <si>
    <t>Link to diagram</t>
  </si>
  <si>
    <t>■ Infrastructure cost:</t>
  </si>
  <si>
    <t>Link to AWS/GCP... calculator</t>
  </si>
  <si>
    <t>■ Use IaC (infrastructure as code) tool to build environment:</t>
  </si>
  <si>
    <t>Terraform</t>
  </si>
  <si>
    <t>■ Web rendering method:</t>
  </si>
  <si>
    <t>Server Side Redering (SSR)</t>
  </si>
  <si>
    <t>■ Use admin template tool:</t>
  </si>
  <si>
    <t>LaravelAdmin</t>
  </si>
  <si>
    <t>■ Apply performance test:</t>
  </si>
  <si>
    <t>Yes</t>
  </si>
  <si>
    <t>■ Suggest services for specific modules/functions:</t>
  </si>
  <si>
    <t>I. Effort</t>
  </si>
  <si>
    <t>No.</t>
  </si>
  <si>
    <t>Role</t>
  </si>
  <si>
    <t>Total Effort (MM)</t>
  </si>
  <si>
    <t>Note</t>
  </si>
  <si>
    <t>Backend</t>
  </si>
  <si>
    <t>Frontend</t>
  </si>
  <si>
    <t>Native App</t>
  </si>
  <si>
    <t>QA</t>
  </si>
  <si>
    <t>AI</t>
  </si>
  <si>
    <t>Infrastructure</t>
  </si>
  <si>
    <t>Design UI/UX</t>
  </si>
  <si>
    <t>Specification</t>
  </si>
  <si>
    <t>Total</t>
  </si>
  <si>
    <t>II. Scope &amp; Assumptions</t>
  </si>
  <si>
    <t>1. In Scope</t>
  </si>
  <si>
    <t>The scope for estimate does include the following items:</t>
  </si>
  <si>
    <t>#</t>
  </si>
  <si>
    <t>Item</t>
  </si>
  <si>
    <t>Description</t>
  </si>
  <si>
    <t>2. Out of Scope</t>
  </si>
  <si>
    <t>The estimation does not include the following items:</t>
  </si>
  <si>
    <t>3. Assumptions</t>
  </si>
  <si>
    <t>3-1. Overall Assumptions</t>
  </si>
  <si>
    <t>→ Japanese Translation 日本語訳（自動翻訳）</t>
  </si>
  <si>
    <t>Applicable degree</t>
  </si>
  <si>
    <t>Assumptions</t>
  </si>
  <si>
    <t>Reason for not applicable</t>
  </si>
  <si>
    <t>Accuracy of this estimation</t>
  </si>
  <si>
    <t>Super Rough</t>
  </si>
  <si>
    <t>見積もりの精度</t>
  </si>
  <si>
    <r>
      <rPr>
        <rFont val="Arial"/>
      </rPr>
      <t xml:space="preserve">Roles and expected outputs of each role
</t>
    </r>
    <r>
      <rPr>
        <rFont val="Arial"/>
        <color rgb="FF999999"/>
      </rPr>
      <t xml:space="preserve">(What tasks will each role be responsible for, and what will they output?)
</t>
    </r>
    <r>
      <rPr>
        <rFont val="Arial"/>
      </rPr>
      <t>Ref: Responsibility of each role: [JP] Onboarding for JPPM</t>
    </r>
  </si>
  <si>
    <t>PSM</t>
  </si>
  <si>
    <t>各役割の役割と期待される成果
（各役割はどのようなタスクを担当し、どのような成果を出すのか？）
参考：各役割の責任：[JP] Onboarding for JPPM</t>
  </si>
  <si>
    <t>BrSE</t>
  </si>
  <si>
    <t>Communicator</t>
  </si>
  <si>
    <r>
      <rPr>
        <rFont val="Arial"/>
      </rPr>
      <t xml:space="preserve">Roles and expected output from JP members
</t>
    </r>
    <r>
      <rPr>
        <rFont val="Arial"/>
        <color rgb="FFB7B7B7"/>
      </rPr>
      <t>(What are you expecting to get from JP side?)</t>
    </r>
  </si>
  <si>
    <r>
      <rPr>
        <rFont val="Arial"/>
        <sz val="10.0"/>
      </rPr>
      <t xml:space="preserve">JPメンバーの役割と期待される成果
</t>
    </r>
    <r>
      <rPr>
        <rFont val="Arial"/>
        <color rgb="FFB7B7B7"/>
        <sz val="10.0"/>
      </rPr>
      <t>（JP側から何を期待していますか？）</t>
    </r>
  </si>
  <si>
    <r>
      <rPr>
        <rFont val="Arial"/>
      </rPr>
      <t xml:space="preserve">Schedule and expected inputs and outputs at each milestone
</t>
    </r>
    <r>
      <rPr>
        <rFont val="Arial"/>
        <color rgb="FF999999"/>
      </rPr>
      <t xml:space="preserve">(When and what will be output during the project period? When are dependent inputs expected to be completed/received?) </t>
    </r>
    <r>
      <rPr>
        <rFont val="Arial"/>
      </rPr>
      <t xml:space="preserve">
</t>
    </r>
    <r>
      <rPr>
        <rFont val="Arial"/>
        <i/>
      </rPr>
      <t>Example: timeline for receiving existing database structure from customer and timeline for starting development</t>
    </r>
  </si>
  <si>
    <t>Must have</t>
  </si>
  <si>
    <r>
      <rPr>
        <rFont val="Arial"/>
        <sz val="10.0"/>
      </rPr>
      <t xml:space="preserve">各マイルストーンにおけるスケジュールと予想される入出力
</t>
    </r>
    <r>
      <rPr>
        <rFont val="Arial"/>
        <color rgb="FFB7B7B7"/>
        <sz val="10.0"/>
      </rPr>
      <t>(プロジェクト期間中にいつ、どのような出力が行われるか？依存する入出力はいつ完了／受領される予定か？)</t>
    </r>
    <r>
      <rPr>
        <rFont val="Arial"/>
        <sz val="10.0"/>
      </rPr>
      <t xml:space="preserve">
例: 顧客から既存のデータベース構造を受け取るまでのタイムラインと開発開始までのタイムライン</t>
    </r>
  </si>
  <si>
    <t>Number of screens</t>
  </si>
  <si>
    <t>スクリーン数</t>
  </si>
  <si>
    <t>Number of APIs per screen</t>
  </si>
  <si>
    <t>画面あたりのAPI数</t>
  </si>
  <si>
    <t>Interfaces</t>
  </si>
  <si>
    <t>インターフェース</t>
  </si>
  <si>
    <t>Forms ("Cho-hyo" in Japanese)</t>
  </si>
  <si>
    <t>帳簿（ちょうひょう）</t>
  </si>
  <si>
    <r>
      <rPr>
        <rFont val="Arial"/>
      </rPr>
      <t xml:space="preserve">System scale
</t>
    </r>
    <r>
      <rPr>
        <rFont val="Arial"/>
        <color rgb="FF999999"/>
      </rPr>
      <t>(How do you envision the number of users and infrastructure configuration? *If specified by the customer, attach a link to the customer request.)</t>
    </r>
  </si>
  <si>
    <r>
      <rPr>
        <rFont val="Arial"/>
      </rPr>
      <t xml:space="preserve">システム規模
</t>
    </r>
    <r>
      <rPr>
        <rFont val="Arial"/>
        <color rgb="FFB7B7B7"/>
      </rPr>
      <t>（ユーザー数とインフラ構成はどのように想定されていますか？ *お客様からご指定がある場合は、お客様リクエストへのリンクを添付してください。）</t>
    </r>
  </si>
  <si>
    <r>
      <rPr>
        <rFont val="Arial"/>
      </rPr>
      <t xml:space="preserve">Non-functional requirements
</t>
    </r>
    <r>
      <rPr>
        <rFont val="Arial"/>
        <color rgb="FF999999"/>
      </rPr>
      <t>(What do you envision for SLA and security requirements? *If specified by the customer, attach a link to the customer request.)</t>
    </r>
  </si>
  <si>
    <r>
      <rPr>
        <rFont val="Arial"/>
        <sz val="10.0"/>
      </rPr>
      <t xml:space="preserve">非機能要件
</t>
    </r>
    <r>
      <rPr>
        <rFont val="Arial"/>
        <color rgb="FFB7B7B7"/>
        <sz val="10.0"/>
      </rPr>
      <t>(SLAとセキュリティ要件についてはどのようなことを想定していますか？ *お客様からご指定がある場合は、お客様からのリクエストへのリンクを添付してください。)</t>
    </r>
  </si>
  <si>
    <r>
      <rPr>
        <rFont val="Arial"/>
      </rPr>
      <t xml:space="preserve">Buffer rate (%) and its breakdown
</t>
    </r>
    <r>
      <rPr>
        <rFont val="Arial"/>
        <color rgb="FF999999"/>
      </rPr>
      <t>(Buffer for risk, such as change request, bugs and issue solving, technical difficulty only)</t>
    </r>
  </si>
  <si>
    <r>
      <rPr>
        <rFont val="Arial"/>
        <sz val="10.0"/>
      </rPr>
      <t xml:space="preserve">バッファ率（%）とその内訳
</t>
    </r>
    <r>
      <rPr>
        <rFont val="Arial"/>
        <color rgb="FFB7B7B7"/>
        <sz val="10.0"/>
      </rPr>
      <t>（変更要求、バグや問題解決、技術的困難などのリスクに対するバッファのみ）</t>
    </r>
  </si>
  <si>
    <t>3-2. Detail Assumptions per each role</t>
  </si>
  <si>
    <t>Develop new system or Develop in existing System?</t>
  </si>
  <si>
    <t>Architecture (microservices, monolithic, multitenant)</t>
  </si>
  <si>
    <t>Scope of work</t>
  </si>
  <si>
    <t xml:space="preserve">Unit Test </t>
  </si>
  <si>
    <t>Provide system Design</t>
  </si>
  <si>
    <t>Provide API Design</t>
  </si>
  <si>
    <t>Provide DB Design</t>
  </si>
  <si>
    <t>Integrate CI/CD</t>
  </si>
  <si>
    <t>Intergrate third parties services</t>
  </si>
  <si>
    <t>Develop payment related functions</t>
  </si>
  <si>
    <t>Migrate data from old system</t>
  </si>
  <si>
    <t>Production Deployment</t>
  </si>
  <si>
    <t>Other assumed risks and assumptions</t>
  </si>
  <si>
    <t>Buffer rate (%)</t>
  </si>
  <si>
    <t>Architectural assumptions
- Frameworks and libraries used
- Whether SSR or CSR is applied</t>
  </si>
  <si>
    <t>Browser and versions (Chrome, Safari, IE etc)</t>
  </si>
  <si>
    <t>Responsive design</t>
  </si>
  <si>
    <t>State management</t>
  </si>
  <si>
    <t>Automated testing</t>
  </si>
  <si>
    <t>Unit test</t>
  </si>
  <si>
    <t>SEO(Google Analytics, OGP tag, SSR)</t>
  </si>
  <si>
    <t>Mobile</t>
  </si>
  <si>
    <t>OS and versions (iOS, Android)</t>
  </si>
  <si>
    <t>Play store / App store publish</t>
  </si>
  <si>
    <t>Productivity</t>
  </si>
  <si>
    <t>Test case creation</t>
  </si>
  <si>
    <t>[               ] case/1 man-day</t>
  </si>
  <si>
    <t>Test execution and bug identification</t>
  </si>
  <si>
    <t>Final inspection effort in total man-hours</t>
  </si>
  <si>
    <t>[               ] %</t>
  </si>
  <si>
    <t>Expected bug occurrence rate</t>
  </si>
  <si>
    <t>Testing scope</t>
  </si>
  <si>
    <t>Function test</t>
  </si>
  <si>
    <t>Integration test</t>
  </si>
  <si>
    <t>E2E test (Screen, API end point)</t>
  </si>
  <si>
    <t>Regression test</t>
  </si>
  <si>
    <t>リグレッションテスト</t>
  </si>
  <si>
    <t>Other test</t>
  </si>
  <si>
    <t>Environments to be tested and range of test cases covered for each environment</t>
  </si>
  <si>
    <t>Data flow in the AI scope</t>
  </si>
  <si>
    <t>AI スコープ内のデータ フロー</t>
  </si>
  <si>
    <t/>
  </si>
  <si>
    <t>Architecture in the AI ​​scope</t>
  </si>
  <si>
    <t>AIの範囲におけるアーキテクチャ</t>
  </si>
  <si>
    <t>AI models and AI services</t>
  </si>
  <si>
    <t>AIモデルとAIサービス</t>
  </si>
  <si>
    <t>Estimated cost of AI infrastructure (at the time of development and operation after release)</t>
  </si>
  <si>
    <t>AIインフラの概算費用（開発時、リリース後の運用時）</t>
  </si>
  <si>
    <t>Possibility of training (tuning) of AI models</t>
  </si>
  <si>
    <t>AIモデルのトレーニング（チューニング）が可能</t>
  </si>
  <si>
    <t>Number of data required when training (tuning) an AI model</t>
  </si>
  <si>
    <t>AIモデルのトレーニング（チューニング）時に必要なデータ数</t>
  </si>
  <si>
    <t>Prerequisites for implementing AI models and degree of difficulty in realizing them</t>
  </si>
  <si>
    <t>AIモデル導入の前提条件と実現難易度</t>
  </si>
  <si>
    <t>Other assumed risks and assumptions (if not available, write “none”)</t>
  </si>
  <si>
    <t>その他の想定されるリスクと仮定 (利用できない場合は「なし」と記入してください)</t>
  </si>
  <si>
    <t>Buffer value (%)</t>
  </si>
  <si>
    <t>Building environment; Dev, Stag, UAT, Prod etc</t>
  </si>
  <si>
    <t>Cloud service selection and architecture</t>
  </si>
  <si>
    <t>Selection and management of containers and virtual machines (VM)</t>
  </si>
  <si>
    <t>Database</t>
  </si>
  <si>
    <t>Network design and security measures</t>
  </si>
  <si>
    <t>Caching (CDN, redis, In-memory caching system, etc.)</t>
  </si>
  <si>
    <t>CI/CD</t>
  </si>
  <si>
    <t>Monitoring and alerting</t>
  </si>
  <si>
    <t>Backup and recovery strategy</t>
  </si>
  <si>
    <t>Performance testing and load testing</t>
  </si>
  <si>
    <t>Other assumptions for non-functional requirements (availability, performance/scalability, operational maintainability, portability, things to be done to ensure security etc)</t>
  </si>
  <si>
    <t>Production Deployment  and Maintenance</t>
  </si>
  <si>
    <t xml:space="preserve">Other assumed risks and assumptions </t>
  </si>
  <si>
    <t>Design</t>
  </si>
  <si>
    <t>Wireframe</t>
  </si>
  <si>
    <t>Mockup</t>
  </si>
  <si>
    <t>Other</t>
  </si>
  <si>
    <t>III. Deliveriables List</t>
  </si>
  <si>
    <t>Deliveriable Item</t>
  </si>
  <si>
    <t>Delivery Schedule</t>
  </si>
  <si>
    <t>Language</t>
  </si>
  <si>
    <t>Functional Requirement
機能一覧</t>
  </si>
  <si>
    <t>End of Requirement Definition</t>
  </si>
  <si>
    <t>JP</t>
  </si>
  <si>
    <t>Spec Basic design
基本設計書（簡易版）</t>
  </si>
  <si>
    <t>End of Basic Design</t>
  </si>
  <si>
    <t>EN</t>
  </si>
  <si>
    <t>Source Code</t>
  </si>
  <si>
    <t>After UAT</t>
  </si>
  <si>
    <t>N/A</t>
  </si>
  <si>
    <t>.......</t>
  </si>
  <si>
    <t>........</t>
  </si>
  <si>
    <t>IV. Documents List</t>
  </si>
  <si>
    <t>Document Name</t>
  </si>
  <si>
    <t>PIC</t>
  </si>
  <si>
    <t>Tool/ Doc Type</t>
  </si>
  <si>
    <t>Output Sample</t>
  </si>
  <si>
    <t>SJP (PM)</t>
  </si>
  <si>
    <t>Japanese</t>
  </si>
  <si>
    <t>Excel</t>
  </si>
  <si>
    <t>Non functional Requirement list
非機能要件定義書</t>
  </si>
  <si>
    <t>SJP(JP Engineer)</t>
  </si>
  <si>
    <t>As is business flow
既存業務フロー</t>
  </si>
  <si>
    <t>Docs</t>
  </si>
  <si>
    <t>To be business flow
新規の想定業務フロー</t>
  </si>
  <si>
    <t>Screen List
画面一覧</t>
  </si>
  <si>
    <t>Screen flow
画面遷移図</t>
  </si>
  <si>
    <t>SJP (Designer)</t>
  </si>
  <si>
    <t>Figma</t>
  </si>
  <si>
    <t>Wireframe
ワイヤーフレーム</t>
  </si>
  <si>
    <t>Design concept
デザインコンセプト</t>
  </si>
  <si>
    <t>Miro</t>
  </si>
  <si>
    <t>Prototype
プロトタイプ</t>
  </si>
  <si>
    <t>Protopie</t>
  </si>
  <si>
    <t>Design UI/UX
デザインカンプ</t>
  </si>
  <si>
    <t>システム構成図</t>
  </si>
  <si>
    <t>ERD diagram
ERD図</t>
  </si>
  <si>
    <t>SVN</t>
  </si>
  <si>
    <t>English &amp; Japanese (Tool)</t>
  </si>
  <si>
    <t>https://sal.vn/JfUEt9</t>
  </si>
  <si>
    <t>Server見積に含まれている
開発フェーズの成果物</t>
  </si>
  <si>
    <t>Database design
データベース設計</t>
  </si>
  <si>
    <t>https://sal.vn/Qiljbw</t>
  </si>
  <si>
    <t>System design
システム設計</t>
  </si>
  <si>
    <t>SJP</t>
  </si>
  <si>
    <t>Spec design見積に含まれている
開発フェーズの成果物</t>
  </si>
  <si>
    <t>Screen Specification
画面仕様書</t>
  </si>
  <si>
    <t>SVN / SJP (Designer)</t>
  </si>
  <si>
    <t>MoMorph</t>
  </si>
  <si>
    <t>https://sal.vn/zzeRzq</t>
  </si>
  <si>
    <t>Test Plan
テスト計画書</t>
  </si>
  <si>
    <t>Test case &amp; Result
テスト仕様書</t>
  </si>
  <si>
    <t>https://sal.vn/tFxiD8</t>
  </si>
  <si>
    <t>QA見積に含まれている
開発フェーズの成果物</t>
  </si>
  <si>
    <t>Infra structure
インフラ構成図</t>
  </si>
  <si>
    <t>Slide</t>
  </si>
  <si>
    <t>Infra見積に含まれている
開発フェーズの成果物</t>
  </si>
  <si>
    <t>外部I/F定義書</t>
  </si>
  <si>
    <t>SJP(JP Engineerr) &amp; SVN</t>
  </si>
  <si>
    <t>Japanese &amp; English</t>
  </si>
  <si>
    <t>EDI,CSV等の連携仕様</t>
  </si>
  <si>
    <t>Sequence Diagram
シーケンス図</t>
  </si>
  <si>
    <t>Migration Plan
移行計画書</t>
  </si>
  <si>
    <t>Release Plan
リリース計画書</t>
  </si>
  <si>
    <t>Operations Design Document and Manual
運用設計書及びマニュアル</t>
  </si>
  <si>
    <t>Total (MM)</t>
  </si>
  <si>
    <t>Category</t>
  </si>
  <si>
    <t>Screen・Feature</t>
  </si>
  <si>
    <t>Task</t>
  </si>
  <si>
    <t>Effort（Man-days）</t>
  </si>
  <si>
    <t>DesignUX/UI</t>
  </si>
  <si>
    <t>Implement</t>
  </si>
  <si>
    <t>FixBug</t>
  </si>
  <si>
    <t>Unit Test</t>
  </si>
  <si>
    <t>共通</t>
  </si>
  <si>
    <t>ログイン・ログアウト</t>
  </si>
  <si>
    <t>WF再発行　メール送信</t>
  </si>
  <si>
    <t>WF再設定</t>
  </si>
  <si>
    <t>Contractor</t>
  </si>
  <si>
    <t>契約者情報登録</t>
  </si>
  <si>
    <t>契約情報登録</t>
  </si>
  <si>
    <t>決済情報登録</t>
  </si>
  <si>
    <t>トップ</t>
  </si>
  <si>
    <t>Manager一覧</t>
  </si>
  <si>
    <t>Manager登録・編集・削除</t>
  </si>
  <si>
    <t>Manager</t>
  </si>
  <si>
    <t>アカウント登録</t>
  </si>
  <si>
    <t>グループ一覧</t>
  </si>
  <si>
    <t>グループ登録・編集・削除</t>
  </si>
  <si>
    <t>Managerカレンダー</t>
  </si>
  <si>
    <t>トレーニング登録・編集</t>
  </si>
  <si>
    <t>イベント登録・編集</t>
  </si>
  <si>
    <t>トレーニングアイテム一覧</t>
  </si>
  <si>
    <t>トレーニングアイテム登録・編集・削除</t>
  </si>
  <si>
    <t>Athlete一覧</t>
  </si>
  <si>
    <t>Athlete登録・削除</t>
  </si>
  <si>
    <t>各種情報推移</t>
  </si>
  <si>
    <t>目標登録</t>
  </si>
  <si>
    <t>パフォーマンス登録</t>
  </si>
  <si>
    <t>推奨摂取栄養価表示・ダウンロード</t>
  </si>
  <si>
    <t>アスリートカレンダー</t>
  </si>
  <si>
    <t>グループメッセージ</t>
  </si>
  <si>
    <t>退会</t>
  </si>
  <si>
    <t>Admin</t>
  </si>
  <si>
    <t>加盟コントラクター承認</t>
  </si>
  <si>
    <t>競技団体告知登録</t>
  </si>
  <si>
    <t>問い合わせ対応</t>
  </si>
  <si>
    <t>ユーザー情報管理</t>
  </si>
  <si>
    <t>契約情報管理</t>
  </si>
  <si>
    <t>請求情報管理</t>
  </si>
  <si>
    <t>お知らせ登録</t>
  </si>
  <si>
    <t>マスタデータ登録</t>
  </si>
  <si>
    <t>システムメンテナンス</t>
  </si>
  <si>
    <t>システムバックアップ</t>
  </si>
  <si>
    <t>Native(iOS/Android)</t>
  </si>
  <si>
    <t xml:space="preserve">iOS </t>
  </si>
  <si>
    <t>Android</t>
  </si>
  <si>
    <t>アカウント</t>
  </si>
  <si>
    <t>A0001 ログイン</t>
  </si>
  <si>
    <t>A0005 アカウント新規登録</t>
  </si>
  <si>
    <t>A0002 PW再発行</t>
  </si>
  <si>
    <t>A0003 PW再設定</t>
  </si>
  <si>
    <t>情報推移</t>
  </si>
  <si>
    <t>A0011 各種情報推移</t>
  </si>
  <si>
    <t>メニュー</t>
  </si>
  <si>
    <t>A0009 メニュー検索 (popup)</t>
  </si>
  <si>
    <t>A0009 メニュー登録・修正</t>
  </si>
  <si>
    <t>カレンダー</t>
  </si>
  <si>
    <t>A0012 アスリートカレンダー</t>
  </si>
  <si>
    <t>A0007トレーニング状況登録</t>
  </si>
  <si>
    <t>A0010 栄養パランス</t>
  </si>
  <si>
    <t>A0012 シーズン修正 (popup)</t>
  </si>
  <si>
    <t>目標</t>
  </si>
  <si>
    <t>A0006 目標登録</t>
  </si>
  <si>
    <t>身体状況</t>
  </si>
  <si>
    <t>A0008 身体状況登録</t>
  </si>
  <si>
    <t>体重計からBluetooth取り込む</t>
  </si>
  <si>
    <t>メッセージ</t>
  </si>
  <si>
    <t>A0013 グループメッセージ</t>
  </si>
  <si>
    <t>A0016 グループメッセージ詳細</t>
  </si>
  <si>
    <t>Myページ</t>
  </si>
  <si>
    <t>A0004 Myページ</t>
  </si>
  <si>
    <t>退会 Deactive</t>
  </si>
  <si>
    <t>A0005 基本情報登録</t>
  </si>
  <si>
    <t>Create Material themes for App</t>
  </si>
  <si>
    <t>Base Application + Setup API</t>
  </si>
  <si>
    <t>Feature</t>
  </si>
  <si>
    <t>ESTIMATION FOR AWS</t>
  </si>
  <si>
    <t>* Dữ liệu trong bảng chỉ mang tính chất tham khảo.</t>
  </si>
  <si>
    <t>DEVELOPMENT</t>
  </si>
  <si>
    <t>STAGING</t>
  </si>
  <si>
    <t>PRODUCTION</t>
  </si>
  <si>
    <t>Effort（Man-hours）</t>
  </si>
  <si>
    <t>Test/Fix</t>
  </si>
  <si>
    <t>Designing Infra</t>
  </si>
  <si>
    <t>Infrastructure architecture</t>
  </si>
  <si>
    <t>Design + est cost infra</t>
  </si>
  <si>
    <t>Estimate infrastructure cost and performance system</t>
  </si>
  <si>
    <t>Config AWS account</t>
  </si>
  <si>
    <t>Create &amp; Config AWS Account with AWS Organization</t>
  </si>
  <si>
    <t>Centrally manage and govern your environment</t>
  </si>
  <si>
    <t>Domain</t>
  </si>
  <si>
    <t>Create domain on AWS or Create hosted zones and add NS record to Japan site for management</t>
  </si>
  <si>
    <t>Manage dns</t>
  </si>
  <si>
    <t>Building AWS Environment</t>
  </si>
  <si>
    <t>Network</t>
  </si>
  <si>
    <t>- VPC</t>
  </si>
  <si>
    <t>Network for AWS</t>
  </si>
  <si>
    <t>- Config Subnets (Private &amp; Public)</t>
  </si>
  <si>
    <t>- ACL for Private &amp; Public</t>
  </si>
  <si>
    <t>- VPC Endpoint</t>
  </si>
  <si>
    <t>- Setting EIPs</t>
  </si>
  <si>
    <t>- NAT gateway, Internet Gateway &amp; Add Routing</t>
  </si>
  <si>
    <t>Route 53</t>
  </si>
  <si>
    <t>- Create ACM/SSL</t>
  </si>
  <si>
    <t>Manage customer's domain</t>
  </si>
  <si>
    <t>- Create records/sub domain</t>
  </si>
  <si>
    <t>IAM User</t>
  </si>
  <si>
    <t>- IAM-User</t>
  </si>
  <si>
    <t>Grant permission for user to access AWS console</t>
  </si>
  <si>
    <t>- IAM-Group (Readonly, Admin, Power, Development)</t>
  </si>
  <si>
    <t>- IAM-Policy for User &amp; Group</t>
  </si>
  <si>
    <t>RDS Aurora</t>
  </si>
  <si>
    <t>- Create Security Group, Subnet group, Parameter group</t>
  </si>
  <si>
    <t>Database SQL</t>
  </si>
  <si>
    <t>- Create RDS Cluster</t>
  </si>
  <si>
    <t>- Create RDS Cluster Instance</t>
  </si>
  <si>
    <t>- Setting schedule backup database</t>
  </si>
  <si>
    <t>RDS</t>
  </si>
  <si>
    <t>- Create RDS Instance</t>
  </si>
  <si>
    <t>Dynamodb</t>
  </si>
  <si>
    <t>- Create table</t>
  </si>
  <si>
    <t>Database NoSQL</t>
  </si>
  <si>
    <t>- Create IAM role</t>
  </si>
  <si>
    <t>Elasticache</t>
  </si>
  <si>
    <t>Redis</t>
  </si>
  <si>
    <t>- Create Cluster</t>
  </si>
  <si>
    <t>- Setting schedule backup redis</t>
  </si>
  <si>
    <t>Cognito</t>
  </si>
  <si>
    <t>- Create user pool</t>
  </si>
  <si>
    <t>Authentication - SSO</t>
  </si>
  <si>
    <t>- Sign in through external federated identity providers</t>
  </si>
  <si>
    <t>S3 for application</t>
  </si>
  <si>
    <t>- Create bucket and setting S3 policy</t>
  </si>
  <si>
    <t>Store static files of Application</t>
  </si>
  <si>
    <t>- S3 setting event</t>
  </si>
  <si>
    <t>S3 for log storage</t>
  </si>
  <si>
    <t>Store logs of ALB, CloudFront, and CloudTrail</t>
  </si>
  <si>
    <t>SNS</t>
  </si>
  <si>
    <t>- Create topic</t>
  </si>
  <si>
    <t>Push notification</t>
  </si>
  <si>
    <t>- Setting policy, subscribe for alarm</t>
  </si>
  <si>
    <t>SSL</t>
  </si>
  <si>
    <t>- Request certificate in ACM</t>
  </si>
  <si>
    <t>Certificate for domain</t>
  </si>
  <si>
    <t>Cloudfront for ALB</t>
  </si>
  <si>
    <t>- Create distribution, create origin</t>
  </si>
  <si>
    <t>Setting content delivery network (CDN)</t>
  </si>
  <si>
    <t>- Create cache policy</t>
  </si>
  <si>
    <t>- Setting behavior</t>
  </si>
  <si>
    <t>Cloudfront for Frontend</t>
  </si>
  <si>
    <t>Lambda for Application</t>
  </si>
  <si>
    <t>- Create function</t>
  </si>
  <si>
    <t>Handles certain business logic of the system</t>
  </si>
  <si>
    <t>- Deploy function</t>
  </si>
  <si>
    <t>Lightsail Mysql</t>
  </si>
  <si>
    <t>- Create Database Mysql</t>
  </si>
  <si>
    <t>AWS Lightsail MySQL is a managed database service that simplifies setting up, managing, and scaling MySQL databases in the cloud</t>
  </si>
  <si>
    <t>- Setting Database</t>
  </si>
  <si>
    <t>- Schedule backup database</t>
  </si>
  <si>
    <t>Lightsail Instance</t>
  </si>
  <si>
    <t>- Create Instance</t>
  </si>
  <si>
    <t>AWS Lightsail Instance is a virtual server that provides simplified cloud hosting with predictable pricing.</t>
  </si>
  <si>
    <t xml:space="preserve">- Install and setting </t>
  </si>
  <si>
    <t>- Backup Insntace</t>
  </si>
  <si>
    <t>Lightsail Bucket</t>
  </si>
  <si>
    <t>- Create bucket</t>
  </si>
  <si>
    <t>AWS Lightsail Bucket provides scalable object storage for storing and managing data like images, videos, and backups.</t>
  </si>
  <si>
    <t>Lightsail Load Balancer</t>
  </si>
  <si>
    <t>- Create Load Balancer</t>
  </si>
  <si>
    <t>AWS Lightsail Load Balancer distributes traffic across instances for high availability and automatic scaling.</t>
  </si>
  <si>
    <t>- Setting route, ssl</t>
  </si>
  <si>
    <t>SES</t>
  </si>
  <si>
    <t>- Verify domain - verify email</t>
  </si>
  <si>
    <t>Send email</t>
  </si>
  <si>
    <t>- Move out sandbox (if need)</t>
  </si>
  <si>
    <t>SQS</t>
  </si>
  <si>
    <t>- Create queue</t>
  </si>
  <si>
    <t>Message Queue</t>
  </si>
  <si>
    <t>- Config queue</t>
  </si>
  <si>
    <t>Amplify</t>
  </si>
  <si>
    <t>- Create new app</t>
  </si>
  <si>
    <t>Host your simple marketing website or web application on AWS</t>
  </si>
  <si>
    <t>- Connect to repository</t>
  </si>
  <si>
    <t>- Confirm build configure</t>
  </si>
  <si>
    <t>- Deploy code to amplify</t>
  </si>
  <si>
    <t>Backup</t>
  </si>
  <si>
    <t>- Create Backup plan, Backup vault</t>
  </si>
  <si>
    <t>AWS Backup automates and manages the backup of data across AWS services, ensuring data protection and compliance</t>
  </si>
  <si>
    <t>- Associate with resources</t>
  </si>
  <si>
    <t>OpenSearch</t>
  </si>
  <si>
    <t>- Create domain</t>
  </si>
  <si>
    <t>Setup Search Engine</t>
  </si>
  <si>
    <t>- Config domain</t>
  </si>
  <si>
    <t>API Gateway</t>
  </si>
  <si>
    <t>- Create API Gateway</t>
  </si>
  <si>
    <t>API Gateway acts as a front door for applications, enabling secure and controlled access to backend services by managing and routing API requests</t>
  </si>
  <si>
    <t>- Create resource</t>
  </si>
  <si>
    <t>- Create method</t>
  </si>
  <si>
    <t>- Create stage</t>
  </si>
  <si>
    <t>GuardDuty</t>
  </si>
  <si>
    <t>- Enable</t>
  </si>
  <si>
    <t>Amazon GuardDuty is a threat detection service that continuously monitors your AWS accounts and workloads for malicious activity and unauthorized behavior</t>
  </si>
  <si>
    <t>- Setting data sources</t>
  </si>
  <si>
    <t>- Setting findings and notifications</t>
  </si>
  <si>
    <t>Config</t>
  </si>
  <si>
    <t>AWS Config enables you to assess, audit, and evaluate the configurations of your AWS resources to ensure compliance and secure management</t>
  </si>
  <si>
    <t>- Setting rules and notifications</t>
  </si>
  <si>
    <t>BedRock</t>
  </si>
  <si>
    <t>- Enable access model</t>
  </si>
  <si>
    <t>AWS Bedrock is a fully managed service that helps build and scale generative AI applications using pre-built models from leading AI providers</t>
  </si>
  <si>
    <t>- Setup permission</t>
  </si>
  <si>
    <t>WAF</t>
  </si>
  <si>
    <t>- Create Web ACL</t>
  </si>
  <si>
    <t>Web application firewall for CloudFront, ALB</t>
  </si>
  <si>
    <t>- Config rule</t>
  </si>
  <si>
    <t>QuickSight</t>
  </si>
  <si>
    <t>- Create QuickSight</t>
  </si>
  <si>
    <t>Amazon QuickSight is a fast, cloud-powered business intelligence service that makes it easy to create and publish interactive dashboards</t>
  </si>
  <si>
    <t>- Config and connect Data Source</t>
  </si>
  <si>
    <t>- Add user and permission</t>
  </si>
  <si>
    <t>Bastion Host</t>
  </si>
  <si>
    <t>- Create Security group</t>
  </si>
  <si>
    <t>Configured to withstand any network attacks</t>
  </si>
  <si>
    <t>- Create Instance EC2</t>
  </si>
  <si>
    <t>- Setting server</t>
  </si>
  <si>
    <t>Container Registry (ECR)</t>
  </si>
  <si>
    <t>- Create and setting life cycle</t>
  </si>
  <si>
    <t>Create a repository (store images)</t>
  </si>
  <si>
    <t>Cluster ECS</t>
  </si>
  <si>
    <t>- Create cluster</t>
  </si>
  <si>
    <t>Build &amp; Deploy ECS Service Backend 1</t>
  </si>
  <si>
    <t>- Setting ALB, Target Group for ALB (HTTP &amp; HTTPS)</t>
  </si>
  <si>
    <t>- Security Group for ALB</t>
  </si>
  <si>
    <t>- Push image and deploy services</t>
  </si>
  <si>
    <t>- Create/Setting AutoScale</t>
  </si>
  <si>
    <t>Build &amp; Deploy ECS Service Backend 2</t>
  </si>
  <si>
    <t>Build &amp; Deploy ECS Service Worker</t>
  </si>
  <si>
    <t>- Security Group for Service</t>
  </si>
  <si>
    <t>Build &amp; Deploy ECS Service Batch</t>
  </si>
  <si>
    <t>- Setup ECS schedule</t>
  </si>
  <si>
    <t>AWS Batch</t>
  </si>
  <si>
    <t>- Create computer environment</t>
  </si>
  <si>
    <t>- Create job queue</t>
  </si>
  <si>
    <t>- Setting schedule job</t>
  </si>
  <si>
    <t>CI/CD for  ECS Service Backend 1</t>
  </si>
  <si>
    <t>- Setup Github Action</t>
  </si>
  <si>
    <t>- Setup Code Pipeline</t>
  </si>
  <si>
    <t>- Setup S3 store artifact</t>
  </si>
  <si>
    <t>- Setup Code Build</t>
  </si>
  <si>
    <t>- Setup Code Deploy</t>
  </si>
  <si>
    <t>CI/CD for  ECS Service Worker</t>
  </si>
  <si>
    <t>CI/CD for Cloudfront &amp; S3</t>
  </si>
  <si>
    <t>- Setup Lambda</t>
  </si>
  <si>
    <t>CI/CD for EC2 in AutoScale</t>
  </si>
  <si>
    <t>CI/CD for Serverless Lambda</t>
  </si>
  <si>
    <t>CloudTrail</t>
  </si>
  <si>
    <t>- Create cloudtrail</t>
  </si>
  <si>
    <t>Create cloudtrail store all event history of your AWS account</t>
  </si>
  <si>
    <t>Setting CloudWatch Alarm</t>
  </si>
  <si>
    <t>ECS
Database RDS
Elasticache Redis
ALB
WAF
... etc</t>
  </si>
  <si>
    <t>1. Set CloudWatch Alarm with CPU, Memory, Storage, Latency Read/Write, ...</t>
  </si>
  <si>
    <t xml:space="preserve">Send alarm to Slack
</t>
  </si>
  <si>
    <t>SNS Permision &amp; IAM Role for Lambda</t>
  </si>
  <si>
    <t>SNS &amp; Lambda to Push Notify</t>
  </si>
  <si>
    <t>Coding for Lambda function (Python) send message to Chatwork/Slack</t>
  </si>
  <si>
    <t>Billing/Cost - AWS Budget</t>
  </si>
  <si>
    <t>Document</t>
  </si>
  <si>
    <t>All information about infrastructure, system, configuration, deployment, monitoring</t>
  </si>
  <si>
    <t>ISO/IEC 27001:2013&amp;ISO 9001:2015</t>
  </si>
  <si>
    <t>* Unit: Man-month</t>
  </si>
  <si>
    <t>Requirement Definition</t>
  </si>
  <si>
    <t>Basic Design</t>
  </si>
  <si>
    <t>Detail Design/Coding/Unit Test</t>
  </si>
  <si>
    <t>Intergration Testing/System Test</t>
  </si>
  <si>
    <t>UAT</t>
  </si>
  <si>
    <t>【SJP】Designer</t>
  </si>
  <si>
    <t>【SVN】PL</t>
  </si>
  <si>
    <t>【SVN】BrSE</t>
  </si>
  <si>
    <t>【SVN】Backend Lead</t>
  </si>
  <si>
    <t>【SVN】Backend</t>
  </si>
  <si>
    <t>【SVN】Frontend Lead</t>
  </si>
  <si>
    <t>【SVN】Frontend</t>
  </si>
  <si>
    <t>【SVN】Native-app Lead</t>
  </si>
  <si>
    <t>【SVN】Native-app</t>
  </si>
  <si>
    <t>【SVN】QA Lead</t>
  </si>
  <si>
    <t>【SVN】QA</t>
  </si>
  <si>
    <t>【SVN】Infrastructure</t>
  </si>
  <si>
    <t>【SVN】Designer</t>
  </si>
  <si>
    <t>Total phase</t>
  </si>
  <si>
    <t>Value</t>
  </si>
  <si>
    <t>Coefficient</t>
  </si>
  <si>
    <t xml:space="preserve">
Note</t>
  </si>
  <si>
    <t>Buffer</t>
  </si>
  <si>
    <t>Coefficient*Implement effort</t>
  </si>
  <si>
    <t>Unit Test (for AWS)</t>
  </si>
  <si>
    <t>Fixbug</t>
  </si>
  <si>
    <t>Management</t>
  </si>
  <si>
    <t>Working days in a month</t>
  </si>
  <si>
    <t>Working hours in a day</t>
  </si>
  <si>
    <t xml:space="preserve">* Have to estimate base on qualification of rank 3.5 developer </t>
  </si>
  <si>
    <t>* FrontEnd implement effort includes effort to integrate with backend and markup...etc...</t>
  </si>
  <si>
    <t>Development Strategy</t>
  </si>
  <si>
    <t>Type of service</t>
  </si>
  <si>
    <t>Web Rendering Method</t>
  </si>
  <si>
    <t>Admin template</t>
  </si>
  <si>
    <t>Server/Serverless</t>
  </si>
  <si>
    <t>IaC tool</t>
  </si>
  <si>
    <t>AdminLTE</t>
  </si>
  <si>
    <t>Full feature / MMP</t>
  </si>
  <si>
    <t>Mobile app</t>
  </si>
  <si>
    <t>Client Side Rendering (CSR)</t>
  </si>
  <si>
    <t>FilamentPHP</t>
  </si>
  <si>
    <t>Serverless</t>
  </si>
  <si>
    <t>CloudFormation</t>
  </si>
  <si>
    <t>PWA (Progressive Web App)</t>
  </si>
  <si>
    <t>Pre-Rendering: Server Side Rendering (Universal SSR)</t>
  </si>
  <si>
    <t>Bicep</t>
  </si>
  <si>
    <t>Pre-Rendering: Static Site Generation (SSG)</t>
  </si>
  <si>
    <t>Ansible</t>
  </si>
  <si>
    <t>Dynamic Rendering</t>
  </si>
  <si>
    <t>Chef</t>
  </si>
  <si>
    <t>Puppet</t>
  </si>
  <si>
    <t>CDK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</si>
</sst>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0.0"/>
    <numFmt numFmtId="166" formatCode="mm/yyyy"/>
  </numFmts>
  <fonts count="39">
    <font>
      <sz val="10.0"/>
      <color rgb="FF000000"/>
      <name val="Arial"/>
    </font>
    <font>
      <b/>
      <sz val="24.0"/>
      <name val="Times New Roman"/>
    </font>
    <font/>
    <font>
      <b/>
      <sz val="18.0"/>
      <name val="Times New Roman"/>
    </font>
    <font>
      <sz val="12.0"/>
      <name val="Times New Roman"/>
    </font>
    <font>
      <sz val="12.0"/>
      <color rgb="FF000000"/>
      <name val="Times New Roman"/>
    </font>
    <font>
      <b/>
      <sz val="10.0"/>
      <name val="Times New Roman"/>
    </font>
    <font>
      <b/>
      <sz val="14.0"/>
      <name val="Times New Roman"/>
    </font>
    <font>
      <b/>
      <sz val="12.0"/>
      <name val="Arial"/>
    </font>
    <font>
      <b/>
      <sz val="10.0"/>
      <color rgb="FF000000"/>
      <name val="Arial"/>
    </font>
    <font>
      <sz val="10.0"/>
      <name val="Arial"/>
    </font>
    <font>
      <name val="Arial"/>
    </font>
    <font>
      <color rgb="FF000000"/>
      <name val="Arial"/>
    </font>
    <font>
      <color rgb="FFFF0000"/>
      <name val="Arial"/>
    </font>
    <font>
      <u/>
      <color rgb="FF0000FF"/>
    </font>
    <font>
      <i/>
    </font>
    <font>
      <b/>
      <sz val="10.0"/>
      <name val="Arial"/>
    </font>
    <font>
      <sz val="12.0"/>
      <name val="Arial"/>
    </font>
    <font>
      <b/>
    </font>
    <font>
      <b/>
      <name val="Arial"/>
    </font>
    <font>
      <u/>
      <color rgb="FF0000FF"/>
      <name val="Arial"/>
    </font>
    <font>
      <u/>
      <sz val="10.0"/>
      <color rgb="FF0000FF"/>
      <name val="Arial"/>
    </font>
    <font>
      <name val="Times New Roman"/>
    </font>
    <font>
      <b/>
      <color rgb="FF000000"/>
      <name val="Arial"/>
    </font>
    <font>
      <u/>
      <color rgb="FF1155CC"/>
      <name val="Arial"/>
    </font>
    <font>
      <sz val="18.0"/>
    </font>
    <font>
      <b/>
      <sz val="18.0"/>
      <name val="Arial"/>
    </font>
    <font>
      <b/>
      <sz val="18.0"/>
      <name val="&quot;Times New Roman&quot;"/>
    </font>
    <font>
      <b/>
      <sz val="10.0"/>
      <color rgb="FF000000"/>
      <name val="Times New Roman"/>
    </font>
    <font>
      <i/>
      <sz val="10.0"/>
      <name val="Arial"/>
    </font>
    <font>
      <b/>
      <sz val="11.0"/>
      <name val="Arial"/>
    </font>
    <font>
      <sz val="11.0"/>
      <name val="Arial"/>
    </font>
    <font>
      <sz val="10.0"/>
      <color rgb="FF242424"/>
      <name val="Arial"/>
    </font>
    <font>
      <sz val="10.0"/>
      <color/>
      <name val="Arial"/>
    </font>
    <font>
      <sz val="10.0"/>
      <color rgb="FFFF0000"/>
      <name val="Arial"/>
    </font>
    <font>
      <b/>
      <color rgb="FFFFFFFF"/>
    </font>
    <font>
      <color rgb="FFFFFFFF"/>
    </font>
    <font>
      <sz val="10.0"/>
      <color rgb="FFFFFFFF"/>
      <name val="Arial"/>
    </font>
    <font>
      <b/>
      <sz val="10.0"/>
      <color rgb="FFFFFFFF"/>
    </font>
  </fonts>
  <fills count="18">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CCCCCC"/>
        <bgColor rgb="FFCCCCCC"/>
      </patternFill>
    </fill>
    <fill>
      <patternFill patternType="solid">
        <fgColor rgb="FF0B5394"/>
        <bgColor rgb="FF0B5394"/>
      </patternFill>
    </fill>
    <fill>
      <patternFill patternType="solid">
        <fgColor rgb="FFB45F06"/>
        <bgColor rgb="FFB45F06"/>
      </patternFill>
    </fill>
    <fill>
      <patternFill patternType="solid">
        <fgColor rgb="FFBF9000"/>
        <bgColor rgb="FFBF9000"/>
      </patternFill>
    </fill>
    <fill>
      <patternFill patternType="solid">
        <fgColor rgb="FF38761D"/>
        <bgColor rgb="FF38761D"/>
      </patternFill>
    </fill>
    <fill>
      <patternFill patternType="solid">
        <fgColor rgb="FF134F5C"/>
        <bgColor rgb="FF134F5C"/>
      </patternFill>
    </fill>
    <fill>
      <patternFill patternType="solid">
        <fgColor rgb="FF1155CC"/>
        <bgColor rgb="FF1155CC"/>
      </patternFill>
    </fill>
    <fill>
      <patternFill patternType="solid">
        <fgColor rgb="FF6FA8DC"/>
        <bgColor rgb="FF6FA8DC"/>
      </patternFill>
    </fill>
    <fill>
      <patternFill patternType="solid">
        <fgColor rgb="FF1C4587"/>
        <bgColor rgb="FF1C4587"/>
      </patternFill>
    </fill>
    <fill>
      <patternFill patternType="solid">
        <fgColor rgb="FFE69138"/>
        <bgColor rgb="FFE69138"/>
      </patternFill>
    </fill>
    <fill>
      <patternFill patternType="solid">
        <fgColor rgb="FF6AA84F"/>
        <bgColor rgb="FF6AA84F"/>
      </patternFill>
    </fill>
    <fill>
      <patternFill patternType="solid">
        <fgColor rgb="FF8E7CC3"/>
        <bgColor rgb="FF8E7CC3"/>
      </patternFill>
    </fill>
  </fills>
  <borders count="2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999999"/>
      </right>
      <top style="hair">
        <color rgb="FF000000"/>
      </top>
    </border>
    <border>
      <left style="thin">
        <color rgb="FF999999"/>
      </left>
      <right style="thin">
        <color rgb="FF999999"/>
      </right>
    </border>
    <border>
      <left style="thin">
        <color rgb="FF999999"/>
      </left>
      <right style="thin">
        <color rgb="FF999999"/>
      </right>
      <bottom style="hair">
        <color rgb="FF000000"/>
      </bottom>
    </border>
  </borders>
  <cellStyleXfs count="1">
    <xf borderId="0" fillId="0" fontId="0" numFmtId="0" applyAlignment="1" applyFont="1"/>
  </cellStyleXfs>
  <cellXfs count="28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3" fillId="0" fontId="2" numFmtId="0" xfId="0" applyBorder="1" applyFont="1"/>
    <xf borderId="4" fillId="0" fontId="2" numFmtId="0" xfId="0" applyBorder="1" applyFont="1"/>
    <xf borderId="4" fillId="0" fontId="5" numFmtId="0" xfId="0" applyAlignment="1" applyBorder="1" applyFont="1">
      <alignment readingOrder="0" vertical="center"/>
    </xf>
    <xf borderId="5" fillId="0" fontId="2" numFmtId="0" xfId="0" applyBorder="1" applyFont="1"/>
    <xf borderId="6" fillId="0" fontId="5" numFmtId="0" xfId="0" applyAlignment="1" applyBorder="1" applyFont="1">
      <alignment readingOrder="0" shrinkToFit="0" vertical="center" wrapText="0"/>
    </xf>
    <xf borderId="7" fillId="0" fontId="2" numFmtId="0" xfId="0" applyBorder="1" applyFont="1"/>
    <xf borderId="8" fillId="0" fontId="2" numFmtId="0" xfId="0" applyBorder="1" applyFont="1"/>
    <xf borderId="9" fillId="0" fontId="6" numFmtId="0" xfId="0" applyAlignment="1" applyBorder="1" applyFont="1">
      <alignment readingOrder="0" vertical="center"/>
    </xf>
    <xf borderId="10" fillId="0" fontId="2" numFmtId="0" xfId="0" applyBorder="1" applyFont="1"/>
    <xf borderId="11" fillId="0" fontId="2" numFmtId="0" xfId="0" applyBorder="1" applyFont="1"/>
    <xf borderId="6" fillId="0" fontId="6" numFmtId="0" xfId="0" applyAlignment="1" applyBorder="1" applyFont="1">
      <alignment horizontal="right" readingOrder="0" shrinkToFit="0" vertical="center" wrapText="1"/>
    </xf>
    <xf borderId="12" fillId="0" fontId="7" numFmtId="0" xfId="0" applyAlignment="1" applyBorder="1" applyFont="1">
      <alignment horizontal="center" readingOrder="0" shrinkToFit="0" vertical="center" wrapText="1"/>
    </xf>
    <xf borderId="13" fillId="0" fontId="2" numFmtId="0" xfId="0" applyBorder="1" applyFont="1"/>
    <xf borderId="0" fillId="0" fontId="7" numFmtId="0" xfId="0" applyAlignment="1" applyFont="1">
      <alignment horizontal="center" readingOrder="0" shrinkToFit="0" vertical="center" wrapText="1"/>
    </xf>
    <xf borderId="12"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14" fillId="2" fontId="9" numFmtId="0" xfId="0" applyAlignment="1" applyBorder="1" applyFill="1" applyFont="1">
      <alignment horizontal="center" readingOrder="0" shrinkToFit="0" vertical="center" wrapText="1"/>
    </xf>
    <xf borderId="9" fillId="2" fontId="9" numFmtId="0" xfId="0" applyAlignment="1" applyBorder="1" applyFill="1" applyFont="1">
      <alignment horizontal="center" readingOrder="0" shrinkToFit="0" vertical="center" wrapText="1"/>
    </xf>
    <xf borderId="14" fillId="0" fontId="10" numFmtId="0" xfId="0" applyAlignment="1" applyBorder="1" applyFont="1">
      <alignment horizontal="center" readingOrder="0" shrinkToFit="0" vertical="center" wrapText="1"/>
    </xf>
    <xf borderId="9" fillId="0" fontId="10" numFmtId="0" xfId="0" applyAlignment="1" applyBorder="1" applyFont="1">
      <alignment horizontal="left" readingOrder="0" shrinkToFit="0" vertical="center" wrapText="1"/>
    </xf>
    <xf borderId="9" fillId="0" fontId="10" numFmtId="164" xfId="0" applyAlignment="1" applyBorder="1" applyFont="1" applyNumberFormat="1">
      <alignment horizontal="left" readingOrder="0" shrinkToFit="0" vertical="center" wrapText="1"/>
    </xf>
    <xf borderId="14" fillId="0" fontId="10" numFmtId="164" xfId="0" applyAlignment="1" applyBorder="1" applyFont="1" applyNumberFormat="1">
      <alignment horizontal="left" readingOrder="0" shrinkToFit="0" vertical="center" wrapText="1"/>
    </xf>
    <xf borderId="14"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4" fillId="0" fontId="11" numFmtId="0" xfId="0" applyAlignment="1" applyBorder="1" applyFont="1">
      <alignment horizontal="center" shrinkToFit="0" vertical="center" wrapText="1"/>
    </xf>
    <xf borderId="10" fillId="0" fontId="12" numFmtId="0" xfId="0" applyAlignment="1" applyBorder="1" applyFont="1">
      <alignment shrinkToFit="0" vertical="center" wrapText="1"/>
    </xf>
    <xf borderId="9" fillId="0" fontId="12" numFmtId="0" xfId="0" applyAlignment="1" applyBorder="1" applyFont="1">
      <alignment shrinkToFit="0" vertical="center" wrapText="1"/>
    </xf>
    <xf borderId="9" fillId="0" fontId="11" numFmtId="0" xfId="0" applyAlignment="1" applyBorder="1" applyFont="1">
      <alignment shrinkToFit="0" vertical="center" wrapText="1"/>
    </xf>
    <xf borderId="14" fillId="0" fontId="11" numFmtId="0" xfId="0" applyAlignment="1" applyBorder="1" applyFont="1">
      <alignment shrinkToFit="0" vertical="center" wrapText="1"/>
    </xf>
    <xf borderId="14" fillId="0" fontId="9" numFmtId="0" xfId="0" applyAlignment="1" applyBorder="1" applyFont="1">
      <alignment horizontal="center" readingOrder="0" shrinkToFit="0" vertical="center" wrapText="1"/>
    </xf>
    <xf borderId="10" fillId="0" fontId="0" numFmtId="0" xfId="0" applyAlignment="1" applyBorder="1" applyFont="1">
      <alignment horizontal="left" readingOrder="0" shrinkToFit="0" vertical="center" wrapText="1"/>
    </xf>
    <xf borderId="9" fillId="0" fontId="0" numFmtId="0" xfId="0" applyAlignment="1" applyBorder="1" applyFont="1">
      <alignment horizontal="left" readingOrder="0" shrinkToFit="0" vertical="center" wrapText="1"/>
    </xf>
    <xf borderId="9" fillId="0" fontId="12" numFmtId="49" xfId="0" applyAlignment="1" applyBorder="1" applyFont="1" applyNumberFormat="1">
      <alignment shrinkToFit="0" vertical="center" wrapText="1"/>
    </xf>
    <xf borderId="9" fillId="0" fontId="11" numFmtId="0" xfId="0" applyAlignment="1" applyBorder="1" applyFont="1">
      <alignment readingOrder="0" shrinkToFit="0" vertical="center" wrapText="1"/>
    </xf>
    <xf borderId="14" fillId="0" fontId="11" numFmtId="0" xfId="0" applyAlignment="1" applyBorder="1" applyFont="1">
      <alignment readingOrder="0" shrinkToFit="0" vertical="center" wrapText="1"/>
    </xf>
    <xf borderId="14" fillId="0" fontId="11" numFmtId="0" xfId="0" applyAlignment="1" applyBorder="1" applyFont="1">
      <alignment horizontal="center" readingOrder="0" shrinkToFit="0" vertical="center" wrapText="1"/>
    </xf>
    <xf borderId="9" fillId="0" fontId="12" numFmtId="0" xfId="0" applyAlignment="1" applyBorder="1" applyFont="1">
      <alignment readingOrder="0" shrinkToFit="0" vertical="center" wrapText="1"/>
    </xf>
    <xf borderId="9" fillId="0" fontId="12" numFmtId="49" xfId="0" applyAlignment="1" applyBorder="1" applyFont="1" applyNumberFormat="1">
      <alignment readingOrder="0" shrinkToFit="0" vertical="center" wrapText="1"/>
    </xf>
    <xf borderId="9" fillId="0" fontId="11" numFmtId="164" xfId="0" applyAlignment="1" applyBorder="1" applyFont="1" applyNumberFormat="1">
      <alignment horizontal="left" readingOrder="0" shrinkToFit="0" vertical="center" wrapText="1"/>
    </xf>
    <xf borderId="14" fillId="0" fontId="11" numFmtId="164" xfId="0" applyAlignment="1" applyBorder="1" applyFont="1" applyNumberFormat="1">
      <alignment horizontal="left" readingOrder="0" shrinkToFit="0" vertical="center" wrapText="1"/>
    </xf>
    <xf borderId="14" fillId="0" fontId="11" numFmtId="49" xfId="0" applyAlignment="1" applyBorder="1" applyFont="1" applyNumberFormat="1">
      <alignment horizontal="center" shrinkToFit="0" vertical="center" wrapText="1"/>
    </xf>
    <xf borderId="9" fillId="0" fontId="11" numFmtId="49" xfId="0" applyAlignment="1" applyBorder="1" applyFont="1" applyNumberFormat="1">
      <alignment readingOrder="0" shrinkToFit="0" vertical="center" wrapText="1"/>
    </xf>
    <xf borderId="14" fillId="0" fontId="11" numFmtId="49" xfId="0" applyAlignment="1" applyBorder="1" applyFont="1" applyNumberFormat="1">
      <alignment readingOrder="0" shrinkToFit="0" vertical="center" wrapText="1"/>
    </xf>
    <xf borderId="14" fillId="0" fontId="12" numFmtId="49" xfId="0" applyAlignment="1" applyBorder="1" applyFont="1" applyNumberFormat="1">
      <alignment horizontal="center" readingOrder="0" shrinkToFit="0" vertical="center" wrapText="1"/>
    </xf>
    <xf borderId="9" fillId="0" fontId="13" numFmtId="49" xfId="0" applyAlignment="1" applyBorder="1" applyFont="1" applyNumberFormat="1">
      <alignment readingOrder="0" shrinkToFit="0" vertical="center" wrapText="1"/>
    </xf>
    <xf borderId="12" fillId="0" fontId="7" numFmtId="49" xfId="0" applyAlignment="1" applyBorder="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13" fillId="0" fontId="7" numFmtId="49" xfId="0" applyAlignment="1" applyBorder="1" applyFont="1" applyNumberFormat="1">
      <alignment horizontal="left" readingOrder="0" shrinkToFit="0" vertical="center" wrapText="1"/>
    </xf>
    <xf borderId="15" fillId="0" fontId="7" numFmtId="49" xfId="0" applyAlignment="1" applyBorder="1" applyFont="1" applyNumberFormat="1">
      <alignment horizontal="left" readingOrder="0" shrinkToFit="0" vertical="center" wrapText="1"/>
    </xf>
    <xf borderId="16" fillId="0" fontId="7" numFmtId="49" xfId="0" applyAlignment="1" applyBorder="1" applyFont="1" applyNumberFormat="1">
      <alignment horizontal="left" readingOrder="0" shrinkToFit="0" vertical="center" wrapText="1"/>
    </xf>
    <xf borderId="17" fillId="0" fontId="7" numFmtId="49" xfId="0" applyAlignment="1" applyBorder="1" applyFont="1" applyNumberFormat="1">
      <alignment horizontal="left" readingOrder="0" shrinkToFit="0" vertical="center" wrapText="1"/>
    </xf>
    <xf borderId="1" fillId="0" fontId="1" numFmtId="0" xfId="0" applyAlignment="1" applyBorder="1" applyFont="1">
      <alignment horizontal="center" vertical="center"/>
    </xf>
    <xf borderId="1" fillId="0" fontId="3" numFmtId="0" xfId="0" applyAlignment="1" applyBorder="1" applyFont="1">
      <alignment horizontal="center" shrinkToFit="0" vertical="center" wrapText="1"/>
    </xf>
    <xf borderId="4" fillId="0" fontId="5" numFmtId="0" xfId="0" applyBorder="1" applyFont="1"/>
    <xf borderId="6" fillId="0" fontId="5" numFmtId="0" xfId="0" applyAlignment="1" applyBorder="1" applyFont="1">
      <alignment shrinkToFit="0" wrapText="0"/>
    </xf>
    <xf borderId="9" fillId="0" fontId="6" numFmtId="0" xfId="0" applyAlignment="1" applyBorder="1" applyFont="1">
      <alignment vertical="center"/>
    </xf>
    <xf borderId="0" fillId="0" fontId="2" numFmtId="0" xfId="0" applyAlignment="1" applyFont="1">
      <alignment readingOrder="0"/>
    </xf>
    <xf borderId="0" fillId="0" fontId="14" numFmtId="0" xfId="0" applyAlignment="1" applyFont="1">
      <alignment readingOrder="0"/>
    </xf>
    <xf borderId="0" fillId="0" fontId="2" numFmtId="0" xfId="0" applyAlignment="1" applyFont="1">
      <alignment readingOrder="0" shrinkToFit="0" wrapText="0"/>
    </xf>
    <xf borderId="0" fillId="0" fontId="15" numFmtId="0" xfId="0" applyAlignment="1" applyFont="1">
      <alignment readingOrder="0"/>
    </xf>
    <xf borderId="1" fillId="0" fontId="4" numFmtId="0" xfId="0" applyAlignment="1" applyBorder="1" applyFont="1">
      <alignment vertical="center"/>
    </xf>
    <xf borderId="0" fillId="0" fontId="2" numFmtId="0" xfId="0" applyAlignment="1" applyFont="1">
      <alignment vertical="center"/>
    </xf>
    <xf borderId="6" fillId="0" fontId="2" numFmtId="0" xfId="0" applyBorder="1" applyFont="1"/>
    <xf borderId="6" fillId="0" fontId="5" numFmtId="0" xfId="0" applyAlignment="1" applyBorder="1" applyFont="1">
      <alignment readingOrder="0" shrinkToFit="0" vertical="center" wrapText="0"/>
    </xf>
    <xf borderId="6" fillId="0" fontId="6" numFmtId="0" xfId="0" applyAlignment="1" applyBorder="1" applyFont="1">
      <alignment horizontal="left" readingOrder="0" shrinkToFit="0" vertical="center" wrapText="1"/>
    </xf>
    <xf borderId="0" fillId="0" fontId="11" numFmtId="0" xfId="0" applyAlignment="1" applyFont="1">
      <alignment vertical="center"/>
    </xf>
    <xf borderId="0" fillId="0" fontId="2" numFmtId="0" xfId="0" applyAlignment="1" applyFont="1">
      <alignment shrinkToFit="0" vertical="center" wrapText="1"/>
    </xf>
    <xf borderId="0" fillId="0" fontId="10" numFmtId="0" xfId="0" applyAlignment="1" applyFont="1">
      <alignment vertical="center"/>
    </xf>
    <xf borderId="0" fillId="0" fontId="16" numFmtId="0" xfId="0" applyAlignment="1" applyFont="1">
      <alignment vertical="center"/>
    </xf>
    <xf borderId="0" fillId="0" fontId="10" numFmtId="0" xfId="0" applyAlignment="1" applyFont="1">
      <alignment shrinkToFit="0" vertical="center" wrapText="1"/>
    </xf>
    <xf borderId="14" fillId="2" fontId="9" numFmtId="0" xfId="0" applyAlignment="1" applyBorder="1" applyFill="1" applyFont="1">
      <alignment horizontal="center" shrinkToFit="0" vertical="center" wrapText="1"/>
    </xf>
    <xf borderId="14" fillId="3" fontId="0" numFmtId="0" xfId="0" applyAlignment="1" applyBorder="1" applyFill="1" applyFont="1">
      <alignment horizontal="center" vertical="center"/>
    </xf>
    <xf borderId="14" fillId="0" fontId="10" numFmtId="0" xfId="0" applyAlignment="1" applyBorder="1" applyFont="1">
      <alignment horizontal="left" shrinkToFit="0" vertical="center" wrapText="1"/>
    </xf>
    <xf borderId="14" fillId="0" fontId="10" numFmtId="0" xfId="0" applyAlignment="1" applyBorder="1" applyFont="1">
      <alignment horizontal="center" shrinkToFit="0" vertical="center" wrapText="1"/>
    </xf>
    <xf borderId="0" fillId="0" fontId="1" numFmtId="0" xfId="0" applyAlignment="1" applyFont="1">
      <alignment horizontal="center" vertical="center"/>
    </xf>
    <xf borderId="14" fillId="0" fontId="10" numFmtId="165" xfId="0" applyAlignment="1" applyBorder="1" applyFont="1" applyNumberFormat="1">
      <alignment horizontal="center" shrinkToFit="0" vertical="center" wrapText="1"/>
    </xf>
    <xf borderId="14" fillId="3" fontId="9" numFmtId="0" xfId="0" applyAlignment="1" applyBorder="1" applyFill="1" applyFont="1">
      <alignment horizontal="center" vertical="center"/>
    </xf>
    <xf borderId="14" fillId="0" fontId="16" numFmtId="0" xfId="0" applyAlignment="1" applyBorder="1" applyFont="1">
      <alignment horizontal="center" vertical="center"/>
    </xf>
    <xf borderId="14" fillId="0" fontId="10" numFmtId="0" xfId="0" applyAlignment="1" applyBorder="1" applyFont="1">
      <alignment vertical="center"/>
    </xf>
    <xf borderId="0" fillId="0" fontId="4" numFmtId="0" xfId="0" applyAlignment="1" applyFont="1">
      <alignment vertical="center"/>
    </xf>
    <xf borderId="0" fillId="0" fontId="17" numFmtId="0" xfId="0" applyAlignment="1" applyFont="1">
      <alignment vertical="center"/>
    </xf>
    <xf borderId="0" fillId="0" fontId="11" numFmtId="0" xfId="0" applyAlignment="1" applyFont="1">
      <alignment vertical="center"/>
    </xf>
    <xf borderId="0" fillId="0" fontId="10" numFmtId="0" xfId="0" applyAlignment="1" applyFont="1">
      <alignment shrinkToFit="0" vertical="center" wrapText="0"/>
    </xf>
    <xf borderId="14" fillId="0" fontId="10" numFmtId="0" xfId="0" applyAlignment="1" applyBorder="1" applyFont="1">
      <alignment horizontal="center" readingOrder="0" vertical="center"/>
    </xf>
    <xf borderId="14" fillId="0" fontId="10" numFmtId="0" xfId="0" applyAlignment="1" applyBorder="1" applyFont="1">
      <alignment readingOrder="0" vertical="center"/>
    </xf>
    <xf borderId="14" fillId="0" fontId="10" numFmtId="0" xfId="0" applyAlignment="1" applyBorder="1" applyFont="1">
      <alignment horizontal="center" vertical="center"/>
    </xf>
    <xf borderId="0" fillId="0" fontId="10" numFmtId="0" xfId="0" applyAlignment="1" applyFont="1">
      <alignment horizontal="center" vertical="center"/>
    </xf>
    <xf borderId="0" fillId="0" fontId="16" numFmtId="0" xfId="0" applyAlignment="1" applyFont="1">
      <alignment readingOrder="0" vertical="center"/>
    </xf>
    <xf borderId="0" fillId="0" fontId="9" numFmtId="0" xfId="0" applyAlignment="1" applyFont="1">
      <alignment horizontal="left" readingOrder="0" shrinkToFit="0" vertical="center" wrapText="0"/>
    </xf>
    <xf borderId="0" fillId="0" fontId="9" numFmtId="0" xfId="0" applyAlignment="1" applyFont="1">
      <alignment horizontal="center" shrinkToFit="0" vertical="center" wrapText="1"/>
    </xf>
    <xf borderId="0" fillId="0" fontId="18" numFmtId="0" xfId="0" applyAlignment="1" applyFont="1">
      <alignment readingOrder="0" vertical="center"/>
    </xf>
    <xf borderId="14" fillId="2" fontId="16" numFmtId="0" xfId="0" applyAlignment="1" applyBorder="1" applyFill="1" applyFont="1">
      <alignment horizontal="center" readingOrder="0" vertical="center"/>
    </xf>
    <xf borderId="9" fillId="2" fontId="16" numFmtId="0" xfId="0" applyAlignment="1" applyBorder="1" applyFill="1" applyFont="1">
      <alignment horizontal="center" readingOrder="0" vertical="center"/>
    </xf>
    <xf borderId="14" fillId="2" fontId="19" numFmtId="0" xfId="0" applyAlignment="1" applyBorder="1" applyFill="1" applyFont="1">
      <alignment horizontal="center" shrinkToFit="0" vertical="center" wrapText="1"/>
    </xf>
    <xf borderId="9" fillId="2" fontId="19" numFmtId="0" xfId="0" applyAlignment="1" applyBorder="1" applyFill="1" applyFont="1">
      <alignment horizontal="center" shrinkToFit="0" vertical="center" wrapText="1"/>
    </xf>
    <xf borderId="14" fillId="4" fontId="16" numFmtId="0" xfId="0" applyAlignment="1" applyBorder="1" applyFill="1" applyFont="1">
      <alignment horizontal="center" readingOrder="0" vertical="center"/>
    </xf>
    <xf borderId="9" fillId="4" fontId="16" numFmtId="0" xfId="0" applyAlignment="1" applyBorder="1" applyFill="1" applyFont="1">
      <alignment horizontal="center" vertical="center"/>
    </xf>
    <xf borderId="14" fillId="4" fontId="16" numFmtId="0" xfId="0" applyAlignment="1" applyBorder="1" applyFill="1" applyFont="1">
      <alignment horizontal="center" vertical="center"/>
    </xf>
    <xf borderId="14" fillId="0" fontId="11" numFmtId="0" xfId="0" applyAlignment="1" applyBorder="1" applyFont="1">
      <alignment horizontal="center" readingOrder="0" vertical="center"/>
    </xf>
    <xf borderId="10" fillId="0" fontId="10" numFmtId="0" xfId="0" applyAlignment="1" applyBorder="1" applyFont="1">
      <alignment readingOrder="0" vertical="center"/>
    </xf>
    <xf borderId="9" fillId="0" fontId="10" numFmtId="0" xfId="0" applyAlignment="1" applyBorder="1" applyFont="1">
      <alignment readingOrder="0" vertical="center"/>
    </xf>
    <xf borderId="18" fillId="0" fontId="10" numFmtId="0" xfId="0" applyAlignment="1" applyBorder="1" applyFont="1">
      <alignment horizontal="center" readingOrder="0" vertical="center"/>
    </xf>
    <xf borderId="18" fillId="0" fontId="20" numFmtId="0" xfId="0" applyAlignment="1" applyBorder="1" applyFont="1">
      <alignment readingOrder="0" shrinkToFit="0" vertical="center" wrapText="1"/>
    </xf>
    <xf borderId="18" fillId="0" fontId="21" numFmtId="0" xfId="0" applyAlignment="1" applyBorder="1" applyFont="1">
      <alignment readingOrder="0" shrinkToFit="0" vertical="center" wrapText="1"/>
    </xf>
    <xf borderId="14" fillId="0" fontId="10" numFmtId="0" xfId="0" applyAlignment="1" applyBorder="1" applyFont="1">
      <alignment readingOrder="0" shrinkToFit="0" vertical="center" wrapText="1"/>
    </xf>
    <xf borderId="19" fillId="0" fontId="2" numFmtId="0" xfId="0" applyBorder="1" applyFont="1"/>
    <xf borderId="14" fillId="0" fontId="11" numFmtId="0" xfId="0" applyAlignment="1" applyBorder="1" applyFont="1">
      <alignment horizontal="left" readingOrder="0" vertical="center"/>
    </xf>
    <xf borderId="14" fillId="0" fontId="11" numFmtId="0" xfId="0" applyAlignment="1" applyBorder="1" applyFont="1">
      <alignment horizontal="left" readingOrder="0" shrinkToFit="0" vertical="center" wrapText="1"/>
    </xf>
    <xf borderId="20" fillId="0" fontId="2" numFmtId="0" xfId="0" applyBorder="1" applyFont="1"/>
    <xf borderId="9" fillId="0" fontId="11" numFmtId="0" xfId="0" applyAlignment="1" applyBorder="1" applyFont="1">
      <alignment readingOrder="0" shrinkToFit="0" vertical="center" wrapText="1"/>
    </xf>
    <xf borderId="9" fillId="0" fontId="10" numFmtId="0" xfId="0" applyAlignment="1" applyBorder="1" applyFont="1">
      <alignment readingOrder="0" shrinkToFit="0" vertical="center" wrapText="1"/>
    </xf>
    <xf borderId="10" fillId="0" fontId="10" numFmtId="0" xfId="0" applyAlignment="1" applyBorder="1" applyFont="1">
      <alignment readingOrder="0" shrinkToFit="0" vertical="center" wrapText="1"/>
    </xf>
    <xf borderId="9" fillId="0" fontId="10" numFmtId="0" xfId="0" applyAlignment="1" applyBorder="1" applyFont="1">
      <alignment shrinkToFit="0" vertical="center" wrapText="1"/>
    </xf>
    <xf borderId="0" fillId="0" fontId="22" numFmtId="0" xfId="0" applyAlignment="1" applyFont="1">
      <alignment vertical="center"/>
    </xf>
    <xf borderId="0" fillId="0" fontId="22" numFmtId="0" xfId="0" applyAlignment="1" applyFont="1">
      <alignment shrinkToFit="0" vertical="center" wrapText="1"/>
    </xf>
    <xf borderId="9" fillId="0" fontId="10" numFmtId="0" xfId="0" applyAlignment="1" applyBorder="1" applyFont="1">
      <alignment vertical="center"/>
    </xf>
    <xf borderId="14" fillId="0" fontId="2" numFmtId="0" xfId="0" applyAlignment="1" applyBorder="1" applyFont="1">
      <alignment vertical="center"/>
    </xf>
    <xf borderId="18" fillId="0" fontId="2" numFmtId="0" xfId="0" applyAlignment="1" applyBorder="1" applyFont="1">
      <alignment readingOrder="0" vertical="center"/>
    </xf>
    <xf borderId="14" fillId="0" fontId="2" numFmtId="0" xfId="0" applyAlignment="1" applyBorder="1" applyFont="1">
      <alignment readingOrder="0" vertical="center"/>
    </xf>
    <xf borderId="18" fillId="0" fontId="10" numFmtId="0" xfId="0" applyAlignment="1" applyBorder="1" applyFont="1">
      <alignment horizontal="center" vertical="center"/>
    </xf>
    <xf borderId="14" fillId="0" fontId="10" numFmtId="0" xfId="0" applyAlignment="1" applyBorder="1" applyFont="1">
      <alignment shrinkToFit="0" vertical="center" wrapText="1"/>
    </xf>
    <xf borderId="14" fillId="0" fontId="11" numFmtId="0" xfId="0" applyAlignment="1" applyBorder="1" applyFont="1">
      <alignment readingOrder="0" vertical="center"/>
    </xf>
    <xf borderId="14" fillId="0" fontId="11" numFmtId="0" xfId="0" applyAlignment="1" applyBorder="1" applyFont="1">
      <alignment vertical="center"/>
    </xf>
    <xf borderId="9" fillId="0" fontId="2" numFmtId="0" xfId="0" applyAlignment="1" applyBorder="1" applyFont="1">
      <alignment readingOrder="0" vertical="center"/>
    </xf>
    <xf borderId="9" fillId="0" fontId="11" numFmtId="0" xfId="0" applyAlignment="1" applyBorder="1" applyFont="1">
      <alignment vertical="center"/>
    </xf>
    <xf borderId="9" fillId="0" fontId="11" numFmtId="0" xfId="0" applyAlignment="1" applyBorder="1" applyFont="1">
      <alignment readingOrder="0" vertical="center"/>
    </xf>
    <xf borderId="14" fillId="0" fontId="11" numFmtId="0" xfId="0" applyAlignment="1" applyBorder="1" applyFont="1">
      <alignment vertical="center"/>
    </xf>
    <xf borderId="18" fillId="0" fontId="11" numFmtId="0" xfId="0" applyAlignment="1" applyBorder="1" applyFont="1">
      <alignment readingOrder="0" shrinkToFit="0" vertical="center" wrapText="1"/>
    </xf>
    <xf borderId="11" fillId="0" fontId="11" numFmtId="0" xfId="0" applyAlignment="1" applyBorder="1" applyFont="1">
      <alignment readingOrder="0" shrinkToFit="0" vertical="center" wrapText="1"/>
    </xf>
    <xf borderId="11" fillId="0" fontId="11" numFmtId="0" xfId="0" applyAlignment="1" applyBorder="1" applyFont="1">
      <alignment shrinkToFit="0" vertical="center" wrapText="1"/>
    </xf>
    <xf borderId="18" fillId="0" fontId="11" numFmtId="0" xfId="0" applyAlignment="1" applyBorder="1" applyFont="1">
      <alignment horizontal="center" readingOrder="0" vertical="center"/>
    </xf>
    <xf borderId="14" fillId="0" fontId="10" numFmtId="0" xfId="0" applyAlignment="1" applyBorder="1" applyFont="1">
      <alignment shrinkToFit="0" vertical="center" wrapText="1"/>
    </xf>
    <xf borderId="9" fillId="0" fontId="2" numFmtId="0" xfId="0" applyAlignment="1" applyBorder="1" applyFont="1">
      <alignment vertical="center"/>
    </xf>
    <xf borderId="9" fillId="0" fontId="2" numFmtId="0" xfId="0" applyAlignment="1" applyBorder="1" applyFont="1">
      <alignment readingOrder="0" shrinkToFit="0" vertical="center" wrapText="1"/>
    </xf>
    <xf borderId="0" fillId="0" fontId="10" numFmtId="0" xfId="0" applyAlignment="1" applyFont="1">
      <alignment horizontal="center" readingOrder="0" vertical="center"/>
    </xf>
    <xf borderId="0" fillId="0" fontId="2" numFmtId="0" xfId="0" applyAlignment="1" applyFont="1">
      <alignment readingOrder="0" vertical="center"/>
    </xf>
    <xf borderId="0" fillId="0" fontId="11" numFmtId="0" xfId="0" applyAlignment="1" applyFont="1">
      <alignment horizontal="center" readingOrder="0" vertical="center"/>
    </xf>
    <xf borderId="0" fillId="0" fontId="10" numFmtId="0" xfId="0" applyAlignment="1" applyFont="1">
      <alignment readingOrder="0" vertical="center"/>
    </xf>
    <xf borderId="0" fillId="0" fontId="16" numFmtId="0" xfId="0" applyAlignment="1" applyFont="1">
      <alignment horizontal="left" readingOrder="0" vertical="center"/>
    </xf>
    <xf borderId="14" fillId="2" fontId="23" numFmtId="0" xfId="0" applyAlignment="1" applyBorder="1" applyFill="1" applyFont="1">
      <alignment horizontal="center" vertical="center"/>
    </xf>
    <xf borderId="14" fillId="2" fontId="23" numFmtId="0" xfId="0" applyAlignment="1" applyBorder="1" applyFill="1" applyFont="1">
      <alignment horizontal="center" readingOrder="0" vertical="center"/>
    </xf>
    <xf borderId="9" fillId="2" fontId="23" numFmtId="0" xfId="0" applyAlignment="1" applyBorder="1" applyFill="1" applyFont="1">
      <alignment horizontal="center" readingOrder="0" vertical="center"/>
    </xf>
    <xf borderId="14" fillId="0" fontId="11" numFmtId="0" xfId="0" applyAlignment="1" applyBorder="1" applyFont="1">
      <alignment horizontal="center" vertical="center"/>
    </xf>
    <xf borderId="14" fillId="0" fontId="11" numFmtId="0" xfId="0" applyAlignment="1" applyBorder="1" applyFont="1">
      <alignment vertical="center"/>
    </xf>
    <xf borderId="14" fillId="0" fontId="2" numFmtId="0" xfId="0" applyAlignment="1" applyBorder="1" applyFont="1">
      <alignment horizontal="center" readingOrder="0"/>
    </xf>
    <xf borderId="14" fillId="0" fontId="2" numFmtId="0" xfId="0" applyAlignment="1" applyBorder="1" applyFont="1">
      <alignment horizontal="center"/>
    </xf>
    <xf borderId="0" fillId="0" fontId="19" numFmtId="0" xfId="0" applyAlignment="1" applyFont="1">
      <alignment readingOrder="0" vertical="center"/>
    </xf>
    <xf borderId="0" fillId="0" fontId="11" numFmtId="0" xfId="0" applyAlignment="1" applyFont="1">
      <alignment vertical="center"/>
    </xf>
    <xf borderId="0" fillId="0" fontId="11" numFmtId="0" xfId="0" applyAlignment="1" applyFont="1">
      <alignment vertical="center"/>
    </xf>
    <xf borderId="14" fillId="2" fontId="23" numFmtId="0" xfId="0" applyAlignment="1" applyBorder="1" applyFill="1" applyFont="1">
      <alignment horizontal="center" vertical="center"/>
    </xf>
    <xf borderId="9" fillId="2" fontId="23" numFmtId="0" xfId="0" applyAlignment="1" applyBorder="1" applyFill="1" applyFont="1">
      <alignment horizontal="center" vertical="center"/>
    </xf>
    <xf borderId="9" fillId="2" fontId="23" numFmtId="0" xfId="0" applyAlignment="1" applyBorder="1" applyFill="1" applyFont="1">
      <alignment horizontal="center" shrinkToFit="0" vertical="center" wrapText="1"/>
    </xf>
    <xf borderId="14" fillId="0" fontId="11" numFmtId="0" xfId="0" applyAlignment="1" applyBorder="1" applyFont="1">
      <alignment horizontal="center" vertical="center"/>
    </xf>
    <xf borderId="9" fillId="0" fontId="10" numFmtId="0" xfId="0" applyAlignment="1" applyBorder="1" applyFont="1">
      <alignment horizontal="center" readingOrder="0" vertical="center"/>
    </xf>
    <xf borderId="9" fillId="0" fontId="11" numFmtId="0" xfId="0" applyAlignment="1" applyBorder="1" applyFont="1">
      <alignment vertical="center"/>
    </xf>
    <xf borderId="9" fillId="0" fontId="11" numFmtId="0" xfId="0" applyAlignment="1" applyBorder="1" applyFont="1">
      <alignment vertical="center"/>
    </xf>
    <xf borderId="9" fillId="0" fontId="24" numFmtId="0" xfId="0" applyAlignment="1" applyBorder="1" applyFont="1">
      <alignment vertical="center"/>
    </xf>
    <xf borderId="0" fillId="3" fontId="25" numFmtId="0" xfId="0" applyAlignment="1" applyFill="1" applyFont="1">
      <alignment horizontal="center" readingOrder="0" vertical="center"/>
    </xf>
    <xf borderId="0" fillId="0" fontId="2" numFmtId="0" xfId="0" applyAlignment="1" applyFont="1">
      <alignment horizontal="center"/>
    </xf>
    <xf borderId="0" fillId="0" fontId="10" numFmtId="0" xfId="0" applyFont="1"/>
    <xf borderId="1" fillId="3" fontId="26" numFmtId="0" xfId="0" applyAlignment="1" applyBorder="1" applyFill="1" applyFont="1">
      <alignment horizontal="center" readingOrder="0" vertical="center"/>
    </xf>
    <xf borderId="0" fillId="0" fontId="10" numFmtId="0" xfId="0" applyAlignment="1" applyFont="1">
      <alignment horizontal="center"/>
    </xf>
    <xf borderId="1" fillId="2" fontId="9" numFmtId="0" xfId="0" applyAlignment="1" applyBorder="1" applyFill="1" applyFont="1">
      <alignment horizontal="center" readingOrder="0" vertical="center"/>
    </xf>
    <xf borderId="18" fillId="2" fontId="9" numFmtId="0" xfId="0" applyAlignment="1" applyBorder="1" applyFill="1" applyFont="1">
      <alignment horizontal="center" vertical="center"/>
    </xf>
    <xf borderId="18" fillId="2" fontId="0" numFmtId="0" xfId="0" applyAlignment="1" applyBorder="1" applyFill="1" applyFont="1">
      <alignment horizontal="center" readingOrder="0" vertical="center"/>
    </xf>
    <xf borderId="18" fillId="2" fontId="0" numFmtId="0" xfId="0" applyAlignment="1" applyBorder="1" applyFill="1" applyFont="1">
      <alignment horizontal="center" readingOrder="0" shrinkToFit="0" vertical="center" wrapText="1"/>
    </xf>
    <xf borderId="9" fillId="2" fontId="0" numFmtId="0" xfId="0" applyAlignment="1" applyBorder="1" applyFill="1" applyFont="1">
      <alignment horizontal="center" readingOrder="0" shrinkToFit="0" vertical="center" wrapText="1"/>
    </xf>
    <xf borderId="14" fillId="2" fontId="0" numFmtId="0" xfId="0" applyAlignment="1" applyBorder="1" applyFill="1" applyFont="1">
      <alignment horizontal="center" readingOrder="0" shrinkToFit="0" vertical="center" wrapText="1"/>
    </xf>
    <xf borderId="14" fillId="3" fontId="0" numFmtId="0" xfId="0" applyAlignment="1" applyBorder="1" applyFill="1" applyFont="1">
      <alignment horizontal="center" readingOrder="0" vertical="center"/>
    </xf>
    <xf borderId="14" fillId="0" fontId="10" numFmtId="0" xfId="0" applyAlignment="1" applyBorder="1" applyFont="1">
      <alignment horizontal="left" readingOrder="0" shrinkToFit="0" vertical="top" wrapText="1"/>
    </xf>
    <xf borderId="14" fillId="0" fontId="10" numFmtId="0" xfId="0" applyAlignment="1" applyBorder="1" applyFont="1">
      <alignment horizontal="center" shrinkToFit="0" vertical="center" wrapText="1"/>
    </xf>
    <xf borderId="14" fillId="0" fontId="10" numFmtId="0" xfId="0" applyAlignment="1" applyBorder="1" applyFont="1">
      <alignment horizontal="left" shrinkToFit="0" vertical="top" wrapText="1"/>
    </xf>
    <xf borderId="9" fillId="0" fontId="10" numFmtId="0" xfId="0" applyAlignment="1" applyBorder="1" applyFont="1">
      <alignment horizontal="left" readingOrder="0" shrinkToFit="0" vertical="top" wrapText="1"/>
    </xf>
    <xf borderId="9" fillId="0" fontId="10" numFmtId="0" xfId="0" applyAlignment="1" applyBorder="1" applyFont="1">
      <alignment horizontal="center" readingOrder="0" shrinkToFit="0" vertical="center" wrapText="1"/>
    </xf>
    <xf borderId="14" fillId="3" fontId="10" numFmtId="0" xfId="0" applyAlignment="1" applyBorder="1" applyFill="1" applyFont="1">
      <alignment horizontal="center" readingOrder="0" shrinkToFit="0" vertical="center" wrapText="1"/>
    </xf>
    <xf borderId="18" fillId="0" fontId="10" numFmtId="0" xfId="0" applyAlignment="1" applyBorder="1" applyFont="1">
      <alignment horizontal="left" readingOrder="0" shrinkToFit="0" vertical="center" wrapText="1"/>
    </xf>
    <xf borderId="21" fillId="0" fontId="10" numFmtId="0" xfId="0" applyAlignment="1" applyBorder="1" applyFont="1">
      <alignment horizontal="left"/>
    </xf>
    <xf borderId="0" fillId="0" fontId="10" numFmtId="0" xfId="0" applyAlignment="1" applyFont="1">
      <alignment horizontal="center" readingOrder="0" shrinkToFit="0" vertical="center" wrapText="1"/>
    </xf>
    <xf borderId="14" fillId="0" fontId="10" numFmtId="0" xfId="0" applyAlignment="1" applyBorder="1" applyFont="1">
      <alignment horizontal="left"/>
    </xf>
    <xf borderId="22" fillId="0" fontId="10" numFmtId="0" xfId="0" applyAlignment="1" applyBorder="1" applyFont="1">
      <alignment horizontal="left"/>
    </xf>
    <xf borderId="23" fillId="0" fontId="10" numFmtId="0" xfId="0" applyAlignment="1" applyBorder="1" applyFont="1">
      <alignment horizontal="left"/>
    </xf>
    <xf borderId="0" fillId="3" fontId="2" numFmtId="0" xfId="0" applyFill="1" applyFont="1"/>
    <xf borderId="18" fillId="2" fontId="9" numFmtId="0" xfId="0" applyAlignment="1" applyBorder="1" applyFill="1" applyFont="1">
      <alignment horizontal="center" readingOrder="0" vertical="center"/>
    </xf>
    <xf borderId="0" fillId="2" fontId="0" numFmtId="0" xfId="0" applyAlignment="1" applyFill="1" applyFont="1">
      <alignment horizontal="center" readingOrder="0" shrinkToFit="0" vertical="center" wrapText="1"/>
    </xf>
    <xf borderId="0" fillId="0" fontId="16" numFmtId="0" xfId="0" applyFont="1"/>
    <xf borderId="18" fillId="2" fontId="9" numFmtId="0" xfId="0" applyAlignment="1" applyBorder="1" applyFill="1" applyFont="1">
      <alignment horizontal="center" readingOrder="0" shrinkToFit="0" vertical="center" wrapText="1"/>
    </xf>
    <xf borderId="14" fillId="0" fontId="10" numFmtId="0" xfId="0" applyAlignment="1" applyBorder="1" applyFont="1">
      <alignment horizontal="center" readingOrder="0" shrinkToFit="0" vertical="top" wrapText="1"/>
    </xf>
    <xf borderId="0" fillId="0" fontId="10" numFmtId="0" xfId="0" applyAlignment="1" applyFont="1">
      <alignment readingOrder="0"/>
    </xf>
    <xf borderId="5" fillId="0" fontId="5" numFmtId="0" xfId="0" applyAlignment="1" applyBorder="1" applyFont="1">
      <alignment readingOrder="0" vertical="center"/>
    </xf>
    <xf borderId="8" fillId="0" fontId="5" numFmtId="0" xfId="0" applyAlignment="1" applyBorder="1" applyFont="1">
      <alignment readingOrder="0" shrinkToFit="0" vertical="center" wrapText="0"/>
    </xf>
    <xf borderId="18" fillId="2" fontId="9" numFmtId="165" xfId="0" applyAlignment="1" applyBorder="1" applyFill="1" applyFont="1" applyNumberFormat="1">
      <alignment horizontal="center" readingOrder="0" vertical="center"/>
    </xf>
    <xf borderId="0" fillId="2" fontId="9" numFmtId="0" xfId="0" applyAlignment="1" applyFill="1" applyFont="1">
      <alignment horizontal="center" readingOrder="0" shrinkToFit="0" vertical="center" wrapText="1"/>
    </xf>
    <xf borderId="1" fillId="0" fontId="27" numFmtId="0" xfId="0" applyAlignment="1" applyBorder="1" applyFont="1">
      <alignment horizontal="center" readingOrder="0" shrinkToFit="0" wrapText="1"/>
    </xf>
    <xf borderId="0" fillId="0" fontId="11" numFmtId="0" xfId="0" applyAlignment="1" applyFont="1">
      <alignment vertical="bottom"/>
    </xf>
    <xf borderId="6" fillId="0" fontId="28" numFmtId="0" xfId="0" applyAlignment="1" applyBorder="1" applyFont="1">
      <alignment horizontal="right" readingOrder="0" shrinkToFit="0" vertical="center" wrapText="0"/>
    </xf>
    <xf borderId="9" fillId="3" fontId="29" numFmtId="0" xfId="0" applyAlignment="1" applyBorder="1" applyFill="1" applyFont="1">
      <alignment horizontal="left" readingOrder="0" vertical="bottom"/>
    </xf>
    <xf borderId="9" fillId="3" fontId="26" numFmtId="0" xfId="0" applyAlignment="1" applyBorder="1" applyFill="1" applyFont="1">
      <alignment horizontal="center" readingOrder="0" vertical="bottom"/>
    </xf>
    <xf borderId="14" fillId="3" fontId="26" numFmtId="0" xfId="0" applyAlignment="1" applyBorder="1" applyFill="1" applyFont="1">
      <alignment horizontal="center" vertical="bottom"/>
    </xf>
    <xf borderId="18" fillId="2" fontId="30" numFmtId="165" xfId="0" applyAlignment="1" applyBorder="1" applyFill="1" applyFont="1" applyNumberFormat="1">
      <alignment horizontal="center" shrinkToFit="0" vertical="bottom" wrapText="1"/>
    </xf>
    <xf borderId="1" fillId="2" fontId="19" numFmtId="0" xfId="0" applyAlignment="1" applyBorder="1" applyFill="1" applyFont="1">
      <alignment horizontal="center"/>
    </xf>
    <xf borderId="18" fillId="2" fontId="31" numFmtId="0" xfId="0" applyAlignment="1" applyBorder="1" applyFill="1" applyFont="1">
      <alignment horizontal="center" shrinkToFit="0" vertical="bottom" wrapText="1"/>
    </xf>
    <xf borderId="1" fillId="2" fontId="31" numFmtId="0" xfId="0" applyAlignment="1" applyBorder="1" applyFill="1" applyFont="1">
      <alignment horizontal="center" shrinkToFit="0" vertical="bottom" wrapText="1"/>
    </xf>
    <xf borderId="9" fillId="2" fontId="31" numFmtId="0" xfId="0" applyAlignment="1" applyBorder="1" applyFill="1" applyFont="1">
      <alignment horizontal="center" shrinkToFit="0" vertical="bottom" wrapText="1"/>
    </xf>
    <xf borderId="14" fillId="2" fontId="31" numFmtId="0" xfId="0" applyAlignment="1" applyBorder="1" applyFill="1" applyFont="1">
      <alignment horizontal="center" shrinkToFit="0" vertical="bottom" wrapText="1"/>
    </xf>
    <xf borderId="18" fillId="0" fontId="30" numFmtId="0" xfId="0" applyAlignment="1" applyBorder="1" applyFont="1">
      <alignment horizontal="center" shrinkToFit="0" vertical="bottom" wrapText="1"/>
    </xf>
    <xf borderId="18" fillId="3" fontId="30" numFmtId="0" xfId="0" applyAlignment="1" applyBorder="1" applyFill="1" applyFont="1">
      <alignment shrinkToFit="0" vertical="bottom" wrapText="1"/>
    </xf>
    <xf borderId="9" fillId="3" fontId="10" numFmtId="0" xfId="0" applyAlignment="1" applyBorder="1" applyFill="1" applyFont="1">
      <alignment shrinkToFit="0" vertical="bottom" wrapText="1"/>
    </xf>
    <xf borderId="14" fillId="3" fontId="32" numFmtId="0" xfId="0" applyAlignment="1" applyBorder="1" applyFill="1" applyFont="1">
      <alignment horizontal="center" shrinkToFit="0" vertical="bottom" wrapText="1"/>
    </xf>
    <xf borderId="11" fillId="3" fontId="32" numFmtId="0" xfId="0" applyAlignment="1" applyBorder="1" applyFill="1" applyFont="1">
      <alignment horizontal="center" shrinkToFit="0" vertical="bottom" wrapText="1"/>
    </xf>
    <xf borderId="14" fillId="5" fontId="32" numFmtId="0" xfId="0" applyAlignment="1" applyBorder="1" applyFill="1" applyFont="1">
      <alignment horizontal="center" readingOrder="0" shrinkToFit="0" vertical="bottom" wrapText="1"/>
    </xf>
    <xf borderId="18" fillId="3" fontId="10" numFmtId="0" xfId="0" applyAlignment="1" applyBorder="1" applyFill="1" applyFont="1">
      <alignment shrinkToFit="0" vertical="bottom" wrapText="1"/>
    </xf>
    <xf borderId="20" fillId="3" fontId="32" numFmtId="0" xfId="0" applyAlignment="1" applyBorder="1" applyFill="1" applyFont="1">
      <alignment horizontal="center" shrinkToFit="0" vertical="bottom" wrapText="1"/>
    </xf>
    <xf borderId="8" fillId="3" fontId="32" numFmtId="0" xfId="0" applyAlignment="1" applyBorder="1" applyFill="1" applyFont="1">
      <alignment horizontal="center" shrinkToFit="0" vertical="bottom" wrapText="1"/>
    </xf>
    <xf borderId="14" fillId="0" fontId="30" numFmtId="0" xfId="0" applyAlignment="1" applyBorder="1" applyFont="1">
      <alignment horizontal="center" shrinkToFit="0" vertical="bottom" wrapText="1"/>
    </xf>
    <xf borderId="14" fillId="3" fontId="30" numFmtId="0" xfId="0" applyAlignment="1" applyBorder="1" applyFill="1" applyFont="1">
      <alignment shrinkToFit="0" vertical="bottom" wrapText="1"/>
    </xf>
    <xf borderId="20" fillId="3" fontId="32" numFmtId="0" xfId="0" applyAlignment="1" applyBorder="1" applyFill="1" applyFont="1">
      <alignment horizontal="center" shrinkToFit="0" vertical="bottom" wrapText="1"/>
    </xf>
    <xf borderId="14" fillId="3" fontId="10" numFmtId="0" xfId="0" applyAlignment="1" applyBorder="1" applyFill="1" applyFont="1">
      <alignment shrinkToFit="0" vertical="bottom" wrapText="1"/>
    </xf>
    <xf borderId="18" fillId="3" fontId="32" numFmtId="0" xfId="0" applyAlignment="1" applyBorder="1" applyFill="1" applyFont="1">
      <alignment horizontal="center" readingOrder="0" shrinkToFit="0" vertical="bottom" wrapText="1"/>
    </xf>
    <xf borderId="18" fillId="3" fontId="32" numFmtId="0" xfId="0" applyAlignment="1" applyBorder="1" applyFill="1" applyFont="1">
      <alignment horizontal="center" shrinkToFit="0" vertical="bottom" wrapText="1"/>
    </xf>
    <xf borderId="18" fillId="3" fontId="10" numFmtId="0" xfId="0" applyAlignment="1" applyBorder="1" applyFill="1" applyFont="1">
      <alignment horizontal="center" readingOrder="0" shrinkToFit="0" vertical="bottom" wrapText="1"/>
    </xf>
    <xf borderId="18" fillId="3" fontId="10" numFmtId="0" xfId="0" applyAlignment="1" applyBorder="1" applyFill="1" applyFont="1">
      <alignment readingOrder="0" shrinkToFit="0" vertical="bottom" wrapText="1"/>
    </xf>
    <xf borderId="14" fillId="3" fontId="10" numFmtId="0" xfId="0" applyAlignment="1" applyBorder="1" applyFill="1" applyFont="1">
      <alignment readingOrder="0" shrinkToFit="0" vertical="bottom" wrapText="1"/>
    </xf>
    <xf borderId="18" fillId="3" fontId="33" numFmtId="0" xfId="0" applyAlignment="1" applyBorder="1" applyFill="1" applyFont="1">
      <alignment readingOrder="0" shrinkToFit="0" vertical="bottom" wrapText="1"/>
    </xf>
    <xf borderId="18" fillId="3" fontId="10" numFmtId="0" xfId="0" applyAlignment="1" applyBorder="1" applyFill="1" applyFont="1">
      <alignment shrinkToFit="0" vertical="bottom" wrapText="1"/>
    </xf>
    <xf borderId="18" fillId="3" fontId="10" numFmtId="0" xfId="0" applyAlignment="1" applyBorder="1" applyFill="1" applyFont="1">
      <alignment horizontal="center" shrinkToFit="0" vertical="bottom" wrapText="1"/>
    </xf>
    <xf borderId="5" fillId="3" fontId="10" numFmtId="0" xfId="0" applyAlignment="1" applyBorder="1" applyFill="1" applyFont="1">
      <alignment shrinkToFit="0" vertical="bottom" wrapText="1"/>
    </xf>
    <xf borderId="18" fillId="3" fontId="33" numFmtId="0" xfId="0" applyAlignment="1" applyBorder="1" applyFill="1" applyFont="1">
      <alignment shrinkToFit="0" vertical="bottom" wrapText="1"/>
    </xf>
    <xf borderId="14" fillId="3" fontId="33" numFmtId="0" xfId="0" applyAlignment="1" applyBorder="1" applyFill="1" applyFont="1">
      <alignment shrinkToFit="0" vertical="bottom" wrapText="1"/>
    </xf>
    <xf borderId="14" fillId="3" fontId="10" numFmtId="0" xfId="0" applyAlignment="1" applyBorder="1" applyFill="1" applyFont="1">
      <alignment horizontal="center" readingOrder="0" shrinkToFit="0" vertical="bottom" wrapText="1"/>
    </xf>
    <xf borderId="14" fillId="3" fontId="10" numFmtId="0" xfId="0" applyAlignment="1" applyBorder="1" applyFill="1" applyFont="1">
      <alignment shrinkToFit="0" vertical="bottom" wrapText="1"/>
    </xf>
    <xf borderId="8" fillId="3" fontId="10" numFmtId="0" xfId="0" applyAlignment="1" applyBorder="1" applyFill="1" applyFont="1">
      <alignment shrinkToFit="0" vertical="bottom" wrapText="1"/>
    </xf>
    <xf borderId="0" fillId="3" fontId="11" numFmtId="0" xfId="0" applyAlignment="1" applyFill="1" applyFont="1">
      <alignment shrinkToFit="0" vertical="bottom" wrapText="1"/>
    </xf>
    <xf borderId="14" fillId="3" fontId="31" numFmtId="0" xfId="0" applyAlignment="1" applyBorder="1" applyFill="1" applyFont="1">
      <alignment shrinkToFit="0" vertical="bottom" wrapText="1"/>
    </xf>
    <xf borderId="8" fillId="3" fontId="10" numFmtId="0" xfId="0" applyAlignment="1" applyBorder="1" applyFill="1" applyFont="1">
      <alignment readingOrder="0" shrinkToFit="0" vertical="bottom" wrapText="1"/>
    </xf>
    <xf borderId="11" fillId="3" fontId="10" numFmtId="0" xfId="0" applyAlignment="1" applyBorder="1" applyFill="1" applyFont="1">
      <alignment shrinkToFit="0" vertical="bottom" wrapText="1"/>
    </xf>
    <xf borderId="18" fillId="3" fontId="0" numFmtId="0" xfId="0" applyAlignment="1" applyBorder="1" applyFill="1" applyFont="1">
      <alignment shrinkToFit="0" vertical="bottom" wrapText="1"/>
    </xf>
    <xf borderId="14" fillId="3" fontId="10" numFmtId="0" xfId="0" applyAlignment="1" applyBorder="1" applyFill="1" applyFont="1">
      <alignment horizontal="center" shrinkToFit="0" vertical="bottom" wrapText="1"/>
    </xf>
    <xf borderId="18" fillId="3" fontId="34" numFmtId="0" xfId="0" applyAlignment="1" applyBorder="1" applyFill="1" applyFont="1">
      <alignment shrinkToFit="0" vertical="bottom" wrapText="1"/>
    </xf>
    <xf borderId="18" fillId="3" fontId="10" numFmtId="0" xfId="0" applyAlignment="1" applyBorder="1" applyFill="1" applyFont="1">
      <alignment horizontal="center" shrinkToFit="0" vertical="bottom" wrapText="1"/>
    </xf>
    <xf borderId="9" fillId="3" fontId="10" numFmtId="0" xfId="0" applyAlignment="1" applyBorder="1" applyFill="1" applyFont="1">
      <alignment readingOrder="0" shrinkToFit="0" vertical="bottom" wrapText="1"/>
    </xf>
    <xf borderId="14" fillId="6" fontId="32" numFmtId="0" xfId="0" applyAlignment="1" applyBorder="1" applyFill="1" applyFont="1">
      <alignment horizontal="center" shrinkToFit="0" vertical="bottom" wrapText="1"/>
    </xf>
    <xf borderId="1" fillId="0" fontId="11" numFmtId="0" xfId="0" applyAlignment="1" applyBorder="1" applyFont="1">
      <alignment readingOrder="0" vertical="bottom"/>
    </xf>
    <xf borderId="6" fillId="0" fontId="6" numFmtId="0" xfId="0" applyAlignment="1" applyBorder="1" applyFont="1">
      <alignment horizontal="left" shrinkToFit="0" vertical="center" wrapText="1"/>
    </xf>
    <xf borderId="0" fillId="7" fontId="35" numFmtId="0" xfId="0" applyAlignment="1" applyFill="1" applyFont="1">
      <alignment readingOrder="0"/>
    </xf>
    <xf borderId="9" fillId="8" fontId="36" numFmtId="0" xfId="0" applyAlignment="1" applyBorder="1" applyFill="1" applyFont="1">
      <alignment horizontal="center" readingOrder="0"/>
    </xf>
    <xf borderId="9" fillId="9" fontId="36" numFmtId="0" xfId="0" applyAlignment="1" applyBorder="1" applyFill="1" applyFont="1">
      <alignment horizontal="center" readingOrder="0"/>
    </xf>
    <xf borderId="9" fillId="10" fontId="36" numFmtId="0" xfId="0" applyAlignment="1" applyBorder="1" applyFill="1" applyFont="1">
      <alignment horizontal="center" readingOrder="0"/>
    </xf>
    <xf borderId="9" fillId="11" fontId="36" numFmtId="0" xfId="0" applyAlignment="1" applyBorder="1" applyFill="1" applyFont="1">
      <alignment horizontal="center" readingOrder="0"/>
    </xf>
    <xf borderId="10" fillId="12" fontId="36" numFmtId="0" xfId="0" applyAlignment="1" applyBorder="1" applyFill="1" applyFont="1">
      <alignment horizontal="center" readingOrder="0"/>
    </xf>
    <xf borderId="0" fillId="7" fontId="35" numFmtId="0" xfId="0" applyAlignment="1" applyFill="1" applyFont="1">
      <alignment horizontal="center" readingOrder="0"/>
    </xf>
    <xf borderId="18" fillId="13" fontId="2" numFmtId="166" xfId="0" applyAlignment="1" applyBorder="1" applyFill="1" applyFont="1" applyNumberFormat="1">
      <alignment readingOrder="0"/>
    </xf>
    <xf borderId="9" fillId="7" fontId="37" numFmtId="0" xfId="0" applyAlignment="1" applyBorder="1" applyFill="1" applyFont="1">
      <alignment horizontal="left" readingOrder="0" shrinkToFit="0" vertical="top" wrapText="1"/>
    </xf>
    <xf borderId="14" fillId="3" fontId="2" numFmtId="0" xfId="0" applyAlignment="1" applyBorder="1" applyFill="1" applyFont="1">
      <alignment horizontal="center" readingOrder="0"/>
    </xf>
    <xf borderId="11" fillId="4" fontId="2" numFmtId="0" xfId="0" applyAlignment="1" applyBorder="1" applyFill="1" applyFont="1">
      <alignment horizontal="center"/>
    </xf>
    <xf borderId="9" fillId="7" fontId="37" numFmtId="0" xfId="0" applyAlignment="1" applyBorder="1" applyFill="1" applyFont="1">
      <alignment horizontal="left" readingOrder="0" vertical="center"/>
    </xf>
    <xf borderId="14" fillId="14" fontId="38" numFmtId="0" xfId="0" applyAlignment="1" applyBorder="1" applyFill="1" applyFont="1">
      <alignment readingOrder="0"/>
    </xf>
    <xf borderId="19" fillId="4" fontId="2" numFmtId="0" xfId="0" applyAlignment="1" applyBorder="1" applyFill="1" applyFont="1">
      <alignment horizontal="center"/>
    </xf>
    <xf borderId="14" fillId="0" fontId="18" numFmtId="0" xfId="0" applyAlignment="1" applyBorder="1" applyFont="1">
      <alignment horizontal="center"/>
    </xf>
    <xf borderId="9" fillId="14" fontId="38" numFmtId="0" xfId="0" applyAlignment="1" applyBorder="1" applyFill="1" applyFont="1">
      <alignment readingOrder="0"/>
    </xf>
    <xf borderId="9" fillId="8" fontId="18" numFmtId="0" xfId="0" applyAlignment="1" applyBorder="1" applyFill="1" applyFont="1">
      <alignment horizontal="center"/>
    </xf>
    <xf borderId="9" fillId="15" fontId="18" numFmtId="0" xfId="0" applyAlignment="1" applyBorder="1" applyFill="1" applyFont="1">
      <alignment horizontal="center"/>
    </xf>
    <xf borderId="9" fillId="16" fontId="18" numFmtId="0" xfId="0" applyAlignment="1" applyBorder="1" applyFill="1" applyFont="1">
      <alignment horizontal="center"/>
    </xf>
    <xf borderId="9" fillId="17" fontId="18" numFmtId="0" xfId="0" applyAlignment="1" applyBorder="1" applyFill="1" applyFont="1">
      <alignment horizontal="center"/>
    </xf>
    <xf borderId="10" fillId="17" fontId="18" numFmtId="0" xfId="0" applyAlignment="1" applyBorder="1" applyFill="1" applyFont="1">
      <alignment horizontal="center"/>
    </xf>
    <xf borderId="0" fillId="3" fontId="35" numFmtId="0" xfId="0" applyAlignment="1" applyFill="1" applyFont="1">
      <alignment horizontal="center" readingOrder="0"/>
    </xf>
    <xf borderId="0" fillId="2" fontId="9" numFmtId="0" xfId="0" applyAlignment="1" applyFill="1" applyFont="1">
      <alignment horizontal="center" readingOrder="0"/>
    </xf>
    <xf borderId="14" fillId="0" fontId="10" numFmtId="0" xfId="0" applyAlignment="1" applyBorder="1" applyFont="1">
      <alignment readingOrder="0"/>
    </xf>
    <xf borderId="14" fillId="0" fontId="10" numFmtId="9" xfId="0" applyAlignment="1" applyBorder="1" applyFont="1" applyNumberFormat="1">
      <alignment horizontal="left" readingOrder="0"/>
    </xf>
    <xf borderId="14" fillId="0" fontId="10" numFmtId="0" xfId="0" applyAlignment="1" applyBorder="1" applyFont="1">
      <alignment horizontal="left" readingOrder="0"/>
    </xf>
    <xf borderId="14" fillId="0" fontId="11" numFmtId="0" xfId="0" applyAlignment="1" applyBorder="1" applyFont="1">
      <alignment vertical="bottom"/>
    </xf>
    <xf borderId="14" fillId="0" fontId="11" numFmtId="0" xfId="0" applyAlignment="1" applyBorder="1" applyFont="1">
      <alignment horizontal="right" vertical="bottom"/>
    </xf>
    <xf borderId="14" fillId="0" fontId="10" numFmtId="0" xfId="0" applyAlignment="1" applyBorder="1" applyFont="1">
      <alignment readingOrder="0" vertical="bottom"/>
    </xf>
    <xf borderId="14" fillId="0" fontId="10" numFmtId="0" xfId="0" applyAlignment="1" applyBorder="1" applyFont="1">
      <alignment horizontal="right" readingOrder="0" vertical="bottom"/>
    </xf>
    <xf borderId="14" fillId="2" fontId="19" numFmtId="0" xfId="0" applyAlignment="1" applyBorder="1" applyFill="1" applyFont="1">
      <alignment vertical="bottom"/>
    </xf>
    <xf borderId="11" fillId="2" fontId="19" numFmtId="0" xfId="0" applyAlignment="1" applyBorder="1" applyFill="1" applyFont="1">
      <alignment vertical="bottom"/>
    </xf>
    <xf borderId="10" fillId="2" fontId="19" numFmtId="0" xfId="0" applyAlignment="1" applyBorder="1" applyFill="1" applyFont="1">
      <alignment shrinkToFit="0" vertical="bottom" wrapText="1"/>
    </xf>
    <xf borderId="20" fillId="0" fontId="11" numFmtId="0" xfId="0" applyAlignment="1" applyBorder="1" applyFont="1">
      <alignment vertical="bottom"/>
    </xf>
    <xf borderId="8" fillId="0" fontId="11" numFmtId="0" xfId="0" applyAlignment="1" applyBorder="1" applyFont="1">
      <alignment vertical="bottom"/>
    </xf>
    <xf borderId="7" fillId="0" fontId="11" numFmtId="0" xfId="0" applyAlignment="1" applyBorder="1" applyFont="1">
      <alignment shrinkToFit="0" vertical="bottom" wrapText="1"/>
    </xf>
    <xf borderId="8" fillId="0" fontId="11" numFmtId="0" xfId="0" applyAlignment="1" applyBorder="1" applyFont="1">
      <alignment shrinkToFit="0" vertical="bottom" wrapText="1"/>
    </xf>
    <xf borderId="7" fillId="3" fontId="11" numFmtId="0" xfId="0" applyAlignment="1" applyBorder="1" applyFill="1" applyFont="1">
      <alignment shrinkToFit="0" vertical="bottom" wrapText="1"/>
    </xf>
    <xf borderId="0" fillId="0" fontId="1" numFmtId="0" xfId="0" applyAlignment="1" applyFont="1">
      <alignment horizontal="center" readingOrder="0" vertical="center"/>
    </xf>
    <xf borderId="0" fillId="0" fontId="6" numFmtId="0" xfId="0" applyAlignment="1" applyFont="1">
      <alignment readingOrder="0" vertical="center"/>
    </xf>
    <xf borderId="0" fillId="0" fontId="4" numFmtId="0" xfId="0" applyFont="1"/>
  </cellXfs>
  <cellStyles count="1">
    <cellStyle xfId="0" name="Normal" builtinId="0"/>
  </cellStyles>
  <dxfs count="3">
    <dxf>
      <font/>
      <fill>
        <patternFill patternType="none"/>
      </fill>
      <border/>
    </dxf>
    <dxf>
      <font/>
      <fill>
        <patternFill patternType="solid">
          <fgColor rgb="FF999999"/>
          <bgColor rgb="FF999999"/>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33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42900"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429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42900"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9550" cy="1143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247650</xdr:colOff>
      <xdr:row>5</xdr:row>
      <xdr:rowOff>190500</xdr:rowOff>
    </xdr:from>
    <xdr:ext cx="10315575" cy="7048500"/>
    <xdr:grpSp>
      <xdr:nvGrpSpPr>
        <xdr:cNvPr id="2" name="Shape 2" title="Drawing"/>
        <xdr:cNvGrpSpPr/>
      </xdr:nvGrpSpPr>
      <xdr:grpSpPr>
        <a:xfrm>
          <a:off x="197738" y="242196"/>
          <a:ext cx="10300614" cy="7033756"/>
          <a:chOff x="197738" y="242196"/>
          <a:chExt cx="10300614" cy="7033756"/>
        </a:xfrm>
      </xdr:grpSpPr>
      <xdr:sp>
        <xdr:nvSpPr>
          <xdr:cNvPr id="3" name="Shape 3"/>
          <xdr:cNvSpPr/>
        </xdr:nvSpPr>
        <xdr:spPr>
          <a:xfrm>
            <a:off x="197738" y="1181657"/>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Vu Xuan Dung</a:t>
            </a:r>
            <a:endParaRPr sz="1400"/>
          </a:p>
          <a:p>
            <a:pPr indent="0" lvl="0" marL="0" rtl="0" algn="ctr">
              <a:spcBef>
                <a:spcPts val="0"/>
              </a:spcBef>
              <a:spcAft>
                <a:spcPts val="0"/>
              </a:spcAft>
              <a:buSzPts val="1400"/>
              <a:buFont typeface="Arial"/>
              <a:buNone/>
            </a:pPr>
            <a:r>
              <a:rPr lang="en-US" sz="1400"/>
              <a:t>(</a:t>
            </a:r>
            <a:r>
              <a:rPr lang="en-US" sz="1400"/>
              <a:t>Director</a:t>
            </a:r>
            <a:r>
              <a:rPr lang="en-US" sz="1400"/>
              <a:t>)</a:t>
            </a:r>
            <a:endParaRPr sz="1400"/>
          </a:p>
        </xdr:txBody>
      </xdr:sp>
      <xdr:sp>
        <xdr:nvSpPr>
          <xdr:cNvPr id="4" name="Shape 4"/>
          <xdr:cNvSpPr/>
        </xdr:nvSpPr>
        <xdr:spPr>
          <a:xfrm>
            <a:off x="2921750" y="1181650"/>
            <a:ext cx="2115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Tran Van Tan</a:t>
            </a:r>
            <a:endParaRPr sz="1400"/>
          </a:p>
          <a:p>
            <a:pPr indent="0" lvl="0" marL="0" rtl="0" algn="ctr">
              <a:spcBef>
                <a:spcPts val="0"/>
              </a:spcBef>
              <a:spcAft>
                <a:spcPts val="0"/>
              </a:spcAft>
              <a:buSzPts val="1400"/>
              <a:buFont typeface="Arial"/>
              <a:buNone/>
            </a:pPr>
            <a:r>
              <a:rPr lang="en-US" sz="1400"/>
              <a:t>(</a:t>
            </a:r>
            <a:r>
              <a:rPr lang="en-US" sz="800"/>
              <a:t>Project Management</a:t>
            </a:r>
            <a:r>
              <a:rPr lang="en-US" sz="1400"/>
              <a:t>)</a:t>
            </a:r>
            <a:endParaRPr sz="1400"/>
          </a:p>
        </xdr:txBody>
      </xdr:sp>
      <xdr:sp>
        <xdr:nvSpPr>
          <xdr:cNvPr id="5" name="Shape 5"/>
          <xdr:cNvSpPr/>
        </xdr:nvSpPr>
        <xdr:spPr>
          <a:xfrm>
            <a:off x="6142765" y="1181654"/>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BrSE</a:t>
            </a:r>
            <a:endParaRPr sz="1400"/>
          </a:p>
        </xdr:txBody>
      </xdr:sp>
      <xdr:cxnSp>
        <xdr:nvCxnSpPr>
          <xdr:cNvPr id="6" name="Shape 6"/>
          <xdr:cNvCxnSpPr>
            <a:stCxn id="3" idx="3"/>
            <a:endCxn id="4" idx="1"/>
          </xdr:cNvCxnSpPr>
        </xdr:nvCxnSpPr>
        <xdr:spPr>
          <a:xfrm>
            <a:off x="2058638" y="1487357"/>
            <a:ext cx="863100" cy="0"/>
          </a:xfrm>
          <a:prstGeom prst="straightConnector1">
            <a:avLst/>
          </a:prstGeom>
          <a:noFill/>
          <a:ln cap="flat" cmpd="sng" w="9525">
            <a:solidFill>
              <a:srgbClr val="000000"/>
            </a:solidFill>
            <a:prstDash val="solid"/>
            <a:round/>
            <a:headEnd len="sm" w="sm" type="none"/>
            <a:tailEnd len="sm" w="sm" type="none"/>
          </a:ln>
        </xdr:spPr>
      </xdr:cxnSp>
      <xdr:sp>
        <xdr:nvSpPr>
          <xdr:cNvPr id="7" name="Shape 7"/>
          <xdr:cNvSpPr/>
        </xdr:nvSpPr>
        <xdr:spPr>
          <a:xfrm>
            <a:off x="2411096" y="242196"/>
            <a:ext cx="5869800" cy="582600"/>
          </a:xfrm>
          <a:prstGeom prst="rect">
            <a:avLst/>
          </a:prstGeom>
          <a:solidFill>
            <a:srgbClr val="93C47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800"/>
              <a:buFont typeface="Arial"/>
              <a:buNone/>
            </a:pPr>
            <a:r>
              <a:rPr b="1" lang="en-US" sz="1800"/>
              <a:t>XXX PROJECT STRUCTURE（</a:t>
            </a:r>
            <a:r>
              <a:rPr b="1" lang="en-US" sz="1200">
                <a:solidFill>
                  <a:srgbClr val="FF0000"/>
                </a:solidFill>
              </a:rPr>
              <a:t>１１月～０５月</a:t>
            </a:r>
            <a:r>
              <a:rPr b="1" lang="en-US" sz="1800"/>
              <a:t>）</a:t>
            </a:r>
            <a:endParaRPr b="1" sz="1800"/>
          </a:p>
        </xdr:txBody>
      </xdr:sp>
      <xdr:grpSp>
        <xdr:nvGrpSpPr>
          <xdr:cNvPr id="8" name="Shape 8"/>
          <xdr:cNvGrpSpPr/>
        </xdr:nvGrpSpPr>
        <xdr:grpSpPr>
          <a:xfrm>
            <a:off x="8453435" y="1181662"/>
            <a:ext cx="2042700" cy="1846800"/>
            <a:chOff x="8222735" y="1217062"/>
            <a:chExt cx="2042700" cy="1846800"/>
          </a:xfrm>
        </xdr:grpSpPr>
        <xdr:sp>
          <xdr:nvSpPr>
            <xdr:cNvPr id="9" name="Shape 9"/>
            <xdr:cNvSpPr/>
          </xdr:nvSpPr>
          <xdr:spPr>
            <a:xfrm>
              <a:off x="8222735" y="1217062"/>
              <a:ext cx="2042700" cy="18468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SzPts val="1400"/>
                <a:buFont typeface="Arial"/>
                <a:buNone/>
              </a:pPr>
              <a:r>
                <a:rPr b="1" lang="en-US" sz="1400"/>
                <a:t>Customer team</a:t>
              </a:r>
              <a:endParaRPr b="1" sz="1400"/>
            </a:p>
          </xdr:txBody>
        </xdr:sp>
        <xdr:sp>
          <xdr:nvSpPr>
            <xdr:cNvPr id="10" name="Shape 10"/>
            <xdr:cNvSpPr/>
          </xdr:nvSpPr>
          <xdr:spPr>
            <a:xfrm>
              <a:off x="8313480" y="1648138"/>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Window </a:t>
              </a:r>
              <a:r>
                <a:rPr lang="en-US" sz="1400"/>
                <a:t>１</a:t>
              </a:r>
              <a:endParaRPr sz="1400"/>
            </a:p>
          </xdr:txBody>
        </xdr:sp>
        <xdr:sp>
          <xdr:nvSpPr>
            <xdr:cNvPr id="11" name="Shape 11"/>
            <xdr:cNvSpPr/>
          </xdr:nvSpPr>
          <xdr:spPr>
            <a:xfrm>
              <a:off x="8313480" y="2356005"/>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Window </a:t>
              </a:r>
              <a:r>
                <a:rPr lang="en-US" sz="1400"/>
                <a:t>２</a:t>
              </a:r>
              <a:endParaRPr sz="1400"/>
            </a:p>
          </xdr:txBody>
        </xdr:sp>
      </xdr:grpSp>
      <xdr:grpSp>
        <xdr:nvGrpSpPr>
          <xdr:cNvPr id="12" name="Shape 12"/>
          <xdr:cNvGrpSpPr/>
        </xdr:nvGrpSpPr>
        <xdr:grpSpPr>
          <a:xfrm>
            <a:off x="8455652" y="4416861"/>
            <a:ext cx="2042700" cy="1846800"/>
            <a:chOff x="8280889" y="4416986"/>
            <a:chExt cx="2042700" cy="1846800"/>
          </a:xfrm>
        </xdr:grpSpPr>
        <xdr:sp>
          <xdr:nvSpPr>
            <xdr:cNvPr id="13" name="Shape 13"/>
            <xdr:cNvSpPr/>
          </xdr:nvSpPr>
          <xdr:spPr>
            <a:xfrm>
              <a:off x="8280889" y="4416986"/>
              <a:ext cx="2042700" cy="18468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SzPts val="1400"/>
                <a:buFont typeface="Arial"/>
                <a:buNone/>
              </a:pPr>
              <a:r>
                <a:rPr b="1" lang="en-US" sz="1400"/>
                <a:t>S</a:t>
              </a:r>
              <a:r>
                <a:rPr b="1" lang="en-US" sz="1400"/>
                <a:t>JP</a:t>
              </a:r>
              <a:r>
                <a:rPr b="1" lang="en-US" sz="1400"/>
                <a:t> Team</a:t>
              </a:r>
              <a:endParaRPr b="1" sz="1400"/>
            </a:p>
          </xdr:txBody>
        </xdr:sp>
        <xdr:sp>
          <xdr:nvSpPr>
            <xdr:cNvPr id="14" name="Shape 14"/>
            <xdr:cNvSpPr/>
          </xdr:nvSpPr>
          <xdr:spPr>
            <a:xfrm>
              <a:off x="8371792" y="4800708"/>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Consultant</a:t>
              </a:r>
              <a:endParaRPr sz="1400"/>
            </a:p>
          </xdr:txBody>
        </xdr:sp>
        <xdr:sp>
          <xdr:nvSpPr>
            <xdr:cNvPr id="15" name="Shape 15"/>
            <xdr:cNvSpPr/>
          </xdr:nvSpPr>
          <xdr:spPr>
            <a:xfrm>
              <a:off x="8371792" y="5533086"/>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Director</a:t>
              </a:r>
              <a:endParaRPr sz="1400"/>
            </a:p>
          </xdr:txBody>
        </xdr:sp>
      </xdr:grpSp>
      <xdr:cxnSp>
        <xdr:nvCxnSpPr>
          <xdr:cNvPr id="16" name="Shape 16"/>
          <xdr:cNvCxnSpPr>
            <a:stCxn id="5" idx="3"/>
            <a:endCxn id="9" idx="1"/>
          </xdr:cNvCxnSpPr>
        </xdr:nvCxnSpPr>
        <xdr:spPr>
          <a:xfrm>
            <a:off x="8003665" y="1487354"/>
            <a:ext cx="449700" cy="617700"/>
          </a:xfrm>
          <a:prstGeom prst="bentConnector3">
            <a:avLst>
              <a:gd fmla="val 50008" name="adj1"/>
            </a:avLst>
          </a:prstGeom>
          <a:noFill/>
          <a:ln cap="flat" cmpd="sng" w="9525">
            <a:solidFill>
              <a:srgbClr val="000000"/>
            </a:solidFill>
            <a:prstDash val="solid"/>
            <a:round/>
            <a:headEnd len="sm" w="sm" type="none"/>
            <a:tailEnd len="sm" w="sm" type="none"/>
          </a:ln>
        </xdr:spPr>
      </xdr:cxnSp>
      <xdr:cxnSp>
        <xdr:nvCxnSpPr>
          <xdr:cNvPr id="17" name="Shape 17"/>
          <xdr:cNvCxnSpPr>
            <a:stCxn id="4" idx="3"/>
            <a:endCxn id="5" idx="1"/>
          </xdr:cNvCxnSpPr>
        </xdr:nvCxnSpPr>
        <xdr:spPr>
          <a:xfrm>
            <a:off x="5037650" y="1487350"/>
            <a:ext cx="1105200" cy="600"/>
          </a:xfrm>
          <a:prstGeom prst="bentConnector3">
            <a:avLst>
              <a:gd fmla="val 49996" name="adj1"/>
            </a:avLst>
          </a:prstGeom>
          <a:noFill/>
          <a:ln cap="flat" cmpd="sng" w="9525">
            <a:solidFill>
              <a:srgbClr val="000000"/>
            </a:solidFill>
            <a:prstDash val="solid"/>
            <a:round/>
            <a:headEnd len="sm" w="sm" type="none"/>
            <a:tailEnd len="sm" w="sm" type="none"/>
          </a:ln>
        </xdr:spPr>
      </xdr:cxnSp>
      <xdr:cxnSp>
        <xdr:nvCxnSpPr>
          <xdr:cNvPr id="18" name="Shape 18"/>
          <xdr:cNvCxnSpPr>
            <a:stCxn id="4" idx="2"/>
            <a:endCxn id="19" idx="0"/>
          </xdr:cNvCxnSpPr>
        </xdr:nvCxnSpPr>
        <xdr:spPr>
          <a:xfrm rot="5400000">
            <a:off x="3561800" y="1800850"/>
            <a:ext cx="425700" cy="410100"/>
          </a:xfrm>
          <a:prstGeom prst="bentConnector3">
            <a:avLst>
              <a:gd fmla="val 50009" name="adj1"/>
            </a:avLst>
          </a:prstGeom>
          <a:noFill/>
          <a:ln cap="flat" cmpd="sng" w="9525">
            <a:solidFill>
              <a:srgbClr val="000000"/>
            </a:solidFill>
            <a:prstDash val="solid"/>
            <a:round/>
            <a:headEnd len="sm" w="sm" type="none"/>
            <a:tailEnd len="sm" w="sm" type="none"/>
          </a:ln>
        </xdr:spPr>
      </xdr:cxnSp>
      <xdr:cxnSp>
        <xdr:nvCxnSpPr>
          <xdr:cNvPr id="20" name="Shape 20"/>
          <xdr:cNvCxnSpPr>
            <a:stCxn id="9" idx="2"/>
            <a:endCxn id="13" idx="0"/>
          </xdr:cNvCxnSpPr>
        </xdr:nvCxnSpPr>
        <xdr:spPr>
          <a:xfrm>
            <a:off x="9474785" y="3028462"/>
            <a:ext cx="2100" cy="1388400"/>
          </a:xfrm>
          <a:prstGeom prst="straightConnector1">
            <a:avLst/>
          </a:prstGeom>
          <a:noFill/>
          <a:ln cap="flat" cmpd="sng" w="9525">
            <a:solidFill>
              <a:srgbClr val="000000"/>
            </a:solidFill>
            <a:prstDash val="solid"/>
            <a:round/>
            <a:headEnd len="sm" w="sm" type="none"/>
            <a:tailEnd len="sm" w="sm" type="none"/>
          </a:ln>
        </xdr:spPr>
      </xdr:cxnSp>
      <xdr:cxnSp>
        <xdr:nvCxnSpPr>
          <xdr:cNvPr id="21" name="Shape 21"/>
          <xdr:cNvCxnSpPr>
            <a:stCxn id="5" idx="2"/>
            <a:endCxn id="19" idx="3"/>
          </xdr:cNvCxnSpPr>
        </xdr:nvCxnSpPr>
        <xdr:spPr>
          <a:xfrm rot="5400000">
            <a:off x="5521165" y="3195404"/>
            <a:ext cx="2954400" cy="149700"/>
          </a:xfrm>
          <a:prstGeom prst="bentConnector2">
            <a:avLst/>
          </a:prstGeom>
          <a:noFill/>
          <a:ln cap="flat" cmpd="sng" w="9525">
            <a:solidFill>
              <a:srgbClr val="000000"/>
            </a:solidFill>
            <a:prstDash val="solid"/>
            <a:round/>
            <a:headEnd len="sm" w="sm" type="none"/>
            <a:tailEnd len="sm" w="sm" type="none"/>
          </a:ln>
        </xdr:spPr>
      </xdr:cxnSp>
      <xdr:grpSp>
        <xdr:nvGrpSpPr>
          <xdr:cNvPr id="22" name="Shape 22"/>
          <xdr:cNvGrpSpPr/>
        </xdr:nvGrpSpPr>
        <xdr:grpSpPr>
          <a:xfrm>
            <a:off x="215937" y="2218825"/>
            <a:ext cx="6707539" cy="5057127"/>
            <a:chOff x="215925" y="2448367"/>
            <a:chExt cx="6423000" cy="4842600"/>
          </a:xfrm>
        </xdr:grpSpPr>
        <xdr:sp>
          <xdr:nvSpPr>
            <xdr:cNvPr id="19" name="Shape 19"/>
            <xdr:cNvSpPr/>
          </xdr:nvSpPr>
          <xdr:spPr>
            <a:xfrm>
              <a:off x="215925" y="2448367"/>
              <a:ext cx="6423000" cy="4842600"/>
            </a:xfrm>
            <a:prstGeom prst="rect">
              <a:avLst/>
            </a:prstGeom>
            <a:solidFill>
              <a:srgbClr val="D9D9D9"/>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SzPts val="1400"/>
                <a:buFont typeface="Arial"/>
                <a:buNone/>
              </a:pPr>
              <a:r>
                <a:t/>
              </a:r>
              <a:endParaRPr b="1" sz="1400"/>
            </a:p>
            <a:p>
              <a:pPr indent="0" lvl="0" marL="0" rtl="0" algn="ctr">
                <a:spcBef>
                  <a:spcPts val="0"/>
                </a:spcBef>
                <a:spcAft>
                  <a:spcPts val="0"/>
                </a:spcAft>
                <a:buSzPts val="1400"/>
                <a:buFont typeface="Arial"/>
                <a:buNone/>
              </a:pPr>
              <a:r>
                <a:rPr b="1" lang="en-US" sz="1400"/>
                <a:t>Development team</a:t>
              </a:r>
              <a:endParaRPr b="1" sz="1400"/>
            </a:p>
          </xdr:txBody>
        </xdr:sp>
        <xdr:grpSp>
          <xdr:nvGrpSpPr>
            <xdr:cNvPr id="23" name="Shape 23"/>
            <xdr:cNvGrpSpPr/>
          </xdr:nvGrpSpPr>
          <xdr:grpSpPr>
            <a:xfrm>
              <a:off x="383386" y="3199804"/>
              <a:ext cx="1930809" cy="1892003"/>
              <a:chOff x="243475" y="2667700"/>
              <a:chExt cx="2074800" cy="2033100"/>
            </a:xfrm>
          </xdr:grpSpPr>
          <xdr:sp>
            <xdr:nvSpPr>
              <xdr:cNvPr id="24" name="Shape 24"/>
              <xdr:cNvSpPr/>
            </xdr:nvSpPr>
            <xdr:spPr>
              <a:xfrm>
                <a:off x="243475" y="2667700"/>
                <a:ext cx="2074800" cy="2033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iOS team</a:t>
                </a:r>
                <a:endParaRPr sz="1400"/>
              </a:p>
            </xdr:txBody>
          </xdr:sp>
          <xdr:sp>
            <xdr:nvSpPr>
              <xdr:cNvPr id="25" name="Shape 25"/>
              <xdr:cNvSpPr/>
            </xdr:nvSpPr>
            <xdr:spPr>
              <a:xfrm>
                <a:off x="350437" y="3163777"/>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iOS</a:t>
                </a:r>
                <a:r>
                  <a:rPr lang="en-US" sz="1400"/>
                  <a:t> Developer </a:t>
                </a:r>
                <a:r>
                  <a:rPr lang="en-US" sz="1400"/>
                  <a:t>１</a:t>
                </a:r>
                <a:endParaRPr sz="1400"/>
              </a:p>
            </xdr:txBody>
          </xdr:sp>
          <xdr:sp>
            <xdr:nvSpPr>
              <xdr:cNvPr id="26" name="Shape 26"/>
              <xdr:cNvSpPr/>
            </xdr:nvSpPr>
            <xdr:spPr>
              <a:xfrm>
                <a:off x="350437" y="3946334"/>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iOS </a:t>
                </a:r>
                <a:r>
                  <a:rPr lang="en-US" sz="1400"/>
                  <a:t>Developer </a:t>
                </a:r>
                <a:r>
                  <a:rPr lang="en-US" sz="1400"/>
                  <a:t>２</a:t>
                </a:r>
                <a:endParaRPr sz="1400"/>
              </a:p>
            </xdr:txBody>
          </xdr:sp>
        </xdr:grpSp>
        <xdr:grpSp>
          <xdr:nvGrpSpPr>
            <xdr:cNvPr id="27" name="Shape 27"/>
            <xdr:cNvGrpSpPr/>
          </xdr:nvGrpSpPr>
          <xdr:grpSpPr>
            <a:xfrm>
              <a:off x="4594595" y="5225254"/>
              <a:ext cx="1930809" cy="1892003"/>
              <a:chOff x="5636813" y="5340275"/>
              <a:chExt cx="2074800" cy="2033100"/>
            </a:xfrm>
          </xdr:grpSpPr>
          <xdr:sp>
            <xdr:nvSpPr>
              <xdr:cNvPr id="28" name="Shape 28"/>
              <xdr:cNvSpPr/>
            </xdr:nvSpPr>
            <xdr:spPr>
              <a:xfrm>
                <a:off x="5636813" y="5340275"/>
                <a:ext cx="2074800" cy="2033100"/>
              </a:xfrm>
              <a:prstGeom prst="rect">
                <a:avLst/>
              </a:prstGeom>
              <a:solidFill>
                <a:srgbClr val="F1C232"/>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Other</a:t>
                </a:r>
                <a:endParaRPr sz="1400"/>
              </a:p>
            </xdr:txBody>
          </xdr:sp>
          <xdr:sp>
            <xdr:nvSpPr>
              <xdr:cNvPr id="29" name="Shape 29"/>
              <xdr:cNvSpPr/>
            </xdr:nvSpPr>
            <xdr:spPr>
              <a:xfrm>
                <a:off x="5743780" y="5816670"/>
                <a:ext cx="1860900" cy="611400"/>
              </a:xfrm>
              <a:prstGeom prst="rect">
                <a:avLst/>
              </a:prstGeom>
              <a:solidFill>
                <a:srgbClr val="F1C23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Designer </a:t>
                </a:r>
                <a:r>
                  <a:rPr lang="en-US" sz="1400"/>
                  <a:t>１</a:t>
                </a:r>
                <a:endParaRPr sz="1400"/>
              </a:p>
            </xdr:txBody>
          </xdr:sp>
          <xdr:sp>
            <xdr:nvSpPr>
              <xdr:cNvPr id="30" name="Shape 30"/>
              <xdr:cNvSpPr/>
            </xdr:nvSpPr>
            <xdr:spPr>
              <a:xfrm>
                <a:off x="5743780" y="6603189"/>
                <a:ext cx="1860900" cy="611400"/>
              </a:xfrm>
              <a:prstGeom prst="rect">
                <a:avLst/>
              </a:prstGeom>
              <a:solidFill>
                <a:srgbClr val="F1C23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Infra </a:t>
                </a:r>
                <a:r>
                  <a:rPr lang="en-US" sz="1400"/>
                  <a:t>１</a:t>
                </a:r>
                <a:endParaRPr sz="1400"/>
              </a:p>
            </xdr:txBody>
          </xdr:sp>
        </xdr:grpSp>
        <xdr:grpSp>
          <xdr:nvGrpSpPr>
            <xdr:cNvPr id="31" name="Shape 31"/>
            <xdr:cNvGrpSpPr/>
          </xdr:nvGrpSpPr>
          <xdr:grpSpPr>
            <a:xfrm>
              <a:off x="2498175" y="3199804"/>
              <a:ext cx="1930809" cy="1892003"/>
              <a:chOff x="243475" y="2667700"/>
              <a:chExt cx="2074800" cy="2033100"/>
            </a:xfrm>
          </xdr:grpSpPr>
          <xdr:sp>
            <xdr:nvSpPr>
              <xdr:cNvPr id="32" name="Shape 32"/>
              <xdr:cNvSpPr/>
            </xdr:nvSpPr>
            <xdr:spPr>
              <a:xfrm>
                <a:off x="243475" y="2667700"/>
                <a:ext cx="2074800" cy="2033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Android team</a:t>
                </a:r>
                <a:endParaRPr sz="1400"/>
              </a:p>
            </xdr:txBody>
          </xdr:sp>
          <xdr:sp>
            <xdr:nvSpPr>
              <xdr:cNvPr id="33" name="Shape 33"/>
              <xdr:cNvSpPr/>
            </xdr:nvSpPr>
            <xdr:spPr>
              <a:xfrm>
                <a:off x="350499" y="3163777"/>
                <a:ext cx="1914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Android </a:t>
                </a:r>
                <a:r>
                  <a:rPr lang="en-US" sz="1400"/>
                  <a:t>Developer </a:t>
                </a:r>
                <a:r>
                  <a:rPr lang="en-US" sz="1400"/>
                  <a:t>１</a:t>
                </a:r>
                <a:endParaRPr sz="1400"/>
              </a:p>
            </xdr:txBody>
          </xdr:sp>
          <xdr:sp>
            <xdr:nvSpPr>
              <xdr:cNvPr id="34" name="Shape 34"/>
              <xdr:cNvSpPr/>
            </xdr:nvSpPr>
            <xdr:spPr>
              <a:xfrm>
                <a:off x="350437" y="3946334"/>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Android</a:t>
                </a:r>
                <a:r>
                  <a:rPr lang="en-US" sz="1400"/>
                  <a:t>Developer </a:t>
                </a:r>
                <a:r>
                  <a:rPr lang="en-US" sz="1400"/>
                  <a:t>２</a:t>
                </a:r>
                <a:endParaRPr sz="1400"/>
              </a:p>
            </xdr:txBody>
          </xdr:sp>
        </xdr:grpSp>
        <xdr:grpSp>
          <xdr:nvGrpSpPr>
            <xdr:cNvPr id="35" name="Shape 35"/>
            <xdr:cNvGrpSpPr/>
          </xdr:nvGrpSpPr>
          <xdr:grpSpPr>
            <a:xfrm>
              <a:off x="383386" y="5225254"/>
              <a:ext cx="1930809" cy="1892003"/>
              <a:chOff x="243475" y="2667700"/>
              <a:chExt cx="2074800" cy="2033100"/>
            </a:xfrm>
          </xdr:grpSpPr>
          <xdr:sp>
            <xdr:nvSpPr>
              <xdr:cNvPr id="36" name="Shape 36"/>
              <xdr:cNvSpPr/>
            </xdr:nvSpPr>
            <xdr:spPr>
              <a:xfrm>
                <a:off x="243475" y="2667700"/>
                <a:ext cx="2074800" cy="2033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Ruby team</a:t>
                </a:r>
                <a:endParaRPr sz="1400"/>
              </a:p>
            </xdr:txBody>
          </xdr:sp>
          <xdr:sp>
            <xdr:nvSpPr>
              <xdr:cNvPr id="37" name="Shape 37"/>
              <xdr:cNvSpPr/>
            </xdr:nvSpPr>
            <xdr:spPr>
              <a:xfrm>
                <a:off x="350437" y="3163777"/>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Ruby </a:t>
                </a:r>
                <a:r>
                  <a:rPr lang="en-US" sz="1400"/>
                  <a:t>Developer </a:t>
                </a:r>
                <a:r>
                  <a:rPr lang="en-US" sz="1400"/>
                  <a:t>１</a:t>
                </a:r>
                <a:endParaRPr sz="1400"/>
              </a:p>
            </xdr:txBody>
          </xdr:sp>
          <xdr:sp>
            <xdr:nvSpPr>
              <xdr:cNvPr id="38" name="Shape 38"/>
              <xdr:cNvSpPr/>
            </xdr:nvSpPr>
            <xdr:spPr>
              <a:xfrm>
                <a:off x="350437" y="3946334"/>
                <a:ext cx="1860900" cy="611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Ruby </a:t>
                </a:r>
                <a:r>
                  <a:rPr lang="en-US" sz="1400"/>
                  <a:t>Developer </a:t>
                </a:r>
                <a:r>
                  <a:rPr lang="en-US" sz="1400"/>
                  <a:t>２</a:t>
                </a:r>
                <a:endParaRPr sz="1400"/>
              </a:p>
            </xdr:txBody>
          </xdr:sp>
        </xdr:grpSp>
        <xdr:grpSp>
          <xdr:nvGrpSpPr>
            <xdr:cNvPr id="39" name="Shape 39"/>
            <xdr:cNvGrpSpPr/>
          </xdr:nvGrpSpPr>
          <xdr:grpSpPr>
            <a:xfrm>
              <a:off x="2488985" y="5225254"/>
              <a:ext cx="1930809" cy="1892003"/>
              <a:chOff x="136513" y="2966400"/>
              <a:chExt cx="2074800" cy="2033100"/>
            </a:xfrm>
          </xdr:grpSpPr>
          <xdr:sp>
            <xdr:nvSpPr>
              <xdr:cNvPr id="40" name="Shape 40"/>
              <xdr:cNvSpPr/>
            </xdr:nvSpPr>
            <xdr:spPr>
              <a:xfrm>
                <a:off x="136513" y="2966400"/>
                <a:ext cx="2074800" cy="2033100"/>
              </a:xfrm>
              <a:prstGeom prst="rect">
                <a:avLst/>
              </a:prstGeom>
              <a:solidFill>
                <a:srgbClr val="F1C232"/>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QA team</a:t>
                </a:r>
                <a:endParaRPr sz="1400"/>
              </a:p>
            </xdr:txBody>
          </xdr:sp>
          <xdr:sp>
            <xdr:nvSpPr>
              <xdr:cNvPr id="41" name="Shape 41"/>
              <xdr:cNvSpPr/>
            </xdr:nvSpPr>
            <xdr:spPr>
              <a:xfrm>
                <a:off x="243474" y="3460152"/>
                <a:ext cx="1860900" cy="611400"/>
              </a:xfrm>
              <a:prstGeom prst="rect">
                <a:avLst/>
              </a:prstGeom>
              <a:solidFill>
                <a:srgbClr val="F1C23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QA</a:t>
                </a:r>
                <a:r>
                  <a:rPr lang="en-US" sz="1400"/>
                  <a:t>１</a:t>
                </a:r>
                <a:endParaRPr sz="1400"/>
              </a:p>
            </xdr:txBody>
          </xdr:sp>
          <xdr:sp>
            <xdr:nvSpPr>
              <xdr:cNvPr id="42" name="Shape 42"/>
              <xdr:cNvSpPr/>
            </xdr:nvSpPr>
            <xdr:spPr>
              <a:xfrm>
                <a:off x="243487" y="4245609"/>
                <a:ext cx="1860900" cy="611400"/>
              </a:xfrm>
              <a:prstGeom prst="rect">
                <a:avLst/>
              </a:prstGeom>
              <a:solidFill>
                <a:srgbClr val="F1C23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QA</a:t>
                </a:r>
                <a:r>
                  <a:rPr lang="en-US" sz="1400"/>
                  <a:t>２</a:t>
                </a:r>
                <a:endParaRPr sz="1400"/>
              </a:p>
            </xdr:txBody>
          </xdr:sp>
        </xdr:grpSp>
      </xdr:grpSp>
      <xdr:cxnSp>
        <xdr:nvCxnSpPr>
          <xdr:cNvPr id="43" name="Shape 43"/>
          <xdr:cNvCxnSpPr>
            <a:stCxn id="5" idx="3"/>
            <a:endCxn id="13" idx="1"/>
          </xdr:cNvCxnSpPr>
        </xdr:nvCxnSpPr>
        <xdr:spPr>
          <a:xfrm>
            <a:off x="8003665" y="1487354"/>
            <a:ext cx="452100" cy="3852900"/>
          </a:xfrm>
          <a:prstGeom prst="bentConnector3">
            <a:avLst>
              <a:gd fmla="val 49987" name="adj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1</xdr:col>
      <xdr:colOff>0</xdr:colOff>
      <xdr:row>0</xdr:row>
      <xdr:rowOff>0</xdr:rowOff>
    </xdr:from>
    <xdr:ext cx="247650" cy="1333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0MhrjOUUW-pZf9yX3YtLdrXLelsJFPfFS-wyToz8HOk/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presentation/d/1bnu0IpTnSrsI9QRD2peeBY5J7eB2B-tAPPKzyQnRUco/edit" TargetMode="External"/><Relationship Id="rId3" Type="http://schemas.openxmlformats.org/officeDocument/2006/relationships/hyperlink" Target="https://docs.google.com/presentation/d/1bnu0IpTnSrsI9QRD2peeBY5J7eB2B-tAPPKzyQnRUco/edit" TargetMode="External"/><Relationship Id="rId4" Type="http://schemas.openxmlformats.org/officeDocument/2006/relationships/hyperlink" Target="https://sal.vn/JfUEt9" TargetMode="External"/><Relationship Id="rId9" Type="http://schemas.openxmlformats.org/officeDocument/2006/relationships/vmlDrawing" Target="../drawings/vmlDrawing1.vml"/><Relationship Id="rId5" Type="http://schemas.openxmlformats.org/officeDocument/2006/relationships/hyperlink" Target="https://sal.vn/Qiljbw" TargetMode="External"/><Relationship Id="rId6" Type="http://schemas.openxmlformats.org/officeDocument/2006/relationships/hyperlink" Target="https://sal.vn/zzeRzq" TargetMode="External"/><Relationship Id="rId7" Type="http://schemas.openxmlformats.org/officeDocument/2006/relationships/hyperlink" Target="https://sal.vn/tFxiD8"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3.75"/>
    <col customWidth="1" min="11" max="12" width="16.38"/>
  </cols>
  <sheetData>
    <row r="1" ht="22.5" customHeight="1">
      <c r="A1" s="1"/>
      <c r="B1" s="2"/>
      <c r="C1" s="2"/>
      <c r="D1" s="2"/>
      <c r="E1" s="3" t="s">
        <v>0</v>
      </c>
      <c r="F1" s="2"/>
      <c r="G1" s="2"/>
      <c r="H1" s="2"/>
      <c r="I1" s="2"/>
      <c r="J1" s="4" t="s">
        <v>1</v>
      </c>
      <c r="K1" s="2"/>
      <c r="L1" s="5"/>
    </row>
    <row r="2" ht="22.5" customHeight="1">
      <c r="A2" s="6"/>
      <c r="E2" s="6"/>
      <c r="J2" s="7" t="s">
        <v>2</v>
      </c>
      <c r="L2" s="8"/>
    </row>
    <row r="3" ht="22.5" customHeight="1">
      <c r="A3" s="6"/>
      <c r="E3" s="6"/>
      <c r="J3" s="9" t="s">
        <v>3</v>
      </c>
      <c r="K3" s="10"/>
      <c r="L3" s="11"/>
    </row>
    <row r="4" ht="22.5" customHeight="1">
      <c r="A4" s="12" t="s">
        <v>4</v>
      </c>
      <c r="B4" s="13"/>
      <c r="C4" s="13"/>
      <c r="D4" s="13"/>
      <c r="E4" s="13"/>
      <c r="F4" s="13"/>
      <c r="G4" s="13"/>
      <c r="H4" s="13"/>
      <c r="I4" s="14"/>
      <c r="J4" s="15" t="s">
        <v>5</v>
      </c>
      <c r="K4" s="10"/>
      <c r="L4" s="11"/>
    </row>
    <row r="5" ht="16.5" customHeight="1">
      <c r="A5" s="16"/>
      <c r="K5" s="17"/>
      <c r="L5" s="18"/>
    </row>
    <row r="6" ht="31.5" customHeight="1">
      <c r="A6" s="19" t="s">
        <v>6</v>
      </c>
      <c r="K6" s="17"/>
      <c r="L6" s="20"/>
    </row>
    <row r="7" ht="20.25" customHeight="1">
      <c r="A7" s="21" t="s">
        <v>7</v>
      </c>
      <c r="B7" s="22" t="s">
        <v>8</v>
      </c>
      <c r="C7" s="13"/>
      <c r="D7" s="14"/>
      <c r="E7" s="22" t="s">
        <v>9</v>
      </c>
      <c r="F7" s="13"/>
      <c r="G7" s="13"/>
      <c r="H7" s="13"/>
      <c r="I7" s="14"/>
      <c r="J7" s="22" t="s">
        <v>10</v>
      </c>
      <c r="K7" s="14"/>
      <c r="L7" s="21" t="s">
        <v>11</v>
      </c>
    </row>
    <row r="8" ht="31.5" customHeight="1">
      <c r="A8" s="23">
        <v>1.0</v>
      </c>
      <c r="B8" s="24"/>
      <c r="C8" s="13"/>
      <c r="D8" s="14"/>
      <c r="E8" s="24" t="s">
        <v>12</v>
      </c>
      <c r="F8" s="13"/>
      <c r="G8" s="13"/>
      <c r="H8" s="13"/>
      <c r="I8" s="14"/>
      <c r="J8" s="25">
        <v>44320.0</v>
      </c>
      <c r="K8" s="14"/>
      <c r="L8" s="26"/>
    </row>
    <row r="9" ht="31.5" customHeight="1">
      <c r="A9" s="23">
        <v>2.0</v>
      </c>
      <c r="B9" s="24" t="s">
        <v>13</v>
      </c>
      <c r="C9" s="13"/>
      <c r="D9" s="14"/>
      <c r="E9" s="24" t="s">
        <v>14</v>
      </c>
      <c r="F9" s="13"/>
      <c r="G9" s="13"/>
      <c r="H9" s="13"/>
      <c r="I9" s="14"/>
      <c r="J9" s="24" t="s">
        <v>15</v>
      </c>
      <c r="K9" s="14"/>
      <c r="L9" s="27"/>
    </row>
    <row r="10" ht="31.5" customHeight="1">
      <c r="A10" s="23">
        <v>3.0</v>
      </c>
      <c r="B10" s="28" t="s">
        <v>16</v>
      </c>
      <c r="C10" s="2"/>
      <c r="D10" s="5"/>
      <c r="E10" s="28" t="s">
        <v>17</v>
      </c>
      <c r="F10" s="2"/>
      <c r="G10" s="2"/>
      <c r="H10" s="2"/>
      <c r="I10" s="5"/>
      <c r="J10" s="24" t="s">
        <v>18</v>
      </c>
      <c r="K10" s="14"/>
      <c r="L10" s="27"/>
    </row>
    <row r="11" ht="31.5" customHeight="1">
      <c r="A11" s="29">
        <v>4.0</v>
      </c>
      <c r="B11" s="30" t="s">
        <v>19</v>
      </c>
      <c r="C11" s="13"/>
      <c r="D11" s="14"/>
      <c r="E11" s="31" t="s">
        <v>20</v>
      </c>
      <c r="F11" s="13"/>
      <c r="G11" s="13"/>
      <c r="H11" s="13"/>
      <c r="I11" s="14"/>
      <c r="J11" s="32" t="s">
        <v>21</v>
      </c>
      <c r="K11" s="14"/>
      <c r="L11" s="33"/>
    </row>
    <row r="12" ht="31.5" customHeight="1">
      <c r="A12" s="34">
        <v>5.0</v>
      </c>
      <c r="B12" s="35" t="s">
        <v>22</v>
      </c>
      <c r="C12" s="13"/>
      <c r="D12" s="14"/>
      <c r="E12" s="36" t="s">
        <v>23</v>
      </c>
      <c r="F12" s="13"/>
      <c r="G12" s="13"/>
      <c r="H12" s="13"/>
      <c r="I12" s="14"/>
      <c r="J12" s="25">
        <v>45455.0</v>
      </c>
      <c r="K12" s="14"/>
      <c r="L12" s="26"/>
    </row>
    <row r="13" ht="31.5" customHeight="1">
      <c r="A13" s="29">
        <v>6.0</v>
      </c>
      <c r="B13" s="31" t="s">
        <v>24</v>
      </c>
      <c r="C13" s="13"/>
      <c r="D13" s="14"/>
      <c r="E13" s="37" t="s">
        <v>25</v>
      </c>
      <c r="F13" s="13"/>
      <c r="G13" s="13"/>
      <c r="H13" s="13"/>
      <c r="I13" s="14"/>
      <c r="J13" s="38" t="s">
        <v>26</v>
      </c>
      <c r="K13" s="14"/>
      <c r="L13" s="39"/>
    </row>
    <row r="14" ht="31.5" customHeight="1">
      <c r="A14" s="40">
        <v>7.0</v>
      </c>
      <c r="B14" s="41" t="s">
        <v>27</v>
      </c>
      <c r="C14" s="13"/>
      <c r="D14" s="14"/>
      <c r="E14" s="42" t="s">
        <v>28</v>
      </c>
      <c r="F14" s="13"/>
      <c r="G14" s="13"/>
      <c r="H14" s="13"/>
      <c r="I14" s="14"/>
      <c r="J14" s="43">
        <v>45694.0</v>
      </c>
      <c r="K14" s="14"/>
      <c r="L14" s="44"/>
    </row>
    <row r="15" ht="31.5" customHeight="1">
      <c r="A15" s="45">
        <v>8.0</v>
      </c>
      <c r="B15" s="37" t="s">
        <v>29</v>
      </c>
      <c r="C15" s="13"/>
      <c r="D15" s="14"/>
      <c r="E15" s="37" t="s">
        <v>30</v>
      </c>
      <c r="F15" s="13"/>
      <c r="G15" s="13"/>
      <c r="H15" s="13"/>
      <c r="I15" s="14"/>
      <c r="J15" s="46" t="s">
        <v>31</v>
      </c>
      <c r="K15" s="14"/>
      <c r="L15" s="47"/>
    </row>
    <row r="16" ht="31.5" customHeight="1">
      <c r="A16" s="48" t="s">
        <v>32</v>
      </c>
      <c r="B16" s="42" t="s">
        <v>33</v>
      </c>
      <c r="C16" s="13"/>
      <c r="D16" s="14"/>
      <c r="E16" s="42" t="s">
        <v>34</v>
      </c>
      <c r="F16" s="13"/>
      <c r="G16" s="13"/>
      <c r="H16" s="13"/>
      <c r="I16" s="14"/>
      <c r="J16" s="42" t="s">
        <v>35</v>
      </c>
      <c r="K16" s="14"/>
      <c r="L16" s="48" t="s">
        <v>36</v>
      </c>
    </row>
    <row r="17" ht="22.5" customHeight="1">
      <c r="A17" s="48" t="s">
        <v>37</v>
      </c>
      <c r="B17" s="42" t="s">
        <v>33</v>
      </c>
      <c r="C17" s="13"/>
      <c r="D17" s="14"/>
      <c r="E17" s="49" t="s">
        <v>38</v>
      </c>
      <c r="F17" s="13"/>
      <c r="G17" s="13"/>
      <c r="H17" s="13"/>
      <c r="I17" s="14"/>
      <c r="J17" s="42" t="s">
        <v>39</v>
      </c>
      <c r="K17" s="14"/>
      <c r="L17" s="48" t="s">
        <v>40</v>
      </c>
    </row>
    <row r="18" ht="22.5" customHeight="1">
      <c r="A18" s="48" t="s">
        <v>41</v>
      </c>
      <c r="B18" s="42" t="s">
        <v>29</v>
      </c>
      <c r="C18" s="13"/>
      <c r="D18" s="14"/>
      <c r="E18" s="49" t="s">
        <v>42</v>
      </c>
      <c r="F18" s="13"/>
      <c r="G18" s="13"/>
      <c r="H18" s="13"/>
      <c r="I18" s="14"/>
      <c r="J18" s="42" t="s">
        <v>39</v>
      </c>
      <c r="K18" s="14"/>
      <c r="L18" s="48" t="s">
        <v>40</v>
      </c>
    </row>
    <row r="19" ht="22.5" customHeight="1">
      <c r="A19" s="50"/>
      <c r="B19" s="51"/>
      <c r="C19" s="51"/>
      <c r="D19" s="51"/>
      <c r="E19" s="51"/>
      <c r="F19" s="51"/>
      <c r="G19" s="51"/>
      <c r="H19" s="51"/>
      <c r="I19" s="51"/>
      <c r="J19" s="51"/>
      <c r="K19" s="52"/>
      <c r="L19" s="51"/>
    </row>
    <row r="20" ht="22.5" customHeight="1">
      <c r="A20" s="50"/>
      <c r="B20" s="51"/>
      <c r="C20" s="51"/>
      <c r="D20" s="51"/>
      <c r="E20" s="51"/>
      <c r="F20" s="51"/>
      <c r="G20" s="51"/>
      <c r="H20" s="51"/>
      <c r="I20" s="51"/>
      <c r="J20" s="51"/>
      <c r="K20" s="52"/>
      <c r="L20" s="51"/>
    </row>
    <row r="21" ht="22.5" customHeight="1">
      <c r="A21" s="53"/>
      <c r="B21" s="54"/>
      <c r="C21" s="54"/>
      <c r="D21" s="54"/>
      <c r="E21" s="54"/>
      <c r="F21" s="54"/>
      <c r="G21" s="54"/>
      <c r="H21" s="54"/>
      <c r="I21" s="54"/>
      <c r="J21" s="54"/>
      <c r="K21" s="55"/>
      <c r="L21" s="51"/>
    </row>
  </sheetData>
  <mergeCells count="45">
    <mergeCell ref="A1:D3"/>
    <mergeCell ref="E1:I3"/>
    <mergeCell ref="J1:L1"/>
    <mergeCell ref="J2:L2"/>
    <mergeCell ref="J3:L3"/>
    <mergeCell ref="A4:I4"/>
    <mergeCell ref="J4:L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 ref="E16:I16"/>
    <mergeCell ref="J16:K16"/>
    <mergeCell ref="B17:D17"/>
    <mergeCell ref="E17:I17"/>
    <mergeCell ref="J17:K17"/>
    <mergeCell ref="B18:D18"/>
    <mergeCell ref="E18:I18"/>
    <mergeCell ref="J18:K18"/>
    <mergeCell ref="B14:D14"/>
    <mergeCell ref="E14:I14"/>
    <mergeCell ref="J14:K14"/>
    <mergeCell ref="B15:D15"/>
    <mergeCell ref="E15:I15"/>
    <mergeCell ref="J15:K15"/>
    <mergeCell ref="B16:D16"/>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88"/>
    <col customWidth="1" min="2" max="2" width="35.0"/>
    <col customWidth="1" min="3" max="3" width="22.75"/>
    <col customWidth="1" min="4" max="4" width="7.38"/>
    <col customWidth="1" min="5" max="5" width="10.13"/>
    <col customWidth="1" min="7" max="7" width="20.5"/>
  </cols>
  <sheetData>
    <row r="1">
      <c r="A1" s="56"/>
      <c r="B1" s="57" t="s">
        <v>0</v>
      </c>
      <c r="C1" s="2"/>
      <c r="D1" s="2"/>
      <c r="E1" s="2"/>
      <c r="F1" s="4" t="s">
        <v>1</v>
      </c>
      <c r="G1" s="5"/>
    </row>
    <row r="2">
      <c r="A2" s="6"/>
      <c r="B2" s="6"/>
      <c r="F2" s="58" t="s">
        <v>2</v>
      </c>
      <c r="G2" s="8"/>
    </row>
    <row r="3">
      <c r="A3" s="6"/>
      <c r="B3" s="6"/>
      <c r="F3" s="59" t="s">
        <v>3</v>
      </c>
      <c r="G3" s="11"/>
    </row>
    <row r="4">
      <c r="A4" s="60" t="s">
        <v>4</v>
      </c>
      <c r="B4" s="13"/>
      <c r="C4" s="13"/>
      <c r="D4" s="13"/>
      <c r="E4" s="13"/>
      <c r="F4" s="15" t="s">
        <v>5</v>
      </c>
      <c r="G4" s="10"/>
    </row>
    <row r="5">
      <c r="A5" s="61"/>
      <c r="B5" s="61"/>
      <c r="C5" s="61"/>
      <c r="E5" s="61"/>
      <c r="F5" s="61"/>
    </row>
    <row r="6">
      <c r="A6" s="62" t="s">
        <v>43</v>
      </c>
      <c r="C6" s="61"/>
      <c r="E6" s="61"/>
      <c r="F6" s="61"/>
    </row>
    <row r="7">
      <c r="A7" s="61"/>
      <c r="C7" s="61"/>
    </row>
    <row r="8">
      <c r="A8" s="63" t="s">
        <v>44</v>
      </c>
      <c r="C8" s="61" t="s">
        <v>45</v>
      </c>
    </row>
    <row r="9">
      <c r="A9" s="63" t="s">
        <v>46</v>
      </c>
      <c r="C9" s="61" t="s">
        <v>47</v>
      </c>
    </row>
    <row r="10">
      <c r="A10" s="63" t="s">
        <v>48</v>
      </c>
    </row>
    <row r="11">
      <c r="A11" s="63" t="s">
        <v>49</v>
      </c>
    </row>
    <row r="12">
      <c r="A12" s="63" t="s">
        <v>50</v>
      </c>
      <c r="C12" s="61" t="s">
        <v>51</v>
      </c>
    </row>
    <row r="13">
      <c r="A13" s="63" t="s">
        <v>52</v>
      </c>
      <c r="C13" s="64" t="s">
        <v>53</v>
      </c>
    </row>
    <row r="14">
      <c r="A14" s="63" t="s">
        <v>54</v>
      </c>
      <c r="C14" s="64" t="s">
        <v>55</v>
      </c>
    </row>
    <row r="15">
      <c r="A15" s="63" t="s">
        <v>56</v>
      </c>
      <c r="C15" s="64" t="s">
        <v>57</v>
      </c>
    </row>
    <row r="16">
      <c r="A16" s="63" t="s">
        <v>58</v>
      </c>
      <c r="C16" s="61" t="s">
        <v>59</v>
      </c>
    </row>
    <row r="17">
      <c r="A17" s="63" t="s">
        <v>60</v>
      </c>
      <c r="C17" s="61" t="s">
        <v>61</v>
      </c>
    </row>
    <row r="18">
      <c r="A18" s="63" t="s">
        <v>62</v>
      </c>
      <c r="C18" s="61" t="s">
        <v>63</v>
      </c>
    </row>
    <row r="19">
      <c r="A19" s="63" t="s">
        <v>64</v>
      </c>
    </row>
  </sheetData>
  <mergeCells count="7">
    <mergeCell ref="A1:A3"/>
    <mergeCell ref="B1:E3"/>
    <mergeCell ref="F1:G1"/>
    <mergeCell ref="F2:G2"/>
    <mergeCell ref="F3:G3"/>
    <mergeCell ref="A4:E4"/>
    <mergeCell ref="F4:G4"/>
  </mergeCells>
  <dataValidations>
    <dataValidation type="list" allowBlank="1" showErrorMessage="1" sqref="C15">
      <formula1>Appendix!$G$19:$G$25</formula1>
    </dataValidation>
    <dataValidation type="list" allowBlank="1" showErrorMessage="1" sqref="C9">
      <formula1>Appendix!$B$19:$B$21</formula1>
    </dataValidation>
    <dataValidation type="list" allowBlank="1" showErrorMessage="1" sqref="C16">
      <formula1>Appendix!$C$19:$D$23</formula1>
    </dataValidation>
    <dataValidation type="list" allowBlank="1" showErrorMessage="1" sqref="C8">
      <formula1>Appendix!$A$19:$A$20</formula1>
    </dataValidation>
    <dataValidation type="list" allowBlank="1" showErrorMessage="1" sqref="C17">
      <formula1>Appendix!$E$19:$E$21</formula1>
    </dataValidation>
    <dataValidation type="list" allowBlank="1" showErrorMessage="1" sqref="C12">
      <formula1>Appendix!$F$19:$F$20</formula1>
    </dataValidation>
    <dataValidation type="list" allowBlank="1" showErrorMessage="1" sqref="C18">
      <formula1>"Yes,No"</formula1>
    </dataValidation>
  </dataValidations>
  <hyperlinks>
    <hyperlink r:id="rId1" location="gid=1984559471" ref="A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75"/>
    <col customWidth="1" min="3" max="3" width="35.5"/>
    <col customWidth="1" min="4" max="4" width="21.75"/>
    <col customWidth="1" min="5" max="5" width="23.88"/>
    <col customWidth="1" min="6" max="6" width="10.13"/>
    <col customWidth="1" min="7" max="7" width="11.0"/>
    <col customWidth="1" min="8" max="8" width="10.13"/>
    <col customWidth="1" min="9" max="9" width="10.25"/>
    <col customWidth="1" min="10" max="10" width="12.63"/>
    <col customWidth="1" min="11" max="11" width="11.75"/>
    <col customWidth="1" min="12" max="12" width="39.75"/>
    <col customWidth="1" min="13" max="13" width="35.13"/>
    <col customWidth="1" min="14" max="14" width="17.25"/>
    <col customWidth="1" min="15" max="18" width="8.5"/>
  </cols>
  <sheetData>
    <row r="1">
      <c r="A1" s="1"/>
      <c r="B1" s="2"/>
      <c r="C1" s="5"/>
      <c r="D1" s="57" t="s">
        <v>0</v>
      </c>
      <c r="E1" s="2"/>
      <c r="F1" s="2"/>
      <c r="G1" s="2"/>
      <c r="H1" s="2"/>
      <c r="I1" s="2"/>
      <c r="J1" s="2"/>
      <c r="K1" s="65" t="s">
        <v>1</v>
      </c>
      <c r="L1" s="2"/>
      <c r="M1" s="2"/>
      <c r="N1" s="5"/>
      <c r="O1" s="66"/>
      <c r="P1" s="66"/>
      <c r="Q1" s="66"/>
      <c r="R1" s="66"/>
    </row>
    <row r="2">
      <c r="A2" s="6"/>
      <c r="C2" s="8"/>
      <c r="D2" s="6"/>
      <c r="K2" s="7" t="s">
        <v>2</v>
      </c>
      <c r="N2" s="8"/>
      <c r="O2" s="66"/>
      <c r="P2" s="66"/>
      <c r="Q2" s="66"/>
      <c r="R2" s="66"/>
    </row>
    <row r="3">
      <c r="A3" s="67"/>
      <c r="B3" s="10"/>
      <c r="C3" s="11"/>
      <c r="D3" s="67"/>
      <c r="E3" s="10"/>
      <c r="F3" s="10"/>
      <c r="G3" s="10"/>
      <c r="H3" s="10"/>
      <c r="I3" s="10"/>
      <c r="J3" s="10"/>
      <c r="K3" s="68" t="s">
        <v>3</v>
      </c>
      <c r="L3" s="10"/>
      <c r="M3" s="10"/>
      <c r="N3" s="11"/>
      <c r="O3" s="66"/>
      <c r="P3" s="66"/>
      <c r="Q3" s="66"/>
      <c r="R3" s="66"/>
    </row>
    <row r="4" ht="22.5" customHeight="1">
      <c r="A4" s="60" t="s">
        <v>4</v>
      </c>
      <c r="B4" s="13"/>
      <c r="C4" s="13"/>
      <c r="D4" s="13"/>
      <c r="E4" s="13"/>
      <c r="F4" s="13"/>
      <c r="G4" s="13"/>
      <c r="H4" s="13"/>
      <c r="I4" s="13"/>
      <c r="J4" s="13"/>
      <c r="K4" s="69" t="s">
        <v>5</v>
      </c>
      <c r="L4" s="10"/>
      <c r="M4" s="10"/>
      <c r="N4" s="11"/>
      <c r="O4" s="66"/>
      <c r="P4" s="66"/>
      <c r="Q4" s="66"/>
      <c r="R4" s="66"/>
    </row>
    <row r="5">
      <c r="A5" s="66"/>
      <c r="B5" s="70"/>
      <c r="C5" s="66"/>
      <c r="D5" s="66"/>
      <c r="E5" s="66"/>
      <c r="F5" s="66"/>
      <c r="G5" s="66"/>
      <c r="H5" s="66"/>
      <c r="I5" s="66"/>
      <c r="J5" s="66"/>
      <c r="K5" s="66"/>
      <c r="L5" s="66"/>
      <c r="M5" s="71"/>
      <c r="N5" s="66"/>
      <c r="O5" s="66"/>
      <c r="P5" s="66"/>
      <c r="Q5" s="66"/>
      <c r="R5" s="66"/>
    </row>
    <row r="6">
      <c r="A6" s="72"/>
      <c r="B6" s="73" t="s">
        <v>65</v>
      </c>
      <c r="C6" s="72"/>
      <c r="D6" s="72"/>
      <c r="E6" s="72"/>
      <c r="F6" s="72"/>
      <c r="G6" s="72"/>
      <c r="H6" s="72"/>
      <c r="I6" s="72"/>
      <c r="J6" s="72"/>
      <c r="K6" s="72"/>
      <c r="L6" s="72"/>
      <c r="M6" s="74"/>
      <c r="N6" s="72"/>
      <c r="O6" s="66"/>
      <c r="P6" s="66"/>
      <c r="Q6" s="66"/>
      <c r="R6" s="66"/>
    </row>
    <row r="7">
      <c r="A7" s="72"/>
      <c r="B7" s="75" t="s">
        <v>66</v>
      </c>
      <c r="C7" s="75" t="s">
        <v>67</v>
      </c>
      <c r="D7" s="75" t="s">
        <v>68</v>
      </c>
      <c r="E7" s="75" t="s">
        <v>69</v>
      </c>
      <c r="F7" s="72"/>
      <c r="G7" s="72"/>
      <c r="H7" s="72"/>
      <c r="I7" s="72"/>
      <c r="J7" s="72"/>
      <c r="K7" s="72"/>
      <c r="L7" s="72"/>
      <c r="M7" s="74"/>
      <c r="N7" s="72"/>
      <c r="O7" s="66"/>
      <c r="P7" s="66"/>
      <c r="Q7" s="66"/>
      <c r="R7" s="66"/>
    </row>
    <row r="8" ht="29.25" customHeight="1">
      <c r="A8" s="72"/>
      <c r="B8" s="76">
        <v>1.0</v>
      </c>
      <c r="C8" s="77" t="s">
        <v>70</v>
      </c>
      <c r="D8" s="78"/>
      <c r="E8" s="77"/>
      <c r="F8" s="72"/>
      <c r="G8" s="72"/>
      <c r="H8" s="72"/>
      <c r="I8" s="72"/>
      <c r="J8" s="72"/>
      <c r="K8" s="72"/>
      <c r="L8" s="72"/>
      <c r="M8" s="74"/>
      <c r="N8" s="72"/>
      <c r="O8" s="66"/>
      <c r="P8" s="66"/>
      <c r="Q8" s="66"/>
      <c r="R8" s="66"/>
    </row>
    <row r="9" ht="29.25" customHeight="1">
      <c r="A9" s="72"/>
      <c r="B9" s="76">
        <v>2.0</v>
      </c>
      <c r="C9" s="77" t="s">
        <v>71</v>
      </c>
      <c r="D9" s="78"/>
      <c r="E9" s="77"/>
      <c r="F9" s="72"/>
      <c r="G9" s="72"/>
      <c r="H9" s="72"/>
      <c r="I9" s="79"/>
      <c r="J9" s="72"/>
      <c r="K9" s="72"/>
      <c r="L9" s="72"/>
      <c r="M9" s="74"/>
      <c r="N9" s="72"/>
      <c r="O9" s="66"/>
      <c r="P9" s="66"/>
      <c r="Q9" s="66"/>
      <c r="R9" s="66"/>
    </row>
    <row r="10" ht="29.25" customHeight="1">
      <c r="A10" s="72"/>
      <c r="B10" s="76">
        <v>3.0</v>
      </c>
      <c r="C10" s="27" t="s">
        <v>72</v>
      </c>
      <c r="D10" s="78"/>
      <c r="E10" s="77"/>
      <c r="F10" s="72"/>
      <c r="G10" s="72"/>
      <c r="H10" s="72"/>
      <c r="I10" s="72"/>
      <c r="J10" s="72"/>
      <c r="K10" s="72"/>
      <c r="L10" s="72"/>
      <c r="M10" s="74"/>
      <c r="N10" s="72"/>
      <c r="O10" s="66"/>
      <c r="P10" s="66"/>
      <c r="Q10" s="66"/>
      <c r="R10" s="66"/>
    </row>
    <row r="11" ht="29.25" customHeight="1">
      <c r="A11" s="72"/>
      <c r="B11" s="76">
        <v>4.0</v>
      </c>
      <c r="C11" s="77" t="s">
        <v>73</v>
      </c>
      <c r="D11" s="78"/>
      <c r="E11" s="77"/>
      <c r="F11" s="72"/>
      <c r="G11" s="72"/>
      <c r="H11" s="72"/>
      <c r="I11" s="72"/>
      <c r="J11" s="72"/>
      <c r="K11" s="72"/>
      <c r="L11" s="72"/>
      <c r="M11" s="74"/>
      <c r="N11" s="72"/>
      <c r="O11" s="66"/>
      <c r="P11" s="66"/>
      <c r="Q11" s="66"/>
      <c r="R11" s="66"/>
    </row>
    <row r="12" ht="29.25" customHeight="1">
      <c r="A12" s="72"/>
      <c r="B12" s="76">
        <v>5.0</v>
      </c>
      <c r="C12" s="27" t="s">
        <v>74</v>
      </c>
      <c r="D12" s="78"/>
      <c r="E12" s="77"/>
      <c r="F12" s="72"/>
      <c r="G12" s="72"/>
      <c r="H12" s="72"/>
      <c r="I12" s="72"/>
      <c r="J12" s="72"/>
      <c r="K12" s="72"/>
      <c r="L12" s="72"/>
      <c r="M12" s="74"/>
      <c r="N12" s="72"/>
      <c r="O12" s="66"/>
      <c r="P12" s="66"/>
      <c r="Q12" s="66"/>
      <c r="R12" s="66"/>
    </row>
    <row r="13" ht="29.25" customHeight="1">
      <c r="A13" s="72"/>
      <c r="B13" s="76">
        <v>6.0</v>
      </c>
      <c r="C13" s="27" t="s">
        <v>75</v>
      </c>
      <c r="D13" s="80"/>
      <c r="E13" s="77"/>
      <c r="F13" s="72"/>
      <c r="G13" s="72"/>
      <c r="H13" s="72"/>
      <c r="I13" s="72"/>
      <c r="J13" s="72"/>
      <c r="K13" s="72"/>
      <c r="L13" s="72"/>
      <c r="M13" s="74"/>
      <c r="N13" s="72"/>
      <c r="O13" s="66"/>
      <c r="P13" s="66"/>
      <c r="Q13" s="66"/>
      <c r="R13" s="66"/>
    </row>
    <row r="14" ht="29.25" customHeight="1">
      <c r="A14" s="72"/>
      <c r="B14" s="76">
        <v>7.0</v>
      </c>
      <c r="C14" s="27" t="s">
        <v>76</v>
      </c>
      <c r="D14" s="78"/>
      <c r="E14" s="77"/>
      <c r="F14" s="72"/>
      <c r="G14" s="72"/>
      <c r="H14" s="72"/>
      <c r="I14" s="72"/>
      <c r="J14" s="72"/>
      <c r="K14" s="72"/>
      <c r="L14" s="72"/>
      <c r="M14" s="74"/>
      <c r="N14" s="72"/>
      <c r="O14" s="66"/>
      <c r="P14" s="66"/>
      <c r="Q14" s="66"/>
      <c r="R14" s="66"/>
    </row>
    <row r="15" ht="29.25" customHeight="1">
      <c r="A15" s="72"/>
      <c r="B15" s="76">
        <v>8.0</v>
      </c>
      <c r="C15" s="27" t="s">
        <v>77</v>
      </c>
      <c r="D15" s="78"/>
      <c r="E15" s="77"/>
      <c r="F15" s="72"/>
      <c r="G15" s="72"/>
      <c r="H15" s="72"/>
      <c r="I15" s="72"/>
      <c r="J15" s="72"/>
      <c r="K15" s="72"/>
      <c r="L15" s="72"/>
      <c r="M15" s="74"/>
      <c r="N15" s="72"/>
      <c r="O15" s="66"/>
      <c r="P15" s="66"/>
      <c r="Q15" s="66"/>
      <c r="R15" s="66"/>
    </row>
    <row r="16">
      <c r="A16" s="72"/>
      <c r="B16" s="76"/>
      <c r="C16" s="81" t="s">
        <v>78</v>
      </c>
      <c r="D16" s="82"/>
      <c r="E16" s="83"/>
      <c r="F16" s="72"/>
      <c r="G16" s="72"/>
      <c r="H16" s="72"/>
      <c r="I16" s="72"/>
      <c r="J16" s="72"/>
      <c r="K16" s="72"/>
      <c r="L16" s="72"/>
      <c r="M16" s="74"/>
      <c r="N16" s="72"/>
      <c r="O16" s="66"/>
      <c r="P16" s="66"/>
      <c r="Q16" s="66"/>
      <c r="R16" s="66"/>
    </row>
    <row r="17">
      <c r="A17" s="84"/>
      <c r="B17" s="85"/>
      <c r="C17" s="84"/>
      <c r="D17" s="84"/>
      <c r="E17" s="84"/>
      <c r="F17" s="84"/>
      <c r="G17" s="84"/>
      <c r="H17" s="84"/>
      <c r="I17" s="84"/>
      <c r="J17" s="84"/>
      <c r="K17" s="84"/>
      <c r="L17" s="86"/>
      <c r="N17" s="84"/>
      <c r="O17" s="66"/>
      <c r="P17" s="66"/>
      <c r="Q17" s="66"/>
      <c r="R17" s="66"/>
    </row>
    <row r="18">
      <c r="A18" s="84"/>
      <c r="B18" s="85"/>
      <c r="C18" s="84"/>
      <c r="D18" s="84"/>
      <c r="E18" s="84"/>
      <c r="F18" s="84"/>
      <c r="G18" s="84"/>
      <c r="H18" s="84"/>
      <c r="I18" s="84"/>
      <c r="J18" s="84"/>
      <c r="K18" s="84"/>
      <c r="N18" s="84"/>
      <c r="O18" s="66"/>
      <c r="P18" s="66"/>
      <c r="Q18" s="66"/>
      <c r="R18" s="66"/>
    </row>
    <row r="19">
      <c r="A19" s="72"/>
      <c r="B19" s="73" t="s">
        <v>79</v>
      </c>
      <c r="C19" s="72"/>
      <c r="D19" s="72"/>
      <c r="E19" s="72"/>
      <c r="F19" s="72"/>
      <c r="G19" s="72"/>
      <c r="H19" s="72"/>
      <c r="I19" s="72"/>
      <c r="J19" s="72"/>
      <c r="K19" s="72"/>
      <c r="L19" s="72"/>
      <c r="M19" s="74"/>
      <c r="N19" s="72"/>
      <c r="O19" s="66"/>
      <c r="P19" s="66"/>
      <c r="Q19" s="66"/>
      <c r="R19" s="66"/>
    </row>
    <row r="20">
      <c r="A20" s="72"/>
      <c r="B20" s="72"/>
      <c r="C20" s="72"/>
      <c r="D20" s="72"/>
      <c r="E20" s="72"/>
      <c r="F20" s="72"/>
      <c r="G20" s="72"/>
      <c r="H20" s="72"/>
      <c r="I20" s="72"/>
      <c r="J20" s="72"/>
      <c r="K20" s="72"/>
      <c r="L20" s="72"/>
      <c r="M20" s="74"/>
      <c r="N20" s="72"/>
      <c r="O20" s="66"/>
      <c r="P20" s="66"/>
      <c r="Q20" s="66"/>
      <c r="R20" s="66"/>
    </row>
    <row r="21">
      <c r="A21" s="72"/>
      <c r="B21" s="73" t="s">
        <v>80</v>
      </c>
      <c r="C21" s="72"/>
      <c r="D21" s="72"/>
      <c r="E21" s="72"/>
      <c r="F21" s="72"/>
      <c r="G21" s="72"/>
      <c r="H21" s="72"/>
      <c r="I21" s="72"/>
      <c r="J21" s="72"/>
      <c r="K21" s="72"/>
      <c r="L21" s="72"/>
      <c r="M21" s="74"/>
      <c r="N21" s="72"/>
      <c r="O21" s="66"/>
      <c r="P21" s="66"/>
      <c r="Q21" s="66"/>
      <c r="R21" s="66"/>
    </row>
    <row r="22">
      <c r="A22" s="72"/>
      <c r="B22" s="87" t="s">
        <v>81</v>
      </c>
      <c r="C22" s="72"/>
      <c r="D22" s="72"/>
      <c r="E22" s="72"/>
      <c r="F22" s="72"/>
      <c r="G22" s="72"/>
      <c r="H22" s="72"/>
      <c r="I22" s="72"/>
      <c r="J22" s="72"/>
      <c r="K22" s="72"/>
      <c r="L22" s="72"/>
      <c r="M22" s="74"/>
      <c r="N22" s="72"/>
      <c r="O22" s="66"/>
      <c r="P22" s="66"/>
      <c r="Q22" s="66"/>
      <c r="R22" s="66"/>
    </row>
    <row r="23">
      <c r="A23" s="72"/>
      <c r="B23" s="75" t="s">
        <v>82</v>
      </c>
      <c r="C23" s="75" t="s">
        <v>83</v>
      </c>
      <c r="D23" s="75" t="s">
        <v>84</v>
      </c>
      <c r="E23" s="75" t="s">
        <v>69</v>
      </c>
      <c r="F23" s="72"/>
      <c r="G23" s="72"/>
      <c r="H23" s="72"/>
      <c r="I23" s="72"/>
      <c r="J23" s="72"/>
      <c r="K23" s="72"/>
      <c r="L23" s="72"/>
      <c r="M23" s="74"/>
      <c r="N23" s="72"/>
      <c r="O23" s="66"/>
      <c r="P23" s="66"/>
      <c r="Q23" s="66"/>
      <c r="R23" s="66"/>
    </row>
    <row r="24" ht="25.5" customHeight="1">
      <c r="A24" s="72"/>
      <c r="B24" s="88">
        <v>1.0</v>
      </c>
      <c r="C24" s="89"/>
      <c r="D24" s="90"/>
      <c r="E24" s="83"/>
      <c r="F24" s="72"/>
      <c r="G24" s="72"/>
      <c r="H24" s="72"/>
      <c r="I24" s="72"/>
      <c r="J24" s="72"/>
      <c r="K24" s="72"/>
      <c r="L24" s="72"/>
      <c r="M24" s="74"/>
      <c r="N24" s="72"/>
      <c r="O24" s="66"/>
      <c r="P24" s="66"/>
      <c r="Q24" s="66"/>
      <c r="R24" s="66"/>
    </row>
    <row r="25" ht="25.5" customHeight="1">
      <c r="A25" s="72"/>
      <c r="B25" s="88">
        <v>2.0</v>
      </c>
      <c r="C25" s="89"/>
      <c r="D25" s="90"/>
      <c r="E25" s="83"/>
      <c r="F25" s="72"/>
      <c r="G25" s="72"/>
      <c r="H25" s="72"/>
      <c r="I25" s="72"/>
      <c r="J25" s="72"/>
      <c r="K25" s="72"/>
      <c r="L25" s="72"/>
      <c r="M25" s="74"/>
      <c r="N25" s="72"/>
      <c r="O25" s="66"/>
      <c r="P25" s="66"/>
      <c r="Q25" s="66"/>
      <c r="R25" s="66"/>
    </row>
    <row r="26">
      <c r="A26" s="72"/>
      <c r="B26" s="72"/>
      <c r="C26" s="72"/>
      <c r="D26" s="72"/>
      <c r="E26" s="72"/>
      <c r="F26" s="72"/>
      <c r="G26" s="72"/>
      <c r="H26" s="72"/>
      <c r="I26" s="72"/>
      <c r="J26" s="72"/>
      <c r="K26" s="72"/>
      <c r="L26" s="72"/>
      <c r="M26" s="74"/>
      <c r="N26" s="72"/>
      <c r="O26" s="66"/>
      <c r="P26" s="66"/>
      <c r="Q26" s="66"/>
      <c r="R26" s="66"/>
    </row>
    <row r="27">
      <c r="A27" s="72"/>
      <c r="B27" s="73" t="s">
        <v>85</v>
      </c>
      <c r="C27" s="72"/>
      <c r="D27" s="72"/>
      <c r="E27" s="72"/>
      <c r="F27" s="72"/>
      <c r="G27" s="72"/>
      <c r="H27" s="72"/>
      <c r="I27" s="72"/>
      <c r="J27" s="72"/>
      <c r="K27" s="72"/>
      <c r="L27" s="72"/>
      <c r="M27" s="74"/>
      <c r="N27" s="72"/>
      <c r="O27" s="66"/>
      <c r="P27" s="66"/>
      <c r="Q27" s="66"/>
      <c r="R27" s="66"/>
    </row>
    <row r="28">
      <c r="A28" s="72"/>
      <c r="B28" s="87" t="s">
        <v>86</v>
      </c>
      <c r="C28" s="72"/>
      <c r="D28" s="72"/>
      <c r="E28" s="72"/>
      <c r="F28" s="72"/>
      <c r="G28" s="72"/>
      <c r="H28" s="72"/>
      <c r="I28" s="72"/>
      <c r="J28" s="72"/>
      <c r="K28" s="72"/>
      <c r="L28" s="72"/>
      <c r="M28" s="74"/>
      <c r="N28" s="72"/>
      <c r="O28" s="66"/>
      <c r="P28" s="66"/>
      <c r="Q28" s="66"/>
      <c r="R28" s="66"/>
    </row>
    <row r="29">
      <c r="A29" s="72"/>
      <c r="B29" s="75" t="s">
        <v>82</v>
      </c>
      <c r="C29" s="75" t="s">
        <v>83</v>
      </c>
      <c r="D29" s="75" t="s">
        <v>84</v>
      </c>
      <c r="E29" s="75" t="s">
        <v>69</v>
      </c>
      <c r="F29" s="72"/>
      <c r="G29" s="72"/>
      <c r="H29" s="72"/>
      <c r="I29" s="72"/>
      <c r="J29" s="72"/>
      <c r="K29" s="72"/>
      <c r="L29" s="72"/>
      <c r="M29" s="74"/>
      <c r="N29" s="72"/>
      <c r="O29" s="66"/>
      <c r="P29" s="66"/>
      <c r="Q29" s="66"/>
      <c r="R29" s="66"/>
    </row>
    <row r="30" ht="24.0" customHeight="1">
      <c r="A30" s="72"/>
      <c r="B30" s="90">
        <v>1.0</v>
      </c>
      <c r="C30" s="83"/>
      <c r="D30" s="90"/>
      <c r="E30" s="83"/>
      <c r="F30" s="72"/>
      <c r="G30" s="72"/>
      <c r="H30" s="72"/>
      <c r="I30" s="72"/>
      <c r="J30" s="72"/>
      <c r="K30" s="72"/>
      <c r="L30" s="72"/>
      <c r="M30" s="74"/>
      <c r="N30" s="72"/>
      <c r="O30" s="66"/>
      <c r="P30" s="66"/>
      <c r="Q30" s="66"/>
      <c r="R30" s="66"/>
    </row>
    <row r="31" ht="24.0" customHeight="1">
      <c r="A31" s="72"/>
      <c r="B31" s="90">
        <v>2.0</v>
      </c>
      <c r="C31" s="83"/>
      <c r="D31" s="90"/>
      <c r="E31" s="83"/>
      <c r="F31" s="72"/>
      <c r="G31" s="72"/>
      <c r="H31" s="72"/>
      <c r="I31" s="72"/>
      <c r="J31" s="72"/>
      <c r="K31" s="72"/>
      <c r="L31" s="72"/>
      <c r="M31" s="74"/>
      <c r="N31" s="72"/>
      <c r="O31" s="66"/>
      <c r="P31" s="66"/>
      <c r="Q31" s="66"/>
      <c r="R31" s="66"/>
    </row>
    <row r="32">
      <c r="A32" s="91"/>
      <c r="B32" s="72"/>
      <c r="C32" s="91"/>
      <c r="D32" s="72"/>
      <c r="E32" s="72"/>
      <c r="F32" s="72"/>
      <c r="G32" s="72"/>
      <c r="H32" s="72"/>
      <c r="I32" s="72"/>
      <c r="J32" s="72"/>
      <c r="K32" s="72"/>
      <c r="L32" s="72"/>
      <c r="M32" s="74"/>
      <c r="N32" s="72"/>
      <c r="O32" s="66"/>
      <c r="P32" s="66"/>
      <c r="Q32" s="66"/>
      <c r="R32" s="66"/>
    </row>
    <row r="33">
      <c r="A33" s="72"/>
      <c r="B33" s="92" t="s">
        <v>87</v>
      </c>
      <c r="C33" s="72"/>
      <c r="D33" s="72"/>
      <c r="E33" s="72"/>
      <c r="F33" s="72"/>
      <c r="G33" s="72"/>
      <c r="H33" s="72"/>
      <c r="I33" s="72"/>
      <c r="J33" s="72"/>
      <c r="K33" s="72"/>
      <c r="L33" s="72"/>
      <c r="M33" s="74"/>
      <c r="N33" s="72"/>
      <c r="O33" s="66"/>
      <c r="P33" s="66"/>
      <c r="Q33" s="66"/>
      <c r="R33" s="66"/>
    </row>
    <row r="34" ht="18.75" customHeight="1">
      <c r="A34" s="72"/>
      <c r="B34" s="93" t="s">
        <v>88</v>
      </c>
      <c r="C34" s="94"/>
      <c r="D34" s="94"/>
      <c r="E34" s="94"/>
      <c r="F34" s="72"/>
      <c r="G34" s="72"/>
      <c r="H34" s="72"/>
      <c r="I34" s="72"/>
      <c r="J34" s="72"/>
      <c r="K34" s="95" t="s">
        <v>89</v>
      </c>
      <c r="L34" s="72"/>
      <c r="M34" s="74"/>
      <c r="N34" s="72"/>
      <c r="O34" s="66"/>
      <c r="P34" s="66"/>
      <c r="Q34" s="66"/>
      <c r="R34" s="66"/>
    </row>
    <row r="35" ht="34.5" customHeight="1">
      <c r="A35" s="72"/>
      <c r="B35" s="96" t="s">
        <v>82</v>
      </c>
      <c r="C35" s="97" t="s">
        <v>83</v>
      </c>
      <c r="D35" s="14"/>
      <c r="E35" s="98" t="s">
        <v>90</v>
      </c>
      <c r="F35" s="99" t="s">
        <v>91</v>
      </c>
      <c r="G35" s="14"/>
      <c r="H35" s="99" t="s">
        <v>92</v>
      </c>
      <c r="I35" s="14"/>
      <c r="J35" s="72"/>
      <c r="K35" s="100" t="s">
        <v>82</v>
      </c>
      <c r="L35" s="101" t="str">
        <f>IFERROR(__xludf.DUMMYFUNCTION("GOOGLETRANSLATE(C35,""en"",""ja"")"),"アイテム")</f>
        <v>アイテム</v>
      </c>
      <c r="M35" s="14"/>
      <c r="N35" s="102" t="str">
        <f>IFERROR(__xludf.DUMMYFUNCTION("GOOGLETRANSLATE(E35,""en"",""ja"")"),"該当する学位")</f>
        <v>該当する学位</v>
      </c>
      <c r="O35" s="101" t="str">
        <f>IFERROR(__xludf.DUMMYFUNCTION("GOOGLETRANSLATE(F35,""en"",""ja"")"),"前提条件")</f>
        <v>前提条件</v>
      </c>
      <c r="P35" s="14"/>
      <c r="Q35" s="101" t="str">
        <f>IFERROR(__xludf.DUMMYFUNCTION("GOOGLETRANSLATE(H35,""en"",""ja"")"),"該当しない理由")</f>
        <v>該当しない理由</v>
      </c>
      <c r="R35" s="14"/>
    </row>
    <row r="36">
      <c r="A36" s="72"/>
      <c r="B36" s="88">
        <v>1.0</v>
      </c>
      <c r="C36" s="38" t="s">
        <v>93</v>
      </c>
      <c r="D36" s="14"/>
      <c r="E36" s="103" t="s">
        <v>94</v>
      </c>
      <c r="F36" s="104"/>
      <c r="G36" s="13"/>
      <c r="H36" s="105"/>
      <c r="I36" s="14"/>
      <c r="J36" s="72"/>
      <c r="K36" s="88">
        <v>1.0</v>
      </c>
      <c r="L36" s="105" t="s">
        <v>95</v>
      </c>
      <c r="M36" s="14"/>
      <c r="N36" s="103" t="s">
        <v>94</v>
      </c>
      <c r="O36" s="105"/>
      <c r="P36" s="14"/>
      <c r="Q36" s="105"/>
      <c r="R36" s="14"/>
    </row>
    <row r="37" ht="20.25" customHeight="1">
      <c r="A37" s="72"/>
      <c r="B37" s="106">
        <v>2.0</v>
      </c>
      <c r="C37" s="107" t="s">
        <v>96</v>
      </c>
      <c r="D37" s="89" t="s">
        <v>97</v>
      </c>
      <c r="E37" s="103" t="b">
        <v>1</v>
      </c>
      <c r="F37" s="104"/>
      <c r="G37" s="13"/>
      <c r="H37" s="105"/>
      <c r="I37" s="14"/>
      <c r="J37" s="72"/>
      <c r="K37" s="106">
        <v>2.0</v>
      </c>
      <c r="L37" s="108" t="s">
        <v>98</v>
      </c>
      <c r="M37" s="109" t="s">
        <v>97</v>
      </c>
      <c r="N37" s="103" t="b">
        <v>1</v>
      </c>
      <c r="O37" s="105"/>
      <c r="P37" s="14"/>
      <c r="Q37" s="105"/>
      <c r="R37" s="14"/>
    </row>
    <row r="38" ht="29.25" customHeight="1">
      <c r="A38" s="72"/>
      <c r="B38" s="110"/>
      <c r="C38" s="110"/>
      <c r="D38" s="111" t="s">
        <v>99</v>
      </c>
      <c r="E38" s="103" t="b">
        <v>1</v>
      </c>
      <c r="F38" s="104"/>
      <c r="G38" s="13"/>
      <c r="H38" s="105"/>
      <c r="I38" s="14"/>
      <c r="J38" s="72"/>
      <c r="K38" s="110"/>
      <c r="L38" s="110"/>
      <c r="M38" s="112" t="s">
        <v>99</v>
      </c>
      <c r="N38" s="103" t="b">
        <v>1</v>
      </c>
      <c r="O38" s="105"/>
      <c r="P38" s="14"/>
      <c r="Q38" s="105"/>
      <c r="R38" s="14"/>
    </row>
    <row r="39" ht="21.75" customHeight="1">
      <c r="A39" s="72"/>
      <c r="B39" s="113"/>
      <c r="C39" s="113"/>
      <c r="D39" s="111" t="s">
        <v>100</v>
      </c>
      <c r="E39" s="103" t="b">
        <v>1</v>
      </c>
      <c r="F39" s="104"/>
      <c r="G39" s="13"/>
      <c r="H39" s="105"/>
      <c r="I39" s="14"/>
      <c r="J39" s="72"/>
      <c r="K39" s="113"/>
      <c r="L39" s="113"/>
      <c r="M39" s="112" t="s">
        <v>100</v>
      </c>
      <c r="N39" s="103" t="b">
        <v>1</v>
      </c>
      <c r="O39" s="105"/>
      <c r="P39" s="14"/>
      <c r="Q39" s="105"/>
      <c r="R39" s="14"/>
    </row>
    <row r="40" ht="33.0" customHeight="1">
      <c r="A40" s="72"/>
      <c r="B40" s="88">
        <v>3.0</v>
      </c>
      <c r="C40" s="114" t="s">
        <v>101</v>
      </c>
      <c r="D40" s="14"/>
      <c r="E40" s="103" t="b">
        <v>1</v>
      </c>
      <c r="F40" s="104"/>
      <c r="G40" s="13"/>
      <c r="H40" s="105"/>
      <c r="I40" s="14"/>
      <c r="J40" s="72"/>
      <c r="K40" s="88">
        <v>3.0</v>
      </c>
      <c r="L40" s="115" t="s">
        <v>102</v>
      </c>
      <c r="M40" s="14"/>
      <c r="N40" s="103" t="b">
        <v>1</v>
      </c>
      <c r="O40" s="105"/>
      <c r="P40" s="14"/>
      <c r="Q40" s="105"/>
      <c r="R40" s="14"/>
    </row>
    <row r="41" ht="79.5" customHeight="1">
      <c r="A41" s="74"/>
      <c r="B41" s="23">
        <v>4.0</v>
      </c>
      <c r="C41" s="38" t="s">
        <v>103</v>
      </c>
      <c r="D41" s="14"/>
      <c r="E41" s="40" t="s">
        <v>104</v>
      </c>
      <c r="F41" s="116"/>
      <c r="G41" s="13"/>
      <c r="H41" s="115"/>
      <c r="I41" s="14"/>
      <c r="J41" s="74"/>
      <c r="K41" s="23">
        <v>4.0</v>
      </c>
      <c r="L41" s="115" t="s">
        <v>105</v>
      </c>
      <c r="M41" s="14"/>
      <c r="N41" s="40" t="s">
        <v>104</v>
      </c>
      <c r="O41" s="115"/>
      <c r="P41" s="14"/>
      <c r="Q41" s="115"/>
      <c r="R41" s="14"/>
    </row>
    <row r="42" ht="21.75" customHeight="1">
      <c r="A42" s="72"/>
      <c r="B42" s="88">
        <v>5.0</v>
      </c>
      <c r="C42" s="32" t="s">
        <v>106</v>
      </c>
      <c r="D42" s="14"/>
      <c r="E42" s="103" t="s">
        <v>104</v>
      </c>
      <c r="F42" s="104"/>
      <c r="G42" s="13"/>
      <c r="H42" s="105"/>
      <c r="I42" s="14"/>
      <c r="J42" s="72"/>
      <c r="K42" s="88">
        <v>5.0</v>
      </c>
      <c r="L42" s="117" t="s">
        <v>107</v>
      </c>
      <c r="M42" s="14"/>
      <c r="N42" s="103" t="s">
        <v>104</v>
      </c>
      <c r="O42" s="105"/>
      <c r="P42" s="14"/>
      <c r="Q42" s="105"/>
      <c r="R42" s="14"/>
    </row>
    <row r="43" ht="21.75" customHeight="1">
      <c r="A43" s="72"/>
      <c r="B43" s="88">
        <v>6.0</v>
      </c>
      <c r="C43" s="38" t="s">
        <v>108</v>
      </c>
      <c r="D43" s="14"/>
      <c r="E43" s="103" t="b">
        <v>1</v>
      </c>
      <c r="F43" s="104"/>
      <c r="G43" s="13"/>
      <c r="H43" s="105"/>
      <c r="I43" s="14"/>
      <c r="J43" s="72"/>
      <c r="K43" s="88">
        <v>6.0</v>
      </c>
      <c r="L43" s="117" t="s">
        <v>109</v>
      </c>
      <c r="M43" s="14"/>
      <c r="N43" s="103" t="b">
        <v>1</v>
      </c>
      <c r="O43" s="105"/>
      <c r="P43" s="14"/>
      <c r="Q43" s="105"/>
      <c r="R43" s="14"/>
    </row>
    <row r="44" ht="21.75" customHeight="1">
      <c r="A44" s="72"/>
      <c r="B44" s="88">
        <v>7.0</v>
      </c>
      <c r="C44" s="38" t="s">
        <v>110</v>
      </c>
      <c r="D44" s="14"/>
      <c r="E44" s="103" t="b">
        <v>1</v>
      </c>
      <c r="F44" s="104"/>
      <c r="G44" s="13"/>
      <c r="H44" s="105"/>
      <c r="I44" s="14"/>
      <c r="J44" s="72"/>
      <c r="K44" s="88">
        <v>7.0</v>
      </c>
      <c r="L44" s="117" t="s">
        <v>111</v>
      </c>
      <c r="M44" s="14"/>
      <c r="N44" s="103" t="b">
        <v>1</v>
      </c>
      <c r="O44" s="105"/>
      <c r="P44" s="14"/>
      <c r="Q44" s="105"/>
      <c r="R44" s="14"/>
    </row>
    <row r="45" ht="21.75" customHeight="1">
      <c r="A45" s="72"/>
      <c r="B45" s="88">
        <v>8.0</v>
      </c>
      <c r="C45" s="38" t="s">
        <v>112</v>
      </c>
      <c r="D45" s="14"/>
      <c r="E45" s="103" t="b">
        <v>1</v>
      </c>
      <c r="F45" s="104"/>
      <c r="G45" s="13"/>
      <c r="H45" s="105"/>
      <c r="I45" s="14"/>
      <c r="J45" s="72"/>
      <c r="K45" s="88">
        <v>8.0</v>
      </c>
      <c r="L45" s="117" t="s">
        <v>113</v>
      </c>
      <c r="M45" s="14"/>
      <c r="N45" s="103" t="b">
        <v>1</v>
      </c>
      <c r="O45" s="105"/>
      <c r="P45" s="14"/>
      <c r="Q45" s="105"/>
      <c r="R45" s="14"/>
    </row>
    <row r="46">
      <c r="A46" s="118"/>
      <c r="B46" s="88">
        <v>9.0</v>
      </c>
      <c r="C46" s="38" t="s">
        <v>114</v>
      </c>
      <c r="D46" s="14"/>
      <c r="E46" s="103" t="b">
        <v>1</v>
      </c>
      <c r="F46" s="104"/>
      <c r="G46" s="13"/>
      <c r="H46" s="105"/>
      <c r="I46" s="14"/>
      <c r="J46" s="118"/>
      <c r="K46" s="88">
        <v>9.0</v>
      </c>
      <c r="L46" s="38" t="s">
        <v>115</v>
      </c>
      <c r="M46" s="14"/>
      <c r="N46" s="103" t="b">
        <v>1</v>
      </c>
      <c r="O46" s="105"/>
      <c r="P46" s="14"/>
      <c r="Q46" s="105"/>
      <c r="R46" s="14"/>
    </row>
    <row r="47">
      <c r="A47" s="118"/>
      <c r="B47" s="88">
        <v>10.0</v>
      </c>
      <c r="C47" s="38" t="s">
        <v>116</v>
      </c>
      <c r="D47" s="14"/>
      <c r="E47" s="103" t="b">
        <v>0</v>
      </c>
      <c r="F47" s="104"/>
      <c r="G47" s="13"/>
      <c r="H47" s="105"/>
      <c r="I47" s="14"/>
      <c r="J47" s="118"/>
      <c r="K47" s="88">
        <v>10.0</v>
      </c>
      <c r="L47" s="115" t="s">
        <v>117</v>
      </c>
      <c r="M47" s="14"/>
      <c r="N47" s="103" t="b">
        <v>0</v>
      </c>
      <c r="O47" s="105"/>
      <c r="P47" s="14"/>
      <c r="Q47" s="105"/>
      <c r="R47" s="14"/>
    </row>
    <row r="48">
      <c r="A48" s="118"/>
      <c r="B48" s="88">
        <v>11.0</v>
      </c>
      <c r="C48" s="38" t="s">
        <v>118</v>
      </c>
      <c r="D48" s="14"/>
      <c r="E48" s="103" t="s">
        <v>104</v>
      </c>
      <c r="F48" s="104"/>
      <c r="G48" s="13"/>
      <c r="H48" s="105"/>
      <c r="I48" s="14"/>
      <c r="J48" s="118"/>
      <c r="K48" s="88">
        <v>11.0</v>
      </c>
      <c r="L48" s="115" t="s">
        <v>119</v>
      </c>
      <c r="M48" s="14"/>
      <c r="N48" s="103" t="s">
        <v>104</v>
      </c>
      <c r="O48" s="105"/>
      <c r="P48" s="14"/>
      <c r="Q48" s="105"/>
      <c r="R48" s="14"/>
    </row>
    <row r="49">
      <c r="A49" s="118"/>
      <c r="B49" s="86"/>
      <c r="C49" s="118"/>
      <c r="D49" s="118"/>
      <c r="E49" s="118"/>
      <c r="G49" s="118"/>
      <c r="H49" s="118"/>
      <c r="I49" s="118"/>
      <c r="J49" s="118"/>
      <c r="K49" s="118"/>
      <c r="L49" s="118"/>
      <c r="M49" s="119"/>
      <c r="N49" s="118"/>
      <c r="O49" s="66"/>
      <c r="P49" s="66"/>
      <c r="Q49" s="66"/>
      <c r="R49" s="66"/>
    </row>
    <row r="50">
      <c r="A50" s="66"/>
      <c r="B50" s="93" t="s">
        <v>120</v>
      </c>
      <c r="C50" s="66"/>
      <c r="D50" s="66"/>
      <c r="E50" s="66"/>
      <c r="F50" s="66"/>
      <c r="G50" s="66"/>
      <c r="H50" s="66"/>
      <c r="I50" s="66"/>
      <c r="J50" s="66"/>
      <c r="K50" s="95" t="s">
        <v>89</v>
      </c>
      <c r="L50" s="66"/>
      <c r="M50" s="71"/>
      <c r="N50" s="66"/>
      <c r="O50" s="66"/>
      <c r="P50" s="66"/>
      <c r="Q50" s="66"/>
      <c r="R50" s="66"/>
    </row>
    <row r="51">
      <c r="A51" s="72"/>
      <c r="B51" s="96" t="s">
        <v>67</v>
      </c>
      <c r="C51" s="97" t="s">
        <v>83</v>
      </c>
      <c r="D51" s="14"/>
      <c r="E51" s="98" t="s">
        <v>90</v>
      </c>
      <c r="F51" s="99" t="s">
        <v>91</v>
      </c>
      <c r="G51" s="14"/>
      <c r="H51" s="99" t="s">
        <v>92</v>
      </c>
      <c r="I51" s="14"/>
      <c r="J51" s="72"/>
      <c r="K51" s="102" t="str">
        <f>IFERROR(__xludf.DUMMYFUNCTION("GOOGLETRANSLATE(B51,""en"",""ja"")"),"役割")</f>
        <v>役割</v>
      </c>
      <c r="L51" s="101" t="str">
        <f>IFERROR(__xludf.DUMMYFUNCTION("GOOGLETRANSLATE(C51,""en"",""ja"")"),"アイテム")</f>
        <v>アイテム</v>
      </c>
      <c r="M51" s="14"/>
      <c r="N51" s="102" t="str">
        <f>IFERROR(__xludf.DUMMYFUNCTION("GOOGLETRANSLATE(E51,""en"",""ja"")"),"該当する学位")</f>
        <v>該当する学位</v>
      </c>
      <c r="O51" s="101" t="str">
        <f>IFERROR(__xludf.DUMMYFUNCTION("GOOGLETRANSLATE(F51,""en"",""ja"")"),"前提条件")</f>
        <v>前提条件</v>
      </c>
      <c r="P51" s="14"/>
      <c r="Q51" s="101" t="str">
        <f>IFERROR(__xludf.DUMMYFUNCTION("GOOGLETRANSLATE(H51,""en"",""ja"")"),"該当しない理由")</f>
        <v>該当しない理由</v>
      </c>
      <c r="R51" s="14"/>
    </row>
    <row r="52" ht="24.0" customHeight="1">
      <c r="A52" s="66"/>
      <c r="B52" s="106" t="s">
        <v>70</v>
      </c>
      <c r="C52" s="38" t="s">
        <v>121</v>
      </c>
      <c r="D52" s="14"/>
      <c r="E52" s="103" t="s">
        <v>104</v>
      </c>
      <c r="F52" s="104"/>
      <c r="G52" s="13"/>
      <c r="H52" s="105"/>
      <c r="I52" s="14"/>
      <c r="J52" s="66"/>
      <c r="K52" s="106" t="s">
        <v>70</v>
      </c>
      <c r="L52" s="120" t="str">
        <f>IFERROR(__xludf.DUMMYFUNCTION("GOOGLETRANSLATE(C52,""en"",""ja"")"),"新規システムを開発するか、既存システム内で開発するか？")</f>
        <v>新規システムを開発するか、既存システム内で開発するか？</v>
      </c>
      <c r="M52" s="14"/>
      <c r="N52" s="103" t="s">
        <v>104</v>
      </c>
      <c r="O52" s="105"/>
      <c r="P52" s="14"/>
      <c r="Q52" s="105"/>
      <c r="R52" s="14"/>
    </row>
    <row r="53" ht="24.0" customHeight="1">
      <c r="A53" s="66"/>
      <c r="B53" s="110"/>
      <c r="C53" s="121" t="s">
        <v>122</v>
      </c>
      <c r="D53" s="121"/>
      <c r="E53" s="103" t="b">
        <v>1</v>
      </c>
      <c r="F53" s="104"/>
      <c r="G53" s="13"/>
      <c r="H53" s="105"/>
      <c r="I53" s="14"/>
      <c r="J53" s="66"/>
      <c r="K53" s="110"/>
      <c r="L53" s="120" t="str">
        <f>IFERROR(__xludf.DUMMYFUNCTION("GOOGLETRANSLATE(C53,""en"",""ja"")"),"アーキテクチャ（マイクロサービス、モノリシック、マルチテナント）")</f>
        <v>アーキテクチャ（マイクロサービス、モノリシック、マルチテナント）</v>
      </c>
      <c r="M53" s="14"/>
      <c r="N53" s="103" t="b">
        <v>1</v>
      </c>
      <c r="O53" s="105" t="str">
        <f>IFERROR(__xludf.DUMMYFUNCTION("iferror(GOOGLETRANSLATE(F53,""en"",""ja""),"""")"),"")</f>
        <v/>
      </c>
      <c r="P53" s="14"/>
      <c r="Q53" s="105"/>
      <c r="R53" s="14"/>
    </row>
    <row r="54" ht="24.0" customHeight="1">
      <c r="A54" s="66"/>
      <c r="B54" s="110"/>
      <c r="C54" s="122" t="s">
        <v>123</v>
      </c>
      <c r="D54" s="123" t="s">
        <v>124</v>
      </c>
      <c r="E54" s="103" t="b">
        <v>1</v>
      </c>
      <c r="F54" s="104"/>
      <c r="G54" s="13"/>
      <c r="H54" s="105"/>
      <c r="I54" s="14"/>
      <c r="J54" s="66"/>
      <c r="K54" s="110"/>
      <c r="L54" s="124" t="str">
        <f>IFERROR(__xludf.DUMMYFUNCTION("GOOGLETRANSLATE(C54,""en"",""ja"")"),"作業範囲")</f>
        <v>作業範囲</v>
      </c>
      <c r="M54" s="125" t="str">
        <f>IFERROR(__xludf.DUMMYFUNCTION("GOOGLETRANSLATE(D54,""en"",""ja"")"),"単体テスト")</f>
        <v>単体テスト</v>
      </c>
      <c r="N54" s="103" t="b">
        <v>1</v>
      </c>
      <c r="O54" s="105" t="str">
        <f>IFERROR(__xludf.DUMMYFUNCTION("iferror(GOOGLETRANSLATE(F54,""en"",""ja""),"""")"),"")</f>
        <v/>
      </c>
      <c r="P54" s="14"/>
      <c r="Q54" s="105"/>
      <c r="R54" s="14"/>
    </row>
    <row r="55" ht="24.0" customHeight="1">
      <c r="A55" s="66"/>
      <c r="B55" s="110"/>
      <c r="C55" s="110"/>
      <c r="D55" s="126" t="s">
        <v>125</v>
      </c>
      <c r="E55" s="103" t="b">
        <v>1</v>
      </c>
      <c r="F55" s="104"/>
      <c r="G55" s="13"/>
      <c r="H55" s="105"/>
      <c r="I55" s="14"/>
      <c r="J55" s="66"/>
      <c r="K55" s="110"/>
      <c r="L55" s="110"/>
      <c r="M55" s="125" t="str">
        <f>IFERROR(__xludf.DUMMYFUNCTION("GOOGLETRANSLATE(D55,""en"",""ja"")"),"システム設計を提供する")</f>
        <v>システム設計を提供する</v>
      </c>
      <c r="N55" s="103" t="b">
        <v>1</v>
      </c>
      <c r="O55" s="105" t="str">
        <f>IFERROR(__xludf.DUMMYFUNCTION("iferror(GOOGLETRANSLATE(F55,""en"",""ja""),"""")"),"")</f>
        <v/>
      </c>
      <c r="P55" s="14"/>
      <c r="Q55" s="105"/>
      <c r="R55" s="14"/>
    </row>
    <row r="56" ht="24.0" customHeight="1">
      <c r="A56" s="66"/>
      <c r="B56" s="110"/>
      <c r="C56" s="110"/>
      <c r="D56" s="126" t="s">
        <v>126</v>
      </c>
      <c r="E56" s="103" t="b">
        <v>1</v>
      </c>
      <c r="F56" s="104"/>
      <c r="G56" s="13"/>
      <c r="H56" s="105"/>
      <c r="I56" s="14"/>
      <c r="J56" s="66"/>
      <c r="K56" s="110"/>
      <c r="L56" s="110"/>
      <c r="M56" s="125" t="str">
        <f>IFERROR(__xludf.DUMMYFUNCTION("GOOGLETRANSLATE(D56,""en"",""ja"")"),"API設計を提供する")</f>
        <v>API設計を提供する</v>
      </c>
      <c r="N56" s="103" t="b">
        <v>1</v>
      </c>
      <c r="O56" s="105" t="str">
        <f>IFERROR(__xludf.DUMMYFUNCTION("iferror(GOOGLETRANSLATE(F56,""en"",""ja""),"""")"),"")</f>
        <v/>
      </c>
      <c r="P56" s="14"/>
      <c r="Q56" s="105"/>
      <c r="R56" s="14"/>
    </row>
    <row r="57" ht="24.0" customHeight="1">
      <c r="A57" s="66"/>
      <c r="B57" s="110"/>
      <c r="C57" s="110"/>
      <c r="D57" s="126" t="s">
        <v>127</v>
      </c>
      <c r="E57" s="103" t="b">
        <v>1</v>
      </c>
      <c r="F57" s="104"/>
      <c r="G57" s="13"/>
      <c r="H57" s="105"/>
      <c r="I57" s="14"/>
      <c r="J57" s="66"/>
      <c r="K57" s="110"/>
      <c r="L57" s="110"/>
      <c r="M57" s="125" t="str">
        <f>IFERROR(__xludf.DUMMYFUNCTION("GOOGLETRANSLATE(D57,""en"",""ja"")"),"データベース設計を提供する")</f>
        <v>データベース設計を提供する</v>
      </c>
      <c r="N57" s="103" t="b">
        <v>1</v>
      </c>
      <c r="O57" s="105" t="str">
        <f>IFERROR(__xludf.DUMMYFUNCTION("iferror(GOOGLETRANSLATE(F57,""en"",""ja""),"""")"),"")</f>
        <v/>
      </c>
      <c r="P57" s="14"/>
      <c r="Q57" s="105"/>
      <c r="R57" s="14"/>
    </row>
    <row r="58" ht="24.0" customHeight="1">
      <c r="A58" s="66"/>
      <c r="B58" s="110"/>
      <c r="C58" s="110"/>
      <c r="D58" s="127" t="s">
        <v>128</v>
      </c>
      <c r="E58" s="103" t="b">
        <v>1</v>
      </c>
      <c r="F58" s="104"/>
      <c r="G58" s="13"/>
      <c r="H58" s="105"/>
      <c r="I58" s="14"/>
      <c r="J58" s="66"/>
      <c r="K58" s="110"/>
      <c r="L58" s="110"/>
      <c r="M58" s="125" t="str">
        <f>IFERROR(__xludf.DUMMYFUNCTION("GOOGLETRANSLATE(D58,""en"",""ja"")"),"CI/CDを統合する")</f>
        <v>CI/CDを統合する</v>
      </c>
      <c r="N58" s="103" t="b">
        <v>1</v>
      </c>
      <c r="O58" s="105" t="str">
        <f>IFERROR(__xludf.DUMMYFUNCTION("iferror(GOOGLETRANSLATE(F58,""en"",""ja""),"""")"),"")</f>
        <v/>
      </c>
      <c r="P58" s="14"/>
      <c r="Q58" s="105"/>
      <c r="R58" s="14"/>
    </row>
    <row r="59" ht="24.0" customHeight="1">
      <c r="A59" s="66"/>
      <c r="B59" s="110"/>
      <c r="C59" s="110"/>
      <c r="D59" s="127" t="s">
        <v>129</v>
      </c>
      <c r="E59" s="103" t="b">
        <v>1</v>
      </c>
      <c r="F59" s="104"/>
      <c r="G59" s="13"/>
      <c r="H59" s="105"/>
      <c r="I59" s="14"/>
      <c r="J59" s="66"/>
      <c r="K59" s="110"/>
      <c r="L59" s="110"/>
      <c r="M59" s="125" t="str">
        <f>IFERROR(__xludf.DUMMYFUNCTION("GOOGLETRANSLATE(D59,""en"",""ja"")"),"サードパーティサービスを統合する")</f>
        <v>サードパーティサービスを統合する</v>
      </c>
      <c r="N59" s="103" t="b">
        <v>1</v>
      </c>
      <c r="O59" s="105" t="str">
        <f>IFERROR(__xludf.DUMMYFUNCTION("iferror(GOOGLETRANSLATE(F59,""en"",""ja""),"""")"),"")</f>
        <v/>
      </c>
      <c r="P59" s="14"/>
      <c r="Q59" s="105"/>
      <c r="R59" s="14"/>
    </row>
    <row r="60" ht="24.0" customHeight="1">
      <c r="A60" s="66"/>
      <c r="B60" s="110"/>
      <c r="C60" s="110"/>
      <c r="D60" s="126" t="s">
        <v>130</v>
      </c>
      <c r="E60" s="103" t="b">
        <v>1</v>
      </c>
      <c r="F60" s="104"/>
      <c r="G60" s="13"/>
      <c r="H60" s="105"/>
      <c r="I60" s="14"/>
      <c r="J60" s="66"/>
      <c r="K60" s="110"/>
      <c r="L60" s="110"/>
      <c r="M60" s="125" t="str">
        <f>IFERROR(__xludf.DUMMYFUNCTION("GOOGLETRANSLATE(D60,""en"",""ja"")"),"支払い関連機能の開発")</f>
        <v>支払い関連機能の開発</v>
      </c>
      <c r="N60" s="103" t="b">
        <v>1</v>
      </c>
      <c r="O60" s="105" t="str">
        <f>IFERROR(__xludf.DUMMYFUNCTION("iferror(GOOGLETRANSLATE(F60,""en"",""ja""),"""")"),"")</f>
        <v/>
      </c>
      <c r="P60" s="14"/>
      <c r="Q60" s="105"/>
      <c r="R60" s="14"/>
    </row>
    <row r="61" ht="24.0" customHeight="1">
      <c r="A61" s="66"/>
      <c r="B61" s="110"/>
      <c r="C61" s="110"/>
      <c r="D61" s="123" t="s">
        <v>131</v>
      </c>
      <c r="E61" s="103" t="b">
        <v>1</v>
      </c>
      <c r="F61" s="104"/>
      <c r="G61" s="13"/>
      <c r="H61" s="105"/>
      <c r="I61" s="14"/>
      <c r="J61" s="66"/>
      <c r="K61" s="110"/>
      <c r="L61" s="110"/>
      <c r="M61" s="125" t="str">
        <f>IFERROR(__xludf.DUMMYFUNCTION("GOOGLETRANSLATE(D61,""en"",""ja"")"),"古いシステムからデータを移行する")</f>
        <v>古いシステムからデータを移行する</v>
      </c>
      <c r="N61" s="103" t="b">
        <v>1</v>
      </c>
      <c r="O61" s="105" t="str">
        <f>IFERROR(__xludf.DUMMYFUNCTION("iferror(GOOGLETRANSLATE(F61,""en"",""ja""),"""")"),"")</f>
        <v/>
      </c>
      <c r="P61" s="14"/>
      <c r="Q61" s="105"/>
      <c r="R61" s="14"/>
    </row>
    <row r="62" ht="24.0" customHeight="1">
      <c r="A62" s="66"/>
      <c r="B62" s="110"/>
      <c r="C62" s="113"/>
      <c r="D62" s="123" t="s">
        <v>132</v>
      </c>
      <c r="E62" s="103" t="b">
        <v>1</v>
      </c>
      <c r="F62" s="104"/>
      <c r="G62" s="13"/>
      <c r="H62" s="105"/>
      <c r="I62" s="14"/>
      <c r="J62" s="66"/>
      <c r="K62" s="110"/>
      <c r="L62" s="113"/>
      <c r="M62" s="125" t="str">
        <f>IFERROR(__xludf.DUMMYFUNCTION("GOOGLETRANSLATE(D62,""en"",""ja"")"),"本番環境への展開")</f>
        <v>本番環境への展開</v>
      </c>
      <c r="N62" s="103" t="b">
        <v>1</v>
      </c>
      <c r="O62" s="105" t="str">
        <f>IFERROR(__xludf.DUMMYFUNCTION("iferror(GOOGLETRANSLATE(F62,""en"",""ja""),"""")"),"")</f>
        <v/>
      </c>
      <c r="P62" s="14"/>
      <c r="Q62" s="105"/>
      <c r="R62" s="14"/>
    </row>
    <row r="63" ht="24.0" customHeight="1">
      <c r="A63" s="66"/>
      <c r="B63" s="110"/>
      <c r="C63" s="128" t="s">
        <v>133</v>
      </c>
      <c r="D63" s="14"/>
      <c r="E63" s="103" t="s">
        <v>104</v>
      </c>
      <c r="F63" s="104"/>
      <c r="G63" s="13"/>
      <c r="H63" s="105"/>
      <c r="I63" s="14"/>
      <c r="J63" s="66"/>
      <c r="K63" s="110"/>
      <c r="L63" s="120" t="str">
        <f>IFERROR(__xludf.DUMMYFUNCTION("GOOGLETRANSLATE(C63,""en"",""ja"")"),"その他の想定リスクおよび前提条件")</f>
        <v>その他の想定リスクおよび前提条件</v>
      </c>
      <c r="M63" s="14"/>
      <c r="N63" s="103" t="s">
        <v>104</v>
      </c>
      <c r="O63" s="105" t="str">
        <f>IFERROR(__xludf.DUMMYFUNCTION("iferror(GOOGLETRANSLATE(F63,""en"",""ja""),"""")"),"")</f>
        <v/>
      </c>
      <c r="P63" s="14"/>
      <c r="Q63" s="105"/>
      <c r="R63" s="14"/>
    </row>
    <row r="64" ht="24.0" customHeight="1">
      <c r="A64" s="66"/>
      <c r="B64" s="113"/>
      <c r="C64" s="128" t="s">
        <v>134</v>
      </c>
      <c r="D64" s="14"/>
      <c r="E64" s="103" t="s">
        <v>104</v>
      </c>
      <c r="F64" s="104"/>
      <c r="G64" s="13"/>
      <c r="H64" s="105"/>
      <c r="I64" s="14"/>
      <c r="J64" s="66"/>
      <c r="K64" s="113"/>
      <c r="L64" s="120" t="str">
        <f>IFERROR(__xludf.DUMMYFUNCTION("GOOGLETRANSLATE(C64,""en"",""ja"")"),"バッファ率（％）")</f>
        <v>バッファ率（％）</v>
      </c>
      <c r="M64" s="14"/>
      <c r="N64" s="103" t="s">
        <v>104</v>
      </c>
      <c r="O64" s="105" t="str">
        <f>IFERROR(__xludf.DUMMYFUNCTION("iferror(GOOGLETRANSLATE(F64,""en"",""ja""),"""")"),"")</f>
        <v/>
      </c>
      <c r="P64" s="14"/>
      <c r="Q64" s="105"/>
      <c r="R64" s="14"/>
    </row>
    <row r="65" ht="24.0" customHeight="1">
      <c r="A65" s="66"/>
      <c r="B65" s="106" t="s">
        <v>71</v>
      </c>
      <c r="C65" s="38" t="s">
        <v>121</v>
      </c>
      <c r="D65" s="14"/>
      <c r="E65" s="103" t="s">
        <v>104</v>
      </c>
      <c r="F65" s="104"/>
      <c r="G65" s="13"/>
      <c r="H65" s="105"/>
      <c r="I65" s="14"/>
      <c r="J65" s="66"/>
      <c r="K65" s="106" t="s">
        <v>71</v>
      </c>
      <c r="L65" s="120" t="str">
        <f>IFERROR(__xludf.DUMMYFUNCTION("GOOGLETRANSLATE(C65,""en"",""ja"")"),"新規システムを開発するか、既存システム内で開発するか？")</f>
        <v>新規システムを開発するか、既存システム内で開発するか？</v>
      </c>
      <c r="M65" s="14"/>
      <c r="N65" s="103" t="s">
        <v>104</v>
      </c>
      <c r="O65" s="105" t="str">
        <f>IFERROR(__xludf.DUMMYFUNCTION("iferror(GOOGLETRANSLATE(F65,""en"",""ja""),"""")"),"")</f>
        <v/>
      </c>
      <c r="P65" s="14"/>
      <c r="Q65" s="105"/>
      <c r="R65" s="14"/>
    </row>
    <row r="66" ht="48.75" customHeight="1">
      <c r="A66" s="66"/>
      <c r="B66" s="110"/>
      <c r="C66" s="129" t="s">
        <v>135</v>
      </c>
      <c r="D66" s="14"/>
      <c r="E66" s="103" t="b">
        <v>1</v>
      </c>
      <c r="F66" s="104"/>
      <c r="G66" s="13"/>
      <c r="H66" s="105"/>
      <c r="I66" s="14"/>
      <c r="J66" s="66"/>
      <c r="K66" s="110"/>
      <c r="L66" s="120" t="str">
        <f>IFERROR(__xludf.DUMMYFUNCTION("GOOGLETRANSLATE(C66,""en"",""ja"")"),"アーキテクチャ上の前提条件
- 使用するフレームワークとライブラリ
- SSRまたはCSRの適用の有無")</f>
        <v>アーキテクチャ上の前提条件
- 使用するフレームワークとライブラリ
- SSRまたはCSRの適用の有無</v>
      </c>
      <c r="M66" s="14"/>
      <c r="N66" s="103" t="b">
        <v>1</v>
      </c>
      <c r="O66" s="105" t="str">
        <f>IFERROR(__xludf.DUMMYFUNCTION("iferror(GOOGLETRANSLATE(F66,""en"",""ja""),"""")"),"")</f>
        <v/>
      </c>
      <c r="P66" s="14"/>
      <c r="Q66" s="105"/>
      <c r="R66" s="14"/>
    </row>
    <row r="67" ht="24.0" customHeight="1">
      <c r="A67" s="66"/>
      <c r="B67" s="110"/>
      <c r="C67" s="130" t="s">
        <v>136</v>
      </c>
      <c r="D67" s="14"/>
      <c r="E67" s="103" t="b">
        <v>1</v>
      </c>
      <c r="F67" s="104"/>
      <c r="G67" s="13"/>
      <c r="H67" s="105"/>
      <c r="I67" s="14"/>
      <c r="J67" s="66"/>
      <c r="K67" s="110"/>
      <c r="L67" s="120" t="str">
        <f>IFERROR(__xludf.DUMMYFUNCTION("GOOGLETRANSLATE(C67,""en"",""ja"")"),"ブラウザとバージョン（Chrome、Safari、IEなど）")</f>
        <v>ブラウザとバージョン（Chrome、Safari、IEなど）</v>
      </c>
      <c r="M67" s="14"/>
      <c r="N67" s="103" t="b">
        <v>1</v>
      </c>
      <c r="O67" s="105" t="str">
        <f>IFERROR(__xludf.DUMMYFUNCTION("iferror(GOOGLETRANSLATE(F67,""en"",""ja""),"""")"),"")</f>
        <v/>
      </c>
      <c r="P67" s="14"/>
      <c r="Q67" s="105"/>
      <c r="R67" s="14"/>
    </row>
    <row r="68" ht="24.0" customHeight="1">
      <c r="A68" s="66"/>
      <c r="B68" s="110"/>
      <c r="C68" s="122" t="s">
        <v>123</v>
      </c>
      <c r="D68" s="126" t="s">
        <v>137</v>
      </c>
      <c r="E68" s="103" t="b">
        <v>1</v>
      </c>
      <c r="F68" s="104"/>
      <c r="G68" s="13"/>
      <c r="H68" s="105"/>
      <c r="I68" s="14"/>
      <c r="J68" s="66"/>
      <c r="K68" s="110"/>
      <c r="L68" s="124" t="str">
        <f>IFERROR(__xludf.DUMMYFUNCTION("GOOGLETRANSLATE(C68,""en"",""ja"")"),"作業範囲")</f>
        <v>作業範囲</v>
      </c>
      <c r="M68" s="125" t="str">
        <f>IFERROR(__xludf.DUMMYFUNCTION("GOOGLETRANSLATE(D68,""en"",""ja"")"),"レスポンシブデザイン")</f>
        <v>レスポンシブデザイン</v>
      </c>
      <c r="N68" s="103" t="b">
        <v>1</v>
      </c>
      <c r="O68" s="105" t="str">
        <f>IFERROR(__xludf.DUMMYFUNCTION("iferror(GOOGLETRANSLATE(F68,""en"",""ja""),"""")"),"")</f>
        <v/>
      </c>
      <c r="P68" s="14"/>
      <c r="Q68" s="105"/>
      <c r="R68" s="14"/>
    </row>
    <row r="69" ht="24.0" customHeight="1">
      <c r="A69" s="66"/>
      <c r="B69" s="110"/>
      <c r="C69" s="110"/>
      <c r="D69" s="126" t="s">
        <v>138</v>
      </c>
      <c r="E69" s="103" t="b">
        <v>1</v>
      </c>
      <c r="F69" s="104"/>
      <c r="G69" s="13"/>
      <c r="H69" s="105"/>
      <c r="I69" s="14"/>
      <c r="J69" s="66"/>
      <c r="K69" s="110"/>
      <c r="L69" s="110"/>
      <c r="M69" s="125" t="str">
        <f>IFERROR(__xludf.DUMMYFUNCTION("GOOGLETRANSLATE(D69,""en"",""ja"")"),"国家管理")</f>
        <v>国家管理</v>
      </c>
      <c r="N69" s="103" t="b">
        <v>1</v>
      </c>
      <c r="O69" s="105" t="str">
        <f>IFERROR(__xludf.DUMMYFUNCTION("iferror(GOOGLETRANSLATE(F69,""en"",""ja""),"""")"),"")</f>
        <v/>
      </c>
      <c r="P69" s="14"/>
      <c r="Q69" s="105"/>
      <c r="R69" s="14"/>
    </row>
    <row r="70" ht="24.0" customHeight="1">
      <c r="A70" s="66"/>
      <c r="B70" s="110"/>
      <c r="C70" s="110"/>
      <c r="D70" s="126" t="s">
        <v>139</v>
      </c>
      <c r="E70" s="103" t="b">
        <v>1</v>
      </c>
      <c r="F70" s="104"/>
      <c r="G70" s="13"/>
      <c r="H70" s="105"/>
      <c r="I70" s="14"/>
      <c r="J70" s="66"/>
      <c r="K70" s="110"/>
      <c r="L70" s="110"/>
      <c r="M70" s="125" t="str">
        <f>IFERROR(__xludf.DUMMYFUNCTION("GOOGLETRANSLATE(D70,""en"",""ja"")"),"自動テスト")</f>
        <v>自動テスト</v>
      </c>
      <c r="N70" s="103" t="b">
        <v>1</v>
      </c>
      <c r="O70" s="105" t="str">
        <f>IFERROR(__xludf.DUMMYFUNCTION("iferror(GOOGLETRANSLATE(F70,""en"",""ja""),"""")"),"")</f>
        <v/>
      </c>
      <c r="P70" s="14"/>
      <c r="Q70" s="105"/>
      <c r="R70" s="14"/>
    </row>
    <row r="71" ht="24.0" customHeight="1">
      <c r="A71" s="66"/>
      <c r="B71" s="110"/>
      <c r="C71" s="110"/>
      <c r="D71" s="126" t="s">
        <v>140</v>
      </c>
      <c r="E71" s="103" t="b">
        <v>1</v>
      </c>
      <c r="F71" s="104"/>
      <c r="G71" s="13"/>
      <c r="H71" s="105"/>
      <c r="I71" s="14"/>
      <c r="J71" s="66"/>
      <c r="K71" s="110"/>
      <c r="L71" s="110"/>
      <c r="M71" s="125" t="str">
        <f>IFERROR(__xludf.DUMMYFUNCTION("GOOGLETRANSLATE(D71,""en"",""ja"")"),"単体テスト")</f>
        <v>単体テスト</v>
      </c>
      <c r="N71" s="103" t="b">
        <v>1</v>
      </c>
      <c r="O71" s="105" t="str">
        <f>IFERROR(__xludf.DUMMYFUNCTION("iferror(GOOGLETRANSLATE(F71,""en"",""ja""),"""")"),"")</f>
        <v/>
      </c>
      <c r="P71" s="14"/>
      <c r="Q71" s="105"/>
      <c r="R71" s="14"/>
    </row>
    <row r="72" ht="24.0" customHeight="1">
      <c r="A72" s="66"/>
      <c r="B72" s="110"/>
      <c r="C72" s="110"/>
      <c r="D72" s="127" t="s">
        <v>141</v>
      </c>
      <c r="E72" s="103" t="b">
        <v>1</v>
      </c>
      <c r="F72" s="104"/>
      <c r="G72" s="13"/>
      <c r="H72" s="105"/>
      <c r="I72" s="14"/>
      <c r="J72" s="66"/>
      <c r="K72" s="110"/>
      <c r="L72" s="110"/>
      <c r="M72" s="125" t="str">
        <f>IFERROR(__xludf.DUMMYFUNCTION("GOOGLETRANSLATE(D72,""en"",""ja"")"),"SEO（Google Analytics、OGPタグ、SSR）")</f>
        <v>SEO（Google Analytics、OGPタグ、SSR）</v>
      </c>
      <c r="N72" s="103" t="b">
        <v>1</v>
      </c>
      <c r="O72" s="105" t="str">
        <f>IFERROR(__xludf.DUMMYFUNCTION("iferror(GOOGLETRANSLATE(F72,""en"",""ja""),"""")"),"")</f>
        <v/>
      </c>
      <c r="P72" s="14"/>
      <c r="Q72" s="105"/>
      <c r="R72" s="14"/>
    </row>
    <row r="73" ht="24.0" customHeight="1">
      <c r="A73" s="66"/>
      <c r="B73" s="110"/>
      <c r="C73" s="110"/>
      <c r="D73" s="131" t="s">
        <v>129</v>
      </c>
      <c r="E73" s="103" t="b">
        <v>1</v>
      </c>
      <c r="F73" s="104"/>
      <c r="G73" s="13"/>
      <c r="H73" s="105"/>
      <c r="I73" s="14"/>
      <c r="J73" s="66"/>
      <c r="K73" s="110"/>
      <c r="L73" s="110"/>
      <c r="M73" s="125" t="str">
        <f>IFERROR(__xludf.DUMMYFUNCTION("GOOGLETRANSLATE(D73,""en"",""ja"")"),"サードパーティサービスを統合する")</f>
        <v>サードパーティサービスを統合する</v>
      </c>
      <c r="N73" s="103" t="b">
        <v>1</v>
      </c>
      <c r="O73" s="105" t="str">
        <f>IFERROR(__xludf.DUMMYFUNCTION("iferror(GOOGLETRANSLATE(F73,""en"",""ja""),"""")"),"")</f>
        <v/>
      </c>
      <c r="P73" s="14"/>
      <c r="Q73" s="105"/>
      <c r="R73" s="14"/>
    </row>
    <row r="74" ht="24.0" customHeight="1">
      <c r="A74" s="66"/>
      <c r="B74" s="110"/>
      <c r="C74" s="110"/>
      <c r="D74" s="127" t="s">
        <v>128</v>
      </c>
      <c r="E74" s="103" t="b">
        <v>1</v>
      </c>
      <c r="F74" s="104"/>
      <c r="G74" s="13"/>
      <c r="H74" s="105"/>
      <c r="I74" s="14"/>
      <c r="J74" s="66"/>
      <c r="K74" s="110"/>
      <c r="L74" s="110"/>
      <c r="M74" s="125" t="str">
        <f>IFERROR(__xludf.DUMMYFUNCTION("GOOGLETRANSLATE(D74,""en"",""ja"")"),"CI/CDを統合する")</f>
        <v>CI/CDを統合する</v>
      </c>
      <c r="N74" s="103" t="b">
        <v>1</v>
      </c>
      <c r="O74" s="105" t="str">
        <f>IFERROR(__xludf.DUMMYFUNCTION("iferror(GOOGLETRANSLATE(F74,""en"",""ja""),"""")"),"")</f>
        <v/>
      </c>
      <c r="P74" s="14"/>
      <c r="Q74" s="105"/>
      <c r="R74" s="14"/>
    </row>
    <row r="75" ht="24.0" customHeight="1">
      <c r="A75" s="66"/>
      <c r="B75" s="110"/>
      <c r="C75" s="113"/>
      <c r="D75" s="126" t="s">
        <v>132</v>
      </c>
      <c r="E75" s="103" t="b">
        <v>1</v>
      </c>
      <c r="F75" s="104"/>
      <c r="G75" s="13"/>
      <c r="H75" s="105"/>
      <c r="I75" s="14"/>
      <c r="J75" s="66"/>
      <c r="K75" s="110"/>
      <c r="L75" s="113"/>
      <c r="M75" s="125" t="str">
        <f>IFERROR(__xludf.DUMMYFUNCTION("GOOGLETRANSLATE(D75,""en"",""ja"")"),"本番環境への展開")</f>
        <v>本番環境への展開</v>
      </c>
      <c r="N75" s="103" t="b">
        <v>1</v>
      </c>
      <c r="O75" s="105" t="str">
        <f>IFERROR(__xludf.DUMMYFUNCTION("iferror(GOOGLETRANSLATE(F75,""en"",""ja""),"""")"),"")</f>
        <v/>
      </c>
      <c r="P75" s="14"/>
      <c r="Q75" s="105"/>
      <c r="R75" s="14"/>
    </row>
    <row r="76" ht="24.0" customHeight="1">
      <c r="A76" s="66"/>
      <c r="B76" s="110"/>
      <c r="C76" s="128" t="s">
        <v>133</v>
      </c>
      <c r="D76" s="14"/>
      <c r="E76" s="103" t="s">
        <v>104</v>
      </c>
      <c r="F76" s="104"/>
      <c r="G76" s="13"/>
      <c r="H76" s="105"/>
      <c r="I76" s="14"/>
      <c r="J76" s="66"/>
      <c r="K76" s="110"/>
      <c r="L76" s="120" t="str">
        <f>IFERROR(__xludf.DUMMYFUNCTION("GOOGLETRANSLATE(C76,""en"",""ja"")"),"その他の想定リスクおよび前提条件")</f>
        <v>その他の想定リスクおよび前提条件</v>
      </c>
      <c r="M76" s="14"/>
      <c r="N76" s="103" t="s">
        <v>104</v>
      </c>
      <c r="O76" s="105" t="str">
        <f>IFERROR(__xludf.DUMMYFUNCTION("iferror(GOOGLETRANSLATE(F76,""en"",""ja""),"""")"),"")</f>
        <v/>
      </c>
      <c r="P76" s="14"/>
      <c r="Q76" s="105"/>
      <c r="R76" s="14"/>
    </row>
    <row r="77" ht="24.0" customHeight="1">
      <c r="A77" s="66"/>
      <c r="B77" s="113"/>
      <c r="C77" s="128" t="s">
        <v>134</v>
      </c>
      <c r="D77" s="14"/>
      <c r="E77" s="103" t="s">
        <v>104</v>
      </c>
      <c r="F77" s="104"/>
      <c r="G77" s="13"/>
      <c r="H77" s="105"/>
      <c r="I77" s="14"/>
      <c r="J77" s="66"/>
      <c r="K77" s="113"/>
      <c r="L77" s="120" t="str">
        <f>IFERROR(__xludf.DUMMYFUNCTION("GOOGLETRANSLATE(C77,""en"",""ja"")"),"バッファ率（％）")</f>
        <v>バッファ率（％）</v>
      </c>
      <c r="M77" s="14"/>
      <c r="N77" s="103" t="s">
        <v>104</v>
      </c>
      <c r="O77" s="105" t="str">
        <f>IFERROR(__xludf.DUMMYFUNCTION("iferror(GOOGLETRANSLATE(F77,""en"",""ja""),"""")"),"")</f>
        <v/>
      </c>
      <c r="P77" s="14"/>
      <c r="Q77" s="105"/>
      <c r="R77" s="14"/>
    </row>
    <row r="78" ht="21.75" customHeight="1">
      <c r="A78" s="66"/>
      <c r="B78" s="106" t="s">
        <v>142</v>
      </c>
      <c r="C78" s="38" t="s">
        <v>121</v>
      </c>
      <c r="D78" s="14"/>
      <c r="E78" s="103" t="s">
        <v>104</v>
      </c>
      <c r="F78" s="104"/>
      <c r="G78" s="13"/>
      <c r="H78" s="105"/>
      <c r="I78" s="14"/>
      <c r="J78" s="66"/>
      <c r="K78" s="106" t="s">
        <v>142</v>
      </c>
      <c r="L78" s="120" t="str">
        <f>IFERROR(__xludf.DUMMYFUNCTION("GOOGLETRANSLATE(C78,""en"",""ja"")"),"新規システムを開発するか、既存システム内で開発するか？")</f>
        <v>新規システムを開発するか、既存システム内で開発するか？</v>
      </c>
      <c r="M78" s="14"/>
      <c r="N78" s="103" t="s">
        <v>104</v>
      </c>
      <c r="O78" s="105" t="str">
        <f>IFERROR(__xludf.DUMMYFUNCTION("iferror(GOOGLETRANSLATE(F78,""en"",""ja""),"""")"),"")</f>
        <v/>
      </c>
      <c r="P78" s="14"/>
      <c r="Q78" s="105"/>
      <c r="R78" s="14"/>
    </row>
    <row r="79" ht="21.75" customHeight="1">
      <c r="A79" s="66"/>
      <c r="B79" s="110"/>
      <c r="C79" s="130" t="s">
        <v>143</v>
      </c>
      <c r="D79" s="14"/>
      <c r="E79" s="103" t="b">
        <v>1</v>
      </c>
      <c r="F79" s="104"/>
      <c r="G79" s="13"/>
      <c r="H79" s="105"/>
      <c r="I79" s="14"/>
      <c r="J79" s="66"/>
      <c r="K79" s="110"/>
      <c r="L79" s="120" t="str">
        <f>IFERROR(__xludf.DUMMYFUNCTION("GOOGLETRANSLATE(C79,""en"",""ja"")"),"OSとバージョン（iOS、Android）")</f>
        <v>OSとバージョン（iOS、Android）</v>
      </c>
      <c r="M79" s="14"/>
      <c r="N79" s="103" t="b">
        <v>1</v>
      </c>
      <c r="O79" s="105" t="str">
        <f>IFERROR(__xludf.DUMMYFUNCTION("iferror(GOOGLETRANSLATE(F79,""en"",""ja""),"""")"),"")</f>
        <v/>
      </c>
      <c r="P79" s="14"/>
      <c r="Q79" s="105"/>
      <c r="R79" s="14"/>
    </row>
    <row r="80" ht="21.75" customHeight="1">
      <c r="A80" s="66"/>
      <c r="B80" s="110"/>
      <c r="C80" s="122" t="s">
        <v>123</v>
      </c>
      <c r="D80" s="127" t="s">
        <v>140</v>
      </c>
      <c r="E80" s="103" t="b">
        <v>1</v>
      </c>
      <c r="F80" s="104"/>
      <c r="G80" s="13"/>
      <c r="H80" s="105"/>
      <c r="I80" s="14"/>
      <c r="J80" s="66"/>
      <c r="K80" s="110"/>
      <c r="L80" s="124" t="str">
        <f>IFERROR(__xludf.DUMMYFUNCTION("GOOGLETRANSLATE(C80,""en"",""ja"")"),"作業範囲")</f>
        <v>作業範囲</v>
      </c>
      <c r="M80" s="125" t="str">
        <f>IFERROR(__xludf.DUMMYFUNCTION("GOOGLETRANSLATE(D80,""en"",""ja"")"),"単体テスト")</f>
        <v>単体テスト</v>
      </c>
      <c r="N80" s="103" t="b">
        <v>1</v>
      </c>
      <c r="O80" s="105" t="str">
        <f>IFERROR(__xludf.DUMMYFUNCTION("iferror(GOOGLETRANSLATE(F80,""en"",""ja""),"""")"),"")</f>
        <v/>
      </c>
      <c r="P80" s="14"/>
      <c r="Q80" s="105"/>
      <c r="R80" s="14"/>
    </row>
    <row r="81" ht="21.75" customHeight="1">
      <c r="A81" s="66"/>
      <c r="B81" s="110"/>
      <c r="C81" s="110"/>
      <c r="D81" s="127" t="s">
        <v>129</v>
      </c>
      <c r="E81" s="103" t="b">
        <v>1</v>
      </c>
      <c r="F81" s="104"/>
      <c r="G81" s="13"/>
      <c r="H81" s="105"/>
      <c r="I81" s="14"/>
      <c r="J81" s="66"/>
      <c r="K81" s="110"/>
      <c r="L81" s="110"/>
      <c r="M81" s="125" t="str">
        <f>IFERROR(__xludf.DUMMYFUNCTION("GOOGLETRANSLATE(D81,""en"",""ja"")"),"サードパーティサービスを統合する")</f>
        <v>サードパーティサービスを統合する</v>
      </c>
      <c r="N81" s="103" t="b">
        <v>1</v>
      </c>
      <c r="O81" s="105" t="str">
        <f>IFERROR(__xludf.DUMMYFUNCTION("iferror(GOOGLETRANSLATE(F81,""en"",""ja""),"""")"),"")</f>
        <v/>
      </c>
      <c r="P81" s="14"/>
      <c r="Q81" s="105"/>
      <c r="R81" s="14"/>
    </row>
    <row r="82" ht="21.75" customHeight="1">
      <c r="A82" s="66"/>
      <c r="B82" s="110"/>
      <c r="C82" s="110"/>
      <c r="D82" s="127" t="s">
        <v>128</v>
      </c>
      <c r="E82" s="103" t="b">
        <v>1</v>
      </c>
      <c r="F82" s="104"/>
      <c r="G82" s="13"/>
      <c r="H82" s="105"/>
      <c r="I82" s="14"/>
      <c r="J82" s="66"/>
      <c r="K82" s="110"/>
      <c r="L82" s="110"/>
      <c r="M82" s="125" t="str">
        <f>IFERROR(__xludf.DUMMYFUNCTION("GOOGLETRANSLATE(D82,""en"",""ja"")"),"CI/CDを統合する")</f>
        <v>CI/CDを統合する</v>
      </c>
      <c r="N82" s="103" t="b">
        <v>1</v>
      </c>
      <c r="O82" s="105" t="str">
        <f>IFERROR(__xludf.DUMMYFUNCTION("iferror(GOOGLETRANSLATE(F82,""en"",""ja""),"""")"),"")</f>
        <v/>
      </c>
      <c r="P82" s="14"/>
      <c r="Q82" s="105"/>
      <c r="R82" s="14"/>
    </row>
    <row r="83" ht="21.75" customHeight="1">
      <c r="A83" s="66"/>
      <c r="B83" s="110"/>
      <c r="C83" s="113"/>
      <c r="D83" s="123" t="s">
        <v>144</v>
      </c>
      <c r="E83" s="103" t="b">
        <v>1</v>
      </c>
      <c r="F83" s="104"/>
      <c r="G83" s="13"/>
      <c r="H83" s="105"/>
      <c r="I83" s="14"/>
      <c r="J83" s="66"/>
      <c r="K83" s="110"/>
      <c r="L83" s="113"/>
      <c r="M83" s="125" t="str">
        <f>IFERROR(__xludf.DUMMYFUNCTION("GOOGLETRANSLATE(D83,""en"",""ja"")"),"Playストア/Appストアで公開")</f>
        <v>Playストア/Appストアで公開</v>
      </c>
      <c r="N83" s="103" t="b">
        <v>1</v>
      </c>
      <c r="O83" s="105" t="str">
        <f>IFERROR(__xludf.DUMMYFUNCTION("iferror(GOOGLETRANSLATE(F83,""en"",""ja""),"""")"),"")</f>
        <v/>
      </c>
      <c r="P83" s="14"/>
      <c r="Q83" s="105"/>
      <c r="R83" s="14"/>
    </row>
    <row r="84" ht="21.75" customHeight="1">
      <c r="A84" s="66"/>
      <c r="B84" s="110"/>
      <c r="C84" s="128" t="s">
        <v>133</v>
      </c>
      <c r="D84" s="14"/>
      <c r="E84" s="103" t="s">
        <v>104</v>
      </c>
      <c r="F84" s="104"/>
      <c r="G84" s="13"/>
      <c r="H84" s="105"/>
      <c r="I84" s="14"/>
      <c r="J84" s="66"/>
      <c r="K84" s="110"/>
      <c r="L84" s="120" t="str">
        <f>IFERROR(__xludf.DUMMYFUNCTION("GOOGLETRANSLATE(C84,""en"",""ja"")"),"その他の想定リスクおよび前提条件")</f>
        <v>その他の想定リスクおよび前提条件</v>
      </c>
      <c r="M84" s="14"/>
      <c r="N84" s="103" t="s">
        <v>104</v>
      </c>
      <c r="O84" s="105" t="str">
        <f>IFERROR(__xludf.DUMMYFUNCTION("iferror(GOOGLETRANSLATE(F84,""en"",""ja""),"""")"),"")</f>
        <v/>
      </c>
      <c r="P84" s="14"/>
      <c r="Q84" s="105"/>
      <c r="R84" s="14"/>
    </row>
    <row r="85" ht="21.75" customHeight="1">
      <c r="A85" s="66"/>
      <c r="B85" s="113"/>
      <c r="C85" s="128" t="s">
        <v>134</v>
      </c>
      <c r="D85" s="14"/>
      <c r="E85" s="103" t="s">
        <v>104</v>
      </c>
      <c r="F85" s="104"/>
      <c r="G85" s="13"/>
      <c r="H85" s="105"/>
      <c r="I85" s="14"/>
      <c r="J85" s="66"/>
      <c r="K85" s="113"/>
      <c r="L85" s="120" t="str">
        <f>IFERROR(__xludf.DUMMYFUNCTION("GOOGLETRANSLATE(C85,""en"",""ja"")"),"バッファ率（％）")</f>
        <v>バッファ率（％）</v>
      </c>
      <c r="M85" s="14"/>
      <c r="N85" s="103" t="s">
        <v>104</v>
      </c>
      <c r="O85" s="105" t="str">
        <f>IFERROR(__xludf.DUMMYFUNCTION("iferror(GOOGLETRANSLATE(F85,""en"",""ja""),"""")"),"")</f>
        <v/>
      </c>
      <c r="P85" s="14"/>
      <c r="Q85" s="105"/>
      <c r="R85" s="14"/>
    </row>
    <row r="86" ht="21.75" customHeight="1">
      <c r="A86" s="72"/>
      <c r="B86" s="106" t="s">
        <v>73</v>
      </c>
      <c r="C86" s="132" t="s">
        <v>145</v>
      </c>
      <c r="D86" s="89" t="s">
        <v>146</v>
      </c>
      <c r="E86" s="103" t="s">
        <v>104</v>
      </c>
      <c r="F86" s="104" t="s">
        <v>147</v>
      </c>
      <c r="G86" s="13"/>
      <c r="H86" s="105"/>
      <c r="I86" s="14"/>
      <c r="J86" s="72"/>
      <c r="K86" s="106" t="s">
        <v>73</v>
      </c>
      <c r="L86" s="124" t="str">
        <f>IFERROR(__xludf.DUMMYFUNCTION("GOOGLETRANSLATE(C86,""en"",""ja"")"),"生産性")</f>
        <v>生産性</v>
      </c>
      <c r="M86" s="125" t="str">
        <f>IFERROR(__xludf.DUMMYFUNCTION("GOOGLETRANSLATE(D86,""en"",""ja"")"),"テストケースの作成")</f>
        <v>テストケースの作成</v>
      </c>
      <c r="N86" s="103" t="s">
        <v>104</v>
      </c>
      <c r="O86" s="105" t="str">
        <f>IFERROR(__xludf.DUMMYFUNCTION("iferror(GOOGLETRANSLATE(F86,""en"",""ja""),"""")"),"[ ] 症例/1人日")</f>
        <v>[ ] 症例/1人日</v>
      </c>
      <c r="P86" s="14"/>
      <c r="Q86" s="105"/>
      <c r="R86" s="14"/>
    </row>
    <row r="87" ht="21.75" customHeight="1">
      <c r="A87" s="72"/>
      <c r="B87" s="110"/>
      <c r="C87" s="110"/>
      <c r="D87" s="111" t="s">
        <v>148</v>
      </c>
      <c r="E87" s="103" t="s">
        <v>104</v>
      </c>
      <c r="F87" s="104" t="s">
        <v>147</v>
      </c>
      <c r="G87" s="13"/>
      <c r="H87" s="105"/>
      <c r="I87" s="14"/>
      <c r="J87" s="72"/>
      <c r="K87" s="110"/>
      <c r="L87" s="110"/>
      <c r="M87" s="125" t="str">
        <f>IFERROR(__xludf.DUMMYFUNCTION("GOOGLETRANSLATE(D87,""en"",""ja"")"),"テスト実行とバグの特定")</f>
        <v>テスト実行とバグの特定</v>
      </c>
      <c r="N87" s="103" t="s">
        <v>104</v>
      </c>
      <c r="O87" s="105" t="str">
        <f>IFERROR(__xludf.DUMMYFUNCTION("iferror(GOOGLETRANSLATE(F87,""en"",""ja""),"""")"),"[ ] 症例/1人日")</f>
        <v>[ ] 症例/1人日</v>
      </c>
      <c r="P87" s="14"/>
      <c r="Q87" s="105"/>
      <c r="R87" s="14"/>
    </row>
    <row r="88" ht="21.75" customHeight="1">
      <c r="A88" s="72"/>
      <c r="B88" s="110"/>
      <c r="C88" s="110"/>
      <c r="D88" s="111" t="s">
        <v>149</v>
      </c>
      <c r="E88" s="103" t="s">
        <v>104</v>
      </c>
      <c r="F88" s="104" t="s">
        <v>150</v>
      </c>
      <c r="G88" s="13"/>
      <c r="H88" s="105"/>
      <c r="I88" s="14"/>
      <c r="J88" s="72"/>
      <c r="K88" s="110"/>
      <c r="L88" s="110"/>
      <c r="M88" s="125" t="str">
        <f>IFERROR(__xludf.DUMMYFUNCTION("GOOGLETRANSLATE(D88,""en"",""ja"")"),"最終検査にかかる総工数")</f>
        <v>最終検査にかかる総工数</v>
      </c>
      <c r="N88" s="103" t="s">
        <v>104</v>
      </c>
      <c r="O88" s="105" t="str">
        <f>IFERROR(__xludf.DUMMYFUNCTION("iferror(GOOGLETRANSLATE(F88,""en"",""ja""),"""")"),"[ ] %")</f>
        <v>[ ] %</v>
      </c>
      <c r="P88" s="14"/>
      <c r="Q88" s="105"/>
      <c r="R88" s="14"/>
    </row>
    <row r="89" ht="21.75" customHeight="1">
      <c r="A89" s="72"/>
      <c r="B89" s="110"/>
      <c r="C89" s="113"/>
      <c r="D89" s="133" t="s">
        <v>151</v>
      </c>
      <c r="E89" s="103" t="s">
        <v>104</v>
      </c>
      <c r="F89" s="104" t="s">
        <v>150</v>
      </c>
      <c r="G89" s="13"/>
      <c r="H89" s="105"/>
      <c r="I89" s="14"/>
      <c r="J89" s="72"/>
      <c r="K89" s="110"/>
      <c r="L89" s="113"/>
      <c r="M89" s="125" t="str">
        <f>IFERROR(__xludf.DUMMYFUNCTION("GOOGLETRANSLATE(D89,""en"",""ja"")"),"予想されるバグ発生率")</f>
        <v>予想されるバグ発生率</v>
      </c>
      <c r="N89" s="103" t="s">
        <v>104</v>
      </c>
      <c r="O89" s="105" t="str">
        <f>IFERROR(__xludf.DUMMYFUNCTION("iferror(GOOGLETRANSLATE(F89,""en"",""ja""),"""")"),"[ ] %")</f>
        <v>[ ] %</v>
      </c>
      <c r="P89" s="14"/>
      <c r="Q89" s="105"/>
      <c r="R89" s="14"/>
    </row>
    <row r="90" ht="21.75" customHeight="1">
      <c r="A90" s="72"/>
      <c r="B90" s="110"/>
      <c r="C90" s="132" t="s">
        <v>152</v>
      </c>
      <c r="D90" s="33" t="s">
        <v>153</v>
      </c>
      <c r="E90" s="103" t="b">
        <v>1</v>
      </c>
      <c r="F90" s="104"/>
      <c r="G90" s="13"/>
      <c r="H90" s="105"/>
      <c r="I90" s="14"/>
      <c r="J90" s="72"/>
      <c r="K90" s="110"/>
      <c r="L90" s="124" t="str">
        <f>IFERROR(__xludf.DUMMYFUNCTION("GOOGLETRANSLATE(C90,""en"",""ja"")"),"テスト範囲")</f>
        <v>テスト範囲</v>
      </c>
      <c r="M90" s="125" t="str">
        <f>IFERROR(__xludf.DUMMYFUNCTION("GOOGLETRANSLATE(D90,""en"",""ja"")"),"機能テスト")</f>
        <v>機能テスト</v>
      </c>
      <c r="N90" s="103" t="b">
        <v>1</v>
      </c>
      <c r="O90" s="105" t="str">
        <f>IFERROR(__xludf.DUMMYFUNCTION("iferror(GOOGLETRANSLATE(F90,""en"",""ja""),"""")"),"")</f>
        <v/>
      </c>
      <c r="P90" s="14"/>
      <c r="Q90" s="105"/>
      <c r="R90" s="14"/>
    </row>
    <row r="91" ht="21.75" customHeight="1">
      <c r="A91" s="72"/>
      <c r="B91" s="110"/>
      <c r="C91" s="110"/>
      <c r="D91" s="33" t="s">
        <v>154</v>
      </c>
      <c r="E91" s="103" t="b">
        <v>1</v>
      </c>
      <c r="F91" s="104"/>
      <c r="G91" s="13"/>
      <c r="H91" s="105"/>
      <c r="I91" s="14"/>
      <c r="J91" s="72"/>
      <c r="K91" s="110"/>
      <c r="L91" s="110"/>
      <c r="M91" s="125" t="str">
        <f>IFERROR(__xludf.DUMMYFUNCTION("GOOGLETRANSLATE(D91,""en"",""ja"")"),"統合テスト")</f>
        <v>統合テスト</v>
      </c>
      <c r="N91" s="103" t="b">
        <v>1</v>
      </c>
      <c r="O91" s="105" t="str">
        <f>IFERROR(__xludf.DUMMYFUNCTION("iferror(GOOGLETRANSLATE(F91,""en"",""ja""),"""")"),"")</f>
        <v/>
      </c>
      <c r="P91" s="14"/>
      <c r="Q91" s="105"/>
      <c r="R91" s="14"/>
    </row>
    <row r="92" ht="21.75" customHeight="1">
      <c r="A92" s="72"/>
      <c r="B92" s="110"/>
      <c r="C92" s="110"/>
      <c r="D92" s="33" t="s">
        <v>155</v>
      </c>
      <c r="E92" s="103" t="b">
        <v>1</v>
      </c>
      <c r="F92" s="104"/>
      <c r="G92" s="13"/>
      <c r="H92" s="105"/>
      <c r="I92" s="14"/>
      <c r="J92" s="72"/>
      <c r="K92" s="110"/>
      <c r="L92" s="110"/>
      <c r="M92" s="125" t="str">
        <f>IFERROR(__xludf.DUMMYFUNCTION("GOOGLETRANSLATE(D92,""en"",""ja"")"),"エンドツーエンドテスト（画面、APIエンドポイント）")</f>
        <v>エンドツーエンドテスト（画面、APIエンドポイント）</v>
      </c>
      <c r="N92" s="103" t="b">
        <v>1</v>
      </c>
      <c r="O92" s="105" t="str">
        <f>IFERROR(__xludf.DUMMYFUNCTION("iferror(GOOGLETRANSLATE(F92,""en"",""ja""),"""")"),"")</f>
        <v/>
      </c>
      <c r="P92" s="14"/>
      <c r="Q92" s="105"/>
      <c r="R92" s="14"/>
    </row>
    <row r="93" ht="21.75" customHeight="1">
      <c r="A93" s="118"/>
      <c r="B93" s="110"/>
      <c r="C93" s="110"/>
      <c r="D93" s="33" t="s">
        <v>156</v>
      </c>
      <c r="E93" s="103" t="b">
        <v>1</v>
      </c>
      <c r="F93" s="104"/>
      <c r="G93" s="13"/>
      <c r="H93" s="105"/>
      <c r="I93" s="14"/>
      <c r="J93" s="118"/>
      <c r="K93" s="110"/>
      <c r="L93" s="110"/>
      <c r="M93" s="109" t="s">
        <v>157</v>
      </c>
      <c r="N93" s="103" t="b">
        <v>1</v>
      </c>
      <c r="O93" s="105" t="str">
        <f>IFERROR(__xludf.DUMMYFUNCTION("iferror(GOOGLETRANSLATE(F93,""en"",""ja""),"""")"),"")</f>
        <v/>
      </c>
      <c r="P93" s="14"/>
      <c r="Q93" s="105"/>
      <c r="R93" s="14"/>
    </row>
    <row r="94" ht="21.75" customHeight="1">
      <c r="A94" s="118"/>
      <c r="B94" s="110"/>
      <c r="C94" s="110"/>
      <c r="D94" s="133" t="s">
        <v>158</v>
      </c>
      <c r="E94" s="103" t="b">
        <v>1</v>
      </c>
      <c r="F94" s="104"/>
      <c r="G94" s="13"/>
      <c r="H94" s="105"/>
      <c r="I94" s="14"/>
      <c r="J94" s="118"/>
      <c r="K94" s="110"/>
      <c r="L94" s="110"/>
      <c r="M94" s="125" t="str">
        <f>IFERROR(__xludf.DUMMYFUNCTION("GOOGLETRANSLATE(D94,""en"",""ja"")"),"その他のテスト")</f>
        <v>その他のテスト</v>
      </c>
      <c r="N94" s="103" t="b">
        <v>1</v>
      </c>
      <c r="O94" s="105" t="str">
        <f>IFERROR(__xludf.DUMMYFUNCTION("iferror(GOOGLETRANSLATE(F94,""en"",""ja""),"""")"),"")</f>
        <v/>
      </c>
      <c r="P94" s="14"/>
      <c r="Q94" s="105"/>
      <c r="R94" s="14"/>
    </row>
    <row r="95" ht="21.75" customHeight="1">
      <c r="A95" s="118"/>
      <c r="B95" s="110"/>
      <c r="C95" s="113"/>
      <c r="D95" s="134" t="s">
        <v>159</v>
      </c>
      <c r="E95" s="103" t="s">
        <v>104</v>
      </c>
      <c r="F95" s="104"/>
      <c r="G95" s="13"/>
      <c r="H95" s="105"/>
      <c r="I95" s="14"/>
      <c r="J95" s="118"/>
      <c r="K95" s="110"/>
      <c r="L95" s="113"/>
      <c r="M95" s="125" t="str">
        <f>IFERROR(__xludf.DUMMYFUNCTION("GOOGLETRANSLATE(D95,""en"",""ja"")"),"テスト対象環境と、各環境でカバーされるテストケースの範囲")</f>
        <v>テスト対象環境と、各環境でカバーされるテストケースの範囲</v>
      </c>
      <c r="N95" s="103" t="s">
        <v>104</v>
      </c>
      <c r="O95" s="105" t="str">
        <f>IFERROR(__xludf.DUMMYFUNCTION("iferror(GOOGLETRANSLATE(F95,""en"",""ja""),"""")"),"")</f>
        <v/>
      </c>
      <c r="P95" s="14"/>
      <c r="Q95" s="105"/>
      <c r="R95" s="14"/>
    </row>
    <row r="96" ht="21.75" customHeight="1">
      <c r="A96" s="118"/>
      <c r="B96" s="113"/>
      <c r="C96" s="128" t="s">
        <v>134</v>
      </c>
      <c r="D96" s="14"/>
      <c r="E96" s="103" t="s">
        <v>104</v>
      </c>
      <c r="F96" s="104"/>
      <c r="G96" s="13"/>
      <c r="H96" s="105"/>
      <c r="I96" s="14"/>
      <c r="J96" s="118"/>
      <c r="K96" s="113"/>
      <c r="L96" s="120" t="str">
        <f>IFERROR(__xludf.DUMMYFUNCTION("GOOGLETRANSLATE(C96,""en"",""ja"")"),"バッファ率（％）")</f>
        <v>バッファ率（％）</v>
      </c>
      <c r="M96" s="14"/>
      <c r="N96" s="103" t="s">
        <v>104</v>
      </c>
      <c r="O96" s="105"/>
      <c r="P96" s="14"/>
      <c r="Q96" s="105"/>
      <c r="R96" s="14"/>
    </row>
    <row r="97" ht="21.75" customHeight="1">
      <c r="A97" s="66"/>
      <c r="B97" s="135" t="s">
        <v>74</v>
      </c>
      <c r="C97" s="123" t="s">
        <v>160</v>
      </c>
      <c r="D97" s="121"/>
      <c r="E97" s="103" t="b">
        <v>1</v>
      </c>
      <c r="F97" s="104"/>
      <c r="G97" s="13"/>
      <c r="H97" s="105"/>
      <c r="I97" s="14"/>
      <c r="J97" s="66"/>
      <c r="K97" s="135" t="s">
        <v>74</v>
      </c>
      <c r="L97" s="83" t="s">
        <v>161</v>
      </c>
      <c r="M97" s="136"/>
      <c r="N97" s="103" t="b">
        <v>1</v>
      </c>
      <c r="O97" s="105" t="s">
        <v>162</v>
      </c>
      <c r="P97" s="14"/>
      <c r="Q97" s="105"/>
      <c r="R97" s="14"/>
    </row>
    <row r="98" ht="21.75" customHeight="1">
      <c r="A98" s="66"/>
      <c r="B98" s="110"/>
      <c r="C98" s="123" t="s">
        <v>163</v>
      </c>
      <c r="D98" s="121"/>
      <c r="E98" s="103" t="b">
        <v>1</v>
      </c>
      <c r="F98" s="104"/>
      <c r="G98" s="13"/>
      <c r="H98" s="105"/>
      <c r="I98" s="14"/>
      <c r="J98" s="66"/>
      <c r="K98" s="110"/>
      <c r="L98" s="83" t="s">
        <v>164</v>
      </c>
      <c r="M98" s="136"/>
      <c r="N98" s="103" t="b">
        <v>1</v>
      </c>
      <c r="O98" s="105" t="s">
        <v>162</v>
      </c>
      <c r="P98" s="14"/>
      <c r="Q98" s="105"/>
      <c r="R98" s="14"/>
    </row>
    <row r="99" ht="21.75" customHeight="1">
      <c r="A99" s="66"/>
      <c r="B99" s="110"/>
      <c r="C99" s="123" t="s">
        <v>165</v>
      </c>
      <c r="D99" s="121"/>
      <c r="E99" s="103" t="b">
        <v>1</v>
      </c>
      <c r="F99" s="104"/>
      <c r="G99" s="13"/>
      <c r="H99" s="105"/>
      <c r="I99" s="14"/>
      <c r="J99" s="66"/>
      <c r="K99" s="110"/>
      <c r="L99" s="83" t="s">
        <v>166</v>
      </c>
      <c r="M99" s="136"/>
      <c r="N99" s="103" t="b">
        <v>1</v>
      </c>
      <c r="O99" s="105" t="s">
        <v>162</v>
      </c>
      <c r="P99" s="14"/>
      <c r="Q99" s="105"/>
      <c r="R99" s="14"/>
    </row>
    <row r="100" ht="21.75" customHeight="1">
      <c r="A100" s="66"/>
      <c r="B100" s="110"/>
      <c r="C100" s="121" t="s">
        <v>167</v>
      </c>
      <c r="D100" s="121"/>
      <c r="E100" s="103" t="b">
        <v>1</v>
      </c>
      <c r="F100" s="104"/>
      <c r="G100" s="13"/>
      <c r="H100" s="105"/>
      <c r="I100" s="14"/>
      <c r="J100" s="66"/>
      <c r="K100" s="110"/>
      <c r="L100" s="83" t="s">
        <v>168</v>
      </c>
      <c r="M100" s="136"/>
      <c r="N100" s="103" t="b">
        <v>1</v>
      </c>
      <c r="O100" s="105" t="s">
        <v>162</v>
      </c>
      <c r="P100" s="14"/>
      <c r="Q100" s="105"/>
      <c r="R100" s="14"/>
    </row>
    <row r="101" ht="21.75" customHeight="1">
      <c r="A101" s="66"/>
      <c r="B101" s="110"/>
      <c r="C101" s="121" t="s">
        <v>169</v>
      </c>
      <c r="D101" s="121"/>
      <c r="E101" s="103" t="b">
        <v>1</v>
      </c>
      <c r="F101" s="104"/>
      <c r="G101" s="13"/>
      <c r="H101" s="105"/>
      <c r="I101" s="14"/>
      <c r="J101" s="66"/>
      <c r="K101" s="110"/>
      <c r="L101" s="83" t="s">
        <v>170</v>
      </c>
      <c r="M101" s="136"/>
      <c r="N101" s="103" t="b">
        <v>1</v>
      </c>
      <c r="O101" s="105" t="s">
        <v>162</v>
      </c>
      <c r="P101" s="14"/>
      <c r="Q101" s="105"/>
      <c r="R101" s="14"/>
    </row>
    <row r="102" ht="21.75" customHeight="1">
      <c r="A102" s="66"/>
      <c r="B102" s="110"/>
      <c r="C102" s="121" t="s">
        <v>171</v>
      </c>
      <c r="D102" s="121"/>
      <c r="E102" s="103" t="b">
        <v>1</v>
      </c>
      <c r="F102" s="104"/>
      <c r="G102" s="13"/>
      <c r="H102" s="105"/>
      <c r="I102" s="14"/>
      <c r="J102" s="66"/>
      <c r="K102" s="110"/>
      <c r="L102" s="83" t="s">
        <v>172</v>
      </c>
      <c r="M102" s="136"/>
      <c r="N102" s="103" t="b">
        <v>1</v>
      </c>
      <c r="O102" s="105" t="s">
        <v>162</v>
      </c>
      <c r="P102" s="14"/>
      <c r="Q102" s="105"/>
      <c r="R102" s="14"/>
    </row>
    <row r="103" ht="21.75" customHeight="1">
      <c r="A103" s="66"/>
      <c r="B103" s="110"/>
      <c r="C103" s="121" t="s">
        <v>173</v>
      </c>
      <c r="D103" s="121"/>
      <c r="E103" s="103" t="b">
        <v>1</v>
      </c>
      <c r="F103" s="104"/>
      <c r="G103" s="13"/>
      <c r="H103" s="105"/>
      <c r="I103" s="14"/>
      <c r="J103" s="66"/>
      <c r="K103" s="110"/>
      <c r="L103" s="83" t="s">
        <v>174</v>
      </c>
      <c r="M103" s="136"/>
      <c r="N103" s="103" t="b">
        <v>1</v>
      </c>
      <c r="O103" s="105" t="s">
        <v>162</v>
      </c>
      <c r="P103" s="14"/>
      <c r="Q103" s="105"/>
      <c r="R103" s="14"/>
    </row>
    <row r="104" ht="21.75" customHeight="1">
      <c r="A104" s="66"/>
      <c r="B104" s="110"/>
      <c r="C104" s="121" t="s">
        <v>175</v>
      </c>
      <c r="D104" s="121"/>
      <c r="E104" s="103" t="s">
        <v>104</v>
      </c>
      <c r="F104" s="104"/>
      <c r="G104" s="13"/>
      <c r="H104" s="105"/>
      <c r="I104" s="14"/>
      <c r="J104" s="66"/>
      <c r="K104" s="110"/>
      <c r="L104" s="83" t="s">
        <v>176</v>
      </c>
      <c r="M104" s="136"/>
      <c r="N104" s="103" t="s">
        <v>104</v>
      </c>
      <c r="O104" s="105" t="s">
        <v>162</v>
      </c>
      <c r="P104" s="14"/>
      <c r="Q104" s="105"/>
      <c r="R104" s="14"/>
    </row>
    <row r="105" ht="21.75" customHeight="1">
      <c r="A105" s="66"/>
      <c r="B105" s="113"/>
      <c r="C105" s="121" t="s">
        <v>177</v>
      </c>
      <c r="D105" s="121"/>
      <c r="E105" s="103" t="s">
        <v>104</v>
      </c>
      <c r="F105" s="104"/>
      <c r="G105" s="13"/>
      <c r="H105" s="105"/>
      <c r="I105" s="14"/>
      <c r="J105" s="66"/>
      <c r="K105" s="113"/>
      <c r="L105" s="120" t="str">
        <f>IFERROR(__xludf.DUMMYFUNCTION("GOOGLETRANSLATE(C105,""en"",""ja"")"),"バッファ値（％）")</f>
        <v>バッファ値（％）</v>
      </c>
      <c r="M105" s="14"/>
      <c r="N105" s="103" t="s">
        <v>104</v>
      </c>
      <c r="O105" s="105" t="s">
        <v>162</v>
      </c>
      <c r="P105" s="14"/>
      <c r="Q105" s="105"/>
      <c r="R105" s="14"/>
    </row>
    <row r="106" ht="21.75" customHeight="1">
      <c r="A106" s="66"/>
      <c r="B106" s="135" t="s">
        <v>75</v>
      </c>
      <c r="C106" s="128" t="s">
        <v>178</v>
      </c>
      <c r="D106" s="14"/>
      <c r="E106" s="103" t="s">
        <v>104</v>
      </c>
      <c r="F106" s="104"/>
      <c r="G106" s="13"/>
      <c r="H106" s="105"/>
      <c r="I106" s="14"/>
      <c r="J106" s="66"/>
      <c r="K106" s="135" t="s">
        <v>75</v>
      </c>
      <c r="L106" s="120" t="str">
        <f>IFERROR(__xludf.DUMMYFUNCTION("GOOGLETRANSLATE(C106,""en"",""ja"")"),"構築環境；開発、ステージング、UAT、本番など")</f>
        <v>構築環境；開発、ステージング、UAT、本番など</v>
      </c>
      <c r="M106" s="14"/>
      <c r="N106" s="103" t="s">
        <v>104</v>
      </c>
      <c r="O106" s="105" t="str">
        <f>IFERROR(__xludf.DUMMYFUNCTION("iferror(GOOGLETRANSLATE(F106,""en"",""ja""),"""")"),"")</f>
        <v/>
      </c>
      <c r="P106" s="14"/>
      <c r="Q106" s="105"/>
      <c r="R106" s="14"/>
    </row>
    <row r="107" ht="21.75" customHeight="1">
      <c r="A107" s="66"/>
      <c r="B107" s="110"/>
      <c r="C107" s="137" t="s">
        <v>179</v>
      </c>
      <c r="D107" s="14"/>
      <c r="E107" s="103" t="b">
        <v>1</v>
      </c>
      <c r="F107" s="104"/>
      <c r="G107" s="13"/>
      <c r="H107" s="105"/>
      <c r="I107" s="14"/>
      <c r="J107" s="66"/>
      <c r="K107" s="110"/>
      <c r="L107" s="120" t="str">
        <f>IFERROR(__xludf.DUMMYFUNCTION("GOOGLETRANSLATE(C107,""en"",""ja"")"),"クラウドサービスの選択とアーキテクチャ")</f>
        <v>クラウドサービスの選択とアーキテクチャ</v>
      </c>
      <c r="M107" s="14"/>
      <c r="N107" s="103" t="b">
        <v>1</v>
      </c>
      <c r="O107" s="105" t="str">
        <f>IFERROR(__xludf.DUMMYFUNCTION("iferror(GOOGLETRANSLATE(F107,""en"",""ja""),"""")"),"")</f>
        <v/>
      </c>
      <c r="P107" s="14"/>
      <c r="Q107" s="105"/>
      <c r="R107" s="14"/>
    </row>
    <row r="108" ht="21.75" customHeight="1">
      <c r="A108" s="66"/>
      <c r="B108" s="110"/>
      <c r="C108" s="137" t="s">
        <v>180</v>
      </c>
      <c r="D108" s="14"/>
      <c r="E108" s="103" t="b">
        <v>1</v>
      </c>
      <c r="F108" s="104"/>
      <c r="G108" s="13"/>
      <c r="H108" s="105"/>
      <c r="I108" s="14"/>
      <c r="J108" s="66"/>
      <c r="K108" s="110"/>
      <c r="L108" s="120" t="str">
        <f>IFERROR(__xludf.DUMMYFUNCTION("GOOGLETRANSLATE(C108,""en"",""ja"")"),"コンテナおよび仮想マシン（VM）の選択と管理")</f>
        <v>コンテナおよび仮想マシン（VM）の選択と管理</v>
      </c>
      <c r="M108" s="14"/>
      <c r="N108" s="103" t="b">
        <v>1</v>
      </c>
      <c r="O108" s="105" t="str">
        <f>IFERROR(__xludf.DUMMYFUNCTION("iferror(GOOGLETRANSLATE(F108,""en"",""ja""),"""")"),"")</f>
        <v/>
      </c>
      <c r="P108" s="14"/>
      <c r="Q108" s="105"/>
      <c r="R108" s="14"/>
    </row>
    <row r="109" ht="21.75" customHeight="1">
      <c r="A109" s="66"/>
      <c r="B109" s="110"/>
      <c r="C109" s="128" t="s">
        <v>181</v>
      </c>
      <c r="D109" s="14"/>
      <c r="E109" s="103" t="b">
        <v>1</v>
      </c>
      <c r="F109" s="104"/>
      <c r="G109" s="13"/>
      <c r="H109" s="105"/>
      <c r="I109" s="14"/>
      <c r="J109" s="66"/>
      <c r="K109" s="110"/>
      <c r="L109" s="120" t="str">
        <f>IFERROR(__xludf.DUMMYFUNCTION("GOOGLETRANSLATE(C109,""en"",""ja"")"),"データベース")</f>
        <v>データベース</v>
      </c>
      <c r="M109" s="14"/>
      <c r="N109" s="103" t="b">
        <v>1</v>
      </c>
      <c r="O109" s="105" t="str">
        <f>IFERROR(__xludf.DUMMYFUNCTION("iferror(GOOGLETRANSLATE(F109,""en"",""ja""),"""")"),"")</f>
        <v/>
      </c>
      <c r="P109" s="14"/>
      <c r="Q109" s="105"/>
      <c r="R109" s="14"/>
    </row>
    <row r="110" ht="21.75" customHeight="1">
      <c r="A110" s="66"/>
      <c r="B110" s="110"/>
      <c r="C110" s="137" t="s">
        <v>182</v>
      </c>
      <c r="D110" s="14"/>
      <c r="E110" s="103" t="b">
        <v>1</v>
      </c>
      <c r="F110" s="104"/>
      <c r="G110" s="13"/>
      <c r="H110" s="105"/>
      <c r="I110" s="14"/>
      <c r="J110" s="66"/>
      <c r="K110" s="110"/>
      <c r="L110" s="120" t="str">
        <f>IFERROR(__xludf.DUMMYFUNCTION("GOOGLETRANSLATE(C110,""en"",""ja"")"),"ネットワーク設計とセキュリティ対策")</f>
        <v>ネットワーク設計とセキュリティ対策</v>
      </c>
      <c r="M110" s="14"/>
      <c r="N110" s="103" t="b">
        <v>1</v>
      </c>
      <c r="O110" s="105" t="str">
        <f>IFERROR(__xludf.DUMMYFUNCTION("iferror(GOOGLETRANSLATE(F110,""en"",""ja""),"""")"),"")</f>
        <v/>
      </c>
      <c r="P110" s="14"/>
      <c r="Q110" s="105"/>
      <c r="R110" s="14"/>
    </row>
    <row r="111" ht="21.75" customHeight="1">
      <c r="A111" s="66"/>
      <c r="B111" s="110"/>
      <c r="C111" s="137" t="s">
        <v>183</v>
      </c>
      <c r="D111" s="14"/>
      <c r="E111" s="103" t="b">
        <v>1</v>
      </c>
      <c r="F111" s="104"/>
      <c r="G111" s="13"/>
      <c r="H111" s="105"/>
      <c r="I111" s="14"/>
      <c r="J111" s="66"/>
      <c r="K111" s="110"/>
      <c r="L111" s="120" t="str">
        <f>IFERROR(__xludf.DUMMYFUNCTION("GOOGLETRANSLATE(C111,""en"",""ja"")"),"キャッシング（CDN、Redis、インメモリキャッシングシステムなど）")</f>
        <v>キャッシング（CDN、Redis、インメモリキャッシングシステムなど）</v>
      </c>
      <c r="M111" s="14"/>
      <c r="N111" s="103" t="b">
        <v>1</v>
      </c>
      <c r="O111" s="105" t="str">
        <f>IFERROR(__xludf.DUMMYFUNCTION("iferror(GOOGLETRANSLATE(F111,""en"",""ja""),"""")"),"")</f>
        <v/>
      </c>
      <c r="P111" s="14"/>
      <c r="Q111" s="105"/>
      <c r="R111" s="14"/>
    </row>
    <row r="112" ht="21.75" customHeight="1">
      <c r="A112" s="66"/>
      <c r="B112" s="110"/>
      <c r="C112" s="130" t="s">
        <v>184</v>
      </c>
      <c r="D112" s="14"/>
      <c r="E112" s="103" t="b">
        <v>1</v>
      </c>
      <c r="F112" s="104"/>
      <c r="G112" s="13"/>
      <c r="H112" s="105"/>
      <c r="I112" s="14"/>
      <c r="J112" s="66"/>
      <c r="K112" s="110"/>
      <c r="L112" s="120" t="str">
        <f>IFERROR(__xludf.DUMMYFUNCTION("GOOGLETRANSLATE(C112,""en"",""ja"")"),"CI/CD")</f>
        <v>CI/CD</v>
      </c>
      <c r="M112" s="14"/>
      <c r="N112" s="103" t="b">
        <v>1</v>
      </c>
      <c r="O112" s="105" t="str">
        <f>IFERROR(__xludf.DUMMYFUNCTION("iferror(GOOGLETRANSLATE(F112,""en"",""ja""),"""")"),"")</f>
        <v/>
      </c>
      <c r="P112" s="14"/>
      <c r="Q112" s="105"/>
      <c r="R112" s="14"/>
    </row>
    <row r="113" ht="21.75" customHeight="1">
      <c r="A113" s="66"/>
      <c r="B113" s="110"/>
      <c r="C113" s="128" t="s">
        <v>185</v>
      </c>
      <c r="D113" s="14"/>
      <c r="E113" s="103" t="b">
        <v>1</v>
      </c>
      <c r="F113" s="104"/>
      <c r="G113" s="13"/>
      <c r="H113" s="105"/>
      <c r="I113" s="14"/>
      <c r="J113" s="66"/>
      <c r="K113" s="110"/>
      <c r="L113" s="120" t="str">
        <f>IFERROR(__xludf.DUMMYFUNCTION("GOOGLETRANSLATE(C113,""en"",""ja"")"),"監視と警告")</f>
        <v>監視と警告</v>
      </c>
      <c r="M113" s="14"/>
      <c r="N113" s="103" t="b">
        <v>1</v>
      </c>
      <c r="O113" s="105" t="str">
        <f>IFERROR(__xludf.DUMMYFUNCTION("iferror(GOOGLETRANSLATE(F113,""en"",""ja""),"""")"),"")</f>
        <v/>
      </c>
      <c r="P113" s="14"/>
      <c r="Q113" s="105"/>
      <c r="R113" s="14"/>
    </row>
    <row r="114" ht="21.75" customHeight="1">
      <c r="A114" s="66"/>
      <c r="B114" s="110"/>
      <c r="C114" s="128" t="s">
        <v>186</v>
      </c>
      <c r="D114" s="14"/>
      <c r="E114" s="103" t="b">
        <v>1</v>
      </c>
      <c r="F114" s="104"/>
      <c r="G114" s="13"/>
      <c r="H114" s="105"/>
      <c r="I114" s="14"/>
      <c r="J114" s="66"/>
      <c r="K114" s="110"/>
      <c r="L114" s="120" t="str">
        <f>IFERROR(__xludf.DUMMYFUNCTION("GOOGLETRANSLATE(C114,""en"",""ja"")"),"バックアップと復旧戦略")</f>
        <v>バックアップと復旧戦略</v>
      </c>
      <c r="M114" s="14"/>
      <c r="N114" s="103" t="b">
        <v>1</v>
      </c>
      <c r="O114" s="105" t="str">
        <f>IFERROR(__xludf.DUMMYFUNCTION("iferror(GOOGLETRANSLATE(F114,""en"",""ja""),"""")"),"")</f>
        <v/>
      </c>
      <c r="P114" s="14"/>
      <c r="Q114" s="105"/>
      <c r="R114" s="14"/>
    </row>
    <row r="115" ht="21.75" customHeight="1">
      <c r="A115" s="66"/>
      <c r="B115" s="110"/>
      <c r="C115" s="137" t="s">
        <v>187</v>
      </c>
      <c r="D115" s="14"/>
      <c r="E115" s="103" t="b">
        <v>1</v>
      </c>
      <c r="F115" s="104"/>
      <c r="G115" s="13"/>
      <c r="H115" s="105"/>
      <c r="I115" s="14"/>
      <c r="J115" s="66"/>
      <c r="K115" s="110"/>
      <c r="L115" s="120" t="str">
        <f>IFERROR(__xludf.DUMMYFUNCTION("GOOGLETRANSLATE(C115,""en"",""ja"")"),"パフォーマンス テストと負荷テスト")</f>
        <v>パフォーマンス テストと負荷テスト</v>
      </c>
      <c r="M115" s="14"/>
      <c r="N115" s="103" t="b">
        <v>1</v>
      </c>
      <c r="O115" s="105" t="str">
        <f>IFERROR(__xludf.DUMMYFUNCTION("iferror(GOOGLETRANSLATE(F115,""en"",""ja""),"""")"),"")</f>
        <v/>
      </c>
      <c r="P115" s="14"/>
      <c r="Q115" s="105"/>
      <c r="R115" s="14"/>
    </row>
    <row r="116" ht="44.25" customHeight="1">
      <c r="A116" s="66"/>
      <c r="B116" s="110"/>
      <c r="C116" s="138" t="s">
        <v>188</v>
      </c>
      <c r="D116" s="14"/>
      <c r="E116" s="103" t="b">
        <v>1</v>
      </c>
      <c r="F116" s="104"/>
      <c r="G116" s="13"/>
      <c r="H116" s="105"/>
      <c r="I116" s="14"/>
      <c r="J116" s="66"/>
      <c r="K116" s="110"/>
      <c r="L116" s="117" t="str">
        <f>IFERROR(__xludf.DUMMYFUNCTION("GOOGLETRANSLATE(C116,""en"",""ja"")"),"非機能要件に関するその他の前提条件（可用性、パフォーマンス／拡張性、運用保守性、移植性、セキュリティ確保のために実施すべき事項など）")</f>
        <v>非機能要件に関するその他の前提条件（可用性、パフォーマンス／拡張性、運用保守性、移植性、セキュリティ確保のために実施すべき事項など）</v>
      </c>
      <c r="M116" s="14"/>
      <c r="N116" s="103" t="b">
        <v>1</v>
      </c>
      <c r="O116" s="105" t="str">
        <f>IFERROR(__xludf.DUMMYFUNCTION("iferror(GOOGLETRANSLATE(F116,""en"",""ja""),"""")"),"")</f>
        <v/>
      </c>
      <c r="P116" s="14"/>
      <c r="Q116" s="105"/>
      <c r="R116" s="14"/>
    </row>
    <row r="117" ht="21.75" customHeight="1">
      <c r="A117" s="66"/>
      <c r="B117" s="110"/>
      <c r="C117" s="138" t="s">
        <v>189</v>
      </c>
      <c r="D117" s="14"/>
      <c r="E117" s="103" t="b">
        <v>1</v>
      </c>
      <c r="F117" s="104"/>
      <c r="G117" s="13"/>
      <c r="H117" s="105"/>
      <c r="I117" s="14"/>
      <c r="J117" s="66"/>
      <c r="K117" s="110"/>
      <c r="L117" s="120" t="str">
        <f>IFERROR(__xludf.DUMMYFUNCTION("GOOGLETRANSLATE(C117,""en"",""ja"")"),"本番環境への展開と保守")</f>
        <v>本番環境への展開と保守</v>
      </c>
      <c r="M117" s="14"/>
      <c r="N117" s="103" t="b">
        <v>1</v>
      </c>
      <c r="O117" s="105" t="str">
        <f>IFERROR(__xludf.DUMMYFUNCTION("iferror(GOOGLETRANSLATE(F117,""en"",""ja""),"""")"),"")</f>
        <v/>
      </c>
      <c r="P117" s="14"/>
      <c r="Q117" s="105"/>
      <c r="R117" s="14"/>
    </row>
    <row r="118" ht="21.75" customHeight="1">
      <c r="A118" s="66"/>
      <c r="B118" s="110"/>
      <c r="C118" s="128" t="s">
        <v>190</v>
      </c>
      <c r="D118" s="14"/>
      <c r="E118" s="103" t="s">
        <v>104</v>
      </c>
      <c r="F118" s="104"/>
      <c r="G118" s="13"/>
      <c r="H118" s="105"/>
      <c r="I118" s="14"/>
      <c r="J118" s="66"/>
      <c r="K118" s="110"/>
      <c r="L118" s="120" t="str">
        <f>IFERROR(__xludf.DUMMYFUNCTION("GOOGLETRANSLATE(C118,""en"",""ja"")"),"その他の想定リスクおよび前提条件")</f>
        <v>その他の想定リスクおよび前提条件</v>
      </c>
      <c r="M118" s="14"/>
      <c r="N118" s="103" t="s">
        <v>104</v>
      </c>
      <c r="O118" s="105" t="str">
        <f>IFERROR(__xludf.DUMMYFUNCTION("iferror(GOOGLETRANSLATE(F118,""en"",""ja""),"""")"),"")</f>
        <v/>
      </c>
      <c r="P118" s="14"/>
      <c r="Q118" s="105"/>
      <c r="R118" s="14"/>
    </row>
    <row r="119" ht="21.75" customHeight="1">
      <c r="A119" s="66"/>
      <c r="B119" s="113"/>
      <c r="C119" s="128" t="s">
        <v>134</v>
      </c>
      <c r="D119" s="14"/>
      <c r="E119" s="103" t="s">
        <v>104</v>
      </c>
      <c r="F119" s="104"/>
      <c r="G119" s="13"/>
      <c r="H119" s="105"/>
      <c r="I119" s="14"/>
      <c r="J119" s="66"/>
      <c r="K119" s="113"/>
      <c r="L119" s="120" t="str">
        <f>IFERROR(__xludf.DUMMYFUNCTION("GOOGLETRANSLATE(C119,""en"",""ja"")"),"バッファ率（％）")</f>
        <v>バッファ率（％）</v>
      </c>
      <c r="M119" s="14"/>
      <c r="N119" s="103" t="s">
        <v>104</v>
      </c>
      <c r="O119" s="105" t="str">
        <f>IFERROR(__xludf.DUMMYFUNCTION("iferror(GOOGLETRANSLATE(F119,""en"",""ja""),"""")"),"")</f>
        <v/>
      </c>
      <c r="P119" s="14"/>
      <c r="Q119" s="105"/>
      <c r="R119" s="14"/>
    </row>
    <row r="120" ht="21.75" customHeight="1">
      <c r="A120" s="72"/>
      <c r="B120" s="106" t="s">
        <v>191</v>
      </c>
      <c r="C120" s="122" t="s">
        <v>123</v>
      </c>
      <c r="D120" s="123" t="s">
        <v>192</v>
      </c>
      <c r="E120" s="103" t="b">
        <v>1</v>
      </c>
      <c r="F120" s="104"/>
      <c r="G120" s="13"/>
      <c r="H120" s="105"/>
      <c r="I120" s="14"/>
      <c r="J120" s="72"/>
      <c r="K120" s="106" t="s">
        <v>191</v>
      </c>
      <c r="L120" s="124" t="str">
        <f>IFERROR(__xludf.DUMMYFUNCTION("GOOGLETRANSLATE(C120,""en"",""ja"")"),"作業範囲")</f>
        <v>作業範囲</v>
      </c>
      <c r="M120" s="125" t="str">
        <f>IFERROR(__xludf.DUMMYFUNCTION("GOOGLETRANSLATE(D120,""en"",""ja"")"),"ワイヤーフレーム")</f>
        <v>ワイヤーフレーム</v>
      </c>
      <c r="N120" s="103" t="b">
        <v>1</v>
      </c>
      <c r="O120" s="105" t="str">
        <f>IFERROR(__xludf.DUMMYFUNCTION("iferror(GOOGLETRANSLATE(F120,""en"",""ja""),"""")"),"")</f>
        <v/>
      </c>
      <c r="P120" s="14"/>
      <c r="Q120" s="105"/>
      <c r="R120" s="14"/>
    </row>
    <row r="121" ht="21.75" customHeight="1">
      <c r="A121" s="72"/>
      <c r="B121" s="110"/>
      <c r="C121" s="110"/>
      <c r="D121" s="123" t="s">
        <v>193</v>
      </c>
      <c r="E121" s="103" t="b">
        <v>1</v>
      </c>
      <c r="F121" s="104"/>
      <c r="G121" s="13"/>
      <c r="H121" s="105"/>
      <c r="I121" s="14"/>
      <c r="J121" s="72"/>
      <c r="K121" s="110"/>
      <c r="L121" s="110"/>
      <c r="M121" s="125" t="str">
        <f>IFERROR(__xludf.DUMMYFUNCTION("GOOGLETRANSLATE(D121,""en"",""ja"")"),"モックアップ")</f>
        <v>モックアップ</v>
      </c>
      <c r="N121" s="103" t="b">
        <v>1</v>
      </c>
      <c r="O121" s="105" t="str">
        <f>IFERROR(__xludf.DUMMYFUNCTION("iferror(GOOGLETRANSLATE(F121,""en"",""ja""),"""")"),"")</f>
        <v/>
      </c>
      <c r="P121" s="14"/>
      <c r="Q121" s="105"/>
      <c r="R121" s="14"/>
    </row>
    <row r="122" ht="21.75" customHeight="1">
      <c r="A122" s="72"/>
      <c r="B122" s="110"/>
      <c r="C122" s="113"/>
      <c r="D122" s="123" t="s">
        <v>194</v>
      </c>
      <c r="E122" s="103" t="b">
        <v>1</v>
      </c>
      <c r="F122" s="104"/>
      <c r="G122" s="13"/>
      <c r="H122" s="105"/>
      <c r="I122" s="14"/>
      <c r="J122" s="72"/>
      <c r="K122" s="110"/>
      <c r="L122" s="113"/>
      <c r="M122" s="125" t="str">
        <f>IFERROR(__xludf.DUMMYFUNCTION("GOOGLETRANSLATE(D122,""en"",""ja"")"),"他の")</f>
        <v>他の</v>
      </c>
      <c r="N122" s="103" t="b">
        <v>1</v>
      </c>
      <c r="O122" s="105" t="str">
        <f>IFERROR(__xludf.DUMMYFUNCTION("iferror(GOOGLETRANSLATE(F122,""en"",""ja""),"""")"),"")</f>
        <v/>
      </c>
      <c r="P122" s="14"/>
      <c r="Q122" s="105"/>
      <c r="R122" s="14"/>
    </row>
    <row r="123" ht="21.75" customHeight="1">
      <c r="A123" s="72"/>
      <c r="B123" s="113"/>
      <c r="C123" s="128" t="s">
        <v>134</v>
      </c>
      <c r="D123" s="14"/>
      <c r="E123" s="103" t="s">
        <v>104</v>
      </c>
      <c r="F123" s="104"/>
      <c r="G123" s="13"/>
      <c r="H123" s="105"/>
      <c r="I123" s="14"/>
      <c r="J123" s="72"/>
      <c r="K123" s="113"/>
      <c r="L123" s="120" t="str">
        <f>IFERROR(__xludf.DUMMYFUNCTION("GOOGLETRANSLATE(C123,""en"",""ja"")"),"バッファ率（％）")</f>
        <v>バッファ率（％）</v>
      </c>
      <c r="M123" s="14"/>
      <c r="N123" s="103" t="s">
        <v>104</v>
      </c>
      <c r="O123" s="105"/>
      <c r="P123" s="14"/>
      <c r="Q123" s="105"/>
      <c r="R123" s="14"/>
    </row>
    <row r="124">
      <c r="A124" s="72"/>
      <c r="B124" s="139"/>
      <c r="C124" s="140"/>
      <c r="D124" s="140"/>
      <c r="E124" s="141"/>
      <c r="F124" s="142"/>
      <c r="G124" s="142"/>
      <c r="H124" s="142"/>
      <c r="I124" s="142"/>
      <c r="J124" s="72"/>
      <c r="K124" s="139"/>
      <c r="L124" s="91"/>
      <c r="M124" s="74"/>
      <c r="N124" s="141"/>
      <c r="O124" s="142"/>
      <c r="P124" s="142"/>
      <c r="Q124" s="142"/>
      <c r="R124" s="66"/>
    </row>
    <row r="125">
      <c r="A125" s="72"/>
      <c r="B125" s="143" t="s">
        <v>195</v>
      </c>
      <c r="C125" s="140"/>
      <c r="D125" s="140"/>
      <c r="E125" s="141"/>
      <c r="F125" s="142"/>
      <c r="G125" s="142"/>
      <c r="H125" s="142"/>
      <c r="I125" s="142"/>
      <c r="J125" s="72"/>
      <c r="K125" s="139"/>
      <c r="L125" s="91"/>
      <c r="M125" s="74"/>
      <c r="N125" s="141"/>
      <c r="O125" s="142"/>
      <c r="P125" s="142"/>
      <c r="Q125" s="142"/>
      <c r="R125" s="66"/>
    </row>
    <row r="126">
      <c r="A126" s="72"/>
      <c r="B126" s="144" t="s">
        <v>66</v>
      </c>
      <c r="C126" s="145" t="s">
        <v>196</v>
      </c>
      <c r="D126" s="146" t="s">
        <v>197</v>
      </c>
      <c r="E126" s="14"/>
      <c r="F126" s="145" t="s">
        <v>198</v>
      </c>
      <c r="G126" s="146" t="s">
        <v>69</v>
      </c>
      <c r="H126" s="13"/>
      <c r="I126" s="14"/>
      <c r="J126" s="72"/>
      <c r="K126" s="139"/>
      <c r="L126" s="91"/>
      <c r="M126" s="74"/>
      <c r="N126" s="141"/>
      <c r="O126" s="142"/>
      <c r="P126" s="142"/>
      <c r="Q126" s="142"/>
      <c r="R126" s="66"/>
    </row>
    <row r="127">
      <c r="A127" s="72"/>
      <c r="B127" s="147">
        <v>1.0</v>
      </c>
      <c r="C127" s="148" t="s">
        <v>199</v>
      </c>
      <c r="D127" s="128" t="s">
        <v>200</v>
      </c>
      <c r="E127" s="14"/>
      <c r="F127" s="149" t="s">
        <v>201</v>
      </c>
      <c r="G127" s="105"/>
      <c r="H127" s="13"/>
      <c r="I127" s="14"/>
      <c r="J127" s="72"/>
      <c r="K127" s="139"/>
      <c r="L127" s="91"/>
      <c r="M127" s="74"/>
      <c r="N127" s="141"/>
      <c r="O127" s="142"/>
      <c r="P127" s="142"/>
      <c r="Q127" s="142"/>
      <c r="R127" s="66"/>
    </row>
    <row r="128">
      <c r="A128" s="72"/>
      <c r="B128" s="147">
        <v>2.0</v>
      </c>
      <c r="C128" s="148" t="s">
        <v>202</v>
      </c>
      <c r="D128" s="128" t="s">
        <v>203</v>
      </c>
      <c r="E128" s="14"/>
      <c r="F128" s="149" t="s">
        <v>204</v>
      </c>
      <c r="G128" s="105"/>
      <c r="H128" s="13"/>
      <c r="I128" s="14"/>
      <c r="J128" s="72"/>
      <c r="K128" s="139"/>
      <c r="L128" s="91"/>
      <c r="M128" s="74"/>
      <c r="N128" s="141"/>
      <c r="O128" s="142"/>
      <c r="P128" s="142"/>
      <c r="Q128" s="142"/>
      <c r="R128" s="66"/>
    </row>
    <row r="129">
      <c r="A129" s="72"/>
      <c r="B129" s="147">
        <v>3.0</v>
      </c>
      <c r="C129" s="123" t="s">
        <v>205</v>
      </c>
      <c r="D129" s="128" t="s">
        <v>206</v>
      </c>
      <c r="E129" s="14"/>
      <c r="F129" s="149" t="s">
        <v>207</v>
      </c>
      <c r="G129" s="105"/>
      <c r="H129" s="13"/>
      <c r="I129" s="14"/>
      <c r="J129" s="72"/>
      <c r="K129" s="139"/>
      <c r="L129" s="91"/>
      <c r="M129" s="74"/>
      <c r="N129" s="141"/>
      <c r="O129" s="142"/>
      <c r="P129" s="142"/>
      <c r="Q129" s="142"/>
      <c r="R129" s="66"/>
    </row>
    <row r="130">
      <c r="A130" s="72"/>
      <c r="B130" s="147">
        <v>4.0</v>
      </c>
      <c r="C130" s="123" t="s">
        <v>208</v>
      </c>
      <c r="D130" s="128"/>
      <c r="E130" s="14"/>
      <c r="F130" s="150"/>
      <c r="G130" s="105"/>
      <c r="H130" s="13"/>
      <c r="I130" s="14"/>
      <c r="J130" s="72"/>
      <c r="K130" s="139"/>
      <c r="L130" s="91"/>
      <c r="M130" s="74"/>
      <c r="N130" s="141"/>
      <c r="O130" s="142"/>
      <c r="P130" s="142"/>
      <c r="Q130" s="142"/>
      <c r="R130" s="66"/>
    </row>
    <row r="131">
      <c r="A131" s="72"/>
      <c r="B131" s="147">
        <v>5.0</v>
      </c>
      <c r="C131" s="123" t="s">
        <v>209</v>
      </c>
      <c r="D131" s="128"/>
      <c r="E131" s="14"/>
      <c r="F131" s="150"/>
      <c r="G131" s="105"/>
      <c r="H131" s="13"/>
      <c r="I131" s="14"/>
      <c r="J131" s="72"/>
      <c r="K131" s="139"/>
      <c r="L131" s="91"/>
      <c r="M131" s="74"/>
      <c r="N131" s="141"/>
      <c r="O131" s="142"/>
      <c r="P131" s="142"/>
      <c r="Q131" s="142"/>
      <c r="R131" s="66"/>
    </row>
    <row r="132">
      <c r="A132" s="72"/>
      <c r="B132" s="139"/>
      <c r="C132" s="140"/>
      <c r="D132" s="140"/>
      <c r="E132" s="141"/>
      <c r="F132" s="142"/>
      <c r="G132" s="142"/>
      <c r="H132" s="142"/>
      <c r="I132" s="142"/>
      <c r="J132" s="72"/>
      <c r="K132" s="139"/>
      <c r="L132" s="91"/>
      <c r="M132" s="74"/>
      <c r="N132" s="141"/>
      <c r="O132" s="142"/>
      <c r="P132" s="142"/>
      <c r="Q132" s="142"/>
      <c r="R132" s="66"/>
    </row>
    <row r="133">
      <c r="A133" s="72"/>
      <c r="B133" s="151" t="s">
        <v>210</v>
      </c>
      <c r="C133" s="152"/>
      <c r="D133" s="152"/>
      <c r="E133" s="152"/>
      <c r="F133" s="152"/>
      <c r="G133" s="152"/>
      <c r="H133" s="152"/>
      <c r="I133" s="152"/>
      <c r="J133" s="153"/>
      <c r="K133" s="152"/>
      <c r="L133" s="91"/>
      <c r="M133" s="74"/>
      <c r="N133" s="141"/>
      <c r="O133" s="142"/>
      <c r="P133" s="142"/>
      <c r="Q133" s="142"/>
      <c r="R133" s="66"/>
    </row>
    <row r="134">
      <c r="A134" s="72"/>
      <c r="B134" s="144" t="s">
        <v>66</v>
      </c>
      <c r="C134" s="154" t="s">
        <v>211</v>
      </c>
      <c r="D134" s="154" t="s">
        <v>212</v>
      </c>
      <c r="E134" s="144" t="s">
        <v>198</v>
      </c>
      <c r="F134" s="155" t="s">
        <v>213</v>
      </c>
      <c r="G134" s="14"/>
      <c r="H134" s="155" t="s">
        <v>214</v>
      </c>
      <c r="I134" s="14"/>
      <c r="J134" s="156" t="s">
        <v>69</v>
      </c>
      <c r="K134" s="14"/>
      <c r="L134" s="91"/>
      <c r="M134" s="74"/>
      <c r="N134" s="141"/>
      <c r="O134" s="142"/>
      <c r="P134" s="142"/>
      <c r="Q134" s="142"/>
      <c r="R134" s="66"/>
    </row>
    <row r="135" ht="39.0" customHeight="1">
      <c r="A135" s="72"/>
      <c r="B135" s="147">
        <v>1.0</v>
      </c>
      <c r="C135" s="148" t="s">
        <v>199</v>
      </c>
      <c r="D135" s="157" t="s">
        <v>215</v>
      </c>
      <c r="E135" s="147" t="s">
        <v>216</v>
      </c>
      <c r="F135" s="158" t="s">
        <v>217</v>
      </c>
      <c r="G135" s="14"/>
      <c r="H135" s="159"/>
      <c r="I135" s="14"/>
      <c r="J135" s="160"/>
      <c r="K135" s="14"/>
      <c r="L135" s="91"/>
      <c r="M135" s="74"/>
      <c r="N135" s="141"/>
      <c r="O135" s="142"/>
      <c r="P135" s="142"/>
      <c r="Q135" s="142"/>
      <c r="R135" s="66"/>
    </row>
    <row r="136" ht="39.0" customHeight="1">
      <c r="A136" s="72"/>
      <c r="B136" s="147">
        <v>2.0</v>
      </c>
      <c r="C136" s="148" t="s">
        <v>218</v>
      </c>
      <c r="D136" s="157" t="s">
        <v>219</v>
      </c>
      <c r="E136" s="147" t="s">
        <v>216</v>
      </c>
      <c r="F136" s="158" t="s">
        <v>217</v>
      </c>
      <c r="G136" s="14"/>
      <c r="H136" s="159"/>
      <c r="I136" s="14"/>
      <c r="J136" s="160"/>
      <c r="K136" s="14"/>
      <c r="L136" s="91"/>
      <c r="M136" s="74"/>
      <c r="N136" s="141"/>
      <c r="O136" s="142"/>
      <c r="P136" s="142"/>
      <c r="Q136" s="142"/>
      <c r="R136" s="66"/>
    </row>
    <row r="137" ht="39.0" customHeight="1">
      <c r="A137" s="72"/>
      <c r="B137" s="147">
        <v>3.0</v>
      </c>
      <c r="C137" s="148" t="s">
        <v>220</v>
      </c>
      <c r="D137" s="157" t="s">
        <v>215</v>
      </c>
      <c r="E137" s="147" t="s">
        <v>216</v>
      </c>
      <c r="F137" s="158" t="s">
        <v>221</v>
      </c>
      <c r="G137" s="14"/>
      <c r="H137" s="159"/>
      <c r="I137" s="14"/>
      <c r="J137" s="160"/>
      <c r="K137" s="14"/>
      <c r="L137" s="91"/>
      <c r="M137" s="74"/>
      <c r="N137" s="141"/>
      <c r="O137" s="142"/>
      <c r="P137" s="142"/>
      <c r="Q137" s="142"/>
      <c r="R137" s="66"/>
    </row>
    <row r="138" ht="39.0" customHeight="1">
      <c r="A138" s="72"/>
      <c r="B138" s="147">
        <v>4.0</v>
      </c>
      <c r="C138" s="148" t="s">
        <v>222</v>
      </c>
      <c r="D138" s="157" t="s">
        <v>215</v>
      </c>
      <c r="E138" s="147" t="s">
        <v>216</v>
      </c>
      <c r="F138" s="158" t="s">
        <v>217</v>
      </c>
      <c r="G138" s="14"/>
      <c r="H138" s="159"/>
      <c r="I138" s="14"/>
      <c r="J138" s="160"/>
      <c r="K138" s="14"/>
      <c r="L138" s="91"/>
      <c r="M138" s="74"/>
      <c r="N138" s="141"/>
      <c r="O138" s="142"/>
      <c r="P138" s="142"/>
      <c r="Q138" s="142"/>
      <c r="R138" s="66"/>
    </row>
    <row r="139" ht="39.0" customHeight="1">
      <c r="A139" s="72"/>
      <c r="B139" s="147">
        <v>5.0</v>
      </c>
      <c r="C139" s="148" t="s">
        <v>223</v>
      </c>
      <c r="D139" s="157" t="s">
        <v>215</v>
      </c>
      <c r="E139" s="147" t="s">
        <v>216</v>
      </c>
      <c r="F139" s="158" t="s">
        <v>221</v>
      </c>
      <c r="G139" s="14"/>
      <c r="H139" s="159"/>
      <c r="I139" s="14"/>
      <c r="J139" s="160"/>
      <c r="K139" s="14"/>
      <c r="L139" s="91"/>
      <c r="M139" s="74"/>
      <c r="N139" s="141"/>
      <c r="O139" s="142"/>
      <c r="P139" s="142"/>
      <c r="Q139" s="142"/>
      <c r="R139" s="66"/>
    </row>
    <row r="140" ht="39.0" customHeight="1">
      <c r="A140" s="72"/>
      <c r="B140" s="147">
        <v>6.0</v>
      </c>
      <c r="C140" s="148" t="s">
        <v>224</v>
      </c>
      <c r="D140" s="157" t="s">
        <v>225</v>
      </c>
      <c r="E140" s="147" t="s">
        <v>216</v>
      </c>
      <c r="F140" s="158" t="s">
        <v>226</v>
      </c>
      <c r="G140" s="14"/>
      <c r="H140" s="159"/>
      <c r="I140" s="14"/>
      <c r="J140" s="160"/>
      <c r="K140" s="14"/>
      <c r="L140" s="91"/>
      <c r="M140" s="74"/>
      <c r="N140" s="141"/>
      <c r="O140" s="142"/>
      <c r="P140" s="142"/>
      <c r="Q140" s="142"/>
      <c r="R140" s="66"/>
    </row>
    <row r="141" ht="39.0" customHeight="1">
      <c r="A141" s="72"/>
      <c r="B141" s="147">
        <v>6.0</v>
      </c>
      <c r="C141" s="148" t="s">
        <v>227</v>
      </c>
      <c r="D141" s="157" t="s">
        <v>225</v>
      </c>
      <c r="E141" s="147" t="s">
        <v>216</v>
      </c>
      <c r="F141" s="158" t="s">
        <v>226</v>
      </c>
      <c r="G141" s="14"/>
      <c r="H141" s="159"/>
      <c r="I141" s="14"/>
      <c r="J141" s="160"/>
      <c r="K141" s="14"/>
      <c r="L141" s="91"/>
      <c r="M141" s="74"/>
      <c r="N141" s="141"/>
      <c r="O141" s="142"/>
      <c r="P141" s="142"/>
      <c r="Q141" s="142"/>
      <c r="R141" s="66"/>
    </row>
    <row r="142" ht="39.0" customHeight="1">
      <c r="A142" s="72"/>
      <c r="B142" s="147">
        <v>6.0</v>
      </c>
      <c r="C142" s="148" t="s">
        <v>228</v>
      </c>
      <c r="D142" s="157" t="s">
        <v>225</v>
      </c>
      <c r="E142" s="147" t="s">
        <v>216</v>
      </c>
      <c r="F142" s="158" t="s">
        <v>229</v>
      </c>
      <c r="G142" s="14"/>
      <c r="H142" s="159"/>
      <c r="I142" s="14"/>
      <c r="J142" s="160"/>
      <c r="K142" s="14"/>
      <c r="L142" s="91"/>
      <c r="M142" s="74"/>
      <c r="N142" s="141"/>
      <c r="O142" s="142"/>
      <c r="P142" s="142"/>
      <c r="Q142" s="142"/>
      <c r="R142" s="66"/>
    </row>
    <row r="143" ht="39.0" customHeight="1">
      <c r="A143" s="72"/>
      <c r="B143" s="147">
        <v>6.0</v>
      </c>
      <c r="C143" s="148" t="s">
        <v>230</v>
      </c>
      <c r="D143" s="157" t="s">
        <v>225</v>
      </c>
      <c r="E143" s="147" t="s">
        <v>216</v>
      </c>
      <c r="F143" s="158" t="s">
        <v>231</v>
      </c>
      <c r="G143" s="14"/>
      <c r="H143" s="159"/>
      <c r="I143" s="14"/>
      <c r="J143" s="160"/>
      <c r="K143" s="14"/>
      <c r="L143" s="91"/>
      <c r="M143" s="74"/>
      <c r="N143" s="141"/>
      <c r="O143" s="142"/>
      <c r="P143" s="142"/>
      <c r="Q143" s="142"/>
      <c r="R143" s="66"/>
    </row>
    <row r="144" ht="39.0" customHeight="1">
      <c r="A144" s="72"/>
      <c r="B144" s="147">
        <v>7.0</v>
      </c>
      <c r="C144" s="148" t="s">
        <v>232</v>
      </c>
      <c r="D144" s="157" t="s">
        <v>225</v>
      </c>
      <c r="E144" s="147" t="s">
        <v>216</v>
      </c>
      <c r="F144" s="158" t="s">
        <v>226</v>
      </c>
      <c r="G144" s="14"/>
      <c r="H144" s="159"/>
      <c r="I144" s="14"/>
      <c r="J144" s="160"/>
      <c r="K144" s="14"/>
      <c r="L144" s="91"/>
      <c r="M144" s="74"/>
      <c r="N144" s="141"/>
      <c r="O144" s="142"/>
      <c r="P144" s="142"/>
      <c r="Q144" s="142"/>
      <c r="R144" s="66"/>
    </row>
    <row r="145" ht="39.0" customHeight="1">
      <c r="A145" s="72"/>
      <c r="B145" s="147">
        <v>8.0</v>
      </c>
      <c r="C145" s="148" t="s">
        <v>233</v>
      </c>
      <c r="D145" s="157" t="s">
        <v>219</v>
      </c>
      <c r="E145" s="147" t="s">
        <v>216</v>
      </c>
      <c r="F145" s="158" t="s">
        <v>217</v>
      </c>
      <c r="G145" s="14"/>
      <c r="H145" s="159"/>
      <c r="I145" s="14"/>
      <c r="J145" s="160"/>
      <c r="K145" s="14"/>
      <c r="L145" s="91"/>
      <c r="M145" s="74"/>
      <c r="N145" s="141"/>
      <c r="O145" s="142"/>
      <c r="P145" s="142"/>
      <c r="Q145" s="142"/>
      <c r="R145" s="66"/>
    </row>
    <row r="146" ht="39.0" customHeight="1">
      <c r="A146" s="72"/>
      <c r="B146" s="147">
        <v>9.0</v>
      </c>
      <c r="C146" s="148" t="s">
        <v>234</v>
      </c>
      <c r="D146" s="157" t="s">
        <v>235</v>
      </c>
      <c r="E146" s="147" t="s">
        <v>236</v>
      </c>
      <c r="F146" s="158" t="s">
        <v>217</v>
      </c>
      <c r="G146" s="14"/>
      <c r="H146" s="161" t="s">
        <v>237</v>
      </c>
      <c r="I146" s="14"/>
      <c r="J146" s="160" t="s">
        <v>238</v>
      </c>
      <c r="K146" s="14"/>
      <c r="L146" s="91"/>
      <c r="M146" s="74"/>
      <c r="N146" s="141"/>
      <c r="O146" s="142"/>
      <c r="P146" s="142"/>
      <c r="Q146" s="142"/>
      <c r="R146" s="66"/>
    </row>
    <row r="147" ht="39.0" customHeight="1">
      <c r="A147" s="72"/>
      <c r="B147" s="147">
        <v>10.0</v>
      </c>
      <c r="C147" s="148" t="s">
        <v>239</v>
      </c>
      <c r="D147" s="157" t="s">
        <v>235</v>
      </c>
      <c r="E147" s="29" t="s">
        <v>236</v>
      </c>
      <c r="F147" s="158" t="s">
        <v>217</v>
      </c>
      <c r="G147" s="14"/>
      <c r="H147" s="161" t="s">
        <v>240</v>
      </c>
      <c r="I147" s="14"/>
      <c r="J147" s="160" t="s">
        <v>238</v>
      </c>
      <c r="K147" s="14"/>
      <c r="L147" s="91"/>
      <c r="M147" s="74"/>
      <c r="N147" s="141"/>
      <c r="O147" s="142"/>
      <c r="P147" s="142"/>
      <c r="Q147" s="142"/>
      <c r="R147" s="66"/>
    </row>
    <row r="148" ht="39.0" customHeight="1">
      <c r="A148" s="72"/>
      <c r="B148" s="147">
        <v>11.0</v>
      </c>
      <c r="C148" s="148" t="s">
        <v>241</v>
      </c>
      <c r="D148" s="157" t="s">
        <v>235</v>
      </c>
      <c r="E148" s="29" t="s">
        <v>236</v>
      </c>
      <c r="F148" s="158" t="s">
        <v>221</v>
      </c>
      <c r="G148" s="14"/>
      <c r="H148" s="159"/>
      <c r="I148" s="14"/>
      <c r="J148" s="160" t="s">
        <v>238</v>
      </c>
      <c r="K148" s="14"/>
      <c r="L148" s="91"/>
      <c r="M148" s="74"/>
      <c r="N148" s="141"/>
      <c r="O148" s="142"/>
      <c r="P148" s="142"/>
      <c r="Q148" s="142"/>
      <c r="R148" s="66"/>
    </row>
    <row r="149" ht="39.0" customHeight="1">
      <c r="A149" s="72"/>
      <c r="B149" s="147">
        <v>12.0</v>
      </c>
      <c r="C149" s="148" t="s">
        <v>202</v>
      </c>
      <c r="D149" s="157" t="s">
        <v>242</v>
      </c>
      <c r="E149" s="29" t="s">
        <v>236</v>
      </c>
      <c r="F149" s="158" t="s">
        <v>221</v>
      </c>
      <c r="G149" s="14"/>
      <c r="H149" s="159"/>
      <c r="I149" s="14"/>
      <c r="J149" s="160" t="s">
        <v>243</v>
      </c>
      <c r="K149" s="14"/>
      <c r="L149" s="91"/>
      <c r="M149" s="74"/>
      <c r="N149" s="141"/>
      <c r="O149" s="142"/>
      <c r="P149" s="142"/>
      <c r="Q149" s="142"/>
      <c r="R149" s="66"/>
    </row>
    <row r="150" ht="39.0" customHeight="1">
      <c r="A150" s="72"/>
      <c r="B150" s="147">
        <v>13.0</v>
      </c>
      <c r="C150" s="148" t="s">
        <v>244</v>
      </c>
      <c r="D150" s="157" t="s">
        <v>245</v>
      </c>
      <c r="E150" s="29" t="s">
        <v>236</v>
      </c>
      <c r="F150" s="158" t="s">
        <v>246</v>
      </c>
      <c r="G150" s="14"/>
      <c r="H150" s="161" t="s">
        <v>247</v>
      </c>
      <c r="I150" s="14"/>
      <c r="J150" s="160" t="s">
        <v>243</v>
      </c>
      <c r="K150" s="14"/>
      <c r="L150" s="91"/>
      <c r="M150" s="74"/>
      <c r="N150" s="141"/>
      <c r="O150" s="142"/>
      <c r="P150" s="142"/>
      <c r="Q150" s="142"/>
      <c r="R150" s="66"/>
    </row>
    <row r="151" ht="39.0" customHeight="1">
      <c r="A151" s="72"/>
      <c r="B151" s="147">
        <v>14.0</v>
      </c>
      <c r="C151" s="148" t="s">
        <v>248</v>
      </c>
      <c r="D151" s="157" t="s">
        <v>235</v>
      </c>
      <c r="E151" s="29" t="s">
        <v>236</v>
      </c>
      <c r="F151" s="158" t="s">
        <v>221</v>
      </c>
      <c r="G151" s="14"/>
      <c r="H151" s="159"/>
      <c r="I151" s="14"/>
      <c r="J151" s="160"/>
      <c r="K151" s="14"/>
      <c r="L151" s="91"/>
      <c r="M151" s="74"/>
      <c r="N151" s="141"/>
      <c r="O151" s="142"/>
      <c r="P151" s="142"/>
      <c r="Q151" s="142"/>
      <c r="R151" s="66"/>
    </row>
    <row r="152" ht="39.0" customHeight="1">
      <c r="A152" s="72"/>
      <c r="B152" s="147">
        <v>15.0</v>
      </c>
      <c r="C152" s="148" t="s">
        <v>249</v>
      </c>
      <c r="D152" s="157" t="s">
        <v>235</v>
      </c>
      <c r="E152" s="29" t="s">
        <v>236</v>
      </c>
      <c r="F152" s="158" t="s">
        <v>217</v>
      </c>
      <c r="G152" s="14"/>
      <c r="H152" s="161" t="s">
        <v>250</v>
      </c>
      <c r="I152" s="14"/>
      <c r="J152" s="160" t="s">
        <v>251</v>
      </c>
      <c r="K152" s="14"/>
      <c r="L152" s="91"/>
      <c r="M152" s="74"/>
      <c r="N152" s="141"/>
      <c r="O152" s="142"/>
      <c r="P152" s="142"/>
      <c r="Q152" s="142"/>
      <c r="R152" s="66"/>
    </row>
    <row r="153" ht="39.0" customHeight="1">
      <c r="A153" s="72"/>
      <c r="B153" s="147">
        <v>16.0</v>
      </c>
      <c r="C153" s="148" t="s">
        <v>252</v>
      </c>
      <c r="D153" s="157" t="s">
        <v>235</v>
      </c>
      <c r="E153" s="29" t="s">
        <v>236</v>
      </c>
      <c r="F153" s="158" t="s">
        <v>253</v>
      </c>
      <c r="G153" s="14"/>
      <c r="H153" s="159"/>
      <c r="I153" s="14"/>
      <c r="J153" s="160" t="s">
        <v>254</v>
      </c>
      <c r="K153" s="14"/>
      <c r="L153" s="91"/>
      <c r="M153" s="74"/>
      <c r="N153" s="141"/>
      <c r="O153" s="142"/>
      <c r="P153" s="142"/>
      <c r="Q153" s="142"/>
      <c r="R153" s="66"/>
    </row>
    <row r="154" ht="39.0" customHeight="1">
      <c r="A154" s="72"/>
      <c r="B154" s="147">
        <v>17.0</v>
      </c>
      <c r="C154" s="148" t="s">
        <v>255</v>
      </c>
      <c r="D154" s="157" t="s">
        <v>256</v>
      </c>
      <c r="E154" s="29" t="s">
        <v>257</v>
      </c>
      <c r="F154" s="158" t="s">
        <v>217</v>
      </c>
      <c r="G154" s="14"/>
      <c r="H154" s="159"/>
      <c r="I154" s="14"/>
      <c r="J154" s="160" t="s">
        <v>258</v>
      </c>
      <c r="K154" s="14"/>
      <c r="L154" s="91"/>
      <c r="M154" s="74"/>
      <c r="N154" s="141"/>
      <c r="O154" s="142"/>
      <c r="P154" s="142"/>
      <c r="Q154" s="142"/>
      <c r="R154" s="66"/>
    </row>
    <row r="155" ht="39.0" customHeight="1">
      <c r="A155" s="72"/>
      <c r="B155" s="147">
        <v>18.0</v>
      </c>
      <c r="C155" s="148" t="s">
        <v>259</v>
      </c>
      <c r="D155" s="157" t="s">
        <v>235</v>
      </c>
      <c r="E155" s="29" t="s">
        <v>236</v>
      </c>
      <c r="F155" s="158" t="s">
        <v>217</v>
      </c>
      <c r="G155" s="14"/>
      <c r="H155" s="159"/>
      <c r="I155" s="14"/>
      <c r="J155" s="160"/>
      <c r="K155" s="14"/>
      <c r="L155" s="91"/>
      <c r="M155" s="74"/>
      <c r="N155" s="141"/>
      <c r="O155" s="142"/>
      <c r="P155" s="142"/>
      <c r="Q155" s="142"/>
      <c r="R155" s="66"/>
    </row>
    <row r="156" ht="39.0" customHeight="1">
      <c r="A156" s="72"/>
      <c r="B156" s="147">
        <v>19.0</v>
      </c>
      <c r="C156" s="148" t="s">
        <v>260</v>
      </c>
      <c r="D156" s="157" t="s">
        <v>235</v>
      </c>
      <c r="E156" s="29" t="s">
        <v>236</v>
      </c>
      <c r="F156" s="158" t="s">
        <v>217</v>
      </c>
      <c r="G156" s="14"/>
      <c r="H156" s="159"/>
      <c r="I156" s="14"/>
      <c r="J156" s="160"/>
      <c r="K156" s="14"/>
      <c r="L156" s="91"/>
      <c r="M156" s="74"/>
      <c r="N156" s="141"/>
      <c r="O156" s="142"/>
      <c r="P156" s="142"/>
      <c r="Q156" s="142"/>
      <c r="R156" s="66"/>
    </row>
    <row r="157" ht="39.0" customHeight="1">
      <c r="A157" s="72"/>
      <c r="B157" s="147">
        <v>20.0</v>
      </c>
      <c r="C157" s="148" t="s">
        <v>261</v>
      </c>
      <c r="D157" s="157" t="s">
        <v>235</v>
      </c>
      <c r="E157" s="29" t="s">
        <v>236</v>
      </c>
      <c r="F157" s="158" t="s">
        <v>221</v>
      </c>
      <c r="G157" s="14"/>
      <c r="H157" s="159"/>
      <c r="I157" s="14"/>
      <c r="J157" s="160"/>
      <c r="K157" s="14"/>
      <c r="L157" s="91"/>
      <c r="M157" s="74"/>
      <c r="N157" s="141"/>
      <c r="O157" s="142"/>
      <c r="P157" s="142"/>
      <c r="Q157" s="142"/>
      <c r="R157" s="66"/>
    </row>
    <row r="158" ht="39.0" customHeight="1">
      <c r="A158" s="72"/>
      <c r="B158" s="147">
        <v>21.0</v>
      </c>
      <c r="C158" s="148" t="s">
        <v>262</v>
      </c>
      <c r="D158" s="157" t="s">
        <v>235</v>
      </c>
      <c r="E158" s="29" t="s">
        <v>236</v>
      </c>
      <c r="F158" s="158" t="s">
        <v>221</v>
      </c>
      <c r="G158" s="14"/>
      <c r="H158" s="159"/>
      <c r="I158" s="14"/>
      <c r="J158" s="160"/>
      <c r="K158" s="14"/>
      <c r="L158" s="91"/>
      <c r="M158" s="74"/>
      <c r="N158" s="141"/>
      <c r="O158" s="142"/>
      <c r="P158" s="142"/>
      <c r="Q158" s="142"/>
      <c r="R158" s="66"/>
    </row>
    <row r="159">
      <c r="A159" s="72"/>
      <c r="B159" s="139"/>
      <c r="C159" s="140"/>
      <c r="D159" s="140"/>
      <c r="E159" s="141"/>
      <c r="F159" s="142"/>
      <c r="G159" s="142"/>
      <c r="H159" s="142"/>
      <c r="I159" s="142"/>
      <c r="J159" s="72"/>
      <c r="K159" s="139"/>
      <c r="L159" s="91"/>
      <c r="M159" s="74"/>
      <c r="N159" s="141"/>
      <c r="O159" s="142"/>
      <c r="P159" s="142"/>
      <c r="Q159" s="142"/>
      <c r="R159" s="66"/>
    </row>
    <row r="160">
      <c r="A160" s="72"/>
      <c r="B160" s="139"/>
      <c r="C160" s="140"/>
      <c r="D160" s="140"/>
      <c r="E160" s="141"/>
      <c r="F160" s="142"/>
      <c r="G160" s="142"/>
      <c r="H160" s="142"/>
      <c r="I160" s="142"/>
      <c r="J160" s="72"/>
      <c r="K160" s="139"/>
      <c r="L160" s="91"/>
      <c r="M160" s="74"/>
      <c r="N160" s="141"/>
      <c r="O160" s="142"/>
      <c r="P160" s="142"/>
      <c r="Q160" s="142"/>
      <c r="R160" s="66"/>
    </row>
    <row r="161">
      <c r="A161" s="72"/>
      <c r="B161" s="139"/>
      <c r="C161" s="140"/>
      <c r="D161" s="140"/>
      <c r="E161" s="141"/>
      <c r="F161" s="142"/>
      <c r="G161" s="142"/>
      <c r="H161" s="142"/>
      <c r="I161" s="142"/>
      <c r="J161" s="72"/>
      <c r="K161" s="139"/>
      <c r="L161" s="91"/>
      <c r="M161" s="74"/>
      <c r="N161" s="141"/>
      <c r="O161" s="142"/>
      <c r="P161" s="142"/>
      <c r="Q161" s="142"/>
      <c r="R161" s="66"/>
    </row>
    <row r="162">
      <c r="A162" s="72"/>
      <c r="B162" s="139"/>
      <c r="C162" s="140"/>
      <c r="D162" s="140"/>
      <c r="E162" s="141"/>
      <c r="F162" s="142"/>
      <c r="G162" s="142"/>
      <c r="H162" s="142"/>
      <c r="I162" s="142"/>
      <c r="J162" s="72"/>
      <c r="K162" s="139"/>
      <c r="L162" s="91"/>
      <c r="M162" s="74"/>
      <c r="N162" s="141"/>
      <c r="O162" s="142"/>
      <c r="P162" s="142"/>
      <c r="Q162" s="142"/>
      <c r="R162" s="66"/>
    </row>
    <row r="163">
      <c r="A163" s="72"/>
      <c r="B163" s="139"/>
      <c r="C163" s="140"/>
      <c r="D163" s="140"/>
      <c r="E163" s="141"/>
      <c r="F163" s="142"/>
      <c r="G163" s="142"/>
      <c r="H163" s="142"/>
      <c r="I163" s="142"/>
      <c r="J163" s="72"/>
      <c r="K163" s="139"/>
      <c r="L163" s="91"/>
      <c r="M163" s="74"/>
      <c r="N163" s="141"/>
      <c r="O163" s="142"/>
      <c r="P163" s="142"/>
      <c r="Q163" s="142"/>
      <c r="R163" s="66"/>
    </row>
    <row r="164">
      <c r="A164" s="72"/>
      <c r="B164" s="139"/>
      <c r="C164" s="140"/>
      <c r="D164" s="140"/>
      <c r="E164" s="141"/>
      <c r="F164" s="142"/>
      <c r="G164" s="142"/>
      <c r="H164" s="142"/>
      <c r="I164" s="142"/>
      <c r="J164" s="72"/>
      <c r="K164" s="139"/>
      <c r="L164" s="91"/>
      <c r="M164" s="74"/>
      <c r="N164" s="141"/>
      <c r="O164" s="142"/>
      <c r="P164" s="142"/>
      <c r="Q164" s="142"/>
      <c r="R164" s="66"/>
    </row>
    <row r="165">
      <c r="A165" s="72"/>
      <c r="B165" s="139"/>
      <c r="C165" s="140"/>
      <c r="D165" s="140"/>
      <c r="E165" s="141"/>
      <c r="F165" s="142"/>
      <c r="G165" s="142"/>
      <c r="H165" s="142"/>
      <c r="I165" s="142"/>
      <c r="J165" s="72"/>
      <c r="K165" s="139"/>
      <c r="L165" s="91"/>
      <c r="M165" s="74"/>
      <c r="N165" s="141"/>
      <c r="O165" s="142"/>
      <c r="P165" s="142"/>
      <c r="Q165" s="142"/>
      <c r="R165" s="66"/>
    </row>
    <row r="166">
      <c r="A166" s="72"/>
      <c r="B166" s="139"/>
      <c r="C166" s="140"/>
      <c r="D166" s="140"/>
      <c r="E166" s="141"/>
      <c r="F166" s="142"/>
      <c r="G166" s="142"/>
      <c r="H166" s="142"/>
      <c r="I166" s="142"/>
      <c r="J166" s="72"/>
      <c r="K166" s="139"/>
      <c r="L166" s="91"/>
      <c r="M166" s="74"/>
      <c r="N166" s="141"/>
      <c r="O166" s="142"/>
      <c r="P166" s="142"/>
      <c r="Q166" s="142"/>
      <c r="R166" s="66"/>
    </row>
    <row r="167">
      <c r="A167" s="72"/>
      <c r="B167" s="139"/>
      <c r="C167" s="140"/>
      <c r="D167" s="140"/>
      <c r="E167" s="141"/>
      <c r="F167" s="142"/>
      <c r="G167" s="142"/>
      <c r="H167" s="142"/>
      <c r="I167" s="142"/>
      <c r="J167" s="72"/>
      <c r="K167" s="139"/>
      <c r="L167" s="91"/>
      <c r="M167" s="74"/>
      <c r="N167" s="141"/>
      <c r="O167" s="142"/>
      <c r="P167" s="142"/>
      <c r="Q167" s="142"/>
      <c r="R167" s="66"/>
    </row>
    <row r="168">
      <c r="A168" s="72"/>
      <c r="B168" s="139"/>
      <c r="C168" s="140"/>
      <c r="D168" s="140"/>
      <c r="E168" s="141"/>
      <c r="F168" s="142"/>
      <c r="G168" s="142"/>
      <c r="H168" s="142"/>
      <c r="I168" s="142"/>
      <c r="J168" s="72"/>
      <c r="K168" s="139"/>
      <c r="L168" s="91"/>
      <c r="M168" s="74"/>
      <c r="N168" s="141"/>
      <c r="O168" s="142"/>
      <c r="P168" s="142"/>
      <c r="Q168" s="142"/>
      <c r="R168" s="66"/>
    </row>
    <row r="169">
      <c r="A169" s="72"/>
      <c r="B169" s="139"/>
      <c r="C169" s="140"/>
      <c r="D169" s="140"/>
      <c r="E169" s="141"/>
      <c r="F169" s="142"/>
      <c r="G169" s="142"/>
      <c r="H169" s="142"/>
      <c r="I169" s="142"/>
      <c r="J169" s="72"/>
      <c r="K169" s="139"/>
      <c r="L169" s="91"/>
      <c r="M169" s="74"/>
      <c r="N169" s="141"/>
      <c r="O169" s="142"/>
      <c r="P169" s="142"/>
      <c r="Q169" s="142"/>
      <c r="R169" s="66"/>
    </row>
    <row r="170">
      <c r="A170" s="72"/>
      <c r="B170" s="139"/>
      <c r="C170" s="140"/>
      <c r="D170" s="140"/>
      <c r="E170" s="141"/>
      <c r="F170" s="142"/>
      <c r="G170" s="142"/>
      <c r="H170" s="142"/>
      <c r="I170" s="142"/>
      <c r="J170" s="72"/>
      <c r="K170" s="139"/>
      <c r="L170" s="91"/>
      <c r="M170" s="74"/>
      <c r="N170" s="141"/>
      <c r="O170" s="142"/>
      <c r="P170" s="142"/>
      <c r="Q170" s="142"/>
      <c r="R170" s="66"/>
    </row>
    <row r="171">
      <c r="A171" s="72"/>
      <c r="B171" s="139"/>
      <c r="C171" s="140"/>
      <c r="D171" s="140"/>
      <c r="E171" s="141"/>
      <c r="F171" s="142"/>
      <c r="G171" s="142"/>
      <c r="H171" s="142"/>
      <c r="I171" s="142"/>
      <c r="J171" s="72"/>
      <c r="K171" s="139"/>
      <c r="L171" s="91"/>
      <c r="M171" s="74"/>
      <c r="N171" s="141"/>
      <c r="O171" s="142"/>
      <c r="P171" s="142"/>
      <c r="Q171" s="142"/>
      <c r="R171" s="66"/>
    </row>
    <row r="172">
      <c r="A172" s="72"/>
      <c r="B172" s="139"/>
      <c r="C172" s="140"/>
      <c r="D172" s="140"/>
      <c r="E172" s="141"/>
      <c r="F172" s="142"/>
      <c r="G172" s="142"/>
      <c r="H172" s="142"/>
      <c r="I172" s="142"/>
      <c r="J172" s="72"/>
      <c r="K172" s="139"/>
      <c r="L172" s="91"/>
      <c r="M172" s="74"/>
      <c r="N172" s="141"/>
      <c r="O172" s="142"/>
      <c r="P172" s="142"/>
      <c r="Q172" s="142"/>
      <c r="R172" s="66"/>
    </row>
    <row r="173">
      <c r="A173" s="72"/>
      <c r="B173" s="139"/>
      <c r="C173" s="140"/>
      <c r="D173" s="140"/>
      <c r="E173" s="141"/>
      <c r="F173" s="142"/>
      <c r="G173" s="142"/>
      <c r="H173" s="142"/>
      <c r="I173" s="142"/>
      <c r="J173" s="72"/>
      <c r="K173" s="139"/>
      <c r="L173" s="91"/>
      <c r="M173" s="74"/>
      <c r="N173" s="141"/>
      <c r="O173" s="142"/>
      <c r="P173" s="142"/>
      <c r="Q173" s="142"/>
      <c r="R173" s="66"/>
    </row>
    <row r="174">
      <c r="A174" s="72"/>
      <c r="B174" s="139"/>
      <c r="C174" s="140"/>
      <c r="D174" s="140"/>
      <c r="E174" s="141"/>
      <c r="F174" s="142"/>
      <c r="G174" s="142"/>
      <c r="H174" s="142"/>
      <c r="I174" s="142"/>
      <c r="J174" s="72"/>
      <c r="K174" s="139"/>
      <c r="L174" s="91"/>
      <c r="M174" s="74"/>
      <c r="N174" s="141"/>
      <c r="O174" s="142"/>
      <c r="P174" s="142"/>
      <c r="Q174" s="142"/>
      <c r="R174" s="66"/>
    </row>
    <row r="175">
      <c r="A175" s="72"/>
      <c r="B175" s="139"/>
      <c r="C175" s="140"/>
      <c r="D175" s="140"/>
      <c r="E175" s="141"/>
      <c r="F175" s="142"/>
      <c r="G175" s="142"/>
      <c r="H175" s="142"/>
      <c r="I175" s="142"/>
      <c r="J175" s="72"/>
      <c r="K175" s="139"/>
      <c r="L175" s="91"/>
      <c r="M175" s="74"/>
      <c r="N175" s="141"/>
      <c r="O175" s="142"/>
      <c r="P175" s="142"/>
      <c r="Q175" s="142"/>
      <c r="R175" s="66"/>
    </row>
    <row r="176">
      <c r="A176" s="72"/>
      <c r="B176" s="139"/>
      <c r="C176" s="140"/>
      <c r="D176" s="140"/>
      <c r="E176" s="141"/>
      <c r="F176" s="142"/>
      <c r="G176" s="142"/>
      <c r="H176" s="142"/>
      <c r="I176" s="142"/>
      <c r="J176" s="72"/>
      <c r="K176" s="139"/>
      <c r="L176" s="91"/>
      <c r="M176" s="74"/>
      <c r="N176" s="141"/>
      <c r="O176" s="142"/>
      <c r="P176" s="142"/>
      <c r="Q176" s="142"/>
      <c r="R176" s="66"/>
    </row>
    <row r="177">
      <c r="A177" s="72"/>
      <c r="B177" s="139"/>
      <c r="C177" s="140"/>
      <c r="D177" s="140"/>
      <c r="E177" s="141"/>
      <c r="F177" s="142"/>
      <c r="G177" s="142"/>
      <c r="H177" s="142"/>
      <c r="I177" s="142"/>
      <c r="J177" s="72"/>
      <c r="K177" s="139"/>
      <c r="L177" s="91"/>
      <c r="M177" s="74"/>
      <c r="N177" s="141"/>
      <c r="O177" s="142"/>
      <c r="P177" s="142"/>
      <c r="Q177" s="142"/>
      <c r="R177" s="66"/>
    </row>
    <row r="178">
      <c r="A178" s="72"/>
      <c r="B178" s="139"/>
      <c r="C178" s="140"/>
      <c r="D178" s="140"/>
      <c r="E178" s="141"/>
      <c r="F178" s="142"/>
      <c r="G178" s="142"/>
      <c r="H178" s="142"/>
      <c r="I178" s="142"/>
      <c r="J178" s="72"/>
      <c r="K178" s="139"/>
      <c r="L178" s="91"/>
      <c r="M178" s="74"/>
      <c r="N178" s="141"/>
      <c r="O178" s="142"/>
      <c r="P178" s="142"/>
      <c r="Q178" s="142"/>
      <c r="R178" s="66"/>
    </row>
    <row r="179">
      <c r="A179" s="72"/>
      <c r="B179" s="139"/>
      <c r="C179" s="140"/>
      <c r="D179" s="140"/>
      <c r="E179" s="141"/>
      <c r="F179" s="142"/>
      <c r="G179" s="142"/>
      <c r="H179" s="142"/>
      <c r="I179" s="142"/>
      <c r="J179" s="72"/>
      <c r="K179" s="139"/>
      <c r="L179" s="91"/>
      <c r="M179" s="74"/>
      <c r="N179" s="141"/>
      <c r="O179" s="142"/>
      <c r="P179" s="142"/>
      <c r="Q179" s="142"/>
      <c r="R179" s="66"/>
    </row>
  </sheetData>
  <mergeCells count="556">
    <mergeCell ref="Q84:R84"/>
    <mergeCell ref="Q85:R85"/>
    <mergeCell ref="Q77:R77"/>
    <mergeCell ref="Q78:R78"/>
    <mergeCell ref="Q79:R79"/>
    <mergeCell ref="Q80:R80"/>
    <mergeCell ref="Q81:R81"/>
    <mergeCell ref="Q82:R82"/>
    <mergeCell ref="Q83:R83"/>
    <mergeCell ref="O59:P59"/>
    <mergeCell ref="Q59:R59"/>
    <mergeCell ref="O60:P60"/>
    <mergeCell ref="Q60:R60"/>
    <mergeCell ref="O61:P61"/>
    <mergeCell ref="Q61:R61"/>
    <mergeCell ref="Q62:R62"/>
    <mergeCell ref="O62:P62"/>
    <mergeCell ref="O63:P63"/>
    <mergeCell ref="O64:P64"/>
    <mergeCell ref="O65:P65"/>
    <mergeCell ref="O66:P66"/>
    <mergeCell ref="O67:P67"/>
    <mergeCell ref="O68:P68"/>
    <mergeCell ref="Q63:R63"/>
    <mergeCell ref="Q64:R64"/>
    <mergeCell ref="Q65:R65"/>
    <mergeCell ref="Q66:R66"/>
    <mergeCell ref="Q67:R67"/>
    <mergeCell ref="Q68:R68"/>
    <mergeCell ref="Q69:R69"/>
    <mergeCell ref="O69:P69"/>
    <mergeCell ref="O70:P70"/>
    <mergeCell ref="O71:P71"/>
    <mergeCell ref="O72:P72"/>
    <mergeCell ref="O73:P73"/>
    <mergeCell ref="O74:P74"/>
    <mergeCell ref="O75:P75"/>
    <mergeCell ref="Q70:R70"/>
    <mergeCell ref="Q71:R71"/>
    <mergeCell ref="Q72:R72"/>
    <mergeCell ref="Q73:R73"/>
    <mergeCell ref="Q74:R74"/>
    <mergeCell ref="Q75:R75"/>
    <mergeCell ref="Q76:R76"/>
    <mergeCell ref="O76:P76"/>
    <mergeCell ref="O77:P77"/>
    <mergeCell ref="O78:P78"/>
    <mergeCell ref="O79:P79"/>
    <mergeCell ref="O80:P80"/>
    <mergeCell ref="O81:P81"/>
    <mergeCell ref="O82:P82"/>
    <mergeCell ref="O83:P83"/>
    <mergeCell ref="O84:P84"/>
    <mergeCell ref="O85:P85"/>
    <mergeCell ref="O86:P86"/>
    <mergeCell ref="Q86:R86"/>
    <mergeCell ref="O87:P87"/>
    <mergeCell ref="Q87:R87"/>
    <mergeCell ref="O107:P107"/>
    <mergeCell ref="O108:P108"/>
    <mergeCell ref="O104:P104"/>
    <mergeCell ref="L105:M105"/>
    <mergeCell ref="O105:P105"/>
    <mergeCell ref="L106:M106"/>
    <mergeCell ref="O106:P106"/>
    <mergeCell ref="L107:M107"/>
    <mergeCell ref="L108:M108"/>
    <mergeCell ref="O114:P114"/>
    <mergeCell ref="Q114:R114"/>
    <mergeCell ref="L112:M112"/>
    <mergeCell ref="O112:P112"/>
    <mergeCell ref="Q112:R112"/>
    <mergeCell ref="L113:M113"/>
    <mergeCell ref="O113:P113"/>
    <mergeCell ref="Q113:R113"/>
    <mergeCell ref="L114:M114"/>
    <mergeCell ref="O117:P117"/>
    <mergeCell ref="Q117:R117"/>
    <mergeCell ref="L115:M115"/>
    <mergeCell ref="O115:P115"/>
    <mergeCell ref="Q115:R115"/>
    <mergeCell ref="L116:M116"/>
    <mergeCell ref="O116:P116"/>
    <mergeCell ref="Q116:R116"/>
    <mergeCell ref="L117:M117"/>
    <mergeCell ref="O88:P88"/>
    <mergeCell ref="Q88:R88"/>
    <mergeCell ref="O89:P89"/>
    <mergeCell ref="Q89:R89"/>
    <mergeCell ref="O90:P90"/>
    <mergeCell ref="Q90:R90"/>
    <mergeCell ref="Q91:R91"/>
    <mergeCell ref="O91:P91"/>
    <mergeCell ref="O92:P92"/>
    <mergeCell ref="O93:P93"/>
    <mergeCell ref="O94:P94"/>
    <mergeCell ref="O95:P95"/>
    <mergeCell ref="L96:M96"/>
    <mergeCell ref="O96:P96"/>
    <mergeCell ref="Q92:R92"/>
    <mergeCell ref="Q93:R93"/>
    <mergeCell ref="Q94:R94"/>
    <mergeCell ref="Q95:R95"/>
    <mergeCell ref="Q96:R96"/>
    <mergeCell ref="Q97:R97"/>
    <mergeCell ref="Q98:R98"/>
    <mergeCell ref="O97:P97"/>
    <mergeCell ref="O98:P98"/>
    <mergeCell ref="O99:P99"/>
    <mergeCell ref="O100:P100"/>
    <mergeCell ref="O101:P101"/>
    <mergeCell ref="O102:P102"/>
    <mergeCell ref="O103:P103"/>
    <mergeCell ref="Q106:R106"/>
    <mergeCell ref="Q107:R107"/>
    <mergeCell ref="Q108:R108"/>
    <mergeCell ref="Q99:R99"/>
    <mergeCell ref="Q100:R100"/>
    <mergeCell ref="Q101:R101"/>
    <mergeCell ref="Q102:R102"/>
    <mergeCell ref="Q103:R103"/>
    <mergeCell ref="Q104:R104"/>
    <mergeCell ref="Q105:R105"/>
    <mergeCell ref="O120:P120"/>
    <mergeCell ref="O121:P121"/>
    <mergeCell ref="Q121:R121"/>
    <mergeCell ref="O122:P122"/>
    <mergeCell ref="Q122:R122"/>
    <mergeCell ref="L123:M123"/>
    <mergeCell ref="O123:P123"/>
    <mergeCell ref="Q123:R123"/>
    <mergeCell ref="L118:M118"/>
    <mergeCell ref="O118:P118"/>
    <mergeCell ref="Q118:R118"/>
    <mergeCell ref="L119:M119"/>
    <mergeCell ref="O119:P119"/>
    <mergeCell ref="Q119:R119"/>
    <mergeCell ref="Q120:R120"/>
    <mergeCell ref="D1:J3"/>
    <mergeCell ref="K1:N1"/>
    <mergeCell ref="K2:N2"/>
    <mergeCell ref="K3:N3"/>
    <mergeCell ref="A4:J4"/>
    <mergeCell ref="K4:N4"/>
    <mergeCell ref="L17:M18"/>
    <mergeCell ref="L35:M35"/>
    <mergeCell ref="L36:M36"/>
    <mergeCell ref="O36:P36"/>
    <mergeCell ref="Q36:R36"/>
    <mergeCell ref="O37:P37"/>
    <mergeCell ref="Q37:R37"/>
    <mergeCell ref="O38:P38"/>
    <mergeCell ref="Q38:R38"/>
    <mergeCell ref="O39:P39"/>
    <mergeCell ref="Q39:R39"/>
    <mergeCell ref="A1:C3"/>
    <mergeCell ref="C35:D35"/>
    <mergeCell ref="H35:I35"/>
    <mergeCell ref="O35:P35"/>
    <mergeCell ref="Q35:R35"/>
    <mergeCell ref="C36:D36"/>
    <mergeCell ref="H36:I36"/>
    <mergeCell ref="F37:G37"/>
    <mergeCell ref="F38:G38"/>
    <mergeCell ref="H38:I38"/>
    <mergeCell ref="F39:G39"/>
    <mergeCell ref="H39:I39"/>
    <mergeCell ref="F35:G35"/>
    <mergeCell ref="F36:G36"/>
    <mergeCell ref="B37:B39"/>
    <mergeCell ref="C37:C39"/>
    <mergeCell ref="H37:I37"/>
    <mergeCell ref="K37:K39"/>
    <mergeCell ref="L37:L39"/>
    <mergeCell ref="F45:G45"/>
    <mergeCell ref="H45:I45"/>
    <mergeCell ref="C46:D46"/>
    <mergeCell ref="F46:G46"/>
    <mergeCell ref="H46:I46"/>
    <mergeCell ref="L46:M46"/>
    <mergeCell ref="C47:D47"/>
    <mergeCell ref="L47:M47"/>
    <mergeCell ref="C48:D48"/>
    <mergeCell ref="C52:D52"/>
    <mergeCell ref="C63:D63"/>
    <mergeCell ref="C64:D64"/>
    <mergeCell ref="F52:G52"/>
    <mergeCell ref="H52:I52"/>
    <mergeCell ref="L48:M48"/>
    <mergeCell ref="L52:M52"/>
    <mergeCell ref="L53:M53"/>
    <mergeCell ref="F53:G53"/>
    <mergeCell ref="H53:I53"/>
    <mergeCell ref="K52:K64"/>
    <mergeCell ref="L54:L62"/>
    <mergeCell ref="L63:M63"/>
    <mergeCell ref="L64:M64"/>
    <mergeCell ref="L65:M65"/>
    <mergeCell ref="L66:M66"/>
    <mergeCell ref="L67:M67"/>
    <mergeCell ref="F55:G55"/>
    <mergeCell ref="H55:I55"/>
    <mergeCell ref="F63:G63"/>
    <mergeCell ref="H63:I63"/>
    <mergeCell ref="F64:G64"/>
    <mergeCell ref="H64:I64"/>
    <mergeCell ref="Q55:R55"/>
    <mergeCell ref="Q56:R56"/>
    <mergeCell ref="Q45:R45"/>
    <mergeCell ref="Q46:R46"/>
    <mergeCell ref="Q47:R47"/>
    <mergeCell ref="Q48:R48"/>
    <mergeCell ref="Q52:R52"/>
    <mergeCell ref="Q53:R53"/>
    <mergeCell ref="Q54:R54"/>
    <mergeCell ref="F56:G56"/>
    <mergeCell ref="H56:I56"/>
    <mergeCell ref="F57:G57"/>
    <mergeCell ref="H57:I57"/>
    <mergeCell ref="F58:G58"/>
    <mergeCell ref="H58:I58"/>
    <mergeCell ref="F59:G59"/>
    <mergeCell ref="H59:I59"/>
    <mergeCell ref="F60:G60"/>
    <mergeCell ref="H60:I60"/>
    <mergeCell ref="F61:G61"/>
    <mergeCell ref="H61:I61"/>
    <mergeCell ref="F62:G62"/>
    <mergeCell ref="H62:I62"/>
    <mergeCell ref="C40:D40"/>
    <mergeCell ref="F40:G40"/>
    <mergeCell ref="H40:I40"/>
    <mergeCell ref="L40:M40"/>
    <mergeCell ref="Q40:R40"/>
    <mergeCell ref="C41:D41"/>
    <mergeCell ref="L41:M41"/>
    <mergeCell ref="Q41:R41"/>
    <mergeCell ref="F41:G41"/>
    <mergeCell ref="H41:I41"/>
    <mergeCell ref="C42:D42"/>
    <mergeCell ref="F42:G42"/>
    <mergeCell ref="H42:I42"/>
    <mergeCell ref="L42:M42"/>
    <mergeCell ref="C43:D43"/>
    <mergeCell ref="L43:M43"/>
    <mergeCell ref="F43:G43"/>
    <mergeCell ref="H43:I43"/>
    <mergeCell ref="C44:D44"/>
    <mergeCell ref="F44:G44"/>
    <mergeCell ref="H44:I44"/>
    <mergeCell ref="L44:M44"/>
    <mergeCell ref="C45:D45"/>
    <mergeCell ref="L45:M45"/>
    <mergeCell ref="O40:P40"/>
    <mergeCell ref="O41:P41"/>
    <mergeCell ref="O42:P42"/>
    <mergeCell ref="Q42:R42"/>
    <mergeCell ref="O43:P43"/>
    <mergeCell ref="Q43:R43"/>
    <mergeCell ref="Q44:R44"/>
    <mergeCell ref="C51:D51"/>
    <mergeCell ref="F51:G51"/>
    <mergeCell ref="H51:I51"/>
    <mergeCell ref="L51:M51"/>
    <mergeCell ref="O51:P51"/>
    <mergeCell ref="Q51:R51"/>
    <mergeCell ref="O44:P44"/>
    <mergeCell ref="O45:P45"/>
    <mergeCell ref="O46:P46"/>
    <mergeCell ref="O47:P47"/>
    <mergeCell ref="O48:P48"/>
    <mergeCell ref="O52:P52"/>
    <mergeCell ref="O53:P53"/>
    <mergeCell ref="O54:P54"/>
    <mergeCell ref="O55:P55"/>
    <mergeCell ref="O56:P56"/>
    <mergeCell ref="O57:P57"/>
    <mergeCell ref="Q57:R57"/>
    <mergeCell ref="O58:P58"/>
    <mergeCell ref="Q58:R58"/>
    <mergeCell ref="F47:G47"/>
    <mergeCell ref="F69:G69"/>
    <mergeCell ref="L76:M76"/>
    <mergeCell ref="L77:M77"/>
    <mergeCell ref="L78:M78"/>
    <mergeCell ref="L79:M79"/>
    <mergeCell ref="L84:M84"/>
    <mergeCell ref="L85:M85"/>
    <mergeCell ref="H47:I47"/>
    <mergeCell ref="H48:I48"/>
    <mergeCell ref="E49:F49"/>
    <mergeCell ref="B52:B64"/>
    <mergeCell ref="H54:I54"/>
    <mergeCell ref="K65:K77"/>
    <mergeCell ref="L68:L75"/>
    <mergeCell ref="O111:P111"/>
    <mergeCell ref="Q111:R111"/>
    <mergeCell ref="L109:M109"/>
    <mergeCell ref="O109:P109"/>
    <mergeCell ref="Q109:R109"/>
    <mergeCell ref="L110:M110"/>
    <mergeCell ref="O110:P110"/>
    <mergeCell ref="Q110:R110"/>
    <mergeCell ref="L111:M111"/>
    <mergeCell ref="C115:D115"/>
    <mergeCell ref="C116:D116"/>
    <mergeCell ref="C117:D117"/>
    <mergeCell ref="C118:D118"/>
    <mergeCell ref="C120:C122"/>
    <mergeCell ref="C123:D123"/>
    <mergeCell ref="B106:B119"/>
    <mergeCell ref="B120:B123"/>
    <mergeCell ref="B86:B96"/>
    <mergeCell ref="C86:C89"/>
    <mergeCell ref="C90:C95"/>
    <mergeCell ref="C96:D96"/>
    <mergeCell ref="B97:B105"/>
    <mergeCell ref="C106:D106"/>
    <mergeCell ref="C119:D119"/>
    <mergeCell ref="C79:D79"/>
    <mergeCell ref="C80:C83"/>
    <mergeCell ref="C84:D84"/>
    <mergeCell ref="C85:D85"/>
    <mergeCell ref="B65:B77"/>
    <mergeCell ref="C66:D66"/>
    <mergeCell ref="C67:D67"/>
    <mergeCell ref="C68:C75"/>
    <mergeCell ref="C77:D77"/>
    <mergeCell ref="B78:B85"/>
    <mergeCell ref="C78:D78"/>
    <mergeCell ref="C107:D107"/>
    <mergeCell ref="C108:D108"/>
    <mergeCell ref="C109:D109"/>
    <mergeCell ref="C110:D110"/>
    <mergeCell ref="C111:D111"/>
    <mergeCell ref="C112:D112"/>
    <mergeCell ref="C113:D113"/>
    <mergeCell ref="C114:D114"/>
    <mergeCell ref="F114:G114"/>
    <mergeCell ref="H114:I114"/>
    <mergeCell ref="F115:G115"/>
    <mergeCell ref="H115:I115"/>
    <mergeCell ref="D126:E126"/>
    <mergeCell ref="G126:I126"/>
    <mergeCell ref="D127:E127"/>
    <mergeCell ref="G127:I127"/>
    <mergeCell ref="G128:I128"/>
    <mergeCell ref="F136:G136"/>
    <mergeCell ref="H136:I136"/>
    <mergeCell ref="F137:G137"/>
    <mergeCell ref="H137:I137"/>
    <mergeCell ref="F138:G138"/>
    <mergeCell ref="H138:I138"/>
    <mergeCell ref="H139:I139"/>
    <mergeCell ref="F139:G139"/>
    <mergeCell ref="F140:G140"/>
    <mergeCell ref="F141:G141"/>
    <mergeCell ref="F142:G142"/>
    <mergeCell ref="H142:I142"/>
    <mergeCell ref="F143:G143"/>
    <mergeCell ref="H143:I143"/>
    <mergeCell ref="F144:G144"/>
    <mergeCell ref="H144:I144"/>
    <mergeCell ref="F145:G145"/>
    <mergeCell ref="H145:I145"/>
    <mergeCell ref="F146:G146"/>
    <mergeCell ref="H146:I146"/>
    <mergeCell ref="H147:I147"/>
    <mergeCell ref="F154:G154"/>
    <mergeCell ref="F155:G155"/>
    <mergeCell ref="F156:G156"/>
    <mergeCell ref="F157:G157"/>
    <mergeCell ref="F158:G158"/>
    <mergeCell ref="F147:G147"/>
    <mergeCell ref="F148:G148"/>
    <mergeCell ref="F149:G149"/>
    <mergeCell ref="F150:G150"/>
    <mergeCell ref="F151:G151"/>
    <mergeCell ref="F152:G152"/>
    <mergeCell ref="F153:G153"/>
    <mergeCell ref="H155:I155"/>
    <mergeCell ref="H156:I156"/>
    <mergeCell ref="H157:I157"/>
    <mergeCell ref="H158:I158"/>
    <mergeCell ref="H148:I148"/>
    <mergeCell ref="H149:I149"/>
    <mergeCell ref="H150:I150"/>
    <mergeCell ref="H151:I151"/>
    <mergeCell ref="H152:I152"/>
    <mergeCell ref="H153:I153"/>
    <mergeCell ref="H154:I154"/>
    <mergeCell ref="F109:G109"/>
    <mergeCell ref="H109:I109"/>
    <mergeCell ref="F110:G110"/>
    <mergeCell ref="H110:I110"/>
    <mergeCell ref="F111:G111"/>
    <mergeCell ref="H111:I111"/>
    <mergeCell ref="F112:G112"/>
    <mergeCell ref="H112:I112"/>
    <mergeCell ref="F113:G113"/>
    <mergeCell ref="H113:I113"/>
    <mergeCell ref="D128:E128"/>
    <mergeCell ref="D129:E129"/>
    <mergeCell ref="D130:E130"/>
    <mergeCell ref="D131:E131"/>
    <mergeCell ref="H140:I140"/>
    <mergeCell ref="H141:I141"/>
    <mergeCell ref="H69:I69"/>
    <mergeCell ref="F70:G70"/>
    <mergeCell ref="H70:I70"/>
    <mergeCell ref="F71:G71"/>
    <mergeCell ref="H71:I71"/>
    <mergeCell ref="F72:G72"/>
    <mergeCell ref="H72:I72"/>
    <mergeCell ref="F73:G73"/>
    <mergeCell ref="H73:I73"/>
    <mergeCell ref="F74:G74"/>
    <mergeCell ref="H74:I74"/>
    <mergeCell ref="F75:G75"/>
    <mergeCell ref="H75:I75"/>
    <mergeCell ref="C76:D76"/>
    <mergeCell ref="F76:G76"/>
    <mergeCell ref="F48:G48"/>
    <mergeCell ref="F54:G54"/>
    <mergeCell ref="C54:C62"/>
    <mergeCell ref="C65:D65"/>
    <mergeCell ref="F65:G65"/>
    <mergeCell ref="H65:I65"/>
    <mergeCell ref="F66:G66"/>
    <mergeCell ref="H66:I66"/>
    <mergeCell ref="F67:G67"/>
    <mergeCell ref="H67:I67"/>
    <mergeCell ref="F78:G78"/>
    <mergeCell ref="F79:G79"/>
    <mergeCell ref="H79:I79"/>
    <mergeCell ref="F80:G80"/>
    <mergeCell ref="H80:I80"/>
    <mergeCell ref="F77:G77"/>
    <mergeCell ref="F81:G81"/>
    <mergeCell ref="H81:I81"/>
    <mergeCell ref="F82:G82"/>
    <mergeCell ref="H82:I82"/>
    <mergeCell ref="F83:G83"/>
    <mergeCell ref="H83:I83"/>
    <mergeCell ref="F84:G84"/>
    <mergeCell ref="H84:I84"/>
    <mergeCell ref="F68:G68"/>
    <mergeCell ref="H68:I68"/>
    <mergeCell ref="H76:I76"/>
    <mergeCell ref="H77:I77"/>
    <mergeCell ref="H78:I78"/>
    <mergeCell ref="K78:K85"/>
    <mergeCell ref="L80:L83"/>
    <mergeCell ref="F87:G87"/>
    <mergeCell ref="F88:G88"/>
    <mergeCell ref="F90:G90"/>
    <mergeCell ref="H90:I90"/>
    <mergeCell ref="H88:I88"/>
    <mergeCell ref="F89:G89"/>
    <mergeCell ref="H89:I89"/>
    <mergeCell ref="F86:G86"/>
    <mergeCell ref="F91:G91"/>
    <mergeCell ref="H91:I91"/>
    <mergeCell ref="F92:G92"/>
    <mergeCell ref="H92:I92"/>
    <mergeCell ref="F93:G93"/>
    <mergeCell ref="H93:I93"/>
    <mergeCell ref="F94:G94"/>
    <mergeCell ref="H94:I94"/>
    <mergeCell ref="F95:G95"/>
    <mergeCell ref="H95:I95"/>
    <mergeCell ref="F85:G85"/>
    <mergeCell ref="H85:I85"/>
    <mergeCell ref="H86:I86"/>
    <mergeCell ref="K86:K96"/>
    <mergeCell ref="L86:L89"/>
    <mergeCell ref="H87:I87"/>
    <mergeCell ref="L90:L95"/>
    <mergeCell ref="F99:G99"/>
    <mergeCell ref="H99:I99"/>
    <mergeCell ref="F100:G100"/>
    <mergeCell ref="H100:I100"/>
    <mergeCell ref="F101:G101"/>
    <mergeCell ref="H101:I101"/>
    <mergeCell ref="F102:G102"/>
    <mergeCell ref="H102:I102"/>
    <mergeCell ref="F103:G103"/>
    <mergeCell ref="H103:I103"/>
    <mergeCell ref="F104:G104"/>
    <mergeCell ref="H104:I104"/>
    <mergeCell ref="F108:G108"/>
    <mergeCell ref="H108:I108"/>
    <mergeCell ref="F96:G96"/>
    <mergeCell ref="H96:I96"/>
    <mergeCell ref="F97:G97"/>
    <mergeCell ref="H97:I97"/>
    <mergeCell ref="K97:K105"/>
    <mergeCell ref="F98:G98"/>
    <mergeCell ref="H98:I98"/>
    <mergeCell ref="F116:G116"/>
    <mergeCell ref="H116:I116"/>
    <mergeCell ref="F117:G117"/>
    <mergeCell ref="H117:I117"/>
    <mergeCell ref="F118:G118"/>
    <mergeCell ref="H118:I118"/>
    <mergeCell ref="F105:G105"/>
    <mergeCell ref="H105:I105"/>
    <mergeCell ref="F106:G106"/>
    <mergeCell ref="H106:I106"/>
    <mergeCell ref="K106:K119"/>
    <mergeCell ref="F107:G107"/>
    <mergeCell ref="H107:I107"/>
    <mergeCell ref="F121:G121"/>
    <mergeCell ref="F122:G122"/>
    <mergeCell ref="H122:I122"/>
    <mergeCell ref="F123:G123"/>
    <mergeCell ref="H123:I123"/>
    <mergeCell ref="F119:G119"/>
    <mergeCell ref="H119:I119"/>
    <mergeCell ref="F120:G120"/>
    <mergeCell ref="H120:I120"/>
    <mergeCell ref="K120:K123"/>
    <mergeCell ref="L120:L122"/>
    <mergeCell ref="H121:I121"/>
    <mergeCell ref="G129:I129"/>
    <mergeCell ref="G130:I130"/>
    <mergeCell ref="G131:I131"/>
    <mergeCell ref="F134:G134"/>
    <mergeCell ref="H134:I134"/>
    <mergeCell ref="J134:K134"/>
    <mergeCell ref="F135:G135"/>
    <mergeCell ref="H135:I135"/>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55:K155"/>
    <mergeCell ref="J156:K156"/>
    <mergeCell ref="J157:K157"/>
    <mergeCell ref="J158:K158"/>
    <mergeCell ref="J148:K148"/>
    <mergeCell ref="J149:K149"/>
    <mergeCell ref="J150:K150"/>
    <mergeCell ref="J151:K151"/>
    <mergeCell ref="J152:K152"/>
    <mergeCell ref="J153:K153"/>
    <mergeCell ref="J154:K154"/>
  </mergeCells>
  <conditionalFormatting sqref="E5:E125 N36:N48 N52:N179 E132:E179">
    <cfRule type="cellIs" dxfId="0" priority="1" operator="equal">
      <formula>"Must have"</formula>
    </cfRule>
  </conditionalFormatting>
  <dataValidations>
    <dataValidation type="list" allowBlank="1" showErrorMessage="1" sqref="F135:F158">
      <formula1>"Excel,Docs,Figma,Miro,Protopie,MoMorph,Slide"</formula1>
    </dataValidation>
    <dataValidation type="list" allowBlank="1" showErrorMessage="1" sqref="E36 N36">
      <formula1>"Super Rough,Rough"</formula1>
    </dataValidation>
  </dataValidations>
  <hyperlinks>
    <hyperlink r:id="rId2" location="slide=id.g2e6276d50ae_0_22" ref="C37"/>
    <hyperlink r:id="rId3" location="slide=id.g2e6276d50ae_0_22" ref="L37"/>
    <hyperlink r:id="rId4" ref="H146"/>
    <hyperlink r:id="rId5" ref="H147"/>
    <hyperlink r:id="rId6" ref="H150"/>
    <hyperlink r:id="rId7" ref="H152"/>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2.25"/>
    <col customWidth="1" min="2" max="2" width="6.38"/>
    <col customWidth="1" min="3" max="3" width="10.88"/>
    <col customWidth="1" min="4" max="4" width="26.13"/>
    <col customWidth="1" min="5" max="5" width="21.63"/>
    <col customWidth="1" min="6" max="12" width="12.0"/>
    <col customWidth="1" min="13" max="13" width="15.75"/>
    <col customWidth="1" min="14" max="14" width="3.25"/>
  </cols>
  <sheetData>
    <row r="1">
      <c r="B1" s="1"/>
      <c r="C1" s="2"/>
      <c r="D1" s="2"/>
      <c r="E1" s="3" t="s">
        <v>0</v>
      </c>
      <c r="F1" s="2"/>
      <c r="G1" s="2"/>
      <c r="H1" s="2"/>
      <c r="I1" s="2"/>
      <c r="J1" s="2"/>
      <c r="K1" s="4" t="s">
        <v>1</v>
      </c>
      <c r="L1" s="2"/>
      <c r="M1" s="5"/>
    </row>
    <row r="2">
      <c r="B2" s="6"/>
      <c r="E2" s="6"/>
      <c r="K2" s="58" t="s">
        <v>2</v>
      </c>
      <c r="M2" s="8"/>
    </row>
    <row r="3">
      <c r="B3" s="6"/>
      <c r="E3" s="67"/>
      <c r="F3" s="10"/>
      <c r="G3" s="10"/>
      <c r="H3" s="10"/>
      <c r="I3" s="10"/>
      <c r="J3" s="10"/>
      <c r="K3" s="59" t="s">
        <v>3</v>
      </c>
      <c r="L3" s="10"/>
      <c r="M3" s="11"/>
    </row>
    <row r="4">
      <c r="B4" s="12" t="s">
        <v>4</v>
      </c>
      <c r="C4" s="13"/>
      <c r="D4" s="13"/>
      <c r="E4" s="13"/>
      <c r="F4" s="13"/>
      <c r="G4" s="13"/>
      <c r="H4" s="13"/>
      <c r="I4" s="13"/>
      <c r="J4" s="13"/>
      <c r="K4" s="15" t="s">
        <v>5</v>
      </c>
      <c r="L4" s="10"/>
      <c r="M4" s="11"/>
    </row>
    <row r="5">
      <c r="B5" s="162"/>
      <c r="C5" s="162"/>
      <c r="D5" s="162"/>
      <c r="E5" s="163"/>
      <c r="F5" s="163"/>
    </row>
    <row r="6">
      <c r="A6" s="164"/>
      <c r="B6" s="165" t="s">
        <v>51</v>
      </c>
      <c r="C6" s="2"/>
      <c r="D6" s="5"/>
      <c r="E6" s="166"/>
      <c r="F6" s="166"/>
      <c r="G6" s="164"/>
      <c r="H6" s="164"/>
      <c r="I6" s="164"/>
      <c r="J6" s="164"/>
      <c r="K6" s="164"/>
      <c r="L6" s="164"/>
      <c r="M6" s="164"/>
      <c r="N6" s="164"/>
    </row>
    <row r="7">
      <c r="A7" s="164"/>
      <c r="B7" s="67"/>
      <c r="C7" s="10"/>
      <c r="D7" s="11"/>
      <c r="E7" s="166"/>
      <c r="F7" s="166"/>
      <c r="G7" s="164"/>
      <c r="H7" s="164"/>
      <c r="I7" s="164"/>
      <c r="J7" s="164"/>
      <c r="K7" s="164"/>
      <c r="L7" s="164"/>
      <c r="M7" s="164"/>
      <c r="N7" s="164"/>
    </row>
    <row r="8">
      <c r="A8" s="164"/>
      <c r="B8" s="167" t="s">
        <v>263</v>
      </c>
      <c r="C8" s="2"/>
      <c r="D8" s="2"/>
      <c r="E8" s="5"/>
      <c r="F8" s="168">
        <f>SUM(F13:F205)*(1+Appendix!$B$8)/Appendix!$B$13</f>
        <v>8.06</v>
      </c>
      <c r="G8" s="168">
        <f>SUM(G13:G205)*(1+Appendix!$B$8)/Appendix!$B$13</f>
        <v>2.418</v>
      </c>
      <c r="H8" s="168">
        <f>SUM(H13:H205)*(1+Appendix!$B$8)/Appendix!$B$13</f>
        <v>5.642</v>
      </c>
      <c r="I8" s="168">
        <f>SUM(I13:I205)*(1+Appendix!$B$8)/Appendix!$B$13</f>
        <v>0.585</v>
      </c>
      <c r="J8" s="168">
        <f>SUM(J13:J205)*(1+Appendix!$B$8)/Appendix!$B$13</f>
        <v>0.1755</v>
      </c>
      <c r="K8" s="168">
        <f>SUM(K13:K205)*(1+Appendix!$B$8)/Appendix!$B$13</f>
        <v>0.4095</v>
      </c>
      <c r="L8" s="168">
        <f>SUM(L13:L205)*(1+Appendix!$B$8)/Appendix!$B$13</f>
        <v>0.585</v>
      </c>
      <c r="M8" s="168"/>
      <c r="N8" s="164"/>
    </row>
    <row r="9">
      <c r="A9" s="164"/>
      <c r="B9" s="67"/>
      <c r="C9" s="10"/>
      <c r="D9" s="10"/>
      <c r="E9" s="11"/>
      <c r="F9" s="113"/>
      <c r="G9" s="113"/>
      <c r="H9" s="113"/>
      <c r="I9" s="113"/>
      <c r="J9" s="113"/>
      <c r="K9" s="113"/>
      <c r="L9" s="113"/>
      <c r="M9" s="113"/>
      <c r="N9" s="164"/>
    </row>
    <row r="10">
      <c r="A10" s="164"/>
      <c r="B10" s="169" t="s">
        <v>7</v>
      </c>
      <c r="C10" s="169" t="s">
        <v>264</v>
      </c>
      <c r="D10" s="169" t="s">
        <v>265</v>
      </c>
      <c r="E10" s="170" t="s">
        <v>266</v>
      </c>
      <c r="F10" s="171" t="s">
        <v>267</v>
      </c>
      <c r="G10" s="13"/>
      <c r="H10" s="13"/>
      <c r="I10" s="13"/>
      <c r="J10" s="13"/>
      <c r="K10" s="13"/>
      <c r="L10" s="14"/>
      <c r="M10" s="169" t="s">
        <v>69</v>
      </c>
      <c r="N10" s="164"/>
    </row>
    <row r="11">
      <c r="A11" s="164"/>
      <c r="B11" s="110"/>
      <c r="C11" s="110"/>
      <c r="D11" s="110"/>
      <c r="E11" s="110"/>
      <c r="F11" s="171" t="s">
        <v>70</v>
      </c>
      <c r="G11" s="13"/>
      <c r="H11" s="14"/>
      <c r="I11" s="171" t="s">
        <v>71</v>
      </c>
      <c r="J11" s="13"/>
      <c r="K11" s="14"/>
      <c r="L11" s="170" t="s">
        <v>268</v>
      </c>
      <c r="M11" s="110"/>
      <c r="N11" s="164"/>
    </row>
    <row r="12">
      <c r="A12" s="164"/>
      <c r="B12" s="113"/>
      <c r="C12" s="113"/>
      <c r="D12" s="113"/>
      <c r="E12" s="113"/>
      <c r="F12" s="172" t="s">
        <v>269</v>
      </c>
      <c r="G12" s="172" t="s">
        <v>270</v>
      </c>
      <c r="H12" s="172" t="s">
        <v>271</v>
      </c>
      <c r="I12" s="172" t="s">
        <v>269</v>
      </c>
      <c r="J12" s="172" t="s">
        <v>270</v>
      </c>
      <c r="K12" s="172" t="s">
        <v>271</v>
      </c>
      <c r="L12" s="113"/>
      <c r="M12" s="113"/>
      <c r="N12" s="164"/>
    </row>
    <row r="13">
      <c r="A13" s="164"/>
      <c r="B13" s="173">
        <v>1.0</v>
      </c>
      <c r="C13" s="28" t="s">
        <v>272</v>
      </c>
      <c r="D13" s="174" t="s">
        <v>273</v>
      </c>
      <c r="E13" s="23"/>
      <c r="F13" s="23">
        <v>2.0</v>
      </c>
      <c r="G13" s="175">
        <f>F13*Appendix!$B$11</f>
        <v>0.6</v>
      </c>
      <c r="H13" s="23">
        <f>F13*Appendix!$B$9</f>
        <v>1.4</v>
      </c>
      <c r="I13" s="23">
        <v>1.0</v>
      </c>
      <c r="J13" s="175">
        <f>I13*Appendix!$B$11</f>
        <v>0.3</v>
      </c>
      <c r="K13" s="23">
        <f>I13*Appendix!$B$9</f>
        <v>0.7</v>
      </c>
      <c r="L13" s="23">
        <v>1.0</v>
      </c>
      <c r="M13" s="176"/>
      <c r="N13" s="164"/>
    </row>
    <row r="14">
      <c r="A14" s="164"/>
      <c r="B14" s="173">
        <v>2.0</v>
      </c>
      <c r="C14" s="6"/>
      <c r="D14" s="174" t="s">
        <v>274</v>
      </c>
      <c r="E14" s="23"/>
      <c r="F14" s="23">
        <v>1.5</v>
      </c>
      <c r="G14" s="175">
        <f>F14*Appendix!$B$11</f>
        <v>0.45</v>
      </c>
      <c r="H14" s="23">
        <f>F14*Appendix!$B$9</f>
        <v>1.05</v>
      </c>
      <c r="I14" s="23">
        <v>1.0</v>
      </c>
      <c r="J14" s="175">
        <f>I14*Appendix!$B$11</f>
        <v>0.3</v>
      </c>
      <c r="K14" s="23">
        <f>I14*Appendix!$B$9</f>
        <v>0.7</v>
      </c>
      <c r="L14" s="23">
        <v>1.0</v>
      </c>
      <c r="M14" s="176"/>
      <c r="N14" s="164"/>
    </row>
    <row r="15">
      <c r="A15" s="164"/>
      <c r="B15" s="173">
        <v>3.0</v>
      </c>
      <c r="C15" s="6"/>
      <c r="D15" s="174" t="s">
        <v>275</v>
      </c>
      <c r="E15" s="23"/>
      <c r="F15" s="23">
        <v>1.5</v>
      </c>
      <c r="G15" s="175">
        <f>F15*Appendix!$B$11</f>
        <v>0.45</v>
      </c>
      <c r="H15" s="23">
        <f>F15*Appendix!$B$9</f>
        <v>1.05</v>
      </c>
      <c r="I15" s="23">
        <v>1.0</v>
      </c>
      <c r="J15" s="175">
        <f>I15*Appendix!$B$11</f>
        <v>0.3</v>
      </c>
      <c r="K15" s="23">
        <f>I15*Appendix!$B$9</f>
        <v>0.7</v>
      </c>
      <c r="L15" s="23">
        <v>1.0</v>
      </c>
      <c r="M15" s="176"/>
      <c r="N15" s="164"/>
    </row>
    <row r="16">
      <c r="A16" s="164"/>
      <c r="B16" s="173">
        <v>4.0</v>
      </c>
      <c r="C16" s="28" t="s">
        <v>276</v>
      </c>
      <c r="D16" s="177" t="s">
        <v>277</v>
      </c>
      <c r="E16" s="178"/>
      <c r="F16" s="23">
        <v>3.0</v>
      </c>
      <c r="G16" s="175">
        <f>F16*Appendix!$B$11</f>
        <v>0.9</v>
      </c>
      <c r="H16" s="23">
        <f>F16*Appendix!$B$9</f>
        <v>2.1</v>
      </c>
      <c r="I16" s="23">
        <v>1.0</v>
      </c>
      <c r="J16" s="175">
        <f>I16*Appendix!$B$11</f>
        <v>0.3</v>
      </c>
      <c r="K16" s="23">
        <f>I16*Appendix!$B$9</f>
        <v>0.7</v>
      </c>
      <c r="L16" s="23">
        <v>1.0</v>
      </c>
      <c r="M16" s="176"/>
      <c r="N16" s="164"/>
    </row>
    <row r="17">
      <c r="A17" s="164"/>
      <c r="B17" s="173">
        <v>5.0</v>
      </c>
      <c r="C17" s="6"/>
      <c r="D17" s="177" t="s">
        <v>278</v>
      </c>
      <c r="E17" s="178"/>
      <c r="F17" s="23">
        <v>3.0</v>
      </c>
      <c r="G17" s="175">
        <f>F17*Appendix!$B$11</f>
        <v>0.9</v>
      </c>
      <c r="H17" s="23">
        <f>F17*Appendix!$B$9</f>
        <v>2.1</v>
      </c>
      <c r="I17" s="23">
        <v>1.0</v>
      </c>
      <c r="J17" s="175">
        <f>I17*Appendix!$B$11</f>
        <v>0.3</v>
      </c>
      <c r="K17" s="23">
        <f>I17*Appendix!$B$9</f>
        <v>0.7</v>
      </c>
      <c r="L17" s="23">
        <v>1.0</v>
      </c>
      <c r="M17" s="176"/>
      <c r="N17" s="164"/>
    </row>
    <row r="18">
      <c r="A18" s="164"/>
      <c r="B18" s="173">
        <v>6.0</v>
      </c>
      <c r="C18" s="6"/>
      <c r="D18" s="174" t="s">
        <v>279</v>
      </c>
      <c r="E18" s="23"/>
      <c r="F18" s="23">
        <v>3.0</v>
      </c>
      <c r="G18" s="175">
        <f>F18*Appendix!$B$11</f>
        <v>0.9</v>
      </c>
      <c r="H18" s="23">
        <f>F18*Appendix!$B$9</f>
        <v>2.1</v>
      </c>
      <c r="I18" s="179">
        <v>0.0</v>
      </c>
      <c r="J18" s="175">
        <f>I18*Appendix!$B$11</f>
        <v>0</v>
      </c>
      <c r="K18" s="23">
        <f>I18*Appendix!$B$9</f>
        <v>0</v>
      </c>
      <c r="L18" s="23">
        <v>0.0</v>
      </c>
      <c r="M18" s="176"/>
      <c r="N18" s="164"/>
    </row>
    <row r="19">
      <c r="A19" s="164"/>
      <c r="B19" s="173">
        <v>7.0</v>
      </c>
      <c r="C19" s="6"/>
      <c r="D19" s="174" t="s">
        <v>280</v>
      </c>
      <c r="E19" s="23"/>
      <c r="F19" s="23">
        <v>2.0</v>
      </c>
      <c r="G19" s="175">
        <f>F19*Appendix!$B$11</f>
        <v>0.6</v>
      </c>
      <c r="H19" s="23">
        <f>F19*Appendix!$B$9</f>
        <v>1.4</v>
      </c>
      <c r="I19" s="23">
        <v>0.0</v>
      </c>
      <c r="J19" s="175">
        <f>I19*Appendix!$B$11</f>
        <v>0</v>
      </c>
      <c r="K19" s="23">
        <f>I19*Appendix!$B$9</f>
        <v>0</v>
      </c>
      <c r="L19" s="23">
        <v>0.0</v>
      </c>
      <c r="M19" s="176"/>
      <c r="N19" s="164"/>
    </row>
    <row r="20">
      <c r="A20" s="164"/>
      <c r="B20" s="173">
        <v>8.0</v>
      </c>
      <c r="C20" s="6"/>
      <c r="D20" s="174" t="s">
        <v>281</v>
      </c>
      <c r="E20" s="23"/>
      <c r="F20" s="23">
        <v>3.0</v>
      </c>
      <c r="G20" s="175">
        <f>F20*Appendix!$B$11</f>
        <v>0.9</v>
      </c>
      <c r="H20" s="23">
        <f>F20*Appendix!$B$9</f>
        <v>2.1</v>
      </c>
      <c r="I20" s="23">
        <v>0.0</v>
      </c>
      <c r="J20" s="175">
        <f>I20*Appendix!$B$11</f>
        <v>0</v>
      </c>
      <c r="K20" s="23">
        <f>I20*Appendix!$B$9</f>
        <v>0</v>
      </c>
      <c r="L20" s="23">
        <v>0.0</v>
      </c>
      <c r="M20" s="176"/>
      <c r="N20" s="164"/>
    </row>
    <row r="21">
      <c r="A21" s="164"/>
      <c r="B21" s="173">
        <v>9.0</v>
      </c>
      <c r="C21" s="6"/>
      <c r="D21" s="174" t="s">
        <v>282</v>
      </c>
      <c r="E21" s="23"/>
      <c r="F21" s="23">
        <v>3.0</v>
      </c>
      <c r="G21" s="175">
        <f>F21*Appendix!$B$11</f>
        <v>0.9</v>
      </c>
      <c r="H21" s="23">
        <f>F21*Appendix!$B$9</f>
        <v>2.1</v>
      </c>
      <c r="I21" s="23">
        <v>0.0</v>
      </c>
      <c r="J21" s="175">
        <f>I21*Appendix!$B$11</f>
        <v>0</v>
      </c>
      <c r="K21" s="23">
        <f>I21*Appendix!$B$9</f>
        <v>0</v>
      </c>
      <c r="L21" s="23">
        <v>0.0</v>
      </c>
      <c r="M21" s="176"/>
      <c r="N21" s="164"/>
    </row>
    <row r="22">
      <c r="A22" s="164"/>
      <c r="B22" s="173">
        <v>10.0</v>
      </c>
      <c r="C22" s="28" t="s">
        <v>283</v>
      </c>
      <c r="D22" s="174" t="s">
        <v>284</v>
      </c>
      <c r="E22" s="23"/>
      <c r="F22" s="23">
        <v>3.0</v>
      </c>
      <c r="G22" s="175">
        <f>F22*Appendix!$B$11</f>
        <v>0.9</v>
      </c>
      <c r="H22" s="23">
        <f>F22*Appendix!$B$9</f>
        <v>2.1</v>
      </c>
      <c r="I22" s="23">
        <v>0.0</v>
      </c>
      <c r="J22" s="175">
        <f>I22*Appendix!$B$11</f>
        <v>0</v>
      </c>
      <c r="K22" s="23">
        <f>I22*Appendix!$B$9</f>
        <v>0</v>
      </c>
      <c r="L22" s="23">
        <v>0.0</v>
      </c>
      <c r="M22" s="176"/>
      <c r="N22" s="164"/>
    </row>
    <row r="23">
      <c r="A23" s="164"/>
      <c r="B23" s="173">
        <v>11.0</v>
      </c>
      <c r="C23" s="6"/>
      <c r="D23" s="174" t="s">
        <v>281</v>
      </c>
      <c r="E23" s="23"/>
      <c r="F23" s="23">
        <v>2.0</v>
      </c>
      <c r="G23" s="175">
        <f>F23*Appendix!$B$11</f>
        <v>0.6</v>
      </c>
      <c r="H23" s="23">
        <f>F23*Appendix!$B$9</f>
        <v>1.4</v>
      </c>
      <c r="I23" s="23">
        <v>0.0</v>
      </c>
      <c r="J23" s="175">
        <f>I23*Appendix!$B$11</f>
        <v>0</v>
      </c>
      <c r="K23" s="23">
        <f>I23*Appendix!$B$9</f>
        <v>0</v>
      </c>
      <c r="L23" s="23">
        <v>0.0</v>
      </c>
      <c r="M23" s="176"/>
      <c r="N23" s="164"/>
    </row>
    <row r="24">
      <c r="A24" s="164"/>
      <c r="B24" s="173">
        <v>12.0</v>
      </c>
      <c r="C24" s="6"/>
      <c r="D24" s="174" t="s">
        <v>282</v>
      </c>
      <c r="E24" s="23"/>
      <c r="F24" s="23">
        <v>3.0</v>
      </c>
      <c r="G24" s="175">
        <f>F24*Appendix!$B$11</f>
        <v>0.9</v>
      </c>
      <c r="H24" s="23">
        <f>F24*Appendix!$B$9</f>
        <v>2.1</v>
      </c>
      <c r="I24" s="23">
        <v>0.0</v>
      </c>
      <c r="J24" s="175">
        <f>I24*Appendix!$B$11</f>
        <v>0</v>
      </c>
      <c r="K24" s="23">
        <f>I24*Appendix!$B$9</f>
        <v>0</v>
      </c>
      <c r="L24" s="23">
        <v>0.0</v>
      </c>
      <c r="M24" s="176"/>
      <c r="N24" s="164"/>
    </row>
    <row r="25">
      <c r="A25" s="164"/>
      <c r="B25" s="173">
        <v>13.0</v>
      </c>
      <c r="C25" s="6"/>
      <c r="D25" s="174" t="s">
        <v>285</v>
      </c>
      <c r="E25" s="23"/>
      <c r="F25" s="23">
        <v>2.0</v>
      </c>
      <c r="G25" s="175">
        <f>F25*Appendix!$B$11</f>
        <v>0.6</v>
      </c>
      <c r="H25" s="23">
        <f>F25*Appendix!$B$9</f>
        <v>1.4</v>
      </c>
      <c r="I25" s="23">
        <v>0.0</v>
      </c>
      <c r="J25" s="175">
        <f>I25*Appendix!$B$11</f>
        <v>0</v>
      </c>
      <c r="K25" s="23">
        <f>I25*Appendix!$B$9</f>
        <v>0</v>
      </c>
      <c r="L25" s="23">
        <v>0.0</v>
      </c>
      <c r="M25" s="176"/>
      <c r="N25" s="164"/>
    </row>
    <row r="26">
      <c r="A26" s="164"/>
      <c r="B26" s="173">
        <v>14.0</v>
      </c>
      <c r="C26" s="6"/>
      <c r="D26" s="174" t="s">
        <v>286</v>
      </c>
      <c r="E26" s="23"/>
      <c r="F26" s="23">
        <v>3.0</v>
      </c>
      <c r="G26" s="175">
        <f>F26*Appendix!$B$11</f>
        <v>0.9</v>
      </c>
      <c r="H26" s="23">
        <f>F26*Appendix!$B$9</f>
        <v>2.1</v>
      </c>
      <c r="I26" s="23">
        <v>0.0</v>
      </c>
      <c r="J26" s="175">
        <f>I26*Appendix!$B$11</f>
        <v>0</v>
      </c>
      <c r="K26" s="23">
        <f>I26*Appendix!$B$9</f>
        <v>0</v>
      </c>
      <c r="L26" s="23">
        <v>0.0</v>
      </c>
      <c r="M26" s="176"/>
      <c r="N26" s="164"/>
    </row>
    <row r="27">
      <c r="A27" s="164"/>
      <c r="B27" s="173">
        <v>15.0</v>
      </c>
      <c r="C27" s="6"/>
      <c r="D27" s="174" t="s">
        <v>287</v>
      </c>
      <c r="E27" s="23"/>
      <c r="F27" s="23">
        <v>5.0</v>
      </c>
      <c r="G27" s="175">
        <f>F27*Appendix!$B$11</f>
        <v>1.5</v>
      </c>
      <c r="H27" s="23">
        <f>F27*Appendix!$B$9</f>
        <v>3.5</v>
      </c>
      <c r="I27" s="23">
        <v>0.0</v>
      </c>
      <c r="J27" s="175">
        <f>I27*Appendix!$B$11</f>
        <v>0</v>
      </c>
      <c r="K27" s="23">
        <f>I27*Appendix!$B$9</f>
        <v>0</v>
      </c>
      <c r="L27" s="23">
        <v>0.0</v>
      </c>
      <c r="M27" s="176"/>
      <c r="N27" s="164"/>
    </row>
    <row r="28">
      <c r="A28" s="164"/>
      <c r="B28" s="173">
        <v>16.0</v>
      </c>
      <c r="C28" s="6"/>
      <c r="D28" s="174" t="s">
        <v>288</v>
      </c>
      <c r="E28" s="23"/>
      <c r="F28" s="23">
        <v>3.0</v>
      </c>
      <c r="G28" s="175">
        <f>F28*Appendix!$B$11</f>
        <v>0.9</v>
      </c>
      <c r="H28" s="23">
        <f>F28*Appendix!$B$9</f>
        <v>2.1</v>
      </c>
      <c r="I28" s="23">
        <v>0.0</v>
      </c>
      <c r="J28" s="175">
        <f>I28*Appendix!$B$11</f>
        <v>0</v>
      </c>
      <c r="K28" s="23">
        <f>I28*Appendix!$B$9</f>
        <v>0</v>
      </c>
      <c r="L28" s="23">
        <v>0.0</v>
      </c>
      <c r="M28" s="176"/>
      <c r="N28" s="164"/>
    </row>
    <row r="29">
      <c r="A29" s="164"/>
      <c r="B29" s="173">
        <v>17.0</v>
      </c>
      <c r="C29" s="6"/>
      <c r="D29" s="174" t="s">
        <v>289</v>
      </c>
      <c r="E29" s="23"/>
      <c r="F29" s="23">
        <v>3.0</v>
      </c>
      <c r="G29" s="175">
        <f>F29*Appendix!$B$11</f>
        <v>0.9</v>
      </c>
      <c r="H29" s="23">
        <f>F29*Appendix!$B$9</f>
        <v>2.1</v>
      </c>
      <c r="I29" s="23">
        <v>0.0</v>
      </c>
      <c r="J29" s="175">
        <f>I29*Appendix!$B$11</f>
        <v>0</v>
      </c>
      <c r="K29" s="23">
        <f>I29*Appendix!$B$9</f>
        <v>0</v>
      </c>
      <c r="L29" s="23">
        <v>0.0</v>
      </c>
      <c r="M29" s="176"/>
      <c r="N29" s="164"/>
    </row>
    <row r="30">
      <c r="A30" s="164"/>
      <c r="B30" s="173">
        <v>18.0</v>
      </c>
      <c r="C30" s="6"/>
      <c r="D30" s="174" t="s">
        <v>290</v>
      </c>
      <c r="E30" s="23"/>
      <c r="F30" s="23">
        <v>2.0</v>
      </c>
      <c r="G30" s="175">
        <f>F30*Appendix!$B$11</f>
        <v>0.6</v>
      </c>
      <c r="H30" s="23">
        <f>F30*Appendix!$B$9</f>
        <v>1.4</v>
      </c>
      <c r="I30" s="23">
        <v>0.0</v>
      </c>
      <c r="J30" s="175">
        <f>I30*Appendix!$B$11</f>
        <v>0</v>
      </c>
      <c r="K30" s="23">
        <f>I30*Appendix!$B$9</f>
        <v>0</v>
      </c>
      <c r="L30" s="23">
        <v>0.0</v>
      </c>
      <c r="M30" s="176"/>
      <c r="N30" s="164"/>
    </row>
    <row r="31">
      <c r="A31" s="164"/>
      <c r="B31" s="173">
        <v>19.0</v>
      </c>
      <c r="C31" s="6"/>
      <c r="D31" s="174" t="s">
        <v>291</v>
      </c>
      <c r="E31" s="23"/>
      <c r="F31" s="23">
        <v>2.0</v>
      </c>
      <c r="G31" s="175">
        <f>F31*Appendix!$B$11</f>
        <v>0.6</v>
      </c>
      <c r="H31" s="23">
        <f>F31*Appendix!$B$9</f>
        <v>1.4</v>
      </c>
      <c r="I31" s="23">
        <v>0.0</v>
      </c>
      <c r="J31" s="175">
        <f>I31*Appendix!$B$11</f>
        <v>0</v>
      </c>
      <c r="K31" s="23">
        <f>I31*Appendix!$B$9</f>
        <v>0</v>
      </c>
      <c r="L31" s="23">
        <v>0.0</v>
      </c>
      <c r="M31" s="176"/>
      <c r="N31" s="164"/>
    </row>
    <row r="32">
      <c r="A32" s="164"/>
      <c r="B32" s="173">
        <v>20.0</v>
      </c>
      <c r="C32" s="6"/>
      <c r="D32" s="174" t="s">
        <v>292</v>
      </c>
      <c r="E32" s="23"/>
      <c r="F32" s="23">
        <v>2.0</v>
      </c>
      <c r="G32" s="175">
        <f>F32*Appendix!$B$11</f>
        <v>0.6</v>
      </c>
      <c r="H32" s="23">
        <f>F32*Appendix!$B$9</f>
        <v>1.4</v>
      </c>
      <c r="I32" s="23">
        <v>0.0</v>
      </c>
      <c r="J32" s="175">
        <f>I32*Appendix!$B$11</f>
        <v>0</v>
      </c>
      <c r="K32" s="23">
        <f>I32*Appendix!$B$9</f>
        <v>0</v>
      </c>
      <c r="L32" s="23">
        <v>0.0</v>
      </c>
      <c r="M32" s="176"/>
      <c r="N32" s="164"/>
    </row>
    <row r="33">
      <c r="A33" s="164"/>
      <c r="B33" s="173">
        <v>21.0</v>
      </c>
      <c r="C33" s="6"/>
      <c r="D33" s="174" t="s">
        <v>293</v>
      </c>
      <c r="E33" s="23"/>
      <c r="F33" s="23">
        <v>3.0</v>
      </c>
      <c r="G33" s="175">
        <f>F33*Appendix!$B$11</f>
        <v>0.9</v>
      </c>
      <c r="H33" s="23">
        <f>F33*Appendix!$B$9</f>
        <v>2.1</v>
      </c>
      <c r="I33" s="23">
        <v>0.0</v>
      </c>
      <c r="J33" s="175">
        <f>I33*Appendix!$B$11</f>
        <v>0</v>
      </c>
      <c r="K33" s="23">
        <f>I33*Appendix!$B$9</f>
        <v>0</v>
      </c>
      <c r="L33" s="23">
        <v>0.0</v>
      </c>
      <c r="M33" s="176"/>
      <c r="N33" s="164"/>
    </row>
    <row r="34">
      <c r="A34" s="164"/>
      <c r="B34" s="173">
        <v>22.0</v>
      </c>
      <c r="C34" s="6"/>
      <c r="D34" s="174" t="s">
        <v>294</v>
      </c>
      <c r="E34" s="23"/>
      <c r="F34" s="23">
        <v>7.0</v>
      </c>
      <c r="G34" s="175">
        <f>F34*Appendix!$B$11</f>
        <v>2.1</v>
      </c>
      <c r="H34" s="23">
        <f>F34*Appendix!$B$9</f>
        <v>4.9</v>
      </c>
      <c r="I34" s="23">
        <v>0.0</v>
      </c>
      <c r="J34" s="175">
        <f>I34*Appendix!$B$11</f>
        <v>0</v>
      </c>
      <c r="K34" s="23">
        <f>I34*Appendix!$B$9</f>
        <v>0</v>
      </c>
      <c r="L34" s="23">
        <v>0.0</v>
      </c>
      <c r="M34" s="176"/>
      <c r="N34" s="164"/>
    </row>
    <row r="35">
      <c r="A35" s="164"/>
      <c r="B35" s="173">
        <v>23.0</v>
      </c>
      <c r="C35" s="6"/>
      <c r="D35" s="174" t="s">
        <v>295</v>
      </c>
      <c r="E35" s="23"/>
      <c r="F35" s="23">
        <v>3.0</v>
      </c>
      <c r="G35" s="175">
        <f>F35*Appendix!$B$11</f>
        <v>0.9</v>
      </c>
      <c r="H35" s="23">
        <f>F35*Appendix!$B$9</f>
        <v>2.1</v>
      </c>
      <c r="I35" s="23">
        <v>0.0</v>
      </c>
      <c r="J35" s="175">
        <f>I35*Appendix!$B$11</f>
        <v>0</v>
      </c>
      <c r="K35" s="23">
        <f>I35*Appendix!$B$9</f>
        <v>0</v>
      </c>
      <c r="L35" s="23">
        <v>0.0</v>
      </c>
      <c r="M35" s="176"/>
      <c r="N35" s="164"/>
    </row>
    <row r="36">
      <c r="A36" s="164"/>
      <c r="B36" s="173">
        <v>24.0</v>
      </c>
      <c r="C36" s="6"/>
      <c r="D36" s="174" t="s">
        <v>296</v>
      </c>
      <c r="E36" s="23"/>
      <c r="F36" s="23">
        <v>2.0</v>
      </c>
      <c r="G36" s="175">
        <f>F36*Appendix!$B$11</f>
        <v>0.6</v>
      </c>
      <c r="H36" s="23">
        <f>F36*Appendix!$B$9</f>
        <v>1.4</v>
      </c>
      <c r="I36" s="23">
        <v>0.0</v>
      </c>
      <c r="J36" s="175">
        <f>I36*Appendix!$B$11</f>
        <v>0</v>
      </c>
      <c r="K36" s="23">
        <f>I36*Appendix!$B$9</f>
        <v>0</v>
      </c>
      <c r="L36" s="23">
        <v>0.0</v>
      </c>
      <c r="M36" s="176"/>
      <c r="N36" s="164"/>
    </row>
    <row r="37">
      <c r="A37" s="164"/>
      <c r="B37" s="173">
        <v>25.0</v>
      </c>
      <c r="C37" s="6"/>
      <c r="D37" s="174" t="s">
        <v>297</v>
      </c>
      <c r="E37" s="23"/>
      <c r="F37" s="23">
        <v>5.0</v>
      </c>
      <c r="G37" s="175">
        <f>F37*Appendix!$B$11</f>
        <v>1.5</v>
      </c>
      <c r="H37" s="23">
        <f>F37*Appendix!$B$9</f>
        <v>3.5</v>
      </c>
      <c r="I37" s="23">
        <v>0.0</v>
      </c>
      <c r="J37" s="175">
        <f>I37*Appendix!$B$11</f>
        <v>0</v>
      </c>
      <c r="K37" s="23">
        <f>I37*Appendix!$B$9</f>
        <v>0</v>
      </c>
      <c r="L37" s="23">
        <v>0.0</v>
      </c>
      <c r="M37" s="176"/>
      <c r="N37" s="164"/>
    </row>
    <row r="38">
      <c r="A38" s="164"/>
      <c r="B38" s="173">
        <v>26.0</v>
      </c>
      <c r="C38" s="6"/>
      <c r="D38" s="174" t="s">
        <v>298</v>
      </c>
      <c r="E38" s="23"/>
      <c r="F38" s="23">
        <v>5.0</v>
      </c>
      <c r="G38" s="175">
        <f>F38*Appendix!$B$11</f>
        <v>1.5</v>
      </c>
      <c r="H38" s="23">
        <f>F38*Appendix!$B$9</f>
        <v>3.5</v>
      </c>
      <c r="I38" s="23">
        <v>0.0</v>
      </c>
      <c r="J38" s="175">
        <f>I38*Appendix!$B$11</f>
        <v>0</v>
      </c>
      <c r="K38" s="23">
        <f>I38*Appendix!$B$9</f>
        <v>0</v>
      </c>
      <c r="L38" s="23">
        <v>0.0</v>
      </c>
      <c r="M38" s="176"/>
      <c r="N38" s="164"/>
    </row>
    <row r="39">
      <c r="A39" s="164"/>
      <c r="B39" s="173">
        <v>27.0</v>
      </c>
      <c r="C39" s="6"/>
      <c r="D39" s="174" t="s">
        <v>299</v>
      </c>
      <c r="E39" s="23"/>
      <c r="F39" s="23">
        <v>7.0</v>
      </c>
      <c r="G39" s="175">
        <f>F39*Appendix!$B$11</f>
        <v>2.1</v>
      </c>
      <c r="H39" s="23">
        <f>F39*Appendix!$B$9</f>
        <v>4.9</v>
      </c>
      <c r="I39" s="23">
        <v>0.0</v>
      </c>
      <c r="J39" s="175">
        <f>I39*Appendix!$B$11</f>
        <v>0</v>
      </c>
      <c r="K39" s="23">
        <f>I39*Appendix!$B$9</f>
        <v>0</v>
      </c>
      <c r="L39" s="23">
        <v>0.0</v>
      </c>
      <c r="M39" s="176"/>
      <c r="N39" s="164"/>
    </row>
    <row r="40">
      <c r="A40" s="164"/>
      <c r="B40" s="173">
        <v>34.0</v>
      </c>
      <c r="C40" s="6"/>
      <c r="D40" s="174" t="s">
        <v>300</v>
      </c>
      <c r="E40" s="23"/>
      <c r="F40" s="23">
        <v>1.0</v>
      </c>
      <c r="G40" s="175">
        <f>F40*Appendix!$B$11</f>
        <v>0.3</v>
      </c>
      <c r="H40" s="23">
        <f>F40*Appendix!$B$9</f>
        <v>0.7</v>
      </c>
      <c r="I40" s="23">
        <v>0.0</v>
      </c>
      <c r="J40" s="175">
        <f>I40*Appendix!$B$11</f>
        <v>0</v>
      </c>
      <c r="K40" s="23">
        <f>I40*Appendix!$B$9</f>
        <v>0</v>
      </c>
      <c r="L40" s="23">
        <v>0.0</v>
      </c>
      <c r="M40" s="176"/>
      <c r="N40" s="164"/>
    </row>
    <row r="41">
      <c r="A41" s="164"/>
      <c r="B41" s="173">
        <v>23.0</v>
      </c>
      <c r="C41" s="180" t="s">
        <v>301</v>
      </c>
      <c r="D41" s="181" t="s">
        <v>302</v>
      </c>
      <c r="E41" s="182"/>
      <c r="F41" s="23">
        <v>3.0</v>
      </c>
      <c r="G41" s="175">
        <f>F41*Appendix!$B$11</f>
        <v>0.9</v>
      </c>
      <c r="H41" s="23">
        <f>F41*Appendix!$B$9</f>
        <v>2.1</v>
      </c>
      <c r="I41" s="23">
        <v>1.0</v>
      </c>
      <c r="J41" s="175">
        <f>I41*Appendix!$B$11</f>
        <v>0.3</v>
      </c>
      <c r="K41" s="23">
        <f>I41*Appendix!$B$9</f>
        <v>0.7</v>
      </c>
      <c r="L41" s="23">
        <v>1.0</v>
      </c>
      <c r="M41" s="176"/>
      <c r="N41" s="164"/>
    </row>
    <row r="42">
      <c r="A42" s="164"/>
      <c r="B42" s="173">
        <v>24.0</v>
      </c>
      <c r="C42" s="110"/>
      <c r="D42" s="183" t="s">
        <v>303</v>
      </c>
      <c r="E42" s="23"/>
      <c r="F42" s="23">
        <v>2.0</v>
      </c>
      <c r="G42" s="175">
        <f>F42*Appendix!$B$11</f>
        <v>0.6</v>
      </c>
      <c r="H42" s="23">
        <f>F42*Appendix!$B$9</f>
        <v>1.4</v>
      </c>
      <c r="I42" s="23">
        <v>1.0</v>
      </c>
      <c r="J42" s="175">
        <f>I42*Appendix!$B$11</f>
        <v>0.3</v>
      </c>
      <c r="K42" s="23">
        <f>I42*Appendix!$B$9</f>
        <v>0.7</v>
      </c>
      <c r="L42" s="23">
        <v>1.0</v>
      </c>
      <c r="M42" s="176"/>
      <c r="N42" s="164"/>
    </row>
    <row r="43">
      <c r="A43" s="164"/>
      <c r="B43" s="173">
        <v>25.0</v>
      </c>
      <c r="C43" s="110"/>
      <c r="D43" s="184" t="s">
        <v>304</v>
      </c>
      <c r="E43" s="182"/>
      <c r="F43" s="23">
        <v>6.5</v>
      </c>
      <c r="G43" s="175">
        <f>F43*Appendix!$B$11</f>
        <v>1.95</v>
      </c>
      <c r="H43" s="23">
        <f>F43*Appendix!$B$9</f>
        <v>4.55</v>
      </c>
      <c r="I43" s="23">
        <v>1.0</v>
      </c>
      <c r="J43" s="175">
        <f>I43*Appendix!$B$11</f>
        <v>0.3</v>
      </c>
      <c r="K43" s="23">
        <f>I43*Appendix!$B$9</f>
        <v>0.7</v>
      </c>
      <c r="L43" s="23">
        <v>1.0</v>
      </c>
      <c r="M43" s="176"/>
      <c r="N43" s="164"/>
    </row>
    <row r="44">
      <c r="A44" s="164"/>
      <c r="B44" s="173">
        <v>26.0</v>
      </c>
      <c r="C44" s="110"/>
      <c r="D44" s="183" t="s">
        <v>305</v>
      </c>
      <c r="E44" s="23"/>
      <c r="F44" s="23">
        <v>4.5</v>
      </c>
      <c r="G44" s="175">
        <f>F44*Appendix!$B$11</f>
        <v>1.35</v>
      </c>
      <c r="H44" s="23">
        <f>F44*Appendix!$B$9</f>
        <v>3.15</v>
      </c>
      <c r="I44" s="23">
        <v>1.0</v>
      </c>
      <c r="J44" s="175">
        <f>I44*Appendix!$B$11</f>
        <v>0.3</v>
      </c>
      <c r="K44" s="23">
        <f>I44*Appendix!$B$9</f>
        <v>0.7</v>
      </c>
      <c r="L44" s="23">
        <v>1.0</v>
      </c>
      <c r="M44" s="176"/>
      <c r="N44" s="164"/>
    </row>
    <row r="45">
      <c r="A45" s="164"/>
      <c r="B45" s="173">
        <v>27.0</v>
      </c>
      <c r="C45" s="110"/>
      <c r="D45" s="184" t="s">
        <v>306</v>
      </c>
      <c r="E45" s="182"/>
      <c r="F45" s="23">
        <v>4.5</v>
      </c>
      <c r="G45" s="175">
        <f>F45*Appendix!$B$11</f>
        <v>1.35</v>
      </c>
      <c r="H45" s="23">
        <f>F45*Appendix!$B$9</f>
        <v>3.15</v>
      </c>
      <c r="I45" s="23">
        <v>0.0</v>
      </c>
      <c r="J45" s="175">
        <f>I45*Appendix!$B$11</f>
        <v>0</v>
      </c>
      <c r="K45" s="23">
        <f>I45*Appendix!$B$9</f>
        <v>0</v>
      </c>
      <c r="L45" s="23">
        <v>0.0</v>
      </c>
      <c r="M45" s="176"/>
      <c r="N45" s="164"/>
    </row>
    <row r="46">
      <c r="A46" s="164"/>
      <c r="B46" s="173">
        <v>28.0</v>
      </c>
      <c r="C46" s="110"/>
      <c r="D46" s="183" t="s">
        <v>307</v>
      </c>
      <c r="E46" s="23"/>
      <c r="F46" s="23">
        <v>3.5</v>
      </c>
      <c r="G46" s="175">
        <f>F46*Appendix!$B$11</f>
        <v>1.05</v>
      </c>
      <c r="H46" s="23">
        <f>F46*Appendix!$B$9</f>
        <v>2.45</v>
      </c>
      <c r="I46" s="23">
        <v>0.0</v>
      </c>
      <c r="J46" s="175">
        <f>I46*Appendix!$B$11</f>
        <v>0</v>
      </c>
      <c r="K46" s="23">
        <f>I46*Appendix!$B$9</f>
        <v>0</v>
      </c>
      <c r="L46" s="23">
        <v>0.0</v>
      </c>
      <c r="M46" s="176"/>
      <c r="N46" s="164"/>
    </row>
    <row r="47">
      <c r="A47" s="164"/>
      <c r="B47" s="173">
        <v>29.0</v>
      </c>
      <c r="C47" s="110"/>
      <c r="D47" s="184" t="s">
        <v>308</v>
      </c>
      <c r="E47" s="182"/>
      <c r="F47" s="23">
        <v>3.5</v>
      </c>
      <c r="G47" s="175">
        <f>F47*Appendix!$B$11</f>
        <v>1.05</v>
      </c>
      <c r="H47" s="23">
        <f>F47*Appendix!$B$9</f>
        <v>2.45</v>
      </c>
      <c r="I47" s="23">
        <v>0.0</v>
      </c>
      <c r="J47" s="175">
        <f>I47*Appendix!$B$11</f>
        <v>0</v>
      </c>
      <c r="K47" s="23">
        <f>I47*Appendix!$B$9</f>
        <v>0</v>
      </c>
      <c r="L47" s="23">
        <v>0.0</v>
      </c>
      <c r="M47" s="176"/>
      <c r="N47" s="164"/>
    </row>
    <row r="48">
      <c r="A48" s="164"/>
      <c r="B48" s="173">
        <v>30.0</v>
      </c>
      <c r="C48" s="110"/>
      <c r="D48" s="183" t="s">
        <v>309</v>
      </c>
      <c r="E48" s="23"/>
      <c r="F48" s="23">
        <v>3.5</v>
      </c>
      <c r="G48" s="175">
        <f>F48*Appendix!$B$11</f>
        <v>1.05</v>
      </c>
      <c r="H48" s="23">
        <f>F48*Appendix!$B$9</f>
        <v>2.45</v>
      </c>
      <c r="I48" s="23">
        <v>0.0</v>
      </c>
      <c r="J48" s="175">
        <f>I48*Appendix!$B$11</f>
        <v>0</v>
      </c>
      <c r="K48" s="23">
        <f>I48*Appendix!$B$9</f>
        <v>0</v>
      </c>
      <c r="L48" s="23">
        <v>0.0</v>
      </c>
      <c r="M48" s="176"/>
      <c r="N48" s="164"/>
    </row>
    <row r="49">
      <c r="A49" s="164"/>
      <c r="B49" s="173">
        <v>31.0</v>
      </c>
      <c r="C49" s="110"/>
      <c r="D49" s="183" t="s">
        <v>310</v>
      </c>
      <c r="E49" s="23"/>
      <c r="F49" s="23">
        <v>3.5</v>
      </c>
      <c r="G49" s="175">
        <f>F49*Appendix!$B$11</f>
        <v>1.05</v>
      </c>
      <c r="H49" s="23">
        <f>F49*Appendix!$B$9</f>
        <v>2.45</v>
      </c>
      <c r="I49" s="23">
        <v>0.0</v>
      </c>
      <c r="J49" s="175">
        <f>I49*Appendix!$B$11</f>
        <v>0</v>
      </c>
      <c r="K49" s="23">
        <f>I49*Appendix!$B$9</f>
        <v>0</v>
      </c>
      <c r="L49" s="23">
        <v>0.0</v>
      </c>
      <c r="M49" s="176"/>
      <c r="N49" s="164"/>
    </row>
    <row r="50">
      <c r="A50" s="164"/>
      <c r="B50" s="173">
        <v>32.0</v>
      </c>
      <c r="C50" s="110"/>
      <c r="D50" s="185" t="s">
        <v>311</v>
      </c>
      <c r="E50" s="182"/>
      <c r="F50" s="23">
        <v>3.5</v>
      </c>
      <c r="G50" s="175">
        <f>F50*Appendix!$B$11</f>
        <v>1.05</v>
      </c>
      <c r="H50" s="23">
        <f>F50*Appendix!$B$9</f>
        <v>2.45</v>
      </c>
      <c r="I50" s="23">
        <v>0.0</v>
      </c>
      <c r="J50" s="175">
        <f>I50*Appendix!$B$11</f>
        <v>0</v>
      </c>
      <c r="K50" s="23">
        <f>I50*Appendix!$B$9</f>
        <v>0</v>
      </c>
      <c r="L50" s="23">
        <v>0.0</v>
      </c>
      <c r="M50" s="176"/>
      <c r="N50" s="164"/>
    </row>
    <row r="51">
      <c r="A51" s="164"/>
      <c r="B51" s="173">
        <v>33.0</v>
      </c>
      <c r="C51" s="113"/>
      <c r="D51" s="174" t="s">
        <v>273</v>
      </c>
      <c r="E51" s="23"/>
      <c r="F51" s="23">
        <v>1.0</v>
      </c>
      <c r="G51" s="175">
        <f>F51*Appendix!$B$11</f>
        <v>0.3</v>
      </c>
      <c r="H51" s="23">
        <f>F51*Appendix!$B$9</f>
        <v>0.7</v>
      </c>
      <c r="I51" s="23">
        <v>0.0</v>
      </c>
      <c r="J51" s="175">
        <f>I51*Appendix!$B$11</f>
        <v>0</v>
      </c>
      <c r="K51" s="23">
        <f>I51*Appendix!$B$9</f>
        <v>0</v>
      </c>
      <c r="L51" s="23">
        <v>0.0</v>
      </c>
      <c r="M51" s="176"/>
      <c r="N51" s="164"/>
    </row>
    <row r="52">
      <c r="A52" s="164"/>
      <c r="B52" s="164"/>
      <c r="C52" s="164"/>
      <c r="D52" s="164"/>
      <c r="E52" s="166"/>
      <c r="F52" s="166"/>
      <c r="G52" s="164"/>
      <c r="H52" s="164"/>
      <c r="I52" s="164"/>
      <c r="J52" s="164"/>
      <c r="K52" s="164"/>
      <c r="L52" s="164"/>
      <c r="M52" s="164"/>
      <c r="N52" s="164"/>
    </row>
    <row r="53">
      <c r="E53" s="163"/>
      <c r="F53" s="163"/>
    </row>
    <row r="54">
      <c r="E54" s="163"/>
      <c r="F54" s="163"/>
    </row>
    <row r="55">
      <c r="E55" s="163"/>
      <c r="F55" s="163"/>
    </row>
    <row r="56">
      <c r="E56" s="163"/>
      <c r="F56" s="163"/>
    </row>
    <row r="57">
      <c r="E57" s="163"/>
      <c r="F57" s="163"/>
    </row>
    <row r="58">
      <c r="E58" s="163"/>
      <c r="F58" s="163"/>
    </row>
    <row r="59">
      <c r="E59" s="163"/>
      <c r="F59" s="163"/>
    </row>
    <row r="60">
      <c r="E60" s="163"/>
      <c r="F60" s="163"/>
    </row>
    <row r="61">
      <c r="E61" s="163"/>
      <c r="F61" s="163"/>
    </row>
    <row r="62">
      <c r="E62" s="163"/>
      <c r="F62" s="163"/>
    </row>
    <row r="63">
      <c r="E63" s="163"/>
      <c r="F63" s="163"/>
    </row>
    <row r="64">
      <c r="E64" s="163"/>
      <c r="F64" s="163"/>
    </row>
    <row r="65">
      <c r="E65" s="163"/>
      <c r="F65" s="163"/>
    </row>
    <row r="66">
      <c r="E66" s="163"/>
      <c r="F66" s="163"/>
    </row>
    <row r="67">
      <c r="E67" s="163"/>
      <c r="F67" s="163"/>
    </row>
    <row r="68">
      <c r="E68" s="163"/>
      <c r="F68" s="163"/>
    </row>
    <row r="69">
      <c r="E69" s="163"/>
      <c r="F69" s="163"/>
    </row>
    <row r="70">
      <c r="E70" s="163"/>
      <c r="F70" s="163"/>
    </row>
    <row r="71">
      <c r="E71" s="163"/>
      <c r="F71" s="163"/>
    </row>
    <row r="72">
      <c r="E72" s="163"/>
      <c r="F72" s="163"/>
    </row>
    <row r="73">
      <c r="E73" s="163"/>
      <c r="F73" s="163"/>
    </row>
    <row r="74">
      <c r="E74" s="163"/>
      <c r="F74" s="163"/>
    </row>
    <row r="75">
      <c r="E75" s="163"/>
      <c r="F75" s="163"/>
    </row>
    <row r="76">
      <c r="E76" s="163"/>
      <c r="F76" s="163"/>
    </row>
    <row r="77">
      <c r="E77" s="163"/>
      <c r="F77" s="163"/>
    </row>
    <row r="78">
      <c r="E78" s="163"/>
      <c r="F78" s="163"/>
    </row>
    <row r="79">
      <c r="E79" s="163"/>
      <c r="F79" s="163"/>
    </row>
    <row r="80">
      <c r="E80" s="163"/>
      <c r="F80" s="163"/>
    </row>
    <row r="81">
      <c r="E81" s="163"/>
      <c r="F81" s="163"/>
    </row>
    <row r="82">
      <c r="E82" s="163"/>
      <c r="F82" s="163"/>
    </row>
    <row r="83">
      <c r="E83" s="163"/>
      <c r="F83" s="163"/>
    </row>
    <row r="84">
      <c r="E84" s="163"/>
      <c r="F84" s="163"/>
    </row>
    <row r="85">
      <c r="E85" s="163"/>
      <c r="F85" s="163"/>
    </row>
    <row r="86">
      <c r="E86" s="163"/>
      <c r="F86" s="163"/>
    </row>
    <row r="87">
      <c r="E87" s="163"/>
      <c r="F87" s="163"/>
    </row>
    <row r="88">
      <c r="E88" s="163"/>
      <c r="F88" s="163"/>
    </row>
    <row r="89">
      <c r="E89" s="163"/>
      <c r="F89" s="163"/>
    </row>
    <row r="90">
      <c r="E90" s="163"/>
      <c r="F90" s="163"/>
    </row>
    <row r="91">
      <c r="E91" s="163"/>
      <c r="F91" s="163"/>
    </row>
    <row r="92">
      <c r="E92" s="163"/>
      <c r="F92" s="163"/>
    </row>
    <row r="93">
      <c r="E93" s="163"/>
      <c r="F93" s="163"/>
    </row>
    <row r="94">
      <c r="E94" s="163"/>
      <c r="F94" s="163"/>
    </row>
    <row r="95">
      <c r="E95" s="163"/>
      <c r="F95" s="163"/>
    </row>
    <row r="96">
      <c r="E96" s="163"/>
      <c r="F96" s="163"/>
    </row>
    <row r="97">
      <c r="E97" s="163"/>
      <c r="F97" s="163"/>
    </row>
    <row r="98">
      <c r="E98" s="163"/>
      <c r="F98" s="163"/>
    </row>
    <row r="99">
      <c r="E99" s="163"/>
      <c r="F99" s="163"/>
    </row>
    <row r="100">
      <c r="E100" s="163"/>
      <c r="F100" s="163"/>
    </row>
    <row r="101">
      <c r="E101" s="163"/>
      <c r="F101" s="163"/>
    </row>
    <row r="102">
      <c r="E102" s="163"/>
      <c r="F102" s="163"/>
    </row>
    <row r="103">
      <c r="E103" s="163"/>
      <c r="F103" s="163"/>
    </row>
    <row r="104">
      <c r="E104" s="163"/>
      <c r="F104" s="163"/>
    </row>
    <row r="105">
      <c r="E105" s="163"/>
      <c r="F105" s="163"/>
    </row>
    <row r="106">
      <c r="E106" s="163"/>
      <c r="F106" s="163"/>
    </row>
    <row r="107">
      <c r="E107" s="163"/>
      <c r="F107" s="163"/>
    </row>
    <row r="108">
      <c r="E108" s="163"/>
      <c r="F108" s="163"/>
    </row>
    <row r="109">
      <c r="E109" s="163"/>
      <c r="F109" s="163"/>
    </row>
    <row r="110">
      <c r="E110" s="163"/>
      <c r="F110" s="163"/>
    </row>
    <row r="111">
      <c r="E111" s="163"/>
      <c r="F111" s="163"/>
    </row>
    <row r="112">
      <c r="E112" s="163"/>
      <c r="F112" s="163"/>
    </row>
    <row r="113">
      <c r="E113" s="163"/>
      <c r="F113" s="163"/>
    </row>
    <row r="114">
      <c r="E114" s="163"/>
      <c r="F114" s="163"/>
    </row>
    <row r="115">
      <c r="E115" s="163"/>
      <c r="F115" s="163"/>
    </row>
    <row r="116">
      <c r="E116" s="163"/>
      <c r="F116" s="163"/>
    </row>
    <row r="117">
      <c r="E117" s="163"/>
      <c r="F117" s="163"/>
    </row>
    <row r="118">
      <c r="E118" s="163"/>
      <c r="F118" s="163"/>
    </row>
    <row r="119">
      <c r="E119" s="163"/>
      <c r="F119" s="163"/>
    </row>
    <row r="120">
      <c r="E120" s="163"/>
      <c r="F120" s="163"/>
    </row>
    <row r="121">
      <c r="E121" s="163"/>
      <c r="F121" s="163"/>
    </row>
    <row r="122">
      <c r="E122" s="163"/>
      <c r="F122" s="163"/>
    </row>
    <row r="123">
      <c r="E123" s="163"/>
      <c r="F123" s="163"/>
    </row>
    <row r="124">
      <c r="E124" s="163"/>
      <c r="F124" s="163"/>
    </row>
    <row r="125">
      <c r="E125" s="163"/>
      <c r="F125" s="163"/>
    </row>
    <row r="126">
      <c r="E126" s="163"/>
      <c r="F126" s="163"/>
    </row>
    <row r="127">
      <c r="E127" s="163"/>
      <c r="F127" s="163"/>
    </row>
    <row r="128">
      <c r="E128" s="163"/>
      <c r="F128" s="163"/>
    </row>
    <row r="129">
      <c r="E129" s="163"/>
      <c r="F129" s="163"/>
    </row>
    <row r="130">
      <c r="E130" s="163"/>
      <c r="F130" s="163"/>
    </row>
    <row r="131">
      <c r="E131" s="163"/>
      <c r="F131" s="163"/>
    </row>
    <row r="132">
      <c r="E132" s="163"/>
      <c r="F132" s="163"/>
    </row>
    <row r="133">
      <c r="E133" s="163"/>
      <c r="F133" s="163"/>
    </row>
    <row r="134">
      <c r="E134" s="163"/>
      <c r="F134" s="163"/>
    </row>
    <row r="135">
      <c r="E135" s="163"/>
      <c r="F135" s="163"/>
    </row>
    <row r="136">
      <c r="E136" s="163"/>
      <c r="F136" s="163"/>
    </row>
    <row r="137">
      <c r="E137" s="163"/>
      <c r="F137" s="163"/>
    </row>
    <row r="138">
      <c r="E138" s="163"/>
      <c r="F138" s="163"/>
    </row>
    <row r="139">
      <c r="E139" s="163"/>
      <c r="F139" s="163"/>
    </row>
    <row r="140">
      <c r="E140" s="163"/>
      <c r="F140" s="163"/>
    </row>
    <row r="141">
      <c r="E141" s="163"/>
      <c r="F141" s="163"/>
    </row>
    <row r="142">
      <c r="E142" s="163"/>
      <c r="F142" s="163"/>
    </row>
    <row r="143">
      <c r="E143" s="163"/>
      <c r="F143" s="163"/>
    </row>
    <row r="144">
      <c r="E144" s="163"/>
      <c r="F144" s="163"/>
    </row>
    <row r="145">
      <c r="E145" s="163"/>
      <c r="F145" s="163"/>
    </row>
    <row r="146">
      <c r="E146" s="163"/>
      <c r="F146" s="163"/>
    </row>
    <row r="147">
      <c r="E147" s="163"/>
      <c r="F147" s="163"/>
    </row>
    <row r="148">
      <c r="E148" s="163"/>
      <c r="F148" s="163"/>
    </row>
    <row r="149">
      <c r="E149" s="163"/>
      <c r="F149" s="163"/>
    </row>
    <row r="150">
      <c r="E150" s="163"/>
      <c r="F150" s="163"/>
    </row>
    <row r="151">
      <c r="E151" s="163"/>
      <c r="F151" s="163"/>
    </row>
    <row r="152">
      <c r="E152" s="163"/>
      <c r="F152" s="163"/>
    </row>
    <row r="153">
      <c r="E153" s="163"/>
      <c r="F153" s="163"/>
    </row>
    <row r="154">
      <c r="E154" s="163"/>
      <c r="F154" s="163"/>
    </row>
    <row r="155">
      <c r="E155" s="163"/>
      <c r="F155" s="163"/>
    </row>
    <row r="156">
      <c r="E156" s="163"/>
      <c r="F156" s="163"/>
    </row>
    <row r="157">
      <c r="E157" s="163"/>
      <c r="F157" s="163"/>
    </row>
    <row r="158">
      <c r="E158" s="163"/>
      <c r="F158" s="163"/>
    </row>
    <row r="159">
      <c r="E159" s="163"/>
      <c r="F159" s="163"/>
    </row>
    <row r="160">
      <c r="E160" s="163"/>
      <c r="F160" s="163"/>
    </row>
    <row r="161">
      <c r="E161" s="163"/>
      <c r="F161" s="163"/>
    </row>
    <row r="162">
      <c r="E162" s="163"/>
      <c r="F162" s="163"/>
    </row>
    <row r="163">
      <c r="E163" s="163"/>
      <c r="F163" s="163"/>
    </row>
    <row r="164">
      <c r="E164" s="163"/>
      <c r="F164" s="163"/>
    </row>
    <row r="165">
      <c r="E165" s="163"/>
      <c r="F165" s="163"/>
    </row>
    <row r="166">
      <c r="E166" s="163"/>
      <c r="F166" s="163"/>
    </row>
    <row r="167">
      <c r="E167" s="163"/>
      <c r="F167" s="163"/>
    </row>
    <row r="168">
      <c r="E168" s="163"/>
      <c r="F168" s="163"/>
    </row>
    <row r="169">
      <c r="E169" s="163"/>
      <c r="F169" s="163"/>
    </row>
    <row r="170">
      <c r="E170" s="163"/>
      <c r="F170" s="163"/>
    </row>
    <row r="171">
      <c r="E171" s="163"/>
      <c r="F171" s="163"/>
    </row>
    <row r="172">
      <c r="E172" s="163"/>
      <c r="F172" s="163"/>
    </row>
    <row r="173">
      <c r="E173" s="163"/>
      <c r="F173" s="163"/>
    </row>
    <row r="174">
      <c r="E174" s="163"/>
      <c r="F174" s="163"/>
    </row>
    <row r="175">
      <c r="E175" s="163"/>
      <c r="F175" s="163"/>
    </row>
    <row r="176">
      <c r="E176" s="163"/>
      <c r="F176" s="163"/>
    </row>
    <row r="177">
      <c r="E177" s="163"/>
      <c r="F177" s="163"/>
    </row>
    <row r="178">
      <c r="E178" s="163"/>
      <c r="F178" s="163"/>
    </row>
    <row r="179">
      <c r="E179" s="163"/>
      <c r="F179" s="163"/>
    </row>
    <row r="180">
      <c r="E180" s="163"/>
      <c r="F180" s="163"/>
    </row>
    <row r="181">
      <c r="E181" s="163"/>
      <c r="F181" s="163"/>
    </row>
    <row r="182">
      <c r="E182" s="163"/>
      <c r="F182" s="163"/>
    </row>
    <row r="183">
      <c r="E183" s="163"/>
      <c r="F183" s="163"/>
    </row>
    <row r="184">
      <c r="E184" s="163"/>
      <c r="F184" s="163"/>
    </row>
    <row r="185">
      <c r="E185" s="163"/>
      <c r="F185" s="163"/>
    </row>
    <row r="186">
      <c r="E186" s="163"/>
      <c r="F186" s="163"/>
    </row>
    <row r="187">
      <c r="E187" s="163"/>
      <c r="F187" s="163"/>
    </row>
    <row r="188">
      <c r="E188" s="163"/>
      <c r="F188" s="163"/>
    </row>
    <row r="189">
      <c r="E189" s="163"/>
      <c r="F189" s="163"/>
    </row>
    <row r="190">
      <c r="E190" s="163"/>
      <c r="F190" s="163"/>
    </row>
    <row r="191">
      <c r="E191" s="163"/>
      <c r="F191" s="163"/>
    </row>
    <row r="192">
      <c r="E192" s="163"/>
      <c r="F192" s="163"/>
    </row>
    <row r="193">
      <c r="E193" s="163"/>
      <c r="F193" s="163"/>
    </row>
    <row r="194">
      <c r="E194" s="163"/>
      <c r="F194" s="163"/>
    </row>
    <row r="195">
      <c r="E195" s="163"/>
      <c r="F195" s="163"/>
    </row>
    <row r="196">
      <c r="E196" s="163"/>
      <c r="F196" s="163"/>
    </row>
    <row r="197">
      <c r="E197" s="163"/>
      <c r="F197" s="163"/>
    </row>
    <row r="198">
      <c r="E198" s="163"/>
      <c r="F198" s="163"/>
    </row>
    <row r="199">
      <c r="E199" s="163"/>
      <c r="F199" s="163"/>
    </row>
    <row r="200">
      <c r="E200" s="163"/>
      <c r="F200" s="163"/>
    </row>
    <row r="201">
      <c r="E201" s="163"/>
      <c r="F201" s="163"/>
    </row>
    <row r="202">
      <c r="E202" s="163"/>
      <c r="F202" s="163"/>
    </row>
    <row r="203">
      <c r="E203" s="163"/>
      <c r="F203" s="163"/>
    </row>
    <row r="204">
      <c r="E204" s="163"/>
      <c r="F204" s="163"/>
    </row>
    <row r="205">
      <c r="E205" s="163"/>
      <c r="F205" s="163"/>
    </row>
    <row r="206">
      <c r="E206" s="163"/>
      <c r="F206" s="163"/>
    </row>
    <row r="207">
      <c r="E207" s="163"/>
      <c r="F207" s="163"/>
    </row>
    <row r="208">
      <c r="E208" s="163"/>
      <c r="F208" s="163"/>
    </row>
    <row r="209">
      <c r="E209" s="163"/>
      <c r="F209" s="163"/>
    </row>
    <row r="210">
      <c r="E210" s="163"/>
      <c r="F210" s="163"/>
    </row>
    <row r="211">
      <c r="E211" s="163"/>
      <c r="F211" s="163"/>
    </row>
    <row r="212">
      <c r="E212" s="163"/>
      <c r="F212" s="163"/>
    </row>
    <row r="213">
      <c r="E213" s="163"/>
      <c r="F213" s="163"/>
    </row>
    <row r="214">
      <c r="E214" s="163"/>
      <c r="F214" s="163"/>
    </row>
    <row r="215">
      <c r="E215" s="163"/>
      <c r="F215" s="163"/>
    </row>
    <row r="216">
      <c r="E216" s="163"/>
      <c r="F216" s="163"/>
    </row>
    <row r="217">
      <c r="E217" s="163"/>
      <c r="F217" s="163"/>
    </row>
    <row r="218">
      <c r="E218" s="163"/>
      <c r="F218" s="163"/>
    </row>
    <row r="219">
      <c r="E219" s="163"/>
      <c r="F219" s="163"/>
    </row>
    <row r="220">
      <c r="E220" s="163"/>
      <c r="F220" s="163"/>
    </row>
    <row r="221">
      <c r="E221" s="163"/>
      <c r="F221" s="163"/>
    </row>
    <row r="222">
      <c r="E222" s="163"/>
      <c r="F222" s="163"/>
    </row>
    <row r="223">
      <c r="E223" s="163"/>
      <c r="F223" s="163"/>
    </row>
    <row r="224">
      <c r="E224" s="163"/>
      <c r="F224" s="163"/>
    </row>
    <row r="225">
      <c r="E225" s="163"/>
      <c r="F225" s="163"/>
    </row>
    <row r="226">
      <c r="E226" s="163"/>
      <c r="F226" s="163"/>
    </row>
    <row r="227">
      <c r="E227" s="163"/>
      <c r="F227" s="163"/>
    </row>
    <row r="228">
      <c r="E228" s="163"/>
      <c r="F228" s="163"/>
    </row>
    <row r="229">
      <c r="E229" s="163"/>
      <c r="F229" s="163"/>
    </row>
    <row r="230">
      <c r="E230" s="163"/>
      <c r="F230" s="163"/>
    </row>
    <row r="231">
      <c r="E231" s="163"/>
      <c r="F231" s="163"/>
    </row>
    <row r="232">
      <c r="E232" s="163"/>
      <c r="F232" s="163"/>
    </row>
    <row r="233">
      <c r="E233" s="163"/>
      <c r="F233" s="163"/>
    </row>
    <row r="234">
      <c r="E234" s="163"/>
      <c r="F234" s="163"/>
    </row>
    <row r="235">
      <c r="E235" s="163"/>
      <c r="F235" s="163"/>
    </row>
    <row r="236">
      <c r="E236" s="163"/>
      <c r="F236" s="163"/>
    </row>
    <row r="237">
      <c r="E237" s="163"/>
      <c r="F237" s="163"/>
    </row>
    <row r="238">
      <c r="E238" s="163"/>
      <c r="F238" s="163"/>
    </row>
    <row r="239">
      <c r="E239" s="163"/>
      <c r="F239" s="163"/>
    </row>
    <row r="240">
      <c r="E240" s="163"/>
      <c r="F240" s="163"/>
    </row>
    <row r="241">
      <c r="E241" s="163"/>
      <c r="F241" s="163"/>
    </row>
    <row r="242">
      <c r="E242" s="163"/>
      <c r="F242" s="163"/>
    </row>
    <row r="243">
      <c r="E243" s="163"/>
      <c r="F243" s="163"/>
    </row>
    <row r="244">
      <c r="E244" s="163"/>
      <c r="F244" s="163"/>
    </row>
    <row r="245">
      <c r="E245" s="163"/>
      <c r="F245" s="163"/>
    </row>
    <row r="246">
      <c r="E246" s="163"/>
      <c r="F246" s="163"/>
    </row>
    <row r="247">
      <c r="E247" s="163"/>
      <c r="F247" s="163"/>
    </row>
    <row r="248">
      <c r="E248" s="163"/>
      <c r="F248" s="163"/>
    </row>
    <row r="249">
      <c r="E249" s="163"/>
      <c r="F249" s="163"/>
    </row>
    <row r="250">
      <c r="E250" s="163"/>
      <c r="F250" s="163"/>
    </row>
    <row r="251">
      <c r="E251" s="163"/>
      <c r="F251" s="163"/>
    </row>
    <row r="252">
      <c r="E252" s="163"/>
      <c r="F252" s="163"/>
    </row>
    <row r="253">
      <c r="E253" s="163"/>
      <c r="F253" s="163"/>
    </row>
    <row r="254">
      <c r="E254" s="163"/>
      <c r="F254" s="163"/>
    </row>
    <row r="255">
      <c r="E255" s="163"/>
      <c r="F255" s="163"/>
    </row>
    <row r="256">
      <c r="E256" s="163"/>
      <c r="F256" s="163"/>
    </row>
    <row r="257">
      <c r="E257" s="163"/>
      <c r="F257" s="163"/>
    </row>
    <row r="258">
      <c r="E258" s="163"/>
      <c r="F258" s="163"/>
    </row>
    <row r="259">
      <c r="E259" s="163"/>
      <c r="F259" s="163"/>
    </row>
    <row r="260">
      <c r="E260" s="163"/>
      <c r="F260" s="163"/>
    </row>
    <row r="261">
      <c r="E261" s="163"/>
      <c r="F261" s="163"/>
    </row>
    <row r="262">
      <c r="E262" s="163"/>
      <c r="F262" s="163"/>
    </row>
    <row r="263">
      <c r="E263" s="163"/>
      <c r="F263" s="163"/>
    </row>
    <row r="264">
      <c r="E264" s="163"/>
      <c r="F264" s="163"/>
    </row>
    <row r="265">
      <c r="E265" s="163"/>
      <c r="F265" s="163"/>
    </row>
    <row r="266">
      <c r="E266" s="163"/>
      <c r="F266" s="163"/>
    </row>
    <row r="267">
      <c r="E267" s="163"/>
      <c r="F267" s="163"/>
    </row>
    <row r="268">
      <c r="E268" s="163"/>
      <c r="F268" s="163"/>
    </row>
    <row r="269">
      <c r="E269" s="163"/>
      <c r="F269" s="163"/>
    </row>
    <row r="270">
      <c r="E270" s="163"/>
      <c r="F270" s="163"/>
    </row>
    <row r="271">
      <c r="E271" s="163"/>
      <c r="F271" s="163"/>
    </row>
    <row r="272">
      <c r="E272" s="163"/>
      <c r="F272" s="163"/>
    </row>
    <row r="273">
      <c r="E273" s="163"/>
      <c r="F273" s="163"/>
    </row>
    <row r="274">
      <c r="E274" s="163"/>
      <c r="F274" s="163"/>
    </row>
    <row r="275">
      <c r="E275" s="163"/>
      <c r="F275" s="163"/>
    </row>
    <row r="276">
      <c r="E276" s="163"/>
      <c r="F276" s="163"/>
    </row>
    <row r="277">
      <c r="E277" s="163"/>
      <c r="F277" s="163"/>
    </row>
    <row r="278">
      <c r="E278" s="163"/>
      <c r="F278" s="163"/>
    </row>
    <row r="279">
      <c r="E279" s="163"/>
      <c r="F279" s="163"/>
    </row>
    <row r="280">
      <c r="E280" s="163"/>
      <c r="F280" s="163"/>
    </row>
    <row r="281">
      <c r="E281" s="163"/>
      <c r="F281" s="163"/>
    </row>
    <row r="282">
      <c r="E282" s="163"/>
      <c r="F282" s="163"/>
    </row>
    <row r="283">
      <c r="E283" s="163"/>
      <c r="F283" s="163"/>
    </row>
    <row r="284">
      <c r="E284" s="163"/>
      <c r="F284" s="163"/>
    </row>
    <row r="285">
      <c r="E285" s="163"/>
      <c r="F285" s="163"/>
    </row>
    <row r="286">
      <c r="E286" s="163"/>
      <c r="F286" s="163"/>
    </row>
    <row r="287">
      <c r="E287" s="163"/>
      <c r="F287" s="163"/>
    </row>
    <row r="288">
      <c r="E288" s="163"/>
      <c r="F288" s="163"/>
    </row>
    <row r="289">
      <c r="E289" s="163"/>
      <c r="F289" s="163"/>
    </row>
    <row r="290">
      <c r="E290" s="163"/>
      <c r="F290" s="163"/>
    </row>
    <row r="291">
      <c r="E291" s="163"/>
      <c r="F291" s="163"/>
    </row>
    <row r="292">
      <c r="E292" s="163"/>
      <c r="F292" s="163"/>
    </row>
    <row r="293">
      <c r="E293" s="163"/>
      <c r="F293" s="163"/>
    </row>
    <row r="294">
      <c r="E294" s="163"/>
      <c r="F294" s="163"/>
    </row>
    <row r="295">
      <c r="E295" s="163"/>
      <c r="F295" s="163"/>
    </row>
    <row r="296">
      <c r="E296" s="163"/>
      <c r="F296" s="163"/>
    </row>
    <row r="297">
      <c r="E297" s="163"/>
      <c r="F297" s="163"/>
    </row>
    <row r="298">
      <c r="E298" s="163"/>
      <c r="F298" s="163"/>
    </row>
    <row r="299">
      <c r="E299" s="163"/>
      <c r="F299" s="163"/>
    </row>
    <row r="300">
      <c r="E300" s="163"/>
      <c r="F300" s="163"/>
    </row>
    <row r="301">
      <c r="E301" s="163"/>
      <c r="F301" s="163"/>
    </row>
    <row r="302">
      <c r="E302" s="163"/>
      <c r="F302" s="163"/>
    </row>
    <row r="303">
      <c r="E303" s="163"/>
      <c r="F303" s="163"/>
    </row>
    <row r="304">
      <c r="E304" s="163"/>
      <c r="F304" s="163"/>
    </row>
    <row r="305">
      <c r="E305" s="163"/>
      <c r="F305" s="163"/>
    </row>
    <row r="306">
      <c r="E306" s="163"/>
      <c r="F306" s="163"/>
    </row>
    <row r="307">
      <c r="E307" s="163"/>
      <c r="F307" s="163"/>
    </row>
    <row r="308">
      <c r="E308" s="163"/>
      <c r="F308" s="163"/>
    </row>
    <row r="309">
      <c r="E309" s="163"/>
      <c r="F309" s="163"/>
    </row>
    <row r="310">
      <c r="E310" s="163"/>
      <c r="F310" s="163"/>
    </row>
    <row r="311">
      <c r="E311" s="163"/>
      <c r="F311" s="163"/>
    </row>
    <row r="312">
      <c r="E312" s="163"/>
      <c r="F312" s="163"/>
    </row>
    <row r="313">
      <c r="E313" s="163"/>
      <c r="F313" s="163"/>
    </row>
    <row r="314">
      <c r="E314" s="163"/>
      <c r="F314" s="163"/>
    </row>
    <row r="315">
      <c r="E315" s="163"/>
      <c r="F315" s="163"/>
    </row>
    <row r="316">
      <c r="E316" s="163"/>
      <c r="F316" s="163"/>
    </row>
    <row r="317">
      <c r="E317" s="163"/>
      <c r="F317" s="163"/>
    </row>
    <row r="318">
      <c r="E318" s="163"/>
      <c r="F318" s="163"/>
    </row>
    <row r="319">
      <c r="E319" s="163"/>
      <c r="F319" s="163"/>
    </row>
    <row r="320">
      <c r="E320" s="163"/>
      <c r="F320" s="163"/>
    </row>
    <row r="321">
      <c r="E321" s="163"/>
      <c r="F321" s="163"/>
    </row>
    <row r="322">
      <c r="E322" s="163"/>
      <c r="F322" s="163"/>
    </row>
    <row r="323">
      <c r="E323" s="163"/>
      <c r="F323" s="163"/>
    </row>
    <row r="324">
      <c r="E324" s="163"/>
      <c r="F324" s="163"/>
    </row>
    <row r="325">
      <c r="E325" s="163"/>
      <c r="F325" s="163"/>
    </row>
    <row r="326">
      <c r="E326" s="163"/>
      <c r="F326" s="163"/>
    </row>
    <row r="327">
      <c r="E327" s="163"/>
      <c r="F327" s="163"/>
    </row>
    <row r="328">
      <c r="E328" s="163"/>
      <c r="F328" s="163"/>
    </row>
    <row r="329">
      <c r="E329" s="163"/>
      <c r="F329" s="163"/>
    </row>
    <row r="330">
      <c r="E330" s="163"/>
      <c r="F330" s="163"/>
    </row>
    <row r="331">
      <c r="E331" s="163"/>
      <c r="F331" s="163"/>
    </row>
    <row r="332">
      <c r="E332" s="163"/>
      <c r="F332" s="163"/>
    </row>
    <row r="333">
      <c r="E333" s="163"/>
      <c r="F333" s="163"/>
    </row>
    <row r="334">
      <c r="E334" s="163"/>
      <c r="F334" s="163"/>
    </row>
    <row r="335">
      <c r="E335" s="163"/>
      <c r="F335" s="163"/>
    </row>
    <row r="336">
      <c r="E336" s="163"/>
      <c r="F336" s="163"/>
    </row>
    <row r="337">
      <c r="E337" s="163"/>
      <c r="F337" s="163"/>
    </row>
    <row r="338">
      <c r="E338" s="163"/>
      <c r="F338" s="163"/>
    </row>
    <row r="339">
      <c r="E339" s="163"/>
      <c r="F339" s="163"/>
    </row>
    <row r="340">
      <c r="E340" s="163"/>
      <c r="F340" s="163"/>
    </row>
    <row r="341">
      <c r="E341" s="163"/>
      <c r="F341" s="163"/>
    </row>
    <row r="342">
      <c r="E342" s="163"/>
      <c r="F342" s="163"/>
    </row>
    <row r="343">
      <c r="E343" s="163"/>
      <c r="F343" s="163"/>
    </row>
    <row r="344">
      <c r="E344" s="163"/>
      <c r="F344" s="163"/>
    </row>
    <row r="345">
      <c r="E345" s="163"/>
      <c r="F345" s="163"/>
    </row>
    <row r="346">
      <c r="E346" s="163"/>
      <c r="F346" s="163"/>
    </row>
    <row r="347">
      <c r="E347" s="163"/>
      <c r="F347" s="163"/>
    </row>
    <row r="348">
      <c r="E348" s="163"/>
      <c r="F348" s="163"/>
    </row>
    <row r="349">
      <c r="E349" s="163"/>
      <c r="F349" s="163"/>
    </row>
    <row r="350">
      <c r="E350" s="163"/>
      <c r="F350" s="163"/>
    </row>
    <row r="351">
      <c r="E351" s="163"/>
      <c r="F351" s="163"/>
    </row>
    <row r="352">
      <c r="E352" s="163"/>
      <c r="F352" s="163"/>
    </row>
    <row r="353">
      <c r="E353" s="163"/>
      <c r="F353" s="163"/>
    </row>
    <row r="354">
      <c r="E354" s="163"/>
      <c r="F354" s="163"/>
    </row>
    <row r="355">
      <c r="E355" s="163"/>
      <c r="F355" s="163"/>
    </row>
    <row r="356">
      <c r="E356" s="163"/>
      <c r="F356" s="163"/>
    </row>
    <row r="357">
      <c r="E357" s="163"/>
      <c r="F357" s="163"/>
    </row>
    <row r="358">
      <c r="E358" s="163"/>
      <c r="F358" s="163"/>
    </row>
    <row r="359">
      <c r="E359" s="163"/>
      <c r="F359" s="163"/>
    </row>
    <row r="360">
      <c r="E360" s="163"/>
      <c r="F360" s="163"/>
    </row>
    <row r="361">
      <c r="E361" s="163"/>
      <c r="F361" s="163"/>
    </row>
    <row r="362">
      <c r="E362" s="163"/>
      <c r="F362" s="163"/>
    </row>
    <row r="363">
      <c r="E363" s="163"/>
      <c r="F363" s="163"/>
    </row>
    <row r="364">
      <c r="E364" s="163"/>
      <c r="F364" s="163"/>
    </row>
    <row r="365">
      <c r="E365" s="163"/>
      <c r="F365" s="163"/>
    </row>
    <row r="366">
      <c r="E366" s="163"/>
      <c r="F366" s="163"/>
    </row>
    <row r="367">
      <c r="E367" s="163"/>
      <c r="F367" s="163"/>
    </row>
    <row r="368">
      <c r="E368" s="163"/>
      <c r="F368" s="163"/>
    </row>
    <row r="369">
      <c r="E369" s="163"/>
      <c r="F369" s="163"/>
    </row>
    <row r="370">
      <c r="E370" s="163"/>
      <c r="F370" s="163"/>
    </row>
    <row r="371">
      <c r="E371" s="163"/>
      <c r="F371" s="163"/>
    </row>
    <row r="372">
      <c r="E372" s="163"/>
      <c r="F372" s="163"/>
    </row>
    <row r="373">
      <c r="E373" s="163"/>
      <c r="F373" s="163"/>
    </row>
    <row r="374">
      <c r="E374" s="163"/>
      <c r="F374" s="163"/>
    </row>
    <row r="375">
      <c r="E375" s="163"/>
      <c r="F375" s="163"/>
    </row>
    <row r="376">
      <c r="E376" s="163"/>
      <c r="F376" s="163"/>
    </row>
    <row r="377">
      <c r="E377" s="163"/>
      <c r="F377" s="163"/>
    </row>
    <row r="378">
      <c r="E378" s="163"/>
      <c r="F378" s="163"/>
    </row>
    <row r="379">
      <c r="E379" s="163"/>
      <c r="F379" s="163"/>
    </row>
    <row r="380">
      <c r="E380" s="163"/>
      <c r="F380" s="163"/>
    </row>
    <row r="381">
      <c r="E381" s="163"/>
      <c r="F381" s="163"/>
    </row>
    <row r="382">
      <c r="E382" s="163"/>
      <c r="F382" s="163"/>
    </row>
    <row r="383">
      <c r="E383" s="163"/>
      <c r="F383" s="163"/>
    </row>
    <row r="384">
      <c r="E384" s="163"/>
      <c r="F384" s="163"/>
    </row>
    <row r="385">
      <c r="E385" s="163"/>
      <c r="F385" s="163"/>
    </row>
    <row r="386">
      <c r="E386" s="163"/>
      <c r="F386" s="163"/>
    </row>
    <row r="387">
      <c r="E387" s="163"/>
      <c r="F387" s="163"/>
    </row>
    <row r="388">
      <c r="E388" s="163"/>
      <c r="F388" s="163"/>
    </row>
    <row r="389">
      <c r="E389" s="163"/>
      <c r="F389" s="163"/>
    </row>
    <row r="390">
      <c r="E390" s="163"/>
      <c r="F390" s="163"/>
    </row>
    <row r="391">
      <c r="E391" s="163"/>
      <c r="F391" s="163"/>
    </row>
    <row r="392">
      <c r="E392" s="163"/>
      <c r="F392" s="163"/>
    </row>
    <row r="393">
      <c r="E393" s="163"/>
      <c r="F393" s="163"/>
    </row>
    <row r="394">
      <c r="E394" s="163"/>
      <c r="F394" s="163"/>
    </row>
    <row r="395">
      <c r="E395" s="163"/>
      <c r="F395" s="163"/>
    </row>
    <row r="396">
      <c r="E396" s="163"/>
      <c r="F396" s="163"/>
    </row>
    <row r="397">
      <c r="E397" s="163"/>
      <c r="F397" s="163"/>
    </row>
    <row r="398">
      <c r="E398" s="163"/>
      <c r="F398" s="163"/>
    </row>
    <row r="399">
      <c r="E399" s="163"/>
      <c r="F399" s="163"/>
    </row>
    <row r="400">
      <c r="E400" s="163"/>
      <c r="F400" s="163"/>
    </row>
    <row r="401">
      <c r="E401" s="163"/>
      <c r="F401" s="163"/>
    </row>
    <row r="402">
      <c r="E402" s="163"/>
      <c r="F402" s="163"/>
    </row>
    <row r="403">
      <c r="E403" s="163"/>
      <c r="F403" s="163"/>
    </row>
    <row r="404">
      <c r="E404" s="163"/>
      <c r="F404" s="163"/>
    </row>
    <row r="405">
      <c r="E405" s="163"/>
      <c r="F405" s="163"/>
    </row>
    <row r="406">
      <c r="E406" s="163"/>
      <c r="F406" s="163"/>
    </row>
    <row r="407">
      <c r="E407" s="163"/>
      <c r="F407" s="163"/>
    </row>
    <row r="408">
      <c r="E408" s="163"/>
      <c r="F408" s="163"/>
    </row>
    <row r="409">
      <c r="E409" s="163"/>
      <c r="F409" s="163"/>
    </row>
    <row r="410">
      <c r="E410" s="163"/>
      <c r="F410" s="163"/>
    </row>
    <row r="411">
      <c r="E411" s="163"/>
      <c r="F411" s="163"/>
    </row>
    <row r="412">
      <c r="E412" s="163"/>
      <c r="F412" s="163"/>
    </row>
    <row r="413">
      <c r="E413" s="163"/>
      <c r="F413" s="163"/>
    </row>
    <row r="414">
      <c r="E414" s="163"/>
      <c r="F414" s="163"/>
    </row>
    <row r="415">
      <c r="E415" s="163"/>
      <c r="F415" s="163"/>
    </row>
    <row r="416">
      <c r="E416" s="163"/>
      <c r="F416" s="163"/>
    </row>
    <row r="417">
      <c r="E417" s="163"/>
      <c r="F417" s="163"/>
    </row>
    <row r="418">
      <c r="E418" s="163"/>
      <c r="F418" s="163"/>
    </row>
    <row r="419">
      <c r="E419" s="163"/>
      <c r="F419" s="163"/>
    </row>
    <row r="420">
      <c r="E420" s="163"/>
      <c r="F420" s="163"/>
    </row>
    <row r="421">
      <c r="E421" s="163"/>
      <c r="F421" s="163"/>
    </row>
    <row r="422">
      <c r="E422" s="163"/>
      <c r="F422" s="163"/>
    </row>
    <row r="423">
      <c r="E423" s="163"/>
      <c r="F423" s="163"/>
    </row>
    <row r="424">
      <c r="E424" s="163"/>
      <c r="F424" s="163"/>
    </row>
    <row r="425">
      <c r="E425" s="163"/>
      <c r="F425" s="163"/>
    </row>
    <row r="426">
      <c r="E426" s="163"/>
      <c r="F426" s="163"/>
    </row>
    <row r="427">
      <c r="E427" s="163"/>
      <c r="F427" s="163"/>
    </row>
    <row r="428">
      <c r="E428" s="163"/>
      <c r="F428" s="163"/>
    </row>
    <row r="429">
      <c r="E429" s="163"/>
      <c r="F429" s="163"/>
    </row>
    <row r="430">
      <c r="E430" s="163"/>
      <c r="F430" s="163"/>
    </row>
    <row r="431">
      <c r="E431" s="163"/>
      <c r="F431" s="163"/>
    </row>
    <row r="432">
      <c r="E432" s="163"/>
      <c r="F432" s="163"/>
    </row>
    <row r="433">
      <c r="E433" s="163"/>
      <c r="F433" s="163"/>
    </row>
    <row r="434">
      <c r="E434" s="163"/>
      <c r="F434" s="163"/>
    </row>
    <row r="435">
      <c r="E435" s="163"/>
      <c r="F435" s="163"/>
    </row>
    <row r="436">
      <c r="E436" s="163"/>
      <c r="F436" s="163"/>
    </row>
    <row r="437">
      <c r="E437" s="163"/>
      <c r="F437" s="163"/>
    </row>
    <row r="438">
      <c r="E438" s="163"/>
      <c r="F438" s="163"/>
    </row>
    <row r="439">
      <c r="E439" s="163"/>
      <c r="F439" s="163"/>
    </row>
    <row r="440">
      <c r="E440" s="163"/>
      <c r="F440" s="163"/>
    </row>
    <row r="441">
      <c r="E441" s="163"/>
      <c r="F441" s="163"/>
    </row>
    <row r="442">
      <c r="E442" s="163"/>
      <c r="F442" s="163"/>
    </row>
    <row r="443">
      <c r="E443" s="163"/>
      <c r="F443" s="163"/>
    </row>
    <row r="444">
      <c r="E444" s="163"/>
      <c r="F444" s="163"/>
    </row>
    <row r="445">
      <c r="E445" s="163"/>
      <c r="F445" s="163"/>
    </row>
    <row r="446">
      <c r="E446" s="163"/>
      <c r="F446" s="163"/>
    </row>
    <row r="447">
      <c r="E447" s="163"/>
      <c r="F447" s="163"/>
    </row>
    <row r="448">
      <c r="E448" s="163"/>
      <c r="F448" s="163"/>
    </row>
    <row r="449">
      <c r="E449" s="163"/>
      <c r="F449" s="163"/>
    </row>
    <row r="450">
      <c r="E450" s="163"/>
      <c r="F450" s="163"/>
    </row>
    <row r="451">
      <c r="E451" s="163"/>
      <c r="F451" s="163"/>
    </row>
    <row r="452">
      <c r="E452" s="163"/>
      <c r="F452" s="163"/>
    </row>
    <row r="453">
      <c r="E453" s="163"/>
      <c r="F453" s="163"/>
    </row>
    <row r="454">
      <c r="E454" s="163"/>
      <c r="F454" s="163"/>
    </row>
    <row r="455">
      <c r="E455" s="163"/>
      <c r="F455" s="163"/>
    </row>
    <row r="456">
      <c r="E456" s="163"/>
      <c r="F456" s="163"/>
    </row>
    <row r="457">
      <c r="E457" s="163"/>
      <c r="F457" s="163"/>
    </row>
    <row r="458">
      <c r="E458" s="163"/>
      <c r="F458" s="163"/>
    </row>
    <row r="459">
      <c r="E459" s="163"/>
      <c r="F459" s="163"/>
    </row>
    <row r="460">
      <c r="E460" s="163"/>
      <c r="F460" s="163"/>
    </row>
    <row r="461">
      <c r="E461" s="163"/>
      <c r="F461" s="163"/>
    </row>
    <row r="462">
      <c r="E462" s="163"/>
      <c r="F462" s="163"/>
    </row>
    <row r="463">
      <c r="E463" s="163"/>
      <c r="F463" s="163"/>
    </row>
    <row r="464">
      <c r="E464" s="163"/>
      <c r="F464" s="163"/>
    </row>
    <row r="465">
      <c r="E465" s="163"/>
      <c r="F465" s="163"/>
    </row>
    <row r="466">
      <c r="E466" s="163"/>
      <c r="F466" s="163"/>
    </row>
    <row r="467">
      <c r="E467" s="163"/>
      <c r="F467" s="163"/>
    </row>
    <row r="468">
      <c r="E468" s="163"/>
      <c r="F468" s="163"/>
    </row>
    <row r="469">
      <c r="E469" s="163"/>
      <c r="F469" s="163"/>
    </row>
    <row r="470">
      <c r="E470" s="163"/>
      <c r="F470" s="163"/>
    </row>
    <row r="471">
      <c r="E471" s="163"/>
      <c r="F471" s="163"/>
    </row>
    <row r="472">
      <c r="E472" s="163"/>
      <c r="F472" s="163"/>
    </row>
    <row r="473">
      <c r="E473" s="163"/>
      <c r="F473" s="163"/>
    </row>
    <row r="474">
      <c r="E474" s="163"/>
      <c r="F474" s="163"/>
    </row>
    <row r="475">
      <c r="E475" s="163"/>
      <c r="F475" s="163"/>
    </row>
    <row r="476">
      <c r="E476" s="163"/>
      <c r="F476" s="163"/>
    </row>
    <row r="477">
      <c r="E477" s="163"/>
      <c r="F477" s="163"/>
    </row>
    <row r="478">
      <c r="E478" s="163"/>
      <c r="F478" s="163"/>
    </row>
    <row r="479">
      <c r="E479" s="163"/>
      <c r="F479" s="163"/>
    </row>
    <row r="480">
      <c r="E480" s="163"/>
      <c r="F480" s="163"/>
    </row>
    <row r="481">
      <c r="E481" s="163"/>
      <c r="F481" s="163"/>
    </row>
    <row r="482">
      <c r="E482" s="163"/>
      <c r="F482" s="163"/>
    </row>
    <row r="483">
      <c r="E483" s="163"/>
      <c r="F483" s="163"/>
    </row>
    <row r="484">
      <c r="E484" s="163"/>
      <c r="F484" s="163"/>
    </row>
    <row r="485">
      <c r="E485" s="163"/>
      <c r="F485" s="163"/>
    </row>
    <row r="486">
      <c r="E486" s="163"/>
      <c r="F486" s="163"/>
    </row>
    <row r="487">
      <c r="E487" s="163"/>
      <c r="F487" s="163"/>
    </row>
    <row r="488">
      <c r="E488" s="163"/>
      <c r="F488" s="163"/>
    </row>
    <row r="489">
      <c r="E489" s="163"/>
      <c r="F489" s="163"/>
    </row>
    <row r="490">
      <c r="E490" s="163"/>
      <c r="F490" s="163"/>
    </row>
    <row r="491">
      <c r="E491" s="163"/>
      <c r="F491" s="163"/>
    </row>
    <row r="492">
      <c r="E492" s="163"/>
      <c r="F492" s="163"/>
    </row>
    <row r="493">
      <c r="E493" s="163"/>
      <c r="F493" s="163"/>
    </row>
    <row r="494">
      <c r="E494" s="163"/>
      <c r="F494" s="163"/>
    </row>
    <row r="495">
      <c r="E495" s="163"/>
      <c r="F495" s="163"/>
    </row>
    <row r="496">
      <c r="E496" s="163"/>
      <c r="F496" s="163"/>
    </row>
    <row r="497">
      <c r="E497" s="163"/>
      <c r="F497" s="163"/>
    </row>
    <row r="498">
      <c r="E498" s="163"/>
      <c r="F498" s="163"/>
    </row>
    <row r="499">
      <c r="E499" s="163"/>
      <c r="F499" s="163"/>
    </row>
    <row r="500">
      <c r="E500" s="163"/>
      <c r="F500" s="163"/>
    </row>
    <row r="501">
      <c r="E501" s="163"/>
      <c r="F501" s="163"/>
    </row>
    <row r="502">
      <c r="E502" s="163"/>
      <c r="F502" s="163"/>
    </row>
    <row r="503">
      <c r="E503" s="163"/>
      <c r="F503" s="163"/>
    </row>
    <row r="504">
      <c r="E504" s="163"/>
      <c r="F504" s="163"/>
    </row>
    <row r="505">
      <c r="E505" s="163"/>
      <c r="F505" s="163"/>
    </row>
    <row r="506">
      <c r="E506" s="163"/>
      <c r="F506" s="163"/>
    </row>
    <row r="507">
      <c r="E507" s="163"/>
      <c r="F507" s="163"/>
    </row>
    <row r="508">
      <c r="E508" s="163"/>
      <c r="F508" s="163"/>
    </row>
    <row r="509">
      <c r="E509" s="163"/>
      <c r="F509" s="163"/>
    </row>
    <row r="510">
      <c r="E510" s="163"/>
      <c r="F510" s="163"/>
    </row>
    <row r="511">
      <c r="E511" s="163"/>
      <c r="F511" s="163"/>
    </row>
    <row r="512">
      <c r="E512" s="163"/>
      <c r="F512" s="163"/>
    </row>
    <row r="513">
      <c r="E513" s="163"/>
      <c r="F513" s="163"/>
    </row>
    <row r="514">
      <c r="E514" s="163"/>
      <c r="F514" s="163"/>
    </row>
    <row r="515">
      <c r="E515" s="163"/>
      <c r="F515" s="163"/>
    </row>
    <row r="516">
      <c r="E516" s="163"/>
      <c r="F516" s="163"/>
    </row>
    <row r="517">
      <c r="E517" s="163"/>
      <c r="F517" s="163"/>
    </row>
    <row r="518">
      <c r="E518" s="163"/>
      <c r="F518" s="163"/>
    </row>
    <row r="519">
      <c r="E519" s="163"/>
      <c r="F519" s="163"/>
    </row>
    <row r="520">
      <c r="E520" s="163"/>
      <c r="F520" s="163"/>
    </row>
    <row r="521">
      <c r="E521" s="163"/>
      <c r="F521" s="163"/>
    </row>
    <row r="522">
      <c r="E522" s="163"/>
      <c r="F522" s="163"/>
    </row>
    <row r="523">
      <c r="E523" s="163"/>
      <c r="F523" s="163"/>
    </row>
    <row r="524">
      <c r="E524" s="163"/>
      <c r="F524" s="163"/>
    </row>
    <row r="525">
      <c r="E525" s="163"/>
      <c r="F525" s="163"/>
    </row>
    <row r="526">
      <c r="E526" s="163"/>
      <c r="F526" s="163"/>
    </row>
    <row r="527">
      <c r="E527" s="163"/>
      <c r="F527" s="163"/>
    </row>
    <row r="528">
      <c r="E528" s="163"/>
      <c r="F528" s="163"/>
    </row>
    <row r="529">
      <c r="E529" s="163"/>
      <c r="F529" s="163"/>
    </row>
    <row r="530">
      <c r="E530" s="163"/>
      <c r="F530" s="163"/>
    </row>
    <row r="531">
      <c r="E531" s="163"/>
      <c r="F531" s="163"/>
    </row>
    <row r="532">
      <c r="E532" s="163"/>
      <c r="F532" s="163"/>
    </row>
    <row r="533">
      <c r="E533" s="163"/>
      <c r="F533" s="163"/>
    </row>
    <row r="534">
      <c r="E534" s="163"/>
      <c r="F534" s="163"/>
    </row>
    <row r="535">
      <c r="E535" s="163"/>
      <c r="F535" s="163"/>
    </row>
    <row r="536">
      <c r="E536" s="163"/>
      <c r="F536" s="163"/>
    </row>
    <row r="537">
      <c r="E537" s="163"/>
      <c r="F537" s="163"/>
    </row>
    <row r="538">
      <c r="E538" s="163"/>
      <c r="F538" s="163"/>
    </row>
    <row r="539">
      <c r="E539" s="163"/>
      <c r="F539" s="163"/>
    </row>
    <row r="540">
      <c r="E540" s="163"/>
      <c r="F540" s="163"/>
    </row>
    <row r="541">
      <c r="E541" s="163"/>
      <c r="F541" s="163"/>
    </row>
    <row r="542">
      <c r="E542" s="163"/>
      <c r="F542" s="163"/>
    </row>
    <row r="543">
      <c r="E543" s="163"/>
      <c r="F543" s="163"/>
    </row>
    <row r="544">
      <c r="E544" s="163"/>
      <c r="F544" s="163"/>
    </row>
    <row r="545">
      <c r="E545" s="163"/>
      <c r="F545" s="163"/>
    </row>
    <row r="546">
      <c r="E546" s="163"/>
      <c r="F546" s="163"/>
    </row>
    <row r="547">
      <c r="E547" s="163"/>
      <c r="F547" s="163"/>
    </row>
    <row r="548">
      <c r="E548" s="163"/>
      <c r="F548" s="163"/>
    </row>
    <row r="549">
      <c r="E549" s="163"/>
      <c r="F549" s="163"/>
    </row>
    <row r="550">
      <c r="E550" s="163"/>
      <c r="F550" s="163"/>
    </row>
    <row r="551">
      <c r="E551" s="163"/>
      <c r="F551" s="163"/>
    </row>
    <row r="552">
      <c r="E552" s="163"/>
      <c r="F552" s="163"/>
    </row>
    <row r="553">
      <c r="E553" s="163"/>
      <c r="F553" s="163"/>
    </row>
    <row r="554">
      <c r="E554" s="163"/>
      <c r="F554" s="163"/>
    </row>
    <row r="555">
      <c r="E555" s="163"/>
      <c r="F555" s="163"/>
    </row>
    <row r="556">
      <c r="E556" s="163"/>
      <c r="F556" s="163"/>
    </row>
    <row r="557">
      <c r="E557" s="163"/>
      <c r="F557" s="163"/>
    </row>
    <row r="558">
      <c r="E558" s="163"/>
      <c r="F558" s="163"/>
    </row>
    <row r="559">
      <c r="E559" s="163"/>
      <c r="F559" s="163"/>
    </row>
    <row r="560">
      <c r="E560" s="163"/>
      <c r="F560" s="163"/>
    </row>
    <row r="561">
      <c r="E561" s="163"/>
      <c r="F561" s="163"/>
    </row>
    <row r="562">
      <c r="E562" s="163"/>
      <c r="F562" s="163"/>
    </row>
    <row r="563">
      <c r="E563" s="163"/>
      <c r="F563" s="163"/>
    </row>
    <row r="564">
      <c r="E564" s="163"/>
      <c r="F564" s="163"/>
    </row>
    <row r="565">
      <c r="E565" s="163"/>
      <c r="F565" s="163"/>
    </row>
    <row r="566">
      <c r="E566" s="163"/>
      <c r="F566" s="163"/>
    </row>
    <row r="567">
      <c r="E567" s="163"/>
      <c r="F567" s="163"/>
    </row>
    <row r="568">
      <c r="E568" s="163"/>
      <c r="F568" s="163"/>
    </row>
    <row r="569">
      <c r="E569" s="163"/>
      <c r="F569" s="163"/>
    </row>
    <row r="570">
      <c r="E570" s="163"/>
      <c r="F570" s="163"/>
    </row>
    <row r="571">
      <c r="E571" s="163"/>
      <c r="F571" s="163"/>
    </row>
    <row r="572">
      <c r="E572" s="163"/>
      <c r="F572" s="163"/>
    </row>
    <row r="573">
      <c r="E573" s="163"/>
      <c r="F573" s="163"/>
    </row>
    <row r="574">
      <c r="E574" s="163"/>
      <c r="F574" s="163"/>
    </row>
    <row r="575">
      <c r="E575" s="163"/>
      <c r="F575" s="163"/>
    </row>
    <row r="576">
      <c r="E576" s="163"/>
      <c r="F576" s="163"/>
    </row>
    <row r="577">
      <c r="E577" s="163"/>
      <c r="F577" s="163"/>
    </row>
    <row r="578">
      <c r="E578" s="163"/>
      <c r="F578" s="163"/>
    </row>
    <row r="579">
      <c r="E579" s="163"/>
      <c r="F579" s="163"/>
    </row>
    <row r="580">
      <c r="E580" s="163"/>
      <c r="F580" s="163"/>
    </row>
    <row r="581">
      <c r="E581" s="163"/>
      <c r="F581" s="163"/>
    </row>
    <row r="582">
      <c r="E582" s="163"/>
      <c r="F582" s="163"/>
    </row>
    <row r="583">
      <c r="E583" s="163"/>
      <c r="F583" s="163"/>
    </row>
    <row r="584">
      <c r="E584" s="163"/>
      <c r="F584" s="163"/>
    </row>
    <row r="585">
      <c r="E585" s="163"/>
      <c r="F585" s="163"/>
    </row>
    <row r="586">
      <c r="E586" s="163"/>
      <c r="F586" s="163"/>
    </row>
    <row r="587">
      <c r="E587" s="163"/>
      <c r="F587" s="163"/>
    </row>
    <row r="588">
      <c r="E588" s="163"/>
      <c r="F588" s="163"/>
    </row>
    <row r="589">
      <c r="E589" s="163"/>
      <c r="F589" s="163"/>
    </row>
    <row r="590">
      <c r="E590" s="163"/>
      <c r="F590" s="163"/>
    </row>
    <row r="591">
      <c r="E591" s="163"/>
      <c r="F591" s="163"/>
    </row>
    <row r="592">
      <c r="E592" s="163"/>
      <c r="F592" s="163"/>
    </row>
    <row r="593">
      <c r="E593" s="163"/>
      <c r="F593" s="163"/>
    </row>
    <row r="594">
      <c r="E594" s="163"/>
      <c r="F594" s="163"/>
    </row>
    <row r="595">
      <c r="E595" s="163"/>
      <c r="F595" s="163"/>
    </row>
    <row r="596">
      <c r="E596" s="163"/>
      <c r="F596" s="163"/>
    </row>
    <row r="597">
      <c r="E597" s="163"/>
      <c r="F597" s="163"/>
    </row>
    <row r="598">
      <c r="E598" s="163"/>
      <c r="F598" s="163"/>
    </row>
    <row r="599">
      <c r="E599" s="163"/>
      <c r="F599" s="163"/>
    </row>
    <row r="600">
      <c r="E600" s="163"/>
      <c r="F600" s="163"/>
    </row>
    <row r="601">
      <c r="E601" s="163"/>
      <c r="F601" s="163"/>
    </row>
    <row r="602">
      <c r="E602" s="163"/>
      <c r="F602" s="163"/>
    </row>
    <row r="603">
      <c r="E603" s="163"/>
      <c r="F603" s="163"/>
    </row>
    <row r="604">
      <c r="E604" s="163"/>
      <c r="F604" s="163"/>
    </row>
    <row r="605">
      <c r="E605" s="163"/>
      <c r="F605" s="163"/>
    </row>
    <row r="606">
      <c r="E606" s="163"/>
      <c r="F606" s="163"/>
    </row>
    <row r="607">
      <c r="E607" s="163"/>
      <c r="F607" s="163"/>
    </row>
    <row r="608">
      <c r="E608" s="163"/>
      <c r="F608" s="163"/>
    </row>
    <row r="609">
      <c r="E609" s="163"/>
      <c r="F609" s="163"/>
    </row>
    <row r="610">
      <c r="E610" s="163"/>
      <c r="F610" s="163"/>
    </row>
    <row r="611">
      <c r="E611" s="163"/>
      <c r="F611" s="163"/>
    </row>
    <row r="612">
      <c r="E612" s="163"/>
      <c r="F612" s="163"/>
    </row>
    <row r="613">
      <c r="E613" s="163"/>
      <c r="F613" s="163"/>
    </row>
    <row r="614">
      <c r="E614" s="163"/>
      <c r="F614" s="163"/>
    </row>
    <row r="615">
      <c r="E615" s="163"/>
      <c r="F615" s="163"/>
    </row>
    <row r="616">
      <c r="E616" s="163"/>
      <c r="F616" s="163"/>
    </row>
    <row r="617">
      <c r="E617" s="163"/>
      <c r="F617" s="163"/>
    </row>
    <row r="618">
      <c r="E618" s="163"/>
      <c r="F618" s="163"/>
    </row>
    <row r="619">
      <c r="E619" s="163"/>
      <c r="F619" s="163"/>
    </row>
    <row r="620">
      <c r="E620" s="163"/>
      <c r="F620" s="163"/>
    </row>
    <row r="621">
      <c r="E621" s="163"/>
      <c r="F621" s="163"/>
    </row>
    <row r="622">
      <c r="E622" s="163"/>
      <c r="F622" s="163"/>
    </row>
    <row r="623">
      <c r="E623" s="163"/>
      <c r="F623" s="163"/>
    </row>
    <row r="624">
      <c r="E624" s="163"/>
      <c r="F624" s="163"/>
    </row>
    <row r="625">
      <c r="E625" s="163"/>
      <c r="F625" s="163"/>
    </row>
    <row r="626">
      <c r="E626" s="163"/>
      <c r="F626" s="163"/>
    </row>
    <row r="627">
      <c r="E627" s="163"/>
      <c r="F627" s="163"/>
    </row>
    <row r="628">
      <c r="E628" s="163"/>
      <c r="F628" s="163"/>
    </row>
    <row r="629">
      <c r="E629" s="163"/>
      <c r="F629" s="163"/>
    </row>
    <row r="630">
      <c r="E630" s="163"/>
      <c r="F630" s="163"/>
    </row>
    <row r="631">
      <c r="E631" s="163"/>
      <c r="F631" s="163"/>
    </row>
    <row r="632">
      <c r="E632" s="163"/>
      <c r="F632" s="163"/>
    </row>
    <row r="633">
      <c r="E633" s="163"/>
      <c r="F633" s="163"/>
    </row>
    <row r="634">
      <c r="E634" s="163"/>
      <c r="F634" s="163"/>
    </row>
    <row r="635">
      <c r="E635" s="163"/>
      <c r="F635" s="163"/>
    </row>
    <row r="636">
      <c r="E636" s="163"/>
      <c r="F636" s="163"/>
    </row>
    <row r="637">
      <c r="E637" s="163"/>
      <c r="F637" s="163"/>
    </row>
    <row r="638">
      <c r="E638" s="163"/>
      <c r="F638" s="163"/>
    </row>
    <row r="639">
      <c r="E639" s="163"/>
      <c r="F639" s="163"/>
    </row>
    <row r="640">
      <c r="E640" s="163"/>
      <c r="F640" s="163"/>
    </row>
    <row r="641">
      <c r="E641" s="163"/>
      <c r="F641" s="163"/>
    </row>
    <row r="642">
      <c r="E642" s="163"/>
      <c r="F642" s="163"/>
    </row>
    <row r="643">
      <c r="E643" s="163"/>
      <c r="F643" s="163"/>
    </row>
    <row r="644">
      <c r="E644" s="163"/>
      <c r="F644" s="163"/>
    </row>
    <row r="645">
      <c r="E645" s="163"/>
      <c r="F645" s="163"/>
    </row>
    <row r="646">
      <c r="E646" s="163"/>
      <c r="F646" s="163"/>
    </row>
    <row r="647">
      <c r="E647" s="163"/>
      <c r="F647" s="163"/>
    </row>
    <row r="648">
      <c r="E648" s="163"/>
      <c r="F648" s="163"/>
    </row>
    <row r="649">
      <c r="E649" s="163"/>
      <c r="F649" s="163"/>
    </row>
    <row r="650">
      <c r="E650" s="163"/>
      <c r="F650" s="163"/>
    </row>
    <row r="651">
      <c r="E651" s="163"/>
      <c r="F651" s="163"/>
    </row>
    <row r="652">
      <c r="E652" s="163"/>
      <c r="F652" s="163"/>
    </row>
    <row r="653">
      <c r="E653" s="163"/>
      <c r="F653" s="163"/>
    </row>
    <row r="654">
      <c r="E654" s="163"/>
      <c r="F654" s="163"/>
    </row>
    <row r="655">
      <c r="E655" s="163"/>
      <c r="F655" s="163"/>
    </row>
    <row r="656">
      <c r="E656" s="163"/>
      <c r="F656" s="163"/>
    </row>
    <row r="657">
      <c r="E657" s="163"/>
      <c r="F657" s="163"/>
    </row>
    <row r="658">
      <c r="E658" s="163"/>
      <c r="F658" s="163"/>
    </row>
    <row r="659">
      <c r="E659" s="163"/>
      <c r="F659" s="163"/>
    </row>
    <row r="660">
      <c r="E660" s="163"/>
      <c r="F660" s="163"/>
    </row>
    <row r="661">
      <c r="E661" s="163"/>
      <c r="F661" s="163"/>
    </row>
    <row r="662">
      <c r="E662" s="163"/>
      <c r="F662" s="163"/>
    </row>
    <row r="663">
      <c r="E663" s="163"/>
      <c r="F663" s="163"/>
    </row>
    <row r="664">
      <c r="E664" s="163"/>
      <c r="F664" s="163"/>
    </row>
    <row r="665">
      <c r="E665" s="163"/>
      <c r="F665" s="163"/>
    </row>
    <row r="666">
      <c r="E666" s="163"/>
      <c r="F666" s="163"/>
    </row>
    <row r="667">
      <c r="E667" s="163"/>
      <c r="F667" s="163"/>
    </row>
    <row r="668">
      <c r="E668" s="163"/>
      <c r="F668" s="163"/>
    </row>
    <row r="669">
      <c r="E669" s="163"/>
      <c r="F669" s="163"/>
    </row>
    <row r="670">
      <c r="E670" s="163"/>
      <c r="F670" s="163"/>
    </row>
    <row r="671">
      <c r="E671" s="163"/>
      <c r="F671" s="163"/>
    </row>
    <row r="672">
      <c r="E672" s="163"/>
      <c r="F672" s="163"/>
    </row>
    <row r="673">
      <c r="E673" s="163"/>
      <c r="F673" s="163"/>
    </row>
    <row r="674">
      <c r="E674" s="163"/>
      <c r="F674" s="163"/>
    </row>
    <row r="675">
      <c r="E675" s="163"/>
      <c r="F675" s="163"/>
    </row>
    <row r="676">
      <c r="E676" s="163"/>
      <c r="F676" s="163"/>
    </row>
    <row r="677">
      <c r="E677" s="163"/>
      <c r="F677" s="163"/>
    </row>
    <row r="678">
      <c r="E678" s="163"/>
      <c r="F678" s="163"/>
    </row>
    <row r="679">
      <c r="E679" s="163"/>
      <c r="F679" s="163"/>
    </row>
    <row r="680">
      <c r="E680" s="163"/>
      <c r="F680" s="163"/>
    </row>
    <row r="681">
      <c r="E681" s="163"/>
      <c r="F681" s="163"/>
    </row>
    <row r="682">
      <c r="E682" s="163"/>
      <c r="F682" s="163"/>
    </row>
    <row r="683">
      <c r="E683" s="163"/>
      <c r="F683" s="163"/>
    </row>
    <row r="684">
      <c r="E684" s="163"/>
      <c r="F684" s="163"/>
    </row>
    <row r="685">
      <c r="E685" s="163"/>
      <c r="F685" s="163"/>
    </row>
    <row r="686">
      <c r="E686" s="163"/>
      <c r="F686" s="163"/>
    </row>
    <row r="687">
      <c r="E687" s="163"/>
      <c r="F687" s="163"/>
    </row>
    <row r="688">
      <c r="E688" s="163"/>
      <c r="F688" s="163"/>
    </row>
    <row r="689">
      <c r="E689" s="163"/>
      <c r="F689" s="163"/>
    </row>
    <row r="690">
      <c r="E690" s="163"/>
      <c r="F690" s="163"/>
    </row>
    <row r="691">
      <c r="E691" s="163"/>
      <c r="F691" s="163"/>
    </row>
    <row r="692">
      <c r="E692" s="163"/>
      <c r="F692" s="163"/>
    </row>
    <row r="693">
      <c r="E693" s="163"/>
      <c r="F693" s="163"/>
    </row>
    <row r="694">
      <c r="E694" s="163"/>
      <c r="F694" s="163"/>
    </row>
    <row r="695">
      <c r="E695" s="163"/>
      <c r="F695" s="163"/>
    </row>
    <row r="696">
      <c r="E696" s="163"/>
      <c r="F696" s="163"/>
    </row>
    <row r="697">
      <c r="E697" s="163"/>
      <c r="F697" s="163"/>
    </row>
    <row r="698">
      <c r="E698" s="163"/>
      <c r="F698" s="163"/>
    </row>
    <row r="699">
      <c r="E699" s="163"/>
      <c r="F699" s="163"/>
    </row>
    <row r="700">
      <c r="E700" s="163"/>
      <c r="F700" s="163"/>
    </row>
    <row r="701">
      <c r="E701" s="163"/>
      <c r="F701" s="163"/>
    </row>
    <row r="702">
      <c r="E702" s="163"/>
      <c r="F702" s="163"/>
    </row>
    <row r="703">
      <c r="E703" s="163"/>
      <c r="F703" s="163"/>
    </row>
    <row r="704">
      <c r="E704" s="163"/>
      <c r="F704" s="163"/>
    </row>
    <row r="705">
      <c r="E705" s="163"/>
      <c r="F705" s="163"/>
    </row>
    <row r="706">
      <c r="E706" s="163"/>
      <c r="F706" s="163"/>
    </row>
    <row r="707">
      <c r="E707" s="163"/>
      <c r="F707" s="163"/>
    </row>
    <row r="708">
      <c r="E708" s="163"/>
      <c r="F708" s="163"/>
    </row>
    <row r="709">
      <c r="E709" s="163"/>
      <c r="F709" s="163"/>
    </row>
    <row r="710">
      <c r="E710" s="163"/>
      <c r="F710" s="163"/>
    </row>
    <row r="711">
      <c r="E711" s="163"/>
      <c r="F711" s="163"/>
    </row>
    <row r="712">
      <c r="E712" s="163"/>
      <c r="F712" s="163"/>
    </row>
    <row r="713">
      <c r="E713" s="163"/>
      <c r="F713" s="163"/>
    </row>
    <row r="714">
      <c r="E714" s="163"/>
      <c r="F714" s="163"/>
    </row>
    <row r="715">
      <c r="E715" s="163"/>
      <c r="F715" s="163"/>
    </row>
    <row r="716">
      <c r="E716" s="163"/>
      <c r="F716" s="163"/>
    </row>
    <row r="717">
      <c r="E717" s="163"/>
      <c r="F717" s="163"/>
    </row>
    <row r="718">
      <c r="E718" s="163"/>
      <c r="F718" s="163"/>
    </row>
    <row r="719">
      <c r="E719" s="163"/>
      <c r="F719" s="163"/>
    </row>
    <row r="720">
      <c r="E720" s="163"/>
      <c r="F720" s="163"/>
    </row>
    <row r="721">
      <c r="E721" s="163"/>
      <c r="F721" s="163"/>
    </row>
    <row r="722">
      <c r="E722" s="163"/>
      <c r="F722" s="163"/>
    </row>
    <row r="723">
      <c r="E723" s="163"/>
      <c r="F723" s="163"/>
    </row>
    <row r="724">
      <c r="E724" s="163"/>
      <c r="F724" s="163"/>
    </row>
    <row r="725">
      <c r="E725" s="163"/>
      <c r="F725" s="163"/>
    </row>
    <row r="726">
      <c r="E726" s="163"/>
      <c r="F726" s="163"/>
    </row>
    <row r="727">
      <c r="E727" s="163"/>
      <c r="F727" s="163"/>
    </row>
    <row r="728">
      <c r="E728" s="163"/>
      <c r="F728" s="163"/>
    </row>
    <row r="729">
      <c r="E729" s="163"/>
      <c r="F729" s="163"/>
    </row>
    <row r="730">
      <c r="E730" s="163"/>
      <c r="F730" s="163"/>
    </row>
    <row r="731">
      <c r="E731" s="163"/>
      <c r="F731" s="163"/>
    </row>
    <row r="732">
      <c r="E732" s="163"/>
      <c r="F732" s="163"/>
    </row>
    <row r="733">
      <c r="E733" s="163"/>
      <c r="F733" s="163"/>
    </row>
    <row r="734">
      <c r="E734" s="163"/>
      <c r="F734" s="163"/>
    </row>
    <row r="735">
      <c r="E735" s="163"/>
      <c r="F735" s="163"/>
    </row>
    <row r="736">
      <c r="E736" s="163"/>
      <c r="F736" s="163"/>
    </row>
    <row r="737">
      <c r="E737" s="163"/>
      <c r="F737" s="163"/>
    </row>
    <row r="738">
      <c r="E738" s="163"/>
      <c r="F738" s="163"/>
    </row>
    <row r="739">
      <c r="E739" s="163"/>
      <c r="F739" s="163"/>
    </row>
    <row r="740">
      <c r="E740" s="163"/>
      <c r="F740" s="163"/>
    </row>
    <row r="741">
      <c r="E741" s="163"/>
      <c r="F741" s="163"/>
    </row>
    <row r="742">
      <c r="E742" s="163"/>
      <c r="F742" s="163"/>
    </row>
    <row r="743">
      <c r="E743" s="163"/>
      <c r="F743" s="163"/>
    </row>
    <row r="744">
      <c r="E744" s="163"/>
      <c r="F744" s="163"/>
    </row>
    <row r="745">
      <c r="E745" s="163"/>
      <c r="F745" s="163"/>
    </row>
    <row r="746">
      <c r="E746" s="163"/>
      <c r="F746" s="163"/>
    </row>
    <row r="747">
      <c r="E747" s="163"/>
      <c r="F747" s="163"/>
    </row>
    <row r="748">
      <c r="E748" s="163"/>
      <c r="F748" s="163"/>
    </row>
    <row r="749">
      <c r="E749" s="163"/>
      <c r="F749" s="163"/>
    </row>
    <row r="750">
      <c r="E750" s="163"/>
      <c r="F750" s="163"/>
    </row>
    <row r="751">
      <c r="E751" s="163"/>
      <c r="F751" s="163"/>
    </row>
    <row r="752">
      <c r="E752" s="163"/>
      <c r="F752" s="163"/>
    </row>
    <row r="753">
      <c r="E753" s="163"/>
      <c r="F753" s="163"/>
    </row>
    <row r="754">
      <c r="E754" s="163"/>
      <c r="F754" s="163"/>
    </row>
    <row r="755">
      <c r="E755" s="163"/>
      <c r="F755" s="163"/>
    </row>
    <row r="756">
      <c r="E756" s="163"/>
      <c r="F756" s="163"/>
    </row>
    <row r="757">
      <c r="E757" s="163"/>
      <c r="F757" s="163"/>
    </row>
    <row r="758">
      <c r="E758" s="163"/>
      <c r="F758" s="163"/>
    </row>
    <row r="759">
      <c r="E759" s="163"/>
      <c r="F759" s="163"/>
    </row>
    <row r="760">
      <c r="E760" s="163"/>
      <c r="F760" s="163"/>
    </row>
    <row r="761">
      <c r="E761" s="163"/>
      <c r="F761" s="163"/>
    </row>
    <row r="762">
      <c r="E762" s="163"/>
      <c r="F762" s="163"/>
    </row>
    <row r="763">
      <c r="E763" s="163"/>
      <c r="F763" s="163"/>
    </row>
    <row r="764">
      <c r="E764" s="163"/>
      <c r="F764" s="163"/>
    </row>
    <row r="765">
      <c r="E765" s="163"/>
      <c r="F765" s="163"/>
    </row>
    <row r="766">
      <c r="E766" s="163"/>
      <c r="F766" s="163"/>
    </row>
    <row r="767">
      <c r="E767" s="163"/>
      <c r="F767" s="163"/>
    </row>
    <row r="768">
      <c r="E768" s="163"/>
      <c r="F768" s="163"/>
    </row>
    <row r="769">
      <c r="E769" s="163"/>
      <c r="F769" s="163"/>
    </row>
    <row r="770">
      <c r="E770" s="163"/>
      <c r="F770" s="163"/>
    </row>
    <row r="771">
      <c r="E771" s="163"/>
      <c r="F771" s="163"/>
    </row>
    <row r="772">
      <c r="E772" s="163"/>
      <c r="F772" s="163"/>
    </row>
    <row r="773">
      <c r="E773" s="163"/>
      <c r="F773" s="163"/>
    </row>
    <row r="774">
      <c r="E774" s="163"/>
      <c r="F774" s="163"/>
    </row>
    <row r="775">
      <c r="E775" s="163"/>
      <c r="F775" s="163"/>
    </row>
    <row r="776">
      <c r="E776" s="163"/>
      <c r="F776" s="163"/>
    </row>
    <row r="777">
      <c r="E777" s="163"/>
      <c r="F777" s="163"/>
    </row>
    <row r="778">
      <c r="E778" s="163"/>
      <c r="F778" s="163"/>
    </row>
    <row r="779">
      <c r="E779" s="163"/>
      <c r="F779" s="163"/>
    </row>
    <row r="780">
      <c r="E780" s="163"/>
      <c r="F780" s="163"/>
    </row>
    <row r="781">
      <c r="E781" s="163"/>
      <c r="F781" s="163"/>
    </row>
    <row r="782">
      <c r="E782" s="163"/>
      <c r="F782" s="163"/>
    </row>
    <row r="783">
      <c r="E783" s="163"/>
      <c r="F783" s="163"/>
    </row>
    <row r="784">
      <c r="E784" s="163"/>
      <c r="F784" s="163"/>
    </row>
    <row r="785">
      <c r="E785" s="163"/>
      <c r="F785" s="163"/>
    </row>
    <row r="786">
      <c r="E786" s="163"/>
      <c r="F786" s="163"/>
    </row>
    <row r="787">
      <c r="E787" s="163"/>
      <c r="F787" s="163"/>
    </row>
    <row r="788">
      <c r="E788" s="163"/>
      <c r="F788" s="163"/>
    </row>
    <row r="789">
      <c r="E789" s="163"/>
      <c r="F789" s="163"/>
    </row>
    <row r="790">
      <c r="E790" s="163"/>
      <c r="F790" s="163"/>
    </row>
    <row r="791">
      <c r="E791" s="163"/>
      <c r="F791" s="163"/>
    </row>
    <row r="792">
      <c r="E792" s="163"/>
      <c r="F792" s="163"/>
    </row>
    <row r="793">
      <c r="E793" s="163"/>
      <c r="F793" s="163"/>
    </row>
    <row r="794">
      <c r="E794" s="163"/>
      <c r="F794" s="163"/>
    </row>
    <row r="795">
      <c r="E795" s="163"/>
      <c r="F795" s="163"/>
    </row>
    <row r="796">
      <c r="E796" s="163"/>
      <c r="F796" s="163"/>
    </row>
    <row r="797">
      <c r="E797" s="163"/>
      <c r="F797" s="163"/>
    </row>
    <row r="798">
      <c r="E798" s="163"/>
      <c r="F798" s="163"/>
    </row>
    <row r="799">
      <c r="E799" s="163"/>
      <c r="F799" s="163"/>
    </row>
    <row r="800">
      <c r="E800" s="163"/>
      <c r="F800" s="163"/>
    </row>
    <row r="801">
      <c r="E801" s="163"/>
      <c r="F801" s="163"/>
    </row>
    <row r="802">
      <c r="E802" s="163"/>
      <c r="F802" s="163"/>
    </row>
    <row r="803">
      <c r="E803" s="163"/>
      <c r="F803" s="163"/>
    </row>
    <row r="804">
      <c r="E804" s="163"/>
      <c r="F804" s="163"/>
    </row>
    <row r="805">
      <c r="E805" s="163"/>
      <c r="F805" s="163"/>
    </row>
    <row r="806">
      <c r="E806" s="163"/>
      <c r="F806" s="163"/>
    </row>
    <row r="807">
      <c r="E807" s="163"/>
      <c r="F807" s="163"/>
    </row>
    <row r="808">
      <c r="E808" s="163"/>
      <c r="F808" s="163"/>
    </row>
    <row r="809">
      <c r="E809" s="163"/>
      <c r="F809" s="163"/>
    </row>
    <row r="810">
      <c r="E810" s="163"/>
      <c r="F810" s="163"/>
    </row>
    <row r="811">
      <c r="E811" s="163"/>
      <c r="F811" s="163"/>
    </row>
    <row r="812">
      <c r="E812" s="163"/>
      <c r="F812" s="163"/>
    </row>
    <row r="813">
      <c r="E813" s="163"/>
      <c r="F813" s="163"/>
    </row>
    <row r="814">
      <c r="E814" s="163"/>
      <c r="F814" s="163"/>
    </row>
    <row r="815">
      <c r="E815" s="163"/>
      <c r="F815" s="163"/>
    </row>
    <row r="816">
      <c r="E816" s="163"/>
      <c r="F816" s="163"/>
    </row>
    <row r="817">
      <c r="E817" s="163"/>
      <c r="F817" s="163"/>
    </row>
    <row r="818">
      <c r="E818" s="163"/>
      <c r="F818" s="163"/>
    </row>
    <row r="819">
      <c r="E819" s="163"/>
      <c r="F819" s="163"/>
    </row>
    <row r="820">
      <c r="E820" s="163"/>
      <c r="F820" s="163"/>
    </row>
    <row r="821">
      <c r="E821" s="163"/>
      <c r="F821" s="163"/>
    </row>
    <row r="822">
      <c r="E822" s="163"/>
      <c r="F822" s="163"/>
    </row>
    <row r="823">
      <c r="E823" s="163"/>
      <c r="F823" s="163"/>
    </row>
    <row r="824">
      <c r="E824" s="163"/>
      <c r="F824" s="163"/>
    </row>
    <row r="825">
      <c r="E825" s="163"/>
      <c r="F825" s="163"/>
    </row>
    <row r="826">
      <c r="E826" s="163"/>
      <c r="F826" s="163"/>
    </row>
    <row r="827">
      <c r="E827" s="163"/>
      <c r="F827" s="163"/>
    </row>
    <row r="828">
      <c r="E828" s="163"/>
      <c r="F828" s="163"/>
    </row>
    <row r="829">
      <c r="E829" s="163"/>
      <c r="F829" s="163"/>
    </row>
    <row r="830">
      <c r="E830" s="163"/>
      <c r="F830" s="163"/>
    </row>
    <row r="831">
      <c r="E831" s="163"/>
      <c r="F831" s="163"/>
    </row>
    <row r="832">
      <c r="E832" s="163"/>
      <c r="F832" s="163"/>
    </row>
    <row r="833">
      <c r="E833" s="163"/>
      <c r="F833" s="163"/>
    </row>
    <row r="834">
      <c r="E834" s="163"/>
      <c r="F834" s="163"/>
    </row>
    <row r="835">
      <c r="E835" s="163"/>
      <c r="F835" s="163"/>
    </row>
    <row r="836">
      <c r="E836" s="163"/>
      <c r="F836" s="163"/>
    </row>
    <row r="837">
      <c r="E837" s="163"/>
      <c r="F837" s="163"/>
    </row>
    <row r="838">
      <c r="E838" s="163"/>
      <c r="F838" s="163"/>
    </row>
    <row r="839">
      <c r="E839" s="163"/>
      <c r="F839" s="163"/>
    </row>
    <row r="840">
      <c r="E840" s="163"/>
      <c r="F840" s="163"/>
    </row>
    <row r="841">
      <c r="E841" s="163"/>
      <c r="F841" s="163"/>
    </row>
    <row r="842">
      <c r="E842" s="163"/>
      <c r="F842" s="163"/>
    </row>
    <row r="843">
      <c r="E843" s="163"/>
      <c r="F843" s="163"/>
    </row>
    <row r="844">
      <c r="E844" s="163"/>
      <c r="F844" s="163"/>
    </row>
    <row r="845">
      <c r="E845" s="163"/>
      <c r="F845" s="163"/>
    </row>
    <row r="846">
      <c r="E846" s="163"/>
      <c r="F846" s="163"/>
    </row>
    <row r="847">
      <c r="E847" s="163"/>
      <c r="F847" s="163"/>
    </row>
    <row r="848">
      <c r="E848" s="163"/>
      <c r="F848" s="163"/>
    </row>
    <row r="849">
      <c r="E849" s="163"/>
      <c r="F849" s="163"/>
    </row>
    <row r="850">
      <c r="E850" s="163"/>
      <c r="F850" s="163"/>
    </row>
    <row r="851">
      <c r="E851" s="163"/>
      <c r="F851" s="163"/>
    </row>
    <row r="852">
      <c r="E852" s="163"/>
      <c r="F852" s="163"/>
    </row>
    <row r="853">
      <c r="E853" s="163"/>
      <c r="F853" s="163"/>
    </row>
    <row r="854">
      <c r="E854" s="163"/>
      <c r="F854" s="163"/>
    </row>
    <row r="855">
      <c r="E855" s="163"/>
      <c r="F855" s="163"/>
    </row>
    <row r="856">
      <c r="E856" s="163"/>
      <c r="F856" s="163"/>
    </row>
    <row r="857">
      <c r="E857" s="163"/>
      <c r="F857" s="163"/>
    </row>
    <row r="858">
      <c r="E858" s="163"/>
      <c r="F858" s="163"/>
    </row>
    <row r="859">
      <c r="E859" s="163"/>
      <c r="F859" s="163"/>
    </row>
    <row r="860">
      <c r="E860" s="163"/>
      <c r="F860" s="163"/>
    </row>
    <row r="861">
      <c r="E861" s="163"/>
      <c r="F861" s="163"/>
    </row>
    <row r="862">
      <c r="E862" s="163"/>
      <c r="F862" s="163"/>
    </row>
    <row r="863">
      <c r="E863" s="163"/>
      <c r="F863" s="163"/>
    </row>
    <row r="864">
      <c r="E864" s="163"/>
      <c r="F864" s="163"/>
    </row>
    <row r="865">
      <c r="E865" s="163"/>
      <c r="F865" s="163"/>
    </row>
    <row r="866">
      <c r="E866" s="163"/>
      <c r="F866" s="163"/>
    </row>
    <row r="867">
      <c r="E867" s="163"/>
      <c r="F867" s="163"/>
    </row>
    <row r="868">
      <c r="E868" s="163"/>
      <c r="F868" s="163"/>
    </row>
    <row r="869">
      <c r="E869" s="163"/>
      <c r="F869" s="163"/>
    </row>
    <row r="870">
      <c r="E870" s="163"/>
      <c r="F870" s="163"/>
    </row>
    <row r="871">
      <c r="E871" s="163"/>
      <c r="F871" s="163"/>
    </row>
    <row r="872">
      <c r="E872" s="163"/>
      <c r="F872" s="163"/>
    </row>
    <row r="873">
      <c r="E873" s="163"/>
      <c r="F873" s="163"/>
    </row>
    <row r="874">
      <c r="E874" s="163"/>
      <c r="F874" s="163"/>
    </row>
    <row r="875">
      <c r="E875" s="163"/>
      <c r="F875" s="163"/>
    </row>
    <row r="876">
      <c r="E876" s="163"/>
      <c r="F876" s="163"/>
    </row>
    <row r="877">
      <c r="E877" s="163"/>
      <c r="F877" s="163"/>
    </row>
    <row r="878">
      <c r="E878" s="163"/>
      <c r="F878" s="163"/>
    </row>
    <row r="879">
      <c r="E879" s="163"/>
      <c r="F879" s="163"/>
    </row>
    <row r="880">
      <c r="E880" s="163"/>
      <c r="F880" s="163"/>
    </row>
    <row r="881">
      <c r="E881" s="163"/>
      <c r="F881" s="163"/>
    </row>
    <row r="882">
      <c r="E882" s="163"/>
      <c r="F882" s="163"/>
    </row>
    <row r="883">
      <c r="E883" s="163"/>
      <c r="F883" s="163"/>
    </row>
    <row r="884">
      <c r="E884" s="163"/>
      <c r="F884" s="163"/>
    </row>
    <row r="885">
      <c r="E885" s="163"/>
      <c r="F885" s="163"/>
    </row>
    <row r="886">
      <c r="E886" s="163"/>
      <c r="F886" s="163"/>
    </row>
    <row r="887">
      <c r="E887" s="163"/>
      <c r="F887" s="163"/>
    </row>
    <row r="888">
      <c r="E888" s="163"/>
      <c r="F888" s="163"/>
    </row>
    <row r="889">
      <c r="E889" s="163"/>
      <c r="F889" s="163"/>
    </row>
    <row r="890">
      <c r="E890" s="163"/>
      <c r="F890" s="163"/>
    </row>
    <row r="891">
      <c r="E891" s="163"/>
      <c r="F891" s="163"/>
    </row>
    <row r="892">
      <c r="E892" s="163"/>
      <c r="F892" s="163"/>
    </row>
    <row r="893">
      <c r="E893" s="163"/>
      <c r="F893" s="163"/>
    </row>
    <row r="894">
      <c r="E894" s="163"/>
      <c r="F894" s="163"/>
    </row>
    <row r="895">
      <c r="E895" s="163"/>
      <c r="F895" s="163"/>
    </row>
    <row r="896">
      <c r="E896" s="163"/>
      <c r="F896" s="163"/>
    </row>
    <row r="897">
      <c r="E897" s="163"/>
      <c r="F897" s="163"/>
    </row>
    <row r="898">
      <c r="E898" s="163"/>
      <c r="F898" s="163"/>
    </row>
    <row r="899">
      <c r="E899" s="163"/>
      <c r="F899" s="163"/>
    </row>
    <row r="900">
      <c r="E900" s="163"/>
      <c r="F900" s="163"/>
    </row>
    <row r="901">
      <c r="E901" s="163"/>
      <c r="F901" s="163"/>
    </row>
    <row r="902">
      <c r="E902" s="163"/>
      <c r="F902" s="163"/>
    </row>
    <row r="903">
      <c r="E903" s="163"/>
      <c r="F903" s="163"/>
    </row>
    <row r="904">
      <c r="E904" s="163"/>
      <c r="F904" s="163"/>
    </row>
    <row r="905">
      <c r="E905" s="163"/>
      <c r="F905" s="163"/>
    </row>
    <row r="906">
      <c r="E906" s="163"/>
      <c r="F906" s="163"/>
    </row>
    <row r="907">
      <c r="E907" s="163"/>
      <c r="F907" s="163"/>
    </row>
    <row r="908">
      <c r="E908" s="163"/>
      <c r="F908" s="163"/>
    </row>
    <row r="909">
      <c r="E909" s="163"/>
      <c r="F909" s="163"/>
    </row>
    <row r="910">
      <c r="E910" s="163"/>
      <c r="F910" s="163"/>
    </row>
    <row r="911">
      <c r="E911" s="163"/>
      <c r="F911" s="163"/>
    </row>
    <row r="912">
      <c r="E912" s="163"/>
      <c r="F912" s="163"/>
    </row>
    <row r="913">
      <c r="E913" s="163"/>
      <c r="F913" s="163"/>
    </row>
    <row r="914">
      <c r="E914" s="163"/>
      <c r="F914" s="163"/>
    </row>
    <row r="915">
      <c r="E915" s="163"/>
      <c r="F915" s="163"/>
    </row>
    <row r="916">
      <c r="E916" s="163"/>
      <c r="F916" s="163"/>
    </row>
    <row r="917">
      <c r="E917" s="163"/>
      <c r="F917" s="163"/>
    </row>
    <row r="918">
      <c r="E918" s="163"/>
      <c r="F918" s="163"/>
    </row>
    <row r="919">
      <c r="E919" s="163"/>
      <c r="F919" s="163"/>
    </row>
    <row r="920">
      <c r="E920" s="163"/>
      <c r="F920" s="163"/>
    </row>
    <row r="921">
      <c r="E921" s="163"/>
      <c r="F921" s="163"/>
    </row>
    <row r="922">
      <c r="E922" s="163"/>
      <c r="F922" s="163"/>
    </row>
    <row r="923">
      <c r="E923" s="163"/>
      <c r="F923" s="163"/>
    </row>
    <row r="924">
      <c r="E924" s="163"/>
      <c r="F924" s="163"/>
    </row>
    <row r="925">
      <c r="E925" s="163"/>
      <c r="F925" s="163"/>
    </row>
    <row r="926">
      <c r="E926" s="163"/>
      <c r="F926" s="163"/>
    </row>
    <row r="927">
      <c r="E927" s="163"/>
      <c r="F927" s="163"/>
    </row>
    <row r="928">
      <c r="E928" s="163"/>
      <c r="F928" s="163"/>
    </row>
    <row r="929">
      <c r="E929" s="163"/>
      <c r="F929" s="163"/>
    </row>
    <row r="930">
      <c r="E930" s="163"/>
      <c r="F930" s="163"/>
    </row>
    <row r="931">
      <c r="E931" s="163"/>
      <c r="F931" s="163"/>
    </row>
    <row r="932">
      <c r="E932" s="163"/>
      <c r="F932" s="163"/>
    </row>
    <row r="933">
      <c r="E933" s="163"/>
      <c r="F933" s="163"/>
    </row>
    <row r="934">
      <c r="E934" s="163"/>
      <c r="F934" s="163"/>
    </row>
    <row r="935">
      <c r="E935" s="163"/>
      <c r="F935" s="163"/>
    </row>
    <row r="936">
      <c r="E936" s="163"/>
      <c r="F936" s="163"/>
    </row>
    <row r="937">
      <c r="E937" s="163"/>
      <c r="F937" s="163"/>
    </row>
    <row r="938">
      <c r="E938" s="163"/>
      <c r="F938" s="163"/>
    </row>
    <row r="939">
      <c r="E939" s="163"/>
      <c r="F939" s="163"/>
    </row>
    <row r="940">
      <c r="E940" s="163"/>
      <c r="F940" s="163"/>
    </row>
    <row r="941">
      <c r="E941" s="163"/>
      <c r="F941" s="163"/>
    </row>
    <row r="942">
      <c r="E942" s="163"/>
      <c r="F942" s="163"/>
    </row>
    <row r="943">
      <c r="E943" s="163"/>
      <c r="F943" s="163"/>
    </row>
    <row r="944">
      <c r="E944" s="163"/>
      <c r="F944" s="163"/>
    </row>
    <row r="945">
      <c r="E945" s="163"/>
      <c r="F945" s="163"/>
    </row>
    <row r="946">
      <c r="E946" s="163"/>
      <c r="F946" s="163"/>
    </row>
    <row r="947">
      <c r="E947" s="163"/>
      <c r="F947" s="163"/>
    </row>
    <row r="948">
      <c r="E948" s="163"/>
      <c r="F948" s="163"/>
    </row>
    <row r="949">
      <c r="E949" s="163"/>
      <c r="F949" s="163"/>
    </row>
    <row r="950">
      <c r="E950" s="163"/>
      <c r="F950" s="163"/>
    </row>
    <row r="951">
      <c r="E951" s="163"/>
      <c r="F951" s="163"/>
    </row>
    <row r="952">
      <c r="E952" s="163"/>
      <c r="F952" s="163"/>
    </row>
    <row r="953">
      <c r="E953" s="163"/>
      <c r="F953" s="163"/>
    </row>
  </sheetData>
  <mergeCells count="30">
    <mergeCell ref="B1:D3"/>
    <mergeCell ref="E1:J3"/>
    <mergeCell ref="K1:M1"/>
    <mergeCell ref="K2:M2"/>
    <mergeCell ref="K3:M3"/>
    <mergeCell ref="B4:J4"/>
    <mergeCell ref="K4:M4"/>
    <mergeCell ref="K8:K9"/>
    <mergeCell ref="L8:L9"/>
    <mergeCell ref="M8:M9"/>
    <mergeCell ref="F10:L10"/>
    <mergeCell ref="M10:M12"/>
    <mergeCell ref="F11:H11"/>
    <mergeCell ref="I11:K11"/>
    <mergeCell ref="L11:L12"/>
    <mergeCell ref="B10:B12"/>
    <mergeCell ref="C10:C12"/>
    <mergeCell ref="D10:D12"/>
    <mergeCell ref="E10:E12"/>
    <mergeCell ref="C13:C15"/>
    <mergeCell ref="C16:C21"/>
    <mergeCell ref="C22:C40"/>
    <mergeCell ref="C41:C51"/>
    <mergeCell ref="B6:D7"/>
    <mergeCell ref="B8:E9"/>
    <mergeCell ref="F8:F9"/>
    <mergeCell ref="G8:G9"/>
    <mergeCell ref="H8:H9"/>
    <mergeCell ref="I8:I9"/>
    <mergeCell ref="J8:J9"/>
  </mergeCells>
  <conditionalFormatting sqref="A1:A51 B5:M51">
    <cfRule type="cellIs" dxfId="1" priority="1" operator="equal">
      <formula>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2.38"/>
    <col customWidth="1" min="2" max="2" width="6.38"/>
    <col customWidth="1" min="3" max="3" width="12.63"/>
    <col customWidth="1" min="4" max="4" width="24.25"/>
    <col customWidth="1" min="5" max="5" width="19.25"/>
    <col customWidth="1" min="6" max="12" width="12.63"/>
    <col customWidth="1" min="13" max="13" width="16.5"/>
    <col customWidth="1" min="14" max="14" width="3.25"/>
  </cols>
  <sheetData>
    <row r="1">
      <c r="A1" s="186"/>
      <c r="B1" s="1"/>
      <c r="C1" s="2"/>
      <c r="D1" s="2"/>
      <c r="E1" s="3" t="s">
        <v>0</v>
      </c>
      <c r="F1" s="2"/>
      <c r="G1" s="2"/>
      <c r="H1" s="2"/>
      <c r="I1" s="2"/>
      <c r="J1" s="2"/>
      <c r="K1" s="2"/>
      <c r="L1" s="4" t="s">
        <v>1</v>
      </c>
      <c r="M1" s="5"/>
      <c r="N1" s="186"/>
    </row>
    <row r="2">
      <c r="A2" s="186"/>
      <c r="B2" s="6"/>
      <c r="E2" s="6"/>
      <c r="L2" s="58" t="s">
        <v>2</v>
      </c>
      <c r="M2" s="8"/>
      <c r="N2" s="186"/>
    </row>
    <row r="3">
      <c r="A3" s="186"/>
      <c r="B3" s="6"/>
      <c r="E3" s="67"/>
      <c r="F3" s="10"/>
      <c r="G3" s="10"/>
      <c r="H3" s="10"/>
      <c r="I3" s="10"/>
      <c r="J3" s="10"/>
      <c r="K3" s="10"/>
      <c r="L3" s="59" t="s">
        <v>3</v>
      </c>
      <c r="M3" s="11"/>
      <c r="N3" s="186"/>
    </row>
    <row r="4">
      <c r="A4" s="186"/>
      <c r="B4" s="12" t="s">
        <v>4</v>
      </c>
      <c r="C4" s="13"/>
      <c r="D4" s="13"/>
      <c r="E4" s="13"/>
      <c r="F4" s="13"/>
      <c r="G4" s="13"/>
      <c r="H4" s="13"/>
      <c r="I4" s="13"/>
      <c r="J4" s="13"/>
      <c r="K4" s="13"/>
      <c r="L4" s="15" t="s">
        <v>5</v>
      </c>
      <c r="M4" s="11"/>
      <c r="N4" s="186"/>
    </row>
    <row r="5">
      <c r="A5" s="186"/>
      <c r="B5" s="162"/>
      <c r="C5" s="162"/>
      <c r="D5" s="162"/>
      <c r="E5" s="186"/>
      <c r="F5" s="186"/>
      <c r="G5" s="186"/>
      <c r="H5" s="186"/>
      <c r="I5" s="186"/>
      <c r="J5" s="186"/>
      <c r="K5" s="186"/>
      <c r="L5" s="186"/>
      <c r="M5" s="186"/>
      <c r="N5" s="186"/>
    </row>
    <row r="6">
      <c r="A6" s="164"/>
      <c r="B6" s="165" t="s">
        <v>312</v>
      </c>
      <c r="C6" s="2"/>
      <c r="D6" s="5"/>
      <c r="E6" s="164"/>
      <c r="F6" s="164"/>
      <c r="G6" s="164"/>
      <c r="H6" s="164"/>
      <c r="I6" s="164"/>
      <c r="J6" s="164"/>
      <c r="K6" s="164"/>
      <c r="L6" s="164"/>
      <c r="M6" s="164"/>
      <c r="N6" s="164"/>
    </row>
    <row r="7">
      <c r="A7" s="164"/>
      <c r="B7" s="67"/>
      <c r="C7" s="10"/>
      <c r="D7" s="11"/>
      <c r="E7" s="164"/>
      <c r="F7" s="164"/>
      <c r="G7" s="164"/>
      <c r="H7" s="164"/>
      <c r="I7" s="164"/>
      <c r="J7" s="164"/>
      <c r="K7" s="164"/>
      <c r="L7" s="164"/>
      <c r="M7" s="164"/>
      <c r="N7" s="164"/>
    </row>
    <row r="8">
      <c r="A8" s="164"/>
      <c r="B8" s="167" t="s">
        <v>263</v>
      </c>
      <c r="C8" s="2"/>
      <c r="D8" s="2"/>
      <c r="E8" s="5"/>
      <c r="F8" s="187">
        <f>SUM(F13:F204)*(1+Appendix!$B$8)/Appendix!$B$13</f>
        <v>5.785</v>
      </c>
      <c r="G8" s="187">
        <f>SUM(G13:G204)*(1+Appendix!$B$8)/Appendix!$B$13</f>
        <v>1.7355</v>
      </c>
      <c r="H8" s="187">
        <f>SUM(H13:H204)*(1+Appendix!$B$8)/Appendix!$B$13</f>
        <v>4.0495</v>
      </c>
      <c r="I8" s="187">
        <f>SUM(I13:I204)*(1+Appendix!$B$8)/Appendix!$B$13</f>
        <v>5.85</v>
      </c>
      <c r="J8" s="187">
        <f>SUM(J13:J204)*(1+Appendix!$B$8)/Appendix!$B$13</f>
        <v>1.755</v>
      </c>
      <c r="K8" s="187">
        <f>SUM(K13:K204)*(1+Appendix!$B$8)/Appendix!$B$13</f>
        <v>4.095</v>
      </c>
      <c r="L8" s="187">
        <f>SUM(L13:L204)*(1+Appendix!$B$8)/Appendix!$B$13</f>
        <v>2.6</v>
      </c>
      <c r="M8" s="188"/>
      <c r="N8" s="164"/>
    </row>
    <row r="9">
      <c r="A9" s="164"/>
      <c r="B9" s="67"/>
      <c r="C9" s="10"/>
      <c r="D9" s="10"/>
      <c r="E9" s="11"/>
      <c r="F9" s="113"/>
      <c r="G9" s="113"/>
      <c r="H9" s="113"/>
      <c r="I9" s="113"/>
      <c r="J9" s="113"/>
      <c r="K9" s="113"/>
      <c r="L9" s="113"/>
      <c r="M9" s="188"/>
      <c r="N9" s="164"/>
    </row>
    <row r="10">
      <c r="A10" s="189"/>
      <c r="B10" s="187" t="s">
        <v>7</v>
      </c>
      <c r="C10" s="187" t="s">
        <v>264</v>
      </c>
      <c r="D10" s="187" t="s">
        <v>265</v>
      </c>
      <c r="E10" s="190" t="s">
        <v>266</v>
      </c>
      <c r="F10" s="22" t="s">
        <v>267</v>
      </c>
      <c r="G10" s="13"/>
      <c r="H10" s="13"/>
      <c r="I10" s="13"/>
      <c r="J10" s="13"/>
      <c r="K10" s="13"/>
      <c r="L10" s="14"/>
      <c r="M10" s="190" t="s">
        <v>69</v>
      </c>
      <c r="N10" s="189"/>
    </row>
    <row r="11">
      <c r="A11" s="189"/>
      <c r="B11" s="110"/>
      <c r="C11" s="110"/>
      <c r="D11" s="110"/>
      <c r="E11" s="110"/>
      <c r="F11" s="22" t="s">
        <v>313</v>
      </c>
      <c r="G11" s="13"/>
      <c r="H11" s="14"/>
      <c r="I11" s="22" t="s">
        <v>314</v>
      </c>
      <c r="J11" s="13"/>
      <c r="K11" s="14"/>
      <c r="L11" s="190" t="s">
        <v>268</v>
      </c>
      <c r="M11" s="110"/>
      <c r="N11" s="189"/>
    </row>
    <row r="12">
      <c r="A12" s="189"/>
      <c r="B12" s="113"/>
      <c r="C12" s="113"/>
      <c r="D12" s="113"/>
      <c r="E12" s="113"/>
      <c r="F12" s="21" t="s">
        <v>269</v>
      </c>
      <c r="G12" s="21" t="s">
        <v>270</v>
      </c>
      <c r="H12" s="21" t="s">
        <v>271</v>
      </c>
      <c r="I12" s="21" t="s">
        <v>269</v>
      </c>
      <c r="J12" s="21" t="s">
        <v>270</v>
      </c>
      <c r="K12" s="21" t="s">
        <v>271</v>
      </c>
      <c r="L12" s="113"/>
      <c r="M12" s="113"/>
      <c r="N12" s="189"/>
    </row>
    <row r="13">
      <c r="A13" s="164"/>
      <c r="B13" s="173">
        <v>1.0</v>
      </c>
      <c r="C13" s="180" t="s">
        <v>315</v>
      </c>
      <c r="D13" s="174" t="s">
        <v>316</v>
      </c>
      <c r="E13" s="191"/>
      <c r="F13" s="191">
        <v>2.0</v>
      </c>
      <c r="G13" s="191">
        <f>F13*Appendix!$B$11</f>
        <v>0.6</v>
      </c>
      <c r="H13" s="191">
        <f>F13*Appendix!$B$9</f>
        <v>1.4</v>
      </c>
      <c r="I13" s="191">
        <v>3.0</v>
      </c>
      <c r="J13" s="191">
        <f>I13*Appendix!$B$11</f>
        <v>0.9</v>
      </c>
      <c r="K13" s="191">
        <f>I13*Appendix!$B$9</f>
        <v>2.1</v>
      </c>
      <c r="L13" s="191">
        <v>1.0</v>
      </c>
      <c r="M13" s="176"/>
      <c r="N13" s="164"/>
    </row>
    <row r="14">
      <c r="A14" s="164"/>
      <c r="B14" s="173">
        <v>2.0</v>
      </c>
      <c r="C14" s="110"/>
      <c r="D14" s="174" t="s">
        <v>317</v>
      </c>
      <c r="E14" s="191"/>
      <c r="F14" s="191">
        <v>4.0</v>
      </c>
      <c r="G14" s="191">
        <f>F14*Appendix!$B$11</f>
        <v>1.2</v>
      </c>
      <c r="H14" s="191">
        <f>F14*Appendix!$B$9</f>
        <v>2.8</v>
      </c>
      <c r="I14" s="191">
        <v>4.0</v>
      </c>
      <c r="J14" s="191">
        <f>I14*Appendix!$B$11</f>
        <v>1.2</v>
      </c>
      <c r="K14" s="191">
        <f>I14*Appendix!$B$9</f>
        <v>2.8</v>
      </c>
      <c r="L14" s="191">
        <v>2.0</v>
      </c>
      <c r="M14" s="176"/>
      <c r="N14" s="164"/>
    </row>
    <row r="15">
      <c r="A15" s="164"/>
      <c r="B15" s="173">
        <v>3.0</v>
      </c>
      <c r="C15" s="110"/>
      <c r="D15" s="174" t="s">
        <v>318</v>
      </c>
      <c r="E15" s="191"/>
      <c r="F15" s="191">
        <v>1.0</v>
      </c>
      <c r="G15" s="191">
        <f>F15*Appendix!$B$11</f>
        <v>0.3</v>
      </c>
      <c r="H15" s="191">
        <f>F15*Appendix!$B$9</f>
        <v>0.7</v>
      </c>
      <c r="I15" s="191">
        <v>1.0</v>
      </c>
      <c r="J15" s="191">
        <f>I15*Appendix!$B$11</f>
        <v>0.3</v>
      </c>
      <c r="K15" s="191">
        <f>I15*Appendix!$B$9</f>
        <v>0.7</v>
      </c>
      <c r="L15" s="191">
        <v>0.0</v>
      </c>
      <c r="M15" s="176"/>
      <c r="N15" s="164"/>
    </row>
    <row r="16">
      <c r="A16" s="164"/>
      <c r="B16" s="173">
        <v>4.0</v>
      </c>
      <c r="C16" s="113"/>
      <c r="D16" s="174" t="s">
        <v>319</v>
      </c>
      <c r="E16" s="191"/>
      <c r="F16" s="191">
        <v>1.0</v>
      </c>
      <c r="G16" s="191">
        <f>F16*Appendix!$B$11</f>
        <v>0.3</v>
      </c>
      <c r="H16" s="191">
        <f>F16*Appendix!$B$9</f>
        <v>0.7</v>
      </c>
      <c r="I16" s="191">
        <v>1.0</v>
      </c>
      <c r="J16" s="191">
        <f>I16*Appendix!$B$11</f>
        <v>0.3</v>
      </c>
      <c r="K16" s="191">
        <f>I16*Appendix!$B$9</f>
        <v>0.7</v>
      </c>
      <c r="L16" s="191">
        <v>0.0</v>
      </c>
      <c r="M16" s="176"/>
      <c r="N16" s="164"/>
    </row>
    <row r="17">
      <c r="A17" s="164"/>
      <c r="B17" s="173">
        <v>5.0</v>
      </c>
      <c r="C17" s="27" t="s">
        <v>320</v>
      </c>
      <c r="D17" s="174" t="s">
        <v>321</v>
      </c>
      <c r="E17" s="191"/>
      <c r="F17" s="191">
        <v>14.0</v>
      </c>
      <c r="G17" s="191">
        <f>F17*Appendix!$B$11</f>
        <v>4.2</v>
      </c>
      <c r="H17" s="191">
        <f>F17*Appendix!$B$9</f>
        <v>9.8</v>
      </c>
      <c r="I17" s="191">
        <v>14.0</v>
      </c>
      <c r="J17" s="191">
        <f>I17*Appendix!$B$11</f>
        <v>4.2</v>
      </c>
      <c r="K17" s="191">
        <f>I17*Appendix!$B$9</f>
        <v>9.8</v>
      </c>
      <c r="L17" s="191">
        <v>0.0</v>
      </c>
      <c r="M17" s="176"/>
      <c r="N17" s="164"/>
    </row>
    <row r="18">
      <c r="A18" s="164"/>
      <c r="B18" s="173">
        <v>6.0</v>
      </c>
      <c r="C18" s="180" t="s">
        <v>322</v>
      </c>
      <c r="D18" s="174" t="s">
        <v>323</v>
      </c>
      <c r="E18" s="191"/>
      <c r="F18" s="191">
        <v>2.0</v>
      </c>
      <c r="G18" s="191">
        <f>F18*Appendix!$B$11</f>
        <v>0.6</v>
      </c>
      <c r="H18" s="191">
        <f>F18*Appendix!$B$9</f>
        <v>1.4</v>
      </c>
      <c r="I18" s="191">
        <v>2.0</v>
      </c>
      <c r="J18" s="191">
        <f>I18*Appendix!$B$11</f>
        <v>0.6</v>
      </c>
      <c r="K18" s="191">
        <f>I18*Appendix!$B$9</f>
        <v>1.4</v>
      </c>
      <c r="L18" s="191">
        <v>5.0</v>
      </c>
      <c r="M18" s="176"/>
      <c r="N18" s="164"/>
    </row>
    <row r="19">
      <c r="A19" s="164"/>
      <c r="B19" s="173">
        <v>7.0</v>
      </c>
      <c r="C19" s="113"/>
      <c r="D19" s="174" t="s">
        <v>324</v>
      </c>
      <c r="E19" s="191"/>
      <c r="F19" s="191">
        <v>3.0</v>
      </c>
      <c r="G19" s="191">
        <f>F19*Appendix!$B$11</f>
        <v>0.9</v>
      </c>
      <c r="H19" s="191">
        <f>F19*Appendix!$B$9</f>
        <v>2.1</v>
      </c>
      <c r="I19" s="191">
        <v>3.0</v>
      </c>
      <c r="J19" s="191">
        <f>I19*Appendix!$B$11</f>
        <v>0.9</v>
      </c>
      <c r="K19" s="191">
        <f>I19*Appendix!$B$9</f>
        <v>2.1</v>
      </c>
      <c r="L19" s="191">
        <v>0.0</v>
      </c>
      <c r="M19" s="176"/>
      <c r="N19" s="164"/>
    </row>
    <row r="20">
      <c r="A20" s="164"/>
      <c r="B20" s="173">
        <v>9.0</v>
      </c>
      <c r="C20" s="180" t="s">
        <v>325</v>
      </c>
      <c r="D20" s="174" t="s">
        <v>326</v>
      </c>
      <c r="E20" s="191"/>
      <c r="F20" s="191">
        <v>9.0</v>
      </c>
      <c r="G20" s="191">
        <f>F20*Appendix!$B$11</f>
        <v>2.7</v>
      </c>
      <c r="H20" s="191">
        <f>F20*Appendix!$B$9</f>
        <v>6.3</v>
      </c>
      <c r="I20" s="191">
        <v>9.0</v>
      </c>
      <c r="J20" s="191">
        <f>I20*Appendix!$B$11</f>
        <v>2.7</v>
      </c>
      <c r="K20" s="191">
        <f>I20*Appendix!$B$9</f>
        <v>6.3</v>
      </c>
      <c r="L20" s="191">
        <v>0.0</v>
      </c>
      <c r="M20" s="176"/>
      <c r="N20" s="164"/>
    </row>
    <row r="21">
      <c r="A21" s="164"/>
      <c r="B21" s="173">
        <v>10.0</v>
      </c>
      <c r="C21" s="110"/>
      <c r="D21" s="174" t="s">
        <v>327</v>
      </c>
      <c r="E21" s="191"/>
      <c r="F21" s="191">
        <v>4.0</v>
      </c>
      <c r="G21" s="191">
        <f>F21*Appendix!$B$11</f>
        <v>1.2</v>
      </c>
      <c r="H21" s="191">
        <f>F21*Appendix!$B$9</f>
        <v>2.8</v>
      </c>
      <c r="I21" s="191">
        <v>4.0</v>
      </c>
      <c r="J21" s="191">
        <f>I21*Appendix!$B$11</f>
        <v>1.2</v>
      </c>
      <c r="K21" s="191">
        <f>I21*Appendix!$B$9</f>
        <v>2.8</v>
      </c>
      <c r="L21" s="191">
        <v>0.0</v>
      </c>
      <c r="M21" s="176"/>
      <c r="N21" s="164"/>
    </row>
    <row r="22">
      <c r="A22" s="164"/>
      <c r="B22" s="173">
        <v>11.0</v>
      </c>
      <c r="C22" s="110"/>
      <c r="D22" s="174" t="s">
        <v>328</v>
      </c>
      <c r="E22" s="191"/>
      <c r="F22" s="191">
        <v>9.0</v>
      </c>
      <c r="G22" s="191">
        <f>F22*Appendix!$B$11</f>
        <v>2.7</v>
      </c>
      <c r="H22" s="191">
        <f>F22*Appendix!$B$9</f>
        <v>6.3</v>
      </c>
      <c r="I22" s="191">
        <v>9.0</v>
      </c>
      <c r="J22" s="191">
        <f>I22*Appendix!$B$11</f>
        <v>2.7</v>
      </c>
      <c r="K22" s="191">
        <f>I22*Appendix!$B$9</f>
        <v>6.3</v>
      </c>
      <c r="L22" s="191">
        <v>5.0</v>
      </c>
      <c r="M22" s="176"/>
      <c r="N22" s="164"/>
    </row>
    <row r="23">
      <c r="A23" s="164"/>
      <c r="B23" s="173">
        <v>13.0</v>
      </c>
      <c r="C23" s="113"/>
      <c r="D23" s="174" t="s">
        <v>329</v>
      </c>
      <c r="E23" s="191"/>
      <c r="F23" s="191">
        <v>2.0</v>
      </c>
      <c r="G23" s="191">
        <f>F23*Appendix!$B$11</f>
        <v>0.6</v>
      </c>
      <c r="H23" s="191">
        <f>F23*Appendix!$B$9</f>
        <v>1.4</v>
      </c>
      <c r="I23" s="191">
        <v>2.0</v>
      </c>
      <c r="J23" s="191">
        <f>I23*Appendix!$B$11</f>
        <v>0.6</v>
      </c>
      <c r="K23" s="191">
        <f>I23*Appendix!$B$9</f>
        <v>1.4</v>
      </c>
      <c r="L23" s="191">
        <v>0.0</v>
      </c>
      <c r="M23" s="176"/>
      <c r="N23" s="164"/>
    </row>
    <row r="24">
      <c r="A24" s="164"/>
      <c r="B24" s="173">
        <v>14.0</v>
      </c>
      <c r="C24" s="27" t="s">
        <v>330</v>
      </c>
      <c r="D24" s="174" t="s">
        <v>331</v>
      </c>
      <c r="E24" s="191"/>
      <c r="F24" s="191">
        <v>3.0</v>
      </c>
      <c r="G24" s="191">
        <f>F24*Appendix!$B$11</f>
        <v>0.9</v>
      </c>
      <c r="H24" s="191">
        <f>F24*Appendix!$B$9</f>
        <v>2.1</v>
      </c>
      <c r="I24" s="191">
        <v>3.0</v>
      </c>
      <c r="J24" s="191">
        <f>I24*Appendix!$B$11</f>
        <v>0.9</v>
      </c>
      <c r="K24" s="191">
        <f>I24*Appendix!$B$9</f>
        <v>2.1</v>
      </c>
      <c r="L24" s="191">
        <v>0.0</v>
      </c>
      <c r="M24" s="176"/>
      <c r="N24" s="164"/>
    </row>
    <row r="25">
      <c r="A25" s="164"/>
      <c r="B25" s="173">
        <v>15.0</v>
      </c>
      <c r="C25" s="180" t="s">
        <v>332</v>
      </c>
      <c r="D25" s="174" t="s">
        <v>333</v>
      </c>
      <c r="E25" s="191"/>
      <c r="F25" s="191">
        <v>3.0</v>
      </c>
      <c r="G25" s="191">
        <f>F25*Appendix!$B$11</f>
        <v>0.9</v>
      </c>
      <c r="H25" s="191">
        <f>F25*Appendix!$B$9</f>
        <v>2.1</v>
      </c>
      <c r="I25" s="191">
        <v>3.0</v>
      </c>
      <c r="J25" s="191">
        <f>I25*Appendix!$B$11</f>
        <v>0.9</v>
      </c>
      <c r="K25" s="191">
        <f>I25*Appendix!$B$9</f>
        <v>2.1</v>
      </c>
      <c r="L25" s="191">
        <v>5.0</v>
      </c>
      <c r="M25" s="176"/>
      <c r="N25" s="164"/>
    </row>
    <row r="26">
      <c r="A26" s="164"/>
      <c r="B26" s="173">
        <v>15.0</v>
      </c>
      <c r="C26" s="113"/>
      <c r="D26" s="174" t="s">
        <v>334</v>
      </c>
      <c r="E26" s="191"/>
      <c r="F26" s="191">
        <v>5.0</v>
      </c>
      <c r="G26" s="191">
        <f>F26*Appendix!$B$11</f>
        <v>1.5</v>
      </c>
      <c r="H26" s="191">
        <f>F26*Appendix!$B$9</f>
        <v>3.5</v>
      </c>
      <c r="I26" s="191">
        <v>5.0</v>
      </c>
      <c r="J26" s="191">
        <f>I26*Appendix!$B$11</f>
        <v>1.5</v>
      </c>
      <c r="K26" s="191">
        <f>I26*Appendix!$B$9</f>
        <v>3.5</v>
      </c>
      <c r="L26" s="191">
        <v>5.0</v>
      </c>
      <c r="M26" s="176"/>
      <c r="N26" s="164"/>
    </row>
    <row r="27">
      <c r="A27" s="164"/>
      <c r="B27" s="173">
        <v>16.0</v>
      </c>
      <c r="C27" s="192" t="s">
        <v>335</v>
      </c>
      <c r="D27" s="174" t="s">
        <v>336</v>
      </c>
      <c r="E27" s="191"/>
      <c r="F27" s="191">
        <v>5.0</v>
      </c>
      <c r="G27" s="191">
        <f>F27*Appendix!$B$11</f>
        <v>1.5</v>
      </c>
      <c r="H27" s="191">
        <f>F27*Appendix!$B$9</f>
        <v>3.5</v>
      </c>
      <c r="I27" s="191">
        <v>5.0</v>
      </c>
      <c r="J27" s="191">
        <f>I27*Appendix!$B$11</f>
        <v>1.5</v>
      </c>
      <c r="K27" s="191">
        <f>I27*Appendix!$B$9</f>
        <v>3.5</v>
      </c>
      <c r="L27" s="191">
        <v>5.0</v>
      </c>
      <c r="M27" s="176"/>
      <c r="N27" s="164"/>
    </row>
    <row r="28">
      <c r="A28" s="164"/>
      <c r="B28" s="173">
        <v>17.0</v>
      </c>
      <c r="D28" s="174" t="s">
        <v>337</v>
      </c>
      <c r="E28" s="191"/>
      <c r="F28" s="191">
        <v>4.0</v>
      </c>
      <c r="G28" s="191">
        <f>F28*Appendix!$B$11</f>
        <v>1.2</v>
      </c>
      <c r="H28" s="191">
        <f>F28*Appendix!$B$9</f>
        <v>2.8</v>
      </c>
      <c r="I28" s="191">
        <v>4.0</v>
      </c>
      <c r="J28" s="191">
        <f>I28*Appendix!$B$11</f>
        <v>1.2</v>
      </c>
      <c r="K28" s="191">
        <f>I28*Appendix!$B$9</f>
        <v>2.8</v>
      </c>
      <c r="L28" s="191">
        <v>0.0</v>
      </c>
      <c r="M28" s="176"/>
      <c r="N28" s="164"/>
    </row>
    <row r="29">
      <c r="A29" s="164"/>
      <c r="B29" s="173">
        <v>18.0</v>
      </c>
      <c r="C29" s="180" t="s">
        <v>338</v>
      </c>
      <c r="D29" s="174" t="s">
        <v>339</v>
      </c>
      <c r="E29" s="191"/>
      <c r="F29" s="191">
        <v>5.0</v>
      </c>
      <c r="G29" s="191">
        <f>F29*Appendix!$B$11</f>
        <v>1.5</v>
      </c>
      <c r="H29" s="191">
        <f>F29*Appendix!$B$9</f>
        <v>3.5</v>
      </c>
      <c r="I29" s="191">
        <v>5.0</v>
      </c>
      <c r="J29" s="191">
        <f>I29*Appendix!$B$11</f>
        <v>1.5</v>
      </c>
      <c r="K29" s="191">
        <f>I29*Appendix!$B$9</f>
        <v>3.5</v>
      </c>
      <c r="L29" s="191">
        <v>0.0</v>
      </c>
      <c r="M29" s="176"/>
      <c r="N29" s="164"/>
    </row>
    <row r="30">
      <c r="A30" s="164"/>
      <c r="B30" s="173">
        <v>19.0</v>
      </c>
      <c r="C30" s="110"/>
      <c r="D30" s="174" t="s">
        <v>340</v>
      </c>
      <c r="E30" s="191"/>
      <c r="F30" s="191">
        <v>1.0</v>
      </c>
      <c r="G30" s="191">
        <f>F30*Appendix!$B$11</f>
        <v>0.3</v>
      </c>
      <c r="H30" s="191">
        <f>F30*Appendix!$B$9</f>
        <v>0.7</v>
      </c>
      <c r="I30" s="191">
        <v>1.0</v>
      </c>
      <c r="J30" s="191">
        <f>I30*Appendix!$B$11</f>
        <v>0.3</v>
      </c>
      <c r="K30" s="191">
        <f>I30*Appendix!$B$9</f>
        <v>0.7</v>
      </c>
      <c r="L30" s="191">
        <v>0.0</v>
      </c>
      <c r="M30" s="176"/>
      <c r="N30" s="164"/>
    </row>
    <row r="31">
      <c r="A31" s="164"/>
      <c r="B31" s="173">
        <v>20.0</v>
      </c>
      <c r="C31" s="110"/>
      <c r="D31" s="174" t="s">
        <v>341</v>
      </c>
      <c r="E31" s="191"/>
      <c r="F31" s="191">
        <v>4.0</v>
      </c>
      <c r="G31" s="191">
        <f>F31*Appendix!$B$11</f>
        <v>1.2</v>
      </c>
      <c r="H31" s="191">
        <f>F31*Appendix!$B$9</f>
        <v>2.8</v>
      </c>
      <c r="I31" s="191">
        <v>4.0</v>
      </c>
      <c r="J31" s="191">
        <f>I31*Appendix!$B$11</f>
        <v>1.2</v>
      </c>
      <c r="K31" s="191">
        <f>I31*Appendix!$B$9</f>
        <v>2.8</v>
      </c>
      <c r="L31" s="191">
        <v>0.0</v>
      </c>
      <c r="M31" s="176"/>
      <c r="N31" s="164"/>
    </row>
    <row r="32">
      <c r="A32" s="164"/>
      <c r="B32" s="173">
        <v>21.0</v>
      </c>
      <c r="C32" s="110"/>
      <c r="D32" s="174" t="s">
        <v>342</v>
      </c>
      <c r="E32" s="191"/>
      <c r="F32" s="191">
        <v>4.0</v>
      </c>
      <c r="G32" s="191">
        <f>F32*Appendix!$B$11</f>
        <v>1.2</v>
      </c>
      <c r="H32" s="191">
        <f>F32*Appendix!$B$9</f>
        <v>2.8</v>
      </c>
      <c r="I32" s="191">
        <v>4.0</v>
      </c>
      <c r="J32" s="191">
        <f>I32*Appendix!$B$11</f>
        <v>1.2</v>
      </c>
      <c r="K32" s="191">
        <f>I32*Appendix!$B$9</f>
        <v>2.8</v>
      </c>
      <c r="L32" s="191">
        <v>6.0</v>
      </c>
      <c r="M32" s="176"/>
      <c r="N32" s="164"/>
    </row>
    <row r="33">
      <c r="A33" s="164"/>
      <c r="B33" s="173">
        <v>22.0</v>
      </c>
      <c r="C33" s="113"/>
      <c r="D33" s="174" t="s">
        <v>343</v>
      </c>
      <c r="E33" s="191"/>
      <c r="F33" s="191">
        <v>4.0</v>
      </c>
      <c r="G33" s="191">
        <f>F33*Appendix!$B$11</f>
        <v>1.2</v>
      </c>
      <c r="H33" s="191">
        <f>F33*Appendix!$B$9</f>
        <v>2.8</v>
      </c>
      <c r="I33" s="191">
        <v>4.0</v>
      </c>
      <c r="J33" s="191">
        <f>I33*Appendix!$B$11</f>
        <v>1.2</v>
      </c>
      <c r="K33" s="191">
        <f>I33*Appendix!$B$9</f>
        <v>2.8</v>
      </c>
      <c r="L33" s="191">
        <v>6.0</v>
      </c>
      <c r="M33" s="176"/>
      <c r="N33" s="164"/>
    </row>
    <row r="34">
      <c r="C34" s="66"/>
    </row>
    <row r="35">
      <c r="C35" s="66"/>
    </row>
    <row r="36">
      <c r="C36" s="66"/>
    </row>
    <row r="37">
      <c r="C37" s="66"/>
    </row>
    <row r="38">
      <c r="C38" s="66"/>
    </row>
    <row r="39">
      <c r="C39" s="66"/>
    </row>
    <row r="40">
      <c r="C40" s="66"/>
    </row>
    <row r="41">
      <c r="C41" s="66"/>
    </row>
    <row r="42">
      <c r="C42" s="66"/>
    </row>
    <row r="43">
      <c r="C43" s="66"/>
    </row>
    <row r="44">
      <c r="C44" s="66"/>
    </row>
    <row r="45">
      <c r="C45" s="66"/>
    </row>
    <row r="46">
      <c r="C46" s="66"/>
    </row>
    <row r="47">
      <c r="C47" s="66"/>
    </row>
    <row r="48">
      <c r="C48" s="66"/>
    </row>
    <row r="49">
      <c r="C49" s="66"/>
    </row>
    <row r="50">
      <c r="C50" s="66"/>
    </row>
    <row r="51">
      <c r="C51" s="66"/>
    </row>
    <row r="52">
      <c r="C52" s="66"/>
    </row>
    <row r="53">
      <c r="C53" s="66"/>
    </row>
    <row r="54">
      <c r="C54" s="66"/>
    </row>
    <row r="55">
      <c r="C55" s="66"/>
    </row>
    <row r="56">
      <c r="C56" s="66"/>
    </row>
    <row r="57">
      <c r="C57" s="66"/>
    </row>
    <row r="58">
      <c r="C58" s="66"/>
    </row>
    <row r="59">
      <c r="C59" s="66"/>
    </row>
    <row r="60">
      <c r="C60" s="66"/>
    </row>
    <row r="61">
      <c r="C61" s="66"/>
    </row>
    <row r="62">
      <c r="C62" s="66"/>
    </row>
    <row r="63">
      <c r="C63" s="66"/>
    </row>
    <row r="64">
      <c r="C64" s="66"/>
    </row>
    <row r="65">
      <c r="C65" s="66"/>
    </row>
    <row r="66">
      <c r="C66" s="66"/>
    </row>
    <row r="67">
      <c r="C67" s="66"/>
    </row>
    <row r="68">
      <c r="C68" s="66"/>
    </row>
    <row r="69">
      <c r="C69" s="66"/>
    </row>
    <row r="70">
      <c r="C70" s="66"/>
    </row>
    <row r="71">
      <c r="C71" s="66"/>
    </row>
    <row r="72">
      <c r="C72" s="66"/>
    </row>
    <row r="73">
      <c r="C73" s="66"/>
    </row>
    <row r="74">
      <c r="C74" s="66"/>
    </row>
    <row r="75">
      <c r="C75" s="66"/>
    </row>
    <row r="76">
      <c r="C76" s="66"/>
    </row>
    <row r="77">
      <c r="C77" s="66"/>
    </row>
    <row r="78">
      <c r="C78" s="66"/>
    </row>
    <row r="79">
      <c r="C79" s="66"/>
    </row>
    <row r="80">
      <c r="C80" s="66"/>
    </row>
    <row r="81">
      <c r="C81" s="66"/>
    </row>
    <row r="82">
      <c r="C82" s="66"/>
    </row>
    <row r="83">
      <c r="C83" s="66"/>
    </row>
    <row r="84">
      <c r="C84" s="66"/>
    </row>
    <row r="85">
      <c r="C85" s="66"/>
    </row>
    <row r="86">
      <c r="C86" s="66"/>
    </row>
    <row r="87">
      <c r="C87" s="66"/>
    </row>
    <row r="88">
      <c r="C88" s="66"/>
    </row>
    <row r="89">
      <c r="C89" s="66"/>
    </row>
    <row r="90">
      <c r="C90" s="66"/>
    </row>
    <row r="91">
      <c r="C91" s="66"/>
    </row>
    <row r="92">
      <c r="C92" s="66"/>
    </row>
    <row r="93">
      <c r="C93" s="66"/>
    </row>
    <row r="94">
      <c r="C94" s="66"/>
    </row>
    <row r="95">
      <c r="C95" s="66"/>
    </row>
    <row r="96">
      <c r="C96" s="66"/>
    </row>
    <row r="97">
      <c r="C97" s="66"/>
    </row>
    <row r="98">
      <c r="C98" s="66"/>
    </row>
    <row r="99">
      <c r="C99" s="66"/>
    </row>
    <row r="100">
      <c r="C100" s="66"/>
    </row>
    <row r="101">
      <c r="C101" s="66"/>
    </row>
    <row r="102">
      <c r="C102" s="66"/>
    </row>
    <row r="103">
      <c r="C103" s="66"/>
    </row>
    <row r="104">
      <c r="C104" s="66"/>
    </row>
    <row r="105">
      <c r="C105" s="66"/>
    </row>
    <row r="106">
      <c r="C106" s="66"/>
    </row>
    <row r="107">
      <c r="C107" s="66"/>
    </row>
    <row r="108">
      <c r="C108" s="66"/>
    </row>
    <row r="109">
      <c r="C109" s="66"/>
    </row>
    <row r="110">
      <c r="C110" s="66"/>
    </row>
    <row r="111">
      <c r="C111" s="66"/>
    </row>
    <row r="112">
      <c r="C112" s="66"/>
    </row>
    <row r="113">
      <c r="C113" s="66"/>
    </row>
    <row r="114">
      <c r="C114" s="66"/>
    </row>
    <row r="115">
      <c r="C115" s="66"/>
    </row>
    <row r="116">
      <c r="C116" s="66"/>
    </row>
    <row r="117">
      <c r="C117" s="66"/>
    </row>
    <row r="118">
      <c r="C118" s="66"/>
    </row>
    <row r="119">
      <c r="C119" s="66"/>
    </row>
    <row r="120">
      <c r="C120" s="66"/>
    </row>
    <row r="121">
      <c r="C121" s="66"/>
    </row>
    <row r="122">
      <c r="C122" s="66"/>
    </row>
    <row r="123">
      <c r="C123" s="66"/>
    </row>
    <row r="124">
      <c r="C124" s="66"/>
    </row>
    <row r="125">
      <c r="C125" s="66"/>
    </row>
    <row r="126">
      <c r="C126" s="66"/>
    </row>
    <row r="127">
      <c r="C127" s="66"/>
    </row>
    <row r="128">
      <c r="C128" s="66"/>
    </row>
    <row r="129">
      <c r="C129" s="66"/>
    </row>
    <row r="130">
      <c r="C130" s="66"/>
    </row>
    <row r="131">
      <c r="C131" s="66"/>
    </row>
    <row r="132">
      <c r="C132" s="66"/>
    </row>
    <row r="133">
      <c r="C133" s="66"/>
    </row>
    <row r="134">
      <c r="C134" s="66"/>
    </row>
    <row r="135">
      <c r="C135" s="66"/>
    </row>
    <row r="136">
      <c r="C136" s="66"/>
    </row>
    <row r="137">
      <c r="C137" s="66"/>
    </row>
    <row r="138">
      <c r="C138" s="66"/>
    </row>
    <row r="139">
      <c r="C139" s="66"/>
    </row>
    <row r="140">
      <c r="C140" s="66"/>
    </row>
    <row r="141">
      <c r="C141" s="66"/>
    </row>
    <row r="142">
      <c r="C142" s="66"/>
    </row>
    <row r="143">
      <c r="C143" s="66"/>
    </row>
    <row r="144">
      <c r="C144" s="66"/>
    </row>
    <row r="145">
      <c r="C145" s="66"/>
    </row>
    <row r="146">
      <c r="C146" s="66"/>
    </row>
    <row r="147">
      <c r="C147" s="66"/>
    </row>
    <row r="148">
      <c r="C148" s="66"/>
    </row>
    <row r="149">
      <c r="C149" s="66"/>
    </row>
    <row r="150">
      <c r="C150" s="66"/>
    </row>
    <row r="151">
      <c r="C151" s="66"/>
    </row>
    <row r="152">
      <c r="C152" s="66"/>
    </row>
    <row r="153">
      <c r="C153" s="66"/>
    </row>
    <row r="154">
      <c r="C154" s="66"/>
    </row>
    <row r="155">
      <c r="C155" s="66"/>
    </row>
    <row r="156">
      <c r="C156" s="66"/>
    </row>
    <row r="157">
      <c r="C157" s="66"/>
    </row>
    <row r="158">
      <c r="C158" s="66"/>
    </row>
    <row r="159">
      <c r="C159" s="66"/>
    </row>
    <row r="160">
      <c r="C160" s="66"/>
    </row>
    <row r="161">
      <c r="C161" s="66"/>
    </row>
    <row r="162">
      <c r="C162" s="66"/>
    </row>
    <row r="163">
      <c r="C163" s="66"/>
    </row>
    <row r="164">
      <c r="C164" s="66"/>
    </row>
    <row r="165">
      <c r="C165" s="66"/>
    </row>
    <row r="166">
      <c r="C166" s="66"/>
    </row>
    <row r="167">
      <c r="C167" s="66"/>
    </row>
    <row r="168">
      <c r="C168" s="66"/>
    </row>
    <row r="169">
      <c r="C169" s="66"/>
    </row>
    <row r="170">
      <c r="C170" s="66"/>
    </row>
    <row r="171">
      <c r="C171" s="66"/>
    </row>
    <row r="172">
      <c r="C172" s="66"/>
    </row>
    <row r="173">
      <c r="C173" s="66"/>
    </row>
    <row r="174">
      <c r="C174" s="66"/>
    </row>
    <row r="175">
      <c r="C175" s="66"/>
    </row>
    <row r="176">
      <c r="C176" s="66"/>
    </row>
    <row r="177">
      <c r="C177" s="66"/>
    </row>
    <row r="178">
      <c r="C178" s="66"/>
    </row>
    <row r="179">
      <c r="C179" s="66"/>
    </row>
    <row r="180">
      <c r="C180" s="66"/>
    </row>
    <row r="181">
      <c r="C181" s="66"/>
    </row>
    <row r="182">
      <c r="C182" s="66"/>
    </row>
    <row r="183">
      <c r="C183" s="66"/>
    </row>
    <row r="184">
      <c r="C184" s="66"/>
    </row>
    <row r="185">
      <c r="C185" s="66"/>
    </row>
    <row r="186">
      <c r="C186" s="66"/>
    </row>
    <row r="187">
      <c r="C187" s="66"/>
    </row>
    <row r="188">
      <c r="C188" s="66"/>
    </row>
    <row r="189">
      <c r="C189" s="66"/>
    </row>
    <row r="190">
      <c r="C190" s="66"/>
    </row>
    <row r="191">
      <c r="C191" s="66"/>
    </row>
    <row r="192">
      <c r="C192" s="66"/>
    </row>
    <row r="193">
      <c r="C193" s="66"/>
    </row>
    <row r="194">
      <c r="C194" s="66"/>
    </row>
    <row r="195">
      <c r="C195" s="66"/>
    </row>
    <row r="196">
      <c r="C196" s="66"/>
    </row>
    <row r="197">
      <c r="C197" s="66"/>
    </row>
    <row r="198">
      <c r="C198" s="66"/>
    </row>
    <row r="199">
      <c r="C199" s="66"/>
    </row>
    <row r="200">
      <c r="C200" s="66"/>
    </row>
    <row r="201">
      <c r="C201" s="66"/>
    </row>
    <row r="202">
      <c r="C202" s="66"/>
    </row>
    <row r="203">
      <c r="C203" s="66"/>
    </row>
    <row r="204">
      <c r="C204" s="66"/>
    </row>
    <row r="205">
      <c r="C205" s="66"/>
    </row>
    <row r="206">
      <c r="C206" s="66"/>
    </row>
    <row r="207">
      <c r="C207" s="66"/>
    </row>
    <row r="208">
      <c r="C208" s="66"/>
    </row>
    <row r="209">
      <c r="C209" s="66"/>
    </row>
    <row r="210">
      <c r="C210" s="66"/>
    </row>
    <row r="211">
      <c r="C211" s="66"/>
    </row>
    <row r="212">
      <c r="C212" s="66"/>
    </row>
    <row r="213">
      <c r="C213" s="66"/>
    </row>
    <row r="214">
      <c r="C214" s="66"/>
    </row>
    <row r="215">
      <c r="C215" s="66"/>
    </row>
    <row r="216">
      <c r="C216" s="66"/>
    </row>
    <row r="217">
      <c r="C217" s="66"/>
    </row>
    <row r="218">
      <c r="C218" s="66"/>
    </row>
    <row r="219">
      <c r="C219" s="66"/>
    </row>
    <row r="220">
      <c r="C220" s="66"/>
    </row>
    <row r="221">
      <c r="C221" s="66"/>
    </row>
    <row r="222">
      <c r="C222" s="66"/>
    </row>
    <row r="223">
      <c r="C223" s="66"/>
    </row>
    <row r="224">
      <c r="C224" s="66"/>
    </row>
    <row r="225">
      <c r="C225" s="66"/>
    </row>
    <row r="226">
      <c r="C226" s="66"/>
    </row>
    <row r="227">
      <c r="C227" s="66"/>
    </row>
    <row r="228">
      <c r="C228" s="66"/>
    </row>
    <row r="229">
      <c r="C229" s="66"/>
    </row>
    <row r="230">
      <c r="C230" s="66"/>
    </row>
    <row r="231">
      <c r="C231" s="66"/>
    </row>
    <row r="232">
      <c r="C232" s="66"/>
    </row>
    <row r="233">
      <c r="C233" s="66"/>
    </row>
    <row r="234">
      <c r="C234" s="66"/>
    </row>
    <row r="235">
      <c r="C235" s="66"/>
    </row>
    <row r="236">
      <c r="C236" s="66"/>
    </row>
    <row r="237">
      <c r="C237" s="66"/>
    </row>
    <row r="238">
      <c r="C238" s="66"/>
    </row>
    <row r="239">
      <c r="C239" s="66"/>
    </row>
    <row r="240">
      <c r="C240" s="66"/>
    </row>
    <row r="241">
      <c r="C241" s="66"/>
    </row>
    <row r="242">
      <c r="C242" s="66"/>
    </row>
    <row r="243">
      <c r="C243" s="66"/>
    </row>
    <row r="244">
      <c r="C244" s="66"/>
    </row>
    <row r="245">
      <c r="C245" s="66"/>
    </row>
    <row r="246">
      <c r="C246" s="66"/>
    </row>
    <row r="247">
      <c r="C247" s="66"/>
    </row>
    <row r="248">
      <c r="C248" s="66"/>
    </row>
    <row r="249">
      <c r="C249" s="66"/>
    </row>
    <row r="250">
      <c r="C250" s="66"/>
    </row>
    <row r="251">
      <c r="C251" s="66"/>
    </row>
    <row r="252">
      <c r="C252" s="66"/>
    </row>
    <row r="253">
      <c r="C253" s="66"/>
    </row>
    <row r="254">
      <c r="C254" s="66"/>
    </row>
    <row r="255">
      <c r="C255" s="66"/>
    </row>
    <row r="256">
      <c r="C256" s="66"/>
    </row>
    <row r="257">
      <c r="C257" s="66"/>
    </row>
    <row r="258">
      <c r="C258" s="66"/>
    </row>
    <row r="259">
      <c r="C259" s="66"/>
    </row>
    <row r="260">
      <c r="C260" s="66"/>
    </row>
    <row r="261">
      <c r="C261" s="66"/>
    </row>
    <row r="262">
      <c r="C262" s="66"/>
    </row>
    <row r="263">
      <c r="C263" s="66"/>
    </row>
    <row r="264">
      <c r="C264" s="66"/>
    </row>
    <row r="265">
      <c r="C265" s="66"/>
    </row>
    <row r="266">
      <c r="C266" s="66"/>
    </row>
    <row r="267">
      <c r="C267" s="66"/>
    </row>
    <row r="268">
      <c r="C268" s="66"/>
    </row>
    <row r="269">
      <c r="C269" s="66"/>
    </row>
    <row r="270">
      <c r="C270" s="66"/>
    </row>
    <row r="271">
      <c r="C271" s="66"/>
    </row>
    <row r="272">
      <c r="C272" s="66"/>
    </row>
    <row r="273">
      <c r="C273" s="66"/>
    </row>
    <row r="274">
      <c r="C274" s="66"/>
    </row>
    <row r="275">
      <c r="C275" s="66"/>
    </row>
    <row r="276">
      <c r="C276" s="66"/>
    </row>
    <row r="277">
      <c r="C277" s="66"/>
    </row>
    <row r="278">
      <c r="C278" s="66"/>
    </row>
    <row r="279">
      <c r="C279" s="66"/>
    </row>
    <row r="280">
      <c r="C280" s="66"/>
    </row>
    <row r="281">
      <c r="C281" s="66"/>
    </row>
    <row r="282">
      <c r="C282" s="66"/>
    </row>
    <row r="283">
      <c r="C283" s="66"/>
    </row>
    <row r="284">
      <c r="C284" s="66"/>
    </row>
    <row r="285">
      <c r="C285" s="66"/>
    </row>
    <row r="286">
      <c r="C286" s="66"/>
    </row>
    <row r="287">
      <c r="C287" s="66"/>
    </row>
    <row r="288">
      <c r="C288" s="66"/>
    </row>
    <row r="289">
      <c r="C289" s="66"/>
    </row>
    <row r="290">
      <c r="C290" s="66"/>
    </row>
    <row r="291">
      <c r="C291" s="66"/>
    </row>
    <row r="292">
      <c r="C292" s="66"/>
    </row>
    <row r="293">
      <c r="C293" s="66"/>
    </row>
    <row r="294">
      <c r="C294" s="66"/>
    </row>
    <row r="295">
      <c r="C295" s="66"/>
    </row>
    <row r="296">
      <c r="C296" s="66"/>
    </row>
    <row r="297">
      <c r="C297" s="66"/>
    </row>
    <row r="298">
      <c r="C298" s="66"/>
    </row>
    <row r="299">
      <c r="C299" s="66"/>
    </row>
    <row r="300">
      <c r="C300" s="66"/>
    </row>
    <row r="301">
      <c r="C301" s="66"/>
    </row>
    <row r="302">
      <c r="C302" s="66"/>
    </row>
    <row r="303">
      <c r="C303" s="66"/>
    </row>
    <row r="304">
      <c r="C304" s="66"/>
    </row>
    <row r="305">
      <c r="C305" s="66"/>
    </row>
    <row r="306">
      <c r="C306" s="66"/>
    </row>
    <row r="307">
      <c r="C307" s="66"/>
    </row>
    <row r="308">
      <c r="C308" s="66"/>
    </row>
    <row r="309">
      <c r="C309" s="66"/>
    </row>
    <row r="310">
      <c r="C310" s="66"/>
    </row>
    <row r="311">
      <c r="C311" s="66"/>
    </row>
    <row r="312">
      <c r="C312" s="66"/>
    </row>
    <row r="313">
      <c r="C313" s="66"/>
    </row>
    <row r="314">
      <c r="C314" s="66"/>
    </row>
    <row r="315">
      <c r="C315" s="66"/>
    </row>
    <row r="316">
      <c r="C316" s="66"/>
    </row>
    <row r="317">
      <c r="C317" s="66"/>
    </row>
    <row r="318">
      <c r="C318" s="66"/>
    </row>
    <row r="319">
      <c r="C319" s="66"/>
    </row>
    <row r="320">
      <c r="C320" s="66"/>
    </row>
    <row r="321">
      <c r="C321" s="66"/>
    </row>
    <row r="322">
      <c r="C322" s="66"/>
    </row>
    <row r="323">
      <c r="C323" s="66"/>
    </row>
    <row r="324">
      <c r="C324" s="66"/>
    </row>
    <row r="325">
      <c r="C325" s="66"/>
    </row>
    <row r="326">
      <c r="C326" s="66"/>
    </row>
    <row r="327">
      <c r="C327" s="66"/>
    </row>
    <row r="328">
      <c r="C328" s="66"/>
    </row>
    <row r="329">
      <c r="C329" s="66"/>
    </row>
    <row r="330">
      <c r="C330" s="66"/>
    </row>
    <row r="331">
      <c r="C331" s="66"/>
    </row>
    <row r="332">
      <c r="C332" s="66"/>
    </row>
    <row r="333">
      <c r="C333" s="66"/>
    </row>
    <row r="334">
      <c r="C334" s="66"/>
    </row>
    <row r="335">
      <c r="C335" s="66"/>
    </row>
    <row r="336">
      <c r="C336" s="66"/>
    </row>
    <row r="337">
      <c r="C337" s="66"/>
    </row>
    <row r="338">
      <c r="C338" s="66"/>
    </row>
    <row r="339">
      <c r="C339" s="66"/>
    </row>
    <row r="340">
      <c r="C340" s="66"/>
    </row>
    <row r="341">
      <c r="C341" s="66"/>
    </row>
    <row r="342">
      <c r="C342" s="66"/>
    </row>
    <row r="343">
      <c r="C343" s="66"/>
    </row>
    <row r="344">
      <c r="C344" s="66"/>
    </row>
    <row r="345">
      <c r="C345" s="66"/>
    </row>
    <row r="346">
      <c r="C346" s="66"/>
    </row>
    <row r="347">
      <c r="C347" s="66"/>
    </row>
    <row r="348">
      <c r="C348" s="66"/>
    </row>
    <row r="349">
      <c r="C349" s="66"/>
    </row>
    <row r="350">
      <c r="C350" s="66"/>
    </row>
    <row r="351">
      <c r="C351" s="66"/>
    </row>
    <row r="352">
      <c r="C352" s="66"/>
    </row>
    <row r="353">
      <c r="C353" s="66"/>
    </row>
    <row r="354">
      <c r="C354" s="66"/>
    </row>
    <row r="355">
      <c r="C355" s="66"/>
    </row>
    <row r="356">
      <c r="C356" s="66"/>
    </row>
    <row r="357">
      <c r="C357" s="66"/>
    </row>
    <row r="358">
      <c r="C358" s="66"/>
    </row>
    <row r="359">
      <c r="C359" s="66"/>
    </row>
    <row r="360">
      <c r="C360" s="66"/>
    </row>
    <row r="361">
      <c r="C361" s="66"/>
    </row>
    <row r="362">
      <c r="C362" s="66"/>
    </row>
    <row r="363">
      <c r="C363" s="66"/>
    </row>
    <row r="364">
      <c r="C364" s="66"/>
    </row>
    <row r="365">
      <c r="C365" s="66"/>
    </row>
    <row r="366">
      <c r="C366" s="66"/>
    </row>
    <row r="367">
      <c r="C367" s="66"/>
    </row>
    <row r="368">
      <c r="C368" s="66"/>
    </row>
    <row r="369">
      <c r="C369" s="66"/>
    </row>
    <row r="370">
      <c r="C370" s="66"/>
    </row>
    <row r="371">
      <c r="C371" s="66"/>
    </row>
    <row r="372">
      <c r="C372" s="66"/>
    </row>
    <row r="373">
      <c r="C373" s="66"/>
    </row>
    <row r="374">
      <c r="C374" s="66"/>
    </row>
    <row r="375">
      <c r="C375" s="66"/>
    </row>
    <row r="376">
      <c r="C376" s="66"/>
    </row>
    <row r="377">
      <c r="C377" s="66"/>
    </row>
    <row r="378">
      <c r="C378" s="66"/>
    </row>
    <row r="379">
      <c r="C379" s="66"/>
    </row>
    <row r="380">
      <c r="C380" s="66"/>
    </row>
    <row r="381">
      <c r="C381" s="66"/>
    </row>
    <row r="382">
      <c r="C382" s="66"/>
    </row>
    <row r="383">
      <c r="C383" s="66"/>
    </row>
    <row r="384">
      <c r="C384" s="66"/>
    </row>
    <row r="385">
      <c r="C385" s="66"/>
    </row>
    <row r="386">
      <c r="C386" s="66"/>
    </row>
    <row r="387">
      <c r="C387" s="66"/>
    </row>
    <row r="388">
      <c r="C388" s="66"/>
    </row>
    <row r="389">
      <c r="C389" s="66"/>
    </row>
    <row r="390">
      <c r="C390" s="66"/>
    </row>
    <row r="391">
      <c r="C391" s="66"/>
    </row>
    <row r="392">
      <c r="C392" s="66"/>
    </row>
    <row r="393">
      <c r="C393" s="66"/>
    </row>
    <row r="394">
      <c r="C394" s="66"/>
    </row>
    <row r="395">
      <c r="C395" s="66"/>
    </row>
    <row r="396">
      <c r="C396" s="66"/>
    </row>
    <row r="397">
      <c r="C397" s="66"/>
    </row>
    <row r="398">
      <c r="C398" s="66"/>
    </row>
    <row r="399">
      <c r="C399" s="66"/>
    </row>
    <row r="400">
      <c r="C400" s="66"/>
    </row>
    <row r="401">
      <c r="C401" s="66"/>
    </row>
    <row r="402">
      <c r="C402" s="66"/>
    </row>
    <row r="403">
      <c r="C403" s="66"/>
    </row>
    <row r="404">
      <c r="C404" s="66"/>
    </row>
    <row r="405">
      <c r="C405" s="66"/>
    </row>
    <row r="406">
      <c r="C406" s="66"/>
    </row>
    <row r="407">
      <c r="C407" s="66"/>
    </row>
    <row r="408">
      <c r="C408" s="66"/>
    </row>
    <row r="409">
      <c r="C409" s="66"/>
    </row>
    <row r="410">
      <c r="C410" s="66"/>
    </row>
    <row r="411">
      <c r="C411" s="66"/>
    </row>
    <row r="412">
      <c r="C412" s="66"/>
    </row>
    <row r="413">
      <c r="C413" s="66"/>
    </row>
    <row r="414">
      <c r="C414" s="66"/>
    </row>
    <row r="415">
      <c r="C415" s="66"/>
    </row>
    <row r="416">
      <c r="C416" s="66"/>
    </row>
    <row r="417">
      <c r="C417" s="66"/>
    </row>
    <row r="418">
      <c r="C418" s="66"/>
    </row>
    <row r="419">
      <c r="C419" s="66"/>
    </row>
    <row r="420">
      <c r="C420" s="66"/>
    </row>
    <row r="421">
      <c r="C421" s="66"/>
    </row>
    <row r="422">
      <c r="C422" s="66"/>
    </row>
    <row r="423">
      <c r="C423" s="66"/>
    </row>
    <row r="424">
      <c r="C424" s="66"/>
    </row>
    <row r="425">
      <c r="C425" s="66"/>
    </row>
    <row r="426">
      <c r="C426" s="66"/>
    </row>
    <row r="427">
      <c r="C427" s="66"/>
    </row>
    <row r="428">
      <c r="C428" s="66"/>
    </row>
    <row r="429">
      <c r="C429" s="66"/>
    </row>
    <row r="430">
      <c r="C430" s="66"/>
    </row>
    <row r="431">
      <c r="C431" s="66"/>
    </row>
    <row r="432">
      <c r="C432" s="66"/>
    </row>
    <row r="433">
      <c r="C433" s="66"/>
    </row>
    <row r="434">
      <c r="C434" s="66"/>
    </row>
    <row r="435">
      <c r="C435" s="66"/>
    </row>
    <row r="436">
      <c r="C436" s="66"/>
    </row>
    <row r="437">
      <c r="C437" s="66"/>
    </row>
    <row r="438">
      <c r="C438" s="66"/>
    </row>
    <row r="439">
      <c r="C439" s="66"/>
    </row>
    <row r="440">
      <c r="C440" s="66"/>
    </row>
    <row r="441">
      <c r="C441" s="66"/>
    </row>
    <row r="442">
      <c r="C442" s="66"/>
    </row>
    <row r="443">
      <c r="C443" s="66"/>
    </row>
    <row r="444">
      <c r="C444" s="66"/>
    </row>
    <row r="445">
      <c r="C445" s="66"/>
    </row>
    <row r="446">
      <c r="C446" s="66"/>
    </row>
    <row r="447">
      <c r="C447" s="66"/>
    </row>
    <row r="448">
      <c r="C448" s="66"/>
    </row>
    <row r="449">
      <c r="C449" s="66"/>
    </row>
    <row r="450">
      <c r="C450" s="66"/>
    </row>
    <row r="451">
      <c r="C451" s="66"/>
    </row>
    <row r="452">
      <c r="C452" s="66"/>
    </row>
    <row r="453">
      <c r="C453" s="66"/>
    </row>
    <row r="454">
      <c r="C454" s="66"/>
    </row>
    <row r="455">
      <c r="C455" s="66"/>
    </row>
    <row r="456">
      <c r="C456" s="66"/>
    </row>
    <row r="457">
      <c r="C457" s="66"/>
    </row>
    <row r="458">
      <c r="C458" s="66"/>
    </row>
    <row r="459">
      <c r="C459" s="66"/>
    </row>
    <row r="460">
      <c r="C460" s="66"/>
    </row>
    <row r="461">
      <c r="C461" s="66"/>
    </row>
    <row r="462">
      <c r="C462" s="66"/>
    </row>
    <row r="463">
      <c r="C463" s="66"/>
    </row>
    <row r="464">
      <c r="C464" s="66"/>
    </row>
    <row r="465">
      <c r="C465" s="66"/>
    </row>
    <row r="466">
      <c r="C466" s="66"/>
    </row>
    <row r="467">
      <c r="C467" s="66"/>
    </row>
    <row r="468">
      <c r="C468" s="66"/>
    </row>
    <row r="469">
      <c r="C469" s="66"/>
    </row>
    <row r="470">
      <c r="C470" s="66"/>
    </row>
    <row r="471">
      <c r="C471" s="66"/>
    </row>
    <row r="472">
      <c r="C472" s="66"/>
    </row>
    <row r="473">
      <c r="C473" s="66"/>
    </row>
    <row r="474">
      <c r="C474" s="66"/>
    </row>
    <row r="475">
      <c r="C475" s="66"/>
    </row>
    <row r="476">
      <c r="C476" s="66"/>
    </row>
    <row r="477">
      <c r="C477" s="66"/>
    </row>
    <row r="478">
      <c r="C478" s="66"/>
    </row>
    <row r="479">
      <c r="C479" s="66"/>
    </row>
    <row r="480">
      <c r="C480" s="66"/>
    </row>
    <row r="481">
      <c r="C481" s="66"/>
    </row>
    <row r="482">
      <c r="C482" s="66"/>
    </row>
    <row r="483">
      <c r="C483" s="66"/>
    </row>
    <row r="484">
      <c r="C484" s="66"/>
    </row>
    <row r="485">
      <c r="C485" s="66"/>
    </row>
    <row r="486">
      <c r="C486" s="66"/>
    </row>
    <row r="487">
      <c r="C487" s="66"/>
    </row>
    <row r="488">
      <c r="C488" s="66"/>
    </row>
    <row r="489">
      <c r="C489" s="66"/>
    </row>
    <row r="490">
      <c r="C490" s="66"/>
    </row>
    <row r="491">
      <c r="C491" s="66"/>
    </row>
    <row r="492">
      <c r="C492" s="66"/>
    </row>
    <row r="493">
      <c r="C493" s="66"/>
    </row>
    <row r="494">
      <c r="C494" s="66"/>
    </row>
    <row r="495">
      <c r="C495" s="66"/>
    </row>
    <row r="496">
      <c r="C496" s="66"/>
    </row>
    <row r="497">
      <c r="C497" s="66"/>
    </row>
    <row r="498">
      <c r="C498" s="66"/>
    </row>
    <row r="499">
      <c r="C499" s="66"/>
    </row>
    <row r="500">
      <c r="C500" s="66"/>
    </row>
    <row r="501">
      <c r="C501" s="66"/>
    </row>
    <row r="502">
      <c r="C502" s="66"/>
    </row>
    <row r="503">
      <c r="C503" s="66"/>
    </row>
    <row r="504">
      <c r="C504" s="66"/>
    </row>
    <row r="505">
      <c r="C505" s="66"/>
    </row>
    <row r="506">
      <c r="C506" s="66"/>
    </row>
    <row r="507">
      <c r="C507" s="66"/>
    </row>
    <row r="508">
      <c r="C508" s="66"/>
    </row>
    <row r="509">
      <c r="C509" s="66"/>
    </row>
    <row r="510">
      <c r="C510" s="66"/>
    </row>
    <row r="511">
      <c r="C511" s="66"/>
    </row>
    <row r="512">
      <c r="C512" s="66"/>
    </row>
    <row r="513">
      <c r="C513" s="66"/>
    </row>
    <row r="514">
      <c r="C514" s="66"/>
    </row>
    <row r="515">
      <c r="C515" s="66"/>
    </row>
    <row r="516">
      <c r="C516" s="66"/>
    </row>
    <row r="517">
      <c r="C517" s="66"/>
    </row>
    <row r="518">
      <c r="C518" s="66"/>
    </row>
    <row r="519">
      <c r="C519" s="66"/>
    </row>
    <row r="520">
      <c r="C520" s="66"/>
    </row>
    <row r="521">
      <c r="C521" s="66"/>
    </row>
    <row r="522">
      <c r="C522" s="66"/>
    </row>
    <row r="523">
      <c r="C523" s="66"/>
    </row>
    <row r="524">
      <c r="C524" s="66"/>
    </row>
    <row r="525">
      <c r="C525" s="66"/>
    </row>
    <row r="526">
      <c r="C526" s="66"/>
    </row>
    <row r="527">
      <c r="C527" s="66"/>
    </row>
    <row r="528">
      <c r="C528" s="66"/>
    </row>
    <row r="529">
      <c r="C529" s="66"/>
    </row>
    <row r="530">
      <c r="C530" s="66"/>
    </row>
    <row r="531">
      <c r="C531" s="66"/>
    </row>
    <row r="532">
      <c r="C532" s="66"/>
    </row>
    <row r="533">
      <c r="C533" s="66"/>
    </row>
    <row r="534">
      <c r="C534" s="66"/>
    </row>
    <row r="535">
      <c r="C535" s="66"/>
    </row>
    <row r="536">
      <c r="C536" s="66"/>
    </row>
    <row r="537">
      <c r="C537" s="66"/>
    </row>
    <row r="538">
      <c r="C538" s="66"/>
    </row>
    <row r="539">
      <c r="C539" s="66"/>
    </row>
    <row r="540">
      <c r="C540" s="66"/>
    </row>
    <row r="541">
      <c r="C541" s="66"/>
    </row>
    <row r="542">
      <c r="C542" s="66"/>
    </row>
    <row r="543">
      <c r="C543" s="66"/>
    </row>
    <row r="544">
      <c r="C544" s="66"/>
    </row>
    <row r="545">
      <c r="C545" s="66"/>
    </row>
    <row r="546">
      <c r="C546" s="66"/>
    </row>
    <row r="547">
      <c r="C547" s="66"/>
    </row>
    <row r="548">
      <c r="C548" s="66"/>
    </row>
    <row r="549">
      <c r="C549" s="66"/>
    </row>
    <row r="550">
      <c r="C550" s="66"/>
    </row>
    <row r="551">
      <c r="C551" s="66"/>
    </row>
    <row r="552">
      <c r="C552" s="66"/>
    </row>
    <row r="553">
      <c r="C553" s="66"/>
    </row>
    <row r="554">
      <c r="C554" s="66"/>
    </row>
    <row r="555">
      <c r="C555" s="66"/>
    </row>
    <row r="556">
      <c r="C556" s="66"/>
    </row>
    <row r="557">
      <c r="C557" s="66"/>
    </row>
    <row r="558">
      <c r="C558" s="66"/>
    </row>
    <row r="559">
      <c r="C559" s="66"/>
    </row>
    <row r="560">
      <c r="C560" s="66"/>
    </row>
    <row r="561">
      <c r="C561" s="66"/>
    </row>
    <row r="562">
      <c r="C562" s="66"/>
    </row>
    <row r="563">
      <c r="C563" s="66"/>
    </row>
    <row r="564">
      <c r="C564" s="66"/>
    </row>
    <row r="565">
      <c r="C565" s="66"/>
    </row>
    <row r="566">
      <c r="C566" s="66"/>
    </row>
    <row r="567">
      <c r="C567" s="66"/>
    </row>
    <row r="568">
      <c r="C568" s="66"/>
    </row>
    <row r="569">
      <c r="C569" s="66"/>
    </row>
    <row r="570">
      <c r="C570" s="66"/>
    </row>
    <row r="571">
      <c r="C571" s="66"/>
    </row>
    <row r="572">
      <c r="C572" s="66"/>
    </row>
    <row r="573">
      <c r="C573" s="66"/>
    </row>
    <row r="574">
      <c r="C574" s="66"/>
    </row>
    <row r="575">
      <c r="C575" s="66"/>
    </row>
    <row r="576">
      <c r="C576" s="66"/>
    </row>
    <row r="577">
      <c r="C577" s="66"/>
    </row>
    <row r="578">
      <c r="C578" s="66"/>
    </row>
    <row r="579">
      <c r="C579" s="66"/>
    </row>
    <row r="580">
      <c r="C580" s="66"/>
    </row>
    <row r="581">
      <c r="C581" s="66"/>
    </row>
    <row r="582">
      <c r="C582" s="66"/>
    </row>
    <row r="583">
      <c r="C583" s="66"/>
    </row>
    <row r="584">
      <c r="C584" s="66"/>
    </row>
    <row r="585">
      <c r="C585" s="66"/>
    </row>
    <row r="586">
      <c r="C586" s="66"/>
    </row>
    <row r="587">
      <c r="C587" s="66"/>
    </row>
    <row r="588">
      <c r="C588" s="66"/>
    </row>
    <row r="589">
      <c r="C589" s="66"/>
    </row>
    <row r="590">
      <c r="C590" s="66"/>
    </row>
    <row r="591">
      <c r="C591" s="66"/>
    </row>
    <row r="592">
      <c r="C592" s="66"/>
    </row>
    <row r="593">
      <c r="C593" s="66"/>
    </row>
    <row r="594">
      <c r="C594" s="66"/>
    </row>
    <row r="595">
      <c r="C595" s="66"/>
    </row>
    <row r="596">
      <c r="C596" s="66"/>
    </row>
    <row r="597">
      <c r="C597" s="66"/>
    </row>
    <row r="598">
      <c r="C598" s="66"/>
    </row>
    <row r="599">
      <c r="C599" s="66"/>
    </row>
    <row r="600">
      <c r="C600" s="66"/>
    </row>
    <row r="601">
      <c r="C601" s="66"/>
    </row>
    <row r="602">
      <c r="C602" s="66"/>
    </row>
    <row r="603">
      <c r="C603" s="66"/>
    </row>
    <row r="604">
      <c r="C604" s="66"/>
    </row>
    <row r="605">
      <c r="C605" s="66"/>
    </row>
    <row r="606">
      <c r="C606" s="66"/>
    </row>
    <row r="607">
      <c r="C607" s="66"/>
    </row>
    <row r="608">
      <c r="C608" s="66"/>
    </row>
    <row r="609">
      <c r="C609" s="66"/>
    </row>
    <row r="610">
      <c r="C610" s="66"/>
    </row>
    <row r="611">
      <c r="C611" s="66"/>
    </row>
    <row r="612">
      <c r="C612" s="66"/>
    </row>
    <row r="613">
      <c r="C613" s="66"/>
    </row>
    <row r="614">
      <c r="C614" s="66"/>
    </row>
    <row r="615">
      <c r="C615" s="66"/>
    </row>
    <row r="616">
      <c r="C616" s="66"/>
    </row>
    <row r="617">
      <c r="C617" s="66"/>
    </row>
    <row r="618">
      <c r="C618" s="66"/>
    </row>
    <row r="619">
      <c r="C619" s="66"/>
    </row>
    <row r="620">
      <c r="C620" s="66"/>
    </row>
    <row r="621">
      <c r="C621" s="66"/>
    </row>
    <row r="622">
      <c r="C622" s="66"/>
    </row>
    <row r="623">
      <c r="C623" s="66"/>
    </row>
    <row r="624">
      <c r="C624" s="66"/>
    </row>
    <row r="625">
      <c r="C625" s="66"/>
    </row>
    <row r="626">
      <c r="C626" s="66"/>
    </row>
    <row r="627">
      <c r="C627" s="66"/>
    </row>
    <row r="628">
      <c r="C628" s="66"/>
    </row>
    <row r="629">
      <c r="C629" s="66"/>
    </row>
    <row r="630">
      <c r="C630" s="66"/>
    </row>
    <row r="631">
      <c r="C631" s="66"/>
    </row>
    <row r="632">
      <c r="C632" s="66"/>
    </row>
    <row r="633">
      <c r="C633" s="66"/>
    </row>
    <row r="634">
      <c r="C634" s="66"/>
    </row>
    <row r="635">
      <c r="C635" s="66"/>
    </row>
    <row r="636">
      <c r="C636" s="66"/>
    </row>
    <row r="637">
      <c r="C637" s="66"/>
    </row>
    <row r="638">
      <c r="C638" s="66"/>
    </row>
    <row r="639">
      <c r="C639" s="66"/>
    </row>
    <row r="640">
      <c r="C640" s="66"/>
    </row>
    <row r="641">
      <c r="C641" s="66"/>
    </row>
    <row r="642">
      <c r="C642" s="66"/>
    </row>
    <row r="643">
      <c r="C643" s="66"/>
    </row>
    <row r="644">
      <c r="C644" s="66"/>
    </row>
    <row r="645">
      <c r="C645" s="66"/>
    </row>
    <row r="646">
      <c r="C646" s="66"/>
    </row>
    <row r="647">
      <c r="C647" s="66"/>
    </row>
    <row r="648">
      <c r="C648" s="66"/>
    </row>
    <row r="649">
      <c r="C649" s="66"/>
    </row>
    <row r="650">
      <c r="C650" s="66"/>
    </row>
    <row r="651">
      <c r="C651" s="66"/>
    </row>
    <row r="652">
      <c r="C652" s="66"/>
    </row>
    <row r="653">
      <c r="C653" s="66"/>
    </row>
    <row r="654">
      <c r="C654" s="66"/>
    </row>
    <row r="655">
      <c r="C655" s="66"/>
    </row>
    <row r="656">
      <c r="C656" s="66"/>
    </row>
    <row r="657">
      <c r="C657" s="66"/>
    </row>
    <row r="658">
      <c r="C658" s="66"/>
    </row>
    <row r="659">
      <c r="C659" s="66"/>
    </row>
    <row r="660">
      <c r="C660" s="66"/>
    </row>
    <row r="661">
      <c r="C661" s="66"/>
    </row>
    <row r="662">
      <c r="C662" s="66"/>
    </row>
    <row r="663">
      <c r="C663" s="66"/>
    </row>
    <row r="664">
      <c r="C664" s="66"/>
    </row>
    <row r="665">
      <c r="C665" s="66"/>
    </row>
    <row r="666">
      <c r="C666" s="66"/>
    </row>
    <row r="667">
      <c r="C667" s="66"/>
    </row>
    <row r="668">
      <c r="C668" s="66"/>
    </row>
    <row r="669">
      <c r="C669" s="66"/>
    </row>
    <row r="670">
      <c r="C670" s="66"/>
    </row>
    <row r="671">
      <c r="C671" s="66"/>
    </row>
    <row r="672">
      <c r="C672" s="66"/>
    </row>
    <row r="673">
      <c r="C673" s="66"/>
    </row>
    <row r="674">
      <c r="C674" s="66"/>
    </row>
    <row r="675">
      <c r="C675" s="66"/>
    </row>
    <row r="676">
      <c r="C676" s="66"/>
    </row>
    <row r="677">
      <c r="C677" s="66"/>
    </row>
    <row r="678">
      <c r="C678" s="66"/>
    </row>
    <row r="679">
      <c r="C679" s="66"/>
    </row>
    <row r="680">
      <c r="C680" s="66"/>
    </row>
    <row r="681">
      <c r="C681" s="66"/>
    </row>
    <row r="682">
      <c r="C682" s="66"/>
    </row>
    <row r="683">
      <c r="C683" s="66"/>
    </row>
    <row r="684">
      <c r="C684" s="66"/>
    </row>
    <row r="685">
      <c r="C685" s="66"/>
    </row>
    <row r="686">
      <c r="C686" s="66"/>
    </row>
    <row r="687">
      <c r="C687" s="66"/>
    </row>
    <row r="688">
      <c r="C688" s="66"/>
    </row>
    <row r="689">
      <c r="C689" s="66"/>
    </row>
    <row r="690">
      <c r="C690" s="66"/>
    </row>
    <row r="691">
      <c r="C691" s="66"/>
    </row>
    <row r="692">
      <c r="C692" s="66"/>
    </row>
    <row r="693">
      <c r="C693" s="66"/>
    </row>
    <row r="694">
      <c r="C694" s="66"/>
    </row>
    <row r="695">
      <c r="C695" s="66"/>
    </row>
    <row r="696">
      <c r="C696" s="66"/>
    </row>
    <row r="697">
      <c r="C697" s="66"/>
    </row>
    <row r="698">
      <c r="C698" s="66"/>
    </row>
    <row r="699">
      <c r="C699" s="66"/>
    </row>
    <row r="700">
      <c r="C700" s="66"/>
    </row>
    <row r="701">
      <c r="C701" s="66"/>
    </row>
    <row r="702">
      <c r="C702" s="66"/>
    </row>
    <row r="703">
      <c r="C703" s="66"/>
    </row>
    <row r="704">
      <c r="C704" s="66"/>
    </row>
    <row r="705">
      <c r="C705" s="66"/>
    </row>
    <row r="706">
      <c r="C706" s="66"/>
    </row>
    <row r="707">
      <c r="C707" s="66"/>
    </row>
    <row r="708">
      <c r="C708" s="66"/>
    </row>
    <row r="709">
      <c r="C709" s="66"/>
    </row>
    <row r="710">
      <c r="C710" s="66"/>
    </row>
    <row r="711">
      <c r="C711" s="66"/>
    </row>
    <row r="712">
      <c r="C712" s="66"/>
    </row>
    <row r="713">
      <c r="C713" s="66"/>
    </row>
    <row r="714">
      <c r="C714" s="66"/>
    </row>
    <row r="715">
      <c r="C715" s="66"/>
    </row>
    <row r="716">
      <c r="C716" s="66"/>
    </row>
    <row r="717">
      <c r="C717" s="66"/>
    </row>
    <row r="718">
      <c r="C718" s="66"/>
    </row>
    <row r="719">
      <c r="C719" s="66"/>
    </row>
    <row r="720">
      <c r="C720" s="66"/>
    </row>
    <row r="721">
      <c r="C721" s="66"/>
    </row>
    <row r="722">
      <c r="C722" s="66"/>
    </row>
    <row r="723">
      <c r="C723" s="66"/>
    </row>
    <row r="724">
      <c r="C724" s="66"/>
    </row>
    <row r="725">
      <c r="C725" s="66"/>
    </row>
    <row r="726">
      <c r="C726" s="66"/>
    </row>
    <row r="727">
      <c r="C727" s="66"/>
    </row>
    <row r="728">
      <c r="C728" s="66"/>
    </row>
    <row r="729">
      <c r="C729" s="66"/>
    </row>
    <row r="730">
      <c r="C730" s="66"/>
    </row>
    <row r="731">
      <c r="C731" s="66"/>
    </row>
    <row r="732">
      <c r="C732" s="66"/>
    </row>
    <row r="733">
      <c r="C733" s="66"/>
    </row>
    <row r="734">
      <c r="C734" s="66"/>
    </row>
    <row r="735">
      <c r="C735" s="66"/>
    </row>
    <row r="736">
      <c r="C736" s="66"/>
    </row>
    <row r="737">
      <c r="C737" s="66"/>
    </row>
    <row r="738">
      <c r="C738" s="66"/>
    </row>
    <row r="739">
      <c r="C739" s="66"/>
    </row>
    <row r="740">
      <c r="C740" s="66"/>
    </row>
    <row r="741">
      <c r="C741" s="66"/>
    </row>
    <row r="742">
      <c r="C742" s="66"/>
    </row>
    <row r="743">
      <c r="C743" s="66"/>
    </row>
    <row r="744">
      <c r="C744" s="66"/>
    </row>
    <row r="745">
      <c r="C745" s="66"/>
    </row>
    <row r="746">
      <c r="C746" s="66"/>
    </row>
    <row r="747">
      <c r="C747" s="66"/>
    </row>
    <row r="748">
      <c r="C748" s="66"/>
    </row>
    <row r="749">
      <c r="C749" s="66"/>
    </row>
    <row r="750">
      <c r="C750" s="66"/>
    </row>
    <row r="751">
      <c r="C751" s="66"/>
    </row>
    <row r="752">
      <c r="C752" s="66"/>
    </row>
    <row r="753">
      <c r="C753" s="66"/>
    </row>
    <row r="754">
      <c r="C754" s="66"/>
    </row>
    <row r="755">
      <c r="C755" s="66"/>
    </row>
    <row r="756">
      <c r="C756" s="66"/>
    </row>
    <row r="757">
      <c r="C757" s="66"/>
    </row>
    <row r="758">
      <c r="C758" s="66"/>
    </row>
    <row r="759">
      <c r="C759" s="66"/>
    </row>
    <row r="760">
      <c r="C760" s="66"/>
    </row>
    <row r="761">
      <c r="C761" s="66"/>
    </row>
    <row r="762">
      <c r="C762" s="66"/>
    </row>
    <row r="763">
      <c r="C763" s="66"/>
    </row>
    <row r="764">
      <c r="C764" s="66"/>
    </row>
    <row r="765">
      <c r="C765" s="66"/>
    </row>
    <row r="766">
      <c r="C766" s="66"/>
    </row>
    <row r="767">
      <c r="C767" s="66"/>
    </row>
    <row r="768">
      <c r="C768" s="66"/>
    </row>
    <row r="769">
      <c r="C769" s="66"/>
    </row>
    <row r="770">
      <c r="C770" s="66"/>
    </row>
    <row r="771">
      <c r="C771" s="66"/>
    </row>
    <row r="772">
      <c r="C772" s="66"/>
    </row>
    <row r="773">
      <c r="C773" s="66"/>
    </row>
    <row r="774">
      <c r="C774" s="66"/>
    </row>
    <row r="775">
      <c r="C775" s="66"/>
    </row>
    <row r="776">
      <c r="C776" s="66"/>
    </row>
    <row r="777">
      <c r="C777" s="66"/>
    </row>
    <row r="778">
      <c r="C778" s="66"/>
    </row>
    <row r="779">
      <c r="C779" s="66"/>
    </row>
    <row r="780">
      <c r="C780" s="66"/>
    </row>
    <row r="781">
      <c r="C781" s="66"/>
    </row>
    <row r="782">
      <c r="C782" s="66"/>
    </row>
    <row r="783">
      <c r="C783" s="66"/>
    </row>
    <row r="784">
      <c r="C784" s="66"/>
    </row>
    <row r="785">
      <c r="C785" s="66"/>
    </row>
    <row r="786">
      <c r="C786" s="66"/>
    </row>
    <row r="787">
      <c r="C787" s="66"/>
    </row>
    <row r="788">
      <c r="C788" s="66"/>
    </row>
    <row r="789">
      <c r="C789" s="66"/>
    </row>
    <row r="790">
      <c r="C790" s="66"/>
    </row>
    <row r="791">
      <c r="C791" s="66"/>
    </row>
    <row r="792">
      <c r="C792" s="66"/>
    </row>
    <row r="793">
      <c r="C793" s="66"/>
    </row>
    <row r="794">
      <c r="C794" s="66"/>
    </row>
    <row r="795">
      <c r="C795" s="66"/>
    </row>
    <row r="796">
      <c r="C796" s="66"/>
    </row>
    <row r="797">
      <c r="C797" s="66"/>
    </row>
    <row r="798">
      <c r="C798" s="66"/>
    </row>
    <row r="799">
      <c r="C799" s="66"/>
    </row>
    <row r="800">
      <c r="C800" s="66"/>
    </row>
    <row r="801">
      <c r="C801" s="66"/>
    </row>
    <row r="802">
      <c r="C802" s="66"/>
    </row>
    <row r="803">
      <c r="C803" s="66"/>
    </row>
    <row r="804">
      <c r="C804" s="66"/>
    </row>
    <row r="805">
      <c r="C805" s="66"/>
    </row>
    <row r="806">
      <c r="C806" s="66"/>
    </row>
    <row r="807">
      <c r="C807" s="66"/>
    </row>
    <row r="808">
      <c r="C808" s="66"/>
    </row>
    <row r="809">
      <c r="C809" s="66"/>
    </row>
    <row r="810">
      <c r="C810" s="66"/>
    </row>
    <row r="811">
      <c r="C811" s="66"/>
    </row>
    <row r="812">
      <c r="C812" s="66"/>
    </row>
    <row r="813">
      <c r="C813" s="66"/>
    </row>
    <row r="814">
      <c r="C814" s="66"/>
    </row>
    <row r="815">
      <c r="C815" s="66"/>
    </row>
    <row r="816">
      <c r="C816" s="66"/>
    </row>
    <row r="817">
      <c r="C817" s="66"/>
    </row>
    <row r="818">
      <c r="C818" s="66"/>
    </row>
    <row r="819">
      <c r="C819" s="66"/>
    </row>
    <row r="820">
      <c r="C820" s="66"/>
    </row>
    <row r="821">
      <c r="C821" s="66"/>
    </row>
    <row r="822">
      <c r="C822" s="66"/>
    </row>
    <row r="823">
      <c r="C823" s="66"/>
    </row>
    <row r="824">
      <c r="C824" s="66"/>
    </row>
    <row r="825">
      <c r="C825" s="66"/>
    </row>
    <row r="826">
      <c r="C826" s="66"/>
    </row>
    <row r="827">
      <c r="C827" s="66"/>
    </row>
    <row r="828">
      <c r="C828" s="66"/>
    </row>
    <row r="829">
      <c r="C829" s="66"/>
    </row>
    <row r="830">
      <c r="C830" s="66"/>
    </row>
    <row r="831">
      <c r="C831" s="66"/>
    </row>
    <row r="832">
      <c r="C832" s="66"/>
    </row>
    <row r="833">
      <c r="C833" s="66"/>
    </row>
    <row r="834">
      <c r="C834" s="66"/>
    </row>
    <row r="835">
      <c r="C835" s="66"/>
    </row>
    <row r="836">
      <c r="C836" s="66"/>
    </row>
    <row r="837">
      <c r="C837" s="66"/>
    </row>
    <row r="838">
      <c r="C838" s="66"/>
    </row>
    <row r="839">
      <c r="C839" s="66"/>
    </row>
    <row r="840">
      <c r="C840" s="66"/>
    </row>
    <row r="841">
      <c r="C841" s="66"/>
    </row>
    <row r="842">
      <c r="C842" s="66"/>
    </row>
    <row r="843">
      <c r="C843" s="66"/>
    </row>
    <row r="844">
      <c r="C844" s="66"/>
    </row>
    <row r="845">
      <c r="C845" s="66"/>
    </row>
    <row r="846">
      <c r="C846" s="66"/>
    </row>
    <row r="847">
      <c r="C847" s="66"/>
    </row>
    <row r="848">
      <c r="C848" s="66"/>
    </row>
    <row r="849">
      <c r="C849" s="66"/>
    </row>
    <row r="850">
      <c r="C850" s="66"/>
    </row>
    <row r="851">
      <c r="C851" s="66"/>
    </row>
    <row r="852">
      <c r="C852" s="66"/>
    </row>
    <row r="853">
      <c r="C853" s="66"/>
    </row>
    <row r="854">
      <c r="C854" s="66"/>
    </row>
    <row r="855">
      <c r="C855" s="66"/>
    </row>
    <row r="856">
      <c r="C856" s="66"/>
    </row>
    <row r="857">
      <c r="C857" s="66"/>
    </row>
    <row r="858">
      <c r="C858" s="66"/>
    </row>
    <row r="859">
      <c r="C859" s="66"/>
    </row>
    <row r="860">
      <c r="C860" s="66"/>
    </row>
    <row r="861">
      <c r="C861" s="66"/>
    </row>
    <row r="862">
      <c r="C862" s="66"/>
    </row>
    <row r="863">
      <c r="C863" s="66"/>
    </row>
    <row r="864">
      <c r="C864" s="66"/>
    </row>
    <row r="865">
      <c r="C865" s="66"/>
    </row>
    <row r="866">
      <c r="C866" s="66"/>
    </row>
    <row r="867">
      <c r="C867" s="66"/>
    </row>
    <row r="868">
      <c r="C868" s="66"/>
    </row>
    <row r="869">
      <c r="C869" s="66"/>
    </row>
    <row r="870">
      <c r="C870" s="66"/>
    </row>
    <row r="871">
      <c r="C871" s="66"/>
    </row>
    <row r="872">
      <c r="C872" s="66"/>
    </row>
    <row r="873">
      <c r="C873" s="66"/>
    </row>
    <row r="874">
      <c r="C874" s="66"/>
    </row>
    <row r="875">
      <c r="C875" s="66"/>
    </row>
    <row r="876">
      <c r="C876" s="66"/>
    </row>
    <row r="877">
      <c r="C877" s="66"/>
    </row>
    <row r="878">
      <c r="C878" s="66"/>
    </row>
    <row r="879">
      <c r="C879" s="66"/>
    </row>
    <row r="880">
      <c r="C880" s="66"/>
    </row>
    <row r="881">
      <c r="C881" s="66"/>
    </row>
    <row r="882">
      <c r="C882" s="66"/>
    </row>
    <row r="883">
      <c r="C883" s="66"/>
    </row>
    <row r="884">
      <c r="C884" s="66"/>
    </row>
    <row r="885">
      <c r="C885" s="66"/>
    </row>
    <row r="886">
      <c r="C886" s="66"/>
    </row>
    <row r="887">
      <c r="C887" s="66"/>
    </row>
    <row r="888">
      <c r="C888" s="66"/>
    </row>
    <row r="889">
      <c r="C889" s="66"/>
    </row>
    <row r="890">
      <c r="C890" s="66"/>
    </row>
    <row r="891">
      <c r="C891" s="66"/>
    </row>
    <row r="892">
      <c r="C892" s="66"/>
    </row>
    <row r="893">
      <c r="C893" s="66"/>
    </row>
    <row r="894">
      <c r="C894" s="66"/>
    </row>
    <row r="895">
      <c r="C895" s="66"/>
    </row>
    <row r="896">
      <c r="C896" s="66"/>
    </row>
    <row r="897">
      <c r="C897" s="66"/>
    </row>
    <row r="898">
      <c r="C898" s="66"/>
    </row>
    <row r="899">
      <c r="C899" s="66"/>
    </row>
    <row r="900">
      <c r="C900" s="66"/>
    </row>
    <row r="901">
      <c r="C901" s="66"/>
    </row>
    <row r="902">
      <c r="C902" s="66"/>
    </row>
    <row r="903">
      <c r="C903" s="66"/>
    </row>
    <row r="904">
      <c r="C904" s="66"/>
    </row>
    <row r="905">
      <c r="C905" s="66"/>
    </row>
    <row r="906">
      <c r="C906" s="66"/>
    </row>
    <row r="907">
      <c r="C907" s="66"/>
    </row>
    <row r="908">
      <c r="C908" s="66"/>
    </row>
    <row r="909">
      <c r="C909" s="66"/>
    </row>
    <row r="910">
      <c r="C910" s="66"/>
    </row>
    <row r="911">
      <c r="C911" s="66"/>
    </row>
    <row r="912">
      <c r="C912" s="66"/>
    </row>
    <row r="913">
      <c r="C913" s="66"/>
    </row>
    <row r="914">
      <c r="C914" s="66"/>
    </row>
    <row r="915">
      <c r="C915" s="66"/>
    </row>
    <row r="916">
      <c r="C916" s="66"/>
    </row>
    <row r="917">
      <c r="C917" s="66"/>
    </row>
    <row r="918">
      <c r="C918" s="66"/>
    </row>
    <row r="919">
      <c r="C919" s="66"/>
    </row>
    <row r="920">
      <c r="C920" s="66"/>
    </row>
    <row r="921">
      <c r="C921" s="66"/>
    </row>
    <row r="922">
      <c r="C922" s="66"/>
    </row>
    <row r="923">
      <c r="C923" s="66"/>
    </row>
    <row r="924">
      <c r="C924" s="66"/>
    </row>
    <row r="925">
      <c r="C925" s="66"/>
    </row>
    <row r="926">
      <c r="C926" s="66"/>
    </row>
    <row r="927">
      <c r="C927" s="66"/>
    </row>
    <row r="928">
      <c r="C928" s="66"/>
    </row>
    <row r="929">
      <c r="C929" s="66"/>
    </row>
    <row r="930">
      <c r="C930" s="66"/>
    </row>
    <row r="931">
      <c r="C931" s="66"/>
    </row>
    <row r="932">
      <c r="C932" s="66"/>
    </row>
    <row r="933">
      <c r="C933" s="66"/>
    </row>
    <row r="934">
      <c r="C934" s="66"/>
    </row>
    <row r="935">
      <c r="C935" s="66"/>
    </row>
    <row r="936">
      <c r="C936" s="66"/>
    </row>
    <row r="937">
      <c r="C937" s="66"/>
    </row>
    <row r="938">
      <c r="C938" s="66"/>
    </row>
    <row r="939">
      <c r="C939" s="66"/>
    </row>
    <row r="940">
      <c r="C940" s="66"/>
    </row>
    <row r="941">
      <c r="C941" s="66"/>
    </row>
    <row r="942">
      <c r="C942" s="66"/>
    </row>
    <row r="943">
      <c r="C943" s="66"/>
    </row>
    <row r="944">
      <c r="C944" s="66"/>
    </row>
    <row r="945">
      <c r="C945" s="66"/>
    </row>
    <row r="946">
      <c r="C946" s="66"/>
    </row>
    <row r="947">
      <c r="C947" s="66"/>
    </row>
    <row r="948">
      <c r="C948" s="66"/>
    </row>
    <row r="949">
      <c r="C949" s="66"/>
    </row>
    <row r="950">
      <c r="C950" s="66"/>
    </row>
    <row r="951">
      <c r="C951" s="66"/>
    </row>
    <row r="952">
      <c r="C952" s="66"/>
    </row>
    <row r="953">
      <c r="C953" s="66"/>
    </row>
    <row r="954">
      <c r="C954" s="66"/>
    </row>
    <row r="955">
      <c r="C955" s="66"/>
    </row>
    <row r="956">
      <c r="C956" s="66"/>
    </row>
    <row r="957">
      <c r="C957" s="66"/>
    </row>
    <row r="958">
      <c r="C958" s="66"/>
    </row>
    <row r="959">
      <c r="C959" s="66"/>
    </row>
    <row r="960">
      <c r="C960" s="66"/>
    </row>
    <row r="961">
      <c r="C961" s="66"/>
    </row>
    <row r="962">
      <c r="C962" s="66"/>
    </row>
    <row r="963">
      <c r="C963" s="66"/>
    </row>
    <row r="964">
      <c r="C964" s="66"/>
    </row>
    <row r="965">
      <c r="C965" s="66"/>
    </row>
    <row r="966">
      <c r="C966" s="66"/>
    </row>
    <row r="967">
      <c r="C967" s="66"/>
    </row>
    <row r="968">
      <c r="C968" s="66"/>
    </row>
    <row r="969">
      <c r="C969" s="66"/>
    </row>
    <row r="970">
      <c r="C970" s="66"/>
    </row>
    <row r="971">
      <c r="C971" s="66"/>
    </row>
    <row r="972">
      <c r="C972" s="66"/>
    </row>
    <row r="973">
      <c r="C973" s="66"/>
    </row>
    <row r="974">
      <c r="C974" s="66"/>
    </row>
    <row r="975">
      <c r="C975" s="66"/>
    </row>
    <row r="976">
      <c r="C976" s="66"/>
    </row>
    <row r="977">
      <c r="C977" s="66"/>
    </row>
    <row r="978">
      <c r="C978" s="66"/>
    </row>
    <row r="979">
      <c r="C979" s="66"/>
    </row>
    <row r="980">
      <c r="C980" s="66"/>
    </row>
    <row r="981">
      <c r="C981" s="66"/>
    </row>
    <row r="982">
      <c r="C982" s="66"/>
    </row>
    <row r="983">
      <c r="C983" s="66"/>
    </row>
    <row r="984">
      <c r="C984" s="66"/>
    </row>
    <row r="985">
      <c r="C985" s="66"/>
    </row>
    <row r="986">
      <c r="C986" s="66"/>
    </row>
    <row r="987">
      <c r="C987" s="66"/>
    </row>
    <row r="988">
      <c r="C988" s="66"/>
    </row>
    <row r="989">
      <c r="C989" s="66"/>
    </row>
    <row r="990">
      <c r="C990" s="66"/>
    </row>
    <row r="991">
      <c r="C991" s="66"/>
    </row>
    <row r="992">
      <c r="C992" s="66"/>
    </row>
    <row r="993">
      <c r="C993" s="66"/>
    </row>
    <row r="994">
      <c r="C994" s="66"/>
    </row>
    <row r="995">
      <c r="C995" s="66"/>
    </row>
    <row r="996">
      <c r="C996" s="66"/>
    </row>
    <row r="997">
      <c r="C997" s="66"/>
    </row>
    <row r="998">
      <c r="C998" s="66"/>
    </row>
    <row r="999">
      <c r="C999" s="66"/>
    </row>
    <row r="1000">
      <c r="C1000" s="66"/>
    </row>
  </sheetData>
  <mergeCells count="31">
    <mergeCell ref="B1:D3"/>
    <mergeCell ref="E1:K3"/>
    <mergeCell ref="L1:M1"/>
    <mergeCell ref="L2:M2"/>
    <mergeCell ref="L3:M3"/>
    <mergeCell ref="B4:K4"/>
    <mergeCell ref="L4:M4"/>
    <mergeCell ref="K8:K9"/>
    <mergeCell ref="L8:L9"/>
    <mergeCell ref="F10:L10"/>
    <mergeCell ref="M10:M12"/>
    <mergeCell ref="F11:H11"/>
    <mergeCell ref="I11:K11"/>
    <mergeCell ref="L11:L12"/>
    <mergeCell ref="B6:D7"/>
    <mergeCell ref="B8:E9"/>
    <mergeCell ref="F8:F9"/>
    <mergeCell ref="G8:G9"/>
    <mergeCell ref="H8:H9"/>
    <mergeCell ref="I8:I9"/>
    <mergeCell ref="J8:J9"/>
    <mergeCell ref="C25:C26"/>
    <mergeCell ref="C27:C28"/>
    <mergeCell ref="C29:C33"/>
    <mergeCell ref="B10:B12"/>
    <mergeCell ref="C10:C12"/>
    <mergeCell ref="D10:D12"/>
    <mergeCell ref="E10:E12"/>
    <mergeCell ref="C13:C16"/>
    <mergeCell ref="C18:C19"/>
    <mergeCell ref="C20:C23"/>
  </mergeCells>
  <conditionalFormatting sqref="B8:M102">
    <cfRule type="cellIs" dxfId="1" priority="1" operator="equal">
      <formula>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3.13"/>
    <col customWidth="1" min="2" max="2" width="6.38"/>
    <col customWidth="1" min="3" max="3" width="12.63"/>
    <col customWidth="1" min="4" max="4" width="27.0"/>
    <col customWidth="1" min="5" max="7" width="21.88"/>
    <col customWidth="1" min="8" max="8" width="20.38"/>
    <col customWidth="1" min="9" max="9" width="4.75"/>
  </cols>
  <sheetData>
    <row r="1">
      <c r="A1" s="186"/>
      <c r="B1" s="1"/>
      <c r="C1" s="2"/>
      <c r="D1" s="2"/>
      <c r="E1" s="3" t="s">
        <v>0</v>
      </c>
      <c r="F1" s="2"/>
      <c r="G1" s="2"/>
      <c r="H1" s="4" t="s">
        <v>1</v>
      </c>
      <c r="I1" s="5"/>
    </row>
    <row r="2">
      <c r="A2" s="186"/>
      <c r="B2" s="6"/>
      <c r="E2" s="6"/>
      <c r="H2" s="58" t="s">
        <v>2</v>
      </c>
      <c r="I2" s="193"/>
    </row>
    <row r="3">
      <c r="A3" s="186"/>
      <c r="B3" s="6"/>
      <c r="E3" s="67"/>
      <c r="F3" s="10"/>
      <c r="G3" s="10"/>
      <c r="H3" s="59" t="s">
        <v>3</v>
      </c>
      <c r="I3" s="194"/>
    </row>
    <row r="4">
      <c r="A4" s="186"/>
      <c r="B4" s="12" t="s">
        <v>4</v>
      </c>
      <c r="C4" s="13"/>
      <c r="D4" s="13"/>
      <c r="E4" s="13"/>
      <c r="F4" s="13"/>
      <c r="G4" s="13"/>
      <c r="H4" s="15" t="s">
        <v>5</v>
      </c>
      <c r="I4" s="11"/>
    </row>
    <row r="5" ht="7.5" customHeight="1">
      <c r="A5" s="186"/>
      <c r="B5" s="162"/>
      <c r="C5" s="162"/>
      <c r="D5" s="162"/>
      <c r="E5" s="186"/>
      <c r="F5" s="186"/>
      <c r="G5" s="186"/>
      <c r="H5" s="186"/>
      <c r="I5" s="186"/>
    </row>
    <row r="6">
      <c r="A6" s="164"/>
      <c r="B6" s="165" t="s">
        <v>75</v>
      </c>
      <c r="C6" s="2"/>
      <c r="D6" s="5"/>
      <c r="E6" s="164"/>
      <c r="F6" s="164"/>
      <c r="G6" s="164"/>
      <c r="H6" s="164"/>
      <c r="I6" s="164"/>
    </row>
    <row r="7" ht="12.75" customHeight="1">
      <c r="A7" s="164"/>
      <c r="B7" s="67"/>
      <c r="C7" s="10"/>
      <c r="D7" s="11"/>
      <c r="E7" s="164"/>
      <c r="F7" s="164"/>
      <c r="G7" s="164"/>
      <c r="H7" s="164"/>
      <c r="I7" s="164"/>
    </row>
    <row r="8" ht="11.25" customHeight="1">
      <c r="A8" s="164"/>
      <c r="B8" s="167" t="s">
        <v>263</v>
      </c>
      <c r="C8" s="2"/>
      <c r="D8" s="2"/>
      <c r="E8" s="5"/>
      <c r="F8" s="195">
        <f>SUM(F13:F188)*(1+Appendix!$B$8)/Appendix!$B$13</f>
        <v>0.78</v>
      </c>
      <c r="G8" s="195">
        <f>SUM(G13:G188)*(1+Appendix!$B$8)/Appendix!$B$13</f>
        <v>0.234</v>
      </c>
      <c r="H8" s="196"/>
      <c r="I8" s="164"/>
    </row>
    <row r="9" ht="11.25" customHeight="1">
      <c r="A9" s="164"/>
      <c r="B9" s="67"/>
      <c r="C9" s="10"/>
      <c r="D9" s="10"/>
      <c r="E9" s="11"/>
      <c r="F9" s="113"/>
      <c r="G9" s="113"/>
      <c r="H9" s="196"/>
      <c r="I9" s="164"/>
    </row>
    <row r="10">
      <c r="A10" s="164"/>
      <c r="B10" s="187" t="s">
        <v>7</v>
      </c>
      <c r="C10" s="187" t="s">
        <v>264</v>
      </c>
      <c r="D10" s="187" t="s">
        <v>344</v>
      </c>
      <c r="E10" s="190" t="s">
        <v>266</v>
      </c>
      <c r="F10" s="22" t="s">
        <v>267</v>
      </c>
      <c r="G10" s="14"/>
      <c r="H10" s="190" t="s">
        <v>69</v>
      </c>
      <c r="I10" s="164"/>
    </row>
    <row r="11">
      <c r="A11" s="164"/>
      <c r="B11" s="110"/>
      <c r="C11" s="110"/>
      <c r="D11" s="110"/>
      <c r="E11" s="110"/>
      <c r="F11" s="22" t="s">
        <v>75</v>
      </c>
      <c r="G11" s="14"/>
      <c r="H11" s="110"/>
      <c r="I11" s="164"/>
    </row>
    <row r="12">
      <c r="A12" s="164"/>
      <c r="B12" s="113"/>
      <c r="C12" s="113"/>
      <c r="D12" s="113"/>
      <c r="E12" s="113"/>
      <c r="F12" s="21" t="s">
        <v>269</v>
      </c>
      <c r="G12" s="21" t="s">
        <v>270</v>
      </c>
      <c r="H12" s="113"/>
      <c r="I12" s="164"/>
    </row>
    <row r="13">
      <c r="A13" s="164"/>
      <c r="B13" s="173">
        <v>1.0</v>
      </c>
      <c r="C13" s="180" t="s">
        <v>315</v>
      </c>
      <c r="D13" s="174" t="s">
        <v>316</v>
      </c>
      <c r="E13" s="191"/>
      <c r="F13" s="191">
        <v>2.0</v>
      </c>
      <c r="G13" s="191">
        <f>F13*Appendix!$B$11</f>
        <v>0.6</v>
      </c>
      <c r="H13" s="176"/>
      <c r="I13" s="164"/>
    </row>
    <row r="14">
      <c r="A14" s="164"/>
      <c r="B14" s="173">
        <v>2.0</v>
      </c>
      <c r="C14" s="110"/>
      <c r="D14" s="174" t="s">
        <v>317</v>
      </c>
      <c r="E14" s="191"/>
      <c r="F14" s="191">
        <v>1.0</v>
      </c>
      <c r="G14" s="191">
        <f>F14*Appendix!$B$11</f>
        <v>0.3</v>
      </c>
      <c r="H14" s="176"/>
      <c r="I14" s="164"/>
    </row>
    <row r="15">
      <c r="A15" s="164"/>
      <c r="B15" s="173">
        <v>3.0</v>
      </c>
      <c r="C15" s="110"/>
      <c r="D15" s="174" t="s">
        <v>318</v>
      </c>
      <c r="E15" s="191"/>
      <c r="F15" s="191">
        <v>3.0</v>
      </c>
      <c r="G15" s="191">
        <f>F15*Appendix!$B$11</f>
        <v>0.9</v>
      </c>
      <c r="H15" s="176"/>
      <c r="I15" s="164"/>
    </row>
    <row r="16">
      <c r="A16" s="164"/>
      <c r="B16" s="173">
        <v>4.0</v>
      </c>
      <c r="C16" s="113"/>
      <c r="D16" s="174" t="s">
        <v>319</v>
      </c>
      <c r="E16" s="191"/>
      <c r="F16" s="191">
        <v>4.0</v>
      </c>
      <c r="G16" s="191">
        <f>F16*Appendix!$B$11</f>
        <v>1.2</v>
      </c>
      <c r="H16" s="176"/>
      <c r="I16" s="164"/>
    </row>
    <row r="17">
      <c r="A17" s="164"/>
      <c r="B17" s="173">
        <v>5.0</v>
      </c>
      <c r="C17" s="27" t="s">
        <v>320</v>
      </c>
      <c r="D17" s="174" t="s">
        <v>321</v>
      </c>
      <c r="E17" s="191"/>
      <c r="F17" s="191">
        <v>2.0</v>
      </c>
      <c r="G17" s="191">
        <f>F17*Appendix!$B$11</f>
        <v>0.6</v>
      </c>
      <c r="H17" s="176"/>
      <c r="I17" s="164"/>
    </row>
    <row r="18">
      <c r="C18" s="66"/>
    </row>
    <row r="19">
      <c r="C19" s="66"/>
    </row>
    <row r="20">
      <c r="C20" s="66"/>
    </row>
    <row r="21">
      <c r="C21" s="66"/>
    </row>
    <row r="22">
      <c r="C22" s="66"/>
    </row>
    <row r="23">
      <c r="C23" s="66"/>
    </row>
    <row r="24">
      <c r="C24" s="66"/>
    </row>
    <row r="25">
      <c r="C25" s="66"/>
    </row>
    <row r="26">
      <c r="C26" s="66"/>
    </row>
    <row r="27">
      <c r="C27" s="66"/>
    </row>
    <row r="28">
      <c r="C28" s="66"/>
    </row>
    <row r="29">
      <c r="C29" s="66"/>
    </row>
    <row r="30">
      <c r="C30" s="66"/>
    </row>
    <row r="31">
      <c r="C31" s="66"/>
    </row>
    <row r="32">
      <c r="C32" s="66"/>
    </row>
    <row r="33">
      <c r="C33" s="66"/>
    </row>
    <row r="34">
      <c r="C34" s="66"/>
    </row>
    <row r="35">
      <c r="C35" s="66"/>
    </row>
    <row r="36">
      <c r="C36" s="66"/>
    </row>
    <row r="37">
      <c r="C37" s="66"/>
    </row>
    <row r="38">
      <c r="C38" s="66"/>
    </row>
    <row r="39">
      <c r="C39" s="66"/>
    </row>
    <row r="40">
      <c r="C40" s="66"/>
    </row>
    <row r="41">
      <c r="C41" s="66"/>
    </row>
    <row r="42">
      <c r="C42" s="66"/>
    </row>
    <row r="43">
      <c r="C43" s="66"/>
    </row>
    <row r="44">
      <c r="C44" s="66"/>
    </row>
    <row r="45">
      <c r="C45" s="66"/>
    </row>
    <row r="46">
      <c r="C46" s="66"/>
    </row>
    <row r="47">
      <c r="C47" s="66"/>
    </row>
    <row r="48">
      <c r="C48" s="66"/>
    </row>
    <row r="49">
      <c r="C49" s="66"/>
    </row>
    <row r="50">
      <c r="C50" s="66"/>
    </row>
    <row r="51">
      <c r="C51" s="66"/>
    </row>
    <row r="52">
      <c r="C52" s="66"/>
    </row>
    <row r="53">
      <c r="C53" s="66"/>
    </row>
    <row r="54">
      <c r="C54" s="66"/>
    </row>
    <row r="55">
      <c r="C55" s="66"/>
    </row>
    <row r="56">
      <c r="C56" s="66"/>
    </row>
    <row r="57">
      <c r="C57" s="66"/>
    </row>
    <row r="58">
      <c r="C58" s="66"/>
    </row>
    <row r="59">
      <c r="C59" s="66"/>
    </row>
    <row r="60">
      <c r="C60" s="66"/>
    </row>
    <row r="61">
      <c r="C61" s="66"/>
    </row>
    <row r="62">
      <c r="C62" s="66"/>
    </row>
    <row r="63">
      <c r="C63" s="66"/>
    </row>
    <row r="64">
      <c r="C64" s="66"/>
    </row>
    <row r="65">
      <c r="C65" s="66"/>
    </row>
    <row r="66">
      <c r="C66" s="66"/>
    </row>
    <row r="67">
      <c r="C67" s="66"/>
    </row>
    <row r="68">
      <c r="C68" s="66"/>
    </row>
    <row r="69">
      <c r="C69" s="66"/>
    </row>
    <row r="70">
      <c r="C70" s="66"/>
    </row>
    <row r="71">
      <c r="C71" s="66"/>
    </row>
    <row r="72">
      <c r="C72" s="66"/>
    </row>
    <row r="73">
      <c r="C73" s="66"/>
    </row>
    <row r="74">
      <c r="C74" s="66"/>
    </row>
    <row r="75">
      <c r="C75" s="66"/>
    </row>
    <row r="76">
      <c r="C76" s="66"/>
    </row>
    <row r="77">
      <c r="C77" s="66"/>
    </row>
    <row r="78">
      <c r="C78" s="66"/>
    </row>
    <row r="79">
      <c r="C79" s="66"/>
    </row>
    <row r="80">
      <c r="C80" s="66"/>
    </row>
    <row r="81">
      <c r="C81" s="66"/>
    </row>
    <row r="82">
      <c r="C82" s="66"/>
    </row>
    <row r="83">
      <c r="C83" s="66"/>
    </row>
    <row r="84">
      <c r="C84" s="66"/>
    </row>
    <row r="85">
      <c r="C85" s="66"/>
    </row>
    <row r="86">
      <c r="C86" s="66"/>
    </row>
    <row r="87">
      <c r="C87" s="66"/>
    </row>
    <row r="88">
      <c r="C88" s="66"/>
    </row>
    <row r="89">
      <c r="C89" s="66"/>
    </row>
    <row r="90">
      <c r="C90" s="66"/>
    </row>
    <row r="91">
      <c r="C91" s="66"/>
    </row>
    <row r="92">
      <c r="C92" s="66"/>
    </row>
    <row r="93">
      <c r="C93" s="66"/>
    </row>
    <row r="94">
      <c r="C94" s="66"/>
    </row>
    <row r="95">
      <c r="C95" s="66"/>
    </row>
    <row r="96">
      <c r="C96" s="66"/>
    </row>
    <row r="97">
      <c r="C97" s="66"/>
    </row>
    <row r="98">
      <c r="C98" s="66"/>
    </row>
    <row r="99">
      <c r="C99" s="66"/>
    </row>
    <row r="100">
      <c r="C100" s="66"/>
    </row>
    <row r="101">
      <c r="C101" s="66"/>
    </row>
    <row r="102">
      <c r="C102" s="66"/>
    </row>
    <row r="103">
      <c r="C103" s="66"/>
    </row>
    <row r="104">
      <c r="C104" s="66"/>
    </row>
    <row r="105">
      <c r="C105" s="66"/>
    </row>
    <row r="106">
      <c r="C106" s="66"/>
    </row>
    <row r="107">
      <c r="C107" s="66"/>
    </row>
    <row r="108">
      <c r="C108" s="66"/>
    </row>
    <row r="109">
      <c r="C109" s="66"/>
    </row>
    <row r="110">
      <c r="C110" s="66"/>
    </row>
    <row r="111">
      <c r="C111" s="66"/>
    </row>
    <row r="112">
      <c r="C112" s="66"/>
    </row>
    <row r="113">
      <c r="C113" s="66"/>
    </row>
    <row r="114">
      <c r="C114" s="66"/>
    </row>
    <row r="115">
      <c r="C115" s="66"/>
    </row>
    <row r="116">
      <c r="C116" s="66"/>
    </row>
    <row r="117">
      <c r="C117" s="66"/>
    </row>
    <row r="118">
      <c r="C118" s="66"/>
    </row>
    <row r="119">
      <c r="C119" s="66"/>
    </row>
    <row r="120">
      <c r="C120" s="66"/>
    </row>
    <row r="121">
      <c r="C121" s="66"/>
    </row>
    <row r="122">
      <c r="C122" s="66"/>
    </row>
    <row r="123">
      <c r="C123" s="66"/>
    </row>
    <row r="124">
      <c r="C124" s="66"/>
    </row>
    <row r="125">
      <c r="C125" s="66"/>
    </row>
    <row r="126">
      <c r="C126" s="66"/>
    </row>
    <row r="127">
      <c r="C127" s="66"/>
    </row>
    <row r="128">
      <c r="C128" s="66"/>
    </row>
    <row r="129">
      <c r="C129" s="66"/>
    </row>
    <row r="130">
      <c r="C130" s="66"/>
    </row>
    <row r="131">
      <c r="C131" s="66"/>
    </row>
    <row r="132">
      <c r="C132" s="66"/>
    </row>
    <row r="133">
      <c r="C133" s="66"/>
    </row>
    <row r="134">
      <c r="C134" s="66"/>
    </row>
    <row r="135">
      <c r="C135" s="66"/>
    </row>
    <row r="136">
      <c r="C136" s="66"/>
    </row>
    <row r="137">
      <c r="C137" s="66"/>
    </row>
    <row r="138">
      <c r="C138" s="66"/>
    </row>
    <row r="139">
      <c r="C139" s="66"/>
    </row>
    <row r="140">
      <c r="C140" s="66"/>
    </row>
    <row r="141">
      <c r="C141" s="66"/>
    </row>
    <row r="142">
      <c r="C142" s="66"/>
    </row>
    <row r="143">
      <c r="C143" s="66"/>
    </row>
    <row r="144">
      <c r="C144" s="66"/>
    </row>
    <row r="145">
      <c r="C145" s="66"/>
    </row>
    <row r="146">
      <c r="C146" s="66"/>
    </row>
    <row r="147">
      <c r="C147" s="66"/>
    </row>
    <row r="148">
      <c r="C148" s="66"/>
    </row>
    <row r="149">
      <c r="C149" s="66"/>
    </row>
    <row r="150">
      <c r="C150" s="66"/>
    </row>
    <row r="151">
      <c r="C151" s="66"/>
    </row>
    <row r="152">
      <c r="C152" s="66"/>
    </row>
    <row r="153">
      <c r="C153" s="66"/>
    </row>
    <row r="154">
      <c r="C154" s="66"/>
    </row>
    <row r="155">
      <c r="C155" s="66"/>
    </row>
    <row r="156">
      <c r="C156" s="66"/>
    </row>
    <row r="157">
      <c r="C157" s="66"/>
    </row>
    <row r="158">
      <c r="C158" s="66"/>
    </row>
    <row r="159">
      <c r="C159" s="66"/>
    </row>
    <row r="160">
      <c r="C160" s="66"/>
    </row>
    <row r="161">
      <c r="C161" s="66"/>
    </row>
    <row r="162">
      <c r="C162" s="66"/>
    </row>
    <row r="163">
      <c r="C163" s="66"/>
    </row>
    <row r="164">
      <c r="C164" s="66"/>
    </row>
    <row r="165">
      <c r="C165" s="66"/>
    </row>
    <row r="166">
      <c r="C166" s="66"/>
    </row>
    <row r="167">
      <c r="C167" s="66"/>
    </row>
    <row r="168">
      <c r="C168" s="66"/>
    </row>
    <row r="169">
      <c r="C169" s="66"/>
    </row>
    <row r="170">
      <c r="C170" s="66"/>
    </row>
    <row r="171">
      <c r="C171" s="66"/>
    </row>
    <row r="172">
      <c r="C172" s="66"/>
    </row>
    <row r="173">
      <c r="C173" s="66"/>
    </row>
    <row r="174">
      <c r="C174" s="66"/>
    </row>
    <row r="175">
      <c r="C175" s="66"/>
    </row>
    <row r="176">
      <c r="C176" s="66"/>
    </row>
    <row r="177">
      <c r="C177" s="66"/>
    </row>
    <row r="178">
      <c r="C178" s="66"/>
    </row>
    <row r="179">
      <c r="C179" s="66"/>
    </row>
    <row r="180">
      <c r="C180" s="66"/>
    </row>
    <row r="181">
      <c r="C181" s="66"/>
    </row>
    <row r="182">
      <c r="C182" s="66"/>
    </row>
    <row r="183">
      <c r="C183" s="66"/>
    </row>
    <row r="184">
      <c r="C184" s="66"/>
    </row>
    <row r="185">
      <c r="C185" s="66"/>
    </row>
    <row r="186">
      <c r="C186" s="66"/>
    </row>
    <row r="187">
      <c r="C187" s="66"/>
    </row>
    <row r="188">
      <c r="C188" s="66"/>
    </row>
    <row r="189">
      <c r="C189" s="66"/>
    </row>
    <row r="190">
      <c r="C190" s="66"/>
    </row>
    <row r="191">
      <c r="C191" s="66"/>
    </row>
    <row r="192">
      <c r="C192" s="66"/>
    </row>
    <row r="193">
      <c r="C193" s="66"/>
    </row>
    <row r="194">
      <c r="C194" s="66"/>
    </row>
    <row r="195">
      <c r="C195" s="66"/>
    </row>
    <row r="196">
      <c r="C196" s="66"/>
    </row>
    <row r="197">
      <c r="C197" s="66"/>
    </row>
    <row r="198">
      <c r="C198" s="66"/>
    </row>
    <row r="199">
      <c r="C199" s="66"/>
    </row>
    <row r="200">
      <c r="C200" s="66"/>
    </row>
    <row r="201">
      <c r="C201" s="66"/>
    </row>
    <row r="202">
      <c r="C202" s="66"/>
    </row>
    <row r="203">
      <c r="C203" s="66"/>
    </row>
    <row r="204">
      <c r="C204" s="66"/>
    </row>
    <row r="205">
      <c r="C205" s="66"/>
    </row>
    <row r="206">
      <c r="C206" s="66"/>
    </row>
    <row r="207">
      <c r="C207" s="66"/>
    </row>
    <row r="208">
      <c r="C208" s="66"/>
    </row>
    <row r="209">
      <c r="C209" s="66"/>
    </row>
    <row r="210">
      <c r="C210" s="66"/>
    </row>
    <row r="211">
      <c r="C211" s="66"/>
    </row>
    <row r="212">
      <c r="C212" s="66"/>
    </row>
    <row r="213">
      <c r="C213" s="66"/>
    </row>
    <row r="214">
      <c r="C214" s="66"/>
    </row>
    <row r="215">
      <c r="C215" s="66"/>
    </row>
    <row r="216">
      <c r="C216" s="66"/>
    </row>
    <row r="217">
      <c r="C217" s="66"/>
    </row>
    <row r="218">
      <c r="C218" s="66"/>
    </row>
    <row r="219">
      <c r="C219" s="66"/>
    </row>
    <row r="220">
      <c r="C220" s="66"/>
    </row>
    <row r="221">
      <c r="C221" s="66"/>
    </row>
    <row r="222">
      <c r="C222" s="66"/>
    </row>
    <row r="223">
      <c r="C223" s="66"/>
    </row>
    <row r="224">
      <c r="C224" s="66"/>
    </row>
    <row r="225">
      <c r="C225" s="66"/>
    </row>
    <row r="226">
      <c r="C226" s="66"/>
    </row>
    <row r="227">
      <c r="C227" s="66"/>
    </row>
    <row r="228">
      <c r="C228" s="66"/>
    </row>
    <row r="229">
      <c r="C229" s="66"/>
    </row>
    <row r="230">
      <c r="C230" s="66"/>
    </row>
    <row r="231">
      <c r="C231" s="66"/>
    </row>
    <row r="232">
      <c r="C232" s="66"/>
    </row>
    <row r="233">
      <c r="C233" s="66"/>
    </row>
    <row r="234">
      <c r="C234" s="66"/>
    </row>
    <row r="235">
      <c r="C235" s="66"/>
    </row>
    <row r="236">
      <c r="C236" s="66"/>
    </row>
    <row r="237">
      <c r="C237" s="66"/>
    </row>
    <row r="238">
      <c r="C238" s="66"/>
    </row>
    <row r="239">
      <c r="C239" s="66"/>
    </row>
    <row r="240">
      <c r="C240" s="66"/>
    </row>
    <row r="241">
      <c r="C241" s="66"/>
    </row>
    <row r="242">
      <c r="C242" s="66"/>
    </row>
    <row r="243">
      <c r="C243" s="66"/>
    </row>
    <row r="244">
      <c r="C244" s="66"/>
    </row>
    <row r="245">
      <c r="C245" s="66"/>
    </row>
    <row r="246">
      <c r="C246" s="66"/>
    </row>
    <row r="247">
      <c r="C247" s="66"/>
    </row>
    <row r="248">
      <c r="C248" s="66"/>
    </row>
    <row r="249">
      <c r="C249" s="66"/>
    </row>
    <row r="250">
      <c r="C250" s="66"/>
    </row>
    <row r="251">
      <c r="C251" s="66"/>
    </row>
    <row r="252">
      <c r="C252" s="66"/>
    </row>
    <row r="253">
      <c r="C253" s="66"/>
    </row>
    <row r="254">
      <c r="C254" s="66"/>
    </row>
    <row r="255">
      <c r="C255" s="66"/>
    </row>
    <row r="256">
      <c r="C256" s="66"/>
    </row>
    <row r="257">
      <c r="C257" s="66"/>
    </row>
    <row r="258">
      <c r="C258" s="66"/>
    </row>
    <row r="259">
      <c r="C259" s="66"/>
    </row>
    <row r="260">
      <c r="C260" s="66"/>
    </row>
    <row r="261">
      <c r="C261" s="66"/>
    </row>
    <row r="262">
      <c r="C262" s="66"/>
    </row>
    <row r="263">
      <c r="C263" s="66"/>
    </row>
    <row r="264">
      <c r="C264" s="66"/>
    </row>
    <row r="265">
      <c r="C265" s="66"/>
    </row>
    <row r="266">
      <c r="C266" s="66"/>
    </row>
    <row r="267">
      <c r="C267" s="66"/>
    </row>
    <row r="268">
      <c r="C268" s="66"/>
    </row>
    <row r="269">
      <c r="C269" s="66"/>
    </row>
    <row r="270">
      <c r="C270" s="66"/>
    </row>
    <row r="271">
      <c r="C271" s="66"/>
    </row>
    <row r="272">
      <c r="C272" s="66"/>
    </row>
    <row r="273">
      <c r="C273" s="66"/>
    </row>
    <row r="274">
      <c r="C274" s="66"/>
    </row>
    <row r="275">
      <c r="C275" s="66"/>
    </row>
    <row r="276">
      <c r="C276" s="66"/>
    </row>
    <row r="277">
      <c r="C277" s="66"/>
    </row>
    <row r="278">
      <c r="C278" s="66"/>
    </row>
    <row r="279">
      <c r="C279" s="66"/>
    </row>
    <row r="280">
      <c r="C280" s="66"/>
    </row>
    <row r="281">
      <c r="C281" s="66"/>
    </row>
    <row r="282">
      <c r="C282" s="66"/>
    </row>
    <row r="283">
      <c r="C283" s="66"/>
    </row>
    <row r="284">
      <c r="C284" s="66"/>
    </row>
    <row r="285">
      <c r="C285" s="66"/>
    </row>
    <row r="286">
      <c r="C286" s="66"/>
    </row>
    <row r="287">
      <c r="C287" s="66"/>
    </row>
    <row r="288">
      <c r="C288" s="66"/>
    </row>
    <row r="289">
      <c r="C289" s="66"/>
    </row>
    <row r="290">
      <c r="C290" s="66"/>
    </row>
    <row r="291">
      <c r="C291" s="66"/>
    </row>
    <row r="292">
      <c r="C292" s="66"/>
    </row>
    <row r="293">
      <c r="C293" s="66"/>
    </row>
    <row r="294">
      <c r="C294" s="66"/>
    </row>
    <row r="295">
      <c r="C295" s="66"/>
    </row>
    <row r="296">
      <c r="C296" s="66"/>
    </row>
    <row r="297">
      <c r="C297" s="66"/>
    </row>
    <row r="298">
      <c r="C298" s="66"/>
    </row>
    <row r="299">
      <c r="C299" s="66"/>
    </row>
    <row r="300">
      <c r="C300" s="66"/>
    </row>
    <row r="301">
      <c r="C301" s="66"/>
    </row>
    <row r="302">
      <c r="C302" s="66"/>
    </row>
    <row r="303">
      <c r="C303" s="66"/>
    </row>
    <row r="304">
      <c r="C304" s="66"/>
    </row>
    <row r="305">
      <c r="C305" s="66"/>
    </row>
    <row r="306">
      <c r="C306" s="66"/>
    </row>
    <row r="307">
      <c r="C307" s="66"/>
    </row>
    <row r="308">
      <c r="C308" s="66"/>
    </row>
    <row r="309">
      <c r="C309" s="66"/>
    </row>
    <row r="310">
      <c r="C310" s="66"/>
    </row>
    <row r="311">
      <c r="C311" s="66"/>
    </row>
    <row r="312">
      <c r="C312" s="66"/>
    </row>
    <row r="313">
      <c r="C313" s="66"/>
    </row>
    <row r="314">
      <c r="C314" s="66"/>
    </row>
    <row r="315">
      <c r="C315" s="66"/>
    </row>
    <row r="316">
      <c r="C316" s="66"/>
    </row>
    <row r="317">
      <c r="C317" s="66"/>
    </row>
    <row r="318">
      <c r="C318" s="66"/>
    </row>
    <row r="319">
      <c r="C319" s="66"/>
    </row>
    <row r="320">
      <c r="C320" s="66"/>
    </row>
    <row r="321">
      <c r="C321" s="66"/>
    </row>
    <row r="322">
      <c r="C322" s="66"/>
    </row>
    <row r="323">
      <c r="C323" s="66"/>
    </row>
    <row r="324">
      <c r="C324" s="66"/>
    </row>
    <row r="325">
      <c r="C325" s="66"/>
    </row>
    <row r="326">
      <c r="C326" s="66"/>
    </row>
    <row r="327">
      <c r="C327" s="66"/>
    </row>
    <row r="328">
      <c r="C328" s="66"/>
    </row>
    <row r="329">
      <c r="C329" s="66"/>
    </row>
    <row r="330">
      <c r="C330" s="66"/>
    </row>
    <row r="331">
      <c r="C331" s="66"/>
    </row>
    <row r="332">
      <c r="C332" s="66"/>
    </row>
    <row r="333">
      <c r="C333" s="66"/>
    </row>
    <row r="334">
      <c r="C334" s="66"/>
    </row>
    <row r="335">
      <c r="C335" s="66"/>
    </row>
    <row r="336">
      <c r="C336" s="66"/>
    </row>
    <row r="337">
      <c r="C337" s="66"/>
    </row>
    <row r="338">
      <c r="C338" s="66"/>
    </row>
    <row r="339">
      <c r="C339" s="66"/>
    </row>
    <row r="340">
      <c r="C340" s="66"/>
    </row>
    <row r="341">
      <c r="C341" s="66"/>
    </row>
    <row r="342">
      <c r="C342" s="66"/>
    </row>
    <row r="343">
      <c r="C343" s="66"/>
    </row>
    <row r="344">
      <c r="C344" s="66"/>
    </row>
    <row r="345">
      <c r="C345" s="66"/>
    </row>
    <row r="346">
      <c r="C346" s="66"/>
    </row>
    <row r="347">
      <c r="C347" s="66"/>
    </row>
    <row r="348">
      <c r="C348" s="66"/>
    </row>
    <row r="349">
      <c r="C349" s="66"/>
    </row>
    <row r="350">
      <c r="C350" s="66"/>
    </row>
    <row r="351">
      <c r="C351" s="66"/>
    </row>
    <row r="352">
      <c r="C352" s="66"/>
    </row>
    <row r="353">
      <c r="C353" s="66"/>
    </row>
    <row r="354">
      <c r="C354" s="66"/>
    </row>
    <row r="355">
      <c r="C355" s="66"/>
    </row>
    <row r="356">
      <c r="C356" s="66"/>
    </row>
    <row r="357">
      <c r="C357" s="66"/>
    </row>
    <row r="358">
      <c r="C358" s="66"/>
    </row>
    <row r="359">
      <c r="C359" s="66"/>
    </row>
    <row r="360">
      <c r="C360" s="66"/>
    </row>
    <row r="361">
      <c r="C361" s="66"/>
    </row>
    <row r="362">
      <c r="C362" s="66"/>
    </row>
    <row r="363">
      <c r="C363" s="66"/>
    </row>
    <row r="364">
      <c r="C364" s="66"/>
    </row>
    <row r="365">
      <c r="C365" s="66"/>
    </row>
    <row r="366">
      <c r="C366" s="66"/>
    </row>
    <row r="367">
      <c r="C367" s="66"/>
    </row>
    <row r="368">
      <c r="C368" s="66"/>
    </row>
    <row r="369">
      <c r="C369" s="66"/>
    </row>
    <row r="370">
      <c r="C370" s="66"/>
    </row>
    <row r="371">
      <c r="C371" s="66"/>
    </row>
    <row r="372">
      <c r="C372" s="66"/>
    </row>
    <row r="373">
      <c r="C373" s="66"/>
    </row>
    <row r="374">
      <c r="C374" s="66"/>
    </row>
    <row r="375">
      <c r="C375" s="66"/>
    </row>
    <row r="376">
      <c r="C376" s="66"/>
    </row>
    <row r="377">
      <c r="C377" s="66"/>
    </row>
    <row r="378">
      <c r="C378" s="66"/>
    </row>
    <row r="379">
      <c r="C379" s="66"/>
    </row>
    <row r="380">
      <c r="C380" s="66"/>
    </row>
    <row r="381">
      <c r="C381" s="66"/>
    </row>
    <row r="382">
      <c r="C382" s="66"/>
    </row>
    <row r="383">
      <c r="C383" s="66"/>
    </row>
    <row r="384">
      <c r="C384" s="66"/>
    </row>
    <row r="385">
      <c r="C385" s="66"/>
    </row>
    <row r="386">
      <c r="C386" s="66"/>
    </row>
    <row r="387">
      <c r="C387" s="66"/>
    </row>
    <row r="388">
      <c r="C388" s="66"/>
    </row>
    <row r="389">
      <c r="C389" s="66"/>
    </row>
    <row r="390">
      <c r="C390" s="66"/>
    </row>
    <row r="391">
      <c r="C391" s="66"/>
    </row>
    <row r="392">
      <c r="C392" s="66"/>
    </row>
    <row r="393">
      <c r="C393" s="66"/>
    </row>
    <row r="394">
      <c r="C394" s="66"/>
    </row>
    <row r="395">
      <c r="C395" s="66"/>
    </row>
    <row r="396">
      <c r="C396" s="66"/>
    </row>
    <row r="397">
      <c r="C397" s="66"/>
    </row>
    <row r="398">
      <c r="C398" s="66"/>
    </row>
    <row r="399">
      <c r="C399" s="66"/>
    </row>
    <row r="400">
      <c r="C400" s="66"/>
    </row>
    <row r="401">
      <c r="C401" s="66"/>
    </row>
    <row r="402">
      <c r="C402" s="66"/>
    </row>
    <row r="403">
      <c r="C403" s="66"/>
    </row>
    <row r="404">
      <c r="C404" s="66"/>
    </row>
    <row r="405">
      <c r="C405" s="66"/>
    </row>
    <row r="406">
      <c r="C406" s="66"/>
    </row>
    <row r="407">
      <c r="C407" s="66"/>
    </row>
    <row r="408">
      <c r="C408" s="66"/>
    </row>
    <row r="409">
      <c r="C409" s="66"/>
    </row>
    <row r="410">
      <c r="C410" s="66"/>
    </row>
    <row r="411">
      <c r="C411" s="66"/>
    </row>
    <row r="412">
      <c r="C412" s="66"/>
    </row>
    <row r="413">
      <c r="C413" s="66"/>
    </row>
    <row r="414">
      <c r="C414" s="66"/>
    </row>
    <row r="415">
      <c r="C415" s="66"/>
    </row>
    <row r="416">
      <c r="C416" s="66"/>
    </row>
    <row r="417">
      <c r="C417" s="66"/>
    </row>
    <row r="418">
      <c r="C418" s="66"/>
    </row>
    <row r="419">
      <c r="C419" s="66"/>
    </row>
    <row r="420">
      <c r="C420" s="66"/>
    </row>
    <row r="421">
      <c r="C421" s="66"/>
    </row>
    <row r="422">
      <c r="C422" s="66"/>
    </row>
    <row r="423">
      <c r="C423" s="66"/>
    </row>
    <row r="424">
      <c r="C424" s="66"/>
    </row>
    <row r="425">
      <c r="C425" s="66"/>
    </row>
    <row r="426">
      <c r="C426" s="66"/>
    </row>
    <row r="427">
      <c r="C427" s="66"/>
    </row>
    <row r="428">
      <c r="C428" s="66"/>
    </row>
    <row r="429">
      <c r="C429" s="66"/>
    </row>
    <row r="430">
      <c r="C430" s="66"/>
    </row>
    <row r="431">
      <c r="C431" s="66"/>
    </row>
    <row r="432">
      <c r="C432" s="66"/>
    </row>
    <row r="433">
      <c r="C433" s="66"/>
    </row>
    <row r="434">
      <c r="C434" s="66"/>
    </row>
    <row r="435">
      <c r="C435" s="66"/>
    </row>
    <row r="436">
      <c r="C436" s="66"/>
    </row>
    <row r="437">
      <c r="C437" s="66"/>
    </row>
    <row r="438">
      <c r="C438" s="66"/>
    </row>
    <row r="439">
      <c r="C439" s="66"/>
    </row>
    <row r="440">
      <c r="C440" s="66"/>
    </row>
    <row r="441">
      <c r="C441" s="66"/>
    </row>
    <row r="442">
      <c r="C442" s="66"/>
    </row>
    <row r="443">
      <c r="C443" s="66"/>
    </row>
    <row r="444">
      <c r="C444" s="66"/>
    </row>
    <row r="445">
      <c r="C445" s="66"/>
    </row>
    <row r="446">
      <c r="C446" s="66"/>
    </row>
    <row r="447">
      <c r="C447" s="66"/>
    </row>
    <row r="448">
      <c r="C448" s="66"/>
    </row>
    <row r="449">
      <c r="C449" s="66"/>
    </row>
    <row r="450">
      <c r="C450" s="66"/>
    </row>
    <row r="451">
      <c r="C451" s="66"/>
    </row>
    <row r="452">
      <c r="C452" s="66"/>
    </row>
    <row r="453">
      <c r="C453" s="66"/>
    </row>
    <row r="454">
      <c r="C454" s="66"/>
    </row>
    <row r="455">
      <c r="C455" s="66"/>
    </row>
    <row r="456">
      <c r="C456" s="66"/>
    </row>
    <row r="457">
      <c r="C457" s="66"/>
    </row>
    <row r="458">
      <c r="C458" s="66"/>
    </row>
    <row r="459">
      <c r="C459" s="66"/>
    </row>
    <row r="460">
      <c r="C460" s="66"/>
    </row>
    <row r="461">
      <c r="C461" s="66"/>
    </row>
    <row r="462">
      <c r="C462" s="66"/>
    </row>
    <row r="463">
      <c r="C463" s="66"/>
    </row>
    <row r="464">
      <c r="C464" s="66"/>
    </row>
    <row r="465">
      <c r="C465" s="66"/>
    </row>
    <row r="466">
      <c r="C466" s="66"/>
    </row>
    <row r="467">
      <c r="C467" s="66"/>
    </row>
    <row r="468">
      <c r="C468" s="66"/>
    </row>
    <row r="469">
      <c r="C469" s="66"/>
    </row>
    <row r="470">
      <c r="C470" s="66"/>
    </row>
    <row r="471">
      <c r="C471" s="66"/>
    </row>
    <row r="472">
      <c r="C472" s="66"/>
    </row>
    <row r="473">
      <c r="C473" s="66"/>
    </row>
    <row r="474">
      <c r="C474" s="66"/>
    </row>
    <row r="475">
      <c r="C475" s="66"/>
    </row>
    <row r="476">
      <c r="C476" s="66"/>
    </row>
    <row r="477">
      <c r="C477" s="66"/>
    </row>
    <row r="478">
      <c r="C478" s="66"/>
    </row>
    <row r="479">
      <c r="C479" s="66"/>
    </row>
    <row r="480">
      <c r="C480" s="66"/>
    </row>
    <row r="481">
      <c r="C481" s="66"/>
    </row>
    <row r="482">
      <c r="C482" s="66"/>
    </row>
    <row r="483">
      <c r="C483" s="66"/>
    </row>
    <row r="484">
      <c r="C484" s="66"/>
    </row>
    <row r="485">
      <c r="C485" s="66"/>
    </row>
    <row r="486">
      <c r="C486" s="66"/>
    </row>
    <row r="487">
      <c r="C487" s="66"/>
    </row>
    <row r="488">
      <c r="C488" s="66"/>
    </row>
    <row r="489">
      <c r="C489" s="66"/>
    </row>
    <row r="490">
      <c r="C490" s="66"/>
    </row>
    <row r="491">
      <c r="C491" s="66"/>
    </row>
    <row r="492">
      <c r="C492" s="66"/>
    </row>
    <row r="493">
      <c r="C493" s="66"/>
    </row>
    <row r="494">
      <c r="C494" s="66"/>
    </row>
    <row r="495">
      <c r="C495" s="66"/>
    </row>
    <row r="496">
      <c r="C496" s="66"/>
    </row>
    <row r="497">
      <c r="C497" s="66"/>
    </row>
    <row r="498">
      <c r="C498" s="66"/>
    </row>
    <row r="499">
      <c r="C499" s="66"/>
    </row>
    <row r="500">
      <c r="C500" s="66"/>
    </row>
    <row r="501">
      <c r="C501" s="66"/>
    </row>
    <row r="502">
      <c r="C502" s="66"/>
    </row>
    <row r="503">
      <c r="C503" s="66"/>
    </row>
    <row r="504">
      <c r="C504" s="66"/>
    </row>
    <row r="505">
      <c r="C505" s="66"/>
    </row>
    <row r="506">
      <c r="C506" s="66"/>
    </row>
    <row r="507">
      <c r="C507" s="66"/>
    </row>
    <row r="508">
      <c r="C508" s="66"/>
    </row>
    <row r="509">
      <c r="C509" s="66"/>
    </row>
    <row r="510">
      <c r="C510" s="66"/>
    </row>
    <row r="511">
      <c r="C511" s="66"/>
    </row>
    <row r="512">
      <c r="C512" s="66"/>
    </row>
    <row r="513">
      <c r="C513" s="66"/>
    </row>
    <row r="514">
      <c r="C514" s="66"/>
    </row>
    <row r="515">
      <c r="C515" s="66"/>
    </row>
    <row r="516">
      <c r="C516" s="66"/>
    </row>
    <row r="517">
      <c r="C517" s="66"/>
    </row>
    <row r="518">
      <c r="C518" s="66"/>
    </row>
    <row r="519">
      <c r="C519" s="66"/>
    </row>
    <row r="520">
      <c r="C520" s="66"/>
    </row>
    <row r="521">
      <c r="C521" s="66"/>
    </row>
    <row r="522">
      <c r="C522" s="66"/>
    </row>
    <row r="523">
      <c r="C523" s="66"/>
    </row>
    <row r="524">
      <c r="C524" s="66"/>
    </row>
    <row r="525">
      <c r="C525" s="66"/>
    </row>
    <row r="526">
      <c r="C526" s="66"/>
    </row>
    <row r="527">
      <c r="C527" s="66"/>
    </row>
    <row r="528">
      <c r="C528" s="66"/>
    </row>
    <row r="529">
      <c r="C529" s="66"/>
    </row>
    <row r="530">
      <c r="C530" s="66"/>
    </row>
    <row r="531">
      <c r="C531" s="66"/>
    </row>
    <row r="532">
      <c r="C532" s="66"/>
    </row>
    <row r="533">
      <c r="C533" s="66"/>
    </row>
    <row r="534">
      <c r="C534" s="66"/>
    </row>
    <row r="535">
      <c r="C535" s="66"/>
    </row>
    <row r="536">
      <c r="C536" s="66"/>
    </row>
    <row r="537">
      <c r="C537" s="66"/>
    </row>
    <row r="538">
      <c r="C538" s="66"/>
    </row>
    <row r="539">
      <c r="C539" s="66"/>
    </row>
    <row r="540">
      <c r="C540" s="66"/>
    </row>
    <row r="541">
      <c r="C541" s="66"/>
    </row>
    <row r="542">
      <c r="C542" s="66"/>
    </row>
    <row r="543">
      <c r="C543" s="66"/>
    </row>
    <row r="544">
      <c r="C544" s="66"/>
    </row>
    <row r="545">
      <c r="C545" s="66"/>
    </row>
    <row r="546">
      <c r="C546" s="66"/>
    </row>
    <row r="547">
      <c r="C547" s="66"/>
    </row>
    <row r="548">
      <c r="C548" s="66"/>
    </row>
    <row r="549">
      <c r="C549" s="66"/>
    </row>
    <row r="550">
      <c r="C550" s="66"/>
    </row>
    <row r="551">
      <c r="C551" s="66"/>
    </row>
    <row r="552">
      <c r="C552" s="66"/>
    </row>
    <row r="553">
      <c r="C553" s="66"/>
    </row>
    <row r="554">
      <c r="C554" s="66"/>
    </row>
    <row r="555">
      <c r="C555" s="66"/>
    </row>
    <row r="556">
      <c r="C556" s="66"/>
    </row>
    <row r="557">
      <c r="C557" s="66"/>
    </row>
    <row r="558">
      <c r="C558" s="66"/>
    </row>
    <row r="559">
      <c r="C559" s="66"/>
    </row>
    <row r="560">
      <c r="C560" s="66"/>
    </row>
    <row r="561">
      <c r="C561" s="66"/>
    </row>
    <row r="562">
      <c r="C562" s="66"/>
    </row>
    <row r="563">
      <c r="C563" s="66"/>
    </row>
    <row r="564">
      <c r="C564" s="66"/>
    </row>
    <row r="565">
      <c r="C565" s="66"/>
    </row>
    <row r="566">
      <c r="C566" s="66"/>
    </row>
    <row r="567">
      <c r="C567" s="66"/>
    </row>
    <row r="568">
      <c r="C568" s="66"/>
    </row>
    <row r="569">
      <c r="C569" s="66"/>
    </row>
    <row r="570">
      <c r="C570" s="66"/>
    </row>
    <row r="571">
      <c r="C571" s="66"/>
    </row>
    <row r="572">
      <c r="C572" s="66"/>
    </row>
    <row r="573">
      <c r="C573" s="66"/>
    </row>
    <row r="574">
      <c r="C574" s="66"/>
    </row>
    <row r="575">
      <c r="C575" s="66"/>
    </row>
    <row r="576">
      <c r="C576" s="66"/>
    </row>
    <row r="577">
      <c r="C577" s="66"/>
    </row>
    <row r="578">
      <c r="C578" s="66"/>
    </row>
    <row r="579">
      <c r="C579" s="66"/>
    </row>
    <row r="580">
      <c r="C580" s="66"/>
    </row>
    <row r="581">
      <c r="C581" s="66"/>
    </row>
    <row r="582">
      <c r="C582" s="66"/>
    </row>
    <row r="583">
      <c r="C583" s="66"/>
    </row>
    <row r="584">
      <c r="C584" s="66"/>
    </row>
    <row r="585">
      <c r="C585" s="66"/>
    </row>
    <row r="586">
      <c r="C586" s="66"/>
    </row>
    <row r="587">
      <c r="C587" s="66"/>
    </row>
    <row r="588">
      <c r="C588" s="66"/>
    </row>
    <row r="589">
      <c r="C589" s="66"/>
    </row>
    <row r="590">
      <c r="C590" s="66"/>
    </row>
    <row r="591">
      <c r="C591" s="66"/>
    </row>
    <row r="592">
      <c r="C592" s="66"/>
    </row>
    <row r="593">
      <c r="C593" s="66"/>
    </row>
    <row r="594">
      <c r="C594" s="66"/>
    </row>
    <row r="595">
      <c r="C595" s="66"/>
    </row>
    <row r="596">
      <c r="C596" s="66"/>
    </row>
    <row r="597">
      <c r="C597" s="66"/>
    </row>
    <row r="598">
      <c r="C598" s="66"/>
    </row>
    <row r="599">
      <c r="C599" s="66"/>
    </row>
    <row r="600">
      <c r="C600" s="66"/>
    </row>
    <row r="601">
      <c r="C601" s="66"/>
    </row>
    <row r="602">
      <c r="C602" s="66"/>
    </row>
    <row r="603">
      <c r="C603" s="66"/>
    </row>
    <row r="604">
      <c r="C604" s="66"/>
    </row>
    <row r="605">
      <c r="C605" s="66"/>
    </row>
    <row r="606">
      <c r="C606" s="66"/>
    </row>
    <row r="607">
      <c r="C607" s="66"/>
    </row>
    <row r="608">
      <c r="C608" s="66"/>
    </row>
    <row r="609">
      <c r="C609" s="66"/>
    </row>
    <row r="610">
      <c r="C610" s="66"/>
    </row>
    <row r="611">
      <c r="C611" s="66"/>
    </row>
    <row r="612">
      <c r="C612" s="66"/>
    </row>
    <row r="613">
      <c r="C613" s="66"/>
    </row>
    <row r="614">
      <c r="C614" s="66"/>
    </row>
    <row r="615">
      <c r="C615" s="66"/>
    </row>
    <row r="616">
      <c r="C616" s="66"/>
    </row>
    <row r="617">
      <c r="C617" s="66"/>
    </row>
    <row r="618">
      <c r="C618" s="66"/>
    </row>
    <row r="619">
      <c r="C619" s="66"/>
    </row>
    <row r="620">
      <c r="C620" s="66"/>
    </row>
    <row r="621">
      <c r="C621" s="66"/>
    </row>
    <row r="622">
      <c r="C622" s="66"/>
    </row>
    <row r="623">
      <c r="C623" s="66"/>
    </row>
    <row r="624">
      <c r="C624" s="66"/>
    </row>
    <row r="625">
      <c r="C625" s="66"/>
    </row>
    <row r="626">
      <c r="C626" s="66"/>
    </row>
    <row r="627">
      <c r="C627" s="66"/>
    </row>
    <row r="628">
      <c r="C628" s="66"/>
    </row>
    <row r="629">
      <c r="C629" s="66"/>
    </row>
    <row r="630">
      <c r="C630" s="66"/>
    </row>
    <row r="631">
      <c r="C631" s="66"/>
    </row>
    <row r="632">
      <c r="C632" s="66"/>
    </row>
    <row r="633">
      <c r="C633" s="66"/>
    </row>
    <row r="634">
      <c r="C634" s="66"/>
    </row>
    <row r="635">
      <c r="C635" s="66"/>
    </row>
    <row r="636">
      <c r="C636" s="66"/>
    </row>
    <row r="637">
      <c r="C637" s="66"/>
    </row>
    <row r="638">
      <c r="C638" s="66"/>
    </row>
    <row r="639">
      <c r="C639" s="66"/>
    </row>
    <row r="640">
      <c r="C640" s="66"/>
    </row>
    <row r="641">
      <c r="C641" s="66"/>
    </row>
    <row r="642">
      <c r="C642" s="66"/>
    </row>
    <row r="643">
      <c r="C643" s="66"/>
    </row>
    <row r="644">
      <c r="C644" s="66"/>
    </row>
    <row r="645">
      <c r="C645" s="66"/>
    </row>
    <row r="646">
      <c r="C646" s="66"/>
    </row>
    <row r="647">
      <c r="C647" s="66"/>
    </row>
    <row r="648">
      <c r="C648" s="66"/>
    </row>
    <row r="649">
      <c r="C649" s="66"/>
    </row>
    <row r="650">
      <c r="C650" s="66"/>
    </row>
    <row r="651">
      <c r="C651" s="66"/>
    </row>
    <row r="652">
      <c r="C652" s="66"/>
    </row>
    <row r="653">
      <c r="C653" s="66"/>
    </row>
    <row r="654">
      <c r="C654" s="66"/>
    </row>
    <row r="655">
      <c r="C655" s="66"/>
    </row>
    <row r="656">
      <c r="C656" s="66"/>
    </row>
    <row r="657">
      <c r="C657" s="66"/>
    </row>
    <row r="658">
      <c r="C658" s="66"/>
    </row>
    <row r="659">
      <c r="C659" s="66"/>
    </row>
    <row r="660">
      <c r="C660" s="66"/>
    </row>
    <row r="661">
      <c r="C661" s="66"/>
    </row>
    <row r="662">
      <c r="C662" s="66"/>
    </row>
    <row r="663">
      <c r="C663" s="66"/>
    </row>
    <row r="664">
      <c r="C664" s="66"/>
    </row>
    <row r="665">
      <c r="C665" s="66"/>
    </row>
    <row r="666">
      <c r="C666" s="66"/>
    </row>
    <row r="667">
      <c r="C667" s="66"/>
    </row>
    <row r="668">
      <c r="C668" s="66"/>
    </row>
    <row r="669">
      <c r="C669" s="66"/>
    </row>
    <row r="670">
      <c r="C670" s="66"/>
    </row>
    <row r="671">
      <c r="C671" s="66"/>
    </row>
    <row r="672">
      <c r="C672" s="66"/>
    </row>
    <row r="673">
      <c r="C673" s="66"/>
    </row>
    <row r="674">
      <c r="C674" s="66"/>
    </row>
    <row r="675">
      <c r="C675" s="66"/>
    </row>
    <row r="676">
      <c r="C676" s="66"/>
    </row>
    <row r="677">
      <c r="C677" s="66"/>
    </row>
    <row r="678">
      <c r="C678" s="66"/>
    </row>
    <row r="679">
      <c r="C679" s="66"/>
    </row>
    <row r="680">
      <c r="C680" s="66"/>
    </row>
    <row r="681">
      <c r="C681" s="66"/>
    </row>
    <row r="682">
      <c r="C682" s="66"/>
    </row>
    <row r="683">
      <c r="C683" s="66"/>
    </row>
    <row r="684">
      <c r="C684" s="66"/>
    </row>
    <row r="685">
      <c r="C685" s="66"/>
    </row>
    <row r="686">
      <c r="C686" s="66"/>
    </row>
    <row r="687">
      <c r="C687" s="66"/>
    </row>
    <row r="688">
      <c r="C688" s="66"/>
    </row>
    <row r="689">
      <c r="C689" s="66"/>
    </row>
    <row r="690">
      <c r="C690" s="66"/>
    </row>
    <row r="691">
      <c r="C691" s="66"/>
    </row>
    <row r="692">
      <c r="C692" s="66"/>
    </row>
    <row r="693">
      <c r="C693" s="66"/>
    </row>
    <row r="694">
      <c r="C694" s="66"/>
    </row>
    <row r="695">
      <c r="C695" s="66"/>
    </row>
    <row r="696">
      <c r="C696" s="66"/>
    </row>
    <row r="697">
      <c r="C697" s="66"/>
    </row>
    <row r="698">
      <c r="C698" s="66"/>
    </row>
    <row r="699">
      <c r="C699" s="66"/>
    </row>
    <row r="700">
      <c r="C700" s="66"/>
    </row>
    <row r="701">
      <c r="C701" s="66"/>
    </row>
    <row r="702">
      <c r="C702" s="66"/>
    </row>
    <row r="703">
      <c r="C703" s="66"/>
    </row>
    <row r="704">
      <c r="C704" s="66"/>
    </row>
    <row r="705">
      <c r="C705" s="66"/>
    </row>
    <row r="706">
      <c r="C706" s="66"/>
    </row>
    <row r="707">
      <c r="C707" s="66"/>
    </row>
    <row r="708">
      <c r="C708" s="66"/>
    </row>
    <row r="709">
      <c r="C709" s="66"/>
    </row>
    <row r="710">
      <c r="C710" s="66"/>
    </row>
    <row r="711">
      <c r="C711" s="66"/>
    </row>
    <row r="712">
      <c r="C712" s="66"/>
    </row>
    <row r="713">
      <c r="C713" s="66"/>
    </row>
    <row r="714">
      <c r="C714" s="66"/>
    </row>
    <row r="715">
      <c r="C715" s="66"/>
    </row>
    <row r="716">
      <c r="C716" s="66"/>
    </row>
    <row r="717">
      <c r="C717" s="66"/>
    </row>
    <row r="718">
      <c r="C718" s="66"/>
    </row>
    <row r="719">
      <c r="C719" s="66"/>
    </row>
    <row r="720">
      <c r="C720" s="66"/>
    </row>
    <row r="721">
      <c r="C721" s="66"/>
    </row>
    <row r="722">
      <c r="C722" s="66"/>
    </row>
    <row r="723">
      <c r="C723" s="66"/>
    </row>
    <row r="724">
      <c r="C724" s="66"/>
    </row>
    <row r="725">
      <c r="C725" s="66"/>
    </row>
    <row r="726">
      <c r="C726" s="66"/>
    </row>
    <row r="727">
      <c r="C727" s="66"/>
    </row>
    <row r="728">
      <c r="C728" s="66"/>
    </row>
    <row r="729">
      <c r="C729" s="66"/>
    </row>
    <row r="730">
      <c r="C730" s="66"/>
    </row>
    <row r="731">
      <c r="C731" s="66"/>
    </row>
    <row r="732">
      <c r="C732" s="66"/>
    </row>
    <row r="733">
      <c r="C733" s="66"/>
    </row>
    <row r="734">
      <c r="C734" s="66"/>
    </row>
    <row r="735">
      <c r="C735" s="66"/>
    </row>
    <row r="736">
      <c r="C736" s="66"/>
    </row>
    <row r="737">
      <c r="C737" s="66"/>
    </row>
    <row r="738">
      <c r="C738" s="66"/>
    </row>
    <row r="739">
      <c r="C739" s="66"/>
    </row>
    <row r="740">
      <c r="C740" s="66"/>
    </row>
    <row r="741">
      <c r="C741" s="66"/>
    </row>
    <row r="742">
      <c r="C742" s="66"/>
    </row>
    <row r="743">
      <c r="C743" s="66"/>
    </row>
    <row r="744">
      <c r="C744" s="66"/>
    </row>
    <row r="745">
      <c r="C745" s="66"/>
    </row>
    <row r="746">
      <c r="C746" s="66"/>
    </row>
    <row r="747">
      <c r="C747" s="66"/>
    </row>
    <row r="748">
      <c r="C748" s="66"/>
    </row>
    <row r="749">
      <c r="C749" s="66"/>
    </row>
    <row r="750">
      <c r="C750" s="66"/>
    </row>
    <row r="751">
      <c r="C751" s="66"/>
    </row>
    <row r="752">
      <c r="C752" s="66"/>
    </row>
    <row r="753">
      <c r="C753" s="66"/>
    </row>
    <row r="754">
      <c r="C754" s="66"/>
    </row>
    <row r="755">
      <c r="C755" s="66"/>
    </row>
    <row r="756">
      <c r="C756" s="66"/>
    </row>
    <row r="757">
      <c r="C757" s="66"/>
    </row>
    <row r="758">
      <c r="C758" s="66"/>
    </row>
    <row r="759">
      <c r="C759" s="66"/>
    </row>
    <row r="760">
      <c r="C760" s="66"/>
    </row>
    <row r="761">
      <c r="C761" s="66"/>
    </row>
    <row r="762">
      <c r="C762" s="66"/>
    </row>
    <row r="763">
      <c r="C763" s="66"/>
    </row>
    <row r="764">
      <c r="C764" s="66"/>
    </row>
    <row r="765">
      <c r="C765" s="66"/>
    </row>
    <row r="766">
      <c r="C766" s="66"/>
    </row>
    <row r="767">
      <c r="C767" s="66"/>
    </row>
    <row r="768">
      <c r="C768" s="66"/>
    </row>
    <row r="769">
      <c r="C769" s="66"/>
    </row>
    <row r="770">
      <c r="C770" s="66"/>
    </row>
    <row r="771">
      <c r="C771" s="66"/>
    </row>
    <row r="772">
      <c r="C772" s="66"/>
    </row>
    <row r="773">
      <c r="C773" s="66"/>
    </row>
    <row r="774">
      <c r="C774" s="66"/>
    </row>
    <row r="775">
      <c r="C775" s="66"/>
    </row>
    <row r="776">
      <c r="C776" s="66"/>
    </row>
    <row r="777">
      <c r="C777" s="66"/>
    </row>
    <row r="778">
      <c r="C778" s="66"/>
    </row>
    <row r="779">
      <c r="C779" s="66"/>
    </row>
    <row r="780">
      <c r="C780" s="66"/>
    </row>
    <row r="781">
      <c r="C781" s="66"/>
    </row>
    <row r="782">
      <c r="C782" s="66"/>
    </row>
    <row r="783">
      <c r="C783" s="66"/>
    </row>
    <row r="784">
      <c r="C784" s="66"/>
    </row>
    <row r="785">
      <c r="C785" s="66"/>
    </row>
    <row r="786">
      <c r="C786" s="66"/>
    </row>
    <row r="787">
      <c r="C787" s="66"/>
    </row>
    <row r="788">
      <c r="C788" s="66"/>
    </row>
    <row r="789">
      <c r="C789" s="66"/>
    </row>
    <row r="790">
      <c r="C790" s="66"/>
    </row>
    <row r="791">
      <c r="C791" s="66"/>
    </row>
    <row r="792">
      <c r="C792" s="66"/>
    </row>
    <row r="793">
      <c r="C793" s="66"/>
    </row>
    <row r="794">
      <c r="C794" s="66"/>
    </row>
    <row r="795">
      <c r="C795" s="66"/>
    </row>
    <row r="796">
      <c r="C796" s="66"/>
    </row>
    <row r="797">
      <c r="C797" s="66"/>
    </row>
    <row r="798">
      <c r="C798" s="66"/>
    </row>
    <row r="799">
      <c r="C799" s="66"/>
    </row>
    <row r="800">
      <c r="C800" s="66"/>
    </row>
    <row r="801">
      <c r="C801" s="66"/>
    </row>
    <row r="802">
      <c r="C802" s="66"/>
    </row>
    <row r="803">
      <c r="C803" s="66"/>
    </row>
    <row r="804">
      <c r="C804" s="66"/>
    </row>
    <row r="805">
      <c r="C805" s="66"/>
    </row>
    <row r="806">
      <c r="C806" s="66"/>
    </row>
    <row r="807">
      <c r="C807" s="66"/>
    </row>
    <row r="808">
      <c r="C808" s="66"/>
    </row>
    <row r="809">
      <c r="C809" s="66"/>
    </row>
    <row r="810">
      <c r="C810" s="66"/>
    </row>
    <row r="811">
      <c r="C811" s="66"/>
    </row>
    <row r="812">
      <c r="C812" s="66"/>
    </row>
    <row r="813">
      <c r="C813" s="66"/>
    </row>
    <row r="814">
      <c r="C814" s="66"/>
    </row>
    <row r="815">
      <c r="C815" s="66"/>
    </row>
    <row r="816">
      <c r="C816" s="66"/>
    </row>
    <row r="817">
      <c r="C817" s="66"/>
    </row>
    <row r="818">
      <c r="C818" s="66"/>
    </row>
    <row r="819">
      <c r="C819" s="66"/>
    </row>
    <row r="820">
      <c r="C820" s="66"/>
    </row>
    <row r="821">
      <c r="C821" s="66"/>
    </row>
    <row r="822">
      <c r="C822" s="66"/>
    </row>
    <row r="823">
      <c r="C823" s="66"/>
    </row>
    <row r="824">
      <c r="C824" s="66"/>
    </row>
    <row r="825">
      <c r="C825" s="66"/>
    </row>
    <row r="826">
      <c r="C826" s="66"/>
    </row>
    <row r="827">
      <c r="C827" s="66"/>
    </row>
    <row r="828">
      <c r="C828" s="66"/>
    </row>
    <row r="829">
      <c r="C829" s="66"/>
    </row>
    <row r="830">
      <c r="C830" s="66"/>
    </row>
    <row r="831">
      <c r="C831" s="66"/>
    </row>
    <row r="832">
      <c r="C832" s="66"/>
    </row>
    <row r="833">
      <c r="C833" s="66"/>
    </row>
    <row r="834">
      <c r="C834" s="66"/>
    </row>
    <row r="835">
      <c r="C835" s="66"/>
    </row>
    <row r="836">
      <c r="C836" s="66"/>
    </row>
    <row r="837">
      <c r="C837" s="66"/>
    </row>
    <row r="838">
      <c r="C838" s="66"/>
    </row>
    <row r="839">
      <c r="C839" s="66"/>
    </row>
    <row r="840">
      <c r="C840" s="66"/>
    </row>
    <row r="841">
      <c r="C841" s="66"/>
    </row>
    <row r="842">
      <c r="C842" s="66"/>
    </row>
    <row r="843">
      <c r="C843" s="66"/>
    </row>
    <row r="844">
      <c r="C844" s="66"/>
    </row>
    <row r="845">
      <c r="C845" s="66"/>
    </row>
    <row r="846">
      <c r="C846" s="66"/>
    </row>
    <row r="847">
      <c r="C847" s="66"/>
    </row>
    <row r="848">
      <c r="C848" s="66"/>
    </row>
    <row r="849">
      <c r="C849" s="66"/>
    </row>
    <row r="850">
      <c r="C850" s="66"/>
    </row>
    <row r="851">
      <c r="C851" s="66"/>
    </row>
    <row r="852">
      <c r="C852" s="66"/>
    </row>
    <row r="853">
      <c r="C853" s="66"/>
    </row>
    <row r="854">
      <c r="C854" s="66"/>
    </row>
    <row r="855">
      <c r="C855" s="66"/>
    </row>
    <row r="856">
      <c r="C856" s="66"/>
    </row>
    <row r="857">
      <c r="C857" s="66"/>
    </row>
    <row r="858">
      <c r="C858" s="66"/>
    </row>
    <row r="859">
      <c r="C859" s="66"/>
    </row>
    <row r="860">
      <c r="C860" s="66"/>
    </row>
    <row r="861">
      <c r="C861" s="66"/>
    </row>
    <row r="862">
      <c r="C862" s="66"/>
    </row>
    <row r="863">
      <c r="C863" s="66"/>
    </row>
    <row r="864">
      <c r="C864" s="66"/>
    </row>
    <row r="865">
      <c r="C865" s="66"/>
    </row>
    <row r="866">
      <c r="C866" s="66"/>
    </row>
    <row r="867">
      <c r="C867" s="66"/>
    </row>
    <row r="868">
      <c r="C868" s="66"/>
    </row>
    <row r="869">
      <c r="C869" s="66"/>
    </row>
    <row r="870">
      <c r="C870" s="66"/>
    </row>
    <row r="871">
      <c r="C871" s="66"/>
    </row>
    <row r="872">
      <c r="C872" s="66"/>
    </row>
    <row r="873">
      <c r="C873" s="66"/>
    </row>
    <row r="874">
      <c r="C874" s="66"/>
    </row>
    <row r="875">
      <c r="C875" s="66"/>
    </row>
    <row r="876">
      <c r="C876" s="66"/>
    </row>
    <row r="877">
      <c r="C877" s="66"/>
    </row>
    <row r="878">
      <c r="C878" s="66"/>
    </row>
    <row r="879">
      <c r="C879" s="66"/>
    </row>
    <row r="880">
      <c r="C880" s="66"/>
    </row>
    <row r="881">
      <c r="C881" s="66"/>
    </row>
    <row r="882">
      <c r="C882" s="66"/>
    </row>
    <row r="883">
      <c r="C883" s="66"/>
    </row>
    <row r="884">
      <c r="C884" s="66"/>
    </row>
    <row r="885">
      <c r="C885" s="66"/>
    </row>
    <row r="886">
      <c r="C886" s="66"/>
    </row>
    <row r="887">
      <c r="C887" s="66"/>
    </row>
    <row r="888">
      <c r="C888" s="66"/>
    </row>
    <row r="889">
      <c r="C889" s="66"/>
    </row>
    <row r="890">
      <c r="C890" s="66"/>
    </row>
    <row r="891">
      <c r="C891" s="66"/>
    </row>
    <row r="892">
      <c r="C892" s="66"/>
    </row>
    <row r="893">
      <c r="C893" s="66"/>
    </row>
    <row r="894">
      <c r="C894" s="66"/>
    </row>
    <row r="895">
      <c r="C895" s="66"/>
    </row>
    <row r="896">
      <c r="C896" s="66"/>
    </row>
    <row r="897">
      <c r="C897" s="66"/>
    </row>
    <row r="898">
      <c r="C898" s="66"/>
    </row>
    <row r="899">
      <c r="C899" s="66"/>
    </row>
    <row r="900">
      <c r="C900" s="66"/>
    </row>
    <row r="901">
      <c r="C901" s="66"/>
    </row>
    <row r="902">
      <c r="C902" s="66"/>
    </row>
    <row r="903">
      <c r="C903" s="66"/>
    </row>
    <row r="904">
      <c r="C904" s="66"/>
    </row>
    <row r="905">
      <c r="C905" s="66"/>
    </row>
    <row r="906">
      <c r="C906" s="66"/>
    </row>
    <row r="907">
      <c r="C907" s="66"/>
    </row>
    <row r="908">
      <c r="C908" s="66"/>
    </row>
    <row r="909">
      <c r="C909" s="66"/>
    </row>
    <row r="910">
      <c r="C910" s="66"/>
    </row>
    <row r="911">
      <c r="C911" s="66"/>
    </row>
    <row r="912">
      <c r="C912" s="66"/>
    </row>
    <row r="913">
      <c r="C913" s="66"/>
    </row>
    <row r="914">
      <c r="C914" s="66"/>
    </row>
    <row r="915">
      <c r="C915" s="66"/>
    </row>
    <row r="916">
      <c r="C916" s="66"/>
    </row>
    <row r="917">
      <c r="C917" s="66"/>
    </row>
    <row r="918">
      <c r="C918" s="66"/>
    </row>
    <row r="919">
      <c r="C919" s="66"/>
    </row>
    <row r="920">
      <c r="C920" s="66"/>
    </row>
    <row r="921">
      <c r="C921" s="66"/>
    </row>
    <row r="922">
      <c r="C922" s="66"/>
    </row>
    <row r="923">
      <c r="C923" s="66"/>
    </row>
    <row r="924">
      <c r="C924" s="66"/>
    </row>
    <row r="925">
      <c r="C925" s="66"/>
    </row>
    <row r="926">
      <c r="C926" s="66"/>
    </row>
    <row r="927">
      <c r="C927" s="66"/>
    </row>
    <row r="928">
      <c r="C928" s="66"/>
    </row>
    <row r="929">
      <c r="C929" s="66"/>
    </row>
    <row r="930">
      <c r="C930" s="66"/>
    </row>
    <row r="931">
      <c r="C931" s="66"/>
    </row>
    <row r="932">
      <c r="C932" s="66"/>
    </row>
    <row r="933">
      <c r="C933" s="66"/>
    </row>
    <row r="934">
      <c r="C934" s="66"/>
    </row>
    <row r="935">
      <c r="C935" s="66"/>
    </row>
    <row r="936">
      <c r="C936" s="66"/>
    </row>
    <row r="937">
      <c r="C937" s="66"/>
    </row>
    <row r="938">
      <c r="C938" s="66"/>
    </row>
    <row r="939">
      <c r="C939" s="66"/>
    </row>
    <row r="940">
      <c r="C940" s="66"/>
    </row>
    <row r="941">
      <c r="C941" s="66"/>
    </row>
    <row r="942">
      <c r="C942" s="66"/>
    </row>
    <row r="943">
      <c r="C943" s="66"/>
    </row>
    <row r="944">
      <c r="C944" s="66"/>
    </row>
    <row r="945">
      <c r="C945" s="66"/>
    </row>
    <row r="946">
      <c r="C946" s="66"/>
    </row>
    <row r="947">
      <c r="C947" s="66"/>
    </row>
    <row r="948">
      <c r="C948" s="66"/>
    </row>
    <row r="949">
      <c r="C949" s="66"/>
    </row>
    <row r="950">
      <c r="C950" s="66"/>
    </row>
    <row r="951">
      <c r="C951" s="66"/>
    </row>
    <row r="952">
      <c r="C952" s="66"/>
    </row>
    <row r="953">
      <c r="C953" s="66"/>
    </row>
    <row r="954">
      <c r="C954" s="66"/>
    </row>
    <row r="955">
      <c r="C955" s="66"/>
    </row>
    <row r="956">
      <c r="C956" s="66"/>
    </row>
    <row r="957">
      <c r="C957" s="66"/>
    </row>
    <row r="958">
      <c r="C958" s="66"/>
    </row>
    <row r="959">
      <c r="C959" s="66"/>
    </row>
    <row r="960">
      <c r="C960" s="66"/>
    </row>
    <row r="961">
      <c r="C961" s="66"/>
    </row>
    <row r="962">
      <c r="C962" s="66"/>
    </row>
    <row r="963">
      <c r="C963" s="66"/>
    </row>
    <row r="964">
      <c r="C964" s="66"/>
    </row>
    <row r="965">
      <c r="C965" s="66"/>
    </row>
    <row r="966">
      <c r="C966" s="66"/>
    </row>
    <row r="967">
      <c r="C967" s="66"/>
    </row>
    <row r="968">
      <c r="C968" s="66"/>
    </row>
    <row r="969">
      <c r="C969" s="66"/>
    </row>
    <row r="970">
      <c r="C970" s="66"/>
    </row>
    <row r="971">
      <c r="C971" s="66"/>
    </row>
    <row r="972">
      <c r="C972" s="66"/>
    </row>
    <row r="973">
      <c r="C973" s="66"/>
    </row>
    <row r="974">
      <c r="C974" s="66"/>
    </row>
    <row r="975">
      <c r="C975" s="66"/>
    </row>
    <row r="976">
      <c r="C976" s="66"/>
    </row>
    <row r="977">
      <c r="C977" s="66"/>
    </row>
    <row r="978">
      <c r="C978" s="66"/>
    </row>
    <row r="979">
      <c r="C979" s="66"/>
    </row>
    <row r="980">
      <c r="C980" s="66"/>
    </row>
    <row r="981">
      <c r="C981" s="66"/>
    </row>
    <row r="982">
      <c r="C982" s="66"/>
    </row>
    <row r="983">
      <c r="C983" s="66"/>
    </row>
    <row r="984">
      <c r="C984" s="66"/>
    </row>
  </sheetData>
  <mergeCells count="17">
    <mergeCell ref="F8:F9"/>
    <mergeCell ref="G8:G9"/>
    <mergeCell ref="F10:G10"/>
    <mergeCell ref="B10:B12"/>
    <mergeCell ref="C10:C12"/>
    <mergeCell ref="D10:D12"/>
    <mergeCell ref="E10:E12"/>
    <mergeCell ref="H10:H12"/>
    <mergeCell ref="F11:G11"/>
    <mergeCell ref="C13:C16"/>
    <mergeCell ref="B1:D3"/>
    <mergeCell ref="E1:G3"/>
    <mergeCell ref="H1:I1"/>
    <mergeCell ref="B4:G4"/>
    <mergeCell ref="H4:I4"/>
    <mergeCell ref="B6:D7"/>
    <mergeCell ref="B8:E9"/>
  </mergeCells>
  <conditionalFormatting sqref="B8:H86">
    <cfRule type="cellIs" dxfId="1" priority="1" operator="equal">
      <formula>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2" max="2" width="23.63"/>
    <col customWidth="1" min="3" max="3" width="28.0"/>
    <col customWidth="1" min="4" max="4" width="45.75"/>
    <col customWidth="1" min="5" max="10" width="14.13"/>
    <col customWidth="1" min="11" max="11" width="26.88"/>
  </cols>
  <sheetData>
    <row r="1">
      <c r="A1" s="56"/>
      <c r="B1" s="2"/>
      <c r="C1" s="197" t="s">
        <v>345</v>
      </c>
      <c r="D1" s="2"/>
      <c r="E1" s="2"/>
      <c r="F1" s="2"/>
      <c r="G1" s="2"/>
      <c r="H1" s="5"/>
      <c r="I1" s="4" t="s">
        <v>1</v>
      </c>
      <c r="J1" s="2"/>
      <c r="K1" s="5"/>
    </row>
    <row r="2">
      <c r="A2" s="6"/>
      <c r="C2" s="6"/>
      <c r="H2" s="8"/>
      <c r="I2" s="58" t="s">
        <v>2</v>
      </c>
      <c r="K2" s="8"/>
    </row>
    <row r="3">
      <c r="A3" s="67"/>
      <c r="B3" s="10"/>
      <c r="C3" s="67"/>
      <c r="D3" s="10"/>
      <c r="E3" s="10"/>
      <c r="F3" s="10"/>
      <c r="G3" s="10"/>
      <c r="H3" s="11"/>
      <c r="I3" s="59" t="s">
        <v>3</v>
      </c>
      <c r="J3" s="10"/>
      <c r="K3" s="11"/>
    </row>
    <row r="4">
      <c r="A4" s="12" t="s">
        <v>4</v>
      </c>
      <c r="B4" s="13"/>
      <c r="C4" s="13"/>
      <c r="D4" s="13"/>
      <c r="E4" s="13"/>
      <c r="F4" s="13"/>
      <c r="G4" s="198"/>
      <c r="H4" s="198"/>
      <c r="I4" s="199" t="s">
        <v>5</v>
      </c>
      <c r="J4" s="10"/>
      <c r="K4" s="11"/>
    </row>
    <row r="5">
      <c r="A5" s="200" t="s">
        <v>346</v>
      </c>
      <c r="B5" s="13"/>
      <c r="C5" s="13"/>
      <c r="D5" s="14"/>
      <c r="E5" s="201" t="s">
        <v>347</v>
      </c>
      <c r="F5" s="14"/>
      <c r="G5" s="201" t="s">
        <v>348</v>
      </c>
      <c r="H5" s="14"/>
      <c r="I5" s="201" t="s">
        <v>349</v>
      </c>
      <c r="J5" s="14"/>
      <c r="K5" s="202"/>
    </row>
    <row r="6">
      <c r="A6" s="203"/>
      <c r="B6" s="204" t="s">
        <v>263</v>
      </c>
      <c r="C6" s="2"/>
      <c r="D6" s="5"/>
      <c r="E6" s="203">
        <f>Round(SUM(E10:E153)*(1+Appendix!$B$8)/Appendix!$B$13/Appendix!$B$14,1)</f>
        <v>2.7</v>
      </c>
      <c r="F6" s="203">
        <f>Round(SUM(F10:F153)*(1+Appendix!$B$8)/Appendix!$B$13/Appendix!$B$14,1)</f>
        <v>0.8</v>
      </c>
      <c r="G6" s="203">
        <f>Round(SUM(G10:G153)*(1+Appendix!$B$8)/Appendix!$B$13/Appendix!$B$14,1)</f>
        <v>0.9</v>
      </c>
      <c r="H6" s="203">
        <f>Round(SUM(H10:H153)*(1+Appendix!$B$8)/Appendix!$B$13/Appendix!$B$14,1)</f>
        <v>0.6</v>
      </c>
      <c r="I6" s="203">
        <f>Round(SUM(I10:I153)*(1+Appendix!$B$8)/Appendix!$B$13/Appendix!$B$14,1)</f>
        <v>0.9</v>
      </c>
      <c r="J6" s="203">
        <f>Round(SUM(J10:J153)*(1+Appendix!$B$8)/Appendix!$B$13/Appendix!$B$14,1)</f>
        <v>0.6</v>
      </c>
      <c r="K6" s="205" t="s">
        <v>69</v>
      </c>
    </row>
    <row r="7">
      <c r="A7" s="113"/>
      <c r="B7" s="67"/>
      <c r="C7" s="10"/>
      <c r="D7" s="11"/>
      <c r="E7" s="113"/>
      <c r="F7" s="113"/>
      <c r="G7" s="113"/>
      <c r="H7" s="113"/>
      <c r="I7" s="113"/>
      <c r="J7" s="113"/>
      <c r="K7" s="110"/>
    </row>
    <row r="8">
      <c r="A8" s="205" t="s">
        <v>7</v>
      </c>
      <c r="B8" s="205" t="s">
        <v>264</v>
      </c>
      <c r="C8" s="206" t="s">
        <v>344</v>
      </c>
      <c r="D8" s="5"/>
      <c r="E8" s="207" t="s">
        <v>350</v>
      </c>
      <c r="F8" s="14"/>
      <c r="G8" s="207" t="s">
        <v>350</v>
      </c>
      <c r="H8" s="14"/>
      <c r="I8" s="207" t="s">
        <v>350</v>
      </c>
      <c r="J8" s="14"/>
      <c r="K8" s="110"/>
    </row>
    <row r="9">
      <c r="A9" s="113"/>
      <c r="B9" s="113"/>
      <c r="C9" s="67"/>
      <c r="D9" s="11"/>
      <c r="E9" s="208" t="s">
        <v>269</v>
      </c>
      <c r="F9" s="208" t="s">
        <v>351</v>
      </c>
      <c r="G9" s="208" t="s">
        <v>269</v>
      </c>
      <c r="H9" s="208" t="s">
        <v>351</v>
      </c>
      <c r="I9" s="208" t="s">
        <v>269</v>
      </c>
      <c r="J9" s="208" t="s">
        <v>351</v>
      </c>
      <c r="K9" s="113"/>
    </row>
    <row r="10">
      <c r="A10" s="209">
        <v>1.0</v>
      </c>
      <c r="B10" s="210" t="s">
        <v>352</v>
      </c>
      <c r="C10" s="211" t="s">
        <v>353</v>
      </c>
      <c r="D10" s="14"/>
      <c r="E10" s="212">
        <v>2.0</v>
      </c>
      <c r="F10" s="213">
        <f t="shared" ref="F10:F13" si="1">ROUND(E10*0.3,0.5)</f>
        <v>1</v>
      </c>
      <c r="G10" s="214">
        <v>0.0</v>
      </c>
      <c r="H10" s="214">
        <v>0.0</v>
      </c>
      <c r="I10" s="214">
        <v>0.0</v>
      </c>
      <c r="J10" s="214">
        <v>0.0</v>
      </c>
      <c r="K10" s="215" t="s">
        <v>354</v>
      </c>
    </row>
    <row r="11">
      <c r="A11" s="113"/>
      <c r="B11" s="113"/>
      <c r="C11" s="211" t="s">
        <v>355</v>
      </c>
      <c r="D11" s="14"/>
      <c r="E11" s="216">
        <v>2.0</v>
      </c>
      <c r="F11" s="217">
        <f t="shared" si="1"/>
        <v>1</v>
      </c>
      <c r="G11" s="214">
        <v>0.0</v>
      </c>
      <c r="H11" s="214">
        <v>0.0</v>
      </c>
      <c r="I11" s="214">
        <v>0.0</v>
      </c>
      <c r="J11" s="214">
        <v>0.0</v>
      </c>
      <c r="K11" s="113"/>
    </row>
    <row r="12">
      <c r="A12" s="218">
        <v>2.0</v>
      </c>
      <c r="B12" s="219" t="s">
        <v>356</v>
      </c>
      <c r="C12" s="211" t="s">
        <v>357</v>
      </c>
      <c r="D12" s="14"/>
      <c r="E12" s="220">
        <v>2.0</v>
      </c>
      <c r="F12" s="217">
        <f t="shared" si="1"/>
        <v>1</v>
      </c>
      <c r="G12" s="214">
        <v>0.0</v>
      </c>
      <c r="H12" s="214">
        <v>0.0</v>
      </c>
      <c r="I12" s="214">
        <v>0.0</v>
      </c>
      <c r="J12" s="214">
        <v>0.0</v>
      </c>
      <c r="K12" s="221" t="s">
        <v>358</v>
      </c>
    </row>
    <row r="13">
      <c r="A13" s="218">
        <v>3.0</v>
      </c>
      <c r="B13" s="219" t="s">
        <v>359</v>
      </c>
      <c r="C13" s="211" t="s">
        <v>360</v>
      </c>
      <c r="D13" s="14"/>
      <c r="E13" s="220">
        <v>2.0</v>
      </c>
      <c r="F13" s="217">
        <f t="shared" si="1"/>
        <v>1</v>
      </c>
      <c r="G13" s="214">
        <v>0.0</v>
      </c>
      <c r="H13" s="214">
        <v>0.0</v>
      </c>
      <c r="I13" s="214">
        <v>0.0</v>
      </c>
      <c r="J13" s="214">
        <v>0.0</v>
      </c>
      <c r="K13" s="221" t="s">
        <v>361</v>
      </c>
    </row>
    <row r="14">
      <c r="A14" s="209">
        <v>4.0</v>
      </c>
      <c r="B14" s="210" t="s">
        <v>362</v>
      </c>
      <c r="C14" s="215" t="s">
        <v>363</v>
      </c>
      <c r="D14" s="221" t="s">
        <v>364</v>
      </c>
      <c r="E14" s="222">
        <v>6.0</v>
      </c>
      <c r="F14" s="223">
        <f>E14*0.3</f>
        <v>1.8</v>
      </c>
      <c r="G14" s="224">
        <f>E14*0.3</f>
        <v>1.8</v>
      </c>
      <c r="H14" s="223">
        <f>F14*0.8</f>
        <v>1.44</v>
      </c>
      <c r="I14" s="224">
        <f>E14*0.3</f>
        <v>1.8</v>
      </c>
      <c r="J14" s="223">
        <f>F14*0.8</f>
        <v>1.44</v>
      </c>
      <c r="K14" s="215" t="s">
        <v>365</v>
      </c>
    </row>
    <row r="15">
      <c r="A15" s="110"/>
      <c r="B15" s="110"/>
      <c r="C15" s="110"/>
      <c r="D15" s="221" t="s">
        <v>366</v>
      </c>
      <c r="E15" s="110"/>
      <c r="F15" s="110"/>
      <c r="G15" s="110"/>
      <c r="H15" s="110"/>
      <c r="I15" s="110"/>
      <c r="J15" s="110"/>
      <c r="K15" s="110"/>
    </row>
    <row r="16">
      <c r="A16" s="110"/>
      <c r="B16" s="110"/>
      <c r="C16" s="110"/>
      <c r="D16" s="221" t="s">
        <v>367</v>
      </c>
      <c r="E16" s="110"/>
      <c r="F16" s="110"/>
      <c r="G16" s="110"/>
      <c r="H16" s="110"/>
      <c r="I16" s="110"/>
      <c r="J16" s="110"/>
      <c r="K16" s="110"/>
    </row>
    <row r="17">
      <c r="A17" s="110"/>
      <c r="B17" s="110"/>
      <c r="C17" s="110"/>
      <c r="D17" s="221" t="s">
        <v>368</v>
      </c>
      <c r="E17" s="110"/>
      <c r="F17" s="110"/>
      <c r="G17" s="110"/>
      <c r="H17" s="110"/>
      <c r="I17" s="110"/>
      <c r="J17" s="110"/>
      <c r="K17" s="110"/>
    </row>
    <row r="18">
      <c r="A18" s="110"/>
      <c r="B18" s="110"/>
      <c r="C18" s="110"/>
      <c r="D18" s="221" t="s">
        <v>369</v>
      </c>
      <c r="E18" s="110"/>
      <c r="F18" s="110"/>
      <c r="G18" s="110"/>
      <c r="H18" s="110"/>
      <c r="I18" s="110"/>
      <c r="J18" s="110"/>
      <c r="K18" s="110"/>
    </row>
    <row r="19">
      <c r="A19" s="110"/>
      <c r="B19" s="110"/>
      <c r="C19" s="113"/>
      <c r="D19" s="221" t="s">
        <v>370</v>
      </c>
      <c r="E19" s="113"/>
      <c r="F19" s="113"/>
      <c r="G19" s="113"/>
      <c r="H19" s="113"/>
      <c r="I19" s="113"/>
      <c r="J19" s="113"/>
      <c r="K19" s="113"/>
    </row>
    <row r="20">
      <c r="A20" s="110"/>
      <c r="B20" s="110"/>
      <c r="C20" s="215" t="s">
        <v>371</v>
      </c>
      <c r="D20" s="221" t="s">
        <v>372</v>
      </c>
      <c r="E20" s="222">
        <v>2.0</v>
      </c>
      <c r="F20" s="223">
        <f>E20*0.3</f>
        <v>0.6</v>
      </c>
      <c r="G20" s="224">
        <f>E20*0.3</f>
        <v>0.6</v>
      </c>
      <c r="H20" s="223">
        <f>F20*0.8</f>
        <v>0.48</v>
      </c>
      <c r="I20" s="224">
        <f>E20*0.3</f>
        <v>0.6</v>
      </c>
      <c r="J20" s="223">
        <f>F20*0.8</f>
        <v>0.48</v>
      </c>
      <c r="K20" s="215" t="s">
        <v>373</v>
      </c>
    </row>
    <row r="21">
      <c r="A21" s="110"/>
      <c r="B21" s="110"/>
      <c r="C21" s="113"/>
      <c r="D21" s="221" t="s">
        <v>374</v>
      </c>
      <c r="E21" s="113"/>
      <c r="F21" s="113"/>
      <c r="G21" s="113"/>
      <c r="H21" s="113"/>
      <c r="I21" s="113"/>
      <c r="J21" s="113"/>
      <c r="K21" s="113"/>
    </row>
    <row r="22">
      <c r="A22" s="110"/>
      <c r="B22" s="110"/>
      <c r="C22" s="215" t="s">
        <v>375</v>
      </c>
      <c r="D22" s="221" t="s">
        <v>376</v>
      </c>
      <c r="E22" s="222">
        <v>4.0</v>
      </c>
      <c r="F22" s="223">
        <f>E22*0.3</f>
        <v>1.2</v>
      </c>
      <c r="G22" s="224">
        <f>E22*0.3</f>
        <v>1.2</v>
      </c>
      <c r="H22" s="223">
        <f>F22*0.8</f>
        <v>0.96</v>
      </c>
      <c r="I22" s="224">
        <f>E22*0.3</f>
        <v>1.2</v>
      </c>
      <c r="J22" s="223">
        <f>F22*0.8</f>
        <v>0.96</v>
      </c>
      <c r="K22" s="225" t="s">
        <v>377</v>
      </c>
    </row>
    <row r="23">
      <c r="A23" s="110"/>
      <c r="B23" s="110"/>
      <c r="C23" s="110"/>
      <c r="D23" s="221" t="s">
        <v>378</v>
      </c>
      <c r="E23" s="110"/>
      <c r="F23" s="110"/>
      <c r="G23" s="110"/>
      <c r="H23" s="110"/>
      <c r="I23" s="110"/>
      <c r="J23" s="110"/>
      <c r="K23" s="110"/>
    </row>
    <row r="24">
      <c r="A24" s="110"/>
      <c r="B24" s="110"/>
      <c r="C24" s="113"/>
      <c r="D24" s="221" t="s">
        <v>379</v>
      </c>
      <c r="E24" s="113"/>
      <c r="F24" s="113"/>
      <c r="G24" s="113"/>
      <c r="H24" s="113"/>
      <c r="I24" s="113"/>
      <c r="J24" s="113"/>
      <c r="K24" s="113"/>
    </row>
    <row r="25">
      <c r="A25" s="110"/>
      <c r="B25" s="110"/>
      <c r="C25" s="225" t="s">
        <v>380</v>
      </c>
      <c r="D25" s="226" t="s">
        <v>381</v>
      </c>
      <c r="E25" s="222">
        <v>3.0</v>
      </c>
      <c r="F25" s="223">
        <f>E25*0.3</f>
        <v>0.9</v>
      </c>
      <c r="G25" s="224">
        <f>E25*0.3</f>
        <v>0.9</v>
      </c>
      <c r="H25" s="223">
        <f>F25*0.8</f>
        <v>0.72</v>
      </c>
      <c r="I25" s="224">
        <f>E25*0.3</f>
        <v>0.9</v>
      </c>
      <c r="J25" s="223">
        <f>F25*0.8</f>
        <v>0.72</v>
      </c>
      <c r="K25" s="225" t="s">
        <v>382</v>
      </c>
    </row>
    <row r="26">
      <c r="A26" s="110"/>
      <c r="B26" s="110"/>
      <c r="C26" s="110"/>
      <c r="D26" s="226" t="s">
        <v>383</v>
      </c>
      <c r="E26" s="110"/>
      <c r="F26" s="110"/>
      <c r="G26" s="110"/>
      <c r="H26" s="110"/>
      <c r="I26" s="110"/>
      <c r="J26" s="110"/>
      <c r="K26" s="110"/>
    </row>
    <row r="27">
      <c r="A27" s="110"/>
      <c r="B27" s="110"/>
      <c r="C27" s="110"/>
      <c r="D27" s="226" t="s">
        <v>384</v>
      </c>
      <c r="E27" s="110"/>
      <c r="F27" s="110"/>
      <c r="G27" s="110"/>
      <c r="H27" s="110"/>
      <c r="I27" s="110"/>
      <c r="J27" s="110"/>
      <c r="K27" s="110"/>
    </row>
    <row r="28">
      <c r="A28" s="110"/>
      <c r="B28" s="110"/>
      <c r="C28" s="113"/>
      <c r="D28" s="226" t="s">
        <v>385</v>
      </c>
      <c r="E28" s="113"/>
      <c r="F28" s="113"/>
      <c r="G28" s="113"/>
      <c r="H28" s="113"/>
      <c r="I28" s="113"/>
      <c r="J28" s="113"/>
      <c r="K28" s="113"/>
    </row>
    <row r="29">
      <c r="A29" s="110"/>
      <c r="B29" s="110"/>
      <c r="C29" s="227" t="s">
        <v>386</v>
      </c>
      <c r="D29" s="226" t="s">
        <v>381</v>
      </c>
      <c r="E29" s="222">
        <v>3.0</v>
      </c>
      <c r="F29" s="223">
        <f>E29*0.3</f>
        <v>0.9</v>
      </c>
      <c r="G29" s="224">
        <f>E29*0.3</f>
        <v>0.9</v>
      </c>
      <c r="H29" s="223">
        <f>F29*0.8</f>
        <v>0.72</v>
      </c>
      <c r="I29" s="224">
        <f>E29*0.3</f>
        <v>0.9</v>
      </c>
      <c r="J29" s="223">
        <f>F29*0.8</f>
        <v>0.72</v>
      </c>
      <c r="K29" s="225" t="s">
        <v>382</v>
      </c>
    </row>
    <row r="30">
      <c r="A30" s="110"/>
      <c r="B30" s="110"/>
      <c r="C30" s="110"/>
      <c r="D30" s="226" t="s">
        <v>387</v>
      </c>
      <c r="E30" s="110"/>
      <c r="F30" s="110"/>
      <c r="G30" s="110"/>
      <c r="H30" s="110"/>
      <c r="I30" s="110"/>
      <c r="J30" s="110"/>
      <c r="K30" s="110"/>
    </row>
    <row r="31">
      <c r="A31" s="110"/>
      <c r="B31" s="110"/>
      <c r="C31" s="113"/>
      <c r="D31" s="226" t="s">
        <v>385</v>
      </c>
      <c r="E31" s="113"/>
      <c r="F31" s="113"/>
      <c r="G31" s="113"/>
      <c r="H31" s="113"/>
      <c r="I31" s="113"/>
      <c r="J31" s="113"/>
      <c r="K31" s="113"/>
    </row>
    <row r="32">
      <c r="A32" s="110"/>
      <c r="B32" s="110"/>
      <c r="C32" s="228" t="s">
        <v>388</v>
      </c>
      <c r="D32" s="221" t="s">
        <v>389</v>
      </c>
      <c r="E32" s="229">
        <v>3.0</v>
      </c>
      <c r="F32" s="223">
        <f>E32*0.3</f>
        <v>0.9</v>
      </c>
      <c r="G32" s="224">
        <f>E32*0.3</f>
        <v>0.9</v>
      </c>
      <c r="H32" s="223">
        <f>F32*0.8</f>
        <v>0.72</v>
      </c>
      <c r="I32" s="224">
        <f>E32*0.3</f>
        <v>0.9</v>
      </c>
      <c r="J32" s="223">
        <f>F32*0.8</f>
        <v>0.72</v>
      </c>
      <c r="K32" s="230" t="s">
        <v>390</v>
      </c>
    </row>
    <row r="33">
      <c r="A33" s="110"/>
      <c r="B33" s="110"/>
      <c r="C33" s="113"/>
      <c r="D33" s="226" t="s">
        <v>391</v>
      </c>
      <c r="E33" s="113"/>
      <c r="F33" s="113"/>
      <c r="G33" s="113"/>
      <c r="H33" s="113"/>
      <c r="I33" s="113"/>
      <c r="J33" s="113"/>
      <c r="K33" s="11"/>
    </row>
    <row r="34">
      <c r="A34" s="110"/>
      <c r="B34" s="110"/>
      <c r="C34" s="227" t="s">
        <v>392</v>
      </c>
      <c r="D34" s="226" t="s">
        <v>381</v>
      </c>
      <c r="E34" s="222">
        <v>3.0</v>
      </c>
      <c r="F34" s="223">
        <f>E34*0.3</f>
        <v>0.9</v>
      </c>
      <c r="G34" s="224">
        <f>E34*0.3</f>
        <v>0.9</v>
      </c>
      <c r="H34" s="223">
        <f>F34*0.8</f>
        <v>0.72</v>
      </c>
      <c r="I34" s="224">
        <f>E34*0.3</f>
        <v>0.9</v>
      </c>
      <c r="J34" s="223">
        <f>F34*0.8</f>
        <v>0.72</v>
      </c>
      <c r="K34" s="215" t="s">
        <v>393</v>
      </c>
    </row>
    <row r="35">
      <c r="A35" s="110"/>
      <c r="B35" s="110"/>
      <c r="C35" s="110"/>
      <c r="D35" s="226" t="s">
        <v>394</v>
      </c>
      <c r="E35" s="110"/>
      <c r="F35" s="110"/>
      <c r="G35" s="110"/>
      <c r="H35" s="110"/>
      <c r="I35" s="110"/>
      <c r="J35" s="110"/>
      <c r="K35" s="110"/>
    </row>
    <row r="36">
      <c r="A36" s="110"/>
      <c r="B36" s="110"/>
      <c r="C36" s="113"/>
      <c r="D36" s="226" t="s">
        <v>395</v>
      </c>
      <c r="E36" s="113"/>
      <c r="F36" s="113"/>
      <c r="G36" s="113"/>
      <c r="H36" s="113"/>
      <c r="I36" s="113"/>
      <c r="J36" s="113"/>
      <c r="K36" s="113"/>
    </row>
    <row r="37">
      <c r="A37" s="110"/>
      <c r="B37" s="110"/>
      <c r="C37" s="228" t="s">
        <v>396</v>
      </c>
      <c r="D37" s="221" t="s">
        <v>397</v>
      </c>
      <c r="E37" s="224">
        <v>4.0</v>
      </c>
      <c r="F37" s="223">
        <f>E37*0.3</f>
        <v>1.2</v>
      </c>
      <c r="G37" s="224">
        <f>E37*0.3</f>
        <v>1.2</v>
      </c>
      <c r="H37" s="223">
        <f>F37*0.8</f>
        <v>0.96</v>
      </c>
      <c r="I37" s="224">
        <f>E37*0.3</f>
        <v>1.2</v>
      </c>
      <c r="J37" s="223">
        <f>F37*0.8</f>
        <v>0.96</v>
      </c>
      <c r="K37" s="225" t="s">
        <v>398</v>
      </c>
    </row>
    <row r="38">
      <c r="A38" s="110"/>
      <c r="B38" s="110"/>
      <c r="C38" s="113"/>
      <c r="D38" s="221" t="s">
        <v>399</v>
      </c>
      <c r="E38" s="113"/>
      <c r="F38" s="113"/>
      <c r="G38" s="113"/>
      <c r="H38" s="113"/>
      <c r="I38" s="113"/>
      <c r="J38" s="113"/>
      <c r="K38" s="113"/>
    </row>
    <row r="39">
      <c r="A39" s="110"/>
      <c r="B39" s="110"/>
      <c r="C39" s="227" t="s">
        <v>400</v>
      </c>
      <c r="D39" s="226" t="s">
        <v>401</v>
      </c>
      <c r="E39" s="222">
        <v>1.0</v>
      </c>
      <c r="F39" s="223">
        <f>E39*0.3</f>
        <v>0.3</v>
      </c>
      <c r="G39" s="224">
        <f>E39*0.3</f>
        <v>0.3</v>
      </c>
      <c r="H39" s="223">
        <f>F39*0.8</f>
        <v>0.24</v>
      </c>
      <c r="I39" s="224">
        <f>E39*0.3</f>
        <v>0.3</v>
      </c>
      <c r="J39" s="223">
        <f>F39*0.8</f>
        <v>0.24</v>
      </c>
      <c r="K39" s="225" t="s">
        <v>402</v>
      </c>
    </row>
    <row r="40">
      <c r="A40" s="110"/>
      <c r="B40" s="110"/>
      <c r="C40" s="113"/>
      <c r="D40" s="221" t="s">
        <v>403</v>
      </c>
      <c r="E40" s="113"/>
      <c r="F40" s="113"/>
      <c r="G40" s="113"/>
      <c r="H40" s="113"/>
      <c r="I40" s="113"/>
      <c r="J40" s="113"/>
      <c r="K40" s="113"/>
    </row>
    <row r="41">
      <c r="A41" s="110"/>
      <c r="B41" s="110"/>
      <c r="C41" s="227" t="s">
        <v>404</v>
      </c>
      <c r="D41" s="226" t="s">
        <v>401</v>
      </c>
      <c r="E41" s="222">
        <v>1.0</v>
      </c>
      <c r="F41" s="223">
        <f>E41*0.3</f>
        <v>0.3</v>
      </c>
      <c r="G41" s="224">
        <f>E41*0.3</f>
        <v>0.3</v>
      </c>
      <c r="H41" s="223">
        <f>F41*0.8</f>
        <v>0.24</v>
      </c>
      <c r="I41" s="224">
        <f>E41*0.3</f>
        <v>0.3</v>
      </c>
      <c r="J41" s="223">
        <f>F41*0.8</f>
        <v>0.24</v>
      </c>
      <c r="K41" s="225" t="s">
        <v>405</v>
      </c>
    </row>
    <row r="42">
      <c r="A42" s="110"/>
      <c r="B42" s="110"/>
      <c r="C42" s="113"/>
      <c r="D42" s="221" t="s">
        <v>403</v>
      </c>
      <c r="E42" s="113"/>
      <c r="F42" s="113"/>
      <c r="G42" s="113"/>
      <c r="H42" s="113"/>
      <c r="I42" s="113"/>
      <c r="J42" s="113"/>
      <c r="K42" s="113"/>
    </row>
    <row r="43">
      <c r="A43" s="110"/>
      <c r="B43" s="110"/>
      <c r="C43" s="231" t="s">
        <v>406</v>
      </c>
      <c r="D43" s="226" t="s">
        <v>407</v>
      </c>
      <c r="E43" s="224">
        <v>2.0</v>
      </c>
      <c r="F43" s="223">
        <f>E43*0.3</f>
        <v>0.6</v>
      </c>
      <c r="G43" s="224">
        <f>E43*0.3</f>
        <v>0.6</v>
      </c>
      <c r="H43" s="223">
        <f>F43*0.8</f>
        <v>0.48</v>
      </c>
      <c r="I43" s="224">
        <f>E43*0.3</f>
        <v>0.6</v>
      </c>
      <c r="J43" s="223">
        <f>F43*0.8</f>
        <v>0.48</v>
      </c>
      <c r="K43" s="215" t="s">
        <v>408</v>
      </c>
    </row>
    <row r="44">
      <c r="A44" s="110"/>
      <c r="B44" s="110"/>
      <c r="C44" s="113"/>
      <c r="D44" s="226" t="s">
        <v>409</v>
      </c>
      <c r="E44" s="113"/>
      <c r="F44" s="113"/>
      <c r="G44" s="113"/>
      <c r="H44" s="113"/>
      <c r="I44" s="113"/>
      <c r="J44" s="113"/>
      <c r="K44" s="113"/>
    </row>
    <row r="45">
      <c r="A45" s="110"/>
      <c r="B45" s="110"/>
      <c r="C45" s="232" t="s">
        <v>410</v>
      </c>
      <c r="D45" s="221" t="s">
        <v>411</v>
      </c>
      <c r="E45" s="233">
        <v>2.0</v>
      </c>
      <c r="F45" s="212">
        <f t="shared" ref="F45:F46" si="2">E45*0.3</f>
        <v>0.6</v>
      </c>
      <c r="G45" s="233">
        <f t="shared" ref="G45:G46" si="3">E45*0.3</f>
        <v>0.6</v>
      </c>
      <c r="H45" s="212">
        <f t="shared" ref="H45:H46" si="4">F45*0.8</f>
        <v>0.48</v>
      </c>
      <c r="I45" s="233">
        <f t="shared" ref="I45:I46" si="5">E45*0.3</f>
        <v>0.6</v>
      </c>
      <c r="J45" s="212">
        <f t="shared" ref="J45:J46" si="6">F45*0.8</f>
        <v>0.48</v>
      </c>
      <c r="K45" s="221" t="s">
        <v>412</v>
      </c>
    </row>
    <row r="46">
      <c r="A46" s="110"/>
      <c r="B46" s="110"/>
      <c r="C46" s="227" t="s">
        <v>413</v>
      </c>
      <c r="D46" s="226" t="s">
        <v>414</v>
      </c>
      <c r="E46" s="224">
        <v>4.0</v>
      </c>
      <c r="F46" s="223">
        <f t="shared" si="2"/>
        <v>1.2</v>
      </c>
      <c r="G46" s="224">
        <f t="shared" si="3"/>
        <v>1.2</v>
      </c>
      <c r="H46" s="223">
        <f t="shared" si="4"/>
        <v>0.96</v>
      </c>
      <c r="I46" s="224">
        <f t="shared" si="5"/>
        <v>1.2</v>
      </c>
      <c r="J46" s="223">
        <f t="shared" si="6"/>
        <v>0.96</v>
      </c>
      <c r="K46" s="215" t="s">
        <v>415</v>
      </c>
    </row>
    <row r="47">
      <c r="A47" s="110"/>
      <c r="B47" s="110"/>
      <c r="C47" s="110"/>
      <c r="D47" s="226" t="s">
        <v>416</v>
      </c>
      <c r="E47" s="110"/>
      <c r="F47" s="110"/>
      <c r="G47" s="110"/>
      <c r="H47" s="110"/>
      <c r="I47" s="110"/>
      <c r="J47" s="110"/>
      <c r="K47" s="110"/>
    </row>
    <row r="48">
      <c r="A48" s="110"/>
      <c r="B48" s="110"/>
      <c r="C48" s="113"/>
      <c r="D48" s="221" t="s">
        <v>417</v>
      </c>
      <c r="E48" s="113"/>
      <c r="F48" s="113"/>
      <c r="G48" s="113"/>
      <c r="H48" s="113"/>
      <c r="I48" s="113"/>
      <c r="J48" s="113"/>
      <c r="K48" s="113"/>
    </row>
    <row r="49">
      <c r="A49" s="110"/>
      <c r="B49" s="110"/>
      <c r="C49" s="227" t="s">
        <v>418</v>
      </c>
      <c r="D49" s="226" t="s">
        <v>414</v>
      </c>
      <c r="E49" s="224">
        <v>4.0</v>
      </c>
      <c r="F49" s="223">
        <f>E49*0.3</f>
        <v>1.2</v>
      </c>
      <c r="G49" s="224">
        <f>E49*0.3</f>
        <v>1.2</v>
      </c>
      <c r="H49" s="223">
        <f>F49*0.8</f>
        <v>0.96</v>
      </c>
      <c r="I49" s="224">
        <f>E49*0.3</f>
        <v>1.2</v>
      </c>
      <c r="J49" s="223">
        <f>F49*0.8</f>
        <v>0.96</v>
      </c>
      <c r="K49" s="215" t="s">
        <v>415</v>
      </c>
    </row>
    <row r="50">
      <c r="A50" s="110"/>
      <c r="B50" s="110"/>
      <c r="C50" s="110"/>
      <c r="D50" s="226" t="s">
        <v>416</v>
      </c>
      <c r="E50" s="110"/>
      <c r="F50" s="110"/>
      <c r="G50" s="110"/>
      <c r="H50" s="110"/>
      <c r="I50" s="110"/>
      <c r="J50" s="110"/>
      <c r="K50" s="110"/>
    </row>
    <row r="51">
      <c r="A51" s="110"/>
      <c r="B51" s="110"/>
      <c r="C51" s="110"/>
      <c r="D51" s="221" t="s">
        <v>417</v>
      </c>
      <c r="E51" s="110"/>
      <c r="F51" s="110"/>
      <c r="G51" s="110"/>
      <c r="H51" s="110"/>
      <c r="I51" s="110"/>
      <c r="J51" s="110"/>
      <c r="K51" s="110"/>
    </row>
    <row r="52">
      <c r="A52" s="110"/>
      <c r="B52" s="110"/>
      <c r="C52" s="113"/>
      <c r="D52" s="226" t="s">
        <v>401</v>
      </c>
      <c r="E52" s="113"/>
      <c r="F52" s="113"/>
      <c r="G52" s="113"/>
      <c r="H52" s="113"/>
      <c r="I52" s="113"/>
      <c r="J52" s="113"/>
      <c r="K52" s="113"/>
    </row>
    <row r="53">
      <c r="A53" s="110"/>
      <c r="B53" s="110"/>
      <c r="C53" s="227" t="s">
        <v>419</v>
      </c>
      <c r="D53" s="226" t="s">
        <v>420</v>
      </c>
      <c r="E53" s="224">
        <v>4.0</v>
      </c>
      <c r="F53" s="223">
        <f>E53*0.3</f>
        <v>1.2</v>
      </c>
      <c r="G53" s="224">
        <f>E53*0.3</f>
        <v>1.2</v>
      </c>
      <c r="H53" s="223">
        <f>F53*0.8</f>
        <v>0.96</v>
      </c>
      <c r="I53" s="224">
        <f>E53*0.3</f>
        <v>1.2</v>
      </c>
      <c r="J53" s="223">
        <f>F53*0.8</f>
        <v>0.96</v>
      </c>
      <c r="K53" s="225" t="s">
        <v>421</v>
      </c>
    </row>
    <row r="54">
      <c r="A54" s="110"/>
      <c r="B54" s="110"/>
      <c r="C54" s="110"/>
      <c r="D54" s="226" t="s">
        <v>391</v>
      </c>
      <c r="E54" s="110"/>
      <c r="F54" s="110"/>
      <c r="G54" s="110"/>
      <c r="H54" s="110"/>
      <c r="I54" s="110"/>
      <c r="J54" s="110"/>
      <c r="K54" s="110"/>
    </row>
    <row r="55">
      <c r="A55" s="110"/>
      <c r="B55" s="110"/>
      <c r="C55" s="113"/>
      <c r="D55" s="226" t="s">
        <v>422</v>
      </c>
      <c r="E55" s="113"/>
      <c r="F55" s="113"/>
      <c r="G55" s="113"/>
      <c r="H55" s="113"/>
      <c r="I55" s="113"/>
      <c r="J55" s="113"/>
      <c r="K55" s="113"/>
    </row>
    <row r="56">
      <c r="A56" s="110"/>
      <c r="B56" s="110"/>
      <c r="C56" s="228" t="s">
        <v>423</v>
      </c>
      <c r="D56" s="234" t="s">
        <v>424</v>
      </c>
      <c r="E56" s="224">
        <v>4.0</v>
      </c>
      <c r="F56" s="223">
        <f>E56*0.3</f>
        <v>1.2</v>
      </c>
      <c r="G56" s="224">
        <f>E56*0.3</f>
        <v>1.2</v>
      </c>
      <c r="H56" s="223">
        <f>F56*0.8</f>
        <v>0.96</v>
      </c>
      <c r="I56" s="224">
        <f>E56*0.3</f>
        <v>1.2</v>
      </c>
      <c r="J56" s="223">
        <f>F56*0.8</f>
        <v>0.96</v>
      </c>
      <c r="K56" s="225" t="s">
        <v>425</v>
      </c>
    </row>
    <row r="57">
      <c r="A57" s="110"/>
      <c r="B57" s="110"/>
      <c r="C57" s="110"/>
      <c r="D57" s="234" t="s">
        <v>426</v>
      </c>
      <c r="E57" s="110"/>
      <c r="F57" s="110"/>
      <c r="G57" s="110"/>
      <c r="H57" s="110"/>
      <c r="I57" s="110"/>
      <c r="J57" s="110"/>
      <c r="K57" s="110"/>
    </row>
    <row r="58">
      <c r="A58" s="110"/>
      <c r="B58" s="110"/>
      <c r="C58" s="113"/>
      <c r="D58" s="234" t="s">
        <v>427</v>
      </c>
      <c r="E58" s="113"/>
      <c r="F58" s="113"/>
      <c r="G58" s="113"/>
      <c r="H58" s="113"/>
      <c r="I58" s="113"/>
      <c r="J58" s="113"/>
      <c r="K58" s="113"/>
    </row>
    <row r="59">
      <c r="A59" s="110"/>
      <c r="B59" s="110"/>
      <c r="C59" s="228" t="s">
        <v>428</v>
      </c>
      <c r="D59" s="234" t="s">
        <v>429</v>
      </c>
      <c r="E59" s="224">
        <v>4.0</v>
      </c>
      <c r="F59" s="223">
        <f>E59*0.3</f>
        <v>1.2</v>
      </c>
      <c r="G59" s="224">
        <f>E59*0.3</f>
        <v>1.2</v>
      </c>
      <c r="H59" s="223">
        <f>F59*0.8</f>
        <v>0.96</v>
      </c>
      <c r="I59" s="224">
        <f>E59*0.3</f>
        <v>1.2</v>
      </c>
      <c r="J59" s="223">
        <f>F59*0.8</f>
        <v>0.96</v>
      </c>
      <c r="K59" s="225" t="s">
        <v>430</v>
      </c>
    </row>
    <row r="60">
      <c r="A60" s="110"/>
      <c r="B60" s="110"/>
      <c r="C60" s="110"/>
      <c r="D60" s="234" t="s">
        <v>431</v>
      </c>
      <c r="E60" s="110"/>
      <c r="F60" s="110"/>
      <c r="G60" s="110"/>
      <c r="H60" s="110"/>
      <c r="I60" s="110"/>
      <c r="J60" s="110"/>
      <c r="K60" s="110"/>
    </row>
    <row r="61">
      <c r="A61" s="110"/>
      <c r="B61" s="110"/>
      <c r="C61" s="113"/>
      <c r="D61" s="234" t="s">
        <v>432</v>
      </c>
      <c r="E61" s="113"/>
      <c r="F61" s="113"/>
      <c r="G61" s="113"/>
      <c r="H61" s="113"/>
      <c r="I61" s="113"/>
      <c r="J61" s="113"/>
      <c r="K61" s="113"/>
    </row>
    <row r="62">
      <c r="A62" s="110"/>
      <c r="B62" s="110"/>
      <c r="C62" s="234" t="s">
        <v>433</v>
      </c>
      <c r="D62" s="234" t="s">
        <v>434</v>
      </c>
      <c r="E62" s="233">
        <v>2.0</v>
      </c>
      <c r="F62" s="212">
        <f t="shared" ref="F62:F63" si="7">E62*0.3</f>
        <v>0.6</v>
      </c>
      <c r="G62" s="233">
        <f t="shared" ref="G62:G63" si="8">E62*0.3</f>
        <v>0.6</v>
      </c>
      <c r="H62" s="212">
        <f t="shared" ref="H62:H63" si="9">F62*0.8</f>
        <v>0.48</v>
      </c>
      <c r="I62" s="233">
        <f t="shared" ref="I62:I63" si="10">E62*0.3</f>
        <v>0.6</v>
      </c>
      <c r="J62" s="212">
        <f t="shared" ref="J62:J63" si="11">F62*0.8</f>
        <v>0.48</v>
      </c>
      <c r="K62" s="226" t="s">
        <v>435</v>
      </c>
    </row>
    <row r="63">
      <c r="A63" s="110"/>
      <c r="B63" s="110"/>
      <c r="C63" s="228" t="s">
        <v>436</v>
      </c>
      <c r="D63" s="234" t="s">
        <v>437</v>
      </c>
      <c r="E63" s="224">
        <v>2.0</v>
      </c>
      <c r="F63" s="223">
        <f t="shared" si="7"/>
        <v>0.6</v>
      </c>
      <c r="G63" s="224">
        <f t="shared" si="8"/>
        <v>0.6</v>
      </c>
      <c r="H63" s="223">
        <f t="shared" si="9"/>
        <v>0.48</v>
      </c>
      <c r="I63" s="224">
        <f t="shared" si="10"/>
        <v>0.6</v>
      </c>
      <c r="J63" s="223">
        <f t="shared" si="11"/>
        <v>0.48</v>
      </c>
      <c r="K63" s="225" t="s">
        <v>438</v>
      </c>
    </row>
    <row r="64" ht="22.5" customHeight="1">
      <c r="A64" s="110"/>
      <c r="B64" s="110"/>
      <c r="C64" s="113"/>
      <c r="D64" s="234" t="s">
        <v>439</v>
      </c>
      <c r="E64" s="113"/>
      <c r="F64" s="113"/>
      <c r="G64" s="113"/>
      <c r="H64" s="113"/>
      <c r="I64" s="113"/>
      <c r="J64" s="113"/>
      <c r="K64" s="113"/>
    </row>
    <row r="65">
      <c r="A65" s="110"/>
      <c r="B65" s="110"/>
      <c r="C65" s="228" t="s">
        <v>440</v>
      </c>
      <c r="D65" s="235" t="s">
        <v>441</v>
      </c>
      <c r="E65" s="224">
        <v>2.0</v>
      </c>
      <c r="F65" s="223">
        <f>E65*0.3</f>
        <v>0.6</v>
      </c>
      <c r="G65" s="224">
        <f>E65*0.3</f>
        <v>0.6</v>
      </c>
      <c r="H65" s="223">
        <f>F65*0.8</f>
        <v>0.48</v>
      </c>
      <c r="I65" s="224">
        <f>E65*0.3</f>
        <v>0.6</v>
      </c>
      <c r="J65" s="223">
        <f>F65*0.8</f>
        <v>0.48</v>
      </c>
      <c r="K65" s="228" t="s">
        <v>442</v>
      </c>
    </row>
    <row r="66">
      <c r="A66" s="110"/>
      <c r="B66" s="110"/>
      <c r="C66" s="113"/>
      <c r="D66" s="235" t="s">
        <v>443</v>
      </c>
      <c r="E66" s="113"/>
      <c r="F66" s="113"/>
      <c r="G66" s="113"/>
      <c r="H66" s="113"/>
      <c r="I66" s="113"/>
      <c r="J66" s="113"/>
      <c r="K66" s="113"/>
    </row>
    <row r="67">
      <c r="A67" s="110"/>
      <c r="B67" s="110"/>
      <c r="C67" s="225" t="s">
        <v>444</v>
      </c>
      <c r="D67" s="236" t="s">
        <v>445</v>
      </c>
      <c r="E67" s="224">
        <v>2.0</v>
      </c>
      <c r="F67" s="223">
        <f>E67*0.3</f>
        <v>0.6</v>
      </c>
      <c r="G67" s="224">
        <f>E67*0.3</f>
        <v>0.6</v>
      </c>
      <c r="H67" s="223">
        <f>F67*0.8</f>
        <v>0.48</v>
      </c>
      <c r="I67" s="224">
        <f>E67*0.3</f>
        <v>0.6</v>
      </c>
      <c r="J67" s="223">
        <f>F67*0.8</f>
        <v>0.48</v>
      </c>
      <c r="K67" s="225" t="s">
        <v>446</v>
      </c>
    </row>
    <row r="68">
      <c r="A68" s="110"/>
      <c r="B68" s="110"/>
      <c r="C68" s="113"/>
      <c r="D68" s="236" t="s">
        <v>447</v>
      </c>
      <c r="E68" s="113"/>
      <c r="F68" s="113"/>
      <c r="G68" s="113"/>
      <c r="H68" s="113"/>
      <c r="I68" s="113"/>
      <c r="J68" s="113"/>
      <c r="K68" s="113"/>
    </row>
    <row r="69">
      <c r="A69" s="110"/>
      <c r="B69" s="110"/>
      <c r="C69" s="225" t="s">
        <v>448</v>
      </c>
      <c r="D69" s="237" t="s">
        <v>449</v>
      </c>
      <c r="E69" s="224">
        <v>8.0</v>
      </c>
      <c r="F69" s="223">
        <f>E69*0.3</f>
        <v>2.4</v>
      </c>
      <c r="G69" s="224">
        <f>E69*0.3</f>
        <v>2.4</v>
      </c>
      <c r="H69" s="223">
        <f>F69*0.8</f>
        <v>1.92</v>
      </c>
      <c r="I69" s="224">
        <f>E69*0.3</f>
        <v>2.4</v>
      </c>
      <c r="J69" s="223">
        <f>F69*0.8</f>
        <v>1.92</v>
      </c>
      <c r="K69" s="225" t="s">
        <v>450</v>
      </c>
    </row>
    <row r="70">
      <c r="A70" s="110"/>
      <c r="B70" s="110"/>
      <c r="C70" s="110"/>
      <c r="D70" s="237" t="s">
        <v>451</v>
      </c>
      <c r="E70" s="110"/>
      <c r="F70" s="110"/>
      <c r="G70" s="110"/>
      <c r="H70" s="110"/>
      <c r="I70" s="110"/>
      <c r="J70" s="110"/>
      <c r="K70" s="110"/>
    </row>
    <row r="71">
      <c r="A71" s="110"/>
      <c r="B71" s="110"/>
      <c r="C71" s="110"/>
      <c r="D71" s="237" t="s">
        <v>452</v>
      </c>
      <c r="E71" s="110"/>
      <c r="F71" s="110"/>
      <c r="G71" s="110"/>
      <c r="H71" s="110"/>
      <c r="I71" s="110"/>
      <c r="J71" s="110"/>
      <c r="K71" s="110"/>
    </row>
    <row r="72">
      <c r="A72" s="110"/>
      <c r="B72" s="110"/>
      <c r="C72" s="113"/>
      <c r="D72" s="237" t="s">
        <v>453</v>
      </c>
      <c r="E72" s="113"/>
      <c r="F72" s="113"/>
      <c r="G72" s="113"/>
      <c r="H72" s="113"/>
      <c r="I72" s="113"/>
      <c r="J72" s="113"/>
      <c r="K72" s="113"/>
    </row>
    <row r="73">
      <c r="A73" s="110"/>
      <c r="B73" s="110"/>
      <c r="C73" s="227" t="s">
        <v>454</v>
      </c>
      <c r="D73" s="238" t="s">
        <v>455</v>
      </c>
      <c r="E73" s="224">
        <v>4.0</v>
      </c>
      <c r="F73" s="223">
        <f>E73*0.3</f>
        <v>1.2</v>
      </c>
      <c r="G73" s="224">
        <f>E73*0.3</f>
        <v>1.2</v>
      </c>
      <c r="H73" s="223">
        <f>F73*0.8</f>
        <v>0.96</v>
      </c>
      <c r="I73" s="224">
        <f>E73*0.3</f>
        <v>1.2</v>
      </c>
      <c r="J73" s="223">
        <f>F73*0.8</f>
        <v>0.96</v>
      </c>
      <c r="K73" s="225" t="s">
        <v>456</v>
      </c>
    </row>
    <row r="74">
      <c r="A74" s="110"/>
      <c r="B74" s="110"/>
      <c r="C74" s="113"/>
      <c r="D74" s="238" t="s">
        <v>457</v>
      </c>
      <c r="E74" s="113"/>
      <c r="F74" s="113"/>
      <c r="G74" s="113"/>
      <c r="H74" s="113"/>
      <c r="I74" s="113"/>
      <c r="J74" s="113"/>
      <c r="K74" s="113"/>
    </row>
    <row r="75">
      <c r="A75" s="110"/>
      <c r="B75" s="110"/>
      <c r="C75" s="225" t="s">
        <v>458</v>
      </c>
      <c r="D75" s="239" t="s">
        <v>459</v>
      </c>
      <c r="E75" s="224">
        <v>3.0</v>
      </c>
      <c r="F75" s="223">
        <f>E75*0.3</f>
        <v>0.9</v>
      </c>
      <c r="G75" s="224">
        <f>E75*0.3</f>
        <v>0.9</v>
      </c>
      <c r="H75" s="223">
        <f>F75*0.8</f>
        <v>0.72</v>
      </c>
      <c r="I75" s="224">
        <f>E75*0.3</f>
        <v>0.9</v>
      </c>
      <c r="J75" s="223">
        <f>F75*0.8</f>
        <v>0.72</v>
      </c>
      <c r="K75" s="228" t="s">
        <v>460</v>
      </c>
    </row>
    <row r="76">
      <c r="A76" s="110"/>
      <c r="B76" s="110"/>
      <c r="C76" s="113"/>
      <c r="D76" s="235" t="s">
        <v>461</v>
      </c>
      <c r="E76" s="113"/>
      <c r="F76" s="113"/>
      <c r="G76" s="113"/>
      <c r="H76" s="113"/>
      <c r="I76" s="113"/>
      <c r="J76" s="113"/>
      <c r="K76" s="113"/>
    </row>
    <row r="77">
      <c r="A77" s="110"/>
      <c r="B77" s="110"/>
      <c r="C77" s="227" t="s">
        <v>462</v>
      </c>
      <c r="D77" s="226" t="s">
        <v>463</v>
      </c>
      <c r="E77" s="224">
        <v>4.0</v>
      </c>
      <c r="F77" s="223">
        <f>E77*0.3</f>
        <v>1.2</v>
      </c>
      <c r="G77" s="224">
        <f>E77*0.3</f>
        <v>1.2</v>
      </c>
      <c r="H77" s="223">
        <f>F77*0.8</f>
        <v>0.96</v>
      </c>
      <c r="I77" s="224">
        <f>E77*0.3</f>
        <v>1.2</v>
      </c>
      <c r="J77" s="223">
        <f>F77*0.8</f>
        <v>0.96</v>
      </c>
      <c r="K77" s="225" t="s">
        <v>464</v>
      </c>
    </row>
    <row r="78">
      <c r="A78" s="110"/>
      <c r="B78" s="110"/>
      <c r="C78" s="110"/>
      <c r="D78" s="226" t="s">
        <v>465</v>
      </c>
      <c r="E78" s="110"/>
      <c r="F78" s="110"/>
      <c r="G78" s="110"/>
      <c r="H78" s="110"/>
      <c r="I78" s="110"/>
      <c r="J78" s="110"/>
      <c r="K78" s="110"/>
    </row>
    <row r="79">
      <c r="A79" s="110"/>
      <c r="B79" s="110"/>
      <c r="C79" s="110"/>
      <c r="D79" s="226" t="s">
        <v>466</v>
      </c>
      <c r="E79" s="110"/>
      <c r="F79" s="110"/>
      <c r="G79" s="110"/>
      <c r="H79" s="110"/>
      <c r="I79" s="110"/>
      <c r="J79" s="110"/>
      <c r="K79" s="110"/>
    </row>
    <row r="80">
      <c r="A80" s="110"/>
      <c r="B80" s="110"/>
      <c r="C80" s="113"/>
      <c r="D80" s="226" t="s">
        <v>467</v>
      </c>
      <c r="E80" s="113"/>
      <c r="F80" s="113"/>
      <c r="G80" s="113"/>
      <c r="H80" s="113"/>
      <c r="I80" s="113"/>
      <c r="J80" s="113"/>
      <c r="K80" s="113"/>
    </row>
    <row r="81">
      <c r="A81" s="110"/>
      <c r="B81" s="110"/>
      <c r="C81" s="227" t="s">
        <v>468</v>
      </c>
      <c r="D81" s="226" t="s">
        <v>469</v>
      </c>
      <c r="E81" s="224">
        <v>4.0</v>
      </c>
      <c r="F81" s="223">
        <f>E81*0.3</f>
        <v>1.2</v>
      </c>
      <c r="G81" s="224">
        <f>E81*0.3</f>
        <v>1.2</v>
      </c>
      <c r="H81" s="223">
        <f>F81*0.8</f>
        <v>0.96</v>
      </c>
      <c r="I81" s="224">
        <f>E81*0.3</f>
        <v>1.2</v>
      </c>
      <c r="J81" s="223">
        <f>F81*0.8</f>
        <v>0.96</v>
      </c>
      <c r="K81" s="225" t="s">
        <v>470</v>
      </c>
    </row>
    <row r="82">
      <c r="A82" s="110"/>
      <c r="B82" s="110"/>
      <c r="C82" s="110"/>
      <c r="D82" s="226" t="s">
        <v>471</v>
      </c>
      <c r="E82" s="110"/>
      <c r="F82" s="110"/>
      <c r="G82" s="110"/>
      <c r="H82" s="110"/>
      <c r="I82" s="110"/>
      <c r="J82" s="110"/>
      <c r="K82" s="110"/>
    </row>
    <row r="83">
      <c r="A83" s="110"/>
      <c r="B83" s="110"/>
      <c r="C83" s="113"/>
      <c r="D83" s="226" t="s">
        <v>472</v>
      </c>
      <c r="E83" s="113"/>
      <c r="F83" s="113"/>
      <c r="G83" s="113"/>
      <c r="H83" s="113"/>
      <c r="I83" s="113"/>
      <c r="J83" s="113"/>
      <c r="K83" s="113"/>
    </row>
    <row r="84">
      <c r="A84" s="110"/>
      <c r="B84" s="110"/>
      <c r="C84" s="227" t="s">
        <v>473</v>
      </c>
      <c r="D84" s="226" t="s">
        <v>469</v>
      </c>
      <c r="E84" s="224">
        <v>3.0</v>
      </c>
      <c r="F84" s="223">
        <f>E84*0.3</f>
        <v>0.9</v>
      </c>
      <c r="G84" s="224">
        <f>E84*0.3</f>
        <v>0.9</v>
      </c>
      <c r="H84" s="223">
        <f>F84*0.8</f>
        <v>0.72</v>
      </c>
      <c r="I84" s="224">
        <f>E84*0.3</f>
        <v>0.9</v>
      </c>
      <c r="J84" s="223">
        <f>F84*0.8</f>
        <v>0.72</v>
      </c>
      <c r="K84" s="225" t="s">
        <v>474</v>
      </c>
    </row>
    <row r="85">
      <c r="A85" s="110"/>
      <c r="B85" s="110"/>
      <c r="C85" s="113"/>
      <c r="D85" s="226" t="s">
        <v>475</v>
      </c>
      <c r="E85" s="113"/>
      <c r="F85" s="113"/>
      <c r="G85" s="113"/>
      <c r="H85" s="113"/>
      <c r="I85" s="113"/>
      <c r="J85" s="113"/>
      <c r="K85" s="113"/>
    </row>
    <row r="86">
      <c r="A86" s="110"/>
      <c r="B86" s="110"/>
      <c r="C86" s="240" t="s">
        <v>476</v>
      </c>
      <c r="D86" s="234" t="s">
        <v>477</v>
      </c>
      <c r="E86" s="224">
        <v>4.0</v>
      </c>
      <c r="F86" s="223">
        <f>E86*0.3</f>
        <v>1.2</v>
      </c>
      <c r="G86" s="224">
        <f>E86*0.3</f>
        <v>1.2</v>
      </c>
      <c r="H86" s="223">
        <f>F86*0.8</f>
        <v>0.96</v>
      </c>
      <c r="I86" s="224">
        <f>E86*0.3</f>
        <v>1.2</v>
      </c>
      <c r="J86" s="223">
        <f>F86*0.8</f>
        <v>0.96</v>
      </c>
      <c r="K86" s="225" t="s">
        <v>478</v>
      </c>
    </row>
    <row r="87">
      <c r="A87" s="110"/>
      <c r="B87" s="110"/>
      <c r="C87" s="113"/>
      <c r="D87" s="234" t="s">
        <v>479</v>
      </c>
      <c r="E87" s="113"/>
      <c r="F87" s="113"/>
      <c r="G87" s="113"/>
      <c r="H87" s="113"/>
      <c r="I87" s="113"/>
      <c r="J87" s="113"/>
      <c r="K87" s="113"/>
    </row>
    <row r="88">
      <c r="A88" s="110"/>
      <c r="B88" s="110"/>
      <c r="C88" s="231" t="s">
        <v>480</v>
      </c>
      <c r="D88" s="221" t="s">
        <v>481</v>
      </c>
      <c r="E88" s="224">
        <v>3.0</v>
      </c>
      <c r="F88" s="223">
        <f>E88*0.3</f>
        <v>0.9</v>
      </c>
      <c r="G88" s="224">
        <f>E88*0.3</f>
        <v>0.9</v>
      </c>
      <c r="H88" s="223">
        <f>F88*0.8</f>
        <v>0.72</v>
      </c>
      <c r="I88" s="224">
        <f>E88*0.3</f>
        <v>0.9</v>
      </c>
      <c r="J88" s="223">
        <f>F88*0.8</f>
        <v>0.72</v>
      </c>
      <c r="K88" s="225" t="s">
        <v>482</v>
      </c>
    </row>
    <row r="89">
      <c r="A89" s="110"/>
      <c r="B89" s="110"/>
      <c r="C89" s="113"/>
      <c r="D89" s="221" t="s">
        <v>483</v>
      </c>
      <c r="E89" s="113"/>
      <c r="F89" s="113"/>
      <c r="G89" s="113"/>
      <c r="H89" s="113"/>
      <c r="I89" s="113"/>
      <c r="J89" s="113"/>
      <c r="K89" s="113"/>
    </row>
    <row r="90">
      <c r="A90" s="110"/>
      <c r="B90" s="110"/>
      <c r="C90" s="225" t="s">
        <v>484</v>
      </c>
      <c r="D90" s="226" t="s">
        <v>485</v>
      </c>
      <c r="E90" s="222">
        <v>8.0</v>
      </c>
      <c r="F90" s="223">
        <f>E90*0.3</f>
        <v>2.4</v>
      </c>
      <c r="G90" s="224">
        <f>E90*0.3</f>
        <v>2.4</v>
      </c>
      <c r="H90" s="223">
        <f>F90*0.8</f>
        <v>1.92</v>
      </c>
      <c r="I90" s="224">
        <f>E90*0.3</f>
        <v>2.4</v>
      </c>
      <c r="J90" s="223">
        <f>F90*0.8</f>
        <v>1.92</v>
      </c>
      <c r="K90" s="225" t="s">
        <v>486</v>
      </c>
    </row>
    <row r="91">
      <c r="A91" s="110"/>
      <c r="B91" s="110"/>
      <c r="C91" s="110"/>
      <c r="D91" s="226" t="s">
        <v>487</v>
      </c>
      <c r="E91" s="110"/>
      <c r="F91" s="110"/>
      <c r="G91" s="110"/>
      <c r="H91" s="110"/>
      <c r="I91" s="110"/>
      <c r="J91" s="110"/>
      <c r="K91" s="110"/>
    </row>
    <row r="92">
      <c r="A92" s="110"/>
      <c r="B92" s="110"/>
      <c r="C92" s="113"/>
      <c r="D92" s="226" t="s">
        <v>488</v>
      </c>
      <c r="E92" s="113"/>
      <c r="F92" s="113"/>
      <c r="G92" s="113"/>
      <c r="H92" s="113"/>
      <c r="I92" s="113"/>
      <c r="J92" s="113"/>
      <c r="K92" s="113"/>
    </row>
    <row r="93">
      <c r="A93" s="110"/>
      <c r="B93" s="110"/>
      <c r="C93" s="231" t="s">
        <v>489</v>
      </c>
      <c r="D93" s="226" t="s">
        <v>490</v>
      </c>
      <c r="E93" s="224">
        <v>4.0</v>
      </c>
      <c r="F93" s="223">
        <f>E93*0.3</f>
        <v>1.2</v>
      </c>
      <c r="G93" s="224">
        <f>E93*0.3</f>
        <v>1.2</v>
      </c>
      <c r="H93" s="223">
        <f>F93*0.8</f>
        <v>0.96</v>
      </c>
      <c r="I93" s="224">
        <f>E93*0.3</f>
        <v>1.2</v>
      </c>
      <c r="J93" s="223">
        <f>F93*0.8</f>
        <v>0.96</v>
      </c>
      <c r="K93" s="215" t="s">
        <v>491</v>
      </c>
    </row>
    <row r="94">
      <c r="A94" s="110"/>
      <c r="B94" s="110"/>
      <c r="C94" s="110"/>
      <c r="D94" s="226" t="s">
        <v>391</v>
      </c>
      <c r="E94" s="110"/>
      <c r="F94" s="110"/>
      <c r="G94" s="110"/>
      <c r="H94" s="110"/>
      <c r="I94" s="110"/>
      <c r="J94" s="110"/>
      <c r="K94" s="110"/>
    </row>
    <row r="95">
      <c r="A95" s="110"/>
      <c r="B95" s="110"/>
      <c r="C95" s="110"/>
      <c r="D95" s="226" t="s">
        <v>492</v>
      </c>
      <c r="E95" s="110"/>
      <c r="F95" s="110"/>
      <c r="G95" s="110"/>
      <c r="H95" s="110"/>
      <c r="I95" s="110"/>
      <c r="J95" s="110"/>
      <c r="K95" s="110"/>
    </row>
    <row r="96">
      <c r="A96" s="110"/>
      <c r="B96" s="110"/>
      <c r="C96" s="113"/>
      <c r="D96" s="221" t="s">
        <v>493</v>
      </c>
      <c r="E96" s="113"/>
      <c r="F96" s="113"/>
      <c r="G96" s="113"/>
      <c r="H96" s="113"/>
      <c r="I96" s="113"/>
      <c r="J96" s="113"/>
      <c r="K96" s="113"/>
    </row>
    <row r="97">
      <c r="A97" s="110"/>
      <c r="B97" s="110"/>
      <c r="C97" s="221" t="s">
        <v>494</v>
      </c>
      <c r="D97" s="226" t="s">
        <v>495</v>
      </c>
      <c r="E97" s="241">
        <v>1.0</v>
      </c>
      <c r="F97" s="212">
        <f t="shared" ref="F97:F99" si="12">E97*0.3</f>
        <v>0.3</v>
      </c>
      <c r="G97" s="233">
        <f t="shared" ref="G97:G99" si="13">E97*0.3</f>
        <v>0.3</v>
      </c>
      <c r="H97" s="212">
        <f t="shared" ref="H97:H99" si="14">F97*0.8</f>
        <v>0.24</v>
      </c>
      <c r="I97" s="233">
        <f t="shared" ref="I97:I99" si="15">E97*0.3</f>
        <v>0.3</v>
      </c>
      <c r="J97" s="212">
        <f t="shared" ref="J97:J99" si="16">F97*0.8</f>
        <v>0.24</v>
      </c>
      <c r="K97" s="221" t="s">
        <v>496</v>
      </c>
    </row>
    <row r="98">
      <c r="A98" s="110"/>
      <c r="B98" s="110"/>
      <c r="C98" s="226" t="s">
        <v>497</v>
      </c>
      <c r="D98" s="226" t="s">
        <v>498</v>
      </c>
      <c r="E98" s="241">
        <v>1.0</v>
      </c>
      <c r="F98" s="212">
        <f t="shared" si="12"/>
        <v>0.3</v>
      </c>
      <c r="G98" s="233">
        <f t="shared" si="13"/>
        <v>0.3</v>
      </c>
      <c r="H98" s="212">
        <f t="shared" si="14"/>
        <v>0.24</v>
      </c>
      <c r="I98" s="233">
        <f t="shared" si="15"/>
        <v>0.3</v>
      </c>
      <c r="J98" s="212">
        <f t="shared" si="16"/>
        <v>0.24</v>
      </c>
      <c r="K98" s="226" t="s">
        <v>497</v>
      </c>
    </row>
    <row r="99">
      <c r="A99" s="110"/>
      <c r="B99" s="110"/>
      <c r="C99" s="225" t="s">
        <v>499</v>
      </c>
      <c r="D99" s="221" t="s">
        <v>500</v>
      </c>
      <c r="E99" s="224">
        <v>16.0</v>
      </c>
      <c r="F99" s="223">
        <f t="shared" si="12"/>
        <v>4.8</v>
      </c>
      <c r="G99" s="224">
        <f t="shared" si="13"/>
        <v>4.8</v>
      </c>
      <c r="H99" s="223">
        <f t="shared" si="14"/>
        <v>3.84</v>
      </c>
      <c r="I99" s="224">
        <f t="shared" si="15"/>
        <v>4.8</v>
      </c>
      <c r="J99" s="223">
        <f t="shared" si="16"/>
        <v>3.84</v>
      </c>
      <c r="K99" s="225"/>
    </row>
    <row r="100">
      <c r="A100" s="110"/>
      <c r="B100" s="110"/>
      <c r="C100" s="110"/>
      <c r="D100" s="221" t="s">
        <v>501</v>
      </c>
      <c r="E100" s="110"/>
      <c r="F100" s="110"/>
      <c r="G100" s="110"/>
      <c r="H100" s="110"/>
      <c r="I100" s="110"/>
      <c r="J100" s="110"/>
      <c r="K100" s="110"/>
    </row>
    <row r="101">
      <c r="A101" s="110"/>
      <c r="B101" s="110"/>
      <c r="C101" s="110"/>
      <c r="D101" s="226" t="s">
        <v>391</v>
      </c>
      <c r="E101" s="110"/>
      <c r="F101" s="110"/>
      <c r="G101" s="110"/>
      <c r="H101" s="110"/>
      <c r="I101" s="110"/>
      <c r="J101" s="110"/>
      <c r="K101" s="110"/>
    </row>
    <row r="102">
      <c r="A102" s="110"/>
      <c r="B102" s="110"/>
      <c r="C102" s="110"/>
      <c r="D102" s="221" t="s">
        <v>502</v>
      </c>
      <c r="E102" s="110"/>
      <c r="F102" s="110"/>
      <c r="G102" s="110"/>
      <c r="H102" s="110"/>
      <c r="I102" s="110"/>
      <c r="J102" s="110"/>
      <c r="K102" s="110"/>
    </row>
    <row r="103">
      <c r="A103" s="110"/>
      <c r="B103" s="110"/>
      <c r="C103" s="113"/>
      <c r="D103" s="221" t="s">
        <v>503</v>
      </c>
      <c r="E103" s="113"/>
      <c r="F103" s="113"/>
      <c r="G103" s="113"/>
      <c r="H103" s="113"/>
      <c r="I103" s="113"/>
      <c r="J103" s="113"/>
      <c r="K103" s="113"/>
    </row>
    <row r="104">
      <c r="A104" s="110"/>
      <c r="B104" s="110"/>
      <c r="C104" s="225" t="s">
        <v>504</v>
      </c>
      <c r="D104" s="221" t="s">
        <v>500</v>
      </c>
      <c r="E104" s="224">
        <v>10.0</v>
      </c>
      <c r="F104" s="223">
        <f>E104*0.3</f>
        <v>3</v>
      </c>
      <c r="G104" s="224">
        <f>E104*0.3</f>
        <v>3</v>
      </c>
      <c r="H104" s="223">
        <f>F104*0.8</f>
        <v>2.4</v>
      </c>
      <c r="I104" s="224">
        <f>E104*0.3</f>
        <v>3</v>
      </c>
      <c r="J104" s="223">
        <f>F104*0.8</f>
        <v>2.4</v>
      </c>
      <c r="K104" s="225"/>
    </row>
    <row r="105">
      <c r="A105" s="110"/>
      <c r="B105" s="110"/>
      <c r="C105" s="110"/>
      <c r="D105" s="221" t="s">
        <v>501</v>
      </c>
      <c r="E105" s="110"/>
      <c r="F105" s="110"/>
      <c r="G105" s="110"/>
      <c r="H105" s="110"/>
      <c r="I105" s="110"/>
      <c r="J105" s="110"/>
      <c r="K105" s="110"/>
    </row>
    <row r="106">
      <c r="A106" s="110"/>
      <c r="B106" s="110"/>
      <c r="C106" s="110"/>
      <c r="D106" s="226" t="s">
        <v>391</v>
      </c>
      <c r="E106" s="110"/>
      <c r="F106" s="110"/>
      <c r="G106" s="110"/>
      <c r="H106" s="110"/>
      <c r="I106" s="110"/>
      <c r="J106" s="110"/>
      <c r="K106" s="110"/>
    </row>
    <row r="107">
      <c r="A107" s="110"/>
      <c r="B107" s="110"/>
      <c r="C107" s="110"/>
      <c r="D107" s="221" t="s">
        <v>502</v>
      </c>
      <c r="E107" s="110"/>
      <c r="F107" s="110"/>
      <c r="G107" s="110"/>
      <c r="H107" s="110"/>
      <c r="I107" s="110"/>
      <c r="J107" s="110"/>
      <c r="K107" s="110"/>
    </row>
    <row r="108">
      <c r="A108" s="110"/>
      <c r="B108" s="110"/>
      <c r="C108" s="113"/>
      <c r="D108" s="221" t="s">
        <v>503</v>
      </c>
      <c r="E108" s="113"/>
      <c r="F108" s="113"/>
      <c r="G108" s="113"/>
      <c r="H108" s="113"/>
      <c r="I108" s="113"/>
      <c r="J108" s="113"/>
      <c r="K108" s="113"/>
    </row>
    <row r="109">
      <c r="A109" s="110"/>
      <c r="B109" s="110"/>
      <c r="C109" s="225" t="s">
        <v>505</v>
      </c>
      <c r="D109" s="226" t="s">
        <v>506</v>
      </c>
      <c r="E109" s="224">
        <v>8.0</v>
      </c>
      <c r="F109" s="223">
        <f>E109*0.3</f>
        <v>2.4</v>
      </c>
      <c r="G109" s="224">
        <f>E109*0.3</f>
        <v>2.4</v>
      </c>
      <c r="H109" s="223">
        <f>F109*0.8</f>
        <v>1.92</v>
      </c>
      <c r="I109" s="224">
        <f>E109*0.3</f>
        <v>2.4</v>
      </c>
      <c r="J109" s="223">
        <f>F109*0.8</f>
        <v>1.92</v>
      </c>
      <c r="K109" s="225"/>
    </row>
    <row r="110">
      <c r="A110" s="110"/>
      <c r="B110" s="110"/>
      <c r="C110" s="110"/>
      <c r="D110" s="226" t="s">
        <v>391</v>
      </c>
      <c r="E110" s="110"/>
      <c r="F110" s="110"/>
      <c r="G110" s="110"/>
      <c r="H110" s="110"/>
      <c r="I110" s="110"/>
      <c r="J110" s="110"/>
      <c r="K110" s="110"/>
    </row>
    <row r="111">
      <c r="A111" s="110"/>
      <c r="B111" s="110"/>
      <c r="C111" s="110"/>
      <c r="D111" s="221" t="s">
        <v>502</v>
      </c>
      <c r="E111" s="110"/>
      <c r="F111" s="110"/>
      <c r="G111" s="110"/>
      <c r="H111" s="110"/>
      <c r="I111" s="110"/>
      <c r="J111" s="110"/>
      <c r="K111" s="110"/>
    </row>
    <row r="112">
      <c r="A112" s="110"/>
      <c r="B112" s="110"/>
      <c r="C112" s="113"/>
      <c r="D112" s="221" t="s">
        <v>503</v>
      </c>
      <c r="E112" s="113"/>
      <c r="F112" s="113"/>
      <c r="G112" s="113"/>
      <c r="H112" s="113"/>
      <c r="I112" s="113"/>
      <c r="J112" s="113"/>
      <c r="K112" s="113"/>
    </row>
    <row r="113">
      <c r="A113" s="110"/>
      <c r="B113" s="110"/>
      <c r="C113" s="225" t="s">
        <v>507</v>
      </c>
      <c r="D113" s="226" t="s">
        <v>506</v>
      </c>
      <c r="E113" s="224">
        <v>8.0</v>
      </c>
      <c r="F113" s="223">
        <f>E113*0.3</f>
        <v>2.4</v>
      </c>
      <c r="G113" s="224">
        <f>E113*0.3</f>
        <v>2.4</v>
      </c>
      <c r="H113" s="223">
        <f>F113*0.8</f>
        <v>1.92</v>
      </c>
      <c r="I113" s="224">
        <f>E113*0.3</f>
        <v>2.4</v>
      </c>
      <c r="J113" s="223">
        <f>F113*0.8</f>
        <v>1.92</v>
      </c>
      <c r="K113" s="225"/>
    </row>
    <row r="114">
      <c r="A114" s="110"/>
      <c r="B114" s="110"/>
      <c r="C114" s="110"/>
      <c r="D114" s="226" t="s">
        <v>391</v>
      </c>
      <c r="E114" s="110"/>
      <c r="F114" s="110"/>
      <c r="G114" s="110"/>
      <c r="H114" s="110"/>
      <c r="I114" s="110"/>
      <c r="J114" s="110"/>
      <c r="K114" s="110"/>
    </row>
    <row r="115">
      <c r="A115" s="110"/>
      <c r="B115" s="110"/>
      <c r="C115" s="110"/>
      <c r="D115" s="221" t="s">
        <v>502</v>
      </c>
      <c r="E115" s="110"/>
      <c r="F115" s="110"/>
      <c r="G115" s="110"/>
      <c r="H115" s="110"/>
      <c r="I115" s="110"/>
      <c r="J115" s="110"/>
      <c r="K115" s="110"/>
    </row>
    <row r="116">
      <c r="A116" s="110"/>
      <c r="B116" s="110"/>
      <c r="C116" s="113"/>
      <c r="D116" s="226" t="s">
        <v>508</v>
      </c>
      <c r="E116" s="113"/>
      <c r="F116" s="113"/>
      <c r="G116" s="113"/>
      <c r="H116" s="113"/>
      <c r="I116" s="113"/>
      <c r="J116" s="113"/>
      <c r="K116" s="113"/>
    </row>
    <row r="117">
      <c r="A117" s="110"/>
      <c r="B117" s="110"/>
      <c r="C117" s="225" t="s">
        <v>509</v>
      </c>
      <c r="D117" s="226" t="s">
        <v>510</v>
      </c>
      <c r="E117" s="224">
        <v>8.0</v>
      </c>
      <c r="F117" s="223">
        <f>E117*0.3</f>
        <v>2.4</v>
      </c>
      <c r="G117" s="224">
        <f>E117*0.3</f>
        <v>2.4</v>
      </c>
      <c r="H117" s="223">
        <f>F117*0.8</f>
        <v>1.92</v>
      </c>
      <c r="I117" s="224">
        <f>E117*0.3</f>
        <v>2.4</v>
      </c>
      <c r="J117" s="223">
        <f>F117*0.8</f>
        <v>1.92</v>
      </c>
      <c r="K117" s="225"/>
    </row>
    <row r="118">
      <c r="A118" s="110"/>
      <c r="B118" s="110"/>
      <c r="C118" s="110"/>
      <c r="D118" s="226" t="s">
        <v>511</v>
      </c>
      <c r="E118" s="110"/>
      <c r="F118" s="110"/>
      <c r="G118" s="110"/>
      <c r="H118" s="110"/>
      <c r="I118" s="110"/>
      <c r="J118" s="110"/>
      <c r="K118" s="110"/>
    </row>
    <row r="119">
      <c r="A119" s="110"/>
      <c r="B119" s="110"/>
      <c r="C119" s="113"/>
      <c r="D119" s="226" t="s">
        <v>512</v>
      </c>
      <c r="E119" s="113"/>
      <c r="F119" s="113"/>
      <c r="G119" s="113"/>
      <c r="H119" s="113"/>
      <c r="I119" s="113"/>
      <c r="J119" s="113"/>
      <c r="K119" s="113"/>
    </row>
    <row r="120">
      <c r="A120" s="110"/>
      <c r="B120" s="110"/>
      <c r="C120" s="225" t="s">
        <v>513</v>
      </c>
      <c r="D120" s="226" t="s">
        <v>514</v>
      </c>
      <c r="E120" s="224">
        <v>16.0</v>
      </c>
      <c r="F120" s="223">
        <f>E120*0.3</f>
        <v>4.8</v>
      </c>
      <c r="G120" s="224">
        <f>E120*0.3</f>
        <v>4.8</v>
      </c>
      <c r="H120" s="223">
        <f>F120*0.8</f>
        <v>3.84</v>
      </c>
      <c r="I120" s="224">
        <f>E120*0.3</f>
        <v>4.8</v>
      </c>
      <c r="J120" s="223">
        <f>F120*0.8</f>
        <v>3.84</v>
      </c>
      <c r="K120" s="225"/>
    </row>
    <row r="121">
      <c r="A121" s="110"/>
      <c r="B121" s="110"/>
      <c r="C121" s="110"/>
      <c r="D121" s="226" t="s">
        <v>515</v>
      </c>
      <c r="E121" s="110"/>
      <c r="F121" s="110"/>
      <c r="G121" s="110"/>
      <c r="H121" s="110"/>
      <c r="I121" s="110"/>
      <c r="J121" s="110"/>
      <c r="K121" s="110"/>
    </row>
    <row r="122">
      <c r="A122" s="110"/>
      <c r="B122" s="110"/>
      <c r="C122" s="110"/>
      <c r="D122" s="226" t="s">
        <v>516</v>
      </c>
      <c r="E122" s="110"/>
      <c r="F122" s="110"/>
      <c r="G122" s="110"/>
      <c r="H122" s="110"/>
      <c r="I122" s="110"/>
      <c r="J122" s="110"/>
      <c r="K122" s="110"/>
    </row>
    <row r="123">
      <c r="A123" s="110"/>
      <c r="B123" s="110"/>
      <c r="C123" s="110"/>
      <c r="D123" s="226" t="s">
        <v>517</v>
      </c>
      <c r="E123" s="110"/>
      <c r="F123" s="110"/>
      <c r="G123" s="110"/>
      <c r="H123" s="110"/>
      <c r="I123" s="110"/>
      <c r="J123" s="110"/>
      <c r="K123" s="110"/>
    </row>
    <row r="124">
      <c r="A124" s="110"/>
      <c r="B124" s="110"/>
      <c r="C124" s="113"/>
      <c r="D124" s="226" t="s">
        <v>518</v>
      </c>
      <c r="E124" s="113"/>
      <c r="F124" s="113"/>
      <c r="G124" s="113"/>
      <c r="H124" s="113"/>
      <c r="I124" s="113"/>
      <c r="J124" s="113"/>
      <c r="K124" s="113"/>
    </row>
    <row r="125">
      <c r="A125" s="110"/>
      <c r="B125" s="110"/>
      <c r="C125" s="225" t="s">
        <v>519</v>
      </c>
      <c r="D125" s="226" t="s">
        <v>514</v>
      </c>
      <c r="E125" s="224">
        <v>10.0</v>
      </c>
      <c r="F125" s="223">
        <f>E125*0.3</f>
        <v>3</v>
      </c>
      <c r="G125" s="224">
        <f>E125*0.3</f>
        <v>3</v>
      </c>
      <c r="H125" s="223">
        <f>F125*0.8</f>
        <v>2.4</v>
      </c>
      <c r="I125" s="224">
        <f>E125*0.3</f>
        <v>3</v>
      </c>
      <c r="J125" s="223">
        <f>F125*0.8</f>
        <v>2.4</v>
      </c>
      <c r="K125" s="225"/>
    </row>
    <row r="126">
      <c r="A126" s="110"/>
      <c r="B126" s="110"/>
      <c r="C126" s="110"/>
      <c r="D126" s="226" t="s">
        <v>515</v>
      </c>
      <c r="E126" s="110"/>
      <c r="F126" s="110"/>
      <c r="G126" s="110"/>
      <c r="H126" s="110"/>
      <c r="I126" s="110"/>
      <c r="J126" s="110"/>
      <c r="K126" s="110"/>
    </row>
    <row r="127">
      <c r="A127" s="110"/>
      <c r="B127" s="110"/>
      <c r="C127" s="110"/>
      <c r="D127" s="226" t="s">
        <v>516</v>
      </c>
      <c r="E127" s="110"/>
      <c r="F127" s="110"/>
      <c r="G127" s="110"/>
      <c r="H127" s="110"/>
      <c r="I127" s="110"/>
      <c r="J127" s="110"/>
      <c r="K127" s="110"/>
    </row>
    <row r="128">
      <c r="A128" s="110"/>
      <c r="B128" s="110"/>
      <c r="C128" s="113"/>
      <c r="D128" s="226" t="s">
        <v>517</v>
      </c>
      <c r="E128" s="113"/>
      <c r="F128" s="113"/>
      <c r="G128" s="113"/>
      <c r="H128" s="113"/>
      <c r="I128" s="113"/>
      <c r="J128" s="113"/>
      <c r="K128" s="113"/>
    </row>
    <row r="129">
      <c r="A129" s="110"/>
      <c r="B129" s="110"/>
      <c r="C129" s="225" t="s">
        <v>520</v>
      </c>
      <c r="D129" s="226" t="s">
        <v>514</v>
      </c>
      <c r="E129" s="224">
        <v>16.0</v>
      </c>
      <c r="F129" s="223">
        <f>E129*0.3</f>
        <v>4.8</v>
      </c>
      <c r="G129" s="224">
        <f>E129*0.3</f>
        <v>4.8</v>
      </c>
      <c r="H129" s="223">
        <f>F129*0.8</f>
        <v>3.84</v>
      </c>
      <c r="I129" s="224">
        <f>E129*0.3</f>
        <v>4.8</v>
      </c>
      <c r="J129" s="223">
        <f>F129*0.8</f>
        <v>3.84</v>
      </c>
      <c r="K129" s="225"/>
    </row>
    <row r="130">
      <c r="A130" s="110"/>
      <c r="B130" s="110"/>
      <c r="C130" s="110"/>
      <c r="D130" s="226" t="s">
        <v>516</v>
      </c>
      <c r="E130" s="110"/>
      <c r="F130" s="110"/>
      <c r="G130" s="110"/>
      <c r="H130" s="110"/>
      <c r="I130" s="110"/>
      <c r="J130" s="110"/>
      <c r="K130" s="110"/>
    </row>
    <row r="131">
      <c r="A131" s="110"/>
      <c r="B131" s="110"/>
      <c r="C131" s="110"/>
      <c r="D131" s="226" t="s">
        <v>515</v>
      </c>
      <c r="E131" s="110"/>
      <c r="F131" s="110"/>
      <c r="G131" s="110"/>
      <c r="H131" s="110"/>
      <c r="I131" s="110"/>
      <c r="J131" s="110"/>
      <c r="K131" s="110"/>
    </row>
    <row r="132">
      <c r="A132" s="110"/>
      <c r="B132" s="110"/>
      <c r="C132" s="110"/>
      <c r="D132" s="226" t="s">
        <v>517</v>
      </c>
      <c r="E132" s="110"/>
      <c r="F132" s="110"/>
      <c r="G132" s="110"/>
      <c r="H132" s="110"/>
      <c r="I132" s="110"/>
      <c r="J132" s="110"/>
      <c r="K132" s="110"/>
    </row>
    <row r="133">
      <c r="A133" s="110"/>
      <c r="B133" s="110"/>
      <c r="C133" s="113"/>
      <c r="D133" s="226" t="s">
        <v>521</v>
      </c>
      <c r="E133" s="113"/>
      <c r="F133" s="113"/>
      <c r="G133" s="113"/>
      <c r="H133" s="113"/>
      <c r="I133" s="113"/>
      <c r="J133" s="113"/>
      <c r="K133" s="113"/>
    </row>
    <row r="134">
      <c r="A134" s="110"/>
      <c r="B134" s="110"/>
      <c r="C134" s="225" t="s">
        <v>522</v>
      </c>
      <c r="D134" s="226" t="s">
        <v>514</v>
      </c>
      <c r="E134" s="224">
        <v>16.0</v>
      </c>
      <c r="F134" s="223">
        <f>E134*0.3</f>
        <v>4.8</v>
      </c>
      <c r="G134" s="224">
        <f>E134*0.3</f>
        <v>4.8</v>
      </c>
      <c r="H134" s="223">
        <f>F134*0.8</f>
        <v>3.84</v>
      </c>
      <c r="I134" s="224">
        <f>E134*0.3</f>
        <v>4.8</v>
      </c>
      <c r="J134" s="223">
        <f>F134*0.8</f>
        <v>3.84</v>
      </c>
      <c r="K134" s="225"/>
    </row>
    <row r="135">
      <c r="A135" s="110"/>
      <c r="B135" s="110"/>
      <c r="C135" s="110"/>
      <c r="D135" s="226" t="s">
        <v>515</v>
      </c>
      <c r="E135" s="110"/>
      <c r="F135" s="110"/>
      <c r="G135" s="110"/>
      <c r="H135" s="110"/>
      <c r="I135" s="110"/>
      <c r="J135" s="110"/>
      <c r="K135" s="110"/>
    </row>
    <row r="136">
      <c r="A136" s="110"/>
      <c r="B136" s="110"/>
      <c r="C136" s="110"/>
      <c r="D136" s="226" t="s">
        <v>516</v>
      </c>
      <c r="E136" s="110"/>
      <c r="F136" s="110"/>
      <c r="G136" s="110"/>
      <c r="H136" s="110"/>
      <c r="I136" s="110"/>
      <c r="J136" s="110"/>
      <c r="K136" s="110"/>
    </row>
    <row r="137">
      <c r="A137" s="110"/>
      <c r="B137" s="110"/>
      <c r="C137" s="110"/>
      <c r="D137" s="226" t="s">
        <v>517</v>
      </c>
      <c r="E137" s="110"/>
      <c r="F137" s="110"/>
      <c r="G137" s="110"/>
      <c r="H137" s="110"/>
      <c r="I137" s="110"/>
      <c r="J137" s="110"/>
      <c r="K137" s="110"/>
    </row>
    <row r="138">
      <c r="A138" s="110"/>
      <c r="B138" s="110"/>
      <c r="C138" s="113"/>
      <c r="D138" s="226" t="s">
        <v>518</v>
      </c>
      <c r="E138" s="113"/>
      <c r="F138" s="113"/>
      <c r="G138" s="113"/>
      <c r="H138" s="113"/>
      <c r="I138" s="113"/>
      <c r="J138" s="113"/>
      <c r="K138" s="113"/>
    </row>
    <row r="139">
      <c r="A139" s="110"/>
      <c r="B139" s="110"/>
      <c r="C139" s="225" t="s">
        <v>523</v>
      </c>
      <c r="D139" s="226" t="s">
        <v>514</v>
      </c>
      <c r="E139" s="224">
        <v>16.0</v>
      </c>
      <c r="F139" s="223">
        <f>E139*0.3</f>
        <v>4.8</v>
      </c>
      <c r="G139" s="224">
        <f>E139*0.3</f>
        <v>4.8</v>
      </c>
      <c r="H139" s="223">
        <f>F139*0.8</f>
        <v>3.84</v>
      </c>
      <c r="I139" s="224">
        <f>E139*0.3</f>
        <v>4.8</v>
      </c>
      <c r="J139" s="223">
        <f>F139*0.8</f>
        <v>3.84</v>
      </c>
      <c r="K139" s="225"/>
    </row>
    <row r="140">
      <c r="A140" s="110"/>
      <c r="B140" s="110"/>
      <c r="C140" s="110"/>
      <c r="D140" s="226" t="s">
        <v>516</v>
      </c>
      <c r="E140" s="110"/>
      <c r="F140" s="110"/>
      <c r="G140" s="110"/>
      <c r="H140" s="110"/>
      <c r="I140" s="110"/>
      <c r="J140" s="110"/>
      <c r="K140" s="110"/>
    </row>
    <row r="141">
      <c r="A141" s="110"/>
      <c r="B141" s="110"/>
      <c r="C141" s="110"/>
      <c r="D141" s="226" t="s">
        <v>515</v>
      </c>
      <c r="E141" s="110"/>
      <c r="F141" s="110"/>
      <c r="G141" s="110"/>
      <c r="H141" s="110"/>
      <c r="I141" s="110"/>
      <c r="J141" s="110"/>
      <c r="K141" s="110"/>
    </row>
    <row r="142">
      <c r="A142" s="110"/>
      <c r="B142" s="110"/>
      <c r="C142" s="113"/>
      <c r="D142" s="226" t="s">
        <v>517</v>
      </c>
      <c r="E142" s="113"/>
      <c r="F142" s="113"/>
      <c r="G142" s="113"/>
      <c r="H142" s="113"/>
      <c r="I142" s="113"/>
      <c r="J142" s="113"/>
      <c r="K142" s="113"/>
    </row>
    <row r="143">
      <c r="A143" s="113"/>
      <c r="B143" s="113"/>
      <c r="C143" s="221" t="s">
        <v>524</v>
      </c>
      <c r="D143" s="221" t="s">
        <v>525</v>
      </c>
      <c r="E143" s="233">
        <v>1.0</v>
      </c>
      <c r="F143" s="212">
        <f t="shared" ref="F143:F144" si="17">E143*0.3</f>
        <v>0.3</v>
      </c>
      <c r="G143" s="233">
        <f t="shared" ref="G143:G144" si="18">E143*0.3</f>
        <v>0.3</v>
      </c>
      <c r="H143" s="212">
        <f t="shared" ref="H143:H144" si="19">F143*0.8</f>
        <v>0.24</v>
      </c>
      <c r="I143" s="233">
        <f t="shared" ref="I143:I144" si="20">E143*0.3</f>
        <v>0.3</v>
      </c>
      <c r="J143" s="212">
        <f t="shared" ref="J143:J144" si="21">F143*0.8</f>
        <v>0.24</v>
      </c>
      <c r="K143" s="221" t="s">
        <v>526</v>
      </c>
    </row>
    <row r="144">
      <c r="A144" s="209">
        <v>5.0</v>
      </c>
      <c r="B144" s="210" t="s">
        <v>527</v>
      </c>
      <c r="C144" s="225" t="s">
        <v>528</v>
      </c>
      <c r="D144" s="221" t="s">
        <v>529</v>
      </c>
      <c r="E144" s="224">
        <v>24.0</v>
      </c>
      <c r="F144" s="223">
        <f t="shared" si="17"/>
        <v>7.2</v>
      </c>
      <c r="G144" s="224">
        <f t="shared" si="18"/>
        <v>7.2</v>
      </c>
      <c r="H144" s="223">
        <f t="shared" si="19"/>
        <v>5.76</v>
      </c>
      <c r="I144" s="224">
        <f t="shared" si="20"/>
        <v>7.2</v>
      </c>
      <c r="J144" s="223">
        <f t="shared" si="21"/>
        <v>5.76</v>
      </c>
      <c r="K144" s="242" t="s">
        <v>530</v>
      </c>
    </row>
    <row r="145">
      <c r="A145" s="110"/>
      <c r="B145" s="110"/>
      <c r="C145" s="110"/>
      <c r="D145" s="221" t="s">
        <v>531</v>
      </c>
      <c r="E145" s="110"/>
      <c r="F145" s="110"/>
      <c r="G145" s="110"/>
      <c r="H145" s="110"/>
      <c r="I145" s="110"/>
      <c r="J145" s="110"/>
      <c r="K145" s="110"/>
    </row>
    <row r="146">
      <c r="A146" s="110"/>
      <c r="B146" s="110"/>
      <c r="C146" s="110"/>
      <c r="D146" s="221" t="s">
        <v>532</v>
      </c>
      <c r="E146" s="110"/>
      <c r="F146" s="110"/>
      <c r="G146" s="110"/>
      <c r="H146" s="110"/>
      <c r="I146" s="110"/>
      <c r="J146" s="110"/>
      <c r="K146" s="110"/>
    </row>
    <row r="147">
      <c r="A147" s="110"/>
      <c r="B147" s="110"/>
      <c r="C147" s="113"/>
      <c r="D147" s="221" t="s">
        <v>533</v>
      </c>
      <c r="E147" s="113"/>
      <c r="F147" s="113"/>
      <c r="G147" s="113"/>
      <c r="H147" s="113"/>
      <c r="I147" s="113"/>
      <c r="J147" s="113"/>
      <c r="K147" s="110"/>
    </row>
    <row r="148">
      <c r="A148" s="110"/>
      <c r="B148" s="110"/>
      <c r="C148" s="215" t="s">
        <v>534</v>
      </c>
      <c r="D148" s="221" t="s">
        <v>531</v>
      </c>
      <c r="E148" s="243">
        <v>2.0</v>
      </c>
      <c r="F148" s="223">
        <f>E148*0.3</f>
        <v>0.6</v>
      </c>
      <c r="G148" s="224">
        <f>E148*0.3</f>
        <v>0.6</v>
      </c>
      <c r="H148" s="223">
        <f>F148*0.8</f>
        <v>0.48</v>
      </c>
      <c r="I148" s="224">
        <f>E148*0.3</f>
        <v>0.6</v>
      </c>
      <c r="J148" s="223">
        <f>F148*0.8</f>
        <v>0.48</v>
      </c>
      <c r="K148" s="110"/>
    </row>
    <row r="149">
      <c r="A149" s="110"/>
      <c r="B149" s="110"/>
      <c r="C149" s="110"/>
      <c r="D149" s="221" t="s">
        <v>532</v>
      </c>
      <c r="E149" s="110"/>
      <c r="F149" s="110"/>
      <c r="G149" s="110"/>
      <c r="H149" s="110"/>
      <c r="I149" s="110"/>
      <c r="J149" s="110"/>
      <c r="K149" s="110"/>
    </row>
    <row r="150">
      <c r="A150" s="113"/>
      <c r="B150" s="113"/>
      <c r="C150" s="113"/>
      <c r="D150" s="221" t="s">
        <v>533</v>
      </c>
      <c r="E150" s="113"/>
      <c r="F150" s="113"/>
      <c r="G150" s="113"/>
      <c r="H150" s="113"/>
      <c r="I150" s="113"/>
      <c r="J150" s="113"/>
      <c r="K150" s="113"/>
    </row>
    <row r="151">
      <c r="A151" s="218">
        <v>6.0</v>
      </c>
      <c r="B151" s="219" t="s">
        <v>535</v>
      </c>
      <c r="C151" s="244" t="s">
        <v>536</v>
      </c>
      <c r="D151" s="14"/>
      <c r="E151" s="233">
        <v>21.0</v>
      </c>
      <c r="F151" s="245">
        <v>0.0</v>
      </c>
      <c r="G151" s="233">
        <v>14.0</v>
      </c>
      <c r="H151" s="245">
        <v>0.0</v>
      </c>
      <c r="I151" s="233">
        <v>14.0</v>
      </c>
      <c r="J151" s="245">
        <v>0.0</v>
      </c>
      <c r="K151" s="221" t="s">
        <v>535</v>
      </c>
    </row>
    <row r="152">
      <c r="A152" s="246"/>
      <c r="B152" s="2"/>
      <c r="C152" s="2"/>
      <c r="D152" s="2"/>
      <c r="E152" s="2"/>
      <c r="F152" s="2"/>
      <c r="G152" s="2"/>
      <c r="H152" s="2"/>
      <c r="I152" s="2"/>
      <c r="J152" s="2"/>
      <c r="K152" s="5"/>
    </row>
    <row r="153">
      <c r="A153" s="67"/>
      <c r="B153" s="10"/>
      <c r="C153" s="10"/>
      <c r="D153" s="10"/>
      <c r="E153" s="10"/>
      <c r="F153" s="10"/>
      <c r="G153" s="10"/>
      <c r="H153" s="10"/>
      <c r="I153" s="10"/>
      <c r="J153" s="10"/>
      <c r="K153" s="11"/>
    </row>
  </sheetData>
  <mergeCells count="366">
    <mergeCell ref="C29:C31"/>
    <mergeCell ref="C32:C33"/>
    <mergeCell ref="C34:C36"/>
    <mergeCell ref="C37:C38"/>
    <mergeCell ref="C39:C40"/>
    <mergeCell ref="C41:C42"/>
    <mergeCell ref="C43:C44"/>
    <mergeCell ref="C46:C48"/>
    <mergeCell ref="C56:C58"/>
    <mergeCell ref="C59:C61"/>
    <mergeCell ref="C63:C64"/>
    <mergeCell ref="C65:C66"/>
    <mergeCell ref="C67:C68"/>
    <mergeCell ref="C69:C72"/>
    <mergeCell ref="C93:C96"/>
    <mergeCell ref="C99:C103"/>
    <mergeCell ref="C120:C124"/>
    <mergeCell ref="C125:C128"/>
    <mergeCell ref="C129:C133"/>
    <mergeCell ref="C134:C138"/>
    <mergeCell ref="A14:A143"/>
    <mergeCell ref="A144:A150"/>
    <mergeCell ref="C139:C142"/>
    <mergeCell ref="C144:C147"/>
    <mergeCell ref="C148:C150"/>
    <mergeCell ref="C151:D151"/>
    <mergeCell ref="C11:D11"/>
    <mergeCell ref="C12:D12"/>
    <mergeCell ref="C13:D13"/>
    <mergeCell ref="B14:B143"/>
    <mergeCell ref="C14:C19"/>
    <mergeCell ref="C20:C21"/>
    <mergeCell ref="B144:B150"/>
    <mergeCell ref="C49:C52"/>
    <mergeCell ref="C53:C55"/>
    <mergeCell ref="C73:C74"/>
    <mergeCell ref="C75:C76"/>
    <mergeCell ref="C77:C80"/>
    <mergeCell ref="C81:C83"/>
    <mergeCell ref="C84:C85"/>
    <mergeCell ref="C86:C87"/>
    <mergeCell ref="C88:C89"/>
    <mergeCell ref="C90:C92"/>
    <mergeCell ref="C104:C108"/>
    <mergeCell ref="C109:C112"/>
    <mergeCell ref="C113:C116"/>
    <mergeCell ref="C117:C119"/>
    <mergeCell ref="E22:E24"/>
    <mergeCell ref="F22:F24"/>
    <mergeCell ref="G22:G24"/>
    <mergeCell ref="H22:H24"/>
    <mergeCell ref="F6:F7"/>
    <mergeCell ref="G6:G7"/>
    <mergeCell ref="E8:F8"/>
    <mergeCell ref="G8:H8"/>
    <mergeCell ref="E14:E19"/>
    <mergeCell ref="F14:F19"/>
    <mergeCell ref="G14:G19"/>
    <mergeCell ref="J25:J28"/>
    <mergeCell ref="K25:K28"/>
    <mergeCell ref="C22:C24"/>
    <mergeCell ref="C25:C28"/>
    <mergeCell ref="E25:E28"/>
    <mergeCell ref="F25:F28"/>
    <mergeCell ref="G25:G28"/>
    <mergeCell ref="H25:H28"/>
    <mergeCell ref="I25:I28"/>
    <mergeCell ref="E29:E31"/>
    <mergeCell ref="F29:F31"/>
    <mergeCell ref="G29:G31"/>
    <mergeCell ref="H29:H31"/>
    <mergeCell ref="I29:I31"/>
    <mergeCell ref="J29:J31"/>
    <mergeCell ref="K29:K31"/>
    <mergeCell ref="E32:E33"/>
    <mergeCell ref="F32:F33"/>
    <mergeCell ref="G32:G33"/>
    <mergeCell ref="H32:H33"/>
    <mergeCell ref="I32:I33"/>
    <mergeCell ref="J32:J33"/>
    <mergeCell ref="K32:K33"/>
    <mergeCell ref="E34:E36"/>
    <mergeCell ref="F34:F36"/>
    <mergeCell ref="G34:G36"/>
    <mergeCell ref="H34:H36"/>
    <mergeCell ref="I34:I36"/>
    <mergeCell ref="J34:J36"/>
    <mergeCell ref="K34:K36"/>
    <mergeCell ref="E37:E38"/>
    <mergeCell ref="F37:F38"/>
    <mergeCell ref="G37:G38"/>
    <mergeCell ref="H37:H38"/>
    <mergeCell ref="I37:I38"/>
    <mergeCell ref="J37:J38"/>
    <mergeCell ref="K37:K38"/>
    <mergeCell ref="A1:B3"/>
    <mergeCell ref="C1:H3"/>
    <mergeCell ref="I1:K1"/>
    <mergeCell ref="I2:K2"/>
    <mergeCell ref="I3:K3"/>
    <mergeCell ref="A4:F4"/>
    <mergeCell ref="I4:K4"/>
    <mergeCell ref="H6:H7"/>
    <mergeCell ref="I6:I7"/>
    <mergeCell ref="K6:K9"/>
    <mergeCell ref="I8:J8"/>
    <mergeCell ref="K10:K11"/>
    <mergeCell ref="A5:D5"/>
    <mergeCell ref="E5:F5"/>
    <mergeCell ref="G5:H5"/>
    <mergeCell ref="I5:J5"/>
    <mergeCell ref="B6:D7"/>
    <mergeCell ref="E6:E7"/>
    <mergeCell ref="J6:J7"/>
    <mergeCell ref="A6:A7"/>
    <mergeCell ref="A8:A9"/>
    <mergeCell ref="B8:B9"/>
    <mergeCell ref="C8:D9"/>
    <mergeCell ref="A10:A11"/>
    <mergeCell ref="B10:B11"/>
    <mergeCell ref="C10:D10"/>
    <mergeCell ref="H14:H19"/>
    <mergeCell ref="I14:I19"/>
    <mergeCell ref="J14:J19"/>
    <mergeCell ref="K14:K19"/>
    <mergeCell ref="I22:I24"/>
    <mergeCell ref="J22:J24"/>
    <mergeCell ref="K22:K24"/>
    <mergeCell ref="E20:E21"/>
    <mergeCell ref="F20:F21"/>
    <mergeCell ref="G20:G21"/>
    <mergeCell ref="H20:H21"/>
    <mergeCell ref="I20:I21"/>
    <mergeCell ref="J20:J21"/>
    <mergeCell ref="K20:K21"/>
    <mergeCell ref="E43:E44"/>
    <mergeCell ref="F43:F44"/>
    <mergeCell ref="G43:G44"/>
    <mergeCell ref="H43:H44"/>
    <mergeCell ref="I43:I44"/>
    <mergeCell ref="J43:J44"/>
    <mergeCell ref="K43:K44"/>
    <mergeCell ref="E59:E61"/>
    <mergeCell ref="F59:F61"/>
    <mergeCell ref="G59:G61"/>
    <mergeCell ref="H59:H61"/>
    <mergeCell ref="I59:I61"/>
    <mergeCell ref="J59:J61"/>
    <mergeCell ref="K59:K61"/>
    <mergeCell ref="E63:E64"/>
    <mergeCell ref="F63:F64"/>
    <mergeCell ref="G63:G64"/>
    <mergeCell ref="H63:H64"/>
    <mergeCell ref="I63:I64"/>
    <mergeCell ref="J63:J64"/>
    <mergeCell ref="K63:K64"/>
    <mergeCell ref="E65:E66"/>
    <mergeCell ref="F65:F66"/>
    <mergeCell ref="G65:G66"/>
    <mergeCell ref="H65:H66"/>
    <mergeCell ref="I65:I66"/>
    <mergeCell ref="J65:J66"/>
    <mergeCell ref="K65:K66"/>
    <mergeCell ref="E67:E68"/>
    <mergeCell ref="F67:F68"/>
    <mergeCell ref="G67:G68"/>
    <mergeCell ref="H67:H68"/>
    <mergeCell ref="I67:I68"/>
    <mergeCell ref="J67:J68"/>
    <mergeCell ref="K67:K68"/>
    <mergeCell ref="E99:E103"/>
    <mergeCell ref="F99:F103"/>
    <mergeCell ref="G99:G103"/>
    <mergeCell ref="H99:H103"/>
    <mergeCell ref="I99:I103"/>
    <mergeCell ref="J99:J103"/>
    <mergeCell ref="K99:K103"/>
    <mergeCell ref="E104:E108"/>
    <mergeCell ref="F104:F108"/>
    <mergeCell ref="G104:G108"/>
    <mergeCell ref="H104:H108"/>
    <mergeCell ref="I104:I108"/>
    <mergeCell ref="J104:J108"/>
    <mergeCell ref="K104:K108"/>
    <mergeCell ref="E125:E128"/>
    <mergeCell ref="F125:F128"/>
    <mergeCell ref="G125:G128"/>
    <mergeCell ref="H125:H128"/>
    <mergeCell ref="I125:I128"/>
    <mergeCell ref="J125:J128"/>
    <mergeCell ref="K125:K128"/>
    <mergeCell ref="E129:E133"/>
    <mergeCell ref="F129:F133"/>
    <mergeCell ref="G129:G133"/>
    <mergeCell ref="H129:H133"/>
    <mergeCell ref="I129:I133"/>
    <mergeCell ref="J129:J133"/>
    <mergeCell ref="K129:K133"/>
    <mergeCell ref="E134:E138"/>
    <mergeCell ref="F134:F138"/>
    <mergeCell ref="G134:G138"/>
    <mergeCell ref="H134:H138"/>
    <mergeCell ref="I134:I138"/>
    <mergeCell ref="J134:J138"/>
    <mergeCell ref="K134:K138"/>
    <mergeCell ref="E139:E142"/>
    <mergeCell ref="F139:F142"/>
    <mergeCell ref="G139:G142"/>
    <mergeCell ref="H139:H142"/>
    <mergeCell ref="I139:I142"/>
    <mergeCell ref="J139:J142"/>
    <mergeCell ref="K139:K142"/>
    <mergeCell ref="G148:G150"/>
    <mergeCell ref="H148:H150"/>
    <mergeCell ref="I148:I150"/>
    <mergeCell ref="J148:J150"/>
    <mergeCell ref="A152:K153"/>
    <mergeCell ref="E144:E147"/>
    <mergeCell ref="F144:F147"/>
    <mergeCell ref="G144:G147"/>
    <mergeCell ref="H144:H147"/>
    <mergeCell ref="I144:I147"/>
    <mergeCell ref="J144:J147"/>
    <mergeCell ref="K144:K150"/>
    <mergeCell ref="E39:E40"/>
    <mergeCell ref="F39:F40"/>
    <mergeCell ref="G39:G40"/>
    <mergeCell ref="H39:H40"/>
    <mergeCell ref="I39:I40"/>
    <mergeCell ref="J39:J40"/>
    <mergeCell ref="K39:K40"/>
    <mergeCell ref="E41:E42"/>
    <mergeCell ref="F41:F42"/>
    <mergeCell ref="G41:G42"/>
    <mergeCell ref="H41:H42"/>
    <mergeCell ref="I41:I42"/>
    <mergeCell ref="J41:J42"/>
    <mergeCell ref="K41:K42"/>
    <mergeCell ref="E46:E48"/>
    <mergeCell ref="F46:F48"/>
    <mergeCell ref="G46:G48"/>
    <mergeCell ref="H46:H48"/>
    <mergeCell ref="I46:I48"/>
    <mergeCell ref="J46:J48"/>
    <mergeCell ref="K46:K48"/>
    <mergeCell ref="E49:E52"/>
    <mergeCell ref="F49:F52"/>
    <mergeCell ref="G49:G52"/>
    <mergeCell ref="H49:H52"/>
    <mergeCell ref="I49:I52"/>
    <mergeCell ref="J49:J52"/>
    <mergeCell ref="K49:K52"/>
    <mergeCell ref="E53:E55"/>
    <mergeCell ref="F53:F55"/>
    <mergeCell ref="G53:G55"/>
    <mergeCell ref="H53:H55"/>
    <mergeCell ref="I53:I55"/>
    <mergeCell ref="J53:J55"/>
    <mergeCell ref="K53:K55"/>
    <mergeCell ref="E56:E58"/>
    <mergeCell ref="F56:F58"/>
    <mergeCell ref="G56:G58"/>
    <mergeCell ref="H56:H58"/>
    <mergeCell ref="I56:I58"/>
    <mergeCell ref="J56:J58"/>
    <mergeCell ref="K56:K58"/>
    <mergeCell ref="E148:E150"/>
    <mergeCell ref="F148:F150"/>
    <mergeCell ref="E69:E72"/>
    <mergeCell ref="F69:F72"/>
    <mergeCell ref="G69:G72"/>
    <mergeCell ref="H69:H72"/>
    <mergeCell ref="I69:I72"/>
    <mergeCell ref="J69:J72"/>
    <mergeCell ref="K69:K72"/>
    <mergeCell ref="E73:E74"/>
    <mergeCell ref="F73:F74"/>
    <mergeCell ref="G73:G74"/>
    <mergeCell ref="H73:H74"/>
    <mergeCell ref="I73:I74"/>
    <mergeCell ref="J73:J74"/>
    <mergeCell ref="K73:K74"/>
    <mergeCell ref="E75:E76"/>
    <mergeCell ref="F75:F76"/>
    <mergeCell ref="G75:G76"/>
    <mergeCell ref="H75:H76"/>
    <mergeCell ref="I75:I76"/>
    <mergeCell ref="J75:J76"/>
    <mergeCell ref="K75:K76"/>
    <mergeCell ref="E77:E80"/>
    <mergeCell ref="F77:F80"/>
    <mergeCell ref="G77:G80"/>
    <mergeCell ref="H77:H80"/>
    <mergeCell ref="I77:I80"/>
    <mergeCell ref="J77:J80"/>
    <mergeCell ref="K77:K80"/>
    <mergeCell ref="E81:E83"/>
    <mergeCell ref="F81:F83"/>
    <mergeCell ref="G81:G83"/>
    <mergeCell ref="H81:H83"/>
    <mergeCell ref="I81:I83"/>
    <mergeCell ref="J81:J83"/>
    <mergeCell ref="K81:K83"/>
    <mergeCell ref="E84:E85"/>
    <mergeCell ref="F84:F85"/>
    <mergeCell ref="G84:G85"/>
    <mergeCell ref="H84:H85"/>
    <mergeCell ref="I84:I85"/>
    <mergeCell ref="J84:J85"/>
    <mergeCell ref="K84:K85"/>
    <mergeCell ref="E86:E87"/>
    <mergeCell ref="F86:F87"/>
    <mergeCell ref="G86:G87"/>
    <mergeCell ref="H86:H87"/>
    <mergeCell ref="I86:I87"/>
    <mergeCell ref="J86:J87"/>
    <mergeCell ref="K86:K87"/>
    <mergeCell ref="E88:E89"/>
    <mergeCell ref="F88:F89"/>
    <mergeCell ref="G88:G89"/>
    <mergeCell ref="H88:H89"/>
    <mergeCell ref="I88:I89"/>
    <mergeCell ref="J88:J89"/>
    <mergeCell ref="K88:K89"/>
    <mergeCell ref="E90:E92"/>
    <mergeCell ref="F90:F92"/>
    <mergeCell ref="G90:G92"/>
    <mergeCell ref="H90:H92"/>
    <mergeCell ref="I90:I92"/>
    <mergeCell ref="J90:J92"/>
    <mergeCell ref="K90:K92"/>
    <mergeCell ref="E93:E96"/>
    <mergeCell ref="F93:F96"/>
    <mergeCell ref="G93:G96"/>
    <mergeCell ref="H93:H96"/>
    <mergeCell ref="I93:I96"/>
    <mergeCell ref="J93:J96"/>
    <mergeCell ref="K93:K96"/>
    <mergeCell ref="E109:E112"/>
    <mergeCell ref="F109:F112"/>
    <mergeCell ref="G109:G112"/>
    <mergeCell ref="H109:H112"/>
    <mergeCell ref="I109:I112"/>
    <mergeCell ref="J109:J112"/>
    <mergeCell ref="K109:K112"/>
    <mergeCell ref="E113:E116"/>
    <mergeCell ref="F113:F116"/>
    <mergeCell ref="G113:G116"/>
    <mergeCell ref="H113:H116"/>
    <mergeCell ref="I113:I116"/>
    <mergeCell ref="J113:J116"/>
    <mergeCell ref="K113:K116"/>
    <mergeCell ref="E117:E119"/>
    <mergeCell ref="F117:F119"/>
    <mergeCell ref="G117:G119"/>
    <mergeCell ref="H117:H119"/>
    <mergeCell ref="I117:I119"/>
    <mergeCell ref="J117:J119"/>
    <mergeCell ref="K117:K119"/>
    <mergeCell ref="E120:E124"/>
    <mergeCell ref="F120:F124"/>
    <mergeCell ref="G120:G124"/>
    <mergeCell ref="H120:H124"/>
    <mergeCell ref="I120:I124"/>
    <mergeCell ref="J120:J124"/>
    <mergeCell ref="K120:K124"/>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24.0"/>
    <col customWidth="1" min="3" max="18" width="7.63"/>
    <col customWidth="1" min="19" max="19" width="9.63"/>
    <col customWidth="1" min="20" max="22" width="7.63"/>
    <col customWidth="1" min="23" max="23" width="8.5"/>
    <col customWidth="1" min="24" max="25" width="7.63"/>
  </cols>
  <sheetData>
    <row r="1">
      <c r="A1" s="1"/>
      <c r="B1" s="2"/>
      <c r="C1" s="5"/>
      <c r="D1" s="57" t="s">
        <v>0</v>
      </c>
      <c r="E1" s="2"/>
      <c r="F1" s="2"/>
      <c r="G1" s="2"/>
      <c r="H1" s="2"/>
      <c r="I1" s="2"/>
      <c r="J1" s="2"/>
      <c r="K1" s="2"/>
      <c r="L1" s="2"/>
      <c r="M1" s="2"/>
      <c r="N1" s="2"/>
      <c r="O1" s="2"/>
      <c r="P1" s="2"/>
      <c r="Q1" s="2"/>
      <c r="R1" s="2"/>
      <c r="S1" s="65" t="s">
        <v>1</v>
      </c>
      <c r="T1" s="2"/>
      <c r="U1" s="2"/>
      <c r="V1" s="2"/>
      <c r="W1" s="2"/>
      <c r="X1" s="2"/>
      <c r="Y1" s="5"/>
    </row>
    <row r="2">
      <c r="A2" s="6"/>
      <c r="C2" s="8"/>
      <c r="D2" s="6"/>
      <c r="S2" s="7" t="s">
        <v>2</v>
      </c>
      <c r="Y2" s="8"/>
    </row>
    <row r="3">
      <c r="A3" s="67"/>
      <c r="B3" s="10"/>
      <c r="C3" s="11"/>
      <c r="D3" s="67"/>
      <c r="E3" s="10"/>
      <c r="F3" s="10"/>
      <c r="G3" s="10"/>
      <c r="H3" s="10"/>
      <c r="I3" s="10"/>
      <c r="J3" s="10"/>
      <c r="K3" s="10"/>
      <c r="L3" s="10"/>
      <c r="M3" s="10"/>
      <c r="N3" s="10"/>
      <c r="O3" s="10"/>
      <c r="P3" s="10"/>
      <c r="Q3" s="10"/>
      <c r="R3" s="10"/>
      <c r="S3" s="68" t="s">
        <v>3</v>
      </c>
      <c r="T3" s="10"/>
      <c r="U3" s="10"/>
      <c r="V3" s="10"/>
      <c r="W3" s="10"/>
      <c r="X3" s="10"/>
      <c r="Y3" s="11"/>
    </row>
    <row r="4" ht="22.5" customHeight="1">
      <c r="A4" s="60" t="s">
        <v>4</v>
      </c>
      <c r="B4" s="13"/>
      <c r="C4" s="13"/>
      <c r="D4" s="13"/>
      <c r="E4" s="13"/>
      <c r="F4" s="13"/>
      <c r="G4" s="13"/>
      <c r="H4" s="13"/>
      <c r="I4" s="13"/>
      <c r="J4" s="13"/>
      <c r="K4" s="13"/>
      <c r="L4" s="13"/>
      <c r="M4" s="13"/>
      <c r="N4" s="13"/>
      <c r="O4" s="13"/>
      <c r="P4" s="13"/>
      <c r="Q4" s="13"/>
      <c r="R4" s="13"/>
      <c r="S4" s="247" t="s">
        <v>537</v>
      </c>
      <c r="T4" s="10"/>
      <c r="U4" s="10"/>
      <c r="V4" s="10"/>
      <c r="W4" s="10"/>
      <c r="X4" s="10"/>
      <c r="Y4" s="11"/>
    </row>
    <row r="6">
      <c r="B6" s="61" t="s">
        <v>538</v>
      </c>
    </row>
    <row r="7">
      <c r="B7" s="248" t="s">
        <v>67</v>
      </c>
      <c r="C7" s="249" t="s">
        <v>539</v>
      </c>
      <c r="D7" s="13"/>
      <c r="E7" s="14"/>
      <c r="F7" s="250" t="s">
        <v>540</v>
      </c>
      <c r="G7" s="13"/>
      <c r="H7" s="14"/>
      <c r="I7" s="251" t="s">
        <v>541</v>
      </c>
      <c r="J7" s="13"/>
      <c r="K7" s="13"/>
      <c r="L7" s="13"/>
      <c r="M7" s="13"/>
      <c r="N7" s="13"/>
      <c r="O7" s="13"/>
      <c r="P7" s="14"/>
      <c r="Q7" s="252" t="s">
        <v>542</v>
      </c>
      <c r="R7" s="13"/>
      <c r="S7" s="13"/>
      <c r="T7" s="14"/>
      <c r="U7" s="253" t="s">
        <v>543</v>
      </c>
      <c r="V7" s="14"/>
      <c r="W7" s="254" t="s">
        <v>78</v>
      </c>
    </row>
    <row r="8">
      <c r="C8" s="255">
        <v>46023.0</v>
      </c>
      <c r="D8" s="255">
        <v>46054.0</v>
      </c>
      <c r="E8" s="255">
        <v>46082.0</v>
      </c>
      <c r="F8" s="255">
        <v>46113.0</v>
      </c>
      <c r="G8" s="255">
        <v>46143.0</v>
      </c>
      <c r="H8" s="255">
        <v>46174.0</v>
      </c>
      <c r="I8" s="255">
        <v>46204.0</v>
      </c>
      <c r="J8" s="255">
        <v>46235.0</v>
      </c>
      <c r="K8" s="255">
        <v>46266.0</v>
      </c>
      <c r="L8" s="255">
        <v>46296.0</v>
      </c>
      <c r="M8" s="255">
        <v>46327.0</v>
      </c>
      <c r="N8" s="255">
        <v>46357.0</v>
      </c>
      <c r="O8" s="255">
        <v>46388.0</v>
      </c>
      <c r="P8" s="255">
        <v>46419.0</v>
      </c>
      <c r="Q8" s="255">
        <v>46447.0</v>
      </c>
      <c r="R8" s="255">
        <v>46478.0</v>
      </c>
      <c r="S8" s="255">
        <v>46508.0</v>
      </c>
      <c r="T8" s="255">
        <v>46539.0</v>
      </c>
      <c r="U8" s="255">
        <v>46569.0</v>
      </c>
      <c r="V8" s="255">
        <v>46600.0</v>
      </c>
    </row>
    <row r="9">
      <c r="B9" s="256" t="s">
        <v>544</v>
      </c>
      <c r="C9" s="257"/>
      <c r="D9" s="257"/>
      <c r="E9" s="257"/>
      <c r="F9" s="257"/>
      <c r="G9" s="257"/>
      <c r="H9" s="257"/>
      <c r="I9" s="257"/>
      <c r="J9" s="257"/>
      <c r="K9" s="257"/>
      <c r="L9" s="257"/>
      <c r="M9" s="257"/>
      <c r="N9" s="257"/>
      <c r="O9" s="257"/>
      <c r="P9" s="257"/>
      <c r="Q9" s="257"/>
      <c r="R9" s="257"/>
      <c r="S9" s="257"/>
      <c r="T9" s="257"/>
      <c r="U9" s="257"/>
      <c r="V9" s="257"/>
      <c r="W9" s="258">
        <f t="shared" ref="W9:W22" si="1">sum(C9:V9)</f>
        <v>0</v>
      </c>
    </row>
    <row r="10">
      <c r="B10" s="256" t="s">
        <v>545</v>
      </c>
      <c r="C10" s="150"/>
      <c r="D10" s="149"/>
      <c r="E10" s="149"/>
      <c r="F10" s="149"/>
      <c r="G10" s="149"/>
      <c r="H10" s="149"/>
      <c r="I10" s="149"/>
      <c r="J10" s="149"/>
      <c r="K10" s="149"/>
      <c r="L10" s="149"/>
      <c r="M10" s="149"/>
      <c r="N10" s="149"/>
      <c r="O10" s="149"/>
      <c r="P10" s="149"/>
      <c r="Q10" s="149"/>
      <c r="R10" s="149"/>
      <c r="S10" s="149"/>
      <c r="T10" s="149"/>
      <c r="U10" s="149"/>
      <c r="V10" s="149"/>
      <c r="W10" s="258">
        <f t="shared" si="1"/>
        <v>0</v>
      </c>
    </row>
    <row r="11">
      <c r="B11" s="256" t="s">
        <v>546</v>
      </c>
      <c r="C11" s="150"/>
      <c r="D11" s="149"/>
      <c r="E11" s="149"/>
      <c r="F11" s="149"/>
      <c r="G11" s="149"/>
      <c r="H11" s="149"/>
      <c r="I11" s="149"/>
      <c r="J11" s="149"/>
      <c r="K11" s="149"/>
      <c r="L11" s="149"/>
      <c r="M11" s="149"/>
      <c r="N11" s="149"/>
      <c r="O11" s="149"/>
      <c r="P11" s="149"/>
      <c r="Q11" s="149"/>
      <c r="R11" s="149"/>
      <c r="S11" s="149"/>
      <c r="T11" s="149"/>
      <c r="U11" s="149"/>
      <c r="V11" s="149"/>
      <c r="W11" s="258">
        <f t="shared" si="1"/>
        <v>0</v>
      </c>
    </row>
    <row r="12">
      <c r="B12" s="256" t="s">
        <v>547</v>
      </c>
      <c r="C12" s="150"/>
      <c r="D12" s="149"/>
      <c r="E12" s="149"/>
      <c r="F12" s="149"/>
      <c r="G12" s="149"/>
      <c r="H12" s="149"/>
      <c r="I12" s="149"/>
      <c r="J12" s="149"/>
      <c r="K12" s="149"/>
      <c r="L12" s="149"/>
      <c r="M12" s="149"/>
      <c r="N12" s="149"/>
      <c r="O12" s="149"/>
      <c r="P12" s="149"/>
      <c r="Q12" s="149"/>
      <c r="R12" s="149"/>
      <c r="S12" s="149"/>
      <c r="T12" s="149"/>
      <c r="U12" s="149"/>
      <c r="V12" s="149"/>
      <c r="W12" s="258">
        <f t="shared" si="1"/>
        <v>0</v>
      </c>
    </row>
    <row r="13">
      <c r="B13" s="256" t="s">
        <v>548</v>
      </c>
      <c r="C13" s="150"/>
      <c r="D13" s="149"/>
      <c r="E13" s="149"/>
      <c r="F13" s="149"/>
      <c r="G13" s="149"/>
      <c r="H13" s="149"/>
      <c r="I13" s="149"/>
      <c r="J13" s="149"/>
      <c r="K13" s="149"/>
      <c r="L13" s="149"/>
      <c r="M13" s="149"/>
      <c r="N13" s="149"/>
      <c r="O13" s="149"/>
      <c r="P13" s="149"/>
      <c r="Q13" s="149"/>
      <c r="R13" s="149"/>
      <c r="S13" s="149"/>
      <c r="T13" s="149"/>
      <c r="U13" s="149"/>
      <c r="V13" s="149"/>
      <c r="W13" s="258">
        <f t="shared" si="1"/>
        <v>0</v>
      </c>
    </row>
    <row r="14">
      <c r="B14" s="256" t="s">
        <v>549</v>
      </c>
      <c r="C14" s="150"/>
      <c r="D14" s="149"/>
      <c r="E14" s="149"/>
      <c r="F14" s="149"/>
      <c r="G14" s="149"/>
      <c r="H14" s="149"/>
      <c r="I14" s="149"/>
      <c r="J14" s="149"/>
      <c r="K14" s="149"/>
      <c r="L14" s="149"/>
      <c r="M14" s="149"/>
      <c r="N14" s="149"/>
      <c r="O14" s="149"/>
      <c r="P14" s="149"/>
      <c r="Q14" s="149"/>
      <c r="R14" s="149"/>
      <c r="S14" s="149"/>
      <c r="T14" s="149"/>
      <c r="U14" s="149"/>
      <c r="V14" s="149"/>
      <c r="W14" s="258">
        <f t="shared" si="1"/>
        <v>0</v>
      </c>
    </row>
    <row r="15">
      <c r="B15" s="256" t="s">
        <v>550</v>
      </c>
      <c r="C15" s="150"/>
      <c r="D15" s="149"/>
      <c r="E15" s="149"/>
      <c r="F15" s="149"/>
      <c r="G15" s="149"/>
      <c r="H15" s="149"/>
      <c r="I15" s="149"/>
      <c r="J15" s="149"/>
      <c r="K15" s="149"/>
      <c r="L15" s="149"/>
      <c r="M15" s="149"/>
      <c r="N15" s="149"/>
      <c r="O15" s="149"/>
      <c r="P15" s="149"/>
      <c r="Q15" s="149"/>
      <c r="R15" s="149"/>
      <c r="S15" s="149"/>
      <c r="T15" s="149"/>
      <c r="U15" s="149"/>
      <c r="V15" s="149"/>
      <c r="W15" s="258">
        <f t="shared" si="1"/>
        <v>0</v>
      </c>
    </row>
    <row r="16">
      <c r="B16" s="256" t="s">
        <v>551</v>
      </c>
      <c r="C16" s="149"/>
      <c r="D16" s="149"/>
      <c r="E16" s="149"/>
      <c r="F16" s="149"/>
      <c r="G16" s="149"/>
      <c r="H16" s="149"/>
      <c r="I16" s="149"/>
      <c r="J16" s="149"/>
      <c r="K16" s="149"/>
      <c r="L16" s="149"/>
      <c r="M16" s="149"/>
      <c r="N16" s="149"/>
      <c r="O16" s="149"/>
      <c r="P16" s="149"/>
      <c r="Q16" s="149"/>
      <c r="R16" s="149"/>
      <c r="S16" s="149"/>
      <c r="T16" s="149"/>
      <c r="U16" s="149"/>
      <c r="V16" s="149"/>
      <c r="W16" s="258">
        <f t="shared" si="1"/>
        <v>0</v>
      </c>
    </row>
    <row r="17">
      <c r="B17" s="256" t="s">
        <v>552</v>
      </c>
      <c r="C17" s="150"/>
      <c r="D17" s="149"/>
      <c r="E17" s="149"/>
      <c r="F17" s="149"/>
      <c r="G17" s="149"/>
      <c r="H17" s="149"/>
      <c r="I17" s="149"/>
      <c r="J17" s="149"/>
      <c r="K17" s="149"/>
      <c r="L17" s="149"/>
      <c r="M17" s="149"/>
      <c r="N17" s="149"/>
      <c r="O17" s="149"/>
      <c r="P17" s="149"/>
      <c r="Q17" s="149"/>
      <c r="R17" s="149"/>
      <c r="S17" s="149"/>
      <c r="T17" s="149"/>
      <c r="U17" s="149"/>
      <c r="V17" s="149"/>
      <c r="W17" s="258">
        <f t="shared" si="1"/>
        <v>0</v>
      </c>
    </row>
    <row r="18">
      <c r="B18" s="256" t="s">
        <v>553</v>
      </c>
      <c r="C18" s="150"/>
      <c r="D18" s="149"/>
      <c r="E18" s="149"/>
      <c r="F18" s="149"/>
      <c r="G18" s="149"/>
      <c r="H18" s="149"/>
      <c r="I18" s="149"/>
      <c r="J18" s="149"/>
      <c r="K18" s="149"/>
      <c r="L18" s="149"/>
      <c r="M18" s="149"/>
      <c r="N18" s="149"/>
      <c r="O18" s="149"/>
      <c r="P18" s="149"/>
      <c r="Q18" s="149"/>
      <c r="R18" s="149"/>
      <c r="S18" s="149"/>
      <c r="T18" s="149"/>
      <c r="U18" s="149"/>
      <c r="V18" s="149"/>
      <c r="W18" s="258">
        <f t="shared" si="1"/>
        <v>0</v>
      </c>
    </row>
    <row r="19">
      <c r="B19" s="256" t="s">
        <v>554</v>
      </c>
      <c r="C19" s="150"/>
      <c r="D19" s="149"/>
      <c r="E19" s="149"/>
      <c r="F19" s="149"/>
      <c r="G19" s="149"/>
      <c r="H19" s="149"/>
      <c r="I19" s="149"/>
      <c r="J19" s="149"/>
      <c r="K19" s="149"/>
      <c r="L19" s="149"/>
      <c r="M19" s="149"/>
      <c r="N19" s="149"/>
      <c r="O19" s="149"/>
      <c r="P19" s="149"/>
      <c r="Q19" s="149"/>
      <c r="R19" s="149"/>
      <c r="S19" s="149"/>
      <c r="T19" s="149"/>
      <c r="U19" s="149"/>
      <c r="V19" s="149"/>
      <c r="W19" s="258">
        <f t="shared" si="1"/>
        <v>0</v>
      </c>
    </row>
    <row r="20">
      <c r="B20" s="259" t="s">
        <v>555</v>
      </c>
      <c r="C20" s="150"/>
      <c r="D20" s="149"/>
      <c r="E20" s="149"/>
      <c r="F20" s="149"/>
      <c r="G20" s="149"/>
      <c r="H20" s="149"/>
      <c r="I20" s="149"/>
      <c r="J20" s="149"/>
      <c r="K20" s="149"/>
      <c r="L20" s="149"/>
      <c r="M20" s="149"/>
      <c r="N20" s="149"/>
      <c r="O20" s="149"/>
      <c r="P20" s="149"/>
      <c r="Q20" s="149"/>
      <c r="R20" s="149"/>
      <c r="S20" s="149"/>
      <c r="T20" s="149"/>
      <c r="U20" s="149"/>
      <c r="V20" s="149"/>
      <c r="W20" s="258">
        <f t="shared" si="1"/>
        <v>0</v>
      </c>
    </row>
    <row r="21">
      <c r="B21" s="259" t="s">
        <v>544</v>
      </c>
      <c r="C21" s="150"/>
      <c r="D21" s="149"/>
      <c r="E21" s="149"/>
      <c r="F21" s="149"/>
      <c r="G21" s="149"/>
      <c r="H21" s="149"/>
      <c r="I21" s="149"/>
      <c r="J21" s="149"/>
      <c r="K21" s="149"/>
      <c r="L21" s="149"/>
      <c r="M21" s="149"/>
      <c r="N21" s="149"/>
      <c r="O21" s="149"/>
      <c r="P21" s="149"/>
      <c r="Q21" s="149"/>
      <c r="R21" s="149"/>
      <c r="S21" s="149"/>
      <c r="T21" s="149"/>
      <c r="U21" s="149"/>
      <c r="V21" s="149"/>
      <c r="W21" s="258">
        <f t="shared" si="1"/>
        <v>0</v>
      </c>
    </row>
    <row r="22">
      <c r="B22" s="259" t="s">
        <v>556</v>
      </c>
      <c r="C22" s="150"/>
      <c r="D22" s="149"/>
      <c r="E22" s="149"/>
      <c r="F22" s="150"/>
      <c r="G22" s="150"/>
      <c r="H22" s="150"/>
      <c r="I22" s="150"/>
      <c r="J22" s="150"/>
      <c r="K22" s="150"/>
      <c r="L22" s="149"/>
      <c r="M22" s="149"/>
      <c r="N22" s="149"/>
      <c r="O22" s="149"/>
      <c r="P22" s="149"/>
      <c r="Q22" s="149"/>
      <c r="R22" s="149"/>
      <c r="S22" s="149"/>
      <c r="T22" s="150"/>
      <c r="U22" s="150"/>
      <c r="V22" s="150"/>
      <c r="W22" s="258">
        <f t="shared" si="1"/>
        <v>0</v>
      </c>
    </row>
    <row r="23">
      <c r="B23" s="260" t="s">
        <v>78</v>
      </c>
      <c r="C23" s="261">
        <f t="shared" ref="C23:W23" si="2">SUM(C10:C22)</f>
        <v>0</v>
      </c>
      <c r="D23" s="261">
        <f t="shared" si="2"/>
        <v>0</v>
      </c>
      <c r="E23" s="261">
        <f t="shared" si="2"/>
        <v>0</v>
      </c>
      <c r="F23" s="261">
        <f t="shared" si="2"/>
        <v>0</v>
      </c>
      <c r="G23" s="261">
        <f t="shared" si="2"/>
        <v>0</v>
      </c>
      <c r="H23" s="261">
        <f t="shared" si="2"/>
        <v>0</v>
      </c>
      <c r="I23" s="261">
        <f t="shared" si="2"/>
        <v>0</v>
      </c>
      <c r="J23" s="261">
        <f t="shared" si="2"/>
        <v>0</v>
      </c>
      <c r="K23" s="261">
        <f t="shared" si="2"/>
        <v>0</v>
      </c>
      <c r="L23" s="261">
        <f t="shared" si="2"/>
        <v>0</v>
      </c>
      <c r="M23" s="261">
        <f t="shared" si="2"/>
        <v>0</v>
      </c>
      <c r="N23" s="261">
        <f t="shared" si="2"/>
        <v>0</v>
      </c>
      <c r="O23" s="261">
        <f t="shared" si="2"/>
        <v>0</v>
      </c>
      <c r="P23" s="261">
        <f t="shared" si="2"/>
        <v>0</v>
      </c>
      <c r="Q23" s="261">
        <f t="shared" si="2"/>
        <v>0</v>
      </c>
      <c r="R23" s="261">
        <f t="shared" si="2"/>
        <v>0</v>
      </c>
      <c r="S23" s="261">
        <f t="shared" si="2"/>
        <v>0</v>
      </c>
      <c r="T23" s="261">
        <f t="shared" si="2"/>
        <v>0</v>
      </c>
      <c r="U23" s="261">
        <f t="shared" si="2"/>
        <v>0</v>
      </c>
      <c r="V23" s="261">
        <f t="shared" si="2"/>
        <v>0</v>
      </c>
      <c r="W23" s="262">
        <f t="shared" si="2"/>
        <v>0</v>
      </c>
    </row>
    <row r="24">
      <c r="B24" s="263" t="s">
        <v>557</v>
      </c>
      <c r="C24" s="264">
        <f>SUM(C23:E23)</f>
        <v>0</v>
      </c>
      <c r="D24" s="13"/>
      <c r="E24" s="14"/>
      <c r="F24" s="265">
        <f>SUM(F23:H23)</f>
        <v>0</v>
      </c>
      <c r="G24" s="13"/>
      <c r="H24" s="14"/>
      <c r="I24" s="266">
        <f>SUM(I23:P23)</f>
        <v>0</v>
      </c>
      <c r="J24" s="13"/>
      <c r="K24" s="13"/>
      <c r="L24" s="13"/>
      <c r="M24" s="13"/>
      <c r="N24" s="13"/>
      <c r="O24" s="13"/>
      <c r="P24" s="13"/>
      <c r="Q24" s="267">
        <f>SUM(Q23:T23)</f>
        <v>0</v>
      </c>
      <c r="R24" s="13"/>
      <c r="S24" s="13"/>
      <c r="T24" s="14"/>
      <c r="U24" s="268">
        <f>SUM(U23:V23)</f>
        <v>0</v>
      </c>
      <c r="V24" s="14"/>
    </row>
    <row r="25">
      <c r="B25" s="61"/>
      <c r="C25" s="61"/>
      <c r="D25" s="61"/>
      <c r="E25" s="61"/>
      <c r="F25" s="61"/>
      <c r="G25" s="61"/>
      <c r="H25" s="61"/>
      <c r="I25" s="61"/>
      <c r="J25" s="61"/>
      <c r="K25" s="61"/>
      <c r="L25" s="61"/>
      <c r="M25" s="61"/>
      <c r="N25" s="61"/>
      <c r="O25" s="61"/>
      <c r="P25" s="61"/>
      <c r="Q25" s="61"/>
      <c r="R25" s="61"/>
      <c r="S25" s="61"/>
      <c r="T25" s="61"/>
      <c r="U25" s="61"/>
      <c r="V25" s="61"/>
    </row>
  </sheetData>
  <mergeCells count="35">
    <mergeCell ref="A1:C3"/>
    <mergeCell ref="D1:R3"/>
    <mergeCell ref="S1:Y1"/>
    <mergeCell ref="S2:Y2"/>
    <mergeCell ref="S3:Y3"/>
    <mergeCell ref="A4:R4"/>
    <mergeCell ref="S4:Y4"/>
    <mergeCell ref="B7:B8"/>
    <mergeCell ref="C7:E7"/>
    <mergeCell ref="F7:H7"/>
    <mergeCell ref="I7:P7"/>
    <mergeCell ref="Q7:T7"/>
    <mergeCell ref="U7:V7"/>
    <mergeCell ref="W7:W8"/>
    <mergeCell ref="C26:E26"/>
    <mergeCell ref="C27:E27"/>
    <mergeCell ref="F27:H27"/>
    <mergeCell ref="C28:E28"/>
    <mergeCell ref="F28:H28"/>
    <mergeCell ref="C29:E29"/>
    <mergeCell ref="F29:H29"/>
    <mergeCell ref="C30:E30"/>
    <mergeCell ref="I27:V27"/>
    <mergeCell ref="I28:V28"/>
    <mergeCell ref="I29:R29"/>
    <mergeCell ref="I30:R30"/>
    <mergeCell ref="I31:R31"/>
    <mergeCell ref="I32:R32"/>
    <mergeCell ref="C24:E24"/>
    <mergeCell ref="F24:H24"/>
    <mergeCell ref="I24:P24"/>
    <mergeCell ref="Q24:T24"/>
    <mergeCell ref="U24:V24"/>
    <mergeCell ref="F26:H26"/>
    <mergeCell ref="I26:V26"/>
  </mergeCells>
  <conditionalFormatting sqref="W9:W24 C10:V24">
    <cfRule type="cellIs" dxfId="2" priority="1" operator="equal">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63"/>
    <col customWidth="1" min="2" max="2" width="14.13"/>
    <col customWidth="1" min="3" max="3" width="29.25"/>
    <col customWidth="1" min="5" max="5" width="17.75"/>
    <col customWidth="1" min="6" max="6" width="16.0"/>
    <col customWidth="1" min="7" max="7" width="15.0"/>
  </cols>
  <sheetData>
    <row r="1">
      <c r="A1" s="1"/>
      <c r="B1" s="2"/>
      <c r="C1" s="3" t="s">
        <v>0</v>
      </c>
      <c r="D1" s="2"/>
      <c r="E1" s="4" t="s">
        <v>1</v>
      </c>
      <c r="F1" s="2"/>
      <c r="G1" s="5"/>
    </row>
    <row r="2">
      <c r="A2" s="6"/>
      <c r="C2" s="6"/>
      <c r="E2" s="58" t="s">
        <v>2</v>
      </c>
      <c r="G2" s="8"/>
    </row>
    <row r="3">
      <c r="A3" s="6"/>
      <c r="C3" s="6"/>
      <c r="E3" s="59" t="s">
        <v>3</v>
      </c>
      <c r="F3" s="10"/>
      <c r="G3" s="11"/>
    </row>
    <row r="4">
      <c r="A4" s="12" t="s">
        <v>4</v>
      </c>
      <c r="B4" s="13"/>
      <c r="C4" s="13"/>
      <c r="D4" s="13"/>
      <c r="E4" s="15" t="s">
        <v>5</v>
      </c>
      <c r="F4" s="10"/>
      <c r="G4" s="11"/>
    </row>
    <row r="5">
      <c r="A5" s="269"/>
      <c r="B5" s="269"/>
      <c r="C5" s="269"/>
      <c r="D5" s="186"/>
      <c r="E5" s="186"/>
      <c r="F5" s="186"/>
      <c r="G5" s="186"/>
    </row>
    <row r="6">
      <c r="A6" s="269"/>
      <c r="B6" s="269"/>
      <c r="C6" s="269"/>
      <c r="D6" s="186"/>
      <c r="E6" s="186"/>
      <c r="F6" s="186"/>
      <c r="G6" s="186"/>
    </row>
    <row r="7">
      <c r="A7" s="270" t="s">
        <v>558</v>
      </c>
      <c r="B7" s="270" t="s">
        <v>559</v>
      </c>
      <c r="C7" s="270" t="s">
        <v>560</v>
      </c>
      <c r="D7" s="164"/>
      <c r="E7" s="164"/>
      <c r="F7" s="164"/>
      <c r="G7" s="164"/>
    </row>
    <row r="8">
      <c r="A8" s="271" t="s">
        <v>561</v>
      </c>
      <c r="B8" s="271">
        <v>0.3</v>
      </c>
      <c r="C8" s="272">
        <v>0.3</v>
      </c>
      <c r="D8" s="164"/>
      <c r="E8" s="164"/>
      <c r="F8" s="164"/>
      <c r="G8" s="164"/>
    </row>
    <row r="9">
      <c r="A9" s="271" t="s">
        <v>271</v>
      </c>
      <c r="B9" s="271">
        <v>0.7</v>
      </c>
      <c r="C9" s="273" t="s">
        <v>562</v>
      </c>
      <c r="D9" s="164"/>
      <c r="E9" s="164"/>
      <c r="F9" s="164"/>
      <c r="G9" s="164"/>
    </row>
    <row r="10">
      <c r="A10" s="274" t="s">
        <v>563</v>
      </c>
      <c r="B10" s="275">
        <v>0.5</v>
      </c>
      <c r="C10" s="274" t="s">
        <v>562</v>
      </c>
      <c r="D10" s="164"/>
      <c r="E10" s="164"/>
      <c r="F10" s="164"/>
      <c r="G10" s="164"/>
    </row>
    <row r="11">
      <c r="A11" s="271" t="s">
        <v>564</v>
      </c>
      <c r="B11" s="271">
        <v>0.3</v>
      </c>
      <c r="C11" s="271" t="s">
        <v>562</v>
      </c>
      <c r="D11" s="164"/>
      <c r="E11" s="164"/>
      <c r="F11" s="164"/>
      <c r="G11" s="164"/>
    </row>
    <row r="12">
      <c r="A12" s="276" t="s">
        <v>565</v>
      </c>
      <c r="B12" s="277">
        <v>0.2</v>
      </c>
      <c r="C12" s="276" t="s">
        <v>562</v>
      </c>
      <c r="D12" s="164"/>
      <c r="E12" s="164"/>
      <c r="F12" s="164"/>
      <c r="G12" s="164"/>
    </row>
    <row r="13">
      <c r="A13" s="271" t="s">
        <v>566</v>
      </c>
      <c r="B13" s="271">
        <v>20.0</v>
      </c>
      <c r="C13" s="271"/>
      <c r="D13" s="164"/>
      <c r="E13" s="164"/>
      <c r="F13" s="164"/>
      <c r="G13" s="164"/>
    </row>
    <row r="14">
      <c r="A14" s="271" t="s">
        <v>567</v>
      </c>
      <c r="B14" s="271">
        <v>7.0</v>
      </c>
      <c r="C14" s="271"/>
      <c r="D14" s="164"/>
      <c r="E14" s="164"/>
      <c r="F14" s="164"/>
      <c r="G14" s="164"/>
    </row>
    <row r="15">
      <c r="A15" s="192" t="s">
        <v>568</v>
      </c>
      <c r="B15" s="164"/>
      <c r="C15" s="164"/>
      <c r="D15" s="164"/>
      <c r="E15" s="164"/>
      <c r="F15" s="164"/>
      <c r="G15" s="164"/>
    </row>
    <row r="16">
      <c r="A16" s="192" t="s">
        <v>569</v>
      </c>
      <c r="B16" s="164"/>
      <c r="C16" s="164"/>
      <c r="D16" s="164"/>
      <c r="E16" s="164"/>
      <c r="F16" s="164"/>
      <c r="G16" s="164"/>
    </row>
    <row r="17">
      <c r="A17" s="164"/>
      <c r="B17" s="164"/>
      <c r="C17" s="164"/>
      <c r="D17" s="164"/>
      <c r="E17" s="164"/>
      <c r="F17" s="164"/>
      <c r="G17" s="164"/>
    </row>
    <row r="18">
      <c r="A18" s="278" t="s">
        <v>570</v>
      </c>
      <c r="B18" s="279" t="s">
        <v>571</v>
      </c>
      <c r="C18" s="280" t="s">
        <v>572</v>
      </c>
      <c r="D18" s="14"/>
      <c r="E18" s="279" t="s">
        <v>573</v>
      </c>
      <c r="F18" s="279" t="s">
        <v>574</v>
      </c>
      <c r="G18" s="279" t="s">
        <v>575</v>
      </c>
    </row>
    <row r="19">
      <c r="A19" s="281" t="s">
        <v>45</v>
      </c>
      <c r="B19" s="282" t="s">
        <v>47</v>
      </c>
      <c r="C19" s="283" t="s">
        <v>59</v>
      </c>
      <c r="D19" s="11"/>
      <c r="E19" s="282" t="s">
        <v>576</v>
      </c>
      <c r="F19" s="282" t="s">
        <v>51</v>
      </c>
      <c r="G19" s="282" t="s">
        <v>57</v>
      </c>
    </row>
    <row r="20">
      <c r="A20" s="281" t="s">
        <v>577</v>
      </c>
      <c r="B20" s="282" t="s">
        <v>578</v>
      </c>
      <c r="C20" s="283" t="s">
        <v>579</v>
      </c>
      <c r="D20" s="11"/>
      <c r="E20" s="282" t="s">
        <v>580</v>
      </c>
      <c r="F20" s="282" t="s">
        <v>581</v>
      </c>
      <c r="G20" s="282" t="s">
        <v>582</v>
      </c>
    </row>
    <row r="21">
      <c r="A21" s="281"/>
      <c r="B21" s="284" t="s">
        <v>583</v>
      </c>
      <c r="C21" s="283" t="s">
        <v>584</v>
      </c>
      <c r="D21" s="11"/>
      <c r="E21" s="282" t="s">
        <v>61</v>
      </c>
      <c r="F21" s="282"/>
      <c r="G21" s="282" t="s">
        <v>585</v>
      </c>
    </row>
    <row r="22">
      <c r="A22" s="281"/>
      <c r="B22" s="282"/>
      <c r="C22" s="285" t="s">
        <v>586</v>
      </c>
      <c r="D22" s="11"/>
      <c r="E22" s="282"/>
      <c r="F22" s="282"/>
      <c r="G22" s="282" t="s">
        <v>587</v>
      </c>
    </row>
    <row r="23">
      <c r="A23" s="281"/>
      <c r="B23" s="282"/>
      <c r="C23" s="283" t="s">
        <v>588</v>
      </c>
      <c r="D23" s="11"/>
      <c r="E23" s="282"/>
      <c r="F23" s="282"/>
      <c r="G23" s="282" t="s">
        <v>589</v>
      </c>
    </row>
    <row r="24">
      <c r="A24" s="281"/>
      <c r="B24" s="282"/>
      <c r="C24" s="10"/>
      <c r="D24" s="11"/>
      <c r="E24" s="282"/>
      <c r="F24" s="282"/>
      <c r="G24" s="282" t="s">
        <v>590</v>
      </c>
    </row>
    <row r="25">
      <c r="A25" s="281"/>
      <c r="B25" s="282"/>
      <c r="C25" s="10"/>
      <c r="D25" s="11"/>
      <c r="E25" s="282"/>
      <c r="F25" s="282"/>
      <c r="G25" s="282" t="s">
        <v>591</v>
      </c>
    </row>
  </sheetData>
  <mergeCells count="15">
    <mergeCell ref="C18:D18"/>
    <mergeCell ref="C19:D19"/>
    <mergeCell ref="C20:D20"/>
    <mergeCell ref="C21:D21"/>
    <mergeCell ref="C22:D22"/>
    <mergeCell ref="C23:D23"/>
    <mergeCell ref="C24:D24"/>
    <mergeCell ref="C25:D25"/>
    <mergeCell ref="A1:B3"/>
    <mergeCell ref="C1:D3"/>
    <mergeCell ref="E1:G1"/>
    <mergeCell ref="E2:G2"/>
    <mergeCell ref="E3:G3"/>
    <mergeCell ref="A4:D4"/>
    <mergeCell ref="E4:G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45" width="3.25"/>
  </cols>
  <sheetData>
    <row r="1">
      <c r="A1" s="286"/>
      <c r="B1" s="1"/>
      <c r="C1" s="2"/>
      <c r="D1" s="2"/>
      <c r="E1" s="2"/>
      <c r="F1" s="2"/>
      <c r="G1" s="2"/>
      <c r="H1" s="2"/>
      <c r="I1" s="2"/>
      <c r="J1" s="2"/>
      <c r="K1" s="2"/>
      <c r="L1" s="3" t="s">
        <v>0</v>
      </c>
      <c r="M1" s="2"/>
      <c r="N1" s="2"/>
      <c r="O1" s="2"/>
      <c r="P1" s="2"/>
      <c r="Q1" s="2"/>
      <c r="R1" s="2"/>
      <c r="S1" s="2"/>
      <c r="T1" s="2"/>
      <c r="U1" s="2"/>
      <c r="V1" s="2"/>
      <c r="W1" s="2"/>
      <c r="X1" s="2"/>
      <c r="Y1" s="2"/>
      <c r="Z1" s="2"/>
      <c r="AA1" s="2"/>
      <c r="AB1" s="2"/>
      <c r="AC1" s="2"/>
      <c r="AD1" s="2"/>
      <c r="AE1" s="2"/>
      <c r="AF1" s="2"/>
      <c r="AG1" s="2"/>
      <c r="AH1" s="2"/>
      <c r="AI1" s="2"/>
      <c r="AJ1" s="4" t="s">
        <v>1</v>
      </c>
      <c r="AK1" s="2"/>
      <c r="AL1" s="2"/>
      <c r="AM1" s="2"/>
      <c r="AN1" s="2"/>
      <c r="AO1" s="2"/>
      <c r="AP1" s="2"/>
      <c r="AQ1" s="2"/>
      <c r="AR1" s="5"/>
    </row>
    <row r="2">
      <c r="A2" s="286"/>
      <c r="B2" s="6"/>
      <c r="L2" s="6"/>
      <c r="AJ2" s="58" t="s">
        <v>2</v>
      </c>
      <c r="AR2" s="8"/>
    </row>
    <row r="3">
      <c r="A3" s="286"/>
      <c r="B3" s="6"/>
      <c r="L3" s="6"/>
      <c r="AJ3" s="59" t="s">
        <v>3</v>
      </c>
      <c r="AK3" s="10"/>
      <c r="AL3" s="10"/>
      <c r="AM3" s="10"/>
      <c r="AN3" s="10"/>
      <c r="AO3" s="10"/>
      <c r="AP3" s="10"/>
      <c r="AQ3" s="10"/>
      <c r="AR3" s="11"/>
    </row>
    <row r="4">
      <c r="A4" s="287"/>
      <c r="B4" s="12" t="s">
        <v>4</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5" t="s">
        <v>5</v>
      </c>
      <c r="AK4" s="10"/>
      <c r="AL4" s="10"/>
      <c r="AM4" s="10"/>
      <c r="AN4" s="10"/>
      <c r="AO4" s="10"/>
      <c r="AP4" s="10"/>
      <c r="AQ4" s="10"/>
      <c r="AR4" s="11"/>
    </row>
    <row r="5"/>
    <row r="6"/>
    <row r="7">
      <c r="A7" s="288"/>
      <c r="B7" s="288"/>
      <c r="C7" s="288"/>
      <c r="D7" s="288"/>
      <c r="E7" s="288"/>
      <c r="F7" s="288"/>
      <c r="G7" s="288"/>
      <c r="H7" s="288"/>
      <c r="I7" s="288"/>
      <c r="J7" s="288"/>
      <c r="K7" s="288"/>
      <c r="L7" s="288"/>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row>
    <row r="8">
      <c r="A8" s="288"/>
      <c r="B8" s="288"/>
      <c r="C8" s="288"/>
      <c r="D8" s="288"/>
      <c r="E8" s="288"/>
      <c r="F8" s="288"/>
      <c r="G8" s="288"/>
      <c r="H8" s="288"/>
      <c r="I8" s="288"/>
      <c r="J8" s="288"/>
      <c r="K8" s="288"/>
      <c r="L8" s="288"/>
      <c r="M8" s="288"/>
      <c r="N8" s="288"/>
      <c r="O8" s="288"/>
      <c r="P8" s="288"/>
      <c r="Q8" s="288"/>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row>
    <row r="9">
      <c r="A9" s="288"/>
      <c r="B9" s="288"/>
      <c r="C9" s="288"/>
      <c r="D9" s="288"/>
      <c r="E9" s="288"/>
      <c r="F9" s="288"/>
      <c r="G9" s="288"/>
      <c r="H9" s="288"/>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8"/>
      <c r="AR9" s="288"/>
      <c r="AS9" s="288"/>
    </row>
    <row r="10">
      <c r="A10" s="288"/>
      <c r="B10" s="288"/>
      <c r="C10" s="288"/>
      <c r="D10" s="288"/>
      <c r="E10" s="288"/>
      <c r="F10" s="288"/>
      <c r="G10" s="288"/>
      <c r="H10" s="288"/>
      <c r="I10" s="288"/>
      <c r="J10" s="288"/>
      <c r="K10" s="288"/>
      <c r="L10" s="288"/>
      <c r="M10" s="288"/>
      <c r="N10" s="288"/>
      <c r="O10" s="288"/>
      <c r="P10" s="288"/>
      <c r="Q10" s="288"/>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row>
    <row r="11">
      <c r="A11" s="288"/>
      <c r="B11" s="288"/>
      <c r="C11" s="288"/>
      <c r="D11" s="288"/>
      <c r="E11" s="288"/>
      <c r="F11" s="288"/>
      <c r="G11" s="288"/>
      <c r="H11" s="288"/>
      <c r="I11" s="288"/>
      <c r="J11" s="288"/>
      <c r="K11" s="288"/>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row>
    <row r="12">
      <c r="A12" s="288"/>
      <c r="B12" s="288"/>
      <c r="C12" s="288"/>
      <c r="D12" s="288"/>
      <c r="E12" s="288"/>
      <c r="F12" s="288"/>
      <c r="G12" s="288"/>
      <c r="H12" s="288"/>
      <c r="I12" s="288"/>
      <c r="J12" s="288"/>
      <c r="K12" s="288"/>
      <c r="L12" s="288"/>
      <c r="M12" s="288"/>
      <c r="N12" s="288"/>
      <c r="O12" s="288"/>
      <c r="P12" s="288"/>
      <c r="Q12" s="288"/>
      <c r="R12" s="288"/>
      <c r="S12" s="288"/>
      <c r="T12" s="288"/>
      <c r="U12" s="288"/>
      <c r="V12" s="288"/>
      <c r="W12" s="288"/>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row>
    <row r="13">
      <c r="A13" s="288"/>
      <c r="B13" s="288"/>
      <c r="C13" s="288"/>
      <c r="D13" s="288"/>
      <c r="E13" s="288"/>
      <c r="F13" s="288"/>
      <c r="G13" s="288"/>
      <c r="H13" s="288"/>
      <c r="I13" s="288"/>
      <c r="J13" s="288"/>
      <c r="K13" s="288"/>
      <c r="L13" s="288"/>
      <c r="M13" s="288"/>
      <c r="N13" s="288"/>
      <c r="O13" s="288"/>
      <c r="P13" s="288"/>
      <c r="Q13" s="288"/>
      <c r="R13" s="288"/>
      <c r="S13" s="288"/>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row>
    <row r="14">
      <c r="A14" s="288"/>
      <c r="B14" s="288"/>
      <c r="C14" s="288"/>
      <c r="D14" s="288"/>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row>
    <row r="15">
      <c r="A15" s="288"/>
      <c r="B15" s="288"/>
      <c r="C15" s="288"/>
      <c r="D15" s="288"/>
      <c r="E15" s="288"/>
      <c r="F15" s="288"/>
      <c r="G15" s="288"/>
      <c r="H15" s="288"/>
      <c r="I15" s="288"/>
      <c r="J15" s="288"/>
      <c r="K15" s="288"/>
      <c r="L15" s="288"/>
      <c r="M15" s="288"/>
      <c r="N15" s="288"/>
      <c r="O15" s="288"/>
      <c r="P15" s="288"/>
      <c r="Q15" s="288"/>
      <c r="R15" s="288"/>
      <c r="S15" s="288"/>
      <c r="T15" s="288"/>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row>
    <row r="16">
      <c r="A16" s="288"/>
      <c r="B16" s="288"/>
      <c r="C16" s="288"/>
      <c r="D16" s="288"/>
      <c r="E16" s="288"/>
      <c r="F16" s="288"/>
      <c r="G16" s="288"/>
      <c r="H16" s="288"/>
      <c r="I16" s="288"/>
      <c r="J16" s="288"/>
      <c r="K16" s="288"/>
      <c r="L16" s="288"/>
      <c r="M16" s="288"/>
      <c r="N16" s="288"/>
      <c r="O16" s="288"/>
      <c r="P16" s="288"/>
      <c r="Q16" s="288"/>
      <c r="R16" s="288"/>
      <c r="S16" s="288"/>
      <c r="T16" s="288"/>
      <c r="U16" s="288"/>
      <c r="V16" s="288"/>
      <c r="W16" s="288"/>
      <c r="X16" s="288"/>
      <c r="Y16" s="288"/>
      <c r="Z16" s="288"/>
      <c r="AA16" s="288"/>
      <c r="AB16" s="288"/>
      <c r="AC16" s="288"/>
      <c r="AD16" s="288"/>
      <c r="AE16" s="288"/>
      <c r="AF16" s="288"/>
      <c r="AG16" s="288"/>
      <c r="AH16" s="288"/>
      <c r="AI16" s="288"/>
      <c r="AJ16" s="288"/>
      <c r="AK16" s="288"/>
      <c r="AL16" s="288"/>
      <c r="AM16" s="288"/>
      <c r="AN16" s="288"/>
      <c r="AO16" s="288"/>
      <c r="AP16" s="288"/>
      <c r="AQ16" s="288"/>
      <c r="AR16" s="288"/>
      <c r="AS16" s="288"/>
    </row>
    <row r="17">
      <c r="A17" s="288"/>
      <c r="B17" s="288"/>
      <c r="C17" s="288"/>
      <c r="D17" s="288"/>
      <c r="E17" s="288"/>
      <c r="F17" s="288"/>
      <c r="G17" s="288"/>
      <c r="H17" s="288"/>
      <c r="I17" s="288"/>
      <c r="J17" s="288"/>
      <c r="K17" s="288"/>
      <c r="L17" s="288"/>
      <c r="M17" s="288"/>
      <c r="N17" s="288"/>
      <c r="O17" s="288"/>
      <c r="P17" s="288"/>
      <c r="Q17" s="288"/>
      <c r="R17" s="288"/>
      <c r="S17" s="288"/>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row>
    <row r="18">
      <c r="A18" s="288"/>
      <c r="B18" s="288"/>
      <c r="C18" s="288"/>
      <c r="D18" s="288"/>
      <c r="E18" s="288"/>
      <c r="F18" s="288"/>
      <c r="G18" s="288"/>
      <c r="H18" s="288"/>
      <c r="I18" s="288"/>
      <c r="J18" s="288"/>
      <c r="K18" s="288"/>
      <c r="L18" s="288"/>
      <c r="M18" s="288"/>
      <c r="N18" s="288"/>
      <c r="O18" s="288"/>
      <c r="P18" s="288"/>
      <c r="Q18" s="288"/>
      <c r="R18" s="288"/>
      <c r="S18" s="288"/>
      <c r="T18" s="288"/>
      <c r="U18" s="288"/>
      <c r="V18" s="288"/>
      <c r="W18" s="288"/>
      <c r="X18" s="288"/>
      <c r="Y18" s="288"/>
      <c r="Z18" s="288"/>
      <c r="AA18" s="288"/>
      <c r="AB18" s="288"/>
      <c r="AC18" s="288"/>
      <c r="AD18" s="288"/>
      <c r="AE18" s="288"/>
      <c r="AF18" s="288"/>
      <c r="AG18" s="288"/>
      <c r="AH18" s="288"/>
      <c r="AI18" s="288"/>
      <c r="AJ18" s="288"/>
      <c r="AK18" s="288"/>
      <c r="AL18" s="288"/>
      <c r="AM18" s="288"/>
      <c r="AN18" s="288"/>
      <c r="AO18" s="288"/>
      <c r="AP18" s="288"/>
      <c r="AQ18" s="288"/>
      <c r="AR18" s="288"/>
      <c r="AS18" s="288"/>
    </row>
    <row r="19">
      <c r="A19" s="288"/>
      <c r="B19" s="288"/>
      <c r="C19" s="288"/>
      <c r="D19" s="288"/>
      <c r="E19" s="288"/>
      <c r="F19" s="288"/>
      <c r="G19" s="288"/>
      <c r="H19" s="288"/>
      <c r="I19" s="288"/>
      <c r="J19" s="288"/>
      <c r="K19" s="288"/>
      <c r="L19" s="288"/>
      <c r="M19" s="288"/>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row>
    <row r="20">
      <c r="A20" s="288"/>
      <c r="B20" s="288"/>
      <c r="C20" s="288"/>
      <c r="D20" s="288"/>
      <c r="E20" s="288"/>
      <c r="F20" s="288"/>
      <c r="G20" s="288"/>
      <c r="H20" s="288"/>
      <c r="I20" s="288"/>
      <c r="J20" s="288"/>
      <c r="K20" s="288"/>
      <c r="L20" s="288"/>
      <c r="M20" s="288"/>
      <c r="N20" s="288"/>
      <c r="O20" s="288"/>
      <c r="P20" s="288"/>
      <c r="Q20" s="288"/>
      <c r="R20" s="288"/>
      <c r="S20" s="288"/>
      <c r="T20" s="288"/>
      <c r="U20" s="288"/>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row>
    <row r="21">
      <c r="A21" s="288"/>
      <c r="B21" s="288"/>
      <c r="C21" s="288"/>
      <c r="D21" s="288"/>
      <c r="E21" s="288"/>
      <c r="F21" s="288"/>
      <c r="G21" s="288"/>
      <c r="H21" s="288"/>
      <c r="I21" s="288"/>
      <c r="J21" s="288"/>
      <c r="K21" s="288"/>
      <c r="L21" s="288"/>
      <c r="M21" s="288"/>
      <c r="N21" s="288"/>
      <c r="O21" s="288"/>
      <c r="P21" s="288"/>
      <c r="Q21" s="288"/>
      <c r="R21" s="288"/>
      <c r="S21" s="288"/>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row>
    <row r="22">
      <c r="A22" s="288"/>
      <c r="B22" s="288"/>
      <c r="C22" s="288"/>
      <c r="D22" s="288"/>
      <c r="E22" s="288"/>
      <c r="F22" s="288"/>
      <c r="G22" s="288"/>
      <c r="H22" s="288"/>
      <c r="I22" s="288"/>
      <c r="J22" s="288"/>
      <c r="K22" s="288"/>
      <c r="L22" s="288"/>
      <c r="M22" s="288"/>
      <c r="N22" s="288"/>
      <c r="O22" s="288"/>
      <c r="P22" s="288"/>
      <c r="Q22" s="288"/>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row>
    <row r="23">
      <c r="A23" s="288"/>
      <c r="B23" s="288"/>
      <c r="C23" s="288"/>
      <c r="D23" s="288"/>
      <c r="E23" s="288"/>
      <c r="F23" s="288"/>
      <c r="G23" s="288"/>
      <c r="H23" s="288"/>
      <c r="I23" s="288"/>
      <c r="J23" s="288"/>
      <c r="K23" s="288"/>
      <c r="L23" s="288"/>
      <c r="M23" s="288"/>
      <c r="N23" s="288"/>
      <c r="O23" s="288"/>
      <c r="P23" s="288"/>
      <c r="Q23" s="288"/>
      <c r="R23" s="288"/>
      <c r="S23" s="288"/>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row>
    <row r="24">
      <c r="A24" s="288"/>
      <c r="B24" s="288"/>
      <c r="C24" s="288"/>
      <c r="D24" s="288"/>
      <c r="E24" s="288"/>
      <c r="F24" s="288"/>
      <c r="G24" s="288"/>
      <c r="H24" s="288"/>
      <c r="I24" s="288"/>
      <c r="J24" s="288"/>
      <c r="K24" s="288"/>
      <c r="L24" s="288"/>
      <c r="M24" s="288"/>
      <c r="N24" s="288"/>
      <c r="O24" s="288"/>
      <c r="P24" s="288"/>
      <c r="Q24" s="288"/>
      <c r="R24" s="288"/>
      <c r="S24" s="288"/>
      <c r="T24" s="288"/>
      <c r="U24" s="288"/>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row>
    <row r="25">
      <c r="A25" s="288"/>
      <c r="B25" s="288"/>
      <c r="C25" s="288"/>
      <c r="D25" s="288"/>
      <c r="E25" s="288"/>
      <c r="F25" s="288"/>
      <c r="G25" s="288"/>
      <c r="H25" s="288"/>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row>
    <row r="26">
      <c r="A26" s="288"/>
      <c r="B26" s="288"/>
      <c r="C26" s="288"/>
      <c r="D26" s="288"/>
      <c r="E26" s="288"/>
      <c r="F26" s="288"/>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row>
    <row r="27">
      <c r="A27" s="288"/>
      <c r="B27" s="288"/>
      <c r="C27" s="288"/>
      <c r="D27" s="288"/>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row>
    <row r="28">
      <c r="A28" s="288"/>
      <c r="B28" s="288"/>
      <c r="C28" s="288"/>
      <c r="D28" s="288"/>
      <c r="E28" s="288"/>
      <c r="F28" s="288"/>
      <c r="G28" s="288"/>
      <c r="H28" s="288"/>
      <c r="I28" s="288"/>
      <c r="J28" s="288"/>
      <c r="K28" s="288"/>
      <c r="L28" s="288"/>
      <c r="M28" s="288"/>
      <c r="N28" s="288"/>
      <c r="O28" s="288"/>
      <c r="P28" s="288"/>
      <c r="Q28" s="288"/>
      <c r="R28" s="288"/>
      <c r="S28" s="288"/>
      <c r="T28" s="288"/>
      <c r="U28" s="288"/>
      <c r="V28" s="288"/>
      <c r="W28" s="288"/>
      <c r="X28" s="288"/>
      <c r="Y28" s="288"/>
      <c r="Z28" s="288"/>
      <c r="AA28" s="288"/>
      <c r="AB28" s="288"/>
      <c r="AC28" s="288"/>
      <c r="AD28" s="288"/>
      <c r="AE28" s="288"/>
      <c r="AF28" s="288"/>
      <c r="AG28" s="288"/>
      <c r="AH28" s="288"/>
      <c r="AI28" s="288"/>
      <c r="AJ28" s="288"/>
      <c r="AK28" s="288"/>
      <c r="AL28" s="288"/>
      <c r="AM28" s="288"/>
      <c r="AN28" s="288"/>
      <c r="AO28" s="288"/>
      <c r="AP28" s="288"/>
      <c r="AQ28" s="288"/>
      <c r="AR28" s="288"/>
      <c r="AS28" s="288"/>
    </row>
    <row r="29">
      <c r="A29" s="288"/>
      <c r="B29" s="288"/>
      <c r="C29" s="288"/>
      <c r="D29" s="288"/>
      <c r="E29" s="288"/>
      <c r="F29" s="288"/>
      <c r="G29" s="288"/>
      <c r="H29" s="288"/>
      <c r="I29" s="288"/>
      <c r="J29" s="288"/>
      <c r="K29" s="288"/>
      <c r="L29" s="288"/>
      <c r="M29" s="288"/>
      <c r="N29" s="288"/>
      <c r="O29" s="288"/>
      <c r="P29" s="288"/>
      <c r="Q29" s="288"/>
      <c r="R29" s="288"/>
      <c r="S29" s="288"/>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row>
    <row r="30">
      <c r="A30" s="288"/>
      <c r="B30" s="288"/>
      <c r="C30" s="288"/>
      <c r="D30" s="288"/>
      <c r="E30" s="288"/>
      <c r="F30" s="288"/>
      <c r="G30" s="288"/>
      <c r="H30" s="288"/>
      <c r="I30" s="288"/>
      <c r="J30" s="288"/>
      <c r="K30" s="288"/>
      <c r="L30" s="288"/>
      <c r="M30" s="288"/>
      <c r="N30" s="288"/>
      <c r="O30" s="288"/>
      <c r="P30" s="288"/>
      <c r="Q30" s="288"/>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row>
    <row r="31">
      <c r="A31" s="288"/>
      <c r="B31" s="288"/>
      <c r="C31" s="288"/>
      <c r="D31" s="288"/>
      <c r="E31" s="288"/>
      <c r="F31" s="288"/>
      <c r="G31" s="288"/>
      <c r="H31" s="288"/>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row>
    <row r="32">
      <c r="A32" s="288"/>
      <c r="B32" s="288"/>
      <c r="C32" s="288"/>
      <c r="D32" s="288"/>
      <c r="E32" s="288"/>
      <c r="F32" s="288"/>
      <c r="G32" s="288"/>
      <c r="H32" s="288"/>
      <c r="I32" s="288"/>
      <c r="J32" s="288"/>
      <c r="K32" s="288"/>
      <c r="L32" s="288"/>
      <c r="M32" s="288"/>
      <c r="N32" s="288"/>
      <c r="O32" s="288"/>
      <c r="P32" s="288"/>
      <c r="Q32" s="288"/>
      <c r="R32" s="288"/>
      <c r="S32" s="288"/>
      <c r="T32" s="288"/>
      <c r="U32" s="288"/>
      <c r="V32" s="288"/>
      <c r="W32" s="288"/>
      <c r="X32" s="288"/>
      <c r="Y32" s="288"/>
      <c r="Z32" s="288"/>
      <c r="AA32" s="288"/>
      <c r="AB32" s="288"/>
      <c r="AC32" s="288"/>
      <c r="AD32" s="288"/>
      <c r="AE32" s="288"/>
      <c r="AF32" s="288"/>
      <c r="AG32" s="288"/>
      <c r="AH32" s="288"/>
      <c r="AI32" s="288"/>
      <c r="AJ32" s="288"/>
      <c r="AK32" s="288"/>
      <c r="AL32" s="288"/>
      <c r="AM32" s="288"/>
      <c r="AN32" s="288"/>
      <c r="AO32" s="288"/>
      <c r="AP32" s="288"/>
      <c r="AQ32" s="288"/>
      <c r="AR32" s="288"/>
      <c r="AS32" s="288"/>
    </row>
    <row r="33">
      <c r="A33" s="288"/>
      <c r="B33" s="288"/>
      <c r="C33" s="288"/>
      <c r="D33" s="288"/>
      <c r="E33" s="288"/>
      <c r="F33" s="288"/>
      <c r="G33" s="288"/>
      <c r="H33" s="288"/>
      <c r="I33" s="288"/>
      <c r="J33" s="288"/>
      <c r="K33" s="288"/>
      <c r="L33" s="288"/>
      <c r="M33" s="288"/>
      <c r="N33" s="288"/>
      <c r="O33" s="288"/>
      <c r="P33" s="288"/>
      <c r="Q33" s="288"/>
      <c r="R33" s="288"/>
      <c r="S33" s="288"/>
      <c r="T33" s="288"/>
      <c r="U33" s="288"/>
      <c r="V33" s="288"/>
      <c r="W33" s="288"/>
      <c r="X33" s="288"/>
      <c r="Y33" s="288"/>
      <c r="Z33" s="288"/>
      <c r="AA33" s="288"/>
      <c r="AB33" s="288"/>
      <c r="AC33" s="288"/>
      <c r="AD33" s="288"/>
      <c r="AE33" s="288"/>
      <c r="AF33" s="288"/>
      <c r="AG33" s="288"/>
      <c r="AH33" s="288"/>
      <c r="AI33" s="288"/>
      <c r="AJ33" s="288"/>
      <c r="AK33" s="288"/>
      <c r="AL33" s="288"/>
      <c r="AM33" s="288"/>
      <c r="AN33" s="288"/>
      <c r="AO33" s="288"/>
      <c r="AP33" s="288"/>
      <c r="AQ33" s="288"/>
      <c r="AR33" s="288"/>
      <c r="AS33" s="288"/>
    </row>
    <row r="34">
      <c r="A34" s="288"/>
      <c r="B34" s="288"/>
      <c r="C34" s="288"/>
      <c r="D34" s="288"/>
      <c r="E34" s="288"/>
      <c r="F34" s="288"/>
      <c r="G34" s="288"/>
      <c r="H34" s="288"/>
      <c r="I34" s="288"/>
      <c r="J34" s="288"/>
      <c r="K34" s="288"/>
      <c r="L34" s="288"/>
      <c r="M34" s="288"/>
      <c r="N34" s="288"/>
      <c r="O34" s="288"/>
      <c r="P34" s="288"/>
      <c r="Q34" s="288"/>
      <c r="R34" s="288"/>
      <c r="S34" s="288"/>
      <c r="T34" s="288"/>
      <c r="U34" s="288"/>
      <c r="V34" s="288"/>
      <c r="W34" s="288"/>
      <c r="X34" s="288"/>
      <c r="Y34" s="288"/>
      <c r="Z34" s="288"/>
      <c r="AA34" s="288"/>
      <c r="AB34" s="288"/>
      <c r="AC34" s="288"/>
      <c r="AD34" s="288"/>
      <c r="AE34" s="288"/>
      <c r="AF34" s="288"/>
      <c r="AG34" s="288"/>
      <c r="AH34" s="288"/>
      <c r="AI34" s="288"/>
      <c r="AJ34" s="288"/>
      <c r="AK34" s="288"/>
      <c r="AL34" s="288"/>
      <c r="AM34" s="288"/>
      <c r="AN34" s="288"/>
      <c r="AO34" s="288"/>
      <c r="AP34" s="288"/>
      <c r="AQ34" s="288"/>
      <c r="AR34" s="288"/>
      <c r="AS34" s="288"/>
    </row>
    <row r="35">
      <c r="A35" s="288"/>
      <c r="B35" s="288"/>
      <c r="C35" s="288"/>
      <c r="D35" s="288"/>
      <c r="E35" s="288"/>
      <c r="F35" s="288"/>
      <c r="G35" s="288"/>
      <c r="H35" s="288"/>
      <c r="I35" s="288"/>
      <c r="J35" s="288"/>
      <c r="K35" s="288"/>
      <c r="L35" s="288"/>
      <c r="M35" s="288"/>
      <c r="N35" s="288"/>
      <c r="O35" s="288"/>
      <c r="P35" s="288"/>
      <c r="Q35" s="288"/>
      <c r="R35" s="288"/>
      <c r="S35" s="288"/>
      <c r="T35" s="288"/>
      <c r="U35" s="288"/>
      <c r="V35" s="288"/>
      <c r="W35" s="288"/>
      <c r="X35" s="288"/>
      <c r="Y35" s="288"/>
      <c r="Z35" s="288"/>
      <c r="AA35" s="288"/>
      <c r="AB35" s="288"/>
      <c r="AC35" s="288"/>
      <c r="AD35" s="288"/>
      <c r="AE35" s="288"/>
      <c r="AF35" s="288"/>
      <c r="AG35" s="288"/>
      <c r="AH35" s="288"/>
      <c r="AI35" s="288"/>
      <c r="AJ35" s="288"/>
      <c r="AK35" s="288"/>
      <c r="AL35" s="288"/>
      <c r="AM35" s="288"/>
      <c r="AN35" s="288"/>
      <c r="AO35" s="288"/>
      <c r="AP35" s="288"/>
      <c r="AQ35" s="288"/>
      <c r="AR35" s="288"/>
      <c r="AS35" s="288"/>
    </row>
    <row r="36">
      <c r="A36" s="288"/>
      <c r="B36" s="288"/>
      <c r="C36" s="288"/>
      <c r="D36" s="288"/>
      <c r="E36" s="288"/>
      <c r="F36" s="288"/>
      <c r="G36" s="288"/>
      <c r="H36" s="288"/>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88"/>
      <c r="AK36" s="288"/>
      <c r="AL36" s="288"/>
      <c r="AM36" s="288"/>
      <c r="AN36" s="288"/>
      <c r="AO36" s="288"/>
      <c r="AP36" s="288"/>
      <c r="AQ36" s="288"/>
      <c r="AR36" s="288"/>
      <c r="AS36" s="288"/>
    </row>
    <row r="37">
      <c r="A37" s="288"/>
      <c r="B37" s="288"/>
      <c r="C37" s="288"/>
      <c r="D37" s="288"/>
      <c r="E37" s="288"/>
      <c r="F37" s="288"/>
      <c r="G37" s="288"/>
      <c r="H37" s="288"/>
      <c r="I37" s="288"/>
      <c r="J37" s="288"/>
      <c r="K37" s="288"/>
      <c r="L37" s="288"/>
      <c r="M37" s="288"/>
      <c r="N37" s="288"/>
      <c r="O37" s="288"/>
      <c r="P37" s="288"/>
      <c r="Q37" s="288"/>
      <c r="R37" s="288"/>
      <c r="S37" s="288"/>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row>
    <row r="38">
      <c r="A38" s="288"/>
      <c r="B38" s="288"/>
      <c r="C38" s="288"/>
      <c r="D38" s="288"/>
      <c r="E38" s="288"/>
      <c r="F38" s="288"/>
      <c r="G38" s="288"/>
      <c r="H38" s="288"/>
      <c r="I38" s="288"/>
      <c r="J38" s="288"/>
      <c r="K38" s="288"/>
      <c r="L38" s="288"/>
      <c r="M38" s="288"/>
      <c r="N38" s="288"/>
      <c r="O38" s="288"/>
      <c r="P38" s="288"/>
      <c r="Q38" s="288"/>
      <c r="R38" s="288"/>
      <c r="S38" s="288"/>
      <c r="T38" s="288"/>
      <c r="U38" s="288"/>
      <c r="V38" s="288"/>
      <c r="W38" s="288"/>
      <c r="X38" s="288"/>
      <c r="Y38" s="288"/>
      <c r="Z38" s="288"/>
      <c r="AA38" s="288"/>
      <c r="AB38" s="288"/>
      <c r="AC38" s="288"/>
      <c r="AD38" s="288"/>
      <c r="AE38" s="288"/>
      <c r="AF38" s="288"/>
      <c r="AG38" s="288"/>
      <c r="AH38" s="288"/>
      <c r="AI38" s="288"/>
      <c r="AJ38" s="288"/>
      <c r="AK38" s="288"/>
      <c r="AL38" s="288"/>
      <c r="AM38" s="288"/>
      <c r="AN38" s="288"/>
      <c r="AO38" s="288"/>
      <c r="AP38" s="288"/>
      <c r="AQ38" s="288"/>
      <c r="AR38" s="288"/>
      <c r="AS38" s="288"/>
    </row>
    <row r="39">
      <c r="A39" s="288"/>
      <c r="B39" s="288"/>
      <c r="C39" s="288"/>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row>
    <row r="40">
      <c r="A40" s="288"/>
      <c r="B40" s="288"/>
      <c r="C40" s="288"/>
      <c r="D40" s="288"/>
      <c r="E40" s="288"/>
      <c r="F40" s="288"/>
      <c r="G40" s="288"/>
      <c r="H40" s="288"/>
      <c r="I40" s="288"/>
      <c r="J40" s="288"/>
      <c r="K40" s="288"/>
      <c r="L40" s="288"/>
      <c r="M40" s="288"/>
      <c r="N40" s="288"/>
      <c r="O40" s="288"/>
      <c r="P40" s="288"/>
      <c r="Q40" s="288"/>
      <c r="R40" s="288"/>
      <c r="S40" s="288"/>
      <c r="T40" s="288"/>
      <c r="U40" s="288"/>
      <c r="V40" s="288"/>
      <c r="W40" s="288"/>
      <c r="X40" s="288"/>
      <c r="Y40" s="288"/>
      <c r="Z40" s="288"/>
      <c r="AA40" s="288"/>
      <c r="AB40" s="288"/>
      <c r="AC40" s="288"/>
      <c r="AD40" s="288"/>
      <c r="AE40" s="288"/>
      <c r="AF40" s="288"/>
      <c r="AG40" s="288"/>
      <c r="AH40" s="288"/>
      <c r="AI40" s="288"/>
      <c r="AJ40" s="288"/>
      <c r="AK40" s="288"/>
      <c r="AL40" s="288"/>
      <c r="AM40" s="288"/>
      <c r="AN40" s="288"/>
      <c r="AO40" s="288"/>
      <c r="AP40" s="288"/>
      <c r="AQ40" s="288"/>
      <c r="AR40" s="288"/>
      <c r="AS40" s="288"/>
    </row>
    <row r="41">
      <c r="A41" s="288"/>
      <c r="B41" s="288"/>
      <c r="C41" s="288"/>
      <c r="D41" s="288"/>
      <c r="E41" s="288"/>
      <c r="F41" s="288"/>
      <c r="G41" s="288"/>
      <c r="H41" s="288"/>
      <c r="I41" s="288"/>
      <c r="J41" s="288"/>
      <c r="K41" s="288"/>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row>
    <row r="42">
      <c r="A42" s="288"/>
      <c r="B42" s="288"/>
      <c r="C42" s="288"/>
      <c r="D42" s="288"/>
      <c r="E42" s="288"/>
      <c r="F42" s="288"/>
      <c r="G42" s="288"/>
      <c r="H42" s="288"/>
      <c r="I42" s="288"/>
      <c r="J42" s="288"/>
      <c r="K42" s="288"/>
      <c r="L42" s="288"/>
      <c r="M42" s="288"/>
      <c r="N42" s="288"/>
      <c r="O42" s="288"/>
      <c r="P42" s="288"/>
      <c r="Q42" s="288"/>
      <c r="R42" s="288"/>
      <c r="S42" s="288"/>
      <c r="T42" s="288"/>
      <c r="U42" s="288"/>
      <c r="V42" s="288"/>
      <c r="W42" s="288"/>
      <c r="X42" s="288"/>
      <c r="Y42" s="288"/>
      <c r="Z42" s="288"/>
      <c r="AA42" s="288"/>
      <c r="AB42" s="288"/>
      <c r="AC42" s="288"/>
      <c r="AD42" s="288"/>
      <c r="AE42" s="288"/>
      <c r="AF42" s="288"/>
      <c r="AG42" s="288"/>
      <c r="AH42" s="288"/>
      <c r="AI42" s="288"/>
      <c r="AJ42" s="288"/>
      <c r="AK42" s="288"/>
      <c r="AL42" s="288"/>
      <c r="AM42" s="288"/>
      <c r="AN42" s="288"/>
      <c r="AO42" s="288"/>
      <c r="AP42" s="288"/>
      <c r="AQ42" s="288"/>
      <c r="AR42" s="288"/>
      <c r="AS42" s="288"/>
    </row>
    <row r="43"/>
    <row r="44"/>
    <row r="45"/>
  </sheetData>
  <mergeCells count="7">
    <mergeCell ref="B1:K3"/>
    <mergeCell ref="L1:AI3"/>
    <mergeCell ref="AJ1:AR1"/>
    <mergeCell ref="AJ2:AR2"/>
    <mergeCell ref="AJ3:AR3"/>
    <mergeCell ref="B4:AI4"/>
    <mergeCell ref="AJ4:AR4"/>
  </mergeCells>
  <drawing r:id="rId1"/>
</worksheet>
</file>