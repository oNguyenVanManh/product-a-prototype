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Master" sheetId="1" r:id="rId4"/>
    <sheet state="visible" name="History" sheetId="2" r:id="rId5"/>
    <sheet state="visible" name="Template Compliance" sheetId="3" r:id="rId6"/>
    <sheet state="visible" name="Sun QMS Master List" sheetId="4" r:id="rId7"/>
    <sheet state="visible" name="Shared drives_FolderStructure &amp;" sheetId="5" r:id="rId8"/>
    <sheet state="hidden" name="OLD Shared drives_AccessMatrix " sheetId="6" r:id="rId9"/>
    <sheet state="hidden" name="My drive_FolderStructure &amp; Acce" sheetId="7" r:id="rId10"/>
    <sheet state="visible" name="SUN GSuite Kit Guideline tạo th" sheetId="8" r:id="rId11"/>
    <sheet state="hidden" name="GuidelineCopy Thư Mục Dự Án " sheetId="9" r:id="rId12"/>
  </sheets>
  <definedNames>
    <definedName hidden="1" localSheetId="1" name="Z_94FC4379_796E_49E8_B743_3DD5E15ECD1E_.wvu.FilterData">History!$A$1:$E$47</definedName>
    <definedName hidden="1" localSheetId="1" name="Z_536DBF9F_0413_4E4D_BA35_64C316213015_.wvu.FilterData">History!$A$1:$E$34</definedName>
    <definedName hidden="1" localSheetId="1" name="Z_D0599BAE_BEB9_4321_BB9F_8C17AE0280D4_.wvu.FilterData">History!$A$2:$R$34</definedName>
    <definedName hidden="1" localSheetId="1" name="Z_9AC8A14D_781E_4CDF_8294_647D95B2B48B_.wvu.FilterData">History!$A$2:$R$47</definedName>
    <definedName hidden="1" localSheetId="1" name="Z_28A21E74_0314_487F_A026_418004A6C8C1_.wvu.FilterData">History!$G$26</definedName>
    <definedName hidden="1" localSheetId="1" name="Z_E654B9F2_BD0B_41F9_B423_F73B734C4483_.wvu.FilterData">History!$A$2:$R$34</definedName>
    <definedName hidden="1" localSheetId="1" name="Z_64E66547_C49B_4A4F_8E07_02B565A34976_.wvu.FilterData">History!$A$1:$E$34</definedName>
    <definedName hidden="1" localSheetId="1" name="Z_1E8EF8BB_BBA0_4699_839C_15749A83D305_.wvu.FilterData">History!$H$10</definedName>
    <definedName hidden="1" localSheetId="1" name="Z_AED64F63_9875_4430_A7D1_2712F38A1108_.wvu.FilterData">History!$A$2:$R$47</definedName>
  </definedNames>
  <calcPr/>
  <customWorkbookViews>
    <customWorkbookView activeSheetId="0" maximized="1" windowHeight="0" windowWidth="0" guid="{94FC4379-796E-49E8-B743-3DD5E15ECD1E}" name="Filter 6"/>
    <customWorkbookView activeSheetId="0" maximized="1" windowHeight="0" windowWidth="0" guid="{536DBF9F-0413-4E4D-BA35-64C316213015}" name="Filter 1"/>
    <customWorkbookView activeSheetId="0" maximized="1" windowHeight="0" windowWidth="0" guid="{D0599BAE-BEB9-4321-BB9F-8C17AE0280D4}" name="Filter 5"/>
    <customWorkbookView activeSheetId="0" maximized="1" windowHeight="0" windowWidth="0" guid="{9AC8A14D-781E-4CDF-8294-647D95B2B48B}" name="Filter 7"/>
    <customWorkbookView activeSheetId="0" maximized="1" windowHeight="0" windowWidth="0" guid="{28A21E74-0314-487F-A026-418004A6C8C1}" name="Filter 2"/>
    <customWorkbookView activeSheetId="0" maximized="1" windowHeight="0" windowWidth="0" guid="{E654B9F2-BD0B-41F9-B423-F73B734C4483}" name="Filter 3"/>
    <customWorkbookView activeSheetId="0" maximized="1" windowHeight="0" windowWidth="0" guid="{64E66547-C49B-4A4F-8E07-02B565A34976}" name="New_SPF v2.0"/>
    <customWorkbookView activeSheetId="0" maximized="1" windowHeight="0" windowWidth="0" guid="{1E8EF8BB-BBA0-4699-839C-15749A83D305}" name="Filter 4"/>
    <customWorkbookView activeSheetId="0" maximized="1" windowHeight="0" windowWidth="0" guid="{AED64F63-9875-4430-A7D1-2712F38A1108}" name="Ban hành 11/08/2021"/>
  </customWorkbookViews>
</workbook>
</file>

<file path=xl/sharedStrings.xml><?xml version="1.0" encoding="utf-8"?>
<sst xmlns="http://schemas.openxmlformats.org/spreadsheetml/2006/main" count="3377" uniqueCount="439">
  <si>
    <t>1st Folder</t>
  </si>
  <si>
    <t>Project Planning</t>
  </si>
  <si>
    <t>Project Execution</t>
  </si>
  <si>
    <t>No.</t>
  </si>
  <si>
    <t>Project Control</t>
  </si>
  <si>
    <t>Project Release</t>
  </si>
  <si>
    <t>Project Close</t>
  </si>
  <si>
    <t>2nd folder</t>
  </si>
  <si>
    <t>3rd folder</t>
  </si>
  <si>
    <t>4th</t>
  </si>
  <si>
    <t>5th</t>
  </si>
  <si>
    <t>01_For External</t>
  </si>
  <si>
    <t>All Templates</t>
  </si>
  <si>
    <t>No</t>
  </si>
  <si>
    <t>Type</t>
  </si>
  <si>
    <t>Issued Date</t>
  </si>
  <si>
    <t>Folder</t>
  </si>
  <si>
    <t>HOW</t>
  </si>
  <si>
    <t>Type of change</t>
  </si>
  <si>
    <t>Document</t>
  </si>
  <si>
    <t>Code</t>
  </si>
  <si>
    <t>01_For External / 01_Estimation</t>
  </si>
  <si>
    <t>Level of Compliance</t>
  </si>
  <si>
    <t>[###(ProjectID)] ProjectName - Data Encryption Checklist</t>
  </si>
  <si>
    <t>Level of Customization</t>
  </si>
  <si>
    <t>Note</t>
  </si>
  <si>
    <t>23/12/2024</t>
  </si>
  <si>
    <t>01_Estimation (file)</t>
  </si>
  <si>
    <t>Upgrade</t>
  </si>
  <si>
    <t>Access Matrix</t>
  </si>
  <si>
    <t>Standard Project Folder Structure File</t>
  </si>
  <si>
    <t>BM-2-901-01</t>
  </si>
  <si>
    <t>02_Cost (file)</t>
  </si>
  <si>
    <t>01_For External / 02_Account&amp;Key</t>
  </si>
  <si>
    <t>01_For External / 03_Customer Supplied</t>
  </si>
  <si>
    <t>[###(ProjectID)] ProjectName - Effort Estimation WBS</t>
  </si>
  <si>
    <t>01_JP</t>
  </si>
  <si>
    <t>02_VN</t>
  </si>
  <si>
    <t>01_For External / 04_Deliverable</t>
  </si>
  <si>
    <t>02_For Internal</t>
  </si>
  <si>
    <t>02_For Internal / 01_Management</t>
  </si>
  <si>
    <t>01_Schedule</t>
  </si>
  <si>
    <t>[###(ProjectID)] ProjectName - Final inspection checklist</t>
  </si>
  <si>
    <t>02_Kickoff Document (new)</t>
  </si>
  <si>
    <t>BM-2-901-06</t>
  </si>
  <si>
    <t>-</t>
  </si>
  <si>
    <t>[###(ProjectID)] ProjectName - Effort Estimation YYYYMMDD</t>
  </si>
  <si>
    <t>03_Quality &amp; Security Control</t>
  </si>
  <si>
    <t>MUST have</t>
  </si>
  <si>
    <t>01_Risk Management</t>
  </si>
  <si>
    <t>Uncustomizable</t>
  </si>
  <si>
    <t>02_Quality &amp; Security Evaluation</t>
  </si>
  <si>
    <t>[###(ProjectID)] ProjectName - Release Note YYYYMMDD</t>
  </si>
  <si>
    <t>BM-2-901-22</t>
  </si>
  <si>
    <t>15/05/2020</t>
  </si>
  <si>
    <t>[###(ProjectID)] ProjectName - Effort Estimation QA</t>
  </si>
  <si>
    <t>03_Incident Report &amp; Customer Survey</t>
  </si>
  <si>
    <t>BM-2-901-23</t>
  </si>
  <si>
    <t>[###(ProjectID)] ProjectName - Project closure security</t>
  </si>
  <si>
    <t>[###(ProjectID)] ProjectName - WBS Schedule</t>
  </si>
  <si>
    <t>04_OrganizationalInfo/ MemberInfo</t>
  </si>
  <si>
    <t>Template</t>
  </si>
  <si>
    <t>05_ProjectMeeting</t>
  </si>
  <si>
    <t>BM-2-901-07</t>
  </si>
  <si>
    <t>06_Report</t>
  </si>
  <si>
    <t>07_Device management</t>
  </si>
  <si>
    <t>New</t>
  </si>
  <si>
    <t>08_Checklist</t>
  </si>
  <si>
    <t>02_For Internal / 02_Spec&amp;Design</t>
  </si>
  <si>
    <t>Customizable</t>
  </si>
  <si>
    <t>[###(ProjectID)] ProjectName - WBS Schedule_no script</t>
  </si>
  <si>
    <t xml:space="preserve">[###(ProjectID)] ProjectName - Test case review checklist </t>
  </si>
  <si>
    <t>01_System Design</t>
  </si>
  <si>
    <t>02_Design (UI/UX)</t>
  </si>
  <si>
    <t>03_Database</t>
  </si>
  <si>
    <t>04_Infra</t>
  </si>
  <si>
    <t>[###(ProjectID)] ProjectName - Incident Checklist</t>
  </si>
  <si>
    <t>05_Other</t>
  </si>
  <si>
    <t>02_For Internal / 03_Q&amp;A</t>
  </si>
  <si>
    <t>BM-2-901-37</t>
  </si>
  <si>
    <t>[###(ProjectID)] ProjectName - Biên bản Kick off Dự án</t>
  </si>
  <si>
    <t>02_For Internal / 04_Dev_guideline</t>
  </si>
  <si>
    <t>02_For Internal / 05_Test</t>
  </si>
  <si>
    <t>01_Test Viewpoint (file)</t>
  </si>
  <si>
    <t>02_Testcases</t>
  </si>
  <si>
    <t>[###(ProjectID)] ProjectName - Project Member Leaving Checklist</t>
  </si>
  <si>
    <t>BM-2-901-04</t>
  </si>
  <si>
    <t>[###(ProjectID)] ProjectName - Business Research</t>
  </si>
  <si>
    <t>03_Others</t>
  </si>
  <si>
    <t>02_For Internal / 06_Release</t>
  </si>
  <si>
    <t>[###(ProjectID)] ProjectName - Review Code Checklist for Reviewer</t>
  </si>
  <si>
    <t>01_Version◯◯</t>
  </si>
  <si>
    <t>BM-2-901-34</t>
  </si>
  <si>
    <t>02_For Internal / 07_Others</t>
  </si>
  <si>
    <t>[###(ProjectID)] ProjectName - Risk management</t>
  </si>
  <si>
    <t>[Temp]  [ProjectName] Release Process YYYYMMDD</t>
  </si>
  <si>
    <t>[###(ProjectID)] ProjectName - Project Handover</t>
  </si>
  <si>
    <t>BM-2-901-05</t>
  </si>
  <si>
    <t>[###(ProjectID)] ProjectName - Member Info</t>
  </si>
  <si>
    <t>[ProjectID][Project Name]_Blockchain Checklist</t>
  </si>
  <si>
    <t>BM-2-901-02</t>
  </si>
  <si>
    <t>[###(ProjectID)] ProjectName - Project New Member</t>
  </si>
  <si>
    <t>BM-2-901-39</t>
  </si>
  <si>
    <t>[###(ProjectID)] ProjectName - Device Management</t>
  </si>
  <si>
    <t>[###(ProjectID)] ProjectName - Project Insight Deck - Basic ver 3.0 - version JP</t>
  </si>
  <si>
    <t>[###(ProjectID)] ProjectName - Q&amp;A List</t>
  </si>
  <si>
    <t>[###(ProjectID)] ProjectName - Weekly Report</t>
  </si>
  <si>
    <t>BM-2-901-20</t>
  </si>
  <si>
    <t>Keep</t>
  </si>
  <si>
    <t>[###(ProjectID)] ProjectName - Record of test device tracking</t>
  </si>
  <si>
    <t>[###(ProjectID)] ProjectName - Project Insight Deck - Basic ver 3.0 - version EN</t>
  </si>
  <si>
    <t>BM-2-011-04</t>
  </si>
  <si>
    <t>BM-2-901-08</t>
  </si>
  <si>
    <t>[###(ProjectID)] ProjectName - Test Viewpoint</t>
  </si>
  <si>
    <t>ACCESS MATRIX</t>
  </si>
  <si>
    <t>BM-2-901-09</t>
  </si>
  <si>
    <t>[###(ProjectID)] ProjectName - CR Management</t>
  </si>
  <si>
    <t>BM-2-901-10</t>
  </si>
  <si>
    <t>[###(ProjectID)] ProjectName - Checklist - [ScreenID][Screen Name]</t>
  </si>
  <si>
    <t>BM-2-901-12</t>
  </si>
  <si>
    <t>[###(ProjectID)] ProjectName - Testcase - [ScreenID][Screen Name]</t>
  </si>
  <si>
    <t>BM-2-901-13</t>
  </si>
  <si>
    <t>[###(ProjectID)] ProjectName - TestReport_YYYYMMDD</t>
  </si>
  <si>
    <t>SUN ASTERISK VIETNAM CO., LTD</t>
  </si>
  <si>
    <t>BM-2-901-14</t>
  </si>
  <si>
    <t>BM-2-901-15</t>
  </si>
  <si>
    <t>[###(ProjectID)] ProjectName - 5 whys Analysis YYYYMMDD</t>
  </si>
  <si>
    <r>
      <rPr>
        <rFont val="Times New Roman"/>
        <b/>
        <sz val="11.0"/>
      </rPr>
      <t xml:space="preserve">STANDARD STRUCTURE
</t>
    </r>
    <r>
      <rPr>
        <rFont val="Times New Roman"/>
        <b/>
        <color rgb="FF1155CC"/>
        <sz val="11.0"/>
        <u/>
      </rPr>
      <t>Standard Folder Link</t>
    </r>
  </si>
  <si>
    <t>BM-2-901-21</t>
  </si>
  <si>
    <t>Checklist</t>
  </si>
  <si>
    <t>Should have</t>
  </si>
  <si>
    <t>[###(ProjectID)] ProjectName - Test Device Management</t>
  </si>
  <si>
    <t>BM-2-901-18</t>
  </si>
  <si>
    <t>DESCRIPTION</t>
  </si>
  <si>
    <r>
      <rPr>
        <rFont val="Times New Roman"/>
        <b/>
        <color rgb="FF000000"/>
        <sz val="11.0"/>
      </rPr>
      <t xml:space="preserve">ACCESS MATRIX IN PROJECT  SHARED DRIVES
</t>
    </r>
    <r>
      <rPr>
        <rFont val="Times New Roman"/>
        <color rgb="FF000000"/>
        <sz val="11.0"/>
      </rPr>
      <t xml:space="preserve">Blank: No share/can't access         Manager: Full right         Content Manager: Edit right         Contributor: Edit specific file
Commenter: View and comment specific file         Viewer: View only          </t>
    </r>
    <r>
      <rPr>
        <rFont val="Times New Roman"/>
        <color rgb="FFA64D79"/>
        <sz val="11.0"/>
      </rPr>
      <t>-:  Auto have the same access level with parent folder</t>
    </r>
  </si>
  <si>
    <t>BM-2-901-19</t>
  </si>
  <si>
    <t>Ref:
SHARED DRIVE ACCESS LEVEL</t>
  </si>
  <si>
    <t>[###(ProjectID)] ProjectName - OSS License Management</t>
  </si>
  <si>
    <t>Roles SVN</t>
  </si>
  <si>
    <t>[###(ProjectID)] ProjectName - Retrospective Meeting</t>
  </si>
  <si>
    <t>Client</t>
  </si>
  <si>
    <t>BM-2-901-25</t>
  </si>
  <si>
    <t>SDM/ PL</t>
  </si>
  <si>
    <t>BrSE/ Comtor/
Technical Leader/ 
QA Leader</t>
  </si>
  <si>
    <t>Developer/ 
QA member</t>
  </si>
  <si>
    <t>Infra/ TSU/ Designer/ PIC of supporting project</t>
  </si>
  <si>
    <t>Heads of C&amp;E</t>
  </si>
  <si>
    <t>Heads of C&amp;E VN</t>
  </si>
  <si>
    <t>PAO/ PEC</t>
  </si>
  <si>
    <t>BM-2-901-26</t>
  </si>
  <si>
    <t>ISO</t>
  </si>
  <si>
    <t>LRM</t>
  </si>
  <si>
    <t>Internal Audit</t>
  </si>
  <si>
    <t>Permission</t>
  </si>
  <si>
    <t>Manager</t>
  </si>
  <si>
    <t>Content manager</t>
  </si>
  <si>
    <t>BM-2-901-36</t>
  </si>
  <si>
    <t>Contributor</t>
  </si>
  <si>
    <t>Commenter</t>
  </si>
  <si>
    <t>Viewer</t>
  </si>
  <si>
    <t>Roles SJP</t>
  </si>
  <si>
    <t xml:space="preserve">MUST have với các dự án là fixed price, và Should have với các dự án Lab </t>
  </si>
  <si>
    <t>BM-2-901-29</t>
  </si>
  <si>
    <t>[###(ProjectID)] ProjectName - Meeting Minutes</t>
  </si>
  <si>
    <t>UM/PM</t>
  </si>
  <si>
    <t>PM/ BrSE/ Lead Engineer</t>
  </si>
  <si>
    <t>Engineer</t>
  </si>
  <si>
    <t>I&amp;S</t>
  </si>
  <si>
    <t>BM-2-901-30</t>
  </si>
  <si>
    <t>Group mail</t>
  </si>
  <si>
    <t>[###(ProjectID)] ProjectName -  Account &amp; Key</t>
  </si>
  <si>
    <t>Link folder</t>
  </si>
  <si>
    <t>###.projectname.clients@sun-asterisk.com</t>
  </si>
  <si>
    <t>ce.cevc#.sdm@sun-asterisk.com</t>
  </si>
  <si>
    <t>###.projectname.leaders@sun-asterisk.com</t>
  </si>
  <si>
    <t>###.projectname.members@sun-asterisk.com</t>
  </si>
  <si>
    <t>###.projectname.extendedmembers@sun-asterisk.com</t>
  </si>
  <si>
    <t>BM-2-901-31</t>
  </si>
  <si>
    <t>21/02/2025</t>
  </si>
  <si>
    <t>ce.heads@sun-asterisk.com</t>
  </si>
  <si>
    <t>[###(ProjectID)] ProjectName - Project Task List_VN</t>
  </si>
  <si>
    <t>ce.cev.heads@sun-asterisk.com</t>
  </si>
  <si>
    <t>ce.pao.pec.members@sun-asterisk.com</t>
  </si>
  <si>
    <t>iso@sun-asterisk.com</t>
  </si>
  <si>
    <t>bao.fcov.rm.members@sun-asterisk.com</t>
  </si>
  <si>
    <t>h-internal_audit_office@sun-asterisk.com</t>
  </si>
  <si>
    <t>[###(ProjectID)] ProjectName - KPI Project Data</t>
  </si>
  <si>
    <t>BM-2-901-32</t>
  </si>
  <si>
    <t xml:space="preserve">bao2.baj05_information_system@sun-asterisk.com </t>
  </si>
  <si>
    <t>[###] ProjectName</t>
  </si>
  <si>
    <t>BM-2-901-33</t>
  </si>
  <si>
    <t>[###(ProjectID)] ProjectName - Communication Plan</t>
  </si>
  <si>
    <t>BM-2-901-38</t>
  </si>
  <si>
    <t>[###(ProjectID)] ProjectName - Screen Specification</t>
  </si>
  <si>
    <t>BM-2-901-40</t>
  </si>
  <si>
    <t xml:space="preserve">                                                                                                                                                                                                                </t>
  </si>
  <si>
    <t>Can view files and folders</t>
  </si>
  <si>
    <t>✔</t>
  </si>
  <si>
    <t>[###(ProjectID)] ProjectName - Customer Satisfaction Survey form</t>
  </si>
  <si>
    <t>BM-2-901-41</t>
  </si>
  <si>
    <t>[###(ProjectID)] ProjectName - Milestones</t>
  </si>
  <si>
    <t>Must have in every project that SVN team do the release and receive the approval of the customers about this</t>
  </si>
  <si>
    <r>
      <rPr>
        <rFont val="Times New Roman"/>
        <b/>
        <color rgb="FFFF0000"/>
        <sz val="11.0"/>
      </rPr>
      <t>[###_ProjectName]</t>
    </r>
    <r>
      <rPr>
        <rFont val="Times New Roman"/>
        <b/>
        <sz val="11.0"/>
      </rPr>
      <t xml:space="preserve"> 01_For External</t>
    </r>
  </si>
  <si>
    <t>BM-2-901-42</t>
  </si>
  <si>
    <t>[###(ProjectID)] ProjectName - Member Info for Bidding stage</t>
  </si>
  <si>
    <t>Thư mục giao tiếp với khách hàng, stakeholder</t>
  </si>
  <si>
    <t>BM-2-901-44</t>
  </si>
  <si>
    <t>Can comment on files</t>
  </si>
  <si>
    <t>[###(ProjectID)] ProjectName - API Design</t>
  </si>
  <si>
    <t>01_Estimation</t>
  </si>
  <si>
    <t>BM-2-901-45</t>
  </si>
  <si>
    <t>Thư mục chứa WBS Estimation và Cost Estimation để thoả thuận với khách hàng</t>
  </si>
  <si>
    <t>Can edit files</t>
  </si>
  <si>
    <t>BM-2-901-48</t>
  </si>
  <si>
    <t>[###(ProjectID)] ProjectName - Database Design</t>
  </si>
  <si>
    <r>
      <rPr>
        <rFont val="Times New Roman"/>
        <color rgb="FFFF0000"/>
        <sz val="11.0"/>
      </rPr>
      <t xml:space="preserve">[###_ProjectName] </t>
    </r>
    <r>
      <rPr>
        <rFont val="Times New Roman"/>
        <sz val="11.0"/>
      </rPr>
      <t>01_Effort Estimation</t>
    </r>
  </si>
  <si>
    <t>BM-2-901-50</t>
  </si>
  <si>
    <t>[###(ProjectID)] ProjectName - Detail Design</t>
  </si>
  <si>
    <t>Can create and add files, can create folders</t>
  </si>
  <si>
    <t>BM-2-901-51</t>
  </si>
  <si>
    <t>BM-2-901-52</t>
  </si>
  <si>
    <t xml:space="preserve">[###(ProjectID)] ProjectName - Function specifications </t>
  </si>
  <si>
    <t>BM-2-901-53</t>
  </si>
  <si>
    <t>Can add people and groups to specific files</t>
  </si>
  <si>
    <t>BM-2-901-54</t>
  </si>
  <si>
    <t>Can restore files from the Trash (up to 30 days)</t>
  </si>
  <si>
    <t>BM-2-901-55</t>
  </si>
  <si>
    <t>[###(ProjectID)] ProjectName - Security Requirement Management (for Development)</t>
  </si>
  <si>
    <t>BM-2-901-56</t>
  </si>
  <si>
    <t>Can move files from My Drive to a shared drive</t>
  </si>
  <si>
    <t>[###(ProjectID)] ProjectName_Non-Functional Standards _VN</t>
  </si>
  <si>
    <t>BM-2-901-57</t>
  </si>
  <si>
    <t>Hướng dẫn Quản lý Tài khoản Next Cloud</t>
  </si>
  <si>
    <t>2-904</t>
  </si>
  <si>
    <t>Hướng dẫn Sử dụng Hệ thống Next Cloud cho Quản trị viên</t>
  </si>
  <si>
    <t>[###(ProjectID)] ProjectName_Non-Functional Standards _EN</t>
  </si>
  <si>
    <t>N/A</t>
  </si>
  <si>
    <t>Hướng dẫn Sử dụng Hệ thống Next Cloud cho Người dùng</t>
  </si>
  <si>
    <r>
      <rPr>
        <rFont val="Times New Roman"/>
        <b/>
        <color rgb="FFFF0000"/>
        <sz val="11.0"/>
      </rPr>
      <t>[###_ProjectName]</t>
    </r>
    <r>
      <rPr>
        <rFont val="Times New Roman"/>
        <b/>
        <sz val="11.0"/>
      </rPr>
      <t xml:space="preserve"> 02_Account&amp;Key</t>
    </r>
  </si>
  <si>
    <t>Thư mục khách hàng cung cấp các key, account</t>
  </si>
  <si>
    <t>Duc</t>
  </si>
  <si>
    <t>BM-2-901-58</t>
  </si>
  <si>
    <r>
      <rPr>
        <rFont val="Arial"/>
        <color rgb="FF1155CC"/>
        <sz val="10.0"/>
        <u/>
      </rPr>
      <t>[###(ProjectID)] ProjectName - Project Task List_VN</t>
    </r>
    <r>
      <rPr>
        <rFont val="Arial"/>
        <color rgb="FF1155CC"/>
        <sz val="10.0"/>
        <u/>
      </rPr>
      <t xml:space="preserve">
</t>
    </r>
  </si>
  <si>
    <t>Can move files and folders within a shared drive</t>
  </si>
  <si>
    <t>BM-2-901-46</t>
  </si>
  <si>
    <t>Withdraw</t>
  </si>
  <si>
    <t>[###(ProjectID)] ProjectName - Project Insight Deck - Advanced ver</t>
  </si>
  <si>
    <t>Can add people and groups to specific folders in a shared drive</t>
  </si>
  <si>
    <r>
      <rPr>
        <rFont val="Times New Roman"/>
        <b/>
        <color rgb="FFFF0000"/>
        <sz val="11.0"/>
      </rPr>
      <t xml:space="preserve">[###_ProjectName] </t>
    </r>
    <r>
      <rPr>
        <rFont val="Times New Roman"/>
        <b/>
        <sz val="11.0"/>
      </rPr>
      <t>03_Client Supplied</t>
    </r>
  </si>
  <si>
    <t>BM-2-901-47</t>
  </si>
  <si>
    <t>Tất cả tài liệu khách hàng cung cấp mà chưa phân loại cụ thể</t>
  </si>
  <si>
    <t>Update</t>
  </si>
  <si>
    <t>[###(ProjectID)] ProjectName - Rules of project</t>
  </si>
  <si>
    <t>Can move files from one shared drive to another shared drive</t>
  </si>
  <si>
    <t>JP: phần khách hàng cung cấp</t>
  </si>
  <si>
    <t>BM-2-901-49</t>
  </si>
  <si>
    <t>Can add or remove members of a shared drive</t>
  </si>
  <si>
    <t>VN: Phần comtor/BrSE dịch ra</t>
  </si>
  <si>
    <t>(with Guide)</t>
  </si>
  <si>
    <t>Can change member access levels</t>
  </si>
  <si>
    <r>
      <rPr>
        <rFont val="Times New Roman"/>
        <b/>
        <color rgb="FFFF0000"/>
        <sz val="11.0"/>
      </rPr>
      <t xml:space="preserve">[###_ProjectName] </t>
    </r>
    <r>
      <rPr>
        <rFont val="Times New Roman"/>
        <b/>
        <sz val="11.0"/>
      </rPr>
      <t>04_Deliverable</t>
    </r>
  </si>
  <si>
    <t>BM-2-901-59</t>
  </si>
  <si>
    <t>Add new</t>
  </si>
  <si>
    <t xml:space="preserve">Copy các phần dùng để phục vụ release.
Như API, app,... Còn dự án dùng github để làm việc với khách thì thư mục này ko cần thiết </t>
  </si>
  <si>
    <t>BM-2-901-60</t>
  </si>
  <si>
    <t>Can permanently delete files in the Trash</t>
  </si>
  <si>
    <t>Risk Management Process</t>
  </si>
  <si>
    <r>
      <rPr>
        <rFont val="Times New Roman"/>
        <b/>
        <color rgb="FFFF0000"/>
        <sz val="11.0"/>
      </rPr>
      <t xml:space="preserve">[###_ProjectName] </t>
    </r>
    <r>
      <rPr>
        <rFont val="Times New Roman"/>
        <b/>
        <sz val="11.0"/>
      </rPr>
      <t>02_For Internal</t>
    </r>
  </si>
  <si>
    <t>BM-2-901-61</t>
  </si>
  <si>
    <t>[###(ProjectID)] ProjectName - Test Management</t>
  </si>
  <si>
    <t>Thư mục phục vụ cho phát triển project nội bộ</t>
  </si>
  <si>
    <t>BM-2-901-62</t>
  </si>
  <si>
    <t>[Reference document] - Testcase - Structure</t>
  </si>
  <si>
    <t>01_Management</t>
  </si>
  <si>
    <t xml:space="preserve">Dùng cho đối tượng quản lý dự án        </t>
  </si>
  <si>
    <t>[Reference document] Common Testcases</t>
  </si>
  <si>
    <t>HISTORY CHANGE of  v1.1 (27/06/2022)</t>
  </si>
  <si>
    <t>23/03/2026</t>
  </si>
  <si>
    <t>01: Detail schedule, Master schedule để phục vụ quản lý task</t>
  </si>
  <si>
    <t>Thay đổi quyền của group mail clients: 
- Quyền Content manager với toàn folder [###_ProjectName] 01_For External</t>
  </si>
  <si>
    <t>Thay đổi quyền của group mail leaders: 
- Quyền Content manager với shared drives dự án [###] ProjectName</t>
  </si>
  <si>
    <t>Thay đổi quyền của group mail members: 
- Quyền Contributor với toàn folder  [###_ProjectName] 02_For Internal
- Quyền Commenter với folder [###_ProjectName] 03_Client Supplied</t>
  </si>
  <si>
    <t>Bổ sung thêm các roles của SJP</t>
  </si>
  <si>
    <t>02_Project Insight Document</t>
  </si>
  <si>
    <t>02: Các tài liệu tổng quát về dự án đã thống nhất với KH</t>
  </si>
  <si>
    <t>Bổ sung thêm group mail extended members cho các vị trí Infra/ TSU/ Designer/ PIC of supporting project 
và phân quyền của group mail extended members</t>
  </si>
  <si>
    <r>
      <rPr>
        <rFont val="Times New Roman"/>
        <b/>
        <sz val="11.0"/>
      </rPr>
      <t xml:space="preserve">STANDARD STRUCTURE
</t>
    </r>
    <r>
      <rPr>
        <rFont val="Times New Roman"/>
        <b/>
        <color rgb="FF1155CC"/>
        <sz val="11.0"/>
        <u/>
      </rPr>
      <t>Standard Folder Link</t>
    </r>
  </si>
  <si>
    <t xml:space="preserve"> [###(ProjectID)] ProjectName - Test Management</t>
  </si>
  <si>
    <r>
      <rPr>
        <rFont val="Times New Roman"/>
        <b/>
        <color rgb="FF000000"/>
        <sz val="11.0"/>
      </rPr>
      <t xml:space="preserve">ACCESS MATRIX IN SHARED DRIVES
</t>
    </r>
    <r>
      <rPr>
        <rFont val="Times New Roman"/>
        <color rgb="FF000000"/>
        <sz val="11.0"/>
      </rPr>
      <t xml:space="preserve">Blank: No share/can't access         Manager: Full right
Content Manager: Edit right         Contributor: Edit specific file         
Commenter: View and comment specific file         Viewer: View only
</t>
    </r>
    <r>
      <rPr>
        <rFont val="Times New Roman"/>
        <color rgb="FFA64D79"/>
        <sz val="11.0"/>
      </rPr>
      <t>-:  Auto have the same access level with parent folder</t>
    </r>
  </si>
  <si>
    <t>[References document] - Testcase - Structure</t>
  </si>
  <si>
    <t>Roles</t>
  </si>
  <si>
    <t>Reference</t>
  </si>
  <si>
    <t>[Reference] Common Testcases</t>
  </si>
  <si>
    <t>UM/ PSM</t>
  </si>
  <si>
    <t>03_Risk Management</t>
  </si>
  <si>
    <t>03: Các tài liệu liên quan về Đánh giá rủi ro của dự án</t>
  </si>
  <si>
    <t>Bổ sung group mail của Heads of C&amp;E và phân quyền của group mail heads</t>
  </si>
  <si>
    <t>###_project_name_clients@sun-asterisk.com</t>
  </si>
  <si>
    <t>###_project_name_leaders@sun-asterisk.com</t>
  </si>
  <si>
    <t>###_project_name_members@sun-asterisk.com</t>
  </si>
  <si>
    <t>No: HD-QT-1701-01</t>
  </si>
  <si>
    <t>(M)</t>
  </si>
  <si>
    <t>Bổ sung group mail của I&amp;S (SJP)</t>
  </si>
  <si>
    <t>(Cm)</t>
  </si>
  <si>
    <t>(Ct)</t>
  </si>
  <si>
    <t>Version: 2.2</t>
  </si>
  <si>
    <t>(Cr)</t>
  </si>
  <si>
    <t>(V)</t>
  </si>
  <si>
    <t>04: Các tài liệu chứa thông tin và role của member trong dự án</t>
  </si>
  <si>
    <t>Thêm tag [###_ProjectName] với các folder được chia sẻ riêng lẻ</t>
  </si>
  <si>
    <t>Issue Date: 22/09/2026</t>
  </si>
  <si>
    <t>ISO/IEC 27001:2013&amp;ISO 9001:2015</t>
  </si>
  <si>
    <t>HISTORY CHANGE of  v1.2 (03/08/2022)</t>
  </si>
  <si>
    <t>STANDARD STRUCTURE</t>
  </si>
  <si>
    <t>Bổ sung group mail của Heads of C&amp;E VN và phân quyền của group mail head CEV</t>
  </si>
  <si>
    <r>
      <rPr>
        <rFont val="Times New Roman"/>
        <b/>
        <color rgb="FF000000"/>
        <sz val="11.0"/>
      </rPr>
      <t xml:space="preserve">ACCESS MATRIX
</t>
    </r>
    <r>
      <rPr>
        <rFont val="Times New Roman"/>
        <color rgb="FF000000"/>
        <sz val="11.0"/>
      </rPr>
      <t>Blank: can't access     ◉ ：can modify　◯: read only</t>
    </r>
  </si>
  <si>
    <t>05: Chứa meeting minutes của dự án</t>
  </si>
  <si>
    <t>SUN GSUITE KIT</t>
  </si>
  <si>
    <t>https://gsuite-tool.sun-asterisk.vn/</t>
  </si>
  <si>
    <t>UM</t>
  </si>
  <si>
    <t>PSM</t>
  </si>
  <si>
    <t>BrSE</t>
  </si>
  <si>
    <t>Technical Leader</t>
  </si>
  <si>
    <t>Team Leader</t>
  </si>
  <si>
    <t>Developer</t>
  </si>
  <si>
    <t>QA Leader</t>
  </si>
  <si>
    <t>QA member</t>
  </si>
  <si>
    <t>Communicator</t>
  </si>
  <si>
    <t>PAO</t>
  </si>
  <si>
    <t>◉</t>
  </si>
  <si>
    <t>◯</t>
  </si>
  <si>
    <t>06: Chứa các report về dự án</t>
  </si>
  <si>
    <t>Tool có 3 chức năng chính:</t>
  </si>
  <si>
    <t>►</t>
  </si>
  <si>
    <t>CREATE NEW PROJECT</t>
  </si>
  <si>
    <t>01_Effort Estimation (file)</t>
  </si>
  <si>
    <t>TRANSFER OWNERSHIP</t>
  </si>
  <si>
    <t>07: Quản lý thiết bị như test device,.. của dự án</t>
  </si>
  <si>
    <t>REMOVE SHARING</t>
  </si>
  <si>
    <t>① CREATE NEW ESTIMATE PROJECT
Tạo folder dự án theo bộ Estimation Project Folder:</t>
  </si>
  <si>
    <t>1.</t>
  </si>
  <si>
    <t>Log in bằng tài khoản mail của công ty (@sun-asterisk.com)</t>
  </si>
  <si>
    <t>2.</t>
  </si>
  <si>
    <t>G Drive → Add</t>
  </si>
  <si>
    <t>▪ Optional: Lựa chọn "Estimation Project"</t>
  </si>
  <si>
    <t>▪ Root Folder ID: Folder gốc để chứa folder dự án</t>
  </si>
  <si>
    <t>▪ Project name: tên dự án của bạn</t>
  </si>
  <si>
    <t>3.</t>
  </si>
  <si>
    <t>Kiểm tra Folder gốc sau khi copy thành công, giữ nguyên cấu trúc tên thư mục [Project Name][CustomerName] Estimation Project Folder v1.0 và thay Project Name, Customer Name là tên dự án và tên khách hàng của bạn.</t>
  </si>
  <si>
    <t xml:space="preserve">(*) Lưu ý: 
chức năng này chỉ để tạo thư mục dự án theo bộ Estimation Project Folder, không phải chức năng sao chép thư mục </t>
  </si>
  <si>
    <t>08: thư mục chứa các checklist về code, test,... của dự án</t>
  </si>
  <si>
    <t xml:space="preserve"> ② CREATE NEW STANDARD PROJECT
Tạo folder dự án theo bộ Standard Project Folder:</t>
  </si>
  <si>
    <t>Can move files and folders to the Trash</t>
  </si>
  <si>
    <t>02_Account&amp;Key</t>
  </si>
  <si>
    <t>Gsuite → Add</t>
  </si>
  <si>
    <t>Checklist khi dư án kết thúc- chuyển xuống 04 Dev - Guideline</t>
  </si>
  <si>
    <t>02_Cost Estimation (file)</t>
  </si>
  <si>
    <t>▪ Optional: Lựa chọn "Standard Project"</t>
  </si>
  <si>
    <t>▪ Project name: Tên dự án của bạn</t>
  </si>
  <si>
    <t>Kiểm tra Folder gốc sau khi copy thành công, giữ nguyên cấu trúc tên thư mục 000_◯◯◯(ProjectName)_vx.y (DD/MM/YYYY) và thay Project Name là tên dự án của bạn.</t>
  </si>
  <si>
    <t xml:space="preserve">(*) Lưu ý: 
chức năng này chỉ để tạo thư mục dự án theo bộ standard project folder, không phải chức năng sao chép thư mục </t>
  </si>
  <si>
    <t>Checklist khi nhân viên rời dự án</t>
  </si>
  <si>
    <t>③ TRANSFER OWNERSHIP
Chuyển quyền sở hữu (owner) của toàn bộ folder sang người khác</t>
  </si>
  <si>
    <t>09_Incident Management</t>
  </si>
  <si>
    <t>03_Client Supplied</t>
  </si>
  <si>
    <t>G Drive → Click button "Add"</t>
  </si>
  <si>
    <t>▪ Optional: Lựa chọn "Transfer Ownership"</t>
  </si>
  <si>
    <t>▪ Root Folder ID: Folder được transfer quyền Owner</t>
  </si>
  <si>
    <t>▪ Email: Email của người được transfer quyền Owner</t>
  </si>
  <si>
    <t>(*) Lưu ý: 
chức năng này chỉ chuyển owner giữa những mail @sun-asterisk.com</t>
  </si>
  <si>
    <t>04_Deliverable</t>
  </si>
  <si>
    <t>③ REMOVE SHARING
Cắt quyền truy cập của user @sun-asterisk.com khỏi folder và files trong folder chỉ định</t>
  </si>
  <si>
    <t>▪ Optional: Lựa chọn "Remove Sharing"</t>
  </si>
  <si>
    <t>▪ Root Folder ID: Folder cần được remove quyền</t>
  </si>
  <si>
    <t>▪ Email: Email của người cần được remove quyền</t>
  </si>
  <si>
    <t>(*) Lưu ý: 
chức năng này chỉ cắt được quyền truy cập của user dùng mail @sun-asterisk.com
mỗi lệnh chỉ chạy cho 1 mail</t>
  </si>
  <si>
    <t>10_KPI Management</t>
  </si>
  <si>
    <r>
      <rPr>
        <rFont val="Times New Roman"/>
        <sz val="13.0"/>
      </rPr>
      <t xml:space="preserve">Mọi vấn đề liên quan đến tool </t>
    </r>
    <r>
      <rPr>
        <rFont val="Times New Roman"/>
        <b/>
        <color rgb="FFFF0000"/>
        <sz val="13.0"/>
      </rPr>
      <t>Sun GSuite Kit</t>
    </r>
    <r>
      <rPr>
        <rFont val="Times New Roman"/>
        <sz val="13.0"/>
      </rPr>
      <t xml:space="preserve">, vui lòng liên hệ a </t>
    </r>
    <r>
      <rPr>
        <rFont val="Times New Roman"/>
        <color rgb="FF0000FF"/>
        <sz val="13.0"/>
      </rPr>
      <t>[To:452830] Vu Xuan Dung さん</t>
    </r>
    <r>
      <rPr>
        <rFont val="Times New Roman"/>
        <sz val="13.0"/>
      </rPr>
      <t xml:space="preserve"> hoặc </t>
    </r>
    <r>
      <rPr>
        <rFont val="Times New Roman"/>
        <color rgb="FF0000FF"/>
        <sz val="13.0"/>
      </rPr>
      <t>[To:1328283] Vu Phuong Anh (Fani 91)</t>
    </r>
    <r>
      <rPr>
        <rFont val="Times New Roman"/>
        <sz val="13.0"/>
      </rPr>
      <t xml:space="preserve"> để được trợ giúp</t>
    </r>
  </si>
  <si>
    <r>
      <rPr>
        <rFont val="Arial"/>
        <color rgb="FF1155CC"/>
        <sz val="10.0"/>
        <u/>
      </rPr>
      <t>[###(ProjectID)] ProjectName - Project Task List_VN</t>
    </r>
    <r>
      <rPr>
        <rFont val="Arial"/>
        <color rgb="FF1155CC"/>
        <sz val="10.0"/>
        <u/>
      </rPr>
      <t xml:space="preserve">
</t>
    </r>
    <r>
      <rPr>
        <rFont val="Arial"/>
        <color rgb="FF1155CC"/>
        <sz val="10.0"/>
        <u/>
      </rPr>
      <t>[###(ProjectID)] ProjectName - Project Task List_EN</t>
    </r>
  </si>
  <si>
    <r>
      <rPr>
        <rFont val="Arial"/>
        <color rgb="FF1155CC"/>
        <sz val="10.0"/>
        <u/>
      </rPr>
      <t>[###(ProjectID)] ProjectName - Project Task List_VN</t>
    </r>
    <r>
      <rPr>
        <rFont val="Arial"/>
        <color rgb="FF1155CC"/>
        <sz val="10.0"/>
        <u/>
      </rPr>
      <t xml:space="preserve">
</t>
    </r>
    <r>
      <rPr>
        <rFont val="Arial"/>
        <color rgb="FF1155CC"/>
        <sz val="10.0"/>
        <u/>
      </rPr>
      <t>[###(ProjectID)] ProjectName - Project Task List_EN</t>
    </r>
  </si>
  <si>
    <t>11_CSS Management</t>
  </si>
  <si>
    <t>12_Security</t>
  </si>
  <si>
    <t xml:space="preserve">GUIDELINE CHO VIỆC SAO CHÉP THƯ MỤC DỰ ÁN </t>
  </si>
  <si>
    <t>I</t>
  </si>
  <si>
    <t>MỤC ĐÍCH</t>
  </si>
  <si>
    <t>■</t>
  </si>
  <si>
    <t xml:space="preserve">Hướng dẫn việc copy toàn bộ thư mục dự án kèm Template này vào vị trí chúng ta mong muốn. </t>
  </si>
  <si>
    <t>02_Spec&amp; Design</t>
  </si>
  <si>
    <t xml:space="preserve">Dùng để lưu trữ spec của dự án        </t>
  </si>
  <si>
    <t>Trường hợp làm theo cách thông thường như copy tay, hoặc đưa về local rồi upload lại thì có một số nhược điểm sau:</t>
  </si>
  <si>
    <t>Mất thời gian</t>
  </si>
  <si>
    <t>Một số format... ko còn chính xác nữa, cấu trúc Form bị phá vỡ.</t>
  </si>
  <si>
    <t>Thư mục rỗng sẽ không copy dc.</t>
  </si>
  <si>
    <t>Chú ý: Không thực hiện việc đưa Folder về local rồi upload lên lại.</t>
  </si>
  <si>
    <t>II</t>
  </si>
  <si>
    <t>NỘI DUNG</t>
  </si>
  <si>
    <t>(Có nhiều cách copy nhưng đây là 2 cách mà đã được kiểm chứng hiệu quả và chính xác)</t>
  </si>
  <si>
    <t>01_Requirement Specification</t>
  </si>
  <si>
    <t>[###(ProjectID)] ProjectName - Basic Template ver JP by PAO</t>
  </si>
  <si>
    <t>Bạn chọn vào thư mục Standard Project Folder, sau đó chọn "Add to My Drive" để link nó vào drive của mình.</t>
  </si>
  <si>
    <t>https://goo.gl/mXazEF</t>
  </si>
  <si>
    <t>[###(ProjectID)] ProjectName - Basic Kickoff Slide ver EN by PAO</t>
  </si>
  <si>
    <t>Tạo Project Folder trong Folder Project_Running của Div, đặt tên, vd: ProjectName - đây cũng chính là thư mục đích sẽ lưu trữ thư mục muốn copy.</t>
  </si>
  <si>
    <t>Dưới đây là 2 cách thực hiện việc sao chép mọi người có thể tham khảo. Ghi nhớ bạn hãy login xác thực bằng chính email Công ty bạn dùng để làm việc Drive.</t>
  </si>
  <si>
    <t>02_System Architecture</t>
  </si>
  <si>
    <t>Option 1</t>
  </si>
  <si>
    <t>http://bit.ly/2uLLNMQ</t>
  </si>
  <si>
    <t>01_High Level Design</t>
  </si>
  <si>
    <t>[###(ProjectID)] ProjectName - Advanced - Kickoff Slide Ver. 1.2 by PAO</t>
  </si>
  <si>
    <t>Option 2</t>
  </si>
  <si>
    <t>http://bit.ly/2UdCxAg</t>
  </si>
  <si>
    <t xml:space="preserve">Chọn chức năng Copy Folder. </t>
  </si>
  <si>
    <r>
      <rPr>
        <rFont val="Arial"/>
        <color rgb="FF000000"/>
        <sz val="10.0"/>
      </rPr>
      <t>- Chọn thư mục muốn copy, chính là thư mục</t>
    </r>
    <r>
      <rPr>
        <rFont val="Arial"/>
        <color rgb="FFFF0000"/>
        <sz val="10.0"/>
      </rPr>
      <t xml:space="preserve"> </t>
    </r>
    <r>
      <rPr>
        <rFont val="Arial"/>
        <b/>
        <color rgb="FFFF0000"/>
        <sz val="10.0"/>
      </rPr>
      <t xml:space="preserve">New Standard Project Folder </t>
    </r>
  </si>
  <si>
    <t>- Chọn copy thư mục đó vào đâu, chính là chọn thư mục đích ProjectName. Nếu ko chọn, mặc định là thư mục gốc drive của bạn.</t>
  </si>
  <si>
    <t>- Chọn Copy nó sẽ thực sự tiến hành copy. Copy xong nó sẽ có trạng thái thành công hay thất bại trên màn hình.</t>
  </si>
  <si>
    <t>OPTION 1</t>
  </si>
  <si>
    <t>02_Low Level Design</t>
  </si>
  <si>
    <t>03_Design (UI/UX)</t>
  </si>
  <si>
    <t>04_Other</t>
  </si>
  <si>
    <r>
      <rPr>
        <rFont val="Times New Roman"/>
        <b/>
        <color rgb="FFFF0000"/>
        <sz val="11.0"/>
      </rPr>
      <t xml:space="preserve">[###_ProjectName] </t>
    </r>
    <r>
      <rPr>
        <rFont val="Times New Roman"/>
        <b/>
        <sz val="11.0"/>
      </rPr>
      <t>03_Q&amp;A</t>
    </r>
  </si>
  <si>
    <t>Question &amp; Answer với Client hoặc trong nội bộ</t>
  </si>
  <si>
    <t>Content manager (optional)</t>
  </si>
  <si>
    <t>OPTION 2</t>
  </si>
  <si>
    <t>04_Dev</t>
  </si>
  <si>
    <t>Chứa guideline, các manual để start dự án như env setup,...</t>
  </si>
  <si>
    <t>05_Test</t>
  </si>
  <si>
    <t>Thư mục làm việc chủ yếu của QA (Tester)</t>
  </si>
  <si>
    <t>01_Test Management</t>
  </si>
  <si>
    <t>Checklist khi dự án kết thúc- chuyển xuống 04 Dev - Guideline</t>
  </si>
  <si>
    <t>03_Final Inspection Checklist</t>
  </si>
  <si>
    <t>04_Others</t>
  </si>
  <si>
    <t>06_Release</t>
  </si>
  <si>
    <t>Thư mục để lưu trữ các phần để phục vụ cho Release  như Release checklist, manual, api,...</t>
  </si>
  <si>
    <t xml:space="preserve">      01_High Level Design</t>
  </si>
  <si>
    <t>[###(ProjectID)] ProjectName - Screen Design Specìication</t>
  </si>
  <si>
    <t>07_Others</t>
  </si>
  <si>
    <t xml:space="preserve">      02_Low Level Design</t>
  </si>
  <si>
    <t>03_Q&amp;A</t>
  </si>
  <si>
    <t>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</si>
</sst>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dd&quot;/&quot;mm&quot;/&quot;yyyy"/>
  </numFmts>
  <fonts count="132">
    <font>
      <sz val="10.0"/>
      <color rgb="FF000000"/>
      <name val="Arial"/>
    </font>
    <font>
      <b/>
      <sz val="10.0"/>
      <name val="Arial"/>
    </font>
    <font>
      <b/>
      <sz val="10.0"/>
      <color rgb="FF000000"/>
      <name val="Arial"/>
    </font>
    <font/>
    <font>
      <sz val="10.0"/>
      <name val="Arial"/>
    </font>
    <font>
      <u/>
      <sz val="10.0"/>
      <color rgb="FF0000FF"/>
      <name val="Arial"/>
    </font>
    <font>
      <u/>
      <sz val="10.0"/>
      <color rgb="FFFF0000"/>
      <name val="Arial"/>
    </font>
    <font>
      <sz val="10.0"/>
      <color rgb="FFFF0000"/>
      <name val="Arial"/>
    </font>
    <font>
      <name val="Arial"/>
    </font>
    <font>
      <u/>
      <sz val="10.0"/>
      <color rgb="FF0000FF"/>
      <name val="Arial"/>
    </font>
    <font>
      <u/>
      <sz val="10.0"/>
      <color rgb="FF1155CC"/>
      <name val="Arial"/>
    </font>
    <font>
      <i/>
      <sz val="10.0"/>
      <name val="Arial"/>
    </font>
    <font>
      <u/>
      <color rgb="FFFF0000"/>
      <name val="Arial"/>
    </font>
    <font>
      <u/>
      <color rgb="FF0000FF"/>
      <name val="Arial"/>
    </font>
    <font>
      <u/>
      <color rgb="FF1155CC"/>
      <name val="Arial"/>
    </font>
    <font>
      <u/>
      <sz val="10.0"/>
      <color rgb="FF1155CC"/>
      <name val="Arial"/>
    </font>
    <font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1155CC"/>
      <name val="Arial"/>
    </font>
    <font>
      <u/>
      <sz val="10.0"/>
      <color rgb="FFFF0000"/>
      <name val="Arial"/>
    </font>
    <font>
      <u/>
      <sz val="10.0"/>
      <color rgb="FF0000FF"/>
      <name val="Arial"/>
    </font>
    <font>
      <u/>
      <sz val="10.0"/>
      <color rgb="FF1155CC"/>
      <name val="Arial"/>
    </font>
    <font>
      <u/>
      <sz val="10.0"/>
      <color rgb="FF1155CC"/>
      <name val="Arial"/>
    </font>
    <font>
      <u/>
      <sz val="10.0"/>
      <color rgb="FF0000FF"/>
      <name val="Arial"/>
    </font>
    <font>
      <sz val="10.0"/>
      <name val="Times New Roman"/>
    </font>
    <font>
      <b/>
      <sz val="24.0"/>
      <name val="Times New Roman"/>
    </font>
    <font>
      <b/>
      <sz val="18.0"/>
      <name val="Times New Roman"/>
    </font>
    <font>
      <sz val="12.0"/>
      <name val="Times New Roman"/>
    </font>
    <font>
      <sz val="11.0"/>
      <name val="Times New Roman"/>
    </font>
    <font>
      <sz val="12.0"/>
      <color/>
      <name val="Times New Roman"/>
    </font>
    <font>
      <b/>
      <sz val="10.0"/>
      <name val="Times New Roman"/>
    </font>
    <font>
      <b/>
      <sz val="12.0"/>
      <name val="Times New Roman"/>
    </font>
    <font>
      <sz val="12.0"/>
      <color rgb="FF000000"/>
      <name val="Times New Roman"/>
    </font>
    <font>
      <u/>
      <sz val="10.0"/>
      <color rgb="FF1155CC"/>
      <name val="Arial"/>
    </font>
    <font>
      <u/>
      <sz val="10.0"/>
      <color rgb="FF1155CC"/>
      <name val="Arial"/>
    </font>
    <font>
      <u/>
      <sz val="10.0"/>
      <color rgb="FF1155CC"/>
      <name val="Arial"/>
    </font>
    <font>
      <b/>
      <u/>
      <sz val="11.0"/>
      <color rgb="FF0000FF"/>
      <name val="Times New Roman"/>
    </font>
    <font>
      <b/>
      <sz val="11.0"/>
      <name val="Times New Roman"/>
    </font>
    <font>
      <sz val="11.0"/>
      <color rgb="FF000000"/>
      <name val="Times New Roman"/>
    </font>
    <font>
      <b/>
      <sz val="11.0"/>
      <color rgb="FF000000"/>
      <name val="Times New Roman"/>
    </font>
    <font>
      <b/>
      <sz val="11.0"/>
      <color rgb="FFFF0000"/>
      <name val="Times New Roman"/>
    </font>
    <font>
      <u/>
      <sz val="10.0"/>
      <color rgb="FF1155CC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sz val="11.0"/>
      <color rgb="FFFF0000"/>
      <name val="Times New Roman"/>
    </font>
    <font>
      <u/>
      <sz val="10.0"/>
      <color rgb="FF0000FF"/>
      <name val="Arial"/>
    </font>
    <font>
      <u/>
      <sz val="10.0"/>
      <color rgb="FF0000FF"/>
      <name val="Arial"/>
    </font>
    <font>
      <u/>
      <color rgb="FF0000FF"/>
      <name val="Arial"/>
    </font>
    <font>
      <u/>
      <sz val="10.0"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1155CC"/>
      <name val="Arial"/>
    </font>
    <font>
      <u/>
      <sz val="10.0"/>
      <color rgb="FF1155CC"/>
      <name val="Arial"/>
    </font>
    <font>
      <u/>
      <sz val="10.0"/>
      <color rgb="FF0000FF"/>
      <name val="Arial"/>
    </font>
    <font>
      <u/>
      <color rgb="FF1155CC"/>
    </font>
    <font>
      <u/>
      <color rgb="FF1155CC"/>
      <name val="Arial"/>
    </font>
    <font>
      <u/>
      <sz val="10.0"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color rgb="FF1F1F1F"/>
      <name val="Arial"/>
    </font>
    <font>
      <color rgb="FF000000"/>
      <name val="Arial"/>
    </font>
    <font>
      <u/>
      <sz val="10.0"/>
      <color rgb="FF1155CC"/>
      <name val="Arial"/>
    </font>
    <font>
      <u/>
      <color rgb="FF1155CC"/>
      <name val="Arial"/>
    </font>
    <font>
      <u/>
      <sz val="10.0"/>
      <color rgb="FF0000FF"/>
      <name val="Arial"/>
    </font>
    <font>
      <i/>
      <u/>
      <sz val="10.0"/>
      <color rgb="FF1155CC"/>
      <name val="Arial"/>
    </font>
    <font>
      <u/>
      <color rgb="FF0000FF"/>
      <name val="Arial"/>
    </font>
    <font>
      <u/>
      <sz val="10.0"/>
      <color rgb="FF1155CC"/>
      <name val="Arial"/>
    </font>
    <font>
      <sz val="12.0"/>
      <color rgb="FF0000FF"/>
      <name val="Times New Roman"/>
    </font>
    <font>
      <u/>
      <color rgb="FF0000FF"/>
      <name val="Arial"/>
    </font>
    <font>
      <u/>
      <color rgb="FF1155CC"/>
      <name val="Arial"/>
    </font>
    <font>
      <u/>
      <sz val="10.0"/>
      <color rgb="FF0000FF"/>
      <name val="Arial"/>
    </font>
    <font>
      <u/>
      <sz val="10.0"/>
      <color rgb="FF1155CC"/>
      <name val="Arial"/>
    </font>
    <font>
      <u/>
      <color rgb="FF1155CC"/>
    </font>
    <font>
      <u/>
      <color rgb="FF1155CC"/>
      <name val="Arial"/>
    </font>
    <font>
      <u/>
      <sz val="11.0"/>
      <color rgb="FF1155CC"/>
      <name val="Times New Roman"/>
    </font>
    <font>
      <sz val="11.0"/>
      <color rgb="FF1155CC"/>
      <name val="Times New Roman"/>
    </font>
    <font>
      <b/>
      <u/>
      <sz val="11.0"/>
      <color rgb="FF0000FF"/>
      <name val="Times New Roman"/>
    </font>
    <font>
      <b/>
      <sz val="20.0"/>
      <name val="Times New Roman"/>
    </font>
    <font>
      <b/>
      <u/>
      <sz val="20.0"/>
      <color rgb="FF0000FF"/>
      <name val="Times New Roman"/>
    </font>
    <font>
      <sz val="14.0"/>
      <name val="Times New Roman"/>
    </font>
    <font>
      <u/>
      <sz val="14.0"/>
      <color rgb="FF1155CC"/>
      <name val="Times New Roman"/>
    </font>
    <font>
      <sz val="14.0"/>
      <color rgb="FF000000"/>
      <name val="&quot;Times New Roman&quot;"/>
    </font>
    <font>
      <u/>
      <sz val="10.0"/>
      <color rgb="FF1155CC"/>
      <name val="Arial"/>
    </font>
    <font>
      <b/>
      <sz val="14.0"/>
      <name val="Times New Roman"/>
    </font>
    <font>
      <b/>
      <sz val="14.0"/>
      <color rgb="FF000000"/>
      <name val="Times New Roman"/>
    </font>
    <font>
      <b/>
      <sz val="14.0"/>
      <color rgb="FFCCCCCC"/>
      <name val="Times New Roman"/>
    </font>
    <font>
      <sz val="14.0"/>
      <color rgb="FFCCCCCC"/>
      <name val="Times New Roman"/>
    </font>
    <font>
      <u/>
      <sz val="10.0"/>
      <color rgb="FF1155CC"/>
      <name val="Arial"/>
    </font>
    <font>
      <u/>
      <sz val="10.0"/>
      <color rgb="FF1155CC"/>
      <name val="Arial"/>
    </font>
    <font>
      <sz val="13.0"/>
      <name val="Times New Roman"/>
    </font>
    <font>
      <u/>
      <sz val="10.0"/>
      <color rgb="FF1155CC"/>
      <name val="Arial"/>
    </font>
    <font>
      <u/>
      <sz val="11.0"/>
      <color rgb="FFFF0000"/>
      <name val="Times New Roman"/>
    </font>
    <font>
      <u/>
      <sz val="11.0"/>
      <color rgb="FF1155CC"/>
      <name val="Times New Roman"/>
    </font>
    <font>
      <b/>
      <sz val="15.0"/>
    </font>
    <font>
      <b/>
    </font>
    <font>
      <color rgb="FF000000"/>
    </font>
    <font>
      <b/>
      <color rgb="FFFF0000"/>
    </font>
    <font>
      <u/>
      <sz val="11.0"/>
      <color rgb="FF1155CC"/>
      <name val="Times New Roman"/>
    </font>
    <font>
      <i/>
    </font>
    <font>
      <u/>
      <color rgb="FF0000FF"/>
    </font>
    <font>
      <u/>
      <sz val="10.0"/>
      <color rgb="FF1155CC"/>
      <name val="Arial"/>
    </font>
    <font>
      <u/>
      <sz val="10.0"/>
      <color rgb="FF1155CC"/>
      <name val="Arial"/>
    </font>
    <font>
      <u/>
      <color rgb="FF0000FF"/>
    </font>
    <font>
      <u/>
      <color rgb="FF0000FF"/>
      <name val="Arial"/>
    </font>
    <font>
      <u/>
      <color rgb="FF1155CC"/>
      <name val="Arial"/>
    </font>
    <font>
      <sz val="10.0"/>
    </font>
    <font>
      <u/>
      <color rgb="FF1155CC"/>
      <name val="Arial"/>
    </font>
    <font>
      <u/>
      <color rgb="FF1155CC"/>
    </font>
    <font>
      <u/>
      <color rgb="FF1155CC"/>
    </font>
    <font>
      <color rgb="FF000000"/>
      <name val="Roboto"/>
    </font>
    <font>
      <sz val="11.0"/>
      <color rgb="FFFFFFFF"/>
      <name val="Times New Roman"/>
    </font>
    <font>
      <b/>
      <sz val="11.0"/>
      <color rgb="FFFFFFFF"/>
      <name val="Times New Roman"/>
    </font>
    <font>
      <u/>
      <sz val="10.0"/>
      <color rgb="FF0000FF"/>
      <name val="Arial"/>
    </font>
    <font>
      <u/>
      <sz val="10.0"/>
      <color rgb="FF1155CC"/>
      <name val="Arial"/>
    </font>
    <font>
      <u/>
      <sz val="10.0"/>
      <color rgb="FF1155CC"/>
      <name val="Arial"/>
    </font>
    <font>
      <u/>
      <sz val="10.0"/>
      <color rgb="FF1155CC"/>
      <name val="Arial"/>
    </font>
    <font>
      <u/>
      <sz val="10.0"/>
      <color rgb="FF1155CC"/>
      <name val="Arial"/>
    </font>
    <font>
      <u/>
      <sz val="11.0"/>
      <color rgb="FFFF0000"/>
      <name val="Times New Roman"/>
    </font>
    <font>
      <u/>
      <sz val="11.0"/>
      <color rgb="FF1155CC"/>
      <name val="Times New Roman"/>
    </font>
    <font>
      <u/>
      <color rgb="FF1155CC"/>
      <name val="Arial"/>
    </font>
    <font>
      <sz val="11.0"/>
    </font>
    <font>
      <u/>
      <sz val="11.0"/>
      <color rgb="FFFF0000"/>
      <name val="Times New Roman"/>
    </font>
    <font>
      <u/>
      <color rgb="FF1155CC"/>
    </font>
    <font>
      <sz val="10.0"/>
      <color rgb="FFFFFFFF"/>
      <name val="Times New Roman"/>
    </font>
    <font>
      <u/>
      <sz val="10.0"/>
      <color rgb="FF1155CC"/>
      <name val="Arial"/>
    </font>
    <font>
      <u/>
      <sz val="10.0"/>
      <color rgb="FF1155CC"/>
      <name val="Arial"/>
    </font>
    <font>
      <u/>
      <sz val="10.0"/>
      <color rgb="FF1155CC"/>
      <name val="Arial"/>
    </font>
    <font>
      <u/>
      <sz val="10.0"/>
      <color rgb="FF1155CC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F1C232"/>
        <bgColor rgb="FFF1C232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EAD1DC"/>
        <bgColor rgb="FFEAD1DC"/>
      </patternFill>
    </fill>
  </fills>
  <borders count="13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783F04"/>
      </left>
      <top style="thin">
        <color rgb="FF783F04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783F04"/>
      </top>
    </border>
    <border>
      <right style="thin">
        <color rgb="FFE69138"/>
      </right>
      <top style="thin">
        <color rgb="FF783F04"/>
      </top>
    </border>
    <border>
      <right style="thin">
        <color rgb="FF783F04"/>
      </right>
      <top style="thin">
        <color rgb="FF783F04"/>
      </top>
    </border>
    <border>
      <top style="thin">
        <color rgb="FF783F04"/>
      </top>
      <bottom style="thin">
        <color rgb="FF783F04"/>
      </bottom>
    </border>
    <border>
      <right style="thin">
        <color rgb="FFE69138"/>
      </right>
      <top style="thin">
        <color rgb="FF783F04"/>
      </top>
      <bottom style="thin">
        <color rgb="FF783F04"/>
      </bottom>
    </border>
    <border>
      <right style="thin">
        <color rgb="FF783F04"/>
      </right>
      <top style="thin">
        <color rgb="FF783F04"/>
      </top>
      <bottom style="thin">
        <color rgb="FF783F04"/>
      </bottom>
    </border>
    <border>
      <right style="thin">
        <color rgb="FF783F04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right style="thin">
        <color rgb="FFE69138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hair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hair">
        <color rgb="FF000000"/>
      </left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hair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hair">
        <color rgb="FF000000"/>
      </lef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right style="hair">
        <color rgb="FF000000"/>
      </right>
      <top style="thick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ck">
        <color rgb="FF000000"/>
      </top>
    </border>
    <border>
      <left style="hair">
        <color rgb="FF000000"/>
      </lef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bottom style="hair">
        <color rgb="FF000000"/>
      </bottom>
    </border>
    <border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</border>
    <border>
      <left style="thin">
        <color rgb="FF000000"/>
      </left>
      <right style="thick">
        <color rgb="FF000000"/>
      </right>
      <bottom style="hair">
        <color rgb="FF000000"/>
      </bottom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right style="hair">
        <color rgb="FF000000"/>
      </right>
      <top style="thin">
        <color rgb="FF000000"/>
      </top>
    </border>
    <border>
      <left style="hair">
        <color rgb="FF000000"/>
      </left>
      <right style="hair">
        <color rgb="FF000000"/>
      </right>
      <top style="thin">
        <color rgb="FF000000"/>
      </top>
    </border>
    <border>
      <left style="hair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hair">
        <color rgb="FF000000"/>
      </right>
    </border>
    <border>
      <left style="hair">
        <color rgb="FF000000"/>
      </left>
      <right style="thick">
        <color rgb="FF000000"/>
      </right>
    </border>
    <border>
      <left style="thick">
        <color rgb="FF000000"/>
      </left>
    </border>
    <border>
      <left style="thin">
        <color rgb="FF000000"/>
      </left>
      <right style="hair">
        <color rgb="FF000000"/>
      </right>
    </border>
    <border>
      <left style="thin">
        <color rgb="FF000000"/>
      </left>
      <right style="thick">
        <color rgb="FF000000"/>
      </right>
      <top style="hair">
        <color rgb="FF000000"/>
      </top>
    </border>
    <border>
      <left style="thick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left style="thin">
        <color rgb="FF000000"/>
      </left>
      <right style="hair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ck">
        <color rgb="FF000000"/>
      </right>
      <top style="thin">
        <color rgb="FF000000"/>
      </top>
      <bottom style="hair">
        <color rgb="FF000000"/>
      </bottom>
    </border>
    <border>
      <left style="thick">
        <color rgb="FF000000"/>
      </left>
      <top style="hair">
        <color rgb="FF000000"/>
      </top>
      <bottom style="hair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hair">
        <color rgb="FF000000"/>
      </bottom>
    </border>
    <border>
      <left style="thick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ck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ck">
        <color rgb="FF000000"/>
      </right>
      <top style="hair">
        <color rgb="FF000000"/>
      </top>
      <bottom style="hair">
        <color rgb="FF000000"/>
      </bottom>
    </border>
    <border>
      <top style="thin">
        <color rgb="FF000000"/>
      </top>
      <bottom style="thin">
        <color rgb="FF783F04"/>
      </bottom>
    </border>
    <border>
      <right style="thin">
        <color rgb="FFE69138"/>
      </right>
      <top style="thin">
        <color rgb="FF000000"/>
      </top>
      <bottom style="thin">
        <color rgb="FF783F04"/>
      </bottom>
    </border>
    <border>
      <right style="thin">
        <color rgb="FF783F04"/>
      </right>
      <top style="thin">
        <color rgb="FF000000"/>
      </top>
      <bottom style="thin">
        <color rgb="FF783F04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ck">
        <color rgb="FF000000"/>
      </left>
      <right style="hair">
        <color rgb="FF000000"/>
      </right>
      <top style="hair">
        <color rgb="FF000000"/>
      </top>
      <bottom style="thick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ck">
        <color rgb="FF000000"/>
      </bottom>
    </border>
    <border>
      <left style="hair">
        <color rgb="FF000000"/>
      </left>
      <right style="thick">
        <color rgb="FF000000"/>
      </right>
      <top style="hair">
        <color rgb="FF000000"/>
      </top>
      <bottom style="thick">
        <color rgb="FF000000"/>
      </bottom>
    </border>
    <border>
      <right style="thin">
        <color rgb="FFE69138"/>
      </right>
      <top style="thin">
        <color rgb="FF783F04"/>
      </top>
      <bottom style="thin">
        <color rgb="FF000000"/>
      </bottom>
    </border>
    <border>
      <top style="thin">
        <color rgb="FF783F04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left style="thin">
        <color rgb="FF000000"/>
      </left>
      <right style="hair">
        <color rgb="FF000000"/>
      </right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right style="hair">
        <color rgb="FF000000"/>
      </right>
      <top style="thin">
        <color rgb="FF000000"/>
      </top>
      <bottom style="hair">
        <color rgb="FF000000"/>
      </bottom>
    </border>
    <border>
      <right style="thick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right style="thick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top style="hair">
        <color rgb="FF000000"/>
      </top>
    </border>
    <border>
      <right style="thin">
        <color rgb="FF000000"/>
      </right>
      <top style="hair">
        <color rgb="FF000000"/>
      </top>
    </border>
    <border>
      <left style="thick">
        <color rgb="FF000000"/>
      </left>
      <top style="hair">
        <color rgb="FF000000"/>
      </top>
      <bottom style="thick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ck">
        <color rgb="FF000000"/>
      </bottom>
    </border>
    <border>
      <left style="hair">
        <color rgb="FF000000"/>
      </left>
      <top style="hair">
        <color rgb="FF000000"/>
      </top>
      <bottom style="thick">
        <color rgb="FF000000"/>
      </bottom>
    </border>
    <border>
      <top style="hair">
        <color rgb="FF000000"/>
      </top>
      <bottom style="thick">
        <color rgb="FF000000"/>
      </bottom>
    </border>
    <border>
      <right style="thin">
        <color rgb="FF000000"/>
      </right>
      <top style="hair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hair">
        <color rgb="FF000000"/>
      </top>
      <bottom style="thick">
        <color rgb="FF000000"/>
      </bottom>
    </border>
    <border>
      <right style="hair">
        <color rgb="FF000000"/>
      </right>
      <top style="hair">
        <color rgb="FF000000"/>
      </top>
    </border>
    <border>
      <top style="hair">
        <color rgb="FF000000"/>
      </top>
    </border>
  </borders>
  <cellStyleXfs count="1">
    <xf borderId="0" fillId="0" fontId="0" numFmtId="0" applyAlignment="1" applyFont="1"/>
  </cellStyleXfs>
  <cellXfs count="598">
    <xf borderId="0" fillId="0" fontId="0" numFmtId="0" xfId="0" applyAlignment="1" applyFont="1">
      <alignment readingOrder="0" shrinkToFit="0" vertical="bottom" wrapText="0"/>
    </xf>
    <xf borderId="2" fillId="3" fontId="2" numFmtId="0" xfId="0" applyAlignment="1" applyBorder="1" applyFill="1" applyFont="1">
      <alignment horizontal="center" readingOrder="0" vertical="center"/>
    </xf>
    <xf borderId="0" fillId="2" fontId="1" numFmtId="0" xfId="0" applyAlignment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center" readingOrder="0" shrinkToFit="0" wrapText="1"/>
    </xf>
    <xf borderId="3" fillId="0" fontId="3" numFmtId="0" xfId="0" applyBorder="1" applyFont="1"/>
    <xf borderId="5" fillId="0" fontId="3" numFmtId="0" xfId="0" applyBorder="1" applyFont="1"/>
    <xf borderId="0" fillId="0" fontId="4" numFmtId="0" xfId="0" applyFont="1"/>
    <xf borderId="4" fillId="3" fontId="2" numFmtId="0" xfId="0" applyAlignment="1" applyBorder="1" applyFill="1" applyFont="1">
      <alignment horizontal="center" readingOrder="0" shrinkToFit="0" vertical="center" wrapText="1"/>
    </xf>
    <xf borderId="6" fillId="3" fontId="2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vertical="center"/>
    </xf>
    <xf borderId="0" fillId="4" fontId="1" numFmtId="0" xfId="0" applyAlignment="1" applyFill="1" applyFont="1">
      <alignment readingOrder="0" shrinkToFit="0" vertical="center" wrapText="1"/>
    </xf>
    <xf borderId="6" fillId="3" fontId="2" numFmtId="0" xfId="0" applyAlignment="1" applyBorder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center" readingOrder="0" vertical="center"/>
    </xf>
    <xf borderId="2" fillId="5" fontId="2" numFmtId="0" xfId="0" applyAlignment="1" applyBorder="1" applyFill="1" applyFont="1">
      <alignment horizontal="center" readingOrder="0" shrinkToFit="0" wrapText="1"/>
    </xf>
    <xf borderId="0" fillId="2" fontId="1" numFmtId="0" xfId="0" applyAlignment="1" applyFill="1" applyFont="1">
      <alignment readingOrder="0" shrinkToFit="0" vertical="center" wrapText="1"/>
    </xf>
    <xf borderId="7" fillId="3" fontId="2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5" fontId="1" numFmtId="0" xfId="0" applyAlignment="1" applyFill="1" applyFont="1">
      <alignment readingOrder="0" shrinkToFit="0" vertical="center" wrapText="1"/>
    </xf>
    <xf borderId="1" fillId="0" fontId="0" numFmtId="0" xfId="0" applyAlignment="1" applyBorder="1" applyFont="1">
      <alignment horizontal="center" vertical="center"/>
    </xf>
    <xf borderId="0" fillId="0" fontId="4" numFmtId="0" xfId="0" applyAlignment="1" applyFont="1">
      <alignment readingOrder="0" shrinkToFit="0" vertical="center" wrapText="1"/>
    </xf>
    <xf borderId="8" fillId="3" fontId="2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shrinkToFit="0" vertical="center" wrapText="1"/>
    </xf>
    <xf borderId="4" fillId="2" fontId="4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1" fillId="0" fontId="0" numFmtId="0" xfId="0" applyAlignment="1" applyBorder="1" applyFont="1">
      <alignment horizontal="left" shrinkToFit="0" vertical="center" wrapText="1"/>
    </xf>
    <xf borderId="0" fillId="2" fontId="1" numFmtId="0" xfId="0" applyAlignment="1" applyFill="1" applyFont="1">
      <alignment readingOrder="0" shrinkToFit="0" vertical="center" wrapText="1"/>
    </xf>
    <xf borderId="1" fillId="0" fontId="8" numFmtId="164" xfId="0" applyAlignment="1" applyBorder="1" applyFont="1" applyNumberFormat="1">
      <alignment horizontal="center" readingOrder="0" shrinkToFit="0" wrapText="1"/>
    </xf>
    <xf borderId="6" fillId="2" fontId="9" numFmtId="0" xfId="0" applyAlignment="1" applyBorder="1" applyFill="1" applyFont="1">
      <alignment readingOrder="0" shrinkToFit="0" vertical="center" wrapText="1"/>
    </xf>
    <xf borderId="1" fillId="2" fontId="2" numFmtId="0" xfId="0" applyAlignment="1" applyBorder="1" applyFill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1" fillId="2" fontId="10" numFmtId="0" xfId="0" applyAlignment="1" applyBorder="1" applyFill="1" applyFont="1">
      <alignment readingOrder="0" shrinkToFit="0" vertical="bottom" wrapText="1"/>
    </xf>
    <xf borderId="0" fillId="2" fontId="4" numFmtId="0" xfId="0" applyAlignment="1" applyFill="1" applyFont="1">
      <alignment readingOrder="0" shrinkToFit="0" vertical="center" wrapText="1"/>
    </xf>
    <xf borderId="9" fillId="2" fontId="2" numFmtId="0" xfId="0" applyAlignment="1" applyBorder="1" applyFill="1" applyFont="1">
      <alignment shrinkToFit="0" vertical="center" wrapText="1"/>
    </xf>
    <xf borderId="10" fillId="0" fontId="11" numFmtId="0" xfId="0" applyAlignment="1" applyBorder="1" applyFont="1">
      <alignment horizontal="center" shrinkToFit="0" vertical="center" wrapText="1"/>
    </xf>
    <xf borderId="9" fillId="0" fontId="4" numFmtId="0" xfId="0" applyAlignment="1" applyBorder="1" applyFont="1">
      <alignment horizontal="center" shrinkToFit="0" vertical="center" wrapText="1"/>
    </xf>
    <xf borderId="11" fillId="0" fontId="4" numFmtId="0" xfId="0" applyAlignment="1" applyBorder="1" applyFont="1">
      <alignment shrinkToFit="0" vertical="center" wrapText="1"/>
    </xf>
    <xf borderId="1" fillId="2" fontId="4" numFmtId="0" xfId="0" applyAlignment="1" applyBorder="1" applyFill="1" applyFont="1">
      <alignment horizontal="center" readingOrder="0" shrinkToFit="0" vertical="center" wrapText="1"/>
    </xf>
    <xf borderId="0" fillId="2" fontId="12" numFmtId="0" xfId="0" applyAlignment="1" applyFill="1" applyFont="1">
      <alignment readingOrder="0" shrinkToFit="0" vertical="center" wrapText="1"/>
    </xf>
    <xf borderId="0" fillId="2" fontId="13" numFmtId="0" xfId="0" applyAlignment="1" applyFill="1" applyFont="1">
      <alignment shrinkToFit="0" vertical="center" wrapText="1"/>
    </xf>
    <xf borderId="0" fillId="2" fontId="14" numFmtId="0" xfId="0" applyAlignment="1" applyFill="1" applyFont="1">
      <alignment shrinkToFit="0" vertical="center" wrapText="1"/>
    </xf>
    <xf borderId="1" fillId="0" fontId="15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6" fillId="0" fontId="2" numFmtId="0" xfId="0" applyAlignment="1" applyBorder="1" applyFont="1">
      <alignment shrinkToFit="0" vertical="center" wrapText="1"/>
    </xf>
    <xf borderId="7" fillId="0" fontId="11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/>
    </xf>
    <xf borderId="6" fillId="0" fontId="4" numFmtId="0" xfId="0" applyAlignment="1" applyBorder="1" applyFont="1">
      <alignment horizontal="center" shrinkToFit="0" vertical="center" wrapText="1"/>
    </xf>
    <xf borderId="1" fillId="2" fontId="16" numFmtId="0" xfId="0" applyAlignment="1" applyBorder="1" applyFill="1" applyFont="1">
      <alignment readingOrder="0" shrinkToFit="0" wrapText="1"/>
    </xf>
    <xf borderId="1" fillId="0" fontId="0" numFmtId="0" xfId="0" applyAlignment="1" applyBorder="1" applyFont="1">
      <alignment horizontal="center" readingOrder="0" vertical="center"/>
    </xf>
    <xf borderId="12" fillId="0" fontId="4" numFmtId="0" xfId="0" applyAlignment="1" applyBorder="1" applyFont="1">
      <alignment shrinkToFit="0" vertical="center" wrapText="1"/>
    </xf>
    <xf borderId="1" fillId="2" fontId="17" numFmtId="0" xfId="0" applyAlignment="1" applyBorder="1" applyFill="1" applyFont="1">
      <alignment readingOrder="0"/>
    </xf>
    <xf borderId="1" fillId="0" fontId="0" numFmtId="0" xfId="0" applyAlignment="1" applyBorder="1" applyFont="1">
      <alignment horizontal="left" readingOrder="0" shrinkToFit="0" vertical="center" wrapText="1"/>
    </xf>
    <xf borderId="1" fillId="2" fontId="18" numFmtId="0" xfId="0" applyAlignment="1" applyBorder="1" applyFill="1" applyFont="1">
      <alignment readingOrder="0" shrinkToFit="0" vertical="bottom" wrapText="1"/>
    </xf>
    <xf borderId="13" fillId="0" fontId="19" numFmtId="0" xfId="0" applyAlignment="1" applyBorder="1" applyFont="1">
      <alignment readingOrder="0" shrinkToFit="0" vertical="center" wrapText="1"/>
    </xf>
    <xf borderId="1" fillId="0" fontId="0" numFmtId="0" xfId="0" applyAlignment="1" applyBorder="1" applyFont="1">
      <alignment horizontal="center" readingOrder="0"/>
    </xf>
    <xf borderId="3" fillId="0" fontId="2" numFmtId="0" xfId="0" applyAlignment="1" applyBorder="1" applyFont="1">
      <alignment readingOrder="0" shrinkToFit="0" vertical="center" wrapText="1"/>
    </xf>
    <xf borderId="14" fillId="0" fontId="4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center" readingOrder="0" shrinkToFit="0" vertical="center" wrapText="1"/>
    </xf>
    <xf borderId="0" fillId="2" fontId="7" numFmtId="0" xfId="0" applyAlignment="1" applyFill="1" applyFont="1">
      <alignment readingOrder="0" shrinkToFit="0" vertical="center" wrapText="1"/>
    </xf>
    <xf borderId="0" fillId="2" fontId="20" numFmtId="0" xfId="0" applyAlignment="1" applyFill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1" fillId="0" fontId="8" numFmtId="165" xfId="0" applyAlignment="1" applyBorder="1" applyFont="1" applyNumberFormat="1">
      <alignment horizontal="center" readingOrder="0" shrinkToFit="0" wrapText="1"/>
    </xf>
    <xf borderId="0" fillId="0" fontId="3" numFmtId="0" xfId="0" applyAlignment="1" applyFont="1">
      <alignment readingOrder="0" shrinkToFit="0" vertical="center" wrapText="1"/>
    </xf>
    <xf borderId="3" fillId="0" fontId="2" numFmtId="0" xfId="0" applyAlignment="1" applyBorder="1" applyFont="1">
      <alignment shrinkToFit="0" vertical="center" wrapText="1"/>
    </xf>
    <xf borderId="0" fillId="0" fontId="4" numFmtId="0" xfId="0" applyAlignment="1" applyFont="1">
      <alignment readingOrder="0"/>
    </xf>
    <xf borderId="14" fillId="0" fontId="21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1" fillId="2" fontId="16" numFmtId="0" xfId="0" applyAlignment="1" applyBorder="1" applyFill="1" applyFont="1">
      <alignment shrinkToFit="0" wrapText="1"/>
    </xf>
    <xf borderId="1" fillId="2" fontId="22" numFmtId="0" xfId="0" applyAlignment="1" applyBorder="1" applyFill="1" applyFont="1">
      <alignment readingOrder="0" vertical="center"/>
    </xf>
    <xf borderId="1" fillId="0" fontId="23" numFmtId="0" xfId="0" applyAlignment="1" applyBorder="1" applyFont="1">
      <alignment readingOrder="0"/>
    </xf>
    <xf borderId="14" fillId="0" fontId="11" numFmtId="0" xfId="0" applyAlignment="1" applyBorder="1" applyFont="1">
      <alignment horizontal="center" shrinkToFit="0" vertical="center" wrapText="1"/>
    </xf>
    <xf borderId="1" fillId="0" fontId="24" numFmtId="0" xfId="0" applyAlignment="1" applyBorder="1" applyFont="1">
      <alignment horizontal="left" readingOrder="0" shrinkToFit="0" vertical="center" wrapText="1"/>
    </xf>
    <xf borderId="1" fillId="0" fontId="4" numFmtId="164" xfId="0" applyAlignment="1" applyBorder="1" applyFont="1" applyNumberFormat="1">
      <alignment horizontal="center" shrinkToFit="0" vertical="center" wrapText="1"/>
    </xf>
    <xf borderId="15" fillId="2" fontId="25" numFmtId="0" xfId="0" applyAlignment="1" applyBorder="1" applyFill="1" applyFont="1">
      <alignment vertical="center"/>
    </xf>
    <xf borderId="1" fillId="0" fontId="16" numFmtId="0" xfId="0" applyAlignment="1" applyBorder="1" applyFont="1">
      <alignment horizontal="left" readingOrder="0" shrinkToFit="0" vertical="center" wrapText="1"/>
    </xf>
    <xf borderId="1" fillId="0" fontId="16" numFmtId="0" xfId="0" applyAlignment="1" applyBorder="1" applyFont="1">
      <alignment readingOrder="0" shrinkToFit="0" wrapText="1"/>
    </xf>
    <xf borderId="16" fillId="0" fontId="26" numFmtId="0" xfId="0" applyAlignment="1" applyBorder="1" applyFont="1">
      <alignment horizontal="center" vertical="center"/>
    </xf>
    <xf borderId="17" fillId="0" fontId="3" numFmtId="0" xfId="0" applyBorder="1" applyFont="1"/>
    <xf borderId="18" fillId="0" fontId="3" numFmtId="0" xfId="0" applyBorder="1" applyFont="1"/>
    <xf borderId="5" fillId="0" fontId="26" numFmtId="0" xfId="0" applyAlignment="1" applyBorder="1" applyFont="1">
      <alignment horizontal="center" vertical="center"/>
    </xf>
    <xf borderId="19" fillId="0" fontId="27" numFmtId="0" xfId="0" applyAlignment="1" applyBorder="1" applyFont="1">
      <alignment horizontal="center" shrinkToFit="0" vertical="center" wrapText="1"/>
    </xf>
    <xf borderId="20" fillId="0" fontId="27" numFmtId="0" xfId="0" applyAlignment="1" applyBorder="1" applyFont="1">
      <alignment horizontal="center" shrinkToFit="0" vertical="center" wrapText="1"/>
    </xf>
    <xf borderId="19" fillId="0" fontId="28" numFmtId="0" xfId="0" applyAlignment="1" applyBorder="1" applyFont="1">
      <alignment vertical="center"/>
    </xf>
    <xf borderId="0" fillId="2" fontId="25" numFmtId="0" xfId="0" applyAlignment="1" applyFill="1" applyFont="1">
      <alignment vertical="center"/>
    </xf>
    <xf borderId="0" fillId="2" fontId="29" numFmtId="0" xfId="0" applyAlignment="1" applyFill="1" applyFont="1">
      <alignment shrinkToFit="0" vertical="center" wrapText="1"/>
    </xf>
    <xf borderId="0" fillId="2" fontId="29" numFmtId="0" xfId="0" applyAlignment="1" applyFill="1" applyFont="1">
      <alignment vertical="center"/>
    </xf>
    <xf borderId="21" fillId="0" fontId="3" numFmtId="0" xfId="0" applyBorder="1" applyFont="1"/>
    <xf borderId="22" fillId="0" fontId="3" numFmtId="0" xfId="0" applyBorder="1" applyFont="1"/>
    <xf borderId="23" fillId="0" fontId="3" numFmtId="0" xfId="0" applyBorder="1" applyFont="1"/>
    <xf borderId="24" fillId="0" fontId="27" numFmtId="0" xfId="0" applyAlignment="1" applyBorder="1" applyFont="1">
      <alignment horizontal="center" shrinkToFit="0" vertical="center" wrapText="1"/>
    </xf>
    <xf borderId="23" fillId="0" fontId="30" numFmtId="0" xfId="0" applyAlignment="1" applyBorder="1" applyFont="1">
      <alignment readingOrder="0" vertical="center"/>
    </xf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27" numFmtId="0" xfId="0" applyAlignment="1" applyBorder="1" applyFont="1">
      <alignment horizontal="center" shrinkToFit="0" vertical="center" wrapText="1"/>
    </xf>
    <xf borderId="28" fillId="0" fontId="30" numFmtId="0" xfId="0" applyAlignment="1" applyBorder="1" applyFont="1">
      <alignment readingOrder="0" shrinkToFit="0" vertical="center" wrapText="0"/>
    </xf>
    <xf borderId="30" fillId="0" fontId="31" numFmtId="0" xfId="0" applyAlignment="1" applyBorder="1" applyFont="1">
      <alignment vertical="center"/>
    </xf>
    <xf borderId="27" fillId="0" fontId="31" numFmtId="0" xfId="0" applyAlignment="1" applyBorder="1" applyFont="1">
      <alignment vertical="center"/>
    </xf>
    <xf borderId="28" fillId="0" fontId="31" numFmtId="0" xfId="0" applyAlignment="1" applyBorder="1" applyFont="1">
      <alignment horizontal="right" shrinkToFit="0" vertical="center" wrapText="1"/>
    </xf>
    <xf borderId="21" fillId="0" fontId="25" numFmtId="0" xfId="0" applyAlignment="1" applyBorder="1" applyFont="1">
      <alignment vertical="center"/>
    </xf>
    <xf borderId="0" fillId="2" fontId="31" numFmtId="0" xfId="0" applyAlignment="1" applyFill="1" applyFont="1">
      <alignment horizontal="center" shrinkToFit="0" vertical="center" wrapText="1"/>
    </xf>
    <xf borderId="0" fillId="2" fontId="31" numFmtId="0" xfId="0" applyAlignment="1" applyFill="1" applyFont="1">
      <alignment horizontal="center" shrinkToFit="0" vertical="center" wrapText="0"/>
    </xf>
    <xf borderId="0" fillId="2" fontId="32" numFmtId="0" xfId="0" applyAlignment="1" applyFill="1" applyFont="1">
      <alignment horizontal="center" shrinkToFit="0" vertical="center" wrapText="0"/>
    </xf>
    <xf borderId="0" fillId="2" fontId="32" numFmtId="0" xfId="0" applyAlignment="1" applyFill="1" applyFont="1">
      <alignment horizontal="center" shrinkToFit="0" vertical="center" wrapText="1"/>
    </xf>
    <xf borderId="0" fillId="2" fontId="33" numFmtId="0" xfId="0" applyAlignment="1" applyFill="1" applyFont="1">
      <alignment horizontal="center" shrinkToFit="0" vertical="center" wrapText="1"/>
    </xf>
    <xf borderId="31" fillId="0" fontId="34" numFmtId="0" xfId="0" applyAlignment="1" applyBorder="1" applyFont="1">
      <alignment readingOrder="0" shrinkToFit="0" vertical="center" wrapText="1"/>
    </xf>
    <xf borderId="1" fillId="0" fontId="35" numFmtId="0" xfId="0" applyAlignment="1" applyBorder="1" applyFont="1">
      <alignment readingOrder="0" vertical="center"/>
    </xf>
    <xf borderId="1" fillId="0" fontId="4" numFmtId="164" xfId="0" applyAlignment="1" applyBorder="1" applyFont="1" applyNumberFormat="1">
      <alignment horizontal="center" readingOrder="0"/>
    </xf>
    <xf borderId="1" fillId="0" fontId="36" numFmtId="0" xfId="0" applyAlignment="1" applyBorder="1" applyFont="1">
      <alignment readingOrder="0" shrinkToFit="0" wrapText="1"/>
    </xf>
    <xf borderId="32" fillId="2" fontId="37" numFmtId="0" xfId="0" applyAlignment="1" applyBorder="1" applyFill="1" applyFont="1">
      <alignment horizontal="center" readingOrder="0" shrinkToFit="0" vertical="center" wrapText="1"/>
    </xf>
    <xf borderId="33" fillId="0" fontId="3" numFmtId="0" xfId="0" applyBorder="1" applyFont="1"/>
    <xf borderId="34" fillId="0" fontId="3" numFmtId="0" xfId="0" applyBorder="1" applyFont="1"/>
    <xf borderId="35" fillId="2" fontId="38" numFmtId="0" xfId="0" applyAlignment="1" applyBorder="1" applyFill="1" applyFont="1">
      <alignment horizontal="center" readingOrder="0" shrinkToFit="0" vertical="center" wrapText="1"/>
    </xf>
    <xf borderId="36" fillId="2" fontId="38" numFmtId="0" xfId="0" applyAlignment="1" applyBorder="1" applyFill="1" applyFont="1">
      <alignment horizontal="center" shrinkToFit="0" vertical="center" wrapText="1"/>
    </xf>
    <xf borderId="37" fillId="2" fontId="39" numFmtId="0" xfId="0" applyAlignment="1" applyBorder="1" applyFill="1" applyFont="1">
      <alignment horizontal="center" readingOrder="0" shrinkToFit="0" vertical="center" wrapText="1"/>
    </xf>
    <xf borderId="38" fillId="0" fontId="3" numFmtId="0" xfId="0" applyBorder="1" applyFont="1"/>
    <xf borderId="1" fillId="0" fontId="4" numFmtId="164" xfId="0" applyAlignment="1" applyBorder="1" applyFont="1" applyNumberFormat="1">
      <alignment horizontal="center" readingOrder="0" shrinkToFit="0" vertical="center" wrapText="1"/>
    </xf>
    <xf borderId="32" fillId="2" fontId="40" numFmtId="0" xfId="0" applyAlignment="1" applyBorder="1" applyFill="1" applyFont="1">
      <alignment horizontal="center" readingOrder="0" shrinkToFit="0" vertical="center" wrapText="1"/>
    </xf>
    <xf borderId="39" fillId="2" fontId="38" numFmtId="0" xfId="0" applyAlignment="1" applyBorder="1" applyFill="1" applyFont="1">
      <alignment horizontal="center" readingOrder="0" shrinkToFit="0" vertical="center" wrapText="1"/>
    </xf>
    <xf borderId="40" fillId="0" fontId="3" numFmtId="0" xfId="0" applyBorder="1" applyFont="1"/>
    <xf borderId="41" fillId="0" fontId="3" numFmtId="0" xfId="0" applyBorder="1" applyFont="1"/>
    <xf borderId="42" fillId="2" fontId="38" numFmtId="0" xfId="0" applyAlignment="1" applyBorder="1" applyFill="1" applyFont="1">
      <alignment horizontal="center" readingOrder="0" shrinkToFit="0" vertical="center" wrapText="1"/>
    </xf>
    <xf borderId="43" fillId="0" fontId="3" numFmtId="0" xfId="0" applyBorder="1" applyFont="1"/>
    <xf borderId="44" fillId="2" fontId="40" numFmtId="0" xfId="0" applyAlignment="1" applyBorder="1" applyFill="1" applyFont="1">
      <alignment horizontal="center" readingOrder="0" shrinkToFit="0" vertical="center" wrapText="1"/>
    </xf>
    <xf borderId="43" fillId="2" fontId="40" numFmtId="0" xfId="0" applyAlignment="1" applyBorder="1" applyFill="1" applyFont="1">
      <alignment horizontal="center" readingOrder="0" shrinkToFit="0" vertical="center" wrapText="1"/>
    </xf>
    <xf borderId="21" fillId="2" fontId="41" numFmtId="0" xfId="0" applyAlignment="1" applyBorder="1" applyFill="1" applyFont="1">
      <alignment horizontal="center" readingOrder="0" shrinkToFit="0" vertical="center" wrapText="1"/>
    </xf>
    <xf borderId="24" fillId="2" fontId="41" numFmtId="0" xfId="0" applyAlignment="1" applyBorder="1" applyFill="1" applyFont="1">
      <alignment horizontal="center" readingOrder="0" shrinkToFit="0" vertical="center" wrapText="1"/>
    </xf>
    <xf borderId="24" fillId="2" fontId="40" numFmtId="0" xfId="0" applyAlignment="1" applyBorder="1" applyFill="1" applyFont="1">
      <alignment horizontal="center" readingOrder="0" vertical="center"/>
    </xf>
    <xf borderId="45" fillId="2" fontId="40" numFmtId="0" xfId="0" applyAlignment="1" applyBorder="1" applyFill="1" applyFont="1">
      <alignment horizontal="center" readingOrder="0" shrinkToFit="0" vertical="center" wrapText="1"/>
    </xf>
    <xf borderId="46" fillId="2" fontId="40" numFmtId="0" xfId="0" applyAlignment="1" applyBorder="1" applyFill="1" applyFont="1">
      <alignment horizontal="center" readingOrder="0" shrinkToFit="0" vertical="center" wrapText="1"/>
    </xf>
    <xf borderId="47" fillId="0" fontId="38" numFmtId="0" xfId="0" applyAlignment="1" applyBorder="1" applyFont="1">
      <alignment horizontal="center" readingOrder="0" shrinkToFit="0" vertical="bottom" wrapText="1"/>
    </xf>
    <xf borderId="48" fillId="0" fontId="38" numFmtId="0" xfId="0" applyAlignment="1" applyBorder="1" applyFont="1">
      <alignment horizontal="center" readingOrder="0" shrinkToFit="0" vertical="bottom" wrapText="1"/>
    </xf>
    <xf borderId="1" fillId="2" fontId="42" numFmtId="0" xfId="0" applyAlignment="1" applyBorder="1" applyFill="1" applyFont="1">
      <alignment readingOrder="0"/>
    </xf>
    <xf borderId="49" fillId="0" fontId="38" numFmtId="0" xfId="0" applyAlignment="1" applyBorder="1" applyFont="1">
      <alignment horizontal="center" readingOrder="0" shrinkToFit="0" vertical="bottom" wrapText="1"/>
    </xf>
    <xf borderId="50" fillId="2" fontId="41" numFmtId="0" xfId="0" applyAlignment="1" applyBorder="1" applyFill="1" applyFont="1">
      <alignment horizontal="center" readingOrder="0" shrinkToFit="0" vertical="center" wrapText="1"/>
    </xf>
    <xf borderId="51" fillId="0" fontId="3" numFmtId="0" xfId="0" applyBorder="1" applyFont="1"/>
    <xf borderId="52" fillId="0" fontId="3" numFmtId="0" xfId="0" applyBorder="1" applyFont="1"/>
    <xf borderId="53" fillId="2" fontId="38" numFmtId="0" xfId="0" applyAlignment="1" applyBorder="1" applyFill="1" applyFont="1">
      <alignment horizontal="center" readingOrder="0" shrinkToFit="0" vertical="center" wrapText="1"/>
    </xf>
    <xf borderId="54" fillId="2" fontId="38" numFmtId="0" xfId="0" applyAlignment="1" applyBorder="1" applyFill="1" applyFont="1">
      <alignment horizontal="center" shrinkToFit="0" vertical="center" wrapText="1"/>
    </xf>
    <xf borderId="55" fillId="0" fontId="3" numFmtId="0" xfId="0" applyBorder="1" applyFont="1"/>
    <xf borderId="54" fillId="2" fontId="40" numFmtId="0" xfId="0" applyAlignment="1" applyBorder="1" applyFill="1" applyFont="1">
      <alignment horizontal="center" readingOrder="0" shrinkToFit="0" vertical="center" wrapText="1"/>
    </xf>
    <xf borderId="54" fillId="2" fontId="41" numFmtId="0" xfId="0" applyAlignment="1" applyBorder="1" applyFill="1" applyFont="1">
      <alignment horizontal="center" readingOrder="0" shrinkToFit="0" vertical="center" wrapText="1"/>
    </xf>
    <xf borderId="29" fillId="0" fontId="3" numFmtId="0" xfId="0" applyBorder="1" applyFont="1"/>
    <xf borderId="56" fillId="2" fontId="41" numFmtId="0" xfId="0" applyAlignment="1" applyBorder="1" applyFill="1" applyFont="1">
      <alignment horizontal="center" readingOrder="0" shrinkToFit="0" vertical="center" wrapText="1"/>
    </xf>
    <xf borderId="57" fillId="0" fontId="3" numFmtId="0" xfId="0" applyBorder="1" applyFont="1"/>
    <xf borderId="58" fillId="0" fontId="3" numFmtId="0" xfId="0" applyBorder="1" applyFont="1"/>
    <xf borderId="44" fillId="0" fontId="3" numFmtId="0" xfId="0" applyBorder="1" applyFont="1"/>
    <xf borderId="59" fillId="0" fontId="3" numFmtId="0" xfId="0" applyBorder="1" applyFont="1"/>
    <xf borderId="60" fillId="2" fontId="38" numFmtId="0" xfId="0" applyAlignment="1" applyBorder="1" applyFill="1" applyFont="1">
      <alignment horizontal="center" readingOrder="0" shrinkToFit="0" vertical="center" wrapText="1"/>
    </xf>
    <xf borderId="1" fillId="0" fontId="16" numFmtId="0" xfId="0" applyAlignment="1" applyBorder="1" applyFont="1">
      <alignment readingOrder="0" shrinkToFit="0" vertical="center" wrapText="1"/>
    </xf>
    <xf borderId="0" fillId="2" fontId="38" numFmtId="0" xfId="0" applyAlignment="1" applyFill="1" applyFont="1">
      <alignment horizontal="center" readingOrder="0" shrinkToFit="0" vertical="center" wrapText="1"/>
    </xf>
    <xf borderId="1" fillId="0" fontId="43" numFmtId="0" xfId="0" applyAlignment="1" applyBorder="1" applyFont="1">
      <alignment shrinkToFit="0" wrapText="1"/>
    </xf>
    <xf borderId="0" fillId="2" fontId="38" numFmtId="0" xfId="0" applyAlignment="1" applyFill="1" applyFont="1">
      <alignment horizontal="center" shrinkToFit="0" vertical="center" wrapText="1"/>
    </xf>
    <xf borderId="61" fillId="2" fontId="39" numFmtId="0" xfId="0" applyAlignment="1" applyBorder="1" applyFill="1" applyFont="1">
      <alignment horizontal="center" readingOrder="0" shrinkToFit="0" vertical="center" wrapText="1"/>
    </xf>
    <xf borderId="44" fillId="2" fontId="39" numFmtId="0" xfId="0" applyAlignment="1" applyBorder="1" applyFill="1" applyFont="1">
      <alignment horizontal="center" readingOrder="0" shrinkToFit="0" vertical="center" wrapText="1"/>
    </xf>
    <xf borderId="1" fillId="0" fontId="44" numFmtId="0" xfId="0" applyAlignment="1" applyBorder="1" applyFont="1">
      <alignment readingOrder="0"/>
    </xf>
    <xf borderId="0" fillId="2" fontId="45" numFmtId="0" xfId="0" applyAlignment="1" applyFill="1" applyFont="1">
      <alignment horizontal="center" readingOrder="0" shrinkToFit="0" vertical="center" wrapText="1"/>
    </xf>
    <xf borderId="24" fillId="2" fontId="45" numFmtId="0" xfId="0" applyAlignment="1" applyBorder="1" applyFill="1" applyFont="1">
      <alignment horizontal="center" readingOrder="0" shrinkToFit="0" vertical="center" wrapText="1"/>
    </xf>
    <xf borderId="24" fillId="2" fontId="39" numFmtId="0" xfId="0" applyAlignment="1" applyBorder="1" applyFill="1" applyFont="1">
      <alignment horizontal="center" readingOrder="0" shrinkToFit="0" vertical="center" wrapText="1"/>
    </xf>
    <xf borderId="45" fillId="2" fontId="39" numFmtId="0" xfId="0" applyAlignment="1" applyBorder="1" applyFill="1" applyFont="1">
      <alignment horizontal="center" readingOrder="0" shrinkToFit="0" vertical="center" wrapText="1"/>
    </xf>
    <xf borderId="46" fillId="2" fontId="39" numFmtId="0" xfId="0" applyAlignment="1" applyBorder="1" applyFill="1" applyFont="1">
      <alignment horizontal="center" readingOrder="0" shrinkToFit="0" vertical="center" wrapText="1"/>
    </xf>
    <xf borderId="60" fillId="0" fontId="3" numFmtId="0" xfId="0" applyBorder="1" applyFont="1"/>
    <xf borderId="61" fillId="0" fontId="3" numFmtId="0" xfId="0" applyBorder="1" applyFont="1"/>
    <xf borderId="24" fillId="0" fontId="3" numFmtId="0" xfId="0" applyBorder="1" applyFont="1"/>
    <xf borderId="1" fillId="0" fontId="8" numFmtId="164" xfId="0" applyAlignment="1" applyBorder="1" applyFont="1" applyNumberFormat="1">
      <alignment horizontal="center" shrinkToFit="0" wrapText="1"/>
    </xf>
    <xf borderId="62" fillId="2" fontId="45" numFmtId="0" xfId="0" applyAlignment="1" applyBorder="1" applyFill="1" applyFont="1">
      <alignment horizontal="center" readingOrder="0" shrinkToFit="0" vertical="center" wrapText="1"/>
    </xf>
    <xf borderId="45" fillId="0" fontId="3" numFmtId="0" xfId="0" applyBorder="1" applyFont="1"/>
    <xf borderId="63" fillId="0" fontId="3" numFmtId="0" xfId="0" applyBorder="1" applyFont="1"/>
    <xf borderId="64" fillId="0" fontId="3" numFmtId="0" xfId="0" applyBorder="1" applyFont="1"/>
    <xf borderId="1" fillId="2" fontId="16" numFmtId="0" xfId="0" applyAlignment="1" applyBorder="1" applyFill="1" applyFont="1">
      <alignment readingOrder="0" shrinkToFit="0" vertical="top" wrapText="1"/>
    </xf>
    <xf borderId="1" fillId="2" fontId="16" numFmtId="0" xfId="0" applyAlignment="1" applyBorder="1" applyFill="1" applyFont="1">
      <alignment readingOrder="0" shrinkToFit="0" vertical="center" wrapText="1"/>
    </xf>
    <xf borderId="65" fillId="6" fontId="32" numFmtId="0" xfId="0" applyAlignment="1" applyBorder="1" applyFill="1" applyFont="1">
      <alignment readingOrder="0" shrinkToFit="0" vertical="center" wrapText="1"/>
    </xf>
    <xf borderId="66" fillId="0" fontId="3" numFmtId="0" xfId="0" applyBorder="1" applyFont="1"/>
    <xf borderId="66" fillId="6" fontId="32" numFmtId="0" xfId="0" applyAlignment="1" applyBorder="1" applyFill="1" applyFont="1">
      <alignment readingOrder="0" shrinkToFit="0" vertical="center" wrapText="1"/>
    </xf>
    <xf borderId="66" fillId="6" fontId="38" numFmtId="0" xfId="0" applyAlignment="1" applyBorder="1" applyFill="1" applyFont="1">
      <alignment shrinkToFit="0" vertical="center" wrapText="1"/>
    </xf>
    <xf borderId="67" fillId="6" fontId="39" numFmtId="0" xfId="0" applyAlignment="1" applyBorder="1" applyFill="1" applyFont="1">
      <alignment horizontal="center" readingOrder="0" vertical="center"/>
    </xf>
    <xf borderId="36" fillId="6" fontId="40" numFmtId="0" xfId="0" applyAlignment="1" applyBorder="1" applyFill="1" applyFont="1">
      <alignment horizontal="center" readingOrder="0" vertical="center"/>
    </xf>
    <xf borderId="36" fillId="6" fontId="41" numFmtId="0" xfId="0" applyAlignment="1" applyBorder="1" applyFill="1" applyFont="1">
      <alignment horizontal="center" readingOrder="0" vertical="center"/>
    </xf>
    <xf borderId="1" fillId="0" fontId="46" numFmtId="0" xfId="0" applyAlignment="1" applyBorder="1" applyFont="1">
      <alignment readingOrder="0" shrinkToFit="0" vertical="center" wrapText="1"/>
    </xf>
    <xf borderId="36" fillId="6" fontId="39" numFmtId="0" xfId="0" applyAlignment="1" applyBorder="1" applyFill="1" applyFont="1">
      <alignment horizontal="center" readingOrder="0" vertical="center"/>
    </xf>
    <xf borderId="66" fillId="6" fontId="39" numFmtId="0" xfId="0" applyAlignment="1" applyBorder="1" applyFill="1" applyFont="1">
      <alignment horizontal="center" readingOrder="0" vertical="center"/>
    </xf>
    <xf borderId="68" fillId="6" fontId="41" numFmtId="0" xfId="0" applyAlignment="1" applyBorder="1" applyFill="1" applyFont="1">
      <alignment horizontal="center" readingOrder="0" shrinkToFit="0" vertical="center" wrapText="1"/>
    </xf>
    <xf borderId="68" fillId="6" fontId="40" numFmtId="0" xfId="0" applyAlignment="1" applyBorder="1" applyFill="1" applyFont="1">
      <alignment horizontal="center" readingOrder="0" vertical="center"/>
    </xf>
    <xf borderId="69" fillId="6" fontId="40" numFmtId="0" xfId="0" applyAlignment="1" applyBorder="1" applyFill="1" applyFont="1">
      <alignment horizontal="center" readingOrder="0" vertical="center"/>
    </xf>
    <xf borderId="1" fillId="2" fontId="47" numFmtId="0" xfId="0" applyAlignment="1" applyBorder="1" applyFill="1" applyFont="1">
      <alignment readingOrder="0" shrinkToFit="0" wrapText="1"/>
    </xf>
    <xf borderId="70" fillId="0" fontId="29" numFmtId="0" xfId="0" applyAlignment="1" applyBorder="1" applyFont="1">
      <alignment readingOrder="0" shrinkToFit="0" vertical="top" wrapText="1"/>
    </xf>
    <xf borderId="1" fillId="0" fontId="48" numFmtId="0" xfId="0" applyAlignment="1" applyBorder="1" applyFont="1">
      <alignment readingOrder="0" shrinkToFit="0" vertical="bottom" wrapText="1"/>
    </xf>
    <xf borderId="71" fillId="0" fontId="29" numFmtId="0" xfId="0" applyAlignment="1" applyBorder="1" applyFont="1">
      <alignment horizontal="center" readingOrder="0" vertical="top"/>
    </xf>
    <xf borderId="72" fillId="0" fontId="29" numFmtId="0" xfId="0" applyAlignment="1" applyBorder="1" applyFont="1">
      <alignment horizontal="center" readingOrder="0" vertical="top"/>
    </xf>
    <xf borderId="0" fillId="2" fontId="38" numFmtId="0" xfId="0" applyAlignment="1" applyFill="1" applyFont="1">
      <alignment shrinkToFit="0" vertical="center" wrapText="1"/>
    </xf>
    <xf borderId="73" fillId="0" fontId="29" numFmtId="0" xfId="0" applyAlignment="1" applyBorder="1" applyFont="1">
      <alignment shrinkToFit="0" vertical="center" wrapText="1"/>
    </xf>
    <xf borderId="1" fillId="2" fontId="49" numFmtId="0" xfId="0" applyAlignment="1" applyBorder="1" applyFill="1" applyFont="1">
      <alignment readingOrder="0" shrinkToFit="0" vertical="center" wrapText="1"/>
    </xf>
    <xf borderId="1" fillId="0" fontId="50" numFmtId="0" xfId="0" applyAlignment="1" applyBorder="1" applyFont="1">
      <alignment readingOrder="0" shrinkToFit="0" vertical="bottom" wrapText="1"/>
    </xf>
    <xf borderId="74" fillId="7" fontId="38" numFmtId="0" xfId="0" applyAlignment="1" applyBorder="1" applyFill="1" applyFont="1">
      <alignment readingOrder="0" shrinkToFit="0" vertical="center" wrapText="1"/>
    </xf>
    <xf borderId="75" fillId="0" fontId="3" numFmtId="0" xfId="0" applyBorder="1" applyFont="1"/>
    <xf borderId="76" fillId="0" fontId="3" numFmtId="0" xfId="0" applyBorder="1" applyFont="1"/>
    <xf borderId="76" fillId="7" fontId="38" numFmtId="0" xfId="0" applyAlignment="1" applyBorder="1" applyFill="1" applyFont="1">
      <alignment shrinkToFit="0" vertical="center" wrapText="1"/>
    </xf>
    <xf borderId="77" fillId="7" fontId="41" numFmtId="0" xfId="0" applyAlignment="1" applyBorder="1" applyFill="1" applyFont="1">
      <alignment horizontal="center" readingOrder="0" vertical="center"/>
    </xf>
    <xf borderId="78" fillId="7" fontId="39" numFmtId="0" xfId="0" applyAlignment="1" applyBorder="1" applyFill="1" applyFont="1">
      <alignment horizontal="center" readingOrder="0" vertical="center"/>
    </xf>
    <xf borderId="71" fillId="7" fontId="39" numFmtId="0" xfId="0" applyAlignment="1" applyBorder="1" applyFill="1" applyFont="1">
      <alignment horizontal="center" readingOrder="0" vertical="center"/>
    </xf>
    <xf borderId="75" fillId="7" fontId="39" numFmtId="0" xfId="0" applyAlignment="1" applyBorder="1" applyFill="1" applyFont="1">
      <alignment horizontal="center" readingOrder="0" vertical="center"/>
    </xf>
    <xf borderId="79" fillId="7" fontId="39" numFmtId="0" xfId="0" applyAlignment="1" applyBorder="1" applyFill="1" applyFont="1">
      <alignment horizontal="center" readingOrder="0" vertical="center"/>
    </xf>
    <xf borderId="80" fillId="7" fontId="39" numFmtId="0" xfId="0" applyAlignment="1" applyBorder="1" applyFill="1" applyFont="1">
      <alignment horizontal="center" readingOrder="0" vertical="center"/>
    </xf>
    <xf borderId="81" fillId="0" fontId="29" numFmtId="0" xfId="0" applyAlignment="1" applyBorder="1" applyFont="1">
      <alignment readingOrder="0" shrinkToFit="0" vertical="top" wrapText="1"/>
    </xf>
    <xf borderId="31" fillId="0" fontId="29" numFmtId="0" xfId="0" applyAlignment="1" applyBorder="1" applyFont="1">
      <alignment horizontal="center" readingOrder="0" vertical="top"/>
    </xf>
    <xf borderId="82" fillId="0" fontId="29" numFmtId="0" xfId="0" applyAlignment="1" applyBorder="1" applyFont="1">
      <alignment horizontal="center" vertical="top"/>
    </xf>
    <xf borderId="17" fillId="2" fontId="38" numFmtId="0" xfId="0" applyAlignment="1" applyBorder="1" applyFill="1" applyFont="1">
      <alignment shrinkToFit="0" vertical="center" wrapText="1"/>
    </xf>
    <xf borderId="83" fillId="0" fontId="29" numFmtId="0" xfId="0" applyAlignment="1" applyBorder="1" applyFont="1">
      <alignment shrinkToFit="0" vertical="center" wrapText="1"/>
    </xf>
    <xf borderId="84" fillId="5" fontId="38" numFmtId="0" xfId="0" applyAlignment="1" applyBorder="1" applyFill="1" applyFont="1">
      <alignment readingOrder="0" shrinkToFit="0" vertical="center" wrapText="1"/>
    </xf>
    <xf borderId="85" fillId="0" fontId="3" numFmtId="0" xfId="0" applyBorder="1" applyFont="1"/>
    <xf borderId="86" fillId="0" fontId="3" numFmtId="0" xfId="0" applyBorder="1" applyFont="1"/>
    <xf borderId="86" fillId="5" fontId="38" numFmtId="0" xfId="0" applyAlignment="1" applyBorder="1" applyFill="1" applyFont="1">
      <alignment shrinkToFit="0" vertical="center" wrapText="1"/>
    </xf>
    <xf borderId="83" fillId="5" fontId="40" numFmtId="0" xfId="0" applyAlignment="1" applyBorder="1" applyFill="1" applyFont="1">
      <alignment horizontal="center" readingOrder="0" vertical="center"/>
    </xf>
    <xf borderId="31" fillId="5" fontId="39" numFmtId="0" xfId="0" applyAlignment="1" applyBorder="1" applyFill="1" applyFont="1">
      <alignment horizontal="center" readingOrder="0" vertical="center"/>
    </xf>
    <xf borderId="31" fillId="5" fontId="39" numFmtId="0" xfId="0" applyAlignment="1" applyBorder="1" applyFill="1" applyFont="1">
      <alignment horizontal="center" vertical="center"/>
    </xf>
    <xf borderId="85" fillId="5" fontId="41" numFmtId="0" xfId="0" applyAlignment="1" applyBorder="1" applyFill="1" applyFont="1">
      <alignment horizontal="center" readingOrder="0" vertical="center"/>
    </xf>
    <xf borderId="87" fillId="5" fontId="39" numFmtId="0" xfId="0" applyAlignment="1" applyBorder="1" applyFill="1" applyFont="1">
      <alignment horizontal="center" readingOrder="0" vertical="center"/>
    </xf>
    <xf borderId="1" fillId="0" fontId="51" numFmtId="0" xfId="0" applyAlignment="1" applyBorder="1" applyFont="1">
      <alignment readingOrder="0" shrinkToFit="0" vertical="bottom" wrapText="1"/>
    </xf>
    <xf borderId="87" fillId="5" fontId="39" numFmtId="0" xfId="0" applyAlignment="1" applyBorder="1" applyFill="1" applyFont="1">
      <alignment horizontal="center" readingOrder="0" vertical="center"/>
    </xf>
    <xf borderId="88" fillId="5" fontId="39" numFmtId="0" xfId="0" applyAlignment="1" applyBorder="1" applyFill="1" applyFont="1">
      <alignment horizontal="center" readingOrder="0" vertical="center"/>
    </xf>
    <xf borderId="1" fillId="0" fontId="52" numFmtId="0" xfId="0" applyAlignment="1" applyBorder="1" applyFont="1">
      <alignment vertical="bottom"/>
    </xf>
    <xf borderId="31" fillId="0" fontId="29" numFmtId="0" xfId="0" applyAlignment="1" applyBorder="1" applyFont="1">
      <alignment horizontal="center" vertical="top"/>
    </xf>
    <xf borderId="31" fillId="0" fontId="29" numFmtId="0" xfId="0" applyAlignment="1" applyBorder="1" applyFont="1">
      <alignment shrinkToFit="0" vertical="center" wrapText="1"/>
    </xf>
    <xf borderId="84" fillId="8" fontId="29" numFmtId="0" xfId="0" applyAlignment="1" applyBorder="1" applyFill="1" applyFont="1">
      <alignment readingOrder="0" shrinkToFit="0" vertical="center" wrapText="0"/>
    </xf>
    <xf borderId="86" fillId="8" fontId="29" numFmtId="0" xfId="0" applyAlignment="1" applyBorder="1" applyFill="1" applyFont="1">
      <alignment shrinkToFit="0" vertical="center" wrapText="1"/>
    </xf>
    <xf borderId="83" fillId="8" fontId="39" numFmtId="0" xfId="0" applyAlignment="1" applyBorder="1" applyFill="1" applyFont="1">
      <alignment horizontal="center" readingOrder="0" vertical="center"/>
    </xf>
    <xf borderId="31" fillId="8" fontId="39" numFmtId="0" xfId="0" applyAlignment="1" applyBorder="1" applyFill="1" applyFont="1">
      <alignment horizontal="center" readingOrder="0" vertical="center"/>
    </xf>
    <xf borderId="31" fillId="8" fontId="40" numFmtId="0" xfId="0" applyAlignment="1" applyBorder="1" applyFill="1" applyFont="1">
      <alignment horizontal="center" readingOrder="0" vertical="center"/>
    </xf>
    <xf borderId="31" fillId="8" fontId="39" numFmtId="0" xfId="0" applyAlignment="1" applyBorder="1" applyFill="1" applyFont="1">
      <alignment horizontal="center" vertical="center"/>
    </xf>
    <xf borderId="85" fillId="8" fontId="41" numFmtId="0" xfId="0" applyAlignment="1" applyBorder="1" applyFill="1" applyFont="1">
      <alignment horizontal="center" readingOrder="0" vertical="center"/>
    </xf>
    <xf borderId="87" fillId="8" fontId="39" numFmtId="0" xfId="0" applyAlignment="1" applyBorder="1" applyFill="1" applyFont="1">
      <alignment horizontal="center" readingOrder="0" vertical="center"/>
    </xf>
    <xf borderId="87" fillId="8" fontId="39" numFmtId="0" xfId="0" applyAlignment="1" applyBorder="1" applyFill="1" applyFont="1">
      <alignment horizontal="center" readingOrder="0" vertical="center"/>
    </xf>
    <xf borderId="88" fillId="8" fontId="39" numFmtId="0" xfId="0" applyAlignment="1" applyBorder="1" applyFill="1" applyFont="1">
      <alignment horizontal="center" readingOrder="0" vertical="center"/>
    </xf>
    <xf borderId="84" fillId="0" fontId="29" numFmtId="0" xfId="0" applyAlignment="1" applyBorder="1" applyFont="1">
      <alignment shrinkToFit="0" vertical="center" wrapText="1"/>
    </xf>
    <xf borderId="1" fillId="2" fontId="53" numFmtId="0" xfId="0" applyAlignment="1" applyBorder="1" applyFill="1" applyFont="1">
      <alignment readingOrder="0" vertical="center"/>
    </xf>
    <xf borderId="1" fillId="0" fontId="16" numFmtId="0" xfId="0" applyAlignment="1" applyBorder="1" applyFont="1">
      <alignment horizontal="left" readingOrder="0" shrinkToFit="0" vertical="top" wrapText="1"/>
    </xf>
    <xf borderId="84" fillId="0" fontId="54" numFmtId="0" xfId="0" applyAlignment="1" applyBorder="1" applyFont="1">
      <alignment horizontal="left" readingOrder="0" shrinkToFit="0" vertical="center" wrapText="0"/>
    </xf>
    <xf borderId="86" fillId="0" fontId="55" numFmtId="0" xfId="0" applyAlignment="1" applyBorder="1" applyFont="1">
      <alignment horizontal="left" readingOrder="0" shrinkToFit="0" vertical="center" wrapText="1"/>
    </xf>
    <xf borderId="86" fillId="2" fontId="29" numFmtId="0" xfId="0" applyAlignment="1" applyBorder="1" applyFill="1" applyFont="1">
      <alignment shrinkToFit="0" vertical="center" wrapText="1"/>
    </xf>
    <xf borderId="83" fillId="2" fontId="39" numFmtId="0" xfId="0" applyAlignment="1" applyBorder="1" applyFill="1" applyFont="1">
      <alignment horizontal="center" readingOrder="0" vertical="center"/>
    </xf>
    <xf borderId="31" fillId="2" fontId="39" numFmtId="0" xfId="0" applyAlignment="1" applyBorder="1" applyFill="1" applyFont="1">
      <alignment horizontal="center" readingOrder="0" vertical="center"/>
    </xf>
    <xf borderId="1" fillId="0" fontId="56" numFmtId="0" xfId="0" applyAlignment="1" applyBorder="1" applyFont="1">
      <alignment readingOrder="0" vertical="center"/>
    </xf>
    <xf borderId="31" fillId="2" fontId="39" numFmtId="0" xfId="0" applyAlignment="1" applyBorder="1" applyFill="1" applyFont="1">
      <alignment horizontal="center" vertical="center"/>
    </xf>
    <xf borderId="85" fillId="2" fontId="39" numFmtId="0" xfId="0" applyAlignment="1" applyBorder="1" applyFill="1" applyFont="1">
      <alignment horizontal="center" readingOrder="0" vertical="center"/>
    </xf>
    <xf borderId="87" fillId="2" fontId="39" numFmtId="0" xfId="0" applyAlignment="1" applyBorder="1" applyFill="1" applyFont="1">
      <alignment horizontal="center" readingOrder="0" vertical="center"/>
    </xf>
    <xf borderId="87" fillId="2" fontId="39" numFmtId="0" xfId="0" applyAlignment="1" applyBorder="1" applyFill="1" applyFont="1">
      <alignment horizontal="center" readingOrder="0" vertical="center"/>
    </xf>
    <xf borderId="88" fillId="2" fontId="39" numFmtId="0" xfId="0" applyAlignment="1" applyBorder="1" applyFill="1" applyFont="1">
      <alignment horizontal="center" readingOrder="0" vertical="center"/>
    </xf>
    <xf borderId="1" fillId="0" fontId="57" numFmtId="0" xfId="0" applyAlignment="1" applyBorder="1" applyFont="1">
      <alignment readingOrder="0" shrinkToFit="0" wrapText="1"/>
    </xf>
    <xf borderId="1" fillId="0" fontId="58" numFmtId="0" xfId="0" applyAlignment="1" applyBorder="1" applyFont="1">
      <alignment readingOrder="0" vertical="bottom"/>
    </xf>
    <xf borderId="84" fillId="0" fontId="59" numFmtId="0" xfId="0" applyAlignment="1" applyBorder="1" applyFont="1">
      <alignment horizontal="left" readingOrder="0" shrinkToFit="0" vertical="center" wrapText="0"/>
    </xf>
    <xf borderId="1" fillId="0" fontId="60" numFmtId="0" xfId="0" applyAlignment="1" applyBorder="1" applyFont="1">
      <alignment readingOrder="0" vertical="bottom"/>
    </xf>
    <xf borderId="2" fillId="0" fontId="61" numFmtId="0" xfId="0" applyAlignment="1" applyBorder="1" applyFont="1">
      <alignment readingOrder="0" shrinkToFit="0" vertical="bottom" wrapText="1"/>
    </xf>
    <xf borderId="2" fillId="0" fontId="62" numFmtId="0" xfId="0" applyAlignment="1" applyBorder="1" applyFont="1">
      <alignment readingOrder="0" shrinkToFit="0" vertical="bottom" wrapText="0"/>
    </xf>
    <xf borderId="1" fillId="0" fontId="16" numFmtId="0" xfId="0" applyAlignment="1" applyBorder="1" applyFont="1">
      <alignment readingOrder="0" shrinkToFit="0" vertical="top" wrapText="1"/>
    </xf>
    <xf borderId="1" fillId="0" fontId="63" numFmtId="0" xfId="0" applyAlignment="1" applyBorder="1" applyFont="1">
      <alignment readingOrder="0" vertical="bottom"/>
    </xf>
    <xf borderId="31" fillId="5" fontId="40" numFmtId="0" xfId="0" applyAlignment="1" applyBorder="1" applyFill="1" applyFont="1">
      <alignment horizontal="center" readingOrder="0" vertical="center"/>
    </xf>
    <xf borderId="1" fillId="2" fontId="8" numFmtId="164" xfId="0" applyAlignment="1" applyBorder="1" applyFill="1" applyFont="1" applyNumberFormat="1">
      <alignment horizontal="center" shrinkToFit="0" wrapText="1"/>
    </xf>
    <xf borderId="85" fillId="5" fontId="40" numFmtId="0" xfId="0" applyAlignment="1" applyBorder="1" applyFill="1" applyFont="1">
      <alignment horizontal="center" readingOrder="0" vertical="center"/>
    </xf>
    <xf borderId="1" fillId="2" fontId="64" numFmtId="0" xfId="0" applyAlignment="1" applyBorder="1" applyFill="1" applyFont="1">
      <alignment horizontal="center"/>
    </xf>
    <xf borderId="87" fillId="5" fontId="40" numFmtId="0" xfId="0" applyAlignment="1" applyBorder="1" applyFill="1" applyFont="1">
      <alignment horizontal="center" readingOrder="0" vertical="center"/>
    </xf>
    <xf borderId="83" fillId="2" fontId="29" numFmtId="0" xfId="0" applyAlignment="1" applyBorder="1" applyFill="1" applyFont="1">
      <alignment shrinkToFit="0" vertical="center" wrapText="1"/>
    </xf>
    <xf borderId="31" fillId="2" fontId="38" numFmtId="0" xfId="0" applyAlignment="1" applyBorder="1" applyFill="1" applyFont="1">
      <alignment shrinkToFit="0" vertical="center" wrapText="1"/>
    </xf>
    <xf borderId="1" fillId="2" fontId="65" numFmtId="0" xfId="0" applyAlignment="1" applyBorder="1" applyFill="1" applyFont="1">
      <alignment readingOrder="0" shrinkToFit="0" vertical="center" wrapText="0"/>
    </xf>
    <xf borderId="1" fillId="2" fontId="66" numFmtId="0" xfId="0" applyAlignment="1" applyBorder="1" applyFill="1" applyFont="1">
      <alignment shrinkToFit="0" wrapText="1"/>
    </xf>
    <xf borderId="89" fillId="0" fontId="2" numFmtId="0" xfId="0" applyAlignment="1" applyBorder="1" applyFont="1">
      <alignment shrinkToFit="0" vertical="center" wrapText="1"/>
    </xf>
    <xf borderId="1" fillId="2" fontId="64" numFmtId="0" xfId="0" applyAlignment="1" applyBorder="1" applyFill="1" applyFont="1">
      <alignment shrinkToFit="0" wrapText="1"/>
    </xf>
    <xf borderId="90" fillId="0" fontId="11" numFmtId="0" xfId="0" applyAlignment="1" applyBorder="1" applyFont="1">
      <alignment horizontal="center" shrinkToFit="0" vertical="center" wrapText="1"/>
    </xf>
    <xf borderId="0" fillId="2" fontId="8" numFmtId="0" xfId="0" applyAlignment="1" applyFill="1" applyFont="1">
      <alignment vertical="bottom"/>
    </xf>
    <xf borderId="89" fillId="0" fontId="4" numFmtId="0" xfId="0" applyAlignment="1" applyBorder="1" applyFont="1">
      <alignment horizontal="center" readingOrder="0" shrinkToFit="0" vertical="center" wrapText="1"/>
    </xf>
    <xf borderId="91" fillId="0" fontId="4" numFmtId="0" xfId="0" applyAlignment="1" applyBorder="1" applyFont="1">
      <alignment shrinkToFit="0" vertical="center" wrapText="1"/>
    </xf>
    <xf borderId="86" fillId="2" fontId="38" numFmtId="0" xfId="0" applyAlignment="1" applyBorder="1" applyFill="1" applyFont="1">
      <alignment shrinkToFit="0" vertical="center" wrapText="1"/>
    </xf>
    <xf borderId="0" fillId="0" fontId="8" numFmtId="0" xfId="0" applyAlignment="1" applyFont="1">
      <alignment vertical="bottom"/>
    </xf>
    <xf borderId="83" fillId="5" fontId="39" numFmtId="0" xfId="0" applyAlignment="1" applyBorder="1" applyFill="1" applyFont="1">
      <alignment horizontal="center" readingOrder="0" vertical="center"/>
    </xf>
    <xf borderId="9" fillId="0" fontId="2" numFmtId="0" xfId="0" applyAlignment="1" applyBorder="1" applyFont="1">
      <alignment shrinkToFit="0" vertical="center" wrapText="1"/>
    </xf>
    <xf borderId="1" fillId="0" fontId="16" numFmtId="0" xfId="0" applyBorder="1" applyFont="1"/>
    <xf borderId="1" fillId="2" fontId="64" numFmtId="0" xfId="0" applyAlignment="1" applyBorder="1" applyFill="1" applyFont="1">
      <alignment horizontal="center" readingOrder="0"/>
    </xf>
    <xf borderId="31" fillId="5" fontId="41" numFmtId="0" xfId="0" applyAlignment="1" applyBorder="1" applyFill="1" applyFont="1">
      <alignment horizontal="center" readingOrder="0" vertical="center"/>
    </xf>
    <xf borderId="9" fillId="0" fontId="4" numFmtId="0" xfId="0" applyAlignment="1" applyBorder="1" applyFont="1">
      <alignment horizontal="center" readingOrder="0" shrinkToFit="0" vertical="center" wrapText="1"/>
    </xf>
    <xf borderId="87" fillId="5" fontId="41" numFmtId="0" xfId="0" applyAlignment="1" applyBorder="1" applyFill="1" applyFont="1">
      <alignment horizontal="center" readingOrder="0" vertical="center"/>
    </xf>
    <xf borderId="84" fillId="8" fontId="29" numFmtId="0" xfId="0" applyAlignment="1" applyBorder="1" applyFill="1" applyFont="1">
      <alignment readingOrder="0" shrinkToFit="0" vertical="center" wrapText="1"/>
    </xf>
    <xf borderId="83" fillId="8" fontId="40" numFmtId="0" xfId="0" applyAlignment="1" applyBorder="1" applyFill="1" applyFont="1">
      <alignment horizontal="center" readingOrder="0" vertical="center"/>
    </xf>
    <xf borderId="85" fillId="8" fontId="39" numFmtId="0" xfId="0" applyAlignment="1" applyBorder="1" applyFill="1" applyFont="1">
      <alignment horizontal="center" readingOrder="0" vertical="center"/>
    </xf>
    <xf borderId="1" fillId="2" fontId="67" numFmtId="0" xfId="0" applyAlignment="1" applyBorder="1" applyFill="1" applyFont="1">
      <alignment readingOrder="0" shrinkToFit="0" vertical="center" wrapText="1"/>
    </xf>
    <xf borderId="9" fillId="0" fontId="2" numFmtId="0" xfId="0" applyAlignment="1" applyBorder="1" applyFont="1">
      <alignment readingOrder="0" shrinkToFit="0" vertical="center" wrapText="1"/>
    </xf>
    <xf borderId="92" fillId="0" fontId="29" numFmtId="0" xfId="0" applyAlignment="1" applyBorder="1" applyFont="1">
      <alignment shrinkToFit="0" vertical="center" wrapText="1"/>
    </xf>
    <xf borderId="93" fillId="5" fontId="38" numFmtId="0" xfId="0" applyAlignment="1" applyBorder="1" applyFill="1" applyFont="1">
      <alignment readingOrder="0" shrinkToFit="0" vertical="center" wrapText="1"/>
    </xf>
    <xf borderId="52" fillId="5" fontId="38" numFmtId="0" xfId="0" applyAlignment="1" applyBorder="1" applyFill="1" applyFont="1">
      <alignment shrinkToFit="0" vertical="center" wrapText="1"/>
    </xf>
    <xf borderId="92" fillId="5" fontId="40" numFmtId="0" xfId="0" applyAlignment="1" applyBorder="1" applyFill="1" applyFont="1">
      <alignment horizontal="center" readingOrder="0" vertical="center"/>
    </xf>
    <xf borderId="54" fillId="5" fontId="39" numFmtId="0" xfId="0" applyAlignment="1" applyBorder="1" applyFill="1" applyFont="1">
      <alignment horizontal="center" readingOrder="0" vertical="center"/>
    </xf>
    <xf borderId="54" fillId="5" fontId="40" numFmtId="0" xfId="0" applyAlignment="1" applyBorder="1" applyFill="1" applyFont="1">
      <alignment horizontal="center" readingOrder="0" vertical="center"/>
    </xf>
    <xf borderId="10" fillId="0" fontId="68" numFmtId="0" xfId="0" applyAlignment="1" applyBorder="1" applyFont="1">
      <alignment horizontal="center" readingOrder="0" shrinkToFit="0" vertical="center" wrapText="1"/>
    </xf>
    <xf borderId="51" fillId="5" fontId="40" numFmtId="0" xfId="0" applyAlignment="1" applyBorder="1" applyFill="1" applyFont="1">
      <alignment horizontal="center" readingOrder="0" vertical="center"/>
    </xf>
    <xf borderId="94" fillId="5" fontId="40" numFmtId="0" xfId="0" applyAlignment="1" applyBorder="1" applyFill="1" applyFont="1">
      <alignment horizontal="center" readingOrder="0" vertical="center"/>
    </xf>
    <xf borderId="94" fillId="5" fontId="39" numFmtId="0" xfId="0" applyAlignment="1" applyBorder="1" applyFill="1" applyFont="1">
      <alignment horizontal="center" readingOrder="0" vertical="center"/>
    </xf>
    <xf borderId="56" fillId="5" fontId="39" numFmtId="0" xfId="0" applyAlignment="1" applyBorder="1" applyFill="1" applyFont="1">
      <alignment horizontal="center" readingOrder="0" vertical="center"/>
    </xf>
    <xf borderId="95" fillId="0" fontId="29" numFmtId="0" xfId="0" applyAlignment="1" applyBorder="1" applyFont="1">
      <alignment readingOrder="0" shrinkToFit="0" vertical="top" wrapText="1"/>
    </xf>
    <xf borderId="96" fillId="0" fontId="29" numFmtId="0" xfId="0" applyAlignment="1" applyBorder="1" applyFont="1">
      <alignment horizontal="center" readingOrder="0" vertical="top"/>
    </xf>
    <xf borderId="96" fillId="0" fontId="29" numFmtId="0" xfId="0" applyAlignment="1" applyBorder="1" applyFont="1">
      <alignment horizontal="center" vertical="top"/>
    </xf>
    <xf borderId="97" fillId="0" fontId="29" numFmtId="0" xfId="0" applyAlignment="1" applyBorder="1" applyFont="1">
      <alignment horizontal="center" vertical="top"/>
    </xf>
    <xf borderId="1" fillId="0" fontId="69" numFmtId="0" xfId="0" applyAlignment="1" applyBorder="1" applyFont="1">
      <alignment readingOrder="0" shrinkToFit="0" vertical="center" wrapText="1"/>
    </xf>
    <xf borderId="77" fillId="7" fontId="39" numFmtId="0" xfId="0" applyAlignment="1" applyBorder="1" applyFill="1" applyFont="1">
      <alignment horizontal="center" readingOrder="0" vertical="center"/>
    </xf>
    <xf borderId="1" fillId="0" fontId="70" numFmtId="0" xfId="0" applyAlignment="1" applyBorder="1" applyFont="1">
      <alignment horizontal="left" readingOrder="0" shrinkToFit="0" vertical="top" wrapText="1"/>
    </xf>
    <xf borderId="71" fillId="7" fontId="41" numFmtId="0" xfId="0" applyAlignment="1" applyBorder="1" applyFill="1" applyFont="1">
      <alignment horizontal="center" readingOrder="0" vertical="center"/>
    </xf>
    <xf borderId="1" fillId="0" fontId="16" numFmtId="0" xfId="0" applyAlignment="1" applyBorder="1" applyFont="1">
      <alignment readingOrder="0" shrinkToFit="0" wrapText="1"/>
    </xf>
    <xf borderId="79" fillId="7" fontId="41" numFmtId="0" xfId="0" applyAlignment="1" applyBorder="1" applyFill="1" applyFont="1">
      <alignment horizontal="center" readingOrder="0" vertical="center"/>
    </xf>
    <xf borderId="1" fillId="0" fontId="16" numFmtId="0" xfId="0" applyAlignment="1" applyBorder="1" applyFont="1">
      <alignment shrinkToFit="0" wrapText="1"/>
    </xf>
    <xf borderId="45" fillId="7" fontId="39" numFmtId="0" xfId="0" applyAlignment="1" applyBorder="1" applyFill="1" applyFont="1">
      <alignment horizontal="center" readingOrder="0" vertical="center"/>
    </xf>
    <xf borderId="1" fillId="0" fontId="16" numFmtId="0" xfId="0" applyAlignment="1" applyBorder="1" applyFont="1">
      <alignment readingOrder="0" shrinkToFit="0" vertical="top" wrapText="1"/>
    </xf>
    <xf borderId="83" fillId="5" fontId="39" numFmtId="0" xfId="0" applyAlignment="1" applyBorder="1" applyFill="1" applyFont="1">
      <alignment horizontal="center" vertical="center"/>
    </xf>
    <xf borderId="0" fillId="0" fontId="71" numFmtId="0" xfId="0" applyAlignment="1" applyFont="1">
      <alignment shrinkToFit="0" wrapText="1"/>
    </xf>
    <xf borderId="84" fillId="5" fontId="40" numFmtId="0" xfId="0" applyAlignment="1" applyBorder="1" applyFill="1" applyFont="1">
      <alignment horizontal="center" readingOrder="0" vertical="center"/>
    </xf>
    <xf borderId="0" fillId="0" fontId="71" numFmtId="0" xfId="0" applyFont="1"/>
    <xf borderId="0" fillId="0" fontId="71" numFmtId="0" xfId="0" applyAlignment="1" applyFont="1">
      <alignment readingOrder="0" shrinkToFit="0" wrapText="1"/>
    </xf>
    <xf borderId="1" fillId="0" fontId="72" numFmtId="0" xfId="0" applyAlignment="1" applyBorder="1" applyFont="1">
      <alignment readingOrder="0" shrinkToFit="0" wrapText="1"/>
    </xf>
    <xf borderId="1" fillId="0" fontId="73" numFmtId="0" xfId="0" applyAlignment="1" applyBorder="1" applyFont="1">
      <alignment readingOrder="0" shrinkToFit="0" vertical="center" wrapText="1"/>
    </xf>
    <xf borderId="84" fillId="0" fontId="74" numFmtId="0" xfId="0" applyAlignment="1" applyBorder="1" applyFont="1">
      <alignment horizontal="left" readingOrder="0" shrinkToFit="0" vertical="center" wrapText="0"/>
    </xf>
    <xf borderId="86" fillId="0" fontId="75" numFmtId="0" xfId="0" applyAlignment="1" applyBorder="1" applyFont="1">
      <alignment horizontal="left" readingOrder="0" shrinkToFit="0" vertical="center" wrapText="0"/>
    </xf>
    <xf borderId="83" fillId="2" fontId="39" numFmtId="0" xfId="0" applyAlignment="1" applyBorder="1" applyFill="1" applyFont="1">
      <alignment horizontal="center" vertical="center"/>
    </xf>
    <xf borderId="84" fillId="2" fontId="39" numFmtId="0" xfId="0" applyAlignment="1" applyBorder="1" applyFill="1" applyFont="1">
      <alignment horizontal="center" readingOrder="0" vertical="center"/>
    </xf>
    <xf borderId="1" fillId="0" fontId="8" numFmtId="0" xfId="0" applyAlignment="1" applyBorder="1" applyFont="1">
      <alignment horizontal="center" readingOrder="0" shrinkToFit="0" wrapText="1"/>
    </xf>
    <xf borderId="1" fillId="0" fontId="76" numFmtId="0" xfId="0" applyAlignment="1" applyBorder="1" applyFont="1">
      <alignment readingOrder="0" vertical="center"/>
    </xf>
    <xf borderId="0" fillId="0" fontId="0" numFmtId="0" xfId="0" applyAlignment="1" applyFont="1">
      <alignment horizontal="center" vertical="center"/>
    </xf>
    <xf borderId="83" fillId="8" fontId="39" numFmtId="0" xfId="0" applyAlignment="1" applyBorder="1" applyFill="1" applyFont="1">
      <alignment horizontal="center" vertical="center"/>
    </xf>
    <xf borderId="0" fillId="0" fontId="8" numFmtId="164" xfId="0" applyAlignment="1" applyFont="1" applyNumberFormat="1">
      <alignment horizontal="center" readingOrder="0" shrinkToFit="0" wrapText="1"/>
    </xf>
    <xf borderId="0" fillId="2" fontId="64" numFmtId="0" xfId="0" applyAlignment="1" applyFill="1" applyFont="1">
      <alignment horizontal="center" readingOrder="0"/>
    </xf>
    <xf borderId="84" fillId="8" fontId="39" numFmtId="0" xfId="0" applyAlignment="1" applyBorder="1" applyFill="1" applyFont="1">
      <alignment horizontal="center" readingOrder="0" vertical="center"/>
    </xf>
    <xf borderId="0" fillId="0" fontId="8" numFmtId="0" xfId="0" applyAlignment="1" applyFont="1">
      <alignment readingOrder="0" shrinkToFit="0" wrapText="1"/>
    </xf>
    <xf borderId="0" fillId="0" fontId="0" numFmtId="0" xfId="0" applyAlignment="1" applyFont="1">
      <alignment horizontal="left" readingOrder="0" shrinkToFit="0" vertical="center" wrapText="1"/>
    </xf>
    <xf borderId="0" fillId="2" fontId="29" numFmtId="0" xfId="0" applyAlignment="1" applyFill="1" applyFont="1">
      <alignment readingOrder="0" shrinkToFit="0" vertical="center" wrapText="0"/>
    </xf>
    <xf borderId="1" fillId="0" fontId="77" numFmtId="0" xfId="0" applyAlignment="1" applyBorder="1" applyFont="1">
      <alignment readingOrder="0" shrinkToFit="0" vertical="center" wrapText="1"/>
    </xf>
    <xf borderId="6" fillId="0" fontId="2" numFmtId="0" xfId="0" applyAlignment="1" applyBorder="1" applyFont="1">
      <alignment readingOrder="0" shrinkToFit="0" vertical="center" wrapText="1"/>
    </xf>
    <xf borderId="98" fillId="0" fontId="11" numFmtId="0" xfId="0" applyAlignment="1" applyBorder="1" applyFont="1">
      <alignment horizontal="center" shrinkToFit="0" vertical="center" wrapText="1"/>
    </xf>
    <xf borderId="99" fillId="0" fontId="4" numFmtId="0" xfId="0" applyAlignment="1" applyBorder="1" applyFont="1">
      <alignment horizontal="center" readingOrder="0" shrinkToFit="0" vertical="center" wrapText="1"/>
    </xf>
    <xf borderId="8" fillId="0" fontId="4" numFmtId="0" xfId="0" applyAlignment="1" applyBorder="1" applyFont="1">
      <alignment shrinkToFit="0" vertical="center" wrapText="1"/>
    </xf>
    <xf borderId="86" fillId="2" fontId="78" numFmtId="0" xfId="0" applyAlignment="1" applyBorder="1" applyFill="1" applyFont="1">
      <alignment horizontal="left" vertical="center"/>
    </xf>
    <xf borderId="2" fillId="0" fontId="2" numFmtId="0" xfId="0" applyAlignment="1" applyBorder="1" applyFont="1">
      <alignment readingOrder="0" shrinkToFit="0" vertical="center" wrapText="1"/>
    </xf>
    <xf borderId="86" fillId="2" fontId="79" numFmtId="0" xfId="0" applyAlignment="1" applyBorder="1" applyFill="1" applyFont="1">
      <alignment horizontal="left" vertical="center"/>
    </xf>
    <xf borderId="86" fillId="8" fontId="39" numFmtId="0" xfId="0" applyAlignment="1" applyBorder="1" applyFill="1" applyFont="1">
      <alignment shrinkToFit="0" vertical="center" wrapText="1"/>
    </xf>
    <xf borderId="17" fillId="0" fontId="4" numFmtId="0" xfId="0" applyAlignment="1" applyBorder="1" applyFont="1">
      <alignment horizontal="center" readingOrder="0" shrinkToFit="0" vertical="center" wrapText="1"/>
    </xf>
    <xf borderId="86" fillId="2" fontId="45" numFmtId="0" xfId="0" applyAlignment="1" applyBorder="1" applyFill="1" applyFont="1">
      <alignment shrinkToFit="0" vertical="center" wrapText="1"/>
    </xf>
    <xf borderId="33" fillId="2" fontId="38" numFmtId="0" xfId="0" applyAlignment="1" applyBorder="1" applyFill="1" applyFont="1">
      <alignment horizontal="center" readingOrder="0" shrinkToFit="0" vertical="center" wrapText="1"/>
    </xf>
    <xf borderId="66" fillId="2" fontId="38" numFmtId="0" xfId="0" applyAlignment="1" applyBorder="1" applyFill="1" applyFont="1">
      <alignment horizontal="center" shrinkToFit="0" vertical="center" wrapText="1"/>
    </xf>
    <xf borderId="100" fillId="2" fontId="39" numFmtId="0" xfId="0" applyAlignment="1" applyBorder="1" applyFill="1" applyFont="1">
      <alignment horizontal="center" readingOrder="0" shrinkToFit="0" vertical="center" wrapText="1"/>
    </xf>
    <xf borderId="2" fillId="2" fontId="40" numFmtId="0" xfId="0" applyAlignment="1" applyBorder="1" applyFill="1" applyFont="1">
      <alignment horizontal="center" readingOrder="0" shrinkToFit="0" vertical="center" wrapText="1"/>
    </xf>
    <xf borderId="101" fillId="2" fontId="38" numFmtId="0" xfId="0" applyAlignment="1" applyBorder="1" applyFill="1" applyFont="1">
      <alignment horizontal="center" readingOrder="0" shrinkToFit="0" vertical="center" wrapText="1"/>
    </xf>
    <xf borderId="26" fillId="2" fontId="38" numFmtId="0" xfId="0" applyAlignment="1" applyBorder="1" applyFill="1" applyFont="1">
      <alignment horizontal="center" readingOrder="0" shrinkToFit="0" vertical="center" wrapText="1"/>
    </xf>
    <xf borderId="102" fillId="2" fontId="40" numFmtId="0" xfId="0" applyAlignment="1" applyBorder="1" applyFill="1" applyFont="1">
      <alignment horizontal="center" readingOrder="0" shrinkToFit="0" vertical="center" wrapText="1"/>
    </xf>
    <xf borderId="55" fillId="2" fontId="40" numFmtId="0" xfId="0" applyAlignment="1" applyBorder="1" applyFill="1" applyFont="1">
      <alignment horizontal="center" readingOrder="0" shrinkToFit="0" vertical="center" wrapText="1"/>
    </xf>
    <xf borderId="29" fillId="2" fontId="40" numFmtId="0" xfId="0" applyAlignment="1" applyBorder="1" applyFill="1" applyFont="1">
      <alignment horizontal="center" readingOrder="0" vertical="center"/>
    </xf>
    <xf borderId="57" fillId="2" fontId="40" numFmtId="0" xfId="0" applyAlignment="1" applyBorder="1" applyFill="1" applyFont="1">
      <alignment horizontal="center" shrinkToFit="0" vertical="center" wrapText="1"/>
    </xf>
    <xf borderId="18" fillId="0" fontId="2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103" fillId="0" fontId="38" numFmtId="0" xfId="0" applyAlignment="1" applyBorder="1" applyFont="1">
      <alignment horizontal="center" readingOrder="0" shrinkToFit="0" vertical="top" wrapText="1"/>
    </xf>
    <xf borderId="0" fillId="0" fontId="4" numFmtId="0" xfId="0" applyAlignment="1" applyFont="1">
      <alignment horizontal="center" readingOrder="0" shrinkToFit="0" vertical="center" wrapText="1"/>
    </xf>
    <xf borderId="104" fillId="0" fontId="38" numFmtId="0" xfId="0" applyAlignment="1" applyBorder="1" applyFont="1">
      <alignment horizontal="center" readingOrder="0" shrinkToFit="0" vertical="top" wrapText="1"/>
    </xf>
    <xf borderId="105" fillId="0" fontId="38" numFmtId="0" xfId="0" applyAlignment="1" applyBorder="1" applyFont="1">
      <alignment horizontal="center" readingOrder="0" shrinkToFit="0" vertical="top" wrapText="1"/>
    </xf>
    <xf borderId="19" fillId="0" fontId="26" numFmtId="0" xfId="0" applyAlignment="1" applyBorder="1" applyFont="1">
      <alignment horizontal="center" vertical="center"/>
    </xf>
    <xf borderId="17" fillId="2" fontId="38" numFmtId="0" xfId="0" applyAlignment="1" applyBorder="1" applyFill="1" applyFont="1">
      <alignment horizontal="center" shrinkToFit="0" vertical="center" wrapText="1"/>
    </xf>
    <xf borderId="19" fillId="0" fontId="28" numFmtId="0" xfId="0" applyAlignment="1" applyBorder="1" applyFont="1">
      <alignment readingOrder="0" vertical="center"/>
    </xf>
    <xf borderId="102" fillId="0" fontId="3" numFmtId="0" xfId="0" applyBorder="1" applyFont="1"/>
    <xf borderId="44" fillId="0" fontId="38" numFmtId="0" xfId="0" applyAlignment="1" applyBorder="1" applyFont="1">
      <alignment horizontal="center" readingOrder="0" shrinkToFit="0" vertical="top" wrapText="1"/>
    </xf>
    <xf borderId="23" fillId="0" fontId="33" numFmtId="0" xfId="0" applyAlignment="1" applyBorder="1" applyFont="1">
      <alignment readingOrder="0" vertical="center"/>
    </xf>
    <xf borderId="106" fillId="0" fontId="38" numFmtId="0" xfId="0" applyAlignment="1" applyBorder="1" applyFont="1">
      <alignment horizontal="center" readingOrder="0" shrinkToFit="0" vertical="top" wrapText="1"/>
    </xf>
    <xf borderId="28" fillId="0" fontId="33" numFmtId="0" xfId="0" applyAlignment="1" applyBorder="1" applyFont="1">
      <alignment readingOrder="0" shrinkToFit="0" vertical="center" wrapText="0"/>
    </xf>
    <xf borderId="65" fillId="9" fontId="32" numFmtId="0" xfId="0" applyAlignment="1" applyBorder="1" applyFill="1" applyFont="1">
      <alignment readingOrder="0" shrinkToFit="0" vertical="center" wrapText="1"/>
    </xf>
    <xf borderId="66" fillId="9" fontId="32" numFmtId="0" xfId="0" applyAlignment="1" applyBorder="1" applyFill="1" applyFont="1">
      <alignment readingOrder="0" shrinkToFit="0" vertical="center" wrapText="1"/>
    </xf>
    <xf borderId="2" fillId="0" fontId="31" numFmtId="0" xfId="0" applyAlignment="1" applyBorder="1" applyFont="1">
      <alignment vertical="center"/>
    </xf>
    <xf borderId="66" fillId="9" fontId="38" numFmtId="0" xfId="0" applyAlignment="1" applyBorder="1" applyFill="1" applyFont="1">
      <alignment shrinkToFit="0" vertical="center" wrapText="1"/>
    </xf>
    <xf borderId="67" fillId="9" fontId="39" numFmtId="0" xfId="0" applyAlignment="1" applyBorder="1" applyFill="1" applyFont="1">
      <alignment horizontal="center" readingOrder="0" vertical="center"/>
    </xf>
    <xf borderId="36" fillId="9" fontId="40" numFmtId="0" xfId="0" applyAlignment="1" applyBorder="1" applyFill="1" applyFont="1">
      <alignment horizontal="center" readingOrder="0" vertical="center"/>
    </xf>
    <xf borderId="36" fillId="9" fontId="39" numFmtId="0" xfId="0" applyAlignment="1" applyBorder="1" applyFill="1" applyFont="1">
      <alignment horizontal="center" readingOrder="0" vertical="center"/>
    </xf>
    <xf borderId="68" fillId="9" fontId="40" numFmtId="0" xfId="0" applyAlignment="1" applyBorder="1" applyFill="1" applyFont="1">
      <alignment horizontal="center" readingOrder="0" vertical="center"/>
    </xf>
    <xf borderId="0" fillId="0" fontId="25" numFmtId="0" xfId="0" applyAlignment="1" applyFont="1">
      <alignment vertical="center"/>
    </xf>
    <xf borderId="69" fillId="9" fontId="40" numFmtId="0" xfId="0" applyAlignment="1" applyBorder="1" applyFill="1" applyFont="1">
      <alignment horizontal="center" readingOrder="0" vertical="center"/>
    </xf>
    <xf borderId="77" fillId="0" fontId="29" numFmtId="0" xfId="0" applyAlignment="1" applyBorder="1" applyFont="1">
      <alignment readingOrder="0" shrinkToFit="0" vertical="top" wrapText="1"/>
    </xf>
    <xf borderId="107" fillId="0" fontId="29" numFmtId="0" xfId="0" applyAlignment="1" applyBorder="1" applyFont="1">
      <alignment horizontal="center" readingOrder="0" vertical="top"/>
    </xf>
    <xf borderId="74" fillId="2" fontId="38" numFmtId="0" xfId="0" applyAlignment="1" applyBorder="1" applyFill="1" applyFont="1">
      <alignment horizontal="center" shrinkToFit="0" vertical="center" wrapText="1"/>
    </xf>
    <xf borderId="108" fillId="0" fontId="3" numFmtId="0" xfId="0" applyBorder="1" applyFont="1"/>
    <xf borderId="16" fillId="2" fontId="38" numFmtId="0" xfId="0" applyAlignment="1" applyBorder="1" applyFill="1" applyFont="1">
      <alignment horizontal="center" shrinkToFit="0" vertical="center" wrapText="1"/>
    </xf>
    <xf borderId="74" fillId="7" fontId="38" numFmtId="0" xfId="0" applyAlignment="1" applyBorder="1" applyFill="1" applyFont="1">
      <alignment shrinkToFit="0" vertical="center" wrapText="1"/>
    </xf>
    <xf borderId="2" fillId="2" fontId="39" numFmtId="0" xfId="0" applyAlignment="1" applyBorder="1" applyFill="1" applyFont="1">
      <alignment horizontal="center" shrinkToFit="0" vertical="center" wrapText="1"/>
    </xf>
    <xf borderId="109" fillId="7" fontId="39" numFmtId="0" xfId="0" applyAlignment="1" applyBorder="1" applyFill="1" applyFont="1">
      <alignment horizontal="center" readingOrder="0" vertical="center"/>
    </xf>
    <xf borderId="110" fillId="2" fontId="80" numFmtId="0" xfId="0" applyAlignment="1" applyBorder="1" applyFill="1" applyFont="1">
      <alignment horizontal="center" shrinkToFit="0" vertical="center" wrapText="1"/>
    </xf>
    <xf borderId="83" fillId="0" fontId="29" numFmtId="0" xfId="0" applyAlignment="1" applyBorder="1" applyFont="1">
      <alignment readingOrder="0" shrinkToFit="0" vertical="top" wrapText="1"/>
    </xf>
    <xf borderId="111" fillId="0" fontId="29" numFmtId="0" xfId="0" applyAlignment="1" applyBorder="1" applyFont="1">
      <alignment horizontal="center" vertical="top"/>
    </xf>
    <xf borderId="53" fillId="0" fontId="3" numFmtId="0" xfId="0" applyBorder="1" applyFont="1"/>
    <xf borderId="0" fillId="3" fontId="81" numFmtId="0" xfId="0" applyAlignment="1" applyFill="1" applyFont="1">
      <alignment horizontal="center" readingOrder="0" vertical="center"/>
    </xf>
    <xf borderId="84" fillId="5" fontId="38" numFmtId="0" xfId="0" applyAlignment="1" applyBorder="1" applyFill="1" applyFont="1">
      <alignment shrinkToFit="0" vertical="center" wrapText="1"/>
    </xf>
    <xf borderId="112" fillId="2" fontId="40" numFmtId="0" xfId="0" applyAlignment="1" applyBorder="1" applyFill="1" applyFont="1">
      <alignment horizontal="center" shrinkToFit="0" vertical="center" wrapText="1"/>
    </xf>
    <xf borderId="104" fillId="2" fontId="40" numFmtId="0" xfId="0" applyAlignment="1" applyBorder="1" applyFill="1" applyFont="1">
      <alignment horizontal="center" shrinkToFit="0" vertical="center" wrapText="1"/>
    </xf>
    <xf borderId="104" fillId="2" fontId="40" numFmtId="0" xfId="0" applyAlignment="1" applyBorder="1" applyFill="1" applyFont="1">
      <alignment horizontal="center" readingOrder="0" shrinkToFit="0" vertical="center" wrapText="1"/>
    </xf>
    <xf borderId="30" fillId="2" fontId="40" numFmtId="0" xfId="0" applyAlignment="1" applyBorder="1" applyFill="1" applyFont="1">
      <alignment horizontal="center" shrinkToFit="0" vertical="center" wrapText="1"/>
    </xf>
    <xf borderId="113" fillId="5" fontId="39" numFmtId="0" xfId="0" applyAlignment="1" applyBorder="1" applyFill="1" applyFont="1">
      <alignment horizontal="center" readingOrder="0" vertical="center"/>
    </xf>
    <xf borderId="1" fillId="2" fontId="40" numFmtId="0" xfId="0" applyAlignment="1" applyBorder="1" applyFill="1" applyFont="1">
      <alignment horizontal="center" readingOrder="0" vertical="center"/>
    </xf>
    <xf borderId="1" fillId="2" fontId="40" numFmtId="0" xfId="0" applyAlignment="1" applyBorder="1" applyFill="1" applyFont="1">
      <alignment horizontal="center" shrinkToFit="0" vertical="center" wrapText="1"/>
    </xf>
    <xf borderId="0" fillId="2" fontId="31" numFmtId="0" xfId="0" applyAlignment="1" applyFill="1" applyFont="1">
      <alignment shrinkToFit="0" vertical="center" wrapText="1"/>
    </xf>
    <xf borderId="84" fillId="8" fontId="29" numFmtId="0" xfId="0" applyAlignment="1" applyBorder="1" applyFill="1" applyFont="1">
      <alignment shrinkToFit="0" vertical="center" wrapText="1"/>
    </xf>
    <xf borderId="74" fillId="2" fontId="38" numFmtId="0" xfId="0" applyAlignment="1" applyBorder="1" applyFill="1" applyFont="1">
      <alignment shrinkToFit="0" vertical="center" wrapText="1"/>
    </xf>
    <xf borderId="107" fillId="2" fontId="38" numFmtId="0" xfId="0" applyAlignment="1" applyBorder="1" applyFill="1" applyFont="1">
      <alignment shrinkToFit="0" vertical="center" wrapText="1"/>
    </xf>
    <xf borderId="114" fillId="2" fontId="39" numFmtId="0" xfId="0" applyAlignment="1" applyBorder="1" applyFill="1" applyFont="1">
      <alignment horizontal="center" vertical="center"/>
    </xf>
    <xf borderId="43" fillId="2" fontId="39" numFmtId="0" xfId="0" applyAlignment="1" applyBorder="1" applyFill="1" applyFont="1">
      <alignment horizontal="center" vertical="center"/>
    </xf>
    <xf borderId="0" fillId="3" fontId="82" numFmtId="0" xfId="0" applyAlignment="1" applyFill="1" applyFont="1">
      <alignment horizontal="center" readingOrder="0" vertical="center"/>
    </xf>
    <xf borderId="113" fillId="8" fontId="39" numFmtId="0" xfId="0" applyAlignment="1" applyBorder="1" applyFill="1" applyFont="1">
      <alignment horizontal="center" readingOrder="0" vertical="center"/>
    </xf>
    <xf borderId="0" fillId="2" fontId="83" numFmtId="0" xfId="0" applyAlignment="1" applyFill="1" applyFont="1">
      <alignment readingOrder="0" vertical="center"/>
    </xf>
    <xf borderId="115" fillId="2" fontId="39" numFmtId="0" xfId="0" applyAlignment="1" applyBorder="1" applyFill="1" applyFont="1">
      <alignment horizontal="center" vertical="center"/>
    </xf>
    <xf borderId="0" fillId="0" fontId="83" numFmtId="0" xfId="0" applyAlignment="1" applyFont="1">
      <alignment readingOrder="0" vertical="center"/>
    </xf>
    <xf borderId="116" fillId="2" fontId="39" numFmtId="0" xfId="0" applyAlignment="1" applyBorder="1" applyFill="1" applyFont="1">
      <alignment horizontal="center" vertical="center"/>
    </xf>
    <xf borderId="0" fillId="2" fontId="25" numFmtId="0" xfId="0" applyAlignment="1" applyFill="1" applyFont="1">
      <alignment shrinkToFit="0" vertical="center" wrapText="1"/>
    </xf>
    <xf borderId="0" fillId="0" fontId="83" numFmtId="0" xfId="0" applyAlignment="1" applyFont="1">
      <alignment vertical="center"/>
    </xf>
    <xf borderId="0" fillId="2" fontId="83" numFmtId="0" xfId="0" applyAlignment="1" applyFill="1" applyFont="1">
      <alignment vertical="center"/>
    </xf>
    <xf borderId="0" fillId="2" fontId="83" numFmtId="49" xfId="0" applyAlignment="1" applyFill="1" applyFont="1" applyNumberFormat="1">
      <alignment horizontal="right" readingOrder="0" shrinkToFit="0" vertical="center" wrapText="1"/>
    </xf>
    <xf borderId="42" fillId="0" fontId="3" numFmtId="0" xfId="0" applyBorder="1" applyFont="1"/>
    <xf borderId="111" fillId="5" fontId="38" numFmtId="0" xfId="0" applyAlignment="1" applyBorder="1" applyFill="1" applyFont="1">
      <alignment shrinkToFit="0" vertical="center" wrapText="1"/>
    </xf>
    <xf borderId="84" fillId="5" fontId="39" numFmtId="0" xfId="0" applyAlignment="1" applyBorder="1" applyFill="1" applyFont="1">
      <alignment horizontal="center" vertical="center"/>
    </xf>
    <xf borderId="87" fillId="5" fontId="39" numFmtId="0" xfId="0" applyAlignment="1" applyBorder="1" applyFill="1" applyFont="1">
      <alignment horizontal="center" vertical="center"/>
    </xf>
    <xf borderId="84" fillId="0" fontId="29" numFmtId="0" xfId="0" applyAlignment="1" applyBorder="1" applyFont="1">
      <alignment readingOrder="0" shrinkToFit="0" vertical="center" wrapText="1"/>
    </xf>
    <xf borderId="0" fillId="2" fontId="84" numFmtId="0" xfId="0" applyAlignment="1" applyFill="1" applyFont="1">
      <alignment horizontal="left" readingOrder="0" shrinkToFit="0" vertical="center" wrapText="1"/>
    </xf>
    <xf borderId="0" fillId="2" fontId="85" numFmtId="0" xfId="0" applyAlignment="1" applyFill="1" applyFont="1">
      <alignment horizontal="left" readingOrder="0"/>
    </xf>
    <xf borderId="111" fillId="2" fontId="29" numFmtId="0" xfId="0" applyAlignment="1" applyBorder="1" applyFill="1" applyFont="1">
      <alignment shrinkToFit="0" vertical="center" wrapText="1"/>
    </xf>
    <xf borderId="0" fillId="2" fontId="85" numFmtId="49" xfId="0" applyAlignment="1" applyFill="1" applyFont="1" applyNumberFormat="1">
      <alignment horizontal="right" readingOrder="0"/>
    </xf>
    <xf borderId="84" fillId="0" fontId="86" numFmtId="0" xfId="0" applyAlignment="1" applyBorder="1" applyFont="1">
      <alignment horizontal="left" readingOrder="0" shrinkToFit="0" vertical="center" wrapText="1"/>
    </xf>
    <xf borderId="84" fillId="2" fontId="39" numFmtId="0" xfId="0" applyAlignment="1" applyBorder="1" applyFill="1" applyFont="1">
      <alignment horizontal="center" vertical="center"/>
    </xf>
    <xf borderId="87" fillId="2" fontId="39" numFmtId="0" xfId="0" applyAlignment="1" applyBorder="1" applyFill="1" applyFont="1">
      <alignment horizontal="center" vertical="center"/>
    </xf>
    <xf borderId="0" fillId="2" fontId="83" numFmtId="0" xfId="0" applyAlignment="1" applyFill="1" applyFont="1">
      <alignment horizontal="left" readingOrder="0" shrinkToFit="0" vertical="center" wrapText="1"/>
    </xf>
    <xf borderId="113" fillId="2" fontId="39" numFmtId="0" xfId="0" applyAlignment="1" applyBorder="1" applyFill="1" applyFont="1">
      <alignment horizontal="center" readingOrder="0" vertical="center"/>
    </xf>
    <xf borderId="0" fillId="2" fontId="87" numFmtId="49" xfId="0" applyAlignment="1" applyFill="1" applyFont="1" applyNumberFormat="1">
      <alignment horizontal="left" readingOrder="0" shrinkToFit="0" vertical="center" wrapText="1"/>
    </xf>
    <xf borderId="0" fillId="2" fontId="87" numFmtId="0" xfId="0" applyAlignment="1" applyFill="1" applyFont="1">
      <alignment horizontal="left" readingOrder="0" shrinkToFit="0" vertical="center" wrapText="1"/>
    </xf>
    <xf borderId="19" fillId="10" fontId="87" numFmtId="49" xfId="0" applyAlignment="1" applyBorder="1" applyFill="1" applyFont="1" applyNumberFormat="1">
      <alignment horizontal="left" readingOrder="0" shrinkToFit="0" vertical="center" wrapText="1"/>
    </xf>
    <xf borderId="19" fillId="2" fontId="87" numFmtId="49" xfId="0" applyAlignment="1" applyBorder="1" applyFill="1" applyFont="1" applyNumberFormat="1">
      <alignment horizontal="left" readingOrder="0" shrinkToFit="0" vertical="center" wrapText="1"/>
    </xf>
    <xf borderId="17" fillId="0" fontId="83" numFmtId="0" xfId="0" applyAlignment="1" applyBorder="1" applyFont="1">
      <alignment horizontal="center" vertical="center"/>
    </xf>
    <xf borderId="18" fillId="0" fontId="83" numFmtId="0" xfId="0" applyAlignment="1" applyBorder="1" applyFont="1">
      <alignment horizontal="center" vertical="center"/>
    </xf>
    <xf borderId="23" fillId="0" fontId="28" numFmtId="49" xfId="0" applyAlignment="1" applyBorder="1" applyFont="1" applyNumberFormat="1">
      <alignment horizontal="right" readingOrder="0" vertical="center"/>
    </xf>
    <xf borderId="0" fillId="0" fontId="28" numFmtId="0" xfId="0" applyAlignment="1" applyFont="1">
      <alignment readingOrder="0" shrinkToFit="0" vertical="center" wrapText="1"/>
    </xf>
    <xf borderId="23" fillId="2" fontId="83" numFmtId="0" xfId="0" applyAlignment="1" applyBorder="1" applyFill="1" applyFont="1">
      <alignment readingOrder="0" shrinkToFit="0" vertical="center" wrapText="1"/>
    </xf>
    <xf borderId="22" fillId="0" fontId="83" numFmtId="0" xfId="0" applyAlignment="1" applyBorder="1" applyFont="1">
      <alignment horizontal="center" vertical="center"/>
    </xf>
    <xf borderId="23" fillId="0" fontId="28" numFmtId="49" xfId="0" applyAlignment="1" applyBorder="1" applyFont="1" applyNumberFormat="1">
      <alignment vertical="center"/>
    </xf>
    <xf borderId="23" fillId="0" fontId="28" numFmtId="49" xfId="0" applyAlignment="1" applyBorder="1" applyFont="1" applyNumberFormat="1">
      <alignment readingOrder="0" vertical="center"/>
    </xf>
    <xf borderId="23" fillId="0" fontId="28" numFmtId="49" xfId="0" applyAlignment="1" applyBorder="1" applyFont="1" applyNumberFormat="1">
      <alignment horizontal="right" readingOrder="0" shrinkToFit="0" vertical="center" wrapText="0"/>
    </xf>
    <xf borderId="28" fillId="0" fontId="28" numFmtId="0" xfId="0" applyAlignment="1" applyBorder="1" applyFont="1">
      <alignment readingOrder="0" shrinkToFit="0" vertical="center" wrapText="1"/>
    </xf>
    <xf borderId="28" fillId="2" fontId="83" numFmtId="0" xfId="0" applyAlignment="1" applyBorder="1" applyFill="1" applyFont="1">
      <alignment readingOrder="0" shrinkToFit="0" vertical="center" wrapText="1"/>
    </xf>
    <xf borderId="27" fillId="0" fontId="83" numFmtId="0" xfId="0" applyAlignment="1" applyBorder="1" applyFont="1">
      <alignment horizontal="center" vertical="center"/>
    </xf>
    <xf borderId="117" fillId="8" fontId="39" numFmtId="0" xfId="0" applyAlignment="1" applyBorder="1" applyFill="1" applyFont="1">
      <alignment horizontal="center" readingOrder="0" vertical="center"/>
    </xf>
    <xf borderId="0" fillId="2" fontId="83" numFmtId="0" xfId="0" applyAlignment="1" applyFill="1" applyFont="1">
      <alignment horizontal="center" vertical="center"/>
    </xf>
    <xf borderId="0" fillId="2" fontId="83" numFmtId="49" xfId="0" applyAlignment="1" applyFill="1" applyFont="1" applyNumberFormat="1">
      <alignment horizontal="right" readingOrder="0" vertical="center"/>
    </xf>
    <xf borderId="0" fillId="2" fontId="83" numFmtId="49" xfId="0" applyAlignment="1" applyFill="1" applyFont="1" applyNumberFormat="1">
      <alignment vertical="center"/>
    </xf>
    <xf borderId="0" fillId="2" fontId="83" numFmtId="49" xfId="0" applyAlignment="1" applyFill="1" applyFont="1" applyNumberFormat="1">
      <alignment readingOrder="0" vertical="center"/>
    </xf>
    <xf borderId="0" fillId="2" fontId="83" numFmtId="0" xfId="0" applyAlignment="1" applyFill="1" applyFont="1">
      <alignment readingOrder="0" shrinkToFit="0" vertical="center" wrapText="1"/>
    </xf>
    <xf borderId="0" fillId="0" fontId="83" numFmtId="49" xfId="0" applyAlignment="1" applyFont="1" applyNumberFormat="1">
      <alignment vertical="center"/>
    </xf>
    <xf borderId="19" fillId="10" fontId="88" numFmtId="49" xfId="0" applyAlignment="1" applyBorder="1" applyFill="1" applyFont="1" applyNumberFormat="1">
      <alignment horizontal="left" readingOrder="0" shrinkToFit="0" vertical="center" wrapText="1"/>
    </xf>
    <xf borderId="19" fillId="2" fontId="89" numFmtId="49" xfId="0" applyAlignment="1" applyBorder="1" applyFill="1" applyFont="1" applyNumberFormat="1">
      <alignment horizontal="left" readingOrder="0" shrinkToFit="0" vertical="center" wrapText="1"/>
    </xf>
    <xf borderId="17" fillId="0" fontId="90" numFmtId="0" xfId="0" applyAlignment="1" applyBorder="1" applyFont="1">
      <alignment horizontal="center" vertical="center"/>
    </xf>
    <xf borderId="18" fillId="0" fontId="90" numFmtId="0" xfId="0" applyAlignment="1" applyBorder="1" applyFont="1">
      <alignment horizontal="center" vertical="center"/>
    </xf>
    <xf borderId="86" fillId="8" fontId="29" numFmtId="0" xfId="0" applyAlignment="1" applyBorder="1" applyFill="1" applyFont="1">
      <alignment readingOrder="0" shrinkToFit="0" vertical="center" wrapText="1"/>
    </xf>
    <xf borderId="23" fillId="0" fontId="33" numFmtId="49" xfId="0" applyAlignment="1" applyBorder="1" applyFont="1" applyNumberFormat="1">
      <alignment horizontal="right" readingOrder="0" vertical="center"/>
    </xf>
    <xf borderId="0" fillId="0" fontId="33" numFmtId="0" xfId="0" applyAlignment="1" applyFont="1">
      <alignment readingOrder="0" shrinkToFit="0" vertical="center" wrapText="1"/>
    </xf>
    <xf borderId="23" fillId="2" fontId="90" numFmtId="0" xfId="0" applyAlignment="1" applyBorder="1" applyFill="1" applyFont="1">
      <alignment readingOrder="0" shrinkToFit="0" vertical="center" wrapText="1"/>
    </xf>
    <xf borderId="31" fillId="0" fontId="29" numFmtId="0" xfId="0" applyAlignment="1" applyBorder="1" applyFont="1">
      <alignment readingOrder="0" shrinkToFit="0" vertical="center" wrapText="1"/>
    </xf>
    <xf borderId="22" fillId="0" fontId="90" numFmtId="0" xfId="0" applyAlignment="1" applyBorder="1" applyFont="1">
      <alignment horizontal="center" vertical="center"/>
    </xf>
    <xf borderId="23" fillId="0" fontId="33" numFmtId="49" xfId="0" applyAlignment="1" applyBorder="1" applyFont="1" applyNumberFormat="1">
      <alignment vertical="center"/>
    </xf>
    <xf borderId="111" fillId="2" fontId="38" numFmtId="0" xfId="0" applyAlignment="1" applyBorder="1" applyFill="1" applyFont="1">
      <alignment shrinkToFit="0" vertical="center" wrapText="1"/>
    </xf>
    <xf borderId="23" fillId="0" fontId="33" numFmtId="49" xfId="0" applyAlignment="1" applyBorder="1" applyFont="1" applyNumberFormat="1">
      <alignment readingOrder="0" vertical="center"/>
    </xf>
    <xf borderId="28" fillId="0" fontId="33" numFmtId="0" xfId="0" applyAlignment="1" applyBorder="1" applyFont="1">
      <alignment readingOrder="0" shrinkToFit="0" vertical="center" wrapText="1"/>
    </xf>
    <xf borderId="28" fillId="2" fontId="90" numFmtId="0" xfId="0" applyAlignment="1" applyBorder="1" applyFill="1" applyFont="1">
      <alignment readingOrder="0" shrinkToFit="0" vertical="center" wrapText="1"/>
    </xf>
    <xf borderId="2" fillId="0" fontId="91" numFmtId="0" xfId="0" applyAlignment="1" applyBorder="1" applyFont="1">
      <alignment readingOrder="0" shrinkToFit="0" wrapText="0"/>
    </xf>
    <xf borderId="27" fillId="0" fontId="90" numFmtId="0" xfId="0" applyAlignment="1" applyBorder="1" applyFont="1">
      <alignment horizontal="center" vertical="center"/>
    </xf>
    <xf borderId="22" fillId="0" fontId="92" numFmtId="0" xfId="0" applyAlignment="1" applyBorder="1" applyFont="1">
      <alignment readingOrder="0"/>
    </xf>
    <xf borderId="0" fillId="0" fontId="90" numFmtId="49" xfId="0" applyAlignment="1" applyFont="1" applyNumberFormat="1">
      <alignment vertical="center"/>
    </xf>
    <xf borderId="0" fillId="0" fontId="90" numFmtId="0" xfId="0" applyAlignment="1" applyFont="1">
      <alignment vertical="center"/>
    </xf>
    <xf borderId="0" fillId="2" fontId="90" numFmtId="0" xfId="0" applyAlignment="1" applyFill="1" applyFont="1">
      <alignment vertical="center"/>
    </xf>
    <xf borderId="93" fillId="5" fontId="38" numFmtId="0" xfId="0" applyAlignment="1" applyBorder="1" applyFill="1" applyFont="1">
      <alignment shrinkToFit="0" vertical="center" wrapText="1"/>
    </xf>
    <xf borderId="0" fillId="0" fontId="33" numFmtId="0" xfId="0" applyAlignment="1" applyFont="1">
      <alignment readingOrder="0" vertical="center"/>
    </xf>
    <xf borderId="118" fillId="5" fontId="39" numFmtId="0" xfId="0" applyAlignment="1" applyBorder="1" applyFill="1" applyFont="1">
      <alignment horizontal="center" readingOrder="0" vertical="center"/>
    </xf>
    <xf borderId="23" fillId="2" fontId="90" numFmtId="0" xfId="0" applyAlignment="1" applyBorder="1" applyFill="1" applyFont="1">
      <alignment readingOrder="0" vertical="center"/>
    </xf>
    <xf borderId="92" fillId="0" fontId="29" numFmtId="0" xfId="0" applyAlignment="1" applyBorder="1" applyFont="1">
      <alignment readingOrder="0" shrinkToFit="0" vertical="top" wrapText="1"/>
    </xf>
    <xf borderId="54" fillId="0" fontId="29" numFmtId="0" xfId="0" applyAlignment="1" applyBorder="1" applyFont="1">
      <alignment horizontal="center" readingOrder="0" vertical="top"/>
    </xf>
    <xf borderId="54" fillId="0" fontId="29" numFmtId="0" xfId="0" applyAlignment="1" applyBorder="1" applyFont="1">
      <alignment horizontal="center" vertical="top"/>
    </xf>
    <xf borderId="119" fillId="0" fontId="29" numFmtId="0" xfId="0" applyAlignment="1" applyBorder="1" applyFont="1">
      <alignment horizontal="center" vertical="top"/>
    </xf>
    <xf borderId="117" fillId="2" fontId="38" numFmtId="0" xfId="0" applyAlignment="1" applyBorder="1" applyFill="1" applyFont="1">
      <alignment shrinkToFit="0" vertical="center" wrapText="1"/>
    </xf>
    <xf borderId="31" fillId="8" fontId="29" numFmtId="0" xfId="0" applyAlignment="1" applyBorder="1" applyFill="1" applyFont="1">
      <alignment readingOrder="0" shrinkToFit="0" vertical="center" wrapText="0"/>
    </xf>
    <xf borderId="31" fillId="8" fontId="29" numFmtId="0" xfId="0" applyAlignment="1" applyBorder="1" applyFill="1" applyFont="1">
      <alignment readingOrder="0" shrinkToFit="0" vertical="center" wrapText="0"/>
    </xf>
    <xf borderId="71" fillId="7" fontId="40" numFmtId="0" xfId="0" applyAlignment="1" applyBorder="1" applyFill="1" applyFont="1">
      <alignment horizontal="center" readingOrder="0" vertical="center"/>
    </xf>
    <xf borderId="111" fillId="8" fontId="29" numFmtId="0" xfId="0" applyAlignment="1" applyBorder="1" applyFill="1" applyFont="1">
      <alignment readingOrder="0" shrinkToFit="0" vertical="center" wrapText="0"/>
    </xf>
    <xf borderId="0" fillId="2" fontId="93" numFmtId="49" xfId="0" applyAlignment="1" applyFill="1" applyFont="1" applyNumberFormat="1">
      <alignment readingOrder="0" shrinkToFit="0" vertical="center" wrapText="1"/>
    </xf>
    <xf borderId="84" fillId="0" fontId="94" numFmtId="0" xfId="0" applyAlignment="1" applyBorder="1" applyFont="1">
      <alignment horizontal="left" readingOrder="0" shrinkToFit="0" vertical="center" wrapText="0"/>
    </xf>
    <xf borderId="0" fillId="8" fontId="29" numFmtId="0" xfId="0" applyAlignment="1" applyFill="1" applyFont="1">
      <alignment readingOrder="0" shrinkToFit="0" vertical="center" wrapText="0"/>
    </xf>
    <xf borderId="0" fillId="8" fontId="95" numFmtId="0" xfId="0" applyAlignment="1" applyFill="1" applyFont="1">
      <alignment readingOrder="0" shrinkToFit="0" wrapText="0"/>
    </xf>
    <xf borderId="111" fillId="2" fontId="96" numFmtId="0" xfId="0" applyAlignment="1" applyBorder="1" applyFill="1" applyFont="1">
      <alignment horizontal="left" vertical="center"/>
    </xf>
    <xf borderId="0" fillId="4" fontId="97" numFmtId="0" xfId="0" applyAlignment="1" applyFill="1" applyFont="1">
      <alignment horizontal="center" readingOrder="0" shrinkToFit="0" vertical="center" wrapText="1"/>
    </xf>
    <xf borderId="0" fillId="11" fontId="98" numFmtId="0" xfId="0" applyAlignment="1" applyFill="1" applyFont="1">
      <alignment horizontal="center" readingOrder="0"/>
    </xf>
    <xf borderId="0" fillId="11" fontId="98" numFmtId="0" xfId="0" applyAlignment="1" applyFill="1" applyFont="1">
      <alignment readingOrder="0"/>
    </xf>
    <xf borderId="0" fillId="11" fontId="3" numFmtId="0" xfId="0" applyAlignment="1" applyFill="1" applyFont="1">
      <alignment horizontal="center" readingOrder="0"/>
    </xf>
    <xf borderId="0" fillId="11" fontId="3" numFmtId="0" xfId="0" applyAlignment="1" applyFill="1" applyFont="1">
      <alignment readingOrder="0"/>
    </xf>
    <xf borderId="0" fillId="11" fontId="3" numFmtId="0" xfId="0" applyFill="1" applyFont="1"/>
    <xf borderId="111" fillId="2" fontId="79" numFmtId="0" xfId="0" applyAlignment="1" applyBorder="1" applyFill="1" applyFont="1">
      <alignment horizontal="left" vertical="center"/>
    </xf>
    <xf borderId="86" fillId="5" fontId="38" numFmtId="0" xfId="0" applyAlignment="1" applyBorder="1" applyFill="1" applyFont="1">
      <alignment readingOrder="0" shrinkToFit="0" vertical="center" wrapText="1"/>
    </xf>
    <xf borderId="83" fillId="5" fontId="40" numFmtId="0" xfId="0" applyAlignment="1" applyBorder="1" applyFill="1" applyFont="1">
      <alignment horizontal="center" vertical="center"/>
    </xf>
    <xf borderId="0" fillId="11" fontId="99" numFmtId="0" xfId="0" applyAlignment="1" applyFill="1" applyFont="1">
      <alignment readingOrder="0"/>
    </xf>
    <xf borderId="0" fillId="11" fontId="99" numFmtId="0" xfId="0" applyFill="1" applyFont="1"/>
    <xf borderId="0" fillId="11" fontId="3" numFmtId="0" xfId="0" applyAlignment="1" applyFill="1" applyFont="1">
      <alignment horizontal="center"/>
    </xf>
    <xf borderId="84" fillId="2" fontId="29" numFmtId="0" xfId="0" applyAlignment="1" applyBorder="1" applyFill="1" applyFont="1">
      <alignment shrinkToFit="0" vertical="center" wrapText="1"/>
    </xf>
    <xf borderId="0" fillId="11" fontId="100" numFmtId="0" xfId="0" applyAlignment="1" applyFill="1" applyFont="1">
      <alignment horizontal="left" readingOrder="0"/>
    </xf>
    <xf borderId="86" fillId="2" fontId="101" numFmtId="0" xfId="0" applyAlignment="1" applyBorder="1" applyFill="1" applyFont="1">
      <alignment shrinkToFit="0" vertical="center" wrapText="1"/>
    </xf>
    <xf borderId="111" fillId="2" fontId="39" numFmtId="0" xfId="0" applyAlignment="1" applyBorder="1" applyFill="1" applyFont="1">
      <alignment shrinkToFit="0" vertical="center" wrapText="1"/>
    </xf>
    <xf borderId="0" fillId="11" fontId="102" numFmtId="0" xfId="0" applyAlignment="1" applyFill="1" applyFont="1">
      <alignment readingOrder="0"/>
    </xf>
    <xf borderId="0" fillId="11" fontId="102" numFmtId="0" xfId="0" applyFill="1" applyFont="1"/>
    <xf borderId="31" fillId="0" fontId="29" numFmtId="0" xfId="0" applyAlignment="1" applyBorder="1" applyFont="1">
      <alignment readingOrder="0" shrinkToFit="0" vertical="center" wrapText="0"/>
    </xf>
    <xf borderId="0" fillId="11" fontId="103" numFmtId="0" xfId="0" applyAlignment="1" applyFill="1" applyFont="1">
      <alignment readingOrder="0"/>
    </xf>
    <xf borderId="87" fillId="2" fontId="104" numFmtId="0" xfId="0" applyAlignment="1" applyBorder="1" applyFill="1" applyFont="1">
      <alignment readingOrder="0" shrinkToFit="0" vertical="bottom" wrapText="0"/>
    </xf>
    <xf borderId="86" fillId="2" fontId="105" numFmtId="0" xfId="0" applyAlignment="1" applyBorder="1" applyFill="1" applyFont="1">
      <alignment readingOrder="0" shrinkToFit="0" vertical="bottom" wrapText="1"/>
    </xf>
    <xf borderId="0" fillId="11" fontId="3" numFmtId="0" xfId="0" applyAlignment="1" applyFill="1" applyFont="1">
      <alignment horizontal="center" readingOrder="0" vertical="center"/>
    </xf>
    <xf borderId="0" fillId="11" fontId="3" numFmtId="0" xfId="0" applyAlignment="1" applyFill="1" applyFont="1">
      <alignment readingOrder="0" shrinkToFit="0" wrapText="1"/>
    </xf>
    <xf borderId="0" fillId="11" fontId="99" numFmtId="0" xfId="0" applyAlignment="1" applyFill="1" applyFont="1">
      <alignment readingOrder="0"/>
    </xf>
    <xf borderId="84" fillId="12" fontId="29" numFmtId="0" xfId="0" applyAlignment="1" applyBorder="1" applyFill="1" applyFont="1">
      <alignment readingOrder="0" shrinkToFit="0" vertical="center" wrapText="0"/>
    </xf>
    <xf borderId="86" fillId="12" fontId="29" numFmtId="0" xfId="0" applyAlignment="1" applyBorder="1" applyFill="1" applyFont="1">
      <alignment readingOrder="0" shrinkToFit="0" vertical="center" wrapText="1"/>
    </xf>
    <xf borderId="86" fillId="12" fontId="29" numFmtId="0" xfId="0" applyAlignment="1" applyBorder="1" applyFill="1" applyFont="1">
      <alignment shrinkToFit="0" vertical="center" wrapText="1"/>
    </xf>
    <xf borderId="0" fillId="11" fontId="106" numFmtId="0" xfId="0" applyAlignment="1" applyFill="1" applyFont="1">
      <alignment readingOrder="0"/>
    </xf>
    <xf borderId="83" fillId="12" fontId="39" numFmtId="0" xfId="0" applyAlignment="1" applyBorder="1" applyFill="1" applyFont="1">
      <alignment horizontal="center" vertical="center"/>
    </xf>
    <xf borderId="31" fillId="12" fontId="39" numFmtId="0" xfId="0" applyAlignment="1" applyBorder="1" applyFill="1" applyFont="1">
      <alignment horizontal="center" readingOrder="0" vertical="center"/>
    </xf>
    <xf borderId="84" fillId="12" fontId="39" numFmtId="0" xfId="0" applyAlignment="1" applyBorder="1" applyFill="1" applyFont="1">
      <alignment horizontal="center" readingOrder="0" vertical="center"/>
    </xf>
    <xf borderId="87" fillId="12" fontId="39" numFmtId="0" xfId="0" applyAlignment="1" applyBorder="1" applyFill="1" applyFont="1">
      <alignment horizontal="center" readingOrder="0" vertical="center"/>
    </xf>
    <xf borderId="88" fillId="12" fontId="39" numFmtId="0" xfId="0" applyAlignment="1" applyBorder="1" applyFill="1" applyFont="1">
      <alignment horizontal="center" readingOrder="0" vertical="center"/>
    </xf>
    <xf borderId="31" fillId="0" fontId="29" numFmtId="0" xfId="0" applyAlignment="1" applyBorder="1" applyFont="1">
      <alignment shrinkToFit="0" vertical="center" wrapText="0"/>
    </xf>
    <xf borderId="86" fillId="0" fontId="107" numFmtId="0" xfId="0" applyAlignment="1" applyBorder="1" applyFont="1">
      <alignment readingOrder="0" shrinkToFit="0" vertical="bottom" wrapText="0"/>
    </xf>
    <xf borderId="86" fillId="0" fontId="108" numFmtId="0" xfId="0" applyAlignment="1" applyBorder="1" applyFont="1">
      <alignment readingOrder="0" shrinkToFit="0" vertical="bottom" wrapText="1"/>
    </xf>
    <xf borderId="111" fillId="2" fontId="45" numFmtId="0" xfId="0" applyAlignment="1" applyBorder="1" applyFill="1" applyFont="1">
      <alignment shrinkToFit="0" vertical="center" wrapText="1"/>
    </xf>
    <xf borderId="0" fillId="11" fontId="0" numFmtId="0" xfId="0" applyAlignment="1" applyFill="1" applyFont="1">
      <alignment readingOrder="0"/>
    </xf>
    <xf borderId="0" fillId="11" fontId="109" numFmtId="0" xfId="0" applyFill="1" applyFont="1"/>
    <xf borderId="0" fillId="11" fontId="109" numFmtId="0" xfId="0" applyAlignment="1" applyFill="1" applyFont="1">
      <alignment readingOrder="0"/>
    </xf>
    <xf borderId="86" fillId="0" fontId="110" numFmtId="0" xfId="0" applyAlignment="1" applyBorder="1" applyFont="1">
      <alignment readingOrder="0" shrinkToFit="0" vertical="bottom" wrapText="0"/>
    </xf>
    <xf borderId="83" fillId="2" fontId="8" numFmtId="0" xfId="0" applyBorder="1" applyFill="1" applyFont="1"/>
    <xf borderId="86" fillId="0" fontId="111" numFmtId="0" xfId="0" applyAlignment="1" applyBorder="1" applyFont="1">
      <alignment readingOrder="0" shrinkToFit="0" wrapText="0"/>
    </xf>
    <xf borderId="86" fillId="0" fontId="112" numFmtId="0" xfId="0" applyAlignment="1" applyBorder="1" applyFont="1">
      <alignment readingOrder="0"/>
    </xf>
    <xf borderId="83" fillId="5" fontId="40" numFmtId="0" xfId="0" applyAlignment="1" applyBorder="1" applyFill="1" applyFont="1">
      <alignment horizontal="center" readingOrder="0" shrinkToFit="0" vertical="center" wrapText="1"/>
    </xf>
    <xf borderId="0" fillId="11" fontId="113" numFmtId="0" xfId="0" applyAlignment="1" applyFill="1" applyFont="1">
      <alignment readingOrder="0"/>
    </xf>
    <xf borderId="83" fillId="2" fontId="114" numFmtId="0" xfId="0" applyAlignment="1" applyBorder="1" applyFill="1" applyFont="1">
      <alignment shrinkToFit="0" vertical="center" wrapText="1"/>
    </xf>
    <xf borderId="31" fillId="2" fontId="115" numFmtId="0" xfId="0" applyAlignment="1" applyBorder="1" applyFill="1" applyFont="1">
      <alignment readingOrder="0" shrinkToFit="0" vertical="center" wrapText="1"/>
    </xf>
    <xf borderId="86" fillId="2" fontId="115" numFmtId="0" xfId="0" applyAlignment="1" applyBorder="1" applyFill="1" applyFont="1">
      <alignment shrinkToFit="0" vertical="center" wrapText="1"/>
    </xf>
    <xf borderId="83" fillId="2" fontId="114" numFmtId="0" xfId="0" applyAlignment="1" applyBorder="1" applyFill="1" applyFont="1">
      <alignment horizontal="center" vertical="center"/>
    </xf>
    <xf borderId="0" fillId="2" fontId="114" numFmtId="0" xfId="0" applyAlignment="1" applyFill="1" applyFont="1">
      <alignment shrinkToFit="0" vertical="center" wrapText="1"/>
    </xf>
    <xf borderId="84" fillId="2" fontId="115" numFmtId="0" xfId="0" applyAlignment="1" applyBorder="1" applyFill="1" applyFont="1">
      <alignment readingOrder="0" shrinkToFit="0" vertical="center" wrapText="1"/>
    </xf>
    <xf borderId="2" fillId="2" fontId="116" numFmtId="0" xfId="0" applyAlignment="1" applyBorder="1" applyFill="1" applyFont="1">
      <alignment readingOrder="0" shrinkToFit="0" vertical="bottom" wrapText="1"/>
    </xf>
    <xf borderId="86" fillId="2" fontId="29" numFmtId="0" xfId="0" applyAlignment="1" applyBorder="1" applyFill="1" applyFont="1">
      <alignment readingOrder="0" shrinkToFit="0" vertical="center" wrapText="1"/>
    </xf>
    <xf borderId="2" fillId="0" fontId="117" numFmtId="0" xfId="0" applyAlignment="1" applyBorder="1" applyFont="1">
      <alignment readingOrder="0"/>
    </xf>
    <xf borderId="120" fillId="0" fontId="118" numFmtId="0" xfId="0" applyAlignment="1" applyBorder="1" applyFont="1">
      <alignment horizontal="left" readingOrder="0" shrinkToFit="0" vertical="center" wrapText="0"/>
    </xf>
    <xf borderId="121" fillId="0" fontId="3" numFmtId="0" xfId="0" applyBorder="1" applyFont="1"/>
    <xf borderId="121" fillId="0" fontId="119" numFmtId="0" xfId="0" applyAlignment="1" applyBorder="1" applyFont="1">
      <alignment horizontal="left" readingOrder="0" shrinkToFit="0" vertical="center" wrapText="0"/>
    </xf>
    <xf borderId="31" fillId="0" fontId="29" numFmtId="0" xfId="0" applyAlignment="1" applyBorder="1" applyFont="1">
      <alignment readingOrder="0" shrinkToFit="0" vertical="center" wrapText="0"/>
    </xf>
    <xf borderId="85" fillId="0" fontId="120" numFmtId="0" xfId="0" applyAlignment="1" applyBorder="1" applyFont="1">
      <alignment horizontal="left" readingOrder="0" shrinkToFit="0" vertical="center" wrapText="0"/>
    </xf>
    <xf borderId="0" fillId="0" fontId="29" numFmtId="0" xfId="0" applyAlignment="1" applyFont="1">
      <alignment readingOrder="0" shrinkToFit="0" vertical="center" wrapText="0"/>
    </xf>
    <xf borderId="0" fillId="0" fontId="121" numFmtId="0" xfId="0" applyAlignment="1" applyFont="1">
      <alignment readingOrder="0"/>
    </xf>
    <xf borderId="111" fillId="2" fontId="122" numFmtId="0" xfId="0" applyAlignment="1" applyBorder="1" applyFill="1" applyFont="1">
      <alignment shrinkToFit="0" vertical="center" wrapText="1"/>
    </xf>
    <xf borderId="31" fillId="0" fontId="45" numFmtId="0" xfId="0" applyAlignment="1" applyBorder="1" applyFont="1">
      <alignment shrinkToFit="0" vertical="center" wrapText="1"/>
    </xf>
    <xf borderId="122" fillId="0" fontId="29" numFmtId="0" xfId="0" applyAlignment="1" applyBorder="1" applyFont="1">
      <alignment shrinkToFit="0" vertical="center" wrapText="1"/>
    </xf>
    <xf borderId="123" fillId="0" fontId="29" numFmtId="0" xfId="0" applyAlignment="1" applyBorder="1" applyFont="1">
      <alignment shrinkToFit="0" vertical="center" wrapText="1"/>
    </xf>
    <xf borderId="124" fillId="5" fontId="38" numFmtId="0" xfId="0" applyAlignment="1" applyBorder="1" applyFill="1" applyFont="1">
      <alignment readingOrder="0" shrinkToFit="0" vertical="center" wrapText="1"/>
    </xf>
    <xf borderId="125" fillId="0" fontId="3" numFmtId="0" xfId="0" applyBorder="1" applyFont="1"/>
    <xf borderId="126" fillId="0" fontId="3" numFmtId="0" xfId="0" applyBorder="1" applyFont="1"/>
    <xf borderId="31" fillId="8" fontId="29" numFmtId="0" xfId="0" applyAlignment="1" applyBorder="1" applyFill="1" applyFont="1">
      <alignment readingOrder="0" shrinkToFit="0" vertical="center" wrapText="1"/>
    </xf>
    <xf borderId="126" fillId="5" fontId="38" numFmtId="0" xfId="0" applyAlignment="1" applyBorder="1" applyFill="1" applyFont="1">
      <alignment shrinkToFit="0" vertical="center" wrapText="1"/>
    </xf>
    <xf borderId="126" fillId="5" fontId="29" numFmtId="0" xfId="0" applyAlignment="1" applyBorder="1" applyFill="1" applyFont="1">
      <alignment shrinkToFit="0" vertical="center" wrapText="1"/>
    </xf>
    <xf borderId="111" fillId="8" fontId="29" numFmtId="0" xfId="0" applyAlignment="1" applyBorder="1" applyFill="1" applyFont="1">
      <alignment readingOrder="0" shrinkToFit="0" vertical="center" wrapText="1"/>
    </xf>
    <xf borderId="123" fillId="5" fontId="39" numFmtId="0" xfId="0" applyAlignment="1" applyBorder="1" applyFill="1" applyFont="1">
      <alignment horizontal="center" vertical="center"/>
    </xf>
    <xf borderId="96" fillId="5" fontId="39" numFmtId="0" xfId="0" applyAlignment="1" applyBorder="1" applyFill="1" applyFont="1">
      <alignment horizontal="center" readingOrder="0" vertical="center"/>
    </xf>
    <xf borderId="96" fillId="5" fontId="40" numFmtId="0" xfId="0" applyAlignment="1" applyBorder="1" applyFill="1" applyFont="1">
      <alignment horizontal="center" readingOrder="0" vertical="center"/>
    </xf>
    <xf borderId="124" fillId="5" fontId="40" numFmtId="0" xfId="0" applyAlignment="1" applyBorder="1" applyFill="1" applyFont="1">
      <alignment horizontal="center" readingOrder="0" vertical="center"/>
    </xf>
    <xf borderId="127" fillId="5" fontId="40" numFmtId="0" xfId="0" applyAlignment="1" applyBorder="1" applyFill="1" applyFont="1">
      <alignment horizontal="center" readingOrder="0" vertical="center"/>
    </xf>
    <xf borderId="0" fillId="0" fontId="123" numFmtId="0" xfId="0" applyAlignment="1" applyFont="1">
      <alignment readingOrder="0" shrinkToFit="0" vertical="bottom" wrapText="1"/>
    </xf>
    <xf borderId="127" fillId="5" fontId="39" numFmtId="0" xfId="0" applyAlignment="1" applyBorder="1" applyFill="1" applyFont="1">
      <alignment horizontal="center" readingOrder="0" vertical="center"/>
    </xf>
    <xf borderId="128" fillId="5" fontId="39" numFmtId="0" xfId="0" applyAlignment="1" applyBorder="1" applyFill="1" applyFont="1">
      <alignment horizontal="center" readingOrder="0" vertical="center"/>
    </xf>
    <xf borderId="15" fillId="0" fontId="3" numFmtId="0" xfId="0" applyBorder="1" applyFont="1"/>
    <xf borderId="21" fillId="0" fontId="124" numFmtId="0" xfId="0" applyBorder="1" applyFont="1"/>
    <xf borderId="0" fillId="0" fontId="124" numFmtId="0" xfId="0" applyFont="1"/>
    <xf borderId="0" fillId="0" fontId="124" numFmtId="0" xfId="0" applyAlignment="1" applyFont="1">
      <alignment shrinkToFit="0" wrapText="0"/>
    </xf>
    <xf borderId="0" fillId="0" fontId="29" numFmtId="0" xfId="0" applyAlignment="1" applyFont="1">
      <alignment shrinkToFit="0" wrapText="1"/>
    </xf>
    <xf borderId="0" fillId="0" fontId="29" numFmtId="0" xfId="0" applyFont="1"/>
    <xf borderId="42" fillId="2" fontId="39" numFmtId="0" xfId="0" applyAlignment="1" applyBorder="1" applyFill="1" applyFont="1">
      <alignment horizontal="center"/>
    </xf>
    <xf borderId="86" fillId="2" fontId="39" numFmtId="0" xfId="0" applyAlignment="1" applyBorder="1" applyFill="1" applyFont="1">
      <alignment horizontal="center"/>
    </xf>
    <xf borderId="0" fillId="8" fontId="125" numFmtId="0" xfId="0" applyAlignment="1" applyFill="1" applyFont="1">
      <alignment readingOrder="0"/>
    </xf>
    <xf borderId="1" fillId="0" fontId="126" numFmtId="0" xfId="0" applyAlignment="1" applyBorder="1" applyFont="1">
      <alignment readingOrder="0"/>
    </xf>
    <xf borderId="111" fillId="5" fontId="38" numFmtId="0" xfId="0" applyAlignment="1" applyBorder="1" applyFill="1" applyFont="1">
      <alignment readingOrder="0" shrinkToFit="0" vertical="center" wrapText="1"/>
    </xf>
    <xf borderId="0" fillId="2" fontId="127" numFmtId="0" xfId="0" applyAlignment="1" applyFill="1" applyFont="1">
      <alignment shrinkToFit="0" vertical="center" wrapText="1"/>
    </xf>
    <xf borderId="111" fillId="2" fontId="115" numFmtId="0" xfId="0" applyAlignment="1" applyBorder="1" applyFill="1" applyFont="1">
      <alignment shrinkToFit="0" vertical="center" wrapText="1"/>
    </xf>
    <xf borderId="87" fillId="2" fontId="128" numFmtId="0" xfId="0" applyAlignment="1" applyBorder="1" applyFill="1" applyFont="1">
      <alignment readingOrder="0" shrinkToFit="0" vertical="bottom" wrapText="1"/>
    </xf>
    <xf borderId="84" fillId="12" fontId="29" numFmtId="0" xfId="0" applyAlignment="1" applyBorder="1" applyFill="1" applyFont="1">
      <alignment readingOrder="0" shrinkToFit="0" vertical="center" wrapText="1"/>
    </xf>
    <xf borderId="120" fillId="0" fontId="129" numFmtId="0" xfId="0" applyAlignment="1" applyBorder="1" applyFont="1">
      <alignment horizontal="left" readingOrder="0" shrinkToFit="0" vertical="center" wrapText="0"/>
    </xf>
    <xf borderId="129" fillId="0" fontId="3" numFmtId="0" xfId="0" applyBorder="1" applyFont="1"/>
    <xf borderId="42" fillId="0" fontId="130" numFmtId="0" xfId="0" applyAlignment="1" applyBorder="1" applyFont="1">
      <alignment horizontal="left" readingOrder="0" shrinkToFit="0" vertical="center" wrapText="0"/>
    </xf>
    <xf borderId="42" fillId="2" fontId="39" numFmtId="0" xfId="0" applyAlignment="1" applyBorder="1" applyFill="1" applyFont="1">
      <alignment horizontal="center" vertical="center"/>
    </xf>
    <xf borderId="119" fillId="5" fontId="29" numFmtId="0" xfId="0" applyAlignment="1" applyBorder="1" applyFill="1" applyFont="1">
      <alignment shrinkToFit="0" vertical="center" wrapText="1"/>
    </xf>
    <xf borderId="92" fillId="5" fontId="39" numFmtId="0" xfId="0" applyAlignment="1" applyBorder="1" applyFill="1" applyFont="1">
      <alignment horizontal="center" vertical="center"/>
    </xf>
    <xf borderId="54" fillId="5" fontId="39" numFmtId="0" xfId="0" applyAlignment="1" applyBorder="1" applyFill="1" applyFont="1">
      <alignment horizontal="center" vertical="center"/>
    </xf>
    <xf borderId="93" fillId="5" fontId="39" numFmtId="0" xfId="0" applyAlignment="1" applyBorder="1" applyFill="1" applyFont="1">
      <alignment horizontal="center" vertical="center"/>
    </xf>
    <xf borderId="94" fillId="5" fontId="39" numFmtId="0" xfId="0" applyAlignment="1" applyBorder="1" applyFill="1" applyFont="1">
      <alignment horizontal="center" vertical="center"/>
    </xf>
    <xf borderId="130" fillId="0" fontId="131" numFmtId="0" xfId="0" applyAlignment="1" applyBorder="1" applyFont="1">
      <alignment horizontal="left" readingOrder="0" shrinkToFit="0" vertical="center" wrapText="0"/>
    </xf>
    <xf borderId="124" fillId="5" fontId="38" numFmtId="0" xfId="0" applyAlignment="1" applyBorder="1" applyFill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Relationship Id="rId3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152400" cy="857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152400" cy="857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152400" cy="857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19</xdr:row>
      <xdr:rowOff>438150</xdr:rowOff>
    </xdr:from>
    <xdr:ext cx="4552950" cy="1666875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200025</xdr:colOff>
      <xdr:row>9</xdr:row>
      <xdr:rowOff>352425</xdr:rowOff>
    </xdr:from>
    <xdr:ext cx="4429125" cy="166687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133350</xdr:colOff>
      <xdr:row>28</xdr:row>
      <xdr:rowOff>200025</xdr:rowOff>
    </xdr:from>
    <xdr:ext cx="4429125" cy="1828800"/>
    <xdr:pic>
      <xdr:nvPicPr>
        <xdr:cNvPr id="0" name="image6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133350</xdr:colOff>
      <xdr:row>36</xdr:row>
      <xdr:rowOff>180975</xdr:rowOff>
    </xdr:from>
    <xdr:ext cx="4429125" cy="1781175"/>
    <xdr:pic>
      <xdr:nvPicPr>
        <xdr:cNvPr id="0" name="image5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</xdr:colOff>
      <xdr:row>25</xdr:row>
      <xdr:rowOff>-47625</xdr:rowOff>
    </xdr:from>
    <xdr:ext cx="6638925" cy="497205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52</xdr:row>
      <xdr:rowOff>133350</xdr:rowOff>
    </xdr:from>
    <xdr:ext cx="7105650" cy="3800475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44fu9bbI1sc7nR8DRqxI24tNjoXZ3hVoDe8QazXmILE/edit?usp=sharing" TargetMode="External"/><Relationship Id="rId42" Type="http://schemas.openxmlformats.org/officeDocument/2006/relationships/hyperlink" Target="https://docs.google.com/spreadsheets/d/1X6rwH2Re1BA5aexnrDdYKbz8u1HM8gRqX7T_YlcBoPU/edit?usp=sharing" TargetMode="External"/><Relationship Id="rId41" Type="http://schemas.openxmlformats.org/officeDocument/2006/relationships/hyperlink" Target="https://docs.google.com/spreadsheets/d/1FbAzCW-K7VP0eiZKxH8szO2KZviFoo-iRWR3nWzeHfQ/edit?usp=sharing" TargetMode="External"/><Relationship Id="rId44" Type="http://schemas.openxmlformats.org/officeDocument/2006/relationships/hyperlink" Target="https://docs.google.com/spreadsheets/d/1QrgtLgjwRemmKEGQ0Ej19zX58lDrh39kFyPMpxeUK4M/edit" TargetMode="External"/><Relationship Id="rId43" Type="http://schemas.openxmlformats.org/officeDocument/2006/relationships/hyperlink" Target="https://docs.google.com/spreadsheets/d/1IdzKgrMgUILDDeFWmB5US_4YF3jS5waWzKG8_zkHPCA/edit" TargetMode="External"/><Relationship Id="rId46" Type="http://schemas.openxmlformats.org/officeDocument/2006/relationships/hyperlink" Target="https://docs.google.com/spreadsheets/d/17pcXFaoqbDow-pCajGtvZReVKyfv5MIq0ouq4aYyHDw/edit" TargetMode="External"/><Relationship Id="rId45" Type="http://schemas.openxmlformats.org/officeDocument/2006/relationships/hyperlink" Target="https://docs.google.com/spreadsheets/d/1NEhJiTddC8LmKRQ6odLdmKul-GK_Smk-xT2Noou6lCs/edit" TargetMode="External"/><Relationship Id="rId1" Type="http://schemas.openxmlformats.org/officeDocument/2006/relationships/hyperlink" Target="https://docs.google.com/spreadsheets/u/0/d/1jWjz05ubthCK0446mZCwc0kxlpXc80wlJ0HeAow9gfk/edit" TargetMode="External"/><Relationship Id="rId2" Type="http://schemas.openxmlformats.org/officeDocument/2006/relationships/hyperlink" Target="https://docs.google.com/spreadsheets/d/1-5FCtaQvBzibqs2ybBEcx5qmDjQHekKlMkaMB0dGPVc/edit?gid=1703931589" TargetMode="External"/><Relationship Id="rId3" Type="http://schemas.openxmlformats.org/officeDocument/2006/relationships/hyperlink" Target="https://docs.google.com/spreadsheets/d/1jfoRz0yg7sIPX-5Uuzm82QtrprDPZLpw_oqipkRoATE" TargetMode="External"/><Relationship Id="rId4" Type="http://schemas.openxmlformats.org/officeDocument/2006/relationships/hyperlink" Target="https://goo.gl/FDLdQP" TargetMode="External"/><Relationship Id="rId9" Type="http://schemas.openxmlformats.org/officeDocument/2006/relationships/hyperlink" Target="https://docs.google.com/spreadsheets/d/1hxMlLusfoabp5PSzncvzcm5KwKOb12rwL5VSMAfWZlQ/edit" TargetMode="External"/><Relationship Id="rId48" Type="http://schemas.openxmlformats.org/officeDocument/2006/relationships/hyperlink" Target="https://docs.google.com/document/d/1ySUG0AjOpX0HWSHCmeLZCjZi2hunXcA0CKT_SHXORVk/edit" TargetMode="External"/><Relationship Id="rId47" Type="http://schemas.openxmlformats.org/officeDocument/2006/relationships/hyperlink" Target="https://docs.google.com/document/d/1QxA9-_anebjmPTiq4jHmm8U7toXVe6EUL_KWqzC2rJQ/edit" TargetMode="External"/><Relationship Id="rId49" Type="http://schemas.openxmlformats.org/officeDocument/2006/relationships/hyperlink" Target="https://docs.google.com/presentation/d/1X2fbzxbDUYgy0Wi0qrH6LAw3SJ96VBls2_cS9To0PTI/edit" TargetMode="External"/><Relationship Id="rId5" Type="http://schemas.openxmlformats.org/officeDocument/2006/relationships/hyperlink" Target="https://drive.google.com/open?id=1VZ3EerBHVpKRTb8FVnUSL9fMcbaCj-ZxZQFzSOH45V8" TargetMode="External"/><Relationship Id="rId6" Type="http://schemas.openxmlformats.org/officeDocument/2006/relationships/hyperlink" Target="https://docs.google.com/spreadsheets/d/1Xu6qsXqLApnvf_iE_oZdq5yfzDHvCrCDPVJSXRvps-k/edit?usp=sharing" TargetMode="External"/><Relationship Id="rId7" Type="http://schemas.openxmlformats.org/officeDocument/2006/relationships/hyperlink" Target="https://drive.google.com/open?id=1M6mkMGPyHz_xs9mZ70t5JKkMLdhaG298z_2JZlRSN3I" TargetMode="External"/><Relationship Id="rId8" Type="http://schemas.openxmlformats.org/officeDocument/2006/relationships/hyperlink" Target="https://goo.gl/VPJdDr" TargetMode="External"/><Relationship Id="rId31" Type="http://schemas.openxmlformats.org/officeDocument/2006/relationships/hyperlink" Target="https://docs.google.com/spreadsheets/d/1uGAKUEd0hf_0Lf7qb3nHEK-UHudAlJLcKOcyzvC5jjM/edit" TargetMode="External"/><Relationship Id="rId30" Type="http://schemas.openxmlformats.org/officeDocument/2006/relationships/hyperlink" Target="https://docs.google.com/spreadsheets/d/1kTNHQkRtU26AENd816J0KX_DcZUkbuAKeC89V7O-MEM/edit?gid=49805428" TargetMode="External"/><Relationship Id="rId33" Type="http://schemas.openxmlformats.org/officeDocument/2006/relationships/hyperlink" Target="https://docs.google.com/spreadsheets/d/19e5ijcQK1UZULi-arbj7WdJCTfzvrEr1cxmlf50VXSc/edit" TargetMode="External"/><Relationship Id="rId32" Type="http://schemas.openxmlformats.org/officeDocument/2006/relationships/hyperlink" Target="https://docs.google.com/spreadsheets/d/1S9KK6agViry4lObL5uWATtaH4xTDFTJcGR97OzPprvA/edit" TargetMode="External"/><Relationship Id="rId35" Type="http://schemas.openxmlformats.org/officeDocument/2006/relationships/hyperlink" Target="https://docs.google.com/spreadsheets/d/19Og6hRMK_dbeiPMTYtZxnHSn50E6nsaFeieFlacmtPc/edit" TargetMode="External"/><Relationship Id="rId34" Type="http://schemas.openxmlformats.org/officeDocument/2006/relationships/hyperlink" Target="https://docs.google.com/spreadsheets/d/1baV85TJ0qyxaOj05jZXDoKRcR8m_8TGiQpq3hY2WQNU/edit" TargetMode="External"/><Relationship Id="rId37" Type="http://schemas.openxmlformats.org/officeDocument/2006/relationships/hyperlink" Target="https://docs.google.com/spreadsheets/d/1rsflvFGU56OpbUtPgfZxp91FY2VNG88jtsno_Kr9E_w/edit?usp=sharing" TargetMode="External"/><Relationship Id="rId36" Type="http://schemas.openxmlformats.org/officeDocument/2006/relationships/hyperlink" Target="https://docs.google.com/spreadsheets/d/1EW7glsaiEqggWwDXzv275ti50k2AlpRbHi85b5jM0GM/edit" TargetMode="External"/><Relationship Id="rId39" Type="http://schemas.openxmlformats.org/officeDocument/2006/relationships/hyperlink" Target="https://docs.google.com/spreadsheets/d/1W5wJ3-m_ASopkayFC2-kWauY9Y8cXOgaO6Yn46UUhPY/edit?gid=230759614" TargetMode="External"/><Relationship Id="rId38" Type="http://schemas.openxmlformats.org/officeDocument/2006/relationships/hyperlink" Target="https://docs.google.com/spreadsheets/d/1eQki6rLEZlqJgeDL84l8QtQgc_DqRy_TR64FvVzuUq4/edit?usp=sharing" TargetMode="External"/><Relationship Id="rId62" Type="http://schemas.openxmlformats.org/officeDocument/2006/relationships/hyperlink" Target="https://docs.google.com/spreadsheets/d/1b5er9CJVoCRz7bJ6h_pTGi3bW98wQW_SN2-OnRM9IFo/edit" TargetMode="External"/><Relationship Id="rId61" Type="http://schemas.openxmlformats.org/officeDocument/2006/relationships/hyperlink" Target="https://docs.google.com/spreadsheets/d/1jfoRz0yg7sIPX-5Uuzm82QtrprDPZLpw_oqipkRoATE" TargetMode="External"/><Relationship Id="rId20" Type="http://schemas.openxmlformats.org/officeDocument/2006/relationships/hyperlink" Target="https://docs.google.com/spreadsheets/d/1KGzGP_rifuHKmaD4j8nBEL-Hybjp1ItuVUXMxyhqLB8/edit?usp=sharing" TargetMode="External"/><Relationship Id="rId64" Type="http://schemas.openxmlformats.org/officeDocument/2006/relationships/hyperlink" Target="https://drive.google.com/open?id=1uIW5kjU6pbjMr3CQpEGJQD3s8N-xZ84YHk_KyzRhLH0" TargetMode="External"/><Relationship Id="rId63" Type="http://schemas.openxmlformats.org/officeDocument/2006/relationships/hyperlink" Target="https://drive.google.com/open?id=1fTMbcgGrMaliSLydXpkLgPmQUkDqZgXKaeCgPFxO3zY" TargetMode="External"/><Relationship Id="rId22" Type="http://schemas.openxmlformats.org/officeDocument/2006/relationships/hyperlink" Target="https://docs.google.com/spreadsheets/d/1r9O4M8GSRAHDsZ7dHyY8uKI59xJ68SAvMusTc50gCzA/edit" TargetMode="External"/><Relationship Id="rId66" Type="http://schemas.openxmlformats.org/officeDocument/2006/relationships/drawing" Target="../drawings/drawing2.xml"/><Relationship Id="rId21" Type="http://schemas.openxmlformats.org/officeDocument/2006/relationships/hyperlink" Target="https://docs.google.com/spreadsheets/d/1b5er9CJVoCRz7bJ6h_pTGi3bW98wQW_SN2-OnRM9IFo/edit" TargetMode="External"/><Relationship Id="rId65" Type="http://schemas.openxmlformats.org/officeDocument/2006/relationships/hyperlink" Target="https://docs.google.com/spreadsheets/d/1b5er9CJVoCRz7bJ6h_pTGi3bW98wQW_SN2-OnRM9IFo/edit" TargetMode="External"/><Relationship Id="rId24" Type="http://schemas.openxmlformats.org/officeDocument/2006/relationships/hyperlink" Target="https://docs.google.com/spreadsheets/d/1rGZcFnVExKk45QiTW33x2F4IAouBC82BJyGu_yyDYdE/edit" TargetMode="External"/><Relationship Id="rId23" Type="http://schemas.openxmlformats.org/officeDocument/2006/relationships/hyperlink" Target="https://drive.google.com/open?id=1mrxK5xegm2172Kv_1jAvo1FZYZzfnvuHuU2BNePazrg" TargetMode="External"/><Relationship Id="rId60" Type="http://schemas.openxmlformats.org/officeDocument/2006/relationships/hyperlink" Target="https://docs.google.com/spreadsheets/d/1KGzGP_rifuHKmaD4j8nBEL-Hybjp1ItuVUXMxyhqLB8/edit?usp=sharing" TargetMode="External"/><Relationship Id="rId26" Type="http://schemas.openxmlformats.org/officeDocument/2006/relationships/hyperlink" Target="https://drive.google.com/open?id=1sEIdgDFlrs3FbyO9pfHlKQFaqTl5RTsLJbGyR6cafbg" TargetMode="External"/><Relationship Id="rId25" Type="http://schemas.openxmlformats.org/officeDocument/2006/relationships/hyperlink" Target="https://docs.google.com/spreadsheets/d/1oo0zZGQ7Vne2rIturZWmPs_9_RbyN6sZHzGiOfIphaA/edit" TargetMode="External"/><Relationship Id="rId28" Type="http://schemas.openxmlformats.org/officeDocument/2006/relationships/hyperlink" Target="https://drive.google.com/open?id=1thhLxiqHHtso2E8BGUp2ShxA5cQoGZSwUVMIje9E_Gg" TargetMode="External"/><Relationship Id="rId27" Type="http://schemas.openxmlformats.org/officeDocument/2006/relationships/hyperlink" Target="https://drive.google.com/open?id=17VQEwY1T2SYQ_hMep0g6-1ypgOmVT4A3R_ZUw7swZ7o" TargetMode="External"/><Relationship Id="rId29" Type="http://schemas.openxmlformats.org/officeDocument/2006/relationships/hyperlink" Target="https://drive.google.com/open?id=1uIW5kjU6pbjMr3CQpEGJQD3s8N-xZ84YHk_KyzRhLH0" TargetMode="External"/><Relationship Id="rId51" Type="http://schemas.openxmlformats.org/officeDocument/2006/relationships/hyperlink" Target="https://docs.google.com/presentation/d/1OBNsqamFgnS-AAG58fNNoiiUKznUPRHoMXR4sv9CAPA/edit" TargetMode="External"/><Relationship Id="rId50" Type="http://schemas.openxmlformats.org/officeDocument/2006/relationships/hyperlink" Target="https://docs.google.com/presentation/d/1Qmpw3MHNI8qDFOYq7abpOiUD6QxPW_EOQTtSqzwgT4Q/edit?usp=sharing" TargetMode="External"/><Relationship Id="rId53" Type="http://schemas.openxmlformats.org/officeDocument/2006/relationships/hyperlink" Target="https://docs.google.com/spreadsheets/d/1moASWw-K_7N-RhW71A0_ZTF83bVLtTntgNyG8C-f2PE/edit?gid=1955282419" TargetMode="External"/><Relationship Id="rId52" Type="http://schemas.openxmlformats.org/officeDocument/2006/relationships/hyperlink" Target="https://docs.google.com/spreadsheets/d/1PPK3nFXbbmkzzonC3vN4VdW0LYRCOpKTAfagvlXbIOs/edit?gid=262412966" TargetMode="External"/><Relationship Id="rId11" Type="http://schemas.openxmlformats.org/officeDocument/2006/relationships/hyperlink" Target="https://docs.google.com/spreadsheets/d/1nq-jTnhqV4f5yvssiOP-HEeuXivl_EG2Qwnr2od6MJE/edit?usp=sharing" TargetMode="External"/><Relationship Id="rId55" Type="http://schemas.openxmlformats.org/officeDocument/2006/relationships/hyperlink" Target="https://docs.google.com/spreadsheets/d/1E5QVwitbRVyxULKL89yeyA8cfJs-8swrHc0acs6CYRA/edit?gid=624193353" TargetMode="External"/><Relationship Id="rId10" Type="http://schemas.openxmlformats.org/officeDocument/2006/relationships/hyperlink" Target="https://docs.google.com/spreadsheets/d/1AzTWfLHUJiPUpsIrQDsNH5kzh92nEMj1_qchPe--Fx8/edit" TargetMode="External"/><Relationship Id="rId54" Type="http://schemas.openxmlformats.org/officeDocument/2006/relationships/hyperlink" Target="https://docs.google.com/spreadsheets/d/1-s4doyald7eIqsLvhhNTfYtd6I3LikuZlew2FNvdbBM/edit?gid=1127420381" TargetMode="External"/><Relationship Id="rId13" Type="http://schemas.openxmlformats.org/officeDocument/2006/relationships/hyperlink" Target="https://goo.gl/VZHG68" TargetMode="External"/><Relationship Id="rId57" Type="http://schemas.openxmlformats.org/officeDocument/2006/relationships/hyperlink" Target="https://docs.google.com/spreadsheets/d/1HkmUP81gw_TnA6IlS7iAsHV-HnfmOF4uyAEdDVAn10w/edit?gid=501181062" TargetMode="External"/><Relationship Id="rId12" Type="http://schemas.openxmlformats.org/officeDocument/2006/relationships/hyperlink" Target="https://docs.google.com/spreadsheets/d/1m2DuelFLHWlseDFLrO5uxDZ17sG1dm1fQIhX99Fil8g/edit?usp=sharing" TargetMode="External"/><Relationship Id="rId56" Type="http://schemas.openxmlformats.org/officeDocument/2006/relationships/hyperlink" Target="https://docs.google.com/spreadsheets/d/1C5M3QKhGxvnqoU3E-Dd0p9wFIuTHnoIgI-7XLEX1N9E/edit?gid=1331696559" TargetMode="External"/><Relationship Id="rId15" Type="http://schemas.openxmlformats.org/officeDocument/2006/relationships/hyperlink" Target="https://goo.gl/UxA8rb" TargetMode="External"/><Relationship Id="rId59" Type="http://schemas.openxmlformats.org/officeDocument/2006/relationships/hyperlink" Target="https://drive.google.com/open?id=1CnRLt2lWBHSCSMPaz_5C6bG0nCCzdVQV41NWyR_adpQ" TargetMode="External"/><Relationship Id="rId14" Type="http://schemas.openxmlformats.org/officeDocument/2006/relationships/hyperlink" Target="https://goo.gl/QQKGXJ" TargetMode="External"/><Relationship Id="rId58" Type="http://schemas.openxmlformats.org/officeDocument/2006/relationships/hyperlink" Target="https://drive.google.com/open?id=1fTMbcgGrMaliSLydXpkLgPmQUkDqZgXKaeCgPFxO3zY" TargetMode="External"/><Relationship Id="rId17" Type="http://schemas.openxmlformats.org/officeDocument/2006/relationships/hyperlink" Target="https://drive.google.com/open?id=1fTMbcgGrMaliSLydXpkLgPmQUkDqZgXKaeCgPFxO3zY" TargetMode="External"/><Relationship Id="rId16" Type="http://schemas.openxmlformats.org/officeDocument/2006/relationships/hyperlink" Target="https://drive.google.com/open?id=1CnRLt2lWBHSCSMPaz_5C6bG0nCCzdVQV41NWyR_adpQ" TargetMode="External"/><Relationship Id="rId19" Type="http://schemas.openxmlformats.org/officeDocument/2006/relationships/hyperlink" Target="https://goo.gl/XByPZm" TargetMode="External"/><Relationship Id="rId18" Type="http://schemas.openxmlformats.org/officeDocument/2006/relationships/hyperlink" Target="https://goo.gl/zh7N9R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eQki6rLEZlqJgeDL84l8QtQgc_DqRy_TR64FvVzuUq4/edit?usp=sharing" TargetMode="External"/><Relationship Id="rId42" Type="http://schemas.openxmlformats.org/officeDocument/2006/relationships/hyperlink" Target="https://docs.google.com/spreadsheets/d/144fu9bbI1sc7nR8DRqxI24tNjoXZ3hVoDe8QazXmILE/edit?usp=sharing" TargetMode="External"/><Relationship Id="rId41" Type="http://schemas.openxmlformats.org/officeDocument/2006/relationships/hyperlink" Target="https://docs.google.com/spreadsheets/d/1W5wJ3-m_ASopkayFC2-kWauY9Y8cXOgaO6Yn46UUhPY/edit?gid=230759614" TargetMode="External"/><Relationship Id="rId44" Type="http://schemas.openxmlformats.org/officeDocument/2006/relationships/hyperlink" Target="https://docs.google.com/spreadsheets/d/1X6rwH2Re1BA5aexnrDdYKbz8u1HM8gRqX7T_YlcBoPU/edit?usp=sharing" TargetMode="External"/><Relationship Id="rId43" Type="http://schemas.openxmlformats.org/officeDocument/2006/relationships/hyperlink" Target="https://docs.google.com/spreadsheets/d/1FbAzCW-K7VP0eiZKxH8szO2KZviFoo-iRWR3nWzeHfQ/edit?usp=sharing" TargetMode="External"/><Relationship Id="rId46" Type="http://schemas.openxmlformats.org/officeDocument/2006/relationships/hyperlink" Target="https://docs.google.com/spreadsheets/d/1QrgtLgjwRemmKEGQ0Ej19zX58lDrh39kFyPMpxeUK4M/edit" TargetMode="External"/><Relationship Id="rId45" Type="http://schemas.openxmlformats.org/officeDocument/2006/relationships/hyperlink" Target="https://docs.google.com/spreadsheets/d/1IdzKgrMgUILDDeFWmB5US_4YF3jS5waWzKG8_zkHPCA/edit" TargetMode="External"/><Relationship Id="rId1" Type="http://schemas.openxmlformats.org/officeDocument/2006/relationships/hyperlink" Target="https://docs.google.com/spreadsheets/u/0/d/1jWjz05ubthCK0446mZCwc0kxlpXc80wlJ0HeAow9gfk/edit" TargetMode="External"/><Relationship Id="rId2" Type="http://schemas.openxmlformats.org/officeDocument/2006/relationships/hyperlink" Target="https://docs.google.com/spreadsheets/d/1-5FCtaQvBzibqs2ybBEcx5qmDjQHekKlMkaMB0dGPVc/edit?gid=1703931589" TargetMode="External"/><Relationship Id="rId3" Type="http://schemas.openxmlformats.org/officeDocument/2006/relationships/hyperlink" Target="https://docs.google.com/spreadsheets/d/1jfoRz0yg7sIPX-5Uuzm82QtrprDPZLpw_oqipkRoATE" TargetMode="External"/><Relationship Id="rId4" Type="http://schemas.openxmlformats.org/officeDocument/2006/relationships/hyperlink" Target="https://goo.gl/FDLdQP" TargetMode="External"/><Relationship Id="rId9" Type="http://schemas.openxmlformats.org/officeDocument/2006/relationships/hyperlink" Target="https://drive.google.com/open?id=1M6mkMGPyHz_xs9mZ70t5JKkMLdhaG298z_2JZlRSN3I" TargetMode="External"/><Relationship Id="rId48" Type="http://schemas.openxmlformats.org/officeDocument/2006/relationships/hyperlink" Target="https://docs.google.com/spreadsheets/d/1v875OJBD12VLJpSXHqCLNMgUEBz0Ra2v6Ykwt6m6ukQ/edit?gid=1047047273" TargetMode="External"/><Relationship Id="rId47" Type="http://schemas.openxmlformats.org/officeDocument/2006/relationships/hyperlink" Target="https://docs.google.com/spreadsheets/d/1NEhJiTddC8LmKRQ6odLdmKul-GK_Smk-xT2Noou6lCs/edit" TargetMode="External"/><Relationship Id="rId49" Type="http://schemas.openxmlformats.org/officeDocument/2006/relationships/hyperlink" Target="https://docs.google.com/spreadsheets/d/1PPK3nFXbbmkzzonC3vN4VdW0LYRCOpKTAfagvlXbIOs/edit?gid=262412966" TargetMode="External"/><Relationship Id="rId5" Type="http://schemas.openxmlformats.org/officeDocument/2006/relationships/hyperlink" Target="https://drive.google.com/open?id=1VZ3EerBHVpKRTb8FVnUSL9fMcbaCj-ZxZQFzSOH45V8" TargetMode="External"/><Relationship Id="rId6" Type="http://schemas.openxmlformats.org/officeDocument/2006/relationships/hyperlink" Target="https://docs.google.com/presentation/d/1X2fbzxbDUYgy0Wi0qrH6LAw3SJ96VBls2_cS9To0PTI/edit" TargetMode="External"/><Relationship Id="rId7" Type="http://schemas.openxmlformats.org/officeDocument/2006/relationships/hyperlink" Target="https://docs.google.com/presentation/u/0/d/1OBNsqamFgnS-AAG58fNNoiiUKznUPRHoMXR4sv9CAPA/edit" TargetMode="External"/><Relationship Id="rId8" Type="http://schemas.openxmlformats.org/officeDocument/2006/relationships/hyperlink" Target="https://docs.google.com/spreadsheets/d/1Xu6qsXqLApnvf_iE_oZdq5yfzDHvCrCDPVJSXRvps-k/edit?usp=sharing" TargetMode="External"/><Relationship Id="rId31" Type="http://schemas.openxmlformats.org/officeDocument/2006/relationships/hyperlink" Target="https://drive.google.com/open?id=1thhLxiqHHtso2E8BGUp2ShxA5cQoGZSwUVMIje9E_Gg" TargetMode="External"/><Relationship Id="rId30" Type="http://schemas.openxmlformats.org/officeDocument/2006/relationships/hyperlink" Target="https://drive.google.com/open?id=17VQEwY1T2SYQ_hMep0g6-1ypgOmVT4A3R_ZUw7swZ7o" TargetMode="External"/><Relationship Id="rId33" Type="http://schemas.openxmlformats.org/officeDocument/2006/relationships/hyperlink" Target="https://docs.google.com/spreadsheets/d/1kTNHQkRtU26AENd816J0KX_DcZUkbuAKeC89V7O-MEM/edit?gid=1349872937" TargetMode="External"/><Relationship Id="rId32" Type="http://schemas.openxmlformats.org/officeDocument/2006/relationships/hyperlink" Target="https://docs.google.com/spreadsheets/d/1uIW5kjU6pbjMr3CQpEGJQD3s8N-xZ84YHk_KyzRhLH0/edit?usp=sharing" TargetMode="External"/><Relationship Id="rId35" Type="http://schemas.openxmlformats.org/officeDocument/2006/relationships/hyperlink" Target="https://docs.google.com/spreadsheets/d/1S9KK6agViry4lObL5uWATtaH4xTDFTJcGR97OzPprvA/edit" TargetMode="External"/><Relationship Id="rId34" Type="http://schemas.openxmlformats.org/officeDocument/2006/relationships/hyperlink" Target="https://docs.google.com/spreadsheets/d/1uGAKUEd0hf_0Lf7qb3nHEK-UHudAlJLcKOcyzvC5jjM/edit" TargetMode="External"/><Relationship Id="rId37" Type="http://schemas.openxmlformats.org/officeDocument/2006/relationships/hyperlink" Target="https://docs.google.com/spreadsheets/d/1baV85TJ0qyxaOj05jZXDoKRcR8m_8TGiQpq3hY2WQNU/edit" TargetMode="External"/><Relationship Id="rId36" Type="http://schemas.openxmlformats.org/officeDocument/2006/relationships/hyperlink" Target="https://docs.google.com/spreadsheets/d/19e5ijcQK1UZULi-arbj7WdJCTfzvrEr1cxmlf50VXSc/edit" TargetMode="External"/><Relationship Id="rId39" Type="http://schemas.openxmlformats.org/officeDocument/2006/relationships/hyperlink" Target="https://link.sun-asterisk.vn/sVzVPx" TargetMode="External"/><Relationship Id="rId38" Type="http://schemas.openxmlformats.org/officeDocument/2006/relationships/hyperlink" Target="https://docs.google.com/spreadsheets/d/1EW7glsaiEqggWwDXzv275ti50k2AlpRbHi85b5jM0GM/edit" TargetMode="External"/><Relationship Id="rId20" Type="http://schemas.openxmlformats.org/officeDocument/2006/relationships/hyperlink" Target="https://goo.gl/zh7N9R" TargetMode="External"/><Relationship Id="rId22" Type="http://schemas.openxmlformats.org/officeDocument/2006/relationships/hyperlink" Target="https://docs.google.com/spreadsheets/d/1KGzGP_rifuHKmaD4j8nBEL-Hybjp1ItuVUXMxyhqLB8/edit?usp=sharing" TargetMode="External"/><Relationship Id="rId21" Type="http://schemas.openxmlformats.org/officeDocument/2006/relationships/hyperlink" Target="https://goo.gl/XByPZm" TargetMode="External"/><Relationship Id="rId24" Type="http://schemas.openxmlformats.org/officeDocument/2006/relationships/hyperlink" Target="https://docs.google.com/spreadsheets/d/1r9O4M8GSRAHDsZ7dHyY8uKI59xJ68SAvMusTc50gCzA/edit" TargetMode="External"/><Relationship Id="rId23" Type="http://schemas.openxmlformats.org/officeDocument/2006/relationships/hyperlink" Target="https://docs.google.com/spreadsheets/d/1rsflvFGU56OpbUtPgfZxp91FY2VNG88jtsno_Kr9E_w/edit?usp=sharing" TargetMode="External"/><Relationship Id="rId26" Type="http://schemas.openxmlformats.org/officeDocument/2006/relationships/hyperlink" Target="https://drive.google.com/open?id=1mrxK5xegm2172Kv_1jAvo1FZYZzfnvuHuU2BNePazrg" TargetMode="External"/><Relationship Id="rId25" Type="http://schemas.openxmlformats.org/officeDocument/2006/relationships/hyperlink" Target="https://docs.google.com/spreadsheets/d/1b5er9CJVoCRz7bJ6h_pTGi3bW98wQW_SN2-OnRM9IFo/edit" TargetMode="External"/><Relationship Id="rId28" Type="http://schemas.openxmlformats.org/officeDocument/2006/relationships/hyperlink" Target="https://docs.google.com/spreadsheets/d/1oo0zZGQ7Vne2rIturZWmPs_9_RbyN6sZHzGiOfIphaA/edit" TargetMode="External"/><Relationship Id="rId27" Type="http://schemas.openxmlformats.org/officeDocument/2006/relationships/hyperlink" Target="https://docs.google.com/spreadsheets/d/1rGZcFnVExKk45QiTW33x2F4IAouBC82BJyGu_yyDYdE/edit" TargetMode="External"/><Relationship Id="rId29" Type="http://schemas.openxmlformats.org/officeDocument/2006/relationships/hyperlink" Target="https://drive.google.com/open?id=1sEIdgDFlrs3FbyO9pfHlKQFaqTl5RTsLJbGyR6cafbg" TargetMode="External"/><Relationship Id="rId51" Type="http://schemas.openxmlformats.org/officeDocument/2006/relationships/hyperlink" Target="https://docs.google.com/spreadsheets/d/1-s4doyald7eIqsLvhhNTfYtd6I3LikuZlew2FNvdbBM/edit?gid=1127420381" TargetMode="External"/><Relationship Id="rId50" Type="http://schemas.openxmlformats.org/officeDocument/2006/relationships/hyperlink" Target="https://docs.google.com/spreadsheets/d/1moASWw-K_7N-RhW71A0_ZTF83bVLtTntgNyG8C-f2PE/edit?gid=1955282419" TargetMode="External"/><Relationship Id="rId53" Type="http://schemas.openxmlformats.org/officeDocument/2006/relationships/hyperlink" Target="https://docs.google.com/spreadsheets/d/1C5M3QKhGxvnqoU3E-Dd0p9wFIuTHnoIgI-7XLEX1N9E/edit?gid=1331696559" TargetMode="External"/><Relationship Id="rId52" Type="http://schemas.openxmlformats.org/officeDocument/2006/relationships/hyperlink" Target="https://docs.google.com/spreadsheets/d/1E5QVwitbRVyxULKL89yeyA8cfJs-8swrHc0acs6CYRA/edit?gid=624193353" TargetMode="External"/><Relationship Id="rId11" Type="http://schemas.openxmlformats.org/officeDocument/2006/relationships/hyperlink" Target="https://docs.google.com/spreadsheets/d/1hxMlLusfoabp5PSzncvzcm5KwKOb12rwL5VSMAfWZlQ/edit" TargetMode="External"/><Relationship Id="rId55" Type="http://schemas.openxmlformats.org/officeDocument/2006/relationships/drawing" Target="../drawings/drawing3.xml"/><Relationship Id="rId10" Type="http://schemas.openxmlformats.org/officeDocument/2006/relationships/hyperlink" Target="https://goo.gl/VPJdDr" TargetMode="External"/><Relationship Id="rId54" Type="http://schemas.openxmlformats.org/officeDocument/2006/relationships/hyperlink" Target="https://docs.google.com/spreadsheets/d/1HkmUP81gw_TnA6IlS7iAsHV-HnfmOF4uyAEdDVAn10w/edit?gid=501181062" TargetMode="External"/><Relationship Id="rId13" Type="http://schemas.openxmlformats.org/officeDocument/2006/relationships/hyperlink" Target="https://docs.google.com/spreadsheets/d/1nq-jTnhqV4f5yvssiOP-HEeuXivl_EG2Qwnr2od6MJE/edit?usp=sharing" TargetMode="External"/><Relationship Id="rId12" Type="http://schemas.openxmlformats.org/officeDocument/2006/relationships/hyperlink" Target="https://docs.google.com/spreadsheets/d/1AzTWfLHUJiPUpsIrQDsNH5kzh92nEMj1_qchPe--Fx8/edit" TargetMode="External"/><Relationship Id="rId15" Type="http://schemas.openxmlformats.org/officeDocument/2006/relationships/hyperlink" Target="https://goo.gl/VZHG68" TargetMode="External"/><Relationship Id="rId14" Type="http://schemas.openxmlformats.org/officeDocument/2006/relationships/hyperlink" Target="https://docs.google.com/spreadsheets/d/1m2DuelFLHWlseDFLrO5uxDZ17sG1dm1fQIhX99Fil8g/edit?usp=sharing" TargetMode="External"/><Relationship Id="rId17" Type="http://schemas.openxmlformats.org/officeDocument/2006/relationships/hyperlink" Target="https://goo.gl/UxA8rb" TargetMode="External"/><Relationship Id="rId16" Type="http://schemas.openxmlformats.org/officeDocument/2006/relationships/hyperlink" Target="https://goo.gl/QQKGXJ" TargetMode="External"/><Relationship Id="rId19" Type="http://schemas.openxmlformats.org/officeDocument/2006/relationships/hyperlink" Target="https://drive.google.com/open?id=1fTMbcgGrMaliSLydXpkLgPmQUkDqZgXKaeCgPFxO3zY" TargetMode="External"/><Relationship Id="rId18" Type="http://schemas.openxmlformats.org/officeDocument/2006/relationships/hyperlink" Target="https://drive.google.com/open?id=1CnRLt2lWBHSCSMPaz_5C6bG0nCCzdVQV41NWyR_adpQ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AzTWfLHUJiPUpsIrQDsNH5kzh92nEMj1_qchPe--Fx8/edit" TargetMode="External"/><Relationship Id="rId42" Type="http://schemas.openxmlformats.org/officeDocument/2006/relationships/hyperlink" Target="https://docs.google.com/spreadsheets/d/1m2DuelFLHWlseDFLrO5uxDZ17sG1dm1fQIhX99Fil8g/edit?usp=sharing" TargetMode="External"/><Relationship Id="rId41" Type="http://schemas.openxmlformats.org/officeDocument/2006/relationships/hyperlink" Target="https://docs.google.com/spreadsheets/d/1nq-jTnhqV4f5yvssiOP-HEeuXivl_EG2Qwnr2od6MJE/edit?usp=sharing" TargetMode="External"/><Relationship Id="rId44" Type="http://schemas.openxmlformats.org/officeDocument/2006/relationships/hyperlink" Target="https://docs.google.com/spreadsheets/d/1uGAKUEd0hf_0Lf7qb3nHEK-UHudAlJLcKOcyzvC5jjM/edit" TargetMode="External"/><Relationship Id="rId43" Type="http://schemas.openxmlformats.org/officeDocument/2006/relationships/hyperlink" Target="https://drive.google.com/open?id=1uIW5kjU6pbjMr3CQpEGJQD3s8N-xZ84YHk_KyzRhLH0" TargetMode="External"/><Relationship Id="rId46" Type="http://schemas.openxmlformats.org/officeDocument/2006/relationships/hyperlink" Target="https://docs.google.com/spreadsheets/d/1v875OJBD12VLJpSXHqCLNMgUEBz0Ra2v6Ykwt6m6ukQ/edit?gid=1047047273" TargetMode="External"/><Relationship Id="rId45" Type="http://schemas.openxmlformats.org/officeDocument/2006/relationships/hyperlink" Target="https://docs.google.com/spreadsheets/d/1baV85TJ0qyxaOj05jZXDoKRcR8m_8TGiQpq3hY2WQNU/edit" TargetMode="External"/><Relationship Id="rId1" Type="http://schemas.openxmlformats.org/officeDocument/2006/relationships/hyperlink" Target="https://docs.google.com/spreadsheets/d/1IdzKgrMgUILDDeFWmB5US_4YF3jS5waWzKG8_zkHPCA/edit" TargetMode="External"/><Relationship Id="rId2" Type="http://schemas.openxmlformats.org/officeDocument/2006/relationships/hyperlink" Target="https://docs.google.com/spreadsheets/d/1KGzGP_rifuHKmaD4j8nBEL-Hybjp1ItuVUXMxyhqLB8/edit?usp=sharing" TargetMode="External"/><Relationship Id="rId3" Type="http://schemas.openxmlformats.org/officeDocument/2006/relationships/hyperlink" Target="https://docs.google.com/spreadsheets/d/1rsflvFGU56OpbUtPgfZxp91FY2VNG88jtsno_Kr9E_w/edit?usp=sharing" TargetMode="External"/><Relationship Id="rId4" Type="http://schemas.openxmlformats.org/officeDocument/2006/relationships/hyperlink" Target="https://docs.google.com/spreadsheets/d/1b5er9CJVoCRz7bJ6h_pTGi3bW98wQW_SN2-OnRM9IFo/edit" TargetMode="External"/><Relationship Id="rId9" Type="http://schemas.openxmlformats.org/officeDocument/2006/relationships/hyperlink" Target="https://docs.google.com/spreadsheets/d/19e5ijcQK1UZULi-arbj7WdJCTfzvrEr1cxmlf50VXSc/edit" TargetMode="External"/><Relationship Id="rId48" Type="http://schemas.openxmlformats.org/officeDocument/2006/relationships/hyperlink" Target="https://docs.google.com/spreadsheets/d/1-s4doyald7eIqsLvhhNTfYtd6I3LikuZlew2FNvdbBM/edit?gid=1127420381" TargetMode="External"/><Relationship Id="rId47" Type="http://schemas.openxmlformats.org/officeDocument/2006/relationships/hyperlink" Target="https://docs.google.com/spreadsheets/d/1moASWw-K_7N-RhW71A0_ZTF83bVLtTntgNyG8C-f2PE/edit?gid=1955282419" TargetMode="External"/><Relationship Id="rId49" Type="http://schemas.openxmlformats.org/officeDocument/2006/relationships/hyperlink" Target="https://confluence.sun-asterisk.com/display/PAOP/Risk+Management+Process" TargetMode="External"/><Relationship Id="rId5" Type="http://schemas.openxmlformats.org/officeDocument/2006/relationships/hyperlink" Target="https://goo.gl/XByPZm" TargetMode="External"/><Relationship Id="rId6" Type="http://schemas.openxmlformats.org/officeDocument/2006/relationships/hyperlink" Target="https://docs.google.com/spreadsheets/d/1S9KK6agViry4lObL5uWATtaH4xTDFTJcGR97OzPprvA/edit" TargetMode="External"/><Relationship Id="rId7" Type="http://schemas.openxmlformats.org/officeDocument/2006/relationships/hyperlink" Target="https://docs.google.com/spreadsheets/d/1r9O4M8GSRAHDsZ7dHyY8uKI59xJ68SAvMusTc50gCzA/edit" TargetMode="External"/><Relationship Id="rId8" Type="http://schemas.openxmlformats.org/officeDocument/2006/relationships/hyperlink" Target="https://docs.google.com/spreadsheets/d/1oo0zZGQ7Vne2rIturZWmPs_9_RbyN6sZHzGiOfIphaA/edit" TargetMode="External"/><Relationship Id="rId31" Type="http://schemas.openxmlformats.org/officeDocument/2006/relationships/hyperlink" Target="https://docs.google.com/spreadsheets/d/1QrgtLgjwRemmKEGQ0Ej19zX58lDrh39kFyPMpxeUK4M/edit" TargetMode="External"/><Relationship Id="rId30" Type="http://schemas.openxmlformats.org/officeDocument/2006/relationships/hyperlink" Target="https://docs.google.com/spreadsheets/d/1W5wJ3-m_ASopkayFC2-kWauY9Y8cXOgaO6Yn46UUhPY/edit?gid=230759614" TargetMode="External"/><Relationship Id="rId33" Type="http://schemas.openxmlformats.org/officeDocument/2006/relationships/hyperlink" Target="https://docs.google.com/spreadsheets/d/144fu9bbI1sc7nR8DRqxI24tNjoXZ3hVoDe8QazXmILE/edit?usp=sharing" TargetMode="External"/><Relationship Id="rId32" Type="http://schemas.openxmlformats.org/officeDocument/2006/relationships/hyperlink" Target="https://docs.google.com/spreadsheets/d/1Xu6qsXqLApnvf_iE_oZdq5yfzDHvCrCDPVJSXRvps-k/edit?usp=sharing" TargetMode="External"/><Relationship Id="rId35" Type="http://schemas.openxmlformats.org/officeDocument/2006/relationships/hyperlink" Target="https://docs.google.com/spreadsheets/d/1FbAzCW-K7VP0eiZKxH8szO2KZviFoo-iRWR3nWzeHfQ/edit?usp=sharing" TargetMode="External"/><Relationship Id="rId34" Type="http://schemas.openxmlformats.org/officeDocument/2006/relationships/hyperlink" Target="https://drive.google.com/open?id=1M6mkMGPyHz_xs9mZ70t5JKkMLdhaG298z_2JZlRSN3I" TargetMode="External"/><Relationship Id="rId37" Type="http://schemas.openxmlformats.org/officeDocument/2006/relationships/hyperlink" Target="https://docs.google.com/spreadsheets/d/1X6rwH2Re1BA5aexnrDdYKbz8u1HM8gRqX7T_YlcBoPU/edit?usp=sharing" TargetMode="External"/><Relationship Id="rId36" Type="http://schemas.openxmlformats.org/officeDocument/2006/relationships/hyperlink" Target="https://goo.gl/VPJdDr" TargetMode="External"/><Relationship Id="rId39" Type="http://schemas.openxmlformats.org/officeDocument/2006/relationships/hyperlink" Target="https://docs.google.com/spreadsheets/d/1PPK3nFXbbmkzzonC3vN4VdW0LYRCOpKTAfagvlXbIOs/edit?gid=262412966" TargetMode="External"/><Relationship Id="rId38" Type="http://schemas.openxmlformats.org/officeDocument/2006/relationships/hyperlink" Target="https://docs.google.com/spreadsheets/d/1hxMlLusfoabp5PSzncvzcm5KwKOb12rwL5VSMAfWZlQ/edit" TargetMode="External"/><Relationship Id="rId20" Type="http://schemas.openxmlformats.org/officeDocument/2006/relationships/hyperlink" Target="https://goo.gl/FDLdQP" TargetMode="External"/><Relationship Id="rId22" Type="http://schemas.openxmlformats.org/officeDocument/2006/relationships/hyperlink" Target="https://drive.google.com/open?id=1sEIdgDFlrs3FbyO9pfHlKQFaqTl5RTsLJbGyR6cafbg" TargetMode="External"/><Relationship Id="rId21" Type="http://schemas.openxmlformats.org/officeDocument/2006/relationships/hyperlink" Target="https://drive.google.com/open?id=1fTMbcgGrMaliSLydXpkLgPmQUkDqZgXKaeCgPFxO3zY" TargetMode="External"/><Relationship Id="rId24" Type="http://schemas.openxmlformats.org/officeDocument/2006/relationships/hyperlink" Target="https://goo.gl/zh7N9R" TargetMode="External"/><Relationship Id="rId23" Type="http://schemas.openxmlformats.org/officeDocument/2006/relationships/hyperlink" Target="https://drive.google.com/open?id=1VZ3EerBHVpKRTb8FVnUSL9fMcbaCj-ZxZQFzSOH45V8" TargetMode="External"/><Relationship Id="rId26" Type="http://schemas.openxmlformats.org/officeDocument/2006/relationships/hyperlink" Target="https://docs.google.com/presentation/d/1X2fbzxbDUYgy0Wi0qrH6LAw3SJ96VBls2_cS9To0PTI/edit" TargetMode="External"/><Relationship Id="rId25" Type="http://schemas.openxmlformats.org/officeDocument/2006/relationships/hyperlink" Target="https://drive.google.com/open?id=17VQEwY1T2SYQ_hMep0g6-1ypgOmVT4A3R_ZUw7swZ7o" TargetMode="External"/><Relationship Id="rId28" Type="http://schemas.openxmlformats.org/officeDocument/2006/relationships/hyperlink" Target="https://docs.google.com/spreadsheets/d/1kTNHQkRtU26AENd816J0KX_DcZUkbuAKeC89V7O-MEM/edit?gid=1349872937" TargetMode="External"/><Relationship Id="rId27" Type="http://schemas.openxmlformats.org/officeDocument/2006/relationships/hyperlink" Target="https://drive.google.com/open?id=1thhLxiqHHtso2E8BGUp2ShxA5cQoGZSwUVMIje9E_Gg" TargetMode="External"/><Relationship Id="rId29" Type="http://schemas.openxmlformats.org/officeDocument/2006/relationships/hyperlink" Target="https://docs.google.com/presentation/u/0/d/1OBNsqamFgnS-AAG58fNNoiiUKznUPRHoMXR4sv9CAPA/edit" TargetMode="External"/><Relationship Id="rId50" Type="http://schemas.openxmlformats.org/officeDocument/2006/relationships/drawing" Target="../drawings/drawing4.xml"/><Relationship Id="rId11" Type="http://schemas.openxmlformats.org/officeDocument/2006/relationships/hyperlink" Target="https://docs.google.com/spreadsheets/u/0/d/1jWjz05ubthCK0446mZCwc0kxlpXc80wlJ0HeAow9gfk/edit" TargetMode="External"/><Relationship Id="rId10" Type="http://schemas.openxmlformats.org/officeDocument/2006/relationships/hyperlink" Target="https://docs.google.com/spreadsheets/d/1NEhJiTddC8LmKRQ6odLdmKul-GK_Smk-xT2Noou6lCs/edit" TargetMode="External"/><Relationship Id="rId13" Type="http://schemas.openxmlformats.org/officeDocument/2006/relationships/hyperlink" Target="https://goo.gl/QQKGXJ" TargetMode="External"/><Relationship Id="rId12" Type="http://schemas.openxmlformats.org/officeDocument/2006/relationships/hyperlink" Target="https://goo.gl/VZHG68" TargetMode="External"/><Relationship Id="rId15" Type="http://schemas.openxmlformats.org/officeDocument/2006/relationships/hyperlink" Target="https://docs.google.com/spreadsheets/d/1EW7glsaiEqggWwDXzv275ti50k2AlpRbHi85b5jM0GM/edit" TargetMode="External"/><Relationship Id="rId14" Type="http://schemas.openxmlformats.org/officeDocument/2006/relationships/hyperlink" Target="https://docs.google.com/spreadsheets/d/1-5FCtaQvBzibqs2ybBEcx5qmDjQHekKlMkaMB0dGPVc/edit?gid=1703931589" TargetMode="External"/><Relationship Id="rId17" Type="http://schemas.openxmlformats.org/officeDocument/2006/relationships/hyperlink" Target="https://docs.google.com/spreadsheets/d/1jfoRz0yg7sIPX-5Uuzm82QtrprDPZLpw_oqipkRoATE" TargetMode="External"/><Relationship Id="rId16" Type="http://schemas.openxmlformats.org/officeDocument/2006/relationships/hyperlink" Target="https://goo.gl/UxA8rb" TargetMode="External"/><Relationship Id="rId19" Type="http://schemas.openxmlformats.org/officeDocument/2006/relationships/hyperlink" Target="https://docs.google.com/spreadsheets/d/1rGZcFnVExKk45QiTW33x2F4IAouBC82BJyGu_yyDYdE/edit" TargetMode="External"/><Relationship Id="rId18" Type="http://schemas.openxmlformats.org/officeDocument/2006/relationships/hyperlink" Target="https://drive.google.com/open?id=1CnRLt2lWBHSCSMPaz_5C6bG0nCCzdVQV41NWyR_adpQ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FbAzCW-K7VP0eiZKxH8szO2KZviFoo-iRWR3nWzeHfQ/edit?usp=sharing" TargetMode="External"/><Relationship Id="rId42" Type="http://schemas.openxmlformats.org/officeDocument/2006/relationships/hyperlink" Target="https://goo.gl/VZHG68" TargetMode="External"/><Relationship Id="rId41" Type="http://schemas.openxmlformats.org/officeDocument/2006/relationships/hyperlink" Target="https://docs.google.com/spreadsheets/d/1X6rwH2Re1BA5aexnrDdYKbz8u1HM8gRqX7T_YlcBoPU/edit?usp=sharing" TargetMode="External"/><Relationship Id="rId44" Type="http://schemas.openxmlformats.org/officeDocument/2006/relationships/hyperlink" Target="https://drive.google.com/open?id=1mrxK5xegm2172Kv_1jAvo1FZYZzfnvuHuU2BNePazrg" TargetMode="External"/><Relationship Id="rId43" Type="http://schemas.openxmlformats.org/officeDocument/2006/relationships/hyperlink" Target="https://docs.google.com/spreadsheets/d/1oo0zZGQ7Vne2rIturZWmPs_9_RbyN6sZHzGiOfIphaA/edit" TargetMode="External"/><Relationship Id="rId46" Type="http://schemas.openxmlformats.org/officeDocument/2006/relationships/hyperlink" Target="https://docs.google.com/spreadsheets/d/1NEhJiTddC8LmKRQ6odLdmKul-GK_Smk-xT2Noou6lCs/edit" TargetMode="External"/><Relationship Id="rId45" Type="http://schemas.openxmlformats.org/officeDocument/2006/relationships/hyperlink" Target="https://docs.google.com/spreadsheets/d/19e5ijcQK1UZULi-arbj7WdJCTfzvrEr1cxmlf50VXSc/edit" TargetMode="External"/><Relationship Id="rId1" Type="http://schemas.openxmlformats.org/officeDocument/2006/relationships/hyperlink" Target="https://goo.gl/9yMVRu" TargetMode="External"/><Relationship Id="rId2" Type="http://schemas.openxmlformats.org/officeDocument/2006/relationships/hyperlink" Target="https://docs.google.com/spreadsheets/u/0/d/1jWjz05ubthCK0446mZCwc0kxlpXc80wlJ0HeAow9gfk/edit" TargetMode="External"/><Relationship Id="rId3" Type="http://schemas.openxmlformats.org/officeDocument/2006/relationships/hyperlink" Target="https://docs.google.com/spreadsheets/d/1-5FCtaQvBzibqs2ybBEcx5qmDjQHekKlMkaMB0dGPVc/edit?gid=1703931589" TargetMode="External"/><Relationship Id="rId4" Type="http://schemas.openxmlformats.org/officeDocument/2006/relationships/hyperlink" Target="https://docs.google.com/spreadsheets/d/1jfoRz0yg7sIPX-5Uuzm82QtrprDPZLpw_oqipkRoATE" TargetMode="External"/><Relationship Id="rId9" Type="http://schemas.openxmlformats.org/officeDocument/2006/relationships/hyperlink" Target="https://drive.google.com/open?id=1thhLxiqHHtso2E8BGUp2ShxA5cQoGZSwUVMIje9E_Gg" TargetMode="External"/><Relationship Id="rId48" Type="http://schemas.openxmlformats.org/officeDocument/2006/relationships/hyperlink" Target="https://drive.google.com/open?id=1CnRLt2lWBHSCSMPaz_5C6bG0nCCzdVQV41NWyR_adpQ" TargetMode="External"/><Relationship Id="rId47" Type="http://schemas.openxmlformats.org/officeDocument/2006/relationships/hyperlink" Target="https://docs.google.com/spreadsheets/d/1E5QVwitbRVyxULKL89yeyA8cfJs-8swrHc0acs6CYRA/edit?gid=624193353" TargetMode="External"/><Relationship Id="rId49" Type="http://schemas.openxmlformats.org/officeDocument/2006/relationships/hyperlink" Target="https://drive.google.com/open?id=1fTMbcgGrMaliSLydXpkLgPmQUkDqZgXKaeCgPFxO3zY" TargetMode="External"/><Relationship Id="rId5" Type="http://schemas.openxmlformats.org/officeDocument/2006/relationships/hyperlink" Target="https://docs.google.com/spreadsheets/d/1moASWw-K_7N-RhW71A0_ZTF83bVLtTntgNyG8C-f2PE/edit?gid=1955282419" TargetMode="External"/><Relationship Id="rId6" Type="http://schemas.openxmlformats.org/officeDocument/2006/relationships/hyperlink" Target="https://docs.google.com/spreadsheets/d/1moASWw-K_7N-RhW71A0_ZTF83bVLtTntgNyG8C-f2PE/edit?gid=1955282419" TargetMode="External"/><Relationship Id="rId7" Type="http://schemas.openxmlformats.org/officeDocument/2006/relationships/hyperlink" Target="https://docs.google.com/spreadsheets/d/1-s4doyald7eIqsLvhhNTfYtd6I3LikuZlew2FNvdbBM/edit?gid=1127420381" TargetMode="External"/><Relationship Id="rId8" Type="http://schemas.openxmlformats.org/officeDocument/2006/relationships/hyperlink" Target="https://docs.google.com/spreadsheets/d/1-s4doyald7eIqsLvhhNTfYtd6I3LikuZlew2FNvdbBM/edit?gid=1127420381" TargetMode="External"/><Relationship Id="rId31" Type="http://schemas.openxmlformats.org/officeDocument/2006/relationships/hyperlink" Target="https://docs.google.com/spreadsheets/d/1S9KK6agViry4lObL5uWATtaH4xTDFTJcGR97OzPprvA/edit" TargetMode="External"/><Relationship Id="rId30" Type="http://schemas.openxmlformats.org/officeDocument/2006/relationships/hyperlink" Target="https://docs.google.com/spreadsheets/d/1rGZcFnVExKk45QiTW33x2F4IAouBC82BJyGu_yyDYdE/edit" TargetMode="External"/><Relationship Id="rId33" Type="http://schemas.openxmlformats.org/officeDocument/2006/relationships/hyperlink" Target="https://docs.google.com/spreadsheets/d/1QrgtLgjwRemmKEGQ0Ej19zX58lDrh39kFyPMpxeUK4M/edit" TargetMode="External"/><Relationship Id="rId32" Type="http://schemas.openxmlformats.org/officeDocument/2006/relationships/hyperlink" Target="https://docs.google.com/spreadsheets/d/1kTNHQkRtU26AENd816J0KX_DcZUkbuAKeC89V7O-MEM/edit?gid=1349872937" TargetMode="External"/><Relationship Id="rId35" Type="http://schemas.openxmlformats.org/officeDocument/2006/relationships/hyperlink" Target="https://goo.gl/UxA8rb" TargetMode="External"/><Relationship Id="rId34" Type="http://schemas.openxmlformats.org/officeDocument/2006/relationships/hyperlink" Target="https://docs.google.com/spreadsheets/d/1PPK3nFXbbmkzzonC3vN4VdW0LYRCOpKTAfagvlXbIOs/edit?gid=262412966" TargetMode="External"/><Relationship Id="rId37" Type="http://schemas.openxmlformats.org/officeDocument/2006/relationships/hyperlink" Target="https://docs.google.com/spreadsheets/d/1W5wJ3-m_ASopkayFC2-kWauY9Y8cXOgaO6Yn46UUhPY/edit?gid=230759614" TargetMode="External"/><Relationship Id="rId36" Type="http://schemas.openxmlformats.org/officeDocument/2006/relationships/hyperlink" Target="https://docs.google.com/spreadsheets/d/1IdzKgrMgUILDDeFWmB5US_4YF3jS5waWzKG8_zkHPCA/edit" TargetMode="External"/><Relationship Id="rId39" Type="http://schemas.openxmlformats.org/officeDocument/2006/relationships/hyperlink" Target="https://docs.google.com/spreadsheets/d/144fu9bbI1sc7nR8DRqxI24tNjoXZ3hVoDe8QazXmILE/edit?usp=sharing" TargetMode="External"/><Relationship Id="rId38" Type="http://schemas.openxmlformats.org/officeDocument/2006/relationships/hyperlink" Target="https://docs.google.com/spreadsheets/d/1eQki6rLEZlqJgeDL84l8QtQgc_DqRy_TR64FvVzuUq4/edit?usp=sharing" TargetMode="External"/><Relationship Id="rId20" Type="http://schemas.openxmlformats.org/officeDocument/2006/relationships/hyperlink" Target="https://docs.google.com/spreadsheets/d/1hxMlLusfoabp5PSzncvzcm5KwKOb12rwL5VSMAfWZlQ/edit" TargetMode="External"/><Relationship Id="rId22" Type="http://schemas.openxmlformats.org/officeDocument/2006/relationships/hyperlink" Target="https://docs.google.com/spreadsheets/d/1uGAKUEd0hf_0Lf7qb3nHEK-UHudAlJLcKOcyzvC5jjM/edit" TargetMode="External"/><Relationship Id="rId21" Type="http://schemas.openxmlformats.org/officeDocument/2006/relationships/hyperlink" Target="https://docs.google.com/spreadsheets/d/1AzTWfLHUJiPUpsIrQDsNH5kzh92nEMj1_qchPe--Fx8/edit" TargetMode="External"/><Relationship Id="rId24" Type="http://schemas.openxmlformats.org/officeDocument/2006/relationships/hyperlink" Target="https://drive.google.com/open?id=17VQEwY1T2SYQ_hMep0g6-1ypgOmVT4A3R_ZUw7swZ7o" TargetMode="External"/><Relationship Id="rId23" Type="http://schemas.openxmlformats.org/officeDocument/2006/relationships/hyperlink" Target="https://drive.google.com/open?id=1sEIdgDFlrs3FbyO9pfHlKQFaqTl5RTsLJbGyR6cafbg" TargetMode="External"/><Relationship Id="rId26" Type="http://schemas.openxmlformats.org/officeDocument/2006/relationships/hyperlink" Target="https://docs.google.com/spreadsheets/d/1nq-jTnhqV4f5yvssiOP-HEeuXivl_EG2Qwnr2od6MJE/edit?usp=sharing" TargetMode="External"/><Relationship Id="rId25" Type="http://schemas.openxmlformats.org/officeDocument/2006/relationships/hyperlink" Target="https://goo.gl/QQKGXJ" TargetMode="External"/><Relationship Id="rId28" Type="http://schemas.openxmlformats.org/officeDocument/2006/relationships/hyperlink" Target="https://docs.google.com/spreadsheets/d/1mlMDA7ho_CMo4LfurIQ6UsQpj5QB57t0ooyuwDJo8mE/edit?usp=sharing" TargetMode="External"/><Relationship Id="rId27" Type="http://schemas.openxmlformats.org/officeDocument/2006/relationships/hyperlink" Target="https://docs.google.com/spreadsheets/d/1m2DuelFLHWlseDFLrO5uxDZ17sG1dm1fQIhX99Fil8g/edit?usp=sharing" TargetMode="External"/><Relationship Id="rId29" Type="http://schemas.openxmlformats.org/officeDocument/2006/relationships/hyperlink" Target="https://docs.google.com/spreadsheets/d/1r9O4M8GSRAHDsZ7dHyY8uKI59xJ68SAvMusTc50gCzA/edit" TargetMode="External"/><Relationship Id="rId51" Type="http://schemas.openxmlformats.org/officeDocument/2006/relationships/hyperlink" Target="https://goo.gl/XByPZm" TargetMode="External"/><Relationship Id="rId50" Type="http://schemas.openxmlformats.org/officeDocument/2006/relationships/hyperlink" Target="https://goo.gl/zh7N9R" TargetMode="External"/><Relationship Id="rId53" Type="http://schemas.openxmlformats.org/officeDocument/2006/relationships/hyperlink" Target="https://docs.google.com/spreadsheets/d/1rsflvFGU56OpbUtPgfZxp91FY2VNG88jtsno_Kr9E_w/edit?usp=sharing" TargetMode="External"/><Relationship Id="rId52" Type="http://schemas.openxmlformats.org/officeDocument/2006/relationships/hyperlink" Target="https://docs.google.com/spreadsheets/d/1KGzGP_rifuHKmaD4j8nBEL-Hybjp1ItuVUXMxyhqLB8/edit?usp=sharing" TargetMode="External"/><Relationship Id="rId11" Type="http://schemas.openxmlformats.org/officeDocument/2006/relationships/hyperlink" Target="https://docs.google.com/spreadsheets/d/1v875OJBD12VLJpSXHqCLNMgUEBz0Ra2v6Ykwt6m6ukQ/edit?gid=1047047273" TargetMode="External"/><Relationship Id="rId10" Type="http://schemas.openxmlformats.org/officeDocument/2006/relationships/hyperlink" Target="https://drive.google.com/open?id=1uIW5kjU6pbjMr3CQpEGJQD3s8N-xZ84YHk_KyzRhLH0" TargetMode="External"/><Relationship Id="rId54" Type="http://schemas.openxmlformats.org/officeDocument/2006/relationships/drawing" Target="../drawings/drawing5.xml"/><Relationship Id="rId13" Type="http://schemas.openxmlformats.org/officeDocument/2006/relationships/hyperlink" Target="https://drive.google.com/open?id=1VZ3EerBHVpKRTb8FVnUSL9fMcbaCj-ZxZQFzSOH45V8" TargetMode="External"/><Relationship Id="rId12" Type="http://schemas.openxmlformats.org/officeDocument/2006/relationships/hyperlink" Target="https://goo.gl/FDLdQP" TargetMode="External"/><Relationship Id="rId15" Type="http://schemas.openxmlformats.org/officeDocument/2006/relationships/hyperlink" Target="https://docs.google.com/presentation/d/1X2fbzxbDUYgy0Wi0qrH6LAw3SJ96VBls2_cS9To0PTI/edit" TargetMode="External"/><Relationship Id="rId14" Type="http://schemas.openxmlformats.org/officeDocument/2006/relationships/hyperlink" Target="https://docs.google.com/spreadsheets/d/1baV85TJ0qyxaOj05jZXDoKRcR8m_8TGiQpq3hY2WQNU/edit" TargetMode="External"/><Relationship Id="rId17" Type="http://schemas.openxmlformats.org/officeDocument/2006/relationships/hyperlink" Target="https://docs.google.com/spreadsheets/d/1Xu6qsXqLApnvf_iE_oZdq5yfzDHvCrCDPVJSXRvps-k/edit?usp=sharing" TargetMode="External"/><Relationship Id="rId16" Type="http://schemas.openxmlformats.org/officeDocument/2006/relationships/hyperlink" Target="https://docs.google.com/presentation/u/0/d/1OBNsqamFgnS-AAG58fNNoiiUKznUPRHoMXR4sv9CAPA/edit" TargetMode="External"/><Relationship Id="rId19" Type="http://schemas.openxmlformats.org/officeDocument/2006/relationships/hyperlink" Target="https://goo.gl/VPJdDr" TargetMode="External"/><Relationship Id="rId18" Type="http://schemas.openxmlformats.org/officeDocument/2006/relationships/hyperlink" Target="https://drive.google.com/open?id=1M6mkMGPyHz_xs9mZ70t5JKkMLdhaG298z_2JZlRSN3I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EW7glsaiEqggWwDXzv275ti50k2AlpRbHi85b5jM0GM/edit" TargetMode="External"/><Relationship Id="rId42" Type="http://schemas.openxmlformats.org/officeDocument/2006/relationships/hyperlink" Target="https://drive.google.com/open?id=1fTMbcgGrMaliSLydXpkLgPmQUkDqZgXKaeCgPFxO3zY" TargetMode="External"/><Relationship Id="rId41" Type="http://schemas.openxmlformats.org/officeDocument/2006/relationships/hyperlink" Target="https://drive.google.com/open?id=1CnRLt2lWBHSCSMPaz_5C6bG0nCCzdVQV41NWyR_adpQ" TargetMode="External"/><Relationship Id="rId44" Type="http://schemas.openxmlformats.org/officeDocument/2006/relationships/hyperlink" Target="https://goo.gl/XByPZm" TargetMode="External"/><Relationship Id="rId43" Type="http://schemas.openxmlformats.org/officeDocument/2006/relationships/hyperlink" Target="https://goo.gl/zh7N9R" TargetMode="External"/><Relationship Id="rId46" Type="http://schemas.openxmlformats.org/officeDocument/2006/relationships/hyperlink" Target="https://docs.google.com/spreadsheets/d/1rsflvFGU56OpbUtPgfZxp91FY2VNG88jtsno_Kr9E_w/edit?usp=sharing" TargetMode="External"/><Relationship Id="rId45" Type="http://schemas.openxmlformats.org/officeDocument/2006/relationships/hyperlink" Target="https://docs.google.com/spreadsheets/d/1KGzGP_rifuHKmaD4j8nBEL-Hybjp1ItuVUXMxyhqLB8/edit?usp=sharing" TargetMode="External"/><Relationship Id="rId1" Type="http://schemas.openxmlformats.org/officeDocument/2006/relationships/hyperlink" Target="https://goo.gl/9yMVRu" TargetMode="External"/><Relationship Id="rId2" Type="http://schemas.openxmlformats.org/officeDocument/2006/relationships/hyperlink" Target="https://docs.google.com/spreadsheets/u/0/d/1jWjz05ubthCK0446mZCwc0kxlpXc80wlJ0HeAow9gfk/edit" TargetMode="External"/><Relationship Id="rId3" Type="http://schemas.openxmlformats.org/officeDocument/2006/relationships/hyperlink" Target="https://docs.google.com/spreadsheets/u/0/d/1OjPLNogoMbIoVyBsHO-UDwvvRnlm2VAtNnyWUtYUhvU/edit" TargetMode="External"/><Relationship Id="rId4" Type="http://schemas.openxmlformats.org/officeDocument/2006/relationships/hyperlink" Target="https://docs.google.com/spreadsheets/d/1jfoRz0yg7sIPX-5Uuzm82QtrprDPZLpw_oqipkRoATE" TargetMode="External"/><Relationship Id="rId9" Type="http://schemas.openxmlformats.org/officeDocument/2006/relationships/hyperlink" Target="https://docs.google.com/spreadsheets/d/1baV85TJ0qyxaOj05jZXDoKRcR8m_8TGiQpq3hY2WQNU/edit" TargetMode="External"/><Relationship Id="rId47" Type="http://schemas.openxmlformats.org/officeDocument/2006/relationships/drawing" Target="../drawings/drawing6.xml"/><Relationship Id="rId5" Type="http://schemas.openxmlformats.org/officeDocument/2006/relationships/hyperlink" Target="https://drive.google.com/open?id=1thhLxiqHHtso2E8BGUp2ShxA5cQoGZSwUVMIje9E_Gg" TargetMode="External"/><Relationship Id="rId6" Type="http://schemas.openxmlformats.org/officeDocument/2006/relationships/hyperlink" Target="https://drive.google.com/open?id=1uIW5kjU6pbjMr3CQpEGJQD3s8N-xZ84YHk_KyzRhLH0" TargetMode="External"/><Relationship Id="rId7" Type="http://schemas.openxmlformats.org/officeDocument/2006/relationships/hyperlink" Target="https://goo.gl/FDLdQP" TargetMode="External"/><Relationship Id="rId8" Type="http://schemas.openxmlformats.org/officeDocument/2006/relationships/hyperlink" Target="https://drive.google.com/open?id=1VZ3EerBHVpKRTb8FVnUSL9fMcbaCj-ZxZQFzSOH45V8" TargetMode="External"/><Relationship Id="rId31" Type="http://schemas.openxmlformats.org/officeDocument/2006/relationships/hyperlink" Target="https://docs.google.com/spreadsheets/d/1uCkYecevt-yLLF2XEtu3ZU5cXPbEgj3eh07odqmK0Kg/edit?usp=sharing" TargetMode="External"/><Relationship Id="rId30" Type="http://schemas.openxmlformats.org/officeDocument/2006/relationships/hyperlink" Target="https://docs.google.com/spreadsheets/d/1IdzKgrMgUILDDeFWmB5US_4YF3jS5waWzKG8_zkHPCA/edit" TargetMode="External"/><Relationship Id="rId33" Type="http://schemas.openxmlformats.org/officeDocument/2006/relationships/hyperlink" Target="https://docs.google.com/spreadsheets/d/144fu9bbI1sc7nR8DRqxI24tNjoXZ3hVoDe8QazXmILE/edit?usp=sharing" TargetMode="External"/><Relationship Id="rId32" Type="http://schemas.openxmlformats.org/officeDocument/2006/relationships/hyperlink" Target="https://docs.google.com/spreadsheets/d/1eQki6rLEZlqJgeDL84l8QtQgc_DqRy_TR64FvVzuUq4/edit?usp=sharing" TargetMode="External"/><Relationship Id="rId35" Type="http://schemas.openxmlformats.org/officeDocument/2006/relationships/hyperlink" Target="https://docs.google.com/spreadsheets/d/1X6rwH2Re1BA5aexnrDdYKbz8u1HM8gRqX7T_YlcBoPU/edit?usp=sharing" TargetMode="External"/><Relationship Id="rId34" Type="http://schemas.openxmlformats.org/officeDocument/2006/relationships/hyperlink" Target="https://docs.google.com/spreadsheets/d/1FbAzCW-K7VP0eiZKxH8szO2KZviFoo-iRWR3nWzeHfQ/edit?usp=sharing" TargetMode="External"/><Relationship Id="rId37" Type="http://schemas.openxmlformats.org/officeDocument/2006/relationships/hyperlink" Target="https://docs.google.com/spreadsheets/d/1oo0zZGQ7Vne2rIturZWmPs_9_RbyN6sZHzGiOfIphaA/edit" TargetMode="External"/><Relationship Id="rId36" Type="http://schemas.openxmlformats.org/officeDocument/2006/relationships/hyperlink" Target="https://goo.gl/VZHG68" TargetMode="External"/><Relationship Id="rId39" Type="http://schemas.openxmlformats.org/officeDocument/2006/relationships/hyperlink" Target="https://docs.google.com/spreadsheets/d/19e5ijcQK1UZULi-arbj7WdJCTfzvrEr1cxmlf50VXSc/edit" TargetMode="External"/><Relationship Id="rId38" Type="http://schemas.openxmlformats.org/officeDocument/2006/relationships/hyperlink" Target="https://drive.google.com/open?id=1mrxK5xegm2172Kv_1jAvo1FZYZzfnvuHuU2BNePazrg" TargetMode="External"/><Relationship Id="rId20" Type="http://schemas.openxmlformats.org/officeDocument/2006/relationships/hyperlink" Target="https://drive.google.com/open?id=17VQEwY1T2SYQ_hMep0g6-1ypgOmVT4A3R_ZUw7swZ7o" TargetMode="External"/><Relationship Id="rId22" Type="http://schemas.openxmlformats.org/officeDocument/2006/relationships/hyperlink" Target="https://docs.google.com/spreadsheets/d/1nq-jTnhqV4f5yvssiOP-HEeuXivl_EG2Qwnr2od6MJE/edit?usp=sharing" TargetMode="External"/><Relationship Id="rId21" Type="http://schemas.openxmlformats.org/officeDocument/2006/relationships/hyperlink" Target="https://goo.gl/QQKGXJ" TargetMode="External"/><Relationship Id="rId24" Type="http://schemas.openxmlformats.org/officeDocument/2006/relationships/hyperlink" Target="https://docs.google.com/spreadsheets/d/1mlMDA7ho_CMo4LfurIQ6UsQpj5QB57t0ooyuwDJo8mE/edit?usp=sharing" TargetMode="External"/><Relationship Id="rId23" Type="http://schemas.openxmlformats.org/officeDocument/2006/relationships/hyperlink" Target="https://docs.google.com/spreadsheets/d/1m2DuelFLHWlseDFLrO5uxDZ17sG1dm1fQIhX99Fil8g/edit?usp=sharing" TargetMode="External"/><Relationship Id="rId26" Type="http://schemas.openxmlformats.org/officeDocument/2006/relationships/hyperlink" Target="https://docs.google.com/spreadsheets/d/1rGZcFnVExKk45QiTW33x2F4IAouBC82BJyGu_yyDYdE/edit" TargetMode="External"/><Relationship Id="rId25" Type="http://schemas.openxmlformats.org/officeDocument/2006/relationships/hyperlink" Target="https://docs.google.com/spreadsheets/d/1r9O4M8GSRAHDsZ7dHyY8uKI59xJ68SAvMusTc50gCzA/edit" TargetMode="External"/><Relationship Id="rId28" Type="http://schemas.openxmlformats.org/officeDocument/2006/relationships/hyperlink" Target="https://drive.google.com/open?id=1z7gSaxoIysUQog5q0tNT7Of85e0m1W2ntph1cl5M1vk" TargetMode="External"/><Relationship Id="rId27" Type="http://schemas.openxmlformats.org/officeDocument/2006/relationships/hyperlink" Target="https://docs.google.com/spreadsheets/d/1S9KK6agViry4lObL5uWATtaH4xTDFTJcGR97OzPprvA/edit" TargetMode="External"/><Relationship Id="rId29" Type="http://schemas.openxmlformats.org/officeDocument/2006/relationships/hyperlink" Target="https://goo.gl/UxA8rb" TargetMode="External"/><Relationship Id="rId11" Type="http://schemas.openxmlformats.org/officeDocument/2006/relationships/hyperlink" Target="https://sal.vn/Au5DcW" TargetMode="External"/><Relationship Id="rId10" Type="http://schemas.openxmlformats.org/officeDocument/2006/relationships/hyperlink" Target="https://docs.google.com/presentation/d/1oygspRXg4QseIe5fvcZUsIxeZh5dQT3cuTqgIv7E8Ck/edit?usp=sharing" TargetMode="External"/><Relationship Id="rId13" Type="http://schemas.openxmlformats.org/officeDocument/2006/relationships/hyperlink" Target="https://docs.google.com/spreadsheets/d/1Xu6qsXqLApnvf_iE_oZdq5yfzDHvCrCDPVJSXRvps-k/edit?usp=sharing" TargetMode="External"/><Relationship Id="rId12" Type="http://schemas.openxmlformats.org/officeDocument/2006/relationships/hyperlink" Target="https://docs.google.com/presentation/d/1Qmpw3MHNI8qDFOYq7abpOiUD6QxPW_EOQTtSqzwgT4Q/edit?usp=sharing" TargetMode="External"/><Relationship Id="rId15" Type="http://schemas.openxmlformats.org/officeDocument/2006/relationships/hyperlink" Target="https://goo.gl/VPJdDr" TargetMode="External"/><Relationship Id="rId14" Type="http://schemas.openxmlformats.org/officeDocument/2006/relationships/hyperlink" Target="https://drive.google.com/open?id=1M6mkMGPyHz_xs9mZ70t5JKkMLdhaG298z_2JZlRSN3I" TargetMode="External"/><Relationship Id="rId17" Type="http://schemas.openxmlformats.org/officeDocument/2006/relationships/hyperlink" Target="https://docs.google.com/spreadsheets/d/1AzTWfLHUJiPUpsIrQDsNH5kzh92nEMj1_qchPe--Fx8/edit" TargetMode="External"/><Relationship Id="rId16" Type="http://schemas.openxmlformats.org/officeDocument/2006/relationships/hyperlink" Target="https://docs.google.com/spreadsheets/d/1hxMlLusfoabp5PSzncvzcm5KwKOb12rwL5VSMAfWZlQ/edit" TargetMode="External"/><Relationship Id="rId19" Type="http://schemas.openxmlformats.org/officeDocument/2006/relationships/hyperlink" Target="https://drive.google.com/open?id=1sEIdgDFlrs3FbyO9pfHlKQFaqTl5RTsLJbGyR6cafbg" TargetMode="External"/><Relationship Id="rId18" Type="http://schemas.openxmlformats.org/officeDocument/2006/relationships/hyperlink" Target="https://docs.google.com/spreadsheets/d/1uGAKUEd0hf_0Lf7qb3nHEK-UHudAlJLcKOcyzvC5jjM/edit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CnRLt2lWBHSCSMPaz_5C6bG0nCCzdVQV41NWyR_adpQ" TargetMode="External"/><Relationship Id="rId42" Type="http://schemas.openxmlformats.org/officeDocument/2006/relationships/hyperlink" Target="https://goo.gl/zh7N9R" TargetMode="External"/><Relationship Id="rId41" Type="http://schemas.openxmlformats.org/officeDocument/2006/relationships/hyperlink" Target="https://drive.google.com/open?id=1fTMbcgGrMaliSLydXpkLgPmQUkDqZgXKaeCgPFxO3zY" TargetMode="External"/><Relationship Id="rId44" Type="http://schemas.openxmlformats.org/officeDocument/2006/relationships/hyperlink" Target="https://docs.google.com/spreadsheets/d/1KGzGP_rifuHKmaD4j8nBEL-Hybjp1ItuVUXMxyhqLB8/edit?usp=sharing" TargetMode="External"/><Relationship Id="rId43" Type="http://schemas.openxmlformats.org/officeDocument/2006/relationships/hyperlink" Target="https://goo.gl/XByPZm" TargetMode="External"/><Relationship Id="rId46" Type="http://schemas.openxmlformats.org/officeDocument/2006/relationships/drawing" Target="../drawings/drawing7.xml"/><Relationship Id="rId45" Type="http://schemas.openxmlformats.org/officeDocument/2006/relationships/hyperlink" Target="https://docs.google.com/spreadsheets/d/1rsflvFGU56OpbUtPgfZxp91FY2VNG88jtsno_Kr9E_w/edit?usp=sharing" TargetMode="External"/><Relationship Id="rId1" Type="http://schemas.openxmlformats.org/officeDocument/2006/relationships/hyperlink" Target="https://docs.google.com/spreadsheets/u/0/d/1jWjz05ubthCK0446mZCwc0kxlpXc80wlJ0HeAow9gfk/edit" TargetMode="External"/><Relationship Id="rId2" Type="http://schemas.openxmlformats.org/officeDocument/2006/relationships/hyperlink" Target="https://docs.google.com/spreadsheets/u/0/d/1OjPLNogoMbIoVyBsHO-UDwvvRnlm2VAtNnyWUtYUhvU/edit" TargetMode="External"/><Relationship Id="rId3" Type="http://schemas.openxmlformats.org/officeDocument/2006/relationships/hyperlink" Target="https://docs.google.com/spreadsheets/d/1jfoRz0yg7sIPX-5Uuzm82QtrprDPZLpw_oqipkRoATE" TargetMode="External"/><Relationship Id="rId4" Type="http://schemas.openxmlformats.org/officeDocument/2006/relationships/hyperlink" Target="https://drive.google.com/open?id=1thhLxiqHHtso2E8BGUp2ShxA5cQoGZSwUVMIje9E_Gg" TargetMode="External"/><Relationship Id="rId9" Type="http://schemas.openxmlformats.org/officeDocument/2006/relationships/hyperlink" Target="https://docs.google.com/presentation/d/1oygspRXg4QseIe5fvcZUsIxeZh5dQT3cuTqgIv7E8Ck/edit?usp=sharing" TargetMode="External"/><Relationship Id="rId5" Type="http://schemas.openxmlformats.org/officeDocument/2006/relationships/hyperlink" Target="https://drive.google.com/open?id=1uIW5kjU6pbjMr3CQpEGJQD3s8N-xZ84YHk_KyzRhLH0" TargetMode="External"/><Relationship Id="rId6" Type="http://schemas.openxmlformats.org/officeDocument/2006/relationships/hyperlink" Target="https://goo.gl/FDLdQP" TargetMode="External"/><Relationship Id="rId7" Type="http://schemas.openxmlformats.org/officeDocument/2006/relationships/hyperlink" Target="https://drive.google.com/open?id=1VZ3EerBHVpKRTb8FVnUSL9fMcbaCj-ZxZQFzSOH45V8" TargetMode="External"/><Relationship Id="rId8" Type="http://schemas.openxmlformats.org/officeDocument/2006/relationships/hyperlink" Target="https://docs.google.com/spreadsheets/d/1baV85TJ0qyxaOj05jZXDoKRcR8m_8TGiQpq3hY2WQNU/edit" TargetMode="External"/><Relationship Id="rId31" Type="http://schemas.openxmlformats.org/officeDocument/2006/relationships/hyperlink" Target="https://docs.google.com/spreadsheets/d/1eQki6rLEZlqJgeDL84l8QtQgc_DqRy_TR64FvVzuUq4/edit?usp=sharing" TargetMode="External"/><Relationship Id="rId30" Type="http://schemas.openxmlformats.org/officeDocument/2006/relationships/hyperlink" Target="https://docs.google.com/spreadsheets/d/1uCkYecevt-yLLF2XEtu3ZU5cXPbEgj3eh07odqmK0Kg/edit?usp=sharing" TargetMode="External"/><Relationship Id="rId33" Type="http://schemas.openxmlformats.org/officeDocument/2006/relationships/hyperlink" Target="https://docs.google.com/spreadsheets/d/1FbAzCW-K7VP0eiZKxH8szO2KZviFoo-iRWR3nWzeHfQ/edit?usp=sharing" TargetMode="External"/><Relationship Id="rId32" Type="http://schemas.openxmlformats.org/officeDocument/2006/relationships/hyperlink" Target="https://docs.google.com/spreadsheets/d/144fu9bbI1sc7nR8DRqxI24tNjoXZ3hVoDe8QazXmILE/edit?usp=sharing" TargetMode="External"/><Relationship Id="rId35" Type="http://schemas.openxmlformats.org/officeDocument/2006/relationships/hyperlink" Target="https://goo.gl/VZHG68" TargetMode="External"/><Relationship Id="rId34" Type="http://schemas.openxmlformats.org/officeDocument/2006/relationships/hyperlink" Target="https://docs.google.com/spreadsheets/d/1X6rwH2Re1BA5aexnrDdYKbz8u1HM8gRqX7T_YlcBoPU/edit?usp=sharing" TargetMode="External"/><Relationship Id="rId37" Type="http://schemas.openxmlformats.org/officeDocument/2006/relationships/hyperlink" Target="https://drive.google.com/open?id=1mrxK5xegm2172Kv_1jAvo1FZYZzfnvuHuU2BNePazrg" TargetMode="External"/><Relationship Id="rId36" Type="http://schemas.openxmlformats.org/officeDocument/2006/relationships/hyperlink" Target="https://docs.google.com/spreadsheets/d/1oo0zZGQ7Vne2rIturZWmPs_9_RbyN6sZHzGiOfIphaA/edit" TargetMode="External"/><Relationship Id="rId39" Type="http://schemas.openxmlformats.org/officeDocument/2006/relationships/hyperlink" Target="https://docs.google.com/spreadsheets/d/1EW7glsaiEqggWwDXzv275ti50k2AlpRbHi85b5jM0GM/edit" TargetMode="External"/><Relationship Id="rId38" Type="http://schemas.openxmlformats.org/officeDocument/2006/relationships/hyperlink" Target="https://docs.google.com/spreadsheets/d/19e5ijcQK1UZULi-arbj7WdJCTfzvrEr1cxmlf50VXSc/edit" TargetMode="External"/><Relationship Id="rId20" Type="http://schemas.openxmlformats.org/officeDocument/2006/relationships/hyperlink" Target="https://goo.gl/QQKGXJ" TargetMode="External"/><Relationship Id="rId22" Type="http://schemas.openxmlformats.org/officeDocument/2006/relationships/hyperlink" Target="https://docs.google.com/spreadsheets/d/1m2DuelFLHWlseDFLrO5uxDZ17sG1dm1fQIhX99Fil8g/edit?usp=sharing" TargetMode="External"/><Relationship Id="rId21" Type="http://schemas.openxmlformats.org/officeDocument/2006/relationships/hyperlink" Target="https://docs.google.com/spreadsheets/d/1nq-jTnhqV4f5yvssiOP-HEeuXivl_EG2Qwnr2od6MJE/edit?usp=sharing" TargetMode="External"/><Relationship Id="rId24" Type="http://schemas.openxmlformats.org/officeDocument/2006/relationships/hyperlink" Target="https://docs.google.com/spreadsheets/d/1r9O4M8GSRAHDsZ7dHyY8uKI59xJ68SAvMusTc50gCzA/edit" TargetMode="External"/><Relationship Id="rId23" Type="http://schemas.openxmlformats.org/officeDocument/2006/relationships/hyperlink" Target="https://docs.google.com/spreadsheets/d/1b5er9CJVoCRz7bJ6h_pTGi3bW98wQW_SN2-OnRM9IFo/edit" TargetMode="External"/><Relationship Id="rId26" Type="http://schemas.openxmlformats.org/officeDocument/2006/relationships/hyperlink" Target="https://docs.google.com/spreadsheets/d/1S9KK6agViry4lObL5uWATtaH4xTDFTJcGR97OzPprvA/edit" TargetMode="External"/><Relationship Id="rId25" Type="http://schemas.openxmlformats.org/officeDocument/2006/relationships/hyperlink" Target="https://docs.google.com/spreadsheets/d/1rGZcFnVExKk45QiTW33x2F4IAouBC82BJyGu_yyDYdE/edit" TargetMode="External"/><Relationship Id="rId28" Type="http://schemas.openxmlformats.org/officeDocument/2006/relationships/hyperlink" Target="https://goo.gl/UxA8rb" TargetMode="External"/><Relationship Id="rId27" Type="http://schemas.openxmlformats.org/officeDocument/2006/relationships/hyperlink" Target="https://drive.google.com/open?id=1z7gSaxoIysUQog5q0tNT7Of85e0m1W2ntph1cl5M1vk" TargetMode="External"/><Relationship Id="rId29" Type="http://schemas.openxmlformats.org/officeDocument/2006/relationships/hyperlink" Target="https://docs.google.com/spreadsheets/d/1IdzKgrMgUILDDeFWmB5US_4YF3jS5waWzKG8_zkHPCA/edit" TargetMode="External"/><Relationship Id="rId11" Type="http://schemas.openxmlformats.org/officeDocument/2006/relationships/hyperlink" Target="https://docs.google.com/presentation/d/1Qmpw3MHNI8qDFOYq7abpOiUD6QxPW_EOQTtSqzwgT4Q/edit?usp=sharing" TargetMode="External"/><Relationship Id="rId10" Type="http://schemas.openxmlformats.org/officeDocument/2006/relationships/hyperlink" Target="https://sal.vn/Au5DcW" TargetMode="External"/><Relationship Id="rId13" Type="http://schemas.openxmlformats.org/officeDocument/2006/relationships/hyperlink" Target="https://drive.google.com/open?id=1M6mkMGPyHz_xs9mZ70t5JKkMLdhaG298z_2JZlRSN3I" TargetMode="External"/><Relationship Id="rId12" Type="http://schemas.openxmlformats.org/officeDocument/2006/relationships/hyperlink" Target="https://docs.google.com/spreadsheets/d/1Xu6qsXqLApnvf_iE_oZdq5yfzDHvCrCDPVJSXRvps-k/edit?usp=sharing" TargetMode="External"/><Relationship Id="rId15" Type="http://schemas.openxmlformats.org/officeDocument/2006/relationships/hyperlink" Target="https://docs.google.com/spreadsheets/d/1hxMlLusfoabp5PSzncvzcm5KwKOb12rwL5VSMAfWZlQ/edit" TargetMode="External"/><Relationship Id="rId14" Type="http://schemas.openxmlformats.org/officeDocument/2006/relationships/hyperlink" Target="https://goo.gl/VPJdDr" TargetMode="External"/><Relationship Id="rId17" Type="http://schemas.openxmlformats.org/officeDocument/2006/relationships/hyperlink" Target="https://docs.google.com/spreadsheets/d/1uGAKUEd0hf_0Lf7qb3nHEK-UHudAlJLcKOcyzvC5jjM/edit" TargetMode="External"/><Relationship Id="rId16" Type="http://schemas.openxmlformats.org/officeDocument/2006/relationships/hyperlink" Target="https://docs.google.com/spreadsheets/d/1AzTWfLHUJiPUpsIrQDsNH5kzh92nEMj1_qchPe--Fx8/edit" TargetMode="External"/><Relationship Id="rId19" Type="http://schemas.openxmlformats.org/officeDocument/2006/relationships/hyperlink" Target="https://drive.google.com/open?id=17VQEwY1T2SYQ_hMep0g6-1ypgOmVT4A3R_ZUw7swZ7o" TargetMode="External"/><Relationship Id="rId18" Type="http://schemas.openxmlformats.org/officeDocument/2006/relationships/hyperlink" Target="https://drive.google.com/open?id=1sEIdgDFlrs3FbyO9pfHlKQFaqTl5RTsLJbGyR6cafbg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gsuite-tool.sun-asterisk.vn/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goo.gl/mXazEF" TargetMode="External"/><Relationship Id="rId2" Type="http://schemas.openxmlformats.org/officeDocument/2006/relationships/hyperlink" Target="http://bit.ly/2uLLNMQ" TargetMode="External"/><Relationship Id="rId3" Type="http://schemas.openxmlformats.org/officeDocument/2006/relationships/hyperlink" Target="http://bit.ly/2UdCxAg" TargetMode="External"/><Relationship Id="rId4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3.25"/>
    <col customWidth="1" min="2" max="2" width="32.13"/>
    <col customWidth="1" min="3" max="3" width="23.13"/>
    <col customWidth="1" min="4" max="4" width="24.63"/>
    <col customWidth="1" min="5" max="5" width="23.63"/>
  </cols>
  <sheetData>
    <row r="1">
      <c r="A1" s="2" t="s">
        <v>0</v>
      </c>
      <c r="B1" s="2" t="s">
        <v>7</v>
      </c>
      <c r="C1" s="2" t="s">
        <v>8</v>
      </c>
      <c r="D1" s="2" t="s">
        <v>9</v>
      </c>
      <c r="E1" s="2" t="s">
        <v>10</v>
      </c>
    </row>
    <row r="2">
      <c r="A2" s="10" t="s">
        <v>11</v>
      </c>
      <c r="B2" s="14"/>
      <c r="C2" s="14"/>
      <c r="D2" s="14"/>
      <c r="E2" s="14"/>
    </row>
    <row r="3">
      <c r="A3" s="16"/>
      <c r="B3" s="17" t="s">
        <v>21</v>
      </c>
      <c r="C3" s="14"/>
      <c r="D3" s="14"/>
      <c r="E3" s="14"/>
    </row>
    <row r="4">
      <c r="A4" s="16"/>
      <c r="B4" s="19"/>
      <c r="C4" s="19" t="s">
        <v>27</v>
      </c>
      <c r="D4" s="19"/>
      <c r="E4" s="19"/>
    </row>
    <row r="5">
      <c r="A5" s="16"/>
      <c r="B5" s="19"/>
      <c r="C5" s="19"/>
      <c r="D5" s="25" t="str">
        <f>HYPERLINK("https://goo.gl/gkh8p8","[Temp] WBS Estimation")</f>
        <v>[Temp] WBS Estimation</v>
      </c>
      <c r="E5" s="26"/>
    </row>
    <row r="6">
      <c r="A6" s="16"/>
      <c r="B6" s="19"/>
      <c r="C6" s="19" t="s">
        <v>32</v>
      </c>
      <c r="D6" s="19"/>
      <c r="E6" s="19"/>
    </row>
    <row r="7">
      <c r="A7" s="16"/>
      <c r="B7" s="17" t="s">
        <v>33</v>
      </c>
      <c r="C7" s="14"/>
      <c r="D7" s="14"/>
      <c r="E7" s="14"/>
    </row>
    <row r="8">
      <c r="A8" s="16"/>
      <c r="B8" s="17" t="s">
        <v>34</v>
      </c>
      <c r="C8" s="28"/>
      <c r="D8" s="28"/>
      <c r="E8" s="28"/>
    </row>
    <row r="9">
      <c r="A9" s="16"/>
      <c r="B9" s="19"/>
      <c r="C9" s="19" t="s">
        <v>36</v>
      </c>
      <c r="D9" s="19"/>
      <c r="E9" s="19"/>
    </row>
    <row r="10">
      <c r="A10" s="16"/>
      <c r="B10" s="19"/>
      <c r="C10" s="19" t="s">
        <v>37</v>
      </c>
      <c r="D10" s="19"/>
      <c r="E10" s="19"/>
    </row>
    <row r="11">
      <c r="A11" s="16"/>
      <c r="B11" s="17" t="s">
        <v>38</v>
      </c>
      <c r="C11" s="14"/>
      <c r="D11" s="14"/>
      <c r="E11" s="14"/>
    </row>
    <row r="12">
      <c r="A12" s="10" t="s">
        <v>39</v>
      </c>
      <c r="B12" s="14"/>
      <c r="C12" s="14"/>
      <c r="D12" s="14"/>
      <c r="E12" s="14"/>
    </row>
    <row r="13">
      <c r="A13" s="16"/>
      <c r="B13" s="17" t="s">
        <v>40</v>
      </c>
      <c r="C13" s="14"/>
      <c r="D13" s="14"/>
      <c r="E13" s="14"/>
    </row>
    <row r="14">
      <c r="A14" s="16"/>
      <c r="B14" s="19"/>
      <c r="C14" s="32" t="s">
        <v>41</v>
      </c>
      <c r="D14" s="32"/>
      <c r="E14" s="32"/>
    </row>
    <row r="15">
      <c r="A15" s="16"/>
      <c r="B15" s="19"/>
      <c r="C15" s="19"/>
      <c r="D15" s="25" t="str">
        <f>HYPERLINK("https://goo.gl/FDLdQP","[Temp] Master Schedule")</f>
        <v>[Temp] Master Schedule</v>
      </c>
      <c r="E15" s="26"/>
    </row>
    <row r="16">
      <c r="A16" s="16"/>
      <c r="B16" s="19"/>
      <c r="C16" s="34" t="s">
        <v>43</v>
      </c>
      <c r="D16" s="34"/>
      <c r="E16" s="34"/>
    </row>
    <row r="17">
      <c r="A17" s="16"/>
      <c r="B17" s="19"/>
      <c r="C17" s="32"/>
      <c r="D17" s="25" t="str">
        <f>HYPERLINK("https://goo.gl/YAiB5w","[Temp] Kickoff Meeting_EN_v1.0")</f>
        <v>[Temp] Kickoff Meeting_EN_v1.0</v>
      </c>
      <c r="E17" s="26"/>
    </row>
    <row r="18">
      <c r="A18" s="16"/>
      <c r="B18" s="19"/>
      <c r="C18" s="32"/>
      <c r="D18" s="25" t="str">
        <f>HYPERLINK("https://goo.gl/4xnKE2","[Temp] 様 ご提案書_Ver1.0")</f>
        <v>[Temp] 様 ご提案書_Ver1.0</v>
      </c>
      <c r="E18" s="26"/>
    </row>
    <row r="19">
      <c r="A19" s="16"/>
      <c r="B19" s="19"/>
      <c r="C19" s="34" t="s">
        <v>47</v>
      </c>
      <c r="D19" s="34"/>
      <c r="E19" s="34"/>
    </row>
    <row r="20">
      <c r="A20" s="16"/>
      <c r="B20" s="19"/>
      <c r="C20" s="32"/>
      <c r="D20" s="32" t="s">
        <v>49</v>
      </c>
      <c r="E20" s="32"/>
    </row>
    <row r="21">
      <c r="A21" s="16"/>
      <c r="B21" s="19"/>
      <c r="C21" s="32"/>
      <c r="D21" s="32"/>
      <c r="E21" s="25" t="str">
        <f>HYPERLINK("https://goo.gl/VPJdDr","[Temp] Risk management")</f>
        <v>[Temp] Risk management</v>
      </c>
    </row>
    <row r="22">
      <c r="A22" s="16"/>
      <c r="B22" s="19"/>
      <c r="C22" s="32"/>
      <c r="D22" s="32" t="s">
        <v>51</v>
      </c>
      <c r="E22" s="32"/>
    </row>
    <row r="23">
      <c r="A23" s="16"/>
      <c r="B23" s="19"/>
      <c r="C23" s="32"/>
      <c r="D23" s="32"/>
      <c r="E23" s="40" t="str">
        <f>HYPERLINK("https://goo.gl/3FGCde","Quality &amp; Security Evaluation in Project's Phase (new)")</f>
        <v>Quality &amp; Security Evaluation in Project's Phase (new)</v>
      </c>
    </row>
    <row r="24">
      <c r="A24" s="16"/>
      <c r="B24" s="19"/>
      <c r="C24" s="32"/>
      <c r="D24" s="32" t="s">
        <v>56</v>
      </c>
      <c r="E24" s="32"/>
    </row>
    <row r="25">
      <c r="A25" s="16"/>
      <c r="B25" s="19"/>
      <c r="C25" s="32"/>
      <c r="D25" s="32"/>
      <c r="E25" s="41" t="str">
        <f>HYPERLINK("https://goo.gl/zE1y4L","Framgia Customer Suvey")</f>
        <v>Framgia Customer Suvey</v>
      </c>
    </row>
    <row r="26">
      <c r="A26" s="16"/>
      <c r="B26" s="19"/>
      <c r="C26" s="32"/>
      <c r="D26" s="32"/>
      <c r="E26" s="42" t="str">
        <f>HYPERLINK("https://goo.gl/oeroXk","Incident report form")</f>
        <v>Incident report form</v>
      </c>
    </row>
    <row r="27">
      <c r="A27" s="16"/>
      <c r="B27" s="19"/>
      <c r="C27" s="32"/>
      <c r="D27" s="32"/>
      <c r="E27" s="40" t="str">
        <f>HYPERLINK("https://docs.google.com/spreadsheets/d/1U8TqjoInq2-rMEIjSCoG93yR1PZqbpP9oxn9MbHHUQ4/edit?usp=sharing","Corrective Action Report to Customer Survey (new)")</f>
        <v>Corrective Action Report to Customer Survey (new)</v>
      </c>
    </row>
    <row r="28">
      <c r="A28" s="16"/>
      <c r="B28" s="19"/>
      <c r="C28" s="32" t="s">
        <v>60</v>
      </c>
      <c r="D28" s="32"/>
      <c r="E28" s="32"/>
    </row>
    <row r="29">
      <c r="A29" s="16"/>
      <c r="B29" s="19"/>
      <c r="C29" s="19"/>
      <c r="D29" s="25" t="str">
        <f>HYPERLINK("https://goo.gl/we2T3h","[Temp] Member Info Template")</f>
        <v>[Temp] Member Info Template</v>
      </c>
      <c r="E29" s="26"/>
    </row>
    <row r="30">
      <c r="A30" s="16"/>
      <c r="B30" s="19"/>
      <c r="C30" s="32" t="s">
        <v>62</v>
      </c>
      <c r="D30" s="32"/>
      <c r="E30" s="32"/>
    </row>
    <row r="31">
      <c r="A31" s="16"/>
      <c r="B31" s="19"/>
      <c r="C31" s="32" t="s">
        <v>64</v>
      </c>
      <c r="D31" s="32"/>
      <c r="E31" s="32"/>
    </row>
    <row r="32">
      <c r="A32" s="16"/>
      <c r="B32" s="19"/>
      <c r="C32" s="19"/>
      <c r="D32" s="25" t="str">
        <f>HYPERLINK("https://goo.gl/QQKGXJ","[Temp] WeeklyReport")</f>
        <v>[Temp] WeeklyReport</v>
      </c>
      <c r="E32" s="26"/>
    </row>
    <row r="33">
      <c r="A33" s="16"/>
      <c r="B33" s="19"/>
      <c r="C33" s="32" t="s">
        <v>65</v>
      </c>
      <c r="D33" s="32"/>
      <c r="E33" s="32"/>
    </row>
    <row r="34">
      <c r="A34" s="16"/>
      <c r="B34" s="19"/>
      <c r="C34" s="32" t="s">
        <v>67</v>
      </c>
      <c r="D34" s="32"/>
      <c r="E34" s="32"/>
    </row>
    <row r="35">
      <c r="A35" s="16"/>
      <c r="B35" s="17" t="s">
        <v>68</v>
      </c>
      <c r="C35" s="14"/>
      <c r="D35" s="14"/>
      <c r="E35" s="14"/>
    </row>
    <row r="36">
      <c r="A36" s="16"/>
      <c r="B36" s="19"/>
      <c r="C36" s="25" t="str">
        <f>HYPERLINK("https://goo.gl/UxA8rb","[Temp] CR Management")</f>
        <v>[Temp] CR Management</v>
      </c>
      <c r="D36" s="26"/>
      <c r="E36" s="26"/>
    </row>
    <row r="37">
      <c r="A37" s="16"/>
      <c r="B37" s="19"/>
      <c r="C37" s="19" t="s">
        <v>72</v>
      </c>
      <c r="D37" s="19"/>
      <c r="E37" s="19"/>
    </row>
    <row r="38">
      <c r="A38" s="16"/>
      <c r="B38" s="19"/>
      <c r="C38" s="19" t="s">
        <v>73</v>
      </c>
      <c r="D38" s="19"/>
      <c r="E38" s="19"/>
    </row>
    <row r="39">
      <c r="A39" s="16"/>
      <c r="B39" s="16"/>
      <c r="C39" s="16" t="s">
        <v>74</v>
      </c>
      <c r="D39" s="16"/>
      <c r="E39" s="16"/>
    </row>
    <row r="40">
      <c r="A40" s="16"/>
      <c r="B40" s="16"/>
      <c r="C40" s="16" t="s">
        <v>75</v>
      </c>
      <c r="D40" s="16"/>
      <c r="E40" s="16"/>
    </row>
    <row r="41">
      <c r="A41" s="16"/>
      <c r="B41" s="19"/>
      <c r="C41" s="19" t="s">
        <v>77</v>
      </c>
      <c r="D41" s="19"/>
      <c r="E41" s="19"/>
    </row>
    <row r="42">
      <c r="A42" s="16"/>
      <c r="B42" s="17" t="s">
        <v>78</v>
      </c>
      <c r="C42" s="14"/>
      <c r="D42" s="14"/>
      <c r="E42" s="14"/>
    </row>
    <row r="43">
      <c r="A43" s="16"/>
      <c r="B43" s="19"/>
      <c r="C43" s="25" t="str">
        <f>HYPERLINK("https://goo.gl/VZHG68","[Temp] {timestamp} Q&amp;A List")</f>
        <v>[Temp] {timestamp} Q&amp;A List</v>
      </c>
      <c r="D43" s="26"/>
      <c r="E43" s="26"/>
    </row>
    <row r="44">
      <c r="A44" s="16"/>
      <c r="B44" s="17" t="s">
        <v>81</v>
      </c>
      <c r="C44" s="14"/>
      <c r="D44" s="14"/>
      <c r="E44" s="14"/>
    </row>
    <row r="45">
      <c r="A45" s="16"/>
      <c r="B45" s="17" t="s">
        <v>82</v>
      </c>
      <c r="C45" s="14"/>
      <c r="D45" s="14"/>
      <c r="E45" s="14"/>
    </row>
    <row r="46">
      <c r="A46" s="16"/>
      <c r="B46" s="19"/>
      <c r="C46" s="19" t="s">
        <v>83</v>
      </c>
      <c r="D46" s="19"/>
      <c r="E46" s="19"/>
    </row>
    <row r="47">
      <c r="A47" s="16"/>
      <c r="B47" s="19"/>
      <c r="C47" s="19" t="s">
        <v>84</v>
      </c>
      <c r="D47" s="19"/>
      <c r="E47" s="19"/>
    </row>
    <row r="48">
      <c r="A48" s="16"/>
      <c r="B48" s="19"/>
      <c r="C48" s="19"/>
      <c r="D48" s="25" t="str">
        <f>HYPERLINK("https://goo.gl/EQXbUX","[Temp] [ProjectName]_Checklist_YYYYMMDD")</f>
        <v>[Temp] [ProjectName]_Checklist_YYYYMMDD</v>
      </c>
      <c r="E48" s="26"/>
    </row>
    <row r="49">
      <c r="A49" s="16"/>
      <c r="B49" s="19"/>
      <c r="C49" s="19"/>
      <c r="D49" s="25" t="str">
        <f>HYPERLINK("https://goo.gl/NVffGo","[Temp] [ProjectName]_Testcase_YYYYMMDD")</f>
        <v>[Temp] [ProjectName]_Testcase_YYYYMMDD</v>
      </c>
      <c r="E49" s="26"/>
    </row>
    <row r="50">
      <c r="A50" s="16"/>
      <c r="B50" s="19"/>
      <c r="C50" s="19"/>
      <c r="D50" s="25" t="str">
        <f>HYPERLINK("https://goo.gl/zh7N9R","[Temp] [ProjectName]_TestReport_YYYYMMDD")</f>
        <v>[Temp] [ProjectName]_TestReport_YYYYMMDD</v>
      </c>
      <c r="E50" s="26"/>
    </row>
    <row r="51">
      <c r="A51" s="16"/>
      <c r="B51" s="19"/>
      <c r="C51" s="19"/>
      <c r="D51" s="25" t="str">
        <f>HYPERLINK("https://goo.gl/XByPZm","[Checklist] Test case review checklist ")</f>
        <v>[Checklist] Test case review checklist </v>
      </c>
      <c r="E51" s="26"/>
    </row>
    <row r="52">
      <c r="A52" s="16"/>
      <c r="B52" s="19"/>
      <c r="C52" s="19" t="s">
        <v>88</v>
      </c>
      <c r="D52" s="19"/>
      <c r="E52" s="19"/>
    </row>
    <row r="53">
      <c r="A53" s="16"/>
      <c r="B53" s="17" t="s">
        <v>89</v>
      </c>
      <c r="C53" s="14"/>
      <c r="D53" s="14"/>
      <c r="E53" s="14"/>
    </row>
    <row r="54">
      <c r="A54" s="16"/>
      <c r="B54" s="19"/>
      <c r="C54" s="19" t="s">
        <v>91</v>
      </c>
      <c r="D54" s="19"/>
      <c r="E54" s="19"/>
    </row>
    <row r="55">
      <c r="A55" s="16"/>
      <c r="B55" s="19"/>
      <c r="C55" s="60"/>
      <c r="D55" s="61" t="str">
        <f>HYPERLINK("https://goo.gl/wXGdmK","[Temp]  [ProjectName] Release Process YYYYMMDD")</f>
        <v>[Temp]  [ProjectName] Release Process YYYYMMDD</v>
      </c>
      <c r="E55" s="60"/>
    </row>
    <row r="56">
      <c r="A56" s="16"/>
      <c r="B56" s="17" t="s">
        <v>93</v>
      </c>
      <c r="C56" s="14"/>
      <c r="D56" s="14"/>
      <c r="E56" s="14"/>
    </row>
    <row r="57">
      <c r="A57" s="62"/>
      <c r="B57" s="64"/>
      <c r="C57" s="64" t="s">
        <v>95</v>
      </c>
      <c r="D57" s="62"/>
      <c r="E57" s="62"/>
    </row>
    <row r="58">
      <c r="A58" s="62"/>
      <c r="B58" s="64"/>
      <c r="C58" s="64" t="s">
        <v>91</v>
      </c>
      <c r="D58" s="62"/>
      <c r="E58" s="6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Row="1"/>
  <cols>
    <col customWidth="1" min="1" max="1" width="6.25"/>
    <col customWidth="1" min="2" max="2" width="16.38"/>
    <col customWidth="1" min="3" max="3" width="15.0"/>
    <col customWidth="1" min="4" max="4" width="60.13"/>
    <col customWidth="1" min="5" max="5" width="14.5"/>
    <col customWidth="1" min="6" max="6" width="16.0"/>
  </cols>
  <sheetData>
    <row r="1" ht="22.5" customHeight="1">
      <c r="A1" s="1"/>
      <c r="B1" s="4"/>
      <c r="C1" s="4"/>
      <c r="D1" s="4"/>
      <c r="E1" s="5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ht="22.5" customHeight="1">
      <c r="A2" s="9" t="s">
        <v>13</v>
      </c>
      <c r="B2" s="12" t="s">
        <v>15</v>
      </c>
      <c r="C2" s="12" t="s">
        <v>18</v>
      </c>
      <c r="D2" s="12" t="s">
        <v>19</v>
      </c>
      <c r="E2" s="12" t="s">
        <v>20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ht="22.5" customHeight="1">
      <c r="A3" s="18">
        <v>1.0</v>
      </c>
      <c r="B3" s="21" t="s">
        <v>26</v>
      </c>
      <c r="C3" s="18" t="s">
        <v>28</v>
      </c>
      <c r="D3" s="24" t="s">
        <v>29</v>
      </c>
      <c r="E3" s="27" t="s">
        <v>31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ht="22.5" customHeight="1">
      <c r="A4" s="18">
        <v>2.0</v>
      </c>
      <c r="B4" s="29">
        <v>45622.0</v>
      </c>
      <c r="C4" s="18" t="s">
        <v>28</v>
      </c>
      <c r="D4" s="24" t="s">
        <v>35</v>
      </c>
      <c r="E4" s="27" t="s">
        <v>44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ht="22.5" customHeight="1">
      <c r="A5" s="18">
        <v>3.0</v>
      </c>
      <c r="B5" s="29">
        <v>46059.0</v>
      </c>
      <c r="C5" s="18" t="s">
        <v>28</v>
      </c>
      <c r="D5" s="24" t="s">
        <v>46</v>
      </c>
      <c r="E5" s="27" t="s">
        <v>53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</row>
    <row r="6" ht="22.5" customHeight="1">
      <c r="A6" s="18">
        <v>4.0</v>
      </c>
      <c r="B6" s="21" t="s">
        <v>54</v>
      </c>
      <c r="C6" s="18" t="s">
        <v>28</v>
      </c>
      <c r="D6" s="24" t="s">
        <v>55</v>
      </c>
      <c r="E6" s="27" t="s">
        <v>57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ht="22.5" customHeight="1">
      <c r="A7" s="18">
        <v>5.0</v>
      </c>
      <c r="B7" s="21" t="s">
        <v>54</v>
      </c>
      <c r="C7" s="18" t="s">
        <v>28</v>
      </c>
      <c r="D7" s="43" t="s">
        <v>59</v>
      </c>
      <c r="E7" s="27" t="s">
        <v>63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ht="22.5" customHeight="1">
      <c r="A8" s="18">
        <v>6.0</v>
      </c>
      <c r="B8" s="47" t="s">
        <v>54</v>
      </c>
      <c r="C8" s="50" t="s">
        <v>66</v>
      </c>
      <c r="D8" s="52" t="s">
        <v>70</v>
      </c>
      <c r="E8" s="53" t="s">
        <v>79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</row>
    <row r="9" ht="22.5" customHeight="1">
      <c r="A9" s="18">
        <v>7.0</v>
      </c>
      <c r="B9" s="21" t="s">
        <v>26</v>
      </c>
      <c r="C9" s="18" t="s">
        <v>28</v>
      </c>
      <c r="D9" s="24" t="s">
        <v>80</v>
      </c>
      <c r="E9" s="27" t="s">
        <v>86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ht="22.5" customHeight="1">
      <c r="A10" s="18">
        <v>8.0</v>
      </c>
      <c r="B10" s="47" t="s">
        <v>54</v>
      </c>
      <c r="C10" s="56" t="s">
        <v>66</v>
      </c>
      <c r="D10" s="52" t="s">
        <v>87</v>
      </c>
      <c r="E10" s="53" t="s">
        <v>92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ht="22.5" customHeight="1">
      <c r="A11" s="18">
        <v>9.0</v>
      </c>
      <c r="B11" s="63">
        <v>45632.0</v>
      </c>
      <c r="C11" s="50" t="s">
        <v>28</v>
      </c>
      <c r="D11" s="24" t="s">
        <v>94</v>
      </c>
      <c r="E11" s="27" t="s">
        <v>97</v>
      </c>
      <c r="F11" s="6"/>
      <c r="G11" s="6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</row>
    <row r="12" ht="22.5" customHeight="1">
      <c r="A12" s="18">
        <v>10.0</v>
      </c>
      <c r="B12" s="21" t="s">
        <v>26</v>
      </c>
      <c r="C12" s="18" t="s">
        <v>28</v>
      </c>
      <c r="D12" s="24" t="s">
        <v>98</v>
      </c>
      <c r="E12" s="27" t="s">
        <v>100</v>
      </c>
      <c r="F12" s="6"/>
      <c r="G12" s="6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</row>
    <row r="13" ht="22.5" customHeight="1">
      <c r="A13" s="18">
        <v>11.0</v>
      </c>
      <c r="B13" s="47" t="s">
        <v>54</v>
      </c>
      <c r="C13" s="56" t="s">
        <v>66</v>
      </c>
      <c r="D13" s="71" t="s">
        <v>101</v>
      </c>
      <c r="E13" s="53" t="s">
        <v>102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  <row r="14" ht="22.5" customHeight="1">
      <c r="A14" s="18">
        <v>12.0</v>
      </c>
      <c r="B14" s="21" t="s">
        <v>54</v>
      </c>
      <c r="C14" s="18" t="s">
        <v>28</v>
      </c>
      <c r="D14" s="43" t="s">
        <v>103</v>
      </c>
      <c r="E14" s="27" t="s">
        <v>107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  <row r="15" ht="22.5" customHeight="1">
      <c r="A15" s="18">
        <v>13.0</v>
      </c>
      <c r="B15" s="74">
        <v>43778.0</v>
      </c>
      <c r="C15" s="50" t="s">
        <v>108</v>
      </c>
      <c r="D15" s="43" t="s">
        <v>109</v>
      </c>
      <c r="E15" s="27" t="s">
        <v>111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  <row r="16" ht="22.5" customHeight="1">
      <c r="A16" s="18">
        <v>14.0</v>
      </c>
      <c r="B16" s="21" t="s">
        <v>54</v>
      </c>
      <c r="C16" s="50" t="s">
        <v>28</v>
      </c>
      <c r="D16" s="43" t="s">
        <v>105</v>
      </c>
      <c r="E16" s="27" t="s">
        <v>112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</row>
    <row r="17" ht="22.5" customHeight="1">
      <c r="A17" s="18">
        <v>15.0</v>
      </c>
      <c r="B17" s="21" t="s">
        <v>54</v>
      </c>
      <c r="C17" s="50" t="s">
        <v>28</v>
      </c>
      <c r="D17" s="43" t="s">
        <v>106</v>
      </c>
      <c r="E17" s="27" t="s">
        <v>115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</row>
    <row r="18" ht="22.5" customHeight="1">
      <c r="A18" s="18">
        <v>16.0</v>
      </c>
      <c r="B18" s="21" t="s">
        <v>54</v>
      </c>
      <c r="C18" s="50" t="s">
        <v>28</v>
      </c>
      <c r="D18" s="43" t="s">
        <v>116</v>
      </c>
      <c r="E18" s="27" t="s">
        <v>117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 ht="33.0" customHeight="1">
      <c r="A19" s="18">
        <v>17.0</v>
      </c>
      <c r="B19" s="21" t="s">
        <v>54</v>
      </c>
      <c r="C19" s="50" t="s">
        <v>28</v>
      </c>
      <c r="D19" s="24" t="s">
        <v>118</v>
      </c>
      <c r="E19" s="27" t="s">
        <v>119</v>
      </c>
      <c r="F19" s="6"/>
      <c r="G19" s="6"/>
      <c r="H19" s="6"/>
      <c r="I19" s="66"/>
      <c r="J19" s="6"/>
      <c r="K19" s="6"/>
      <c r="L19" s="6"/>
      <c r="M19" s="6"/>
      <c r="N19" s="6"/>
      <c r="O19" s="6"/>
      <c r="P19" s="6"/>
      <c r="Q19" s="6"/>
      <c r="R19" s="6"/>
    </row>
    <row r="20" ht="22.5" customHeight="1">
      <c r="A20" s="18">
        <v>18.0</v>
      </c>
      <c r="B20" s="21" t="s">
        <v>54</v>
      </c>
      <c r="C20" s="50" t="s">
        <v>28</v>
      </c>
      <c r="D20" s="43" t="s">
        <v>120</v>
      </c>
      <c r="E20" s="27" t="s">
        <v>121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</row>
    <row r="21" ht="22.5" customHeight="1">
      <c r="A21" s="18">
        <v>19.0</v>
      </c>
      <c r="B21" s="21" t="s">
        <v>54</v>
      </c>
      <c r="C21" s="50" t="s">
        <v>28</v>
      </c>
      <c r="D21" s="43" t="s">
        <v>122</v>
      </c>
      <c r="E21" s="27" t="s">
        <v>124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</row>
    <row r="22" ht="22.5" customHeight="1">
      <c r="A22" s="18">
        <v>20.0</v>
      </c>
      <c r="B22" s="21" t="s">
        <v>54</v>
      </c>
      <c r="C22" s="50" t="s">
        <v>28</v>
      </c>
      <c r="D22" s="43" t="s">
        <v>71</v>
      </c>
      <c r="E22" s="27" t="s">
        <v>125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</row>
    <row r="23">
      <c r="A23" s="18">
        <v>21.0</v>
      </c>
      <c r="B23" s="18" t="s">
        <v>54</v>
      </c>
      <c r="C23" s="50" t="s">
        <v>108</v>
      </c>
      <c r="D23" s="108" t="s">
        <v>42</v>
      </c>
      <c r="E23" s="27" t="s">
        <v>128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</row>
    <row r="24" ht="22.5" customHeight="1">
      <c r="A24" s="18">
        <v>22.0</v>
      </c>
      <c r="B24" s="110">
        <v>44928.0</v>
      </c>
      <c r="C24" s="56" t="s">
        <v>28</v>
      </c>
      <c r="D24" s="24" t="s">
        <v>58</v>
      </c>
      <c r="E24" s="27" t="s">
        <v>132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</row>
    <row r="25" ht="22.5" customHeight="1">
      <c r="A25" s="18">
        <v>23.0</v>
      </c>
      <c r="B25" s="21" t="s">
        <v>26</v>
      </c>
      <c r="C25" s="18" t="s">
        <v>28</v>
      </c>
      <c r="D25" s="24" t="s">
        <v>85</v>
      </c>
      <c r="E25" s="27" t="s">
        <v>135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</row>
    <row r="26">
      <c r="A26" s="18">
        <v>24.0</v>
      </c>
      <c r="B26" s="119">
        <v>44508.0</v>
      </c>
      <c r="C26" s="50" t="s">
        <v>28</v>
      </c>
      <c r="D26" s="71" t="s">
        <v>137</v>
      </c>
      <c r="E26" s="53" t="s">
        <v>141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</row>
    <row r="27">
      <c r="A27" s="18">
        <v>25.0</v>
      </c>
      <c r="B27" s="18" t="s">
        <v>54</v>
      </c>
      <c r="C27" s="18" t="s">
        <v>66</v>
      </c>
      <c r="D27" s="71" t="s">
        <v>126</v>
      </c>
      <c r="E27" s="53" t="s">
        <v>149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</row>
    <row r="28">
      <c r="A28" s="18">
        <v>26.0</v>
      </c>
      <c r="B28" s="18" t="s">
        <v>54</v>
      </c>
      <c r="C28" s="56" t="s">
        <v>66</v>
      </c>
      <c r="D28" s="135" t="s">
        <v>90</v>
      </c>
      <c r="E28" s="53" t="s">
        <v>156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</row>
    <row r="29">
      <c r="A29" s="18">
        <v>27.0</v>
      </c>
      <c r="B29" s="119">
        <v>44508.0</v>
      </c>
      <c r="C29" s="50" t="s">
        <v>28</v>
      </c>
      <c r="D29" s="71" t="s">
        <v>139</v>
      </c>
      <c r="E29" s="53" t="s">
        <v>162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</row>
    <row r="30">
      <c r="A30" s="18">
        <v>28.0</v>
      </c>
      <c r="B30" s="119">
        <v>44508.0</v>
      </c>
      <c r="C30" s="56" t="s">
        <v>28</v>
      </c>
      <c r="D30" s="71" t="s">
        <v>163</v>
      </c>
      <c r="E30" s="53" t="s">
        <v>168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</row>
    <row r="31">
      <c r="A31" s="18">
        <v>29.0</v>
      </c>
      <c r="B31" s="21" t="s">
        <v>26</v>
      </c>
      <c r="C31" s="18" t="s">
        <v>28</v>
      </c>
      <c r="D31" s="158" t="s">
        <v>170</v>
      </c>
      <c r="E31" s="53" t="s">
        <v>177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</row>
    <row r="32">
      <c r="A32" s="18">
        <v>30.0</v>
      </c>
      <c r="B32" s="47" t="s">
        <v>178</v>
      </c>
      <c r="C32" s="56" t="s">
        <v>28</v>
      </c>
      <c r="D32" s="73" t="s">
        <v>180</v>
      </c>
      <c r="E32" s="53" t="s">
        <v>187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</row>
    <row r="33">
      <c r="A33" s="18">
        <v>31.0</v>
      </c>
      <c r="B33" s="167">
        <v>45614.0</v>
      </c>
      <c r="C33" s="18" t="s">
        <v>28</v>
      </c>
      <c r="D33" s="158" t="s">
        <v>186</v>
      </c>
      <c r="E33" s="53" t="s">
        <v>190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</row>
    <row r="34">
      <c r="A34" s="18">
        <v>32.0</v>
      </c>
      <c r="B34" s="21" t="s">
        <v>26</v>
      </c>
      <c r="C34" s="18" t="s">
        <v>28</v>
      </c>
      <c r="D34" s="158" t="s">
        <v>191</v>
      </c>
      <c r="E34" s="53" t="s">
        <v>192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</row>
    <row r="35">
      <c r="A35" s="18">
        <v>33.0</v>
      </c>
      <c r="B35" s="21" t="s">
        <v>26</v>
      </c>
      <c r="C35" s="18" t="s">
        <v>28</v>
      </c>
      <c r="D35" s="187" t="s">
        <v>76</v>
      </c>
      <c r="E35" s="53" t="s">
        <v>194</v>
      </c>
      <c r="F35" s="66" t="s">
        <v>195</v>
      </c>
      <c r="G35" s="6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</row>
    <row r="36">
      <c r="A36" s="18">
        <v>34.0</v>
      </c>
      <c r="B36" s="21" t="s">
        <v>26</v>
      </c>
      <c r="C36" s="18" t="s">
        <v>28</v>
      </c>
      <c r="D36" s="187" t="s">
        <v>96</v>
      </c>
      <c r="E36" s="53" t="s">
        <v>199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</row>
    <row r="37">
      <c r="A37" s="18">
        <v>35.0</v>
      </c>
      <c r="B37" s="110">
        <v>44052.0</v>
      </c>
      <c r="C37" s="56" t="s">
        <v>66</v>
      </c>
      <c r="D37" s="33" t="s">
        <v>200</v>
      </c>
      <c r="E37" s="53" t="s">
        <v>203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</row>
    <row r="38">
      <c r="A38" s="18">
        <v>36.0</v>
      </c>
      <c r="B38" s="119">
        <v>44508.0</v>
      </c>
      <c r="C38" s="56" t="s">
        <v>28</v>
      </c>
      <c r="D38" s="33" t="s">
        <v>204</v>
      </c>
      <c r="E38" s="53" t="s">
        <v>206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</row>
    <row r="39">
      <c r="A39" s="18">
        <v>37.0</v>
      </c>
      <c r="B39" s="110">
        <v>44052.0</v>
      </c>
      <c r="C39" s="56" t="s">
        <v>66</v>
      </c>
      <c r="D39" s="33" t="s">
        <v>113</v>
      </c>
      <c r="E39" s="53" t="s">
        <v>210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</row>
    <row r="40">
      <c r="A40" s="18">
        <v>38.0</v>
      </c>
      <c r="B40" s="110">
        <v>45717.0</v>
      </c>
      <c r="C40" s="56" t="s">
        <v>28</v>
      </c>
      <c r="D40" s="54" t="s">
        <v>52</v>
      </c>
      <c r="E40" s="53" t="s">
        <v>213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</row>
    <row r="41">
      <c r="A41" s="18">
        <v>39.0</v>
      </c>
      <c r="B41" s="110">
        <v>44384.0</v>
      </c>
      <c r="C41" s="56" t="s">
        <v>66</v>
      </c>
      <c r="D41" s="220" t="s">
        <v>214</v>
      </c>
      <c r="E41" s="53" t="s">
        <v>216</v>
      </c>
      <c r="F41" s="6"/>
    </row>
    <row r="42">
      <c r="A42" s="18">
        <v>40.0</v>
      </c>
      <c r="B42" s="47" t="s">
        <v>178</v>
      </c>
      <c r="C42" s="56" t="s">
        <v>28</v>
      </c>
      <c r="D42" s="189" t="s">
        <v>193</v>
      </c>
      <c r="E42" s="53" t="s">
        <v>219</v>
      </c>
      <c r="F42" s="6"/>
    </row>
    <row r="43">
      <c r="A43" s="18">
        <v>41.0</v>
      </c>
      <c r="B43" s="110">
        <v>44384.0</v>
      </c>
      <c r="C43" s="56" t="s">
        <v>66</v>
      </c>
      <c r="D43" s="220" t="s">
        <v>208</v>
      </c>
      <c r="E43" s="53" t="s">
        <v>220</v>
      </c>
      <c r="F43" s="6"/>
    </row>
    <row r="44">
      <c r="A44" s="18">
        <v>42.0</v>
      </c>
      <c r="B44" s="110">
        <v>44384.0</v>
      </c>
      <c r="C44" s="56" t="s">
        <v>66</v>
      </c>
      <c r="D44" s="220" t="s">
        <v>217</v>
      </c>
      <c r="E44" s="53" t="s">
        <v>222</v>
      </c>
      <c r="F44" s="6"/>
    </row>
    <row r="45">
      <c r="A45" s="18">
        <v>43.0</v>
      </c>
      <c r="B45" s="110">
        <v>44384.0</v>
      </c>
      <c r="C45" s="56" t="s">
        <v>66</v>
      </c>
      <c r="D45" s="251" t="s">
        <v>221</v>
      </c>
      <c r="E45" s="53" t="s">
        <v>224</v>
      </c>
      <c r="F45" s="6"/>
    </row>
    <row r="46">
      <c r="A46" s="18">
        <v>44.0</v>
      </c>
      <c r="B46" s="110">
        <v>44508.0</v>
      </c>
      <c r="C46" s="56" t="s">
        <v>66</v>
      </c>
      <c r="D46" s="251" t="s">
        <v>23</v>
      </c>
      <c r="E46" s="53" t="s">
        <v>226</v>
      </c>
    </row>
    <row r="47">
      <c r="A47" s="18">
        <v>45.0</v>
      </c>
      <c r="B47" s="110">
        <v>44928.0</v>
      </c>
      <c r="C47" s="56" t="s">
        <v>66</v>
      </c>
      <c r="D47" s="253" t="s">
        <v>198</v>
      </c>
      <c r="E47" s="53" t="s">
        <v>228</v>
      </c>
    </row>
    <row r="48">
      <c r="A48" s="18">
        <v>46.0</v>
      </c>
      <c r="B48" s="21" t="s">
        <v>26</v>
      </c>
      <c r="C48" s="18" t="s">
        <v>28</v>
      </c>
      <c r="D48" s="253" t="s">
        <v>99</v>
      </c>
      <c r="E48" s="53" t="s">
        <v>231</v>
      </c>
    </row>
    <row r="49">
      <c r="A49" s="18">
        <v>47.0</v>
      </c>
      <c r="B49" s="110">
        <v>45295.0</v>
      </c>
      <c r="C49" s="56" t="s">
        <v>66</v>
      </c>
      <c r="D49" s="253" t="s">
        <v>232</v>
      </c>
      <c r="E49" s="53" t="s">
        <v>233</v>
      </c>
    </row>
    <row r="50">
      <c r="A50" s="18">
        <v>48.0</v>
      </c>
      <c r="B50" s="110">
        <v>45295.0</v>
      </c>
      <c r="C50" s="56" t="s">
        <v>66</v>
      </c>
      <c r="D50" s="251" t="s">
        <v>234</v>
      </c>
      <c r="E50" s="53" t="s">
        <v>236</v>
      </c>
    </row>
    <row r="51">
      <c r="A51" s="18">
        <v>49.0</v>
      </c>
      <c r="B51" s="110">
        <v>45295.0</v>
      </c>
      <c r="C51" s="56" t="s">
        <v>66</v>
      </c>
      <c r="D51" s="251" t="s">
        <v>237</v>
      </c>
      <c r="E51" s="53" t="s">
        <v>236</v>
      </c>
    </row>
    <row r="52">
      <c r="A52" s="18">
        <v>50.0</v>
      </c>
      <c r="B52" s="110">
        <v>45694.0</v>
      </c>
      <c r="C52" s="56" t="s">
        <v>28</v>
      </c>
      <c r="D52" s="257" t="s">
        <v>240</v>
      </c>
      <c r="E52" s="53" t="s">
        <v>241</v>
      </c>
    </row>
    <row r="53">
      <c r="A53" s="18">
        <v>51.0</v>
      </c>
      <c r="B53" s="259">
        <v>45596.0</v>
      </c>
      <c r="C53" s="261" t="s">
        <v>28</v>
      </c>
      <c r="D53" s="266" t="s">
        <v>104</v>
      </c>
      <c r="E53" s="268" t="s">
        <v>244</v>
      </c>
      <c r="F53" s="270"/>
      <c r="G53" s="270"/>
      <c r="H53" s="270"/>
      <c r="I53" s="270"/>
      <c r="J53" s="270"/>
      <c r="K53" s="270"/>
      <c r="L53" s="270"/>
      <c r="M53" s="270"/>
      <c r="N53" s="270"/>
      <c r="O53" s="270"/>
      <c r="P53" s="270"/>
      <c r="Q53" s="270"/>
      <c r="R53" s="270"/>
    </row>
    <row r="54">
      <c r="A54" s="18">
        <v>52.0</v>
      </c>
      <c r="B54" s="259">
        <v>45596.0</v>
      </c>
      <c r="C54" s="261" t="s">
        <v>245</v>
      </c>
      <c r="D54" s="266" t="s">
        <v>246</v>
      </c>
      <c r="E54" s="268" t="s">
        <v>249</v>
      </c>
      <c r="F54" s="274"/>
      <c r="G54" s="274"/>
      <c r="H54" s="274"/>
      <c r="I54" s="274"/>
      <c r="J54" s="274"/>
      <c r="K54" s="274"/>
      <c r="L54" s="274"/>
      <c r="M54" s="274"/>
      <c r="N54" s="274"/>
      <c r="O54" s="274"/>
      <c r="P54" s="274"/>
      <c r="Q54" s="274"/>
      <c r="R54" s="274"/>
    </row>
    <row r="55">
      <c r="A55" s="18">
        <v>53.0</v>
      </c>
      <c r="B55" s="29">
        <v>45622.0</v>
      </c>
      <c r="C55" s="278" t="s">
        <v>251</v>
      </c>
      <c r="D55" s="73" t="s">
        <v>110</v>
      </c>
      <c r="E55" s="53" t="s">
        <v>255</v>
      </c>
      <c r="F55" s="274"/>
      <c r="G55" s="274"/>
      <c r="H55" s="274"/>
      <c r="I55" s="274"/>
      <c r="J55" s="274"/>
      <c r="K55" s="274"/>
      <c r="L55" s="274"/>
      <c r="M55" s="274"/>
      <c r="N55" s="274"/>
      <c r="O55" s="274"/>
      <c r="P55" s="274"/>
      <c r="Q55" s="274"/>
      <c r="R55" s="274"/>
    </row>
    <row r="56">
      <c r="A56" s="18">
        <v>54.0</v>
      </c>
      <c r="B56" s="63">
        <v>45632.0</v>
      </c>
      <c r="C56" s="278" t="s">
        <v>66</v>
      </c>
      <c r="D56" s="255" t="s">
        <v>227</v>
      </c>
      <c r="E56" s="53" t="s">
        <v>261</v>
      </c>
      <c r="F56" s="274"/>
      <c r="G56" s="274"/>
      <c r="H56" s="274"/>
      <c r="I56" s="274"/>
      <c r="J56" s="274"/>
      <c r="K56" s="274"/>
      <c r="L56" s="274"/>
      <c r="M56" s="274"/>
      <c r="N56" s="274"/>
      <c r="O56" s="274"/>
      <c r="P56" s="274"/>
      <c r="Q56" s="274"/>
      <c r="R56" s="274"/>
    </row>
    <row r="57">
      <c r="A57" s="18">
        <v>55.0</v>
      </c>
      <c r="B57" s="110">
        <v>45694.0</v>
      </c>
      <c r="C57" s="278" t="s">
        <v>262</v>
      </c>
      <c r="D57" s="255" t="s">
        <v>230</v>
      </c>
      <c r="E57" s="53" t="s">
        <v>264</v>
      </c>
      <c r="F57" s="274"/>
      <c r="G57" s="274"/>
      <c r="H57" s="274"/>
      <c r="I57" s="274"/>
      <c r="J57" s="274"/>
      <c r="K57" s="274"/>
      <c r="L57" s="274"/>
      <c r="M57" s="274"/>
      <c r="N57" s="274"/>
      <c r="O57" s="274"/>
      <c r="P57" s="274"/>
      <c r="Q57" s="274"/>
      <c r="R57" s="274"/>
    </row>
    <row r="58">
      <c r="A58" s="18">
        <v>56.0</v>
      </c>
      <c r="B58" s="110">
        <v>45694.0</v>
      </c>
      <c r="C58" s="278" t="s">
        <v>262</v>
      </c>
      <c r="D58" s="255" t="s">
        <v>235</v>
      </c>
      <c r="E58" s="53" t="s">
        <v>268</v>
      </c>
      <c r="F58" s="274"/>
      <c r="G58" s="274"/>
      <c r="H58" s="274"/>
      <c r="I58" s="274"/>
      <c r="J58" s="274"/>
      <c r="K58" s="274"/>
      <c r="L58" s="274"/>
      <c r="M58" s="274"/>
      <c r="N58" s="274"/>
      <c r="O58" s="274"/>
      <c r="P58" s="274"/>
      <c r="Q58" s="274"/>
      <c r="R58" s="274"/>
    </row>
    <row r="59">
      <c r="A59" s="18">
        <v>57.0</v>
      </c>
      <c r="B59" s="29">
        <v>45819.0</v>
      </c>
      <c r="C59" s="278" t="s">
        <v>262</v>
      </c>
      <c r="D59" s="73" t="s">
        <v>269</v>
      </c>
      <c r="E59" s="53" t="s">
        <v>271</v>
      </c>
      <c r="F59" s="274"/>
      <c r="G59" s="274"/>
      <c r="H59" s="274"/>
      <c r="I59" s="274"/>
      <c r="J59" s="274"/>
      <c r="K59" s="274"/>
      <c r="L59" s="274"/>
      <c r="M59" s="274"/>
      <c r="N59" s="274"/>
      <c r="O59" s="274"/>
      <c r="P59" s="274"/>
      <c r="Q59" s="274"/>
      <c r="R59" s="274"/>
    </row>
    <row r="60">
      <c r="A60" s="18">
        <v>58.0</v>
      </c>
      <c r="B60" s="29">
        <v>45819.0</v>
      </c>
      <c r="C60" s="278" t="s">
        <v>262</v>
      </c>
      <c r="D60" s="316" t="s">
        <v>272</v>
      </c>
      <c r="E60" s="53" t="s">
        <v>236</v>
      </c>
      <c r="F60" s="274"/>
      <c r="G60" s="274"/>
      <c r="H60" s="274"/>
      <c r="I60" s="274"/>
      <c r="J60" s="274"/>
      <c r="K60" s="274"/>
      <c r="L60" s="274"/>
      <c r="M60" s="274"/>
      <c r="N60" s="274"/>
      <c r="O60" s="274"/>
      <c r="P60" s="274"/>
      <c r="Q60" s="274"/>
      <c r="R60" s="274"/>
    </row>
    <row r="61">
      <c r="A61" s="18">
        <v>59.0</v>
      </c>
      <c r="B61" s="29">
        <v>45819.0</v>
      </c>
      <c r="C61" s="278" t="s">
        <v>262</v>
      </c>
      <c r="D61" s="316" t="s">
        <v>275</v>
      </c>
      <c r="E61" s="53" t="s">
        <v>236</v>
      </c>
      <c r="F61" s="274"/>
      <c r="G61" s="274"/>
      <c r="H61" s="274"/>
      <c r="I61" s="274"/>
      <c r="J61" s="274"/>
      <c r="K61" s="274"/>
      <c r="L61" s="274"/>
      <c r="M61" s="274"/>
      <c r="N61" s="274"/>
      <c r="O61" s="274"/>
      <c r="P61" s="274"/>
      <c r="Q61" s="274"/>
      <c r="R61" s="274"/>
    </row>
    <row r="62">
      <c r="A62" s="18">
        <v>60.0</v>
      </c>
      <c r="B62" s="29">
        <v>45819.0</v>
      </c>
      <c r="C62" s="278" t="s">
        <v>28</v>
      </c>
      <c r="D62" s="43" t="s">
        <v>120</v>
      </c>
      <c r="E62" s="27" t="s">
        <v>121</v>
      </c>
      <c r="F62" s="274"/>
      <c r="G62" s="274"/>
      <c r="H62" s="274"/>
      <c r="I62" s="274"/>
      <c r="J62" s="274"/>
      <c r="K62" s="274"/>
      <c r="L62" s="274"/>
      <c r="M62" s="274"/>
      <c r="N62" s="274"/>
      <c r="O62" s="274"/>
      <c r="P62" s="274"/>
      <c r="Q62" s="274"/>
      <c r="R62" s="274"/>
    </row>
    <row r="63">
      <c r="A63" s="18">
        <v>61.0</v>
      </c>
      <c r="B63" s="29">
        <v>45819.0</v>
      </c>
      <c r="C63" s="278" t="s">
        <v>28</v>
      </c>
      <c r="D63" s="24" t="s">
        <v>118</v>
      </c>
      <c r="E63" s="53" t="s">
        <v>119</v>
      </c>
      <c r="F63" s="274"/>
      <c r="G63" s="274"/>
      <c r="H63" s="274"/>
      <c r="I63" s="274"/>
      <c r="J63" s="274"/>
      <c r="K63" s="274"/>
      <c r="L63" s="274"/>
      <c r="M63" s="274"/>
      <c r="N63" s="274"/>
      <c r="O63" s="274"/>
      <c r="P63" s="274"/>
      <c r="Q63" s="274"/>
      <c r="R63" s="274"/>
    </row>
    <row r="64">
      <c r="A64" s="18">
        <v>62.0</v>
      </c>
      <c r="B64" s="29">
        <v>45819.0</v>
      </c>
      <c r="C64" s="278" t="s">
        <v>28</v>
      </c>
      <c r="D64" s="108" t="s">
        <v>42</v>
      </c>
      <c r="E64" s="27" t="s">
        <v>128</v>
      </c>
      <c r="F64" s="274"/>
      <c r="G64" s="274"/>
      <c r="H64" s="274"/>
      <c r="I64" s="274"/>
      <c r="J64" s="274"/>
      <c r="K64" s="274"/>
      <c r="L64" s="274"/>
      <c r="M64" s="274"/>
      <c r="N64" s="274"/>
      <c r="O64" s="274"/>
      <c r="P64" s="274"/>
      <c r="Q64" s="274"/>
      <c r="R64" s="274"/>
    </row>
    <row r="65">
      <c r="A65" s="18">
        <v>63.0</v>
      </c>
      <c r="B65" s="29">
        <v>45819.0</v>
      </c>
      <c r="C65" s="278" t="s">
        <v>28</v>
      </c>
      <c r="D65" s="43" t="s">
        <v>55</v>
      </c>
      <c r="E65" s="27" t="s">
        <v>57</v>
      </c>
      <c r="F65" s="274"/>
      <c r="G65" s="274"/>
      <c r="H65" s="274"/>
      <c r="I65" s="274"/>
      <c r="J65" s="274"/>
      <c r="K65" s="274"/>
      <c r="L65" s="274"/>
      <c r="M65" s="274"/>
      <c r="N65" s="274"/>
      <c r="O65" s="274"/>
      <c r="P65" s="274"/>
      <c r="Q65" s="274"/>
      <c r="R65" s="274"/>
    </row>
    <row r="66">
      <c r="A66" s="50">
        <v>64.0</v>
      </c>
      <c r="B66" s="322" t="s">
        <v>277</v>
      </c>
      <c r="C66" s="278" t="s">
        <v>28</v>
      </c>
      <c r="D66" s="43" t="s">
        <v>58</v>
      </c>
      <c r="E66" s="27" t="s">
        <v>132</v>
      </c>
      <c r="F66" s="274"/>
      <c r="G66" s="274"/>
      <c r="H66" s="274"/>
      <c r="I66" s="274"/>
      <c r="J66" s="274"/>
      <c r="K66" s="274"/>
      <c r="L66" s="274"/>
      <c r="M66" s="274"/>
      <c r="N66" s="274"/>
      <c r="O66" s="274"/>
      <c r="P66" s="274"/>
      <c r="Q66" s="274"/>
      <c r="R66" s="274"/>
    </row>
    <row r="67">
      <c r="A67" s="50">
        <v>65.0</v>
      </c>
      <c r="B67" s="322" t="s">
        <v>277</v>
      </c>
      <c r="C67" s="278" t="s">
        <v>28</v>
      </c>
      <c r="D67" s="43" t="s">
        <v>120</v>
      </c>
      <c r="E67" s="27" t="s">
        <v>121</v>
      </c>
      <c r="F67" s="274"/>
      <c r="G67" s="274"/>
      <c r="H67" s="274"/>
      <c r="I67" s="274"/>
      <c r="J67" s="274"/>
      <c r="K67" s="274"/>
      <c r="L67" s="274"/>
      <c r="M67" s="274"/>
      <c r="N67" s="274"/>
      <c r="O67" s="274"/>
      <c r="P67" s="274"/>
      <c r="Q67" s="274"/>
      <c r="R67" s="274"/>
    </row>
    <row r="68">
      <c r="A68" s="50">
        <v>66.0</v>
      </c>
      <c r="B68" s="29">
        <v>46274.0</v>
      </c>
      <c r="C68" s="56" t="s">
        <v>28</v>
      </c>
      <c r="D68" s="73" t="s">
        <v>180</v>
      </c>
      <c r="E68" s="53" t="s">
        <v>187</v>
      </c>
      <c r="F68" s="274"/>
      <c r="G68" s="274"/>
      <c r="H68" s="274"/>
      <c r="I68" s="274"/>
      <c r="J68" s="274"/>
      <c r="K68" s="274"/>
      <c r="L68" s="274"/>
      <c r="M68" s="274"/>
      <c r="N68" s="274"/>
      <c r="O68" s="274"/>
      <c r="P68" s="274"/>
      <c r="Q68" s="274"/>
      <c r="R68" s="274"/>
    </row>
    <row r="69">
      <c r="A69" s="50">
        <v>67.0</v>
      </c>
      <c r="B69" s="29">
        <v>46274.0</v>
      </c>
      <c r="C69" s="56" t="s">
        <v>28</v>
      </c>
      <c r="D69" s="24" t="s">
        <v>58</v>
      </c>
      <c r="E69" s="27" t="s">
        <v>132</v>
      </c>
      <c r="F69" s="274"/>
      <c r="G69" s="274"/>
      <c r="H69" s="274"/>
      <c r="I69" s="274"/>
      <c r="J69" s="274"/>
      <c r="K69" s="274"/>
      <c r="L69" s="274"/>
      <c r="M69" s="274"/>
      <c r="N69" s="274"/>
      <c r="O69" s="274"/>
      <c r="P69" s="274"/>
      <c r="Q69" s="274"/>
      <c r="R69" s="274"/>
    </row>
    <row r="70">
      <c r="A70" s="324"/>
      <c r="B70" s="326"/>
      <c r="C70" s="327"/>
      <c r="D70" s="329"/>
      <c r="E70" s="330"/>
      <c r="F70" s="274"/>
      <c r="G70" s="274"/>
      <c r="H70" s="274"/>
      <c r="I70" s="274"/>
      <c r="J70" s="274"/>
      <c r="K70" s="274"/>
      <c r="L70" s="274"/>
      <c r="M70" s="274"/>
      <c r="N70" s="274"/>
      <c r="O70" s="274"/>
      <c r="P70" s="274"/>
      <c r="Q70" s="274"/>
      <c r="R70" s="274"/>
    </row>
    <row r="71">
      <c r="A71" s="324"/>
      <c r="B71" s="326"/>
      <c r="C71" s="327"/>
      <c r="D71" s="329"/>
      <c r="E71" s="330"/>
      <c r="F71" s="274"/>
      <c r="G71" s="274"/>
      <c r="H71" s="274"/>
      <c r="I71" s="274"/>
      <c r="J71" s="274"/>
      <c r="K71" s="274"/>
      <c r="L71" s="274"/>
      <c r="M71" s="274"/>
      <c r="N71" s="274"/>
      <c r="O71" s="274"/>
      <c r="P71" s="274"/>
      <c r="Q71" s="274"/>
      <c r="R71" s="274"/>
    </row>
    <row r="72">
      <c r="A72" s="324"/>
      <c r="B72" s="326"/>
      <c r="C72" s="327"/>
      <c r="D72" s="329"/>
      <c r="E72" s="330"/>
      <c r="F72" s="274"/>
      <c r="G72" s="274"/>
      <c r="H72" s="274"/>
      <c r="I72" s="274"/>
      <c r="J72" s="274"/>
      <c r="K72" s="274"/>
      <c r="L72" s="274"/>
      <c r="M72" s="274"/>
      <c r="N72" s="274"/>
      <c r="O72" s="274"/>
      <c r="P72" s="274"/>
      <c r="Q72" s="274"/>
      <c r="R72" s="274"/>
    </row>
    <row r="73">
      <c r="A73" s="324"/>
      <c r="B73" s="326"/>
      <c r="C73" s="327"/>
      <c r="D73" s="329"/>
      <c r="E73" s="330"/>
      <c r="F73" s="274"/>
      <c r="G73" s="274"/>
      <c r="H73" s="274"/>
      <c r="I73" s="274"/>
      <c r="J73" s="274"/>
      <c r="K73" s="274"/>
      <c r="L73" s="274"/>
      <c r="M73" s="274"/>
      <c r="N73" s="274"/>
      <c r="O73" s="274"/>
      <c r="P73" s="274"/>
      <c r="Q73" s="274"/>
      <c r="R73" s="274"/>
    </row>
  </sheetData>
  <customSheetViews>
    <customSheetView guid="{536DBF9F-0413-4E4D-BA35-64C316213015}" filter="1" showAutoFilter="1">
      <autoFilter ref="$A$1:$E$34"/>
    </customSheetView>
    <customSheetView guid="{64E66547-C49B-4A4F-8E07-02B565A34976}" filter="1" showAutoFilter="1">
      <autoFilter ref="$A$1:$E$34">
        <filterColumn colId="2">
          <filters>
            <filter val="New"/>
            <filter val="Type of change"/>
          </filters>
        </filterColumn>
      </autoFilter>
    </customSheetView>
    <customSheetView guid="{AED64F63-9875-4430-A7D1-2712F38A1108}" filter="1" showAutoFilter="1">
      <autoFilter ref="$A$2:$R$47">
        <filterColumn colId="1">
          <filters>
            <filter val="23/12/2024"/>
            <filter val="02/06/2026"/>
            <filter val="21/02/2025"/>
            <filter val="11/08/2021"/>
            <filter val="11/18/2024"/>
            <filter val="11/26/2024"/>
            <filter val="03/01/2025"/>
            <filter val="06/12/2024"/>
            <filter val="01/02/2023"/>
          </filters>
        </filterColumn>
        <filterColumn colId="2">
          <filters>
            <filter val="Keep"/>
            <filter val="Upgrade"/>
          </filters>
        </filterColumn>
      </autoFilter>
    </customSheetView>
    <customSheetView guid="{E654B9F2-BD0B-41F9-B423-F73B734C4483}" filter="1" showAutoFilter="1">
      <autoFilter ref="$A$2:$R$34">
        <filterColumn colId="2">
          <filters>
            <filter val="New"/>
            <filter val="Upgrade"/>
          </filters>
        </filterColumn>
      </autoFilter>
    </customSheetView>
    <customSheetView guid="{D0599BAE-BEB9-4321-BB9F-8C17AE0280D4}" filter="1" showAutoFilter="1">
      <autoFilter ref="$A$2:$R$34">
        <filterColumn colId="2">
          <filters>
            <filter val="New"/>
          </filters>
        </filterColumn>
      </autoFilter>
    </customSheetView>
    <customSheetView guid="{1E8EF8BB-BBA0-4699-839C-15749A83D305}" filter="1" showAutoFilter="1">
      <autoFilter ref="$H$10"/>
    </customSheetView>
    <customSheetView guid="{9AC8A14D-781E-4CDF-8294-647D95B2B48B}" filter="1" showAutoFilter="1">
      <autoFilter ref="$A$2:$R$47">
        <filterColumn colId="1">
          <filters>
            <filter val="23/12/2024"/>
            <filter val="02/06/2026"/>
            <filter val="21/02/2025"/>
            <filter val="11/18/2024"/>
            <filter val="11/26/2024"/>
            <filter val="03/01/2025"/>
            <filter val="06/12/2024"/>
            <filter val="01/02/2023"/>
          </filters>
        </filterColumn>
      </autoFilter>
    </customSheetView>
    <customSheetView guid="{28A21E74-0314-487F-A026-418004A6C8C1}" filter="1" showAutoFilter="1">
      <autoFilter ref="$G$26"/>
    </customSheetView>
    <customSheetView guid="{94FC4379-796E-49E8-B743-3DD5E15ECD1E}" filter="1" showAutoFilter="1">
      <autoFilter ref="$A$1:$E$47"/>
    </customSheetView>
  </customSheetViews>
  <mergeCells count="1">
    <mergeCell ref="A1:E1"/>
  </mergeCells>
  <hyperlinks>
    <hyperlink display="Access Matrix" location="'Shared drives_FolderStructure &amp;'!A1" ref="D3"/>
    <hyperlink r:id="rId1" ref="D4"/>
    <hyperlink r:id="rId2" location="gid=1703931589" ref="D5"/>
    <hyperlink r:id="rId3" ref="D6"/>
    <hyperlink r:id="rId4" ref="D7"/>
    <hyperlink r:id="rId5" ref="D8"/>
    <hyperlink r:id="rId6" ref="D9"/>
    <hyperlink r:id="rId7" ref="D10"/>
    <hyperlink r:id="rId8" ref="D11"/>
    <hyperlink r:id="rId9" location="gid=219199286" ref="D12"/>
    <hyperlink r:id="rId10" location="gid=1768991485" ref="D13"/>
    <hyperlink r:id="rId11" ref="D14"/>
    <hyperlink r:id="rId12" ref="D15"/>
    <hyperlink r:id="rId13" ref="D16"/>
    <hyperlink r:id="rId14" ref="D17"/>
    <hyperlink r:id="rId15" ref="D18"/>
    <hyperlink r:id="rId16" ref="D19"/>
    <hyperlink r:id="rId17" ref="D20"/>
    <hyperlink r:id="rId18" ref="D21"/>
    <hyperlink r:id="rId19" ref="D22"/>
    <hyperlink r:id="rId20" ref="D23"/>
    <hyperlink r:id="rId21" location="gid=1782568429" ref="D24"/>
    <hyperlink r:id="rId22" location="gid=1635575579" ref="D25"/>
    <hyperlink r:id="rId23" ref="D26"/>
    <hyperlink r:id="rId24" location="gid=1653526820" ref="D27"/>
    <hyperlink r:id="rId25" location="gid=1255747145" ref="D28"/>
    <hyperlink r:id="rId26" ref="D29"/>
    <hyperlink r:id="rId27" ref="D30"/>
    <hyperlink r:id="rId28" ref="D31"/>
    <hyperlink r:id="rId29" ref="D32"/>
    <hyperlink r:id="rId30" location="gid=49805428" ref="D33"/>
    <hyperlink r:id="rId31" location="gid=2108151244" ref="D34"/>
    <hyperlink r:id="rId32" location="gid=49451162" ref="D35"/>
    <hyperlink r:id="rId33" location="gid=1768991485" ref="D36"/>
    <hyperlink r:id="rId34" location="gid=462638988" ref="D37"/>
    <hyperlink r:id="rId35" location="gid=1332060570" ref="D38"/>
    <hyperlink r:id="rId36" location="gid=2038376756" ref="D39"/>
    <hyperlink r:id="rId37" ref="D40"/>
    <hyperlink r:id="rId38" ref="D41"/>
    <hyperlink r:id="rId39" location="gid=230759614" ref="D42"/>
    <hyperlink r:id="rId40" ref="D43"/>
    <hyperlink r:id="rId41" ref="D44"/>
    <hyperlink r:id="rId42" ref="D45"/>
    <hyperlink r:id="rId43" location="gid=1685132237" ref="D46"/>
    <hyperlink r:id="rId44" location="gid=835816859" ref="D47"/>
    <hyperlink r:id="rId45" location="gid=0" ref="D48"/>
    <hyperlink r:id="rId46" location="gid=1680313460" ref="D49"/>
    <hyperlink r:id="rId47" ref="D50"/>
    <hyperlink r:id="rId48" ref="D51"/>
    <hyperlink r:id="rId49" location="slide=id.g2ef224aea36_0_184" ref="D53"/>
    <hyperlink r:id="rId50" ref="D54"/>
    <hyperlink r:id="rId51" location="slide=id.g2ef224aea36_0_184" ref="D55"/>
    <hyperlink r:id="rId52" location="gid=262412966" ref="D56"/>
    <hyperlink r:id="rId53" location="gid=1955282419" ref="D57"/>
    <hyperlink r:id="rId54" location="gid=1127420381" ref="D58"/>
    <hyperlink r:id="rId55" location="gid=624193353" ref="D59"/>
    <hyperlink r:id="rId56" location="gid=1331696559" ref="D60"/>
    <hyperlink r:id="rId57" location="gid=501181062" ref="D61"/>
    <hyperlink r:id="rId58" ref="D62"/>
    <hyperlink r:id="rId59" ref="D63"/>
    <hyperlink r:id="rId60" ref="D64"/>
    <hyperlink r:id="rId61" ref="D65"/>
    <hyperlink r:id="rId62" location="gid=1782568429" ref="D66"/>
    <hyperlink r:id="rId63" ref="D67"/>
    <hyperlink r:id="rId64" ref="D68"/>
    <hyperlink r:id="rId65" location="gid=1782568429" ref="D69"/>
  </hyperlinks>
  <drawing r:id="rId6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2.63"/>
    <col customWidth="1" min="2" max="2" width="7.25"/>
    <col customWidth="1" min="3" max="3" width="64.25"/>
    <col customWidth="1" min="4" max="5" width="17.63"/>
    <col customWidth="1" min="6" max="6" width="16.63"/>
    <col customWidth="1" min="7" max="7" width="14.25"/>
    <col customWidth="1" min="8" max="8" width="20.0"/>
    <col customWidth="1" min="9" max="9" width="28.38"/>
    <col customWidth="1" min="10" max="10" width="2.63"/>
  </cols>
  <sheetData>
    <row r="1">
      <c r="A1" s="2"/>
      <c r="B1" s="7" t="s">
        <v>3</v>
      </c>
      <c r="C1" s="8" t="s">
        <v>12</v>
      </c>
      <c r="D1" s="11" t="s">
        <v>14</v>
      </c>
      <c r="E1" s="8" t="s">
        <v>16</v>
      </c>
      <c r="F1" s="15" t="s">
        <v>17</v>
      </c>
      <c r="G1" s="8" t="s">
        <v>22</v>
      </c>
      <c r="H1" s="8" t="s">
        <v>24</v>
      </c>
      <c r="I1" s="20" t="s">
        <v>25</v>
      </c>
      <c r="J1" s="22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ht="26.25" customHeight="1">
      <c r="A2" s="22"/>
      <c r="B2" s="23"/>
      <c r="C2" s="30" t="s">
        <v>30</v>
      </c>
      <c r="D2" s="31"/>
      <c r="E2" s="35"/>
      <c r="F2" s="36" t="s">
        <v>45</v>
      </c>
      <c r="G2" s="37" t="s">
        <v>48</v>
      </c>
      <c r="H2" s="37" t="s">
        <v>50</v>
      </c>
      <c r="I2" s="38"/>
      <c r="J2" s="22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22"/>
      <c r="B3" s="39">
        <v>1.0</v>
      </c>
      <c r="C3" s="43" t="s">
        <v>35</v>
      </c>
      <c r="D3" s="44" t="s">
        <v>61</v>
      </c>
      <c r="E3" s="45" t="s">
        <v>21</v>
      </c>
      <c r="F3" s="46" t="s">
        <v>45</v>
      </c>
      <c r="G3" s="48" t="s">
        <v>48</v>
      </c>
      <c r="H3" s="48" t="s">
        <v>69</v>
      </c>
      <c r="I3" s="51"/>
      <c r="J3" s="22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22"/>
      <c r="B4" s="39">
        <v>2.0</v>
      </c>
      <c r="C4" s="24" t="s">
        <v>46</v>
      </c>
      <c r="D4" s="44" t="s">
        <v>61</v>
      </c>
      <c r="E4" s="45" t="s">
        <v>21</v>
      </c>
      <c r="F4" s="46" t="s">
        <v>45</v>
      </c>
      <c r="G4" s="48" t="s">
        <v>48</v>
      </c>
      <c r="H4" s="48" t="s">
        <v>69</v>
      </c>
      <c r="I4" s="51"/>
      <c r="J4" s="22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22"/>
      <c r="B5" s="39">
        <v>3.0</v>
      </c>
      <c r="C5" s="24" t="s">
        <v>55</v>
      </c>
      <c r="D5" s="44" t="s">
        <v>61</v>
      </c>
      <c r="E5" s="57" t="s">
        <v>21</v>
      </c>
      <c r="F5" s="58" t="s">
        <v>45</v>
      </c>
      <c r="G5" s="59" t="s">
        <v>48</v>
      </c>
      <c r="H5" s="59" t="s">
        <v>69</v>
      </c>
      <c r="I5" s="51"/>
      <c r="J5" s="22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22"/>
      <c r="B6" s="39">
        <v>4.0</v>
      </c>
      <c r="C6" s="24" t="s">
        <v>59</v>
      </c>
      <c r="D6" s="44" t="s">
        <v>61</v>
      </c>
      <c r="E6" s="65" t="s">
        <v>40</v>
      </c>
      <c r="F6" s="67" t="str">
        <f>HYPERLINK("https://goo.gl/YWyn2v","(with Guide)")</f>
        <v>(with Guide)</v>
      </c>
      <c r="G6" s="68" t="s">
        <v>48</v>
      </c>
      <c r="H6" s="68" t="s">
        <v>69</v>
      </c>
      <c r="I6" s="51"/>
      <c r="J6" s="2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22"/>
      <c r="B7" s="39">
        <v>5.0</v>
      </c>
      <c r="C7" s="70" t="s">
        <v>70</v>
      </c>
      <c r="D7" s="44" t="s">
        <v>61</v>
      </c>
      <c r="E7" s="57" t="s">
        <v>40</v>
      </c>
      <c r="F7" s="72" t="s">
        <v>45</v>
      </c>
      <c r="G7" s="59" t="s">
        <v>48</v>
      </c>
      <c r="H7" s="59" t="s">
        <v>69</v>
      </c>
      <c r="I7" s="51"/>
      <c r="J7" s="22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22"/>
      <c r="B8" s="39">
        <v>6.0</v>
      </c>
      <c r="C8" s="73" t="s">
        <v>104</v>
      </c>
      <c r="D8" s="44" t="s">
        <v>61</v>
      </c>
      <c r="E8" s="57" t="s">
        <v>40</v>
      </c>
      <c r="F8" s="72"/>
      <c r="G8" s="59" t="s">
        <v>48</v>
      </c>
      <c r="H8" s="59" t="s">
        <v>50</v>
      </c>
      <c r="I8" s="51"/>
      <c r="J8" s="22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22"/>
      <c r="B9" s="39">
        <v>7.0</v>
      </c>
      <c r="C9" s="24" t="s">
        <v>110</v>
      </c>
      <c r="D9" s="44" t="s">
        <v>61</v>
      </c>
      <c r="E9" s="57" t="s">
        <v>40</v>
      </c>
      <c r="F9" s="72"/>
      <c r="G9" s="59" t="s">
        <v>48</v>
      </c>
      <c r="H9" s="59" t="s">
        <v>50</v>
      </c>
      <c r="I9" s="51"/>
      <c r="J9" s="22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22"/>
      <c r="B10" s="39">
        <v>8.0</v>
      </c>
      <c r="C10" s="43" t="s">
        <v>80</v>
      </c>
      <c r="D10" s="44" t="s">
        <v>61</v>
      </c>
      <c r="E10" s="65" t="s">
        <v>40</v>
      </c>
      <c r="F10" s="72" t="s">
        <v>45</v>
      </c>
      <c r="G10" s="68" t="s">
        <v>48</v>
      </c>
      <c r="H10" s="68" t="s">
        <v>50</v>
      </c>
      <c r="I10" s="51"/>
      <c r="J10" s="22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22"/>
      <c r="B11" s="39">
        <v>9.0</v>
      </c>
      <c r="C11" s="70" t="s">
        <v>87</v>
      </c>
      <c r="D11" s="44" t="s">
        <v>61</v>
      </c>
      <c r="E11" s="57" t="s">
        <v>40</v>
      </c>
      <c r="F11" s="72" t="s">
        <v>45</v>
      </c>
      <c r="G11" s="59" t="s">
        <v>48</v>
      </c>
      <c r="H11" s="59" t="s">
        <v>69</v>
      </c>
      <c r="I11" s="51"/>
      <c r="J11" s="22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22"/>
      <c r="B12" s="39">
        <v>10.0</v>
      </c>
      <c r="C12" s="24" t="s">
        <v>94</v>
      </c>
      <c r="D12" s="44" t="s">
        <v>61</v>
      </c>
      <c r="E12" s="65" t="s">
        <v>40</v>
      </c>
      <c r="F12" s="67" t="str">
        <f>HYPERLINK("https://goo.gl/5StrKX","(with Guide)")</f>
        <v>(with Guide)</v>
      </c>
      <c r="G12" s="68" t="s">
        <v>48</v>
      </c>
      <c r="H12" s="68" t="s">
        <v>50</v>
      </c>
      <c r="I12" s="51"/>
      <c r="J12" s="22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22"/>
      <c r="B13" s="39">
        <v>11.0</v>
      </c>
      <c r="C13" s="24" t="s">
        <v>98</v>
      </c>
      <c r="D13" s="44" t="s">
        <v>61</v>
      </c>
      <c r="E13" s="65" t="s">
        <v>40</v>
      </c>
      <c r="F13" s="72" t="s">
        <v>45</v>
      </c>
      <c r="G13" s="68" t="s">
        <v>48</v>
      </c>
      <c r="H13" s="68" t="s">
        <v>50</v>
      </c>
      <c r="I13" s="51"/>
      <c r="J13" s="22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22"/>
      <c r="B14" s="39">
        <v>12.0</v>
      </c>
      <c r="C14" s="109" t="s">
        <v>101</v>
      </c>
      <c r="D14" s="44" t="s">
        <v>129</v>
      </c>
      <c r="E14" s="57" t="s">
        <v>40</v>
      </c>
      <c r="F14" s="72" t="s">
        <v>45</v>
      </c>
      <c r="G14" s="59" t="s">
        <v>130</v>
      </c>
      <c r="H14" s="59" t="s">
        <v>69</v>
      </c>
      <c r="I14" s="51"/>
      <c r="J14" s="22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22"/>
      <c r="B15" s="39">
        <v>13.0</v>
      </c>
      <c r="C15" s="43" t="s">
        <v>131</v>
      </c>
      <c r="D15" s="44" t="s">
        <v>61</v>
      </c>
      <c r="E15" s="65" t="s">
        <v>40</v>
      </c>
      <c r="F15" s="72" t="s">
        <v>45</v>
      </c>
      <c r="G15" s="59" t="s">
        <v>48</v>
      </c>
      <c r="H15" s="68" t="s">
        <v>69</v>
      </c>
      <c r="I15" s="51"/>
      <c r="J15" s="22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22"/>
      <c r="B16" s="39">
        <v>14.0</v>
      </c>
      <c r="C16" s="43" t="s">
        <v>109</v>
      </c>
      <c r="D16" s="44" t="s">
        <v>61</v>
      </c>
      <c r="E16" s="65" t="s">
        <v>40</v>
      </c>
      <c r="F16" s="72" t="s">
        <v>45</v>
      </c>
      <c r="G16" s="68" t="s">
        <v>130</v>
      </c>
      <c r="H16" s="68" t="s">
        <v>50</v>
      </c>
      <c r="I16" s="51"/>
      <c r="J16" s="22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22"/>
      <c r="B17" s="39">
        <v>15.0</v>
      </c>
      <c r="C17" s="43" t="s">
        <v>105</v>
      </c>
      <c r="D17" s="44" t="s">
        <v>61</v>
      </c>
      <c r="E17" s="65" t="s">
        <v>78</v>
      </c>
      <c r="F17" s="72" t="s">
        <v>45</v>
      </c>
      <c r="G17" s="68" t="s">
        <v>48</v>
      </c>
      <c r="H17" s="68" t="s">
        <v>69</v>
      </c>
      <c r="I17" s="51"/>
      <c r="J17" s="22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22"/>
      <c r="B18" s="39">
        <v>16.0</v>
      </c>
      <c r="C18" s="43" t="s">
        <v>106</v>
      </c>
      <c r="D18" s="44" t="s">
        <v>61</v>
      </c>
      <c r="E18" s="65" t="s">
        <v>40</v>
      </c>
      <c r="F18" s="67" t="str">
        <f>HYPERLINK("https://goo.gl/DeXpCR","(with Guide)")</f>
        <v>(with Guide)</v>
      </c>
      <c r="G18" s="68" t="s">
        <v>48</v>
      </c>
      <c r="H18" s="68" t="s">
        <v>69</v>
      </c>
      <c r="I18" s="51"/>
      <c r="J18" s="22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22"/>
      <c r="B19" s="39">
        <v>17.0</v>
      </c>
      <c r="C19" s="43" t="s">
        <v>116</v>
      </c>
      <c r="D19" s="44" t="s">
        <v>61</v>
      </c>
      <c r="E19" s="57" t="s">
        <v>68</v>
      </c>
      <c r="F19" s="67" t="str">
        <f>HYPERLINK("https://goo.gl/s8Sh4X","(with Guide)")</f>
        <v>(with Guide)</v>
      </c>
      <c r="G19" s="68" t="s">
        <v>48</v>
      </c>
      <c r="H19" s="68" t="s">
        <v>69</v>
      </c>
      <c r="I19" s="51" t="s">
        <v>161</v>
      </c>
      <c r="J19" s="22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22"/>
      <c r="B20" s="39">
        <v>18.0</v>
      </c>
      <c r="C20" s="43" t="s">
        <v>118</v>
      </c>
      <c r="D20" s="44" t="s">
        <v>61</v>
      </c>
      <c r="E20" s="65" t="s">
        <v>82</v>
      </c>
      <c r="F20" s="72" t="s">
        <v>45</v>
      </c>
      <c r="G20" s="68" t="s">
        <v>130</v>
      </c>
      <c r="H20" s="68" t="s">
        <v>69</v>
      </c>
      <c r="I20" s="51"/>
      <c r="J20" s="22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ht="42.0" customHeight="1">
      <c r="A21" s="22"/>
      <c r="B21" s="39">
        <v>19.0</v>
      </c>
      <c r="C21" s="43" t="s">
        <v>120</v>
      </c>
      <c r="D21" s="44" t="s">
        <v>61</v>
      </c>
      <c r="E21" s="65" t="s">
        <v>82</v>
      </c>
      <c r="F21" s="72" t="s">
        <v>45</v>
      </c>
      <c r="G21" s="68" t="s">
        <v>48</v>
      </c>
      <c r="H21" s="68" t="s">
        <v>69</v>
      </c>
      <c r="I21" s="51"/>
      <c r="J21" s="22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22"/>
      <c r="B22" s="39">
        <v>20.0</v>
      </c>
      <c r="C22" s="43" t="s">
        <v>122</v>
      </c>
      <c r="D22" s="44" t="s">
        <v>61</v>
      </c>
      <c r="E22" s="65" t="s">
        <v>82</v>
      </c>
      <c r="F22" s="72" t="s">
        <v>45</v>
      </c>
      <c r="G22" s="68" t="s">
        <v>48</v>
      </c>
      <c r="H22" s="68" t="s">
        <v>69</v>
      </c>
      <c r="I22" s="51"/>
      <c r="J22" s="22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22"/>
      <c r="B23" s="39">
        <v>21.0</v>
      </c>
      <c r="C23" s="43" t="s">
        <v>71</v>
      </c>
      <c r="D23" s="44" t="s">
        <v>61</v>
      </c>
      <c r="E23" s="65" t="s">
        <v>82</v>
      </c>
      <c r="F23" s="72" t="s">
        <v>45</v>
      </c>
      <c r="G23" s="68" t="s">
        <v>130</v>
      </c>
      <c r="H23" s="68" t="s">
        <v>69</v>
      </c>
      <c r="I23" s="51"/>
      <c r="J23" s="22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22"/>
      <c r="B24" s="39">
        <v>22.0</v>
      </c>
      <c r="C24" s="181" t="s">
        <v>42</v>
      </c>
      <c r="D24" s="44" t="s">
        <v>61</v>
      </c>
      <c r="E24" s="65" t="s">
        <v>82</v>
      </c>
      <c r="F24" s="72" t="s">
        <v>45</v>
      </c>
      <c r="G24" s="68" t="s">
        <v>48</v>
      </c>
      <c r="H24" s="68" t="s">
        <v>50</v>
      </c>
      <c r="I24" s="51"/>
      <c r="J24" s="22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22"/>
      <c r="B25" s="39">
        <v>23.0</v>
      </c>
      <c r="C25" s="194" t="s">
        <v>52</v>
      </c>
      <c r="D25" s="44" t="s">
        <v>61</v>
      </c>
      <c r="E25" s="65" t="s">
        <v>89</v>
      </c>
      <c r="F25" s="72" t="s">
        <v>45</v>
      </c>
      <c r="G25" s="68" t="s">
        <v>48</v>
      </c>
      <c r="H25" s="68" t="s">
        <v>69</v>
      </c>
      <c r="I25" s="51" t="s">
        <v>201</v>
      </c>
      <c r="J25" s="22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22"/>
      <c r="B26" s="39">
        <v>24.0</v>
      </c>
      <c r="C26" s="24" t="s">
        <v>85</v>
      </c>
      <c r="D26" s="44" t="s">
        <v>129</v>
      </c>
      <c r="E26" s="65" t="s">
        <v>40</v>
      </c>
      <c r="F26" s="72" t="s">
        <v>45</v>
      </c>
      <c r="G26" s="68" t="s">
        <v>48</v>
      </c>
      <c r="H26" s="68" t="s">
        <v>50</v>
      </c>
      <c r="I26" s="51"/>
      <c r="J26" s="22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22"/>
      <c r="B27" s="39">
        <v>25.0</v>
      </c>
      <c r="C27" s="24" t="s">
        <v>58</v>
      </c>
      <c r="D27" s="44" t="s">
        <v>129</v>
      </c>
      <c r="E27" s="65" t="s">
        <v>40</v>
      </c>
      <c r="F27" s="72" t="s">
        <v>45</v>
      </c>
      <c r="G27" s="68" t="s">
        <v>48</v>
      </c>
      <c r="H27" s="68" t="s">
        <v>50</v>
      </c>
      <c r="I27" s="51"/>
      <c r="J27" s="22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/>
      <c r="B28" s="39">
        <v>26.0</v>
      </c>
      <c r="C28" s="109" t="s">
        <v>137</v>
      </c>
      <c r="D28" s="44" t="s">
        <v>61</v>
      </c>
      <c r="E28" s="57" t="s">
        <v>81</v>
      </c>
      <c r="F28" s="72" t="s">
        <v>45</v>
      </c>
      <c r="G28" s="68" t="s">
        <v>48</v>
      </c>
      <c r="H28" s="68" t="s">
        <v>50</v>
      </c>
      <c r="I28" s="51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/>
      <c r="B29" s="39">
        <v>27.0</v>
      </c>
      <c r="C29" s="109" t="s">
        <v>126</v>
      </c>
      <c r="D29" s="44" t="s">
        <v>61</v>
      </c>
      <c r="E29" s="65" t="s">
        <v>40</v>
      </c>
      <c r="F29" s="72" t="s">
        <v>45</v>
      </c>
      <c r="G29" s="68" t="s">
        <v>48</v>
      </c>
      <c r="H29" s="68" t="s">
        <v>50</v>
      </c>
      <c r="I29" s="51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/>
      <c r="B30" s="39">
        <v>28.0</v>
      </c>
      <c r="C30" s="237" t="s">
        <v>90</v>
      </c>
      <c r="D30" s="44" t="s">
        <v>129</v>
      </c>
      <c r="E30" s="57" t="s">
        <v>81</v>
      </c>
      <c r="F30" s="72" t="s">
        <v>45</v>
      </c>
      <c r="G30" s="68" t="s">
        <v>48</v>
      </c>
      <c r="H30" s="59" t="s">
        <v>69</v>
      </c>
      <c r="I30" s="51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/>
      <c r="B31" s="39">
        <v>29.0</v>
      </c>
      <c r="C31" s="244" t="s">
        <v>139</v>
      </c>
      <c r="D31" s="44" t="s">
        <v>61</v>
      </c>
      <c r="E31" s="65" t="s">
        <v>40</v>
      </c>
      <c r="F31" s="72" t="s">
        <v>45</v>
      </c>
      <c r="G31" s="68" t="s">
        <v>48</v>
      </c>
      <c r="H31" s="68" t="s">
        <v>50</v>
      </c>
      <c r="I31" s="51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/>
      <c r="B32" s="39">
        <v>30.0</v>
      </c>
      <c r="C32" s="109" t="s">
        <v>163</v>
      </c>
      <c r="D32" s="44" t="s">
        <v>61</v>
      </c>
      <c r="E32" s="65" t="s">
        <v>40</v>
      </c>
      <c r="F32" s="72" t="s">
        <v>45</v>
      </c>
      <c r="G32" s="68" t="s">
        <v>48</v>
      </c>
      <c r="H32" s="68" t="s">
        <v>50</v>
      </c>
      <c r="I32" s="51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B33" s="39">
        <v>31.0</v>
      </c>
      <c r="C33" s="244" t="s">
        <v>170</v>
      </c>
      <c r="D33" s="44" t="s">
        <v>61</v>
      </c>
      <c r="E33" s="57" t="s">
        <v>33</v>
      </c>
      <c r="F33" s="72" t="s">
        <v>45</v>
      </c>
      <c r="G33" s="68" t="s">
        <v>48</v>
      </c>
      <c r="H33" s="68" t="s">
        <v>50</v>
      </c>
      <c r="I33" s="51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/>
      <c r="B34" s="39">
        <v>32.0</v>
      </c>
      <c r="C34" s="244" t="s">
        <v>180</v>
      </c>
      <c r="D34" s="44" t="s">
        <v>129</v>
      </c>
      <c r="E34" s="65" t="s">
        <v>40</v>
      </c>
      <c r="F34" s="72" t="s">
        <v>45</v>
      </c>
      <c r="G34" s="68" t="s">
        <v>48</v>
      </c>
      <c r="H34" s="68" t="s">
        <v>50</v>
      </c>
      <c r="I34" s="51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39">
        <v>33.0</v>
      </c>
      <c r="C35" s="244" t="s">
        <v>186</v>
      </c>
      <c r="D35" s="44" t="s">
        <v>61</v>
      </c>
      <c r="E35" s="65" t="s">
        <v>40</v>
      </c>
      <c r="F35" s="72" t="s">
        <v>45</v>
      </c>
      <c r="G35" s="68" t="s">
        <v>48</v>
      </c>
      <c r="H35" s="68" t="s">
        <v>50</v>
      </c>
      <c r="I35" s="51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B36" s="39">
        <v>34.0</v>
      </c>
      <c r="C36" s="109" t="s">
        <v>191</v>
      </c>
      <c r="D36" s="44" t="s">
        <v>61</v>
      </c>
      <c r="E36" s="65" t="s">
        <v>40</v>
      </c>
      <c r="F36" s="72" t="s">
        <v>45</v>
      </c>
      <c r="G36" s="59" t="s">
        <v>130</v>
      </c>
      <c r="H36" s="59" t="s">
        <v>69</v>
      </c>
      <c r="I36" s="51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39">
        <v>35.0</v>
      </c>
      <c r="C37" s="194" t="s">
        <v>76</v>
      </c>
      <c r="D37" s="44" t="s">
        <v>129</v>
      </c>
      <c r="E37" s="65" t="s">
        <v>40</v>
      </c>
      <c r="F37" s="72" t="s">
        <v>45</v>
      </c>
      <c r="G37" s="59" t="s">
        <v>130</v>
      </c>
      <c r="H37" s="59" t="s">
        <v>69</v>
      </c>
      <c r="I37" s="51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39">
        <v>36.0</v>
      </c>
      <c r="C38" s="265" t="s">
        <v>96</v>
      </c>
      <c r="D38" s="44" t="s">
        <v>129</v>
      </c>
      <c r="E38" s="267" t="s">
        <v>40</v>
      </c>
      <c r="F38" s="269" t="s">
        <v>45</v>
      </c>
      <c r="G38" s="271" t="s">
        <v>130</v>
      </c>
      <c r="H38" s="271" t="s">
        <v>69</v>
      </c>
      <c r="I38" s="272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39">
        <v>37.0</v>
      </c>
      <c r="C39" s="194" t="s">
        <v>200</v>
      </c>
      <c r="D39" s="44" t="s">
        <v>61</v>
      </c>
      <c r="E39" s="276" t="s">
        <v>40</v>
      </c>
      <c r="F39" s="36" t="s">
        <v>45</v>
      </c>
      <c r="G39" s="280" t="s">
        <v>48</v>
      </c>
      <c r="H39" s="280" t="s">
        <v>69</v>
      </c>
      <c r="I39" s="38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39">
        <v>38.0</v>
      </c>
      <c r="C40" s="285" t="s">
        <v>113</v>
      </c>
      <c r="D40" s="44" t="s">
        <v>61</v>
      </c>
      <c r="E40" s="286" t="s">
        <v>82</v>
      </c>
      <c r="F40" s="293" t="s">
        <v>258</v>
      </c>
      <c r="G40" s="280" t="s">
        <v>48</v>
      </c>
      <c r="H40" s="280" t="s">
        <v>69</v>
      </c>
      <c r="I40" s="38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B41" s="39">
        <v>39.0</v>
      </c>
      <c r="C41" s="302" t="s">
        <v>214</v>
      </c>
      <c r="D41" s="44" t="s">
        <v>61</v>
      </c>
      <c r="E41" s="286" t="s">
        <v>68</v>
      </c>
      <c r="F41" s="36" t="s">
        <v>45</v>
      </c>
      <c r="G41" s="280" t="s">
        <v>130</v>
      </c>
      <c r="H41" s="280" t="s">
        <v>69</v>
      </c>
      <c r="I41" s="38"/>
    </row>
    <row r="42">
      <c r="B42" s="39">
        <v>40.0</v>
      </c>
      <c r="C42" s="302" t="s">
        <v>193</v>
      </c>
      <c r="D42" s="44" t="s">
        <v>61</v>
      </c>
      <c r="E42" s="286" t="s">
        <v>68</v>
      </c>
      <c r="F42" s="36" t="s">
        <v>45</v>
      </c>
      <c r="G42" s="280" t="s">
        <v>130</v>
      </c>
      <c r="H42" s="280" t="s">
        <v>69</v>
      </c>
      <c r="I42" s="38"/>
    </row>
    <row r="43">
      <c r="B43" s="39">
        <v>41.0</v>
      </c>
      <c r="C43" s="317" t="s">
        <v>208</v>
      </c>
      <c r="D43" s="44" t="s">
        <v>61</v>
      </c>
      <c r="E43" s="286" t="s">
        <v>68</v>
      </c>
      <c r="F43" s="36" t="s">
        <v>45</v>
      </c>
      <c r="G43" s="280" t="s">
        <v>130</v>
      </c>
      <c r="H43" s="280" t="s">
        <v>69</v>
      </c>
      <c r="I43" s="38"/>
    </row>
    <row r="44">
      <c r="B44" s="39">
        <v>42.0</v>
      </c>
      <c r="C44" s="317" t="s">
        <v>217</v>
      </c>
      <c r="D44" s="44" t="s">
        <v>61</v>
      </c>
      <c r="E44" s="286" t="s">
        <v>68</v>
      </c>
      <c r="F44" s="36" t="s">
        <v>45</v>
      </c>
      <c r="G44" s="280" t="s">
        <v>130</v>
      </c>
      <c r="H44" s="280" t="s">
        <v>69</v>
      </c>
      <c r="I44" s="38"/>
    </row>
    <row r="45">
      <c r="B45" s="39">
        <v>43.0</v>
      </c>
      <c r="C45" s="323" t="s">
        <v>221</v>
      </c>
      <c r="D45" s="44" t="s">
        <v>61</v>
      </c>
      <c r="E45" s="286" t="s">
        <v>68</v>
      </c>
      <c r="F45" s="36" t="s">
        <v>45</v>
      </c>
      <c r="G45" s="280" t="s">
        <v>130</v>
      </c>
      <c r="H45" s="280" t="s">
        <v>69</v>
      </c>
      <c r="I45" s="38"/>
    </row>
    <row r="46">
      <c r="B46" s="39">
        <v>44.0</v>
      </c>
      <c r="C46" s="285" t="s">
        <v>23</v>
      </c>
      <c r="D46" s="44" t="s">
        <v>61</v>
      </c>
      <c r="E46" s="286" t="s">
        <v>68</v>
      </c>
      <c r="F46" s="36" t="s">
        <v>45</v>
      </c>
      <c r="G46" s="280" t="s">
        <v>48</v>
      </c>
      <c r="H46" s="280" t="s">
        <v>69</v>
      </c>
      <c r="I46" s="38"/>
    </row>
    <row r="47">
      <c r="B47" s="39">
        <v>45.0</v>
      </c>
      <c r="C47" s="332" t="s">
        <v>198</v>
      </c>
      <c r="D47" s="44" t="s">
        <v>61</v>
      </c>
      <c r="E47" s="333" t="s">
        <v>40</v>
      </c>
      <c r="F47" s="334" t="s">
        <v>45</v>
      </c>
      <c r="G47" s="335" t="s">
        <v>48</v>
      </c>
      <c r="H47" s="335" t="s">
        <v>50</v>
      </c>
      <c r="I47" s="336"/>
    </row>
    <row r="48">
      <c r="B48" s="39">
        <v>46.0</v>
      </c>
      <c r="C48" s="33" t="s">
        <v>99</v>
      </c>
      <c r="D48" s="44" t="s">
        <v>129</v>
      </c>
      <c r="E48" s="338" t="s">
        <v>81</v>
      </c>
      <c r="F48" s="334" t="s">
        <v>45</v>
      </c>
      <c r="G48" s="59" t="s">
        <v>48</v>
      </c>
      <c r="H48" s="59" t="s">
        <v>69</v>
      </c>
      <c r="I48" s="5"/>
    </row>
    <row r="49">
      <c r="B49" s="39">
        <v>47.0</v>
      </c>
      <c r="C49" s="54" t="s">
        <v>252</v>
      </c>
      <c r="D49" s="44" t="s">
        <v>129</v>
      </c>
      <c r="E49" s="338" t="s">
        <v>81</v>
      </c>
      <c r="F49" s="334" t="s">
        <v>45</v>
      </c>
      <c r="G49" s="59" t="s">
        <v>48</v>
      </c>
      <c r="H49" s="59" t="s">
        <v>69</v>
      </c>
      <c r="I49" s="5"/>
    </row>
    <row r="50">
      <c r="B50" s="39">
        <v>48.0</v>
      </c>
      <c r="C50" s="255" t="s">
        <v>227</v>
      </c>
      <c r="D50" s="44" t="s">
        <v>61</v>
      </c>
      <c r="E50" s="338" t="s">
        <v>40</v>
      </c>
      <c r="F50" s="334" t="s">
        <v>45</v>
      </c>
      <c r="G50" s="59" t="s">
        <v>48</v>
      </c>
      <c r="H50" s="59" t="s">
        <v>69</v>
      </c>
      <c r="I50" s="5"/>
    </row>
    <row r="51">
      <c r="B51" s="39">
        <v>49.0</v>
      </c>
      <c r="C51" s="255" t="s">
        <v>230</v>
      </c>
      <c r="D51" s="44" t="s">
        <v>129</v>
      </c>
      <c r="E51" s="338" t="s">
        <v>21</v>
      </c>
      <c r="F51" s="334" t="s">
        <v>45</v>
      </c>
      <c r="G51" s="59" t="s">
        <v>48</v>
      </c>
      <c r="H51" s="59" t="s">
        <v>69</v>
      </c>
      <c r="I51" s="5"/>
    </row>
    <row r="52">
      <c r="B52" s="39">
        <v>50.0</v>
      </c>
      <c r="C52" s="255" t="s">
        <v>235</v>
      </c>
      <c r="D52" s="44" t="s">
        <v>129</v>
      </c>
      <c r="E52" s="338" t="s">
        <v>21</v>
      </c>
      <c r="F52" s="334" t="s">
        <v>45</v>
      </c>
      <c r="G52" s="341" t="s">
        <v>48</v>
      </c>
      <c r="H52" s="341" t="s">
        <v>69</v>
      </c>
      <c r="I52" s="5"/>
    </row>
    <row r="53">
      <c r="B53" s="39">
        <v>51.0</v>
      </c>
      <c r="C53" s="73" t="s">
        <v>287</v>
      </c>
      <c r="D53" s="44" t="s">
        <v>61</v>
      </c>
      <c r="E53" s="338" t="s">
        <v>82</v>
      </c>
      <c r="F53" s="334" t="s">
        <v>45</v>
      </c>
      <c r="G53" s="341" t="s">
        <v>48</v>
      </c>
      <c r="H53" s="341" t="s">
        <v>69</v>
      </c>
      <c r="I53" s="5"/>
    </row>
    <row r="54">
      <c r="B54" s="39">
        <v>52.0</v>
      </c>
      <c r="C54" s="316" t="s">
        <v>289</v>
      </c>
      <c r="D54" s="44" t="s">
        <v>291</v>
      </c>
      <c r="E54" s="338"/>
      <c r="F54" s="334" t="s">
        <v>45</v>
      </c>
      <c r="G54" s="59" t="s">
        <v>130</v>
      </c>
      <c r="H54" s="59" t="s">
        <v>69</v>
      </c>
      <c r="I54" s="80"/>
    </row>
    <row r="55">
      <c r="B55" s="39">
        <v>53.0</v>
      </c>
      <c r="C55" s="316" t="s">
        <v>292</v>
      </c>
      <c r="D55" s="353" t="s">
        <v>291</v>
      </c>
      <c r="E55" s="354"/>
      <c r="F55" s="334" t="s">
        <v>45</v>
      </c>
      <c r="G55" s="356" t="s">
        <v>130</v>
      </c>
      <c r="H55" s="356" t="s">
        <v>69</v>
      </c>
      <c r="I55" s="79"/>
    </row>
  </sheetData>
  <dataValidations>
    <dataValidation type="list" allowBlank="1" sqref="H2:H55">
      <formula1>"Customizable,Uncustomizable"</formula1>
    </dataValidation>
    <dataValidation type="list" allowBlank="1" showErrorMessage="1" sqref="D3:D55">
      <formula1>"Template,Checklist,Reference"</formula1>
    </dataValidation>
    <dataValidation type="list" allowBlank="1" sqref="G2:G55">
      <formula1>"MUST have,Should have"</formula1>
    </dataValidation>
    <dataValidation type="list" allowBlank="1" sqref="E2:E55">
      <formula1>Master!$B$3:$B$58</formula1>
    </dataValidation>
  </dataValidations>
  <hyperlinks>
    <hyperlink display="Standard Project Folder Structure File" location="'Shared drives_FolderStructure &amp;'!A1" ref="C2"/>
    <hyperlink r:id="rId1" ref="C3"/>
    <hyperlink r:id="rId2" location="gid=1703931589" ref="C4"/>
    <hyperlink r:id="rId3" ref="C5"/>
    <hyperlink r:id="rId4" ref="C6"/>
    <hyperlink r:id="rId5" ref="C7"/>
    <hyperlink r:id="rId6" location="slide=id.g2ef224aea36_0_184" ref="C8"/>
    <hyperlink r:id="rId7" ref="C9"/>
    <hyperlink r:id="rId8" ref="C10"/>
    <hyperlink r:id="rId9" ref="C11"/>
    <hyperlink r:id="rId10" ref="C12"/>
    <hyperlink r:id="rId11" location="gid=219199286" ref="C13"/>
    <hyperlink r:id="rId12" location="gid=1768991485" ref="C14"/>
    <hyperlink r:id="rId13" ref="C15"/>
    <hyperlink r:id="rId14" ref="C16"/>
    <hyperlink r:id="rId15" ref="C17"/>
    <hyperlink r:id="rId16" ref="C18"/>
    <hyperlink r:id="rId17" ref="C19"/>
    <hyperlink r:id="rId18" ref="C20"/>
    <hyperlink r:id="rId19" ref="C21"/>
    <hyperlink r:id="rId20" ref="C22"/>
    <hyperlink r:id="rId21" ref="C23"/>
    <hyperlink r:id="rId22" ref="C24"/>
    <hyperlink r:id="rId23" ref="C25"/>
    <hyperlink r:id="rId24" location="gid=1635575579" ref="C26"/>
    <hyperlink r:id="rId25" location="gid=569950934" ref="C27"/>
    <hyperlink r:id="rId26" ref="C28"/>
    <hyperlink r:id="rId27" location="gid=1653526820" ref="C29"/>
    <hyperlink r:id="rId28" location="gid=1255747145" ref="C30"/>
    <hyperlink r:id="rId29" ref="C31"/>
    <hyperlink r:id="rId30" ref="C32"/>
    <hyperlink r:id="rId31" ref="C33"/>
    <hyperlink r:id="rId32" ref="C34"/>
    <hyperlink r:id="rId33" location="gid=1349872937" ref="C35"/>
    <hyperlink r:id="rId34" location="gid=2108151244" ref="C36"/>
    <hyperlink r:id="rId35" location="gid=49451162" ref="C37"/>
    <hyperlink r:id="rId36" location="gid=1768991485" ref="C38"/>
    <hyperlink r:id="rId37" location="gid=462638988" ref="C39"/>
    <hyperlink r:id="rId38" location="gid=2038376756" ref="C40"/>
    <hyperlink r:id="rId39" ref="F40"/>
    <hyperlink r:id="rId40" ref="C41"/>
    <hyperlink r:id="rId41" location="gid=230759614" ref="C42"/>
    <hyperlink r:id="rId42" ref="C43"/>
    <hyperlink r:id="rId43" ref="C44"/>
    <hyperlink r:id="rId44" ref="C45"/>
    <hyperlink r:id="rId45" location="gid=1685132237" ref="C46"/>
    <hyperlink r:id="rId46" location="gid=835816859" ref="C47"/>
    <hyperlink r:id="rId47" location="gid=1643308101" ref="C48"/>
    <hyperlink r:id="rId48" location="gid=1047047273" ref="C49"/>
    <hyperlink r:id="rId49" location="gid=262412966" ref="C50"/>
    <hyperlink r:id="rId50" location="gid=1955282419" ref="C51"/>
    <hyperlink r:id="rId51" location="gid=1127420381" ref="C52"/>
    <hyperlink r:id="rId52" location="gid=624193353" ref="C53"/>
    <hyperlink r:id="rId53" location="gid=1331696559" ref="C54"/>
    <hyperlink r:id="rId54" location="gid=501181062" ref="C55"/>
  </hyperlinks>
  <drawing r:id="rId5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35.75"/>
    <col customWidth="1" min="2" max="2" width="32.88"/>
    <col customWidth="1" min="3" max="3" width="28.88"/>
    <col customWidth="1" min="4" max="4" width="25.88"/>
    <col customWidth="1" min="5" max="5" width="31.63"/>
  </cols>
  <sheetData>
    <row r="1">
      <c r="A1" s="3" t="s">
        <v>1</v>
      </c>
      <c r="B1" s="3" t="s">
        <v>2</v>
      </c>
      <c r="C1" s="3" t="s">
        <v>4</v>
      </c>
      <c r="D1" s="3" t="s">
        <v>5</v>
      </c>
      <c r="E1" s="3" t="s">
        <v>6</v>
      </c>
    </row>
    <row r="2">
      <c r="A2" s="13"/>
      <c r="B2" s="4"/>
      <c r="C2" s="4"/>
      <c r="D2" s="4"/>
      <c r="E2" s="5"/>
    </row>
    <row r="3">
      <c r="B3" s="33" t="s">
        <v>23</v>
      </c>
      <c r="C3" s="33" t="s">
        <v>42</v>
      </c>
      <c r="D3" s="33" t="s">
        <v>52</v>
      </c>
      <c r="E3" s="33" t="s">
        <v>58</v>
      </c>
    </row>
    <row r="4">
      <c r="A4" s="49"/>
      <c r="B4" s="33" t="s">
        <v>71</v>
      </c>
      <c r="C4" s="54" t="s">
        <v>76</v>
      </c>
      <c r="D4" s="55"/>
      <c r="E4" s="33" t="s">
        <v>85</v>
      </c>
    </row>
    <row r="5">
      <c r="A5" s="49"/>
      <c r="B5" s="33" t="s">
        <v>90</v>
      </c>
      <c r="C5" s="33" t="s">
        <v>96</v>
      </c>
      <c r="D5" s="69"/>
    </row>
    <row r="6">
      <c r="A6" s="49"/>
      <c r="B6" s="54" t="s">
        <v>99</v>
      </c>
      <c r="C6" s="33"/>
      <c r="D6" s="69"/>
    </row>
    <row r="7">
      <c r="A7" s="13"/>
      <c r="B7" s="4"/>
      <c r="C7" s="4"/>
      <c r="D7" s="4"/>
      <c r="E7" s="5"/>
    </row>
    <row r="8">
      <c r="A8" s="43" t="s">
        <v>35</v>
      </c>
      <c r="B8" s="33" t="s">
        <v>105</v>
      </c>
      <c r="C8" s="33" t="s">
        <v>106</v>
      </c>
      <c r="D8" s="76"/>
      <c r="E8" s="77"/>
    </row>
    <row r="9">
      <c r="A9" s="24" t="s">
        <v>46</v>
      </c>
      <c r="B9" s="33" t="s">
        <v>113</v>
      </c>
      <c r="C9" s="33" t="s">
        <v>116</v>
      </c>
      <c r="D9" s="76"/>
      <c r="E9" s="77"/>
    </row>
    <row r="10">
      <c r="A10" s="43" t="s">
        <v>55</v>
      </c>
      <c r="B10" s="33" t="s">
        <v>118</v>
      </c>
      <c r="C10" s="111" t="s">
        <v>126</v>
      </c>
      <c r="D10" s="76"/>
      <c r="E10" s="77"/>
    </row>
    <row r="11">
      <c r="A11" s="33" t="s">
        <v>59</v>
      </c>
      <c r="B11" s="33" t="s">
        <v>120</v>
      </c>
      <c r="C11" s="33" t="s">
        <v>139</v>
      </c>
      <c r="D11" s="76"/>
      <c r="E11" s="77"/>
    </row>
    <row r="12">
      <c r="A12" s="33" t="s">
        <v>70</v>
      </c>
      <c r="B12" s="33" t="s">
        <v>122</v>
      </c>
      <c r="C12" s="33" t="s">
        <v>163</v>
      </c>
      <c r="D12" s="152"/>
      <c r="E12" s="154"/>
    </row>
    <row r="13">
      <c r="A13" s="54" t="s">
        <v>104</v>
      </c>
      <c r="B13" s="33" t="s">
        <v>170</v>
      </c>
      <c r="C13" s="54" t="s">
        <v>186</v>
      </c>
      <c r="D13" s="172"/>
      <c r="E13" s="173"/>
    </row>
    <row r="14">
      <c r="A14" s="54" t="s">
        <v>110</v>
      </c>
      <c r="B14" s="189" t="s">
        <v>193</v>
      </c>
      <c r="C14" s="195" t="s">
        <v>198</v>
      </c>
      <c r="D14" s="172"/>
      <c r="E14" s="173"/>
    </row>
    <row r="15">
      <c r="A15" s="33" t="s">
        <v>80</v>
      </c>
      <c r="B15" s="220" t="s">
        <v>208</v>
      </c>
      <c r="C15" s="223"/>
      <c r="D15" s="172"/>
      <c r="E15" s="173"/>
    </row>
    <row r="16">
      <c r="A16" s="33" t="s">
        <v>87</v>
      </c>
      <c r="B16" s="220" t="s">
        <v>217</v>
      </c>
      <c r="C16" s="238"/>
      <c r="D16" s="172"/>
      <c r="E16" s="173"/>
    </row>
    <row r="17">
      <c r="A17" s="33" t="s">
        <v>94</v>
      </c>
      <c r="B17" s="250" t="s">
        <v>221</v>
      </c>
      <c r="C17" s="238"/>
      <c r="D17" s="172"/>
      <c r="E17" s="173"/>
    </row>
    <row r="18">
      <c r="A18" s="33" t="s">
        <v>98</v>
      </c>
      <c r="B18" s="254" t="s">
        <v>227</v>
      </c>
      <c r="C18" s="238"/>
      <c r="D18" s="172"/>
      <c r="E18" s="173"/>
    </row>
    <row r="19">
      <c r="A19" s="33" t="s">
        <v>101</v>
      </c>
      <c r="B19" s="256"/>
      <c r="C19" s="238"/>
      <c r="D19" s="172"/>
      <c r="E19" s="173"/>
    </row>
    <row r="20">
      <c r="A20" s="33" t="s">
        <v>131</v>
      </c>
      <c r="B20" s="256"/>
      <c r="C20" s="238"/>
      <c r="D20" s="172"/>
      <c r="E20" s="173"/>
    </row>
    <row r="21">
      <c r="A21" s="33" t="s">
        <v>109</v>
      </c>
      <c r="B21" s="256"/>
      <c r="C21" s="238"/>
      <c r="D21" s="172"/>
      <c r="E21" s="173"/>
    </row>
    <row r="22">
      <c r="A22" s="33" t="s">
        <v>242</v>
      </c>
      <c r="B22" s="256"/>
      <c r="C22" s="238"/>
      <c r="D22" s="172"/>
      <c r="E22" s="173"/>
    </row>
    <row r="23">
      <c r="A23" s="33" t="s">
        <v>191</v>
      </c>
      <c r="B23" s="256"/>
      <c r="C23" s="238"/>
      <c r="D23" s="172"/>
      <c r="E23" s="173"/>
    </row>
    <row r="24">
      <c r="A24" s="33" t="s">
        <v>200</v>
      </c>
      <c r="B24" s="277"/>
      <c r="C24" s="277"/>
      <c r="D24" s="172"/>
      <c r="E24" s="173"/>
    </row>
    <row r="25">
      <c r="A25" s="54" t="s">
        <v>252</v>
      </c>
      <c r="B25" s="277"/>
      <c r="C25" s="277"/>
      <c r="D25" s="172"/>
      <c r="E25" s="173"/>
    </row>
    <row r="26">
      <c r="A26" s="254" t="s">
        <v>230</v>
      </c>
      <c r="B26" s="277"/>
      <c r="C26" s="277"/>
      <c r="D26" s="172"/>
      <c r="E26" s="173"/>
    </row>
    <row r="27">
      <c r="A27" s="254" t="s">
        <v>235</v>
      </c>
      <c r="B27" s="277"/>
      <c r="C27" s="277"/>
      <c r="D27" s="172"/>
      <c r="E27" s="173"/>
    </row>
    <row r="28">
      <c r="A28" s="13"/>
      <c r="B28" s="4"/>
      <c r="C28" s="4"/>
      <c r="D28" s="4"/>
      <c r="E28" s="5"/>
    </row>
    <row r="29">
      <c r="A29" s="304" t="s">
        <v>266</v>
      </c>
      <c r="B29" s="306"/>
      <c r="C29" s="306"/>
      <c r="D29" s="308"/>
      <c r="E29" s="308"/>
    </row>
    <row r="30">
      <c r="A30" s="77"/>
      <c r="B30" s="306"/>
      <c r="C30" s="310"/>
      <c r="D30" s="308"/>
      <c r="E30" s="308"/>
    </row>
    <row r="31">
      <c r="A31" s="77"/>
      <c r="B31" s="306"/>
      <c r="C31" s="306"/>
      <c r="D31" s="308"/>
      <c r="E31" s="308"/>
    </row>
    <row r="32">
      <c r="A32" s="77"/>
      <c r="B32" s="306"/>
      <c r="C32" s="306"/>
      <c r="D32" s="308"/>
      <c r="E32" s="308"/>
    </row>
    <row r="33">
      <c r="A33" s="256"/>
      <c r="B33" s="308"/>
      <c r="C33" s="256"/>
      <c r="D33" s="308"/>
      <c r="E33" s="308"/>
    </row>
    <row r="34">
      <c r="A34" s="312"/>
      <c r="B34" s="314"/>
      <c r="C34" s="315"/>
      <c r="D34" s="312"/>
      <c r="E34" s="312"/>
    </row>
    <row r="35">
      <c r="A35" s="312"/>
      <c r="B35" s="314"/>
      <c r="C35" s="315"/>
      <c r="D35" s="312"/>
      <c r="E35" s="312"/>
    </row>
    <row r="36">
      <c r="A36" s="312"/>
      <c r="B36" s="314"/>
      <c r="C36" s="315"/>
      <c r="D36" s="312"/>
      <c r="E36" s="312"/>
    </row>
    <row r="37">
      <c r="A37" s="312"/>
      <c r="B37" s="314"/>
      <c r="C37" s="315"/>
      <c r="D37" s="312"/>
      <c r="E37" s="312"/>
    </row>
    <row r="38">
      <c r="A38" s="312"/>
      <c r="B38" s="314"/>
      <c r="C38" s="315"/>
      <c r="D38" s="312"/>
      <c r="E38" s="312"/>
    </row>
    <row r="39">
      <c r="A39" s="312"/>
      <c r="B39" s="314"/>
      <c r="C39" s="315"/>
      <c r="D39" s="312"/>
      <c r="E39" s="312"/>
    </row>
    <row r="40">
      <c r="A40" s="312"/>
      <c r="B40" s="314"/>
      <c r="C40" s="315"/>
      <c r="D40" s="312"/>
      <c r="E40" s="312"/>
    </row>
    <row r="41">
      <c r="A41" s="312"/>
      <c r="B41" s="314"/>
      <c r="C41" s="315"/>
      <c r="D41" s="312"/>
      <c r="E41" s="312"/>
    </row>
    <row r="42">
      <c r="A42" s="312"/>
      <c r="B42" s="314"/>
      <c r="C42" s="315"/>
      <c r="D42" s="312"/>
      <c r="E42" s="312"/>
    </row>
  </sheetData>
  <mergeCells count="3">
    <mergeCell ref="A2:E2"/>
    <mergeCell ref="A7:E7"/>
    <mergeCell ref="A28:E28"/>
  </mergeCells>
  <hyperlinks>
    <hyperlink r:id="rId1" location="gid=1685132237" ref="B3"/>
    <hyperlink r:id="rId2" ref="C3"/>
    <hyperlink r:id="rId3" ref="D3"/>
    <hyperlink r:id="rId4" location="gid=1782568429" ref="E3"/>
    <hyperlink r:id="rId5" ref="B4"/>
    <hyperlink r:id="rId6" location="gid=49451162" ref="C4"/>
    <hyperlink r:id="rId7" location="gid=1635575579" ref="E4"/>
    <hyperlink r:id="rId8" location="gid=1255747145" ref="B5"/>
    <hyperlink r:id="rId9" location="gid=1768991485" ref="C5"/>
    <hyperlink r:id="rId10" location="gid=1643308101" ref="B6"/>
    <hyperlink r:id="rId11" ref="A8"/>
    <hyperlink r:id="rId12" ref="B8"/>
    <hyperlink r:id="rId13" ref="C8"/>
    <hyperlink r:id="rId14" location="gid=1703931589" ref="A9"/>
    <hyperlink r:id="rId15" location="gid=2038376756" ref="B9"/>
    <hyperlink r:id="rId16" ref="C9"/>
    <hyperlink r:id="rId17" ref="A10"/>
    <hyperlink r:id="rId18" ref="B10"/>
    <hyperlink r:id="rId19" location="gid=1653526820" ref="C10"/>
    <hyperlink r:id="rId20" ref="A11"/>
    <hyperlink r:id="rId21" ref="B11"/>
    <hyperlink r:id="rId22" ref="C11"/>
    <hyperlink r:id="rId23" ref="A12"/>
    <hyperlink r:id="rId24" ref="B12"/>
    <hyperlink r:id="rId25" ref="C12"/>
    <hyperlink r:id="rId26" location="slide=id.g2ef224aea36_0_184" ref="A13"/>
    <hyperlink r:id="rId27" ref="B13"/>
    <hyperlink r:id="rId28" location="gid=1349872937" ref="C13"/>
    <hyperlink r:id="rId29" ref="A14"/>
    <hyperlink r:id="rId30" location="gid=230759614" ref="B14"/>
    <hyperlink r:id="rId31" location="gid=835816859" ref="C14"/>
    <hyperlink r:id="rId32" ref="A15"/>
    <hyperlink r:id="rId33" ref="B15"/>
    <hyperlink r:id="rId34" ref="A16"/>
    <hyperlink r:id="rId35" ref="B16"/>
    <hyperlink r:id="rId36" ref="A17"/>
    <hyperlink r:id="rId37" ref="B17"/>
    <hyperlink r:id="rId38" location="gid=219199286" ref="A18"/>
    <hyperlink r:id="rId39" location="gid=262412966" ref="B18"/>
    <hyperlink r:id="rId40" location="gid=1768991485" ref="A19"/>
    <hyperlink r:id="rId41" ref="A20"/>
    <hyperlink r:id="rId42" ref="A21"/>
    <hyperlink r:id="rId43" ref="A22"/>
    <hyperlink r:id="rId44" location="gid=2108151244" ref="A23"/>
    <hyperlink r:id="rId45" location="gid=462638988" ref="A24"/>
    <hyperlink r:id="rId46" location="gid=1047047273" ref="A25"/>
    <hyperlink r:id="rId47" location="gid=1955282419" ref="A26"/>
    <hyperlink r:id="rId48" location="gid=1127420381" ref="A27"/>
    <hyperlink r:id="rId49" ref="A29"/>
  </hyperlinks>
  <drawing r:id="rId50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showGridLines="0" workbookViewId="0"/>
  </sheetViews>
  <sheetFormatPr customHeight="1" defaultColWidth="12.63" defaultRowHeight="15.75" outlineLevelRow="1"/>
  <cols>
    <col customWidth="1" min="1" max="1" width="2.5"/>
    <col customWidth="1" min="2" max="4" width="2.0"/>
    <col customWidth="1" min="5" max="5" width="3.0"/>
    <col customWidth="1" min="6" max="6" width="68.13"/>
    <col customWidth="1" min="7" max="7" width="9.88"/>
    <col customWidth="1" min="8" max="8" width="29.0"/>
    <col customWidth="1" min="9" max="9" width="18.5"/>
    <col customWidth="1" min="10" max="10" width="10.63"/>
    <col customWidth="1" min="11" max="11" width="18.88"/>
    <col customWidth="1" min="12" max="12" width="18.13"/>
    <col customWidth="1" min="13" max="13" width="22.25"/>
    <col customWidth="1" min="14" max="15" width="12.75"/>
    <col customWidth="1" min="16" max="16" width="16.0"/>
    <col customWidth="1" min="17" max="18" width="22.5"/>
    <col customWidth="1" min="19" max="19" width="25.25"/>
    <col customWidth="1" min="20" max="21" width="2.5"/>
    <col customWidth="1" min="22" max="22" width="47.63"/>
    <col customWidth="1" min="23" max="27" width="10.63"/>
    <col customWidth="1" min="28" max="28" width="2.5"/>
  </cols>
  <sheetData>
    <row r="1" ht="22.5" hidden="1" customHeight="1">
      <c r="A1" s="75"/>
      <c r="B1" s="78"/>
      <c r="C1" s="79"/>
      <c r="D1" s="79"/>
      <c r="E1" s="79"/>
      <c r="F1" s="80"/>
      <c r="G1" s="81"/>
      <c r="H1" s="82" t="s">
        <v>114</v>
      </c>
      <c r="I1" s="79"/>
      <c r="J1" s="79"/>
      <c r="K1" s="79"/>
      <c r="L1" s="80"/>
      <c r="M1" s="83"/>
      <c r="N1" s="83"/>
      <c r="O1" s="83"/>
      <c r="P1" s="84"/>
      <c r="Q1" s="80"/>
      <c r="T1" s="85"/>
      <c r="U1" s="85"/>
      <c r="V1" s="86"/>
      <c r="W1" s="87"/>
      <c r="X1" s="87"/>
      <c r="Y1" s="87"/>
      <c r="Z1" s="87"/>
      <c r="AA1" s="87"/>
      <c r="AB1" s="85"/>
    </row>
    <row r="2" ht="22.5" hidden="1" customHeight="1">
      <c r="A2" s="75"/>
      <c r="B2" s="88"/>
      <c r="F2" s="89"/>
      <c r="G2" s="81"/>
      <c r="H2" s="90"/>
      <c r="L2" s="89"/>
      <c r="M2" s="91"/>
      <c r="N2" s="91"/>
      <c r="O2" s="91"/>
      <c r="P2" s="92"/>
      <c r="Q2" s="89"/>
      <c r="T2" s="85"/>
      <c r="U2" s="85"/>
      <c r="V2" s="86"/>
      <c r="W2" s="87"/>
      <c r="X2" s="87"/>
      <c r="Y2" s="87"/>
      <c r="Z2" s="87"/>
      <c r="AA2" s="87"/>
      <c r="AB2" s="85"/>
    </row>
    <row r="3" ht="22.5" hidden="1" customHeight="1">
      <c r="A3" s="75"/>
      <c r="B3" s="93"/>
      <c r="C3" s="94"/>
      <c r="D3" s="94"/>
      <c r="E3" s="94"/>
      <c r="F3" s="95"/>
      <c r="G3" s="81"/>
      <c r="H3" s="96"/>
      <c r="I3" s="94"/>
      <c r="J3" s="94"/>
      <c r="K3" s="94"/>
      <c r="L3" s="95"/>
      <c r="M3" s="97"/>
      <c r="N3" s="97"/>
      <c r="O3" s="97"/>
      <c r="P3" s="98"/>
      <c r="Q3" s="95"/>
      <c r="T3" s="85"/>
      <c r="U3" s="85"/>
      <c r="V3" s="86"/>
      <c r="W3" s="87"/>
      <c r="X3" s="87"/>
      <c r="Y3" s="87"/>
      <c r="Z3" s="87"/>
      <c r="AA3" s="87"/>
      <c r="AB3" s="85"/>
    </row>
    <row r="4" ht="22.5" hidden="1" customHeight="1">
      <c r="A4" s="75"/>
      <c r="B4" s="99" t="s">
        <v>123</v>
      </c>
      <c r="C4" s="4"/>
      <c r="D4" s="4"/>
      <c r="E4" s="4"/>
      <c r="F4" s="4"/>
      <c r="G4" s="4"/>
      <c r="H4" s="4"/>
      <c r="I4" s="4"/>
      <c r="J4" s="4"/>
      <c r="K4" s="4"/>
      <c r="L4" s="5"/>
      <c r="M4" s="100"/>
      <c r="N4" s="100"/>
      <c r="O4" s="100"/>
      <c r="P4" s="101"/>
      <c r="Q4" s="95"/>
      <c r="T4" s="85"/>
      <c r="U4" s="85"/>
      <c r="V4" s="86"/>
      <c r="W4" s="87"/>
      <c r="X4" s="87"/>
      <c r="Y4" s="87"/>
      <c r="Z4" s="87"/>
      <c r="AA4" s="87"/>
      <c r="AB4" s="85"/>
    </row>
    <row r="5" hidden="1">
      <c r="A5" s="75"/>
      <c r="B5" s="102"/>
      <c r="C5" s="103"/>
      <c r="D5" s="103"/>
      <c r="E5" s="104"/>
      <c r="F5" s="105"/>
      <c r="G5" s="106"/>
      <c r="H5" s="106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85"/>
      <c r="U5" s="85"/>
      <c r="V5" s="86"/>
      <c r="W5" s="87"/>
      <c r="X5" s="87"/>
      <c r="Y5" s="87"/>
      <c r="Z5" s="87"/>
      <c r="AA5" s="87"/>
      <c r="AB5" s="85"/>
    </row>
    <row r="6" hidden="1">
      <c r="A6" s="112" t="s">
        <v>127</v>
      </c>
      <c r="B6" s="113"/>
      <c r="C6" s="113"/>
      <c r="D6" s="113"/>
      <c r="E6" s="113"/>
      <c r="F6" s="114"/>
      <c r="G6" s="115"/>
      <c r="H6" s="116" t="s">
        <v>133</v>
      </c>
      <c r="I6" s="117" t="s">
        <v>134</v>
      </c>
      <c r="J6" s="113"/>
      <c r="K6" s="113"/>
      <c r="L6" s="113"/>
      <c r="M6" s="113"/>
      <c r="N6" s="113"/>
      <c r="O6" s="113"/>
      <c r="P6" s="113"/>
      <c r="Q6" s="118"/>
      <c r="T6" s="85"/>
      <c r="U6" s="85"/>
      <c r="V6" s="120" t="s">
        <v>136</v>
      </c>
      <c r="W6" s="113"/>
      <c r="X6" s="113"/>
      <c r="Y6" s="113"/>
      <c r="Z6" s="113"/>
      <c r="AA6" s="118"/>
      <c r="AB6" s="85"/>
    </row>
    <row r="7">
      <c r="A7" s="121" t="s">
        <v>138</v>
      </c>
      <c r="B7" s="122"/>
      <c r="C7" s="122"/>
      <c r="D7" s="122"/>
      <c r="E7" s="122"/>
      <c r="F7" s="123"/>
      <c r="G7" s="124"/>
      <c r="H7" s="125"/>
      <c r="I7" s="126" t="s">
        <v>140</v>
      </c>
      <c r="J7" s="127" t="s">
        <v>142</v>
      </c>
      <c r="K7" s="127" t="s">
        <v>143</v>
      </c>
      <c r="L7" s="127" t="s">
        <v>144</v>
      </c>
      <c r="M7" s="128" t="s">
        <v>145</v>
      </c>
      <c r="N7" s="129" t="s">
        <v>146</v>
      </c>
      <c r="O7" s="129" t="s">
        <v>147</v>
      </c>
      <c r="P7" s="130" t="s">
        <v>148</v>
      </c>
      <c r="Q7" s="131" t="s">
        <v>150</v>
      </c>
      <c r="R7" s="132" t="s">
        <v>151</v>
      </c>
      <c r="S7" s="132" t="s">
        <v>152</v>
      </c>
      <c r="T7" s="103"/>
      <c r="U7" s="103"/>
      <c r="V7" s="133" t="s">
        <v>153</v>
      </c>
      <c r="W7" s="134" t="s">
        <v>154</v>
      </c>
      <c r="X7" s="134" t="s">
        <v>155</v>
      </c>
      <c r="Y7" s="134" t="s">
        <v>157</v>
      </c>
      <c r="Z7" s="134" t="s">
        <v>158</v>
      </c>
      <c r="AA7" s="136" t="s">
        <v>159</v>
      </c>
      <c r="AB7" s="103"/>
    </row>
    <row r="8">
      <c r="A8" s="137" t="s">
        <v>160</v>
      </c>
      <c r="B8" s="138"/>
      <c r="C8" s="138"/>
      <c r="D8" s="138"/>
      <c r="E8" s="138"/>
      <c r="F8" s="139"/>
      <c r="G8" s="140"/>
      <c r="H8" s="141"/>
      <c r="I8" s="142"/>
      <c r="J8" s="143" t="s">
        <v>164</v>
      </c>
      <c r="K8" s="144" t="s">
        <v>165</v>
      </c>
      <c r="L8" s="144" t="s">
        <v>166</v>
      </c>
      <c r="M8" s="93"/>
      <c r="N8" s="145"/>
      <c r="O8" s="145"/>
      <c r="P8" s="145"/>
      <c r="Q8" s="146" t="s">
        <v>167</v>
      </c>
      <c r="R8" s="147"/>
      <c r="S8" s="147"/>
      <c r="T8" s="103"/>
      <c r="U8" s="103"/>
      <c r="V8" s="148"/>
      <c r="W8" s="149"/>
      <c r="X8" s="149"/>
      <c r="Y8" s="149"/>
      <c r="Z8" s="149"/>
      <c r="AA8" s="150"/>
      <c r="AB8" s="103"/>
    </row>
    <row r="9">
      <c r="A9" s="151" t="s">
        <v>169</v>
      </c>
      <c r="F9" s="89"/>
      <c r="G9" s="153" t="s">
        <v>171</v>
      </c>
      <c r="H9" s="155"/>
      <c r="I9" s="156" t="s">
        <v>172</v>
      </c>
      <c r="J9" s="157" t="s">
        <v>173</v>
      </c>
      <c r="K9" s="157" t="s">
        <v>174</v>
      </c>
      <c r="L9" s="157" t="s">
        <v>175</v>
      </c>
      <c r="M9" s="159" t="s">
        <v>176</v>
      </c>
      <c r="N9" s="160" t="s">
        <v>179</v>
      </c>
      <c r="O9" s="160" t="s">
        <v>181</v>
      </c>
      <c r="P9" s="161" t="s">
        <v>182</v>
      </c>
      <c r="Q9" s="162" t="s">
        <v>183</v>
      </c>
      <c r="R9" s="163" t="s">
        <v>184</v>
      </c>
      <c r="S9" s="163" t="s">
        <v>185</v>
      </c>
      <c r="T9" s="103"/>
      <c r="U9" s="103"/>
      <c r="V9" s="148"/>
      <c r="W9" s="149"/>
      <c r="X9" s="149"/>
      <c r="Y9" s="149"/>
      <c r="Z9" s="149"/>
      <c r="AA9" s="150"/>
      <c r="AB9" s="103"/>
    </row>
    <row r="10">
      <c r="A10" s="164"/>
      <c r="F10" s="89"/>
      <c r="G10" s="153"/>
      <c r="H10" s="155"/>
      <c r="I10" s="165"/>
      <c r="J10" s="149"/>
      <c r="K10" s="149"/>
      <c r="L10" s="149"/>
      <c r="N10" s="166"/>
      <c r="O10" s="166"/>
      <c r="P10" s="166"/>
      <c r="Q10" s="168" t="s">
        <v>188</v>
      </c>
      <c r="R10" s="169"/>
      <c r="S10" s="169"/>
      <c r="T10" s="103"/>
      <c r="U10" s="103"/>
      <c r="V10" s="170"/>
      <c r="W10" s="142"/>
      <c r="X10" s="142"/>
      <c r="Y10" s="142"/>
      <c r="Z10" s="142"/>
      <c r="AA10" s="171"/>
      <c r="AB10" s="103"/>
    </row>
    <row r="11">
      <c r="A11" s="174" t="s">
        <v>189</v>
      </c>
      <c r="B11" s="175"/>
      <c r="C11" s="175"/>
      <c r="D11" s="175"/>
      <c r="E11" s="175"/>
      <c r="F11" s="175"/>
      <c r="G11" s="176"/>
      <c r="H11" s="177"/>
      <c r="I11" s="178"/>
      <c r="J11" s="179" t="s">
        <v>154</v>
      </c>
      <c r="K11" s="180" t="s">
        <v>155</v>
      </c>
      <c r="L11" s="182"/>
      <c r="M11" s="183"/>
      <c r="N11" s="184" t="s">
        <v>155</v>
      </c>
      <c r="O11" s="184" t="s">
        <v>154</v>
      </c>
      <c r="P11" s="185" t="s">
        <v>158</v>
      </c>
      <c r="Q11" s="186" t="s">
        <v>159</v>
      </c>
      <c r="R11" s="186" t="s">
        <v>159</v>
      </c>
      <c r="S11" s="186" t="s">
        <v>159</v>
      </c>
      <c r="T11" s="103"/>
      <c r="U11" s="103"/>
      <c r="V11" s="188" t="s">
        <v>196</v>
      </c>
      <c r="W11" s="190" t="s">
        <v>197</v>
      </c>
      <c r="X11" s="190" t="s">
        <v>197</v>
      </c>
      <c r="Y11" s="190" t="s">
        <v>197</v>
      </c>
      <c r="Z11" s="190" t="s">
        <v>197</v>
      </c>
      <c r="AA11" s="191" t="s">
        <v>197</v>
      </c>
      <c r="AB11" s="192"/>
    </row>
    <row r="12">
      <c r="A12" s="193"/>
      <c r="B12" s="196" t="s">
        <v>202</v>
      </c>
      <c r="C12" s="197"/>
      <c r="D12" s="197"/>
      <c r="E12" s="197"/>
      <c r="F12" s="198"/>
      <c r="G12" s="199"/>
      <c r="H12" s="199" t="s">
        <v>205</v>
      </c>
      <c r="I12" s="200" t="s">
        <v>155</v>
      </c>
      <c r="J12" s="201" t="s">
        <v>45</v>
      </c>
      <c r="K12" s="201" t="s">
        <v>45</v>
      </c>
      <c r="L12" s="202"/>
      <c r="M12" s="203"/>
      <c r="N12" s="204" t="s">
        <v>45</v>
      </c>
      <c r="O12" s="204"/>
      <c r="P12" s="204" t="s">
        <v>45</v>
      </c>
      <c r="Q12" s="205" t="s">
        <v>45</v>
      </c>
      <c r="R12" s="205" t="s">
        <v>45</v>
      </c>
      <c r="S12" s="205" t="s">
        <v>45</v>
      </c>
      <c r="T12" s="103"/>
      <c r="U12" s="103"/>
      <c r="V12" s="206" t="s">
        <v>207</v>
      </c>
      <c r="W12" s="207" t="s">
        <v>197</v>
      </c>
      <c r="X12" s="207" t="s">
        <v>197</v>
      </c>
      <c r="Y12" s="207" t="s">
        <v>197</v>
      </c>
      <c r="Z12" s="207" t="s">
        <v>197</v>
      </c>
      <c r="AA12" s="208"/>
      <c r="AB12" s="209"/>
    </row>
    <row r="13">
      <c r="A13" s="193"/>
      <c r="B13" s="210"/>
      <c r="C13" s="211" t="s">
        <v>209</v>
      </c>
      <c r="D13" s="212"/>
      <c r="E13" s="212"/>
      <c r="F13" s="213"/>
      <c r="G13" s="214"/>
      <c r="H13" s="214" t="s">
        <v>211</v>
      </c>
      <c r="I13" s="215" t="s">
        <v>45</v>
      </c>
      <c r="J13" s="216" t="s">
        <v>45</v>
      </c>
      <c r="K13" s="216" t="s">
        <v>45</v>
      </c>
      <c r="L13" s="217"/>
      <c r="M13" s="218"/>
      <c r="N13" s="219" t="s">
        <v>45</v>
      </c>
      <c r="O13" s="219"/>
      <c r="P13" s="221" t="s">
        <v>45</v>
      </c>
      <c r="Q13" s="222" t="s">
        <v>45</v>
      </c>
      <c r="R13" s="222" t="s">
        <v>45</v>
      </c>
      <c r="S13" s="222" t="s">
        <v>45</v>
      </c>
      <c r="T13" s="86"/>
      <c r="U13" s="86"/>
      <c r="V13" s="206" t="s">
        <v>212</v>
      </c>
      <c r="W13" s="207" t="s">
        <v>197</v>
      </c>
      <c r="X13" s="207" t="s">
        <v>197</v>
      </c>
      <c r="Y13" s="207" t="s">
        <v>197</v>
      </c>
      <c r="Z13" s="224"/>
      <c r="AA13" s="208"/>
      <c r="AB13" s="86"/>
    </row>
    <row r="14" collapsed="1">
      <c r="A14" s="193"/>
      <c r="B14" s="210"/>
      <c r="C14" s="225"/>
      <c r="D14" s="226" t="s">
        <v>215</v>
      </c>
      <c r="E14" s="212"/>
      <c r="F14" s="213"/>
      <c r="G14" s="227"/>
      <c r="H14" s="227"/>
      <c r="I14" s="228" t="s">
        <v>45</v>
      </c>
      <c r="J14" s="229" t="s">
        <v>45</v>
      </c>
      <c r="K14" s="230" t="s">
        <v>45</v>
      </c>
      <c r="L14" s="231"/>
      <c r="M14" s="232" t="s">
        <v>157</v>
      </c>
      <c r="N14" s="233" t="s">
        <v>45</v>
      </c>
      <c r="O14" s="233"/>
      <c r="P14" s="234" t="s">
        <v>45</v>
      </c>
      <c r="Q14" s="235" t="s">
        <v>45</v>
      </c>
      <c r="R14" s="235" t="s">
        <v>45</v>
      </c>
      <c r="S14" s="235" t="s">
        <v>45</v>
      </c>
      <c r="T14" s="86"/>
      <c r="U14" s="86"/>
      <c r="V14" s="206" t="s">
        <v>218</v>
      </c>
      <c r="W14" s="207" t="s">
        <v>197</v>
      </c>
      <c r="X14" s="207" t="s">
        <v>197</v>
      </c>
      <c r="Y14" s="207" t="s">
        <v>197</v>
      </c>
      <c r="Z14" s="224"/>
      <c r="AA14" s="208"/>
      <c r="AB14" s="86"/>
    </row>
    <row r="15" hidden="1" outlineLevel="1">
      <c r="A15" s="193"/>
      <c r="B15" s="210"/>
      <c r="C15" s="225"/>
      <c r="D15" s="236"/>
      <c r="E15" s="239" t="s">
        <v>35</v>
      </c>
      <c r="F15" s="213"/>
      <c r="G15" s="240"/>
      <c r="H15" s="241"/>
      <c r="I15" s="242" t="s">
        <v>45</v>
      </c>
      <c r="J15" s="243" t="s">
        <v>45</v>
      </c>
      <c r="K15" s="243" t="s">
        <v>45</v>
      </c>
      <c r="L15" s="245"/>
      <c r="M15" s="246" t="s">
        <v>45</v>
      </c>
      <c r="N15" s="247" t="s">
        <v>45</v>
      </c>
      <c r="O15" s="247"/>
      <c r="P15" s="248" t="s">
        <v>45</v>
      </c>
      <c r="Q15" s="249" t="s">
        <v>45</v>
      </c>
      <c r="R15" s="249" t="s">
        <v>45</v>
      </c>
      <c r="S15" s="249" t="s">
        <v>45</v>
      </c>
      <c r="T15" s="86"/>
      <c r="U15" s="86"/>
      <c r="V15" s="206" t="s">
        <v>223</v>
      </c>
      <c r="W15" s="207" t="s">
        <v>197</v>
      </c>
      <c r="X15" s="207" t="s">
        <v>197</v>
      </c>
      <c r="Y15" s="207" t="s">
        <v>197</v>
      </c>
      <c r="Z15" s="224"/>
      <c r="AA15" s="208"/>
      <c r="AB15" s="86"/>
    </row>
    <row r="16" hidden="1" outlineLevel="1">
      <c r="A16" s="193"/>
      <c r="B16" s="210"/>
      <c r="C16" s="225"/>
      <c r="D16" s="236"/>
      <c r="E16" s="252" t="s">
        <v>46</v>
      </c>
      <c r="F16" s="213"/>
      <c r="G16" s="240"/>
      <c r="H16" s="241"/>
      <c r="I16" s="242" t="s">
        <v>45</v>
      </c>
      <c r="J16" s="243" t="s">
        <v>45</v>
      </c>
      <c r="K16" s="243" t="s">
        <v>45</v>
      </c>
      <c r="L16" s="245"/>
      <c r="M16" s="246" t="s">
        <v>45</v>
      </c>
      <c r="N16" s="247" t="s">
        <v>45</v>
      </c>
      <c r="O16" s="247"/>
      <c r="P16" s="248" t="s">
        <v>45</v>
      </c>
      <c r="Q16" s="249" t="s">
        <v>45</v>
      </c>
      <c r="R16" s="249" t="s">
        <v>45</v>
      </c>
      <c r="S16" s="249" t="s">
        <v>45</v>
      </c>
      <c r="T16" s="86"/>
      <c r="U16" s="86"/>
      <c r="V16" s="206" t="s">
        <v>225</v>
      </c>
      <c r="W16" s="207" t="s">
        <v>197</v>
      </c>
      <c r="X16" s="207" t="s">
        <v>197</v>
      </c>
      <c r="Y16" s="207" t="s">
        <v>197</v>
      </c>
      <c r="Z16" s="224"/>
      <c r="AA16" s="208"/>
      <c r="AB16" s="86"/>
    </row>
    <row r="17" hidden="1" outlineLevel="1">
      <c r="A17" s="193"/>
      <c r="B17" s="210"/>
      <c r="C17" s="225"/>
      <c r="D17" s="236"/>
      <c r="E17" s="239" t="s">
        <v>55</v>
      </c>
      <c r="F17" s="213"/>
      <c r="G17" s="240"/>
      <c r="H17" s="241"/>
      <c r="I17" s="242" t="s">
        <v>45</v>
      </c>
      <c r="J17" s="243" t="s">
        <v>45</v>
      </c>
      <c r="K17" s="243" t="s">
        <v>45</v>
      </c>
      <c r="L17" s="245"/>
      <c r="M17" s="246" t="s">
        <v>45</v>
      </c>
      <c r="N17" s="247" t="s">
        <v>45</v>
      </c>
      <c r="O17" s="247"/>
      <c r="P17" s="248" t="s">
        <v>45</v>
      </c>
      <c r="Q17" s="249" t="s">
        <v>45</v>
      </c>
      <c r="R17" s="249" t="s">
        <v>45</v>
      </c>
      <c r="S17" s="249" t="s">
        <v>45</v>
      </c>
      <c r="T17" s="86"/>
      <c r="U17" s="86"/>
      <c r="V17" s="206" t="s">
        <v>229</v>
      </c>
      <c r="W17" s="207" t="s">
        <v>197</v>
      </c>
      <c r="X17" s="207" t="s">
        <v>197</v>
      </c>
      <c r="Y17" s="207" t="s">
        <v>197</v>
      </c>
      <c r="Z17" s="224"/>
      <c r="AA17" s="208"/>
      <c r="AB17" s="86"/>
    </row>
    <row r="18" hidden="1" outlineLevel="1">
      <c r="A18" s="193"/>
      <c r="B18" s="210"/>
      <c r="C18" s="236"/>
      <c r="D18" s="236"/>
      <c r="E18" s="255" t="s">
        <v>230</v>
      </c>
      <c r="F18" s="239" t="s">
        <v>230</v>
      </c>
      <c r="G18" s="213"/>
      <c r="H18" s="241"/>
      <c r="I18" s="242" t="s">
        <v>45</v>
      </c>
      <c r="J18" s="243" t="s">
        <v>45</v>
      </c>
      <c r="K18" s="243" t="s">
        <v>45</v>
      </c>
      <c r="L18" s="245"/>
      <c r="M18" s="246" t="s">
        <v>45</v>
      </c>
      <c r="N18" s="247" t="s">
        <v>45</v>
      </c>
      <c r="O18" s="247"/>
      <c r="P18" s="248" t="s">
        <v>45</v>
      </c>
      <c r="Q18" s="249" t="s">
        <v>45</v>
      </c>
      <c r="R18" s="249" t="s">
        <v>45</v>
      </c>
      <c r="S18" s="249" t="s">
        <v>45</v>
      </c>
      <c r="T18" s="86"/>
      <c r="U18" s="86"/>
      <c r="V18" s="206"/>
      <c r="W18" s="207"/>
      <c r="X18" s="207"/>
      <c r="Y18" s="207"/>
      <c r="Z18" s="224"/>
      <c r="AA18" s="208"/>
      <c r="AB18" s="86"/>
    </row>
    <row r="19" hidden="1" outlineLevel="1">
      <c r="A19" s="193"/>
      <c r="B19" s="210"/>
      <c r="C19" s="236"/>
      <c r="D19" s="236"/>
      <c r="E19" s="255" t="s">
        <v>235</v>
      </c>
      <c r="F19" s="239" t="s">
        <v>235</v>
      </c>
      <c r="G19" s="213"/>
      <c r="H19" s="241"/>
      <c r="I19" s="242" t="s">
        <v>45</v>
      </c>
      <c r="J19" s="243" t="s">
        <v>45</v>
      </c>
      <c r="K19" s="243" t="s">
        <v>45</v>
      </c>
      <c r="L19" s="245"/>
      <c r="M19" s="246" t="s">
        <v>45</v>
      </c>
      <c r="N19" s="247" t="s">
        <v>45</v>
      </c>
      <c r="O19" s="247"/>
      <c r="P19" s="248" t="s">
        <v>45</v>
      </c>
      <c r="Q19" s="249" t="s">
        <v>45</v>
      </c>
      <c r="R19" s="249" t="s">
        <v>45</v>
      </c>
      <c r="S19" s="249" t="s">
        <v>45</v>
      </c>
      <c r="T19" s="86"/>
      <c r="U19" s="86"/>
      <c r="V19" s="206"/>
      <c r="W19" s="207"/>
      <c r="X19" s="207"/>
      <c r="Y19" s="207"/>
      <c r="Z19" s="224"/>
      <c r="AA19" s="208"/>
      <c r="AB19" s="86"/>
    </row>
    <row r="20" collapsed="1">
      <c r="A20" s="193"/>
      <c r="B20" s="210"/>
      <c r="C20" s="211" t="s">
        <v>238</v>
      </c>
      <c r="D20" s="212"/>
      <c r="E20" s="212"/>
      <c r="F20" s="213"/>
      <c r="G20" s="214"/>
      <c r="H20" s="214" t="s">
        <v>239</v>
      </c>
      <c r="I20" s="215" t="s">
        <v>45</v>
      </c>
      <c r="J20" s="216" t="s">
        <v>45</v>
      </c>
      <c r="K20" s="258" t="s">
        <v>45</v>
      </c>
      <c r="L20" s="258" t="s">
        <v>159</v>
      </c>
      <c r="M20" s="260"/>
      <c r="N20" s="262" t="s">
        <v>45</v>
      </c>
      <c r="O20" s="262"/>
      <c r="P20" s="221" t="s">
        <v>45</v>
      </c>
      <c r="Q20" s="222" t="s">
        <v>45</v>
      </c>
      <c r="R20" s="222" t="s">
        <v>45</v>
      </c>
      <c r="S20" s="222" t="s">
        <v>45</v>
      </c>
      <c r="T20" s="86"/>
      <c r="U20" s="86"/>
      <c r="V20" s="206" t="s">
        <v>243</v>
      </c>
      <c r="W20" s="207" t="s">
        <v>197</v>
      </c>
      <c r="X20" s="207" t="s">
        <v>197</v>
      </c>
      <c r="Y20" s="224"/>
      <c r="Z20" s="224"/>
      <c r="AA20" s="208"/>
      <c r="AB20" s="86"/>
    </row>
    <row r="21" hidden="1" outlineLevel="1">
      <c r="A21" s="193"/>
      <c r="B21" s="263"/>
      <c r="C21" s="264"/>
      <c r="D21" s="264"/>
      <c r="E21" s="239" t="s">
        <v>170</v>
      </c>
      <c r="F21" s="213"/>
      <c r="G21" s="240"/>
      <c r="H21" s="273"/>
      <c r="I21" s="242" t="s">
        <v>45</v>
      </c>
      <c r="J21" s="243" t="s">
        <v>45</v>
      </c>
      <c r="K21" s="243" t="s">
        <v>45</v>
      </c>
      <c r="L21" s="243" t="s">
        <v>45</v>
      </c>
      <c r="M21" s="246"/>
      <c r="N21" s="248" t="s">
        <v>45</v>
      </c>
      <c r="O21" s="248"/>
      <c r="P21" s="248" t="s">
        <v>45</v>
      </c>
      <c r="Q21" s="249" t="s">
        <v>45</v>
      </c>
      <c r="R21" s="249" t="s">
        <v>45</v>
      </c>
      <c r="S21" s="249" t="s">
        <v>45</v>
      </c>
      <c r="T21" s="86"/>
      <c r="U21" s="86"/>
      <c r="V21" s="206" t="s">
        <v>247</v>
      </c>
      <c r="W21" s="207" t="s">
        <v>197</v>
      </c>
      <c r="X21" s="224"/>
      <c r="Y21" s="224"/>
      <c r="Z21" s="224"/>
      <c r="AA21" s="208"/>
      <c r="AB21" s="86"/>
    </row>
    <row r="22">
      <c r="A22" s="193"/>
      <c r="B22" s="210"/>
      <c r="C22" s="211" t="s">
        <v>248</v>
      </c>
      <c r="D22" s="212"/>
      <c r="E22" s="212"/>
      <c r="F22" s="213"/>
      <c r="G22" s="214"/>
      <c r="H22" s="214" t="s">
        <v>250</v>
      </c>
      <c r="I22" s="275" t="s">
        <v>45</v>
      </c>
      <c r="J22" s="216" t="s">
        <v>45</v>
      </c>
      <c r="K22" s="258" t="s">
        <v>45</v>
      </c>
      <c r="L22" s="279" t="s">
        <v>158</v>
      </c>
      <c r="M22" s="279" t="s">
        <v>158</v>
      </c>
      <c r="N22" s="281" t="s">
        <v>45</v>
      </c>
      <c r="O22" s="281"/>
      <c r="P22" s="221" t="s">
        <v>45</v>
      </c>
      <c r="Q22" s="222" t="s">
        <v>45</v>
      </c>
      <c r="R22" s="222" t="s">
        <v>45</v>
      </c>
      <c r="S22" s="222" t="s">
        <v>45</v>
      </c>
      <c r="T22" s="86"/>
      <c r="U22" s="86"/>
      <c r="V22" s="206" t="s">
        <v>253</v>
      </c>
      <c r="W22" s="207" t="s">
        <v>197</v>
      </c>
      <c r="X22" s="224"/>
      <c r="Y22" s="224"/>
      <c r="Z22" s="224"/>
      <c r="AA22" s="208"/>
      <c r="AB22" s="86"/>
    </row>
    <row r="23">
      <c r="A23" s="193"/>
      <c r="B23" s="210"/>
      <c r="C23" s="225"/>
      <c r="D23" s="282" t="s">
        <v>36</v>
      </c>
      <c r="E23" s="212"/>
      <c r="F23" s="213"/>
      <c r="G23" s="227"/>
      <c r="H23" s="227" t="s">
        <v>254</v>
      </c>
      <c r="I23" s="283" t="s">
        <v>45</v>
      </c>
      <c r="J23" s="229" t="s">
        <v>45</v>
      </c>
      <c r="K23" s="229" t="s">
        <v>45</v>
      </c>
      <c r="L23" s="229" t="s">
        <v>45</v>
      </c>
      <c r="M23" s="284" t="s">
        <v>45</v>
      </c>
      <c r="N23" s="234" t="s">
        <v>45</v>
      </c>
      <c r="O23" s="234"/>
      <c r="P23" s="234" t="s">
        <v>45</v>
      </c>
      <c r="Q23" s="235" t="s">
        <v>45</v>
      </c>
      <c r="R23" s="235" t="s">
        <v>45</v>
      </c>
      <c r="S23" s="235" t="s">
        <v>45</v>
      </c>
      <c r="T23" s="86"/>
      <c r="U23" s="86"/>
      <c r="V23" s="206" t="s">
        <v>256</v>
      </c>
      <c r="W23" s="207" t="s">
        <v>197</v>
      </c>
      <c r="X23" s="224"/>
      <c r="Y23" s="224"/>
      <c r="Z23" s="224"/>
      <c r="AA23" s="208"/>
      <c r="AB23" s="86"/>
    </row>
    <row r="24">
      <c r="A24" s="193"/>
      <c r="B24" s="210"/>
      <c r="C24" s="225"/>
      <c r="D24" s="282" t="s">
        <v>37</v>
      </c>
      <c r="E24" s="212"/>
      <c r="F24" s="213"/>
      <c r="G24" s="227"/>
      <c r="H24" s="227" t="s">
        <v>257</v>
      </c>
      <c r="I24" s="283" t="s">
        <v>45</v>
      </c>
      <c r="J24" s="229" t="s">
        <v>45</v>
      </c>
      <c r="K24" s="229" t="s">
        <v>45</v>
      </c>
      <c r="L24" s="229" t="s">
        <v>45</v>
      </c>
      <c r="M24" s="284" t="s">
        <v>45</v>
      </c>
      <c r="N24" s="234" t="s">
        <v>45</v>
      </c>
      <c r="O24" s="234"/>
      <c r="P24" s="234" t="s">
        <v>45</v>
      </c>
      <c r="Q24" s="235" t="s">
        <v>45</v>
      </c>
      <c r="R24" s="235" t="s">
        <v>45</v>
      </c>
      <c r="S24" s="235" t="s">
        <v>45</v>
      </c>
      <c r="T24" s="86"/>
      <c r="U24" s="86"/>
      <c r="V24" s="206" t="s">
        <v>259</v>
      </c>
      <c r="W24" s="207" t="s">
        <v>197</v>
      </c>
      <c r="X24" s="224"/>
      <c r="Y24" s="224"/>
      <c r="Z24" s="224"/>
      <c r="AA24" s="208"/>
      <c r="AB24" s="86"/>
    </row>
    <row r="25">
      <c r="A25" s="193"/>
      <c r="B25" s="287"/>
      <c r="C25" s="288" t="s">
        <v>260</v>
      </c>
      <c r="D25" s="138"/>
      <c r="E25" s="138"/>
      <c r="F25" s="139"/>
      <c r="G25" s="289"/>
      <c r="H25" s="289" t="s">
        <v>263</v>
      </c>
      <c r="I25" s="290" t="s">
        <v>45</v>
      </c>
      <c r="J25" s="291" t="s">
        <v>45</v>
      </c>
      <c r="K25" s="292" t="s">
        <v>45</v>
      </c>
      <c r="L25" s="292" t="s">
        <v>158</v>
      </c>
      <c r="M25" s="294"/>
      <c r="N25" s="295" t="s">
        <v>45</v>
      </c>
      <c r="O25" s="295"/>
      <c r="P25" s="296" t="s">
        <v>45</v>
      </c>
      <c r="Q25" s="297" t="s">
        <v>45</v>
      </c>
      <c r="R25" s="297" t="s">
        <v>45</v>
      </c>
      <c r="S25" s="297" t="s">
        <v>45</v>
      </c>
      <c r="T25" s="86"/>
      <c r="U25" s="86"/>
      <c r="V25" s="298" t="s">
        <v>265</v>
      </c>
      <c r="W25" s="299" t="s">
        <v>197</v>
      </c>
      <c r="X25" s="300"/>
      <c r="Y25" s="300"/>
      <c r="Z25" s="300"/>
      <c r="AA25" s="301"/>
      <c r="AB25" s="86"/>
    </row>
    <row r="26">
      <c r="A26" s="193"/>
      <c r="B26" s="196" t="s">
        <v>267</v>
      </c>
      <c r="C26" s="197"/>
      <c r="D26" s="197"/>
      <c r="E26" s="197"/>
      <c r="F26" s="198"/>
      <c r="G26" s="199"/>
      <c r="H26" s="199" t="s">
        <v>270</v>
      </c>
      <c r="I26" s="303"/>
      <c r="J26" s="202" t="s">
        <v>45</v>
      </c>
      <c r="K26" s="201" t="s">
        <v>45</v>
      </c>
      <c r="L26" s="305" t="s">
        <v>157</v>
      </c>
      <c r="M26" s="305" t="s">
        <v>157</v>
      </c>
      <c r="N26" s="307" t="s">
        <v>45</v>
      </c>
      <c r="O26" s="307"/>
      <c r="P26" s="204" t="s">
        <v>45</v>
      </c>
      <c r="Q26" s="309" t="s">
        <v>45</v>
      </c>
      <c r="R26" s="309" t="s">
        <v>45</v>
      </c>
      <c r="S26" s="309" t="s">
        <v>45</v>
      </c>
      <c r="T26" s="192"/>
      <c r="U26" s="192"/>
      <c r="AB26" s="192"/>
    </row>
    <row r="27">
      <c r="A27" s="193"/>
      <c r="B27" s="210"/>
      <c r="C27" s="211" t="s">
        <v>273</v>
      </c>
      <c r="D27" s="212"/>
      <c r="E27" s="212"/>
      <c r="F27" s="213"/>
      <c r="G27" s="214"/>
      <c r="H27" s="214" t="s">
        <v>274</v>
      </c>
      <c r="I27" s="311"/>
      <c r="J27" s="216" t="s">
        <v>45</v>
      </c>
      <c r="K27" s="216" t="s">
        <v>45</v>
      </c>
      <c r="L27" s="258" t="s">
        <v>45</v>
      </c>
      <c r="M27" s="313" t="s">
        <v>45</v>
      </c>
      <c r="N27" s="262" t="s">
        <v>45</v>
      </c>
      <c r="O27" s="262"/>
      <c r="P27" s="221" t="s">
        <v>45</v>
      </c>
      <c r="Q27" s="222" t="s">
        <v>45</v>
      </c>
      <c r="R27" s="222" t="s">
        <v>45</v>
      </c>
      <c r="S27" s="222" t="s">
        <v>45</v>
      </c>
      <c r="T27" s="86"/>
      <c r="U27" s="86"/>
      <c r="V27" s="86"/>
      <c r="W27" s="86"/>
      <c r="X27" s="86"/>
      <c r="Y27" s="86"/>
      <c r="Z27" s="86"/>
      <c r="AA27" s="86"/>
      <c r="AB27" s="86"/>
    </row>
    <row r="28">
      <c r="A28" s="193"/>
      <c r="B28" s="210"/>
      <c r="C28" s="225"/>
      <c r="D28" s="318" t="s">
        <v>180</v>
      </c>
      <c r="E28" s="212"/>
      <c r="F28" s="213"/>
      <c r="G28" s="319"/>
      <c r="H28" s="241"/>
      <c r="I28" s="320"/>
      <c r="J28" s="243" t="s">
        <v>45</v>
      </c>
      <c r="K28" s="243" t="s">
        <v>45</v>
      </c>
      <c r="L28" s="243" t="s">
        <v>45</v>
      </c>
      <c r="M28" s="321" t="s">
        <v>45</v>
      </c>
      <c r="N28" s="248" t="s">
        <v>45</v>
      </c>
      <c r="O28" s="248"/>
      <c r="P28" s="248" t="s">
        <v>45</v>
      </c>
      <c r="Q28" s="249" t="s">
        <v>45</v>
      </c>
      <c r="R28" s="249" t="s">
        <v>45</v>
      </c>
      <c r="S28" s="249" t="s">
        <v>45</v>
      </c>
      <c r="T28" s="86"/>
      <c r="U28" s="86"/>
      <c r="V28" s="153" t="s">
        <v>276</v>
      </c>
      <c r="W28" s="86"/>
      <c r="X28" s="86"/>
      <c r="Y28" s="86"/>
      <c r="Z28" s="86"/>
      <c r="AA28" s="86"/>
      <c r="AB28" s="86"/>
    </row>
    <row r="29">
      <c r="A29" s="193"/>
      <c r="B29" s="210"/>
      <c r="C29" s="225"/>
      <c r="D29" s="318" t="s">
        <v>252</v>
      </c>
      <c r="E29" s="212"/>
      <c r="F29" s="213"/>
      <c r="G29" s="319"/>
      <c r="H29" s="241"/>
      <c r="I29" s="320"/>
      <c r="J29" s="243"/>
      <c r="K29" s="243"/>
      <c r="L29" s="243"/>
      <c r="M29" s="321"/>
      <c r="N29" s="248"/>
      <c r="O29" s="248"/>
      <c r="P29" s="248"/>
      <c r="Q29" s="249"/>
      <c r="R29" s="249"/>
      <c r="S29" s="249"/>
      <c r="T29" s="86"/>
      <c r="U29" s="86"/>
      <c r="V29" s="153"/>
      <c r="W29" s="86"/>
      <c r="X29" s="86"/>
      <c r="Y29" s="86"/>
      <c r="Z29" s="86"/>
      <c r="AA29" s="86"/>
      <c r="AB29" s="86"/>
    </row>
    <row r="30" collapsed="1">
      <c r="A30" s="193"/>
      <c r="B30" s="210"/>
      <c r="C30" s="225"/>
      <c r="D30" s="282" t="s">
        <v>41</v>
      </c>
      <c r="E30" s="212"/>
      <c r="F30" s="213"/>
      <c r="G30" s="227"/>
      <c r="H30" s="227" t="s">
        <v>278</v>
      </c>
      <c r="I30" s="325"/>
      <c r="J30" s="229" t="s">
        <v>45</v>
      </c>
      <c r="K30" s="229" t="s">
        <v>45</v>
      </c>
      <c r="L30" s="229" t="s">
        <v>45</v>
      </c>
      <c r="M30" s="328" t="s">
        <v>45</v>
      </c>
      <c r="N30" s="234" t="s">
        <v>45</v>
      </c>
      <c r="O30" s="234"/>
      <c r="P30" s="234" t="s">
        <v>45</v>
      </c>
      <c r="Q30" s="235" t="s">
        <v>45</v>
      </c>
      <c r="R30" s="235" t="s">
        <v>45</v>
      </c>
      <c r="S30" s="235" t="s">
        <v>45</v>
      </c>
      <c r="T30" s="86"/>
      <c r="U30" s="86"/>
      <c r="V30" s="331" t="s">
        <v>279</v>
      </c>
      <c r="W30" s="86"/>
      <c r="X30" s="86"/>
      <c r="Y30" s="86"/>
      <c r="Z30" s="86"/>
      <c r="AA30" s="86"/>
      <c r="AB30" s="86"/>
    </row>
    <row r="31" hidden="1" outlineLevel="1">
      <c r="A31" s="193"/>
      <c r="B31" s="210"/>
      <c r="C31" s="225"/>
      <c r="D31" s="236"/>
      <c r="E31" s="239" t="s">
        <v>59</v>
      </c>
      <c r="F31" s="213"/>
      <c r="G31" s="240"/>
      <c r="H31" s="337" t="str">
        <f>HYPERLINK("https://goo.gl/YWyn2v","(with Guide)")</f>
        <v>(with Guide)</v>
      </c>
      <c r="I31" s="320"/>
      <c r="J31" s="243" t="s">
        <v>45</v>
      </c>
      <c r="K31" s="243" t="s">
        <v>45</v>
      </c>
      <c r="L31" s="243" t="s">
        <v>45</v>
      </c>
      <c r="M31" s="321" t="s">
        <v>45</v>
      </c>
      <c r="N31" s="248" t="s">
        <v>45</v>
      </c>
      <c r="O31" s="248"/>
      <c r="P31" s="248" t="s">
        <v>45</v>
      </c>
      <c r="Q31" s="249" t="s">
        <v>45</v>
      </c>
      <c r="R31" s="249" t="s">
        <v>45</v>
      </c>
      <c r="S31" s="249" t="s">
        <v>45</v>
      </c>
      <c r="T31" s="86"/>
      <c r="U31" s="86"/>
      <c r="V31" s="331" t="s">
        <v>280</v>
      </c>
      <c r="W31" s="86"/>
      <c r="X31" s="86"/>
      <c r="Y31" s="86"/>
      <c r="Z31" s="86"/>
      <c r="AA31" s="86"/>
      <c r="AB31" s="86"/>
    </row>
    <row r="32" hidden="1" outlineLevel="1">
      <c r="A32" s="193"/>
      <c r="B32" s="210"/>
      <c r="C32" s="225"/>
      <c r="D32" s="236"/>
      <c r="E32" s="239" t="s">
        <v>70</v>
      </c>
      <c r="F32" s="213"/>
      <c r="G32" s="240"/>
      <c r="H32" s="339"/>
      <c r="I32" s="320"/>
      <c r="J32" s="243" t="s">
        <v>45</v>
      </c>
      <c r="K32" s="243" t="s">
        <v>45</v>
      </c>
      <c r="L32" s="243" t="s">
        <v>45</v>
      </c>
      <c r="M32" s="321" t="s">
        <v>45</v>
      </c>
      <c r="N32" s="248" t="s">
        <v>45</v>
      </c>
      <c r="O32" s="248"/>
      <c r="P32" s="248" t="s">
        <v>45</v>
      </c>
      <c r="Q32" s="249" t="s">
        <v>45</v>
      </c>
      <c r="R32" s="249" t="s">
        <v>45</v>
      </c>
      <c r="S32" s="249" t="s">
        <v>45</v>
      </c>
      <c r="T32" s="86"/>
      <c r="U32" s="86"/>
      <c r="V32" s="331" t="s">
        <v>281</v>
      </c>
      <c r="W32" s="86"/>
      <c r="X32" s="86"/>
      <c r="Y32" s="86"/>
      <c r="Z32" s="86"/>
      <c r="AA32" s="86"/>
      <c r="AB32" s="86"/>
    </row>
    <row r="33" hidden="1" outlineLevel="1">
      <c r="A33" s="193"/>
      <c r="B33" s="210"/>
      <c r="C33" s="225"/>
      <c r="D33" s="236"/>
      <c r="E33" s="239" t="s">
        <v>200</v>
      </c>
      <c r="F33" s="213"/>
      <c r="G33" s="240"/>
      <c r="H33" s="339"/>
      <c r="I33" s="320"/>
      <c r="J33" s="243" t="s">
        <v>45</v>
      </c>
      <c r="K33" s="243" t="s">
        <v>45</v>
      </c>
      <c r="L33" s="243" t="s">
        <v>45</v>
      </c>
      <c r="M33" s="321" t="s">
        <v>45</v>
      </c>
      <c r="N33" s="248" t="s">
        <v>45</v>
      </c>
      <c r="O33" s="248"/>
      <c r="P33" s="248" t="s">
        <v>45</v>
      </c>
      <c r="Q33" s="249" t="s">
        <v>45</v>
      </c>
      <c r="R33" s="249" t="s">
        <v>45</v>
      </c>
      <c r="S33" s="249" t="s">
        <v>45</v>
      </c>
      <c r="T33" s="86"/>
      <c r="U33" s="86"/>
      <c r="V33" s="331" t="s">
        <v>282</v>
      </c>
      <c r="W33" s="86"/>
      <c r="X33" s="86"/>
      <c r="Y33" s="86"/>
      <c r="Z33" s="86"/>
      <c r="AA33" s="86"/>
      <c r="AB33" s="86"/>
    </row>
    <row r="34" collapsed="1">
      <c r="A34" s="193"/>
      <c r="B34" s="210"/>
      <c r="C34" s="225"/>
      <c r="D34" s="282" t="s">
        <v>283</v>
      </c>
      <c r="E34" s="212"/>
      <c r="F34" s="213"/>
      <c r="G34" s="227"/>
      <c r="H34" s="340" t="s">
        <v>284</v>
      </c>
      <c r="I34" s="325"/>
      <c r="J34" s="229" t="s">
        <v>45</v>
      </c>
      <c r="K34" s="229" t="s">
        <v>45</v>
      </c>
      <c r="L34" s="229" t="s">
        <v>45</v>
      </c>
      <c r="M34" s="328" t="s">
        <v>45</v>
      </c>
      <c r="N34" s="234" t="s">
        <v>45</v>
      </c>
      <c r="O34" s="234"/>
      <c r="P34" s="234" t="s">
        <v>45</v>
      </c>
      <c r="Q34" s="235" t="s">
        <v>45</v>
      </c>
      <c r="R34" s="235" t="s">
        <v>45</v>
      </c>
      <c r="S34" s="235" t="s">
        <v>45</v>
      </c>
      <c r="T34" s="86"/>
      <c r="U34" s="86"/>
      <c r="V34" s="331" t="s">
        <v>285</v>
      </c>
      <c r="W34" s="86"/>
      <c r="X34" s="86"/>
      <c r="Y34" s="86"/>
      <c r="Z34" s="86"/>
      <c r="AA34" s="86"/>
      <c r="AB34" s="86"/>
    </row>
    <row r="35" hidden="1" outlineLevel="1">
      <c r="A35" s="193"/>
      <c r="B35" s="210"/>
      <c r="C35" s="225"/>
      <c r="D35" s="236"/>
      <c r="E35" s="252" t="s">
        <v>104</v>
      </c>
      <c r="F35" s="213"/>
      <c r="G35" s="240"/>
      <c r="H35" s="339"/>
      <c r="I35" s="320"/>
      <c r="J35" s="243" t="s">
        <v>45</v>
      </c>
      <c r="K35" s="243" t="s">
        <v>45</v>
      </c>
      <c r="L35" s="243" t="s">
        <v>45</v>
      </c>
      <c r="M35" s="321" t="s">
        <v>45</v>
      </c>
      <c r="N35" s="248" t="s">
        <v>45</v>
      </c>
      <c r="O35" s="248"/>
      <c r="P35" s="248" t="s">
        <v>45</v>
      </c>
      <c r="Q35" s="249" t="s">
        <v>45</v>
      </c>
      <c r="R35" s="249" t="s">
        <v>45</v>
      </c>
      <c r="S35" s="249" t="s">
        <v>45</v>
      </c>
      <c r="T35" s="86"/>
      <c r="U35" s="86"/>
      <c r="W35" s="86"/>
      <c r="X35" s="86"/>
      <c r="Y35" s="86"/>
      <c r="Z35" s="86"/>
      <c r="AA35" s="86"/>
      <c r="AB35" s="86"/>
    </row>
    <row r="36" hidden="1" outlineLevel="1">
      <c r="A36" s="193"/>
      <c r="B36" s="210"/>
      <c r="C36" s="225"/>
      <c r="D36" s="236"/>
      <c r="E36" s="252" t="s">
        <v>110</v>
      </c>
      <c r="F36" s="213"/>
      <c r="G36" s="240"/>
      <c r="H36" s="342"/>
      <c r="I36" s="320"/>
      <c r="J36" s="243"/>
      <c r="K36" s="243"/>
      <c r="L36" s="243"/>
      <c r="M36" s="321"/>
      <c r="N36" s="248"/>
      <c r="O36" s="248"/>
      <c r="P36" s="248"/>
      <c r="Q36" s="249"/>
      <c r="R36" s="249"/>
      <c r="S36" s="249"/>
      <c r="T36" s="86"/>
      <c r="U36" s="86"/>
      <c r="W36" s="86"/>
      <c r="X36" s="86"/>
      <c r="Y36" s="86"/>
      <c r="Z36" s="86"/>
      <c r="AA36" s="86"/>
      <c r="AB36" s="86"/>
    </row>
    <row r="37" hidden="1" outlineLevel="1">
      <c r="A37" s="193"/>
      <c r="B37" s="210"/>
      <c r="C37" s="225"/>
      <c r="D37" s="225"/>
      <c r="E37" s="239" t="s">
        <v>80</v>
      </c>
      <c r="F37" s="213"/>
      <c r="G37" s="240"/>
      <c r="H37" s="342"/>
      <c r="I37" s="320"/>
      <c r="J37" s="243" t="s">
        <v>45</v>
      </c>
      <c r="K37" s="243" t="s">
        <v>45</v>
      </c>
      <c r="L37" s="243" t="s">
        <v>45</v>
      </c>
      <c r="M37" s="321" t="s">
        <v>45</v>
      </c>
      <c r="N37" s="248" t="s">
        <v>45</v>
      </c>
      <c r="O37" s="248"/>
      <c r="P37" s="248" t="s">
        <v>45</v>
      </c>
      <c r="Q37" s="249" t="s">
        <v>45</v>
      </c>
      <c r="R37" s="249" t="s">
        <v>45</v>
      </c>
      <c r="S37" s="249" t="s">
        <v>45</v>
      </c>
      <c r="T37" s="86"/>
      <c r="U37" s="86"/>
      <c r="W37" s="86"/>
      <c r="X37" s="86"/>
      <c r="Y37" s="86"/>
      <c r="Z37" s="86"/>
      <c r="AA37" s="86"/>
      <c r="AB37" s="86"/>
    </row>
    <row r="38" hidden="1" outlineLevel="1">
      <c r="A38" s="193"/>
      <c r="B38" s="210"/>
      <c r="C38" s="225"/>
      <c r="D38" s="225"/>
      <c r="E38" s="239" t="s">
        <v>87</v>
      </c>
      <c r="F38" s="213"/>
      <c r="G38" s="240"/>
      <c r="H38" s="342"/>
      <c r="I38" s="320"/>
      <c r="J38" s="243" t="s">
        <v>45</v>
      </c>
      <c r="K38" s="243" t="s">
        <v>45</v>
      </c>
      <c r="L38" s="243" t="s">
        <v>45</v>
      </c>
      <c r="M38" s="321" t="s">
        <v>45</v>
      </c>
      <c r="N38" s="248" t="s">
        <v>45</v>
      </c>
      <c r="O38" s="248"/>
      <c r="P38" s="248" t="s">
        <v>45</v>
      </c>
      <c r="Q38" s="249" t="s">
        <v>45</v>
      </c>
      <c r="R38" s="249" t="s">
        <v>45</v>
      </c>
      <c r="S38" s="249" t="s">
        <v>45</v>
      </c>
      <c r="T38" s="86"/>
      <c r="U38" s="86"/>
      <c r="W38" s="86"/>
      <c r="X38" s="86"/>
      <c r="Y38" s="86"/>
      <c r="Z38" s="86"/>
      <c r="AA38" s="86"/>
      <c r="AB38" s="86"/>
    </row>
    <row r="39" collapsed="1">
      <c r="A39" s="193"/>
      <c r="B39" s="210"/>
      <c r="C39" s="225"/>
      <c r="D39" s="282" t="s">
        <v>294</v>
      </c>
      <c r="E39" s="212"/>
      <c r="F39" s="213"/>
      <c r="G39" s="227"/>
      <c r="H39" s="227" t="s">
        <v>295</v>
      </c>
      <c r="I39" s="325"/>
      <c r="J39" s="229" t="s">
        <v>45</v>
      </c>
      <c r="K39" s="229" t="s">
        <v>45</v>
      </c>
      <c r="L39" s="229" t="s">
        <v>45</v>
      </c>
      <c r="M39" s="328" t="s">
        <v>45</v>
      </c>
      <c r="N39" s="234" t="s">
        <v>45</v>
      </c>
      <c r="O39" s="234"/>
      <c r="P39" s="234" t="s">
        <v>45</v>
      </c>
      <c r="Q39" s="235" t="s">
        <v>45</v>
      </c>
      <c r="R39" s="235" t="s">
        <v>45</v>
      </c>
      <c r="S39" s="235" t="s">
        <v>45</v>
      </c>
      <c r="T39" s="86"/>
      <c r="U39" s="86"/>
      <c r="V39" s="331" t="s">
        <v>296</v>
      </c>
      <c r="W39" s="86"/>
      <c r="X39" s="86"/>
      <c r="Y39" s="86"/>
      <c r="Z39" s="86"/>
      <c r="AA39" s="86"/>
      <c r="AB39" s="86"/>
    </row>
    <row r="40" hidden="1" outlineLevel="1">
      <c r="A40" s="193"/>
      <c r="B40" s="210"/>
      <c r="C40" s="225"/>
      <c r="D40" s="225"/>
      <c r="E40" s="252" t="s">
        <v>94</v>
      </c>
      <c r="F40" s="213"/>
      <c r="G40" s="240"/>
      <c r="H40" s="337" t="str">
        <f>HYPERLINK("https://goo.gl/5StrKX","(with Guide)")</f>
        <v>(with Guide)</v>
      </c>
      <c r="I40" s="320"/>
      <c r="J40" s="243" t="s">
        <v>45</v>
      </c>
      <c r="K40" s="243" t="s">
        <v>45</v>
      </c>
      <c r="L40" s="243" t="s">
        <v>45</v>
      </c>
      <c r="M40" s="321" t="s">
        <v>45</v>
      </c>
      <c r="N40" s="248" t="s">
        <v>45</v>
      </c>
      <c r="O40" s="248"/>
      <c r="P40" s="248" t="s">
        <v>45</v>
      </c>
      <c r="Q40" s="249" t="s">
        <v>45</v>
      </c>
      <c r="R40" s="249" t="s">
        <v>45</v>
      </c>
      <c r="S40" s="249" t="s">
        <v>45</v>
      </c>
      <c r="T40" s="86"/>
      <c r="U40" s="86"/>
      <c r="V40" s="331" t="s">
        <v>302</v>
      </c>
      <c r="W40" s="86"/>
      <c r="X40" s="86"/>
      <c r="Y40" s="86"/>
      <c r="Z40" s="86"/>
      <c r="AA40" s="86"/>
      <c r="AB40" s="86"/>
    </row>
    <row r="41" collapsed="1">
      <c r="A41" s="193"/>
      <c r="B41" s="210"/>
      <c r="C41" s="225"/>
      <c r="D41" s="282" t="s">
        <v>60</v>
      </c>
      <c r="E41" s="212"/>
      <c r="F41" s="213"/>
      <c r="G41" s="227"/>
      <c r="H41" s="227" t="s">
        <v>308</v>
      </c>
      <c r="I41" s="325"/>
      <c r="J41" s="229" t="s">
        <v>45</v>
      </c>
      <c r="K41" s="229" t="s">
        <v>45</v>
      </c>
      <c r="L41" s="229" t="s">
        <v>45</v>
      </c>
      <c r="M41" s="328" t="s">
        <v>45</v>
      </c>
      <c r="N41" s="234" t="s">
        <v>45</v>
      </c>
      <c r="O41" s="234"/>
      <c r="P41" s="234" t="s">
        <v>45</v>
      </c>
      <c r="Q41" s="235" t="s">
        <v>45</v>
      </c>
      <c r="R41" s="235" t="s">
        <v>45</v>
      </c>
      <c r="S41" s="235" t="s">
        <v>45</v>
      </c>
      <c r="T41" s="86"/>
      <c r="U41" s="86"/>
      <c r="V41" s="331" t="s">
        <v>309</v>
      </c>
      <c r="W41" s="86"/>
      <c r="X41" s="86"/>
      <c r="Y41" s="86"/>
      <c r="Z41" s="86"/>
      <c r="AA41" s="86"/>
      <c r="AB41" s="86"/>
    </row>
    <row r="42" hidden="1" outlineLevel="1">
      <c r="A42" s="193"/>
      <c r="B42" s="210"/>
      <c r="C42" s="225"/>
      <c r="D42" s="236"/>
      <c r="E42" s="239" t="s">
        <v>98</v>
      </c>
      <c r="F42" s="213"/>
      <c r="G42" s="240"/>
      <c r="H42" s="241"/>
      <c r="I42" s="320"/>
      <c r="J42" s="243" t="s">
        <v>45</v>
      </c>
      <c r="K42" s="243" t="s">
        <v>45</v>
      </c>
      <c r="L42" s="243" t="s">
        <v>45</v>
      </c>
      <c r="M42" s="321" t="s">
        <v>45</v>
      </c>
      <c r="N42" s="248" t="s">
        <v>45</v>
      </c>
      <c r="O42" s="248"/>
      <c r="P42" s="248" t="s">
        <v>45</v>
      </c>
      <c r="Q42" s="249" t="s">
        <v>45</v>
      </c>
      <c r="R42" s="249" t="s">
        <v>45</v>
      </c>
      <c r="S42" s="249" t="s">
        <v>45</v>
      </c>
      <c r="T42" s="86"/>
      <c r="U42" s="86"/>
      <c r="V42" s="153" t="s">
        <v>312</v>
      </c>
      <c r="W42" s="86"/>
      <c r="X42" s="86"/>
      <c r="Y42" s="86"/>
      <c r="Z42" s="86"/>
      <c r="AA42" s="86"/>
      <c r="AB42" s="86"/>
    </row>
    <row r="43" hidden="1" outlineLevel="1">
      <c r="A43" s="193"/>
      <c r="B43" s="210"/>
      <c r="C43" s="225"/>
      <c r="D43" s="236"/>
      <c r="E43" s="239" t="s">
        <v>101</v>
      </c>
      <c r="F43" s="213"/>
      <c r="G43" s="240"/>
      <c r="H43" s="241"/>
      <c r="I43" s="320"/>
      <c r="J43" s="243" t="s">
        <v>45</v>
      </c>
      <c r="K43" s="243" t="s">
        <v>45</v>
      </c>
      <c r="L43" s="243" t="s">
        <v>45</v>
      </c>
      <c r="M43" s="321" t="s">
        <v>45</v>
      </c>
      <c r="N43" s="248" t="s">
        <v>45</v>
      </c>
      <c r="O43" s="248"/>
      <c r="P43" s="248" t="s">
        <v>45</v>
      </c>
      <c r="Q43" s="249" t="s">
        <v>45</v>
      </c>
      <c r="R43" s="249" t="s">
        <v>45</v>
      </c>
      <c r="S43" s="249" t="s">
        <v>45</v>
      </c>
      <c r="T43" s="86"/>
      <c r="U43" s="86"/>
      <c r="V43" s="331" t="s">
        <v>314</v>
      </c>
      <c r="W43" s="86"/>
      <c r="X43" s="86"/>
      <c r="Y43" s="86"/>
      <c r="Z43" s="86"/>
      <c r="AA43" s="86"/>
      <c r="AB43" s="86"/>
    </row>
    <row r="44" collapsed="1">
      <c r="A44" s="193"/>
      <c r="B44" s="210"/>
      <c r="C44" s="225"/>
      <c r="D44" s="282" t="s">
        <v>62</v>
      </c>
      <c r="E44" s="212"/>
      <c r="F44" s="213"/>
      <c r="G44" s="227"/>
      <c r="H44" s="227" t="s">
        <v>316</v>
      </c>
      <c r="I44" s="325"/>
      <c r="J44" s="229" t="s">
        <v>45</v>
      </c>
      <c r="K44" s="229" t="s">
        <v>45</v>
      </c>
      <c r="L44" s="229" t="s">
        <v>45</v>
      </c>
      <c r="M44" s="328" t="s">
        <v>45</v>
      </c>
      <c r="N44" s="234" t="s">
        <v>45</v>
      </c>
      <c r="O44" s="234"/>
      <c r="P44" s="234" t="s">
        <v>45</v>
      </c>
      <c r="Q44" s="235" t="s">
        <v>45</v>
      </c>
      <c r="R44" s="235" t="s">
        <v>45</v>
      </c>
      <c r="S44" s="235" t="s">
        <v>45</v>
      </c>
      <c r="T44" s="86"/>
      <c r="U44" s="86"/>
      <c r="V44" s="86"/>
      <c r="W44" s="86"/>
      <c r="X44" s="86"/>
      <c r="Y44" s="86"/>
      <c r="Z44" s="86"/>
      <c r="AA44" s="86"/>
      <c r="AB44" s="86"/>
    </row>
    <row r="45" hidden="1" outlineLevel="1">
      <c r="A45" s="193"/>
      <c r="B45" s="210"/>
      <c r="C45" s="225"/>
      <c r="D45" s="236"/>
      <c r="E45" s="239" t="s">
        <v>191</v>
      </c>
      <c r="F45" s="213"/>
      <c r="G45" s="240"/>
      <c r="H45" s="241"/>
      <c r="I45" s="320"/>
      <c r="J45" s="243" t="s">
        <v>45</v>
      </c>
      <c r="K45" s="243" t="s">
        <v>45</v>
      </c>
      <c r="L45" s="243" t="s">
        <v>45</v>
      </c>
      <c r="M45" s="321" t="s">
        <v>45</v>
      </c>
      <c r="N45" s="248" t="s">
        <v>45</v>
      </c>
      <c r="O45" s="248"/>
      <c r="P45" s="248" t="s">
        <v>45</v>
      </c>
      <c r="Q45" s="249" t="s">
        <v>45</v>
      </c>
      <c r="R45" s="249" t="s">
        <v>45</v>
      </c>
      <c r="S45" s="249" t="s">
        <v>45</v>
      </c>
      <c r="T45" s="86"/>
      <c r="U45" s="86"/>
      <c r="V45" s="86"/>
      <c r="W45" s="86"/>
      <c r="X45" s="86"/>
      <c r="Y45" s="86"/>
      <c r="Z45" s="86"/>
      <c r="AA45" s="86"/>
      <c r="AB45" s="86"/>
    </row>
    <row r="46" hidden="1" outlineLevel="1">
      <c r="A46" s="193"/>
      <c r="B46" s="210"/>
      <c r="C46" s="225"/>
      <c r="D46" s="236"/>
      <c r="E46" s="239" t="s">
        <v>139</v>
      </c>
      <c r="F46" s="213"/>
      <c r="G46" s="240"/>
      <c r="H46" s="241"/>
      <c r="I46" s="320"/>
      <c r="J46" s="243" t="s">
        <v>45</v>
      </c>
      <c r="K46" s="243" t="s">
        <v>45</v>
      </c>
      <c r="L46" s="243" t="s">
        <v>45</v>
      </c>
      <c r="M46" s="321" t="s">
        <v>45</v>
      </c>
      <c r="N46" s="248" t="s">
        <v>45</v>
      </c>
      <c r="O46" s="248"/>
      <c r="P46" s="248" t="s">
        <v>45</v>
      </c>
      <c r="Q46" s="249" t="s">
        <v>45</v>
      </c>
      <c r="R46" s="249" t="s">
        <v>45</v>
      </c>
      <c r="S46" s="249" t="s">
        <v>45</v>
      </c>
      <c r="T46" s="86"/>
      <c r="U46" s="86"/>
      <c r="V46" s="86"/>
      <c r="W46" s="86"/>
      <c r="X46" s="86"/>
      <c r="Y46" s="86"/>
      <c r="Z46" s="86"/>
      <c r="AA46" s="86"/>
      <c r="AB46" s="86"/>
    </row>
    <row r="47" hidden="1" outlineLevel="1">
      <c r="A47" s="193"/>
      <c r="B47" s="210"/>
      <c r="C47" s="225"/>
      <c r="D47" s="236"/>
      <c r="E47" s="239" t="s">
        <v>163</v>
      </c>
      <c r="F47" s="213"/>
      <c r="G47" s="240"/>
      <c r="H47" s="241"/>
      <c r="I47" s="320"/>
      <c r="J47" s="243" t="s">
        <v>45</v>
      </c>
      <c r="K47" s="243" t="s">
        <v>45</v>
      </c>
      <c r="L47" s="243" t="s">
        <v>45</v>
      </c>
      <c r="M47" s="321" t="s">
        <v>45</v>
      </c>
      <c r="N47" s="248" t="s">
        <v>45</v>
      </c>
      <c r="O47" s="248"/>
      <c r="P47" s="248" t="s">
        <v>45</v>
      </c>
      <c r="Q47" s="249" t="s">
        <v>45</v>
      </c>
      <c r="R47" s="249" t="s">
        <v>45</v>
      </c>
      <c r="S47" s="249" t="s">
        <v>45</v>
      </c>
      <c r="T47" s="86"/>
      <c r="U47" s="86"/>
      <c r="V47" s="86"/>
      <c r="W47" s="86"/>
      <c r="X47" s="86"/>
      <c r="Y47" s="86"/>
      <c r="Z47" s="86"/>
      <c r="AA47" s="86"/>
      <c r="AB47" s="86"/>
    </row>
    <row r="48">
      <c r="A48" s="193"/>
      <c r="B48" s="210"/>
      <c r="C48" s="225"/>
      <c r="D48" s="282" t="s">
        <v>64</v>
      </c>
      <c r="E48" s="212"/>
      <c r="F48" s="213"/>
      <c r="G48" s="227"/>
      <c r="H48" s="227" t="s">
        <v>331</v>
      </c>
      <c r="I48" s="325"/>
      <c r="J48" s="229" t="s">
        <v>45</v>
      </c>
      <c r="K48" s="229" t="s">
        <v>45</v>
      </c>
      <c r="L48" s="229" t="s">
        <v>45</v>
      </c>
      <c r="M48" s="328" t="s">
        <v>45</v>
      </c>
      <c r="N48" s="234" t="s">
        <v>45</v>
      </c>
      <c r="O48" s="234"/>
      <c r="P48" s="234" t="s">
        <v>45</v>
      </c>
      <c r="Q48" s="235" t="s">
        <v>45</v>
      </c>
      <c r="R48" s="235" t="s">
        <v>45</v>
      </c>
      <c r="S48" s="235" t="s">
        <v>45</v>
      </c>
      <c r="T48" s="86"/>
      <c r="U48" s="86"/>
      <c r="V48" s="86"/>
      <c r="W48" s="86"/>
      <c r="X48" s="86"/>
      <c r="Y48" s="86"/>
      <c r="Z48" s="86"/>
      <c r="AA48" s="86"/>
      <c r="AB48" s="86"/>
    </row>
    <row r="49" outlineLevel="1">
      <c r="A49" s="193"/>
      <c r="B49" s="210"/>
      <c r="C49" s="225"/>
      <c r="D49" s="225"/>
      <c r="E49" s="239" t="s">
        <v>106</v>
      </c>
      <c r="F49" s="213"/>
      <c r="G49" s="240"/>
      <c r="H49" s="337" t="str">
        <f>HYPERLINK("https://goo.gl/DeXpCR","(with Guide)")</f>
        <v>(with Guide)</v>
      </c>
      <c r="I49" s="320"/>
      <c r="J49" s="243" t="s">
        <v>45</v>
      </c>
      <c r="K49" s="243" t="s">
        <v>45</v>
      </c>
      <c r="L49" s="243" t="s">
        <v>45</v>
      </c>
      <c r="M49" s="321" t="s">
        <v>45</v>
      </c>
      <c r="N49" s="248" t="s">
        <v>45</v>
      </c>
      <c r="O49" s="248"/>
      <c r="P49" s="248" t="s">
        <v>45</v>
      </c>
      <c r="Q49" s="249" t="s">
        <v>45</v>
      </c>
      <c r="R49" s="249" t="s">
        <v>45</v>
      </c>
      <c r="S49" s="249" t="s">
        <v>45</v>
      </c>
      <c r="T49" s="86"/>
      <c r="U49" s="86"/>
      <c r="V49" s="86"/>
      <c r="W49" s="86"/>
      <c r="X49" s="86"/>
      <c r="Y49" s="86"/>
      <c r="Z49" s="86"/>
      <c r="AA49" s="86"/>
      <c r="AB49" s="86"/>
    </row>
    <row r="50" collapsed="1">
      <c r="A50" s="193"/>
      <c r="B50" s="210"/>
      <c r="C50" s="225"/>
      <c r="D50" s="282" t="s">
        <v>65</v>
      </c>
      <c r="E50" s="212"/>
      <c r="F50" s="213"/>
      <c r="G50" s="227"/>
      <c r="H50" s="227" t="s">
        <v>337</v>
      </c>
      <c r="I50" s="325"/>
      <c r="J50" s="229" t="s">
        <v>45</v>
      </c>
      <c r="K50" s="229" t="s">
        <v>45</v>
      </c>
      <c r="L50" s="229" t="s">
        <v>45</v>
      </c>
      <c r="M50" s="328" t="s">
        <v>45</v>
      </c>
      <c r="N50" s="234" t="s">
        <v>45</v>
      </c>
      <c r="O50" s="234"/>
      <c r="P50" s="234" t="s">
        <v>45</v>
      </c>
      <c r="Q50" s="235" t="s">
        <v>45</v>
      </c>
      <c r="R50" s="235" t="s">
        <v>45</v>
      </c>
      <c r="S50" s="235" t="s">
        <v>45</v>
      </c>
      <c r="T50" s="86"/>
      <c r="U50" s="86"/>
      <c r="V50" s="86"/>
      <c r="W50" s="86"/>
      <c r="X50" s="86"/>
      <c r="Y50" s="86"/>
      <c r="Z50" s="86"/>
      <c r="AA50" s="86"/>
      <c r="AB50" s="86"/>
    </row>
    <row r="51" hidden="1" outlineLevel="1">
      <c r="A51" s="193"/>
      <c r="B51" s="210"/>
      <c r="C51" s="225"/>
      <c r="D51" s="236"/>
      <c r="E51" s="239" t="s">
        <v>131</v>
      </c>
      <c r="F51" s="213"/>
      <c r="G51" s="240"/>
      <c r="H51" s="241"/>
      <c r="I51" s="320"/>
      <c r="J51" s="243" t="s">
        <v>45</v>
      </c>
      <c r="K51" s="243" t="s">
        <v>45</v>
      </c>
      <c r="L51" s="243" t="s">
        <v>45</v>
      </c>
      <c r="M51" s="321" t="s">
        <v>45</v>
      </c>
      <c r="N51" s="248" t="s">
        <v>45</v>
      </c>
      <c r="O51" s="248"/>
      <c r="P51" s="248" t="s">
        <v>45</v>
      </c>
      <c r="Q51" s="249" t="s">
        <v>45</v>
      </c>
      <c r="R51" s="249" t="s">
        <v>45</v>
      </c>
      <c r="S51" s="249" t="s">
        <v>45</v>
      </c>
      <c r="T51" s="86"/>
      <c r="U51" s="86"/>
      <c r="V51" s="86"/>
      <c r="W51" s="86"/>
      <c r="X51" s="86"/>
      <c r="Y51" s="86"/>
      <c r="Z51" s="86"/>
      <c r="AA51" s="86"/>
      <c r="AB51" s="86"/>
    </row>
    <row r="52" hidden="1" outlineLevel="1">
      <c r="A52" s="193"/>
      <c r="B52" s="210"/>
      <c r="C52" s="225"/>
      <c r="D52" s="236"/>
      <c r="E52" s="239" t="s">
        <v>109</v>
      </c>
      <c r="F52" s="213"/>
      <c r="G52" s="240"/>
      <c r="H52" s="241"/>
      <c r="I52" s="320"/>
      <c r="J52" s="243" t="s">
        <v>45</v>
      </c>
      <c r="K52" s="243" t="s">
        <v>45</v>
      </c>
      <c r="L52" s="243" t="s">
        <v>45</v>
      </c>
      <c r="M52" s="321" t="s">
        <v>45</v>
      </c>
      <c r="N52" s="248" t="s">
        <v>45</v>
      </c>
      <c r="O52" s="248"/>
      <c r="P52" s="248" t="s">
        <v>45</v>
      </c>
      <c r="Q52" s="249" t="s">
        <v>45</v>
      </c>
      <c r="R52" s="249" t="s">
        <v>45</v>
      </c>
      <c r="S52" s="249" t="s">
        <v>45</v>
      </c>
      <c r="T52" s="86"/>
      <c r="U52" s="86"/>
      <c r="V52" s="86"/>
      <c r="W52" s="86"/>
      <c r="X52" s="86"/>
      <c r="Y52" s="86"/>
      <c r="Z52" s="86"/>
      <c r="AA52" s="86"/>
      <c r="AB52" s="86"/>
    </row>
    <row r="53">
      <c r="A53" s="193"/>
      <c r="B53" s="210"/>
      <c r="C53" s="225"/>
      <c r="D53" s="282" t="s">
        <v>67</v>
      </c>
      <c r="E53" s="212"/>
      <c r="F53" s="213"/>
      <c r="G53" s="227"/>
      <c r="H53" s="227" t="s">
        <v>350</v>
      </c>
      <c r="I53" s="325"/>
      <c r="J53" s="229" t="s">
        <v>45</v>
      </c>
      <c r="K53" s="229" t="s">
        <v>45</v>
      </c>
      <c r="L53" s="229" t="s">
        <v>45</v>
      </c>
      <c r="M53" s="328" t="s">
        <v>45</v>
      </c>
      <c r="N53" s="234" t="s">
        <v>45</v>
      </c>
      <c r="O53" s="234"/>
      <c r="P53" s="234" t="s">
        <v>45</v>
      </c>
      <c r="Q53" s="235" t="s">
        <v>45</v>
      </c>
      <c r="R53" s="235" t="s">
        <v>45</v>
      </c>
      <c r="S53" s="235" t="s">
        <v>45</v>
      </c>
      <c r="T53" s="86"/>
      <c r="U53" s="86"/>
      <c r="V53" s="86"/>
      <c r="W53" s="86"/>
      <c r="X53" s="86"/>
      <c r="Y53" s="86"/>
      <c r="Z53" s="86"/>
      <c r="AA53" s="86"/>
      <c r="AB53" s="86"/>
    </row>
    <row r="54" outlineLevel="1">
      <c r="A54" s="193"/>
      <c r="B54" s="210"/>
      <c r="C54" s="225"/>
      <c r="D54" s="236"/>
      <c r="E54" s="239" t="s">
        <v>58</v>
      </c>
      <c r="F54" s="213"/>
      <c r="G54" s="240"/>
      <c r="H54" s="241" t="s">
        <v>355</v>
      </c>
      <c r="I54" s="320"/>
      <c r="J54" s="243" t="s">
        <v>45</v>
      </c>
      <c r="K54" s="243" t="s">
        <v>45</v>
      </c>
      <c r="L54" s="243" t="s">
        <v>45</v>
      </c>
      <c r="M54" s="321" t="s">
        <v>45</v>
      </c>
      <c r="N54" s="248" t="s">
        <v>45</v>
      </c>
      <c r="O54" s="248"/>
      <c r="P54" s="248" t="s">
        <v>45</v>
      </c>
      <c r="Q54" s="249" t="s">
        <v>45</v>
      </c>
      <c r="R54" s="249" t="s">
        <v>45</v>
      </c>
      <c r="S54" s="249" t="s">
        <v>45</v>
      </c>
      <c r="T54" s="86"/>
      <c r="U54" s="86"/>
      <c r="V54" s="86"/>
      <c r="W54" s="86"/>
      <c r="X54" s="86"/>
      <c r="Y54" s="86"/>
      <c r="Z54" s="86"/>
      <c r="AA54" s="86"/>
      <c r="AB54" s="86"/>
    </row>
    <row r="55" outlineLevel="1">
      <c r="A55" s="193"/>
      <c r="B55" s="210"/>
      <c r="C55" s="225"/>
      <c r="D55" s="236"/>
      <c r="E55" s="239" t="s">
        <v>85</v>
      </c>
      <c r="F55" s="213"/>
      <c r="G55" s="240"/>
      <c r="H55" s="241" t="s">
        <v>361</v>
      </c>
      <c r="I55" s="320"/>
      <c r="J55" s="243" t="s">
        <v>45</v>
      </c>
      <c r="K55" s="243" t="s">
        <v>45</v>
      </c>
      <c r="L55" s="243" t="s">
        <v>45</v>
      </c>
      <c r="M55" s="321" t="s">
        <v>45</v>
      </c>
      <c r="N55" s="248" t="s">
        <v>45</v>
      </c>
      <c r="O55" s="248"/>
      <c r="P55" s="248" t="s">
        <v>45</v>
      </c>
      <c r="Q55" s="249" t="s">
        <v>45</v>
      </c>
      <c r="R55" s="249" t="s">
        <v>45</v>
      </c>
      <c r="S55" s="249" t="s">
        <v>45</v>
      </c>
      <c r="T55" s="86"/>
      <c r="U55" s="86"/>
      <c r="V55" s="86"/>
      <c r="W55" s="86"/>
      <c r="X55" s="86"/>
      <c r="Y55" s="86"/>
      <c r="Z55" s="86"/>
      <c r="AA55" s="86"/>
      <c r="AB55" s="86"/>
    </row>
    <row r="56" collapsed="1">
      <c r="A56" s="193"/>
      <c r="B56" s="210"/>
      <c r="C56" s="225"/>
      <c r="D56" s="282" t="s">
        <v>363</v>
      </c>
      <c r="E56" s="212"/>
      <c r="F56" s="213"/>
      <c r="G56" s="455"/>
      <c r="H56" s="227"/>
      <c r="I56" s="325"/>
      <c r="J56" s="229" t="s">
        <v>45</v>
      </c>
      <c r="K56" s="229" t="s">
        <v>45</v>
      </c>
      <c r="L56" s="229" t="s">
        <v>45</v>
      </c>
      <c r="M56" s="328" t="s">
        <v>45</v>
      </c>
      <c r="N56" s="234" t="s">
        <v>45</v>
      </c>
      <c r="O56" s="234"/>
      <c r="P56" s="234" t="s">
        <v>45</v>
      </c>
      <c r="Q56" s="235" t="s">
        <v>45</v>
      </c>
      <c r="R56" s="235" t="s">
        <v>45</v>
      </c>
      <c r="S56" s="235" t="s">
        <v>45</v>
      </c>
      <c r="T56" s="86"/>
      <c r="U56" s="86"/>
      <c r="V56" s="86"/>
      <c r="W56" s="86"/>
      <c r="X56" s="86"/>
      <c r="Y56" s="86"/>
      <c r="Z56" s="86"/>
      <c r="AA56" s="86"/>
      <c r="AB56" s="86"/>
    </row>
    <row r="57" hidden="1" outlineLevel="1">
      <c r="A57" s="193"/>
      <c r="B57" s="210"/>
      <c r="C57" s="225"/>
      <c r="D57" s="459"/>
      <c r="E57" s="466" t="s">
        <v>126</v>
      </c>
      <c r="F57" s="5"/>
      <c r="G57" s="468"/>
      <c r="H57" s="241"/>
      <c r="I57" s="320"/>
      <c r="J57" s="243" t="s">
        <v>45</v>
      </c>
      <c r="K57" s="243" t="s">
        <v>45</v>
      </c>
      <c r="L57" s="243" t="s">
        <v>45</v>
      </c>
      <c r="M57" s="321" t="s">
        <v>45</v>
      </c>
      <c r="N57" s="248" t="s">
        <v>45</v>
      </c>
      <c r="O57" s="248"/>
      <c r="P57" s="248" t="s">
        <v>45</v>
      </c>
      <c r="Q57" s="249" t="s">
        <v>45</v>
      </c>
      <c r="R57" s="249" t="s">
        <v>45</v>
      </c>
      <c r="S57" s="249" t="s">
        <v>45</v>
      </c>
      <c r="T57" s="86"/>
      <c r="U57" s="86"/>
      <c r="V57" s="86"/>
      <c r="W57" s="86"/>
      <c r="X57" s="86"/>
      <c r="Y57" s="86"/>
      <c r="Z57" s="86"/>
      <c r="AA57" s="86"/>
      <c r="AB57" s="86"/>
    </row>
    <row r="58" hidden="1" outlineLevel="1">
      <c r="A58" s="193"/>
      <c r="B58" s="210"/>
      <c r="C58" s="225"/>
      <c r="D58" s="459"/>
      <c r="E58" s="239" t="s">
        <v>76</v>
      </c>
      <c r="F58" s="213"/>
      <c r="G58" s="240"/>
      <c r="H58" s="241"/>
      <c r="I58" s="320"/>
      <c r="J58" s="243" t="s">
        <v>45</v>
      </c>
      <c r="K58" s="243" t="s">
        <v>45</v>
      </c>
      <c r="L58" s="243" t="s">
        <v>45</v>
      </c>
      <c r="M58" s="321" t="s">
        <v>45</v>
      </c>
      <c r="N58" s="248" t="s">
        <v>45</v>
      </c>
      <c r="O58" s="248"/>
      <c r="P58" s="248" t="s">
        <v>45</v>
      </c>
      <c r="Q58" s="249" t="s">
        <v>45</v>
      </c>
      <c r="R58" s="249" t="s">
        <v>45</v>
      </c>
      <c r="S58" s="249" t="s">
        <v>45</v>
      </c>
      <c r="T58" s="86"/>
      <c r="U58" s="86"/>
      <c r="V58" s="86"/>
      <c r="W58" s="86"/>
      <c r="X58" s="86"/>
      <c r="Y58" s="86"/>
      <c r="Z58" s="86"/>
      <c r="AA58" s="86"/>
      <c r="AB58" s="86"/>
    </row>
    <row r="59" collapsed="1">
      <c r="A59" s="193"/>
      <c r="B59" s="210"/>
      <c r="C59" s="225"/>
      <c r="D59" s="481" t="s">
        <v>376</v>
      </c>
      <c r="E59" s="482"/>
      <c r="F59" s="484"/>
      <c r="G59" s="455"/>
      <c r="H59" s="227"/>
      <c r="I59" s="325"/>
      <c r="J59" s="229" t="s">
        <v>45</v>
      </c>
      <c r="K59" s="229" t="s">
        <v>45</v>
      </c>
      <c r="L59" s="229" t="s">
        <v>45</v>
      </c>
      <c r="M59" s="328" t="s">
        <v>45</v>
      </c>
      <c r="N59" s="234" t="s">
        <v>45</v>
      </c>
      <c r="O59" s="234"/>
      <c r="P59" s="234" t="s">
        <v>45</v>
      </c>
      <c r="Q59" s="235" t="s">
        <v>45</v>
      </c>
      <c r="R59" s="235" t="s">
        <v>45</v>
      </c>
      <c r="S59" s="235" t="s">
        <v>45</v>
      </c>
      <c r="T59" s="86"/>
      <c r="U59" s="86"/>
      <c r="V59" s="86"/>
      <c r="W59" s="86"/>
      <c r="X59" s="86"/>
      <c r="Y59" s="86"/>
      <c r="Z59" s="86"/>
      <c r="AA59" s="86"/>
      <c r="AB59" s="86"/>
    </row>
    <row r="60" hidden="1" outlineLevel="1">
      <c r="A60" s="193"/>
      <c r="B60" s="210"/>
      <c r="C60" s="225"/>
      <c r="D60" s="459"/>
      <c r="E60" s="252" t="s">
        <v>186</v>
      </c>
      <c r="F60" s="213"/>
      <c r="G60" s="240"/>
      <c r="H60" s="241"/>
      <c r="I60" s="320"/>
      <c r="J60" s="243" t="s">
        <v>45</v>
      </c>
      <c r="K60" s="243" t="s">
        <v>45</v>
      </c>
      <c r="L60" s="243" t="s">
        <v>45</v>
      </c>
      <c r="M60" s="321" t="s">
        <v>45</v>
      </c>
      <c r="N60" s="248" t="s">
        <v>45</v>
      </c>
      <c r="O60" s="248"/>
      <c r="P60" s="248" t="s">
        <v>45</v>
      </c>
      <c r="Q60" s="249" t="s">
        <v>45</v>
      </c>
      <c r="R60" s="249" t="s">
        <v>45</v>
      </c>
      <c r="S60" s="249" t="s">
        <v>45</v>
      </c>
      <c r="T60" s="86"/>
      <c r="U60" s="86"/>
      <c r="V60" s="86"/>
      <c r="W60" s="86"/>
      <c r="X60" s="86"/>
      <c r="Y60" s="86"/>
      <c r="Z60" s="86"/>
      <c r="AA60" s="86"/>
      <c r="AB60" s="86"/>
    </row>
    <row r="61" collapsed="1">
      <c r="A61" s="193"/>
      <c r="B61" s="210"/>
      <c r="C61" s="225"/>
      <c r="D61" s="487" t="s">
        <v>380</v>
      </c>
      <c r="E61" s="488"/>
      <c r="F61" s="484"/>
      <c r="G61" s="455"/>
      <c r="H61" s="227"/>
      <c r="I61" s="325"/>
      <c r="J61" s="229" t="s">
        <v>45</v>
      </c>
      <c r="K61" s="229" t="s">
        <v>45</v>
      </c>
      <c r="L61" s="229" t="s">
        <v>45</v>
      </c>
      <c r="M61" s="328" t="s">
        <v>45</v>
      </c>
      <c r="N61" s="234" t="s">
        <v>45</v>
      </c>
      <c r="O61" s="234"/>
      <c r="P61" s="234" t="s">
        <v>45</v>
      </c>
      <c r="Q61" s="235" t="s">
        <v>45</v>
      </c>
      <c r="R61" s="235" t="s">
        <v>45</v>
      </c>
      <c r="S61" s="235" t="s">
        <v>45</v>
      </c>
      <c r="T61" s="86"/>
      <c r="U61" s="86"/>
      <c r="V61" s="86"/>
      <c r="W61" s="86"/>
      <c r="X61" s="86"/>
      <c r="Y61" s="86"/>
      <c r="Z61" s="86"/>
      <c r="AA61" s="86"/>
      <c r="AB61" s="86"/>
    </row>
    <row r="62" hidden="1" outlineLevel="1">
      <c r="A62" s="193"/>
      <c r="B62" s="210"/>
      <c r="C62" s="236"/>
      <c r="D62" s="487"/>
      <c r="E62" s="255" t="s">
        <v>198</v>
      </c>
      <c r="F62" s="5"/>
      <c r="G62" s="455"/>
      <c r="H62" s="227"/>
      <c r="I62" s="325"/>
      <c r="J62" s="229"/>
      <c r="K62" s="229"/>
      <c r="L62" s="229"/>
      <c r="M62" s="328"/>
      <c r="N62" s="234"/>
      <c r="O62" s="234"/>
      <c r="P62" s="234"/>
      <c r="Q62" s="235"/>
      <c r="R62" s="235"/>
      <c r="S62" s="235"/>
      <c r="T62" s="86"/>
      <c r="U62" s="86"/>
      <c r="V62" s="86"/>
      <c r="W62" s="86"/>
      <c r="X62" s="86"/>
      <c r="Y62" s="86"/>
      <c r="Z62" s="86"/>
      <c r="AA62" s="86"/>
      <c r="AB62" s="86"/>
    </row>
    <row r="63">
      <c r="A63" s="193"/>
      <c r="B63" s="210"/>
      <c r="C63" s="225"/>
      <c r="D63" s="487" t="s">
        <v>381</v>
      </c>
      <c r="E63" s="488"/>
      <c r="F63" s="484"/>
      <c r="G63" s="455"/>
      <c r="H63" s="227"/>
      <c r="I63" s="325"/>
      <c r="J63" s="229" t="s">
        <v>45</v>
      </c>
      <c r="K63" s="229" t="s">
        <v>45</v>
      </c>
      <c r="L63" s="229" t="s">
        <v>45</v>
      </c>
      <c r="M63" s="328" t="s">
        <v>45</v>
      </c>
      <c r="N63" s="234" t="s">
        <v>45</v>
      </c>
      <c r="O63" s="234"/>
      <c r="P63" s="234" t="s">
        <v>45</v>
      </c>
      <c r="Q63" s="235" t="s">
        <v>45</v>
      </c>
      <c r="R63" s="235" t="s">
        <v>45</v>
      </c>
      <c r="S63" s="235" t="s">
        <v>45</v>
      </c>
      <c r="T63" s="86"/>
      <c r="U63" s="86"/>
      <c r="V63" s="86"/>
      <c r="W63" s="86"/>
      <c r="X63" s="86"/>
      <c r="Y63" s="86"/>
      <c r="Z63" s="86"/>
      <c r="AA63" s="86"/>
      <c r="AB63" s="86"/>
    </row>
    <row r="64" outlineLevel="1">
      <c r="A64" s="193"/>
      <c r="B64" s="210"/>
      <c r="C64" s="236"/>
      <c r="D64" s="487"/>
      <c r="E64" s="255" t="s">
        <v>227</v>
      </c>
      <c r="F64" s="5"/>
      <c r="G64" s="455"/>
      <c r="H64" s="227"/>
      <c r="I64" s="325"/>
      <c r="J64" s="229"/>
      <c r="K64" s="229"/>
      <c r="L64" s="229"/>
      <c r="M64" s="328"/>
      <c r="N64" s="234"/>
      <c r="O64" s="234"/>
      <c r="P64" s="234"/>
      <c r="Q64" s="235"/>
      <c r="R64" s="235"/>
      <c r="S64" s="235"/>
      <c r="T64" s="86"/>
      <c r="U64" s="86"/>
      <c r="V64" s="86"/>
      <c r="W64" s="86"/>
      <c r="X64" s="86"/>
      <c r="Y64" s="86"/>
      <c r="Z64" s="86"/>
      <c r="AA64" s="86"/>
      <c r="AB64" s="86"/>
    </row>
    <row r="65">
      <c r="A65" s="193"/>
      <c r="B65" s="210"/>
      <c r="C65" s="211" t="s">
        <v>387</v>
      </c>
      <c r="D65" s="212"/>
      <c r="E65" s="212"/>
      <c r="F65" s="213"/>
      <c r="G65" s="497"/>
      <c r="H65" s="214" t="s">
        <v>388</v>
      </c>
      <c r="I65" s="498"/>
      <c r="J65" s="216" t="s">
        <v>45</v>
      </c>
      <c r="K65" s="216" t="s">
        <v>45</v>
      </c>
      <c r="L65" s="258" t="s">
        <v>45</v>
      </c>
      <c r="M65" s="313" t="s">
        <v>45</v>
      </c>
      <c r="N65" s="262" t="s">
        <v>45</v>
      </c>
      <c r="O65" s="262"/>
      <c r="P65" s="221" t="s">
        <v>45</v>
      </c>
      <c r="Q65" s="222" t="s">
        <v>45</v>
      </c>
      <c r="R65" s="222" t="s">
        <v>45</v>
      </c>
      <c r="S65" s="222" t="s">
        <v>45</v>
      </c>
      <c r="T65" s="86"/>
      <c r="U65" s="86"/>
      <c r="V65" s="86"/>
      <c r="W65" s="86"/>
      <c r="X65" s="86"/>
      <c r="Y65" s="86"/>
      <c r="Z65" s="86"/>
      <c r="AA65" s="86"/>
      <c r="AB65" s="86"/>
    </row>
    <row r="66">
      <c r="A66" s="193"/>
      <c r="B66" s="210"/>
      <c r="C66" s="225"/>
      <c r="D66" s="239" t="s">
        <v>116</v>
      </c>
      <c r="E66" s="212"/>
      <c r="F66" s="213"/>
      <c r="G66" s="240"/>
      <c r="H66" s="504" t="str">
        <f>HYPERLINK("https://goo.gl/s8Sh4X","(with Guide)")</f>
        <v>(with Guide)</v>
      </c>
      <c r="I66" s="320"/>
      <c r="J66" s="243" t="s">
        <v>45</v>
      </c>
      <c r="K66" s="243" t="s">
        <v>45</v>
      </c>
      <c r="L66" s="243" t="s">
        <v>45</v>
      </c>
      <c r="M66" s="321" t="s">
        <v>45</v>
      </c>
      <c r="N66" s="248" t="s">
        <v>45</v>
      </c>
      <c r="O66" s="248"/>
      <c r="P66" s="248" t="s">
        <v>45</v>
      </c>
      <c r="Q66" s="249" t="s">
        <v>45</v>
      </c>
      <c r="R66" s="249" t="s">
        <v>45</v>
      </c>
      <c r="S66" s="249" t="s">
        <v>45</v>
      </c>
      <c r="T66" s="86"/>
      <c r="U66" s="86"/>
      <c r="V66" s="86"/>
      <c r="W66" s="86"/>
      <c r="X66" s="86"/>
      <c r="Y66" s="86"/>
      <c r="Z66" s="86"/>
      <c r="AA66" s="86"/>
      <c r="AB66" s="86"/>
    </row>
    <row r="67" collapsed="1">
      <c r="A67" s="193"/>
      <c r="B67" s="210"/>
      <c r="C67" s="225"/>
      <c r="D67" s="282" t="s">
        <v>397</v>
      </c>
      <c r="E67" s="212"/>
      <c r="F67" s="213"/>
      <c r="G67" s="455"/>
      <c r="H67" s="227"/>
      <c r="I67" s="325"/>
      <c r="J67" s="229" t="s">
        <v>45</v>
      </c>
      <c r="K67" s="229" t="s">
        <v>45</v>
      </c>
      <c r="L67" s="229" t="s">
        <v>45</v>
      </c>
      <c r="M67" s="328" t="s">
        <v>45</v>
      </c>
      <c r="N67" s="234" t="s">
        <v>45</v>
      </c>
      <c r="O67" s="234"/>
      <c r="P67" s="234" t="s">
        <v>45</v>
      </c>
      <c r="Q67" s="235" t="s">
        <v>45</v>
      </c>
      <c r="R67" s="235" t="s">
        <v>45</v>
      </c>
      <c r="S67" s="235" t="s">
        <v>45</v>
      </c>
      <c r="T67" s="86"/>
      <c r="U67" s="86"/>
      <c r="V67" s="86"/>
      <c r="W67" s="86"/>
      <c r="X67" s="86"/>
      <c r="Y67" s="86"/>
      <c r="Z67" s="86"/>
      <c r="AA67" s="86"/>
      <c r="AB67" s="86"/>
    </row>
    <row r="68" hidden="1" outlineLevel="1">
      <c r="A68" s="193"/>
      <c r="B68" s="210"/>
      <c r="C68" s="225"/>
      <c r="D68" s="459"/>
      <c r="E68" s="508"/>
      <c r="F68" s="510" t="s">
        <v>23</v>
      </c>
      <c r="G68" s="511"/>
      <c r="H68" s="241"/>
      <c r="I68" s="320"/>
      <c r="J68" s="243" t="s">
        <v>45</v>
      </c>
      <c r="K68" s="243" t="s">
        <v>45</v>
      </c>
      <c r="L68" s="243" t="s">
        <v>45</v>
      </c>
      <c r="M68" s="321" t="s">
        <v>45</v>
      </c>
      <c r="N68" s="248" t="s">
        <v>45</v>
      </c>
      <c r="O68" s="248"/>
      <c r="P68" s="248" t="s">
        <v>45</v>
      </c>
      <c r="Q68" s="249" t="s">
        <v>45</v>
      </c>
      <c r="R68" s="249" t="s">
        <v>45</v>
      </c>
      <c r="S68" s="249" t="s">
        <v>45</v>
      </c>
      <c r="T68" s="86"/>
      <c r="U68" s="86"/>
      <c r="V68" s="86"/>
      <c r="W68" s="86"/>
      <c r="X68" s="86"/>
      <c r="Y68" s="86"/>
      <c r="Z68" s="86"/>
      <c r="AA68" s="86"/>
      <c r="AB68" s="86"/>
    </row>
    <row r="69">
      <c r="A69" s="193"/>
      <c r="B69" s="210"/>
      <c r="C69" s="225"/>
      <c r="D69" s="282" t="s">
        <v>404</v>
      </c>
      <c r="E69" s="212"/>
      <c r="F69" s="213"/>
      <c r="G69" s="455"/>
      <c r="H69" s="227"/>
      <c r="I69" s="325"/>
      <c r="J69" s="229" t="s">
        <v>45</v>
      </c>
      <c r="K69" s="229" t="s">
        <v>45</v>
      </c>
      <c r="L69" s="229" t="s">
        <v>45</v>
      </c>
      <c r="M69" s="328" t="s">
        <v>45</v>
      </c>
      <c r="N69" s="234" t="s">
        <v>45</v>
      </c>
      <c r="O69" s="234"/>
      <c r="P69" s="234" t="s">
        <v>45</v>
      </c>
      <c r="Q69" s="235" t="s">
        <v>45</v>
      </c>
      <c r="R69" s="235" t="s">
        <v>45</v>
      </c>
      <c r="S69" s="235" t="s">
        <v>45</v>
      </c>
      <c r="T69" s="86"/>
      <c r="U69" s="86"/>
      <c r="V69" s="86"/>
      <c r="W69" s="86"/>
      <c r="X69" s="86"/>
      <c r="Y69" s="86"/>
      <c r="Z69" s="86"/>
      <c r="AA69" s="86"/>
      <c r="AB69" s="86"/>
    </row>
    <row r="70" collapsed="1">
      <c r="A70" s="193"/>
      <c r="B70" s="210"/>
      <c r="C70" s="225"/>
      <c r="D70" s="225"/>
      <c r="E70" s="515" t="s">
        <v>407</v>
      </c>
      <c r="F70" s="213"/>
      <c r="G70" s="516"/>
      <c r="H70" s="517"/>
      <c r="I70" s="519"/>
      <c r="J70" s="520" t="s">
        <v>45</v>
      </c>
      <c r="K70" s="520" t="s">
        <v>45</v>
      </c>
      <c r="L70" s="520" t="s">
        <v>45</v>
      </c>
      <c r="M70" s="521" t="s">
        <v>45</v>
      </c>
      <c r="N70" s="522" t="s">
        <v>45</v>
      </c>
      <c r="O70" s="522"/>
      <c r="P70" s="522" t="s">
        <v>45</v>
      </c>
      <c r="Q70" s="523" t="s">
        <v>45</v>
      </c>
      <c r="R70" s="523" t="s">
        <v>45</v>
      </c>
      <c r="S70" s="523" t="s">
        <v>45</v>
      </c>
      <c r="T70" s="86"/>
      <c r="U70" s="86"/>
      <c r="V70" s="86"/>
      <c r="W70" s="86"/>
      <c r="X70" s="86"/>
      <c r="Y70" s="86"/>
      <c r="Z70" s="86"/>
      <c r="AA70" s="86"/>
      <c r="AB70" s="86"/>
    </row>
    <row r="71" hidden="1" outlineLevel="1">
      <c r="A71" s="193"/>
      <c r="B71" s="210"/>
      <c r="C71" s="225"/>
      <c r="D71" s="459"/>
      <c r="E71" s="524"/>
      <c r="F71" s="525" t="s">
        <v>193</v>
      </c>
      <c r="G71" s="526"/>
      <c r="H71" s="241"/>
      <c r="I71" s="320"/>
      <c r="J71" s="243" t="s">
        <v>45</v>
      </c>
      <c r="K71" s="243" t="s">
        <v>45</v>
      </c>
      <c r="L71" s="243" t="s">
        <v>45</v>
      </c>
      <c r="M71" s="321" t="s">
        <v>45</v>
      </c>
      <c r="N71" s="248" t="s">
        <v>45</v>
      </c>
      <c r="O71" s="248"/>
      <c r="P71" s="248" t="s">
        <v>45</v>
      </c>
      <c r="Q71" s="249" t="s">
        <v>45</v>
      </c>
      <c r="R71" s="249" t="s">
        <v>45</v>
      </c>
      <c r="S71" s="249" t="s">
        <v>45</v>
      </c>
      <c r="T71" s="86"/>
      <c r="U71" s="86"/>
      <c r="V71" s="86"/>
      <c r="W71" s="86"/>
      <c r="X71" s="86"/>
      <c r="Y71" s="86"/>
      <c r="Z71" s="86"/>
      <c r="AA71" s="86"/>
      <c r="AB71" s="86"/>
    </row>
    <row r="72" hidden="1" outlineLevel="1">
      <c r="A72" s="193"/>
      <c r="B72" s="210"/>
      <c r="C72" s="225"/>
      <c r="D72" s="459"/>
      <c r="E72" s="508"/>
      <c r="F72" s="531" t="s">
        <v>214</v>
      </c>
      <c r="G72" s="526"/>
      <c r="H72" s="241"/>
      <c r="I72" s="320"/>
      <c r="J72" s="243" t="s">
        <v>45</v>
      </c>
      <c r="K72" s="243" t="s">
        <v>45</v>
      </c>
      <c r="L72" s="243" t="s">
        <v>45</v>
      </c>
      <c r="M72" s="321" t="s">
        <v>45</v>
      </c>
      <c r="N72" s="248" t="s">
        <v>45</v>
      </c>
      <c r="O72" s="248"/>
      <c r="P72" s="248" t="s">
        <v>45</v>
      </c>
      <c r="Q72" s="249" t="s">
        <v>45</v>
      </c>
      <c r="R72" s="249" t="s">
        <v>45</v>
      </c>
      <c r="S72" s="249" t="s">
        <v>45</v>
      </c>
      <c r="T72" s="86"/>
      <c r="U72" s="86"/>
      <c r="V72" s="86"/>
      <c r="W72" s="86"/>
      <c r="X72" s="86"/>
      <c r="Y72" s="86"/>
      <c r="Z72" s="86"/>
      <c r="AA72" s="86"/>
      <c r="AB72" s="86"/>
    </row>
    <row r="73" collapsed="1">
      <c r="A73" s="193"/>
      <c r="B73" s="210"/>
      <c r="C73" s="225"/>
      <c r="D73" s="225"/>
      <c r="E73" s="515" t="s">
        <v>416</v>
      </c>
      <c r="F73" s="213"/>
      <c r="G73" s="516"/>
      <c r="H73" s="517"/>
      <c r="I73" s="519"/>
      <c r="J73" s="520" t="s">
        <v>45</v>
      </c>
      <c r="K73" s="520" t="s">
        <v>45</v>
      </c>
      <c r="L73" s="520" t="s">
        <v>45</v>
      </c>
      <c r="M73" s="521" t="s">
        <v>45</v>
      </c>
      <c r="N73" s="522" t="s">
        <v>45</v>
      </c>
      <c r="O73" s="522"/>
      <c r="P73" s="522" t="s">
        <v>45</v>
      </c>
      <c r="Q73" s="523" t="s">
        <v>45</v>
      </c>
      <c r="R73" s="523" t="s">
        <v>45</v>
      </c>
      <c r="S73" s="523" t="s">
        <v>45</v>
      </c>
      <c r="T73" s="86"/>
      <c r="U73" s="86"/>
      <c r="V73" s="86"/>
      <c r="W73" s="86"/>
      <c r="X73" s="86"/>
      <c r="Y73" s="86"/>
      <c r="Z73" s="86"/>
      <c r="AA73" s="86"/>
      <c r="AB73" s="86"/>
    </row>
    <row r="74" hidden="1" outlineLevel="1">
      <c r="A74" s="193"/>
      <c r="B74" s="210"/>
      <c r="C74" s="225"/>
      <c r="D74" s="459"/>
      <c r="E74" s="508"/>
      <c r="F74" s="531" t="s">
        <v>208</v>
      </c>
      <c r="G74" s="526"/>
      <c r="H74" s="241"/>
      <c r="I74" s="532"/>
      <c r="J74" s="243" t="s">
        <v>45</v>
      </c>
      <c r="K74" s="243" t="s">
        <v>45</v>
      </c>
      <c r="L74" s="243" t="s">
        <v>45</v>
      </c>
      <c r="M74" s="321" t="s">
        <v>45</v>
      </c>
      <c r="N74" s="248" t="s">
        <v>45</v>
      </c>
      <c r="O74" s="248"/>
      <c r="P74" s="248" t="s">
        <v>45</v>
      </c>
      <c r="Q74" s="249" t="s">
        <v>45</v>
      </c>
      <c r="R74" s="249" t="s">
        <v>45</v>
      </c>
      <c r="S74" s="249" t="s">
        <v>45</v>
      </c>
      <c r="T74" s="86"/>
      <c r="U74" s="86"/>
      <c r="V74" s="86"/>
      <c r="W74" s="86"/>
      <c r="X74" s="86"/>
      <c r="Y74" s="86"/>
      <c r="Z74" s="86"/>
      <c r="AA74" s="86"/>
      <c r="AB74" s="86"/>
    </row>
    <row r="75" hidden="1" outlineLevel="1">
      <c r="A75" s="193"/>
      <c r="B75" s="210"/>
      <c r="C75" s="225"/>
      <c r="D75" s="459"/>
      <c r="E75" s="508"/>
      <c r="F75" s="531" t="s">
        <v>217</v>
      </c>
      <c r="G75" s="526"/>
      <c r="H75" s="241"/>
      <c r="I75" s="532"/>
      <c r="J75" s="243" t="s">
        <v>45</v>
      </c>
      <c r="K75" s="243" t="s">
        <v>45</v>
      </c>
      <c r="L75" s="243" t="s">
        <v>45</v>
      </c>
      <c r="M75" s="321" t="s">
        <v>45</v>
      </c>
      <c r="N75" s="248" t="s">
        <v>45</v>
      </c>
      <c r="O75" s="248"/>
      <c r="P75" s="248" t="s">
        <v>45</v>
      </c>
      <c r="Q75" s="249" t="s">
        <v>45</v>
      </c>
      <c r="R75" s="249" t="s">
        <v>45</v>
      </c>
      <c r="S75" s="249" t="s">
        <v>45</v>
      </c>
      <c r="T75" s="86"/>
      <c r="U75" s="86"/>
      <c r="V75" s="86"/>
      <c r="W75" s="86"/>
      <c r="X75" s="86"/>
      <c r="Y75" s="86"/>
      <c r="Z75" s="86"/>
      <c r="AA75" s="86"/>
      <c r="AB75" s="86"/>
    </row>
    <row r="76" hidden="1" outlineLevel="1">
      <c r="A76" s="193"/>
      <c r="B76" s="210"/>
      <c r="C76" s="225"/>
      <c r="D76" s="459"/>
      <c r="E76" s="508"/>
      <c r="F76" s="533" t="s">
        <v>221</v>
      </c>
      <c r="G76" s="534"/>
      <c r="H76" s="241"/>
      <c r="I76" s="532"/>
      <c r="J76" s="243" t="s">
        <v>45</v>
      </c>
      <c r="K76" s="243" t="s">
        <v>45</v>
      </c>
      <c r="L76" s="243" t="s">
        <v>45</v>
      </c>
      <c r="M76" s="321" t="s">
        <v>45</v>
      </c>
      <c r="N76" s="248" t="s">
        <v>45</v>
      </c>
      <c r="O76" s="248"/>
      <c r="P76" s="248" t="s">
        <v>45</v>
      </c>
      <c r="Q76" s="249" t="s">
        <v>45</v>
      </c>
      <c r="R76" s="249" t="s">
        <v>45</v>
      </c>
      <c r="S76" s="249" t="s">
        <v>45</v>
      </c>
      <c r="T76" s="86"/>
      <c r="U76" s="86"/>
      <c r="V76" s="86"/>
      <c r="W76" s="86"/>
      <c r="X76" s="86"/>
      <c r="Y76" s="86"/>
      <c r="Z76" s="86"/>
      <c r="AA76" s="86"/>
      <c r="AB76" s="86"/>
    </row>
    <row r="77">
      <c r="A77" s="193"/>
      <c r="B77" s="210"/>
      <c r="C77" s="225"/>
      <c r="D77" s="282" t="s">
        <v>417</v>
      </c>
      <c r="E77" s="212"/>
      <c r="F77" s="213"/>
      <c r="G77" s="455"/>
      <c r="H77" s="227"/>
      <c r="I77" s="325"/>
      <c r="J77" s="229" t="s">
        <v>45</v>
      </c>
      <c r="K77" s="229" t="s">
        <v>45</v>
      </c>
      <c r="L77" s="229" t="s">
        <v>45</v>
      </c>
      <c r="M77" s="328" t="s">
        <v>45</v>
      </c>
      <c r="N77" s="234" t="s">
        <v>45</v>
      </c>
      <c r="O77" s="234"/>
      <c r="P77" s="234" t="s">
        <v>45</v>
      </c>
      <c r="Q77" s="235" t="s">
        <v>45</v>
      </c>
      <c r="R77" s="235" t="s">
        <v>45</v>
      </c>
      <c r="S77" s="235" t="s">
        <v>45</v>
      </c>
      <c r="T77" s="86"/>
      <c r="U77" s="86"/>
      <c r="V77" s="86"/>
      <c r="W77" s="86"/>
      <c r="X77" s="86"/>
      <c r="Y77" s="86"/>
      <c r="Z77" s="86"/>
      <c r="AA77" s="86"/>
      <c r="AB77" s="86"/>
    </row>
    <row r="78">
      <c r="A78" s="193"/>
      <c r="B78" s="210"/>
      <c r="C78" s="225"/>
      <c r="D78" s="282" t="s">
        <v>418</v>
      </c>
      <c r="E78" s="212"/>
      <c r="F78" s="213"/>
      <c r="G78" s="455"/>
      <c r="H78" s="227"/>
      <c r="I78" s="325"/>
      <c r="J78" s="229" t="s">
        <v>45</v>
      </c>
      <c r="K78" s="229" t="s">
        <v>45</v>
      </c>
      <c r="L78" s="229" t="s">
        <v>45</v>
      </c>
      <c r="M78" s="328" t="s">
        <v>45</v>
      </c>
      <c r="N78" s="234" t="s">
        <v>45</v>
      </c>
      <c r="O78" s="234"/>
      <c r="P78" s="234" t="s">
        <v>45</v>
      </c>
      <c r="Q78" s="235" t="s">
        <v>45</v>
      </c>
      <c r="R78" s="235" t="s">
        <v>45</v>
      </c>
      <c r="S78" s="235" t="s">
        <v>45</v>
      </c>
      <c r="T78" s="86"/>
      <c r="U78" s="86"/>
      <c r="V78" s="86"/>
      <c r="W78" s="86"/>
      <c r="X78" s="86"/>
      <c r="Y78" s="86"/>
      <c r="Z78" s="86"/>
      <c r="AA78" s="86"/>
      <c r="AB78" s="86"/>
    </row>
    <row r="79" collapsed="1">
      <c r="A79" s="193"/>
      <c r="B79" s="210"/>
      <c r="C79" s="211" t="s">
        <v>419</v>
      </c>
      <c r="D79" s="212"/>
      <c r="E79" s="212"/>
      <c r="F79" s="213"/>
      <c r="G79" s="214"/>
      <c r="H79" s="497" t="s">
        <v>420</v>
      </c>
      <c r="I79" s="535" t="s">
        <v>421</v>
      </c>
      <c r="J79" s="216" t="s">
        <v>45</v>
      </c>
      <c r="K79" s="216" t="s">
        <v>45</v>
      </c>
      <c r="L79" s="258" t="s">
        <v>45</v>
      </c>
      <c r="M79" s="313" t="s">
        <v>45</v>
      </c>
      <c r="N79" s="262" t="s">
        <v>45</v>
      </c>
      <c r="O79" s="262"/>
      <c r="P79" s="221" t="s">
        <v>45</v>
      </c>
      <c r="Q79" s="222" t="s">
        <v>45</v>
      </c>
      <c r="R79" s="222" t="s">
        <v>45</v>
      </c>
      <c r="S79" s="222" t="s">
        <v>45</v>
      </c>
      <c r="T79" s="86"/>
      <c r="U79" s="86"/>
      <c r="V79" s="86"/>
      <c r="W79" s="86"/>
      <c r="X79" s="86"/>
      <c r="Y79" s="86"/>
      <c r="Z79" s="86"/>
      <c r="AA79" s="86"/>
      <c r="AB79" s="86"/>
    </row>
    <row r="80" hidden="1" outlineLevel="1">
      <c r="A80" s="193"/>
      <c r="B80" s="210"/>
      <c r="C80" s="225"/>
      <c r="D80" s="423" t="s">
        <v>105</v>
      </c>
      <c r="E80" s="212"/>
      <c r="F80" s="213"/>
      <c r="G80" s="240"/>
      <c r="H80" s="342"/>
      <c r="I80" s="242" t="s">
        <v>45</v>
      </c>
      <c r="J80" s="243" t="s">
        <v>45</v>
      </c>
      <c r="K80" s="243" t="s">
        <v>45</v>
      </c>
      <c r="L80" s="243" t="s">
        <v>45</v>
      </c>
      <c r="M80" s="321" t="s">
        <v>45</v>
      </c>
      <c r="N80" s="248" t="s">
        <v>45</v>
      </c>
      <c r="O80" s="248"/>
      <c r="P80" s="248" t="s">
        <v>45</v>
      </c>
      <c r="Q80" s="249" t="s">
        <v>45</v>
      </c>
      <c r="R80" s="249" t="s">
        <v>45</v>
      </c>
      <c r="S80" s="249" t="s">
        <v>45</v>
      </c>
      <c r="T80" s="86"/>
      <c r="U80" s="86"/>
      <c r="V80" s="86"/>
      <c r="W80" s="86"/>
      <c r="X80" s="86"/>
      <c r="Y80" s="86"/>
      <c r="Z80" s="86"/>
      <c r="AA80" s="86"/>
      <c r="AB80" s="86"/>
    </row>
    <row r="81" collapsed="1">
      <c r="A81" s="193"/>
      <c r="B81" s="210"/>
      <c r="C81" s="211" t="s">
        <v>423</v>
      </c>
      <c r="D81" s="212"/>
      <c r="E81" s="212"/>
      <c r="F81" s="213"/>
      <c r="G81" s="497"/>
      <c r="H81" s="214" t="s">
        <v>424</v>
      </c>
      <c r="I81" s="311"/>
      <c r="J81" s="216" t="s">
        <v>45</v>
      </c>
      <c r="K81" s="216" t="s">
        <v>45</v>
      </c>
      <c r="L81" s="258" t="s">
        <v>45</v>
      </c>
      <c r="M81" s="313" t="s">
        <v>45</v>
      </c>
      <c r="N81" s="262" t="s">
        <v>45</v>
      </c>
      <c r="O81" s="262"/>
      <c r="P81" s="221" t="s">
        <v>45</v>
      </c>
      <c r="Q81" s="222" t="s">
        <v>45</v>
      </c>
      <c r="R81" s="222" t="s">
        <v>45</v>
      </c>
      <c r="S81" s="222" t="s">
        <v>45</v>
      </c>
      <c r="T81" s="86"/>
      <c r="U81" s="86"/>
      <c r="V81" s="86"/>
      <c r="W81" s="86"/>
      <c r="X81" s="86"/>
      <c r="Y81" s="86"/>
      <c r="Z81" s="86"/>
      <c r="AA81" s="86"/>
      <c r="AB81" s="86"/>
    </row>
    <row r="82" hidden="1" outlineLevel="1">
      <c r="A82" s="193"/>
      <c r="B82" s="537"/>
      <c r="C82" s="538"/>
      <c r="D82" s="486" t="s">
        <v>90</v>
      </c>
      <c r="E82" s="212"/>
      <c r="F82" s="213"/>
      <c r="G82" s="319"/>
      <c r="H82" s="539"/>
      <c r="I82" s="540"/>
      <c r="J82" s="243" t="s">
        <v>45</v>
      </c>
      <c r="K82" s="243" t="s">
        <v>45</v>
      </c>
      <c r="L82" s="243" t="s">
        <v>45</v>
      </c>
      <c r="M82" s="321" t="s">
        <v>45</v>
      </c>
      <c r="N82" s="248" t="s">
        <v>45</v>
      </c>
      <c r="O82" s="248"/>
      <c r="P82" s="248" t="s">
        <v>45</v>
      </c>
      <c r="Q82" s="249" t="s">
        <v>45</v>
      </c>
      <c r="R82" s="249" t="s">
        <v>45</v>
      </c>
      <c r="S82" s="249" t="s">
        <v>45</v>
      </c>
      <c r="T82" s="541"/>
      <c r="U82" s="541"/>
      <c r="V82" s="541"/>
      <c r="W82" s="541"/>
      <c r="X82" s="541"/>
      <c r="Y82" s="541"/>
      <c r="Z82" s="541"/>
      <c r="AA82" s="541"/>
      <c r="AB82" s="541"/>
    </row>
    <row r="83" hidden="1" outlineLevel="1">
      <c r="A83" s="193"/>
      <c r="B83" s="537"/>
      <c r="C83" s="538"/>
      <c r="D83" s="486" t="s">
        <v>137</v>
      </c>
      <c r="E83" s="212"/>
      <c r="F83" s="213"/>
      <c r="G83" s="319"/>
      <c r="H83" s="539"/>
      <c r="I83" s="540"/>
      <c r="J83" s="243" t="s">
        <v>45</v>
      </c>
      <c r="K83" s="243" t="s">
        <v>45</v>
      </c>
      <c r="L83" s="243" t="s">
        <v>45</v>
      </c>
      <c r="M83" s="321" t="s">
        <v>45</v>
      </c>
      <c r="N83" s="248" t="s">
        <v>45</v>
      </c>
      <c r="O83" s="248"/>
      <c r="P83" s="248" t="s">
        <v>45</v>
      </c>
      <c r="Q83" s="249" t="s">
        <v>45</v>
      </c>
      <c r="R83" s="249" t="s">
        <v>45</v>
      </c>
      <c r="S83" s="249" t="s">
        <v>45</v>
      </c>
      <c r="T83" s="541"/>
      <c r="U83" s="541"/>
      <c r="V83" s="541"/>
      <c r="W83" s="541"/>
      <c r="X83" s="541"/>
      <c r="Y83" s="541"/>
      <c r="Z83" s="541"/>
      <c r="AA83" s="541"/>
      <c r="AB83" s="541"/>
    </row>
    <row r="84" hidden="1" outlineLevel="1">
      <c r="A84" s="193"/>
      <c r="B84" s="537"/>
      <c r="C84" s="538"/>
      <c r="D84" s="486" t="s">
        <v>96</v>
      </c>
      <c r="E84" s="212"/>
      <c r="F84" s="213"/>
      <c r="G84" s="319"/>
      <c r="H84" s="539"/>
      <c r="I84" s="540"/>
      <c r="J84" s="243" t="s">
        <v>45</v>
      </c>
      <c r="K84" s="243" t="s">
        <v>45</v>
      </c>
      <c r="L84" s="243" t="s">
        <v>45</v>
      </c>
      <c r="M84" s="321" t="s">
        <v>45</v>
      </c>
      <c r="N84" s="248" t="s">
        <v>45</v>
      </c>
      <c r="O84" s="248"/>
      <c r="P84" s="248" t="s">
        <v>45</v>
      </c>
      <c r="Q84" s="249" t="s">
        <v>45</v>
      </c>
      <c r="R84" s="249" t="s">
        <v>45</v>
      </c>
      <c r="S84" s="249" t="s">
        <v>45</v>
      </c>
      <c r="T84" s="541"/>
      <c r="U84" s="541"/>
      <c r="V84" s="541"/>
      <c r="W84" s="541"/>
      <c r="X84" s="541"/>
      <c r="Y84" s="541"/>
      <c r="Z84" s="541"/>
      <c r="AA84" s="541"/>
      <c r="AB84" s="541"/>
    </row>
    <row r="85" hidden="1" outlineLevel="1">
      <c r="A85" s="193"/>
      <c r="B85" s="537"/>
      <c r="C85" s="542"/>
      <c r="D85" s="543" t="s">
        <v>99</v>
      </c>
      <c r="E85" s="4"/>
      <c r="F85" s="5"/>
      <c r="G85" s="319"/>
      <c r="H85" s="539"/>
      <c r="I85" s="540"/>
      <c r="J85" s="243" t="s">
        <v>45</v>
      </c>
      <c r="K85" s="243" t="s">
        <v>45</v>
      </c>
      <c r="L85" s="243" t="s">
        <v>45</v>
      </c>
      <c r="M85" s="321" t="s">
        <v>45</v>
      </c>
      <c r="N85" s="248" t="s">
        <v>45</v>
      </c>
      <c r="O85" s="248"/>
      <c r="P85" s="248" t="s">
        <v>45</v>
      </c>
      <c r="Q85" s="249" t="s">
        <v>45</v>
      </c>
      <c r="R85" s="249" t="s">
        <v>45</v>
      </c>
      <c r="S85" s="249" t="s">
        <v>45</v>
      </c>
      <c r="T85" s="541"/>
      <c r="U85" s="541"/>
      <c r="V85" s="541"/>
      <c r="W85" s="541"/>
      <c r="X85" s="541"/>
      <c r="Y85" s="541"/>
      <c r="Z85" s="541"/>
      <c r="AA85" s="541"/>
      <c r="AB85" s="541"/>
    </row>
    <row r="86">
      <c r="A86" s="193"/>
      <c r="B86" s="210"/>
      <c r="C86" s="211" t="s">
        <v>425</v>
      </c>
      <c r="D86" s="212"/>
      <c r="E86" s="212"/>
      <c r="F86" s="213"/>
      <c r="G86" s="214"/>
      <c r="H86" s="214" t="s">
        <v>426</v>
      </c>
      <c r="I86" s="311"/>
      <c r="J86" s="216" t="s">
        <v>45</v>
      </c>
      <c r="K86" s="216" t="s">
        <v>45</v>
      </c>
      <c r="L86" s="258" t="s">
        <v>45</v>
      </c>
      <c r="M86" s="313" t="s">
        <v>45</v>
      </c>
      <c r="N86" s="262" t="s">
        <v>45</v>
      </c>
      <c r="O86" s="262"/>
      <c r="P86" s="221" t="s">
        <v>45</v>
      </c>
      <c r="Q86" s="222" t="s">
        <v>45</v>
      </c>
      <c r="R86" s="222" t="s">
        <v>45</v>
      </c>
      <c r="S86" s="222" t="s">
        <v>45</v>
      </c>
      <c r="T86" s="86"/>
      <c r="U86" s="86"/>
      <c r="V86" s="86"/>
      <c r="W86" s="86"/>
      <c r="X86" s="86"/>
      <c r="Y86" s="86"/>
      <c r="Z86" s="86"/>
      <c r="AA86" s="86"/>
      <c r="AB86" s="86"/>
    </row>
    <row r="87" collapsed="1">
      <c r="A87" s="193"/>
      <c r="B87" s="210"/>
      <c r="C87" s="225"/>
      <c r="D87" s="282" t="s">
        <v>427</v>
      </c>
      <c r="E87" s="212"/>
      <c r="F87" s="213"/>
      <c r="G87" s="227"/>
      <c r="H87" s="227"/>
      <c r="I87" s="325"/>
      <c r="J87" s="229" t="s">
        <v>45</v>
      </c>
      <c r="K87" s="229" t="s">
        <v>45</v>
      </c>
      <c r="L87" s="229" t="s">
        <v>45</v>
      </c>
      <c r="M87" s="328" t="s">
        <v>45</v>
      </c>
      <c r="N87" s="234" t="s">
        <v>45</v>
      </c>
      <c r="O87" s="234"/>
      <c r="P87" s="234" t="s">
        <v>45</v>
      </c>
      <c r="Q87" s="235" t="s">
        <v>45</v>
      </c>
      <c r="R87" s="235" t="s">
        <v>45</v>
      </c>
      <c r="S87" s="235" t="s">
        <v>45</v>
      </c>
      <c r="T87" s="86"/>
      <c r="U87" s="86"/>
      <c r="V87" s="86"/>
      <c r="W87" s="86"/>
      <c r="X87" s="86"/>
      <c r="Y87" s="86"/>
      <c r="Z87" s="86"/>
      <c r="AA87" s="86"/>
      <c r="AB87" s="86"/>
    </row>
    <row r="88" hidden="1" outlineLevel="1">
      <c r="A88" s="193"/>
      <c r="B88" s="210"/>
      <c r="C88" s="225"/>
      <c r="D88" s="225"/>
      <c r="E88" s="252" t="s">
        <v>287</v>
      </c>
      <c r="F88" s="213"/>
      <c r="G88" s="319"/>
      <c r="H88" s="241"/>
      <c r="I88" s="320"/>
      <c r="J88" s="243" t="s">
        <v>45</v>
      </c>
      <c r="K88" s="243" t="s">
        <v>45</v>
      </c>
      <c r="L88" s="243" t="s">
        <v>45</v>
      </c>
      <c r="M88" s="321" t="s">
        <v>45</v>
      </c>
      <c r="N88" s="248" t="s">
        <v>45</v>
      </c>
      <c r="O88" s="248"/>
      <c r="P88" s="248" t="s">
        <v>45</v>
      </c>
      <c r="Q88" s="249" t="s">
        <v>45</v>
      </c>
      <c r="R88" s="249" t="s">
        <v>45</v>
      </c>
      <c r="S88" s="249" t="s">
        <v>45</v>
      </c>
      <c r="T88" s="86"/>
      <c r="U88" s="86"/>
      <c r="V88" s="86"/>
      <c r="W88" s="86"/>
      <c r="X88" s="86"/>
      <c r="Y88" s="86"/>
      <c r="Z88" s="86"/>
      <c r="AA88" s="86"/>
      <c r="AB88" s="86"/>
    </row>
    <row r="89" collapsed="1">
      <c r="A89" s="193"/>
      <c r="B89" s="210"/>
      <c r="C89" s="225"/>
      <c r="D89" s="282" t="s">
        <v>84</v>
      </c>
      <c r="E89" s="212"/>
      <c r="F89" s="213"/>
      <c r="G89" s="227"/>
      <c r="H89" s="227"/>
      <c r="I89" s="325"/>
      <c r="J89" s="229" t="s">
        <v>45</v>
      </c>
      <c r="K89" s="229" t="s">
        <v>45</v>
      </c>
      <c r="L89" s="229" t="s">
        <v>45</v>
      </c>
      <c r="M89" s="328" t="s">
        <v>45</v>
      </c>
      <c r="N89" s="234" t="s">
        <v>45</v>
      </c>
      <c r="O89" s="234"/>
      <c r="P89" s="234" t="s">
        <v>45</v>
      </c>
      <c r="Q89" s="235" t="s">
        <v>45</v>
      </c>
      <c r="R89" s="235" t="s">
        <v>45</v>
      </c>
      <c r="S89" s="235" t="s">
        <v>45</v>
      </c>
      <c r="T89" s="86"/>
      <c r="U89" s="86"/>
      <c r="V89" s="86"/>
      <c r="W89" s="86"/>
      <c r="X89" s="86"/>
      <c r="Y89" s="86"/>
      <c r="Z89" s="86"/>
      <c r="AA89" s="86"/>
      <c r="AB89" s="86"/>
    </row>
    <row r="90" hidden="1" outlineLevel="1">
      <c r="A90" s="193"/>
      <c r="B90" s="210"/>
      <c r="C90" s="225"/>
      <c r="D90" s="225"/>
      <c r="E90" s="239" t="s">
        <v>118</v>
      </c>
      <c r="F90" s="213"/>
      <c r="G90" s="319"/>
      <c r="H90" s="241"/>
      <c r="I90" s="320"/>
      <c r="J90" s="243" t="s">
        <v>45</v>
      </c>
      <c r="K90" s="243" t="s">
        <v>45</v>
      </c>
      <c r="L90" s="243" t="s">
        <v>45</v>
      </c>
      <c r="M90" s="321" t="s">
        <v>45</v>
      </c>
      <c r="N90" s="248" t="s">
        <v>45</v>
      </c>
      <c r="O90" s="248"/>
      <c r="P90" s="248" t="s">
        <v>45</v>
      </c>
      <c r="Q90" s="249" t="s">
        <v>45</v>
      </c>
      <c r="R90" s="249" t="s">
        <v>45</v>
      </c>
      <c r="S90" s="249" t="s">
        <v>45</v>
      </c>
      <c r="T90" s="86"/>
      <c r="U90" s="86"/>
      <c r="V90" s="86"/>
      <c r="W90" s="86"/>
      <c r="X90" s="86"/>
      <c r="Y90" s="86"/>
      <c r="Z90" s="86"/>
      <c r="AA90" s="86"/>
      <c r="AB90" s="86"/>
    </row>
    <row r="91" hidden="1" outlineLevel="1">
      <c r="A91" s="193"/>
      <c r="B91" s="210"/>
      <c r="C91" s="225"/>
      <c r="D91" s="225"/>
      <c r="E91" s="546" t="s">
        <v>120</v>
      </c>
      <c r="F91" s="547"/>
      <c r="G91" s="548"/>
      <c r="H91" s="241"/>
      <c r="I91" s="320"/>
      <c r="J91" s="243" t="s">
        <v>45</v>
      </c>
      <c r="K91" s="243" t="s">
        <v>45</v>
      </c>
      <c r="L91" s="243" t="s">
        <v>45</v>
      </c>
      <c r="M91" s="321" t="s">
        <v>45</v>
      </c>
      <c r="N91" s="248" t="s">
        <v>45</v>
      </c>
      <c r="O91" s="248"/>
      <c r="P91" s="248" t="s">
        <v>45</v>
      </c>
      <c r="Q91" s="249" t="s">
        <v>45</v>
      </c>
      <c r="R91" s="249" t="s">
        <v>45</v>
      </c>
      <c r="S91" s="249" t="s">
        <v>45</v>
      </c>
      <c r="T91" s="86"/>
      <c r="U91" s="86"/>
      <c r="V91" s="86"/>
      <c r="W91" s="86"/>
      <c r="X91" s="86"/>
      <c r="Y91" s="86"/>
      <c r="Z91" s="86"/>
      <c r="AA91" s="86"/>
      <c r="AB91" s="86"/>
    </row>
    <row r="92" hidden="1" outlineLevel="1">
      <c r="A92" s="193"/>
      <c r="B92" s="210"/>
      <c r="C92" s="225"/>
      <c r="D92" s="236"/>
      <c r="E92" s="546" t="s">
        <v>122</v>
      </c>
      <c r="F92" s="547"/>
      <c r="G92" s="548"/>
      <c r="H92" s="550"/>
      <c r="I92" s="320"/>
      <c r="J92" s="243" t="s">
        <v>45</v>
      </c>
      <c r="K92" s="243" t="s">
        <v>45</v>
      </c>
      <c r="L92" s="243" t="s">
        <v>45</v>
      </c>
      <c r="M92" s="321" t="s">
        <v>45</v>
      </c>
      <c r="N92" s="248" t="s">
        <v>45</v>
      </c>
      <c r="O92" s="248"/>
      <c r="P92" s="248" t="s">
        <v>45</v>
      </c>
      <c r="Q92" s="249" t="s">
        <v>45</v>
      </c>
      <c r="R92" s="249" t="s">
        <v>45</v>
      </c>
      <c r="S92" s="249" t="s">
        <v>45</v>
      </c>
      <c r="T92" s="86"/>
      <c r="U92" s="86"/>
      <c r="V92" s="86"/>
      <c r="W92" s="86"/>
      <c r="X92" s="86"/>
      <c r="Y92" s="86"/>
      <c r="Z92" s="86"/>
      <c r="AA92" s="86"/>
      <c r="AB92" s="86"/>
    </row>
    <row r="93" hidden="1" outlineLevel="1">
      <c r="A93" s="193"/>
      <c r="B93" s="210"/>
      <c r="C93" s="225"/>
      <c r="D93" s="236"/>
      <c r="E93" s="546" t="s">
        <v>71</v>
      </c>
      <c r="F93" s="547"/>
      <c r="G93" s="548"/>
      <c r="H93" s="550"/>
      <c r="I93" s="320"/>
      <c r="J93" s="243" t="s">
        <v>45</v>
      </c>
      <c r="K93" s="243" t="s">
        <v>45</v>
      </c>
      <c r="L93" s="243" t="s">
        <v>45</v>
      </c>
      <c r="M93" s="321" t="s">
        <v>45</v>
      </c>
      <c r="N93" s="248" t="s">
        <v>45</v>
      </c>
      <c r="O93" s="248"/>
      <c r="P93" s="248" t="s">
        <v>45</v>
      </c>
      <c r="Q93" s="249" t="s">
        <v>45</v>
      </c>
      <c r="R93" s="249" t="s">
        <v>45</v>
      </c>
      <c r="S93" s="249" t="s">
        <v>45</v>
      </c>
      <c r="T93" s="86"/>
      <c r="U93" s="86"/>
      <c r="V93" s="86"/>
      <c r="W93" s="86"/>
      <c r="X93" s="86"/>
      <c r="Y93" s="86"/>
      <c r="Z93" s="86"/>
      <c r="AA93" s="86"/>
      <c r="AB93" s="86"/>
    </row>
    <row r="94" collapsed="1">
      <c r="A94" s="193"/>
      <c r="B94" s="210"/>
      <c r="C94" s="225"/>
      <c r="D94" s="282" t="s">
        <v>429</v>
      </c>
      <c r="E94" s="212"/>
      <c r="F94" s="213"/>
      <c r="G94" s="227"/>
      <c r="H94" s="227"/>
      <c r="I94" s="325"/>
      <c r="J94" s="229" t="s">
        <v>45</v>
      </c>
      <c r="K94" s="229" t="s">
        <v>45</v>
      </c>
      <c r="L94" s="229" t="s">
        <v>45</v>
      </c>
      <c r="M94" s="328" t="s">
        <v>45</v>
      </c>
      <c r="N94" s="234" t="s">
        <v>45</v>
      </c>
      <c r="O94" s="234"/>
      <c r="P94" s="234" t="s">
        <v>45</v>
      </c>
      <c r="Q94" s="235" t="s">
        <v>45</v>
      </c>
      <c r="R94" s="235" t="s">
        <v>45</v>
      </c>
      <c r="S94" s="235" t="s">
        <v>45</v>
      </c>
      <c r="T94" s="86"/>
      <c r="U94" s="86"/>
      <c r="V94" s="86"/>
      <c r="W94" s="86"/>
      <c r="X94" s="86"/>
      <c r="Y94" s="86"/>
      <c r="Z94" s="86"/>
      <c r="AA94" s="86"/>
      <c r="AB94" s="86"/>
    </row>
    <row r="95" hidden="1" outlineLevel="1">
      <c r="A95" s="193"/>
      <c r="B95" s="210"/>
      <c r="C95" s="225"/>
      <c r="D95" s="225"/>
      <c r="E95" s="239" t="s">
        <v>42</v>
      </c>
      <c r="F95" s="213"/>
      <c r="G95" s="319"/>
      <c r="H95" s="241"/>
      <c r="I95" s="320"/>
      <c r="J95" s="243" t="s">
        <v>45</v>
      </c>
      <c r="K95" s="243" t="s">
        <v>45</v>
      </c>
      <c r="L95" s="243" t="s">
        <v>45</v>
      </c>
      <c r="M95" s="321" t="s">
        <v>45</v>
      </c>
      <c r="N95" s="248" t="s">
        <v>45</v>
      </c>
      <c r="O95" s="248"/>
      <c r="P95" s="248" t="s">
        <v>45</v>
      </c>
      <c r="Q95" s="249" t="s">
        <v>45</v>
      </c>
      <c r="R95" s="249" t="s">
        <v>45</v>
      </c>
      <c r="S95" s="249" t="s">
        <v>45</v>
      </c>
      <c r="T95" s="86"/>
      <c r="U95" s="86"/>
      <c r="V95" s="86"/>
      <c r="W95" s="86"/>
      <c r="X95" s="86"/>
      <c r="Y95" s="86"/>
      <c r="Z95" s="86"/>
      <c r="AA95" s="86"/>
      <c r="AB95" s="86"/>
    </row>
    <row r="96">
      <c r="A96" s="193"/>
      <c r="B96" s="210"/>
      <c r="C96" s="225"/>
      <c r="D96" s="282" t="s">
        <v>430</v>
      </c>
      <c r="E96" s="212"/>
      <c r="F96" s="213"/>
      <c r="G96" s="227"/>
      <c r="H96" s="227"/>
      <c r="I96" s="325"/>
      <c r="J96" s="229" t="s">
        <v>45</v>
      </c>
      <c r="K96" s="229" t="s">
        <v>45</v>
      </c>
      <c r="L96" s="229" t="s">
        <v>45</v>
      </c>
      <c r="M96" s="328" t="s">
        <v>45</v>
      </c>
      <c r="N96" s="234" t="s">
        <v>45</v>
      </c>
      <c r="O96" s="234"/>
      <c r="P96" s="234" t="s">
        <v>45</v>
      </c>
      <c r="Q96" s="235" t="s">
        <v>45</v>
      </c>
      <c r="R96" s="235" t="s">
        <v>45</v>
      </c>
      <c r="S96" s="235" t="s">
        <v>45</v>
      </c>
      <c r="T96" s="86"/>
      <c r="U96" s="86"/>
      <c r="V96" s="86"/>
      <c r="W96" s="86"/>
      <c r="X96" s="86"/>
      <c r="Y96" s="86"/>
      <c r="Z96" s="86"/>
      <c r="AA96" s="86"/>
      <c r="AB96" s="86"/>
    </row>
    <row r="97">
      <c r="A97" s="193"/>
      <c r="B97" s="210"/>
      <c r="C97" s="211" t="s">
        <v>431</v>
      </c>
      <c r="D97" s="212"/>
      <c r="E97" s="212"/>
      <c r="F97" s="213"/>
      <c r="G97" s="214"/>
      <c r="H97" s="214" t="s">
        <v>432</v>
      </c>
      <c r="I97" s="311"/>
      <c r="J97" s="216" t="s">
        <v>45</v>
      </c>
      <c r="K97" s="216" t="s">
        <v>45</v>
      </c>
      <c r="L97" s="258" t="s">
        <v>45</v>
      </c>
      <c r="M97" s="313" t="s">
        <v>45</v>
      </c>
      <c r="N97" s="262" t="s">
        <v>45</v>
      </c>
      <c r="O97" s="262"/>
      <c r="P97" s="221" t="s">
        <v>45</v>
      </c>
      <c r="Q97" s="222" t="s">
        <v>45</v>
      </c>
      <c r="R97" s="222" t="s">
        <v>45</v>
      </c>
      <c r="S97" s="222" t="s">
        <v>45</v>
      </c>
      <c r="T97" s="86"/>
      <c r="U97" s="86"/>
      <c r="V97" s="86"/>
      <c r="W97" s="86"/>
      <c r="X97" s="86"/>
      <c r="Y97" s="86"/>
      <c r="Z97" s="86"/>
      <c r="AA97" s="86"/>
      <c r="AB97" s="86"/>
    </row>
    <row r="98" collapsed="1">
      <c r="A98" s="193"/>
      <c r="B98" s="210"/>
      <c r="C98" s="225"/>
      <c r="D98" s="282" t="s">
        <v>91</v>
      </c>
      <c r="E98" s="212"/>
      <c r="F98" s="213"/>
      <c r="G98" s="227"/>
      <c r="H98" s="227"/>
      <c r="I98" s="325"/>
      <c r="J98" s="229" t="s">
        <v>45</v>
      </c>
      <c r="K98" s="229" t="s">
        <v>45</v>
      </c>
      <c r="L98" s="229" t="s">
        <v>45</v>
      </c>
      <c r="M98" s="328" t="s">
        <v>45</v>
      </c>
      <c r="N98" s="234" t="s">
        <v>45</v>
      </c>
      <c r="O98" s="234"/>
      <c r="P98" s="234" t="s">
        <v>45</v>
      </c>
      <c r="Q98" s="235" t="s">
        <v>45</v>
      </c>
      <c r="R98" s="235" t="s">
        <v>45</v>
      </c>
      <c r="S98" s="235" t="s">
        <v>45</v>
      </c>
      <c r="T98" s="86"/>
      <c r="U98" s="86"/>
      <c r="V98" s="86"/>
      <c r="W98" s="86"/>
      <c r="X98" s="86"/>
      <c r="Y98" s="86"/>
      <c r="Z98" s="86"/>
      <c r="AA98" s="86"/>
      <c r="AB98" s="86"/>
    </row>
    <row r="99" hidden="1" outlineLevel="1">
      <c r="A99" s="193"/>
      <c r="B99" s="210"/>
      <c r="C99" s="225"/>
      <c r="D99" s="554"/>
      <c r="E99" s="239" t="s">
        <v>52</v>
      </c>
      <c r="F99" s="213"/>
      <c r="G99" s="319"/>
      <c r="H99" s="241"/>
      <c r="I99" s="320"/>
      <c r="J99" s="243" t="s">
        <v>45</v>
      </c>
      <c r="K99" s="243" t="s">
        <v>45</v>
      </c>
      <c r="L99" s="243" t="s">
        <v>45</v>
      </c>
      <c r="M99" s="321" t="s">
        <v>45</v>
      </c>
      <c r="N99" s="248" t="s">
        <v>45</v>
      </c>
      <c r="O99" s="248"/>
      <c r="P99" s="248" t="s">
        <v>45</v>
      </c>
      <c r="Q99" s="249" t="s">
        <v>45</v>
      </c>
      <c r="R99" s="249" t="s">
        <v>45</v>
      </c>
      <c r="S99" s="249" t="s">
        <v>45</v>
      </c>
      <c r="T99" s="86"/>
      <c r="U99" s="86"/>
      <c r="V99" s="86"/>
      <c r="W99" s="86"/>
      <c r="X99" s="86"/>
      <c r="Y99" s="86"/>
      <c r="Z99" s="86"/>
      <c r="AA99" s="86"/>
      <c r="AB99" s="86"/>
    </row>
    <row r="100">
      <c r="A100" s="555"/>
      <c r="B100" s="556"/>
      <c r="C100" s="557" t="s">
        <v>435</v>
      </c>
      <c r="D100" s="558"/>
      <c r="E100" s="558"/>
      <c r="F100" s="559"/>
      <c r="G100" s="561"/>
      <c r="H100" s="562"/>
      <c r="I100" s="564"/>
      <c r="J100" s="565" t="s">
        <v>45</v>
      </c>
      <c r="K100" s="565" t="s">
        <v>45</v>
      </c>
      <c r="L100" s="566" t="s">
        <v>45</v>
      </c>
      <c r="M100" s="567" t="s">
        <v>45</v>
      </c>
      <c r="N100" s="568" t="s">
        <v>45</v>
      </c>
      <c r="O100" s="568"/>
      <c r="P100" s="570" t="s">
        <v>45</v>
      </c>
      <c r="Q100" s="571" t="s">
        <v>45</v>
      </c>
      <c r="R100" s="571" t="s">
        <v>45</v>
      </c>
      <c r="S100" s="571" t="s">
        <v>45</v>
      </c>
      <c r="T100" s="86"/>
      <c r="U100" s="86"/>
      <c r="V100" s="86"/>
      <c r="W100" s="86"/>
      <c r="X100" s="86"/>
      <c r="Y100" s="86"/>
      <c r="Z100" s="86"/>
      <c r="AA100" s="86"/>
      <c r="AB100" s="86"/>
    </row>
    <row r="101">
      <c r="A101" s="572"/>
      <c r="B101" s="573"/>
      <c r="C101" s="574"/>
      <c r="D101" s="574"/>
      <c r="E101" s="575"/>
      <c r="F101" s="575"/>
      <c r="G101" s="574"/>
      <c r="H101" s="574"/>
      <c r="I101" s="574"/>
      <c r="J101" s="574"/>
      <c r="K101" s="574"/>
      <c r="L101" s="574"/>
      <c r="M101" s="574"/>
      <c r="N101" s="574"/>
      <c r="O101" s="574"/>
      <c r="P101" s="574"/>
      <c r="Q101" s="574"/>
      <c r="R101" s="574"/>
      <c r="S101" s="574"/>
      <c r="T101" s="574"/>
      <c r="U101" s="574"/>
      <c r="V101" s="576"/>
      <c r="W101" s="577"/>
      <c r="X101" s="577"/>
      <c r="Y101" s="577"/>
      <c r="Z101" s="577"/>
      <c r="AA101" s="577"/>
      <c r="AB101" s="574"/>
    </row>
  </sheetData>
  <mergeCells count="118">
    <mergeCell ref="M9:M10"/>
    <mergeCell ref="N9:N10"/>
    <mergeCell ref="O9:O10"/>
    <mergeCell ref="A7:F7"/>
    <mergeCell ref="A8:F8"/>
    <mergeCell ref="A9:F10"/>
    <mergeCell ref="I9:I10"/>
    <mergeCell ref="J9:J10"/>
    <mergeCell ref="K9:K10"/>
    <mergeCell ref="L9:L10"/>
    <mergeCell ref="B1:F3"/>
    <mergeCell ref="H1:L3"/>
    <mergeCell ref="P1:Q1"/>
    <mergeCell ref="P2:Q2"/>
    <mergeCell ref="P3:Q3"/>
    <mergeCell ref="B4:L4"/>
    <mergeCell ref="P4:Q4"/>
    <mergeCell ref="N7:N8"/>
    <mergeCell ref="O7:O8"/>
    <mergeCell ref="A6:F6"/>
    <mergeCell ref="H6:H7"/>
    <mergeCell ref="I6:Q6"/>
    <mergeCell ref="V6:AA6"/>
    <mergeCell ref="I7:I8"/>
    <mergeCell ref="M7:M8"/>
    <mergeCell ref="S7:S8"/>
    <mergeCell ref="P7:P8"/>
    <mergeCell ref="P9:P10"/>
    <mergeCell ref="R9:R10"/>
    <mergeCell ref="S9:S10"/>
    <mergeCell ref="R7:R8"/>
    <mergeCell ref="V7:V10"/>
    <mergeCell ref="W7:W10"/>
    <mergeCell ref="X7:X10"/>
    <mergeCell ref="Y7:Y10"/>
    <mergeCell ref="Z7:Z10"/>
    <mergeCell ref="AA7:AA10"/>
    <mergeCell ref="A11:F11"/>
    <mergeCell ref="B12:F12"/>
    <mergeCell ref="C13:F13"/>
    <mergeCell ref="D14:F14"/>
    <mergeCell ref="E15:F15"/>
    <mergeCell ref="E16:F16"/>
    <mergeCell ref="E17:F17"/>
    <mergeCell ref="E73:F73"/>
    <mergeCell ref="D77:F77"/>
    <mergeCell ref="D78:F78"/>
    <mergeCell ref="C79:F79"/>
    <mergeCell ref="D80:F80"/>
    <mergeCell ref="C81:F81"/>
    <mergeCell ref="D82:F82"/>
    <mergeCell ref="D83:F83"/>
    <mergeCell ref="D84:F84"/>
    <mergeCell ref="D85:F85"/>
    <mergeCell ref="C86:F86"/>
    <mergeCell ref="D87:F87"/>
    <mergeCell ref="E88:F88"/>
    <mergeCell ref="D89:F89"/>
    <mergeCell ref="C97:F97"/>
    <mergeCell ref="D98:F98"/>
    <mergeCell ref="E99:F99"/>
    <mergeCell ref="C100:F100"/>
    <mergeCell ref="E90:F90"/>
    <mergeCell ref="E91:F91"/>
    <mergeCell ref="E92:F92"/>
    <mergeCell ref="E93:F93"/>
    <mergeCell ref="D94:F94"/>
    <mergeCell ref="E95:F95"/>
    <mergeCell ref="D96:F96"/>
    <mergeCell ref="F18:G18"/>
    <mergeCell ref="F19:G19"/>
    <mergeCell ref="C20:F20"/>
    <mergeCell ref="E21:F21"/>
    <mergeCell ref="C22:F22"/>
    <mergeCell ref="D23:F23"/>
    <mergeCell ref="D24:F24"/>
    <mergeCell ref="C25:F25"/>
    <mergeCell ref="B26:F26"/>
    <mergeCell ref="C27:F27"/>
    <mergeCell ref="D28:F28"/>
    <mergeCell ref="D29:F29"/>
    <mergeCell ref="D30:F30"/>
    <mergeCell ref="E31:F31"/>
    <mergeCell ref="E32:F32"/>
    <mergeCell ref="E33:F33"/>
    <mergeCell ref="D34:F34"/>
    <mergeCell ref="E35:F35"/>
    <mergeCell ref="E36:F36"/>
    <mergeCell ref="E37:F37"/>
    <mergeCell ref="E38:F38"/>
    <mergeCell ref="D39:F39"/>
    <mergeCell ref="E40:F40"/>
    <mergeCell ref="D41:F41"/>
    <mergeCell ref="E42:F42"/>
    <mergeCell ref="E43:F43"/>
    <mergeCell ref="D44:F44"/>
    <mergeCell ref="E45:F45"/>
    <mergeCell ref="E46:F46"/>
    <mergeCell ref="E47:F47"/>
    <mergeCell ref="D48:F48"/>
    <mergeCell ref="E49:F49"/>
    <mergeCell ref="D50:F50"/>
    <mergeCell ref="E51:F51"/>
    <mergeCell ref="E52:F52"/>
    <mergeCell ref="D53:F53"/>
    <mergeCell ref="E54:F54"/>
    <mergeCell ref="E55:F55"/>
    <mergeCell ref="D56:F56"/>
    <mergeCell ref="E57:F57"/>
    <mergeCell ref="E58:F58"/>
    <mergeCell ref="E60:F60"/>
    <mergeCell ref="E62:F62"/>
    <mergeCell ref="E64:F64"/>
    <mergeCell ref="C65:F65"/>
    <mergeCell ref="D66:F66"/>
    <mergeCell ref="D67:F67"/>
    <mergeCell ref="D69:F69"/>
    <mergeCell ref="E70:F70"/>
  </mergeCells>
  <dataValidations>
    <dataValidation type="list" allowBlank="1" sqref="J11:K11 N11:O11 I12 M14 L20 L22:M22 L25 L26:M26 I79">
      <formula1>$W$7:$AA$10</formula1>
    </dataValidation>
  </dataValidations>
  <hyperlinks>
    <hyperlink r:id="rId1" ref="A6"/>
    <hyperlink r:id="rId2" ref="E15"/>
    <hyperlink r:id="rId3" location="gid=1703931589" ref="E16"/>
    <hyperlink r:id="rId4" ref="E17"/>
    <hyperlink r:id="rId5" location="gid=1955282419" ref="E18"/>
    <hyperlink r:id="rId6" location="gid=1955282419" ref="F18"/>
    <hyperlink r:id="rId7" location="gid=1127420381" ref="E19"/>
    <hyperlink r:id="rId8" location="gid=1127420381" ref="F19"/>
    <hyperlink r:id="rId9" ref="E21"/>
    <hyperlink r:id="rId10" ref="D28"/>
    <hyperlink r:id="rId11" location="gid=1047047273" ref="D29"/>
    <hyperlink r:id="rId12" ref="E31"/>
    <hyperlink r:id="rId13" ref="E32"/>
    <hyperlink r:id="rId14" location="gid=462638988" ref="E33"/>
    <hyperlink r:id="rId15" location="slide=id.g2ef224aea36_0_184" ref="E35"/>
    <hyperlink r:id="rId16" ref="E36"/>
    <hyperlink r:id="rId17" ref="E37"/>
    <hyperlink r:id="rId18" ref="E38"/>
    <hyperlink r:id="rId19" ref="E40"/>
    <hyperlink r:id="rId20" location="gid=219199286" ref="E42"/>
    <hyperlink r:id="rId21" location="gid=1768991485" ref="E43"/>
    <hyperlink r:id="rId22" location="gid=2108151244" ref="E45"/>
    <hyperlink r:id="rId23" ref="E46"/>
    <hyperlink r:id="rId24" ref="E47"/>
    <hyperlink r:id="rId25" ref="E49"/>
    <hyperlink r:id="rId26" ref="E51"/>
    <hyperlink r:id="rId27" ref="E52"/>
    <hyperlink r:id="rId28" ref="E54"/>
    <hyperlink r:id="rId29" location="gid=1635575579" ref="E55"/>
    <hyperlink r:id="rId30" location="gid=1653526820" ref="E57"/>
    <hyperlink r:id="rId31" location="gid=49451162" ref="E58"/>
    <hyperlink r:id="rId32" location="gid=1349872937" ref="E60"/>
    <hyperlink r:id="rId33" location="gid=835816859" ref="E62"/>
    <hyperlink r:id="rId34" location="gid=262412966" ref="E64"/>
    <hyperlink r:id="rId35" ref="D66"/>
    <hyperlink r:id="rId36" location="gid=1685132237" ref="F68"/>
    <hyperlink r:id="rId37" location="gid=230759614" ref="F71"/>
    <hyperlink r:id="rId38" ref="F72"/>
    <hyperlink r:id="rId39" ref="F74"/>
    <hyperlink r:id="rId40" ref="F75"/>
    <hyperlink r:id="rId41" ref="F76"/>
    <hyperlink r:id="rId42" ref="D80"/>
    <hyperlink r:id="rId43" location="gid=1255747145" ref="D82"/>
    <hyperlink r:id="rId44" ref="D83"/>
    <hyperlink r:id="rId45" location="gid=1768991485" ref="D84"/>
    <hyperlink r:id="rId46" location="gid=1643308101" ref="D85"/>
    <hyperlink r:id="rId47" location="gid=624193353" ref="E88"/>
    <hyperlink r:id="rId48" ref="E90"/>
    <hyperlink r:id="rId49" ref="E91"/>
    <hyperlink r:id="rId50" ref="E92"/>
    <hyperlink r:id="rId51" ref="E93"/>
    <hyperlink r:id="rId52" ref="E95"/>
    <hyperlink r:id="rId53" ref="E99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5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 outlineLevelRow="1"/>
  <cols>
    <col customWidth="1" min="1" max="1" width="2.5"/>
    <col customWidth="1" min="2" max="4" width="2.0"/>
    <col customWidth="1" min="5" max="5" width="3.0"/>
    <col customWidth="1" min="6" max="6" width="33.75"/>
    <col customWidth="1" min="7" max="7" width="9.88"/>
    <col customWidth="1" hidden="1" min="8" max="8" width="29.0"/>
    <col customWidth="1" min="9" max="9" width="20.25"/>
    <col customWidth="1" min="10" max="10" width="8.88"/>
    <col customWidth="1" min="11" max="11" width="21.0"/>
    <col customWidth="1" min="12" max="12" width="22.63"/>
    <col customWidth="1" min="13" max="13" width="16.75"/>
    <col customWidth="1" min="14" max="14" width="13.88"/>
    <col customWidth="1" min="15" max="16" width="2.5"/>
    <col customWidth="1" min="17" max="17" width="47.63"/>
    <col customWidth="1" min="18" max="22" width="10.63"/>
    <col customWidth="1" min="23" max="23" width="2.5"/>
  </cols>
  <sheetData>
    <row r="1" ht="22.5" hidden="1" customHeight="1">
      <c r="A1" s="75"/>
      <c r="B1" s="78"/>
      <c r="C1" s="79"/>
      <c r="D1" s="79"/>
      <c r="E1" s="79"/>
      <c r="F1" s="80"/>
      <c r="G1" s="81"/>
      <c r="H1" s="82" t="s">
        <v>114</v>
      </c>
      <c r="I1" s="79"/>
      <c r="J1" s="79"/>
      <c r="K1" s="79"/>
      <c r="L1" s="80"/>
      <c r="M1" s="84"/>
      <c r="N1" s="80"/>
      <c r="O1" s="85"/>
      <c r="P1" s="85"/>
      <c r="Q1" s="86"/>
      <c r="R1" s="87"/>
      <c r="S1" s="87"/>
      <c r="T1" s="87"/>
      <c r="U1" s="87"/>
      <c r="V1" s="87"/>
      <c r="W1" s="85"/>
    </row>
    <row r="2" ht="22.5" hidden="1" customHeight="1">
      <c r="A2" s="75"/>
      <c r="B2" s="88"/>
      <c r="F2" s="89"/>
      <c r="G2" s="81"/>
      <c r="H2" s="90"/>
      <c r="L2" s="89"/>
      <c r="M2" s="92"/>
      <c r="N2" s="89"/>
      <c r="O2" s="85"/>
      <c r="P2" s="85"/>
      <c r="Q2" s="86"/>
      <c r="R2" s="87"/>
      <c r="S2" s="87"/>
      <c r="T2" s="87"/>
      <c r="U2" s="87"/>
      <c r="V2" s="87"/>
      <c r="W2" s="85"/>
    </row>
    <row r="3" ht="22.5" hidden="1" customHeight="1">
      <c r="A3" s="75"/>
      <c r="B3" s="93"/>
      <c r="C3" s="94"/>
      <c r="D3" s="94"/>
      <c r="E3" s="94"/>
      <c r="F3" s="95"/>
      <c r="G3" s="81"/>
      <c r="H3" s="96"/>
      <c r="I3" s="94"/>
      <c r="J3" s="94"/>
      <c r="K3" s="94"/>
      <c r="L3" s="95"/>
      <c r="M3" s="98"/>
      <c r="N3" s="95"/>
      <c r="O3" s="85"/>
      <c r="P3" s="85"/>
      <c r="Q3" s="86"/>
      <c r="R3" s="87"/>
      <c r="S3" s="87"/>
      <c r="T3" s="87"/>
      <c r="U3" s="87"/>
      <c r="V3" s="87"/>
      <c r="W3" s="85"/>
    </row>
    <row r="4" ht="22.5" hidden="1" customHeight="1">
      <c r="A4" s="75"/>
      <c r="B4" s="99" t="s">
        <v>123</v>
      </c>
      <c r="C4" s="4"/>
      <c r="D4" s="4"/>
      <c r="E4" s="4"/>
      <c r="F4" s="4"/>
      <c r="G4" s="4"/>
      <c r="H4" s="4"/>
      <c r="I4" s="4"/>
      <c r="J4" s="4"/>
      <c r="K4" s="4"/>
      <c r="L4" s="5"/>
      <c r="M4" s="101"/>
      <c r="N4" s="95"/>
      <c r="O4" s="85"/>
      <c r="P4" s="85"/>
      <c r="Q4" s="86"/>
      <c r="R4" s="87"/>
      <c r="S4" s="87"/>
      <c r="T4" s="87"/>
      <c r="U4" s="87"/>
      <c r="V4" s="87"/>
      <c r="W4" s="85"/>
    </row>
    <row r="5" hidden="1">
      <c r="A5" s="75"/>
      <c r="B5" s="102"/>
      <c r="C5" s="103"/>
      <c r="D5" s="103"/>
      <c r="E5" s="103"/>
      <c r="F5" s="106"/>
      <c r="G5" s="106"/>
      <c r="H5" s="106"/>
      <c r="I5" s="107"/>
      <c r="J5" s="107"/>
      <c r="K5" s="107"/>
      <c r="L5" s="107"/>
      <c r="M5" s="107"/>
      <c r="N5" s="107"/>
      <c r="O5" s="85"/>
      <c r="P5" s="85"/>
      <c r="Q5" s="86"/>
      <c r="R5" s="87"/>
      <c r="S5" s="87"/>
      <c r="T5" s="87"/>
      <c r="U5" s="87"/>
      <c r="V5" s="87"/>
      <c r="W5" s="85"/>
    </row>
    <row r="6">
      <c r="A6" s="112" t="s">
        <v>286</v>
      </c>
      <c r="B6" s="113"/>
      <c r="C6" s="113"/>
      <c r="D6" s="113"/>
      <c r="E6" s="113"/>
      <c r="F6" s="114"/>
      <c r="G6" s="343"/>
      <c r="H6" s="344" t="s">
        <v>133</v>
      </c>
      <c r="I6" s="345" t="s">
        <v>288</v>
      </c>
      <c r="J6" s="113"/>
      <c r="K6" s="113"/>
      <c r="L6" s="113"/>
      <c r="M6" s="113"/>
      <c r="N6" s="118"/>
      <c r="O6" s="85"/>
      <c r="P6" s="85"/>
      <c r="Q6" s="346" t="s">
        <v>136</v>
      </c>
      <c r="R6" s="4"/>
      <c r="S6" s="4"/>
      <c r="T6" s="4"/>
      <c r="U6" s="4"/>
      <c r="V6" s="5"/>
      <c r="W6" s="85"/>
    </row>
    <row r="7">
      <c r="A7" s="347" t="s">
        <v>290</v>
      </c>
      <c r="B7" s="94"/>
      <c r="C7" s="94"/>
      <c r="D7" s="94"/>
      <c r="E7" s="94"/>
      <c r="F7" s="95"/>
      <c r="G7" s="348"/>
      <c r="H7" s="94"/>
      <c r="I7" s="349" t="s">
        <v>140</v>
      </c>
      <c r="J7" s="350" t="s">
        <v>293</v>
      </c>
      <c r="K7" s="350" t="s">
        <v>143</v>
      </c>
      <c r="L7" s="350" t="s">
        <v>144</v>
      </c>
      <c r="M7" s="351" t="s">
        <v>148</v>
      </c>
      <c r="N7" s="352" t="s">
        <v>150</v>
      </c>
      <c r="O7" s="103"/>
      <c r="P7" s="103"/>
      <c r="Q7" s="355" t="s">
        <v>153</v>
      </c>
      <c r="R7" s="357" t="s">
        <v>154</v>
      </c>
      <c r="S7" s="357" t="s">
        <v>155</v>
      </c>
      <c r="T7" s="357" t="s">
        <v>157</v>
      </c>
      <c r="U7" s="357" t="s">
        <v>158</v>
      </c>
      <c r="V7" s="358" t="s">
        <v>159</v>
      </c>
      <c r="W7" s="103"/>
    </row>
    <row r="8">
      <c r="A8" s="151" t="s">
        <v>169</v>
      </c>
      <c r="F8" s="89"/>
      <c r="G8" s="153" t="s">
        <v>171</v>
      </c>
      <c r="H8" s="360"/>
      <c r="I8" s="156" t="s">
        <v>297</v>
      </c>
      <c r="J8" s="157"/>
      <c r="K8" s="157" t="s">
        <v>298</v>
      </c>
      <c r="L8" s="157" t="s">
        <v>299</v>
      </c>
      <c r="M8" s="161" t="s">
        <v>182</v>
      </c>
      <c r="N8" s="163" t="s">
        <v>183</v>
      </c>
      <c r="O8" s="103"/>
      <c r="P8" s="103"/>
      <c r="Q8" s="362"/>
      <c r="R8" s="363" t="s">
        <v>301</v>
      </c>
      <c r="S8" s="363" t="s">
        <v>303</v>
      </c>
      <c r="T8" s="363" t="s">
        <v>304</v>
      </c>
      <c r="U8" s="363" t="s">
        <v>306</v>
      </c>
      <c r="V8" s="365" t="s">
        <v>307</v>
      </c>
      <c r="W8" s="103"/>
    </row>
    <row r="9">
      <c r="A9" s="367" t="s">
        <v>189</v>
      </c>
      <c r="B9" s="175"/>
      <c r="C9" s="175"/>
      <c r="D9" s="175"/>
      <c r="E9" s="175"/>
      <c r="F9" s="175"/>
      <c r="G9" s="368"/>
      <c r="H9" s="370"/>
      <c r="I9" s="371"/>
      <c r="J9" s="372" t="s">
        <v>154</v>
      </c>
      <c r="K9" s="373"/>
      <c r="L9" s="373"/>
      <c r="M9" s="374" t="s">
        <v>158</v>
      </c>
      <c r="N9" s="376" t="s">
        <v>159</v>
      </c>
      <c r="O9" s="103"/>
      <c r="P9" s="103"/>
      <c r="Q9" s="377" t="s">
        <v>196</v>
      </c>
      <c r="R9" s="190" t="s">
        <v>197</v>
      </c>
      <c r="S9" s="190" t="s">
        <v>197</v>
      </c>
      <c r="T9" s="190" t="s">
        <v>197</v>
      </c>
      <c r="U9" s="190" t="s">
        <v>197</v>
      </c>
      <c r="V9" s="378" t="s">
        <v>197</v>
      </c>
      <c r="W9" s="192"/>
    </row>
    <row r="10">
      <c r="A10" s="193"/>
      <c r="B10" s="382" t="s">
        <v>11</v>
      </c>
      <c r="C10" s="197"/>
      <c r="D10" s="197"/>
      <c r="E10" s="197"/>
      <c r="F10" s="198"/>
      <c r="G10" s="199"/>
      <c r="H10" s="199" t="s">
        <v>205</v>
      </c>
      <c r="I10" s="200"/>
      <c r="J10" s="202" t="s">
        <v>45</v>
      </c>
      <c r="K10" s="202"/>
      <c r="L10" s="202"/>
      <c r="M10" s="204" t="s">
        <v>45</v>
      </c>
      <c r="N10" s="384" t="s">
        <v>45</v>
      </c>
      <c r="O10" s="103"/>
      <c r="P10" s="103"/>
      <c r="Q10" s="386" t="s">
        <v>207</v>
      </c>
      <c r="R10" s="207" t="s">
        <v>197</v>
      </c>
      <c r="S10" s="207" t="s">
        <v>197</v>
      </c>
      <c r="T10" s="207" t="s">
        <v>197</v>
      </c>
      <c r="U10" s="207" t="s">
        <v>197</v>
      </c>
      <c r="V10" s="387"/>
      <c r="W10" s="209"/>
    </row>
    <row r="11">
      <c r="A11" s="193"/>
      <c r="B11" s="210"/>
      <c r="C11" s="390" t="s">
        <v>209</v>
      </c>
      <c r="D11" s="212"/>
      <c r="E11" s="212"/>
      <c r="F11" s="213"/>
      <c r="G11" s="214"/>
      <c r="H11" s="214" t="s">
        <v>211</v>
      </c>
      <c r="I11" s="215" t="s">
        <v>158</v>
      </c>
      <c r="J11" s="216" t="s">
        <v>45</v>
      </c>
      <c r="K11" s="216"/>
      <c r="L11" s="217"/>
      <c r="M11" s="221" t="s">
        <v>45</v>
      </c>
      <c r="N11" s="395" t="s">
        <v>45</v>
      </c>
      <c r="O11" s="86"/>
      <c r="P11" s="86"/>
      <c r="Q11" s="386" t="s">
        <v>212</v>
      </c>
      <c r="R11" s="207" t="s">
        <v>197</v>
      </c>
      <c r="S11" s="207" t="s">
        <v>197</v>
      </c>
      <c r="T11" s="207" t="s">
        <v>197</v>
      </c>
      <c r="U11" s="224"/>
      <c r="V11" s="387"/>
      <c r="W11" s="86"/>
    </row>
    <row r="12">
      <c r="A12" s="193"/>
      <c r="B12" s="210"/>
      <c r="C12" s="225"/>
      <c r="D12" s="399" t="s">
        <v>27</v>
      </c>
      <c r="E12" s="212"/>
      <c r="F12" s="213"/>
      <c r="G12" s="227"/>
      <c r="H12" s="227"/>
      <c r="I12" s="228" t="s">
        <v>45</v>
      </c>
      <c r="J12" s="229" t="s">
        <v>45</v>
      </c>
      <c r="K12" s="230" t="s">
        <v>157</v>
      </c>
      <c r="L12" s="231"/>
      <c r="M12" s="234" t="s">
        <v>45</v>
      </c>
      <c r="N12" s="405" t="s">
        <v>45</v>
      </c>
      <c r="O12" s="86"/>
      <c r="P12" s="86"/>
      <c r="Q12" s="386" t="s">
        <v>218</v>
      </c>
      <c r="R12" s="207" t="s">
        <v>197</v>
      </c>
      <c r="S12" s="207" t="s">
        <v>197</v>
      </c>
      <c r="T12" s="207" t="s">
        <v>197</v>
      </c>
      <c r="U12" s="224"/>
      <c r="V12" s="387"/>
      <c r="W12" s="86"/>
    </row>
    <row r="13">
      <c r="A13" s="193"/>
      <c r="B13" s="210"/>
      <c r="C13" s="225"/>
      <c r="D13" s="236"/>
      <c r="E13" s="423" t="s">
        <v>35</v>
      </c>
      <c r="F13" s="213"/>
      <c r="G13" s="240"/>
      <c r="H13" s="241"/>
      <c r="I13" s="242" t="s">
        <v>45</v>
      </c>
      <c r="J13" s="243" t="s">
        <v>45</v>
      </c>
      <c r="K13" s="243" t="s">
        <v>45</v>
      </c>
      <c r="L13" s="245"/>
      <c r="M13" s="248" t="s">
        <v>45</v>
      </c>
      <c r="N13" s="427" t="s">
        <v>45</v>
      </c>
      <c r="O13" s="86"/>
      <c r="P13" s="86"/>
      <c r="Q13" s="386" t="s">
        <v>223</v>
      </c>
      <c r="R13" s="207" t="s">
        <v>197</v>
      </c>
      <c r="S13" s="207" t="s">
        <v>197</v>
      </c>
      <c r="T13" s="207" t="s">
        <v>197</v>
      </c>
      <c r="U13" s="224"/>
      <c r="V13" s="387"/>
      <c r="W13" s="86"/>
    </row>
    <row r="14">
      <c r="A14" s="193"/>
      <c r="B14" s="210"/>
      <c r="C14" s="225"/>
      <c r="D14" s="236"/>
      <c r="E14" s="423" t="s">
        <v>46</v>
      </c>
      <c r="F14" s="213"/>
      <c r="G14" s="240"/>
      <c r="H14" s="241"/>
      <c r="I14" s="242" t="s">
        <v>45</v>
      </c>
      <c r="J14" s="243" t="s">
        <v>45</v>
      </c>
      <c r="K14" s="243" t="s">
        <v>45</v>
      </c>
      <c r="L14" s="245"/>
      <c r="M14" s="248" t="s">
        <v>45</v>
      </c>
      <c r="N14" s="427" t="s">
        <v>45</v>
      </c>
      <c r="O14" s="86"/>
      <c r="P14" s="86"/>
      <c r="Q14" s="386" t="s">
        <v>225</v>
      </c>
      <c r="R14" s="207" t="s">
        <v>197</v>
      </c>
      <c r="S14" s="207" t="s">
        <v>197</v>
      </c>
      <c r="T14" s="207" t="s">
        <v>197</v>
      </c>
      <c r="U14" s="224"/>
      <c r="V14" s="387"/>
      <c r="W14" s="86"/>
    </row>
    <row r="15">
      <c r="A15" s="193"/>
      <c r="B15" s="210"/>
      <c r="C15" s="225"/>
      <c r="D15" s="236"/>
      <c r="E15" s="423" t="s">
        <v>55</v>
      </c>
      <c r="F15" s="213"/>
      <c r="G15" s="240"/>
      <c r="H15" s="241"/>
      <c r="I15" s="242" t="s">
        <v>45</v>
      </c>
      <c r="J15" s="243" t="s">
        <v>45</v>
      </c>
      <c r="K15" s="243" t="s">
        <v>45</v>
      </c>
      <c r="L15" s="245"/>
      <c r="M15" s="248" t="s">
        <v>45</v>
      </c>
      <c r="N15" s="427" t="s">
        <v>45</v>
      </c>
      <c r="O15" s="86"/>
      <c r="P15" s="86"/>
      <c r="Q15" s="386" t="s">
        <v>229</v>
      </c>
      <c r="R15" s="207" t="s">
        <v>197</v>
      </c>
      <c r="S15" s="207" t="s">
        <v>197</v>
      </c>
      <c r="T15" s="207" t="s">
        <v>197</v>
      </c>
      <c r="U15" s="224"/>
      <c r="V15" s="387"/>
      <c r="W15" s="86"/>
    </row>
    <row r="16">
      <c r="A16" s="193"/>
      <c r="B16" s="210"/>
      <c r="C16" s="225"/>
      <c r="D16" s="399" t="s">
        <v>32</v>
      </c>
      <c r="E16" s="212"/>
      <c r="F16" s="213"/>
      <c r="G16" s="227"/>
      <c r="H16" s="227"/>
      <c r="I16" s="444" t="s">
        <v>45</v>
      </c>
      <c r="J16" s="229" t="s">
        <v>45</v>
      </c>
      <c r="K16" s="231"/>
      <c r="L16" s="231"/>
      <c r="M16" s="234" t="s">
        <v>45</v>
      </c>
      <c r="N16" s="405" t="s">
        <v>45</v>
      </c>
      <c r="O16" s="86"/>
      <c r="P16" s="86"/>
      <c r="Q16" s="386" t="s">
        <v>352</v>
      </c>
      <c r="R16" s="207" t="s">
        <v>197</v>
      </c>
      <c r="S16" s="207" t="s">
        <v>197</v>
      </c>
      <c r="T16" s="224"/>
      <c r="U16" s="224"/>
      <c r="V16" s="387"/>
      <c r="W16" s="86"/>
    </row>
    <row r="17">
      <c r="A17" s="193"/>
      <c r="B17" s="210"/>
      <c r="C17" s="390" t="s">
        <v>353</v>
      </c>
      <c r="D17" s="212"/>
      <c r="E17" s="212"/>
      <c r="F17" s="213"/>
      <c r="G17" s="214"/>
      <c r="H17" s="214" t="s">
        <v>239</v>
      </c>
      <c r="I17" s="215" t="s">
        <v>158</v>
      </c>
      <c r="J17" s="216" t="s">
        <v>45</v>
      </c>
      <c r="K17" s="258" t="s">
        <v>155</v>
      </c>
      <c r="L17" s="258" t="s">
        <v>159</v>
      </c>
      <c r="M17" s="221" t="s">
        <v>45</v>
      </c>
      <c r="N17" s="395" t="s">
        <v>45</v>
      </c>
      <c r="O17" s="86"/>
      <c r="P17" s="86"/>
      <c r="Q17" s="386" t="s">
        <v>243</v>
      </c>
      <c r="R17" s="207" t="s">
        <v>197</v>
      </c>
      <c r="S17" s="207" t="s">
        <v>197</v>
      </c>
      <c r="T17" s="224"/>
      <c r="U17" s="224"/>
      <c r="V17" s="387"/>
      <c r="W17" s="86"/>
    </row>
    <row r="18">
      <c r="A18" s="193"/>
      <c r="B18" s="263"/>
      <c r="C18" s="264"/>
      <c r="D18" s="264"/>
      <c r="E18" s="423" t="s">
        <v>170</v>
      </c>
      <c r="F18" s="213"/>
      <c r="G18" s="240"/>
      <c r="H18" s="273"/>
      <c r="I18" s="242" t="s">
        <v>45</v>
      </c>
      <c r="J18" s="243" t="s">
        <v>45</v>
      </c>
      <c r="K18" s="243" t="s">
        <v>45</v>
      </c>
      <c r="L18" s="243" t="s">
        <v>45</v>
      </c>
      <c r="M18" s="248" t="s">
        <v>45</v>
      </c>
      <c r="N18" s="427" t="s">
        <v>45</v>
      </c>
      <c r="O18" s="86"/>
      <c r="P18" s="86"/>
      <c r="Q18" s="386" t="s">
        <v>247</v>
      </c>
      <c r="R18" s="207" t="s">
        <v>197</v>
      </c>
      <c r="S18" s="224"/>
      <c r="T18" s="224"/>
      <c r="U18" s="224"/>
      <c r="V18" s="387"/>
      <c r="W18" s="86"/>
    </row>
    <row r="19">
      <c r="A19" s="193"/>
      <c r="B19" s="210"/>
      <c r="C19" s="390" t="s">
        <v>364</v>
      </c>
      <c r="D19" s="212"/>
      <c r="E19" s="212"/>
      <c r="F19" s="213"/>
      <c r="G19" s="214"/>
      <c r="H19" s="214" t="s">
        <v>250</v>
      </c>
      <c r="I19" s="275"/>
      <c r="J19" s="216" t="s">
        <v>45</v>
      </c>
      <c r="K19" s="258" t="s">
        <v>155</v>
      </c>
      <c r="L19" s="216"/>
      <c r="M19" s="221" t="s">
        <v>45</v>
      </c>
      <c r="N19" s="395" t="s">
        <v>45</v>
      </c>
      <c r="O19" s="86"/>
      <c r="P19" s="86"/>
      <c r="Q19" s="386" t="s">
        <v>253</v>
      </c>
      <c r="R19" s="207" t="s">
        <v>197</v>
      </c>
      <c r="S19" s="224"/>
      <c r="T19" s="224"/>
      <c r="U19" s="224"/>
      <c r="V19" s="387"/>
      <c r="W19" s="86"/>
    </row>
    <row r="20">
      <c r="A20" s="193"/>
      <c r="B20" s="210"/>
      <c r="C20" s="225"/>
      <c r="D20" s="399" t="s">
        <v>36</v>
      </c>
      <c r="E20" s="212"/>
      <c r="F20" s="213"/>
      <c r="G20" s="227"/>
      <c r="H20" s="227" t="s">
        <v>254</v>
      </c>
      <c r="I20" s="283" t="s">
        <v>155</v>
      </c>
      <c r="J20" s="229" t="s">
        <v>45</v>
      </c>
      <c r="K20" s="229" t="s">
        <v>45</v>
      </c>
      <c r="L20" s="230" t="s">
        <v>159</v>
      </c>
      <c r="M20" s="234" t="s">
        <v>45</v>
      </c>
      <c r="N20" s="405" t="s">
        <v>45</v>
      </c>
      <c r="O20" s="86"/>
      <c r="P20" s="86"/>
      <c r="Q20" s="386" t="s">
        <v>256</v>
      </c>
      <c r="R20" s="207" t="s">
        <v>197</v>
      </c>
      <c r="S20" s="224"/>
      <c r="T20" s="224"/>
      <c r="U20" s="224"/>
      <c r="V20" s="387"/>
      <c r="W20" s="86"/>
    </row>
    <row r="21">
      <c r="A21" s="193"/>
      <c r="B21" s="210"/>
      <c r="C21" s="225"/>
      <c r="D21" s="399" t="s">
        <v>37</v>
      </c>
      <c r="E21" s="212"/>
      <c r="F21" s="213"/>
      <c r="G21" s="227"/>
      <c r="H21" s="227" t="s">
        <v>257</v>
      </c>
      <c r="I21" s="283" t="s">
        <v>158</v>
      </c>
      <c r="J21" s="229" t="s">
        <v>45</v>
      </c>
      <c r="K21" s="229" t="s">
        <v>45</v>
      </c>
      <c r="L21" s="230" t="s">
        <v>158</v>
      </c>
      <c r="M21" s="234" t="s">
        <v>45</v>
      </c>
      <c r="N21" s="405" t="s">
        <v>45</v>
      </c>
      <c r="O21" s="86"/>
      <c r="P21" s="86"/>
      <c r="Q21" s="386" t="s">
        <v>259</v>
      </c>
      <c r="R21" s="207" t="s">
        <v>197</v>
      </c>
      <c r="S21" s="224"/>
      <c r="T21" s="224"/>
      <c r="U21" s="224"/>
      <c r="V21" s="387"/>
      <c r="W21" s="86"/>
    </row>
    <row r="22">
      <c r="A22" s="193"/>
      <c r="B22" s="287"/>
      <c r="C22" s="472" t="s">
        <v>370</v>
      </c>
      <c r="D22" s="138"/>
      <c r="E22" s="138"/>
      <c r="F22" s="139"/>
      <c r="G22" s="289"/>
      <c r="H22" s="289" t="s">
        <v>263</v>
      </c>
      <c r="I22" s="290" t="s">
        <v>158</v>
      </c>
      <c r="J22" s="291" t="s">
        <v>45</v>
      </c>
      <c r="K22" s="292" t="s">
        <v>155</v>
      </c>
      <c r="L22" s="292" t="s">
        <v>158</v>
      </c>
      <c r="M22" s="296" t="s">
        <v>45</v>
      </c>
      <c r="N22" s="474" t="s">
        <v>45</v>
      </c>
      <c r="O22" s="86"/>
      <c r="P22" s="86"/>
      <c r="Q22" s="476" t="s">
        <v>265</v>
      </c>
      <c r="R22" s="477" t="s">
        <v>197</v>
      </c>
      <c r="S22" s="478"/>
      <c r="T22" s="478"/>
      <c r="U22" s="478"/>
      <c r="V22" s="479"/>
      <c r="W22" s="86"/>
    </row>
    <row r="23">
      <c r="A23" s="193"/>
      <c r="B23" s="382" t="s">
        <v>39</v>
      </c>
      <c r="C23" s="197"/>
      <c r="D23" s="197"/>
      <c r="E23" s="197"/>
      <c r="F23" s="198"/>
      <c r="G23" s="199"/>
      <c r="H23" s="199" t="s">
        <v>270</v>
      </c>
      <c r="I23" s="303"/>
      <c r="J23" s="202" t="s">
        <v>45</v>
      </c>
      <c r="K23" s="483" t="s">
        <v>155</v>
      </c>
      <c r="L23" s="202"/>
      <c r="M23" s="204" t="s">
        <v>45</v>
      </c>
      <c r="N23" s="309" t="s">
        <v>45</v>
      </c>
      <c r="O23" s="192"/>
      <c r="P23" s="192"/>
      <c r="W23" s="192"/>
    </row>
    <row r="24">
      <c r="A24" s="193"/>
      <c r="B24" s="210"/>
      <c r="C24" s="390" t="s">
        <v>273</v>
      </c>
      <c r="D24" s="212"/>
      <c r="E24" s="212"/>
      <c r="F24" s="213"/>
      <c r="G24" s="214"/>
      <c r="H24" s="214" t="s">
        <v>274</v>
      </c>
      <c r="I24" s="311"/>
      <c r="J24" s="216" t="s">
        <v>45</v>
      </c>
      <c r="K24" s="216" t="s">
        <v>45</v>
      </c>
      <c r="L24" s="258" t="s">
        <v>158</v>
      </c>
      <c r="M24" s="221" t="s">
        <v>45</v>
      </c>
      <c r="N24" s="222" t="s">
        <v>45</v>
      </c>
      <c r="O24" s="86"/>
      <c r="P24" s="86"/>
      <c r="Q24" s="86"/>
      <c r="R24" s="86"/>
      <c r="S24" s="86"/>
      <c r="T24" s="86"/>
      <c r="U24" s="86"/>
      <c r="V24" s="86"/>
      <c r="W24" s="86"/>
    </row>
    <row r="25">
      <c r="A25" s="193"/>
      <c r="B25" s="210"/>
      <c r="C25" s="225"/>
      <c r="D25" s="486" t="s">
        <v>379</v>
      </c>
      <c r="E25" s="212"/>
      <c r="F25" s="213"/>
      <c r="G25" s="319"/>
      <c r="H25" s="241"/>
      <c r="I25" s="320"/>
      <c r="J25" s="243" t="s">
        <v>45</v>
      </c>
      <c r="K25" s="243" t="s">
        <v>45</v>
      </c>
      <c r="L25" s="243" t="s">
        <v>45</v>
      </c>
      <c r="M25" s="248" t="s">
        <v>45</v>
      </c>
      <c r="N25" s="249" t="s">
        <v>45</v>
      </c>
      <c r="O25" s="86"/>
      <c r="P25" s="86"/>
      <c r="Q25" s="86"/>
      <c r="R25" s="86"/>
      <c r="S25" s="86"/>
      <c r="T25" s="86"/>
      <c r="U25" s="86"/>
      <c r="V25" s="86"/>
      <c r="W25" s="86"/>
    </row>
    <row r="26">
      <c r="A26" s="193"/>
      <c r="B26" s="210"/>
      <c r="C26" s="225"/>
      <c r="D26" s="399" t="s">
        <v>41</v>
      </c>
      <c r="E26" s="212"/>
      <c r="F26" s="213"/>
      <c r="G26" s="227"/>
      <c r="H26" s="227" t="s">
        <v>278</v>
      </c>
      <c r="I26" s="325"/>
      <c r="J26" s="229" t="s">
        <v>45</v>
      </c>
      <c r="K26" s="229" t="s">
        <v>45</v>
      </c>
      <c r="L26" s="229" t="s">
        <v>45</v>
      </c>
      <c r="M26" s="234" t="s">
        <v>45</v>
      </c>
      <c r="N26" s="235" t="s">
        <v>45</v>
      </c>
      <c r="O26" s="86"/>
      <c r="P26" s="86"/>
      <c r="Q26" s="86"/>
      <c r="R26" s="86"/>
      <c r="S26" s="86"/>
      <c r="T26" s="86"/>
      <c r="U26" s="86"/>
      <c r="V26" s="86"/>
      <c r="W26" s="86"/>
    </row>
    <row r="27">
      <c r="A27" s="193"/>
      <c r="B27" s="210"/>
      <c r="C27" s="225"/>
      <c r="D27" s="236"/>
      <c r="E27" s="423" t="s">
        <v>59</v>
      </c>
      <c r="F27" s="213"/>
      <c r="G27" s="240"/>
      <c r="H27" s="337" t="str">
        <f>HYPERLINK("https://goo.gl/YWyn2v","(with Guide)")</f>
        <v>(with Guide)</v>
      </c>
      <c r="I27" s="320"/>
      <c r="J27" s="243" t="s">
        <v>45</v>
      </c>
      <c r="K27" s="243" t="s">
        <v>45</v>
      </c>
      <c r="L27" s="243" t="s">
        <v>45</v>
      </c>
      <c r="M27" s="248" t="s">
        <v>45</v>
      </c>
      <c r="N27" s="249" t="s">
        <v>45</v>
      </c>
      <c r="O27" s="86"/>
      <c r="P27" s="86"/>
      <c r="Q27" s="86"/>
      <c r="R27" s="86"/>
      <c r="S27" s="86"/>
      <c r="T27" s="86"/>
      <c r="U27" s="86"/>
      <c r="V27" s="86"/>
      <c r="W27" s="86"/>
    </row>
    <row r="28">
      <c r="A28" s="193"/>
      <c r="B28" s="210"/>
      <c r="C28" s="225"/>
      <c r="D28" s="236"/>
      <c r="E28" s="423" t="s">
        <v>70</v>
      </c>
      <c r="F28" s="213"/>
      <c r="G28" s="240"/>
      <c r="H28" s="339"/>
      <c r="I28" s="320"/>
      <c r="J28" s="243" t="s">
        <v>45</v>
      </c>
      <c r="K28" s="243" t="s">
        <v>45</v>
      </c>
      <c r="L28" s="243" t="s">
        <v>45</v>
      </c>
      <c r="M28" s="248" t="s">
        <v>45</v>
      </c>
      <c r="N28" s="249" t="s">
        <v>45</v>
      </c>
      <c r="O28" s="86"/>
      <c r="P28" s="86"/>
      <c r="Q28" s="86"/>
      <c r="R28" s="86"/>
      <c r="S28" s="86"/>
      <c r="T28" s="86"/>
      <c r="U28" s="86"/>
      <c r="V28" s="86"/>
      <c r="W28" s="86"/>
    </row>
    <row r="29">
      <c r="A29" s="193"/>
      <c r="B29" s="210"/>
      <c r="C29" s="225"/>
      <c r="D29" s="236"/>
      <c r="E29" s="423" t="s">
        <v>200</v>
      </c>
      <c r="F29" s="213"/>
      <c r="G29" s="240"/>
      <c r="H29" s="339"/>
      <c r="I29" s="320"/>
      <c r="J29" s="243" t="s">
        <v>45</v>
      </c>
      <c r="K29" s="243" t="s">
        <v>45</v>
      </c>
      <c r="L29" s="243" t="s">
        <v>45</v>
      </c>
      <c r="M29" s="248" t="s">
        <v>45</v>
      </c>
      <c r="N29" s="249" t="s">
        <v>45</v>
      </c>
      <c r="O29" s="86"/>
      <c r="P29" s="86"/>
      <c r="Q29" s="86"/>
      <c r="R29" s="86"/>
      <c r="S29" s="86"/>
      <c r="T29" s="86"/>
      <c r="U29" s="86"/>
      <c r="V29" s="86"/>
      <c r="W29" s="86"/>
    </row>
    <row r="30">
      <c r="A30" s="193"/>
      <c r="B30" s="210"/>
      <c r="C30" s="225"/>
      <c r="D30" s="399" t="s">
        <v>43</v>
      </c>
      <c r="E30" s="212"/>
      <c r="F30" s="213"/>
      <c r="G30" s="227"/>
      <c r="H30" s="340" t="s">
        <v>284</v>
      </c>
      <c r="I30" s="325"/>
      <c r="J30" s="229" t="s">
        <v>45</v>
      </c>
      <c r="K30" s="229" t="s">
        <v>45</v>
      </c>
      <c r="L30" s="229" t="s">
        <v>45</v>
      </c>
      <c r="M30" s="234" t="s">
        <v>45</v>
      </c>
      <c r="N30" s="235" t="s">
        <v>45</v>
      </c>
      <c r="O30" s="86"/>
      <c r="P30" s="86"/>
      <c r="Q30" s="86"/>
      <c r="R30" s="86"/>
      <c r="S30" s="86"/>
      <c r="T30" s="86"/>
      <c r="U30" s="86"/>
      <c r="V30" s="86"/>
      <c r="W30" s="86"/>
    </row>
    <row r="31">
      <c r="A31" s="193"/>
      <c r="B31" s="210"/>
      <c r="C31" s="225"/>
      <c r="D31" s="236"/>
      <c r="E31" s="423" t="s">
        <v>398</v>
      </c>
      <c r="F31" s="213"/>
      <c r="G31" s="240"/>
      <c r="H31" s="339"/>
      <c r="I31" s="320"/>
      <c r="J31" s="243" t="s">
        <v>45</v>
      </c>
      <c r="K31" s="243" t="s">
        <v>45</v>
      </c>
      <c r="L31" s="243" t="s">
        <v>45</v>
      </c>
      <c r="M31" s="248" t="s">
        <v>45</v>
      </c>
      <c r="N31" s="249" t="s">
        <v>45</v>
      </c>
      <c r="O31" s="86"/>
      <c r="P31" s="86"/>
      <c r="Q31" s="86"/>
      <c r="R31" s="86"/>
      <c r="S31" s="86"/>
      <c r="T31" s="86"/>
      <c r="U31" s="86"/>
      <c r="V31" s="86"/>
      <c r="W31" s="86"/>
    </row>
    <row r="32">
      <c r="A32" s="193"/>
      <c r="B32" s="210"/>
      <c r="C32" s="225"/>
      <c r="D32" s="236"/>
      <c r="E32" s="423" t="s">
        <v>401</v>
      </c>
      <c r="F32" s="213"/>
      <c r="G32" s="240"/>
      <c r="H32" s="342"/>
      <c r="I32" s="320"/>
      <c r="J32" s="243" t="s">
        <v>45</v>
      </c>
      <c r="K32" s="243" t="s">
        <v>45</v>
      </c>
      <c r="L32" s="243" t="s">
        <v>45</v>
      </c>
      <c r="M32" s="248" t="s">
        <v>45</v>
      </c>
      <c r="N32" s="249" t="s">
        <v>45</v>
      </c>
      <c r="O32" s="86"/>
      <c r="P32" s="86"/>
      <c r="Q32" s="86"/>
      <c r="R32" s="86"/>
      <c r="S32" s="86"/>
      <c r="T32" s="86"/>
      <c r="U32" s="86"/>
      <c r="V32" s="86"/>
      <c r="W32" s="86"/>
    </row>
    <row r="33">
      <c r="A33" s="193"/>
      <c r="B33" s="210"/>
      <c r="C33" s="225"/>
      <c r="D33" s="236"/>
      <c r="E33" s="423" t="s">
        <v>408</v>
      </c>
      <c r="F33" s="213"/>
      <c r="G33" s="240"/>
      <c r="H33" s="342"/>
      <c r="I33" s="320"/>
      <c r="J33" s="243" t="s">
        <v>45</v>
      </c>
      <c r="K33" s="243" t="s">
        <v>45</v>
      </c>
      <c r="L33" s="243" t="s">
        <v>45</v>
      </c>
      <c r="M33" s="248" t="s">
        <v>45</v>
      </c>
      <c r="N33" s="249" t="s">
        <v>45</v>
      </c>
      <c r="O33" s="86"/>
      <c r="P33" s="86"/>
      <c r="Q33" s="86"/>
      <c r="R33" s="86"/>
      <c r="S33" s="86"/>
      <c r="T33" s="86"/>
      <c r="U33" s="86"/>
      <c r="V33" s="86"/>
      <c r="W33" s="86"/>
    </row>
    <row r="34">
      <c r="A34" s="193"/>
      <c r="B34" s="210"/>
      <c r="C34" s="225"/>
      <c r="D34" s="225"/>
      <c r="E34" s="423" t="s">
        <v>80</v>
      </c>
      <c r="F34" s="213"/>
      <c r="G34" s="240"/>
      <c r="H34" s="342"/>
      <c r="I34" s="320"/>
      <c r="J34" s="243" t="s">
        <v>45</v>
      </c>
      <c r="K34" s="243" t="s">
        <v>45</v>
      </c>
      <c r="L34" s="243" t="s">
        <v>45</v>
      </c>
      <c r="M34" s="248" t="s">
        <v>45</v>
      </c>
      <c r="N34" s="249" t="s">
        <v>45</v>
      </c>
      <c r="O34" s="86"/>
      <c r="P34" s="86"/>
      <c r="Q34" s="86"/>
      <c r="R34" s="86"/>
      <c r="S34" s="86"/>
      <c r="T34" s="86"/>
      <c r="U34" s="86"/>
      <c r="V34" s="86"/>
      <c r="W34" s="86"/>
    </row>
    <row r="35">
      <c r="A35" s="193"/>
      <c r="B35" s="210"/>
      <c r="C35" s="225"/>
      <c r="D35" s="225"/>
      <c r="E35" s="423" t="s">
        <v>87</v>
      </c>
      <c r="F35" s="213"/>
      <c r="G35" s="240"/>
      <c r="H35" s="342"/>
      <c r="I35" s="320"/>
      <c r="J35" s="243" t="s">
        <v>45</v>
      </c>
      <c r="K35" s="243" t="s">
        <v>45</v>
      </c>
      <c r="L35" s="243" t="s">
        <v>45</v>
      </c>
      <c r="M35" s="248" t="s">
        <v>45</v>
      </c>
      <c r="N35" s="249" t="s">
        <v>45</v>
      </c>
      <c r="O35" s="86"/>
      <c r="P35" s="86"/>
      <c r="Q35" s="86"/>
      <c r="R35" s="86"/>
      <c r="S35" s="86"/>
      <c r="T35" s="86"/>
      <c r="U35" s="86"/>
      <c r="V35" s="86"/>
      <c r="W35" s="86"/>
    </row>
    <row r="36">
      <c r="A36" s="193"/>
      <c r="B36" s="210"/>
      <c r="C36" s="225"/>
      <c r="D36" s="399" t="s">
        <v>294</v>
      </c>
      <c r="E36" s="212"/>
      <c r="F36" s="213"/>
      <c r="G36" s="227"/>
      <c r="H36" s="227" t="s">
        <v>295</v>
      </c>
      <c r="I36" s="325"/>
      <c r="J36" s="229" t="s">
        <v>45</v>
      </c>
      <c r="K36" s="229" t="s">
        <v>45</v>
      </c>
      <c r="L36" s="229" t="s">
        <v>45</v>
      </c>
      <c r="M36" s="234" t="s">
        <v>45</v>
      </c>
      <c r="N36" s="235" t="s">
        <v>45</v>
      </c>
      <c r="O36" s="86"/>
      <c r="P36" s="86"/>
      <c r="Q36" s="86"/>
      <c r="R36" s="86"/>
      <c r="S36" s="86"/>
      <c r="T36" s="86"/>
      <c r="U36" s="86"/>
      <c r="V36" s="86"/>
      <c r="W36" s="86"/>
    </row>
    <row r="37">
      <c r="A37" s="193"/>
      <c r="B37" s="210"/>
      <c r="C37" s="225"/>
      <c r="D37" s="225"/>
      <c r="E37" s="423" t="s">
        <v>94</v>
      </c>
      <c r="F37" s="213"/>
      <c r="G37" s="240"/>
      <c r="H37" s="337" t="str">
        <f>HYPERLINK("https://goo.gl/5StrKX","(with Guide)")</f>
        <v>(with Guide)</v>
      </c>
      <c r="I37" s="320"/>
      <c r="J37" s="243" t="s">
        <v>45</v>
      </c>
      <c r="K37" s="243" t="s">
        <v>45</v>
      </c>
      <c r="L37" s="243" t="s">
        <v>45</v>
      </c>
      <c r="M37" s="248" t="s">
        <v>45</v>
      </c>
      <c r="N37" s="249" t="s">
        <v>45</v>
      </c>
      <c r="O37" s="86"/>
      <c r="P37" s="86"/>
      <c r="Q37" s="86"/>
      <c r="R37" s="86"/>
      <c r="S37" s="86"/>
      <c r="T37" s="86"/>
      <c r="U37" s="86"/>
      <c r="V37" s="86"/>
      <c r="W37" s="86"/>
    </row>
    <row r="38">
      <c r="A38" s="193"/>
      <c r="B38" s="210"/>
      <c r="C38" s="225"/>
      <c r="D38" s="399" t="s">
        <v>60</v>
      </c>
      <c r="E38" s="212"/>
      <c r="F38" s="213"/>
      <c r="G38" s="227"/>
      <c r="H38" s="227" t="s">
        <v>308</v>
      </c>
      <c r="I38" s="325"/>
      <c r="J38" s="229" t="s">
        <v>45</v>
      </c>
      <c r="K38" s="229" t="s">
        <v>45</v>
      </c>
      <c r="L38" s="229" t="s">
        <v>45</v>
      </c>
      <c r="M38" s="234" t="s">
        <v>45</v>
      </c>
      <c r="N38" s="235" t="s">
        <v>45</v>
      </c>
      <c r="O38" s="86"/>
      <c r="P38" s="86"/>
      <c r="Q38" s="86"/>
      <c r="R38" s="86"/>
      <c r="S38" s="86"/>
      <c r="T38" s="86"/>
      <c r="U38" s="86"/>
      <c r="V38" s="86"/>
      <c r="W38" s="86"/>
    </row>
    <row r="39">
      <c r="A39" s="193"/>
      <c r="B39" s="210"/>
      <c r="C39" s="225"/>
      <c r="D39" s="236"/>
      <c r="E39" s="423" t="s">
        <v>98</v>
      </c>
      <c r="F39" s="213"/>
      <c r="G39" s="240"/>
      <c r="H39" s="241"/>
      <c r="I39" s="320"/>
      <c r="J39" s="243" t="s">
        <v>45</v>
      </c>
      <c r="K39" s="243" t="s">
        <v>45</v>
      </c>
      <c r="L39" s="243" t="s">
        <v>45</v>
      </c>
      <c r="M39" s="248" t="s">
        <v>45</v>
      </c>
      <c r="N39" s="249" t="s">
        <v>45</v>
      </c>
      <c r="O39" s="86"/>
      <c r="P39" s="86"/>
      <c r="Q39" s="86"/>
      <c r="R39" s="86"/>
      <c r="S39" s="86"/>
      <c r="T39" s="86"/>
      <c r="U39" s="86"/>
      <c r="V39" s="86"/>
      <c r="W39" s="86"/>
    </row>
    <row r="40">
      <c r="A40" s="193"/>
      <c r="B40" s="210"/>
      <c r="C40" s="225"/>
      <c r="D40" s="236"/>
      <c r="E40" s="423" t="s">
        <v>101</v>
      </c>
      <c r="F40" s="213"/>
      <c r="G40" s="240"/>
      <c r="H40" s="241"/>
      <c r="I40" s="320"/>
      <c r="J40" s="243" t="s">
        <v>45</v>
      </c>
      <c r="K40" s="243" t="s">
        <v>45</v>
      </c>
      <c r="L40" s="243" t="s">
        <v>45</v>
      </c>
      <c r="M40" s="248" t="s">
        <v>45</v>
      </c>
      <c r="N40" s="249" t="s">
        <v>45</v>
      </c>
      <c r="O40" s="86"/>
      <c r="P40" s="86"/>
      <c r="Q40" s="86"/>
      <c r="R40" s="86"/>
      <c r="S40" s="86"/>
      <c r="T40" s="86"/>
      <c r="U40" s="86"/>
      <c r="V40" s="86"/>
      <c r="W40" s="86"/>
    </row>
    <row r="41">
      <c r="A41" s="193"/>
      <c r="B41" s="210"/>
      <c r="C41" s="225"/>
      <c r="D41" s="399" t="s">
        <v>62</v>
      </c>
      <c r="E41" s="212"/>
      <c r="F41" s="213"/>
      <c r="G41" s="227"/>
      <c r="H41" s="227" t="s">
        <v>316</v>
      </c>
      <c r="I41" s="325"/>
      <c r="J41" s="229" t="s">
        <v>45</v>
      </c>
      <c r="K41" s="229" t="s">
        <v>45</v>
      </c>
      <c r="L41" s="229" t="s">
        <v>45</v>
      </c>
      <c r="M41" s="234" t="s">
        <v>45</v>
      </c>
      <c r="N41" s="235" t="s">
        <v>45</v>
      </c>
      <c r="O41" s="86"/>
      <c r="P41" s="86"/>
      <c r="Q41" s="86"/>
      <c r="R41" s="86"/>
      <c r="S41" s="86"/>
      <c r="T41" s="86"/>
      <c r="U41" s="86"/>
      <c r="V41" s="86"/>
      <c r="W41" s="86"/>
    </row>
    <row r="42">
      <c r="A42" s="193"/>
      <c r="B42" s="210"/>
      <c r="C42" s="225"/>
      <c r="D42" s="236"/>
      <c r="E42" s="423" t="s">
        <v>191</v>
      </c>
      <c r="F42" s="213"/>
      <c r="G42" s="240"/>
      <c r="H42" s="241"/>
      <c r="I42" s="320"/>
      <c r="J42" s="243" t="s">
        <v>45</v>
      </c>
      <c r="K42" s="243" t="s">
        <v>45</v>
      </c>
      <c r="L42" s="243" t="s">
        <v>45</v>
      </c>
      <c r="M42" s="248" t="s">
        <v>45</v>
      </c>
      <c r="N42" s="249" t="s">
        <v>45</v>
      </c>
      <c r="O42" s="86"/>
      <c r="P42" s="86"/>
      <c r="Q42" s="86"/>
      <c r="R42" s="86"/>
      <c r="S42" s="86"/>
      <c r="T42" s="86"/>
      <c r="U42" s="86"/>
      <c r="V42" s="86"/>
      <c r="W42" s="86"/>
    </row>
    <row r="43">
      <c r="A43" s="193"/>
      <c r="B43" s="210"/>
      <c r="C43" s="225"/>
      <c r="D43" s="236"/>
      <c r="E43" s="423" t="s">
        <v>139</v>
      </c>
      <c r="F43" s="213"/>
      <c r="G43" s="240"/>
      <c r="H43" s="241"/>
      <c r="I43" s="320"/>
      <c r="J43" s="243" t="s">
        <v>45</v>
      </c>
      <c r="K43" s="243" t="s">
        <v>45</v>
      </c>
      <c r="L43" s="243" t="s">
        <v>45</v>
      </c>
      <c r="M43" s="248" t="s">
        <v>45</v>
      </c>
      <c r="N43" s="249" t="s">
        <v>45</v>
      </c>
      <c r="O43" s="86"/>
      <c r="P43" s="86"/>
      <c r="Q43" s="86"/>
      <c r="R43" s="86"/>
      <c r="S43" s="86"/>
      <c r="T43" s="86"/>
      <c r="U43" s="86"/>
      <c r="V43" s="86"/>
      <c r="W43" s="86"/>
    </row>
    <row r="44">
      <c r="A44" s="193"/>
      <c r="B44" s="210"/>
      <c r="C44" s="225"/>
      <c r="D44" s="236"/>
      <c r="E44" s="423" t="s">
        <v>163</v>
      </c>
      <c r="F44" s="213"/>
      <c r="G44" s="240"/>
      <c r="H44" s="241"/>
      <c r="I44" s="320"/>
      <c r="J44" s="243" t="s">
        <v>45</v>
      </c>
      <c r="K44" s="243" t="s">
        <v>45</v>
      </c>
      <c r="L44" s="243" t="s">
        <v>45</v>
      </c>
      <c r="M44" s="248" t="s">
        <v>45</v>
      </c>
      <c r="N44" s="249" t="s">
        <v>45</v>
      </c>
      <c r="O44" s="86"/>
      <c r="P44" s="86"/>
      <c r="Q44" s="86"/>
      <c r="R44" s="86"/>
      <c r="S44" s="86"/>
      <c r="T44" s="86"/>
      <c r="U44" s="86"/>
      <c r="V44" s="86"/>
      <c r="W44" s="86"/>
    </row>
    <row r="45">
      <c r="A45" s="193"/>
      <c r="B45" s="210"/>
      <c r="C45" s="225"/>
      <c r="D45" s="399" t="s">
        <v>64</v>
      </c>
      <c r="E45" s="212"/>
      <c r="F45" s="213"/>
      <c r="G45" s="227"/>
      <c r="H45" s="227" t="s">
        <v>331</v>
      </c>
      <c r="I45" s="325"/>
      <c r="J45" s="229" t="s">
        <v>45</v>
      </c>
      <c r="K45" s="229" t="s">
        <v>45</v>
      </c>
      <c r="L45" s="229" t="s">
        <v>45</v>
      </c>
      <c r="M45" s="234" t="s">
        <v>45</v>
      </c>
      <c r="N45" s="235" t="s">
        <v>45</v>
      </c>
      <c r="O45" s="86"/>
      <c r="P45" s="86"/>
      <c r="Q45" s="86"/>
      <c r="R45" s="86"/>
      <c r="S45" s="86"/>
      <c r="T45" s="86"/>
      <c r="U45" s="86"/>
      <c r="V45" s="86"/>
      <c r="W45" s="86"/>
    </row>
    <row r="46">
      <c r="A46" s="193"/>
      <c r="B46" s="210"/>
      <c r="C46" s="225"/>
      <c r="D46" s="225"/>
      <c r="E46" s="423" t="s">
        <v>106</v>
      </c>
      <c r="F46" s="213"/>
      <c r="G46" s="240"/>
      <c r="H46" s="337" t="str">
        <f>HYPERLINK("https://goo.gl/DeXpCR","(with Guide)")</f>
        <v>(with Guide)</v>
      </c>
      <c r="I46" s="320"/>
      <c r="J46" s="243" t="s">
        <v>45</v>
      </c>
      <c r="K46" s="243" t="s">
        <v>45</v>
      </c>
      <c r="L46" s="243" t="s">
        <v>45</v>
      </c>
      <c r="M46" s="248" t="s">
        <v>45</v>
      </c>
      <c r="N46" s="249" t="s">
        <v>45</v>
      </c>
      <c r="O46" s="86"/>
      <c r="P46" s="86"/>
      <c r="Q46" s="86"/>
      <c r="R46" s="86"/>
      <c r="S46" s="86"/>
      <c r="T46" s="86"/>
      <c r="U46" s="86"/>
      <c r="V46" s="86"/>
      <c r="W46" s="86"/>
    </row>
    <row r="47">
      <c r="A47" s="193"/>
      <c r="B47" s="210"/>
      <c r="C47" s="225"/>
      <c r="D47" s="399" t="s">
        <v>65</v>
      </c>
      <c r="E47" s="212"/>
      <c r="F47" s="213"/>
      <c r="G47" s="227"/>
      <c r="H47" s="227" t="s">
        <v>337</v>
      </c>
      <c r="I47" s="325"/>
      <c r="J47" s="229" t="s">
        <v>45</v>
      </c>
      <c r="K47" s="229" t="s">
        <v>45</v>
      </c>
      <c r="L47" s="229" t="s">
        <v>45</v>
      </c>
      <c r="M47" s="234" t="s">
        <v>45</v>
      </c>
      <c r="N47" s="235" t="s">
        <v>45</v>
      </c>
      <c r="O47" s="86"/>
      <c r="P47" s="86"/>
      <c r="Q47" s="86"/>
      <c r="R47" s="86"/>
      <c r="S47" s="86"/>
      <c r="T47" s="86"/>
      <c r="U47" s="86"/>
      <c r="V47" s="86"/>
      <c r="W47" s="86"/>
    </row>
    <row r="48">
      <c r="A48" s="193"/>
      <c r="B48" s="210"/>
      <c r="C48" s="225"/>
      <c r="D48" s="236"/>
      <c r="E48" s="423" t="s">
        <v>131</v>
      </c>
      <c r="F48" s="213"/>
      <c r="G48" s="240"/>
      <c r="H48" s="241"/>
      <c r="I48" s="320"/>
      <c r="J48" s="243" t="s">
        <v>45</v>
      </c>
      <c r="K48" s="243" t="s">
        <v>45</v>
      </c>
      <c r="L48" s="243" t="s">
        <v>45</v>
      </c>
      <c r="M48" s="248" t="s">
        <v>45</v>
      </c>
      <c r="N48" s="249" t="s">
        <v>45</v>
      </c>
      <c r="O48" s="86"/>
      <c r="P48" s="86"/>
      <c r="Q48" s="86"/>
      <c r="R48" s="86"/>
      <c r="S48" s="86"/>
      <c r="T48" s="86"/>
      <c r="U48" s="86"/>
      <c r="V48" s="86"/>
      <c r="W48" s="86"/>
    </row>
    <row r="49">
      <c r="A49" s="193"/>
      <c r="B49" s="210"/>
      <c r="C49" s="225"/>
      <c r="D49" s="236"/>
      <c r="E49" s="423" t="s">
        <v>109</v>
      </c>
      <c r="F49" s="213"/>
      <c r="G49" s="240"/>
      <c r="H49" s="241"/>
      <c r="I49" s="320"/>
      <c r="J49" s="243" t="s">
        <v>45</v>
      </c>
      <c r="K49" s="243" t="s">
        <v>45</v>
      </c>
      <c r="L49" s="243" t="s">
        <v>45</v>
      </c>
      <c r="M49" s="248" t="s">
        <v>45</v>
      </c>
      <c r="N49" s="249" t="s">
        <v>45</v>
      </c>
      <c r="O49" s="86"/>
      <c r="P49" s="86"/>
      <c r="Q49" s="86"/>
      <c r="R49" s="86"/>
      <c r="S49" s="86"/>
      <c r="T49" s="86"/>
      <c r="U49" s="86"/>
      <c r="V49" s="86"/>
      <c r="W49" s="86"/>
    </row>
    <row r="50">
      <c r="A50" s="193"/>
      <c r="B50" s="210"/>
      <c r="C50" s="225"/>
      <c r="D50" s="399" t="s">
        <v>67</v>
      </c>
      <c r="E50" s="212"/>
      <c r="F50" s="213"/>
      <c r="G50" s="227"/>
      <c r="H50" s="227" t="s">
        <v>350</v>
      </c>
      <c r="I50" s="325"/>
      <c r="J50" s="229" t="s">
        <v>45</v>
      </c>
      <c r="K50" s="229" t="s">
        <v>45</v>
      </c>
      <c r="L50" s="229" t="s">
        <v>45</v>
      </c>
      <c r="M50" s="234" t="s">
        <v>45</v>
      </c>
      <c r="N50" s="235" t="s">
        <v>45</v>
      </c>
      <c r="O50" s="86"/>
      <c r="P50" s="86"/>
      <c r="Q50" s="86"/>
      <c r="R50" s="86"/>
      <c r="S50" s="86"/>
      <c r="T50" s="86"/>
      <c r="U50" s="86"/>
      <c r="V50" s="86"/>
      <c r="W50" s="86"/>
    </row>
    <row r="51">
      <c r="A51" s="193"/>
      <c r="B51" s="210"/>
      <c r="C51" s="225"/>
      <c r="D51" s="236"/>
      <c r="E51" s="423" t="s">
        <v>58</v>
      </c>
      <c r="F51" s="213"/>
      <c r="G51" s="240"/>
      <c r="H51" s="241" t="s">
        <v>355</v>
      </c>
      <c r="I51" s="320"/>
      <c r="J51" s="243" t="s">
        <v>45</v>
      </c>
      <c r="K51" s="243" t="s">
        <v>45</v>
      </c>
      <c r="L51" s="243" t="s">
        <v>45</v>
      </c>
      <c r="M51" s="248" t="s">
        <v>45</v>
      </c>
      <c r="N51" s="249" t="s">
        <v>45</v>
      </c>
      <c r="O51" s="86"/>
      <c r="P51" s="86"/>
      <c r="Q51" s="86"/>
      <c r="R51" s="86"/>
      <c r="S51" s="86"/>
      <c r="T51" s="86"/>
      <c r="U51" s="86"/>
      <c r="V51" s="86"/>
      <c r="W51" s="86"/>
    </row>
    <row r="52">
      <c r="A52" s="193"/>
      <c r="B52" s="210"/>
      <c r="C52" s="225"/>
      <c r="D52" s="236"/>
      <c r="E52" s="423" t="s">
        <v>85</v>
      </c>
      <c r="F52" s="213"/>
      <c r="G52" s="240"/>
      <c r="H52" s="241" t="s">
        <v>361</v>
      </c>
      <c r="I52" s="320"/>
      <c r="J52" s="243" t="s">
        <v>45</v>
      </c>
      <c r="K52" s="243" t="s">
        <v>45</v>
      </c>
      <c r="L52" s="243" t="s">
        <v>45</v>
      </c>
      <c r="M52" s="248" t="s">
        <v>45</v>
      </c>
      <c r="N52" s="249" t="s">
        <v>45</v>
      </c>
      <c r="O52" s="86"/>
      <c r="P52" s="86"/>
      <c r="Q52" s="86"/>
      <c r="R52" s="86"/>
      <c r="S52" s="86"/>
      <c r="T52" s="86"/>
      <c r="U52" s="86"/>
      <c r="V52" s="86"/>
      <c r="W52" s="86"/>
    </row>
    <row r="53">
      <c r="A53" s="193"/>
      <c r="B53" s="210"/>
      <c r="C53" s="225"/>
      <c r="D53" s="282" t="s">
        <v>363</v>
      </c>
      <c r="E53" s="212"/>
      <c r="F53" s="213"/>
      <c r="G53" s="455"/>
      <c r="H53" s="227"/>
      <c r="I53" s="325"/>
      <c r="J53" s="229" t="s">
        <v>45</v>
      </c>
      <c r="K53" s="229" t="s">
        <v>45</v>
      </c>
      <c r="L53" s="229" t="s">
        <v>45</v>
      </c>
      <c r="M53" s="234" t="s">
        <v>45</v>
      </c>
      <c r="N53" s="235" t="s">
        <v>45</v>
      </c>
      <c r="O53" s="86"/>
      <c r="P53" s="86"/>
      <c r="Q53" s="86"/>
      <c r="R53" s="86"/>
      <c r="S53" s="86"/>
      <c r="T53" s="86"/>
      <c r="U53" s="86"/>
      <c r="V53" s="86"/>
      <c r="W53" s="86"/>
    </row>
    <row r="54">
      <c r="A54" s="193"/>
      <c r="B54" s="210"/>
      <c r="C54" s="225"/>
      <c r="D54" s="459"/>
      <c r="E54" s="545" t="s">
        <v>126</v>
      </c>
      <c r="F54" s="5"/>
      <c r="G54" s="468"/>
      <c r="H54" s="241"/>
      <c r="I54" s="320"/>
      <c r="J54" s="243" t="s">
        <v>45</v>
      </c>
      <c r="K54" s="243" t="s">
        <v>45</v>
      </c>
      <c r="L54" s="243" t="s">
        <v>45</v>
      </c>
      <c r="M54" s="248" t="s">
        <v>45</v>
      </c>
      <c r="N54" s="249" t="s">
        <v>45</v>
      </c>
      <c r="O54" s="86"/>
      <c r="P54" s="86"/>
      <c r="Q54" s="86"/>
      <c r="R54" s="86"/>
      <c r="S54" s="86"/>
      <c r="T54" s="86"/>
      <c r="U54" s="86"/>
      <c r="V54" s="86"/>
      <c r="W54" s="86"/>
    </row>
    <row r="55">
      <c r="A55" s="193"/>
      <c r="B55" s="210"/>
      <c r="C55" s="225"/>
      <c r="D55" s="459"/>
      <c r="E55" s="423" t="s">
        <v>76</v>
      </c>
      <c r="F55" s="213"/>
      <c r="G55" s="240"/>
      <c r="H55" s="241"/>
      <c r="I55" s="320"/>
      <c r="J55" s="243" t="s">
        <v>45</v>
      </c>
      <c r="K55" s="243" t="s">
        <v>45</v>
      </c>
      <c r="L55" s="243" t="s">
        <v>45</v>
      </c>
      <c r="M55" s="248" t="s">
        <v>45</v>
      </c>
      <c r="N55" s="249" t="s">
        <v>45</v>
      </c>
      <c r="O55" s="86"/>
      <c r="P55" s="86"/>
      <c r="Q55" s="86"/>
      <c r="R55" s="86"/>
      <c r="S55" s="86"/>
      <c r="T55" s="86"/>
      <c r="U55" s="86"/>
      <c r="V55" s="86"/>
      <c r="W55" s="86"/>
    </row>
    <row r="56">
      <c r="A56" s="193"/>
      <c r="B56" s="210"/>
      <c r="C56" s="225"/>
      <c r="D56" s="481" t="s">
        <v>376</v>
      </c>
      <c r="E56" s="560"/>
      <c r="F56" s="563"/>
      <c r="G56" s="455"/>
      <c r="H56" s="227"/>
      <c r="I56" s="325"/>
      <c r="J56" s="229" t="s">
        <v>45</v>
      </c>
      <c r="K56" s="229" t="s">
        <v>45</v>
      </c>
      <c r="L56" s="229" t="s">
        <v>45</v>
      </c>
      <c r="M56" s="234" t="s">
        <v>45</v>
      </c>
      <c r="N56" s="235" t="s">
        <v>45</v>
      </c>
      <c r="O56" s="86"/>
      <c r="P56" s="86"/>
      <c r="Q56" s="86"/>
      <c r="R56" s="86"/>
      <c r="S56" s="86"/>
      <c r="T56" s="86"/>
      <c r="U56" s="86"/>
      <c r="V56" s="86"/>
      <c r="W56" s="86"/>
    </row>
    <row r="57">
      <c r="A57" s="193"/>
      <c r="B57" s="210"/>
      <c r="C57" s="225"/>
      <c r="D57" s="459"/>
      <c r="E57" s="423" t="s">
        <v>186</v>
      </c>
      <c r="F57" s="213"/>
      <c r="G57" s="240"/>
      <c r="H57" s="241"/>
      <c r="I57" s="320"/>
      <c r="J57" s="243" t="s">
        <v>45</v>
      </c>
      <c r="K57" s="243" t="s">
        <v>45</v>
      </c>
      <c r="L57" s="243" t="s">
        <v>45</v>
      </c>
      <c r="M57" s="248" t="s">
        <v>45</v>
      </c>
      <c r="N57" s="249" t="s">
        <v>45</v>
      </c>
      <c r="O57" s="86"/>
      <c r="P57" s="86"/>
      <c r="Q57" s="86"/>
      <c r="R57" s="86"/>
      <c r="S57" s="86"/>
      <c r="T57" s="86"/>
      <c r="U57" s="86"/>
      <c r="V57" s="86"/>
      <c r="W57" s="86"/>
    </row>
    <row r="58">
      <c r="A58" s="193"/>
      <c r="B58" s="210"/>
      <c r="C58" s="225"/>
      <c r="D58" s="487" t="s">
        <v>380</v>
      </c>
      <c r="E58" s="580"/>
      <c r="F58" s="563"/>
      <c r="G58" s="455"/>
      <c r="H58" s="227"/>
      <c r="I58" s="325"/>
      <c r="J58" s="229" t="s">
        <v>45</v>
      </c>
      <c r="K58" s="229" t="s">
        <v>45</v>
      </c>
      <c r="L58" s="229" t="s">
        <v>45</v>
      </c>
      <c r="M58" s="234" t="s">
        <v>45</v>
      </c>
      <c r="N58" s="235" t="s">
        <v>45</v>
      </c>
      <c r="O58" s="86"/>
      <c r="P58" s="86"/>
      <c r="Q58" s="86"/>
      <c r="R58" s="86"/>
      <c r="S58" s="86"/>
      <c r="T58" s="86"/>
      <c r="U58" s="86"/>
      <c r="V58" s="86"/>
      <c r="W58" s="86"/>
    </row>
    <row r="59">
      <c r="A59" s="193"/>
      <c r="B59" s="210"/>
      <c r="C59" s="211" t="s">
        <v>387</v>
      </c>
      <c r="D59" s="212"/>
      <c r="E59" s="212"/>
      <c r="F59" s="213"/>
      <c r="G59" s="497"/>
      <c r="H59" s="214" t="s">
        <v>388</v>
      </c>
      <c r="I59" s="498"/>
      <c r="J59" s="216" t="s">
        <v>45</v>
      </c>
      <c r="K59" s="216" t="s">
        <v>45</v>
      </c>
      <c r="L59" s="258" t="s">
        <v>157</v>
      </c>
      <c r="M59" s="221" t="s">
        <v>45</v>
      </c>
      <c r="N59" s="222" t="s">
        <v>45</v>
      </c>
      <c r="O59" s="86"/>
      <c r="P59" s="86"/>
      <c r="Q59" s="86"/>
      <c r="R59" s="86"/>
      <c r="S59" s="86"/>
      <c r="T59" s="86"/>
      <c r="U59" s="86"/>
      <c r="V59" s="86"/>
      <c r="W59" s="86"/>
    </row>
    <row r="60">
      <c r="A60" s="193"/>
      <c r="B60" s="210"/>
      <c r="C60" s="225"/>
      <c r="D60" s="423" t="s">
        <v>116</v>
      </c>
      <c r="E60" s="212"/>
      <c r="F60" s="213"/>
      <c r="G60" s="240"/>
      <c r="H60" s="504" t="str">
        <f>HYPERLINK("https://goo.gl/s8Sh4X","(with Guide)")</f>
        <v>(with Guide)</v>
      </c>
      <c r="I60" s="320"/>
      <c r="J60" s="243" t="s">
        <v>45</v>
      </c>
      <c r="K60" s="243" t="s">
        <v>45</v>
      </c>
      <c r="L60" s="243" t="s">
        <v>45</v>
      </c>
      <c r="M60" s="248" t="s">
        <v>45</v>
      </c>
      <c r="N60" s="249" t="s">
        <v>45</v>
      </c>
      <c r="O60" s="86"/>
      <c r="P60" s="86"/>
      <c r="Q60" s="86"/>
      <c r="R60" s="86"/>
      <c r="S60" s="86"/>
      <c r="T60" s="86"/>
      <c r="U60" s="86"/>
      <c r="V60" s="86"/>
      <c r="W60" s="86"/>
    </row>
    <row r="61">
      <c r="A61" s="193"/>
      <c r="B61" s="210"/>
      <c r="C61" s="225"/>
      <c r="D61" s="282" t="s">
        <v>397</v>
      </c>
      <c r="E61" s="212"/>
      <c r="F61" s="213"/>
      <c r="G61" s="455"/>
      <c r="H61" s="227"/>
      <c r="I61" s="325"/>
      <c r="J61" s="229" t="s">
        <v>45</v>
      </c>
      <c r="K61" s="229" t="s">
        <v>45</v>
      </c>
      <c r="L61" s="229" t="s">
        <v>45</v>
      </c>
      <c r="M61" s="234" t="s">
        <v>45</v>
      </c>
      <c r="N61" s="235" t="s">
        <v>45</v>
      </c>
      <c r="O61" s="86"/>
      <c r="P61" s="86"/>
      <c r="Q61" s="86"/>
      <c r="R61" s="86"/>
      <c r="S61" s="86"/>
      <c r="T61" s="86"/>
      <c r="U61" s="86"/>
      <c r="V61" s="86"/>
      <c r="W61" s="86"/>
    </row>
    <row r="62">
      <c r="A62" s="193"/>
      <c r="B62" s="210"/>
      <c r="C62" s="225"/>
      <c r="D62" s="459"/>
      <c r="E62" s="459"/>
      <c r="F62" s="585" t="s">
        <v>23</v>
      </c>
      <c r="G62" s="511"/>
      <c r="H62" s="241"/>
      <c r="I62" s="320"/>
      <c r="J62" s="243" t="s">
        <v>45</v>
      </c>
      <c r="K62" s="243" t="s">
        <v>45</v>
      </c>
      <c r="L62" s="243" t="s">
        <v>45</v>
      </c>
      <c r="M62" s="248" t="s">
        <v>45</v>
      </c>
      <c r="N62" s="249" t="s">
        <v>45</v>
      </c>
      <c r="O62" s="86"/>
      <c r="P62" s="86"/>
      <c r="Q62" s="86"/>
      <c r="R62" s="86"/>
      <c r="S62" s="86"/>
      <c r="T62" s="86"/>
      <c r="U62" s="86"/>
      <c r="V62" s="86"/>
      <c r="W62" s="86"/>
    </row>
    <row r="63">
      <c r="A63" s="193"/>
      <c r="B63" s="210"/>
      <c r="C63" s="225"/>
      <c r="D63" s="282" t="s">
        <v>404</v>
      </c>
      <c r="E63" s="212"/>
      <c r="F63" s="213"/>
      <c r="G63" s="455"/>
      <c r="H63" s="227"/>
      <c r="I63" s="325"/>
      <c r="J63" s="229" t="s">
        <v>45</v>
      </c>
      <c r="K63" s="229" t="s">
        <v>45</v>
      </c>
      <c r="L63" s="229" t="s">
        <v>45</v>
      </c>
      <c r="M63" s="234" t="s">
        <v>45</v>
      </c>
      <c r="N63" s="235" t="s">
        <v>45</v>
      </c>
      <c r="O63" s="86"/>
      <c r="P63" s="86"/>
      <c r="Q63" s="86"/>
      <c r="R63" s="86"/>
      <c r="S63" s="86"/>
      <c r="T63" s="86"/>
      <c r="U63" s="86"/>
      <c r="V63" s="86"/>
      <c r="W63" s="86"/>
    </row>
    <row r="64">
      <c r="A64" s="193"/>
      <c r="B64" s="210"/>
      <c r="C64" s="225"/>
      <c r="D64" s="225"/>
      <c r="E64" s="586" t="s">
        <v>407</v>
      </c>
      <c r="F64" s="213"/>
      <c r="G64" s="516"/>
      <c r="H64" s="517"/>
      <c r="I64" s="519"/>
      <c r="J64" s="520" t="s">
        <v>45</v>
      </c>
      <c r="K64" s="520" t="s">
        <v>45</v>
      </c>
      <c r="L64" s="520" t="s">
        <v>45</v>
      </c>
      <c r="M64" s="522" t="s">
        <v>45</v>
      </c>
      <c r="N64" s="523" t="s">
        <v>45</v>
      </c>
      <c r="O64" s="86"/>
      <c r="P64" s="86"/>
      <c r="Q64" s="86"/>
      <c r="R64" s="86"/>
      <c r="S64" s="86"/>
      <c r="T64" s="86"/>
      <c r="U64" s="86"/>
      <c r="V64" s="86"/>
      <c r="W64" s="86"/>
    </row>
    <row r="65">
      <c r="A65" s="193"/>
      <c r="B65" s="210"/>
      <c r="C65" s="225"/>
      <c r="D65" s="459"/>
      <c r="E65" s="225"/>
      <c r="F65" s="526" t="s">
        <v>434</v>
      </c>
      <c r="G65" s="526"/>
      <c r="H65" s="241"/>
      <c r="I65" s="320"/>
      <c r="J65" s="243" t="s">
        <v>45</v>
      </c>
      <c r="K65" s="243" t="s">
        <v>45</v>
      </c>
      <c r="L65" s="243" t="s">
        <v>45</v>
      </c>
      <c r="M65" s="248" t="s">
        <v>45</v>
      </c>
      <c r="N65" s="249" t="s">
        <v>45</v>
      </c>
      <c r="O65" s="86"/>
      <c r="P65" s="86"/>
      <c r="Q65" s="86"/>
      <c r="R65" s="86"/>
      <c r="S65" s="86"/>
      <c r="T65" s="86"/>
      <c r="U65" s="86"/>
      <c r="V65" s="86"/>
      <c r="W65" s="86"/>
    </row>
    <row r="66">
      <c r="A66" s="193"/>
      <c r="B66" s="210"/>
      <c r="C66" s="225"/>
      <c r="D66" s="459"/>
      <c r="E66" s="459"/>
      <c r="F66" s="526" t="s">
        <v>214</v>
      </c>
      <c r="G66" s="526"/>
      <c r="H66" s="241"/>
      <c r="I66" s="320"/>
      <c r="J66" s="243" t="s">
        <v>45</v>
      </c>
      <c r="K66" s="243" t="s">
        <v>45</v>
      </c>
      <c r="L66" s="243" t="s">
        <v>45</v>
      </c>
      <c r="M66" s="248" t="s">
        <v>45</v>
      </c>
      <c r="N66" s="249" t="s">
        <v>45</v>
      </c>
      <c r="O66" s="86"/>
      <c r="P66" s="86"/>
      <c r="Q66" s="86"/>
      <c r="R66" s="86"/>
      <c r="S66" s="86"/>
      <c r="T66" s="86"/>
      <c r="U66" s="86"/>
      <c r="V66" s="86"/>
      <c r="W66" s="86"/>
    </row>
    <row r="67">
      <c r="A67" s="193"/>
      <c r="B67" s="210"/>
      <c r="C67" s="225"/>
      <c r="D67" s="225"/>
      <c r="E67" s="586" t="s">
        <v>416</v>
      </c>
      <c r="F67" s="213"/>
      <c r="G67" s="516"/>
      <c r="H67" s="517"/>
      <c r="I67" s="519"/>
      <c r="J67" s="520" t="s">
        <v>45</v>
      </c>
      <c r="K67" s="520" t="s">
        <v>45</v>
      </c>
      <c r="L67" s="520" t="s">
        <v>45</v>
      </c>
      <c r="M67" s="522" t="s">
        <v>45</v>
      </c>
      <c r="N67" s="523" t="s">
        <v>45</v>
      </c>
      <c r="O67" s="86"/>
      <c r="P67" s="86"/>
      <c r="Q67" s="86"/>
      <c r="R67" s="86"/>
      <c r="S67" s="86"/>
      <c r="T67" s="86"/>
      <c r="U67" s="86"/>
      <c r="V67" s="86"/>
      <c r="W67" s="86"/>
    </row>
    <row r="68">
      <c r="A68" s="193"/>
      <c r="B68" s="210"/>
      <c r="C68" s="225"/>
      <c r="D68" s="459"/>
      <c r="E68" s="459"/>
      <c r="F68" s="526" t="s">
        <v>208</v>
      </c>
      <c r="G68" s="526"/>
      <c r="H68" s="241"/>
      <c r="I68" s="532"/>
      <c r="J68" s="243" t="s">
        <v>45</v>
      </c>
      <c r="K68" s="243" t="s">
        <v>45</v>
      </c>
      <c r="L68" s="243" t="s">
        <v>45</v>
      </c>
      <c r="M68" s="248" t="s">
        <v>45</v>
      </c>
      <c r="N68" s="249" t="s">
        <v>45</v>
      </c>
      <c r="O68" s="86"/>
      <c r="P68" s="86"/>
      <c r="Q68" s="86"/>
      <c r="R68" s="86"/>
      <c r="S68" s="86"/>
      <c r="T68" s="86"/>
      <c r="U68" s="86"/>
      <c r="V68" s="86"/>
      <c r="W68" s="86"/>
    </row>
    <row r="69">
      <c r="A69" s="193"/>
      <c r="B69" s="210"/>
      <c r="C69" s="225"/>
      <c r="D69" s="459"/>
      <c r="E69" s="459"/>
      <c r="F69" s="526" t="s">
        <v>217</v>
      </c>
      <c r="G69" s="526"/>
      <c r="H69" s="241"/>
      <c r="I69" s="532"/>
      <c r="J69" s="243" t="s">
        <v>45</v>
      </c>
      <c r="K69" s="243" t="s">
        <v>45</v>
      </c>
      <c r="L69" s="243" t="s">
        <v>45</v>
      </c>
      <c r="M69" s="248" t="s">
        <v>45</v>
      </c>
      <c r="N69" s="249" t="s">
        <v>45</v>
      </c>
      <c r="O69" s="86"/>
      <c r="P69" s="86"/>
      <c r="Q69" s="86"/>
      <c r="R69" s="86"/>
      <c r="S69" s="86"/>
      <c r="T69" s="86"/>
      <c r="U69" s="86"/>
      <c r="V69" s="86"/>
      <c r="W69" s="86"/>
    </row>
    <row r="70">
      <c r="A70" s="193"/>
      <c r="B70" s="210"/>
      <c r="C70" s="225"/>
      <c r="D70" s="459"/>
      <c r="E70" s="459"/>
      <c r="F70" s="534" t="s">
        <v>221</v>
      </c>
      <c r="G70" s="534"/>
      <c r="H70" s="241"/>
      <c r="I70" s="532"/>
      <c r="J70" s="243" t="s">
        <v>45</v>
      </c>
      <c r="K70" s="243" t="s">
        <v>45</v>
      </c>
      <c r="L70" s="243" t="s">
        <v>45</v>
      </c>
      <c r="M70" s="248" t="s">
        <v>45</v>
      </c>
      <c r="N70" s="249" t="s">
        <v>45</v>
      </c>
      <c r="O70" s="86"/>
      <c r="P70" s="86"/>
      <c r="Q70" s="86"/>
      <c r="R70" s="86"/>
      <c r="S70" s="86"/>
      <c r="T70" s="86"/>
      <c r="U70" s="86"/>
      <c r="V70" s="86"/>
      <c r="W70" s="86"/>
    </row>
    <row r="71">
      <c r="A71" s="193"/>
      <c r="B71" s="210"/>
      <c r="C71" s="225"/>
      <c r="D71" s="282" t="s">
        <v>417</v>
      </c>
      <c r="E71" s="212"/>
      <c r="F71" s="213"/>
      <c r="G71" s="455"/>
      <c r="H71" s="227"/>
      <c r="I71" s="325"/>
      <c r="J71" s="229" t="s">
        <v>45</v>
      </c>
      <c r="K71" s="229" t="s">
        <v>45</v>
      </c>
      <c r="L71" s="229" t="s">
        <v>45</v>
      </c>
      <c r="M71" s="234" t="s">
        <v>45</v>
      </c>
      <c r="N71" s="235" t="s">
        <v>45</v>
      </c>
      <c r="O71" s="86"/>
      <c r="P71" s="86"/>
      <c r="Q71" s="86"/>
      <c r="R71" s="86"/>
      <c r="S71" s="86"/>
      <c r="T71" s="86"/>
      <c r="U71" s="86"/>
      <c r="V71" s="86"/>
      <c r="W71" s="86"/>
    </row>
    <row r="72">
      <c r="A72" s="193"/>
      <c r="B72" s="210"/>
      <c r="C72" s="225"/>
      <c r="D72" s="282" t="s">
        <v>418</v>
      </c>
      <c r="E72" s="212"/>
      <c r="F72" s="213"/>
      <c r="G72" s="455"/>
      <c r="H72" s="227"/>
      <c r="I72" s="325"/>
      <c r="J72" s="229" t="s">
        <v>45</v>
      </c>
      <c r="K72" s="229" t="s">
        <v>45</v>
      </c>
      <c r="L72" s="229" t="s">
        <v>45</v>
      </c>
      <c r="M72" s="234" t="s">
        <v>45</v>
      </c>
      <c r="N72" s="235" t="s">
        <v>45</v>
      </c>
      <c r="O72" s="86"/>
      <c r="P72" s="86"/>
      <c r="Q72" s="86"/>
      <c r="R72" s="86"/>
      <c r="S72" s="86"/>
      <c r="T72" s="86"/>
      <c r="U72" s="86"/>
      <c r="V72" s="86"/>
      <c r="W72" s="86"/>
    </row>
    <row r="73">
      <c r="A73" s="193"/>
      <c r="B73" s="210"/>
      <c r="C73" s="390" t="s">
        <v>437</v>
      </c>
      <c r="D73" s="212"/>
      <c r="E73" s="212"/>
      <c r="F73" s="213"/>
      <c r="G73" s="214"/>
      <c r="H73" s="497" t="s">
        <v>420</v>
      </c>
      <c r="I73" s="215" t="s">
        <v>155</v>
      </c>
      <c r="J73" s="216" t="s">
        <v>45</v>
      </c>
      <c r="K73" s="216" t="s">
        <v>45</v>
      </c>
      <c r="L73" s="258" t="s">
        <v>157</v>
      </c>
      <c r="M73" s="221" t="s">
        <v>45</v>
      </c>
      <c r="N73" s="222" t="s">
        <v>45</v>
      </c>
      <c r="O73" s="86"/>
      <c r="P73" s="86"/>
      <c r="Q73" s="86"/>
      <c r="R73" s="86"/>
      <c r="S73" s="86"/>
      <c r="T73" s="86"/>
      <c r="U73" s="86"/>
      <c r="V73" s="86"/>
      <c r="W73" s="86"/>
    </row>
    <row r="74">
      <c r="A74" s="193"/>
      <c r="B74" s="210"/>
      <c r="C74" s="225"/>
      <c r="D74" s="423" t="s">
        <v>105</v>
      </c>
      <c r="E74" s="212"/>
      <c r="F74" s="213"/>
      <c r="G74" s="240"/>
      <c r="H74" s="342"/>
      <c r="I74" s="242" t="s">
        <v>45</v>
      </c>
      <c r="J74" s="243" t="s">
        <v>45</v>
      </c>
      <c r="K74" s="243" t="s">
        <v>45</v>
      </c>
      <c r="L74" s="243" t="s">
        <v>438</v>
      </c>
      <c r="M74" s="248" t="s">
        <v>45</v>
      </c>
      <c r="N74" s="249" t="s">
        <v>45</v>
      </c>
      <c r="O74" s="86"/>
      <c r="P74" s="86"/>
      <c r="Q74" s="86"/>
      <c r="R74" s="86"/>
      <c r="S74" s="86"/>
      <c r="T74" s="86"/>
      <c r="U74" s="86"/>
      <c r="V74" s="86"/>
      <c r="W74" s="86"/>
    </row>
    <row r="75">
      <c r="A75" s="193"/>
      <c r="B75" s="210"/>
      <c r="C75" s="211" t="s">
        <v>423</v>
      </c>
      <c r="D75" s="212"/>
      <c r="E75" s="212"/>
      <c r="F75" s="213"/>
      <c r="G75" s="497"/>
      <c r="H75" s="214" t="s">
        <v>424</v>
      </c>
      <c r="I75" s="311"/>
      <c r="J75" s="216" t="s">
        <v>45</v>
      </c>
      <c r="K75" s="216" t="s">
        <v>45</v>
      </c>
      <c r="L75" s="258" t="s">
        <v>157</v>
      </c>
      <c r="M75" s="221" t="s">
        <v>45</v>
      </c>
      <c r="N75" s="222" t="s">
        <v>45</v>
      </c>
      <c r="O75" s="86"/>
      <c r="P75" s="86"/>
      <c r="Q75" s="86"/>
      <c r="R75" s="86"/>
      <c r="S75" s="86"/>
      <c r="T75" s="86"/>
      <c r="U75" s="86"/>
      <c r="V75" s="86"/>
      <c r="W75" s="86"/>
    </row>
    <row r="76">
      <c r="A76" s="193"/>
      <c r="B76" s="537"/>
      <c r="C76" s="538"/>
      <c r="D76" s="486" t="s">
        <v>90</v>
      </c>
      <c r="E76" s="212"/>
      <c r="F76" s="213"/>
      <c r="G76" s="319"/>
      <c r="H76" s="539"/>
      <c r="I76" s="540"/>
      <c r="J76" s="243" t="s">
        <v>45</v>
      </c>
      <c r="K76" s="243" t="s">
        <v>45</v>
      </c>
      <c r="L76" s="243" t="s">
        <v>45</v>
      </c>
      <c r="M76" s="248" t="s">
        <v>45</v>
      </c>
      <c r="N76" s="249" t="s">
        <v>45</v>
      </c>
      <c r="O76" s="541"/>
      <c r="P76" s="541"/>
      <c r="Q76" s="541"/>
      <c r="R76" s="541"/>
      <c r="S76" s="541"/>
      <c r="T76" s="541"/>
      <c r="U76" s="541"/>
      <c r="V76" s="541"/>
      <c r="W76" s="541"/>
    </row>
    <row r="77">
      <c r="A77" s="193"/>
      <c r="B77" s="537"/>
      <c r="C77" s="538"/>
      <c r="D77" s="486" t="s">
        <v>137</v>
      </c>
      <c r="E77" s="212"/>
      <c r="F77" s="213"/>
      <c r="G77" s="319"/>
      <c r="H77" s="539"/>
      <c r="I77" s="540"/>
      <c r="J77" s="243" t="s">
        <v>45</v>
      </c>
      <c r="K77" s="243" t="s">
        <v>45</v>
      </c>
      <c r="L77" s="243" t="s">
        <v>45</v>
      </c>
      <c r="M77" s="248" t="s">
        <v>45</v>
      </c>
      <c r="N77" s="249" t="s">
        <v>45</v>
      </c>
      <c r="O77" s="541"/>
      <c r="P77" s="541"/>
      <c r="Q77" s="541"/>
      <c r="R77" s="541"/>
      <c r="S77" s="541"/>
      <c r="T77" s="541"/>
      <c r="U77" s="541"/>
      <c r="V77" s="541"/>
      <c r="W77" s="541"/>
    </row>
    <row r="78">
      <c r="A78" s="193"/>
      <c r="B78" s="537"/>
      <c r="C78" s="538"/>
      <c r="D78" s="486" t="s">
        <v>96</v>
      </c>
      <c r="E78" s="212"/>
      <c r="F78" s="213"/>
      <c r="G78" s="319"/>
      <c r="H78" s="539"/>
      <c r="I78" s="540"/>
      <c r="J78" s="243" t="s">
        <v>45</v>
      </c>
      <c r="K78" s="243" t="s">
        <v>45</v>
      </c>
      <c r="L78" s="243" t="s">
        <v>45</v>
      </c>
      <c r="M78" s="248" t="s">
        <v>45</v>
      </c>
      <c r="N78" s="249" t="s">
        <v>45</v>
      </c>
      <c r="O78" s="541"/>
      <c r="P78" s="541"/>
      <c r="Q78" s="541"/>
      <c r="R78" s="541"/>
      <c r="S78" s="541"/>
      <c r="T78" s="541"/>
      <c r="U78" s="541"/>
      <c r="V78" s="541"/>
      <c r="W78" s="541"/>
    </row>
    <row r="79">
      <c r="A79" s="193"/>
      <c r="B79" s="210"/>
      <c r="C79" s="390" t="s">
        <v>425</v>
      </c>
      <c r="D79" s="212"/>
      <c r="E79" s="212"/>
      <c r="F79" s="213"/>
      <c r="G79" s="214"/>
      <c r="H79" s="214" t="s">
        <v>426</v>
      </c>
      <c r="I79" s="311"/>
      <c r="J79" s="216" t="s">
        <v>45</v>
      </c>
      <c r="K79" s="216" t="s">
        <v>45</v>
      </c>
      <c r="L79" s="258" t="s">
        <v>157</v>
      </c>
      <c r="M79" s="221" t="s">
        <v>45</v>
      </c>
      <c r="N79" s="222" t="s">
        <v>45</v>
      </c>
      <c r="O79" s="86"/>
      <c r="P79" s="86"/>
      <c r="Q79" s="86"/>
      <c r="R79" s="86"/>
      <c r="S79" s="86"/>
      <c r="T79" s="86"/>
      <c r="U79" s="86"/>
      <c r="V79" s="86"/>
      <c r="W79" s="86"/>
    </row>
    <row r="80">
      <c r="A80" s="193"/>
      <c r="B80" s="210"/>
      <c r="C80" s="225"/>
      <c r="D80" s="399" t="s">
        <v>83</v>
      </c>
      <c r="E80" s="212"/>
      <c r="F80" s="213"/>
      <c r="G80" s="227"/>
      <c r="H80" s="227"/>
      <c r="I80" s="325"/>
      <c r="J80" s="229" t="s">
        <v>45</v>
      </c>
      <c r="K80" s="229" t="s">
        <v>45</v>
      </c>
      <c r="L80" s="229" t="s">
        <v>45</v>
      </c>
      <c r="M80" s="234" t="s">
        <v>45</v>
      </c>
      <c r="N80" s="235" t="s">
        <v>45</v>
      </c>
      <c r="O80" s="86"/>
      <c r="P80" s="86"/>
      <c r="Q80" s="86"/>
      <c r="R80" s="86"/>
      <c r="S80" s="86"/>
      <c r="T80" s="86"/>
      <c r="U80" s="86"/>
      <c r="V80" s="86"/>
      <c r="W80" s="86"/>
    </row>
    <row r="81">
      <c r="A81" s="193"/>
      <c r="B81" s="210"/>
      <c r="C81" s="225"/>
      <c r="D81" s="225"/>
      <c r="E81" s="486" t="s">
        <v>113</v>
      </c>
      <c r="F81" s="213"/>
      <c r="G81" s="319"/>
      <c r="H81" s="241"/>
      <c r="I81" s="320"/>
      <c r="J81" s="243" t="s">
        <v>45</v>
      </c>
      <c r="K81" s="243" t="s">
        <v>45</v>
      </c>
      <c r="L81" s="243" t="s">
        <v>45</v>
      </c>
      <c r="M81" s="248" t="s">
        <v>45</v>
      </c>
      <c r="N81" s="249" t="s">
        <v>45</v>
      </c>
      <c r="O81" s="86"/>
      <c r="P81" s="86"/>
      <c r="Q81" s="86"/>
      <c r="R81" s="86"/>
      <c r="S81" s="86"/>
      <c r="T81" s="86"/>
      <c r="U81" s="86"/>
      <c r="V81" s="86"/>
      <c r="W81" s="86"/>
    </row>
    <row r="82">
      <c r="A82" s="193"/>
      <c r="B82" s="210"/>
      <c r="C82" s="225"/>
      <c r="D82" s="399" t="s">
        <v>84</v>
      </c>
      <c r="E82" s="212"/>
      <c r="F82" s="213"/>
      <c r="G82" s="227"/>
      <c r="H82" s="227"/>
      <c r="I82" s="325"/>
      <c r="J82" s="229" t="s">
        <v>45</v>
      </c>
      <c r="K82" s="229" t="s">
        <v>45</v>
      </c>
      <c r="L82" s="229" t="s">
        <v>45</v>
      </c>
      <c r="M82" s="234" t="s">
        <v>45</v>
      </c>
      <c r="N82" s="235" t="s">
        <v>45</v>
      </c>
      <c r="O82" s="86"/>
      <c r="P82" s="86"/>
      <c r="Q82" s="86"/>
      <c r="R82" s="86"/>
      <c r="S82" s="86"/>
      <c r="T82" s="86"/>
      <c r="U82" s="86"/>
      <c r="V82" s="86"/>
      <c r="W82" s="86"/>
    </row>
    <row r="83">
      <c r="A83" s="193"/>
      <c r="B83" s="210"/>
      <c r="C83" s="225"/>
      <c r="D83" s="225"/>
      <c r="E83" s="486" t="s">
        <v>118</v>
      </c>
      <c r="F83" s="213"/>
      <c r="G83" s="319"/>
      <c r="H83" s="241"/>
      <c r="I83" s="320"/>
      <c r="J83" s="243" t="s">
        <v>45</v>
      </c>
      <c r="K83" s="243" t="s">
        <v>45</v>
      </c>
      <c r="L83" s="243" t="s">
        <v>45</v>
      </c>
      <c r="M83" s="248" t="s">
        <v>45</v>
      </c>
      <c r="N83" s="249" t="s">
        <v>45</v>
      </c>
      <c r="O83" s="86"/>
      <c r="P83" s="86"/>
      <c r="Q83" s="86"/>
      <c r="R83" s="86"/>
      <c r="S83" s="86"/>
      <c r="T83" s="86"/>
      <c r="U83" s="86"/>
      <c r="V83" s="86"/>
      <c r="W83" s="86"/>
    </row>
    <row r="84">
      <c r="A84" s="193"/>
      <c r="B84" s="210"/>
      <c r="C84" s="225"/>
      <c r="D84" s="225"/>
      <c r="E84" s="587" t="s">
        <v>120</v>
      </c>
      <c r="F84" s="547"/>
      <c r="G84" s="548"/>
      <c r="H84" s="241"/>
      <c r="I84" s="320"/>
      <c r="J84" s="243" t="s">
        <v>45</v>
      </c>
      <c r="K84" s="243" t="s">
        <v>45</v>
      </c>
      <c r="L84" s="243" t="s">
        <v>45</v>
      </c>
      <c r="M84" s="248" t="s">
        <v>45</v>
      </c>
      <c r="N84" s="249" t="s">
        <v>45</v>
      </c>
      <c r="O84" s="86"/>
      <c r="P84" s="86"/>
      <c r="Q84" s="86"/>
      <c r="R84" s="86"/>
      <c r="S84" s="86"/>
      <c r="T84" s="86"/>
      <c r="U84" s="86"/>
      <c r="V84" s="86"/>
      <c r="W84" s="86"/>
    </row>
    <row r="85">
      <c r="A85" s="193"/>
      <c r="B85" s="210"/>
      <c r="C85" s="225"/>
      <c r="D85" s="236"/>
      <c r="E85" s="587" t="s">
        <v>122</v>
      </c>
      <c r="F85" s="547"/>
      <c r="G85" s="596"/>
      <c r="H85" s="550"/>
      <c r="I85" s="320"/>
      <c r="J85" s="243" t="s">
        <v>45</v>
      </c>
      <c r="K85" s="243" t="s">
        <v>45</v>
      </c>
      <c r="L85" s="243" t="s">
        <v>45</v>
      </c>
      <c r="M85" s="248" t="s">
        <v>45</v>
      </c>
      <c r="N85" s="249" t="s">
        <v>45</v>
      </c>
      <c r="O85" s="86"/>
      <c r="P85" s="86"/>
      <c r="Q85" s="86"/>
      <c r="R85" s="86"/>
      <c r="S85" s="86"/>
      <c r="T85" s="86"/>
      <c r="U85" s="86"/>
      <c r="V85" s="86"/>
      <c r="W85" s="86"/>
    </row>
    <row r="86">
      <c r="A86" s="193"/>
      <c r="B86" s="210"/>
      <c r="C86" s="225"/>
      <c r="D86" s="236"/>
      <c r="E86" s="587" t="s">
        <v>71</v>
      </c>
      <c r="F86" s="547"/>
      <c r="G86" s="596"/>
      <c r="H86" s="550"/>
      <c r="I86" s="320"/>
      <c r="J86" s="243" t="s">
        <v>45</v>
      </c>
      <c r="K86" s="243" t="s">
        <v>45</v>
      </c>
      <c r="L86" s="243" t="s">
        <v>45</v>
      </c>
      <c r="M86" s="248" t="s">
        <v>45</v>
      </c>
      <c r="N86" s="249" t="s">
        <v>45</v>
      </c>
      <c r="O86" s="86"/>
      <c r="P86" s="86"/>
      <c r="Q86" s="86"/>
      <c r="R86" s="86"/>
      <c r="S86" s="86"/>
      <c r="T86" s="86"/>
      <c r="U86" s="86"/>
      <c r="V86" s="86"/>
      <c r="W86" s="86"/>
    </row>
    <row r="87">
      <c r="A87" s="193"/>
      <c r="B87" s="210"/>
      <c r="C87" s="225"/>
      <c r="D87" s="399" t="s">
        <v>429</v>
      </c>
      <c r="E87" s="212"/>
      <c r="F87" s="213"/>
      <c r="G87" s="227"/>
      <c r="H87" s="227"/>
      <c r="I87" s="325"/>
      <c r="J87" s="229" t="s">
        <v>45</v>
      </c>
      <c r="K87" s="229" t="s">
        <v>45</v>
      </c>
      <c r="L87" s="229" t="s">
        <v>45</v>
      </c>
      <c r="M87" s="234" t="s">
        <v>45</v>
      </c>
      <c r="N87" s="235" t="s">
        <v>45</v>
      </c>
      <c r="O87" s="86"/>
      <c r="P87" s="86"/>
      <c r="Q87" s="86"/>
      <c r="R87" s="86"/>
      <c r="S87" s="86"/>
      <c r="T87" s="86"/>
      <c r="U87" s="86"/>
      <c r="V87" s="86"/>
      <c r="W87" s="86"/>
    </row>
    <row r="88">
      <c r="A88" s="193"/>
      <c r="B88" s="210"/>
      <c r="C88" s="225"/>
      <c r="D88" s="225"/>
      <c r="E88" s="486" t="s">
        <v>42</v>
      </c>
      <c r="F88" s="213"/>
      <c r="G88" s="319"/>
      <c r="H88" s="241"/>
      <c r="I88" s="320"/>
      <c r="J88" s="243" t="s">
        <v>45</v>
      </c>
      <c r="K88" s="243" t="s">
        <v>45</v>
      </c>
      <c r="L88" s="243" t="s">
        <v>45</v>
      </c>
      <c r="M88" s="248" t="s">
        <v>45</v>
      </c>
      <c r="N88" s="249" t="s">
        <v>45</v>
      </c>
      <c r="O88" s="86"/>
      <c r="P88" s="86"/>
      <c r="Q88" s="86"/>
      <c r="R88" s="86"/>
      <c r="S88" s="86"/>
      <c r="T88" s="86"/>
      <c r="U88" s="86"/>
      <c r="V88" s="86"/>
      <c r="W88" s="86"/>
    </row>
    <row r="89">
      <c r="A89" s="193"/>
      <c r="B89" s="210"/>
      <c r="C89" s="225"/>
      <c r="D89" s="399" t="s">
        <v>430</v>
      </c>
      <c r="E89" s="212"/>
      <c r="F89" s="213"/>
      <c r="G89" s="227"/>
      <c r="H89" s="227"/>
      <c r="I89" s="325"/>
      <c r="J89" s="229" t="s">
        <v>45</v>
      </c>
      <c r="K89" s="229" t="s">
        <v>45</v>
      </c>
      <c r="L89" s="229" t="s">
        <v>45</v>
      </c>
      <c r="M89" s="234" t="s">
        <v>45</v>
      </c>
      <c r="N89" s="235" t="s">
        <v>45</v>
      </c>
      <c r="O89" s="86"/>
      <c r="P89" s="86"/>
      <c r="Q89" s="86"/>
      <c r="R89" s="86"/>
      <c r="S89" s="86"/>
      <c r="T89" s="86"/>
      <c r="U89" s="86"/>
      <c r="V89" s="86"/>
      <c r="W89" s="86"/>
    </row>
    <row r="90">
      <c r="A90" s="193"/>
      <c r="B90" s="210"/>
      <c r="C90" s="390" t="s">
        <v>431</v>
      </c>
      <c r="D90" s="212"/>
      <c r="E90" s="212"/>
      <c r="F90" s="213"/>
      <c r="G90" s="214"/>
      <c r="H90" s="214" t="s">
        <v>432</v>
      </c>
      <c r="I90" s="311"/>
      <c r="J90" s="216" t="s">
        <v>45</v>
      </c>
      <c r="K90" s="216" t="s">
        <v>45</v>
      </c>
      <c r="L90" s="258" t="s">
        <v>157</v>
      </c>
      <c r="M90" s="221" t="s">
        <v>45</v>
      </c>
      <c r="N90" s="222" t="s">
        <v>45</v>
      </c>
      <c r="O90" s="86"/>
      <c r="P90" s="86"/>
      <c r="Q90" s="86"/>
      <c r="R90" s="86"/>
      <c r="S90" s="86"/>
      <c r="T90" s="86"/>
      <c r="U90" s="86"/>
      <c r="V90" s="86"/>
      <c r="W90" s="86"/>
    </row>
    <row r="91">
      <c r="A91" s="193"/>
      <c r="B91" s="210"/>
      <c r="C91" s="225"/>
      <c r="D91" s="399" t="s">
        <v>91</v>
      </c>
      <c r="E91" s="212"/>
      <c r="F91" s="213"/>
      <c r="G91" s="227"/>
      <c r="H91" s="227"/>
      <c r="I91" s="325"/>
      <c r="J91" s="229" t="s">
        <v>45</v>
      </c>
      <c r="K91" s="229" t="s">
        <v>45</v>
      </c>
      <c r="L91" s="229" t="s">
        <v>45</v>
      </c>
      <c r="M91" s="234" t="s">
        <v>45</v>
      </c>
      <c r="N91" s="235" t="s">
        <v>45</v>
      </c>
      <c r="O91" s="86"/>
      <c r="P91" s="86"/>
      <c r="Q91" s="86"/>
      <c r="R91" s="86"/>
      <c r="S91" s="86"/>
      <c r="T91" s="86"/>
      <c r="U91" s="86"/>
      <c r="V91" s="86"/>
      <c r="W91" s="86"/>
    </row>
    <row r="92">
      <c r="A92" s="193"/>
      <c r="B92" s="210"/>
      <c r="C92" s="225"/>
      <c r="D92" s="554"/>
      <c r="E92" s="486" t="s">
        <v>52</v>
      </c>
      <c r="F92" s="213"/>
      <c r="G92" s="319"/>
      <c r="H92" s="241"/>
      <c r="I92" s="320"/>
      <c r="J92" s="243" t="s">
        <v>45</v>
      </c>
      <c r="K92" s="243" t="s">
        <v>45</v>
      </c>
      <c r="L92" s="243" t="s">
        <v>45</v>
      </c>
      <c r="M92" s="248" t="s">
        <v>45</v>
      </c>
      <c r="N92" s="249" t="s">
        <v>45</v>
      </c>
      <c r="O92" s="86"/>
      <c r="P92" s="86"/>
      <c r="Q92" s="86"/>
      <c r="R92" s="86"/>
      <c r="S92" s="86"/>
      <c r="T92" s="86"/>
      <c r="U92" s="86"/>
      <c r="V92" s="86"/>
      <c r="W92" s="86"/>
    </row>
    <row r="93">
      <c r="A93" s="555"/>
      <c r="B93" s="556"/>
      <c r="C93" s="597" t="s">
        <v>435</v>
      </c>
      <c r="D93" s="558"/>
      <c r="E93" s="558"/>
      <c r="F93" s="559"/>
      <c r="G93" s="561"/>
      <c r="H93" s="562"/>
      <c r="I93" s="564"/>
      <c r="J93" s="565" t="s">
        <v>45</v>
      </c>
      <c r="K93" s="565" t="s">
        <v>45</v>
      </c>
      <c r="L93" s="566" t="s">
        <v>157</v>
      </c>
      <c r="M93" s="570" t="s">
        <v>45</v>
      </c>
      <c r="N93" s="571" t="s">
        <v>45</v>
      </c>
      <c r="O93" s="86"/>
      <c r="P93" s="86"/>
      <c r="Q93" s="86"/>
      <c r="R93" s="86"/>
      <c r="S93" s="86"/>
      <c r="T93" s="86"/>
      <c r="U93" s="86"/>
      <c r="V93" s="86"/>
      <c r="W93" s="86"/>
    </row>
    <row r="94">
      <c r="A94" s="572"/>
      <c r="B94" s="573"/>
      <c r="C94" s="574"/>
      <c r="D94" s="574"/>
      <c r="E94" s="574"/>
      <c r="F94" s="574"/>
      <c r="G94" s="574"/>
      <c r="H94" s="574"/>
      <c r="I94" s="574"/>
      <c r="J94" s="574"/>
      <c r="K94" s="574"/>
      <c r="L94" s="574"/>
      <c r="M94" s="574"/>
      <c r="N94" s="574"/>
      <c r="O94" s="574"/>
      <c r="P94" s="574"/>
      <c r="Q94" s="576"/>
      <c r="R94" s="577"/>
      <c r="S94" s="577"/>
      <c r="T94" s="577"/>
      <c r="U94" s="577"/>
      <c r="V94" s="577"/>
      <c r="W94" s="574"/>
    </row>
  </sheetData>
  <mergeCells count="91">
    <mergeCell ref="E37:F37"/>
    <mergeCell ref="D38:F38"/>
    <mergeCell ref="E39:F39"/>
    <mergeCell ref="E40:F40"/>
    <mergeCell ref="D41:F41"/>
    <mergeCell ref="E42:F42"/>
    <mergeCell ref="E43:F43"/>
    <mergeCell ref="E44:F44"/>
    <mergeCell ref="D45:F45"/>
    <mergeCell ref="E46:F46"/>
    <mergeCell ref="D47:F47"/>
    <mergeCell ref="E48:F48"/>
    <mergeCell ref="E49:F49"/>
    <mergeCell ref="D50:F50"/>
    <mergeCell ref="D53:F53"/>
    <mergeCell ref="E54:F54"/>
    <mergeCell ref="E55:F55"/>
    <mergeCell ref="E57:F57"/>
    <mergeCell ref="C59:F59"/>
    <mergeCell ref="D60:F60"/>
    <mergeCell ref="D61:F61"/>
    <mergeCell ref="D63:F63"/>
    <mergeCell ref="E64:F64"/>
    <mergeCell ref="E67:F67"/>
    <mergeCell ref="D71:F71"/>
    <mergeCell ref="D72:F72"/>
    <mergeCell ref="C73:F73"/>
    <mergeCell ref="D74:F74"/>
    <mergeCell ref="C75:F75"/>
    <mergeCell ref="D76:F76"/>
    <mergeCell ref="D77:F77"/>
    <mergeCell ref="D78:F78"/>
    <mergeCell ref="C79:F79"/>
    <mergeCell ref="D80:F80"/>
    <mergeCell ref="E81:F81"/>
    <mergeCell ref="D89:F89"/>
    <mergeCell ref="C90:F90"/>
    <mergeCell ref="D91:F91"/>
    <mergeCell ref="E92:F92"/>
    <mergeCell ref="C93:F93"/>
    <mergeCell ref="D82:F82"/>
    <mergeCell ref="E83:F83"/>
    <mergeCell ref="E84:F84"/>
    <mergeCell ref="E85:F85"/>
    <mergeCell ref="E86:F86"/>
    <mergeCell ref="D87:F87"/>
    <mergeCell ref="E88:F88"/>
    <mergeCell ref="B1:F3"/>
    <mergeCell ref="H1:L3"/>
    <mergeCell ref="M1:N1"/>
    <mergeCell ref="M2:N2"/>
    <mergeCell ref="M3:N3"/>
    <mergeCell ref="B4:L4"/>
    <mergeCell ref="M4:N4"/>
    <mergeCell ref="A6:F6"/>
    <mergeCell ref="H6:H7"/>
    <mergeCell ref="I6:N6"/>
    <mergeCell ref="Q6:V6"/>
    <mergeCell ref="A7:F7"/>
    <mergeCell ref="Q7:Q8"/>
    <mergeCell ref="A8:F8"/>
    <mergeCell ref="A9:F9"/>
    <mergeCell ref="B10:F10"/>
    <mergeCell ref="C11:F11"/>
    <mergeCell ref="D12:F12"/>
    <mergeCell ref="E13:F13"/>
    <mergeCell ref="E14:F14"/>
    <mergeCell ref="E15:F15"/>
    <mergeCell ref="D16:F16"/>
    <mergeCell ref="C17:F17"/>
    <mergeCell ref="E18:F18"/>
    <mergeCell ref="C19:F19"/>
    <mergeCell ref="D20:F20"/>
    <mergeCell ref="D21:F21"/>
    <mergeCell ref="C22:F22"/>
    <mergeCell ref="B23:F23"/>
    <mergeCell ref="C24:F24"/>
    <mergeCell ref="D25:F25"/>
    <mergeCell ref="D26:F26"/>
    <mergeCell ref="E27:F27"/>
    <mergeCell ref="E28:F28"/>
    <mergeCell ref="E29:F29"/>
    <mergeCell ref="D30:F30"/>
    <mergeCell ref="E31:F31"/>
    <mergeCell ref="E32:F32"/>
    <mergeCell ref="E33:F33"/>
    <mergeCell ref="E34:F34"/>
    <mergeCell ref="E35:F35"/>
    <mergeCell ref="D36:F36"/>
    <mergeCell ref="E51:F51"/>
    <mergeCell ref="E52:F52"/>
  </mergeCells>
  <hyperlinks>
    <hyperlink r:id="rId1" ref="A6"/>
    <hyperlink r:id="rId2" ref="E13"/>
    <hyperlink r:id="rId3" ref="E14"/>
    <hyperlink r:id="rId4" ref="E15"/>
    <hyperlink r:id="rId5" ref="E18"/>
    <hyperlink r:id="rId6" ref="D25"/>
    <hyperlink r:id="rId7" ref="E27"/>
    <hyperlink r:id="rId8" ref="E28"/>
    <hyperlink r:id="rId9" location="gid=462638988" ref="E29"/>
    <hyperlink r:id="rId10" ref="E31"/>
    <hyperlink r:id="rId11" ref="E32"/>
    <hyperlink r:id="rId12" ref="E33"/>
    <hyperlink r:id="rId13" ref="E34"/>
    <hyperlink r:id="rId14" ref="E35"/>
    <hyperlink r:id="rId15" ref="E37"/>
    <hyperlink r:id="rId16" location="gid=219199286" ref="E39"/>
    <hyperlink r:id="rId17" location="gid=1768991485" ref="E40"/>
    <hyperlink r:id="rId18" location="gid=2108151244" ref="E42"/>
    <hyperlink r:id="rId19" ref="E43"/>
    <hyperlink r:id="rId20" ref="E44"/>
    <hyperlink r:id="rId21" ref="E46"/>
    <hyperlink r:id="rId22" ref="E48"/>
    <hyperlink r:id="rId23" ref="E49"/>
    <hyperlink r:id="rId24" ref="E51"/>
    <hyperlink r:id="rId25" location="gid=1635575579" ref="E52"/>
    <hyperlink r:id="rId26" location="gid=1653526820" ref="E54"/>
    <hyperlink r:id="rId27" location="gid=49451162" ref="E55"/>
    <hyperlink r:id="rId28" ref="E57"/>
    <hyperlink r:id="rId29" ref="D60"/>
    <hyperlink r:id="rId30" location="gid=1685132237" ref="F62"/>
    <hyperlink r:id="rId31" ref="F65"/>
    <hyperlink r:id="rId32" ref="F66"/>
    <hyperlink r:id="rId33" ref="F68"/>
    <hyperlink r:id="rId34" ref="F69"/>
    <hyperlink r:id="rId35" ref="F70"/>
    <hyperlink r:id="rId36" ref="D74"/>
    <hyperlink r:id="rId37" location="gid=1255747145" ref="D76"/>
    <hyperlink r:id="rId38" ref="D77"/>
    <hyperlink r:id="rId39" location="gid=1768991485" ref="D78"/>
    <hyperlink r:id="rId40" location="gid=2038376756" ref="E81"/>
    <hyperlink r:id="rId41" ref="E83"/>
    <hyperlink r:id="rId42" ref="E84"/>
    <hyperlink r:id="rId43" ref="E85"/>
    <hyperlink r:id="rId44" ref="E86"/>
    <hyperlink r:id="rId45" ref="E88"/>
    <hyperlink r:id="rId46" ref="E92"/>
  </hyperlinks>
  <drawing r:id="rId47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 outlineLevelRow="1"/>
  <cols>
    <col customWidth="1" min="1" max="1" width="2.5"/>
    <col customWidth="1" min="2" max="4" width="2.0"/>
    <col customWidth="1" min="5" max="5" width="3.0"/>
    <col customWidth="1" min="6" max="6" width="44.25"/>
    <col customWidth="1" min="7" max="7" width="29.0"/>
    <col customWidth="1" min="8" max="8" width="6.38"/>
    <col customWidth="1" min="9" max="9" width="4.75"/>
    <col customWidth="1" min="10" max="10" width="5.13"/>
    <col customWidth="1" min="11" max="11" width="6.0"/>
    <col customWidth="1" min="12" max="12" width="8.38"/>
    <col customWidth="1" min="13" max="13" width="7.0"/>
    <col customWidth="1" min="14" max="14" width="8.88"/>
    <col customWidth="1" min="15" max="15" width="7.75"/>
    <col customWidth="1" min="16" max="16" width="8.75"/>
    <col customWidth="1" min="17" max="17" width="14.75"/>
    <col customWidth="1" min="18" max="19" width="5.38"/>
    <col customWidth="1" min="20" max="20" width="2.5"/>
  </cols>
  <sheetData>
    <row r="1" ht="22.5" customHeight="1">
      <c r="A1" s="85"/>
      <c r="B1" s="359"/>
      <c r="C1" s="79"/>
      <c r="D1" s="79"/>
      <c r="E1" s="79"/>
      <c r="F1" s="80"/>
      <c r="G1" s="82" t="s">
        <v>114</v>
      </c>
      <c r="H1" s="79"/>
      <c r="I1" s="79"/>
      <c r="J1" s="79"/>
      <c r="K1" s="79"/>
      <c r="L1" s="79"/>
      <c r="M1" s="79"/>
      <c r="N1" s="79"/>
      <c r="O1" s="80"/>
      <c r="P1" s="361" t="s">
        <v>300</v>
      </c>
      <c r="Q1" s="79"/>
      <c r="R1" s="79"/>
      <c r="S1" s="80"/>
      <c r="T1" s="85"/>
    </row>
    <row r="2" ht="22.5" customHeight="1">
      <c r="A2" s="85"/>
      <c r="B2" s="90"/>
      <c r="F2" s="89"/>
      <c r="G2" s="90"/>
      <c r="O2" s="89"/>
      <c r="P2" s="364" t="s">
        <v>305</v>
      </c>
      <c r="S2" s="89"/>
      <c r="T2" s="85"/>
    </row>
    <row r="3" ht="22.5" customHeight="1">
      <c r="A3" s="85"/>
      <c r="B3" s="96"/>
      <c r="C3" s="94"/>
      <c r="D3" s="94"/>
      <c r="E3" s="94"/>
      <c r="F3" s="95"/>
      <c r="G3" s="96"/>
      <c r="H3" s="94"/>
      <c r="I3" s="94"/>
      <c r="J3" s="94"/>
      <c r="K3" s="94"/>
      <c r="L3" s="94"/>
      <c r="M3" s="94"/>
      <c r="N3" s="94"/>
      <c r="O3" s="95"/>
      <c r="P3" s="366" t="s">
        <v>310</v>
      </c>
      <c r="Q3" s="94"/>
      <c r="R3" s="94"/>
      <c r="S3" s="95"/>
      <c r="T3" s="85"/>
    </row>
    <row r="4" ht="22.5" customHeight="1">
      <c r="A4" s="85"/>
      <c r="B4" s="369" t="s">
        <v>123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5"/>
      <c r="P4" s="101" t="s">
        <v>311</v>
      </c>
      <c r="Q4" s="94"/>
      <c r="R4" s="94"/>
      <c r="S4" s="95"/>
      <c r="T4" s="85"/>
    </row>
    <row r="5">
      <c r="A5" s="85"/>
      <c r="B5" s="375"/>
      <c r="C5" s="103"/>
      <c r="D5" s="103"/>
      <c r="E5" s="103"/>
      <c r="F5" s="106"/>
      <c r="G5" s="106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85"/>
    </row>
    <row r="6" ht="27.75" customHeight="1">
      <c r="A6" s="85"/>
      <c r="B6" s="379" t="s">
        <v>313</v>
      </c>
      <c r="C6" s="197"/>
      <c r="D6" s="197"/>
      <c r="E6" s="197"/>
      <c r="F6" s="380"/>
      <c r="G6" s="381" t="s">
        <v>133</v>
      </c>
      <c r="H6" s="383" t="s">
        <v>315</v>
      </c>
      <c r="I6" s="4"/>
      <c r="J6" s="4"/>
      <c r="K6" s="4"/>
      <c r="L6" s="4"/>
      <c r="M6" s="4"/>
      <c r="N6" s="4"/>
      <c r="O6" s="4"/>
      <c r="P6" s="4"/>
      <c r="Q6" s="4"/>
      <c r="R6" s="4"/>
      <c r="S6" s="5"/>
      <c r="T6" s="85"/>
    </row>
    <row r="7" ht="27.75" customHeight="1">
      <c r="A7" s="103"/>
      <c r="B7" s="385" t="str">
        <f>HYPERLINK("https://goo.gl/9yMVRu","StandardFolder Link")</f>
        <v>StandardFolder Link</v>
      </c>
      <c r="C7" s="138"/>
      <c r="D7" s="138"/>
      <c r="E7" s="138"/>
      <c r="F7" s="388"/>
      <c r="G7" s="93"/>
      <c r="H7" s="391" t="s">
        <v>140</v>
      </c>
      <c r="I7" s="392" t="s">
        <v>319</v>
      </c>
      <c r="J7" s="393" t="s">
        <v>320</v>
      </c>
      <c r="K7" s="392" t="s">
        <v>321</v>
      </c>
      <c r="L7" s="392" t="s">
        <v>322</v>
      </c>
      <c r="M7" s="392" t="s">
        <v>323</v>
      </c>
      <c r="N7" s="392" t="s">
        <v>324</v>
      </c>
      <c r="O7" s="392" t="s">
        <v>325</v>
      </c>
      <c r="P7" s="392" t="s">
        <v>326</v>
      </c>
      <c r="Q7" s="394" t="s">
        <v>327</v>
      </c>
      <c r="R7" s="396" t="s">
        <v>328</v>
      </c>
      <c r="S7" s="397" t="s">
        <v>150</v>
      </c>
      <c r="T7" s="103"/>
    </row>
    <row r="8">
      <c r="A8" s="398"/>
      <c r="B8" s="400" t="s">
        <v>11</v>
      </c>
      <c r="C8" s="197"/>
      <c r="D8" s="197"/>
      <c r="E8" s="197"/>
      <c r="F8" s="380"/>
      <c r="G8" s="401" t="s">
        <v>205</v>
      </c>
      <c r="H8" s="402" t="s">
        <v>329</v>
      </c>
      <c r="I8" s="403" t="s">
        <v>329</v>
      </c>
      <c r="J8" s="403" t="s">
        <v>329</v>
      </c>
      <c r="K8" s="403" t="s">
        <v>329</v>
      </c>
      <c r="L8" s="403" t="s">
        <v>329</v>
      </c>
      <c r="M8" s="403" t="s">
        <v>329</v>
      </c>
      <c r="N8" s="403"/>
      <c r="O8" s="403" t="s">
        <v>329</v>
      </c>
      <c r="P8" s="403"/>
      <c r="Q8" s="407"/>
      <c r="R8" s="409" t="s">
        <v>330</v>
      </c>
      <c r="S8" s="409" t="s">
        <v>330</v>
      </c>
      <c r="T8" s="192"/>
    </row>
    <row r="9">
      <c r="A9" s="410"/>
      <c r="B9" s="210"/>
      <c r="C9" s="390" t="s">
        <v>209</v>
      </c>
      <c r="D9" s="212"/>
      <c r="E9" s="212"/>
      <c r="F9" s="414"/>
      <c r="G9" s="415" t="s">
        <v>211</v>
      </c>
      <c r="H9" s="311" t="s">
        <v>330</v>
      </c>
      <c r="I9" s="217" t="s">
        <v>329</v>
      </c>
      <c r="J9" s="217" t="s">
        <v>329</v>
      </c>
      <c r="K9" s="217" t="s">
        <v>329</v>
      </c>
      <c r="L9" s="217" t="s">
        <v>329</v>
      </c>
      <c r="M9" s="217" t="s">
        <v>329</v>
      </c>
      <c r="N9" s="217"/>
      <c r="O9" s="217" t="s">
        <v>329</v>
      </c>
      <c r="P9" s="217"/>
      <c r="Q9" s="416"/>
      <c r="R9" s="417" t="s">
        <v>330</v>
      </c>
      <c r="S9" s="417" t="s">
        <v>330</v>
      </c>
      <c r="T9" s="86"/>
    </row>
    <row r="10">
      <c r="A10" s="410"/>
      <c r="B10" s="210"/>
      <c r="C10" s="225"/>
      <c r="D10" s="418" t="s">
        <v>335</v>
      </c>
      <c r="E10" s="212"/>
      <c r="F10" s="414"/>
      <c r="G10" s="421"/>
      <c r="H10" s="320" t="s">
        <v>330</v>
      </c>
      <c r="I10" s="245" t="s">
        <v>329</v>
      </c>
      <c r="J10" s="245" t="s">
        <v>329</v>
      </c>
      <c r="K10" s="245" t="s">
        <v>329</v>
      </c>
      <c r="L10" s="245" t="s">
        <v>329</v>
      </c>
      <c r="M10" s="245" t="s">
        <v>329</v>
      </c>
      <c r="N10" s="245"/>
      <c r="O10" s="245" t="s">
        <v>329</v>
      </c>
      <c r="P10" s="245"/>
      <c r="Q10" s="424"/>
      <c r="R10" s="425" t="s">
        <v>330</v>
      </c>
      <c r="S10" s="425" t="s">
        <v>330</v>
      </c>
      <c r="T10" s="86"/>
    </row>
    <row r="11">
      <c r="A11" s="410"/>
      <c r="B11" s="210"/>
      <c r="C11" s="225"/>
      <c r="D11" s="236"/>
      <c r="E11" s="423" t="s">
        <v>35</v>
      </c>
      <c r="F11" s="414"/>
      <c r="G11" s="241"/>
      <c r="H11" s="320" t="s">
        <v>330</v>
      </c>
      <c r="I11" s="245" t="s">
        <v>329</v>
      </c>
      <c r="J11" s="245" t="s">
        <v>329</v>
      </c>
      <c r="K11" s="245" t="s">
        <v>329</v>
      </c>
      <c r="L11" s="245" t="s">
        <v>329</v>
      </c>
      <c r="M11" s="245" t="s">
        <v>329</v>
      </c>
      <c r="N11" s="245"/>
      <c r="O11" s="245" t="s">
        <v>329</v>
      </c>
      <c r="P11" s="245"/>
      <c r="Q11" s="424"/>
      <c r="R11" s="425" t="s">
        <v>330</v>
      </c>
      <c r="S11" s="425" t="s">
        <v>330</v>
      </c>
      <c r="T11" s="86"/>
    </row>
    <row r="12">
      <c r="A12" s="410"/>
      <c r="B12" s="210"/>
      <c r="C12" s="225"/>
      <c r="D12" s="236"/>
      <c r="E12" s="423" t="s">
        <v>46</v>
      </c>
      <c r="F12" s="414"/>
      <c r="G12" s="241"/>
      <c r="H12" s="320" t="s">
        <v>330</v>
      </c>
      <c r="I12" s="245" t="s">
        <v>329</v>
      </c>
      <c r="J12" s="245" t="s">
        <v>329</v>
      </c>
      <c r="K12" s="245" t="s">
        <v>329</v>
      </c>
      <c r="L12" s="245" t="s">
        <v>329</v>
      </c>
      <c r="M12" s="245" t="s">
        <v>329</v>
      </c>
      <c r="N12" s="245"/>
      <c r="O12" s="245" t="s">
        <v>329</v>
      </c>
      <c r="P12" s="245"/>
      <c r="Q12" s="424"/>
      <c r="R12" s="425" t="s">
        <v>330</v>
      </c>
      <c r="S12" s="425" t="s">
        <v>330</v>
      </c>
      <c r="T12" s="86"/>
    </row>
    <row r="13">
      <c r="A13" s="410"/>
      <c r="B13" s="210"/>
      <c r="C13" s="225"/>
      <c r="D13" s="236"/>
      <c r="E13" s="423" t="s">
        <v>55</v>
      </c>
      <c r="F13" s="414"/>
      <c r="G13" s="241"/>
      <c r="H13" s="320" t="s">
        <v>330</v>
      </c>
      <c r="I13" s="245" t="s">
        <v>329</v>
      </c>
      <c r="J13" s="245" t="s">
        <v>329</v>
      </c>
      <c r="K13" s="245" t="s">
        <v>329</v>
      </c>
      <c r="L13" s="245" t="s">
        <v>329</v>
      </c>
      <c r="M13" s="245" t="s">
        <v>329</v>
      </c>
      <c r="N13" s="245"/>
      <c r="O13" s="245" t="s">
        <v>329</v>
      </c>
      <c r="P13" s="245"/>
      <c r="Q13" s="424"/>
      <c r="R13" s="425" t="s">
        <v>330</v>
      </c>
      <c r="S13" s="425" t="s">
        <v>330</v>
      </c>
      <c r="T13" s="86"/>
    </row>
    <row r="14">
      <c r="A14" s="410"/>
      <c r="B14" s="210"/>
      <c r="C14" s="225"/>
      <c r="D14" s="418" t="s">
        <v>356</v>
      </c>
      <c r="E14" s="212"/>
      <c r="F14" s="414"/>
      <c r="G14" s="421"/>
      <c r="H14" s="320" t="s">
        <v>330</v>
      </c>
      <c r="I14" s="245" t="s">
        <v>329</v>
      </c>
      <c r="J14" s="320" t="s">
        <v>330</v>
      </c>
      <c r="K14" s="245"/>
      <c r="L14" s="245"/>
      <c r="M14" s="245"/>
      <c r="N14" s="245"/>
      <c r="O14" s="245"/>
      <c r="P14" s="245"/>
      <c r="Q14" s="424"/>
      <c r="R14" s="425" t="s">
        <v>330</v>
      </c>
      <c r="S14" s="425" t="s">
        <v>330</v>
      </c>
      <c r="T14" s="86"/>
    </row>
    <row r="15">
      <c r="A15" s="410"/>
      <c r="B15" s="210"/>
      <c r="C15" s="390" t="s">
        <v>353</v>
      </c>
      <c r="D15" s="212"/>
      <c r="E15" s="212"/>
      <c r="F15" s="414"/>
      <c r="G15" s="415" t="s">
        <v>239</v>
      </c>
      <c r="H15" s="311" t="s">
        <v>329</v>
      </c>
      <c r="I15" s="217" t="s">
        <v>330</v>
      </c>
      <c r="J15" s="217" t="s">
        <v>329</v>
      </c>
      <c r="K15" s="217" t="s">
        <v>329</v>
      </c>
      <c r="L15" s="217" t="s">
        <v>329</v>
      </c>
      <c r="M15" s="217" t="s">
        <v>329</v>
      </c>
      <c r="N15" s="217"/>
      <c r="O15" s="217"/>
      <c r="P15" s="217"/>
      <c r="Q15" s="416"/>
      <c r="R15" s="417" t="s">
        <v>330</v>
      </c>
      <c r="S15" s="417" t="s">
        <v>330</v>
      </c>
      <c r="T15" s="86"/>
    </row>
    <row r="16">
      <c r="A16" s="410"/>
      <c r="B16" s="263"/>
      <c r="C16" s="264"/>
      <c r="D16" s="264"/>
      <c r="E16" s="423" t="s">
        <v>170</v>
      </c>
      <c r="F16" s="414"/>
      <c r="G16" s="462"/>
      <c r="H16" s="320" t="s">
        <v>329</v>
      </c>
      <c r="I16" s="245" t="s">
        <v>330</v>
      </c>
      <c r="J16" s="245" t="s">
        <v>329</v>
      </c>
      <c r="K16" s="245" t="s">
        <v>329</v>
      </c>
      <c r="L16" s="245" t="s">
        <v>329</v>
      </c>
      <c r="M16" s="245" t="s">
        <v>329</v>
      </c>
      <c r="N16" s="245"/>
      <c r="O16" s="245"/>
      <c r="P16" s="245"/>
      <c r="Q16" s="424"/>
      <c r="R16" s="425" t="s">
        <v>330</v>
      </c>
      <c r="S16" s="425" t="s">
        <v>330</v>
      </c>
      <c r="T16" s="86"/>
    </row>
    <row r="17">
      <c r="A17" s="410"/>
      <c r="B17" s="210"/>
      <c r="C17" s="390" t="s">
        <v>364</v>
      </c>
      <c r="D17" s="212"/>
      <c r="E17" s="212"/>
      <c r="F17" s="414"/>
      <c r="G17" s="415" t="s">
        <v>250</v>
      </c>
      <c r="H17" s="311" t="s">
        <v>329</v>
      </c>
      <c r="I17" s="217" t="s">
        <v>329</v>
      </c>
      <c r="J17" s="217" t="s">
        <v>329</v>
      </c>
      <c r="K17" s="217" t="s">
        <v>329</v>
      </c>
      <c r="L17" s="217" t="s">
        <v>329</v>
      </c>
      <c r="M17" s="217" t="s">
        <v>329</v>
      </c>
      <c r="N17" s="217" t="s">
        <v>330</v>
      </c>
      <c r="O17" s="217" t="s">
        <v>330</v>
      </c>
      <c r="P17" s="217" t="s">
        <v>330</v>
      </c>
      <c r="Q17" s="416" t="s">
        <v>330</v>
      </c>
      <c r="R17" s="417" t="s">
        <v>330</v>
      </c>
      <c r="S17" s="417" t="s">
        <v>330</v>
      </c>
      <c r="T17" s="86"/>
    </row>
    <row r="18">
      <c r="A18" s="410"/>
      <c r="B18" s="210"/>
      <c r="C18" s="225"/>
      <c r="D18" s="236" t="s">
        <v>36</v>
      </c>
      <c r="E18" s="212"/>
      <c r="F18" s="414"/>
      <c r="G18" s="421" t="s">
        <v>254</v>
      </c>
      <c r="H18" s="320" t="s">
        <v>329</v>
      </c>
      <c r="I18" s="245" t="s">
        <v>329</v>
      </c>
      <c r="J18" s="245" t="s">
        <v>329</v>
      </c>
      <c r="K18" s="245" t="s">
        <v>329</v>
      </c>
      <c r="L18" s="245" t="s">
        <v>329</v>
      </c>
      <c r="M18" s="245" t="s">
        <v>329</v>
      </c>
      <c r="N18" s="245" t="s">
        <v>330</v>
      </c>
      <c r="O18" s="245" t="s">
        <v>330</v>
      </c>
      <c r="P18" s="245" t="s">
        <v>330</v>
      </c>
      <c r="Q18" s="424" t="s">
        <v>330</v>
      </c>
      <c r="R18" s="425" t="s">
        <v>330</v>
      </c>
      <c r="S18" s="425" t="s">
        <v>330</v>
      </c>
      <c r="T18" s="86"/>
    </row>
    <row r="19">
      <c r="A19" s="410"/>
      <c r="B19" s="210"/>
      <c r="C19" s="225"/>
      <c r="D19" s="236" t="s">
        <v>37</v>
      </c>
      <c r="E19" s="212"/>
      <c r="F19" s="414"/>
      <c r="G19" s="421" t="s">
        <v>257</v>
      </c>
      <c r="H19" s="320" t="s">
        <v>329</v>
      </c>
      <c r="I19" s="245" t="s">
        <v>329</v>
      </c>
      <c r="J19" s="245" t="s">
        <v>329</v>
      </c>
      <c r="K19" s="245" t="s">
        <v>329</v>
      </c>
      <c r="L19" s="245" t="s">
        <v>329</v>
      </c>
      <c r="M19" s="245" t="s">
        <v>329</v>
      </c>
      <c r="N19" s="245" t="s">
        <v>330</v>
      </c>
      <c r="O19" s="245" t="s">
        <v>330</v>
      </c>
      <c r="P19" s="245" t="s">
        <v>330</v>
      </c>
      <c r="Q19" s="424" t="s">
        <v>329</v>
      </c>
      <c r="R19" s="425" t="s">
        <v>330</v>
      </c>
      <c r="S19" s="425" t="s">
        <v>330</v>
      </c>
      <c r="T19" s="86"/>
    </row>
    <row r="20">
      <c r="A20" s="410"/>
      <c r="B20" s="210"/>
      <c r="C20" s="390" t="s">
        <v>370</v>
      </c>
      <c r="D20" s="212"/>
      <c r="E20" s="212"/>
      <c r="F20" s="414"/>
      <c r="G20" s="415" t="s">
        <v>263</v>
      </c>
      <c r="H20" s="311" t="s">
        <v>330</v>
      </c>
      <c r="I20" s="217" t="s">
        <v>330</v>
      </c>
      <c r="J20" s="217" t="s">
        <v>329</v>
      </c>
      <c r="K20" s="217" t="s">
        <v>329</v>
      </c>
      <c r="L20" s="217" t="s">
        <v>329</v>
      </c>
      <c r="M20" s="217" t="s">
        <v>329</v>
      </c>
      <c r="N20" s="217" t="s">
        <v>330</v>
      </c>
      <c r="O20" s="217" t="s">
        <v>330</v>
      </c>
      <c r="P20" s="217" t="s">
        <v>330</v>
      </c>
      <c r="Q20" s="416" t="s">
        <v>330</v>
      </c>
      <c r="R20" s="417" t="s">
        <v>330</v>
      </c>
      <c r="S20" s="417" t="s">
        <v>330</v>
      </c>
      <c r="T20" s="86"/>
    </row>
    <row r="21">
      <c r="A21" s="398"/>
      <c r="B21" s="480" t="s">
        <v>39</v>
      </c>
      <c r="C21" s="212"/>
      <c r="D21" s="212"/>
      <c r="E21" s="212"/>
      <c r="F21" s="414"/>
      <c r="G21" s="462" t="s">
        <v>270</v>
      </c>
      <c r="H21" s="320" t="s">
        <v>330</v>
      </c>
      <c r="I21" s="245" t="s">
        <v>330</v>
      </c>
      <c r="J21" s="245" t="s">
        <v>329</v>
      </c>
      <c r="K21" s="245" t="s">
        <v>329</v>
      </c>
      <c r="L21" s="245" t="s">
        <v>329</v>
      </c>
      <c r="M21" s="245" t="s">
        <v>329</v>
      </c>
      <c r="N21" s="245" t="s">
        <v>330</v>
      </c>
      <c r="O21" s="245" t="s">
        <v>330</v>
      </c>
      <c r="P21" s="245" t="s">
        <v>330</v>
      </c>
      <c r="Q21" s="424" t="s">
        <v>330</v>
      </c>
      <c r="R21" s="425" t="s">
        <v>330</v>
      </c>
      <c r="S21" s="425" t="s">
        <v>330</v>
      </c>
      <c r="T21" s="192"/>
    </row>
    <row r="22">
      <c r="A22" s="410"/>
      <c r="B22" s="210"/>
      <c r="C22" s="390" t="s">
        <v>273</v>
      </c>
      <c r="D22" s="212"/>
      <c r="E22" s="212"/>
      <c r="F22" s="414"/>
      <c r="G22" s="415" t="s">
        <v>274</v>
      </c>
      <c r="H22" s="311"/>
      <c r="I22" s="217" t="s">
        <v>329</v>
      </c>
      <c r="J22" s="217" t="s">
        <v>329</v>
      </c>
      <c r="K22" s="217" t="s">
        <v>329</v>
      </c>
      <c r="L22" s="217" t="s">
        <v>329</v>
      </c>
      <c r="M22" s="217" t="s">
        <v>329</v>
      </c>
      <c r="N22" s="217" t="s">
        <v>330</v>
      </c>
      <c r="O22" s="217" t="s">
        <v>330</v>
      </c>
      <c r="P22" s="217" t="s">
        <v>330</v>
      </c>
      <c r="Q22" s="416" t="s">
        <v>330</v>
      </c>
      <c r="R22" s="417" t="s">
        <v>330</v>
      </c>
      <c r="S22" s="417" t="s">
        <v>330</v>
      </c>
      <c r="T22" s="86"/>
    </row>
    <row r="23">
      <c r="A23" s="410"/>
      <c r="B23" s="210"/>
      <c r="C23" s="225"/>
      <c r="D23" s="486" t="s">
        <v>378</v>
      </c>
      <c r="E23" s="212"/>
      <c r="F23" s="414"/>
      <c r="G23" s="421"/>
      <c r="H23" s="320"/>
      <c r="I23" s="245" t="s">
        <v>330</v>
      </c>
      <c r="J23" s="245" t="s">
        <v>329</v>
      </c>
      <c r="K23" s="245" t="s">
        <v>329</v>
      </c>
      <c r="L23" s="245" t="s">
        <v>329</v>
      </c>
      <c r="M23" s="245" t="s">
        <v>329</v>
      </c>
      <c r="N23" s="245" t="s">
        <v>330</v>
      </c>
      <c r="O23" s="245" t="s">
        <v>329</v>
      </c>
      <c r="P23" s="245" t="s">
        <v>329</v>
      </c>
      <c r="Q23" s="424" t="s">
        <v>330</v>
      </c>
      <c r="R23" s="425" t="s">
        <v>330</v>
      </c>
      <c r="S23" s="425" t="s">
        <v>330</v>
      </c>
      <c r="T23" s="86"/>
    </row>
    <row r="24">
      <c r="A24" s="410"/>
      <c r="B24" s="210"/>
      <c r="C24" s="225"/>
      <c r="D24" s="236" t="s">
        <v>41</v>
      </c>
      <c r="E24" s="212"/>
      <c r="F24" s="414"/>
      <c r="G24" s="421" t="s">
        <v>278</v>
      </c>
      <c r="H24" s="320"/>
      <c r="I24" s="245" t="s">
        <v>329</v>
      </c>
      <c r="J24" s="245" t="s">
        <v>329</v>
      </c>
      <c r="K24" s="245" t="s">
        <v>329</v>
      </c>
      <c r="L24" s="245" t="s">
        <v>329</v>
      </c>
      <c r="M24" s="245" t="s">
        <v>329</v>
      </c>
      <c r="N24" s="245" t="s">
        <v>330</v>
      </c>
      <c r="O24" s="245" t="s">
        <v>330</v>
      </c>
      <c r="P24" s="245" t="s">
        <v>330</v>
      </c>
      <c r="Q24" s="424" t="s">
        <v>329</v>
      </c>
      <c r="R24" s="425" t="s">
        <v>329</v>
      </c>
      <c r="S24" s="425" t="s">
        <v>330</v>
      </c>
      <c r="T24" s="86"/>
    </row>
    <row r="25">
      <c r="A25" s="410"/>
      <c r="B25" s="210"/>
      <c r="C25" s="225"/>
      <c r="D25" s="236"/>
      <c r="E25" s="423" t="s">
        <v>59</v>
      </c>
      <c r="F25" s="414"/>
      <c r="G25" s="489" t="str">
        <f>HYPERLINK("https://goo.gl/YWyn2v","(with Guide)")</f>
        <v>(with Guide)</v>
      </c>
      <c r="H25" s="320"/>
      <c r="I25" s="245" t="s">
        <v>329</v>
      </c>
      <c r="J25" s="245" t="s">
        <v>329</v>
      </c>
      <c r="K25" s="245" t="s">
        <v>329</v>
      </c>
      <c r="L25" s="245" t="s">
        <v>329</v>
      </c>
      <c r="M25" s="245" t="s">
        <v>329</v>
      </c>
      <c r="N25" s="245" t="s">
        <v>330</v>
      </c>
      <c r="O25" s="245" t="s">
        <v>330</v>
      </c>
      <c r="P25" s="245" t="s">
        <v>330</v>
      </c>
      <c r="Q25" s="424" t="s">
        <v>329</v>
      </c>
      <c r="R25" s="425" t="s">
        <v>329</v>
      </c>
      <c r="S25" s="425" t="s">
        <v>330</v>
      </c>
      <c r="T25" s="86"/>
    </row>
    <row r="26">
      <c r="A26" s="410"/>
      <c r="B26" s="210"/>
      <c r="C26" s="225"/>
      <c r="D26" s="236"/>
      <c r="E26" s="423" t="s">
        <v>70</v>
      </c>
      <c r="F26" s="414"/>
      <c r="G26" s="496"/>
      <c r="H26" s="320"/>
      <c r="I26" s="245" t="s">
        <v>329</v>
      </c>
      <c r="J26" s="245" t="s">
        <v>329</v>
      </c>
      <c r="K26" s="245" t="s">
        <v>329</v>
      </c>
      <c r="L26" s="245" t="s">
        <v>329</v>
      </c>
      <c r="M26" s="245" t="s">
        <v>329</v>
      </c>
      <c r="N26" s="245" t="s">
        <v>330</v>
      </c>
      <c r="O26" s="245" t="s">
        <v>330</v>
      </c>
      <c r="P26" s="245" t="s">
        <v>330</v>
      </c>
      <c r="Q26" s="424" t="s">
        <v>329</v>
      </c>
      <c r="R26" s="425" t="s">
        <v>329</v>
      </c>
      <c r="S26" s="425" t="s">
        <v>330</v>
      </c>
      <c r="T26" s="86"/>
    </row>
    <row r="27">
      <c r="A27" s="410"/>
      <c r="B27" s="210"/>
      <c r="C27" s="225"/>
      <c r="D27" s="236"/>
      <c r="E27" s="423" t="s">
        <v>200</v>
      </c>
      <c r="F27" s="414"/>
      <c r="G27" s="496"/>
      <c r="H27" s="320"/>
      <c r="I27" s="245" t="s">
        <v>329</v>
      </c>
      <c r="J27" s="245" t="s">
        <v>329</v>
      </c>
      <c r="K27" s="245" t="s">
        <v>329</v>
      </c>
      <c r="L27" s="245" t="s">
        <v>329</v>
      </c>
      <c r="M27" s="245" t="s">
        <v>329</v>
      </c>
      <c r="N27" s="245" t="s">
        <v>330</v>
      </c>
      <c r="O27" s="245" t="s">
        <v>330</v>
      </c>
      <c r="P27" s="245" t="s">
        <v>330</v>
      </c>
      <c r="Q27" s="424" t="s">
        <v>329</v>
      </c>
      <c r="R27" s="425" t="s">
        <v>329</v>
      </c>
      <c r="S27" s="425" t="s">
        <v>330</v>
      </c>
      <c r="T27" s="86"/>
    </row>
    <row r="28">
      <c r="A28" s="410"/>
      <c r="B28" s="210"/>
      <c r="C28" s="225"/>
      <c r="D28" s="502" t="s">
        <v>43</v>
      </c>
      <c r="E28" s="212"/>
      <c r="F28" s="414"/>
      <c r="G28" s="505" t="s">
        <v>284</v>
      </c>
      <c r="H28" s="320"/>
      <c r="I28" s="245" t="s">
        <v>329</v>
      </c>
      <c r="J28" s="245" t="s">
        <v>329</v>
      </c>
      <c r="K28" s="245" t="s">
        <v>329</v>
      </c>
      <c r="L28" s="245" t="s">
        <v>329</v>
      </c>
      <c r="M28" s="245" t="s">
        <v>329</v>
      </c>
      <c r="N28" s="245" t="s">
        <v>330</v>
      </c>
      <c r="O28" s="245" t="s">
        <v>330</v>
      </c>
      <c r="P28" s="245" t="s">
        <v>330</v>
      </c>
      <c r="Q28" s="424" t="s">
        <v>329</v>
      </c>
      <c r="R28" s="425" t="s">
        <v>329</v>
      </c>
      <c r="S28" s="425" t="s">
        <v>330</v>
      </c>
      <c r="T28" s="86"/>
    </row>
    <row r="29">
      <c r="A29" s="410"/>
      <c r="B29" s="210"/>
      <c r="C29" s="225"/>
      <c r="D29" s="236"/>
      <c r="E29" s="423" t="s">
        <v>398</v>
      </c>
      <c r="F29" s="414"/>
      <c r="G29" s="339"/>
      <c r="H29" s="320"/>
      <c r="I29" s="245" t="s">
        <v>329</v>
      </c>
      <c r="J29" s="245" t="s">
        <v>329</v>
      </c>
      <c r="K29" s="245" t="s">
        <v>329</v>
      </c>
      <c r="L29" s="245" t="s">
        <v>329</v>
      </c>
      <c r="M29" s="245" t="s">
        <v>329</v>
      </c>
      <c r="N29" s="245" t="s">
        <v>330</v>
      </c>
      <c r="O29" s="245" t="s">
        <v>330</v>
      </c>
      <c r="P29" s="245" t="s">
        <v>330</v>
      </c>
      <c r="Q29" s="424" t="s">
        <v>329</v>
      </c>
      <c r="R29" s="425" t="s">
        <v>329</v>
      </c>
      <c r="S29" s="425" t="s">
        <v>330</v>
      </c>
      <c r="T29" s="86"/>
    </row>
    <row r="30">
      <c r="A30" s="410"/>
      <c r="B30" s="210"/>
      <c r="C30" s="225"/>
      <c r="D30" s="236"/>
      <c r="E30" s="423" t="s">
        <v>401</v>
      </c>
      <c r="F30" s="414"/>
      <c r="G30" s="342"/>
      <c r="H30" s="320"/>
      <c r="I30" s="245" t="s">
        <v>329</v>
      </c>
      <c r="J30" s="245" t="s">
        <v>329</v>
      </c>
      <c r="K30" s="245" t="s">
        <v>329</v>
      </c>
      <c r="L30" s="245" t="s">
        <v>329</v>
      </c>
      <c r="M30" s="245" t="s">
        <v>329</v>
      </c>
      <c r="N30" s="245" t="s">
        <v>330</v>
      </c>
      <c r="O30" s="245" t="s">
        <v>330</v>
      </c>
      <c r="P30" s="245" t="s">
        <v>330</v>
      </c>
      <c r="Q30" s="424" t="s">
        <v>329</v>
      </c>
      <c r="R30" s="425" t="s">
        <v>329</v>
      </c>
      <c r="S30" s="425" t="s">
        <v>330</v>
      </c>
      <c r="T30" s="86"/>
    </row>
    <row r="31">
      <c r="A31" s="410"/>
      <c r="B31" s="210"/>
      <c r="C31" s="225"/>
      <c r="D31" s="236"/>
      <c r="E31" s="423" t="s">
        <v>408</v>
      </c>
      <c r="F31" s="414"/>
      <c r="G31" s="342"/>
      <c r="H31" s="320"/>
      <c r="I31" s="245" t="s">
        <v>329</v>
      </c>
      <c r="J31" s="245" t="s">
        <v>329</v>
      </c>
      <c r="K31" s="245" t="s">
        <v>329</v>
      </c>
      <c r="L31" s="245" t="s">
        <v>329</v>
      </c>
      <c r="M31" s="245" t="s">
        <v>329</v>
      </c>
      <c r="N31" s="245" t="s">
        <v>330</v>
      </c>
      <c r="O31" s="245" t="s">
        <v>330</v>
      </c>
      <c r="P31" s="245" t="s">
        <v>330</v>
      </c>
      <c r="Q31" s="424" t="s">
        <v>329</v>
      </c>
      <c r="R31" s="425" t="s">
        <v>329</v>
      </c>
      <c r="S31" s="425" t="s">
        <v>330</v>
      </c>
      <c r="T31" s="86"/>
    </row>
    <row r="32">
      <c r="A32" s="410"/>
      <c r="B32" s="210"/>
      <c r="C32" s="225"/>
      <c r="D32" s="225"/>
      <c r="E32" s="423" t="s">
        <v>80</v>
      </c>
      <c r="F32" s="414"/>
      <c r="G32" s="527"/>
      <c r="H32" s="320"/>
      <c r="I32" s="245" t="s">
        <v>329</v>
      </c>
      <c r="J32" s="245" t="s">
        <v>329</v>
      </c>
      <c r="K32" s="245" t="s">
        <v>329</v>
      </c>
      <c r="L32" s="245" t="s">
        <v>329</v>
      </c>
      <c r="M32" s="245" t="s">
        <v>329</v>
      </c>
      <c r="N32" s="245" t="s">
        <v>330</v>
      </c>
      <c r="O32" s="245" t="s">
        <v>330</v>
      </c>
      <c r="P32" s="245" t="s">
        <v>330</v>
      </c>
      <c r="Q32" s="424" t="s">
        <v>329</v>
      </c>
      <c r="R32" s="425" t="s">
        <v>329</v>
      </c>
      <c r="S32" s="425" t="s">
        <v>330</v>
      </c>
      <c r="T32" s="86"/>
    </row>
    <row r="33">
      <c r="A33" s="410"/>
      <c r="B33" s="210"/>
      <c r="C33" s="225"/>
      <c r="D33" s="225"/>
      <c r="E33" s="423" t="s">
        <v>87</v>
      </c>
      <c r="F33" s="414"/>
      <c r="G33" s="527"/>
      <c r="H33" s="320"/>
      <c r="I33" s="245" t="s">
        <v>329</v>
      </c>
      <c r="J33" s="245" t="s">
        <v>329</v>
      </c>
      <c r="K33" s="245" t="s">
        <v>329</v>
      </c>
      <c r="L33" s="245" t="s">
        <v>329</v>
      </c>
      <c r="M33" s="245" t="s">
        <v>329</v>
      </c>
      <c r="N33" s="245" t="s">
        <v>330</v>
      </c>
      <c r="O33" s="245" t="s">
        <v>330</v>
      </c>
      <c r="P33" s="245" t="s">
        <v>330</v>
      </c>
      <c r="Q33" s="424" t="s">
        <v>329</v>
      </c>
      <c r="R33" s="425" t="s">
        <v>329</v>
      </c>
      <c r="S33" s="425" t="s">
        <v>330</v>
      </c>
      <c r="T33" s="86"/>
    </row>
    <row r="34">
      <c r="A34" s="410"/>
      <c r="B34" s="210"/>
      <c r="C34" s="225"/>
      <c r="D34" s="502" t="s">
        <v>294</v>
      </c>
      <c r="E34" s="212"/>
      <c r="F34" s="414"/>
      <c r="G34" s="421" t="s">
        <v>295</v>
      </c>
      <c r="H34" s="320"/>
      <c r="I34" s="245" t="s">
        <v>329</v>
      </c>
      <c r="J34" s="245" t="s">
        <v>329</v>
      </c>
      <c r="K34" s="245" t="s">
        <v>329</v>
      </c>
      <c r="L34" s="245" t="s">
        <v>329</v>
      </c>
      <c r="M34" s="245" t="s">
        <v>329</v>
      </c>
      <c r="N34" s="245" t="s">
        <v>330</v>
      </c>
      <c r="O34" s="245" t="s">
        <v>330</v>
      </c>
      <c r="P34" s="245" t="s">
        <v>330</v>
      </c>
      <c r="Q34" s="424" t="s">
        <v>330</v>
      </c>
      <c r="R34" s="425" t="s">
        <v>330</v>
      </c>
      <c r="S34" s="425" t="s">
        <v>330</v>
      </c>
      <c r="T34" s="86"/>
    </row>
    <row r="35">
      <c r="A35" s="410"/>
      <c r="B35" s="210"/>
      <c r="C35" s="225"/>
      <c r="D35" s="225"/>
      <c r="E35" s="423" t="s">
        <v>94</v>
      </c>
      <c r="F35" s="414"/>
      <c r="G35" s="489" t="str">
        <f>HYPERLINK("https://goo.gl/5StrKX","(with Guide)")</f>
        <v>(with Guide)</v>
      </c>
      <c r="H35" s="320"/>
      <c r="I35" s="245" t="s">
        <v>329</v>
      </c>
      <c r="J35" s="245" t="s">
        <v>329</v>
      </c>
      <c r="K35" s="245" t="s">
        <v>329</v>
      </c>
      <c r="L35" s="245" t="s">
        <v>329</v>
      </c>
      <c r="M35" s="245" t="s">
        <v>329</v>
      </c>
      <c r="N35" s="245" t="s">
        <v>330</v>
      </c>
      <c r="O35" s="245" t="s">
        <v>330</v>
      </c>
      <c r="P35" s="245" t="s">
        <v>330</v>
      </c>
      <c r="Q35" s="424" t="s">
        <v>330</v>
      </c>
      <c r="R35" s="425" t="s">
        <v>330</v>
      </c>
      <c r="S35" s="425" t="s">
        <v>330</v>
      </c>
      <c r="T35" s="86"/>
    </row>
    <row r="36">
      <c r="A36" s="410"/>
      <c r="B36" s="210"/>
      <c r="C36" s="225"/>
      <c r="D36" s="236" t="s">
        <v>60</v>
      </c>
      <c r="E36" s="212"/>
      <c r="F36" s="414"/>
      <c r="G36" s="421" t="s">
        <v>308</v>
      </c>
      <c r="H36" s="320"/>
      <c r="I36" s="245" t="s">
        <v>329</v>
      </c>
      <c r="J36" s="245" t="s">
        <v>329</v>
      </c>
      <c r="K36" s="245" t="s">
        <v>329</v>
      </c>
      <c r="L36" s="245" t="s">
        <v>329</v>
      </c>
      <c r="M36" s="245" t="s">
        <v>329</v>
      </c>
      <c r="N36" s="245" t="s">
        <v>330</v>
      </c>
      <c r="O36" s="245" t="s">
        <v>330</v>
      </c>
      <c r="P36" s="245" t="s">
        <v>330</v>
      </c>
      <c r="Q36" s="424" t="s">
        <v>329</v>
      </c>
      <c r="R36" s="425" t="s">
        <v>330</v>
      </c>
      <c r="S36" s="425" t="s">
        <v>330</v>
      </c>
      <c r="T36" s="86"/>
    </row>
    <row r="37">
      <c r="A37" s="410"/>
      <c r="B37" s="210"/>
      <c r="C37" s="225"/>
      <c r="D37" s="236"/>
      <c r="E37" s="423" t="s">
        <v>98</v>
      </c>
      <c r="F37" s="414"/>
      <c r="G37" s="241"/>
      <c r="H37" s="320"/>
      <c r="I37" s="245" t="s">
        <v>329</v>
      </c>
      <c r="J37" s="245" t="s">
        <v>329</v>
      </c>
      <c r="K37" s="245" t="s">
        <v>329</v>
      </c>
      <c r="L37" s="245" t="s">
        <v>329</v>
      </c>
      <c r="M37" s="245" t="s">
        <v>329</v>
      </c>
      <c r="N37" s="245" t="s">
        <v>330</v>
      </c>
      <c r="O37" s="245" t="s">
        <v>330</v>
      </c>
      <c r="P37" s="245" t="s">
        <v>330</v>
      </c>
      <c r="Q37" s="424" t="s">
        <v>329</v>
      </c>
      <c r="R37" s="425" t="s">
        <v>330</v>
      </c>
      <c r="S37" s="425" t="s">
        <v>330</v>
      </c>
      <c r="T37" s="86"/>
    </row>
    <row r="38">
      <c r="A38" s="410"/>
      <c r="B38" s="210"/>
      <c r="C38" s="225"/>
      <c r="D38" s="236"/>
      <c r="E38" s="423" t="s">
        <v>101</v>
      </c>
      <c r="F38" s="414"/>
      <c r="G38" s="241"/>
      <c r="H38" s="320"/>
      <c r="I38" s="245" t="s">
        <v>329</v>
      </c>
      <c r="J38" s="245" t="s">
        <v>329</v>
      </c>
      <c r="K38" s="245" t="s">
        <v>329</v>
      </c>
      <c r="L38" s="245" t="s">
        <v>329</v>
      </c>
      <c r="M38" s="245" t="s">
        <v>329</v>
      </c>
      <c r="N38" s="245" t="s">
        <v>330</v>
      </c>
      <c r="O38" s="245" t="s">
        <v>330</v>
      </c>
      <c r="P38" s="245" t="s">
        <v>330</v>
      </c>
      <c r="Q38" s="424" t="s">
        <v>329</v>
      </c>
      <c r="R38" s="425" t="s">
        <v>330</v>
      </c>
      <c r="S38" s="425" t="s">
        <v>330</v>
      </c>
      <c r="T38" s="86"/>
    </row>
    <row r="39">
      <c r="A39" s="410"/>
      <c r="B39" s="210"/>
      <c r="C39" s="225"/>
      <c r="D39" s="236" t="s">
        <v>62</v>
      </c>
      <c r="E39" s="212"/>
      <c r="F39" s="414"/>
      <c r="G39" s="421" t="s">
        <v>316</v>
      </c>
      <c r="H39" s="320"/>
      <c r="I39" s="245" t="s">
        <v>329</v>
      </c>
      <c r="J39" s="245" t="s">
        <v>329</v>
      </c>
      <c r="K39" s="245" t="s">
        <v>329</v>
      </c>
      <c r="L39" s="245" t="s">
        <v>329</v>
      </c>
      <c r="M39" s="245" t="s">
        <v>329</v>
      </c>
      <c r="N39" s="245" t="s">
        <v>330</v>
      </c>
      <c r="O39" s="245" t="s">
        <v>330</v>
      </c>
      <c r="P39" s="245" t="s">
        <v>330</v>
      </c>
      <c r="Q39" s="424" t="s">
        <v>329</v>
      </c>
      <c r="R39" s="425" t="s">
        <v>330</v>
      </c>
      <c r="S39" s="425" t="s">
        <v>330</v>
      </c>
      <c r="T39" s="86"/>
    </row>
    <row r="40">
      <c r="A40" s="410"/>
      <c r="B40" s="210"/>
      <c r="C40" s="225"/>
      <c r="D40" s="236"/>
      <c r="E40" s="423" t="s">
        <v>191</v>
      </c>
      <c r="F40" s="414"/>
      <c r="G40" s="241"/>
      <c r="H40" s="320"/>
      <c r="I40" s="245" t="s">
        <v>329</v>
      </c>
      <c r="J40" s="245" t="s">
        <v>329</v>
      </c>
      <c r="K40" s="245" t="s">
        <v>329</v>
      </c>
      <c r="L40" s="245" t="s">
        <v>329</v>
      </c>
      <c r="M40" s="245" t="s">
        <v>329</v>
      </c>
      <c r="N40" s="245" t="s">
        <v>330</v>
      </c>
      <c r="O40" s="245" t="s">
        <v>330</v>
      </c>
      <c r="P40" s="245" t="s">
        <v>330</v>
      </c>
      <c r="Q40" s="424" t="s">
        <v>329</v>
      </c>
      <c r="R40" s="425" t="s">
        <v>330</v>
      </c>
      <c r="S40" s="425" t="s">
        <v>330</v>
      </c>
      <c r="T40" s="86"/>
    </row>
    <row r="41">
      <c r="A41" s="410"/>
      <c r="B41" s="210"/>
      <c r="C41" s="225"/>
      <c r="D41" s="236"/>
      <c r="E41" s="423" t="s">
        <v>139</v>
      </c>
      <c r="F41" s="414"/>
      <c r="G41" s="241"/>
      <c r="H41" s="320"/>
      <c r="I41" s="245" t="s">
        <v>329</v>
      </c>
      <c r="J41" s="245" t="s">
        <v>329</v>
      </c>
      <c r="K41" s="245" t="s">
        <v>329</v>
      </c>
      <c r="L41" s="245" t="s">
        <v>329</v>
      </c>
      <c r="M41" s="245" t="s">
        <v>329</v>
      </c>
      <c r="N41" s="245" t="s">
        <v>330</v>
      </c>
      <c r="O41" s="245" t="s">
        <v>330</v>
      </c>
      <c r="P41" s="245" t="s">
        <v>330</v>
      </c>
      <c r="Q41" s="424" t="s">
        <v>329</v>
      </c>
      <c r="R41" s="425" t="s">
        <v>330</v>
      </c>
      <c r="S41" s="425" t="s">
        <v>330</v>
      </c>
      <c r="T41" s="86"/>
    </row>
    <row r="42">
      <c r="A42" s="410"/>
      <c r="B42" s="210"/>
      <c r="C42" s="225"/>
      <c r="D42" s="236"/>
      <c r="E42" s="423" t="s">
        <v>163</v>
      </c>
      <c r="F42" s="414"/>
      <c r="G42" s="241"/>
      <c r="H42" s="320"/>
      <c r="I42" s="245" t="s">
        <v>329</v>
      </c>
      <c r="J42" s="245" t="s">
        <v>329</v>
      </c>
      <c r="K42" s="245" t="s">
        <v>329</v>
      </c>
      <c r="L42" s="245" t="s">
        <v>329</v>
      </c>
      <c r="M42" s="245" t="s">
        <v>329</v>
      </c>
      <c r="N42" s="245" t="s">
        <v>330</v>
      </c>
      <c r="O42" s="245" t="s">
        <v>330</v>
      </c>
      <c r="P42" s="245" t="s">
        <v>330</v>
      </c>
      <c r="Q42" s="424" t="s">
        <v>329</v>
      </c>
      <c r="R42" s="425" t="s">
        <v>330</v>
      </c>
      <c r="S42" s="425" t="s">
        <v>330</v>
      </c>
      <c r="T42" s="86"/>
    </row>
    <row r="43">
      <c r="A43" s="410"/>
      <c r="B43" s="210"/>
      <c r="C43" s="225"/>
      <c r="D43" s="236" t="s">
        <v>64</v>
      </c>
      <c r="E43" s="212"/>
      <c r="F43" s="414"/>
      <c r="G43" s="421" t="s">
        <v>331</v>
      </c>
      <c r="H43" s="320"/>
      <c r="I43" s="245" t="s">
        <v>329</v>
      </c>
      <c r="J43" s="245" t="s">
        <v>329</v>
      </c>
      <c r="K43" s="245" t="s">
        <v>329</v>
      </c>
      <c r="L43" s="245" t="s">
        <v>329</v>
      </c>
      <c r="M43" s="245" t="s">
        <v>329</v>
      </c>
      <c r="N43" s="245" t="s">
        <v>330</v>
      </c>
      <c r="O43" s="245" t="s">
        <v>330</v>
      </c>
      <c r="P43" s="245" t="s">
        <v>330</v>
      </c>
      <c r="Q43" s="424" t="s">
        <v>329</v>
      </c>
      <c r="R43" s="425" t="s">
        <v>330</v>
      </c>
      <c r="S43" s="425" t="s">
        <v>330</v>
      </c>
      <c r="T43" s="86"/>
    </row>
    <row r="44">
      <c r="A44" s="410"/>
      <c r="B44" s="210"/>
      <c r="C44" s="225"/>
      <c r="D44" s="225"/>
      <c r="E44" s="423" t="s">
        <v>106</v>
      </c>
      <c r="F44" s="414"/>
      <c r="G44" s="489" t="str">
        <f>HYPERLINK("https://goo.gl/DeXpCR","(with Guide)")</f>
        <v>(with Guide)</v>
      </c>
      <c r="H44" s="320"/>
      <c r="I44" s="245" t="s">
        <v>329</v>
      </c>
      <c r="J44" s="245" t="s">
        <v>329</v>
      </c>
      <c r="K44" s="245" t="s">
        <v>329</v>
      </c>
      <c r="L44" s="245" t="s">
        <v>329</v>
      </c>
      <c r="M44" s="245" t="s">
        <v>329</v>
      </c>
      <c r="N44" s="245" t="s">
        <v>330</v>
      </c>
      <c r="O44" s="245" t="s">
        <v>330</v>
      </c>
      <c r="P44" s="245" t="s">
        <v>330</v>
      </c>
      <c r="Q44" s="424" t="s">
        <v>329</v>
      </c>
      <c r="R44" s="425" t="s">
        <v>330</v>
      </c>
      <c r="S44" s="425" t="s">
        <v>330</v>
      </c>
      <c r="T44" s="86"/>
    </row>
    <row r="45">
      <c r="A45" s="410"/>
      <c r="B45" s="210"/>
      <c r="C45" s="225"/>
      <c r="D45" s="236" t="s">
        <v>65</v>
      </c>
      <c r="E45" s="212"/>
      <c r="F45" s="414"/>
      <c r="G45" s="421" t="s">
        <v>337</v>
      </c>
      <c r="H45" s="320"/>
      <c r="I45" s="245" t="s">
        <v>329</v>
      </c>
      <c r="J45" s="245" t="s">
        <v>329</v>
      </c>
      <c r="K45" s="245" t="s">
        <v>329</v>
      </c>
      <c r="L45" s="245" t="s">
        <v>329</v>
      </c>
      <c r="M45" s="245" t="s">
        <v>329</v>
      </c>
      <c r="N45" s="245" t="s">
        <v>330</v>
      </c>
      <c r="O45" s="245" t="s">
        <v>330</v>
      </c>
      <c r="P45" s="245" t="s">
        <v>330</v>
      </c>
      <c r="Q45" s="424" t="s">
        <v>330</v>
      </c>
      <c r="R45" s="425" t="s">
        <v>330</v>
      </c>
      <c r="S45" s="425" t="s">
        <v>330</v>
      </c>
      <c r="T45" s="86"/>
    </row>
    <row r="46">
      <c r="A46" s="410"/>
      <c r="B46" s="210"/>
      <c r="C46" s="225"/>
      <c r="D46" s="236"/>
      <c r="E46" s="423" t="s">
        <v>131</v>
      </c>
      <c r="F46" s="414"/>
      <c r="G46" s="241"/>
      <c r="H46" s="320"/>
      <c r="I46" s="245" t="s">
        <v>329</v>
      </c>
      <c r="J46" s="245" t="s">
        <v>329</v>
      </c>
      <c r="K46" s="245" t="s">
        <v>329</v>
      </c>
      <c r="L46" s="245" t="s">
        <v>329</v>
      </c>
      <c r="M46" s="245" t="s">
        <v>329</v>
      </c>
      <c r="N46" s="245" t="s">
        <v>330</v>
      </c>
      <c r="O46" s="245" t="s">
        <v>330</v>
      </c>
      <c r="P46" s="245" t="s">
        <v>330</v>
      </c>
      <c r="Q46" s="424" t="s">
        <v>330</v>
      </c>
      <c r="R46" s="425" t="s">
        <v>330</v>
      </c>
      <c r="S46" s="425" t="s">
        <v>330</v>
      </c>
      <c r="T46" s="86"/>
    </row>
    <row r="47">
      <c r="A47" s="410"/>
      <c r="B47" s="210"/>
      <c r="C47" s="225"/>
      <c r="D47" s="236"/>
      <c r="E47" s="423" t="s">
        <v>109</v>
      </c>
      <c r="F47" s="414"/>
      <c r="G47" s="241"/>
      <c r="H47" s="320"/>
      <c r="I47" s="245" t="s">
        <v>329</v>
      </c>
      <c r="J47" s="245" t="s">
        <v>329</v>
      </c>
      <c r="K47" s="245" t="s">
        <v>329</v>
      </c>
      <c r="L47" s="245" t="s">
        <v>329</v>
      </c>
      <c r="M47" s="245" t="s">
        <v>329</v>
      </c>
      <c r="N47" s="245" t="s">
        <v>330</v>
      </c>
      <c r="O47" s="245" t="s">
        <v>330</v>
      </c>
      <c r="P47" s="245" t="s">
        <v>330</v>
      </c>
      <c r="Q47" s="424" t="s">
        <v>330</v>
      </c>
      <c r="R47" s="425" t="s">
        <v>330</v>
      </c>
      <c r="S47" s="425" t="s">
        <v>330</v>
      </c>
      <c r="T47" s="86"/>
    </row>
    <row r="48">
      <c r="A48" s="410"/>
      <c r="B48" s="210"/>
      <c r="C48" s="225"/>
      <c r="D48" s="236" t="s">
        <v>67</v>
      </c>
      <c r="E48" s="212"/>
      <c r="F48" s="414"/>
      <c r="G48" s="421" t="s">
        <v>350</v>
      </c>
      <c r="H48" s="320"/>
      <c r="I48" s="245" t="s">
        <v>329</v>
      </c>
      <c r="J48" s="245" t="s">
        <v>329</v>
      </c>
      <c r="K48" s="245" t="s">
        <v>329</v>
      </c>
      <c r="L48" s="245" t="s">
        <v>329</v>
      </c>
      <c r="M48" s="245" t="s">
        <v>329</v>
      </c>
      <c r="N48" s="245" t="s">
        <v>330</v>
      </c>
      <c r="O48" s="245" t="s">
        <v>330</v>
      </c>
      <c r="P48" s="245" t="s">
        <v>330</v>
      </c>
      <c r="Q48" s="424" t="s">
        <v>330</v>
      </c>
      <c r="R48" s="425" t="s">
        <v>330</v>
      </c>
      <c r="S48" s="425" t="s">
        <v>330</v>
      </c>
      <c r="T48" s="86"/>
    </row>
    <row r="49">
      <c r="A49" s="410"/>
      <c r="B49" s="210"/>
      <c r="C49" s="225"/>
      <c r="D49" s="236"/>
      <c r="E49" s="423" t="s">
        <v>58</v>
      </c>
      <c r="F49" s="414"/>
      <c r="G49" s="544" t="s">
        <v>428</v>
      </c>
      <c r="H49" s="320"/>
      <c r="I49" s="245" t="s">
        <v>329</v>
      </c>
      <c r="J49" s="245" t="s">
        <v>329</v>
      </c>
      <c r="K49" s="245" t="s">
        <v>329</v>
      </c>
      <c r="L49" s="245" t="s">
        <v>329</v>
      </c>
      <c r="M49" s="245" t="s">
        <v>329</v>
      </c>
      <c r="N49" s="245" t="s">
        <v>330</v>
      </c>
      <c r="O49" s="245" t="s">
        <v>330</v>
      </c>
      <c r="P49" s="245" t="s">
        <v>330</v>
      </c>
      <c r="Q49" s="424" t="s">
        <v>330</v>
      </c>
      <c r="R49" s="425" t="s">
        <v>330</v>
      </c>
      <c r="S49" s="425" t="s">
        <v>330</v>
      </c>
      <c r="T49" s="86"/>
    </row>
    <row r="50">
      <c r="A50" s="410"/>
      <c r="B50" s="210"/>
      <c r="C50" s="225"/>
      <c r="D50" s="236"/>
      <c r="E50" s="423" t="s">
        <v>85</v>
      </c>
      <c r="F50" s="414"/>
      <c r="G50" s="241" t="s">
        <v>361</v>
      </c>
      <c r="H50" s="320"/>
      <c r="I50" s="245" t="s">
        <v>329</v>
      </c>
      <c r="J50" s="245" t="s">
        <v>329</v>
      </c>
      <c r="K50" s="245" t="s">
        <v>329</v>
      </c>
      <c r="L50" s="245" t="s">
        <v>329</v>
      </c>
      <c r="M50" s="245" t="s">
        <v>329</v>
      </c>
      <c r="N50" s="245" t="s">
        <v>330</v>
      </c>
      <c r="O50" s="245" t="s">
        <v>330</v>
      </c>
      <c r="P50" s="245" t="s">
        <v>330</v>
      </c>
      <c r="Q50" s="424" t="s">
        <v>330</v>
      </c>
      <c r="R50" s="425" t="s">
        <v>330</v>
      </c>
      <c r="S50" s="425" t="s">
        <v>330</v>
      </c>
      <c r="T50" s="86"/>
    </row>
    <row r="51">
      <c r="A51" s="410"/>
      <c r="B51" s="210"/>
      <c r="C51" s="225"/>
      <c r="D51" s="418" t="s">
        <v>363</v>
      </c>
      <c r="E51" s="212"/>
      <c r="F51" s="414"/>
      <c r="G51" s="421"/>
      <c r="H51" s="320"/>
      <c r="I51" s="245" t="s">
        <v>329</v>
      </c>
      <c r="J51" s="245" t="s">
        <v>329</v>
      </c>
      <c r="K51" s="245" t="s">
        <v>329</v>
      </c>
      <c r="L51" s="245" t="s">
        <v>329</v>
      </c>
      <c r="M51" s="245" t="s">
        <v>329</v>
      </c>
      <c r="N51" s="245" t="s">
        <v>330</v>
      </c>
      <c r="O51" s="245" t="s">
        <v>329</v>
      </c>
      <c r="P51" s="245" t="s">
        <v>329</v>
      </c>
      <c r="Q51" s="424" t="s">
        <v>329</v>
      </c>
      <c r="R51" s="425" t="s">
        <v>330</v>
      </c>
      <c r="S51" s="425" t="s">
        <v>330</v>
      </c>
      <c r="T51" s="86"/>
    </row>
    <row r="52">
      <c r="A52" s="410"/>
      <c r="B52" s="210"/>
      <c r="C52" s="225"/>
      <c r="D52" s="459"/>
      <c r="E52" s="545" t="s">
        <v>126</v>
      </c>
      <c r="F52" s="5"/>
      <c r="G52" s="421"/>
      <c r="H52" s="320"/>
      <c r="I52" s="245" t="s">
        <v>329</v>
      </c>
      <c r="J52" s="245" t="s">
        <v>329</v>
      </c>
      <c r="K52" s="245" t="s">
        <v>329</v>
      </c>
      <c r="L52" s="245" t="s">
        <v>329</v>
      </c>
      <c r="M52" s="245" t="s">
        <v>329</v>
      </c>
      <c r="N52" s="245" t="s">
        <v>330</v>
      </c>
      <c r="O52" s="245" t="s">
        <v>329</v>
      </c>
      <c r="P52" s="245" t="s">
        <v>329</v>
      </c>
      <c r="Q52" s="424" t="s">
        <v>329</v>
      </c>
      <c r="R52" s="425" t="s">
        <v>330</v>
      </c>
      <c r="S52" s="425" t="s">
        <v>330</v>
      </c>
      <c r="T52" s="86"/>
    </row>
    <row r="53">
      <c r="A53" s="410"/>
      <c r="B53" s="210"/>
      <c r="C53" s="225"/>
      <c r="D53" s="459"/>
      <c r="E53" s="423" t="s">
        <v>76</v>
      </c>
      <c r="F53" s="414"/>
      <c r="G53" s="421"/>
      <c r="H53" s="320"/>
      <c r="I53" s="245" t="s">
        <v>329</v>
      </c>
      <c r="J53" s="245" t="s">
        <v>329</v>
      </c>
      <c r="K53" s="245" t="s">
        <v>329</v>
      </c>
      <c r="L53" s="245" t="s">
        <v>329</v>
      </c>
      <c r="M53" s="245" t="s">
        <v>329</v>
      </c>
      <c r="N53" s="245" t="s">
        <v>330</v>
      </c>
      <c r="O53" s="245" t="s">
        <v>329</v>
      </c>
      <c r="P53" s="245" t="s">
        <v>329</v>
      </c>
      <c r="Q53" s="424" t="s">
        <v>329</v>
      </c>
      <c r="R53" s="425" t="s">
        <v>330</v>
      </c>
      <c r="S53" s="425" t="s">
        <v>330</v>
      </c>
      <c r="T53" s="86"/>
    </row>
    <row r="54">
      <c r="A54" s="410"/>
      <c r="B54" s="210"/>
      <c r="C54" s="225"/>
      <c r="D54" s="549" t="s">
        <v>376</v>
      </c>
      <c r="E54" s="459"/>
      <c r="F54" s="459"/>
      <c r="G54" s="421"/>
      <c r="H54" s="320"/>
      <c r="I54" s="245" t="s">
        <v>329</v>
      </c>
      <c r="J54" s="245" t="s">
        <v>329</v>
      </c>
      <c r="K54" s="245" t="s">
        <v>329</v>
      </c>
      <c r="L54" s="245" t="s">
        <v>329</v>
      </c>
      <c r="M54" s="245" t="s">
        <v>329</v>
      </c>
      <c r="N54" s="245" t="s">
        <v>330</v>
      </c>
      <c r="O54" s="245" t="s">
        <v>329</v>
      </c>
      <c r="P54" s="245" t="s">
        <v>329</v>
      </c>
      <c r="Q54" s="424" t="s">
        <v>329</v>
      </c>
      <c r="R54" s="425" t="s">
        <v>330</v>
      </c>
      <c r="S54" s="425" t="s">
        <v>330</v>
      </c>
      <c r="T54" s="86"/>
    </row>
    <row r="55">
      <c r="A55" s="410"/>
      <c r="B55" s="210"/>
      <c r="C55" s="225"/>
      <c r="D55" s="459"/>
      <c r="E55" s="423" t="s">
        <v>186</v>
      </c>
      <c r="F55" s="414"/>
      <c r="G55" s="421"/>
      <c r="H55" s="320"/>
      <c r="I55" s="245" t="s">
        <v>329</v>
      </c>
      <c r="J55" s="245" t="s">
        <v>329</v>
      </c>
      <c r="K55" s="245" t="s">
        <v>329</v>
      </c>
      <c r="L55" s="245" t="s">
        <v>329</v>
      </c>
      <c r="M55" s="245" t="s">
        <v>329</v>
      </c>
      <c r="N55" s="245" t="s">
        <v>330</v>
      </c>
      <c r="O55" s="245" t="s">
        <v>329</v>
      </c>
      <c r="P55" s="245" t="s">
        <v>329</v>
      </c>
      <c r="Q55" s="424" t="s">
        <v>329</v>
      </c>
      <c r="R55" s="425" t="s">
        <v>330</v>
      </c>
      <c r="S55" s="425" t="s">
        <v>330</v>
      </c>
      <c r="T55" s="86"/>
    </row>
    <row r="56">
      <c r="A56" s="410"/>
      <c r="B56" s="210"/>
      <c r="C56" s="225"/>
      <c r="D56" s="551" t="s">
        <v>380</v>
      </c>
      <c r="E56" s="552"/>
      <c r="F56" s="459"/>
      <c r="G56" s="421"/>
      <c r="H56" s="320"/>
      <c r="I56" s="245" t="s">
        <v>329</v>
      </c>
      <c r="J56" s="245" t="s">
        <v>329</v>
      </c>
      <c r="K56" s="245" t="s">
        <v>329</v>
      </c>
      <c r="L56" s="245" t="s">
        <v>329</v>
      </c>
      <c r="M56" s="245" t="s">
        <v>329</v>
      </c>
      <c r="N56" s="245" t="s">
        <v>330</v>
      </c>
      <c r="O56" s="245" t="s">
        <v>329</v>
      </c>
      <c r="P56" s="245" t="s">
        <v>329</v>
      </c>
      <c r="Q56" s="424" t="s">
        <v>329</v>
      </c>
      <c r="R56" s="425" t="s">
        <v>330</v>
      </c>
      <c r="S56" s="425" t="s">
        <v>330</v>
      </c>
      <c r="T56" s="86"/>
    </row>
    <row r="57">
      <c r="A57" s="410"/>
      <c r="B57" s="210"/>
      <c r="C57" s="211" t="s">
        <v>387</v>
      </c>
      <c r="D57" s="212"/>
      <c r="E57" s="212"/>
      <c r="F57" s="414"/>
      <c r="G57" s="415" t="s">
        <v>388</v>
      </c>
      <c r="H57" s="498"/>
      <c r="I57" s="217" t="s">
        <v>330</v>
      </c>
      <c r="J57" s="217" t="s">
        <v>329</v>
      </c>
      <c r="K57" s="217" t="s">
        <v>329</v>
      </c>
      <c r="L57" s="217" t="s">
        <v>329</v>
      </c>
      <c r="M57" s="217" t="s">
        <v>329</v>
      </c>
      <c r="N57" s="217" t="s">
        <v>330</v>
      </c>
      <c r="O57" s="217" t="s">
        <v>330</v>
      </c>
      <c r="P57" s="217" t="s">
        <v>330</v>
      </c>
      <c r="Q57" s="416" t="s">
        <v>330</v>
      </c>
      <c r="R57" s="417" t="s">
        <v>330</v>
      </c>
      <c r="S57" s="417" t="s">
        <v>330</v>
      </c>
      <c r="T57" s="86"/>
    </row>
    <row r="58">
      <c r="A58" s="410"/>
      <c r="B58" s="210"/>
      <c r="C58" s="225"/>
      <c r="D58" s="423" t="s">
        <v>116</v>
      </c>
      <c r="E58" s="212"/>
      <c r="F58" s="414"/>
      <c r="G58" s="553" t="str">
        <f>HYPERLINK("https://goo.gl/s8Sh4X","(with Guide)")</f>
        <v>(with Guide)</v>
      </c>
      <c r="H58" s="320"/>
      <c r="I58" s="245" t="s">
        <v>330</v>
      </c>
      <c r="J58" s="245" t="s">
        <v>329</v>
      </c>
      <c r="K58" s="245" t="s">
        <v>329</v>
      </c>
      <c r="L58" s="245" t="s">
        <v>329</v>
      </c>
      <c r="M58" s="245" t="s">
        <v>329</v>
      </c>
      <c r="N58" s="245" t="s">
        <v>330</v>
      </c>
      <c r="O58" s="245" t="s">
        <v>330</v>
      </c>
      <c r="P58" s="245" t="s">
        <v>330</v>
      </c>
      <c r="Q58" s="424" t="s">
        <v>330</v>
      </c>
      <c r="R58" s="425" t="s">
        <v>330</v>
      </c>
      <c r="S58" s="425" t="s">
        <v>330</v>
      </c>
      <c r="T58" s="86"/>
    </row>
    <row r="59">
      <c r="A59" s="410"/>
      <c r="B59" s="210"/>
      <c r="C59" s="225"/>
      <c r="D59" s="418" t="s">
        <v>397</v>
      </c>
      <c r="E59" s="212"/>
      <c r="F59" s="414"/>
      <c r="G59" s="421"/>
      <c r="H59" s="320"/>
      <c r="I59" s="245" t="s">
        <v>330</v>
      </c>
      <c r="J59" s="245" t="s">
        <v>329</v>
      </c>
      <c r="K59" s="245" t="s">
        <v>329</v>
      </c>
      <c r="L59" s="245" t="s">
        <v>329</v>
      </c>
      <c r="M59" s="245" t="s">
        <v>329</v>
      </c>
      <c r="N59" s="245" t="s">
        <v>330</v>
      </c>
      <c r="O59" s="245" t="s">
        <v>330</v>
      </c>
      <c r="P59" s="245" t="s">
        <v>330</v>
      </c>
      <c r="Q59" s="424" t="s">
        <v>330</v>
      </c>
      <c r="R59" s="425" t="s">
        <v>330</v>
      </c>
      <c r="S59" s="425" t="s">
        <v>330</v>
      </c>
      <c r="T59" s="86"/>
    </row>
    <row r="60">
      <c r="A60" s="410"/>
      <c r="B60" s="210"/>
      <c r="C60" s="225"/>
      <c r="D60" s="459"/>
      <c r="E60" s="459"/>
      <c r="F60" s="33" t="s">
        <v>23</v>
      </c>
      <c r="G60" s="421"/>
      <c r="H60" s="320"/>
      <c r="I60" s="245" t="s">
        <v>330</v>
      </c>
      <c r="J60" s="245" t="s">
        <v>329</v>
      </c>
      <c r="K60" s="245" t="s">
        <v>329</v>
      </c>
      <c r="L60" s="245" t="s">
        <v>329</v>
      </c>
      <c r="M60" s="245" t="s">
        <v>329</v>
      </c>
      <c r="N60" s="245" t="s">
        <v>330</v>
      </c>
      <c r="O60" s="245" t="s">
        <v>330</v>
      </c>
      <c r="P60" s="245" t="s">
        <v>330</v>
      </c>
      <c r="Q60" s="424" t="s">
        <v>330</v>
      </c>
      <c r="R60" s="425" t="s">
        <v>330</v>
      </c>
      <c r="S60" s="425" t="s">
        <v>330</v>
      </c>
      <c r="T60" s="86"/>
    </row>
    <row r="61">
      <c r="A61" s="410"/>
      <c r="B61" s="210"/>
      <c r="C61" s="225"/>
      <c r="D61" s="418" t="s">
        <v>404</v>
      </c>
      <c r="E61" s="212"/>
      <c r="F61" s="414"/>
      <c r="G61" s="421"/>
      <c r="H61" s="320"/>
      <c r="I61" s="245" t="s">
        <v>330</v>
      </c>
      <c r="J61" s="245" t="s">
        <v>329</v>
      </c>
      <c r="K61" s="245" t="s">
        <v>329</v>
      </c>
      <c r="L61" s="245" t="s">
        <v>329</v>
      </c>
      <c r="M61" s="245" t="s">
        <v>329</v>
      </c>
      <c r="N61" s="245" t="s">
        <v>330</v>
      </c>
      <c r="O61" s="245" t="s">
        <v>330</v>
      </c>
      <c r="P61" s="245" t="s">
        <v>330</v>
      </c>
      <c r="Q61" s="424" t="s">
        <v>330</v>
      </c>
      <c r="R61" s="425" t="s">
        <v>330</v>
      </c>
      <c r="S61" s="425" t="s">
        <v>330</v>
      </c>
      <c r="T61" s="86"/>
    </row>
    <row r="62">
      <c r="A62" s="410"/>
      <c r="B62" s="210"/>
      <c r="C62" s="225"/>
      <c r="D62" s="418" t="s">
        <v>433</v>
      </c>
      <c r="E62" s="212"/>
      <c r="F62" s="414"/>
      <c r="G62" s="421"/>
      <c r="H62" s="320"/>
      <c r="I62" s="245" t="s">
        <v>330</v>
      </c>
      <c r="J62" s="245" t="s">
        <v>329</v>
      </c>
      <c r="K62" s="245" t="s">
        <v>329</v>
      </c>
      <c r="L62" s="245" t="s">
        <v>329</v>
      </c>
      <c r="M62" s="245" t="s">
        <v>329</v>
      </c>
      <c r="N62" s="245" t="s">
        <v>330</v>
      </c>
      <c r="O62" s="245" t="s">
        <v>330</v>
      </c>
      <c r="P62" s="245" t="s">
        <v>330</v>
      </c>
      <c r="Q62" s="424" t="s">
        <v>330</v>
      </c>
      <c r="R62" s="425" t="s">
        <v>330</v>
      </c>
      <c r="S62" s="425" t="s">
        <v>330</v>
      </c>
      <c r="T62" s="86"/>
    </row>
    <row r="63">
      <c r="A63" s="410"/>
      <c r="B63" s="210"/>
      <c r="C63" s="225"/>
      <c r="D63" s="459"/>
      <c r="E63" s="459"/>
      <c r="F63" s="220" t="s">
        <v>434</v>
      </c>
      <c r="G63" s="421"/>
      <c r="H63" s="320"/>
      <c r="I63" s="245" t="s">
        <v>330</v>
      </c>
      <c r="J63" s="245" t="s">
        <v>329</v>
      </c>
      <c r="K63" s="245" t="s">
        <v>329</v>
      </c>
      <c r="L63" s="245" t="s">
        <v>329</v>
      </c>
      <c r="M63" s="245" t="s">
        <v>329</v>
      </c>
      <c r="N63" s="245" t="s">
        <v>330</v>
      </c>
      <c r="O63" s="245" t="s">
        <v>330</v>
      </c>
      <c r="P63" s="245" t="s">
        <v>330</v>
      </c>
      <c r="Q63" s="424" t="s">
        <v>330</v>
      </c>
      <c r="R63" s="425" t="s">
        <v>330</v>
      </c>
      <c r="S63" s="425" t="s">
        <v>330</v>
      </c>
      <c r="T63" s="86"/>
    </row>
    <row r="64">
      <c r="A64" s="410"/>
      <c r="B64" s="210"/>
      <c r="C64" s="225"/>
      <c r="D64" s="459"/>
      <c r="E64" s="459"/>
      <c r="F64" s="569" t="s">
        <v>214</v>
      </c>
      <c r="G64" s="421"/>
      <c r="H64" s="320"/>
      <c r="I64" s="245" t="s">
        <v>330</v>
      </c>
      <c r="J64" s="245" t="s">
        <v>329</v>
      </c>
      <c r="K64" s="245" t="s">
        <v>329</v>
      </c>
      <c r="L64" s="245" t="s">
        <v>329</v>
      </c>
      <c r="M64" s="245" t="s">
        <v>329</v>
      </c>
      <c r="N64" s="245" t="s">
        <v>330</v>
      </c>
      <c r="O64" s="245" t="s">
        <v>330</v>
      </c>
      <c r="P64" s="245" t="s">
        <v>330</v>
      </c>
      <c r="Q64" s="424" t="s">
        <v>330</v>
      </c>
      <c r="R64" s="425" t="s">
        <v>330</v>
      </c>
      <c r="S64" s="425" t="s">
        <v>330</v>
      </c>
      <c r="T64" s="86"/>
    </row>
    <row r="65">
      <c r="A65" s="410"/>
      <c r="B65" s="210"/>
      <c r="C65" s="225"/>
      <c r="D65" s="418" t="s">
        <v>436</v>
      </c>
      <c r="E65" s="212"/>
      <c r="F65" s="414"/>
      <c r="G65" s="421"/>
      <c r="H65" s="320"/>
      <c r="I65" s="245" t="s">
        <v>330</v>
      </c>
      <c r="J65" s="245" t="s">
        <v>329</v>
      </c>
      <c r="K65" s="245" t="s">
        <v>329</v>
      </c>
      <c r="L65" s="245" t="s">
        <v>329</v>
      </c>
      <c r="M65" s="245" t="s">
        <v>329</v>
      </c>
      <c r="N65" s="245" t="s">
        <v>330</v>
      </c>
      <c r="O65" s="245" t="s">
        <v>330</v>
      </c>
      <c r="P65" s="245" t="s">
        <v>330</v>
      </c>
      <c r="Q65" s="424" t="s">
        <v>330</v>
      </c>
      <c r="R65" s="425" t="s">
        <v>330</v>
      </c>
      <c r="S65" s="425" t="s">
        <v>330</v>
      </c>
      <c r="T65" s="86"/>
    </row>
    <row r="66">
      <c r="A66" s="410"/>
      <c r="B66" s="210"/>
      <c r="C66" s="225"/>
      <c r="D66" s="459"/>
      <c r="E66" s="459"/>
      <c r="F66" s="220" t="s">
        <v>208</v>
      </c>
      <c r="G66" s="421"/>
      <c r="H66" s="532"/>
      <c r="I66" s="578" t="s">
        <v>330</v>
      </c>
      <c r="J66" s="578" t="s">
        <v>329</v>
      </c>
      <c r="K66" s="578" t="s">
        <v>329</v>
      </c>
      <c r="L66" s="578" t="s">
        <v>329</v>
      </c>
      <c r="M66" s="578" t="s">
        <v>329</v>
      </c>
      <c r="N66" s="578" t="s">
        <v>330</v>
      </c>
      <c r="O66" s="578" t="s">
        <v>330</v>
      </c>
      <c r="P66" s="578" t="s">
        <v>330</v>
      </c>
      <c r="Q66" s="579" t="s">
        <v>330</v>
      </c>
      <c r="R66" s="579" t="s">
        <v>330</v>
      </c>
      <c r="S66" s="579" t="s">
        <v>330</v>
      </c>
      <c r="T66" s="86"/>
    </row>
    <row r="67">
      <c r="A67" s="410"/>
      <c r="B67" s="210"/>
      <c r="C67" s="225"/>
      <c r="D67" s="459"/>
      <c r="E67" s="459"/>
      <c r="F67" s="220" t="s">
        <v>217</v>
      </c>
      <c r="G67" s="421"/>
      <c r="H67" s="532"/>
      <c r="I67" s="578" t="s">
        <v>330</v>
      </c>
      <c r="J67" s="578" t="s">
        <v>329</v>
      </c>
      <c r="K67" s="578" t="s">
        <v>329</v>
      </c>
      <c r="L67" s="578" t="s">
        <v>329</v>
      </c>
      <c r="M67" s="578" t="s">
        <v>329</v>
      </c>
      <c r="N67" s="578" t="s">
        <v>330</v>
      </c>
      <c r="O67" s="578" t="s">
        <v>330</v>
      </c>
      <c r="P67" s="578" t="s">
        <v>330</v>
      </c>
      <c r="Q67" s="579" t="s">
        <v>330</v>
      </c>
      <c r="R67" s="579" t="s">
        <v>330</v>
      </c>
      <c r="S67" s="579" t="s">
        <v>330</v>
      </c>
      <c r="T67" s="86"/>
    </row>
    <row r="68">
      <c r="A68" s="410"/>
      <c r="B68" s="210"/>
      <c r="C68" s="225"/>
      <c r="D68" s="459"/>
      <c r="E68" s="459"/>
      <c r="F68" s="581" t="s">
        <v>221</v>
      </c>
      <c r="G68" s="421"/>
      <c r="H68" s="532"/>
      <c r="I68" s="578" t="s">
        <v>330</v>
      </c>
      <c r="J68" s="578" t="s">
        <v>329</v>
      </c>
      <c r="K68" s="578" t="s">
        <v>329</v>
      </c>
      <c r="L68" s="578" t="s">
        <v>329</v>
      </c>
      <c r="M68" s="578" t="s">
        <v>329</v>
      </c>
      <c r="N68" s="578" t="s">
        <v>330</v>
      </c>
      <c r="O68" s="578" t="s">
        <v>330</v>
      </c>
      <c r="P68" s="578" t="s">
        <v>330</v>
      </c>
      <c r="Q68" s="579" t="s">
        <v>330</v>
      </c>
      <c r="R68" s="579" t="s">
        <v>330</v>
      </c>
      <c r="S68" s="579" t="s">
        <v>330</v>
      </c>
      <c r="T68" s="86"/>
    </row>
    <row r="69">
      <c r="A69" s="410"/>
      <c r="B69" s="210"/>
      <c r="C69" s="225"/>
      <c r="D69" s="418" t="s">
        <v>417</v>
      </c>
      <c r="E69" s="212"/>
      <c r="F69" s="414"/>
      <c r="G69" s="421"/>
      <c r="H69" s="320"/>
      <c r="I69" s="245" t="s">
        <v>330</v>
      </c>
      <c r="J69" s="245" t="s">
        <v>329</v>
      </c>
      <c r="K69" s="245" t="s">
        <v>329</v>
      </c>
      <c r="L69" s="245" t="s">
        <v>329</v>
      </c>
      <c r="M69" s="245" t="s">
        <v>329</v>
      </c>
      <c r="N69" s="245" t="s">
        <v>330</v>
      </c>
      <c r="O69" s="245" t="s">
        <v>330</v>
      </c>
      <c r="P69" s="245" t="s">
        <v>330</v>
      </c>
      <c r="Q69" s="424" t="s">
        <v>330</v>
      </c>
      <c r="R69" s="425" t="s">
        <v>330</v>
      </c>
      <c r="S69" s="425" t="s">
        <v>330</v>
      </c>
      <c r="T69" s="86"/>
    </row>
    <row r="70">
      <c r="A70" s="410"/>
      <c r="B70" s="210"/>
      <c r="C70" s="225"/>
      <c r="D70" s="418" t="s">
        <v>418</v>
      </c>
      <c r="E70" s="212"/>
      <c r="F70" s="414"/>
      <c r="G70" s="421"/>
      <c r="H70" s="320"/>
      <c r="I70" s="245" t="s">
        <v>330</v>
      </c>
      <c r="J70" s="245" t="s">
        <v>329</v>
      </c>
      <c r="K70" s="245" t="s">
        <v>329</v>
      </c>
      <c r="L70" s="245" t="s">
        <v>329</v>
      </c>
      <c r="M70" s="245" t="s">
        <v>329</v>
      </c>
      <c r="N70" s="245" t="s">
        <v>330</v>
      </c>
      <c r="O70" s="245" t="s">
        <v>330</v>
      </c>
      <c r="P70" s="245" t="s">
        <v>330</v>
      </c>
      <c r="Q70" s="424" t="s">
        <v>330</v>
      </c>
      <c r="R70" s="425" t="s">
        <v>330</v>
      </c>
      <c r="S70" s="425" t="s">
        <v>330</v>
      </c>
      <c r="T70" s="86"/>
    </row>
    <row r="71">
      <c r="A71" s="410"/>
      <c r="B71" s="210"/>
      <c r="C71" s="390" t="s">
        <v>437</v>
      </c>
      <c r="D71" s="212"/>
      <c r="E71" s="212"/>
      <c r="F71" s="414"/>
      <c r="G71" s="582" t="s">
        <v>420</v>
      </c>
      <c r="H71" s="311" t="s">
        <v>329</v>
      </c>
      <c r="I71" s="217" t="s">
        <v>330</v>
      </c>
      <c r="J71" s="217" t="s">
        <v>329</v>
      </c>
      <c r="K71" s="217" t="s">
        <v>329</v>
      </c>
      <c r="L71" s="217" t="s">
        <v>329</v>
      </c>
      <c r="M71" s="217" t="s">
        <v>329</v>
      </c>
      <c r="N71" s="217" t="s">
        <v>329</v>
      </c>
      <c r="O71" s="217" t="s">
        <v>329</v>
      </c>
      <c r="P71" s="217" t="s">
        <v>329</v>
      </c>
      <c r="Q71" s="416" t="s">
        <v>329</v>
      </c>
      <c r="R71" s="417" t="s">
        <v>330</v>
      </c>
      <c r="S71" s="417" t="s">
        <v>330</v>
      </c>
      <c r="T71" s="86"/>
    </row>
    <row r="72">
      <c r="A72" s="410"/>
      <c r="B72" s="210"/>
      <c r="C72" s="225"/>
      <c r="D72" s="423" t="s">
        <v>105</v>
      </c>
      <c r="E72" s="212"/>
      <c r="F72" s="414"/>
      <c r="G72" s="527"/>
      <c r="H72" s="320" t="s">
        <v>329</v>
      </c>
      <c r="I72" s="245" t="s">
        <v>330</v>
      </c>
      <c r="J72" s="245" t="s">
        <v>329</v>
      </c>
      <c r="K72" s="245" t="s">
        <v>329</v>
      </c>
      <c r="L72" s="245" t="s">
        <v>329</v>
      </c>
      <c r="M72" s="245" t="s">
        <v>329</v>
      </c>
      <c r="N72" s="245" t="s">
        <v>329</v>
      </c>
      <c r="O72" s="245" t="s">
        <v>329</v>
      </c>
      <c r="P72" s="245" t="s">
        <v>329</v>
      </c>
      <c r="Q72" s="424" t="s">
        <v>329</v>
      </c>
      <c r="R72" s="425" t="s">
        <v>330</v>
      </c>
      <c r="S72" s="425" t="s">
        <v>330</v>
      </c>
      <c r="T72" s="86"/>
    </row>
    <row r="73">
      <c r="A73" s="410"/>
      <c r="B73" s="210"/>
      <c r="C73" s="211" t="s">
        <v>423</v>
      </c>
      <c r="D73" s="212"/>
      <c r="E73" s="212"/>
      <c r="F73" s="414"/>
      <c r="G73" s="415" t="s">
        <v>424</v>
      </c>
      <c r="H73" s="311"/>
      <c r="I73" s="217" t="s">
        <v>330</v>
      </c>
      <c r="J73" s="217" t="s">
        <v>329</v>
      </c>
      <c r="K73" s="217" t="s">
        <v>329</v>
      </c>
      <c r="L73" s="217" t="s">
        <v>329</v>
      </c>
      <c r="M73" s="217" t="s">
        <v>329</v>
      </c>
      <c r="N73" s="217" t="s">
        <v>329</v>
      </c>
      <c r="O73" s="217" t="s">
        <v>330</v>
      </c>
      <c r="P73" s="217" t="s">
        <v>330</v>
      </c>
      <c r="Q73" s="416" t="s">
        <v>330</v>
      </c>
      <c r="R73" s="417" t="s">
        <v>330</v>
      </c>
      <c r="S73" s="417" t="s">
        <v>330</v>
      </c>
      <c r="T73" s="86"/>
    </row>
    <row r="74">
      <c r="A74" s="583"/>
      <c r="B74" s="537"/>
      <c r="C74" s="538"/>
      <c r="D74" s="486" t="s">
        <v>90</v>
      </c>
      <c r="E74" s="212"/>
      <c r="F74" s="414"/>
      <c r="G74" s="584"/>
      <c r="H74" s="540"/>
      <c r="I74" s="245" t="s">
        <v>330</v>
      </c>
      <c r="J74" s="245" t="s">
        <v>329</v>
      </c>
      <c r="K74" s="245" t="s">
        <v>329</v>
      </c>
      <c r="L74" s="245" t="s">
        <v>329</v>
      </c>
      <c r="M74" s="245" t="s">
        <v>329</v>
      </c>
      <c r="N74" s="245" t="s">
        <v>329</v>
      </c>
      <c r="O74" s="245" t="s">
        <v>330</v>
      </c>
      <c r="P74" s="245" t="s">
        <v>330</v>
      </c>
      <c r="Q74" s="424" t="s">
        <v>330</v>
      </c>
      <c r="R74" s="425" t="s">
        <v>330</v>
      </c>
      <c r="S74" s="425" t="s">
        <v>330</v>
      </c>
      <c r="T74" s="541"/>
    </row>
    <row r="75">
      <c r="A75" s="583"/>
      <c r="B75" s="537"/>
      <c r="C75" s="538"/>
      <c r="D75" s="486" t="s">
        <v>137</v>
      </c>
      <c r="E75" s="212"/>
      <c r="F75" s="414"/>
      <c r="G75" s="584"/>
      <c r="H75" s="540"/>
      <c r="I75" s="245" t="s">
        <v>330</v>
      </c>
      <c r="J75" s="245" t="s">
        <v>329</v>
      </c>
      <c r="K75" s="245" t="s">
        <v>329</v>
      </c>
      <c r="L75" s="245" t="s">
        <v>329</v>
      </c>
      <c r="M75" s="245" t="s">
        <v>329</v>
      </c>
      <c r="N75" s="245" t="s">
        <v>329</v>
      </c>
      <c r="O75" s="245" t="s">
        <v>330</v>
      </c>
      <c r="P75" s="245" t="s">
        <v>330</v>
      </c>
      <c r="Q75" s="424" t="s">
        <v>330</v>
      </c>
      <c r="R75" s="425" t="s">
        <v>330</v>
      </c>
      <c r="S75" s="425" t="s">
        <v>330</v>
      </c>
      <c r="T75" s="541"/>
    </row>
    <row r="76">
      <c r="A76" s="583"/>
      <c r="B76" s="537"/>
      <c r="C76" s="538"/>
      <c r="D76" s="486" t="s">
        <v>96</v>
      </c>
      <c r="E76" s="212"/>
      <c r="F76" s="414"/>
      <c r="G76" s="584"/>
      <c r="H76" s="540"/>
      <c r="I76" s="245" t="s">
        <v>330</v>
      </c>
      <c r="J76" s="245" t="s">
        <v>329</v>
      </c>
      <c r="K76" s="245" t="s">
        <v>329</v>
      </c>
      <c r="L76" s="245" t="s">
        <v>329</v>
      </c>
      <c r="M76" s="245" t="s">
        <v>329</v>
      </c>
      <c r="N76" s="245" t="s">
        <v>329</v>
      </c>
      <c r="O76" s="245" t="s">
        <v>330</v>
      </c>
      <c r="P76" s="245" t="s">
        <v>330</v>
      </c>
      <c r="Q76" s="424" t="s">
        <v>330</v>
      </c>
      <c r="R76" s="425" t="s">
        <v>330</v>
      </c>
      <c r="S76" s="425" t="s">
        <v>330</v>
      </c>
      <c r="T76" s="541"/>
    </row>
    <row r="77">
      <c r="A77" s="410"/>
      <c r="B77" s="210"/>
      <c r="C77" s="390" t="s">
        <v>425</v>
      </c>
      <c r="D77" s="212"/>
      <c r="E77" s="212"/>
      <c r="F77" s="414"/>
      <c r="G77" s="415" t="s">
        <v>426</v>
      </c>
      <c r="H77" s="311"/>
      <c r="I77" s="217" t="s">
        <v>330</v>
      </c>
      <c r="J77" s="217" t="s">
        <v>329</v>
      </c>
      <c r="K77" s="217" t="s">
        <v>329</v>
      </c>
      <c r="L77" s="217" t="s">
        <v>329</v>
      </c>
      <c r="M77" s="217" t="s">
        <v>329</v>
      </c>
      <c r="N77" s="217" t="s">
        <v>330</v>
      </c>
      <c r="O77" s="217" t="s">
        <v>329</v>
      </c>
      <c r="P77" s="217" t="s">
        <v>329</v>
      </c>
      <c r="Q77" s="416" t="s">
        <v>330</v>
      </c>
      <c r="R77" s="417" t="s">
        <v>330</v>
      </c>
      <c r="S77" s="417" t="s">
        <v>330</v>
      </c>
      <c r="T77" s="86"/>
    </row>
    <row r="78">
      <c r="A78" s="410"/>
      <c r="B78" s="210"/>
      <c r="C78" s="225"/>
      <c r="D78" s="236" t="s">
        <v>83</v>
      </c>
      <c r="E78" s="212"/>
      <c r="F78" s="414"/>
      <c r="G78" s="421"/>
      <c r="H78" s="320"/>
      <c r="I78" s="245" t="s">
        <v>330</v>
      </c>
      <c r="J78" s="245" t="s">
        <v>329</v>
      </c>
      <c r="K78" s="245" t="s">
        <v>329</v>
      </c>
      <c r="L78" s="245" t="s">
        <v>329</v>
      </c>
      <c r="M78" s="245" t="s">
        <v>329</v>
      </c>
      <c r="N78" s="245" t="s">
        <v>330</v>
      </c>
      <c r="O78" s="245" t="s">
        <v>329</v>
      </c>
      <c r="P78" s="245" t="s">
        <v>329</v>
      </c>
      <c r="Q78" s="424" t="s">
        <v>330</v>
      </c>
      <c r="R78" s="425" t="s">
        <v>330</v>
      </c>
      <c r="S78" s="425" t="s">
        <v>330</v>
      </c>
      <c r="T78" s="86"/>
    </row>
    <row r="79">
      <c r="A79" s="410"/>
      <c r="B79" s="210"/>
      <c r="C79" s="225"/>
      <c r="D79" s="225"/>
      <c r="E79" s="486" t="s">
        <v>113</v>
      </c>
      <c r="F79" s="414"/>
      <c r="G79" s="421"/>
      <c r="H79" s="320"/>
      <c r="I79" s="245" t="s">
        <v>330</v>
      </c>
      <c r="J79" s="245" t="s">
        <v>329</v>
      </c>
      <c r="K79" s="245" t="s">
        <v>329</v>
      </c>
      <c r="L79" s="245" t="s">
        <v>329</v>
      </c>
      <c r="M79" s="245" t="s">
        <v>329</v>
      </c>
      <c r="N79" s="245" t="s">
        <v>330</v>
      </c>
      <c r="O79" s="245" t="s">
        <v>329</v>
      </c>
      <c r="P79" s="245" t="s">
        <v>329</v>
      </c>
      <c r="Q79" s="424" t="s">
        <v>330</v>
      </c>
      <c r="R79" s="425" t="s">
        <v>330</v>
      </c>
      <c r="S79" s="425" t="s">
        <v>330</v>
      </c>
      <c r="T79" s="86"/>
    </row>
    <row r="80">
      <c r="A80" s="410"/>
      <c r="B80" s="210"/>
      <c r="C80" s="225"/>
      <c r="D80" s="236" t="s">
        <v>84</v>
      </c>
      <c r="E80" s="212"/>
      <c r="F80" s="414"/>
      <c r="G80" s="421"/>
      <c r="H80" s="320"/>
      <c r="I80" s="245" t="s">
        <v>330</v>
      </c>
      <c r="J80" s="245" t="s">
        <v>329</v>
      </c>
      <c r="K80" s="245" t="s">
        <v>329</v>
      </c>
      <c r="L80" s="245" t="s">
        <v>329</v>
      </c>
      <c r="M80" s="245" t="s">
        <v>329</v>
      </c>
      <c r="N80" s="245" t="s">
        <v>330</v>
      </c>
      <c r="O80" s="245" t="s">
        <v>329</v>
      </c>
      <c r="P80" s="245" t="s">
        <v>329</v>
      </c>
      <c r="Q80" s="424" t="s">
        <v>330</v>
      </c>
      <c r="R80" s="425" t="s">
        <v>330</v>
      </c>
      <c r="S80" s="425" t="s">
        <v>330</v>
      </c>
      <c r="T80" s="86"/>
    </row>
    <row r="81">
      <c r="A81" s="410"/>
      <c r="B81" s="210"/>
      <c r="C81" s="225"/>
      <c r="D81" s="225"/>
      <c r="E81" s="486" t="s">
        <v>118</v>
      </c>
      <c r="F81" s="414"/>
      <c r="G81" s="421"/>
      <c r="H81" s="320"/>
      <c r="I81" s="245" t="s">
        <v>330</v>
      </c>
      <c r="J81" s="245" t="s">
        <v>329</v>
      </c>
      <c r="K81" s="245" t="s">
        <v>329</v>
      </c>
      <c r="L81" s="245" t="s">
        <v>329</v>
      </c>
      <c r="M81" s="245" t="s">
        <v>329</v>
      </c>
      <c r="N81" s="245" t="s">
        <v>330</v>
      </c>
      <c r="O81" s="245" t="s">
        <v>329</v>
      </c>
      <c r="P81" s="245" t="s">
        <v>329</v>
      </c>
      <c r="Q81" s="424" t="s">
        <v>330</v>
      </c>
      <c r="R81" s="425" t="s">
        <v>330</v>
      </c>
      <c r="S81" s="425" t="s">
        <v>330</v>
      </c>
      <c r="T81" s="86"/>
    </row>
    <row r="82">
      <c r="A82" s="410"/>
      <c r="B82" s="210"/>
      <c r="C82" s="225"/>
      <c r="D82" s="225"/>
      <c r="E82" s="587" t="s">
        <v>120</v>
      </c>
      <c r="F82" s="588"/>
      <c r="G82" s="421"/>
      <c r="H82" s="320"/>
      <c r="I82" s="245" t="s">
        <v>330</v>
      </c>
      <c r="J82" s="245" t="s">
        <v>329</v>
      </c>
      <c r="K82" s="245" t="s">
        <v>329</v>
      </c>
      <c r="L82" s="245" t="s">
        <v>329</v>
      </c>
      <c r="M82" s="245" t="s">
        <v>329</v>
      </c>
      <c r="N82" s="245" t="s">
        <v>330</v>
      </c>
      <c r="O82" s="245" t="s">
        <v>329</v>
      </c>
      <c r="P82" s="245" t="s">
        <v>329</v>
      </c>
      <c r="Q82" s="424" t="s">
        <v>330</v>
      </c>
      <c r="R82" s="425" t="s">
        <v>330</v>
      </c>
      <c r="S82" s="425" t="s">
        <v>330</v>
      </c>
      <c r="T82" s="86"/>
    </row>
    <row r="83">
      <c r="A83" s="410"/>
      <c r="B83" s="210"/>
      <c r="C83" s="225"/>
      <c r="D83" s="236"/>
      <c r="E83" s="587" t="s">
        <v>122</v>
      </c>
      <c r="F83" s="588"/>
      <c r="G83" s="589"/>
      <c r="H83" s="590"/>
      <c r="I83" s="245" t="s">
        <v>330</v>
      </c>
      <c r="J83" s="245" t="s">
        <v>329</v>
      </c>
      <c r="K83" s="245" t="s">
        <v>329</v>
      </c>
      <c r="L83" s="245" t="s">
        <v>329</v>
      </c>
      <c r="M83" s="245" t="s">
        <v>329</v>
      </c>
      <c r="N83" s="245" t="s">
        <v>330</v>
      </c>
      <c r="O83" s="245" t="s">
        <v>329</v>
      </c>
      <c r="P83" s="245" t="s">
        <v>329</v>
      </c>
      <c r="Q83" s="424" t="s">
        <v>330</v>
      </c>
      <c r="R83" s="425" t="s">
        <v>330</v>
      </c>
      <c r="S83" s="425" t="s">
        <v>330</v>
      </c>
      <c r="T83" s="86"/>
    </row>
    <row r="84">
      <c r="A84" s="410"/>
      <c r="B84" s="210"/>
      <c r="C84" s="225"/>
      <c r="D84" s="236"/>
      <c r="E84" s="587" t="s">
        <v>71</v>
      </c>
      <c r="F84" s="588"/>
      <c r="G84" s="589"/>
      <c r="H84" s="590"/>
      <c r="I84" s="245" t="s">
        <v>330</v>
      </c>
      <c r="J84" s="245" t="s">
        <v>329</v>
      </c>
      <c r="K84" s="245" t="s">
        <v>329</v>
      </c>
      <c r="L84" s="245" t="s">
        <v>329</v>
      </c>
      <c r="M84" s="245" t="s">
        <v>329</v>
      </c>
      <c r="N84" s="245" t="s">
        <v>330</v>
      </c>
      <c r="O84" s="245" t="s">
        <v>329</v>
      </c>
      <c r="P84" s="245" t="s">
        <v>329</v>
      </c>
      <c r="Q84" s="424" t="s">
        <v>330</v>
      </c>
      <c r="R84" s="425" t="s">
        <v>330</v>
      </c>
      <c r="S84" s="425" t="s">
        <v>330</v>
      </c>
      <c r="T84" s="86"/>
    </row>
    <row r="85">
      <c r="A85" s="410"/>
      <c r="B85" s="210"/>
      <c r="C85" s="225"/>
      <c r="D85" s="236" t="s">
        <v>429</v>
      </c>
      <c r="E85" s="212"/>
      <c r="F85" s="414"/>
      <c r="G85" s="421"/>
      <c r="H85" s="320"/>
      <c r="I85" s="245" t="s">
        <v>330</v>
      </c>
      <c r="J85" s="245" t="s">
        <v>329</v>
      </c>
      <c r="K85" s="245" t="s">
        <v>329</v>
      </c>
      <c r="L85" s="245" t="s">
        <v>329</v>
      </c>
      <c r="M85" s="245" t="s">
        <v>329</v>
      </c>
      <c r="N85" s="245" t="s">
        <v>330</v>
      </c>
      <c r="O85" s="245" t="s">
        <v>329</v>
      </c>
      <c r="P85" s="245" t="s">
        <v>329</v>
      </c>
      <c r="Q85" s="424" t="s">
        <v>330</v>
      </c>
      <c r="R85" s="425" t="s">
        <v>330</v>
      </c>
      <c r="S85" s="425" t="s">
        <v>330</v>
      </c>
      <c r="T85" s="86"/>
    </row>
    <row r="86">
      <c r="A86" s="410"/>
      <c r="B86" s="210"/>
      <c r="C86" s="225"/>
      <c r="D86" s="225"/>
      <c r="E86" s="486" t="s">
        <v>42</v>
      </c>
      <c r="F86" s="414"/>
      <c r="G86" s="421"/>
      <c r="H86" s="320"/>
      <c r="I86" s="245" t="s">
        <v>330</v>
      </c>
      <c r="J86" s="245" t="s">
        <v>329</v>
      </c>
      <c r="K86" s="245" t="s">
        <v>329</v>
      </c>
      <c r="L86" s="245" t="s">
        <v>329</v>
      </c>
      <c r="M86" s="245" t="s">
        <v>329</v>
      </c>
      <c r="N86" s="245" t="s">
        <v>330</v>
      </c>
      <c r="O86" s="245" t="s">
        <v>329</v>
      </c>
      <c r="P86" s="245" t="s">
        <v>329</v>
      </c>
      <c r="Q86" s="424" t="s">
        <v>330</v>
      </c>
      <c r="R86" s="425" t="s">
        <v>330</v>
      </c>
      <c r="S86" s="425" t="s">
        <v>330</v>
      </c>
      <c r="T86" s="86"/>
    </row>
    <row r="87">
      <c r="A87" s="410"/>
      <c r="B87" s="210"/>
      <c r="C87" s="225"/>
      <c r="D87" s="236" t="s">
        <v>430</v>
      </c>
      <c r="E87" s="212"/>
      <c r="F87" s="414"/>
      <c r="G87" s="421"/>
      <c r="H87" s="320"/>
      <c r="I87" s="245" t="s">
        <v>330</v>
      </c>
      <c r="J87" s="245" t="s">
        <v>329</v>
      </c>
      <c r="K87" s="245" t="s">
        <v>329</v>
      </c>
      <c r="L87" s="245" t="s">
        <v>329</v>
      </c>
      <c r="M87" s="245" t="s">
        <v>329</v>
      </c>
      <c r="N87" s="245" t="s">
        <v>330</v>
      </c>
      <c r="O87" s="245" t="s">
        <v>329</v>
      </c>
      <c r="P87" s="245" t="s">
        <v>329</v>
      </c>
      <c r="Q87" s="424" t="s">
        <v>330</v>
      </c>
      <c r="R87" s="425" t="s">
        <v>330</v>
      </c>
      <c r="S87" s="425" t="s">
        <v>330</v>
      </c>
      <c r="T87" s="86"/>
    </row>
    <row r="88">
      <c r="A88" s="410"/>
      <c r="B88" s="210"/>
      <c r="C88" s="390" t="s">
        <v>431</v>
      </c>
      <c r="D88" s="212"/>
      <c r="E88" s="212"/>
      <c r="F88" s="414"/>
      <c r="G88" s="415" t="s">
        <v>432</v>
      </c>
      <c r="H88" s="311"/>
      <c r="I88" s="217" t="s">
        <v>329</v>
      </c>
      <c r="J88" s="217" t="s">
        <v>329</v>
      </c>
      <c r="K88" s="217" t="s">
        <v>329</v>
      </c>
      <c r="L88" s="217" t="s">
        <v>329</v>
      </c>
      <c r="M88" s="217" t="s">
        <v>329</v>
      </c>
      <c r="N88" s="217" t="s">
        <v>330</v>
      </c>
      <c r="O88" s="217" t="s">
        <v>330</v>
      </c>
      <c r="P88" s="217" t="s">
        <v>330</v>
      </c>
      <c r="Q88" s="416" t="s">
        <v>330</v>
      </c>
      <c r="R88" s="417" t="s">
        <v>330</v>
      </c>
      <c r="S88" s="417" t="s">
        <v>330</v>
      </c>
      <c r="T88" s="86"/>
    </row>
    <row r="89">
      <c r="A89" s="410"/>
      <c r="B89" s="210"/>
      <c r="C89" s="225"/>
      <c r="D89" s="236" t="s">
        <v>91</v>
      </c>
      <c r="E89" s="212"/>
      <c r="F89" s="414"/>
      <c r="G89" s="421"/>
      <c r="H89" s="320"/>
      <c r="I89" s="245" t="s">
        <v>329</v>
      </c>
      <c r="J89" s="245" t="s">
        <v>329</v>
      </c>
      <c r="K89" s="245" t="s">
        <v>329</v>
      </c>
      <c r="L89" s="245" t="s">
        <v>329</v>
      </c>
      <c r="M89" s="245" t="s">
        <v>329</v>
      </c>
      <c r="N89" s="245" t="s">
        <v>330</v>
      </c>
      <c r="O89" s="245" t="s">
        <v>330</v>
      </c>
      <c r="P89" s="245" t="s">
        <v>330</v>
      </c>
      <c r="Q89" s="424" t="s">
        <v>330</v>
      </c>
      <c r="R89" s="425" t="s">
        <v>330</v>
      </c>
      <c r="S89" s="425" t="s">
        <v>330</v>
      </c>
      <c r="T89" s="86"/>
    </row>
    <row r="90">
      <c r="A90" s="410"/>
      <c r="B90" s="210"/>
      <c r="C90" s="225"/>
      <c r="D90" s="554"/>
      <c r="E90" s="486" t="s">
        <v>52</v>
      </c>
      <c r="F90" s="414"/>
      <c r="G90" s="421"/>
      <c r="H90" s="320"/>
      <c r="I90" s="245" t="s">
        <v>329</v>
      </c>
      <c r="J90" s="245" t="s">
        <v>329</v>
      </c>
      <c r="K90" s="245" t="s">
        <v>329</v>
      </c>
      <c r="L90" s="245" t="s">
        <v>329</v>
      </c>
      <c r="M90" s="245" t="s">
        <v>329</v>
      </c>
      <c r="N90" s="245" t="s">
        <v>330</v>
      </c>
      <c r="O90" s="245" t="s">
        <v>330</v>
      </c>
      <c r="P90" s="245" t="s">
        <v>330</v>
      </c>
      <c r="Q90" s="424" t="s">
        <v>330</v>
      </c>
      <c r="R90" s="425" t="s">
        <v>330</v>
      </c>
      <c r="S90" s="425" t="s">
        <v>330</v>
      </c>
      <c r="T90" s="86"/>
    </row>
    <row r="91">
      <c r="A91" s="410"/>
      <c r="B91" s="287"/>
      <c r="C91" s="472" t="s">
        <v>435</v>
      </c>
      <c r="D91" s="138"/>
      <c r="E91" s="138"/>
      <c r="F91" s="388"/>
      <c r="G91" s="591"/>
      <c r="H91" s="592"/>
      <c r="I91" s="593" t="s">
        <v>329</v>
      </c>
      <c r="J91" s="593" t="s">
        <v>329</v>
      </c>
      <c r="K91" s="593" t="s">
        <v>329</v>
      </c>
      <c r="L91" s="593" t="s">
        <v>329</v>
      </c>
      <c r="M91" s="593" t="s">
        <v>329</v>
      </c>
      <c r="N91" s="593" t="s">
        <v>329</v>
      </c>
      <c r="O91" s="593" t="s">
        <v>329</v>
      </c>
      <c r="P91" s="593" t="s">
        <v>329</v>
      </c>
      <c r="Q91" s="594" t="s">
        <v>329</v>
      </c>
      <c r="R91" s="595" t="s">
        <v>329</v>
      </c>
      <c r="S91" s="595" t="s">
        <v>330</v>
      </c>
      <c r="T91" s="86"/>
    </row>
    <row r="92">
      <c r="B92" s="574"/>
      <c r="C92" s="574"/>
      <c r="D92" s="574"/>
      <c r="E92" s="574"/>
      <c r="F92" s="574"/>
      <c r="G92" s="574"/>
      <c r="H92" s="574"/>
      <c r="I92" s="574"/>
      <c r="J92" s="574"/>
      <c r="K92" s="574"/>
      <c r="L92" s="574"/>
      <c r="M92" s="574"/>
      <c r="N92" s="574"/>
      <c r="O92" s="574"/>
      <c r="P92" s="574"/>
      <c r="Q92" s="574"/>
      <c r="R92" s="574"/>
      <c r="S92" s="574"/>
      <c r="T92" s="574"/>
    </row>
  </sheetData>
  <mergeCells count="87">
    <mergeCell ref="D39:F39"/>
    <mergeCell ref="E40:F40"/>
    <mergeCell ref="E41:F41"/>
    <mergeCell ref="E42:F42"/>
    <mergeCell ref="D43:F43"/>
    <mergeCell ref="E44:F44"/>
    <mergeCell ref="D45:F45"/>
    <mergeCell ref="E46:F46"/>
    <mergeCell ref="E47:F47"/>
    <mergeCell ref="D48:F48"/>
    <mergeCell ref="E49:F49"/>
    <mergeCell ref="E50:F50"/>
    <mergeCell ref="D51:F51"/>
    <mergeCell ref="E52:F52"/>
    <mergeCell ref="C57:F57"/>
    <mergeCell ref="D58:F58"/>
    <mergeCell ref="D59:F59"/>
    <mergeCell ref="D61:F61"/>
    <mergeCell ref="D62:F62"/>
    <mergeCell ref="D65:F65"/>
    <mergeCell ref="D69:F69"/>
    <mergeCell ref="D70:F70"/>
    <mergeCell ref="C71:F71"/>
    <mergeCell ref="D72:F72"/>
    <mergeCell ref="C73:F73"/>
    <mergeCell ref="D74:F74"/>
    <mergeCell ref="D75:F75"/>
    <mergeCell ref="D76:F76"/>
    <mergeCell ref="E84:F84"/>
    <mergeCell ref="D85:F85"/>
    <mergeCell ref="E86:F86"/>
    <mergeCell ref="D87:F87"/>
    <mergeCell ref="C88:F88"/>
    <mergeCell ref="D89:F89"/>
    <mergeCell ref="E90:F90"/>
    <mergeCell ref="C91:F91"/>
    <mergeCell ref="C77:F77"/>
    <mergeCell ref="D78:F78"/>
    <mergeCell ref="E79:F79"/>
    <mergeCell ref="D80:F80"/>
    <mergeCell ref="E81:F81"/>
    <mergeCell ref="E82:F82"/>
    <mergeCell ref="E83:F83"/>
    <mergeCell ref="B1:F3"/>
    <mergeCell ref="G1:O3"/>
    <mergeCell ref="P1:S1"/>
    <mergeCell ref="P2:S2"/>
    <mergeCell ref="P3:S3"/>
    <mergeCell ref="B4:O4"/>
    <mergeCell ref="P4:S4"/>
    <mergeCell ref="B6:F6"/>
    <mergeCell ref="G6:G7"/>
    <mergeCell ref="H6:S6"/>
    <mergeCell ref="B7:F7"/>
    <mergeCell ref="B8:F8"/>
    <mergeCell ref="C9:F9"/>
    <mergeCell ref="D10:F10"/>
    <mergeCell ref="E11:F11"/>
    <mergeCell ref="E12:F12"/>
    <mergeCell ref="E13:F13"/>
    <mergeCell ref="D14:F14"/>
    <mergeCell ref="C15:F15"/>
    <mergeCell ref="E16:F16"/>
    <mergeCell ref="C17:F17"/>
    <mergeCell ref="D18:F18"/>
    <mergeCell ref="D19:F19"/>
    <mergeCell ref="C20:F20"/>
    <mergeCell ref="B21:F21"/>
    <mergeCell ref="C22:F22"/>
    <mergeCell ref="D23:F23"/>
    <mergeCell ref="D24:F24"/>
    <mergeCell ref="E25:F25"/>
    <mergeCell ref="E26:F26"/>
    <mergeCell ref="E27:F27"/>
    <mergeCell ref="D28:F28"/>
    <mergeCell ref="E29:F29"/>
    <mergeCell ref="E30:F30"/>
    <mergeCell ref="E31:F31"/>
    <mergeCell ref="E32:F32"/>
    <mergeCell ref="E33:F33"/>
    <mergeCell ref="D34:F34"/>
    <mergeCell ref="E35:F35"/>
    <mergeCell ref="D36:F36"/>
    <mergeCell ref="E37:F37"/>
    <mergeCell ref="E38:F38"/>
    <mergeCell ref="E53:F53"/>
    <mergeCell ref="E55:F55"/>
  </mergeCells>
  <hyperlinks>
    <hyperlink r:id="rId1" ref="E11"/>
    <hyperlink r:id="rId2" ref="E12"/>
    <hyperlink r:id="rId3" ref="E13"/>
    <hyperlink r:id="rId4" ref="E16"/>
    <hyperlink r:id="rId5" ref="D23"/>
    <hyperlink r:id="rId6" ref="E25"/>
    <hyperlink r:id="rId7" ref="E26"/>
    <hyperlink r:id="rId8" location="gid=462638988" ref="E27"/>
    <hyperlink r:id="rId9" ref="E29"/>
    <hyperlink r:id="rId10" ref="E30"/>
    <hyperlink r:id="rId11" ref="E31"/>
    <hyperlink r:id="rId12" ref="E32"/>
    <hyperlink r:id="rId13" ref="E33"/>
    <hyperlink r:id="rId14" ref="E35"/>
    <hyperlink r:id="rId15" location="gid=219199286" ref="E37"/>
    <hyperlink r:id="rId16" location="gid=1768991485" ref="E38"/>
    <hyperlink r:id="rId17" location="gid=2108151244" ref="E40"/>
    <hyperlink r:id="rId18" ref="E41"/>
    <hyperlink r:id="rId19" ref="E42"/>
    <hyperlink r:id="rId20" ref="E44"/>
    <hyperlink r:id="rId21" ref="E46"/>
    <hyperlink r:id="rId22" ref="E47"/>
    <hyperlink r:id="rId23" location="gid=503072585" ref="E49"/>
    <hyperlink r:id="rId24" location="gid=1635575579" ref="E50"/>
    <hyperlink r:id="rId25" location="gid=1653526820" ref="E52"/>
    <hyperlink r:id="rId26" location="gid=49451162" ref="E53"/>
    <hyperlink r:id="rId27" ref="E55"/>
    <hyperlink r:id="rId28" ref="D58"/>
    <hyperlink r:id="rId29" location="gid=1685132237" ref="F60"/>
    <hyperlink r:id="rId30" ref="F63"/>
    <hyperlink r:id="rId31" ref="F64"/>
    <hyperlink r:id="rId32" ref="F66"/>
    <hyperlink r:id="rId33" ref="F67"/>
    <hyperlink r:id="rId34" ref="F68"/>
    <hyperlink r:id="rId35" ref="D72"/>
    <hyperlink r:id="rId36" location="gid=1255747145" ref="D74"/>
    <hyperlink r:id="rId37" ref="D75"/>
    <hyperlink r:id="rId38" location="gid=1768991485" ref="D76"/>
    <hyperlink r:id="rId39" location="gid=2038376756" ref="E79"/>
    <hyperlink r:id="rId40" ref="E81"/>
    <hyperlink r:id="rId41" ref="E82"/>
    <hyperlink r:id="rId42" ref="E83"/>
    <hyperlink r:id="rId43" ref="E84"/>
    <hyperlink r:id="rId44" ref="E86"/>
    <hyperlink r:id="rId45" ref="E90"/>
  </hyperlinks>
  <drawing r:id="rId46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Row="1"/>
  <cols>
    <col customWidth="1" min="1" max="1" width="2.63"/>
    <col customWidth="1" min="2" max="2" width="3.75"/>
    <col customWidth="1" min="6" max="6" width="40.38"/>
    <col customWidth="1" min="7" max="7" width="2.63"/>
    <col customWidth="1" min="8" max="8" width="17.5"/>
    <col customWidth="1" min="10" max="10" width="28.88"/>
    <col customWidth="1" min="11" max="11" width="3.75"/>
  </cols>
  <sheetData>
    <row r="1" ht="21.75" customHeight="1">
      <c r="A1" s="389" t="s">
        <v>317</v>
      </c>
    </row>
    <row r="2">
      <c r="A2" s="404" t="s">
        <v>318</v>
      </c>
    </row>
    <row r="3">
      <c r="A3" s="406"/>
      <c r="B3" s="408"/>
      <c r="C3" s="408"/>
      <c r="D3" s="408"/>
      <c r="E3" s="408"/>
      <c r="F3" s="408"/>
      <c r="G3" s="406"/>
      <c r="H3" s="411"/>
      <c r="I3" s="411"/>
      <c r="J3" s="411"/>
      <c r="K3" s="412"/>
    </row>
    <row r="4">
      <c r="A4" s="406"/>
      <c r="B4" s="408" t="s">
        <v>332</v>
      </c>
      <c r="G4" s="406"/>
      <c r="H4" s="411"/>
      <c r="I4" s="411"/>
      <c r="J4" s="411"/>
      <c r="K4" s="412"/>
    </row>
    <row r="5">
      <c r="A5" s="413"/>
      <c r="B5" s="413" t="s">
        <v>333</v>
      </c>
      <c r="C5" s="419" t="s">
        <v>334</v>
      </c>
      <c r="G5" s="420"/>
      <c r="H5" s="412"/>
      <c r="I5" s="411"/>
      <c r="J5" s="411"/>
      <c r="K5" s="412"/>
    </row>
    <row r="6">
      <c r="A6" s="422"/>
      <c r="B6" s="422" t="s">
        <v>333</v>
      </c>
      <c r="C6" s="419" t="s">
        <v>336</v>
      </c>
      <c r="G6" s="426"/>
      <c r="H6" s="412"/>
      <c r="I6" s="411"/>
      <c r="J6" s="411"/>
      <c r="K6" s="412"/>
    </row>
    <row r="7">
      <c r="A7" s="422"/>
      <c r="B7" s="422" t="s">
        <v>333</v>
      </c>
      <c r="C7" s="419" t="s">
        <v>338</v>
      </c>
      <c r="G7" s="426"/>
      <c r="H7" s="412"/>
      <c r="I7" s="411"/>
      <c r="J7" s="411"/>
      <c r="K7" s="412"/>
    </row>
    <row r="8">
      <c r="A8" s="428"/>
      <c r="B8" s="428"/>
      <c r="C8" s="429"/>
      <c r="D8" s="429"/>
      <c r="E8" s="429"/>
      <c r="F8" s="429"/>
      <c r="G8" s="429"/>
      <c r="H8" s="412"/>
      <c r="I8" s="411"/>
      <c r="J8" s="411"/>
      <c r="K8" s="412"/>
    </row>
    <row r="9">
      <c r="A9" s="428"/>
      <c r="B9" s="428"/>
      <c r="C9" s="429"/>
      <c r="D9" s="429"/>
      <c r="E9" s="429"/>
      <c r="F9" s="429"/>
      <c r="G9" s="429"/>
      <c r="H9" s="412"/>
      <c r="I9" s="411"/>
      <c r="J9" s="411"/>
      <c r="K9" s="412"/>
    </row>
    <row r="10">
      <c r="A10" s="428"/>
      <c r="B10" s="430" t="s">
        <v>339</v>
      </c>
      <c r="C10" s="79"/>
      <c r="D10" s="79"/>
      <c r="E10" s="79"/>
      <c r="F10" s="79"/>
      <c r="G10" s="431"/>
      <c r="H10" s="432"/>
      <c r="I10" s="79"/>
      <c r="J10" s="433"/>
      <c r="K10" s="412"/>
    </row>
    <row r="11">
      <c r="A11" s="428"/>
      <c r="B11" s="434" t="s">
        <v>340</v>
      </c>
      <c r="C11" s="435" t="s">
        <v>341</v>
      </c>
      <c r="G11" s="436"/>
      <c r="J11" s="437"/>
      <c r="K11" s="412"/>
    </row>
    <row r="12">
      <c r="A12" s="428"/>
      <c r="B12" s="434" t="s">
        <v>342</v>
      </c>
      <c r="C12" s="435" t="s">
        <v>343</v>
      </c>
      <c r="G12" s="436"/>
      <c r="J12" s="437"/>
      <c r="K12" s="412"/>
    </row>
    <row r="13">
      <c r="A13" s="428"/>
      <c r="B13" s="438"/>
      <c r="C13" s="435" t="s">
        <v>344</v>
      </c>
      <c r="G13" s="436"/>
      <c r="J13" s="437"/>
      <c r="K13" s="412"/>
    </row>
    <row r="14">
      <c r="A14" s="428"/>
      <c r="B14" s="438"/>
      <c r="C14" s="435" t="s">
        <v>345</v>
      </c>
      <c r="G14" s="436"/>
      <c r="J14" s="437"/>
      <c r="K14" s="412"/>
    </row>
    <row r="15">
      <c r="A15" s="428"/>
      <c r="B15" s="439"/>
      <c r="C15" s="435" t="s">
        <v>346</v>
      </c>
      <c r="G15" s="436"/>
      <c r="J15" s="437"/>
      <c r="K15" s="412"/>
    </row>
    <row r="16" ht="47.25" customHeight="1">
      <c r="A16" s="428"/>
      <c r="B16" s="440" t="s">
        <v>347</v>
      </c>
      <c r="C16" s="435" t="s">
        <v>348</v>
      </c>
      <c r="G16" s="436"/>
      <c r="J16" s="437"/>
      <c r="K16" s="412"/>
    </row>
    <row r="17" ht="45.75" customHeight="1">
      <c r="A17" s="428"/>
      <c r="B17" s="441" t="s">
        <v>349</v>
      </c>
      <c r="C17" s="94"/>
      <c r="D17" s="94"/>
      <c r="E17" s="94"/>
      <c r="F17" s="94"/>
      <c r="G17" s="442"/>
      <c r="H17" s="94"/>
      <c r="I17" s="94"/>
      <c r="J17" s="443"/>
      <c r="K17" s="412"/>
    </row>
    <row r="18">
      <c r="A18" s="428"/>
      <c r="B18" s="428"/>
      <c r="C18" s="429"/>
      <c r="D18" s="429"/>
      <c r="E18" s="429"/>
      <c r="F18" s="429"/>
      <c r="G18" s="429"/>
      <c r="H18" s="412"/>
      <c r="I18" s="411"/>
      <c r="J18" s="411"/>
      <c r="K18" s="412"/>
    </row>
    <row r="19">
      <c r="A19" s="428"/>
      <c r="B19" s="428"/>
      <c r="C19" s="429"/>
      <c r="D19" s="429"/>
      <c r="E19" s="429"/>
      <c r="F19" s="429"/>
      <c r="G19" s="429"/>
      <c r="H19" s="412"/>
      <c r="I19" s="411"/>
      <c r="J19" s="411"/>
      <c r="K19" s="412"/>
    </row>
    <row r="20" ht="41.25" customHeight="1">
      <c r="A20" s="428"/>
      <c r="B20" s="430" t="s">
        <v>351</v>
      </c>
      <c r="C20" s="79"/>
      <c r="D20" s="79"/>
      <c r="E20" s="79"/>
      <c r="F20" s="79"/>
      <c r="G20" s="431"/>
      <c r="H20" s="432"/>
      <c r="I20" s="79"/>
      <c r="J20" s="433"/>
      <c r="K20" s="445"/>
    </row>
    <row r="21" ht="22.5" customHeight="1">
      <c r="A21" s="446"/>
      <c r="B21" s="434" t="s">
        <v>340</v>
      </c>
      <c r="C21" s="435" t="s">
        <v>341</v>
      </c>
      <c r="G21" s="436"/>
      <c r="J21" s="437"/>
      <c r="K21" s="445"/>
    </row>
    <row r="22" ht="22.5" customHeight="1">
      <c r="A22" s="446"/>
      <c r="B22" s="434" t="s">
        <v>342</v>
      </c>
      <c r="C22" s="435" t="s">
        <v>354</v>
      </c>
      <c r="G22" s="436"/>
      <c r="J22" s="437"/>
      <c r="K22" s="445"/>
    </row>
    <row r="23" ht="22.5" customHeight="1">
      <c r="A23" s="447"/>
      <c r="B23" s="438"/>
      <c r="C23" s="435" t="s">
        <v>357</v>
      </c>
      <c r="G23" s="436"/>
      <c r="J23" s="437"/>
      <c r="K23" s="445"/>
    </row>
    <row r="24" ht="22.5" customHeight="1">
      <c r="A24" s="447"/>
      <c r="B24" s="438"/>
      <c r="C24" s="435" t="s">
        <v>345</v>
      </c>
      <c r="G24" s="436"/>
      <c r="J24" s="437"/>
      <c r="K24" s="445"/>
    </row>
    <row r="25">
      <c r="A25" s="448"/>
      <c r="B25" s="439"/>
      <c r="C25" s="435" t="s">
        <v>358</v>
      </c>
      <c r="G25" s="436"/>
      <c r="J25" s="437"/>
      <c r="K25" s="445"/>
    </row>
    <row r="26" ht="51.75" customHeight="1">
      <c r="A26" s="448"/>
      <c r="B26" s="434" t="s">
        <v>347</v>
      </c>
      <c r="C26" s="435" t="s">
        <v>359</v>
      </c>
      <c r="G26" s="436"/>
      <c r="J26" s="437"/>
      <c r="K26" s="445"/>
    </row>
    <row r="27">
      <c r="A27" s="449"/>
      <c r="B27" s="441" t="s">
        <v>360</v>
      </c>
      <c r="C27" s="94"/>
      <c r="D27" s="94"/>
      <c r="E27" s="94"/>
      <c r="F27" s="94"/>
      <c r="G27" s="442"/>
      <c r="H27" s="94"/>
      <c r="I27" s="94"/>
      <c r="J27" s="443"/>
      <c r="K27" s="445"/>
    </row>
    <row r="28">
      <c r="A28" s="447"/>
      <c r="B28" s="450"/>
      <c r="C28" s="411"/>
      <c r="D28" s="411"/>
      <c r="E28" s="411"/>
      <c r="F28" s="411"/>
      <c r="G28" s="412"/>
      <c r="H28" s="411"/>
      <c r="I28" s="411"/>
      <c r="J28" s="411"/>
      <c r="K28" s="412"/>
    </row>
    <row r="29" ht="41.25" customHeight="1">
      <c r="A29" s="428"/>
      <c r="B29" s="451" t="s">
        <v>362</v>
      </c>
      <c r="C29" s="79"/>
      <c r="D29" s="79"/>
      <c r="E29" s="79"/>
      <c r="F29" s="79"/>
      <c r="G29" s="452"/>
      <c r="H29" s="453"/>
      <c r="I29" s="79"/>
      <c r="J29" s="454"/>
      <c r="K29" s="445"/>
    </row>
    <row r="30" ht="22.5" customHeight="1">
      <c r="A30" s="446"/>
      <c r="B30" s="456" t="s">
        <v>340</v>
      </c>
      <c r="C30" s="457" t="s">
        <v>341</v>
      </c>
      <c r="G30" s="458"/>
      <c r="J30" s="460"/>
      <c r="K30" s="445"/>
    </row>
    <row r="31" ht="22.5" customHeight="1">
      <c r="A31" s="446"/>
      <c r="B31" s="456" t="s">
        <v>342</v>
      </c>
      <c r="C31" s="457" t="s">
        <v>365</v>
      </c>
      <c r="G31" s="458"/>
      <c r="J31" s="460"/>
      <c r="K31" s="445"/>
    </row>
    <row r="32" ht="22.5" customHeight="1">
      <c r="A32" s="447"/>
      <c r="B32" s="461"/>
      <c r="C32" s="435" t="s">
        <v>366</v>
      </c>
      <c r="G32" s="458"/>
      <c r="J32" s="460"/>
      <c r="K32" s="445"/>
    </row>
    <row r="33" ht="22.5" customHeight="1">
      <c r="A33" s="448"/>
      <c r="B33" s="463"/>
      <c r="C33" s="435" t="s">
        <v>367</v>
      </c>
      <c r="G33" s="458"/>
      <c r="J33" s="460"/>
      <c r="K33" s="445"/>
    </row>
    <row r="34" ht="22.5" customHeight="1">
      <c r="A34" s="448"/>
      <c r="B34" s="463"/>
      <c r="C34" s="435" t="s">
        <v>368</v>
      </c>
      <c r="G34" s="458"/>
      <c r="J34" s="460"/>
      <c r="K34" s="445"/>
    </row>
    <row r="35">
      <c r="A35" s="449"/>
      <c r="B35" s="464" t="s">
        <v>369</v>
      </c>
      <c r="C35" s="94"/>
      <c r="D35" s="94"/>
      <c r="E35" s="94"/>
      <c r="F35" s="94"/>
      <c r="G35" s="465"/>
      <c r="H35" s="94"/>
      <c r="I35" s="94"/>
      <c r="J35" s="467"/>
      <c r="K35" s="445"/>
    </row>
    <row r="36">
      <c r="A36" s="447"/>
      <c r="B36" s="469"/>
      <c r="C36" s="470"/>
      <c r="D36" s="470"/>
      <c r="E36" s="470"/>
      <c r="F36" s="470"/>
      <c r="G36" s="471"/>
      <c r="H36" s="470"/>
      <c r="I36" s="470"/>
      <c r="J36" s="470"/>
      <c r="K36" s="412"/>
    </row>
    <row r="37">
      <c r="A37" s="428"/>
      <c r="B37" s="451" t="s">
        <v>371</v>
      </c>
      <c r="C37" s="79"/>
      <c r="D37" s="79"/>
      <c r="E37" s="79"/>
      <c r="F37" s="80"/>
      <c r="G37" s="452"/>
      <c r="H37" s="453"/>
      <c r="I37" s="79"/>
      <c r="J37" s="454"/>
      <c r="K37" s="445"/>
    </row>
    <row r="38" ht="22.5" customHeight="1">
      <c r="A38" s="446"/>
      <c r="B38" s="456" t="s">
        <v>340</v>
      </c>
      <c r="C38" s="473" t="s">
        <v>341</v>
      </c>
      <c r="F38" s="89"/>
      <c r="G38" s="475"/>
      <c r="J38" s="460"/>
      <c r="K38" s="445"/>
    </row>
    <row r="39" ht="22.5" customHeight="1">
      <c r="A39" s="446"/>
      <c r="B39" s="456" t="s">
        <v>342</v>
      </c>
      <c r="C39" s="473" t="s">
        <v>365</v>
      </c>
      <c r="F39" s="89"/>
      <c r="G39" s="475"/>
      <c r="J39" s="460"/>
      <c r="K39" s="445"/>
    </row>
    <row r="40" ht="22.5" customHeight="1">
      <c r="A40" s="447"/>
      <c r="B40" s="461"/>
      <c r="C40" s="435" t="s">
        <v>372</v>
      </c>
      <c r="G40" s="475"/>
      <c r="J40" s="460"/>
      <c r="K40" s="445"/>
    </row>
    <row r="41" ht="22.5" customHeight="1">
      <c r="A41" s="448"/>
      <c r="B41" s="463"/>
      <c r="C41" s="435" t="s">
        <v>373</v>
      </c>
      <c r="G41" s="475"/>
      <c r="J41" s="460"/>
      <c r="K41" s="445"/>
    </row>
    <row r="42" ht="22.5" customHeight="1">
      <c r="A42" s="448"/>
      <c r="B42" s="463"/>
      <c r="C42" s="435" t="s">
        <v>374</v>
      </c>
      <c r="G42" s="475"/>
      <c r="J42" s="460"/>
      <c r="K42" s="445"/>
    </row>
    <row r="43">
      <c r="A43" s="449"/>
      <c r="B43" s="464" t="s">
        <v>375</v>
      </c>
      <c r="C43" s="94"/>
      <c r="D43" s="94"/>
      <c r="E43" s="94"/>
      <c r="F43" s="95"/>
      <c r="G43" s="465"/>
      <c r="H43" s="94"/>
      <c r="I43" s="94"/>
      <c r="J43" s="467"/>
      <c r="K43" s="445"/>
    </row>
    <row r="44">
      <c r="A44" s="447"/>
      <c r="B44" s="450"/>
      <c r="C44" s="411"/>
      <c r="D44" s="411"/>
      <c r="E44" s="411"/>
      <c r="F44" s="411"/>
      <c r="G44" s="412"/>
      <c r="H44" s="411"/>
      <c r="I44" s="411"/>
      <c r="J44" s="411"/>
      <c r="K44" s="412"/>
    </row>
    <row r="45">
      <c r="A45" s="485" t="s">
        <v>377</v>
      </c>
    </row>
  </sheetData>
  <mergeCells count="41">
    <mergeCell ref="C16:F16"/>
    <mergeCell ref="B17:F17"/>
    <mergeCell ref="B20:F20"/>
    <mergeCell ref="H20:I27"/>
    <mergeCell ref="C21:F21"/>
    <mergeCell ref="C22:F22"/>
    <mergeCell ref="C23:F23"/>
    <mergeCell ref="C32:F32"/>
    <mergeCell ref="C38:F38"/>
    <mergeCell ref="C39:F39"/>
    <mergeCell ref="C40:F40"/>
    <mergeCell ref="C41:F41"/>
    <mergeCell ref="C42:F42"/>
    <mergeCell ref="C26:F26"/>
    <mergeCell ref="B27:F27"/>
    <mergeCell ref="B29:F29"/>
    <mergeCell ref="H29:I35"/>
    <mergeCell ref="C30:F30"/>
    <mergeCell ref="C31:F31"/>
    <mergeCell ref="H37:I43"/>
    <mergeCell ref="B43:F43"/>
    <mergeCell ref="B10:F10"/>
    <mergeCell ref="C11:F11"/>
    <mergeCell ref="C12:F12"/>
    <mergeCell ref="C13:F13"/>
    <mergeCell ref="C14:F14"/>
    <mergeCell ref="C15:F15"/>
    <mergeCell ref="A1:K1"/>
    <mergeCell ref="A2:K2"/>
    <mergeCell ref="B4:F4"/>
    <mergeCell ref="C5:F5"/>
    <mergeCell ref="C6:F6"/>
    <mergeCell ref="C7:F7"/>
    <mergeCell ref="H10:I17"/>
    <mergeCell ref="C24:F24"/>
    <mergeCell ref="C25:F25"/>
    <mergeCell ref="C33:F33"/>
    <mergeCell ref="C34:F34"/>
    <mergeCell ref="B35:F35"/>
    <mergeCell ref="B37:F37"/>
    <mergeCell ref="A45:K45"/>
  </mergeCells>
  <hyperlinks>
    <hyperlink r:id="rId1" ref="A2"/>
    <hyperlink display="CREATE NEW PROJECT" location="'SUN GSuite Kit Guideline tạo th'!B10:F10" ref="C5"/>
    <hyperlink display="TRANSFER OWNERSHIP" location="'SUN GSuite Kit Guideline tạo th'!B29:F29" ref="C6"/>
    <hyperlink display="REMOVE SHARING" location="'SUN GSuite Kit Guideline tạo th'!B37:F37" ref="C7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31" width="3.25"/>
  </cols>
  <sheetData>
    <row r="1" ht="36.75" customHeight="1">
      <c r="A1" s="490" t="s">
        <v>382</v>
      </c>
    </row>
    <row r="2">
      <c r="A2" s="491" t="s">
        <v>383</v>
      </c>
      <c r="B2" s="492" t="s">
        <v>384</v>
      </c>
    </row>
    <row r="3">
      <c r="A3" s="493" t="s">
        <v>385</v>
      </c>
      <c r="B3" s="494" t="s">
        <v>386</v>
      </c>
      <c r="C3" s="495"/>
      <c r="D3" s="495"/>
      <c r="E3" s="495"/>
      <c r="F3" s="495"/>
      <c r="G3" s="495"/>
      <c r="H3" s="495"/>
      <c r="I3" s="495"/>
      <c r="J3" s="495"/>
      <c r="K3" s="495"/>
      <c r="L3" s="495"/>
      <c r="M3" s="495"/>
      <c r="N3" s="495"/>
      <c r="O3" s="495"/>
      <c r="P3" s="495"/>
      <c r="Q3" s="495"/>
      <c r="R3" s="495"/>
      <c r="S3" s="495"/>
      <c r="T3" s="495"/>
      <c r="U3" s="495"/>
      <c r="V3" s="495"/>
      <c r="W3" s="495"/>
      <c r="X3" s="495"/>
      <c r="Y3" s="495"/>
      <c r="Z3" s="495"/>
      <c r="AA3" s="495"/>
      <c r="AB3" s="495"/>
      <c r="AC3" s="495"/>
      <c r="AD3" s="495"/>
      <c r="AE3" s="495"/>
    </row>
    <row r="4">
      <c r="A4" s="493" t="s">
        <v>385</v>
      </c>
      <c r="B4" s="499" t="s">
        <v>389</v>
      </c>
      <c r="C4" s="500"/>
      <c r="D4" s="500"/>
      <c r="E4" s="500"/>
      <c r="F4" s="500"/>
      <c r="G4" s="500"/>
      <c r="H4" s="500"/>
      <c r="I4" s="500"/>
      <c r="J4" s="500"/>
      <c r="K4" s="500"/>
      <c r="L4" s="500"/>
      <c r="M4" s="500"/>
      <c r="N4" s="500"/>
      <c r="O4" s="500"/>
      <c r="P4" s="500"/>
      <c r="Q4" s="500"/>
      <c r="R4" s="500"/>
      <c r="S4" s="500"/>
      <c r="T4" s="500"/>
      <c r="U4" s="500"/>
      <c r="V4" s="500"/>
      <c r="W4" s="500"/>
      <c r="X4" s="500"/>
      <c r="Y4" s="500"/>
      <c r="Z4" s="500"/>
      <c r="AA4" s="500"/>
      <c r="AB4" s="500"/>
      <c r="AC4" s="500"/>
      <c r="AD4" s="500"/>
      <c r="AE4" s="500"/>
    </row>
    <row r="5">
      <c r="A5" s="501"/>
      <c r="B5" s="499" t="s">
        <v>45</v>
      </c>
      <c r="C5" s="499" t="s">
        <v>390</v>
      </c>
      <c r="D5" s="500"/>
      <c r="E5" s="500"/>
      <c r="F5" s="500"/>
      <c r="G5" s="500"/>
      <c r="H5" s="500"/>
      <c r="I5" s="500"/>
      <c r="J5" s="500"/>
      <c r="K5" s="500"/>
      <c r="L5" s="500"/>
      <c r="M5" s="500"/>
      <c r="N5" s="500"/>
      <c r="O5" s="500"/>
      <c r="P5" s="500"/>
      <c r="Q5" s="500"/>
      <c r="R5" s="500"/>
      <c r="S5" s="500"/>
      <c r="T5" s="500"/>
      <c r="U5" s="500"/>
      <c r="V5" s="500"/>
      <c r="W5" s="500"/>
      <c r="X5" s="500"/>
      <c r="Y5" s="500"/>
      <c r="Z5" s="500"/>
      <c r="AA5" s="500"/>
      <c r="AB5" s="500"/>
      <c r="AC5" s="500"/>
      <c r="AD5" s="500"/>
      <c r="AE5" s="500"/>
    </row>
    <row r="6">
      <c r="A6" s="501"/>
      <c r="B6" s="499" t="s">
        <v>45</v>
      </c>
      <c r="C6" s="499" t="s">
        <v>391</v>
      </c>
      <c r="D6" s="500"/>
      <c r="E6" s="500"/>
      <c r="F6" s="500"/>
      <c r="G6" s="500"/>
      <c r="H6" s="500"/>
      <c r="I6" s="500"/>
      <c r="J6" s="500"/>
      <c r="K6" s="500"/>
      <c r="L6" s="500"/>
      <c r="M6" s="500"/>
      <c r="N6" s="500"/>
      <c r="O6" s="500"/>
      <c r="P6" s="500"/>
      <c r="Q6" s="500"/>
      <c r="R6" s="500"/>
      <c r="S6" s="500"/>
      <c r="T6" s="500"/>
      <c r="U6" s="500"/>
      <c r="V6" s="500"/>
      <c r="W6" s="500"/>
      <c r="X6" s="500"/>
      <c r="Y6" s="500"/>
      <c r="Z6" s="500"/>
      <c r="AA6" s="500"/>
      <c r="AB6" s="500"/>
      <c r="AC6" s="500"/>
      <c r="AD6" s="500"/>
      <c r="AE6" s="500"/>
    </row>
    <row r="7">
      <c r="A7" s="501"/>
      <c r="B7" s="499" t="s">
        <v>45</v>
      </c>
      <c r="C7" s="499" t="s">
        <v>392</v>
      </c>
      <c r="D7" s="500"/>
      <c r="E7" s="500"/>
      <c r="F7" s="500"/>
      <c r="G7" s="500"/>
      <c r="H7" s="500"/>
      <c r="I7" s="500"/>
      <c r="J7" s="500"/>
      <c r="K7" s="500"/>
      <c r="L7" s="500"/>
      <c r="M7" s="500"/>
      <c r="N7" s="500"/>
      <c r="O7" s="500"/>
      <c r="P7" s="500"/>
      <c r="Q7" s="500"/>
      <c r="R7" s="500"/>
      <c r="S7" s="500"/>
      <c r="T7" s="500"/>
      <c r="U7" s="500"/>
      <c r="V7" s="500"/>
      <c r="W7" s="500"/>
      <c r="X7" s="500"/>
      <c r="Y7" s="500"/>
      <c r="Z7" s="500"/>
      <c r="AA7" s="500"/>
      <c r="AB7" s="500"/>
      <c r="AC7" s="500"/>
      <c r="AD7" s="500"/>
      <c r="AE7" s="500"/>
    </row>
    <row r="8">
      <c r="A8" s="503" t="s">
        <v>393</v>
      </c>
    </row>
    <row r="9">
      <c r="A9" s="491" t="s">
        <v>394</v>
      </c>
      <c r="B9" s="492" t="s">
        <v>395</v>
      </c>
    </row>
    <row r="10">
      <c r="A10" s="501"/>
      <c r="B10" s="506" t="s">
        <v>396</v>
      </c>
      <c r="C10" s="507"/>
      <c r="D10" s="507"/>
      <c r="E10" s="507"/>
      <c r="F10" s="507"/>
      <c r="G10" s="507"/>
      <c r="H10" s="507"/>
      <c r="I10" s="507"/>
      <c r="J10" s="507"/>
      <c r="K10" s="507"/>
      <c r="L10" s="507"/>
      <c r="M10" s="507"/>
      <c r="N10" s="507"/>
      <c r="O10" s="507"/>
      <c r="P10" s="507"/>
      <c r="Q10" s="507"/>
      <c r="R10" s="507"/>
      <c r="S10" s="507"/>
      <c r="T10" s="507"/>
      <c r="U10" s="507"/>
      <c r="V10" s="507"/>
      <c r="W10" s="507"/>
      <c r="X10" s="507"/>
      <c r="Y10" s="495"/>
      <c r="Z10" s="495"/>
      <c r="AA10" s="495"/>
      <c r="AB10" s="495"/>
      <c r="AC10" s="495"/>
      <c r="AD10" s="495"/>
      <c r="AE10" s="495"/>
    </row>
    <row r="11">
      <c r="A11" s="493">
        <v>1.0</v>
      </c>
      <c r="B11" s="494" t="s">
        <v>399</v>
      </c>
      <c r="C11" s="495"/>
      <c r="D11" s="495"/>
      <c r="E11" s="495"/>
      <c r="F11" s="495"/>
      <c r="G11" s="495"/>
      <c r="H11" s="495"/>
      <c r="I11" s="495"/>
      <c r="J11" s="495"/>
      <c r="K11" s="495"/>
      <c r="L11" s="495"/>
      <c r="M11" s="495"/>
      <c r="N11" s="495"/>
      <c r="O11" s="495"/>
      <c r="P11" s="495"/>
      <c r="Q11" s="495"/>
      <c r="R11" s="495"/>
      <c r="S11" s="495"/>
      <c r="T11" s="495"/>
      <c r="U11" s="495"/>
      <c r="V11" s="495"/>
      <c r="W11" s="495"/>
      <c r="X11" s="495"/>
      <c r="Y11" s="495"/>
      <c r="Z11" s="495"/>
      <c r="AA11" s="495"/>
      <c r="AB11" s="495"/>
      <c r="AC11" s="495"/>
      <c r="AD11" s="495"/>
      <c r="AE11" s="495"/>
    </row>
    <row r="12">
      <c r="A12" s="493"/>
      <c r="B12" s="493" t="s">
        <v>385</v>
      </c>
      <c r="C12" s="509" t="s">
        <v>400</v>
      </c>
      <c r="D12" s="495"/>
      <c r="E12" s="495"/>
      <c r="F12" s="495"/>
      <c r="G12" s="495"/>
      <c r="H12" s="495"/>
      <c r="I12" s="495"/>
      <c r="J12" s="495"/>
      <c r="K12" s="495"/>
      <c r="L12" s="495"/>
      <c r="M12" s="495"/>
      <c r="N12" s="495"/>
      <c r="O12" s="495"/>
      <c r="P12" s="495"/>
      <c r="Q12" s="495"/>
      <c r="R12" s="495"/>
      <c r="S12" s="495"/>
      <c r="T12" s="495"/>
      <c r="U12" s="495"/>
      <c r="V12" s="495"/>
      <c r="W12" s="495"/>
      <c r="X12" s="495"/>
      <c r="Y12" s="495"/>
      <c r="Z12" s="495"/>
      <c r="AA12" s="495"/>
      <c r="AB12" s="495"/>
      <c r="AC12" s="495"/>
      <c r="AD12" s="495"/>
      <c r="AE12" s="495"/>
    </row>
    <row r="13">
      <c r="A13" s="512">
        <v>2.0</v>
      </c>
      <c r="B13" s="513" t="s">
        <v>402</v>
      </c>
    </row>
    <row r="14">
      <c r="A14" s="493">
        <v>3.0</v>
      </c>
      <c r="B14" s="494" t="s">
        <v>403</v>
      </c>
      <c r="C14" s="495"/>
      <c r="D14" s="495"/>
      <c r="E14" s="495"/>
      <c r="F14" s="495"/>
      <c r="G14" s="495"/>
      <c r="H14" s="495"/>
      <c r="I14" s="495"/>
      <c r="J14" s="495"/>
      <c r="K14" s="495"/>
      <c r="L14" s="495"/>
      <c r="M14" s="495"/>
      <c r="N14" s="495"/>
      <c r="O14" s="495"/>
      <c r="P14" s="495"/>
      <c r="Q14" s="495"/>
      <c r="R14" s="495"/>
      <c r="S14" s="495"/>
      <c r="T14" s="495"/>
      <c r="U14" s="495"/>
      <c r="V14" s="495"/>
      <c r="W14" s="495"/>
      <c r="X14" s="495"/>
      <c r="Y14" s="495"/>
      <c r="Z14" s="495"/>
      <c r="AA14" s="495"/>
      <c r="AB14" s="495"/>
      <c r="AC14" s="495"/>
      <c r="AD14" s="495"/>
      <c r="AE14" s="495"/>
    </row>
    <row r="15">
      <c r="A15" s="501"/>
      <c r="B15" s="495" t="s">
        <v>405</v>
      </c>
      <c r="C15" s="495"/>
      <c r="D15" s="514"/>
      <c r="E15" s="495"/>
      <c r="F15" s="495"/>
      <c r="G15" s="514"/>
      <c r="H15" s="518" t="s">
        <v>406</v>
      </c>
      <c r="I15" s="495"/>
      <c r="J15" s="495"/>
      <c r="K15" s="495"/>
      <c r="L15" s="495"/>
      <c r="M15" s="495"/>
      <c r="N15" s="495"/>
      <c r="O15" s="495"/>
      <c r="P15" s="495"/>
      <c r="Q15" s="514"/>
      <c r="R15" s="495"/>
      <c r="S15" s="495"/>
      <c r="T15" s="495"/>
      <c r="U15" s="495"/>
      <c r="V15" s="495"/>
      <c r="W15" s="495"/>
      <c r="X15" s="495"/>
      <c r="Y15" s="495"/>
      <c r="Z15" s="495"/>
      <c r="AA15" s="495"/>
      <c r="AB15" s="495"/>
      <c r="AC15" s="495"/>
      <c r="AD15" s="495"/>
      <c r="AE15" s="495"/>
    </row>
    <row r="16">
      <c r="A16" s="495"/>
      <c r="B16" s="495" t="s">
        <v>409</v>
      </c>
      <c r="C16" s="495"/>
      <c r="D16" s="495"/>
      <c r="E16" s="495"/>
      <c r="F16" s="495"/>
      <c r="G16" s="514"/>
      <c r="H16" s="509" t="s">
        <v>410</v>
      </c>
      <c r="I16" s="495"/>
      <c r="J16" s="495"/>
      <c r="K16" s="495"/>
      <c r="L16" s="495"/>
      <c r="M16" s="495"/>
      <c r="N16" s="495"/>
      <c r="O16" s="495"/>
      <c r="P16" s="495"/>
      <c r="Q16" s="495"/>
      <c r="R16" s="495"/>
      <c r="S16" s="495"/>
      <c r="T16" s="495"/>
      <c r="U16" s="495"/>
      <c r="V16" s="495"/>
      <c r="W16" s="495"/>
      <c r="X16" s="495"/>
      <c r="Y16" s="495"/>
      <c r="Z16" s="495"/>
      <c r="AA16" s="495"/>
      <c r="AB16" s="495"/>
      <c r="AC16" s="495"/>
      <c r="AD16" s="495"/>
      <c r="AE16" s="495"/>
    </row>
    <row r="17">
      <c r="A17" s="495"/>
      <c r="B17" s="495"/>
      <c r="C17" s="495"/>
      <c r="D17" s="495"/>
      <c r="E17" s="495"/>
      <c r="F17" s="495"/>
      <c r="G17" s="514"/>
      <c r="H17" s="494"/>
      <c r="I17" s="495"/>
      <c r="J17" s="495"/>
      <c r="K17" s="495"/>
      <c r="L17" s="495"/>
      <c r="M17" s="495"/>
      <c r="N17" s="495"/>
      <c r="O17" s="495"/>
      <c r="P17" s="495"/>
      <c r="Q17" s="495"/>
      <c r="R17" s="495"/>
      <c r="S17" s="495"/>
      <c r="T17" s="495"/>
      <c r="U17" s="495"/>
      <c r="V17" s="495"/>
      <c r="W17" s="495"/>
      <c r="X17" s="495"/>
      <c r="Y17" s="495"/>
      <c r="Z17" s="495"/>
      <c r="AA17" s="495"/>
      <c r="AB17" s="495"/>
      <c r="AC17" s="495"/>
      <c r="AD17" s="495"/>
      <c r="AE17" s="495"/>
    </row>
    <row r="18">
      <c r="A18" s="495"/>
      <c r="B18" s="495"/>
      <c r="C18" s="495"/>
      <c r="D18" s="495"/>
      <c r="E18" s="495"/>
      <c r="F18" s="495"/>
      <c r="G18" s="514"/>
      <c r="H18" s="494"/>
      <c r="I18" s="495"/>
      <c r="J18" s="495"/>
      <c r="K18" s="495"/>
      <c r="L18" s="495"/>
      <c r="M18" s="495"/>
      <c r="N18" s="495"/>
      <c r="O18" s="495"/>
      <c r="P18" s="495"/>
      <c r="Q18" s="495"/>
      <c r="R18" s="495"/>
      <c r="S18" s="495"/>
      <c r="T18" s="495"/>
      <c r="U18" s="495"/>
      <c r="V18" s="495"/>
      <c r="W18" s="495"/>
      <c r="X18" s="495"/>
      <c r="Y18" s="495"/>
      <c r="Z18" s="495"/>
      <c r="AA18" s="495"/>
      <c r="AB18" s="495"/>
      <c r="AC18" s="495"/>
      <c r="AD18" s="495"/>
      <c r="AE18" s="495"/>
    </row>
    <row r="19">
      <c r="A19" s="493">
        <v>4.0</v>
      </c>
      <c r="B19" s="494" t="s">
        <v>411</v>
      </c>
      <c r="C19" s="495"/>
      <c r="D19" s="495"/>
      <c r="E19" s="495"/>
      <c r="F19" s="495"/>
      <c r="G19" s="495"/>
      <c r="H19" s="495"/>
      <c r="I19" s="495"/>
      <c r="J19" s="495"/>
      <c r="K19" s="495"/>
      <c r="L19" s="495"/>
      <c r="M19" s="495"/>
      <c r="N19" s="495"/>
      <c r="O19" s="495"/>
      <c r="P19" s="495"/>
      <c r="Q19" s="495"/>
      <c r="R19" s="495"/>
      <c r="S19" s="495"/>
      <c r="T19" s="495"/>
      <c r="U19" s="495"/>
      <c r="V19" s="495"/>
      <c r="W19" s="495"/>
      <c r="X19" s="495"/>
      <c r="Y19" s="495"/>
      <c r="Z19" s="495"/>
      <c r="AA19" s="495"/>
      <c r="AB19" s="495"/>
      <c r="AC19" s="495"/>
      <c r="AD19" s="495"/>
      <c r="AE19" s="495"/>
    </row>
    <row r="20">
      <c r="A20" s="501"/>
      <c r="B20" s="495"/>
      <c r="C20" s="528" t="s">
        <v>412</v>
      </c>
      <c r="D20" s="529"/>
      <c r="E20" s="529"/>
      <c r="F20" s="529"/>
      <c r="G20" s="529"/>
      <c r="H20" s="529"/>
      <c r="I20" s="529"/>
      <c r="J20" s="529"/>
      <c r="K20" s="529"/>
      <c r="L20" s="529"/>
      <c r="M20" s="529"/>
      <c r="N20" s="529"/>
      <c r="O20" s="529"/>
      <c r="P20" s="529"/>
      <c r="Q20" s="529"/>
      <c r="R20" s="529"/>
      <c r="S20" s="529"/>
      <c r="T20" s="529"/>
      <c r="U20" s="529"/>
      <c r="V20" s="529"/>
      <c r="W20" s="529"/>
      <c r="X20" s="529"/>
      <c r="Y20" s="529"/>
      <c r="Z20" s="529"/>
      <c r="AA20" s="529"/>
      <c r="AB20" s="529"/>
      <c r="AC20" s="495"/>
      <c r="AD20" s="495"/>
      <c r="AE20" s="495"/>
    </row>
    <row r="21">
      <c r="A21" s="501"/>
      <c r="B21" s="495"/>
      <c r="C21" s="530" t="s">
        <v>413</v>
      </c>
      <c r="D21" s="529"/>
      <c r="E21" s="529"/>
      <c r="F21" s="529"/>
      <c r="G21" s="529"/>
      <c r="H21" s="529"/>
      <c r="I21" s="529"/>
      <c r="J21" s="529"/>
      <c r="K21" s="529"/>
      <c r="L21" s="529"/>
      <c r="M21" s="529"/>
      <c r="N21" s="529"/>
      <c r="O21" s="529"/>
      <c r="P21" s="529"/>
      <c r="Q21" s="529"/>
      <c r="R21" s="529"/>
      <c r="S21" s="529"/>
      <c r="T21" s="529"/>
      <c r="U21" s="529"/>
      <c r="V21" s="529"/>
      <c r="W21" s="529"/>
      <c r="X21" s="529"/>
      <c r="Y21" s="529"/>
      <c r="Z21" s="529"/>
      <c r="AA21" s="529"/>
      <c r="AB21" s="529"/>
      <c r="AC21" s="495"/>
      <c r="AD21" s="495"/>
      <c r="AE21" s="495"/>
    </row>
    <row r="22">
      <c r="A22" s="501"/>
      <c r="B22" s="495"/>
      <c r="C22" s="530" t="s">
        <v>414</v>
      </c>
      <c r="D22" s="529"/>
      <c r="E22" s="529"/>
      <c r="F22" s="529"/>
      <c r="G22" s="529"/>
      <c r="H22" s="529"/>
      <c r="I22" s="529"/>
      <c r="J22" s="529"/>
      <c r="K22" s="529"/>
      <c r="L22" s="529"/>
      <c r="M22" s="529"/>
      <c r="N22" s="529"/>
      <c r="O22" s="529"/>
      <c r="P22" s="529"/>
      <c r="Q22" s="529"/>
      <c r="R22" s="529"/>
      <c r="S22" s="529"/>
      <c r="T22" s="529"/>
      <c r="U22" s="529"/>
      <c r="V22" s="529"/>
      <c r="W22" s="529"/>
      <c r="X22" s="529"/>
      <c r="Y22" s="529"/>
      <c r="Z22" s="529"/>
      <c r="AA22" s="529"/>
      <c r="AB22" s="529"/>
      <c r="AC22" s="495"/>
      <c r="AD22" s="495"/>
      <c r="AE22" s="495"/>
    </row>
    <row r="23">
      <c r="A23" s="491"/>
      <c r="B23" s="491"/>
      <c r="C23" s="491"/>
      <c r="D23" s="491"/>
      <c r="E23" s="491"/>
      <c r="F23" s="495"/>
      <c r="G23" s="495"/>
      <c r="H23" s="495"/>
      <c r="I23" s="495"/>
      <c r="J23" s="495"/>
      <c r="K23" s="495"/>
      <c r="L23" s="495"/>
      <c r="M23" s="495"/>
      <c r="N23" s="495"/>
      <c r="O23" s="495"/>
      <c r="P23" s="495"/>
      <c r="Q23" s="495"/>
      <c r="R23" s="495"/>
      <c r="S23" s="495"/>
      <c r="T23" s="495"/>
      <c r="U23" s="495"/>
      <c r="V23" s="495"/>
      <c r="W23" s="495"/>
      <c r="X23" s="495"/>
      <c r="Y23" s="495"/>
      <c r="Z23" s="495"/>
      <c r="AA23" s="495"/>
      <c r="AB23" s="495"/>
      <c r="AC23" s="495"/>
      <c r="AD23" s="495"/>
      <c r="AE23" s="495"/>
    </row>
    <row r="24">
      <c r="A24" s="491" t="s">
        <v>415</v>
      </c>
      <c r="F24" s="495"/>
      <c r="G24" s="495"/>
      <c r="H24" s="495"/>
      <c r="I24" s="495"/>
      <c r="J24" s="495"/>
      <c r="K24" s="495"/>
      <c r="L24" s="495"/>
      <c r="M24" s="495"/>
      <c r="N24" s="495"/>
      <c r="O24" s="495"/>
      <c r="P24" s="495"/>
      <c r="Q24" s="495"/>
      <c r="R24" s="495"/>
      <c r="S24" s="495"/>
      <c r="T24" s="495"/>
      <c r="U24" s="495"/>
      <c r="V24" s="495"/>
      <c r="W24" s="495"/>
      <c r="X24" s="495"/>
      <c r="Y24" s="495"/>
      <c r="Z24" s="495"/>
      <c r="AA24" s="495"/>
      <c r="AB24" s="495"/>
      <c r="AC24" s="495"/>
      <c r="AD24" s="495"/>
      <c r="AE24" s="495"/>
    </row>
    <row r="25">
      <c r="A25" s="501"/>
      <c r="B25" s="495"/>
      <c r="C25" s="495"/>
      <c r="D25" s="495"/>
      <c r="E25" s="495"/>
      <c r="F25" s="495"/>
      <c r="G25" s="495"/>
      <c r="H25" s="495"/>
      <c r="I25" s="495"/>
      <c r="J25" s="495"/>
      <c r="K25" s="495"/>
      <c r="L25" s="495"/>
      <c r="M25" s="495"/>
      <c r="N25" s="495"/>
      <c r="O25" s="495"/>
      <c r="P25" s="495"/>
      <c r="Q25" s="495"/>
      <c r="R25" s="495"/>
      <c r="S25" s="495"/>
      <c r="T25" s="495"/>
      <c r="U25" s="495"/>
      <c r="V25" s="495"/>
      <c r="W25" s="495"/>
      <c r="X25" s="495"/>
      <c r="Y25" s="495"/>
      <c r="Z25" s="495"/>
      <c r="AA25" s="495"/>
      <c r="AB25" s="495"/>
      <c r="AC25" s="495"/>
      <c r="AD25" s="495"/>
      <c r="AE25" s="495"/>
    </row>
    <row r="26">
      <c r="A26" s="501"/>
      <c r="B26" s="495"/>
      <c r="C26" s="495"/>
      <c r="D26" s="495"/>
      <c r="E26" s="495"/>
      <c r="F26" s="495"/>
      <c r="G26" s="495"/>
      <c r="H26" s="495"/>
      <c r="I26" s="495"/>
      <c r="J26" s="495"/>
      <c r="K26" s="495"/>
      <c r="L26" s="495"/>
      <c r="M26" s="495"/>
      <c r="N26" s="495"/>
      <c r="O26" s="495"/>
      <c r="P26" s="495"/>
      <c r="Q26" s="495"/>
      <c r="R26" s="495"/>
      <c r="S26" s="495"/>
      <c r="T26" s="495"/>
      <c r="U26" s="495"/>
      <c r="V26" s="495"/>
      <c r="W26" s="495"/>
      <c r="X26" s="495"/>
      <c r="Y26" s="495"/>
      <c r="Z26" s="495"/>
      <c r="AA26" s="495"/>
      <c r="AB26" s="495"/>
      <c r="AC26" s="495"/>
      <c r="AD26" s="495"/>
      <c r="AE26" s="495"/>
    </row>
    <row r="27">
      <c r="A27" s="501"/>
      <c r="B27" s="495"/>
      <c r="C27" s="495"/>
      <c r="D27" s="495"/>
      <c r="E27" s="495"/>
      <c r="F27" s="495"/>
      <c r="G27" s="495"/>
      <c r="H27" s="495"/>
      <c r="I27" s="495"/>
      <c r="J27" s="495"/>
      <c r="K27" s="495"/>
      <c r="L27" s="495"/>
      <c r="M27" s="495"/>
      <c r="N27" s="495"/>
      <c r="O27" s="495"/>
      <c r="P27" s="495"/>
      <c r="Q27" s="495"/>
      <c r="R27" s="495"/>
      <c r="S27" s="495"/>
      <c r="T27" s="495"/>
      <c r="U27" s="495"/>
      <c r="V27" s="495"/>
      <c r="W27" s="495"/>
      <c r="X27" s="495"/>
      <c r="Y27" s="495"/>
      <c r="Z27" s="495"/>
      <c r="AA27" s="495"/>
      <c r="AB27" s="495"/>
      <c r="AC27" s="495"/>
      <c r="AD27" s="495"/>
      <c r="AE27" s="495"/>
    </row>
    <row r="28">
      <c r="A28" s="501"/>
      <c r="B28" s="495"/>
      <c r="C28" s="495"/>
      <c r="D28" s="495"/>
      <c r="E28" s="495"/>
      <c r="F28" s="495"/>
      <c r="G28" s="495"/>
      <c r="H28" s="495"/>
      <c r="I28" s="495"/>
      <c r="J28" s="495"/>
      <c r="K28" s="495"/>
      <c r="L28" s="495"/>
      <c r="M28" s="495"/>
      <c r="N28" s="495"/>
      <c r="O28" s="495"/>
      <c r="P28" s="495"/>
      <c r="Q28" s="495"/>
      <c r="R28" s="495"/>
      <c r="S28" s="495"/>
      <c r="T28" s="495"/>
      <c r="U28" s="495"/>
      <c r="V28" s="495"/>
      <c r="W28" s="495"/>
      <c r="X28" s="495"/>
      <c r="Y28" s="495"/>
      <c r="Z28" s="495"/>
      <c r="AA28" s="495"/>
      <c r="AB28" s="495"/>
      <c r="AC28" s="495"/>
      <c r="AD28" s="495"/>
      <c r="AE28" s="495"/>
    </row>
    <row r="29">
      <c r="A29" s="501"/>
      <c r="B29" s="495"/>
      <c r="C29" s="495"/>
      <c r="D29" s="495"/>
      <c r="E29" s="495"/>
      <c r="F29" s="495"/>
      <c r="G29" s="495"/>
      <c r="H29" s="495"/>
      <c r="I29" s="495"/>
      <c r="J29" s="495"/>
      <c r="K29" s="495"/>
      <c r="L29" s="495"/>
      <c r="M29" s="495"/>
      <c r="N29" s="495"/>
      <c r="O29" s="495"/>
      <c r="P29" s="495"/>
      <c r="Q29" s="495"/>
      <c r="R29" s="495"/>
      <c r="S29" s="495"/>
      <c r="T29" s="495"/>
      <c r="U29" s="495"/>
      <c r="V29" s="495"/>
      <c r="W29" s="495"/>
      <c r="X29" s="495"/>
      <c r="Y29" s="495"/>
      <c r="Z29" s="495"/>
      <c r="AA29" s="495"/>
      <c r="AB29" s="495"/>
      <c r="AC29" s="495"/>
      <c r="AD29" s="495"/>
      <c r="AE29" s="495"/>
    </row>
    <row r="30">
      <c r="A30" s="501"/>
      <c r="B30" s="495"/>
      <c r="C30" s="495"/>
      <c r="D30" s="495"/>
      <c r="E30" s="495"/>
      <c r="F30" s="495"/>
      <c r="G30" s="495"/>
      <c r="H30" s="495"/>
      <c r="I30" s="495"/>
      <c r="J30" s="495"/>
      <c r="K30" s="495"/>
      <c r="L30" s="495"/>
      <c r="M30" s="495"/>
      <c r="N30" s="495"/>
      <c r="O30" s="495"/>
      <c r="P30" s="495"/>
      <c r="Q30" s="495"/>
      <c r="R30" s="495"/>
      <c r="S30" s="495"/>
      <c r="T30" s="495"/>
      <c r="U30" s="495"/>
      <c r="V30" s="495"/>
      <c r="W30" s="495"/>
      <c r="X30" s="495"/>
      <c r="Y30" s="495"/>
      <c r="Z30" s="495"/>
      <c r="AA30" s="495"/>
      <c r="AB30" s="495"/>
      <c r="AC30" s="495"/>
      <c r="AD30" s="495"/>
      <c r="AE30" s="495"/>
    </row>
    <row r="31">
      <c r="A31" s="501"/>
      <c r="B31" s="495"/>
      <c r="C31" s="495"/>
      <c r="D31" s="495"/>
      <c r="E31" s="495"/>
      <c r="F31" s="495"/>
      <c r="G31" s="495"/>
      <c r="H31" s="495"/>
      <c r="I31" s="495"/>
      <c r="J31" s="495"/>
      <c r="K31" s="495"/>
      <c r="L31" s="495"/>
      <c r="M31" s="495"/>
      <c r="N31" s="495"/>
      <c r="O31" s="495"/>
      <c r="P31" s="495"/>
      <c r="Q31" s="495"/>
      <c r="R31" s="495"/>
      <c r="S31" s="495"/>
      <c r="T31" s="495"/>
      <c r="U31" s="495"/>
      <c r="V31" s="495"/>
      <c r="W31" s="495"/>
      <c r="X31" s="495"/>
      <c r="Y31" s="495"/>
      <c r="Z31" s="495"/>
      <c r="AA31" s="495"/>
      <c r="AB31" s="495"/>
      <c r="AC31" s="495"/>
      <c r="AD31" s="495"/>
      <c r="AE31" s="495"/>
    </row>
    <row r="32">
      <c r="A32" s="501"/>
      <c r="B32" s="495"/>
      <c r="C32" s="495"/>
      <c r="D32" s="495"/>
      <c r="E32" s="495"/>
      <c r="F32" s="495"/>
      <c r="G32" s="495"/>
      <c r="H32" s="495"/>
      <c r="I32" s="495"/>
      <c r="J32" s="495"/>
      <c r="K32" s="495"/>
      <c r="L32" s="495"/>
      <c r="M32" s="495"/>
      <c r="N32" s="495"/>
      <c r="O32" s="495"/>
      <c r="P32" s="495"/>
      <c r="Q32" s="495"/>
      <c r="R32" s="495"/>
      <c r="S32" s="495"/>
      <c r="T32" s="495"/>
      <c r="U32" s="495"/>
      <c r="V32" s="495"/>
      <c r="W32" s="495"/>
      <c r="X32" s="495"/>
      <c r="Y32" s="495"/>
      <c r="Z32" s="495"/>
      <c r="AA32" s="495"/>
      <c r="AB32" s="495"/>
      <c r="AC32" s="495"/>
      <c r="AD32" s="495"/>
      <c r="AE32" s="495"/>
    </row>
    <row r="33">
      <c r="A33" s="501"/>
      <c r="B33" s="495"/>
      <c r="C33" s="495"/>
      <c r="D33" s="495"/>
      <c r="E33" s="495"/>
      <c r="F33" s="495"/>
      <c r="G33" s="495"/>
      <c r="H33" s="495"/>
      <c r="I33" s="495"/>
      <c r="J33" s="495"/>
      <c r="K33" s="495"/>
      <c r="L33" s="495"/>
      <c r="M33" s="495"/>
      <c r="N33" s="495"/>
      <c r="O33" s="495"/>
      <c r="P33" s="495"/>
      <c r="Q33" s="495"/>
      <c r="R33" s="495"/>
      <c r="S33" s="495"/>
      <c r="T33" s="495"/>
      <c r="U33" s="495"/>
      <c r="V33" s="495"/>
      <c r="W33" s="495"/>
      <c r="X33" s="495"/>
      <c r="Y33" s="495"/>
      <c r="Z33" s="495"/>
      <c r="AA33" s="495"/>
      <c r="AB33" s="495"/>
      <c r="AC33" s="495"/>
      <c r="AD33" s="495"/>
      <c r="AE33" s="495"/>
    </row>
    <row r="34">
      <c r="A34" s="501"/>
      <c r="B34" s="495"/>
      <c r="C34" s="495"/>
      <c r="D34" s="495"/>
      <c r="E34" s="495"/>
      <c r="F34" s="495"/>
      <c r="G34" s="495"/>
      <c r="H34" s="495"/>
      <c r="I34" s="495"/>
      <c r="J34" s="495"/>
      <c r="K34" s="495"/>
      <c r="L34" s="495"/>
      <c r="M34" s="495"/>
      <c r="N34" s="495"/>
      <c r="O34" s="495"/>
      <c r="P34" s="495"/>
      <c r="Q34" s="495"/>
      <c r="R34" s="495"/>
      <c r="S34" s="495"/>
      <c r="T34" s="495"/>
      <c r="U34" s="495"/>
      <c r="V34" s="495"/>
      <c r="W34" s="495"/>
      <c r="X34" s="495"/>
      <c r="Y34" s="495"/>
      <c r="Z34" s="495"/>
      <c r="AA34" s="495"/>
      <c r="AB34" s="495"/>
      <c r="AC34" s="495"/>
      <c r="AD34" s="495"/>
      <c r="AE34" s="495"/>
    </row>
    <row r="35">
      <c r="A35" s="501"/>
      <c r="B35" s="495"/>
      <c r="C35" s="495"/>
      <c r="D35" s="495"/>
      <c r="E35" s="495"/>
      <c r="F35" s="495"/>
      <c r="G35" s="495"/>
      <c r="H35" s="495"/>
      <c r="I35" s="495"/>
      <c r="J35" s="495"/>
      <c r="K35" s="495"/>
      <c r="L35" s="495"/>
      <c r="M35" s="495"/>
      <c r="N35" s="495"/>
      <c r="O35" s="495"/>
      <c r="P35" s="495"/>
      <c r="Q35" s="495"/>
      <c r="R35" s="495"/>
      <c r="S35" s="495"/>
      <c r="T35" s="495"/>
      <c r="U35" s="495"/>
      <c r="V35" s="495"/>
      <c r="W35" s="495"/>
      <c r="X35" s="495"/>
      <c r="Y35" s="495"/>
      <c r="Z35" s="495"/>
      <c r="AA35" s="495"/>
      <c r="AB35" s="495"/>
      <c r="AC35" s="495"/>
      <c r="AD35" s="495"/>
      <c r="AE35" s="495"/>
    </row>
    <row r="36">
      <c r="A36" s="501"/>
      <c r="B36" s="495"/>
      <c r="C36" s="495"/>
      <c r="D36" s="495"/>
      <c r="E36" s="495"/>
      <c r="F36" s="495"/>
      <c r="G36" s="495"/>
      <c r="H36" s="495"/>
      <c r="I36" s="495"/>
      <c r="J36" s="495"/>
      <c r="K36" s="495"/>
      <c r="L36" s="495"/>
      <c r="M36" s="495"/>
      <c r="N36" s="495"/>
      <c r="O36" s="495"/>
      <c r="P36" s="495"/>
      <c r="Q36" s="495"/>
      <c r="R36" s="495"/>
      <c r="S36" s="495"/>
      <c r="T36" s="495"/>
      <c r="U36" s="495"/>
      <c r="V36" s="495"/>
      <c r="W36" s="495"/>
      <c r="X36" s="495"/>
      <c r="Y36" s="495"/>
      <c r="Z36" s="495"/>
      <c r="AA36" s="495"/>
      <c r="AB36" s="495"/>
      <c r="AC36" s="495"/>
      <c r="AD36" s="495"/>
      <c r="AE36" s="495"/>
    </row>
    <row r="37">
      <c r="A37" s="501"/>
      <c r="B37" s="495"/>
      <c r="C37" s="495"/>
      <c r="D37" s="495"/>
      <c r="E37" s="495"/>
      <c r="F37" s="495"/>
      <c r="G37" s="495"/>
      <c r="H37" s="495"/>
      <c r="I37" s="495"/>
      <c r="J37" s="495"/>
      <c r="K37" s="495"/>
      <c r="L37" s="495"/>
      <c r="M37" s="495"/>
      <c r="N37" s="495"/>
      <c r="O37" s="495"/>
      <c r="P37" s="495"/>
      <c r="Q37" s="495"/>
      <c r="R37" s="495"/>
      <c r="S37" s="495"/>
      <c r="T37" s="495"/>
      <c r="U37" s="495"/>
      <c r="V37" s="495"/>
      <c r="W37" s="495"/>
      <c r="X37" s="495"/>
      <c r="Y37" s="495"/>
      <c r="Z37" s="495"/>
      <c r="AA37" s="495"/>
      <c r="AB37" s="495"/>
      <c r="AC37" s="495"/>
      <c r="AD37" s="495"/>
      <c r="AE37" s="495"/>
    </row>
    <row r="38">
      <c r="A38" s="501"/>
      <c r="B38" s="495"/>
      <c r="C38" s="495"/>
      <c r="D38" s="495"/>
      <c r="E38" s="495"/>
      <c r="F38" s="495"/>
      <c r="G38" s="495"/>
      <c r="H38" s="495"/>
      <c r="I38" s="495"/>
      <c r="J38" s="495"/>
      <c r="K38" s="495"/>
      <c r="L38" s="495"/>
      <c r="M38" s="495"/>
      <c r="N38" s="495"/>
      <c r="O38" s="495"/>
      <c r="P38" s="495"/>
      <c r="Q38" s="495"/>
      <c r="R38" s="495"/>
      <c r="S38" s="495"/>
      <c r="T38" s="495"/>
      <c r="U38" s="495"/>
      <c r="V38" s="495"/>
      <c r="W38" s="495"/>
      <c r="X38" s="495"/>
      <c r="Y38" s="495"/>
      <c r="Z38" s="495"/>
      <c r="AA38" s="495"/>
      <c r="AB38" s="495"/>
      <c r="AC38" s="495"/>
      <c r="AD38" s="495"/>
      <c r="AE38" s="495"/>
    </row>
    <row r="39">
      <c r="A39" s="501"/>
      <c r="B39" s="495"/>
      <c r="C39" s="495"/>
      <c r="D39" s="495"/>
      <c r="E39" s="495"/>
      <c r="F39" s="495"/>
      <c r="G39" s="495"/>
      <c r="H39" s="495"/>
      <c r="I39" s="495"/>
      <c r="J39" s="495"/>
      <c r="K39" s="495"/>
      <c r="L39" s="495"/>
      <c r="M39" s="495"/>
      <c r="N39" s="495"/>
      <c r="O39" s="495"/>
      <c r="P39" s="495"/>
      <c r="Q39" s="495"/>
      <c r="R39" s="495"/>
      <c r="S39" s="495"/>
      <c r="T39" s="495"/>
      <c r="U39" s="495"/>
      <c r="V39" s="495"/>
      <c r="W39" s="495"/>
      <c r="X39" s="495"/>
      <c r="Y39" s="495"/>
      <c r="Z39" s="495"/>
      <c r="AA39" s="495"/>
      <c r="AB39" s="495"/>
      <c r="AC39" s="495"/>
      <c r="AD39" s="495"/>
      <c r="AE39" s="495"/>
    </row>
    <row r="40">
      <c r="A40" s="501"/>
      <c r="B40" s="495"/>
      <c r="C40" s="495"/>
      <c r="D40" s="495"/>
      <c r="E40" s="495"/>
      <c r="F40" s="495"/>
      <c r="G40" s="495"/>
      <c r="H40" s="495"/>
      <c r="I40" s="495"/>
      <c r="J40" s="495"/>
      <c r="K40" s="495"/>
      <c r="L40" s="495"/>
      <c r="M40" s="495"/>
      <c r="N40" s="495"/>
      <c r="O40" s="495"/>
      <c r="P40" s="495"/>
      <c r="Q40" s="495"/>
      <c r="R40" s="495"/>
      <c r="S40" s="495"/>
      <c r="T40" s="495"/>
      <c r="U40" s="495"/>
      <c r="V40" s="495"/>
      <c r="W40" s="495"/>
      <c r="X40" s="495"/>
      <c r="Y40" s="495"/>
      <c r="Z40" s="495"/>
      <c r="AA40" s="495"/>
      <c r="AB40" s="495"/>
      <c r="AC40" s="495"/>
      <c r="AD40" s="495"/>
      <c r="AE40" s="495"/>
    </row>
    <row r="41">
      <c r="A41" s="501"/>
      <c r="B41" s="495"/>
      <c r="C41" s="495"/>
      <c r="D41" s="495"/>
      <c r="E41" s="495"/>
      <c r="F41" s="495"/>
      <c r="G41" s="495"/>
      <c r="H41" s="495"/>
      <c r="I41" s="495"/>
      <c r="J41" s="495"/>
      <c r="K41" s="495"/>
      <c r="L41" s="495"/>
      <c r="M41" s="495"/>
      <c r="N41" s="495"/>
      <c r="O41" s="495"/>
      <c r="P41" s="495"/>
      <c r="Q41" s="495"/>
      <c r="R41" s="495"/>
      <c r="S41" s="495"/>
      <c r="T41" s="495"/>
      <c r="U41" s="495"/>
      <c r="V41" s="495"/>
      <c r="W41" s="495"/>
      <c r="X41" s="495"/>
      <c r="Y41" s="495"/>
      <c r="Z41" s="495"/>
      <c r="AA41" s="495"/>
      <c r="AB41" s="495"/>
      <c r="AC41" s="495"/>
      <c r="AD41" s="495"/>
      <c r="AE41" s="495"/>
    </row>
    <row r="42">
      <c r="A42" s="501"/>
      <c r="B42" s="495"/>
      <c r="C42" s="495"/>
      <c r="D42" s="495"/>
      <c r="E42" s="495"/>
      <c r="F42" s="495"/>
      <c r="G42" s="495"/>
      <c r="H42" s="495"/>
      <c r="I42" s="495"/>
      <c r="J42" s="495"/>
      <c r="K42" s="495"/>
      <c r="L42" s="495"/>
      <c r="M42" s="495"/>
      <c r="N42" s="495"/>
      <c r="O42" s="495"/>
      <c r="P42" s="495"/>
      <c r="Q42" s="495"/>
      <c r="R42" s="495"/>
      <c r="S42" s="495"/>
      <c r="T42" s="495"/>
      <c r="U42" s="495"/>
      <c r="V42" s="495"/>
      <c r="W42" s="495"/>
      <c r="X42" s="495"/>
      <c r="Y42" s="495"/>
      <c r="Z42" s="495"/>
      <c r="AA42" s="495"/>
      <c r="AB42" s="495"/>
      <c r="AC42" s="495"/>
      <c r="AD42" s="495"/>
      <c r="AE42" s="495"/>
    </row>
    <row r="43">
      <c r="A43" s="501"/>
      <c r="B43" s="495"/>
      <c r="C43" s="495"/>
      <c r="D43" s="495"/>
      <c r="E43" s="495"/>
      <c r="F43" s="495"/>
      <c r="G43" s="495"/>
      <c r="H43" s="495"/>
      <c r="I43" s="495"/>
      <c r="J43" s="495"/>
      <c r="K43" s="495"/>
      <c r="L43" s="495"/>
      <c r="M43" s="495"/>
      <c r="N43" s="495"/>
      <c r="O43" s="495"/>
      <c r="P43" s="495"/>
      <c r="Q43" s="495"/>
      <c r="R43" s="495"/>
      <c r="S43" s="495"/>
      <c r="T43" s="495"/>
      <c r="U43" s="495"/>
      <c r="V43" s="495"/>
      <c r="W43" s="495"/>
      <c r="X43" s="495"/>
      <c r="Y43" s="495"/>
      <c r="Z43" s="495"/>
      <c r="AA43" s="495"/>
      <c r="AB43" s="495"/>
      <c r="AC43" s="495"/>
      <c r="AD43" s="495"/>
      <c r="AE43" s="495"/>
    </row>
    <row r="44">
      <c r="A44" s="501"/>
      <c r="B44" s="495"/>
      <c r="C44" s="495"/>
      <c r="D44" s="495"/>
      <c r="E44" s="495"/>
      <c r="F44" s="495"/>
      <c r="G44" s="495"/>
      <c r="H44" s="495"/>
      <c r="I44" s="495"/>
      <c r="J44" s="495"/>
      <c r="K44" s="495"/>
      <c r="L44" s="495"/>
      <c r="M44" s="495"/>
      <c r="N44" s="495"/>
      <c r="O44" s="495"/>
      <c r="P44" s="495"/>
      <c r="Q44" s="495"/>
      <c r="R44" s="495"/>
      <c r="S44" s="495"/>
      <c r="T44" s="495"/>
      <c r="U44" s="495"/>
      <c r="V44" s="495"/>
      <c r="W44" s="495"/>
      <c r="X44" s="495"/>
      <c r="Y44" s="495"/>
      <c r="Z44" s="495"/>
      <c r="AA44" s="495"/>
      <c r="AB44" s="495"/>
      <c r="AC44" s="495"/>
      <c r="AD44" s="495"/>
      <c r="AE44" s="495"/>
    </row>
    <row r="45">
      <c r="A45" s="501"/>
      <c r="B45" s="495"/>
      <c r="C45" s="495"/>
      <c r="D45" s="495"/>
      <c r="E45" s="495"/>
      <c r="F45" s="495"/>
      <c r="G45" s="495"/>
      <c r="H45" s="495"/>
      <c r="I45" s="495"/>
      <c r="J45" s="495"/>
      <c r="K45" s="495"/>
      <c r="L45" s="495"/>
      <c r="M45" s="495"/>
      <c r="N45" s="495"/>
      <c r="O45" s="495"/>
      <c r="P45" s="495"/>
      <c r="Q45" s="495"/>
      <c r="R45" s="495"/>
      <c r="S45" s="495"/>
      <c r="T45" s="495"/>
      <c r="U45" s="495"/>
      <c r="V45" s="495"/>
      <c r="W45" s="495"/>
      <c r="X45" s="495"/>
      <c r="Y45" s="495"/>
      <c r="Z45" s="495"/>
      <c r="AA45" s="495"/>
      <c r="AB45" s="495"/>
      <c r="AC45" s="495"/>
      <c r="AD45" s="495"/>
      <c r="AE45" s="495"/>
    </row>
    <row r="46">
      <c r="A46" s="501"/>
      <c r="B46" s="495"/>
      <c r="C46" s="495"/>
      <c r="D46" s="495"/>
      <c r="E46" s="495"/>
      <c r="F46" s="495"/>
      <c r="G46" s="495"/>
      <c r="H46" s="495"/>
      <c r="I46" s="495"/>
      <c r="J46" s="495"/>
      <c r="K46" s="495"/>
      <c r="L46" s="495"/>
      <c r="M46" s="495"/>
      <c r="N46" s="495"/>
      <c r="O46" s="495"/>
      <c r="P46" s="495"/>
      <c r="Q46" s="495"/>
      <c r="R46" s="495"/>
      <c r="S46" s="495"/>
      <c r="T46" s="495"/>
      <c r="U46" s="495"/>
      <c r="V46" s="495"/>
      <c r="W46" s="495"/>
      <c r="X46" s="495"/>
      <c r="Y46" s="495"/>
      <c r="Z46" s="495"/>
      <c r="AA46" s="495"/>
      <c r="AB46" s="495"/>
      <c r="AC46" s="495"/>
      <c r="AD46" s="495"/>
      <c r="AE46" s="495"/>
    </row>
    <row r="47">
      <c r="A47" s="501"/>
      <c r="B47" s="495"/>
      <c r="C47" s="495"/>
      <c r="D47" s="495"/>
      <c r="E47" s="495"/>
      <c r="F47" s="495"/>
      <c r="G47" s="495"/>
      <c r="H47" s="495"/>
      <c r="I47" s="495"/>
      <c r="J47" s="495"/>
      <c r="K47" s="495"/>
      <c r="L47" s="495"/>
      <c r="M47" s="495"/>
      <c r="N47" s="495"/>
      <c r="O47" s="495"/>
      <c r="P47" s="495"/>
      <c r="Q47" s="495"/>
      <c r="R47" s="495"/>
      <c r="S47" s="495"/>
      <c r="T47" s="495"/>
      <c r="U47" s="495"/>
      <c r="V47" s="495"/>
      <c r="W47" s="495"/>
      <c r="X47" s="495"/>
      <c r="Y47" s="495"/>
      <c r="Z47" s="495"/>
      <c r="AA47" s="495"/>
      <c r="AB47" s="495"/>
      <c r="AC47" s="495"/>
      <c r="AD47" s="495"/>
      <c r="AE47" s="495"/>
    </row>
    <row r="48">
      <c r="A48" s="501"/>
      <c r="B48" s="495"/>
      <c r="C48" s="495"/>
      <c r="D48" s="495"/>
      <c r="E48" s="495"/>
      <c r="F48" s="495"/>
      <c r="G48" s="495"/>
      <c r="H48" s="495"/>
      <c r="I48" s="495"/>
      <c r="J48" s="495"/>
      <c r="K48" s="495"/>
      <c r="L48" s="495"/>
      <c r="M48" s="495"/>
      <c r="N48" s="495"/>
      <c r="O48" s="495"/>
      <c r="P48" s="495"/>
      <c r="Q48" s="495"/>
      <c r="R48" s="495"/>
      <c r="S48" s="495"/>
      <c r="T48" s="495"/>
      <c r="U48" s="495"/>
      <c r="V48" s="495"/>
      <c r="W48" s="495"/>
      <c r="X48" s="495"/>
      <c r="Y48" s="495"/>
      <c r="Z48" s="495"/>
      <c r="AA48" s="495"/>
      <c r="AB48" s="495"/>
      <c r="AC48" s="495"/>
      <c r="AD48" s="495"/>
      <c r="AE48" s="495"/>
    </row>
    <row r="49">
      <c r="A49" s="501"/>
      <c r="B49" s="495"/>
      <c r="C49" s="495"/>
      <c r="D49" s="495"/>
      <c r="E49" s="495"/>
      <c r="F49" s="495"/>
      <c r="G49" s="495"/>
      <c r="H49" s="495"/>
      <c r="I49" s="495"/>
      <c r="J49" s="495"/>
      <c r="K49" s="495"/>
      <c r="L49" s="495"/>
      <c r="M49" s="495"/>
      <c r="N49" s="495"/>
      <c r="O49" s="495"/>
      <c r="P49" s="495"/>
      <c r="Q49" s="495"/>
      <c r="R49" s="495"/>
      <c r="S49" s="495"/>
      <c r="T49" s="495"/>
      <c r="U49" s="495"/>
      <c r="V49" s="495"/>
      <c r="W49" s="495"/>
      <c r="X49" s="495"/>
      <c r="Y49" s="495"/>
      <c r="Z49" s="495"/>
      <c r="AA49" s="495"/>
      <c r="AB49" s="495"/>
      <c r="AC49" s="495"/>
      <c r="AD49" s="495"/>
      <c r="AE49" s="495"/>
    </row>
    <row r="50">
      <c r="A50" s="501"/>
      <c r="B50" s="495"/>
      <c r="C50" s="495"/>
      <c r="D50" s="495"/>
      <c r="E50" s="495"/>
      <c r="F50" s="495"/>
      <c r="G50" s="495"/>
      <c r="H50" s="495"/>
      <c r="I50" s="495"/>
      <c r="J50" s="495"/>
      <c r="K50" s="495"/>
      <c r="L50" s="495"/>
      <c r="M50" s="495"/>
      <c r="N50" s="495"/>
      <c r="O50" s="495"/>
      <c r="P50" s="495"/>
      <c r="Q50" s="495"/>
      <c r="R50" s="495"/>
      <c r="S50" s="495"/>
      <c r="T50" s="495"/>
      <c r="U50" s="495"/>
      <c r="V50" s="495"/>
      <c r="W50" s="495"/>
      <c r="X50" s="495"/>
      <c r="Y50" s="495"/>
      <c r="Z50" s="495"/>
      <c r="AA50" s="495"/>
      <c r="AB50" s="495"/>
      <c r="AC50" s="495"/>
      <c r="AD50" s="495"/>
      <c r="AE50" s="495"/>
    </row>
    <row r="51">
      <c r="A51" s="501"/>
      <c r="B51" s="495"/>
      <c r="C51" s="495"/>
      <c r="D51" s="495"/>
      <c r="E51" s="495"/>
      <c r="F51" s="495"/>
      <c r="G51" s="495"/>
      <c r="H51" s="495"/>
      <c r="I51" s="495"/>
      <c r="J51" s="495"/>
      <c r="K51" s="495"/>
      <c r="L51" s="495"/>
      <c r="M51" s="495"/>
      <c r="N51" s="495"/>
      <c r="O51" s="495"/>
      <c r="P51" s="495"/>
      <c r="Q51" s="495"/>
      <c r="R51" s="495"/>
      <c r="S51" s="495"/>
      <c r="T51" s="495"/>
      <c r="U51" s="495"/>
      <c r="V51" s="495"/>
      <c r="W51" s="495"/>
      <c r="X51" s="495"/>
      <c r="Y51" s="495"/>
      <c r="Z51" s="495"/>
      <c r="AA51" s="495"/>
      <c r="AB51" s="495"/>
      <c r="AC51" s="495"/>
      <c r="AD51" s="495"/>
      <c r="AE51" s="495"/>
    </row>
    <row r="52">
      <c r="A52" s="501"/>
      <c r="B52" s="492" t="s">
        <v>422</v>
      </c>
      <c r="G52" s="495"/>
      <c r="H52" s="495"/>
      <c r="I52" s="495"/>
      <c r="J52" s="495"/>
      <c r="K52" s="495"/>
      <c r="L52" s="495"/>
      <c r="M52" s="495"/>
      <c r="N52" s="495"/>
      <c r="O52" s="495"/>
      <c r="P52" s="495"/>
      <c r="Q52" s="495"/>
      <c r="R52" s="495"/>
      <c r="S52" s="495"/>
      <c r="T52" s="495"/>
      <c r="U52" s="495"/>
      <c r="V52" s="495"/>
      <c r="W52" s="495"/>
      <c r="X52" s="495"/>
      <c r="Y52" s="495"/>
      <c r="Z52" s="495"/>
      <c r="AA52" s="495"/>
      <c r="AB52" s="495"/>
      <c r="AC52" s="495"/>
      <c r="AD52" s="495"/>
      <c r="AE52" s="495"/>
    </row>
    <row r="53">
      <c r="A53" s="501"/>
      <c r="B53" s="495"/>
      <c r="C53" s="495"/>
      <c r="D53" s="495"/>
      <c r="E53" s="495"/>
      <c r="F53" s="495"/>
      <c r="G53" s="495"/>
      <c r="H53" s="495"/>
      <c r="I53" s="495"/>
      <c r="J53" s="495"/>
      <c r="K53" s="495"/>
      <c r="L53" s="495"/>
      <c r="M53" s="495"/>
      <c r="N53" s="495"/>
      <c r="O53" s="495"/>
      <c r="P53" s="495"/>
      <c r="Q53" s="495"/>
      <c r="R53" s="495"/>
      <c r="S53" s="495"/>
      <c r="T53" s="495"/>
      <c r="U53" s="495"/>
      <c r="V53" s="495"/>
      <c r="W53" s="495"/>
      <c r="X53" s="495"/>
      <c r="Y53" s="495"/>
      <c r="Z53" s="495"/>
      <c r="AA53" s="495"/>
      <c r="AB53" s="495"/>
      <c r="AC53" s="495"/>
      <c r="AD53" s="495"/>
      <c r="AE53" s="495"/>
    </row>
    <row r="54">
      <c r="A54" s="501"/>
      <c r="B54" s="495"/>
      <c r="C54" s="495"/>
      <c r="D54" s="495"/>
      <c r="E54" s="495"/>
      <c r="F54" s="495"/>
      <c r="G54" s="495"/>
      <c r="H54" s="495"/>
      <c r="I54" s="495"/>
      <c r="J54" s="495"/>
      <c r="K54" s="495"/>
      <c r="L54" s="495"/>
      <c r="M54" s="495"/>
      <c r="N54" s="495"/>
      <c r="O54" s="495"/>
      <c r="P54" s="495"/>
      <c r="Q54" s="495"/>
      <c r="R54" s="495"/>
      <c r="S54" s="495"/>
      <c r="T54" s="495"/>
      <c r="U54" s="495"/>
      <c r="V54" s="495"/>
      <c r="W54" s="495"/>
      <c r="X54" s="495"/>
      <c r="Y54" s="495"/>
      <c r="Z54" s="495"/>
      <c r="AA54" s="495"/>
      <c r="AB54" s="495"/>
      <c r="AC54" s="495"/>
      <c r="AD54" s="495"/>
      <c r="AE54" s="495"/>
    </row>
    <row r="55">
      <c r="A55" s="501"/>
      <c r="B55" s="495"/>
      <c r="C55" s="495"/>
      <c r="D55" s="495"/>
      <c r="E55" s="495"/>
      <c r="F55" s="495"/>
      <c r="G55" s="495"/>
      <c r="H55" s="495"/>
      <c r="I55" s="495"/>
      <c r="J55" s="495"/>
      <c r="K55" s="495"/>
      <c r="L55" s="495"/>
      <c r="M55" s="495"/>
      <c r="N55" s="495"/>
      <c r="O55" s="495"/>
      <c r="P55" s="495"/>
      <c r="Q55" s="495"/>
      <c r="R55" s="495"/>
      <c r="S55" s="495"/>
      <c r="T55" s="495"/>
      <c r="U55" s="495"/>
      <c r="V55" s="495"/>
      <c r="W55" s="495"/>
      <c r="X55" s="495"/>
      <c r="Y55" s="495"/>
      <c r="Z55" s="495"/>
      <c r="AA55" s="495"/>
      <c r="AB55" s="495"/>
      <c r="AC55" s="495"/>
      <c r="AD55" s="495"/>
      <c r="AE55" s="495"/>
    </row>
    <row r="56">
      <c r="A56" s="501"/>
      <c r="B56" s="495"/>
      <c r="C56" s="495"/>
      <c r="D56" s="495"/>
      <c r="E56" s="495"/>
      <c r="F56" s="495"/>
      <c r="G56" s="495"/>
      <c r="H56" s="536"/>
      <c r="I56" s="495"/>
      <c r="J56" s="495"/>
      <c r="K56" s="495"/>
      <c r="L56" s="495"/>
      <c r="M56" s="495"/>
      <c r="N56" s="495"/>
      <c r="O56" s="495"/>
      <c r="P56" s="495"/>
      <c r="Q56" s="495"/>
      <c r="R56" s="495"/>
      <c r="S56" s="495"/>
      <c r="T56" s="495"/>
      <c r="U56" s="495"/>
      <c r="V56" s="495"/>
      <c r="W56" s="495"/>
      <c r="X56" s="495"/>
      <c r="Y56" s="495"/>
      <c r="Z56" s="495"/>
      <c r="AA56" s="495"/>
      <c r="AB56" s="495"/>
      <c r="AC56" s="495"/>
      <c r="AD56" s="495"/>
      <c r="AE56" s="495"/>
    </row>
    <row r="57">
      <c r="A57" s="501"/>
      <c r="B57" s="495"/>
      <c r="C57" s="495"/>
      <c r="D57" s="495"/>
      <c r="E57" s="495"/>
      <c r="F57" s="495"/>
      <c r="G57" s="495"/>
      <c r="H57" s="495"/>
      <c r="I57" s="495"/>
      <c r="J57" s="495"/>
      <c r="K57" s="495"/>
      <c r="L57" s="495"/>
      <c r="M57" s="495"/>
      <c r="N57" s="495"/>
      <c r="O57" s="495"/>
      <c r="P57" s="495"/>
      <c r="Q57" s="495"/>
      <c r="R57" s="495"/>
      <c r="S57" s="495"/>
      <c r="T57" s="495"/>
      <c r="U57" s="495"/>
      <c r="V57" s="495"/>
      <c r="W57" s="495"/>
      <c r="X57" s="495"/>
      <c r="Y57" s="495"/>
      <c r="Z57" s="495"/>
      <c r="AA57" s="495"/>
      <c r="AB57" s="495"/>
      <c r="AC57" s="495"/>
      <c r="AD57" s="495"/>
      <c r="AE57" s="495"/>
    </row>
    <row r="58">
      <c r="A58" s="501"/>
      <c r="B58" s="495"/>
      <c r="C58" s="495"/>
      <c r="D58" s="495"/>
      <c r="E58" s="495"/>
      <c r="F58" s="495"/>
      <c r="G58" s="495"/>
      <c r="H58" s="495"/>
      <c r="I58" s="495"/>
      <c r="J58" s="495"/>
      <c r="K58" s="495"/>
      <c r="L58" s="495"/>
      <c r="M58" s="495"/>
      <c r="N58" s="495"/>
      <c r="O58" s="495"/>
      <c r="P58" s="495"/>
      <c r="Q58" s="495"/>
      <c r="R58" s="495"/>
      <c r="S58" s="495"/>
      <c r="T58" s="495"/>
      <c r="U58" s="495"/>
      <c r="V58" s="495"/>
      <c r="W58" s="495"/>
      <c r="X58" s="495"/>
      <c r="Y58" s="495"/>
      <c r="Z58" s="495"/>
      <c r="AA58" s="495"/>
      <c r="AB58" s="495"/>
      <c r="AC58" s="495"/>
      <c r="AD58" s="495"/>
      <c r="AE58" s="495"/>
    </row>
    <row r="59">
      <c r="A59" s="501"/>
      <c r="B59" s="495"/>
      <c r="C59" s="495"/>
      <c r="D59" s="495"/>
      <c r="E59" s="495"/>
      <c r="F59" s="495"/>
      <c r="G59" s="495"/>
      <c r="H59" s="495"/>
      <c r="I59" s="495"/>
      <c r="J59" s="495"/>
      <c r="K59" s="495"/>
      <c r="L59" s="495"/>
      <c r="M59" s="495"/>
      <c r="N59" s="495"/>
      <c r="O59" s="495"/>
      <c r="P59" s="495"/>
      <c r="Q59" s="495"/>
      <c r="R59" s="495"/>
      <c r="S59" s="495"/>
      <c r="T59" s="495"/>
      <c r="U59" s="495"/>
      <c r="V59" s="495"/>
      <c r="W59" s="495"/>
      <c r="X59" s="495"/>
      <c r="Y59" s="495"/>
      <c r="Z59" s="495"/>
      <c r="AA59" s="495"/>
      <c r="AB59" s="495"/>
      <c r="AC59" s="495"/>
      <c r="AD59" s="495"/>
      <c r="AE59" s="495"/>
    </row>
    <row r="60">
      <c r="A60" s="501"/>
      <c r="B60" s="495"/>
      <c r="C60" s="495"/>
      <c r="D60" s="495"/>
      <c r="E60" s="495"/>
      <c r="F60" s="495"/>
      <c r="G60" s="495"/>
      <c r="H60" s="495"/>
      <c r="I60" s="495"/>
      <c r="J60" s="495"/>
      <c r="K60" s="495"/>
      <c r="L60" s="495"/>
      <c r="M60" s="495"/>
      <c r="N60" s="495"/>
      <c r="O60" s="495"/>
      <c r="P60" s="495"/>
      <c r="Q60" s="495"/>
      <c r="R60" s="495"/>
      <c r="S60" s="495"/>
      <c r="T60" s="495"/>
      <c r="U60" s="495"/>
      <c r="V60" s="495"/>
      <c r="W60" s="495"/>
      <c r="X60" s="495"/>
      <c r="Y60" s="495"/>
      <c r="Z60" s="495"/>
      <c r="AA60" s="495"/>
      <c r="AB60" s="495"/>
      <c r="AC60" s="495"/>
      <c r="AD60" s="495"/>
      <c r="AE60" s="495"/>
    </row>
    <row r="61">
      <c r="A61" s="501"/>
      <c r="B61" s="495"/>
      <c r="C61" s="495"/>
      <c r="D61" s="495"/>
      <c r="E61" s="495"/>
      <c r="F61" s="495"/>
      <c r="G61" s="495"/>
      <c r="H61" s="495"/>
      <c r="I61" s="495"/>
      <c r="J61" s="495"/>
      <c r="K61" s="495"/>
      <c r="L61" s="495"/>
      <c r="M61" s="495"/>
      <c r="N61" s="495"/>
      <c r="O61" s="495"/>
      <c r="P61" s="495"/>
      <c r="Q61" s="495"/>
      <c r="R61" s="495"/>
      <c r="S61" s="495"/>
      <c r="T61" s="495"/>
      <c r="U61" s="495"/>
      <c r="V61" s="495"/>
      <c r="W61" s="495"/>
      <c r="X61" s="495"/>
      <c r="Y61" s="495"/>
      <c r="Z61" s="495"/>
      <c r="AA61" s="495"/>
      <c r="AB61" s="495"/>
      <c r="AC61" s="495"/>
      <c r="AD61" s="495"/>
      <c r="AE61" s="495"/>
    </row>
    <row r="62">
      <c r="A62" s="501"/>
      <c r="B62" s="495"/>
      <c r="C62" s="495"/>
      <c r="D62" s="495"/>
      <c r="E62" s="495"/>
      <c r="F62" s="495"/>
      <c r="G62" s="495"/>
      <c r="H62" s="495"/>
      <c r="I62" s="495"/>
      <c r="J62" s="495"/>
      <c r="K62" s="495"/>
      <c r="L62" s="495"/>
      <c r="M62" s="495"/>
      <c r="N62" s="495"/>
      <c r="O62" s="495"/>
      <c r="P62" s="495"/>
      <c r="Q62" s="495"/>
      <c r="R62" s="495"/>
      <c r="S62" s="495"/>
      <c r="T62" s="495"/>
      <c r="U62" s="495"/>
      <c r="V62" s="495"/>
      <c r="W62" s="495"/>
      <c r="X62" s="495"/>
      <c r="Y62" s="495"/>
      <c r="Z62" s="495"/>
      <c r="AA62" s="495"/>
      <c r="AB62" s="495"/>
      <c r="AC62" s="495"/>
      <c r="AD62" s="495"/>
      <c r="AE62" s="495"/>
    </row>
    <row r="63">
      <c r="A63" s="501"/>
      <c r="B63" s="495"/>
      <c r="C63" s="495"/>
      <c r="D63" s="495"/>
      <c r="E63" s="495"/>
      <c r="F63" s="495"/>
      <c r="G63" s="495"/>
      <c r="H63" s="495"/>
      <c r="I63" s="495"/>
      <c r="J63" s="495"/>
      <c r="K63" s="495"/>
      <c r="L63" s="495"/>
      <c r="M63" s="495"/>
      <c r="N63" s="495"/>
      <c r="O63" s="495"/>
      <c r="P63" s="495"/>
      <c r="Q63" s="495"/>
      <c r="R63" s="495"/>
      <c r="S63" s="495"/>
      <c r="T63" s="495"/>
      <c r="U63" s="495"/>
      <c r="V63" s="495"/>
      <c r="W63" s="495"/>
      <c r="X63" s="495"/>
      <c r="Y63" s="495"/>
      <c r="Z63" s="495"/>
      <c r="AA63" s="495"/>
      <c r="AB63" s="495"/>
      <c r="AC63" s="495"/>
      <c r="AD63" s="495"/>
      <c r="AE63" s="495"/>
    </row>
    <row r="64">
      <c r="A64" s="501"/>
      <c r="B64" s="495"/>
      <c r="C64" s="495"/>
      <c r="D64" s="495"/>
      <c r="E64" s="495"/>
      <c r="F64" s="495"/>
      <c r="G64" s="495"/>
      <c r="H64" s="495"/>
      <c r="I64" s="495"/>
      <c r="J64" s="495"/>
      <c r="K64" s="495"/>
      <c r="L64" s="495"/>
      <c r="M64" s="495"/>
      <c r="N64" s="495"/>
      <c r="O64" s="495"/>
      <c r="P64" s="495"/>
      <c r="Q64" s="495"/>
      <c r="R64" s="495"/>
      <c r="S64" s="495"/>
      <c r="T64" s="495"/>
      <c r="U64" s="495"/>
      <c r="V64" s="495"/>
      <c r="W64" s="495"/>
      <c r="X64" s="495"/>
      <c r="Y64" s="495"/>
      <c r="Z64" s="495"/>
      <c r="AA64" s="495"/>
      <c r="AB64" s="495"/>
      <c r="AC64" s="495"/>
      <c r="AD64" s="495"/>
      <c r="AE64" s="495"/>
    </row>
    <row r="65">
      <c r="A65" s="501"/>
      <c r="B65" s="495"/>
      <c r="C65" s="495"/>
      <c r="D65" s="495"/>
      <c r="E65" s="495"/>
      <c r="F65" s="495"/>
      <c r="G65" s="495"/>
      <c r="H65" s="495"/>
      <c r="I65" s="495"/>
      <c r="J65" s="495"/>
      <c r="K65" s="495"/>
      <c r="L65" s="495"/>
      <c r="M65" s="495"/>
      <c r="N65" s="495"/>
      <c r="O65" s="495"/>
      <c r="P65" s="495"/>
      <c r="Q65" s="495"/>
      <c r="R65" s="495"/>
      <c r="S65" s="495"/>
      <c r="T65" s="495"/>
      <c r="U65" s="495"/>
      <c r="V65" s="495"/>
      <c r="W65" s="495"/>
      <c r="X65" s="495"/>
      <c r="Y65" s="495"/>
      <c r="Z65" s="495"/>
      <c r="AA65" s="495"/>
      <c r="AB65" s="495"/>
      <c r="AC65" s="495"/>
      <c r="AD65" s="495"/>
      <c r="AE65" s="495"/>
    </row>
    <row r="66">
      <c r="A66" s="501"/>
      <c r="B66" s="495"/>
      <c r="C66" s="495"/>
      <c r="D66" s="495"/>
      <c r="E66" s="495"/>
      <c r="F66" s="495"/>
      <c r="G66" s="495"/>
      <c r="H66" s="495"/>
      <c r="I66" s="495"/>
      <c r="J66" s="495"/>
      <c r="K66" s="495"/>
      <c r="L66" s="495"/>
      <c r="M66" s="495"/>
      <c r="N66" s="495"/>
      <c r="O66" s="495"/>
      <c r="P66" s="495"/>
      <c r="Q66" s="495"/>
      <c r="R66" s="495"/>
      <c r="S66" s="495"/>
      <c r="T66" s="495"/>
      <c r="U66" s="495"/>
      <c r="V66" s="495"/>
      <c r="W66" s="495"/>
      <c r="X66" s="495"/>
      <c r="Y66" s="495"/>
      <c r="Z66" s="495"/>
      <c r="AA66" s="495"/>
      <c r="AB66" s="495"/>
      <c r="AC66" s="495"/>
      <c r="AD66" s="495"/>
      <c r="AE66" s="495"/>
    </row>
    <row r="67">
      <c r="A67" s="501"/>
      <c r="B67" s="495"/>
      <c r="C67" s="495"/>
      <c r="D67" s="495"/>
      <c r="E67" s="495"/>
      <c r="F67" s="495"/>
      <c r="G67" s="495"/>
      <c r="H67" s="495"/>
      <c r="I67" s="495"/>
      <c r="J67" s="495"/>
      <c r="K67" s="495"/>
      <c r="L67" s="495"/>
      <c r="M67" s="495"/>
      <c r="N67" s="495"/>
      <c r="O67" s="495"/>
      <c r="P67" s="495"/>
      <c r="Q67" s="495"/>
      <c r="R67" s="495"/>
      <c r="S67" s="495"/>
      <c r="T67" s="495"/>
      <c r="U67" s="495"/>
      <c r="V67" s="495"/>
      <c r="W67" s="495"/>
      <c r="X67" s="495"/>
      <c r="Y67" s="495"/>
      <c r="Z67" s="495"/>
      <c r="AA67" s="495"/>
      <c r="AB67" s="495"/>
      <c r="AC67" s="495"/>
      <c r="AD67" s="495"/>
      <c r="AE67" s="495"/>
    </row>
    <row r="68">
      <c r="A68" s="501"/>
      <c r="B68" s="495"/>
      <c r="C68" s="495"/>
      <c r="D68" s="495"/>
      <c r="E68" s="495"/>
      <c r="F68" s="495"/>
      <c r="G68" s="495"/>
      <c r="H68" s="495"/>
      <c r="I68" s="495"/>
      <c r="J68" s="495"/>
      <c r="K68" s="495"/>
      <c r="L68" s="495"/>
      <c r="M68" s="495"/>
      <c r="N68" s="495"/>
      <c r="O68" s="495"/>
      <c r="P68" s="495"/>
      <c r="Q68" s="495"/>
      <c r="R68" s="495"/>
      <c r="S68" s="495"/>
      <c r="T68" s="495"/>
      <c r="U68" s="495"/>
      <c r="V68" s="495"/>
      <c r="W68" s="495"/>
      <c r="X68" s="495"/>
      <c r="Y68" s="495"/>
      <c r="Z68" s="495"/>
      <c r="AA68" s="495"/>
      <c r="AB68" s="495"/>
      <c r="AC68" s="495"/>
      <c r="AD68" s="495"/>
      <c r="AE68" s="495"/>
    </row>
    <row r="69">
      <c r="A69" s="501"/>
      <c r="B69" s="495"/>
      <c r="C69" s="495"/>
      <c r="D69" s="495"/>
      <c r="E69" s="495"/>
      <c r="F69" s="495"/>
      <c r="G69" s="495"/>
      <c r="H69" s="495"/>
      <c r="I69" s="495"/>
      <c r="J69" s="495"/>
      <c r="K69" s="495"/>
      <c r="L69" s="495"/>
      <c r="M69" s="495"/>
      <c r="N69" s="495"/>
      <c r="O69" s="495"/>
      <c r="P69" s="495"/>
      <c r="Q69" s="495"/>
      <c r="R69" s="495"/>
      <c r="S69" s="495"/>
      <c r="T69" s="495"/>
      <c r="U69" s="495"/>
      <c r="V69" s="495"/>
      <c r="W69" s="495"/>
      <c r="X69" s="495"/>
      <c r="Y69" s="495"/>
      <c r="Z69" s="495"/>
      <c r="AA69" s="495"/>
      <c r="AB69" s="495"/>
      <c r="AC69" s="495"/>
      <c r="AD69" s="495"/>
      <c r="AE69" s="495"/>
    </row>
    <row r="70">
      <c r="A70" s="501"/>
      <c r="B70" s="495"/>
      <c r="C70" s="495"/>
      <c r="D70" s="495"/>
      <c r="E70" s="495"/>
      <c r="F70" s="495"/>
      <c r="G70" s="495"/>
      <c r="H70" s="495"/>
      <c r="I70" s="495"/>
      <c r="J70" s="495"/>
      <c r="K70" s="495"/>
      <c r="L70" s="495"/>
      <c r="M70" s="495"/>
      <c r="N70" s="495"/>
      <c r="O70" s="495"/>
      <c r="P70" s="495"/>
      <c r="Q70" s="495"/>
      <c r="R70" s="495"/>
      <c r="S70" s="495"/>
      <c r="T70" s="495"/>
      <c r="U70" s="495"/>
      <c r="V70" s="495"/>
      <c r="W70" s="495"/>
      <c r="X70" s="495"/>
      <c r="Y70" s="495"/>
      <c r="Z70" s="495"/>
      <c r="AA70" s="495"/>
      <c r="AB70" s="495"/>
      <c r="AC70" s="495"/>
      <c r="AD70" s="495"/>
      <c r="AE70" s="495"/>
    </row>
    <row r="71">
      <c r="A71" s="501"/>
      <c r="B71" s="495"/>
      <c r="C71" s="495"/>
      <c r="D71" s="495"/>
      <c r="E71" s="495"/>
      <c r="F71" s="495"/>
      <c r="G71" s="495"/>
      <c r="H71" s="495"/>
      <c r="I71" s="495"/>
      <c r="J71" s="495"/>
      <c r="K71" s="495"/>
      <c r="L71" s="495"/>
      <c r="M71" s="495"/>
      <c r="N71" s="495"/>
      <c r="O71" s="495"/>
      <c r="P71" s="495"/>
      <c r="Q71" s="495"/>
      <c r="R71" s="495"/>
      <c r="S71" s="495"/>
      <c r="T71" s="495"/>
      <c r="U71" s="495"/>
      <c r="V71" s="495"/>
      <c r="W71" s="495"/>
      <c r="X71" s="495"/>
      <c r="Y71" s="495"/>
      <c r="Z71" s="495"/>
      <c r="AA71" s="495"/>
      <c r="AB71" s="495"/>
      <c r="AC71" s="495"/>
      <c r="AD71" s="495"/>
      <c r="AE71" s="495"/>
    </row>
    <row r="72">
      <c r="A72" s="501"/>
      <c r="B72" s="495"/>
      <c r="C72" s="495"/>
      <c r="D72" s="495"/>
      <c r="E72" s="495"/>
      <c r="F72" s="495"/>
      <c r="G72" s="495"/>
      <c r="H72" s="495"/>
      <c r="I72" s="495"/>
      <c r="J72" s="495"/>
      <c r="K72" s="495"/>
      <c r="L72" s="495"/>
      <c r="M72" s="495"/>
      <c r="N72" s="495"/>
      <c r="O72" s="495"/>
      <c r="P72" s="495"/>
      <c r="Q72" s="495"/>
      <c r="R72" s="495"/>
      <c r="S72" s="495"/>
      <c r="T72" s="495"/>
      <c r="U72" s="495"/>
      <c r="V72" s="495"/>
      <c r="W72" s="495"/>
      <c r="X72" s="495"/>
      <c r="Y72" s="495"/>
      <c r="Z72" s="495"/>
      <c r="AA72" s="495"/>
      <c r="AB72" s="495"/>
      <c r="AC72" s="495"/>
      <c r="AD72" s="495"/>
      <c r="AE72" s="495"/>
    </row>
    <row r="73">
      <c r="A73" s="501"/>
      <c r="B73" s="495"/>
      <c r="C73" s="495"/>
      <c r="D73" s="495"/>
      <c r="E73" s="495"/>
      <c r="F73" s="495"/>
      <c r="G73" s="495"/>
      <c r="H73" s="495"/>
      <c r="I73" s="495"/>
      <c r="J73" s="495"/>
      <c r="K73" s="495"/>
      <c r="L73" s="495"/>
      <c r="M73" s="495"/>
      <c r="N73" s="495"/>
      <c r="O73" s="495"/>
      <c r="P73" s="495"/>
      <c r="Q73" s="495"/>
      <c r="R73" s="495"/>
      <c r="S73" s="495"/>
      <c r="T73" s="495"/>
      <c r="U73" s="495"/>
      <c r="V73" s="495"/>
      <c r="W73" s="495"/>
      <c r="X73" s="495"/>
      <c r="Y73" s="495"/>
      <c r="Z73" s="495"/>
      <c r="AA73" s="495"/>
      <c r="AB73" s="495"/>
      <c r="AC73" s="495"/>
      <c r="AD73" s="495"/>
      <c r="AE73" s="495"/>
    </row>
    <row r="74">
      <c r="A74" s="501"/>
      <c r="B74" s="495"/>
      <c r="C74" s="495"/>
      <c r="D74" s="495"/>
      <c r="E74" s="495"/>
      <c r="F74" s="495"/>
      <c r="G74" s="495"/>
      <c r="H74" s="495"/>
      <c r="I74" s="495"/>
      <c r="J74" s="495"/>
      <c r="K74" s="495"/>
      <c r="L74" s="495"/>
      <c r="M74" s="495"/>
      <c r="N74" s="495"/>
      <c r="O74" s="495"/>
      <c r="P74" s="495"/>
      <c r="Q74" s="495"/>
      <c r="R74" s="495"/>
      <c r="S74" s="495"/>
      <c r="T74" s="495"/>
      <c r="U74" s="495"/>
      <c r="V74" s="495"/>
      <c r="W74" s="495"/>
      <c r="X74" s="495"/>
      <c r="Y74" s="495"/>
      <c r="Z74" s="495"/>
      <c r="AA74" s="495"/>
      <c r="AB74" s="495"/>
      <c r="AC74" s="495"/>
      <c r="AD74" s="495"/>
      <c r="AE74" s="495"/>
    </row>
    <row r="75">
      <c r="A75" s="501"/>
      <c r="B75" s="495"/>
      <c r="C75" s="495"/>
      <c r="D75" s="495"/>
      <c r="E75" s="495"/>
      <c r="F75" s="495"/>
      <c r="G75" s="495"/>
      <c r="H75" s="495"/>
      <c r="I75" s="495"/>
      <c r="J75" s="495"/>
      <c r="K75" s="495"/>
      <c r="L75" s="495"/>
      <c r="M75" s="495"/>
      <c r="N75" s="495"/>
      <c r="O75" s="495"/>
      <c r="P75" s="495"/>
      <c r="Q75" s="495"/>
      <c r="R75" s="495"/>
      <c r="S75" s="495"/>
      <c r="T75" s="495"/>
      <c r="U75" s="495"/>
      <c r="V75" s="495"/>
      <c r="W75" s="495"/>
      <c r="X75" s="495"/>
      <c r="Y75" s="495"/>
      <c r="Z75" s="495"/>
      <c r="AA75" s="495"/>
      <c r="AB75" s="495"/>
      <c r="AC75" s="495"/>
      <c r="AD75" s="495"/>
      <c r="AE75" s="495"/>
    </row>
  </sheetData>
  <mergeCells count="7">
    <mergeCell ref="A1:AE1"/>
    <mergeCell ref="B2:AE2"/>
    <mergeCell ref="A8:AE8"/>
    <mergeCell ref="B9:AE9"/>
    <mergeCell ref="B13:AE13"/>
    <mergeCell ref="A24:E24"/>
    <mergeCell ref="B52:F52"/>
  </mergeCells>
  <hyperlinks>
    <hyperlink r:id="rId1" ref="C12"/>
    <hyperlink r:id="rId2" ref="H15"/>
    <hyperlink r:id="rId3" ref="H16"/>
  </hyperlinks>
  <drawing r:id="rId4"/>
</worksheet>
</file>