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y of changes" sheetId="1" r:id="rId4"/>
    <sheet state="visible" name="Overview" sheetId="2" r:id="rId5"/>
    <sheet state="visible" name="Sample" sheetId="3" r:id="rId6"/>
    <sheet state="visible" name="QA Boundary Test Checklist" sheetId="4" r:id="rId7"/>
    <sheet state="visible" name="Guideline" sheetId="5" r:id="rId8"/>
  </sheets>
  <definedNames>
    <definedName localSheetId="2" name="_FilterDatabase_0">Sample!$A$13:$P$13</definedName>
    <definedName localSheetId="2" name="_FilterDatabase_0_0_0_0_0_0_0_0_0">Sample!$A$13:$IE$21</definedName>
    <definedName localSheetId="2" name="_FilterDatabase_0_0_0_0_0">Sample!$A$13:$IE$13</definedName>
    <definedName localSheetId="2" name="_FilterDatabase_0_0_0_0">Sample!$A$13:$P$13</definedName>
    <definedName localSheetId="3" name="_FilterDatabase_0_0_0_0_0_0_0_0">'QA Boundary Test Checklist'!$A$13:$P$13</definedName>
    <definedName localSheetId="2" name="Excel_BuiltIn__FilterDatabase">Sample!$A$13:$P$13</definedName>
    <definedName localSheetId="3" name="Excel_BuiltIn__FilterDatabase">'QA Boundary Test Checklist'!$A$13:$P$13</definedName>
    <definedName localSheetId="3" name="_FilterDatabase_0">'QA Boundary Test Checklist'!$A$13:$P$13</definedName>
    <definedName localSheetId="2" name="_FilterDatabase_0_0">Sample!$A$13:$P$13</definedName>
    <definedName localSheetId="2" name="_FilterDatabase_0_0_0_0_0_0_0">Sample!$A$13:$IE$21</definedName>
    <definedName localSheetId="2" name="_FilterDatabase_0_0_0">Sample!$A$13:$IE$13</definedName>
    <definedName localSheetId="2" name="_FilterDatabase_0_0_0_0_0_0_0_0">Sample!$A$13:$P$13</definedName>
    <definedName localSheetId="3" name="_FilterDatabase_0_0_0_0">'QA Boundary Test Checklist'!$A$13:$P$13</definedName>
    <definedName localSheetId="3" name="_FilterDatabase_0_0_0_0_0_0">'QA Boundary Test Checklist'!$A$13:$P$13</definedName>
    <definedName localSheetId="3" name="_FilterDatabase_0_0">'QA Boundary Test Checklist'!$A$13:$P$13</definedName>
    <definedName localSheetId="3" name="_FilterDatabase_0_0_0_0_0">'QA Boundary Test Checklist'!$A$13:$IE$13</definedName>
    <definedName localSheetId="3" name="_FilterDatabase_0_0_0_0_0_0_0">'QA Boundary Test Checklist'!$A$13:$IE$13</definedName>
    <definedName localSheetId="3" name="_FilterDatabase_0_0_0">'QA Boundary Test Checklist'!$A$13:$IE$13</definedName>
    <definedName localSheetId="3" name="_FilterDatabase_0_0_0_0_0_0_0_0_0">'QA Boundary Test Checklist'!$A$13:$IE$13</definedName>
    <definedName localSheetId="2" name="_FilterDatabase_0_0_0_0_0_0">Sample!$A$13:$P$13</definedName>
  </definedNames>
  <calcPr/>
</workbook>
</file>

<file path=xl/sharedStrings.xml><?xml version="1.0" encoding="utf-8"?>
<sst xmlns="http://schemas.openxmlformats.org/spreadsheetml/2006/main" count="495" uniqueCount="309">
  <si>
    <t>TESTCASE</t>
  </si>
  <si>
    <t>No: BM-QT-1701-14</t>
  </si>
  <si>
    <t>Version: 2.4</t>
  </si>
  <si>
    <t>Issue Date: 22/09/2026</t>
  </si>
  <si>
    <t>SUN ASTERISK VIETNAM CO., LTD</t>
  </si>
  <si>
    <t>ISO/IEC 27001:2022 &amp; ISO 9001:2015</t>
  </si>
  <si>
    <t>HISTORY OF CHANGES</t>
  </si>
  <si>
    <t>No</t>
  </si>
  <si>
    <t>Change Item</t>
  </si>
  <si>
    <t>Description of changes</t>
  </si>
  <si>
    <t>Version</t>
  </si>
  <si>
    <t>Change Date</t>
  </si>
  <si>
    <t>Update format</t>
  </si>
  <si>
    <t>Sheet Overview</t>
  </si>
  <si>
    <t>Lược bỏ những thông tin không cần thiết</t>
  </si>
  <si>
    <t>Sheet Sample</t>
  </si>
  <si>
    <t>Bổ sung các phân loại Accessing, GUI, và Function vào Test Case để đảm bảo tính toàn diện trong thiết kế kịch bản kiểm thử, qua đó ngăn ngừa việc bỏ sót các yêu cầu ở mọi lớp của ứng dụng</t>
  </si>
  <si>
    <t>Sheet QA Boundary Test Checklist</t>
  </si>
  <si>
    <t>Bổ sung bộ test boundary cases, tập trung vào các điểm chuyển đổi thời gian (Datetime Transitions) nhằm ngăn ngừa việc bỏ sót các lỗi liên quan đến datetime.</t>
  </si>
  <si>
    <t>23/03/2026</t>
  </si>
  <si>
    <t>5</t>
  </si>
  <si>
    <t>All sheet</t>
  </si>
  <si>
    <t>Update mã biểu mẫu theo tiêu chuẩn ISO.</t>
  </si>
  <si>
    <t>2.4</t>
  </si>
  <si>
    <t>22/09/2026</t>
  </si>
  <si>
    <t>#</t>
  </si>
  <si>
    <t>Sheet name</t>
  </si>
  <si>
    <t>Passed</t>
  </si>
  <si>
    <t>Failed</t>
  </si>
  <si>
    <t>Pending</t>
  </si>
  <si>
    <t>N/A</t>
  </si>
  <si>
    <t>Remain</t>
  </si>
  <si>
    <t>Total</t>
  </si>
  <si>
    <t>Sample</t>
  </si>
  <si>
    <t xml:space="preserve">TESTCASE </t>
  </si>
  <si>
    <t>Total TCs</t>
  </si>
  <si>
    <t>Remaining</t>
  </si>
  <si>
    <t>Spec/Design link:</t>
  </si>
  <si>
    <t>*: Mandatory</t>
  </si>
  <si>
    <t>TC ID*</t>
  </si>
  <si>
    <t>{Category 1}</t>
  </si>
  <si>
    <t>{Category 2}</t>
  </si>
  <si>
    <t>{Category 3}</t>
  </si>
  <si>
    <t>{Category 4}</t>
  </si>
  <si>
    <t>Pre-condition</t>
  </si>
  <si>
    <t>Test Data</t>
  </si>
  <si>
    <t>Steps*</t>
  </si>
  <si>
    <t>Expected results*</t>
  </si>
  <si>
    <t>Priority</t>
  </si>
  <si>
    <t>Testcase type</t>
  </si>
  <si>
    <t>Test Result*</t>
  </si>
  <si>
    <t>Executed Date*</t>
  </si>
  <si>
    <t>Test Executor*</t>
  </si>
  <si>
    <t>Test Environment</t>
  </si>
  <si>
    <t>Note
(Test evidence, 
DefectID, Actual result)</t>
  </si>
  <si>
    <t>Accessing</t>
  </si>
  <si>
    <t>GUI</t>
  </si>
  <si>
    <r>
      <rPr>
        <rFont val="Arial"/>
        <b/>
      </rPr>
      <t xml:space="preserve">Function </t>
    </r>
    <r>
      <rPr>
        <rFont val="Arial"/>
        <b val="0"/>
      </rPr>
      <t>(Check QA Boundary sheet for critical datetime transition test cases)</t>
    </r>
  </si>
  <si>
    <r>
      <rPr>
        <rFont val="Arial"/>
        <sz val="10.0"/>
      </rPr>
      <t xml:space="preserve">- Tài liệu này cung cấp các test case tham chiếu để QA kiểm tra các tình huống boundary liên quan đến thời gian.
- Tập trung vào các điểm chuyển giao quan trọng: ngày, tháng, năm (day/month/year transition).
- Mục tiêu là hạn chế lỗi ở các logic phụ thuộc datetime (OTP, cronjob, subscription, payment, ...).
</t>
    </r>
    <r>
      <rPr>
        <rFont val="Arial"/>
        <b/>
        <color rgb="FFFF0000"/>
        <sz val="10.0"/>
      </rPr>
      <t>Lưu ý: 
- Không cover toàn bộ boundary cases, chỉ focus vào datetime transition.
- Một số test case cần QA phối hợp với Dev để chuẩn bị data, trigger đúng thời điểm, hoặc nhờ Dev hỗ trợ verify/evidence (log, DB, system time, ...).</t>
    </r>
  </si>
  <si>
    <t>Function</t>
  </si>
  <si>
    <t>OTP</t>
  </si>
  <si>
    <t>OTP verify</t>
  </si>
  <si>
    <t>Expire time</t>
  </si>
  <si>
    <t>Time limit</t>
  </si>
  <si>
    <t>OTP generated</t>
  </si>
  <si>
    <t>OTP at expire time</t>
  </si>
  <si>
    <t>Enter OTP</t>
  </si>
  <si>
    <t>OTP expired</t>
  </si>
  <si>
    <t>OTP = expire time -1s</t>
  </si>
  <si>
    <t>OTP still valid</t>
  </si>
  <si>
    <t>OTP = expire time +1s</t>
  </si>
  <si>
    <t>OTP invalid</t>
  </si>
  <si>
    <t>OTP resend</t>
  </si>
  <si>
    <t>Resend limit</t>
  </si>
  <si>
    <t>Attempt count</t>
  </si>
  <si>
    <t>Resend enabled</t>
  </si>
  <si>
    <t>Resend count = max</t>
  </si>
  <si>
    <t>Click resend</t>
  </si>
  <si>
    <t>Allowed</t>
  </si>
  <si>
    <t>Resend count = max +1</t>
  </si>
  <si>
    <t>Block resend</t>
  </si>
  <si>
    <t>Email/ Notification/ Push Notification</t>
  </si>
  <si>
    <t>Email send</t>
  </si>
  <si>
    <t>Day transition</t>
  </si>
  <si>
    <t>Email scheduled</t>
  </si>
  <si>
    <t>23:59 -&gt; 00:00</t>
  </si>
  <si>
    <t>Wait trigger</t>
  </si>
  <si>
    <t>Emails are sent to all configured users.</t>
  </si>
  <si>
    <t>Month transition</t>
  </si>
  <si>
    <t>Year transition</t>
  </si>
  <si>
    <t>Dec 31 -&gt; Jan 1</t>
  </si>
  <si>
    <t>Notification/ Push Notification</t>
  </si>
  <si>
    <t>Notification scheduled</t>
  </si>
  <si>
    <t>Notifications are sent to all configured users.</t>
  </si>
  <si>
    <t>23:59 -&gt; 00:01</t>
  </si>
  <si>
    <t>Authentication</t>
  </si>
  <si>
    <t>Login</t>
  </si>
  <si>
    <t>Session timeout</t>
  </si>
  <si>
    <t>Session expire</t>
  </si>
  <si>
    <t>User logged in</t>
  </si>
  <si>
    <t>Timeout exactly limit</t>
  </si>
  <si>
    <t>Do action</t>
  </si>
  <si>
    <t>Session expired</t>
  </si>
  <si>
    <t>Timeout -1s</t>
  </si>
  <si>
    <t>Session valid</t>
  </si>
  <si>
    <t>Timeout +1s</t>
  </si>
  <si>
    <t>Token verify</t>
  </si>
  <si>
    <t>Token expire</t>
  </si>
  <si>
    <t>Token validation</t>
  </si>
  <si>
    <t>Token generated</t>
  </si>
  <si>
    <t>Token at expire time</t>
  </si>
  <si>
    <t>API request</t>
  </si>
  <si>
    <t>Token invalid</t>
  </si>
  <si>
    <t>Token before expire</t>
  </si>
  <si>
    <t>Token valid</t>
  </si>
  <si>
    <t>Login attempt</t>
  </si>
  <si>
    <t>Max attempt</t>
  </si>
  <si>
    <t>Security limit</t>
  </si>
  <si>
    <t>Login page open</t>
  </si>
  <si>
    <t>Attempt = max limit</t>
  </si>
  <si>
    <t>Login wrong password</t>
  </si>
  <si>
    <t>Account locked</t>
  </si>
  <si>
    <t>Attempt = max -1</t>
  </si>
  <si>
    <t>Still allowed</t>
  </si>
  <si>
    <t>Batch / Cronjob</t>
  </si>
  <si>
    <t>Verify small/ medium/ large number of records</t>
  </si>
  <si>
    <t>Schedule time</t>
  </si>
  <si>
    <t>Cron schedule</t>
  </si>
  <si>
    <t>Cronjob config</t>
  </si>
  <si>
    <t>Exact scheduled time</t>
  </si>
  <si>
    <t>Wait until execution time</t>
  </si>
  <si>
    <t>Job runs successfully</t>
  </si>
  <si>
    <t>Schedule delay</t>
  </si>
  <si>
    <t>Time +1 min</t>
  </si>
  <si>
    <t>Wait execution</t>
  </si>
  <si>
    <t>Job still runs and processes all records</t>
  </si>
  <si>
    <t>Job run correctly to process all records</t>
  </si>
  <si>
    <t>Input Date</t>
  </si>
  <si>
    <t>Date input</t>
  </si>
  <si>
    <t>Min date</t>
  </si>
  <si>
    <t>Date range</t>
  </si>
  <si>
    <t>Date field exists</t>
  </si>
  <si>
    <t>Date = min</t>
  </si>
  <si>
    <t>Enter date</t>
  </si>
  <si>
    <t>Accepted</t>
  </si>
  <si>
    <t>Date = min -1</t>
  </si>
  <si>
    <t>Error</t>
  </si>
  <si>
    <t>Max date</t>
  </si>
  <si>
    <t>Date = max</t>
  </si>
  <si>
    <t>Date = max +1</t>
  </si>
  <si>
    <t>Data = 31 with month = 2, 4, 6, 9, 11</t>
  </si>
  <si>
    <t>Leap year</t>
  </si>
  <si>
    <t>Feb 29</t>
  </si>
  <si>
    <t>Feb 29 leap year</t>
  </si>
  <si>
    <t>Non leap year</t>
  </si>
  <si>
    <t>Feb 29 non leap</t>
  </si>
  <si>
    <t>Date format</t>
  </si>
  <si>
    <t>Multiple format</t>
  </si>
  <si>
    <t>Format validation</t>
  </si>
  <si>
    <t>Multi format allowed</t>
  </si>
  <si>
    <t>Year = 25</t>
  </si>
  <si>
    <t>System handle correctly</t>
  </si>
  <si>
    <t>Year = 2005</t>
  </si>
  <si>
    <t>Timezone</t>
  </si>
  <si>
    <t>Cross timezone</t>
  </si>
  <si>
    <t>Time difference</t>
  </si>
  <si>
    <t>Multi timezone system</t>
  </si>
  <si>
    <t>Same datetime diff timezone</t>
  </si>
  <si>
    <t>Submit</t>
  </si>
  <si>
    <t>Stored correctly</t>
  </si>
  <si>
    <t>End day</t>
  </si>
  <si>
    <t>DateTime field</t>
  </si>
  <si>
    <t>Subscription</t>
  </si>
  <si>
    <t>Subscription expiry</t>
  </si>
  <si>
    <t>Expire boundary</t>
  </si>
  <si>
    <t>Subscription active</t>
  </si>
  <si>
    <t>Verify expiry when subscription duration is calculated by days or by months, especially when crossing months with 28 / 29 / 30 / 31 days.</t>
  </si>
  <si>
    <t>Access service</t>
  </si>
  <si>
    <t>Subscription expires correctly at the defined expiry time</t>
  </si>
  <si>
    <t>Expire date -1s</t>
  </si>
  <si>
    <t>Subscription still valid</t>
  </si>
  <si>
    <t>Expire date +1s</t>
  </si>
  <si>
    <t>Subscription invalid</t>
  </si>
  <si>
    <t>Renewal</t>
  </si>
  <si>
    <t>Renewal before expiry</t>
  </si>
  <si>
    <t>Date boundary</t>
  </si>
  <si>
    <t>Renew = expire -1 day</t>
  </si>
  <si>
    <t>Renew subscription</t>
  </si>
  <si>
    <t>Renewal after expiry</t>
  </si>
  <si>
    <t>Subscription expired</t>
  </si>
  <si>
    <t>Renew = expire +1 day</t>
  </si>
  <si>
    <t>Reject / require new subscription</t>
  </si>
  <si>
    <t>Auto renewal</t>
  </si>
  <si>
    <t>Renewal schedule</t>
  </si>
  <si>
    <t>Auto-renew enabled</t>
  </si>
  <si>
    <t>Expire 23:59 -&gt; renew 00:00</t>
  </si>
  <si>
    <t>Subscription renewed successfully</t>
  </si>
  <si>
    <t>Subscription expire at the last days of month, verify renewal when transitioning to the 1st day of the next month. 
Test scenarios include expiry dates: 
- Month with 31 days → next month 1st 
- Month with 30 days → next month 1st 
- Feb 28 → Mar 1 (non-leap year) 
- Feb 29 → Mar 1 (leap year)</t>
  </si>
  <si>
    <t>Subscription renewed s</t>
  </si>
  <si>
    <t>Expire Dec 31 -&gt; Jan 1</t>
  </si>
  <si>
    <t>Billing cycle</t>
  </si>
  <si>
    <t>End-of-month start date</t>
  </si>
  <si>
    <t>Month boundary</t>
  </si>
  <si>
    <t>Monthly subscription active</t>
  </si>
  <si>
    <t>Start date = 28 / 29 / 30 / 31</t>
  </si>
  <si>
    <t>Generate next billing</t>
  </si>
  <si>
    <t>System calculates correct billing date</t>
  </si>
  <si>
    <t>Short month transition</t>
  </si>
  <si>
    <t>Start date = 29 / 30 / 31, next month shorter</t>
  </si>
  <si>
    <t>Billing date adjusted to last valid day</t>
  </si>
  <si>
    <t>Leap year handling</t>
  </si>
  <si>
    <t>Expire Feb 29 (leap year)</t>
  </si>
  <si>
    <t>System process</t>
  </si>
  <si>
    <t>Expire Feb 29 (non leap)</t>
  </si>
  <si>
    <t>Grace period</t>
  </si>
  <si>
    <t>Expiry + grace</t>
  </si>
  <si>
    <t>Grace period configured</t>
  </si>
  <si>
    <t>Expire + grace limit</t>
  </si>
  <si>
    <t>Last allowed</t>
  </si>
  <si>
    <t>Grace boundary</t>
  </si>
  <si>
    <t>Expire + grace +1s</t>
  </si>
  <si>
    <t>Access denied</t>
  </si>
  <si>
    <t>Plan downgrade/upgrade</t>
  </si>
  <si>
    <t>Change plan exactly at billing date</t>
  </si>
  <si>
    <t>Update plan</t>
  </si>
  <si>
    <t>Change plan after billing date +1 day</t>
  </si>
  <si>
    <t>Apply next cycle / Apply immediately by converting the remaining days into the new subscription plan (following project logic)</t>
  </si>
  <si>
    <t>Subscription payment</t>
  </si>
  <si>
    <t>Expiry boundary</t>
  </si>
  <si>
    <t>Subscription about to expire</t>
  </si>
  <si>
    <t>Submit payment right before subscription expiry</t>
  </si>
  <si>
    <t>Submit payment</t>
  </si>
  <si>
    <t>Submit payment immediately after expiry</t>
  </si>
  <si>
    <t>Payment processed and subscription reactivated correctly</t>
  </si>
  <si>
    <t>Payment</t>
  </si>
  <si>
    <t>Payment amount</t>
  </si>
  <si>
    <t>Min / Max amount</t>
  </si>
  <si>
    <t>Amount boundary</t>
  </si>
  <si>
    <t>Payment page opened</t>
  </si>
  <si>
    <t>amount = min / min-1 / max / max+1</t>
  </si>
  <si>
    <t>System validates amount correctly</t>
  </si>
  <si>
    <t>Amount rounding</t>
  </si>
  <si>
    <t>Rounding boundary</t>
  </si>
  <si>
    <t>Calculation boundary</t>
  </si>
  <si>
    <t>Fee/tax enabled</t>
  </si>
  <si>
    <t>x.xxx values near rounding</t>
  </si>
  <si>
    <t>Amount rounded correctly</t>
  </si>
  <si>
    <t>Payment retry</t>
  </si>
  <si>
    <t>Retry limit</t>
  </si>
  <si>
    <t>Attempt boundary</t>
  </si>
  <si>
    <t>Payment failed</t>
  </si>
  <si>
    <t>retry = limit-1 / limit / limit+1</t>
  </si>
  <si>
    <t>Retry payment</t>
  </si>
  <si>
    <t>Retry limit enforced</t>
  </si>
  <si>
    <t>Wallet payment</t>
  </si>
  <si>
    <t>Balance boundary</t>
  </si>
  <si>
    <t>Wallet enabled</t>
  </si>
  <si>
    <t>balance = amount / amount-1 / amount+1</t>
  </si>
  <si>
    <t>Pay with wallet</t>
  </si>
  <si>
    <t>Payment validated correctly</t>
  </si>
  <si>
    <t>Refund</t>
  </si>
  <si>
    <t>Refund amount</t>
  </si>
  <si>
    <t>Payment completed</t>
  </si>
  <si>
    <t>refund = 0 / partial / full / &gt;paid</t>
  </si>
  <si>
    <t>Submit refund</t>
  </si>
  <si>
    <t>Refund validation correct</t>
  </si>
  <si>
    <t>Gateway response</t>
  </si>
  <si>
    <t>Timeout boundary</t>
  </si>
  <si>
    <t>Payment initiated</t>
  </si>
  <si>
    <t>response time = limit-1 / limit / limit+1</t>
  </si>
  <si>
    <t>Wait gateway response</t>
  </si>
  <si>
    <t>System handles timeout correctly</t>
  </si>
  <si>
    <t>Gateway callback</t>
  </si>
  <si>
    <t>Callback delay</t>
  </si>
  <si>
    <t>Payment pending</t>
  </si>
  <si>
    <t>Gateway callback received after timeout boundary</t>
  </si>
  <si>
    <t>Process callback</t>
  </si>
  <si>
    <t>System handles callback correctly without duplicate transaction</t>
  </si>
  <si>
    <t>Payment processing</t>
  </si>
  <si>
    <t>Submit payment at 23:59:59 → 00:00:00</t>
  </si>
  <si>
    <t>Payment processed successfully and transaction time recorded correctly</t>
  </si>
  <si>
    <t>Submit payment at last day of month → first day of next month</t>
  </si>
  <si>
    <t>Payment processed correctly without transaction error</t>
  </si>
  <si>
    <t>Submit payment at Dec 31 23:59 → Jan 1 00:00</t>
  </si>
  <si>
    <t>Payment processed correctly and recorded in correct year</t>
  </si>
  <si>
    <t>Timezone difference</t>
  </si>
  <si>
    <t>Multi-timezone system</t>
  </si>
  <si>
    <t>Payment initiated in different timezone near date change</t>
  </si>
  <si>
    <t>Transaction time stored correctly and consistent across system</t>
  </si>
  <si>
    <t>Payment settlement</t>
  </si>
  <si>
    <t>Cronjob boundary</t>
  </si>
  <si>
    <t>Payment recorded</t>
  </si>
  <si>
    <t>Settlement time near scheduled cronjob execution</t>
  </si>
  <si>
    <t>Wait settlement job</t>
  </si>
  <si>
    <t>Payment included in correct settlement batch</t>
  </si>
  <si>
    <t>1. Sheet Overview</t>
  </si>
  <si>
    <t>Mô tả thông tin danh sách các sheet testcase</t>
  </si>
  <si>
    <t>2. Sheet Sample</t>
  </si>
  <si>
    <t>+ Các cột (*) là các cột bắt buộc, cần phải nhập nội dung.</t>
  </si>
  <si>
    <t>+ Các cột không có (*) là các cột không bắt buộc, tùy vào yêu cầu đặc thù của dự án. Nếu trường hợp dự án không cần thông tin đó thì tiến hành hide hoặc xóa các cột đó đi.</t>
  </si>
  <si>
    <r>
      <rPr>
        <rFont val="Arial"/>
        <sz val="10.0"/>
      </rPr>
      <t>+ Các cột có tiêu đề là</t>
    </r>
    <r>
      <rPr>
        <rFont val="Arial"/>
        <b/>
        <sz val="10.0"/>
      </rPr>
      <t xml:space="preserve"> {Category 1,2,3,4}</t>
    </r>
    <r>
      <rPr>
        <rFont val="Arial"/>
        <sz val="10.0"/>
      </rPr>
      <t xml:space="preserve"> là tiêu đề tạm, QA khi tạo testcase tự define tên theo mong muốn.</t>
    </r>
  </si>
  <si>
    <t>3. Cách nhập Test Result</t>
  </si>
  <si>
    <t>Nhập nội dung này nếu testcase đã được thực hiện và kết quả đã test đúng như Expected result</t>
  </si>
  <si>
    <t>Nhập nội dung này nếu testcase đã được thực hiện và kết quả đã test không đúng như Expected result.
Cần phải nhập lý do Failed hoặc ticket có liên quan vào cột Note</t>
  </si>
  <si>
    <t>Nhập nội dung này nếu testcase đã được thực hiện, tuy nhiên còn chưa kết luận được là Passed hay Failed do đang confirm với các bên liên quan.
Cần phải nhập lý do Pending hoặc ticket có liên quan vào cột Note</t>
  </si>
  <si>
    <t xml:space="preserve">Nhập nội dung này nếu testcase thuộc đối tượng cần phải thực hiện trong đợt test, tuy nhiên vì lý do thiếu môi trường test, thiếu thiết bị ... nên đã không thể thực hiện được.
Với trường hợp này, không cần phải nhập tên tester và execute date.  Tuy nhiên cần phải nhập lý do vì sao đã không thể test được vào cột Note </t>
  </si>
  <si>
    <t>4. Tham khảo common Tcs: Link</t>
  </si>
  <si>
    <t xml:space="preserve">5. Tham khảo sheet QA Boundary Test Checklist: </t>
  </si>
  <si>
    <r>
      <rPr>
        <rFont val="Arial"/>
        <color rgb="FF000000"/>
        <sz val="10.0"/>
      </rPr>
      <t xml:space="preserve">- Tài liệu này cung cấp các test case tham chiếu để QA kiểm tra các tình huống boundary liên quan đến thời gian.
- Tập trung vào các điểm chuyển giao quan trọng: ngày, tháng, năm (day/month/year transition).
- Mục tiêu là hạn chế lỗi ở các logic phụ thuộc datetime (OTP, cronjob, subscription, payment, ...).
</t>
    </r>
    <r>
      <rPr>
        <rFont val="Arial"/>
        <b/>
        <color rgb="FF000000"/>
        <sz val="10.0"/>
      </rPr>
      <t>Lưu ý: Không cover toàn bộ boundary cases, chỉ focus vào datetime transition.</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</si>
</sst>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d.m"/>
    <numFmt numFmtId="166" formatCode="yyyy/mm/dd"/>
  </numFmts>
  <fonts count="25">
    <font>
      <sz val="10.0"/>
      <color rgb="FF000000"/>
      <name val="Arial"/>
    </font>
    <font>
      <b/>
      <sz val="24.0"/>
      <name val="Times New Roman"/>
    </font>
    <font/>
    <font>
      <b/>
      <sz val="18.0"/>
      <name val="Times New Roman"/>
    </font>
    <font>
      <sz val="12.0"/>
      <name val="Times New Roman"/>
    </font>
    <font>
      <sz val="12.0"/>
      <color rgb="FF000000"/>
      <name val="Times New Roman"/>
    </font>
    <font>
      <b/>
      <sz val="10.0"/>
      <name val="Times New Roman"/>
    </font>
    <font>
      <b/>
      <sz val="14.0"/>
      <name val="Times New Roman"/>
    </font>
    <font>
      <b/>
      <sz val="12.0"/>
      <name val="Arial"/>
    </font>
    <font>
      <b/>
      <sz val="10.0"/>
      <name val="Arial"/>
    </font>
    <font>
      <name val="Arial"/>
    </font>
    <font>
      <sz val="10.0"/>
      <name val="Arial"/>
    </font>
    <font>
      <b/>
      <sz val="10.0"/>
      <color rgb="FF000000"/>
      <name val="Arial"/>
    </font>
    <font>
      <b/>
      <sz val="10.0"/>
      <color rgb="FFFF0000"/>
      <name val="Arial"/>
    </font>
    <font>
      <sz val="10.0"/>
      <color rgb="FFFF0000"/>
      <name val="Arial"/>
    </font>
    <font>
      <b/>
      <sz val="10.0"/>
      <color rgb="FF333333"/>
      <name val="Arial"/>
    </font>
    <font>
      <sz val="11.0"/>
      <color rgb="FF000000"/>
      <name val="Calibri"/>
    </font>
    <font>
      <sz val="11.0"/>
      <color rgb="FF008000"/>
      <name val="Calibri"/>
    </font>
    <font>
      <sz val="11.0"/>
      <color rgb="FF993300"/>
      <name val="Calibri"/>
    </font>
    <font>
      <sz val="10.0"/>
      <color rgb="FF333333"/>
      <name val="Arial"/>
    </font>
    <font>
      <b/>
      <name val="Arial"/>
    </font>
    <font>
      <sz val="11.0"/>
      <name val="Arial"/>
    </font>
    <font>
      <color rgb="FF333333"/>
      <name val="Arial"/>
    </font>
    <font>
      <sz val="11.0"/>
      <color rgb="FF333333"/>
      <name val="Arial"/>
    </font>
    <font>
      <b/>
      <u/>
      <sz val="10.0"/>
      <color rgb="FF0000FF"/>
      <name val="Arial"/>
    </font>
  </fonts>
  <fills count="4">
    <fill>
      <patternFill patternType="none"/>
    </fill>
    <fill>
      <patternFill patternType="lightGray"/>
    </fill>
    <fill>
      <patternFill patternType="solid">
        <fgColor rgb="FFD9D2E9"/>
        <bgColor rgb="FFD9D2E9"/>
      </patternFill>
    </fill>
    <fill>
      <patternFill patternType="solid">
        <fgColor rgb="FFFFFFFF"/>
        <bgColor rgb="FFFFFFFF"/>
      </patternFill>
    </fill>
  </fills>
  <borders count="4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border>
    <border>
      <right style="thin">
        <color rgb="FFFFFFFF"/>
      </right>
    </border>
    <border>
      <left style="thin">
        <color rgb="FF000000"/>
      </left>
      <right style="thin">
        <color rgb="FF000000"/>
      </right>
      <top style="thin">
        <color rgb="FF000000"/>
      </top>
      <bottom style="thin">
        <color rgb="FF000000"/>
      </bottom>
    </border>
    <border>
      <bottom style="thin">
        <color rgb="FF000000"/>
      </bottom>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border>
    <border>
      <left style="thin">
        <color rgb="FFFFFFFF"/>
      </left>
      <right style="thin">
        <color rgb="FFFFFFFF"/>
      </right>
      <top style="thin">
        <color rgb="FFFFFFFF"/>
      </top>
    </border>
    <border>
      <left style="thin">
        <color rgb="FFFFFFFF"/>
      </left>
      <right style="thin">
        <color rgb="FFFFFFFF"/>
      </right>
      <top style="thin">
        <color rgb="FFFFFFFF"/>
      </top>
      <bottom style="thin">
        <color rgb="FFFFFFFF"/>
      </bottom>
    </border>
    <border>
      <left/>
      <right/>
      <top/>
      <bottom/>
    </border>
    <border>
      <right style="thin">
        <color rgb="FFFFFFFF"/>
      </right>
      <top style="thin">
        <color rgb="FFFFFFFF"/>
      </top>
      <bottom style="thin">
        <color rgb="FFFFFFFF"/>
      </bottom>
    </border>
    <border>
      <left style="thin">
        <color rgb="FF000000"/>
      </left>
      <top style="thin">
        <color rgb="FF000000"/>
      </top>
      <bottom style="thin">
        <color rgb="FFFFFFFF"/>
      </bottom>
    </border>
    <border>
      <right style="thin">
        <color rgb="FF000000"/>
      </right>
      <top style="thin">
        <color rgb="FF000000"/>
      </top>
      <bottom style="thin">
        <color rgb="FFFFFFFF"/>
      </bottom>
    </border>
    <border>
      <right style="thin">
        <color rgb="FFFFFFFF"/>
      </right>
      <top style="thin">
        <color rgb="FF000000"/>
      </top>
      <bottom style="thin">
        <color rgb="FFFFFFFF"/>
      </bottom>
    </border>
    <border>
      <left style="thin">
        <color rgb="FF000000"/>
      </left>
      <bottom style="thin">
        <color rgb="FFFFFFFF"/>
      </bottom>
    </border>
    <border>
      <right style="thin">
        <color rgb="FF000000"/>
      </right>
      <bottom style="thin">
        <color rgb="FFFFFFFF"/>
      </bottom>
    </border>
    <border>
      <left/>
      <right/>
      <top/>
    </border>
    <border>
      <left/>
    </border>
    <border>
      <left/>
      <right style="thin">
        <color rgb="FFFFFFFF"/>
      </right>
      <top style="thin">
        <color rgb="FFFFFFFF"/>
      </top>
      <bottom style="thin">
        <color rgb="FFFFFFFF"/>
      </bottom>
    </border>
    <border>
      <left style="thin">
        <color rgb="FFFFFFFF"/>
      </left>
      <top style="thin">
        <color rgb="FFFFFFFF"/>
      </top>
      <bottom style="thin">
        <color rgb="FFFFFFFF"/>
      </bottom>
    </border>
    <border>
      <left/>
      <right style="thin">
        <color rgb="FFFFFFFF"/>
      </right>
      <bottom style="thin">
        <color rgb="FFFFFFFF"/>
      </bottom>
    </border>
    <border>
      <left style="hair">
        <color rgb="FF000000"/>
      </left>
      <right style="hair">
        <color rgb="FF000000"/>
      </right>
      <top style="hair">
        <color rgb="FF000000"/>
      </top>
      <bottom style="hair">
        <color rgb="FF000000"/>
      </bottom>
    </border>
    <border>
      <left style="hair">
        <color rgb="FF000000"/>
      </left>
      <right style="hair">
        <color rgb="FF000000"/>
      </right>
      <bottom style="hair">
        <color rgb="FF000000"/>
      </bottom>
    </border>
    <border>
      <left style="hair">
        <color rgb="FF000000"/>
      </left>
      <top style="hair">
        <color rgb="FF000000"/>
      </top>
      <bottom style="hair">
        <color rgb="FF000000"/>
      </bottom>
    </border>
    <border>
      <top style="hair">
        <color rgb="FF000000"/>
      </top>
      <bottom style="hair">
        <color rgb="FF000000"/>
      </bottom>
    </border>
    <border>
      <bottom style="hair">
        <color rgb="FF000000"/>
      </bottom>
    </border>
    <border>
      <right style="hair">
        <color rgb="FF000000"/>
      </right>
      <bottom style="hair">
        <color rgb="FF000000"/>
      </bottom>
    </border>
    <border>
      <left style="hair">
        <color rgb="FF000000"/>
      </left>
      <right style="hair">
        <color rgb="FF000000"/>
      </right>
      <top style="hair">
        <color rgb="FF000000"/>
      </top>
    </border>
    <border>
      <right style="hair">
        <color rgb="FF000000"/>
      </right>
      <top style="hair">
        <color rgb="FF000000"/>
      </top>
      <bottom style="hair">
        <color rgb="FF000000"/>
      </bottom>
    </border>
    <border>
      <left style="hair">
        <color rgb="FF000000"/>
      </left>
      <right style="hair">
        <color rgb="FF000000"/>
      </right>
    </border>
    <border>
      <right style="hair">
        <color rgb="FF000000"/>
      </right>
    </border>
  </borders>
  <cellStyleXfs count="1">
    <xf borderId="0" fillId="0" fontId="0" numFmtId="0" applyAlignment="1" applyFont="1"/>
  </cellStyleXfs>
  <cellXfs count="184">
    <xf borderId="0" fillId="0" fontId="0" numFmtId="0" xfId="0" applyAlignment="1" applyFont="1">
      <alignment readingOrder="0" shrinkToFit="0" vertical="top" wrapText="0"/>
    </xf>
    <xf borderId="1" fillId="0" fontId="1" numFmtId="0" xfId="0" applyAlignment="1" applyBorder="1" applyFont="1">
      <alignment horizontal="center" vertical="center"/>
    </xf>
    <xf borderId="2" fillId="0" fontId="2" numFmtId="0" xfId="0" applyAlignment="1" applyBorder="1" applyFont="1">
      <alignment vertical="top"/>
    </xf>
    <xf borderId="1" fillId="0" fontId="3" numFmtId="0" xfId="0" applyAlignment="1" applyBorder="1" applyFont="1">
      <alignment horizontal="center" shrinkToFit="0" vertical="center" wrapText="1"/>
    </xf>
    <xf borderId="1" fillId="0" fontId="4" numFmtId="0" xfId="0" applyAlignment="1" applyBorder="1" applyFont="1">
      <alignment readingOrder="0" vertical="center"/>
    </xf>
    <xf borderId="3" fillId="0" fontId="2" numFmtId="0" xfId="0" applyAlignment="1" applyBorder="1" applyFont="1">
      <alignment vertical="top"/>
    </xf>
    <xf borderId="4" fillId="0" fontId="2" numFmtId="0" xfId="0" applyAlignment="1" applyBorder="1" applyFont="1">
      <alignment vertical="top"/>
    </xf>
    <xf borderId="4" fillId="0" fontId="5" numFmtId="0" xfId="0" applyAlignment="1" applyBorder="1" applyFont="1">
      <alignment readingOrder="0" vertical="center"/>
    </xf>
    <xf borderId="5" fillId="0" fontId="2" numFmtId="0" xfId="0" applyAlignment="1" applyBorder="1" applyFont="1">
      <alignment vertical="top"/>
    </xf>
    <xf borderId="6" fillId="0" fontId="5" numFmtId="0" xfId="0" applyAlignment="1" applyBorder="1" applyFont="1">
      <alignment readingOrder="0" shrinkToFit="0" vertical="center" wrapText="0"/>
    </xf>
    <xf borderId="7" fillId="0" fontId="2" numFmtId="0" xfId="0" applyAlignment="1" applyBorder="1" applyFont="1">
      <alignment vertical="top"/>
    </xf>
    <xf borderId="8" fillId="0" fontId="6" numFmtId="0" xfId="0" applyAlignment="1" applyBorder="1" applyFont="1">
      <alignment vertical="center"/>
    </xf>
    <xf borderId="9" fillId="0" fontId="2" numFmtId="0" xfId="0" applyAlignment="1" applyBorder="1" applyFont="1">
      <alignment vertical="top"/>
    </xf>
    <xf borderId="10" fillId="0" fontId="2" numFmtId="0" xfId="0" applyAlignment="1" applyBorder="1" applyFont="1">
      <alignment vertical="top"/>
    </xf>
    <xf borderId="6" fillId="0" fontId="6" numFmtId="0" xfId="0" applyAlignment="1" applyBorder="1" applyFont="1">
      <alignment horizontal="right" shrinkToFit="0" vertical="center" wrapText="1"/>
    </xf>
    <xf borderId="11" fillId="0" fontId="7" numFmtId="0" xfId="0" applyAlignment="1" applyBorder="1" applyFont="1">
      <alignment horizontal="center" shrinkToFit="0" vertical="center" wrapText="1"/>
    </xf>
    <xf borderId="12" fillId="0" fontId="2" numFmtId="0" xfId="0" applyAlignment="1" applyBorder="1" applyFont="1">
      <alignment vertical="top"/>
    </xf>
    <xf borderId="11" fillId="0" fontId="8" numFmtId="0" xfId="0" applyAlignment="1" applyBorder="1" applyFont="1">
      <alignment horizontal="center" shrinkToFit="0" vertical="center" wrapText="1"/>
    </xf>
    <xf borderId="13" fillId="2" fontId="9" numFmtId="0" xfId="0" applyAlignment="1" applyBorder="1" applyFill="1" applyFont="1">
      <alignment horizontal="center" shrinkToFit="0" vertical="center" wrapText="1"/>
    </xf>
    <xf borderId="8" fillId="2" fontId="9" numFmtId="0" xfId="0" applyAlignment="1" applyBorder="1" applyFill="1" applyFont="1">
      <alignment horizontal="center" shrinkToFit="0" vertical="center" wrapText="1"/>
    </xf>
    <xf borderId="8" fillId="2" fontId="9" numFmtId="0" xfId="0" applyAlignment="1" applyBorder="1" applyFill="1" applyFont="1">
      <alignment horizontal="center" readingOrder="0" shrinkToFit="0" vertical="center" wrapText="1"/>
    </xf>
    <xf borderId="13" fillId="0" fontId="10" numFmtId="0" xfId="0" applyAlignment="1" applyBorder="1" applyFont="1">
      <alignment horizontal="center" shrinkToFit="0" vertical="top" wrapText="1"/>
    </xf>
    <xf borderId="8" fillId="0" fontId="10" numFmtId="0" xfId="0" applyAlignment="1" applyBorder="1" applyFont="1">
      <alignment vertical="top"/>
    </xf>
    <xf borderId="8" fillId="0" fontId="10" numFmtId="0" xfId="0" applyAlignment="1" applyBorder="1" applyFont="1">
      <alignment shrinkToFit="0" vertical="top" wrapText="1"/>
    </xf>
    <xf borderId="8" fillId="0" fontId="10" numFmtId="164" xfId="0" applyAlignment="1" applyBorder="1" applyFont="1" applyNumberFormat="1">
      <alignment horizontal="center" shrinkToFit="0" vertical="top" wrapText="1"/>
    </xf>
    <xf borderId="13" fillId="0" fontId="10" numFmtId="164" xfId="0" applyAlignment="1" applyBorder="1" applyFont="1" applyNumberFormat="1">
      <alignment horizontal="center" shrinkToFit="0" vertical="top" wrapText="1"/>
    </xf>
    <xf borderId="13" fillId="0" fontId="11" numFmtId="0" xfId="0" applyAlignment="1" applyBorder="1" applyFont="1">
      <alignment horizontal="center" shrinkToFit="0" vertical="center" wrapText="1"/>
    </xf>
    <xf borderId="8" fillId="0" fontId="11"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13" fillId="0" fontId="11" numFmtId="0" xfId="0" applyAlignment="1" applyBorder="1" applyFont="1">
      <alignment horizontal="center" readingOrder="0" shrinkToFit="0" vertical="center" wrapText="1"/>
    </xf>
    <xf borderId="1" fillId="0" fontId="11" numFmtId="0" xfId="0" applyAlignment="1" applyBorder="1" applyFont="1">
      <alignment horizontal="left" readingOrder="0" shrinkToFit="0" vertical="center" wrapText="1"/>
    </xf>
    <xf borderId="14" fillId="0" fontId="2" numFmtId="0" xfId="0" applyAlignment="1" applyBorder="1" applyFont="1">
      <alignment readingOrder="0" shrinkToFit="0" vertical="center" wrapText="1"/>
    </xf>
    <xf borderId="14" fillId="0" fontId="2" numFmtId="0" xfId="0" applyAlignment="1" applyBorder="1" applyFont="1">
      <alignment vertical="top"/>
    </xf>
    <xf borderId="8" fillId="0" fontId="10" numFmtId="165" xfId="0" applyAlignment="1" applyBorder="1" applyFont="1" applyNumberFormat="1">
      <alignment horizontal="center" readingOrder="0" shrinkToFit="0" vertical="top" wrapText="1"/>
    </xf>
    <xf borderId="13" fillId="0" fontId="10" numFmtId="0" xfId="0" applyAlignment="1" applyBorder="1" applyFont="1">
      <alignment horizontal="center" readingOrder="0" shrinkToFit="0" vertical="top" wrapText="1"/>
    </xf>
    <xf quotePrefix="1" borderId="13" fillId="0" fontId="11" numFmtId="0" xfId="0" applyAlignment="1" applyBorder="1" applyFont="1">
      <alignment horizontal="center" readingOrder="0" shrinkToFit="0" vertical="center" wrapText="1"/>
    </xf>
    <xf borderId="2" fillId="0" fontId="11" numFmtId="0" xfId="0" applyAlignment="1" applyBorder="1" applyFont="1">
      <alignment horizontal="left" readingOrder="0" shrinkToFit="0" vertical="center" wrapText="1"/>
    </xf>
    <xf quotePrefix="1" borderId="8" fillId="0" fontId="10" numFmtId="0" xfId="0" applyAlignment="1" applyBorder="1" applyFont="1">
      <alignment horizontal="center" readingOrder="0" shrinkToFit="0" vertical="top" wrapText="1"/>
    </xf>
    <xf quotePrefix="1" borderId="13" fillId="0" fontId="10" numFmtId="0" xfId="0" applyAlignment="1" applyBorder="1" applyFont="1">
      <alignment horizontal="center" readingOrder="0" shrinkToFit="0" vertical="top" wrapText="1"/>
    </xf>
    <xf borderId="13" fillId="0" fontId="12" numFmtId="0" xfId="0" applyAlignment="1" applyBorder="1" applyFont="1">
      <alignment horizontal="center" shrinkToFit="0" vertical="center" wrapText="1"/>
    </xf>
    <xf borderId="9" fillId="0" fontId="0" numFmtId="0" xfId="0" applyAlignment="1" applyBorder="1" applyFont="1">
      <alignment horizontal="left" shrinkToFit="0" vertical="center" wrapText="1"/>
    </xf>
    <xf borderId="8" fillId="0" fontId="0" numFmtId="0" xfId="0" applyAlignment="1" applyBorder="1" applyFont="1">
      <alignment horizontal="left" shrinkToFit="0" vertical="center" wrapText="1"/>
    </xf>
    <xf borderId="8" fillId="0" fontId="10" numFmtId="164" xfId="0" applyAlignment="1" applyBorder="1" applyFont="1" applyNumberFormat="1">
      <alignment shrinkToFit="0" vertical="top" wrapText="1"/>
    </xf>
    <xf borderId="13" fillId="0" fontId="10" numFmtId="164" xfId="0" applyAlignment="1" applyBorder="1" applyFont="1" applyNumberFormat="1">
      <alignment shrinkToFit="0" vertical="top" wrapText="1"/>
    </xf>
    <xf borderId="13" fillId="0" fontId="13" numFmtId="0" xfId="0" applyAlignment="1" applyBorder="1" applyFont="1">
      <alignment horizontal="center" shrinkToFit="0" vertical="center" wrapText="1"/>
    </xf>
    <xf borderId="8" fillId="0" fontId="14" numFmtId="0" xfId="0" applyAlignment="1" applyBorder="1" applyFont="1">
      <alignment horizontal="left" shrinkToFit="0" vertical="center" wrapText="1"/>
    </xf>
    <xf borderId="8" fillId="0" fontId="13" numFmtId="49" xfId="0" applyAlignment="1" applyBorder="1" applyFont="1" applyNumberFormat="1">
      <alignment horizontal="left" shrinkToFit="0" vertical="center" wrapText="1"/>
    </xf>
    <xf borderId="10" fillId="0" fontId="10" numFmtId="164" xfId="0" applyAlignment="1" applyBorder="1" applyFont="1" applyNumberFormat="1">
      <alignment shrinkToFit="0" vertical="top" wrapText="1"/>
    </xf>
    <xf borderId="11" fillId="0" fontId="9" numFmtId="49" xfId="0" applyAlignment="1" applyBorder="1" applyFont="1" applyNumberFormat="1">
      <alignment horizontal="left" shrinkToFit="0" vertical="center" wrapText="1"/>
    </xf>
    <xf borderId="0" fillId="0" fontId="9" numFmtId="49" xfId="0" applyAlignment="1" applyFont="1" applyNumberFormat="1">
      <alignment horizontal="left" shrinkToFit="0" vertical="center" wrapText="1"/>
    </xf>
    <xf borderId="12" fillId="0" fontId="9" numFmtId="49" xfId="0" applyAlignment="1" applyBorder="1" applyFont="1" applyNumberFormat="1">
      <alignment horizontal="left" shrinkToFit="0" vertical="center" wrapText="1"/>
    </xf>
    <xf borderId="11" fillId="0" fontId="7" numFmtId="49" xfId="0" applyAlignment="1" applyBorder="1" applyFont="1" applyNumberFormat="1">
      <alignment horizontal="left" shrinkToFit="0" vertical="center" wrapText="1"/>
    </xf>
    <xf borderId="0" fillId="0" fontId="7" numFmtId="49" xfId="0" applyAlignment="1" applyFont="1" applyNumberFormat="1">
      <alignment horizontal="left" shrinkToFit="0" vertical="center" wrapText="1"/>
    </xf>
    <xf borderId="12" fillId="0" fontId="7" numFmtId="49" xfId="0" applyAlignment="1" applyBorder="1" applyFont="1" applyNumberFormat="1">
      <alignment horizontal="left" shrinkToFit="0" vertical="center" wrapText="1"/>
    </xf>
    <xf borderId="15" fillId="0" fontId="7" numFmtId="49" xfId="0" applyAlignment="1" applyBorder="1" applyFont="1" applyNumberFormat="1">
      <alignment horizontal="left" shrinkToFit="0" vertical="center" wrapText="1"/>
    </xf>
    <xf borderId="16" fillId="0" fontId="7" numFmtId="49" xfId="0" applyAlignment="1" applyBorder="1" applyFont="1" applyNumberFormat="1">
      <alignment horizontal="left" shrinkToFit="0" vertical="center" wrapText="1"/>
    </xf>
    <xf borderId="17" fillId="0" fontId="7" numFmtId="49" xfId="0" applyAlignment="1" applyBorder="1" applyFont="1" applyNumberFormat="1">
      <alignment horizontal="left" shrinkToFit="0" vertical="center" wrapText="1"/>
    </xf>
    <xf borderId="1" fillId="0" fontId="1"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8" fillId="0" fontId="4" numFmtId="0" xfId="0" applyAlignment="1" applyBorder="1" applyFont="1">
      <alignment readingOrder="0" vertical="center"/>
    </xf>
    <xf borderId="8" fillId="0" fontId="5" numFmtId="0" xfId="0" applyAlignment="1" applyBorder="1" applyFont="1">
      <alignment readingOrder="0" vertical="center"/>
    </xf>
    <xf borderId="8" fillId="0" fontId="5" numFmtId="0" xfId="0" applyAlignment="1" applyBorder="1" applyFont="1">
      <alignment readingOrder="0" shrinkToFit="0" vertical="center" wrapText="0"/>
    </xf>
    <xf borderId="8" fillId="0" fontId="6" numFmtId="0" xfId="0" applyAlignment="1" applyBorder="1" applyFont="1">
      <alignment readingOrder="0" vertical="center"/>
    </xf>
    <xf borderId="9" fillId="0" fontId="6" numFmtId="0" xfId="0" applyAlignment="1" applyBorder="1" applyFont="1">
      <alignment readingOrder="0" vertical="center"/>
    </xf>
    <xf borderId="6" fillId="0" fontId="6" numFmtId="0" xfId="0" applyAlignment="1" applyBorder="1" applyFont="1">
      <alignment horizontal="right" readingOrder="0" shrinkToFit="0" vertical="center" wrapText="1"/>
    </xf>
    <xf borderId="0" fillId="0" fontId="11" numFmtId="0" xfId="0" applyAlignment="1" applyFont="1">
      <alignment shrinkToFit="0" vertical="top" wrapText="0"/>
    </xf>
    <xf borderId="18" fillId="0" fontId="11" numFmtId="0" xfId="0" applyAlignment="1" applyBorder="1" applyFont="1">
      <alignment shrinkToFit="0" vertical="top" wrapText="0"/>
    </xf>
    <xf borderId="19" fillId="0" fontId="11" numFmtId="0" xfId="0" applyAlignment="1" applyBorder="1" applyFont="1">
      <alignment shrinkToFit="0" vertical="top" wrapText="0"/>
    </xf>
    <xf borderId="20" fillId="0" fontId="11" numFmtId="0" xfId="0" applyAlignment="1" applyBorder="1" applyFont="1">
      <alignment shrinkToFit="0" vertical="top" wrapText="0"/>
    </xf>
    <xf borderId="21" fillId="0" fontId="11" numFmtId="0" xfId="0" applyAlignment="1" applyBorder="1" applyFont="1">
      <alignment shrinkToFit="0" vertical="top" wrapText="0"/>
    </xf>
    <xf borderId="22" fillId="3" fontId="9" numFmtId="0" xfId="0" applyAlignment="1" applyBorder="1" applyFill="1" applyFont="1">
      <alignment horizontal="center" shrinkToFit="1" vertical="center" wrapText="0"/>
    </xf>
    <xf borderId="13" fillId="2" fontId="9" numFmtId="0" xfId="0" applyAlignment="1" applyBorder="1" applyFill="1" applyFont="1">
      <alignment horizontal="center" shrinkToFit="1" vertical="center" wrapText="0"/>
    </xf>
    <xf borderId="23" fillId="0" fontId="11" numFmtId="0" xfId="0" applyAlignment="1" applyBorder="1" applyFont="1">
      <alignment shrinkToFit="0" vertical="top" wrapText="0"/>
    </xf>
    <xf borderId="0" fillId="0" fontId="11" numFmtId="0" xfId="0" applyAlignment="1" applyFont="1">
      <alignment horizontal="center" shrinkToFit="1" vertical="center" wrapText="0"/>
    </xf>
    <xf borderId="13" fillId="0" fontId="11" numFmtId="0" xfId="0" applyAlignment="1" applyBorder="1" applyFont="1">
      <alignment horizontal="center" shrinkToFit="1" vertical="center" wrapText="0"/>
    </xf>
    <xf borderId="13" fillId="0" fontId="11" numFmtId="0" xfId="0" applyAlignment="1" applyBorder="1" applyFont="1">
      <alignment shrinkToFit="1" vertical="center" wrapText="0"/>
    </xf>
    <xf borderId="13" fillId="0" fontId="11" numFmtId="3" xfId="0" applyAlignment="1" applyBorder="1" applyFont="1" applyNumberFormat="1">
      <alignment horizontal="center" shrinkToFit="1" vertical="center" wrapText="0"/>
    </xf>
    <xf borderId="0" fillId="0" fontId="9" numFmtId="0" xfId="0" applyAlignment="1" applyFont="1">
      <alignment horizontal="center" shrinkToFit="0" vertical="center" wrapText="0"/>
    </xf>
    <xf borderId="13" fillId="0" fontId="9" numFmtId="0" xfId="0" applyAlignment="1" applyBorder="1" applyFont="1">
      <alignment horizontal="center" shrinkToFit="0" vertical="center" wrapText="0"/>
    </xf>
    <xf borderId="13" fillId="0" fontId="9" numFmtId="0" xfId="0" applyAlignment="1" applyBorder="1" applyFont="1">
      <alignment shrinkToFit="0" vertical="center" wrapText="0"/>
    </xf>
    <xf borderId="13" fillId="0" fontId="9" numFmtId="3" xfId="0" applyAlignment="1" applyBorder="1" applyFont="1" applyNumberFormat="1">
      <alignment horizontal="center" shrinkToFit="0" vertical="center" wrapText="0"/>
    </xf>
    <xf borderId="23" fillId="0" fontId="9" numFmtId="0" xfId="0" applyAlignment="1" applyBorder="1" applyFont="1">
      <alignment shrinkToFit="0" vertical="top" wrapText="0"/>
    </xf>
    <xf borderId="21" fillId="0" fontId="9" numFmtId="0" xfId="0" applyAlignment="1" applyBorder="1" applyFont="1">
      <alignment shrinkToFit="0" vertical="top" wrapText="0"/>
    </xf>
    <xf borderId="0" fillId="0" fontId="9" numFmtId="0" xfId="0" applyAlignment="1" applyFont="1">
      <alignment shrinkToFit="0" vertical="top" wrapText="0"/>
    </xf>
    <xf borderId="21" fillId="0" fontId="11" numFmtId="0" xfId="0" applyAlignment="1" applyBorder="1" applyFont="1">
      <alignment horizontal="left" shrinkToFit="1" vertical="top" wrapText="0"/>
    </xf>
    <xf borderId="0" fillId="0" fontId="0" numFmtId="0" xfId="0" applyAlignment="1" applyFont="1">
      <alignment shrinkToFit="0" vertical="top" wrapText="0"/>
    </xf>
    <xf borderId="24" fillId="0" fontId="4" numFmtId="0" xfId="0" applyAlignment="1" applyBorder="1" applyFont="1">
      <alignment readingOrder="0" vertical="center"/>
    </xf>
    <xf borderId="25" fillId="0" fontId="2" numFmtId="0" xfId="0" applyAlignment="1" applyBorder="1" applyFont="1">
      <alignment vertical="top"/>
    </xf>
    <xf borderId="26" fillId="0" fontId="4" numFmtId="0" xfId="0" applyAlignment="1" applyBorder="1" applyFont="1">
      <alignment vertical="center"/>
    </xf>
    <xf borderId="0" fillId="0" fontId="4" numFmtId="0" xfId="0" applyAlignment="1" applyFont="1">
      <alignment vertical="center"/>
    </xf>
    <xf borderId="0" fillId="3" fontId="15" numFmtId="166" xfId="0" applyAlignment="1" applyFill="1" applyFont="1" applyNumberFormat="1">
      <alignment horizontal="center" shrinkToFit="1" vertical="center" wrapText="0"/>
    </xf>
    <xf borderId="0" fillId="3" fontId="9" numFmtId="0" xfId="0" applyAlignment="1" applyFill="1" applyFont="1">
      <alignment shrinkToFit="1" vertical="top" wrapText="0"/>
    </xf>
    <xf borderId="27" fillId="0" fontId="5" numFmtId="0" xfId="0" applyAlignment="1" applyBorder="1" applyFont="1">
      <alignment readingOrder="0" vertical="center"/>
    </xf>
    <xf borderId="28" fillId="0" fontId="2" numFmtId="0" xfId="0" applyAlignment="1" applyBorder="1" applyFont="1">
      <alignment vertical="top"/>
    </xf>
    <xf borderId="17" fillId="0" fontId="5" numFmtId="0" xfId="0" applyAlignment="1" applyBorder="1" applyFont="1">
      <alignment vertical="center"/>
    </xf>
    <xf borderId="0" fillId="0" fontId="5" numFmtId="0" xfId="0" applyAlignment="1" applyFont="1">
      <alignment vertical="center"/>
    </xf>
    <xf borderId="12" fillId="0" fontId="5" numFmtId="0" xfId="0" applyAlignment="1" applyBorder="1" applyFont="1">
      <alignment shrinkToFit="0" vertical="center" wrapText="0"/>
    </xf>
    <xf borderId="0" fillId="0" fontId="5" numFmtId="0" xfId="0" applyAlignment="1" applyFont="1">
      <alignment shrinkToFit="0" vertical="center" wrapText="0"/>
    </xf>
    <xf borderId="0" fillId="0" fontId="6" numFmtId="0" xfId="0" applyAlignment="1" applyFont="1">
      <alignment horizontal="right" shrinkToFit="0" vertical="center" wrapText="1"/>
    </xf>
    <xf borderId="0" fillId="3" fontId="15" numFmtId="0" xfId="0" applyAlignment="1" applyFill="1" applyFont="1">
      <alignment horizontal="center" shrinkToFit="1" vertical="center" wrapText="0"/>
    </xf>
    <xf borderId="0" fillId="3" fontId="15" numFmtId="0" xfId="0" applyAlignment="1" applyFill="1" applyFont="1">
      <alignment shrinkToFit="1" vertical="top" wrapText="0"/>
    </xf>
    <xf borderId="0" fillId="0" fontId="16" numFmtId="0" xfId="0" applyAlignment="1" applyFont="1">
      <alignment shrinkToFit="0" vertical="top" wrapText="0"/>
    </xf>
    <xf borderId="0" fillId="3" fontId="17" numFmtId="0" xfId="0" applyAlignment="1" applyFill="1" applyFont="1">
      <alignment shrinkToFit="0" vertical="top" wrapText="0"/>
    </xf>
    <xf borderId="0" fillId="3" fontId="18" numFmtId="0" xfId="0" applyAlignment="1" applyFill="1" applyFont="1">
      <alignment shrinkToFit="0" vertical="top" wrapText="0"/>
    </xf>
    <xf borderId="22" fillId="3" fontId="15" numFmtId="0" xfId="0" applyAlignment="1" applyBorder="1" applyFill="1" applyFont="1">
      <alignment horizontal="center" shrinkToFit="1" vertical="center" wrapText="0"/>
    </xf>
    <xf borderId="29" fillId="3" fontId="15" numFmtId="0" xfId="0" applyAlignment="1" applyBorder="1" applyFill="1" applyFont="1">
      <alignment shrinkToFit="1" vertical="top" wrapText="0"/>
    </xf>
    <xf borderId="13" fillId="2" fontId="12" numFmtId="0" xfId="0" applyAlignment="1" applyBorder="1" applyFill="1" applyFont="1">
      <alignment horizontal="center" shrinkToFit="0" vertical="top" wrapText="0"/>
    </xf>
    <xf borderId="13" fillId="2" fontId="12" numFmtId="0" xfId="0" applyAlignment="1" applyBorder="1" applyFill="1" applyFont="1">
      <alignment horizontal="center" shrinkToFit="1" vertical="center" wrapText="0"/>
    </xf>
    <xf borderId="29" fillId="3" fontId="18" numFmtId="0" xfId="0" applyAlignment="1" applyBorder="1" applyFill="1" applyFont="1">
      <alignment shrinkToFit="0" vertical="top" wrapText="0"/>
    </xf>
    <xf borderId="30" fillId="3" fontId="18" numFmtId="0" xfId="0" applyAlignment="1" applyBorder="1" applyFill="1" applyFont="1">
      <alignment shrinkToFit="0" vertical="top" wrapText="0"/>
    </xf>
    <xf borderId="31" fillId="3" fontId="15" numFmtId="166" xfId="0" applyAlignment="1" applyBorder="1" applyFill="1" applyFont="1" applyNumberFormat="1">
      <alignment horizontal="center" shrinkToFit="1" vertical="center" wrapText="0"/>
    </xf>
    <xf borderId="22" fillId="3" fontId="9" numFmtId="0" xfId="0" applyAlignment="1" applyBorder="1" applyFill="1" applyFont="1">
      <alignment shrinkToFit="1" vertical="top" wrapText="0"/>
    </xf>
    <xf borderId="32" fillId="3" fontId="15" numFmtId="0" xfId="0" applyAlignment="1" applyBorder="1" applyFill="1" applyFont="1">
      <alignment horizontal="center" shrinkToFit="1" vertical="center" wrapText="0"/>
    </xf>
    <xf borderId="13" fillId="3" fontId="0" numFmtId="0" xfId="0" applyAlignment="1" applyBorder="1" applyFill="1" applyFont="1">
      <alignment horizontal="center" shrinkToFit="0" vertical="top" wrapText="0"/>
    </xf>
    <xf borderId="13" fillId="3" fontId="19" numFmtId="3" xfId="0" applyAlignment="1" applyBorder="1" applyFill="1" applyFont="1" applyNumberFormat="1">
      <alignment horizontal="center" shrinkToFit="1" vertical="center" wrapText="0"/>
    </xf>
    <xf borderId="23" fillId="3" fontId="15" numFmtId="166" xfId="0" applyAlignment="1" applyBorder="1" applyFill="1" applyFont="1" applyNumberFormat="1">
      <alignment horizontal="center" shrinkToFit="1" vertical="center" wrapText="0"/>
    </xf>
    <xf borderId="21" fillId="3" fontId="9" numFmtId="0" xfId="0" applyAlignment="1" applyBorder="1" applyFill="1" applyFont="1">
      <alignment shrinkToFit="1" vertical="top" wrapText="0"/>
    </xf>
    <xf borderId="21" fillId="3" fontId="15" numFmtId="0" xfId="0" applyAlignment="1" applyBorder="1" applyFill="1" applyFont="1">
      <alignment horizontal="center" shrinkToFit="1" vertical="center" wrapText="0"/>
    </xf>
    <xf borderId="13" fillId="3" fontId="0" numFmtId="9" xfId="0" applyAlignment="1" applyBorder="1" applyFill="1" applyFont="1" applyNumberFormat="1">
      <alignment horizontal="center" shrinkToFit="0" vertical="top" wrapText="0"/>
    </xf>
    <xf borderId="13" fillId="3" fontId="19" numFmtId="9" xfId="0" applyAlignment="1" applyBorder="1" applyFill="1" applyFont="1" applyNumberFormat="1">
      <alignment horizontal="center" shrinkToFit="1" vertical="center" wrapText="0"/>
    </xf>
    <xf borderId="21" fillId="3" fontId="15" numFmtId="166" xfId="0" applyAlignment="1" applyBorder="1" applyFill="1" applyFont="1" applyNumberFormat="1">
      <alignment horizontal="center" shrinkToFit="1" vertical="center" wrapText="0"/>
    </xf>
    <xf borderId="21" fillId="3" fontId="15" numFmtId="0" xfId="0" applyAlignment="1" applyBorder="1" applyFill="1" applyFont="1">
      <alignment horizontal="left" shrinkToFit="0" vertical="center" wrapText="0"/>
    </xf>
    <xf borderId="33" fillId="3" fontId="15" numFmtId="166" xfId="0" applyAlignment="1" applyBorder="1" applyFill="1" applyFont="1" applyNumberFormat="1">
      <alignment horizontal="center" shrinkToFit="1" vertical="center" wrapText="0"/>
    </xf>
    <xf borderId="21" fillId="3" fontId="15" numFmtId="0" xfId="0" applyAlignment="1" applyBorder="1" applyFill="1" applyFont="1">
      <alignment shrinkToFit="1" vertical="top" wrapText="0"/>
    </xf>
    <xf borderId="20" fillId="3" fontId="9" numFmtId="0" xfId="0" applyAlignment="1" applyBorder="1" applyFill="1" applyFont="1">
      <alignment horizontal="left" readingOrder="0" shrinkToFit="0" vertical="center" wrapText="0"/>
    </xf>
    <xf borderId="20" fillId="3" fontId="9" numFmtId="0" xfId="0" applyAlignment="1" applyBorder="1" applyFill="1" applyFont="1">
      <alignment shrinkToFit="1" vertical="top" wrapText="0"/>
    </xf>
    <xf borderId="20" fillId="3" fontId="15" numFmtId="0" xfId="0" applyAlignment="1" applyBorder="1" applyFill="1" applyFont="1">
      <alignment shrinkToFit="1" vertical="top" wrapText="0"/>
    </xf>
    <xf borderId="20" fillId="3" fontId="15" numFmtId="166" xfId="0" applyAlignment="1" applyBorder="1" applyFill="1" applyFont="1" applyNumberFormat="1">
      <alignment horizontal="center" shrinkToFit="1" vertical="center" wrapText="0"/>
    </xf>
    <xf borderId="20" fillId="3" fontId="15" numFmtId="0" xfId="0" applyAlignment="1" applyBorder="1" applyFill="1" applyFont="1">
      <alignment horizontal="center" shrinkToFit="1" vertical="center" wrapText="0"/>
    </xf>
    <xf borderId="34" fillId="2" fontId="9" numFmtId="0" xfId="0" applyAlignment="1" applyBorder="1" applyFill="1" applyFont="1">
      <alignment horizontal="center" shrinkToFit="1" vertical="center" wrapText="0"/>
    </xf>
    <xf borderId="34" fillId="2" fontId="20" numFmtId="0" xfId="0" applyAlignment="1" applyBorder="1" applyFill="1" applyFont="1">
      <alignment horizontal="center" vertical="center"/>
    </xf>
    <xf borderId="34" fillId="2" fontId="9" numFmtId="0" xfId="0" applyAlignment="1" applyBorder="1" applyFill="1" applyFont="1">
      <alignment horizontal="center" shrinkToFit="0" vertical="center" wrapText="1"/>
    </xf>
    <xf borderId="34" fillId="2" fontId="10" numFmtId="0" xfId="0" applyAlignment="1" applyBorder="1" applyFill="1" applyFont="1">
      <alignment vertical="top"/>
    </xf>
    <xf borderId="34" fillId="2" fontId="20" numFmtId="0" xfId="0" applyAlignment="1" applyBorder="1" applyFill="1" applyFont="1">
      <alignment shrinkToFit="0" vertical="top" wrapText="1"/>
    </xf>
    <xf borderId="35" fillId="0" fontId="10" numFmtId="0" xfId="0" applyAlignment="1" applyBorder="1" applyFont="1">
      <alignment horizontal="center" shrinkToFit="0" vertical="top" wrapText="1"/>
    </xf>
    <xf borderId="35" fillId="0" fontId="10" numFmtId="0" xfId="0" applyAlignment="1" applyBorder="1" applyFont="1">
      <alignment shrinkToFit="0" vertical="top" wrapText="1"/>
    </xf>
    <xf borderId="35" fillId="0" fontId="10" numFmtId="0" xfId="0" applyAlignment="1" applyBorder="1" applyFont="1">
      <alignment vertical="top"/>
    </xf>
    <xf borderId="35" fillId="0" fontId="10" numFmtId="49" xfId="0" applyAlignment="1" applyBorder="1" applyFont="1" applyNumberFormat="1">
      <alignment vertical="top"/>
    </xf>
    <xf borderId="35" fillId="0" fontId="10" numFmtId="49" xfId="0" applyAlignment="1" applyBorder="1" applyFont="1" applyNumberFormat="1">
      <alignment shrinkToFit="0" vertical="top" wrapText="1"/>
    </xf>
    <xf borderId="34" fillId="0" fontId="11" numFmtId="0" xfId="0" applyAlignment="1" applyBorder="1" applyFont="1">
      <alignment horizontal="center" shrinkToFit="0" vertical="center" wrapText="1"/>
    </xf>
    <xf borderId="35" fillId="0" fontId="4" numFmtId="0" xfId="0" applyAlignment="1" applyBorder="1" applyFont="1">
      <alignment shrinkToFit="0" vertical="top" wrapText="1"/>
    </xf>
    <xf borderId="34" fillId="0" fontId="10" numFmtId="0" xfId="0" applyAlignment="1" applyBorder="1" applyFont="1">
      <alignment vertical="top"/>
    </xf>
    <xf borderId="34" fillId="0" fontId="10" numFmtId="0" xfId="0" applyAlignment="1" applyBorder="1" applyFont="1">
      <alignment horizontal="center" shrinkToFit="0" vertical="top" wrapText="1"/>
    </xf>
    <xf borderId="34" fillId="0" fontId="10" numFmtId="0" xfId="0" applyAlignment="1" applyBorder="1" applyFont="1">
      <alignment shrinkToFit="0" vertical="top" wrapText="1"/>
    </xf>
    <xf borderId="34" fillId="0" fontId="10" numFmtId="49" xfId="0" applyAlignment="1" applyBorder="1" applyFont="1" applyNumberFormat="1">
      <alignment vertical="top"/>
    </xf>
    <xf borderId="34" fillId="0" fontId="10" numFmtId="49" xfId="0" applyAlignment="1" applyBorder="1" applyFont="1" applyNumberFormat="1">
      <alignment shrinkToFit="0" vertical="top" wrapText="1"/>
    </xf>
    <xf borderId="34" fillId="0" fontId="4" numFmtId="0" xfId="0" applyAlignment="1" applyBorder="1" applyFont="1">
      <alignment shrinkToFit="0" vertical="top" wrapText="1"/>
    </xf>
    <xf borderId="36" fillId="2" fontId="10" numFmtId="0" xfId="0" applyAlignment="1" applyBorder="1" applyFill="1" applyFont="1">
      <alignment vertical="top"/>
    </xf>
    <xf borderId="36" fillId="2" fontId="20" numFmtId="0" xfId="0" applyAlignment="1" applyBorder="1" applyFill="1" applyFont="1">
      <alignment shrinkToFit="0" vertical="top" wrapText="1"/>
    </xf>
    <xf borderId="37" fillId="2" fontId="10" numFmtId="0" xfId="0" applyAlignment="1" applyBorder="1" applyFill="1" applyFont="1">
      <alignment vertical="top"/>
    </xf>
    <xf borderId="38" fillId="2" fontId="10" numFmtId="0" xfId="0" applyAlignment="1" applyBorder="1" applyFill="1" applyFont="1">
      <alignment vertical="top"/>
    </xf>
    <xf borderId="39" fillId="2" fontId="10" numFmtId="0" xfId="0" applyAlignment="1" applyBorder="1" applyFill="1" applyFont="1">
      <alignment vertical="top"/>
    </xf>
    <xf borderId="35" fillId="2" fontId="10" numFmtId="0" xfId="0" applyAlignment="1" applyBorder="1" applyFill="1" applyFont="1">
      <alignment vertical="top"/>
    </xf>
    <xf borderId="40" fillId="0" fontId="21" numFmtId="0" xfId="0" applyAlignment="1" applyBorder="1" applyFont="1">
      <alignment shrinkToFit="0" vertical="top" wrapText="1"/>
    </xf>
    <xf borderId="41" fillId="0" fontId="10" numFmtId="0" xfId="0" applyAlignment="1" applyBorder="1" applyFont="1">
      <alignment vertical="top"/>
    </xf>
    <xf borderId="34" fillId="0" fontId="22" numFmtId="0" xfId="0" applyAlignment="1" applyBorder="1" applyFont="1">
      <alignment shrinkToFit="0" vertical="top" wrapText="1"/>
    </xf>
    <xf borderId="34" fillId="0" fontId="23" numFmtId="0" xfId="0" applyAlignment="1" applyBorder="1" applyFont="1">
      <alignment shrinkToFit="0" vertical="top" wrapText="1"/>
    </xf>
    <xf borderId="36" fillId="2" fontId="20" numFmtId="0" xfId="0" applyAlignment="1" applyBorder="1" applyFill="1" applyFont="1">
      <alignment readingOrder="0" shrinkToFit="0" vertical="top" wrapText="0"/>
    </xf>
    <xf borderId="41" fillId="2" fontId="10" numFmtId="0" xfId="0" applyAlignment="1" applyBorder="1" applyFill="1" applyFont="1">
      <alignment vertical="top"/>
    </xf>
    <xf borderId="34" fillId="0" fontId="21" numFmtId="0" xfId="0" applyAlignment="1" applyBorder="1" applyFont="1">
      <alignment shrinkToFit="0" vertical="top" wrapText="1"/>
    </xf>
    <xf borderId="41" fillId="0" fontId="10" numFmtId="0" xfId="0" applyAlignment="1" applyBorder="1" applyFont="1">
      <alignment shrinkToFit="0" vertical="top" wrapText="1"/>
    </xf>
    <xf borderId="0" fillId="0" fontId="11" numFmtId="0" xfId="0" applyAlignment="1" applyFont="1">
      <alignment readingOrder="0" vertical="top"/>
    </xf>
    <xf borderId="20" fillId="3" fontId="11" numFmtId="0" xfId="0" applyAlignment="1" applyBorder="1" applyFill="1" applyFont="1">
      <alignment horizontal="left" shrinkToFit="0" vertical="center" wrapText="0"/>
    </xf>
    <xf borderId="40" fillId="0" fontId="2" numFmtId="0" xfId="0" applyAlignment="1" applyBorder="1" applyFont="1">
      <alignment readingOrder="0" shrinkToFit="0" vertical="top" wrapText="1"/>
    </xf>
    <xf borderId="34" fillId="0" fontId="2" numFmtId="0" xfId="0" applyAlignment="1" applyBorder="1" applyFont="1">
      <alignment readingOrder="0" shrinkToFit="0" vertical="top" wrapText="1"/>
    </xf>
    <xf borderId="42" fillId="0" fontId="2" numFmtId="0" xfId="0" applyAlignment="1" applyBorder="1" applyFont="1">
      <alignment readingOrder="0" shrinkToFit="0" vertical="top" wrapText="1"/>
    </xf>
    <xf borderId="35" fillId="0" fontId="2" numFmtId="0" xfId="0" applyAlignment="1" applyBorder="1" applyFont="1">
      <alignment readingOrder="0" shrinkToFit="0" vertical="top" wrapText="1"/>
    </xf>
    <xf borderId="43" fillId="0" fontId="2" numFmtId="0" xfId="0" applyAlignment="1" applyBorder="1" applyFont="1">
      <alignment readingOrder="0" shrinkToFit="0" vertical="top" wrapText="1"/>
    </xf>
    <xf borderId="39" fillId="0" fontId="2" numFmtId="0" xfId="0" applyAlignment="1" applyBorder="1" applyFont="1">
      <alignment readingOrder="0" shrinkToFit="0" vertical="top" wrapText="1"/>
    </xf>
    <xf borderId="0" fillId="0" fontId="2" numFmtId="0" xfId="0" applyAlignment="1" applyFont="1">
      <alignment shrinkToFit="0" vertical="top" wrapText="1"/>
    </xf>
    <xf borderId="34" fillId="0" fontId="2" numFmtId="0" xfId="0" applyAlignment="1" applyBorder="1" applyFont="1">
      <alignment shrinkToFit="0" vertical="top" wrapText="1"/>
    </xf>
    <xf borderId="0" fillId="0" fontId="2" numFmtId="0" xfId="0" applyAlignment="1" applyFont="1">
      <alignment readingOrder="0" vertical="top"/>
    </xf>
    <xf borderId="0" fillId="0" fontId="9" numFmtId="0" xfId="0" applyAlignment="1" applyFont="1">
      <alignment shrinkToFit="0" vertical="top" wrapText="0"/>
    </xf>
    <xf borderId="0" fillId="0" fontId="11" numFmtId="0" xfId="0" applyAlignment="1" applyFont="1">
      <alignment vertical="top"/>
    </xf>
    <xf borderId="0" fillId="0" fontId="11" numFmtId="0" xfId="0" applyAlignment="1" applyFont="1">
      <alignment shrinkToFit="0" vertical="top" wrapText="0"/>
    </xf>
    <xf quotePrefix="1" borderId="0" fillId="0" fontId="11" numFmtId="0" xfId="0" applyAlignment="1" applyFont="1">
      <alignment readingOrder="0" vertical="center"/>
    </xf>
    <xf borderId="0" fillId="0" fontId="11" numFmtId="0" xfId="0" applyAlignment="1" applyFont="1">
      <alignment readingOrder="0" vertical="center"/>
    </xf>
    <xf borderId="13" fillId="2" fontId="9" numFmtId="0" xfId="0" applyAlignment="1" applyBorder="1" applyFill="1" applyFont="1">
      <alignment shrinkToFit="0" vertical="top" wrapText="0"/>
    </xf>
    <xf borderId="8" fillId="0" fontId="11" numFmtId="0" xfId="0" applyAlignment="1" applyBorder="1" applyFont="1">
      <alignment vertical="top"/>
    </xf>
    <xf borderId="8" fillId="0" fontId="11" numFmtId="0" xfId="0" applyAlignment="1" applyBorder="1" applyFont="1">
      <alignment shrinkToFit="0" vertical="top" wrapText="1"/>
    </xf>
    <xf borderId="0" fillId="0" fontId="11" numFmtId="0" xfId="0" applyAlignment="1" applyFont="1">
      <alignment shrinkToFit="0" vertical="top" wrapText="1"/>
    </xf>
    <xf borderId="0" fillId="0" fontId="24" numFmtId="0" xfId="0" applyAlignment="1" applyFont="1">
      <alignment readingOrder="0" vertical="top"/>
    </xf>
    <xf borderId="0" fillId="0" fontId="9" numFmtId="0" xfId="0" applyAlignment="1" applyFont="1">
      <alignment readingOrder="0" vertical="top"/>
    </xf>
    <xf borderId="0" fillId="0" fontId="0"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38150" cy="2476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47650" cy="13335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1905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1905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333375" cy="19050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drive/folders/1D5vNfaB-lLmsQTCGFA-8UtuhTegdhWhd" TargetMode="External"/><Relationship Id="rId2"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5.13" defaultRowHeight="15.0"/>
  <cols>
    <col customWidth="1" min="1" max="1" width="5.75"/>
    <col customWidth="1" min="2" max="2" width="4.63"/>
    <col customWidth="1" min="3" max="3" width="6.38"/>
    <col customWidth="1" min="4" max="4" width="8.38"/>
    <col customWidth="1" min="5" max="9" width="9.75"/>
    <col customWidth="1" min="10" max="11" width="16.63"/>
    <col customWidth="1" min="12" max="26" width="15.13"/>
  </cols>
  <sheetData>
    <row r="1" ht="22.5" customHeight="1">
      <c r="A1" s="1"/>
      <c r="B1" s="2"/>
      <c r="C1" s="2"/>
      <c r="D1" s="2"/>
      <c r="E1" s="3" t="s">
        <v>0</v>
      </c>
      <c r="F1" s="2"/>
      <c r="G1" s="2"/>
      <c r="H1" s="2"/>
      <c r="I1" s="2"/>
      <c r="J1" s="4" t="s">
        <v>1</v>
      </c>
      <c r="K1" s="5"/>
    </row>
    <row r="2" ht="22.5" customHeight="1">
      <c r="A2" s="6"/>
      <c r="E2" s="6"/>
      <c r="J2" s="7" t="s">
        <v>2</v>
      </c>
      <c r="K2" s="8"/>
    </row>
    <row r="3" ht="22.5" customHeight="1">
      <c r="A3" s="6"/>
      <c r="E3" s="6"/>
      <c r="J3" s="9" t="s">
        <v>3</v>
      </c>
      <c r="K3" s="10"/>
    </row>
    <row r="4" ht="22.5" customHeight="1">
      <c r="A4" s="11" t="s">
        <v>4</v>
      </c>
      <c r="B4" s="12"/>
      <c r="C4" s="12"/>
      <c r="D4" s="12"/>
      <c r="E4" s="12"/>
      <c r="F4" s="12"/>
      <c r="G4" s="12"/>
      <c r="H4" s="12"/>
      <c r="I4" s="13"/>
      <c r="J4" s="14" t="s">
        <v>5</v>
      </c>
      <c r="K4" s="10"/>
    </row>
    <row r="5" ht="16.5" customHeight="1">
      <c r="A5" s="15"/>
      <c r="K5" s="16"/>
    </row>
    <row r="6" ht="31.5" customHeight="1">
      <c r="A6" s="17" t="s">
        <v>6</v>
      </c>
      <c r="K6" s="16"/>
    </row>
    <row r="7" ht="20.25" customHeight="1">
      <c r="A7" s="18" t="s">
        <v>7</v>
      </c>
      <c r="B7" s="19" t="s">
        <v>8</v>
      </c>
      <c r="C7" s="12"/>
      <c r="D7" s="13"/>
      <c r="E7" s="19" t="s">
        <v>9</v>
      </c>
      <c r="F7" s="12"/>
      <c r="G7" s="12"/>
      <c r="H7" s="12"/>
      <c r="I7" s="13"/>
      <c r="J7" s="20" t="s">
        <v>10</v>
      </c>
      <c r="K7" s="18" t="s">
        <v>11</v>
      </c>
    </row>
    <row r="8" ht="22.5" customHeight="1">
      <c r="A8" s="21">
        <v>1.0</v>
      </c>
      <c r="B8" s="22"/>
      <c r="C8" s="12"/>
      <c r="D8" s="13"/>
      <c r="E8" s="23" t="s">
        <v>12</v>
      </c>
      <c r="F8" s="12"/>
      <c r="G8" s="12"/>
      <c r="H8" s="12"/>
      <c r="I8" s="13"/>
      <c r="J8" s="24"/>
      <c r="K8" s="25">
        <v>44291.0</v>
      </c>
    </row>
    <row r="9" ht="22.5" customHeight="1">
      <c r="A9" s="26">
        <v>2.0</v>
      </c>
      <c r="B9" s="27" t="s">
        <v>13</v>
      </c>
      <c r="C9" s="12"/>
      <c r="D9" s="13"/>
      <c r="E9" s="27" t="s">
        <v>14</v>
      </c>
      <c r="F9" s="12"/>
      <c r="G9" s="12"/>
      <c r="H9" s="12"/>
      <c r="I9" s="13"/>
      <c r="J9" s="24"/>
      <c r="K9" s="25">
        <v>45953.0</v>
      </c>
    </row>
    <row r="10">
      <c r="A10" s="26">
        <v>3.0</v>
      </c>
      <c r="B10" s="28" t="s">
        <v>15</v>
      </c>
      <c r="C10" s="2"/>
      <c r="D10" s="5"/>
      <c r="E10" s="27" t="s">
        <v>16</v>
      </c>
      <c r="F10" s="12"/>
      <c r="G10" s="12"/>
      <c r="H10" s="12"/>
      <c r="I10" s="13"/>
      <c r="J10" s="24"/>
      <c r="K10" s="25">
        <v>45953.0</v>
      </c>
    </row>
    <row r="11" ht="42.75" customHeight="1">
      <c r="A11" s="29">
        <v>4.0</v>
      </c>
      <c r="B11" s="30" t="s">
        <v>17</v>
      </c>
      <c r="C11" s="2"/>
      <c r="D11" s="5"/>
      <c r="E11" s="31" t="s">
        <v>18</v>
      </c>
      <c r="F11" s="32"/>
      <c r="G11" s="32"/>
      <c r="H11" s="32"/>
      <c r="I11" s="10"/>
      <c r="J11" s="33">
        <v>46083.0</v>
      </c>
      <c r="K11" s="34" t="s">
        <v>19</v>
      </c>
    </row>
    <row r="12" ht="42.75" customHeight="1">
      <c r="A12" s="35" t="s">
        <v>20</v>
      </c>
      <c r="B12" s="36" t="s">
        <v>21</v>
      </c>
      <c r="C12" s="2"/>
      <c r="D12" s="5"/>
      <c r="E12" s="31" t="s">
        <v>22</v>
      </c>
      <c r="F12" s="32"/>
      <c r="G12" s="32"/>
      <c r="H12" s="32"/>
      <c r="I12" s="10"/>
      <c r="J12" s="37" t="s">
        <v>23</v>
      </c>
      <c r="K12" s="38" t="s">
        <v>24</v>
      </c>
    </row>
    <row r="13" ht="22.5" customHeight="1">
      <c r="A13" s="39"/>
      <c r="B13" s="40"/>
      <c r="C13" s="12"/>
      <c r="D13" s="13"/>
      <c r="E13" s="41"/>
      <c r="F13" s="12"/>
      <c r="G13" s="12"/>
      <c r="H13" s="12"/>
      <c r="I13" s="13"/>
      <c r="J13" s="42"/>
      <c r="K13" s="43"/>
    </row>
    <row r="14" ht="22.5" customHeight="1">
      <c r="A14" s="44"/>
      <c r="B14" s="45"/>
      <c r="C14" s="12"/>
      <c r="D14" s="13"/>
      <c r="E14" s="46"/>
      <c r="F14" s="12"/>
      <c r="G14" s="12"/>
      <c r="H14" s="12"/>
      <c r="I14" s="13"/>
      <c r="J14" s="42"/>
      <c r="K14" s="47"/>
    </row>
    <row r="15" ht="22.5" customHeight="1">
      <c r="A15" s="48"/>
      <c r="B15" s="49"/>
      <c r="C15" s="49"/>
      <c r="D15" s="49"/>
      <c r="E15" s="49"/>
      <c r="F15" s="49"/>
      <c r="G15" s="49"/>
      <c r="H15" s="49"/>
      <c r="I15" s="49"/>
      <c r="J15" s="49"/>
      <c r="K15" s="50"/>
    </row>
    <row r="16" ht="22.5" customHeight="1">
      <c r="A16" s="48"/>
      <c r="B16" s="49"/>
      <c r="C16" s="49"/>
      <c r="D16" s="49"/>
      <c r="E16" s="49"/>
      <c r="F16" s="49"/>
      <c r="G16" s="49"/>
      <c r="H16" s="49"/>
      <c r="I16" s="49"/>
      <c r="J16" s="49"/>
      <c r="K16" s="50"/>
    </row>
    <row r="17" ht="22.5" customHeight="1">
      <c r="A17" s="51"/>
      <c r="B17" s="52"/>
      <c r="C17" s="52"/>
      <c r="D17" s="52"/>
      <c r="E17" s="52"/>
      <c r="F17" s="52"/>
      <c r="G17" s="52"/>
      <c r="H17" s="52"/>
      <c r="I17" s="52"/>
      <c r="J17" s="52"/>
      <c r="K17" s="53"/>
    </row>
    <row r="18" ht="22.5" customHeight="1">
      <c r="A18" s="51"/>
      <c r="B18" s="52"/>
      <c r="C18" s="52"/>
      <c r="D18" s="52"/>
      <c r="E18" s="52"/>
      <c r="F18" s="52"/>
      <c r="G18" s="52"/>
      <c r="H18" s="52"/>
      <c r="I18" s="52"/>
      <c r="J18" s="52"/>
      <c r="K18" s="53"/>
    </row>
    <row r="19" ht="22.5" customHeight="1">
      <c r="A19" s="51"/>
      <c r="B19" s="52"/>
      <c r="C19" s="52"/>
      <c r="D19" s="52"/>
      <c r="E19" s="52"/>
      <c r="F19" s="52"/>
      <c r="G19" s="52"/>
      <c r="H19" s="52"/>
      <c r="I19" s="52"/>
      <c r="J19" s="52"/>
      <c r="K19" s="53"/>
    </row>
    <row r="20" ht="22.5" customHeight="1">
      <c r="A20" s="51"/>
      <c r="B20" s="52"/>
      <c r="C20" s="52"/>
      <c r="D20" s="52"/>
      <c r="E20" s="52"/>
      <c r="F20" s="52"/>
      <c r="G20" s="52"/>
      <c r="H20" s="52"/>
      <c r="I20" s="52"/>
      <c r="J20" s="52"/>
      <c r="K20" s="53"/>
    </row>
    <row r="21" ht="22.5" customHeight="1">
      <c r="A21" s="51"/>
      <c r="B21" s="52"/>
      <c r="C21" s="52"/>
      <c r="D21" s="52"/>
      <c r="E21" s="52"/>
      <c r="F21" s="52"/>
      <c r="G21" s="52"/>
      <c r="H21" s="52"/>
      <c r="I21" s="52"/>
      <c r="J21" s="52"/>
      <c r="K21" s="53"/>
    </row>
    <row r="22" ht="22.5" customHeight="1">
      <c r="A22" s="54"/>
      <c r="B22" s="55"/>
      <c r="C22" s="55"/>
      <c r="D22" s="55"/>
      <c r="E22" s="55"/>
      <c r="F22" s="55"/>
      <c r="G22" s="55"/>
      <c r="H22" s="55"/>
      <c r="I22" s="55"/>
      <c r="J22" s="55"/>
      <c r="K22" s="56"/>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5">
    <mergeCell ref="A1:D3"/>
    <mergeCell ref="E1:I3"/>
    <mergeCell ref="J1:K1"/>
    <mergeCell ref="J2:K2"/>
    <mergeCell ref="J3:K3"/>
    <mergeCell ref="A4:I4"/>
    <mergeCell ref="J4:K4"/>
    <mergeCell ref="A5:K5"/>
    <mergeCell ref="A6:K6"/>
    <mergeCell ref="B7:D7"/>
    <mergeCell ref="E7:I7"/>
    <mergeCell ref="B8:D8"/>
    <mergeCell ref="E8:I8"/>
    <mergeCell ref="E9:I9"/>
    <mergeCell ref="B13:D13"/>
    <mergeCell ref="E13:I13"/>
    <mergeCell ref="B14:D14"/>
    <mergeCell ref="E14:I14"/>
    <mergeCell ref="B9:D9"/>
    <mergeCell ref="B10:D10"/>
    <mergeCell ref="E10:I10"/>
    <mergeCell ref="B11:D11"/>
    <mergeCell ref="E11:I11"/>
    <mergeCell ref="B12:D12"/>
    <mergeCell ref="E12:I12"/>
  </mergeCells>
  <printOptions horizontalCentered="1"/>
  <pageMargins bottom="0.75" footer="0.0" header="0.0" left="0.7" right="0.7" top="0.75"/>
  <pageSetup fitToHeight="0" paperSize="9"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5.13" defaultRowHeight="15.0"/>
  <cols>
    <col customWidth="1" min="1" max="2" width="3.25"/>
    <col customWidth="1" min="3" max="3" width="25.25"/>
    <col customWidth="1" min="4" max="4" width="14.63"/>
    <col customWidth="1" min="5" max="5" width="12.38"/>
    <col customWidth="1" min="6" max="6" width="10.75"/>
    <col customWidth="1" min="7" max="7" width="11.88"/>
    <col customWidth="1" min="8" max="8" width="11.75"/>
    <col customWidth="1" min="9" max="9" width="15.13"/>
    <col customWidth="1" min="10" max="10" width="13.75"/>
    <col customWidth="1" min="11" max="11" width="12.88"/>
    <col customWidth="1" min="12" max="14" width="10.13"/>
  </cols>
  <sheetData>
    <row r="1">
      <c r="A1" s="57"/>
      <c r="B1" s="2"/>
      <c r="C1" s="2"/>
      <c r="D1" s="58" t="s">
        <v>0</v>
      </c>
      <c r="E1" s="2"/>
      <c r="F1" s="2"/>
      <c r="G1" s="2"/>
      <c r="H1" s="2"/>
      <c r="I1" s="2"/>
      <c r="J1" s="59" t="s">
        <v>1</v>
      </c>
      <c r="K1" s="12"/>
      <c r="L1" s="13"/>
    </row>
    <row r="2">
      <c r="A2" s="6"/>
      <c r="D2" s="6"/>
      <c r="J2" s="60" t="s">
        <v>2</v>
      </c>
      <c r="K2" s="12"/>
      <c r="L2" s="13"/>
    </row>
    <row r="3">
      <c r="A3" s="6"/>
      <c r="D3" s="6"/>
      <c r="J3" s="61" t="s">
        <v>3</v>
      </c>
      <c r="K3" s="12"/>
      <c r="L3" s="13"/>
    </row>
    <row r="4">
      <c r="A4" s="62" t="s">
        <v>4</v>
      </c>
      <c r="B4" s="63"/>
      <c r="C4" s="63"/>
      <c r="D4" s="63"/>
      <c r="E4" s="63"/>
      <c r="F4" s="63"/>
      <c r="G4" s="63"/>
      <c r="H4" s="63"/>
      <c r="I4" s="63"/>
      <c r="J4" s="64" t="s">
        <v>5</v>
      </c>
      <c r="K4" s="32"/>
      <c r="L4" s="10"/>
    </row>
    <row r="5" ht="12.75" customHeight="1">
      <c r="A5" s="65"/>
      <c r="B5" s="65"/>
      <c r="C5" s="65"/>
      <c r="D5" s="65"/>
      <c r="E5" s="65"/>
      <c r="F5" s="65"/>
      <c r="G5" s="65"/>
      <c r="H5" s="65"/>
      <c r="I5" s="65"/>
      <c r="J5" s="65"/>
      <c r="K5" s="65"/>
      <c r="L5" s="66"/>
      <c r="M5" s="66"/>
      <c r="N5" s="66"/>
    </row>
    <row r="6" ht="12.75" customHeight="1">
      <c r="A6" s="65"/>
      <c r="B6" s="67"/>
      <c r="C6" s="67"/>
      <c r="D6" s="65"/>
      <c r="E6" s="65"/>
      <c r="F6" s="68"/>
      <c r="G6" s="68"/>
      <c r="H6" s="68"/>
      <c r="I6" s="67"/>
      <c r="J6" s="67"/>
      <c r="K6" s="68"/>
      <c r="L6" s="69"/>
      <c r="M6" s="69"/>
      <c r="N6" s="69"/>
    </row>
    <row r="7" ht="16.5" customHeight="1">
      <c r="A7" s="70"/>
      <c r="B7" s="71" t="s">
        <v>25</v>
      </c>
      <c r="C7" s="71" t="s">
        <v>26</v>
      </c>
      <c r="D7" s="71" t="s">
        <v>27</v>
      </c>
      <c r="E7" s="71" t="s">
        <v>28</v>
      </c>
      <c r="F7" s="71" t="s">
        <v>29</v>
      </c>
      <c r="G7" s="71" t="s">
        <v>30</v>
      </c>
      <c r="H7" s="71" t="s">
        <v>31</v>
      </c>
      <c r="I7" s="71" t="s">
        <v>32</v>
      </c>
      <c r="L7" s="72"/>
      <c r="M7" s="69"/>
      <c r="N7" s="69"/>
    </row>
    <row r="8" ht="16.5" customHeight="1">
      <c r="A8" s="73"/>
      <c r="B8" s="74">
        <v>1.0</v>
      </c>
      <c r="C8" s="75" t="s">
        <v>33</v>
      </c>
      <c r="D8" s="74">
        <f t="shared" ref="D8:D17" si="1">IF($C8 &lt;&gt; "",INDIRECT("'" &amp; $C8 &amp; "'!D7"),"")</f>
        <v>0</v>
      </c>
      <c r="E8" s="74">
        <f t="shared" ref="E8:E17" si="2">IF($C8 &lt;&gt; "",INDIRECT("'" &amp; $C8 &amp; "'!E7"),"")</f>
        <v>0</v>
      </c>
      <c r="F8" s="74">
        <f t="shared" ref="F8:F17" si="3">IF($C8 &lt;&gt; "",INDIRECT("'" &amp; $C8 &amp; "'!F7"),"")</f>
        <v>0</v>
      </c>
      <c r="G8" s="74">
        <f t="shared" ref="G8:G17" si="4">IF($C8 &lt;&gt; "",INDIRECT("'" &amp; $C8 &amp; "'!G7"),"")</f>
        <v>0</v>
      </c>
      <c r="H8" s="76">
        <f t="shared" ref="H8:H17" si="5">IF($C8 &lt;&gt; "",INDIRECT("'" &amp; $C8 &amp; "'!H7"),"")</f>
        <v>10</v>
      </c>
      <c r="I8" s="74">
        <f t="shared" ref="I8:I17" si="6">IF($C8 &lt;&gt; "",INDIRECT("'" &amp; $C8 &amp; "'!C7"),"")</f>
        <v>10</v>
      </c>
      <c r="L8" s="72"/>
      <c r="M8" s="69"/>
      <c r="N8" s="69"/>
    </row>
    <row r="9" ht="12.75" customHeight="1">
      <c r="A9" s="73"/>
      <c r="B9" s="74"/>
      <c r="C9" s="75"/>
      <c r="D9" s="74" t="str">
        <f t="shared" si="1"/>
        <v/>
      </c>
      <c r="E9" s="74" t="str">
        <f t="shared" si="2"/>
        <v/>
      </c>
      <c r="F9" s="74" t="str">
        <f t="shared" si="3"/>
        <v/>
      </c>
      <c r="G9" s="74" t="str">
        <f t="shared" si="4"/>
        <v/>
      </c>
      <c r="H9" s="74" t="str">
        <f t="shared" si="5"/>
        <v/>
      </c>
      <c r="I9" s="74" t="str">
        <f t="shared" si="6"/>
        <v/>
      </c>
      <c r="L9" s="72"/>
      <c r="M9" s="69"/>
      <c r="N9" s="69"/>
    </row>
    <row r="10" ht="12.75" customHeight="1">
      <c r="A10" s="73"/>
      <c r="B10" s="74"/>
      <c r="C10" s="75"/>
      <c r="D10" s="74" t="str">
        <f t="shared" si="1"/>
        <v/>
      </c>
      <c r="E10" s="74" t="str">
        <f t="shared" si="2"/>
        <v/>
      </c>
      <c r="F10" s="74" t="str">
        <f t="shared" si="3"/>
        <v/>
      </c>
      <c r="G10" s="74" t="str">
        <f t="shared" si="4"/>
        <v/>
      </c>
      <c r="H10" s="74" t="str">
        <f t="shared" si="5"/>
        <v/>
      </c>
      <c r="I10" s="74" t="str">
        <f t="shared" si="6"/>
        <v/>
      </c>
      <c r="L10" s="72"/>
      <c r="M10" s="69"/>
      <c r="N10" s="69"/>
    </row>
    <row r="11" ht="12.75" customHeight="1">
      <c r="A11" s="73"/>
      <c r="B11" s="74"/>
      <c r="C11" s="75"/>
      <c r="D11" s="74" t="str">
        <f t="shared" si="1"/>
        <v/>
      </c>
      <c r="E11" s="74" t="str">
        <f t="shared" si="2"/>
        <v/>
      </c>
      <c r="F11" s="74" t="str">
        <f t="shared" si="3"/>
        <v/>
      </c>
      <c r="G11" s="74" t="str">
        <f t="shared" si="4"/>
        <v/>
      </c>
      <c r="H11" s="74" t="str">
        <f t="shared" si="5"/>
        <v/>
      </c>
      <c r="I11" s="74" t="str">
        <f t="shared" si="6"/>
        <v/>
      </c>
      <c r="L11" s="72"/>
      <c r="M11" s="69"/>
      <c r="N11" s="69"/>
    </row>
    <row r="12" ht="12.75" customHeight="1">
      <c r="A12" s="73"/>
      <c r="B12" s="74"/>
      <c r="C12" s="75"/>
      <c r="D12" s="74" t="str">
        <f t="shared" si="1"/>
        <v/>
      </c>
      <c r="E12" s="74" t="str">
        <f t="shared" si="2"/>
        <v/>
      </c>
      <c r="F12" s="74" t="str">
        <f t="shared" si="3"/>
        <v/>
      </c>
      <c r="G12" s="74" t="str">
        <f t="shared" si="4"/>
        <v/>
      </c>
      <c r="H12" s="74" t="str">
        <f t="shared" si="5"/>
        <v/>
      </c>
      <c r="I12" s="74" t="str">
        <f t="shared" si="6"/>
        <v/>
      </c>
      <c r="L12" s="72"/>
      <c r="M12" s="69"/>
      <c r="N12" s="69"/>
    </row>
    <row r="13" ht="12.75" customHeight="1">
      <c r="A13" s="73"/>
      <c r="B13" s="74"/>
      <c r="C13" s="75"/>
      <c r="D13" s="74" t="str">
        <f t="shared" si="1"/>
        <v/>
      </c>
      <c r="E13" s="74" t="str">
        <f t="shared" si="2"/>
        <v/>
      </c>
      <c r="F13" s="74" t="str">
        <f t="shared" si="3"/>
        <v/>
      </c>
      <c r="G13" s="74" t="str">
        <f t="shared" si="4"/>
        <v/>
      </c>
      <c r="H13" s="74" t="str">
        <f t="shared" si="5"/>
        <v/>
      </c>
      <c r="I13" s="74" t="str">
        <f t="shared" si="6"/>
        <v/>
      </c>
      <c r="L13" s="72"/>
      <c r="M13" s="69"/>
      <c r="N13" s="69"/>
    </row>
    <row r="14" ht="12.75" customHeight="1">
      <c r="A14" s="73"/>
      <c r="B14" s="74"/>
      <c r="C14" s="75"/>
      <c r="D14" s="74" t="str">
        <f t="shared" si="1"/>
        <v/>
      </c>
      <c r="E14" s="74" t="str">
        <f t="shared" si="2"/>
        <v/>
      </c>
      <c r="F14" s="74" t="str">
        <f t="shared" si="3"/>
        <v/>
      </c>
      <c r="G14" s="74" t="str">
        <f t="shared" si="4"/>
        <v/>
      </c>
      <c r="H14" s="74" t="str">
        <f t="shared" si="5"/>
        <v/>
      </c>
      <c r="I14" s="74" t="str">
        <f t="shared" si="6"/>
        <v/>
      </c>
      <c r="L14" s="72"/>
      <c r="M14" s="69"/>
      <c r="N14" s="69"/>
    </row>
    <row r="15" ht="12.75" customHeight="1">
      <c r="A15" s="73"/>
      <c r="B15" s="74"/>
      <c r="C15" s="75"/>
      <c r="D15" s="74" t="str">
        <f t="shared" si="1"/>
        <v/>
      </c>
      <c r="E15" s="74" t="str">
        <f t="shared" si="2"/>
        <v/>
      </c>
      <c r="F15" s="74" t="str">
        <f t="shared" si="3"/>
        <v/>
      </c>
      <c r="G15" s="74" t="str">
        <f t="shared" si="4"/>
        <v/>
      </c>
      <c r="H15" s="74" t="str">
        <f t="shared" si="5"/>
        <v/>
      </c>
      <c r="I15" s="74" t="str">
        <f t="shared" si="6"/>
        <v/>
      </c>
      <c r="L15" s="72"/>
      <c r="M15" s="69"/>
      <c r="N15" s="69"/>
    </row>
    <row r="16" ht="12.75" customHeight="1">
      <c r="A16" s="73"/>
      <c r="B16" s="74"/>
      <c r="C16" s="75"/>
      <c r="D16" s="74" t="str">
        <f t="shared" si="1"/>
        <v/>
      </c>
      <c r="E16" s="74" t="str">
        <f t="shared" si="2"/>
        <v/>
      </c>
      <c r="F16" s="74" t="str">
        <f t="shared" si="3"/>
        <v/>
      </c>
      <c r="G16" s="74" t="str">
        <f t="shared" si="4"/>
        <v/>
      </c>
      <c r="H16" s="74" t="str">
        <f t="shared" si="5"/>
        <v/>
      </c>
      <c r="I16" s="74" t="str">
        <f t="shared" si="6"/>
        <v/>
      </c>
      <c r="L16" s="72"/>
      <c r="M16" s="69"/>
      <c r="N16" s="69"/>
    </row>
    <row r="17" ht="12.75" customHeight="1">
      <c r="A17" s="73"/>
      <c r="B17" s="74"/>
      <c r="C17" s="75"/>
      <c r="D17" s="74" t="str">
        <f t="shared" si="1"/>
        <v/>
      </c>
      <c r="E17" s="74" t="str">
        <f t="shared" si="2"/>
        <v/>
      </c>
      <c r="F17" s="74" t="str">
        <f t="shared" si="3"/>
        <v/>
      </c>
      <c r="G17" s="74" t="str">
        <f t="shared" si="4"/>
        <v/>
      </c>
      <c r="H17" s="74" t="str">
        <f t="shared" si="5"/>
        <v/>
      </c>
      <c r="I17" s="74" t="str">
        <f t="shared" si="6"/>
        <v/>
      </c>
      <c r="L17" s="72"/>
      <c r="M17" s="69"/>
      <c r="N17" s="69"/>
    </row>
    <row r="18" ht="12.75" customHeight="1">
      <c r="A18" s="77"/>
      <c r="B18" s="78"/>
      <c r="C18" s="79" t="s">
        <v>32</v>
      </c>
      <c r="D18" s="78">
        <f t="shared" ref="D18:I18" si="7">SUM(D8:D17)</f>
        <v>0</v>
      </c>
      <c r="E18" s="78">
        <f t="shared" si="7"/>
        <v>0</v>
      </c>
      <c r="F18" s="78">
        <f t="shared" si="7"/>
        <v>0</v>
      </c>
      <c r="G18" s="78">
        <f t="shared" si="7"/>
        <v>0</v>
      </c>
      <c r="H18" s="80">
        <f t="shared" si="7"/>
        <v>10</v>
      </c>
      <c r="I18" s="78">
        <f t="shared" si="7"/>
        <v>10</v>
      </c>
      <c r="L18" s="81"/>
      <c r="M18" s="82"/>
      <c r="N18" s="82"/>
    </row>
    <row r="19" ht="12.75" customHeight="1">
      <c r="A19" s="65"/>
      <c r="B19" s="66"/>
      <c r="C19" s="66"/>
      <c r="D19" s="65"/>
      <c r="E19" s="65"/>
      <c r="F19" s="66"/>
      <c r="G19" s="66"/>
      <c r="H19" s="66"/>
      <c r="I19" s="66"/>
      <c r="J19" s="66"/>
      <c r="K19" s="66"/>
      <c r="L19" s="69"/>
      <c r="M19" s="69"/>
      <c r="N19" s="69"/>
    </row>
    <row r="20" ht="12.75" customHeight="1">
      <c r="A20" s="65"/>
      <c r="B20" s="69"/>
      <c r="C20" s="69"/>
      <c r="D20" s="65"/>
      <c r="E20" s="65"/>
      <c r="F20" s="69"/>
      <c r="G20" s="69"/>
      <c r="H20" s="69"/>
      <c r="I20" s="69"/>
      <c r="J20" s="69"/>
      <c r="K20" s="69"/>
      <c r="L20" s="69"/>
      <c r="M20" s="69"/>
      <c r="N20" s="69"/>
    </row>
    <row r="21" ht="12.75" customHeight="1">
      <c r="A21" s="83"/>
      <c r="B21" s="82"/>
      <c r="C21" s="69"/>
      <c r="D21" s="65"/>
      <c r="E21" s="65"/>
      <c r="F21" s="69"/>
      <c r="G21" s="69"/>
      <c r="H21" s="69"/>
      <c r="I21" s="69"/>
      <c r="J21" s="69"/>
      <c r="K21" s="69"/>
      <c r="L21" s="84"/>
      <c r="M21" s="84"/>
      <c r="N21" s="69"/>
    </row>
    <row r="22" ht="12.75" customHeight="1">
      <c r="A22" s="65"/>
      <c r="B22" s="69"/>
      <c r="C22" s="69"/>
      <c r="D22" s="69"/>
      <c r="E22" s="69"/>
      <c r="F22" s="69"/>
      <c r="G22" s="69"/>
      <c r="H22" s="69"/>
      <c r="I22" s="69"/>
      <c r="J22" s="69"/>
      <c r="K22" s="69"/>
      <c r="L22" s="69"/>
      <c r="M22" s="69"/>
      <c r="N22" s="69"/>
    </row>
    <row r="23">
      <c r="A23" s="85"/>
      <c r="B23" s="85"/>
      <c r="C23" s="85"/>
      <c r="D23" s="85"/>
      <c r="E23" s="85"/>
      <c r="F23" s="85"/>
      <c r="G23" s="85"/>
      <c r="H23" s="85"/>
      <c r="I23" s="85"/>
      <c r="J23" s="85"/>
      <c r="K23" s="85"/>
      <c r="L23" s="85"/>
      <c r="M23" s="85"/>
      <c r="N23" s="85"/>
    </row>
    <row r="24">
      <c r="A24" s="85"/>
      <c r="B24" s="85"/>
      <c r="C24" s="85"/>
      <c r="D24" s="85"/>
      <c r="E24" s="85"/>
      <c r="F24" s="85"/>
      <c r="G24" s="85"/>
      <c r="H24" s="85"/>
      <c r="I24" s="85"/>
      <c r="J24" s="85"/>
      <c r="K24" s="85"/>
      <c r="L24" s="85"/>
      <c r="M24" s="85"/>
      <c r="N24" s="85"/>
    </row>
    <row r="25">
      <c r="A25" s="85"/>
      <c r="B25" s="85"/>
      <c r="C25" s="85"/>
      <c r="D25" s="85"/>
      <c r="E25" s="85"/>
      <c r="F25" s="85"/>
      <c r="G25" s="85"/>
      <c r="H25" s="85"/>
      <c r="I25" s="85"/>
      <c r="J25" s="85"/>
      <c r="K25" s="85"/>
      <c r="L25" s="85"/>
      <c r="M25" s="85"/>
      <c r="N25" s="85"/>
    </row>
    <row r="26">
      <c r="A26" s="85"/>
      <c r="B26" s="85"/>
      <c r="C26" s="85"/>
      <c r="D26" s="85"/>
      <c r="E26" s="85"/>
      <c r="F26" s="85"/>
      <c r="G26" s="85"/>
      <c r="H26" s="85"/>
      <c r="I26" s="85"/>
      <c r="J26" s="85"/>
      <c r="K26" s="85"/>
      <c r="L26" s="85"/>
      <c r="M26" s="85"/>
      <c r="N26" s="85"/>
    </row>
    <row r="27">
      <c r="A27" s="85"/>
      <c r="B27" s="85"/>
      <c r="C27" s="85"/>
      <c r="D27" s="85"/>
      <c r="E27" s="85"/>
      <c r="F27" s="85"/>
      <c r="G27" s="85"/>
      <c r="H27" s="85"/>
      <c r="I27" s="85"/>
      <c r="J27" s="85"/>
      <c r="K27" s="85"/>
      <c r="L27" s="85"/>
      <c r="M27" s="85"/>
      <c r="N27" s="85"/>
    </row>
    <row r="28">
      <c r="A28" s="85"/>
      <c r="B28" s="85"/>
      <c r="C28" s="85"/>
      <c r="D28" s="85"/>
      <c r="E28" s="85"/>
      <c r="F28" s="85"/>
      <c r="G28" s="85"/>
      <c r="H28" s="85"/>
      <c r="I28" s="85"/>
      <c r="J28" s="85"/>
      <c r="K28" s="85"/>
      <c r="L28" s="85"/>
      <c r="M28" s="85"/>
      <c r="N28" s="85"/>
    </row>
    <row r="29">
      <c r="A29" s="85"/>
      <c r="B29" s="85"/>
      <c r="C29" s="85"/>
      <c r="D29" s="85"/>
      <c r="E29" s="85"/>
      <c r="F29" s="85"/>
      <c r="G29" s="85"/>
      <c r="H29" s="85"/>
      <c r="I29" s="85"/>
      <c r="J29" s="85"/>
      <c r="K29" s="85"/>
      <c r="L29" s="85"/>
      <c r="M29" s="85"/>
      <c r="N29" s="85"/>
    </row>
  </sheetData>
  <mergeCells count="6">
    <mergeCell ref="A1:C3"/>
    <mergeCell ref="D1:I3"/>
    <mergeCell ref="J1:L1"/>
    <mergeCell ref="J2:L2"/>
    <mergeCell ref="J3:L3"/>
    <mergeCell ref="J4:L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3.0" topLeftCell="A14" activePane="bottomLeft" state="frozen"/>
      <selection activeCell="B15" sqref="B15" pane="bottomLeft"/>
    </sheetView>
  </sheetViews>
  <sheetFormatPr customHeight="1" defaultColWidth="15.13" defaultRowHeight="15.0"/>
  <cols>
    <col customWidth="1" min="1" max="1" width="6.38"/>
    <col customWidth="1" min="2" max="2" width="12.5"/>
    <col customWidth="1" min="3" max="3" width="15.38"/>
    <col customWidth="1" min="4" max="4" width="16.25"/>
    <col customWidth="1" min="5" max="5" width="17.0"/>
    <col customWidth="1" min="6" max="6" width="25.5"/>
    <col customWidth="1" min="7" max="8" width="24.88"/>
    <col customWidth="1" min="9" max="9" width="41.0"/>
    <col customWidth="1" min="10" max="10" width="12.0"/>
    <col customWidth="1" min="11" max="11" width="13.5"/>
    <col customWidth="1" min="12" max="12" width="15.88"/>
    <col customWidth="1" min="13" max="13" width="13.5"/>
    <col customWidth="1" min="14" max="14" width="16.5"/>
    <col customWidth="1" min="15" max="15" width="23.0"/>
    <col customWidth="1" min="16" max="16" width="29.0"/>
    <col customWidth="1" min="17" max="17" width="15.13"/>
  </cols>
  <sheetData>
    <row r="1">
      <c r="A1" s="1"/>
      <c r="B1" s="2"/>
      <c r="C1" s="2"/>
      <c r="D1" s="3" t="s">
        <v>34</v>
      </c>
      <c r="E1" s="2"/>
      <c r="F1" s="2"/>
      <c r="G1" s="86" t="s">
        <v>1</v>
      </c>
      <c r="H1" s="87"/>
      <c r="I1" s="88"/>
      <c r="J1" s="89"/>
      <c r="K1" s="89"/>
      <c r="L1" s="90"/>
      <c r="M1" s="91"/>
      <c r="N1" s="91"/>
      <c r="O1" s="91"/>
      <c r="P1" s="91"/>
    </row>
    <row r="2">
      <c r="A2" s="6"/>
      <c r="D2" s="6"/>
      <c r="G2" s="92" t="s">
        <v>2</v>
      </c>
      <c r="H2" s="93"/>
      <c r="I2" s="94"/>
      <c r="J2" s="95"/>
      <c r="K2" s="95"/>
      <c r="L2" s="90"/>
      <c r="M2" s="91"/>
      <c r="N2" s="91"/>
      <c r="O2" s="91"/>
      <c r="P2" s="91"/>
    </row>
    <row r="3">
      <c r="A3" s="6"/>
      <c r="D3" s="6"/>
      <c r="G3" s="9" t="s">
        <v>3</v>
      </c>
      <c r="H3" s="10"/>
      <c r="I3" s="96"/>
      <c r="J3" s="97"/>
      <c r="K3" s="97"/>
      <c r="L3" s="90"/>
      <c r="M3" s="91"/>
      <c r="N3" s="91"/>
      <c r="O3" s="91"/>
      <c r="P3" s="91"/>
    </row>
    <row r="4">
      <c r="A4" s="11" t="s">
        <v>4</v>
      </c>
      <c r="B4" s="12"/>
      <c r="C4" s="12"/>
      <c r="D4" s="12"/>
      <c r="E4" s="12"/>
      <c r="F4" s="12"/>
      <c r="G4" s="14" t="s">
        <v>5</v>
      </c>
      <c r="H4" s="10"/>
      <c r="I4" s="98"/>
      <c r="J4" s="98"/>
      <c r="K4" s="98"/>
      <c r="L4" s="90"/>
      <c r="M4" s="91"/>
      <c r="N4" s="91"/>
      <c r="O4" s="91"/>
      <c r="P4" s="91"/>
    </row>
    <row r="5" ht="12.0" customHeight="1">
      <c r="A5" s="99"/>
      <c r="B5" s="100"/>
      <c r="C5" s="100"/>
      <c r="D5" s="101"/>
      <c r="E5" s="102"/>
      <c r="F5" s="103"/>
      <c r="G5" s="103"/>
      <c r="H5" s="103"/>
      <c r="I5" s="103"/>
      <c r="J5" s="103"/>
      <c r="K5" s="103"/>
      <c r="L5" s="90"/>
      <c r="M5" s="91"/>
      <c r="N5" s="91"/>
      <c r="O5" s="91"/>
      <c r="P5" s="91"/>
    </row>
    <row r="6" ht="12.0" customHeight="1">
      <c r="A6" s="104"/>
      <c r="B6" s="105"/>
      <c r="C6" s="106" t="s">
        <v>35</v>
      </c>
      <c r="D6" s="106" t="s">
        <v>27</v>
      </c>
      <c r="E6" s="106" t="s">
        <v>28</v>
      </c>
      <c r="F6" s="106" t="s">
        <v>29</v>
      </c>
      <c r="G6" s="106" t="s">
        <v>30</v>
      </c>
      <c r="H6" s="107" t="s">
        <v>36</v>
      </c>
      <c r="I6" s="108"/>
      <c r="J6" s="109"/>
      <c r="K6" s="109"/>
      <c r="L6" s="110"/>
      <c r="M6" s="111"/>
      <c r="N6" s="111"/>
      <c r="O6" s="111"/>
      <c r="P6" s="111"/>
    </row>
    <row r="7" ht="12.0" customHeight="1">
      <c r="A7" s="112"/>
      <c r="B7" s="105"/>
      <c r="C7" s="113">
        <f>COUNTA(A15:A26)</f>
        <v>10</v>
      </c>
      <c r="D7" s="113">
        <f>COUNTIF(L15:L1000,"Passed")</f>
        <v>0</v>
      </c>
      <c r="E7" s="113">
        <f>COUNTIF(L15:L1000,"Failed")</f>
        <v>0</v>
      </c>
      <c r="F7" s="113">
        <f>COUNTIF(L15:L1000,"Pending")</f>
        <v>0</v>
      </c>
      <c r="G7" s="113">
        <f>COUNTIF(L15:L1000,"N/A")</f>
        <v>0</v>
      </c>
      <c r="H7" s="114">
        <f>C7-D7-G7</f>
        <v>10</v>
      </c>
      <c r="L7" s="115"/>
      <c r="M7" s="116"/>
      <c r="N7" s="117"/>
      <c r="O7" s="117"/>
      <c r="P7" s="117"/>
    </row>
    <row r="8" ht="12.0" customHeight="1">
      <c r="A8" s="112"/>
      <c r="B8" s="105"/>
      <c r="C8" s="113"/>
      <c r="D8" s="118">
        <f>D7/(C7-G7)</f>
        <v>0</v>
      </c>
      <c r="E8" s="118">
        <f>E7/(C7-G7)</f>
        <v>0</v>
      </c>
      <c r="F8" s="118">
        <f>F7/(C7-G7)</f>
        <v>0</v>
      </c>
      <c r="G8" s="118">
        <f>G7/(C7-G7)</f>
        <v>0</v>
      </c>
      <c r="H8" s="119">
        <f>H7/(C7-G7)</f>
        <v>1</v>
      </c>
      <c r="L8" s="115"/>
      <c r="M8" s="116"/>
      <c r="N8" s="117"/>
      <c r="O8" s="117"/>
      <c r="P8" s="117"/>
    </row>
    <row r="9" ht="12.0" customHeight="1">
      <c r="A9" s="112"/>
      <c r="B9" s="105"/>
      <c r="L9" s="115"/>
      <c r="M9" s="120"/>
      <c r="N9" s="117"/>
      <c r="O9" s="117"/>
      <c r="P9" s="117"/>
    </row>
    <row r="10" ht="12.0" customHeight="1">
      <c r="A10" s="121" t="s">
        <v>37</v>
      </c>
      <c r="B10" s="105"/>
      <c r="I10" s="122"/>
      <c r="J10" s="122"/>
      <c r="K10" s="122"/>
      <c r="L10" s="110"/>
      <c r="M10" s="120"/>
      <c r="N10" s="117"/>
      <c r="O10" s="117"/>
      <c r="P10" s="117"/>
    </row>
    <row r="11" ht="12.0" customHeight="1">
      <c r="A11" s="121"/>
      <c r="B11" s="123"/>
      <c r="C11" s="123"/>
      <c r="D11" s="123"/>
      <c r="E11" s="123"/>
      <c r="F11" s="123"/>
      <c r="G11" s="123"/>
      <c r="H11" s="123"/>
      <c r="I11" s="123"/>
      <c r="J11" s="123"/>
      <c r="K11" s="123"/>
      <c r="L11" s="120"/>
      <c r="M11" s="120"/>
      <c r="N11" s="117"/>
      <c r="O11" s="117"/>
      <c r="P11" s="117"/>
    </row>
    <row r="12" ht="12.0" customHeight="1">
      <c r="A12" s="124" t="s">
        <v>38</v>
      </c>
      <c r="B12" s="125"/>
      <c r="C12" s="126"/>
      <c r="D12" s="126"/>
      <c r="E12" s="126"/>
      <c r="F12" s="126"/>
      <c r="G12" s="126"/>
      <c r="H12" s="126"/>
      <c r="I12" s="126"/>
      <c r="J12" s="126"/>
      <c r="K12" s="126"/>
      <c r="L12" s="127"/>
      <c r="M12" s="127"/>
      <c r="N12" s="128"/>
      <c r="O12" s="128"/>
      <c r="P12" s="128"/>
    </row>
    <row r="13">
      <c r="A13" s="129" t="s">
        <v>39</v>
      </c>
      <c r="B13" s="130" t="s">
        <v>40</v>
      </c>
      <c r="C13" s="130" t="s">
        <v>41</v>
      </c>
      <c r="D13" s="130" t="s">
        <v>42</v>
      </c>
      <c r="E13" s="130" t="s">
        <v>43</v>
      </c>
      <c r="F13" s="130" t="s">
        <v>44</v>
      </c>
      <c r="G13" s="129" t="s">
        <v>45</v>
      </c>
      <c r="H13" s="129" t="s">
        <v>46</v>
      </c>
      <c r="I13" s="129" t="s">
        <v>47</v>
      </c>
      <c r="J13" s="129" t="s">
        <v>48</v>
      </c>
      <c r="K13" s="129" t="s">
        <v>49</v>
      </c>
      <c r="L13" s="131" t="s">
        <v>50</v>
      </c>
      <c r="M13" s="129" t="s">
        <v>51</v>
      </c>
      <c r="N13" s="129" t="s">
        <v>52</v>
      </c>
      <c r="O13" s="129" t="s">
        <v>53</v>
      </c>
      <c r="P13" s="129" t="s">
        <v>54</v>
      </c>
    </row>
    <row r="14">
      <c r="A14" s="132"/>
      <c r="B14" s="133" t="s">
        <v>55</v>
      </c>
      <c r="C14" s="132"/>
      <c r="D14" s="132"/>
      <c r="E14" s="132"/>
      <c r="F14" s="132"/>
      <c r="G14" s="132"/>
      <c r="H14" s="132"/>
      <c r="I14" s="132"/>
      <c r="J14" s="132"/>
      <c r="K14" s="132"/>
      <c r="L14" s="132"/>
      <c r="M14" s="132"/>
      <c r="N14" s="132"/>
      <c r="O14" s="132"/>
      <c r="P14" s="132"/>
    </row>
    <row r="15">
      <c r="A15" s="134" t="str">
        <f t="shared" ref="A15:A18" si="1">"ID-"&amp;(COUNTA(A$13:A14))</f>
        <v>ID-1</v>
      </c>
      <c r="B15" s="135"/>
      <c r="C15" s="135"/>
      <c r="D15" s="136"/>
      <c r="E15" s="136"/>
      <c r="F15" s="136"/>
      <c r="G15" s="137"/>
      <c r="H15" s="138"/>
      <c r="I15" s="135"/>
      <c r="J15" s="139"/>
      <c r="K15" s="139"/>
      <c r="L15" s="139"/>
      <c r="M15" s="134"/>
      <c r="N15" s="140"/>
      <c r="O15" s="136"/>
      <c r="P15" s="141"/>
    </row>
    <row r="16">
      <c r="A16" s="142" t="str">
        <f t="shared" si="1"/>
        <v>ID-2</v>
      </c>
      <c r="B16" s="143"/>
      <c r="C16" s="143"/>
      <c r="D16" s="141"/>
      <c r="E16" s="141"/>
      <c r="F16" s="141"/>
      <c r="G16" s="144"/>
      <c r="H16" s="145"/>
      <c r="I16" s="143"/>
      <c r="J16" s="139"/>
      <c r="K16" s="139"/>
      <c r="L16" s="139"/>
      <c r="M16" s="142"/>
      <c r="N16" s="146"/>
      <c r="O16" s="141"/>
      <c r="P16" s="141"/>
    </row>
    <row r="17">
      <c r="A17" s="142" t="str">
        <f t="shared" si="1"/>
        <v>ID-3</v>
      </c>
      <c r="B17" s="143"/>
      <c r="C17" s="143"/>
      <c r="D17" s="141"/>
      <c r="E17" s="141"/>
      <c r="F17" s="141"/>
      <c r="G17" s="144"/>
      <c r="H17" s="145"/>
      <c r="I17" s="143"/>
      <c r="J17" s="139"/>
      <c r="K17" s="139"/>
      <c r="L17" s="139"/>
      <c r="M17" s="142"/>
      <c r="N17" s="146"/>
      <c r="O17" s="141"/>
      <c r="P17" s="141"/>
    </row>
    <row r="18">
      <c r="A18" s="142" t="str">
        <f t="shared" si="1"/>
        <v>ID-4</v>
      </c>
      <c r="B18" s="143"/>
      <c r="C18" s="143"/>
      <c r="D18" s="141"/>
      <c r="E18" s="141"/>
      <c r="F18" s="141"/>
      <c r="G18" s="144"/>
      <c r="H18" s="145"/>
      <c r="I18" s="143"/>
      <c r="J18" s="139"/>
      <c r="K18" s="139"/>
      <c r="L18" s="139"/>
      <c r="M18" s="142"/>
      <c r="N18" s="146"/>
      <c r="O18" s="141"/>
      <c r="P18" s="141"/>
    </row>
    <row r="19">
      <c r="A19" s="147"/>
      <c r="B19" s="148" t="s">
        <v>56</v>
      </c>
      <c r="C19" s="149"/>
      <c r="D19" s="150"/>
      <c r="E19" s="150"/>
      <c r="F19" s="150"/>
      <c r="G19" s="150"/>
      <c r="H19" s="150"/>
      <c r="I19" s="150"/>
      <c r="J19" s="150"/>
      <c r="K19" s="150"/>
      <c r="L19" s="150"/>
      <c r="M19" s="150"/>
      <c r="N19" s="151"/>
      <c r="O19" s="152"/>
      <c r="P19" s="152"/>
    </row>
    <row r="20">
      <c r="A20" s="142" t="str">
        <f t="shared" ref="A20:A23" si="2">"ID-"&amp;(COUNTA(A$13:A19))</f>
        <v>ID-5</v>
      </c>
      <c r="B20" s="153"/>
      <c r="C20" s="143"/>
      <c r="D20" s="141"/>
      <c r="E20" s="154"/>
      <c r="F20" s="141"/>
      <c r="G20" s="141"/>
      <c r="H20" s="155"/>
      <c r="I20" s="155"/>
      <c r="J20" s="139"/>
      <c r="K20" s="139"/>
      <c r="L20" s="139"/>
      <c r="M20" s="142"/>
      <c r="N20" s="141"/>
      <c r="O20" s="141"/>
      <c r="P20" s="141"/>
    </row>
    <row r="21" ht="15.75" customHeight="1">
      <c r="A21" s="142" t="str">
        <f t="shared" si="2"/>
        <v>ID-6</v>
      </c>
      <c r="B21" s="143"/>
      <c r="C21" s="141"/>
      <c r="D21" s="141"/>
      <c r="E21" s="141"/>
      <c r="F21" s="141"/>
      <c r="G21" s="141"/>
      <c r="H21" s="156"/>
      <c r="I21" s="156"/>
      <c r="J21" s="139"/>
      <c r="K21" s="139"/>
      <c r="L21" s="139"/>
      <c r="M21" s="142"/>
      <c r="N21" s="141"/>
      <c r="O21" s="141"/>
      <c r="P21" s="141"/>
    </row>
    <row r="22" ht="15.75" customHeight="1">
      <c r="A22" s="142" t="str">
        <f t="shared" si="2"/>
        <v>ID-7</v>
      </c>
      <c r="B22" s="143"/>
      <c r="C22" s="141"/>
      <c r="D22" s="141"/>
      <c r="E22" s="141"/>
      <c r="F22" s="141"/>
      <c r="G22" s="141"/>
      <c r="H22" s="156"/>
      <c r="I22" s="156"/>
      <c r="J22" s="139"/>
      <c r="K22" s="139"/>
      <c r="L22" s="139"/>
      <c r="M22" s="142"/>
      <c r="N22" s="141"/>
      <c r="O22" s="141"/>
      <c r="P22" s="141"/>
    </row>
    <row r="23" ht="15.75" customHeight="1">
      <c r="A23" s="142" t="str">
        <f t="shared" si="2"/>
        <v>ID-8</v>
      </c>
      <c r="B23" s="143"/>
      <c r="C23" s="141"/>
      <c r="D23" s="141"/>
      <c r="E23" s="141"/>
      <c r="F23" s="141"/>
      <c r="G23" s="141"/>
      <c r="H23" s="156"/>
      <c r="I23" s="156"/>
      <c r="J23" s="139"/>
      <c r="K23" s="139"/>
      <c r="L23" s="139"/>
      <c r="M23" s="142"/>
      <c r="N23" s="141"/>
      <c r="O23" s="141"/>
      <c r="P23" s="141"/>
    </row>
    <row r="24" ht="15.75" customHeight="1">
      <c r="A24" s="147"/>
      <c r="B24" s="157" t="s">
        <v>57</v>
      </c>
      <c r="C24" s="149"/>
      <c r="D24" s="149"/>
      <c r="E24" s="149"/>
      <c r="F24" s="149"/>
      <c r="G24" s="149"/>
      <c r="H24" s="149"/>
      <c r="I24" s="149"/>
      <c r="J24" s="149"/>
      <c r="K24" s="149"/>
      <c r="L24" s="149"/>
      <c r="M24" s="149"/>
      <c r="N24" s="149"/>
      <c r="O24" s="158"/>
      <c r="P24" s="158"/>
    </row>
    <row r="25" ht="15.75" customHeight="1">
      <c r="A25" s="142" t="str">
        <f t="shared" ref="A25:A26" si="3">"ID-"&amp;(COUNTA(A$13:A24))</f>
        <v>ID-9</v>
      </c>
      <c r="B25" s="159"/>
      <c r="C25" s="143"/>
      <c r="D25" s="141"/>
      <c r="E25" s="141"/>
      <c r="F25" s="141"/>
      <c r="G25" s="141"/>
      <c r="H25" s="135"/>
      <c r="I25" s="160"/>
      <c r="J25" s="139"/>
      <c r="K25" s="139"/>
      <c r="L25" s="139"/>
      <c r="M25" s="142"/>
      <c r="N25" s="141"/>
      <c r="O25" s="141"/>
      <c r="P25" s="141"/>
    </row>
    <row r="26" ht="15.75" customHeight="1">
      <c r="A26" s="142" t="str">
        <f t="shared" si="3"/>
        <v>ID-10</v>
      </c>
      <c r="B26" s="159"/>
      <c r="C26" s="143"/>
      <c r="D26" s="141"/>
      <c r="E26" s="141"/>
      <c r="F26" s="141"/>
      <c r="G26" s="141"/>
      <c r="H26" s="143"/>
      <c r="I26" s="143"/>
      <c r="J26" s="139"/>
      <c r="K26" s="139"/>
      <c r="L26" s="139"/>
      <c r="M26" s="142"/>
      <c r="N26" s="141"/>
      <c r="O26" s="141"/>
      <c r="P26" s="141"/>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C3"/>
    <mergeCell ref="D1:F3"/>
    <mergeCell ref="G1:H1"/>
    <mergeCell ref="G2:H2"/>
    <mergeCell ref="G3:H3"/>
    <mergeCell ref="A4:F4"/>
    <mergeCell ref="G4:H4"/>
  </mergeCells>
  <dataValidations>
    <dataValidation type="list" allowBlank="1" sqref="K15:K18 K20:K23 K25:K26">
      <formula1>"Positive,Negative"</formula1>
    </dataValidation>
    <dataValidation type="list" allowBlank="1" sqref="J15:J18 J20:J23 J25:J26">
      <formula1>"High,Medium,Low"</formula1>
    </dataValidation>
    <dataValidation type="list" allowBlank="1" sqref="L15:L18 L20:L23 L25:L26">
      <formula1>"Passed,Failed,Pending,N/A"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3.0" topLeftCell="A14" activePane="bottomLeft" state="frozen"/>
      <selection activeCell="B15" sqref="B15" pane="bottomLeft"/>
    </sheetView>
  </sheetViews>
  <sheetFormatPr customHeight="1" defaultColWidth="15.13" defaultRowHeight="15.0"/>
  <cols>
    <col customWidth="1" min="1" max="1" width="6.38"/>
    <col customWidth="1" min="2" max="2" width="12.5"/>
    <col customWidth="1" min="3" max="3" width="16.63"/>
    <col customWidth="1" min="4" max="4" width="16.25"/>
    <col customWidth="1" min="5" max="5" width="17.0"/>
    <col customWidth="1" min="6" max="6" width="25.5"/>
    <col customWidth="1" min="7" max="7" width="28.63"/>
    <col customWidth="1" min="8" max="8" width="23.38"/>
    <col customWidth="1" min="9" max="9" width="33.13"/>
    <col customWidth="1" min="10" max="10" width="12.0"/>
    <col customWidth="1" min="11" max="11" width="13.5"/>
    <col customWidth="1" min="12" max="12" width="15.88"/>
    <col customWidth="1" min="13" max="13" width="13.5"/>
    <col customWidth="1" min="14" max="14" width="16.5"/>
    <col customWidth="1" min="15" max="15" width="23.0"/>
    <col customWidth="1" min="16" max="16" width="29.0"/>
    <col customWidth="1" min="17" max="17" width="15.13"/>
  </cols>
  <sheetData>
    <row r="1">
      <c r="A1" s="1"/>
      <c r="B1" s="2"/>
      <c r="C1" s="2"/>
      <c r="D1" s="3" t="s">
        <v>34</v>
      </c>
      <c r="E1" s="2"/>
      <c r="F1" s="2"/>
      <c r="G1" s="86" t="s">
        <v>1</v>
      </c>
      <c r="H1" s="87"/>
      <c r="I1" s="88"/>
      <c r="J1" s="89"/>
      <c r="K1" s="89"/>
      <c r="L1" s="90"/>
      <c r="M1" s="91"/>
      <c r="N1" s="91"/>
      <c r="O1" s="91"/>
      <c r="P1" s="91"/>
    </row>
    <row r="2">
      <c r="A2" s="6"/>
      <c r="D2" s="6"/>
      <c r="G2" s="92" t="s">
        <v>2</v>
      </c>
      <c r="H2" s="93"/>
      <c r="I2" s="94"/>
      <c r="J2" s="95"/>
      <c r="K2" s="95"/>
      <c r="L2" s="90"/>
      <c r="M2" s="91"/>
      <c r="N2" s="91"/>
      <c r="O2" s="91"/>
      <c r="P2" s="91"/>
    </row>
    <row r="3">
      <c r="A3" s="6"/>
      <c r="D3" s="6"/>
      <c r="G3" s="9" t="s">
        <v>3</v>
      </c>
      <c r="H3" s="10"/>
      <c r="I3" s="96"/>
      <c r="J3" s="97"/>
      <c r="K3" s="97"/>
      <c r="L3" s="90"/>
      <c r="M3" s="91"/>
      <c r="N3" s="91"/>
      <c r="O3" s="91"/>
      <c r="P3" s="91"/>
    </row>
    <row r="4">
      <c r="A4" s="11" t="s">
        <v>4</v>
      </c>
      <c r="B4" s="12"/>
      <c r="C4" s="12"/>
      <c r="D4" s="12"/>
      <c r="E4" s="12"/>
      <c r="F4" s="12"/>
      <c r="G4" s="14" t="s">
        <v>5</v>
      </c>
      <c r="H4" s="10"/>
      <c r="I4" s="98"/>
      <c r="J4" s="98"/>
      <c r="K4" s="98"/>
      <c r="L4" s="90"/>
      <c r="M4" s="91"/>
      <c r="N4" s="91"/>
      <c r="O4" s="91"/>
      <c r="P4" s="91"/>
    </row>
    <row r="5" ht="12.0" customHeight="1">
      <c r="A5" s="99"/>
      <c r="B5" s="100"/>
      <c r="C5" s="100"/>
      <c r="D5" s="101"/>
      <c r="E5" s="102"/>
      <c r="F5" s="103"/>
      <c r="G5" s="103"/>
      <c r="H5" s="103"/>
      <c r="I5" s="103"/>
      <c r="J5" s="103"/>
      <c r="K5" s="103"/>
      <c r="L5" s="90"/>
      <c r="M5" s="91"/>
      <c r="N5" s="91"/>
      <c r="O5" s="91"/>
      <c r="P5" s="91"/>
    </row>
    <row r="6" ht="12.0" customHeight="1">
      <c r="A6" s="104"/>
      <c r="B6" s="105"/>
      <c r="C6" s="106" t="s">
        <v>35</v>
      </c>
      <c r="D6" s="106" t="s">
        <v>27</v>
      </c>
      <c r="E6" s="106" t="s">
        <v>28</v>
      </c>
      <c r="F6" s="106" t="s">
        <v>29</v>
      </c>
      <c r="G6" s="106" t="s">
        <v>30</v>
      </c>
      <c r="H6" s="107" t="s">
        <v>36</v>
      </c>
      <c r="I6" s="108"/>
      <c r="J6" s="109"/>
      <c r="K6" s="109"/>
      <c r="L6" s="110"/>
      <c r="M6" s="111"/>
      <c r="N6" s="111"/>
      <c r="O6" s="111"/>
      <c r="P6" s="111"/>
    </row>
    <row r="7" ht="12.0" customHeight="1">
      <c r="A7" s="112"/>
      <c r="B7" s="105"/>
      <c r="C7" s="113">
        <f>COUNTA(A14:A15)</f>
        <v>1</v>
      </c>
      <c r="D7" s="113">
        <f>COUNTIF(L14:L206,"Passed")</f>
        <v>0</v>
      </c>
      <c r="E7" s="113">
        <f>COUNTIF(L14:L206,"Failed")</f>
        <v>0</v>
      </c>
      <c r="F7" s="113">
        <f>COUNTIF(L14:L206,"Pending")</f>
        <v>0</v>
      </c>
      <c r="G7" s="113">
        <f>COUNTIF(L14:L206,"N/A")</f>
        <v>0</v>
      </c>
      <c r="H7" s="114">
        <f>C7-D7-G7</f>
        <v>1</v>
      </c>
      <c r="L7" s="115"/>
      <c r="M7" s="116"/>
      <c r="N7" s="117"/>
      <c r="O7" s="117"/>
      <c r="P7" s="117"/>
    </row>
    <row r="8" ht="12.0" customHeight="1">
      <c r="A8" s="112"/>
      <c r="B8" s="105"/>
      <c r="C8" s="113"/>
      <c r="D8" s="118">
        <f>D7/(C7-G7)</f>
        <v>0</v>
      </c>
      <c r="E8" s="118">
        <f>E7/(C7-G7)</f>
        <v>0</v>
      </c>
      <c r="F8" s="118">
        <f>F7/(C7-G7)</f>
        <v>0</v>
      </c>
      <c r="G8" s="118">
        <f>G7/(C7-G7)</f>
        <v>0</v>
      </c>
      <c r="H8" s="119">
        <f>H7/(C7-G7)</f>
        <v>1</v>
      </c>
      <c r="L8" s="115"/>
      <c r="M8" s="116"/>
      <c r="N8" s="117"/>
      <c r="O8" s="117"/>
      <c r="P8" s="117"/>
    </row>
    <row r="9" ht="12.0" customHeight="1">
      <c r="A9" s="112"/>
      <c r="B9" s="105"/>
      <c r="L9" s="115"/>
      <c r="M9" s="120"/>
      <c r="N9" s="117"/>
      <c r="O9" s="117"/>
      <c r="P9" s="117"/>
    </row>
    <row r="10" ht="12.0" customHeight="1">
      <c r="A10" s="121"/>
      <c r="B10" s="105"/>
      <c r="I10" s="122"/>
      <c r="J10" s="122"/>
      <c r="K10" s="122"/>
      <c r="L10" s="110"/>
      <c r="M10" s="120"/>
      <c r="N10" s="117"/>
      <c r="O10" s="117"/>
      <c r="P10" s="117"/>
    </row>
    <row r="11">
      <c r="A11" s="161" t="s">
        <v>58</v>
      </c>
      <c r="B11" s="123"/>
      <c r="C11" s="123"/>
      <c r="D11" s="123"/>
      <c r="E11" s="123"/>
      <c r="F11" s="123"/>
      <c r="G11" s="123"/>
      <c r="H11" s="123"/>
      <c r="I11" s="123"/>
      <c r="J11" s="123"/>
      <c r="K11" s="123"/>
      <c r="L11" s="120"/>
      <c r="M11" s="120"/>
      <c r="N11" s="117"/>
      <c r="O11" s="117"/>
      <c r="P11" s="117"/>
    </row>
    <row r="12" ht="12.0" customHeight="1">
      <c r="A12" s="162"/>
      <c r="B12" s="125"/>
      <c r="C12" s="126"/>
      <c r="D12" s="126"/>
      <c r="E12" s="126"/>
      <c r="F12" s="126"/>
      <c r="G12" s="126"/>
      <c r="H12" s="126"/>
      <c r="I12" s="126"/>
      <c r="J12" s="126"/>
      <c r="K12" s="126"/>
      <c r="L12" s="127"/>
      <c r="M12" s="127"/>
      <c r="N12" s="128"/>
      <c r="O12" s="128"/>
      <c r="P12" s="128"/>
    </row>
    <row r="13">
      <c r="A13" s="129" t="s">
        <v>39</v>
      </c>
      <c r="B13" s="130" t="s">
        <v>40</v>
      </c>
      <c r="C13" s="130" t="s">
        <v>41</v>
      </c>
      <c r="D13" s="130" t="s">
        <v>42</v>
      </c>
      <c r="E13" s="130" t="s">
        <v>43</v>
      </c>
      <c r="F13" s="130" t="s">
        <v>44</v>
      </c>
      <c r="G13" s="129" t="s">
        <v>45</v>
      </c>
      <c r="H13" s="129" t="s">
        <v>46</v>
      </c>
      <c r="I13" s="129" t="s">
        <v>47</v>
      </c>
      <c r="J13" s="129" t="s">
        <v>48</v>
      </c>
      <c r="K13" s="129" t="s">
        <v>49</v>
      </c>
      <c r="L13" s="131" t="s">
        <v>50</v>
      </c>
      <c r="M13" s="129" t="s">
        <v>51</v>
      </c>
      <c r="N13" s="129" t="s">
        <v>52</v>
      </c>
      <c r="O13" s="129" t="s">
        <v>53</v>
      </c>
      <c r="P13" s="129" t="s">
        <v>54</v>
      </c>
    </row>
    <row r="14" ht="15.75" customHeight="1">
      <c r="A14" s="147"/>
      <c r="B14" s="148" t="s">
        <v>59</v>
      </c>
      <c r="C14" s="149"/>
      <c r="D14" s="149"/>
      <c r="E14" s="149"/>
      <c r="F14" s="149"/>
      <c r="G14" s="149"/>
      <c r="H14" s="149"/>
      <c r="I14" s="149"/>
      <c r="J14" s="149"/>
      <c r="K14" s="149"/>
      <c r="L14" s="149"/>
      <c r="M14" s="149"/>
      <c r="N14" s="149"/>
      <c r="O14" s="158"/>
      <c r="P14" s="158"/>
    </row>
    <row r="15" ht="15.75" customHeight="1">
      <c r="A15" s="134" t="str">
        <f t="shared" ref="A15:A78" si="1">"ID-"&amp;(COUNTA(A$13:A14))</f>
        <v>ID-1</v>
      </c>
      <c r="B15" s="163" t="s">
        <v>60</v>
      </c>
      <c r="C15" s="163" t="s">
        <v>61</v>
      </c>
      <c r="D15" s="164" t="s">
        <v>62</v>
      </c>
      <c r="E15" s="164" t="s">
        <v>63</v>
      </c>
      <c r="F15" s="164" t="s">
        <v>64</v>
      </c>
      <c r="G15" s="164" t="s">
        <v>65</v>
      </c>
      <c r="H15" s="164" t="s">
        <v>66</v>
      </c>
      <c r="I15" s="164" t="s">
        <v>67</v>
      </c>
      <c r="J15" s="164"/>
      <c r="K15" s="139"/>
      <c r="L15" s="139"/>
      <c r="M15" s="142"/>
      <c r="N15" s="141"/>
      <c r="O15" s="141"/>
      <c r="P15" s="141"/>
    </row>
    <row r="16" ht="15.75" customHeight="1">
      <c r="A16" s="142" t="str">
        <f t="shared" si="1"/>
        <v>ID-2</v>
      </c>
      <c r="B16" s="165"/>
      <c r="C16" s="165"/>
      <c r="D16" s="164"/>
      <c r="E16" s="164"/>
      <c r="F16" s="164"/>
      <c r="G16" s="164" t="s">
        <v>68</v>
      </c>
      <c r="H16" s="164" t="s">
        <v>66</v>
      </c>
      <c r="I16" s="164" t="s">
        <v>69</v>
      </c>
      <c r="J16" s="164"/>
      <c r="K16" s="139"/>
      <c r="L16" s="139"/>
      <c r="M16" s="142"/>
      <c r="N16" s="141"/>
      <c r="O16" s="141"/>
      <c r="P16" s="141"/>
    </row>
    <row r="17" ht="15.75" customHeight="1">
      <c r="A17" s="142" t="str">
        <f t="shared" si="1"/>
        <v>ID-3</v>
      </c>
      <c r="B17" s="165"/>
      <c r="C17" s="166"/>
      <c r="D17" s="164"/>
      <c r="E17" s="164"/>
      <c r="F17" s="164"/>
      <c r="G17" s="164" t="s">
        <v>70</v>
      </c>
      <c r="H17" s="164" t="s">
        <v>66</v>
      </c>
      <c r="I17" s="164" t="s">
        <v>71</v>
      </c>
      <c r="J17" s="164"/>
      <c r="K17" s="139"/>
      <c r="L17" s="139"/>
      <c r="M17" s="142"/>
      <c r="N17" s="141"/>
      <c r="O17" s="141"/>
      <c r="P17" s="141"/>
    </row>
    <row r="18" ht="15.75" customHeight="1">
      <c r="A18" s="142" t="str">
        <f t="shared" si="1"/>
        <v>ID-4</v>
      </c>
      <c r="B18" s="165"/>
      <c r="C18" s="163" t="s">
        <v>72</v>
      </c>
      <c r="D18" s="164" t="s">
        <v>73</v>
      </c>
      <c r="E18" s="164" t="s">
        <v>74</v>
      </c>
      <c r="F18" s="164" t="s">
        <v>75</v>
      </c>
      <c r="G18" s="164" t="s">
        <v>76</v>
      </c>
      <c r="H18" s="164" t="s">
        <v>77</v>
      </c>
      <c r="I18" s="164" t="s">
        <v>78</v>
      </c>
      <c r="J18" s="164"/>
      <c r="K18" s="139"/>
      <c r="L18" s="139"/>
      <c r="M18" s="142"/>
      <c r="N18" s="141"/>
      <c r="O18" s="141"/>
      <c r="P18" s="141"/>
    </row>
    <row r="19" ht="15.75" customHeight="1">
      <c r="A19" s="134" t="str">
        <f t="shared" si="1"/>
        <v>ID-5</v>
      </c>
      <c r="B19" s="166"/>
      <c r="C19" s="166"/>
      <c r="D19" s="164"/>
      <c r="E19" s="164"/>
      <c r="F19" s="164"/>
      <c r="G19" s="164" t="s">
        <v>79</v>
      </c>
      <c r="H19" s="164" t="s">
        <v>77</v>
      </c>
      <c r="I19" s="164" t="s">
        <v>80</v>
      </c>
      <c r="J19" s="164"/>
      <c r="K19" s="139"/>
      <c r="L19" s="139"/>
      <c r="M19" s="142"/>
      <c r="N19" s="141"/>
      <c r="O19" s="141"/>
      <c r="P19" s="141"/>
    </row>
    <row r="20" ht="15.75" customHeight="1">
      <c r="A20" s="142" t="str">
        <f t="shared" si="1"/>
        <v>ID-6</v>
      </c>
      <c r="B20" s="163" t="s">
        <v>81</v>
      </c>
      <c r="C20" s="163" t="s">
        <v>82</v>
      </c>
      <c r="D20" s="164" t="s">
        <v>83</v>
      </c>
      <c r="E20" s="164"/>
      <c r="F20" s="164" t="s">
        <v>84</v>
      </c>
      <c r="G20" s="164" t="s">
        <v>85</v>
      </c>
      <c r="H20" s="164" t="s">
        <v>86</v>
      </c>
      <c r="I20" s="164" t="s">
        <v>87</v>
      </c>
      <c r="J20" s="164"/>
      <c r="K20" s="139"/>
      <c r="L20" s="139"/>
      <c r="M20" s="142"/>
      <c r="N20" s="141"/>
      <c r="O20" s="141"/>
      <c r="P20" s="141"/>
    </row>
    <row r="21" ht="15.75" customHeight="1">
      <c r="A21" s="134" t="str">
        <f t="shared" si="1"/>
        <v>ID-7</v>
      </c>
      <c r="B21" s="165"/>
      <c r="C21" s="165"/>
      <c r="D21" s="164" t="s">
        <v>88</v>
      </c>
      <c r="E21" s="164"/>
      <c r="F21" s="164" t="s">
        <v>84</v>
      </c>
      <c r="G21" s="164"/>
      <c r="H21" s="164" t="s">
        <v>86</v>
      </c>
      <c r="I21" s="164" t="s">
        <v>87</v>
      </c>
      <c r="J21" s="164"/>
      <c r="K21" s="139"/>
      <c r="L21" s="139"/>
      <c r="M21" s="142"/>
      <c r="N21" s="141"/>
      <c r="O21" s="141"/>
      <c r="P21" s="141"/>
    </row>
    <row r="22" ht="15.75" customHeight="1">
      <c r="A22" s="142" t="str">
        <f t="shared" si="1"/>
        <v>ID-8</v>
      </c>
      <c r="B22" s="165"/>
      <c r="C22" s="166"/>
      <c r="D22" s="164" t="s">
        <v>89</v>
      </c>
      <c r="E22" s="164"/>
      <c r="F22" s="164" t="s">
        <v>84</v>
      </c>
      <c r="G22" s="164" t="s">
        <v>90</v>
      </c>
      <c r="H22" s="164" t="s">
        <v>86</v>
      </c>
      <c r="I22" s="164" t="s">
        <v>87</v>
      </c>
      <c r="J22" s="164"/>
      <c r="K22" s="139"/>
      <c r="L22" s="139"/>
      <c r="M22" s="142"/>
      <c r="N22" s="141"/>
      <c r="O22" s="141"/>
      <c r="P22" s="141"/>
    </row>
    <row r="23" ht="15.75" customHeight="1">
      <c r="A23" s="142" t="str">
        <f t="shared" si="1"/>
        <v>ID-9</v>
      </c>
      <c r="B23" s="165"/>
      <c r="C23" s="163" t="s">
        <v>91</v>
      </c>
      <c r="D23" s="164" t="s">
        <v>83</v>
      </c>
      <c r="E23" s="164"/>
      <c r="F23" s="164" t="s">
        <v>92</v>
      </c>
      <c r="G23" s="164" t="s">
        <v>85</v>
      </c>
      <c r="H23" s="164" t="s">
        <v>86</v>
      </c>
      <c r="I23" s="164" t="s">
        <v>93</v>
      </c>
      <c r="J23" s="164"/>
      <c r="K23" s="139"/>
      <c r="L23" s="139"/>
      <c r="M23" s="142"/>
      <c r="N23" s="141"/>
      <c r="O23" s="141"/>
      <c r="P23" s="141"/>
    </row>
    <row r="24" ht="15.75" customHeight="1">
      <c r="A24" s="142" t="str">
        <f t="shared" si="1"/>
        <v>ID-10</v>
      </c>
      <c r="B24" s="165"/>
      <c r="C24" s="165"/>
      <c r="D24" s="164" t="s">
        <v>88</v>
      </c>
      <c r="E24" s="164"/>
      <c r="F24" s="164" t="s">
        <v>92</v>
      </c>
      <c r="G24" s="164"/>
      <c r="H24" s="164" t="s">
        <v>86</v>
      </c>
      <c r="I24" s="164" t="s">
        <v>93</v>
      </c>
      <c r="J24" s="164"/>
      <c r="K24" s="139"/>
      <c r="L24" s="139"/>
      <c r="M24" s="142"/>
      <c r="N24" s="141"/>
      <c r="O24" s="141"/>
      <c r="P24" s="141"/>
    </row>
    <row r="25" ht="15.75" customHeight="1">
      <c r="A25" s="134" t="str">
        <f t="shared" si="1"/>
        <v>ID-11</v>
      </c>
      <c r="B25" s="166"/>
      <c r="C25" s="166"/>
      <c r="D25" s="164" t="s">
        <v>89</v>
      </c>
      <c r="E25" s="164"/>
      <c r="F25" s="164" t="s">
        <v>92</v>
      </c>
      <c r="G25" s="164" t="s">
        <v>94</v>
      </c>
      <c r="H25" s="164" t="s">
        <v>86</v>
      </c>
      <c r="I25" s="164" t="s">
        <v>93</v>
      </c>
      <c r="J25" s="164"/>
      <c r="K25" s="139"/>
      <c r="L25" s="139"/>
      <c r="M25" s="142"/>
      <c r="N25" s="141"/>
      <c r="O25" s="141"/>
      <c r="P25" s="141"/>
    </row>
    <row r="26" ht="15.75" customHeight="1">
      <c r="A26" s="142" t="str">
        <f t="shared" si="1"/>
        <v>ID-12</v>
      </c>
      <c r="B26" s="163" t="s">
        <v>95</v>
      </c>
      <c r="C26" s="163" t="s">
        <v>96</v>
      </c>
      <c r="D26" s="164" t="s">
        <v>97</v>
      </c>
      <c r="E26" s="164" t="s">
        <v>98</v>
      </c>
      <c r="F26" s="164" t="s">
        <v>99</v>
      </c>
      <c r="G26" s="164" t="s">
        <v>100</v>
      </c>
      <c r="H26" s="164" t="s">
        <v>101</v>
      </c>
      <c r="I26" s="164" t="s">
        <v>102</v>
      </c>
      <c r="J26" s="164"/>
      <c r="K26" s="139"/>
      <c r="L26" s="139"/>
      <c r="M26" s="142"/>
      <c r="N26" s="141"/>
      <c r="O26" s="141"/>
      <c r="P26" s="141"/>
    </row>
    <row r="27" ht="15.75" customHeight="1">
      <c r="A27" s="134" t="str">
        <f t="shared" si="1"/>
        <v>ID-13</v>
      </c>
      <c r="B27" s="165"/>
      <c r="C27" s="165"/>
      <c r="D27" s="164"/>
      <c r="E27" s="164"/>
      <c r="F27" s="164" t="s">
        <v>99</v>
      </c>
      <c r="G27" s="164" t="s">
        <v>103</v>
      </c>
      <c r="H27" s="164" t="s">
        <v>101</v>
      </c>
      <c r="I27" s="164" t="s">
        <v>104</v>
      </c>
      <c r="J27" s="164"/>
      <c r="K27" s="139"/>
      <c r="L27" s="139"/>
      <c r="M27" s="142"/>
      <c r="N27" s="141"/>
      <c r="O27" s="141"/>
      <c r="P27" s="141"/>
    </row>
    <row r="28" ht="15.75" customHeight="1">
      <c r="A28" s="142" t="str">
        <f t="shared" si="1"/>
        <v>ID-14</v>
      </c>
      <c r="B28" s="165"/>
      <c r="C28" s="166"/>
      <c r="D28" s="164"/>
      <c r="E28" s="164"/>
      <c r="F28" s="164" t="s">
        <v>99</v>
      </c>
      <c r="G28" s="164" t="s">
        <v>105</v>
      </c>
      <c r="H28" s="164" t="s">
        <v>101</v>
      </c>
      <c r="I28" s="164" t="s">
        <v>102</v>
      </c>
      <c r="J28" s="164"/>
      <c r="K28" s="139"/>
      <c r="L28" s="139"/>
      <c r="M28" s="142"/>
      <c r="N28" s="141"/>
      <c r="O28" s="141"/>
      <c r="P28" s="141"/>
    </row>
    <row r="29" ht="15.75" customHeight="1">
      <c r="A29" s="142" t="str">
        <f t="shared" si="1"/>
        <v>ID-15</v>
      </c>
      <c r="B29" s="165"/>
      <c r="C29" s="163" t="s">
        <v>106</v>
      </c>
      <c r="D29" s="164" t="s">
        <v>107</v>
      </c>
      <c r="E29" s="164" t="s">
        <v>108</v>
      </c>
      <c r="F29" s="164" t="s">
        <v>109</v>
      </c>
      <c r="G29" s="164" t="s">
        <v>110</v>
      </c>
      <c r="H29" s="164" t="s">
        <v>111</v>
      </c>
      <c r="I29" s="164" t="s">
        <v>112</v>
      </c>
      <c r="J29" s="164"/>
      <c r="K29" s="139"/>
      <c r="L29" s="139"/>
      <c r="M29" s="142"/>
      <c r="N29" s="141"/>
      <c r="O29" s="141"/>
      <c r="P29" s="141"/>
    </row>
    <row r="30" ht="15.75" customHeight="1">
      <c r="A30" s="142" t="str">
        <f t="shared" si="1"/>
        <v>ID-16</v>
      </c>
      <c r="B30" s="165"/>
      <c r="C30" s="166"/>
      <c r="D30" s="164"/>
      <c r="E30" s="164"/>
      <c r="F30" s="164" t="s">
        <v>109</v>
      </c>
      <c r="G30" s="164" t="s">
        <v>113</v>
      </c>
      <c r="H30" s="164" t="s">
        <v>111</v>
      </c>
      <c r="I30" s="164" t="s">
        <v>114</v>
      </c>
      <c r="J30" s="164"/>
      <c r="K30" s="139"/>
      <c r="L30" s="139"/>
      <c r="M30" s="142"/>
      <c r="N30" s="141"/>
      <c r="O30" s="141"/>
      <c r="P30" s="141"/>
    </row>
    <row r="31" ht="15.75" customHeight="1">
      <c r="A31" s="134" t="str">
        <f t="shared" si="1"/>
        <v>ID-17</v>
      </c>
      <c r="B31" s="165"/>
      <c r="C31" s="164" t="s">
        <v>115</v>
      </c>
      <c r="D31" s="164" t="s">
        <v>116</v>
      </c>
      <c r="E31" s="164" t="s">
        <v>117</v>
      </c>
      <c r="F31" s="164" t="s">
        <v>118</v>
      </c>
      <c r="G31" s="164" t="s">
        <v>119</v>
      </c>
      <c r="H31" s="164" t="s">
        <v>120</v>
      </c>
      <c r="I31" s="164" t="s">
        <v>121</v>
      </c>
      <c r="J31" s="164"/>
      <c r="K31" s="139"/>
      <c r="L31" s="139"/>
      <c r="M31" s="142"/>
      <c r="N31" s="141"/>
      <c r="O31" s="141"/>
      <c r="P31" s="141"/>
    </row>
    <row r="32" ht="15.75" customHeight="1">
      <c r="A32" s="142" t="str">
        <f t="shared" si="1"/>
        <v>ID-18</v>
      </c>
      <c r="B32" s="166"/>
      <c r="C32" s="164" t="s">
        <v>115</v>
      </c>
      <c r="D32" s="164" t="s">
        <v>116</v>
      </c>
      <c r="E32" s="164" t="s">
        <v>117</v>
      </c>
      <c r="F32" s="164" t="s">
        <v>118</v>
      </c>
      <c r="G32" s="164" t="s">
        <v>122</v>
      </c>
      <c r="H32" s="164" t="s">
        <v>120</v>
      </c>
      <c r="I32" s="164" t="s">
        <v>123</v>
      </c>
      <c r="J32" s="164"/>
      <c r="K32" s="139"/>
      <c r="L32" s="139"/>
      <c r="M32" s="142"/>
      <c r="N32" s="141"/>
      <c r="O32" s="141"/>
      <c r="P32" s="141"/>
    </row>
    <row r="33" ht="15.75" customHeight="1">
      <c r="A33" s="134" t="str">
        <f t="shared" si="1"/>
        <v>ID-19</v>
      </c>
      <c r="B33" s="163" t="s">
        <v>124</v>
      </c>
      <c r="C33" s="167" t="s">
        <v>125</v>
      </c>
      <c r="D33" s="164" t="s">
        <v>126</v>
      </c>
      <c r="E33" s="164" t="s">
        <v>127</v>
      </c>
      <c r="F33" s="164" t="s">
        <v>128</v>
      </c>
      <c r="G33" s="164" t="s">
        <v>129</v>
      </c>
      <c r="H33" s="164" t="s">
        <v>130</v>
      </c>
      <c r="I33" s="164" t="s">
        <v>131</v>
      </c>
      <c r="J33" s="164"/>
      <c r="K33" s="139"/>
      <c r="L33" s="139"/>
      <c r="M33" s="142"/>
      <c r="N33" s="141"/>
      <c r="O33" s="141"/>
      <c r="P33" s="141"/>
    </row>
    <row r="34" ht="15.75" customHeight="1">
      <c r="A34" s="142" t="str">
        <f t="shared" si="1"/>
        <v>ID-20</v>
      </c>
      <c r="B34" s="165"/>
      <c r="C34" s="167"/>
      <c r="D34" s="164" t="s">
        <v>132</v>
      </c>
      <c r="E34" s="164" t="s">
        <v>127</v>
      </c>
      <c r="F34" s="164" t="s">
        <v>128</v>
      </c>
      <c r="G34" s="164" t="s">
        <v>133</v>
      </c>
      <c r="H34" s="164" t="s">
        <v>134</v>
      </c>
      <c r="I34" s="164" t="s">
        <v>135</v>
      </c>
      <c r="J34" s="164"/>
      <c r="K34" s="139"/>
      <c r="L34" s="139"/>
      <c r="M34" s="142"/>
      <c r="N34" s="141"/>
      <c r="O34" s="141"/>
      <c r="P34" s="141"/>
    </row>
    <row r="35" ht="15.75" customHeight="1">
      <c r="A35" s="142" t="str">
        <f t="shared" si="1"/>
        <v>ID-21</v>
      </c>
      <c r="B35" s="165"/>
      <c r="C35" s="167"/>
      <c r="D35" s="164" t="s">
        <v>83</v>
      </c>
      <c r="E35" s="164"/>
      <c r="F35" s="164" t="s">
        <v>128</v>
      </c>
      <c r="G35" s="164" t="s">
        <v>85</v>
      </c>
      <c r="H35" s="164" t="s">
        <v>134</v>
      </c>
      <c r="I35" s="164" t="s">
        <v>136</v>
      </c>
      <c r="J35" s="164"/>
      <c r="K35" s="139"/>
      <c r="L35" s="139"/>
      <c r="M35" s="142"/>
      <c r="N35" s="141"/>
      <c r="O35" s="141"/>
      <c r="P35" s="141"/>
    </row>
    <row r="36" ht="15.75" customHeight="1">
      <c r="A36" s="142" t="str">
        <f t="shared" si="1"/>
        <v>ID-22</v>
      </c>
      <c r="B36" s="165"/>
      <c r="C36" s="167"/>
      <c r="D36" s="164" t="s">
        <v>88</v>
      </c>
      <c r="E36" s="164"/>
      <c r="F36" s="164" t="s">
        <v>128</v>
      </c>
      <c r="G36" s="164"/>
      <c r="H36" s="164" t="s">
        <v>134</v>
      </c>
      <c r="I36" s="164" t="s">
        <v>136</v>
      </c>
      <c r="J36" s="164"/>
      <c r="K36" s="139"/>
      <c r="L36" s="139"/>
      <c r="M36" s="142"/>
      <c r="N36" s="141"/>
      <c r="O36" s="141"/>
      <c r="P36" s="141"/>
    </row>
    <row r="37" ht="15.75" customHeight="1">
      <c r="A37" s="134" t="str">
        <f t="shared" si="1"/>
        <v>ID-23</v>
      </c>
      <c r="B37" s="166"/>
      <c r="C37" s="168"/>
      <c r="D37" s="164" t="s">
        <v>89</v>
      </c>
      <c r="E37" s="164"/>
      <c r="F37" s="164" t="s">
        <v>128</v>
      </c>
      <c r="G37" s="164" t="s">
        <v>90</v>
      </c>
      <c r="H37" s="164" t="s">
        <v>134</v>
      </c>
      <c r="I37" s="164" t="s">
        <v>136</v>
      </c>
      <c r="J37" s="164"/>
      <c r="K37" s="139"/>
      <c r="L37" s="139"/>
      <c r="M37" s="142"/>
      <c r="N37" s="141"/>
      <c r="O37" s="141"/>
      <c r="P37" s="141"/>
    </row>
    <row r="38" ht="15.75" customHeight="1">
      <c r="A38" s="142" t="str">
        <f t="shared" si="1"/>
        <v>ID-24</v>
      </c>
      <c r="B38" s="163" t="s">
        <v>137</v>
      </c>
      <c r="C38" s="163" t="s">
        <v>138</v>
      </c>
      <c r="D38" s="164" t="s">
        <v>139</v>
      </c>
      <c r="E38" s="164" t="s">
        <v>140</v>
      </c>
      <c r="F38" s="164" t="s">
        <v>141</v>
      </c>
      <c r="G38" s="164" t="s">
        <v>142</v>
      </c>
      <c r="H38" s="164" t="s">
        <v>143</v>
      </c>
      <c r="I38" s="164" t="s">
        <v>144</v>
      </c>
      <c r="J38" s="164"/>
      <c r="K38" s="139"/>
      <c r="L38" s="139"/>
      <c r="M38" s="142"/>
      <c r="N38" s="141"/>
      <c r="O38" s="141"/>
      <c r="P38" s="141"/>
    </row>
    <row r="39" ht="15.75" customHeight="1">
      <c r="A39" s="134" t="str">
        <f t="shared" si="1"/>
        <v>ID-25</v>
      </c>
      <c r="B39" s="165"/>
      <c r="C39" s="165"/>
      <c r="D39" s="164" t="s">
        <v>139</v>
      </c>
      <c r="E39" s="164" t="s">
        <v>140</v>
      </c>
      <c r="F39" s="164" t="s">
        <v>141</v>
      </c>
      <c r="G39" s="164" t="s">
        <v>145</v>
      </c>
      <c r="H39" s="164" t="s">
        <v>143</v>
      </c>
      <c r="I39" s="164" t="s">
        <v>146</v>
      </c>
      <c r="J39" s="164"/>
      <c r="K39" s="139"/>
      <c r="L39" s="139"/>
      <c r="M39" s="142"/>
      <c r="N39" s="141"/>
      <c r="O39" s="141"/>
      <c r="P39" s="141"/>
    </row>
    <row r="40" ht="15.75" customHeight="1">
      <c r="A40" s="142" t="str">
        <f t="shared" si="1"/>
        <v>ID-26</v>
      </c>
      <c r="B40" s="165"/>
      <c r="C40" s="165"/>
      <c r="D40" s="164" t="s">
        <v>147</v>
      </c>
      <c r="E40" s="164" t="s">
        <v>140</v>
      </c>
      <c r="F40" s="164" t="s">
        <v>141</v>
      </c>
      <c r="G40" s="164" t="s">
        <v>148</v>
      </c>
      <c r="H40" s="164" t="s">
        <v>143</v>
      </c>
      <c r="I40" s="164" t="s">
        <v>144</v>
      </c>
      <c r="J40" s="164"/>
      <c r="K40" s="139"/>
      <c r="L40" s="139"/>
      <c r="M40" s="142"/>
      <c r="N40" s="141"/>
      <c r="O40" s="141"/>
      <c r="P40" s="141"/>
    </row>
    <row r="41" ht="15.75" customHeight="1">
      <c r="A41" s="142" t="str">
        <f t="shared" si="1"/>
        <v>ID-27</v>
      </c>
      <c r="B41" s="165"/>
      <c r="C41" s="165"/>
      <c r="D41" s="164" t="s">
        <v>147</v>
      </c>
      <c r="E41" s="164" t="s">
        <v>140</v>
      </c>
      <c r="F41" s="164" t="s">
        <v>141</v>
      </c>
      <c r="G41" s="164" t="s">
        <v>149</v>
      </c>
      <c r="H41" s="164" t="s">
        <v>143</v>
      </c>
      <c r="I41" s="164" t="s">
        <v>146</v>
      </c>
      <c r="J41" s="164"/>
      <c r="K41" s="139"/>
      <c r="L41" s="139"/>
      <c r="M41" s="142"/>
      <c r="N41" s="141"/>
      <c r="O41" s="141"/>
      <c r="P41" s="141"/>
    </row>
    <row r="42" ht="15.75" customHeight="1">
      <c r="A42" s="142" t="str">
        <f t="shared" si="1"/>
        <v>ID-28</v>
      </c>
      <c r="B42" s="165"/>
      <c r="C42" s="166"/>
      <c r="D42" s="164" t="s">
        <v>147</v>
      </c>
      <c r="E42" s="164" t="s">
        <v>140</v>
      </c>
      <c r="F42" s="164" t="s">
        <v>141</v>
      </c>
      <c r="G42" s="164" t="s">
        <v>150</v>
      </c>
      <c r="H42" s="164" t="s">
        <v>143</v>
      </c>
      <c r="I42" s="164" t="s">
        <v>146</v>
      </c>
      <c r="J42" s="164"/>
      <c r="K42" s="139"/>
      <c r="L42" s="139"/>
      <c r="M42" s="142"/>
      <c r="N42" s="141"/>
      <c r="O42" s="141"/>
      <c r="P42" s="141"/>
    </row>
    <row r="43" ht="15.75" customHeight="1">
      <c r="A43" s="134" t="str">
        <f t="shared" si="1"/>
        <v>ID-29</v>
      </c>
      <c r="B43" s="165"/>
      <c r="C43" s="163" t="s">
        <v>151</v>
      </c>
      <c r="D43" s="164" t="s">
        <v>152</v>
      </c>
      <c r="E43" s="164" t="s">
        <v>151</v>
      </c>
      <c r="F43" s="164" t="s">
        <v>141</v>
      </c>
      <c r="G43" s="164" t="s">
        <v>153</v>
      </c>
      <c r="H43" s="164" t="s">
        <v>143</v>
      </c>
      <c r="I43" s="164" t="s">
        <v>144</v>
      </c>
      <c r="J43" s="164"/>
      <c r="K43" s="139"/>
      <c r="L43" s="139"/>
      <c r="M43" s="142"/>
      <c r="N43" s="141"/>
      <c r="O43" s="141"/>
      <c r="P43" s="141"/>
    </row>
    <row r="44" ht="15.75" customHeight="1">
      <c r="A44" s="142" t="str">
        <f t="shared" si="1"/>
        <v>ID-30</v>
      </c>
      <c r="B44" s="165"/>
      <c r="C44" s="166"/>
      <c r="D44" s="164"/>
      <c r="E44" s="164" t="s">
        <v>154</v>
      </c>
      <c r="F44" s="164" t="s">
        <v>141</v>
      </c>
      <c r="G44" s="164" t="s">
        <v>155</v>
      </c>
      <c r="H44" s="164" t="s">
        <v>143</v>
      </c>
      <c r="I44" s="164" t="s">
        <v>146</v>
      </c>
      <c r="J44" s="164"/>
      <c r="K44" s="139"/>
      <c r="L44" s="139"/>
      <c r="M44" s="142"/>
      <c r="N44" s="141"/>
      <c r="O44" s="141"/>
      <c r="P44" s="141"/>
    </row>
    <row r="45" ht="15.75" customHeight="1">
      <c r="A45" s="134" t="str">
        <f t="shared" si="1"/>
        <v>ID-31</v>
      </c>
      <c r="B45" s="165"/>
      <c r="C45" s="163" t="s">
        <v>156</v>
      </c>
      <c r="D45" s="164" t="s">
        <v>157</v>
      </c>
      <c r="E45" s="164" t="s">
        <v>158</v>
      </c>
      <c r="F45" s="164" t="s">
        <v>159</v>
      </c>
      <c r="G45" s="164" t="s">
        <v>160</v>
      </c>
      <c r="H45" s="164" t="s">
        <v>143</v>
      </c>
      <c r="I45" s="164" t="s">
        <v>161</v>
      </c>
      <c r="J45" s="164"/>
      <c r="K45" s="139"/>
      <c r="L45" s="139"/>
      <c r="M45" s="142"/>
      <c r="N45" s="141"/>
      <c r="O45" s="141"/>
      <c r="P45" s="141"/>
    </row>
    <row r="46" ht="15.75" customHeight="1">
      <c r="A46" s="142" t="str">
        <f t="shared" si="1"/>
        <v>ID-32</v>
      </c>
      <c r="B46" s="165"/>
      <c r="C46" s="166"/>
      <c r="D46" s="164"/>
      <c r="E46" s="164"/>
      <c r="F46" s="164"/>
      <c r="G46" s="164" t="s">
        <v>162</v>
      </c>
      <c r="H46" s="164" t="s">
        <v>143</v>
      </c>
      <c r="I46" s="164" t="s">
        <v>144</v>
      </c>
      <c r="J46" s="164"/>
      <c r="K46" s="139"/>
      <c r="L46" s="139"/>
      <c r="M46" s="142"/>
      <c r="N46" s="141"/>
      <c r="O46" s="141"/>
      <c r="P46" s="141"/>
    </row>
    <row r="47" ht="15.75" customHeight="1">
      <c r="A47" s="142" t="str">
        <f t="shared" si="1"/>
        <v>ID-33</v>
      </c>
      <c r="B47" s="165"/>
      <c r="C47" s="164" t="s">
        <v>163</v>
      </c>
      <c r="D47" s="164" t="s">
        <v>164</v>
      </c>
      <c r="E47" s="164" t="s">
        <v>165</v>
      </c>
      <c r="F47" s="164" t="s">
        <v>166</v>
      </c>
      <c r="G47" s="164" t="s">
        <v>167</v>
      </c>
      <c r="H47" s="164" t="s">
        <v>168</v>
      </c>
      <c r="I47" s="164" t="s">
        <v>169</v>
      </c>
      <c r="J47" s="164"/>
      <c r="K47" s="139"/>
      <c r="L47" s="139"/>
      <c r="M47" s="142"/>
      <c r="N47" s="141"/>
      <c r="O47" s="141"/>
      <c r="P47" s="141"/>
    </row>
    <row r="48" ht="15.75" customHeight="1">
      <c r="A48" s="142" t="str">
        <f t="shared" si="1"/>
        <v>ID-34</v>
      </c>
      <c r="B48" s="166"/>
      <c r="C48" s="164" t="s">
        <v>83</v>
      </c>
      <c r="D48" s="164" t="s">
        <v>170</v>
      </c>
      <c r="E48" s="164"/>
      <c r="F48" s="164" t="s">
        <v>171</v>
      </c>
      <c r="G48" s="164" t="s">
        <v>85</v>
      </c>
      <c r="H48" s="164" t="s">
        <v>168</v>
      </c>
      <c r="I48" s="164" t="s">
        <v>169</v>
      </c>
      <c r="J48" s="164"/>
      <c r="K48" s="139"/>
      <c r="L48" s="139"/>
      <c r="M48" s="142"/>
      <c r="N48" s="141"/>
      <c r="O48" s="141"/>
      <c r="P48" s="141"/>
    </row>
    <row r="49" ht="15.75" customHeight="1">
      <c r="A49" s="142" t="str">
        <f t="shared" si="1"/>
        <v>ID-35</v>
      </c>
      <c r="B49" s="163" t="s">
        <v>172</v>
      </c>
      <c r="C49" s="163" t="s">
        <v>173</v>
      </c>
      <c r="D49" s="164" t="s">
        <v>174</v>
      </c>
      <c r="E49" s="164"/>
      <c r="F49" s="164" t="s">
        <v>175</v>
      </c>
      <c r="G49" s="164" t="s">
        <v>176</v>
      </c>
      <c r="H49" s="164" t="s">
        <v>177</v>
      </c>
      <c r="I49" s="164" t="s">
        <v>178</v>
      </c>
      <c r="J49" s="139"/>
      <c r="K49" s="139"/>
      <c r="L49" s="139"/>
      <c r="M49" s="142"/>
      <c r="N49" s="143"/>
      <c r="O49" s="143"/>
      <c r="P49" s="143"/>
      <c r="Q49" s="169"/>
    </row>
    <row r="50" ht="15.75" customHeight="1">
      <c r="A50" s="134" t="str">
        <f t="shared" si="1"/>
        <v>ID-36</v>
      </c>
      <c r="B50" s="165"/>
      <c r="C50" s="165"/>
      <c r="D50" s="164" t="s">
        <v>174</v>
      </c>
      <c r="E50" s="164"/>
      <c r="F50" s="164" t="s">
        <v>175</v>
      </c>
      <c r="G50" s="164" t="s">
        <v>179</v>
      </c>
      <c r="H50" s="164" t="s">
        <v>177</v>
      </c>
      <c r="I50" s="164" t="s">
        <v>180</v>
      </c>
      <c r="J50" s="139"/>
      <c r="K50" s="139"/>
      <c r="L50" s="139"/>
      <c r="M50" s="142"/>
      <c r="N50" s="141"/>
      <c r="O50" s="141"/>
      <c r="P50" s="141"/>
    </row>
    <row r="51" ht="15.75" customHeight="1">
      <c r="A51" s="142" t="str">
        <f t="shared" si="1"/>
        <v>ID-37</v>
      </c>
      <c r="B51" s="165"/>
      <c r="C51" s="166"/>
      <c r="D51" s="164" t="s">
        <v>174</v>
      </c>
      <c r="E51" s="164"/>
      <c r="F51" s="164" t="s">
        <v>175</v>
      </c>
      <c r="G51" s="164" t="s">
        <v>181</v>
      </c>
      <c r="H51" s="164" t="s">
        <v>177</v>
      </c>
      <c r="I51" s="164" t="s">
        <v>182</v>
      </c>
      <c r="J51" s="139"/>
      <c r="K51" s="139"/>
      <c r="L51" s="139"/>
      <c r="M51" s="142"/>
      <c r="N51" s="141"/>
      <c r="O51" s="141"/>
      <c r="P51" s="141"/>
    </row>
    <row r="52" ht="15.75" customHeight="1">
      <c r="A52" s="134" t="str">
        <f t="shared" si="1"/>
        <v>ID-38</v>
      </c>
      <c r="B52" s="165"/>
      <c r="C52" s="163" t="s">
        <v>183</v>
      </c>
      <c r="D52" s="164" t="s">
        <v>184</v>
      </c>
      <c r="E52" s="164" t="s">
        <v>185</v>
      </c>
      <c r="F52" s="164" t="s">
        <v>175</v>
      </c>
      <c r="G52" s="164" t="s">
        <v>186</v>
      </c>
      <c r="H52" s="164" t="s">
        <v>187</v>
      </c>
      <c r="I52" s="164" t="s">
        <v>78</v>
      </c>
      <c r="J52" s="139"/>
      <c r="K52" s="139"/>
      <c r="L52" s="139"/>
      <c r="M52" s="142"/>
      <c r="N52" s="141"/>
      <c r="O52" s="141"/>
      <c r="P52" s="141"/>
    </row>
    <row r="53" ht="15.75" customHeight="1">
      <c r="A53" s="142" t="str">
        <f t="shared" si="1"/>
        <v>ID-39</v>
      </c>
      <c r="B53" s="165"/>
      <c r="C53" s="166"/>
      <c r="D53" s="164" t="s">
        <v>188</v>
      </c>
      <c r="E53" s="164" t="s">
        <v>185</v>
      </c>
      <c r="F53" s="164" t="s">
        <v>189</v>
      </c>
      <c r="G53" s="164" t="s">
        <v>190</v>
      </c>
      <c r="H53" s="164" t="s">
        <v>187</v>
      </c>
      <c r="I53" s="164" t="s">
        <v>191</v>
      </c>
      <c r="J53" s="139"/>
      <c r="K53" s="139"/>
      <c r="L53" s="139"/>
      <c r="M53" s="142"/>
      <c r="N53" s="141"/>
      <c r="O53" s="141"/>
      <c r="P53" s="141"/>
    </row>
    <row r="54" ht="15.75" customHeight="1">
      <c r="A54" s="142" t="str">
        <f t="shared" si="1"/>
        <v>ID-40</v>
      </c>
      <c r="B54" s="165"/>
      <c r="C54" s="163" t="s">
        <v>192</v>
      </c>
      <c r="D54" s="164" t="s">
        <v>193</v>
      </c>
      <c r="E54" s="164" t="s">
        <v>83</v>
      </c>
      <c r="F54" s="164" t="s">
        <v>194</v>
      </c>
      <c r="G54" s="164" t="s">
        <v>195</v>
      </c>
      <c r="H54" s="164" t="s">
        <v>86</v>
      </c>
      <c r="I54" s="164" t="s">
        <v>196</v>
      </c>
      <c r="J54" s="139"/>
      <c r="K54" s="139"/>
      <c r="L54" s="139"/>
      <c r="M54" s="142"/>
      <c r="N54" s="141"/>
      <c r="O54" s="141"/>
      <c r="P54" s="141"/>
    </row>
    <row r="55" ht="15.75" customHeight="1">
      <c r="A55" s="142" t="str">
        <f t="shared" si="1"/>
        <v>ID-41</v>
      </c>
      <c r="B55" s="165"/>
      <c r="C55" s="165"/>
      <c r="D55" s="164" t="s">
        <v>88</v>
      </c>
      <c r="E55" s="164"/>
      <c r="F55" s="164" t="s">
        <v>194</v>
      </c>
      <c r="G55" s="164" t="s">
        <v>197</v>
      </c>
      <c r="H55" s="164" t="s">
        <v>86</v>
      </c>
      <c r="I55" s="164" t="s">
        <v>198</v>
      </c>
      <c r="J55" s="139"/>
      <c r="K55" s="139"/>
      <c r="L55" s="139"/>
      <c r="M55" s="142"/>
      <c r="N55" s="143"/>
      <c r="O55" s="143"/>
      <c r="P55" s="143"/>
      <c r="Q55" s="170"/>
    </row>
    <row r="56" ht="15.75" customHeight="1">
      <c r="A56" s="134" t="str">
        <f t="shared" si="1"/>
        <v>ID-42</v>
      </c>
      <c r="B56" s="165"/>
      <c r="C56" s="166"/>
      <c r="D56" s="164" t="s">
        <v>89</v>
      </c>
      <c r="E56" s="164"/>
      <c r="F56" s="164" t="s">
        <v>194</v>
      </c>
      <c r="G56" s="164" t="s">
        <v>199</v>
      </c>
      <c r="H56" s="164" t="s">
        <v>86</v>
      </c>
      <c r="I56" s="164" t="s">
        <v>196</v>
      </c>
      <c r="J56" s="139"/>
      <c r="K56" s="139"/>
      <c r="L56" s="139"/>
      <c r="M56" s="142"/>
      <c r="N56" s="141"/>
      <c r="O56" s="141"/>
      <c r="P56" s="141"/>
    </row>
    <row r="57" ht="15.75" customHeight="1">
      <c r="A57" s="142" t="str">
        <f t="shared" si="1"/>
        <v>ID-43</v>
      </c>
      <c r="B57" s="165"/>
      <c r="C57" s="163" t="s">
        <v>200</v>
      </c>
      <c r="D57" s="164" t="s">
        <v>201</v>
      </c>
      <c r="E57" s="164" t="s">
        <v>202</v>
      </c>
      <c r="F57" s="164" t="s">
        <v>203</v>
      </c>
      <c r="G57" s="164" t="s">
        <v>204</v>
      </c>
      <c r="H57" s="164" t="s">
        <v>205</v>
      </c>
      <c r="I57" s="164" t="s">
        <v>206</v>
      </c>
      <c r="J57" s="139"/>
      <c r="K57" s="139"/>
      <c r="L57" s="139"/>
      <c r="M57" s="142"/>
      <c r="N57" s="143"/>
      <c r="O57" s="143"/>
      <c r="P57" s="143"/>
      <c r="Q57" s="170"/>
    </row>
    <row r="58" ht="15.75" customHeight="1">
      <c r="A58" s="134" t="str">
        <f t="shared" si="1"/>
        <v>ID-44</v>
      </c>
      <c r="B58" s="165"/>
      <c r="C58" s="166"/>
      <c r="D58" s="164" t="s">
        <v>207</v>
      </c>
      <c r="E58" s="164" t="s">
        <v>202</v>
      </c>
      <c r="F58" s="164" t="s">
        <v>203</v>
      </c>
      <c r="G58" s="164" t="s">
        <v>208</v>
      </c>
      <c r="H58" s="164" t="s">
        <v>205</v>
      </c>
      <c r="I58" s="164" t="s">
        <v>209</v>
      </c>
      <c r="J58" s="139"/>
      <c r="K58" s="139"/>
      <c r="L58" s="139"/>
      <c r="M58" s="142"/>
      <c r="N58" s="143"/>
      <c r="O58" s="143"/>
      <c r="P58" s="143"/>
      <c r="Q58" s="170"/>
    </row>
    <row r="59" ht="15.75" customHeight="1">
      <c r="A59" s="142" t="str">
        <f t="shared" si="1"/>
        <v>ID-45</v>
      </c>
      <c r="B59" s="165"/>
      <c r="C59" s="163" t="s">
        <v>210</v>
      </c>
      <c r="D59" s="164" t="s">
        <v>152</v>
      </c>
      <c r="E59" s="164" t="s">
        <v>151</v>
      </c>
      <c r="F59" s="164" t="s">
        <v>175</v>
      </c>
      <c r="G59" s="164" t="s">
        <v>211</v>
      </c>
      <c r="H59" s="164" t="s">
        <v>212</v>
      </c>
      <c r="I59" s="164" t="s">
        <v>144</v>
      </c>
      <c r="J59" s="139"/>
      <c r="K59" s="139"/>
      <c r="L59" s="139"/>
      <c r="M59" s="142"/>
      <c r="N59" s="141"/>
      <c r="O59" s="141"/>
      <c r="P59" s="141"/>
    </row>
    <row r="60" ht="15.75" customHeight="1">
      <c r="A60" s="142" t="str">
        <f t="shared" si="1"/>
        <v>ID-46</v>
      </c>
      <c r="B60" s="165"/>
      <c r="C60" s="166"/>
      <c r="D60" s="164" t="s">
        <v>152</v>
      </c>
      <c r="E60" s="164" t="s">
        <v>154</v>
      </c>
      <c r="F60" s="164" t="s">
        <v>175</v>
      </c>
      <c r="G60" s="164" t="s">
        <v>213</v>
      </c>
      <c r="H60" s="164" t="s">
        <v>212</v>
      </c>
      <c r="I60" s="164" t="s">
        <v>146</v>
      </c>
      <c r="J60" s="139"/>
      <c r="K60" s="139"/>
      <c r="L60" s="139"/>
      <c r="M60" s="142"/>
      <c r="N60" s="141"/>
      <c r="O60" s="141"/>
      <c r="P60" s="141"/>
    </row>
    <row r="61" ht="15.75" customHeight="1">
      <c r="A61" s="142" t="str">
        <f t="shared" si="1"/>
        <v>ID-47</v>
      </c>
      <c r="B61" s="165"/>
      <c r="C61" s="163" t="s">
        <v>214</v>
      </c>
      <c r="D61" s="164" t="s">
        <v>215</v>
      </c>
      <c r="E61" s="164"/>
      <c r="F61" s="164" t="s">
        <v>216</v>
      </c>
      <c r="G61" s="164" t="s">
        <v>217</v>
      </c>
      <c r="H61" s="164" t="s">
        <v>177</v>
      </c>
      <c r="I61" s="164" t="s">
        <v>218</v>
      </c>
      <c r="J61" s="139"/>
      <c r="K61" s="139"/>
      <c r="L61" s="139"/>
      <c r="M61" s="142"/>
      <c r="N61" s="141"/>
      <c r="O61" s="141"/>
      <c r="P61" s="141"/>
    </row>
    <row r="62" ht="15.75" customHeight="1">
      <c r="A62" s="134" t="str">
        <f t="shared" si="1"/>
        <v>ID-48</v>
      </c>
      <c r="B62" s="165"/>
      <c r="C62" s="166"/>
      <c r="D62" s="164" t="s">
        <v>219</v>
      </c>
      <c r="E62" s="164"/>
      <c r="F62" s="164" t="s">
        <v>216</v>
      </c>
      <c r="G62" s="164" t="s">
        <v>220</v>
      </c>
      <c r="H62" s="164" t="s">
        <v>177</v>
      </c>
      <c r="I62" s="164" t="s">
        <v>221</v>
      </c>
      <c r="J62" s="139"/>
      <c r="K62" s="139"/>
      <c r="L62" s="139"/>
      <c r="M62" s="142"/>
      <c r="N62" s="141"/>
      <c r="O62" s="141"/>
      <c r="P62" s="141"/>
    </row>
    <row r="63" ht="15.75" customHeight="1">
      <c r="A63" s="142" t="str">
        <f t="shared" si="1"/>
        <v>ID-49</v>
      </c>
      <c r="B63" s="165"/>
      <c r="C63" s="163" t="s">
        <v>222</v>
      </c>
      <c r="D63" s="164"/>
      <c r="E63" s="164"/>
      <c r="F63" s="164" t="s">
        <v>175</v>
      </c>
      <c r="G63" s="164" t="s">
        <v>223</v>
      </c>
      <c r="H63" s="164" t="s">
        <v>224</v>
      </c>
      <c r="I63" s="164" t="s">
        <v>78</v>
      </c>
      <c r="J63" s="139"/>
      <c r="K63" s="139"/>
      <c r="L63" s="139"/>
      <c r="M63" s="142"/>
      <c r="N63" s="141"/>
      <c r="O63" s="141"/>
      <c r="P63" s="141"/>
    </row>
    <row r="64" ht="15.75" customHeight="1">
      <c r="A64" s="134" t="str">
        <f t="shared" si="1"/>
        <v>ID-50</v>
      </c>
      <c r="B64" s="165"/>
      <c r="C64" s="166"/>
      <c r="D64" s="164"/>
      <c r="E64" s="164"/>
      <c r="F64" s="164"/>
      <c r="G64" s="164" t="s">
        <v>225</v>
      </c>
      <c r="H64" s="164" t="s">
        <v>224</v>
      </c>
      <c r="I64" s="164" t="s">
        <v>226</v>
      </c>
      <c r="J64" s="139"/>
      <c r="K64" s="139"/>
      <c r="L64" s="139"/>
      <c r="M64" s="142"/>
      <c r="N64" s="141"/>
      <c r="O64" s="141"/>
      <c r="P64" s="141"/>
    </row>
    <row r="65" ht="15.75" customHeight="1">
      <c r="A65" s="142" t="str">
        <f t="shared" si="1"/>
        <v>ID-51</v>
      </c>
      <c r="B65" s="165"/>
      <c r="C65" s="164" t="s">
        <v>227</v>
      </c>
      <c r="D65" s="164" t="s">
        <v>228</v>
      </c>
      <c r="E65" s="164"/>
      <c r="F65" s="164" t="s">
        <v>229</v>
      </c>
      <c r="G65" s="164" t="s">
        <v>230</v>
      </c>
      <c r="H65" s="164" t="s">
        <v>231</v>
      </c>
      <c r="I65" s="164" t="s">
        <v>196</v>
      </c>
      <c r="J65" s="139"/>
      <c r="K65" s="139"/>
      <c r="L65" s="139"/>
      <c r="M65" s="142"/>
      <c r="N65" s="143"/>
      <c r="O65" s="143"/>
      <c r="P65" s="141"/>
    </row>
    <row r="66" ht="15.75" customHeight="1">
      <c r="A66" s="142" t="str">
        <f t="shared" si="1"/>
        <v>ID-52</v>
      </c>
      <c r="B66" s="166"/>
      <c r="C66" s="164" t="s">
        <v>227</v>
      </c>
      <c r="D66" s="164" t="s">
        <v>228</v>
      </c>
      <c r="E66" s="164"/>
      <c r="F66" s="164" t="s">
        <v>189</v>
      </c>
      <c r="G66" s="164" t="s">
        <v>232</v>
      </c>
      <c r="H66" s="164" t="s">
        <v>231</v>
      </c>
      <c r="I66" s="164" t="s">
        <v>233</v>
      </c>
      <c r="J66" s="139"/>
      <c r="K66" s="139"/>
      <c r="L66" s="139"/>
      <c r="M66" s="142"/>
      <c r="N66" s="143"/>
      <c r="O66" s="143"/>
      <c r="P66" s="141"/>
    </row>
    <row r="67" ht="15.75" customHeight="1">
      <c r="A67" s="142" t="str">
        <f t="shared" si="1"/>
        <v>ID-53</v>
      </c>
      <c r="B67" s="171" t="s">
        <v>234</v>
      </c>
      <c r="C67" s="164" t="s">
        <v>235</v>
      </c>
      <c r="D67" s="164" t="s">
        <v>236</v>
      </c>
      <c r="E67" s="164" t="s">
        <v>237</v>
      </c>
      <c r="F67" s="164" t="s">
        <v>238</v>
      </c>
      <c r="G67" s="164" t="s">
        <v>239</v>
      </c>
      <c r="H67" s="164" t="s">
        <v>231</v>
      </c>
      <c r="I67" s="164" t="s">
        <v>240</v>
      </c>
      <c r="J67" s="139"/>
      <c r="K67" s="139"/>
      <c r="L67" s="139"/>
      <c r="M67" s="142"/>
      <c r="N67" s="143"/>
      <c r="O67" s="143"/>
      <c r="P67" s="141"/>
    </row>
    <row r="68" ht="15.75" customHeight="1">
      <c r="A68" s="134" t="str">
        <f t="shared" si="1"/>
        <v>ID-54</v>
      </c>
      <c r="C68" s="164" t="s">
        <v>241</v>
      </c>
      <c r="D68" s="164" t="s">
        <v>242</v>
      </c>
      <c r="E68" s="164" t="s">
        <v>243</v>
      </c>
      <c r="F68" s="164" t="s">
        <v>244</v>
      </c>
      <c r="G68" s="164" t="s">
        <v>245</v>
      </c>
      <c r="H68" s="164" t="s">
        <v>231</v>
      </c>
      <c r="I68" s="164" t="s">
        <v>246</v>
      </c>
      <c r="J68" s="139"/>
      <c r="K68" s="139"/>
      <c r="L68" s="139"/>
      <c r="M68" s="142"/>
      <c r="N68" s="141"/>
      <c r="O68" s="141"/>
      <c r="P68" s="141"/>
    </row>
    <row r="69" ht="15.75" customHeight="1">
      <c r="A69" s="142" t="str">
        <f t="shared" si="1"/>
        <v>ID-55</v>
      </c>
      <c r="C69" s="164" t="s">
        <v>247</v>
      </c>
      <c r="D69" s="164" t="s">
        <v>248</v>
      </c>
      <c r="E69" s="164" t="s">
        <v>249</v>
      </c>
      <c r="F69" s="164" t="s">
        <v>250</v>
      </c>
      <c r="G69" s="164" t="s">
        <v>251</v>
      </c>
      <c r="H69" s="164" t="s">
        <v>252</v>
      </c>
      <c r="I69" s="164" t="s">
        <v>253</v>
      </c>
      <c r="J69" s="139"/>
      <c r="K69" s="139"/>
      <c r="L69" s="139"/>
      <c r="M69" s="142"/>
      <c r="N69" s="141"/>
      <c r="O69" s="141"/>
      <c r="P69" s="141"/>
    </row>
    <row r="70" ht="15.75" customHeight="1">
      <c r="A70" s="134" t="str">
        <f t="shared" si="1"/>
        <v>ID-56</v>
      </c>
      <c r="C70" s="164" t="s">
        <v>254</v>
      </c>
      <c r="D70" s="164" t="s">
        <v>255</v>
      </c>
      <c r="E70" s="164" t="s">
        <v>237</v>
      </c>
      <c r="F70" s="164" t="s">
        <v>256</v>
      </c>
      <c r="G70" s="164" t="s">
        <v>257</v>
      </c>
      <c r="H70" s="164" t="s">
        <v>258</v>
      </c>
      <c r="I70" s="164" t="s">
        <v>259</v>
      </c>
      <c r="J70" s="139"/>
      <c r="K70" s="139"/>
      <c r="L70" s="139"/>
      <c r="M70" s="142"/>
      <c r="N70" s="141"/>
      <c r="O70" s="141"/>
      <c r="P70" s="141"/>
    </row>
    <row r="71" ht="15.75" customHeight="1">
      <c r="A71" s="142" t="str">
        <f t="shared" si="1"/>
        <v>ID-57</v>
      </c>
      <c r="C71" s="164" t="s">
        <v>260</v>
      </c>
      <c r="D71" s="164" t="s">
        <v>261</v>
      </c>
      <c r="E71" s="164" t="s">
        <v>237</v>
      </c>
      <c r="F71" s="164" t="s">
        <v>262</v>
      </c>
      <c r="G71" s="164" t="s">
        <v>263</v>
      </c>
      <c r="H71" s="164" t="s">
        <v>264</v>
      </c>
      <c r="I71" s="164" t="s">
        <v>265</v>
      </c>
      <c r="J71" s="139"/>
      <c r="K71" s="139"/>
      <c r="L71" s="139"/>
      <c r="M71" s="142"/>
      <c r="N71" s="141"/>
      <c r="O71" s="141"/>
      <c r="P71" s="141"/>
    </row>
    <row r="72" ht="15.75" customHeight="1">
      <c r="A72" s="142" t="str">
        <f t="shared" si="1"/>
        <v>ID-58</v>
      </c>
      <c r="C72" s="164" t="s">
        <v>266</v>
      </c>
      <c r="D72" s="164" t="s">
        <v>267</v>
      </c>
      <c r="E72" s="164"/>
      <c r="F72" s="164" t="s">
        <v>268</v>
      </c>
      <c r="G72" s="164" t="s">
        <v>269</v>
      </c>
      <c r="H72" s="164" t="s">
        <v>270</v>
      </c>
      <c r="I72" s="164" t="s">
        <v>271</v>
      </c>
      <c r="J72" s="139"/>
      <c r="K72" s="139"/>
      <c r="L72" s="139"/>
      <c r="M72" s="142"/>
      <c r="N72" s="141"/>
      <c r="O72" s="141"/>
      <c r="P72" s="141"/>
    </row>
    <row r="73" ht="15.75" customHeight="1">
      <c r="A73" s="142" t="str">
        <f t="shared" si="1"/>
        <v>ID-59</v>
      </c>
      <c r="C73" s="164" t="s">
        <v>272</v>
      </c>
      <c r="D73" s="164" t="s">
        <v>273</v>
      </c>
      <c r="E73" s="164"/>
      <c r="F73" s="164" t="s">
        <v>274</v>
      </c>
      <c r="G73" s="164" t="s">
        <v>275</v>
      </c>
      <c r="H73" s="164" t="s">
        <v>276</v>
      </c>
      <c r="I73" s="164" t="s">
        <v>277</v>
      </c>
      <c r="J73" s="139"/>
      <c r="K73" s="139"/>
      <c r="L73" s="139"/>
      <c r="M73" s="142"/>
      <c r="N73" s="141"/>
      <c r="O73" s="141"/>
      <c r="P73" s="141"/>
    </row>
    <row r="74" ht="15.75" customHeight="1">
      <c r="A74" s="134" t="str">
        <f t="shared" si="1"/>
        <v>ID-60</v>
      </c>
      <c r="C74" s="163" t="s">
        <v>278</v>
      </c>
      <c r="D74" s="164" t="s">
        <v>83</v>
      </c>
      <c r="E74" s="164"/>
      <c r="F74" s="164"/>
      <c r="G74" s="164" t="s">
        <v>279</v>
      </c>
      <c r="H74" s="164" t="s">
        <v>231</v>
      </c>
      <c r="I74" s="164" t="s">
        <v>280</v>
      </c>
      <c r="J74" s="139"/>
      <c r="K74" s="139"/>
      <c r="L74" s="139"/>
      <c r="M74" s="142"/>
      <c r="N74" s="141"/>
      <c r="O74" s="141"/>
      <c r="P74" s="141"/>
    </row>
    <row r="75" ht="15.75" customHeight="1">
      <c r="A75" s="142" t="str">
        <f t="shared" si="1"/>
        <v>ID-61</v>
      </c>
      <c r="C75" s="165"/>
      <c r="D75" s="164" t="s">
        <v>88</v>
      </c>
      <c r="E75" s="164"/>
      <c r="F75" s="164"/>
      <c r="G75" s="164" t="s">
        <v>281</v>
      </c>
      <c r="H75" s="164" t="s">
        <v>231</v>
      </c>
      <c r="I75" s="164" t="s">
        <v>282</v>
      </c>
      <c r="J75" s="139"/>
      <c r="K75" s="139"/>
      <c r="L75" s="139"/>
      <c r="M75" s="142"/>
      <c r="N75" s="141"/>
      <c r="O75" s="141"/>
      <c r="P75" s="141"/>
    </row>
    <row r="76" ht="15.75" customHeight="1">
      <c r="A76" s="134" t="str">
        <f t="shared" si="1"/>
        <v>ID-62</v>
      </c>
      <c r="C76" s="165"/>
      <c r="D76" s="164" t="s">
        <v>89</v>
      </c>
      <c r="E76" s="164"/>
      <c r="F76" s="164"/>
      <c r="G76" s="164" t="s">
        <v>283</v>
      </c>
      <c r="H76" s="164" t="s">
        <v>231</v>
      </c>
      <c r="I76" s="164" t="s">
        <v>284</v>
      </c>
      <c r="J76" s="139"/>
      <c r="K76" s="139"/>
      <c r="L76" s="139"/>
      <c r="M76" s="142"/>
      <c r="N76" s="141"/>
      <c r="O76" s="141"/>
      <c r="P76" s="141"/>
    </row>
    <row r="77" ht="15.75" customHeight="1">
      <c r="A77" s="142" t="str">
        <f t="shared" si="1"/>
        <v>ID-63</v>
      </c>
      <c r="C77" s="166"/>
      <c r="D77" s="164" t="s">
        <v>285</v>
      </c>
      <c r="E77" s="164"/>
      <c r="F77" s="164" t="s">
        <v>286</v>
      </c>
      <c r="G77" s="164" t="s">
        <v>287</v>
      </c>
      <c r="H77" s="164" t="s">
        <v>231</v>
      </c>
      <c r="I77" s="164" t="s">
        <v>288</v>
      </c>
      <c r="J77" s="139"/>
      <c r="K77" s="139"/>
      <c r="L77" s="139"/>
      <c r="M77" s="142"/>
      <c r="N77" s="141"/>
      <c r="O77" s="141"/>
      <c r="P77" s="141"/>
    </row>
    <row r="78" ht="15.75" customHeight="1">
      <c r="A78" s="142" t="str">
        <f t="shared" si="1"/>
        <v>ID-64</v>
      </c>
      <c r="C78" s="164" t="s">
        <v>289</v>
      </c>
      <c r="D78" s="164" t="s">
        <v>290</v>
      </c>
      <c r="E78" s="164"/>
      <c r="F78" s="164" t="s">
        <v>291</v>
      </c>
      <c r="G78" s="164" t="s">
        <v>292</v>
      </c>
      <c r="H78" s="164" t="s">
        <v>293</v>
      </c>
      <c r="I78" s="164" t="s">
        <v>294</v>
      </c>
      <c r="J78" s="139"/>
      <c r="K78" s="139"/>
      <c r="L78" s="139"/>
      <c r="M78" s="142"/>
      <c r="N78" s="141"/>
      <c r="O78" s="141"/>
      <c r="P78" s="141"/>
    </row>
    <row r="79" ht="15.75" customHeight="1">
      <c r="A79" s="142"/>
      <c r="B79" s="159"/>
      <c r="C79" s="143"/>
      <c r="D79" s="141"/>
      <c r="E79" s="141"/>
      <c r="F79" s="141"/>
      <c r="G79" s="141"/>
      <c r="H79" s="143"/>
      <c r="I79" s="143"/>
      <c r="J79" s="139"/>
      <c r="K79" s="139"/>
      <c r="L79" s="139"/>
      <c r="M79" s="142"/>
      <c r="N79" s="141"/>
      <c r="O79" s="141"/>
      <c r="P79" s="141"/>
    </row>
    <row r="80" ht="15.75" customHeight="1">
      <c r="A80" s="142"/>
      <c r="B80" s="159"/>
      <c r="C80" s="143"/>
      <c r="D80" s="141"/>
      <c r="E80" s="141"/>
      <c r="F80" s="141"/>
      <c r="G80" s="141"/>
      <c r="H80" s="135"/>
      <c r="I80" s="160"/>
      <c r="J80" s="139"/>
      <c r="K80" s="139"/>
      <c r="L80" s="139"/>
      <c r="M80" s="142"/>
      <c r="N80" s="141"/>
      <c r="O80" s="141"/>
      <c r="P80" s="141"/>
    </row>
    <row r="81" ht="15.75" customHeight="1">
      <c r="A81" s="142"/>
      <c r="B81" s="159"/>
      <c r="C81" s="143"/>
      <c r="D81" s="141"/>
      <c r="E81" s="141"/>
      <c r="F81" s="141"/>
      <c r="G81" s="141"/>
      <c r="H81" s="143"/>
      <c r="I81" s="143"/>
      <c r="J81" s="139"/>
      <c r="K81" s="139"/>
      <c r="L81" s="139"/>
      <c r="M81" s="142"/>
      <c r="N81" s="141"/>
      <c r="O81" s="141"/>
      <c r="P81" s="141"/>
    </row>
    <row r="82" ht="15.75" customHeight="1">
      <c r="A82" s="142"/>
      <c r="B82" s="159"/>
      <c r="C82" s="143"/>
      <c r="D82" s="141"/>
      <c r="E82" s="141"/>
      <c r="F82" s="141"/>
      <c r="G82" s="141"/>
      <c r="H82" s="135"/>
      <c r="I82" s="160"/>
      <c r="J82" s="139"/>
      <c r="K82" s="139"/>
      <c r="L82" s="139"/>
      <c r="M82" s="142"/>
      <c r="N82" s="141"/>
      <c r="O82" s="141"/>
      <c r="P82" s="141"/>
    </row>
    <row r="83" ht="15.75" customHeight="1">
      <c r="A83" s="142"/>
      <c r="B83" s="159"/>
      <c r="C83" s="143"/>
      <c r="D83" s="141"/>
      <c r="E83" s="141"/>
      <c r="F83" s="141"/>
      <c r="G83" s="141"/>
      <c r="H83" s="143"/>
      <c r="I83" s="143"/>
      <c r="J83" s="139"/>
      <c r="K83" s="139"/>
      <c r="L83" s="139"/>
      <c r="M83" s="142"/>
      <c r="N83" s="141"/>
      <c r="O83" s="141"/>
      <c r="P83" s="141"/>
    </row>
    <row r="84" ht="15.75" customHeight="1">
      <c r="A84" s="142"/>
      <c r="B84" s="159"/>
      <c r="C84" s="143"/>
      <c r="D84" s="141"/>
      <c r="E84" s="141"/>
      <c r="F84" s="141"/>
      <c r="G84" s="141"/>
      <c r="H84" s="135"/>
      <c r="I84" s="160"/>
      <c r="J84" s="139"/>
      <c r="K84" s="139"/>
      <c r="L84" s="139"/>
      <c r="M84" s="142"/>
      <c r="N84" s="141"/>
      <c r="O84" s="141"/>
      <c r="P84" s="141"/>
    </row>
    <row r="85" ht="15.75" customHeight="1">
      <c r="A85" s="142"/>
      <c r="B85" s="159"/>
      <c r="C85" s="143"/>
      <c r="D85" s="141"/>
      <c r="E85" s="141"/>
      <c r="F85" s="141"/>
      <c r="G85" s="141"/>
      <c r="H85" s="135"/>
      <c r="I85" s="160"/>
      <c r="J85" s="139"/>
      <c r="K85" s="139"/>
      <c r="L85" s="139"/>
      <c r="M85" s="142"/>
      <c r="N85" s="141"/>
      <c r="O85" s="141"/>
      <c r="P85" s="141"/>
    </row>
    <row r="86" ht="15.75" customHeight="1">
      <c r="A86" s="142"/>
      <c r="B86" s="159"/>
      <c r="C86" s="143"/>
      <c r="D86" s="141"/>
      <c r="E86" s="141"/>
      <c r="F86" s="141"/>
      <c r="G86" s="141"/>
      <c r="H86" s="143"/>
      <c r="I86" s="143"/>
      <c r="J86" s="139"/>
      <c r="K86" s="139"/>
      <c r="L86" s="139"/>
      <c r="M86" s="142"/>
      <c r="N86" s="141"/>
      <c r="O86" s="141"/>
      <c r="P86" s="141"/>
    </row>
    <row r="87" ht="15.75" customHeight="1">
      <c r="A87" s="142"/>
      <c r="B87" s="159"/>
      <c r="C87" s="143"/>
      <c r="D87" s="141"/>
      <c r="E87" s="141"/>
      <c r="F87" s="141"/>
      <c r="G87" s="141"/>
      <c r="H87" s="135"/>
      <c r="I87" s="160"/>
      <c r="J87" s="139"/>
      <c r="K87" s="139"/>
      <c r="L87" s="139"/>
      <c r="M87" s="142"/>
      <c r="N87" s="141"/>
      <c r="O87" s="141"/>
      <c r="P87" s="141"/>
    </row>
    <row r="88" ht="15.75" customHeight="1">
      <c r="A88" s="142"/>
      <c r="B88" s="159"/>
      <c r="C88" s="143"/>
      <c r="D88" s="141"/>
      <c r="E88" s="141"/>
      <c r="F88" s="141"/>
      <c r="G88" s="141"/>
      <c r="H88" s="143"/>
      <c r="I88" s="143"/>
      <c r="J88" s="139"/>
      <c r="K88" s="139"/>
      <c r="L88" s="139"/>
      <c r="M88" s="142"/>
      <c r="N88" s="141"/>
      <c r="O88" s="141"/>
      <c r="P88" s="141"/>
    </row>
    <row r="89" ht="15.75" customHeight="1">
      <c r="A89" s="142"/>
      <c r="B89" s="159"/>
      <c r="C89" s="143"/>
      <c r="D89" s="141"/>
      <c r="E89" s="141"/>
      <c r="F89" s="141"/>
      <c r="G89" s="141"/>
      <c r="H89" s="135"/>
      <c r="I89" s="160"/>
      <c r="J89" s="139"/>
      <c r="K89" s="139"/>
      <c r="L89" s="139"/>
      <c r="M89" s="142"/>
      <c r="N89" s="141"/>
      <c r="O89" s="141"/>
      <c r="P89" s="141"/>
    </row>
    <row r="90" ht="15.75" customHeight="1">
      <c r="A90" s="142"/>
      <c r="B90" s="159"/>
      <c r="C90" s="143"/>
      <c r="D90" s="141"/>
      <c r="E90" s="141"/>
      <c r="F90" s="141"/>
      <c r="G90" s="141"/>
      <c r="H90" s="143"/>
      <c r="I90" s="143"/>
      <c r="J90" s="139"/>
      <c r="K90" s="139"/>
      <c r="L90" s="139"/>
      <c r="M90" s="142"/>
      <c r="N90" s="141"/>
      <c r="O90" s="141"/>
      <c r="P90" s="141"/>
    </row>
    <row r="91" ht="15.75" customHeight="1">
      <c r="A91" s="142"/>
      <c r="B91" s="159"/>
      <c r="C91" s="143"/>
      <c r="D91" s="141"/>
      <c r="E91" s="141"/>
      <c r="F91" s="141"/>
      <c r="G91" s="141"/>
      <c r="H91" s="135"/>
      <c r="I91" s="160"/>
      <c r="J91" s="139"/>
      <c r="K91" s="139"/>
      <c r="L91" s="139"/>
      <c r="M91" s="142"/>
      <c r="N91" s="141"/>
      <c r="O91" s="141"/>
      <c r="P91" s="141"/>
    </row>
    <row r="92" ht="15.75" customHeight="1">
      <c r="A92" s="142"/>
      <c r="B92" s="159"/>
      <c r="C92" s="143"/>
      <c r="D92" s="141"/>
      <c r="E92" s="141"/>
      <c r="F92" s="141"/>
      <c r="G92" s="141"/>
      <c r="H92" s="143"/>
      <c r="I92" s="143"/>
      <c r="J92" s="139"/>
      <c r="K92" s="139"/>
      <c r="L92" s="139"/>
      <c r="M92" s="142"/>
      <c r="N92" s="141"/>
      <c r="O92" s="141"/>
      <c r="P92" s="141"/>
    </row>
    <row r="93" ht="15.75" customHeight="1">
      <c r="A93" s="142"/>
      <c r="B93" s="159"/>
      <c r="C93" s="143"/>
      <c r="D93" s="141"/>
      <c r="E93" s="141"/>
      <c r="F93" s="141"/>
      <c r="G93" s="141"/>
      <c r="H93" s="135"/>
      <c r="I93" s="160"/>
      <c r="J93" s="139"/>
      <c r="K93" s="139"/>
      <c r="L93" s="139"/>
      <c r="M93" s="142"/>
      <c r="N93" s="141"/>
      <c r="O93" s="141"/>
      <c r="P93" s="141"/>
    </row>
    <row r="94" ht="15.75" customHeight="1">
      <c r="A94" s="142"/>
      <c r="B94" s="159"/>
      <c r="C94" s="143"/>
      <c r="D94" s="141"/>
      <c r="E94" s="141"/>
      <c r="F94" s="141"/>
      <c r="G94" s="141"/>
      <c r="H94" s="143"/>
      <c r="I94" s="143"/>
      <c r="J94" s="139"/>
      <c r="K94" s="139"/>
      <c r="L94" s="139"/>
      <c r="M94" s="142"/>
      <c r="N94" s="141"/>
      <c r="O94" s="141"/>
      <c r="P94" s="141"/>
    </row>
    <row r="95" ht="15.75" customHeight="1">
      <c r="A95" s="142"/>
      <c r="B95" s="159"/>
      <c r="C95" s="143"/>
      <c r="D95" s="141"/>
      <c r="E95" s="141"/>
      <c r="F95" s="141"/>
      <c r="G95" s="141"/>
      <c r="H95" s="135"/>
      <c r="I95" s="160"/>
      <c r="J95" s="139"/>
      <c r="K95" s="139"/>
      <c r="L95" s="139"/>
      <c r="M95" s="142"/>
      <c r="N95" s="141"/>
      <c r="O95" s="141"/>
      <c r="P95" s="141"/>
    </row>
    <row r="96" ht="15.75" customHeight="1">
      <c r="A96" s="142"/>
      <c r="B96" s="159"/>
      <c r="C96" s="143"/>
      <c r="D96" s="141"/>
      <c r="E96" s="141"/>
      <c r="F96" s="141"/>
      <c r="G96" s="141"/>
      <c r="H96" s="143"/>
      <c r="I96" s="143"/>
      <c r="J96" s="139"/>
      <c r="K96" s="139"/>
      <c r="L96" s="139"/>
      <c r="M96" s="142"/>
      <c r="N96" s="141"/>
      <c r="O96" s="141"/>
      <c r="P96" s="141"/>
    </row>
    <row r="97" ht="15.75" customHeight="1">
      <c r="A97" s="142"/>
      <c r="B97" s="159"/>
      <c r="C97" s="143"/>
      <c r="D97" s="141"/>
      <c r="E97" s="141"/>
      <c r="F97" s="141"/>
      <c r="G97" s="141"/>
      <c r="H97" s="135"/>
      <c r="I97" s="160"/>
      <c r="J97" s="139"/>
      <c r="K97" s="139"/>
      <c r="L97" s="139"/>
      <c r="M97" s="142"/>
      <c r="N97" s="141"/>
      <c r="O97" s="141"/>
      <c r="P97" s="141"/>
    </row>
    <row r="98" ht="15.75" customHeight="1">
      <c r="A98" s="142"/>
      <c r="B98" s="159"/>
      <c r="C98" s="143"/>
      <c r="D98" s="141"/>
      <c r="E98" s="141"/>
      <c r="F98" s="141"/>
      <c r="G98" s="141"/>
      <c r="H98" s="143"/>
      <c r="I98" s="143"/>
      <c r="J98" s="139"/>
      <c r="K98" s="139"/>
      <c r="L98" s="139"/>
      <c r="M98" s="142"/>
      <c r="N98" s="141"/>
      <c r="O98" s="141"/>
      <c r="P98" s="141"/>
    </row>
    <row r="99" ht="15.75" customHeight="1">
      <c r="A99" s="142"/>
      <c r="B99" s="159"/>
      <c r="C99" s="143"/>
      <c r="D99" s="141"/>
      <c r="E99" s="141"/>
      <c r="F99" s="141"/>
      <c r="G99" s="141"/>
      <c r="H99" s="135"/>
      <c r="I99" s="160"/>
      <c r="J99" s="139"/>
      <c r="K99" s="139"/>
      <c r="L99" s="139"/>
      <c r="M99" s="142"/>
      <c r="N99" s="141"/>
      <c r="O99" s="141"/>
      <c r="P99" s="141"/>
    </row>
    <row r="100" ht="15.75" customHeight="1">
      <c r="A100" s="142"/>
      <c r="B100" s="159"/>
      <c r="C100" s="143"/>
      <c r="D100" s="141"/>
      <c r="E100" s="141"/>
      <c r="F100" s="141"/>
      <c r="G100" s="141"/>
      <c r="H100" s="143"/>
      <c r="I100" s="143"/>
      <c r="J100" s="139"/>
      <c r="K100" s="139"/>
      <c r="L100" s="139"/>
      <c r="M100" s="142"/>
      <c r="N100" s="141"/>
      <c r="O100" s="141"/>
      <c r="P100" s="141"/>
    </row>
    <row r="101" ht="15.75" customHeight="1">
      <c r="A101" s="142"/>
      <c r="B101" s="159"/>
      <c r="C101" s="143"/>
      <c r="D101" s="141"/>
      <c r="E101" s="141"/>
      <c r="F101" s="141"/>
      <c r="G101" s="141"/>
      <c r="H101" s="135"/>
      <c r="I101" s="160"/>
      <c r="J101" s="139"/>
      <c r="K101" s="139"/>
      <c r="L101" s="139"/>
      <c r="M101" s="142"/>
      <c r="N101" s="141"/>
      <c r="O101" s="141"/>
      <c r="P101" s="141"/>
    </row>
    <row r="102" ht="15.75" customHeight="1">
      <c r="A102" s="142"/>
      <c r="B102" s="159"/>
      <c r="C102" s="143"/>
      <c r="D102" s="141"/>
      <c r="E102" s="141"/>
      <c r="F102" s="141"/>
      <c r="G102" s="141"/>
      <c r="H102" s="143"/>
      <c r="I102" s="143"/>
      <c r="J102" s="139"/>
      <c r="K102" s="139"/>
      <c r="L102" s="139"/>
      <c r="M102" s="142"/>
      <c r="N102" s="141"/>
      <c r="O102" s="141"/>
      <c r="P102" s="141"/>
    </row>
    <row r="103" ht="15.75" customHeight="1">
      <c r="A103" s="142"/>
      <c r="B103" s="159"/>
      <c r="C103" s="143"/>
      <c r="D103" s="141"/>
      <c r="E103" s="141"/>
      <c r="F103" s="141"/>
      <c r="G103" s="141"/>
      <c r="H103" s="135"/>
      <c r="I103" s="160"/>
      <c r="J103" s="139"/>
      <c r="K103" s="139"/>
      <c r="L103" s="139"/>
      <c r="M103" s="142"/>
      <c r="N103" s="141"/>
      <c r="O103" s="141"/>
      <c r="P103" s="141"/>
    </row>
    <row r="104" ht="15.75" customHeight="1">
      <c r="A104" s="142"/>
      <c r="B104" s="159"/>
      <c r="C104" s="143"/>
      <c r="D104" s="141"/>
      <c r="E104" s="141"/>
      <c r="F104" s="141"/>
      <c r="G104" s="141"/>
      <c r="H104" s="143"/>
      <c r="I104" s="143"/>
      <c r="J104" s="139"/>
      <c r="K104" s="139"/>
      <c r="L104" s="139"/>
      <c r="M104" s="142"/>
      <c r="N104" s="141"/>
      <c r="O104" s="141"/>
      <c r="P104" s="141"/>
    </row>
    <row r="105" ht="15.75" customHeight="1">
      <c r="A105" s="142"/>
      <c r="B105" s="159"/>
      <c r="C105" s="143"/>
      <c r="D105" s="141"/>
      <c r="E105" s="141"/>
      <c r="F105" s="141"/>
      <c r="G105" s="141"/>
      <c r="H105" s="135"/>
      <c r="I105" s="160"/>
      <c r="J105" s="139"/>
      <c r="K105" s="139"/>
      <c r="L105" s="139"/>
      <c r="M105" s="142"/>
      <c r="N105" s="141"/>
      <c r="O105" s="141"/>
      <c r="P105" s="141"/>
    </row>
    <row r="106" ht="15.75" customHeight="1">
      <c r="A106" s="142"/>
      <c r="B106" s="159"/>
      <c r="C106" s="143"/>
      <c r="D106" s="141"/>
      <c r="E106" s="141"/>
      <c r="F106" s="141"/>
      <c r="G106" s="141"/>
      <c r="H106" s="143"/>
      <c r="I106" s="143"/>
      <c r="J106" s="139"/>
      <c r="K106" s="139"/>
      <c r="L106" s="139"/>
      <c r="M106" s="142"/>
      <c r="N106" s="141"/>
      <c r="O106" s="141"/>
      <c r="P106" s="141"/>
    </row>
    <row r="107" ht="15.75" customHeight="1">
      <c r="A107" s="142"/>
      <c r="B107" s="159"/>
      <c r="C107" s="143"/>
      <c r="D107" s="141"/>
      <c r="E107" s="141"/>
      <c r="F107" s="141"/>
      <c r="G107" s="141"/>
      <c r="H107" s="135"/>
      <c r="I107" s="160"/>
      <c r="J107" s="139"/>
      <c r="K107" s="139"/>
      <c r="L107" s="139"/>
      <c r="M107" s="142"/>
      <c r="N107" s="141"/>
      <c r="O107" s="141"/>
      <c r="P107" s="141"/>
    </row>
    <row r="108" ht="15.75" customHeight="1">
      <c r="A108" s="142"/>
      <c r="B108" s="159"/>
      <c r="C108" s="143"/>
      <c r="D108" s="141"/>
      <c r="E108" s="141"/>
      <c r="F108" s="141"/>
      <c r="G108" s="141"/>
      <c r="H108" s="143"/>
      <c r="I108" s="143"/>
      <c r="J108" s="139"/>
      <c r="K108" s="139"/>
      <c r="L108" s="139"/>
      <c r="M108" s="142"/>
      <c r="N108" s="141"/>
      <c r="O108" s="141"/>
      <c r="P108" s="141"/>
    </row>
    <row r="109" ht="15.75" customHeight="1">
      <c r="A109" s="142"/>
      <c r="B109" s="159"/>
      <c r="C109" s="143"/>
      <c r="D109" s="141"/>
      <c r="E109" s="141"/>
      <c r="F109" s="141"/>
      <c r="G109" s="141"/>
      <c r="H109" s="135"/>
      <c r="I109" s="160"/>
      <c r="J109" s="139"/>
      <c r="K109" s="139"/>
      <c r="L109" s="139"/>
      <c r="M109" s="142"/>
      <c r="N109" s="141"/>
      <c r="O109" s="141"/>
      <c r="P109" s="141"/>
    </row>
    <row r="110" ht="15.75" customHeight="1">
      <c r="A110" s="142"/>
      <c r="B110" s="159"/>
      <c r="C110" s="143"/>
      <c r="D110" s="141"/>
      <c r="E110" s="141"/>
      <c r="F110" s="141"/>
      <c r="G110" s="141"/>
      <c r="H110" s="143"/>
      <c r="I110" s="143"/>
      <c r="J110" s="139"/>
      <c r="K110" s="139"/>
      <c r="L110" s="139"/>
      <c r="M110" s="142"/>
      <c r="N110" s="141"/>
      <c r="O110" s="141"/>
      <c r="P110" s="141"/>
    </row>
    <row r="111" ht="15.75" customHeight="1">
      <c r="A111" s="142"/>
      <c r="B111" s="159"/>
      <c r="C111" s="143"/>
      <c r="D111" s="141"/>
      <c r="E111" s="141"/>
      <c r="F111" s="141"/>
      <c r="G111" s="141"/>
      <c r="H111" s="135"/>
      <c r="I111" s="160"/>
      <c r="J111" s="139"/>
      <c r="K111" s="139"/>
      <c r="L111" s="139"/>
      <c r="M111" s="142"/>
      <c r="N111" s="141"/>
      <c r="O111" s="141"/>
      <c r="P111" s="141"/>
    </row>
    <row r="112" ht="15.75" customHeight="1">
      <c r="A112" s="142"/>
      <c r="B112" s="159"/>
      <c r="C112" s="143"/>
      <c r="D112" s="141"/>
      <c r="E112" s="141"/>
      <c r="F112" s="141"/>
      <c r="G112" s="141"/>
      <c r="H112" s="143"/>
      <c r="I112" s="143"/>
      <c r="J112" s="139"/>
      <c r="K112" s="139"/>
      <c r="L112" s="139"/>
      <c r="M112" s="142"/>
      <c r="N112" s="141"/>
      <c r="O112" s="141"/>
      <c r="P112" s="141"/>
    </row>
    <row r="113" ht="15.75" customHeight="1">
      <c r="A113" s="142"/>
      <c r="B113" s="159"/>
      <c r="C113" s="143"/>
      <c r="D113" s="141"/>
      <c r="E113" s="141"/>
      <c r="F113" s="141"/>
      <c r="G113" s="141"/>
      <c r="H113" s="135"/>
      <c r="I113" s="160"/>
      <c r="J113" s="139"/>
      <c r="K113" s="139"/>
      <c r="L113" s="139"/>
      <c r="M113" s="142"/>
      <c r="N113" s="141"/>
      <c r="O113" s="141"/>
      <c r="P113" s="141"/>
    </row>
    <row r="114" ht="15.75" customHeight="1">
      <c r="A114" s="142"/>
      <c r="B114" s="159"/>
      <c r="C114" s="143"/>
      <c r="D114" s="141"/>
      <c r="E114" s="141"/>
      <c r="F114" s="141"/>
      <c r="G114" s="141"/>
      <c r="H114" s="143"/>
      <c r="I114" s="143"/>
      <c r="J114" s="139"/>
      <c r="K114" s="139"/>
      <c r="L114" s="139"/>
      <c r="M114" s="142"/>
      <c r="N114" s="141"/>
      <c r="O114" s="141"/>
      <c r="P114" s="141"/>
    </row>
    <row r="115" ht="15.75" customHeight="1">
      <c r="A115" s="142"/>
      <c r="B115" s="159"/>
      <c r="C115" s="143"/>
      <c r="D115" s="141"/>
      <c r="E115" s="141"/>
      <c r="F115" s="141"/>
      <c r="G115" s="141"/>
      <c r="H115" s="135"/>
      <c r="I115" s="160"/>
      <c r="J115" s="139"/>
      <c r="K115" s="139"/>
      <c r="L115" s="139"/>
      <c r="M115" s="142"/>
      <c r="N115" s="141"/>
      <c r="O115" s="141"/>
      <c r="P115" s="141"/>
    </row>
    <row r="116" ht="15.75" customHeight="1">
      <c r="A116" s="142"/>
      <c r="B116" s="159"/>
      <c r="C116" s="143"/>
      <c r="D116" s="141"/>
      <c r="E116" s="141"/>
      <c r="F116" s="141"/>
      <c r="G116" s="141"/>
      <c r="H116" s="143"/>
      <c r="I116" s="143"/>
      <c r="J116" s="139"/>
      <c r="K116" s="139"/>
      <c r="L116" s="139"/>
      <c r="M116" s="142"/>
      <c r="N116" s="141"/>
      <c r="O116" s="141"/>
      <c r="P116" s="141"/>
    </row>
    <row r="117" ht="15.75" customHeight="1">
      <c r="A117" s="142"/>
      <c r="B117" s="159"/>
      <c r="C117" s="143"/>
      <c r="D117" s="141"/>
      <c r="E117" s="141"/>
      <c r="F117" s="141"/>
      <c r="G117" s="141"/>
      <c r="H117" s="135"/>
      <c r="I117" s="160"/>
      <c r="J117" s="139"/>
      <c r="K117" s="139"/>
      <c r="L117" s="139"/>
      <c r="M117" s="142"/>
      <c r="N117" s="141"/>
      <c r="O117" s="141"/>
      <c r="P117" s="141"/>
    </row>
    <row r="118" ht="15.75" customHeight="1">
      <c r="A118" s="142"/>
      <c r="B118" s="159"/>
      <c r="C118" s="143"/>
      <c r="D118" s="141"/>
      <c r="E118" s="141"/>
      <c r="F118" s="141"/>
      <c r="G118" s="141"/>
      <c r="H118" s="143"/>
      <c r="I118" s="143"/>
      <c r="J118" s="139"/>
      <c r="K118" s="139"/>
      <c r="L118" s="139"/>
      <c r="M118" s="142"/>
      <c r="N118" s="141"/>
      <c r="O118" s="141"/>
      <c r="P118" s="141"/>
    </row>
    <row r="119" ht="15.75" customHeight="1">
      <c r="A119" s="142"/>
      <c r="B119" s="159"/>
      <c r="C119" s="143"/>
      <c r="D119" s="141"/>
      <c r="E119" s="141"/>
      <c r="F119" s="141"/>
      <c r="G119" s="141"/>
      <c r="H119" s="135"/>
      <c r="I119" s="160"/>
      <c r="J119" s="139"/>
      <c r="K119" s="139"/>
      <c r="L119" s="139"/>
      <c r="M119" s="142"/>
      <c r="N119" s="141"/>
      <c r="O119" s="141"/>
      <c r="P119" s="141"/>
    </row>
    <row r="120" ht="15.75" customHeight="1">
      <c r="A120" s="142"/>
      <c r="B120" s="159"/>
      <c r="C120" s="143"/>
      <c r="D120" s="141"/>
      <c r="E120" s="141"/>
      <c r="F120" s="141"/>
      <c r="G120" s="141"/>
      <c r="H120" s="143"/>
      <c r="I120" s="143"/>
      <c r="J120" s="139"/>
      <c r="K120" s="139"/>
      <c r="L120" s="139"/>
      <c r="M120" s="142"/>
      <c r="N120" s="141"/>
      <c r="O120" s="141"/>
      <c r="P120" s="141"/>
    </row>
    <row r="121" ht="15.75" customHeight="1">
      <c r="A121" s="142"/>
      <c r="B121" s="159"/>
      <c r="C121" s="143"/>
      <c r="D121" s="141"/>
      <c r="E121" s="141"/>
      <c r="F121" s="141"/>
      <c r="G121" s="141"/>
      <c r="H121" s="135"/>
      <c r="I121" s="160"/>
      <c r="J121" s="139"/>
      <c r="K121" s="139"/>
      <c r="L121" s="139"/>
      <c r="M121" s="142"/>
      <c r="N121" s="141"/>
      <c r="O121" s="141"/>
      <c r="P121" s="141"/>
    </row>
    <row r="122" ht="15.75" customHeight="1">
      <c r="A122" s="142"/>
      <c r="B122" s="159"/>
      <c r="C122" s="143"/>
      <c r="D122" s="141"/>
      <c r="E122" s="141"/>
      <c r="F122" s="141"/>
      <c r="G122" s="141"/>
      <c r="H122" s="143"/>
      <c r="I122" s="143"/>
      <c r="J122" s="139"/>
      <c r="K122" s="139"/>
      <c r="L122" s="139"/>
      <c r="M122" s="142"/>
      <c r="N122" s="141"/>
      <c r="O122" s="141"/>
      <c r="P122" s="141"/>
    </row>
    <row r="123" ht="15.75" customHeight="1">
      <c r="A123" s="142"/>
      <c r="B123" s="159"/>
      <c r="C123" s="143"/>
      <c r="D123" s="141"/>
      <c r="E123" s="141"/>
      <c r="F123" s="141"/>
      <c r="G123" s="141"/>
      <c r="H123" s="135"/>
      <c r="I123" s="160"/>
      <c r="J123" s="139"/>
      <c r="K123" s="139"/>
      <c r="L123" s="139"/>
      <c r="M123" s="142"/>
      <c r="N123" s="141"/>
      <c r="O123" s="141"/>
      <c r="P123" s="141"/>
    </row>
    <row r="124" ht="15.75" customHeight="1">
      <c r="A124" s="142"/>
      <c r="B124" s="159"/>
      <c r="C124" s="143"/>
      <c r="D124" s="141"/>
      <c r="E124" s="141"/>
      <c r="F124" s="141"/>
      <c r="G124" s="141"/>
      <c r="H124" s="143"/>
      <c r="I124" s="143"/>
      <c r="J124" s="139"/>
      <c r="K124" s="139"/>
      <c r="L124" s="139"/>
      <c r="M124" s="142"/>
      <c r="N124" s="141"/>
      <c r="O124" s="141"/>
      <c r="P124" s="141"/>
    </row>
    <row r="125" ht="15.75" customHeight="1">
      <c r="A125" s="142"/>
      <c r="B125" s="159"/>
      <c r="C125" s="143"/>
      <c r="D125" s="141"/>
      <c r="E125" s="141"/>
      <c r="F125" s="141"/>
      <c r="G125" s="141"/>
      <c r="H125" s="135"/>
      <c r="I125" s="160"/>
      <c r="J125" s="139"/>
      <c r="K125" s="139"/>
      <c r="L125" s="139"/>
      <c r="M125" s="142"/>
      <c r="N125" s="141"/>
      <c r="O125" s="141"/>
      <c r="P125" s="141"/>
    </row>
    <row r="126" ht="15.75" customHeight="1">
      <c r="A126" s="142"/>
      <c r="B126" s="159"/>
      <c r="C126" s="143"/>
      <c r="D126" s="141"/>
      <c r="E126" s="141"/>
      <c r="F126" s="141"/>
      <c r="G126" s="141"/>
      <c r="H126" s="135"/>
      <c r="I126" s="160"/>
      <c r="J126" s="139"/>
      <c r="K126" s="139"/>
      <c r="L126" s="139"/>
      <c r="M126" s="142"/>
      <c r="N126" s="141"/>
      <c r="O126" s="141"/>
      <c r="P126" s="141"/>
    </row>
    <row r="127" ht="15.75" customHeight="1">
      <c r="A127" s="142"/>
      <c r="B127" s="159"/>
      <c r="C127" s="143"/>
      <c r="D127" s="141"/>
      <c r="E127" s="141"/>
      <c r="F127" s="141"/>
      <c r="G127" s="141"/>
      <c r="H127" s="143"/>
      <c r="I127" s="143"/>
      <c r="J127" s="139"/>
      <c r="K127" s="139"/>
      <c r="L127" s="139"/>
      <c r="M127" s="142"/>
      <c r="N127" s="141"/>
      <c r="O127" s="141"/>
      <c r="P127" s="141"/>
    </row>
    <row r="128" ht="15.75" customHeight="1">
      <c r="A128" s="142"/>
      <c r="B128" s="159"/>
      <c r="C128" s="143"/>
      <c r="D128" s="141"/>
      <c r="E128" s="141"/>
      <c r="F128" s="141"/>
      <c r="G128" s="141"/>
      <c r="H128" s="135"/>
      <c r="I128" s="160"/>
      <c r="J128" s="139"/>
      <c r="K128" s="139"/>
      <c r="L128" s="139"/>
      <c r="M128" s="142"/>
      <c r="N128" s="141"/>
      <c r="O128" s="141"/>
      <c r="P128" s="141"/>
    </row>
    <row r="129" ht="15.75" customHeight="1">
      <c r="A129" s="142"/>
      <c r="B129" s="159"/>
      <c r="C129" s="143"/>
      <c r="D129" s="141"/>
      <c r="E129" s="141"/>
      <c r="F129" s="141"/>
      <c r="G129" s="141"/>
      <c r="H129" s="143"/>
      <c r="I129" s="143"/>
      <c r="J129" s="139"/>
      <c r="K129" s="139"/>
      <c r="L129" s="139"/>
      <c r="M129" s="142"/>
      <c r="N129" s="141"/>
      <c r="O129" s="141"/>
      <c r="P129" s="141"/>
    </row>
    <row r="130" ht="15.75" customHeight="1">
      <c r="A130" s="142"/>
      <c r="B130" s="159"/>
      <c r="C130" s="143"/>
      <c r="D130" s="141"/>
      <c r="E130" s="141"/>
      <c r="F130" s="141"/>
      <c r="G130" s="141"/>
      <c r="H130" s="135"/>
      <c r="I130" s="160"/>
      <c r="J130" s="139"/>
      <c r="K130" s="139"/>
      <c r="L130" s="139"/>
      <c r="M130" s="142"/>
      <c r="N130" s="141"/>
      <c r="O130" s="141"/>
      <c r="P130" s="141"/>
    </row>
    <row r="131" ht="15.75" customHeight="1">
      <c r="A131" s="142"/>
      <c r="B131" s="159"/>
      <c r="C131" s="143"/>
      <c r="D131" s="141"/>
      <c r="E131" s="141"/>
      <c r="F131" s="141"/>
      <c r="G131" s="141"/>
      <c r="H131" s="143"/>
      <c r="I131" s="143"/>
      <c r="J131" s="139"/>
      <c r="K131" s="139"/>
      <c r="L131" s="139"/>
      <c r="M131" s="142"/>
      <c r="N131" s="141"/>
      <c r="O131" s="141"/>
      <c r="P131" s="141"/>
    </row>
    <row r="132" ht="15.75" customHeight="1">
      <c r="A132" s="142"/>
      <c r="B132" s="159"/>
      <c r="C132" s="143"/>
      <c r="D132" s="141"/>
      <c r="E132" s="141"/>
      <c r="F132" s="141"/>
      <c r="G132" s="141"/>
      <c r="H132" s="135"/>
      <c r="I132" s="160"/>
      <c r="J132" s="139"/>
      <c r="K132" s="139"/>
      <c r="L132" s="139"/>
      <c r="M132" s="142"/>
      <c r="N132" s="141"/>
      <c r="O132" s="141"/>
      <c r="P132" s="141"/>
    </row>
    <row r="133" ht="15.75" customHeight="1">
      <c r="A133" s="142"/>
      <c r="B133" s="159"/>
      <c r="C133" s="143"/>
      <c r="D133" s="141"/>
      <c r="E133" s="141"/>
      <c r="F133" s="141"/>
      <c r="G133" s="141"/>
      <c r="H133" s="143"/>
      <c r="I133" s="143"/>
      <c r="J133" s="139"/>
      <c r="K133" s="139"/>
      <c r="L133" s="139"/>
      <c r="M133" s="142"/>
      <c r="N133" s="141"/>
      <c r="O133" s="141"/>
      <c r="P133" s="141"/>
    </row>
    <row r="134" ht="15.75" customHeight="1">
      <c r="A134" s="142"/>
      <c r="B134" s="159"/>
      <c r="C134" s="143"/>
      <c r="D134" s="141"/>
      <c r="E134" s="141"/>
      <c r="F134" s="141"/>
      <c r="G134" s="141"/>
      <c r="H134" s="135"/>
      <c r="I134" s="160"/>
      <c r="J134" s="139"/>
      <c r="K134" s="139"/>
      <c r="L134" s="139"/>
      <c r="M134" s="142"/>
      <c r="N134" s="141"/>
      <c r="O134" s="141"/>
      <c r="P134" s="141"/>
    </row>
    <row r="135" ht="15.75" customHeight="1">
      <c r="A135" s="142"/>
      <c r="B135" s="159"/>
      <c r="C135" s="143"/>
      <c r="D135" s="141"/>
      <c r="E135" s="141"/>
      <c r="F135" s="141"/>
      <c r="G135" s="141"/>
      <c r="H135" s="143"/>
      <c r="I135" s="143"/>
      <c r="J135" s="139"/>
      <c r="K135" s="139"/>
      <c r="L135" s="139"/>
      <c r="M135" s="142"/>
      <c r="N135" s="141"/>
      <c r="O135" s="141"/>
      <c r="P135" s="141"/>
    </row>
    <row r="136" ht="15.75" customHeight="1">
      <c r="A136" s="142"/>
      <c r="B136" s="159"/>
      <c r="C136" s="143"/>
      <c r="D136" s="141"/>
      <c r="E136" s="141"/>
      <c r="F136" s="141"/>
      <c r="G136" s="141"/>
      <c r="H136" s="135"/>
      <c r="I136" s="160"/>
      <c r="J136" s="139"/>
      <c r="K136" s="139"/>
      <c r="L136" s="139"/>
      <c r="M136" s="142"/>
      <c r="N136" s="141"/>
      <c r="O136" s="141"/>
      <c r="P136" s="141"/>
    </row>
    <row r="137" ht="15.75" customHeight="1">
      <c r="A137" s="142"/>
      <c r="B137" s="159"/>
      <c r="C137" s="143"/>
      <c r="D137" s="141"/>
      <c r="E137" s="141"/>
      <c r="F137" s="141"/>
      <c r="G137" s="141"/>
      <c r="H137" s="143"/>
      <c r="I137" s="143"/>
      <c r="J137" s="139"/>
      <c r="K137" s="139"/>
      <c r="L137" s="139"/>
      <c r="M137" s="142"/>
      <c r="N137" s="141"/>
      <c r="O137" s="141"/>
      <c r="P137" s="141"/>
    </row>
    <row r="138" ht="15.75" customHeight="1">
      <c r="A138" s="142"/>
      <c r="B138" s="159"/>
      <c r="C138" s="143"/>
      <c r="D138" s="141"/>
      <c r="E138" s="141"/>
      <c r="F138" s="141"/>
      <c r="G138" s="141"/>
      <c r="H138" s="135"/>
      <c r="I138" s="160"/>
      <c r="J138" s="139"/>
      <c r="K138" s="139"/>
      <c r="L138" s="139"/>
      <c r="M138" s="142"/>
      <c r="N138" s="141"/>
      <c r="O138" s="141"/>
      <c r="P138" s="141"/>
    </row>
    <row r="139" ht="15.75" customHeight="1">
      <c r="A139" s="142"/>
      <c r="B139" s="159"/>
      <c r="C139" s="143"/>
      <c r="D139" s="141"/>
      <c r="E139" s="141"/>
      <c r="F139" s="141"/>
      <c r="G139" s="141"/>
      <c r="H139" s="143"/>
      <c r="I139" s="143"/>
      <c r="J139" s="139"/>
      <c r="K139" s="139"/>
      <c r="L139" s="139"/>
      <c r="M139" s="142"/>
      <c r="N139" s="141"/>
      <c r="O139" s="141"/>
      <c r="P139" s="141"/>
    </row>
    <row r="140" ht="15.75" customHeight="1">
      <c r="A140" s="142"/>
      <c r="B140" s="159"/>
      <c r="C140" s="143"/>
      <c r="D140" s="141"/>
      <c r="E140" s="141"/>
      <c r="F140" s="141"/>
      <c r="G140" s="141"/>
      <c r="H140" s="135"/>
      <c r="I140" s="160"/>
      <c r="J140" s="139"/>
      <c r="K140" s="139"/>
      <c r="L140" s="139"/>
      <c r="M140" s="142"/>
      <c r="N140" s="141"/>
      <c r="O140" s="141"/>
      <c r="P140" s="141"/>
    </row>
    <row r="141" ht="15.75" customHeight="1">
      <c r="A141" s="142"/>
      <c r="B141" s="159"/>
      <c r="C141" s="143"/>
      <c r="D141" s="141"/>
      <c r="E141" s="141"/>
      <c r="F141" s="141"/>
      <c r="G141" s="141"/>
      <c r="H141" s="143"/>
      <c r="I141" s="143"/>
      <c r="J141" s="139"/>
      <c r="K141" s="139"/>
      <c r="L141" s="139"/>
      <c r="M141" s="142"/>
      <c r="N141" s="141"/>
      <c r="O141" s="141"/>
      <c r="P141" s="141"/>
    </row>
    <row r="142" ht="15.75" customHeight="1">
      <c r="A142" s="142"/>
      <c r="B142" s="159"/>
      <c r="C142" s="143"/>
      <c r="D142" s="141"/>
      <c r="E142" s="141"/>
      <c r="F142" s="141"/>
      <c r="G142" s="141"/>
      <c r="H142" s="135"/>
      <c r="I142" s="160"/>
      <c r="J142" s="139"/>
      <c r="K142" s="139"/>
      <c r="L142" s="139"/>
      <c r="M142" s="142"/>
      <c r="N142" s="141"/>
      <c r="O142" s="141"/>
      <c r="P142" s="141"/>
    </row>
    <row r="143" ht="15.75" customHeight="1">
      <c r="A143" s="142"/>
      <c r="B143" s="159"/>
      <c r="C143" s="143"/>
      <c r="D143" s="141"/>
      <c r="E143" s="141"/>
      <c r="F143" s="141"/>
      <c r="G143" s="141"/>
      <c r="H143" s="143"/>
      <c r="I143" s="143"/>
      <c r="J143" s="139"/>
      <c r="K143" s="139"/>
      <c r="L143" s="139"/>
      <c r="M143" s="142"/>
      <c r="N143" s="141"/>
      <c r="O143" s="141"/>
      <c r="P143" s="141"/>
    </row>
    <row r="144" ht="15.75" customHeight="1">
      <c r="A144" s="142"/>
      <c r="B144" s="159"/>
      <c r="C144" s="143"/>
      <c r="D144" s="141"/>
      <c r="E144" s="141"/>
      <c r="F144" s="141"/>
      <c r="G144" s="141"/>
      <c r="H144" s="135"/>
      <c r="I144" s="160"/>
      <c r="J144" s="139"/>
      <c r="K144" s="139"/>
      <c r="L144" s="139"/>
      <c r="M144" s="142"/>
      <c r="N144" s="141"/>
      <c r="O144" s="141"/>
      <c r="P144" s="141"/>
    </row>
    <row r="145" ht="15.75" customHeight="1">
      <c r="A145" s="142"/>
      <c r="B145" s="159"/>
      <c r="C145" s="143"/>
      <c r="D145" s="141"/>
      <c r="E145" s="141"/>
      <c r="F145" s="141"/>
      <c r="G145" s="141"/>
      <c r="H145" s="143"/>
      <c r="I145" s="143"/>
      <c r="J145" s="139"/>
      <c r="K145" s="139"/>
      <c r="L145" s="139"/>
      <c r="M145" s="142"/>
      <c r="N145" s="141"/>
      <c r="O145" s="141"/>
      <c r="P145" s="141"/>
    </row>
    <row r="146" ht="15.75" customHeight="1">
      <c r="A146" s="142"/>
      <c r="B146" s="159"/>
      <c r="C146" s="143"/>
      <c r="D146" s="141"/>
      <c r="E146" s="141"/>
      <c r="F146" s="141"/>
      <c r="G146" s="141"/>
      <c r="H146" s="135"/>
      <c r="I146" s="160"/>
      <c r="J146" s="139"/>
      <c r="K146" s="139"/>
      <c r="L146" s="139"/>
      <c r="M146" s="142"/>
      <c r="N146" s="141"/>
      <c r="O146" s="141"/>
      <c r="P146" s="141"/>
    </row>
    <row r="147" ht="15.75" customHeight="1">
      <c r="A147" s="142"/>
      <c r="B147" s="159"/>
      <c r="C147" s="143"/>
      <c r="D147" s="141"/>
      <c r="E147" s="141"/>
      <c r="F147" s="141"/>
      <c r="G147" s="141"/>
      <c r="H147" s="143"/>
      <c r="I147" s="143"/>
      <c r="J147" s="139"/>
      <c r="K147" s="139"/>
      <c r="L147" s="139"/>
      <c r="M147" s="142"/>
      <c r="N147" s="141"/>
      <c r="O147" s="141"/>
      <c r="P147" s="141"/>
    </row>
    <row r="148" ht="15.75" customHeight="1">
      <c r="A148" s="142"/>
      <c r="B148" s="159"/>
      <c r="C148" s="143"/>
      <c r="D148" s="141"/>
      <c r="E148" s="141"/>
      <c r="F148" s="141"/>
      <c r="G148" s="141"/>
      <c r="H148" s="135"/>
      <c r="I148" s="160"/>
      <c r="J148" s="139"/>
      <c r="K148" s="139"/>
      <c r="L148" s="139"/>
      <c r="M148" s="142"/>
      <c r="N148" s="141"/>
      <c r="O148" s="141"/>
      <c r="P148" s="141"/>
    </row>
    <row r="149" ht="15.75" customHeight="1">
      <c r="A149" s="142"/>
      <c r="B149" s="159"/>
      <c r="C149" s="143"/>
      <c r="D149" s="141"/>
      <c r="E149" s="141"/>
      <c r="F149" s="141"/>
      <c r="G149" s="141"/>
      <c r="H149" s="143"/>
      <c r="I149" s="143"/>
      <c r="J149" s="139"/>
      <c r="K149" s="139"/>
      <c r="L149" s="139"/>
      <c r="M149" s="142"/>
      <c r="N149" s="141"/>
      <c r="O149" s="141"/>
      <c r="P149" s="141"/>
    </row>
    <row r="150" ht="15.75" customHeight="1">
      <c r="A150" s="142"/>
      <c r="B150" s="159"/>
      <c r="C150" s="143"/>
      <c r="D150" s="141"/>
      <c r="E150" s="141"/>
      <c r="F150" s="141"/>
      <c r="G150" s="141"/>
      <c r="H150" s="135"/>
      <c r="I150" s="160"/>
      <c r="J150" s="139"/>
      <c r="K150" s="139"/>
      <c r="L150" s="139"/>
      <c r="M150" s="142"/>
      <c r="N150" s="141"/>
      <c r="O150" s="141"/>
      <c r="P150" s="141"/>
    </row>
    <row r="151" ht="15.75" customHeight="1">
      <c r="A151" s="142"/>
      <c r="B151" s="159"/>
      <c r="C151" s="143"/>
      <c r="D151" s="141"/>
      <c r="E151" s="141"/>
      <c r="F151" s="141"/>
      <c r="G151" s="141"/>
      <c r="H151" s="143"/>
      <c r="I151" s="143"/>
      <c r="J151" s="139"/>
      <c r="K151" s="139"/>
      <c r="L151" s="139"/>
      <c r="M151" s="142"/>
      <c r="N151" s="141"/>
      <c r="O151" s="141"/>
      <c r="P151" s="141"/>
    </row>
    <row r="152" ht="15.75" customHeight="1">
      <c r="A152" s="142"/>
      <c r="B152" s="159"/>
      <c r="C152" s="143"/>
      <c r="D152" s="141"/>
      <c r="E152" s="141"/>
      <c r="F152" s="141"/>
      <c r="G152" s="141"/>
      <c r="H152" s="135"/>
      <c r="I152" s="160"/>
      <c r="J152" s="139"/>
      <c r="K152" s="139"/>
      <c r="L152" s="139"/>
      <c r="M152" s="142"/>
      <c r="N152" s="141"/>
      <c r="O152" s="141"/>
      <c r="P152" s="141"/>
    </row>
    <row r="153" ht="15.75" customHeight="1">
      <c r="A153" s="142"/>
      <c r="B153" s="159"/>
      <c r="C153" s="143"/>
      <c r="D153" s="141"/>
      <c r="E153" s="141"/>
      <c r="F153" s="141"/>
      <c r="G153" s="141"/>
      <c r="H153" s="143"/>
      <c r="I153" s="143"/>
      <c r="J153" s="139"/>
      <c r="K153" s="139"/>
      <c r="L153" s="139"/>
      <c r="M153" s="142"/>
      <c r="N153" s="141"/>
      <c r="O153" s="141"/>
      <c r="P153" s="141"/>
    </row>
    <row r="154" ht="15.75" customHeight="1">
      <c r="A154" s="142"/>
      <c r="B154" s="159"/>
      <c r="C154" s="143"/>
      <c r="D154" s="141"/>
      <c r="E154" s="141"/>
      <c r="F154" s="141"/>
      <c r="G154" s="141"/>
      <c r="H154" s="135"/>
      <c r="I154" s="160"/>
      <c r="J154" s="139"/>
      <c r="K154" s="139"/>
      <c r="L154" s="139"/>
      <c r="M154" s="142"/>
      <c r="N154" s="141"/>
      <c r="O154" s="141"/>
      <c r="P154" s="141"/>
    </row>
    <row r="155" ht="15.75" customHeight="1">
      <c r="A155" s="142"/>
      <c r="B155" s="159"/>
      <c r="C155" s="143"/>
      <c r="D155" s="141"/>
      <c r="E155" s="141"/>
      <c r="F155" s="141"/>
      <c r="G155" s="141"/>
      <c r="H155" s="143"/>
      <c r="I155" s="143"/>
      <c r="J155" s="139"/>
      <c r="K155" s="139"/>
      <c r="L155" s="139"/>
      <c r="M155" s="142"/>
      <c r="N155" s="141"/>
      <c r="O155" s="141"/>
      <c r="P155" s="141"/>
    </row>
    <row r="156" ht="15.75" customHeight="1">
      <c r="A156" s="142"/>
      <c r="B156" s="159"/>
      <c r="C156" s="143"/>
      <c r="D156" s="141"/>
      <c r="E156" s="141"/>
      <c r="F156" s="141"/>
      <c r="G156" s="141"/>
      <c r="H156" s="135"/>
      <c r="I156" s="160"/>
      <c r="J156" s="139"/>
      <c r="K156" s="139"/>
      <c r="L156" s="139"/>
      <c r="M156" s="142"/>
      <c r="N156" s="141"/>
      <c r="O156" s="141"/>
      <c r="P156" s="141"/>
    </row>
    <row r="157" ht="15.75" customHeight="1">
      <c r="A157" s="142"/>
      <c r="B157" s="159"/>
      <c r="C157" s="143"/>
      <c r="D157" s="141"/>
      <c r="E157" s="141"/>
      <c r="F157" s="141"/>
      <c r="G157" s="141"/>
      <c r="H157" s="143"/>
      <c r="I157" s="143"/>
      <c r="J157" s="139"/>
      <c r="K157" s="139"/>
      <c r="L157" s="139"/>
      <c r="M157" s="142"/>
      <c r="N157" s="141"/>
      <c r="O157" s="141"/>
      <c r="P157" s="141"/>
    </row>
    <row r="158" ht="15.75" customHeight="1">
      <c r="A158" s="142"/>
      <c r="B158" s="159"/>
      <c r="C158" s="143"/>
      <c r="D158" s="141"/>
      <c r="E158" s="141"/>
      <c r="F158" s="141"/>
      <c r="G158" s="141"/>
      <c r="H158" s="135"/>
      <c r="I158" s="160"/>
      <c r="J158" s="139"/>
      <c r="K158" s="139"/>
      <c r="L158" s="139"/>
      <c r="M158" s="142"/>
      <c r="N158" s="141"/>
      <c r="O158" s="141"/>
      <c r="P158" s="141"/>
    </row>
    <row r="159" ht="15.75" customHeight="1">
      <c r="A159" s="142"/>
      <c r="B159" s="159"/>
      <c r="C159" s="143"/>
      <c r="D159" s="141"/>
      <c r="E159" s="141"/>
      <c r="F159" s="141"/>
      <c r="G159" s="141"/>
      <c r="H159" s="143"/>
      <c r="I159" s="143"/>
      <c r="J159" s="139"/>
      <c r="K159" s="139"/>
      <c r="L159" s="139"/>
      <c r="M159" s="142"/>
      <c r="N159" s="141"/>
      <c r="O159" s="141"/>
      <c r="P159" s="141"/>
    </row>
    <row r="160" ht="15.75" customHeight="1">
      <c r="A160" s="142"/>
      <c r="B160" s="159"/>
      <c r="C160" s="143"/>
      <c r="D160" s="141"/>
      <c r="E160" s="141"/>
      <c r="F160" s="141"/>
      <c r="G160" s="141"/>
      <c r="H160" s="135"/>
      <c r="I160" s="160"/>
      <c r="J160" s="139"/>
      <c r="K160" s="139"/>
      <c r="L160" s="139"/>
      <c r="M160" s="142"/>
      <c r="N160" s="141"/>
      <c r="O160" s="141"/>
      <c r="P160" s="141"/>
    </row>
    <row r="161" ht="15.75" customHeight="1">
      <c r="A161" s="142"/>
      <c r="B161" s="159"/>
      <c r="C161" s="143"/>
      <c r="D161" s="141"/>
      <c r="E161" s="141"/>
      <c r="F161" s="141"/>
      <c r="G161" s="141"/>
      <c r="H161" s="143"/>
      <c r="I161" s="143"/>
      <c r="J161" s="139"/>
      <c r="K161" s="139"/>
      <c r="L161" s="139"/>
      <c r="M161" s="142"/>
      <c r="N161" s="141"/>
      <c r="O161" s="141"/>
      <c r="P161" s="141"/>
    </row>
    <row r="162" ht="15.75" customHeight="1">
      <c r="A162" s="142"/>
      <c r="B162" s="159"/>
      <c r="C162" s="143"/>
      <c r="D162" s="141"/>
      <c r="E162" s="141"/>
      <c r="F162" s="141"/>
      <c r="G162" s="141"/>
      <c r="H162" s="135"/>
      <c r="I162" s="160"/>
      <c r="J162" s="139"/>
      <c r="K162" s="139"/>
      <c r="L162" s="139"/>
      <c r="M162" s="142"/>
      <c r="N162" s="141"/>
      <c r="O162" s="141"/>
      <c r="P162" s="141"/>
    </row>
    <row r="163" ht="15.75" customHeight="1">
      <c r="A163" s="142"/>
      <c r="B163" s="159"/>
      <c r="C163" s="143"/>
      <c r="D163" s="141"/>
      <c r="E163" s="141"/>
      <c r="F163" s="141"/>
      <c r="G163" s="141"/>
      <c r="H163" s="143"/>
      <c r="I163" s="143"/>
      <c r="J163" s="139"/>
      <c r="K163" s="139"/>
      <c r="L163" s="139"/>
      <c r="M163" s="142"/>
      <c r="N163" s="141"/>
      <c r="O163" s="141"/>
      <c r="P163" s="141"/>
    </row>
    <row r="164" ht="15.75" customHeight="1">
      <c r="A164" s="142"/>
      <c r="B164" s="159"/>
      <c r="C164" s="143"/>
      <c r="D164" s="141"/>
      <c r="E164" s="141"/>
      <c r="F164" s="141"/>
      <c r="G164" s="141"/>
      <c r="H164" s="135"/>
      <c r="I164" s="160"/>
      <c r="J164" s="139"/>
      <c r="K164" s="139"/>
      <c r="L164" s="139"/>
      <c r="M164" s="142"/>
      <c r="N164" s="141"/>
      <c r="O164" s="141"/>
      <c r="P164" s="141"/>
    </row>
    <row r="165" ht="15.75" customHeight="1">
      <c r="A165" s="142"/>
      <c r="B165" s="159"/>
      <c r="C165" s="143"/>
      <c r="D165" s="141"/>
      <c r="E165" s="141"/>
      <c r="F165" s="141"/>
      <c r="G165" s="141"/>
      <c r="H165" s="143"/>
      <c r="I165" s="143"/>
      <c r="J165" s="139"/>
      <c r="K165" s="139"/>
      <c r="L165" s="139"/>
      <c r="M165" s="142"/>
      <c r="N165" s="141"/>
      <c r="O165" s="141"/>
      <c r="P165" s="141"/>
    </row>
    <row r="166" ht="15.75" customHeight="1">
      <c r="A166" s="142"/>
      <c r="B166" s="159"/>
      <c r="C166" s="143"/>
      <c r="D166" s="141"/>
      <c r="E166" s="141"/>
      <c r="F166" s="141"/>
      <c r="G166" s="141"/>
      <c r="H166" s="135"/>
      <c r="I166" s="160"/>
      <c r="J166" s="139"/>
      <c r="K166" s="139"/>
      <c r="L166" s="139"/>
      <c r="M166" s="142"/>
      <c r="N166" s="141"/>
      <c r="O166" s="141"/>
      <c r="P166" s="141"/>
    </row>
    <row r="167" ht="15.75" customHeight="1">
      <c r="A167" s="142"/>
      <c r="B167" s="159"/>
      <c r="C167" s="143"/>
      <c r="D167" s="141"/>
      <c r="E167" s="141"/>
      <c r="F167" s="141"/>
      <c r="G167" s="141"/>
      <c r="H167" s="135"/>
      <c r="I167" s="160"/>
      <c r="J167" s="139"/>
      <c r="K167" s="139"/>
      <c r="L167" s="139"/>
      <c r="M167" s="142"/>
      <c r="N167" s="141"/>
      <c r="O167" s="141"/>
      <c r="P167" s="141"/>
    </row>
    <row r="168" ht="15.75" customHeight="1">
      <c r="A168" s="142"/>
      <c r="B168" s="159"/>
      <c r="C168" s="143"/>
      <c r="D168" s="141"/>
      <c r="E168" s="141"/>
      <c r="F168" s="141"/>
      <c r="G168" s="141"/>
      <c r="H168" s="143"/>
      <c r="I168" s="143"/>
      <c r="J168" s="139"/>
      <c r="K168" s="139"/>
      <c r="L168" s="139"/>
      <c r="M168" s="142"/>
      <c r="N168" s="141"/>
      <c r="O168" s="141"/>
      <c r="P168" s="141"/>
    </row>
    <row r="169" ht="15.75" customHeight="1">
      <c r="A169" s="142"/>
      <c r="B169" s="159"/>
      <c r="C169" s="143"/>
      <c r="D169" s="141"/>
      <c r="E169" s="141"/>
      <c r="F169" s="141"/>
      <c r="G169" s="141"/>
      <c r="H169" s="135"/>
      <c r="I169" s="160"/>
      <c r="J169" s="139"/>
      <c r="K169" s="139"/>
      <c r="L169" s="139"/>
      <c r="M169" s="142"/>
      <c r="N169" s="141"/>
      <c r="O169" s="141"/>
      <c r="P169" s="141"/>
    </row>
    <row r="170" ht="15.75" customHeight="1">
      <c r="A170" s="142"/>
      <c r="B170" s="159"/>
      <c r="C170" s="143"/>
      <c r="D170" s="141"/>
      <c r="E170" s="141"/>
      <c r="F170" s="141"/>
      <c r="G170" s="141"/>
      <c r="H170" s="143"/>
      <c r="I170" s="143"/>
      <c r="J170" s="139"/>
      <c r="K170" s="139"/>
      <c r="L170" s="139"/>
      <c r="M170" s="142"/>
      <c r="N170" s="141"/>
      <c r="O170" s="141"/>
      <c r="P170" s="141"/>
    </row>
    <row r="171" ht="15.75" customHeight="1">
      <c r="A171" s="142"/>
      <c r="B171" s="159"/>
      <c r="C171" s="143"/>
      <c r="D171" s="141"/>
      <c r="E171" s="141"/>
      <c r="F171" s="141"/>
      <c r="G171" s="141"/>
      <c r="H171" s="135"/>
      <c r="I171" s="160"/>
      <c r="J171" s="139"/>
      <c r="K171" s="139"/>
      <c r="L171" s="139"/>
      <c r="M171" s="142"/>
      <c r="N171" s="141"/>
      <c r="O171" s="141"/>
      <c r="P171" s="141"/>
    </row>
    <row r="172" ht="15.75" customHeight="1">
      <c r="A172" s="142"/>
      <c r="B172" s="159"/>
      <c r="C172" s="143"/>
      <c r="D172" s="141"/>
      <c r="E172" s="141"/>
      <c r="F172" s="141"/>
      <c r="G172" s="141"/>
      <c r="H172" s="143"/>
      <c r="I172" s="143"/>
      <c r="J172" s="139"/>
      <c r="K172" s="139"/>
      <c r="L172" s="139"/>
      <c r="M172" s="142"/>
      <c r="N172" s="141"/>
      <c r="O172" s="141"/>
      <c r="P172" s="141"/>
    </row>
    <row r="173" ht="15.75" customHeight="1">
      <c r="A173" s="142"/>
      <c r="B173" s="159"/>
      <c r="C173" s="143"/>
      <c r="D173" s="141"/>
      <c r="E173" s="141"/>
      <c r="F173" s="141"/>
      <c r="G173" s="141"/>
      <c r="H173" s="135"/>
      <c r="I173" s="160"/>
      <c r="J173" s="139"/>
      <c r="K173" s="139"/>
      <c r="L173" s="139"/>
      <c r="M173" s="142"/>
      <c r="N173" s="141"/>
      <c r="O173" s="141"/>
      <c r="P173" s="141"/>
    </row>
    <row r="174" ht="15.75" customHeight="1">
      <c r="A174" s="142"/>
      <c r="B174" s="159"/>
      <c r="C174" s="143"/>
      <c r="D174" s="141"/>
      <c r="E174" s="141"/>
      <c r="F174" s="141"/>
      <c r="G174" s="141"/>
      <c r="H174" s="143"/>
      <c r="I174" s="143"/>
      <c r="J174" s="139"/>
      <c r="K174" s="139"/>
      <c r="L174" s="139"/>
      <c r="M174" s="142"/>
      <c r="N174" s="141"/>
      <c r="O174" s="141"/>
      <c r="P174" s="141"/>
    </row>
    <row r="175" ht="15.75" customHeight="1">
      <c r="A175" s="142"/>
      <c r="B175" s="159"/>
      <c r="C175" s="143"/>
      <c r="D175" s="141"/>
      <c r="E175" s="141"/>
      <c r="F175" s="141"/>
      <c r="G175" s="141"/>
      <c r="H175" s="135"/>
      <c r="I175" s="160"/>
      <c r="J175" s="139"/>
      <c r="K175" s="139"/>
      <c r="L175" s="139"/>
      <c r="M175" s="142"/>
      <c r="N175" s="141"/>
      <c r="O175" s="141"/>
      <c r="P175" s="141"/>
    </row>
    <row r="176" ht="15.75" customHeight="1">
      <c r="A176" s="142"/>
      <c r="B176" s="159"/>
      <c r="C176" s="143"/>
      <c r="D176" s="141"/>
      <c r="E176" s="141"/>
      <c r="F176" s="141"/>
      <c r="G176" s="141"/>
      <c r="H176" s="143"/>
      <c r="I176" s="143"/>
      <c r="J176" s="139"/>
      <c r="K176" s="139"/>
      <c r="L176" s="139"/>
      <c r="M176" s="142"/>
      <c r="N176" s="141"/>
      <c r="O176" s="141"/>
      <c r="P176" s="141"/>
    </row>
    <row r="177" ht="15.75" customHeight="1">
      <c r="A177" s="142"/>
      <c r="B177" s="159"/>
      <c r="C177" s="143"/>
      <c r="D177" s="141"/>
      <c r="E177" s="141"/>
      <c r="F177" s="141"/>
      <c r="G177" s="141"/>
      <c r="H177" s="135"/>
      <c r="I177" s="160"/>
      <c r="J177" s="139"/>
      <c r="K177" s="139"/>
      <c r="L177" s="139"/>
      <c r="M177" s="142"/>
      <c r="N177" s="141"/>
      <c r="O177" s="141"/>
      <c r="P177" s="141"/>
    </row>
    <row r="178" ht="15.75" customHeight="1">
      <c r="A178" s="142"/>
      <c r="B178" s="159"/>
      <c r="C178" s="143"/>
      <c r="D178" s="141"/>
      <c r="E178" s="141"/>
      <c r="F178" s="141"/>
      <c r="G178" s="141"/>
      <c r="H178" s="143"/>
      <c r="I178" s="143"/>
      <c r="J178" s="139"/>
      <c r="K178" s="139"/>
      <c r="L178" s="139"/>
      <c r="M178" s="142"/>
      <c r="N178" s="141"/>
      <c r="O178" s="141"/>
      <c r="P178" s="141"/>
    </row>
    <row r="179" ht="15.75" customHeight="1">
      <c r="A179" s="142"/>
      <c r="B179" s="159"/>
      <c r="C179" s="143"/>
      <c r="D179" s="141"/>
      <c r="E179" s="141"/>
      <c r="F179" s="141"/>
      <c r="G179" s="141"/>
      <c r="H179" s="135"/>
      <c r="I179" s="160"/>
      <c r="J179" s="139"/>
      <c r="K179" s="139"/>
      <c r="L179" s="139"/>
      <c r="M179" s="142"/>
      <c r="N179" s="141"/>
      <c r="O179" s="141"/>
      <c r="P179" s="141"/>
    </row>
    <row r="180" ht="15.75" customHeight="1">
      <c r="A180" s="142"/>
      <c r="B180" s="159"/>
      <c r="C180" s="143"/>
      <c r="D180" s="141"/>
      <c r="E180" s="141"/>
      <c r="F180" s="141"/>
      <c r="G180" s="141"/>
      <c r="H180" s="143"/>
      <c r="I180" s="143"/>
      <c r="J180" s="139"/>
      <c r="K180" s="139"/>
      <c r="L180" s="139"/>
      <c r="M180" s="142"/>
      <c r="N180" s="141"/>
      <c r="O180" s="141"/>
      <c r="P180" s="141"/>
    </row>
    <row r="181" ht="15.75" customHeight="1">
      <c r="A181" s="142"/>
      <c r="B181" s="159"/>
      <c r="C181" s="143"/>
      <c r="D181" s="141"/>
      <c r="E181" s="141"/>
      <c r="F181" s="141"/>
      <c r="G181" s="141"/>
      <c r="H181" s="135"/>
      <c r="I181" s="160"/>
      <c r="J181" s="139"/>
      <c r="K181" s="139"/>
      <c r="L181" s="139"/>
      <c r="M181" s="142"/>
      <c r="N181" s="141"/>
      <c r="O181" s="141"/>
      <c r="P181" s="141"/>
    </row>
    <row r="182" ht="15.75" customHeight="1">
      <c r="A182" s="142"/>
      <c r="B182" s="159"/>
      <c r="C182" s="143"/>
      <c r="D182" s="141"/>
      <c r="E182" s="141"/>
      <c r="F182" s="141"/>
      <c r="G182" s="141"/>
      <c r="H182" s="143"/>
      <c r="I182" s="143"/>
      <c r="J182" s="139"/>
      <c r="K182" s="139"/>
      <c r="L182" s="139"/>
      <c r="M182" s="142"/>
      <c r="N182" s="141"/>
      <c r="O182" s="141"/>
      <c r="P182" s="141"/>
    </row>
    <row r="183" ht="15.75" customHeight="1">
      <c r="A183" s="142"/>
      <c r="B183" s="159"/>
      <c r="C183" s="143"/>
      <c r="D183" s="141"/>
      <c r="E183" s="141"/>
      <c r="F183" s="141"/>
      <c r="G183" s="141"/>
      <c r="H183" s="135"/>
      <c r="I183" s="160"/>
      <c r="J183" s="139"/>
      <c r="K183" s="139"/>
      <c r="L183" s="139"/>
      <c r="M183" s="142"/>
      <c r="N183" s="141"/>
      <c r="O183" s="141"/>
      <c r="P183" s="141"/>
    </row>
    <row r="184" ht="15.75" customHeight="1">
      <c r="A184" s="142"/>
      <c r="B184" s="159"/>
      <c r="C184" s="143"/>
      <c r="D184" s="141"/>
      <c r="E184" s="141"/>
      <c r="F184" s="141"/>
      <c r="G184" s="141"/>
      <c r="H184" s="143"/>
      <c r="I184" s="143"/>
      <c r="J184" s="139"/>
      <c r="K184" s="139"/>
      <c r="L184" s="139"/>
      <c r="M184" s="142"/>
      <c r="N184" s="141"/>
      <c r="O184" s="141"/>
      <c r="P184" s="141"/>
    </row>
    <row r="185" ht="15.75" customHeight="1">
      <c r="A185" s="142"/>
      <c r="B185" s="159"/>
      <c r="C185" s="143"/>
      <c r="D185" s="141"/>
      <c r="E185" s="141"/>
      <c r="F185" s="141"/>
      <c r="G185" s="141"/>
      <c r="H185" s="135"/>
      <c r="I185" s="160"/>
      <c r="J185" s="139"/>
      <c r="K185" s="139"/>
      <c r="L185" s="139"/>
      <c r="M185" s="142"/>
      <c r="N185" s="141"/>
      <c r="O185" s="141"/>
      <c r="P185" s="141"/>
    </row>
    <row r="186" ht="15.75" customHeight="1">
      <c r="A186" s="142"/>
      <c r="B186" s="159"/>
      <c r="C186" s="143"/>
      <c r="D186" s="141"/>
      <c r="E186" s="141"/>
      <c r="F186" s="141"/>
      <c r="G186" s="141"/>
      <c r="H186" s="143"/>
      <c r="I186" s="143"/>
      <c r="J186" s="139"/>
      <c r="K186" s="139"/>
      <c r="L186" s="139"/>
      <c r="M186" s="142"/>
      <c r="N186" s="141"/>
      <c r="O186" s="141"/>
      <c r="P186" s="141"/>
    </row>
    <row r="187" ht="15.75" customHeight="1">
      <c r="A187" s="142"/>
      <c r="B187" s="159"/>
      <c r="C187" s="143"/>
      <c r="D187" s="141"/>
      <c r="E187" s="141"/>
      <c r="F187" s="141"/>
      <c r="G187" s="141"/>
      <c r="H187" s="135"/>
      <c r="I187" s="160"/>
      <c r="J187" s="139"/>
      <c r="K187" s="139"/>
      <c r="L187" s="139"/>
      <c r="M187" s="142"/>
      <c r="N187" s="141"/>
      <c r="O187" s="141"/>
      <c r="P187" s="141"/>
    </row>
    <row r="188" ht="15.75" customHeight="1">
      <c r="A188" s="142"/>
      <c r="B188" s="159"/>
      <c r="C188" s="143"/>
      <c r="D188" s="141"/>
      <c r="E188" s="141"/>
      <c r="F188" s="141"/>
      <c r="G188" s="141"/>
      <c r="H188" s="143"/>
      <c r="I188" s="143"/>
      <c r="J188" s="139"/>
      <c r="K188" s="139"/>
      <c r="L188" s="139"/>
      <c r="M188" s="142"/>
      <c r="N188" s="141"/>
      <c r="O188" s="141"/>
      <c r="P188" s="141"/>
    </row>
    <row r="189" ht="15.75" customHeight="1">
      <c r="A189" s="142"/>
      <c r="B189" s="159"/>
      <c r="C189" s="143"/>
      <c r="D189" s="141"/>
      <c r="E189" s="141"/>
      <c r="F189" s="141"/>
      <c r="G189" s="141"/>
      <c r="H189" s="135"/>
      <c r="I189" s="160"/>
      <c r="J189" s="139"/>
      <c r="K189" s="139"/>
      <c r="L189" s="139"/>
      <c r="M189" s="142"/>
      <c r="N189" s="141"/>
      <c r="O189" s="141"/>
      <c r="P189" s="141"/>
    </row>
    <row r="190" ht="15.75" customHeight="1">
      <c r="A190" s="142"/>
      <c r="B190" s="159"/>
      <c r="C190" s="143"/>
      <c r="D190" s="141"/>
      <c r="E190" s="141"/>
      <c r="F190" s="141"/>
      <c r="G190" s="141"/>
      <c r="H190" s="143"/>
      <c r="I190" s="143"/>
      <c r="J190" s="139"/>
      <c r="K190" s="139"/>
      <c r="L190" s="139"/>
      <c r="M190" s="142"/>
      <c r="N190" s="141"/>
      <c r="O190" s="141"/>
      <c r="P190" s="141"/>
    </row>
    <row r="191" ht="15.75" customHeight="1">
      <c r="A191" s="142"/>
      <c r="B191" s="159"/>
      <c r="C191" s="143"/>
      <c r="D191" s="141"/>
      <c r="E191" s="141"/>
      <c r="F191" s="141"/>
      <c r="G191" s="141"/>
      <c r="H191" s="135"/>
      <c r="I191" s="160"/>
      <c r="J191" s="139"/>
      <c r="K191" s="139"/>
      <c r="L191" s="139"/>
      <c r="M191" s="142"/>
      <c r="N191" s="141"/>
      <c r="O191" s="141"/>
      <c r="P191" s="141"/>
    </row>
    <row r="192" ht="15.75" customHeight="1">
      <c r="A192" s="142"/>
      <c r="B192" s="159"/>
      <c r="C192" s="143"/>
      <c r="D192" s="141"/>
      <c r="E192" s="141"/>
      <c r="F192" s="141"/>
      <c r="G192" s="141"/>
      <c r="H192" s="143"/>
      <c r="I192" s="143"/>
      <c r="J192" s="139"/>
      <c r="K192" s="139"/>
      <c r="L192" s="139"/>
      <c r="M192" s="142"/>
      <c r="N192" s="141"/>
      <c r="O192" s="141"/>
      <c r="P192" s="141"/>
    </row>
    <row r="193" ht="15.75" customHeight="1">
      <c r="A193" s="142"/>
      <c r="B193" s="159"/>
      <c r="C193" s="143"/>
      <c r="D193" s="141"/>
      <c r="E193" s="141"/>
      <c r="F193" s="141"/>
      <c r="G193" s="141"/>
      <c r="H193" s="135"/>
      <c r="I193" s="160"/>
      <c r="J193" s="139"/>
      <c r="K193" s="139"/>
      <c r="L193" s="139"/>
      <c r="M193" s="142"/>
      <c r="N193" s="141"/>
      <c r="O193" s="141"/>
      <c r="P193" s="141"/>
    </row>
    <row r="194" ht="15.75" customHeight="1">
      <c r="A194" s="142"/>
      <c r="B194" s="159"/>
      <c r="C194" s="143"/>
      <c r="D194" s="141"/>
      <c r="E194" s="141"/>
      <c r="F194" s="141"/>
      <c r="G194" s="141"/>
      <c r="H194" s="143"/>
      <c r="I194" s="143"/>
      <c r="J194" s="139"/>
      <c r="K194" s="139"/>
      <c r="L194" s="139"/>
      <c r="M194" s="142"/>
      <c r="N194" s="141"/>
      <c r="O194" s="141"/>
      <c r="P194" s="141"/>
    </row>
    <row r="195" ht="15.75" customHeight="1">
      <c r="A195" s="142"/>
      <c r="B195" s="159"/>
      <c r="C195" s="143"/>
      <c r="D195" s="141"/>
      <c r="E195" s="141"/>
      <c r="F195" s="141"/>
      <c r="G195" s="141"/>
      <c r="H195" s="135"/>
      <c r="I195" s="160"/>
      <c r="J195" s="139"/>
      <c r="K195" s="139"/>
      <c r="L195" s="139"/>
      <c r="M195" s="142"/>
      <c r="N195" s="141"/>
      <c r="O195" s="141"/>
      <c r="P195" s="141"/>
    </row>
    <row r="196" ht="15.75" customHeight="1">
      <c r="A196" s="142"/>
      <c r="B196" s="159"/>
      <c r="C196" s="143"/>
      <c r="D196" s="141"/>
      <c r="E196" s="141"/>
      <c r="F196" s="141"/>
      <c r="G196" s="141"/>
      <c r="H196" s="143"/>
      <c r="I196" s="143"/>
      <c r="J196" s="139"/>
      <c r="K196" s="139"/>
      <c r="L196" s="139"/>
      <c r="M196" s="142"/>
      <c r="N196" s="141"/>
      <c r="O196" s="141"/>
      <c r="P196" s="141"/>
    </row>
    <row r="197" ht="15.75" customHeight="1">
      <c r="A197" s="142"/>
      <c r="B197" s="159"/>
      <c r="C197" s="143"/>
      <c r="D197" s="141"/>
      <c r="E197" s="141"/>
      <c r="F197" s="141"/>
      <c r="G197" s="141"/>
      <c r="H197" s="135"/>
      <c r="I197" s="160"/>
      <c r="J197" s="139"/>
      <c r="K197" s="139"/>
      <c r="L197" s="139"/>
      <c r="M197" s="142"/>
      <c r="N197" s="141"/>
      <c r="O197" s="141"/>
      <c r="P197" s="141"/>
    </row>
    <row r="198" ht="15.75" customHeight="1">
      <c r="A198" s="142"/>
      <c r="B198" s="159"/>
      <c r="C198" s="143"/>
      <c r="D198" s="141"/>
      <c r="E198" s="141"/>
      <c r="F198" s="141"/>
      <c r="G198" s="141"/>
      <c r="H198" s="143"/>
      <c r="I198" s="143"/>
      <c r="J198" s="139"/>
      <c r="K198" s="139"/>
      <c r="L198" s="139"/>
      <c r="M198" s="142"/>
      <c r="N198" s="141"/>
      <c r="O198" s="141"/>
      <c r="P198" s="141"/>
    </row>
    <row r="199" ht="15.75" customHeight="1">
      <c r="A199" s="142"/>
      <c r="B199" s="159"/>
      <c r="C199" s="143"/>
      <c r="D199" s="141"/>
      <c r="E199" s="141"/>
      <c r="F199" s="141"/>
      <c r="G199" s="141"/>
      <c r="H199" s="135"/>
      <c r="I199" s="160"/>
      <c r="J199" s="139"/>
      <c r="K199" s="139"/>
      <c r="L199" s="139"/>
      <c r="M199" s="142"/>
      <c r="N199" s="141"/>
      <c r="O199" s="141"/>
      <c r="P199" s="141"/>
    </row>
    <row r="200" ht="15.75" customHeight="1">
      <c r="A200" s="142"/>
      <c r="B200" s="159"/>
      <c r="C200" s="143"/>
      <c r="D200" s="141"/>
      <c r="E200" s="141"/>
      <c r="F200" s="141"/>
      <c r="G200" s="141"/>
      <c r="H200" s="143"/>
      <c r="I200" s="143"/>
      <c r="J200" s="139"/>
      <c r="K200" s="139"/>
      <c r="L200" s="139"/>
      <c r="M200" s="142"/>
      <c r="N200" s="141"/>
      <c r="O200" s="141"/>
      <c r="P200" s="141"/>
    </row>
    <row r="201" ht="15.75" customHeight="1">
      <c r="A201" s="142"/>
      <c r="B201" s="159"/>
      <c r="C201" s="143"/>
      <c r="D201" s="141"/>
      <c r="E201" s="141"/>
      <c r="F201" s="141"/>
      <c r="G201" s="141"/>
      <c r="H201" s="135"/>
      <c r="I201" s="160"/>
      <c r="J201" s="139"/>
      <c r="K201" s="139"/>
      <c r="L201" s="139"/>
      <c r="M201" s="142"/>
      <c r="N201" s="141"/>
      <c r="O201" s="141"/>
      <c r="P201" s="141"/>
    </row>
    <row r="202" ht="15.75" customHeight="1">
      <c r="A202" s="142"/>
      <c r="B202" s="159"/>
      <c r="C202" s="143"/>
      <c r="D202" s="141"/>
      <c r="E202" s="141"/>
      <c r="F202" s="141"/>
      <c r="G202" s="141"/>
      <c r="H202" s="143"/>
      <c r="I202" s="143"/>
      <c r="J202" s="139"/>
      <c r="K202" s="139"/>
      <c r="L202" s="139"/>
      <c r="M202" s="142"/>
      <c r="N202" s="141"/>
      <c r="O202" s="141"/>
      <c r="P202" s="141"/>
    </row>
    <row r="203" ht="15.75" customHeight="1">
      <c r="A203" s="142"/>
      <c r="B203" s="159"/>
      <c r="C203" s="143"/>
      <c r="D203" s="141"/>
      <c r="E203" s="141"/>
      <c r="F203" s="141"/>
      <c r="G203" s="141"/>
      <c r="H203" s="135"/>
      <c r="I203" s="160"/>
      <c r="J203" s="139"/>
      <c r="K203" s="139"/>
      <c r="L203" s="139"/>
      <c r="M203" s="142"/>
      <c r="N203" s="141"/>
      <c r="O203" s="141"/>
      <c r="P203" s="141"/>
    </row>
    <row r="204" ht="15.75" customHeight="1">
      <c r="A204" s="142"/>
      <c r="B204" s="159"/>
      <c r="C204" s="143"/>
      <c r="D204" s="141"/>
      <c r="E204" s="141"/>
      <c r="F204" s="141"/>
      <c r="G204" s="141"/>
      <c r="H204" s="143"/>
      <c r="I204" s="143"/>
      <c r="J204" s="139"/>
      <c r="K204" s="139"/>
      <c r="L204" s="139"/>
      <c r="M204" s="142"/>
      <c r="N204" s="141"/>
      <c r="O204" s="141"/>
      <c r="P204" s="141"/>
    </row>
    <row r="205" ht="15.75" customHeight="1">
      <c r="A205" s="142"/>
      <c r="B205" s="159"/>
      <c r="C205" s="143"/>
      <c r="D205" s="141"/>
      <c r="E205" s="141"/>
      <c r="F205" s="141"/>
      <c r="G205" s="141"/>
      <c r="H205" s="135"/>
      <c r="I205" s="160"/>
      <c r="J205" s="139"/>
      <c r="K205" s="139"/>
      <c r="L205" s="139"/>
      <c r="M205" s="142"/>
      <c r="N205" s="141"/>
      <c r="O205" s="141"/>
      <c r="P205" s="141"/>
    </row>
    <row r="206" ht="15.75" customHeight="1">
      <c r="A206" s="142"/>
      <c r="B206" s="159"/>
      <c r="C206" s="143"/>
      <c r="D206" s="141"/>
      <c r="E206" s="141"/>
      <c r="F206" s="141"/>
      <c r="G206" s="141"/>
      <c r="H206" s="143"/>
      <c r="I206" s="143"/>
      <c r="J206" s="139"/>
      <c r="K206" s="139"/>
      <c r="L206" s="139"/>
      <c r="M206" s="142"/>
      <c r="N206" s="141"/>
      <c r="O206" s="141"/>
      <c r="P206" s="141"/>
    </row>
  </sheetData>
  <mergeCells count="7">
    <mergeCell ref="A1:C3"/>
    <mergeCell ref="D1:F3"/>
    <mergeCell ref="G1:H1"/>
    <mergeCell ref="G2:H2"/>
    <mergeCell ref="G3:H3"/>
    <mergeCell ref="A4:F4"/>
    <mergeCell ref="G4:H4"/>
  </mergeCells>
  <dataValidations>
    <dataValidation type="list" allowBlank="1" sqref="K15:K206">
      <formula1>"Positive,Negative"</formula1>
    </dataValidation>
    <dataValidation type="list" allowBlank="1" sqref="J15:J206">
      <formula1>"High,Medium,Low"</formula1>
    </dataValidation>
    <dataValidation type="list" allowBlank="1" sqref="L15:L206">
      <formula1>"Passed,Failed,Pending,N/A"</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4.0" topLeftCell="A5" activePane="bottomLeft" state="frozen"/>
      <selection activeCell="B6" sqref="B6" pane="bottomLeft"/>
    </sheetView>
  </sheetViews>
  <sheetFormatPr customHeight="1" defaultColWidth="15.13" defaultRowHeight="15.0"/>
  <cols>
    <col customWidth="1" min="1" max="26" width="15.13"/>
  </cols>
  <sheetData>
    <row r="1">
      <c r="A1" s="1"/>
      <c r="B1" s="2"/>
      <c r="C1" s="3" t="s">
        <v>0</v>
      </c>
      <c r="D1" s="2"/>
      <c r="E1" s="2"/>
      <c r="F1" s="2"/>
      <c r="G1" s="86" t="s">
        <v>1</v>
      </c>
      <c r="H1" s="87"/>
    </row>
    <row r="2">
      <c r="A2" s="6"/>
      <c r="C2" s="6"/>
      <c r="G2" s="92" t="s">
        <v>2</v>
      </c>
      <c r="H2" s="93"/>
    </row>
    <row r="3">
      <c r="A3" s="6"/>
      <c r="C3" s="6"/>
      <c r="G3" s="9" t="s">
        <v>3</v>
      </c>
      <c r="H3" s="10"/>
    </row>
    <row r="4">
      <c r="A4" s="11" t="s">
        <v>4</v>
      </c>
      <c r="B4" s="12"/>
      <c r="C4" s="12"/>
      <c r="D4" s="12"/>
      <c r="E4" s="12"/>
      <c r="F4" s="12"/>
      <c r="G4" s="14" t="s">
        <v>5</v>
      </c>
      <c r="H4" s="10"/>
    </row>
    <row r="5">
      <c r="A5" s="172"/>
    </row>
    <row r="6">
      <c r="A6" s="172"/>
    </row>
    <row r="7">
      <c r="A7" s="172" t="s">
        <v>295</v>
      </c>
      <c r="B7" s="173"/>
      <c r="C7" s="173"/>
      <c r="D7" s="173"/>
      <c r="E7" s="173"/>
      <c r="F7" s="173"/>
      <c r="G7" s="173"/>
      <c r="H7" s="173"/>
      <c r="I7" s="173"/>
    </row>
    <row r="8">
      <c r="A8" s="174" t="s">
        <v>296</v>
      </c>
      <c r="B8" s="173"/>
      <c r="C8" s="173"/>
      <c r="D8" s="173"/>
      <c r="E8" s="173"/>
      <c r="F8" s="173"/>
      <c r="G8" s="173"/>
      <c r="H8" s="173"/>
      <c r="I8" s="173"/>
    </row>
    <row r="9">
      <c r="A9" s="173"/>
      <c r="B9" s="173"/>
      <c r="C9" s="173"/>
      <c r="D9" s="173"/>
      <c r="E9" s="173"/>
      <c r="F9" s="173"/>
      <c r="G9" s="173"/>
      <c r="H9" s="173"/>
      <c r="I9" s="173"/>
    </row>
    <row r="10">
      <c r="A10" s="172" t="s">
        <v>297</v>
      </c>
      <c r="B10" s="173"/>
      <c r="C10" s="173"/>
      <c r="D10" s="173"/>
      <c r="E10" s="173"/>
      <c r="F10" s="173"/>
      <c r="G10" s="173"/>
      <c r="H10" s="173"/>
      <c r="I10" s="173"/>
    </row>
    <row r="11">
      <c r="A11" s="174" t="s">
        <v>298</v>
      </c>
      <c r="B11" s="173"/>
      <c r="C11" s="173"/>
      <c r="D11" s="173"/>
      <c r="E11" s="173"/>
      <c r="F11" s="173"/>
      <c r="G11" s="173"/>
      <c r="H11" s="173"/>
      <c r="I11" s="173"/>
    </row>
    <row r="12">
      <c r="A12" s="174" t="s">
        <v>299</v>
      </c>
      <c r="B12" s="173"/>
      <c r="C12" s="173"/>
      <c r="D12" s="173"/>
      <c r="E12" s="173"/>
      <c r="F12" s="173"/>
      <c r="G12" s="173"/>
      <c r="H12" s="173"/>
      <c r="I12" s="173"/>
    </row>
    <row r="13">
      <c r="A13" s="175" t="s">
        <v>300</v>
      </c>
      <c r="B13" s="173"/>
      <c r="C13" s="173"/>
      <c r="D13" s="173"/>
      <c r="E13" s="173"/>
      <c r="F13" s="173"/>
      <c r="G13" s="173"/>
      <c r="H13" s="173"/>
      <c r="I13" s="173"/>
    </row>
    <row r="14">
      <c r="A14" s="176"/>
      <c r="B14" s="173"/>
      <c r="C14" s="173"/>
      <c r="D14" s="173"/>
      <c r="E14" s="173"/>
      <c r="F14" s="173"/>
      <c r="G14" s="173"/>
      <c r="H14" s="173"/>
      <c r="I14" s="173"/>
    </row>
    <row r="15">
      <c r="A15" s="172" t="s">
        <v>301</v>
      </c>
      <c r="B15" s="173"/>
      <c r="C15" s="173"/>
      <c r="D15" s="173"/>
      <c r="E15" s="173"/>
      <c r="F15" s="173"/>
      <c r="G15" s="173"/>
      <c r="H15" s="173"/>
      <c r="I15" s="173"/>
    </row>
    <row r="16">
      <c r="A16" s="177" t="s">
        <v>27</v>
      </c>
      <c r="B16" s="178" t="s">
        <v>302</v>
      </c>
      <c r="C16" s="12"/>
      <c r="D16" s="12"/>
      <c r="E16" s="12"/>
      <c r="F16" s="12"/>
      <c r="G16" s="12"/>
      <c r="H16" s="13"/>
      <c r="I16" s="173"/>
    </row>
    <row r="17">
      <c r="A17" s="177" t="s">
        <v>28</v>
      </c>
      <c r="B17" s="179" t="s">
        <v>303</v>
      </c>
      <c r="C17" s="12"/>
      <c r="D17" s="12"/>
      <c r="E17" s="12"/>
      <c r="F17" s="12"/>
      <c r="G17" s="12"/>
      <c r="H17" s="13"/>
      <c r="I17" s="173"/>
    </row>
    <row r="18">
      <c r="A18" s="177" t="s">
        <v>29</v>
      </c>
      <c r="B18" s="179" t="s">
        <v>304</v>
      </c>
      <c r="C18" s="12"/>
      <c r="D18" s="12"/>
      <c r="E18" s="12"/>
      <c r="F18" s="12"/>
      <c r="G18" s="12"/>
      <c r="H18" s="13"/>
      <c r="I18" s="173"/>
    </row>
    <row r="19">
      <c r="A19" s="177" t="s">
        <v>30</v>
      </c>
      <c r="B19" s="179" t="s">
        <v>305</v>
      </c>
      <c r="C19" s="12"/>
      <c r="D19" s="12"/>
      <c r="E19" s="12"/>
      <c r="F19" s="12"/>
      <c r="G19" s="12"/>
      <c r="H19" s="13"/>
      <c r="I19" s="173"/>
    </row>
    <row r="20">
      <c r="A20" s="173"/>
      <c r="B20" s="180"/>
      <c r="C20" s="180"/>
      <c r="D20" s="180"/>
      <c r="E20" s="180"/>
      <c r="F20" s="180"/>
      <c r="G20" s="180"/>
      <c r="H20" s="180"/>
      <c r="I20" s="173"/>
    </row>
    <row r="21">
      <c r="A21" s="181" t="s">
        <v>306</v>
      </c>
      <c r="B21" s="173"/>
      <c r="C21" s="173"/>
      <c r="D21" s="173"/>
      <c r="E21" s="173"/>
      <c r="F21" s="173"/>
      <c r="G21" s="173"/>
      <c r="H21" s="173"/>
      <c r="I21" s="173"/>
    </row>
    <row r="22" ht="15.75" customHeight="1">
      <c r="A22" s="182" t="s">
        <v>307</v>
      </c>
      <c r="B22" s="173"/>
      <c r="C22" s="173"/>
      <c r="D22" s="173"/>
      <c r="E22" s="173"/>
      <c r="F22" s="173"/>
      <c r="G22" s="173"/>
      <c r="H22" s="173"/>
      <c r="I22" s="173"/>
    </row>
    <row r="23" ht="15.75" customHeight="1">
      <c r="A23" s="183" t="s">
        <v>308</v>
      </c>
      <c r="B23" s="173"/>
      <c r="C23" s="173"/>
      <c r="D23" s="173"/>
      <c r="E23" s="173"/>
      <c r="F23" s="173"/>
      <c r="G23" s="173"/>
      <c r="H23" s="173"/>
      <c r="I23" s="17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1">
    <mergeCell ref="B16:H16"/>
    <mergeCell ref="B17:H17"/>
    <mergeCell ref="B18:H18"/>
    <mergeCell ref="B19:H19"/>
    <mergeCell ref="A1:B3"/>
    <mergeCell ref="C1:F3"/>
    <mergeCell ref="G1:H1"/>
    <mergeCell ref="G2:H2"/>
    <mergeCell ref="G3:H3"/>
    <mergeCell ref="A4:F4"/>
    <mergeCell ref="G4:H4"/>
  </mergeCells>
  <hyperlinks>
    <hyperlink r:id="rId1" ref="A21"/>
  </hyperlinks>
  <drawing r:id="rId2"/>
</worksheet>
</file>