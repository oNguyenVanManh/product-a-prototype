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Overview" sheetId="2" r:id="rId5"/>
    <sheet state="visible" name="Sample" sheetId="3" r:id="rId6"/>
    <sheet state="visible" name="Guideline" sheetId="4" r:id="rId7"/>
  </sheets>
  <definedNames>
    <definedName localSheetId="2" name="_FilterDatabase_0_0_0_0_0">Sample!$A$13:$IN$13</definedName>
    <definedName localSheetId="2" name="_FilterDatabase_0_0_0_0_0_0_0">Sample!$A$13:$IN$21</definedName>
    <definedName localSheetId="2" name="_FilterDatabase_0_0_0_0_0_0_0_0">Sample!$A$13:$P$13</definedName>
    <definedName localSheetId="2" name="_FilterDatabase_0_0_0_0_0_0_0_0_0">Sample!$A$13:$IN$21</definedName>
    <definedName localSheetId="2" name="_FilterDatabase_0_0">Sample!$A$13:$P$13</definedName>
    <definedName localSheetId="2" name="_FilterDatabase_0_0_0_0">Sample!$A$13:$P$13</definedName>
    <definedName localSheetId="2" name="_FilterDatabase_0">Sample!$A$13:$P$13</definedName>
    <definedName localSheetId="2" name="_FilterDatabase_0_0_0">Sample!$A$13:$IN$13</definedName>
    <definedName localSheetId="2" name="_FilterDatabase_0_0_0_0_0_0">Sample!$A$13:$P$13</definedName>
    <definedName localSheetId="2" name="Excel_BuiltIn__FilterDatabase">Sample!$A$13:$P$13</definedName>
  </definedNames>
  <calcPr/>
</workbook>
</file>

<file path=xl/sharedStrings.xml><?xml version="1.0" encoding="utf-8"?>
<sst xmlns="http://schemas.openxmlformats.org/spreadsheetml/2006/main" count="86" uniqueCount="59">
  <si>
    <t>CHECKLIST</t>
  </si>
  <si>
    <t>No: BM-QT-1701-13</t>
  </si>
  <si>
    <t>Version: 2.3</t>
  </si>
  <si>
    <t>Issue Date: 22/09/2026</t>
  </si>
  <si>
    <t>SUN ASTERISK VIETNAM CO., LTD</t>
  </si>
  <si>
    <t>ISO/IEC 27001:2022 &amp; ISO 9001:2015</t>
  </si>
  <si>
    <t>1. Sheet Overview</t>
  </si>
  <si>
    <t>HISTORY OF CHANGES</t>
  </si>
  <si>
    <t>No</t>
  </si>
  <si>
    <t>Liệt kê bộ Checklist gồm những sheet gì, người tạo, người approve, số Checklist từng sheet</t>
  </si>
  <si>
    <t>Change Item</t>
  </si>
  <si>
    <t>2. Sheet Sample</t>
  </si>
  <si>
    <t>Description of changes</t>
  </si>
  <si>
    <t>+ Các cột (*) là các cột bắt buộc, cần phải nhập nội dung.</t>
  </si>
  <si>
    <t>Change Date</t>
  </si>
  <si>
    <t>+ Các cột không có (*) là các cột không bắt buộc, tùy vào yêu cầu đặc thù của dự án. Nếu trường hợp dự án không cần thông tin đó thì tiến hành hide hoặc xóa các cột đó đi.</t>
  </si>
  <si>
    <t>3. Cách nhập Test Result</t>
  </si>
  <si>
    <t>Update format</t>
  </si>
  <si>
    <t>Passed</t>
  </si>
  <si>
    <t>Nhập nội dung này nếu Checklist đã được thực hiện và kết quả đã test đúng như Expected result</t>
  </si>
  <si>
    <t xml:space="preserve">Bổ sung các phân loại Accessing, UI, và Function vào Test Case để đảm bảo tính toàn diện trong thiết kế kịch bản kiểm thử, qua đó ngăn ngừa việc bỏ sót các yêu cầu của ứng dụng.                      </t>
  </si>
  <si>
    <t>Failed</t>
  </si>
  <si>
    <t>#</t>
  </si>
  <si>
    <t>Nhập nội dung này nếu Checklist đã được thực hiện và kết quả đã test không đúng như Expected result.
Cần phải nhập lý do Failed hoặc ticket có liên quan vào cột Note</t>
  </si>
  <si>
    <t>Total TCs</t>
  </si>
  <si>
    <t>Sheet name</t>
  </si>
  <si>
    <t>Pending</t>
  </si>
  <si>
    <t>N/A</t>
  </si>
  <si>
    <t>Remain</t>
  </si>
  <si>
    <t>Total</t>
  </si>
  <si>
    <t>2</t>
  </si>
  <si>
    <t>Remaining</t>
  </si>
  <si>
    <t>All sheet</t>
  </si>
  <si>
    <t>Nhập nội dung này nếu Checklist đã được thực hiện, tuy nhiên còn chưa kết luận được là Passed hay Failed do đang confirm với các bên liên quan.
Cần phải nhập lý do Pending hoặc ticket có liên quan vào cột Note</t>
  </si>
  <si>
    <t xml:space="preserve">Nhập nội dung này nếu Checklist thuộc đối tượng cần phải thực hiện trong đợt test, tuy nhiên vì lý do thiếu môi trường test, thiếu thiết bị ... nên đã không thể thực hiện được.
Với trường hợp này, không cần phải nhập tên tester và execute date.  Tuy nhiên cần phải nhập lý do vì sao đã không thể test được vào cột Note </t>
  </si>
  <si>
    <t>Update mã biểu mẫu theo tiêu chuẩn ISO.</t>
  </si>
  <si>
    <t>Sample</t>
  </si>
  <si>
    <t>22/09/2026</t>
  </si>
  <si>
    <t>Spec/Design link:</t>
  </si>
  <si>
    <t>*: Mandatory</t>
  </si>
  <si>
    <r>
      <rPr>
        <rFont val="Arial"/>
        <b/>
        <sz val="10.0"/>
      </rPr>
      <t>TC ID</t>
    </r>
    <r>
      <rPr>
        <rFont val="Arial"/>
        <b/>
        <color rgb="FFFF0000"/>
        <sz val="10.0"/>
      </rPr>
      <t>*</t>
    </r>
  </si>
  <si>
    <t>{Category 1}</t>
  </si>
  <si>
    <t>{Category 2}</t>
  </si>
  <si>
    <t>{Category 3}</t>
  </si>
  <si>
    <t>{Category 4}</t>
  </si>
  <si>
    <t>Pre-condition</t>
  </si>
  <si>
    <t>Test Data</t>
  </si>
  <si>
    <r>
      <rPr>
        <rFont val="Arial"/>
        <b/>
        <sz val="10.0"/>
      </rPr>
      <t>Steps</t>
    </r>
    <r>
      <rPr>
        <rFont val="Arial"/>
        <b/>
        <color rgb="FFFF0000"/>
        <sz val="10.0"/>
      </rPr>
      <t>*</t>
    </r>
  </si>
  <si>
    <r>
      <rPr>
        <rFont val="Arial"/>
        <b/>
        <sz val="10.0"/>
      </rPr>
      <t>Expected results</t>
    </r>
    <r>
      <rPr>
        <rFont val="Arial"/>
        <b/>
        <color rgb="FFFF0000"/>
        <sz val="10.0"/>
      </rPr>
      <t>*</t>
    </r>
  </si>
  <si>
    <t>Priority</t>
  </si>
  <si>
    <t>Testcase type</t>
  </si>
  <si>
    <r>
      <rPr>
        <rFont val="Arial"/>
        <b/>
        <sz val="10.0"/>
      </rPr>
      <t>Test Result</t>
    </r>
    <r>
      <rPr>
        <rFont val="Arial"/>
        <b/>
        <color rgb="FFFF0000"/>
        <sz val="10.0"/>
      </rPr>
      <t>*</t>
    </r>
  </si>
  <si>
    <r>
      <rPr>
        <rFont val="Arial"/>
        <b/>
        <sz val="10.0"/>
      </rPr>
      <t>Executed Date</t>
    </r>
    <r>
      <rPr>
        <rFont val="Arial"/>
        <b/>
        <color rgb="FFFF0000"/>
        <sz val="10.0"/>
      </rPr>
      <t>*</t>
    </r>
  </si>
  <si>
    <t>Test Executor*</t>
  </si>
  <si>
    <t>Test Environment</t>
  </si>
  <si>
    <t>Note
(Test evidence, 
DefectID, Actual result)</t>
  </si>
  <si>
    <t>Accessing</t>
  </si>
  <si>
    <t>UI</t>
  </si>
  <si>
    <t>Function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</si>
</sst>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yyyy"/>
  </numFmts>
  <fonts count="24">
    <font>
      <sz val="10.0"/>
      <color rgb="FF000000"/>
      <name val="Arial"/>
    </font>
    <font>
      <b/>
      <sz val="24.0"/>
      <name val="Times New Roman"/>
    </font>
    <font/>
    <font>
      <b/>
      <sz val="18.0"/>
      <name val="Times New Roman"/>
    </font>
    <font>
      <sz val="12.0"/>
      <name val="Times New Roman"/>
    </font>
    <font>
      <sz val="12.0"/>
      <color rgb="FF000000"/>
      <name val="Times New Roman"/>
    </font>
    <font>
      <b/>
      <sz val="10.0"/>
      <color rgb="FF333333"/>
      <name val="Arial"/>
    </font>
    <font>
      <b/>
      <sz val="10.0"/>
      <name val="Arial"/>
    </font>
    <font>
      <b/>
      <sz val="10.0"/>
      <name val="Times New Roman"/>
    </font>
    <font>
      <b/>
      <sz val="14.0"/>
      <name val="Times New Roman"/>
    </font>
    <font>
      <sz val="10.0"/>
      <name val="Arial"/>
    </font>
    <font>
      <b/>
      <sz val="12.0"/>
      <name val="Arial"/>
    </font>
    <font>
      <sz val="11.0"/>
      <color rgb="FF000000"/>
      <name val="Calibri"/>
    </font>
    <font>
      <sz val="11.0"/>
      <color rgb="FF008000"/>
      <name val="Calibri"/>
    </font>
    <font>
      <sz val="11.0"/>
      <color rgb="FF993300"/>
      <name val="Calibri"/>
    </font>
    <font>
      <b/>
      <sz val="10.0"/>
      <color rgb="FF000000"/>
      <name val="Arial"/>
    </font>
    <font>
      <b/>
      <sz val="10.0"/>
      <color rgb="FFFF0000"/>
      <name val="Arial"/>
    </font>
    <font>
      <sz val="10.0"/>
      <color rgb="FFFF0000"/>
      <name val="Arial"/>
    </font>
    <font>
      <sz val="10.0"/>
      <color rgb="FF333333"/>
      <name val="Arial"/>
    </font>
    <font>
      <b/>
      <name val="Arial"/>
    </font>
    <font>
      <name val="Arial"/>
    </font>
    <font>
      <sz val="11.0"/>
      <name val="Arial"/>
    </font>
    <font>
      <color rgb="FF333333"/>
      <name val="Arial"/>
    </font>
    <font>
      <sz val="11.0"/>
      <color rgb="FF333333"/>
      <name val="Arial"/>
    </font>
  </fonts>
  <fills count="4">
    <fill>
      <patternFill patternType="none"/>
    </fill>
    <fill>
      <patternFill patternType="lightGray"/>
    </fill>
    <fill>
      <patternFill patternType="solid">
        <fgColor rgb="FFFFFFFF"/>
        <bgColor rgb="FFFFFFFF"/>
      </patternFill>
    </fill>
    <fill>
      <patternFill patternType="solid">
        <fgColor rgb="FFD9D2E9"/>
        <bgColor rgb="FFD9D2E9"/>
      </patternFill>
    </fill>
  </fills>
  <borders count="42">
    <border/>
    <border>
      <left style="thin">
        <color rgb="FF000000"/>
      </left>
      <top style="thin">
        <color rgb="FF000000"/>
      </top>
    </border>
    <border>
      <top style="thin">
        <color rgb="FF000000"/>
      </top>
    </border>
    <border>
      <left style="thin">
        <color rgb="FF000000"/>
      </left>
      <top style="thin">
        <color rgb="FF000000"/>
      </top>
      <bottom style="thin">
        <color rgb="FFFFFFFF"/>
      </bottom>
    </border>
    <border>
      <right style="thin">
        <color rgb="FF000000"/>
      </right>
      <top style="thin">
        <color rgb="FF000000"/>
      </top>
      <bottom style="thin">
        <color rgb="FFFFFFFF"/>
      </bottom>
    </border>
    <border>
      <left style="thin">
        <color rgb="FF000000"/>
      </left>
    </border>
    <border>
      <right style="thin">
        <color rgb="FF000000"/>
      </right>
      <top style="thin">
        <color rgb="FF000000"/>
      </top>
    </border>
    <border>
      <left style="thin">
        <color rgb="FF000000"/>
      </left>
      <bottom style="thin">
        <color rgb="FFFFFFFF"/>
      </bottom>
    </border>
    <border>
      <right style="thin">
        <color rgb="FFFFFFFF"/>
      </right>
      <top style="thin">
        <color rgb="FF000000"/>
      </top>
      <bottom style="thin">
        <color rgb="FFFFFFFF"/>
      </bottom>
    </border>
    <border>
      <right style="thin">
        <color rgb="FF000000"/>
      </right>
    </border>
    <border>
      <right style="thin">
        <color rgb="FF000000"/>
      </right>
      <bottom style="thin">
        <color rgb="FFFFFFFF"/>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FFFFFF"/>
      </right>
      <bottom style="thin">
        <color rgb="FFFFFFFF"/>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FFFFFF"/>
      </right>
    </border>
    <border>
      <left style="thin">
        <color rgb="FFFFFFFF"/>
      </left>
    </border>
    <border>
      <left style="thin">
        <color rgb="FF000000"/>
      </left>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right/>
      <top/>
      <bottom/>
    </border>
    <border>
      <left/>
      <right/>
      <top/>
    </border>
    <border>
      <right style="thin">
        <color rgb="FFFFFFFF"/>
      </right>
      <top style="thin">
        <color rgb="FFFFFFFF"/>
      </top>
      <bottom style="thin">
        <color rgb="FFFFFFFF"/>
      </bottom>
    </border>
    <border>
      <left/>
    </border>
    <border>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bottom style="thin">
        <color rgb="FFFFFFFF"/>
      </bottom>
    </border>
    <border>
      <bottom style="thin">
        <color rgb="FFFFFFFF"/>
      </bottom>
    </border>
    <border>
      <left/>
      <right style="thin">
        <color rgb="FFFFFFFF"/>
      </right>
      <bottom style="thin">
        <color rgb="FFFFFFFF"/>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top style="hair">
        <color rgb="FF000000"/>
      </top>
      <bottom style="hair">
        <color rgb="FF000000"/>
      </bottom>
    </border>
    <border>
      <top style="hair">
        <color rgb="FF000000"/>
      </top>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rder>
    <border>
      <right style="hair">
        <color rgb="FF000000"/>
      </right>
      <top style="hair">
        <color rgb="FF000000"/>
      </top>
      <bottom style="hair">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1" fillId="0" fontId="3" numFmtId="0" xfId="0" applyAlignment="1" applyBorder="1" applyFont="1">
      <alignment horizontal="center" readingOrder="0" shrinkToFit="0" vertical="center" wrapText="1"/>
    </xf>
    <xf borderId="3" fillId="0" fontId="4" numFmtId="0" xfId="0" applyAlignment="1" applyBorder="1" applyFont="1">
      <alignment readingOrder="0" vertical="center"/>
    </xf>
    <xf borderId="4" fillId="0" fontId="2" numFmtId="0" xfId="0" applyBorder="1" applyFont="1"/>
    <xf borderId="1" fillId="0" fontId="4" numFmtId="0" xfId="0" applyAlignment="1" applyBorder="1" applyFont="1">
      <alignment readingOrder="0" vertical="center"/>
    </xf>
    <xf borderId="5" fillId="0" fontId="2" numFmtId="0" xfId="0" applyBorder="1" applyFont="1"/>
    <xf borderId="6" fillId="0" fontId="2" numFmtId="0" xfId="0" applyBorder="1" applyFont="1"/>
    <xf borderId="5" fillId="0" fontId="4" numFmtId="0" xfId="0" applyAlignment="1" applyBorder="1" applyFont="1">
      <alignment readingOrder="0" vertical="center"/>
    </xf>
    <xf borderId="7" fillId="0" fontId="5" numFmtId="0" xfId="0" applyAlignment="1" applyBorder="1" applyFont="1">
      <alignment readingOrder="0" vertical="center"/>
    </xf>
    <xf borderId="8" fillId="0" fontId="4" numFmtId="0" xfId="0" applyAlignment="1" applyBorder="1" applyFont="1">
      <alignment readingOrder="0" vertical="center"/>
    </xf>
    <xf borderId="5" fillId="0" fontId="5" numFmtId="0" xfId="0" applyAlignment="1" applyBorder="1" applyFont="1">
      <alignment readingOrder="0" vertical="center"/>
    </xf>
    <xf borderId="0" fillId="0" fontId="4" numFmtId="0" xfId="0" applyAlignment="1" applyFont="1">
      <alignment readingOrder="0" vertical="center"/>
    </xf>
    <xf borderId="9" fillId="0" fontId="2" numFmtId="0" xfId="0" applyBorder="1" applyFont="1"/>
    <xf borderId="10" fillId="0" fontId="2" numFmtId="0" xfId="0" applyBorder="1" applyFont="1"/>
    <xf borderId="0" fillId="2" fontId="6" numFmtId="164" xfId="0" applyAlignment="1" applyFill="1" applyFont="1" applyNumberFormat="1">
      <alignment horizontal="center" shrinkToFit="1" vertical="center" wrapText="0"/>
    </xf>
    <xf borderId="11" fillId="0" fontId="5" numFmtId="0" xfId="0" applyAlignment="1" applyBorder="1" applyFont="1">
      <alignment readingOrder="0" shrinkToFit="0" vertical="center" wrapText="0"/>
    </xf>
    <xf borderId="0" fillId="2" fontId="7" numFmtId="0" xfId="0" applyAlignment="1" applyFill="1" applyFont="1">
      <alignment shrinkToFit="1" vertical="top" wrapText="0"/>
    </xf>
    <xf borderId="12" fillId="0" fontId="2" numFmtId="0" xfId="0" applyBorder="1" applyFont="1"/>
    <xf borderId="13" fillId="0" fontId="8" numFmtId="0" xfId="0" applyAlignment="1" applyBorder="1" applyFont="1">
      <alignment readingOrder="0" vertical="center"/>
    </xf>
    <xf borderId="14" fillId="0" fontId="5" numFmtId="0" xfId="0" applyAlignment="1" applyBorder="1" applyFont="1">
      <alignment readingOrder="0" vertical="center"/>
    </xf>
    <xf borderId="15" fillId="0" fontId="2" numFmtId="0" xfId="0" applyBorder="1" applyFont="1"/>
    <xf borderId="0" fillId="0" fontId="5" numFmtId="0" xfId="0" applyAlignment="1" applyFont="1">
      <alignment readingOrder="0" vertical="center"/>
    </xf>
    <xf borderId="16" fillId="0" fontId="2" numFmtId="0" xfId="0" applyBorder="1" applyFont="1"/>
    <xf borderId="11" fillId="0" fontId="8" numFmtId="0" xfId="0" applyAlignment="1" applyBorder="1" applyFont="1">
      <alignment horizontal="right" readingOrder="0" shrinkToFit="0" vertical="center" wrapText="1"/>
    </xf>
    <xf borderId="17" fillId="0" fontId="2" numFmtId="0" xfId="0" applyBorder="1" applyFont="1"/>
    <xf borderId="0" fillId="0" fontId="7" numFmtId="0" xfId="0" applyAlignment="1" applyFont="1">
      <alignment shrinkToFit="0" wrapText="0"/>
    </xf>
    <xf borderId="18" fillId="0" fontId="5" numFmtId="0" xfId="0" applyAlignment="1" applyBorder="1" applyFont="1">
      <alignment readingOrder="0" shrinkToFit="0" vertical="center" wrapText="0"/>
    </xf>
    <xf borderId="19" fillId="0" fontId="9" numFmtId="0" xfId="0" applyAlignment="1" applyBorder="1" applyFont="1">
      <alignment horizontal="center" readingOrder="0" shrinkToFit="0" vertical="center" wrapText="1"/>
    </xf>
    <xf borderId="0" fillId="0" fontId="5" numFmtId="0" xfId="0" applyAlignment="1" applyFont="1">
      <alignment readingOrder="0" shrinkToFit="0" vertical="center" wrapText="0"/>
    </xf>
    <xf borderId="15" fillId="0" fontId="8" numFmtId="0" xfId="0" applyAlignment="1" applyBorder="1" applyFont="1">
      <alignment readingOrder="0" vertical="center"/>
    </xf>
    <xf borderId="18" fillId="0" fontId="2" numFmtId="0" xfId="0" applyBorder="1" applyFont="1"/>
    <xf borderId="0" fillId="0" fontId="10" numFmtId="0" xfId="0" applyFont="1"/>
    <xf borderId="19" fillId="0" fontId="11" numFmtId="0" xfId="0" applyAlignment="1" applyBorder="1" applyFont="1">
      <alignment horizontal="center" readingOrder="0" shrinkToFit="0" vertical="center" wrapText="1"/>
    </xf>
    <xf borderId="20" fillId="3" fontId="7" numFmtId="0" xfId="0" applyAlignment="1" applyBorder="1" applyFill="1" applyFont="1">
      <alignment horizontal="center" readingOrder="0" shrinkToFit="0" vertical="center" wrapText="1"/>
    </xf>
    <xf borderId="0" fillId="0" fontId="10" numFmtId="0" xfId="0" applyAlignment="1" applyFont="1">
      <alignment readingOrder="0" shrinkToFit="0" wrapText="0"/>
    </xf>
    <xf borderId="0" fillId="0" fontId="8" numFmtId="0" xfId="0" applyAlignment="1" applyFont="1">
      <alignment horizontal="right" readingOrder="0" shrinkToFit="0" vertical="center" wrapText="1"/>
    </xf>
    <xf borderId="13" fillId="3" fontId="7" numFmtId="0" xfId="0" applyAlignment="1" applyBorder="1" applyFill="1" applyFont="1">
      <alignment horizontal="center" readingOrder="0" shrinkToFit="0" vertical="center" wrapText="1"/>
    </xf>
    <xf borderId="0" fillId="2" fontId="6" numFmtId="0" xfId="0" applyAlignment="1" applyFill="1" applyFont="1">
      <alignment horizontal="center" shrinkToFit="1" vertical="center" wrapText="0"/>
    </xf>
    <xf borderId="0" fillId="0" fontId="10" numFmtId="0" xfId="0" applyAlignment="1" applyFont="1">
      <alignment shrinkToFit="0" vertical="top" wrapText="0"/>
    </xf>
    <xf borderId="0" fillId="2" fontId="6" numFmtId="0" xfId="0" applyAlignment="1" applyFill="1" applyFont="1">
      <alignment shrinkToFit="1" vertical="top" wrapText="0"/>
    </xf>
    <xf borderId="0" fillId="0" fontId="10" numFmtId="0" xfId="0" applyAlignment="1" applyFont="1">
      <alignment shrinkToFit="0" wrapText="0"/>
    </xf>
    <xf borderId="0" fillId="0" fontId="12" numFmtId="0" xfId="0" applyAlignment="1" applyFont="1">
      <alignment shrinkToFit="0" vertical="top" wrapText="0"/>
    </xf>
    <xf borderId="21" fillId="0" fontId="10" numFmtId="0" xfId="0" applyAlignment="1" applyBorder="1" applyFont="1">
      <alignment shrinkToFit="0" vertical="top" wrapText="0"/>
    </xf>
    <xf borderId="0" fillId="2" fontId="13" numFmtId="0" xfId="0" applyAlignment="1" applyFill="1" applyFont="1">
      <alignment shrinkToFit="0" vertical="top" wrapText="0"/>
    </xf>
    <xf borderId="20" fillId="0" fontId="10" numFmtId="0" xfId="0" applyAlignment="1" applyBorder="1" applyFont="1">
      <alignment horizontal="center" readingOrder="0" shrinkToFit="0" vertical="center" wrapText="1"/>
    </xf>
    <xf borderId="22" fillId="0" fontId="10" numFmtId="0" xfId="0" applyAlignment="1" applyBorder="1" applyFont="1">
      <alignment shrinkToFit="0" vertical="top" wrapText="0"/>
    </xf>
    <xf borderId="0" fillId="0" fontId="7" numFmtId="0" xfId="0" applyAlignment="1" applyFont="1">
      <alignment readingOrder="0" shrinkToFit="0" wrapText="0"/>
    </xf>
    <xf borderId="13" fillId="0" fontId="10" numFmtId="0" xfId="0" applyAlignment="1" applyBorder="1" applyFont="1">
      <alignment horizontal="left" readingOrder="0" shrinkToFit="0" vertical="center" wrapText="1"/>
    </xf>
    <xf borderId="23" fillId="0" fontId="10" numFmtId="0" xfId="0" applyAlignment="1" applyBorder="1" applyFont="1">
      <alignment shrinkToFit="0" vertical="top" wrapText="0"/>
    </xf>
    <xf borderId="20" fillId="3" fontId="7" numFmtId="0" xfId="0" applyAlignment="1" applyBorder="1" applyFill="1" applyFont="1">
      <alignment readingOrder="0" shrinkToFit="0" wrapText="0"/>
    </xf>
    <xf borderId="0" fillId="2" fontId="14" numFmtId="0" xfId="0" applyAlignment="1" applyFill="1" applyFont="1">
      <alignment shrinkToFit="0" vertical="top" wrapText="0"/>
    </xf>
    <xf borderId="24" fillId="0" fontId="10" numFmtId="0" xfId="0" applyAlignment="1" applyBorder="1" applyFont="1">
      <alignment shrinkToFit="0" vertical="top" wrapText="0"/>
    </xf>
    <xf borderId="13" fillId="0" fontId="10" numFmtId="165" xfId="0" applyAlignment="1" applyBorder="1" applyFont="1" applyNumberFormat="1">
      <alignment horizontal="left" readingOrder="0" shrinkToFit="0" vertical="center" wrapText="1"/>
    </xf>
    <xf borderId="13" fillId="0" fontId="10" numFmtId="0" xfId="0" applyAlignment="1" applyBorder="1" applyFont="1">
      <alignment readingOrder="0"/>
    </xf>
    <xf borderId="25" fillId="2" fontId="6" numFmtId="0" xfId="0" applyAlignment="1" applyBorder="1" applyFill="1" applyFont="1">
      <alignment horizontal="center" shrinkToFit="1" vertical="center" wrapText="0"/>
    </xf>
    <xf borderId="25" fillId="2" fontId="7" numFmtId="0" xfId="0" applyAlignment="1" applyBorder="1" applyFill="1" applyFont="1">
      <alignment horizontal="center" shrinkToFit="1" vertical="center" wrapText="0"/>
    </xf>
    <xf borderId="26" fillId="2" fontId="6" numFmtId="0" xfId="0" applyAlignment="1" applyBorder="1" applyFill="1" applyFont="1">
      <alignment shrinkToFit="1" vertical="top" wrapText="0"/>
    </xf>
    <xf borderId="20" fillId="3" fontId="7" numFmtId="0" xfId="0" applyAlignment="1" applyBorder="1" applyFill="1" applyFont="1">
      <alignment horizontal="center" shrinkToFit="1" vertical="center" wrapText="0"/>
    </xf>
    <xf borderId="20" fillId="3" fontId="15" numFmtId="0" xfId="0" applyAlignment="1" applyBorder="1" applyFill="1" applyFont="1">
      <alignment horizontal="center" shrinkToFit="0" vertical="center" wrapText="0"/>
    </xf>
    <xf borderId="13" fillId="0" fontId="10" numFmtId="0" xfId="0" applyAlignment="1" applyBorder="1" applyFont="1">
      <alignment readingOrder="0" shrinkToFit="0" wrapText="1"/>
    </xf>
    <xf quotePrefix="1" borderId="20" fillId="0" fontId="10" numFmtId="0" xfId="0" applyAlignment="1" applyBorder="1" applyFont="1">
      <alignment horizontal="center" readingOrder="0" shrinkToFit="0" vertical="center" wrapText="1"/>
    </xf>
    <xf borderId="27" fillId="0" fontId="10" numFmtId="0" xfId="0" applyAlignment="1" applyBorder="1" applyFont="1">
      <alignment shrinkToFit="0" vertical="top" wrapText="0"/>
    </xf>
    <xf borderId="20" fillId="3" fontId="15" numFmtId="0" xfId="0" applyAlignment="1" applyBorder="1" applyFill="1" applyFont="1">
      <alignment horizontal="center" readingOrder="0" shrinkToFit="1" vertical="center" wrapText="0"/>
    </xf>
    <xf borderId="1" fillId="0" fontId="10" numFmtId="0" xfId="0" applyAlignment="1" applyBorder="1" applyFont="1">
      <alignment horizontal="left" readingOrder="0" shrinkToFit="0" vertical="center" wrapText="1"/>
    </xf>
    <xf borderId="26" fillId="2" fontId="14" numFmtId="0" xfId="0" applyAlignment="1" applyBorder="1" applyFill="1" applyFont="1">
      <alignment shrinkToFit="0" vertical="top" wrapText="0"/>
    </xf>
    <xf borderId="0" fillId="0" fontId="10" numFmtId="0" xfId="0" applyAlignment="1" applyFont="1">
      <alignment horizontal="center" shrinkToFit="1" vertical="center" wrapText="0"/>
    </xf>
    <xf borderId="28" fillId="2" fontId="14" numFmtId="0" xfId="0" applyAlignment="1" applyBorder="1" applyFill="1" applyFont="1">
      <alignment shrinkToFit="0" vertical="top" wrapText="0"/>
    </xf>
    <xf borderId="20" fillId="0" fontId="10" numFmtId="0" xfId="0" applyAlignment="1" applyBorder="1" applyFont="1">
      <alignment horizontal="center" shrinkToFit="1" vertical="center" wrapText="0"/>
    </xf>
    <xf borderId="29" fillId="2" fontId="6" numFmtId="164" xfId="0" applyAlignment="1" applyBorder="1" applyFill="1" applyFont="1" applyNumberFormat="1">
      <alignment horizontal="center" shrinkToFit="1" vertical="center" wrapText="0"/>
    </xf>
    <xf borderId="20" fillId="0" fontId="10" numFmtId="0" xfId="0" applyAlignment="1" applyBorder="1" applyFont="1">
      <alignment shrinkToFit="1" vertical="center" wrapText="0"/>
    </xf>
    <xf borderId="25" fillId="2" fontId="7" numFmtId="0" xfId="0" applyAlignment="1" applyBorder="1" applyFill="1" applyFont="1">
      <alignment shrinkToFit="1" vertical="top" wrapText="0"/>
    </xf>
    <xf borderId="0" fillId="0" fontId="10" numFmtId="0" xfId="0" applyAlignment="1" applyFont="1">
      <alignment shrinkToFit="0" wrapText="1"/>
    </xf>
    <xf borderId="30" fillId="2" fontId="6" numFmtId="0" xfId="0" applyAlignment="1" applyBorder="1" applyFill="1" applyFont="1">
      <alignment horizontal="center" shrinkToFit="1" vertical="center" wrapText="0"/>
    </xf>
    <xf borderId="15" fillId="0" fontId="0" numFmtId="0" xfId="0" applyAlignment="1" applyBorder="1" applyFont="1">
      <alignment horizontal="left" readingOrder="0" shrinkToFit="0" vertical="center" wrapText="1"/>
    </xf>
    <xf borderId="13" fillId="0" fontId="0" numFmtId="0" xfId="0" applyAlignment="1" applyBorder="1" applyFont="1">
      <alignment horizontal="left" readingOrder="0" shrinkToFit="0" vertical="center" wrapText="1"/>
    </xf>
    <xf borderId="20" fillId="2" fontId="0" numFmtId="0" xfId="0" applyAlignment="1" applyBorder="1" applyFill="1" applyFont="1">
      <alignment horizontal="center" shrinkToFit="0" vertical="center" wrapText="0"/>
    </xf>
    <xf borderId="20" fillId="0" fontId="15" numFmtId="0" xfId="0" applyAlignment="1" applyBorder="1" applyFont="1">
      <alignment horizontal="center" readingOrder="0" shrinkToFit="0" vertical="center" wrapText="1"/>
    </xf>
    <xf borderId="20" fillId="0" fontId="16" numFmtId="0" xfId="0" applyAlignment="1" applyBorder="1" applyFont="1">
      <alignment horizontal="center" readingOrder="0" shrinkToFit="0" vertical="center" wrapText="1"/>
    </xf>
    <xf borderId="13" fillId="0" fontId="17" numFmtId="0" xfId="0" applyAlignment="1" applyBorder="1" applyFont="1">
      <alignment horizontal="left" readingOrder="0" shrinkToFit="0" vertical="center" wrapText="1"/>
    </xf>
    <xf borderId="13" fillId="0" fontId="16" numFmtId="49" xfId="0" applyAlignment="1" applyBorder="1" applyFont="1" applyNumberFormat="1">
      <alignment horizontal="left" readingOrder="0" shrinkToFit="0" vertical="center" wrapText="1"/>
    </xf>
    <xf borderId="19" fillId="0" fontId="7" numFmtId="49" xfId="0" applyAlignment="1" applyBorder="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20" fillId="2" fontId="18" numFmtId="3" xfId="0" applyAlignment="1" applyBorder="1" applyFill="1" applyFont="1" applyNumberFormat="1">
      <alignment horizontal="center" shrinkToFit="1" vertical="center" wrapText="0"/>
    </xf>
    <xf borderId="27" fillId="2" fontId="6" numFmtId="164" xfId="0" applyAlignment="1" applyBorder="1" applyFill="1" applyFont="1" applyNumberFormat="1">
      <alignment horizontal="center" shrinkToFit="1" vertical="center" wrapText="0"/>
    </xf>
    <xf borderId="18" fillId="0" fontId="7" numFmtId="49" xfId="0" applyAlignment="1" applyBorder="1" applyFont="1" applyNumberFormat="1">
      <alignment horizontal="left" readingOrder="0" shrinkToFit="0" vertical="center" wrapText="1"/>
    </xf>
    <xf borderId="24" fillId="2" fontId="7" numFmtId="0" xfId="0" applyAlignment="1" applyBorder="1" applyFill="1" applyFont="1">
      <alignment shrinkToFit="1" vertical="top" wrapText="0"/>
    </xf>
    <xf borderId="24" fillId="2" fontId="6" numFmtId="0" xfId="0" applyAlignment="1" applyBorder="1" applyFill="1" applyFont="1">
      <alignment horizontal="center" shrinkToFit="1" vertical="center" wrapText="0"/>
    </xf>
    <xf borderId="19" fillId="0" fontId="9" numFmtId="49" xfId="0" applyAlignment="1" applyBorder="1" applyFont="1" applyNumberFormat="1">
      <alignment horizontal="left" readingOrder="0" shrinkToFit="0" vertical="center" wrapText="1"/>
    </xf>
    <xf borderId="0" fillId="0" fontId="9" numFmtId="49" xfId="0" applyAlignment="1" applyFont="1" applyNumberFormat="1">
      <alignment horizontal="left" readingOrder="0" shrinkToFit="0" vertical="center" wrapText="1"/>
    </xf>
    <xf borderId="18" fillId="0" fontId="9" numFmtId="49" xfId="0" applyAlignment="1" applyBorder="1" applyFont="1" applyNumberFormat="1">
      <alignment horizontal="left" readingOrder="0" shrinkToFit="0" vertical="center" wrapText="1"/>
    </xf>
    <xf borderId="20" fillId="0" fontId="10" numFmtId="3" xfId="0" applyAlignment="1" applyBorder="1" applyFont="1" applyNumberFormat="1">
      <alignment horizontal="center" shrinkToFit="1" vertical="center" wrapText="0"/>
    </xf>
    <xf borderId="20" fillId="2" fontId="0" numFmtId="9" xfId="0" applyAlignment="1" applyBorder="1" applyFill="1" applyFont="1" applyNumberFormat="1">
      <alignment horizontal="center" shrinkToFit="0" vertical="center" wrapText="0"/>
    </xf>
    <xf borderId="31" fillId="0" fontId="9" numFmtId="49" xfId="0" applyAlignment="1" applyBorder="1" applyFont="1" applyNumberFormat="1">
      <alignment horizontal="left" readingOrder="0" shrinkToFit="0" vertical="center" wrapText="1"/>
    </xf>
    <xf borderId="32" fillId="0" fontId="9" numFmtId="49" xfId="0" applyAlignment="1" applyBorder="1" applyFont="1" applyNumberFormat="1">
      <alignment horizontal="left" readingOrder="0" shrinkToFit="0" vertical="center" wrapText="1"/>
    </xf>
    <xf borderId="14" fillId="0" fontId="9" numFmtId="49" xfId="0" applyAlignment="1" applyBorder="1" applyFont="1" applyNumberFormat="1">
      <alignment horizontal="left" readingOrder="0" shrinkToFit="0" vertical="center" wrapText="1"/>
    </xf>
    <xf borderId="20" fillId="2" fontId="18" numFmtId="9" xfId="0" applyAlignment="1" applyBorder="1" applyFill="1" applyFont="1" applyNumberFormat="1">
      <alignment horizontal="center" shrinkToFit="1" vertical="center" wrapText="0"/>
    </xf>
    <xf borderId="24" fillId="2" fontId="6" numFmtId="164" xfId="0" applyAlignment="1" applyBorder="1" applyFill="1" applyFont="1" applyNumberFormat="1">
      <alignment horizontal="center" shrinkToFit="1" vertical="center" wrapText="0"/>
    </xf>
    <xf borderId="24" fillId="2" fontId="6" numFmtId="0" xfId="0" applyAlignment="1" applyBorder="1" applyFill="1" applyFont="1">
      <alignment horizontal="left" readingOrder="0" shrinkToFit="0" vertical="center" wrapText="0"/>
    </xf>
    <xf borderId="33" fillId="2" fontId="6" numFmtId="164" xfId="0" applyAlignment="1" applyBorder="1" applyFill="1" applyFont="1" applyNumberFormat="1">
      <alignment horizontal="center" shrinkToFit="1" vertical="center" wrapText="0"/>
    </xf>
    <xf borderId="24" fillId="2" fontId="6" numFmtId="0" xfId="0" applyAlignment="1" applyBorder="1" applyFill="1" applyFont="1">
      <alignment horizontal="left" shrinkToFit="0" vertical="center" wrapText="0"/>
    </xf>
    <xf borderId="24" fillId="2" fontId="6" numFmtId="0" xfId="0" applyAlignment="1" applyBorder="1" applyFill="1" applyFont="1">
      <alignment shrinkToFit="1" vertical="top" wrapText="0"/>
    </xf>
    <xf borderId="23" fillId="2" fontId="10" numFmtId="0" xfId="0" applyAlignment="1" applyBorder="1" applyFill="1" applyFont="1">
      <alignment horizontal="left" readingOrder="0" shrinkToFit="0" vertical="center" wrapText="0"/>
    </xf>
    <xf borderId="23" fillId="2" fontId="7" numFmtId="0" xfId="0" applyAlignment="1" applyBorder="1" applyFill="1" applyFont="1">
      <alignment shrinkToFit="1" vertical="top" wrapText="0"/>
    </xf>
    <xf borderId="23" fillId="2" fontId="6" numFmtId="0" xfId="0" applyAlignment="1" applyBorder="1" applyFill="1" applyFont="1">
      <alignment shrinkToFit="1" vertical="top" wrapText="0"/>
    </xf>
    <xf borderId="23" fillId="2" fontId="6" numFmtId="164" xfId="0" applyAlignment="1" applyBorder="1" applyFill="1" applyFont="1" applyNumberFormat="1">
      <alignment horizontal="center" shrinkToFit="1" vertical="center" wrapText="0"/>
    </xf>
    <xf borderId="23" fillId="2" fontId="6" numFmtId="0" xfId="0" applyAlignment="1" applyBorder="1" applyFill="1" applyFont="1">
      <alignment horizontal="center" shrinkToFit="1" vertical="center" wrapText="0"/>
    </xf>
    <xf borderId="34" fillId="3" fontId="7" numFmtId="0" xfId="0" applyAlignment="1" applyBorder="1" applyFill="1" applyFont="1">
      <alignment horizontal="center" readingOrder="0" shrinkToFit="1" vertical="center" wrapText="0"/>
    </xf>
    <xf borderId="34" fillId="3" fontId="19" numFmtId="0" xfId="0" applyAlignment="1" applyBorder="1" applyFill="1" applyFont="1">
      <alignment horizontal="center" vertical="center"/>
    </xf>
    <xf borderId="0" fillId="0" fontId="7" numFmtId="0" xfId="0" applyAlignment="1" applyFont="1">
      <alignment horizontal="center" shrinkToFit="0" vertical="center" wrapText="0"/>
    </xf>
    <xf borderId="34" fillId="3" fontId="19" numFmtId="0" xfId="0" applyAlignment="1" applyBorder="1" applyFill="1" applyFont="1">
      <alignment horizontal="center" vertical="center"/>
    </xf>
    <xf borderId="20" fillId="0" fontId="7" numFmtId="0" xfId="0" applyAlignment="1" applyBorder="1" applyFont="1">
      <alignment horizontal="center" shrinkToFit="0" vertical="center" wrapText="0"/>
    </xf>
    <xf borderId="34" fillId="3" fontId="7" numFmtId="0" xfId="0" applyAlignment="1" applyBorder="1" applyFill="1" applyFont="1">
      <alignment horizontal="center" shrinkToFit="1" vertical="center" wrapText="0"/>
    </xf>
    <xf borderId="20" fillId="0" fontId="7" numFmtId="0" xfId="0" applyAlignment="1" applyBorder="1" applyFont="1">
      <alignment shrinkToFit="0" vertical="center" wrapText="0"/>
    </xf>
    <xf borderId="34" fillId="3" fontId="7" numFmtId="0" xfId="0" applyAlignment="1" applyBorder="1" applyFill="1" applyFont="1">
      <alignment horizontal="center" readingOrder="0" shrinkToFit="0" vertical="center" wrapText="1"/>
    </xf>
    <xf borderId="34" fillId="3" fontId="20" numFmtId="0" xfId="0" applyBorder="1" applyFill="1" applyFont="1"/>
    <xf borderId="34" fillId="3" fontId="19" numFmtId="0" xfId="0" applyAlignment="1" applyBorder="1" applyFill="1" applyFont="1">
      <alignment shrinkToFit="0" wrapText="1"/>
    </xf>
    <xf borderId="20" fillId="0" fontId="7" numFmtId="3" xfId="0" applyAlignment="1" applyBorder="1" applyFont="1" applyNumberFormat="1">
      <alignment horizontal="center" shrinkToFit="0" vertical="center" wrapText="0"/>
    </xf>
    <xf borderId="27" fillId="0" fontId="7" numFmtId="0" xfId="0" applyAlignment="1" applyBorder="1" applyFont="1">
      <alignment shrinkToFit="0" vertical="top" wrapText="0"/>
    </xf>
    <xf borderId="24" fillId="0" fontId="7" numFmtId="0" xfId="0" applyAlignment="1" applyBorder="1" applyFont="1">
      <alignment shrinkToFit="0" vertical="top" wrapText="0"/>
    </xf>
    <xf borderId="35" fillId="0" fontId="20" numFmtId="0" xfId="0" applyAlignment="1" applyBorder="1" applyFont="1">
      <alignment horizontal="center" shrinkToFit="0" vertical="top" wrapText="1"/>
    </xf>
    <xf borderId="0" fillId="0" fontId="7" numFmtId="0" xfId="0" applyAlignment="1" applyFont="1">
      <alignment shrinkToFit="0" vertical="top" wrapText="0"/>
    </xf>
    <xf borderId="35" fillId="0" fontId="20" numFmtId="0" xfId="0" applyAlignment="1" applyBorder="1" applyFont="1">
      <alignment shrinkToFit="0" vertical="top" wrapText="1"/>
    </xf>
    <xf borderId="35" fillId="0" fontId="20" numFmtId="0" xfId="0" applyAlignment="1" applyBorder="1" applyFont="1">
      <alignment vertical="top"/>
    </xf>
    <xf borderId="24" fillId="0" fontId="10" numFmtId="0" xfId="0" applyAlignment="1" applyBorder="1" applyFont="1">
      <alignment horizontal="left" shrinkToFit="1" vertical="top" wrapText="0"/>
    </xf>
    <xf borderId="35" fillId="0" fontId="20" numFmtId="49" xfId="0" applyAlignment="1" applyBorder="1" applyFont="1" applyNumberFormat="1">
      <alignment vertical="top"/>
    </xf>
    <xf borderId="35" fillId="0" fontId="20" numFmtId="49" xfId="0" applyAlignment="1" applyBorder="1" applyFont="1" applyNumberFormat="1">
      <alignment shrinkToFit="0" vertical="top" wrapText="1"/>
    </xf>
    <xf borderId="0" fillId="0" fontId="0" numFmtId="0" xfId="0" applyAlignment="1" applyFont="1">
      <alignment shrinkToFit="0" vertical="top" wrapText="0"/>
    </xf>
    <xf borderId="34" fillId="0" fontId="10" numFmtId="0" xfId="0" applyAlignment="1" applyBorder="1" applyFont="1">
      <alignment horizontal="center" readingOrder="0" shrinkToFit="0" vertical="center" wrapText="1"/>
    </xf>
    <xf borderId="35" fillId="0" fontId="20" numFmtId="0" xfId="0" applyAlignment="1" applyBorder="1" applyFont="1">
      <alignment horizontal="center" shrinkToFit="0" wrapText="1"/>
    </xf>
    <xf borderId="35" fillId="0" fontId="4" numFmtId="0" xfId="0" applyAlignment="1" applyBorder="1" applyFont="1">
      <alignment shrinkToFit="0" vertical="top" wrapText="1"/>
    </xf>
    <xf borderId="35" fillId="0" fontId="20" numFmtId="0" xfId="0" applyBorder="1" applyFont="1"/>
    <xf borderId="34" fillId="0" fontId="20" numFmtId="0" xfId="0" applyBorder="1" applyFont="1"/>
    <xf borderId="34" fillId="0" fontId="20" numFmtId="0" xfId="0" applyAlignment="1" applyBorder="1" applyFont="1">
      <alignment horizontal="center" shrinkToFit="0" vertical="top" wrapText="1"/>
    </xf>
    <xf borderId="34" fillId="0" fontId="20" numFmtId="0" xfId="0" applyAlignment="1" applyBorder="1" applyFont="1">
      <alignment shrinkToFit="0" vertical="top" wrapText="1"/>
    </xf>
    <xf borderId="34" fillId="0" fontId="20" numFmtId="0" xfId="0" applyAlignment="1" applyBorder="1" applyFont="1">
      <alignment vertical="top"/>
    </xf>
    <xf borderId="34" fillId="0" fontId="20" numFmtId="49" xfId="0" applyAlignment="1" applyBorder="1" applyFont="1" applyNumberFormat="1">
      <alignment vertical="top"/>
    </xf>
    <xf borderId="34" fillId="0" fontId="20" numFmtId="49" xfId="0" applyAlignment="1" applyBorder="1" applyFont="1" applyNumberFormat="1">
      <alignment shrinkToFit="0" vertical="top" wrapText="1"/>
    </xf>
    <xf borderId="34" fillId="0" fontId="20" numFmtId="0" xfId="0" applyAlignment="1" applyBorder="1" applyFont="1">
      <alignment horizontal="center" shrinkToFit="0" wrapText="1"/>
    </xf>
    <xf borderId="34" fillId="0" fontId="4" numFmtId="0" xfId="0" applyAlignment="1" applyBorder="1" applyFont="1">
      <alignment shrinkToFit="0" vertical="top" wrapText="1"/>
    </xf>
    <xf borderId="36" fillId="3" fontId="20" numFmtId="0" xfId="0" applyBorder="1" applyFill="1" applyFont="1"/>
    <xf borderId="36" fillId="3" fontId="19" numFmtId="0" xfId="0" applyAlignment="1" applyBorder="1" applyFill="1" applyFont="1">
      <alignment readingOrder="0" shrinkToFit="0" vertical="top" wrapText="1"/>
    </xf>
    <xf borderId="37" fillId="3" fontId="20" numFmtId="0" xfId="0" applyAlignment="1" applyBorder="1" applyFill="1" applyFont="1">
      <alignment vertical="top"/>
    </xf>
    <xf borderId="38" fillId="3" fontId="20" numFmtId="0" xfId="0" applyAlignment="1" applyBorder="1" applyFill="1" applyFont="1">
      <alignment vertical="top"/>
    </xf>
    <xf borderId="39" fillId="3" fontId="20" numFmtId="0" xfId="0" applyAlignment="1" applyBorder="1" applyFill="1" applyFont="1">
      <alignment vertical="top"/>
    </xf>
    <xf borderId="35" fillId="3" fontId="20" numFmtId="0" xfId="0" applyBorder="1" applyFill="1" applyFont="1"/>
    <xf borderId="40" fillId="0" fontId="21" numFmtId="0" xfId="0" applyAlignment="1" applyBorder="1" applyFont="1">
      <alignment shrinkToFit="0" vertical="top" wrapText="1"/>
    </xf>
    <xf borderId="41" fillId="0" fontId="20" numFmtId="0" xfId="0" applyAlignment="1" applyBorder="1" applyFont="1">
      <alignment vertical="top"/>
    </xf>
    <xf borderId="34" fillId="0" fontId="22" numFmtId="0" xfId="0" applyAlignment="1" applyBorder="1" applyFont="1">
      <alignment shrinkToFit="0" vertical="top" wrapText="1"/>
    </xf>
    <xf borderId="34" fillId="0" fontId="23" numFmtId="0" xfId="0" applyAlignment="1" applyBorder="1" applyFont="1">
      <alignment shrinkToFit="0" vertical="top" wrapText="1"/>
    </xf>
    <xf borderId="36" fillId="3" fontId="19" numFmtId="0" xfId="0" applyAlignment="1" applyBorder="1" applyFill="1" applyFont="1">
      <alignment shrinkToFit="0" vertical="top" wrapText="1"/>
    </xf>
    <xf borderId="41" fillId="3" fontId="20" numFmtId="0" xfId="0" applyAlignment="1" applyBorder="1" applyFill="1" applyFont="1">
      <alignment vertical="top"/>
    </xf>
    <xf borderId="34" fillId="0" fontId="21" numFmtId="0" xfId="0" applyAlignment="1" applyBorder="1" applyFont="1">
      <alignment shrinkToFit="0" vertical="top" wrapText="1"/>
    </xf>
    <xf borderId="41" fillId="0" fontId="2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33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66700" cy="1524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5.75"/>
    <col customWidth="1" min="2" max="2" width="4.63"/>
    <col customWidth="1" min="3" max="3" width="6.38"/>
    <col customWidth="1" min="4" max="4" width="3.5"/>
    <col customWidth="1" min="5" max="9" width="9.75"/>
    <col customWidth="1" min="10" max="11" width="16.63"/>
  </cols>
  <sheetData>
    <row r="1" ht="22.5" customHeight="1">
      <c r="A1" s="1"/>
      <c r="B1" s="2"/>
      <c r="C1" s="2"/>
      <c r="D1" s="2"/>
      <c r="E1" s="3" t="s">
        <v>0</v>
      </c>
      <c r="F1" s="2"/>
      <c r="G1" s="2"/>
      <c r="H1" s="2"/>
      <c r="I1" s="2"/>
      <c r="J1" s="6" t="s">
        <v>1</v>
      </c>
      <c r="K1" s="8"/>
    </row>
    <row r="2" ht="22.5" customHeight="1">
      <c r="A2" s="7"/>
      <c r="E2" s="7"/>
      <c r="J2" s="12" t="s">
        <v>2</v>
      </c>
      <c r="K2" s="14"/>
    </row>
    <row r="3" ht="22.5" customHeight="1">
      <c r="A3" s="7"/>
      <c r="E3" s="7"/>
      <c r="J3" s="17" t="s">
        <v>3</v>
      </c>
      <c r="K3" s="19"/>
    </row>
    <row r="4" ht="22.5" customHeight="1">
      <c r="A4" s="20" t="s">
        <v>4</v>
      </c>
      <c r="B4" s="22"/>
      <c r="C4" s="22"/>
      <c r="D4" s="22"/>
      <c r="E4" s="22"/>
      <c r="F4" s="22"/>
      <c r="G4" s="22"/>
      <c r="H4" s="22"/>
      <c r="I4" s="24"/>
      <c r="J4" s="25" t="s">
        <v>5</v>
      </c>
      <c r="K4" s="19"/>
    </row>
    <row r="5" ht="16.5" customHeight="1">
      <c r="A5" s="29"/>
      <c r="K5" s="32"/>
    </row>
    <row r="6" ht="31.5" customHeight="1">
      <c r="A6" s="34" t="s">
        <v>7</v>
      </c>
      <c r="K6" s="32"/>
    </row>
    <row r="7" ht="20.25" customHeight="1">
      <c r="A7" s="35" t="s">
        <v>8</v>
      </c>
      <c r="B7" s="38" t="s">
        <v>10</v>
      </c>
      <c r="C7" s="22"/>
      <c r="D7" s="24"/>
      <c r="E7" s="38" t="s">
        <v>12</v>
      </c>
      <c r="F7" s="22"/>
      <c r="G7" s="22"/>
      <c r="H7" s="22"/>
      <c r="I7" s="24"/>
      <c r="J7" s="38" t="s">
        <v>14</v>
      </c>
      <c r="K7" s="24"/>
    </row>
    <row r="8" ht="22.5" customHeight="1">
      <c r="A8" s="46">
        <v>1.0</v>
      </c>
      <c r="B8" s="49"/>
      <c r="C8" s="22"/>
      <c r="D8" s="24"/>
      <c r="E8" s="49" t="s">
        <v>17</v>
      </c>
      <c r="F8" s="22"/>
      <c r="G8" s="22"/>
      <c r="H8" s="22"/>
      <c r="I8" s="24"/>
      <c r="J8" s="54">
        <v>44320.0</v>
      </c>
      <c r="K8" s="24"/>
    </row>
    <row r="9">
      <c r="A9" s="46"/>
      <c r="B9" s="49"/>
      <c r="C9" s="22"/>
      <c r="D9" s="24"/>
      <c r="E9" s="49" t="s">
        <v>20</v>
      </c>
      <c r="F9" s="22"/>
      <c r="G9" s="22"/>
      <c r="H9" s="22"/>
      <c r="I9" s="24"/>
      <c r="J9" s="54">
        <v>45819.0</v>
      </c>
      <c r="K9" s="24"/>
    </row>
    <row r="10">
      <c r="A10" s="62" t="s">
        <v>30</v>
      </c>
      <c r="B10" s="65" t="s">
        <v>32</v>
      </c>
      <c r="C10" s="2"/>
      <c r="D10" s="8"/>
      <c r="E10" s="65" t="s">
        <v>35</v>
      </c>
      <c r="F10" s="2"/>
      <c r="G10" s="2"/>
      <c r="H10" s="2"/>
      <c r="I10" s="8"/>
      <c r="J10" s="49" t="s">
        <v>37</v>
      </c>
      <c r="K10" s="24"/>
    </row>
    <row r="11" ht="22.5" customHeight="1">
      <c r="A11" s="46"/>
      <c r="B11" s="65"/>
      <c r="C11" s="2"/>
      <c r="D11" s="8"/>
      <c r="E11" s="65"/>
      <c r="F11" s="2"/>
      <c r="G11" s="2"/>
      <c r="H11" s="2"/>
      <c r="I11" s="8"/>
      <c r="J11" s="49"/>
      <c r="K11" s="24"/>
    </row>
    <row r="12" ht="22.5" customHeight="1">
      <c r="A12" s="46"/>
      <c r="B12" s="75"/>
      <c r="C12" s="22"/>
      <c r="D12" s="24"/>
      <c r="E12" s="76"/>
      <c r="F12" s="22"/>
      <c r="G12" s="22"/>
      <c r="H12" s="22"/>
      <c r="I12" s="24"/>
      <c r="J12" s="49"/>
      <c r="K12" s="24"/>
    </row>
    <row r="13" ht="22.5" customHeight="1">
      <c r="A13" s="78"/>
      <c r="B13" s="75"/>
      <c r="C13" s="22"/>
      <c r="D13" s="24"/>
      <c r="E13" s="76"/>
      <c r="F13" s="22"/>
      <c r="G13" s="22"/>
      <c r="H13" s="22"/>
      <c r="I13" s="24"/>
      <c r="J13" s="49"/>
      <c r="K13" s="24"/>
    </row>
    <row r="14" ht="22.5" customHeight="1">
      <c r="A14" s="79"/>
      <c r="B14" s="80"/>
      <c r="C14" s="22"/>
      <c r="D14" s="24"/>
      <c r="E14" s="81"/>
      <c r="F14" s="22"/>
      <c r="G14" s="22"/>
      <c r="H14" s="22"/>
      <c r="I14" s="24"/>
      <c r="J14" s="49"/>
      <c r="K14" s="24"/>
    </row>
    <row r="15" ht="22.5" customHeight="1">
      <c r="A15" s="82"/>
      <c r="B15" s="83"/>
      <c r="C15" s="83"/>
      <c r="D15" s="83"/>
      <c r="E15" s="83"/>
      <c r="F15" s="83"/>
      <c r="G15" s="83"/>
      <c r="H15" s="83"/>
      <c r="I15" s="83"/>
      <c r="J15" s="83"/>
      <c r="K15" s="86"/>
    </row>
    <row r="16" ht="22.5" customHeight="1">
      <c r="A16" s="82"/>
      <c r="B16" s="83"/>
      <c r="C16" s="83"/>
      <c r="D16" s="83"/>
      <c r="E16" s="83"/>
      <c r="F16" s="83"/>
      <c r="G16" s="83"/>
      <c r="H16" s="83"/>
      <c r="I16" s="83"/>
      <c r="J16" s="83"/>
      <c r="K16" s="86"/>
    </row>
    <row r="17" ht="22.5" customHeight="1">
      <c r="A17" s="89"/>
      <c r="B17" s="90"/>
      <c r="C17" s="90"/>
      <c r="D17" s="90"/>
      <c r="E17" s="90"/>
      <c r="F17" s="90"/>
      <c r="G17" s="90"/>
      <c r="H17" s="90"/>
      <c r="I17" s="90"/>
      <c r="J17" s="90"/>
      <c r="K17" s="91"/>
    </row>
    <row r="18" ht="22.5" customHeight="1">
      <c r="A18" s="89"/>
      <c r="B18" s="90"/>
      <c r="C18" s="90"/>
      <c r="D18" s="90"/>
      <c r="E18" s="90"/>
      <c r="F18" s="90"/>
      <c r="G18" s="90"/>
      <c r="H18" s="90"/>
      <c r="I18" s="90"/>
      <c r="J18" s="90"/>
      <c r="K18" s="91"/>
    </row>
    <row r="19" ht="22.5" customHeight="1">
      <c r="A19" s="89"/>
      <c r="B19" s="90"/>
      <c r="C19" s="90"/>
      <c r="D19" s="90"/>
      <c r="E19" s="90"/>
      <c r="F19" s="90"/>
      <c r="G19" s="90"/>
      <c r="H19" s="90"/>
      <c r="I19" s="90"/>
      <c r="J19" s="90"/>
      <c r="K19" s="91"/>
    </row>
    <row r="20" ht="22.5" customHeight="1">
      <c r="A20" s="89"/>
      <c r="B20" s="90"/>
      <c r="C20" s="90"/>
      <c r="D20" s="90"/>
      <c r="E20" s="90"/>
      <c r="F20" s="90"/>
      <c r="G20" s="90"/>
      <c r="H20" s="90"/>
      <c r="I20" s="90"/>
      <c r="J20" s="90"/>
      <c r="K20" s="91"/>
    </row>
    <row r="21" ht="22.5" customHeight="1">
      <c r="A21" s="89"/>
      <c r="B21" s="90"/>
      <c r="C21" s="90"/>
      <c r="D21" s="90"/>
      <c r="E21" s="90"/>
      <c r="F21" s="90"/>
      <c r="G21" s="90"/>
      <c r="H21" s="90"/>
      <c r="I21" s="90"/>
      <c r="J21" s="90"/>
      <c r="K21" s="91"/>
    </row>
    <row r="22" ht="22.5" customHeight="1">
      <c r="A22" s="94"/>
      <c r="B22" s="95"/>
      <c r="C22" s="95"/>
      <c r="D22" s="95"/>
      <c r="E22" s="95"/>
      <c r="F22" s="95"/>
      <c r="G22" s="95"/>
      <c r="H22" s="95"/>
      <c r="I22" s="95"/>
      <c r="J22" s="95"/>
      <c r="K22" s="96"/>
    </row>
  </sheetData>
  <mergeCells count="33">
    <mergeCell ref="A1:D3"/>
    <mergeCell ref="E1:I3"/>
    <mergeCell ref="J1:K1"/>
    <mergeCell ref="J2:K2"/>
    <mergeCell ref="J3:K3"/>
    <mergeCell ref="A4:I4"/>
    <mergeCell ref="J4:K4"/>
    <mergeCell ref="A5:K5"/>
    <mergeCell ref="A6:K6"/>
    <mergeCell ref="B7:D7"/>
    <mergeCell ref="E7:I7"/>
    <mergeCell ref="J7:K7"/>
    <mergeCell ref="E8:I8"/>
    <mergeCell ref="J8:K8"/>
    <mergeCell ref="B8:D8"/>
    <mergeCell ref="B9:D9"/>
    <mergeCell ref="E9:I9"/>
    <mergeCell ref="J9:K9"/>
    <mergeCell ref="B10:D10"/>
    <mergeCell ref="E10:I10"/>
    <mergeCell ref="J10:K10"/>
    <mergeCell ref="E13:I13"/>
    <mergeCell ref="J13:K13"/>
    <mergeCell ref="B14:D14"/>
    <mergeCell ref="E14:I14"/>
    <mergeCell ref="J14:K14"/>
    <mergeCell ref="B11:D11"/>
    <mergeCell ref="E11:I11"/>
    <mergeCell ref="J11:K11"/>
    <mergeCell ref="B12:D12"/>
    <mergeCell ref="E12:I12"/>
    <mergeCell ref="J12:K12"/>
    <mergeCell ref="B13:D13"/>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3.25"/>
    <col customWidth="1" min="3" max="3" width="25.25"/>
    <col customWidth="1" min="4" max="4" width="14.63"/>
    <col customWidth="1" min="5" max="5" width="12.38"/>
    <col customWidth="1" min="6" max="6" width="10.75"/>
    <col customWidth="1" min="7" max="7" width="11.88"/>
    <col customWidth="1" min="8" max="8" width="11.75"/>
    <col customWidth="1" min="9" max="9" width="15.13"/>
    <col customWidth="1" min="10" max="10" width="13.75"/>
    <col customWidth="1" min="11" max="11" width="12.88"/>
    <col customWidth="1" min="12" max="14" width="10.13"/>
  </cols>
  <sheetData>
    <row r="1">
      <c r="A1" s="1"/>
      <c r="B1" s="2"/>
      <c r="C1" s="2"/>
      <c r="D1" s="3" t="s">
        <v>0</v>
      </c>
      <c r="E1" s="2"/>
      <c r="F1" s="2"/>
      <c r="G1" s="2"/>
      <c r="H1" s="2"/>
      <c r="I1" s="2"/>
      <c r="J1" s="9" t="s">
        <v>1</v>
      </c>
      <c r="L1" s="14"/>
    </row>
    <row r="2">
      <c r="A2" s="7"/>
      <c r="D2" s="7"/>
      <c r="J2" s="12" t="s">
        <v>2</v>
      </c>
      <c r="L2" s="14"/>
    </row>
    <row r="3">
      <c r="A3" s="7"/>
      <c r="D3" s="7"/>
      <c r="J3" s="17" t="s">
        <v>3</v>
      </c>
      <c r="K3" s="26"/>
      <c r="L3" s="19"/>
    </row>
    <row r="4">
      <c r="A4" s="20" t="s">
        <v>4</v>
      </c>
      <c r="B4" s="31"/>
      <c r="C4" s="31"/>
      <c r="D4" s="31"/>
      <c r="E4" s="31"/>
      <c r="F4" s="31"/>
      <c r="G4" s="31"/>
      <c r="H4" s="31"/>
      <c r="I4" s="31"/>
      <c r="J4" s="25" t="s">
        <v>5</v>
      </c>
      <c r="K4" s="26"/>
      <c r="L4" s="19"/>
    </row>
    <row r="5" ht="12.75" customHeight="1">
      <c r="A5" s="40"/>
      <c r="B5" s="40"/>
      <c r="C5" s="40"/>
      <c r="D5" s="40"/>
      <c r="E5" s="40"/>
      <c r="F5" s="40"/>
      <c r="G5" s="40"/>
      <c r="H5" s="40"/>
      <c r="I5" s="40"/>
      <c r="J5" s="40"/>
      <c r="K5" s="40"/>
      <c r="L5" s="44"/>
      <c r="M5" s="44"/>
      <c r="N5" s="44"/>
    </row>
    <row r="6" ht="12.75" customHeight="1">
      <c r="A6" s="40"/>
      <c r="B6" s="47"/>
      <c r="C6" s="47"/>
      <c r="D6" s="40"/>
      <c r="E6" s="40"/>
      <c r="F6" s="50"/>
      <c r="G6" s="50"/>
      <c r="H6" s="50"/>
      <c r="I6" s="47"/>
      <c r="J6" s="47"/>
      <c r="K6" s="50"/>
      <c r="L6" s="53"/>
      <c r="M6" s="53"/>
      <c r="N6" s="53"/>
    </row>
    <row r="7" ht="16.5" customHeight="1">
      <c r="A7" s="57"/>
      <c r="B7" s="59" t="s">
        <v>22</v>
      </c>
      <c r="C7" s="59" t="s">
        <v>25</v>
      </c>
      <c r="D7" s="59" t="s">
        <v>18</v>
      </c>
      <c r="E7" s="59" t="s">
        <v>21</v>
      </c>
      <c r="F7" s="59" t="s">
        <v>26</v>
      </c>
      <c r="G7" s="59" t="s">
        <v>27</v>
      </c>
      <c r="H7" s="59" t="s">
        <v>28</v>
      </c>
      <c r="I7" s="59" t="s">
        <v>29</v>
      </c>
      <c r="L7" s="63"/>
      <c r="M7" s="53"/>
      <c r="N7" s="53"/>
    </row>
    <row r="8" ht="16.5" customHeight="1">
      <c r="A8" s="67"/>
      <c r="B8" s="69">
        <v>1.0</v>
      </c>
      <c r="C8" s="71" t="s">
        <v>36</v>
      </c>
      <c r="D8" s="69">
        <f t="shared" ref="D8:D17" si="1">IF($C8 &lt;&gt; "",INDIRECT("'" &amp; $C8 &amp; "'!D7"),"")</f>
        <v>0</v>
      </c>
      <c r="E8" s="69">
        <f t="shared" ref="E8:E17" si="2">IF($C8 &lt;&gt; "",INDIRECT("'" &amp; $C8 &amp; "'!E7"),"")</f>
        <v>0</v>
      </c>
      <c r="F8" s="69">
        <f t="shared" ref="F8:F17" si="3">IF($C8 &lt;&gt; "",INDIRECT("'" &amp; $C8 &amp; "'!F7"),"")</f>
        <v>0</v>
      </c>
      <c r="G8" s="69">
        <f t="shared" ref="G8:G17" si="4">IF($C8 &lt;&gt; "",INDIRECT("'" &amp; $C8 &amp; "'!G7"),"")</f>
        <v>0</v>
      </c>
      <c r="H8" s="92">
        <f t="shared" ref="H8:H17" si="5">IF($C8 &lt;&gt; "",INDIRECT("'" &amp; $C8 &amp; "'!H7"),"")</f>
        <v>10</v>
      </c>
      <c r="I8" s="69">
        <f t="shared" ref="I8:I17" si="6">IF($C8 &lt;&gt; "",INDIRECT("'" &amp; $C8 &amp; "'!C7"),"")</f>
        <v>10</v>
      </c>
      <c r="L8" s="63"/>
      <c r="M8" s="53"/>
      <c r="N8" s="53"/>
    </row>
    <row r="9" ht="12.75" customHeight="1">
      <c r="A9" s="67"/>
      <c r="B9" s="69"/>
      <c r="C9" s="71"/>
      <c r="D9" s="69" t="str">
        <f t="shared" si="1"/>
        <v/>
      </c>
      <c r="E9" s="69" t="str">
        <f t="shared" si="2"/>
        <v/>
      </c>
      <c r="F9" s="69" t="str">
        <f t="shared" si="3"/>
        <v/>
      </c>
      <c r="G9" s="69" t="str">
        <f t="shared" si="4"/>
        <v/>
      </c>
      <c r="H9" s="69" t="str">
        <f t="shared" si="5"/>
        <v/>
      </c>
      <c r="I9" s="69" t="str">
        <f t="shared" si="6"/>
        <v/>
      </c>
      <c r="L9" s="63"/>
      <c r="M9" s="53"/>
      <c r="N9" s="53"/>
    </row>
    <row r="10" ht="12.75" customHeight="1">
      <c r="A10" s="67"/>
      <c r="B10" s="69"/>
      <c r="C10" s="71"/>
      <c r="D10" s="69" t="str">
        <f t="shared" si="1"/>
        <v/>
      </c>
      <c r="E10" s="69" t="str">
        <f t="shared" si="2"/>
        <v/>
      </c>
      <c r="F10" s="69" t="str">
        <f t="shared" si="3"/>
        <v/>
      </c>
      <c r="G10" s="69" t="str">
        <f t="shared" si="4"/>
        <v/>
      </c>
      <c r="H10" s="69" t="str">
        <f t="shared" si="5"/>
        <v/>
      </c>
      <c r="I10" s="69" t="str">
        <f t="shared" si="6"/>
        <v/>
      </c>
      <c r="L10" s="63"/>
      <c r="M10" s="53"/>
      <c r="N10" s="53"/>
    </row>
    <row r="11" ht="12.75" customHeight="1">
      <c r="A11" s="67"/>
      <c r="B11" s="69"/>
      <c r="C11" s="71"/>
      <c r="D11" s="69" t="str">
        <f t="shared" si="1"/>
        <v/>
      </c>
      <c r="E11" s="69" t="str">
        <f t="shared" si="2"/>
        <v/>
      </c>
      <c r="F11" s="69" t="str">
        <f t="shared" si="3"/>
        <v/>
      </c>
      <c r="G11" s="69" t="str">
        <f t="shared" si="4"/>
        <v/>
      </c>
      <c r="H11" s="69" t="str">
        <f t="shared" si="5"/>
        <v/>
      </c>
      <c r="I11" s="69" t="str">
        <f t="shared" si="6"/>
        <v/>
      </c>
      <c r="L11" s="63"/>
      <c r="M11" s="53"/>
      <c r="N11" s="53"/>
    </row>
    <row r="12" ht="12.75" customHeight="1">
      <c r="A12" s="67"/>
      <c r="B12" s="69"/>
      <c r="C12" s="71"/>
      <c r="D12" s="69" t="str">
        <f t="shared" si="1"/>
        <v/>
      </c>
      <c r="E12" s="69" t="str">
        <f t="shared" si="2"/>
        <v/>
      </c>
      <c r="F12" s="69" t="str">
        <f t="shared" si="3"/>
        <v/>
      </c>
      <c r="G12" s="69" t="str">
        <f t="shared" si="4"/>
        <v/>
      </c>
      <c r="H12" s="69" t="str">
        <f t="shared" si="5"/>
        <v/>
      </c>
      <c r="I12" s="69" t="str">
        <f t="shared" si="6"/>
        <v/>
      </c>
      <c r="L12" s="63"/>
      <c r="M12" s="53"/>
      <c r="N12" s="53"/>
    </row>
    <row r="13" ht="12.75" customHeight="1">
      <c r="A13" s="67"/>
      <c r="B13" s="69"/>
      <c r="C13" s="71"/>
      <c r="D13" s="69" t="str">
        <f t="shared" si="1"/>
        <v/>
      </c>
      <c r="E13" s="69" t="str">
        <f t="shared" si="2"/>
        <v/>
      </c>
      <c r="F13" s="69" t="str">
        <f t="shared" si="3"/>
        <v/>
      </c>
      <c r="G13" s="69" t="str">
        <f t="shared" si="4"/>
        <v/>
      </c>
      <c r="H13" s="69" t="str">
        <f t="shared" si="5"/>
        <v/>
      </c>
      <c r="I13" s="69" t="str">
        <f t="shared" si="6"/>
        <v/>
      </c>
      <c r="L13" s="63"/>
      <c r="M13" s="53"/>
      <c r="N13" s="53"/>
    </row>
    <row r="14" ht="12.75" customHeight="1">
      <c r="A14" s="67"/>
      <c r="B14" s="69"/>
      <c r="C14" s="71"/>
      <c r="D14" s="69" t="str">
        <f t="shared" si="1"/>
        <v/>
      </c>
      <c r="E14" s="69" t="str">
        <f t="shared" si="2"/>
        <v/>
      </c>
      <c r="F14" s="69" t="str">
        <f t="shared" si="3"/>
        <v/>
      </c>
      <c r="G14" s="69" t="str">
        <f t="shared" si="4"/>
        <v/>
      </c>
      <c r="H14" s="69" t="str">
        <f t="shared" si="5"/>
        <v/>
      </c>
      <c r="I14" s="69" t="str">
        <f t="shared" si="6"/>
        <v/>
      </c>
      <c r="L14" s="63"/>
      <c r="M14" s="53"/>
      <c r="N14" s="53"/>
    </row>
    <row r="15" ht="12.75" customHeight="1">
      <c r="A15" s="67"/>
      <c r="B15" s="69"/>
      <c r="C15" s="71"/>
      <c r="D15" s="69" t="str">
        <f t="shared" si="1"/>
        <v/>
      </c>
      <c r="E15" s="69" t="str">
        <f t="shared" si="2"/>
        <v/>
      </c>
      <c r="F15" s="69" t="str">
        <f t="shared" si="3"/>
        <v/>
      </c>
      <c r="G15" s="69" t="str">
        <f t="shared" si="4"/>
        <v/>
      </c>
      <c r="H15" s="69" t="str">
        <f t="shared" si="5"/>
        <v/>
      </c>
      <c r="I15" s="69" t="str">
        <f t="shared" si="6"/>
        <v/>
      </c>
      <c r="L15" s="63"/>
      <c r="M15" s="53"/>
      <c r="N15" s="53"/>
    </row>
    <row r="16" ht="12.75" customHeight="1">
      <c r="A16" s="67"/>
      <c r="B16" s="69"/>
      <c r="C16" s="71"/>
      <c r="D16" s="69" t="str">
        <f t="shared" si="1"/>
        <v/>
      </c>
      <c r="E16" s="69" t="str">
        <f t="shared" si="2"/>
        <v/>
      </c>
      <c r="F16" s="69" t="str">
        <f t="shared" si="3"/>
        <v/>
      </c>
      <c r="G16" s="69" t="str">
        <f t="shared" si="4"/>
        <v/>
      </c>
      <c r="H16" s="69" t="str">
        <f t="shared" si="5"/>
        <v/>
      </c>
      <c r="I16" s="69" t="str">
        <f t="shared" si="6"/>
        <v/>
      </c>
      <c r="L16" s="63"/>
      <c r="M16" s="53"/>
      <c r="N16" s="53"/>
    </row>
    <row r="17" ht="12.75" customHeight="1">
      <c r="A17" s="67"/>
      <c r="B17" s="69"/>
      <c r="C17" s="71"/>
      <c r="D17" s="69" t="str">
        <f t="shared" si="1"/>
        <v/>
      </c>
      <c r="E17" s="69" t="str">
        <f t="shared" si="2"/>
        <v/>
      </c>
      <c r="F17" s="69" t="str">
        <f t="shared" si="3"/>
        <v/>
      </c>
      <c r="G17" s="69" t="str">
        <f t="shared" si="4"/>
        <v/>
      </c>
      <c r="H17" s="69" t="str">
        <f t="shared" si="5"/>
        <v/>
      </c>
      <c r="I17" s="69" t="str">
        <f t="shared" si="6"/>
        <v/>
      </c>
      <c r="L17" s="63"/>
      <c r="M17" s="53"/>
      <c r="N17" s="53"/>
    </row>
    <row r="18" ht="12.75" customHeight="1">
      <c r="A18" s="110"/>
      <c r="B18" s="112"/>
      <c r="C18" s="114" t="s">
        <v>29</v>
      </c>
      <c r="D18" s="112">
        <f t="shared" ref="D18:I18" si="7">SUM(D8:D17)</f>
        <v>0</v>
      </c>
      <c r="E18" s="112">
        <f t="shared" si="7"/>
        <v>0</v>
      </c>
      <c r="F18" s="112">
        <f t="shared" si="7"/>
        <v>0</v>
      </c>
      <c r="G18" s="112">
        <f t="shared" si="7"/>
        <v>0</v>
      </c>
      <c r="H18" s="118">
        <f t="shared" si="7"/>
        <v>10</v>
      </c>
      <c r="I18" s="112">
        <f t="shared" si="7"/>
        <v>10</v>
      </c>
      <c r="L18" s="119"/>
      <c r="M18" s="120"/>
      <c r="N18" s="120"/>
    </row>
    <row r="19" ht="12.75" customHeight="1">
      <c r="A19" s="40"/>
      <c r="B19" s="44"/>
      <c r="C19" s="44"/>
      <c r="D19" s="40"/>
      <c r="E19" s="40"/>
      <c r="F19" s="44"/>
      <c r="G19" s="44"/>
      <c r="H19" s="44"/>
      <c r="I19" s="44"/>
      <c r="J19" s="44"/>
      <c r="K19" s="44"/>
      <c r="L19" s="53"/>
      <c r="M19" s="53"/>
      <c r="N19" s="53"/>
    </row>
    <row r="20" ht="12.75" customHeight="1">
      <c r="A20" s="40"/>
      <c r="B20" s="53"/>
      <c r="C20" s="53"/>
      <c r="D20" s="40"/>
      <c r="E20" s="40"/>
      <c r="F20" s="53"/>
      <c r="G20" s="53"/>
      <c r="H20" s="53"/>
      <c r="I20" s="53"/>
      <c r="J20" s="53"/>
      <c r="K20" s="53"/>
      <c r="L20" s="53"/>
      <c r="M20" s="53"/>
      <c r="N20" s="53"/>
    </row>
    <row r="21" ht="12.75" customHeight="1">
      <c r="A21" s="122"/>
      <c r="B21" s="120"/>
      <c r="C21" s="53"/>
      <c r="D21" s="40"/>
      <c r="E21" s="40"/>
      <c r="F21" s="53"/>
      <c r="G21" s="53"/>
      <c r="H21" s="53"/>
      <c r="I21" s="53"/>
      <c r="J21" s="53"/>
      <c r="K21" s="53"/>
      <c r="L21" s="125"/>
      <c r="M21" s="125"/>
      <c r="N21" s="53"/>
    </row>
    <row r="22" ht="12.75" customHeight="1">
      <c r="A22" s="40"/>
      <c r="B22" s="53"/>
      <c r="C22" s="53"/>
      <c r="D22" s="53"/>
      <c r="E22" s="53"/>
      <c r="F22" s="53"/>
      <c r="G22" s="53"/>
      <c r="H22" s="53"/>
      <c r="I22" s="53"/>
      <c r="J22" s="53"/>
      <c r="K22" s="53"/>
      <c r="L22" s="53"/>
      <c r="M22" s="53"/>
      <c r="N22" s="53"/>
    </row>
    <row r="23">
      <c r="A23" s="128"/>
      <c r="B23" s="128"/>
      <c r="C23" s="128"/>
      <c r="D23" s="128"/>
      <c r="E23" s="128"/>
      <c r="F23" s="128"/>
      <c r="G23" s="128"/>
      <c r="H23" s="128"/>
      <c r="I23" s="128"/>
      <c r="J23" s="128"/>
      <c r="K23" s="128"/>
      <c r="L23" s="128"/>
      <c r="M23" s="128"/>
      <c r="N23" s="128"/>
    </row>
    <row r="24">
      <c r="A24" s="128"/>
      <c r="B24" s="128"/>
      <c r="C24" s="128"/>
      <c r="D24" s="128"/>
      <c r="E24" s="128"/>
      <c r="F24" s="128"/>
      <c r="G24" s="128"/>
      <c r="H24" s="128"/>
      <c r="I24" s="128"/>
      <c r="J24" s="128"/>
      <c r="K24" s="128"/>
      <c r="L24" s="128"/>
      <c r="M24" s="128"/>
      <c r="N24" s="128"/>
    </row>
    <row r="25">
      <c r="A25" s="128"/>
      <c r="B25" s="128"/>
      <c r="C25" s="128"/>
      <c r="D25" s="128"/>
      <c r="E25" s="128"/>
      <c r="F25" s="128"/>
      <c r="G25" s="128"/>
      <c r="H25" s="128"/>
      <c r="I25" s="128"/>
      <c r="J25" s="128"/>
      <c r="K25" s="128"/>
      <c r="L25" s="128"/>
      <c r="M25" s="128"/>
      <c r="N25" s="128"/>
    </row>
    <row r="26">
      <c r="A26" s="128"/>
      <c r="B26" s="128"/>
      <c r="C26" s="128"/>
      <c r="D26" s="128"/>
      <c r="E26" s="128"/>
      <c r="F26" s="128"/>
      <c r="G26" s="128"/>
      <c r="H26" s="128"/>
      <c r="I26" s="128"/>
      <c r="J26" s="128"/>
      <c r="K26" s="128"/>
      <c r="L26" s="128"/>
      <c r="M26" s="128"/>
      <c r="N26" s="128"/>
    </row>
    <row r="27">
      <c r="A27" s="128"/>
      <c r="B27" s="128"/>
      <c r="C27" s="128"/>
      <c r="D27" s="128"/>
      <c r="E27" s="128"/>
      <c r="F27" s="128"/>
      <c r="G27" s="128"/>
      <c r="H27" s="128"/>
      <c r="I27" s="128"/>
      <c r="J27" s="128"/>
      <c r="K27" s="128"/>
      <c r="L27" s="128"/>
      <c r="M27" s="128"/>
      <c r="N27" s="128"/>
    </row>
    <row r="28">
      <c r="A28" s="128"/>
      <c r="B28" s="128"/>
      <c r="C28" s="128"/>
      <c r="D28" s="128"/>
      <c r="E28" s="128"/>
      <c r="F28" s="128"/>
      <c r="G28" s="128"/>
      <c r="H28" s="128"/>
      <c r="I28" s="128"/>
      <c r="J28" s="128"/>
      <c r="K28" s="128"/>
      <c r="L28" s="128"/>
      <c r="M28" s="128"/>
      <c r="N28" s="128"/>
    </row>
    <row r="29">
      <c r="A29" s="128"/>
      <c r="B29" s="128"/>
      <c r="C29" s="128"/>
      <c r="D29" s="128"/>
      <c r="E29" s="128"/>
      <c r="F29" s="128"/>
      <c r="G29" s="128"/>
      <c r="H29" s="128"/>
      <c r="I29" s="128"/>
      <c r="J29" s="128"/>
      <c r="K29" s="128"/>
      <c r="L29" s="128"/>
      <c r="M29" s="128"/>
      <c r="N29" s="128"/>
    </row>
  </sheetData>
  <mergeCells count="6">
    <mergeCell ref="A1:C3"/>
    <mergeCell ref="D1:I3"/>
    <mergeCell ref="J1:L1"/>
    <mergeCell ref="J2:L2"/>
    <mergeCell ref="J3:L3"/>
    <mergeCell ref="J4:L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2.63" defaultRowHeight="15.0"/>
  <cols>
    <col customWidth="1" min="1" max="1" width="6.38"/>
    <col customWidth="1" min="2" max="2" width="12.5"/>
    <col customWidth="1" min="3" max="3" width="15.38"/>
    <col customWidth="1" min="4" max="4" width="16.25"/>
    <col customWidth="1" min="5" max="5" width="17.0"/>
    <col customWidth="1" min="6" max="6" width="25.5"/>
    <col customWidth="1" min="7" max="8" width="24.88"/>
    <col customWidth="1" min="9" max="9" width="41.0"/>
    <col customWidth="1" min="10" max="10" width="12.0"/>
    <col customWidth="1" min="11" max="11" width="13.5"/>
    <col customWidth="1" min="12" max="12" width="15.88"/>
    <col customWidth="1" min="13" max="13" width="13.5"/>
    <col customWidth="1" min="14" max="14" width="16.5"/>
    <col customWidth="1" min="15" max="15" width="23.0"/>
    <col customWidth="1" min="16" max="16" width="29.0"/>
  </cols>
  <sheetData>
    <row r="1" ht="12.0" customHeight="1">
      <c r="A1" s="1"/>
      <c r="B1" s="2"/>
      <c r="C1" s="2"/>
      <c r="D1" s="3" t="s">
        <v>0</v>
      </c>
      <c r="E1" s="2"/>
      <c r="F1" s="2"/>
      <c r="G1" s="4" t="s">
        <v>1</v>
      </c>
      <c r="H1" s="5"/>
      <c r="I1" s="11"/>
      <c r="J1" s="13"/>
      <c r="K1" s="13"/>
      <c r="L1" s="16"/>
      <c r="M1" s="18"/>
      <c r="N1" s="18"/>
      <c r="O1" s="18"/>
      <c r="P1" s="18"/>
    </row>
    <row r="2" ht="12.0" customHeight="1">
      <c r="A2" s="7"/>
      <c r="D2" s="7"/>
      <c r="G2" s="10" t="s">
        <v>2</v>
      </c>
      <c r="H2" s="15"/>
      <c r="I2" s="21"/>
      <c r="J2" s="23"/>
      <c r="K2" s="23"/>
      <c r="L2" s="16"/>
      <c r="M2" s="18"/>
      <c r="N2" s="18"/>
      <c r="O2" s="18"/>
      <c r="P2" s="18"/>
    </row>
    <row r="3" ht="12.0" customHeight="1">
      <c r="A3" s="7"/>
      <c r="D3" s="7"/>
      <c r="G3" s="17" t="s">
        <v>3</v>
      </c>
      <c r="H3" s="19"/>
      <c r="I3" s="28"/>
      <c r="J3" s="30"/>
      <c r="K3" s="30"/>
      <c r="L3" s="16"/>
      <c r="M3" s="18"/>
      <c r="N3" s="18"/>
      <c r="O3" s="18"/>
      <c r="P3" s="18"/>
    </row>
    <row r="4" ht="12.0" customHeight="1">
      <c r="A4" s="20" t="s">
        <v>4</v>
      </c>
      <c r="B4" s="22"/>
      <c r="C4" s="22"/>
      <c r="D4" s="22"/>
      <c r="E4" s="22"/>
      <c r="F4" s="22"/>
      <c r="G4" s="25" t="s">
        <v>5</v>
      </c>
      <c r="H4" s="19"/>
      <c r="I4" s="37"/>
      <c r="J4" s="37"/>
      <c r="K4" s="37"/>
      <c r="L4" s="16"/>
      <c r="M4" s="18"/>
      <c r="N4" s="18"/>
      <c r="O4" s="18"/>
      <c r="P4" s="18"/>
    </row>
    <row r="5" ht="12.0" customHeight="1">
      <c r="A5" s="39"/>
      <c r="B5" s="41"/>
      <c r="C5" s="41"/>
      <c r="D5" s="43"/>
      <c r="E5" s="45"/>
      <c r="F5" s="52"/>
      <c r="G5" s="52"/>
      <c r="H5" s="52"/>
      <c r="I5" s="52"/>
      <c r="J5" s="52"/>
      <c r="K5" s="52"/>
      <c r="L5" s="16"/>
      <c r="M5" s="18"/>
      <c r="N5" s="18"/>
      <c r="O5" s="18"/>
      <c r="P5" s="18"/>
    </row>
    <row r="6" ht="12.0" customHeight="1">
      <c r="A6" s="56"/>
      <c r="B6" s="58"/>
      <c r="C6" s="60" t="s">
        <v>24</v>
      </c>
      <c r="D6" s="60" t="s">
        <v>18</v>
      </c>
      <c r="E6" s="60" t="s">
        <v>21</v>
      </c>
      <c r="F6" s="60" t="s">
        <v>26</v>
      </c>
      <c r="G6" s="60" t="s">
        <v>27</v>
      </c>
      <c r="H6" s="64" t="s">
        <v>31</v>
      </c>
      <c r="I6" s="66"/>
      <c r="J6" s="68"/>
      <c r="K6" s="68"/>
      <c r="L6" s="70"/>
      <c r="M6" s="72"/>
      <c r="N6" s="72"/>
      <c r="O6" s="72"/>
      <c r="P6" s="72"/>
    </row>
    <row r="7" ht="12.0" customHeight="1">
      <c r="A7" s="74"/>
      <c r="B7" s="58"/>
      <c r="C7" s="77">
        <f>COUNTA(A15:A26)</f>
        <v>10</v>
      </c>
      <c r="D7" s="77">
        <f>COUNTIF(L15:L26,"Passed")</f>
        <v>0</v>
      </c>
      <c r="E7" s="77">
        <f>COUNTIF(L15:L26,"Failed")</f>
        <v>0</v>
      </c>
      <c r="F7" s="77">
        <f>COUNTIF(L15:L26,"Pending")</f>
        <v>0</v>
      </c>
      <c r="G7" s="77">
        <f>COUNTIF(L15:L26,"N/A")</f>
        <v>0</v>
      </c>
      <c r="H7" s="84">
        <f>C7-D7-G7</f>
        <v>10</v>
      </c>
      <c r="L7" s="85"/>
      <c r="M7" s="87"/>
      <c r="N7" s="88"/>
      <c r="O7" s="88"/>
      <c r="P7" s="88"/>
    </row>
    <row r="8" ht="12.0" customHeight="1">
      <c r="A8" s="74"/>
      <c r="B8" s="58"/>
      <c r="C8" s="77"/>
      <c r="D8" s="93">
        <f>D7/(C7-G7)</f>
        <v>0</v>
      </c>
      <c r="E8" s="93">
        <f>E7/(C7-G7)</f>
        <v>0</v>
      </c>
      <c r="F8" s="93">
        <f>F7/(C7-G7)</f>
        <v>0</v>
      </c>
      <c r="G8" s="93">
        <f>G7/(C7-G7)</f>
        <v>0</v>
      </c>
      <c r="H8" s="97">
        <f>H7/(C7-G7)</f>
        <v>1</v>
      </c>
      <c r="L8" s="85"/>
      <c r="M8" s="87"/>
      <c r="N8" s="88"/>
      <c r="O8" s="88"/>
      <c r="P8" s="88"/>
    </row>
    <row r="9" ht="12.0" customHeight="1">
      <c r="A9" s="74"/>
      <c r="B9" s="58"/>
      <c r="L9" s="85"/>
      <c r="M9" s="98"/>
      <c r="N9" s="88"/>
      <c r="O9" s="88"/>
      <c r="P9" s="88"/>
    </row>
    <row r="10" ht="12.0" customHeight="1">
      <c r="A10" s="99" t="s">
        <v>38</v>
      </c>
      <c r="B10" s="58"/>
      <c r="I10" s="100"/>
      <c r="J10" s="100"/>
      <c r="K10" s="100"/>
      <c r="L10" s="70"/>
      <c r="M10" s="98"/>
      <c r="N10" s="88"/>
      <c r="O10" s="88"/>
      <c r="P10" s="88"/>
    </row>
    <row r="11" ht="12.0" customHeight="1">
      <c r="A11" s="101"/>
      <c r="B11" s="102"/>
      <c r="C11" s="102"/>
      <c r="D11" s="102"/>
      <c r="E11" s="102"/>
      <c r="F11" s="102"/>
      <c r="G11" s="102"/>
      <c r="H11" s="102"/>
      <c r="I11" s="102"/>
      <c r="J11" s="102"/>
      <c r="K11" s="102"/>
      <c r="L11" s="98"/>
      <c r="M11" s="98"/>
      <c r="N11" s="88"/>
      <c r="O11" s="88"/>
      <c r="P11" s="88"/>
    </row>
    <row r="12" ht="12.0" customHeight="1">
      <c r="A12" s="103" t="s">
        <v>39</v>
      </c>
      <c r="B12" s="104"/>
      <c r="C12" s="105"/>
      <c r="D12" s="105"/>
      <c r="E12" s="105"/>
      <c r="F12" s="105"/>
      <c r="G12" s="105"/>
      <c r="H12" s="105"/>
      <c r="I12" s="105"/>
      <c r="J12" s="105"/>
      <c r="K12" s="105"/>
      <c r="L12" s="106"/>
      <c r="M12" s="106"/>
      <c r="N12" s="107"/>
      <c r="O12" s="107"/>
      <c r="P12" s="107"/>
    </row>
    <row r="13">
      <c r="A13" s="108" t="s">
        <v>40</v>
      </c>
      <c r="B13" s="109" t="s">
        <v>41</v>
      </c>
      <c r="C13" s="109" t="s">
        <v>42</v>
      </c>
      <c r="D13" s="109" t="s">
        <v>43</v>
      </c>
      <c r="E13" s="109" t="s">
        <v>44</v>
      </c>
      <c r="F13" s="111" t="s">
        <v>45</v>
      </c>
      <c r="G13" s="113" t="s">
        <v>46</v>
      </c>
      <c r="H13" s="108" t="s">
        <v>47</v>
      </c>
      <c r="I13" s="108" t="s">
        <v>48</v>
      </c>
      <c r="J13" s="108" t="s">
        <v>49</v>
      </c>
      <c r="K13" s="108" t="s">
        <v>50</v>
      </c>
      <c r="L13" s="115" t="s">
        <v>51</v>
      </c>
      <c r="M13" s="108" t="s">
        <v>52</v>
      </c>
      <c r="N13" s="108" t="s">
        <v>53</v>
      </c>
      <c r="O13" s="113" t="s">
        <v>54</v>
      </c>
      <c r="P13" s="113" t="s">
        <v>55</v>
      </c>
    </row>
    <row r="14">
      <c r="A14" s="116"/>
      <c r="B14" s="117" t="s">
        <v>56</v>
      </c>
      <c r="C14" s="116"/>
      <c r="D14" s="116"/>
      <c r="E14" s="116"/>
      <c r="F14" s="116"/>
      <c r="G14" s="116"/>
      <c r="H14" s="116"/>
      <c r="I14" s="116"/>
      <c r="J14" s="116"/>
      <c r="K14" s="116"/>
      <c r="L14" s="116"/>
      <c r="M14" s="116"/>
      <c r="N14" s="116"/>
      <c r="O14" s="116"/>
      <c r="P14" s="116"/>
    </row>
    <row r="15">
      <c r="A15" s="121" t="str">
        <f t="shared" ref="A15:A18" si="1">"ID-"&amp;(COUNTA(A$13:A14))</f>
        <v>ID-1</v>
      </c>
      <c r="B15" s="123"/>
      <c r="C15" s="123"/>
      <c r="D15" s="124"/>
      <c r="E15" s="124"/>
      <c r="F15" s="124"/>
      <c r="G15" s="126"/>
      <c r="H15" s="127"/>
      <c r="I15" s="123"/>
      <c r="J15" s="129"/>
      <c r="K15" s="129"/>
      <c r="L15" s="129"/>
      <c r="M15" s="130"/>
      <c r="N15" s="131"/>
      <c r="O15" s="132"/>
      <c r="P15" s="133"/>
    </row>
    <row r="16">
      <c r="A16" s="134" t="str">
        <f t="shared" si="1"/>
        <v>ID-2</v>
      </c>
      <c r="B16" s="135"/>
      <c r="C16" s="135"/>
      <c r="D16" s="136"/>
      <c r="E16" s="136"/>
      <c r="F16" s="136"/>
      <c r="G16" s="137"/>
      <c r="H16" s="138"/>
      <c r="I16" s="135"/>
      <c r="J16" s="129"/>
      <c r="K16" s="129"/>
      <c r="L16" s="129"/>
      <c r="M16" s="139"/>
      <c r="N16" s="140"/>
      <c r="O16" s="133"/>
      <c r="P16" s="133"/>
    </row>
    <row r="17">
      <c r="A17" s="134" t="str">
        <f t="shared" si="1"/>
        <v>ID-3</v>
      </c>
      <c r="B17" s="135"/>
      <c r="C17" s="135"/>
      <c r="D17" s="136"/>
      <c r="E17" s="136"/>
      <c r="F17" s="136"/>
      <c r="G17" s="137"/>
      <c r="H17" s="138"/>
      <c r="I17" s="135"/>
      <c r="J17" s="129"/>
      <c r="K17" s="129"/>
      <c r="L17" s="129"/>
      <c r="M17" s="139"/>
      <c r="N17" s="140"/>
      <c r="O17" s="133"/>
      <c r="P17" s="133"/>
    </row>
    <row r="18">
      <c r="A18" s="134" t="str">
        <f t="shared" si="1"/>
        <v>ID-4</v>
      </c>
      <c r="B18" s="135"/>
      <c r="C18" s="135"/>
      <c r="D18" s="136"/>
      <c r="E18" s="136"/>
      <c r="F18" s="136"/>
      <c r="G18" s="137"/>
      <c r="H18" s="138"/>
      <c r="I18" s="135"/>
      <c r="J18" s="129"/>
      <c r="K18" s="129"/>
      <c r="L18" s="129"/>
      <c r="M18" s="139"/>
      <c r="N18" s="140"/>
      <c r="O18" s="133"/>
      <c r="P18" s="133"/>
    </row>
    <row r="19">
      <c r="A19" s="141"/>
      <c r="B19" s="142" t="s">
        <v>57</v>
      </c>
      <c r="C19" s="143"/>
      <c r="D19" s="144"/>
      <c r="E19" s="144"/>
      <c r="F19" s="144"/>
      <c r="G19" s="144"/>
      <c r="H19" s="144"/>
      <c r="I19" s="144"/>
      <c r="J19" s="144"/>
      <c r="K19" s="144"/>
      <c r="L19" s="144"/>
      <c r="M19" s="144"/>
      <c r="N19" s="145"/>
      <c r="O19" s="146"/>
      <c r="P19" s="146"/>
    </row>
    <row r="20">
      <c r="A20" s="134" t="str">
        <f t="shared" ref="A20:A23" si="2">"ID-"&amp;(COUNTA(A$13:A19))</f>
        <v>ID-5</v>
      </c>
      <c r="B20" s="147"/>
      <c r="C20" s="135"/>
      <c r="D20" s="136"/>
      <c r="E20" s="148"/>
      <c r="F20" s="136"/>
      <c r="G20" s="136"/>
      <c r="H20" s="149"/>
      <c r="I20" s="149"/>
      <c r="J20" s="129"/>
      <c r="K20" s="129"/>
      <c r="L20" s="129"/>
      <c r="M20" s="139"/>
      <c r="N20" s="133"/>
      <c r="O20" s="133"/>
      <c r="P20" s="133"/>
    </row>
    <row r="21">
      <c r="A21" s="134" t="str">
        <f t="shared" si="2"/>
        <v>ID-6</v>
      </c>
      <c r="B21" s="135"/>
      <c r="C21" s="136"/>
      <c r="D21" s="136"/>
      <c r="E21" s="136"/>
      <c r="F21" s="136"/>
      <c r="G21" s="136"/>
      <c r="H21" s="150"/>
      <c r="I21" s="150"/>
      <c r="J21" s="129"/>
      <c r="K21" s="129"/>
      <c r="L21" s="129"/>
      <c r="M21" s="139"/>
      <c r="N21" s="133"/>
      <c r="O21" s="133"/>
      <c r="P21" s="133"/>
    </row>
    <row r="22">
      <c r="A22" s="134" t="str">
        <f t="shared" si="2"/>
        <v>ID-7</v>
      </c>
      <c r="B22" s="135"/>
      <c r="C22" s="136"/>
      <c r="D22" s="136"/>
      <c r="E22" s="136"/>
      <c r="F22" s="136"/>
      <c r="G22" s="136"/>
      <c r="H22" s="150"/>
      <c r="I22" s="150"/>
      <c r="J22" s="129"/>
      <c r="K22" s="129"/>
      <c r="L22" s="129"/>
      <c r="M22" s="139"/>
      <c r="N22" s="133"/>
      <c r="O22" s="133"/>
      <c r="P22" s="133"/>
    </row>
    <row r="23">
      <c r="A23" s="134" t="str">
        <f t="shared" si="2"/>
        <v>ID-8</v>
      </c>
      <c r="B23" s="135"/>
      <c r="C23" s="136"/>
      <c r="D23" s="136"/>
      <c r="E23" s="136"/>
      <c r="F23" s="136"/>
      <c r="G23" s="136"/>
      <c r="H23" s="150"/>
      <c r="I23" s="150"/>
      <c r="J23" s="129"/>
      <c r="K23" s="129"/>
      <c r="L23" s="129"/>
      <c r="M23" s="139"/>
      <c r="N23" s="133"/>
      <c r="O23" s="133"/>
      <c r="P23" s="133"/>
    </row>
    <row r="24">
      <c r="A24" s="141"/>
      <c r="B24" s="151" t="s">
        <v>58</v>
      </c>
      <c r="C24" s="143"/>
      <c r="D24" s="143"/>
      <c r="E24" s="143"/>
      <c r="F24" s="143"/>
      <c r="G24" s="143"/>
      <c r="H24" s="143"/>
      <c r="I24" s="143"/>
      <c r="J24" s="143"/>
      <c r="K24" s="143"/>
      <c r="L24" s="143"/>
      <c r="M24" s="143"/>
      <c r="N24" s="143"/>
      <c r="O24" s="152"/>
      <c r="P24" s="152"/>
    </row>
    <row r="25">
      <c r="A25" s="134" t="str">
        <f t="shared" ref="A25:A26" si="3">"ID-"&amp;(COUNTA(A$13:A24))</f>
        <v>ID-9</v>
      </c>
      <c r="B25" s="153"/>
      <c r="C25" s="135"/>
      <c r="D25" s="136"/>
      <c r="E25" s="136"/>
      <c r="F25" s="136"/>
      <c r="G25" s="136"/>
      <c r="H25" s="123"/>
      <c r="I25" s="154"/>
      <c r="J25" s="129"/>
      <c r="K25" s="129"/>
      <c r="L25" s="129"/>
      <c r="M25" s="139"/>
      <c r="N25" s="136"/>
      <c r="O25" s="136"/>
      <c r="P25" s="136"/>
    </row>
    <row r="26">
      <c r="A26" s="134" t="str">
        <f t="shared" si="3"/>
        <v>ID-10</v>
      </c>
      <c r="B26" s="153"/>
      <c r="C26" s="135"/>
      <c r="D26" s="136"/>
      <c r="E26" s="136"/>
      <c r="F26" s="136"/>
      <c r="G26" s="136"/>
      <c r="H26" s="135"/>
      <c r="I26" s="135"/>
      <c r="J26" s="129"/>
      <c r="K26" s="129"/>
      <c r="L26" s="129"/>
      <c r="M26" s="139"/>
      <c r="N26" s="136"/>
      <c r="O26" s="136"/>
      <c r="P26" s="136"/>
    </row>
  </sheetData>
  <mergeCells count="7">
    <mergeCell ref="A1:C3"/>
    <mergeCell ref="D1:F3"/>
    <mergeCell ref="G1:H1"/>
    <mergeCell ref="G2:H2"/>
    <mergeCell ref="G3:H3"/>
    <mergeCell ref="A4:F4"/>
    <mergeCell ref="G4:H4"/>
  </mergeCells>
  <dataValidations>
    <dataValidation type="list" allowBlank="1" sqref="K15:K18 K20:K23 K25:K26">
      <formula1>"Positive ,Negative"</formula1>
    </dataValidation>
    <dataValidation type="list" allowBlank="1" sqref="L15:L18 L20:L23 L25:L26">
      <formula1>"Passed,Failed,Pending,N/A"</formula1>
    </dataValidation>
    <dataValidation type="list" allowBlank="1" sqref="J15:J18 J20:J23 J25:J26">
      <formula1>"High,Medium,Low"</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5.13"/>
    <col customWidth="1" min="8" max="8" width="18.5"/>
  </cols>
  <sheetData>
    <row r="1">
      <c r="A1" s="1"/>
      <c r="B1" s="2"/>
      <c r="C1" s="3" t="s">
        <v>0</v>
      </c>
      <c r="D1" s="2"/>
      <c r="E1" s="2"/>
      <c r="F1" s="2"/>
      <c r="G1" s="4" t="s">
        <v>1</v>
      </c>
      <c r="H1" s="5"/>
    </row>
    <row r="2">
      <c r="A2" s="7"/>
      <c r="C2" s="7"/>
      <c r="G2" s="10" t="s">
        <v>2</v>
      </c>
      <c r="H2" s="15"/>
    </row>
    <row r="3">
      <c r="A3" s="7"/>
      <c r="C3" s="7"/>
      <c r="G3" s="17" t="s">
        <v>3</v>
      </c>
      <c r="H3" s="19"/>
    </row>
    <row r="4">
      <c r="A4" s="20" t="s">
        <v>4</v>
      </c>
      <c r="B4" s="22"/>
      <c r="C4" s="22"/>
      <c r="D4" s="22"/>
      <c r="E4" s="22"/>
      <c r="F4" s="22"/>
      <c r="G4" s="25" t="s">
        <v>5</v>
      </c>
      <c r="H4" s="19"/>
    </row>
    <row r="5">
      <c r="A5" s="27"/>
    </row>
    <row r="6">
      <c r="A6" s="27"/>
    </row>
    <row r="7">
      <c r="A7" s="27" t="s">
        <v>6</v>
      </c>
      <c r="B7" s="33"/>
      <c r="C7" s="33"/>
      <c r="D7" s="33"/>
      <c r="E7" s="33"/>
      <c r="F7" s="33"/>
      <c r="G7" s="33"/>
      <c r="H7" s="33"/>
      <c r="I7" s="33"/>
    </row>
    <row r="8">
      <c r="A8" s="36" t="s">
        <v>9</v>
      </c>
      <c r="B8" s="33"/>
      <c r="C8" s="33"/>
      <c r="D8" s="33"/>
      <c r="E8" s="33"/>
      <c r="F8" s="33"/>
      <c r="G8" s="33"/>
      <c r="H8" s="33"/>
      <c r="I8" s="33"/>
    </row>
    <row r="9">
      <c r="A9" s="33"/>
      <c r="B9" s="33"/>
      <c r="C9" s="33"/>
      <c r="D9" s="33"/>
      <c r="E9" s="33"/>
      <c r="F9" s="33"/>
      <c r="G9" s="33"/>
      <c r="H9" s="33"/>
      <c r="I9" s="33"/>
    </row>
    <row r="10">
      <c r="A10" s="27" t="s">
        <v>11</v>
      </c>
      <c r="B10" s="33"/>
      <c r="C10" s="33"/>
      <c r="D10" s="33"/>
      <c r="E10" s="33"/>
      <c r="F10" s="33"/>
      <c r="G10" s="33"/>
      <c r="H10" s="33"/>
      <c r="I10" s="33"/>
    </row>
    <row r="11">
      <c r="A11" s="42" t="s">
        <v>13</v>
      </c>
      <c r="B11" s="33"/>
      <c r="C11" s="33"/>
      <c r="D11" s="33"/>
      <c r="E11" s="33"/>
      <c r="F11" s="33"/>
      <c r="G11" s="33"/>
      <c r="H11" s="33"/>
      <c r="I11" s="33"/>
    </row>
    <row r="12">
      <c r="A12" s="42" t="s">
        <v>15</v>
      </c>
      <c r="B12" s="33"/>
      <c r="C12" s="33"/>
      <c r="D12" s="33"/>
      <c r="E12" s="33"/>
      <c r="F12" s="33"/>
      <c r="G12" s="33"/>
      <c r="H12" s="33"/>
      <c r="I12" s="33"/>
    </row>
    <row r="13">
      <c r="A13" s="33"/>
      <c r="B13" s="33"/>
      <c r="C13" s="33"/>
      <c r="D13" s="33"/>
      <c r="E13" s="33"/>
      <c r="F13" s="33"/>
      <c r="G13" s="33"/>
      <c r="H13" s="33"/>
      <c r="I13" s="33"/>
    </row>
    <row r="14">
      <c r="A14" s="48" t="s">
        <v>16</v>
      </c>
      <c r="B14" s="33"/>
      <c r="C14" s="33"/>
      <c r="D14" s="33"/>
      <c r="E14" s="33"/>
      <c r="F14" s="33"/>
      <c r="G14" s="33"/>
      <c r="H14" s="33"/>
      <c r="I14" s="33"/>
    </row>
    <row r="15">
      <c r="A15" s="51" t="s">
        <v>18</v>
      </c>
      <c r="B15" s="55" t="s">
        <v>19</v>
      </c>
      <c r="C15" s="22"/>
      <c r="D15" s="22"/>
      <c r="E15" s="22"/>
      <c r="F15" s="22"/>
      <c r="G15" s="22"/>
      <c r="H15" s="24"/>
      <c r="I15" s="33"/>
    </row>
    <row r="16">
      <c r="A16" s="51" t="s">
        <v>21</v>
      </c>
      <c r="B16" s="61" t="s">
        <v>23</v>
      </c>
      <c r="C16" s="22"/>
      <c r="D16" s="22"/>
      <c r="E16" s="22"/>
      <c r="F16" s="22"/>
      <c r="G16" s="22"/>
      <c r="H16" s="24"/>
      <c r="I16" s="33"/>
    </row>
    <row r="17">
      <c r="A17" s="51" t="s">
        <v>26</v>
      </c>
      <c r="B17" s="61" t="s">
        <v>33</v>
      </c>
      <c r="C17" s="22"/>
      <c r="D17" s="22"/>
      <c r="E17" s="22"/>
      <c r="F17" s="22"/>
      <c r="G17" s="22"/>
      <c r="H17" s="24"/>
      <c r="I17" s="33"/>
    </row>
    <row r="18">
      <c r="A18" s="51" t="s">
        <v>27</v>
      </c>
      <c r="B18" s="61" t="s">
        <v>34</v>
      </c>
      <c r="C18" s="22"/>
      <c r="D18" s="22"/>
      <c r="E18" s="22"/>
      <c r="F18" s="22"/>
      <c r="G18" s="22"/>
      <c r="H18" s="24"/>
      <c r="I18" s="33"/>
    </row>
    <row r="19">
      <c r="A19" s="33"/>
      <c r="B19" s="73"/>
      <c r="C19" s="73"/>
      <c r="D19" s="73"/>
      <c r="E19" s="73"/>
      <c r="F19" s="73"/>
      <c r="G19" s="73"/>
      <c r="H19" s="73"/>
      <c r="I19" s="33"/>
    </row>
    <row r="20">
      <c r="A20" s="33"/>
      <c r="B20" s="33"/>
      <c r="C20" s="33"/>
      <c r="D20" s="33"/>
      <c r="E20" s="33"/>
      <c r="F20" s="33"/>
      <c r="G20" s="33"/>
      <c r="H20" s="33"/>
      <c r="I20" s="33"/>
    </row>
    <row r="21">
      <c r="A21" s="33"/>
      <c r="B21" s="33"/>
      <c r="C21" s="33"/>
      <c r="D21" s="33"/>
      <c r="E21" s="33"/>
      <c r="F21" s="33"/>
      <c r="G21" s="33"/>
      <c r="H21" s="33"/>
      <c r="I21" s="33"/>
    </row>
    <row r="22">
      <c r="A22" s="33"/>
      <c r="B22" s="33"/>
      <c r="C22" s="33"/>
      <c r="D22" s="33"/>
      <c r="E22" s="33"/>
      <c r="F22" s="33"/>
      <c r="G22" s="33"/>
      <c r="H22" s="33"/>
      <c r="I22" s="33"/>
    </row>
  </sheetData>
  <mergeCells count="11">
    <mergeCell ref="B15:H15"/>
    <mergeCell ref="B16:H16"/>
    <mergeCell ref="B17:H17"/>
    <mergeCell ref="B18:H18"/>
    <mergeCell ref="A1:B3"/>
    <mergeCell ref="C1:F3"/>
    <mergeCell ref="G1:H1"/>
    <mergeCell ref="G2:H2"/>
    <mergeCell ref="G3:H3"/>
    <mergeCell ref="A4:F4"/>
    <mergeCell ref="G4:H4"/>
  </mergeCells>
  <drawing r:id="rId1"/>
</worksheet>
</file>