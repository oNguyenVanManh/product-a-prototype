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4"/>
    <sheet state="visible" name="Overview" sheetId="2" r:id="rId5"/>
    <sheet state="visible" name="Task List &amp; Plan" sheetId="3" r:id="rId6"/>
    <sheet state="visible" name="Create Test case Progress " sheetId="4" r:id="rId7"/>
    <sheet state="visible" name="Execute Test Progress 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9">
      <text>
        <t xml:space="preserve">Must satisfied these criteria to Cancel or Stop this task</t>
      </text>
    </comment>
    <comment authorId="0" ref="B18">
      <text>
        <t xml:space="preserve">List all off function which need to test in your project</t>
      </text>
    </comment>
    <comment authorId="0" ref="C19">
      <text>
        <t xml:space="preserve">Unit Testing
Value: 
+ ◯: test
+ Blank: Not test
</t>
      </text>
    </comment>
    <comment authorId="0" ref="C18">
      <text>
        <t xml:space="preserve">Can add or delete testing type to meet your project's requirement.</t>
      </text>
    </comment>
    <comment authorId="0" ref="D19">
      <text>
        <t xml:space="preserve">Intergration Testing
</t>
      </text>
    </comment>
    <comment authorId="0" ref="E19">
      <text>
        <t xml:space="preserve">System Testing</t>
      </text>
    </comment>
    <comment authorId="0" ref="F19">
      <text>
        <t xml:space="preserve">Acceptant Testing
</t>
      </text>
    </comment>
    <comment authorId="0" ref="I19">
      <text>
        <t xml:space="preserve">Calculate base on productivity per day of corresponding person Incharge.
Example: K13 = =ROUND(J13/60,2)
&lt;=&gt; Productivity is 60 Tcs/day
 </t>
      </text>
    </comment>
    <comment authorId="0" ref="K19">
      <text>
        <t xml:space="preserve">Total of Test cases that need to execute test of this function (functional test + regression test...)</t>
      </text>
    </comment>
    <comment authorId="0" ref="N18">
      <text>
        <t xml:space="preserve">Value:
+ N/A: not define
+ Number: calculate base on L.O.C or history of each project.
Example: Q13 =  ROUND(M13*0.03,0)
&lt;=&gt; 100TCs ~ 3 bugs.
</t>
      </text>
    </comment>
    <comment authorId="0" ref="O18">
      <text>
        <t xml:space="preserve">From create test case for this function
</t>
      </text>
    </comment>
    <comment authorId="0" ref="P18">
      <text>
        <t xml:space="preserve">To the end date of execute testing of each task
</t>
      </text>
    </comment>
    <comment authorId="0" ref="Q19">
      <text>
        <t xml:space="preserve">Must satisfied these criteria before start this task</t>
      </text>
    </comment>
    <comment authorId="0" ref="Q18">
      <text>
        <t xml:space="preserve">You can define more items or delete these items to accordance with the nature of your project.
</t>
      </text>
    </comment>
    <comment authorId="0" ref="R19">
      <text>
        <t xml:space="preserve">Must satisfied these criteria to finish this task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List all off function which need to test in your project</t>
      </text>
    </comment>
    <comment authorId="0" ref="H18">
      <text>
        <t xml:space="preserve">After each day, fill the actual created 
number test case</t>
      </text>
    </comment>
    <comment authorId="0" ref="H17">
      <text>
        <t xml:space="preserve">Fill number of Test cases which plan for each day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List all off function which need to test in your project</t>
      </text>
    </comment>
    <comment authorId="0" ref="H18">
      <text>
        <t xml:space="preserve">After each day, fill the actual executing 
number test case</t>
      </text>
    </comment>
    <comment authorId="0" ref="H17">
      <text>
        <t xml:space="preserve">Fill number of Test cases which plan for executing each day </t>
      </text>
    </comment>
  </commentList>
</comments>
</file>

<file path=xl/sharedStrings.xml><?xml version="1.0" encoding="utf-8"?>
<sst xmlns="http://schemas.openxmlformats.org/spreadsheetml/2006/main" count="251" uniqueCount="113">
  <si>
    <t>TESTING PROGRESS MANAGEMENT</t>
  </si>
  <si>
    <t>TEST REPORT</t>
  </si>
  <si>
    <t>No: BM-QT-1701-15</t>
  </si>
  <si>
    <t>Version: 2.2</t>
  </si>
  <si>
    <t>Issue Date: 22/09/2026</t>
  </si>
  <si>
    <t>SUN ASTERISK VIETNAM CO., LTD</t>
  </si>
  <si>
    <t>ISO/IEC 27001:2013&amp;ISO 9001:2015</t>
  </si>
  <si>
    <t>HISTORY OF CHANGES</t>
  </si>
  <si>
    <t>No</t>
  </si>
  <si>
    <t>Change Item</t>
  </si>
  <si>
    <t>Description of changes</t>
  </si>
  <si>
    <t>Project name</t>
  </si>
  <si>
    <t>&lt;Project name&gt;</t>
  </si>
  <si>
    <t>Change Date</t>
  </si>
  <si>
    <t>Update format</t>
  </si>
  <si>
    <t>Creator</t>
  </si>
  <si>
    <t>&lt;Creator&gt;</t>
  </si>
  <si>
    <t>2</t>
  </si>
  <si>
    <t>Create test case</t>
  </si>
  <si>
    <t>Project code</t>
  </si>
  <si>
    <t>&lt;Project code&gt;</t>
  </si>
  <si>
    <t>Create date</t>
  </si>
  <si>
    <t>&lt;Create date&gt;</t>
  </si>
  <si>
    <t>Version</t>
  </si>
  <si>
    <t>&lt;Version&gt;</t>
  </si>
  <si>
    <t>Task List &amp; Plan</t>
  </si>
  <si>
    <t>Last Update</t>
  </si>
  <si>
    <t>&lt;Last Update&gt;</t>
  </si>
  <si>
    <t>All sheet</t>
  </si>
  <si>
    <t>Update mã biểu mẫu theo tiêu chuẩn ISO.</t>
  </si>
  <si>
    <t>VERSION HISTORY</t>
  </si>
  <si>
    <t>22/09/2026</t>
  </si>
  <si>
    <t>Version #</t>
  </si>
  <si>
    <t>&lt;YYYY/MM/DD&gt;</t>
  </si>
  <si>
    <t>Action</t>
  </si>
  <si>
    <t>Date</t>
  </si>
  <si>
    <t>Description</t>
  </si>
  <si>
    <t>Updated person</t>
  </si>
  <si>
    <t>Note</t>
  </si>
  <si>
    <t>&lt;0.1&gt;</t>
  </si>
  <si>
    <t>&lt;Create new&gt;</t>
  </si>
  <si>
    <t>&lt;A brief description of the changed content&gt;</t>
  </si>
  <si>
    <t>&lt;Updated person name&gt;</t>
  </si>
  <si>
    <t>&lt;Other note if have&gt;</t>
  </si>
  <si>
    <t>Start date</t>
  </si>
  <si>
    <t>&lt;0.2&gt;</t>
  </si>
  <si>
    <t>&lt;Modified&gt;</t>
  </si>
  <si>
    <t>End date</t>
  </si>
  <si>
    <t>[Test Environment]</t>
  </si>
  <si>
    <t>[&lt;Chrome/IE 8...&gt;]</t>
  </si>
  <si>
    <r>
      <rPr>
        <rFont val="Arial"/>
        <b/>
        <sz val="10.0"/>
      </rPr>
      <t>#ID</t>
    </r>
    <r>
      <rPr>
        <rFont val="Arial"/>
        <b/>
        <color rgb="FFFF0000"/>
        <sz val="10.0"/>
      </rPr>
      <t>(*)</t>
    </r>
  </si>
  <si>
    <t xml:space="preserve">Note: </t>
  </si>
  <si>
    <t>1. In case you have a column that all cells of it have the same value, you can summary it to create an related item in “Summary” area and delete related column.
For example: Test Environment for all function is Chrome/IE 8 =&gt; you can create item as cell B6 and delete “Test environment” column</t>
  </si>
  <si>
    <r>
      <rPr>
        <rFont val="Arial"/>
        <b/>
        <sz val="10.0"/>
      </rPr>
      <t xml:space="preserve">Task List </t>
    </r>
    <r>
      <rPr>
        <rFont val="Arial"/>
        <b/>
        <color rgb="FFFF0000"/>
        <sz val="10.0"/>
      </rPr>
      <t xml:space="preserve"> (*)</t>
    </r>
  </si>
  <si>
    <r>
      <rPr>
        <rFont val="Arial"/>
        <b/>
        <sz val="10.0"/>
      </rPr>
      <t>Person Incharge</t>
    </r>
    <r>
      <rPr>
        <rFont val="Arial"/>
        <b/>
        <color rgb="FFFF0000"/>
        <sz val="10.0"/>
      </rPr>
      <t>(*)</t>
    </r>
  </si>
  <si>
    <r>
      <rPr>
        <rFont val="Arial"/>
        <color rgb="FF000000"/>
        <sz val="10.0"/>
      </rPr>
      <t xml:space="preserve">2. </t>
    </r>
    <r>
      <rPr>
        <rFont val="Arial"/>
        <i/>
        <color rgb="FFFF0000"/>
        <sz val="10.0"/>
      </rPr>
      <t xml:space="preserve">(*) </t>
    </r>
    <r>
      <rPr>
        <rFont val="Arial"/>
        <color rgb="FF000000"/>
        <sz val="10.0"/>
      </rPr>
      <t>is required field.</t>
    </r>
  </si>
  <si>
    <r>
      <rPr>
        <rFont val="Arial"/>
        <b/>
        <sz val="10.0"/>
      </rPr>
      <t xml:space="preserve">Created Number  </t>
    </r>
    <r>
      <rPr>
        <rFont val="Arial"/>
        <b/>
        <color rgb="FFFF0000"/>
        <sz val="10.0"/>
      </rPr>
      <t xml:space="preserve"> (*)</t>
    </r>
  </si>
  <si>
    <r>
      <rPr>
        <rFont val="Arial"/>
        <b/>
        <sz val="10.0"/>
      </rPr>
      <t xml:space="preserve">Progress  </t>
    </r>
    <r>
      <rPr>
        <rFont val="Arial"/>
        <b/>
        <color rgb="FFFF0000"/>
        <sz val="10.0"/>
      </rPr>
      <t xml:space="preserve"> (*)</t>
    </r>
  </si>
  <si>
    <r>
      <rPr>
        <rFont val="Arial"/>
        <b/>
        <sz val="10.0"/>
      </rPr>
      <t xml:space="preserve">Create date  </t>
    </r>
    <r>
      <rPr>
        <rFont val="Arial"/>
        <b/>
        <color rgb="FFFF0000"/>
        <sz val="10.0"/>
      </rPr>
      <t xml:space="preserve"> (*)</t>
    </r>
  </si>
  <si>
    <r>
      <rPr>
        <rFont val="Arial"/>
        <b/>
        <sz val="10.0"/>
      </rPr>
      <t>#ID</t>
    </r>
    <r>
      <rPr>
        <rFont val="Arial"/>
        <b/>
        <color rgb="FFFF0000"/>
        <sz val="10.0"/>
      </rPr>
      <t>(*)</t>
    </r>
  </si>
  <si>
    <t>Task List  (*)</t>
  </si>
  <si>
    <t>Type of Testing</t>
  </si>
  <si>
    <r>
      <rPr>
        <rFont val="Arial"/>
        <b/>
        <sz val="10.0"/>
      </rPr>
      <t>Create test cases plan</t>
    </r>
    <r>
      <rPr>
        <rFont val="Arial"/>
        <b/>
        <color rgb="FFFF0000"/>
        <sz val="10.0"/>
      </rPr>
      <t xml:space="preserve">  (*)</t>
    </r>
  </si>
  <si>
    <r>
      <rPr>
        <rFont val="Arial"/>
        <b/>
        <sz val="10.0"/>
      </rPr>
      <t xml:space="preserve">Execute test plan </t>
    </r>
    <r>
      <rPr>
        <rFont val="Arial"/>
        <b/>
        <color rgb="FFFF0000"/>
        <sz val="10.0"/>
      </rPr>
      <t xml:space="preserve"> (*)</t>
    </r>
  </si>
  <si>
    <t>Bug plan</t>
  </si>
  <si>
    <t>Tue</t>
  </si>
  <si>
    <r>
      <rPr>
        <rFont val="Arial"/>
        <b/>
        <sz val="10.0"/>
      </rPr>
      <t xml:space="preserve">Start date </t>
    </r>
    <r>
      <rPr>
        <rFont val="Arial"/>
        <b/>
        <color rgb="FFFF0000"/>
        <sz val="10.0"/>
      </rPr>
      <t xml:space="preserve"> (*)</t>
    </r>
  </si>
  <si>
    <t>Wed</t>
  </si>
  <si>
    <t>Thu</t>
  </si>
  <si>
    <t>Fri</t>
  </si>
  <si>
    <t>Sat</t>
  </si>
  <si>
    <r>
      <rPr>
        <rFont val="Arial"/>
        <b/>
        <sz val="10.0"/>
      </rPr>
      <t xml:space="preserve">End date </t>
    </r>
    <r>
      <rPr>
        <rFont val="Arial"/>
        <b/>
        <color rgb="FFFF0000"/>
        <sz val="10.0"/>
      </rPr>
      <t xml:space="preserve"> (*)</t>
    </r>
  </si>
  <si>
    <t>Sun</t>
  </si>
  <si>
    <t>Mon</t>
  </si>
  <si>
    <t xml:space="preserve">Other </t>
  </si>
  <si>
    <t>Plan</t>
  </si>
  <si>
    <t>Actual</t>
  </si>
  <si>
    <t>Remain</t>
  </si>
  <si>
    <t>UT</t>
  </si>
  <si>
    <r>
      <rPr>
        <rFont val="Arial"/>
        <b/>
        <sz val="10.0"/>
      </rPr>
      <t xml:space="preserve">IT  </t>
    </r>
    <r>
      <rPr>
        <rFont val="Arial"/>
        <b/>
        <color rgb="FFFF0000"/>
        <sz val="10.0"/>
      </rPr>
      <t>(*)</t>
    </r>
  </si>
  <si>
    <t>ST</t>
  </si>
  <si>
    <t>AT</t>
  </si>
  <si>
    <t>…</t>
  </si>
  <si>
    <t>Number of Tcs</t>
  </si>
  <si>
    <t>Effort (days)</t>
  </si>
  <si>
    <t xml:space="preserve">Person Incharge </t>
  </si>
  <si>
    <t>Criteria to start</t>
  </si>
  <si>
    <t>Criteria to Finish</t>
  </si>
  <si>
    <t>Criteria to Cancel/Stop test</t>
  </si>
  <si>
    <t>&lt;Task 1&gt;</t>
  </si>
  <si>
    <t>◯</t>
  </si>
  <si>
    <t>&lt;Executors&gt;</t>
  </si>
  <si>
    <t>&lt;Main operation of Login and registration function is finished.&gt;
&lt;Task 1 must be finish 100%&gt;</t>
  </si>
  <si>
    <t>&lt;+ 100% test case is execute
+ All bugs are fixed and re-test
+ All of not fixed bugs/ pending items have been logged to agreed resolution document.
…&gt;.</t>
  </si>
  <si>
    <t>&lt;+ Dev has not performed Unit test yet.
+ Actual number of bugs is larger than plan.&gt;</t>
  </si>
  <si>
    <t>&lt;Chrome/IE 8...&gt;</t>
  </si>
  <si>
    <t>&lt;Task 2&gt;</t>
  </si>
  <si>
    <t>N/A</t>
  </si>
  <si>
    <t>&lt;Task 3&gt;</t>
  </si>
  <si>
    <t>Execute testing</t>
  </si>
  <si>
    <t>&lt;Main operation of Login and registration function is finished.&gt;</t>
  </si>
  <si>
    <t>&lt;Task 4&gt;</t>
  </si>
  <si>
    <t>&lt;Task 5&gt;</t>
  </si>
  <si>
    <t>&lt;Task 1 must be finish 100%&gt;</t>
  </si>
  <si>
    <t>&lt;Task 6&gt;</t>
  </si>
  <si>
    <t>Total</t>
  </si>
  <si>
    <r>
      <rPr>
        <rFont val="Arial"/>
        <b/>
        <sz val="10.0"/>
      </rPr>
      <t>#ID</t>
    </r>
    <r>
      <rPr>
        <rFont val="Arial"/>
        <b/>
        <color rgb="FFFF0000"/>
        <sz val="10.0"/>
      </rPr>
      <t>(*)</t>
    </r>
  </si>
  <si>
    <r>
      <rPr>
        <rFont val="Arial"/>
        <b/>
        <sz val="10.0"/>
      </rPr>
      <t xml:space="preserve">Task List </t>
    </r>
    <r>
      <rPr>
        <rFont val="Arial"/>
        <b/>
        <color rgb="FFFF0000"/>
        <sz val="10.0"/>
      </rPr>
      <t xml:space="preserve"> (*)</t>
    </r>
  </si>
  <si>
    <r>
      <rPr>
        <rFont val="Arial"/>
        <b/>
        <sz val="10.0"/>
      </rPr>
      <t>Person Incharge</t>
    </r>
    <r>
      <rPr>
        <rFont val="Arial"/>
        <b/>
        <color rgb="FFFF0000"/>
        <sz val="10.0"/>
      </rPr>
      <t>(*)</t>
    </r>
  </si>
  <si>
    <r>
      <rPr>
        <rFont val="Arial"/>
        <b/>
        <sz val="10.0"/>
      </rPr>
      <t>Execute Number</t>
    </r>
    <r>
      <rPr>
        <rFont val="Arial"/>
        <b/>
        <color rgb="FFFF0000"/>
        <sz val="10.0"/>
      </rPr>
      <t xml:space="preserve">  (*)</t>
    </r>
  </si>
  <si>
    <r>
      <rPr>
        <rFont val="Arial"/>
        <b/>
        <sz val="10.0"/>
      </rPr>
      <t xml:space="preserve">Progress  </t>
    </r>
    <r>
      <rPr>
        <rFont val="Arial"/>
        <b/>
        <color rgb="FFFF0000"/>
        <sz val="10.0"/>
      </rPr>
      <t>(*)</t>
    </r>
  </si>
  <si>
    <r>
      <rPr>
        <rFont val="Arial"/>
        <b/>
        <sz val="10.0"/>
      </rPr>
      <t>Execute date</t>
    </r>
    <r>
      <rPr>
        <rFont val="Arial"/>
        <b/>
        <color rgb="FFFF0000"/>
        <sz val="10.0"/>
      </rPr>
      <t xml:space="preserve"> (*)</t>
    </r>
  </si>
  <si>
    <t>Delay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</si>
</sst>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YYYY/MM/DD"/>
    <numFmt numFmtId="166" formatCode="M\月D\日"/>
    <numFmt numFmtId="167" formatCode="DD\/MM"/>
  </numFmts>
  <fonts count="32">
    <font>
      <sz val="10.0"/>
      <color rgb="FF000000"/>
      <name val="Droid sans"/>
    </font>
    <font>
      <b/>
      <sz val="24.0"/>
      <name val="Times New Roman"/>
    </font>
    <font/>
    <font>
      <b/>
      <sz val="18.0"/>
      <name val="Times New Roman"/>
    </font>
    <font>
      <sz val="12.0"/>
      <name val="Times New Roman"/>
    </font>
    <font>
      <sz val="10.0"/>
      <name val="Droid sans"/>
    </font>
    <font>
      <sz val="10.0"/>
      <name val="Times New Roman"/>
    </font>
    <font>
      <sz val="12.0"/>
      <color rgb="FF000000"/>
      <name val="Times New Roman"/>
    </font>
    <font>
      <b/>
      <sz val="10.0"/>
      <name val="Times New Roman"/>
    </font>
    <font>
      <b/>
      <sz val="11.0"/>
      <color rgb="FF00000A"/>
      <name val="Droid sans"/>
    </font>
    <font>
      <b/>
      <sz val="14.0"/>
      <name val="Times New Roman"/>
    </font>
    <font>
      <b/>
      <sz val="12.0"/>
      <name val="Arial"/>
    </font>
    <font>
      <b/>
      <sz val="10.0"/>
      <name val="Arial"/>
    </font>
    <font>
      <b/>
      <sz val="12.0"/>
      <name val="Times New Roman"/>
    </font>
    <font>
      <b/>
      <sz val="13.0"/>
      <name val="Times New Roman"/>
    </font>
    <font>
      <i/>
      <sz val="10.0"/>
      <color rgb="FF0000FF"/>
      <name val="Times New Roman"/>
    </font>
    <font>
      <sz val="10.0"/>
      <name val="Arial"/>
    </font>
    <font>
      <i/>
      <sz val="12.0"/>
      <color rgb="FF0000CC"/>
      <name val="Times New Roman"/>
    </font>
    <font>
      <i/>
      <sz val="10.0"/>
      <color rgb="FF0000FF"/>
      <name val="Arial"/>
    </font>
    <font>
      <b/>
      <sz val="14.0"/>
      <name val="Arial"/>
    </font>
    <font>
      <sz val="12.0"/>
      <color rgb="FF00000A"/>
      <name val="Times New Roman"/>
    </font>
    <font>
      <b/>
      <sz val="12.0"/>
      <color rgb="FF00000A"/>
      <name val="Times New Roman"/>
    </font>
    <font>
      <i/>
      <sz val="12.0"/>
      <color rgb="FF0000FF"/>
      <name val="Times New Roman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0000FF"/>
      <name val="Arial"/>
    </font>
    <font>
      <b/>
      <sz val="10.0"/>
      <color rgb="FFFF0000"/>
      <name val="Arial"/>
    </font>
    <font>
      <sz val="10.0"/>
      <color rgb="FFFF0000"/>
      <name val="Arial"/>
    </font>
    <font>
      <i/>
      <sz val="10.0"/>
      <name val="Arial"/>
    </font>
    <font>
      <b/>
      <sz val="10.0"/>
      <color rgb="FF0000FF"/>
      <name val="Arial"/>
    </font>
    <font>
      <b/>
      <i/>
      <sz val="10.0"/>
      <color rgb="FF000000"/>
      <name val="Arial"/>
    </font>
    <font>
      <sz val="10.0"/>
      <color rgb="FF94BD5E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FFFF99"/>
        <bgColor rgb="FFFFFF99"/>
      </patternFill>
    </fill>
  </fills>
  <borders count="4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1"/>
      </left>
      <right/>
      <top/>
      <bottom style="hair">
        <color rgb="FF000001"/>
      </bottom>
    </border>
    <border>
      <left style="hair">
        <color rgb="FF000001"/>
      </left>
      <right style="hair">
        <color rgb="FF000001"/>
      </right>
      <top/>
      <bottom style="hair">
        <color rgb="FF000001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/>
      <top style="hair">
        <color rgb="FF000000"/>
      </top>
    </border>
    <border>
      <left style="hair">
        <color rgb="FF000000"/>
      </left>
      <right/>
      <top style="hair">
        <color rgb="FF000000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bottom/>
    </border>
    <border>
      <bottom/>
    </border>
    <border>
      <right/>
      <bottom/>
    </border>
    <border>
      <left style="hair">
        <color rgb="FF000000"/>
      </left>
      <right/>
    </border>
    <border>
      <left style="hair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bottom/>
    </border>
    <border>
      <right/>
      <top/>
      <bottom/>
    </border>
    <border>
      <left style="hair">
        <color rgb="FF000000"/>
      </left>
      <right/>
      <bottom/>
    </border>
    <border>
      <left style="hair">
        <color rgb="FF000000"/>
      </left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/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bottom" wrapText="0"/>
    </xf>
    <xf borderId="4" fillId="2" fontId="6" numFmtId="0" xfId="0" applyAlignment="1" applyBorder="1" applyFill="1" applyFont="1">
      <alignment shrinkToFit="0" vertical="bottom" wrapText="0"/>
    </xf>
    <xf borderId="5" fillId="0" fontId="2" numFmtId="0" xfId="0" applyBorder="1" applyFont="1"/>
    <xf borderId="5" fillId="0" fontId="7" numFmtId="0" xfId="0" applyAlignment="1" applyBorder="1" applyFont="1">
      <alignment readingOrder="0" vertical="center"/>
    </xf>
    <xf borderId="6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7" fillId="0" fontId="7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8" numFmtId="0" xfId="0" applyAlignment="1" applyBorder="1" applyFont="1">
      <alignment readingOrder="0" vertical="center"/>
    </xf>
    <xf borderId="11" fillId="0" fontId="8" numFmtId="0" xfId="0" applyAlignment="1" applyBorder="1" applyFont="1">
      <alignment readingOrder="0" vertical="center"/>
    </xf>
    <xf borderId="7" fillId="0" fontId="8" numFmtId="0" xfId="0" applyAlignment="1" applyBorder="1" applyFont="1">
      <alignment horizontal="right" readingOrder="0" shrinkToFit="0" vertical="center" wrapText="1"/>
    </xf>
    <xf borderId="11" fillId="0" fontId="2" numFmtId="0" xfId="0" applyBorder="1" applyFont="1"/>
    <xf borderId="0" fillId="0" fontId="9" numFmtId="0" xfId="0" applyAlignment="1" applyFont="1">
      <alignment horizontal="center" shrinkToFit="0" vertical="bottom" wrapText="0"/>
    </xf>
    <xf borderId="12" fillId="0" fontId="2" numFmtId="0" xfId="0" applyBorder="1" applyFont="1"/>
    <xf borderId="0" fillId="2" fontId="6" numFmtId="0" xfId="0" applyAlignment="1" applyFill="1" applyFont="1">
      <alignment shrinkToFit="0" vertical="bottom" wrapText="0"/>
    </xf>
    <xf borderId="13" fillId="0" fontId="10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3" fillId="0" fontId="11" numFmtId="0" xfId="0" applyAlignment="1" applyBorder="1" applyFont="1">
      <alignment horizontal="center" readingOrder="0" shrinkToFit="0" vertical="center" wrapText="1"/>
    </xf>
    <xf borderId="15" fillId="3" fontId="12" numFmtId="0" xfId="0" applyAlignment="1" applyBorder="1" applyFill="1" applyFont="1">
      <alignment horizontal="center" readingOrder="0" shrinkToFit="0" vertical="center" wrapText="1"/>
    </xf>
    <xf borderId="16" fillId="2" fontId="6" numFmtId="0" xfId="0" applyAlignment="1" applyBorder="1" applyFill="1" applyFont="1">
      <alignment shrinkToFit="0" vertical="bottom" wrapText="0"/>
    </xf>
    <xf borderId="10" fillId="3" fontId="1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0"/>
    </xf>
    <xf borderId="17" fillId="3" fontId="13" numFmtId="0" xfId="0" applyAlignment="1" applyBorder="1" applyFill="1" applyFont="1">
      <alignment horizontal="left" shrinkToFit="0" vertical="bottom" wrapText="0"/>
    </xf>
    <xf borderId="16" fillId="2" fontId="14" numFmtId="0" xfId="0" applyAlignment="1" applyBorder="1" applyFill="1" applyFont="1">
      <alignment shrinkToFit="0" vertical="bottom" wrapText="0"/>
    </xf>
    <xf borderId="16" fillId="2" fontId="15" numFmtId="0" xfId="0" applyAlignment="1" applyBorder="1" applyFill="1" applyFont="1">
      <alignment shrinkToFit="0" vertical="bottom" wrapText="0"/>
    </xf>
    <xf borderId="15" fillId="0" fontId="16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ill="1" applyFont="1">
      <alignment shrinkToFit="0" vertical="bottom" wrapText="0"/>
    </xf>
    <xf borderId="10" fillId="0" fontId="16" numFmtId="0" xfId="0" applyAlignment="1" applyBorder="1" applyFont="1">
      <alignment horizontal="left" readingOrder="0" shrinkToFit="0" vertical="center" wrapText="1"/>
    </xf>
    <xf borderId="4" fillId="2" fontId="15" numFmtId="0" xfId="0" applyAlignment="1" applyBorder="1" applyFill="1" applyFont="1">
      <alignment shrinkToFit="0" vertical="bottom" wrapText="0"/>
    </xf>
    <xf borderId="18" fillId="2" fontId="17" numFmtId="0" xfId="0" applyAlignment="1" applyBorder="1" applyFill="1" applyFont="1">
      <alignment horizontal="left" shrinkToFit="0" vertical="center" wrapText="0"/>
    </xf>
    <xf borderId="19" fillId="0" fontId="2" numFmtId="0" xfId="0" applyBorder="1" applyFont="1"/>
    <xf borderId="10" fillId="0" fontId="16" numFmtId="164" xfId="0" applyAlignment="1" applyBorder="1" applyFont="1" applyNumberFormat="1">
      <alignment horizontal="left" readingOrder="0" shrinkToFit="0" vertical="center" wrapText="1"/>
    </xf>
    <xf borderId="4" fillId="2" fontId="16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horizontal="center" readingOrder="0" shrinkToFit="0" vertical="center" wrapText="1"/>
    </xf>
    <xf borderId="4" fillId="2" fontId="12" numFmtId="0" xfId="0" applyAlignment="1" applyBorder="1" applyFill="1" applyFont="1">
      <alignment shrinkToFit="0" vertical="bottom" wrapText="0"/>
    </xf>
    <xf borderId="0" fillId="0" fontId="4" numFmtId="0" xfId="0" applyFont="1"/>
    <xf borderId="4" fillId="2" fontId="18" numFmtId="0" xfId="0" applyAlignment="1" applyBorder="1" applyFill="1" applyFont="1">
      <alignment shrinkToFit="0" vertical="bottom" wrapText="0"/>
    </xf>
    <xf borderId="4" fillId="2" fontId="19" numFmtId="0" xfId="0" applyAlignment="1" applyBorder="1" applyFill="1" applyFont="1">
      <alignment shrinkToFit="0" vertical="bottom" wrapText="0"/>
    </xf>
    <xf quotePrefix="1" borderId="15" fillId="0" fontId="16" numFmtId="0" xfId="0" applyAlignment="1" applyBorder="1" applyFont="1">
      <alignment horizontal="center" readingOrder="0" shrinkToFit="0" vertical="center" wrapText="1"/>
    </xf>
    <xf borderId="4" fillId="2" fontId="11" numFmtId="0" xfId="0" applyAlignment="1" applyBorder="1" applyFill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16" numFmtId="0" xfId="0" applyFont="1"/>
    <xf borderId="17" fillId="3" fontId="13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shrinkToFit="0" vertical="center" wrapText="0"/>
    </xf>
    <xf borderId="20" fillId="2" fontId="17" numFmtId="0" xfId="0" applyAlignment="1" applyBorder="1" applyFill="1" applyFont="1">
      <alignment horizontal="center" shrinkToFit="0" vertical="center" wrapText="0"/>
    </xf>
    <xf borderId="20" fillId="2" fontId="17" numFmtId="0" xfId="0" applyAlignment="1" applyBorder="1" applyFill="1" applyFont="1">
      <alignment shrinkToFit="0" vertical="center" wrapText="1"/>
    </xf>
    <xf borderId="20" fillId="2" fontId="22" numFmtId="0" xfId="0" applyAlignment="1" applyBorder="1" applyFill="1" applyFont="1">
      <alignment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21" fillId="2" fontId="17" numFmtId="0" xfId="0" applyAlignment="1" applyBorder="1" applyFill="1" applyFont="1">
      <alignment shrinkToFit="0" vertical="center" wrapText="0"/>
    </xf>
    <xf borderId="4" fillId="2" fontId="16" numFmtId="165" xfId="0" applyAlignment="1" applyBorder="1" applyFill="1" applyFont="1" applyNumberFormat="1">
      <alignment horizontal="left" shrinkToFit="0" vertical="bottom" wrapText="0"/>
    </xf>
    <xf borderId="20" fillId="2" fontId="20" numFmtId="0" xfId="0" applyAlignment="1" applyBorder="1" applyFill="1" applyFont="1">
      <alignment shrinkToFit="0" vertical="bottom" wrapText="0"/>
    </xf>
    <xf borderId="11" fillId="0" fontId="23" numFmtId="0" xfId="0" applyAlignment="1" applyBorder="1" applyFont="1">
      <alignment horizontal="left" readingOrder="0" shrinkToFit="0" vertical="center" wrapText="1"/>
    </xf>
    <xf borderId="21" fillId="2" fontId="20" numFmtId="0" xfId="0" applyAlignment="1" applyBorder="1" applyFill="1" applyFont="1">
      <alignment shrinkToFit="0" vertical="bottom" wrapText="0"/>
    </xf>
    <xf borderId="10" fillId="0" fontId="23" numFmtId="0" xfId="0" applyAlignment="1" applyBorder="1" applyFont="1">
      <alignment horizontal="left" readingOrder="0" shrinkToFit="0" vertical="center" wrapText="1"/>
    </xf>
    <xf borderId="4" fillId="2" fontId="16" numFmtId="166" xfId="0" applyAlignment="1" applyBorder="1" applyFill="1" applyFont="1" applyNumberFormat="1">
      <alignment horizontal="left" shrinkToFit="0" vertical="bottom" wrapText="0"/>
    </xf>
    <xf borderId="15" fillId="0" fontId="24" numFmtId="0" xfId="0" applyAlignment="1" applyBorder="1" applyFont="1">
      <alignment horizontal="center" readingOrder="0" shrinkToFit="0" vertical="center" wrapText="1"/>
    </xf>
    <xf borderId="4" fillId="2" fontId="24" numFmtId="0" xfId="0" applyAlignment="1" applyBorder="1" applyFill="1" applyFont="1">
      <alignment shrinkToFit="0" vertical="bottom" wrapText="0"/>
    </xf>
    <xf borderId="4" fillId="2" fontId="25" numFmtId="0" xfId="0" applyAlignment="1" applyBorder="1" applyFill="1" applyFont="1">
      <alignment shrinkToFit="0" vertical="bottom" wrapText="0"/>
    </xf>
    <xf borderId="15" fillId="0" fontId="26" numFmtId="0" xfId="0" applyAlignment="1" applyBorder="1" applyFont="1">
      <alignment horizontal="center" readingOrder="0" shrinkToFit="0" vertical="center" wrapText="1"/>
    </xf>
    <xf borderId="10" fillId="0" fontId="27" numFmtId="0" xfId="0" applyAlignment="1" applyBorder="1" applyFont="1">
      <alignment horizontal="left" readingOrder="0" shrinkToFit="0" vertical="center" wrapText="1"/>
    </xf>
    <xf borderId="22" fillId="3" fontId="12" numFmtId="0" xfId="0" applyAlignment="1" applyBorder="1" applyFill="1" applyFont="1">
      <alignment horizontal="center" shrinkToFit="0" vertical="center" wrapText="0"/>
    </xf>
    <xf borderId="10" fillId="0" fontId="26" numFmtId="49" xfId="0" applyAlignment="1" applyBorder="1" applyFont="1" applyNumberFormat="1">
      <alignment horizontal="left" readingOrder="0" shrinkToFit="0" vertical="center" wrapText="1"/>
    </xf>
    <xf borderId="4" fillId="2" fontId="28" numFmtId="0" xfId="0" applyAlignment="1" applyBorder="1" applyFill="1" applyFont="1">
      <alignment shrinkToFit="0" vertical="bottom" wrapText="0"/>
    </xf>
    <xf borderId="13" fillId="0" fontId="10" numFmtId="49" xfId="0" applyAlignment="1" applyBorder="1" applyFont="1" applyNumberFormat="1">
      <alignment horizontal="left" readingOrder="0" shrinkToFit="0" vertical="center" wrapText="1"/>
    </xf>
    <xf borderId="22" fillId="3" fontId="12" numFmtId="0" xfId="0" applyAlignment="1" applyBorder="1" applyFill="1" applyFont="1">
      <alignment horizontal="center" shrinkToFit="1" vertical="center" wrapText="0"/>
    </xf>
    <xf borderId="0" fillId="0" fontId="10" numFmtId="49" xfId="0" applyAlignment="1" applyFont="1" applyNumberFormat="1">
      <alignment horizontal="left" readingOrder="0" shrinkToFit="0" vertical="center" wrapText="1"/>
    </xf>
    <xf borderId="4" fillId="2" fontId="23" numFmtId="0" xfId="0" applyAlignment="1" applyBorder="1" applyFill="1" applyFont="1">
      <alignment shrinkToFit="0" vertical="bottom" wrapText="0"/>
    </xf>
    <xf borderId="4" fillId="2" fontId="28" numFmtId="0" xfId="0" applyAlignment="1" applyBorder="1" applyFill="1" applyFont="1">
      <alignment shrinkToFit="0" vertical="top" wrapText="0"/>
    </xf>
    <xf borderId="23" fillId="3" fontId="12" numFmtId="0" xfId="0" applyAlignment="1" applyBorder="1" applyFill="1" applyFont="1">
      <alignment horizontal="center" shrinkToFit="0" vertical="center" wrapText="0"/>
    </xf>
    <xf borderId="14" fillId="0" fontId="10" numFmtId="49" xfId="0" applyAlignment="1" applyBorder="1" applyFont="1" applyNumberFormat="1">
      <alignment horizontal="left" readingOrder="0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3" fontId="12" numFmtId="0" xfId="0" applyAlignment="1" applyBorder="1" applyFill="1" applyFont="1">
      <alignment horizontal="center" shrinkToFit="0" vertical="center" wrapText="0"/>
    </xf>
    <xf borderId="26" fillId="3" fontId="12" numFmtId="0" xfId="0" applyAlignment="1" applyBorder="1" applyFill="1" applyFont="1">
      <alignment horizontal="center" shrinkToFit="0" vertical="center" wrapText="1"/>
    </xf>
    <xf borderId="27" fillId="0" fontId="10" numFmtId="49" xfId="0" applyAlignment="1" applyBorder="1" applyFont="1" applyNumberFormat="1">
      <alignment horizontal="left" readingOrder="0" shrinkToFit="0" vertical="center" wrapText="1"/>
    </xf>
    <xf borderId="28" fillId="0" fontId="10" numFmtId="49" xfId="0" applyAlignment="1" applyBorder="1" applyFont="1" applyNumberFormat="1">
      <alignment horizontal="left" readingOrder="0" shrinkToFit="0" vertical="center" wrapText="1"/>
    </xf>
    <xf borderId="18" fillId="3" fontId="12" numFmtId="0" xfId="0" applyAlignment="1" applyBorder="1" applyFill="1" applyFont="1">
      <alignment horizontal="center" shrinkToFit="1" vertical="center" wrapText="0"/>
    </xf>
    <xf borderId="29" fillId="0" fontId="10" numFmtId="49" xfId="0" applyAlignment="1" applyBorder="1" applyFont="1" applyNumberFormat="1">
      <alignment horizontal="left" readingOrder="0" shrinkToFit="0" vertical="center" wrapText="1"/>
    </xf>
    <xf borderId="30" fillId="0" fontId="2" numFmtId="0" xfId="0" applyBorder="1" applyFont="1"/>
    <xf borderId="18" fillId="3" fontId="12" numFmtId="0" xfId="0" applyAlignment="1" applyBorder="1" applyFill="1" applyFont="1">
      <alignment horizontal="center" shrinkToFit="0" vertical="center" wrapText="0"/>
    </xf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22" fillId="3" fontId="12" numFmtId="0" xfId="0" applyAlignment="1" applyBorder="1" applyFill="1" applyFont="1">
      <alignment horizontal="center" shrinkToFit="0" vertical="center" wrapText="1"/>
    </xf>
    <xf borderId="17" fillId="3" fontId="12" numFmtId="0" xfId="0" applyAlignment="1" applyBorder="1" applyFill="1" applyFont="1">
      <alignment horizontal="center" shrinkToFit="0" vertical="bottom" wrapText="0"/>
    </xf>
    <xf borderId="17" fillId="4" fontId="12" numFmtId="0" xfId="0" applyAlignment="1" applyBorder="1" applyFill="1" applyFont="1">
      <alignment horizontal="center" shrinkToFit="0" vertical="bottom" wrapText="0"/>
    </xf>
    <xf borderId="37" fillId="3" fontId="12" numFmtId="0" xfId="0" applyAlignment="1" applyBorder="1" applyFill="1" applyFont="1">
      <alignment horizontal="center" shrinkToFit="0" vertical="center" wrapText="1"/>
    </xf>
    <xf borderId="38" fillId="0" fontId="2" numFmtId="0" xfId="0" applyBorder="1" applyFont="1"/>
    <xf borderId="39" fillId="3" fontId="12" numFmtId="0" xfId="0" applyAlignment="1" applyBorder="1" applyFill="1" applyFont="1">
      <alignment horizontal="center" shrinkToFit="1" vertical="center" wrapText="0"/>
    </xf>
    <xf borderId="40" fillId="0" fontId="2" numFmtId="0" xfId="0" applyBorder="1" applyFont="1"/>
    <xf borderId="41" fillId="0" fontId="2" numFmtId="0" xfId="0" applyBorder="1" applyFont="1"/>
    <xf borderId="42" fillId="2" fontId="12" numFmtId="0" xfId="0" applyAlignment="1" applyBorder="1" applyFill="1" applyFont="1">
      <alignment horizontal="center" shrinkToFit="0" vertical="center" wrapText="0"/>
    </xf>
    <xf borderId="43" fillId="0" fontId="2" numFmtId="0" xfId="0" applyBorder="1" applyFont="1"/>
    <xf borderId="4" fillId="2" fontId="12" numFmtId="0" xfId="0" applyAlignment="1" applyBorder="1" applyFill="1" applyFont="1">
      <alignment horizontal="center" shrinkToFit="0" vertical="center" wrapText="0"/>
    </xf>
    <xf borderId="17" fillId="3" fontId="12" numFmtId="167" xfId="0" applyAlignment="1" applyBorder="1" applyFill="1" applyFont="1" applyNumberFormat="1">
      <alignment horizontal="center" shrinkToFit="0" vertical="bottom" wrapText="0"/>
    </xf>
    <xf borderId="17" fillId="4" fontId="12" numFmtId="167" xfId="0" applyAlignment="1" applyBorder="1" applyFill="1" applyFont="1" applyNumberFormat="1">
      <alignment horizontal="center" shrinkToFit="0" vertical="bottom" wrapText="0"/>
    </xf>
    <xf borderId="17" fillId="3" fontId="12" numFmtId="0" xfId="0" applyAlignment="1" applyBorder="1" applyFill="1" applyFont="1">
      <alignment horizontal="center" shrinkToFit="0" vertical="top" wrapText="1"/>
    </xf>
    <xf borderId="17" fillId="3" fontId="12" numFmtId="0" xfId="0" applyAlignment="1" applyBorder="1" applyFill="1" applyFont="1">
      <alignment horizontal="center" shrinkToFit="0" vertical="center" wrapText="1"/>
    </xf>
    <xf borderId="44" fillId="2" fontId="16" numFmtId="0" xfId="0" applyAlignment="1" applyBorder="1" applyFill="1" applyFont="1">
      <alignment horizontal="center" shrinkToFit="0" vertical="center" wrapText="0"/>
    </xf>
    <xf borderId="45" fillId="3" fontId="12" numFmtId="0" xfId="0" applyAlignment="1" applyBorder="1" applyFill="1" applyFont="1">
      <alignment horizontal="center" shrinkToFit="0" vertical="center" wrapText="1"/>
    </xf>
    <xf borderId="45" fillId="3" fontId="24" numFmtId="0" xfId="0" applyAlignment="1" applyBorder="1" applyFill="1" applyFont="1">
      <alignment horizontal="center" shrinkToFit="0" vertical="center" wrapText="1"/>
    </xf>
    <xf borderId="17" fillId="2" fontId="16" numFmtId="0" xfId="0" applyAlignment="1" applyBorder="1" applyFill="1" applyFont="1">
      <alignment shrinkToFit="0" vertical="top" wrapText="0"/>
    </xf>
    <xf borderId="17" fillId="2" fontId="18" numFmtId="0" xfId="0" applyAlignment="1" applyBorder="1" applyFill="1" applyFont="1">
      <alignment shrinkToFit="0" vertical="top" wrapText="0"/>
    </xf>
    <xf borderId="17" fillId="2" fontId="25" numFmtId="0" xfId="0" applyAlignment="1" applyBorder="1" applyFill="1" applyFont="1">
      <alignment horizontal="center" shrinkToFit="0" vertical="top" wrapText="0"/>
    </xf>
    <xf borderId="17" fillId="2" fontId="25" numFmtId="0" xfId="0" applyAlignment="1" applyBorder="1" applyFill="1" applyFont="1">
      <alignment shrinkToFit="0" vertical="top" wrapText="0"/>
    </xf>
    <xf borderId="44" fillId="2" fontId="18" numFmtId="0" xfId="0" applyAlignment="1" applyBorder="1" applyFill="1" applyFont="1">
      <alignment horizontal="left" shrinkToFit="0" vertical="center" wrapText="0"/>
    </xf>
    <xf borderId="17" fillId="2" fontId="29" numFmtId="0" xfId="0" applyAlignment="1" applyBorder="1" applyFill="1" applyFont="1">
      <alignment shrinkToFit="0" vertical="top" wrapText="0"/>
    </xf>
    <xf borderId="22" fillId="2" fontId="18" numFmtId="0" xfId="0" applyAlignment="1" applyBorder="1" applyFill="1" applyFont="1">
      <alignment horizontal="left" shrinkToFit="0" vertical="center" wrapText="0"/>
    </xf>
    <xf borderId="22" fillId="2" fontId="16" numFmtId="0" xfId="0" applyAlignment="1" applyBorder="1" applyFill="1" applyFont="1">
      <alignment horizontal="center" shrinkToFit="0" vertical="center" wrapText="0"/>
    </xf>
    <xf borderId="22" fillId="2" fontId="16" numFmtId="10" xfId="0" applyAlignment="1" applyBorder="1" applyFill="1" applyFont="1" applyNumberFormat="1">
      <alignment horizontal="center" shrinkToFit="0" vertical="center" wrapText="0"/>
    </xf>
    <xf borderId="17" fillId="2" fontId="18" numFmtId="0" xfId="0" applyAlignment="1" applyBorder="1" applyFill="1" applyFont="1">
      <alignment horizontal="left" shrinkToFit="0" vertical="top" wrapText="1"/>
    </xf>
    <xf borderId="17" fillId="5" fontId="12" numFmtId="10" xfId="0" applyAlignment="1" applyBorder="1" applyFill="1" applyFont="1" applyNumberFormat="1">
      <alignment horizontal="left" shrinkToFit="0" vertical="center" wrapText="0"/>
    </xf>
    <xf borderId="17" fillId="5" fontId="23" numFmtId="0" xfId="0" applyAlignment="1" applyBorder="1" applyFill="1" applyFont="1">
      <alignment shrinkToFit="0" vertical="bottom" wrapText="0"/>
    </xf>
    <xf borderId="42" fillId="2" fontId="16" numFmtId="0" xfId="0" applyAlignment="1" applyBorder="1" applyFill="1" applyFont="1">
      <alignment shrinkToFit="0" vertical="bottom" wrapText="0"/>
    </xf>
    <xf borderId="17" fillId="4" fontId="16" numFmtId="0" xfId="0" applyAlignment="1" applyBorder="1" applyFill="1" applyFont="1">
      <alignment shrinkToFit="0" vertical="bottom" wrapText="0"/>
    </xf>
    <xf borderId="17" fillId="5" fontId="16" numFmtId="0" xfId="0" applyAlignment="1" applyBorder="1" applyFill="1" applyFont="1">
      <alignment shrinkToFit="0" vertical="bottom" wrapText="0"/>
    </xf>
    <xf borderId="4" fillId="2" fontId="14" numFmtId="0" xfId="0" applyAlignment="1" applyBorder="1" applyFill="1" applyFont="1">
      <alignment shrinkToFit="0" vertical="bottom" wrapText="0"/>
    </xf>
    <xf borderId="17" fillId="2" fontId="12" numFmtId="10" xfId="0" applyAlignment="1" applyBorder="1" applyFill="1" applyFont="1" applyNumberFormat="1">
      <alignment horizontal="left" shrinkToFit="0" vertical="bottom" wrapText="0"/>
    </xf>
    <xf borderId="17" fillId="2" fontId="23" numFmtId="0" xfId="0" applyAlignment="1" applyBorder="1" applyFill="1" applyFont="1">
      <alignment shrinkToFit="0" vertical="bottom" wrapText="0"/>
    </xf>
    <xf borderId="17" fillId="2" fontId="16" numFmtId="0" xfId="0" applyAlignment="1" applyBorder="1" applyFill="1" applyFont="1">
      <alignment shrinkToFit="0" vertical="bottom" wrapText="0"/>
    </xf>
    <xf borderId="17" fillId="2" fontId="25" numFmtId="0" xfId="0" applyAlignment="1" applyBorder="1" applyFill="1" applyFont="1">
      <alignment horizontal="left" shrinkToFit="0" vertical="top" wrapText="1"/>
    </xf>
    <xf borderId="17" fillId="3" fontId="12" numFmtId="0" xfId="0" applyAlignment="1" applyBorder="1" applyFill="1" applyFont="1">
      <alignment shrinkToFit="0" vertical="bottom" wrapText="0"/>
    </xf>
    <xf borderId="17" fillId="3" fontId="24" numFmtId="0" xfId="0" applyAlignment="1" applyBorder="1" applyFill="1" applyFont="1">
      <alignment shrinkToFit="0" vertical="bottom" wrapText="0"/>
    </xf>
    <xf borderId="17" fillId="3" fontId="30" numFmtId="0" xfId="0" applyAlignment="1" applyBorder="1" applyFill="1" applyFont="1">
      <alignment shrinkToFit="0" vertical="bottom" wrapText="0"/>
    </xf>
    <xf borderId="17" fillId="3" fontId="24" numFmtId="0" xfId="0" applyAlignment="1" applyBorder="1" applyFill="1" applyFont="1">
      <alignment horizontal="left" shrinkToFit="0" vertical="top" wrapText="1"/>
    </xf>
    <xf borderId="42" fillId="2" fontId="12" numFmtId="0" xfId="0" applyAlignment="1" applyBorder="1" applyFill="1" applyFont="1">
      <alignment shrinkToFit="0" vertical="bottom" wrapText="0"/>
    </xf>
    <xf borderId="17" fillId="2" fontId="31" numFmtId="0" xfId="0" applyAlignment="1" applyBorder="1" applyFill="1" applyFont="1">
      <alignment shrinkToFit="0" vertical="bottom" wrapText="0"/>
    </xf>
    <xf borderId="17" fillId="2" fontId="27" numFmtId="0" xfId="0" applyAlignment="1" applyBorder="1" applyFill="1" applyFont="1">
      <alignment shrinkToFit="0" vertical="bottom" wrapText="0"/>
    </xf>
    <xf borderId="17" fillId="5" fontId="12" numFmtId="0" xfId="0" applyAlignment="1" applyBorder="1" applyFill="1" applyFont="1">
      <alignment shrinkToFit="0" vertical="bottom" wrapText="0"/>
    </xf>
    <xf borderId="17" fillId="2" fontId="12" numFmtId="0" xfId="0" applyAlignment="1" applyBorder="1" applyFill="1" applyFont="1">
      <alignment shrinkToFit="0" vertical="bottom" wrapText="0"/>
    </xf>
    <xf borderId="17" fillId="2" fontId="16" numFmtId="10" xfId="0" applyAlignment="1" applyBorder="1" applyFill="1" applyFont="1" applyNumberFormat="1">
      <alignment horizontal="center" shrinkToFit="0" vertical="bottom" wrapText="0"/>
    </xf>
  </cellXfs>
  <cellStyles count="1">
    <cellStyle xfId="0" name="Normal" builtinId="0"/>
  </cellStyles>
  <dxfs count="3">
    <dxf>
      <font>
        <color rgb="FF000000"/>
      </font>
      <fill>
        <patternFill patternType="solid">
          <fgColor rgb="FFDC2300"/>
          <bgColor rgb="FFDC2300"/>
        </patternFill>
      </fill>
      <border/>
    </dxf>
    <dxf>
      <font>
        <color rgb="FF000000"/>
      </font>
      <fill>
        <patternFill patternType="solid">
          <fgColor rgb="FF94BD5E"/>
          <bgColor rgb="FF94BD5E"/>
        </patternFill>
      </fill>
      <border/>
    </dxf>
    <dxf>
      <font>
        <color rgb="FF000000"/>
      </font>
      <fill>
        <patternFill patternType="solid">
          <fgColor rgb="FFFF8080"/>
          <bgColor rgb="FFFF808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333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6225" cy="1619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6225" cy="1524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6225" cy="1524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6.57"/>
    <col customWidth="1" min="2" max="2" width="5.29"/>
    <col customWidth="1" min="3" max="3" width="7.29"/>
    <col customWidth="1" min="4" max="4" width="4.0"/>
    <col customWidth="1" min="5" max="9" width="11.14"/>
    <col customWidth="1" min="10" max="10" width="15.71"/>
    <col customWidth="1" min="11" max="11" width="18.0"/>
  </cols>
  <sheetData>
    <row r="1" ht="22.5" customHeight="1">
      <c r="A1" s="1"/>
      <c r="B1" s="2"/>
      <c r="C1" s="2"/>
      <c r="D1" s="2"/>
      <c r="E1" s="4" t="s">
        <v>1</v>
      </c>
      <c r="F1" s="2"/>
      <c r="G1" s="2"/>
      <c r="H1" s="2"/>
      <c r="I1" s="2"/>
      <c r="J1" s="5" t="s">
        <v>2</v>
      </c>
      <c r="K1" s="3"/>
    </row>
    <row r="2" ht="22.5" customHeight="1">
      <c r="A2" s="9"/>
      <c r="E2" s="9"/>
      <c r="J2" s="10" t="s">
        <v>3</v>
      </c>
      <c r="K2" s="11"/>
    </row>
    <row r="3" ht="22.5" customHeight="1">
      <c r="A3" s="9"/>
      <c r="E3" s="9"/>
      <c r="J3" s="13" t="s">
        <v>4</v>
      </c>
      <c r="K3" s="15"/>
    </row>
    <row r="4" ht="22.5" customHeight="1">
      <c r="A4" s="17" t="s">
        <v>5</v>
      </c>
      <c r="B4" s="20"/>
      <c r="C4" s="20"/>
      <c r="D4" s="20"/>
      <c r="E4" s="20"/>
      <c r="F4" s="20"/>
      <c r="G4" s="20"/>
      <c r="H4" s="20"/>
      <c r="I4" s="22"/>
      <c r="J4" s="19" t="s">
        <v>6</v>
      </c>
      <c r="K4" s="15"/>
    </row>
    <row r="5" ht="16.5" customHeight="1">
      <c r="A5" s="24"/>
      <c r="K5" s="25"/>
    </row>
    <row r="6" ht="31.5" customHeight="1">
      <c r="A6" s="26" t="s">
        <v>7</v>
      </c>
      <c r="K6" s="25"/>
    </row>
    <row r="7" ht="20.25" customHeight="1">
      <c r="A7" s="27" t="s">
        <v>8</v>
      </c>
      <c r="B7" s="29" t="s">
        <v>9</v>
      </c>
      <c r="C7" s="20"/>
      <c r="D7" s="22"/>
      <c r="E7" s="29" t="s">
        <v>10</v>
      </c>
      <c r="F7" s="20"/>
      <c r="G7" s="20"/>
      <c r="H7" s="20"/>
      <c r="I7" s="22"/>
      <c r="J7" s="29" t="s">
        <v>13</v>
      </c>
      <c r="K7" s="22"/>
    </row>
    <row r="8" ht="22.5" customHeight="1">
      <c r="A8" s="34">
        <v>1.0</v>
      </c>
      <c r="B8" s="36"/>
      <c r="C8" s="20"/>
      <c r="D8" s="22"/>
      <c r="E8" s="36" t="s">
        <v>14</v>
      </c>
      <c r="F8" s="20"/>
      <c r="G8" s="20"/>
      <c r="H8" s="20"/>
      <c r="I8" s="22"/>
      <c r="J8" s="40">
        <v>44320.0</v>
      </c>
      <c r="K8" s="22"/>
    </row>
    <row r="9" ht="22.5" customHeight="1">
      <c r="A9" s="47" t="s">
        <v>17</v>
      </c>
      <c r="B9" s="36" t="s">
        <v>28</v>
      </c>
      <c r="C9" s="20"/>
      <c r="D9" s="22"/>
      <c r="E9" s="36" t="s">
        <v>29</v>
      </c>
      <c r="F9" s="20"/>
      <c r="G9" s="20"/>
      <c r="H9" s="20"/>
      <c r="I9" s="22"/>
      <c r="J9" s="36" t="s">
        <v>31</v>
      </c>
      <c r="K9" s="22"/>
    </row>
    <row r="10" ht="22.5" customHeight="1">
      <c r="A10" s="34"/>
      <c r="B10" s="36"/>
      <c r="C10" s="20"/>
      <c r="D10" s="22"/>
      <c r="E10" s="36"/>
      <c r="F10" s="20"/>
      <c r="G10" s="20"/>
      <c r="H10" s="20"/>
      <c r="I10" s="22"/>
      <c r="J10" s="36"/>
      <c r="K10" s="22"/>
    </row>
    <row r="11" ht="22.5" customHeight="1">
      <c r="A11" s="34"/>
      <c r="B11" s="57"/>
      <c r="C11" s="2"/>
      <c r="D11" s="3"/>
      <c r="E11" s="57"/>
      <c r="F11" s="2"/>
      <c r="G11" s="2"/>
      <c r="H11" s="2"/>
      <c r="I11" s="3"/>
      <c r="J11" s="36"/>
      <c r="K11" s="22"/>
    </row>
    <row r="12" ht="22.5" customHeight="1">
      <c r="A12" s="34"/>
      <c r="B12" s="61"/>
      <c r="C12" s="20"/>
      <c r="D12" s="22"/>
      <c r="E12" s="63"/>
      <c r="F12" s="20"/>
      <c r="G12" s="20"/>
      <c r="H12" s="20"/>
      <c r="I12" s="22"/>
      <c r="J12" s="36"/>
      <c r="K12" s="22"/>
    </row>
    <row r="13" ht="22.5" customHeight="1">
      <c r="A13" s="65"/>
      <c r="B13" s="61"/>
      <c r="C13" s="20"/>
      <c r="D13" s="22"/>
      <c r="E13" s="63"/>
      <c r="F13" s="20"/>
      <c r="G13" s="20"/>
      <c r="H13" s="20"/>
      <c r="I13" s="22"/>
      <c r="J13" s="36"/>
      <c r="K13" s="22"/>
    </row>
    <row r="14" ht="22.5" customHeight="1">
      <c r="A14" s="68"/>
      <c r="B14" s="69"/>
      <c r="C14" s="20"/>
      <c r="D14" s="22"/>
      <c r="E14" s="71"/>
      <c r="F14" s="20"/>
      <c r="G14" s="20"/>
      <c r="H14" s="20"/>
      <c r="I14" s="22"/>
      <c r="J14" s="36"/>
      <c r="K14" s="22"/>
    </row>
    <row r="15" ht="22.5" customHeight="1">
      <c r="A15" s="73"/>
      <c r="B15" s="75"/>
      <c r="C15" s="75"/>
      <c r="D15" s="75"/>
      <c r="E15" s="75"/>
      <c r="F15" s="75"/>
      <c r="G15" s="75"/>
      <c r="H15" s="75"/>
      <c r="I15" s="75"/>
      <c r="J15" s="75"/>
      <c r="K15" s="79"/>
    </row>
    <row r="16" ht="22.5" customHeight="1">
      <c r="A16" s="73"/>
      <c r="B16" s="75"/>
      <c r="C16" s="75"/>
      <c r="D16" s="75"/>
      <c r="E16" s="75"/>
      <c r="F16" s="75"/>
      <c r="G16" s="75"/>
      <c r="H16" s="75"/>
      <c r="I16" s="75"/>
      <c r="J16" s="75"/>
      <c r="K16" s="79"/>
    </row>
    <row r="17" ht="22.5" customHeight="1">
      <c r="A17" s="73"/>
      <c r="B17" s="75"/>
      <c r="C17" s="75"/>
      <c r="D17" s="75"/>
      <c r="E17" s="75"/>
      <c r="F17" s="75"/>
      <c r="G17" s="75"/>
      <c r="H17" s="75"/>
      <c r="I17" s="75"/>
      <c r="J17" s="75"/>
      <c r="K17" s="79"/>
    </row>
    <row r="18" ht="22.5" customHeight="1">
      <c r="A18" s="73"/>
      <c r="B18" s="75"/>
      <c r="C18" s="75"/>
      <c r="D18" s="75"/>
      <c r="E18" s="75"/>
      <c r="F18" s="75"/>
      <c r="G18" s="75"/>
      <c r="H18" s="75"/>
      <c r="I18" s="75"/>
      <c r="J18" s="75"/>
      <c r="K18" s="79"/>
    </row>
    <row r="19" ht="22.5" customHeight="1">
      <c r="A19" s="73"/>
      <c r="B19" s="75"/>
      <c r="C19" s="75"/>
      <c r="D19" s="75"/>
      <c r="E19" s="75"/>
      <c r="F19" s="75"/>
      <c r="G19" s="75"/>
      <c r="H19" s="75"/>
      <c r="I19" s="75"/>
      <c r="J19" s="75"/>
      <c r="K19" s="79"/>
    </row>
    <row r="20" ht="22.5" customHeight="1">
      <c r="A20" s="73"/>
      <c r="B20" s="75"/>
      <c r="C20" s="75"/>
      <c r="D20" s="75"/>
      <c r="E20" s="75"/>
      <c r="F20" s="75"/>
      <c r="G20" s="75"/>
      <c r="H20" s="75"/>
      <c r="I20" s="75"/>
      <c r="J20" s="75"/>
      <c r="K20" s="79"/>
    </row>
    <row r="21" ht="22.5" customHeight="1">
      <c r="A21" s="73"/>
      <c r="B21" s="75"/>
      <c r="C21" s="75"/>
      <c r="D21" s="75"/>
      <c r="E21" s="75"/>
      <c r="F21" s="75"/>
      <c r="G21" s="75"/>
      <c r="H21" s="75"/>
      <c r="I21" s="75"/>
      <c r="J21" s="75"/>
      <c r="K21" s="79"/>
    </row>
    <row r="22" ht="22.5" customHeight="1">
      <c r="A22" s="84"/>
      <c r="B22" s="85"/>
      <c r="C22" s="85"/>
      <c r="D22" s="85"/>
      <c r="E22" s="85"/>
      <c r="F22" s="85"/>
      <c r="G22" s="85"/>
      <c r="H22" s="85"/>
      <c r="I22" s="85"/>
      <c r="J22" s="85"/>
      <c r="K22" s="87"/>
    </row>
  </sheetData>
  <mergeCells count="33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D7"/>
    <mergeCell ref="E7:I7"/>
    <mergeCell ref="J7:K7"/>
    <mergeCell ref="E8:I8"/>
    <mergeCell ref="J8:K8"/>
    <mergeCell ref="B8:D8"/>
    <mergeCell ref="B9:D9"/>
    <mergeCell ref="E9:I9"/>
    <mergeCell ref="J9:K9"/>
    <mergeCell ref="B10:D10"/>
    <mergeCell ref="E10:I10"/>
    <mergeCell ref="J10:K10"/>
    <mergeCell ref="E13:I13"/>
    <mergeCell ref="J13:K13"/>
    <mergeCell ref="B14:D14"/>
    <mergeCell ref="E14:I14"/>
    <mergeCell ref="J14:K14"/>
    <mergeCell ref="B11:D11"/>
    <mergeCell ref="E11:I11"/>
    <mergeCell ref="J11:K11"/>
    <mergeCell ref="B12:D12"/>
    <mergeCell ref="E12:I12"/>
    <mergeCell ref="J12:K12"/>
    <mergeCell ref="B13:D1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1.29"/>
    <col customWidth="1" min="3" max="5" width="19.14"/>
    <col customWidth="1" min="6" max="6" width="25.43"/>
    <col customWidth="1" min="7" max="7" width="21.43"/>
    <col customWidth="1" min="8" max="17" width="11.57"/>
    <col customWidth="1" min="18" max="26" width="16.0"/>
  </cols>
  <sheetData>
    <row r="1">
      <c r="A1" s="1"/>
      <c r="B1" s="2"/>
      <c r="C1" s="4" t="s">
        <v>0</v>
      </c>
      <c r="D1" s="2"/>
      <c r="E1" s="2"/>
      <c r="F1" s="2"/>
      <c r="G1" s="5" t="s">
        <v>2</v>
      </c>
      <c r="H1" s="3"/>
      <c r="I1" s="6"/>
      <c r="L1" s="7"/>
      <c r="M1" s="7"/>
      <c r="N1" s="7"/>
      <c r="O1" s="7"/>
      <c r="P1" s="7"/>
      <c r="Q1" s="7"/>
    </row>
    <row r="2">
      <c r="A2" s="9"/>
      <c r="C2" s="9"/>
      <c r="G2" s="10" t="s">
        <v>3</v>
      </c>
      <c r="H2" s="11"/>
      <c r="I2" s="12"/>
      <c r="L2" s="7"/>
      <c r="M2" s="7"/>
      <c r="N2" s="7"/>
      <c r="O2" s="7"/>
      <c r="P2" s="7"/>
      <c r="Q2" s="7"/>
    </row>
    <row r="3">
      <c r="A3" s="9"/>
      <c r="C3" s="9"/>
      <c r="G3" s="13" t="s">
        <v>4</v>
      </c>
      <c r="H3" s="15"/>
      <c r="I3" s="12"/>
      <c r="L3" s="7"/>
      <c r="M3" s="7"/>
      <c r="N3" s="7"/>
      <c r="O3" s="7"/>
      <c r="P3" s="7"/>
      <c r="Q3" s="7"/>
    </row>
    <row r="4">
      <c r="A4" s="17" t="s">
        <v>5</v>
      </c>
      <c r="B4" s="18"/>
      <c r="C4" s="18"/>
      <c r="D4" s="18"/>
      <c r="E4" s="18"/>
      <c r="F4" s="18"/>
      <c r="G4" s="19" t="s">
        <v>6</v>
      </c>
      <c r="H4" s="15"/>
      <c r="I4" s="12"/>
      <c r="L4" s="7"/>
      <c r="M4" s="7"/>
      <c r="N4" s="7"/>
      <c r="O4" s="7"/>
      <c r="P4" s="7"/>
      <c r="Q4" s="7"/>
    </row>
    <row r="5" ht="15.75" customHeight="1">
      <c r="A5" s="7"/>
      <c r="B5" s="21"/>
      <c r="C5" s="7"/>
      <c r="D5" s="7"/>
      <c r="E5" s="7"/>
      <c r="F5" s="7"/>
      <c r="G5" s="7"/>
      <c r="H5" s="7"/>
      <c r="I5" s="12"/>
      <c r="J5" s="7"/>
      <c r="K5" s="7"/>
      <c r="L5" s="7"/>
      <c r="M5" s="7"/>
      <c r="N5" s="7"/>
      <c r="O5" s="7"/>
      <c r="P5" s="7"/>
      <c r="Q5" s="7"/>
    </row>
    <row r="6" ht="14.25" customHeight="1">
      <c r="A6" s="30"/>
      <c r="B6" s="31" t="s">
        <v>11</v>
      </c>
      <c r="C6" s="38" t="s">
        <v>12</v>
      </c>
      <c r="D6" s="39"/>
      <c r="E6" s="31" t="s">
        <v>15</v>
      </c>
      <c r="F6" s="38" t="s">
        <v>16</v>
      </c>
      <c r="G6" s="39"/>
      <c r="H6" s="30"/>
      <c r="I6" s="42"/>
      <c r="J6" s="30"/>
      <c r="K6" s="30"/>
      <c r="L6" s="30"/>
      <c r="M6" s="30"/>
      <c r="N6" s="30"/>
      <c r="O6" s="30"/>
      <c r="P6" s="30"/>
      <c r="Q6" s="30"/>
      <c r="R6" s="44"/>
      <c r="S6" s="44"/>
      <c r="T6" s="44"/>
      <c r="U6" s="44"/>
      <c r="V6" s="44"/>
      <c r="W6" s="44"/>
      <c r="X6" s="44"/>
      <c r="Y6" s="44"/>
      <c r="Z6" s="44"/>
    </row>
    <row r="7" ht="14.25" customHeight="1">
      <c r="A7" s="30"/>
      <c r="B7" s="31" t="s">
        <v>19</v>
      </c>
      <c r="C7" s="38" t="s">
        <v>20</v>
      </c>
      <c r="D7" s="39"/>
      <c r="E7" s="31" t="s">
        <v>21</v>
      </c>
      <c r="F7" s="38" t="s">
        <v>22</v>
      </c>
      <c r="G7" s="39"/>
      <c r="H7" s="30"/>
      <c r="I7" s="30"/>
      <c r="J7" s="30"/>
      <c r="K7" s="30"/>
      <c r="L7" s="30"/>
      <c r="M7" s="30"/>
      <c r="N7" s="30"/>
      <c r="O7" s="30"/>
      <c r="P7" s="30"/>
      <c r="Q7" s="30"/>
      <c r="R7" s="44"/>
      <c r="S7" s="44"/>
      <c r="T7" s="44"/>
      <c r="U7" s="44"/>
      <c r="V7" s="44"/>
      <c r="W7" s="44"/>
      <c r="X7" s="44"/>
      <c r="Y7" s="44"/>
      <c r="Z7" s="44"/>
    </row>
    <row r="8" ht="14.25" customHeight="1">
      <c r="A8" s="30"/>
      <c r="B8" s="31" t="s">
        <v>23</v>
      </c>
      <c r="C8" s="38" t="s">
        <v>24</v>
      </c>
      <c r="D8" s="39"/>
      <c r="E8" s="31" t="s">
        <v>26</v>
      </c>
      <c r="F8" s="38" t="s">
        <v>27</v>
      </c>
      <c r="G8" s="39"/>
      <c r="H8" s="30"/>
      <c r="I8" s="30"/>
      <c r="J8" s="30"/>
      <c r="K8" s="30"/>
      <c r="L8" s="30"/>
      <c r="M8" s="30"/>
      <c r="N8" s="30"/>
      <c r="O8" s="30"/>
      <c r="P8" s="30"/>
      <c r="Q8" s="30"/>
      <c r="R8" s="44"/>
      <c r="S8" s="44"/>
      <c r="T8" s="44"/>
      <c r="U8" s="44"/>
      <c r="V8" s="44"/>
      <c r="W8" s="44"/>
      <c r="X8" s="44"/>
      <c r="Y8" s="44"/>
      <c r="Z8" s="44"/>
    </row>
    <row r="9" ht="15.75" customHeight="1">
      <c r="A9" s="30"/>
      <c r="B9" s="49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44"/>
      <c r="S9" s="44"/>
      <c r="T9" s="44"/>
      <c r="U9" s="44"/>
      <c r="V9" s="44"/>
      <c r="W9" s="44"/>
      <c r="X9" s="44"/>
      <c r="Y9" s="44"/>
      <c r="Z9" s="44"/>
    </row>
    <row r="10" ht="15.75" customHeight="1">
      <c r="A10" s="30"/>
      <c r="B10" s="5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44"/>
      <c r="S10" s="44"/>
      <c r="T10" s="44"/>
      <c r="U10" s="44"/>
      <c r="V10" s="44"/>
      <c r="W10" s="44"/>
      <c r="X10" s="44"/>
      <c r="Y10" s="44"/>
      <c r="Z10" s="44"/>
    </row>
    <row r="11" ht="15.75" customHeight="1">
      <c r="A11" s="30"/>
      <c r="B11" s="5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44"/>
      <c r="S11" s="44"/>
      <c r="T11" s="44"/>
      <c r="U11" s="44"/>
      <c r="V11" s="44"/>
      <c r="W11" s="44"/>
      <c r="X11" s="44"/>
      <c r="Y11" s="44"/>
      <c r="Z11" s="44"/>
    </row>
    <row r="12" ht="15.75" customHeight="1">
      <c r="A12" s="30"/>
      <c r="B12" s="50" t="s">
        <v>30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44"/>
      <c r="S12" s="44"/>
      <c r="T12" s="44"/>
      <c r="U12" s="44"/>
      <c r="V12" s="44"/>
      <c r="W12" s="44"/>
      <c r="X12" s="44"/>
      <c r="Y12" s="44"/>
      <c r="Z12" s="44"/>
    </row>
    <row r="13" ht="15.75" customHeight="1">
      <c r="A13" s="30"/>
      <c r="B13" s="5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44"/>
      <c r="S13" s="44"/>
      <c r="T13" s="44"/>
      <c r="U13" s="44"/>
      <c r="V13" s="44"/>
      <c r="W13" s="44"/>
      <c r="X13" s="44"/>
      <c r="Y13" s="44"/>
      <c r="Z13" s="44"/>
    </row>
    <row r="14" ht="14.25" customHeight="1">
      <c r="A14" s="30"/>
      <c r="B14" s="52" t="s">
        <v>32</v>
      </c>
      <c r="C14" s="52" t="s">
        <v>34</v>
      </c>
      <c r="D14" s="52" t="s">
        <v>35</v>
      </c>
      <c r="E14" s="52" t="s">
        <v>36</v>
      </c>
      <c r="F14" s="52" t="s">
        <v>37</v>
      </c>
      <c r="G14" s="52" t="s">
        <v>38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44"/>
      <c r="S14" s="44"/>
      <c r="T14" s="44"/>
      <c r="U14" s="44"/>
      <c r="V14" s="44"/>
      <c r="W14" s="44"/>
      <c r="X14" s="44"/>
      <c r="Y14" s="44"/>
      <c r="Z14" s="44"/>
    </row>
    <row r="15" ht="42.75" customHeight="1">
      <c r="A15" s="53"/>
      <c r="B15" s="54" t="s">
        <v>39</v>
      </c>
      <c r="C15" s="55" t="s">
        <v>40</v>
      </c>
      <c r="D15" s="56" t="s">
        <v>33</v>
      </c>
      <c r="E15" s="55" t="s">
        <v>41</v>
      </c>
      <c r="F15" s="55" t="s">
        <v>42</v>
      </c>
      <c r="G15" s="58" t="s">
        <v>43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4"/>
      <c r="S15" s="44"/>
      <c r="T15" s="44"/>
      <c r="U15" s="44"/>
      <c r="V15" s="44"/>
      <c r="W15" s="44"/>
      <c r="X15" s="44"/>
      <c r="Y15" s="44"/>
      <c r="Z15" s="44"/>
    </row>
    <row r="16" ht="42.75" customHeight="1">
      <c r="A16" s="53"/>
      <c r="B16" s="54" t="s">
        <v>45</v>
      </c>
      <c r="C16" s="55" t="s">
        <v>46</v>
      </c>
      <c r="D16" s="56" t="s">
        <v>33</v>
      </c>
      <c r="E16" s="55" t="s">
        <v>41</v>
      </c>
      <c r="F16" s="55" t="s">
        <v>42</v>
      </c>
      <c r="G16" s="58" t="s">
        <v>43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4"/>
      <c r="S16" s="44"/>
      <c r="T16" s="44"/>
      <c r="U16" s="44"/>
      <c r="V16" s="44"/>
      <c r="W16" s="44"/>
      <c r="X16" s="44"/>
      <c r="Y16" s="44"/>
      <c r="Z16" s="44"/>
    </row>
    <row r="17" ht="15.75" customHeight="1">
      <c r="A17" s="30"/>
      <c r="B17" s="60"/>
      <c r="C17" s="60"/>
      <c r="D17" s="60"/>
      <c r="E17" s="60"/>
      <c r="F17" s="60"/>
      <c r="G17" s="62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44"/>
      <c r="S17" s="44"/>
      <c r="T17" s="44"/>
      <c r="U17" s="44"/>
      <c r="V17" s="44"/>
      <c r="W17" s="44"/>
      <c r="X17" s="44"/>
      <c r="Y17" s="44"/>
      <c r="Z17" s="44"/>
    </row>
    <row r="18" ht="15.75" customHeight="1">
      <c r="A18" s="30"/>
      <c r="B18" s="60"/>
      <c r="C18" s="60"/>
      <c r="D18" s="60"/>
      <c r="E18" s="60"/>
      <c r="F18" s="60"/>
      <c r="G18" s="62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44"/>
      <c r="S18" s="44"/>
      <c r="T18" s="44"/>
      <c r="U18" s="44"/>
      <c r="V18" s="44"/>
      <c r="W18" s="44"/>
      <c r="X18" s="44"/>
      <c r="Y18" s="44"/>
      <c r="Z18" s="44"/>
    </row>
    <row r="19" ht="15.75" customHeight="1">
      <c r="A19" s="30"/>
      <c r="B19" s="60"/>
      <c r="C19" s="60"/>
      <c r="D19" s="60"/>
      <c r="E19" s="60"/>
      <c r="F19" s="60"/>
      <c r="G19" s="62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44"/>
      <c r="S19" s="44"/>
      <c r="T19" s="44"/>
      <c r="U19" s="44"/>
      <c r="V19" s="44"/>
      <c r="W19" s="44"/>
      <c r="X19" s="44"/>
      <c r="Y19" s="44"/>
      <c r="Z19" s="44"/>
    </row>
    <row r="20" ht="14.2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4.2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6:D6"/>
    <mergeCell ref="C7:D7"/>
    <mergeCell ref="F7:G7"/>
    <mergeCell ref="C8:D8"/>
    <mergeCell ref="F8:G8"/>
    <mergeCell ref="A1:B3"/>
    <mergeCell ref="C1:F3"/>
    <mergeCell ref="G1:H1"/>
    <mergeCell ref="G2:H2"/>
    <mergeCell ref="G3:H3"/>
    <mergeCell ref="G4:H4"/>
    <mergeCell ref="F6:G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2" width="15.71"/>
    <col customWidth="1" min="3" max="7" width="4.0"/>
    <col customWidth="1" min="8" max="8" width="9.57"/>
    <col customWidth="1" min="9" max="9" width="7.14"/>
    <col customWidth="1" min="10" max="10" width="11.71"/>
    <col customWidth="1" min="11" max="11" width="11.14"/>
    <col customWidth="1" min="12" max="12" width="8.14"/>
    <col customWidth="1" min="13" max="13" width="13.14"/>
    <col customWidth="1" min="14" max="14" width="5.71"/>
    <col customWidth="1" min="15" max="16" width="14.29"/>
    <col customWidth="1" min="17" max="17" width="26.57"/>
    <col customWidth="1" min="18" max="18" width="32.29"/>
    <col customWidth="1" min="19" max="19" width="22.0"/>
    <col customWidth="1" min="20" max="20" width="4.43"/>
    <col customWidth="1" min="21" max="21" width="16.71"/>
    <col customWidth="1" min="22" max="31" width="11.71"/>
  </cols>
  <sheetData>
    <row r="1" ht="12.75" customHeight="1">
      <c r="A1" s="1"/>
      <c r="B1" s="2"/>
      <c r="C1" s="2"/>
      <c r="D1" s="3"/>
      <c r="E1" s="4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3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ht="14.25" customHeight="1">
      <c r="A2" s="9"/>
      <c r="D2" s="11"/>
      <c r="E2" s="9"/>
      <c r="P2" s="11"/>
      <c r="Q2" s="10" t="s">
        <v>3</v>
      </c>
      <c r="R2" s="11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ht="14.25" customHeight="1">
      <c r="A3" s="14"/>
      <c r="B3" s="16"/>
      <c r="C3" s="16"/>
      <c r="D3" s="15"/>
      <c r="E3" s="14"/>
      <c r="F3" s="16"/>
      <c r="G3" s="16"/>
      <c r="H3" s="16"/>
      <c r="I3" s="16"/>
      <c r="J3" s="16"/>
      <c r="K3" s="16"/>
      <c r="L3" s="16"/>
      <c r="M3" s="16"/>
      <c r="N3" s="16"/>
      <c r="O3" s="16"/>
      <c r="P3" s="15"/>
      <c r="Q3" s="13" t="s">
        <v>4</v>
      </c>
      <c r="R3" s="15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ht="14.25" customHeight="1">
      <c r="A4" s="17" t="s">
        <v>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2"/>
      <c r="Q4" s="19" t="s">
        <v>6</v>
      </c>
      <c r="R4" s="15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14.25" customHeight="1">
      <c r="A5" s="28"/>
      <c r="B5" s="32"/>
      <c r="C5" s="33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ht="14.25" customHeight="1">
      <c r="A6" s="41"/>
      <c r="B6" s="43"/>
      <c r="C6" s="45"/>
      <c r="D6" s="41"/>
      <c r="E6" s="41"/>
      <c r="F6" s="41"/>
      <c r="G6" s="41"/>
      <c r="H6" s="41"/>
      <c r="I6" s="41"/>
      <c r="J6" s="48" t="s">
        <v>25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</row>
    <row r="7" ht="14.25" customHeight="1">
      <c r="A7" s="41"/>
      <c r="B7" s="51"/>
      <c r="C7" s="45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</row>
    <row r="8" ht="14.25" customHeight="1">
      <c r="A8" s="41"/>
      <c r="B8" s="43"/>
      <c r="C8" s="45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</row>
    <row r="9" ht="14.25" customHeight="1">
      <c r="A9" s="41"/>
      <c r="B9" s="43" t="s">
        <v>15</v>
      </c>
      <c r="C9" s="45" t="s">
        <v>16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</row>
    <row r="10" ht="14.25" customHeight="1">
      <c r="A10" s="41"/>
      <c r="B10" s="43" t="s">
        <v>21</v>
      </c>
      <c r="C10" s="45" t="s">
        <v>33</v>
      </c>
      <c r="D10" s="59"/>
      <c r="E10" s="59"/>
      <c r="F10" s="59"/>
      <c r="G10" s="59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</row>
    <row r="11" ht="14.25" customHeight="1">
      <c r="A11" s="41"/>
      <c r="B11" s="66" t="s">
        <v>48</v>
      </c>
      <c r="C11" s="45" t="s">
        <v>49</v>
      </c>
      <c r="D11" s="59"/>
      <c r="E11" s="59"/>
      <c r="F11" s="59"/>
      <c r="G11" s="59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ht="14.25" customHeight="1">
      <c r="A12" s="41"/>
      <c r="B12" s="41"/>
      <c r="C12" s="67"/>
      <c r="D12" s="59"/>
      <c r="E12" s="59"/>
      <c r="F12" s="59"/>
      <c r="G12" s="59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</row>
    <row r="13" ht="14.25" customHeight="1">
      <c r="A13" s="41"/>
      <c r="B13" s="43" t="s">
        <v>51</v>
      </c>
      <c r="C13" s="41"/>
      <c r="D13" s="59"/>
      <c r="E13" s="59"/>
      <c r="F13" s="59"/>
      <c r="G13" s="59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</row>
    <row r="14" ht="14.25" customHeight="1">
      <c r="A14" s="41"/>
      <c r="B14" s="72" t="s">
        <v>52</v>
      </c>
      <c r="C14" s="72"/>
      <c r="D14" s="59"/>
      <c r="E14" s="59"/>
      <c r="F14" s="59"/>
      <c r="G14" s="59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</row>
    <row r="15" ht="14.25" customHeight="1">
      <c r="A15" s="41"/>
      <c r="B15" s="76" t="s">
        <v>55</v>
      </c>
      <c r="C15" s="77"/>
      <c r="D15" s="59"/>
      <c r="E15" s="59"/>
      <c r="F15" s="59"/>
      <c r="G15" s="59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</row>
    <row r="16" ht="14.25" customHeight="1">
      <c r="A16" s="41"/>
      <c r="B16" s="59"/>
      <c r="C16" s="59"/>
      <c r="D16" s="59"/>
      <c r="E16" s="59"/>
      <c r="F16" s="59"/>
      <c r="G16" s="59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</row>
    <row r="17" ht="14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</row>
    <row r="18" ht="14.25" customHeight="1">
      <c r="A18" s="70" t="s">
        <v>59</v>
      </c>
      <c r="B18" s="70" t="s">
        <v>60</v>
      </c>
      <c r="C18" s="89" t="s">
        <v>61</v>
      </c>
      <c r="D18" s="88"/>
      <c r="E18" s="88"/>
      <c r="F18" s="88"/>
      <c r="G18" s="39"/>
      <c r="H18" s="89" t="s">
        <v>62</v>
      </c>
      <c r="I18" s="88"/>
      <c r="J18" s="39"/>
      <c r="K18" s="89" t="s">
        <v>63</v>
      </c>
      <c r="L18" s="88"/>
      <c r="M18" s="39"/>
      <c r="N18" s="96" t="s">
        <v>64</v>
      </c>
      <c r="O18" s="96" t="s">
        <v>66</v>
      </c>
      <c r="P18" s="96" t="s">
        <v>71</v>
      </c>
      <c r="Q18" s="99" t="s">
        <v>74</v>
      </c>
      <c r="R18" s="100"/>
      <c r="S18" s="100"/>
      <c r="T18" s="102"/>
      <c r="U18" s="96" t="s">
        <v>48</v>
      </c>
      <c r="V18" s="104"/>
      <c r="W18" s="106"/>
      <c r="X18" s="106"/>
      <c r="Y18" s="106"/>
      <c r="Z18" s="106"/>
      <c r="AA18" s="106"/>
      <c r="AB18" s="106"/>
      <c r="AC18" s="106"/>
      <c r="AD18" s="106"/>
      <c r="AE18" s="106"/>
    </row>
    <row r="19" ht="67.5" customHeight="1">
      <c r="A19" s="90"/>
      <c r="B19" s="90"/>
      <c r="C19" s="109" t="s">
        <v>78</v>
      </c>
      <c r="D19" s="109" t="s">
        <v>79</v>
      </c>
      <c r="E19" s="109" t="s">
        <v>80</v>
      </c>
      <c r="F19" s="109" t="s">
        <v>81</v>
      </c>
      <c r="G19" s="109" t="s">
        <v>82</v>
      </c>
      <c r="H19" s="110" t="s">
        <v>83</v>
      </c>
      <c r="I19" s="110" t="s">
        <v>84</v>
      </c>
      <c r="J19" s="110" t="s">
        <v>85</v>
      </c>
      <c r="K19" s="110" t="s">
        <v>83</v>
      </c>
      <c r="L19" s="110" t="s">
        <v>84</v>
      </c>
      <c r="M19" s="110" t="s">
        <v>85</v>
      </c>
      <c r="N19" s="90"/>
      <c r="O19" s="90"/>
      <c r="P19" s="90"/>
      <c r="Q19" s="112" t="s">
        <v>86</v>
      </c>
      <c r="R19" s="112" t="s">
        <v>87</v>
      </c>
      <c r="S19" s="113" t="s">
        <v>88</v>
      </c>
      <c r="T19" s="109" t="s">
        <v>82</v>
      </c>
      <c r="U19" s="103"/>
      <c r="V19" s="104"/>
      <c r="W19" s="106"/>
      <c r="X19" s="106"/>
      <c r="Y19" s="106"/>
      <c r="Z19" s="106"/>
      <c r="AA19" s="106"/>
      <c r="AB19" s="106"/>
      <c r="AC19" s="106"/>
      <c r="AD19" s="106"/>
      <c r="AE19" s="106"/>
    </row>
    <row r="20" ht="58.5" customHeight="1">
      <c r="A20" s="114">
        <v>1.0</v>
      </c>
      <c r="B20" s="115" t="s">
        <v>89</v>
      </c>
      <c r="C20" s="116"/>
      <c r="D20" s="116" t="s">
        <v>90</v>
      </c>
      <c r="E20" s="116" t="s">
        <v>90</v>
      </c>
      <c r="F20" s="117"/>
      <c r="G20" s="117"/>
      <c r="H20" s="119">
        <v>100.0</v>
      </c>
      <c r="I20" s="117">
        <f t="shared" ref="I20:I25" si="1">ROUND(H20/60,2)</f>
        <v>1.67</v>
      </c>
      <c r="J20" s="115" t="s">
        <v>16</v>
      </c>
      <c r="K20" s="117">
        <f t="shared" ref="K20:K25" si="2">H20*1.2</f>
        <v>120</v>
      </c>
      <c r="L20" s="117">
        <f t="shared" ref="L20:L25" si="3">ROUND(K20/70,2)</f>
        <v>1.71</v>
      </c>
      <c r="M20" s="115" t="s">
        <v>91</v>
      </c>
      <c r="N20" s="117">
        <f t="shared" ref="N20:N25" si="4">ROUND(K20*0.03,0)</f>
        <v>4</v>
      </c>
      <c r="O20" s="115" t="s">
        <v>33</v>
      </c>
      <c r="P20" s="115" t="s">
        <v>33</v>
      </c>
      <c r="Q20" s="123" t="s">
        <v>92</v>
      </c>
      <c r="R20" s="123" t="s">
        <v>93</v>
      </c>
      <c r="S20" s="123" t="s">
        <v>94</v>
      </c>
      <c r="T20" s="123"/>
      <c r="U20" s="123" t="s">
        <v>95</v>
      </c>
      <c r="V20" s="126"/>
      <c r="W20" s="41"/>
      <c r="X20" s="41"/>
      <c r="Y20" s="41"/>
      <c r="Z20" s="41"/>
      <c r="AA20" s="41"/>
      <c r="AB20" s="41"/>
      <c r="AC20" s="41"/>
      <c r="AD20" s="41"/>
      <c r="AE20" s="41"/>
    </row>
    <row r="21" ht="27.75" customHeight="1">
      <c r="A21" s="114">
        <f t="shared" ref="A21:A25" si="5">A20+1</f>
        <v>2</v>
      </c>
      <c r="B21" s="115" t="s">
        <v>96</v>
      </c>
      <c r="C21" s="116"/>
      <c r="D21" s="116" t="s">
        <v>90</v>
      </c>
      <c r="E21" s="116"/>
      <c r="F21" s="117"/>
      <c r="G21" s="117"/>
      <c r="H21" s="119">
        <v>80.0</v>
      </c>
      <c r="I21" s="117">
        <f t="shared" si="1"/>
        <v>1.33</v>
      </c>
      <c r="J21" s="115" t="s">
        <v>16</v>
      </c>
      <c r="K21" s="117">
        <f t="shared" si="2"/>
        <v>96</v>
      </c>
      <c r="L21" s="117">
        <f t="shared" si="3"/>
        <v>1.37</v>
      </c>
      <c r="M21" s="115" t="s">
        <v>91</v>
      </c>
      <c r="N21" s="117">
        <f t="shared" si="4"/>
        <v>3</v>
      </c>
      <c r="O21" s="115" t="s">
        <v>33</v>
      </c>
      <c r="P21" s="115" t="s">
        <v>33</v>
      </c>
      <c r="Q21" s="123" t="s">
        <v>97</v>
      </c>
      <c r="R21" s="133" t="s">
        <v>82</v>
      </c>
      <c r="S21" s="133" t="s">
        <v>82</v>
      </c>
      <c r="T21" s="133"/>
      <c r="U21" s="133" t="s">
        <v>82</v>
      </c>
      <c r="V21" s="126"/>
      <c r="W21" s="41"/>
      <c r="X21" s="41"/>
      <c r="Y21" s="41"/>
      <c r="Z21" s="41"/>
      <c r="AA21" s="41"/>
      <c r="AB21" s="41"/>
      <c r="AC21" s="41"/>
      <c r="AD21" s="41"/>
      <c r="AE21" s="41"/>
    </row>
    <row r="22" ht="27.75" customHeight="1">
      <c r="A22" s="114">
        <f t="shared" si="5"/>
        <v>3</v>
      </c>
      <c r="B22" s="115" t="s">
        <v>98</v>
      </c>
      <c r="C22" s="116" t="s">
        <v>90</v>
      </c>
      <c r="D22" s="116" t="s">
        <v>90</v>
      </c>
      <c r="E22" s="116" t="s">
        <v>90</v>
      </c>
      <c r="F22" s="117"/>
      <c r="G22" s="116"/>
      <c r="H22" s="119">
        <v>140.0</v>
      </c>
      <c r="I22" s="117">
        <f t="shared" si="1"/>
        <v>2.33</v>
      </c>
      <c r="J22" s="115" t="s">
        <v>16</v>
      </c>
      <c r="K22" s="117">
        <f t="shared" si="2"/>
        <v>168</v>
      </c>
      <c r="L22" s="117">
        <f t="shared" si="3"/>
        <v>2.4</v>
      </c>
      <c r="M22" s="115" t="s">
        <v>91</v>
      </c>
      <c r="N22" s="117">
        <f t="shared" si="4"/>
        <v>5</v>
      </c>
      <c r="O22" s="115" t="s">
        <v>33</v>
      </c>
      <c r="P22" s="115" t="s">
        <v>33</v>
      </c>
      <c r="Q22" s="123" t="s">
        <v>100</v>
      </c>
      <c r="R22" s="133" t="s">
        <v>82</v>
      </c>
      <c r="S22" s="133" t="s">
        <v>82</v>
      </c>
      <c r="T22" s="133"/>
      <c r="U22" s="133" t="s">
        <v>82</v>
      </c>
      <c r="V22" s="126"/>
      <c r="W22" s="41"/>
      <c r="X22" s="41"/>
      <c r="Y22" s="41"/>
      <c r="Z22" s="41"/>
      <c r="AA22" s="41"/>
      <c r="AB22" s="41"/>
      <c r="AC22" s="41"/>
      <c r="AD22" s="41"/>
      <c r="AE22" s="41"/>
    </row>
    <row r="23" ht="27.75" customHeight="1">
      <c r="A23" s="114">
        <f t="shared" si="5"/>
        <v>4</v>
      </c>
      <c r="B23" s="115" t="s">
        <v>101</v>
      </c>
      <c r="C23" s="116"/>
      <c r="D23" s="116" t="s">
        <v>90</v>
      </c>
      <c r="E23" s="116"/>
      <c r="F23" s="117"/>
      <c r="G23" s="116"/>
      <c r="H23" s="119">
        <v>95.0</v>
      </c>
      <c r="I23" s="117">
        <f t="shared" si="1"/>
        <v>1.58</v>
      </c>
      <c r="J23" s="115" t="s">
        <v>16</v>
      </c>
      <c r="K23" s="117">
        <f t="shared" si="2"/>
        <v>114</v>
      </c>
      <c r="L23" s="117">
        <f t="shared" si="3"/>
        <v>1.63</v>
      </c>
      <c r="M23" s="115" t="s">
        <v>91</v>
      </c>
      <c r="N23" s="117">
        <f t="shared" si="4"/>
        <v>3</v>
      </c>
      <c r="O23" s="115" t="s">
        <v>33</v>
      </c>
      <c r="P23" s="115" t="s">
        <v>33</v>
      </c>
      <c r="Q23" s="123"/>
      <c r="R23" s="133"/>
      <c r="S23" s="133"/>
      <c r="T23" s="133"/>
      <c r="U23" s="133"/>
      <c r="V23" s="126"/>
      <c r="W23" s="41"/>
      <c r="X23" s="41"/>
      <c r="Y23" s="41"/>
      <c r="Z23" s="41"/>
      <c r="AA23" s="41"/>
      <c r="AB23" s="41"/>
      <c r="AC23" s="41"/>
      <c r="AD23" s="41"/>
      <c r="AE23" s="41"/>
    </row>
    <row r="24" ht="27.75" customHeight="1">
      <c r="A24" s="114">
        <f t="shared" si="5"/>
        <v>5</v>
      </c>
      <c r="B24" s="115" t="s">
        <v>102</v>
      </c>
      <c r="C24" s="116"/>
      <c r="D24" s="116" t="s">
        <v>90</v>
      </c>
      <c r="E24" s="116" t="s">
        <v>90</v>
      </c>
      <c r="F24" s="117"/>
      <c r="G24" s="116"/>
      <c r="H24" s="119">
        <v>70.0</v>
      </c>
      <c r="I24" s="117">
        <f t="shared" si="1"/>
        <v>1.17</v>
      </c>
      <c r="J24" s="115" t="s">
        <v>16</v>
      </c>
      <c r="K24" s="117">
        <f t="shared" si="2"/>
        <v>84</v>
      </c>
      <c r="L24" s="117">
        <f t="shared" si="3"/>
        <v>1.2</v>
      </c>
      <c r="M24" s="115" t="s">
        <v>91</v>
      </c>
      <c r="N24" s="117">
        <f t="shared" si="4"/>
        <v>3</v>
      </c>
      <c r="O24" s="115" t="s">
        <v>33</v>
      </c>
      <c r="P24" s="115" t="s">
        <v>33</v>
      </c>
      <c r="Q24" s="123" t="s">
        <v>103</v>
      </c>
      <c r="R24" s="133"/>
      <c r="S24" s="133"/>
      <c r="T24" s="133"/>
      <c r="U24" s="133"/>
      <c r="V24" s="126"/>
      <c r="W24" s="41"/>
      <c r="X24" s="41"/>
      <c r="Y24" s="41"/>
      <c r="Z24" s="41"/>
      <c r="AA24" s="41"/>
      <c r="AB24" s="41"/>
      <c r="AC24" s="41"/>
      <c r="AD24" s="41"/>
      <c r="AE24" s="41"/>
    </row>
    <row r="25" ht="27.75" customHeight="1">
      <c r="A25" s="114">
        <f t="shared" si="5"/>
        <v>6</v>
      </c>
      <c r="B25" s="115" t="s">
        <v>104</v>
      </c>
      <c r="C25" s="116"/>
      <c r="D25" s="116" t="s">
        <v>90</v>
      </c>
      <c r="E25" s="116"/>
      <c r="F25" s="117"/>
      <c r="G25" s="116"/>
      <c r="H25" s="119">
        <v>155.0</v>
      </c>
      <c r="I25" s="117">
        <f t="shared" si="1"/>
        <v>2.58</v>
      </c>
      <c r="J25" s="115" t="s">
        <v>16</v>
      </c>
      <c r="K25" s="117">
        <f t="shared" si="2"/>
        <v>186</v>
      </c>
      <c r="L25" s="117">
        <f t="shared" si="3"/>
        <v>2.66</v>
      </c>
      <c r="M25" s="115" t="s">
        <v>91</v>
      </c>
      <c r="N25" s="117">
        <f t="shared" si="4"/>
        <v>6</v>
      </c>
      <c r="O25" s="115" t="s">
        <v>33</v>
      </c>
      <c r="P25" s="115" t="s">
        <v>33</v>
      </c>
      <c r="Q25" s="133"/>
      <c r="R25" s="133"/>
      <c r="S25" s="133"/>
      <c r="T25" s="133"/>
      <c r="U25" s="133"/>
      <c r="V25" s="126"/>
      <c r="W25" s="41"/>
      <c r="X25" s="41"/>
      <c r="Y25" s="41"/>
      <c r="Z25" s="41"/>
      <c r="AA25" s="41"/>
      <c r="AB25" s="41"/>
      <c r="AC25" s="41"/>
      <c r="AD25" s="41"/>
      <c r="AE25" s="41"/>
    </row>
    <row r="26" ht="14.25" customHeight="1">
      <c r="A26" s="134"/>
      <c r="B26" s="135" t="s">
        <v>105</v>
      </c>
      <c r="C26" s="135"/>
      <c r="D26" s="135"/>
      <c r="E26" s="135"/>
      <c r="F26" s="135"/>
      <c r="G26" s="135"/>
      <c r="H26" s="135">
        <f>SUM(H20:H25)</f>
        <v>640</v>
      </c>
      <c r="I26" s="135">
        <f>ROUND(SUM(I20:I25),0)</f>
        <v>11</v>
      </c>
      <c r="J26" s="136"/>
      <c r="K26" s="135">
        <f>SUM(K20:K25)</f>
        <v>768</v>
      </c>
      <c r="L26" s="135">
        <f>ROUND(SUM(L20:L25),0)</f>
        <v>11</v>
      </c>
      <c r="M26" s="136"/>
      <c r="N26" s="135">
        <f>SUM(N20:N25)</f>
        <v>24</v>
      </c>
      <c r="O26" s="135"/>
      <c r="P26" s="135"/>
      <c r="Q26" s="137"/>
      <c r="R26" s="137"/>
      <c r="S26" s="137"/>
      <c r="T26" s="137"/>
      <c r="U26" s="137"/>
      <c r="V26" s="138"/>
      <c r="W26" s="43"/>
      <c r="X26" s="43"/>
      <c r="Y26" s="43"/>
      <c r="Z26" s="43"/>
      <c r="AA26" s="43"/>
      <c r="AB26" s="43"/>
      <c r="AC26" s="43"/>
      <c r="AD26" s="43"/>
      <c r="AE26" s="43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</row>
    <row r="30" ht="27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7">
    <mergeCell ref="A1:D3"/>
    <mergeCell ref="E1:P3"/>
    <mergeCell ref="Q1:R1"/>
    <mergeCell ref="Q2:R2"/>
    <mergeCell ref="Q3:R3"/>
    <mergeCell ref="A4:P4"/>
    <mergeCell ref="Q4:R4"/>
    <mergeCell ref="K18:M18"/>
    <mergeCell ref="Q18:T18"/>
    <mergeCell ref="A18:A19"/>
    <mergeCell ref="B18:B19"/>
    <mergeCell ref="C18:G18"/>
    <mergeCell ref="H18:J18"/>
    <mergeCell ref="N18:N19"/>
    <mergeCell ref="O18:O19"/>
    <mergeCell ref="P18:P19"/>
    <mergeCell ref="U18:U19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7.14"/>
    <col customWidth="1" min="3" max="3" width="18.29"/>
    <col customWidth="1" min="4" max="6" width="8.43"/>
    <col customWidth="1" min="7" max="7" width="13.0"/>
    <col customWidth="1" min="8" max="8" width="6.29"/>
    <col customWidth="1" min="9" max="9" width="8.43"/>
    <col customWidth="1" min="10" max="20" width="6.29"/>
    <col customWidth="1" min="21" max="21" width="8.86"/>
    <col customWidth="1" min="22" max="23" width="6.29"/>
    <col customWidth="1" min="24" max="33" width="11.71"/>
  </cols>
  <sheetData>
    <row r="1" ht="12.75" customHeight="1">
      <c r="A1" s="1"/>
      <c r="B1" s="2"/>
      <c r="C1" s="2"/>
      <c r="D1" s="3"/>
      <c r="E1" s="4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2"/>
      <c r="S1" s="2"/>
      <c r="T1" s="2"/>
      <c r="U1" s="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ht="12.75" customHeight="1">
      <c r="A2" s="9"/>
      <c r="D2" s="11"/>
      <c r="E2" s="9"/>
      <c r="P2" s="11"/>
      <c r="Q2" s="10" t="s">
        <v>3</v>
      </c>
      <c r="U2" s="11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ht="12.75" customHeight="1">
      <c r="A3" s="14"/>
      <c r="B3" s="16"/>
      <c r="C3" s="16"/>
      <c r="D3" s="15"/>
      <c r="E3" s="14"/>
      <c r="F3" s="16"/>
      <c r="G3" s="16"/>
      <c r="H3" s="16"/>
      <c r="I3" s="16"/>
      <c r="J3" s="16"/>
      <c r="K3" s="16"/>
      <c r="L3" s="16"/>
      <c r="M3" s="16"/>
      <c r="N3" s="16"/>
      <c r="O3" s="16"/>
      <c r="P3" s="15"/>
      <c r="Q3" s="13" t="s">
        <v>4</v>
      </c>
      <c r="R3" s="16"/>
      <c r="S3" s="16"/>
      <c r="T3" s="16"/>
      <c r="U3" s="15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ht="12.75" customHeight="1">
      <c r="A4" s="17" t="s">
        <v>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2"/>
      <c r="Q4" s="19" t="s">
        <v>6</v>
      </c>
      <c r="R4" s="16"/>
      <c r="S4" s="16"/>
      <c r="T4" s="16"/>
      <c r="U4" s="15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 ht="12.75" customHeight="1">
      <c r="A5" s="35"/>
      <c r="B5" s="35"/>
      <c r="C5" s="37"/>
      <c r="D5" s="8"/>
      <c r="E5" s="8"/>
      <c r="F5" s="8"/>
      <c r="G5" s="8"/>
      <c r="H5" s="35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43"/>
      <c r="B6" s="46" t="s">
        <v>18</v>
      </c>
      <c r="C6" s="45"/>
      <c r="D6" s="41"/>
      <c r="E6" s="41"/>
      <c r="F6" s="41"/>
      <c r="G6" s="41"/>
      <c r="H6" s="43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ht="12.75" customHeight="1">
      <c r="A7" s="43"/>
      <c r="B7" s="43"/>
      <c r="C7" s="45"/>
      <c r="D7" s="41"/>
      <c r="E7" s="41"/>
      <c r="F7" s="41"/>
      <c r="G7" s="41"/>
      <c r="H7" s="43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</row>
    <row r="8" ht="14.25" customHeight="1">
      <c r="A8" s="43"/>
      <c r="B8" s="43" t="s">
        <v>15</v>
      </c>
      <c r="C8" s="45" t="s">
        <v>16</v>
      </c>
      <c r="D8" s="41"/>
      <c r="E8" s="41"/>
      <c r="F8" s="41"/>
      <c r="G8" s="41"/>
      <c r="H8" s="43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</row>
    <row r="9" ht="14.25" customHeight="1">
      <c r="A9" s="43"/>
      <c r="B9" s="43" t="s">
        <v>21</v>
      </c>
      <c r="C9" s="45" t="s">
        <v>33</v>
      </c>
      <c r="D9" s="41"/>
      <c r="E9" s="41"/>
      <c r="F9" s="41"/>
      <c r="G9" s="41"/>
      <c r="H9" s="43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</row>
    <row r="10" ht="14.25" customHeight="1">
      <c r="A10" s="43"/>
      <c r="B10" s="43" t="s">
        <v>44</v>
      </c>
      <c r="C10" s="45" t="s">
        <v>33</v>
      </c>
      <c r="D10" s="41"/>
      <c r="E10" s="41"/>
      <c r="F10" s="41"/>
      <c r="G10" s="41"/>
      <c r="H10" s="43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 ht="14.25" customHeight="1">
      <c r="A11" s="43"/>
      <c r="B11" s="43" t="s">
        <v>47</v>
      </c>
      <c r="C11" s="45" t="s">
        <v>33</v>
      </c>
      <c r="D11" s="41"/>
      <c r="E11" s="41"/>
      <c r="F11" s="41"/>
      <c r="G11" s="41"/>
      <c r="H11" s="43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</row>
    <row r="12" ht="14.25" customHeight="1">
      <c r="A12" s="41"/>
      <c r="B12" s="64"/>
      <c r="C12" s="41"/>
      <c r="D12" s="41"/>
      <c r="E12" s="41"/>
      <c r="F12" s="41"/>
      <c r="G12" s="41"/>
      <c r="H12" s="43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</row>
    <row r="13" ht="14.25" customHeight="1">
      <c r="A13" s="41"/>
      <c r="B13" s="41"/>
      <c r="C13" s="41"/>
      <c r="D13" s="41"/>
      <c r="E13" s="41"/>
      <c r="F13" s="41"/>
      <c r="G13" s="41"/>
      <c r="H13" s="43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</row>
    <row r="14">
      <c r="A14" s="70" t="s">
        <v>50</v>
      </c>
      <c r="B14" s="70" t="s">
        <v>53</v>
      </c>
      <c r="C14" s="74" t="s">
        <v>54</v>
      </c>
      <c r="D14" s="78" t="s">
        <v>56</v>
      </c>
      <c r="E14" s="80"/>
      <c r="F14" s="81"/>
      <c r="G14" s="82" t="s">
        <v>57</v>
      </c>
      <c r="H14" s="83"/>
      <c r="I14" s="86" t="s">
        <v>58</v>
      </c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39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ht="14.25" customHeight="1">
      <c r="A15" s="90"/>
      <c r="B15" s="90"/>
      <c r="C15" s="91"/>
      <c r="D15" s="92"/>
      <c r="E15" s="93"/>
      <c r="F15" s="94"/>
      <c r="G15" s="95"/>
      <c r="H15" s="95"/>
      <c r="I15" s="97" t="s">
        <v>65</v>
      </c>
      <c r="J15" s="97" t="s">
        <v>67</v>
      </c>
      <c r="K15" s="97" t="s">
        <v>68</v>
      </c>
      <c r="L15" s="97" t="s">
        <v>69</v>
      </c>
      <c r="M15" s="98" t="s">
        <v>70</v>
      </c>
      <c r="N15" s="98" t="s">
        <v>72</v>
      </c>
      <c r="O15" s="97" t="s">
        <v>73</v>
      </c>
      <c r="P15" s="97" t="s">
        <v>65</v>
      </c>
      <c r="Q15" s="97" t="s">
        <v>67</v>
      </c>
      <c r="R15" s="97" t="s">
        <v>68</v>
      </c>
      <c r="S15" s="97" t="s">
        <v>69</v>
      </c>
      <c r="T15" s="98" t="s">
        <v>70</v>
      </c>
      <c r="U15" s="98" t="s">
        <v>72</v>
      </c>
      <c r="V15" s="97" t="s">
        <v>73</v>
      </c>
      <c r="W15" s="97" t="s">
        <v>65</v>
      </c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ht="14.25" customHeight="1">
      <c r="A16" s="101"/>
      <c r="B16" s="101"/>
      <c r="C16" s="103"/>
      <c r="D16" s="97" t="s">
        <v>75</v>
      </c>
      <c r="E16" s="97" t="s">
        <v>76</v>
      </c>
      <c r="F16" s="97" t="s">
        <v>77</v>
      </c>
      <c r="G16" s="105"/>
      <c r="H16" s="105"/>
      <c r="I16" s="107">
        <v>42320.0</v>
      </c>
      <c r="J16" s="107">
        <v>42321.0</v>
      </c>
      <c r="K16" s="107">
        <v>42322.0</v>
      </c>
      <c r="L16" s="107">
        <v>42323.0</v>
      </c>
      <c r="M16" s="108">
        <v>42324.0</v>
      </c>
      <c r="N16" s="108">
        <v>42325.0</v>
      </c>
      <c r="O16" s="107">
        <v>42326.0</v>
      </c>
      <c r="P16" s="107">
        <v>42327.0</v>
      </c>
      <c r="Q16" s="107">
        <v>42328.0</v>
      </c>
      <c r="R16" s="107">
        <v>42329.0</v>
      </c>
      <c r="S16" s="107">
        <v>42330.0</v>
      </c>
      <c r="T16" s="108">
        <v>42331.0</v>
      </c>
      <c r="U16" s="108">
        <v>42332.0</v>
      </c>
      <c r="V16" s="107">
        <v>42333.0</v>
      </c>
      <c r="W16" s="107">
        <v>42334.0</v>
      </c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>
      <c r="A17" s="111">
        <v>1.0</v>
      </c>
      <c r="B17" s="118" t="str">
        <f>'Task List &amp; Plan'!B20</f>
        <v>&lt;Task 1&gt;</v>
      </c>
      <c r="C17" s="120" t="str">
        <f>'Task List &amp; Plan'!J20</f>
        <v>&lt;Creator&gt;</v>
      </c>
      <c r="D17" s="121">
        <f>'Task List &amp; Plan'!H20</f>
        <v>100</v>
      </c>
      <c r="E17" s="121">
        <f>SUM(I18:W18)</f>
        <v>100</v>
      </c>
      <c r="F17" s="121">
        <f>D17-E17</f>
        <v>0</v>
      </c>
      <c r="G17" s="122">
        <f>E17/D17</f>
        <v>1</v>
      </c>
      <c r="H17" s="124" t="s">
        <v>75</v>
      </c>
      <c r="I17" s="125">
        <v>60.0</v>
      </c>
      <c r="J17" s="125">
        <v>40.0</v>
      </c>
      <c r="K17" s="125"/>
      <c r="L17" s="125"/>
      <c r="M17" s="127"/>
      <c r="N17" s="127"/>
      <c r="O17" s="128"/>
      <c r="P17" s="128"/>
      <c r="Q17" s="128"/>
      <c r="R17" s="128"/>
      <c r="S17" s="128"/>
      <c r="T17" s="127"/>
      <c r="U17" s="127"/>
      <c r="V17" s="128"/>
      <c r="W17" s="128"/>
      <c r="X17" s="41"/>
      <c r="Y17" s="41"/>
      <c r="Z17" s="41"/>
      <c r="AA17" s="41"/>
      <c r="AB17" s="41"/>
      <c r="AC17" s="41"/>
      <c r="AD17" s="41"/>
      <c r="AE17" s="41"/>
      <c r="AF17" s="41"/>
      <c r="AG17" s="41"/>
    </row>
    <row r="18">
      <c r="A18" s="90"/>
      <c r="B18" s="90"/>
      <c r="C18" s="90"/>
      <c r="D18" s="90"/>
      <c r="E18" s="90"/>
      <c r="F18" s="90"/>
      <c r="G18" s="90"/>
      <c r="H18" s="130" t="s">
        <v>76</v>
      </c>
      <c r="I18" s="131">
        <v>75.0</v>
      </c>
      <c r="J18" s="131">
        <v>25.0</v>
      </c>
      <c r="K18" s="131"/>
      <c r="L18" s="131"/>
      <c r="M18" s="127"/>
      <c r="N18" s="127"/>
      <c r="O18" s="132"/>
      <c r="P18" s="132"/>
      <c r="Q18" s="132"/>
      <c r="R18" s="132"/>
      <c r="S18" s="132"/>
      <c r="T18" s="127"/>
      <c r="U18" s="127"/>
      <c r="V18" s="132"/>
      <c r="W18" s="132"/>
      <c r="X18" s="41"/>
      <c r="Y18" s="41"/>
      <c r="Z18" s="41"/>
      <c r="AA18" s="41"/>
      <c r="AB18" s="41"/>
      <c r="AC18" s="41"/>
      <c r="AD18" s="41"/>
      <c r="AE18" s="41"/>
      <c r="AF18" s="41"/>
      <c r="AG18" s="41"/>
    </row>
    <row r="19">
      <c r="A19" s="121">
        <v>2.0</v>
      </c>
      <c r="B19" s="120" t="str">
        <f>'Task List &amp; Plan'!B21</f>
        <v>&lt;Task 2&gt;</v>
      </c>
      <c r="C19" s="120" t="str">
        <f>'Task List &amp; Plan'!J22</f>
        <v>&lt;Creator&gt;</v>
      </c>
      <c r="D19" s="121">
        <f>'Task List &amp; Plan'!H22</f>
        <v>140</v>
      </c>
      <c r="E19" s="121">
        <f>SUM(I20:W20)</f>
        <v>80</v>
      </c>
      <c r="F19" s="121">
        <f>D19-E19</f>
        <v>60</v>
      </c>
      <c r="G19" s="122">
        <f>E19/D19</f>
        <v>0.5714285714</v>
      </c>
      <c r="H19" s="124" t="s">
        <v>75</v>
      </c>
      <c r="I19" s="125"/>
      <c r="J19" s="125">
        <v>20.0</v>
      </c>
      <c r="K19" s="125">
        <v>60.0</v>
      </c>
      <c r="L19" s="125"/>
      <c r="M19" s="127"/>
      <c r="N19" s="127"/>
      <c r="O19" s="128"/>
      <c r="P19" s="128"/>
      <c r="Q19" s="128"/>
      <c r="R19" s="128"/>
      <c r="S19" s="128"/>
      <c r="T19" s="127"/>
      <c r="U19" s="127"/>
      <c r="V19" s="128"/>
      <c r="W19" s="128"/>
      <c r="X19" s="41"/>
      <c r="Y19" s="41"/>
      <c r="Z19" s="41"/>
      <c r="AA19" s="41"/>
      <c r="AB19" s="41"/>
      <c r="AC19" s="41"/>
      <c r="AD19" s="41"/>
      <c r="AE19" s="41"/>
      <c r="AF19" s="41"/>
      <c r="AG19" s="41"/>
    </row>
    <row r="20">
      <c r="A20" s="90"/>
      <c r="B20" s="90"/>
      <c r="C20" s="90"/>
      <c r="D20" s="90"/>
      <c r="E20" s="90"/>
      <c r="F20" s="90"/>
      <c r="G20" s="90"/>
      <c r="H20" s="130" t="s">
        <v>76</v>
      </c>
      <c r="I20" s="131"/>
      <c r="J20" s="131">
        <v>35.0</v>
      </c>
      <c r="K20" s="131">
        <v>45.0</v>
      </c>
      <c r="L20" s="131"/>
      <c r="M20" s="127"/>
      <c r="N20" s="127"/>
      <c r="O20" s="132"/>
      <c r="P20" s="132"/>
      <c r="Q20" s="132"/>
      <c r="R20" s="132"/>
      <c r="S20" s="132"/>
      <c r="T20" s="127"/>
      <c r="U20" s="127"/>
      <c r="V20" s="132"/>
      <c r="W20" s="132"/>
      <c r="X20" s="41"/>
      <c r="Y20" s="41"/>
      <c r="Z20" s="41"/>
      <c r="AA20" s="41"/>
      <c r="AB20" s="41"/>
      <c r="AC20" s="41"/>
      <c r="AD20" s="41"/>
      <c r="AE20" s="41"/>
      <c r="AF20" s="41"/>
      <c r="AG20" s="41"/>
    </row>
    <row r="21">
      <c r="A21" s="121">
        <v>3.0</v>
      </c>
      <c r="B21" s="120" t="str">
        <f>'Task List &amp; Plan'!B22</f>
        <v>&lt;Task 3&gt;</v>
      </c>
      <c r="C21" s="120" t="str">
        <f>'Task List &amp; Plan'!J24</f>
        <v>&lt;Creator&gt;</v>
      </c>
      <c r="D21" s="121">
        <f>'Task List &amp; Plan'!H24</f>
        <v>70</v>
      </c>
      <c r="E21" s="121">
        <f>SUM(I22:W22)</f>
        <v>140</v>
      </c>
      <c r="F21" s="121">
        <f>D21-E21</f>
        <v>-70</v>
      </c>
      <c r="G21" s="122">
        <f>E21/D21</f>
        <v>2</v>
      </c>
      <c r="H21" s="124" t="s">
        <v>75</v>
      </c>
      <c r="I21" s="125"/>
      <c r="J21" s="125"/>
      <c r="K21" s="125"/>
      <c r="L21" s="125">
        <v>60.0</v>
      </c>
      <c r="M21" s="127"/>
      <c r="N21" s="127"/>
      <c r="O21" s="128">
        <v>60.0</v>
      </c>
      <c r="P21" s="128">
        <v>20.0</v>
      </c>
      <c r="Q21" s="128"/>
      <c r="R21" s="128"/>
      <c r="S21" s="128"/>
      <c r="T21" s="127"/>
      <c r="U21" s="127"/>
      <c r="V21" s="128"/>
      <c r="W21" s="128"/>
      <c r="X21" s="41"/>
      <c r="Y21" s="41"/>
      <c r="Z21" s="41"/>
      <c r="AA21" s="41"/>
      <c r="AB21" s="41"/>
      <c r="AC21" s="41"/>
      <c r="AD21" s="41"/>
      <c r="AE21" s="41"/>
      <c r="AF21" s="41"/>
      <c r="AG21" s="41"/>
    </row>
    <row r="22">
      <c r="A22" s="90"/>
      <c r="B22" s="90"/>
      <c r="C22" s="90"/>
      <c r="D22" s="90"/>
      <c r="E22" s="90"/>
      <c r="F22" s="90"/>
      <c r="G22" s="90"/>
      <c r="H22" s="130" t="s">
        <v>76</v>
      </c>
      <c r="I22" s="131"/>
      <c r="J22" s="131"/>
      <c r="K22" s="131">
        <v>15.0</v>
      </c>
      <c r="L22" s="131">
        <v>60.0</v>
      </c>
      <c r="M22" s="127"/>
      <c r="N22" s="127"/>
      <c r="O22" s="132">
        <v>60.0</v>
      </c>
      <c r="P22" s="132">
        <v>5.0</v>
      </c>
      <c r="Q22" s="132"/>
      <c r="R22" s="132"/>
      <c r="S22" s="132"/>
      <c r="T22" s="127"/>
      <c r="U22" s="127"/>
      <c r="V22" s="132"/>
      <c r="W22" s="132"/>
      <c r="X22" s="41"/>
      <c r="Y22" s="41"/>
      <c r="Z22" s="41"/>
      <c r="AA22" s="41"/>
      <c r="AB22" s="41"/>
      <c r="AC22" s="41"/>
      <c r="AD22" s="41"/>
      <c r="AE22" s="41"/>
      <c r="AF22" s="41"/>
      <c r="AG22" s="41"/>
    </row>
    <row r="23">
      <c r="A23" s="121">
        <v>4.0</v>
      </c>
      <c r="B23" s="120" t="str">
        <f>'Task List &amp; Plan'!B23</f>
        <v>&lt;Task 4&gt;</v>
      </c>
      <c r="C23" s="120" t="str">
        <f>'Task List &amp; Plan'!J26</f>
        <v/>
      </c>
      <c r="D23" s="121">
        <f>'Task List &amp; Plan'!H26</f>
        <v>640</v>
      </c>
      <c r="E23" s="121">
        <f>SUM(I24:W24)</f>
        <v>95</v>
      </c>
      <c r="F23" s="121">
        <f>D23-E23</f>
        <v>545</v>
      </c>
      <c r="G23" s="122">
        <f>E23/D23</f>
        <v>0.1484375</v>
      </c>
      <c r="H23" s="124" t="s">
        <v>75</v>
      </c>
      <c r="I23" s="125"/>
      <c r="J23" s="125"/>
      <c r="K23" s="125"/>
      <c r="L23" s="125"/>
      <c r="M23" s="127"/>
      <c r="N23" s="127"/>
      <c r="O23" s="128"/>
      <c r="P23" s="128">
        <v>40.0</v>
      </c>
      <c r="Q23" s="128">
        <v>55.0</v>
      </c>
      <c r="R23" s="128"/>
      <c r="S23" s="128"/>
      <c r="T23" s="127"/>
      <c r="U23" s="127"/>
      <c r="V23" s="128"/>
      <c r="W23" s="128"/>
      <c r="X23" s="41"/>
      <c r="Y23" s="41"/>
      <c r="Z23" s="41"/>
      <c r="AA23" s="41"/>
      <c r="AB23" s="41"/>
      <c r="AC23" s="41"/>
      <c r="AD23" s="41"/>
      <c r="AE23" s="41"/>
      <c r="AF23" s="41"/>
      <c r="AG23" s="41"/>
    </row>
    <row r="24">
      <c r="A24" s="90"/>
      <c r="B24" s="90"/>
      <c r="C24" s="90"/>
      <c r="D24" s="90"/>
      <c r="E24" s="90"/>
      <c r="F24" s="90"/>
      <c r="G24" s="90"/>
      <c r="H24" s="130" t="s">
        <v>76</v>
      </c>
      <c r="I24" s="131"/>
      <c r="J24" s="131"/>
      <c r="K24" s="131"/>
      <c r="L24" s="131"/>
      <c r="M24" s="127"/>
      <c r="N24" s="127"/>
      <c r="O24" s="132"/>
      <c r="P24" s="132">
        <v>55.0</v>
      </c>
      <c r="Q24" s="132">
        <v>40.0</v>
      </c>
      <c r="R24" s="132"/>
      <c r="S24" s="132"/>
      <c r="T24" s="127"/>
      <c r="U24" s="127"/>
      <c r="V24" s="132"/>
      <c r="W24" s="132"/>
      <c r="X24" s="41"/>
      <c r="Y24" s="41"/>
      <c r="Z24" s="41"/>
      <c r="AA24" s="41"/>
      <c r="AB24" s="41"/>
      <c r="AC24" s="41"/>
      <c r="AD24" s="41"/>
      <c r="AE24" s="41"/>
      <c r="AF24" s="41"/>
      <c r="AG24" s="41"/>
    </row>
    <row r="25" ht="15.75" customHeight="1">
      <c r="A25" s="121">
        <v>5.0</v>
      </c>
      <c r="B25" s="120" t="str">
        <f>'Task List &amp; Plan'!B25</f>
        <v>&lt;Task 6&gt;</v>
      </c>
      <c r="C25" s="120" t="str">
        <f>'Task List &amp; Plan'!J28</f>
        <v/>
      </c>
      <c r="D25" s="121" t="str">
        <f>'Task List &amp; Plan'!H28</f>
        <v/>
      </c>
      <c r="E25" s="121">
        <f>SUM(I26:W26)</f>
        <v>20</v>
      </c>
      <c r="F25" s="121">
        <f>D25-E25</f>
        <v>-20</v>
      </c>
      <c r="G25" s="122" t="str">
        <f>E25/D25</f>
        <v>#DIV/0!</v>
      </c>
      <c r="H25" s="124" t="s">
        <v>75</v>
      </c>
      <c r="I25" s="125"/>
      <c r="J25" s="125"/>
      <c r="K25" s="125"/>
      <c r="L25" s="125"/>
      <c r="M25" s="127"/>
      <c r="N25" s="127"/>
      <c r="O25" s="128"/>
      <c r="P25" s="128"/>
      <c r="Q25" s="128">
        <v>5.0</v>
      </c>
      <c r="R25" s="128">
        <v>60.0</v>
      </c>
      <c r="S25" s="128">
        <v>5.0</v>
      </c>
      <c r="T25" s="127"/>
      <c r="U25" s="127"/>
      <c r="V25" s="128"/>
      <c r="W25" s="128"/>
      <c r="X25" s="41"/>
      <c r="Y25" s="41"/>
      <c r="Z25" s="41"/>
      <c r="AA25" s="41"/>
      <c r="AB25" s="41"/>
      <c r="AC25" s="41"/>
      <c r="AD25" s="41"/>
      <c r="AE25" s="41"/>
      <c r="AF25" s="41"/>
      <c r="AG25" s="41"/>
    </row>
    <row r="26" ht="15.75" customHeight="1">
      <c r="A26" s="90"/>
      <c r="B26" s="90"/>
      <c r="C26" s="90"/>
      <c r="D26" s="90"/>
      <c r="E26" s="90"/>
      <c r="F26" s="90"/>
      <c r="G26" s="90"/>
      <c r="H26" s="130" t="s">
        <v>76</v>
      </c>
      <c r="I26" s="132"/>
      <c r="J26" s="139"/>
      <c r="K26" s="140"/>
      <c r="L26" s="132"/>
      <c r="M26" s="127"/>
      <c r="N26" s="127"/>
      <c r="O26" s="132"/>
      <c r="P26" s="132"/>
      <c r="Q26" s="132">
        <v>20.0</v>
      </c>
      <c r="R26" s="132"/>
      <c r="S26" s="132"/>
      <c r="T26" s="127"/>
      <c r="U26" s="127"/>
      <c r="V26" s="132"/>
      <c r="W26" s="132"/>
      <c r="X26" s="41"/>
      <c r="Y26" s="41"/>
      <c r="Z26" s="41"/>
      <c r="AA26" s="41"/>
      <c r="AB26" s="41"/>
      <c r="AC26" s="41"/>
      <c r="AD26" s="41"/>
      <c r="AE26" s="41"/>
      <c r="AF26" s="41"/>
      <c r="AG26" s="41"/>
    </row>
    <row r="27" ht="15.75" customHeight="1">
      <c r="A27" s="121">
        <v>6.0</v>
      </c>
      <c r="B27" s="120" t="str">
        <f>'Task List &amp; Plan'!B27</f>
        <v/>
      </c>
      <c r="C27" s="120" t="str">
        <f>'Task List &amp; Plan'!J30</f>
        <v/>
      </c>
      <c r="D27" s="121" t="str">
        <f>'Task List &amp; Plan'!H30</f>
        <v/>
      </c>
      <c r="E27" s="121">
        <f>SUM(I28:W28)</f>
        <v>0</v>
      </c>
      <c r="F27" s="121">
        <f>D27-E27</f>
        <v>0</v>
      </c>
      <c r="G27" s="122" t="str">
        <f>E27/D27</f>
        <v>#DIV/0!</v>
      </c>
      <c r="H27" s="124" t="s">
        <v>75</v>
      </c>
      <c r="I27" s="125"/>
      <c r="J27" s="125"/>
      <c r="K27" s="125"/>
      <c r="L27" s="125"/>
      <c r="M27" s="127"/>
      <c r="N27" s="127"/>
      <c r="O27" s="128"/>
      <c r="P27" s="128"/>
      <c r="Q27" s="128"/>
      <c r="R27" s="128"/>
      <c r="S27" s="128">
        <v>55.0</v>
      </c>
      <c r="T27" s="127"/>
      <c r="U27" s="127"/>
      <c r="V27" s="128">
        <v>60.0</v>
      </c>
      <c r="W27" s="128">
        <v>40.0</v>
      </c>
      <c r="X27" s="41"/>
      <c r="Y27" s="41"/>
      <c r="Z27" s="41"/>
      <c r="AA27" s="41"/>
      <c r="AB27" s="41"/>
      <c r="AC27" s="41"/>
      <c r="AD27" s="41"/>
      <c r="AE27" s="41"/>
      <c r="AF27" s="41"/>
      <c r="AG27" s="41"/>
    </row>
    <row r="28" ht="15.75" customHeight="1">
      <c r="A28" s="90"/>
      <c r="B28" s="90"/>
      <c r="C28" s="90"/>
      <c r="D28" s="90"/>
      <c r="E28" s="90"/>
      <c r="F28" s="90"/>
      <c r="G28" s="90"/>
      <c r="H28" s="130" t="s">
        <v>76</v>
      </c>
      <c r="I28" s="132"/>
      <c r="J28" s="139"/>
      <c r="K28" s="140"/>
      <c r="L28" s="132"/>
      <c r="M28" s="127"/>
      <c r="N28" s="127"/>
      <c r="O28" s="132"/>
      <c r="P28" s="132"/>
      <c r="Q28" s="132"/>
      <c r="R28" s="132"/>
      <c r="S28" s="132"/>
      <c r="T28" s="127"/>
      <c r="U28" s="127"/>
      <c r="V28" s="132"/>
      <c r="W28" s="132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29" ht="15.75" customHeight="1">
      <c r="A29" s="142"/>
      <c r="B29" s="142" t="str">
        <f>'Task List &amp; Plan'!B26</f>
        <v>Total</v>
      </c>
      <c r="C29" s="142"/>
      <c r="D29" s="142">
        <f t="shared" ref="D29:F29" si="1">SUM(D17:D27)</f>
        <v>950</v>
      </c>
      <c r="E29" s="142">
        <f t="shared" si="1"/>
        <v>435</v>
      </c>
      <c r="F29" s="142">
        <f t="shared" si="1"/>
        <v>515</v>
      </c>
      <c r="G29" s="143">
        <f>E29/D29</f>
        <v>0.4578947368</v>
      </c>
      <c r="H29" s="142"/>
      <c r="I29" s="142"/>
      <c r="J29" s="142"/>
      <c r="K29" s="142"/>
      <c r="L29" s="142"/>
      <c r="M29" s="132"/>
      <c r="N29" s="132"/>
      <c r="O29" s="142"/>
      <c r="P29" s="142"/>
      <c r="Q29" s="142"/>
      <c r="R29" s="142"/>
      <c r="S29" s="142"/>
      <c r="T29" s="132"/>
      <c r="U29" s="132"/>
      <c r="V29" s="142"/>
      <c r="W29" s="142"/>
      <c r="X29" s="43"/>
      <c r="Y29" s="43"/>
      <c r="Z29" s="43"/>
      <c r="AA29" s="43"/>
      <c r="AB29" s="43"/>
      <c r="AC29" s="43"/>
      <c r="AD29" s="43"/>
      <c r="AE29" s="43"/>
      <c r="AF29" s="43"/>
      <c r="AG29" s="43"/>
    </row>
    <row r="30" ht="14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6">
    <mergeCell ref="A1:D3"/>
    <mergeCell ref="E1:P3"/>
    <mergeCell ref="Q1:U1"/>
    <mergeCell ref="Q2:U2"/>
    <mergeCell ref="Q3:U3"/>
    <mergeCell ref="A4:P4"/>
    <mergeCell ref="Q4:U4"/>
    <mergeCell ref="A14:A15"/>
    <mergeCell ref="B14:B15"/>
    <mergeCell ref="C14:C16"/>
    <mergeCell ref="D14:F15"/>
    <mergeCell ref="G14:G16"/>
    <mergeCell ref="H14:H16"/>
    <mergeCell ref="I14:W14"/>
    <mergeCell ref="A17:A18"/>
    <mergeCell ref="B17:B18"/>
    <mergeCell ref="C17:C18"/>
    <mergeCell ref="D17:D18"/>
    <mergeCell ref="E17:E18"/>
    <mergeCell ref="F17:F18"/>
    <mergeCell ref="G17:G18"/>
    <mergeCell ref="A19:A20"/>
    <mergeCell ref="B19:B20"/>
    <mergeCell ref="C19:C20"/>
    <mergeCell ref="D19:D20"/>
    <mergeCell ref="E19:E20"/>
    <mergeCell ref="F19:F20"/>
    <mergeCell ref="G19:G20"/>
    <mergeCell ref="A21:A22"/>
    <mergeCell ref="B21:B22"/>
    <mergeCell ref="C21:C22"/>
    <mergeCell ref="D21:D22"/>
    <mergeCell ref="E21:E22"/>
    <mergeCell ref="F21:F22"/>
    <mergeCell ref="G21:G22"/>
    <mergeCell ref="A23:A24"/>
    <mergeCell ref="B23:B24"/>
    <mergeCell ref="C23:C24"/>
    <mergeCell ref="D23:D24"/>
    <mergeCell ref="E23:E24"/>
    <mergeCell ref="F23:F24"/>
    <mergeCell ref="G23:G24"/>
    <mergeCell ref="A27:A28"/>
    <mergeCell ref="B27:B28"/>
    <mergeCell ref="C27:C28"/>
    <mergeCell ref="D27:D28"/>
    <mergeCell ref="E27:E28"/>
    <mergeCell ref="F27:F28"/>
    <mergeCell ref="G27:G28"/>
    <mergeCell ref="A25:A26"/>
    <mergeCell ref="B25:B26"/>
    <mergeCell ref="C25:C26"/>
    <mergeCell ref="D25:D26"/>
    <mergeCell ref="E25:E26"/>
    <mergeCell ref="F25:F26"/>
    <mergeCell ref="G25:G26"/>
  </mergeCells>
  <conditionalFormatting sqref="G29 G17:H18 H22 H26 G20">
    <cfRule type="cellIs" dxfId="0" priority="1" operator="lessThan">
      <formula>0.8</formula>
    </cfRule>
  </conditionalFormatting>
  <conditionalFormatting sqref="G29 G17:H18 H22 H26 G20">
    <cfRule type="cellIs" dxfId="1" priority="2" operator="greaterThanOrEqual">
      <formula>1</formula>
    </cfRule>
  </conditionalFormatting>
  <conditionalFormatting sqref="G29 G17:H18 H22 H26 G20">
    <cfRule type="cellIs" dxfId="2" priority="3" operator="greaterThanOrEqual">
      <formula>0.8</formula>
    </cfRule>
  </conditionalFormatting>
  <conditionalFormatting sqref="H20">
    <cfRule type="cellIs" dxfId="0" priority="4" operator="lessThan">
      <formula>0.8</formula>
    </cfRule>
  </conditionalFormatting>
  <conditionalFormatting sqref="H20">
    <cfRule type="cellIs" dxfId="1" priority="5" operator="greaterThanOrEqual">
      <formula>1</formula>
    </cfRule>
  </conditionalFormatting>
  <conditionalFormatting sqref="H20">
    <cfRule type="cellIs" dxfId="2" priority="6" operator="greaterThanOrEqual">
      <formula>0.8</formula>
    </cfRule>
  </conditionalFormatting>
  <conditionalFormatting sqref="H22">
    <cfRule type="cellIs" dxfId="0" priority="7" operator="lessThan">
      <formula>0.8</formula>
    </cfRule>
  </conditionalFormatting>
  <conditionalFormatting sqref="H22">
    <cfRule type="cellIs" dxfId="1" priority="8" operator="greaterThanOrEqual">
      <formula>1</formula>
    </cfRule>
  </conditionalFormatting>
  <conditionalFormatting sqref="H22">
    <cfRule type="cellIs" dxfId="2" priority="9" operator="greaterThanOrEqual">
      <formula>0.8</formula>
    </cfRule>
  </conditionalFormatting>
  <conditionalFormatting sqref="H26">
    <cfRule type="cellIs" dxfId="0" priority="10" operator="lessThan">
      <formula>0.8</formula>
    </cfRule>
  </conditionalFormatting>
  <conditionalFormatting sqref="H26">
    <cfRule type="cellIs" dxfId="1" priority="11" operator="greaterThanOrEqual">
      <formula>1</formula>
    </cfRule>
  </conditionalFormatting>
  <conditionalFormatting sqref="H26">
    <cfRule type="cellIs" dxfId="2" priority="12" operator="greaterThanOrEqual">
      <formula>0.8</formula>
    </cfRule>
  </conditionalFormatting>
  <conditionalFormatting sqref="H28">
    <cfRule type="cellIs" dxfId="0" priority="13" operator="lessThan">
      <formula>0.8</formula>
    </cfRule>
  </conditionalFormatting>
  <conditionalFormatting sqref="H28">
    <cfRule type="cellIs" dxfId="1" priority="14" operator="greaterThanOrEqual">
      <formula>1</formula>
    </cfRule>
  </conditionalFormatting>
  <conditionalFormatting sqref="H28">
    <cfRule type="cellIs" dxfId="2" priority="15" operator="greaterThanOrEqual">
      <formula>0.8</formula>
    </cfRule>
  </conditionalFormatting>
  <conditionalFormatting sqref="G19">
    <cfRule type="cellIs" dxfId="0" priority="16" operator="lessThan">
      <formula>0.8</formula>
    </cfRule>
  </conditionalFormatting>
  <conditionalFormatting sqref="G19">
    <cfRule type="cellIs" dxfId="1" priority="17" operator="greaterThanOrEqual">
      <formula>1</formula>
    </cfRule>
  </conditionalFormatting>
  <conditionalFormatting sqref="G19">
    <cfRule type="cellIs" dxfId="2" priority="18" operator="greaterThanOrEqual">
      <formula>0.8</formula>
    </cfRule>
  </conditionalFormatting>
  <conditionalFormatting sqref="G21">
    <cfRule type="cellIs" dxfId="0" priority="19" operator="lessThan">
      <formula>0.8</formula>
    </cfRule>
  </conditionalFormatting>
  <conditionalFormatting sqref="G21">
    <cfRule type="cellIs" dxfId="1" priority="20" operator="greaterThanOrEqual">
      <formula>1</formula>
    </cfRule>
  </conditionalFormatting>
  <conditionalFormatting sqref="G21">
    <cfRule type="cellIs" dxfId="2" priority="21" operator="greaterThanOrEqual">
      <formula>0.8</formula>
    </cfRule>
  </conditionalFormatting>
  <conditionalFormatting sqref="G23">
    <cfRule type="cellIs" dxfId="0" priority="22" operator="lessThan">
      <formula>0.8</formula>
    </cfRule>
  </conditionalFormatting>
  <conditionalFormatting sqref="G23">
    <cfRule type="cellIs" dxfId="1" priority="23" operator="greaterThanOrEqual">
      <formula>1</formula>
    </cfRule>
  </conditionalFormatting>
  <conditionalFormatting sqref="G23">
    <cfRule type="cellIs" dxfId="2" priority="24" operator="greaterThanOrEqual">
      <formula>0.8</formula>
    </cfRule>
  </conditionalFormatting>
  <conditionalFormatting sqref="G25">
    <cfRule type="cellIs" dxfId="0" priority="25" operator="lessThan">
      <formula>0.8</formula>
    </cfRule>
  </conditionalFormatting>
  <conditionalFormatting sqref="G25">
    <cfRule type="cellIs" dxfId="1" priority="26" operator="greaterThanOrEqual">
      <formula>1</formula>
    </cfRule>
  </conditionalFormatting>
  <conditionalFormatting sqref="G25">
    <cfRule type="cellIs" dxfId="2" priority="27" operator="greaterThanOrEqual">
      <formula>0.8</formula>
    </cfRule>
  </conditionalFormatting>
  <conditionalFormatting sqref="G27">
    <cfRule type="cellIs" dxfId="0" priority="28" operator="lessThan">
      <formula>0.8</formula>
    </cfRule>
  </conditionalFormatting>
  <conditionalFormatting sqref="G27">
    <cfRule type="cellIs" dxfId="1" priority="29" operator="greaterThanOrEqual">
      <formula>1</formula>
    </cfRule>
  </conditionalFormatting>
  <conditionalFormatting sqref="G27">
    <cfRule type="cellIs" dxfId="2" priority="30" operator="greaterThanOrEqual">
      <formula>0.8</formula>
    </cfRule>
  </conditionalFormatting>
  <conditionalFormatting sqref="H19">
    <cfRule type="cellIs" dxfId="0" priority="31" operator="lessThan">
      <formula>0.8</formula>
    </cfRule>
  </conditionalFormatting>
  <conditionalFormatting sqref="H19">
    <cfRule type="cellIs" dxfId="1" priority="32" operator="greaterThanOrEqual">
      <formula>1</formula>
    </cfRule>
  </conditionalFormatting>
  <conditionalFormatting sqref="H19">
    <cfRule type="cellIs" dxfId="2" priority="33" operator="greaterThanOrEqual">
      <formula>0.8</formula>
    </cfRule>
  </conditionalFormatting>
  <conditionalFormatting sqref="H21">
    <cfRule type="cellIs" dxfId="0" priority="34" operator="lessThan">
      <formula>0.8</formula>
    </cfRule>
  </conditionalFormatting>
  <conditionalFormatting sqref="H21">
    <cfRule type="cellIs" dxfId="1" priority="35" operator="greaterThanOrEqual">
      <formula>1</formula>
    </cfRule>
  </conditionalFormatting>
  <conditionalFormatting sqref="H21">
    <cfRule type="cellIs" dxfId="2" priority="36" operator="greaterThanOrEqual">
      <formula>0.8</formula>
    </cfRule>
  </conditionalFormatting>
  <conditionalFormatting sqref="H24">
    <cfRule type="cellIs" dxfId="0" priority="37" operator="lessThan">
      <formula>0.8</formula>
    </cfRule>
  </conditionalFormatting>
  <conditionalFormatting sqref="H24">
    <cfRule type="cellIs" dxfId="1" priority="38" operator="greaterThanOrEqual">
      <formula>1</formula>
    </cfRule>
  </conditionalFormatting>
  <conditionalFormatting sqref="H24">
    <cfRule type="cellIs" dxfId="2" priority="39" operator="greaterThanOrEqual">
      <formula>0.8</formula>
    </cfRule>
  </conditionalFormatting>
  <conditionalFormatting sqref="H23">
    <cfRule type="cellIs" dxfId="0" priority="40" operator="lessThan">
      <formula>0.8</formula>
    </cfRule>
  </conditionalFormatting>
  <conditionalFormatting sqref="H23">
    <cfRule type="cellIs" dxfId="1" priority="41" operator="greaterThanOrEqual">
      <formula>1</formula>
    </cfRule>
  </conditionalFormatting>
  <conditionalFormatting sqref="H23">
    <cfRule type="cellIs" dxfId="2" priority="42" operator="greaterThanOrEqual">
      <formula>0.8</formula>
    </cfRule>
  </conditionalFormatting>
  <conditionalFormatting sqref="H25">
    <cfRule type="cellIs" dxfId="0" priority="43" operator="lessThan">
      <formula>0.8</formula>
    </cfRule>
  </conditionalFormatting>
  <conditionalFormatting sqref="H25">
    <cfRule type="cellIs" dxfId="1" priority="44" operator="greaterThanOrEqual">
      <formula>1</formula>
    </cfRule>
  </conditionalFormatting>
  <conditionalFormatting sqref="H25">
    <cfRule type="cellIs" dxfId="2" priority="45" operator="greaterThanOrEqual">
      <formula>0.8</formula>
    </cfRule>
  </conditionalFormatting>
  <conditionalFormatting sqref="H27">
    <cfRule type="cellIs" dxfId="0" priority="46" operator="lessThan">
      <formula>0.8</formula>
    </cfRule>
  </conditionalFormatting>
  <conditionalFormatting sqref="H27">
    <cfRule type="cellIs" dxfId="1" priority="47" operator="greaterThanOrEqual">
      <formula>1</formula>
    </cfRule>
  </conditionalFormatting>
  <conditionalFormatting sqref="H27">
    <cfRule type="cellIs" dxfId="2" priority="48" operator="greaterThanOrEqual">
      <formula>0.8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27.14"/>
    <col customWidth="1" min="3" max="3" width="18.86"/>
    <col customWidth="1" min="4" max="6" width="8.43"/>
    <col customWidth="1" min="7" max="7" width="12.71"/>
    <col customWidth="1" min="8" max="15" width="6.29"/>
    <col customWidth="1" min="16" max="16" width="5.43"/>
    <col customWidth="1" min="17" max="20" width="6.29"/>
    <col customWidth="1" min="21" max="21" width="9.86"/>
    <col customWidth="1" min="22" max="23" width="6.29"/>
    <col customWidth="1" min="24" max="33" width="11.71"/>
  </cols>
  <sheetData>
    <row r="1" ht="12.75" customHeight="1">
      <c r="A1" s="1"/>
      <c r="B1" s="2"/>
      <c r="C1" s="2"/>
      <c r="D1" s="3"/>
      <c r="E1" s="4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2"/>
      <c r="S1" s="2"/>
      <c r="T1" s="2"/>
      <c r="U1" s="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ht="12.75" customHeight="1">
      <c r="A2" s="9"/>
      <c r="D2" s="11"/>
      <c r="E2" s="9"/>
      <c r="P2" s="11"/>
      <c r="Q2" s="10" t="s">
        <v>3</v>
      </c>
      <c r="U2" s="11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ht="12.75" customHeight="1">
      <c r="A3" s="14"/>
      <c r="B3" s="16"/>
      <c r="C3" s="16"/>
      <c r="D3" s="15"/>
      <c r="E3" s="14"/>
      <c r="F3" s="16"/>
      <c r="G3" s="16"/>
      <c r="H3" s="16"/>
      <c r="I3" s="16"/>
      <c r="J3" s="16"/>
      <c r="K3" s="16"/>
      <c r="L3" s="16"/>
      <c r="M3" s="16"/>
      <c r="N3" s="16"/>
      <c r="O3" s="16"/>
      <c r="P3" s="15"/>
      <c r="Q3" s="13" t="s">
        <v>4</v>
      </c>
      <c r="R3" s="16"/>
      <c r="S3" s="16"/>
      <c r="T3" s="16"/>
      <c r="U3" s="15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ht="12.75" customHeight="1">
      <c r="A4" s="17" t="s">
        <v>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2"/>
      <c r="Q4" s="19" t="s">
        <v>6</v>
      </c>
      <c r="R4" s="16"/>
      <c r="S4" s="16"/>
      <c r="T4" s="16"/>
      <c r="U4" s="15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 ht="12.75" customHeight="1">
      <c r="A5" s="35"/>
      <c r="B5" s="129"/>
      <c r="C5" s="37"/>
      <c r="D5" s="8"/>
      <c r="E5" s="8"/>
      <c r="F5" s="8"/>
      <c r="G5" s="8"/>
      <c r="H5" s="35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43"/>
      <c r="B6" s="46" t="s">
        <v>99</v>
      </c>
      <c r="C6" s="45"/>
      <c r="D6" s="41"/>
      <c r="E6" s="41"/>
      <c r="F6" s="41"/>
      <c r="G6" s="41"/>
      <c r="H6" s="43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ht="12.75" customHeight="1">
      <c r="A7" s="43"/>
      <c r="B7" s="43"/>
      <c r="C7" s="45"/>
      <c r="D7" s="41"/>
      <c r="E7" s="41"/>
      <c r="F7" s="41"/>
      <c r="G7" s="41"/>
      <c r="H7" s="43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</row>
    <row r="8" ht="14.25" customHeight="1">
      <c r="A8" s="43"/>
      <c r="B8" s="43" t="s">
        <v>15</v>
      </c>
      <c r="C8" s="45" t="s">
        <v>16</v>
      </c>
      <c r="D8" s="41"/>
      <c r="E8" s="41"/>
      <c r="F8" s="41"/>
      <c r="G8" s="41"/>
      <c r="H8" s="43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</row>
    <row r="9" ht="14.25" customHeight="1">
      <c r="A9" s="43"/>
      <c r="B9" s="43" t="s">
        <v>21</v>
      </c>
      <c r="C9" s="45" t="s">
        <v>33</v>
      </c>
      <c r="D9" s="41"/>
      <c r="E9" s="41"/>
      <c r="F9" s="41"/>
      <c r="G9" s="41"/>
      <c r="H9" s="43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</row>
    <row r="10" ht="14.25" customHeight="1">
      <c r="A10" s="43"/>
      <c r="B10" s="43" t="s">
        <v>44</v>
      </c>
      <c r="C10" s="45" t="s">
        <v>33</v>
      </c>
      <c r="D10" s="41"/>
      <c r="E10" s="41"/>
      <c r="F10" s="41"/>
      <c r="G10" s="41"/>
      <c r="H10" s="43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 ht="14.25" customHeight="1">
      <c r="A11" s="43"/>
      <c r="B11" s="43" t="s">
        <v>47</v>
      </c>
      <c r="C11" s="45" t="s">
        <v>33</v>
      </c>
      <c r="D11" s="41"/>
      <c r="E11" s="41"/>
      <c r="F11" s="41"/>
      <c r="G11" s="41"/>
      <c r="H11" s="43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</row>
    <row r="12" ht="14.25" customHeight="1">
      <c r="A12" s="41"/>
      <c r="B12" s="64"/>
      <c r="C12" s="41"/>
      <c r="D12" s="41"/>
      <c r="E12" s="41"/>
      <c r="F12" s="41"/>
      <c r="G12" s="41"/>
      <c r="H12" s="43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</row>
    <row r="13" ht="14.25" customHeight="1">
      <c r="A13" s="41"/>
      <c r="B13" s="41"/>
      <c r="C13" s="41"/>
      <c r="D13" s="41"/>
      <c r="E13" s="41"/>
      <c r="F13" s="41"/>
      <c r="G13" s="41"/>
      <c r="H13" s="43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</row>
    <row r="14">
      <c r="A14" s="70" t="s">
        <v>106</v>
      </c>
      <c r="B14" s="70" t="s">
        <v>107</v>
      </c>
      <c r="C14" s="74" t="s">
        <v>108</v>
      </c>
      <c r="D14" s="78" t="s">
        <v>109</v>
      </c>
      <c r="E14" s="80"/>
      <c r="F14" s="81"/>
      <c r="G14" s="82" t="s">
        <v>110</v>
      </c>
      <c r="H14" s="83"/>
      <c r="I14" s="86" t="s">
        <v>111</v>
      </c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39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ht="14.25" customHeight="1">
      <c r="A15" s="90"/>
      <c r="B15" s="90"/>
      <c r="C15" s="91"/>
      <c r="D15" s="92"/>
      <c r="E15" s="93"/>
      <c r="F15" s="94"/>
      <c r="G15" s="95"/>
      <c r="H15" s="95"/>
      <c r="I15" s="97" t="s">
        <v>65</v>
      </c>
      <c r="J15" s="97" t="s">
        <v>67</v>
      </c>
      <c r="K15" s="97" t="s">
        <v>68</v>
      </c>
      <c r="L15" s="97" t="s">
        <v>69</v>
      </c>
      <c r="M15" s="98" t="s">
        <v>70</v>
      </c>
      <c r="N15" s="98" t="s">
        <v>72</v>
      </c>
      <c r="O15" s="97" t="s">
        <v>73</v>
      </c>
      <c r="P15" s="97" t="s">
        <v>65</v>
      </c>
      <c r="Q15" s="97" t="s">
        <v>67</v>
      </c>
      <c r="R15" s="97" t="s">
        <v>68</v>
      </c>
      <c r="S15" s="97" t="s">
        <v>69</v>
      </c>
      <c r="T15" s="98" t="s">
        <v>70</v>
      </c>
      <c r="U15" s="98" t="s">
        <v>72</v>
      </c>
      <c r="V15" s="97" t="s">
        <v>73</v>
      </c>
      <c r="W15" s="97" t="s">
        <v>65</v>
      </c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ht="14.25" customHeight="1">
      <c r="A16" s="101"/>
      <c r="B16" s="101"/>
      <c r="C16" s="103"/>
      <c r="D16" s="97" t="s">
        <v>75</v>
      </c>
      <c r="E16" s="97" t="s">
        <v>76</v>
      </c>
      <c r="F16" s="97" t="s">
        <v>77</v>
      </c>
      <c r="G16" s="105"/>
      <c r="H16" s="105"/>
      <c r="I16" s="107">
        <v>42320.0</v>
      </c>
      <c r="J16" s="107">
        <v>42321.0</v>
      </c>
      <c r="K16" s="107">
        <v>42322.0</v>
      </c>
      <c r="L16" s="107">
        <v>42323.0</v>
      </c>
      <c r="M16" s="108">
        <v>42324.0</v>
      </c>
      <c r="N16" s="108">
        <v>42325.0</v>
      </c>
      <c r="O16" s="107">
        <v>42326.0</v>
      </c>
      <c r="P16" s="107">
        <v>42327.0</v>
      </c>
      <c r="Q16" s="107">
        <v>42328.0</v>
      </c>
      <c r="R16" s="107">
        <v>42329.0</v>
      </c>
      <c r="S16" s="107">
        <v>42330.0</v>
      </c>
      <c r="T16" s="108">
        <v>42331.0</v>
      </c>
      <c r="U16" s="108">
        <v>42332.0</v>
      </c>
      <c r="V16" s="107">
        <v>42333.0</v>
      </c>
      <c r="W16" s="107">
        <v>42334.0</v>
      </c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>
      <c r="A17" s="111">
        <v>1.0</v>
      </c>
      <c r="B17" s="118" t="str">
        <f>'Task List &amp; Plan'!B20</f>
        <v>&lt;Task 1&gt;</v>
      </c>
      <c r="C17" s="120" t="str">
        <f>'Task List &amp; Plan'!J20</f>
        <v>&lt;Creator&gt;</v>
      </c>
      <c r="D17" s="121">
        <f>'Task List &amp; Plan'!K20</f>
        <v>120</v>
      </c>
      <c r="E17" s="121">
        <f>SUM(I18:W18)</f>
        <v>120</v>
      </c>
      <c r="F17" s="121">
        <f>D17-E17</f>
        <v>0</v>
      </c>
      <c r="G17" s="122">
        <f>E17/D17</f>
        <v>1</v>
      </c>
      <c r="H17" s="141" t="s">
        <v>75</v>
      </c>
      <c r="I17" s="125">
        <v>70.0</v>
      </c>
      <c r="J17" s="125">
        <v>50.0</v>
      </c>
      <c r="K17" s="125"/>
      <c r="L17" s="125"/>
      <c r="M17" s="127"/>
      <c r="N17" s="127"/>
      <c r="O17" s="128"/>
      <c r="P17" s="128"/>
      <c r="Q17" s="128"/>
      <c r="R17" s="128"/>
      <c r="S17" s="128"/>
      <c r="T17" s="127"/>
      <c r="U17" s="127"/>
      <c r="V17" s="128"/>
      <c r="W17" s="128"/>
      <c r="X17" s="41"/>
      <c r="Y17" s="41"/>
      <c r="Z17" s="41"/>
      <c r="AA17" s="41"/>
      <c r="AB17" s="41"/>
      <c r="AC17" s="41"/>
      <c r="AD17" s="41"/>
      <c r="AE17" s="41"/>
      <c r="AF17" s="41"/>
      <c r="AG17" s="41"/>
    </row>
    <row r="18">
      <c r="A18" s="90"/>
      <c r="B18" s="90"/>
      <c r="C18" s="90"/>
      <c r="D18" s="90"/>
      <c r="E18" s="90"/>
      <c r="F18" s="90"/>
      <c r="G18" s="90"/>
      <c r="H18" s="142" t="s">
        <v>76</v>
      </c>
      <c r="I18" s="131">
        <v>75.0</v>
      </c>
      <c r="J18" s="131">
        <v>45.0</v>
      </c>
      <c r="K18" s="131"/>
      <c r="L18" s="131"/>
      <c r="M18" s="127"/>
      <c r="N18" s="127"/>
      <c r="O18" s="132"/>
      <c r="P18" s="132"/>
      <c r="Q18" s="132"/>
      <c r="R18" s="132"/>
      <c r="S18" s="132"/>
      <c r="T18" s="127"/>
      <c r="U18" s="127"/>
      <c r="V18" s="132"/>
      <c r="W18" s="132"/>
      <c r="X18" s="41"/>
      <c r="Y18" s="41"/>
      <c r="Z18" s="41"/>
      <c r="AA18" s="41"/>
      <c r="AB18" s="41"/>
      <c r="AC18" s="41"/>
      <c r="AD18" s="41"/>
      <c r="AE18" s="41"/>
      <c r="AF18" s="41"/>
      <c r="AG18" s="41"/>
    </row>
    <row r="19">
      <c r="A19" s="121">
        <v>2.0</v>
      </c>
      <c r="B19" s="118" t="str">
        <f>'Task List &amp; Plan'!B22</f>
        <v>&lt;Task 3&gt;</v>
      </c>
      <c r="C19" s="120" t="str">
        <f>'Task List &amp; Plan'!J22</f>
        <v>&lt;Creator&gt;</v>
      </c>
      <c r="D19" s="121">
        <f>'Task List &amp; Plan'!K22</f>
        <v>168</v>
      </c>
      <c r="E19" s="121">
        <f>SUM(I20:W20)</f>
        <v>96</v>
      </c>
      <c r="F19" s="121">
        <f>D19-E19</f>
        <v>72</v>
      </c>
      <c r="G19" s="122">
        <f>E19/D19</f>
        <v>0.5714285714</v>
      </c>
      <c r="H19" s="141" t="s">
        <v>75</v>
      </c>
      <c r="I19" s="125"/>
      <c r="J19" s="125">
        <v>20.0</v>
      </c>
      <c r="K19" s="125">
        <v>70.0</v>
      </c>
      <c r="L19" s="125">
        <v>6.0</v>
      </c>
      <c r="M19" s="127"/>
      <c r="N19" s="127"/>
      <c r="O19" s="128"/>
      <c r="P19" s="128"/>
      <c r="Q19" s="128"/>
      <c r="R19" s="128"/>
      <c r="S19" s="128"/>
      <c r="T19" s="127"/>
      <c r="U19" s="127"/>
      <c r="V19" s="128"/>
      <c r="W19" s="128"/>
      <c r="X19" s="41"/>
      <c r="Y19" s="41"/>
      <c r="Z19" s="41"/>
      <c r="AA19" s="41"/>
      <c r="AB19" s="41"/>
      <c r="AC19" s="41"/>
      <c r="AD19" s="41"/>
      <c r="AE19" s="41"/>
      <c r="AF19" s="41"/>
      <c r="AG19" s="41"/>
    </row>
    <row r="20">
      <c r="A20" s="90"/>
      <c r="B20" s="90"/>
      <c r="C20" s="90"/>
      <c r="D20" s="90"/>
      <c r="E20" s="90"/>
      <c r="F20" s="90"/>
      <c r="G20" s="90"/>
      <c r="H20" s="142" t="s">
        <v>76</v>
      </c>
      <c r="I20" s="131"/>
      <c r="J20" s="131">
        <v>25.0</v>
      </c>
      <c r="K20" s="131">
        <v>71.0</v>
      </c>
      <c r="L20" s="131"/>
      <c r="M20" s="127"/>
      <c r="N20" s="127"/>
      <c r="O20" s="132"/>
      <c r="P20" s="132"/>
      <c r="Q20" s="132"/>
      <c r="R20" s="132"/>
      <c r="S20" s="132"/>
      <c r="T20" s="127"/>
      <c r="U20" s="127"/>
      <c r="V20" s="132"/>
      <c r="W20" s="132"/>
      <c r="X20" s="41"/>
      <c r="Y20" s="41"/>
      <c r="Z20" s="41"/>
      <c r="AA20" s="41"/>
      <c r="AB20" s="41"/>
      <c r="AC20" s="41"/>
      <c r="AD20" s="41"/>
      <c r="AE20" s="41"/>
      <c r="AF20" s="41"/>
      <c r="AG20" s="41"/>
    </row>
    <row r="21">
      <c r="A21" s="121">
        <v>3.0</v>
      </c>
      <c r="B21" s="118" t="str">
        <f>'Task List &amp; Plan'!B24</f>
        <v>&lt;Task 5&gt;</v>
      </c>
      <c r="C21" s="120" t="str">
        <f>'Task List &amp; Plan'!J24</f>
        <v>&lt;Creator&gt;</v>
      </c>
      <c r="D21" s="121">
        <f>'Task List &amp; Plan'!K24</f>
        <v>84</v>
      </c>
      <c r="E21" s="121">
        <f>SUM(I22:W22)</f>
        <v>168</v>
      </c>
      <c r="F21" s="121">
        <f>D21-E21</f>
        <v>-84</v>
      </c>
      <c r="G21" s="122">
        <f>E21/D21</f>
        <v>2</v>
      </c>
      <c r="H21" s="141" t="s">
        <v>75</v>
      </c>
      <c r="I21" s="125"/>
      <c r="J21" s="125"/>
      <c r="K21" s="125"/>
      <c r="L21" s="125">
        <v>64.0</v>
      </c>
      <c r="M21" s="127"/>
      <c r="N21" s="127"/>
      <c r="O21" s="128">
        <v>70.0</v>
      </c>
      <c r="P21" s="128">
        <v>34.0</v>
      </c>
      <c r="Q21" s="128"/>
      <c r="R21" s="128"/>
      <c r="S21" s="128"/>
      <c r="T21" s="127"/>
      <c r="U21" s="127"/>
      <c r="V21" s="128"/>
      <c r="W21" s="128"/>
      <c r="X21" s="41"/>
      <c r="Y21" s="41"/>
      <c r="Z21" s="41"/>
      <c r="AA21" s="41"/>
      <c r="AB21" s="41"/>
      <c r="AC21" s="41"/>
      <c r="AD21" s="41"/>
      <c r="AE21" s="41"/>
      <c r="AF21" s="41"/>
      <c r="AG21" s="41"/>
    </row>
    <row r="22">
      <c r="A22" s="90"/>
      <c r="B22" s="90"/>
      <c r="C22" s="90"/>
      <c r="D22" s="90"/>
      <c r="E22" s="90"/>
      <c r="F22" s="90"/>
      <c r="G22" s="90"/>
      <c r="H22" s="142" t="s">
        <v>76</v>
      </c>
      <c r="I22" s="131"/>
      <c r="J22" s="131"/>
      <c r="K22" s="131"/>
      <c r="L22" s="131">
        <v>70.0</v>
      </c>
      <c r="M22" s="127"/>
      <c r="N22" s="127"/>
      <c r="O22" s="132">
        <v>70.0</v>
      </c>
      <c r="P22" s="132">
        <v>28.0</v>
      </c>
      <c r="Q22" s="132"/>
      <c r="R22" s="132"/>
      <c r="S22" s="132"/>
      <c r="T22" s="127"/>
      <c r="U22" s="127"/>
      <c r="V22" s="132"/>
      <c r="W22" s="132"/>
      <c r="X22" s="41"/>
      <c r="Y22" s="41"/>
      <c r="Z22" s="41"/>
      <c r="AA22" s="41"/>
      <c r="AB22" s="41"/>
      <c r="AC22" s="41"/>
      <c r="AD22" s="41"/>
      <c r="AE22" s="41"/>
      <c r="AF22" s="41"/>
      <c r="AG22" s="41"/>
    </row>
    <row r="23">
      <c r="A23" s="121">
        <v>4.0</v>
      </c>
      <c r="B23" s="118" t="str">
        <f>'Task List &amp; Plan'!B26</f>
        <v>Total</v>
      </c>
      <c r="C23" s="120" t="str">
        <f>'Task List &amp; Plan'!J26</f>
        <v/>
      </c>
      <c r="D23" s="121">
        <f>'Task List &amp; Plan'!K26</f>
        <v>768</v>
      </c>
      <c r="E23" s="121">
        <f>SUM(I24:W24)</f>
        <v>40</v>
      </c>
      <c r="F23" s="121">
        <f>D23-E23</f>
        <v>728</v>
      </c>
      <c r="G23" s="122">
        <f>E23/D23</f>
        <v>0.05208333333</v>
      </c>
      <c r="H23" s="141" t="s">
        <v>75</v>
      </c>
      <c r="I23" s="125"/>
      <c r="J23" s="125"/>
      <c r="K23" s="125"/>
      <c r="L23" s="125"/>
      <c r="M23" s="127"/>
      <c r="N23" s="127"/>
      <c r="O23" s="128"/>
      <c r="P23" s="128">
        <v>36.0</v>
      </c>
      <c r="Q23" s="128">
        <v>70.0</v>
      </c>
      <c r="R23" s="128">
        <v>8.0</v>
      </c>
      <c r="S23" s="128"/>
      <c r="T23" s="127"/>
      <c r="U23" s="127"/>
      <c r="V23" s="128"/>
      <c r="W23" s="128"/>
      <c r="X23" s="41"/>
      <c r="Y23" s="41"/>
      <c r="Z23" s="41"/>
      <c r="AA23" s="41"/>
      <c r="AB23" s="41"/>
      <c r="AC23" s="41"/>
      <c r="AD23" s="41"/>
      <c r="AE23" s="41"/>
      <c r="AF23" s="41"/>
      <c r="AG23" s="41"/>
    </row>
    <row r="24">
      <c r="A24" s="90"/>
      <c r="B24" s="90"/>
      <c r="C24" s="90"/>
      <c r="D24" s="90"/>
      <c r="E24" s="90"/>
      <c r="F24" s="90"/>
      <c r="G24" s="90"/>
      <c r="H24" s="142" t="s">
        <v>76</v>
      </c>
      <c r="I24" s="131"/>
      <c r="J24" s="131"/>
      <c r="K24" s="131"/>
      <c r="L24" s="131"/>
      <c r="M24" s="127"/>
      <c r="N24" s="127"/>
      <c r="O24" s="132"/>
      <c r="P24" s="132">
        <v>40.0</v>
      </c>
      <c r="Q24" s="132"/>
      <c r="R24" s="132"/>
      <c r="S24" s="132"/>
      <c r="T24" s="127"/>
      <c r="U24" s="127"/>
      <c r="V24" s="132"/>
      <c r="W24" s="132"/>
      <c r="X24" s="41"/>
      <c r="Y24" s="41"/>
      <c r="Z24" s="41"/>
      <c r="AA24" s="41"/>
      <c r="AB24" s="41"/>
      <c r="AC24" s="41"/>
      <c r="AD24" s="41"/>
      <c r="AE24" s="41"/>
      <c r="AF24" s="41"/>
      <c r="AG24" s="41"/>
    </row>
    <row r="25" ht="15.75" customHeight="1">
      <c r="A25" s="121">
        <v>5.0</v>
      </c>
      <c r="B25" s="118" t="str">
        <f>'Task List &amp; Plan'!B28</f>
        <v/>
      </c>
      <c r="C25" s="120" t="str">
        <f>'Task List &amp; Plan'!J28</f>
        <v/>
      </c>
      <c r="D25" s="121" t="str">
        <f>'Task List &amp; Plan'!K28</f>
        <v/>
      </c>
      <c r="E25" s="121">
        <f>SUM(I26:W26)</f>
        <v>0</v>
      </c>
      <c r="F25" s="121">
        <f>D25-E25</f>
        <v>0</v>
      </c>
      <c r="G25" s="122" t="str">
        <f>E25/D25</f>
        <v>#DIV/0!</v>
      </c>
      <c r="H25" s="141" t="s">
        <v>75</v>
      </c>
      <c r="I25" s="125"/>
      <c r="J25" s="125"/>
      <c r="K25" s="125"/>
      <c r="L25" s="125"/>
      <c r="M25" s="127"/>
      <c r="N25" s="127"/>
      <c r="O25" s="128"/>
      <c r="P25" s="128"/>
      <c r="Q25" s="128"/>
      <c r="R25" s="128">
        <v>62.0</v>
      </c>
      <c r="S25" s="128">
        <v>22.0</v>
      </c>
      <c r="T25" s="127"/>
      <c r="U25" s="127"/>
      <c r="V25" s="128"/>
      <c r="W25" s="128"/>
      <c r="X25" s="41"/>
      <c r="Y25" s="41"/>
      <c r="Z25" s="41"/>
      <c r="AA25" s="41"/>
      <c r="AB25" s="41"/>
      <c r="AC25" s="41"/>
      <c r="AD25" s="41"/>
      <c r="AE25" s="41"/>
      <c r="AF25" s="41"/>
      <c r="AG25" s="41"/>
    </row>
    <row r="26" ht="15.75" customHeight="1">
      <c r="A26" s="90"/>
      <c r="B26" s="90"/>
      <c r="C26" s="90"/>
      <c r="D26" s="90"/>
      <c r="E26" s="90"/>
      <c r="F26" s="90"/>
      <c r="G26" s="90"/>
      <c r="H26" s="142" t="s">
        <v>76</v>
      </c>
      <c r="I26" s="132"/>
      <c r="J26" s="139"/>
      <c r="K26" s="140"/>
      <c r="L26" s="132"/>
      <c r="M26" s="127"/>
      <c r="N26" s="127"/>
      <c r="O26" s="132"/>
      <c r="P26" s="132"/>
      <c r="Q26" s="132"/>
      <c r="R26" s="132"/>
      <c r="S26" s="132"/>
      <c r="T26" s="127"/>
      <c r="U26" s="127"/>
      <c r="V26" s="132"/>
      <c r="W26" s="132"/>
      <c r="X26" s="41"/>
      <c r="Y26" s="41"/>
      <c r="Z26" s="41"/>
      <c r="AA26" s="41"/>
      <c r="AB26" s="41"/>
      <c r="AC26" s="41"/>
      <c r="AD26" s="41"/>
      <c r="AE26" s="41"/>
      <c r="AF26" s="41"/>
      <c r="AG26" s="41"/>
    </row>
    <row r="27" ht="15.75" customHeight="1">
      <c r="A27" s="121">
        <v>6.0</v>
      </c>
      <c r="B27" s="118" t="str">
        <f>'Task List &amp; Plan'!B30</f>
        <v/>
      </c>
      <c r="C27" s="120" t="str">
        <f>'Task List &amp; Plan'!J30</f>
        <v/>
      </c>
      <c r="D27" s="121" t="str">
        <f>'Task List &amp; Plan'!K30</f>
        <v/>
      </c>
      <c r="E27" s="121">
        <f>SUM(I28:W28)</f>
        <v>0</v>
      </c>
      <c r="F27" s="121">
        <f>D27-E27</f>
        <v>0</v>
      </c>
      <c r="G27" s="122" t="str">
        <f>E27/D27</f>
        <v>#DIV/0!</v>
      </c>
      <c r="H27" s="141" t="s">
        <v>75</v>
      </c>
      <c r="I27" s="125"/>
      <c r="J27" s="125"/>
      <c r="K27" s="125"/>
      <c r="L27" s="125"/>
      <c r="M27" s="127"/>
      <c r="N27" s="127"/>
      <c r="O27" s="128"/>
      <c r="P27" s="128"/>
      <c r="Q27" s="128"/>
      <c r="R27" s="128"/>
      <c r="S27" s="128">
        <v>48.0</v>
      </c>
      <c r="T27" s="127"/>
      <c r="U27" s="127"/>
      <c r="V27" s="128">
        <v>70.0</v>
      </c>
      <c r="W27" s="128">
        <v>68.0</v>
      </c>
      <c r="X27" s="41"/>
      <c r="Y27" s="41"/>
      <c r="Z27" s="41"/>
      <c r="AA27" s="41"/>
      <c r="AB27" s="41"/>
      <c r="AC27" s="41"/>
      <c r="AD27" s="41"/>
      <c r="AE27" s="41"/>
      <c r="AF27" s="41"/>
      <c r="AG27" s="41"/>
    </row>
    <row r="28" ht="15.75" customHeight="1">
      <c r="A28" s="90"/>
      <c r="B28" s="90"/>
      <c r="C28" s="90"/>
      <c r="D28" s="90"/>
      <c r="E28" s="90"/>
      <c r="F28" s="90"/>
      <c r="G28" s="90"/>
      <c r="H28" s="142" t="s">
        <v>76</v>
      </c>
      <c r="I28" s="132"/>
      <c r="J28" s="139"/>
      <c r="K28" s="140"/>
      <c r="L28" s="132"/>
      <c r="M28" s="127"/>
      <c r="N28" s="127"/>
      <c r="O28" s="132"/>
      <c r="P28" s="132"/>
      <c r="Q28" s="132"/>
      <c r="R28" s="132"/>
      <c r="S28" s="132"/>
      <c r="T28" s="127"/>
      <c r="U28" s="127"/>
      <c r="V28" s="132"/>
      <c r="W28" s="132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29" ht="15.75" customHeight="1">
      <c r="A29" s="142"/>
      <c r="B29" s="142" t="str">
        <f>'Task List &amp; Plan'!B26</f>
        <v>Total</v>
      </c>
      <c r="C29" s="142"/>
      <c r="D29" s="142">
        <f t="shared" ref="D29:F29" si="1">SUM(D17:D27)</f>
        <v>1140</v>
      </c>
      <c r="E29" s="142">
        <f t="shared" si="1"/>
        <v>424</v>
      </c>
      <c r="F29" s="142">
        <f t="shared" si="1"/>
        <v>716</v>
      </c>
      <c r="G29" s="143">
        <f>E29/D29</f>
        <v>0.3719298246</v>
      </c>
      <c r="H29" s="142" t="s">
        <v>112</v>
      </c>
      <c r="I29" s="142">
        <f>SUM(I17,I19,I21,I23,I25,I27)-SUM(I28,I26,I24,I22,I20,I18)</f>
        <v>-5</v>
      </c>
      <c r="J29" s="142">
        <f t="shared" ref="J29:W29" si="2">SUM(J17,J19,J21,J23,J25,J27)-SUM(J28,J26,J24,J22,J20,J18)+I29</f>
        <v>-5</v>
      </c>
      <c r="K29" s="142">
        <f t="shared" si="2"/>
        <v>-6</v>
      </c>
      <c r="L29" s="142">
        <f t="shared" si="2"/>
        <v>-6</v>
      </c>
      <c r="M29" s="142">
        <f t="shared" si="2"/>
        <v>-6</v>
      </c>
      <c r="N29" s="142">
        <f t="shared" si="2"/>
        <v>-6</v>
      </c>
      <c r="O29" s="142">
        <f t="shared" si="2"/>
        <v>-6</v>
      </c>
      <c r="P29" s="142">
        <f t="shared" si="2"/>
        <v>-4</v>
      </c>
      <c r="Q29" s="142">
        <f t="shared" si="2"/>
        <v>66</v>
      </c>
      <c r="R29" s="142">
        <f t="shared" si="2"/>
        <v>136</v>
      </c>
      <c r="S29" s="142">
        <f t="shared" si="2"/>
        <v>206</v>
      </c>
      <c r="T29" s="142">
        <f t="shared" si="2"/>
        <v>206</v>
      </c>
      <c r="U29" s="142">
        <f t="shared" si="2"/>
        <v>206</v>
      </c>
      <c r="V29" s="142">
        <f t="shared" si="2"/>
        <v>276</v>
      </c>
      <c r="W29" s="142">
        <f t="shared" si="2"/>
        <v>344</v>
      </c>
      <c r="X29" s="43"/>
      <c r="Y29" s="43"/>
      <c r="Z29" s="43"/>
      <c r="AA29" s="43"/>
      <c r="AB29" s="43"/>
      <c r="AC29" s="43"/>
      <c r="AD29" s="43"/>
      <c r="AE29" s="43"/>
      <c r="AF29" s="43"/>
      <c r="AG29" s="43"/>
    </row>
    <row r="30" ht="14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</row>
    <row r="51" ht="15.75" customHeight="1"/>
    <row r="52" ht="15.75" customHeight="1"/>
    <row r="53" ht="15.75" customHeight="1"/>
  </sheetData>
  <mergeCells count="56">
    <mergeCell ref="A1:D3"/>
    <mergeCell ref="E1:P3"/>
    <mergeCell ref="Q1:U1"/>
    <mergeCell ref="Q2:U2"/>
    <mergeCell ref="Q3:U3"/>
    <mergeCell ref="A4:P4"/>
    <mergeCell ref="Q4:U4"/>
    <mergeCell ref="A14:A15"/>
    <mergeCell ref="B14:B15"/>
    <mergeCell ref="C14:C16"/>
    <mergeCell ref="D14:F15"/>
    <mergeCell ref="G14:G16"/>
    <mergeCell ref="H14:H16"/>
    <mergeCell ref="I14:W14"/>
    <mergeCell ref="A17:A18"/>
    <mergeCell ref="B17:B18"/>
    <mergeCell ref="C17:C18"/>
    <mergeCell ref="D17:D18"/>
    <mergeCell ref="E17:E18"/>
    <mergeCell ref="F17:F18"/>
    <mergeCell ref="G17:G18"/>
    <mergeCell ref="A19:A20"/>
    <mergeCell ref="B19:B20"/>
    <mergeCell ref="C19:C20"/>
    <mergeCell ref="D19:D20"/>
    <mergeCell ref="E19:E20"/>
    <mergeCell ref="F19:F20"/>
    <mergeCell ref="G19:G20"/>
    <mergeCell ref="A21:A22"/>
    <mergeCell ref="B21:B22"/>
    <mergeCell ref="C21:C22"/>
    <mergeCell ref="D21:D22"/>
    <mergeCell ref="E21:E22"/>
    <mergeCell ref="F21:F22"/>
    <mergeCell ref="G21:G22"/>
    <mergeCell ref="A23:A24"/>
    <mergeCell ref="B23:B24"/>
    <mergeCell ref="C23:C24"/>
    <mergeCell ref="D23:D24"/>
    <mergeCell ref="E23:E24"/>
    <mergeCell ref="F23:F24"/>
    <mergeCell ref="G23:G24"/>
    <mergeCell ref="A27:A28"/>
    <mergeCell ref="B27:B28"/>
    <mergeCell ref="C27:C28"/>
    <mergeCell ref="D27:D28"/>
    <mergeCell ref="E27:E28"/>
    <mergeCell ref="F27:F28"/>
    <mergeCell ref="G27:G28"/>
    <mergeCell ref="A25:A26"/>
    <mergeCell ref="B25:B26"/>
    <mergeCell ref="C25:C26"/>
    <mergeCell ref="D25:D26"/>
    <mergeCell ref="E25:E26"/>
    <mergeCell ref="F25:F26"/>
    <mergeCell ref="G25:G26"/>
  </mergeCells>
  <conditionalFormatting sqref="G17:G18 G20 G29">
    <cfRule type="cellIs" dxfId="0" priority="1" operator="lessThan">
      <formula>0.8</formula>
    </cfRule>
  </conditionalFormatting>
  <conditionalFormatting sqref="G17:G18 G20 G29">
    <cfRule type="cellIs" dxfId="1" priority="2" operator="greaterThanOrEqual">
      <formula>1</formula>
    </cfRule>
  </conditionalFormatting>
  <conditionalFormatting sqref="G17:G18 G20 G29">
    <cfRule type="cellIs" dxfId="2" priority="3" operator="greaterThanOrEqual">
      <formula>0.8</formula>
    </cfRule>
  </conditionalFormatting>
  <conditionalFormatting sqref="G19">
    <cfRule type="cellIs" dxfId="0" priority="4" operator="lessThan">
      <formula>0.8</formula>
    </cfRule>
  </conditionalFormatting>
  <conditionalFormatting sqref="G19">
    <cfRule type="cellIs" dxfId="1" priority="5" operator="greaterThanOrEqual">
      <formula>1</formula>
    </cfRule>
  </conditionalFormatting>
  <conditionalFormatting sqref="G19">
    <cfRule type="cellIs" dxfId="2" priority="6" operator="greaterThanOrEqual">
      <formula>0.8</formula>
    </cfRule>
  </conditionalFormatting>
  <conditionalFormatting sqref="G21">
    <cfRule type="cellIs" dxfId="0" priority="7" operator="lessThan">
      <formula>0.8</formula>
    </cfRule>
  </conditionalFormatting>
  <conditionalFormatting sqref="G21">
    <cfRule type="cellIs" dxfId="1" priority="8" operator="greaterThanOrEqual">
      <formula>1</formula>
    </cfRule>
  </conditionalFormatting>
  <conditionalFormatting sqref="G21">
    <cfRule type="cellIs" dxfId="2" priority="9" operator="greaterThanOrEqual">
      <formula>0.8</formula>
    </cfRule>
  </conditionalFormatting>
  <conditionalFormatting sqref="G23">
    <cfRule type="cellIs" dxfId="0" priority="10" operator="lessThan">
      <formula>0.8</formula>
    </cfRule>
  </conditionalFormatting>
  <conditionalFormatting sqref="G23">
    <cfRule type="cellIs" dxfId="1" priority="11" operator="greaterThanOrEqual">
      <formula>1</formula>
    </cfRule>
  </conditionalFormatting>
  <conditionalFormatting sqref="G23">
    <cfRule type="cellIs" dxfId="2" priority="12" operator="greaterThanOrEqual">
      <formula>0.8</formula>
    </cfRule>
  </conditionalFormatting>
  <conditionalFormatting sqref="G25">
    <cfRule type="cellIs" dxfId="0" priority="13" operator="lessThan">
      <formula>0.8</formula>
    </cfRule>
  </conditionalFormatting>
  <conditionalFormatting sqref="G25">
    <cfRule type="cellIs" dxfId="1" priority="14" operator="greaterThanOrEqual">
      <formula>1</formula>
    </cfRule>
  </conditionalFormatting>
  <conditionalFormatting sqref="G25">
    <cfRule type="cellIs" dxfId="2" priority="15" operator="greaterThanOrEqual">
      <formula>0.8</formula>
    </cfRule>
  </conditionalFormatting>
  <conditionalFormatting sqref="G27">
    <cfRule type="cellIs" dxfId="0" priority="16" operator="lessThan">
      <formula>0.8</formula>
    </cfRule>
  </conditionalFormatting>
  <conditionalFormatting sqref="G27">
    <cfRule type="cellIs" dxfId="1" priority="17" operator="greaterThanOrEqual">
      <formula>1</formula>
    </cfRule>
  </conditionalFormatting>
  <conditionalFormatting sqref="G27">
    <cfRule type="cellIs" dxfId="2" priority="18" operator="greaterThanOrEqual">
      <formula>0.8</formula>
    </cfRule>
  </conditionalFormatting>
  <printOptions/>
  <pageMargins bottom="0.75" footer="0.0" header="0.0" left="0.7" right="0.7" top="0.75"/>
  <pageSetup orientation="landscape"/>
  <drawing r:id="rId2"/>
  <legacyDrawing r:id="rId3"/>
</worksheet>
</file>