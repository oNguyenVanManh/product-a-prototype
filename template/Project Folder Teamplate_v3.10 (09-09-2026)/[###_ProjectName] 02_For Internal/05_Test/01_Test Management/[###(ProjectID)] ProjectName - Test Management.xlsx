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Overview" sheetId="2" r:id="rId5"/>
    <sheet state="visible" name="Guideline" sheetId="3" r:id="rId6"/>
    <sheet state="visible" name="Design Test Case Progress" sheetId="4" r:id="rId7"/>
    <sheet state="visible" name="Execute Test Case Progress" sheetId="5" r:id="rId8"/>
    <sheet state="visible" name="Test Monitoring&amp;Control" sheetId="6" r:id="rId9"/>
    <sheet state="visible" name="Master Data" sheetId="7" r:id="rId10"/>
  </sheets>
  <definedNames/>
  <calcPr/>
</workbook>
</file>

<file path=xl/sharedStrings.xml><?xml version="1.0" encoding="utf-8"?>
<sst xmlns="http://schemas.openxmlformats.org/spreadsheetml/2006/main" count="218" uniqueCount="142">
  <si>
    <t>TEST MANAGEMENT</t>
  </si>
  <si>
    <t>No: BM-2-901-13</t>
  </si>
  <si>
    <t>No: BM-2-901-62</t>
  </si>
  <si>
    <t>Version: 2.1</t>
  </si>
  <si>
    <t>Version: 1.0</t>
  </si>
  <si>
    <t>Issue Date: 05/04/2021</t>
  </si>
  <si>
    <t>SUN ASTERISK VIETNAM CO., LTD</t>
  </si>
  <si>
    <t>Issue Date: 06/11/2025</t>
  </si>
  <si>
    <t>ISO/IEC 27001:2013&amp;ISO 9001:2015</t>
  </si>
  <si>
    <t>ISO/IEC 27001:2022 &amp; ISO 9001:2015</t>
  </si>
  <si>
    <t>Sheet Name</t>
  </si>
  <si>
    <t>Mô Tả</t>
  </si>
  <si>
    <t>Cách sử dụng/Cập nhật</t>
  </si>
  <si>
    <t>Design Test Case Progress</t>
  </si>
  <si>
    <t>Theo dõi tiến độ viết test case theo từng màn hình/module</t>
  </si>
  <si>
    <t>#</t>
  </si>
  <si>
    <t>Category</t>
  </si>
  <si>
    <t>Description</t>
  </si>
  <si>
    <t>HISTORY OF CHANGES</t>
  </si>
  <si>
    <t>No</t>
  </si>
  <si>
    <t>Change Item</t>
  </si>
  <si>
    <t>Description of changes</t>
  </si>
  <si>
    <t>Background Information</t>
  </si>
  <si>
    <t>Change Date</t>
  </si>
  <si>
    <t>1- Mô tả tổng quan dự án, bao gồm mục tiêu, phạm vi và đối tượng phục vụ.
2- Tóm tắt thông tin dự án, nêu bật mục tiêu chính, các sản phẩm/dịch vụ dự kiến và ý nghĩa của dự án.</t>
  </si>
  <si>
    <t>Objectives</t>
  </si>
  <si>
    <t>Xác định Mục tiêu kiểm thử là xác minh và xác thực phần mềm đáp ứng các yêu cầu về chức năng, hiệu năng, bảo mật và khả năng sử dụng,.....</t>
  </si>
  <si>
    <t>Test Scope</t>
  </si>
  <si>
    <t>1- Xác định Phạm vi kiểm thử: Xác định các mô-đun sẽ được kiểm thử và các giới hạn kiểm thử.
2- Xác định Out of scope: Xác định rõ những phần không thuộc phạm vi kiểm thử để tránh hiểu nhầm.</t>
  </si>
  <si>
    <t>Test Enviroment</t>
  </si>
  <si>
    <t xml:space="preserve">1- Môi trường kiểm thử: Xác minh về tính sẵn sàng của các môi trường kiểm thử Development/UAT/Staging
2- Thiết bị kiểm thử: 
- Xác định danh sách các thiết bị, hệ điều hành (OS), và trình duyệt sẽ được sử dụng để kiểm thử.
- % cases test trên mỗi thiết bị </t>
  </si>
  <si>
    <t>Strategy</t>
  </si>
  <si>
    <r>
      <rPr>
        <rFont val="Arial"/>
        <i/>
        <color rgb="FF999999"/>
        <sz val="10.0"/>
      </rPr>
      <t xml:space="preserve">1- Loại kiểm thử sẽ dùng: Manual test, automation test, functional, regression, smoke, sanity test…
2- Mức độ kiểm thử: Unit, integration, system, UAT…
3- Công cụ kiểm thử sẽ dùng: (ví dụ: JIRA, TestRail, Postman, Selenium…)
4- Có thực hiện Final inspection hay không? thực hiện vào những thời điểm nào?
(Tham khảo </t>
    </r>
    <r>
      <rPr>
        <rFont val="Arial"/>
        <i/>
        <color rgb="FF1155CC"/>
        <sz val="10.0"/>
        <u/>
      </rPr>
      <t>Template final inspection</t>
    </r>
    <r>
      <rPr>
        <rFont val="Arial"/>
        <i/>
        <color rgb="FF999999"/>
        <sz val="10.0"/>
      </rPr>
      <t>)</t>
    </r>
  </si>
  <si>
    <r>
      <rPr>
        <rFont val="Arial"/>
        <sz val="10.0"/>
      </rPr>
      <t xml:space="preserve">- QA điền thông tin link testcase, trạng thái viết testcase
- QA điền số lượng testcase 
</t>
    </r>
    <r>
      <rPr>
        <rFont val="Arial"/>
        <i/>
        <sz val="10.0"/>
      </rPr>
      <t xml:space="preserve">(nên dùng công thức =ImportRange để lấy số case tự động từ file testcase)
</t>
    </r>
    <r>
      <rPr>
        <rFont val="Arial"/>
        <sz val="10.0"/>
      </rPr>
      <t>- Get các data về effort (estimate time, actual time, % done) từ tool quản lý ticket</t>
    </r>
  </si>
  <si>
    <t>Execute Test Case Progress</t>
  </si>
  <si>
    <t>Theo dõi tiến độ thực thi test case và kết quả thực thi</t>
  </si>
  <si>
    <r>
      <rPr>
        <rFont val="Arial"/>
        <sz val="10.0"/>
      </rPr>
      <t xml:space="preserve">- QA điền thông tin link testcase, trạng thái exe testcase
- QA điền số lượng testcase , case passed, failed...
</t>
    </r>
    <r>
      <rPr>
        <rFont val="Arial"/>
        <i/>
        <sz val="10.0"/>
      </rPr>
      <t xml:space="preserve">(nên dùng công thức =ImportRange để lấy số case tự động từ file testcase)
</t>
    </r>
    <r>
      <rPr>
        <rFont val="Arial"/>
        <sz val="10.0"/>
      </rPr>
      <t>- Get các data về effort (estimate time, actual time, % done) từ tool quản lý ticket</t>
    </r>
  </si>
  <si>
    <t>Test Monitoring&amp;Control</t>
  </si>
  <si>
    <t>- Theo dõi tiến độ và chất lượng của hoạt động kiểm thử so với kế hoạch ban đầu
- Đưa ra điều chỉnh cần thiết để đảm bảo mục tiêu kiểm thử đạt được</t>
  </si>
  <si>
    <t>- Theo dõi tiến độ thực tế so với kế hoạch (thông qua Sheet [Design Test Case Progress], [Execute Test Case Progress]) 
- Xác định sai lệch so với kế hoạch, và nêu ra các rủi ro mới 
- Thực hiện các hành động điều chỉnh phù hợp ( thêm nhân sự, thu hẹp scope, kéo dài thời gian test...) để đảm bảo kiểm thử đạt mục tiêu</t>
  </si>
  <si>
    <t>Human resources</t>
  </si>
  <si>
    <t>1- Phân công trách nhiệm: Phân công cụ thể nhân sự phụ trách từng phần hoặc mô-đun kiểm thử.
2- Yêu cầu đào tạo: Xác định nhu cầu đào tạo hoặc nâng cao năng lực cho đội ngũ kiểm thử (nếu cần).</t>
  </si>
  <si>
    <t>Schedule</t>
  </si>
  <si>
    <t>Design testcase: Bắt đầu/kết thúc khi nào?
Exe testcase: Bắt đầu/kết thúc khi nào?
Các mốc quan trọng (milestones): Hoàn thành test case, chạy test, report bug, retest, regression...</t>
  </si>
  <si>
    <t>Risk management</t>
  </si>
  <si>
    <t>Các rủi ro tiềm ẩn: thiếu tài liệu, thay đổi yêu cầu, thiếu nhân sự...
Cách phòng ngừa và hành động khi rủi ro xảy ra.</t>
  </si>
  <si>
    <t>Entry Criteria</t>
  </si>
  <si>
    <t>Điều kiện cần có để bắt đầu test
- Build deployed
- Spec available
- Test case &gt;= 90%
- .......</t>
  </si>
  <si>
    <t>Summary (effort man-hours)</t>
  </si>
  <si>
    <t>Total Plan</t>
  </si>
  <si>
    <t>Total Actual</t>
  </si>
  <si>
    <t>Remain</t>
  </si>
  <si>
    <t>% Done</t>
  </si>
  <si>
    <t xml:space="preserve">Status
</t>
  </si>
  <si>
    <t>Exit Criteria</t>
  </si>
  <si>
    <t>Điều kiện để kết thúc test 
- 95% test cases passed
- No blocker bugs
- All bugs confirmed/fixed
- ........</t>
  </si>
  <si>
    <t>Deliverables</t>
  </si>
  <si>
    <t>1- Tài liệu cần tạo: Test plan, test cases, test data, bug report, test report…
2- Nội dung cần report, thời gian report</t>
  </si>
  <si>
    <t>Metrics</t>
  </si>
  <si>
    <r>
      <rPr>
        <rFont val="Arial"/>
        <i/>
        <color rgb="FF999999"/>
        <sz val="10.0"/>
      </rPr>
      <t xml:space="preserve">Có thể refer </t>
    </r>
    <r>
      <rPr>
        <rFont val="Arial"/>
        <i/>
        <color rgb="FF1155CC"/>
        <sz val="10.0"/>
        <u/>
      </rPr>
      <t>hệ thống KPI của Sun*</t>
    </r>
    <r>
      <rPr>
        <rFont val="Arial"/>
        <i/>
        <color rgb="FF999999"/>
        <sz val="10.0"/>
      </rPr>
      <t xml:space="preserve"> hoặc định nghĩa các metrics khác theo nhu cầu của dự án (Tỷ lệ test case pass/fail, số bug theo mức độ severity,…)</t>
    </r>
  </si>
  <si>
    <r>
      <rPr>
        <rFont val="Arial"/>
        <i/>
        <sz val="10.0"/>
      </rPr>
      <t>(</t>
    </r>
    <r>
      <rPr>
        <rFont val="Arial"/>
        <b/>
        <i/>
        <color rgb="FFFF0000"/>
        <sz val="10.0"/>
      </rPr>
      <t>Delay</t>
    </r>
    <r>
      <rPr>
        <rFont val="Arial"/>
        <i/>
        <sz val="10.0"/>
      </rPr>
      <t>/</t>
    </r>
    <r>
      <rPr>
        <rFont val="Arial"/>
        <b/>
        <i/>
        <color rgb="FFFF9900"/>
        <sz val="10.0"/>
      </rPr>
      <t>OnSchedule</t>
    </r>
    <r>
      <rPr>
        <rFont val="Arial"/>
        <i/>
        <sz val="10.0"/>
      </rPr>
      <t>/</t>
    </r>
    <r>
      <rPr>
        <rFont val="Arial"/>
        <b/>
        <i/>
        <color rgb="FF38761D"/>
        <sz val="10.0"/>
      </rPr>
      <t>Fast</t>
    </r>
    <r>
      <rPr>
        <rFont val="Arial"/>
        <i/>
        <sz val="10.0"/>
      </rPr>
      <t>)</t>
    </r>
  </si>
  <si>
    <t>Process/Rule</t>
  </si>
  <si>
    <t>Checkpoint (Date)</t>
  </si>
  <si>
    <r>
      <rPr>
        <rFont val="Arial"/>
        <i/>
        <color rgb="FF999999"/>
        <sz val="10.0"/>
      </rPr>
      <t xml:space="preserve">Các process/rule nếu có: 
- Study spec, Q&amp;A
- Design testcase, Exe testcase
- Bug (Refer </t>
    </r>
    <r>
      <rPr>
        <rFont val="Arial"/>
        <i/>
        <color rgb="FF999999"/>
        <sz val="10.0"/>
        <u/>
      </rPr>
      <t>link</t>
    </r>
    <r>
      <rPr>
        <rFont val="Arial"/>
        <i/>
        <color rgb="FF999999"/>
        <sz val="10.0"/>
      </rPr>
      <t>)
- Các quy định về bảo mật dự án nếu có (vd: các rule khi trao đổi trong dự án, các rule test với email, lưu trữ kết quả test, share tài liệu trong dự án, mượn trả thiết bị...)</t>
    </r>
  </si>
  <si>
    <t>Entry Met? (Y/N)</t>
  </si>
  <si>
    <t>Exit Met? (Y/N)</t>
  </si>
  <si>
    <t>Deviations</t>
  </si>
  <si>
    <t>Actions Taken</t>
  </si>
  <si>
    <t>System</t>
  </si>
  <si>
    <t>Y</t>
  </si>
  <si>
    <t xml:space="preserve">Screen </t>
  </si>
  <si>
    <t>N</t>
  </si>
  <si>
    <t>Plan</t>
  </si>
  <si>
    <t>Actual</t>
  </si>
  <si>
    <t>20% test cases not run</t>
  </si>
  <si>
    <t>Add 2 more testers</t>
  </si>
  <si>
    <t>Review</t>
  </si>
  <si>
    <t>Note</t>
  </si>
  <si>
    <r>
      <rPr>
        <rFont val="Arial"/>
        <i/>
        <sz val="10.0"/>
      </rPr>
      <t>(</t>
    </r>
    <r>
      <rPr>
        <rFont val="Arial"/>
        <b/>
        <i/>
        <color rgb="FFFF0000"/>
        <sz val="10.0"/>
      </rPr>
      <t>Delay</t>
    </r>
    <r>
      <rPr>
        <rFont val="Arial"/>
        <i/>
        <sz val="10.0"/>
      </rPr>
      <t>/</t>
    </r>
    <r>
      <rPr>
        <rFont val="Arial"/>
        <b/>
        <i/>
        <color rgb="FFFF9900"/>
        <sz val="10.0"/>
      </rPr>
      <t>OnSchedule</t>
    </r>
    <r>
      <rPr>
        <rFont val="Arial"/>
        <i/>
        <sz val="10.0"/>
      </rPr>
      <t>/</t>
    </r>
    <r>
      <rPr>
        <rFont val="Arial"/>
        <b/>
        <i/>
        <color rgb="FF38761D"/>
        <sz val="10.0"/>
      </rPr>
      <t>Fast</t>
    </r>
    <r>
      <rPr>
        <rFont val="Arial"/>
        <i/>
        <sz val="10.0"/>
      </rPr>
      <t>)</t>
    </r>
  </si>
  <si>
    <t>Number of cases</t>
  </si>
  <si>
    <r>
      <rPr>
        <rFont val="Arial"/>
        <b/>
        <sz val="10.0"/>
      </rPr>
      <t xml:space="preserve">Estimate effort
</t>
    </r>
    <r>
      <rPr>
        <rFont val="Arial"/>
        <b val="0"/>
        <i/>
        <sz val="10.0"/>
      </rPr>
      <t>(man-hours)</t>
    </r>
  </si>
  <si>
    <t>Start date</t>
  </si>
  <si>
    <t>End date</t>
  </si>
  <si>
    <t>QA PIC</t>
  </si>
  <si>
    <t>Link testcase</t>
  </si>
  <si>
    <r>
      <rPr>
        <rFont val="Arial"/>
        <b/>
        <sz val="10.0"/>
      </rPr>
      <t xml:space="preserve">Actual effort
</t>
    </r>
    <r>
      <rPr>
        <rFont val="Arial"/>
        <b val="0"/>
        <i/>
        <sz val="10.0"/>
      </rPr>
      <t xml:space="preserve">(man-hours)
</t>
    </r>
    <r>
      <rPr>
        <rFont val="Arial"/>
        <b val="0"/>
        <i/>
        <color rgb="FF666666"/>
        <sz val="10.0"/>
      </rPr>
      <t>(là effort thực thế QA dành ra để làm task)</t>
    </r>
  </si>
  <si>
    <t>Summary (testcase)</t>
  </si>
  <si>
    <t>Create Status</t>
  </si>
  <si>
    <r>
      <rPr>
        <rFont val="Arial"/>
        <b/>
        <sz val="10.0"/>
      </rPr>
      <t xml:space="preserve">Remain effort
</t>
    </r>
    <r>
      <rPr>
        <rFont val="Arial"/>
        <b val="0"/>
        <i/>
        <color rgb="FF666666"/>
        <sz val="10.0"/>
      </rPr>
      <t>(thời gian còn lại để làm task này)</t>
    </r>
  </si>
  <si>
    <t>Reviewer</t>
  </si>
  <si>
    <t>Review status</t>
  </si>
  <si>
    <t>Total</t>
  </si>
  <si>
    <t>Passed</t>
  </si>
  <si>
    <t>Failed</t>
  </si>
  <si>
    <t>Pending</t>
  </si>
  <si>
    <t>N/A</t>
  </si>
  <si>
    <t>Pass rate</t>
  </si>
  <si>
    <t xml:space="preserve">Sub system	</t>
  </si>
  <si>
    <t>Admin</t>
  </si>
  <si>
    <t>Member name</t>
  </si>
  <si>
    <t>Status Design testcase</t>
  </si>
  <si>
    <t>ScreenID1</t>
  </si>
  <si>
    <t>Status Exe testcase</t>
  </si>
  <si>
    <r>
      <rPr>
        <rFont val="Arial"/>
        <i/>
        <sz val="10.0"/>
      </rPr>
      <t>(</t>
    </r>
    <r>
      <rPr>
        <rFont val="Arial"/>
        <b/>
        <i/>
        <color rgb="FFFF0000"/>
        <sz val="10.0"/>
      </rPr>
      <t>Delay</t>
    </r>
    <r>
      <rPr>
        <rFont val="Arial"/>
        <i/>
        <sz val="10.0"/>
      </rPr>
      <t>/</t>
    </r>
    <r>
      <rPr>
        <rFont val="Arial"/>
        <b/>
        <i/>
        <color rgb="FFFF9900"/>
        <sz val="10.0"/>
      </rPr>
      <t>OnSchedule</t>
    </r>
    <r>
      <rPr>
        <rFont val="Arial"/>
        <i/>
        <sz val="10.0"/>
      </rPr>
      <t>/</t>
    </r>
    <r>
      <rPr>
        <rFont val="Arial"/>
        <b/>
        <i/>
        <color rgb="FF38761D"/>
        <sz val="10.0"/>
      </rPr>
      <t>Fast</t>
    </r>
    <r>
      <rPr>
        <rFont val="Arial"/>
        <i/>
        <sz val="10.0"/>
      </rPr>
      <t>)</t>
    </r>
  </si>
  <si>
    <t>MemberA</t>
  </si>
  <si>
    <t>Done</t>
  </si>
  <si>
    <t>Native(APP)</t>
  </si>
  <si>
    <t>ScreenID2</t>
  </si>
  <si>
    <t>MemberB</t>
  </si>
  <si>
    <t>In Progress</t>
  </si>
  <si>
    <t>Web view</t>
  </si>
  <si>
    <t>ScreenID3</t>
  </si>
  <si>
    <t>Web app</t>
  </si>
  <si>
    <t>ScreenID4</t>
  </si>
  <si>
    <t>Verify_bug</t>
  </si>
  <si>
    <t>ScreenID5</t>
  </si>
  <si>
    <t>Re_test</t>
  </si>
  <si>
    <t>ScreenID6</t>
  </si>
  <si>
    <t>Bug Summary</t>
  </si>
  <si>
    <t>ScreenID7</t>
  </si>
  <si>
    <t>ScreenID8</t>
  </si>
  <si>
    <t>ScreenID9</t>
  </si>
  <si>
    <r>
      <rPr>
        <rFont val="Arial"/>
        <b/>
        <sz val="10.0"/>
      </rPr>
      <t xml:space="preserve">Estimate effort
</t>
    </r>
    <r>
      <rPr>
        <rFont val="Arial"/>
        <b val="0"/>
        <i/>
        <sz val="10.0"/>
      </rPr>
      <t>(man-hours)</t>
    </r>
  </si>
  <si>
    <t>ScreenID10</t>
  </si>
  <si>
    <t>ScreenID11</t>
  </si>
  <si>
    <t>ScreenID12</t>
  </si>
  <si>
    <t>ScreenID13</t>
  </si>
  <si>
    <t>ScreenID14</t>
  </si>
  <si>
    <t>ScreenID15</t>
  </si>
  <si>
    <t>Exe Status</t>
  </si>
  <si>
    <t>ScreenID16</t>
  </si>
  <si>
    <r>
      <rPr>
        <rFont val="Arial"/>
        <b/>
        <sz val="10.0"/>
      </rPr>
      <t xml:space="preserve">Actual effort
</t>
    </r>
    <r>
      <rPr>
        <rFont val="Arial"/>
        <b val="0"/>
        <i/>
        <sz val="10.0"/>
      </rPr>
      <t>(man-hours)</t>
    </r>
  </si>
  <si>
    <t>ScreenID17</t>
  </si>
  <si>
    <r>
      <rPr>
        <rFont val="Arial"/>
        <b/>
        <sz val="10.0"/>
      </rPr>
      <t xml:space="preserve">Remain effort
</t>
    </r>
    <r>
      <rPr>
        <rFont val="Arial"/>
        <b val="0"/>
        <i/>
        <sz val="10.0"/>
      </rPr>
      <t>(man-hours)</t>
    </r>
  </si>
  <si>
    <t>ScreenID18</t>
  </si>
  <si>
    <t>Effort Re-test &amp; Close bug</t>
  </si>
  <si>
    <t>ScreenID19</t>
  </si>
  <si>
    <t>Internal Bug</t>
  </si>
  <si>
    <t>Internal Bug Close</t>
  </si>
  <si>
    <t>UAT Bug</t>
  </si>
  <si>
    <t>ScreenID20</t>
  </si>
  <si>
    <t>UAT Bug Close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</si>
</sst>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dd/MM/yyyy"/>
  </numFmts>
  <fonts count="22">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b/>
      <sz val="10.0"/>
      <name val="Arial"/>
    </font>
    <font>
      <sz val="10.0"/>
      <name val="Arial"/>
    </font>
    <font>
      <b/>
    </font>
    <font>
      <b/>
      <sz val="14.0"/>
      <name val="Times New Roman"/>
    </font>
    <font>
      <b/>
      <sz val="12.0"/>
      <name val="Arial"/>
    </font>
    <font>
      <i/>
      <sz val="10.0"/>
      <color rgb="FF999999"/>
      <name val="Arial"/>
    </font>
    <font>
      <i/>
      <u/>
      <sz val="10.0"/>
      <color rgb="FF999999"/>
      <name val="Arial"/>
    </font>
    <font>
      <b/>
      <sz val="10.0"/>
      <color rgb="FF000000"/>
      <name val="Arial"/>
    </font>
    <font>
      <b/>
      <sz val="10.0"/>
      <color rgb="FFFF0000"/>
      <name val="Arial"/>
    </font>
    <font>
      <sz val="10.0"/>
      <color rgb="FFFF0000"/>
      <name val="Arial"/>
    </font>
    <font>
      <i/>
      <u/>
      <sz val="10.0"/>
      <color rgb="FF999999"/>
      <name val="Arial"/>
    </font>
    <font>
      <i/>
      <sz val="10.0"/>
      <name val="Arial"/>
    </font>
    <font>
      <b/>
      <name val="Arial"/>
    </font>
    <font>
      <name val="Arial"/>
    </font>
    <font>
      <sz val="10.0"/>
    </font>
  </fonts>
  <fills count="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s>
  <borders count="29">
    <border/>
    <border>
      <left style="thin">
        <color rgb="FF000000"/>
      </left>
      <top style="thin">
        <color rgb="FF000000"/>
      </top>
    </border>
    <border>
      <top style="thin">
        <color rgb="FF000000"/>
      </top>
    </border>
    <border>
      <left style="thin">
        <color rgb="FF000000"/>
      </left>
      <top style="thin">
        <color rgb="FF000000"/>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FFFFFF"/>
      </bottom>
    </border>
    <border>
      <left style="thin">
        <color rgb="FF000000"/>
      </left>
    </border>
    <border>
      <top style="thin">
        <color rgb="FF000000"/>
      </top>
      <bottom style="thin">
        <color rgb="FF000000"/>
      </bottom>
    </border>
    <border>
      <left style="thin">
        <color rgb="FF000000"/>
      </left>
      <bottom style="thin">
        <color rgb="FFFFFFFF"/>
      </bottom>
    </border>
    <border>
      <right style="thin">
        <color rgb="FF000000"/>
      </right>
      <top style="thin">
        <color rgb="FF000000"/>
      </top>
      <bottom style="thin">
        <color rgb="FF000000"/>
      </bottom>
    </border>
    <border>
      <right style="thin">
        <color rgb="FF000000"/>
      </right>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top/>
      <bottom/>
    </border>
    <border>
      <left style="thin">
        <color rgb="FFFFFFFF"/>
      </left>
    </border>
    <border>
      <right style="thin">
        <color rgb="FFFFFFFF"/>
      </right>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top" wrapText="0"/>
    </xf>
    <xf borderId="1" fillId="0" fontId="1" numFmtId="0" xfId="0" applyAlignment="1" applyBorder="1" applyFont="1">
      <alignment horizontal="center" readingOrder="0" vertical="center"/>
    </xf>
    <xf borderId="2" fillId="0" fontId="2" numFmtId="0" xfId="0" applyAlignment="1" applyBorder="1" applyFont="1">
      <alignment vertical="top"/>
    </xf>
    <xf borderId="1" fillId="0" fontId="3" numFmtId="0" xfId="0" applyAlignment="1" applyBorder="1" applyFont="1">
      <alignment horizontal="center" readingOrder="0" shrinkToFit="0" vertical="center" wrapText="1"/>
    </xf>
    <xf borderId="3" fillId="0" fontId="4" numFmtId="0" xfId="0" applyAlignment="1" applyBorder="1" applyFont="1">
      <alignment readingOrder="0" vertical="center"/>
    </xf>
    <xf borderId="4" fillId="0" fontId="4" numFmtId="0" xfId="0" applyAlignment="1" applyBorder="1" applyFont="1">
      <alignment readingOrder="0" vertical="center"/>
    </xf>
    <xf borderId="5" fillId="0" fontId="2" numFmtId="0" xfId="0" applyAlignment="1" applyBorder="1" applyFont="1">
      <alignment vertical="top"/>
    </xf>
    <xf borderId="6" fillId="0" fontId="2" numFmtId="0" xfId="0" applyAlignment="1" applyBorder="1" applyFont="1">
      <alignment vertical="top"/>
    </xf>
    <xf borderId="7" fillId="0" fontId="2" numFmtId="0" xfId="0" applyAlignment="1" applyBorder="1" applyFont="1">
      <alignment vertical="top"/>
    </xf>
    <xf borderId="8" fillId="0" fontId="5" numFmtId="0" xfId="0" applyAlignment="1" applyBorder="1" applyFont="1">
      <alignment readingOrder="0" vertical="center"/>
    </xf>
    <xf borderId="9" fillId="0" fontId="2" numFmtId="0" xfId="0" applyAlignment="1" applyBorder="1" applyFont="1">
      <alignment vertical="top"/>
    </xf>
    <xf borderId="10" fillId="0" fontId="2" numFmtId="0" xfId="0" applyAlignment="1" applyBorder="1" applyFont="1">
      <alignment vertical="top"/>
    </xf>
    <xf borderId="11" fillId="0" fontId="5" numFmtId="0" xfId="0" applyAlignment="1" applyBorder="1" applyFont="1">
      <alignment readingOrder="0" vertical="center"/>
    </xf>
    <xf borderId="1" fillId="0" fontId="4" numFmtId="0" xfId="0" applyAlignment="1" applyBorder="1" applyFont="1">
      <alignment readingOrder="0" vertical="center"/>
    </xf>
    <xf borderId="12" fillId="0" fontId="2" numFmtId="0" xfId="0" applyAlignment="1" applyBorder="1" applyFont="1">
      <alignment vertical="top"/>
    </xf>
    <xf borderId="11" fillId="0" fontId="5" numFmtId="0" xfId="0" applyAlignment="1" applyBorder="1" applyFont="1">
      <alignment readingOrder="0" shrinkToFit="0" vertical="center" wrapText="0"/>
    </xf>
    <xf borderId="13" fillId="0" fontId="2" numFmtId="0" xfId="0" applyAlignment="1" applyBorder="1" applyFont="1">
      <alignment vertical="top"/>
    </xf>
    <xf borderId="14" fillId="0" fontId="2" numFmtId="0" xfId="0" applyAlignment="1" applyBorder="1" applyFont="1">
      <alignment vertical="top"/>
    </xf>
    <xf borderId="4" fillId="0" fontId="6" numFmtId="0" xfId="0" applyAlignment="1" applyBorder="1" applyFont="1">
      <alignment readingOrder="0" vertical="center"/>
    </xf>
    <xf borderId="7" fillId="0" fontId="6" numFmtId="0" xfId="0" applyAlignment="1" applyBorder="1" applyFont="1">
      <alignment readingOrder="0" vertical="center"/>
    </xf>
    <xf borderId="11" fillId="0" fontId="6" numFmtId="0" xfId="0" applyAlignment="1" applyBorder="1" applyFont="1">
      <alignment horizontal="right" readingOrder="0" shrinkToFit="0" vertical="center" wrapText="1"/>
    </xf>
    <xf borderId="6" fillId="0" fontId="5" numFmtId="0" xfId="0" applyAlignment="1" applyBorder="1" applyFont="1">
      <alignment readingOrder="0" vertical="center"/>
    </xf>
    <xf borderId="15" fillId="0" fontId="2" numFmtId="0" xfId="0" applyAlignment="1" applyBorder="1" applyFont="1">
      <alignment vertical="top"/>
    </xf>
    <xf borderId="0" fillId="0" fontId="7" numFmtId="0" xfId="0" applyAlignment="1" applyFont="1">
      <alignment shrinkToFit="0" vertical="top" wrapText="0"/>
    </xf>
    <xf borderId="0" fillId="0" fontId="8" numFmtId="0" xfId="0" applyAlignment="1" applyFont="1">
      <alignment vertical="top"/>
    </xf>
    <xf borderId="0" fillId="0" fontId="8" numFmtId="0" xfId="0" applyAlignment="1" applyFont="1">
      <alignment shrinkToFit="0" vertical="top" wrapText="0"/>
    </xf>
    <xf borderId="16" fillId="2" fontId="9" numFmtId="0" xfId="0" applyAlignment="1" applyBorder="1" applyFill="1" applyFont="1">
      <alignment horizontal="center" readingOrder="0" shrinkToFit="0" vertical="top" wrapText="1"/>
    </xf>
    <xf borderId="17" fillId="0" fontId="8" numFmtId="0" xfId="0" applyAlignment="1" applyBorder="1" applyFont="1">
      <alignment shrinkToFit="0" vertical="top" wrapText="0"/>
    </xf>
    <xf borderId="16" fillId="0" fontId="7" numFmtId="0" xfId="0" applyAlignment="1" applyBorder="1" applyFont="1">
      <alignment readingOrder="0" shrinkToFit="0" vertical="top" wrapText="1"/>
    </xf>
    <xf borderId="18" fillId="3" fontId="7" numFmtId="0" xfId="0" applyAlignment="1" applyBorder="1" applyFill="1" applyFont="1">
      <alignment horizontal="center" shrinkToFit="1" vertical="center" wrapText="0"/>
    </xf>
    <xf borderId="19" fillId="0" fontId="10" numFmtId="0" xfId="0" applyAlignment="1" applyBorder="1" applyFont="1">
      <alignment horizontal="center" readingOrder="0" shrinkToFit="0" vertical="center" wrapText="1"/>
    </xf>
    <xf borderId="16" fillId="2" fontId="7" numFmtId="0" xfId="0" applyAlignment="1" applyBorder="1" applyFill="1" applyFont="1">
      <alignment horizontal="center" readingOrder="0" shrinkToFit="1" vertical="center" wrapText="0"/>
    </xf>
    <xf borderId="20" fillId="0" fontId="2" numFmtId="0" xfId="0" applyAlignment="1" applyBorder="1" applyFont="1">
      <alignment vertical="top"/>
    </xf>
    <xf borderId="4" fillId="2" fontId="7" numFmtId="0" xfId="0" applyAlignment="1" applyBorder="1" applyFill="1" applyFont="1">
      <alignment horizontal="center" readingOrder="0" shrinkToFit="1" vertical="center" wrapText="0"/>
    </xf>
    <xf borderId="19" fillId="0" fontId="11" numFmtId="0" xfId="0" applyAlignment="1" applyBorder="1" applyFont="1">
      <alignment horizontal="center" readingOrder="0" shrinkToFit="0" vertical="center" wrapText="1"/>
    </xf>
    <xf borderId="21" fillId="0" fontId="8" numFmtId="0" xfId="0" applyAlignment="1" applyBorder="1" applyFont="1">
      <alignment shrinkToFit="0" vertical="top" wrapText="0"/>
    </xf>
    <xf borderId="16" fillId="2" fontId="7" numFmtId="0" xfId="0" applyAlignment="1" applyBorder="1" applyFill="1" applyFont="1">
      <alignment horizontal="center" readingOrder="0" shrinkToFit="0" vertical="center" wrapText="1"/>
    </xf>
    <xf borderId="22" fillId="0" fontId="8" numFmtId="0" xfId="0" applyAlignment="1" applyBorder="1" applyFont="1">
      <alignment shrinkToFit="0" vertical="top" wrapText="0"/>
    </xf>
    <xf borderId="0" fillId="0" fontId="8" numFmtId="0" xfId="0" applyAlignment="1" applyFont="1">
      <alignment horizontal="center" shrinkToFit="1" vertical="center" wrapText="0"/>
    </xf>
    <xf borderId="4" fillId="2" fontId="7" numFmtId="0" xfId="0" applyAlignment="1" applyBorder="1" applyFill="1" applyFont="1">
      <alignment horizontal="center" readingOrder="0" shrinkToFit="0" vertical="center" wrapText="1"/>
    </xf>
    <xf borderId="16" fillId="0" fontId="8" numFmtId="0" xfId="0" applyAlignment="1" applyBorder="1" applyFont="1">
      <alignment horizontal="center" readingOrder="0" shrinkToFit="1" vertical="top" wrapText="0"/>
    </xf>
    <xf borderId="16" fillId="0" fontId="7" numFmtId="0" xfId="0" applyAlignment="1" applyBorder="1" applyFont="1">
      <alignment readingOrder="0" shrinkToFit="1" vertical="top" wrapText="0"/>
    </xf>
    <xf borderId="16" fillId="0" fontId="8" numFmtId="0" xfId="0" applyAlignment="1" applyBorder="1" applyFont="1">
      <alignment horizontal="center" readingOrder="0" shrinkToFit="0" vertical="center" wrapText="1"/>
    </xf>
    <xf borderId="4" fillId="0" fontId="12" numFmtId="0" xfId="0" applyAlignment="1" applyBorder="1" applyFont="1">
      <alignment readingOrder="0" shrinkToFit="1" vertical="top" wrapText="0"/>
    </xf>
    <xf borderId="4" fillId="0" fontId="8" numFmtId="0" xfId="0" applyAlignment="1" applyBorder="1" applyFont="1">
      <alignment horizontal="left" readingOrder="0" shrinkToFit="0" vertical="center" wrapText="1"/>
    </xf>
    <xf borderId="4" fillId="0" fontId="8" numFmtId="164" xfId="0" applyAlignment="1" applyBorder="1" applyFont="1" applyNumberFormat="1">
      <alignment horizontal="left" readingOrder="0" shrinkToFit="0" vertical="center" wrapText="1"/>
    </xf>
    <xf borderId="4" fillId="0" fontId="12" numFmtId="0" xfId="0" applyAlignment="1" applyBorder="1" applyFont="1">
      <alignment readingOrder="0" shrinkToFit="0" vertical="top" wrapText="1"/>
    </xf>
    <xf borderId="1" fillId="0" fontId="8" numFmtId="0" xfId="0" applyAlignment="1" applyBorder="1" applyFont="1">
      <alignment horizontal="left" readingOrder="0" shrinkToFit="0" vertical="center" wrapText="1"/>
    </xf>
    <xf borderId="4" fillId="0" fontId="4" numFmtId="0" xfId="0" applyAlignment="1" applyBorder="1" applyFont="1">
      <alignment horizontal="left" readingOrder="0" vertical="center"/>
    </xf>
    <xf borderId="7" fillId="0" fontId="0" numFmtId="0" xfId="0" applyAlignment="1" applyBorder="1" applyFont="1">
      <alignment horizontal="left" readingOrder="0" shrinkToFit="0" vertical="center" wrapText="1"/>
    </xf>
    <xf borderId="0" fillId="0" fontId="4" numFmtId="0" xfId="0" applyAlignment="1" applyFont="1">
      <alignment horizontal="center" readingOrder="0" vertical="center"/>
    </xf>
    <xf borderId="16" fillId="0" fontId="8" numFmtId="0" xfId="0" applyAlignment="1" applyBorder="1" applyFont="1">
      <alignment readingOrder="0" shrinkToFit="0" vertical="top" wrapText="1"/>
    </xf>
    <xf borderId="0" fillId="0" fontId="2" numFmtId="0" xfId="0" applyAlignment="1" applyFont="1">
      <alignment horizontal="center" vertical="top"/>
    </xf>
    <xf borderId="0" fillId="0" fontId="8" numFmtId="10" xfId="0" applyAlignment="1" applyFont="1" applyNumberFormat="1">
      <alignment horizontal="center" vertical="bottom"/>
    </xf>
    <xf borderId="0" fillId="0" fontId="8" numFmtId="0" xfId="0" applyAlignment="1" applyFont="1">
      <alignment horizontal="center" vertical="bottom"/>
    </xf>
    <xf borderId="0" fillId="0" fontId="8" numFmtId="0" xfId="0" applyAlignment="1" applyFont="1">
      <alignment vertical="bottom"/>
    </xf>
    <xf borderId="16" fillId="0" fontId="2" numFmtId="0" xfId="0" applyAlignment="1" applyBorder="1" applyFont="1">
      <alignment readingOrder="0" shrinkToFit="0" vertical="top" wrapText="1"/>
    </xf>
    <xf borderId="4" fillId="0" fontId="13" numFmtId="0" xfId="0" applyAlignment="1" applyBorder="1" applyFont="1">
      <alignment readingOrder="0" shrinkToFit="1" vertical="top" wrapText="0"/>
    </xf>
    <xf borderId="0" fillId="0" fontId="8" numFmtId="0" xfId="0" applyAlignment="1" applyFont="1">
      <alignment shrinkToFit="0" vertical="top" wrapText="1"/>
    </xf>
    <xf borderId="4" fillId="0" fontId="0" numFmtId="0" xfId="0" applyAlignment="1" applyBorder="1" applyFont="1">
      <alignment horizontal="left" readingOrder="0" shrinkToFit="0" vertical="center" wrapText="1"/>
    </xf>
    <xf borderId="4" fillId="0" fontId="5" numFmtId="0" xfId="0" applyAlignment="1" applyBorder="1" applyFont="1">
      <alignment horizontal="left" readingOrder="0" vertical="center"/>
    </xf>
    <xf borderId="0" fillId="0" fontId="5" numFmtId="0" xfId="0" applyAlignment="1" applyFont="1">
      <alignment horizontal="center" readingOrder="0" vertical="center"/>
    </xf>
    <xf borderId="0" fillId="0" fontId="7" numFmtId="0" xfId="0" applyAlignment="1" applyFont="1">
      <alignment horizontal="center" shrinkToFit="0" vertical="center" wrapText="0"/>
    </xf>
    <xf borderId="16" fillId="0" fontId="14" numFmtId="0" xfId="0" applyAlignment="1" applyBorder="1" applyFont="1">
      <alignment horizontal="center" readingOrder="0" shrinkToFit="0" vertical="center" wrapText="1"/>
    </xf>
    <xf borderId="16" fillId="0" fontId="7" numFmtId="0" xfId="0" applyAlignment="1" applyBorder="1" applyFont="1">
      <alignment readingOrder="0" shrinkToFit="0" vertical="top" wrapText="0"/>
    </xf>
    <xf borderId="4" fillId="0" fontId="5" numFmtId="0" xfId="0" applyAlignment="1" applyBorder="1" applyFont="1">
      <alignment horizontal="left" readingOrder="0" shrinkToFit="0" vertical="center" wrapText="0"/>
    </xf>
    <xf borderId="0" fillId="0" fontId="5" numFmtId="0" xfId="0" applyAlignment="1" applyFont="1">
      <alignment horizontal="center" readingOrder="0" shrinkToFit="0" vertical="center" wrapText="0"/>
    </xf>
    <xf borderId="4" fillId="0" fontId="6" numFmtId="0" xfId="0" applyAlignment="1" applyBorder="1" applyFont="1">
      <alignment horizontal="left" readingOrder="0" vertical="center"/>
    </xf>
    <xf borderId="16" fillId="0" fontId="15" numFmtId="0" xfId="0" applyAlignment="1" applyBorder="1" applyFont="1">
      <alignment horizontal="center" readingOrder="0" shrinkToFit="0" vertical="center" wrapText="1"/>
    </xf>
    <xf borderId="7" fillId="0" fontId="6" numFmtId="0" xfId="0" applyAlignment="1" applyBorder="1" applyFont="1">
      <alignment horizontal="center" readingOrder="0" vertical="center"/>
    </xf>
    <xf borderId="4" fillId="0" fontId="16" numFmtId="0" xfId="0" applyAlignment="1" applyBorder="1" applyFont="1">
      <alignment horizontal="left" readingOrder="0" shrinkToFit="0" vertical="center" wrapText="1"/>
    </xf>
    <xf borderId="0" fillId="0" fontId="6" numFmtId="0" xfId="0" applyAlignment="1" applyFont="1">
      <alignment horizontal="center" readingOrder="0" shrinkToFit="0" vertical="center" wrapText="1"/>
    </xf>
    <xf borderId="4" fillId="0" fontId="15" numFmtId="49" xfId="0" applyAlignment="1" applyBorder="1" applyFont="1" applyNumberFormat="1">
      <alignment horizontal="left" readingOrder="0" shrinkToFit="0" vertical="center" wrapText="1"/>
    </xf>
    <xf borderId="21" fillId="0" fontId="7" numFmtId="0" xfId="0" applyAlignment="1" applyBorder="1" applyFont="1">
      <alignment shrinkToFit="0" vertical="top" wrapText="0"/>
    </xf>
    <xf borderId="0" fillId="0" fontId="8" numFmtId="0" xfId="0" applyAlignment="1" applyFont="1">
      <alignment horizontal="center" vertical="top"/>
    </xf>
    <xf borderId="22" fillId="0" fontId="7" numFmtId="0" xfId="0" applyAlignment="1" applyBorder="1" applyFont="1">
      <alignment shrinkToFit="0" vertical="top" wrapText="0"/>
    </xf>
    <xf borderId="19"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23" fillId="0" fontId="8" numFmtId="0" xfId="0" applyAlignment="1" applyBorder="1" applyFont="1">
      <alignment horizontal="center" vertical="top"/>
    </xf>
    <xf borderId="20" fillId="0" fontId="7" numFmtId="49" xfId="0" applyAlignment="1" applyBorder="1" applyFont="1" applyNumberFormat="1">
      <alignment horizontal="left" readingOrder="0" shrinkToFit="0" vertical="center" wrapText="1"/>
    </xf>
    <xf borderId="0" fillId="0" fontId="7" numFmtId="0" xfId="0" applyAlignment="1" applyFont="1">
      <alignment readingOrder="0" vertical="top"/>
    </xf>
    <xf borderId="19" fillId="0" fontId="10" numFmtId="49" xfId="0" applyAlignment="1" applyBorder="1" applyFont="1" applyNumberFormat="1">
      <alignment horizontal="left" readingOrder="0" shrinkToFit="0" vertical="center" wrapText="1"/>
    </xf>
    <xf borderId="0" fillId="0" fontId="8" numFmtId="10" xfId="0" applyAlignment="1" applyFont="1" applyNumberFormat="1">
      <alignment horizontal="center" vertical="top"/>
    </xf>
    <xf borderId="0" fillId="0" fontId="10" numFmtId="49" xfId="0" applyAlignment="1" applyFont="1" applyNumberFormat="1">
      <alignment horizontal="left" readingOrder="0" shrinkToFit="0" vertical="center" wrapText="1"/>
    </xf>
    <xf borderId="0" fillId="0" fontId="8" numFmtId="0" xfId="0" applyAlignment="1" applyFont="1">
      <alignment horizontal="center" vertical="top"/>
    </xf>
    <xf borderId="0" fillId="0" fontId="8" numFmtId="0" xfId="0" applyAlignment="1" applyFont="1">
      <alignment vertical="top"/>
    </xf>
    <xf borderId="20" fillId="0" fontId="10" numFmtId="49" xfId="0" applyAlignment="1" applyBorder="1" applyFont="1" applyNumberFormat="1">
      <alignment horizontal="left" readingOrder="0" shrinkToFit="0" vertical="center" wrapText="1"/>
    </xf>
    <xf borderId="16" fillId="2" fontId="7" numFmtId="0" xfId="0" applyAlignment="1" applyBorder="1" applyFill="1" applyFont="1">
      <alignment horizontal="center" readingOrder="0" vertical="top"/>
    </xf>
    <xf borderId="24" fillId="0" fontId="10" numFmtId="49" xfId="0" applyAlignment="1" applyBorder="1" applyFont="1" applyNumberFormat="1">
      <alignment horizontal="left" readingOrder="0" shrinkToFit="0" vertical="center" wrapText="1"/>
    </xf>
    <xf borderId="25" fillId="0" fontId="10" numFmtId="49" xfId="0" applyAlignment="1" applyBorder="1" applyFont="1" applyNumberFormat="1">
      <alignment horizontal="left" readingOrder="0" shrinkToFit="0" vertical="center" wrapText="1"/>
    </xf>
    <xf borderId="26" fillId="0" fontId="10" numFmtId="49" xfId="0" applyAlignment="1" applyBorder="1" applyFont="1" applyNumberFormat="1">
      <alignment horizontal="left" readingOrder="0" shrinkToFit="0" vertical="center" wrapText="1"/>
    </xf>
    <xf borderId="0" fillId="0" fontId="4" numFmtId="0" xfId="0" applyAlignment="1" applyFont="1">
      <alignment readingOrder="0" vertical="center"/>
    </xf>
    <xf borderId="16" fillId="0" fontId="8" numFmtId="0" xfId="0" applyAlignment="1" applyBorder="1" applyFont="1">
      <alignment horizontal="center" vertical="top"/>
    </xf>
    <xf borderId="0" fillId="0" fontId="5" numFmtId="0" xfId="0" applyAlignment="1" applyFont="1">
      <alignment readingOrder="0" vertical="center"/>
    </xf>
    <xf borderId="16" fillId="0" fontId="8" numFmtId="0" xfId="0" applyAlignment="1" applyBorder="1" applyFont="1">
      <alignment horizontal="center" readingOrder="0" vertical="top"/>
    </xf>
    <xf borderId="0" fillId="0" fontId="5" numFmtId="0" xfId="0" applyAlignment="1" applyFont="1">
      <alignment readingOrder="0" shrinkToFit="0" vertical="center" wrapText="0"/>
    </xf>
    <xf borderId="16" fillId="0" fontId="8" numFmtId="9" xfId="0" applyAlignment="1" applyBorder="1" applyFont="1" applyNumberFormat="1">
      <alignment horizontal="center" readingOrder="0" vertical="top"/>
    </xf>
    <xf borderId="4" fillId="0" fontId="17" numFmtId="0" xfId="0" applyAlignment="1" applyBorder="1" applyFont="1">
      <alignment readingOrder="0" shrinkToFit="0" vertical="top" wrapText="1"/>
    </xf>
    <xf borderId="16" fillId="0" fontId="18" numFmtId="0" xfId="0" applyAlignment="1" applyBorder="1" applyFont="1">
      <alignment horizontal="center" readingOrder="0" vertical="top"/>
    </xf>
    <xf borderId="0" fillId="0" fontId="6" numFmtId="0" xfId="0" applyAlignment="1" applyFont="1">
      <alignment horizontal="right" readingOrder="0" shrinkToFit="0" vertical="center" wrapText="1"/>
    </xf>
    <xf borderId="16" fillId="2" fontId="19" numFmtId="0" xfId="0" applyAlignment="1" applyBorder="1" applyFill="1" applyFont="1">
      <alignment vertical="bottom"/>
    </xf>
    <xf borderId="23" fillId="0" fontId="8" numFmtId="0" xfId="0" applyAlignment="1" applyBorder="1" applyFont="1">
      <alignment vertical="top"/>
    </xf>
    <xf borderId="27" fillId="2" fontId="7" numFmtId="0" xfId="0" applyAlignment="1" applyBorder="1" applyFill="1" applyFont="1">
      <alignment horizontal="center" readingOrder="0" shrinkToFit="0" vertical="top" wrapText="1"/>
    </xf>
    <xf borderId="16" fillId="0" fontId="20" numFmtId="165" xfId="0" applyAlignment="1" applyBorder="1" applyFont="1" applyNumberFormat="1">
      <alignment horizontal="right" vertical="bottom"/>
    </xf>
    <xf borderId="16" fillId="0" fontId="20" numFmtId="0" xfId="0" applyAlignment="1" applyBorder="1" applyFont="1">
      <alignment vertical="bottom"/>
    </xf>
    <xf borderId="4" fillId="4" fontId="7" numFmtId="0" xfId="0" applyAlignment="1" applyBorder="1" applyFill="1" applyFont="1">
      <alignment horizontal="center" shrinkToFit="0" vertical="top" wrapText="1"/>
    </xf>
    <xf borderId="4" fillId="4" fontId="7" numFmtId="0" xfId="0" applyAlignment="1" applyBorder="1" applyFill="1" applyFont="1">
      <alignment horizontal="center" readingOrder="0" shrinkToFit="0" vertical="top" wrapText="1"/>
    </xf>
    <xf borderId="4" fillId="4" fontId="9" numFmtId="0" xfId="0" applyAlignment="1" applyBorder="1" applyFill="1" applyFont="1">
      <alignment horizontal="center" readingOrder="0" vertical="top"/>
    </xf>
    <xf borderId="0" fillId="0" fontId="7" numFmtId="0" xfId="0" applyAlignment="1" applyFont="1">
      <alignment shrinkToFit="0" vertical="top" wrapText="0"/>
    </xf>
    <xf borderId="22" fillId="0" fontId="8" numFmtId="0" xfId="0" applyAlignment="1" applyBorder="1" applyFont="1">
      <alignment horizontal="left" shrinkToFit="1" vertical="top" wrapText="0"/>
    </xf>
    <xf borderId="27" fillId="2" fontId="7" numFmtId="0" xfId="0" applyAlignment="1" applyBorder="1" applyFill="1" applyFont="1">
      <alignment horizontal="center" readingOrder="0" vertical="top"/>
    </xf>
    <xf borderId="28" fillId="0" fontId="2" numFmtId="0" xfId="0" applyAlignment="1" applyBorder="1" applyFont="1">
      <alignment vertical="top"/>
    </xf>
    <xf borderId="16" fillId="2" fontId="7" numFmtId="0" xfId="0" applyAlignment="1" applyBorder="1" applyFill="1" applyFont="1">
      <alignment horizontal="center" readingOrder="0" shrinkToFit="0" vertical="top" wrapText="1"/>
    </xf>
    <xf borderId="16" fillId="2" fontId="7" numFmtId="0" xfId="0" applyAlignment="1" applyBorder="1" applyFill="1" applyFont="1">
      <alignment horizontal="center" shrinkToFit="0" vertical="top" wrapText="1"/>
    </xf>
    <xf borderId="27" fillId="2" fontId="7" numFmtId="0" xfId="0" applyAlignment="1" applyBorder="1" applyFill="1" applyFont="1">
      <alignment horizontal="center" shrinkToFit="0" vertical="top" wrapText="1"/>
    </xf>
    <xf borderId="0" fillId="0" fontId="7" numFmtId="0" xfId="0" applyAlignment="1" applyFont="1">
      <alignment horizontal="center" readingOrder="0" vertical="top"/>
    </xf>
    <xf borderId="16" fillId="0" fontId="8" numFmtId="0" xfId="0" applyAlignment="1" applyBorder="1" applyFont="1">
      <alignment horizontal="center" shrinkToFit="0" vertical="top" wrapText="1"/>
    </xf>
    <xf borderId="0" fillId="0" fontId="20" numFmtId="0" xfId="0" applyAlignment="1" applyFont="1">
      <alignment vertical="bottom"/>
    </xf>
    <xf borderId="16" fillId="2" fontId="19" numFmtId="0" xfId="0" applyAlignment="1" applyBorder="1" applyFill="1" applyFont="1">
      <alignment shrinkToFit="0" vertical="top" wrapText="1"/>
    </xf>
    <xf borderId="16" fillId="0" fontId="20" numFmtId="49" xfId="0" applyAlignment="1" applyBorder="1" applyFont="1" applyNumberFormat="1">
      <alignment shrinkToFit="0" vertical="top" wrapText="1"/>
    </xf>
    <xf borderId="16" fillId="2" fontId="19" numFmtId="0" xfId="0" applyAlignment="1" applyBorder="1" applyFill="1" applyFont="1">
      <alignment readingOrder="0" shrinkToFit="0" vertical="top" wrapText="1"/>
    </xf>
    <xf borderId="16" fillId="0" fontId="18" numFmtId="9" xfId="0" applyAlignment="1" applyBorder="1" applyFont="1" applyNumberFormat="1">
      <alignment horizontal="center" readingOrder="0" vertical="top"/>
    </xf>
    <xf borderId="16" fillId="0" fontId="8" numFmtId="0" xfId="0" applyAlignment="1" applyBorder="1" applyFont="1">
      <alignment horizontal="center" readingOrder="0" vertical="top"/>
    </xf>
    <xf borderId="16" fillId="0" fontId="8" numFmtId="166" xfId="0" applyAlignment="1" applyBorder="1" applyFont="1" applyNumberFormat="1">
      <alignment horizontal="center" readingOrder="0" vertical="top"/>
    </xf>
    <xf borderId="16" fillId="0" fontId="20" numFmtId="0" xfId="0" applyAlignment="1" applyBorder="1" applyFont="1">
      <alignment shrinkToFit="0" vertical="top" wrapText="1"/>
    </xf>
    <xf borderId="16" fillId="0" fontId="20" numFmtId="0" xfId="0" applyAlignment="1" applyBorder="1" applyFont="1">
      <alignment readingOrder="0" shrinkToFit="0" vertical="top" wrapText="1"/>
    </xf>
    <xf borderId="16" fillId="0" fontId="20" numFmtId="49" xfId="0" applyAlignment="1" applyBorder="1" applyFont="1" applyNumberFormat="1">
      <alignment horizontal="center" readingOrder="0" shrinkToFit="0" vertical="top" wrapText="1"/>
    </xf>
    <xf borderId="16" fillId="0" fontId="8" numFmtId="0" xfId="0" applyAlignment="1" applyBorder="1" applyFont="1">
      <alignment horizontal="center" readingOrder="0" shrinkToFit="0" vertical="top" wrapText="1"/>
    </xf>
    <xf borderId="16" fillId="0" fontId="18" numFmtId="0" xfId="0" applyAlignment="1" applyBorder="1" applyFont="1">
      <alignment horizontal="center" readingOrder="0" vertical="top"/>
    </xf>
    <xf borderId="16" fillId="0" fontId="2" numFmtId="0" xfId="0" applyAlignment="1" applyBorder="1" applyFont="1">
      <alignment readingOrder="0" vertical="top"/>
    </xf>
    <xf borderId="16" fillId="0" fontId="8" numFmtId="9" xfId="0" applyAlignment="1" applyBorder="1" applyFont="1" applyNumberFormat="1">
      <alignment horizontal="center" readingOrder="0" vertical="top"/>
    </xf>
    <xf borderId="4" fillId="2" fontId="7" numFmtId="0" xfId="0" applyAlignment="1" applyBorder="1" applyFill="1" applyFont="1">
      <alignment horizontal="center" readingOrder="0" shrinkToFit="0" vertical="top" wrapText="1"/>
    </xf>
    <xf borderId="16" fillId="0" fontId="2" numFmtId="0" xfId="0" applyAlignment="1" applyBorder="1" applyFont="1">
      <alignment vertical="top"/>
    </xf>
    <xf borderId="16" fillId="0" fontId="20" numFmtId="0" xfId="0" applyAlignment="1" applyBorder="1" applyFont="1">
      <alignment vertical="bottom"/>
    </xf>
    <xf borderId="16" fillId="0" fontId="8" numFmtId="0" xfId="0" applyAlignment="1" applyBorder="1" applyFont="1">
      <alignment vertical="top"/>
    </xf>
    <xf borderId="16" fillId="0" fontId="8" numFmtId="0" xfId="0" applyAlignment="1" applyBorder="1" applyFont="1">
      <alignment horizontal="center" vertical="top"/>
    </xf>
    <xf borderId="16" fillId="0" fontId="8" numFmtId="10" xfId="0" applyAlignment="1" applyBorder="1" applyFont="1" applyNumberFormat="1">
      <alignment horizontal="center" vertical="top"/>
    </xf>
    <xf borderId="16" fillId="0" fontId="20" numFmtId="49" xfId="0" applyAlignment="1" applyBorder="1" applyFont="1" applyNumberFormat="1">
      <alignment horizontal="center" shrinkToFit="0" vertical="top" wrapText="1"/>
    </xf>
    <xf borderId="0" fillId="0" fontId="21" numFmtId="0" xfId="0" applyAlignment="1" applyFont="1">
      <alignment horizontal="center" vertical="top"/>
    </xf>
    <xf borderId="0" fillId="0" fontId="21" numFmtId="0" xfId="0" applyAlignment="1" applyFont="1">
      <alignment vertical="top"/>
    </xf>
    <xf borderId="0" fillId="0" fontId="21" numFmtId="10" xfId="0" applyAlignment="1" applyFont="1" applyNumberFormat="1">
      <alignment horizontal="center" vertical="top"/>
    </xf>
    <xf borderId="0" fillId="0" fontId="2" numFmtId="10" xfId="0" applyAlignment="1" applyFont="1" applyNumberFormat="1">
      <alignment horizontal="center" vertical="top"/>
    </xf>
    <xf borderId="16" fillId="0" fontId="18" numFmtId="9" xfId="0" applyAlignment="1" applyBorder="1" applyFont="1" applyNumberForma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333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1475" cy="209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1475" cy="209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95300" cy="285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KGzGP_rifuHKmaD4j8nBEL-Hybjp1ItuVUXMxyhqLB8/edit?gid=1214305531" TargetMode="External"/><Relationship Id="rId2" Type="http://schemas.openxmlformats.org/officeDocument/2006/relationships/hyperlink" Target="https://confluence.sun-asterisk.com/display/PAOP/KPI+introduction" TargetMode="External"/><Relationship Id="rId3" Type="http://schemas.openxmlformats.org/officeDocument/2006/relationships/hyperlink" Target="https://confluence.sun-asterisk.com/display/PAOP/PAOP_Bug+Management+_+EN+ve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1" width="5.75"/>
    <col customWidth="1" min="2" max="2" width="4.63"/>
    <col customWidth="1" min="3" max="3" width="6.38"/>
    <col customWidth="1" min="4" max="4" width="3.5"/>
    <col customWidth="1" min="5" max="9" width="9.75"/>
    <col customWidth="1" min="10" max="11" width="16.63"/>
  </cols>
  <sheetData>
    <row r="1">
      <c r="A1" s="1"/>
      <c r="B1" s="2"/>
      <c r="C1" s="2"/>
      <c r="D1" s="2"/>
      <c r="E1" s="3" t="s">
        <v>0</v>
      </c>
      <c r="F1" s="2"/>
      <c r="G1" s="2"/>
      <c r="H1" s="2"/>
      <c r="I1" s="2"/>
      <c r="J1" s="13" t="s">
        <v>2</v>
      </c>
      <c r="K1" s="17"/>
    </row>
    <row r="2">
      <c r="A2" s="7"/>
      <c r="E2" s="7"/>
      <c r="J2" s="21" t="s">
        <v>4</v>
      </c>
      <c r="K2" s="22"/>
    </row>
    <row r="3">
      <c r="A3" s="7"/>
      <c r="E3" s="7"/>
      <c r="J3" s="15" t="s">
        <v>7</v>
      </c>
      <c r="K3" s="16"/>
    </row>
    <row r="4">
      <c r="A4" s="18" t="s">
        <v>6</v>
      </c>
      <c r="B4" s="8"/>
      <c r="C4" s="8"/>
      <c r="D4" s="8"/>
      <c r="E4" s="8"/>
      <c r="F4" s="8"/>
      <c r="G4" s="8"/>
      <c r="H4" s="8"/>
      <c r="I4" s="10"/>
      <c r="J4" s="20" t="s">
        <v>9</v>
      </c>
      <c r="K4" s="16"/>
    </row>
    <row r="5" ht="16.5" customHeight="1">
      <c r="A5" s="30"/>
      <c r="K5" s="32"/>
    </row>
    <row r="6" ht="31.5" customHeight="1">
      <c r="A6" s="34" t="s">
        <v>18</v>
      </c>
      <c r="K6" s="32"/>
    </row>
    <row r="7" ht="20.25" customHeight="1">
      <c r="A7" s="36" t="s">
        <v>19</v>
      </c>
      <c r="B7" s="39" t="s">
        <v>20</v>
      </c>
      <c r="C7" s="8"/>
      <c r="D7" s="10"/>
      <c r="E7" s="39" t="s">
        <v>21</v>
      </c>
      <c r="F7" s="8"/>
      <c r="G7" s="8"/>
      <c r="H7" s="8"/>
      <c r="I7" s="10"/>
      <c r="J7" s="39" t="s">
        <v>23</v>
      </c>
      <c r="K7" s="10"/>
    </row>
    <row r="8" ht="22.5" customHeight="1">
      <c r="A8" s="42">
        <v>1.0</v>
      </c>
      <c r="B8" s="44"/>
      <c r="C8" s="8"/>
      <c r="D8" s="10"/>
      <c r="E8" s="44"/>
      <c r="F8" s="8"/>
      <c r="G8" s="8"/>
      <c r="H8" s="8"/>
      <c r="I8" s="10"/>
      <c r="J8" s="45"/>
      <c r="K8" s="10"/>
    </row>
    <row r="9" ht="22.5" customHeight="1">
      <c r="A9" s="42"/>
      <c r="B9" s="44"/>
      <c r="C9" s="8"/>
      <c r="D9" s="10"/>
      <c r="E9" s="44"/>
      <c r="F9" s="8"/>
      <c r="G9" s="8"/>
      <c r="H9" s="8"/>
      <c r="I9" s="10"/>
      <c r="J9" s="44"/>
      <c r="K9" s="10"/>
    </row>
    <row r="10" ht="22.5" customHeight="1">
      <c r="A10" s="42"/>
      <c r="B10" s="47"/>
      <c r="C10" s="2"/>
      <c r="D10" s="17"/>
      <c r="E10" s="47"/>
      <c r="F10" s="2"/>
      <c r="G10" s="2"/>
      <c r="H10" s="2"/>
      <c r="I10" s="17"/>
      <c r="J10" s="44"/>
      <c r="K10" s="10"/>
    </row>
    <row r="11" ht="22.5" customHeight="1">
      <c r="A11" s="42"/>
      <c r="B11" s="49"/>
      <c r="C11" s="8"/>
      <c r="D11" s="10"/>
      <c r="E11" s="59"/>
      <c r="F11" s="8"/>
      <c r="G11" s="8"/>
      <c r="H11" s="8"/>
      <c r="I11" s="10"/>
      <c r="J11" s="44"/>
      <c r="K11" s="10"/>
    </row>
    <row r="12" ht="22.5" customHeight="1">
      <c r="A12" s="63"/>
      <c r="B12" s="49"/>
      <c r="C12" s="8"/>
      <c r="D12" s="10"/>
      <c r="E12" s="59"/>
      <c r="F12" s="8"/>
      <c r="G12" s="8"/>
      <c r="H12" s="8"/>
      <c r="I12" s="10"/>
      <c r="J12" s="44"/>
      <c r="K12" s="10"/>
    </row>
    <row r="13" ht="22.5" customHeight="1">
      <c r="A13" s="68"/>
      <c r="B13" s="70"/>
      <c r="C13" s="8"/>
      <c r="D13" s="10"/>
      <c r="E13" s="72"/>
      <c r="F13" s="8"/>
      <c r="G13" s="8"/>
      <c r="H13" s="8"/>
      <c r="I13" s="10"/>
      <c r="J13" s="44"/>
      <c r="K13" s="10"/>
    </row>
    <row r="14" ht="22.5" customHeight="1">
      <c r="A14" s="76"/>
      <c r="B14" s="77"/>
      <c r="C14" s="77"/>
      <c r="D14" s="77"/>
      <c r="E14" s="77"/>
      <c r="F14" s="77"/>
      <c r="G14" s="77"/>
      <c r="H14" s="77"/>
      <c r="I14" s="77"/>
      <c r="J14" s="77"/>
      <c r="K14" s="79"/>
    </row>
    <row r="15" ht="22.5" customHeight="1">
      <c r="A15" s="76"/>
      <c r="B15" s="77"/>
      <c r="C15" s="77"/>
      <c r="D15" s="77"/>
      <c r="E15" s="77"/>
      <c r="F15" s="77"/>
      <c r="G15" s="77"/>
      <c r="H15" s="77"/>
      <c r="I15" s="77"/>
      <c r="J15" s="77"/>
      <c r="K15" s="79"/>
    </row>
    <row r="16" ht="22.5" customHeight="1">
      <c r="A16" s="81"/>
      <c r="B16" s="83"/>
      <c r="C16" s="83"/>
      <c r="D16" s="83"/>
      <c r="E16" s="83"/>
      <c r="F16" s="83"/>
      <c r="G16" s="83"/>
      <c r="H16" s="83"/>
      <c r="I16" s="83"/>
      <c r="J16" s="83"/>
      <c r="K16" s="86"/>
    </row>
    <row r="17" ht="22.5" customHeight="1">
      <c r="A17" s="81"/>
      <c r="B17" s="83"/>
      <c r="C17" s="83"/>
      <c r="D17" s="83"/>
      <c r="E17" s="83"/>
      <c r="F17" s="83"/>
      <c r="G17" s="83"/>
      <c r="H17" s="83"/>
      <c r="I17" s="83"/>
      <c r="J17" s="83"/>
      <c r="K17" s="86"/>
    </row>
    <row r="18" ht="22.5" customHeight="1">
      <c r="A18" s="81"/>
      <c r="B18" s="83"/>
      <c r="C18" s="83"/>
      <c r="D18" s="83"/>
      <c r="E18" s="83"/>
      <c r="F18" s="83"/>
      <c r="G18" s="83"/>
      <c r="H18" s="83"/>
      <c r="I18" s="83"/>
      <c r="J18" s="83"/>
      <c r="K18" s="86"/>
    </row>
    <row r="19" ht="22.5" customHeight="1">
      <c r="A19" s="81"/>
      <c r="B19" s="83"/>
      <c r="C19" s="83"/>
      <c r="D19" s="83"/>
      <c r="E19" s="83"/>
      <c r="F19" s="83"/>
      <c r="G19" s="83"/>
      <c r="H19" s="83"/>
      <c r="I19" s="83"/>
      <c r="J19" s="83"/>
      <c r="K19" s="86"/>
    </row>
    <row r="20" ht="22.5" customHeight="1">
      <c r="A20" s="81"/>
      <c r="B20" s="83"/>
      <c r="C20" s="83"/>
      <c r="D20" s="83"/>
      <c r="E20" s="83"/>
      <c r="F20" s="83"/>
      <c r="G20" s="83"/>
      <c r="H20" s="83"/>
      <c r="I20" s="83"/>
      <c r="J20" s="83"/>
      <c r="K20" s="86"/>
    </row>
    <row r="21" ht="22.5" customHeight="1">
      <c r="A21" s="88"/>
      <c r="B21" s="89"/>
      <c r="C21" s="89"/>
      <c r="D21" s="89"/>
      <c r="E21" s="89"/>
      <c r="F21" s="89"/>
      <c r="G21" s="89"/>
      <c r="H21" s="89"/>
      <c r="I21" s="89"/>
      <c r="J21" s="89"/>
      <c r="K21" s="90"/>
    </row>
  </sheetData>
  <mergeCells count="30">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5.13" defaultRowHeight="15.0"/>
  <cols>
    <col customWidth="1" min="1" max="2" width="3.25"/>
    <col customWidth="1" min="3" max="3" width="25.25"/>
    <col customWidth="1" min="4" max="4" width="14.63"/>
    <col customWidth="1" min="5" max="5" width="12.38"/>
    <col customWidth="1" min="6" max="6" width="10.75"/>
    <col customWidth="1" min="7" max="7" width="11.88"/>
    <col customWidth="1" min="8" max="8" width="11.75"/>
    <col customWidth="1" min="9" max="9" width="15.13"/>
    <col customWidth="1" min="10" max="10" width="13.75"/>
    <col customWidth="1" min="11" max="11" width="12.88"/>
    <col customWidth="1" min="12" max="12" width="10.13"/>
    <col customWidth="1" min="13" max="13" width="3.38"/>
  </cols>
  <sheetData>
    <row r="1">
      <c r="A1" s="1"/>
      <c r="B1" s="2"/>
      <c r="C1" s="2"/>
      <c r="D1" s="3" t="s">
        <v>0</v>
      </c>
      <c r="E1" s="2"/>
      <c r="F1" s="2"/>
      <c r="G1" s="2"/>
      <c r="H1" s="2"/>
      <c r="I1" s="2"/>
      <c r="J1" s="5" t="s">
        <v>2</v>
      </c>
      <c r="K1" s="8"/>
      <c r="L1" s="10"/>
    </row>
    <row r="2">
      <c r="A2" s="7"/>
      <c r="D2" s="7"/>
      <c r="J2" s="12" t="s">
        <v>4</v>
      </c>
      <c r="K2" s="14"/>
      <c r="L2" s="16"/>
    </row>
    <row r="3">
      <c r="A3" s="7"/>
      <c r="D3" s="7"/>
      <c r="J3" s="15" t="s">
        <v>7</v>
      </c>
      <c r="K3" s="14"/>
      <c r="L3" s="16"/>
    </row>
    <row r="4">
      <c r="A4" s="18" t="s">
        <v>6</v>
      </c>
      <c r="B4" s="19"/>
      <c r="C4" s="19"/>
      <c r="D4" s="19"/>
      <c r="E4" s="19"/>
      <c r="F4" s="19"/>
      <c r="G4" s="19"/>
      <c r="H4" s="19"/>
      <c r="I4" s="19"/>
      <c r="J4" s="20" t="s">
        <v>9</v>
      </c>
      <c r="K4" s="14"/>
      <c r="L4" s="16"/>
    </row>
    <row r="5" ht="12.75" customHeight="1">
      <c r="A5" s="25"/>
      <c r="B5" s="25"/>
      <c r="C5" s="25"/>
      <c r="D5" s="25"/>
      <c r="E5" s="25"/>
      <c r="F5" s="25"/>
      <c r="G5" s="25"/>
      <c r="H5" s="25"/>
      <c r="I5" s="25"/>
      <c r="J5" s="25"/>
      <c r="K5" s="25"/>
      <c r="L5" s="27"/>
      <c r="M5" s="27"/>
    </row>
    <row r="6" ht="16.5" customHeight="1">
      <c r="A6" s="29"/>
      <c r="B6" s="31" t="s">
        <v>15</v>
      </c>
      <c r="C6" s="31" t="s">
        <v>16</v>
      </c>
      <c r="D6" s="33" t="s">
        <v>17</v>
      </c>
      <c r="E6" s="8"/>
      <c r="F6" s="8"/>
      <c r="G6" s="8"/>
      <c r="H6" s="8"/>
      <c r="I6" s="8"/>
      <c r="J6" s="8"/>
      <c r="K6" s="10"/>
      <c r="L6" s="35"/>
      <c r="M6" s="37"/>
    </row>
    <row r="7" ht="16.5" customHeight="1">
      <c r="A7" s="38"/>
      <c r="B7" s="40">
        <v>1.0</v>
      </c>
      <c r="C7" s="41" t="s">
        <v>22</v>
      </c>
      <c r="D7" s="43" t="s">
        <v>24</v>
      </c>
      <c r="E7" s="8"/>
      <c r="F7" s="8"/>
      <c r="G7" s="8"/>
      <c r="H7" s="8"/>
      <c r="I7" s="8"/>
      <c r="J7" s="8"/>
      <c r="K7" s="10"/>
      <c r="L7" s="35"/>
      <c r="M7" s="37"/>
    </row>
    <row r="8" ht="16.5" customHeight="1">
      <c r="A8" s="38"/>
      <c r="B8" s="40">
        <v>2.0</v>
      </c>
      <c r="C8" s="41" t="s">
        <v>25</v>
      </c>
      <c r="D8" s="46" t="s">
        <v>26</v>
      </c>
      <c r="E8" s="8"/>
      <c r="F8" s="8"/>
      <c r="G8" s="8"/>
      <c r="H8" s="8"/>
      <c r="I8" s="8"/>
      <c r="J8" s="8"/>
      <c r="K8" s="10"/>
      <c r="L8" s="35"/>
      <c r="M8" s="37"/>
    </row>
    <row r="9">
      <c r="A9" s="38"/>
      <c r="B9" s="40">
        <v>3.0</v>
      </c>
      <c r="C9" s="41" t="s">
        <v>27</v>
      </c>
      <c r="D9" s="43" t="s">
        <v>28</v>
      </c>
      <c r="E9" s="8"/>
      <c r="F9" s="8"/>
      <c r="G9" s="8"/>
      <c r="H9" s="8"/>
      <c r="I9" s="8"/>
      <c r="J9" s="8"/>
      <c r="K9" s="10"/>
      <c r="L9" s="35"/>
      <c r="M9" s="37"/>
    </row>
    <row r="10" ht="12.75" customHeight="1">
      <c r="A10" s="38"/>
      <c r="B10" s="40">
        <v>4.0</v>
      </c>
      <c r="C10" s="41" t="s">
        <v>29</v>
      </c>
      <c r="D10" s="43" t="s">
        <v>30</v>
      </c>
      <c r="E10" s="8"/>
      <c r="F10" s="8"/>
      <c r="G10" s="8"/>
      <c r="H10" s="8"/>
      <c r="I10" s="8"/>
      <c r="J10" s="8"/>
      <c r="K10" s="10"/>
      <c r="L10" s="35"/>
      <c r="M10" s="37"/>
    </row>
    <row r="11">
      <c r="A11" s="38"/>
      <c r="B11" s="40">
        <v>5.0</v>
      </c>
      <c r="C11" s="41" t="s">
        <v>31</v>
      </c>
      <c r="D11" s="57" t="s">
        <v>32</v>
      </c>
      <c r="E11" s="8"/>
      <c r="F11" s="8"/>
      <c r="G11" s="8"/>
      <c r="H11" s="8"/>
      <c r="I11" s="8"/>
      <c r="J11" s="8"/>
      <c r="K11" s="10"/>
      <c r="L11" s="35"/>
      <c r="M11" s="37"/>
    </row>
    <row r="12" ht="12.75" customHeight="1">
      <c r="A12" s="38"/>
      <c r="B12" s="40">
        <v>6.0</v>
      </c>
      <c r="C12" s="41" t="s">
        <v>40</v>
      </c>
      <c r="D12" s="43" t="s">
        <v>41</v>
      </c>
      <c r="E12" s="8"/>
      <c r="F12" s="8"/>
      <c r="G12" s="8"/>
      <c r="H12" s="8"/>
      <c r="I12" s="8"/>
      <c r="J12" s="8"/>
      <c r="K12" s="10"/>
      <c r="L12" s="35"/>
      <c r="M12" s="37"/>
    </row>
    <row r="13" ht="12.75" customHeight="1">
      <c r="A13" s="38"/>
      <c r="B13" s="40">
        <v>7.0</v>
      </c>
      <c r="C13" s="41" t="s">
        <v>42</v>
      </c>
      <c r="D13" s="43" t="s">
        <v>43</v>
      </c>
      <c r="E13" s="8"/>
      <c r="F13" s="8"/>
      <c r="G13" s="8"/>
      <c r="H13" s="8"/>
      <c r="I13" s="8"/>
      <c r="J13" s="8"/>
      <c r="K13" s="10"/>
      <c r="L13" s="35"/>
      <c r="M13" s="37"/>
    </row>
    <row r="14" ht="12.75" customHeight="1">
      <c r="A14" s="62"/>
      <c r="B14" s="40">
        <v>8.0</v>
      </c>
      <c r="C14" s="64" t="s">
        <v>44</v>
      </c>
      <c r="D14" s="43" t="s">
        <v>45</v>
      </c>
      <c r="E14" s="8"/>
      <c r="F14" s="8"/>
      <c r="G14" s="8"/>
      <c r="H14" s="8"/>
      <c r="I14" s="8"/>
      <c r="J14" s="8"/>
      <c r="K14" s="10"/>
      <c r="L14" s="73"/>
      <c r="M14" s="75"/>
    </row>
    <row r="15" ht="12.75" customHeight="1">
      <c r="A15" s="62"/>
      <c r="B15" s="40">
        <v>9.0</v>
      </c>
      <c r="C15" s="64" t="s">
        <v>46</v>
      </c>
      <c r="D15" s="43" t="s">
        <v>47</v>
      </c>
      <c r="E15" s="8"/>
      <c r="F15" s="8"/>
      <c r="G15" s="8"/>
      <c r="H15" s="8"/>
      <c r="I15" s="8"/>
      <c r="J15" s="8"/>
      <c r="K15" s="10"/>
      <c r="L15" s="73"/>
      <c r="M15" s="75"/>
    </row>
    <row r="16" ht="12.75" customHeight="1">
      <c r="A16" s="62"/>
      <c r="B16" s="40">
        <v>10.0</v>
      </c>
      <c r="C16" s="64" t="s">
        <v>54</v>
      </c>
      <c r="D16" s="43" t="s">
        <v>55</v>
      </c>
      <c r="E16" s="8"/>
      <c r="F16" s="8"/>
      <c r="G16" s="8"/>
      <c r="H16" s="8"/>
      <c r="I16" s="8"/>
      <c r="J16" s="8"/>
      <c r="K16" s="10"/>
      <c r="L16" s="73"/>
      <c r="M16" s="75"/>
    </row>
    <row r="17" ht="12.75" customHeight="1">
      <c r="A17" s="25"/>
      <c r="B17" s="40">
        <v>11.0</v>
      </c>
      <c r="C17" s="64" t="s">
        <v>56</v>
      </c>
      <c r="D17" s="43" t="s">
        <v>57</v>
      </c>
      <c r="E17" s="8"/>
      <c r="F17" s="8"/>
      <c r="G17" s="8"/>
      <c r="H17" s="8"/>
      <c r="I17" s="8"/>
      <c r="J17" s="8"/>
      <c r="K17" s="10"/>
      <c r="L17" s="35"/>
      <c r="M17" s="37"/>
    </row>
    <row r="18" ht="12.75" customHeight="1">
      <c r="A18" s="25"/>
      <c r="B18" s="40">
        <v>12.0</v>
      </c>
      <c r="C18" s="64" t="s">
        <v>58</v>
      </c>
      <c r="D18" s="97" t="s">
        <v>59</v>
      </c>
      <c r="E18" s="8"/>
      <c r="F18" s="8"/>
      <c r="G18" s="8"/>
      <c r="H18" s="8"/>
      <c r="I18" s="8"/>
      <c r="J18" s="8"/>
      <c r="K18" s="10"/>
      <c r="L18" s="35"/>
      <c r="M18" s="37"/>
    </row>
    <row r="19" ht="12.75" customHeight="1">
      <c r="A19" s="25"/>
      <c r="B19" s="40">
        <v>13.0</v>
      </c>
      <c r="C19" s="64" t="s">
        <v>61</v>
      </c>
      <c r="D19" s="97" t="s">
        <v>63</v>
      </c>
      <c r="E19" s="8"/>
      <c r="F19" s="8"/>
      <c r="G19" s="8"/>
      <c r="H19" s="8"/>
      <c r="I19" s="8"/>
      <c r="J19" s="8"/>
      <c r="K19" s="10"/>
      <c r="L19" s="35"/>
      <c r="M19" s="37"/>
    </row>
    <row r="20" ht="12.75" customHeight="1">
      <c r="A20" s="108"/>
      <c r="B20" s="108"/>
      <c r="C20" s="108"/>
      <c r="D20" s="108"/>
      <c r="E20" s="108"/>
      <c r="F20" s="108"/>
      <c r="G20" s="108"/>
      <c r="H20" s="108"/>
      <c r="I20" s="108"/>
      <c r="J20" s="108"/>
      <c r="K20" s="108"/>
      <c r="L20" s="108"/>
      <c r="M20" s="109"/>
    </row>
    <row r="21" ht="12.75" customHeight="1">
      <c r="A21" s="25"/>
      <c r="B21" s="25"/>
      <c r="C21" s="25"/>
      <c r="D21" s="25"/>
      <c r="E21" s="25"/>
      <c r="F21" s="25"/>
      <c r="G21" s="25"/>
      <c r="H21" s="25"/>
      <c r="I21" s="25"/>
      <c r="J21" s="25"/>
      <c r="K21" s="25"/>
      <c r="L21" s="25"/>
      <c r="M21" s="37"/>
    </row>
  </sheetData>
  <mergeCells count="20">
    <mergeCell ref="A1:C3"/>
    <mergeCell ref="D1:I3"/>
    <mergeCell ref="J1:L1"/>
    <mergeCell ref="J2:L2"/>
    <mergeCell ref="J3:L3"/>
    <mergeCell ref="J4:L4"/>
    <mergeCell ref="D6:K6"/>
    <mergeCell ref="D14:K14"/>
    <mergeCell ref="D15:K15"/>
    <mergeCell ref="D16:K16"/>
    <mergeCell ref="D17:K17"/>
    <mergeCell ref="D18:K18"/>
    <mergeCell ref="D19:K19"/>
    <mergeCell ref="D7:K7"/>
    <mergeCell ref="D8:K8"/>
    <mergeCell ref="D9:K9"/>
    <mergeCell ref="D10:K10"/>
    <mergeCell ref="D11:K11"/>
    <mergeCell ref="D12:K12"/>
    <mergeCell ref="D13:K13"/>
  </mergeCells>
  <hyperlinks>
    <hyperlink r:id="rId1" location="gid=1214305531" ref="D11"/>
    <hyperlink r:id="rId2" location="KPIintroduction-Metrics" ref="D18"/>
    <hyperlink r:id="rId3" ref="D1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1" width="7.5"/>
    <col customWidth="1" min="2" max="2" width="22.88"/>
    <col customWidth="1" min="3" max="3" width="38.63"/>
    <col customWidth="1" min="4" max="4" width="69.75"/>
    <col customWidth="1" min="5" max="6" width="15.13"/>
  </cols>
  <sheetData>
    <row r="1">
      <c r="A1" s="1"/>
      <c r="B1" s="2"/>
      <c r="C1" s="3" t="s">
        <v>0</v>
      </c>
      <c r="D1" s="2"/>
      <c r="E1" s="2"/>
      <c r="F1" s="2"/>
      <c r="G1" s="4" t="s">
        <v>1</v>
      </c>
      <c r="H1" s="6"/>
    </row>
    <row r="2">
      <c r="A2" s="7"/>
      <c r="C2" s="7"/>
      <c r="G2" s="9" t="s">
        <v>3</v>
      </c>
      <c r="H2" s="11"/>
    </row>
    <row r="3">
      <c r="A3" s="7"/>
      <c r="C3" s="7"/>
      <c r="G3" s="15" t="s">
        <v>5</v>
      </c>
      <c r="H3" s="16"/>
    </row>
    <row r="4">
      <c r="A4" s="18" t="s">
        <v>6</v>
      </c>
      <c r="B4" s="8"/>
      <c r="C4" s="8"/>
      <c r="D4" s="8"/>
      <c r="E4" s="8"/>
      <c r="F4" s="8"/>
      <c r="G4" s="20" t="s">
        <v>8</v>
      </c>
      <c r="H4" s="16"/>
    </row>
    <row r="5">
      <c r="A5" s="23"/>
    </row>
    <row r="6">
      <c r="A6" s="23"/>
    </row>
    <row r="7">
      <c r="A7" s="23"/>
      <c r="B7" s="24"/>
      <c r="C7" s="24"/>
      <c r="D7" s="24"/>
      <c r="E7" s="24"/>
      <c r="F7" s="24"/>
      <c r="G7" s="24"/>
      <c r="H7" s="24"/>
      <c r="I7" s="24"/>
    </row>
    <row r="8">
      <c r="A8" s="23"/>
      <c r="B8" s="26" t="s">
        <v>10</v>
      </c>
      <c r="C8" s="26" t="s">
        <v>11</v>
      </c>
      <c r="D8" s="26" t="s">
        <v>12</v>
      </c>
    </row>
    <row r="9">
      <c r="A9" s="23"/>
      <c r="B9" s="28" t="s">
        <v>13</v>
      </c>
      <c r="C9" s="51" t="s">
        <v>14</v>
      </c>
      <c r="D9" s="51" t="s">
        <v>33</v>
      </c>
      <c r="E9" s="24"/>
      <c r="F9" s="24"/>
      <c r="G9" s="24"/>
      <c r="H9" s="24"/>
      <c r="I9" s="24"/>
    </row>
    <row r="10">
      <c r="A10" s="23"/>
      <c r="B10" s="28" t="s">
        <v>34</v>
      </c>
      <c r="C10" s="51" t="s">
        <v>35</v>
      </c>
      <c r="D10" s="51" t="s">
        <v>36</v>
      </c>
      <c r="E10" s="24"/>
      <c r="F10" s="24"/>
      <c r="G10" s="24"/>
      <c r="H10" s="24"/>
      <c r="I10" s="24"/>
    </row>
    <row r="11">
      <c r="A11" s="23"/>
      <c r="B11" s="28" t="s">
        <v>37</v>
      </c>
      <c r="C11" s="56" t="s">
        <v>38</v>
      </c>
      <c r="D11" s="51" t="s">
        <v>39</v>
      </c>
      <c r="E11" s="24"/>
      <c r="F11" s="24"/>
      <c r="G11" s="24"/>
      <c r="H11" s="24"/>
      <c r="I11" s="24"/>
    </row>
    <row r="12">
      <c r="A12" s="23"/>
      <c r="B12" s="58"/>
      <c r="C12" s="58"/>
      <c r="D12" s="58"/>
      <c r="E12" s="24"/>
      <c r="F12" s="24"/>
      <c r="G12" s="24"/>
      <c r="H12" s="24"/>
      <c r="I12" s="24"/>
    </row>
    <row r="13">
      <c r="A13" s="23"/>
    </row>
  </sheetData>
  <mergeCells count="7">
    <mergeCell ref="A1:B3"/>
    <mergeCell ref="C1:F3"/>
    <mergeCell ref="G1:H1"/>
    <mergeCell ref="G2:H2"/>
    <mergeCell ref="G3:H3"/>
    <mergeCell ref="A4:F4"/>
    <mergeCell ref="G4:H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5.13" defaultRowHeight="15.0"/>
  <cols>
    <col customWidth="1" min="1" max="1" width="4.88"/>
    <col customWidth="1" min="2" max="2" width="17.38"/>
    <col customWidth="1" min="5" max="5" width="13.88"/>
    <col customWidth="1" min="6" max="6" width="21.13"/>
    <col customWidth="1" min="7" max="7" width="11.5"/>
    <col customWidth="1" min="8" max="8" width="13.25"/>
    <col customWidth="1" min="9" max="9" width="11.88"/>
    <col customWidth="1" min="10" max="10" width="11.5"/>
    <col customWidth="1" min="12" max="12" width="11.5"/>
    <col customWidth="1" min="13" max="13" width="21.0"/>
    <col customWidth="1" min="21" max="21" width="8.13"/>
  </cols>
  <sheetData>
    <row r="1" ht="22.5" customHeight="1">
      <c r="A1" s="1"/>
      <c r="B1" s="2"/>
      <c r="C1" s="2"/>
      <c r="D1" s="3" t="s">
        <v>0</v>
      </c>
      <c r="E1" s="2"/>
      <c r="F1" s="2"/>
      <c r="G1" s="2"/>
      <c r="H1" s="2"/>
      <c r="I1" s="2"/>
      <c r="J1" s="48" t="s">
        <v>2</v>
      </c>
      <c r="K1" s="8"/>
      <c r="L1" s="10"/>
      <c r="M1" s="50"/>
      <c r="N1" s="52"/>
      <c r="O1" s="53"/>
      <c r="P1" s="53"/>
      <c r="Q1" s="53"/>
      <c r="R1" s="54"/>
      <c r="S1" s="54"/>
      <c r="T1" s="55"/>
      <c r="U1" s="55"/>
      <c r="V1" s="55"/>
    </row>
    <row r="2" ht="22.5" customHeight="1">
      <c r="A2" s="7"/>
      <c r="D2" s="7"/>
      <c r="J2" s="60" t="s">
        <v>4</v>
      </c>
      <c r="K2" s="8"/>
      <c r="L2" s="10"/>
      <c r="M2" s="61"/>
      <c r="N2" s="52"/>
      <c r="O2" s="53"/>
      <c r="P2" s="53"/>
      <c r="Q2" s="53"/>
      <c r="R2" s="54"/>
      <c r="S2" s="54"/>
      <c r="T2" s="55"/>
      <c r="U2" s="55"/>
      <c r="V2" s="55"/>
    </row>
    <row r="3" ht="22.5" customHeight="1">
      <c r="A3" s="7"/>
      <c r="D3" s="7"/>
      <c r="J3" s="65" t="s">
        <v>7</v>
      </c>
      <c r="K3" s="8"/>
      <c r="L3" s="10"/>
      <c r="M3" s="66"/>
      <c r="N3" s="52"/>
      <c r="O3" s="53"/>
      <c r="P3" s="53"/>
      <c r="Q3" s="53"/>
      <c r="R3" s="54"/>
      <c r="S3" s="54"/>
      <c r="T3" s="55"/>
      <c r="U3" s="55"/>
      <c r="V3" s="55"/>
    </row>
    <row r="4" ht="22.5" customHeight="1">
      <c r="A4" s="67" t="s">
        <v>6</v>
      </c>
      <c r="B4" s="19"/>
      <c r="C4" s="19"/>
      <c r="D4" s="69"/>
      <c r="E4" s="69"/>
      <c r="F4" s="69"/>
      <c r="G4" s="69"/>
      <c r="H4" s="69"/>
      <c r="I4" s="69"/>
      <c r="J4" s="67" t="s">
        <v>9</v>
      </c>
      <c r="K4" s="8"/>
      <c r="L4" s="10"/>
      <c r="M4" s="71"/>
      <c r="N4" s="53"/>
      <c r="O4" s="52"/>
      <c r="P4" s="53"/>
      <c r="Q4" s="53"/>
      <c r="R4" s="54"/>
      <c r="S4" s="54"/>
      <c r="T4" s="55"/>
      <c r="U4" s="55"/>
      <c r="V4" s="55"/>
    </row>
    <row r="5">
      <c r="A5" s="74"/>
      <c r="B5" s="24"/>
      <c r="C5" s="24"/>
      <c r="D5" s="74"/>
      <c r="E5" s="74"/>
      <c r="F5" s="54"/>
      <c r="G5" s="54"/>
      <c r="H5" s="52"/>
      <c r="I5" s="52"/>
      <c r="J5" s="52"/>
      <c r="K5" s="52"/>
      <c r="L5" s="52"/>
      <c r="M5" s="52"/>
      <c r="N5" s="52"/>
      <c r="O5" s="53"/>
      <c r="P5" s="53"/>
      <c r="Q5" s="53"/>
      <c r="R5" s="54"/>
      <c r="S5" s="54"/>
      <c r="T5" s="55"/>
      <c r="U5" s="55"/>
      <c r="V5" s="55"/>
    </row>
    <row r="6">
      <c r="A6" s="78"/>
      <c r="B6" s="80" t="s">
        <v>48</v>
      </c>
      <c r="C6" s="24"/>
      <c r="D6" s="74"/>
      <c r="E6" s="74"/>
      <c r="F6" s="74"/>
      <c r="G6" s="54"/>
      <c r="H6" s="52"/>
      <c r="I6" s="52"/>
      <c r="J6" s="52"/>
      <c r="K6" s="52"/>
      <c r="L6" s="52"/>
      <c r="M6" s="52"/>
      <c r="N6" s="52"/>
      <c r="O6" s="82"/>
      <c r="P6" s="82"/>
      <c r="Q6" s="82"/>
      <c r="R6" s="84"/>
      <c r="S6" s="84"/>
      <c r="T6" s="85"/>
      <c r="U6" s="85"/>
      <c r="V6" s="55"/>
    </row>
    <row r="7">
      <c r="A7" s="74"/>
      <c r="B7" s="87" t="s">
        <v>49</v>
      </c>
      <c r="C7" s="87" t="s">
        <v>50</v>
      </c>
      <c r="D7" s="87" t="s">
        <v>51</v>
      </c>
      <c r="E7" s="87" t="s">
        <v>52</v>
      </c>
      <c r="F7" s="87" t="s">
        <v>53</v>
      </c>
      <c r="G7" s="54"/>
      <c r="H7" s="52"/>
      <c r="I7" s="52"/>
      <c r="J7" s="52"/>
      <c r="K7" s="52"/>
      <c r="L7" s="52"/>
      <c r="M7" s="52"/>
      <c r="N7" s="52"/>
      <c r="O7" s="82"/>
      <c r="P7" s="82"/>
      <c r="Q7" s="82"/>
      <c r="R7" s="84"/>
      <c r="S7" s="84"/>
      <c r="T7" s="85"/>
      <c r="U7" s="85"/>
      <c r="V7" s="55"/>
    </row>
    <row r="8">
      <c r="A8" s="74"/>
      <c r="B8" s="92">
        <f>sum(E12:E49)</f>
        <v>24</v>
      </c>
      <c r="C8" s="92">
        <f>sum(K12:K49)</f>
        <v>0</v>
      </c>
      <c r="D8" s="94">
        <f>sum(Q12:Q49)</f>
        <v>19.2</v>
      </c>
      <c r="E8" s="96">
        <f>(B8-D8)/B8</f>
        <v>0.2</v>
      </c>
      <c r="F8" s="98" t="s">
        <v>60</v>
      </c>
      <c r="G8" s="54"/>
      <c r="H8" s="74"/>
      <c r="I8" s="74"/>
      <c r="J8" s="74"/>
      <c r="K8" s="74"/>
      <c r="L8" s="74"/>
      <c r="M8" s="74"/>
      <c r="N8" s="74"/>
      <c r="O8" s="82"/>
      <c r="P8" s="82"/>
      <c r="Q8" s="82"/>
      <c r="R8" s="84"/>
      <c r="S8" s="84"/>
      <c r="T8" s="85"/>
      <c r="U8" s="85"/>
      <c r="V8" s="55"/>
    </row>
    <row r="9">
      <c r="A9" s="74"/>
      <c r="B9" s="24"/>
      <c r="C9" s="24"/>
      <c r="D9" s="74"/>
      <c r="E9" s="74"/>
      <c r="F9" s="74"/>
      <c r="G9" s="74"/>
      <c r="H9" s="74"/>
      <c r="I9" s="84"/>
      <c r="J9" s="84"/>
      <c r="K9" s="84"/>
      <c r="L9" s="84"/>
      <c r="M9" s="84"/>
      <c r="N9" s="84"/>
      <c r="O9" s="82"/>
      <c r="P9" s="82"/>
      <c r="Q9" s="82"/>
      <c r="R9" s="84"/>
      <c r="S9" s="84"/>
      <c r="T9" s="85"/>
      <c r="U9" s="85"/>
      <c r="V9" s="55"/>
    </row>
    <row r="10">
      <c r="A10" s="102" t="s">
        <v>15</v>
      </c>
      <c r="B10" s="102" t="s">
        <v>68</v>
      </c>
      <c r="C10" s="102" t="s">
        <v>70</v>
      </c>
      <c r="D10" s="105" t="s">
        <v>72</v>
      </c>
      <c r="E10" s="8"/>
      <c r="F10" s="8"/>
      <c r="G10" s="8"/>
      <c r="H10" s="10"/>
      <c r="I10" s="106" t="s">
        <v>73</v>
      </c>
      <c r="J10" s="8"/>
      <c r="K10" s="8"/>
      <c r="L10" s="8"/>
      <c r="M10" s="8"/>
      <c r="N10" s="8"/>
      <c r="O10" s="8"/>
      <c r="P10" s="8"/>
      <c r="Q10" s="10"/>
      <c r="R10" s="107" t="s">
        <v>76</v>
      </c>
      <c r="S10" s="10"/>
      <c r="T10" s="110" t="s">
        <v>77</v>
      </c>
      <c r="V10" s="55"/>
    </row>
    <row r="11">
      <c r="A11" s="111"/>
      <c r="B11" s="111"/>
      <c r="C11" s="111"/>
      <c r="D11" s="112" t="s">
        <v>79</v>
      </c>
      <c r="E11" s="112" t="s">
        <v>80</v>
      </c>
      <c r="F11" s="113" t="s">
        <v>81</v>
      </c>
      <c r="G11" s="113" t="s">
        <v>82</v>
      </c>
      <c r="H11" s="114" t="s">
        <v>83</v>
      </c>
      <c r="I11" s="102" t="s">
        <v>84</v>
      </c>
      <c r="J11" s="112" t="s">
        <v>79</v>
      </c>
      <c r="K11" s="112" t="s">
        <v>85</v>
      </c>
      <c r="L11" s="113" t="s">
        <v>81</v>
      </c>
      <c r="M11" s="113" t="s">
        <v>82</v>
      </c>
      <c r="N11" s="114" t="s">
        <v>83</v>
      </c>
      <c r="O11" s="114" t="s">
        <v>87</v>
      </c>
      <c r="P11" s="102" t="s">
        <v>52</v>
      </c>
      <c r="Q11" s="102" t="s">
        <v>88</v>
      </c>
      <c r="R11" s="112" t="s">
        <v>89</v>
      </c>
      <c r="S11" s="113" t="s">
        <v>90</v>
      </c>
      <c r="T11" s="111"/>
      <c r="V11" s="55"/>
    </row>
    <row r="12">
      <c r="A12" s="116">
        <v>1.0</v>
      </c>
      <c r="B12" s="119" t="s">
        <v>98</v>
      </c>
      <c r="C12" s="119" t="s">
        <v>101</v>
      </c>
      <c r="D12" s="122">
        <v>30.0</v>
      </c>
      <c r="E12" s="122">
        <v>24.0</v>
      </c>
      <c r="F12" s="123">
        <v>45658.0</v>
      </c>
      <c r="G12" s="123">
        <v>45659.0</v>
      </c>
      <c r="H12" s="126" t="s">
        <v>104</v>
      </c>
      <c r="I12" s="127"/>
      <c r="J12" s="127">
        <v>20.0</v>
      </c>
      <c r="K12" s="128"/>
      <c r="L12" s="123">
        <v>45658.0</v>
      </c>
      <c r="M12" s="123">
        <v>45659.0</v>
      </c>
      <c r="N12" s="126" t="s">
        <v>104</v>
      </c>
      <c r="O12" s="126" t="s">
        <v>105</v>
      </c>
      <c r="P12" s="130">
        <v>0.2</v>
      </c>
      <c r="Q12" s="128">
        <f>E12-P12*E12</f>
        <v>19.2</v>
      </c>
      <c r="R12" s="126" t="s">
        <v>104</v>
      </c>
      <c r="S12" s="126" t="s">
        <v>109</v>
      </c>
      <c r="T12" s="134"/>
      <c r="V12" s="55"/>
    </row>
    <row r="13">
      <c r="A13" s="116"/>
      <c r="B13" s="119"/>
      <c r="C13" s="119"/>
      <c r="D13" s="122"/>
      <c r="E13" s="122"/>
      <c r="F13" s="123"/>
      <c r="G13" s="123"/>
      <c r="H13" s="126"/>
      <c r="I13" s="127"/>
      <c r="J13" s="127"/>
      <c r="K13" s="128"/>
      <c r="L13" s="123"/>
      <c r="M13" s="123"/>
      <c r="N13" s="126"/>
      <c r="O13" s="126"/>
      <c r="P13" s="128"/>
      <c r="Q13" s="128"/>
      <c r="R13" s="126"/>
      <c r="S13" s="126"/>
      <c r="T13" s="134"/>
      <c r="V13" s="55"/>
    </row>
    <row r="14">
      <c r="A14" s="116"/>
      <c r="B14" s="119"/>
      <c r="C14" s="119"/>
      <c r="D14" s="122"/>
      <c r="E14" s="122"/>
      <c r="F14" s="135"/>
      <c r="G14" s="135"/>
      <c r="H14" s="116"/>
      <c r="I14" s="127"/>
      <c r="J14" s="127"/>
      <c r="K14" s="127"/>
      <c r="L14" s="116"/>
      <c r="M14" s="116"/>
      <c r="N14" s="116"/>
      <c r="O14" s="126"/>
      <c r="P14" s="136"/>
      <c r="Q14" s="136"/>
      <c r="R14" s="135"/>
      <c r="S14" s="116"/>
      <c r="T14" s="134"/>
      <c r="V14" s="55"/>
    </row>
    <row r="15">
      <c r="A15" s="116"/>
      <c r="B15" s="119"/>
      <c r="C15" s="119"/>
      <c r="D15" s="122"/>
      <c r="E15" s="122"/>
      <c r="F15" s="135"/>
      <c r="G15" s="135"/>
      <c r="H15" s="116"/>
      <c r="I15" s="116"/>
      <c r="J15" s="116"/>
      <c r="K15" s="116"/>
      <c r="L15" s="116"/>
      <c r="M15" s="116"/>
      <c r="N15" s="116"/>
      <c r="O15" s="126"/>
      <c r="P15" s="136"/>
      <c r="Q15" s="136"/>
      <c r="R15" s="135"/>
      <c r="S15" s="116"/>
      <c r="T15" s="134"/>
      <c r="V15" s="55"/>
    </row>
    <row r="16">
      <c r="A16" s="138"/>
      <c r="B16" s="139"/>
      <c r="C16" s="139"/>
      <c r="D16" s="138"/>
      <c r="E16" s="138"/>
      <c r="F16" s="138"/>
      <c r="G16" s="138"/>
      <c r="H16" s="138"/>
      <c r="I16" s="138"/>
      <c r="J16" s="138"/>
      <c r="K16" s="138"/>
      <c r="L16" s="138"/>
      <c r="M16" s="138"/>
      <c r="N16" s="138"/>
      <c r="O16" s="140"/>
      <c r="P16" s="140"/>
      <c r="Q16" s="140"/>
      <c r="R16" s="138"/>
      <c r="S16" s="138"/>
      <c r="T16" s="139"/>
      <c r="U16" s="139"/>
      <c r="V16" s="139"/>
    </row>
    <row r="17">
      <c r="A17" s="138"/>
      <c r="B17" s="139"/>
      <c r="C17" s="139"/>
      <c r="D17" s="138"/>
      <c r="E17" s="138"/>
      <c r="F17" s="138"/>
      <c r="G17" s="138"/>
      <c r="H17" s="138"/>
      <c r="I17" s="138"/>
      <c r="J17" s="138"/>
      <c r="K17" s="138"/>
      <c r="L17" s="138"/>
      <c r="M17" s="138"/>
      <c r="N17" s="138"/>
      <c r="O17" s="140"/>
      <c r="P17" s="140"/>
      <c r="Q17" s="140"/>
      <c r="R17" s="138"/>
      <c r="S17" s="138"/>
      <c r="T17" s="139"/>
      <c r="U17" s="139"/>
      <c r="V17" s="139"/>
    </row>
    <row r="18">
      <c r="A18" s="138"/>
      <c r="B18" s="139"/>
      <c r="C18" s="139"/>
      <c r="D18" s="138"/>
      <c r="E18" s="138"/>
      <c r="F18" s="138"/>
      <c r="G18" s="138"/>
      <c r="H18" s="138"/>
      <c r="I18" s="138"/>
      <c r="J18" s="138"/>
      <c r="K18" s="138"/>
      <c r="L18" s="138"/>
      <c r="M18" s="138"/>
      <c r="N18" s="138"/>
      <c r="O18" s="140"/>
      <c r="P18" s="140"/>
      <c r="Q18" s="140"/>
      <c r="R18" s="138"/>
      <c r="S18" s="138"/>
      <c r="T18" s="139"/>
      <c r="U18" s="139"/>
      <c r="V18" s="139"/>
    </row>
    <row r="19">
      <c r="A19" s="138"/>
      <c r="B19" s="139"/>
      <c r="C19" s="139"/>
      <c r="D19" s="138"/>
      <c r="E19" s="138"/>
      <c r="F19" s="138"/>
      <c r="G19" s="138"/>
      <c r="H19" s="138"/>
      <c r="I19" s="138"/>
      <c r="J19" s="138"/>
      <c r="K19" s="138"/>
      <c r="L19" s="138"/>
      <c r="M19" s="138"/>
      <c r="N19" s="138"/>
      <c r="O19" s="140"/>
      <c r="P19" s="140"/>
      <c r="Q19" s="140"/>
      <c r="R19" s="138"/>
      <c r="S19" s="138"/>
      <c r="T19" s="139"/>
      <c r="U19" s="139"/>
      <c r="V19" s="139"/>
    </row>
    <row r="20">
      <c r="A20" s="138"/>
      <c r="B20" s="139"/>
      <c r="C20" s="139"/>
      <c r="D20" s="138"/>
      <c r="E20" s="138"/>
      <c r="F20" s="138"/>
      <c r="G20" s="138"/>
      <c r="H20" s="138"/>
      <c r="I20" s="138"/>
      <c r="J20" s="138"/>
      <c r="K20" s="138"/>
      <c r="L20" s="138"/>
      <c r="M20" s="138"/>
      <c r="N20" s="138"/>
      <c r="O20" s="140"/>
      <c r="P20" s="140"/>
      <c r="Q20" s="140"/>
      <c r="R20" s="138"/>
      <c r="S20" s="138"/>
      <c r="T20" s="139"/>
      <c r="U20" s="139"/>
      <c r="V20" s="139"/>
    </row>
    <row r="21">
      <c r="A21" s="138"/>
      <c r="B21" s="139"/>
      <c r="C21" s="139"/>
      <c r="D21" s="138"/>
      <c r="E21" s="138"/>
      <c r="F21" s="138"/>
      <c r="G21" s="138"/>
      <c r="H21" s="138"/>
      <c r="I21" s="138"/>
      <c r="J21" s="138"/>
      <c r="K21" s="138"/>
      <c r="L21" s="138"/>
      <c r="M21" s="138"/>
      <c r="N21" s="138"/>
      <c r="O21" s="140"/>
      <c r="P21" s="140"/>
      <c r="Q21" s="140"/>
      <c r="R21" s="138"/>
      <c r="S21" s="138"/>
      <c r="T21" s="139"/>
      <c r="U21" s="139"/>
      <c r="V21" s="139"/>
    </row>
    <row r="22">
      <c r="A22" s="138"/>
      <c r="B22" s="139"/>
      <c r="C22" s="139"/>
      <c r="D22" s="138"/>
      <c r="E22" s="138"/>
      <c r="F22" s="52"/>
      <c r="G22" s="52"/>
      <c r="H22" s="52"/>
      <c r="I22" s="52"/>
      <c r="J22" s="52"/>
      <c r="K22" s="52"/>
      <c r="L22" s="52"/>
      <c r="M22" s="52"/>
      <c r="N22" s="52"/>
      <c r="O22" s="141"/>
      <c r="P22" s="141"/>
      <c r="Q22" s="141"/>
      <c r="R22" s="52"/>
      <c r="S22" s="52"/>
      <c r="V22" s="139"/>
    </row>
    <row r="23">
      <c r="A23" s="138"/>
      <c r="B23" s="139"/>
      <c r="C23" s="139"/>
      <c r="D23" s="138"/>
      <c r="E23" s="138"/>
      <c r="F23" s="52"/>
      <c r="G23" s="52"/>
      <c r="H23" s="52"/>
      <c r="I23" s="52"/>
      <c r="J23" s="52"/>
      <c r="K23" s="52"/>
      <c r="L23" s="52"/>
      <c r="M23" s="52"/>
      <c r="N23" s="52"/>
      <c r="O23" s="141"/>
      <c r="P23" s="141"/>
      <c r="Q23" s="141"/>
      <c r="R23" s="52"/>
      <c r="S23" s="52"/>
      <c r="V23" s="139"/>
    </row>
    <row r="24">
      <c r="A24" s="138"/>
      <c r="B24" s="139"/>
      <c r="C24" s="139"/>
      <c r="D24" s="138"/>
      <c r="E24" s="138"/>
      <c r="F24" s="52"/>
      <c r="G24" s="52"/>
      <c r="H24" s="52"/>
      <c r="I24" s="52"/>
      <c r="J24" s="52"/>
      <c r="K24" s="52"/>
      <c r="L24" s="52"/>
      <c r="M24" s="52"/>
      <c r="N24" s="52"/>
      <c r="O24" s="141"/>
      <c r="P24" s="141"/>
      <c r="Q24" s="141"/>
      <c r="R24" s="52"/>
      <c r="S24" s="52"/>
      <c r="V24" s="139"/>
    </row>
    <row r="25">
      <c r="A25" s="138"/>
      <c r="B25" s="139"/>
      <c r="C25" s="139"/>
      <c r="D25" s="138"/>
      <c r="E25" s="138"/>
      <c r="F25" s="52"/>
      <c r="G25" s="52"/>
      <c r="H25" s="52"/>
      <c r="I25" s="52"/>
      <c r="J25" s="52"/>
      <c r="K25" s="52"/>
      <c r="L25" s="52"/>
      <c r="M25" s="52"/>
      <c r="N25" s="52"/>
      <c r="O25" s="141"/>
      <c r="P25" s="141"/>
      <c r="Q25" s="141"/>
      <c r="R25" s="52"/>
      <c r="S25" s="52"/>
      <c r="V25" s="139"/>
    </row>
    <row r="26">
      <c r="A26" s="138"/>
      <c r="B26" s="139"/>
      <c r="C26" s="139"/>
      <c r="D26" s="138"/>
      <c r="E26" s="138"/>
      <c r="F26" s="138"/>
      <c r="G26" s="138"/>
      <c r="H26" s="138"/>
      <c r="I26" s="138"/>
      <c r="J26" s="138"/>
      <c r="K26" s="138"/>
      <c r="L26" s="138"/>
      <c r="M26" s="138"/>
      <c r="N26" s="138"/>
      <c r="O26" s="140"/>
      <c r="P26" s="140"/>
      <c r="Q26" s="140"/>
      <c r="R26" s="138"/>
      <c r="S26" s="138"/>
      <c r="T26" s="139"/>
      <c r="U26" s="139"/>
      <c r="V26" s="139"/>
    </row>
    <row r="27">
      <c r="A27" s="138"/>
      <c r="B27" s="139"/>
      <c r="C27" s="139"/>
      <c r="D27" s="138"/>
      <c r="E27" s="138"/>
      <c r="F27" s="138"/>
      <c r="G27" s="138"/>
      <c r="H27" s="138"/>
      <c r="I27" s="138"/>
      <c r="J27" s="138"/>
      <c r="K27" s="138"/>
      <c r="L27" s="138"/>
      <c r="M27" s="138"/>
      <c r="N27" s="138"/>
      <c r="O27" s="140"/>
      <c r="P27" s="140"/>
      <c r="Q27" s="140"/>
      <c r="R27" s="138"/>
      <c r="S27" s="138"/>
      <c r="T27" s="139"/>
      <c r="U27" s="139"/>
      <c r="V27" s="139"/>
    </row>
    <row r="28">
      <c r="A28" s="138"/>
      <c r="B28" s="139"/>
      <c r="C28" s="139"/>
      <c r="D28" s="138"/>
      <c r="E28" s="138"/>
      <c r="F28" s="138"/>
      <c r="G28" s="138"/>
      <c r="H28" s="138"/>
      <c r="I28" s="138"/>
      <c r="J28" s="138"/>
      <c r="K28" s="138"/>
      <c r="L28" s="138"/>
      <c r="M28" s="138"/>
      <c r="N28" s="138"/>
      <c r="O28" s="140"/>
      <c r="P28" s="140"/>
      <c r="Q28" s="140"/>
      <c r="R28" s="138"/>
      <c r="S28" s="138"/>
      <c r="T28" s="139"/>
      <c r="U28" s="139"/>
      <c r="V28" s="139"/>
    </row>
    <row r="29">
      <c r="A29" s="138"/>
      <c r="B29" s="139"/>
      <c r="C29" s="139"/>
      <c r="D29" s="138"/>
      <c r="E29" s="138"/>
      <c r="F29" s="138"/>
      <c r="G29" s="138"/>
      <c r="H29" s="138"/>
      <c r="I29" s="138"/>
      <c r="J29" s="138"/>
      <c r="K29" s="138"/>
      <c r="L29" s="138"/>
      <c r="M29" s="138"/>
      <c r="N29" s="138"/>
      <c r="O29" s="140"/>
      <c r="P29" s="140"/>
      <c r="Q29" s="140"/>
      <c r="R29" s="138"/>
      <c r="S29" s="138"/>
      <c r="T29" s="139"/>
      <c r="U29" s="139"/>
      <c r="V29" s="139"/>
    </row>
    <row r="30">
      <c r="A30" s="138"/>
      <c r="B30" s="139"/>
      <c r="C30" s="139"/>
      <c r="D30" s="138"/>
      <c r="E30" s="138"/>
      <c r="F30" s="138"/>
      <c r="G30" s="138"/>
      <c r="H30" s="138"/>
      <c r="I30" s="138"/>
      <c r="J30" s="138"/>
      <c r="K30" s="138"/>
      <c r="L30" s="138"/>
      <c r="M30" s="138"/>
      <c r="N30" s="138"/>
      <c r="O30" s="140"/>
      <c r="P30" s="140"/>
      <c r="Q30" s="140"/>
      <c r="R30" s="138"/>
      <c r="S30" s="138"/>
      <c r="T30" s="139"/>
      <c r="U30" s="139"/>
      <c r="V30" s="139"/>
    </row>
    <row r="31">
      <c r="A31" s="138"/>
      <c r="B31" s="139"/>
      <c r="C31" s="139"/>
      <c r="D31" s="138"/>
      <c r="E31" s="138"/>
      <c r="F31" s="138"/>
      <c r="G31" s="138"/>
      <c r="H31" s="138"/>
      <c r="I31" s="138"/>
      <c r="J31" s="138"/>
      <c r="K31" s="138"/>
      <c r="L31" s="138"/>
      <c r="M31" s="138"/>
      <c r="N31" s="138"/>
      <c r="O31" s="140"/>
      <c r="P31" s="140"/>
      <c r="Q31" s="140"/>
      <c r="R31" s="138"/>
      <c r="S31" s="138"/>
      <c r="T31" s="139"/>
      <c r="U31" s="139"/>
      <c r="V31" s="139"/>
    </row>
    <row r="32">
      <c r="A32" s="138"/>
      <c r="B32" s="139"/>
      <c r="C32" s="139"/>
      <c r="D32" s="138"/>
      <c r="E32" s="138"/>
      <c r="F32" s="138"/>
      <c r="G32" s="138"/>
      <c r="H32" s="138"/>
      <c r="I32" s="138"/>
      <c r="J32" s="138"/>
      <c r="K32" s="138"/>
      <c r="L32" s="138"/>
      <c r="M32" s="138"/>
      <c r="N32" s="138"/>
      <c r="O32" s="140"/>
      <c r="P32" s="140"/>
      <c r="Q32" s="140"/>
      <c r="R32" s="138"/>
      <c r="S32" s="138"/>
      <c r="T32" s="139"/>
      <c r="U32" s="139"/>
      <c r="V32" s="139"/>
    </row>
    <row r="33">
      <c r="A33" s="138"/>
      <c r="B33" s="139"/>
      <c r="C33" s="139"/>
      <c r="D33" s="138"/>
      <c r="E33" s="138"/>
      <c r="F33" s="138"/>
      <c r="G33" s="138"/>
      <c r="H33" s="138"/>
      <c r="I33" s="138"/>
      <c r="J33" s="138"/>
      <c r="K33" s="138"/>
      <c r="L33" s="138"/>
      <c r="M33" s="138"/>
      <c r="N33" s="138"/>
      <c r="O33" s="140"/>
      <c r="P33" s="140"/>
      <c r="Q33" s="140"/>
      <c r="R33" s="138"/>
      <c r="S33" s="138"/>
      <c r="T33" s="139"/>
      <c r="U33" s="139"/>
      <c r="V33" s="139"/>
    </row>
    <row r="34">
      <c r="A34" s="138"/>
      <c r="B34" s="139"/>
      <c r="C34" s="139"/>
      <c r="D34" s="138"/>
      <c r="E34" s="138"/>
      <c r="F34" s="138"/>
      <c r="G34" s="138"/>
      <c r="H34" s="138"/>
      <c r="I34" s="138"/>
      <c r="J34" s="138"/>
      <c r="K34" s="138"/>
      <c r="L34" s="138"/>
      <c r="M34" s="138"/>
      <c r="N34" s="138"/>
      <c r="O34" s="140"/>
      <c r="P34" s="140"/>
      <c r="Q34" s="140"/>
      <c r="R34" s="138"/>
      <c r="S34" s="138"/>
      <c r="T34" s="139"/>
      <c r="U34" s="139"/>
      <c r="V34" s="139"/>
    </row>
    <row r="35">
      <c r="A35" s="138"/>
      <c r="B35" s="139"/>
      <c r="C35" s="139"/>
      <c r="D35" s="138"/>
      <c r="E35" s="138"/>
      <c r="F35" s="138"/>
      <c r="G35" s="138"/>
      <c r="H35" s="138"/>
      <c r="I35" s="138"/>
      <c r="J35" s="138"/>
      <c r="K35" s="138"/>
      <c r="L35" s="138"/>
      <c r="M35" s="138"/>
      <c r="N35" s="138"/>
      <c r="O35" s="140"/>
      <c r="P35" s="140"/>
      <c r="Q35" s="140"/>
      <c r="R35" s="138"/>
      <c r="S35" s="138"/>
      <c r="T35" s="139"/>
      <c r="U35" s="139"/>
      <c r="V35" s="139"/>
    </row>
    <row r="36">
      <c r="A36" s="138"/>
      <c r="B36" s="139"/>
      <c r="C36" s="139"/>
      <c r="D36" s="138"/>
      <c r="E36" s="138"/>
      <c r="F36" s="138"/>
      <c r="G36" s="138"/>
      <c r="H36" s="138"/>
      <c r="I36" s="138"/>
      <c r="J36" s="138"/>
      <c r="K36" s="138"/>
      <c r="L36" s="138"/>
      <c r="M36" s="138"/>
      <c r="N36" s="138"/>
      <c r="O36" s="140"/>
      <c r="P36" s="140"/>
      <c r="Q36" s="140"/>
      <c r="R36" s="138"/>
      <c r="S36" s="138"/>
      <c r="T36" s="139"/>
      <c r="U36" s="139"/>
      <c r="V36" s="139"/>
    </row>
    <row r="37">
      <c r="A37" s="138"/>
      <c r="B37" s="139"/>
      <c r="C37" s="139"/>
      <c r="D37" s="138"/>
      <c r="E37" s="138"/>
      <c r="F37" s="138"/>
      <c r="G37" s="138"/>
      <c r="H37" s="138"/>
      <c r="I37" s="138"/>
      <c r="J37" s="138"/>
      <c r="K37" s="138"/>
      <c r="L37" s="138"/>
      <c r="M37" s="138"/>
      <c r="N37" s="138"/>
      <c r="O37" s="140"/>
      <c r="P37" s="140"/>
      <c r="Q37" s="140"/>
      <c r="R37" s="138"/>
      <c r="S37" s="138"/>
      <c r="T37" s="139"/>
      <c r="U37" s="139"/>
      <c r="V37" s="139"/>
    </row>
    <row r="38">
      <c r="A38" s="138"/>
      <c r="B38" s="139"/>
      <c r="C38" s="139"/>
      <c r="D38" s="138"/>
      <c r="E38" s="138"/>
      <c r="F38" s="138"/>
      <c r="G38" s="138"/>
      <c r="H38" s="138"/>
      <c r="I38" s="138"/>
      <c r="J38" s="138"/>
      <c r="K38" s="138"/>
      <c r="L38" s="138"/>
      <c r="M38" s="138"/>
      <c r="N38" s="138"/>
      <c r="O38" s="140"/>
      <c r="P38" s="140"/>
      <c r="Q38" s="140"/>
      <c r="R38" s="138"/>
      <c r="S38" s="138"/>
      <c r="T38" s="139"/>
      <c r="U38" s="139"/>
      <c r="V38" s="139"/>
    </row>
    <row r="39">
      <c r="A39" s="138"/>
      <c r="B39" s="139"/>
      <c r="C39" s="139"/>
      <c r="D39" s="138"/>
      <c r="E39" s="138"/>
      <c r="F39" s="138"/>
      <c r="G39" s="138"/>
      <c r="H39" s="138"/>
      <c r="I39" s="138"/>
      <c r="J39" s="138"/>
      <c r="K39" s="138"/>
      <c r="L39" s="138"/>
      <c r="M39" s="138"/>
      <c r="N39" s="138"/>
      <c r="O39" s="140"/>
      <c r="P39" s="140"/>
      <c r="Q39" s="140"/>
      <c r="R39" s="138"/>
      <c r="S39" s="138"/>
      <c r="T39" s="139"/>
      <c r="U39" s="139"/>
      <c r="V39" s="139"/>
    </row>
    <row r="40">
      <c r="A40" s="138"/>
      <c r="B40" s="139"/>
      <c r="C40" s="139"/>
      <c r="D40" s="138"/>
      <c r="E40" s="138"/>
      <c r="F40" s="138"/>
      <c r="G40" s="138"/>
      <c r="H40" s="138"/>
      <c r="I40" s="138"/>
      <c r="J40" s="138"/>
      <c r="K40" s="138"/>
      <c r="L40" s="138"/>
      <c r="M40" s="138"/>
      <c r="N40" s="138"/>
      <c r="O40" s="140"/>
      <c r="P40" s="140"/>
      <c r="Q40" s="140"/>
      <c r="R40" s="138"/>
      <c r="S40" s="138"/>
      <c r="T40" s="139"/>
      <c r="U40" s="139"/>
      <c r="V40" s="139"/>
    </row>
    <row r="41">
      <c r="A41" s="138"/>
      <c r="B41" s="139"/>
      <c r="C41" s="139"/>
      <c r="D41" s="138"/>
      <c r="E41" s="138"/>
      <c r="F41" s="138"/>
      <c r="G41" s="138"/>
      <c r="H41" s="138"/>
      <c r="I41" s="138"/>
      <c r="J41" s="138"/>
      <c r="K41" s="138"/>
      <c r="L41" s="138"/>
      <c r="M41" s="138"/>
      <c r="N41" s="138"/>
      <c r="O41" s="140"/>
      <c r="P41" s="140"/>
      <c r="Q41" s="140"/>
      <c r="R41" s="138"/>
      <c r="S41" s="138"/>
      <c r="T41" s="139"/>
      <c r="U41" s="139"/>
      <c r="V41" s="139"/>
    </row>
    <row r="42">
      <c r="A42" s="138"/>
      <c r="B42" s="139"/>
      <c r="C42" s="139"/>
      <c r="D42" s="138"/>
      <c r="E42" s="138"/>
      <c r="F42" s="138"/>
      <c r="G42" s="138"/>
      <c r="H42" s="138"/>
      <c r="I42" s="138"/>
      <c r="J42" s="138"/>
      <c r="K42" s="138"/>
      <c r="L42" s="138"/>
      <c r="M42" s="138"/>
      <c r="N42" s="138"/>
      <c r="O42" s="140"/>
      <c r="P42" s="140"/>
      <c r="Q42" s="140"/>
      <c r="R42" s="138"/>
      <c r="S42" s="138"/>
      <c r="T42" s="139"/>
      <c r="U42" s="139"/>
      <c r="V42" s="139"/>
    </row>
    <row r="43">
      <c r="A43" s="138"/>
      <c r="B43" s="139"/>
      <c r="C43" s="139"/>
      <c r="D43" s="138"/>
      <c r="E43" s="138"/>
      <c r="F43" s="138"/>
      <c r="G43" s="138"/>
      <c r="H43" s="138"/>
      <c r="I43" s="138"/>
      <c r="J43" s="138"/>
      <c r="K43" s="138"/>
      <c r="L43" s="138"/>
      <c r="M43" s="138"/>
      <c r="N43" s="138"/>
      <c r="O43" s="140"/>
      <c r="P43" s="140"/>
      <c r="Q43" s="140"/>
      <c r="R43" s="138"/>
      <c r="S43" s="138"/>
      <c r="T43" s="139"/>
      <c r="U43" s="139"/>
      <c r="V43" s="139"/>
    </row>
    <row r="44">
      <c r="A44" s="138"/>
      <c r="B44" s="139"/>
      <c r="C44" s="139"/>
      <c r="D44" s="138"/>
      <c r="E44" s="138"/>
      <c r="F44" s="138"/>
      <c r="G44" s="138"/>
      <c r="H44" s="138"/>
      <c r="I44" s="138"/>
      <c r="J44" s="138"/>
      <c r="K44" s="138"/>
      <c r="L44" s="138"/>
      <c r="M44" s="138"/>
      <c r="N44" s="138"/>
      <c r="O44" s="140"/>
      <c r="P44" s="140"/>
      <c r="Q44" s="140"/>
      <c r="R44" s="138"/>
      <c r="S44" s="138"/>
      <c r="T44" s="139"/>
      <c r="U44" s="139"/>
      <c r="V44" s="139"/>
    </row>
    <row r="45">
      <c r="A45" s="138"/>
      <c r="B45" s="139"/>
      <c r="C45" s="139"/>
      <c r="D45" s="138"/>
      <c r="E45" s="138"/>
      <c r="F45" s="138"/>
      <c r="G45" s="138"/>
      <c r="H45" s="138"/>
      <c r="I45" s="138"/>
      <c r="J45" s="138"/>
      <c r="K45" s="138"/>
      <c r="L45" s="138"/>
      <c r="M45" s="138"/>
      <c r="N45" s="138"/>
      <c r="O45" s="140"/>
      <c r="P45" s="140"/>
      <c r="Q45" s="140"/>
      <c r="R45" s="138"/>
      <c r="S45" s="138"/>
      <c r="T45" s="139"/>
      <c r="U45" s="139"/>
      <c r="V45" s="139"/>
    </row>
    <row r="46">
      <c r="A46" s="138"/>
      <c r="B46" s="139"/>
      <c r="C46" s="139"/>
      <c r="D46" s="138"/>
      <c r="E46" s="138"/>
      <c r="F46" s="138"/>
      <c r="G46" s="138"/>
      <c r="H46" s="138"/>
      <c r="I46" s="138"/>
      <c r="J46" s="138"/>
      <c r="K46" s="138"/>
      <c r="L46" s="138"/>
      <c r="M46" s="138"/>
      <c r="N46" s="138"/>
      <c r="O46" s="140"/>
      <c r="P46" s="140"/>
      <c r="Q46" s="140"/>
      <c r="R46" s="138"/>
      <c r="S46" s="138"/>
      <c r="T46" s="139"/>
      <c r="U46" s="139"/>
      <c r="V46" s="139"/>
    </row>
    <row r="47">
      <c r="A47" s="138"/>
      <c r="B47" s="139"/>
      <c r="C47" s="139"/>
      <c r="D47" s="138"/>
      <c r="E47" s="138"/>
      <c r="F47" s="138"/>
      <c r="G47" s="138"/>
      <c r="H47" s="138"/>
      <c r="I47" s="138"/>
      <c r="J47" s="138"/>
      <c r="K47" s="138"/>
      <c r="L47" s="138"/>
      <c r="M47" s="138"/>
      <c r="N47" s="138"/>
      <c r="O47" s="140"/>
      <c r="P47" s="140"/>
      <c r="Q47" s="140"/>
      <c r="R47" s="138"/>
      <c r="S47" s="138"/>
      <c r="T47" s="139"/>
      <c r="U47" s="139"/>
      <c r="V47" s="139"/>
    </row>
    <row r="48">
      <c r="A48" s="138"/>
      <c r="B48" s="139"/>
      <c r="C48" s="139"/>
      <c r="D48" s="138"/>
      <c r="E48" s="138"/>
      <c r="F48" s="138"/>
      <c r="G48" s="138"/>
      <c r="H48" s="138"/>
      <c r="I48" s="138"/>
      <c r="J48" s="138"/>
      <c r="K48" s="138"/>
      <c r="L48" s="138"/>
      <c r="M48" s="138"/>
      <c r="N48" s="138"/>
      <c r="O48" s="140"/>
      <c r="P48" s="140"/>
      <c r="Q48" s="140"/>
      <c r="R48" s="138"/>
      <c r="S48" s="138"/>
      <c r="T48" s="139"/>
      <c r="U48" s="139"/>
      <c r="V48" s="139"/>
    </row>
    <row r="49">
      <c r="A49" s="138"/>
      <c r="B49" s="139"/>
      <c r="C49" s="139"/>
      <c r="D49" s="138"/>
      <c r="E49" s="138"/>
      <c r="F49" s="138"/>
      <c r="G49" s="138"/>
      <c r="H49" s="138"/>
      <c r="I49" s="138"/>
      <c r="J49" s="138"/>
      <c r="K49" s="138"/>
      <c r="L49" s="138"/>
      <c r="M49" s="138"/>
      <c r="N49" s="138"/>
      <c r="O49" s="140"/>
      <c r="P49" s="140"/>
      <c r="Q49" s="140"/>
      <c r="R49" s="138"/>
      <c r="S49" s="138"/>
      <c r="T49" s="139"/>
      <c r="U49" s="139"/>
      <c r="V49" s="139"/>
    </row>
  </sheetData>
  <mergeCells count="13">
    <mergeCell ref="B10:B11"/>
    <mergeCell ref="C10:C11"/>
    <mergeCell ref="I10:Q10"/>
    <mergeCell ref="R10:S10"/>
    <mergeCell ref="T10:T11"/>
    <mergeCell ref="A1:C3"/>
    <mergeCell ref="D1:I3"/>
    <mergeCell ref="J1:L1"/>
    <mergeCell ref="J2:L2"/>
    <mergeCell ref="J3:L3"/>
    <mergeCell ref="J4:L4"/>
    <mergeCell ref="A10:A11"/>
    <mergeCell ref="D10:H10"/>
  </mergeCells>
  <dataValidations>
    <dataValidation type="list" allowBlank="1" sqref="S14:S15">
      <formula1>"Done,Inprogress,Pending"</formula1>
    </dataValidation>
    <dataValidation type="list" allowBlank="1" showErrorMessage="1" sqref="C12:C15">
      <formula1>'Master Data'!$B$4:$B49</formula1>
    </dataValidation>
    <dataValidation type="list" allowBlank="1" showErrorMessage="1" sqref="H12:H13 N12:N13 R12:R13">
      <formula1>'Master Data'!$C$4:$C49</formula1>
    </dataValidation>
    <dataValidation type="list" allowBlank="1" showErrorMessage="1" sqref="S12:S13 O12:O15">
      <formula1>'Master Data'!$D$4:$D49</formula1>
    </dataValidation>
    <dataValidation type="list" allowBlank="1" showErrorMessage="1" sqref="B12:B15">
      <formula1>'Master Data'!$A$4:$A49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1" width="4.88"/>
    <col customWidth="1" min="2" max="2" width="17.38"/>
    <col customWidth="1" min="5" max="5" width="21.13"/>
    <col customWidth="1" min="6" max="6" width="24.25"/>
    <col customWidth="1" min="8" max="8" width="24.38"/>
    <col customWidth="1" min="16" max="18" width="17.75"/>
  </cols>
  <sheetData>
    <row r="1" ht="22.5" customHeight="1">
      <c r="A1" s="1"/>
      <c r="B1" s="2"/>
      <c r="C1" s="2"/>
      <c r="D1" s="3" t="s">
        <v>0</v>
      </c>
      <c r="E1" s="2"/>
      <c r="F1" s="2"/>
      <c r="G1" s="2"/>
      <c r="H1" s="2"/>
      <c r="I1" s="2"/>
      <c r="J1" s="48" t="s">
        <v>2</v>
      </c>
      <c r="K1" s="8"/>
      <c r="L1" s="10"/>
      <c r="M1" s="24"/>
      <c r="N1" s="24"/>
      <c r="O1" s="24"/>
      <c r="P1" s="24"/>
      <c r="Q1" s="24"/>
      <c r="R1" s="24"/>
      <c r="S1" s="24"/>
      <c r="T1" s="24"/>
      <c r="V1" s="91"/>
      <c r="W1" s="91"/>
      <c r="X1" s="91"/>
      <c r="Y1" s="91"/>
      <c r="Z1" s="91"/>
      <c r="AA1" s="55"/>
      <c r="AB1" s="55"/>
      <c r="AC1" s="55"/>
      <c r="AD1" s="55"/>
      <c r="AE1" s="55"/>
      <c r="AF1" s="55"/>
      <c r="AG1" s="55"/>
      <c r="AH1" s="55"/>
      <c r="AI1" s="55"/>
    </row>
    <row r="2" ht="22.5" customHeight="1">
      <c r="A2" s="7"/>
      <c r="D2" s="7"/>
      <c r="J2" s="60" t="s">
        <v>4</v>
      </c>
      <c r="K2" s="8"/>
      <c r="L2" s="10"/>
      <c r="M2" s="24"/>
      <c r="N2" s="24"/>
      <c r="O2" s="24"/>
      <c r="P2" s="24"/>
      <c r="Q2" s="24"/>
      <c r="R2" s="24"/>
      <c r="S2" s="24"/>
      <c r="T2" s="24"/>
      <c r="V2" s="93"/>
      <c r="W2" s="93"/>
      <c r="X2" s="93"/>
      <c r="Y2" s="93"/>
      <c r="Z2" s="93"/>
      <c r="AA2" s="55"/>
      <c r="AB2" s="55"/>
      <c r="AC2" s="55"/>
      <c r="AD2" s="55"/>
      <c r="AE2" s="55"/>
      <c r="AF2" s="55"/>
      <c r="AG2" s="55"/>
      <c r="AH2" s="55"/>
      <c r="AI2" s="55"/>
    </row>
    <row r="3" ht="22.5" customHeight="1">
      <c r="A3" s="7"/>
      <c r="D3" s="7"/>
      <c r="J3" s="65" t="s">
        <v>7</v>
      </c>
      <c r="K3" s="8"/>
      <c r="L3" s="10"/>
      <c r="M3" s="24"/>
      <c r="N3" s="24"/>
      <c r="O3" s="24"/>
      <c r="P3" s="24"/>
      <c r="Q3" s="24"/>
      <c r="R3" s="24"/>
      <c r="S3" s="24"/>
      <c r="T3" s="24"/>
      <c r="V3" s="95"/>
      <c r="W3" s="95"/>
      <c r="X3" s="95"/>
      <c r="Y3" s="95"/>
      <c r="Z3" s="95"/>
      <c r="AA3" s="55"/>
      <c r="AB3" s="55"/>
      <c r="AC3" s="55"/>
      <c r="AD3" s="55"/>
      <c r="AE3" s="55"/>
      <c r="AF3" s="55"/>
      <c r="AG3" s="55"/>
      <c r="AH3" s="55"/>
      <c r="AI3" s="55"/>
    </row>
    <row r="4" ht="22.5" customHeight="1">
      <c r="A4" s="67" t="s">
        <v>6</v>
      </c>
      <c r="B4" s="19"/>
      <c r="C4" s="19"/>
      <c r="D4" s="69"/>
      <c r="E4" s="69"/>
      <c r="F4" s="69"/>
      <c r="G4" s="69"/>
      <c r="H4" s="69"/>
      <c r="I4" s="69"/>
      <c r="J4" s="67" t="s">
        <v>9</v>
      </c>
      <c r="K4" s="8"/>
      <c r="L4" s="10"/>
      <c r="M4" s="24"/>
      <c r="N4" s="24"/>
      <c r="O4" s="24"/>
      <c r="P4" s="24"/>
      <c r="Q4" s="24"/>
      <c r="R4" s="24"/>
      <c r="S4" s="24"/>
      <c r="T4" s="24"/>
      <c r="V4" s="99"/>
      <c r="W4" s="99"/>
      <c r="X4" s="99"/>
      <c r="Y4" s="99"/>
      <c r="Z4" s="99"/>
      <c r="AA4" s="55"/>
      <c r="AB4" s="55"/>
      <c r="AC4" s="55"/>
      <c r="AD4" s="55"/>
      <c r="AE4" s="55"/>
      <c r="AF4" s="55"/>
      <c r="AG4" s="55"/>
      <c r="AH4" s="55"/>
      <c r="AI4" s="55"/>
    </row>
    <row r="5">
      <c r="A5" s="24"/>
      <c r="B5" s="24"/>
      <c r="C5" s="24"/>
      <c r="D5" s="24"/>
      <c r="E5" s="55"/>
      <c r="F5" s="55"/>
      <c r="H5" s="24"/>
      <c r="I5" s="24"/>
      <c r="J5" s="24"/>
      <c r="K5" s="24"/>
      <c r="L5" s="24"/>
      <c r="M5" s="24"/>
      <c r="N5" s="24"/>
      <c r="O5" s="24"/>
      <c r="P5" s="24"/>
      <c r="Q5" s="24"/>
      <c r="R5" s="24"/>
      <c r="S5" s="24"/>
      <c r="T5" s="24"/>
      <c r="U5" s="24"/>
      <c r="V5" s="24"/>
      <c r="W5" s="24"/>
      <c r="X5" s="24"/>
      <c r="Y5" s="24"/>
      <c r="Z5" s="24"/>
      <c r="AA5" s="55"/>
      <c r="AB5" s="55"/>
      <c r="AC5" s="55"/>
      <c r="AD5" s="55"/>
      <c r="AE5" s="55"/>
      <c r="AF5" s="55"/>
      <c r="AG5" s="55"/>
      <c r="AH5" s="55"/>
      <c r="AI5" s="55"/>
    </row>
    <row r="6">
      <c r="A6" s="101"/>
      <c r="B6" s="80" t="s">
        <v>48</v>
      </c>
      <c r="C6" s="24"/>
      <c r="D6" s="24"/>
      <c r="E6" s="24"/>
      <c r="F6" s="24"/>
      <c r="G6" s="55"/>
      <c r="S6" s="24"/>
      <c r="T6" s="24"/>
      <c r="U6" s="24"/>
      <c r="V6" s="24"/>
      <c r="W6" s="24"/>
      <c r="X6" s="24"/>
      <c r="Y6" s="24"/>
      <c r="Z6" s="24"/>
      <c r="AA6" s="85"/>
      <c r="AB6" s="85"/>
      <c r="AC6" s="55"/>
      <c r="AD6" s="55"/>
      <c r="AE6" s="55"/>
      <c r="AF6" s="55"/>
      <c r="AG6" s="55"/>
      <c r="AH6" s="55"/>
      <c r="AI6" s="55"/>
    </row>
    <row r="7">
      <c r="A7" s="74"/>
      <c r="B7" s="87" t="s">
        <v>49</v>
      </c>
      <c r="C7" s="87" t="s">
        <v>50</v>
      </c>
      <c r="D7" s="87" t="s">
        <v>51</v>
      </c>
      <c r="E7" s="87" t="s">
        <v>52</v>
      </c>
      <c r="F7" s="87" t="s">
        <v>53</v>
      </c>
      <c r="G7" s="54"/>
      <c r="H7" s="52"/>
      <c r="I7" s="52"/>
      <c r="J7" s="52"/>
      <c r="K7" s="52"/>
      <c r="L7" s="52"/>
      <c r="M7" s="52"/>
      <c r="N7" s="52"/>
      <c r="O7" s="52"/>
      <c r="P7" s="52"/>
      <c r="Q7" s="52"/>
      <c r="R7" s="52"/>
      <c r="S7" s="74"/>
      <c r="T7" s="74"/>
      <c r="U7" s="74"/>
      <c r="V7" s="74"/>
      <c r="W7" s="74"/>
      <c r="X7" s="74"/>
      <c r="Y7" s="74"/>
      <c r="Z7" s="74"/>
      <c r="AA7" s="85"/>
      <c r="AB7" s="85"/>
      <c r="AC7" s="55"/>
      <c r="AD7" s="55"/>
      <c r="AE7" s="55"/>
      <c r="AF7" s="55"/>
      <c r="AG7" s="55"/>
      <c r="AH7" s="55"/>
      <c r="AI7" s="55"/>
    </row>
    <row r="8">
      <c r="A8" s="74"/>
      <c r="B8" s="94">
        <f>sum(D15:D981)</f>
        <v>20</v>
      </c>
      <c r="C8" s="94">
        <f t="shared" ref="C8:D8" si="1">sum(Q15:Q981)</f>
        <v>0</v>
      </c>
      <c r="D8" s="94">
        <f t="shared" si="1"/>
        <v>14</v>
      </c>
      <c r="E8" s="96">
        <f>(B8-D8)/B8</f>
        <v>0.3</v>
      </c>
      <c r="F8" s="98" t="s">
        <v>78</v>
      </c>
      <c r="G8" s="54"/>
      <c r="H8" s="74"/>
      <c r="I8" s="52"/>
      <c r="J8" s="52"/>
      <c r="K8" s="52"/>
      <c r="L8" s="52"/>
      <c r="M8" s="52"/>
      <c r="N8" s="52"/>
      <c r="O8" s="52"/>
      <c r="P8" s="52"/>
      <c r="Q8" s="52"/>
      <c r="R8" s="52"/>
      <c r="S8" s="74"/>
      <c r="T8" s="74"/>
      <c r="U8" s="74"/>
      <c r="V8" s="74"/>
      <c r="W8" s="74"/>
      <c r="X8" s="74"/>
      <c r="Y8" s="74"/>
      <c r="Z8" s="74"/>
      <c r="AA8" s="85"/>
      <c r="AB8" s="85"/>
      <c r="AC8" s="55"/>
      <c r="AD8" s="55"/>
      <c r="AE8" s="55"/>
      <c r="AF8" s="55"/>
      <c r="AG8" s="55"/>
      <c r="AH8" s="55"/>
      <c r="AI8" s="55"/>
    </row>
    <row r="9">
      <c r="A9" s="74"/>
      <c r="B9" s="115" t="s">
        <v>86</v>
      </c>
      <c r="C9" s="74"/>
      <c r="D9" s="74"/>
      <c r="E9" s="74"/>
      <c r="F9" s="74"/>
      <c r="G9" s="74"/>
      <c r="H9" s="74"/>
      <c r="I9" s="52"/>
      <c r="J9" s="52"/>
      <c r="K9" s="52"/>
      <c r="L9" s="52"/>
      <c r="M9" s="52"/>
      <c r="N9" s="52"/>
      <c r="O9" s="52"/>
      <c r="P9" s="52"/>
      <c r="Q9" s="52"/>
      <c r="R9" s="52"/>
      <c r="S9" s="52"/>
      <c r="T9" s="52"/>
      <c r="U9" s="52"/>
      <c r="V9" s="52"/>
      <c r="W9" s="52"/>
      <c r="X9" s="52"/>
      <c r="Y9" s="52"/>
      <c r="Z9" s="52"/>
      <c r="AA9" s="85"/>
      <c r="AB9" s="85"/>
      <c r="AC9" s="55"/>
      <c r="AD9" s="55"/>
      <c r="AE9" s="55"/>
      <c r="AF9" s="55"/>
      <c r="AG9" s="55"/>
      <c r="AH9" s="55"/>
      <c r="AI9" s="55"/>
    </row>
    <row r="10">
      <c r="A10" s="74"/>
      <c r="B10" s="87" t="s">
        <v>91</v>
      </c>
      <c r="C10" s="87" t="s">
        <v>92</v>
      </c>
      <c r="D10" s="87" t="s">
        <v>93</v>
      </c>
      <c r="E10" s="87" t="s">
        <v>94</v>
      </c>
      <c r="F10" s="87" t="s">
        <v>95</v>
      </c>
      <c r="G10" s="87" t="s">
        <v>96</v>
      </c>
      <c r="H10" s="87" t="s">
        <v>53</v>
      </c>
      <c r="I10" s="52"/>
      <c r="J10" s="52"/>
      <c r="K10" s="52"/>
      <c r="L10" s="52"/>
      <c r="M10" s="52"/>
      <c r="N10" s="52"/>
      <c r="O10" s="52"/>
      <c r="P10" s="52"/>
      <c r="Q10" s="52"/>
      <c r="R10" s="52"/>
      <c r="S10" s="52"/>
      <c r="T10" s="52"/>
      <c r="U10" s="52"/>
      <c r="V10" s="52"/>
      <c r="W10" s="52"/>
      <c r="X10" s="52"/>
      <c r="Y10" s="52"/>
      <c r="Z10" s="52"/>
      <c r="AA10" s="85"/>
      <c r="AB10" s="85"/>
      <c r="AC10" s="55"/>
      <c r="AD10" s="55"/>
      <c r="AE10" s="55"/>
      <c r="AF10" s="55"/>
      <c r="AG10" s="55"/>
      <c r="AH10" s="55"/>
      <c r="AI10" s="55"/>
    </row>
    <row r="11">
      <c r="A11" s="74"/>
      <c r="B11" s="94">
        <f t="shared" ref="B11:F11" si="2">sum(I15:I981)</f>
        <v>200</v>
      </c>
      <c r="C11" s="94">
        <f t="shared" si="2"/>
        <v>20</v>
      </c>
      <c r="D11" s="94">
        <f t="shared" si="2"/>
        <v>10</v>
      </c>
      <c r="E11" s="94">
        <f t="shared" si="2"/>
        <v>170</v>
      </c>
      <c r="F11" s="94">
        <f t="shared" si="2"/>
        <v>0</v>
      </c>
      <c r="G11" s="121">
        <f>C11/(B11-F11)</f>
        <v>0.1</v>
      </c>
      <c r="H11" s="98" t="s">
        <v>103</v>
      </c>
      <c r="I11" s="52"/>
      <c r="J11" s="52"/>
      <c r="K11" s="52"/>
      <c r="L11" s="52"/>
      <c r="M11" s="52"/>
      <c r="N11" s="52"/>
      <c r="O11" s="52"/>
      <c r="P11" s="52"/>
      <c r="Q11" s="52"/>
      <c r="R11" s="52"/>
      <c r="S11" s="52"/>
      <c r="T11" s="52"/>
      <c r="U11" s="52"/>
      <c r="V11" s="52"/>
      <c r="W11" s="52"/>
      <c r="X11" s="52"/>
      <c r="Y11" s="52"/>
      <c r="Z11" s="52"/>
      <c r="AA11" s="85"/>
      <c r="AB11" s="85"/>
      <c r="AC11" s="55"/>
      <c r="AD11" s="55"/>
      <c r="AE11" s="55"/>
      <c r="AF11" s="55"/>
      <c r="AG11" s="55"/>
      <c r="AH11" s="55"/>
      <c r="AI11" s="55"/>
    </row>
    <row r="12">
      <c r="A12" s="74"/>
      <c r="B12" s="74"/>
      <c r="C12" s="74"/>
      <c r="D12" s="74"/>
      <c r="E12" s="52"/>
      <c r="F12" s="52"/>
      <c r="G12" s="52"/>
      <c r="H12" s="52"/>
      <c r="I12" s="52"/>
      <c r="J12" s="52"/>
      <c r="K12" s="52"/>
      <c r="L12" s="52"/>
      <c r="M12" s="52"/>
      <c r="N12" s="52"/>
      <c r="O12" s="52"/>
      <c r="P12" s="52"/>
      <c r="Q12" s="52"/>
      <c r="R12" s="52"/>
      <c r="S12" s="52"/>
      <c r="T12" s="52"/>
      <c r="U12" s="52"/>
      <c r="V12" s="52"/>
      <c r="W12" s="52"/>
      <c r="X12" s="52"/>
      <c r="Y12" s="52"/>
      <c r="Z12" s="52"/>
      <c r="AA12" s="85"/>
      <c r="AB12" s="85"/>
      <c r="AC12" s="55"/>
      <c r="AD12" s="55"/>
      <c r="AE12" s="55"/>
      <c r="AF12" s="55"/>
      <c r="AG12" s="55"/>
      <c r="AH12" s="55"/>
      <c r="AI12" s="55"/>
    </row>
    <row r="13">
      <c r="A13" s="102" t="s">
        <v>15</v>
      </c>
      <c r="B13" s="102" t="s">
        <v>68</v>
      </c>
      <c r="C13" s="102" t="s">
        <v>70</v>
      </c>
      <c r="D13" s="131" t="s">
        <v>72</v>
      </c>
      <c r="E13" s="8"/>
      <c r="F13" s="8"/>
      <c r="G13" s="10"/>
      <c r="H13" s="131" t="s">
        <v>73</v>
      </c>
      <c r="I13" s="8"/>
      <c r="J13" s="8"/>
      <c r="K13" s="8"/>
      <c r="L13" s="8"/>
      <c r="M13" s="8"/>
      <c r="N13" s="8"/>
      <c r="O13" s="8"/>
      <c r="P13" s="8"/>
      <c r="Q13" s="8"/>
      <c r="R13" s="8"/>
      <c r="S13" s="8"/>
      <c r="T13" s="8"/>
      <c r="U13" s="10"/>
      <c r="V13" s="112"/>
      <c r="W13" s="131" t="s">
        <v>118</v>
      </c>
      <c r="X13" s="8"/>
      <c r="Y13" s="8"/>
      <c r="Z13" s="10"/>
      <c r="AA13" s="110" t="s">
        <v>77</v>
      </c>
      <c r="AC13" s="55"/>
      <c r="AD13" s="55"/>
      <c r="AE13" s="55"/>
      <c r="AF13" s="55"/>
      <c r="AG13" s="55"/>
      <c r="AH13" s="55"/>
      <c r="AI13" s="55"/>
    </row>
    <row r="14">
      <c r="A14" s="111"/>
      <c r="B14" s="111"/>
      <c r="C14" s="111"/>
      <c r="D14" s="112" t="s">
        <v>122</v>
      </c>
      <c r="E14" s="113" t="s">
        <v>81</v>
      </c>
      <c r="F14" s="113" t="s">
        <v>82</v>
      </c>
      <c r="G14" s="114" t="s">
        <v>83</v>
      </c>
      <c r="H14" s="102" t="s">
        <v>84</v>
      </c>
      <c r="I14" s="112" t="s">
        <v>79</v>
      </c>
      <c r="J14" s="102" t="s">
        <v>92</v>
      </c>
      <c r="K14" s="112" t="s">
        <v>93</v>
      </c>
      <c r="L14" s="112" t="s">
        <v>94</v>
      </c>
      <c r="M14" s="112" t="s">
        <v>95</v>
      </c>
      <c r="N14" s="102" t="s">
        <v>51</v>
      </c>
      <c r="O14" s="102" t="s">
        <v>129</v>
      </c>
      <c r="P14" s="112" t="s">
        <v>52</v>
      </c>
      <c r="Q14" s="112" t="s">
        <v>131</v>
      </c>
      <c r="R14" s="112" t="s">
        <v>133</v>
      </c>
      <c r="S14" s="113" t="s">
        <v>81</v>
      </c>
      <c r="T14" s="113" t="s">
        <v>82</v>
      </c>
      <c r="U14" s="114" t="s">
        <v>83</v>
      </c>
      <c r="V14" s="102" t="s">
        <v>135</v>
      </c>
      <c r="W14" s="102" t="s">
        <v>137</v>
      </c>
      <c r="X14" s="102" t="s">
        <v>138</v>
      </c>
      <c r="Y14" s="102" t="s">
        <v>139</v>
      </c>
      <c r="Z14" s="102" t="s">
        <v>141</v>
      </c>
      <c r="AA14" s="111"/>
      <c r="AC14" s="55"/>
      <c r="AD14" s="55"/>
      <c r="AE14" s="55"/>
      <c r="AF14" s="55"/>
      <c r="AG14" s="55"/>
      <c r="AH14" s="55"/>
      <c r="AI14" s="55"/>
    </row>
    <row r="15">
      <c r="A15" s="116">
        <v>1.0</v>
      </c>
      <c r="B15" s="137" t="s">
        <v>98</v>
      </c>
      <c r="C15" s="137" t="s">
        <v>101</v>
      </c>
      <c r="D15" s="122">
        <v>20.0</v>
      </c>
      <c r="E15" s="123">
        <v>45658.0</v>
      </c>
      <c r="F15" s="123">
        <v>45659.0</v>
      </c>
      <c r="G15" s="126" t="s">
        <v>104</v>
      </c>
      <c r="H15" s="127"/>
      <c r="I15" s="127">
        <v>200.0</v>
      </c>
      <c r="J15" s="127">
        <v>20.0</v>
      </c>
      <c r="K15" s="127">
        <v>10.0</v>
      </c>
      <c r="L15" s="127">
        <v>170.0</v>
      </c>
      <c r="M15" s="127">
        <v>0.0</v>
      </c>
      <c r="N15" s="127">
        <f>I15-J15-M15</f>
        <v>180</v>
      </c>
      <c r="O15" s="126" t="s">
        <v>105</v>
      </c>
      <c r="P15" s="142">
        <v>0.3</v>
      </c>
      <c r="Q15" s="128"/>
      <c r="R15" s="128">
        <f>D15-P15*D15</f>
        <v>14</v>
      </c>
      <c r="S15" s="123">
        <v>45658.0</v>
      </c>
      <c r="T15" s="123">
        <v>45659.0</v>
      </c>
      <c r="U15" s="126" t="s">
        <v>104</v>
      </c>
      <c r="V15" s="116"/>
      <c r="W15" s="116"/>
      <c r="X15" s="116"/>
      <c r="Y15" s="116"/>
      <c r="Z15" s="116"/>
      <c r="AA15" s="134"/>
      <c r="AC15" s="55"/>
      <c r="AD15" s="55"/>
      <c r="AE15" s="55"/>
      <c r="AF15" s="55"/>
      <c r="AG15" s="55"/>
      <c r="AH15" s="55"/>
      <c r="AI15" s="55"/>
    </row>
    <row r="16">
      <c r="A16" s="116"/>
      <c r="B16" s="137"/>
      <c r="C16" s="137"/>
      <c r="D16" s="122"/>
      <c r="E16" s="123"/>
      <c r="F16" s="123"/>
      <c r="G16" s="126"/>
      <c r="H16" s="127"/>
      <c r="I16" s="127"/>
      <c r="J16" s="127"/>
      <c r="K16" s="127"/>
      <c r="L16" s="127"/>
      <c r="M16" s="127"/>
      <c r="N16" s="127"/>
      <c r="O16" s="126"/>
      <c r="P16" s="128"/>
      <c r="Q16" s="128"/>
      <c r="R16" s="128"/>
      <c r="S16" s="123"/>
      <c r="T16" s="123"/>
      <c r="U16" s="126"/>
      <c r="V16" s="116"/>
      <c r="W16" s="116"/>
      <c r="X16" s="116"/>
      <c r="Y16" s="116"/>
      <c r="Z16" s="116"/>
      <c r="AA16" s="134"/>
      <c r="AC16" s="55"/>
      <c r="AD16" s="55"/>
      <c r="AE16" s="55"/>
      <c r="AF16" s="55"/>
      <c r="AG16" s="55"/>
      <c r="AH16" s="55"/>
      <c r="AI16" s="55"/>
    </row>
    <row r="17">
      <c r="A17" s="116"/>
      <c r="B17" s="137"/>
      <c r="C17" s="137"/>
      <c r="D17" s="122"/>
      <c r="E17" s="135"/>
      <c r="F17" s="135"/>
      <c r="G17" s="116"/>
      <c r="H17" s="127"/>
      <c r="I17" s="127"/>
      <c r="J17" s="127"/>
      <c r="K17" s="127"/>
      <c r="L17" s="127"/>
      <c r="M17" s="127"/>
      <c r="N17" s="127"/>
      <c r="O17" s="126"/>
      <c r="P17" s="127"/>
      <c r="Q17" s="127"/>
      <c r="R17" s="127"/>
      <c r="S17" s="116"/>
      <c r="T17" s="116"/>
      <c r="U17" s="116"/>
      <c r="V17" s="116"/>
      <c r="W17" s="116"/>
      <c r="X17" s="116"/>
      <c r="Y17" s="116"/>
      <c r="Z17" s="116"/>
      <c r="AA17" s="134"/>
      <c r="AC17" s="55"/>
      <c r="AD17" s="55"/>
      <c r="AE17" s="55"/>
      <c r="AF17" s="55"/>
      <c r="AG17" s="55"/>
      <c r="AH17" s="55"/>
      <c r="AI17" s="55"/>
    </row>
    <row r="18">
      <c r="A18" s="116"/>
      <c r="B18" s="137"/>
      <c r="C18" s="137"/>
      <c r="D18" s="122"/>
      <c r="E18" s="135"/>
      <c r="F18" s="135"/>
      <c r="G18" s="116"/>
      <c r="H18" s="116"/>
      <c r="I18" s="116"/>
      <c r="J18" s="116"/>
      <c r="K18" s="116"/>
      <c r="L18" s="116"/>
      <c r="M18" s="116"/>
      <c r="N18" s="116"/>
      <c r="O18" s="116"/>
      <c r="P18" s="116"/>
      <c r="Q18" s="116"/>
      <c r="R18" s="116"/>
      <c r="S18" s="116"/>
      <c r="T18" s="116"/>
      <c r="U18" s="116"/>
      <c r="V18" s="116"/>
      <c r="W18" s="116"/>
      <c r="X18" s="116"/>
      <c r="Y18" s="116"/>
      <c r="Z18" s="116"/>
      <c r="AA18" s="134"/>
      <c r="AC18" s="55"/>
      <c r="AD18" s="55"/>
      <c r="AE18" s="55"/>
      <c r="AF18" s="55"/>
      <c r="AG18" s="55"/>
      <c r="AH18" s="55"/>
      <c r="AI18" s="55"/>
    </row>
    <row r="19">
      <c r="A19" s="139"/>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row>
    <row r="20">
      <c r="A20" s="139"/>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row>
    <row r="21">
      <c r="A21" s="139"/>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9"/>
      <c r="AD21" s="139"/>
      <c r="AE21" s="139"/>
      <c r="AF21" s="139"/>
      <c r="AG21" s="139"/>
      <c r="AH21" s="139"/>
      <c r="AI21" s="139"/>
    </row>
    <row r="22">
      <c r="A22" s="139"/>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row>
    <row r="23">
      <c r="A23" s="139"/>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row>
    <row r="24">
      <c r="A24" s="139"/>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39"/>
      <c r="AH24" s="139"/>
      <c r="AI24" s="139"/>
    </row>
    <row r="25">
      <c r="A25" s="139"/>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row>
    <row r="26">
      <c r="A26" s="139"/>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row>
    <row r="27">
      <c r="A27" s="139"/>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39"/>
      <c r="AE27" s="139"/>
      <c r="AF27" s="139"/>
      <c r="AG27" s="139"/>
      <c r="AH27" s="139"/>
      <c r="AI27" s="139"/>
    </row>
    <row r="28">
      <c r="A28" s="139"/>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row>
    <row r="29">
      <c r="A29" s="139"/>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row>
    <row r="30">
      <c r="A30" s="139"/>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9"/>
      <c r="AD30" s="139"/>
      <c r="AE30" s="139"/>
      <c r="AF30" s="139"/>
      <c r="AG30" s="139"/>
      <c r="AH30" s="139"/>
      <c r="AI30" s="139"/>
    </row>
    <row r="31">
      <c r="A31" s="139"/>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9"/>
      <c r="AD31" s="139"/>
      <c r="AE31" s="139"/>
      <c r="AF31" s="139"/>
      <c r="AG31" s="139"/>
      <c r="AH31" s="139"/>
      <c r="AI31" s="139"/>
    </row>
    <row r="32">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row>
    <row r="33">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row>
    <row r="34">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row>
    <row r="35">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c r="AB35" s="139"/>
      <c r="AC35" s="139"/>
      <c r="AD35" s="139"/>
      <c r="AE35" s="139"/>
      <c r="AF35" s="139"/>
      <c r="AG35" s="139"/>
      <c r="AH35" s="139"/>
      <c r="AI35" s="139"/>
    </row>
    <row r="36">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row>
    <row r="37">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139"/>
      <c r="AH37" s="139"/>
      <c r="AI37" s="139"/>
    </row>
    <row r="38">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39"/>
      <c r="AH38" s="139"/>
      <c r="AI38" s="139"/>
    </row>
    <row r="39">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39"/>
      <c r="AH39" s="139"/>
      <c r="AI39" s="139"/>
    </row>
    <row r="40">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39"/>
      <c r="AH40" s="139"/>
      <c r="AI40" s="139"/>
    </row>
    <row r="4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row>
    <row r="42">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row>
    <row r="43">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row>
    <row r="44">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row>
    <row r="45">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row>
    <row r="46">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row>
    <row r="47">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row>
    <row r="48">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c r="AH303" s="139"/>
      <c r="AI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c r="AH304" s="139"/>
      <c r="AI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c r="AH305" s="139"/>
      <c r="AI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c r="AH306" s="139"/>
      <c r="AI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c r="AH311" s="139"/>
      <c r="AI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c r="AH312" s="139"/>
      <c r="AI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c r="AH328" s="139"/>
      <c r="AI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c r="AH329" s="139"/>
      <c r="AI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c r="AH330" s="139"/>
      <c r="AI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39"/>
      <c r="AH331" s="139"/>
      <c r="AI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39"/>
      <c r="AH339" s="139"/>
      <c r="AI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c r="AH340" s="139"/>
      <c r="AI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c r="AB342" s="139"/>
      <c r="AC342" s="139"/>
      <c r="AD342" s="139"/>
      <c r="AE342" s="139"/>
      <c r="AF342" s="139"/>
      <c r="AG342" s="139"/>
      <c r="AH342" s="139"/>
      <c r="AI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c r="AB343" s="139"/>
      <c r="AC343" s="139"/>
      <c r="AD343" s="139"/>
      <c r="AE343" s="139"/>
      <c r="AF343" s="139"/>
      <c r="AG343" s="139"/>
      <c r="AH343" s="139"/>
      <c r="AI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c r="AB344" s="139"/>
      <c r="AC344" s="139"/>
      <c r="AD344" s="139"/>
      <c r="AE344" s="139"/>
      <c r="AF344" s="139"/>
      <c r="AG344" s="139"/>
      <c r="AH344" s="139"/>
      <c r="AI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c r="AB346" s="139"/>
      <c r="AC346" s="139"/>
      <c r="AD346" s="139"/>
      <c r="AE346" s="139"/>
      <c r="AF346" s="139"/>
      <c r="AG346" s="139"/>
      <c r="AH346" s="139"/>
      <c r="AI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c r="AB347" s="139"/>
      <c r="AC347" s="139"/>
      <c r="AD347" s="139"/>
      <c r="AE347" s="139"/>
      <c r="AF347" s="139"/>
      <c r="AG347" s="139"/>
      <c r="AH347" s="139"/>
      <c r="AI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c r="AB348" s="139"/>
      <c r="AC348" s="139"/>
      <c r="AD348" s="139"/>
      <c r="AE348" s="139"/>
      <c r="AF348" s="139"/>
      <c r="AG348" s="139"/>
      <c r="AH348" s="139"/>
      <c r="AI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c r="AB349" s="139"/>
      <c r="AC349" s="139"/>
      <c r="AD349" s="139"/>
      <c r="AE349" s="139"/>
      <c r="AF349" s="139"/>
      <c r="AG349" s="139"/>
      <c r="AH349" s="139"/>
      <c r="AI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c r="AB350" s="139"/>
      <c r="AC350" s="139"/>
      <c r="AD350" s="139"/>
      <c r="AE350" s="139"/>
      <c r="AF350" s="139"/>
      <c r="AG350" s="139"/>
      <c r="AH350" s="139"/>
      <c r="AI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c r="AB351" s="139"/>
      <c r="AC351" s="139"/>
      <c r="AD351" s="139"/>
      <c r="AE351" s="139"/>
      <c r="AF351" s="139"/>
      <c r="AG351" s="139"/>
      <c r="AH351" s="139"/>
      <c r="AI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c r="AB352" s="139"/>
      <c r="AC352" s="139"/>
      <c r="AD352" s="139"/>
      <c r="AE352" s="139"/>
      <c r="AF352" s="139"/>
      <c r="AG352" s="139"/>
      <c r="AH352" s="139"/>
      <c r="AI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39"/>
      <c r="AH355" s="139"/>
      <c r="AI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c r="AB357" s="139"/>
      <c r="AC357" s="139"/>
      <c r="AD357" s="139"/>
      <c r="AE357" s="139"/>
      <c r="AF357" s="139"/>
      <c r="AG357" s="139"/>
      <c r="AH357" s="139"/>
      <c r="AI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c r="AB358" s="139"/>
      <c r="AC358" s="139"/>
      <c r="AD358" s="139"/>
      <c r="AE358" s="139"/>
      <c r="AF358" s="139"/>
      <c r="AG358" s="139"/>
      <c r="AH358" s="139"/>
      <c r="AI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c r="AB359" s="139"/>
      <c r="AC359" s="139"/>
      <c r="AD359" s="139"/>
      <c r="AE359" s="139"/>
      <c r="AF359" s="139"/>
      <c r="AG359" s="139"/>
      <c r="AH359" s="139"/>
      <c r="AI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c r="AB361" s="139"/>
      <c r="AC361" s="139"/>
      <c r="AD361" s="139"/>
      <c r="AE361" s="139"/>
      <c r="AF361" s="139"/>
      <c r="AG361" s="139"/>
      <c r="AH361" s="139"/>
      <c r="AI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c r="AB362" s="139"/>
      <c r="AC362" s="139"/>
      <c r="AD362" s="139"/>
      <c r="AE362" s="139"/>
      <c r="AF362" s="139"/>
      <c r="AG362" s="139"/>
      <c r="AH362" s="139"/>
      <c r="AI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c r="AB363" s="139"/>
      <c r="AC363" s="139"/>
      <c r="AD363" s="139"/>
      <c r="AE363" s="139"/>
      <c r="AF363" s="139"/>
      <c r="AG363" s="139"/>
      <c r="AH363" s="139"/>
      <c r="AI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c r="AB364" s="139"/>
      <c r="AC364" s="139"/>
      <c r="AD364" s="139"/>
      <c r="AE364" s="139"/>
      <c r="AF364" s="139"/>
      <c r="AG364" s="139"/>
      <c r="AH364" s="139"/>
      <c r="AI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c r="AB365" s="139"/>
      <c r="AC365" s="139"/>
      <c r="AD365" s="139"/>
      <c r="AE365" s="139"/>
      <c r="AF365" s="139"/>
      <c r="AG365" s="139"/>
      <c r="AH365" s="139"/>
      <c r="AI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c r="AB366" s="139"/>
      <c r="AC366" s="139"/>
      <c r="AD366" s="139"/>
      <c r="AE366" s="139"/>
      <c r="AF366" s="139"/>
      <c r="AG366" s="139"/>
      <c r="AH366" s="139"/>
      <c r="AI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c r="AB367" s="139"/>
      <c r="AC367" s="139"/>
      <c r="AD367" s="139"/>
      <c r="AE367" s="139"/>
      <c r="AF367" s="139"/>
      <c r="AG367" s="139"/>
      <c r="AH367" s="139"/>
      <c r="AI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139"/>
      <c r="AC368" s="139"/>
      <c r="AD368" s="139"/>
      <c r="AE368" s="139"/>
      <c r="AF368" s="139"/>
      <c r="AG368" s="139"/>
      <c r="AH368" s="139"/>
      <c r="AI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c r="AB369" s="139"/>
      <c r="AC369" s="139"/>
      <c r="AD369" s="139"/>
      <c r="AE369" s="139"/>
      <c r="AF369" s="139"/>
      <c r="AG369" s="139"/>
      <c r="AH369" s="139"/>
      <c r="AI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c r="AB370" s="139"/>
      <c r="AC370" s="139"/>
      <c r="AD370" s="139"/>
      <c r="AE370" s="139"/>
      <c r="AF370" s="139"/>
      <c r="AG370" s="139"/>
      <c r="AH370" s="139"/>
      <c r="AI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c r="AB373" s="139"/>
      <c r="AC373" s="139"/>
      <c r="AD373" s="139"/>
      <c r="AE373" s="139"/>
      <c r="AF373" s="139"/>
      <c r="AG373" s="139"/>
      <c r="AH373" s="139"/>
      <c r="AI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c r="AB374" s="139"/>
      <c r="AC374" s="139"/>
      <c r="AD374" s="139"/>
      <c r="AE374" s="139"/>
      <c r="AF374" s="139"/>
      <c r="AG374" s="139"/>
      <c r="AH374" s="139"/>
      <c r="AI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c r="AB375" s="139"/>
      <c r="AC375" s="139"/>
      <c r="AD375" s="139"/>
      <c r="AE375" s="139"/>
      <c r="AF375" s="139"/>
      <c r="AG375" s="139"/>
      <c r="AH375" s="139"/>
      <c r="AI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c r="AB376" s="139"/>
      <c r="AC376" s="139"/>
      <c r="AD376" s="139"/>
      <c r="AE376" s="139"/>
      <c r="AF376" s="139"/>
      <c r="AG376" s="139"/>
      <c r="AH376" s="139"/>
      <c r="AI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c r="AH377" s="139"/>
      <c r="AI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c r="AB379" s="139"/>
      <c r="AC379" s="139"/>
      <c r="AD379" s="139"/>
      <c r="AE379" s="139"/>
      <c r="AF379" s="139"/>
      <c r="AG379" s="139"/>
      <c r="AH379" s="139"/>
      <c r="AI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39"/>
      <c r="AH382" s="139"/>
      <c r="AI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39"/>
      <c r="AH383" s="139"/>
      <c r="AI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c r="AB386" s="139"/>
      <c r="AC386" s="139"/>
      <c r="AD386" s="139"/>
      <c r="AE386" s="139"/>
      <c r="AF386" s="139"/>
      <c r="AG386" s="139"/>
      <c r="AH386" s="139"/>
      <c r="AI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c r="AB387" s="139"/>
      <c r="AC387" s="139"/>
      <c r="AD387" s="139"/>
      <c r="AE387" s="139"/>
      <c r="AF387" s="139"/>
      <c r="AG387" s="139"/>
      <c r="AH387" s="139"/>
      <c r="AI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c r="AB390" s="139"/>
      <c r="AC390" s="139"/>
      <c r="AD390" s="139"/>
      <c r="AE390" s="139"/>
      <c r="AF390" s="139"/>
      <c r="AG390" s="139"/>
      <c r="AH390" s="139"/>
      <c r="AI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c r="AH391" s="139"/>
      <c r="AI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c r="AH395" s="139"/>
      <c r="AI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c r="AB396" s="139"/>
      <c r="AC396" s="139"/>
      <c r="AD396" s="139"/>
      <c r="AE396" s="139"/>
      <c r="AF396" s="139"/>
      <c r="AG396" s="139"/>
      <c r="AH396" s="139"/>
      <c r="AI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c r="AB397" s="139"/>
      <c r="AC397" s="139"/>
      <c r="AD397" s="139"/>
      <c r="AE397" s="139"/>
      <c r="AF397" s="139"/>
      <c r="AG397" s="139"/>
      <c r="AH397" s="139"/>
      <c r="AI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c r="AB398" s="139"/>
      <c r="AC398" s="139"/>
      <c r="AD398" s="139"/>
      <c r="AE398" s="139"/>
      <c r="AF398" s="139"/>
      <c r="AG398" s="139"/>
      <c r="AH398" s="139"/>
      <c r="AI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c r="AB399" s="139"/>
      <c r="AC399" s="139"/>
      <c r="AD399" s="139"/>
      <c r="AE399" s="139"/>
      <c r="AF399" s="139"/>
      <c r="AG399" s="139"/>
      <c r="AH399" s="139"/>
      <c r="AI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c r="AB400" s="139"/>
      <c r="AC400" s="139"/>
      <c r="AD400" s="139"/>
      <c r="AE400" s="139"/>
      <c r="AF400" s="139"/>
      <c r="AG400" s="139"/>
      <c r="AH400" s="139"/>
      <c r="AI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139"/>
      <c r="AH401" s="139"/>
      <c r="AI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c r="AB402" s="139"/>
      <c r="AC402" s="139"/>
      <c r="AD402" s="139"/>
      <c r="AE402" s="139"/>
      <c r="AF402" s="139"/>
      <c r="AG402" s="139"/>
      <c r="AH402" s="139"/>
      <c r="AI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139"/>
      <c r="AH403" s="139"/>
      <c r="AI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c r="AH404" s="139"/>
      <c r="AI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c r="AH405" s="139"/>
      <c r="AI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c r="AB410" s="139"/>
      <c r="AC410" s="139"/>
      <c r="AD410" s="139"/>
      <c r="AE410" s="139"/>
      <c r="AF410" s="139"/>
      <c r="AG410" s="139"/>
      <c r="AH410" s="139"/>
      <c r="AI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c r="AB411" s="139"/>
      <c r="AC411" s="139"/>
      <c r="AD411" s="139"/>
      <c r="AE411" s="139"/>
      <c r="AF411" s="139"/>
      <c r="AG411" s="139"/>
      <c r="AH411" s="139"/>
      <c r="AI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c r="AB412" s="139"/>
      <c r="AC412" s="139"/>
      <c r="AD412" s="139"/>
      <c r="AE412" s="139"/>
      <c r="AF412" s="139"/>
      <c r="AG412" s="139"/>
      <c r="AH412" s="139"/>
      <c r="AI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c r="AB413" s="139"/>
      <c r="AC413" s="139"/>
      <c r="AD413" s="139"/>
      <c r="AE413" s="139"/>
      <c r="AF413" s="139"/>
      <c r="AG413" s="139"/>
      <c r="AH413" s="139"/>
      <c r="AI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39"/>
      <c r="AH414" s="139"/>
      <c r="AI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c r="AB423" s="139"/>
      <c r="AC423" s="139"/>
      <c r="AD423" s="139"/>
      <c r="AE423" s="139"/>
      <c r="AF423" s="139"/>
      <c r="AG423" s="139"/>
      <c r="AH423" s="139"/>
      <c r="AI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c r="AB424" s="139"/>
      <c r="AC424" s="139"/>
      <c r="AD424" s="139"/>
      <c r="AE424" s="139"/>
      <c r="AF424" s="139"/>
      <c r="AG424" s="139"/>
      <c r="AH424" s="139"/>
      <c r="AI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c r="AB425" s="139"/>
      <c r="AC425" s="139"/>
      <c r="AD425" s="139"/>
      <c r="AE425" s="139"/>
      <c r="AF425" s="139"/>
      <c r="AG425" s="139"/>
      <c r="AH425" s="139"/>
      <c r="AI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c r="AB426" s="139"/>
      <c r="AC426" s="139"/>
      <c r="AD426" s="139"/>
      <c r="AE426" s="139"/>
      <c r="AF426" s="139"/>
      <c r="AG426" s="139"/>
      <c r="AH426" s="139"/>
      <c r="AI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c r="AB429" s="139"/>
      <c r="AC429" s="139"/>
      <c r="AD429" s="139"/>
      <c r="AE429" s="139"/>
      <c r="AF429" s="139"/>
      <c r="AG429" s="139"/>
      <c r="AH429" s="139"/>
      <c r="AI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c r="AB430" s="139"/>
      <c r="AC430" s="139"/>
      <c r="AD430" s="139"/>
      <c r="AE430" s="139"/>
      <c r="AF430" s="139"/>
      <c r="AG430" s="139"/>
      <c r="AH430" s="139"/>
      <c r="AI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c r="AB431" s="139"/>
      <c r="AC431" s="139"/>
      <c r="AD431" s="139"/>
      <c r="AE431" s="139"/>
      <c r="AF431" s="139"/>
      <c r="AG431" s="139"/>
      <c r="AH431" s="139"/>
      <c r="AI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c r="AB432" s="139"/>
      <c r="AC432" s="139"/>
      <c r="AD432" s="139"/>
      <c r="AE432" s="139"/>
      <c r="AF432" s="139"/>
      <c r="AG432" s="139"/>
      <c r="AH432" s="139"/>
      <c r="AI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c r="AB433" s="139"/>
      <c r="AC433" s="139"/>
      <c r="AD433" s="139"/>
      <c r="AE433" s="139"/>
      <c r="AF433" s="139"/>
      <c r="AG433" s="139"/>
      <c r="AH433" s="139"/>
      <c r="AI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c r="AB434" s="139"/>
      <c r="AC434" s="139"/>
      <c r="AD434" s="139"/>
      <c r="AE434" s="139"/>
      <c r="AF434" s="139"/>
      <c r="AG434" s="139"/>
      <c r="AH434" s="139"/>
      <c r="AI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c r="AB436" s="139"/>
      <c r="AC436" s="139"/>
      <c r="AD436" s="139"/>
      <c r="AE436" s="139"/>
      <c r="AF436" s="139"/>
      <c r="AG436" s="139"/>
      <c r="AH436" s="139"/>
      <c r="AI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c r="AB437" s="139"/>
      <c r="AC437" s="139"/>
      <c r="AD437" s="139"/>
      <c r="AE437" s="139"/>
      <c r="AF437" s="139"/>
      <c r="AG437" s="139"/>
      <c r="AH437" s="139"/>
      <c r="AI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c r="AB438" s="139"/>
      <c r="AC438" s="139"/>
      <c r="AD438" s="139"/>
      <c r="AE438" s="139"/>
      <c r="AF438" s="139"/>
      <c r="AG438" s="139"/>
      <c r="AH438" s="139"/>
      <c r="AI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c r="AB439" s="139"/>
      <c r="AC439" s="139"/>
      <c r="AD439" s="139"/>
      <c r="AE439" s="139"/>
      <c r="AF439" s="139"/>
      <c r="AG439" s="139"/>
      <c r="AH439" s="139"/>
      <c r="AI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c r="AB440" s="139"/>
      <c r="AC440" s="139"/>
      <c r="AD440" s="139"/>
      <c r="AE440" s="139"/>
      <c r="AF440" s="139"/>
      <c r="AG440" s="139"/>
      <c r="AH440" s="139"/>
      <c r="AI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c r="AB442" s="139"/>
      <c r="AC442" s="139"/>
      <c r="AD442" s="139"/>
      <c r="AE442" s="139"/>
      <c r="AF442" s="139"/>
      <c r="AG442" s="139"/>
      <c r="AH442" s="139"/>
      <c r="AI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c r="AB443" s="139"/>
      <c r="AC443" s="139"/>
      <c r="AD443" s="139"/>
      <c r="AE443" s="139"/>
      <c r="AF443" s="139"/>
      <c r="AG443" s="139"/>
      <c r="AH443" s="139"/>
      <c r="AI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c r="AB444" s="139"/>
      <c r="AC444" s="139"/>
      <c r="AD444" s="139"/>
      <c r="AE444" s="139"/>
      <c r="AF444" s="139"/>
      <c r="AG444" s="139"/>
      <c r="AH444" s="139"/>
      <c r="AI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c r="AB445" s="139"/>
      <c r="AC445" s="139"/>
      <c r="AD445" s="139"/>
      <c r="AE445" s="139"/>
      <c r="AF445" s="139"/>
      <c r="AG445" s="139"/>
      <c r="AH445" s="139"/>
      <c r="AI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39"/>
      <c r="AH446" s="139"/>
      <c r="AI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c r="AB447" s="139"/>
      <c r="AC447" s="139"/>
      <c r="AD447" s="139"/>
      <c r="AE447" s="139"/>
      <c r="AF447" s="139"/>
      <c r="AG447" s="139"/>
      <c r="AH447" s="139"/>
      <c r="AI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c r="AB448" s="139"/>
      <c r="AC448" s="139"/>
      <c r="AD448" s="139"/>
      <c r="AE448" s="139"/>
      <c r="AF448" s="139"/>
      <c r="AG448" s="139"/>
      <c r="AH448" s="139"/>
      <c r="AI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c r="AB449" s="139"/>
      <c r="AC449" s="139"/>
      <c r="AD449" s="139"/>
      <c r="AE449" s="139"/>
      <c r="AF449" s="139"/>
      <c r="AG449" s="139"/>
      <c r="AH449" s="139"/>
      <c r="AI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c r="AB452" s="139"/>
      <c r="AC452" s="139"/>
      <c r="AD452" s="139"/>
      <c r="AE452" s="139"/>
      <c r="AF452" s="139"/>
      <c r="AG452" s="139"/>
      <c r="AH452" s="139"/>
      <c r="AI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c r="AB454" s="139"/>
      <c r="AC454" s="139"/>
      <c r="AD454" s="139"/>
      <c r="AE454" s="139"/>
      <c r="AF454" s="139"/>
      <c r="AG454" s="139"/>
      <c r="AH454" s="139"/>
      <c r="AI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c r="AB455" s="139"/>
      <c r="AC455" s="139"/>
      <c r="AD455" s="139"/>
      <c r="AE455" s="139"/>
      <c r="AF455" s="139"/>
      <c r="AG455" s="139"/>
      <c r="AH455" s="139"/>
      <c r="AI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c r="AB456" s="139"/>
      <c r="AC456" s="139"/>
      <c r="AD456" s="139"/>
      <c r="AE456" s="139"/>
      <c r="AF456" s="139"/>
      <c r="AG456" s="139"/>
      <c r="AH456" s="139"/>
      <c r="AI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c r="AB457" s="139"/>
      <c r="AC457" s="139"/>
      <c r="AD457" s="139"/>
      <c r="AE457" s="139"/>
      <c r="AF457" s="139"/>
      <c r="AG457" s="139"/>
      <c r="AH457" s="139"/>
      <c r="AI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c r="AB458" s="139"/>
      <c r="AC458" s="139"/>
      <c r="AD458" s="139"/>
      <c r="AE458" s="139"/>
      <c r="AF458" s="139"/>
      <c r="AG458" s="139"/>
      <c r="AH458" s="139"/>
      <c r="AI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c r="AB459" s="139"/>
      <c r="AC459" s="139"/>
      <c r="AD459" s="139"/>
      <c r="AE459" s="139"/>
      <c r="AF459" s="139"/>
      <c r="AG459" s="139"/>
      <c r="AH459" s="139"/>
      <c r="AI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39"/>
      <c r="AH460" s="139"/>
      <c r="AI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c r="AB461" s="139"/>
      <c r="AC461" s="139"/>
      <c r="AD461" s="139"/>
      <c r="AE461" s="139"/>
      <c r="AF461" s="139"/>
      <c r="AG461" s="139"/>
      <c r="AH461" s="139"/>
      <c r="AI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c r="AB462" s="139"/>
      <c r="AC462" s="139"/>
      <c r="AD462" s="139"/>
      <c r="AE462" s="139"/>
      <c r="AF462" s="139"/>
      <c r="AG462" s="139"/>
      <c r="AH462" s="139"/>
      <c r="AI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c r="AB463" s="139"/>
      <c r="AC463" s="139"/>
      <c r="AD463" s="139"/>
      <c r="AE463" s="139"/>
      <c r="AF463" s="139"/>
      <c r="AG463" s="139"/>
      <c r="AH463" s="139"/>
      <c r="AI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c r="AB464" s="139"/>
      <c r="AC464" s="139"/>
      <c r="AD464" s="139"/>
      <c r="AE464" s="139"/>
      <c r="AF464" s="139"/>
      <c r="AG464" s="139"/>
      <c r="AH464" s="139"/>
      <c r="AI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c r="AB465" s="139"/>
      <c r="AC465" s="139"/>
      <c r="AD465" s="139"/>
      <c r="AE465" s="139"/>
      <c r="AF465" s="139"/>
      <c r="AG465" s="139"/>
      <c r="AH465" s="139"/>
      <c r="AI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c r="AB466" s="139"/>
      <c r="AC466" s="139"/>
      <c r="AD466" s="139"/>
      <c r="AE466" s="139"/>
      <c r="AF466" s="139"/>
      <c r="AG466" s="139"/>
      <c r="AH466" s="139"/>
      <c r="AI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c r="AB467" s="139"/>
      <c r="AC467" s="139"/>
      <c r="AD467" s="139"/>
      <c r="AE467" s="139"/>
      <c r="AF467" s="139"/>
      <c r="AG467" s="139"/>
      <c r="AH467" s="139"/>
      <c r="AI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c r="AB468" s="139"/>
      <c r="AC468" s="139"/>
      <c r="AD468" s="139"/>
      <c r="AE468" s="139"/>
      <c r="AF468" s="139"/>
      <c r="AG468" s="139"/>
      <c r="AH468" s="139"/>
      <c r="AI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c r="AB469" s="139"/>
      <c r="AC469" s="139"/>
      <c r="AD469" s="139"/>
      <c r="AE469" s="139"/>
      <c r="AF469" s="139"/>
      <c r="AG469" s="139"/>
      <c r="AH469" s="139"/>
      <c r="AI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c r="AB470" s="139"/>
      <c r="AC470" s="139"/>
      <c r="AD470" s="139"/>
      <c r="AE470" s="139"/>
      <c r="AF470" s="139"/>
      <c r="AG470" s="139"/>
      <c r="AH470" s="139"/>
      <c r="AI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c r="AB471" s="139"/>
      <c r="AC471" s="139"/>
      <c r="AD471" s="139"/>
      <c r="AE471" s="139"/>
      <c r="AF471" s="139"/>
      <c r="AG471" s="139"/>
      <c r="AH471" s="139"/>
      <c r="AI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c r="AB472" s="139"/>
      <c r="AC472" s="139"/>
      <c r="AD472" s="139"/>
      <c r="AE472" s="139"/>
      <c r="AF472" s="139"/>
      <c r="AG472" s="139"/>
      <c r="AH472" s="139"/>
      <c r="AI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c r="AB473" s="139"/>
      <c r="AC473" s="139"/>
      <c r="AD473" s="139"/>
      <c r="AE473" s="139"/>
      <c r="AF473" s="139"/>
      <c r="AG473" s="139"/>
      <c r="AH473" s="139"/>
      <c r="AI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c r="AB474" s="139"/>
      <c r="AC474" s="139"/>
      <c r="AD474" s="139"/>
      <c r="AE474" s="139"/>
      <c r="AF474" s="139"/>
      <c r="AG474" s="139"/>
      <c r="AH474" s="139"/>
      <c r="AI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c r="AB475" s="139"/>
      <c r="AC475" s="139"/>
      <c r="AD475" s="139"/>
      <c r="AE475" s="139"/>
      <c r="AF475" s="139"/>
      <c r="AG475" s="139"/>
      <c r="AH475" s="139"/>
      <c r="AI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c r="AB476" s="139"/>
      <c r="AC476" s="139"/>
      <c r="AD476" s="139"/>
      <c r="AE476" s="139"/>
      <c r="AF476" s="139"/>
      <c r="AG476" s="139"/>
      <c r="AH476" s="139"/>
      <c r="AI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c r="AB478" s="139"/>
      <c r="AC478" s="139"/>
      <c r="AD478" s="139"/>
      <c r="AE478" s="139"/>
      <c r="AF478" s="139"/>
      <c r="AG478" s="139"/>
      <c r="AH478" s="139"/>
      <c r="AI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c r="AB479" s="139"/>
      <c r="AC479" s="139"/>
      <c r="AD479" s="139"/>
      <c r="AE479" s="139"/>
      <c r="AF479" s="139"/>
      <c r="AG479" s="139"/>
      <c r="AH479" s="139"/>
      <c r="AI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c r="AB480" s="139"/>
      <c r="AC480" s="139"/>
      <c r="AD480" s="139"/>
      <c r="AE480" s="139"/>
      <c r="AF480" s="139"/>
      <c r="AG480" s="139"/>
      <c r="AH480" s="139"/>
      <c r="AI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c r="AB481" s="139"/>
      <c r="AC481" s="139"/>
      <c r="AD481" s="139"/>
      <c r="AE481" s="139"/>
      <c r="AF481" s="139"/>
      <c r="AG481" s="139"/>
      <c r="AH481" s="139"/>
      <c r="AI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c r="AB482" s="139"/>
      <c r="AC482" s="139"/>
      <c r="AD482" s="139"/>
      <c r="AE482" s="139"/>
      <c r="AF482" s="139"/>
      <c r="AG482" s="139"/>
      <c r="AH482" s="139"/>
      <c r="AI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c r="AB483" s="139"/>
      <c r="AC483" s="139"/>
      <c r="AD483" s="139"/>
      <c r="AE483" s="139"/>
      <c r="AF483" s="139"/>
      <c r="AG483" s="139"/>
      <c r="AH483" s="139"/>
      <c r="AI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c r="AB484" s="139"/>
      <c r="AC484" s="139"/>
      <c r="AD484" s="139"/>
      <c r="AE484" s="139"/>
      <c r="AF484" s="139"/>
      <c r="AG484" s="139"/>
      <c r="AH484" s="139"/>
      <c r="AI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c r="AB485" s="139"/>
      <c r="AC485" s="139"/>
      <c r="AD485" s="139"/>
      <c r="AE485" s="139"/>
      <c r="AF485" s="139"/>
      <c r="AG485" s="139"/>
      <c r="AH485" s="139"/>
      <c r="AI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c r="AB486" s="139"/>
      <c r="AC486" s="139"/>
      <c r="AD486" s="139"/>
      <c r="AE486" s="139"/>
      <c r="AF486" s="139"/>
      <c r="AG486" s="139"/>
      <c r="AH486" s="139"/>
      <c r="AI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c r="AB487" s="139"/>
      <c r="AC487" s="139"/>
      <c r="AD487" s="139"/>
      <c r="AE487" s="139"/>
      <c r="AF487" s="139"/>
      <c r="AG487" s="139"/>
      <c r="AH487" s="139"/>
      <c r="AI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c r="AB488" s="139"/>
      <c r="AC488" s="139"/>
      <c r="AD488" s="139"/>
      <c r="AE488" s="139"/>
      <c r="AF488" s="139"/>
      <c r="AG488" s="139"/>
      <c r="AH488" s="139"/>
      <c r="AI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c r="AB489" s="139"/>
      <c r="AC489" s="139"/>
      <c r="AD489" s="139"/>
      <c r="AE489" s="139"/>
      <c r="AF489" s="139"/>
      <c r="AG489" s="139"/>
      <c r="AH489" s="139"/>
      <c r="AI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c r="AB490" s="139"/>
      <c r="AC490" s="139"/>
      <c r="AD490" s="139"/>
      <c r="AE490" s="139"/>
      <c r="AF490" s="139"/>
      <c r="AG490" s="139"/>
      <c r="AH490" s="139"/>
      <c r="AI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c r="AB491" s="139"/>
      <c r="AC491" s="139"/>
      <c r="AD491" s="139"/>
      <c r="AE491" s="139"/>
      <c r="AF491" s="139"/>
      <c r="AG491" s="139"/>
      <c r="AH491" s="139"/>
      <c r="AI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c r="AB492" s="139"/>
      <c r="AC492" s="139"/>
      <c r="AD492" s="139"/>
      <c r="AE492" s="139"/>
      <c r="AF492" s="139"/>
      <c r="AG492" s="139"/>
      <c r="AH492" s="139"/>
      <c r="AI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c r="AB493" s="139"/>
      <c r="AC493" s="139"/>
      <c r="AD493" s="139"/>
      <c r="AE493" s="139"/>
      <c r="AF493" s="139"/>
      <c r="AG493" s="139"/>
      <c r="AH493" s="139"/>
      <c r="AI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c r="AB494" s="139"/>
      <c r="AC494" s="139"/>
      <c r="AD494" s="139"/>
      <c r="AE494" s="139"/>
      <c r="AF494" s="139"/>
      <c r="AG494" s="139"/>
      <c r="AH494" s="139"/>
      <c r="AI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c r="AB495" s="139"/>
      <c r="AC495" s="139"/>
      <c r="AD495" s="139"/>
      <c r="AE495" s="139"/>
      <c r="AF495" s="139"/>
      <c r="AG495" s="139"/>
      <c r="AH495" s="139"/>
      <c r="AI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c r="AB496" s="139"/>
      <c r="AC496" s="139"/>
      <c r="AD496" s="139"/>
      <c r="AE496" s="139"/>
      <c r="AF496" s="139"/>
      <c r="AG496" s="139"/>
      <c r="AH496" s="139"/>
      <c r="AI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39"/>
      <c r="AH497" s="139"/>
      <c r="AI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39"/>
      <c r="AH498" s="139"/>
      <c r="AI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c r="AB499" s="139"/>
      <c r="AC499" s="139"/>
      <c r="AD499" s="139"/>
      <c r="AE499" s="139"/>
      <c r="AF499" s="139"/>
      <c r="AG499" s="139"/>
      <c r="AH499" s="139"/>
      <c r="AI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c r="AB500" s="139"/>
      <c r="AC500" s="139"/>
      <c r="AD500" s="139"/>
      <c r="AE500" s="139"/>
      <c r="AF500" s="139"/>
      <c r="AG500" s="139"/>
      <c r="AH500" s="139"/>
      <c r="AI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c r="AB501" s="139"/>
      <c r="AC501" s="139"/>
      <c r="AD501" s="139"/>
      <c r="AE501" s="139"/>
      <c r="AF501" s="139"/>
      <c r="AG501" s="139"/>
      <c r="AH501" s="139"/>
      <c r="AI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c r="AB502" s="139"/>
      <c r="AC502" s="139"/>
      <c r="AD502" s="139"/>
      <c r="AE502" s="139"/>
      <c r="AF502" s="139"/>
      <c r="AG502" s="139"/>
      <c r="AH502" s="139"/>
      <c r="AI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c r="AB503" s="139"/>
      <c r="AC503" s="139"/>
      <c r="AD503" s="139"/>
      <c r="AE503" s="139"/>
      <c r="AF503" s="139"/>
      <c r="AG503" s="139"/>
      <c r="AH503" s="139"/>
      <c r="AI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c r="AB504" s="139"/>
      <c r="AC504" s="139"/>
      <c r="AD504" s="139"/>
      <c r="AE504" s="139"/>
      <c r="AF504" s="139"/>
      <c r="AG504" s="139"/>
      <c r="AH504" s="139"/>
      <c r="AI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c r="AB505" s="139"/>
      <c r="AC505" s="139"/>
      <c r="AD505" s="139"/>
      <c r="AE505" s="139"/>
      <c r="AF505" s="139"/>
      <c r="AG505" s="139"/>
      <c r="AH505" s="139"/>
      <c r="AI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c r="AB506" s="139"/>
      <c r="AC506" s="139"/>
      <c r="AD506" s="139"/>
      <c r="AE506" s="139"/>
      <c r="AF506" s="139"/>
      <c r="AG506" s="139"/>
      <c r="AH506" s="139"/>
      <c r="AI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c r="AB507" s="139"/>
      <c r="AC507" s="139"/>
      <c r="AD507" s="139"/>
      <c r="AE507" s="139"/>
      <c r="AF507" s="139"/>
      <c r="AG507" s="139"/>
      <c r="AH507" s="139"/>
      <c r="AI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c r="AB508" s="139"/>
      <c r="AC508" s="139"/>
      <c r="AD508" s="139"/>
      <c r="AE508" s="139"/>
      <c r="AF508" s="139"/>
      <c r="AG508" s="139"/>
      <c r="AH508" s="139"/>
      <c r="AI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c r="AB509" s="139"/>
      <c r="AC509" s="139"/>
      <c r="AD509" s="139"/>
      <c r="AE509" s="139"/>
      <c r="AF509" s="139"/>
      <c r="AG509" s="139"/>
      <c r="AH509" s="139"/>
      <c r="AI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c r="AB510" s="139"/>
      <c r="AC510" s="139"/>
      <c r="AD510" s="139"/>
      <c r="AE510" s="139"/>
      <c r="AF510" s="139"/>
      <c r="AG510" s="139"/>
      <c r="AH510" s="139"/>
      <c r="AI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c r="AB511" s="139"/>
      <c r="AC511" s="139"/>
      <c r="AD511" s="139"/>
      <c r="AE511" s="139"/>
      <c r="AF511" s="139"/>
      <c r="AG511" s="139"/>
      <c r="AH511" s="139"/>
      <c r="AI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c r="AB512" s="139"/>
      <c r="AC512" s="139"/>
      <c r="AD512" s="139"/>
      <c r="AE512" s="139"/>
      <c r="AF512" s="139"/>
      <c r="AG512" s="139"/>
      <c r="AH512" s="139"/>
      <c r="AI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c r="AB513" s="139"/>
      <c r="AC513" s="139"/>
      <c r="AD513" s="139"/>
      <c r="AE513" s="139"/>
      <c r="AF513" s="139"/>
      <c r="AG513" s="139"/>
      <c r="AH513" s="139"/>
      <c r="AI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c r="AB514" s="139"/>
      <c r="AC514" s="139"/>
      <c r="AD514" s="139"/>
      <c r="AE514" s="139"/>
      <c r="AF514" s="139"/>
      <c r="AG514" s="139"/>
      <c r="AH514" s="139"/>
      <c r="AI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c r="AB515" s="139"/>
      <c r="AC515" s="139"/>
      <c r="AD515" s="139"/>
      <c r="AE515" s="139"/>
      <c r="AF515" s="139"/>
      <c r="AG515" s="139"/>
      <c r="AH515" s="139"/>
      <c r="AI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c r="AB516" s="139"/>
      <c r="AC516" s="139"/>
      <c r="AD516" s="139"/>
      <c r="AE516" s="139"/>
      <c r="AF516" s="139"/>
      <c r="AG516" s="139"/>
      <c r="AH516" s="139"/>
      <c r="AI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c r="AB518" s="139"/>
      <c r="AC518" s="139"/>
      <c r="AD518" s="139"/>
      <c r="AE518" s="139"/>
      <c r="AF518" s="139"/>
      <c r="AG518" s="139"/>
      <c r="AH518" s="139"/>
      <c r="AI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c r="AB519" s="139"/>
      <c r="AC519" s="139"/>
      <c r="AD519" s="139"/>
      <c r="AE519" s="139"/>
      <c r="AF519" s="139"/>
      <c r="AG519" s="139"/>
      <c r="AH519" s="139"/>
      <c r="AI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c r="AB520" s="139"/>
      <c r="AC520" s="139"/>
      <c r="AD520" s="139"/>
      <c r="AE520" s="139"/>
      <c r="AF520" s="139"/>
      <c r="AG520" s="139"/>
      <c r="AH520" s="139"/>
      <c r="AI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c r="AB521" s="139"/>
      <c r="AC521" s="139"/>
      <c r="AD521" s="139"/>
      <c r="AE521" s="139"/>
      <c r="AF521" s="139"/>
      <c r="AG521" s="139"/>
      <c r="AH521" s="139"/>
      <c r="AI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c r="AB522" s="139"/>
      <c r="AC522" s="139"/>
      <c r="AD522" s="139"/>
      <c r="AE522" s="139"/>
      <c r="AF522" s="139"/>
      <c r="AG522" s="139"/>
      <c r="AH522" s="139"/>
      <c r="AI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c r="AB524" s="139"/>
      <c r="AC524" s="139"/>
      <c r="AD524" s="139"/>
      <c r="AE524" s="139"/>
      <c r="AF524" s="139"/>
      <c r="AG524" s="139"/>
      <c r="AH524" s="139"/>
      <c r="AI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c r="AB525" s="139"/>
      <c r="AC525" s="139"/>
      <c r="AD525" s="139"/>
      <c r="AE525" s="139"/>
      <c r="AF525" s="139"/>
      <c r="AG525" s="139"/>
      <c r="AH525" s="139"/>
      <c r="AI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c r="AB526" s="139"/>
      <c r="AC526" s="139"/>
      <c r="AD526" s="139"/>
      <c r="AE526" s="139"/>
      <c r="AF526" s="139"/>
      <c r="AG526" s="139"/>
      <c r="AH526" s="139"/>
      <c r="AI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c r="AB527" s="139"/>
      <c r="AC527" s="139"/>
      <c r="AD527" s="139"/>
      <c r="AE527" s="139"/>
      <c r="AF527" s="139"/>
      <c r="AG527" s="139"/>
      <c r="AH527" s="139"/>
      <c r="AI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139"/>
      <c r="AH528" s="139"/>
      <c r="AI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c r="AB529" s="139"/>
      <c r="AC529" s="139"/>
      <c r="AD529" s="139"/>
      <c r="AE529" s="139"/>
      <c r="AF529" s="139"/>
      <c r="AG529" s="139"/>
      <c r="AH529" s="139"/>
      <c r="AI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c r="AB530" s="139"/>
      <c r="AC530" s="139"/>
      <c r="AD530" s="139"/>
      <c r="AE530" s="139"/>
      <c r="AF530" s="139"/>
      <c r="AG530" s="139"/>
      <c r="AH530" s="139"/>
      <c r="AI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c r="AB531" s="139"/>
      <c r="AC531" s="139"/>
      <c r="AD531" s="139"/>
      <c r="AE531" s="139"/>
      <c r="AF531" s="139"/>
      <c r="AG531" s="139"/>
      <c r="AH531" s="139"/>
      <c r="AI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c r="AB532" s="139"/>
      <c r="AC532" s="139"/>
      <c r="AD532" s="139"/>
      <c r="AE532" s="139"/>
      <c r="AF532" s="139"/>
      <c r="AG532" s="139"/>
      <c r="AH532" s="139"/>
      <c r="AI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c r="AB533" s="139"/>
      <c r="AC533" s="139"/>
      <c r="AD533" s="139"/>
      <c r="AE533" s="139"/>
      <c r="AF533" s="139"/>
      <c r="AG533" s="139"/>
      <c r="AH533" s="139"/>
      <c r="AI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c r="AB534" s="139"/>
      <c r="AC534" s="139"/>
      <c r="AD534" s="139"/>
      <c r="AE534" s="139"/>
      <c r="AF534" s="139"/>
      <c r="AG534" s="139"/>
      <c r="AH534" s="139"/>
      <c r="AI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c r="AB535" s="139"/>
      <c r="AC535" s="139"/>
      <c r="AD535" s="139"/>
      <c r="AE535" s="139"/>
      <c r="AF535" s="139"/>
      <c r="AG535" s="139"/>
      <c r="AH535" s="139"/>
      <c r="AI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39"/>
      <c r="AH536" s="139"/>
      <c r="AI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c r="AB537" s="139"/>
      <c r="AC537" s="139"/>
      <c r="AD537" s="139"/>
      <c r="AE537" s="139"/>
      <c r="AF537" s="139"/>
      <c r="AG537" s="139"/>
      <c r="AH537" s="139"/>
      <c r="AI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c r="AB538" s="139"/>
      <c r="AC538" s="139"/>
      <c r="AD538" s="139"/>
      <c r="AE538" s="139"/>
      <c r="AF538" s="139"/>
      <c r="AG538" s="139"/>
      <c r="AH538" s="139"/>
      <c r="AI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c r="AB539" s="139"/>
      <c r="AC539" s="139"/>
      <c r="AD539" s="139"/>
      <c r="AE539" s="139"/>
      <c r="AF539" s="139"/>
      <c r="AG539" s="139"/>
      <c r="AH539" s="139"/>
      <c r="AI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c r="AB549" s="139"/>
      <c r="AC549" s="139"/>
      <c r="AD549" s="139"/>
      <c r="AE549" s="139"/>
      <c r="AF549" s="139"/>
      <c r="AG549" s="139"/>
      <c r="AH549" s="139"/>
      <c r="AI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39"/>
      <c r="AH550" s="139"/>
      <c r="AI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c r="AB551" s="139"/>
      <c r="AC551" s="139"/>
      <c r="AD551" s="139"/>
      <c r="AE551" s="139"/>
      <c r="AF551" s="139"/>
      <c r="AG551" s="139"/>
      <c r="AH551" s="139"/>
      <c r="AI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c r="AB552" s="139"/>
      <c r="AC552" s="139"/>
      <c r="AD552" s="139"/>
      <c r="AE552" s="139"/>
      <c r="AF552" s="139"/>
      <c r="AG552" s="139"/>
      <c r="AH552" s="139"/>
      <c r="AI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c r="AB553" s="139"/>
      <c r="AC553" s="139"/>
      <c r="AD553" s="139"/>
      <c r="AE553" s="139"/>
      <c r="AF553" s="139"/>
      <c r="AG553" s="139"/>
      <c r="AH553" s="139"/>
      <c r="AI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c r="AB554" s="139"/>
      <c r="AC554" s="139"/>
      <c r="AD554" s="139"/>
      <c r="AE554" s="139"/>
      <c r="AF554" s="139"/>
      <c r="AG554" s="139"/>
      <c r="AH554" s="139"/>
      <c r="AI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c r="AB555" s="139"/>
      <c r="AC555" s="139"/>
      <c r="AD555" s="139"/>
      <c r="AE555" s="139"/>
      <c r="AF555" s="139"/>
      <c r="AG555" s="139"/>
      <c r="AH555" s="139"/>
      <c r="AI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c r="AB556" s="139"/>
      <c r="AC556" s="139"/>
      <c r="AD556" s="139"/>
      <c r="AE556" s="139"/>
      <c r="AF556" s="139"/>
      <c r="AG556" s="139"/>
      <c r="AH556" s="139"/>
      <c r="AI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c r="AB557" s="139"/>
      <c r="AC557" s="139"/>
      <c r="AD557" s="139"/>
      <c r="AE557" s="139"/>
      <c r="AF557" s="139"/>
      <c r="AG557" s="139"/>
      <c r="AH557" s="139"/>
      <c r="AI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c r="AB558" s="139"/>
      <c r="AC558" s="139"/>
      <c r="AD558" s="139"/>
      <c r="AE558" s="139"/>
      <c r="AF558" s="139"/>
      <c r="AG558" s="139"/>
      <c r="AH558" s="139"/>
      <c r="AI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c r="AB559" s="139"/>
      <c r="AC559" s="139"/>
      <c r="AD559" s="139"/>
      <c r="AE559" s="139"/>
      <c r="AF559" s="139"/>
      <c r="AG559" s="139"/>
      <c r="AH559" s="139"/>
      <c r="AI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c r="AB560" s="139"/>
      <c r="AC560" s="139"/>
      <c r="AD560" s="139"/>
      <c r="AE560" s="139"/>
      <c r="AF560" s="139"/>
      <c r="AG560" s="139"/>
      <c r="AH560" s="139"/>
      <c r="AI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c r="AB561" s="139"/>
      <c r="AC561" s="139"/>
      <c r="AD561" s="139"/>
      <c r="AE561" s="139"/>
      <c r="AF561" s="139"/>
      <c r="AG561" s="139"/>
      <c r="AH561" s="139"/>
      <c r="AI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c r="AB562" s="139"/>
      <c r="AC562" s="139"/>
      <c r="AD562" s="139"/>
      <c r="AE562" s="139"/>
      <c r="AF562" s="139"/>
      <c r="AG562" s="139"/>
      <c r="AH562" s="139"/>
      <c r="AI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c r="AB563" s="139"/>
      <c r="AC563" s="139"/>
      <c r="AD563" s="139"/>
      <c r="AE563" s="139"/>
      <c r="AF563" s="139"/>
      <c r="AG563" s="139"/>
      <c r="AH563" s="139"/>
      <c r="AI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c r="AB564" s="139"/>
      <c r="AC564" s="139"/>
      <c r="AD564" s="139"/>
      <c r="AE564" s="139"/>
      <c r="AF564" s="139"/>
      <c r="AG564" s="139"/>
      <c r="AH564" s="139"/>
      <c r="AI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c r="AB565" s="139"/>
      <c r="AC565" s="139"/>
      <c r="AD565" s="139"/>
      <c r="AE565" s="139"/>
      <c r="AF565" s="139"/>
      <c r="AG565" s="139"/>
      <c r="AH565" s="139"/>
      <c r="AI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c r="AB566" s="139"/>
      <c r="AC566" s="139"/>
      <c r="AD566" s="139"/>
      <c r="AE566" s="139"/>
      <c r="AF566" s="139"/>
      <c r="AG566" s="139"/>
      <c r="AH566" s="139"/>
      <c r="AI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c r="AB567" s="139"/>
      <c r="AC567" s="139"/>
      <c r="AD567" s="139"/>
      <c r="AE567" s="139"/>
      <c r="AF567" s="139"/>
      <c r="AG567" s="139"/>
      <c r="AH567" s="139"/>
      <c r="AI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c r="AB568" s="139"/>
      <c r="AC568" s="139"/>
      <c r="AD568" s="139"/>
      <c r="AE568" s="139"/>
      <c r="AF568" s="139"/>
      <c r="AG568" s="139"/>
      <c r="AH568" s="139"/>
      <c r="AI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c r="AB569" s="139"/>
      <c r="AC569" s="139"/>
      <c r="AD569" s="139"/>
      <c r="AE569" s="139"/>
      <c r="AF569" s="139"/>
      <c r="AG569" s="139"/>
      <c r="AH569" s="139"/>
      <c r="AI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c r="AB570" s="139"/>
      <c r="AC570" s="139"/>
      <c r="AD570" s="139"/>
      <c r="AE570" s="139"/>
      <c r="AF570" s="139"/>
      <c r="AG570" s="139"/>
      <c r="AH570" s="139"/>
      <c r="AI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c r="AB571" s="139"/>
      <c r="AC571" s="139"/>
      <c r="AD571" s="139"/>
      <c r="AE571" s="139"/>
      <c r="AF571" s="139"/>
      <c r="AG571" s="139"/>
      <c r="AH571" s="139"/>
      <c r="AI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c r="AB572" s="139"/>
      <c r="AC572" s="139"/>
      <c r="AD572" s="139"/>
      <c r="AE572" s="139"/>
      <c r="AF572" s="139"/>
      <c r="AG572" s="139"/>
      <c r="AH572" s="139"/>
      <c r="AI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c r="AB573" s="139"/>
      <c r="AC573" s="139"/>
      <c r="AD573" s="139"/>
      <c r="AE573" s="139"/>
      <c r="AF573" s="139"/>
      <c r="AG573" s="139"/>
      <c r="AH573" s="139"/>
      <c r="AI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c r="AB574" s="139"/>
      <c r="AC574" s="139"/>
      <c r="AD574" s="139"/>
      <c r="AE574" s="139"/>
      <c r="AF574" s="139"/>
      <c r="AG574" s="139"/>
      <c r="AH574" s="139"/>
      <c r="AI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c r="AB575" s="139"/>
      <c r="AC575" s="139"/>
      <c r="AD575" s="139"/>
      <c r="AE575" s="139"/>
      <c r="AF575" s="139"/>
      <c r="AG575" s="139"/>
      <c r="AH575" s="139"/>
      <c r="AI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c r="AB576" s="139"/>
      <c r="AC576" s="139"/>
      <c r="AD576" s="139"/>
      <c r="AE576" s="139"/>
      <c r="AF576" s="139"/>
      <c r="AG576" s="139"/>
      <c r="AH576" s="139"/>
      <c r="AI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c r="AB577" s="139"/>
      <c r="AC577" s="139"/>
      <c r="AD577" s="139"/>
      <c r="AE577" s="139"/>
      <c r="AF577" s="139"/>
      <c r="AG577" s="139"/>
      <c r="AH577" s="139"/>
      <c r="AI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c r="AB578" s="139"/>
      <c r="AC578" s="139"/>
      <c r="AD578" s="139"/>
      <c r="AE578" s="139"/>
      <c r="AF578" s="139"/>
      <c r="AG578" s="139"/>
      <c r="AH578" s="139"/>
      <c r="AI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c r="AB579" s="139"/>
      <c r="AC579" s="139"/>
      <c r="AD579" s="139"/>
      <c r="AE579" s="139"/>
      <c r="AF579" s="139"/>
      <c r="AG579" s="139"/>
      <c r="AH579" s="139"/>
      <c r="AI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c r="AB580" s="139"/>
      <c r="AC580" s="139"/>
      <c r="AD580" s="139"/>
      <c r="AE580" s="139"/>
      <c r="AF580" s="139"/>
      <c r="AG580" s="139"/>
      <c r="AH580" s="139"/>
      <c r="AI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c r="AB581" s="139"/>
      <c r="AC581" s="139"/>
      <c r="AD581" s="139"/>
      <c r="AE581" s="139"/>
      <c r="AF581" s="139"/>
      <c r="AG581" s="139"/>
      <c r="AH581" s="139"/>
      <c r="AI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c r="AB582" s="139"/>
      <c r="AC582" s="139"/>
      <c r="AD582" s="139"/>
      <c r="AE582" s="139"/>
      <c r="AF582" s="139"/>
      <c r="AG582" s="139"/>
      <c r="AH582" s="139"/>
      <c r="AI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c r="AB583" s="139"/>
      <c r="AC583" s="139"/>
      <c r="AD583" s="139"/>
      <c r="AE583" s="139"/>
      <c r="AF583" s="139"/>
      <c r="AG583" s="139"/>
      <c r="AH583" s="139"/>
      <c r="AI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c r="AB584" s="139"/>
      <c r="AC584" s="139"/>
      <c r="AD584" s="139"/>
      <c r="AE584" s="139"/>
      <c r="AF584" s="139"/>
      <c r="AG584" s="139"/>
      <c r="AH584" s="139"/>
      <c r="AI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c r="AB585" s="139"/>
      <c r="AC585" s="139"/>
      <c r="AD585" s="139"/>
      <c r="AE585" s="139"/>
      <c r="AF585" s="139"/>
      <c r="AG585" s="139"/>
      <c r="AH585" s="139"/>
      <c r="AI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c r="AB586" s="139"/>
      <c r="AC586" s="139"/>
      <c r="AD586" s="139"/>
      <c r="AE586" s="139"/>
      <c r="AF586" s="139"/>
      <c r="AG586" s="139"/>
      <c r="AH586" s="139"/>
      <c r="AI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c r="AB587" s="139"/>
      <c r="AC587" s="139"/>
      <c r="AD587" s="139"/>
      <c r="AE587" s="139"/>
      <c r="AF587" s="139"/>
      <c r="AG587" s="139"/>
      <c r="AH587" s="139"/>
      <c r="AI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c r="AB588" s="139"/>
      <c r="AC588" s="139"/>
      <c r="AD588" s="139"/>
      <c r="AE588" s="139"/>
      <c r="AF588" s="139"/>
      <c r="AG588" s="139"/>
      <c r="AH588" s="139"/>
      <c r="AI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c r="AB589" s="139"/>
      <c r="AC589" s="139"/>
      <c r="AD589" s="139"/>
      <c r="AE589" s="139"/>
      <c r="AF589" s="139"/>
      <c r="AG589" s="139"/>
      <c r="AH589" s="139"/>
      <c r="AI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c r="AB590" s="139"/>
      <c r="AC590" s="139"/>
      <c r="AD590" s="139"/>
      <c r="AE590" s="139"/>
      <c r="AF590" s="139"/>
      <c r="AG590" s="139"/>
      <c r="AH590" s="139"/>
      <c r="AI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c r="AB591" s="139"/>
      <c r="AC591" s="139"/>
      <c r="AD591" s="139"/>
      <c r="AE591" s="139"/>
      <c r="AF591" s="139"/>
      <c r="AG591" s="139"/>
      <c r="AH591" s="139"/>
      <c r="AI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39"/>
      <c r="AH592" s="139"/>
      <c r="AI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c r="AB593" s="139"/>
      <c r="AC593" s="139"/>
      <c r="AD593" s="139"/>
      <c r="AE593" s="139"/>
      <c r="AF593" s="139"/>
      <c r="AG593" s="139"/>
      <c r="AH593" s="139"/>
      <c r="AI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c r="AB594" s="139"/>
      <c r="AC594" s="139"/>
      <c r="AD594" s="139"/>
      <c r="AE594" s="139"/>
      <c r="AF594" s="139"/>
      <c r="AG594" s="139"/>
      <c r="AH594" s="139"/>
      <c r="AI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c r="AB595" s="139"/>
      <c r="AC595" s="139"/>
      <c r="AD595" s="139"/>
      <c r="AE595" s="139"/>
      <c r="AF595" s="139"/>
      <c r="AG595" s="139"/>
      <c r="AH595" s="139"/>
      <c r="AI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c r="AB596" s="139"/>
      <c r="AC596" s="139"/>
      <c r="AD596" s="139"/>
      <c r="AE596" s="139"/>
      <c r="AF596" s="139"/>
      <c r="AG596" s="139"/>
      <c r="AH596" s="139"/>
      <c r="AI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c r="AB597" s="139"/>
      <c r="AC597" s="139"/>
      <c r="AD597" s="139"/>
      <c r="AE597" s="139"/>
      <c r="AF597" s="139"/>
      <c r="AG597" s="139"/>
      <c r="AH597" s="139"/>
      <c r="AI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c r="AB598" s="139"/>
      <c r="AC598" s="139"/>
      <c r="AD598" s="139"/>
      <c r="AE598" s="139"/>
      <c r="AF598" s="139"/>
      <c r="AG598" s="139"/>
      <c r="AH598" s="139"/>
      <c r="AI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c r="AB599" s="139"/>
      <c r="AC599" s="139"/>
      <c r="AD599" s="139"/>
      <c r="AE599" s="139"/>
      <c r="AF599" s="139"/>
      <c r="AG599" s="139"/>
      <c r="AH599" s="139"/>
      <c r="AI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c r="AB600" s="139"/>
      <c r="AC600" s="139"/>
      <c r="AD600" s="139"/>
      <c r="AE600" s="139"/>
      <c r="AF600" s="139"/>
      <c r="AG600" s="139"/>
      <c r="AH600" s="139"/>
      <c r="AI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c r="AB601" s="139"/>
      <c r="AC601" s="139"/>
      <c r="AD601" s="139"/>
      <c r="AE601" s="139"/>
      <c r="AF601" s="139"/>
      <c r="AG601" s="139"/>
      <c r="AH601" s="139"/>
      <c r="AI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c r="AB602" s="139"/>
      <c r="AC602" s="139"/>
      <c r="AD602" s="139"/>
      <c r="AE602" s="139"/>
      <c r="AF602" s="139"/>
      <c r="AG602" s="139"/>
      <c r="AH602" s="139"/>
      <c r="AI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c r="AB603" s="139"/>
      <c r="AC603" s="139"/>
      <c r="AD603" s="139"/>
      <c r="AE603" s="139"/>
      <c r="AF603" s="139"/>
      <c r="AG603" s="139"/>
      <c r="AH603" s="139"/>
      <c r="AI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c r="AB604" s="139"/>
      <c r="AC604" s="139"/>
      <c r="AD604" s="139"/>
      <c r="AE604" s="139"/>
      <c r="AF604" s="139"/>
      <c r="AG604" s="139"/>
      <c r="AH604" s="139"/>
      <c r="AI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c r="AB605" s="139"/>
      <c r="AC605" s="139"/>
      <c r="AD605" s="139"/>
      <c r="AE605" s="139"/>
      <c r="AF605" s="139"/>
      <c r="AG605" s="139"/>
      <c r="AH605" s="139"/>
      <c r="AI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c r="AB606" s="139"/>
      <c r="AC606" s="139"/>
      <c r="AD606" s="139"/>
      <c r="AE606" s="139"/>
      <c r="AF606" s="139"/>
      <c r="AG606" s="139"/>
      <c r="AH606" s="139"/>
      <c r="AI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c r="AB607" s="139"/>
      <c r="AC607" s="139"/>
      <c r="AD607" s="139"/>
      <c r="AE607" s="139"/>
      <c r="AF607" s="139"/>
      <c r="AG607" s="139"/>
      <c r="AH607" s="139"/>
      <c r="AI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c r="AB608" s="139"/>
      <c r="AC608" s="139"/>
      <c r="AD608" s="139"/>
      <c r="AE608" s="139"/>
      <c r="AF608" s="139"/>
      <c r="AG608" s="139"/>
      <c r="AH608" s="139"/>
      <c r="AI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c r="AB609" s="139"/>
      <c r="AC609" s="139"/>
      <c r="AD609" s="139"/>
      <c r="AE609" s="139"/>
      <c r="AF609" s="139"/>
      <c r="AG609" s="139"/>
      <c r="AH609" s="139"/>
      <c r="AI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c r="AB610" s="139"/>
      <c r="AC610" s="139"/>
      <c r="AD610" s="139"/>
      <c r="AE610" s="139"/>
      <c r="AF610" s="139"/>
      <c r="AG610" s="139"/>
      <c r="AH610" s="139"/>
      <c r="AI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c r="AB611" s="139"/>
      <c r="AC611" s="139"/>
      <c r="AD611" s="139"/>
      <c r="AE611" s="139"/>
      <c r="AF611" s="139"/>
      <c r="AG611" s="139"/>
      <c r="AH611" s="139"/>
      <c r="AI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c r="AB612" s="139"/>
      <c r="AC612" s="139"/>
      <c r="AD612" s="139"/>
      <c r="AE612" s="139"/>
      <c r="AF612" s="139"/>
      <c r="AG612" s="139"/>
      <c r="AH612" s="139"/>
      <c r="AI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c r="AB613" s="139"/>
      <c r="AC613" s="139"/>
      <c r="AD613" s="139"/>
      <c r="AE613" s="139"/>
      <c r="AF613" s="139"/>
      <c r="AG613" s="139"/>
      <c r="AH613" s="139"/>
      <c r="AI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c r="AB614" s="139"/>
      <c r="AC614" s="139"/>
      <c r="AD614" s="139"/>
      <c r="AE614" s="139"/>
      <c r="AF614" s="139"/>
      <c r="AG614" s="139"/>
      <c r="AH614" s="139"/>
      <c r="AI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c r="AB615" s="139"/>
      <c r="AC615" s="139"/>
      <c r="AD615" s="139"/>
      <c r="AE615" s="139"/>
      <c r="AF615" s="139"/>
      <c r="AG615" s="139"/>
      <c r="AH615" s="139"/>
      <c r="AI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c r="AB616" s="139"/>
      <c r="AC616" s="139"/>
      <c r="AD616" s="139"/>
      <c r="AE616" s="139"/>
      <c r="AF616" s="139"/>
      <c r="AG616" s="139"/>
      <c r="AH616" s="139"/>
      <c r="AI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c r="AB617" s="139"/>
      <c r="AC617" s="139"/>
      <c r="AD617" s="139"/>
      <c r="AE617" s="139"/>
      <c r="AF617" s="139"/>
      <c r="AG617" s="139"/>
      <c r="AH617" s="139"/>
      <c r="AI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c r="AB618" s="139"/>
      <c r="AC618" s="139"/>
      <c r="AD618" s="139"/>
      <c r="AE618" s="139"/>
      <c r="AF618" s="139"/>
      <c r="AG618" s="139"/>
      <c r="AH618" s="139"/>
      <c r="AI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c r="AB619" s="139"/>
      <c r="AC619" s="139"/>
      <c r="AD619" s="139"/>
      <c r="AE619" s="139"/>
      <c r="AF619" s="139"/>
      <c r="AG619" s="139"/>
      <c r="AH619" s="139"/>
      <c r="AI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c r="AB620" s="139"/>
      <c r="AC620" s="139"/>
      <c r="AD620" s="139"/>
      <c r="AE620" s="139"/>
      <c r="AF620" s="139"/>
      <c r="AG620" s="139"/>
      <c r="AH620" s="139"/>
      <c r="AI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c r="AB621" s="139"/>
      <c r="AC621" s="139"/>
      <c r="AD621" s="139"/>
      <c r="AE621" s="139"/>
      <c r="AF621" s="139"/>
      <c r="AG621" s="139"/>
      <c r="AH621" s="139"/>
      <c r="AI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c r="AB622" s="139"/>
      <c r="AC622" s="139"/>
      <c r="AD622" s="139"/>
      <c r="AE622" s="139"/>
      <c r="AF622" s="139"/>
      <c r="AG622" s="139"/>
      <c r="AH622" s="139"/>
      <c r="AI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c r="AB623" s="139"/>
      <c r="AC623" s="139"/>
      <c r="AD623" s="139"/>
      <c r="AE623" s="139"/>
      <c r="AF623" s="139"/>
      <c r="AG623" s="139"/>
      <c r="AH623" s="139"/>
      <c r="AI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c r="AB624" s="139"/>
      <c r="AC624" s="139"/>
      <c r="AD624" s="139"/>
      <c r="AE624" s="139"/>
      <c r="AF624" s="139"/>
      <c r="AG624" s="139"/>
      <c r="AH624" s="139"/>
      <c r="AI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c r="AB625" s="139"/>
      <c r="AC625" s="139"/>
      <c r="AD625" s="139"/>
      <c r="AE625" s="139"/>
      <c r="AF625" s="139"/>
      <c r="AG625" s="139"/>
      <c r="AH625" s="139"/>
      <c r="AI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c r="AB626" s="139"/>
      <c r="AC626" s="139"/>
      <c r="AD626" s="139"/>
      <c r="AE626" s="139"/>
      <c r="AF626" s="139"/>
      <c r="AG626" s="139"/>
      <c r="AH626" s="139"/>
      <c r="AI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c r="AB627" s="139"/>
      <c r="AC627" s="139"/>
      <c r="AD627" s="139"/>
      <c r="AE627" s="139"/>
      <c r="AF627" s="139"/>
      <c r="AG627" s="139"/>
      <c r="AH627" s="139"/>
      <c r="AI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c r="AB628" s="139"/>
      <c r="AC628" s="139"/>
      <c r="AD628" s="139"/>
      <c r="AE628" s="139"/>
      <c r="AF628" s="139"/>
      <c r="AG628" s="139"/>
      <c r="AH628" s="139"/>
      <c r="AI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c r="AB629" s="139"/>
      <c r="AC629" s="139"/>
      <c r="AD629" s="139"/>
      <c r="AE629" s="139"/>
      <c r="AF629" s="139"/>
      <c r="AG629" s="139"/>
      <c r="AH629" s="139"/>
      <c r="AI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c r="AB630" s="139"/>
      <c r="AC630" s="139"/>
      <c r="AD630" s="139"/>
      <c r="AE630" s="139"/>
      <c r="AF630" s="139"/>
      <c r="AG630" s="139"/>
      <c r="AH630" s="139"/>
      <c r="AI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c r="AB631" s="139"/>
      <c r="AC631" s="139"/>
      <c r="AD631" s="139"/>
      <c r="AE631" s="139"/>
      <c r="AF631" s="139"/>
      <c r="AG631" s="139"/>
      <c r="AH631" s="139"/>
      <c r="AI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c r="AB632" s="139"/>
      <c r="AC632" s="139"/>
      <c r="AD632" s="139"/>
      <c r="AE632" s="139"/>
      <c r="AF632" s="139"/>
      <c r="AG632" s="139"/>
      <c r="AH632" s="139"/>
      <c r="AI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c r="AB633" s="139"/>
      <c r="AC633" s="139"/>
      <c r="AD633" s="139"/>
      <c r="AE633" s="139"/>
      <c r="AF633" s="139"/>
      <c r="AG633" s="139"/>
      <c r="AH633" s="139"/>
      <c r="AI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c r="AB634" s="139"/>
      <c r="AC634" s="139"/>
      <c r="AD634" s="139"/>
      <c r="AE634" s="139"/>
      <c r="AF634" s="139"/>
      <c r="AG634" s="139"/>
      <c r="AH634" s="139"/>
      <c r="AI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c r="AB635" s="139"/>
      <c r="AC635" s="139"/>
      <c r="AD635" s="139"/>
      <c r="AE635" s="139"/>
      <c r="AF635" s="139"/>
      <c r="AG635" s="139"/>
      <c r="AH635" s="139"/>
      <c r="AI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c r="AB636" s="139"/>
      <c r="AC636" s="139"/>
      <c r="AD636" s="139"/>
      <c r="AE636" s="139"/>
      <c r="AF636" s="139"/>
      <c r="AG636" s="139"/>
      <c r="AH636" s="139"/>
      <c r="AI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c r="AB637" s="139"/>
      <c r="AC637" s="139"/>
      <c r="AD637" s="139"/>
      <c r="AE637" s="139"/>
      <c r="AF637" s="139"/>
      <c r="AG637" s="139"/>
      <c r="AH637" s="139"/>
      <c r="AI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c r="AB638" s="139"/>
      <c r="AC638" s="139"/>
      <c r="AD638" s="139"/>
      <c r="AE638" s="139"/>
      <c r="AF638" s="139"/>
      <c r="AG638" s="139"/>
      <c r="AH638" s="139"/>
      <c r="AI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39"/>
      <c r="AH639" s="139"/>
      <c r="AI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39"/>
      <c r="AH640" s="139"/>
      <c r="AI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c r="AB641" s="139"/>
      <c r="AC641" s="139"/>
      <c r="AD641" s="139"/>
      <c r="AE641" s="139"/>
      <c r="AF641" s="139"/>
      <c r="AG641" s="139"/>
      <c r="AH641" s="139"/>
      <c r="AI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c r="AB642" s="139"/>
      <c r="AC642" s="139"/>
      <c r="AD642" s="139"/>
      <c r="AE642" s="139"/>
      <c r="AF642" s="139"/>
      <c r="AG642" s="139"/>
      <c r="AH642" s="139"/>
      <c r="AI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c r="AB643" s="139"/>
      <c r="AC643" s="139"/>
      <c r="AD643" s="139"/>
      <c r="AE643" s="139"/>
      <c r="AF643" s="139"/>
      <c r="AG643" s="139"/>
      <c r="AH643" s="139"/>
      <c r="AI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c r="AB644" s="139"/>
      <c r="AC644" s="139"/>
      <c r="AD644" s="139"/>
      <c r="AE644" s="139"/>
      <c r="AF644" s="139"/>
      <c r="AG644" s="139"/>
      <c r="AH644" s="139"/>
      <c r="AI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c r="AB645" s="139"/>
      <c r="AC645" s="139"/>
      <c r="AD645" s="139"/>
      <c r="AE645" s="139"/>
      <c r="AF645" s="139"/>
      <c r="AG645" s="139"/>
      <c r="AH645" s="139"/>
      <c r="AI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c r="AB646" s="139"/>
      <c r="AC646" s="139"/>
      <c r="AD646" s="139"/>
      <c r="AE646" s="139"/>
      <c r="AF646" s="139"/>
      <c r="AG646" s="139"/>
      <c r="AH646" s="139"/>
      <c r="AI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c r="AB647" s="139"/>
      <c r="AC647" s="139"/>
      <c r="AD647" s="139"/>
      <c r="AE647" s="139"/>
      <c r="AF647" s="139"/>
      <c r="AG647" s="139"/>
      <c r="AH647" s="139"/>
      <c r="AI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c r="AB648" s="139"/>
      <c r="AC648" s="139"/>
      <c r="AD648" s="139"/>
      <c r="AE648" s="139"/>
      <c r="AF648" s="139"/>
      <c r="AG648" s="139"/>
      <c r="AH648" s="139"/>
      <c r="AI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c r="AB649" s="139"/>
      <c r="AC649" s="139"/>
      <c r="AD649" s="139"/>
      <c r="AE649" s="139"/>
      <c r="AF649" s="139"/>
      <c r="AG649" s="139"/>
      <c r="AH649" s="139"/>
      <c r="AI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c r="AB650" s="139"/>
      <c r="AC650" s="139"/>
      <c r="AD650" s="139"/>
      <c r="AE650" s="139"/>
      <c r="AF650" s="139"/>
      <c r="AG650" s="139"/>
      <c r="AH650" s="139"/>
      <c r="AI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c r="AB651" s="139"/>
      <c r="AC651" s="139"/>
      <c r="AD651" s="139"/>
      <c r="AE651" s="139"/>
      <c r="AF651" s="139"/>
      <c r="AG651" s="139"/>
      <c r="AH651" s="139"/>
      <c r="AI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c r="AB652" s="139"/>
      <c r="AC652" s="139"/>
      <c r="AD652" s="139"/>
      <c r="AE652" s="139"/>
      <c r="AF652" s="139"/>
      <c r="AG652" s="139"/>
      <c r="AH652" s="139"/>
      <c r="AI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c r="AB653" s="139"/>
      <c r="AC653" s="139"/>
      <c r="AD653" s="139"/>
      <c r="AE653" s="139"/>
      <c r="AF653" s="139"/>
      <c r="AG653" s="139"/>
      <c r="AH653" s="139"/>
      <c r="AI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c r="AB654" s="139"/>
      <c r="AC654" s="139"/>
      <c r="AD654" s="139"/>
      <c r="AE654" s="139"/>
      <c r="AF654" s="139"/>
      <c r="AG654" s="139"/>
      <c r="AH654" s="139"/>
      <c r="AI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c r="AB655" s="139"/>
      <c r="AC655" s="139"/>
      <c r="AD655" s="139"/>
      <c r="AE655" s="139"/>
      <c r="AF655" s="139"/>
      <c r="AG655" s="139"/>
      <c r="AH655" s="139"/>
      <c r="AI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c r="AB656" s="139"/>
      <c r="AC656" s="139"/>
      <c r="AD656" s="139"/>
      <c r="AE656" s="139"/>
      <c r="AF656" s="139"/>
      <c r="AG656" s="139"/>
      <c r="AH656" s="139"/>
      <c r="AI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c r="AB657" s="139"/>
      <c r="AC657" s="139"/>
      <c r="AD657" s="139"/>
      <c r="AE657" s="139"/>
      <c r="AF657" s="139"/>
      <c r="AG657" s="139"/>
      <c r="AH657" s="139"/>
      <c r="AI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c r="AB658" s="139"/>
      <c r="AC658" s="139"/>
      <c r="AD658" s="139"/>
      <c r="AE658" s="139"/>
      <c r="AF658" s="139"/>
      <c r="AG658" s="139"/>
      <c r="AH658" s="139"/>
      <c r="AI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c r="AB659" s="139"/>
      <c r="AC659" s="139"/>
      <c r="AD659" s="139"/>
      <c r="AE659" s="139"/>
      <c r="AF659" s="139"/>
      <c r="AG659" s="139"/>
      <c r="AH659" s="139"/>
      <c r="AI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c r="AB660" s="139"/>
      <c r="AC660" s="139"/>
      <c r="AD660" s="139"/>
      <c r="AE660" s="139"/>
      <c r="AF660" s="139"/>
      <c r="AG660" s="139"/>
      <c r="AH660" s="139"/>
      <c r="AI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c r="AB661" s="139"/>
      <c r="AC661" s="139"/>
      <c r="AD661" s="139"/>
      <c r="AE661" s="139"/>
      <c r="AF661" s="139"/>
      <c r="AG661" s="139"/>
      <c r="AH661" s="139"/>
      <c r="AI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c r="AB662" s="139"/>
      <c r="AC662" s="139"/>
      <c r="AD662" s="139"/>
      <c r="AE662" s="139"/>
      <c r="AF662" s="139"/>
      <c r="AG662" s="139"/>
      <c r="AH662" s="139"/>
      <c r="AI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c r="AB663" s="139"/>
      <c r="AC663" s="139"/>
      <c r="AD663" s="139"/>
      <c r="AE663" s="139"/>
      <c r="AF663" s="139"/>
      <c r="AG663" s="139"/>
      <c r="AH663" s="139"/>
      <c r="AI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c r="AB664" s="139"/>
      <c r="AC664" s="139"/>
      <c r="AD664" s="139"/>
      <c r="AE664" s="139"/>
      <c r="AF664" s="139"/>
      <c r="AG664" s="139"/>
      <c r="AH664" s="139"/>
      <c r="AI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c r="AB665" s="139"/>
      <c r="AC665" s="139"/>
      <c r="AD665" s="139"/>
      <c r="AE665" s="139"/>
      <c r="AF665" s="139"/>
      <c r="AG665" s="139"/>
      <c r="AH665" s="139"/>
      <c r="AI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c r="AB666" s="139"/>
      <c r="AC666" s="139"/>
      <c r="AD666" s="139"/>
      <c r="AE666" s="139"/>
      <c r="AF666" s="139"/>
      <c r="AG666" s="139"/>
      <c r="AH666" s="139"/>
      <c r="AI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c r="AB667" s="139"/>
      <c r="AC667" s="139"/>
      <c r="AD667" s="139"/>
      <c r="AE667" s="139"/>
      <c r="AF667" s="139"/>
      <c r="AG667" s="139"/>
      <c r="AH667" s="139"/>
      <c r="AI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39"/>
      <c r="AH668" s="139"/>
      <c r="AI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c r="AB669" s="139"/>
      <c r="AC669" s="139"/>
      <c r="AD669" s="139"/>
      <c r="AE669" s="139"/>
      <c r="AF669" s="139"/>
      <c r="AG669" s="139"/>
      <c r="AH669" s="139"/>
      <c r="AI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c r="AB670" s="139"/>
      <c r="AC670" s="139"/>
      <c r="AD670" s="139"/>
      <c r="AE670" s="139"/>
      <c r="AF670" s="139"/>
      <c r="AG670" s="139"/>
      <c r="AH670" s="139"/>
      <c r="AI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c r="AB671" s="139"/>
      <c r="AC671" s="139"/>
      <c r="AD671" s="139"/>
      <c r="AE671" s="139"/>
      <c r="AF671" s="139"/>
      <c r="AG671" s="139"/>
      <c r="AH671" s="139"/>
      <c r="AI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c r="AB672" s="139"/>
      <c r="AC672" s="139"/>
      <c r="AD672" s="139"/>
      <c r="AE672" s="139"/>
      <c r="AF672" s="139"/>
      <c r="AG672" s="139"/>
      <c r="AH672" s="139"/>
      <c r="AI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c r="AB673" s="139"/>
      <c r="AC673" s="139"/>
      <c r="AD673" s="139"/>
      <c r="AE673" s="139"/>
      <c r="AF673" s="139"/>
      <c r="AG673" s="139"/>
      <c r="AH673" s="139"/>
      <c r="AI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c r="AB674" s="139"/>
      <c r="AC674" s="139"/>
      <c r="AD674" s="139"/>
      <c r="AE674" s="139"/>
      <c r="AF674" s="139"/>
      <c r="AG674" s="139"/>
      <c r="AH674" s="139"/>
      <c r="AI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c r="AB675" s="139"/>
      <c r="AC675" s="139"/>
      <c r="AD675" s="139"/>
      <c r="AE675" s="139"/>
      <c r="AF675" s="139"/>
      <c r="AG675" s="139"/>
      <c r="AH675" s="139"/>
      <c r="AI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c r="AB676" s="139"/>
      <c r="AC676" s="139"/>
      <c r="AD676" s="139"/>
      <c r="AE676" s="139"/>
      <c r="AF676" s="139"/>
      <c r="AG676" s="139"/>
      <c r="AH676" s="139"/>
      <c r="AI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c r="AB677" s="139"/>
      <c r="AC677" s="139"/>
      <c r="AD677" s="139"/>
      <c r="AE677" s="139"/>
      <c r="AF677" s="139"/>
      <c r="AG677" s="139"/>
      <c r="AH677" s="139"/>
      <c r="AI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c r="AB678" s="139"/>
      <c r="AC678" s="139"/>
      <c r="AD678" s="139"/>
      <c r="AE678" s="139"/>
      <c r="AF678" s="139"/>
      <c r="AG678" s="139"/>
      <c r="AH678" s="139"/>
      <c r="AI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c r="AB679" s="139"/>
      <c r="AC679" s="139"/>
      <c r="AD679" s="139"/>
      <c r="AE679" s="139"/>
      <c r="AF679" s="139"/>
      <c r="AG679" s="139"/>
      <c r="AH679" s="139"/>
      <c r="AI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39"/>
      <c r="AH680" s="139"/>
      <c r="AI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c r="AB681" s="139"/>
      <c r="AC681" s="139"/>
      <c r="AD681" s="139"/>
      <c r="AE681" s="139"/>
      <c r="AF681" s="139"/>
      <c r="AG681" s="139"/>
      <c r="AH681" s="139"/>
      <c r="AI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c r="AB682" s="139"/>
      <c r="AC682" s="139"/>
      <c r="AD682" s="139"/>
      <c r="AE682" s="139"/>
      <c r="AF682" s="139"/>
      <c r="AG682" s="139"/>
      <c r="AH682" s="139"/>
      <c r="AI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c r="AB683" s="139"/>
      <c r="AC683" s="139"/>
      <c r="AD683" s="139"/>
      <c r="AE683" s="139"/>
      <c r="AF683" s="139"/>
      <c r="AG683" s="139"/>
      <c r="AH683" s="139"/>
      <c r="AI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c r="AB684" s="139"/>
      <c r="AC684" s="139"/>
      <c r="AD684" s="139"/>
      <c r="AE684" s="139"/>
      <c r="AF684" s="139"/>
      <c r="AG684" s="139"/>
      <c r="AH684" s="139"/>
      <c r="AI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c r="AB685" s="139"/>
      <c r="AC685" s="139"/>
      <c r="AD685" s="139"/>
      <c r="AE685" s="139"/>
      <c r="AF685" s="139"/>
      <c r="AG685" s="139"/>
      <c r="AH685" s="139"/>
      <c r="AI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c r="AB686" s="139"/>
      <c r="AC686" s="139"/>
      <c r="AD686" s="139"/>
      <c r="AE686" s="139"/>
      <c r="AF686" s="139"/>
      <c r="AG686" s="139"/>
      <c r="AH686" s="139"/>
      <c r="AI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c r="AB687" s="139"/>
      <c r="AC687" s="139"/>
      <c r="AD687" s="139"/>
      <c r="AE687" s="139"/>
      <c r="AF687" s="139"/>
      <c r="AG687" s="139"/>
      <c r="AH687" s="139"/>
      <c r="AI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c r="AB689" s="139"/>
      <c r="AC689" s="139"/>
      <c r="AD689" s="139"/>
      <c r="AE689" s="139"/>
      <c r="AF689" s="139"/>
      <c r="AG689" s="139"/>
      <c r="AH689" s="139"/>
      <c r="AI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c r="AB690" s="139"/>
      <c r="AC690" s="139"/>
      <c r="AD690" s="139"/>
      <c r="AE690" s="139"/>
      <c r="AF690" s="139"/>
      <c r="AG690" s="139"/>
      <c r="AH690" s="139"/>
      <c r="AI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c r="AB691" s="139"/>
      <c r="AC691" s="139"/>
      <c r="AD691" s="139"/>
      <c r="AE691" s="139"/>
      <c r="AF691" s="139"/>
      <c r="AG691" s="139"/>
      <c r="AH691" s="139"/>
      <c r="AI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c r="AB692" s="139"/>
      <c r="AC692" s="139"/>
      <c r="AD692" s="139"/>
      <c r="AE692" s="139"/>
      <c r="AF692" s="139"/>
      <c r="AG692" s="139"/>
      <c r="AH692" s="139"/>
      <c r="AI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c r="AB693" s="139"/>
      <c r="AC693" s="139"/>
      <c r="AD693" s="139"/>
      <c r="AE693" s="139"/>
      <c r="AF693" s="139"/>
      <c r="AG693" s="139"/>
      <c r="AH693" s="139"/>
      <c r="AI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c r="AB694" s="139"/>
      <c r="AC694" s="139"/>
      <c r="AD694" s="139"/>
      <c r="AE694" s="139"/>
      <c r="AF694" s="139"/>
      <c r="AG694" s="139"/>
      <c r="AH694" s="139"/>
      <c r="AI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c r="AB695" s="139"/>
      <c r="AC695" s="139"/>
      <c r="AD695" s="139"/>
      <c r="AE695" s="139"/>
      <c r="AF695" s="139"/>
      <c r="AG695" s="139"/>
      <c r="AH695" s="139"/>
      <c r="AI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c r="AB696" s="139"/>
      <c r="AC696" s="139"/>
      <c r="AD696" s="139"/>
      <c r="AE696" s="139"/>
      <c r="AF696" s="139"/>
      <c r="AG696" s="139"/>
      <c r="AH696" s="139"/>
      <c r="AI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c r="AB697" s="139"/>
      <c r="AC697" s="139"/>
      <c r="AD697" s="139"/>
      <c r="AE697" s="139"/>
      <c r="AF697" s="139"/>
      <c r="AG697" s="139"/>
      <c r="AH697" s="139"/>
      <c r="AI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c r="AB698" s="139"/>
      <c r="AC698" s="139"/>
      <c r="AD698" s="139"/>
      <c r="AE698" s="139"/>
      <c r="AF698" s="139"/>
      <c r="AG698" s="139"/>
      <c r="AH698" s="139"/>
      <c r="AI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c r="AB699" s="139"/>
      <c r="AC699" s="139"/>
      <c r="AD699" s="139"/>
      <c r="AE699" s="139"/>
      <c r="AF699" s="139"/>
      <c r="AG699" s="139"/>
      <c r="AH699" s="139"/>
      <c r="AI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c r="AB700" s="139"/>
      <c r="AC700" s="139"/>
      <c r="AD700" s="139"/>
      <c r="AE700" s="139"/>
      <c r="AF700" s="139"/>
      <c r="AG700" s="139"/>
      <c r="AH700" s="139"/>
      <c r="AI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c r="AB701" s="139"/>
      <c r="AC701" s="139"/>
      <c r="AD701" s="139"/>
      <c r="AE701" s="139"/>
      <c r="AF701" s="139"/>
      <c r="AG701" s="139"/>
      <c r="AH701" s="139"/>
      <c r="AI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c r="AB702" s="139"/>
      <c r="AC702" s="139"/>
      <c r="AD702" s="139"/>
      <c r="AE702" s="139"/>
      <c r="AF702" s="139"/>
      <c r="AG702" s="139"/>
      <c r="AH702" s="139"/>
      <c r="AI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c r="AB703" s="139"/>
      <c r="AC703" s="139"/>
      <c r="AD703" s="139"/>
      <c r="AE703" s="139"/>
      <c r="AF703" s="139"/>
      <c r="AG703" s="139"/>
      <c r="AH703" s="139"/>
      <c r="AI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c r="AB704" s="139"/>
      <c r="AC704" s="139"/>
      <c r="AD704" s="139"/>
      <c r="AE704" s="139"/>
      <c r="AF704" s="139"/>
      <c r="AG704" s="139"/>
      <c r="AH704" s="139"/>
      <c r="AI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c r="AB705" s="139"/>
      <c r="AC705" s="139"/>
      <c r="AD705" s="139"/>
      <c r="AE705" s="139"/>
      <c r="AF705" s="139"/>
      <c r="AG705" s="139"/>
      <c r="AH705" s="139"/>
      <c r="AI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c r="AB706" s="139"/>
      <c r="AC706" s="139"/>
      <c r="AD706" s="139"/>
      <c r="AE706" s="139"/>
      <c r="AF706" s="139"/>
      <c r="AG706" s="139"/>
      <c r="AH706" s="139"/>
      <c r="AI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c r="AB707" s="139"/>
      <c r="AC707" s="139"/>
      <c r="AD707" s="139"/>
      <c r="AE707" s="139"/>
      <c r="AF707" s="139"/>
      <c r="AG707" s="139"/>
      <c r="AH707" s="139"/>
      <c r="AI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c r="AB708" s="139"/>
      <c r="AC708" s="139"/>
      <c r="AD708" s="139"/>
      <c r="AE708" s="139"/>
      <c r="AF708" s="139"/>
      <c r="AG708" s="139"/>
      <c r="AH708" s="139"/>
      <c r="AI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c r="AB709" s="139"/>
      <c r="AC709" s="139"/>
      <c r="AD709" s="139"/>
      <c r="AE709" s="139"/>
      <c r="AF709" s="139"/>
      <c r="AG709" s="139"/>
      <c r="AH709" s="139"/>
      <c r="AI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c r="AB710" s="139"/>
      <c r="AC710" s="139"/>
      <c r="AD710" s="139"/>
      <c r="AE710" s="139"/>
      <c r="AF710" s="139"/>
      <c r="AG710" s="139"/>
      <c r="AH710" s="139"/>
      <c r="AI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c r="AB711" s="139"/>
      <c r="AC711" s="139"/>
      <c r="AD711" s="139"/>
      <c r="AE711" s="139"/>
      <c r="AF711" s="139"/>
      <c r="AG711" s="139"/>
      <c r="AH711" s="139"/>
      <c r="AI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c r="AB712" s="139"/>
      <c r="AC712" s="139"/>
      <c r="AD712" s="139"/>
      <c r="AE712" s="139"/>
      <c r="AF712" s="139"/>
      <c r="AG712" s="139"/>
      <c r="AH712" s="139"/>
      <c r="AI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c r="AB713" s="139"/>
      <c r="AC713" s="139"/>
      <c r="AD713" s="139"/>
      <c r="AE713" s="139"/>
      <c r="AF713" s="139"/>
      <c r="AG713" s="139"/>
      <c r="AH713" s="139"/>
      <c r="AI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c r="AB714" s="139"/>
      <c r="AC714" s="139"/>
      <c r="AD714" s="139"/>
      <c r="AE714" s="139"/>
      <c r="AF714" s="139"/>
      <c r="AG714" s="139"/>
      <c r="AH714" s="139"/>
      <c r="AI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c r="AB715" s="139"/>
      <c r="AC715" s="139"/>
      <c r="AD715" s="139"/>
      <c r="AE715" s="139"/>
      <c r="AF715" s="139"/>
      <c r="AG715" s="139"/>
      <c r="AH715" s="139"/>
      <c r="AI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c r="AB716" s="139"/>
      <c r="AC716" s="139"/>
      <c r="AD716" s="139"/>
      <c r="AE716" s="139"/>
      <c r="AF716" s="139"/>
      <c r="AG716" s="139"/>
      <c r="AH716" s="139"/>
      <c r="AI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c r="AB717" s="139"/>
      <c r="AC717" s="139"/>
      <c r="AD717" s="139"/>
      <c r="AE717" s="139"/>
      <c r="AF717" s="139"/>
      <c r="AG717" s="139"/>
      <c r="AH717" s="139"/>
      <c r="AI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c r="AB718" s="139"/>
      <c r="AC718" s="139"/>
      <c r="AD718" s="139"/>
      <c r="AE718" s="139"/>
      <c r="AF718" s="139"/>
      <c r="AG718" s="139"/>
      <c r="AH718" s="139"/>
      <c r="AI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c r="AB719" s="139"/>
      <c r="AC719" s="139"/>
      <c r="AD719" s="139"/>
      <c r="AE719" s="139"/>
      <c r="AF719" s="139"/>
      <c r="AG719" s="139"/>
      <c r="AH719" s="139"/>
      <c r="AI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39"/>
      <c r="AH720" s="139"/>
      <c r="AI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c r="AB721" s="139"/>
      <c r="AC721" s="139"/>
      <c r="AD721" s="139"/>
      <c r="AE721" s="139"/>
      <c r="AF721" s="139"/>
      <c r="AG721" s="139"/>
      <c r="AH721" s="139"/>
      <c r="AI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c r="AB722" s="139"/>
      <c r="AC722" s="139"/>
      <c r="AD722" s="139"/>
      <c r="AE722" s="139"/>
      <c r="AF722" s="139"/>
      <c r="AG722" s="139"/>
      <c r="AH722" s="139"/>
      <c r="AI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c r="AB723" s="139"/>
      <c r="AC723" s="139"/>
      <c r="AD723" s="139"/>
      <c r="AE723" s="139"/>
      <c r="AF723" s="139"/>
      <c r="AG723" s="139"/>
      <c r="AH723" s="139"/>
      <c r="AI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c r="AB724" s="139"/>
      <c r="AC724" s="139"/>
      <c r="AD724" s="139"/>
      <c r="AE724" s="139"/>
      <c r="AF724" s="139"/>
      <c r="AG724" s="139"/>
      <c r="AH724" s="139"/>
      <c r="AI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c r="AB725" s="139"/>
      <c r="AC725" s="139"/>
      <c r="AD725" s="139"/>
      <c r="AE725" s="139"/>
      <c r="AF725" s="139"/>
      <c r="AG725" s="139"/>
      <c r="AH725" s="139"/>
      <c r="AI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c r="AH726" s="139"/>
      <c r="AI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39"/>
      <c r="AH727" s="139"/>
      <c r="AI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c r="AB728" s="139"/>
      <c r="AC728" s="139"/>
      <c r="AD728" s="139"/>
      <c r="AE728" s="139"/>
      <c r="AF728" s="139"/>
      <c r="AG728" s="139"/>
      <c r="AH728" s="139"/>
      <c r="AI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c r="AB729" s="139"/>
      <c r="AC729" s="139"/>
      <c r="AD729" s="139"/>
      <c r="AE729" s="139"/>
      <c r="AF729" s="139"/>
      <c r="AG729" s="139"/>
      <c r="AH729" s="139"/>
      <c r="AI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c r="AB730" s="139"/>
      <c r="AC730" s="139"/>
      <c r="AD730" s="139"/>
      <c r="AE730" s="139"/>
      <c r="AF730" s="139"/>
      <c r="AG730" s="139"/>
      <c r="AH730" s="139"/>
      <c r="AI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c r="AB731" s="139"/>
      <c r="AC731" s="139"/>
      <c r="AD731" s="139"/>
      <c r="AE731" s="139"/>
      <c r="AF731" s="139"/>
      <c r="AG731" s="139"/>
      <c r="AH731" s="139"/>
      <c r="AI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c r="AB732" s="139"/>
      <c r="AC732" s="139"/>
      <c r="AD732" s="139"/>
      <c r="AE732" s="139"/>
      <c r="AF732" s="139"/>
      <c r="AG732" s="139"/>
      <c r="AH732" s="139"/>
      <c r="AI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c r="AB733" s="139"/>
      <c r="AC733" s="139"/>
      <c r="AD733" s="139"/>
      <c r="AE733" s="139"/>
      <c r="AF733" s="139"/>
      <c r="AG733" s="139"/>
      <c r="AH733" s="139"/>
      <c r="AI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c r="AB734" s="139"/>
      <c r="AC734" s="139"/>
      <c r="AD734" s="139"/>
      <c r="AE734" s="139"/>
      <c r="AF734" s="139"/>
      <c r="AG734" s="139"/>
      <c r="AH734" s="139"/>
      <c r="AI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c r="AB735" s="139"/>
      <c r="AC735" s="139"/>
      <c r="AD735" s="139"/>
      <c r="AE735" s="139"/>
      <c r="AF735" s="139"/>
      <c r="AG735" s="139"/>
      <c r="AH735" s="139"/>
      <c r="AI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c r="AB736" s="139"/>
      <c r="AC736" s="139"/>
      <c r="AD736" s="139"/>
      <c r="AE736" s="139"/>
      <c r="AF736" s="139"/>
      <c r="AG736" s="139"/>
      <c r="AH736" s="139"/>
      <c r="AI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c r="AB737" s="139"/>
      <c r="AC737" s="139"/>
      <c r="AD737" s="139"/>
      <c r="AE737" s="139"/>
      <c r="AF737" s="139"/>
      <c r="AG737" s="139"/>
      <c r="AH737" s="139"/>
      <c r="AI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c r="AB738" s="139"/>
      <c r="AC738" s="139"/>
      <c r="AD738" s="139"/>
      <c r="AE738" s="139"/>
      <c r="AF738" s="139"/>
      <c r="AG738" s="139"/>
      <c r="AH738" s="139"/>
      <c r="AI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c r="AB739" s="139"/>
      <c r="AC739" s="139"/>
      <c r="AD739" s="139"/>
      <c r="AE739" s="139"/>
      <c r="AF739" s="139"/>
      <c r="AG739" s="139"/>
      <c r="AH739" s="139"/>
      <c r="AI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c r="AB740" s="139"/>
      <c r="AC740" s="139"/>
      <c r="AD740" s="139"/>
      <c r="AE740" s="139"/>
      <c r="AF740" s="139"/>
      <c r="AG740" s="139"/>
      <c r="AH740" s="139"/>
      <c r="AI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c r="AB741" s="139"/>
      <c r="AC741" s="139"/>
      <c r="AD741" s="139"/>
      <c r="AE741" s="139"/>
      <c r="AF741" s="139"/>
      <c r="AG741" s="139"/>
      <c r="AH741" s="139"/>
      <c r="AI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c r="AB742" s="139"/>
      <c r="AC742" s="139"/>
      <c r="AD742" s="139"/>
      <c r="AE742" s="139"/>
      <c r="AF742" s="139"/>
      <c r="AG742" s="139"/>
      <c r="AH742" s="139"/>
      <c r="AI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c r="AB743" s="139"/>
      <c r="AC743" s="139"/>
      <c r="AD743" s="139"/>
      <c r="AE743" s="139"/>
      <c r="AF743" s="139"/>
      <c r="AG743" s="139"/>
      <c r="AH743" s="139"/>
      <c r="AI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c r="AB744" s="139"/>
      <c r="AC744" s="139"/>
      <c r="AD744" s="139"/>
      <c r="AE744" s="139"/>
      <c r="AF744" s="139"/>
      <c r="AG744" s="139"/>
      <c r="AH744" s="139"/>
      <c r="AI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c r="AB745" s="139"/>
      <c r="AC745" s="139"/>
      <c r="AD745" s="139"/>
      <c r="AE745" s="139"/>
      <c r="AF745" s="139"/>
      <c r="AG745" s="139"/>
      <c r="AH745" s="139"/>
      <c r="AI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c r="AB746" s="139"/>
      <c r="AC746" s="139"/>
      <c r="AD746" s="139"/>
      <c r="AE746" s="139"/>
      <c r="AF746" s="139"/>
      <c r="AG746" s="139"/>
      <c r="AH746" s="139"/>
      <c r="AI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c r="AB747" s="139"/>
      <c r="AC747" s="139"/>
      <c r="AD747" s="139"/>
      <c r="AE747" s="139"/>
      <c r="AF747" s="139"/>
      <c r="AG747" s="139"/>
      <c r="AH747" s="139"/>
      <c r="AI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c r="AB748" s="139"/>
      <c r="AC748" s="139"/>
      <c r="AD748" s="139"/>
      <c r="AE748" s="139"/>
      <c r="AF748" s="139"/>
      <c r="AG748" s="139"/>
      <c r="AH748" s="139"/>
      <c r="AI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c r="AB749" s="139"/>
      <c r="AC749" s="139"/>
      <c r="AD749" s="139"/>
      <c r="AE749" s="139"/>
      <c r="AF749" s="139"/>
      <c r="AG749" s="139"/>
      <c r="AH749" s="139"/>
      <c r="AI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c r="AB750" s="139"/>
      <c r="AC750" s="139"/>
      <c r="AD750" s="139"/>
      <c r="AE750" s="139"/>
      <c r="AF750" s="139"/>
      <c r="AG750" s="139"/>
      <c r="AH750" s="139"/>
      <c r="AI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c r="AB751" s="139"/>
      <c r="AC751" s="139"/>
      <c r="AD751" s="139"/>
      <c r="AE751" s="139"/>
      <c r="AF751" s="139"/>
      <c r="AG751" s="139"/>
      <c r="AH751" s="139"/>
      <c r="AI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c r="AB752" s="139"/>
      <c r="AC752" s="139"/>
      <c r="AD752" s="139"/>
      <c r="AE752" s="139"/>
      <c r="AF752" s="139"/>
      <c r="AG752" s="139"/>
      <c r="AH752" s="139"/>
      <c r="AI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c r="AB753" s="139"/>
      <c r="AC753" s="139"/>
      <c r="AD753" s="139"/>
      <c r="AE753" s="139"/>
      <c r="AF753" s="139"/>
      <c r="AG753" s="139"/>
      <c r="AH753" s="139"/>
      <c r="AI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c r="AB754" s="139"/>
      <c r="AC754" s="139"/>
      <c r="AD754" s="139"/>
      <c r="AE754" s="139"/>
      <c r="AF754" s="139"/>
      <c r="AG754" s="139"/>
      <c r="AH754" s="139"/>
      <c r="AI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c r="AB755" s="139"/>
      <c r="AC755" s="139"/>
      <c r="AD755" s="139"/>
      <c r="AE755" s="139"/>
      <c r="AF755" s="139"/>
      <c r="AG755" s="139"/>
      <c r="AH755" s="139"/>
      <c r="AI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c r="AB756" s="139"/>
      <c r="AC756" s="139"/>
      <c r="AD756" s="139"/>
      <c r="AE756" s="139"/>
      <c r="AF756" s="139"/>
      <c r="AG756" s="139"/>
      <c r="AH756" s="139"/>
      <c r="AI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c r="AB757" s="139"/>
      <c r="AC757" s="139"/>
      <c r="AD757" s="139"/>
      <c r="AE757" s="139"/>
      <c r="AF757" s="139"/>
      <c r="AG757" s="139"/>
      <c r="AH757" s="139"/>
      <c r="AI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c r="AB758" s="139"/>
      <c r="AC758" s="139"/>
      <c r="AD758" s="139"/>
      <c r="AE758" s="139"/>
      <c r="AF758" s="139"/>
      <c r="AG758" s="139"/>
      <c r="AH758" s="139"/>
      <c r="AI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c r="AB759" s="139"/>
      <c r="AC759" s="139"/>
      <c r="AD759" s="139"/>
      <c r="AE759" s="139"/>
      <c r="AF759" s="139"/>
      <c r="AG759" s="139"/>
      <c r="AH759" s="139"/>
      <c r="AI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c r="AB760" s="139"/>
      <c r="AC760" s="139"/>
      <c r="AD760" s="139"/>
      <c r="AE760" s="139"/>
      <c r="AF760" s="139"/>
      <c r="AG760" s="139"/>
      <c r="AH760" s="139"/>
      <c r="AI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c r="AB761" s="139"/>
      <c r="AC761" s="139"/>
      <c r="AD761" s="139"/>
      <c r="AE761" s="139"/>
      <c r="AF761" s="139"/>
      <c r="AG761" s="139"/>
      <c r="AH761" s="139"/>
      <c r="AI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c r="AB762" s="139"/>
      <c r="AC762" s="139"/>
      <c r="AD762" s="139"/>
      <c r="AE762" s="139"/>
      <c r="AF762" s="139"/>
      <c r="AG762" s="139"/>
      <c r="AH762" s="139"/>
      <c r="AI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c r="AB763" s="139"/>
      <c r="AC763" s="139"/>
      <c r="AD763" s="139"/>
      <c r="AE763" s="139"/>
      <c r="AF763" s="139"/>
      <c r="AG763" s="139"/>
      <c r="AH763" s="139"/>
      <c r="AI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c r="AB764" s="139"/>
      <c r="AC764" s="139"/>
      <c r="AD764" s="139"/>
      <c r="AE764" s="139"/>
      <c r="AF764" s="139"/>
      <c r="AG764" s="139"/>
      <c r="AH764" s="139"/>
      <c r="AI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c r="AB765" s="139"/>
      <c r="AC765" s="139"/>
      <c r="AD765" s="139"/>
      <c r="AE765" s="139"/>
      <c r="AF765" s="139"/>
      <c r="AG765" s="139"/>
      <c r="AH765" s="139"/>
      <c r="AI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c r="AB766" s="139"/>
      <c r="AC766" s="139"/>
      <c r="AD766" s="139"/>
      <c r="AE766" s="139"/>
      <c r="AF766" s="139"/>
      <c r="AG766" s="139"/>
      <c r="AH766" s="139"/>
      <c r="AI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c r="AB767" s="139"/>
      <c r="AC767" s="139"/>
      <c r="AD767" s="139"/>
      <c r="AE767" s="139"/>
      <c r="AF767" s="139"/>
      <c r="AG767" s="139"/>
      <c r="AH767" s="139"/>
      <c r="AI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c r="AB768" s="139"/>
      <c r="AC768" s="139"/>
      <c r="AD768" s="139"/>
      <c r="AE768" s="139"/>
      <c r="AF768" s="139"/>
      <c r="AG768" s="139"/>
      <c r="AH768" s="139"/>
      <c r="AI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c r="AB769" s="139"/>
      <c r="AC769" s="139"/>
      <c r="AD769" s="139"/>
      <c r="AE769" s="139"/>
      <c r="AF769" s="139"/>
      <c r="AG769" s="139"/>
      <c r="AH769" s="139"/>
      <c r="AI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c r="AB770" s="139"/>
      <c r="AC770" s="139"/>
      <c r="AD770" s="139"/>
      <c r="AE770" s="139"/>
      <c r="AF770" s="139"/>
      <c r="AG770" s="139"/>
      <c r="AH770" s="139"/>
      <c r="AI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c r="AB771" s="139"/>
      <c r="AC771" s="139"/>
      <c r="AD771" s="139"/>
      <c r="AE771" s="139"/>
      <c r="AF771" s="139"/>
      <c r="AG771" s="139"/>
      <c r="AH771" s="139"/>
      <c r="AI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c r="AB772" s="139"/>
      <c r="AC772" s="139"/>
      <c r="AD772" s="139"/>
      <c r="AE772" s="139"/>
      <c r="AF772" s="139"/>
      <c r="AG772" s="139"/>
      <c r="AH772" s="139"/>
      <c r="AI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c r="AB773" s="139"/>
      <c r="AC773" s="139"/>
      <c r="AD773" s="139"/>
      <c r="AE773" s="139"/>
      <c r="AF773" s="139"/>
      <c r="AG773" s="139"/>
      <c r="AH773" s="139"/>
      <c r="AI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c r="AB774" s="139"/>
      <c r="AC774" s="139"/>
      <c r="AD774" s="139"/>
      <c r="AE774" s="139"/>
      <c r="AF774" s="139"/>
      <c r="AG774" s="139"/>
      <c r="AH774" s="139"/>
      <c r="AI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c r="AB775" s="139"/>
      <c r="AC775" s="139"/>
      <c r="AD775" s="139"/>
      <c r="AE775" s="139"/>
      <c r="AF775" s="139"/>
      <c r="AG775" s="139"/>
      <c r="AH775" s="139"/>
      <c r="AI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c r="AB776" s="139"/>
      <c r="AC776" s="139"/>
      <c r="AD776" s="139"/>
      <c r="AE776" s="139"/>
      <c r="AF776" s="139"/>
      <c r="AG776" s="139"/>
      <c r="AH776" s="139"/>
      <c r="AI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c r="AB777" s="139"/>
      <c r="AC777" s="139"/>
      <c r="AD777" s="139"/>
      <c r="AE777" s="139"/>
      <c r="AF777" s="139"/>
      <c r="AG777" s="139"/>
      <c r="AH777" s="139"/>
      <c r="AI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c r="AB778" s="139"/>
      <c r="AC778" s="139"/>
      <c r="AD778" s="139"/>
      <c r="AE778" s="139"/>
      <c r="AF778" s="139"/>
      <c r="AG778" s="139"/>
      <c r="AH778" s="139"/>
      <c r="AI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c r="AB779" s="139"/>
      <c r="AC779" s="139"/>
      <c r="AD779" s="139"/>
      <c r="AE779" s="139"/>
      <c r="AF779" s="139"/>
      <c r="AG779" s="139"/>
      <c r="AH779" s="139"/>
      <c r="AI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c r="AB780" s="139"/>
      <c r="AC780" s="139"/>
      <c r="AD780" s="139"/>
      <c r="AE780" s="139"/>
      <c r="AF780" s="139"/>
      <c r="AG780" s="139"/>
      <c r="AH780" s="139"/>
      <c r="AI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39"/>
      <c r="AH781" s="139"/>
      <c r="AI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39"/>
      <c r="AH782" s="139"/>
      <c r="AI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c r="AB783" s="139"/>
      <c r="AC783" s="139"/>
      <c r="AD783" s="139"/>
      <c r="AE783" s="139"/>
      <c r="AF783" s="139"/>
      <c r="AG783" s="139"/>
      <c r="AH783" s="139"/>
      <c r="AI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c r="AB784" s="139"/>
      <c r="AC784" s="139"/>
      <c r="AD784" s="139"/>
      <c r="AE784" s="139"/>
      <c r="AF784" s="139"/>
      <c r="AG784" s="139"/>
      <c r="AH784" s="139"/>
      <c r="AI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c r="AB785" s="139"/>
      <c r="AC785" s="139"/>
      <c r="AD785" s="139"/>
      <c r="AE785" s="139"/>
      <c r="AF785" s="139"/>
      <c r="AG785" s="139"/>
      <c r="AH785" s="139"/>
      <c r="AI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c r="AB786" s="139"/>
      <c r="AC786" s="139"/>
      <c r="AD786" s="139"/>
      <c r="AE786" s="139"/>
      <c r="AF786" s="139"/>
      <c r="AG786" s="139"/>
      <c r="AH786" s="139"/>
      <c r="AI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c r="AB787" s="139"/>
      <c r="AC787" s="139"/>
      <c r="AD787" s="139"/>
      <c r="AE787" s="139"/>
      <c r="AF787" s="139"/>
      <c r="AG787" s="139"/>
      <c r="AH787" s="139"/>
      <c r="AI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c r="AB788" s="139"/>
      <c r="AC788" s="139"/>
      <c r="AD788" s="139"/>
      <c r="AE788" s="139"/>
      <c r="AF788" s="139"/>
      <c r="AG788" s="139"/>
      <c r="AH788" s="139"/>
      <c r="AI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c r="AB789" s="139"/>
      <c r="AC789" s="139"/>
      <c r="AD789" s="139"/>
      <c r="AE789" s="139"/>
      <c r="AF789" s="139"/>
      <c r="AG789" s="139"/>
      <c r="AH789" s="139"/>
      <c r="AI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c r="AB790" s="139"/>
      <c r="AC790" s="139"/>
      <c r="AD790" s="139"/>
      <c r="AE790" s="139"/>
      <c r="AF790" s="139"/>
      <c r="AG790" s="139"/>
      <c r="AH790" s="139"/>
      <c r="AI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c r="AB791" s="139"/>
      <c r="AC791" s="139"/>
      <c r="AD791" s="139"/>
      <c r="AE791" s="139"/>
      <c r="AF791" s="139"/>
      <c r="AG791" s="139"/>
      <c r="AH791" s="139"/>
      <c r="AI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c r="AB792" s="139"/>
      <c r="AC792" s="139"/>
      <c r="AD792" s="139"/>
      <c r="AE792" s="139"/>
      <c r="AF792" s="139"/>
      <c r="AG792" s="139"/>
      <c r="AH792" s="139"/>
      <c r="AI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c r="AB793" s="139"/>
      <c r="AC793" s="139"/>
      <c r="AD793" s="139"/>
      <c r="AE793" s="139"/>
      <c r="AF793" s="139"/>
      <c r="AG793" s="139"/>
      <c r="AH793" s="139"/>
      <c r="AI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c r="AB794" s="139"/>
      <c r="AC794" s="139"/>
      <c r="AD794" s="139"/>
      <c r="AE794" s="139"/>
      <c r="AF794" s="139"/>
      <c r="AG794" s="139"/>
      <c r="AH794" s="139"/>
      <c r="AI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c r="AB795" s="139"/>
      <c r="AC795" s="139"/>
      <c r="AD795" s="139"/>
      <c r="AE795" s="139"/>
      <c r="AF795" s="139"/>
      <c r="AG795" s="139"/>
      <c r="AH795" s="139"/>
      <c r="AI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c r="AB796" s="139"/>
      <c r="AC796" s="139"/>
      <c r="AD796" s="139"/>
      <c r="AE796" s="139"/>
      <c r="AF796" s="139"/>
      <c r="AG796" s="139"/>
      <c r="AH796" s="139"/>
      <c r="AI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c r="AB797" s="139"/>
      <c r="AC797" s="139"/>
      <c r="AD797" s="139"/>
      <c r="AE797" s="139"/>
      <c r="AF797" s="139"/>
      <c r="AG797" s="139"/>
      <c r="AH797" s="139"/>
      <c r="AI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c r="AB798" s="139"/>
      <c r="AC798" s="139"/>
      <c r="AD798" s="139"/>
      <c r="AE798" s="139"/>
      <c r="AF798" s="139"/>
      <c r="AG798" s="139"/>
      <c r="AH798" s="139"/>
      <c r="AI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c r="AB799" s="139"/>
      <c r="AC799" s="139"/>
      <c r="AD799" s="139"/>
      <c r="AE799" s="139"/>
      <c r="AF799" s="139"/>
      <c r="AG799" s="139"/>
      <c r="AH799" s="139"/>
      <c r="AI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c r="AB800" s="139"/>
      <c r="AC800" s="139"/>
      <c r="AD800" s="139"/>
      <c r="AE800" s="139"/>
      <c r="AF800" s="139"/>
      <c r="AG800" s="139"/>
      <c r="AH800" s="139"/>
      <c r="AI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c r="AB801" s="139"/>
      <c r="AC801" s="139"/>
      <c r="AD801" s="139"/>
      <c r="AE801" s="139"/>
      <c r="AF801" s="139"/>
      <c r="AG801" s="139"/>
      <c r="AH801" s="139"/>
      <c r="AI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c r="AB802" s="139"/>
      <c r="AC802" s="139"/>
      <c r="AD802" s="139"/>
      <c r="AE802" s="139"/>
      <c r="AF802" s="139"/>
      <c r="AG802" s="139"/>
      <c r="AH802" s="139"/>
      <c r="AI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c r="AH803" s="139"/>
      <c r="AI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139"/>
      <c r="AH804" s="139"/>
      <c r="AI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c r="AB805" s="139"/>
      <c r="AC805" s="139"/>
      <c r="AD805" s="139"/>
      <c r="AE805" s="139"/>
      <c r="AF805" s="139"/>
      <c r="AG805" s="139"/>
      <c r="AH805" s="139"/>
      <c r="AI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c r="AB806" s="139"/>
      <c r="AC806" s="139"/>
      <c r="AD806" s="139"/>
      <c r="AE806" s="139"/>
      <c r="AF806" s="139"/>
      <c r="AG806" s="139"/>
      <c r="AH806" s="139"/>
      <c r="AI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c r="AB807" s="139"/>
      <c r="AC807" s="139"/>
      <c r="AD807" s="139"/>
      <c r="AE807" s="139"/>
      <c r="AF807" s="139"/>
      <c r="AG807" s="139"/>
      <c r="AH807" s="139"/>
      <c r="AI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c r="AB808" s="139"/>
      <c r="AC808" s="139"/>
      <c r="AD808" s="139"/>
      <c r="AE808" s="139"/>
      <c r="AF808" s="139"/>
      <c r="AG808" s="139"/>
      <c r="AH808" s="139"/>
      <c r="AI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c r="AB809" s="139"/>
      <c r="AC809" s="139"/>
      <c r="AD809" s="139"/>
      <c r="AE809" s="139"/>
      <c r="AF809" s="139"/>
      <c r="AG809" s="139"/>
      <c r="AH809" s="139"/>
      <c r="AI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c r="AB810" s="139"/>
      <c r="AC810" s="139"/>
      <c r="AD810" s="139"/>
      <c r="AE810" s="139"/>
      <c r="AF810" s="139"/>
      <c r="AG810" s="139"/>
      <c r="AH810" s="139"/>
      <c r="AI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c r="AB811" s="139"/>
      <c r="AC811" s="139"/>
      <c r="AD811" s="139"/>
      <c r="AE811" s="139"/>
      <c r="AF811" s="139"/>
      <c r="AG811" s="139"/>
      <c r="AH811" s="139"/>
      <c r="AI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c r="AB812" s="139"/>
      <c r="AC812" s="139"/>
      <c r="AD812" s="139"/>
      <c r="AE812" s="139"/>
      <c r="AF812" s="139"/>
      <c r="AG812" s="139"/>
      <c r="AH812" s="139"/>
      <c r="AI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c r="AB813" s="139"/>
      <c r="AC813" s="139"/>
      <c r="AD813" s="139"/>
      <c r="AE813" s="139"/>
      <c r="AF813" s="139"/>
      <c r="AG813" s="139"/>
      <c r="AH813" s="139"/>
      <c r="AI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c r="AB814" s="139"/>
      <c r="AC814" s="139"/>
      <c r="AD814" s="139"/>
      <c r="AE814" s="139"/>
      <c r="AF814" s="139"/>
      <c r="AG814" s="139"/>
      <c r="AH814" s="139"/>
      <c r="AI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c r="AB815" s="139"/>
      <c r="AC815" s="139"/>
      <c r="AD815" s="139"/>
      <c r="AE815" s="139"/>
      <c r="AF815" s="139"/>
      <c r="AG815" s="139"/>
      <c r="AH815" s="139"/>
      <c r="AI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c r="AB816" s="139"/>
      <c r="AC816" s="139"/>
      <c r="AD816" s="139"/>
      <c r="AE816" s="139"/>
      <c r="AF816" s="139"/>
      <c r="AG816" s="139"/>
      <c r="AH816" s="139"/>
      <c r="AI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c r="AB817" s="139"/>
      <c r="AC817" s="139"/>
      <c r="AD817" s="139"/>
      <c r="AE817" s="139"/>
      <c r="AF817" s="139"/>
      <c r="AG817" s="139"/>
      <c r="AH817" s="139"/>
      <c r="AI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c r="AB818" s="139"/>
      <c r="AC818" s="139"/>
      <c r="AD818" s="139"/>
      <c r="AE818" s="139"/>
      <c r="AF818" s="139"/>
      <c r="AG818" s="139"/>
      <c r="AH818" s="139"/>
      <c r="AI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c r="AB819" s="139"/>
      <c r="AC819" s="139"/>
      <c r="AD819" s="139"/>
      <c r="AE819" s="139"/>
      <c r="AF819" s="139"/>
      <c r="AG819" s="139"/>
      <c r="AH819" s="139"/>
      <c r="AI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c r="AB820" s="139"/>
      <c r="AC820" s="139"/>
      <c r="AD820" s="139"/>
      <c r="AE820" s="139"/>
      <c r="AF820" s="139"/>
      <c r="AG820" s="139"/>
      <c r="AH820" s="139"/>
      <c r="AI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c r="AB821" s="139"/>
      <c r="AC821" s="139"/>
      <c r="AD821" s="139"/>
      <c r="AE821" s="139"/>
      <c r="AF821" s="139"/>
      <c r="AG821" s="139"/>
      <c r="AH821" s="139"/>
      <c r="AI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c r="AB822" s="139"/>
      <c r="AC822" s="139"/>
      <c r="AD822" s="139"/>
      <c r="AE822" s="139"/>
      <c r="AF822" s="139"/>
      <c r="AG822" s="139"/>
      <c r="AH822" s="139"/>
      <c r="AI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c r="AB823" s="139"/>
      <c r="AC823" s="139"/>
      <c r="AD823" s="139"/>
      <c r="AE823" s="139"/>
      <c r="AF823" s="139"/>
      <c r="AG823" s="139"/>
      <c r="AH823" s="139"/>
      <c r="AI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c r="AB824" s="139"/>
      <c r="AC824" s="139"/>
      <c r="AD824" s="139"/>
      <c r="AE824" s="139"/>
      <c r="AF824" s="139"/>
      <c r="AG824" s="139"/>
      <c r="AH824" s="139"/>
      <c r="AI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c r="AB825" s="139"/>
      <c r="AC825" s="139"/>
      <c r="AD825" s="139"/>
      <c r="AE825" s="139"/>
      <c r="AF825" s="139"/>
      <c r="AG825" s="139"/>
      <c r="AH825" s="139"/>
      <c r="AI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c r="AB826" s="139"/>
      <c r="AC826" s="139"/>
      <c r="AD826" s="139"/>
      <c r="AE826" s="139"/>
      <c r="AF826" s="139"/>
      <c r="AG826" s="139"/>
      <c r="AH826" s="139"/>
      <c r="AI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c r="AB827" s="139"/>
      <c r="AC827" s="139"/>
      <c r="AD827" s="139"/>
      <c r="AE827" s="139"/>
      <c r="AF827" s="139"/>
      <c r="AG827" s="139"/>
      <c r="AH827" s="139"/>
      <c r="AI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c r="AB828" s="139"/>
      <c r="AC828" s="139"/>
      <c r="AD828" s="139"/>
      <c r="AE828" s="139"/>
      <c r="AF828" s="139"/>
      <c r="AG828" s="139"/>
      <c r="AH828" s="139"/>
      <c r="AI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c r="AB829" s="139"/>
      <c r="AC829" s="139"/>
      <c r="AD829" s="139"/>
      <c r="AE829" s="139"/>
      <c r="AF829" s="139"/>
      <c r="AG829" s="139"/>
      <c r="AH829" s="139"/>
      <c r="AI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c r="AB830" s="139"/>
      <c r="AC830" s="139"/>
      <c r="AD830" s="139"/>
      <c r="AE830" s="139"/>
      <c r="AF830" s="139"/>
      <c r="AG830" s="139"/>
      <c r="AH830" s="139"/>
      <c r="AI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c r="AB831" s="139"/>
      <c r="AC831" s="139"/>
      <c r="AD831" s="139"/>
      <c r="AE831" s="139"/>
      <c r="AF831" s="139"/>
      <c r="AG831" s="139"/>
      <c r="AH831" s="139"/>
      <c r="AI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c r="AB832" s="139"/>
      <c r="AC832" s="139"/>
      <c r="AD832" s="139"/>
      <c r="AE832" s="139"/>
      <c r="AF832" s="139"/>
      <c r="AG832" s="139"/>
      <c r="AH832" s="139"/>
      <c r="AI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c r="AB833" s="139"/>
      <c r="AC833" s="139"/>
      <c r="AD833" s="139"/>
      <c r="AE833" s="139"/>
      <c r="AF833" s="139"/>
      <c r="AG833" s="139"/>
      <c r="AH833" s="139"/>
      <c r="AI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c r="AB834" s="139"/>
      <c r="AC834" s="139"/>
      <c r="AD834" s="139"/>
      <c r="AE834" s="139"/>
      <c r="AF834" s="139"/>
      <c r="AG834" s="139"/>
      <c r="AH834" s="139"/>
      <c r="AI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c r="AB835" s="139"/>
      <c r="AC835" s="139"/>
      <c r="AD835" s="139"/>
      <c r="AE835" s="139"/>
      <c r="AF835" s="139"/>
      <c r="AG835" s="139"/>
      <c r="AH835" s="139"/>
      <c r="AI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c r="AB836" s="139"/>
      <c r="AC836" s="139"/>
      <c r="AD836" s="139"/>
      <c r="AE836" s="139"/>
      <c r="AF836" s="139"/>
      <c r="AG836" s="139"/>
      <c r="AH836" s="139"/>
      <c r="AI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c r="AB837" s="139"/>
      <c r="AC837" s="139"/>
      <c r="AD837" s="139"/>
      <c r="AE837" s="139"/>
      <c r="AF837" s="139"/>
      <c r="AG837" s="139"/>
      <c r="AH837" s="139"/>
      <c r="AI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c r="AB838" s="139"/>
      <c r="AC838" s="139"/>
      <c r="AD838" s="139"/>
      <c r="AE838" s="139"/>
      <c r="AF838" s="139"/>
      <c r="AG838" s="139"/>
      <c r="AH838" s="139"/>
      <c r="AI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c r="AB839" s="139"/>
      <c r="AC839" s="139"/>
      <c r="AD839" s="139"/>
      <c r="AE839" s="139"/>
      <c r="AF839" s="139"/>
      <c r="AG839" s="139"/>
      <c r="AH839" s="139"/>
      <c r="AI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c r="AB840" s="139"/>
      <c r="AC840" s="139"/>
      <c r="AD840" s="139"/>
      <c r="AE840" s="139"/>
      <c r="AF840" s="139"/>
      <c r="AG840" s="139"/>
      <c r="AH840" s="139"/>
      <c r="AI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c r="AB841" s="139"/>
      <c r="AC841" s="139"/>
      <c r="AD841" s="139"/>
      <c r="AE841" s="139"/>
      <c r="AF841" s="139"/>
      <c r="AG841" s="139"/>
      <c r="AH841" s="139"/>
      <c r="AI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c r="AB842" s="139"/>
      <c r="AC842" s="139"/>
      <c r="AD842" s="139"/>
      <c r="AE842" s="139"/>
      <c r="AF842" s="139"/>
      <c r="AG842" s="139"/>
      <c r="AH842" s="139"/>
      <c r="AI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c r="AB843" s="139"/>
      <c r="AC843" s="139"/>
      <c r="AD843" s="139"/>
      <c r="AE843" s="139"/>
      <c r="AF843" s="139"/>
      <c r="AG843" s="139"/>
      <c r="AH843" s="139"/>
      <c r="AI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c r="AB844" s="139"/>
      <c r="AC844" s="139"/>
      <c r="AD844" s="139"/>
      <c r="AE844" s="139"/>
      <c r="AF844" s="139"/>
      <c r="AG844" s="139"/>
      <c r="AH844" s="139"/>
      <c r="AI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c r="AB845" s="139"/>
      <c r="AC845" s="139"/>
      <c r="AD845" s="139"/>
      <c r="AE845" s="139"/>
      <c r="AF845" s="139"/>
      <c r="AG845" s="139"/>
      <c r="AH845" s="139"/>
      <c r="AI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c r="AB846" s="139"/>
      <c r="AC846" s="139"/>
      <c r="AD846" s="139"/>
      <c r="AE846" s="139"/>
      <c r="AF846" s="139"/>
      <c r="AG846" s="139"/>
      <c r="AH846" s="139"/>
      <c r="AI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c r="AB847" s="139"/>
      <c r="AC847" s="139"/>
      <c r="AD847" s="139"/>
      <c r="AE847" s="139"/>
      <c r="AF847" s="139"/>
      <c r="AG847" s="139"/>
      <c r="AH847" s="139"/>
      <c r="AI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c r="AB848" s="139"/>
      <c r="AC848" s="139"/>
      <c r="AD848" s="139"/>
      <c r="AE848" s="139"/>
      <c r="AF848" s="139"/>
      <c r="AG848" s="139"/>
      <c r="AH848" s="139"/>
      <c r="AI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c r="AB849" s="139"/>
      <c r="AC849" s="139"/>
      <c r="AD849" s="139"/>
      <c r="AE849" s="139"/>
      <c r="AF849" s="139"/>
      <c r="AG849" s="139"/>
      <c r="AH849" s="139"/>
      <c r="AI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c r="AB850" s="139"/>
      <c r="AC850" s="139"/>
      <c r="AD850" s="139"/>
      <c r="AE850" s="139"/>
      <c r="AF850" s="139"/>
      <c r="AG850" s="139"/>
      <c r="AH850" s="139"/>
      <c r="AI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c r="AB851" s="139"/>
      <c r="AC851" s="139"/>
      <c r="AD851" s="139"/>
      <c r="AE851" s="139"/>
      <c r="AF851" s="139"/>
      <c r="AG851" s="139"/>
      <c r="AH851" s="139"/>
      <c r="AI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c r="AB852" s="139"/>
      <c r="AC852" s="139"/>
      <c r="AD852" s="139"/>
      <c r="AE852" s="139"/>
      <c r="AF852" s="139"/>
      <c r="AG852" s="139"/>
      <c r="AH852" s="139"/>
      <c r="AI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c r="AB853" s="139"/>
      <c r="AC853" s="139"/>
      <c r="AD853" s="139"/>
      <c r="AE853" s="139"/>
      <c r="AF853" s="139"/>
      <c r="AG853" s="139"/>
      <c r="AH853" s="139"/>
      <c r="AI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c r="AB854" s="139"/>
      <c r="AC854" s="139"/>
      <c r="AD854" s="139"/>
      <c r="AE854" s="139"/>
      <c r="AF854" s="139"/>
      <c r="AG854" s="139"/>
      <c r="AH854" s="139"/>
      <c r="AI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c r="AB855" s="139"/>
      <c r="AC855" s="139"/>
      <c r="AD855" s="139"/>
      <c r="AE855" s="139"/>
      <c r="AF855" s="139"/>
      <c r="AG855" s="139"/>
      <c r="AH855" s="139"/>
      <c r="AI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c r="AB856" s="139"/>
      <c r="AC856" s="139"/>
      <c r="AD856" s="139"/>
      <c r="AE856" s="139"/>
      <c r="AF856" s="139"/>
      <c r="AG856" s="139"/>
      <c r="AH856" s="139"/>
      <c r="AI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c r="AB857" s="139"/>
      <c r="AC857" s="139"/>
      <c r="AD857" s="139"/>
      <c r="AE857" s="139"/>
      <c r="AF857" s="139"/>
      <c r="AG857" s="139"/>
      <c r="AH857" s="139"/>
      <c r="AI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c r="AB858" s="139"/>
      <c r="AC858" s="139"/>
      <c r="AD858" s="139"/>
      <c r="AE858" s="139"/>
      <c r="AF858" s="139"/>
      <c r="AG858" s="139"/>
      <c r="AH858" s="139"/>
      <c r="AI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c r="AB859" s="139"/>
      <c r="AC859" s="139"/>
      <c r="AD859" s="139"/>
      <c r="AE859" s="139"/>
      <c r="AF859" s="139"/>
      <c r="AG859" s="139"/>
      <c r="AH859" s="139"/>
      <c r="AI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c r="AB860" s="139"/>
      <c r="AC860" s="139"/>
      <c r="AD860" s="139"/>
      <c r="AE860" s="139"/>
      <c r="AF860" s="139"/>
      <c r="AG860" s="139"/>
      <c r="AH860" s="139"/>
      <c r="AI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c r="AB861" s="139"/>
      <c r="AC861" s="139"/>
      <c r="AD861" s="139"/>
      <c r="AE861" s="139"/>
      <c r="AF861" s="139"/>
      <c r="AG861" s="139"/>
      <c r="AH861" s="139"/>
      <c r="AI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c r="AB862" s="139"/>
      <c r="AC862" s="139"/>
      <c r="AD862" s="139"/>
      <c r="AE862" s="139"/>
      <c r="AF862" s="139"/>
      <c r="AG862" s="139"/>
      <c r="AH862" s="139"/>
      <c r="AI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c r="AB863" s="139"/>
      <c r="AC863" s="139"/>
      <c r="AD863" s="139"/>
      <c r="AE863" s="139"/>
      <c r="AF863" s="139"/>
      <c r="AG863" s="139"/>
      <c r="AH863" s="139"/>
      <c r="AI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c r="AB864" s="139"/>
      <c r="AC864" s="139"/>
      <c r="AD864" s="139"/>
      <c r="AE864" s="139"/>
      <c r="AF864" s="139"/>
      <c r="AG864" s="139"/>
      <c r="AH864" s="139"/>
      <c r="AI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c r="AB865" s="139"/>
      <c r="AC865" s="139"/>
      <c r="AD865" s="139"/>
      <c r="AE865" s="139"/>
      <c r="AF865" s="139"/>
      <c r="AG865" s="139"/>
      <c r="AH865" s="139"/>
      <c r="AI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c r="AB866" s="139"/>
      <c r="AC866" s="139"/>
      <c r="AD866" s="139"/>
      <c r="AE866" s="139"/>
      <c r="AF866" s="139"/>
      <c r="AG866" s="139"/>
      <c r="AH866" s="139"/>
      <c r="AI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c r="AB867" s="139"/>
      <c r="AC867" s="139"/>
      <c r="AD867" s="139"/>
      <c r="AE867" s="139"/>
      <c r="AF867" s="139"/>
      <c r="AG867" s="139"/>
      <c r="AH867" s="139"/>
      <c r="AI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c r="AB868" s="139"/>
      <c r="AC868" s="139"/>
      <c r="AD868" s="139"/>
      <c r="AE868" s="139"/>
      <c r="AF868" s="139"/>
      <c r="AG868" s="139"/>
      <c r="AH868" s="139"/>
      <c r="AI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c r="AB869" s="139"/>
      <c r="AC869" s="139"/>
      <c r="AD869" s="139"/>
      <c r="AE869" s="139"/>
      <c r="AF869" s="139"/>
      <c r="AG869" s="139"/>
      <c r="AH869" s="139"/>
      <c r="AI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c r="AB870" s="139"/>
      <c r="AC870" s="139"/>
      <c r="AD870" s="139"/>
      <c r="AE870" s="139"/>
      <c r="AF870" s="139"/>
      <c r="AG870" s="139"/>
      <c r="AH870" s="139"/>
      <c r="AI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c r="AB871" s="139"/>
      <c r="AC871" s="139"/>
      <c r="AD871" s="139"/>
      <c r="AE871" s="139"/>
      <c r="AF871" s="139"/>
      <c r="AG871" s="139"/>
      <c r="AH871" s="139"/>
      <c r="AI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c r="AB872" s="139"/>
      <c r="AC872" s="139"/>
      <c r="AD872" s="139"/>
      <c r="AE872" s="139"/>
      <c r="AF872" s="139"/>
      <c r="AG872" s="139"/>
      <c r="AH872" s="139"/>
      <c r="AI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c r="AB873" s="139"/>
      <c r="AC873" s="139"/>
      <c r="AD873" s="139"/>
      <c r="AE873" s="139"/>
      <c r="AF873" s="139"/>
      <c r="AG873" s="139"/>
      <c r="AH873" s="139"/>
      <c r="AI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c r="AB874" s="139"/>
      <c r="AC874" s="139"/>
      <c r="AD874" s="139"/>
      <c r="AE874" s="139"/>
      <c r="AF874" s="139"/>
      <c r="AG874" s="139"/>
      <c r="AH874" s="139"/>
      <c r="AI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c r="AB875" s="139"/>
      <c r="AC875" s="139"/>
      <c r="AD875" s="139"/>
      <c r="AE875" s="139"/>
      <c r="AF875" s="139"/>
      <c r="AG875" s="139"/>
      <c r="AH875" s="139"/>
      <c r="AI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c r="AB876" s="139"/>
      <c r="AC876" s="139"/>
      <c r="AD876" s="139"/>
      <c r="AE876" s="139"/>
      <c r="AF876" s="139"/>
      <c r="AG876" s="139"/>
      <c r="AH876" s="139"/>
      <c r="AI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c r="AB877" s="139"/>
      <c r="AC877" s="139"/>
      <c r="AD877" s="139"/>
      <c r="AE877" s="139"/>
      <c r="AF877" s="139"/>
      <c r="AG877" s="139"/>
      <c r="AH877" s="139"/>
      <c r="AI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c r="AB878" s="139"/>
      <c r="AC878" s="139"/>
      <c r="AD878" s="139"/>
      <c r="AE878" s="139"/>
      <c r="AF878" s="139"/>
      <c r="AG878" s="139"/>
      <c r="AH878" s="139"/>
      <c r="AI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c r="AB879" s="139"/>
      <c r="AC879" s="139"/>
      <c r="AD879" s="139"/>
      <c r="AE879" s="139"/>
      <c r="AF879" s="139"/>
      <c r="AG879" s="139"/>
      <c r="AH879" s="139"/>
      <c r="AI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c r="AB880" s="139"/>
      <c r="AC880" s="139"/>
      <c r="AD880" s="139"/>
      <c r="AE880" s="139"/>
      <c r="AF880" s="139"/>
      <c r="AG880" s="139"/>
      <c r="AH880" s="139"/>
      <c r="AI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c r="AB881" s="139"/>
      <c r="AC881" s="139"/>
      <c r="AD881" s="139"/>
      <c r="AE881" s="139"/>
      <c r="AF881" s="139"/>
      <c r="AG881" s="139"/>
      <c r="AH881" s="139"/>
      <c r="AI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c r="AB882" s="139"/>
      <c r="AC882" s="139"/>
      <c r="AD882" s="139"/>
      <c r="AE882" s="139"/>
      <c r="AF882" s="139"/>
      <c r="AG882" s="139"/>
      <c r="AH882" s="139"/>
      <c r="AI882" s="139"/>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c r="AB883" s="139"/>
      <c r="AC883" s="139"/>
      <c r="AD883" s="139"/>
      <c r="AE883" s="139"/>
      <c r="AF883" s="139"/>
      <c r="AG883" s="139"/>
      <c r="AH883" s="139"/>
      <c r="AI883" s="139"/>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c r="AB884" s="139"/>
      <c r="AC884" s="139"/>
      <c r="AD884" s="139"/>
      <c r="AE884" s="139"/>
      <c r="AF884" s="139"/>
      <c r="AG884" s="139"/>
      <c r="AH884" s="139"/>
      <c r="AI884" s="139"/>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c r="AB885" s="139"/>
      <c r="AC885" s="139"/>
      <c r="AD885" s="139"/>
      <c r="AE885" s="139"/>
      <c r="AF885" s="139"/>
      <c r="AG885" s="139"/>
      <c r="AH885" s="139"/>
      <c r="AI885" s="139"/>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c r="AB886" s="139"/>
      <c r="AC886" s="139"/>
      <c r="AD886" s="139"/>
      <c r="AE886" s="139"/>
      <c r="AF886" s="139"/>
      <c r="AG886" s="139"/>
      <c r="AH886" s="139"/>
      <c r="AI886" s="139"/>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c r="AB887" s="139"/>
      <c r="AC887" s="139"/>
      <c r="AD887" s="139"/>
      <c r="AE887" s="139"/>
      <c r="AF887" s="139"/>
      <c r="AG887" s="139"/>
      <c r="AH887" s="139"/>
      <c r="AI887" s="139"/>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c r="AB888" s="139"/>
      <c r="AC888" s="139"/>
      <c r="AD888" s="139"/>
      <c r="AE888" s="139"/>
      <c r="AF888" s="139"/>
      <c r="AG888" s="139"/>
      <c r="AH888" s="139"/>
      <c r="AI888" s="139"/>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c r="AB889" s="139"/>
      <c r="AC889" s="139"/>
      <c r="AD889" s="139"/>
      <c r="AE889" s="139"/>
      <c r="AF889" s="139"/>
      <c r="AG889" s="139"/>
      <c r="AH889" s="139"/>
      <c r="AI889" s="139"/>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c r="AB890" s="139"/>
      <c r="AC890" s="139"/>
      <c r="AD890" s="139"/>
      <c r="AE890" s="139"/>
      <c r="AF890" s="139"/>
      <c r="AG890" s="139"/>
      <c r="AH890" s="139"/>
      <c r="AI890" s="139"/>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c r="AB891" s="139"/>
      <c r="AC891" s="139"/>
      <c r="AD891" s="139"/>
      <c r="AE891" s="139"/>
      <c r="AF891" s="139"/>
      <c r="AG891" s="139"/>
      <c r="AH891" s="139"/>
      <c r="AI891" s="139"/>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c r="AB892" s="139"/>
      <c r="AC892" s="139"/>
      <c r="AD892" s="139"/>
      <c r="AE892" s="139"/>
      <c r="AF892" s="139"/>
      <c r="AG892" s="139"/>
      <c r="AH892" s="139"/>
      <c r="AI892" s="139"/>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c r="AB893" s="139"/>
      <c r="AC893" s="139"/>
      <c r="AD893" s="139"/>
      <c r="AE893" s="139"/>
      <c r="AF893" s="139"/>
      <c r="AG893" s="139"/>
      <c r="AH893" s="139"/>
      <c r="AI893" s="139"/>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c r="AB894" s="139"/>
      <c r="AC894" s="139"/>
      <c r="AD894" s="139"/>
      <c r="AE894" s="139"/>
      <c r="AF894" s="139"/>
      <c r="AG894" s="139"/>
      <c r="AH894" s="139"/>
      <c r="AI894" s="139"/>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c r="AB895" s="139"/>
      <c r="AC895" s="139"/>
      <c r="AD895" s="139"/>
      <c r="AE895" s="139"/>
      <c r="AF895" s="139"/>
      <c r="AG895" s="139"/>
      <c r="AH895" s="139"/>
      <c r="AI895" s="139"/>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c r="AB896" s="139"/>
      <c r="AC896" s="139"/>
      <c r="AD896" s="139"/>
      <c r="AE896" s="139"/>
      <c r="AF896" s="139"/>
      <c r="AG896" s="139"/>
      <c r="AH896" s="139"/>
      <c r="AI896" s="139"/>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c r="AB897" s="139"/>
      <c r="AC897" s="139"/>
      <c r="AD897" s="139"/>
      <c r="AE897" s="139"/>
      <c r="AF897" s="139"/>
      <c r="AG897" s="139"/>
      <c r="AH897" s="139"/>
      <c r="AI897" s="139"/>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c r="AB898" s="139"/>
      <c r="AC898" s="139"/>
      <c r="AD898" s="139"/>
      <c r="AE898" s="139"/>
      <c r="AF898" s="139"/>
      <c r="AG898" s="139"/>
      <c r="AH898" s="139"/>
      <c r="AI898" s="139"/>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c r="AB899" s="139"/>
      <c r="AC899" s="139"/>
      <c r="AD899" s="139"/>
      <c r="AE899" s="139"/>
      <c r="AF899" s="139"/>
      <c r="AG899" s="139"/>
      <c r="AH899" s="139"/>
      <c r="AI899" s="139"/>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c r="AB900" s="139"/>
      <c r="AC900" s="139"/>
      <c r="AD900" s="139"/>
      <c r="AE900" s="139"/>
      <c r="AF900" s="139"/>
      <c r="AG900" s="139"/>
      <c r="AH900" s="139"/>
      <c r="AI900" s="139"/>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c r="AB901" s="139"/>
      <c r="AC901" s="139"/>
      <c r="AD901" s="139"/>
      <c r="AE901" s="139"/>
      <c r="AF901" s="139"/>
      <c r="AG901" s="139"/>
      <c r="AH901" s="139"/>
      <c r="AI901" s="139"/>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c r="AB902" s="139"/>
      <c r="AC902" s="139"/>
      <c r="AD902" s="139"/>
      <c r="AE902" s="139"/>
      <c r="AF902" s="139"/>
      <c r="AG902" s="139"/>
      <c r="AH902" s="139"/>
      <c r="AI902" s="139"/>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c r="AB903" s="139"/>
      <c r="AC903" s="139"/>
      <c r="AD903" s="139"/>
      <c r="AE903" s="139"/>
      <c r="AF903" s="139"/>
      <c r="AG903" s="139"/>
      <c r="AH903" s="139"/>
      <c r="AI903" s="139"/>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c r="AB904" s="139"/>
      <c r="AC904" s="139"/>
      <c r="AD904" s="139"/>
      <c r="AE904" s="139"/>
      <c r="AF904" s="139"/>
      <c r="AG904" s="139"/>
      <c r="AH904" s="139"/>
      <c r="AI904" s="139"/>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c r="AB905" s="139"/>
      <c r="AC905" s="139"/>
      <c r="AD905" s="139"/>
      <c r="AE905" s="139"/>
      <c r="AF905" s="139"/>
      <c r="AG905" s="139"/>
      <c r="AH905" s="139"/>
      <c r="AI905" s="139"/>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c r="AB906" s="139"/>
      <c r="AC906" s="139"/>
      <c r="AD906" s="139"/>
      <c r="AE906" s="139"/>
      <c r="AF906" s="139"/>
      <c r="AG906" s="139"/>
      <c r="AH906" s="139"/>
      <c r="AI906" s="139"/>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c r="AB907" s="139"/>
      <c r="AC907" s="139"/>
      <c r="AD907" s="139"/>
      <c r="AE907" s="139"/>
      <c r="AF907" s="139"/>
      <c r="AG907" s="139"/>
      <c r="AH907" s="139"/>
      <c r="AI907" s="139"/>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c r="AB908" s="139"/>
      <c r="AC908" s="139"/>
      <c r="AD908" s="139"/>
      <c r="AE908" s="139"/>
      <c r="AF908" s="139"/>
      <c r="AG908" s="139"/>
      <c r="AH908" s="139"/>
      <c r="AI908" s="139"/>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c r="AB909" s="139"/>
      <c r="AC909" s="139"/>
      <c r="AD909" s="139"/>
      <c r="AE909" s="139"/>
      <c r="AF909" s="139"/>
      <c r="AG909" s="139"/>
      <c r="AH909" s="139"/>
      <c r="AI909" s="139"/>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c r="AB910" s="139"/>
      <c r="AC910" s="139"/>
      <c r="AD910" s="139"/>
      <c r="AE910" s="139"/>
      <c r="AF910" s="139"/>
      <c r="AG910" s="139"/>
      <c r="AH910" s="139"/>
      <c r="AI910" s="139"/>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c r="AB911" s="139"/>
      <c r="AC911" s="139"/>
      <c r="AD911" s="139"/>
      <c r="AE911" s="139"/>
      <c r="AF911" s="139"/>
      <c r="AG911" s="139"/>
      <c r="AH911" s="139"/>
      <c r="AI911" s="139"/>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c r="AB912" s="139"/>
      <c r="AC912" s="139"/>
      <c r="AD912" s="139"/>
      <c r="AE912" s="139"/>
      <c r="AF912" s="139"/>
      <c r="AG912" s="139"/>
      <c r="AH912" s="139"/>
      <c r="AI912" s="139"/>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c r="AB913" s="139"/>
      <c r="AC913" s="139"/>
      <c r="AD913" s="139"/>
      <c r="AE913" s="139"/>
      <c r="AF913" s="139"/>
      <c r="AG913" s="139"/>
      <c r="AH913" s="139"/>
      <c r="AI913" s="139"/>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c r="AB914" s="139"/>
      <c r="AC914" s="139"/>
      <c r="AD914" s="139"/>
      <c r="AE914" s="139"/>
      <c r="AF914" s="139"/>
      <c r="AG914" s="139"/>
      <c r="AH914" s="139"/>
      <c r="AI914" s="139"/>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c r="AB915" s="139"/>
      <c r="AC915" s="139"/>
      <c r="AD915" s="139"/>
      <c r="AE915" s="139"/>
      <c r="AF915" s="139"/>
      <c r="AG915" s="139"/>
      <c r="AH915" s="139"/>
      <c r="AI915" s="139"/>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c r="AB916" s="139"/>
      <c r="AC916" s="139"/>
      <c r="AD916" s="139"/>
      <c r="AE916" s="139"/>
      <c r="AF916" s="139"/>
      <c r="AG916" s="139"/>
      <c r="AH916" s="139"/>
      <c r="AI916" s="139"/>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c r="AB917" s="139"/>
      <c r="AC917" s="139"/>
      <c r="AD917" s="139"/>
      <c r="AE917" s="139"/>
      <c r="AF917" s="139"/>
      <c r="AG917" s="139"/>
      <c r="AH917" s="139"/>
      <c r="AI917" s="139"/>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c r="AB918" s="139"/>
      <c r="AC918" s="139"/>
      <c r="AD918" s="139"/>
      <c r="AE918" s="139"/>
      <c r="AF918" s="139"/>
      <c r="AG918" s="139"/>
      <c r="AH918" s="139"/>
      <c r="AI918" s="139"/>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c r="AB919" s="139"/>
      <c r="AC919" s="139"/>
      <c r="AD919" s="139"/>
      <c r="AE919" s="139"/>
      <c r="AF919" s="139"/>
      <c r="AG919" s="139"/>
      <c r="AH919" s="139"/>
      <c r="AI919" s="139"/>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c r="AB920" s="139"/>
      <c r="AC920" s="139"/>
      <c r="AD920" s="139"/>
      <c r="AE920" s="139"/>
      <c r="AF920" s="139"/>
      <c r="AG920" s="139"/>
      <c r="AH920" s="139"/>
      <c r="AI920" s="139"/>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c r="AB921" s="139"/>
      <c r="AC921" s="139"/>
      <c r="AD921" s="139"/>
      <c r="AE921" s="139"/>
      <c r="AF921" s="139"/>
      <c r="AG921" s="139"/>
      <c r="AH921" s="139"/>
      <c r="AI921" s="139"/>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c r="AB922" s="139"/>
      <c r="AC922" s="139"/>
      <c r="AD922" s="139"/>
      <c r="AE922" s="139"/>
      <c r="AF922" s="139"/>
      <c r="AG922" s="139"/>
      <c r="AH922" s="139"/>
      <c r="AI922" s="139"/>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c r="AB923" s="139"/>
      <c r="AC923" s="139"/>
      <c r="AD923" s="139"/>
      <c r="AE923" s="139"/>
      <c r="AF923" s="139"/>
      <c r="AG923" s="139"/>
      <c r="AH923" s="139"/>
      <c r="AI923" s="139"/>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c r="AB924" s="139"/>
      <c r="AC924" s="139"/>
      <c r="AD924" s="139"/>
      <c r="AE924" s="139"/>
      <c r="AF924" s="139"/>
      <c r="AG924" s="139"/>
      <c r="AH924" s="139"/>
      <c r="AI924" s="139"/>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c r="AB925" s="139"/>
      <c r="AC925" s="139"/>
      <c r="AD925" s="139"/>
      <c r="AE925" s="139"/>
      <c r="AF925" s="139"/>
      <c r="AG925" s="139"/>
      <c r="AH925" s="139"/>
      <c r="AI925" s="139"/>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c r="AB926" s="139"/>
      <c r="AC926" s="139"/>
      <c r="AD926" s="139"/>
      <c r="AE926" s="139"/>
      <c r="AF926" s="139"/>
      <c r="AG926" s="139"/>
      <c r="AH926" s="139"/>
      <c r="AI926" s="139"/>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c r="AB927" s="139"/>
      <c r="AC927" s="139"/>
      <c r="AD927" s="139"/>
      <c r="AE927" s="139"/>
      <c r="AF927" s="139"/>
      <c r="AG927" s="139"/>
      <c r="AH927" s="139"/>
      <c r="AI927" s="139"/>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c r="AB928" s="139"/>
      <c r="AC928" s="139"/>
      <c r="AD928" s="139"/>
      <c r="AE928" s="139"/>
      <c r="AF928" s="139"/>
      <c r="AG928" s="139"/>
      <c r="AH928" s="139"/>
      <c r="AI928" s="139"/>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c r="AB929" s="139"/>
      <c r="AC929" s="139"/>
      <c r="AD929" s="139"/>
      <c r="AE929" s="139"/>
      <c r="AF929" s="139"/>
      <c r="AG929" s="139"/>
      <c r="AH929" s="139"/>
      <c r="AI929" s="139"/>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c r="AB930" s="139"/>
      <c r="AC930" s="139"/>
      <c r="AD930" s="139"/>
      <c r="AE930" s="139"/>
      <c r="AF930" s="139"/>
      <c r="AG930" s="139"/>
      <c r="AH930" s="139"/>
      <c r="AI930" s="139"/>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c r="AB931" s="139"/>
      <c r="AC931" s="139"/>
      <c r="AD931" s="139"/>
      <c r="AE931" s="139"/>
      <c r="AF931" s="139"/>
      <c r="AG931" s="139"/>
      <c r="AH931" s="139"/>
      <c r="AI931" s="139"/>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c r="AB932" s="139"/>
      <c r="AC932" s="139"/>
      <c r="AD932" s="139"/>
      <c r="AE932" s="139"/>
      <c r="AF932" s="139"/>
      <c r="AG932" s="139"/>
      <c r="AH932" s="139"/>
      <c r="AI932" s="139"/>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c r="AB933" s="139"/>
      <c r="AC933" s="139"/>
      <c r="AD933" s="139"/>
      <c r="AE933" s="139"/>
      <c r="AF933" s="139"/>
      <c r="AG933" s="139"/>
      <c r="AH933" s="139"/>
      <c r="AI933" s="139"/>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c r="AB934" s="139"/>
      <c r="AC934" s="139"/>
      <c r="AD934" s="139"/>
      <c r="AE934" s="139"/>
      <c r="AF934" s="139"/>
      <c r="AG934" s="139"/>
      <c r="AH934" s="139"/>
      <c r="AI934" s="139"/>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c r="AB935" s="139"/>
      <c r="AC935" s="139"/>
      <c r="AD935" s="139"/>
      <c r="AE935" s="139"/>
      <c r="AF935" s="139"/>
      <c r="AG935" s="139"/>
      <c r="AH935" s="139"/>
      <c r="AI935" s="139"/>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c r="AB936" s="139"/>
      <c r="AC936" s="139"/>
      <c r="AD936" s="139"/>
      <c r="AE936" s="139"/>
      <c r="AF936" s="139"/>
      <c r="AG936" s="139"/>
      <c r="AH936" s="139"/>
      <c r="AI936" s="139"/>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c r="AB937" s="139"/>
      <c r="AC937" s="139"/>
      <c r="AD937" s="139"/>
      <c r="AE937" s="139"/>
      <c r="AF937" s="139"/>
      <c r="AG937" s="139"/>
      <c r="AH937" s="139"/>
      <c r="AI937" s="139"/>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c r="AB938" s="139"/>
      <c r="AC938" s="139"/>
      <c r="AD938" s="139"/>
      <c r="AE938" s="139"/>
      <c r="AF938" s="139"/>
      <c r="AG938" s="139"/>
      <c r="AH938" s="139"/>
      <c r="AI938" s="139"/>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c r="AB939" s="139"/>
      <c r="AC939" s="139"/>
      <c r="AD939" s="139"/>
      <c r="AE939" s="139"/>
      <c r="AF939" s="139"/>
      <c r="AG939" s="139"/>
      <c r="AH939" s="139"/>
      <c r="AI939" s="139"/>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c r="AB940" s="139"/>
      <c r="AC940" s="139"/>
      <c r="AD940" s="139"/>
      <c r="AE940" s="139"/>
      <c r="AF940" s="139"/>
      <c r="AG940" s="139"/>
      <c r="AH940" s="139"/>
      <c r="AI940" s="139"/>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c r="AB941" s="139"/>
      <c r="AC941" s="139"/>
      <c r="AD941" s="139"/>
      <c r="AE941" s="139"/>
      <c r="AF941" s="139"/>
      <c r="AG941" s="139"/>
      <c r="AH941" s="139"/>
      <c r="AI941" s="139"/>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c r="AB942" s="139"/>
      <c r="AC942" s="139"/>
      <c r="AD942" s="139"/>
      <c r="AE942" s="139"/>
      <c r="AF942" s="139"/>
      <c r="AG942" s="139"/>
      <c r="AH942" s="139"/>
      <c r="AI942" s="139"/>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c r="AB943" s="139"/>
      <c r="AC943" s="139"/>
      <c r="AD943" s="139"/>
      <c r="AE943" s="139"/>
      <c r="AF943" s="139"/>
      <c r="AG943" s="139"/>
      <c r="AH943" s="139"/>
      <c r="AI943" s="139"/>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c r="AB944" s="139"/>
      <c r="AC944" s="139"/>
      <c r="AD944" s="139"/>
      <c r="AE944" s="139"/>
      <c r="AF944" s="139"/>
      <c r="AG944" s="139"/>
      <c r="AH944" s="139"/>
      <c r="AI944" s="139"/>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c r="AB945" s="139"/>
      <c r="AC945" s="139"/>
      <c r="AD945" s="139"/>
      <c r="AE945" s="139"/>
      <c r="AF945" s="139"/>
      <c r="AG945" s="139"/>
      <c r="AH945" s="139"/>
      <c r="AI945" s="139"/>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c r="AB946" s="139"/>
      <c r="AC946" s="139"/>
      <c r="AD946" s="139"/>
      <c r="AE946" s="139"/>
      <c r="AF946" s="139"/>
      <c r="AG946" s="139"/>
      <c r="AH946" s="139"/>
      <c r="AI946" s="139"/>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c r="AB947" s="139"/>
      <c r="AC947" s="139"/>
      <c r="AD947" s="139"/>
      <c r="AE947" s="139"/>
      <c r="AF947" s="139"/>
      <c r="AG947" s="139"/>
      <c r="AH947" s="139"/>
      <c r="AI947" s="139"/>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c r="AB948" s="139"/>
      <c r="AC948" s="139"/>
      <c r="AD948" s="139"/>
      <c r="AE948" s="139"/>
      <c r="AF948" s="139"/>
      <c r="AG948" s="139"/>
      <c r="AH948" s="139"/>
      <c r="AI948" s="139"/>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c r="AB949" s="139"/>
      <c r="AC949" s="139"/>
      <c r="AD949" s="139"/>
      <c r="AE949" s="139"/>
      <c r="AF949" s="139"/>
      <c r="AG949" s="139"/>
      <c r="AH949" s="139"/>
      <c r="AI949" s="139"/>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c r="AB950" s="139"/>
      <c r="AC950" s="139"/>
      <c r="AD950" s="139"/>
      <c r="AE950" s="139"/>
      <c r="AF950" s="139"/>
      <c r="AG950" s="139"/>
      <c r="AH950" s="139"/>
      <c r="AI950" s="139"/>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c r="AB951" s="139"/>
      <c r="AC951" s="139"/>
      <c r="AD951" s="139"/>
      <c r="AE951" s="139"/>
      <c r="AF951" s="139"/>
      <c r="AG951" s="139"/>
      <c r="AH951" s="139"/>
      <c r="AI951" s="139"/>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c r="AB952" s="139"/>
      <c r="AC952" s="139"/>
      <c r="AD952" s="139"/>
      <c r="AE952" s="139"/>
      <c r="AF952" s="139"/>
      <c r="AG952" s="139"/>
      <c r="AH952" s="139"/>
      <c r="AI952" s="139"/>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c r="AB953" s="139"/>
      <c r="AC953" s="139"/>
      <c r="AD953" s="139"/>
      <c r="AE953" s="139"/>
      <c r="AF953" s="139"/>
      <c r="AG953" s="139"/>
      <c r="AH953" s="139"/>
      <c r="AI953" s="139"/>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c r="AB954" s="139"/>
      <c r="AC954" s="139"/>
      <c r="AD954" s="139"/>
      <c r="AE954" s="139"/>
      <c r="AF954" s="139"/>
      <c r="AG954" s="139"/>
      <c r="AH954" s="139"/>
      <c r="AI954" s="139"/>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c r="AB955" s="139"/>
      <c r="AC955" s="139"/>
      <c r="AD955" s="139"/>
      <c r="AE955" s="139"/>
      <c r="AF955" s="139"/>
      <c r="AG955" s="139"/>
      <c r="AH955" s="139"/>
      <c r="AI955" s="139"/>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c r="AB956" s="139"/>
      <c r="AC956" s="139"/>
      <c r="AD956" s="139"/>
      <c r="AE956" s="139"/>
      <c r="AF956" s="139"/>
      <c r="AG956" s="139"/>
      <c r="AH956" s="139"/>
      <c r="AI956" s="139"/>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c r="AB957" s="139"/>
      <c r="AC957" s="139"/>
      <c r="AD957" s="139"/>
      <c r="AE957" s="139"/>
      <c r="AF957" s="139"/>
      <c r="AG957" s="139"/>
      <c r="AH957" s="139"/>
      <c r="AI957" s="139"/>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c r="AB958" s="139"/>
      <c r="AC958" s="139"/>
      <c r="AD958" s="139"/>
      <c r="AE958" s="139"/>
      <c r="AF958" s="139"/>
      <c r="AG958" s="139"/>
      <c r="AH958" s="139"/>
      <c r="AI958" s="139"/>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c r="AB959" s="139"/>
      <c r="AC959" s="139"/>
      <c r="AD959" s="139"/>
      <c r="AE959" s="139"/>
      <c r="AF959" s="139"/>
      <c r="AG959" s="139"/>
      <c r="AH959" s="139"/>
      <c r="AI959" s="139"/>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c r="AB960" s="139"/>
      <c r="AC960" s="139"/>
      <c r="AD960" s="139"/>
      <c r="AE960" s="139"/>
      <c r="AF960" s="139"/>
      <c r="AG960" s="139"/>
      <c r="AH960" s="139"/>
      <c r="AI960" s="139"/>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c r="AB961" s="139"/>
      <c r="AC961" s="139"/>
      <c r="AD961" s="139"/>
      <c r="AE961" s="139"/>
      <c r="AF961" s="139"/>
      <c r="AG961" s="139"/>
      <c r="AH961" s="139"/>
      <c r="AI961" s="139"/>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c r="AB962" s="139"/>
      <c r="AC962" s="139"/>
      <c r="AD962" s="139"/>
      <c r="AE962" s="139"/>
      <c r="AF962" s="139"/>
      <c r="AG962" s="139"/>
      <c r="AH962" s="139"/>
      <c r="AI962" s="139"/>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c r="AB963" s="139"/>
      <c r="AC963" s="139"/>
      <c r="AD963" s="139"/>
      <c r="AE963" s="139"/>
      <c r="AF963" s="139"/>
      <c r="AG963" s="139"/>
      <c r="AH963" s="139"/>
      <c r="AI963" s="139"/>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c r="AB964" s="139"/>
      <c r="AC964" s="139"/>
      <c r="AD964" s="139"/>
      <c r="AE964" s="139"/>
      <c r="AF964" s="139"/>
      <c r="AG964" s="139"/>
      <c r="AH964" s="139"/>
      <c r="AI964" s="139"/>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c r="AB965" s="139"/>
      <c r="AC965" s="139"/>
      <c r="AD965" s="139"/>
      <c r="AE965" s="139"/>
      <c r="AF965" s="139"/>
      <c r="AG965" s="139"/>
      <c r="AH965" s="139"/>
      <c r="AI965" s="139"/>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c r="AB966" s="139"/>
      <c r="AC966" s="139"/>
      <c r="AD966" s="139"/>
      <c r="AE966" s="139"/>
      <c r="AF966" s="139"/>
      <c r="AG966" s="139"/>
      <c r="AH966" s="139"/>
      <c r="AI966" s="139"/>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c r="AB967" s="139"/>
      <c r="AC967" s="139"/>
      <c r="AD967" s="139"/>
      <c r="AE967" s="139"/>
      <c r="AF967" s="139"/>
      <c r="AG967" s="139"/>
      <c r="AH967" s="139"/>
      <c r="AI967" s="139"/>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c r="AB968" s="139"/>
      <c r="AC968" s="139"/>
      <c r="AD968" s="139"/>
      <c r="AE968" s="139"/>
      <c r="AF968" s="139"/>
      <c r="AG968" s="139"/>
      <c r="AH968" s="139"/>
      <c r="AI968" s="139"/>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c r="AB969" s="139"/>
      <c r="AC969" s="139"/>
      <c r="AD969" s="139"/>
      <c r="AE969" s="139"/>
      <c r="AF969" s="139"/>
      <c r="AG969" s="139"/>
      <c r="AH969" s="139"/>
      <c r="AI969" s="139"/>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c r="AB970" s="139"/>
      <c r="AC970" s="139"/>
      <c r="AD970" s="139"/>
      <c r="AE970" s="139"/>
      <c r="AF970" s="139"/>
      <c r="AG970" s="139"/>
      <c r="AH970" s="139"/>
      <c r="AI970" s="139"/>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c r="AB971" s="139"/>
      <c r="AC971" s="139"/>
      <c r="AD971" s="139"/>
      <c r="AE971" s="139"/>
      <c r="AF971" s="139"/>
      <c r="AG971" s="139"/>
      <c r="AH971" s="139"/>
      <c r="AI971" s="139"/>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c r="AB972" s="139"/>
      <c r="AC972" s="139"/>
      <c r="AD972" s="139"/>
      <c r="AE972" s="139"/>
      <c r="AF972" s="139"/>
      <c r="AG972" s="139"/>
      <c r="AH972" s="139"/>
      <c r="AI972" s="139"/>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c r="AB973" s="139"/>
      <c r="AC973" s="139"/>
      <c r="AD973" s="139"/>
      <c r="AE973" s="139"/>
      <c r="AF973" s="139"/>
      <c r="AG973" s="139"/>
      <c r="AH973" s="139"/>
      <c r="AI973" s="139"/>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c r="AB974" s="139"/>
      <c r="AC974" s="139"/>
      <c r="AD974" s="139"/>
      <c r="AE974" s="139"/>
      <c r="AF974" s="139"/>
      <c r="AG974" s="139"/>
      <c r="AH974" s="139"/>
      <c r="AI974" s="139"/>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c r="AB975" s="139"/>
      <c r="AC975" s="139"/>
      <c r="AD975" s="139"/>
      <c r="AE975" s="139"/>
      <c r="AF975" s="139"/>
      <c r="AG975" s="139"/>
      <c r="AH975" s="139"/>
      <c r="AI975" s="139"/>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c r="AB976" s="139"/>
      <c r="AC976" s="139"/>
      <c r="AD976" s="139"/>
      <c r="AE976" s="139"/>
      <c r="AF976" s="139"/>
      <c r="AG976" s="139"/>
      <c r="AH976" s="139"/>
      <c r="AI976" s="139"/>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c r="AB977" s="139"/>
      <c r="AC977" s="139"/>
      <c r="AD977" s="139"/>
      <c r="AE977" s="139"/>
      <c r="AF977" s="139"/>
      <c r="AG977" s="139"/>
      <c r="AH977" s="139"/>
      <c r="AI977" s="139"/>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c r="AB978" s="139"/>
      <c r="AC978" s="139"/>
      <c r="AD978" s="139"/>
      <c r="AE978" s="139"/>
      <c r="AF978" s="139"/>
      <c r="AG978" s="139"/>
      <c r="AH978" s="139"/>
      <c r="AI978" s="139"/>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c r="AB979" s="139"/>
      <c r="AC979" s="139"/>
      <c r="AD979" s="139"/>
      <c r="AE979" s="139"/>
      <c r="AF979" s="139"/>
      <c r="AG979" s="139"/>
      <c r="AH979" s="139"/>
      <c r="AI979" s="139"/>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c r="AB980" s="139"/>
      <c r="AC980" s="139"/>
      <c r="AD980" s="139"/>
      <c r="AE980" s="139"/>
      <c r="AF980" s="139"/>
      <c r="AG980" s="139"/>
      <c r="AH980" s="139"/>
      <c r="AI980" s="139"/>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c r="AB981" s="139"/>
      <c r="AC981" s="139"/>
      <c r="AD981" s="139"/>
      <c r="AE981" s="139"/>
      <c r="AF981" s="139"/>
      <c r="AG981" s="139"/>
      <c r="AH981" s="139"/>
      <c r="AI981" s="139"/>
    </row>
  </sheetData>
  <mergeCells count="13">
    <mergeCell ref="B13:B14"/>
    <mergeCell ref="C13:C14"/>
    <mergeCell ref="H13:U13"/>
    <mergeCell ref="W13:Z13"/>
    <mergeCell ref="AA13:AA14"/>
    <mergeCell ref="A1:C3"/>
    <mergeCell ref="D1:I3"/>
    <mergeCell ref="J1:L1"/>
    <mergeCell ref="J2:L2"/>
    <mergeCell ref="J3:L3"/>
    <mergeCell ref="J4:L4"/>
    <mergeCell ref="A13:A14"/>
    <mergeCell ref="D13:G13"/>
  </mergeCells>
  <dataValidations>
    <dataValidation type="list" allowBlank="1" showErrorMessage="1" sqref="C15:C18">
      <formula1>'Master Data'!$B$4:$B981</formula1>
    </dataValidation>
    <dataValidation type="list" allowBlank="1" showErrorMessage="1" sqref="G15:G16 U15:U16">
      <formula1>'Master Data'!$C$4:$C981</formula1>
    </dataValidation>
    <dataValidation type="list" allowBlank="1" showErrorMessage="1" sqref="O15:O17">
      <formula1>'Master Data'!$E$4:$E981</formula1>
    </dataValidation>
    <dataValidation type="list" allowBlank="1" showErrorMessage="1" sqref="B15:B18">
      <formula1>'Master Data'!$A$4:$A981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0.63"/>
    <col customWidth="1" min="2" max="2" width="23.63"/>
    <col customWidth="1" min="3" max="3" width="21.63"/>
    <col customWidth="1" min="4" max="4" width="25.25"/>
    <col customWidth="1" min="5" max="5" width="24.75"/>
  </cols>
  <sheetData>
    <row r="1" ht="22.5" customHeight="1">
      <c r="A1" s="1"/>
      <c r="B1" s="2"/>
      <c r="C1" s="3" t="s">
        <v>0</v>
      </c>
      <c r="D1" s="2"/>
      <c r="E1" s="2"/>
      <c r="F1" s="2"/>
      <c r="G1" s="48" t="s">
        <v>2</v>
      </c>
      <c r="H1" s="8"/>
      <c r="I1" s="10"/>
    </row>
    <row r="2" ht="22.5" customHeight="1">
      <c r="A2" s="7"/>
      <c r="C2" s="7"/>
      <c r="G2" s="60" t="s">
        <v>4</v>
      </c>
      <c r="H2" s="8"/>
      <c r="I2" s="10"/>
    </row>
    <row r="3" ht="22.5" customHeight="1">
      <c r="A3" s="7"/>
      <c r="C3" s="7"/>
      <c r="G3" s="65" t="s">
        <v>7</v>
      </c>
      <c r="H3" s="8"/>
      <c r="I3" s="10"/>
    </row>
    <row r="4" ht="22.5" customHeight="1">
      <c r="A4" s="67" t="s">
        <v>6</v>
      </c>
      <c r="B4" s="19"/>
      <c r="C4" s="19"/>
      <c r="D4" s="69"/>
      <c r="E4" s="69"/>
      <c r="F4" s="69"/>
      <c r="G4" s="67" t="s">
        <v>9</v>
      </c>
      <c r="H4" s="8"/>
      <c r="I4" s="10"/>
    </row>
    <row r="7">
      <c r="A7" s="100" t="s">
        <v>62</v>
      </c>
      <c r="B7" s="100" t="s">
        <v>64</v>
      </c>
      <c r="C7" s="100" t="s">
        <v>65</v>
      </c>
      <c r="D7" s="100" t="s">
        <v>66</v>
      </c>
      <c r="E7" s="100" t="s">
        <v>67</v>
      </c>
    </row>
    <row r="8">
      <c r="A8" s="103">
        <v>45824.0</v>
      </c>
      <c r="B8" s="104" t="s">
        <v>69</v>
      </c>
      <c r="C8" s="104" t="s">
        <v>71</v>
      </c>
      <c r="D8" s="104" t="s">
        <v>74</v>
      </c>
      <c r="E8" s="104" t="s">
        <v>75</v>
      </c>
    </row>
    <row r="9">
      <c r="A9" s="104"/>
      <c r="B9" s="104"/>
      <c r="C9" s="104"/>
      <c r="D9" s="104"/>
      <c r="E9" s="104"/>
    </row>
  </sheetData>
  <mergeCells count="6">
    <mergeCell ref="A1:B3"/>
    <mergeCell ref="C1:F3"/>
    <mergeCell ref="G1:I1"/>
    <mergeCell ref="G2:I2"/>
    <mergeCell ref="G3:I3"/>
    <mergeCell ref="G4:I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4" max="4" width="16.25"/>
  </cols>
  <sheetData>
    <row r="2">
      <c r="A2" s="117"/>
      <c r="B2" s="117"/>
      <c r="C2" s="117"/>
    </row>
    <row r="3">
      <c r="A3" s="118" t="s">
        <v>97</v>
      </c>
      <c r="B3" s="120" t="s">
        <v>70</v>
      </c>
      <c r="C3" s="120" t="s">
        <v>99</v>
      </c>
      <c r="D3" s="120" t="s">
        <v>100</v>
      </c>
      <c r="E3" s="120" t="s">
        <v>102</v>
      </c>
    </row>
    <row r="4">
      <c r="A4" s="124" t="s">
        <v>98</v>
      </c>
      <c r="B4" s="124" t="s">
        <v>101</v>
      </c>
      <c r="C4" s="125" t="s">
        <v>104</v>
      </c>
      <c r="D4" s="129" t="s">
        <v>105</v>
      </c>
      <c r="E4" s="129" t="s">
        <v>105</v>
      </c>
    </row>
    <row r="5">
      <c r="A5" s="124" t="s">
        <v>106</v>
      </c>
      <c r="B5" s="124" t="s">
        <v>107</v>
      </c>
      <c r="C5" s="125" t="s">
        <v>108</v>
      </c>
      <c r="D5" s="129" t="s">
        <v>109</v>
      </c>
      <c r="E5" s="129" t="s">
        <v>109</v>
      </c>
    </row>
    <row r="6">
      <c r="A6" s="124" t="s">
        <v>110</v>
      </c>
      <c r="B6" s="124" t="s">
        <v>111</v>
      </c>
      <c r="C6" s="124"/>
      <c r="D6" s="129" t="s">
        <v>94</v>
      </c>
      <c r="E6" s="129" t="s">
        <v>94</v>
      </c>
    </row>
    <row r="7">
      <c r="A7" s="124" t="s">
        <v>112</v>
      </c>
      <c r="B7" s="124" t="s">
        <v>113</v>
      </c>
      <c r="C7" s="124"/>
      <c r="D7" s="132"/>
      <c r="E7" s="129" t="s">
        <v>114</v>
      </c>
    </row>
    <row r="8">
      <c r="A8" s="133"/>
      <c r="B8" s="124" t="s">
        <v>115</v>
      </c>
      <c r="C8" s="124"/>
      <c r="D8" s="132"/>
      <c r="E8" s="129" t="s">
        <v>116</v>
      </c>
    </row>
    <row r="9">
      <c r="A9" s="133"/>
      <c r="B9" s="124" t="s">
        <v>117</v>
      </c>
      <c r="C9" s="124"/>
      <c r="D9" s="132"/>
      <c r="E9" s="132"/>
    </row>
    <row r="10">
      <c r="A10" s="133"/>
      <c r="B10" s="124" t="s">
        <v>119</v>
      </c>
      <c r="C10" s="124"/>
      <c r="D10" s="132"/>
      <c r="E10" s="132"/>
    </row>
    <row r="11">
      <c r="A11" s="133"/>
      <c r="B11" s="124" t="s">
        <v>120</v>
      </c>
      <c r="C11" s="124"/>
      <c r="D11" s="132"/>
      <c r="E11" s="132"/>
    </row>
    <row r="12">
      <c r="A12" s="133"/>
      <c r="B12" s="124" t="s">
        <v>121</v>
      </c>
      <c r="C12" s="124"/>
      <c r="D12" s="132"/>
      <c r="E12" s="132"/>
    </row>
    <row r="13">
      <c r="A13" s="133"/>
      <c r="B13" s="124" t="s">
        <v>123</v>
      </c>
      <c r="C13" s="124"/>
      <c r="D13" s="132"/>
      <c r="E13" s="132"/>
    </row>
    <row r="14">
      <c r="A14" s="133"/>
      <c r="B14" s="124" t="s">
        <v>124</v>
      </c>
      <c r="C14" s="124"/>
      <c r="D14" s="132"/>
      <c r="E14" s="132"/>
    </row>
    <row r="15">
      <c r="A15" s="133"/>
      <c r="B15" s="124" t="s">
        <v>125</v>
      </c>
      <c r="C15" s="124"/>
      <c r="D15" s="132"/>
      <c r="E15" s="132"/>
    </row>
    <row r="16">
      <c r="A16" s="133"/>
      <c r="B16" s="124" t="s">
        <v>126</v>
      </c>
      <c r="C16" s="124"/>
      <c r="D16" s="132"/>
      <c r="E16" s="132"/>
    </row>
    <row r="17">
      <c r="A17" s="133"/>
      <c r="B17" s="124" t="s">
        <v>127</v>
      </c>
      <c r="C17" s="124"/>
      <c r="D17" s="132"/>
      <c r="E17" s="132"/>
    </row>
    <row r="18">
      <c r="A18" s="133"/>
      <c r="B18" s="124" t="s">
        <v>128</v>
      </c>
      <c r="C18" s="124"/>
      <c r="D18" s="132"/>
      <c r="E18" s="132"/>
    </row>
    <row r="19">
      <c r="A19" s="133"/>
      <c r="B19" s="124" t="s">
        <v>130</v>
      </c>
      <c r="C19" s="124"/>
      <c r="D19" s="132"/>
      <c r="E19" s="132"/>
    </row>
    <row r="20">
      <c r="A20" s="133"/>
      <c r="B20" s="124" t="s">
        <v>132</v>
      </c>
      <c r="C20" s="124"/>
      <c r="D20" s="132"/>
      <c r="E20" s="132"/>
    </row>
    <row r="21">
      <c r="A21" s="133"/>
      <c r="B21" s="124" t="s">
        <v>134</v>
      </c>
      <c r="C21" s="124"/>
      <c r="D21" s="132"/>
      <c r="E21" s="132"/>
    </row>
    <row r="22">
      <c r="A22" s="133"/>
      <c r="B22" s="124" t="s">
        <v>136</v>
      </c>
      <c r="C22" s="124"/>
      <c r="D22" s="132"/>
      <c r="E22" s="132"/>
    </row>
    <row r="23">
      <c r="A23" s="133"/>
      <c r="B23" s="124" t="s">
        <v>140</v>
      </c>
      <c r="C23" s="124"/>
      <c r="D23" s="132"/>
      <c r="E23" s="132"/>
    </row>
    <row r="24">
      <c r="A24" s="117"/>
      <c r="B24" s="117"/>
      <c r="C24" s="117"/>
    </row>
    <row r="25">
      <c r="A25" s="117"/>
      <c r="B25" s="117"/>
      <c r="C25" s="117"/>
    </row>
    <row r="26">
      <c r="A26" s="117"/>
      <c r="B26" s="117"/>
      <c r="C26" s="117"/>
    </row>
    <row r="27">
      <c r="C27" s="117"/>
    </row>
    <row r="28">
      <c r="C28" s="117"/>
    </row>
    <row r="29">
      <c r="C29" s="117"/>
    </row>
    <row r="30">
      <c r="C30" s="117"/>
    </row>
  </sheetData>
  <drawing r:id="rId1"/>
</worksheet>
</file>