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Introduction" sheetId="2" r:id="rId5"/>
    <sheet state="visible" name="01_MemberInfo" sheetId="3" r:id="rId6"/>
    <sheet state="visible" name="02_Permission Management" sheetId="4" r:id="rId7"/>
    <sheet state="visible" name="Appendix" sheetId="5" r:id="rId8"/>
  </sheets>
  <definedNames/>
  <calcPr/>
</workbook>
</file>

<file path=xl/sharedStrings.xml><?xml version="1.0" encoding="utf-8"?>
<sst xmlns="http://schemas.openxmlformats.org/spreadsheetml/2006/main" count="243" uniqueCount="153">
  <si>
    <t>MEMBER INFO</t>
  </si>
  <si>
    <t>No: BM-QT-1701-06</t>
  </si>
  <si>
    <t>Version: 2.5</t>
  </si>
  <si>
    <t>Issue Date: 22/09/2026</t>
  </si>
  <si>
    <t>SUN ASTERISK VIETNAM CO., LTD</t>
  </si>
  <si>
    <t>ISO/IEC 27001:2013&amp;ISO 9001:2015</t>
  </si>
  <si>
    <t>ISO/IEC 27001:2022 &amp; ISO 9001:2015</t>
  </si>
  <si>
    <t>I</t>
  </si>
  <si>
    <t>HISTORY OF CHANGES</t>
  </si>
  <si>
    <t>Mục đích</t>
  </si>
  <si>
    <t>No</t>
  </si>
  <si>
    <t>Team  Member</t>
  </si>
  <si>
    <t>Change Item</t>
  </si>
  <si>
    <t>Description of changes</t>
  </si>
  <si>
    <t>Tài liệu này nhằm ghi nhận, quản lý thông tin của các thành viên tham gia dự án (Name, Project Role, Role Detail, Level,...) và quyền hạn của mỗi người trên từng công cụ được sử dụng trong dự án, nhằm đảm bảo an ninh thông tin trong hoạt động quản lý nhân sự và quản lý truy cập trên các dịch vụ, công cụ được cấp.</t>
  </si>
  <si>
    <t>Change Date</t>
  </si>
  <si>
    <t>II</t>
  </si>
  <si>
    <t>Phạm vi áp dụng</t>
  </si>
  <si>
    <t>Update format</t>
  </si>
  <si>
    <t xml:space="preserve">Áp dụng cho toàn bộ các bộ phận phát triển phần mềm tại Sun Asterisk Việt Nam (bao gồm cả phát triển phần mềm nội bộ);                        </t>
  </si>
  <si>
    <t>Full Name</t>
  </si>
  <si>
    <t>Project role</t>
  </si>
  <si>
    <t>III.</t>
  </si>
  <si>
    <t>Role detail</t>
  </si>
  <si>
    <t>Cấu trúc tài liệu</t>
  </si>
  <si>
    <t>Level</t>
  </si>
  <si>
    <t>Location</t>
  </si>
  <si>
    <t>Status of member</t>
  </si>
  <si>
    <t>Phone Number</t>
  </si>
  <si>
    <t>Company Mail</t>
  </si>
  <si>
    <t>Github Acc</t>
  </si>
  <si>
    <t>Time of joining</t>
  </si>
  <si>
    <t>Time of leaving</t>
  </si>
  <si>
    <t xml:space="preserve">
Responsibility</t>
  </si>
  <si>
    <t>NOTES</t>
  </si>
  <si>
    <t>All sheet</t>
  </si>
  <si>
    <t>Thay đổi Project Role theo thay đổi cơ cấu mới của tổ chức
- Remove role SM, GL, PL
- Add mới role PSM</t>
  </si>
  <si>
    <t>1-</t>
  </si>
  <si>
    <t>Sheet 01_Member Infor: Mô tả thông tin các thành viên tham gia dự án</t>
  </si>
  <si>
    <t>Phạm Trọng Nghĩa</t>
  </si>
  <si>
    <t>2-</t>
  </si>
  <si>
    <t>Sheet 0x_Permission Management: Mô tả quyền hạn của từng thành viên tương ứng với các công cụ được truy cập sử dụng trong dự án.</t>
  </si>
  <si>
    <t>Sheet Introduce</t>
  </si>
  <si>
    <t>Repository management tool</t>
  </si>
  <si>
    <t>Bổ sung sheet Introduce nhằm hướng dẫn cách sử dụng template</t>
  </si>
  <si>
    <t>26/09/2023</t>
  </si>
  <si>
    <t>Software Delivery Manager</t>
  </si>
  <si>
    <t>Communication tool
(Tool Name)</t>
  </si>
  <si>
    <t>Sheet Member Info</t>
  </si>
  <si>
    <t>Management</t>
  </si>
  <si>
    <t>Bổ sung thêm cột Status Member nhằm xác định member in/out dự án</t>
  </si>
  <si>
    <t>Manager</t>
  </si>
  <si>
    <t>Task management tool
(Tool Name)</t>
  </si>
  <si>
    <t>Hanoi - KN</t>
  </si>
  <si>
    <t>Diagram service
(Tool Name)</t>
  </si>
  <si>
    <t>Active</t>
  </si>
  <si>
    <t>pham.trong.nghia@sun-asterisk.com</t>
  </si>
  <si>
    <t>Sheet Permission Management</t>
  </si>
  <si>
    <t>Other
(Tool Name)</t>
  </si>
  <si>
    <t>Bổ sung sheet Permission Management nhằm quản lý phân quyền của từng member trên mỗi tool</t>
  </si>
  <si>
    <t>Sheet Appendix</t>
  </si>
  <si>
    <t>Company Role table</t>
  </si>
  <si>
    <t>Project Role table</t>
  </si>
  <si>
    <t>Role Detail table</t>
  </si>
  <si>
    <t>Location table</t>
  </si>
  <si>
    <t>Thay đổi Project Role theo thay đổi cơ cấu mới của tổ chức
- UM -&gt; Software Delivery Manager
- PSM -&gt; Project Leader</t>
  </si>
  <si>
    <t>23/12/2024</t>
  </si>
  <si>
    <t>Admin</t>
  </si>
  <si>
    <t>PHP Developer</t>
  </si>
  <si>
    <t>Master + Staging</t>
  </si>
  <si>
    <t>7</t>
  </si>
  <si>
    <t>Development + Hot fix</t>
  </si>
  <si>
    <t>Vice Unit Manager</t>
  </si>
  <si>
    <t>Update mã biểu mẫu theo tiêu chuẩn ISO.</t>
  </si>
  <si>
    <t>Project Leader</t>
  </si>
  <si>
    <t>Android Developer</t>
  </si>
  <si>
    <t>22/09/2026</t>
  </si>
  <si>
    <t>Hanoi - Handico</t>
  </si>
  <si>
    <t>Expert</t>
  </si>
  <si>
    <t>Lê Ngọc Hân</t>
  </si>
  <si>
    <t>Line Manager</t>
  </si>
  <si>
    <t>Team Leader</t>
  </si>
  <si>
    <t>iOS Developer</t>
  </si>
  <si>
    <t>Danang</t>
  </si>
  <si>
    <t>Middle</t>
  </si>
  <si>
    <t>Senior</t>
  </si>
  <si>
    <t>Setup Gitflow</t>
  </si>
  <si>
    <t>PR merge</t>
  </si>
  <si>
    <t>Reverting</t>
  </si>
  <si>
    <t>0393861966</t>
  </si>
  <si>
    <t>Branching</t>
  </si>
  <si>
    <t>le.ngoc.han@sun-asterisk.com</t>
  </si>
  <si>
    <t>Member</t>
  </si>
  <si>
    <t xml:space="preserve">
Implementing 
code</t>
  </si>
  <si>
    <t>PR</t>
  </si>
  <si>
    <t>BrSE</t>
  </si>
  <si>
    <t>chidtpm-0942</t>
  </si>
  <si>
    <t>Java Developer</t>
  </si>
  <si>
    <t>HCM</t>
  </si>
  <si>
    <t>BrSE兼任</t>
  </si>
  <si>
    <t>Comtor</t>
  </si>
  <si>
    <t>QA</t>
  </si>
  <si>
    <t>Japan</t>
  </si>
  <si>
    <t>Nguyễn Mạnh Thắng</t>
  </si>
  <si>
    <t>Junior</t>
  </si>
  <si>
    <t>Developer</t>
  </si>
  <si>
    <t>Python Developer</t>
  </si>
  <si>
    <t>Designer</t>
  </si>
  <si>
    <t>0362528486</t>
  </si>
  <si>
    <t>nguyen.manh.thang@sun-asterisk.com</t>
  </si>
  <si>
    <t>thangnm01-0568</t>
  </si>
  <si>
    <t>Infra</t>
  </si>
  <si>
    <t>Support</t>
  </si>
  <si>
    <t>RoR Developer</t>
  </si>
  <si>
    <t>QA Leader</t>
  </si>
  <si>
    <t>Hoàng Văn Hưng</t>
  </si>
  <si>
    <t>C/C++ Developer</t>
  </si>
  <si>
    <t>Frontend Developer</t>
  </si>
  <si>
    <t>.Net Developer</t>
  </si>
  <si>
    <t>0988096658</t>
  </si>
  <si>
    <t>hoang.van.hung@sun-asterisk.com</t>
  </si>
  <si>
    <t>hunghv-1854</t>
  </si>
  <si>
    <t>Dương Thị Phương Mai Chi</t>
  </si>
  <si>
    <t>Do</t>
  </si>
  <si>
    <t>duong.thi.phuong.mai.chi@sun-asterisk.com</t>
  </si>
  <si>
    <t>Check</t>
  </si>
  <si>
    <t>Client project role</t>
  </si>
  <si>
    <t>Project Manager</t>
  </si>
  <si>
    <t>Inactive</t>
  </si>
  <si>
    <t>Technical Leader</t>
  </si>
  <si>
    <t>Senior Manager</t>
  </si>
  <si>
    <t xml:space="preserve">
Client</t>
  </si>
  <si>
    <t>Project Role</t>
  </si>
  <si>
    <t>Responsibility</t>
  </si>
  <si>
    <t>Note</t>
  </si>
  <si>
    <t>白石翔大</t>
  </si>
  <si>
    <t xml:space="preserve">shiraishi13484@nichigas.co.jp
</t>
  </si>
  <si>
    <t>shiraishi-ngas</t>
  </si>
  <si>
    <t>Review/Approve the project plan provided by Sun*
Monitor progress and deal with problem that Sun* raise
Conduct the quality control for overall project</t>
  </si>
  <si>
    <t>田村和夫</t>
  </si>
  <si>
    <t>tamura96218@nichigas.co.jp</t>
  </si>
  <si>
    <t>-</t>
  </si>
  <si>
    <t>竹澤謙太郎</t>
  </si>
  <si>
    <t>takezawa13702@nichigas.co.jp</t>
  </si>
  <si>
    <t>KentaroTakezawa</t>
  </si>
  <si>
    <t>Deal with budget problem, HR problem escalated from project
Approve the final package for project</t>
  </si>
  <si>
    <t>中島旬耶</t>
  </si>
  <si>
    <t xml:space="preserve">nakashima_crt@nichigas.co.jp
</t>
  </si>
  <si>
    <t>nakashimaCRT</t>
  </si>
  <si>
    <t>Review/Approve the software solution provided by Sun*
Deal with solution problem that Sun* raise
Conduct the software package quality control for project</t>
  </si>
  <si>
    <t>野本匡哉</t>
  </si>
  <si>
    <t xml:space="preserve">nomoto13658@nichigas.co.jp
</t>
  </si>
  <si>
    <t>nomonomo13658</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</si>
</sst>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yyyy/m/d"/>
    <numFmt numFmtId="166" formatCode="yyyy/mm/dd"/>
  </numFmts>
  <fonts count="21">
    <font>
      <sz val="10.0"/>
      <color rgb="FF000000"/>
      <name val="Arial"/>
    </font>
    <font>
      <sz val="10.0"/>
      <name val="Times New Roman"/>
    </font>
    <font>
      <b/>
      <sz val="24.0"/>
      <name val="Times New Roman"/>
    </font>
    <font/>
    <font>
      <b/>
      <sz val="18.0"/>
      <name val="Times New Roman"/>
    </font>
    <font>
      <sz val="12.0"/>
      <name val="Times New Roman"/>
    </font>
    <font>
      <sz val="12.0"/>
      <color rgb="FF000000"/>
      <name val="Times New Roman"/>
    </font>
    <font>
      <b/>
      <sz val="10.0"/>
      <name val="Times New Roman"/>
    </font>
    <font>
      <name val="Times New Roman"/>
    </font>
    <font>
      <b/>
      <sz val="14.0"/>
      <name val="Times New Roman"/>
    </font>
    <font>
      <b/>
      <sz val="13.0"/>
      <name val="&quot;Times New Roman&quot;"/>
    </font>
    <font>
      <b/>
      <sz val="12.0"/>
      <name val="Arial"/>
    </font>
    <font>
      <sz val="10.0"/>
      <name val="Arial"/>
    </font>
    <font>
      <b/>
      <sz val="10.0"/>
      <name val="Arial"/>
    </font>
    <font>
      <b/>
      <sz val="24.0"/>
      <name val="Arial"/>
    </font>
    <font>
      <name val="Arial"/>
    </font>
    <font>
      <sz val="13.0"/>
      <name val="&quot;Times New Roman&quot;"/>
    </font>
    <font>
      <b/>
      <sz val="10.0"/>
      <color rgb="FF000000"/>
      <name val="Arial"/>
    </font>
    <font>
      <sz val="11.0"/>
      <color rgb="FF242424"/>
      <name val="-apple-system"/>
    </font>
    <font>
      <sz val="10.0"/>
      <color rgb="FF1F2328"/>
      <name val="Arial"/>
    </font>
    <font>
      <b/>
      <name val="Arial"/>
    </font>
  </fonts>
  <fills count="8">
    <fill>
      <patternFill patternType="none"/>
    </fill>
    <fill>
      <patternFill patternType="lightGray"/>
    </fill>
    <fill>
      <patternFill patternType="solid">
        <fgColor rgb="FFFFFFFF"/>
        <bgColor rgb="FFFFFFFF"/>
      </patternFill>
    </fill>
    <fill>
      <patternFill patternType="solid">
        <fgColor rgb="FFD9D2E9"/>
        <bgColor rgb="FFD9D2E9"/>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s>
  <borders count="2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bottom style="thin">
        <color rgb="FFFFFFFF"/>
      </bottom>
    </border>
    <border>
      <right style="thin">
        <color rgb="FFFFFFFF"/>
      </right>
      <bottom style="thin">
        <color rgb="FFFFFFFF"/>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bottom style="thin">
        <color rgb="FFFFFFFF"/>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2" fontId="1" numFmtId="0" xfId="0" applyAlignment="1" applyFill="1" applyFont="1">
      <alignment vertical="center"/>
    </xf>
    <xf borderId="1" fillId="0" fontId="2" numFmtId="0" xfId="0" applyAlignment="1" applyBorder="1" applyFont="1">
      <alignment horizontal="center" readingOrder="0" vertic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readingOrder="0" vertical="center"/>
    </xf>
    <xf borderId="4" fillId="0" fontId="3" numFmtId="0" xfId="0" applyBorder="1" applyFont="1"/>
    <xf borderId="1" fillId="0" fontId="4" numFmtId="0" xfId="0" applyAlignment="1" applyBorder="1" applyFont="1">
      <alignment horizontal="left" shrinkToFit="0" vertical="center" wrapText="1"/>
    </xf>
    <xf borderId="4" fillId="0" fontId="6" numFmtId="0" xfId="0" applyAlignment="1" applyBorder="1" applyFont="1">
      <alignment readingOrder="0" vertical="center"/>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6" fillId="0" fontId="6" numFmtId="0" xfId="0" applyAlignment="1" applyBorder="1" applyFont="1">
      <alignment readingOrder="0" shrinkToFit="0" vertical="center" wrapText="0"/>
    </xf>
    <xf borderId="9" fillId="0" fontId="7" numFmtId="0" xfId="0" applyAlignment="1" applyBorder="1" applyFont="1">
      <alignment vertical="center"/>
    </xf>
    <xf borderId="9" fillId="0" fontId="7" numFmtId="0" xfId="0" applyAlignment="1" applyBorder="1" applyFont="1">
      <alignment readingOrder="0" vertical="center"/>
    </xf>
    <xf borderId="10" fillId="0" fontId="3" numFmtId="0" xfId="0" applyBorder="1" applyFont="1"/>
    <xf borderId="11" fillId="0" fontId="3" numFmtId="0" xfId="0" applyBorder="1" applyFont="1"/>
    <xf borderId="10" fillId="0" fontId="7" numFmtId="0" xfId="0" applyAlignment="1" applyBorder="1" applyFont="1">
      <alignment vertical="center"/>
    </xf>
    <xf borderId="6" fillId="0" fontId="7" numFmtId="0" xfId="0" applyAlignment="1" applyBorder="1" applyFont="1">
      <alignment horizontal="right" shrinkToFit="0" vertical="center" wrapText="1"/>
    </xf>
    <xf borderId="6" fillId="0" fontId="7" numFmtId="0" xfId="0" applyAlignment="1" applyBorder="1" applyFont="1">
      <alignment horizontal="right" readingOrder="0" shrinkToFit="0" vertical="center" wrapText="1"/>
    </xf>
    <xf borderId="0" fillId="0" fontId="8" numFmtId="0" xfId="0" applyFont="1"/>
    <xf borderId="12" fillId="0" fontId="9" numFmtId="0" xfId="0" applyAlignment="1" applyBorder="1" applyFont="1">
      <alignment horizontal="center" shrinkToFit="0" vertical="center" wrapText="1"/>
    </xf>
    <xf borderId="12" fillId="0" fontId="9" numFmtId="0" xfId="0" applyAlignment="1" applyBorder="1" applyFont="1">
      <alignment horizontal="center" readingOrder="0" shrinkToFit="0" vertical="center" wrapText="1"/>
    </xf>
    <xf borderId="0" fillId="0" fontId="8" numFmtId="49" xfId="0" applyFont="1" applyNumberFormat="1"/>
    <xf borderId="13" fillId="0" fontId="3" numFmtId="0" xfId="0" applyBorder="1" applyFont="1"/>
    <xf borderId="0" fillId="0" fontId="10" numFmtId="49" xfId="0" applyAlignment="1" applyFont="1" applyNumberFormat="1">
      <alignment horizontal="center" shrinkToFit="0" wrapText="1"/>
    </xf>
    <xf borderId="12" fillId="0" fontId="11" numFmtId="0" xfId="0" applyAlignment="1" applyBorder="1" applyFont="1">
      <alignment horizontal="center" shrinkToFit="0" vertical="center" wrapText="1"/>
    </xf>
    <xf borderId="0" fillId="0" fontId="10" numFmtId="49" xfId="0" applyAlignment="1" applyFont="1" applyNumberFormat="1">
      <alignment shrinkToFit="0" wrapText="1"/>
    </xf>
    <xf borderId="0" fillId="2" fontId="12" numFmtId="0" xfId="0" applyAlignment="1" applyFill="1" applyFont="1">
      <alignment vertical="center"/>
    </xf>
    <xf borderId="14" fillId="3" fontId="13" numFmtId="0" xfId="0" applyAlignment="1" applyBorder="1" applyFill="1" applyFont="1">
      <alignment horizontal="center" shrinkToFit="0" vertical="center" wrapText="1"/>
    </xf>
    <xf borderId="0" fillId="0" fontId="9" numFmtId="49" xfId="0" applyAlignment="1" applyFont="1" applyNumberFormat="1">
      <alignment horizontal="left" readingOrder="0" shrinkToFit="0" vertical="center" wrapText="1"/>
    </xf>
    <xf borderId="1" fillId="4" fontId="14" numFmtId="0" xfId="0" applyAlignment="1" applyBorder="1" applyFill="1" applyFont="1">
      <alignment horizontal="center" vertical="center"/>
    </xf>
    <xf borderId="13" fillId="0" fontId="9" numFmtId="49" xfId="0" applyAlignment="1" applyBorder="1" applyFont="1" applyNumberFormat="1">
      <alignment horizontal="left" readingOrder="0" shrinkToFit="0" vertical="center" wrapText="1"/>
    </xf>
    <xf borderId="9" fillId="3" fontId="13" numFmtId="0" xfId="0" applyAlignment="1" applyBorder="1" applyFill="1" applyFont="1">
      <alignment horizontal="center" shrinkToFit="0" vertical="center" wrapText="1"/>
    </xf>
    <xf borderId="0" fillId="0" fontId="15" numFmtId="49" xfId="0" applyFont="1" applyNumberFormat="1"/>
    <xf borderId="13" fillId="2" fontId="15" numFmtId="49" xfId="0" applyBorder="1" applyFill="1" applyFont="1" applyNumberFormat="1"/>
    <xf borderId="0" fillId="0" fontId="15" numFmtId="0" xfId="0" applyFont="1"/>
    <xf borderId="0" fillId="2" fontId="13" numFmtId="0" xfId="0" applyAlignment="1" applyFill="1" applyFont="1">
      <alignment horizontal="center" shrinkToFit="0" vertical="center" wrapText="1"/>
    </xf>
    <xf borderId="15" fillId="0" fontId="16" numFmtId="49" xfId="0" applyAlignment="1" applyBorder="1" applyFont="1" applyNumberFormat="1">
      <alignment readingOrder="0" shrinkToFit="0" wrapText="1"/>
    </xf>
    <xf borderId="15" fillId="0" fontId="3" numFmtId="0" xfId="0" applyBorder="1" applyFont="1"/>
    <xf borderId="14" fillId="0" fontId="12" numFmtId="0" xfId="0" applyAlignment="1" applyBorder="1" applyFont="1">
      <alignment horizontal="center" shrinkToFit="0" vertical="center" wrapText="1"/>
    </xf>
    <xf borderId="16" fillId="0" fontId="3" numFmtId="0" xfId="0" applyBorder="1" applyFont="1"/>
    <xf borderId="9" fillId="0" fontId="12" numFmtId="0" xfId="0" applyAlignment="1" applyBorder="1" applyFont="1">
      <alignment horizontal="left" shrinkToFit="0" vertical="center" wrapText="1"/>
    </xf>
    <xf borderId="0" fillId="2" fontId="13" numFmtId="0" xfId="0" applyAlignment="1" applyFill="1" applyFont="1">
      <alignment shrinkToFit="0" vertical="center" wrapText="1"/>
    </xf>
    <xf borderId="14" fillId="3" fontId="17" numFmtId="0" xfId="0" applyAlignment="1" applyBorder="1" applyFill="1" applyFont="1">
      <alignment horizontal="center" vertical="center"/>
    </xf>
    <xf borderId="15" fillId="0" fontId="16" numFmtId="49" xfId="0" applyAlignment="1" applyBorder="1" applyFont="1" applyNumberFormat="1">
      <alignment shrinkToFit="0" wrapText="1"/>
    </xf>
    <xf borderId="17" fillId="3" fontId="17" numFmtId="0" xfId="0" applyAlignment="1" applyBorder="1" applyFill="1" applyFont="1">
      <alignment horizontal="center" vertical="center"/>
    </xf>
    <xf borderId="14" fillId="3" fontId="17" numFmtId="49" xfId="0" applyAlignment="1" applyBorder="1" applyFill="1" applyFont="1" applyNumberFormat="1">
      <alignment horizontal="center" vertical="center"/>
    </xf>
    <xf borderId="9" fillId="0" fontId="12" numFmtId="164" xfId="0" applyAlignment="1" applyBorder="1" applyFont="1" applyNumberFormat="1">
      <alignment horizontal="left" shrinkToFit="0" vertical="center" wrapText="1"/>
    </xf>
    <xf borderId="0" fillId="0" fontId="10" numFmtId="49" xfId="0" applyAlignment="1" applyFont="1" applyNumberFormat="1">
      <alignment readingOrder="0" shrinkToFit="0" wrapText="1"/>
    </xf>
    <xf borderId="0" fillId="2" fontId="12" numFmtId="0" xfId="0" applyAlignment="1" applyFill="1" applyFont="1">
      <alignment shrinkToFit="0" vertical="center" wrapText="1"/>
    </xf>
    <xf borderId="14" fillId="2" fontId="0" numFmtId="0" xfId="0" applyAlignment="1" applyBorder="1" applyFill="1" applyFont="1">
      <alignment horizontal="center" vertical="center"/>
    </xf>
    <xf borderId="2" fillId="3" fontId="17" numFmtId="49" xfId="0" applyAlignment="1" applyBorder="1" applyFill="1" applyFont="1" applyNumberFormat="1">
      <alignment horizontal="center" vertical="center"/>
    </xf>
    <xf borderId="13" fillId="2" fontId="15" numFmtId="49" xfId="0" applyAlignment="1" applyBorder="1" applyFill="1" applyFont="1" applyNumberFormat="1">
      <alignment vertical="center"/>
    </xf>
    <xf borderId="14" fillId="2" fontId="12" numFmtId="0" xfId="0" applyAlignment="1" applyBorder="1" applyFill="1" applyFont="1">
      <alignment readingOrder="0" vertical="center"/>
    </xf>
    <xf borderId="15" fillId="0" fontId="16" numFmtId="49" xfId="0" applyAlignment="1" applyBorder="1" applyFont="1" applyNumberFormat="1">
      <alignment readingOrder="0" shrinkToFit="0" vertical="center" wrapText="1"/>
    </xf>
    <xf borderId="1" fillId="0" fontId="12" numFmtId="0" xfId="0" applyAlignment="1" applyBorder="1" applyFont="1">
      <alignment horizontal="left" shrinkToFit="0" vertical="center" wrapText="1"/>
    </xf>
    <xf borderId="0" fillId="2" fontId="15" numFmtId="49" xfId="0" applyFill="1" applyFont="1" applyNumberFormat="1"/>
    <xf borderId="0" fillId="0" fontId="16" numFmtId="49" xfId="0" applyAlignment="1" applyFont="1" applyNumberFormat="1">
      <alignment readingOrder="0" shrinkToFit="0" wrapText="1"/>
    </xf>
    <xf borderId="9" fillId="3" fontId="17" numFmtId="49" xfId="0" applyAlignment="1" applyBorder="1" applyFill="1" applyFont="1" applyNumberFormat="1">
      <alignment horizontal="center" vertical="center"/>
    </xf>
    <xf borderId="14" fillId="2" fontId="12" numFmtId="49" xfId="0" applyAlignment="1" applyBorder="1" applyFill="1" applyFont="1" applyNumberFormat="1">
      <alignment horizontal="left" readingOrder="0" shrinkToFit="0" vertical="center" wrapText="1"/>
    </xf>
    <xf borderId="14" fillId="2" fontId="12" numFmtId="49" xfId="0" applyAlignment="1" applyBorder="1" applyFill="1" applyFont="1" applyNumberFormat="1">
      <alignment horizontal="left" shrinkToFit="0" vertical="center" wrapText="1"/>
    </xf>
    <xf borderId="10" fillId="0" fontId="0" numFmtId="0" xfId="0" applyAlignment="1" applyBorder="1" applyFont="1">
      <alignment horizontal="left" shrinkToFit="0" vertical="center" wrapText="1"/>
    </xf>
    <xf borderId="17" fillId="5" fontId="17" numFmtId="49" xfId="0" applyAlignment="1" applyBorder="1" applyFill="1" applyFont="1" applyNumberFormat="1">
      <alignment horizontal="center" vertical="center"/>
    </xf>
    <xf borderId="9" fillId="0" fontId="0" numFmtId="0" xfId="0" applyAlignment="1" applyBorder="1" applyFont="1">
      <alignment horizontal="left" shrinkToFit="0" vertical="center" wrapText="1"/>
    </xf>
    <xf borderId="17" fillId="6" fontId="17" numFmtId="49" xfId="0" applyAlignment="1" applyBorder="1" applyFill="1" applyFont="1" applyNumberFormat="1">
      <alignment horizontal="center" vertical="center"/>
    </xf>
    <xf borderId="14" fillId="0" fontId="17" numFmtId="0" xfId="0" applyAlignment="1" applyBorder="1" applyFont="1">
      <alignment horizontal="center" shrinkToFit="0" vertical="center" wrapText="1"/>
    </xf>
    <xf borderId="17" fillId="7" fontId="17" numFmtId="0" xfId="0" applyAlignment="1" applyBorder="1" applyFill="1" applyFont="1">
      <alignment horizontal="center" vertical="center"/>
    </xf>
    <xf borderId="14" fillId="2" fontId="12" numFmtId="0" xfId="0" applyAlignment="1" applyBorder="1" applyFill="1" applyFont="1">
      <alignment horizontal="left" readingOrder="0" shrinkToFit="0" vertical="center" wrapText="0"/>
    </xf>
    <xf borderId="0" fillId="0" fontId="5" numFmtId="0" xfId="0" applyFont="1"/>
    <xf borderId="14" fillId="2" fontId="12" numFmtId="0" xfId="0" applyAlignment="1" applyBorder="1" applyFill="1" applyFont="1">
      <alignment horizontal="left" shrinkToFit="0" vertical="center" wrapText="1"/>
    </xf>
    <xf borderId="14" fillId="2" fontId="12" numFmtId="165" xfId="0" applyAlignment="1" applyBorder="1" applyFill="1" applyFont="1" applyNumberFormat="1">
      <alignment horizontal="left" readingOrder="0" shrinkToFit="0" vertical="center" wrapText="1"/>
    </xf>
    <xf borderId="18" fillId="0" fontId="3" numFmtId="0" xfId="0" applyBorder="1" applyFont="1"/>
    <xf borderId="0" fillId="0" fontId="3" numFmtId="9" xfId="0" applyFont="1" applyNumberFormat="1"/>
    <xf borderId="0" fillId="0" fontId="12" numFmtId="0" xfId="0" applyFont="1"/>
    <xf borderId="17" fillId="3" fontId="17" numFmtId="49" xfId="0" applyAlignment="1" applyBorder="1" applyFill="1" applyFont="1" applyNumberFormat="1">
      <alignment horizontal="center" vertical="center"/>
    </xf>
    <xf borderId="0" fillId="0" fontId="13" numFmtId="0" xfId="0" applyFont="1"/>
    <xf borderId="9" fillId="0" fontId="0" numFmtId="49" xfId="0" applyAlignment="1" applyBorder="1" applyFont="1" applyNumberFormat="1">
      <alignment horizontal="left" readingOrder="0" shrinkToFit="0" vertical="center" wrapText="1"/>
    </xf>
    <xf borderId="0" fillId="0" fontId="15" numFmtId="0" xfId="0" applyAlignment="1" applyFont="1">
      <alignment readingOrder="0" vertical="bottom"/>
    </xf>
    <xf borderId="0" fillId="0" fontId="18" numFmtId="0" xfId="0" applyAlignment="1" applyFont="1">
      <alignment shrinkToFit="0" wrapText="1"/>
    </xf>
    <xf borderId="9" fillId="0" fontId="0" numFmtId="0" xfId="0" applyAlignment="1" applyBorder="1" applyFont="1">
      <alignment horizontal="left" readingOrder="0" shrinkToFit="0" vertical="center" wrapText="1"/>
    </xf>
    <xf quotePrefix="1" borderId="0" fillId="0" fontId="17" numFmtId="0" xfId="0" applyAlignment="1" applyFont="1">
      <alignment horizontal="center" readingOrder="0" shrinkToFit="0" vertical="center" wrapText="1"/>
    </xf>
    <xf borderId="0" fillId="0" fontId="0" numFmtId="0" xfId="0" applyAlignment="1" applyFont="1">
      <alignment horizontal="left" readingOrder="0" shrinkToFit="0" vertical="center" wrapText="1"/>
    </xf>
    <xf borderId="0" fillId="0" fontId="15" numFmtId="0" xfId="0" applyAlignment="1" applyFont="1">
      <alignment vertical="bottom"/>
    </xf>
    <xf borderId="10" fillId="3" fontId="17" numFmtId="49" xfId="0" applyAlignment="1" applyBorder="1" applyFill="1" applyFont="1" applyNumberFormat="1">
      <alignment horizontal="center" vertical="center"/>
    </xf>
    <xf borderId="12" fillId="0" fontId="9" numFmtId="49" xfId="0" applyAlignment="1" applyBorder="1" applyFont="1" applyNumberFormat="1">
      <alignment horizontal="left" shrinkToFit="0" vertical="center" wrapText="1"/>
    </xf>
    <xf borderId="0" fillId="0" fontId="9" numFmtId="49" xfId="0" applyAlignment="1" applyFont="1" applyNumberFormat="1">
      <alignment horizontal="left" shrinkToFit="0" vertical="center" wrapText="1"/>
    </xf>
    <xf borderId="19" fillId="0" fontId="3" numFmtId="0" xfId="0" applyBorder="1" applyFont="1"/>
    <xf borderId="13" fillId="0" fontId="9" numFmtId="49" xfId="0" applyAlignment="1" applyBorder="1" applyFont="1" applyNumberFormat="1">
      <alignment horizontal="left" shrinkToFit="0" vertical="center" wrapText="1"/>
    </xf>
    <xf borderId="0" fillId="2" fontId="0" numFmtId="0" xfId="0" applyAlignment="1" applyFill="1" applyFont="1">
      <alignment readingOrder="0" shrinkToFit="0" wrapText="0"/>
    </xf>
    <xf borderId="14" fillId="2" fontId="12" numFmtId="0" xfId="0" applyAlignment="1" applyBorder="1" applyFill="1" applyFont="1">
      <alignment horizontal="left" readingOrder="0" shrinkToFit="0" vertical="center" wrapText="1"/>
    </xf>
    <xf borderId="20" fillId="0" fontId="9" numFmtId="49" xfId="0" applyAlignment="1" applyBorder="1" applyFont="1" applyNumberFormat="1">
      <alignment horizontal="left" shrinkToFit="0" vertical="center" wrapText="1"/>
    </xf>
    <xf borderId="14" fillId="2" fontId="19" numFmtId="0" xfId="0" applyAlignment="1" applyBorder="1" applyFill="1" applyFont="1">
      <alignment readingOrder="0" shrinkToFit="0" wrapText="0"/>
    </xf>
    <xf borderId="15" fillId="0" fontId="9" numFmtId="49" xfId="0" applyAlignment="1" applyBorder="1" applyFont="1" applyNumberFormat="1">
      <alignment horizontal="left" shrinkToFit="0" vertical="center" wrapText="1"/>
    </xf>
    <xf borderId="14" fillId="2" fontId="12" numFmtId="0" xfId="0" applyBorder="1" applyFill="1" applyFont="1"/>
    <xf borderId="14" fillId="2" fontId="12" numFmtId="166" xfId="0" applyAlignment="1" applyBorder="1" applyFill="1" applyFont="1" applyNumberFormat="1">
      <alignment horizontal="left" readingOrder="0" shrinkToFit="0" vertical="center" wrapText="1"/>
    </xf>
    <xf borderId="16" fillId="0" fontId="9" numFmtId="49" xfId="0" applyAlignment="1" applyBorder="1" applyFont="1" applyNumberFormat="1">
      <alignment horizontal="left" shrinkToFit="0" vertical="center" wrapText="1"/>
    </xf>
    <xf borderId="0" fillId="0" fontId="3" numFmtId="0" xfId="0" applyFont="1"/>
    <xf borderId="14" fillId="2" fontId="15" numFmtId="49" xfId="0" applyBorder="1" applyFill="1" applyFont="1" applyNumberFormat="1"/>
    <xf borderId="0" fillId="0" fontId="12" numFmtId="0" xfId="0" applyAlignment="1" applyFont="1">
      <alignment readingOrder="0"/>
    </xf>
    <xf borderId="14" fillId="2" fontId="15" numFmtId="49" xfId="0" applyAlignment="1" applyBorder="1" applyFill="1" applyFont="1" applyNumberFormat="1">
      <alignment shrinkToFit="0" wrapText="1"/>
    </xf>
    <xf borderId="14" fillId="0" fontId="12" numFmtId="0" xfId="0" applyAlignment="1" applyBorder="1" applyFont="1">
      <alignment horizontal="left" readingOrder="0" shrinkToFit="0" vertical="center" wrapText="1"/>
    </xf>
    <xf borderId="14" fillId="0" fontId="12" numFmtId="165" xfId="0" applyAlignment="1" applyBorder="1" applyFont="1" applyNumberFormat="1">
      <alignment horizontal="left" readingOrder="0" shrinkToFit="0" vertical="center" wrapText="1"/>
    </xf>
    <xf borderId="0" fillId="2" fontId="0" numFmtId="0" xfId="0" applyFill="1" applyFont="1"/>
    <xf borderId="14" fillId="2" fontId="12" numFmtId="0" xfId="0" applyAlignment="1" applyBorder="1" applyFill="1" applyFont="1">
      <alignment vertical="center"/>
    </xf>
    <xf borderId="0" fillId="0" fontId="20" numFmtId="49" xfId="0" applyFont="1" applyNumberFormat="1"/>
    <xf borderId="0" fillId="0" fontId="20" numFmtId="0" xfId="0" applyFont="1"/>
    <xf borderId="9" fillId="3" fontId="17" numFmtId="0" xfId="0" applyAlignment="1" applyBorder="1" applyFill="1" applyFont="1">
      <alignment horizontal="center" vertical="center"/>
    </xf>
    <xf borderId="0" fillId="2" fontId="12" numFmtId="0" xfId="0" applyAlignment="1" applyFill="1" applyFont="1">
      <alignment readingOrder="0"/>
    </xf>
    <xf borderId="14" fillId="2" fontId="12" numFmtId="0" xfId="0" applyAlignment="1" applyBorder="1" applyFill="1" applyFont="1">
      <alignment horizontal="center"/>
    </xf>
    <xf borderId="9" fillId="2" fontId="12" numFmtId="49" xfId="0" applyAlignment="1" applyBorder="1" applyFill="1" applyFont="1" applyNumberFormat="1">
      <alignment horizontal="left" readingOrder="0" shrinkToFit="0" vertical="center" wrapText="1"/>
    </xf>
    <xf borderId="9" fillId="2" fontId="12" numFmtId="49" xfId="0" applyAlignment="1" applyBorder="1" applyFill="1" applyFont="1" applyNumberFormat="1">
      <alignment horizontal="left" shrinkToFit="0" vertical="center" wrapText="1"/>
    </xf>
    <xf borderId="14" fillId="2" fontId="12" numFmtId="0" xfId="0" applyAlignment="1" applyBorder="1" applyFill="1" applyFont="1">
      <alignment readingOrder="0"/>
    </xf>
    <xf borderId="14" fillId="2" fontId="12" numFmtId="0" xfId="0" applyAlignment="1" applyBorder="1" applyFill="1" applyFont="1">
      <alignment horizontal="center" readingOrder="0"/>
    </xf>
    <xf borderId="11" fillId="2" fontId="12" numFmtId="0" xfId="0" applyAlignment="1" applyBorder="1" applyFill="1" applyFont="1">
      <alignment shrinkToFit="0" wrapText="1"/>
    </xf>
    <xf borderId="0" fillId="0" fontId="3" numFmtId="0" xfId="0" applyAlignment="1" applyFont="1">
      <alignment readingOrder="0"/>
    </xf>
    <xf borderId="0" fillId="2" fontId="1" numFmtId="0" xfId="0" applyAlignment="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85775" cy="2762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90525"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0"/>
  <cols>
    <col customWidth="1" min="1" max="1" width="5.75"/>
    <col customWidth="1" min="2" max="2" width="4.63"/>
    <col customWidth="1" min="3" max="3" width="6.38"/>
    <col customWidth="1" min="4" max="4" width="4.75"/>
    <col customWidth="1" min="5" max="9" width="9.75"/>
    <col customWidth="1" min="10" max="10" width="13.75"/>
    <col customWidth="1" min="11" max="11" width="15.0"/>
  </cols>
  <sheetData>
    <row r="1" ht="22.5" customHeight="1">
      <c r="A1" s="3"/>
      <c r="B1" s="4"/>
      <c r="C1" s="4"/>
      <c r="D1" s="4"/>
      <c r="E1" s="7" t="s">
        <v>0</v>
      </c>
      <c r="F1" s="4"/>
      <c r="G1" s="4"/>
      <c r="H1" s="4"/>
      <c r="I1" s="4"/>
      <c r="J1" s="8" t="s">
        <v>1</v>
      </c>
      <c r="K1" s="5"/>
    </row>
    <row r="2" ht="22.5" customHeight="1">
      <c r="A2" s="9"/>
      <c r="E2" s="9"/>
      <c r="J2" s="11" t="s">
        <v>2</v>
      </c>
      <c r="K2" s="12"/>
    </row>
    <row r="3" ht="22.5" customHeight="1">
      <c r="A3" s="9"/>
      <c r="E3" s="9"/>
      <c r="J3" s="16" t="s">
        <v>3</v>
      </c>
      <c r="K3" s="15"/>
    </row>
    <row r="4" ht="22.5" customHeight="1">
      <c r="A4" s="17" t="s">
        <v>4</v>
      </c>
      <c r="B4" s="19"/>
      <c r="C4" s="19"/>
      <c r="D4" s="19"/>
      <c r="E4" s="19"/>
      <c r="F4" s="19"/>
      <c r="G4" s="19"/>
      <c r="H4" s="19"/>
      <c r="I4" s="20"/>
      <c r="J4" s="23" t="s">
        <v>6</v>
      </c>
      <c r="K4" s="15"/>
    </row>
    <row r="5" ht="16.5" customHeight="1">
      <c r="A5" s="25"/>
      <c r="K5" s="28"/>
    </row>
    <row r="6" ht="31.5" customHeight="1">
      <c r="A6" s="30" t="s">
        <v>8</v>
      </c>
      <c r="K6" s="28"/>
    </row>
    <row r="7" ht="20.25" customHeight="1">
      <c r="A7" s="33" t="s">
        <v>10</v>
      </c>
      <c r="B7" s="37" t="s">
        <v>12</v>
      </c>
      <c r="C7" s="19"/>
      <c r="D7" s="20"/>
      <c r="E7" s="37" t="s">
        <v>13</v>
      </c>
      <c r="F7" s="19"/>
      <c r="G7" s="19"/>
      <c r="H7" s="19"/>
      <c r="I7" s="20"/>
      <c r="J7" s="37" t="s">
        <v>15</v>
      </c>
      <c r="K7" s="20"/>
    </row>
    <row r="8" ht="22.5" customHeight="1">
      <c r="A8" s="44">
        <v>1.0</v>
      </c>
      <c r="B8" s="46"/>
      <c r="C8" s="19"/>
      <c r="D8" s="20"/>
      <c r="E8" s="46" t="s">
        <v>18</v>
      </c>
      <c r="F8" s="19"/>
      <c r="G8" s="19"/>
      <c r="H8" s="19"/>
      <c r="I8" s="20"/>
      <c r="J8" s="52">
        <v>44320.0</v>
      </c>
      <c r="K8" s="20"/>
    </row>
    <row r="9">
      <c r="A9" s="44">
        <v>2.0</v>
      </c>
      <c r="B9" s="46" t="s">
        <v>35</v>
      </c>
      <c r="C9" s="19"/>
      <c r="D9" s="20"/>
      <c r="E9" s="46" t="s">
        <v>36</v>
      </c>
      <c r="F9" s="19"/>
      <c r="G9" s="19"/>
      <c r="H9" s="19"/>
      <c r="I9" s="20"/>
      <c r="J9" s="52">
        <v>44508.0</v>
      </c>
      <c r="K9" s="20"/>
    </row>
    <row r="10">
      <c r="A10" s="44">
        <v>3.0</v>
      </c>
      <c r="B10" s="60" t="s">
        <v>42</v>
      </c>
      <c r="C10" s="4"/>
      <c r="D10" s="5"/>
      <c r="E10" s="60" t="s">
        <v>44</v>
      </c>
      <c r="F10" s="4"/>
      <c r="G10" s="4"/>
      <c r="H10" s="4"/>
      <c r="I10" s="5"/>
      <c r="J10" s="46" t="s">
        <v>45</v>
      </c>
      <c r="K10" s="20"/>
    </row>
    <row r="11">
      <c r="A11" s="44">
        <v>4.0</v>
      </c>
      <c r="B11" s="66" t="s">
        <v>48</v>
      </c>
      <c r="C11" s="19"/>
      <c r="D11" s="20"/>
      <c r="E11" s="68" t="s">
        <v>50</v>
      </c>
      <c r="F11" s="19"/>
      <c r="G11" s="19"/>
      <c r="H11" s="19"/>
      <c r="I11" s="20"/>
      <c r="J11" s="46" t="s">
        <v>45</v>
      </c>
      <c r="K11" s="20"/>
    </row>
    <row r="12">
      <c r="A12" s="70">
        <v>5.0</v>
      </c>
      <c r="B12" s="66" t="s">
        <v>57</v>
      </c>
      <c r="C12" s="19"/>
      <c r="D12" s="20"/>
      <c r="E12" s="68" t="s">
        <v>59</v>
      </c>
      <c r="F12" s="19"/>
      <c r="G12" s="19"/>
      <c r="H12" s="19"/>
      <c r="I12" s="20"/>
      <c r="J12" s="46" t="s">
        <v>45</v>
      </c>
      <c r="K12" s="20"/>
    </row>
    <row r="13" ht="38.25" customHeight="1">
      <c r="A13" s="70">
        <v>6.0</v>
      </c>
      <c r="B13" s="68" t="s">
        <v>60</v>
      </c>
      <c r="C13" s="19"/>
      <c r="D13" s="20"/>
      <c r="E13" s="81" t="s">
        <v>65</v>
      </c>
      <c r="F13" s="19"/>
      <c r="G13" s="19"/>
      <c r="H13" s="19"/>
      <c r="I13" s="20"/>
      <c r="J13" s="84" t="s">
        <v>66</v>
      </c>
      <c r="K13" s="20"/>
    </row>
    <row r="14" ht="38.25" customHeight="1">
      <c r="A14" s="85" t="s">
        <v>70</v>
      </c>
      <c r="B14" s="86" t="s">
        <v>35</v>
      </c>
      <c r="E14" s="86" t="s">
        <v>73</v>
      </c>
      <c r="J14" s="86" t="s">
        <v>76</v>
      </c>
    </row>
    <row r="15" ht="22.5" customHeight="1">
      <c r="A15" s="89"/>
      <c r="B15" s="90"/>
      <c r="C15" s="90"/>
      <c r="D15" s="90"/>
      <c r="E15" s="90"/>
      <c r="F15" s="90"/>
      <c r="G15" s="90"/>
      <c r="H15" s="90"/>
      <c r="I15" s="90"/>
      <c r="J15" s="90"/>
      <c r="K15" s="92"/>
    </row>
    <row r="16" ht="22.5" customHeight="1">
      <c r="A16" s="89"/>
      <c r="B16" s="90"/>
      <c r="C16" s="90"/>
      <c r="D16" s="90"/>
      <c r="E16" s="90"/>
      <c r="F16" s="90"/>
      <c r="G16" s="90"/>
      <c r="H16" s="90"/>
      <c r="I16" s="90"/>
      <c r="J16" s="90"/>
      <c r="K16" s="92"/>
    </row>
    <row r="17" ht="22.5" customHeight="1">
      <c r="A17" s="89"/>
      <c r="B17" s="90"/>
      <c r="C17" s="90"/>
      <c r="D17" s="90"/>
      <c r="E17" s="90"/>
      <c r="F17" s="90"/>
      <c r="G17" s="90"/>
      <c r="H17" s="90"/>
      <c r="I17" s="90"/>
      <c r="J17" s="90"/>
      <c r="K17" s="92"/>
    </row>
    <row r="18" ht="22.5" customHeight="1">
      <c r="A18" s="89"/>
      <c r="B18" s="90"/>
      <c r="C18" s="90"/>
      <c r="D18" s="90"/>
      <c r="E18" s="90"/>
      <c r="F18" s="90"/>
      <c r="G18" s="90"/>
      <c r="H18" s="90"/>
      <c r="I18" s="90"/>
      <c r="J18" s="90"/>
      <c r="K18" s="92"/>
    </row>
    <row r="19" ht="22.5" customHeight="1">
      <c r="A19" s="89"/>
      <c r="B19" s="90"/>
      <c r="C19" s="90"/>
      <c r="D19" s="90"/>
      <c r="E19" s="90"/>
      <c r="F19" s="90"/>
      <c r="G19" s="90"/>
      <c r="H19" s="90"/>
      <c r="I19" s="90"/>
      <c r="J19" s="90"/>
      <c r="K19" s="92"/>
    </row>
    <row r="20" ht="22.5" customHeight="1">
      <c r="A20" s="89"/>
      <c r="B20" s="90"/>
      <c r="C20" s="90"/>
      <c r="D20" s="90"/>
      <c r="E20" s="90"/>
      <c r="F20" s="90"/>
      <c r="G20" s="90"/>
      <c r="H20" s="90"/>
      <c r="I20" s="90"/>
      <c r="J20" s="90"/>
      <c r="K20" s="92"/>
    </row>
    <row r="21" ht="22.5" customHeight="1">
      <c r="A21" s="89"/>
      <c r="B21" s="90"/>
      <c r="C21" s="90"/>
      <c r="D21" s="90"/>
      <c r="E21" s="90"/>
      <c r="F21" s="90"/>
      <c r="G21" s="90"/>
      <c r="H21" s="90"/>
      <c r="I21" s="90"/>
      <c r="J21" s="90"/>
      <c r="K21" s="92"/>
    </row>
    <row r="22" ht="22.5" customHeight="1">
      <c r="A22" s="95"/>
      <c r="B22" s="97"/>
      <c r="C22" s="97"/>
      <c r="D22" s="97"/>
      <c r="E22" s="97"/>
      <c r="F22" s="97"/>
      <c r="G22" s="97"/>
      <c r="H22" s="97"/>
      <c r="I22" s="97"/>
      <c r="J22" s="97"/>
      <c r="K22" s="100"/>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3">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4:D14"/>
    <mergeCell ref="E14:I14"/>
    <mergeCell ref="J14:K14"/>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0"/>
  <cols>
    <col customWidth="1" min="1" max="1" width="5.75"/>
    <col customWidth="1" min="2" max="2" width="4.63"/>
    <col customWidth="1" min="3" max="3" width="6.38"/>
    <col customWidth="1" min="4" max="4" width="3.5"/>
    <col customWidth="1" min="5" max="9" width="9.75"/>
    <col customWidth="1" min="10" max="10" width="13.75"/>
    <col customWidth="1" min="11" max="11" width="15.0"/>
  </cols>
  <sheetData>
    <row r="1" ht="22.5" customHeight="1">
      <c r="A1" s="2"/>
      <c r="B1" s="4"/>
      <c r="C1" s="4"/>
      <c r="D1" s="4"/>
      <c r="E1" s="6" t="s">
        <v>0</v>
      </c>
      <c r="F1" s="4"/>
      <c r="G1" s="4"/>
      <c r="H1" s="4"/>
      <c r="I1" s="4"/>
      <c r="J1" s="8" t="s">
        <v>1</v>
      </c>
      <c r="K1" s="5"/>
    </row>
    <row r="2" ht="22.5" customHeight="1">
      <c r="A2" s="9"/>
      <c r="E2" s="9"/>
      <c r="J2" s="11" t="s">
        <v>2</v>
      </c>
      <c r="K2" s="12"/>
    </row>
    <row r="3" ht="22.5" customHeight="1">
      <c r="A3" s="9"/>
      <c r="E3" s="9"/>
      <c r="J3" s="16" t="s">
        <v>3</v>
      </c>
      <c r="K3" s="15"/>
    </row>
    <row r="4" ht="22.5" customHeight="1">
      <c r="A4" s="18" t="s">
        <v>4</v>
      </c>
      <c r="B4" s="19"/>
      <c r="C4" s="19"/>
      <c r="D4" s="19"/>
      <c r="E4" s="19"/>
      <c r="F4" s="19"/>
      <c r="G4" s="19"/>
      <c r="H4" s="19"/>
      <c r="I4" s="20"/>
      <c r="J4" s="23" t="s">
        <v>5</v>
      </c>
      <c r="K4" s="15"/>
    </row>
    <row r="5" ht="16.5" customHeight="1">
      <c r="A5" s="26"/>
      <c r="K5" s="28"/>
    </row>
    <row r="6" ht="22.5" customHeight="1">
      <c r="A6" s="29" t="s">
        <v>7</v>
      </c>
      <c r="B6" s="31" t="s">
        <v>9</v>
      </c>
      <c r="F6" s="31"/>
      <c r="G6" s="31"/>
      <c r="H6" s="31"/>
      <c r="I6" s="31"/>
      <c r="J6" s="34"/>
      <c r="K6" s="36"/>
    </row>
    <row r="7" ht="22.5" customHeight="1">
      <c r="A7" s="39"/>
      <c r="B7" s="42" t="s">
        <v>14</v>
      </c>
      <c r="C7" s="43"/>
      <c r="D7" s="43"/>
      <c r="E7" s="43"/>
      <c r="F7" s="43"/>
      <c r="G7" s="43"/>
      <c r="H7" s="43"/>
      <c r="I7" s="43"/>
      <c r="J7" s="43"/>
      <c r="K7" s="45"/>
    </row>
    <row r="8" ht="22.5" customHeight="1">
      <c r="A8" s="29" t="s">
        <v>16</v>
      </c>
      <c r="B8" s="31" t="s">
        <v>17</v>
      </c>
      <c r="F8" s="31"/>
      <c r="G8" s="31"/>
      <c r="H8" s="31"/>
      <c r="I8" s="31"/>
      <c r="J8" s="34"/>
      <c r="K8" s="36"/>
    </row>
    <row r="9" ht="22.5" customHeight="1">
      <c r="A9" s="39"/>
      <c r="B9" s="49" t="s">
        <v>19</v>
      </c>
      <c r="C9" s="43"/>
      <c r="D9" s="43"/>
      <c r="E9" s="43"/>
      <c r="F9" s="43"/>
      <c r="G9" s="43"/>
      <c r="H9" s="43"/>
      <c r="I9" s="43"/>
      <c r="J9" s="43"/>
      <c r="K9" s="45"/>
    </row>
    <row r="10" ht="22.5" customHeight="1">
      <c r="A10" s="29" t="s">
        <v>22</v>
      </c>
      <c r="B10" s="53" t="s">
        <v>24</v>
      </c>
      <c r="F10" s="31"/>
      <c r="G10" s="31"/>
      <c r="H10" s="31"/>
      <c r="I10" s="31"/>
      <c r="J10" s="34"/>
      <c r="K10" s="36"/>
    </row>
    <row r="11" ht="22.5" customHeight="1">
      <c r="A11" s="39" t="s">
        <v>37</v>
      </c>
      <c r="B11" s="42" t="s">
        <v>38</v>
      </c>
      <c r="C11" s="43"/>
      <c r="D11" s="43"/>
      <c r="E11" s="43"/>
      <c r="F11" s="43"/>
      <c r="G11" s="43"/>
      <c r="H11" s="43"/>
      <c r="I11" s="43"/>
      <c r="J11" s="43"/>
      <c r="K11" s="45"/>
    </row>
    <row r="12" ht="22.5" customHeight="1">
      <c r="A12" s="57" t="s">
        <v>40</v>
      </c>
      <c r="B12" s="59" t="s">
        <v>41</v>
      </c>
      <c r="C12" s="43"/>
      <c r="D12" s="43"/>
      <c r="E12" s="43"/>
      <c r="F12" s="43"/>
      <c r="G12" s="43"/>
      <c r="H12" s="43"/>
      <c r="I12" s="43"/>
      <c r="J12" s="43"/>
      <c r="K12" s="45"/>
    </row>
    <row r="13" ht="22.5" customHeight="1">
      <c r="A13" s="61"/>
      <c r="B13" s="62"/>
      <c r="C13" s="62"/>
      <c r="D13" s="62"/>
      <c r="E13" s="62"/>
      <c r="F13" s="62"/>
      <c r="G13" s="62"/>
      <c r="H13" s="62"/>
      <c r="I13" s="62"/>
      <c r="J13" s="62"/>
      <c r="K13" s="62"/>
    </row>
    <row r="14" ht="22.5" customHeight="1">
      <c r="A14" s="61"/>
      <c r="B14" s="62"/>
      <c r="C14" s="62"/>
      <c r="D14" s="62"/>
      <c r="E14" s="62"/>
      <c r="F14" s="62"/>
      <c r="G14" s="62"/>
      <c r="H14" s="62"/>
      <c r="I14" s="62"/>
      <c r="J14" s="62"/>
      <c r="K14" s="62"/>
    </row>
    <row r="15" ht="22.5" customHeight="1">
      <c r="A15" s="61"/>
      <c r="B15" s="62"/>
      <c r="C15" s="62"/>
      <c r="D15" s="62"/>
      <c r="E15" s="62"/>
      <c r="F15" s="62"/>
      <c r="G15" s="62"/>
      <c r="H15" s="62"/>
      <c r="I15" s="62"/>
      <c r="J15" s="62"/>
      <c r="K15" s="62"/>
    </row>
    <row r="16" ht="22.5" customHeight="1">
      <c r="A16" s="61"/>
      <c r="B16" s="62"/>
      <c r="C16" s="62"/>
      <c r="D16" s="62"/>
      <c r="E16" s="62"/>
      <c r="F16" s="62"/>
      <c r="G16" s="62"/>
      <c r="H16" s="62"/>
      <c r="I16" s="62"/>
      <c r="J16" s="62"/>
      <c r="K16" s="62"/>
    </row>
    <row r="17" ht="22.5" customHeight="1">
      <c r="A17" s="61"/>
      <c r="B17" s="62"/>
      <c r="C17" s="62"/>
      <c r="D17" s="62"/>
      <c r="E17" s="62"/>
      <c r="F17" s="62"/>
      <c r="G17" s="62"/>
      <c r="H17" s="62"/>
      <c r="I17" s="62"/>
      <c r="J17" s="62"/>
      <c r="K17" s="62"/>
    </row>
  </sheetData>
  <mergeCells count="15">
    <mergeCell ref="A5:K5"/>
    <mergeCell ref="B6:E6"/>
    <mergeCell ref="B7:K7"/>
    <mergeCell ref="B8:E8"/>
    <mergeCell ref="B9:K9"/>
    <mergeCell ref="B10:E10"/>
    <mergeCell ref="B11:K11"/>
    <mergeCell ref="B12:K12"/>
    <mergeCell ref="A1:D3"/>
    <mergeCell ref="E1:I3"/>
    <mergeCell ref="J1:K1"/>
    <mergeCell ref="J2:K2"/>
    <mergeCell ref="J3:K3"/>
    <mergeCell ref="A4:I4"/>
    <mergeCell ref="J4:K4"/>
  </mergeCells>
  <printOptions horizontalCentered="1"/>
  <pageMargins bottom="0.75" footer="0.0" header="0.0" left="0.7" right="0.7" top="0.75"/>
  <pageSetup fitToHeight="0" paperSize="9"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showGridLines="0" workbookViewId="0">
      <pane xSplit="6.0" topLeftCell="G1" activePane="topRight" state="frozen"/>
      <selection activeCell="H2" sqref="H2" pane="topRight"/>
    </sheetView>
  </sheetViews>
  <sheetFormatPr customHeight="1" defaultColWidth="12.63" defaultRowHeight="15.0"/>
  <cols>
    <col customWidth="1" min="1" max="1" width="2.5"/>
    <col customWidth="1" min="2" max="2" width="6.38"/>
    <col customWidth="1" min="3" max="3" width="27.5"/>
    <col customWidth="1" min="4" max="4" width="18.75"/>
    <col customWidth="1" min="5" max="5" width="17.0"/>
    <col customWidth="1" min="6" max="6" width="13.63"/>
    <col customWidth="1" min="7" max="7" width="14.13"/>
    <col customWidth="1" min="8" max="8" width="15.25"/>
    <col customWidth="1" min="9" max="15" width="14.5"/>
    <col customWidth="1" min="16" max="16" width="11.63"/>
    <col customWidth="1" min="17" max="17" width="11.88"/>
    <col customWidth="1" min="18" max="18" width="10.75"/>
    <col customWidth="1" min="19" max="19" width="15.13"/>
    <col customWidth="1" min="20" max="20" width="33.25"/>
    <col customWidth="1" min="21" max="21" width="22.88"/>
    <col customWidth="1" min="22" max="22" width="2.5"/>
  </cols>
  <sheetData>
    <row r="1" ht="22.5" customHeight="1">
      <c r="A1" s="1"/>
      <c r="B1" s="3"/>
      <c r="C1" s="4"/>
      <c r="D1" s="4"/>
      <c r="E1" s="4"/>
      <c r="F1" s="5"/>
      <c r="G1" s="7" t="s">
        <v>0</v>
      </c>
      <c r="H1" s="4"/>
      <c r="I1" s="4"/>
      <c r="J1" s="4"/>
      <c r="K1" s="4"/>
      <c r="L1" s="4"/>
      <c r="M1" s="4"/>
      <c r="N1" s="4"/>
      <c r="O1" s="4"/>
      <c r="P1" s="4"/>
      <c r="Q1" s="4"/>
      <c r="R1" s="4"/>
      <c r="S1" s="5"/>
      <c r="T1" s="8" t="s">
        <v>1</v>
      </c>
      <c r="U1" s="5"/>
      <c r="V1" s="1"/>
    </row>
    <row r="2" ht="22.5" customHeight="1">
      <c r="A2" s="1"/>
      <c r="B2" s="9"/>
      <c r="F2" s="12"/>
      <c r="G2" s="9"/>
      <c r="S2" s="12"/>
      <c r="T2" s="11" t="s">
        <v>2</v>
      </c>
      <c r="U2" s="12"/>
      <c r="V2" s="1"/>
    </row>
    <row r="3" ht="22.5" customHeight="1">
      <c r="A3" s="1"/>
      <c r="B3" s="13"/>
      <c r="C3" s="14"/>
      <c r="D3" s="14"/>
      <c r="E3" s="14"/>
      <c r="F3" s="15"/>
      <c r="G3" s="13"/>
      <c r="H3" s="14"/>
      <c r="I3" s="14"/>
      <c r="J3" s="14"/>
      <c r="K3" s="14"/>
      <c r="L3" s="14"/>
      <c r="M3" s="14"/>
      <c r="N3" s="14"/>
      <c r="O3" s="14"/>
      <c r="P3" s="14"/>
      <c r="Q3" s="14"/>
      <c r="R3" s="14"/>
      <c r="S3" s="15"/>
      <c r="T3" s="16" t="s">
        <v>3</v>
      </c>
      <c r="U3" s="15"/>
      <c r="V3" s="1"/>
    </row>
    <row r="4" ht="22.5" customHeight="1">
      <c r="A4" s="1"/>
      <c r="B4" s="17" t="s">
        <v>4</v>
      </c>
      <c r="C4" s="19"/>
      <c r="D4" s="19"/>
      <c r="E4" s="19"/>
      <c r="F4" s="19"/>
      <c r="G4" s="21"/>
      <c r="H4" s="19"/>
      <c r="I4" s="19"/>
      <c r="J4" s="19"/>
      <c r="K4" s="19"/>
      <c r="L4" s="19"/>
      <c r="M4" s="19"/>
      <c r="N4" s="19"/>
      <c r="O4" s="19"/>
      <c r="P4" s="19"/>
      <c r="Q4" s="19"/>
      <c r="R4" s="19"/>
      <c r="S4" s="20"/>
      <c r="T4" s="22" t="s">
        <v>5</v>
      </c>
      <c r="U4" s="15"/>
      <c r="V4" s="1"/>
    </row>
    <row r="5" ht="15.75" customHeight="1">
      <c r="A5" s="1"/>
      <c r="B5" s="24"/>
      <c r="C5" s="24"/>
      <c r="D5" s="27"/>
      <c r="E5" s="27"/>
      <c r="F5" s="27"/>
      <c r="G5" s="27"/>
      <c r="H5" s="27"/>
      <c r="I5" s="27"/>
      <c r="J5" s="27"/>
      <c r="K5" s="27"/>
      <c r="L5" s="27"/>
      <c r="M5" s="27"/>
      <c r="N5" s="27"/>
      <c r="O5" s="27"/>
      <c r="P5" s="24"/>
      <c r="Q5" s="24"/>
      <c r="R5" s="24"/>
      <c r="S5" s="24"/>
      <c r="T5" s="24"/>
      <c r="U5" s="24"/>
      <c r="V5" s="1"/>
    </row>
    <row r="6" ht="15.75" customHeight="1">
      <c r="A6" s="32"/>
      <c r="B6" s="35" t="s">
        <v>11</v>
      </c>
      <c r="C6" s="5"/>
      <c r="D6" s="38"/>
      <c r="E6" s="38"/>
      <c r="F6" s="38"/>
      <c r="G6" s="38"/>
      <c r="H6" s="38"/>
      <c r="I6" s="38"/>
      <c r="J6" s="38"/>
      <c r="K6" s="38"/>
      <c r="L6" s="38"/>
      <c r="M6" s="38"/>
      <c r="N6" s="38"/>
      <c r="O6" s="38"/>
      <c r="P6" s="40"/>
      <c r="Q6" s="40"/>
      <c r="R6" s="40"/>
      <c r="S6" s="40"/>
      <c r="T6" s="40"/>
      <c r="U6" s="40"/>
      <c r="V6" s="32"/>
    </row>
    <row r="7" ht="15.75" customHeight="1">
      <c r="A7" s="41"/>
      <c r="B7" s="13"/>
      <c r="C7" s="15"/>
      <c r="D7" s="38"/>
      <c r="E7" s="38"/>
      <c r="F7" s="38"/>
      <c r="G7" s="38"/>
      <c r="H7" s="38"/>
      <c r="I7" s="38"/>
      <c r="J7" s="38"/>
      <c r="K7" s="38"/>
      <c r="L7" s="38"/>
      <c r="M7" s="38"/>
      <c r="N7" s="38"/>
      <c r="O7" s="38"/>
      <c r="P7" s="40"/>
      <c r="Q7" s="40"/>
      <c r="R7" s="40"/>
      <c r="S7" s="40"/>
      <c r="T7" s="40"/>
      <c r="U7" s="40"/>
      <c r="V7" s="41"/>
    </row>
    <row r="8" ht="15.75" customHeight="1">
      <c r="A8" s="47"/>
      <c r="B8" s="48" t="s">
        <v>10</v>
      </c>
      <c r="C8" s="48" t="s">
        <v>20</v>
      </c>
      <c r="D8" s="51" t="s">
        <v>21</v>
      </c>
      <c r="E8" s="51" t="s">
        <v>23</v>
      </c>
      <c r="F8" s="51" t="s">
        <v>25</v>
      </c>
      <c r="G8" s="51" t="s">
        <v>26</v>
      </c>
      <c r="H8" s="51" t="s">
        <v>27</v>
      </c>
      <c r="I8" s="51" t="s">
        <v>28</v>
      </c>
      <c r="J8" s="48" t="s">
        <v>29</v>
      </c>
      <c r="K8" s="48" t="s">
        <v>30</v>
      </c>
      <c r="L8" s="48" t="s">
        <v>31</v>
      </c>
      <c r="M8" s="48" t="s">
        <v>32</v>
      </c>
      <c r="N8" s="48" t="s">
        <v>33</v>
      </c>
      <c r="O8" s="48" t="s">
        <v>34</v>
      </c>
      <c r="V8" s="47"/>
    </row>
    <row r="9">
      <c r="A9" s="54"/>
      <c r="B9" s="55">
        <v>1.0</v>
      </c>
      <c r="C9" s="58" t="s">
        <v>39</v>
      </c>
      <c r="D9" s="64" t="s">
        <v>46</v>
      </c>
      <c r="E9" s="65" t="s">
        <v>49</v>
      </c>
      <c r="F9" s="65" t="s">
        <v>51</v>
      </c>
      <c r="G9" s="65" t="s">
        <v>53</v>
      </c>
      <c r="H9" s="65" t="s">
        <v>55</v>
      </c>
      <c r="I9" s="65"/>
      <c r="J9" s="72" t="s">
        <v>56</v>
      </c>
      <c r="K9" s="74"/>
      <c r="L9" s="75">
        <v>46213.0</v>
      </c>
      <c r="M9" s="74"/>
      <c r="N9" s="74"/>
      <c r="O9" s="74"/>
      <c r="P9" s="77"/>
      <c r="Q9" s="77"/>
      <c r="R9" s="77"/>
      <c r="V9" s="54"/>
    </row>
    <row r="10" ht="15.75" customHeight="1">
      <c r="A10" s="54"/>
      <c r="B10" s="55">
        <f t="shared" ref="B10:B28" si="1">B9+1</f>
        <v>2</v>
      </c>
      <c r="C10" s="58" t="s">
        <v>79</v>
      </c>
      <c r="D10" s="64" t="s">
        <v>74</v>
      </c>
      <c r="E10" s="65" t="s">
        <v>49</v>
      </c>
      <c r="F10" s="64" t="s">
        <v>84</v>
      </c>
      <c r="G10" s="65" t="s">
        <v>53</v>
      </c>
      <c r="H10" s="64" t="s">
        <v>55</v>
      </c>
      <c r="I10" s="64" t="s">
        <v>89</v>
      </c>
      <c r="J10" s="93" t="s">
        <v>91</v>
      </c>
      <c r="K10" s="94" t="s">
        <v>96</v>
      </c>
      <c r="L10" s="75">
        <v>45971.0</v>
      </c>
      <c r="M10" s="74"/>
      <c r="N10" s="74"/>
      <c r="O10" s="94" t="s">
        <v>99</v>
      </c>
      <c r="V10" s="54"/>
    </row>
    <row r="11" ht="15.75" customHeight="1">
      <c r="A11" s="54"/>
      <c r="B11" s="55">
        <f t="shared" si="1"/>
        <v>3</v>
      </c>
      <c r="C11" s="58" t="s">
        <v>103</v>
      </c>
      <c r="D11" s="64" t="s">
        <v>105</v>
      </c>
      <c r="E11" s="64" t="s">
        <v>106</v>
      </c>
      <c r="F11" s="65" t="s">
        <v>85</v>
      </c>
      <c r="G11" s="65" t="s">
        <v>53</v>
      </c>
      <c r="H11" s="64" t="s">
        <v>55</v>
      </c>
      <c r="I11" s="64" t="s">
        <v>108</v>
      </c>
      <c r="J11" s="94" t="s">
        <v>109</v>
      </c>
      <c r="K11" s="96" t="s">
        <v>110</v>
      </c>
      <c r="L11" s="99">
        <v>45383.0</v>
      </c>
      <c r="M11" s="74"/>
      <c r="N11" s="74"/>
      <c r="O11" s="74"/>
      <c r="V11" s="54"/>
    </row>
    <row r="12" ht="15.75" customHeight="1">
      <c r="A12" s="54"/>
      <c r="B12" s="55">
        <f t="shared" si="1"/>
        <v>4</v>
      </c>
      <c r="C12" s="58" t="s">
        <v>115</v>
      </c>
      <c r="D12" s="64" t="s">
        <v>105</v>
      </c>
      <c r="E12" s="64" t="s">
        <v>117</v>
      </c>
      <c r="F12" s="65" t="s">
        <v>85</v>
      </c>
      <c r="G12" s="65" t="s">
        <v>53</v>
      </c>
      <c r="H12" s="64" t="s">
        <v>55</v>
      </c>
      <c r="I12" s="64" t="s">
        <v>119</v>
      </c>
      <c r="J12" s="94" t="s">
        <v>120</v>
      </c>
      <c r="K12" s="94" t="s">
        <v>121</v>
      </c>
      <c r="L12" s="75">
        <v>45019.0</v>
      </c>
      <c r="M12" s="74"/>
      <c r="N12" s="74"/>
      <c r="O12" s="74"/>
      <c r="V12" s="54"/>
    </row>
    <row r="13" ht="15.75" customHeight="1">
      <c r="A13" s="54"/>
      <c r="B13" s="55">
        <f t="shared" si="1"/>
        <v>5</v>
      </c>
      <c r="C13" s="58" t="s">
        <v>122</v>
      </c>
      <c r="D13" s="65" t="s">
        <v>114</v>
      </c>
      <c r="E13" s="65" t="s">
        <v>49</v>
      </c>
      <c r="F13" s="65" t="s">
        <v>85</v>
      </c>
      <c r="G13" s="65" t="s">
        <v>53</v>
      </c>
      <c r="H13" s="64" t="s">
        <v>55</v>
      </c>
      <c r="I13" s="65"/>
      <c r="J13" s="105" t="s">
        <v>124</v>
      </c>
      <c r="K13" s="94" t="s">
        <v>96</v>
      </c>
      <c r="L13" s="106">
        <v>45145.0</v>
      </c>
      <c r="M13" s="74"/>
      <c r="N13" s="74"/>
      <c r="O13" s="74"/>
      <c r="V13" s="54"/>
    </row>
    <row r="14" ht="15.75" customHeight="1">
      <c r="A14" s="54"/>
      <c r="B14" s="55">
        <f t="shared" si="1"/>
        <v>6</v>
      </c>
      <c r="C14" s="58"/>
      <c r="D14" s="65"/>
      <c r="E14" s="65"/>
      <c r="F14" s="65"/>
      <c r="G14" s="65"/>
      <c r="H14" s="64"/>
      <c r="I14" s="65"/>
      <c r="J14" s="74"/>
      <c r="K14" s="74"/>
      <c r="L14" s="74"/>
      <c r="M14" s="74"/>
      <c r="N14" s="74"/>
      <c r="O14" s="74"/>
      <c r="V14" s="54"/>
    </row>
    <row r="15" ht="15.75" customHeight="1">
      <c r="A15" s="54"/>
      <c r="B15" s="55">
        <f t="shared" si="1"/>
        <v>7</v>
      </c>
      <c r="C15" s="108"/>
      <c r="D15" s="65"/>
      <c r="E15" s="65"/>
      <c r="F15" s="65"/>
      <c r="G15" s="65"/>
      <c r="H15" s="65"/>
      <c r="I15" s="65"/>
      <c r="J15" s="74"/>
      <c r="K15" s="74"/>
      <c r="L15" s="74"/>
      <c r="M15" s="74"/>
      <c r="N15" s="74"/>
      <c r="O15" s="74"/>
      <c r="V15" s="54"/>
    </row>
    <row r="16" ht="15.75" customHeight="1">
      <c r="A16" s="47"/>
      <c r="B16" s="55">
        <f t="shared" si="1"/>
        <v>8</v>
      </c>
      <c r="C16" s="108"/>
      <c r="D16" s="65"/>
      <c r="E16" s="65"/>
      <c r="F16" s="65"/>
      <c r="G16" s="65"/>
      <c r="H16" s="65"/>
      <c r="I16" s="65"/>
      <c r="J16" s="74"/>
      <c r="K16" s="74"/>
      <c r="L16" s="74"/>
      <c r="M16" s="74"/>
      <c r="N16" s="74"/>
      <c r="O16" s="74"/>
      <c r="V16" s="47"/>
    </row>
    <row r="17" ht="15.75" customHeight="1">
      <c r="A17" s="54"/>
      <c r="B17" s="55">
        <f t="shared" si="1"/>
        <v>9</v>
      </c>
      <c r="C17" s="108"/>
      <c r="D17" s="65"/>
      <c r="E17" s="65"/>
      <c r="F17" s="65"/>
      <c r="G17" s="65"/>
      <c r="H17" s="65"/>
      <c r="I17" s="65"/>
      <c r="J17" s="74"/>
      <c r="K17" s="74"/>
      <c r="L17" s="74"/>
      <c r="M17" s="74"/>
      <c r="N17" s="74"/>
      <c r="O17" s="74"/>
      <c r="V17" s="54"/>
    </row>
    <row r="18" ht="15.75" customHeight="1">
      <c r="A18" s="54"/>
      <c r="B18" s="55">
        <f t="shared" si="1"/>
        <v>10</v>
      </c>
      <c r="C18" s="108"/>
      <c r="D18" s="65"/>
      <c r="E18" s="65"/>
      <c r="F18" s="65"/>
      <c r="G18" s="65"/>
      <c r="H18" s="65"/>
      <c r="I18" s="65"/>
      <c r="J18" s="74"/>
      <c r="K18" s="74"/>
      <c r="L18" s="74"/>
      <c r="M18" s="74"/>
      <c r="N18" s="74"/>
      <c r="O18" s="74"/>
      <c r="V18" s="54"/>
    </row>
    <row r="19" ht="15.75" customHeight="1">
      <c r="A19" s="54"/>
      <c r="B19" s="55">
        <f t="shared" si="1"/>
        <v>11</v>
      </c>
      <c r="C19" s="108"/>
      <c r="D19" s="65"/>
      <c r="E19" s="65"/>
      <c r="F19" s="65"/>
      <c r="G19" s="65"/>
      <c r="H19" s="65"/>
      <c r="I19" s="65"/>
      <c r="J19" s="74"/>
      <c r="K19" s="74"/>
      <c r="L19" s="74"/>
      <c r="M19" s="74"/>
      <c r="N19" s="74"/>
      <c r="O19" s="74"/>
      <c r="V19" s="54"/>
    </row>
    <row r="20" ht="15.75" customHeight="1">
      <c r="A20" s="54"/>
      <c r="B20" s="55">
        <f t="shared" si="1"/>
        <v>12</v>
      </c>
      <c r="C20" s="108"/>
      <c r="D20" s="65"/>
      <c r="E20" s="65"/>
      <c r="F20" s="65"/>
      <c r="G20" s="65"/>
      <c r="H20" s="65"/>
      <c r="I20" s="65"/>
      <c r="J20" s="74"/>
      <c r="K20" s="74"/>
      <c r="L20" s="74"/>
      <c r="M20" s="74"/>
      <c r="N20" s="74"/>
      <c r="O20" s="74"/>
      <c r="V20" s="54"/>
    </row>
    <row r="21" ht="15.75" customHeight="1">
      <c r="A21" s="54"/>
      <c r="B21" s="55">
        <f t="shared" si="1"/>
        <v>13</v>
      </c>
      <c r="C21" s="108"/>
      <c r="D21" s="65"/>
      <c r="E21" s="65"/>
      <c r="F21" s="65"/>
      <c r="G21" s="65"/>
      <c r="H21" s="65"/>
      <c r="I21" s="65"/>
      <c r="J21" s="74"/>
      <c r="K21" s="74"/>
      <c r="L21" s="74"/>
      <c r="M21" s="74"/>
      <c r="N21" s="74"/>
      <c r="O21" s="74"/>
      <c r="V21" s="54"/>
    </row>
    <row r="22" ht="15.75" customHeight="1">
      <c r="A22" s="54"/>
      <c r="B22" s="55">
        <f t="shared" si="1"/>
        <v>14</v>
      </c>
      <c r="C22" s="108"/>
      <c r="D22" s="65"/>
      <c r="E22" s="65"/>
      <c r="F22" s="65"/>
      <c r="G22" s="65"/>
      <c r="H22" s="65"/>
      <c r="I22" s="65"/>
      <c r="J22" s="74"/>
      <c r="K22" s="74"/>
      <c r="L22" s="74"/>
      <c r="M22" s="74"/>
      <c r="N22" s="74"/>
      <c r="O22" s="74"/>
      <c r="V22" s="54"/>
    </row>
    <row r="23" ht="15.75" customHeight="1">
      <c r="A23" s="54"/>
      <c r="B23" s="55">
        <f t="shared" si="1"/>
        <v>15</v>
      </c>
      <c r="C23" s="108"/>
      <c r="D23" s="65"/>
      <c r="E23" s="65"/>
      <c r="F23" s="65"/>
      <c r="G23" s="65"/>
      <c r="H23" s="65"/>
      <c r="I23" s="65"/>
      <c r="J23" s="74"/>
      <c r="K23" s="74"/>
      <c r="L23" s="74"/>
      <c r="M23" s="74"/>
      <c r="N23" s="74"/>
      <c r="O23" s="74"/>
      <c r="V23" s="54"/>
    </row>
    <row r="24" ht="15.75" customHeight="1">
      <c r="A24" s="54"/>
      <c r="B24" s="55">
        <f t="shared" si="1"/>
        <v>16</v>
      </c>
      <c r="C24" s="108"/>
      <c r="D24" s="65"/>
      <c r="E24" s="65"/>
      <c r="F24" s="65"/>
      <c r="G24" s="65"/>
      <c r="H24" s="65"/>
      <c r="I24" s="65"/>
      <c r="J24" s="74"/>
      <c r="K24" s="74"/>
      <c r="L24" s="74"/>
      <c r="M24" s="74"/>
      <c r="N24" s="74"/>
      <c r="O24" s="74"/>
      <c r="V24" s="54"/>
    </row>
    <row r="25" ht="15.75" customHeight="1">
      <c r="A25" s="54"/>
      <c r="B25" s="55">
        <f t="shared" si="1"/>
        <v>17</v>
      </c>
      <c r="C25" s="108"/>
      <c r="D25" s="65"/>
      <c r="E25" s="65"/>
      <c r="F25" s="65"/>
      <c r="G25" s="65"/>
      <c r="H25" s="65"/>
      <c r="I25" s="65"/>
      <c r="J25" s="74"/>
      <c r="K25" s="74"/>
      <c r="L25" s="74"/>
      <c r="M25" s="74"/>
      <c r="N25" s="74"/>
      <c r="O25" s="74"/>
      <c r="V25" s="54"/>
    </row>
    <row r="26" ht="15.75" customHeight="1">
      <c r="A26" s="54"/>
      <c r="B26" s="55">
        <f t="shared" si="1"/>
        <v>18</v>
      </c>
      <c r="C26" s="108"/>
      <c r="D26" s="65"/>
      <c r="E26" s="65"/>
      <c r="F26" s="65"/>
      <c r="G26" s="65"/>
      <c r="H26" s="65"/>
      <c r="I26" s="65"/>
      <c r="J26" s="74"/>
      <c r="K26" s="74"/>
      <c r="L26" s="74"/>
      <c r="M26" s="74"/>
      <c r="N26" s="74"/>
      <c r="O26" s="74"/>
      <c r="V26" s="54"/>
    </row>
    <row r="27" ht="15.75" customHeight="1">
      <c r="A27" s="54"/>
      <c r="B27" s="55">
        <f t="shared" si="1"/>
        <v>19</v>
      </c>
      <c r="C27" s="108"/>
      <c r="D27" s="65"/>
      <c r="E27" s="65"/>
      <c r="F27" s="65"/>
      <c r="G27" s="65"/>
      <c r="H27" s="65"/>
      <c r="I27" s="65"/>
      <c r="J27" s="74"/>
      <c r="K27" s="74"/>
      <c r="L27" s="74"/>
      <c r="M27" s="74"/>
      <c r="N27" s="74"/>
      <c r="O27" s="74"/>
      <c r="V27" s="54"/>
    </row>
    <row r="28" ht="15.75" customHeight="1">
      <c r="A28" s="54"/>
      <c r="B28" s="55">
        <f t="shared" si="1"/>
        <v>20</v>
      </c>
      <c r="C28" s="108"/>
      <c r="D28" s="65"/>
      <c r="E28" s="65"/>
      <c r="F28" s="65"/>
      <c r="G28" s="65"/>
      <c r="H28" s="65"/>
      <c r="I28" s="65"/>
      <c r="J28" s="74"/>
      <c r="K28" s="74"/>
      <c r="L28" s="74"/>
      <c r="M28" s="74"/>
      <c r="N28" s="74"/>
      <c r="O28" s="74"/>
      <c r="V28" s="54"/>
    </row>
    <row r="29" ht="15.75" customHeight="1">
      <c r="A29" s="54"/>
      <c r="B29" s="40"/>
      <c r="C29" s="40"/>
      <c r="D29" s="38"/>
      <c r="E29" s="38"/>
      <c r="F29" s="38"/>
      <c r="G29" s="38"/>
      <c r="H29" s="38"/>
      <c r="I29" s="38"/>
      <c r="J29" s="38"/>
      <c r="K29" s="38"/>
      <c r="L29" s="38"/>
      <c r="M29" s="38"/>
      <c r="N29" s="38"/>
      <c r="O29" s="38"/>
      <c r="P29" s="40"/>
      <c r="Q29" s="40"/>
      <c r="R29" s="40"/>
      <c r="S29" s="40"/>
      <c r="T29" s="40"/>
      <c r="U29" s="40"/>
      <c r="V29" s="54"/>
    </row>
    <row r="30" ht="15.75" customHeight="1">
      <c r="A30" s="54"/>
      <c r="B30" s="35" t="s">
        <v>131</v>
      </c>
      <c r="C30" s="5"/>
      <c r="D30" s="109"/>
      <c r="E30" s="109"/>
      <c r="F30" s="109"/>
      <c r="G30" s="109"/>
      <c r="H30" s="109"/>
      <c r="I30" s="109"/>
      <c r="J30" s="109"/>
      <c r="K30" s="109"/>
      <c r="L30" s="109"/>
      <c r="M30" s="109"/>
      <c r="N30" s="109"/>
      <c r="O30" s="109"/>
      <c r="P30" s="110"/>
      <c r="Q30" s="110"/>
      <c r="R30" s="40"/>
      <c r="S30" s="40"/>
      <c r="T30" s="40"/>
      <c r="U30" s="40"/>
      <c r="V30" s="54"/>
    </row>
    <row r="31" ht="15.75" customHeight="1">
      <c r="A31" s="54"/>
      <c r="B31" s="13"/>
      <c r="C31" s="15"/>
      <c r="D31" s="109"/>
      <c r="E31" s="109"/>
      <c r="F31" s="109"/>
      <c r="G31" s="109"/>
      <c r="H31" s="109"/>
      <c r="I31" s="109"/>
      <c r="J31" s="109"/>
      <c r="K31" s="109"/>
      <c r="L31" s="109"/>
      <c r="M31" s="109"/>
      <c r="N31" s="109"/>
      <c r="O31" s="109"/>
      <c r="P31" s="110"/>
      <c r="Q31" s="110"/>
      <c r="R31" s="40"/>
      <c r="S31" s="40"/>
      <c r="T31" s="40"/>
      <c r="U31" s="40"/>
      <c r="V31" s="54"/>
    </row>
    <row r="32" ht="15.75" customHeight="1">
      <c r="A32" s="54"/>
      <c r="B32" s="48" t="s">
        <v>10</v>
      </c>
      <c r="C32" s="48" t="s">
        <v>20</v>
      </c>
      <c r="D32" s="48" t="s">
        <v>132</v>
      </c>
      <c r="E32" s="51" t="s">
        <v>26</v>
      </c>
      <c r="F32" s="51" t="s">
        <v>28</v>
      </c>
      <c r="G32" s="111" t="s">
        <v>29</v>
      </c>
      <c r="H32" s="19"/>
      <c r="I32" s="20"/>
      <c r="J32" s="111" t="s">
        <v>30</v>
      </c>
      <c r="K32" s="20"/>
      <c r="L32" s="48" t="s">
        <v>31</v>
      </c>
      <c r="M32" s="48" t="s">
        <v>32</v>
      </c>
      <c r="N32" s="111" t="s">
        <v>133</v>
      </c>
      <c r="O32" s="19"/>
      <c r="P32" s="20"/>
      <c r="Q32" s="48" t="s">
        <v>134</v>
      </c>
      <c r="R32" s="78"/>
      <c r="S32" s="78"/>
      <c r="T32" s="78"/>
      <c r="U32" s="78"/>
      <c r="V32" s="54"/>
    </row>
    <row r="33" ht="15.75" customHeight="1">
      <c r="A33" s="54"/>
      <c r="B33" s="55">
        <v>1.0</v>
      </c>
      <c r="C33" s="112" t="s">
        <v>135</v>
      </c>
      <c r="D33" s="113" t="s">
        <v>127</v>
      </c>
      <c r="E33" s="65"/>
      <c r="F33" s="65"/>
      <c r="G33" s="114" t="s">
        <v>136</v>
      </c>
      <c r="H33" s="19"/>
      <c r="I33" s="20"/>
      <c r="J33" s="114" t="s">
        <v>137</v>
      </c>
      <c r="K33" s="20"/>
      <c r="L33" s="65"/>
      <c r="M33" s="65"/>
      <c r="N33" s="115" t="s">
        <v>138</v>
      </c>
      <c r="O33" s="19"/>
      <c r="P33" s="20"/>
      <c r="Q33" s="74"/>
      <c r="R33" s="78"/>
      <c r="S33" s="78"/>
      <c r="T33" s="78"/>
      <c r="U33" s="78"/>
      <c r="V33" s="54"/>
    </row>
    <row r="34" ht="15.75" customHeight="1">
      <c r="A34" s="54"/>
      <c r="B34" s="55">
        <f t="shared" ref="B34:B40" si="2">B33+1</f>
        <v>2</v>
      </c>
      <c r="C34" s="116" t="s">
        <v>139</v>
      </c>
      <c r="D34" s="117"/>
      <c r="E34" s="65"/>
      <c r="F34" s="65"/>
      <c r="G34" s="114" t="s">
        <v>140</v>
      </c>
      <c r="H34" s="19"/>
      <c r="I34" s="20"/>
      <c r="J34" s="114" t="s">
        <v>141</v>
      </c>
      <c r="K34" s="20"/>
      <c r="L34" s="65"/>
      <c r="M34" s="65"/>
      <c r="N34" s="115" t="s">
        <v>138</v>
      </c>
      <c r="O34" s="19"/>
      <c r="P34" s="20"/>
      <c r="Q34" s="74"/>
      <c r="R34" s="78"/>
      <c r="S34" s="78"/>
      <c r="T34" s="78"/>
      <c r="U34" s="78"/>
      <c r="V34" s="54"/>
    </row>
    <row r="35" ht="15.75" customHeight="1">
      <c r="A35" s="54"/>
      <c r="B35" s="55">
        <f t="shared" si="2"/>
        <v>3</v>
      </c>
      <c r="C35" s="116" t="s">
        <v>142</v>
      </c>
      <c r="D35" s="113" t="s">
        <v>130</v>
      </c>
      <c r="E35" s="65"/>
      <c r="F35" s="65"/>
      <c r="G35" s="114" t="s">
        <v>143</v>
      </c>
      <c r="H35" s="19"/>
      <c r="I35" s="20"/>
      <c r="J35" s="114" t="s">
        <v>144</v>
      </c>
      <c r="K35" s="20"/>
      <c r="L35" s="65"/>
      <c r="M35" s="65"/>
      <c r="N35" s="115" t="s">
        <v>145</v>
      </c>
      <c r="O35" s="19"/>
      <c r="P35" s="20"/>
      <c r="Q35" s="74"/>
      <c r="R35" s="78"/>
      <c r="S35" s="78"/>
      <c r="T35" s="78"/>
      <c r="U35" s="78"/>
      <c r="V35" s="54"/>
    </row>
    <row r="36" ht="15.75" customHeight="1">
      <c r="A36" s="54"/>
      <c r="B36" s="55">
        <f t="shared" si="2"/>
        <v>4</v>
      </c>
      <c r="C36" s="116" t="s">
        <v>146</v>
      </c>
      <c r="D36" s="117" t="s">
        <v>129</v>
      </c>
      <c r="E36" s="65"/>
      <c r="F36" s="65"/>
      <c r="G36" s="114" t="s">
        <v>147</v>
      </c>
      <c r="H36" s="19"/>
      <c r="I36" s="20"/>
      <c r="J36" s="114" t="s">
        <v>148</v>
      </c>
      <c r="K36" s="20"/>
      <c r="L36" s="65"/>
      <c r="M36" s="65"/>
      <c r="N36" s="114" t="s">
        <v>149</v>
      </c>
      <c r="O36" s="19"/>
      <c r="P36" s="20"/>
      <c r="Q36" s="118"/>
      <c r="R36" s="78"/>
      <c r="S36" s="78"/>
      <c r="T36" s="78"/>
      <c r="U36" s="78"/>
      <c r="V36" s="54"/>
    </row>
    <row r="37" ht="15.75" customHeight="1">
      <c r="A37" s="54"/>
      <c r="B37" s="55">
        <f t="shared" si="2"/>
        <v>5</v>
      </c>
      <c r="C37" s="119" t="s">
        <v>150</v>
      </c>
      <c r="D37" s="113"/>
      <c r="E37" s="65"/>
      <c r="F37" s="65"/>
      <c r="G37" s="114" t="s">
        <v>151</v>
      </c>
      <c r="H37" s="19"/>
      <c r="I37" s="20"/>
      <c r="J37" s="114" t="s">
        <v>152</v>
      </c>
      <c r="K37" s="20"/>
      <c r="L37" s="65"/>
      <c r="M37" s="65"/>
      <c r="N37" s="115"/>
      <c r="O37" s="19"/>
      <c r="P37" s="20"/>
      <c r="Q37" s="74"/>
      <c r="R37" s="78"/>
      <c r="S37" s="78"/>
      <c r="T37" s="78"/>
      <c r="U37" s="78"/>
      <c r="V37" s="54"/>
    </row>
    <row r="38" ht="15.75" customHeight="1">
      <c r="A38" s="54"/>
      <c r="B38" s="55">
        <f t="shared" si="2"/>
        <v>6</v>
      </c>
      <c r="C38" s="98"/>
      <c r="D38" s="113"/>
      <c r="E38" s="65"/>
      <c r="F38" s="65"/>
      <c r="G38" s="115"/>
      <c r="H38" s="19"/>
      <c r="I38" s="20"/>
      <c r="J38" s="115"/>
      <c r="K38" s="20"/>
      <c r="L38" s="65"/>
      <c r="M38" s="65"/>
      <c r="N38" s="115"/>
      <c r="O38" s="19"/>
      <c r="P38" s="20"/>
      <c r="Q38" s="74"/>
      <c r="R38" s="78"/>
      <c r="S38" s="78"/>
      <c r="T38" s="78"/>
      <c r="U38" s="78"/>
      <c r="V38" s="54"/>
    </row>
    <row r="39" ht="15.75" customHeight="1">
      <c r="A39" s="54"/>
      <c r="B39" s="55">
        <f t="shared" si="2"/>
        <v>7</v>
      </c>
      <c r="D39" s="113"/>
      <c r="E39" s="65"/>
      <c r="F39" s="65"/>
      <c r="G39" s="115"/>
      <c r="H39" s="19"/>
      <c r="I39" s="20"/>
      <c r="J39" s="115"/>
      <c r="K39" s="20"/>
      <c r="L39" s="65"/>
      <c r="M39" s="65"/>
      <c r="N39" s="115"/>
      <c r="O39" s="19"/>
      <c r="P39" s="20"/>
      <c r="Q39" s="74"/>
      <c r="R39" s="78"/>
      <c r="S39" s="78"/>
      <c r="T39" s="78"/>
      <c r="U39" s="78"/>
      <c r="V39" s="54"/>
    </row>
    <row r="40" ht="15.75" customHeight="1">
      <c r="A40" s="54"/>
      <c r="B40" s="55">
        <f t="shared" si="2"/>
        <v>8</v>
      </c>
      <c r="C40" s="98"/>
      <c r="D40" s="113"/>
      <c r="E40" s="65"/>
      <c r="F40" s="65"/>
      <c r="G40" s="115"/>
      <c r="H40" s="19"/>
      <c r="I40" s="20"/>
      <c r="J40" s="115"/>
      <c r="K40" s="20"/>
      <c r="L40" s="65"/>
      <c r="M40" s="65"/>
      <c r="N40" s="115"/>
      <c r="O40" s="19"/>
      <c r="P40" s="20"/>
      <c r="Q40" s="74"/>
      <c r="R40" s="78"/>
      <c r="S40" s="78"/>
      <c r="T40" s="78"/>
      <c r="U40" s="78"/>
      <c r="V40" s="54"/>
    </row>
    <row r="41" ht="15.75" customHeight="1">
      <c r="A41" s="54"/>
      <c r="B41" s="55"/>
      <c r="C41" s="98"/>
      <c r="D41" s="113"/>
      <c r="E41" s="65"/>
      <c r="F41" s="65"/>
      <c r="G41" s="115"/>
      <c r="H41" s="19"/>
      <c r="I41" s="20"/>
      <c r="J41" s="115"/>
      <c r="K41" s="20"/>
      <c r="L41" s="65"/>
      <c r="M41" s="65"/>
      <c r="N41" s="115"/>
      <c r="O41" s="19"/>
      <c r="P41" s="20"/>
      <c r="Q41" s="74"/>
      <c r="R41" s="78"/>
      <c r="S41" s="78"/>
      <c r="T41" s="78"/>
      <c r="U41" s="78"/>
      <c r="V41" s="54"/>
    </row>
    <row r="42" ht="15.75" customHeight="1">
      <c r="A42" s="120"/>
      <c r="B42" s="24"/>
      <c r="C42" s="24"/>
      <c r="D42" s="24"/>
      <c r="E42" s="24"/>
      <c r="F42" s="24"/>
      <c r="G42" s="24"/>
      <c r="H42" s="24"/>
      <c r="I42" s="24"/>
      <c r="J42" s="24"/>
      <c r="K42" s="24"/>
      <c r="L42" s="24"/>
      <c r="M42" s="24"/>
      <c r="N42" s="24"/>
      <c r="O42" s="24"/>
      <c r="P42" s="24"/>
      <c r="Q42" s="24"/>
      <c r="R42" s="24"/>
      <c r="S42" s="24"/>
      <c r="T42" s="24"/>
      <c r="U42" s="24"/>
      <c r="V42" s="120"/>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B1:F3"/>
    <mergeCell ref="G1:S3"/>
    <mergeCell ref="T1:U1"/>
    <mergeCell ref="T2:U2"/>
    <mergeCell ref="T3:U3"/>
    <mergeCell ref="G4:S4"/>
    <mergeCell ref="T4:U4"/>
    <mergeCell ref="B4:F4"/>
    <mergeCell ref="B6:C7"/>
    <mergeCell ref="B30:C31"/>
    <mergeCell ref="G32:I32"/>
    <mergeCell ref="J32:K32"/>
    <mergeCell ref="G33:I33"/>
    <mergeCell ref="J33:K33"/>
    <mergeCell ref="G34:I34"/>
    <mergeCell ref="J34:K34"/>
    <mergeCell ref="G35:I35"/>
    <mergeCell ref="J35:K35"/>
    <mergeCell ref="G36:I36"/>
    <mergeCell ref="J36:K36"/>
    <mergeCell ref="J37:K37"/>
    <mergeCell ref="N39:P39"/>
    <mergeCell ref="N40:P40"/>
    <mergeCell ref="N41:P41"/>
    <mergeCell ref="N32:P32"/>
    <mergeCell ref="N33:P33"/>
    <mergeCell ref="N34:P34"/>
    <mergeCell ref="N35:P35"/>
    <mergeCell ref="N36:P36"/>
    <mergeCell ref="N37:P37"/>
    <mergeCell ref="N38:P38"/>
    <mergeCell ref="G41:I41"/>
    <mergeCell ref="J41:K41"/>
    <mergeCell ref="G37:I37"/>
    <mergeCell ref="G38:I38"/>
    <mergeCell ref="J38:K38"/>
    <mergeCell ref="G39:I39"/>
    <mergeCell ref="J39:K39"/>
    <mergeCell ref="G40:I40"/>
    <mergeCell ref="J40:K40"/>
  </mergeCells>
  <dataValidations>
    <dataValidation type="list" allowBlank="1" sqref="D9:D28">
      <formula1>Appendix!$D$3:$D$16</formula1>
    </dataValidation>
    <dataValidation type="list" allowBlank="1" showErrorMessage="1" sqref="H9:H28">
      <formula1>Appendix!$F$20:$F$21</formula1>
    </dataValidation>
    <dataValidation type="list" allowBlank="1" sqref="E9:E28">
      <formula1>Appendix!$F$3:$F$20</formula1>
    </dataValidation>
    <dataValidation type="list" allowBlank="1" sqref="G9:G28">
      <formula1>Appendix!$H$3:$H$7</formula1>
    </dataValidation>
    <dataValidation type="list" allowBlank="1" sqref="D33:D41">
      <formula1>Appendix!$B$21:$B$25</formula1>
    </dataValidation>
    <dataValidation type="list" allowBlank="1" sqref="F9:F28">
      <formula1>Appendix!$J$3:$J$11</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showGridLines="0" workbookViewId="0">
      <pane xSplit="6.0" topLeftCell="G1" activePane="topRight" state="frozen"/>
      <selection activeCell="H2" sqref="H2" pane="topRight"/>
    </sheetView>
  </sheetViews>
  <sheetFormatPr customHeight="1" defaultColWidth="12.63" defaultRowHeight="15.0"/>
  <cols>
    <col customWidth="1" min="1" max="1" width="2.5"/>
    <col customWidth="1" min="2" max="2" width="5.13"/>
    <col customWidth="1" min="3" max="3" width="23.0"/>
    <col customWidth="1" min="4" max="4" width="18.75"/>
    <col customWidth="1" min="5" max="5" width="18.38"/>
    <col customWidth="1" min="6" max="6" width="13.63"/>
    <col customWidth="1" min="7" max="7" width="15.63"/>
    <col customWidth="1" min="8" max="8" width="14.13"/>
    <col customWidth="1" min="9" max="9" width="11.5"/>
    <col customWidth="1" min="10" max="11" width="12.5"/>
    <col customWidth="1" min="12" max="12" width="12.25"/>
    <col customWidth="1" min="13" max="13" width="11.13"/>
    <col customWidth="1" min="14" max="14" width="20.88"/>
    <col customWidth="1" min="15" max="15" width="21.0"/>
    <col customWidth="1" min="16" max="16" width="17.5"/>
    <col customWidth="1" min="17" max="17" width="15.13"/>
  </cols>
  <sheetData>
    <row r="1" ht="22.5" customHeight="1">
      <c r="A1" s="1"/>
      <c r="B1" s="3"/>
      <c r="C1" s="4"/>
      <c r="D1" s="4"/>
      <c r="E1" s="4"/>
      <c r="F1" s="5"/>
      <c r="G1" s="10" t="s">
        <v>0</v>
      </c>
      <c r="H1" s="4"/>
      <c r="I1" s="4"/>
      <c r="J1" s="4"/>
      <c r="K1" s="4"/>
      <c r="L1" s="4"/>
      <c r="M1" s="4"/>
      <c r="N1" s="4"/>
      <c r="O1" s="4"/>
      <c r="P1" s="8" t="s">
        <v>1</v>
      </c>
      <c r="Q1" s="5"/>
    </row>
    <row r="2" ht="22.5" customHeight="1">
      <c r="A2" s="1"/>
      <c r="B2" s="9"/>
      <c r="F2" s="12"/>
      <c r="G2" s="9"/>
      <c r="P2" s="11" t="s">
        <v>2</v>
      </c>
      <c r="Q2" s="12"/>
    </row>
    <row r="3" ht="22.5" customHeight="1">
      <c r="A3" s="1"/>
      <c r="B3" s="13"/>
      <c r="C3" s="14"/>
      <c r="D3" s="14"/>
      <c r="E3" s="14"/>
      <c r="F3" s="15"/>
      <c r="G3" s="13"/>
      <c r="H3" s="14"/>
      <c r="I3" s="14"/>
      <c r="J3" s="14"/>
      <c r="K3" s="14"/>
      <c r="L3" s="14"/>
      <c r="M3" s="14"/>
      <c r="N3" s="14"/>
      <c r="O3" s="14"/>
      <c r="P3" s="16" t="s">
        <v>3</v>
      </c>
      <c r="Q3" s="15"/>
    </row>
    <row r="4" ht="22.5" customHeight="1">
      <c r="A4" s="1"/>
      <c r="B4" s="17" t="s">
        <v>4</v>
      </c>
      <c r="C4" s="19"/>
      <c r="D4" s="19"/>
      <c r="E4" s="19"/>
      <c r="F4" s="19"/>
      <c r="G4" s="22" t="s">
        <v>5</v>
      </c>
      <c r="H4" s="14"/>
      <c r="I4" s="14"/>
      <c r="J4" s="14"/>
      <c r="K4" s="14"/>
      <c r="L4" s="14"/>
      <c r="M4" s="14"/>
      <c r="N4" s="14"/>
      <c r="O4" s="14"/>
      <c r="P4" s="14"/>
      <c r="Q4" s="15"/>
    </row>
    <row r="5" ht="15.75" customHeight="1">
      <c r="A5" s="1"/>
      <c r="B5" s="24"/>
      <c r="C5" s="24"/>
      <c r="D5" s="27"/>
      <c r="E5" s="27"/>
      <c r="F5" s="27"/>
      <c r="G5" s="27"/>
      <c r="H5" s="27"/>
      <c r="I5" s="27"/>
      <c r="J5" s="27"/>
      <c r="K5" s="27"/>
      <c r="L5" s="27"/>
      <c r="M5" s="27"/>
      <c r="N5" s="27"/>
      <c r="O5" s="24"/>
      <c r="P5" s="24"/>
      <c r="Q5" s="24"/>
    </row>
    <row r="6" ht="15.75" customHeight="1">
      <c r="A6" s="32"/>
      <c r="B6" s="35" t="s">
        <v>11</v>
      </c>
      <c r="C6" s="5"/>
      <c r="D6" s="38"/>
      <c r="E6" s="38"/>
      <c r="F6" s="38"/>
      <c r="G6" s="38"/>
      <c r="H6" s="38"/>
      <c r="I6" s="38"/>
      <c r="J6" s="38"/>
      <c r="K6" s="38"/>
      <c r="L6" s="38"/>
      <c r="M6" s="38"/>
      <c r="N6" s="38"/>
      <c r="O6" s="40"/>
      <c r="P6" s="40"/>
      <c r="Q6" s="40"/>
    </row>
    <row r="7" ht="15.75" customHeight="1">
      <c r="A7" s="41"/>
      <c r="B7" s="13"/>
      <c r="C7" s="15"/>
      <c r="D7" s="38"/>
      <c r="E7" s="38"/>
      <c r="F7" s="38"/>
      <c r="G7" s="38"/>
      <c r="H7" s="38"/>
      <c r="I7" s="38"/>
      <c r="J7" s="38"/>
      <c r="K7" s="38"/>
      <c r="L7" s="38"/>
      <c r="M7" s="38"/>
      <c r="N7" s="38"/>
      <c r="O7" s="40"/>
      <c r="P7" s="40"/>
      <c r="Q7" s="40"/>
    </row>
    <row r="8" ht="15.75" customHeight="1">
      <c r="A8" s="47"/>
      <c r="B8" s="50" t="s">
        <v>10</v>
      </c>
      <c r="C8" s="50" t="s">
        <v>20</v>
      </c>
      <c r="D8" s="56"/>
      <c r="E8" s="56"/>
      <c r="F8" s="56"/>
      <c r="G8" s="56"/>
      <c r="H8" s="63" t="s">
        <v>43</v>
      </c>
      <c r="I8" s="19"/>
      <c r="J8" s="19"/>
      <c r="K8" s="19"/>
      <c r="L8" s="19"/>
      <c r="M8" s="20"/>
      <c r="N8" s="67" t="s">
        <v>47</v>
      </c>
      <c r="O8" s="69" t="s">
        <v>52</v>
      </c>
      <c r="P8" s="71" t="s">
        <v>54</v>
      </c>
      <c r="Q8" s="71" t="s">
        <v>58</v>
      </c>
    </row>
    <row r="9" ht="15.75" customHeight="1">
      <c r="A9" s="47"/>
      <c r="B9" s="76"/>
      <c r="C9" s="76"/>
      <c r="D9" s="79" t="s">
        <v>21</v>
      </c>
      <c r="E9" s="79" t="s">
        <v>23</v>
      </c>
      <c r="F9" s="79" t="s">
        <v>25</v>
      </c>
      <c r="G9" s="79" t="s">
        <v>27</v>
      </c>
      <c r="H9" s="51" t="s">
        <v>67</v>
      </c>
      <c r="I9" s="63" t="s">
        <v>69</v>
      </c>
      <c r="J9" s="19"/>
      <c r="K9" s="88" t="s">
        <v>71</v>
      </c>
      <c r="L9" s="19"/>
      <c r="M9" s="20"/>
      <c r="N9" s="76"/>
      <c r="O9" s="76"/>
      <c r="P9" s="76"/>
      <c r="Q9" s="76"/>
    </row>
    <row r="10" ht="37.5" customHeight="1">
      <c r="A10" s="47"/>
      <c r="B10" s="91"/>
      <c r="C10" s="91"/>
      <c r="D10" s="91"/>
      <c r="E10" s="91"/>
      <c r="F10" s="91"/>
      <c r="G10" s="91"/>
      <c r="H10" s="51" t="s">
        <v>86</v>
      </c>
      <c r="I10" s="51" t="s">
        <v>87</v>
      </c>
      <c r="J10" s="51" t="s">
        <v>88</v>
      </c>
      <c r="K10" s="51" t="s">
        <v>90</v>
      </c>
      <c r="L10" s="51" t="s">
        <v>93</v>
      </c>
      <c r="M10" s="51" t="s">
        <v>94</v>
      </c>
      <c r="N10" s="91"/>
      <c r="O10" s="91"/>
      <c r="P10" s="91"/>
      <c r="Q10" s="91"/>
    </row>
    <row r="11" ht="15.75" customHeight="1">
      <c r="A11" s="54"/>
      <c r="B11" s="55">
        <f>IFERROR(__xludf.DUMMYFUNCTION("QUERY('01_MemberInfo'!B9:H19, ""SELECT B,C,D,E,F,H"")"),1.0)</f>
        <v>1</v>
      </c>
      <c r="C11" s="98" t="str">
        <f>IFERROR(__xludf.DUMMYFUNCTION("""COMPUTED_VALUE"""),"Phạm Trọng Nghĩa")</f>
        <v>Phạm Trọng Nghĩa</v>
      </c>
      <c r="D11" s="65" t="str">
        <f>IFERROR(__xludf.DUMMYFUNCTION("""COMPUTED_VALUE"""),"Software Delivery Manager")</f>
        <v>Software Delivery Manager</v>
      </c>
      <c r="E11" s="65" t="str">
        <f>IFERROR(__xludf.DUMMYFUNCTION("""COMPUTED_VALUE"""),"Management")</f>
        <v>Management</v>
      </c>
      <c r="F11" s="65" t="str">
        <f>IFERROR(__xludf.DUMMYFUNCTION("""COMPUTED_VALUE"""),"Manager")</f>
        <v>Manager</v>
      </c>
      <c r="G11" s="65" t="str">
        <f>IFERROR(__xludf.DUMMYFUNCTION("""COMPUTED_VALUE"""),"Active")</f>
        <v>Active</v>
      </c>
      <c r="H11" s="102"/>
      <c r="I11" s="102"/>
      <c r="J11" s="102"/>
      <c r="K11" s="102"/>
      <c r="L11" s="102"/>
      <c r="M11" s="102"/>
      <c r="N11" s="65"/>
      <c r="O11" s="74"/>
      <c r="P11" s="74"/>
      <c r="Q11" s="74"/>
    </row>
    <row r="12" ht="15.75" customHeight="1">
      <c r="A12" s="54"/>
      <c r="B12" s="55">
        <f>IFERROR(__xludf.DUMMYFUNCTION("""COMPUTED_VALUE"""),2.0)</f>
        <v>2</v>
      </c>
      <c r="C12" s="98" t="str">
        <f>IFERROR(__xludf.DUMMYFUNCTION("""COMPUTED_VALUE"""),"Lê Ngọc Hân")</f>
        <v>Lê Ngọc Hân</v>
      </c>
      <c r="D12" s="65" t="str">
        <f>IFERROR(__xludf.DUMMYFUNCTION("""COMPUTED_VALUE"""),"Project Leader")</f>
        <v>Project Leader</v>
      </c>
      <c r="E12" s="65" t="str">
        <f>IFERROR(__xludf.DUMMYFUNCTION("""COMPUTED_VALUE"""),"Management")</f>
        <v>Management</v>
      </c>
      <c r="F12" s="65" t="str">
        <f>IFERROR(__xludf.DUMMYFUNCTION("""COMPUTED_VALUE"""),"Middle")</f>
        <v>Middle</v>
      </c>
      <c r="G12" s="65" t="str">
        <f>IFERROR(__xludf.DUMMYFUNCTION("""COMPUTED_VALUE"""),"Active")</f>
        <v>Active</v>
      </c>
      <c r="H12" s="104" t="s">
        <v>123</v>
      </c>
      <c r="I12" s="104" t="s">
        <v>125</v>
      </c>
      <c r="J12" s="104" t="s">
        <v>125</v>
      </c>
      <c r="K12" s="104" t="s">
        <v>125</v>
      </c>
      <c r="L12" s="104" t="s">
        <v>125</v>
      </c>
      <c r="M12" s="104" t="s">
        <v>125</v>
      </c>
      <c r="N12" s="65"/>
      <c r="O12" s="107"/>
      <c r="P12" s="74"/>
      <c r="Q12" s="74"/>
    </row>
    <row r="13" ht="15.75" customHeight="1">
      <c r="A13" s="54"/>
      <c r="B13" s="55">
        <f>IFERROR(__xludf.DUMMYFUNCTION("""COMPUTED_VALUE"""),3.0)</f>
        <v>3</v>
      </c>
      <c r="C13" s="98" t="str">
        <f>IFERROR(__xludf.DUMMYFUNCTION("""COMPUTED_VALUE"""),"Nguyễn Mạnh Thắng")</f>
        <v>Nguyễn Mạnh Thắng</v>
      </c>
      <c r="D13" s="65" t="str">
        <f>IFERROR(__xludf.DUMMYFUNCTION("""COMPUTED_VALUE"""),"Developer")</f>
        <v>Developer</v>
      </c>
      <c r="E13" s="65" t="str">
        <f>IFERROR(__xludf.DUMMYFUNCTION("""COMPUTED_VALUE"""),"Python Developer")</f>
        <v>Python Developer</v>
      </c>
      <c r="F13" s="65" t="str">
        <f>IFERROR(__xludf.DUMMYFUNCTION("""COMPUTED_VALUE"""),"Senior")</f>
        <v>Senior</v>
      </c>
      <c r="G13" s="65" t="str">
        <f>IFERROR(__xludf.DUMMYFUNCTION("""COMPUTED_VALUE"""),"Active")</f>
        <v>Active</v>
      </c>
      <c r="H13" s="102"/>
      <c r="I13" s="102"/>
      <c r="J13" s="102"/>
      <c r="K13" s="102"/>
      <c r="L13" s="102"/>
      <c r="M13" s="104" t="s">
        <v>125</v>
      </c>
      <c r="N13" s="65"/>
      <c r="O13" s="74"/>
      <c r="P13" s="74"/>
      <c r="Q13" s="74"/>
    </row>
    <row r="14" ht="15.75" customHeight="1">
      <c r="A14" s="54"/>
      <c r="B14" s="55">
        <f>IFERROR(__xludf.DUMMYFUNCTION("""COMPUTED_VALUE"""),4.0)</f>
        <v>4</v>
      </c>
      <c r="C14" s="98" t="str">
        <f>IFERROR(__xludf.DUMMYFUNCTION("""COMPUTED_VALUE"""),"Hoàng Văn Hưng")</f>
        <v>Hoàng Văn Hưng</v>
      </c>
      <c r="D14" s="65" t="str">
        <f>IFERROR(__xludf.DUMMYFUNCTION("""COMPUTED_VALUE"""),"Developer")</f>
        <v>Developer</v>
      </c>
      <c r="E14" s="65" t="str">
        <f>IFERROR(__xludf.DUMMYFUNCTION("""COMPUTED_VALUE"""),"Frontend Developer")</f>
        <v>Frontend Developer</v>
      </c>
      <c r="F14" s="65" t="str">
        <f>IFERROR(__xludf.DUMMYFUNCTION("""COMPUTED_VALUE"""),"Senior")</f>
        <v>Senior</v>
      </c>
      <c r="G14" s="65" t="str">
        <f>IFERROR(__xludf.DUMMYFUNCTION("""COMPUTED_VALUE"""),"Active")</f>
        <v>Active</v>
      </c>
      <c r="H14" s="104" t="s">
        <v>123</v>
      </c>
      <c r="I14" s="104" t="s">
        <v>123</v>
      </c>
      <c r="J14" s="104" t="s">
        <v>123</v>
      </c>
      <c r="K14" s="104" t="s">
        <v>123</v>
      </c>
      <c r="L14" s="102"/>
      <c r="M14" s="104" t="s">
        <v>125</v>
      </c>
      <c r="N14" s="65"/>
      <c r="O14" s="74"/>
      <c r="P14" s="74"/>
      <c r="Q14" s="74"/>
    </row>
    <row r="15" ht="15.75" customHeight="1">
      <c r="A15" s="54"/>
      <c r="B15" s="55">
        <f>IFERROR(__xludf.DUMMYFUNCTION("""COMPUTED_VALUE"""),5.0)</f>
        <v>5</v>
      </c>
      <c r="C15" s="98" t="str">
        <f>IFERROR(__xludf.DUMMYFUNCTION("""COMPUTED_VALUE"""),"Dương Thị Phương Mai Chi")</f>
        <v>Dương Thị Phương Mai Chi</v>
      </c>
      <c r="D15" s="65" t="str">
        <f>IFERROR(__xludf.DUMMYFUNCTION("""COMPUTED_VALUE"""),"QA Leader")</f>
        <v>QA Leader</v>
      </c>
      <c r="E15" s="65" t="str">
        <f>IFERROR(__xludf.DUMMYFUNCTION("""COMPUTED_VALUE"""),"Management")</f>
        <v>Management</v>
      </c>
      <c r="F15" s="65" t="str">
        <f>IFERROR(__xludf.DUMMYFUNCTION("""COMPUTED_VALUE"""),"Senior")</f>
        <v>Senior</v>
      </c>
      <c r="G15" s="65" t="str">
        <f>IFERROR(__xludf.DUMMYFUNCTION("""COMPUTED_VALUE"""),"Active")</f>
        <v>Active</v>
      </c>
      <c r="H15" s="102"/>
      <c r="I15" s="102"/>
      <c r="J15" s="102"/>
      <c r="K15" s="102"/>
      <c r="L15" s="102"/>
      <c r="M15" s="102"/>
      <c r="N15" s="65"/>
      <c r="O15" s="74"/>
      <c r="P15" s="74"/>
      <c r="Q15" s="74"/>
    </row>
    <row r="16" ht="15.75" customHeight="1">
      <c r="A16" s="54"/>
      <c r="B16" s="55">
        <f>IFERROR(__xludf.DUMMYFUNCTION("""COMPUTED_VALUE"""),6.0)</f>
        <v>6</v>
      </c>
      <c r="C16" s="98"/>
      <c r="D16" s="65"/>
      <c r="E16" s="65"/>
      <c r="F16" s="65"/>
      <c r="G16" s="65"/>
      <c r="H16" s="102"/>
      <c r="I16" s="102"/>
      <c r="J16" s="102"/>
      <c r="K16" s="102"/>
      <c r="L16" s="104" t="s">
        <v>123</v>
      </c>
      <c r="M16" s="104" t="s">
        <v>123</v>
      </c>
      <c r="N16" s="65"/>
      <c r="O16" s="74"/>
      <c r="P16" s="74"/>
      <c r="Q16" s="74"/>
    </row>
    <row r="17" ht="15.75" customHeight="1">
      <c r="A17" s="54"/>
      <c r="B17" s="55">
        <f>IFERROR(__xludf.DUMMYFUNCTION("""COMPUTED_VALUE"""),7.0)</f>
        <v>7</v>
      </c>
      <c r="C17" s="98"/>
      <c r="D17" s="65"/>
      <c r="E17" s="65"/>
      <c r="F17" s="65"/>
      <c r="G17" s="65"/>
      <c r="H17" s="102"/>
      <c r="I17" s="102"/>
      <c r="J17" s="102"/>
      <c r="K17" s="102"/>
      <c r="L17" s="104" t="s">
        <v>123</v>
      </c>
      <c r="M17" s="104" t="s">
        <v>123</v>
      </c>
      <c r="N17" s="65"/>
      <c r="O17" s="74"/>
      <c r="P17" s="74"/>
      <c r="Q17" s="74"/>
    </row>
    <row r="18" ht="15.75" customHeight="1">
      <c r="A18" s="47"/>
      <c r="B18" s="55">
        <f>IFERROR(__xludf.DUMMYFUNCTION("""COMPUTED_VALUE"""),8.0)</f>
        <v>8</v>
      </c>
      <c r="C18" s="98"/>
      <c r="D18" s="65"/>
      <c r="E18" s="65"/>
      <c r="F18" s="65"/>
      <c r="G18" s="65"/>
      <c r="H18" s="102"/>
      <c r="I18" s="102"/>
      <c r="J18" s="102"/>
      <c r="K18" s="102"/>
      <c r="L18" s="102"/>
      <c r="M18" s="102"/>
      <c r="N18" s="65"/>
      <c r="O18" s="74"/>
      <c r="P18" s="74"/>
      <c r="Q18" s="74"/>
    </row>
    <row r="19" ht="15.75" customHeight="1">
      <c r="A19" s="54"/>
      <c r="B19" s="55">
        <f>IFERROR(__xludf.DUMMYFUNCTION("""COMPUTED_VALUE"""),9.0)</f>
        <v>9</v>
      </c>
      <c r="C19" s="98"/>
      <c r="D19" s="65"/>
      <c r="E19" s="65"/>
      <c r="F19" s="65"/>
      <c r="G19" s="65"/>
      <c r="H19" s="102"/>
      <c r="I19" s="102"/>
      <c r="J19" s="102"/>
      <c r="K19" s="102"/>
      <c r="L19" s="102"/>
      <c r="M19" s="102"/>
      <c r="N19" s="65"/>
      <c r="O19" s="74"/>
      <c r="P19" s="74"/>
      <c r="Q19" s="74"/>
    </row>
    <row r="20" ht="15.75" customHeight="1">
      <c r="A20" s="54"/>
      <c r="B20" s="55">
        <f>IFERROR(__xludf.DUMMYFUNCTION("""COMPUTED_VALUE"""),10.0)</f>
        <v>10</v>
      </c>
      <c r="C20" s="98"/>
      <c r="D20" s="65"/>
      <c r="E20" s="65"/>
      <c r="F20" s="65"/>
      <c r="G20" s="65"/>
      <c r="H20" s="102"/>
      <c r="I20" s="102"/>
      <c r="J20" s="102"/>
      <c r="K20" s="102"/>
      <c r="L20" s="104" t="s">
        <v>123</v>
      </c>
      <c r="M20" s="104" t="s">
        <v>123</v>
      </c>
      <c r="N20" s="65"/>
      <c r="O20" s="74"/>
      <c r="P20" s="74"/>
      <c r="Q20" s="74"/>
    </row>
    <row r="21" ht="15.75" customHeight="1">
      <c r="A21" s="54"/>
      <c r="B21" s="55">
        <f>IFERROR(__xludf.DUMMYFUNCTION("""COMPUTED_VALUE"""),11.0)</f>
        <v>11</v>
      </c>
      <c r="C21" s="98"/>
      <c r="D21" s="65"/>
      <c r="E21" s="65"/>
      <c r="F21" s="65"/>
      <c r="G21" s="65"/>
      <c r="H21" s="102"/>
      <c r="I21" s="102"/>
      <c r="J21" s="102"/>
      <c r="K21" s="102"/>
      <c r="L21" s="102"/>
      <c r="M21" s="102"/>
      <c r="N21" s="65"/>
      <c r="O21" s="74"/>
      <c r="P21" s="74"/>
      <c r="Q21" s="74"/>
    </row>
    <row r="22" ht="15.75" customHeight="1">
      <c r="A22" s="54"/>
      <c r="B22" s="55"/>
      <c r="C22" s="98"/>
      <c r="D22" s="65"/>
      <c r="E22" s="65"/>
      <c r="F22" s="65"/>
      <c r="G22" s="65"/>
      <c r="H22" s="102"/>
      <c r="I22" s="102"/>
      <c r="J22" s="102"/>
      <c r="K22" s="102"/>
      <c r="L22" s="102"/>
      <c r="M22" s="102"/>
      <c r="N22" s="65"/>
      <c r="O22" s="74"/>
      <c r="P22" s="74"/>
      <c r="Q22" s="74"/>
    </row>
    <row r="23" ht="15.75" customHeight="1">
      <c r="A23" s="54"/>
      <c r="B23" s="55"/>
      <c r="C23" s="98"/>
      <c r="D23" s="65"/>
      <c r="E23" s="65"/>
      <c r="F23" s="65"/>
      <c r="G23" s="65"/>
      <c r="H23" s="102"/>
      <c r="I23" s="102"/>
      <c r="J23" s="102"/>
      <c r="K23" s="102"/>
      <c r="L23" s="104" t="s">
        <v>123</v>
      </c>
      <c r="M23" s="104" t="s">
        <v>123</v>
      </c>
      <c r="N23" s="65"/>
      <c r="O23" s="74"/>
      <c r="P23" s="74"/>
      <c r="Q23" s="74"/>
    </row>
    <row r="24" ht="15.75" customHeight="1">
      <c r="A24" s="54"/>
      <c r="B24" s="55"/>
      <c r="C24" s="98"/>
      <c r="D24" s="65"/>
      <c r="E24" s="65"/>
      <c r="F24" s="65"/>
      <c r="G24" s="65"/>
      <c r="H24" s="65"/>
      <c r="I24" s="65"/>
      <c r="J24" s="65"/>
      <c r="K24" s="65"/>
      <c r="L24" s="65"/>
      <c r="M24" s="65"/>
      <c r="N24" s="65"/>
      <c r="O24" s="74"/>
      <c r="P24" s="74"/>
      <c r="Q24" s="74"/>
    </row>
    <row r="25" ht="15.75" customHeight="1">
      <c r="A25" s="54"/>
      <c r="B25" s="55"/>
      <c r="C25" s="98"/>
      <c r="D25" s="65"/>
      <c r="E25" s="65"/>
      <c r="F25" s="65"/>
      <c r="G25" s="65"/>
      <c r="H25" s="65"/>
      <c r="I25" s="65"/>
      <c r="J25" s="65"/>
      <c r="K25" s="65"/>
      <c r="L25" s="65"/>
      <c r="M25" s="65"/>
      <c r="N25" s="65"/>
      <c r="O25" s="74"/>
      <c r="P25" s="74"/>
      <c r="Q25" s="74"/>
    </row>
    <row r="26" ht="15.75" customHeight="1">
      <c r="A26" s="54"/>
      <c r="B26" s="55"/>
      <c r="C26" s="98"/>
      <c r="D26" s="65"/>
      <c r="E26" s="65"/>
      <c r="F26" s="65"/>
      <c r="G26" s="65"/>
      <c r="H26" s="65"/>
      <c r="I26" s="65"/>
      <c r="J26" s="65"/>
      <c r="K26" s="65"/>
      <c r="L26" s="65"/>
      <c r="M26" s="65"/>
      <c r="N26" s="65"/>
      <c r="O26" s="74"/>
      <c r="P26" s="74"/>
      <c r="Q26" s="74"/>
    </row>
    <row r="27" ht="15.75" customHeight="1">
      <c r="A27" s="54"/>
      <c r="B27" s="55"/>
      <c r="C27" s="98"/>
      <c r="D27" s="65"/>
      <c r="E27" s="65"/>
      <c r="F27" s="65"/>
      <c r="G27" s="65"/>
      <c r="H27" s="65"/>
      <c r="I27" s="65"/>
      <c r="J27" s="65"/>
      <c r="K27" s="65"/>
      <c r="L27" s="65"/>
      <c r="M27" s="65"/>
      <c r="N27" s="65"/>
      <c r="O27" s="74"/>
      <c r="P27" s="74"/>
      <c r="Q27" s="74"/>
    </row>
    <row r="28" ht="15.75" customHeight="1">
      <c r="A28" s="54"/>
      <c r="B28" s="55"/>
      <c r="C28" s="98"/>
      <c r="D28" s="65"/>
      <c r="E28" s="65"/>
      <c r="F28" s="65"/>
      <c r="G28" s="65"/>
      <c r="H28" s="65"/>
      <c r="I28" s="65"/>
      <c r="J28" s="65"/>
      <c r="K28" s="65"/>
      <c r="L28" s="65"/>
      <c r="M28" s="65"/>
      <c r="N28" s="65"/>
      <c r="O28" s="74"/>
      <c r="P28" s="74"/>
      <c r="Q28" s="74"/>
    </row>
    <row r="29" ht="15.75" customHeight="1">
      <c r="A29" s="54"/>
      <c r="B29" s="55"/>
      <c r="C29" s="98"/>
      <c r="D29" s="65"/>
      <c r="E29" s="65"/>
      <c r="F29" s="65"/>
      <c r="G29" s="65"/>
      <c r="H29" s="65"/>
      <c r="I29" s="65"/>
      <c r="J29" s="65"/>
      <c r="K29" s="65"/>
      <c r="L29" s="65"/>
      <c r="M29" s="65"/>
      <c r="N29" s="65"/>
      <c r="O29" s="74"/>
      <c r="P29" s="74"/>
      <c r="Q29" s="74"/>
    </row>
    <row r="30" ht="15.75" customHeight="1">
      <c r="A30" s="54"/>
      <c r="B30" s="55"/>
      <c r="C30" s="98"/>
      <c r="D30" s="65"/>
      <c r="E30" s="65"/>
      <c r="F30" s="65"/>
      <c r="G30" s="65"/>
      <c r="H30" s="65"/>
      <c r="I30" s="65"/>
      <c r="J30" s="65"/>
      <c r="K30" s="65"/>
      <c r="L30" s="65"/>
      <c r="M30" s="65"/>
      <c r="N30" s="65"/>
      <c r="O30" s="74"/>
      <c r="P30" s="74"/>
      <c r="Q30" s="74"/>
    </row>
    <row r="31" ht="15.75" customHeight="1">
      <c r="A31" s="54"/>
      <c r="B31" s="40"/>
      <c r="C31" s="40"/>
      <c r="D31" s="38"/>
      <c r="E31" s="38"/>
      <c r="F31" s="38"/>
      <c r="G31" s="38"/>
      <c r="H31" s="38"/>
      <c r="I31" s="38"/>
      <c r="J31" s="38"/>
      <c r="K31" s="38"/>
      <c r="L31" s="38"/>
      <c r="M31" s="38"/>
      <c r="N31" s="38"/>
      <c r="O31" s="40"/>
      <c r="P31" s="40"/>
      <c r="Q31" s="40"/>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1:F3"/>
    <mergeCell ref="G1:O3"/>
    <mergeCell ref="P1:Q1"/>
    <mergeCell ref="P2:Q2"/>
    <mergeCell ref="P3:Q3"/>
    <mergeCell ref="B4:F4"/>
    <mergeCell ref="G4:Q4"/>
    <mergeCell ref="C8:C10"/>
    <mergeCell ref="D9:D10"/>
    <mergeCell ref="E9:E10"/>
    <mergeCell ref="F9:F10"/>
    <mergeCell ref="G9:G10"/>
    <mergeCell ref="I9:J9"/>
    <mergeCell ref="B6:C7"/>
    <mergeCell ref="B8:B10"/>
    <mergeCell ref="H8:M8"/>
    <mergeCell ref="N8:N10"/>
    <mergeCell ref="O8:O10"/>
    <mergeCell ref="P8:P10"/>
    <mergeCell ref="Q8:Q10"/>
    <mergeCell ref="K9:M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2.63"/>
    <col customWidth="1" min="2" max="2" width="26.0"/>
    <col customWidth="1" min="3" max="3" width="12.63"/>
    <col customWidth="1" min="4" max="4" width="22.5"/>
    <col customWidth="1" min="5" max="5" width="12.63"/>
    <col customWidth="1" min="6" max="6" width="14.5"/>
    <col customWidth="1" min="8" max="8" width="12.63"/>
  </cols>
  <sheetData>
    <row r="1">
      <c r="A1" s="73"/>
      <c r="B1" s="73"/>
      <c r="C1" s="73"/>
      <c r="D1" s="73"/>
      <c r="E1" s="73"/>
      <c r="F1" s="73"/>
      <c r="G1" s="73"/>
      <c r="H1" s="73"/>
      <c r="I1" s="73"/>
      <c r="J1" s="73"/>
      <c r="K1" s="73"/>
      <c r="L1" s="73"/>
      <c r="M1" s="73"/>
      <c r="N1" s="73"/>
      <c r="O1" s="73"/>
      <c r="P1" s="73"/>
      <c r="Q1" s="73"/>
      <c r="R1" s="73"/>
      <c r="S1" s="73"/>
      <c r="T1" s="73"/>
      <c r="U1" s="73"/>
      <c r="V1" s="73"/>
      <c r="W1" s="73"/>
      <c r="X1" s="73"/>
      <c r="Y1" s="73"/>
      <c r="Z1" s="73"/>
    </row>
    <row r="2">
      <c r="A2" s="78"/>
      <c r="B2" s="80" t="s">
        <v>61</v>
      </c>
      <c r="C2" s="80"/>
      <c r="D2" s="80" t="s">
        <v>62</v>
      </c>
      <c r="E2" s="80"/>
      <c r="F2" s="80" t="s">
        <v>63</v>
      </c>
      <c r="G2" s="80"/>
      <c r="H2" s="80" t="s">
        <v>64</v>
      </c>
      <c r="I2" s="78"/>
      <c r="J2" s="78" t="s">
        <v>25</v>
      </c>
      <c r="K2" s="78"/>
      <c r="L2" s="78"/>
      <c r="M2" s="78"/>
      <c r="N2" s="78"/>
      <c r="O2" s="78"/>
      <c r="P2" s="78"/>
      <c r="Q2" s="78"/>
      <c r="R2" s="78"/>
      <c r="S2" s="78"/>
      <c r="T2" s="78"/>
      <c r="U2" s="78"/>
      <c r="V2" s="78"/>
      <c r="W2" s="78"/>
      <c r="X2" s="78"/>
      <c r="Y2" s="78"/>
      <c r="Z2" s="78"/>
    </row>
    <row r="3">
      <c r="A3" s="78"/>
      <c r="B3" s="82" t="s">
        <v>46</v>
      </c>
      <c r="C3" s="83"/>
      <c r="D3" s="82" t="s">
        <v>46</v>
      </c>
      <c r="E3" s="78"/>
      <c r="F3" s="78" t="s">
        <v>68</v>
      </c>
      <c r="G3" s="78"/>
      <c r="H3" s="78" t="s">
        <v>53</v>
      </c>
      <c r="I3" s="78"/>
      <c r="J3" s="78" t="s">
        <v>51</v>
      </c>
      <c r="K3" s="78"/>
      <c r="L3" s="78"/>
      <c r="M3" s="78"/>
      <c r="N3" s="78"/>
      <c r="O3" s="78"/>
      <c r="P3" s="78"/>
      <c r="Q3" s="78"/>
      <c r="R3" s="78"/>
      <c r="S3" s="78"/>
      <c r="T3" s="78"/>
      <c r="U3" s="78"/>
      <c r="V3" s="78"/>
      <c r="W3" s="78"/>
      <c r="X3" s="78"/>
      <c r="Y3" s="78"/>
      <c r="Z3" s="78"/>
    </row>
    <row r="4">
      <c r="A4" s="78"/>
      <c r="B4" s="87" t="s">
        <v>72</v>
      </c>
      <c r="C4" s="83"/>
      <c r="D4" s="82" t="s">
        <v>74</v>
      </c>
      <c r="E4" s="78"/>
      <c r="F4" s="78" t="s">
        <v>75</v>
      </c>
      <c r="G4" s="78"/>
      <c r="H4" s="78" t="s">
        <v>77</v>
      </c>
      <c r="I4" s="78"/>
      <c r="J4" s="78" t="s">
        <v>78</v>
      </c>
      <c r="K4" s="78"/>
      <c r="L4" s="78"/>
      <c r="M4" s="78"/>
      <c r="N4" s="78"/>
      <c r="O4" s="78"/>
      <c r="P4" s="78"/>
      <c r="Q4" s="78"/>
      <c r="R4" s="78"/>
      <c r="S4" s="78"/>
      <c r="T4" s="78"/>
      <c r="U4" s="78"/>
      <c r="V4" s="78"/>
      <c r="W4" s="78"/>
      <c r="X4" s="78"/>
      <c r="Y4" s="78"/>
      <c r="Z4" s="78"/>
    </row>
    <row r="5">
      <c r="A5" s="78"/>
      <c r="B5" s="87" t="s">
        <v>80</v>
      </c>
      <c r="C5" s="83"/>
      <c r="D5" s="87" t="s">
        <v>81</v>
      </c>
      <c r="E5" s="78"/>
      <c r="F5" s="78" t="s">
        <v>82</v>
      </c>
      <c r="G5" s="78"/>
      <c r="H5" s="78" t="s">
        <v>83</v>
      </c>
      <c r="I5" s="78"/>
      <c r="J5" s="78" t="s">
        <v>85</v>
      </c>
      <c r="K5" s="78"/>
      <c r="L5" s="78"/>
      <c r="M5" s="78"/>
      <c r="N5" s="78"/>
      <c r="O5" s="78"/>
      <c r="P5" s="78"/>
      <c r="Q5" s="78"/>
      <c r="R5" s="78"/>
      <c r="S5" s="78"/>
      <c r="T5" s="78"/>
      <c r="U5" s="78"/>
      <c r="V5" s="78"/>
      <c r="W5" s="78"/>
      <c r="X5" s="78"/>
      <c r="Y5" s="78"/>
      <c r="Z5" s="78"/>
    </row>
    <row r="6">
      <c r="A6" s="78"/>
      <c r="B6" s="87" t="s">
        <v>92</v>
      </c>
      <c r="C6" s="83"/>
      <c r="D6" s="87" t="s">
        <v>95</v>
      </c>
      <c r="E6" s="78"/>
      <c r="F6" s="78" t="s">
        <v>97</v>
      </c>
      <c r="G6" s="78"/>
      <c r="H6" s="78" t="s">
        <v>98</v>
      </c>
      <c r="I6" s="78"/>
      <c r="J6" s="78" t="s">
        <v>84</v>
      </c>
      <c r="K6" s="78"/>
      <c r="L6" s="78"/>
      <c r="M6" s="78"/>
      <c r="N6" s="78"/>
      <c r="O6" s="78"/>
      <c r="P6" s="78"/>
      <c r="Q6" s="78"/>
      <c r="R6" s="78"/>
      <c r="S6" s="78"/>
      <c r="T6" s="78"/>
      <c r="U6" s="78"/>
      <c r="V6" s="78"/>
      <c r="W6" s="78"/>
      <c r="X6" s="78"/>
      <c r="Y6" s="78"/>
      <c r="Z6" s="78"/>
    </row>
    <row r="7">
      <c r="A7" s="78"/>
      <c r="B7" s="78"/>
      <c r="C7" s="83"/>
      <c r="D7" s="87" t="s">
        <v>100</v>
      </c>
      <c r="E7" s="78"/>
      <c r="F7" s="78" t="s">
        <v>101</v>
      </c>
      <c r="G7" s="78"/>
      <c r="H7" s="78" t="s">
        <v>102</v>
      </c>
      <c r="I7" s="78"/>
      <c r="J7" s="78" t="s">
        <v>104</v>
      </c>
      <c r="K7" s="78"/>
      <c r="L7" s="78"/>
      <c r="M7" s="78"/>
      <c r="N7" s="78"/>
      <c r="O7" s="78"/>
      <c r="P7" s="78"/>
      <c r="Q7" s="78"/>
      <c r="R7" s="78"/>
      <c r="S7" s="78"/>
      <c r="T7" s="78"/>
      <c r="U7" s="78"/>
      <c r="V7" s="78"/>
      <c r="W7" s="78"/>
      <c r="X7" s="78"/>
      <c r="Y7" s="78"/>
      <c r="Z7" s="78"/>
    </row>
    <row r="8">
      <c r="A8" s="78"/>
      <c r="B8" s="78"/>
      <c r="C8" s="83"/>
      <c r="D8" s="87" t="s">
        <v>107</v>
      </c>
      <c r="E8" s="78"/>
      <c r="F8" s="78" t="s">
        <v>49</v>
      </c>
      <c r="G8" s="78"/>
      <c r="H8" s="78"/>
      <c r="I8" s="78"/>
      <c r="K8" s="78"/>
      <c r="L8" s="78"/>
      <c r="M8" s="78"/>
      <c r="N8" s="78"/>
      <c r="O8" s="78"/>
      <c r="P8" s="78"/>
      <c r="Q8" s="78"/>
      <c r="R8" s="78"/>
      <c r="S8" s="78"/>
      <c r="T8" s="78"/>
      <c r="U8" s="78"/>
      <c r="V8" s="78"/>
      <c r="W8" s="78"/>
      <c r="X8" s="78"/>
      <c r="Y8" s="78"/>
      <c r="Z8" s="78"/>
    </row>
    <row r="9">
      <c r="A9" s="78"/>
      <c r="B9" s="78"/>
      <c r="C9" s="83"/>
      <c r="D9" s="87" t="s">
        <v>111</v>
      </c>
      <c r="E9" s="78"/>
      <c r="F9" s="78" t="s">
        <v>112</v>
      </c>
      <c r="G9" s="78"/>
      <c r="H9" s="78"/>
      <c r="I9" s="78"/>
      <c r="J9" s="78"/>
      <c r="K9" s="78"/>
      <c r="L9" s="78"/>
      <c r="M9" s="78"/>
      <c r="N9" s="78"/>
      <c r="O9" s="78"/>
      <c r="P9" s="78"/>
      <c r="Q9" s="78"/>
      <c r="R9" s="78"/>
      <c r="S9" s="78"/>
      <c r="T9" s="78"/>
      <c r="U9" s="78"/>
      <c r="V9" s="78"/>
      <c r="W9" s="78"/>
      <c r="X9" s="78"/>
      <c r="Y9" s="78"/>
      <c r="Z9" s="78"/>
    </row>
    <row r="10">
      <c r="A10" s="78"/>
      <c r="B10" s="78"/>
      <c r="C10" s="83"/>
      <c r="D10" s="87" t="s">
        <v>101</v>
      </c>
      <c r="E10" s="78"/>
      <c r="F10" s="78" t="s">
        <v>113</v>
      </c>
      <c r="G10" s="78"/>
      <c r="H10" s="78"/>
      <c r="I10" s="78"/>
      <c r="J10" s="78"/>
      <c r="K10" s="78"/>
      <c r="L10" s="78"/>
      <c r="M10" s="78"/>
      <c r="N10" s="78"/>
      <c r="O10" s="78"/>
      <c r="P10" s="78"/>
      <c r="Q10" s="78"/>
      <c r="R10" s="78"/>
      <c r="S10" s="78"/>
      <c r="T10" s="78"/>
      <c r="U10" s="78"/>
      <c r="V10" s="78"/>
      <c r="W10" s="78"/>
      <c r="X10" s="78"/>
      <c r="Y10" s="78"/>
      <c r="Z10" s="78"/>
    </row>
    <row r="11">
      <c r="A11" s="78"/>
      <c r="B11" s="78"/>
      <c r="C11" s="78"/>
      <c r="D11" s="101" t="s">
        <v>114</v>
      </c>
      <c r="E11" s="78"/>
      <c r="F11" s="78" t="s">
        <v>116</v>
      </c>
      <c r="G11" s="78"/>
      <c r="H11" s="78"/>
      <c r="I11" s="78"/>
      <c r="J11" s="78"/>
      <c r="K11" s="78"/>
      <c r="L11" s="78"/>
      <c r="M11" s="78"/>
      <c r="N11" s="78"/>
      <c r="O11" s="78"/>
      <c r="P11" s="78"/>
      <c r="Q11" s="78"/>
      <c r="R11" s="78"/>
      <c r="S11" s="78"/>
      <c r="T11" s="78"/>
      <c r="U11" s="78"/>
      <c r="V11" s="78"/>
      <c r="W11" s="78"/>
      <c r="X11" s="78"/>
      <c r="Y11" s="78"/>
      <c r="Z11" s="78"/>
    </row>
    <row r="12">
      <c r="A12" s="78"/>
      <c r="B12" s="78"/>
      <c r="C12" s="78"/>
      <c r="D12" s="87" t="s">
        <v>105</v>
      </c>
      <c r="E12" s="78"/>
      <c r="F12" s="78" t="s">
        <v>118</v>
      </c>
      <c r="G12" s="78"/>
      <c r="H12" s="78"/>
      <c r="I12" s="78"/>
      <c r="J12" s="78"/>
      <c r="K12" s="78"/>
      <c r="L12" s="78"/>
      <c r="M12" s="78"/>
      <c r="N12" s="78"/>
      <c r="O12" s="78"/>
      <c r="P12" s="78"/>
      <c r="Q12" s="78"/>
      <c r="R12" s="78"/>
      <c r="S12" s="78"/>
      <c r="T12" s="78"/>
      <c r="U12" s="78"/>
      <c r="V12" s="78"/>
      <c r="W12" s="78"/>
      <c r="X12" s="78"/>
      <c r="Y12" s="78"/>
      <c r="Z12" s="78"/>
    </row>
    <row r="13">
      <c r="A13" s="78"/>
      <c r="B13" s="78"/>
      <c r="C13" s="78"/>
      <c r="D13" s="78"/>
      <c r="E13" s="78"/>
      <c r="F13" s="103" t="s">
        <v>106</v>
      </c>
      <c r="G13" s="78"/>
      <c r="H13" s="78"/>
      <c r="I13" s="78"/>
      <c r="J13" s="78"/>
      <c r="K13" s="78"/>
      <c r="L13" s="78"/>
      <c r="M13" s="78"/>
      <c r="N13" s="78"/>
      <c r="O13" s="78"/>
      <c r="P13" s="78"/>
      <c r="Q13" s="78"/>
      <c r="R13" s="78"/>
      <c r="S13" s="78"/>
      <c r="T13" s="78"/>
      <c r="U13" s="78"/>
      <c r="V13" s="78"/>
      <c r="W13" s="78"/>
      <c r="X13" s="78"/>
      <c r="Y13" s="78"/>
      <c r="Z13" s="78"/>
    </row>
    <row r="14">
      <c r="A14" s="78"/>
      <c r="B14" s="78"/>
      <c r="C14" s="78"/>
      <c r="D14" s="78"/>
      <c r="E14" s="78"/>
      <c r="F14" s="78" t="s">
        <v>117</v>
      </c>
      <c r="G14" s="78"/>
      <c r="H14" s="78"/>
      <c r="I14" s="78"/>
      <c r="J14" s="78"/>
      <c r="K14" s="78"/>
      <c r="L14" s="78"/>
      <c r="M14" s="78"/>
      <c r="N14" s="78"/>
      <c r="O14" s="78"/>
      <c r="P14" s="78"/>
      <c r="Q14" s="78"/>
      <c r="R14" s="78"/>
      <c r="S14" s="78"/>
      <c r="T14" s="78"/>
      <c r="U14" s="78"/>
      <c r="V14" s="78"/>
      <c r="W14" s="78"/>
      <c r="X14" s="78"/>
      <c r="Y14" s="78"/>
      <c r="Z14" s="78"/>
    </row>
    <row r="15">
      <c r="A15" s="78"/>
      <c r="B15" s="78"/>
      <c r="C15" s="78"/>
      <c r="D15" s="78"/>
      <c r="E15" s="78"/>
      <c r="F15" s="78" t="s">
        <v>107</v>
      </c>
      <c r="G15" s="78"/>
      <c r="H15" s="78"/>
      <c r="I15" s="78"/>
      <c r="J15" s="78"/>
      <c r="K15" s="78"/>
      <c r="L15" s="78"/>
      <c r="M15" s="78"/>
      <c r="N15" s="78"/>
      <c r="O15" s="78"/>
      <c r="P15" s="78"/>
      <c r="Q15" s="78"/>
      <c r="R15" s="78"/>
      <c r="S15" s="78"/>
      <c r="T15" s="78"/>
      <c r="U15" s="78"/>
      <c r="V15" s="78"/>
      <c r="W15" s="78"/>
      <c r="X15" s="78"/>
      <c r="Y15" s="78"/>
      <c r="Z15" s="78"/>
    </row>
    <row r="16">
      <c r="A16" s="7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c r="A17" s="78"/>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c r="A20" s="78"/>
      <c r="B20" s="78" t="s">
        <v>126</v>
      </c>
      <c r="C20" s="78"/>
      <c r="D20" s="78"/>
      <c r="E20" s="78"/>
      <c r="F20" s="87" t="s">
        <v>55</v>
      </c>
      <c r="G20" s="78"/>
      <c r="H20" s="78"/>
      <c r="I20" s="78"/>
      <c r="J20" s="78"/>
      <c r="K20" s="78"/>
      <c r="L20" s="78"/>
      <c r="M20" s="78"/>
      <c r="N20" s="78"/>
      <c r="O20" s="78"/>
      <c r="P20" s="78"/>
      <c r="Q20" s="78"/>
      <c r="R20" s="78"/>
      <c r="S20" s="78"/>
      <c r="T20" s="78"/>
      <c r="U20" s="78"/>
      <c r="V20" s="78"/>
      <c r="W20" s="78"/>
      <c r="X20" s="78"/>
      <c r="Y20" s="78"/>
      <c r="Z20" s="78"/>
    </row>
    <row r="21" ht="15.75" customHeight="1">
      <c r="A21" s="78"/>
      <c r="B21" s="78" t="s">
        <v>127</v>
      </c>
      <c r="C21" s="78"/>
      <c r="D21" s="78"/>
      <c r="E21" s="78"/>
      <c r="F21" s="87" t="s">
        <v>128</v>
      </c>
      <c r="G21" s="78"/>
      <c r="H21" s="78"/>
      <c r="I21" s="78"/>
      <c r="J21" s="78"/>
      <c r="K21" s="78"/>
      <c r="L21" s="78"/>
      <c r="M21" s="78"/>
      <c r="N21" s="78"/>
      <c r="O21" s="78"/>
      <c r="P21" s="78"/>
      <c r="Q21" s="78"/>
      <c r="R21" s="78"/>
      <c r="S21" s="78"/>
      <c r="T21" s="78"/>
      <c r="U21" s="78"/>
      <c r="V21" s="78"/>
      <c r="W21" s="78"/>
      <c r="X21" s="78"/>
      <c r="Y21" s="78"/>
      <c r="Z21" s="78"/>
    </row>
    <row r="22" ht="15.75" customHeight="1">
      <c r="A22" s="78"/>
      <c r="B22" s="78" t="s">
        <v>129</v>
      </c>
      <c r="C22" s="78"/>
      <c r="D22" s="78"/>
      <c r="E22" s="78"/>
      <c r="F22" s="78"/>
      <c r="G22" s="78"/>
      <c r="H22" s="78"/>
      <c r="I22" s="78"/>
      <c r="J22" s="78"/>
      <c r="K22" s="78"/>
      <c r="L22" s="78"/>
      <c r="M22" s="78"/>
      <c r="N22" s="78"/>
      <c r="O22" s="78"/>
      <c r="P22" s="78"/>
      <c r="Q22" s="78"/>
      <c r="R22" s="78"/>
      <c r="S22" s="78"/>
      <c r="T22" s="78"/>
      <c r="U22" s="78"/>
      <c r="V22" s="78"/>
      <c r="W22" s="78"/>
      <c r="X22" s="78"/>
      <c r="Y22" s="78"/>
      <c r="Z22" s="78"/>
    </row>
    <row r="23" ht="15.75" customHeight="1">
      <c r="A23" s="78"/>
      <c r="B23" s="78" t="s">
        <v>105</v>
      </c>
      <c r="C23" s="78"/>
      <c r="D23" s="78"/>
      <c r="E23" s="78"/>
      <c r="F23" s="78"/>
      <c r="G23" s="78"/>
      <c r="H23" s="78"/>
      <c r="I23" s="78"/>
      <c r="J23" s="78"/>
      <c r="K23" s="78"/>
      <c r="L23" s="78"/>
      <c r="M23" s="78"/>
      <c r="N23" s="78"/>
      <c r="O23" s="78"/>
      <c r="P23" s="78"/>
      <c r="Q23" s="78"/>
      <c r="R23" s="78"/>
      <c r="S23" s="78"/>
      <c r="T23" s="78"/>
      <c r="U23" s="78"/>
      <c r="V23" s="78"/>
      <c r="W23" s="78"/>
      <c r="X23" s="78"/>
      <c r="Y23" s="78"/>
      <c r="Z23" s="78"/>
    </row>
    <row r="24" ht="15.75" customHeight="1">
      <c r="A24" s="78"/>
      <c r="B24" s="78" t="s">
        <v>101</v>
      </c>
      <c r="C24" s="78"/>
      <c r="D24" s="78"/>
      <c r="E24" s="78"/>
      <c r="F24" s="78"/>
      <c r="G24" s="78"/>
      <c r="H24" s="78"/>
      <c r="I24" s="78"/>
      <c r="J24" s="78"/>
      <c r="K24" s="78"/>
      <c r="L24" s="78"/>
      <c r="M24" s="78"/>
      <c r="N24" s="78"/>
      <c r="O24" s="78"/>
      <c r="P24" s="78"/>
      <c r="Q24" s="78"/>
      <c r="R24" s="78"/>
      <c r="S24" s="78"/>
      <c r="T24" s="78"/>
      <c r="U24" s="78"/>
      <c r="V24" s="78"/>
      <c r="W24" s="78"/>
      <c r="X24" s="78"/>
      <c r="Y24" s="78"/>
      <c r="Z24" s="78"/>
    </row>
    <row r="25" ht="15.75" customHeight="1">
      <c r="A25" s="78"/>
      <c r="B25" s="78" t="s">
        <v>130</v>
      </c>
      <c r="C25" s="78"/>
      <c r="D25" s="78"/>
      <c r="E25" s="78"/>
      <c r="F25" s="78"/>
      <c r="G25" s="78"/>
      <c r="H25" s="78"/>
      <c r="I25" s="78"/>
      <c r="J25" s="78"/>
      <c r="K25" s="78"/>
      <c r="L25" s="78"/>
      <c r="M25" s="78"/>
      <c r="N25" s="78"/>
      <c r="O25" s="78"/>
      <c r="P25" s="78"/>
      <c r="Q25" s="78"/>
      <c r="R25" s="78"/>
      <c r="S25" s="78"/>
      <c r="T25" s="78"/>
      <c r="U25" s="78"/>
      <c r="V25" s="78"/>
      <c r="W25" s="78"/>
      <c r="X25" s="78"/>
      <c r="Y25" s="78"/>
      <c r="Z25" s="78"/>
    </row>
    <row r="26" ht="15.75" customHeight="1">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ht="15.75" customHeight="1">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ht="15.75" customHeight="1">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ht="15.75" customHeight="1">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ht="15.75" customHeight="1">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ht="15.75" customHeight="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ht="15.75" customHeight="1">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ht="15.75" customHeight="1">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ht="15.75" customHeight="1">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ht="15.75" customHeight="1">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ht="15.75" customHeight="1">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ht="15.75" customHeight="1">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ht="15.75" customHeight="1">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ht="15.75" customHeight="1">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ht="15.7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ht="15.75"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ht="15.75" customHeight="1">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ht="15.75" customHeight="1">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ht="15.75" customHeight="1">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ht="15.75" customHeight="1">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ht="15.75" customHeight="1">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ht="15.75" customHeight="1">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ht="15.75" customHeight="1">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ht="15.75" customHeight="1">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ht="15.75" customHeight="1">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ht="15.75" customHeight="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ht="15.75" customHeight="1">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ht="15.75" customHeight="1">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ht="15.75" customHeight="1">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ht="15.75" customHeight="1">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ht="15.75" customHeight="1">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ht="15.75" customHeight="1">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ht="15.75" customHeight="1">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ht="15.75" customHeight="1">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ht="15.75" customHeight="1">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ht="15.75" customHeight="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ht="15.75" customHeight="1">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ht="15.75" customHeight="1">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ht="15.75" customHeight="1">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ht="15.75" customHeight="1">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ht="15.7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ht="15.7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ht="15.7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ht="15.7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ht="15.7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ht="15.7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ht="15.7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ht="15.7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ht="15.7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ht="15.7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ht="15.7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ht="15.7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ht="15.7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ht="15.7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ht="15.7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ht="15.7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ht="15.7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ht="15.7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ht="15.7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ht="15.7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ht="15.7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ht="15.7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ht="15.7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ht="15.7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ht="15.7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ht="15.7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ht="15.7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ht="15.7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ht="15.7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ht="15.7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ht="15.7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ht="15.7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ht="15.7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ht="15.7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ht="15.7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ht="15.7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ht="15.7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ht="15.7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ht="15.7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ht="15.7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ht="15.7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ht="15.7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ht="15.7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ht="15.7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ht="15.7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ht="15.7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ht="15.7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ht="15.7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ht="15.7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ht="15.7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ht="15.7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ht="15.7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ht="15.7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ht="15.7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ht="15.7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ht="15.7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ht="15.7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ht="15.7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ht="15.7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ht="15.7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ht="15.7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ht="15.7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ht="15.7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ht="15.7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ht="15.7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ht="15.7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ht="15.7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ht="15.7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ht="15.7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ht="15.7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ht="15.7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ht="15.7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ht="15.7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ht="15.7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ht="15.7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ht="15.7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ht="15.7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ht="15.7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ht="15.7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ht="15.7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ht="15.7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ht="15.7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ht="15.7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ht="15.7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ht="15.7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ht="15.7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ht="15.7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ht="15.7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ht="15.7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ht="15.7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ht="15.7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ht="15.7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ht="15.7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ht="15.7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ht="15.7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ht="15.7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ht="15.7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ht="15.7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ht="15.7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ht="15.7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ht="15.7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ht="15.7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ht="15.7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ht="15.7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ht="15.7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ht="15.7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ht="15.7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ht="15.7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ht="15.7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ht="15.7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ht="15.7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ht="15.7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ht="15.7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ht="15.7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ht="15.7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ht="15.7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ht="15.7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ht="15.7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ht="15.7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ht="15.7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ht="15.7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ht="15.7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ht="15.7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ht="15.7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ht="15.7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ht="15.7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ht="15.7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ht="15.7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ht="15.7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ht="15.7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ht="15.7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ht="15.7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ht="15.7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ht="15.7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ht="15.7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ht="15.7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ht="15.7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ht="15.7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ht="15.7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ht="15.7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ht="15.7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ht="15.7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ht="15.7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ht="15.7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ht="15.7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ht="15.7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ht="15.7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ht="15.7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ht="15.7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ht="15.7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ht="15.7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ht="15.7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ht="15.7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ht="15.7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ht="15.7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ht="15.7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ht="15.7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ht="15.7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ht="15.7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ht="15.7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