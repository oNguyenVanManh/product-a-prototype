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istory of changes" sheetId="1" r:id="rId5"/>
    <sheet state="visible" name="Guidance" sheetId="2" r:id="rId6"/>
    <sheet state="visible" name="Security Requirement Manegement" sheetId="3" r:id="rId7"/>
    <sheet state="visible" name="Security Requirement (Recommend"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Các kết luận ở đây lấy từ file Effort Estimation của dự án (sau quá trình bidding hoặc lúc cần re-estimate theo phase mới)</t>
      </text>
    </comment>
  </commentList>
</comments>
</file>

<file path=xl/sharedStrings.xml><?xml version="1.0" encoding="utf-8"?>
<sst xmlns="http://schemas.openxmlformats.org/spreadsheetml/2006/main" count="204" uniqueCount="157">
  <si>
    <t>[EN]</t>
  </si>
  <si>
    <t>[VI]</t>
  </si>
  <si>
    <t>1. Define Security Requirements and estimate the effort</t>
  </si>
  <si>
    <t>SECURITY REQUIREMENT (RECOMMENDATION)</t>
  </si>
  <si>
    <t>SECURITY REQUIREMENT MANAGEMENT 
(FOR DEVELOPMENT)</t>
  </si>
  <si>
    <t>1. Xác định Yêu cầu bảo mật của dự án (Security Requirement)</t>
  </si>
  <si>
    <t>No: BM-QT-1701-36</t>
  </si>
  <si>
    <t>Bidding</t>
  </si>
  <si>
    <t>Version: 1.1</t>
  </si>
  <si>
    <t>What</t>
  </si>
  <si>
    <t>Issue Date: 22/09/2026</t>
  </si>
  <si>
    <t xml:space="preserve">CÔNG TY TNHH SUN ASTERISK VIỆT NAM </t>
  </si>
  <si>
    <t>Xác định các Yêu cầu bảo mật cần áp dụng trong dự án và estimate effort</t>
  </si>
  <si>
    <t>SUN ASTERISK VIETNAM CO., LTD</t>
  </si>
  <si>
    <t>ISO/IEC 27001:2013&amp;ISO 9001:2015</t>
  </si>
  <si>
    <t>PIC</t>
  </si>
  <si>
    <t>Technical leader tham gia bidding</t>
  </si>
  <si>
    <t>How</t>
  </si>
  <si>
    <t>No</t>
  </si>
  <si>
    <t>1. Research the Customer's system (if exists) to understand what Security Requirements the Customer's system has met</t>
  </si>
  <si>
    <t>Security Requirement [EN]</t>
  </si>
  <si>
    <t>1. Nghiên cứu hệ thống hiện tại của Khách hàng (nếu có) để xem Yêu cầu bảo mật nào mà hệ thống hiện tại của Khách hàng đã đáp ứng</t>
  </si>
  <si>
    <t>Recommended Solution [EN]</t>
  </si>
  <si>
    <t>[###(ProjectID)] ProjectName - Effort Estimation YYYYMMDD</t>
  </si>
  <si>
    <t>Security Requirement [VI]</t>
  </si>
  <si>
    <t>Recommended Solution [VI]</t>
  </si>
  <si>
    <t>Security Requirement [EN]
(Effort Estimation file)</t>
  </si>
  <si>
    <t>Security Requirement [VI]
(Effort Estimation file)</t>
  </si>
  <si>
    <t>HISTORY OF CHANGES</t>
  </si>
  <si>
    <t>Final Conclusion (by client)
(Effort Estimation file)</t>
  </si>
  <si>
    <t>Project's Action Plan
(VI / EN)</t>
  </si>
  <si>
    <r>
      <rPr>
        <rFont val="Arial"/>
        <b/>
        <color rgb="FF000000"/>
        <sz val="10.0"/>
      </rPr>
      <t xml:space="preserve">Level of trust in identity of entities through authentication. 
</t>
    </r>
    <r>
      <rPr>
        <rFont val="Arial"/>
        <b val="0"/>
        <color rgb="FF000000"/>
        <sz val="10.0"/>
      </rPr>
      <t>(e.g: 2FA)</t>
    </r>
  </si>
  <si>
    <t>PIC side</t>
  </si>
  <si>
    <t>PIC team</t>
  </si>
  <si>
    <t>Action Plan Status</t>
  </si>
  <si>
    <t>Evidence</t>
  </si>
  <si>
    <t>Change Item</t>
  </si>
  <si>
    <t>Level of trust in identity of entities through authentication 
(e.g: 2FA)</t>
  </si>
  <si>
    <r>
      <rPr>
        <rFont val="Arial"/>
        <color rgb="FF000000"/>
        <sz val="10.0"/>
      </rPr>
      <t xml:space="preserve">▸Make sure when developing applications to meet Level 2 or higher.
</t>
    </r>
    <r>
      <rPr>
        <rFont val="Arial"/>
        <b/>
        <color rgb="FF000000"/>
        <sz val="10.0"/>
      </rPr>
      <t>- Level 1:</t>
    </r>
    <r>
      <rPr>
        <rFont val="Arial"/>
        <color rgb="FF000000"/>
        <sz val="10.0"/>
      </rPr>
      <t xml:space="preserve"> Log in only via username and password.
</t>
    </r>
    <r>
      <rPr>
        <rFont val="Arial"/>
        <b/>
        <color rgb="FF000000"/>
        <sz val="10.0"/>
      </rPr>
      <t>- Level 2:</t>
    </r>
    <r>
      <rPr>
        <rFont val="Arial"/>
        <color rgb="FF000000"/>
        <sz val="10.0"/>
      </rPr>
      <t xml:space="preserve"> Log in via username and password on verified devices or using multi-factor authentication (2FA), digital certificates.
</t>
    </r>
    <r>
      <rPr>
        <rFont val="Arial"/>
        <b/>
        <color rgb="FF000000"/>
        <sz val="10.0"/>
      </rPr>
      <t xml:space="preserve">- Level 3: </t>
    </r>
    <r>
      <rPr>
        <rFont val="Arial"/>
        <color rgb="FF000000"/>
        <sz val="10.0"/>
      </rPr>
      <t>Ensure level 2 includes authentication that the user is the owner of the device when logging in, such as biometric authentication such as fingerprint or facial recognition.</t>
    </r>
  </si>
  <si>
    <t>Các mức độ tin cậy trong Authentication
(ví dụ như 2FA)</t>
  </si>
  <si>
    <r>
      <rPr>
        <rFont val="Arial"/>
        <b/>
        <color rgb="FF000000"/>
        <sz val="10.0"/>
      </rPr>
      <t xml:space="preserve">Các mức độ tin cậy trong Authentication.
</t>
    </r>
    <r>
      <rPr>
        <rFont val="Arial"/>
        <b val="0"/>
        <color rgb="FF000000"/>
        <sz val="10.0"/>
      </rPr>
      <t>(VD: 2FA)</t>
    </r>
  </si>
  <si>
    <t>Description of changes</t>
  </si>
  <si>
    <r>
      <rPr>
        <rFont val="Arial"/>
        <color rgb="FF000000"/>
        <sz val="10.0"/>
      </rPr>
      <t xml:space="preserve">▸Đảm bảo khi phát triển ứng dụng phải đáp ứng từ Level 2 trở lên.
</t>
    </r>
    <r>
      <rPr>
        <rFont val="Arial"/>
        <b/>
        <color rgb="FF000000"/>
        <sz val="10.0"/>
      </rPr>
      <t>- Level 1</t>
    </r>
    <r>
      <rPr>
        <rFont val="Arial"/>
        <color rgb="FF000000"/>
        <sz val="10.0"/>
      </rPr>
      <t xml:space="preserve">: Chỉ đăng nhập qua tên người dùng và mật khẩu.
</t>
    </r>
    <r>
      <rPr>
        <rFont val="Arial"/>
        <b/>
        <color rgb="FF000000"/>
        <sz val="10.0"/>
      </rPr>
      <t>- Level 2</t>
    </r>
    <r>
      <rPr>
        <rFont val="Arial"/>
        <color rgb="FF000000"/>
        <sz val="10.0"/>
      </rPr>
      <t xml:space="preserve">: Đăng nhập qua tên người dùng và mật khẩu trên các thiết bị đã được xác minh hoặc kèm theo sử dụng xác thực đa yếu tố (2FA), chứng chỉ số.
</t>
    </r>
    <r>
      <rPr>
        <rFont val="Arial"/>
        <b/>
        <color rgb="FF000000"/>
        <sz val="10.0"/>
      </rPr>
      <t>- Level 3</t>
    </r>
    <r>
      <rPr>
        <rFont val="Arial"/>
        <color rgb="FF000000"/>
        <sz val="10.0"/>
      </rPr>
      <t>: Đảm bảo level 2 kèm theo xác thực người dùng là chủ của thiết bị khi đăng nhập như kèm theo xác thực sinh trắc học như vân tay, nhận dạng khuôn mặt.</t>
    </r>
  </si>
  <si>
    <t>Change Date</t>
  </si>
  <si>
    <t>2. Based on the current status of the customer's system, determine the Security Requirements that the project side can implement</t>
  </si>
  <si>
    <t>2. Dựa trên thực trạng của hệ thống bên Khách hàng, xác định những Yêu cầu bảo mật (Security Requirement) mà bên dự án có thể thực hiện</t>
  </si>
  <si>
    <t>Identifying the type of information and classification level to be processed by the application.</t>
  </si>
  <si>
    <t>3. Estimate the effort needed (MM) and add it to the quotation file with the customer</t>
  </si>
  <si>
    <t>3. Tiến hành estimate nguồn lực cần thiết (MM) và bổ sung vào báo giá với Khách hàng</t>
  </si>
  <si>
    <r>
      <rPr>
        <rFont val="Arial"/>
        <color rgb="FF000000"/>
        <sz val="10.0"/>
      </rPr>
      <t xml:space="preserve">▸Make sure to classify information into levels and take appropriate actions.
</t>
    </r>
    <r>
      <rPr>
        <rFont val="Arial"/>
        <b/>
        <color rgb="FF000000"/>
        <sz val="10.0"/>
      </rPr>
      <t xml:space="preserve">- Public: </t>
    </r>
    <r>
      <rPr>
        <rFont val="Arial"/>
        <color rgb="FF000000"/>
        <sz val="10.0"/>
      </rPr>
      <t xml:space="preserve">Type of data that can be used without permission and </t>
    </r>
    <r>
      <rPr>
        <rFont val="Arial"/>
        <color rgb="FF000000"/>
        <sz val="10.0"/>
      </rPr>
      <t>is not confidential</t>
    </r>
    <r>
      <rPr>
        <rFont val="Arial"/>
        <color rgb="FF000000"/>
        <sz val="10.0"/>
      </rPr>
      <t xml:space="preserve">.
For example: Information, culture, history, curriculum materials, learning, data from open sources, can be searched easily on the internet
</t>
    </r>
    <r>
      <rPr>
        <rFont val="Arial"/>
        <b/>
        <color rgb="FF000000"/>
        <sz val="10.0"/>
      </rPr>
      <t xml:space="preserve">- Internal: </t>
    </r>
    <r>
      <rPr>
        <rFont val="Arial"/>
        <color rgb="FF000000"/>
        <sz val="10.0"/>
      </rPr>
      <t xml:space="preserve">This type of data needs to be logged in and authenticated to be viewed, and does not need to be encrypted when stored.
For example: Account information, profile, ...
</t>
    </r>
    <r>
      <rPr>
        <rFont val="Arial"/>
        <b/>
        <color rgb="FF000000"/>
        <sz val="10.0"/>
      </rPr>
      <t>- Restricted:</t>
    </r>
    <r>
      <rPr>
        <rFont val="Arial"/>
        <color rgb="FF000000"/>
        <sz val="10.0"/>
      </rPr>
      <t xml:space="preserve"> Type of data that requires permission before use or is only used by necessary and authorized employees, does not store or needs to encrypt data before storing, must use non-decompiled storage methods such as Base64, Hash, ...
</t>
    </r>
    <r>
      <rPr>
        <rFont val="Arial"/>
        <i/>
        <color rgb="FF000000"/>
        <sz val="10.0"/>
      </rPr>
      <t xml:space="preserve">For example: 
   - Account information (login name, password, payment information, transaction history, ...)
   - Sensitive data (Bank account information, medical information, credit cards, ...)
   - Business data (Sales data, business analysis, ...)
   - </t>
    </r>
    <r>
      <rPr>
        <rFont val="Arial"/>
        <color rgb="FF000000"/>
        <sz val="10.0"/>
      </rPr>
      <t>Confidential data</t>
    </r>
    <r>
      <rPr>
        <rFont val="Arial"/>
        <i/>
        <color rgb="FF000000"/>
        <sz val="10.0"/>
      </rPr>
      <t xml:space="preserve"> (Business plans, research and development, ...)</t>
    </r>
  </si>
  <si>
    <t>Xác định loại thông tin và cấp độ phân loại được xử lý bởi ứng dụng.</t>
  </si>
  <si>
    <t>Identifying the type of information and classification level to be processed by the application</t>
  </si>
  <si>
    <t>2. Approval from the Customer</t>
  </si>
  <si>
    <t>2. Phê duyệt từ phía Khách hàng</t>
  </si>
  <si>
    <t>First issued</t>
  </si>
  <si>
    <r>
      <rPr>
        <rFont val="Arial"/>
        <color rgb="FF000000"/>
        <sz val="10.0"/>
      </rPr>
      <t xml:space="preserve">▸Đảm bảo phân loại thông tin thành các cấp độ đồng thời có các action cho phù hợp.
</t>
    </r>
    <r>
      <rPr>
        <rFont val="Arial"/>
        <b/>
        <i/>
        <color rgb="FF000000"/>
        <sz val="10.0"/>
      </rPr>
      <t xml:space="preserve">
</t>
    </r>
    <r>
      <rPr>
        <rFont val="Arial"/>
        <b/>
        <color rgb="FF000000"/>
        <sz val="10.0"/>
      </rPr>
      <t xml:space="preserve">- Công khai: </t>
    </r>
    <r>
      <rPr>
        <rFont val="Arial"/>
        <color rgb="FF000000"/>
        <sz val="10.0"/>
      </rPr>
      <t xml:space="preserve">Loại dữ liệu có thể sử dụng mà không cần xin phép và </t>
    </r>
    <r>
      <rPr>
        <rFont val="Arial"/>
        <color rgb="FF000000"/>
        <sz val="10.0"/>
      </rPr>
      <t>không có tính chất bảo mật</t>
    </r>
    <r>
      <rPr>
        <rFont val="Arial"/>
        <color rgb="FF000000"/>
        <sz val="10.0"/>
      </rPr>
      <t xml:space="preserve">.
</t>
    </r>
    <r>
      <rPr>
        <rFont val="Arial"/>
        <i/>
        <color rgb="FF000000"/>
        <sz val="10.0"/>
      </rPr>
      <t xml:space="preserve">Ví dụ: Thông tin, văn hoá, lịch sử, tài liệu giáo trình, học tập, dữ liệu từ các nguồn mở, có thể tìm kiếm dễ dàng trên internet
</t>
    </r>
    <r>
      <rPr>
        <rFont val="Arial"/>
        <b/>
        <color rgb="FF000000"/>
        <sz val="10.0"/>
      </rPr>
      <t xml:space="preserve">- Nội bộ: </t>
    </r>
    <r>
      <rPr>
        <rFont val="Arial"/>
        <color rgb="FF000000"/>
        <sz val="10.0"/>
      </rPr>
      <t xml:space="preserve">Loại hình dữ liệu cần phải đăng nhập, xác thực mới có thể xem, không cần mã hoá khi lưu trữ.
</t>
    </r>
    <r>
      <rPr>
        <rFont val="Arial"/>
        <i/>
        <color rgb="FF000000"/>
        <sz val="10.0"/>
      </rPr>
      <t xml:space="preserve">Ví dụ: Thông tin tài khoản, profile, ...
</t>
    </r>
    <r>
      <rPr>
        <rFont val="Arial"/>
        <b/>
        <color rgb="FF000000"/>
        <sz val="10.0"/>
      </rPr>
      <t>- Hạn chế (Restricted):</t>
    </r>
    <r>
      <rPr>
        <rFont val="Arial"/>
        <b/>
        <color rgb="FF000000"/>
        <sz val="10.0"/>
      </rPr>
      <t xml:space="preserve"> </t>
    </r>
    <r>
      <rPr>
        <rFont val="Arial"/>
        <color rgb="FF000000"/>
        <sz val="10.0"/>
      </rPr>
      <t xml:space="preserve">Loại hình dữ liệu cần được xin phép trước khi sử dụng hoặc chỉ được sử dụng bởi những nhân viên cần thiết và được uỷ quyền, không thực hiện lưu trữ hoặc cần mã hoá dữ liệu trước khi lưu trữ, phải sử dụng các phương pháp lưu trữ không dịch ngược như Base64, Hash, ...
</t>
    </r>
    <r>
      <rPr>
        <rFont val="Arial"/>
        <i/>
        <color rgb="FF000000"/>
        <sz val="10.0"/>
      </rPr>
      <t xml:space="preserve">Ví dụ: 
   - Thông tin tài khoản (tên đăng nhập, mật khẩu, thông tin thanh toán, lịch sử giao dịch, ...)
   - Dữ liệu nhạy cảm (Thông tin tài khoản ngân hàng, y tế, thẻ tín dụng, ...)
   - Dữ liệu kinh doanh (Số liệu bán hàng, phân tích kinh doanh, ...)
   - </t>
    </r>
    <r>
      <rPr>
        <rFont val="Arial"/>
        <i/>
        <color rgb="FF000000"/>
        <sz val="10.0"/>
      </rPr>
      <t>Dữ liệu bảo mật</t>
    </r>
    <r>
      <rPr>
        <rFont val="Arial"/>
        <i/>
        <color rgb="FF000000"/>
        <sz val="10.0"/>
      </rPr>
      <t xml:space="preserve"> (Kế hoạch kinh doanh, nghiên cứu phát triển, ...)</t>
    </r>
  </si>
  <si>
    <t>Need for segregation of access and level of access to data and functions in the application</t>
  </si>
  <si>
    <t>Phân quyền truy cập vào dữ liệu và chức năng trong ứng dụng.</t>
  </si>
  <si>
    <t>Need for segregation of access and level of access to data and functions in the application.</t>
  </si>
  <si>
    <t>Agree and obtain approval from the Customer on the identified Security Requirements</t>
  </si>
  <si>
    <t>Thống nhất và có được sự phê duyệt từ phía Khách hàng về các Yêu cầu bảo mật đã được xác định</t>
  </si>
  <si>
    <t>PSM</t>
  </si>
  <si>
    <r>
      <rPr>
        <rFont val="Arial"/>
        <color rgb="FF000000"/>
        <sz val="10.0"/>
      </rPr>
      <t xml:space="preserve">▸For applications with many different types of data, it is necessary to assign appropriate usage rights, ensuring users only have access rights and perform activities appropriate to their roles and responsibilities.
</t>
    </r>
    <r>
      <rPr>
        <rFont val="Arial"/>
        <b/>
        <color rgb="FF000000"/>
        <sz val="10.0"/>
      </rPr>
      <t>- Role-based Access Control - RBAC: restricts access based on role</t>
    </r>
    <r>
      <rPr>
        <rFont val="Arial"/>
        <color rgb="FF000000"/>
        <sz val="10.0"/>
      </rPr>
      <t xml:space="preserve">
For example: With web applications, it is necessary to separate the administrator and regular users.
</t>
    </r>
    <r>
      <rPr>
        <rFont val="Arial"/>
        <b/>
        <color rgb="FF000000"/>
        <sz val="10.0"/>
      </rPr>
      <t>- Data-based Access Control: restricts access based on data</t>
    </r>
    <r>
      <rPr>
        <rFont val="Arial"/>
        <color rgb="FF000000"/>
        <sz val="10.0"/>
      </rPr>
      <t xml:space="preserve">
Access rights are determined based on data attributes
</t>
    </r>
    <r>
      <rPr>
        <rFont val="Arial"/>
        <i/>
        <color rgb="FF000000"/>
        <sz val="10.0"/>
      </rPr>
      <t>For example: The application only allows users the right to view their data and information related to them.</t>
    </r>
  </si>
  <si>
    <t>Resilience against malicious attacks or unintentional disruptions 
(e.g: protection against buffer overflow or structured query language (SQL) injections)</t>
  </si>
  <si>
    <t>Khả năng chống tấn công với mã độc hoặc sự cố 
(chống tràn bộ nhớ, SQL injection)</t>
  </si>
  <si>
    <r>
      <rPr>
        <rFont val="Arial"/>
        <color rgb="FF000000"/>
        <sz val="10.0"/>
      </rPr>
      <t xml:space="preserve">▸Với ứng dụng có nhiều loại hình dữ liệu khác nhau, cần phân quyền sử dụng cho phù hợp, đảm bảo người dùng chỉ có quyền truy cập, thực hiện các hoạt động phù hợp với vai trò, trách nhiệm của họ.
</t>
    </r>
    <r>
      <rPr>
        <rFont val="Arial"/>
        <b/>
        <color rgb="FF000000"/>
        <sz val="10.0"/>
      </rPr>
      <t xml:space="preserve">- Cần phân quyền dựa trên vai trò (Role-based Access Control - RBAC) 
</t>
    </r>
    <r>
      <rPr>
        <rFont val="Arial"/>
        <i/>
        <color rgb="FF000000"/>
        <sz val="10.0"/>
      </rPr>
      <t xml:space="preserve">Ví dụ: Với các ứng dụng web cần tách biệt giữa quản trị (admin) và người sử dụng thông thường.
</t>
    </r>
    <r>
      <rPr>
        <rFont val="Arial"/>
        <b/>
        <color rgb="FF000000"/>
        <sz val="10.0"/>
      </rPr>
      <t xml:space="preserve">- Cần phân quyền dựa trên cơ sở dữ liệu (Data-based Access Control)
</t>
    </r>
    <r>
      <rPr>
        <rFont val="Arial"/>
        <color rgb="FF000000"/>
        <sz val="10.0"/>
      </rPr>
      <t xml:space="preserve">Quyền truy cập được xác định dựa trên thuộc tính dữ liệu
</t>
    </r>
    <r>
      <rPr>
        <rFont val="Arial"/>
        <i/>
        <color rgb="FF000000"/>
        <sz val="10.0"/>
      </rPr>
      <t>Ví dụ: Ứng dụng chỉ cho phép người dùng có quyền xem dữ liệu của họ và các thông tin liên quan đến họ.</t>
    </r>
  </si>
  <si>
    <r>
      <rPr>
        <rFont val="Arial"/>
        <color theme="1"/>
      </rPr>
      <t xml:space="preserve">1. Need to agree with the Customer on the Security Requirements that the project determines to ensure (step 1) and fill Customer's confirmation in the Final Conclusion column
</t>
    </r>
    <r>
      <rPr>
        <rFont val="Arial"/>
        <b/>
        <color theme="1"/>
      </rPr>
      <t xml:space="preserve">‣ With Security Requirements the Customer agrees to do: </t>
    </r>
    <r>
      <rPr>
        <rFont val="Arial"/>
        <color theme="1"/>
      </rPr>
      <t xml:space="preserve">fill Approved
</t>
    </r>
    <r>
      <rPr>
        <rFont val="Arial"/>
        <b/>
        <color theme="1"/>
      </rPr>
      <t xml:space="preserve">‣ With Security Requirements the Customer does not agree to do: </t>
    </r>
    <r>
      <rPr>
        <rFont val="Arial"/>
        <color theme="1"/>
      </rPr>
      <t>fill Rejected
Along with that, the project needs to identify corresponding risks of possible security vulnerabilities according to the issued Risk Assessment Process (Identify risks, develop corresponding mitigation and prevention measures). application) and receive Customer approval</t>
    </r>
  </si>
  <si>
    <t>All sheet</t>
  </si>
  <si>
    <t>Legal, statutory and regulatory requirements in the jurisdiction where the transaction is generated, processed, completed or stored</t>
  </si>
  <si>
    <t>Đáp ứng yêu cầu pháp lý, quy định theo pháp luật tại nơi diễn ra giao dịch, xử lý, hoàn thành hoặc lưu trữ.</t>
  </si>
  <si>
    <r>
      <rPr>
        <rFont val="Arial"/>
        <b/>
        <color rgb="FF000000"/>
        <sz val="10.0"/>
      </rPr>
      <t xml:space="preserve">Resilience against malicious attacks or unintentional disruptions.
</t>
    </r>
    <r>
      <rPr>
        <rFont val="Arial"/>
        <b val="0"/>
        <color rgb="FF000000"/>
        <sz val="10.0"/>
      </rPr>
      <t>(e.g: protection against buffer overflow or structured query language (SQL) injections)</t>
    </r>
  </si>
  <si>
    <r>
      <rPr>
        <rFont val="Arial"/>
        <color theme="1"/>
      </rPr>
      <t xml:space="preserve">1. Cần thống nhất với Khách hàng về các Yêu cẩu bảo mật mà dự án xác định sẽ đảm bảo (bước 1) và điền xác nhận của Khách hàng vào cột Final Conclusion
</t>
    </r>
    <r>
      <rPr>
        <rFont val="Arial"/>
        <b/>
        <color theme="1"/>
      </rPr>
      <t>‣ Với các Yêu cầu bảo mật Khách hàng đồng ý thực hiện:</t>
    </r>
    <r>
      <rPr>
        <rFont val="Arial"/>
        <color theme="1"/>
      </rPr>
      <t xml:space="preserve">  điền Approved
</t>
    </r>
    <r>
      <rPr>
        <rFont val="Arial"/>
        <b/>
        <color theme="1"/>
      </rPr>
      <t xml:space="preserve">‣ Với các Yêu cầu bảo mật Khách hàng không đồng ý thực hiện: </t>
    </r>
    <r>
      <rPr>
        <rFont val="Arial"/>
        <color theme="1"/>
      </rPr>
      <t>điền Rejected
Cùng với đó, dự án cần xác định các rủi ro tương ứng về lỗ hổng bảo mật có thể xảy ra theo Quy trình Đánh giá rủi ro đã ban hành (Xác định rủi ro, xây dựng các biện pháp giảm thiểu, phòng ngừa tương ứng) và nhận được sự phê duyệt của Khách hàng</t>
    </r>
  </si>
  <si>
    <t>Update mã biểu mẫu theo tiêu chuẩn ISO.</t>
  </si>
  <si>
    <t>Need for privacy associated with all parties involved</t>
  </si>
  <si>
    <t>Đáp ứng nhu cầu quyền riêng tư các bên liên quan.</t>
  </si>
  <si>
    <t>[###(ProjectID)] ProjectName - Effort Estimation YYYYMMDD
[###(ProjectID)] ProjectName - Risk management</t>
  </si>
  <si>
    <r>
      <rPr>
        <rFont val="Arial"/>
        <color rgb="FF000000"/>
        <sz val="10.0"/>
      </rPr>
      <t xml:space="preserve">▸Must apply basic principles to protect against malware and crashes (e.g. against memory overflow or SQL Injection)
</t>
    </r>
    <r>
      <rPr>
        <rFont val="Arial"/>
        <i/>
        <color rgb="FF000000"/>
        <sz val="10.0"/>
      </rPr>
      <t>Some principles are:</t>
    </r>
    <r>
      <rPr>
        <rFont val="Arial"/>
        <color rgb="FF000000"/>
        <sz val="10.0"/>
      </rPr>
      <t xml:space="preserve">
- </t>
    </r>
    <r>
      <rPr>
        <rFont val="Arial"/>
        <b/>
        <color rgb="FF000000"/>
        <sz val="10.0"/>
      </rPr>
      <t xml:space="preserve">Validation and Sanitization: </t>
    </r>
    <r>
      <rPr>
        <rFont val="Arial"/>
        <color rgb="FF000000"/>
        <sz val="10.0"/>
      </rPr>
      <t xml:space="preserve">Validate and clean input data to ensure it does not contain malicious code that can attack or special characters that cause memory overflow.
- </t>
    </r>
    <r>
      <rPr>
        <rFont val="Arial"/>
        <b/>
        <color rgb="FF000000"/>
        <sz val="10.0"/>
      </rPr>
      <t xml:space="preserve">Parameterized Queries: </t>
    </r>
    <r>
      <rPr>
        <rFont val="Arial"/>
        <color rgb="FF000000"/>
        <sz val="10.0"/>
      </rPr>
      <t xml:space="preserve">Use digitized queries instead of using user-generated query commands.
- </t>
    </r>
    <r>
      <rPr>
        <rFont val="Arial"/>
        <b/>
        <color rgb="FF000000"/>
        <sz val="10.0"/>
      </rPr>
      <t xml:space="preserve">Input Validation: </t>
    </r>
    <r>
      <rPr>
        <rFont val="Arial"/>
        <color rgb="FF000000"/>
        <sz val="10.0"/>
      </rPr>
      <t xml:space="preserve">Check and validate all input data, ensuring format compliance and constraints.
- </t>
    </r>
    <r>
      <rPr>
        <rFont val="Arial"/>
        <b/>
        <color rgb="FF000000"/>
        <sz val="10.0"/>
      </rPr>
      <t xml:space="preserve">Least Privilege Principle: </t>
    </r>
    <r>
      <rPr>
        <rFont val="Arial"/>
        <color rgb="FF000000"/>
        <sz val="10.0"/>
      </rPr>
      <t xml:space="preserve">Ensures the principle of few rights to limit risks that may arise when the account/system is hacked.
- </t>
    </r>
    <r>
      <rPr>
        <rFont val="Arial"/>
        <b/>
        <color rgb="FF000000"/>
        <sz val="10.0"/>
      </rPr>
      <t xml:space="preserve">Security Headers: </t>
    </r>
    <r>
      <rPr>
        <rFont val="Arial"/>
        <color rgb="FF000000"/>
        <sz val="10.0"/>
      </rPr>
      <t xml:space="preserve">Use security headers such as Content Security Policy (CSP), X-Content-Type-Options, X-XSS-Protection, and X-Frame-Options to protect against XSS attacks 
- </t>
    </r>
    <r>
      <rPr>
        <rFont val="Arial"/>
        <b/>
        <color rgb="FF000000"/>
        <sz val="10.0"/>
      </rPr>
      <t xml:space="preserve">Firewall Protection: </t>
    </r>
    <r>
      <rPr>
        <rFont val="Arial"/>
        <color rgb="FF000000"/>
        <sz val="10.0"/>
      </rPr>
      <t>Always use Firewall to limit access.</t>
    </r>
  </si>
  <si>
    <t>22/09/2026</t>
  </si>
  <si>
    <r>
      <rPr>
        <rFont val="Arial"/>
        <b/>
        <color rgb="FF000000"/>
        <sz val="10.0"/>
      </rPr>
      <t xml:space="preserve">Khả năng chống tấn công với mã độc hoặc sự cố. 
</t>
    </r>
    <r>
      <rPr>
        <rFont val="Arial"/>
        <b val="0"/>
        <color rgb="FF000000"/>
        <sz val="10.0"/>
      </rPr>
      <t>(VD: chống tràn bộ nhớ, SQL injection)</t>
    </r>
  </si>
  <si>
    <t>The protection requirements of any confidential information (GDPR).</t>
  </si>
  <si>
    <t>Đáp ứng các yêu cầu bảo mật bất kỳ thông tin mật nào (GDPR).</t>
  </si>
  <si>
    <t xml:space="preserve">3. Implement Security Requirements </t>
  </si>
  <si>
    <t xml:space="preserve">3. Thực hiện các Yêu cầu bảo mật </t>
  </si>
  <si>
    <t>Protection of data while being processed, in transit and at rest</t>
  </si>
  <si>
    <r>
      <rPr>
        <rFont val="Arial"/>
        <color rgb="FF000000"/>
        <sz val="10.0"/>
      </rPr>
      <t xml:space="preserve">▸Phải áp dụng các nguyên tắc cơ bản để chống mã độc và sự cố (ví dụ chống tràn bộ nhớ hoặc SQL Injection)
</t>
    </r>
    <r>
      <rPr>
        <rFont val="Arial"/>
        <i/>
        <color rgb="FF000000"/>
        <sz val="10.0"/>
      </rPr>
      <t xml:space="preserve">Một số nguyên tắc như:
</t>
    </r>
    <r>
      <rPr>
        <rFont val="Arial"/>
        <color rgb="FF000000"/>
        <sz val="10.0"/>
      </rPr>
      <t xml:space="preserve">- </t>
    </r>
    <r>
      <rPr>
        <rFont val="Arial"/>
        <b/>
        <color rgb="FF000000"/>
        <sz val="10.0"/>
      </rPr>
      <t>Validation and Sanitization:</t>
    </r>
    <r>
      <rPr>
        <rFont val="Arial"/>
        <color rgb="FF000000"/>
        <sz val="10.0"/>
      </rPr>
      <t xml:space="preserve"> Xác thực và làm sạch dữ liệu input đảm bảo nó không chứa mã độc có khả năng tấn công hoặc ký tự đặc biệt gây tràn bộ nhớ.
- </t>
    </r>
    <r>
      <rPr>
        <rFont val="Arial"/>
        <b/>
        <color rgb="FF000000"/>
        <sz val="10.0"/>
      </rPr>
      <t>Parameterized Queries:</t>
    </r>
    <r>
      <rPr>
        <rFont val="Arial"/>
        <color rgb="FF000000"/>
        <sz val="10.0"/>
      </rPr>
      <t xml:space="preserve"> Sử dụng truy vấn số hoá thay vì sử dụng các lệnh truy vấn được tạo từ người dùng.
- </t>
    </r>
    <r>
      <rPr>
        <rFont val="Arial"/>
        <b/>
        <color rgb="FF000000"/>
        <sz val="10.0"/>
      </rPr>
      <t>Input Validation:</t>
    </r>
    <r>
      <rPr>
        <rFont val="Arial"/>
        <color rgb="FF000000"/>
        <sz val="10.0"/>
      </rPr>
      <t xml:space="preserve"> Kiểm tra và xác thực tất cả các dữ liệu input, đảm bảo tuân thủ định dạng và ràng buộc.
- </t>
    </r>
    <r>
      <rPr>
        <rFont val="Arial"/>
        <b/>
        <color rgb="FF000000"/>
        <sz val="10.0"/>
      </rPr>
      <t>Least Privilege Principle:</t>
    </r>
    <r>
      <rPr>
        <rFont val="Arial"/>
        <color rgb="FF000000"/>
        <sz val="10.0"/>
      </rPr>
      <t xml:space="preserve"> Đảm bảo nguyên tắc ít quyền để hạn các rủi ro có khả năng phát sinh khi tài khoản/hệ thống bị chiếm đoạt.
- </t>
    </r>
    <r>
      <rPr>
        <rFont val="Arial"/>
        <b/>
        <color rgb="FF000000"/>
        <sz val="10.0"/>
      </rPr>
      <t>Security Headers:</t>
    </r>
    <r>
      <rPr>
        <rFont val="Arial"/>
        <color rgb="FF000000"/>
        <sz val="10.0"/>
      </rPr>
      <t xml:space="preserve"> Sử dụng các tiêu đề bảo mật như Content Security Policy (CSP), X-Content-Type-Options, X-XSS-Protection, và X-Frame-Options để bảo vệ tấn công XSS 
- </t>
    </r>
    <r>
      <rPr>
        <rFont val="Arial"/>
        <b/>
        <color rgb="FF000000"/>
        <sz val="10.0"/>
      </rPr>
      <t>Firewall Protection:</t>
    </r>
    <r>
      <rPr>
        <rFont val="Arial"/>
        <color rgb="FF000000"/>
        <sz val="10.0"/>
      </rPr>
      <t xml:space="preserve"> Luôn sử dụng Firewall để giới hạn quyền truy cập.</t>
    </r>
  </si>
  <si>
    <t>Bảo mật dữ liệu trong quá trình xử lý, truyền tải, hoặc lưu trữ.</t>
  </si>
  <si>
    <t>Kickoff</t>
  </si>
  <si>
    <t>Legal, statutory and regulatory requirements in the jurisdiction where the transaction is generated, processed, completed or stored.</t>
  </si>
  <si>
    <t>Need to securely encrypt communications between all involved parties;</t>
  </si>
  <si>
    <t>Đảm bảo mã hoá an toàn khi thực hiện giao tiếp giữa các bên.</t>
  </si>
  <si>
    <r>
      <rPr>
        <rFont val="Arial"/>
        <color rgb="FF000000"/>
        <sz val="10.0"/>
      </rPr>
      <t xml:space="preserve">▸When developing or distributing transactions or storage, it is necessary to investigate and learn about the legal standards of that place. 
</t>
    </r>
    <r>
      <rPr>
        <rFont val="Arial"/>
        <i/>
        <color rgb="FF000000"/>
        <sz val="10.0"/>
      </rPr>
      <t>For example: Regarding applications related to betting, bidding, etc., each locality and country has its own regulations that must be complied with regarding data protection, privacy, information security, and any other legal requirements relating to the processing of information.</t>
    </r>
    <r>
      <rPr>
        <rFont val="Arial"/>
        <color rgb="FF000000"/>
        <sz val="10.0"/>
      </rPr>
      <t xml:space="preserve">
▸It is necessary to develop clear terms and policies for each locality, which can be combined with local legal experts to ensure the application always complies with each locality's regulations.</t>
    </r>
  </si>
  <si>
    <t>Xác định các hành động cụ thể và cách thức kiểm soát tương ứng để đáp ứng các Yêu cầu bảo mật</t>
  </si>
  <si>
    <t>Input controls, including integrity checks and input validation</t>
  </si>
  <si>
    <t>Kiểm soát dữ liệu đầu vào, tuân thủ tính toàn vẹn và xác thực.</t>
  </si>
  <si>
    <r>
      <rPr>
        <rFont val="Arial"/>
        <color rgb="FF000000"/>
        <sz val="10.0"/>
      </rPr>
      <t xml:space="preserve">▸Khi phát triển, phân phối có phát sinh giao dịch, lưu trữ cần phải điều tra, tìm hiểu về tiêu chuẩn pháp lý của nơi đó 
</t>
    </r>
    <r>
      <rPr>
        <rFont val="Arial"/>
        <i/>
        <color rgb="FF000000"/>
        <sz val="10.0"/>
      </rPr>
      <t xml:space="preserve">Ví dụ: Về các ứng dụng liên quan đến cá cược, đấu thầu, ... ở mỗi địa phương, quốc gia khác nhau có những quy định riêng bắt buộc phải chấp hành về quy định bảo vệ dữ liệu, quyền riêng tư, bảo mật thông tin, và bất kỳ yêu cầu pháp lý nào khác liên quan đến việc xử lý thông tin.
</t>
    </r>
    <r>
      <rPr>
        <rFont val="Arial"/>
        <color rgb="FF000000"/>
        <sz val="10.0"/>
      </rPr>
      <t>▸Cần xây dựng điều khoản, chính sách rõ ràng cho từng địa phương có thể kết hợp với các chuyên gia về pháp lý của địa phương đó đảm bảo ứng dụng luôn tuân thủ các quy định của từng địa phương.</t>
    </r>
  </si>
  <si>
    <t>Team leader</t>
  </si>
  <si>
    <t>Automated controls 
(e.g: approval limits or dual approvals)</t>
  </si>
  <si>
    <t>Need for privacy associated with all parties involved.</t>
  </si>
  <si>
    <t>Kiểm soát tự động (giới hạn phê duyệt hoặc phê duyệt kép).</t>
  </si>
  <si>
    <r>
      <rPr>
        <rFont val="Arial"/>
        <color rgb="FF000000"/>
        <sz val="10.0"/>
      </rPr>
      <t xml:space="preserve">▸Ensure data collection is only done when necessary and is clearly notified to users, avoiding collecting data unrelated to the intended use.
</t>
    </r>
    <r>
      <rPr>
        <rFont val="Arial"/>
        <i/>
        <color rgb="FF000000"/>
        <sz val="10.0"/>
      </rPr>
      <t>For example: A typical photo editing application requires users to enter correct address information.</t>
    </r>
    <r>
      <rPr>
        <rFont val="Arial"/>
        <color rgb="FF000000"/>
        <sz val="10.0"/>
      </rPr>
      <t xml:space="preserve">
▸Implement measures to prevent user data from loss and misuse.
▸Ensure the application is compliant with user privacy including providing options for users to control their personal data being collected.
▸Develop and publish a detailed privacy statement that describes how the application collects, uses and protects.
</t>
    </r>
    <r>
      <rPr>
        <rFont val="Arial"/>
        <i/>
        <color rgb="FF000000"/>
        <sz val="10.0"/>
      </rPr>
      <t xml:space="preserve">For example: There must be a complete and clear privacy-policy link.
</t>
    </r>
    <r>
      <rPr>
        <rFont val="Arial"/>
        <color rgb="FF000000"/>
        <sz val="10.0"/>
      </rPr>
      <t xml:space="preserve">
▸Provide clear notice about data collection and request user consent before collecting or sharing with third parties.
</t>
    </r>
    <r>
      <rPr>
        <rFont val="Arial"/>
        <i/>
        <color rgb="FF000000"/>
        <sz val="10.0"/>
      </rPr>
      <t>For example: Need to display a popup asking for user consent before collecting.</t>
    </r>
  </si>
  <si>
    <t>Output controls, also considering who can access outputs and its authorization</t>
  </si>
  <si>
    <t>Xác nhận, kiểm soát đầu ra.</t>
  </si>
  <si>
    <r>
      <rPr/>
      <t xml:space="preserve">1. From the Security Requirements agreed upon at the time of Bidding, build specific content for each Security Requirement: specific action, PIC side to perform action, team to perform action...
Refer to recommendation solutions to ensure each Security Requirement in </t>
    </r>
    <r>
      <rPr>
        <color rgb="FF1155CC"/>
        <u/>
      </rPr>
      <t>Security Requirement (Recommendation)</t>
    </r>
  </si>
  <si>
    <r>
      <rPr>
        <rFont val="Arial"/>
        <color rgb="FF000000"/>
        <sz val="10.0"/>
      </rPr>
      <t xml:space="preserve">▸Đảm bảo việc thu thập dữ liệu chỉ được thực hiện khi cần thiết và được thông báo rõ ràng cho người dùng, tránh thu thập dữ liệu không liên quan đến mục đích sử dụng
</t>
    </r>
    <r>
      <rPr>
        <rFont val="Arial"/>
        <i/>
        <color rgb="FF000000"/>
        <sz val="10.0"/>
      </rPr>
      <t xml:space="preserve">Ví dụ: Một ứng dụng chỉnh sửa ảnh thông thường yêu cầu người dùng phải nhập địa chỉ thông tin chính xác.
</t>
    </r>
    <r>
      <rPr>
        <rFont val="Arial"/>
        <color rgb="FF000000"/>
        <sz val="10.0"/>
      </rPr>
      <t xml:space="preserve">▸Thực hiện các biện pháp phòng tránh dữ liệu người dùng khỏi sự mất mát, lạm dụng.
▸Đảm bảo ứng dụng tuân thủ về quyền riêng tư của người dùng bao gồm cung cấp các tuỳ chọn để người dùng kiểm soát dữ liệu cá nhân của họ đã bị thu thập.
▸Phát triển và công bố quyền riêng tư một cách chi tiết mô tả cách ứng dụng thu thập, sử dụng và bảo vệ.
</t>
    </r>
    <r>
      <rPr>
        <rFont val="Arial"/>
        <i/>
        <color rgb="FF000000"/>
        <sz val="10.0"/>
      </rPr>
      <t xml:space="preserve">Ví dụ: Phải có link privacy-policy đầy đủ, rõ ràng.
</t>
    </r>
    <r>
      <rPr>
        <rFont val="Arial"/>
        <color rgb="FF000000"/>
        <sz val="10.0"/>
      </rPr>
      <t xml:space="preserve">▸Cung cấp thông báo một cách rõ ràng về việc thu thập dữ liệu và yêu cầu sự đồng ý của người dùng trước khi thu thập hoặc chia sẻ với bên thứ 3.
</t>
    </r>
    <r>
      <rPr>
        <rFont val="Arial"/>
        <i/>
        <color rgb="FF000000"/>
        <sz val="10.0"/>
      </rPr>
      <t>Ví dụ: Cần hiển thị popup xin sự đồng ý của người dùng trước khi thu thập.</t>
    </r>
  </si>
  <si>
    <t>Restrictions around content of "free-text" fields, as these can lead to uncontrolled storage of confidential data 
(e.g: personal data)</t>
  </si>
  <si>
    <t>Hạn chế và kiểm soát dữ liệu với các trường văn bản tự do, vì có thể lưu trữ các dữ liệu nhạy cảm của người dùng.</t>
  </si>
  <si>
    <t>Requirements derived from the business process, such as transaction logging and monitoring, nonrepudiation requirements</t>
  </si>
  <si>
    <t>Có cơ chế hỗ trợ, kiểm soát trong quy trình kinh doanh như ghi nhật ký giao dịch, giám sát các lỗi xảy ra.</t>
  </si>
  <si>
    <r>
      <rPr>
        <rFont val="Arial"/>
        <i val="0"/>
        <color rgb="FF000000"/>
        <sz val="10.0"/>
      </rPr>
      <t>▸When developing applications that collect user information or use advertising platforms in the EU and UK, it is necessary to provide a form (CMP certification - Content Management Platform) asking for user consent.</t>
    </r>
    <r>
      <rPr>
        <rFont val="Arial"/>
        <i/>
        <color rgb="FF000000"/>
        <sz val="10.0"/>
      </rPr>
      <t xml:space="preserve">
</t>
    </r>
    <r>
      <rPr>
        <rFont val="Arial"/>
        <b/>
        <i val="0"/>
        <color rgb="FF000000"/>
        <sz val="10.0"/>
      </rPr>
      <t>GDPR needs to meet:</t>
    </r>
    <r>
      <rPr>
        <rFont val="Arial"/>
        <i/>
        <color rgb="FF000000"/>
        <sz val="10.0"/>
      </rPr>
      <t xml:space="preserve">
</t>
    </r>
    <r>
      <rPr>
        <rFont val="Arial"/>
        <i val="0"/>
        <color rgb="FF000000"/>
        <sz val="10.0"/>
      </rPr>
      <t>- Must explain to users how the app uses their personal data if they allow the app to collect such data on the website/app.</t>
    </r>
    <r>
      <rPr>
        <rFont val="Arial"/>
        <i/>
        <color rgb="FF000000"/>
        <sz val="10.0"/>
      </rPr>
      <t xml:space="preserve">
For example, do users know that their personal data will be used to personalize in-app content or advertising?
</t>
    </r>
    <r>
      <rPr>
        <rFont val="Arial"/>
        <i val="0"/>
        <color rgb="FF000000"/>
        <sz val="10.0"/>
      </rPr>
      <t>- Check that the website/app displays a consent notice for users in European Economic Area countries when they access the website/app.</t>
    </r>
    <r>
      <rPr>
        <rFont val="Arial"/>
        <i/>
        <color rgb="FF000000"/>
        <sz val="10.0"/>
      </rPr>
      <t xml:space="preserve">
</t>
    </r>
    <r>
      <rPr>
        <rFont val="Arial"/>
        <i val="0"/>
        <color rgb="FF000000"/>
        <sz val="10.0"/>
      </rPr>
      <t>- Users must be provided with a way to confirm consent.</t>
    </r>
    <r>
      <rPr>
        <rFont val="Arial"/>
        <i/>
        <color rgb="FF000000"/>
        <sz val="10.0"/>
      </rPr>
      <t xml:space="preserve">
For example, click the "OK" button or the "I agree" button
</t>
    </r>
    <r>
      <rPr>
        <rFont val="Arial"/>
        <i val="0"/>
        <color rgb="FF000000"/>
        <sz val="10.0"/>
      </rPr>
      <t>- Disclose to users which third parties have access to user data you collect on your site/app (including Google).</t>
    </r>
    <r>
      <rPr>
        <rFont val="Arial"/>
        <i/>
        <color rgb="FF000000"/>
        <sz val="10.0"/>
      </rPr>
      <t xml:space="preserve">
</t>
    </r>
    <r>
      <rPr>
        <rFont val="Arial"/>
        <i val="0"/>
        <color rgb="FF000000"/>
        <sz val="10.0"/>
      </rPr>
      <t>- Inform users about how the app uses their personal data when they provide consent on the website/app. Including how other parties will use the data (Google Analytics, Google Ads, ...).</t>
    </r>
    <r>
      <rPr>
        <rFont val="Arial"/>
        <i/>
        <color rgb="FF000000"/>
        <sz val="10.0"/>
      </rPr>
      <t xml:space="preserve">
For example: By providing a link to your Website regarding corporate data responsibility.
</t>
    </r>
    <r>
      <rPr>
        <rFont val="Arial"/>
        <i val="0"/>
        <color rgb="FF000000"/>
        <sz val="10.0"/>
      </rPr>
      <t xml:space="preserve">- In the absence of GDPR consent, it is necessary to check whether the user allows the use of cookies and other local storage (such as mobile device identifiers) where required by law. </t>
    </r>
    <r>
      <rPr>
        <rFont val="Arial"/>
        <i/>
        <color rgb="FF000000"/>
        <sz val="10.0"/>
      </rPr>
      <t xml:space="preserve">
</t>
    </r>
    <r>
      <rPr>
        <rFont val="Arial"/>
        <b/>
        <i val="0"/>
        <color rgb="FF000000"/>
        <sz val="10.0"/>
      </rPr>
      <t xml:space="preserve">Some information needs to be kept confidential according to GDPR: </t>
    </r>
    <r>
      <rPr>
        <rFont val="Arial"/>
        <i val="0"/>
        <color rgb="FF000000"/>
        <sz val="10.0"/>
      </rPr>
      <t xml:space="preserve">
- Name.
- Email address.
- Home address.
- Phone number.
- ID card number, CCCD.
- IP address.
- Location data.
- Medical information.
- Image.
- Fingerprints.</t>
    </r>
    <r>
      <rPr>
        <rFont val="Arial"/>
        <i/>
        <color rgb="FF000000"/>
        <sz val="10.0"/>
      </rPr>
      <t xml:space="preserve">
</t>
    </r>
    <r>
      <rPr>
        <rFont val="Arial"/>
        <b/>
        <i val="0"/>
        <color rgb="FF000000"/>
        <sz val="10.0"/>
      </rPr>
      <t>Ensure information needs to be secured and encrypted in an unreadable form, decrypted only by people with appropriate authority.</t>
    </r>
  </si>
  <si>
    <t>Requirements mandated by other security controls 
(e.g: interfaces to logging and monitoring or data leakage detection systems)</t>
  </si>
  <si>
    <t>Đáp ứng các yêu cầu bắt buộc bởi biện pháp kiểm soát bảo mật khác (như hệ thống lưu log, monitoring, phát hiện rò rỉ dữ liệu).</t>
  </si>
  <si>
    <r>
      <rPr>
        <color rgb="FF000000"/>
      </rPr>
      <t xml:space="preserve">1. Từ các Yêu cầu bảo mật đã được thống nhất từ lúc Bidding, xây dựng các nội dung cụ thể cho từng Yêu cầu bảo mật: action cụ thể, phía PIC thực hiện action, đội thực hiện action ...
Tham khảo các solution gợi ý có thể thực hiện để đảm bảo từng Yêu cầu bảo mật tại </t>
    </r>
    <r>
      <rPr>
        <color rgb="FF1155CC"/>
        <u/>
      </rPr>
      <t>Security Requirement (Recommendation)</t>
    </r>
  </si>
  <si>
    <t>Error message handling</t>
  </si>
  <si>
    <t>Xử lý thông điệp lỗi.</t>
  </si>
  <si>
    <t>[Draft-ISO] [###(ProjectID)] ProjectName - Security Requirement Management (for Development)</t>
  </si>
  <si>
    <t>...</t>
  </si>
  <si>
    <r>
      <rPr>
        <rFont val="Arial"/>
        <i val="0"/>
        <color rgb="FF000000"/>
        <sz val="10.0"/>
      </rPr>
      <t>▸ Khi phát triển ứng dụng có thu thập thông tin người dùng hoặc sử dụng nền tảng quảng cáo tại EU và Vương Quốc Anh cần cung cấp biểu mẫu (CMP chứng nhận - Content Management Platform) xin sự đồng ý của người dùng.</t>
    </r>
    <r>
      <rPr>
        <rFont val="Arial"/>
        <i/>
        <color rgb="FF000000"/>
        <sz val="10.0"/>
      </rPr>
      <t xml:space="preserve">
</t>
    </r>
    <r>
      <rPr>
        <rFont val="Arial"/>
        <b/>
        <i val="0"/>
        <color rgb="FF000000"/>
        <sz val="10.0"/>
      </rPr>
      <t>GDPR cần đáp ứng:</t>
    </r>
    <r>
      <rPr>
        <rFont val="Arial"/>
        <i val="0"/>
        <color rgb="FF000000"/>
        <sz val="10.0"/>
      </rPr>
      <t xml:space="preserve">
</t>
    </r>
    <r>
      <rPr>
        <rFont val="Arial"/>
        <i/>
        <color rgb="FF000000"/>
        <sz val="10.0"/>
      </rPr>
      <t xml:space="preserve">- </t>
    </r>
    <r>
      <rPr>
        <rFont val="Arial"/>
        <i val="0"/>
        <color rgb="FF000000"/>
        <sz val="10.0"/>
      </rPr>
      <t xml:space="preserve">Phải giải thích cho người dùng cách ứng dụng sử dụng dữ liệu cá nhân của họ nếu họ cho phép ứng dụng thu thập những dữ liệu đó trên trang web/ứng dụng.
</t>
    </r>
    <r>
      <rPr>
        <rFont val="Arial"/>
        <i/>
        <color rgb="FF000000"/>
        <sz val="10.0"/>
      </rPr>
      <t xml:space="preserve">Ví dụ: người dùng có biết rằng dữ liệu cá nhân của họ sẽ được dùng để cá nhân hoá nội dung trong ứng dụng hoặc quảng cáo không?
- </t>
    </r>
    <r>
      <rPr>
        <rFont val="Arial"/>
        <i val="0"/>
        <color rgb="FF000000"/>
        <sz val="10.0"/>
      </rPr>
      <t xml:space="preserve">Kiểm tra để đảm bảo trang web/ứng dụng có hiện thông báo yêu cầu sự đồng ý đối với người dùng tại các quốc gia thuộc Khu vực kinh tế Châu Âu khi họ truy cập vào trang web/ứng dụng.
</t>
    </r>
    <r>
      <rPr>
        <rFont val="Arial"/>
        <i/>
        <color rgb="FF000000"/>
        <sz val="10.0"/>
      </rPr>
      <t xml:space="preserve">- </t>
    </r>
    <r>
      <rPr>
        <rFont val="Arial"/>
        <i val="0"/>
        <color rgb="FF000000"/>
        <sz val="10.0"/>
      </rPr>
      <t xml:space="preserve">Người dùng phải được cung cấp một cách để xác nhận sự đồng ý.
</t>
    </r>
    <r>
      <rPr>
        <rFont val="Arial"/>
        <i/>
        <color rgb="FF000000"/>
        <sz val="10.0"/>
      </rPr>
      <t xml:space="preserve">Ví dụ: nhấp vào nút "OK" hoặc nút "Tôi đồng ý"
</t>
    </r>
    <r>
      <rPr>
        <rFont val="Arial"/>
        <i val="0"/>
        <color rgb="FF000000"/>
        <sz val="10.0"/>
      </rPr>
      <t xml:space="preserve">- Công bố cho người dùng về những bên thứ ba có quyền truy cập vào dữ liệu người dùng mà bạn thu thập trên trang web/ứng dụng của mình (bao gồm cả Google).
- Thông báo cho người dùng về cách ứng dụng sử dụng dữ liệu cá nhân của họ khi họ đưa ra sự đồng ý trên trang web/ứng dụng. Bao gồm cả các bên khác sẽ sử dụng dữ liệu như thế nào (Google Analytics, Google Ads, ...).
</t>
    </r>
    <r>
      <rPr>
        <rFont val="Arial"/>
        <i/>
        <color rgb="FF000000"/>
        <sz val="10.0"/>
      </rPr>
      <t xml:space="preserve">Ví dụ: Bằng cách cung cấp một đường liên kết đến Trang web của bạn về trách nhiệm đối với dữ liệu doanh nghiệp.
</t>
    </r>
    <r>
      <rPr>
        <rFont val="Arial"/>
        <i val="0"/>
        <color rgb="FF000000"/>
        <sz val="10.0"/>
      </rPr>
      <t xml:space="preserve">- Trong trường hợp không có được sự đồng ý về GDPR cần phải kiểm tra xem người dùng có cho phép sử dụng cookie và những bộ nhớ cục bộ khác (nhưgiá trị nhận dạng thiết bị di động) trong trường hợp pháp luật yêu cầu. 
</t>
    </r>
    <r>
      <rPr>
        <rFont val="Arial"/>
        <b/>
        <i val="0"/>
        <color rgb="FF000000"/>
        <sz val="10.0"/>
      </rPr>
      <t xml:space="preserve">Một số thông tin cần bảo mật theo GDPR: 
</t>
    </r>
    <r>
      <rPr>
        <rFont val="Arial"/>
        <i val="0"/>
        <color rgb="FF000000"/>
        <sz val="10.0"/>
      </rPr>
      <t xml:space="preserve">- Tên.
- Địa chỉ mail.
- Địa chỉ nhà.
- Số điện thoại.
- Số CMND, CCCD.
- Địa chỉ IP.
- Dữ liệu về vị trí.
- Thông tin y tế.
- Hình ảnh.
- Dấu vân tay.
</t>
    </r>
    <r>
      <rPr>
        <rFont val="Arial"/>
        <b/>
        <i val="0"/>
        <color rgb="FF000000"/>
        <sz val="10.0"/>
      </rPr>
      <t>Đảm bảo thông tin cần được bảo mật và mã hoá dưới dạng không thể đọc được, chỉ được giải mã bởi những người có quyền hạn phù hợp.</t>
    </r>
  </si>
  <si>
    <t>Protection of data while being processed, in transit and at rest.</t>
  </si>
  <si>
    <r>
      <rPr>
        <rFont val="Arial"/>
        <b/>
        <color rgb="FF000000"/>
        <sz val="10.0"/>
      </rPr>
      <t xml:space="preserve">During processing: </t>
    </r>
    <r>
      <rPr>
        <rFont val="Arial"/>
        <color rgb="FF000000"/>
        <sz val="10.0"/>
      </rPr>
      <t xml:space="preserve">
- Implement data access control.
</t>
    </r>
    <r>
      <rPr>
        <rFont val="Arial"/>
        <i/>
        <color rgb="FF000000"/>
        <sz val="10.0"/>
      </rPr>
      <t xml:space="preserve">For example: The application needs to be clearly divided into roles according to each level and be able to access different types of data.
- </t>
    </r>
    <r>
      <rPr>
        <rFont val="Arial"/>
        <color rgb="FF000000"/>
        <sz val="10.0"/>
      </rPr>
      <t xml:space="preserve">Limit storing sensitive information in temporary memory.
- Do not display all information, especially sensitive information, on the display screen and need appropriate time to display data.
</t>
    </r>
    <r>
      <rPr>
        <rFont val="Arial"/>
        <i/>
        <color rgb="FF000000"/>
        <sz val="10.0"/>
      </rPr>
      <t>For example: Bank account information, passwords, etc. are displayed in incognito mode by default.</t>
    </r>
    <r>
      <rPr>
        <rFont val="Arial"/>
        <color rgb="FF000000"/>
        <sz val="10.0"/>
      </rPr>
      <t xml:space="preserve">
</t>
    </r>
    <r>
      <rPr>
        <rFont val="Arial"/>
        <b/>
        <color rgb="FF000000"/>
        <sz val="10.0"/>
      </rPr>
      <t>Transmission:</t>
    </r>
    <r>
      <rPr>
        <rFont val="Arial"/>
        <color rgb="FF000000"/>
        <sz val="10.0"/>
      </rPr>
      <t xml:space="preserve"> (Data should always be encrypted when transmitted over any external or internal network)
- Always use HTTPS, SSL/TLS with recommended versions. </t>
    </r>
    <r>
      <rPr>
        <rFont val="Arial"/>
        <i/>
        <color rgb="FF000000"/>
        <sz val="10.0"/>
      </rPr>
      <t>(TLS 1.2 or higher)</t>
    </r>
    <r>
      <rPr>
        <rFont val="Arial"/>
        <color rgb="FF000000"/>
        <sz val="10.0"/>
      </rPr>
      <t xml:space="preserve">
- Data with limited access rights and access locations requires the use of VPN.
</t>
    </r>
    <r>
      <rPr>
        <rFont val="Arial"/>
        <b/>
        <color rgb="FF000000"/>
        <sz val="10.0"/>
      </rPr>
      <t xml:space="preserve">Storage: </t>
    </r>
    <r>
      <rPr>
        <rFont val="Arial"/>
        <color rgb="FF000000"/>
        <sz val="10.0"/>
      </rPr>
      <t xml:space="preserve">(Data is only as secure as the infrastructure that supports it)
- When data is in storage state, it is necessary to promptly update patches for servers, network hardware, operating systems or software related to data storage.
- There are warning mechanisms when there are signs of access to stored data. </t>
    </r>
  </si>
  <si>
    <r>
      <rPr>
        <rFont val="Arial"/>
        <b/>
        <color rgb="FF000000"/>
        <sz val="10.0"/>
      </rPr>
      <t xml:space="preserve">Trong quá trình xử lý: 
</t>
    </r>
    <r>
      <rPr>
        <rFont val="Arial"/>
        <color rgb="FF000000"/>
        <sz val="10.0"/>
      </rPr>
      <t xml:space="preserve">- Thực hiện kiểm soát quyền truy cập dữ liệu.
</t>
    </r>
    <r>
      <rPr>
        <rFont val="Arial"/>
        <i/>
        <color rgb="FF000000"/>
        <sz val="10.0"/>
      </rPr>
      <t xml:space="preserve">Ví dụ: Ứng dụng cần được phia chia role rõ ràng theo từng cấp bậc và có thể truy cập vào các loại dữ liệu khác nhau.
</t>
    </r>
    <r>
      <rPr>
        <rFont val="Arial"/>
        <color rgb="FF000000"/>
        <sz val="10.0"/>
      </rPr>
      <t xml:space="preserve">- Hạn chế lưu trữ thông tin nhạy cảm vào bộ nhớ tạm.
- Không hiển thị toàn bộ thông tin, đặc biệt các thông tin nhạy cảm ra màn hình hiển thị và cần có thời gian hiển thị dữ liệu phù hợp.
</t>
    </r>
    <r>
      <rPr>
        <rFont val="Arial"/>
        <i/>
        <color rgb="FF000000"/>
        <sz val="10.0"/>
      </rPr>
      <t xml:space="preserve">Ví dụ: Thông tin tài khoản ngân hàng, mật khẩu, ... mặc định hiển thị chế độ ẩn danh.
</t>
    </r>
    <r>
      <rPr>
        <rFont val="Arial"/>
        <b/>
        <color rgb="FF000000"/>
        <sz val="10.0"/>
      </rPr>
      <t>Truyền tải: (</t>
    </r>
    <r>
      <rPr>
        <rFont val="Arial"/>
        <color rgb="FF000000"/>
        <sz val="10.0"/>
      </rPr>
      <t>Dữ liệu luôn cần được mã hóa khi truyền qua bất kỳ mạng bên ngoài hay nội bộ)
- Luôn sử dụng HTTPS, SSL/TLS với các phiên bản được khuyến cáo. (</t>
    </r>
    <r>
      <rPr>
        <rFont val="Arial"/>
        <i/>
        <color rgb="FF000000"/>
        <sz val="10.0"/>
      </rPr>
      <t>TLS từ 1.2 trở lên</t>
    </r>
    <r>
      <rPr>
        <rFont val="Arial"/>
        <color rgb="FF000000"/>
        <sz val="10.0"/>
      </rPr>
      <t xml:space="preserve">)
- Các dữ liệu hạn chế quyền truy, vị trí truy cập cần sử dụng VPN.
</t>
    </r>
    <r>
      <rPr>
        <rFont val="Arial"/>
        <b/>
        <color rgb="FF000000"/>
        <sz val="10.0"/>
      </rPr>
      <t xml:space="preserve">Lưu trữ: (Dữ liệu chỉ an toàn khi cơ sở hạ tầng hỗ trợ nó)
</t>
    </r>
    <r>
      <rPr>
        <rFont val="Arial"/>
        <color rgb="FF000000"/>
        <sz val="10.0"/>
      </rPr>
      <t xml:space="preserve">- Khi dữ liệu ở trạng thái lưu trữ, cần thực hiện các cập nhật các bản vá lỗi kịp thời cho máy chủ, phần cứng mạng, hệ điều hành hoặc các phần mềm liên quan đến lưu trữ dữ liệu.
- Có các cơ chế cảnh báo khi có dấu hiệu truy cập đến dữ liệu lưu trữ. </t>
    </r>
  </si>
  <si>
    <t>Need to securely encrypt communications between all involved parties.</t>
  </si>
  <si>
    <r>
      <rPr>
        <rFont val="Arial"/>
        <color rgb="FF000000"/>
        <sz val="10.0"/>
      </rPr>
      <t xml:space="preserve">▸For sensitive data when communicating between parties or going to unsafe or unverified locations, you need to:
- Apply item Transmission (requirement 8)
- Perform encryption/decryption when communicating </t>
    </r>
    <r>
      <rPr>
        <rFont val="Arial"/>
        <i/>
        <color rgb="FF000000"/>
        <sz val="10.0"/>
      </rPr>
      <t>(For example, using symmetric and asymmetric algorithms for encryption)</t>
    </r>
  </si>
  <si>
    <t>2. Chuẩn bị các tài liệu training về mặt knowledge để đảm bảo sự thống nhất trong việc thực hiện các Yêu cầu bảo mật của dự án (nếu cần)</t>
  </si>
  <si>
    <t>Sharing</t>
  </si>
  <si>
    <r>
      <rPr>
        <rFont val="Arial"/>
        <color rgb="FF000000"/>
        <sz val="10.0"/>
      </rPr>
      <t xml:space="preserve">▸Với các dữ liệu nhạy cảm khi giao tiếp giữa các bên hoặc đến nơi không an toàn, không xác minh an toàn cần:
- Áp dụng theo mục Truyền tải (Yêu cầu 8)
- Thực hiện mã hóa/giải mã khi giao tiếp </t>
    </r>
    <r>
      <rPr>
        <rFont val="Arial"/>
        <i/>
        <color rgb="FF000000"/>
        <sz val="10.0"/>
      </rPr>
      <t>(Ví dụ sử dụng các thuật toán đối xứng, bất đối xứng để mã hóa)</t>
    </r>
  </si>
  <si>
    <t>Input controls, including integrity checks and input validation.</t>
  </si>
  <si>
    <t>- Comply with principle (requirement 4).
- Only receive and process input from trusted sources.</t>
  </si>
  <si>
    <t>- Tuân thủ nguyên tắc (Yêu cầu 4).
- Chỉ nhận và xử lý đầu vào từ các nguồn tin cậy.</t>
  </si>
  <si>
    <t>1. Cập nhật các task thực hiện các Action của Yêu cầu bảo mật vào Master Schedule của dự án (tạo ticket để xử lý tương ứng với từng Action)</t>
  </si>
  <si>
    <t>Task Management tool</t>
  </si>
  <si>
    <r>
      <rPr>
        <rFont val="Arial"/>
        <b/>
        <color rgb="FF000000"/>
        <sz val="10.0"/>
      </rPr>
      <t xml:space="preserve">Automated controls 
</t>
    </r>
    <r>
      <rPr>
        <rFont val="Arial"/>
        <b val="0"/>
        <color rgb="FF000000"/>
        <sz val="10.0"/>
      </rPr>
      <t>(e.g: approval limits or dual approvals)</t>
    </r>
  </si>
  <si>
    <t>2. Implement training on the content of Security Requirements with the entire team
(Can be combined in Kick off meeting or organized into separate sharing time)</t>
  </si>
  <si>
    <r>
      <rPr>
        <rFont val="Arial"/>
        <color rgb="FF000000"/>
        <sz val="10.0"/>
      </rPr>
      <t xml:space="preserve">▸It is necessary to apply automatic controls to help security measures be established automatically, minimizing the risk of security vulnerabilities occurring.
</t>
    </r>
    <r>
      <rPr>
        <rFont val="Arial"/>
        <i/>
        <color rgb="FF000000"/>
        <sz val="10.0"/>
      </rPr>
      <t>For example: 
+ Detect and notify unusual activities on the network.
+ Automatic account locking mechanism after a number of failed login attempts.</t>
    </r>
    <r>
      <rPr>
        <rFont val="Arial"/>
        <color rgb="FF000000"/>
        <sz val="10.0"/>
      </rPr>
      <t xml:space="preserve">
▸With sensitive data, data requiring high security, the principle of double approval should be applied (There is minimum consent/approval by 2 independent parties before taking action) to increase transparency. transparency, accuracy and reliability.</t>
    </r>
  </si>
  <si>
    <t>2. Triển khai các buổi training về nội dung các Yêu cầu bảo mật với toàn bộ team
(Có thể kết hợp trong buổi Kick off hoặc tổ chức thành các buổi sharing riêng)</t>
  </si>
  <si>
    <t>Kick off
Sharing</t>
  </si>
  <si>
    <r>
      <rPr>
        <rFont val="Arial"/>
        <b/>
        <color rgb="FF000000"/>
        <sz val="10.0"/>
      </rPr>
      <t xml:space="preserve">Kiểm soát tự động 
</t>
    </r>
    <r>
      <rPr>
        <rFont val="Arial"/>
        <b val="0"/>
        <color rgb="FF000000"/>
        <sz val="10.0"/>
      </rPr>
      <t>(VD: giới hạn phê duyệt hoặc phê duyệt kép)</t>
    </r>
  </si>
  <si>
    <t>Running</t>
  </si>
  <si>
    <r>
      <rPr>
        <rFont val="Arial"/>
        <color rgb="FF000000"/>
        <sz val="10.0"/>
      </rPr>
      <t xml:space="preserve">▸Cần áp dụng các kiểm soát tự động giúp biện pháp bảo mật được thiết lập tự động, giảm thiểu rủi ro khi xuất hiện lỗ hổng bảo mật.
</t>
    </r>
    <r>
      <rPr>
        <rFont val="Arial"/>
        <i/>
        <color rgb="FF000000"/>
        <sz val="10.0"/>
      </rPr>
      <t xml:space="preserve">Ví dụ: 
+ Phát hiện thông báo các hoạt động không bình thường trên mạng.
+ Cơ chế tự động khóa tài khoản sau một số lần đăng nhập thất bại.
</t>
    </r>
    <r>
      <rPr>
        <rFont val="Arial"/>
        <color rgb="FF000000"/>
        <sz val="10.0"/>
      </rPr>
      <t>▸Với các dữ liệu nhạy cảm, các dữ liệu yêu cầu bảo mật cao cần áp dụng nguyên tắc phê duyệt kép (Có sự đồng ý/phê duyệt tối thiểu bởi 2 bên độc lập trước khi có hành động) làm tăng cường tính minh bạch, độ chính xác và đáng tin cậy.</t>
    </r>
  </si>
  <si>
    <t>Output controls, also considering who can access outputs and its authorization.</t>
  </si>
  <si>
    <t>Tracking tiến độ việc thực hiện các Yêu cầu bảo mật</t>
  </si>
  <si>
    <r>
      <rPr>
        <rFont val="Arial"/>
        <color rgb="FF000000"/>
        <sz val="10.0"/>
      </rPr>
      <t xml:space="preserve">▸Data needs to be displayed to appropriate users, with confidential data needing to be displayed in hidden or encrypted form.
</t>
    </r>
    <r>
      <rPr>
        <rFont val="Arial"/>
        <i/>
        <color rgb="FF000000"/>
        <sz val="10.0"/>
      </rPr>
      <t>For example: Account balance, password, medical condition, ...</t>
    </r>
    <r>
      <rPr>
        <rFont val="Arial"/>
        <color rgb="FF000000"/>
        <sz val="10.0"/>
      </rPr>
      <t xml:space="preserve">
▸Information integrated into other systems requires confidentiality or security authentication.
</t>
    </r>
    <r>
      <rPr>
        <rFont val="Arial"/>
        <i/>
        <color rgb="FF000000"/>
        <sz val="10.0"/>
      </rPr>
      <t xml:space="preserve">For example: Need token, or login when calling API,...
</t>
    </r>
    <r>
      <rPr>
        <rFont val="Arial"/>
        <color rgb="FF000000"/>
        <sz val="10.0"/>
      </rPr>
      <t xml:space="preserve">
▸Log data only displays necessary information, stored data (logs, db, files, ...) need to control appropriate access rights.</t>
    </r>
  </si>
  <si>
    <r>
      <rPr>
        <rFont val="Arial"/>
        <color rgb="FF000000"/>
        <sz val="10.0"/>
      </rPr>
      <t xml:space="preserve">▸Cần hiển thị các dữ liệu cho người dùng phù hợp, với các dữ liệu bảo mật cần được hiển thị dưới dạng ẩn hoặc mã hóa.
</t>
    </r>
    <r>
      <rPr>
        <rFont val="Arial"/>
        <i/>
        <color rgb="FF000000"/>
        <sz val="10.0"/>
      </rPr>
      <t xml:space="preserve">Ví dụ: Số dư tài khoản, mật khẩu, tình trạng bệnh lý, ...
</t>
    </r>
    <r>
      <rPr>
        <rFont val="Arial"/>
        <color rgb="FF000000"/>
        <sz val="10.0"/>
      </rPr>
      <t xml:space="preserve">▸Thông tin được tích hợp cho hệ thống khác cần có độ bảo mật hoặc xác thực bảo mật.
</t>
    </r>
    <r>
      <rPr>
        <rFont val="Arial"/>
        <i/>
        <color rgb="FF000000"/>
        <sz val="10.0"/>
      </rPr>
      <t xml:space="preserve">Ví dụ: Cần có token, hoặc đăng nhập khi gọi API, ...
</t>
    </r>
    <r>
      <rPr>
        <rFont val="Arial"/>
        <color rgb="FF000000"/>
        <sz val="10.0"/>
      </rPr>
      <t>▸Các dữ liệu về log chỉ hiển thị các thông tin cần thiết, các dữ liệu lưu trữ (log, db, file, ...) cần kiểm soát quyền truy cập phù hợp.</t>
    </r>
  </si>
  <si>
    <t>1. Định kỳ tracking về tiến độ thực hiện các Yêu cầu bảo mật trong các buổi họp của team (Sprint Meeting, ...)
Yêu cầu: cập nhật trạng thái và evidence cho việc thực hiện các actions tương ứng ở đâu: source code, ...</t>
  </si>
  <si>
    <t>Restrictions around content of "free-text" fields, as these can lead to uncontrolled storage of confidential data.</t>
  </si>
  <si>
    <r>
      <rPr>
        <rFont val="Arial"/>
        <b/>
        <color rgb="FF000000"/>
        <sz val="10.0"/>
      </rPr>
      <t>With "free-text" fields:</t>
    </r>
    <r>
      <rPr>
        <rFont val="Arial"/>
        <color rgb="FF000000"/>
        <sz val="10.0"/>
      </rPr>
      <t xml:space="preserve">
- Limit use cases and need control.
- There should be format constraints and data validity control. </t>
    </r>
    <r>
      <rPr>
        <rFont val="Arial"/>
        <i/>
        <color rgb="FF000000"/>
        <sz val="10.0"/>
      </rPr>
      <t xml:space="preserve">(For example: apply Regex) </t>
    </r>
    <r>
      <rPr>
        <rFont val="Arial"/>
        <color rgb="FF000000"/>
        <sz val="10.0"/>
      </rPr>
      <t xml:space="preserve">
- In some systems with high security requirements, it is necessary to encrypt this data.</t>
    </r>
  </si>
  <si>
    <r>
      <rPr>
        <rFont val="Arial"/>
        <b/>
        <color rgb="FF000000"/>
        <sz val="10.0"/>
      </rPr>
      <t>Với các trường văn bản tự do:</t>
    </r>
    <r>
      <rPr>
        <rFont val="Arial"/>
        <color rgb="FF000000"/>
        <sz val="10.0"/>
      </rPr>
      <t xml:space="preserve">
- Giới hạn trường hợp sử dụng và cần kiểm soát.
- Cần có các ràng buộc về định dạng và kiểm soát tính hợp lệ của dữ liệu. (</t>
    </r>
    <r>
      <rPr>
        <rFont val="Arial"/>
        <i/>
        <color rgb="FF000000"/>
        <sz val="10.0"/>
      </rPr>
      <t>Ví dụ: áp dụng regex</t>
    </r>
    <r>
      <rPr>
        <rFont val="Arial"/>
        <color rgb="FF000000"/>
        <sz val="10.0"/>
      </rPr>
      <t>) 
- Trong một số hệ thống có yêu cầu bảo mật cao cần thực hiện mã hóa dữ liệu này.</t>
    </r>
  </si>
  <si>
    <t>Requirements derived from the business process, such as transaction logging and monitoring, nonrepudiation requirements.</t>
  </si>
  <si>
    <t>(*) Nếu trong quá trình thực hiện, có hạng mục cần thay đổi lại nội dung đã thống nhất về các yêu cầu bảo mật, dự án cần báo lại cho Khách hàng và tiến hành như bước 2. Phê duyệt từ Khách hàng</t>
  </si>
  <si>
    <r>
      <rPr>
        <rFont val="Arial"/>
        <color rgb="FF000000"/>
        <sz val="10.0"/>
      </rPr>
      <t>▸</t>
    </r>
    <r>
      <rPr>
        <rFont val="Arial"/>
        <b/>
        <color rgb="FF000000"/>
        <sz val="10.0"/>
      </rPr>
      <t>Transaction Logging:</t>
    </r>
    <r>
      <rPr>
        <rFont val="Arial"/>
        <color rgb="FF000000"/>
        <sz val="10.0"/>
      </rPr>
      <t xml:space="preserve"> Perform transaction logging and apply measures to help monitor and analyze activities to detect unusual behavior.
▸</t>
    </r>
    <r>
      <rPr>
        <rFont val="Arial"/>
        <b/>
        <color rgb="FF000000"/>
        <sz val="10.0"/>
      </rPr>
      <t xml:space="preserve">Error Monitoring: </t>
    </r>
    <r>
      <rPr>
        <rFont val="Arial"/>
        <color rgb="FF000000"/>
        <sz val="10.0"/>
      </rPr>
      <t>Use measures to send errors and warnings and record details of errors that arise.
▸</t>
    </r>
    <r>
      <rPr>
        <rFont val="Arial"/>
        <b/>
        <color rgb="FF000000"/>
        <sz val="10.0"/>
      </rPr>
      <t xml:space="preserve">Business Process Control: </t>
    </r>
    <r>
      <rPr>
        <rFont val="Arial"/>
        <color rgb="FF000000"/>
        <sz val="10.0"/>
      </rPr>
      <t>There must be a method to record logs during the implementation of business logic/processes, ensuring the correctness and integrity of data.</t>
    </r>
  </si>
  <si>
    <r>
      <rPr>
        <rFont val="Arial"/>
        <color rgb="FF000000"/>
        <sz val="10.0"/>
      </rPr>
      <t>▸</t>
    </r>
    <r>
      <rPr>
        <rFont val="Arial"/>
        <b/>
        <color rgb="FF000000"/>
        <sz val="10.0"/>
      </rPr>
      <t>Transaction Logging</t>
    </r>
    <r>
      <rPr>
        <rFont val="Arial"/>
        <color rgb="FF000000"/>
        <sz val="10.0"/>
      </rPr>
      <t>: Thực hiện ghi nhật ký giao dịch đồng thời có áp dụng các biện pháp giúp theo dõi, phân tích các hoạt động để phát hiện các hành vi bất thường.
▸</t>
    </r>
    <r>
      <rPr>
        <rFont val="Arial"/>
        <b/>
        <color rgb="FF000000"/>
        <sz val="10.0"/>
      </rPr>
      <t>Error Monitoring</t>
    </r>
    <r>
      <rPr>
        <rFont val="Arial"/>
        <color rgb="FF000000"/>
        <sz val="10.0"/>
      </rPr>
      <t>: Thực hiện sử dụng các biện pháp gửi lỗi, cảnh báo đồng thời ghi chi tiết các lỗi phát sinh.
▸</t>
    </r>
    <r>
      <rPr>
        <rFont val="Arial"/>
        <b/>
        <color rgb="FF000000"/>
        <sz val="10.0"/>
      </rPr>
      <t>Business Process Control</t>
    </r>
    <r>
      <rPr>
        <rFont val="Arial"/>
        <color rgb="FF000000"/>
        <sz val="10.0"/>
      </rPr>
      <t>: Phải có phương pháp ghi lại nhật ký trong quá trình thực hiện các logic/quy trình về nghiệp vụ kinh doanh, đảm bảo tính đúng đắn và toàn vẹn của dữ liệu.</t>
    </r>
  </si>
  <si>
    <r>
      <rPr>
        <rFont val="Arial"/>
        <b/>
        <color rgb="FF000000"/>
        <sz val="10.0"/>
      </rPr>
      <t xml:space="preserve">Requirements mandated by other security controls.
</t>
    </r>
    <r>
      <rPr>
        <rFont val="Arial"/>
        <b val="0"/>
        <color rgb="FF000000"/>
        <sz val="10.0"/>
      </rPr>
      <t>(e.g: interfaces to logging and monitoring or data leakage detection systems)</t>
    </r>
  </si>
  <si>
    <r>
      <rPr>
        <rFont val="Arial"/>
        <b/>
        <color rgb="FF000000"/>
        <sz val="10.0"/>
      </rPr>
      <t>Implement security logging:</t>
    </r>
    <r>
      <rPr>
        <rFont val="Arial"/>
        <color rgb="FF000000"/>
        <sz val="10.0"/>
      </rPr>
      <t xml:space="preserve">
- Follow the journal format and method.
</t>
    </r>
    <r>
      <rPr>
        <rFont val="Arial"/>
        <i/>
        <color rgb="FF000000"/>
        <sz val="10.0"/>
      </rPr>
      <t>For example: Apply Apache Logging Services for consistency across languages/frameworks</t>
    </r>
    <r>
      <rPr>
        <rFont val="Arial"/>
        <color rgb="FF000000"/>
        <sz val="10.0"/>
      </rPr>
      <t xml:space="preserve">
- Record data moderately.
</t>
    </r>
    <r>
      <rPr>
        <rFont val="Arial"/>
        <i/>
        <color rgb="FF000000"/>
        <sz val="10.0"/>
      </rPr>
      <t>For example: Make sure that identification information such as IP, userId does not contain personal data and passwords.</t>
    </r>
    <r>
      <rPr>
        <rFont val="Arial"/>
        <color rgb="FF000000"/>
        <sz val="10.0"/>
      </rPr>
      <t xml:space="preserve">
- Pay attention to synchronizing time across different time zones to keep Log data consistent.
</t>
    </r>
    <r>
      <rPr>
        <rFont val="Arial"/>
        <b/>
        <color rgb="FF000000"/>
        <sz val="10.0"/>
      </rPr>
      <t>Secure logging design:</t>
    </r>
    <r>
      <rPr>
        <rFont val="Arial"/>
        <color rgb="FF000000"/>
        <sz val="10.0"/>
      </rPr>
      <t xml:space="preserve">
- Encrypt and validate all dangerous characters before logging, preventing log injection attacks.
- Do not record sensitive or confidential information.
- Protect log integrity, limit access or write permissions.
- Forward logs from distributed systems to the data center for secure logging, effective data control and analysis.
</t>
    </r>
    <r>
      <rPr>
        <rFont val="Arial"/>
        <b/>
        <color rgb="FF000000"/>
        <sz val="10.0"/>
      </rPr>
      <t>Logging for Intrusion Detection and Response:</t>
    </r>
    <r>
      <rPr>
        <rFont val="Arial"/>
        <color rgb="FF000000"/>
        <sz val="10.0"/>
      </rPr>
      <t xml:space="preserve"> </t>
    </r>
    <r>
      <rPr>
        <rFont val="Arial"/>
        <i/>
        <color rgb="FF000000"/>
        <sz val="10.0"/>
      </rPr>
      <t>(Use logging to identify activity that indicates a user is behaving maliciously)</t>
    </r>
    <r>
      <rPr>
        <rFont val="Arial"/>
        <color rgb="FF000000"/>
        <sz val="10.0"/>
      </rPr>
      <t xml:space="preserve">
- The data sent is outside the predictable range.</t>
    </r>
    <r>
      <rPr>
        <rFont val="Arial"/>
        <i/>
        <color rgb="FF000000"/>
        <sz val="10.0"/>
      </rPr>
      <t xml:space="preserve"> (For example: Ascending ID: 1, 2, 3,...)</t>
    </r>
    <r>
      <rPr>
        <rFont val="Arial"/>
        <color rgb="FF000000"/>
        <sz val="10.0"/>
      </rPr>
      <t xml:space="preserve">
- Data sent in connection with data changes is not edited.
- Behaviors attempting to access the server.
Sun: The art of log</t>
    </r>
    <r>
      <rPr>
        <rFont val="Arial"/>
        <color rgb="FFFF0000"/>
        <sz val="10.0"/>
      </rPr>
      <t xml:space="preserve">
 - </t>
    </r>
    <r>
      <rPr>
        <rFont val="Arial"/>
        <color rgb="FF1155CC"/>
        <sz val="10.0"/>
        <u/>
      </rPr>
      <t>https://confluence.sun-asterisk.com/display/AN/VI-09-01.+Logging+Design</t>
    </r>
    <r>
      <rPr>
        <rFont val="Arial"/>
        <color rgb="FFFF0000"/>
        <sz val="10.0"/>
      </rPr>
      <t xml:space="preserve">
 - </t>
    </r>
    <r>
      <rPr>
        <rFont val="Arial"/>
        <color rgb="FF1155CC"/>
        <sz val="10.0"/>
        <u/>
      </rPr>
      <t>https://confluence.sun-asterisk.com/display/AN/VI-09-02.+Logging+Implementation</t>
    </r>
  </si>
  <si>
    <r>
      <rPr>
        <rFont val="Arial"/>
        <b/>
        <color rgb="FF000000"/>
        <sz val="10.0"/>
      </rPr>
      <t xml:space="preserve">Đáp ứng các yêu cầu bắt buộc bởi biện pháp kiểm soát bảo mật khác. 
</t>
    </r>
    <r>
      <rPr>
        <rFont val="Arial"/>
        <b val="0"/>
        <color rgb="FF000000"/>
        <sz val="10.0"/>
      </rPr>
      <t>(VD: hệ thống lưu log, monitoring, phát hiện rò rỉ dữ liệu).</t>
    </r>
  </si>
  <si>
    <r>
      <rPr>
        <rFont val="Arial"/>
        <b/>
        <color rgb="FF000000"/>
        <sz val="10.0"/>
      </rPr>
      <t xml:space="preserve">Triển khai ghi nhật ký bảo mật:
</t>
    </r>
    <r>
      <rPr>
        <rFont val="Arial"/>
        <color rgb="FF000000"/>
        <sz val="10.0"/>
      </rPr>
      <t xml:space="preserve">- Tuân theo định dạng và phương pháp ghi nhật ký.
</t>
    </r>
    <r>
      <rPr>
        <rFont val="Arial"/>
        <i/>
        <color rgb="FF000000"/>
        <sz val="10.0"/>
      </rPr>
      <t xml:space="preserve">Ví dụ: Áp dụng dịch vụ ghi nhật ký của Apache (Apache Logging Services) để đồng nhất giữa các ngôn ngữ/framework
</t>
    </r>
    <r>
      <rPr>
        <rFont val="Arial"/>
        <color rgb="FF000000"/>
        <sz val="10.0"/>
      </rPr>
      <t xml:space="preserve">- Ghi dữ liệu vừa phải.
</t>
    </r>
    <r>
      <rPr>
        <rFont val="Arial"/>
        <i/>
        <color rgb="FF000000"/>
        <sz val="10.0"/>
      </rPr>
      <t xml:space="preserve">Ví dụ: Đảm bảo thời, thông tin nhận dạng như IP, userId không chứa dữ liệu cá nhân và mật khẩu.
</t>
    </r>
    <r>
      <rPr>
        <rFont val="Arial"/>
        <color rgb="FF000000"/>
        <sz val="10.0"/>
      </rPr>
      <t xml:space="preserve">- Chú ý đồng bộ thời gian trên các múi giờ khác nhau để nhất quán dữ liệu Log.
</t>
    </r>
    <r>
      <rPr>
        <rFont val="Arial"/>
        <b/>
        <color rgb="FF000000"/>
        <sz val="10.0"/>
      </rPr>
      <t xml:space="preserve">Thiết kế ghi nhật ký an toàn:
</t>
    </r>
    <r>
      <rPr>
        <rFont val="Arial"/>
        <color rgb="FF000000"/>
        <sz val="10.0"/>
      </rPr>
      <t xml:space="preserve">- Mã hóa và xác thực mọi ký tự nguy hiểm trước khi ghi nhật ký, phòng tránh các cuộc tấn công chèn log.
- Không ghi thông tin nhạy cảm, bảo mật.
- Bảo vệ tính toàn vẹn của nhật ký, giới hạn quyền truy cập hoặc quyền ghi.
- Chuyển tiếp nhật ký từ các hệ thống phân tán đến trung tâm dữ liệu giúp ghi nhật ký an toàn, kiểm soát và phân tích dữ liệu hiệu quả.
</t>
    </r>
    <r>
      <rPr>
        <rFont val="Arial"/>
        <b/>
        <color rgb="FF000000"/>
        <sz val="10.0"/>
      </rPr>
      <t xml:space="preserve">Ghi nhật ký cho Phát hiện và Phản ứng với xâm nhập: </t>
    </r>
    <r>
      <rPr>
        <rFont val="Arial"/>
        <i/>
        <color rgb="FF000000"/>
        <sz val="10.0"/>
      </rPr>
      <t xml:space="preserve">(Sử dụng ghi nhật ký để nhận dạng hoạt động chỉ ra rằng một người dùng đang có hành vi độc hại)
</t>
    </r>
    <r>
      <rPr>
        <rFont val="Arial"/>
        <color rgb="FF000000"/>
        <sz val="10.0"/>
      </rPr>
      <t>- Dữ liệu được gửi nằm ngoài phạm vi có thể đoán được. (</t>
    </r>
    <r>
      <rPr>
        <rFont val="Arial"/>
        <i/>
        <color rgb="FF000000"/>
        <sz val="10.0"/>
      </rPr>
      <t>Ví dụ: ID tăng dần: 1, 2, 3,...</t>
    </r>
    <r>
      <rPr>
        <rFont val="Arial"/>
        <color rgb="FF000000"/>
        <sz val="10.0"/>
      </rPr>
      <t>)
- Dữ liệu được gửi liên quan đến các thay đổi dữ liệu không được chỉnh sửa.
- Các hành vi cố gắng truy cập vào máy chủ.
Tài liệu về log mà Sun* đã phát triển (Best practice)</t>
    </r>
    <r>
      <rPr>
        <rFont val="Arial"/>
        <color rgb="FFFF0000"/>
        <sz val="10.0"/>
      </rPr>
      <t xml:space="preserve">
 - </t>
    </r>
    <r>
      <rPr>
        <rFont val="Arial"/>
        <color rgb="FF1155CC"/>
        <sz val="10.0"/>
        <u/>
      </rPr>
      <t>https://confluence.sun-asterisk.com/display/AN/VI-09-01.+Logging+Design</t>
    </r>
    <r>
      <rPr>
        <rFont val="Arial"/>
        <color rgb="FFFF0000"/>
        <sz val="10.0"/>
      </rPr>
      <t xml:space="preserve">
 - </t>
    </r>
    <r>
      <rPr>
        <rFont val="Arial"/>
        <color rgb="FF1155CC"/>
        <sz val="10.0"/>
        <u/>
      </rPr>
      <t>https://confluence.sun-asterisk.com/display/AN/VI-09-02.+Logging+Implementation</t>
    </r>
  </si>
  <si>
    <t>Error message handling.</t>
  </si>
  <si>
    <r>
      <rPr>
        <rFont val="Arial"/>
        <color rgb="FF000000"/>
        <sz val="10.0"/>
      </rPr>
      <t xml:space="preserve">▸When encountering errors/exceptions, the system needs to save information and error messages to help analyze and understand the cause and find solutions.
▸When encountering an error/exception, it is necessary to display information to the user with understandable and appropriate messages to help the user understand the cause and be able to take further actions. In particular, information must not be displayed. sensitive on error messages.
</t>
    </r>
    <r>
      <rPr>
        <rFont val="Arial"/>
        <i/>
        <color rgb="FF000000"/>
        <sz val="10.0"/>
      </rPr>
      <t>For example: Do not display the password when encountering an incorrect password error.</t>
    </r>
    <r>
      <rPr>
        <rFont val="Arial"/>
        <color rgb="FF000000"/>
        <sz val="10.0"/>
      </rPr>
      <t xml:space="preserve">
▸Ensure that the error/exception information stored does not contain sensitive data, and that no security holes occur during processing.</t>
    </r>
  </si>
  <si>
    <r>
      <rPr>
        <rFont val="Arial"/>
        <color rgb="FF000000"/>
        <sz val="10.0"/>
      </rPr>
      <t xml:space="preserve">▸Khi gặp lỗi/ngoại lệ hệ thống cần phải lưu lại thông tin, thông điệp lỗi giúp việc phân tích và hiểu rõ nguyên nhân tìm cách khắc phục.
▸Khi gặp lỗi/ngoại lệ cần hiển thị thông tin cho người dùng các thông báo dễ hiểu, phù hợp giúp người dùng hiểu về nguyên nhân và có thể thực hiện các hành động tiếp theo, đặc biệt không được hiển thị các thông tin nhạy cảm trên thông báo lỗi.
</t>
    </r>
    <r>
      <rPr>
        <rFont val="Arial"/>
        <i/>
        <color rgb="FF000000"/>
        <sz val="10.0"/>
      </rPr>
      <t xml:space="preserve">Ví dụ: Không hiển thị mật khẩu khi gặp lỗi sai mật khẩu.
</t>
    </r>
    <r>
      <rPr>
        <rFont val="Arial"/>
        <color rgb="FF000000"/>
        <sz val="10.0"/>
      </rPr>
      <t>▸Đảm bảo trong lưu trữ thông tin lỗi/ngoại lệ không chứa các dữ liệu nhạy cảm, và không có lỗ hổng bảo mật nào xảy ra trong quá trình xử lý.</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</si>
</sst>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30">
    <font>
      <sz val="10.0"/>
      <color rgb="FF000000"/>
      <name val="Arial"/>
      <scheme val="minor"/>
    </font>
    <font>
      <color theme="1"/>
      <name val="Arial"/>
      <scheme val="minor"/>
    </font>
    <font>
      <b/>
      <color theme="1"/>
      <name val="Arial"/>
      <scheme val="minor"/>
    </font>
    <font>
      <b/>
      <sz val="11.0"/>
      <color theme="1"/>
      <name val="Times New Roman"/>
    </font>
    <font>
      <b/>
      <sz val="24.0"/>
      <color theme="1"/>
      <name val="Times New Roman"/>
    </font>
    <font/>
    <font>
      <b/>
      <sz val="18.0"/>
      <color theme="1"/>
      <name val="Times New Roman"/>
    </font>
    <font>
      <sz val="12.0"/>
      <color rgb="FF000000"/>
      <name val="&quot;Times New Roman&quot;"/>
    </font>
    <font>
      <sz val="12.0"/>
      <color rgb="FF000000"/>
      <name val="Times New Roman"/>
    </font>
    <font>
      <sz val="11.0"/>
      <color rgb="FF000000"/>
      <name val="Times New Roman"/>
    </font>
    <font>
      <b/>
      <sz val="11.0"/>
      <color rgb="FF000000"/>
      <name val="Times New Roman"/>
    </font>
    <font>
      <b/>
      <sz val="12.0"/>
      <color rgb="FF000000"/>
      <name val="Times New Roman"/>
    </font>
    <font>
      <b/>
      <sz val="10.0"/>
      <color theme="1"/>
      <name val="Times New Roman"/>
    </font>
    <font>
      <b/>
      <sz val="10.0"/>
      <color rgb="FF000000"/>
      <name val="Arial"/>
    </font>
    <font>
      <b/>
      <sz val="12.0"/>
      <color rgb="FF000000"/>
      <name val="Arial"/>
      <scheme val="minor"/>
    </font>
    <font>
      <color rgb="FF000000"/>
      <name val="Arial"/>
      <scheme val="minor"/>
    </font>
    <font>
      <b/>
      <sz val="14.0"/>
      <color theme="1"/>
      <name val="Times New Roman"/>
    </font>
    <font>
      <b/>
      <sz val="10.0"/>
      <color rgb="FF000000"/>
      <name val="Arial"/>
      <scheme val="minor"/>
    </font>
    <font>
      <sz val="10.0"/>
      <color rgb="FF000000"/>
      <name val="Arial"/>
    </font>
    <font>
      <b/>
      <sz val="12.0"/>
      <color theme="1"/>
      <name val="Arial"/>
    </font>
    <font>
      <sz val="10.0"/>
      <color theme="1"/>
      <name val="Arial"/>
    </font>
    <font>
      <u/>
      <color rgb="FF000000"/>
      <name val="Arial"/>
      <scheme val="minor"/>
    </font>
    <font>
      <u/>
      <color rgb="FF0000FF"/>
    </font>
    <font>
      <i/>
      <sz val="10.0"/>
      <color rgb="FF000000"/>
      <name val="Arial"/>
    </font>
    <font>
      <b/>
      <sz val="10.0"/>
      <color rgb="FFFF0000"/>
      <name val="Arial"/>
    </font>
    <font>
      <color rgb="FF000000"/>
    </font>
    <font>
      <sz val="10.0"/>
      <color rgb="FFFF0000"/>
      <name val="Arial"/>
    </font>
    <font>
      <u/>
      <color theme="1"/>
      <name val="Arial"/>
      <scheme val="minor"/>
    </font>
    <font>
      <i/>
      <color theme="1"/>
      <name val="Arial"/>
      <scheme val="minor"/>
    </font>
    <font>
      <u/>
      <sz val="10.0"/>
      <color rgb="FF000000"/>
      <name val="Arial"/>
    </font>
  </fonts>
  <fills count="6">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D5A6BD"/>
        <bgColor rgb="FFD5A6BD"/>
      </patternFill>
    </fill>
    <fill>
      <patternFill patternType="solid">
        <fgColor rgb="FFEAD1DC"/>
        <bgColor rgb="FFEAD1DC"/>
      </patternFill>
    </fill>
  </fills>
  <borders count="24">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border>
    <border>
      <left style="thin">
        <color rgb="FF999999"/>
      </left>
      <right style="thin">
        <color rgb="FF999999"/>
      </right>
      <top style="thin">
        <color rgb="FF999999"/>
      </top>
    </border>
    <border>
      <right style="thin">
        <color rgb="FF000000"/>
      </right>
      <top style="thin">
        <color rgb="FF000000"/>
      </top>
    </border>
    <border>
      <left style="thin">
        <color rgb="FF000000"/>
      </left>
      <right style="thin">
        <color rgb="FF000000"/>
      </right>
    </border>
    <border>
      <left style="thin">
        <color rgb="FF999999"/>
      </left>
      <right style="thin">
        <color rgb="FF999999"/>
      </right>
      <top style="thin">
        <color rgb="FF999999"/>
      </top>
      <bottom style="thin">
        <color rgb="FF999999"/>
      </bottom>
    </border>
    <border>
      <left style="thin">
        <color rgb="FF000000"/>
      </left>
      <right style="thin">
        <color rgb="FF000000"/>
      </right>
      <bottom style="thin">
        <color rgb="FF000000"/>
      </bottom>
    </border>
    <border>
      <right style="thin">
        <color rgb="FF000000"/>
      </right>
    </border>
    <border>
      <left style="thin">
        <color rgb="FF000000"/>
      </left>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left style="thin">
        <color rgb="FF999999"/>
      </left>
      <right style="thin">
        <color rgb="FF999999"/>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999999"/>
      </left>
      <right style="thin">
        <color rgb="FF999999"/>
      </right>
      <bottom style="thin">
        <color rgb="FF999999"/>
      </bottom>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1" fillId="0" fontId="3" numFmtId="0" xfId="0" applyAlignment="1" applyBorder="1" applyFont="1">
      <alignment horizontal="center" readingOrder="0" vertical="center"/>
    </xf>
    <xf borderId="0" fillId="2" fontId="1" numFmtId="0" xfId="0" applyAlignment="1" applyFill="1" applyFont="1">
      <alignment shrinkToFit="0" vertical="center" wrapText="1"/>
    </xf>
    <xf borderId="1" fillId="0" fontId="4" numFmtId="0" xfId="0" applyAlignment="1" applyBorder="1" applyFont="1">
      <alignment horizontal="center" readingOrder="0" vertical="center"/>
    </xf>
    <xf borderId="2" fillId="0" fontId="5" numFmtId="0" xfId="0" applyBorder="1" applyFont="1"/>
    <xf borderId="0" fillId="2" fontId="2" numFmtId="0" xfId="0" applyAlignment="1" applyFill="1" applyFont="1">
      <alignment readingOrder="0" shrinkToFit="0" vertical="center" wrapText="1"/>
    </xf>
    <xf borderId="1" fillId="0" fontId="6" numFmtId="0" xfId="0" applyAlignment="1" applyBorder="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vertical="center"/>
    </xf>
    <xf borderId="1" fillId="3" fontId="6" numFmtId="0" xfId="0" applyAlignment="1" applyBorder="1" applyFill="1" applyFont="1">
      <alignment horizontal="center" readingOrder="0" shrinkToFit="0" vertical="center" wrapText="1"/>
    </xf>
    <xf borderId="3" fillId="3" fontId="7" numFmtId="0" xfId="0" applyAlignment="1" applyBorder="1" applyFill="1" applyFont="1">
      <alignment horizontal="left" readingOrder="0" shrinkToFit="0" vertical="center" wrapText="1"/>
    </xf>
    <xf borderId="4" fillId="0" fontId="5" numFmtId="0" xfId="0" applyBorder="1" applyFont="1"/>
    <xf borderId="1" fillId="3" fontId="8" numFmtId="0" xfId="0" applyAlignment="1" applyBorder="1" applyFill="1" applyFont="1">
      <alignment readingOrder="0" vertical="center"/>
    </xf>
    <xf borderId="5" fillId="0" fontId="2" numFmtId="0" xfId="0" applyAlignment="1" applyBorder="1" applyFont="1">
      <alignment readingOrder="0" shrinkToFit="0" vertical="center" wrapText="1"/>
    </xf>
    <xf borderId="6" fillId="0" fontId="5" numFmtId="0" xfId="0" applyBorder="1" applyFont="1"/>
    <xf borderId="7" fillId="0" fontId="9" numFmtId="0" xfId="0" applyAlignment="1" applyBorder="1" applyFont="1">
      <alignment readingOrder="0" vertical="center"/>
    </xf>
    <xf borderId="8" fillId="4" fontId="1" numFmtId="0" xfId="0" applyAlignment="1" applyBorder="1" applyFill="1" applyFont="1">
      <alignment readingOrder="0" shrinkToFit="0" vertical="center" wrapText="1"/>
    </xf>
    <xf borderId="4" fillId="3" fontId="8" numFmtId="0" xfId="0" applyAlignment="1" applyBorder="1" applyFill="1" applyFont="1">
      <alignment readingOrder="0" vertical="center"/>
    </xf>
    <xf borderId="10" fillId="0" fontId="5" numFmtId="0" xfId="0" applyBorder="1" applyFont="1"/>
    <xf borderId="9" fillId="0" fontId="9" numFmtId="0" xfId="0" applyAlignment="1" applyBorder="1" applyFont="1">
      <alignment readingOrder="0" shrinkToFit="0" vertical="center" wrapText="0"/>
    </xf>
    <xf borderId="11" fillId="3" fontId="8" numFmtId="0" xfId="0" applyAlignment="1" applyBorder="1" applyFill="1" applyFont="1">
      <alignment readingOrder="0" vertical="center"/>
    </xf>
    <xf borderId="12" fillId="0" fontId="10" numFmtId="0" xfId="0" applyAlignment="1" applyBorder="1" applyFont="1">
      <alignment horizontal="left" readingOrder="0" vertical="center"/>
    </xf>
    <xf borderId="13" fillId="0" fontId="5" numFmtId="0" xfId="0" applyBorder="1" applyFont="1"/>
    <xf borderId="14" fillId="0" fontId="5" numFmtId="0" xfId="0" applyBorder="1" applyFont="1"/>
    <xf borderId="8" fillId="0" fontId="1" numFmtId="0" xfId="0" applyAlignment="1" applyBorder="1" applyFont="1">
      <alignment readingOrder="0" shrinkToFit="0" vertical="center" wrapText="1"/>
    </xf>
    <xf borderId="15" fillId="0" fontId="5" numFmtId="0" xfId="0" applyBorder="1" applyFont="1"/>
    <xf borderId="16" fillId="0" fontId="10" numFmtId="0" xfId="0" applyAlignment="1" applyBorder="1" applyFont="1">
      <alignment horizontal="right" readingOrder="0" shrinkToFit="0" vertical="center" wrapText="1"/>
    </xf>
    <xf borderId="14" fillId="0" fontId="10" numFmtId="0" xfId="0" applyAlignment="1" applyBorder="1" applyFont="1">
      <alignment horizontal="left" readingOrder="0" vertical="center"/>
    </xf>
    <xf borderId="0" fillId="0" fontId="11" numFmtId="49" xfId="0" applyAlignment="1" applyFont="1" applyNumberFormat="1">
      <alignment horizontal="center" readingOrder="0" shrinkToFit="0" vertical="center" wrapText="1"/>
    </xf>
    <xf borderId="12" fillId="0" fontId="12" numFmtId="0" xfId="0" applyAlignment="1" applyBorder="1" applyFont="1">
      <alignment readingOrder="0" vertical="center"/>
    </xf>
    <xf borderId="8" fillId="5" fontId="2" numFmtId="0" xfId="0" applyAlignment="1" applyBorder="1" applyFill="1" applyFont="1">
      <alignment readingOrder="0" shrinkToFit="0" vertical="center" wrapText="1"/>
    </xf>
    <xf borderId="17" fillId="0" fontId="10" numFmtId="0" xfId="0" applyAlignment="1" applyBorder="1" applyFont="1">
      <alignment horizontal="right" readingOrder="0" shrinkToFit="0" vertical="center" wrapText="1"/>
    </xf>
    <xf borderId="0" fillId="0" fontId="11" numFmtId="0" xfId="0" applyAlignment="1" applyFont="1">
      <alignment horizontal="left" readingOrder="0" shrinkToFit="0" vertical="center" wrapText="1"/>
    </xf>
    <xf borderId="17" fillId="0" fontId="5" numFmtId="0" xfId="0" applyBorder="1" applyFont="1"/>
    <xf borderId="5" fillId="4" fontId="1" numFmtId="0" xfId="0" applyAlignment="1" applyBorder="1" applyFill="1" applyFont="1">
      <alignment readingOrder="0" shrinkToFit="0" vertical="center" wrapText="1"/>
    </xf>
    <xf borderId="12" fillId="0" fontId="10" numFmtId="0" xfId="0" applyAlignment="1" applyBorder="1" applyFont="1">
      <alignment horizontal="right" readingOrder="0" shrinkToFit="0" vertical="center" wrapText="1"/>
    </xf>
    <xf borderId="16" fillId="2" fontId="13" numFmtId="0" xfId="0" applyAlignment="1" applyBorder="1" applyFill="1" applyFont="1">
      <alignment horizontal="center" readingOrder="0" shrinkToFit="0" vertical="center" wrapText="1"/>
    </xf>
    <xf borderId="0" fillId="0" fontId="14" numFmtId="49" xfId="0" applyAlignment="1" applyFont="1" applyNumberFormat="1">
      <alignment horizontal="center" readingOrder="0" shrinkToFit="0" vertical="center" wrapText="1"/>
    </xf>
    <xf borderId="8" fillId="0" fontId="15" numFmtId="0" xfId="0" applyAlignment="1" applyBorder="1" applyFont="1">
      <alignment readingOrder="0" shrinkToFit="0" vertical="center" wrapText="1"/>
    </xf>
    <xf borderId="11" fillId="0" fontId="12" numFmtId="0" xfId="0" applyAlignment="1" applyBorder="1" applyFont="1">
      <alignment horizontal="right" readingOrder="0" shrinkToFit="0" vertical="center" wrapText="1"/>
    </xf>
    <xf borderId="0" fillId="0" fontId="14" numFmtId="0" xfId="0" applyAlignment="1" applyFont="1">
      <alignment horizontal="left" readingOrder="0" shrinkToFit="0" vertical="center" wrapText="1"/>
    </xf>
    <xf borderId="12" fillId="2" fontId="13" numFmtId="0" xfId="0" applyAlignment="1" applyBorder="1" applyFill="1" applyFont="1">
      <alignment horizontal="center" readingOrder="0" shrinkToFit="0" vertical="center" wrapText="1"/>
    </xf>
    <xf borderId="18" fillId="0" fontId="16" numFmtId="0" xfId="0" applyAlignment="1" applyBorder="1" applyFont="1">
      <alignment horizontal="center" readingOrder="0" shrinkToFit="0" vertical="center" wrapText="1"/>
    </xf>
    <xf borderId="16" fillId="2" fontId="17" numFmtId="0" xfId="0" applyAlignment="1" applyBorder="1" applyFill="1" applyFont="1">
      <alignment horizontal="center" readingOrder="0" shrinkToFit="0" vertical="center" wrapText="1"/>
    </xf>
    <xf borderId="19" fillId="0" fontId="5" numFmtId="0" xfId="0" applyBorder="1" applyFont="1"/>
    <xf borderId="16" fillId="0" fontId="18" numFmtId="0" xfId="0" applyAlignment="1" applyBorder="1" applyFont="1">
      <alignment horizontal="center" readingOrder="0" shrinkToFit="0" vertical="top" wrapText="1"/>
    </xf>
    <xf borderId="18" fillId="0" fontId="19" numFmtId="0" xfId="0" applyAlignment="1" applyBorder="1" applyFont="1">
      <alignment horizontal="center" readingOrder="0" shrinkToFit="0" vertical="center" wrapText="1"/>
    </xf>
    <xf borderId="16" fillId="0" fontId="13" numFmtId="0" xfId="0" applyAlignment="1" applyBorder="1" applyFont="1">
      <alignment horizontal="left" readingOrder="0" shrinkToFit="0" vertical="top" wrapText="1"/>
    </xf>
    <xf borderId="16" fillId="0" fontId="0" numFmtId="0" xfId="0" applyAlignment="1" applyBorder="1" applyFont="1">
      <alignment horizontal="center" readingOrder="0" shrinkToFit="0" vertical="center" wrapText="1"/>
    </xf>
    <xf borderId="16" fillId="0" fontId="0" numFmtId="0" xfId="0" applyAlignment="1" applyBorder="1" applyFont="1">
      <alignment horizontal="left" readingOrder="0" shrinkToFit="0" vertical="center" wrapText="1"/>
    </xf>
    <xf borderId="12" fillId="0" fontId="18" numFmtId="0" xfId="0" applyAlignment="1" applyBorder="1" applyFont="1">
      <alignment horizontal="left" readingOrder="0" shrinkToFit="0" vertical="top" wrapText="1"/>
    </xf>
    <xf borderId="12" fillId="2" fontId="13" numFmtId="0" xfId="0" applyAlignment="1" applyBorder="1" applyFill="1" applyFont="1">
      <alignment horizontal="center" readingOrder="0" shrinkToFit="0" vertical="center" wrapText="1"/>
    </xf>
    <xf borderId="8" fillId="0" fontId="15" numFmtId="0" xfId="0" applyAlignment="1" applyBorder="1" applyFont="1">
      <alignment readingOrder="0" shrinkToFit="0" vertical="center" wrapText="1"/>
    </xf>
    <xf borderId="16" fillId="0" fontId="15" numFmtId="0" xfId="0" applyAlignment="1" applyBorder="1" applyFont="1">
      <alignment horizontal="center" shrinkToFit="0" wrapText="1"/>
    </xf>
    <xf borderId="20" fillId="0" fontId="5" numFmtId="0" xfId="0" applyBorder="1" applyFont="1"/>
    <xf borderId="16" fillId="0" fontId="20" numFmtId="0" xfId="0" applyAlignment="1" applyBorder="1" applyFont="1">
      <alignment horizontal="center" readingOrder="0" shrinkToFit="0" vertical="center" wrapText="1"/>
    </xf>
    <xf borderId="12" fillId="0" fontId="20" numFmtId="0" xfId="0" applyAlignment="1" applyBorder="1" applyFont="1">
      <alignment horizontal="left" readingOrder="0" shrinkToFit="0" vertical="center" wrapText="1"/>
    </xf>
    <xf borderId="12" fillId="0" fontId="20" numFmtId="164" xfId="0" applyAlignment="1" applyBorder="1" applyFont="1" applyNumberFormat="1">
      <alignment horizontal="left" readingOrder="0" shrinkToFit="0" vertical="center" wrapText="1"/>
    </xf>
    <xf borderId="8" fillId="0" fontId="21" numFmtId="0" xfId="0" applyAlignment="1" applyBorder="1" applyFont="1">
      <alignment readingOrder="0" shrinkToFit="0" vertical="top" wrapText="1"/>
    </xf>
    <xf borderId="0" fillId="0" fontId="2" numFmtId="0" xfId="0" applyAlignment="1" applyFont="1">
      <alignment readingOrder="0" shrinkToFit="0" vertical="center" wrapText="1"/>
    </xf>
    <xf borderId="1" fillId="0" fontId="20" numFmtId="0" xfId="0" applyAlignment="1" applyBorder="1" applyFont="1">
      <alignment horizontal="left" readingOrder="0" shrinkToFit="0" vertical="center" wrapText="1"/>
    </xf>
    <xf borderId="8" fillId="5" fontId="1" numFmtId="0" xfId="0" applyAlignment="1" applyBorder="1" applyFill="1" applyFont="1">
      <alignment readingOrder="0" shrinkToFit="0" vertical="center" wrapText="1"/>
    </xf>
    <xf borderId="14" fillId="0" fontId="18" numFmtId="0" xfId="0" applyAlignment="1" applyBorder="1" applyFont="1">
      <alignment horizontal="left" readingOrder="0" shrinkToFit="0" vertical="center" wrapText="1"/>
    </xf>
    <xf borderId="12" fillId="0" fontId="18" numFmtId="0" xfId="0" applyAlignment="1" applyBorder="1" applyFont="1">
      <alignment horizontal="left" readingOrder="0" shrinkToFit="0" vertical="center" wrapText="1"/>
    </xf>
    <xf borderId="12" fillId="0" fontId="20" numFmtId="164" xfId="0" applyAlignment="1" applyBorder="1" applyFont="1" applyNumberFormat="1">
      <alignment horizontal="left" readingOrder="0" shrinkToFit="0" vertical="center" wrapText="1"/>
    </xf>
    <xf borderId="16" fillId="0" fontId="13" numFmtId="0" xfId="0" applyAlignment="1" applyBorder="1" applyFont="1">
      <alignment horizontal="center" readingOrder="0" shrinkToFit="0" vertical="center" wrapText="1"/>
    </xf>
    <xf borderId="8" fillId="0" fontId="22" numFmtId="0" xfId="0" applyAlignment="1" applyBorder="1" applyFont="1">
      <alignment readingOrder="0" shrinkToFit="0" vertical="center" wrapText="1"/>
    </xf>
    <xf borderId="12" fillId="0" fontId="23" numFmtId="0" xfId="0" applyAlignment="1" applyBorder="1" applyFont="1">
      <alignment horizontal="left" readingOrder="0" shrinkToFit="0" vertical="top" wrapText="1"/>
    </xf>
    <xf borderId="16" fillId="0" fontId="24" numFmtId="0" xfId="0" applyAlignment="1" applyBorder="1" applyFont="1">
      <alignment horizontal="center" readingOrder="0" shrinkToFit="0" vertical="center" wrapText="1"/>
    </xf>
    <xf borderId="8" fillId="3" fontId="25" numFmtId="0" xfId="0" applyAlignment="1" applyBorder="1" applyFill="1" applyFont="1">
      <alignment readingOrder="0" shrinkToFit="0" vertical="center" wrapText="1"/>
    </xf>
    <xf borderId="12" fillId="0" fontId="26" numFmtId="0" xfId="0" applyAlignment="1" applyBorder="1" applyFont="1">
      <alignment horizontal="left" readingOrder="0" shrinkToFit="0" vertical="center" wrapText="1"/>
    </xf>
    <xf borderId="12" fillId="0" fontId="24" numFmtId="49" xfId="0" applyAlignment="1" applyBorder="1" applyFont="1" applyNumberFormat="1">
      <alignment horizontal="left" readingOrder="0" shrinkToFit="0" vertical="center" wrapText="1"/>
    </xf>
    <xf borderId="18" fillId="0" fontId="16" numFmtId="49" xfId="0" applyAlignment="1" applyBorder="1" applyFont="1" applyNumberFormat="1">
      <alignment horizontal="left" readingOrder="0" shrinkToFit="0" vertical="center" wrapText="1"/>
    </xf>
    <xf borderId="0" fillId="0" fontId="16" numFmtId="49" xfId="0" applyAlignment="1" applyFont="1" applyNumberFormat="1">
      <alignment horizontal="left" readingOrder="0" shrinkToFit="0" vertical="center" wrapText="1"/>
    </xf>
    <xf borderId="19" fillId="0" fontId="16" numFmtId="49" xfId="0" applyAlignment="1" applyBorder="1" applyFont="1" applyNumberFormat="1">
      <alignment horizontal="left" readingOrder="0" shrinkToFit="0" vertical="center" wrapText="1"/>
    </xf>
    <xf borderId="8" fillId="0" fontId="27" numFmtId="0" xfId="0" applyAlignment="1" applyBorder="1" applyFont="1">
      <alignment readingOrder="0" shrinkToFit="0" vertical="center" wrapText="1"/>
    </xf>
    <xf borderId="21" fillId="0" fontId="16" numFmtId="49" xfId="0" applyAlignment="1" applyBorder="1" applyFont="1" applyNumberFormat="1">
      <alignment horizontal="left" readingOrder="0" shrinkToFit="0" vertical="center" wrapText="1"/>
    </xf>
    <xf borderId="22" fillId="0" fontId="16" numFmtId="49" xfId="0" applyAlignment="1" applyBorder="1" applyFont="1" applyNumberFormat="1">
      <alignment horizontal="left" readingOrder="0" shrinkToFit="0" vertical="center" wrapText="1"/>
    </xf>
    <xf borderId="20" fillId="4" fontId="1" numFmtId="0" xfId="0" applyAlignment="1" applyBorder="1" applyFill="1" applyFont="1">
      <alignment readingOrder="0" shrinkToFit="0" vertical="center" wrapText="1"/>
    </xf>
    <xf borderId="23" fillId="0" fontId="16" numFmtId="49" xfId="0" applyAlignment="1" applyBorder="1" applyFont="1" applyNumberFormat="1">
      <alignment horizontal="left" readingOrder="0" shrinkToFit="0" vertical="center" wrapText="1"/>
    </xf>
    <xf borderId="8" fillId="0" fontId="28" numFmtId="0" xfId="0" applyAlignment="1" applyBorder="1" applyFont="1">
      <alignment readingOrder="0" shrinkToFit="0" vertical="center" wrapText="1"/>
    </xf>
    <xf borderId="12" fillId="0" fontId="29"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524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7175" cy="142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u/0/d/1OjPLNogoMbIoVyBsHO-UDwvvRnlm2VAtNnyWUtYUhvU/edit" TargetMode="External"/><Relationship Id="rId2" Type="http://schemas.openxmlformats.org/officeDocument/2006/relationships/hyperlink" Target="https://docs.google.com/spreadsheets/u/0/d/1OjPLNogoMbIoVyBsHO-UDwvvRnlm2VAtNnyWUtYUhvU/edit" TargetMode="External"/><Relationship Id="rId3" Type="http://schemas.openxmlformats.org/officeDocument/2006/relationships/hyperlink" Target="https://docs.google.com/spreadsheets/u/0/d/1OjPLNogoMbIoVyBsHO-UDwvvRnlm2VAtNnyWUtYUhvU/edit" TargetMode="External"/><Relationship Id="rId4" Type="http://schemas.openxmlformats.org/officeDocument/2006/relationships/hyperlink" Target="https://docs.google.com/spreadsheets/u/0/d/1OjPLNogoMbIoVyBsHO-UDwvvRnlm2VAtNnyWUtYUhvU/edit" TargetMode="External"/><Relationship Id="rId5" Type="http://schemas.openxmlformats.org/officeDocument/2006/relationships/hyperlink" Target="https://docs.google.com/spreadsheets/d/1WW6mAhJO4Yn0WwuJmYR5Letrh0EWZqTFJt-s3oDY_pc/edit?gid=262412966" TargetMode="External"/><Relationship Id="rId6" Type="http://schemas.openxmlformats.org/officeDocument/2006/relationships/hyperlink" Target="https://docs.google.com/spreadsheets/d/1WW6mAhJO4Yn0WwuJmYR5Letrh0EWZqTFJt-s3oDY_pc/edit?gid=262412966"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confluence.sun-asterisk.com/display/AN/VI-09-01.+Logging+Design" TargetMode="External"/><Relationship Id="rId2" Type="http://schemas.openxmlformats.org/officeDocument/2006/relationships/hyperlink" Target="https://confluence.sun-asterisk.com/display/AN/VI-09-01.+Logging+Design"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5.75"/>
    <col customWidth="1" min="2" max="2" width="4.63"/>
    <col customWidth="1" min="3" max="3" width="6.38"/>
    <col customWidth="1" min="4" max="4" width="3.5"/>
    <col customWidth="1" min="5" max="9" width="9.75"/>
    <col customWidth="1" min="10" max="10" width="13.75"/>
    <col customWidth="1" min="11" max="11" width="16.38"/>
  </cols>
  <sheetData>
    <row r="1" ht="22.5" customHeight="1">
      <c r="A1" s="7"/>
      <c r="B1" s="8"/>
      <c r="C1" s="8"/>
      <c r="D1" s="8"/>
      <c r="E1" s="13" t="s">
        <v>4</v>
      </c>
      <c r="F1" s="8"/>
      <c r="G1" s="8"/>
      <c r="H1" s="8"/>
      <c r="I1" s="8"/>
      <c r="J1" s="16" t="s">
        <v>6</v>
      </c>
      <c r="K1" s="18"/>
    </row>
    <row r="2" ht="22.5" customHeight="1">
      <c r="A2" s="15"/>
      <c r="E2" s="15"/>
      <c r="J2" s="21" t="s">
        <v>8</v>
      </c>
      <c r="K2" s="22"/>
    </row>
    <row r="3" ht="22.5" customHeight="1">
      <c r="A3" s="15"/>
      <c r="E3" s="15"/>
      <c r="J3" s="24" t="s">
        <v>10</v>
      </c>
      <c r="K3" s="26"/>
    </row>
    <row r="4" ht="22.5" customHeight="1">
      <c r="A4" s="33" t="s">
        <v>13</v>
      </c>
      <c r="B4" s="27"/>
      <c r="C4" s="27"/>
      <c r="D4" s="27"/>
      <c r="E4" s="27"/>
      <c r="F4" s="27"/>
      <c r="G4" s="27"/>
      <c r="H4" s="27"/>
      <c r="I4" s="37"/>
      <c r="J4" s="43" t="s">
        <v>14</v>
      </c>
      <c r="K4" s="26"/>
    </row>
    <row r="5" ht="16.5" customHeight="1">
      <c r="A5" s="46"/>
      <c r="K5" s="48"/>
    </row>
    <row r="6" ht="31.5" customHeight="1">
      <c r="A6" s="50" t="s">
        <v>28</v>
      </c>
      <c r="K6" s="48"/>
    </row>
    <row r="7" ht="20.25" customHeight="1">
      <c r="A7" s="40" t="s">
        <v>18</v>
      </c>
      <c r="B7" s="55" t="s">
        <v>36</v>
      </c>
      <c r="C7" s="27"/>
      <c r="D7" s="37"/>
      <c r="E7" s="55" t="s">
        <v>41</v>
      </c>
      <c r="F7" s="27"/>
      <c r="G7" s="27"/>
      <c r="H7" s="27"/>
      <c r="I7" s="37"/>
      <c r="J7" s="55" t="s">
        <v>43</v>
      </c>
      <c r="K7" s="37"/>
    </row>
    <row r="8" ht="22.5" customHeight="1">
      <c r="A8" s="59">
        <v>1.0</v>
      </c>
      <c r="B8" s="60"/>
      <c r="C8" s="27"/>
      <c r="D8" s="37"/>
      <c r="E8" s="60" t="s">
        <v>54</v>
      </c>
      <c r="F8" s="27"/>
      <c r="G8" s="27"/>
      <c r="H8" s="27"/>
      <c r="I8" s="37"/>
      <c r="J8" s="61">
        <v>45632.0</v>
      </c>
      <c r="K8" s="37"/>
    </row>
    <row r="9">
      <c r="A9" s="59">
        <v>2.0</v>
      </c>
      <c r="B9" s="60" t="s">
        <v>67</v>
      </c>
      <c r="C9" s="27"/>
      <c r="D9" s="37"/>
      <c r="E9" s="60" t="s">
        <v>72</v>
      </c>
      <c r="F9" s="27"/>
      <c r="G9" s="27"/>
      <c r="H9" s="27"/>
      <c r="I9" s="37"/>
      <c r="J9" s="60" t="s">
        <v>77</v>
      </c>
      <c r="K9" s="37"/>
    </row>
    <row r="10">
      <c r="A10" s="59">
        <v>3.0</v>
      </c>
      <c r="B10" s="64"/>
      <c r="C10" s="8"/>
      <c r="D10" s="18"/>
      <c r="E10" s="64"/>
      <c r="F10" s="8"/>
      <c r="G10" s="8"/>
      <c r="H10" s="8"/>
      <c r="I10" s="18"/>
      <c r="J10" s="60"/>
      <c r="K10" s="37"/>
    </row>
    <row r="11">
      <c r="A11" s="59"/>
      <c r="B11" s="66"/>
      <c r="C11" s="27"/>
      <c r="D11" s="37"/>
      <c r="E11" s="67"/>
      <c r="F11" s="27"/>
      <c r="G11" s="27"/>
      <c r="H11" s="27"/>
      <c r="I11" s="37"/>
      <c r="J11" s="68"/>
      <c r="K11" s="37"/>
    </row>
    <row r="12" ht="22.5" customHeight="1">
      <c r="A12" s="69"/>
      <c r="B12" s="66"/>
      <c r="C12" s="27"/>
      <c r="D12" s="37"/>
      <c r="E12" s="67"/>
      <c r="F12" s="27"/>
      <c r="G12" s="27"/>
      <c r="H12" s="27"/>
      <c r="I12" s="37"/>
      <c r="J12" s="60"/>
      <c r="K12" s="37"/>
    </row>
    <row r="13" ht="22.5" customHeight="1">
      <c r="A13" s="72"/>
      <c r="B13" s="74"/>
      <c r="C13" s="27"/>
      <c r="D13" s="37"/>
      <c r="E13" s="75"/>
      <c r="F13" s="27"/>
      <c r="G13" s="27"/>
      <c r="H13" s="27"/>
      <c r="I13" s="37"/>
      <c r="J13" s="60"/>
      <c r="K13" s="37"/>
    </row>
    <row r="14" ht="22.5" customHeight="1">
      <c r="A14" s="76"/>
      <c r="B14" s="77"/>
      <c r="C14" s="77"/>
      <c r="D14" s="77"/>
      <c r="E14" s="77"/>
      <c r="F14" s="77"/>
      <c r="G14" s="77"/>
      <c r="H14" s="77"/>
      <c r="I14" s="77"/>
      <c r="J14" s="77"/>
      <c r="K14" s="78"/>
    </row>
    <row r="15" ht="22.5" customHeight="1">
      <c r="A15" s="76"/>
      <c r="B15" s="77"/>
      <c r="C15" s="77"/>
      <c r="D15" s="77"/>
      <c r="E15" s="77"/>
      <c r="F15" s="77"/>
      <c r="G15" s="77"/>
      <c r="H15" s="77"/>
      <c r="I15" s="77"/>
      <c r="J15" s="77"/>
      <c r="K15" s="78"/>
    </row>
    <row r="16" ht="22.5" customHeight="1">
      <c r="A16" s="76"/>
      <c r="B16" s="77"/>
      <c r="C16" s="77"/>
      <c r="D16" s="77"/>
      <c r="E16" s="77"/>
      <c r="F16" s="77"/>
      <c r="G16" s="77"/>
      <c r="H16" s="77"/>
      <c r="I16" s="77"/>
      <c r="J16" s="77"/>
      <c r="K16" s="78"/>
    </row>
    <row r="17" ht="22.5" customHeight="1">
      <c r="A17" s="76"/>
      <c r="B17" s="77"/>
      <c r="C17" s="77"/>
      <c r="D17" s="77"/>
      <c r="E17" s="77"/>
      <c r="F17" s="77"/>
      <c r="G17" s="77"/>
      <c r="H17" s="77"/>
      <c r="I17" s="77"/>
      <c r="J17" s="77"/>
      <c r="K17" s="78"/>
    </row>
    <row r="18" ht="22.5" customHeight="1">
      <c r="A18" s="76"/>
      <c r="B18" s="77"/>
      <c r="C18" s="77"/>
      <c r="D18" s="77"/>
      <c r="E18" s="77"/>
      <c r="F18" s="77"/>
      <c r="G18" s="77"/>
      <c r="H18" s="77"/>
      <c r="I18" s="77"/>
      <c r="J18" s="77"/>
      <c r="K18" s="78"/>
    </row>
    <row r="19" ht="22.5" customHeight="1">
      <c r="A19" s="76"/>
      <c r="B19" s="77"/>
      <c r="C19" s="77"/>
      <c r="D19" s="77"/>
      <c r="E19" s="77"/>
      <c r="F19" s="77"/>
      <c r="G19" s="77"/>
      <c r="H19" s="77"/>
      <c r="I19" s="77"/>
      <c r="J19" s="77"/>
      <c r="K19" s="78"/>
    </row>
    <row r="20" ht="22.5" customHeight="1">
      <c r="A20" s="76"/>
      <c r="B20" s="77"/>
      <c r="C20" s="77"/>
      <c r="D20" s="77"/>
      <c r="E20" s="77"/>
      <c r="F20" s="77"/>
      <c r="G20" s="77"/>
      <c r="H20" s="77"/>
      <c r="I20" s="77"/>
      <c r="J20" s="77"/>
      <c r="K20" s="78"/>
    </row>
    <row r="21" ht="22.5" customHeight="1">
      <c r="A21" s="80"/>
      <c r="B21" s="81"/>
      <c r="C21" s="81"/>
      <c r="D21" s="81"/>
      <c r="E21" s="81"/>
      <c r="F21" s="81"/>
      <c r="G21" s="81"/>
      <c r="H21" s="81"/>
      <c r="I21" s="81"/>
      <c r="J21" s="81"/>
      <c r="K21" s="83"/>
    </row>
  </sheetData>
  <mergeCells count="30">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7.75"/>
    <col customWidth="1" min="2" max="2" width="5.5"/>
    <col customWidth="1" min="3" max="4" width="57.0"/>
    <col customWidth="1" min="5" max="5" width="26.88"/>
  </cols>
  <sheetData>
    <row r="1">
      <c r="A1" s="1"/>
      <c r="B1" s="2"/>
      <c r="C1" s="2" t="s">
        <v>0</v>
      </c>
      <c r="D1" s="3" t="s">
        <v>1</v>
      </c>
      <c r="E1" s="4"/>
    </row>
    <row r="2">
      <c r="A2" s="6"/>
      <c r="B2" s="9"/>
      <c r="C2" s="9" t="s">
        <v>2</v>
      </c>
      <c r="D2" s="9" t="s">
        <v>5</v>
      </c>
      <c r="E2" s="6"/>
    </row>
    <row r="3">
      <c r="A3" s="11"/>
      <c r="B3" s="12"/>
      <c r="C3" s="12"/>
      <c r="D3" s="11"/>
      <c r="E3" s="11"/>
    </row>
    <row r="4">
      <c r="A4" s="17" t="s">
        <v>7</v>
      </c>
      <c r="B4" s="20" t="s">
        <v>9</v>
      </c>
      <c r="C4" s="28" t="str">
        <f>IFERROR(__xludf.DUMMYFUNCTION("GOOGLETRANSLATE(D4,""vi"",""en"")"),"Identify the security requirements that need to be implemented in the project and estimate the effort.")</f>
        <v>Identify the security requirements that need to be implemented in the project and estimate the effort.</v>
      </c>
      <c r="D4" s="28" t="s">
        <v>12</v>
      </c>
      <c r="E4" s="28"/>
    </row>
    <row r="5">
      <c r="A5" s="29"/>
      <c r="B5" s="20" t="s">
        <v>15</v>
      </c>
      <c r="C5" s="34" t="str">
        <f>IFERROR(__xludf.DUMMYFUNCTION("GOOGLETRANSLATE(D5,""vi"",""en"")"),"Technical leader participates in bidding")</f>
        <v>Technical leader participates in bidding</v>
      </c>
      <c r="D5" s="34" t="s">
        <v>16</v>
      </c>
      <c r="E5" s="34"/>
    </row>
    <row r="6">
      <c r="A6" s="29"/>
      <c r="B6" s="38" t="s">
        <v>17</v>
      </c>
      <c r="C6" s="28" t="s">
        <v>19</v>
      </c>
      <c r="D6" s="42" t="s">
        <v>21</v>
      </c>
      <c r="E6" s="56" t="s">
        <v>23</v>
      </c>
    </row>
    <row r="7">
      <c r="A7" s="29"/>
      <c r="B7" s="29"/>
      <c r="C7" s="28" t="s">
        <v>44</v>
      </c>
      <c r="D7" s="42" t="s">
        <v>45</v>
      </c>
      <c r="E7" s="56" t="s">
        <v>23</v>
      </c>
    </row>
    <row r="8">
      <c r="A8" s="58"/>
      <c r="B8" s="58"/>
      <c r="C8" s="28" t="s">
        <v>47</v>
      </c>
      <c r="D8" s="28" t="s">
        <v>48</v>
      </c>
      <c r="E8" s="56" t="s">
        <v>23</v>
      </c>
    </row>
    <row r="9">
      <c r="A9" s="11"/>
      <c r="B9" s="12"/>
      <c r="C9" s="12"/>
      <c r="D9" s="11"/>
      <c r="E9" s="11"/>
    </row>
    <row r="10">
      <c r="A10" s="6"/>
      <c r="B10" s="9"/>
      <c r="C10" s="9" t="s">
        <v>52</v>
      </c>
      <c r="D10" s="9" t="s">
        <v>53</v>
      </c>
      <c r="E10" s="6"/>
    </row>
    <row r="11">
      <c r="A11" s="11"/>
      <c r="B11" s="12"/>
      <c r="C11" s="12"/>
      <c r="D11" s="11"/>
      <c r="E11" s="11"/>
    </row>
    <row r="12">
      <c r="A12" s="17" t="s">
        <v>7</v>
      </c>
      <c r="B12" s="20" t="s">
        <v>9</v>
      </c>
      <c r="C12" s="28" t="s">
        <v>59</v>
      </c>
      <c r="D12" s="28" t="s">
        <v>60</v>
      </c>
      <c r="E12" s="28"/>
    </row>
    <row r="13">
      <c r="A13" s="29"/>
      <c r="B13" s="20" t="s">
        <v>15</v>
      </c>
      <c r="C13" s="34" t="s">
        <v>61</v>
      </c>
      <c r="D13" s="34" t="s">
        <v>61</v>
      </c>
      <c r="E13" s="34"/>
    </row>
    <row r="14">
      <c r="A14" s="58"/>
      <c r="B14" s="20" t="s">
        <v>17</v>
      </c>
      <c r="C14" s="28" t="s">
        <v>66</v>
      </c>
      <c r="D14" s="28" t="s">
        <v>71</v>
      </c>
      <c r="E14" s="62" t="s">
        <v>75</v>
      </c>
    </row>
    <row r="15">
      <c r="A15" s="63"/>
      <c r="B15" s="12"/>
      <c r="C15" s="12"/>
      <c r="D15" s="11"/>
      <c r="E15" s="11"/>
    </row>
    <row r="16">
      <c r="A16" s="6"/>
      <c r="B16" s="9"/>
      <c r="C16" s="9" t="s">
        <v>81</v>
      </c>
      <c r="D16" s="9" t="s">
        <v>82</v>
      </c>
      <c r="E16" s="6"/>
    </row>
    <row r="17">
      <c r="A17" s="63"/>
      <c r="B17" s="12"/>
      <c r="C17" s="12"/>
      <c r="D17" s="11"/>
      <c r="E17" s="11"/>
    </row>
    <row r="18">
      <c r="A18" s="17" t="s">
        <v>86</v>
      </c>
      <c r="B18" s="20" t="s">
        <v>9</v>
      </c>
      <c r="C18" s="28" t="str">
        <f>IFERROR(__xludf.DUMMYFUNCTION("GOOGLETRANSLATE(D18,""vi"",""en"")"),"Identify specific actions and corresponding control mechanisms to meet the Security Requirements.")</f>
        <v>Identify specific actions and corresponding control mechanisms to meet the Security Requirements.</v>
      </c>
      <c r="D18" s="28" t="s">
        <v>91</v>
      </c>
      <c r="E18" s="28"/>
    </row>
    <row r="19">
      <c r="A19" s="29"/>
      <c r="B19" s="20" t="s">
        <v>15</v>
      </c>
      <c r="C19" s="34" t="s">
        <v>95</v>
      </c>
      <c r="D19" s="34" t="s">
        <v>95</v>
      </c>
      <c r="E19" s="65"/>
    </row>
    <row r="20">
      <c r="A20" s="29"/>
      <c r="B20" s="38" t="s">
        <v>17</v>
      </c>
      <c r="C20" s="70" t="s">
        <v>102</v>
      </c>
      <c r="D20" s="73" t="s">
        <v>111</v>
      </c>
      <c r="E20" s="79" t="s">
        <v>114</v>
      </c>
    </row>
    <row r="21">
      <c r="A21" s="29"/>
      <c r="B21" s="58"/>
      <c r="C21" s="28" t="str">
        <f>IFERROR(__xludf.DUMMYFUNCTION("GOOGLETRANSLATE(D21,""vi"",""en"")"),"2. Prepare knowledge-based training materials to ensure consistency in implementing the project's security requirements (if needed).")</f>
        <v>2. Prepare knowledge-based training materials to ensure consistency in implementing the project's security requirements (if needed).</v>
      </c>
      <c r="D21" s="28" t="s">
        <v>122</v>
      </c>
      <c r="E21" s="28" t="s">
        <v>123</v>
      </c>
    </row>
    <row r="22">
      <c r="A22" s="29"/>
      <c r="B22" s="20" t="s">
        <v>15</v>
      </c>
      <c r="C22" s="34" t="s">
        <v>61</v>
      </c>
      <c r="D22" s="34" t="s">
        <v>61</v>
      </c>
      <c r="E22" s="65"/>
    </row>
    <row r="23">
      <c r="A23" s="29"/>
      <c r="B23" s="38" t="s">
        <v>17</v>
      </c>
      <c r="C23" s="28" t="str">
        <f>IFERROR(__xludf.DUMMYFUNCTION("GOOGLETRANSLATE(D23,""vi"",""en"")"),"1. Update the tasks that perform the Security Requirement Actions in the project's Master Schedule (create tickets to handle each Action accordingly).")</f>
        <v>1. Update the tasks that perform the Security Requirement Actions in the project's Master Schedule (create tickets to handle each Action accordingly).</v>
      </c>
      <c r="D23" s="28" t="s">
        <v>128</v>
      </c>
      <c r="E23" s="28" t="s">
        <v>129</v>
      </c>
    </row>
    <row r="24">
      <c r="A24" s="58"/>
      <c r="B24" s="82"/>
      <c r="C24" s="28" t="s">
        <v>131</v>
      </c>
      <c r="D24" s="28" t="s">
        <v>133</v>
      </c>
      <c r="E24" s="28" t="s">
        <v>134</v>
      </c>
    </row>
    <row r="25">
      <c r="A25" s="11"/>
      <c r="B25" s="12"/>
      <c r="C25" s="12"/>
      <c r="D25" s="11"/>
      <c r="E25" s="11"/>
    </row>
    <row r="26">
      <c r="A26" s="17" t="s">
        <v>136</v>
      </c>
      <c r="B26" s="20" t="s">
        <v>9</v>
      </c>
      <c r="C26" s="28" t="str">
        <f>IFERROR(__xludf.DUMMYFUNCTION("GOOGLETRANSLATE(D26,""vi"",""en"")"),"Tracking the progress of implementing security requirements.")</f>
        <v>Tracking the progress of implementing security requirements.</v>
      </c>
      <c r="D26" s="28" t="s">
        <v>139</v>
      </c>
      <c r="E26" s="28"/>
    </row>
    <row r="27">
      <c r="A27" s="29"/>
      <c r="B27" s="20" t="s">
        <v>15</v>
      </c>
      <c r="C27" s="34" t="s">
        <v>61</v>
      </c>
      <c r="D27" s="34" t="s">
        <v>61</v>
      </c>
      <c r="E27" s="65"/>
    </row>
    <row r="28">
      <c r="A28" s="29"/>
      <c r="B28" s="20" t="s">
        <v>17</v>
      </c>
      <c r="C28" s="28" t="str">
        <f>IFERROR(__xludf.DUMMYFUNCTION("GOOGLETRANSLATE(D28,""vi"",""en"")"),"1. Regularly track the progress of security requirements during team meetings (Sprint Meetings, etc.).
Requirement: Update the status and provide evidence for the implementation of the corresponding actions, including source code, etc.")</f>
        <v>1. Regularly track the progress of security requirements during team meetings (Sprint Meetings, etc.).
Requirement: Update the status and provide evidence for the implementation of the corresponding actions, including source code, etc.</v>
      </c>
      <c r="D28" s="28" t="s">
        <v>142</v>
      </c>
      <c r="E28" s="79" t="s">
        <v>114</v>
      </c>
    </row>
    <row r="29">
      <c r="A29" s="58"/>
      <c r="B29" s="28"/>
      <c r="C29" s="84" t="str">
        <f>IFERROR(__xludf.DUMMYFUNCTION("GOOGLETRANSLATE(D29,""vi"",""en"")"),"(*) If, during the implementation process, any item requires changes to the agreed-upon security requirements, the project team must notify the Client and proceed as in step 2. Client approval.")</f>
        <v>(*) If, during the implementation process, any item requires changes to the agreed-upon security requirements, the project team must notify the Client and proceed as in step 2. Client approval.</v>
      </c>
      <c r="D29" s="84" t="s">
        <v>147</v>
      </c>
      <c r="E29" s="28"/>
    </row>
    <row r="30">
      <c r="A30" s="11"/>
      <c r="B30" s="12"/>
      <c r="C30" s="12"/>
      <c r="D30" s="11"/>
      <c r="E30" s="11"/>
    </row>
    <row r="31">
      <c r="A31" s="11"/>
      <c r="B31" s="12"/>
      <c r="C31" s="12"/>
      <c r="D31" s="11"/>
      <c r="E31" s="11"/>
    </row>
  </sheetData>
  <mergeCells count="6">
    <mergeCell ref="A4:A8"/>
    <mergeCell ref="B6:B8"/>
    <mergeCell ref="A12:A14"/>
    <mergeCell ref="A18:A24"/>
    <mergeCell ref="B20:B21"/>
    <mergeCell ref="A26:A29"/>
  </mergeCells>
  <hyperlinks>
    <hyperlink r:id="rId1" ref="E6"/>
    <hyperlink r:id="rId2" ref="E7"/>
    <hyperlink r:id="rId3" ref="E8"/>
    <hyperlink r:id="rId4" ref="E14"/>
    <hyperlink display="1. From the Security Requirements agreed upon at the time of Bidding, build specific content for each Security Requirement: specific action, PIC side to perform action, team to perform action...&#10;Refer to recommendation solutions to ensure each Security Requirement in Security Requirement (Recommendation)" location="null!A1" ref="C20"/>
    <hyperlink display="1. Từ các Yêu cầu bảo mật đã được thống nhất từ lúc Bidding, xây dựng các nội dung cụ thể cho từng Yêu cầu bảo mật: action cụ thể, phía PIC thực hiện action, đội thực hiện action ...&#10;Tham khảo các solution gợi ý có thể thực hiện để đảm bảo từng Yêu cầu bảo mật tại Security Requirement (Recommendation)" location="null!A1" ref="D20"/>
    <hyperlink r:id="rId5" location="gid=262412966" ref="E20"/>
    <hyperlink r:id="rId6" location="gid=262412966" ref="E2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outlineLevelRow="1"/>
  <cols>
    <col customWidth="1" min="1" max="1" width="4.63"/>
    <col customWidth="1" min="2" max="3" width="26.88"/>
    <col customWidth="1" min="4" max="4" width="21.38"/>
    <col customWidth="1" min="5" max="5" width="28.88"/>
    <col customWidth="1" min="6" max="6" width="10.0"/>
    <col customWidth="1" min="7" max="7" width="9.25"/>
    <col customWidth="1" min="8" max="8" width="16.0"/>
    <col customWidth="1" min="9" max="9" width="28.63"/>
  </cols>
  <sheetData>
    <row r="1" ht="22.5" customHeight="1" outlineLevel="1">
      <c r="A1" s="5"/>
      <c r="B1" s="8"/>
      <c r="C1" s="8"/>
      <c r="D1" s="13" t="s">
        <v>4</v>
      </c>
      <c r="E1" s="8"/>
      <c r="F1" s="8"/>
      <c r="G1" s="8"/>
      <c r="H1" s="16" t="s">
        <v>6</v>
      </c>
      <c r="I1" s="18"/>
    </row>
    <row r="2" ht="22.5" customHeight="1" outlineLevel="1">
      <c r="A2" s="15"/>
      <c r="D2" s="15"/>
      <c r="H2" s="21" t="s">
        <v>8</v>
      </c>
      <c r="I2" s="22"/>
    </row>
    <row r="3" ht="22.5" customHeight="1" outlineLevel="1">
      <c r="A3" s="15"/>
      <c r="D3" s="15"/>
      <c r="H3" s="24" t="s">
        <v>10</v>
      </c>
      <c r="I3" s="26"/>
    </row>
    <row r="4" ht="22.5" customHeight="1" outlineLevel="1">
      <c r="A4" s="25" t="s">
        <v>11</v>
      </c>
      <c r="B4" s="31"/>
      <c r="C4" s="31"/>
      <c r="D4" s="31"/>
      <c r="E4" s="31"/>
      <c r="F4" s="31"/>
      <c r="G4" s="35"/>
      <c r="H4" s="39" t="s">
        <v>14</v>
      </c>
      <c r="I4" s="37"/>
    </row>
    <row r="5" outlineLevel="1">
      <c r="A5" s="41"/>
      <c r="B5" s="41"/>
      <c r="C5" s="41"/>
      <c r="D5" s="44"/>
      <c r="E5" s="44"/>
      <c r="F5" s="44"/>
      <c r="G5" s="44"/>
      <c r="H5" s="44"/>
      <c r="I5" s="44"/>
    </row>
    <row r="6" ht="22.5" customHeight="1">
      <c r="A6" s="47" t="s">
        <v>18</v>
      </c>
      <c r="B6" s="47" t="s">
        <v>26</v>
      </c>
      <c r="C6" s="47" t="s">
        <v>27</v>
      </c>
      <c r="D6" s="47" t="s">
        <v>29</v>
      </c>
      <c r="E6" s="47" t="s">
        <v>30</v>
      </c>
      <c r="F6" s="47" t="s">
        <v>32</v>
      </c>
      <c r="G6" s="47" t="s">
        <v>33</v>
      </c>
      <c r="H6" s="47" t="s">
        <v>34</v>
      </c>
      <c r="I6" s="47" t="s">
        <v>35</v>
      </c>
    </row>
    <row r="7" ht="22.5" customHeight="1">
      <c r="A7" s="52">
        <v>1.0</v>
      </c>
      <c r="B7" s="53" t="s">
        <v>37</v>
      </c>
      <c r="C7" s="53" t="s">
        <v>39</v>
      </c>
      <c r="D7" s="57" t="b">
        <v>0</v>
      </c>
      <c r="E7" s="53"/>
      <c r="F7" s="53"/>
      <c r="G7" s="53"/>
      <c r="H7" s="53"/>
      <c r="I7" s="53"/>
    </row>
    <row r="8" ht="22.5" customHeight="1">
      <c r="A8" s="52">
        <v>2.0</v>
      </c>
      <c r="B8" s="53" t="s">
        <v>51</v>
      </c>
      <c r="C8" s="53" t="s">
        <v>50</v>
      </c>
      <c r="D8" s="57" t="b">
        <v>0</v>
      </c>
      <c r="E8" s="53"/>
      <c r="F8" s="53"/>
      <c r="G8" s="53"/>
      <c r="H8" s="53"/>
      <c r="I8" s="53"/>
    </row>
    <row r="9" ht="22.5" customHeight="1">
      <c r="A9" s="52">
        <v>3.0</v>
      </c>
      <c r="B9" s="53" t="s">
        <v>56</v>
      </c>
      <c r="C9" s="53" t="s">
        <v>57</v>
      </c>
      <c r="D9" s="57" t="b">
        <v>0</v>
      </c>
      <c r="E9" s="53"/>
      <c r="F9" s="53"/>
      <c r="G9" s="53"/>
      <c r="H9" s="53"/>
      <c r="I9" s="53"/>
    </row>
    <row r="10" ht="22.5" customHeight="1">
      <c r="A10" s="52">
        <v>4.0</v>
      </c>
      <c r="B10" s="53" t="s">
        <v>63</v>
      </c>
      <c r="C10" s="53" t="s">
        <v>64</v>
      </c>
      <c r="D10" s="57" t="b">
        <v>0</v>
      </c>
      <c r="E10" s="53"/>
      <c r="F10" s="53"/>
      <c r="G10" s="53"/>
      <c r="H10" s="53"/>
      <c r="I10" s="53"/>
    </row>
    <row r="11" ht="22.5" customHeight="1">
      <c r="A11" s="52">
        <v>5.0</v>
      </c>
      <c r="B11" s="53" t="s">
        <v>68</v>
      </c>
      <c r="C11" s="53" t="s">
        <v>69</v>
      </c>
      <c r="D11" s="57" t="b">
        <v>0</v>
      </c>
      <c r="E11" s="53"/>
      <c r="F11" s="53"/>
      <c r="G11" s="53"/>
      <c r="H11" s="53"/>
      <c r="I11" s="53"/>
    </row>
    <row r="12" ht="22.5" customHeight="1">
      <c r="A12" s="52">
        <v>6.0</v>
      </c>
      <c r="B12" s="53" t="s">
        <v>73</v>
      </c>
      <c r="C12" s="53" t="s">
        <v>74</v>
      </c>
      <c r="D12" s="57" t="b">
        <v>0</v>
      </c>
      <c r="E12" s="53"/>
      <c r="F12" s="53"/>
      <c r="G12" s="53"/>
      <c r="H12" s="53"/>
      <c r="I12" s="53"/>
    </row>
    <row r="13" ht="22.5" customHeight="1">
      <c r="A13" s="52">
        <v>7.0</v>
      </c>
      <c r="B13" s="53" t="s">
        <v>79</v>
      </c>
      <c r="C13" s="53" t="s">
        <v>80</v>
      </c>
      <c r="D13" s="57" t="b">
        <v>0</v>
      </c>
      <c r="E13" s="53"/>
      <c r="F13" s="53"/>
      <c r="G13" s="53"/>
      <c r="H13" s="53"/>
      <c r="I13" s="53"/>
    </row>
    <row r="14" ht="22.5" customHeight="1">
      <c r="A14" s="52">
        <v>8.0</v>
      </c>
      <c r="B14" s="53" t="s">
        <v>83</v>
      </c>
      <c r="C14" s="53" t="s">
        <v>85</v>
      </c>
      <c r="D14" s="57" t="b">
        <v>0</v>
      </c>
      <c r="E14" s="53"/>
      <c r="F14" s="53"/>
      <c r="G14" s="53"/>
      <c r="H14" s="53"/>
      <c r="I14" s="53"/>
    </row>
    <row r="15" ht="22.5" customHeight="1">
      <c r="A15" s="52">
        <v>9.0</v>
      </c>
      <c r="B15" s="53" t="s">
        <v>88</v>
      </c>
      <c r="C15" s="53" t="s">
        <v>89</v>
      </c>
      <c r="D15" s="57" t="b">
        <v>0</v>
      </c>
      <c r="E15" s="53"/>
      <c r="F15" s="53"/>
      <c r="G15" s="53"/>
      <c r="H15" s="53"/>
      <c r="I15" s="53"/>
    </row>
    <row r="16" ht="22.5" customHeight="1">
      <c r="A16" s="52">
        <v>10.0</v>
      </c>
      <c r="B16" s="53" t="s">
        <v>92</v>
      </c>
      <c r="C16" s="53" t="s">
        <v>93</v>
      </c>
      <c r="D16" s="57" t="b">
        <v>0</v>
      </c>
      <c r="E16" s="53"/>
      <c r="F16" s="53"/>
      <c r="G16" s="53"/>
      <c r="H16" s="53"/>
      <c r="I16" s="53"/>
    </row>
    <row r="17" ht="22.5" customHeight="1">
      <c r="A17" s="52">
        <v>11.0</v>
      </c>
      <c r="B17" s="53" t="s">
        <v>96</v>
      </c>
      <c r="C17" s="53" t="s">
        <v>98</v>
      </c>
      <c r="D17" s="57" t="b">
        <v>0</v>
      </c>
      <c r="E17" s="53"/>
      <c r="F17" s="53"/>
      <c r="G17" s="53"/>
      <c r="H17" s="53"/>
      <c r="I17" s="53"/>
    </row>
    <row r="18" ht="22.5" customHeight="1">
      <c r="A18" s="52">
        <v>12.0</v>
      </c>
      <c r="B18" s="53" t="s">
        <v>100</v>
      </c>
      <c r="C18" s="53" t="s">
        <v>101</v>
      </c>
      <c r="D18" s="57" t="b">
        <v>0</v>
      </c>
      <c r="E18" s="53"/>
      <c r="F18" s="53"/>
      <c r="G18" s="53"/>
      <c r="H18" s="53"/>
      <c r="I18" s="53"/>
    </row>
    <row r="19" ht="22.5" customHeight="1">
      <c r="A19" s="52">
        <v>13.0</v>
      </c>
      <c r="B19" s="53" t="s">
        <v>104</v>
      </c>
      <c r="C19" s="53" t="s">
        <v>105</v>
      </c>
      <c r="D19" s="57" t="b">
        <v>0</v>
      </c>
      <c r="E19" s="53"/>
      <c r="F19" s="53"/>
      <c r="G19" s="53"/>
      <c r="H19" s="53"/>
      <c r="I19" s="53"/>
    </row>
    <row r="20" ht="22.5" customHeight="1">
      <c r="A20" s="52">
        <v>14.0</v>
      </c>
      <c r="B20" s="53" t="s">
        <v>106</v>
      </c>
      <c r="C20" s="53" t="s">
        <v>107</v>
      </c>
      <c r="D20" s="57" t="b">
        <v>0</v>
      </c>
      <c r="E20" s="53"/>
      <c r="F20" s="53"/>
      <c r="G20" s="53"/>
      <c r="H20" s="53"/>
      <c r="I20" s="53"/>
    </row>
    <row r="21" ht="22.5" customHeight="1">
      <c r="A21" s="52">
        <v>15.0</v>
      </c>
      <c r="B21" s="53" t="s">
        <v>109</v>
      </c>
      <c r="C21" s="53" t="s">
        <v>110</v>
      </c>
      <c r="D21" s="57" t="b">
        <v>0</v>
      </c>
      <c r="E21" s="53"/>
      <c r="F21" s="53"/>
      <c r="G21" s="53"/>
      <c r="H21" s="53"/>
      <c r="I21" s="53"/>
    </row>
    <row r="22" ht="22.5" customHeight="1">
      <c r="A22" s="52">
        <v>16.0</v>
      </c>
      <c r="B22" s="53" t="s">
        <v>112</v>
      </c>
      <c r="C22" s="53" t="s">
        <v>113</v>
      </c>
      <c r="D22" s="57" t="b">
        <v>0</v>
      </c>
      <c r="E22" s="53"/>
      <c r="F22" s="53"/>
      <c r="G22" s="53"/>
      <c r="H22" s="53"/>
      <c r="I22" s="53"/>
    </row>
    <row r="23" ht="22.5" customHeight="1">
      <c r="A23" s="52">
        <v>17.0</v>
      </c>
      <c r="B23" s="53" t="s">
        <v>115</v>
      </c>
      <c r="C23" s="53"/>
      <c r="D23" s="57" t="b">
        <v>0</v>
      </c>
      <c r="E23" s="53"/>
      <c r="F23" s="53"/>
      <c r="G23" s="53"/>
      <c r="H23" s="53"/>
      <c r="I23" s="53"/>
    </row>
    <row r="24" ht="22.5" customHeight="1">
      <c r="A24" s="52">
        <v>18.0</v>
      </c>
      <c r="B24" s="53" t="s">
        <v>115</v>
      </c>
      <c r="C24" s="53"/>
      <c r="D24" s="57" t="b">
        <v>0</v>
      </c>
      <c r="E24" s="53"/>
      <c r="F24" s="53"/>
      <c r="G24" s="53"/>
      <c r="H24" s="53"/>
      <c r="I24" s="53"/>
    </row>
  </sheetData>
  <mergeCells count="6">
    <mergeCell ref="A1:C3"/>
    <mergeCell ref="D1:G3"/>
    <mergeCell ref="H1:I1"/>
    <mergeCell ref="H2:I2"/>
    <mergeCell ref="H3:I3"/>
    <mergeCell ref="H4:I4"/>
  </mergeCells>
  <dataValidations>
    <dataValidation type="list" allowBlank="1" showErrorMessage="1" sqref="F7:F24">
      <formula1>"Sun* VN,Sun* JP,Customer"</formula1>
    </dataValidation>
    <dataValidation type="list" allowBlank="1" showErrorMessage="1" sqref="H7:H24">
      <formula1>"New,In progress,Resolved,Rejected"</formula1>
    </dataValidation>
    <dataValidation type="list" allowBlank="1" showErrorMessage="1" sqref="G7:G24">
      <formula1>"BE,FE,Infra,All team,QA"</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6.0" topLeftCell="A7" activePane="bottomLeft" state="frozen"/>
      <selection activeCell="B8" sqref="B8" pane="bottomLeft"/>
    </sheetView>
  </sheetViews>
  <sheetFormatPr customHeight="1" defaultColWidth="12.63" defaultRowHeight="15.75" outlineLevelRow="1"/>
  <cols>
    <col customWidth="1" min="1" max="1" width="3.38"/>
    <col customWidth="1" min="2" max="2" width="21.38"/>
    <col customWidth="1" min="3" max="3" width="66.63"/>
    <col customWidth="1" min="4" max="4" width="21.38"/>
    <col customWidth="1" min="5" max="5" width="29.13"/>
    <col customWidth="1" min="6" max="6" width="36.63"/>
  </cols>
  <sheetData>
    <row r="1" ht="22.5" customHeight="1" outlineLevel="1">
      <c r="A1" s="5"/>
      <c r="B1" s="8"/>
      <c r="C1" s="10" t="s">
        <v>3</v>
      </c>
      <c r="D1" s="8"/>
      <c r="E1" s="8"/>
      <c r="F1" s="14" t="s">
        <v>6</v>
      </c>
    </row>
    <row r="2" ht="22.5" customHeight="1" outlineLevel="1">
      <c r="A2" s="15"/>
      <c r="C2" s="15"/>
      <c r="F2" s="19" t="s">
        <v>8</v>
      </c>
    </row>
    <row r="3" ht="22.5" customHeight="1" outlineLevel="1">
      <c r="A3" s="15"/>
      <c r="C3" s="15"/>
      <c r="F3" s="23" t="s">
        <v>10</v>
      </c>
    </row>
    <row r="4" ht="22.5" customHeight="1" outlineLevel="1">
      <c r="A4" s="25" t="s">
        <v>11</v>
      </c>
      <c r="B4" s="27"/>
      <c r="C4" s="27"/>
      <c r="D4" s="27"/>
      <c r="E4" s="27"/>
      <c r="F4" s="30" t="s">
        <v>14</v>
      </c>
    </row>
    <row r="5" outlineLevel="1">
      <c r="A5" s="32"/>
      <c r="B5" s="32"/>
      <c r="C5" s="36"/>
      <c r="D5" s="32"/>
      <c r="E5" s="36"/>
      <c r="F5" s="36"/>
    </row>
    <row r="6" ht="22.5" customHeight="1">
      <c r="A6" s="40" t="s">
        <v>18</v>
      </c>
      <c r="B6" s="40" t="s">
        <v>20</v>
      </c>
      <c r="C6" s="45" t="s">
        <v>22</v>
      </c>
      <c r="D6" s="40" t="s">
        <v>24</v>
      </c>
      <c r="E6" s="45" t="s">
        <v>25</v>
      </c>
      <c r="F6" s="37"/>
    </row>
    <row r="7" ht="22.5" customHeight="1">
      <c r="A7" s="49">
        <v>1.0</v>
      </c>
      <c r="B7" s="51" t="s">
        <v>31</v>
      </c>
      <c r="C7" s="54" t="s">
        <v>38</v>
      </c>
      <c r="D7" s="51" t="s">
        <v>40</v>
      </c>
      <c r="E7" s="54" t="s">
        <v>42</v>
      </c>
      <c r="F7" s="37"/>
    </row>
    <row r="8" ht="22.5" customHeight="1">
      <c r="A8" s="49">
        <v>2.0</v>
      </c>
      <c r="B8" s="51" t="s">
        <v>46</v>
      </c>
      <c r="C8" s="54" t="s">
        <v>49</v>
      </c>
      <c r="D8" s="51" t="s">
        <v>50</v>
      </c>
      <c r="E8" s="54" t="s">
        <v>55</v>
      </c>
      <c r="F8" s="37"/>
    </row>
    <row r="9" ht="22.5" customHeight="1">
      <c r="A9" s="49">
        <v>3.0</v>
      </c>
      <c r="B9" s="51" t="s">
        <v>58</v>
      </c>
      <c r="C9" s="54" t="s">
        <v>62</v>
      </c>
      <c r="D9" s="51" t="s">
        <v>57</v>
      </c>
      <c r="E9" s="54" t="s">
        <v>65</v>
      </c>
      <c r="F9" s="37"/>
    </row>
    <row r="10" ht="22.5" customHeight="1">
      <c r="A10" s="49">
        <v>4.0</v>
      </c>
      <c r="B10" s="51" t="s">
        <v>70</v>
      </c>
      <c r="C10" s="54" t="s">
        <v>76</v>
      </c>
      <c r="D10" s="51" t="s">
        <v>78</v>
      </c>
      <c r="E10" s="54" t="s">
        <v>84</v>
      </c>
      <c r="F10" s="37"/>
    </row>
    <row r="11" ht="22.5" customHeight="1">
      <c r="A11" s="49">
        <v>5.0</v>
      </c>
      <c r="B11" s="51" t="s">
        <v>87</v>
      </c>
      <c r="C11" s="54" t="s">
        <v>90</v>
      </c>
      <c r="D11" s="51" t="s">
        <v>69</v>
      </c>
      <c r="E11" s="54" t="s">
        <v>94</v>
      </c>
      <c r="F11" s="37"/>
    </row>
    <row r="12" ht="22.5" customHeight="1">
      <c r="A12" s="49">
        <v>6.0</v>
      </c>
      <c r="B12" s="51" t="s">
        <v>97</v>
      </c>
      <c r="C12" s="54" t="s">
        <v>99</v>
      </c>
      <c r="D12" s="51" t="s">
        <v>74</v>
      </c>
      <c r="E12" s="54" t="s">
        <v>103</v>
      </c>
      <c r="F12" s="37"/>
    </row>
    <row r="13" ht="22.5" customHeight="1">
      <c r="A13" s="49">
        <v>7.0</v>
      </c>
      <c r="B13" s="51" t="s">
        <v>79</v>
      </c>
      <c r="C13" s="71" t="s">
        <v>108</v>
      </c>
      <c r="D13" s="51" t="s">
        <v>80</v>
      </c>
      <c r="E13" s="71" t="s">
        <v>116</v>
      </c>
      <c r="F13" s="37"/>
    </row>
    <row r="14" ht="22.5" customHeight="1">
      <c r="A14" s="49">
        <v>8.0</v>
      </c>
      <c r="B14" s="51" t="s">
        <v>117</v>
      </c>
      <c r="C14" s="54" t="s">
        <v>118</v>
      </c>
      <c r="D14" s="51" t="s">
        <v>85</v>
      </c>
      <c r="E14" s="54" t="s">
        <v>119</v>
      </c>
      <c r="F14" s="37"/>
    </row>
    <row r="15" ht="22.5" customHeight="1">
      <c r="A15" s="49">
        <v>9.0</v>
      </c>
      <c r="B15" s="51" t="s">
        <v>120</v>
      </c>
      <c r="C15" s="54" t="s">
        <v>121</v>
      </c>
      <c r="D15" s="51" t="s">
        <v>89</v>
      </c>
      <c r="E15" s="54" t="s">
        <v>124</v>
      </c>
      <c r="F15" s="37"/>
    </row>
    <row r="16" ht="22.5" customHeight="1">
      <c r="A16" s="49">
        <v>10.0</v>
      </c>
      <c r="B16" s="51" t="s">
        <v>125</v>
      </c>
      <c r="C16" s="54" t="s">
        <v>126</v>
      </c>
      <c r="D16" s="51" t="s">
        <v>93</v>
      </c>
      <c r="E16" s="54" t="s">
        <v>127</v>
      </c>
      <c r="F16" s="37"/>
    </row>
    <row r="17" ht="22.5" customHeight="1">
      <c r="A17" s="49">
        <v>11.0</v>
      </c>
      <c r="B17" s="51" t="s">
        <v>130</v>
      </c>
      <c r="C17" s="54" t="s">
        <v>132</v>
      </c>
      <c r="D17" s="51" t="s">
        <v>135</v>
      </c>
      <c r="E17" s="54" t="s">
        <v>137</v>
      </c>
      <c r="F17" s="37"/>
    </row>
    <row r="18" ht="22.5" customHeight="1">
      <c r="A18" s="49">
        <v>12.0</v>
      </c>
      <c r="B18" s="51" t="s">
        <v>138</v>
      </c>
      <c r="C18" s="54" t="s">
        <v>140</v>
      </c>
      <c r="D18" s="51" t="s">
        <v>101</v>
      </c>
      <c r="E18" s="54" t="s">
        <v>141</v>
      </c>
      <c r="F18" s="37"/>
    </row>
    <row r="19" ht="22.5" customHeight="1">
      <c r="A19" s="49">
        <v>13.0</v>
      </c>
      <c r="B19" s="51" t="s">
        <v>143</v>
      </c>
      <c r="C19" s="54" t="s">
        <v>144</v>
      </c>
      <c r="D19" s="51" t="s">
        <v>105</v>
      </c>
      <c r="E19" s="54" t="s">
        <v>145</v>
      </c>
      <c r="F19" s="37"/>
    </row>
    <row r="20" ht="22.5" customHeight="1">
      <c r="A20" s="49">
        <v>14.0</v>
      </c>
      <c r="B20" s="51" t="s">
        <v>146</v>
      </c>
      <c r="C20" s="54" t="s">
        <v>148</v>
      </c>
      <c r="D20" s="51" t="s">
        <v>107</v>
      </c>
      <c r="E20" s="54" t="s">
        <v>149</v>
      </c>
      <c r="F20" s="37"/>
    </row>
    <row r="21" ht="22.5" customHeight="1">
      <c r="A21" s="49">
        <v>15.0</v>
      </c>
      <c r="B21" s="51" t="s">
        <v>150</v>
      </c>
      <c r="C21" s="85" t="s">
        <v>151</v>
      </c>
      <c r="D21" s="51" t="s">
        <v>152</v>
      </c>
      <c r="E21" s="85" t="s">
        <v>153</v>
      </c>
      <c r="F21" s="37"/>
    </row>
    <row r="22" ht="22.5" customHeight="1">
      <c r="A22" s="49">
        <v>16.0</v>
      </c>
      <c r="B22" s="51" t="s">
        <v>154</v>
      </c>
      <c r="C22" s="54" t="s">
        <v>155</v>
      </c>
      <c r="D22" s="51" t="s">
        <v>113</v>
      </c>
      <c r="E22" s="54" t="s">
        <v>156</v>
      </c>
      <c r="F22" s="37"/>
    </row>
  </sheetData>
  <mergeCells count="20">
    <mergeCell ref="A1:B3"/>
    <mergeCell ref="C1:E3"/>
    <mergeCell ref="A4:E4"/>
    <mergeCell ref="E6:F6"/>
    <mergeCell ref="E7:F7"/>
    <mergeCell ref="E8:F8"/>
    <mergeCell ref="E9:F9"/>
    <mergeCell ref="E17:F17"/>
    <mergeCell ref="E18:F18"/>
    <mergeCell ref="E19:F19"/>
    <mergeCell ref="E20:F20"/>
    <mergeCell ref="E21:F21"/>
    <mergeCell ref="E22:F22"/>
    <mergeCell ref="E10:F10"/>
    <mergeCell ref="E11:F11"/>
    <mergeCell ref="E12:F12"/>
    <mergeCell ref="E13:F13"/>
    <mergeCell ref="E14:F14"/>
    <mergeCell ref="E15:F15"/>
    <mergeCell ref="E16:F16"/>
  </mergeCells>
  <hyperlinks>
    <hyperlink r:id="rId1" ref="C21"/>
    <hyperlink r:id="rId2" ref="E21"/>
  </hyperlinks>
  <drawing r:id="rId3"/>
</worksheet>
</file>