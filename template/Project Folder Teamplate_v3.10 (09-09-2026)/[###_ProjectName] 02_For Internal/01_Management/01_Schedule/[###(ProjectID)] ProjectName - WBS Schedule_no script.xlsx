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開発スケジュール" sheetId="1" r:id="rId4"/>
    <sheet state="visible" name="History of changes" sheetId="2" r:id="rId5"/>
    <sheet state="visible" name="WBS Schedule" sheetId="3" r:id="rId6"/>
    <sheet state="hidden" name="CR List" sheetId="4" r:id="rId7"/>
    <sheet state="hidden" name="Raw of 2019 Only B2C Web開発(Back" sheetId="5" r:id="rId8"/>
    <sheet state="hidden" name="Copy of (SP) MH nhập thông tin " sheetId="6" r:id="rId9"/>
    <sheet state="hidden" name="Copy of (PC) MH nhập thông tin " sheetId="7" r:id="rId10"/>
    <sheet state="visible" name="General" sheetId="8" r:id="rId11"/>
  </sheets>
  <definedNames>
    <definedName name="FEReceiverManagement">#REF!</definedName>
    <definedName localSheetId="3" name="BEBasicLayout">#REF!</definedName>
    <definedName name="BEAdvanceFeatures">#REF!</definedName>
    <definedName name="Holiday">General!$U$13:$U$26</definedName>
    <definedName name="BEBasicLayout">#REF!</definedName>
    <definedName localSheetId="3" name="BEAdvanceFeatures">#REF!</definedName>
    <definedName name="FEAdvanceFeatures">#REF!</definedName>
    <definedName name="BEReceiMng">#REF!</definedName>
    <definedName hidden="1" localSheetId="0" name="_xlnm._FilterDatabase">'開発スケジュール'!$D$1:$D$996</definedName>
    <definedName hidden="1" localSheetId="2" name="Z_B1FC7DAC_4864_4F9E_8234_F148D9894BF9_.wvu.FilterData">'WBS Schedule'!$C$6:$C$45</definedName>
    <definedName hidden="1" localSheetId="2" name="Z_AD1FC08A_126A_47F9_AFE1_A109C2AA0699_.wvu.FilterData">'WBS Schedule'!$C$6:$C$45</definedName>
    <definedName hidden="1" localSheetId="2" name="Z_AAFA9614_E95D_4D80_96B6_67B33CFD72A0_.wvu.FilterData">'WBS Schedule'!$I$6:$I$45</definedName>
    <definedName hidden="1" localSheetId="2" name="Z_402F93E8_2940_4EC7_9ED6_390B4858E4F9_.wvu.FilterData">'WBS Schedule'!$C$6:$C$45</definedName>
    <definedName hidden="1" localSheetId="0" name="Z_402F93E8_2940_4EC7_9ED6_390B4858E4F9_.wvu.FilterData">'開発スケジュール'!$D$1:$D$996</definedName>
    <definedName hidden="1" localSheetId="2" name="Z_39A01C87_4386_4D86_A6FD_A24592FD85E2_.wvu.FilterData">'WBS Schedule'!$C$6:$C$45</definedName>
    <definedName hidden="1" localSheetId="2" name="Z_642FE709_EA32_4BE0_8C5A_7F5ABD26F792_.wvu.FilterData">'WBS Schedule'!$C$6:$C$45</definedName>
  </definedNames>
  <calcPr/>
  <customWorkbookViews>
    <customWorkbookView activeSheetId="0" maximized="1" windowHeight="0" windowWidth="0" guid="{B1FC7DAC-4864-4F9E-8234-F148D9894BF9}" name="QA"/>
    <customWorkbookView activeSheetId="0" maximized="1" windowHeight="0" windowWidth="0" guid="{AD1FC08A-126A-47F9-AFE1-A109C2AA0699}" name="PG2"/>
    <customWorkbookView activeSheetId="0" maximized="1" windowHeight="0" windowWidth="0" guid="{AAFA9614-E95D-4D80-96B6-67B33CFD72A0}" name="Done"/>
    <customWorkbookView activeSheetId="0" maximized="1" windowHeight="0" windowWidth="0" guid="{402F93E8-2940-4EC7-9ED6-390B4858E4F9}" name="Đà Nẵng"/>
    <customWorkbookView activeSheetId="0" maximized="1" windowHeight="0" windowWidth="0" guid="{39A01C87-4386-4D86-A6FD-A24592FD85E2}" name="PG 3"/>
    <customWorkbookView activeSheetId="0" maximized="1" windowHeight="0" windowWidth="0" guid="{642FE709-EA32-4BE0-8C5A-7F5ABD26F792}" name="PG"/>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2">
      <text>
        <t xml:space="preserve">Person in charge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
      <text>
        <t xml:space="preserve">Person in charge</t>
      </text>
    </comment>
  </commentList>
</comments>
</file>

<file path=xl/sharedStrings.xml><?xml version="1.0" encoding="utf-8"?>
<sst xmlns="http://schemas.openxmlformats.org/spreadsheetml/2006/main" count="1103" uniqueCount="595">
  <si>
    <t>_x0008_Project NewYear Card</t>
  </si>
  <si>
    <t>Team :  サーバ</t>
  </si>
  <si>
    <t>Start</t>
  </si>
  <si>
    <t>Project NewYearCardB2C</t>
  </si>
  <si>
    <t>WBS SCHEDULE</t>
  </si>
  <si>
    <t>No: BM-2-901-37</t>
  </si>
  <si>
    <t>Last update</t>
  </si>
  <si>
    <t>Version: 1.1</t>
  </si>
  <si>
    <t>End</t>
  </si>
  <si>
    <t>Issue Date: 05/04/2021</t>
  </si>
  <si>
    <t>SUN ASTERISK VIETNAM CO., LTD</t>
  </si>
  <si>
    <t>Updated by</t>
  </si>
  <si>
    <t>Fix Bug</t>
  </si>
  <si>
    <t>Total Develop hour</t>
  </si>
  <si>
    <t>ISO/IEC 27001:2013&amp;ISO 9001:2015</t>
  </si>
  <si>
    <t>HISTORY OF CHANGES</t>
  </si>
  <si>
    <t>Unit Test</t>
  </si>
  <si>
    <t>Total test hour</t>
  </si>
  <si>
    <t>No</t>
  </si>
  <si>
    <t>Change Item</t>
  </si>
  <si>
    <t>API Docs</t>
  </si>
  <si>
    <t>注意:</t>
  </si>
  <si>
    <t>Description of changes</t>
  </si>
  <si>
    <t>Change Date</t>
  </si>
  <si>
    <t>Update format</t>
  </si>
  <si>
    <t>Intergration Test</t>
  </si>
  <si>
    <t>must fill</t>
  </si>
  <si>
    <t>(auto)</t>
  </si>
  <si>
    <t>＃</t>
  </si>
  <si>
    <t>Screen/Feature</t>
  </si>
  <si>
    <t>Screen Num</t>
  </si>
  <si>
    <t>Task</t>
  </si>
  <si>
    <t>機能</t>
  </si>
  <si>
    <t>Sub-task</t>
  </si>
  <si>
    <t>要件概要</t>
  </si>
  <si>
    <t>Remark</t>
  </si>
  <si>
    <t>Code</t>
  </si>
  <si>
    <t>UT</t>
  </si>
  <si>
    <t>Fix bug</t>
  </si>
  <si>
    <t>API doc</t>
  </si>
  <si>
    <t>IT</t>
  </si>
  <si>
    <t>Total Develop</t>
  </si>
  <si>
    <t>SumDev</t>
  </si>
  <si>
    <t>Team : ATS</t>
  </si>
  <si>
    <t>2.Input Sender Information
差出人の情報入力</t>
  </si>
  <si>
    <t>Lưu dữ liệu mỗi khi có thay đổi</t>
  </si>
  <si>
    <t>Giữ input ngay cả khi back trên trình duyệt</t>
  </si>
  <si>
    <t xml:space="preserve">Bug fixing </t>
  </si>
  <si>
    <t>Project Name</t>
  </si>
  <si>
    <t>3. Edit Design
デザイン編集</t>
  </si>
  <si>
    <t>Tạo file pdf order info</t>
  </si>
  <si>
    <t>Team:</t>
  </si>
  <si>
    <t>Management</t>
  </si>
  <si>
    <t>4. Quản lý master data</t>
  </si>
  <si>
    <t>Login</t>
  </si>
  <si>
    <t>Last update:</t>
  </si>
  <si>
    <t>Logout</t>
  </si>
  <si>
    <t xml:space="preserve">
DinhPQ</t>
  </si>
  <si>
    <t>RSpec</t>
  </si>
  <si>
    <t>Quản lý sample text types</t>
  </si>
  <si>
    <t>Danh sách sample text types</t>
  </si>
  <si>
    <t>Updated by:</t>
  </si>
  <si>
    <t>Thêm sample text type</t>
  </si>
  <si>
    <t>Sửa sample text type</t>
  </si>
  <si>
    <t>Xoá sample text type</t>
  </si>
  <si>
    <t>Quản lý sample texts</t>
  </si>
  <si>
    <t>Danh sách sample texts filter theo type</t>
  </si>
  <si>
    <t>Thêm sample text</t>
  </si>
  <si>
    <t>Sửa sample text</t>
  </si>
  <si>
    <t>Xoá sample text</t>
  </si>
  <si>
    <t>Áp dụng lấy sample texts từ database vào trang edit design</t>
  </si>
  <si>
    <t>Quản lý layouts</t>
  </si>
  <si>
    <t>Danh sách layouts</t>
  </si>
  <si>
    <t>Thêm layout</t>
  </si>
  <si>
    <t>Sửa layout</t>
  </si>
  <si>
    <t>Xoá layout</t>
  </si>
  <si>
    <t>Category</t>
  </si>
  <si>
    <t>Quảy lý fonts</t>
  </si>
  <si>
    <t>Danh sách fonts</t>
  </si>
  <si>
    <t>Thêm font</t>
  </si>
  <si>
    <t>Role</t>
  </si>
  <si>
    <t>Implement or not</t>
  </si>
  <si>
    <t>Sửa font</t>
  </si>
  <si>
    <t>WEB</t>
  </si>
  <si>
    <t>Xoá 
font</t>
  </si>
  <si>
    <t>Quản lý validation rules</t>
  </si>
  <si>
    <t>編集</t>
  </si>
  <si>
    <t>_x0008_</t>
  </si>
  <si>
    <t>- Tính năng check đồng ý với nội dung edit</t>
  </si>
  <si>
    <t>・編集内容の同意チェック機能</t>
  </si>
  <si>
    <t>Danh sách _x0008_validation rules</t>
  </si>
  <si>
    <t>Preview ảnh sản phẩm &amp; đồng ý in bằng checkbox</t>
  </si>
  <si>
    <t>仕上がりイメージプレビューで印刷をチェックボックスにて同意</t>
  </si>
  <si>
    <t>Thêm validation rule</t>
  </si>
  <si>
    <t>Sửa validation rule</t>
  </si>
  <si>
    <t>Xoá validation rule</t>
  </si>
  <si>
    <t>Total point</t>
  </si>
  <si>
    <t>Áp dụng validation rules vào input form</t>
  </si>
  <si>
    <t>5. Logging</t>
  </si>
  <si>
    <t>Logging by php code</t>
  </si>
  <si>
    <t>Log management</t>
  </si>
  <si>
    <t>Quản lý logs</t>
  </si>
  <si>
    <t>FireFox 20%</t>
  </si>
  <si>
    <t>SUM 
QA</t>
  </si>
  <si>
    <t>Chart</t>
  </si>
  <si>
    <t>Tính năng tìm kiếm ngoài những chữ Hán thông dụng</t>
  </si>
  <si>
    <t>Story/Screen</t>
  </si>
  <si>
    <t>常用漢字外の検索機能</t>
  </si>
  <si>
    <t>Xem lại các chữ thường dùng (tần suất/ số lượng chữ hiển thị)　
① Tự động show ra các chữ gần giống chữ hán thông dụng đã nhập (AI) 
② Truyền đạt bằng text (bao gồm URL của site text tương ứng)
③ Bảng viết tay　④ Upload ảnh</t>
  </si>
  <si>
    <t>よくある文字の見直し（頻度・表示文字数）　
①入力した常用漢字に近い文字を自動で寄せる（AI）
②文字で伝える（該当文字サイトのURL含む)
③手書きパット　④記載写真のアップロード</t>
  </si>
  <si>
    <t xml:space="preserve">
Feature</t>
  </si>
  <si>
    <t>Log user actions</t>
  </si>
  <si>
    <t xml:space="preserve">
Estimate</t>
  </si>
  <si>
    <t>Logging by google analytics</t>
  </si>
  <si>
    <t>Update log script</t>
  </si>
  <si>
    <t>PIC</t>
  </si>
  <si>
    <t>Assign</t>
  </si>
  <si>
    <t>Status</t>
  </si>
  <si>
    <t>Current point (%)</t>
  </si>
  <si>
    <t>Implement log script</t>
  </si>
  <si>
    <t>◉</t>
  </si>
  <si>
    <t>Tính năng edit tự do</t>
  </si>
  <si>
    <t>自由編集機能</t>
  </si>
  <si>
    <t>Bố trí button để chỉ những ai muốn tùy ý chỉnh sửa mới bấm được</t>
  </si>
  <si>
    <t>自由編集をしたい方のみ押せるボタンを用意</t>
  </si>
  <si>
    <t>Sử dụng như tính năng customize, người dùng có thể thực hiện các thao tác chỉnh sửa như nhập text (có thể nhập text dài), phóng to thu nhỏ, chỉnh vị trí... trên màn hình edit
Các mục đã nhập trên màn hình edit thông thường sẽ được phản ánh lên màn hình edit tự do</t>
  </si>
  <si>
    <t>カスタマイズ機能として編集画面で文字入力（長文対応）・拡大縮小・位置など編集操作ができる
通常編集画面で入力した項目は、自由編集画面に反映される</t>
  </si>
  <si>
    <t>Tính năng alert trên màn hình edit tự do khi có lỗi edit</t>
  </si>
  <si>
    <t>自由編集画面にて、編集不具合時のアラート機能</t>
  </si>
  <si>
    <t>Tính năng thông báo bằng callout trong các t/h chẳng hạn như chữ bị đè lên nhau</t>
  </si>
  <si>
    <t>文字が重なって配置している場合等、吹き出しでお知らせするなどの機能</t>
  </si>
  <si>
    <t>Tính năng Back trên màn hình Edit tự do</t>
  </si>
  <si>
    <t>自由編集画面にて、戻る機能</t>
  </si>
  <si>
    <t>Khác với mũi tên Back của trình duyệt</t>
  </si>
  <si>
    <t>ブラウザの戻る矢印以外のもの</t>
  </si>
  <si>
    <t>Tính năng hiển thị cách sử dụng màn hình edit</t>
  </si>
  <si>
    <t>編集画面の使い方の表示機能</t>
  </si>
  <si>
    <t>年賀状作成</t>
  </si>
  <si>
    <t>Có thể xoay (rotate)</t>
  </si>
  <si>
    <t>回転に対応する。</t>
  </si>
  <si>
    <t>Edit text, ảnh</t>
  </si>
  <si>
    <t>配置された文字、画像の編集</t>
  </si>
  <si>
    <t>Có thể thay đổi màu text</t>
  </si>
  <si>
    <t>文字色の変更に対応する。</t>
  </si>
  <si>
    <t>Có thể chèn hình ảnh vào</t>
  </si>
  <si>
    <t>画像の配置に対応する。</t>
  </si>
  <si>
    <t>Có thể di chuyển</t>
  </si>
  <si>
    <t>移動に対応する。</t>
  </si>
  <si>
    <t>Tính năng tự động phản ánh mục đã nhập</t>
  </si>
  <si>
    <t>入力した項目の自動反映機能</t>
  </si>
  <si>
    <t>Từng text nhập vào sẽ tự động hiển thị mà không cần bấm vào button "プレビューを更新/Update preview"</t>
  </si>
  <si>
    <t>「プレビューを更新」等を押さなくても、入力文字単位で表示される</t>
  </si>
  <si>
    <t>Tính năng paint kết quả đã chọn</t>
  </si>
  <si>
    <t>選択結果のペイント機能</t>
  </si>
  <si>
    <t>Làm kiểu paint thay vì radio button để người dùng dễ dàng nhận biết đâu là cái mình đang chọn</t>
  </si>
  <si>
    <t>選択しているものを理解しやすいように、ラジオボタンではなくペイント式にする</t>
  </si>
  <si>
    <t>Tính năng Edit trên 1 trang</t>
  </si>
  <si>
    <t>1ページでの編集機能</t>
  </si>
  <si>
    <t>Chọn cá nhân hoặc tổ chức</t>
  </si>
  <si>
    <t>個人用・法人用の選択</t>
  </si>
  <si>
    <t>Nhập item in ấn</t>
  </si>
  <si>
    <t>印刷項目の入力</t>
  </si>
  <si>
    <t>Dành cho cá nhân　
Mã bưu điện/ địa chỉ 1 / địa chỉ 2 / địa chỉ 3 / địa chỉ 4
Tên người gửi / list tên 1 / list tên 2 / list tên 3 / list tên 4 / list tên 5 / list tên 6 / list tên 7 / list tên 8
Với tên, có các mục nhập như: Họ cũ/ tuổi / furigana / bí danh...
Nhập số bao gồm SĐT/ Số FAX
Email / URL</t>
  </si>
  <si>
    <t>個人用　
郵便番号・住所１・住所2・住所3・住所４
差出人名・連名1・連名2・連名3・連名4・連名5・連名6・連名7・連名8
名に対する　旧姓・年齢・ふりがな・雅号等の入力項目
電話・ＦＡＸ番号　表記を含めた　番号入力
Eメール・URL</t>
  </si>
  <si>
    <t>Các item in ấn khác</t>
  </si>
  <si>
    <t>その他印刷項目</t>
  </si>
  <si>
    <t>Hiển thị Font chữ, đoạn chào hỏi / chỉnh sửa đoạn text mẫu / input free text
Upload logo data</t>
  </si>
  <si>
    <t>書体・挨拶文の表示・定型文章の修正・フリー文章の入力項目
ロゴデータのアップロード</t>
  </si>
  <si>
    <t>Hiển thị preview</t>
  </si>
  <si>
    <t>プレビューの表示</t>
  </si>
  <si>
    <t>Phóng to preview
Hiển thị cả nhiều design khác</t>
  </si>
  <si>
    <t>プレビューの拡大
他の複数デザインでも表示</t>
  </si>
  <si>
    <t>Tính năng cho viết text ghi chú</t>
  </si>
  <si>
    <t>添え書き文対応機能</t>
  </si>
  <si>
    <t>Tính năng chọn text</t>
  </si>
  <si>
    <t>文章選択機能</t>
  </si>
  <si>
    <t>Người dùng có thể chọn đoạn text mẫu</t>
  </si>
  <si>
    <t>定型文の選択に対応する。</t>
  </si>
  <si>
    <t>Tính năng nhập mã bưu điện, địa chỉ</t>
  </si>
  <si>
    <t>郵便番号住所入力機能</t>
  </si>
  <si>
    <t>Người dùng có thể nhập địa chỉ bằng từ điển zipcode</t>
  </si>
  <si>
    <t>郵便番号辞書による住所入力に対応する。</t>
  </si>
  <si>
    <t>- Áp dụng cho tất cả các vị trí nhập địa chỉ trong hệ thống này
- Sau khi nhập 7 số zipcode (không có dấu hyphen), tự động hiển thị địa chỉ mà không cần bấm button Submit</t>
  </si>
  <si>
    <t>・本システム内での住所入力箇所全てで対応する。
・郵便番号7桁（ハイフンなし）入力後、確定ボタンを押下しなくても、住所表示に対応する。</t>
  </si>
  <si>
    <t>DN</t>
  </si>
  <si>
    <t>Tính năng chọn layout</t>
  </si>
  <si>
    <t>レイアウト選択機能</t>
  </si>
  <si>
    <t>Người dùng có thể chọn layout mong muốn</t>
  </si>
  <si>
    <t>希望のレイアウトを選択できる</t>
  </si>
  <si>
    <t>Tính năng tự động thiết lập input mode</t>
  </si>
  <si>
    <t>入力モード自動設定機能</t>
  </si>
  <si>
    <t>Tự động thiết lập input mode phù hợp với các loại khung input</t>
  </si>
  <si>
    <t>自動で、各種入力枠に適した入力モードに対応する。</t>
  </si>
  <si>
    <t xml:space="preserve"> Áp dụng cho tất cả các khung input trong hệ thống này
Zipcode, mail address...</t>
  </si>
  <si>
    <t>本システム内での各種入力枠全てで対応する。
郵便番号、メールアドレス等</t>
  </si>
  <si>
    <t>Design Fb 30%</t>
  </si>
  <si>
    <t>Tính năng check input</t>
  </si>
  <si>
    <t>入力チェック機能</t>
  </si>
  <si>
    <t>Có thể hiển thị lỗi cho nội dung input</t>
  </si>
  <si>
    <t>入力内容エラー表示に対応する。</t>
  </si>
  <si>
    <t>Hiển thị nội dung lỗi ở gần khung input</t>
  </si>
  <si>
    <t>入力枠付近にエラー内容を表示する。</t>
  </si>
  <si>
    <t>Tính năng tự động sắp xếp theo layout</t>
  </si>
  <si>
    <t>レイアウト自動組版機能</t>
  </si>
  <si>
    <t>Tự động sắp xếp phần thông tin người gửi &amp; người nhận theo layout</t>
  </si>
  <si>
    <t>差出人及び宛名の自動組版に対応する。</t>
  </si>
  <si>
    <t>Tự động sắp layout theo tên công ty, địa chỉ</t>
  </si>
  <si>
    <t>会社名、住所を元にレイアウト自動組版に対応する。</t>
  </si>
  <si>
    <t>SUM PG</t>
  </si>
  <si>
    <t>Tính năng Edit layout</t>
  </si>
  <si>
    <t>レイアウト編集機能</t>
  </si>
  <si>
    <t>Có thể phóng to, thu nhỏ</t>
  </si>
  <si>
    <t>拡大縮小に対応する。</t>
  </si>
  <si>
    <t>Tính năng preview bản hoàn thiện (image)</t>
  </si>
  <si>
    <t>仕上がりイメージプレビュー機能</t>
  </si>
  <si>
    <t>Hiển thị kết quả (image)</t>
  </si>
  <si>
    <t>仕上がり表示に対応する。</t>
  </si>
  <si>
    <t>- Người dùng có thể biết được kích cỡ sau khi hoàn thiện
- Người dùng cũng biết được kích cỡ hoàn thiện thực tế trong trường hợp phải cắt 4 bên của bưu thiếp sau khi dán vào nhau</t>
  </si>
  <si>
    <t>・仕上がりサイズが分かるようにする。
・貼り合わせ後、はがき四辺を断裁するケースの実仕上がりサイズも分かる。</t>
  </si>
  <si>
    <t>Tính năng đổi thành sample text  (người dùng có thể tự mình chỉnh sửa text)</t>
  </si>
  <si>
    <t>見本文章に変更する機能（自分自身で文章を修正できるようにする）</t>
  </si>
  <si>
    <t>写真</t>
  </si>
  <si>
    <t>Tính năng cho phép upload ảnh</t>
  </si>
  <si>
    <t>写真のアップロードができる機能</t>
  </si>
  <si>
    <t>Tính năng không cho chọn button Next cho đến khi upload ảnh</t>
  </si>
  <si>
    <t>写真をアップロードするまで、進むボタンが選択できない機能</t>
  </si>
  <si>
    <t>Tính năng Edit ảnh</t>
  </si>
  <si>
    <t>写真の編集機能</t>
  </si>
  <si>
    <t>Người dùng có thể chỉnh vị trí ảnh, phóng to, thu nhỏ, chỉnh độ sáng</t>
  </si>
  <si>
    <t>写真の位置、拡大縮小、明るさの編集ができる</t>
  </si>
  <si>
    <t>Tính năng không cho chọn button Next cho đến khi hoàn tất chỉnh sửa</t>
  </si>
  <si>
    <t>編集完了するまで、進むボタンが選択できない機能</t>
  </si>
  <si>
    <t>差出人</t>
  </si>
  <si>
    <t>Tính năng chọn in list tên với kích cỡ nhỏ</t>
  </si>
  <si>
    <t>連名のお名前を小さく印刷を選べる機能</t>
  </si>
  <si>
    <t>文章選択</t>
  </si>
  <si>
    <t>Tính năng cho phép chọn category của text theo kiểu pulldown</t>
  </si>
  <si>
    <t>プルダウン式で、文章のカテゴリを選択できる機能</t>
  </si>
  <si>
    <t>Tính năng cho phép chọn hiển thị niên hiệu theo lịch Tây hay lịch Nhật</t>
  </si>
  <si>
    <t>年号の表記を、西暦か和暦から選択できる機能</t>
  </si>
  <si>
    <t>Tính năng hiển thị ảnh hướng dẫn</t>
  </si>
  <si>
    <t>案内画像表示機能</t>
  </si>
  <si>
    <t>"弊社は入力内容のチェックをしていません/Chúng tôi không check nội dung bạn đã nhập"
(gần giống như màn hình Preview)</t>
  </si>
  <si>
    <t>「弊社は入力内容のチェックをしていません」
（プレビュー表示画面付近）</t>
  </si>
  <si>
    <t>宛名</t>
  </si>
  <si>
    <t>Tính năng hiển thị ảnh sample trong trường hợp chọn có/không in thông tin người nhận</t>
  </si>
  <si>
    <t>宛名有り無し選択のサンプル画像表示機能</t>
  </si>
  <si>
    <t>Chọn có/không in thông tin người nhận: không hiển thị bằng text mà hiển thị bằng image</t>
  </si>
  <si>
    <t>宛名印刷ありなしの選択を文字ではなく画像表示にする</t>
  </si>
  <si>
    <t>Tính năng hiển thị đơn giá in Thông tin người nhận</t>
  </si>
  <si>
    <t>宛名単価表示機能</t>
  </si>
  <si>
    <t>Hiển thị Giá cơ bản, Đơn giá 1 tấm đã thiết lập (control master)</t>
  </si>
  <si>
    <t>設定された　基本料金　一枚あたりの金額を表示（マスタ制御）</t>
  </si>
  <si>
    <t>Tính năng hiển thị nội dung lưu ý</t>
  </si>
  <si>
    <t>注意事項表示機能</t>
  </si>
  <si>
    <t>Nội dung lưu ý</t>
  </si>
  <si>
    <t>注意事項</t>
  </si>
  <si>
    <t>Nội dung lưu ý sẽ được lưu lại đến cuối tháng 12 năm sau?
Cách maintain để gọi dữ liệu ra khi edit
Hướng dẫn: ウイルス感染などないよう善良なる努力をするが、破損等の保障は致しません/Chúng tôi sẽ nỗ lực hết sức để dữ liệu không bị nhiễm virus, nhưng không đảm bảo tránh khỏi hư hại
Thông tin đến người dùng 1 cách rõ ràng về việc trong vòng 1 năm, chấp nhận cho sửa / hủy cái gì, đến mức độ nào</t>
  </si>
  <si>
    <t>次年度12月末まで保管するか
編集　呼び出しメンテの仕方
ウイルス感染などないよう善良なる努力をするが、破損等の保障は致しません　ご案内
1時間以内に何がどこまで修正・キャンセル承れるかを明確に伝える</t>
  </si>
  <si>
    <t>Tính năng hiển thị quy tắc về Thông tin người nhận</t>
  </si>
  <si>
    <t>宛名規約表示機能</t>
  </si>
  <si>
    <t>Checkbox: có sử dụng dịch vụ in Thông tin người nhận không</t>
  </si>
  <si>
    <t>宛名印刷を利用するか　チェックボックス</t>
  </si>
  <si>
    <t>Trường hợp đã lưu dữ liệu in thông tin người nhận từ năm trước thì sẽ tự động hiển thị phần thông tin đã lưu</t>
  </si>
  <si>
    <t>前年の宛名印刷データを保存している場合は自動でお預かり分を表示する</t>
  </si>
  <si>
    <t>Tính năng nhập từng Thông tin người nhận, Import &amp; Export thông tin người nhận</t>
  </si>
  <si>
    <t>1件ずつの入力、宛名インポート、エクスポート機能</t>
  </si>
  <si>
    <t>Các mục input cho Thông tin người nhận</t>
  </si>
  <si>
    <t>1件ずつ入力項目</t>
  </si>
  <si>
    <t>Họ tên + hậu tố kính ngữ (tối đa tên 6 người trong gia đình), zipcode, prefecture/city/street/apartment name</t>
  </si>
  <si>
    <t>姓名敬称(6名のご家族連名まで)、郵便番号、都道府県市町村／番地号／マンションアパート名</t>
  </si>
  <si>
    <t>Tính năng import: Loại</t>
  </si>
  <si>
    <t>インポート機能　種類</t>
  </si>
  <si>
    <t>File CSV tạo từ ① Template excel, ② Phần mềm thông tin người nhận, ③Sansan, ④ Khác</t>
  </si>
  <si>
    <t>①推奨エクセルテンプレート、②宛名ソフト筆まめなど、③Sansan、④その他で作成したCSVファイル</t>
  </si>
  <si>
    <t>Tính năng import: Cách thức</t>
  </si>
  <si>
    <t>インポート機能　方法</t>
  </si>
  <si>
    <t>Cho chọn tên file, thêm file hay upload mới
Với option ④: cần  đủ item</t>
  </si>
  <si>
    <t>追加するのか新規でアップロードするのか、ファイル名を選択させる
④は項目そろえなど必要</t>
  </si>
  <si>
    <t>Tính năng chọn font chữ của Thông tin người nhận</t>
  </si>
  <si>
    <t>宛名書体選択機能</t>
  </si>
  <si>
    <t>Tính năng Preview</t>
  </si>
  <si>
    <t>プレビュー機能</t>
  </si>
  <si>
    <t>Hiển thị hình ảnh Thông tin người nhận . 1 màn hình cho khoảng 8 ảnh? Lý tưởng nhất là khi click vào là có thể chỉnh sửa được</t>
  </si>
  <si>
    <t>宛名イメージを表示　1画面8枚程度？入れる　理想はクリックすると修正編集できる</t>
  </si>
  <si>
    <t>宛名作成</t>
  </si>
  <si>
    <t>Tính năng chọn Thông tin người nhận</t>
  </si>
  <si>
    <t>宛名選択機能</t>
  </si>
  <si>
    <t>Người dùng có thể chọn đối tượng in từ Thông tin người nhận đã đăng ký trước đó</t>
  </si>
  <si>
    <t>登録済の宛名から印刷対象の選択に対応する。</t>
  </si>
  <si>
    <t>Mặc định có thể là: Flag có thể in, bỏ flag, bỏ tất, xóa tất...</t>
  </si>
  <si>
    <t>デフォルトは印刷可能フラグ、フラグを外す、全て外す、全てを削除するなど</t>
  </si>
  <si>
    <t>Tính năng đăng ký mới thông tin người nhận</t>
  </si>
  <si>
    <t>宛名新規登録機能</t>
  </si>
  <si>
    <t>Có thể đăng ký mới thông tin người nhận</t>
  </si>
  <si>
    <t>宛名の新規登録に対応する。</t>
  </si>
  <si>
    <t>Tính năng chọn layout cho thông tin người nhận</t>
  </si>
  <si>
    <t>宛名組版選択機能</t>
  </si>
  <si>
    <t>Người dùng có thể chọn sắp chữ theo chiều dọc hay chiều ngang</t>
  </si>
  <si>
    <t>縦組み、横組みの選択に対応する。</t>
  </si>
  <si>
    <t>Tính năng chọn font chữ in</t>
  </si>
  <si>
    <t>印刷書体選択機能</t>
  </si>
  <si>
    <t>Người dùng có thể chọn font chữ</t>
  </si>
  <si>
    <t>書体の選択に対応する。</t>
  </si>
  <si>
    <t>Tính năng tạo chữ ngoại lai</t>
  </si>
  <si>
    <t>外字作成機能</t>
  </si>
  <si>
    <t>Người dùng có thể tạo chữ ngoại lai</t>
  </si>
  <si>
    <t>外字作成に対応する。</t>
  </si>
  <si>
    <t xml:space="preserve">Tính năng preview thông tin người nhận </t>
  </si>
  <si>
    <t>宛名仕上がりイメージプレビュー機能</t>
  </si>
  <si>
    <t>Người dùng có thể confirm layout của phần thông tin người nhận</t>
  </si>
  <si>
    <t>宛名レイアウトの確認に対応する。</t>
  </si>
  <si>
    <t>- Có thể check xem có bị sắp lệch hay bị chồng lên nhau không
- Có thể check phần thông tin người nhận của nhiều bưu thiếp 1 cách hiệu quả</t>
  </si>
  <si>
    <t>・組版崩れや重なりがないかの確認に対応する。
・複数枚の宛名を効率よく確認できるようにする。</t>
  </si>
  <si>
    <t>Tính năng Edit layout của phần thông tin người nhận</t>
  </si>
  <si>
    <t>宛名レイアウト編集機能</t>
  </si>
  <si>
    <t xml:space="preserve">Có thể thay đổi thứ tự cái nào chồng lên cái nào </t>
  </si>
  <si>
    <t>重なり順変更に対応する。</t>
  </si>
  <si>
    <t>Có thể hủy bỏ (cancel)</t>
  </si>
  <si>
    <t>取り消しに対応する。</t>
  </si>
  <si>
    <t>Tính năng Undo, có thể back lại trạng thái của 10 thao tác trước</t>
  </si>
  <si>
    <t>アンドゥ機能、10個前の状態まで戻れるようにする。</t>
  </si>
  <si>
    <t>Có thể cho hình ảnh vào</t>
  </si>
  <si>
    <t>Có thể nhập tên (họ)</t>
  </si>
  <si>
    <t>お名前（姓）の入力に対応する。</t>
  </si>
  <si>
    <t>Có thể nhập tên (tên)</t>
  </si>
  <si>
    <t>お名前（名）の入力に対応する。</t>
  </si>
  <si>
    <t>SUM Front</t>
  </si>
  <si>
    <t>Có thể chọn hậu tố kính ngữ</t>
  </si>
  <si>
    <t>敬称の選択に対応する。</t>
  </si>
  <si>
    <t>Chọn trong số các hậu tố: 様、殿、御中、先生、ちゃん、くん、Khác (free input)</t>
  </si>
  <si>
    <t>様、殿、御中、先生、ちゃん、くん、その他（フリー入力）</t>
  </si>
  <si>
    <t>Có thể nhập list tên nhiều người (họ)</t>
  </si>
  <si>
    <t>連名（姓）の入力に対応する。</t>
  </si>
  <si>
    <t>Có thể thêm tối đa 4 người</t>
  </si>
  <si>
    <t>最大4名の追加に対応する。</t>
  </si>
  <si>
    <t>Có thể nhập list tên nhiều người (tên)</t>
  </si>
  <si>
    <t>連名（名）の入力に対応する。</t>
  </si>
  <si>
    <t>Có thể nhập list tên nhiều người (hậu tố kính ngữ)</t>
  </si>
  <si>
    <t>連名（敬称）の入力に対応する。</t>
  </si>
  <si>
    <t>Có thể nhập list tên (chức vụ)</t>
  </si>
  <si>
    <t>連名（役職）の入力に対応する。</t>
  </si>
  <si>
    <t>Các chức vụ: 代表取締役、代表取締役社長、取締役、社長、副社長、支社長、会長、副会長、店長、支店長、専務、専務取締役、常務、常務取締役、部長、課長、次長、係長、主任、監査役, Khác (free input)</t>
  </si>
  <si>
    <t>代表取締役、代表取締役社長、取締役、社長、副社長、支社長、会長、副会長、店長、支店長、専務、専務取締役、常務、常務取締役、部長、課長、次長、係長、主任、監査役、その他（フリー入力）</t>
  </si>
  <si>
    <t>Có thể nhập tên công ty</t>
  </si>
  <si>
    <t>会社名の入力に対応する。</t>
  </si>
  <si>
    <t>Có thể nhập tên phòng ban</t>
  </si>
  <si>
    <t>部署名の入力に対応する。</t>
  </si>
  <si>
    <t>Có thể nhập tên chức vụ</t>
  </si>
  <si>
    <t>役職名の入力に対応する。</t>
  </si>
  <si>
    <t>Có thể nhập zipcode</t>
  </si>
  <si>
    <t>郵便番号の入力に対応する。</t>
  </si>
  <si>
    <t xml:space="preserve">Nhập 7 ký tự số halfsize, không có dấu hyphen
Không phải tìm kiếm zipcode của công ty Bưu điện Nhật Bản, mà khi nhập số zipcode vào thì địa chỉ sẽ được input trực tiếp </t>
  </si>
  <si>
    <t>ハイフンなし、7桁半角数字で入力。
日本郵便株式会社の郵便番号検索ではなく番号を入れると住所が直接入力される形で</t>
  </si>
  <si>
    <t>Có thể chọn Prefectures</t>
  </si>
  <si>
    <t>都道府県の選択に対応する。</t>
  </si>
  <si>
    <t>Có thể nhập City, Street</t>
  </si>
  <si>
    <t>市区町村、番地の入力に対応する。</t>
  </si>
  <si>
    <t>Có thể nhập Building name</t>
  </si>
  <si>
    <t>建物名の入力に対応する。</t>
  </si>
  <si>
    <t>Có thể thiết lập Group</t>
  </si>
  <si>
    <t>グループの設定に対応する。</t>
  </si>
  <si>
    <t>Có thể input vào cột Ghi chú</t>
  </si>
  <si>
    <t>備考欄の入力に対応する。</t>
  </si>
  <si>
    <t>- Không phải thông tin về in ấn mà sẽ nhập thông tin ghi chú về việc gửi bưu thiếp trong năm nay (nếu cần thiết)</t>
  </si>
  <si>
    <t>・印刷情報ではなく、今年の送付に対する備忘録として必要に応じて入力。</t>
  </si>
  <si>
    <t>Tính năng hiển thị hình ảnh kiểu chữ mẫu</t>
  </si>
  <si>
    <t>書体見本画像の表示機能</t>
  </si>
  <si>
    <t>Khi user chọn Thông tin người nhận, hiển thị hình ảnh sample mặt in thông tin người nhận của bưu thiếp với 4 kiểu chữ khác nhau</t>
  </si>
  <si>
    <t>宛名選択時、4書体分のはがきの宛名面印刷サンプル画像を表示する</t>
  </si>
  <si>
    <t>Tính năng tìm kiếm chữ cổ</t>
  </si>
  <si>
    <t>旧字検索機能</t>
  </si>
  <si>
    <t xml:space="preserve">Xem lại các chữ thường dùng (tần suất/ số lượng chữ hiển thị)　</t>
  </si>
  <si>
    <t xml:space="preserve">よくある文字の見直し（頻度・表示文字数）　</t>
  </si>
  <si>
    <t>① Tự động show ra các chữ gần giống chữ hán thông dụng đã nhập (AI) 
② Truyền đạt bằng text (bao gồm URL của site text tương ứng)
③ Bảng viết tay　④ Upload ảnh</t>
  </si>
  <si>
    <t>①入力した常用漢字に近い文字を自動で寄せる（AI）
②文字で伝える（該当文字サイトのURL含む)
③手書きパット　④記載写真のアップロード</t>
  </si>
  <si>
    <t>Tính năng hủy bỏ Thông tin người nhận</t>
  </si>
  <si>
    <t>宛名取りやめ機能</t>
  </si>
  <si>
    <t>Chuyển đến màn hình chọn số lượng</t>
  </si>
  <si>
    <t>枚数選択画面へ進む</t>
  </si>
  <si>
    <t>Tính năng hiển thị hướng dẫn khi nhập thiếu</t>
  </si>
  <si>
    <t>入力モレがある場合、案内の表示が出る機能</t>
  </si>
  <si>
    <t>Tính năng hiển thị hướng dẫn khi nhập thiếu
Bôi đỏ mục nhập thiếu
Không xóa space để có thể viết tay được</t>
  </si>
  <si>
    <t>入力モレがある場合、案内の表示が出る機能
抜けている項目を赤くする
手書き対応ができるようにスペース削除はしない</t>
  </si>
  <si>
    <t>Tính năng Edit từ màn hình Preview thông tin người nhận</t>
  </si>
  <si>
    <t>宛名プレビュー画面からの編集機能</t>
  </si>
  <si>
    <t>Tính năng cho phép edit nội dung đã input của thông tin người nhận, chọn in hay không in, chọn địa chỉ người nhận là nhà riêng hay công ty</t>
  </si>
  <si>
    <t>各宛名の入力内容の編集、印刷するしないの選択、宛名住所が自宅か会社か、を選択できる機能</t>
  </si>
  <si>
    <t>枚数入力</t>
  </si>
  <si>
    <t xml:space="preserve">Tính năng nhập số lượng in　</t>
  </si>
  <si>
    <t xml:space="preserve">印刷枚数入力機能　</t>
  </si>
  <si>
    <t>Hiển thị: Giá in, tiền bưu thiếp, phí option, % chiết khấu, giá giảm, tổng
Ví dụ hiển thị phần số lượng:    In kèm thông tin: 100 chiếc    /    In thông tin ngưởi gửi: 80 chiếc</t>
  </si>
  <si>
    <t>印刷代、はがき代、オプション代、割引率、値引き額、合計表示対応
枚数部分表示例　名入れ印刷　100枚　・　宛名印刷　80枚</t>
  </si>
  <si>
    <t>Tính năng hiển thị thông tin của design</t>
  </si>
  <si>
    <t>購入デザインの情報表示機能</t>
  </si>
  <si>
    <t>カート</t>
  </si>
  <si>
    <t>Tính năng chỉnh sửa</t>
  </si>
  <si>
    <t>修正機能</t>
  </si>
  <si>
    <t>Tính năng cho phép chọn "名入れの修正/Chỉnh sửa thông tin in kèm", "宛名の修正/Chỉnh sửa thông tin người nhận"</t>
  </si>
  <si>
    <t>「名入れの修正」「宛名の修正」を選択できる機能</t>
  </si>
  <si>
    <t>1. Hiển thị mặc định</t>
  </si>
  <si>
    <t>2. Khi input</t>
  </si>
  <si>
    <t>3. Hiển thị error/help</t>
  </si>
  <si>
    <t>4. Hiển thị mục "Tổ chức"</t>
  </si>
  <si>
    <t>M</t>
  </si>
  <si>
    <t>5. Hiển thị chuỗi tên</t>
  </si>
  <si>
    <t>6. Hiển thị họ cũ, furigana</t>
  </si>
  <si>
    <t>7. Màn hình edit</t>
  </si>
  <si>
    <t xml:space="preserve">1-1. Ngoại trừ "住所/Địa chỉ", "建物名/Tên tòa nhà" ra, </t>
  </si>
  <si>
    <t>2-1. Khi bấm vào button "会員情報で入力/Input bằng</t>
  </si>
  <si>
    <t>3-1. Hiển thị lỗi inline</t>
  </si>
  <si>
    <t>4-1. Khi bấm vào button "+法人項目追加/thêm trường</t>
  </si>
  <si>
    <t>5-1. Mỗi lần bấm vào button "+連名を追加/thêm chuỗi</t>
  </si>
  <si>
    <t>_x0008_Redmine</t>
  </si>
  <si>
    <t>6-1. Bấm vào button "+旧姓、ふりがなを追加/</t>
  </si>
  <si>
    <t>7-1. Thay đổi màu text</t>
  </si>
  <si>
    <t>Actual
Start</t>
  </si>
  <si>
    <t>Actual
End</t>
  </si>
  <si>
    <t>Progress</t>
  </si>
  <si>
    <t>Check deadline</t>
  </si>
  <si>
    <t>D</t>
  </si>
  <si>
    <t>tất cả đều là trường required</t>
  </si>
  <si>
    <t xml:space="preserve"> thông tin thành viên" thì sẽ phản ánh thông tin thành viên</t>
  </si>
  <si>
    <t xml:space="preserve"> tổ chức" thì không bắt buộc phải nhập họ tên nữa</t>
  </si>
  <si>
    <t xml:space="preserve"> tên" là thêm 1 tên</t>
  </si>
  <si>
    <t>Thêm họ cũ, furigana" để thêm trường</t>
  </si>
  <si>
    <t>1-2. Hỗ trợ input bằng placeholder</t>
  </si>
  <si>
    <t>2-2. Số điện thoại là số halfsize, dù nhập fullsize thì</t>
  </si>
  <si>
    <t>3-2. Không sử dụng realtime alert khi đang input dở</t>
  </si>
  <si>
    <t>5-2. Bấm butotn "x" để xóa chuỗi tên vừa thêm</t>
  </si>
  <si>
    <t>7-2. Thay đổi cỡ chữ</t>
  </si>
  <si>
    <t xml:space="preserve"> cũng tự động chuyển thành halfsize</t>
  </si>
  <si>
    <t xml:space="preserve">2-3. Mã bưu điện là số halfsize, dù nhập fullsize thì cũng </t>
  </si>
  <si>
    <t>3-3. Help text hiển thị theo minh họa dưới đây</t>
  </si>
  <si>
    <t>7-3. Thay đổi font</t>
  </si>
  <si>
    <t>tự động chuyển thành halfsize</t>
  </si>
  <si>
    <t>2-4. Khi nhập "Mã bưu điện", tự động nhập địa chỉ realtime</t>
  </si>
  <si>
    <t>プロジェクトコピー</t>
  </si>
  <si>
    <t>7-4. Thay đổi căn lề</t>
  </si>
  <si>
    <t>PG</t>
  </si>
  <si>
    <t>2-5. Khi nhập "Email", tự động check tên domain</t>
  </si>
  <si>
    <t>Header (chung với phía EC)</t>
  </si>
  <si>
    <t>7-5. Thay đổi text mẫu</t>
  </si>
  <si>
    <t>7-6 . Bố trí ảnh</t>
  </si>
  <si>
    <t>＜ 戻る/Back</t>
  </si>
  <si>
    <t>差出人情報入力/
Nhập thông tin người gửi</t>
  </si>
  <si>
    <t>次へ/Next ＞</t>
  </si>
  <si>
    <t>7-7. Phóng to, thu nhỏ (vùng text, ảnh)</t>
  </si>
  <si>
    <t>7-8. Di chuyển (vùng text, ảnh)</t>
  </si>
  <si>
    <t>7-9. Xoay (vùng text, ảnh)</t>
  </si>
  <si>
    <t>会員登録情報で入力/Nhập bằng thông tin đăng ký thành viên</t>
  </si>
  <si>
    <t>7-10. Phóng to, thu nhỏ preview (100%, 125%, 150%, 200%)</t>
  </si>
  <si>
    <t>差出人情報入力/Nhập thông tin người gửi</t>
  </si>
  <si>
    <t>7-11. Undo (tối đa có thể back lại 10 lần)</t>
  </si>
  <si>
    <t>▲</t>
  </si>
  <si>
    <t>会員登録情報で入力/
Nhập bằng thông tin đăng ký thành viên</t>
  </si>
  <si>
    <t>7-12. Thay đổi design</t>
  </si>
  <si>
    <t>+ 法人項目を追加/
Thêm trường Tổ chức</t>
  </si>
  <si>
    <t>General</t>
  </si>
  <si>
    <t>+ 法人項目を追加/Thêm trường Tổ chức</t>
  </si>
  <si>
    <t>7-13. Thêm khung nhập free text (tối đa 3 khung)</t>
  </si>
  <si>
    <t>Task status</t>
  </si>
  <si>
    <t>姓/Họ</t>
  </si>
  <si>
    <t>Member list</t>
  </si>
  <si>
    <t>必須/Required</t>
  </si>
  <si>
    <t>Redmine</t>
  </si>
  <si>
    <t>_x0008_Holiday</t>
  </si>
  <si>
    <t xml:space="preserve">Design status </t>
  </si>
  <si>
    <t>名/Tên</t>
  </si>
  <si>
    <t>Việc nhập chữ ngoại lai thì sao?</t>
  </si>
  <si>
    <t>#</t>
  </si>
  <si>
    <t>7-14.Tính năng stamp (nếu không tạo được stamp kiểu hiện đại thì không cần)</t>
  </si>
  <si>
    <t>Statitics</t>
  </si>
  <si>
    <t>Description</t>
  </si>
  <si>
    <t>Name</t>
  </si>
  <si>
    <t>Effort</t>
  </si>
  <si>
    <t>+ 連名を追加/Thêm chuỗi tên</t>
  </si>
  <si>
    <t>Atom</t>
  </si>
  <si>
    <t>Title</t>
  </si>
  <si>
    <t>Holiday</t>
  </si>
  <si>
    <t>New</t>
  </si>
  <si>
    <t>7-15. Màn hình edit - help page</t>
  </si>
  <si>
    <t>郵便番号/Mã bưu điện</t>
  </si>
  <si>
    <t>会社名/Tên công ty</t>
  </si>
  <si>
    <t>In Progress</t>
  </si>
  <si>
    <t>7-16. Hiển thị khung đỏ phạm vi cutting (nếu có thể hiển thị kích thước hoàn thiện cho tất cả design thì không cần)</t>
  </si>
  <si>
    <t>住所/Địa chỉ</t>
  </si>
  <si>
    <t>HN</t>
  </si>
  <si>
    <t>東京都/Tokyo</t>
  </si>
  <si>
    <t>Done</t>
  </si>
  <si>
    <t>HCM</t>
  </si>
  <si>
    <t>株式会社マイプリント/Công ty cổ phần MYPRINT</t>
  </si>
  <si>
    <t>Pending</t>
  </si>
  <si>
    <t>千代田区丸の内/Marunouchi, quận Chiyoda</t>
  </si>
  <si>
    <t>7-17. Nhập biểu tượng cảm xúc, emoji</t>
  </si>
  <si>
    <t>Resolved</t>
  </si>
  <si>
    <t>▼</t>
  </si>
  <si>
    <t>プレビューを更新/Update preview</t>
  </si>
  <si>
    <t>部署名/Tên phòng ban</t>
  </si>
  <si>
    <t>Footer (chung với phía EC)</t>
  </si>
  <si>
    <t>Sprint list</t>
  </si>
  <si>
    <t>Sprint</t>
  </si>
  <si>
    <t>Start Date</t>
  </si>
  <si>
    <t>＜ 戻る/
Back</t>
  </si>
  <si>
    <t>End Date</t>
  </si>
  <si>
    <t>次へ
/Next ＞</t>
  </si>
  <si>
    <t>次へ/
Next ＞</t>
  </si>
  <si>
    <t>差出人情報入力
/Nhập thông tin người gửi</t>
  </si>
  <si>
    <r>
      <rPr>
        <rFont val="Times New Roman"/>
        <b/>
        <color rgb="FF000000"/>
        <sz val="22.0"/>
      </rPr>
      <t xml:space="preserve"> </t>
    </r>
    <r>
      <rPr>
        <rFont val="Times New Roman"/>
        <b/>
        <color rgb="FF000000"/>
        <sz val="20.0"/>
      </rPr>
      <t>×</t>
    </r>
  </si>
  <si>
    <t>デザイン編集画面/
Màn hình chỉnh sửa design</t>
  </si>
  <si>
    <t>保存/Save</t>
  </si>
  <si>
    <t>役職/Chức vụ</t>
  </si>
  <si>
    <t>URL</t>
  </si>
  <si>
    <t>必須/
Required</t>
  </si>
  <si>
    <t>+ 旧姓、ふりがなを追加/
Thêm họ cũ, furigana</t>
  </si>
  <si>
    <t>+ 旧姓、ふりがなを追加/Thêm họ cũ, furigana</t>
  </si>
  <si>
    <t>姓（ふりがな）/Họ (furigana)</t>
  </si>
  <si>
    <t>名（ふりがな）/Tên (furigana)</t>
  </si>
  <si>
    <t>旧姓/Họ cũ</t>
  </si>
  <si>
    <t>別姓の場合のみ姓を入力してください/Chỉ nhập Họ trong trường hợp là Họ khác</t>
  </si>
  <si>
    <t>数字7桁/7 ký tự số</t>
  </si>
  <si>
    <t>１人目/Người thứ 1</t>
  </si>
  <si>
    <t>住所/
Địa chỉ</t>
  </si>
  <si>
    <t>都道府県/Prefectures</t>
  </si>
  <si>
    <t>2人目/Người thứ 2</t>
  </si>
  <si>
    <t>市区町村郡/City</t>
  </si>
  <si>
    <t>市区町村郡を入力してください/Hãy nhập Thành phố, quận, huyện</t>
  </si>
  <si>
    <t>番地/Số hiệu khu dân cư</t>
  </si>
  <si>
    <t>3-1-1</t>
  </si>
  <si>
    <t>3人目/Người thứ 3</t>
  </si>
  <si>
    <t>建物名/Tên tòa nhà</t>
  </si>
  <si>
    <t>Select及びdirectURLからのsecret_key廃止</t>
  </si>
  <si>
    <t>●●●●●ビル/Tòa ●●●●●</t>
  </si>
  <si>
    <t>4人目/Người thứ 4</t>
  </si>
  <si>
    <t>電話番号/Số điện thoại</t>
  </si>
  <si>
    <t>ー</t>
  </si>
  <si>
    <t>090</t>
  </si>
  <si>
    <r>
      <rPr>
        <rFont val="Times New Roman"/>
        <b/>
        <color rgb="FF000000"/>
        <sz val="22.0"/>
      </rPr>
      <t xml:space="preserve"> </t>
    </r>
    <r>
      <rPr>
        <rFont val="Times New Roman"/>
        <b/>
        <color rgb="FF000000"/>
        <sz val="20.0"/>
      </rPr>
      <t>×</t>
    </r>
  </si>
  <si>
    <r>
      <rPr>
        <rFont val="Times New Roman"/>
        <b/>
        <color rgb="FF000000"/>
        <sz val="22.0"/>
      </rPr>
      <t xml:space="preserve"> </t>
    </r>
    <r>
      <rPr>
        <rFont val="Times New Roman"/>
        <b/>
        <color rgb="FF000000"/>
        <sz val="20.0"/>
      </rPr>
      <t>×</t>
    </r>
  </si>
  <si>
    <r>
      <rPr>
        <rFont val="Times New Roman"/>
        <b/>
        <color rgb="FF000000"/>
        <sz val="22.0"/>
      </rPr>
      <t xml:space="preserve"> </t>
    </r>
    <r>
      <rPr>
        <rFont val="Times New Roman"/>
        <b/>
        <color rgb="FF000000"/>
        <sz val="20.0"/>
      </rPr>
      <t>×</t>
    </r>
  </si>
  <si>
    <r>
      <rPr>
        <rFont val="Times New Roman"/>
        <b/>
        <color rgb="FF000000"/>
        <sz val="22.0"/>
      </rPr>
      <t xml:space="preserve"> </t>
    </r>
    <r>
      <rPr>
        <rFont val="Times New Roman"/>
        <b/>
        <color rgb="FF000000"/>
        <sz val="20.0"/>
      </rPr>
      <t>×</t>
    </r>
  </si>
  <si>
    <r>
      <rPr>
        <rFont val="Times New Roman"/>
        <b/>
        <color rgb="FF000000"/>
        <sz val="22.0"/>
      </rPr>
      <t xml:space="preserve"> </t>
    </r>
    <r>
      <rPr>
        <rFont val="Times New Roman"/>
        <b/>
        <color rgb="FF000000"/>
        <sz val="20.0"/>
      </rPr>
      <t>×</t>
    </r>
  </si>
  <si>
    <t>メールアドレス/Email</t>
  </si>
  <si>
    <t>5人目/Người thứ 5</t>
  </si>
  <si>
    <t>abcde@mxa.myprint.co.jp</t>
  </si>
  <si>
    <t>+ 連名1人目の旧姓、ふりがなを追加/Thêm họ cũ, furigana của người thứ 1</t>
  </si>
  <si>
    <t>結婚して初めての正月を迎えました
本年もよろしくお願い申し上げます
2018.1.1</t>
  </si>
  <si>
    <t>結婚して初めての正月を迎えました
　本年もよろしくお願い申し上げます
　　　　　　　　　　　　　　　2018.1.1</t>
  </si>
  <si>
    <t>ああああああああああああああああああああああああああ
ああああああああああああああああ</t>
  </si>
  <si>
    <t>添え書き文/Ghi chú</t>
  </si>
  <si>
    <t>いいいいいいいいいいいいいいいいいいいいいいい
いいいいいいいいいいいいいいいいいいいい</t>
  </si>
  <si>
    <t>6人目/Người thứ 6</t>
  </si>
  <si>
    <t>うううううううううううううううううううう</t>
  </si>
  <si>
    <t>プレビューを表示/Hiển thị preview</t>
  </si>
  <si>
    <t>大/
Large</t>
  </si>
  <si>
    <t>中/
Medium</t>
  </si>
  <si>
    <t>標準/
Standard</t>
  </si>
  <si>
    <t>小/Small</t>
  </si>
  <si>
    <t>明朝体/
Mincho</t>
  </si>
  <si>
    <t>ゴシック/
Gothic</t>
  </si>
  <si>
    <t>楷書体/
Calligraphy</t>
  </si>
  <si>
    <t>筆文字/
Pen text</t>
  </si>
  <si>
    <t>友達/
Friend</t>
  </si>
  <si>
    <t>ビジネス/
Business</t>
  </si>
  <si>
    <t>・・・</t>
  </si>
  <si>
    <t>色/Color</t>
  </si>
  <si>
    <t>書体/Font</t>
  </si>
  <si>
    <t>揃え/
Alignment</t>
  </si>
  <si>
    <t>定型文/
Sample text</t>
  </si>
  <si>
    <t>文字サイズ/
Size</t>
  </si>
  <si>
    <t>+ 連名2人目の旧姓、ふりがなを追加/Thêm họ cũ, furigana của người thứ 2</t>
  </si>
  <si>
    <t>QA</t>
  </si>
  <si>
    <t>「印刷内容確認」画面からのsecret_key廃止</t>
  </si>
  <si>
    <t>宛名面の入力画面設計</t>
  </si>
  <si>
    <t>PG2</t>
  </si>
  <si>
    <t>利用規約画面へのバナーの掲載</t>
  </si>
  <si>
    <t>メールアドレスのバリデーション</t>
  </si>
  <si>
    <t>設定画面上のカード登録機能</t>
  </si>
  <si>
    <t>設定画面上のカード変更機能</t>
  </si>
  <si>
    <t>設定画面上のカード削除機能</t>
  </si>
  <si>
    <t>「recovery」画面画面からのsecret_key廃止</t>
  </si>
  <si>
    <t>ファイル圧縮化処理からのsecret_key廃止</t>
  </si>
  <si>
    <t>ファイルプッシュ処理からのsecret_key廃止</t>
  </si>
  <si>
    <t>カード保存処理実装</t>
  </si>
  <si>
    <t>CSVファイルへの出力</t>
  </si>
  <si>
    <t>DMNO及び一意キーの採番</t>
  </si>
  <si>
    <t>サーバーの構築・設定</t>
  </si>
  <si>
    <t>Jmeterでの負荷試験</t>
  </si>
  <si>
    <t>UAT・UATフィードバック対応</t>
  </si>
  <si>
    <t>リリース準備</t>
  </si>
  <si>
    <t>サイト2用のS3フォルダ分け</t>
  </si>
  <si>
    <t>カード選択画面廃止</t>
  </si>
  <si>
    <t>_x0008_Design</t>
  </si>
  <si>
    <t>Front</t>
  </si>
  <si>
    <t>Fixbug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</si>
</sst>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quot;/&quot;mm"/>
    <numFmt numFmtId="165" formatCode="M/d/yyyy"/>
    <numFmt numFmtId="166" formatCode="#,##0.0"/>
    <numFmt numFmtId="167" formatCode="mm/dd/yyyy"/>
    <numFmt numFmtId="168" formatCode="dd"/>
    <numFmt numFmtId="169" formatCode="m&quot;/&quot;d"/>
    <numFmt numFmtId="170" formatCode="dd&quot;/&quot;m&quot;/&quot;yy"/>
  </numFmts>
  <fonts count="68">
    <font>
      <sz val="10.0"/>
      <color rgb="FF000000"/>
      <name val="Arial"/>
    </font>
    <font>
      <b/>
      <sz val="9.0"/>
      <name val="Roboto"/>
    </font>
    <font>
      <b/>
      <sz val="14.0"/>
      <color rgb="FF000000"/>
      <name val="Roboto"/>
    </font>
    <font>
      <b/>
      <sz val="9.0"/>
      <color rgb="FF000000"/>
      <name val="Roboto"/>
    </font>
    <font>
      <sz val="9.0"/>
      <color rgb="FF000000"/>
      <name val="Roboto"/>
    </font>
    <font>
      <sz val="9.0"/>
      <name val="Roboto"/>
    </font>
    <font>
      <b/>
      <sz val="24.0"/>
      <name val="Times New Roman"/>
    </font>
    <font>
      <b/>
      <sz val="14.0"/>
      <name val="Arial"/>
    </font>
    <font/>
    <font>
      <b/>
      <sz val="14.0"/>
      <color rgb="FF000000"/>
      <name val="Bree Serif"/>
    </font>
    <font>
      <b/>
      <sz val="20.0"/>
      <color rgb="FF000000"/>
      <name val="Bree Serif"/>
    </font>
    <font>
      <b/>
      <sz val="18.0"/>
      <name val="Times New Roman"/>
    </font>
    <font>
      <color rgb="FF000000"/>
    </font>
    <font>
      <sz val="12.0"/>
      <name val="Times New Roman"/>
    </font>
    <font>
      <sz val="12.0"/>
      <color rgb="FF000000"/>
      <name val="Times New Roman"/>
    </font>
    <font>
      <sz val="9.0"/>
    </font>
    <font>
      <b/>
      <sz val="10.0"/>
      <name val="Times New Roman"/>
    </font>
    <font>
      <b/>
      <sz val="14.0"/>
      <name val="Times New Roman"/>
    </font>
    <font>
      <b/>
      <sz val="12.0"/>
      <name val="Arial"/>
    </font>
    <font>
      <b/>
      <sz val="10.0"/>
      <name val="Arial"/>
    </font>
    <font>
      <sz val="10.0"/>
      <name val="Arial"/>
    </font>
    <font>
      <sz val="9.0"/>
      <color rgb="FFFF0000"/>
      <name val="Roboto"/>
    </font>
    <font>
      <b/>
      <sz val="9.0"/>
      <color rgb="FFFF0000"/>
      <name val="Roboto"/>
    </font>
    <font>
      <name val="Arial"/>
    </font>
    <font>
      <b/>
      <name val="Roboto"/>
    </font>
    <font>
      <b/>
      <sz val="10.0"/>
      <color rgb="FF000000"/>
      <name val="Arial"/>
    </font>
    <font>
      <b/>
      <color rgb="FF000000"/>
      <name val="Roboto"/>
    </font>
    <font>
      <color rgb="FF000000"/>
      <name val="Roboto"/>
    </font>
    <font>
      <b/>
      <sz val="10.0"/>
      <color rgb="FF000000"/>
      <name val="Roboto"/>
    </font>
    <font>
      <b/>
      <sz val="10.0"/>
      <color rgb="FFFF0000"/>
      <name val="Arial"/>
    </font>
    <font>
      <sz val="10.0"/>
      <color rgb="FFFF0000"/>
      <name val="Arial"/>
    </font>
    <font>
      <name val="Roboto"/>
    </font>
    <font>
      <b/>
      <sz val="12.0"/>
      <color rgb="FF000000"/>
      <name val="Times New Roman"/>
    </font>
    <font>
      <b/>
      <sz val="12.0"/>
      <name val="Times New Roman"/>
    </font>
    <font>
      <b/>
      <color rgb="FFE69138"/>
      <name val="Roboto"/>
    </font>
    <font>
      <b/>
      <sz val="12.0"/>
      <color rgb="FFE69138"/>
      <name val="Times New Roman"/>
    </font>
    <font>
      <b/>
      <sz val="9.0"/>
      <color rgb="FFFFFFFF"/>
      <name val="Roboto"/>
    </font>
    <font>
      <b/>
      <sz val="12.0"/>
      <color rgb="FFFF0000"/>
      <name val="Times New Roman"/>
    </font>
    <font>
      <b/>
      <sz val="8.0"/>
      <color rgb="FFFF0000"/>
      <name val="Roboto"/>
    </font>
    <font>
      <b/>
      <sz val="8.0"/>
      <name val="Roboto"/>
    </font>
    <font>
      <sz val="9.0"/>
      <color rgb="FFFFFFFF"/>
      <name val="Roboto"/>
    </font>
    <font>
      <sz val="12.0"/>
      <color rgb="FFFFFFFF"/>
      <name val="Times New Roman"/>
    </font>
    <font>
      <sz val="10.0"/>
      <color rgb="FF000000"/>
      <name val="Times New Roman"/>
    </font>
    <font>
      <sz val="10.0"/>
      <color rgb="FFFFFFFF"/>
      <name val="Times New Roman"/>
    </font>
    <font>
      <u/>
      <sz val="9.0"/>
      <color rgb="FF1155CC"/>
      <name val="Roboto"/>
    </font>
    <font>
      <u/>
      <sz val="9.0"/>
      <color rgb="FF000000"/>
      <name val="Roboto"/>
    </font>
    <font>
      <sz val="11.0"/>
      <color rgb="FFFFFFFF"/>
      <name val="Times New Roman"/>
    </font>
    <font>
      <b/>
      <sz val="10.0"/>
      <name val="Roboto"/>
    </font>
    <font>
      <sz val="9.0"/>
      <name val="Arial"/>
    </font>
    <font>
      <sz val="9.0"/>
      <color rgb="FF000000"/>
      <name val="Arial"/>
    </font>
    <font>
      <b/>
      <sz val="10.0"/>
      <color rgb="FF000000"/>
      <name val="Times New Roman"/>
    </font>
    <font>
      <sz val="11.0"/>
      <color rgb="FF000000"/>
      <name val="Times New Roman"/>
    </font>
    <font>
      <sz val="8.0"/>
      <color rgb="FF000000"/>
      <name val="Times New Roman"/>
    </font>
    <font>
      <b/>
      <sz val="18.0"/>
      <color rgb="FF1C4587"/>
      <name val="Bree Serif"/>
    </font>
    <font>
      <b/>
    </font>
    <font>
      <b/>
      <sz val="11.0"/>
      <name val="Roboto"/>
    </font>
    <font>
      <sz val="8.0"/>
      <color rgb="FFFFFFFF"/>
      <name val="Times New Roman"/>
    </font>
    <font>
      <b/>
      <color rgb="FFFFFFFF"/>
      <name val="Roboto"/>
    </font>
    <font>
      <u/>
      <color rgb="FF1155CC"/>
      <name val="Roboto"/>
    </font>
    <font>
      <b/>
      <name val="Arial"/>
    </font>
    <font>
      <b/>
      <sz val="22.0"/>
      <color rgb="FF000000"/>
      <name val="Times New Roman"/>
    </font>
    <font>
      <sz val="10.0"/>
      <color rgb="FFFF0000"/>
      <name val="Times New Roman"/>
    </font>
    <font>
      <sz val="10.0"/>
      <color rgb="FFA5A5A5"/>
      <name val="Times New Roman"/>
    </font>
    <font>
      <sz val="11.0"/>
      <color rgb="FFA5A5A5"/>
      <name val="Times New Roman"/>
    </font>
    <font>
      <sz val="10.0"/>
      <color rgb="FF3F3F3F"/>
      <name val="Times New Roman"/>
    </font>
    <font>
      <sz val="11.0"/>
      <color rgb="FF3F3F3F"/>
      <name val="Times New Roman"/>
    </font>
    <font>
      <sz val="9.0"/>
      <color rgb="FFFFFFFF"/>
      <name val="Arial"/>
    </font>
    <font>
      <sz val="8.0"/>
      <name val="Arial"/>
    </font>
  </fonts>
  <fills count="41">
    <fill>
      <patternFill patternType="none"/>
    </fill>
    <fill>
      <patternFill patternType="lightGray"/>
    </fill>
    <fill>
      <patternFill patternType="solid">
        <fgColor rgb="FFA2C4C9"/>
        <bgColor rgb="FFA2C4C9"/>
      </patternFill>
    </fill>
    <fill>
      <patternFill patternType="solid">
        <fgColor rgb="FFEA9999"/>
        <bgColor rgb="FFEA9999"/>
      </patternFill>
    </fill>
    <fill>
      <patternFill patternType="solid">
        <fgColor rgb="FFD9D2E9"/>
        <bgColor rgb="FFD9D2E9"/>
      </patternFill>
    </fill>
    <fill>
      <patternFill patternType="solid">
        <fgColor rgb="FFCC4125"/>
        <bgColor rgb="FFCC4125"/>
      </patternFill>
    </fill>
    <fill>
      <patternFill patternType="solid">
        <fgColor rgb="FF6D9EEB"/>
        <bgColor rgb="FF6D9EEB"/>
      </patternFill>
    </fill>
    <fill>
      <patternFill patternType="solid">
        <fgColor rgb="FFA4C2F4"/>
        <bgColor rgb="FFA4C2F4"/>
      </patternFill>
    </fill>
    <fill>
      <patternFill patternType="solid">
        <fgColor rgb="FFC9DAF8"/>
        <bgColor rgb="FFC9DAF8"/>
      </patternFill>
    </fill>
    <fill>
      <patternFill patternType="solid">
        <fgColor rgb="FF6AA84F"/>
        <bgColor rgb="FF6AA84F"/>
      </patternFill>
    </fill>
    <fill>
      <patternFill patternType="solid">
        <fgColor rgb="FFFFFFFF"/>
        <bgColor rgb="FFFFFFFF"/>
      </patternFill>
    </fill>
    <fill>
      <patternFill patternType="solid">
        <fgColor rgb="FFCCCCCC"/>
        <bgColor rgb="FFCCCCCC"/>
      </patternFill>
    </fill>
    <fill>
      <patternFill patternType="solid">
        <fgColor rgb="FF666666"/>
        <bgColor rgb="FF666666"/>
      </patternFill>
    </fill>
    <fill>
      <patternFill patternType="solid">
        <fgColor rgb="FFFF0000"/>
        <bgColor rgb="FFFF0000"/>
      </patternFill>
    </fill>
    <fill>
      <patternFill patternType="solid">
        <fgColor rgb="FFB4A7D6"/>
        <bgColor rgb="FFB4A7D6"/>
      </patternFill>
    </fill>
    <fill>
      <patternFill patternType="solid">
        <fgColor rgb="FFB6D7A8"/>
        <bgColor rgb="FFB6D7A8"/>
      </patternFill>
    </fill>
    <fill>
      <patternFill patternType="solid">
        <fgColor rgb="FFF1C232"/>
        <bgColor rgb="FFF1C232"/>
      </patternFill>
    </fill>
    <fill>
      <patternFill patternType="solid">
        <fgColor rgb="FFCC0000"/>
        <bgColor rgb="FFCC0000"/>
      </patternFill>
    </fill>
    <fill>
      <patternFill patternType="solid">
        <fgColor rgb="FFD9EAD3"/>
        <bgColor rgb="FFD9EAD3"/>
      </patternFill>
    </fill>
    <fill>
      <patternFill patternType="solid">
        <fgColor rgb="FFD9D9D9"/>
        <bgColor rgb="FFD9D9D9"/>
      </patternFill>
    </fill>
    <fill>
      <patternFill patternType="solid">
        <fgColor rgb="FF262626"/>
        <bgColor rgb="FF262626"/>
      </patternFill>
    </fill>
    <fill>
      <patternFill patternType="solid">
        <fgColor rgb="FFB7B7B7"/>
        <bgColor rgb="FFB7B7B7"/>
      </patternFill>
    </fill>
    <fill>
      <patternFill patternType="solid">
        <fgColor rgb="FFF4C7C3"/>
        <bgColor rgb="FFF4C7C3"/>
      </patternFill>
    </fill>
    <fill>
      <patternFill patternType="solid">
        <fgColor rgb="FFF2F2F2"/>
        <bgColor rgb="FFF2F2F2"/>
      </patternFill>
    </fill>
    <fill>
      <patternFill patternType="solid">
        <fgColor rgb="FFD8D8D8"/>
        <bgColor rgb="FFD8D8D8"/>
      </patternFill>
    </fill>
    <fill>
      <patternFill patternType="solid">
        <fgColor rgb="FF7F7F7F"/>
        <bgColor rgb="FF7F7F7F"/>
      </patternFill>
    </fill>
    <fill>
      <patternFill patternType="solid">
        <fgColor rgb="FF1C4587"/>
        <bgColor rgb="FF1C4587"/>
      </patternFill>
    </fill>
    <fill>
      <patternFill patternType="solid">
        <fgColor rgb="FF5B95F9"/>
        <bgColor rgb="FF5B95F9"/>
      </patternFill>
    </fill>
    <fill>
      <patternFill patternType="solid">
        <fgColor rgb="FFF46524"/>
        <bgColor rgb="FFF46524"/>
      </patternFill>
    </fill>
    <fill>
      <patternFill patternType="solid">
        <fgColor rgb="FFE8F0FE"/>
        <bgColor rgb="FFE8F0FE"/>
      </patternFill>
    </fill>
    <fill>
      <patternFill patternType="solid">
        <fgColor rgb="FFFFE6DD"/>
        <bgColor rgb="FFFFE6DD"/>
      </patternFill>
    </fill>
    <fill>
      <patternFill patternType="solid">
        <fgColor rgb="FFCFE2F3"/>
        <bgColor rgb="FFCFE2F3"/>
      </patternFill>
    </fill>
    <fill>
      <patternFill patternType="solid">
        <fgColor rgb="FFF4CCCC"/>
        <bgColor rgb="FFF4CCCC"/>
      </patternFill>
    </fill>
    <fill>
      <patternFill patternType="solid">
        <fgColor rgb="FF595959"/>
        <bgColor rgb="FF595959"/>
      </patternFill>
    </fill>
    <fill>
      <patternFill patternType="solid">
        <fgColor rgb="FF000000"/>
        <bgColor rgb="FF000000"/>
      </patternFill>
    </fill>
    <fill>
      <patternFill patternType="solid">
        <fgColor rgb="FFFFC000"/>
        <bgColor rgb="FFFFC000"/>
      </patternFill>
    </fill>
    <fill>
      <patternFill patternType="solid">
        <fgColor rgb="FF92D050"/>
        <bgColor rgb="FF92D050"/>
      </patternFill>
    </fill>
    <fill>
      <patternFill patternType="solid">
        <fgColor rgb="FF0070C0"/>
        <bgColor rgb="FF0070C0"/>
      </patternFill>
    </fill>
    <fill>
      <patternFill patternType="solid">
        <fgColor rgb="FF3F3F3F"/>
        <bgColor rgb="FF3F3F3F"/>
      </patternFill>
    </fill>
    <fill>
      <patternFill patternType="solid">
        <fgColor rgb="FF674EA7"/>
        <bgColor rgb="FF674EA7"/>
      </patternFill>
    </fill>
    <fill>
      <patternFill patternType="solid">
        <fgColor rgb="FFFF9900"/>
        <bgColor rgb="FFFF9900"/>
      </patternFill>
    </fill>
  </fills>
  <borders count="6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hair">
        <color rgb="FF000000"/>
      </left>
      <right style="hair">
        <color rgb="FF000000"/>
      </right>
      <top style="hair">
        <color rgb="FF000000"/>
      </top>
      <bottom style="hair">
        <color rgb="FF000000"/>
      </bottom>
    </border>
    <border>
      <left style="hair">
        <color rgb="FF666666"/>
      </left>
      <right style="hair">
        <color rgb="FF666666"/>
      </right>
      <top style="hair">
        <color rgb="FF666666"/>
      </top>
      <bottom style="hair">
        <color rgb="FF666666"/>
      </bottom>
    </border>
    <border>
      <left style="thin">
        <color rgb="FFFFFFFF"/>
      </left>
      <bottom style="thin">
        <color rgb="FFFFFFFF"/>
      </bottom>
    </border>
    <border>
      <bottom style="thin">
        <color rgb="FFFFFFFF"/>
      </bottom>
    </border>
    <border>
      <right style="thin">
        <color rgb="FFFFFFFF"/>
      </right>
      <bottom style="thin">
        <color rgb="FFFFFFFF"/>
      </bottom>
    </border>
    <border>
      <left style="hair">
        <color rgb="FF666666"/>
      </left>
      <right style="hair">
        <color rgb="FF666666"/>
      </right>
      <bottom style="hair">
        <color rgb="FF666666"/>
      </bottom>
    </border>
    <border>
      <left style="thin">
        <color rgb="FF000000"/>
      </left>
      <right style="thin">
        <color rgb="FF000000"/>
      </right>
      <top style="thin">
        <color rgb="FF000000"/>
      </top>
    </border>
    <border>
      <left style="thin">
        <color rgb="FF000000"/>
      </left>
      <right style="thin">
        <color rgb="FF000000"/>
      </right>
    </border>
    <border>
      <left style="hair">
        <color rgb="FF666666"/>
      </left>
      <bottom style="hair">
        <color rgb="FF666666"/>
      </bottom>
    </border>
    <border>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hair">
        <color rgb="FF666666"/>
      </left>
      <right style="hair">
        <color rgb="FF666666"/>
      </righ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border>
    <border>
      <right style="hair">
        <color rgb="FF666666"/>
      </right>
      <bottom style="hair">
        <color rgb="FF666666"/>
      </bottom>
    </border>
    <border>
      <top style="hair">
        <color rgb="FF000000"/>
      </top>
    </border>
    <border>
      <right style="hair">
        <color rgb="FF000000"/>
      </right>
      <bottom style="hair">
        <color rgb="FF000000"/>
      </bottom>
    </border>
    <border>
      <left/>
      <top/>
    </border>
    <border>
      <top/>
    </border>
    <border>
      <right/>
      <top/>
    </border>
    <border>
      <left style="thin">
        <color rgb="FF666666"/>
      </left>
      <top style="thin">
        <color rgb="FF666666"/>
      </top>
    </border>
    <border>
      <left/>
      <bottom/>
    </border>
    <border>
      <bottom/>
    </border>
    <border>
      <right/>
      <bottom/>
    </border>
    <border>
      <left style="thin">
        <color rgb="FF548DD4"/>
      </left>
      <right style="thin">
        <color rgb="FF000000"/>
      </right>
      <bottom style="thin">
        <color rgb="FF000000"/>
      </bottom>
    </border>
    <border>
      <left style="hair">
        <color rgb="FF666666"/>
      </left>
    </border>
    <border>
      <left style="thin">
        <color rgb="FF000000"/>
      </left>
      <right style="thin">
        <color rgb="FF000000"/>
      </right>
      <top/>
      <bottom/>
    </border>
    <border>
      <right/>
    </border>
    <border>
      <left/>
      <top/>
      <bottom style="thin">
        <color rgb="FF000000"/>
      </bottom>
    </border>
    <border>
      <right/>
      <top/>
      <bottom style="thin">
        <color rgb="FF000000"/>
      </bottom>
    </border>
    <border>
      <left/>
      <top style="thin">
        <color rgb="FF000000"/>
      </top>
    </border>
    <border>
      <left/>
      <bottom style="thin">
        <color rgb="FF000000"/>
      </bottom>
    </border>
    <border>
      <left/>
      <top/>
      <bottom/>
    </border>
    <border>
      <top/>
      <bottom/>
    </border>
    <border>
      <right/>
      <top/>
      <bottom/>
    </border>
    <border>
      <bottom style="medium">
        <color rgb="FFFF0000"/>
      </bottom>
    </border>
    <border>
      <left style="medium">
        <color rgb="FFFF0000"/>
      </left>
      <top style="medium">
        <color rgb="FFFF0000"/>
      </top>
    </border>
    <border>
      <top style="medium">
        <color rgb="FFFF0000"/>
      </top>
    </border>
    <border>
      <right style="medium">
        <color rgb="FFFF0000"/>
      </right>
      <top style="medium">
        <color rgb="FFFF0000"/>
      </top>
    </border>
    <border>
      <left style="medium">
        <color rgb="FFFF0000"/>
      </left>
      <bottom style="medium">
        <color rgb="FFFF0000"/>
      </bottom>
    </border>
    <border>
      <right style="medium">
        <color rgb="FFFF0000"/>
      </right>
      <bottom style="medium">
        <color rgb="FFFF0000"/>
      </bottom>
    </border>
    <border>
      <right style="hair">
        <color rgb="FF000000"/>
      </right>
    </border>
  </borders>
  <cellStyleXfs count="1">
    <xf borderId="0" fillId="0" fontId="0" numFmtId="0" applyAlignment="1" applyFont="1"/>
  </cellStyleXfs>
  <cellXfs count="65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readingOrder="0" shrinkToFit="0" vertical="center" wrapText="0"/>
    </xf>
    <xf borderId="0" fillId="0" fontId="3" numFmtId="0" xfId="0" applyAlignment="1" applyFont="1">
      <alignment horizontal="left" readingOrder="0" vertical="center"/>
    </xf>
    <xf borderId="0" fillId="0" fontId="4" numFmtId="0" xfId="0" applyAlignment="1" applyFont="1">
      <alignment vertical="center"/>
    </xf>
    <xf borderId="0" fillId="0" fontId="5" numFmtId="0" xfId="0" applyAlignment="1" applyFont="1">
      <alignment vertical="center"/>
    </xf>
    <xf borderId="0" fillId="0" fontId="3" numFmtId="0" xfId="0" applyAlignment="1" applyFont="1">
      <alignment horizontal="center" readingOrder="0" vertical="center"/>
    </xf>
    <xf borderId="0" fillId="2" fontId="3" numFmtId="0" xfId="0" applyAlignment="1" applyFill="1" applyFont="1">
      <alignment horizontal="center" readingOrder="0" vertical="center"/>
    </xf>
    <xf borderId="1" fillId="0" fontId="6" numFmtId="0" xfId="0" applyAlignment="1" applyBorder="1" applyFont="1">
      <alignment horizontal="center" readingOrder="0" vertical="center"/>
    </xf>
    <xf borderId="0" fillId="0" fontId="7" numFmtId="0" xfId="0" applyAlignment="1" applyFont="1">
      <alignment horizontal="right" vertical="center"/>
    </xf>
    <xf borderId="2" fillId="0" fontId="8" numFmtId="0" xfId="0" applyBorder="1" applyFont="1"/>
    <xf borderId="0" fillId="0" fontId="9"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1" fillId="0" fontId="11" numFmtId="0" xfId="0" applyAlignment="1" applyBorder="1" applyFont="1">
      <alignment horizontal="center" readingOrder="0" shrinkToFit="0" vertical="center" wrapText="1"/>
    </xf>
    <xf borderId="0" fillId="0" fontId="8" numFmtId="0" xfId="0" applyAlignment="1" applyFont="1">
      <alignment shrinkToFit="0" vertical="center" wrapText="0"/>
    </xf>
    <xf borderId="0" fillId="0" fontId="12" numFmtId="0" xfId="0" applyAlignment="1" applyFont="1">
      <alignment vertical="center"/>
    </xf>
    <xf borderId="0" fillId="0" fontId="3" numFmtId="164" xfId="0" applyAlignment="1" applyFont="1" applyNumberFormat="1">
      <alignment horizontal="right" vertical="center"/>
    </xf>
    <xf borderId="1" fillId="0" fontId="13" numFmtId="0" xfId="0" applyAlignment="1" applyBorder="1" applyFont="1">
      <alignment readingOrder="0" vertical="center"/>
    </xf>
    <xf borderId="0" fillId="0" fontId="8" numFmtId="0" xfId="0" applyAlignment="1" applyFont="1">
      <alignment vertical="center"/>
    </xf>
    <xf borderId="3" fillId="0" fontId="8" numFmtId="0" xfId="0" applyBorder="1" applyFont="1"/>
    <xf borderId="0" fillId="0" fontId="1" numFmtId="0" xfId="0" applyAlignment="1" applyFont="1">
      <alignment vertical="center"/>
    </xf>
    <xf borderId="4" fillId="0" fontId="8" numFmtId="0" xfId="0" applyBorder="1" applyFont="1"/>
    <xf borderId="0" fillId="0" fontId="5" numFmtId="0" xfId="0" applyAlignment="1" applyFont="1">
      <alignment horizontal="center" vertical="center"/>
    </xf>
    <xf borderId="0" fillId="0" fontId="8" numFmtId="0" xfId="0" applyAlignment="1" applyFont="1">
      <alignment horizontal="center" vertical="center"/>
    </xf>
    <xf borderId="0" fillId="0" fontId="3" numFmtId="165" xfId="0" applyAlignment="1" applyFont="1" applyNumberFormat="1">
      <alignment horizontal="left" readingOrder="0" vertical="center"/>
    </xf>
    <xf borderId="4" fillId="0" fontId="14" numFmtId="0" xfId="0" applyAlignment="1" applyBorder="1" applyFont="1">
      <alignment readingOrder="0" vertical="center"/>
    </xf>
    <xf borderId="0" fillId="0" fontId="15" numFmtId="0" xfId="0" applyAlignment="1" applyFont="1">
      <alignment horizontal="center" vertical="center"/>
    </xf>
    <xf borderId="5" fillId="0" fontId="8" numFmtId="0" xfId="0" applyBorder="1" applyFont="1"/>
    <xf borderId="0" fillId="3" fontId="3" numFmtId="0" xfId="0" applyAlignment="1" applyFill="1" applyFont="1">
      <alignment horizontal="center" readingOrder="0" vertical="center"/>
    </xf>
    <xf borderId="6" fillId="0" fontId="14" numFmtId="0" xfId="0" applyAlignment="1" applyBorder="1" applyFont="1">
      <alignment readingOrder="0" shrinkToFit="0" vertical="center" wrapText="0"/>
    </xf>
    <xf borderId="7" fillId="0" fontId="8" numFmtId="0" xfId="0" applyBorder="1" applyFont="1"/>
    <xf borderId="0" fillId="0" fontId="3" numFmtId="0" xfId="0" applyAlignment="1" applyFont="1">
      <alignment readingOrder="0" vertical="center"/>
    </xf>
    <xf borderId="0" fillId="0" fontId="4" numFmtId="0" xfId="0" applyAlignment="1" applyFont="1">
      <alignment readingOrder="0" vertical="center"/>
    </xf>
    <xf borderId="0" fillId="0" fontId="3" numFmtId="0" xfId="0" applyAlignment="1" applyFont="1">
      <alignment horizontal="left" vertical="center"/>
    </xf>
    <xf borderId="8" fillId="0" fontId="16" numFmtId="0" xfId="0" applyAlignment="1" applyBorder="1" applyFont="1">
      <alignment readingOrder="0" vertical="center"/>
    </xf>
    <xf borderId="9" fillId="0" fontId="8" numFmtId="0" xfId="0" applyBorder="1" applyFont="1"/>
    <xf borderId="10" fillId="0" fontId="8" numFmtId="0" xfId="0" applyBorder="1" applyFont="1"/>
    <xf borderId="0" fillId="0" fontId="3" numFmtId="166" xfId="0" applyAlignment="1" applyFont="1" applyNumberFormat="1">
      <alignment horizontal="left" vertical="center"/>
    </xf>
    <xf borderId="6" fillId="0" fontId="16" numFmtId="0" xfId="0" applyAlignment="1" applyBorder="1" applyFont="1">
      <alignment horizontal="right" readingOrder="0" shrinkToFit="0" vertical="center" wrapText="1"/>
    </xf>
    <xf borderId="11" fillId="0" fontId="17" numFmtId="0" xfId="0" applyAlignment="1" applyBorder="1" applyFont="1">
      <alignment horizontal="center" readingOrder="0" shrinkToFit="0" vertical="center" wrapText="1"/>
    </xf>
    <xf borderId="12" fillId="0" fontId="8" numFmtId="0" xfId="0" applyBorder="1" applyFont="1"/>
    <xf borderId="0" fillId="0" fontId="3" numFmtId="2" xfId="0" applyAlignment="1" applyFont="1" applyNumberFormat="1">
      <alignment readingOrder="0" vertical="center"/>
    </xf>
    <xf borderId="11" fillId="0" fontId="18" numFmtId="0" xfId="0" applyAlignment="1" applyBorder="1" applyFont="1">
      <alignment horizontal="center" readingOrder="0" shrinkToFit="0" vertical="center" wrapText="1"/>
    </xf>
    <xf borderId="13" fillId="4" fontId="19" numFmtId="0" xfId="0" applyAlignment="1" applyBorder="1" applyFill="1" applyFont="1">
      <alignment horizontal="center" readingOrder="0" shrinkToFit="0" vertical="center" wrapText="1"/>
    </xf>
    <xf borderId="8" fillId="4" fontId="19" numFmtId="0" xfId="0" applyAlignment="1" applyBorder="1" applyFill="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5" numFmtId="0" xfId="0" applyAlignment="1" applyFont="1">
      <alignment horizontal="center" readingOrder="0" vertical="center"/>
    </xf>
    <xf borderId="13" fillId="0" fontId="20" numFmtId="0" xfId="0" applyAlignment="1" applyBorder="1" applyFont="1">
      <alignment horizontal="center" readingOrder="0" shrinkToFit="0" vertical="center" wrapText="1"/>
    </xf>
    <xf borderId="0" fillId="0" fontId="21" numFmtId="0" xfId="0" applyAlignment="1" applyFont="1">
      <alignment horizontal="center" readingOrder="0" shrinkToFit="0" vertical="center" wrapText="1"/>
    </xf>
    <xf borderId="8" fillId="0" fontId="20" numFmtId="0" xfId="0" applyAlignment="1" applyBorder="1" applyFont="1">
      <alignment horizontal="left" readingOrder="0" shrinkToFit="0" vertical="center" wrapText="1"/>
    </xf>
    <xf borderId="0" fillId="0" fontId="21" numFmtId="0" xfId="0" applyAlignment="1" applyFont="1">
      <alignment horizontal="center" readingOrder="0" vertical="center"/>
    </xf>
    <xf borderId="14" fillId="0" fontId="8" numFmtId="0" xfId="0" applyBorder="1" applyFont="1"/>
    <xf borderId="0" fillId="0" fontId="22" numFmtId="0" xfId="0" applyAlignment="1" applyFont="1">
      <alignment horizontal="center" readingOrder="0" vertical="center"/>
    </xf>
    <xf borderId="8" fillId="0" fontId="20" numFmtId="167" xfId="0" applyAlignment="1" applyBorder="1" applyFont="1" applyNumberFormat="1">
      <alignment horizontal="left" readingOrder="0" shrinkToFit="0" vertical="center" wrapText="1"/>
    </xf>
    <xf borderId="13" fillId="5" fontId="1" numFmtId="0" xfId="0" applyAlignment="1" applyBorder="1" applyFill="1" applyFont="1">
      <alignment horizontal="center" readingOrder="0" vertical="center"/>
    </xf>
    <xf borderId="13" fillId="6" fontId="1" numFmtId="0" xfId="0" applyAlignment="1" applyBorder="1" applyFill="1" applyFont="1">
      <alignment horizontal="center" readingOrder="0" vertical="center"/>
    </xf>
    <xf borderId="13" fillId="7" fontId="1" numFmtId="0" xfId="0" applyAlignment="1" applyBorder="1" applyFill="1" applyFont="1">
      <alignment horizontal="center" readingOrder="0" vertical="center"/>
    </xf>
    <xf borderId="13" fillId="8" fontId="1" numFmtId="0" xfId="0" applyAlignment="1" applyBorder="1" applyFill="1" applyFont="1">
      <alignment horizontal="center" readingOrder="0" shrinkToFit="0" vertical="center" wrapText="1"/>
    </xf>
    <xf borderId="1" fillId="0" fontId="20" numFmtId="0" xfId="0" applyAlignment="1" applyBorder="1" applyFont="1">
      <alignment horizontal="left" readingOrder="0" shrinkToFit="0" vertical="center" wrapText="1"/>
    </xf>
    <xf borderId="0" fillId="0" fontId="23" numFmtId="0" xfId="0" applyAlignment="1" applyFont="1">
      <alignment vertical="center"/>
    </xf>
    <xf borderId="13" fillId="2" fontId="1" numFmtId="0" xfId="0" applyAlignment="1" applyBorder="1" applyFill="1" applyFont="1">
      <alignment horizontal="center" vertical="center"/>
    </xf>
    <xf borderId="9" fillId="0" fontId="0" numFmtId="0" xfId="0" applyAlignment="1" applyBorder="1" applyFont="1">
      <alignment horizontal="left" readingOrder="0" shrinkToFit="0" vertical="center" wrapText="1"/>
    </xf>
    <xf borderId="13" fillId="3" fontId="1" numFmtId="0" xfId="0" applyAlignment="1" applyBorder="1" applyFill="1" applyFont="1">
      <alignment horizontal="center" vertical="center"/>
    </xf>
    <xf borderId="13" fillId="9" fontId="1" numFmtId="0" xfId="0" applyAlignment="1" applyBorder="1" applyFill="1" applyFont="1">
      <alignment horizontal="center" readingOrder="0" shrinkToFit="0" vertical="center" wrapText="1"/>
    </xf>
    <xf borderId="8" fillId="0" fontId="0" numFmtId="0" xfId="0" applyAlignment="1" applyBorder="1" applyFont="1">
      <alignment horizontal="left" readingOrder="0" shrinkToFit="0" vertical="center" wrapText="1"/>
    </xf>
    <xf borderId="13" fillId="9" fontId="1" numFmtId="0" xfId="0" applyAlignment="1" applyBorder="1" applyFill="1" applyFont="1">
      <alignment horizontal="center" readingOrder="0" shrinkToFit="0" textRotation="0" vertical="center" wrapText="0"/>
    </xf>
    <xf borderId="0" fillId="0" fontId="24" numFmtId="0" xfId="0" applyAlignment="1" applyFont="1">
      <alignment vertical="center"/>
    </xf>
    <xf borderId="0" fillId="0" fontId="8" numFmtId="0" xfId="0" applyAlignment="1" applyFont="1">
      <alignment horizontal="center" shrinkToFit="0" vertical="center" wrapText="0"/>
    </xf>
    <xf borderId="13" fillId="7" fontId="1" numFmtId="0" xfId="0" applyAlignment="1" applyBorder="1" applyFill="1" applyFont="1">
      <alignment horizontal="center" readingOrder="0" shrinkToFit="0" vertical="center" wrapText="1"/>
    </xf>
    <xf borderId="13" fillId="0" fontId="25" numFmtId="0" xfId="0" applyAlignment="1" applyBorder="1" applyFont="1">
      <alignment horizontal="center" readingOrder="0" shrinkToFit="0" vertical="center" wrapText="1"/>
    </xf>
    <xf borderId="0" fillId="0" fontId="26" numFmtId="0" xfId="0" applyAlignment="1" applyFont="1">
      <alignment readingOrder="0" shrinkToFit="0" vertical="center" wrapText="0"/>
    </xf>
    <xf borderId="13" fillId="10" fontId="5" numFmtId="0" xfId="0" applyAlignment="1" applyBorder="1" applyFill="1" applyFont="1">
      <alignment horizontal="center" readingOrder="0" vertical="center"/>
    </xf>
    <xf borderId="0" fillId="0" fontId="27" numFmtId="0" xfId="0" applyAlignment="1" applyFont="1">
      <alignment shrinkToFit="0" vertical="center" wrapText="0"/>
    </xf>
    <xf borderId="13" fillId="10" fontId="4" numFmtId="0" xfId="0" applyAlignment="1" applyBorder="1" applyFill="1" applyFont="1">
      <alignment horizontal="center" readingOrder="0" shrinkToFit="0" vertical="center" wrapText="1"/>
    </xf>
    <xf borderId="0" fillId="0" fontId="24" numFmtId="0" xfId="0" applyAlignment="1" applyFont="1">
      <alignment shrinkToFit="0" vertical="center" wrapText="0"/>
    </xf>
    <xf borderId="7" fillId="10" fontId="5" numFmtId="0" xfId="0" applyAlignment="1" applyBorder="1" applyFill="1" applyFont="1">
      <alignment horizontal="center" readingOrder="0" shrinkToFit="0" vertical="center" wrapText="1"/>
    </xf>
    <xf borderId="0" fillId="2" fontId="28" numFmtId="0" xfId="0" applyAlignment="1" applyFill="1" applyFont="1">
      <alignment horizontal="center" readingOrder="0" vertical="center"/>
    </xf>
    <xf borderId="7" fillId="10" fontId="5" numFmtId="0" xfId="0" applyAlignment="1" applyBorder="1" applyFill="1" applyFont="1">
      <alignment readingOrder="0" shrinkToFit="0" vertical="center" wrapText="1"/>
    </xf>
    <xf borderId="13" fillId="0" fontId="29" numFmtId="0" xfId="0" applyAlignment="1" applyBorder="1" applyFont="1">
      <alignment horizontal="center" readingOrder="0" shrinkToFit="0" vertical="center" wrapText="1"/>
    </xf>
    <xf borderId="0" fillId="3" fontId="28" numFmtId="0" xfId="0" applyAlignment="1" applyFill="1" applyFont="1">
      <alignment horizontal="center" readingOrder="0" vertical="center"/>
    </xf>
    <xf borderId="15" fillId="10" fontId="4" numFmtId="0" xfId="0" applyAlignment="1" applyBorder="1" applyFill="1" applyFont="1">
      <alignment shrinkToFit="0" vertical="center" wrapText="1"/>
    </xf>
    <xf borderId="0" fillId="0" fontId="26" numFmtId="0" xfId="0" applyAlignment="1" applyFont="1">
      <alignment vertical="center"/>
    </xf>
    <xf borderId="8" fillId="0" fontId="30" numFmtId="0" xfId="0" applyAlignment="1" applyBorder="1" applyFont="1">
      <alignment horizontal="left" readingOrder="0" shrinkToFit="0" vertical="center" wrapText="1"/>
    </xf>
    <xf borderId="0" fillId="0" fontId="26" numFmtId="0" xfId="0" applyAlignment="1" applyFont="1">
      <alignment readingOrder="0" vertical="center"/>
    </xf>
    <xf borderId="6" fillId="10" fontId="5" numFmtId="0" xfId="0" applyAlignment="1" applyBorder="1" applyFill="1" applyFont="1">
      <alignment shrinkToFit="0" vertical="center" wrapText="1"/>
    </xf>
    <xf borderId="0" fillId="0" fontId="26" numFmtId="9" xfId="0" applyAlignment="1" applyFont="1" applyNumberFormat="1">
      <alignment readingOrder="0" vertical="center"/>
    </xf>
    <xf borderId="8" fillId="0" fontId="29" numFmtId="49" xfId="0" applyAlignment="1" applyBorder="1" applyFont="1" applyNumberFormat="1">
      <alignment horizontal="left" readingOrder="0" shrinkToFit="0" vertical="center" wrapText="1"/>
    </xf>
    <xf borderId="16" fillId="10" fontId="5" numFmtId="164" xfId="0" applyAlignment="1" applyBorder="1" applyFill="1" applyFont="1" applyNumberFormat="1">
      <alignment horizontal="right" readingOrder="0" vertical="center"/>
    </xf>
    <xf borderId="0" fillId="0" fontId="24" numFmtId="0" xfId="0" applyAlignment="1" applyFont="1">
      <alignment horizontal="center" vertical="center"/>
    </xf>
    <xf borderId="16" fillId="10" fontId="5" numFmtId="3" xfId="0" applyAlignment="1" applyBorder="1" applyFill="1" applyFont="1" applyNumberFormat="1">
      <alignment horizontal="right" readingOrder="0" vertical="center"/>
    </xf>
    <xf borderId="11" fillId="0" fontId="17" numFmtId="49" xfId="0" applyAlignment="1" applyBorder="1" applyFont="1" applyNumberFormat="1">
      <alignment horizontal="left" readingOrder="0" shrinkToFit="0" vertical="center" wrapText="1"/>
    </xf>
    <xf borderId="0" fillId="0" fontId="17" numFmtId="49" xfId="0" applyAlignment="1" applyFont="1" applyNumberFormat="1">
      <alignment horizontal="left" readingOrder="0" shrinkToFit="0" vertical="center" wrapText="1"/>
    </xf>
    <xf borderId="0" fillId="0" fontId="12" numFmtId="0" xfId="0" applyAlignment="1" applyFont="1">
      <alignment horizontal="center" vertical="center"/>
    </xf>
    <xf borderId="12" fillId="0" fontId="17" numFmtId="49" xfId="0" applyAlignment="1" applyBorder="1" applyFont="1" applyNumberFormat="1">
      <alignment horizontal="left" readingOrder="0" shrinkToFit="0" vertical="center" wrapText="1"/>
    </xf>
    <xf borderId="0" fillId="0" fontId="8" numFmtId="0" xfId="0" applyAlignment="1" applyFont="1">
      <alignment horizontal="left" vertical="center"/>
    </xf>
    <xf borderId="17" fillId="10" fontId="5" numFmtId="3" xfId="0" applyAlignment="1" applyBorder="1" applyFill="1" applyFont="1" applyNumberFormat="1">
      <alignment horizontal="right" readingOrder="0" vertical="center"/>
    </xf>
    <xf borderId="17" fillId="10" fontId="5" numFmtId="166" xfId="0" applyAlignment="1" applyBorder="1" applyFill="1" applyFont="1" applyNumberFormat="1">
      <alignment horizontal="right" readingOrder="0" vertical="center"/>
    </xf>
    <xf borderId="18" fillId="0" fontId="17" numFmtId="49" xfId="0" applyAlignment="1" applyBorder="1" applyFont="1" applyNumberFormat="1">
      <alignment horizontal="left" readingOrder="0" shrinkToFit="0" vertical="center" wrapText="1"/>
    </xf>
    <xf borderId="19" fillId="0" fontId="17" numFmtId="49" xfId="0" applyAlignment="1" applyBorder="1" applyFont="1" applyNumberFormat="1">
      <alignment horizontal="left" readingOrder="0" shrinkToFit="0" vertical="center" wrapText="1"/>
    </xf>
    <xf borderId="20" fillId="0" fontId="17" numFmtId="49" xfId="0" applyAlignment="1" applyBorder="1" applyFont="1" applyNumberFormat="1">
      <alignment horizontal="left" readingOrder="0" shrinkToFit="0" vertical="center" wrapText="1"/>
    </xf>
    <xf borderId="17" fillId="10" fontId="5" numFmtId="166" xfId="0" applyAlignment="1" applyBorder="1" applyFill="1" applyFont="1" applyNumberFormat="1">
      <alignment horizontal="right" vertical="center"/>
    </xf>
    <xf borderId="0" fillId="0" fontId="31" numFmtId="0" xfId="0" applyAlignment="1" applyFont="1">
      <alignment vertical="center"/>
    </xf>
    <xf borderId="0" fillId="0" fontId="26" numFmtId="165" xfId="0" applyAlignment="1" applyFont="1" applyNumberFormat="1">
      <alignment horizontal="left" readingOrder="0" shrinkToFit="0" vertical="center" wrapText="0"/>
    </xf>
    <xf borderId="0" fillId="0" fontId="32" numFmtId="0" xfId="0" applyAlignment="1" applyFont="1">
      <alignment horizontal="left" readingOrder="0" shrinkToFit="0" vertical="center" wrapText="0"/>
    </xf>
    <xf borderId="0" fillId="0" fontId="31" numFmtId="0" xfId="0" applyAlignment="1" applyFont="1">
      <alignment shrinkToFit="0" vertical="center" wrapText="0"/>
    </xf>
    <xf borderId="21" fillId="10" fontId="5" numFmtId="166" xfId="0" applyAlignment="1" applyBorder="1" applyFill="1" applyFont="1" applyNumberFormat="1">
      <alignment horizontal="right" vertical="center"/>
    </xf>
    <xf borderId="0" fillId="0" fontId="13" numFmtId="0" xfId="0" applyAlignment="1" applyFont="1">
      <alignment horizontal="center" shrinkToFit="0" vertical="center" wrapText="0"/>
    </xf>
    <xf borderId="16" fillId="10" fontId="5" numFmtId="166" xfId="0" applyAlignment="1" applyBorder="1" applyFill="1" applyFont="1" applyNumberFormat="1">
      <alignment horizontal="right" vertical="center"/>
    </xf>
    <xf borderId="0" fillId="0" fontId="14" numFmtId="0" xfId="0" applyAlignment="1" applyFont="1">
      <alignment horizontal="center" vertical="center"/>
    </xf>
    <xf borderId="0" fillId="0" fontId="13" numFmtId="0" xfId="0" applyAlignment="1" applyFont="1">
      <alignment horizontal="left" vertical="center"/>
    </xf>
    <xf borderId="0" fillId="0" fontId="13" numFmtId="0" xfId="0" applyAlignment="1" applyFont="1">
      <alignment horizontal="center" vertical="center"/>
    </xf>
    <xf borderId="7" fillId="10" fontId="5" numFmtId="0" xfId="0" applyAlignment="1" applyBorder="1" applyFill="1" applyFont="1">
      <alignment shrinkToFit="0" vertical="center" wrapText="1"/>
    </xf>
    <xf borderId="0" fillId="0" fontId="27" numFmtId="164" xfId="0" applyAlignment="1" applyFont="1" applyNumberFormat="1">
      <alignment horizontal="right" vertical="center"/>
    </xf>
    <xf borderId="0" fillId="0" fontId="32" numFmtId="0" xfId="0" applyAlignment="1" applyFont="1">
      <alignment readingOrder="0" shrinkToFit="0" vertical="center" wrapText="0"/>
    </xf>
    <xf borderId="0" fillId="0" fontId="27" numFmtId="0" xfId="0" applyAlignment="1" applyFont="1">
      <alignment vertical="center"/>
    </xf>
    <xf borderId="0" fillId="0" fontId="14" numFmtId="0" xfId="0" applyAlignment="1" applyFont="1">
      <alignment shrinkToFit="0" vertical="center" wrapText="0"/>
    </xf>
    <xf borderId="0" fillId="0" fontId="33" numFmtId="0" xfId="0" applyAlignment="1" applyFont="1">
      <alignment horizontal="center" shrinkToFit="0" vertical="center" wrapText="0"/>
    </xf>
    <xf borderId="0" fillId="2" fontId="32" numFmtId="0" xfId="0" applyAlignment="1" applyFill="1" applyFont="1">
      <alignment horizontal="center" readingOrder="0" vertical="center"/>
    </xf>
    <xf borderId="0" fillId="0" fontId="31" numFmtId="0" xfId="0" applyAlignment="1" applyFont="1">
      <alignment horizontal="center" vertical="center"/>
    </xf>
    <xf borderId="0" fillId="3" fontId="32" numFmtId="0" xfId="0" applyAlignment="1" applyFill="1" applyFont="1">
      <alignment horizontal="center" readingOrder="0" vertical="center"/>
    </xf>
    <xf borderId="0" fillId="0" fontId="32" numFmtId="0" xfId="0" applyAlignment="1" applyFont="1">
      <alignment horizontal="center" vertical="center"/>
    </xf>
    <xf borderId="0" fillId="0" fontId="32" numFmtId="0" xfId="0" applyAlignment="1" applyFont="1">
      <alignment horizontal="center" readingOrder="0" vertical="center"/>
    </xf>
    <xf borderId="0" fillId="0" fontId="32" numFmtId="9" xfId="0" applyAlignment="1" applyFont="1" applyNumberFormat="1">
      <alignment horizontal="center" readingOrder="0" vertical="center"/>
    </xf>
    <xf borderId="22" fillId="10" fontId="5" numFmtId="0" xfId="0" applyAlignment="1" applyBorder="1" applyFill="1" applyFont="1">
      <alignment horizontal="center" readingOrder="0" vertical="center"/>
    </xf>
    <xf borderId="0" fillId="0" fontId="33" numFmtId="0" xfId="0" applyAlignment="1" applyFont="1">
      <alignment horizontal="left" vertical="center"/>
    </xf>
    <xf borderId="0" fillId="0" fontId="33" numFmtId="0" xfId="0" applyAlignment="1" applyFont="1">
      <alignment horizontal="center" vertical="center"/>
    </xf>
    <xf borderId="22" fillId="10" fontId="4" numFmtId="0" xfId="0" applyAlignment="1" applyBorder="1" applyFill="1" applyFont="1">
      <alignment horizontal="center" readingOrder="0" shrinkToFit="0" vertical="center" wrapText="1"/>
    </xf>
    <xf borderId="23" fillId="0" fontId="8" numFmtId="0" xfId="0" applyBorder="1" applyFont="1"/>
    <xf borderId="0" fillId="0" fontId="32" numFmtId="165" xfId="0" applyAlignment="1" applyFont="1" applyNumberFormat="1">
      <alignment horizontal="left" readingOrder="0" shrinkToFit="0" vertical="center" wrapText="0"/>
    </xf>
    <xf borderId="0" fillId="0" fontId="2" numFmtId="0" xfId="0" applyAlignment="1" applyFont="1">
      <alignment horizontal="center" readingOrder="0" shrinkToFit="0" vertical="bottom" wrapText="0"/>
    </xf>
    <xf borderId="0" fillId="0" fontId="3" numFmtId="0" xfId="0" applyAlignment="1" applyFont="1">
      <alignment horizontal="left" readingOrder="0" vertical="bottom"/>
    </xf>
    <xf borderId="0" fillId="0" fontId="4" numFmtId="0" xfId="0" applyFont="1"/>
    <xf borderId="0" fillId="0" fontId="14" numFmtId="164" xfId="0" applyAlignment="1" applyFont="1" applyNumberFormat="1">
      <alignment horizontal="center" vertical="center"/>
    </xf>
    <xf borderId="22" fillId="10" fontId="5" numFmtId="0" xfId="0" applyAlignment="1" applyBorder="1" applyFill="1" applyFont="1">
      <alignment horizontal="center" readingOrder="0" shrinkToFit="0" vertical="center" wrapText="1"/>
    </xf>
    <xf borderId="22" fillId="10" fontId="5" numFmtId="0" xfId="0" applyAlignment="1" applyBorder="1" applyFill="1" applyFont="1">
      <alignment readingOrder="0" shrinkToFit="0" vertical="center" wrapText="1"/>
    </xf>
    <xf borderId="0" fillId="0" fontId="5" numFmtId="0" xfId="0" applyFont="1"/>
    <xf borderId="0" fillId="0" fontId="34" numFmtId="0" xfId="0" applyAlignment="1" applyFont="1">
      <alignment horizontal="center" shrinkToFit="0" textRotation="180" vertical="center" wrapText="0"/>
    </xf>
    <xf borderId="22" fillId="10" fontId="4" numFmtId="0" xfId="0" applyAlignment="1" applyBorder="1" applyFill="1" applyFont="1">
      <alignment shrinkToFit="0" vertical="center" wrapText="1"/>
    </xf>
    <xf borderId="13" fillId="10" fontId="5" numFmtId="0" xfId="0" applyAlignment="1" applyBorder="1" applyFill="1" applyFont="1">
      <alignment readingOrder="0" shrinkToFit="0" vertical="center" wrapText="1"/>
    </xf>
    <xf borderId="13" fillId="10" fontId="4" numFmtId="0" xfId="0" applyAlignment="1" applyBorder="1" applyFill="1" applyFont="1">
      <alignment shrinkToFit="0" vertical="center" wrapText="1"/>
    </xf>
    <xf borderId="0" fillId="0" fontId="3" numFmtId="0" xfId="0" applyAlignment="1" applyFont="1">
      <alignment horizontal="center" readingOrder="0" vertical="bottom"/>
    </xf>
    <xf borderId="0" fillId="2" fontId="3" numFmtId="0" xfId="0" applyAlignment="1" applyFill="1" applyFont="1">
      <alignment horizontal="center" readingOrder="0" vertical="bottom"/>
    </xf>
    <xf borderId="0" fillId="0" fontId="3" numFmtId="164" xfId="0" applyAlignment="1" applyFont="1" applyNumberFormat="1">
      <alignment horizontal="right" vertical="bottom"/>
    </xf>
    <xf borderId="0" fillId="0" fontId="35" numFmtId="0" xfId="0" applyAlignment="1" applyFont="1">
      <alignment horizontal="center" shrinkToFit="0" textRotation="180" vertical="center" wrapText="0"/>
    </xf>
    <xf borderId="0" fillId="0" fontId="1" numFmtId="0" xfId="0" applyFont="1"/>
    <xf borderId="0" fillId="0" fontId="3" numFmtId="0" xfId="0" applyAlignment="1" applyFont="1">
      <alignment horizontal="center" readingOrder="0"/>
    </xf>
    <xf borderId="0" fillId="0" fontId="3" numFmtId="165" xfId="0" applyAlignment="1" applyFont="1" applyNumberFormat="1">
      <alignment horizontal="left" readingOrder="0" vertical="bottom"/>
    </xf>
    <xf borderId="15" fillId="0" fontId="8" numFmtId="0" xfId="0" applyBorder="1" applyFont="1"/>
    <xf borderId="0" fillId="3" fontId="3" numFmtId="0" xfId="0" applyAlignment="1" applyFill="1" applyFont="1">
      <alignment horizontal="center" readingOrder="0" vertical="bottom"/>
    </xf>
    <xf borderId="0" fillId="0" fontId="3" numFmtId="0" xfId="0" applyAlignment="1" applyFont="1">
      <alignment readingOrder="0"/>
    </xf>
    <xf borderId="0" fillId="0" fontId="4" numFmtId="0" xfId="0" applyAlignment="1" applyFont="1">
      <alignment readingOrder="0"/>
    </xf>
    <xf borderId="0" fillId="0" fontId="3" numFmtId="166" xfId="0" applyAlignment="1" applyFont="1" applyNumberFormat="1">
      <alignment horizontal="left"/>
    </xf>
    <xf borderId="0" fillId="0" fontId="3" numFmtId="0" xfId="0" applyAlignment="1" applyFont="1">
      <alignment horizontal="left"/>
    </xf>
    <xf borderId="0" fillId="0" fontId="3" numFmtId="2" xfId="0" applyAlignment="1" applyFont="1" applyNumberFormat="1">
      <alignment readingOrder="0"/>
    </xf>
    <xf borderId="13" fillId="10" fontId="5" numFmtId="0" xfId="0" applyAlignment="1" applyBorder="1" applyFill="1" applyFont="1">
      <alignment horizontal="center" readingOrder="0" shrinkToFit="0" vertical="center" wrapText="1"/>
    </xf>
    <xf borderId="0" fillId="0" fontId="1" numFmtId="0" xfId="0" applyAlignment="1" applyFont="1">
      <alignment horizontal="center" readingOrder="0"/>
    </xf>
    <xf borderId="0" fillId="0" fontId="1" numFmtId="0" xfId="0" applyAlignment="1" applyFont="1">
      <alignment readingOrder="0" shrinkToFit="0" wrapText="1"/>
    </xf>
    <xf borderId="0" fillId="0" fontId="5" numFmtId="0" xfId="0" applyAlignment="1" applyFont="1">
      <alignment horizontal="center" readingOrder="0"/>
    </xf>
    <xf borderId="0" fillId="0" fontId="21" numFmtId="0" xfId="0" applyAlignment="1" applyFont="1">
      <alignment horizontal="center" readingOrder="0" shrinkToFit="0" wrapText="1"/>
    </xf>
    <xf borderId="0" fillId="0" fontId="5" numFmtId="0" xfId="0" applyAlignment="1" applyFont="1">
      <alignment horizontal="center"/>
    </xf>
    <xf borderId="0" fillId="0" fontId="32" numFmtId="0" xfId="0" applyAlignment="1" applyFont="1">
      <alignment horizontal="left" shrinkToFit="0" vertical="center" wrapText="0"/>
    </xf>
    <xf borderId="0" fillId="11" fontId="13" numFmtId="0" xfId="0" applyAlignment="1" applyFill="1" applyFont="1">
      <alignment shrinkToFit="0" vertical="center" wrapText="0"/>
    </xf>
    <xf borderId="0" fillId="0" fontId="1" numFmtId="0" xfId="0" applyAlignment="1" applyFont="1">
      <alignment horizontal="center" readingOrder="0" shrinkToFit="0" vertical="center" wrapText="1"/>
    </xf>
    <xf borderId="0" fillId="11" fontId="13" numFmtId="0" xfId="0" applyAlignment="1" applyFill="1" applyFont="1">
      <alignment horizontal="center" vertical="center"/>
    </xf>
    <xf borderId="8" fillId="12" fontId="5" numFmtId="0" xfId="0" applyAlignment="1" applyBorder="1" applyFill="1" applyFont="1">
      <alignment horizontal="center" readingOrder="0" vertical="center"/>
    </xf>
    <xf borderId="9" fillId="12" fontId="36" numFmtId="0" xfId="0" applyAlignment="1" applyBorder="1" applyFill="1" applyFont="1">
      <alignment horizontal="center" readingOrder="0" shrinkToFit="0" vertical="top" wrapText="1"/>
    </xf>
    <xf borderId="0" fillId="0" fontId="33" numFmtId="0" xfId="0" applyAlignment="1" applyFont="1">
      <alignment readingOrder="0" shrinkToFit="0" vertical="center" wrapText="0"/>
    </xf>
    <xf borderId="9" fillId="12" fontId="4" numFmtId="0" xfId="0" applyAlignment="1" applyBorder="1" applyFill="1" applyFont="1">
      <alignment readingOrder="0" shrinkToFit="0" vertical="top" wrapText="1"/>
    </xf>
    <xf borderId="0" fillId="0" fontId="33" numFmtId="9" xfId="0" applyAlignment="1" applyFont="1" applyNumberFormat="1">
      <alignment readingOrder="0" shrinkToFit="0" vertical="center" wrapText="0"/>
    </xf>
    <xf borderId="0" fillId="0" fontId="37" numFmtId="0" xfId="0" applyAlignment="1" applyFont="1">
      <alignment horizontal="center" readingOrder="0" vertical="center"/>
    </xf>
    <xf borderId="9" fillId="12" fontId="5" numFmtId="164" xfId="0" applyAlignment="1" applyBorder="1" applyFill="1" applyFont="1" applyNumberFormat="1">
      <alignment horizontal="right" readingOrder="0" vertical="center"/>
    </xf>
    <xf borderId="9" fillId="12" fontId="5" numFmtId="3" xfId="0" applyAlignment="1" applyBorder="1" applyFill="1" applyFont="1" applyNumberFormat="1">
      <alignment horizontal="right" readingOrder="0" vertical="center"/>
    </xf>
    <xf borderId="9" fillId="12" fontId="5" numFmtId="166" xfId="0" applyAlignment="1" applyBorder="1" applyFill="1" applyFont="1" applyNumberFormat="1">
      <alignment horizontal="right" readingOrder="0" vertical="center"/>
    </xf>
    <xf borderId="9" fillId="12" fontId="5" numFmtId="166" xfId="0" applyAlignment="1" applyBorder="1" applyFill="1" applyFont="1" applyNumberFormat="1">
      <alignment horizontal="right" vertical="center"/>
    </xf>
    <xf borderId="10" fillId="12" fontId="5" numFmtId="166" xfId="0" applyAlignment="1" applyBorder="1" applyFill="1" applyFont="1" applyNumberFormat="1">
      <alignment horizontal="right" vertical="center"/>
    </xf>
    <xf borderId="0" fillId="0" fontId="5" numFmtId="4" xfId="0" applyAlignment="1" applyFont="1" applyNumberFormat="1">
      <alignment readingOrder="0" vertical="top"/>
    </xf>
    <xf borderId="24" fillId="0" fontId="5" numFmtId="0" xfId="0" applyAlignment="1" applyBorder="1" applyFont="1">
      <alignment horizontal="center" readingOrder="0" vertical="center"/>
    </xf>
    <xf borderId="0" fillId="0" fontId="33" numFmtId="0" xfId="0" applyAlignment="1" applyFont="1">
      <alignment horizontal="center" vertical="center"/>
    </xf>
    <xf borderId="15" fillId="0" fontId="5" numFmtId="0" xfId="0" applyAlignment="1" applyBorder="1" applyFont="1">
      <alignment horizontal="center" vertical="top"/>
    </xf>
    <xf borderId="7" fillId="0" fontId="5" numFmtId="0" xfId="0" applyAlignment="1" applyBorder="1" applyFont="1">
      <alignment shrinkToFit="0" vertical="top" wrapText="1"/>
    </xf>
    <xf borderId="22" fillId="10" fontId="4" numFmtId="0" xfId="0" applyAlignment="1" applyBorder="1" applyFill="1" applyFont="1">
      <alignment readingOrder="0" shrinkToFit="0" vertical="center" wrapText="1"/>
    </xf>
    <xf borderId="15" fillId="0" fontId="4" numFmtId="0" xfId="0" applyAlignment="1" applyBorder="1" applyFont="1">
      <alignment shrinkToFit="0" vertical="top" wrapText="1"/>
    </xf>
    <xf borderId="15" fillId="0" fontId="5" numFmtId="0" xfId="0" applyAlignment="1" applyBorder="1" applyFont="1">
      <alignment shrinkToFit="0" vertical="top" wrapText="1"/>
    </xf>
    <xf borderId="17" fillId="0" fontId="4" numFmtId="164" xfId="0" applyAlignment="1" applyBorder="1" applyFont="1" applyNumberFormat="1">
      <alignment horizontal="right" vertical="bottom"/>
    </xf>
    <xf borderId="17" fillId="0" fontId="5" numFmtId="3" xfId="0" applyAlignment="1" applyBorder="1" applyFont="1" applyNumberFormat="1">
      <alignment horizontal="center" readingOrder="0" vertical="center"/>
    </xf>
    <xf borderId="17" fillId="0" fontId="5" numFmtId="3" xfId="0" applyAlignment="1" applyBorder="1" applyFont="1" applyNumberFormat="1">
      <alignment horizontal="right" vertical="center"/>
    </xf>
    <xf borderId="17" fillId="0" fontId="5" numFmtId="166" xfId="0" applyAlignment="1" applyBorder="1" applyFont="1" applyNumberFormat="1">
      <alignment horizontal="right" readingOrder="0" vertical="center"/>
    </xf>
    <xf borderId="0" fillId="0" fontId="26" numFmtId="0" xfId="0" applyAlignment="1" applyFont="1">
      <alignment horizontal="left" shrinkToFit="0" vertical="center" wrapText="0"/>
    </xf>
    <xf borderId="17" fillId="0" fontId="5" numFmtId="166" xfId="0" applyAlignment="1" applyBorder="1" applyFont="1" applyNumberFormat="1">
      <alignment vertical="center"/>
    </xf>
    <xf borderId="5" fillId="10" fontId="5" numFmtId="0" xfId="0" applyAlignment="1" applyBorder="1" applyFill="1" applyFont="1">
      <alignment horizontal="center" readingOrder="0" shrinkToFit="0" vertical="center" wrapText="1"/>
    </xf>
    <xf borderId="0" fillId="11" fontId="8" numFmtId="0" xfId="0" applyAlignment="1" applyFill="1" applyFont="1">
      <alignment shrinkToFit="0" vertical="center" wrapText="0"/>
    </xf>
    <xf borderId="5" fillId="10" fontId="5" numFmtId="0" xfId="0" applyAlignment="1" applyBorder="1" applyFill="1" applyFont="1">
      <alignment readingOrder="0" shrinkToFit="0" vertical="center" wrapText="1"/>
    </xf>
    <xf borderId="25" fillId="0" fontId="5" numFmtId="0" xfId="0" applyBorder="1" applyFont="1"/>
    <xf borderId="23" fillId="10" fontId="4" numFmtId="0" xfId="0" applyAlignment="1" applyBorder="1" applyFill="1" applyFont="1">
      <alignment readingOrder="0" shrinkToFit="0" vertical="center" wrapText="1"/>
    </xf>
    <xf borderId="0" fillId="11" fontId="31" numFmtId="0" xfId="0" applyAlignment="1" applyFill="1" applyFont="1">
      <alignment vertical="center"/>
    </xf>
    <xf borderId="0" fillId="0" fontId="24" numFmtId="0" xfId="0" applyAlignment="1" applyFont="1">
      <alignment readingOrder="0" shrinkToFit="0" vertical="center" wrapText="0"/>
    </xf>
    <xf borderId="0" fillId="0" fontId="24" numFmtId="9" xfId="0" applyAlignment="1" applyFont="1" applyNumberFormat="1">
      <alignment readingOrder="0" shrinkToFit="0" vertical="center" wrapText="0"/>
    </xf>
    <xf borderId="0" fillId="0" fontId="38" numFmtId="0" xfId="0" applyAlignment="1" applyFont="1">
      <alignment horizontal="center" readingOrder="0" vertical="center"/>
    </xf>
    <xf borderId="0" fillId="0" fontId="38" numFmtId="0" xfId="0" applyAlignment="1" applyFont="1">
      <alignment readingOrder="0" vertical="center"/>
    </xf>
    <xf borderId="26" fillId="10" fontId="5" numFmtId="166" xfId="0" applyAlignment="1" applyBorder="1" applyFill="1" applyFont="1" applyNumberFormat="1">
      <alignment horizontal="right" vertical="center"/>
    </xf>
    <xf borderId="25" fillId="0" fontId="5" numFmtId="4" xfId="0" applyAlignment="1" applyBorder="1" applyFont="1" applyNumberFormat="1">
      <alignment readingOrder="0" vertical="top"/>
    </xf>
    <xf borderId="24" fillId="10" fontId="5" numFmtId="0" xfId="0" applyAlignment="1" applyBorder="1" applyFill="1" applyFont="1">
      <alignment horizontal="center" readingOrder="0" vertical="center"/>
    </xf>
    <xf borderId="15" fillId="10" fontId="4" numFmtId="0" xfId="0" applyAlignment="1" applyBorder="1" applyFill="1" applyFont="1">
      <alignment horizontal="center" shrinkToFit="0" vertical="top" wrapText="1"/>
    </xf>
    <xf borderId="0" fillId="13" fontId="5" numFmtId="4" xfId="0" applyAlignment="1" applyFill="1" applyFont="1" applyNumberFormat="1">
      <alignment readingOrder="0" vertical="center"/>
    </xf>
    <xf borderId="7" fillId="10" fontId="5" numFmtId="0" xfId="0" applyAlignment="1" applyBorder="1" applyFill="1" applyFont="1">
      <alignment shrinkToFit="0" vertical="top" wrapText="1"/>
    </xf>
    <xf borderId="0" fillId="7" fontId="39" numFmtId="0" xfId="0" applyAlignment="1" applyFill="1" applyFont="1">
      <alignment horizontal="center" readingOrder="0" vertical="center"/>
    </xf>
    <xf borderId="15" fillId="10" fontId="4" numFmtId="0" xfId="0" applyAlignment="1" applyBorder="1" applyFill="1" applyFont="1">
      <alignment shrinkToFit="0" vertical="top" wrapText="1"/>
    </xf>
    <xf borderId="7" fillId="10" fontId="5" numFmtId="0" xfId="0" applyAlignment="1" applyBorder="1" applyFill="1" applyFont="1">
      <alignment readingOrder="0" shrinkToFit="0" vertical="top" wrapText="1"/>
    </xf>
    <xf borderId="22" fillId="6" fontId="33" numFmtId="0" xfId="0" applyAlignment="1" applyBorder="1" applyFill="1" applyFont="1">
      <alignment horizontal="center" readingOrder="0" shrinkToFit="0" vertical="center" wrapText="0"/>
    </xf>
    <xf borderId="27" fillId="0" fontId="8" numFmtId="0" xfId="0" applyBorder="1" applyFont="1"/>
    <xf borderId="21" fillId="10" fontId="5" numFmtId="164" xfId="0" applyAlignment="1" applyBorder="1" applyFill="1" applyFont="1" applyNumberFormat="1">
      <alignment horizontal="right" readingOrder="0" vertical="center"/>
    </xf>
    <xf borderId="22" fillId="7" fontId="33" numFmtId="0" xfId="0" applyAlignment="1" applyBorder="1" applyFill="1" applyFont="1">
      <alignment horizontal="center" readingOrder="0" shrinkToFit="0" vertical="center" wrapText="0"/>
    </xf>
    <xf borderId="21" fillId="10" fontId="5" numFmtId="3" xfId="0" applyAlignment="1" applyBorder="1" applyFill="1" applyFont="1" applyNumberFormat="1">
      <alignment horizontal="right" readingOrder="0" vertical="center"/>
    </xf>
    <xf borderId="0" fillId="0" fontId="1" numFmtId="0" xfId="0" applyAlignment="1" applyFont="1">
      <alignment horizontal="center" vertical="center"/>
    </xf>
    <xf borderId="15" fillId="10" fontId="4" numFmtId="0" xfId="0" applyAlignment="1" applyBorder="1" applyFill="1" applyFont="1">
      <alignment readingOrder="0" shrinkToFit="0" vertical="center" wrapText="1"/>
    </xf>
    <xf borderId="22" fillId="2" fontId="33" numFmtId="0" xfId="0" applyAlignment="1" applyBorder="1" applyFill="1" applyFont="1">
      <alignment horizontal="center" vertical="center"/>
    </xf>
    <xf borderId="22" fillId="3" fontId="33" numFmtId="0" xfId="0" applyAlignment="1" applyBorder="1" applyFill="1" applyFont="1">
      <alignment horizontal="center" vertical="center"/>
    </xf>
    <xf borderId="28" fillId="0" fontId="8" numFmtId="0" xfId="0" applyBorder="1" applyFont="1"/>
    <xf borderId="22" fillId="9" fontId="33" numFmtId="0" xfId="0" applyAlignment="1" applyBorder="1" applyFill="1" applyFont="1">
      <alignment horizontal="center" readingOrder="0" shrinkToFit="0" vertical="center" wrapText="1"/>
    </xf>
    <xf borderId="22" fillId="14" fontId="33" numFmtId="0" xfId="0" applyAlignment="1" applyBorder="1" applyFill="1" applyFont="1">
      <alignment horizontal="center" readingOrder="0" vertical="center"/>
    </xf>
    <xf borderId="22" fillId="9" fontId="33" numFmtId="0" xfId="0" applyAlignment="1" applyBorder="1" applyFill="1" applyFont="1">
      <alignment horizontal="center" readingOrder="0" shrinkToFit="0" textRotation="0" vertical="center" wrapText="0"/>
    </xf>
    <xf borderId="22" fillId="7" fontId="33" numFmtId="0" xfId="0" applyAlignment="1" applyBorder="1" applyFill="1" applyFont="1">
      <alignment horizontal="left" readingOrder="0" vertical="center"/>
    </xf>
    <xf borderId="22" fillId="7" fontId="33" numFmtId="0" xfId="0" applyAlignment="1" applyBorder="1" applyFill="1" applyFont="1">
      <alignment horizontal="center" readingOrder="0" shrinkToFit="0" vertical="center" wrapText="1"/>
    </xf>
    <xf borderId="29" fillId="10" fontId="40" numFmtId="4" xfId="0" applyAlignment="1" applyBorder="1" applyFill="1" applyFont="1" applyNumberFormat="1">
      <alignment vertical="center"/>
    </xf>
    <xf borderId="30" fillId="10" fontId="5" numFmtId="4" xfId="0" applyAlignment="1" applyBorder="1" applyFill="1" applyFont="1" applyNumberFormat="1">
      <alignment readingOrder="0" vertical="top"/>
    </xf>
    <xf borderId="22" fillId="15" fontId="33" numFmtId="168" xfId="0" applyAlignment="1" applyBorder="1" applyFill="1" applyFont="1" applyNumberFormat="1">
      <alignment horizontal="center" vertical="center"/>
    </xf>
    <xf borderId="15" fillId="10" fontId="5" numFmtId="0" xfId="0" applyAlignment="1" applyBorder="1" applyFill="1" applyFont="1">
      <alignment shrinkToFit="0" vertical="top" wrapText="1"/>
    </xf>
    <xf borderId="7" fillId="10" fontId="5" numFmtId="0" xfId="0" applyAlignment="1" applyBorder="1" applyFill="1" applyFont="1">
      <alignment shrinkToFit="0" vertical="top" wrapText="1"/>
    </xf>
    <xf borderId="15" fillId="10" fontId="5" numFmtId="0" xfId="0" applyAlignment="1" applyBorder="1" applyFill="1" applyFont="1">
      <alignment shrinkToFit="0" vertical="top" wrapText="1"/>
    </xf>
    <xf borderId="15" fillId="10" fontId="4" numFmtId="0" xfId="0" applyAlignment="1" applyBorder="1" applyFill="1" applyFont="1">
      <alignment shrinkToFit="0" vertical="top" wrapText="1"/>
    </xf>
    <xf borderId="17" fillId="10" fontId="5" numFmtId="164" xfId="0" applyAlignment="1" applyBorder="1" applyFill="1" applyFont="1" applyNumberFormat="1">
      <alignment horizontal="right" readingOrder="0" vertical="center"/>
    </xf>
    <xf borderId="17" fillId="10" fontId="5" numFmtId="3" xfId="0" applyAlignment="1" applyBorder="1" applyFill="1" applyFont="1" applyNumberFormat="1">
      <alignment horizontal="right" vertical="center"/>
    </xf>
    <xf borderId="0" fillId="10" fontId="14" numFmtId="0" xfId="0" applyAlignment="1" applyFill="1" applyFont="1">
      <alignment horizontal="left" readingOrder="0"/>
    </xf>
    <xf borderId="15" fillId="10" fontId="5" numFmtId="0" xfId="0" applyAlignment="1" applyBorder="1" applyFill="1" applyFont="1">
      <alignment horizontal="center" vertical="top"/>
    </xf>
    <xf borderId="16" fillId="0" fontId="13" numFmtId="0" xfId="0" applyAlignment="1" applyBorder="1" applyFont="1">
      <alignment readingOrder="0" shrinkToFit="0" vertical="center" wrapText="0"/>
    </xf>
    <xf borderId="31" fillId="0" fontId="13" numFmtId="4" xfId="0" applyAlignment="1" applyBorder="1" applyFont="1" applyNumberFormat="1">
      <alignment horizontal="center" readingOrder="0" shrinkToFit="0" vertical="center" wrapText="0"/>
    </xf>
    <xf borderId="16" fillId="0" fontId="14" numFmtId="169" xfId="0" applyAlignment="1" applyBorder="1" applyFont="1" applyNumberFormat="1">
      <alignment horizontal="center" readingOrder="0" vertical="center"/>
    </xf>
    <xf borderId="17" fillId="10" fontId="5" numFmtId="164" xfId="0" applyAlignment="1" applyBorder="1" applyFill="1" applyFont="1" applyNumberFormat="1">
      <alignment vertical="center"/>
    </xf>
    <xf borderId="16" fillId="0" fontId="13" numFmtId="169" xfId="0" applyAlignment="1" applyBorder="1" applyFont="1" applyNumberFormat="1">
      <alignment horizontal="center" vertical="center"/>
    </xf>
    <xf borderId="16" fillId="0" fontId="13" numFmtId="0" xfId="0" applyAlignment="1" applyBorder="1" applyFont="1">
      <alignment horizontal="center" readingOrder="0" shrinkToFit="0" vertical="bottom" wrapText="1"/>
    </xf>
    <xf borderId="16" fillId="0" fontId="13" numFmtId="0" xfId="0" applyAlignment="1" applyBorder="1" applyFont="1">
      <alignment horizontal="center" readingOrder="0" vertical="center"/>
    </xf>
    <xf borderId="16" fillId="0" fontId="13" numFmtId="0" xfId="0" applyAlignment="1" applyBorder="1" applyFont="1">
      <alignment horizontal="left" readingOrder="0" vertical="center"/>
    </xf>
    <xf borderId="16" fillId="0" fontId="13" numFmtId="9" xfId="0" applyAlignment="1" applyBorder="1" applyFont="1" applyNumberFormat="1">
      <alignment horizontal="center" readingOrder="0" vertical="center"/>
    </xf>
    <xf borderId="0" fillId="0" fontId="31" numFmtId="169" xfId="0" applyAlignment="1" applyFont="1" applyNumberFormat="1">
      <alignment vertical="center"/>
    </xf>
    <xf borderId="32" fillId="0" fontId="13" numFmtId="0" xfId="0" applyAlignment="1" applyBorder="1" applyFont="1">
      <alignment readingOrder="0" shrinkToFit="0" vertical="center" wrapText="0"/>
    </xf>
    <xf borderId="16" fillId="0" fontId="13" numFmtId="0" xfId="0" applyAlignment="1" applyBorder="1" applyFont="1">
      <alignment readingOrder="0" shrinkToFit="0" wrapText="1"/>
    </xf>
    <xf borderId="33" fillId="6" fontId="5" numFmtId="4" xfId="0" applyAlignment="1" applyBorder="1" applyFill="1" applyFont="1" applyNumberFormat="1">
      <alignment readingOrder="0" vertical="center"/>
    </xf>
    <xf borderId="31" fillId="16" fontId="41" numFmtId="4" xfId="0" applyAlignment="1" applyBorder="1" applyFill="1" applyFont="1" applyNumberFormat="1">
      <alignment horizontal="center" readingOrder="0" vertical="center"/>
    </xf>
    <xf borderId="17" fillId="10" fontId="4" numFmtId="164" xfId="0" applyAlignment="1" applyBorder="1" applyFill="1" applyFont="1" applyNumberFormat="1">
      <alignment horizontal="right" vertical="center"/>
    </xf>
    <xf borderId="16" fillId="0" fontId="13" numFmtId="2" xfId="0" applyAlignment="1" applyBorder="1" applyFont="1" applyNumberFormat="1">
      <alignment horizontal="center" readingOrder="0"/>
    </xf>
    <xf borderId="16" fillId="0" fontId="13" numFmtId="165" xfId="0" applyAlignment="1" applyBorder="1" applyFont="1" applyNumberFormat="1">
      <alignment horizontal="center" vertical="center"/>
    </xf>
    <xf borderId="15" fillId="10" fontId="4" numFmtId="0" xfId="0" applyAlignment="1" applyBorder="1" applyFill="1" applyFont="1">
      <alignment horizontal="center" readingOrder="0" shrinkToFit="0" vertical="top" wrapText="1"/>
    </xf>
    <xf borderId="16" fillId="0" fontId="13" numFmtId="2" xfId="0" applyAlignment="1" applyBorder="1" applyFont="1" applyNumberFormat="1">
      <alignment horizontal="center" readingOrder="0" vertical="center"/>
    </xf>
    <xf borderId="7" fillId="10" fontId="4" numFmtId="0" xfId="0" applyAlignment="1" applyBorder="1" applyFill="1" applyFont="1">
      <alignment shrinkToFit="0" vertical="top" wrapText="1"/>
    </xf>
    <xf borderId="21" fillId="10" fontId="5" numFmtId="3" xfId="0" applyAlignment="1" applyBorder="1" applyFill="1" applyFont="1" applyNumberFormat="1">
      <alignment readingOrder="0" vertical="center"/>
    </xf>
    <xf borderId="16" fillId="0" fontId="13" numFmtId="169" xfId="0" applyAlignment="1" applyBorder="1" applyFont="1" applyNumberFormat="1">
      <alignment horizontal="center" readingOrder="0"/>
    </xf>
    <xf borderId="34" fillId="10" fontId="14" numFmtId="0" xfId="0" applyAlignment="1" applyBorder="1" applyFill="1" applyFont="1">
      <alignment horizontal="left" readingOrder="0"/>
    </xf>
    <xf borderId="16" fillId="10" fontId="13" numFmtId="0" xfId="0" applyAlignment="1" applyBorder="1" applyFill="1" applyFont="1">
      <alignment readingOrder="0" shrinkToFit="0" wrapText="0"/>
    </xf>
    <xf borderId="16" fillId="17" fontId="13" numFmtId="4" xfId="0" applyAlignment="1" applyBorder="1" applyFill="1" applyFont="1" applyNumberFormat="1">
      <alignment horizontal="center" readingOrder="0"/>
    </xf>
    <xf borderId="16" fillId="10" fontId="13" numFmtId="2" xfId="0" applyAlignment="1" applyBorder="1" applyFill="1" applyFont="1" applyNumberFormat="1">
      <alignment horizontal="center" readingOrder="0"/>
    </xf>
    <xf borderId="16" fillId="0" fontId="13" numFmtId="165" xfId="0" applyAlignment="1" applyBorder="1" applyFont="1" applyNumberFormat="1">
      <alignment horizontal="center"/>
    </xf>
    <xf borderId="16" fillId="0" fontId="13" numFmtId="0" xfId="0" applyAlignment="1" applyBorder="1" applyFont="1">
      <alignment horizontal="center" readingOrder="0"/>
    </xf>
    <xf borderId="16" fillId="18" fontId="13" numFmtId="0" xfId="0" applyAlignment="1" applyBorder="1" applyFill="1" applyFont="1">
      <alignment horizontal="left" readingOrder="0"/>
    </xf>
    <xf borderId="0" fillId="0" fontId="13" numFmtId="0" xfId="0" applyAlignment="1" applyFont="1">
      <alignment readingOrder="0" shrinkToFit="0" wrapText="1"/>
    </xf>
    <xf borderId="16" fillId="19" fontId="41" numFmtId="4" xfId="0" applyAlignment="1" applyBorder="1" applyFill="1" applyFont="1" applyNumberFormat="1">
      <alignment horizontal="center" readingOrder="0" vertical="center"/>
    </xf>
    <xf borderId="16" fillId="16" fontId="41" numFmtId="4" xfId="0" applyAlignment="1" applyBorder="1" applyFill="1" applyFont="1" applyNumberFormat="1">
      <alignment horizontal="center" readingOrder="0" vertical="center"/>
    </xf>
    <xf borderId="35" fillId="0" fontId="13" numFmtId="165" xfId="0" applyAlignment="1" applyBorder="1" applyFont="1" applyNumberFormat="1">
      <alignment horizontal="center"/>
    </xf>
    <xf borderId="35" fillId="0" fontId="13" numFmtId="0" xfId="0" applyAlignment="1" applyBorder="1" applyFont="1">
      <alignment horizontal="center" readingOrder="0"/>
    </xf>
    <xf borderId="35" fillId="18" fontId="13" numFmtId="0" xfId="0" applyAlignment="1" applyBorder="1" applyFill="1" applyFont="1">
      <alignment horizontal="left" readingOrder="0"/>
    </xf>
    <xf borderId="31" fillId="0" fontId="13" numFmtId="165" xfId="0" applyAlignment="1" applyBorder="1" applyFont="1" applyNumberFormat="1">
      <alignment horizontal="center"/>
    </xf>
    <xf borderId="31" fillId="18" fontId="13" numFmtId="0" xfId="0" applyAlignment="1" applyBorder="1" applyFill="1" applyFont="1">
      <alignment horizontal="left" readingOrder="0"/>
    </xf>
    <xf borderId="34" fillId="0" fontId="13" numFmtId="0" xfId="0" applyAlignment="1" applyBorder="1" applyFont="1">
      <alignment readingOrder="0" shrinkToFit="0" wrapText="1"/>
    </xf>
    <xf borderId="16" fillId="10" fontId="14" numFmtId="0" xfId="0" applyAlignment="1" applyBorder="1" applyFill="1" applyFont="1">
      <alignment readingOrder="0"/>
    </xf>
    <xf borderId="35" fillId="0" fontId="13" numFmtId="169" xfId="0" applyAlignment="1" applyBorder="1" applyFont="1" applyNumberFormat="1">
      <alignment horizontal="center" readingOrder="0"/>
    </xf>
    <xf borderId="31" fillId="0" fontId="13" numFmtId="2" xfId="0" applyAlignment="1" applyBorder="1" applyFont="1" applyNumberFormat="1">
      <alignment horizontal="center" readingOrder="0"/>
    </xf>
    <xf borderId="31" fillId="0" fontId="13" numFmtId="0" xfId="0" applyAlignment="1" applyBorder="1" applyFont="1">
      <alignment horizontal="center" readingOrder="0"/>
    </xf>
    <xf borderId="15" fillId="10" fontId="5" numFmtId="0" xfId="0" applyAlignment="1" applyBorder="1" applyFill="1" applyFont="1">
      <alignment vertical="top"/>
    </xf>
    <xf borderId="0" fillId="16" fontId="5" numFmtId="4" xfId="0" applyAlignment="1" applyFill="1" applyFont="1" applyNumberFormat="1">
      <alignment readingOrder="0" vertical="center"/>
    </xf>
    <xf borderId="0" fillId="16" fontId="1" numFmtId="0" xfId="0" applyAlignment="1" applyFill="1" applyFont="1">
      <alignment horizontal="center" vertical="center"/>
    </xf>
    <xf borderId="0" fillId="0" fontId="13" numFmtId="0" xfId="0" applyAlignment="1" applyFont="1">
      <alignment vertical="bottom"/>
    </xf>
    <xf borderId="16" fillId="0" fontId="13" numFmtId="0" xfId="0" applyAlignment="1" applyBorder="1" applyFont="1">
      <alignment readingOrder="0" vertical="bottom"/>
    </xf>
    <xf borderId="35" fillId="0" fontId="13" numFmtId="2" xfId="0" applyAlignment="1" applyBorder="1" applyFont="1" applyNumberFormat="1">
      <alignment horizontal="center" readingOrder="0" vertical="bottom"/>
    </xf>
    <xf borderId="35" fillId="0" fontId="13" numFmtId="165" xfId="0" applyAlignment="1" applyBorder="1" applyFont="1" applyNumberFormat="1">
      <alignment horizontal="center" vertical="bottom"/>
    </xf>
    <xf borderId="35" fillId="0" fontId="13" numFmtId="0" xfId="0" applyAlignment="1" applyBorder="1" applyFont="1">
      <alignment horizontal="center" readingOrder="0" vertical="bottom"/>
    </xf>
    <xf borderId="21" fillId="10" fontId="5" numFmtId="3" xfId="0" applyAlignment="1" applyBorder="1" applyFill="1" applyFont="1" applyNumberFormat="1">
      <alignment horizontal="right" vertical="center"/>
    </xf>
    <xf borderId="34" fillId="10" fontId="14" numFmtId="0" xfId="0" applyAlignment="1" applyBorder="1" applyFill="1" applyFont="1">
      <alignment horizontal="left" readingOrder="0" shrinkToFit="0" wrapText="0"/>
    </xf>
    <xf borderId="16" fillId="10" fontId="14" numFmtId="0" xfId="0" applyAlignment="1" applyBorder="1" applyFill="1" applyFont="1">
      <alignment readingOrder="0" shrinkToFit="0" wrapText="0"/>
    </xf>
    <xf borderId="35" fillId="0" fontId="13" numFmtId="2" xfId="0" applyAlignment="1" applyBorder="1" applyFont="1" applyNumberFormat="1">
      <alignment horizontal="center" readingOrder="0"/>
    </xf>
    <xf borderId="17" fillId="10" fontId="4" numFmtId="164" xfId="0" applyAlignment="1" applyBorder="1" applyFill="1" applyFont="1" applyNumberFormat="1">
      <alignment horizontal="right" vertical="bottom"/>
    </xf>
    <xf borderId="0" fillId="10" fontId="14" numFmtId="0" xfId="0" applyAlignment="1" applyFill="1" applyFont="1">
      <alignment horizontal="center" readingOrder="0" shrinkToFit="0" wrapText="1"/>
    </xf>
    <xf borderId="16" fillId="10" fontId="14" numFmtId="0" xfId="0" applyAlignment="1" applyBorder="1" applyFill="1" applyFont="1">
      <alignment readingOrder="0" shrinkToFit="0" wrapText="1"/>
    </xf>
    <xf borderId="28" fillId="17" fontId="41" numFmtId="4" xfId="0" applyAlignment="1" applyBorder="1" applyFill="1" applyFont="1" applyNumberFormat="1">
      <alignment horizontal="center" readingOrder="0"/>
    </xf>
    <xf borderId="29" fillId="10" fontId="5" numFmtId="4" xfId="0" applyAlignment="1" applyBorder="1" applyFill="1" applyFont="1" applyNumberFormat="1">
      <alignment vertical="top"/>
    </xf>
    <xf borderId="34" fillId="10" fontId="14" numFmtId="0" xfId="0" applyAlignment="1" applyBorder="1" applyFill="1" applyFont="1">
      <alignment horizontal="left" readingOrder="0" shrinkToFit="0" wrapText="1"/>
    </xf>
    <xf borderId="21" fillId="10" fontId="5" numFmtId="3" xfId="0" applyAlignment="1" applyBorder="1" applyFill="1" applyFont="1" applyNumberFormat="1">
      <alignment horizontal="center" readingOrder="0" vertical="center"/>
    </xf>
    <xf borderId="17" fillId="10" fontId="5" numFmtId="166" xfId="0" applyAlignment="1" applyBorder="1" applyFill="1" applyFont="1" applyNumberFormat="1">
      <alignment vertical="center"/>
    </xf>
    <xf borderId="21" fillId="10" fontId="5" numFmtId="166" xfId="0" applyAlignment="1" applyBorder="1" applyFill="1" applyFont="1" applyNumberFormat="1">
      <alignment vertical="center"/>
    </xf>
    <xf borderId="17" fillId="10" fontId="5" numFmtId="3" xfId="0" applyAlignment="1" applyBorder="1" applyFill="1" applyFont="1" applyNumberFormat="1">
      <alignment horizontal="center" readingOrder="0" vertical="center"/>
    </xf>
    <xf borderId="15" fillId="10" fontId="5" numFmtId="0" xfId="0" applyAlignment="1" applyBorder="1" applyFill="1" applyFont="1">
      <alignment horizontal="center" vertical="top"/>
    </xf>
    <xf borderId="0" fillId="0" fontId="42" numFmtId="0" xfId="0" applyAlignment="1" applyFont="1">
      <alignment vertical="center"/>
    </xf>
    <xf borderId="30" fillId="10" fontId="5" numFmtId="0" xfId="0" applyBorder="1" applyFill="1" applyFont="1"/>
    <xf borderId="31" fillId="0" fontId="13" numFmtId="0" xfId="0" applyAlignment="1" applyBorder="1" applyFont="1">
      <alignment horizontal="center" readingOrder="0" vertical="center"/>
    </xf>
    <xf borderId="36" fillId="20" fontId="43" numFmtId="0" xfId="0" applyAlignment="1" applyBorder="1" applyFill="1" applyFont="1">
      <alignment horizontal="center" vertical="center"/>
    </xf>
    <xf borderId="15" fillId="10" fontId="4" numFmtId="0" xfId="0" applyAlignment="1" applyBorder="1" applyFill="1" applyFont="1">
      <alignment horizontal="center" shrinkToFit="0" vertical="top" wrapText="1"/>
    </xf>
    <xf borderId="37" fillId="0" fontId="8" numFmtId="0" xfId="0" applyBorder="1" applyFont="1"/>
    <xf borderId="38" fillId="0" fontId="8" numFmtId="0" xfId="0" applyBorder="1" applyFont="1"/>
    <xf borderId="34" fillId="0" fontId="13" numFmtId="0" xfId="0" applyAlignment="1" applyBorder="1" applyFont="1">
      <alignment readingOrder="0" vertical="bottom"/>
    </xf>
    <xf borderId="31" fillId="6" fontId="13" numFmtId="4" xfId="0" applyAlignment="1" applyBorder="1" applyFill="1" applyFont="1" applyNumberFormat="1">
      <alignment horizontal="center" readingOrder="0" vertical="bottom"/>
    </xf>
    <xf borderId="7" fillId="10" fontId="44" numFmtId="0" xfId="0" applyAlignment="1" applyBorder="1" applyFill="1" applyFont="1">
      <alignment shrinkToFit="0" vertical="top" wrapText="1"/>
    </xf>
    <xf borderId="0" fillId="0" fontId="13" numFmtId="0" xfId="0" applyAlignment="1" applyFont="1">
      <alignment readingOrder="0" shrinkToFit="0" vertical="center" wrapText="0"/>
    </xf>
    <xf borderId="15" fillId="10" fontId="45" numFmtId="0" xfId="0" applyAlignment="1" applyBorder="1" applyFill="1" applyFont="1">
      <alignment shrinkToFit="0" vertical="top" wrapText="1"/>
    </xf>
    <xf borderId="16" fillId="0" fontId="13" numFmtId="0" xfId="0" applyAlignment="1" applyBorder="1" applyFont="1">
      <alignment shrinkToFit="0" vertical="center" wrapText="0"/>
    </xf>
    <xf borderId="16" fillId="9" fontId="41" numFmtId="4" xfId="0" applyAlignment="1" applyBorder="1" applyFill="1" applyFont="1" applyNumberFormat="1">
      <alignment horizontal="center" readingOrder="0" shrinkToFit="0" vertical="center" wrapText="0"/>
    </xf>
    <xf borderId="7" fillId="10" fontId="5" numFmtId="0" xfId="0" applyAlignment="1" applyBorder="1" applyFill="1" applyFont="1">
      <alignment shrinkToFit="0" wrapText="1"/>
    </xf>
    <xf borderId="15" fillId="10" fontId="4" numFmtId="0" xfId="0" applyAlignment="1" applyBorder="1" applyFill="1" applyFont="1">
      <alignment shrinkToFit="0" wrapText="1"/>
    </xf>
    <xf borderId="0" fillId="0" fontId="31" numFmtId="0" xfId="0" applyAlignment="1" applyFont="1">
      <alignment readingOrder="0" vertical="center"/>
    </xf>
    <xf borderId="39" fillId="7" fontId="39" numFmtId="0" xfId="0" applyAlignment="1" applyBorder="1" applyFill="1" applyFont="1">
      <alignment horizontal="center" readingOrder="0" vertical="center"/>
    </xf>
    <xf borderId="0" fillId="0" fontId="13" numFmtId="0" xfId="0" applyAlignment="1" applyFont="1">
      <alignment shrinkToFit="0" vertical="center" wrapText="0"/>
    </xf>
    <xf borderId="16" fillId="6" fontId="41" numFmtId="4" xfId="0" applyAlignment="1" applyBorder="1" applyFill="1" applyFont="1" applyNumberFormat="1">
      <alignment horizontal="center" readingOrder="0" shrinkToFit="0" vertical="center" wrapText="0"/>
    </xf>
    <xf borderId="5" fillId="10" fontId="5" numFmtId="0" xfId="0" applyAlignment="1" applyBorder="1" applyFill="1" applyFont="1">
      <alignment shrinkToFit="0" vertical="top" wrapText="1"/>
    </xf>
    <xf borderId="23" fillId="10" fontId="4" numFmtId="0" xfId="0" applyAlignment="1" applyBorder="1" applyFill="1" applyFont="1">
      <alignment shrinkToFit="0" vertical="top" wrapText="1"/>
    </xf>
    <xf borderId="5" fillId="10" fontId="5" numFmtId="0" xfId="0" applyAlignment="1" applyBorder="1" applyFill="1" applyFont="1">
      <alignment vertical="top"/>
    </xf>
    <xf borderId="23" fillId="10" fontId="5" numFmtId="0" xfId="0" applyAlignment="1" applyBorder="1" applyFill="1" applyFont="1">
      <alignment vertical="top"/>
    </xf>
    <xf borderId="0" fillId="0" fontId="13" numFmtId="0" xfId="0" applyAlignment="1" applyFont="1">
      <alignment readingOrder="0"/>
    </xf>
    <xf borderId="16" fillId="0" fontId="13" numFmtId="0" xfId="0" applyBorder="1" applyFont="1"/>
    <xf borderId="7" fillId="10" fontId="5" numFmtId="0" xfId="0" applyAlignment="1" applyBorder="1" applyFill="1" applyFont="1">
      <alignment vertical="top"/>
    </xf>
    <xf borderId="15" fillId="10" fontId="5" numFmtId="0" xfId="0" applyAlignment="1" applyBorder="1" applyFill="1" applyFont="1">
      <alignment vertical="top"/>
    </xf>
    <xf borderId="34" fillId="0" fontId="13" numFmtId="0" xfId="0" applyAlignment="1" applyBorder="1" applyFont="1">
      <alignment readingOrder="0"/>
    </xf>
    <xf borderId="35" fillId="6" fontId="41" numFmtId="4" xfId="0" applyAlignment="1" applyBorder="1" applyFill="1" applyFont="1" applyNumberFormat="1">
      <alignment horizontal="center" readingOrder="0"/>
    </xf>
    <xf borderId="16" fillId="0" fontId="13" numFmtId="0" xfId="0" applyAlignment="1" applyBorder="1" applyFont="1">
      <alignment readingOrder="0"/>
    </xf>
    <xf borderId="40" fillId="0" fontId="8" numFmtId="0" xfId="0" applyBorder="1" applyFont="1"/>
    <xf borderId="41" fillId="0" fontId="8" numFmtId="0" xfId="0" applyBorder="1" applyFont="1"/>
    <xf borderId="42" fillId="0" fontId="8" numFmtId="0" xfId="0" applyBorder="1" applyFont="1"/>
    <xf borderId="31" fillId="0" fontId="13" numFmtId="0" xfId="0" applyBorder="1" applyFont="1"/>
    <xf borderId="17" fillId="10" fontId="5" numFmtId="3" xfId="0" applyAlignment="1" applyBorder="1" applyFill="1" applyFont="1" applyNumberFormat="1">
      <alignment horizontal="center" vertical="center"/>
    </xf>
    <xf borderId="31" fillId="17" fontId="41" numFmtId="4" xfId="0" applyAlignment="1" applyBorder="1" applyFill="1" applyFont="1" applyNumberFormat="1">
      <alignment horizontal="center"/>
    </xf>
    <xf borderId="31" fillId="0" fontId="13" numFmtId="0" xfId="0" applyAlignment="1" applyBorder="1" applyFont="1">
      <alignment horizontal="center"/>
    </xf>
    <xf borderId="31" fillId="21" fontId="13" numFmtId="165" xfId="0" applyAlignment="1" applyBorder="1" applyFill="1" applyFont="1" applyNumberFormat="1">
      <alignment horizontal="left"/>
    </xf>
    <xf borderId="31" fillId="0" fontId="13" numFmtId="9" xfId="0" applyAlignment="1" applyBorder="1" applyFont="1" applyNumberFormat="1">
      <alignment horizontal="center"/>
    </xf>
    <xf borderId="34" fillId="0" fontId="14" numFmtId="0" xfId="0" applyAlignment="1" applyBorder="1" applyFont="1">
      <alignment readingOrder="0"/>
    </xf>
    <xf borderId="16" fillId="0" fontId="14" numFmtId="0" xfId="0" applyAlignment="1" applyBorder="1" applyFont="1">
      <alignment readingOrder="0"/>
    </xf>
    <xf borderId="0" fillId="0" fontId="46" numFmtId="0" xfId="0" applyAlignment="1" applyFont="1">
      <alignment horizontal="center" vertical="center"/>
    </xf>
    <xf borderId="0" fillId="0" fontId="14" numFmtId="0" xfId="0" applyAlignment="1" applyFont="1">
      <alignment readingOrder="0"/>
    </xf>
    <xf borderId="14" fillId="0" fontId="23" numFmtId="0" xfId="0" applyAlignment="1" applyBorder="1" applyFont="1">
      <alignment vertical="center"/>
    </xf>
    <xf borderId="31" fillId="0" fontId="14" numFmtId="0" xfId="0" applyBorder="1" applyFont="1"/>
    <xf borderId="22" fillId="5" fontId="24" numFmtId="0" xfId="0" applyAlignment="1" applyBorder="1" applyFill="1" applyFont="1">
      <alignment horizontal="center" readingOrder="0" vertical="center"/>
    </xf>
    <xf borderId="22" fillId="6" fontId="24" numFmtId="0" xfId="0" applyAlignment="1" applyBorder="1" applyFill="1" applyFont="1">
      <alignment horizontal="center" readingOrder="0" shrinkToFit="0" vertical="center" wrapText="0"/>
    </xf>
    <xf borderId="22" fillId="7" fontId="24" numFmtId="0" xfId="0" applyAlignment="1" applyBorder="1" applyFill="1" applyFont="1">
      <alignment horizontal="center" readingOrder="0" shrinkToFit="0" vertical="center" wrapText="0"/>
    </xf>
    <xf borderId="0" fillId="0" fontId="13" numFmtId="0" xfId="0" applyAlignment="1" applyFont="1">
      <alignment shrinkToFit="0" vertical="center" wrapText="0"/>
    </xf>
    <xf borderId="22" fillId="7" fontId="47" numFmtId="0" xfId="0" applyAlignment="1" applyBorder="1" applyFill="1" applyFont="1">
      <alignment horizontal="center" readingOrder="0" shrinkToFit="0" vertical="center" wrapText="0"/>
    </xf>
    <xf borderId="22" fillId="2" fontId="47" numFmtId="0" xfId="0" applyAlignment="1" applyBorder="1" applyFill="1" applyFont="1">
      <alignment horizontal="center" vertical="center"/>
    </xf>
    <xf borderId="22" fillId="3" fontId="47" numFmtId="0" xfId="0" applyAlignment="1" applyBorder="1" applyFill="1" applyFont="1">
      <alignment horizontal="center" vertical="center"/>
    </xf>
    <xf borderId="22" fillId="9" fontId="47" numFmtId="0" xfId="0" applyAlignment="1" applyBorder="1" applyFill="1" applyFont="1">
      <alignment horizontal="center" readingOrder="0" shrinkToFit="0" vertical="center" wrapText="1"/>
    </xf>
    <xf borderId="0" fillId="0" fontId="13" numFmtId="0" xfId="0" applyFont="1"/>
    <xf borderId="22" fillId="14" fontId="47" numFmtId="0" xfId="0" applyAlignment="1" applyBorder="1" applyFill="1" applyFont="1">
      <alignment horizontal="center" readingOrder="0" vertical="center"/>
    </xf>
    <xf borderId="22" fillId="9" fontId="47" numFmtId="0" xfId="0" applyAlignment="1" applyBorder="1" applyFill="1" applyFont="1">
      <alignment horizontal="center" readingOrder="0" shrinkToFit="0" textRotation="0" vertical="center" wrapText="0"/>
    </xf>
    <xf borderId="22" fillId="7" fontId="47" numFmtId="0" xfId="0" applyAlignment="1" applyBorder="1" applyFill="1" applyFont="1">
      <alignment horizontal="center" readingOrder="0" vertical="center"/>
    </xf>
    <xf borderId="22" fillId="15" fontId="47" numFmtId="0" xfId="0" applyAlignment="1" applyBorder="1" applyFill="1" applyFont="1">
      <alignment horizontal="center" readingOrder="0" vertical="center"/>
    </xf>
    <xf borderId="22" fillId="7" fontId="47" numFmtId="0" xfId="0" applyAlignment="1" applyBorder="1" applyFill="1" applyFont="1">
      <alignment horizontal="center" readingOrder="0" shrinkToFit="0" vertical="center" wrapText="1"/>
    </xf>
    <xf borderId="22" fillId="7" fontId="39" numFmtId="0" xfId="0" applyAlignment="1" applyBorder="1" applyFill="1" applyFont="1">
      <alignment horizontal="center" readingOrder="0" vertical="center"/>
    </xf>
    <xf borderId="22" fillId="15" fontId="39" numFmtId="168" xfId="0" applyAlignment="1" applyBorder="1" applyFill="1" applyFont="1" applyNumberFormat="1">
      <alignment horizontal="center" vertical="center"/>
    </xf>
    <xf borderId="17" fillId="10" fontId="4" numFmtId="0" xfId="0" applyAlignment="1" applyBorder="1" applyFill="1" applyFont="1">
      <alignment horizontal="right" readingOrder="0" vertical="bottom"/>
    </xf>
    <xf borderId="7" fillId="10" fontId="21" numFmtId="0" xfId="0" applyAlignment="1" applyBorder="1" applyFill="1" applyFont="1">
      <alignment shrinkToFit="0" vertical="top" wrapText="1"/>
    </xf>
    <xf borderId="23" fillId="15" fontId="39" numFmtId="168" xfId="0" applyAlignment="1" applyBorder="1" applyFill="1" applyFont="1" applyNumberFormat="1">
      <alignment horizontal="center" vertical="center"/>
    </xf>
    <xf borderId="5" fillId="15" fontId="39" numFmtId="168" xfId="0" applyAlignment="1" applyBorder="1" applyFill="1" applyFont="1" applyNumberFormat="1">
      <alignment horizontal="center" vertical="center"/>
    </xf>
    <xf borderId="5" fillId="22" fontId="39" numFmtId="168" xfId="0" applyAlignment="1" applyBorder="1" applyFill="1" applyFont="1" applyNumberFormat="1">
      <alignment horizontal="center" vertical="center"/>
    </xf>
    <xf borderId="43" fillId="10" fontId="5" numFmtId="0" xfId="0" applyAlignment="1" applyBorder="1" applyFill="1" applyFont="1">
      <alignment horizontal="center" vertical="top"/>
    </xf>
    <xf borderId="16" fillId="0" fontId="48" numFmtId="0" xfId="0" applyAlignment="1" applyBorder="1" applyFont="1">
      <alignment horizontal="right" readingOrder="0" vertical="center"/>
    </xf>
    <xf borderId="16" fillId="0" fontId="48" numFmtId="0" xfId="0" applyAlignment="1" applyBorder="1" applyFont="1">
      <alignment readingOrder="0" shrinkToFit="0" vertical="center" wrapText="0"/>
    </xf>
    <xf borderId="16" fillId="0" fontId="48" numFmtId="0" xfId="0" applyAlignment="1" applyBorder="1" applyFont="1">
      <alignment shrinkToFit="0" vertical="center" wrapText="0"/>
    </xf>
    <xf borderId="16" fillId="0" fontId="48" numFmtId="4" xfId="0" applyAlignment="1" applyBorder="1" applyFont="1" applyNumberFormat="1">
      <alignment readingOrder="0" shrinkToFit="0" vertical="center" wrapText="0"/>
    </xf>
    <xf borderId="16" fillId="0" fontId="49" numFmtId="169" xfId="0" applyAlignment="1" applyBorder="1" applyFont="1" applyNumberFormat="1">
      <alignment horizontal="right" readingOrder="0" vertical="center"/>
    </xf>
    <xf borderId="44" fillId="10" fontId="5" numFmtId="0" xfId="0" applyAlignment="1" applyBorder="1" applyFill="1" applyFont="1">
      <alignment horizontal="center" readingOrder="0" vertical="center"/>
    </xf>
    <xf borderId="16" fillId="0" fontId="48" numFmtId="169" xfId="0" applyAlignment="1" applyBorder="1" applyFont="1" applyNumberFormat="1">
      <alignment horizontal="right" vertical="center"/>
    </xf>
    <xf borderId="16" fillId="0" fontId="48" numFmtId="2" xfId="0" applyAlignment="1" applyBorder="1" applyFont="1" applyNumberFormat="1">
      <alignment horizontal="center" readingOrder="0" vertical="center"/>
    </xf>
    <xf borderId="1" fillId="0" fontId="42" numFmtId="0" xfId="0" applyAlignment="1" applyBorder="1" applyFont="1">
      <alignment vertical="center"/>
    </xf>
    <xf borderId="16" fillId="0" fontId="48" numFmtId="165" xfId="0" applyAlignment="1" applyBorder="1" applyFont="1" applyNumberFormat="1">
      <alignment vertical="center"/>
    </xf>
    <xf borderId="2" fillId="0" fontId="42" numFmtId="0" xfId="0" applyAlignment="1" applyBorder="1" applyFont="1">
      <alignment vertical="center"/>
    </xf>
    <xf borderId="16" fillId="0" fontId="48" numFmtId="0" xfId="0" applyAlignment="1" applyBorder="1" applyFont="1">
      <alignment readingOrder="0" vertical="center"/>
    </xf>
    <xf borderId="3" fillId="0" fontId="42" numFmtId="0" xfId="0" applyAlignment="1" applyBorder="1" applyFont="1">
      <alignment vertical="center"/>
    </xf>
    <xf borderId="16" fillId="0" fontId="48" numFmtId="164" xfId="0" applyAlignment="1" applyBorder="1" applyFont="1" applyNumberFormat="1">
      <alignment readingOrder="0" vertical="center"/>
    </xf>
    <xf borderId="16" fillId="0" fontId="48" numFmtId="164" xfId="0" applyAlignment="1" applyBorder="1" applyFont="1" applyNumberFormat="1">
      <alignment horizontal="right" vertical="center"/>
    </xf>
    <xf borderId="16" fillId="0" fontId="48" numFmtId="9" xfId="0" applyAlignment="1" applyBorder="1" applyFont="1" applyNumberFormat="1">
      <alignment readingOrder="0" vertical="center"/>
    </xf>
    <xf borderId="16" fillId="0" fontId="48" numFmtId="9" xfId="0" applyAlignment="1" applyBorder="1" applyFont="1" applyNumberFormat="1">
      <alignment vertical="center"/>
    </xf>
    <xf borderId="6" fillId="0" fontId="42" numFmtId="0" xfId="0" applyAlignment="1" applyBorder="1" applyFont="1">
      <alignment vertical="center"/>
    </xf>
    <xf borderId="16" fillId="0" fontId="48" numFmtId="4" xfId="0" applyAlignment="1" applyBorder="1" applyFont="1" applyNumberFormat="1">
      <alignment vertical="center"/>
    </xf>
    <xf borderId="14" fillId="0" fontId="42" numFmtId="0" xfId="0" applyAlignment="1" applyBorder="1" applyFont="1">
      <alignment vertical="center"/>
    </xf>
    <xf borderId="16" fillId="0" fontId="48" numFmtId="0" xfId="0" applyAlignment="1" applyBorder="1" applyFont="1">
      <alignment horizontal="left" vertical="center"/>
    </xf>
    <xf borderId="7" fillId="0" fontId="42" numFmtId="0" xfId="0" applyAlignment="1" applyBorder="1" applyFont="1">
      <alignment vertical="center"/>
    </xf>
    <xf borderId="16" fillId="0" fontId="48" numFmtId="0" xfId="0" applyAlignment="1" applyBorder="1" applyFont="1">
      <alignment horizontal="left" readingOrder="0" vertical="center"/>
    </xf>
    <xf borderId="1" fillId="0" fontId="42" numFmtId="0" xfId="0" applyAlignment="1" applyBorder="1" applyFont="1">
      <alignment horizontal="center" vertical="center"/>
    </xf>
    <xf borderId="2" fillId="0" fontId="50" numFmtId="0" xfId="0" applyAlignment="1" applyBorder="1" applyFont="1">
      <alignment horizontal="center" shrinkToFit="0" vertical="center" wrapText="1"/>
    </xf>
    <xf borderId="2" fillId="0" fontId="42" numFmtId="0" xfId="0" applyAlignment="1" applyBorder="1" applyFont="1">
      <alignment horizontal="center" vertical="center"/>
    </xf>
    <xf borderId="6" fillId="0" fontId="8" numFmtId="0" xfId="0" applyBorder="1" applyFont="1"/>
    <xf borderId="0" fillId="0" fontId="51" numFmtId="0" xfId="0" applyAlignment="1" applyFont="1">
      <alignment vertical="center"/>
    </xf>
    <xf borderId="4" fillId="0" fontId="42" numFmtId="0" xfId="0" applyAlignment="1" applyBorder="1" applyFont="1">
      <alignment vertical="center"/>
    </xf>
    <xf borderId="1" fillId="10" fontId="42" numFmtId="49" xfId="0" applyAlignment="1" applyBorder="1" applyFill="1" applyFont="1" applyNumberFormat="1">
      <alignment horizontal="center" vertical="center"/>
    </xf>
    <xf borderId="5" fillId="0" fontId="42" numFmtId="0" xfId="0" applyAlignment="1" applyBorder="1" applyFont="1">
      <alignment vertical="center"/>
    </xf>
    <xf borderId="0" fillId="0" fontId="43" numFmtId="0" xfId="0" applyAlignment="1" applyFont="1">
      <alignment vertical="center"/>
    </xf>
    <xf borderId="1" fillId="0" fontId="50" numFmtId="0" xfId="0" applyAlignment="1" applyBorder="1" applyFont="1">
      <alignment horizontal="center" vertical="center"/>
    </xf>
    <xf borderId="1" fillId="0" fontId="51" numFmtId="0" xfId="0" applyAlignment="1" applyBorder="1" applyFont="1">
      <alignment vertical="center"/>
    </xf>
    <xf borderId="2" fillId="0" fontId="51" numFmtId="0" xfId="0" applyAlignment="1" applyBorder="1" applyFont="1">
      <alignment vertical="center"/>
    </xf>
    <xf borderId="0" fillId="0" fontId="13" numFmtId="0" xfId="0" applyAlignment="1" applyFont="1">
      <alignment readingOrder="0" vertical="center"/>
    </xf>
    <xf borderId="13" fillId="23" fontId="52" numFmtId="0" xfId="0" applyAlignment="1" applyBorder="1" applyFill="1" applyFont="1">
      <alignment horizontal="center" vertical="center"/>
    </xf>
    <xf borderId="4" fillId="0" fontId="51" numFmtId="0" xfId="0" applyAlignment="1" applyBorder="1" applyFont="1">
      <alignment vertical="center"/>
    </xf>
    <xf borderId="36" fillId="24" fontId="42" numFmtId="49" xfId="0" applyAlignment="1" applyBorder="1" applyFill="1" applyFont="1" applyNumberFormat="1">
      <alignment horizontal="center" shrinkToFit="0" vertical="center" wrapText="1"/>
    </xf>
    <xf borderId="45" fillId="25" fontId="51" numFmtId="0" xfId="0" applyAlignment="1" applyBorder="1" applyFill="1" applyFont="1">
      <alignment vertical="center"/>
    </xf>
    <xf borderId="0" fillId="0" fontId="23" numFmtId="0" xfId="0" applyAlignment="1" applyFont="1">
      <alignment vertical="bottom"/>
    </xf>
    <xf borderId="0" fillId="0" fontId="53" numFmtId="0" xfId="0" applyAlignment="1" applyFont="1">
      <alignment shrinkToFit="0" vertical="bottom" wrapText="0"/>
    </xf>
    <xf borderId="0" fillId="0" fontId="23" numFmtId="0" xfId="0" applyAlignment="1" applyFont="1">
      <alignment vertical="bottom"/>
    </xf>
    <xf borderId="46" fillId="0" fontId="53" numFmtId="0" xfId="0" applyAlignment="1" applyBorder="1" applyFont="1">
      <alignment shrinkToFit="0" vertical="bottom" wrapText="0"/>
    </xf>
    <xf borderId="0" fillId="0" fontId="23" numFmtId="9" xfId="0" applyAlignment="1" applyFont="1" applyNumberFormat="1">
      <alignment vertical="bottom"/>
    </xf>
    <xf borderId="36" fillId="24" fontId="42" numFmtId="49" xfId="0" applyAlignment="1" applyBorder="1" applyFill="1" applyFont="1" applyNumberFormat="1">
      <alignment horizontal="center" vertical="center"/>
    </xf>
    <xf borderId="0" fillId="26" fontId="23" numFmtId="0" xfId="0" applyAlignment="1" applyFill="1" applyFont="1">
      <alignment vertical="bottom"/>
    </xf>
    <xf borderId="0" fillId="26" fontId="23" numFmtId="9" xfId="0" applyAlignment="1" applyFill="1" applyFont="1" applyNumberFormat="1">
      <alignment vertical="bottom"/>
    </xf>
    <xf borderId="0" fillId="26" fontId="23" numFmtId="0" xfId="0" applyAlignment="1" applyFill="1" applyFont="1">
      <alignment vertical="bottom"/>
    </xf>
    <xf borderId="45" fillId="23" fontId="51" numFmtId="0" xfId="0" applyAlignment="1" applyBorder="1" applyFill="1" applyFont="1">
      <alignment vertical="center"/>
    </xf>
    <xf borderId="0" fillId="0" fontId="54" numFmtId="0" xfId="0" applyAlignment="1" applyFont="1">
      <alignment horizontal="center" readingOrder="0"/>
    </xf>
    <xf borderId="46" fillId="0" fontId="55" numFmtId="0" xfId="0" applyAlignment="1" applyBorder="1" applyFont="1">
      <alignment shrinkToFit="0" vertical="bottom" wrapText="0"/>
    </xf>
    <xf borderId="0" fillId="0" fontId="50" numFmtId="0" xfId="0" applyAlignment="1" applyFont="1">
      <alignment vertical="center"/>
    </xf>
    <xf borderId="46" fillId="0" fontId="55" numFmtId="0" xfId="0" applyAlignment="1" applyBorder="1" applyFont="1">
      <alignment shrinkToFit="0" vertical="bottom" wrapText="0"/>
    </xf>
    <xf borderId="46" fillId="0" fontId="55" numFmtId="0" xfId="0" applyAlignment="1" applyBorder="1" applyFont="1">
      <alignment readingOrder="0" shrinkToFit="0" vertical="bottom" wrapText="0"/>
    </xf>
    <xf borderId="47" fillId="13" fontId="56" numFmtId="0" xfId="0" applyAlignment="1" applyBorder="1" applyFill="1" applyFont="1">
      <alignment horizontal="center" vertical="center"/>
    </xf>
    <xf borderId="0" fillId="0" fontId="8" numFmtId="0" xfId="0" applyAlignment="1" applyFont="1">
      <alignment readingOrder="0"/>
    </xf>
    <xf borderId="48" fillId="0" fontId="8" numFmtId="0" xfId="0" applyBorder="1" applyFont="1"/>
    <xf borderId="14" fillId="0" fontId="23" numFmtId="0" xfId="0" applyAlignment="1" applyBorder="1" applyFont="1">
      <alignment vertical="bottom"/>
    </xf>
    <xf borderId="14" fillId="0" fontId="23" numFmtId="9" xfId="0" applyAlignment="1" applyBorder="1" applyFont="1" applyNumberFormat="1">
      <alignment vertical="bottom"/>
    </xf>
    <xf borderId="14" fillId="0" fontId="23" numFmtId="0" xfId="0" applyAlignment="1" applyBorder="1" applyFont="1">
      <alignment vertical="bottom"/>
    </xf>
    <xf borderId="15" fillId="27" fontId="57" numFmtId="0" xfId="0" applyAlignment="1" applyBorder="1" applyFill="1" applyFont="1">
      <alignment horizontal="center" vertical="bottom"/>
    </xf>
    <xf borderId="7" fillId="27" fontId="57" numFmtId="9" xfId="0" applyAlignment="1" applyBorder="1" applyFill="1" applyFont="1" applyNumberFormat="1">
      <alignment horizontal="center" vertical="bottom"/>
    </xf>
    <xf borderId="7" fillId="27" fontId="57" numFmtId="0" xfId="0" applyAlignment="1" applyBorder="1" applyFill="1" applyFont="1">
      <alignment horizontal="center" vertical="bottom"/>
    </xf>
    <xf borderId="15" fillId="28" fontId="57" numFmtId="0" xfId="0" applyAlignment="1" applyBorder="1" applyFill="1" applyFont="1">
      <alignment horizontal="center" vertical="bottom"/>
    </xf>
    <xf borderId="7" fillId="28" fontId="57" numFmtId="0" xfId="0" applyAlignment="1" applyBorder="1" applyFill="1" applyFont="1">
      <alignment horizontal="center" readingOrder="0" vertical="bottom"/>
    </xf>
    <xf borderId="15" fillId="28" fontId="57" numFmtId="0" xfId="0" applyAlignment="1" applyBorder="1" applyFill="1" applyFont="1">
      <alignment horizontal="center" vertical="bottom"/>
    </xf>
    <xf borderId="7" fillId="28" fontId="57" numFmtId="0" xfId="0" applyAlignment="1" applyBorder="1" applyFill="1" applyFont="1">
      <alignment horizontal="center" vertical="bottom"/>
    </xf>
    <xf borderId="7" fillId="27" fontId="57" numFmtId="0" xfId="0" applyAlignment="1" applyBorder="1" applyFill="1" applyFont="1">
      <alignment horizontal="center" readingOrder="0" vertical="bottom"/>
    </xf>
    <xf borderId="15" fillId="13" fontId="23" numFmtId="0" xfId="0" applyAlignment="1" applyBorder="1" applyFill="1" applyFont="1">
      <alignment vertical="bottom"/>
    </xf>
    <xf borderId="7" fillId="13" fontId="23" numFmtId="0" xfId="0" applyAlignment="1" applyBorder="1" applyFill="1" applyFont="1">
      <alignment vertical="bottom"/>
    </xf>
    <xf borderId="15" fillId="10" fontId="31" numFmtId="0" xfId="0" applyAlignment="1" applyBorder="1" applyFill="1" applyFont="1">
      <alignment horizontal="center" vertical="bottom"/>
    </xf>
    <xf borderId="7" fillId="10" fontId="31" numFmtId="9" xfId="0" applyAlignment="1" applyBorder="1" applyFill="1" applyFont="1" applyNumberFormat="1">
      <alignment vertical="bottom"/>
    </xf>
    <xf borderId="7" fillId="10" fontId="31" numFmtId="0" xfId="0" applyAlignment="1" applyBorder="1" applyFill="1" applyFont="1">
      <alignment horizontal="right" vertical="bottom"/>
    </xf>
    <xf borderId="7" fillId="10" fontId="23" numFmtId="0" xfId="0" applyAlignment="1" applyBorder="1" applyFill="1" applyFont="1">
      <alignment vertical="bottom"/>
    </xf>
    <xf borderId="13" fillId="0" fontId="8" numFmtId="0" xfId="0" applyAlignment="1" applyBorder="1" applyFont="1">
      <alignment readingOrder="0"/>
    </xf>
    <xf borderId="13" fillId="10" fontId="23" numFmtId="0" xfId="0" applyAlignment="1" applyBorder="1" applyFill="1" applyFont="1">
      <alignment vertical="bottom"/>
    </xf>
    <xf borderId="15" fillId="10" fontId="31" numFmtId="0" xfId="0" applyAlignment="1" applyBorder="1" applyFill="1" applyFont="1">
      <alignment horizontal="center" shrinkToFit="0" vertical="bottom" wrapText="0"/>
    </xf>
    <xf borderId="7" fillId="10" fontId="58" numFmtId="0" xfId="0" applyAlignment="1" applyBorder="1" applyFill="1" applyFont="1">
      <alignment shrinkToFit="0" vertical="bottom" wrapText="0"/>
    </xf>
    <xf borderId="1" fillId="0" fontId="42" numFmtId="0" xfId="0" applyAlignment="1" applyBorder="1" applyFont="1">
      <alignment horizontal="left" vertical="center"/>
    </xf>
    <xf borderId="7" fillId="10" fontId="23" numFmtId="0" xfId="0" applyAlignment="1" applyBorder="1" applyFill="1" applyFont="1">
      <alignment shrinkToFit="0" vertical="bottom" wrapText="0"/>
    </xf>
    <xf borderId="7" fillId="10" fontId="31" numFmtId="0" xfId="0" applyAlignment="1" applyBorder="1" applyFill="1" applyFont="1">
      <alignment readingOrder="0" vertical="bottom"/>
    </xf>
    <xf borderId="4" fillId="0" fontId="42" numFmtId="0" xfId="0" applyAlignment="1" applyBorder="1" applyFont="1">
      <alignment horizontal="left" vertical="center"/>
    </xf>
    <xf borderId="7" fillId="10" fontId="23" numFmtId="0" xfId="0" applyAlignment="1" applyBorder="1" applyFill="1" applyFont="1">
      <alignment readingOrder="0" vertical="bottom"/>
    </xf>
    <xf borderId="15" fillId="0" fontId="23" numFmtId="0" xfId="0" applyAlignment="1" applyBorder="1" applyFont="1">
      <alignment horizontal="right" readingOrder="0" vertical="bottom"/>
    </xf>
    <xf borderId="7" fillId="0" fontId="23" numFmtId="170" xfId="0" applyAlignment="1" applyBorder="1" applyFont="1" applyNumberFormat="1">
      <alignment horizontal="right" readingOrder="0" vertical="bottom"/>
    </xf>
    <xf borderId="13" fillId="0" fontId="23" numFmtId="0" xfId="0" applyAlignment="1" applyBorder="1" applyFont="1">
      <alignment readingOrder="0" shrinkToFit="0" vertical="bottom" wrapText="0"/>
    </xf>
    <xf borderId="15" fillId="29" fontId="31" numFmtId="0" xfId="0" applyAlignment="1" applyBorder="1" applyFill="1" applyFont="1">
      <alignment horizontal="center" vertical="bottom"/>
    </xf>
    <xf borderId="7" fillId="29" fontId="31" numFmtId="9" xfId="0" applyAlignment="1" applyBorder="1" applyFill="1" applyFont="1" applyNumberFormat="1">
      <alignment vertical="bottom"/>
    </xf>
    <xf borderId="7" fillId="29" fontId="23" numFmtId="0" xfId="0" applyAlignment="1" applyBorder="1" applyFill="1" applyFont="1">
      <alignment vertical="bottom"/>
    </xf>
    <xf borderId="15" fillId="30" fontId="31" numFmtId="0" xfId="0" applyAlignment="1" applyBorder="1" applyFill="1" applyFont="1">
      <alignment horizontal="center" vertical="bottom"/>
    </xf>
    <xf borderId="7" fillId="29" fontId="31" numFmtId="0" xfId="0" applyAlignment="1" applyBorder="1" applyFill="1" applyFont="1">
      <alignment readingOrder="0" vertical="bottom"/>
    </xf>
    <xf borderId="7" fillId="29" fontId="23" numFmtId="0" xfId="0" applyAlignment="1" applyBorder="1" applyFill="1" applyFont="1">
      <alignment readingOrder="0" vertical="bottom"/>
    </xf>
    <xf borderId="15" fillId="31" fontId="23" numFmtId="0" xfId="0" applyAlignment="1" applyBorder="1" applyFill="1" applyFont="1">
      <alignment horizontal="right" vertical="bottom"/>
    </xf>
    <xf borderId="7" fillId="31" fontId="23" numFmtId="170" xfId="0" applyAlignment="1" applyBorder="1" applyFill="1" applyFont="1" applyNumberFormat="1">
      <alignment horizontal="right" readingOrder="0" vertical="bottom"/>
    </xf>
    <xf borderId="7" fillId="31" fontId="23" numFmtId="0" xfId="0" applyAlignment="1" applyBorder="1" applyFill="1" applyFont="1">
      <alignment readingOrder="0" vertical="bottom"/>
    </xf>
    <xf borderId="13" fillId="10" fontId="31" numFmtId="0" xfId="0" applyAlignment="1" applyBorder="1" applyFill="1" applyFont="1">
      <alignment readingOrder="0" vertical="bottom"/>
    </xf>
    <xf borderId="9" fillId="0" fontId="42" numFmtId="0" xfId="0" applyAlignment="1" applyBorder="1" applyFont="1">
      <alignment horizontal="left" vertical="center"/>
    </xf>
    <xf borderId="9" fillId="0" fontId="51" numFmtId="0" xfId="0" applyAlignment="1" applyBorder="1" applyFont="1">
      <alignment horizontal="left" vertical="center"/>
    </xf>
    <xf borderId="0" fillId="0" fontId="51" numFmtId="0" xfId="0" applyAlignment="1" applyFont="1">
      <alignment horizontal="left" vertical="center"/>
    </xf>
    <xf borderId="13" fillId="30" fontId="23" numFmtId="0" xfId="0" applyAlignment="1" applyBorder="1" applyFill="1" applyFont="1">
      <alignment readingOrder="0" vertical="bottom"/>
    </xf>
    <xf borderId="15" fillId="10" fontId="31" numFmtId="0" xfId="0" applyAlignment="1" applyBorder="1" applyFill="1" applyFont="1">
      <alignment horizontal="center" vertical="bottom"/>
    </xf>
    <xf borderId="13" fillId="29" fontId="31" numFmtId="0" xfId="0" applyAlignment="1" applyBorder="1" applyFill="1" applyFont="1">
      <alignment readingOrder="0" vertical="bottom"/>
    </xf>
    <xf borderId="13" fillId="10" fontId="31" numFmtId="0" xfId="0" applyAlignment="1" applyBorder="1" applyFill="1" applyFont="1">
      <alignment horizontal="right" vertical="bottom"/>
    </xf>
    <xf borderId="13" fillId="29" fontId="23" numFmtId="0" xfId="0" applyAlignment="1" applyBorder="1" applyFill="1" applyFont="1">
      <alignment readingOrder="0" vertical="bottom"/>
    </xf>
    <xf borderId="15" fillId="0" fontId="23" numFmtId="0" xfId="0" applyAlignment="1" applyBorder="1" applyFont="1">
      <alignment horizontal="right" vertical="bottom"/>
    </xf>
    <xf borderId="6" fillId="0" fontId="51" numFmtId="0" xfId="0" applyAlignment="1" applyBorder="1" applyFont="1">
      <alignment vertical="center"/>
    </xf>
    <xf borderId="14" fillId="0" fontId="51" numFmtId="0" xfId="0" applyAlignment="1" applyBorder="1" applyFont="1">
      <alignment vertical="center"/>
    </xf>
    <xf borderId="15" fillId="30" fontId="31" numFmtId="0" xfId="0" applyAlignment="1" applyBorder="1" applyFill="1" applyFont="1">
      <alignment horizontal="center" vertical="bottom"/>
    </xf>
    <xf borderId="13" fillId="0" fontId="8" numFmtId="0" xfId="0" applyBorder="1" applyFont="1"/>
    <xf borderId="13" fillId="10" fontId="23" numFmtId="0" xfId="0" applyAlignment="1" applyBorder="1" applyFill="1" applyFont="1">
      <alignment readingOrder="0" vertical="bottom"/>
    </xf>
    <xf borderId="5" fillId="0" fontId="51" numFmtId="0" xfId="0" applyAlignment="1" applyBorder="1" applyFont="1">
      <alignment vertical="center"/>
    </xf>
    <xf borderId="15" fillId="29" fontId="31" numFmtId="0" xfId="0" applyAlignment="1" applyBorder="1" applyFill="1" applyFont="1">
      <alignment horizontal="center" vertical="bottom"/>
    </xf>
    <xf borderId="13" fillId="29" fontId="23" numFmtId="0" xfId="0" applyAlignment="1" applyBorder="1" applyFill="1" applyFont="1">
      <alignment vertical="bottom"/>
    </xf>
    <xf borderId="7" fillId="31" fontId="23" numFmtId="0" xfId="0" applyAlignment="1" applyBorder="1" applyFill="1" applyFont="1">
      <alignment readingOrder="0" vertical="bottom"/>
    </xf>
    <xf borderId="13" fillId="10" fontId="31" numFmtId="9" xfId="0" applyAlignment="1" applyBorder="1" applyFill="1" applyFont="1" applyNumberFormat="1">
      <alignment vertical="bottom"/>
    </xf>
    <xf borderId="7" fillId="0" fontId="23" numFmtId="170" xfId="0" applyAlignment="1" applyBorder="1" applyFont="1" applyNumberFormat="1">
      <alignment horizontal="right" vertical="bottom"/>
    </xf>
    <xf borderId="36" fillId="24" fontId="42" numFmtId="0" xfId="0" applyAlignment="1" applyBorder="1" applyFill="1" applyFont="1">
      <alignment horizontal="center" vertical="center"/>
    </xf>
    <xf borderId="13" fillId="0" fontId="23" numFmtId="0" xfId="0" applyAlignment="1" applyBorder="1" applyFont="1">
      <alignment shrinkToFit="0" vertical="bottom" wrapText="0"/>
    </xf>
    <xf borderId="0" fillId="0" fontId="59" numFmtId="0" xfId="0" applyAlignment="1" applyFont="1">
      <alignment horizontal="center" readingOrder="0" shrinkToFit="0" vertical="bottom" wrapText="1"/>
    </xf>
    <xf borderId="7" fillId="31" fontId="23" numFmtId="170" xfId="0" applyAlignment="1" applyBorder="1" applyFill="1" applyFont="1" applyNumberFormat="1">
      <alignment horizontal="right" vertical="bottom"/>
    </xf>
    <xf borderId="7" fillId="31" fontId="23" numFmtId="0" xfId="0" applyAlignment="1" applyBorder="1" applyFill="1" applyFont="1">
      <alignment vertical="bottom"/>
    </xf>
    <xf borderId="13" fillId="10" fontId="23" numFmtId="9" xfId="0" applyAlignment="1" applyBorder="1" applyFill="1" applyFont="1" applyNumberFormat="1">
      <alignment vertical="bottom"/>
    </xf>
    <xf borderId="13" fillId="30" fontId="23" numFmtId="9" xfId="0" applyAlignment="1" applyBorder="1" applyFill="1" applyFont="1" applyNumberFormat="1">
      <alignment vertical="bottom"/>
    </xf>
    <xf borderId="7" fillId="0" fontId="51" numFmtId="0" xfId="0" applyAlignment="1" applyBorder="1" applyFont="1">
      <alignment vertical="center"/>
    </xf>
    <xf borderId="7" fillId="10" fontId="23" numFmtId="9" xfId="0" applyAlignment="1" applyBorder="1" applyFill="1" applyFont="1" applyNumberFormat="1">
      <alignment vertical="bottom"/>
    </xf>
    <xf borderId="0" fillId="0" fontId="8" numFmtId="0" xfId="0" applyAlignment="1" applyFont="1">
      <alignment horizontal="center"/>
    </xf>
    <xf borderId="7" fillId="30" fontId="23" numFmtId="9" xfId="0" applyAlignment="1" applyBorder="1" applyFill="1" applyFont="1" applyNumberFormat="1">
      <alignment vertical="bottom"/>
    </xf>
    <xf borderId="0" fillId="0" fontId="54" numFmtId="0" xfId="0" applyAlignment="1" applyFont="1">
      <alignment readingOrder="0"/>
    </xf>
    <xf borderId="16" fillId="32" fontId="54" numFmtId="0" xfId="0" applyAlignment="1" applyBorder="1" applyFill="1" applyFont="1">
      <alignment readingOrder="0"/>
    </xf>
    <xf borderId="1" fillId="0" fontId="42" numFmtId="0" xfId="0" applyAlignment="1" applyBorder="1" applyFont="1">
      <alignment horizontal="center" shrinkToFit="0" vertical="center" wrapText="1"/>
    </xf>
    <xf borderId="16" fillId="0" fontId="8" numFmtId="0" xfId="0" applyAlignment="1" applyBorder="1" applyFont="1">
      <alignment readingOrder="0"/>
    </xf>
    <xf borderId="16" fillId="0" fontId="8" numFmtId="165" xfId="0" applyAlignment="1" applyBorder="1" applyFont="1" applyNumberFormat="1">
      <alignment readingOrder="0"/>
    </xf>
    <xf borderId="16" fillId="0" fontId="8" numFmtId="0" xfId="0" applyBorder="1" applyFont="1"/>
    <xf borderId="2" fillId="0" fontId="42" numFmtId="0" xfId="0" applyAlignment="1" applyBorder="1" applyFont="1">
      <alignment horizontal="center" shrinkToFit="0" vertical="center" wrapText="1"/>
    </xf>
    <xf borderId="16" fillId="0" fontId="8" numFmtId="165" xfId="0" applyBorder="1" applyFont="1" applyNumberFormat="1"/>
    <xf borderId="1" fillId="0" fontId="60" numFmtId="0" xfId="0" applyAlignment="1" applyBorder="1" applyFont="1">
      <alignment horizontal="left" vertical="center"/>
    </xf>
    <xf borderId="49" fillId="13" fontId="43" numFmtId="0" xfId="0" applyAlignment="1" applyBorder="1" applyFill="1" applyFont="1">
      <alignment horizontal="center" vertical="center"/>
    </xf>
    <xf borderId="50" fillId="0" fontId="8" numFmtId="0" xfId="0" applyBorder="1" applyFont="1"/>
    <xf borderId="1" fillId="10" fontId="42" numFmtId="49" xfId="0" applyAlignment="1" applyBorder="1" applyFill="1" applyFont="1" applyNumberFormat="1">
      <alignment horizontal="center" shrinkToFit="0" vertical="center" wrapText="1"/>
    </xf>
    <xf borderId="0" fillId="0" fontId="50" numFmtId="0" xfId="0" applyAlignment="1" applyFont="1">
      <alignment shrinkToFit="0" vertical="center" wrapText="1"/>
    </xf>
    <xf borderId="47" fillId="13" fontId="56" numFmtId="0" xfId="0" applyAlignment="1" applyBorder="1" applyFill="1" applyFont="1">
      <alignment horizontal="center" shrinkToFit="0" vertical="center" wrapText="1"/>
    </xf>
    <xf borderId="14" fillId="0" fontId="56" numFmtId="0" xfId="0" applyAlignment="1" applyBorder="1" applyFont="1">
      <alignment horizontal="center" vertical="center"/>
    </xf>
    <xf borderId="0" fillId="0" fontId="61" numFmtId="0" xfId="0" applyAlignment="1" applyFont="1">
      <alignment vertical="center"/>
    </xf>
    <xf borderId="1" fillId="0" fontId="62" numFmtId="0" xfId="0" applyAlignment="1" applyBorder="1" applyFont="1">
      <alignment horizontal="left" vertical="center"/>
    </xf>
    <xf borderId="51" fillId="33" fontId="43" numFmtId="0" xfId="0" applyAlignment="1" applyBorder="1" applyFill="1" applyFont="1">
      <alignment horizontal="center" vertical="center"/>
    </xf>
    <xf borderId="52" fillId="0" fontId="8" numFmtId="0" xfId="0" applyBorder="1" applyFont="1"/>
    <xf borderId="53" fillId="0" fontId="8" numFmtId="0" xfId="0" applyBorder="1" applyFont="1"/>
    <xf borderId="0" fillId="0" fontId="63" numFmtId="0" xfId="0" applyAlignment="1" applyFont="1">
      <alignment horizontal="left" vertical="center"/>
    </xf>
    <xf borderId="9" fillId="0" fontId="62" numFmtId="0" xfId="0" applyAlignment="1" applyBorder="1" applyFont="1">
      <alignment horizontal="left" vertical="center"/>
    </xf>
    <xf borderId="9" fillId="0" fontId="63" numFmtId="0" xfId="0" applyAlignment="1" applyBorder="1" applyFont="1">
      <alignment horizontal="left" vertical="center"/>
    </xf>
    <xf borderId="54" fillId="0" fontId="42" numFmtId="0" xfId="0" applyAlignment="1" applyBorder="1" applyFont="1">
      <alignment horizontal="left" vertical="center"/>
    </xf>
    <xf borderId="54" fillId="0" fontId="51" numFmtId="0" xfId="0" applyAlignment="1" applyBorder="1" applyFont="1">
      <alignment horizontal="left" vertical="center"/>
    </xf>
    <xf borderId="55" fillId="0" fontId="42" numFmtId="0" xfId="0" applyAlignment="1" applyBorder="1" applyFont="1">
      <alignment horizontal="left" vertical="center"/>
    </xf>
    <xf borderId="56" fillId="0" fontId="8" numFmtId="0" xfId="0" applyBorder="1" applyFont="1"/>
    <xf borderId="57" fillId="0" fontId="8" numFmtId="0" xfId="0" applyBorder="1" applyFont="1"/>
    <xf borderId="58" fillId="0" fontId="8" numFmtId="0" xfId="0" applyBorder="1" applyFont="1"/>
    <xf borderId="54" fillId="0" fontId="8" numFmtId="0" xfId="0" applyBorder="1" applyFont="1"/>
    <xf borderId="59" fillId="0" fontId="8" numFmtId="0" xfId="0" applyBorder="1" applyFont="1"/>
    <xf borderId="0" fillId="0" fontId="61" numFmtId="0" xfId="0" applyAlignment="1" applyFont="1">
      <alignment horizontal="left" vertical="center"/>
    </xf>
    <xf borderId="0" fillId="0" fontId="42" numFmtId="0" xfId="0" applyAlignment="1" applyFont="1">
      <alignment horizontal="left" vertical="center"/>
    </xf>
    <xf borderId="1" fillId="0" fontId="62" numFmtId="49" xfId="0" applyAlignment="1" applyBorder="1" applyFont="1" applyNumberFormat="1">
      <alignment horizontal="left" vertical="center"/>
    </xf>
    <xf borderId="0" fillId="0" fontId="63" numFmtId="49" xfId="0" applyAlignment="1" applyFont="1" applyNumberFormat="1">
      <alignment horizontal="left" vertical="center"/>
    </xf>
    <xf borderId="1" fillId="0" fontId="42" numFmtId="49" xfId="0" applyAlignment="1" applyBorder="1" applyFont="1" applyNumberFormat="1">
      <alignment horizontal="left" vertical="center"/>
    </xf>
    <xf borderId="0" fillId="0" fontId="51" numFmtId="49" xfId="0" applyAlignment="1" applyFont="1" applyNumberFormat="1">
      <alignment horizontal="left" vertical="center"/>
    </xf>
    <xf borderId="9" fillId="0" fontId="62" numFmtId="49" xfId="0" applyAlignment="1" applyBorder="1" applyFont="1" applyNumberFormat="1">
      <alignment horizontal="left" vertical="center"/>
    </xf>
    <xf borderId="9" fillId="0" fontId="63" numFmtId="49" xfId="0" applyAlignment="1" applyBorder="1" applyFont="1" applyNumberFormat="1">
      <alignment horizontal="left" vertical="center"/>
    </xf>
    <xf borderId="9" fillId="0" fontId="42" numFmtId="49" xfId="0" applyAlignment="1" applyBorder="1" applyFont="1" applyNumberFormat="1">
      <alignment horizontal="left" vertical="center"/>
    </xf>
    <xf borderId="9" fillId="0" fontId="51" numFmtId="49" xfId="0" applyAlignment="1" applyBorder="1" applyFont="1" applyNumberFormat="1">
      <alignment horizontal="left" vertical="center"/>
    </xf>
    <xf borderId="16" fillId="0" fontId="48" numFmtId="0" xfId="0" applyAlignment="1" applyBorder="1" applyFont="1">
      <alignment horizontal="right" readingOrder="0"/>
    </xf>
    <xf borderId="16" fillId="0" fontId="48" numFmtId="0" xfId="0" applyAlignment="1" applyBorder="1" applyFont="1">
      <alignment readingOrder="0" shrinkToFit="0" wrapText="0"/>
    </xf>
    <xf borderId="16" fillId="0" fontId="48" numFmtId="0" xfId="0" applyAlignment="1" applyBorder="1" applyFont="1">
      <alignment shrinkToFit="0" wrapText="0"/>
    </xf>
    <xf borderId="16" fillId="9" fontId="48" numFmtId="4" xfId="0" applyAlignment="1" applyBorder="1" applyFill="1" applyFont="1" applyNumberFormat="1">
      <alignment readingOrder="0"/>
    </xf>
    <xf borderId="16" fillId="0" fontId="48" numFmtId="169" xfId="0" applyAlignment="1" applyBorder="1" applyFont="1" applyNumberFormat="1">
      <alignment readingOrder="0"/>
    </xf>
    <xf borderId="16" fillId="0" fontId="48" numFmtId="2" xfId="0" applyAlignment="1" applyBorder="1" applyFont="1" applyNumberFormat="1">
      <alignment readingOrder="0"/>
    </xf>
    <xf borderId="16" fillId="0" fontId="48" numFmtId="165" xfId="0" applyBorder="1" applyFont="1" applyNumberFormat="1"/>
    <xf borderId="16" fillId="0" fontId="48" numFmtId="0" xfId="0" applyAlignment="1" applyBorder="1" applyFont="1">
      <alignment readingOrder="0"/>
    </xf>
    <xf borderId="16" fillId="18" fontId="48" numFmtId="0" xfId="0" applyAlignment="1" applyBorder="1" applyFill="1" applyFont="1">
      <alignment readingOrder="0"/>
    </xf>
    <xf borderId="16" fillId="0" fontId="48" numFmtId="164" xfId="0" applyBorder="1" applyFont="1" applyNumberFormat="1"/>
    <xf borderId="16" fillId="0" fontId="48" numFmtId="9" xfId="0" applyBorder="1" applyFont="1" applyNumberFormat="1"/>
    <xf borderId="16" fillId="0" fontId="48" numFmtId="9" xfId="0" applyBorder="1" applyFont="1" applyNumberFormat="1"/>
    <xf borderId="16" fillId="0" fontId="48" numFmtId="4" xfId="0" applyBorder="1" applyFont="1" applyNumberFormat="1"/>
    <xf borderId="16" fillId="0" fontId="48" numFmtId="0" xfId="0" applyBorder="1" applyFont="1"/>
    <xf borderId="0" fillId="0" fontId="14" numFmtId="0" xfId="0" applyAlignment="1" applyFont="1">
      <alignment vertical="center"/>
    </xf>
    <xf borderId="23" fillId="0" fontId="50" numFmtId="0" xfId="0" applyAlignment="1" applyBorder="1" applyFont="1">
      <alignment horizontal="center" vertical="center"/>
    </xf>
    <xf borderId="1" fillId="0" fontId="42" numFmtId="0" xfId="0" applyAlignment="1" applyBorder="1" applyFont="1">
      <alignment horizontal="center" shrinkToFit="0" vertical="top" wrapText="1"/>
    </xf>
    <xf borderId="1" fillId="0" fontId="42" numFmtId="0" xfId="0" applyAlignment="1" applyBorder="1" applyFont="1">
      <alignment horizontal="left" shrinkToFit="0" vertical="top" wrapText="1"/>
    </xf>
    <xf borderId="8" fillId="0" fontId="42" numFmtId="0" xfId="0" applyAlignment="1" applyBorder="1" applyFont="1">
      <alignment horizontal="left" vertical="top"/>
    </xf>
    <xf borderId="23" fillId="0" fontId="42" numFmtId="0" xfId="0" applyAlignment="1" applyBorder="1" applyFont="1">
      <alignment vertical="center"/>
    </xf>
    <xf borderId="1" fillId="10" fontId="42" numFmtId="0" xfId="0" applyAlignment="1" applyBorder="1" applyFill="1" applyFont="1">
      <alignment horizontal="center" vertical="center"/>
    </xf>
    <xf borderId="1" fillId="34" fontId="42" numFmtId="0" xfId="0" applyAlignment="1" applyBorder="1" applyFill="1" applyFont="1">
      <alignment vertical="center"/>
    </xf>
    <xf borderId="1" fillId="35" fontId="42" numFmtId="0" xfId="0" applyAlignment="1" applyBorder="1" applyFill="1" applyFont="1">
      <alignment vertical="center"/>
    </xf>
    <xf borderId="1" fillId="13" fontId="42" numFmtId="0" xfId="0" applyAlignment="1" applyBorder="1" applyFill="1" applyFont="1">
      <alignment vertical="center"/>
    </xf>
    <xf borderId="1" fillId="36" fontId="42" numFmtId="0" xfId="0" applyAlignment="1" applyBorder="1" applyFill="1" applyFont="1">
      <alignment vertical="center"/>
    </xf>
    <xf borderId="1" fillId="37" fontId="42" numFmtId="0" xfId="0" applyAlignment="1" applyBorder="1" applyFill="1" applyFont="1">
      <alignment vertical="center"/>
    </xf>
    <xf borderId="22" fillId="0" fontId="51" numFmtId="0" xfId="0" applyAlignment="1" applyBorder="1" applyFont="1">
      <alignment vertical="center"/>
    </xf>
    <xf borderId="1" fillId="38" fontId="42" numFmtId="0" xfId="0" applyAlignment="1" applyBorder="1" applyFill="1" applyFont="1">
      <alignment horizontal="center" vertical="center"/>
    </xf>
    <xf borderId="1" fillId="38" fontId="43" numFmtId="0" xfId="0" applyAlignment="1" applyBorder="1" applyFill="1" applyFont="1">
      <alignment horizontal="center" shrinkToFit="0" vertical="center" wrapText="1"/>
    </xf>
    <xf borderId="15" fillId="0" fontId="51" numFmtId="0" xfId="0" applyAlignment="1" applyBorder="1" applyFont="1">
      <alignment vertical="center"/>
    </xf>
    <xf borderId="1" fillId="38" fontId="43" numFmtId="0" xfId="0" applyAlignment="1" applyBorder="1" applyFill="1" applyFont="1">
      <alignment horizontal="center" vertical="center"/>
    </xf>
    <xf borderId="1" fillId="10" fontId="64" numFmtId="0" xfId="0" applyAlignment="1" applyBorder="1" applyFill="1" applyFont="1">
      <alignment horizontal="center" shrinkToFit="0" vertical="center" wrapText="1"/>
    </xf>
    <xf borderId="1" fillId="10" fontId="65" numFmtId="0" xfId="0" applyAlignment="1" applyBorder="1" applyFill="1" applyFont="1">
      <alignment horizontal="center" vertical="center"/>
    </xf>
    <xf borderId="1" fillId="10" fontId="64" numFmtId="0" xfId="0" applyAlignment="1" applyBorder="1" applyFill="1" applyFont="1">
      <alignment horizontal="center" vertical="center"/>
    </xf>
    <xf borderId="16" fillId="16" fontId="48" numFmtId="4" xfId="0" applyAlignment="1" applyBorder="1" applyFill="1" applyFont="1" applyNumberFormat="1">
      <alignment readingOrder="0"/>
    </xf>
    <xf borderId="16" fillId="16" fontId="66" numFmtId="4" xfId="0" applyAlignment="1" applyBorder="1" applyFill="1" applyFont="1" applyNumberFormat="1">
      <alignment readingOrder="0" vertical="center"/>
    </xf>
    <xf borderId="16" fillId="0" fontId="48" numFmtId="164" xfId="0" applyAlignment="1" applyBorder="1" applyFont="1" applyNumberFormat="1">
      <alignment vertical="center"/>
    </xf>
    <xf borderId="16" fillId="0" fontId="48" numFmtId="9" xfId="0" applyAlignment="1" applyBorder="1" applyFont="1" applyNumberFormat="1">
      <alignment vertical="center"/>
    </xf>
    <xf borderId="16" fillId="0" fontId="48" numFmtId="0" xfId="0" applyAlignment="1" applyBorder="1" applyFont="1">
      <alignment vertical="center"/>
    </xf>
    <xf borderId="16" fillId="17" fontId="48" numFmtId="4" xfId="0" applyAlignment="1" applyBorder="1" applyFill="1" applyFont="1" applyNumberFormat="1">
      <alignment readingOrder="0"/>
    </xf>
    <xf borderId="16" fillId="10" fontId="48" numFmtId="2" xfId="0" applyAlignment="1" applyBorder="1" applyFill="1" applyFont="1" applyNumberFormat="1">
      <alignment readingOrder="0"/>
    </xf>
    <xf borderId="16" fillId="0" fontId="48" numFmtId="0" xfId="0" applyAlignment="1" applyBorder="1" applyFont="1">
      <alignment horizontal="right" vertical="center"/>
    </xf>
    <xf borderId="16" fillId="9" fontId="66" numFmtId="4" xfId="0" applyAlignment="1" applyBorder="1" applyFill="1" applyFont="1" applyNumberFormat="1">
      <alignment readingOrder="0" vertical="center"/>
    </xf>
    <xf borderId="28" fillId="0" fontId="23" numFmtId="0" xfId="0" applyAlignment="1" applyBorder="1" applyFont="1">
      <alignment readingOrder="0"/>
    </xf>
    <xf borderId="35" fillId="0" fontId="23" numFmtId="0" xfId="0" applyAlignment="1" applyBorder="1" applyFont="1">
      <alignment readingOrder="0"/>
    </xf>
    <xf borderId="35" fillId="0" fontId="23" numFmtId="0" xfId="0" applyBorder="1" applyFont="1"/>
    <xf borderId="35" fillId="0" fontId="23" numFmtId="169" xfId="0" applyAlignment="1" applyBorder="1" applyFont="1" applyNumberFormat="1">
      <alignment readingOrder="0"/>
    </xf>
    <xf borderId="35" fillId="0" fontId="23" numFmtId="2" xfId="0" applyAlignment="1" applyBorder="1" applyFont="1" applyNumberFormat="1">
      <alignment readingOrder="0"/>
    </xf>
    <xf borderId="35" fillId="0" fontId="23" numFmtId="165" xfId="0" applyBorder="1" applyFont="1" applyNumberFormat="1"/>
    <xf borderId="35" fillId="0" fontId="48" numFmtId="0" xfId="0" applyAlignment="1" applyBorder="1" applyFont="1">
      <alignment horizontal="right" readingOrder="0"/>
    </xf>
    <xf borderId="35" fillId="18" fontId="23" numFmtId="0" xfId="0" applyAlignment="1" applyBorder="1" applyFill="1" applyFont="1">
      <alignment readingOrder="0"/>
    </xf>
    <xf borderId="35" fillId="0" fontId="23" numFmtId="164" xfId="0" applyBorder="1" applyFont="1" applyNumberFormat="1"/>
    <xf borderId="35" fillId="0" fontId="23" numFmtId="9" xfId="0" applyBorder="1" applyFont="1" applyNumberFormat="1"/>
    <xf borderId="35" fillId="0" fontId="23" numFmtId="9" xfId="0" applyBorder="1" applyFont="1" applyNumberFormat="1"/>
    <xf borderId="35" fillId="0" fontId="23" numFmtId="4" xfId="0" applyBorder="1" applyFont="1" applyNumberFormat="1"/>
    <xf borderId="35" fillId="0" fontId="23" numFmtId="0" xfId="0" applyBorder="1" applyFont="1"/>
    <xf borderId="35" fillId="32" fontId="23" numFmtId="0" xfId="0" applyBorder="1" applyFill="1" applyFont="1"/>
    <xf borderId="28" fillId="0" fontId="23" numFmtId="0" xfId="0" applyBorder="1" applyFont="1"/>
    <xf borderId="35" fillId="39" fontId="66" numFmtId="4" xfId="0" applyAlignment="1" applyBorder="1" applyFill="1" applyFont="1" applyNumberFormat="1">
      <alignment readingOrder="0"/>
    </xf>
    <xf borderId="28" fillId="0" fontId="48" numFmtId="0" xfId="0" applyAlignment="1" applyBorder="1" applyFont="1">
      <alignment horizontal="right" readingOrder="0"/>
    </xf>
    <xf borderId="35" fillId="0" fontId="48" numFmtId="0" xfId="0" applyBorder="1" applyFont="1"/>
    <xf borderId="35" fillId="17" fontId="66" numFmtId="4" xfId="0" applyAlignment="1" applyBorder="1" applyFill="1" applyFont="1" applyNumberFormat="1">
      <alignment readingOrder="0"/>
    </xf>
    <xf borderId="16" fillId="0" fontId="48" numFmtId="169" xfId="0" applyAlignment="1" applyBorder="1" applyFont="1" applyNumberFormat="1">
      <alignment readingOrder="0" vertical="center"/>
    </xf>
    <xf borderId="16" fillId="0" fontId="48" numFmtId="2" xfId="0" applyAlignment="1" applyBorder="1" applyFont="1" applyNumberFormat="1">
      <alignment horizontal="right" readingOrder="0" vertical="center"/>
    </xf>
    <xf borderId="16" fillId="0" fontId="23" numFmtId="0" xfId="0" applyBorder="1" applyFont="1"/>
    <xf borderId="31" fillId="0" fontId="23" numFmtId="0" xfId="0" applyBorder="1" applyFont="1"/>
    <xf borderId="31" fillId="0" fontId="23" numFmtId="165" xfId="0" applyBorder="1" applyFont="1" applyNumberFormat="1"/>
    <xf borderId="31" fillId="18" fontId="23" numFmtId="0" xfId="0" applyAlignment="1" applyBorder="1" applyFill="1" applyFont="1">
      <alignment readingOrder="0"/>
    </xf>
    <xf borderId="31" fillId="0" fontId="23" numFmtId="164" xfId="0" applyBorder="1" applyFont="1" applyNumberFormat="1"/>
    <xf borderId="31" fillId="0" fontId="23" numFmtId="9" xfId="0" applyBorder="1" applyFont="1" applyNumberFormat="1"/>
    <xf borderId="31" fillId="0" fontId="23" numFmtId="9" xfId="0" applyBorder="1" applyFont="1" applyNumberFormat="1"/>
    <xf borderId="31" fillId="0" fontId="23" numFmtId="4" xfId="0" applyBorder="1" applyFont="1" applyNumberFormat="1"/>
    <xf borderId="31" fillId="0" fontId="23" numFmtId="0" xfId="0" applyBorder="1" applyFont="1"/>
    <xf borderId="31" fillId="32" fontId="23" numFmtId="0" xfId="0" applyBorder="1" applyFill="1" applyFont="1"/>
    <xf borderId="28" fillId="17" fontId="66" numFmtId="4" xfId="0" applyAlignment="1" applyBorder="1" applyFill="1" applyFont="1" applyNumberFormat="1">
      <alignment readingOrder="0"/>
    </xf>
    <xf borderId="16" fillId="19" fontId="66" numFmtId="4" xfId="0" applyAlignment="1" applyBorder="1" applyFill="1" applyFont="1" applyNumberFormat="1">
      <alignment readingOrder="0" vertical="center"/>
    </xf>
    <xf borderId="16" fillId="0" fontId="48" numFmtId="0" xfId="0" applyAlignment="1" applyBorder="1" applyFont="1">
      <alignment horizontal="right" vertical="center"/>
    </xf>
    <xf borderId="16" fillId="17" fontId="66" numFmtId="4" xfId="0" applyAlignment="1" applyBorder="1" applyFill="1" applyFont="1" applyNumberFormat="1">
      <alignment readingOrder="0" vertical="center"/>
    </xf>
    <xf borderId="16" fillId="0" fontId="48" numFmtId="0" xfId="0" applyAlignment="1" applyBorder="1" applyFont="1">
      <alignment shrinkToFit="0" vertical="center" wrapText="0"/>
    </xf>
    <xf borderId="31" fillId="0" fontId="23" numFmtId="2" xfId="0" applyAlignment="1" applyBorder="1" applyFont="1" applyNumberFormat="1">
      <alignment readingOrder="0"/>
    </xf>
    <xf borderId="16" fillId="9" fontId="66" numFmtId="4" xfId="0" applyAlignment="1" applyBorder="1" applyFill="1" applyFont="1" applyNumberFormat="1">
      <alignment readingOrder="0" shrinkToFit="0" vertical="center" wrapText="0"/>
    </xf>
    <xf borderId="16" fillId="6" fontId="66" numFmtId="4" xfId="0" applyAlignment="1" applyBorder="1" applyFill="1" applyFont="1" applyNumberFormat="1">
      <alignment readingOrder="0"/>
    </xf>
    <xf borderId="16" fillId="16" fontId="66" numFmtId="4" xfId="0" applyAlignment="1" applyBorder="1" applyFill="1" applyFont="1" applyNumberFormat="1">
      <alignment readingOrder="0" shrinkToFit="0" vertical="center" wrapText="0"/>
    </xf>
    <xf borderId="31" fillId="0" fontId="48" numFmtId="169" xfId="0" applyAlignment="1" applyBorder="1" applyFont="1" applyNumberFormat="1">
      <alignment horizontal="right"/>
    </xf>
    <xf borderId="16" fillId="6" fontId="66" numFmtId="4" xfId="0" applyAlignment="1" applyBorder="1" applyFill="1" applyFont="1" applyNumberFormat="1">
      <alignment readingOrder="0" shrinkToFit="0" vertical="center" wrapText="0"/>
    </xf>
    <xf borderId="35" fillId="9" fontId="66" numFmtId="4" xfId="0" applyAlignment="1" applyBorder="1" applyFill="1" applyFont="1" applyNumberFormat="1">
      <alignment readingOrder="0"/>
    </xf>
    <xf borderId="35" fillId="16" fontId="66" numFmtId="4" xfId="0" applyAlignment="1" applyBorder="1" applyFill="1" applyFont="1" applyNumberFormat="1">
      <alignment readingOrder="0"/>
    </xf>
    <xf borderId="35" fillId="6" fontId="66" numFmtId="4" xfId="0" applyAlignment="1" applyBorder="1" applyFill="1" applyFont="1" applyNumberFormat="1">
      <alignment readingOrder="0"/>
    </xf>
    <xf borderId="35" fillId="17" fontId="66" numFmtId="4" xfId="0" applyBorder="1" applyFill="1" applyFont="1" applyNumberFormat="1"/>
    <xf borderId="27" fillId="0" fontId="23" numFmtId="0" xfId="0" applyAlignment="1" applyBorder="1" applyFont="1">
      <alignment readingOrder="0"/>
    </xf>
    <xf borderId="60" fillId="10" fontId="23" numFmtId="0" xfId="0" applyAlignment="1" applyBorder="1" applyFill="1" applyFont="1">
      <alignment readingOrder="0" shrinkToFit="0" vertical="top" wrapText="0"/>
    </xf>
    <xf borderId="31" fillId="0" fontId="67" numFmtId="0" xfId="0" applyAlignment="1" applyBorder="1" applyFont="1">
      <alignment readingOrder="0"/>
    </xf>
    <xf borderId="31" fillId="6" fontId="66" numFmtId="4" xfId="0" applyAlignment="1" applyBorder="1" applyFill="1" applyFont="1" applyNumberFormat="1">
      <alignment readingOrder="0"/>
    </xf>
    <xf borderId="31" fillId="3" fontId="48" numFmtId="0" xfId="0" applyAlignment="1" applyBorder="1" applyFill="1" applyFont="1">
      <alignment readingOrder="0"/>
    </xf>
    <xf borderId="35" fillId="10" fontId="23" numFmtId="0" xfId="0" applyAlignment="1" applyBorder="1" applyFill="1" applyFont="1">
      <alignment shrinkToFit="0" vertical="top" wrapText="0"/>
    </xf>
    <xf borderId="31" fillId="17" fontId="66" numFmtId="4" xfId="0" applyAlignment="1" applyBorder="1" applyFill="1" applyFont="1" applyNumberFormat="1">
      <alignment readingOrder="0"/>
    </xf>
    <xf borderId="31" fillId="0" fontId="48" numFmtId="2" xfId="0" applyAlignment="1" applyBorder="1" applyFont="1" applyNumberFormat="1">
      <alignment horizontal="right" readingOrder="0"/>
    </xf>
    <xf borderId="31" fillId="0" fontId="48" numFmtId="0" xfId="0" applyAlignment="1" applyBorder="1" applyFont="1">
      <alignment horizontal="right" readingOrder="0"/>
    </xf>
    <xf borderId="16" fillId="0" fontId="49" numFmtId="169" xfId="0" applyAlignment="1" applyBorder="1" applyFont="1" applyNumberFormat="1">
      <alignment horizontal="right" vertical="center"/>
    </xf>
    <xf borderId="16" fillId="0" fontId="48" numFmtId="2" xfId="0" applyAlignment="1" applyBorder="1" applyFont="1" applyNumberFormat="1">
      <alignment horizontal="center" vertical="center"/>
    </xf>
    <xf borderId="16" fillId="17" fontId="66" numFmtId="4" xfId="0" applyAlignment="1" applyBorder="1" applyFill="1" applyFont="1" applyNumberFormat="1">
      <alignment readingOrder="0" shrinkToFit="0" vertical="center" wrapText="0"/>
    </xf>
    <xf borderId="16" fillId="0" fontId="23" numFmtId="0" xfId="0" applyBorder="1" applyFont="1"/>
    <xf borderId="31" fillId="17" fontId="66" numFmtId="4" xfId="0" applyBorder="1" applyFill="1" applyFont="1" applyNumberFormat="1"/>
    <xf borderId="31" fillId="0" fontId="23" numFmtId="169" xfId="0" applyBorder="1" applyFont="1" applyNumberFormat="1"/>
    <xf borderId="31" fillId="0" fontId="23" numFmtId="2" xfId="0" applyBorder="1" applyFont="1" applyNumberFormat="1"/>
    <xf borderId="31" fillId="18" fontId="23" numFmtId="165" xfId="0" applyBorder="1" applyFill="1" applyFont="1" applyNumberFormat="1"/>
    <xf borderId="31" fillId="32" fontId="23" numFmtId="0" xfId="0" applyBorder="1" applyFill="1" applyFont="1"/>
    <xf borderId="28" fillId="0" fontId="23" numFmtId="0" xfId="0" applyBorder="1" applyFont="1"/>
    <xf borderId="35" fillId="9" fontId="66" numFmtId="4" xfId="0" applyBorder="1" applyFill="1" applyFont="1" applyNumberFormat="1"/>
    <xf borderId="35" fillId="0" fontId="23" numFmtId="169" xfId="0" applyBorder="1" applyFont="1" applyNumberFormat="1"/>
    <xf borderId="35" fillId="0" fontId="23" numFmtId="2" xfId="0" applyBorder="1" applyFont="1" applyNumberFormat="1"/>
    <xf borderId="35" fillId="18" fontId="23" numFmtId="165" xfId="0" applyBorder="1" applyFill="1" applyFont="1" applyNumberFormat="1"/>
    <xf borderId="35" fillId="32" fontId="23" numFmtId="0" xfId="0" applyBorder="1" applyFill="1" applyFont="1"/>
    <xf borderId="35" fillId="16" fontId="66" numFmtId="4" xfId="0" applyBorder="1" applyFill="1" applyFont="1" applyNumberFormat="1"/>
    <xf borderId="35" fillId="6" fontId="66" numFmtId="4" xfId="0" applyBorder="1" applyFill="1" applyFont="1" applyNumberFormat="1"/>
    <xf borderId="35" fillId="40" fontId="66" numFmtId="4" xfId="0" applyBorder="1" applyFill="1" applyFont="1" applyNumberFormat="1"/>
  </cellXfs>
  <cellStyles count="1">
    <cellStyle xfId="0" name="Normal" builtinId="0"/>
  </cellStyles>
  <dxfs count="29">
    <dxf>
      <font/>
      <fill>
        <patternFill patternType="solid">
          <fgColor rgb="FF999999"/>
          <bgColor rgb="FF999999"/>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9900"/>
          <bgColor rgb="FFFF9900"/>
        </patternFill>
      </fill>
      <border/>
    </dxf>
    <dxf>
      <font>
        <color rgb="FFFFFFFF"/>
      </font>
      <fill>
        <patternFill patternType="solid">
          <fgColor rgb="FFF1C232"/>
          <bgColor rgb="FFF1C232"/>
        </patternFill>
      </fill>
      <border/>
    </dxf>
    <dxf>
      <font>
        <color rgb="FFFFFFFF"/>
      </font>
      <fill>
        <patternFill patternType="solid">
          <fgColor rgb="FF6D9EEB"/>
          <bgColor rgb="FF6D9EEB"/>
        </patternFill>
      </fill>
      <border/>
    </dxf>
    <dxf>
      <font>
        <color rgb="FFFFFFFF"/>
      </font>
      <fill>
        <patternFill patternType="solid">
          <fgColor rgb="FFCC0000"/>
          <bgColor rgb="FFCC0000"/>
        </patternFill>
      </fill>
      <border/>
    </dxf>
    <dxf>
      <font>
        <color rgb="FFFFFFFF"/>
      </font>
      <fill>
        <patternFill patternType="solid">
          <fgColor rgb="FF38761D"/>
          <bgColor rgb="FF38761D"/>
        </patternFill>
      </fill>
      <border/>
    </dxf>
    <dxf>
      <font/>
      <fill>
        <patternFill patternType="solid">
          <fgColor rgb="FFEA9999"/>
          <bgColor rgb="FFEA9999"/>
        </patternFill>
      </fill>
      <border/>
    </dxf>
    <dxf>
      <font/>
      <fill>
        <patternFill patternType="solid">
          <fgColor rgb="FFFCE8B2"/>
          <bgColor rgb="FFFCE8B2"/>
        </patternFill>
      </fill>
      <border/>
    </dxf>
    <dxf>
      <font/>
      <fill>
        <patternFill patternType="solid">
          <fgColor rgb="FF93C47D"/>
          <bgColor rgb="FF93C47D"/>
        </patternFill>
      </fill>
      <border/>
    </dxf>
    <dxf>
      <font/>
      <fill>
        <patternFill patternType="solid">
          <fgColor rgb="FFD9EAD3"/>
          <bgColor rgb="FFD9EAD3"/>
        </patternFill>
      </fill>
      <border/>
    </dxf>
    <dxf>
      <font/>
      <fill>
        <patternFill patternType="solid">
          <fgColor rgb="FF674EA7"/>
          <bgColor rgb="FF674EA7"/>
        </patternFill>
      </fill>
      <border/>
    </dxf>
    <dxf>
      <font/>
      <fill>
        <patternFill patternType="solid">
          <fgColor rgb="FFF6B26B"/>
          <bgColor rgb="FFF6B26B"/>
        </patternFill>
      </fill>
      <border/>
    </dxf>
    <dxf>
      <font/>
      <fill>
        <patternFill patternType="solid">
          <fgColor rgb="FFF4CCCC"/>
          <bgColor rgb="FFF4CCCC"/>
        </patternFill>
      </fill>
      <border/>
    </dxf>
    <dxf>
      <font>
        <color rgb="FFFFFFFF"/>
      </font>
      <fill>
        <patternFill patternType="solid">
          <fgColor rgb="FF1155CC"/>
          <bgColor rgb="FF1155CC"/>
        </patternFill>
      </fill>
      <border/>
    </dxf>
    <dxf>
      <font>
        <color rgb="FFFFFFFF"/>
      </font>
      <fill>
        <patternFill patternType="solid">
          <fgColor rgb="FF6AA84F"/>
          <bgColor rgb="FF6AA84F"/>
        </patternFill>
      </fill>
      <border/>
    </dxf>
    <dxf>
      <font/>
      <fill>
        <patternFill patternType="solid">
          <fgColor rgb="FFE69138"/>
          <bgColor rgb="FFE69138"/>
        </patternFill>
      </fill>
      <border/>
    </dxf>
    <dxf>
      <font/>
      <fill>
        <patternFill patternType="solid">
          <fgColor rgb="FFB7B7B7"/>
          <bgColor rgb="FFB7B7B7"/>
        </patternFill>
      </fill>
      <border/>
    </dxf>
    <dxf>
      <font/>
      <fill>
        <patternFill patternType="solid">
          <fgColor rgb="FF666666"/>
          <bgColor rgb="FF666666"/>
        </patternFill>
      </fill>
      <border/>
    </dxf>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6524"/>
          <bgColor rgb="FFF46524"/>
        </patternFill>
      </fill>
      <border/>
    </dxf>
    <dxf>
      <font/>
      <fill>
        <patternFill patternType="solid">
          <fgColor rgb="FFFFE6DD"/>
          <bgColor rgb="FFFFE6DD"/>
        </patternFill>
      </fill>
      <border/>
    </dxf>
    <dxf>
      <font/>
      <fill>
        <patternFill patternType="solid">
          <fgColor rgb="FFFF0000"/>
          <bgColor rgb="FFFF0000"/>
        </patternFill>
      </fill>
      <border/>
    </dxf>
    <dxf>
      <font/>
      <fill>
        <patternFill patternType="solid">
          <fgColor rgb="FF6D9EEB"/>
          <bgColor rgb="FF6D9EEB"/>
        </patternFill>
      </fill>
      <border/>
    </dxf>
    <dxf>
      <font/>
      <fill>
        <patternFill patternType="solid">
          <fgColor rgb="FFF1C232"/>
          <bgColor rgb="FFF1C232"/>
        </patternFill>
      </fill>
      <border/>
    </dxf>
  </dxfs>
  <tableStyles count="5">
    <tableStyle count="3" pivot="0" name="General-style">
      <tableStyleElement dxfId="21" type="headerRow"/>
      <tableStyleElement dxfId="22" type="firstRowStripe"/>
      <tableStyleElement dxfId="23" type="secondRowStripe"/>
    </tableStyle>
    <tableStyle count="3" pivot="0" name="General-style 2">
      <tableStyleElement dxfId="24" type="headerRow"/>
      <tableStyleElement dxfId="22" type="firstRowStripe"/>
      <tableStyleElement dxfId="25" type="secondRowStripe"/>
    </tableStyle>
    <tableStyle count="3" pivot="0" name="General-style 3">
      <tableStyleElement dxfId="24" type="headerRow"/>
      <tableStyleElement dxfId="22" type="firstRowStripe"/>
      <tableStyleElement dxfId="25" type="secondRowStripe"/>
    </tableStyle>
    <tableStyle count="3" pivot="0" name="General-style 4">
      <tableStyleElement dxfId="21" type="headerRow"/>
      <tableStyleElement dxfId="22" type="firstRowStripe"/>
      <tableStyleElement dxfId="23" type="secondRowStripe"/>
    </tableStyle>
    <tableStyle count="3" pivot="0" name="General-style 5">
      <tableStyleElement dxfId="21" type="headerRow"/>
      <tableStyleElement dxfId="22" type="firstRowStripe"/>
      <tableStyleElement dxfId="2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60</xdr:col>
      <xdr:colOff>9525</xdr:colOff>
      <xdr:row>54</xdr:row>
      <xdr:rowOff>57150</xdr:rowOff>
    </xdr:from>
    <xdr:ext cx="228600" cy="228600"/>
    <xdr:sp>
      <xdr:nvSpPr>
        <xdr:cNvPr id="3" name="Shape 3"/>
        <xdr:cNvSpPr/>
      </xdr:nvSpPr>
      <xdr:spPr>
        <a:xfrm>
          <a:off x="5231700" y="3665700"/>
          <a:ext cx="228600" cy="228600"/>
        </a:xfrm>
        <a:prstGeom prst="ellipse">
          <a:avLst/>
        </a:prstGeom>
        <a:solidFill>
          <a:srgbClr val="FF0000"/>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400">
              <a:solidFill>
                <a:schemeClr val="lt1"/>
              </a:solidFill>
              <a:latin typeface="Arial"/>
              <a:ea typeface="Arial"/>
              <a:cs typeface="Arial"/>
              <a:sym typeface="Arial"/>
            </a:rPr>
            <a:t>！</a:t>
          </a:r>
          <a:endParaRPr sz="1400"/>
        </a:p>
      </xdr:txBody>
    </xdr:sp>
    <xdr:clientData fLocksWithSheet="0"/>
  </xdr:oneCellAnchor>
  <xdr:oneCellAnchor>
    <xdr:from>
      <xdr:col>6</xdr:col>
      <xdr:colOff>95250</xdr:colOff>
      <xdr:row>70</xdr:row>
      <xdr:rowOff>161925</xdr:rowOff>
    </xdr:from>
    <xdr:ext cx="409575" cy="161925"/>
    <xdr:sp>
      <xdr:nvSpPr>
        <xdr:cNvPr id="4" name="Shape 4"/>
        <xdr:cNvSpPr/>
      </xdr:nvSpPr>
      <xdr:spPr>
        <a:xfrm>
          <a:off x="5145975" y="3703800"/>
          <a:ext cx="400050" cy="152400"/>
        </a:xfrm>
        <a:prstGeom prst="ellipse">
          <a:avLst/>
        </a:prstGeom>
        <a:solidFill>
          <a:srgbClr val="262626"/>
        </a:solidFill>
        <a:ln>
          <a:noFill/>
        </a:ln>
      </xdr:spPr>
      <xdr:txBody>
        <a:bodyPr anchorCtr="0" anchor="ctr" bIns="0" lIns="0" spcFirstLastPara="1" rIns="0" wrap="square" tIns="0">
          <a:noAutofit/>
        </a:bodyPr>
        <a:lstStyle/>
        <a:p>
          <a:pPr indent="0" lvl="0" marL="0" rtl="0" algn="ctr">
            <a:spcBef>
              <a:spcPts val="0"/>
            </a:spcBef>
            <a:spcAft>
              <a:spcPts val="0"/>
            </a:spcAft>
            <a:buNone/>
          </a:pPr>
          <a:r>
            <a:rPr lang="en-US" sz="1000">
              <a:solidFill>
                <a:schemeClr val="lt1"/>
              </a:solidFill>
              <a:latin typeface="Arial"/>
              <a:ea typeface="Arial"/>
              <a:cs typeface="Arial"/>
              <a:sym typeface="Arial"/>
            </a:rPr>
            <a:t>？</a:t>
          </a:r>
          <a:endParaRPr sz="1400"/>
        </a:p>
      </xdr:txBody>
    </xdr:sp>
    <xdr:clientData fLocksWithSheet="0"/>
  </xdr:oneCellAnchor>
  <xdr:oneCellAnchor>
    <xdr:from>
      <xdr:col>28</xdr:col>
      <xdr:colOff>104775</xdr:colOff>
      <xdr:row>70</xdr:row>
      <xdr:rowOff>161925</xdr:rowOff>
    </xdr:from>
    <xdr:ext cx="171450" cy="161925"/>
    <xdr:sp>
      <xdr:nvSpPr>
        <xdr:cNvPr id="5" name="Shape 5"/>
        <xdr:cNvSpPr/>
      </xdr:nvSpPr>
      <xdr:spPr>
        <a:xfrm>
          <a:off x="5265038" y="3703800"/>
          <a:ext cx="161925" cy="152400"/>
        </a:xfrm>
        <a:prstGeom prst="ellipse">
          <a:avLst/>
        </a:prstGeom>
        <a:solidFill>
          <a:srgbClr val="262626"/>
        </a:solidFill>
        <a:ln>
          <a:noFill/>
        </a:ln>
      </xdr:spPr>
      <xdr:txBody>
        <a:bodyPr anchorCtr="0" anchor="ctr" bIns="0" lIns="0" spcFirstLastPara="1" rIns="0" wrap="square" tIns="0">
          <a:noAutofit/>
        </a:bodyPr>
        <a:lstStyle/>
        <a:p>
          <a:pPr indent="0" lvl="0" marL="0" rtl="0" algn="ctr">
            <a:spcBef>
              <a:spcPts val="0"/>
            </a:spcBef>
            <a:spcAft>
              <a:spcPts val="0"/>
            </a:spcAft>
            <a:buNone/>
          </a:pPr>
          <a:r>
            <a:rPr lang="en-US" sz="1000">
              <a:solidFill>
                <a:schemeClr val="lt1"/>
              </a:solidFill>
              <a:latin typeface="Arial"/>
              <a:ea typeface="Arial"/>
              <a:cs typeface="Arial"/>
              <a:sym typeface="Arial"/>
            </a:rPr>
            <a:t>？</a:t>
          </a:r>
          <a:endParaRPr sz="1400"/>
        </a:p>
      </xdr:txBody>
    </xdr:sp>
    <xdr:clientData fLocksWithSheet="0"/>
  </xdr:oneCellAnchor>
  <xdr:oneCellAnchor>
    <xdr:from>
      <xdr:col>49</xdr:col>
      <xdr:colOff>104775</xdr:colOff>
      <xdr:row>70</xdr:row>
      <xdr:rowOff>161925</xdr:rowOff>
    </xdr:from>
    <xdr:ext cx="171450" cy="161925"/>
    <xdr:sp>
      <xdr:nvSpPr>
        <xdr:cNvPr id="6" name="Shape 6"/>
        <xdr:cNvSpPr/>
      </xdr:nvSpPr>
      <xdr:spPr>
        <a:xfrm>
          <a:off x="5265038" y="3703800"/>
          <a:ext cx="161925" cy="152400"/>
        </a:xfrm>
        <a:prstGeom prst="ellipse">
          <a:avLst/>
        </a:prstGeom>
        <a:solidFill>
          <a:srgbClr val="262626"/>
        </a:solidFill>
        <a:ln>
          <a:noFill/>
        </a:ln>
      </xdr:spPr>
      <xdr:txBody>
        <a:bodyPr anchorCtr="0" anchor="ctr" bIns="0" lIns="0" spcFirstLastPara="1" rIns="0" wrap="square" tIns="0">
          <a:noAutofit/>
        </a:bodyPr>
        <a:lstStyle/>
        <a:p>
          <a:pPr indent="0" lvl="0" marL="0" rtl="0" algn="ctr">
            <a:spcBef>
              <a:spcPts val="0"/>
            </a:spcBef>
            <a:spcAft>
              <a:spcPts val="0"/>
            </a:spcAft>
            <a:buNone/>
          </a:pPr>
          <a:r>
            <a:rPr lang="en-US" sz="1000">
              <a:solidFill>
                <a:schemeClr val="lt1"/>
              </a:solidFill>
              <a:latin typeface="Arial"/>
              <a:ea typeface="Arial"/>
              <a:cs typeface="Arial"/>
              <a:sym typeface="Arial"/>
            </a:rPr>
            <a:t>？</a:t>
          </a:r>
          <a:endParaRPr sz="1400"/>
        </a:p>
      </xdr:txBody>
    </xdr:sp>
    <xdr:clientData fLocksWithSheet="0"/>
  </xdr:oneCellAnchor>
  <xdr:oneCellAnchor>
    <xdr:from>
      <xdr:col>70</xdr:col>
      <xdr:colOff>76200</xdr:colOff>
      <xdr:row>70</xdr:row>
      <xdr:rowOff>161925</xdr:rowOff>
    </xdr:from>
    <xdr:ext cx="638175" cy="161925"/>
    <xdr:sp>
      <xdr:nvSpPr>
        <xdr:cNvPr id="7" name="Shape 7"/>
        <xdr:cNvSpPr/>
      </xdr:nvSpPr>
      <xdr:spPr>
        <a:xfrm>
          <a:off x="5031675" y="3703800"/>
          <a:ext cx="628650" cy="152400"/>
        </a:xfrm>
        <a:prstGeom prst="ellipse">
          <a:avLst/>
        </a:prstGeom>
        <a:solidFill>
          <a:srgbClr val="262626"/>
        </a:solidFill>
        <a:ln>
          <a:noFill/>
        </a:ln>
      </xdr:spPr>
      <xdr:txBody>
        <a:bodyPr anchorCtr="0" anchor="ctr" bIns="0" lIns="0" spcFirstLastPara="1" rIns="0" wrap="square" tIns="0">
          <a:noAutofit/>
        </a:bodyPr>
        <a:lstStyle/>
        <a:p>
          <a:pPr indent="0" lvl="0" marL="0" rtl="0" algn="ctr">
            <a:spcBef>
              <a:spcPts val="0"/>
            </a:spcBef>
            <a:spcAft>
              <a:spcPts val="0"/>
            </a:spcAft>
            <a:buNone/>
          </a:pPr>
          <a:r>
            <a:rPr lang="en-US" sz="1000">
              <a:solidFill>
                <a:schemeClr val="lt1"/>
              </a:solidFill>
              <a:latin typeface="Arial"/>
              <a:ea typeface="Arial"/>
              <a:cs typeface="Arial"/>
              <a:sym typeface="Arial"/>
            </a:rPr>
            <a:t>？</a:t>
          </a:r>
          <a:endParaRPr sz="1400"/>
        </a:p>
      </xdr:txBody>
    </xdr:sp>
    <xdr:clientData fLocksWithSheet="0"/>
  </xdr:oneCellAnchor>
  <xdr:oneCellAnchor>
    <xdr:from>
      <xdr:col>47</xdr:col>
      <xdr:colOff>142875</xdr:colOff>
      <xdr:row>68</xdr:row>
      <xdr:rowOff>66675</xdr:rowOff>
    </xdr:from>
    <xdr:ext cx="2724150" cy="314325"/>
    <xdr:sp>
      <xdr:nvSpPr>
        <xdr:cNvPr id="8" name="Shape 8"/>
        <xdr:cNvSpPr/>
      </xdr:nvSpPr>
      <xdr:spPr>
        <a:xfrm>
          <a:off x="3988688" y="3632363"/>
          <a:ext cx="2714625" cy="295275"/>
        </a:xfrm>
        <a:prstGeom prst="wedgeRoundRectCallout">
          <a:avLst>
            <a:gd fmla="val -21938" name="adj1"/>
            <a:gd fmla="val 76785" name="adj2"/>
            <a:gd fmla="val 16667" name="adj3"/>
          </a:avLst>
        </a:prstGeom>
        <a:solidFill>
          <a:srgbClr val="262626"/>
        </a:solidFill>
        <a:ln cap="flat" cmpd="sng" w="1270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lang="en-US" sz="900">
              <a:solidFill>
                <a:schemeClr val="lt1"/>
              </a:solidFill>
              <a:latin typeface="Times New Roman"/>
              <a:ea typeface="Times New Roman"/>
              <a:cs typeface="Times New Roman"/>
              <a:sym typeface="Times New Roman"/>
            </a:rPr>
            <a:t>In bên cạnh địa chỉ</a:t>
          </a:r>
          <a:endParaRPr sz="1400"/>
        </a:p>
      </xdr:txBody>
    </xdr:sp>
    <xdr:clientData fLocksWithSheet="0"/>
  </xdr:oneCellAnchor>
  <xdr:oneCellAnchor>
    <xdr:from>
      <xdr:col>114</xdr:col>
      <xdr:colOff>104775</xdr:colOff>
      <xdr:row>112</xdr:row>
      <xdr:rowOff>161925</xdr:rowOff>
    </xdr:from>
    <xdr:ext cx="171450" cy="161925"/>
    <xdr:sp>
      <xdr:nvSpPr>
        <xdr:cNvPr id="9" name="Shape 9"/>
        <xdr:cNvSpPr/>
      </xdr:nvSpPr>
      <xdr:spPr>
        <a:xfrm>
          <a:off x="5265038" y="3703800"/>
          <a:ext cx="161925" cy="152400"/>
        </a:xfrm>
        <a:prstGeom prst="ellipse">
          <a:avLst/>
        </a:prstGeom>
        <a:solidFill>
          <a:srgbClr val="262626"/>
        </a:solidFill>
        <a:ln>
          <a:noFill/>
        </a:ln>
      </xdr:spPr>
      <xdr:txBody>
        <a:bodyPr anchorCtr="0" anchor="ctr" bIns="0" lIns="0" spcFirstLastPara="1" rIns="0" wrap="square" tIns="0">
          <a:noAutofit/>
        </a:bodyPr>
        <a:lstStyle/>
        <a:p>
          <a:pPr indent="0" lvl="0" marL="0" rtl="0" algn="ctr">
            <a:spcBef>
              <a:spcPts val="0"/>
            </a:spcBef>
            <a:spcAft>
              <a:spcPts val="0"/>
            </a:spcAft>
            <a:buNone/>
          </a:pPr>
          <a:r>
            <a:rPr lang="en-US" sz="1000">
              <a:solidFill>
                <a:schemeClr val="lt1"/>
              </a:solidFill>
              <a:latin typeface="Arial"/>
              <a:ea typeface="Arial"/>
              <a:cs typeface="Arial"/>
              <a:sym typeface="Arial"/>
            </a:rPr>
            <a:t>？</a:t>
          </a:r>
          <a:endParaRPr sz="1400"/>
        </a:p>
      </xdr:txBody>
    </xdr:sp>
    <xdr:clientData fLocksWithSheet="0"/>
  </xdr:oneCellAnchor>
  <xdr:oneCellAnchor>
    <xdr:from>
      <xdr:col>102</xdr:col>
      <xdr:colOff>57150</xdr:colOff>
      <xdr:row>49</xdr:row>
      <xdr:rowOff>47625</xdr:rowOff>
    </xdr:from>
    <xdr:ext cx="228600" cy="228600"/>
    <xdr:sp>
      <xdr:nvSpPr>
        <xdr:cNvPr id="10" name="Shape 10"/>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102</xdr:col>
      <xdr:colOff>57150</xdr:colOff>
      <xdr:row>54</xdr:row>
      <xdr:rowOff>47625</xdr:rowOff>
    </xdr:from>
    <xdr:ext cx="228600" cy="228600"/>
    <xdr:sp>
      <xdr:nvSpPr>
        <xdr:cNvPr id="11" name="Shape 11"/>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102</xdr:col>
      <xdr:colOff>57150</xdr:colOff>
      <xdr:row>59</xdr:row>
      <xdr:rowOff>57150</xdr:rowOff>
    </xdr:from>
    <xdr:ext cx="228600" cy="228600"/>
    <xdr:sp>
      <xdr:nvSpPr>
        <xdr:cNvPr id="12" name="Shape 12"/>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102</xdr:col>
      <xdr:colOff>57150</xdr:colOff>
      <xdr:row>64</xdr:row>
      <xdr:rowOff>38100</xdr:rowOff>
    </xdr:from>
    <xdr:ext cx="228600" cy="228600"/>
    <xdr:sp>
      <xdr:nvSpPr>
        <xdr:cNvPr id="13" name="Shape 13"/>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102</xdr:col>
      <xdr:colOff>66675</xdr:colOff>
      <xdr:row>69</xdr:row>
      <xdr:rowOff>57150</xdr:rowOff>
    </xdr:from>
    <xdr:ext cx="228600" cy="228600"/>
    <xdr:sp>
      <xdr:nvSpPr>
        <xdr:cNvPr id="14" name="Shape 14"/>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102</xdr:col>
      <xdr:colOff>57150</xdr:colOff>
      <xdr:row>74</xdr:row>
      <xdr:rowOff>47625</xdr:rowOff>
    </xdr:from>
    <xdr:ext cx="228600" cy="228600"/>
    <xdr:sp>
      <xdr:nvSpPr>
        <xdr:cNvPr id="15" name="Shape 15"/>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132</xdr:col>
      <xdr:colOff>66675</xdr:colOff>
      <xdr:row>30</xdr:row>
      <xdr:rowOff>47625</xdr:rowOff>
    </xdr:from>
    <xdr:ext cx="2924175" cy="4210050"/>
    <xdr:sp>
      <xdr:nvSpPr>
        <xdr:cNvPr id="16" name="Shape 16"/>
        <xdr:cNvSpPr/>
      </xdr:nvSpPr>
      <xdr:spPr>
        <a:xfrm>
          <a:off x="3888675" y="1684500"/>
          <a:ext cx="2914650" cy="4191000"/>
        </a:xfrm>
        <a:prstGeom prst="rect">
          <a:avLst/>
        </a:prstGeom>
        <a:noFill/>
        <a:ln cap="flat" cmpd="sng" w="15875">
          <a:solidFill>
            <a:srgbClr val="FF0000"/>
          </a:solidFill>
          <a:prstDash val="dash"/>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134</xdr:col>
      <xdr:colOff>57150</xdr:colOff>
      <xdr:row>27</xdr:row>
      <xdr:rowOff>57150</xdr:rowOff>
    </xdr:from>
    <xdr:ext cx="247650" cy="238125"/>
    <xdr:sp>
      <xdr:nvSpPr>
        <xdr:cNvPr id="17" name="Shape 17"/>
        <xdr:cNvSpPr/>
      </xdr:nvSpPr>
      <xdr:spPr>
        <a:xfrm>
          <a:off x="5231700" y="3670463"/>
          <a:ext cx="228600" cy="219075"/>
        </a:xfrm>
        <a:prstGeom prst="ellipse">
          <a:avLst/>
        </a:prstGeom>
        <a:solidFill>
          <a:schemeClr val="lt1"/>
        </a:solidFill>
        <a:ln cap="flat" cmpd="sng" w="19050">
          <a:solidFill>
            <a:srgbClr val="FF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lang="en-US" sz="1400">
              <a:solidFill>
                <a:srgbClr val="FF0000"/>
              </a:solidFill>
              <a:latin typeface="Arial"/>
              <a:ea typeface="Arial"/>
              <a:cs typeface="Arial"/>
              <a:sym typeface="Arial"/>
            </a:rPr>
            <a:t>？</a:t>
          </a:r>
          <a:endParaRPr sz="1400"/>
        </a:p>
      </xdr:txBody>
    </xdr:sp>
    <xdr:clientData fLocksWithSheet="0"/>
  </xdr:oneCellAnchor>
  <xdr:oneCellAnchor>
    <xdr:from>
      <xdr:col>134</xdr:col>
      <xdr:colOff>57150</xdr:colOff>
      <xdr:row>66</xdr:row>
      <xdr:rowOff>57150</xdr:rowOff>
    </xdr:from>
    <xdr:ext cx="247650" cy="238125"/>
    <xdr:sp>
      <xdr:nvSpPr>
        <xdr:cNvPr id="18" name="Shape 18"/>
        <xdr:cNvSpPr/>
      </xdr:nvSpPr>
      <xdr:spPr>
        <a:xfrm>
          <a:off x="5231700" y="3670463"/>
          <a:ext cx="228600" cy="219075"/>
        </a:xfrm>
        <a:prstGeom prst="ellipse">
          <a:avLst/>
        </a:prstGeom>
        <a:solidFill>
          <a:schemeClr val="lt1"/>
        </a:solidFill>
        <a:ln cap="flat" cmpd="sng" w="19050">
          <a:solidFill>
            <a:srgbClr val="FF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lang="en-US" sz="1400">
              <a:solidFill>
                <a:srgbClr val="FF0000"/>
              </a:solidFill>
              <a:latin typeface="Arial"/>
              <a:ea typeface="Arial"/>
              <a:cs typeface="Arial"/>
              <a:sym typeface="Arial"/>
            </a:rPr>
            <a:t>？</a:t>
          </a:r>
          <a:endParaRPr sz="1400"/>
        </a:p>
      </xdr:txBody>
    </xdr:sp>
    <xdr:clientData fLocksWithSheet="0"/>
  </xdr:oneCellAnchor>
  <xdr:oneCellAnchor>
    <xdr:from>
      <xdr:col>156</xdr:col>
      <xdr:colOff>57150</xdr:colOff>
      <xdr:row>66</xdr:row>
      <xdr:rowOff>57150</xdr:rowOff>
    </xdr:from>
    <xdr:ext cx="247650" cy="238125"/>
    <xdr:sp>
      <xdr:nvSpPr>
        <xdr:cNvPr id="19" name="Shape 19"/>
        <xdr:cNvSpPr/>
      </xdr:nvSpPr>
      <xdr:spPr>
        <a:xfrm>
          <a:off x="5231700" y="3670463"/>
          <a:ext cx="228600" cy="219075"/>
        </a:xfrm>
        <a:prstGeom prst="ellipse">
          <a:avLst/>
        </a:prstGeom>
        <a:solidFill>
          <a:schemeClr val="lt1"/>
        </a:solidFill>
        <a:ln cap="flat" cmpd="sng" w="19050">
          <a:solidFill>
            <a:srgbClr val="FF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lang="en-US" sz="1400">
              <a:solidFill>
                <a:srgbClr val="FF0000"/>
              </a:solidFill>
              <a:latin typeface="Arial"/>
              <a:ea typeface="Arial"/>
              <a:cs typeface="Arial"/>
              <a:sym typeface="Arial"/>
            </a:rPr>
            <a:t>？</a:t>
          </a:r>
          <a:endParaRPr sz="1400"/>
        </a:p>
      </xdr:txBody>
    </xdr:sp>
    <xdr:clientData fLocksWithSheet="0"/>
  </xdr:oneCellAnchor>
  <xdr:oneCellAnchor>
    <xdr:from>
      <xdr:col>200</xdr:col>
      <xdr:colOff>57150</xdr:colOff>
      <xdr:row>66</xdr:row>
      <xdr:rowOff>57150</xdr:rowOff>
    </xdr:from>
    <xdr:ext cx="247650" cy="238125"/>
    <xdr:sp>
      <xdr:nvSpPr>
        <xdr:cNvPr id="20" name="Shape 20"/>
        <xdr:cNvSpPr/>
      </xdr:nvSpPr>
      <xdr:spPr>
        <a:xfrm>
          <a:off x="5231700" y="3670463"/>
          <a:ext cx="228600" cy="219075"/>
        </a:xfrm>
        <a:prstGeom prst="ellipse">
          <a:avLst/>
        </a:prstGeom>
        <a:solidFill>
          <a:schemeClr val="lt1"/>
        </a:solidFill>
        <a:ln cap="flat" cmpd="sng" w="19050">
          <a:solidFill>
            <a:srgbClr val="FF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lang="en-US" sz="1400">
              <a:solidFill>
                <a:srgbClr val="FF0000"/>
              </a:solidFill>
              <a:latin typeface="Arial"/>
              <a:ea typeface="Arial"/>
              <a:cs typeface="Arial"/>
              <a:sym typeface="Arial"/>
            </a:rPr>
            <a:t>？</a:t>
          </a:r>
          <a:endParaRPr sz="1400"/>
        </a:p>
      </xdr:txBody>
    </xdr:sp>
    <xdr:clientData fLocksWithSheet="0"/>
  </xdr:oneCellAnchor>
  <xdr:oneCellAnchor>
    <xdr:from>
      <xdr:col>222</xdr:col>
      <xdr:colOff>57150</xdr:colOff>
      <xdr:row>66</xdr:row>
      <xdr:rowOff>57150</xdr:rowOff>
    </xdr:from>
    <xdr:ext cx="342900" cy="238125"/>
    <xdr:sp>
      <xdr:nvSpPr>
        <xdr:cNvPr id="21" name="Shape 21"/>
        <xdr:cNvSpPr/>
      </xdr:nvSpPr>
      <xdr:spPr>
        <a:xfrm>
          <a:off x="5184075" y="3670463"/>
          <a:ext cx="323850" cy="219075"/>
        </a:xfrm>
        <a:prstGeom prst="ellipse">
          <a:avLst/>
        </a:prstGeom>
        <a:solidFill>
          <a:schemeClr val="lt1"/>
        </a:solidFill>
        <a:ln cap="flat" cmpd="sng" w="19050">
          <a:solidFill>
            <a:srgbClr val="FF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lang="en-US" sz="1400">
              <a:solidFill>
                <a:srgbClr val="FF0000"/>
              </a:solidFill>
              <a:latin typeface="Arial"/>
              <a:ea typeface="Arial"/>
              <a:cs typeface="Arial"/>
              <a:sym typeface="Arial"/>
            </a:rPr>
            <a:t>？</a:t>
          </a:r>
          <a:endParaRPr sz="1400"/>
        </a:p>
      </xdr:txBody>
    </xdr:sp>
    <xdr:clientData fLocksWithSheet="0"/>
  </xdr:oneCellAnchor>
  <xdr:oneCellAnchor>
    <xdr:from>
      <xdr:col>205</xdr:col>
      <xdr:colOff>28575</xdr:colOff>
      <xdr:row>76</xdr:row>
      <xdr:rowOff>76200</xdr:rowOff>
    </xdr:from>
    <xdr:ext cx="304800" cy="38100"/>
    <xdr:grpSp>
      <xdr:nvGrpSpPr>
        <xdr:cNvPr id="2" name="Shape 2"/>
        <xdr:cNvGrpSpPr/>
      </xdr:nvGrpSpPr>
      <xdr:grpSpPr>
        <a:xfrm>
          <a:off x="5193600" y="3780000"/>
          <a:ext cx="304800" cy="0"/>
          <a:chOff x="5193600" y="3780000"/>
          <a:chExt cx="304800" cy="0"/>
        </a:xfrm>
      </xdr:grpSpPr>
      <xdr:cxnSp>
        <xdr:nvCxnSpPr>
          <xdr:cNvPr id="22" name="Shape 22"/>
          <xdr:cNvCxnSpPr/>
        </xdr:nvCxnSpPr>
        <xdr:spPr>
          <a:xfrm>
            <a:off x="5193600" y="3780000"/>
            <a:ext cx="304800"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205</xdr:col>
      <xdr:colOff>28575</xdr:colOff>
      <xdr:row>77</xdr:row>
      <xdr:rowOff>-9525</xdr:rowOff>
    </xdr:from>
    <xdr:ext cx="304800" cy="38100"/>
    <xdr:grpSp>
      <xdr:nvGrpSpPr>
        <xdr:cNvPr id="2" name="Shape 2"/>
        <xdr:cNvGrpSpPr/>
      </xdr:nvGrpSpPr>
      <xdr:grpSpPr>
        <a:xfrm>
          <a:off x="5193600" y="3780000"/>
          <a:ext cx="304800" cy="0"/>
          <a:chOff x="5193600" y="3780000"/>
          <a:chExt cx="304800" cy="0"/>
        </a:xfrm>
      </xdr:grpSpPr>
      <xdr:cxnSp>
        <xdr:nvCxnSpPr>
          <xdr:cNvPr id="23" name="Shape 23"/>
          <xdr:cNvCxnSpPr/>
        </xdr:nvCxnSpPr>
        <xdr:spPr>
          <a:xfrm>
            <a:off x="5193600" y="3780000"/>
            <a:ext cx="304800"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205</xdr:col>
      <xdr:colOff>19050</xdr:colOff>
      <xdr:row>77</xdr:row>
      <xdr:rowOff>76200</xdr:rowOff>
    </xdr:from>
    <xdr:ext cx="304800" cy="38100"/>
    <xdr:grpSp>
      <xdr:nvGrpSpPr>
        <xdr:cNvPr id="2" name="Shape 2"/>
        <xdr:cNvGrpSpPr/>
      </xdr:nvGrpSpPr>
      <xdr:grpSpPr>
        <a:xfrm>
          <a:off x="5193600" y="3780000"/>
          <a:ext cx="304800" cy="0"/>
          <a:chOff x="5193600" y="3780000"/>
          <a:chExt cx="304800" cy="0"/>
        </a:xfrm>
      </xdr:grpSpPr>
      <xdr:cxnSp>
        <xdr:nvCxnSpPr>
          <xdr:cNvPr id="22" name="Shape 22"/>
          <xdr:cNvCxnSpPr/>
        </xdr:nvCxnSpPr>
        <xdr:spPr>
          <a:xfrm>
            <a:off x="5193600" y="3780000"/>
            <a:ext cx="304800"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211</xdr:col>
      <xdr:colOff>28575</xdr:colOff>
      <xdr:row>76</xdr:row>
      <xdr:rowOff>76200</xdr:rowOff>
    </xdr:from>
    <xdr:ext cx="304800" cy="38100"/>
    <xdr:grpSp>
      <xdr:nvGrpSpPr>
        <xdr:cNvPr id="2" name="Shape 2"/>
        <xdr:cNvGrpSpPr/>
      </xdr:nvGrpSpPr>
      <xdr:grpSpPr>
        <a:xfrm>
          <a:off x="5193600" y="3780000"/>
          <a:ext cx="304800" cy="0"/>
          <a:chOff x="5193600" y="3780000"/>
          <a:chExt cx="304800" cy="0"/>
        </a:xfrm>
      </xdr:grpSpPr>
      <xdr:cxnSp>
        <xdr:nvCxnSpPr>
          <xdr:cNvPr id="24" name="Shape 24"/>
          <xdr:cNvCxnSpPr/>
        </xdr:nvCxnSpPr>
        <xdr:spPr>
          <a:xfrm>
            <a:off x="5193600" y="3780000"/>
            <a:ext cx="304800" cy="0"/>
          </a:xfrm>
          <a:prstGeom prst="straightConnector1">
            <a:avLst/>
          </a:prstGeom>
          <a:noFill/>
          <a:ln cap="flat" cmpd="sng" w="19050">
            <a:solidFill>
              <a:schemeClr val="lt1"/>
            </a:solidFill>
            <a:prstDash val="solid"/>
            <a:miter lim="800000"/>
            <a:headEnd len="sm" w="sm" type="none"/>
            <a:tailEnd len="sm" w="sm" type="none"/>
          </a:ln>
        </xdr:spPr>
      </xdr:cxnSp>
    </xdr:grpSp>
    <xdr:clientData fLocksWithSheet="0"/>
  </xdr:oneCellAnchor>
  <xdr:oneCellAnchor>
    <xdr:from>
      <xdr:col>211</xdr:col>
      <xdr:colOff>152400</xdr:colOff>
      <xdr:row>77</xdr:row>
      <xdr:rowOff>-9525</xdr:rowOff>
    </xdr:from>
    <xdr:ext cx="180975" cy="38100"/>
    <xdr:grpSp>
      <xdr:nvGrpSpPr>
        <xdr:cNvPr id="2" name="Shape 2"/>
        <xdr:cNvGrpSpPr/>
      </xdr:nvGrpSpPr>
      <xdr:grpSpPr>
        <a:xfrm>
          <a:off x="5255513" y="3780000"/>
          <a:ext cx="180975" cy="0"/>
          <a:chOff x="5255513" y="3780000"/>
          <a:chExt cx="180975" cy="0"/>
        </a:xfrm>
      </xdr:grpSpPr>
      <xdr:cxnSp>
        <xdr:nvCxnSpPr>
          <xdr:cNvPr id="25" name="Shape 25"/>
          <xdr:cNvCxnSpPr/>
        </xdr:nvCxnSpPr>
        <xdr:spPr>
          <a:xfrm>
            <a:off x="5255513" y="3780000"/>
            <a:ext cx="180975" cy="0"/>
          </a:xfrm>
          <a:prstGeom prst="straightConnector1">
            <a:avLst/>
          </a:prstGeom>
          <a:noFill/>
          <a:ln cap="flat" cmpd="sng" w="19050">
            <a:solidFill>
              <a:schemeClr val="lt1"/>
            </a:solidFill>
            <a:prstDash val="solid"/>
            <a:miter lim="800000"/>
            <a:headEnd len="sm" w="sm" type="none"/>
            <a:tailEnd len="sm" w="sm" type="none"/>
          </a:ln>
        </xdr:spPr>
      </xdr:cxnSp>
    </xdr:grpSp>
    <xdr:clientData fLocksWithSheet="0"/>
  </xdr:oneCellAnchor>
  <xdr:oneCellAnchor>
    <xdr:from>
      <xdr:col>211</xdr:col>
      <xdr:colOff>142875</xdr:colOff>
      <xdr:row>77</xdr:row>
      <xdr:rowOff>76200</xdr:rowOff>
    </xdr:from>
    <xdr:ext cx="190500" cy="38100"/>
    <xdr:grpSp>
      <xdr:nvGrpSpPr>
        <xdr:cNvPr id="2" name="Shape 2"/>
        <xdr:cNvGrpSpPr/>
      </xdr:nvGrpSpPr>
      <xdr:grpSpPr>
        <a:xfrm>
          <a:off x="5250750" y="3780000"/>
          <a:ext cx="190500" cy="0"/>
          <a:chOff x="5250750" y="3780000"/>
          <a:chExt cx="190500" cy="0"/>
        </a:xfrm>
      </xdr:grpSpPr>
      <xdr:cxnSp>
        <xdr:nvCxnSpPr>
          <xdr:cNvPr id="26" name="Shape 26"/>
          <xdr:cNvCxnSpPr/>
        </xdr:nvCxnSpPr>
        <xdr:spPr>
          <a:xfrm>
            <a:off x="5250750" y="3780000"/>
            <a:ext cx="190500" cy="0"/>
          </a:xfrm>
          <a:prstGeom prst="straightConnector1">
            <a:avLst/>
          </a:prstGeom>
          <a:noFill/>
          <a:ln cap="flat" cmpd="sng" w="19050">
            <a:solidFill>
              <a:schemeClr val="lt1"/>
            </a:solidFill>
            <a:prstDash val="solid"/>
            <a:miter lim="800000"/>
            <a:headEnd len="sm" w="sm" type="none"/>
            <a:tailEnd len="sm" w="sm" type="none"/>
          </a:ln>
        </xdr:spPr>
      </xdr:cxnSp>
    </xdr:grpSp>
    <xdr:clientData fLocksWithSheet="0"/>
  </xdr:oneCellAnchor>
  <xdr:oneCellAnchor>
    <xdr:from>
      <xdr:col>199</xdr:col>
      <xdr:colOff>28575</xdr:colOff>
      <xdr:row>76</xdr:row>
      <xdr:rowOff>76200</xdr:rowOff>
    </xdr:from>
    <xdr:ext cx="304800" cy="38100"/>
    <xdr:grpSp>
      <xdr:nvGrpSpPr>
        <xdr:cNvPr id="2" name="Shape 2"/>
        <xdr:cNvGrpSpPr/>
      </xdr:nvGrpSpPr>
      <xdr:grpSpPr>
        <a:xfrm>
          <a:off x="5193600" y="3780000"/>
          <a:ext cx="304800" cy="0"/>
          <a:chOff x="5193600" y="3780000"/>
          <a:chExt cx="304800" cy="0"/>
        </a:xfrm>
      </xdr:grpSpPr>
      <xdr:cxnSp>
        <xdr:nvCxnSpPr>
          <xdr:cNvPr id="22" name="Shape 22"/>
          <xdr:cNvCxnSpPr/>
        </xdr:nvCxnSpPr>
        <xdr:spPr>
          <a:xfrm>
            <a:off x="5193600" y="3780000"/>
            <a:ext cx="304800"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199</xdr:col>
      <xdr:colOff>28575</xdr:colOff>
      <xdr:row>77</xdr:row>
      <xdr:rowOff>-9525</xdr:rowOff>
    </xdr:from>
    <xdr:ext cx="190500" cy="38100"/>
    <xdr:grpSp>
      <xdr:nvGrpSpPr>
        <xdr:cNvPr id="2" name="Shape 2"/>
        <xdr:cNvGrpSpPr/>
      </xdr:nvGrpSpPr>
      <xdr:grpSpPr>
        <a:xfrm>
          <a:off x="5250750" y="3780000"/>
          <a:ext cx="190500" cy="0"/>
          <a:chOff x="5250750" y="3780000"/>
          <a:chExt cx="190500" cy="0"/>
        </a:xfrm>
      </xdr:grpSpPr>
      <xdr:cxnSp>
        <xdr:nvCxnSpPr>
          <xdr:cNvPr id="27" name="Shape 27"/>
          <xdr:cNvCxnSpPr/>
        </xdr:nvCxnSpPr>
        <xdr:spPr>
          <a:xfrm>
            <a:off x="5250750" y="3780000"/>
            <a:ext cx="190500"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199</xdr:col>
      <xdr:colOff>19050</xdr:colOff>
      <xdr:row>77</xdr:row>
      <xdr:rowOff>76200</xdr:rowOff>
    </xdr:from>
    <xdr:ext cx="190500" cy="38100"/>
    <xdr:grpSp>
      <xdr:nvGrpSpPr>
        <xdr:cNvPr id="2" name="Shape 2"/>
        <xdr:cNvGrpSpPr/>
      </xdr:nvGrpSpPr>
      <xdr:grpSpPr>
        <a:xfrm>
          <a:off x="5250750" y="3780000"/>
          <a:ext cx="190500" cy="0"/>
          <a:chOff x="5250750" y="3780000"/>
          <a:chExt cx="190500" cy="0"/>
        </a:xfrm>
      </xdr:grpSpPr>
      <xdr:cxnSp>
        <xdr:nvCxnSpPr>
          <xdr:cNvPr id="28" name="Shape 28"/>
          <xdr:cNvCxnSpPr/>
        </xdr:nvCxnSpPr>
        <xdr:spPr>
          <a:xfrm>
            <a:off x="5250750" y="3780000"/>
            <a:ext cx="190500" cy="0"/>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oneCellAnchor>
    <xdr:from>
      <xdr:col>178</xdr:col>
      <xdr:colOff>57150</xdr:colOff>
      <xdr:row>66</xdr:row>
      <xdr:rowOff>57150</xdr:rowOff>
    </xdr:from>
    <xdr:ext cx="333375" cy="238125"/>
    <xdr:sp>
      <xdr:nvSpPr>
        <xdr:cNvPr id="29" name="Shape 29"/>
        <xdr:cNvSpPr/>
      </xdr:nvSpPr>
      <xdr:spPr>
        <a:xfrm>
          <a:off x="5188838" y="3670463"/>
          <a:ext cx="314325" cy="219075"/>
        </a:xfrm>
        <a:prstGeom prst="ellipse">
          <a:avLst/>
        </a:prstGeom>
        <a:solidFill>
          <a:schemeClr val="lt1"/>
        </a:solidFill>
        <a:ln cap="flat" cmpd="sng" w="19050">
          <a:solidFill>
            <a:srgbClr val="FF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lang="en-US" sz="1400">
              <a:solidFill>
                <a:srgbClr val="FF0000"/>
              </a:solidFill>
              <a:latin typeface="Arial"/>
              <a:ea typeface="Arial"/>
              <a:cs typeface="Arial"/>
              <a:sym typeface="Arial"/>
            </a:rPr>
            <a:t>？</a:t>
          </a:r>
          <a:endParaRPr sz="1400"/>
        </a:p>
      </xdr:txBody>
    </xdr:sp>
    <xdr:clientData fLocksWithSheet="0"/>
  </xdr:oneCellAnchor>
  <xdr:oneCellAnchor>
    <xdr:from>
      <xdr:col>151</xdr:col>
      <xdr:colOff>0</xdr:colOff>
      <xdr:row>51</xdr:row>
      <xdr:rowOff>0</xdr:rowOff>
    </xdr:from>
    <xdr:ext cx="4152900" cy="1171575"/>
    <xdr:sp>
      <xdr:nvSpPr>
        <xdr:cNvPr id="30" name="Shape 30"/>
        <xdr:cNvSpPr/>
      </xdr:nvSpPr>
      <xdr:spPr>
        <a:xfrm>
          <a:off x="3274313" y="3194213"/>
          <a:ext cx="4143375" cy="1171575"/>
        </a:xfrm>
        <a:prstGeom prst="wedgeRectCallout">
          <a:avLst>
            <a:gd fmla="val -67064" name="adj1"/>
            <a:gd fmla="val 13225" name="adj2"/>
          </a:avLst>
        </a:prstGeom>
        <a:gradFill>
          <a:gsLst>
            <a:gs pos="0">
              <a:srgbClr val="D1D1D1"/>
            </a:gs>
            <a:gs pos="50000">
              <a:srgbClr val="C7C7C7"/>
            </a:gs>
            <a:gs pos="100000">
              <a:srgbClr val="C0C0C0"/>
            </a:gs>
          </a:gsLst>
          <a:lin ang="5400000" scaled="0"/>
        </a:gradFill>
        <a:ln cap="flat" cmpd="sng" w="9525">
          <a:solidFill>
            <a:schemeClr val="accent3"/>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7-10.Phóng to, thu nhỏ preview (100%, 125%, 150%, 200%)</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7-11.Undo (tối đa có thể back lại 10 lần)</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7-12.Thay đổi design</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7-13.Thêm khung nhập free text (tối đa 3 khung)</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7-14.Tính năng stamp (nếu không tạo được stamp kiểu hiện đại thì không cần)</a:t>
          </a:r>
          <a:endParaRPr sz="1200">
            <a:latin typeface="Times New Roman"/>
            <a:ea typeface="Times New Roman"/>
            <a:cs typeface="Times New Roman"/>
            <a:sym typeface="Times New Roman"/>
          </a:endParaRPr>
        </a:p>
        <a:p>
          <a:pPr indent="0" lvl="0" marL="0" rtl="0" algn="l">
            <a:spcBef>
              <a:spcPts val="0"/>
            </a:spcBef>
            <a:spcAft>
              <a:spcPts val="0"/>
            </a:spcAft>
            <a:buNone/>
          </a:pPr>
          <a:r>
            <a:t/>
          </a:r>
          <a:endParaRPr sz="1200">
            <a:latin typeface="Times New Roman"/>
            <a:ea typeface="Times New Roman"/>
            <a:cs typeface="Times New Roman"/>
            <a:sym typeface="Times New Roman"/>
          </a:endParaRPr>
        </a:p>
      </xdr:txBody>
    </xdr:sp>
    <xdr:clientData fLocksWithSheet="0"/>
  </xdr:oneCellAnchor>
  <xdr:oneCellAnchor>
    <xdr:from>
      <xdr:col>151</xdr:col>
      <xdr:colOff>0</xdr:colOff>
      <xdr:row>32</xdr:row>
      <xdr:rowOff>47625</xdr:rowOff>
    </xdr:from>
    <xdr:ext cx="4162425" cy="409575"/>
    <xdr:sp>
      <xdr:nvSpPr>
        <xdr:cNvPr id="31" name="Shape 31"/>
        <xdr:cNvSpPr/>
      </xdr:nvSpPr>
      <xdr:spPr>
        <a:xfrm>
          <a:off x="3264788" y="3575213"/>
          <a:ext cx="4162425" cy="409575"/>
        </a:xfrm>
        <a:prstGeom prst="wedgeRectCallout">
          <a:avLst>
            <a:gd fmla="val -67982" name="adj1"/>
            <a:gd fmla="val 56827" name="adj2"/>
          </a:avLst>
        </a:prstGeom>
        <a:gradFill>
          <a:gsLst>
            <a:gs pos="0">
              <a:srgbClr val="D1D1D1"/>
            </a:gs>
            <a:gs pos="50000">
              <a:srgbClr val="C7C7C7"/>
            </a:gs>
            <a:gs pos="100000">
              <a:srgbClr val="C0C0C0"/>
            </a:gs>
          </a:gsLst>
          <a:lin ang="5400000" scaled="0"/>
        </a:gradFill>
        <a:ln cap="flat" cmpd="sng" w="9525">
          <a:solidFill>
            <a:schemeClr val="accent3"/>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7-6.Bố trí ảnh　→　Chụp ảnh　or  Chọn từ Camera Roll</a:t>
          </a:r>
          <a:endParaRPr sz="1200">
            <a:latin typeface="Times New Roman"/>
            <a:ea typeface="Times New Roman"/>
            <a:cs typeface="Times New Roman"/>
            <a:sym typeface="Times New Roman"/>
          </a:endParaRPr>
        </a:p>
        <a:p>
          <a:pPr indent="0" lvl="0" marL="0" rtl="0" algn="l">
            <a:spcBef>
              <a:spcPts val="0"/>
            </a:spcBef>
            <a:spcAft>
              <a:spcPts val="0"/>
            </a:spcAft>
            <a:buNone/>
          </a:pPr>
          <a:r>
            <a:t/>
          </a:r>
          <a:endParaRPr sz="1200">
            <a:latin typeface="Times New Roman"/>
            <a:ea typeface="Times New Roman"/>
            <a:cs typeface="Times New Roman"/>
            <a:sym typeface="Times New Roman"/>
          </a:endParaRPr>
        </a:p>
      </xdr:txBody>
    </xdr:sp>
    <xdr:clientData fLocksWithSheet="0"/>
  </xdr:oneCellAnchor>
  <xdr:oneCellAnchor>
    <xdr:from>
      <xdr:col>151</xdr:col>
      <xdr:colOff>0</xdr:colOff>
      <xdr:row>35</xdr:row>
      <xdr:rowOff>161925</xdr:rowOff>
    </xdr:from>
    <xdr:ext cx="4152900" cy="2628900"/>
    <xdr:sp>
      <xdr:nvSpPr>
        <xdr:cNvPr id="32" name="Shape 32"/>
        <xdr:cNvSpPr/>
      </xdr:nvSpPr>
      <xdr:spPr>
        <a:xfrm>
          <a:off x="3274313" y="2470313"/>
          <a:ext cx="4143375" cy="2619375"/>
        </a:xfrm>
        <a:prstGeom prst="wedgeRectCallout">
          <a:avLst>
            <a:gd fmla="val -86330" name="adj1"/>
            <a:gd fmla="val 34184" name="adj2"/>
          </a:avLst>
        </a:prstGeom>
        <a:gradFill>
          <a:gsLst>
            <a:gs pos="0">
              <a:srgbClr val="D1D1D1"/>
            </a:gs>
            <a:gs pos="50000">
              <a:srgbClr val="C7C7C7"/>
            </a:gs>
            <a:gs pos="100000">
              <a:srgbClr val="C0C0C0"/>
            </a:gs>
          </a:gsLst>
          <a:lin ang="5400000" scaled="0"/>
        </a:gradFill>
        <a:ln cap="flat" cmpd="sng" w="9525">
          <a:solidFill>
            <a:schemeClr val="accent3"/>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【Chọn】</a:t>
          </a:r>
          <a:endParaRPr sz="1400"/>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7-1.Thay đổi màu text</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7-2.Thay đổi cỡ chữ</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7-3.Thay đổi font</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7-4.Thay đổi căn lề</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7-5.Thay đổi text mẫu</a:t>
          </a:r>
          <a:endParaRPr sz="1200">
            <a:latin typeface="Times New Roman"/>
            <a:ea typeface="Times New Roman"/>
            <a:cs typeface="Times New Roman"/>
            <a:sym typeface="Times New Roman"/>
          </a:endParaRPr>
        </a:p>
        <a:p>
          <a:pPr indent="0" lvl="0" marL="0" rtl="0" algn="l">
            <a:spcBef>
              <a:spcPts val="0"/>
            </a:spcBef>
            <a:spcAft>
              <a:spcPts val="0"/>
            </a:spcAft>
            <a:buNone/>
          </a:pPr>
          <a:r>
            <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【Di chuyển】</a:t>
          </a:r>
          <a:endParaRPr sz="1400"/>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7-7.Phóng to, thu nhỏ (vùng text, ảnh)</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7-8.Di chuyển (vùng text, ảnh)</a:t>
          </a:r>
          <a:endParaRPr sz="1200">
            <a:latin typeface="Times New Roman"/>
            <a:ea typeface="Times New Roman"/>
            <a:cs typeface="Times New Roman"/>
            <a:sym typeface="Times New Roman"/>
          </a:endParaRPr>
        </a:p>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7-9.Xoay (vùng text, ảnh)</a:t>
          </a:r>
          <a:endParaRPr sz="1200">
            <a:latin typeface="Times New Roman"/>
            <a:ea typeface="Times New Roman"/>
            <a:cs typeface="Times New Roman"/>
            <a:sym typeface="Times New Roman"/>
          </a:endParaRPr>
        </a:p>
        <a:p>
          <a:pPr indent="0" lvl="0" marL="0" rtl="0" algn="l">
            <a:spcBef>
              <a:spcPts val="0"/>
            </a:spcBef>
            <a:spcAft>
              <a:spcPts val="0"/>
            </a:spcAft>
            <a:buNone/>
          </a:pPr>
          <a:r>
            <a:t/>
          </a:r>
          <a:endParaRPr sz="1200">
            <a:latin typeface="Times New Roman"/>
            <a:ea typeface="Times New Roman"/>
            <a:cs typeface="Times New Roman"/>
            <a:sym typeface="Times New Roman"/>
          </a:endParaRPr>
        </a:p>
        <a:p>
          <a:pPr indent="0" lvl="0" marL="0" rtl="0" algn="l">
            <a:spcBef>
              <a:spcPts val="0"/>
            </a:spcBef>
            <a:spcAft>
              <a:spcPts val="0"/>
            </a:spcAft>
            <a:buNone/>
          </a:pPr>
          <a:r>
            <a:t/>
          </a:r>
          <a:endParaRPr sz="1200">
            <a:latin typeface="Times New Roman"/>
            <a:ea typeface="Times New Roman"/>
            <a:cs typeface="Times New Roman"/>
            <a:sym typeface="Times New Roman"/>
          </a:endParaRPr>
        </a:p>
      </xdr:txBody>
    </xdr:sp>
    <xdr:clientData fLocksWithSheet="0"/>
  </xdr:oneCellAnchor>
  <xdr:oneCellAnchor>
    <xdr:from>
      <xdr:col>183</xdr:col>
      <xdr:colOff>152400</xdr:colOff>
      <xdr:row>72</xdr:row>
      <xdr:rowOff>9525</xdr:rowOff>
    </xdr:from>
    <xdr:ext cx="1866900" cy="342900"/>
    <xdr:sp>
      <xdr:nvSpPr>
        <xdr:cNvPr id="33" name="Shape 33"/>
        <xdr:cNvSpPr/>
      </xdr:nvSpPr>
      <xdr:spPr>
        <a:xfrm>
          <a:off x="4417313" y="3608550"/>
          <a:ext cx="1857375" cy="342900"/>
        </a:xfrm>
        <a:prstGeom prst="ellipse">
          <a:avLst/>
        </a:prstGeom>
        <a:solidFill>
          <a:srgbClr val="BFBFBF"/>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3F3F3F"/>
              </a:solidFill>
              <a:latin typeface="Times New Roman"/>
              <a:ea typeface="Times New Roman"/>
              <a:cs typeface="Times New Roman"/>
              <a:sym typeface="Times New Roman"/>
            </a:rPr>
            <a:t>Cho phép nhập free text</a:t>
          </a:r>
          <a:endParaRPr sz="1400"/>
        </a:p>
      </xdr:txBody>
    </xdr:sp>
    <xdr:clientData fLocksWithSheet="0"/>
  </xdr:oneCellAnchor>
  <xdr:oneCellAnchor>
    <xdr:from>
      <xdr:col>160</xdr:col>
      <xdr:colOff>38100</xdr:colOff>
      <xdr:row>71</xdr:row>
      <xdr:rowOff>123825</xdr:rowOff>
    </xdr:from>
    <xdr:ext cx="2047875" cy="342900"/>
    <xdr:sp>
      <xdr:nvSpPr>
        <xdr:cNvPr id="34" name="Shape 34"/>
        <xdr:cNvSpPr/>
      </xdr:nvSpPr>
      <xdr:spPr>
        <a:xfrm>
          <a:off x="4326825" y="3608550"/>
          <a:ext cx="2038350" cy="342900"/>
        </a:xfrm>
        <a:prstGeom prst="ellipse">
          <a:avLst/>
        </a:prstGeom>
        <a:solidFill>
          <a:srgbClr val="BFBFBF"/>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3F3F3F"/>
              </a:solidFill>
              <a:latin typeface="Times New Roman"/>
              <a:ea typeface="Times New Roman"/>
              <a:cs typeface="Times New Roman"/>
              <a:sym typeface="Times New Roman"/>
            </a:rPr>
            <a:t>Cho phép nhập free text</a:t>
          </a:r>
          <a:endParaRPr sz="1400"/>
        </a:p>
      </xdr:txBody>
    </xdr:sp>
    <xdr:clientData fLocksWithSheet="0"/>
  </xdr:oneCellAnchor>
  <xdr:oneCellAnchor>
    <xdr:from>
      <xdr:col>138</xdr:col>
      <xdr:colOff>0</xdr:colOff>
      <xdr:row>71</xdr:row>
      <xdr:rowOff>152400</xdr:rowOff>
    </xdr:from>
    <xdr:ext cx="1924050" cy="333375"/>
    <xdr:sp>
      <xdr:nvSpPr>
        <xdr:cNvPr id="35" name="Shape 35"/>
        <xdr:cNvSpPr/>
      </xdr:nvSpPr>
      <xdr:spPr>
        <a:xfrm>
          <a:off x="4388738" y="3618075"/>
          <a:ext cx="1914525" cy="323850"/>
        </a:xfrm>
        <a:prstGeom prst="ellipse">
          <a:avLst/>
        </a:prstGeom>
        <a:solidFill>
          <a:srgbClr val="BFBFBF"/>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3F3F3F"/>
              </a:solidFill>
              <a:latin typeface="Times New Roman"/>
              <a:ea typeface="Times New Roman"/>
              <a:cs typeface="Times New Roman"/>
              <a:sym typeface="Times New Roman"/>
            </a:rPr>
            <a:t>Cho phép nhập free text</a:t>
          </a:r>
          <a:endParaRPr sz="1400"/>
        </a:p>
      </xdr:txBody>
    </xdr:sp>
    <xdr:clientData fLocksWithSheet="0"/>
  </xdr:oneCellAnchor>
  <xdr:oneCellAnchor>
    <xdr:from>
      <xdr:col>204</xdr:col>
      <xdr:colOff>47625</xdr:colOff>
      <xdr:row>71</xdr:row>
      <xdr:rowOff>142875</xdr:rowOff>
    </xdr:from>
    <xdr:ext cx="1619250" cy="342900"/>
    <xdr:sp>
      <xdr:nvSpPr>
        <xdr:cNvPr id="36" name="Shape 36"/>
        <xdr:cNvSpPr/>
      </xdr:nvSpPr>
      <xdr:spPr>
        <a:xfrm>
          <a:off x="4541138" y="3608550"/>
          <a:ext cx="1609725" cy="342900"/>
        </a:xfrm>
        <a:prstGeom prst="ellipse">
          <a:avLst/>
        </a:prstGeom>
        <a:solidFill>
          <a:srgbClr val="BFBFBF"/>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900">
              <a:solidFill>
                <a:srgbClr val="3F3F3F"/>
              </a:solidFill>
              <a:latin typeface="Times New Roman"/>
              <a:ea typeface="Times New Roman"/>
              <a:cs typeface="Times New Roman"/>
              <a:sym typeface="Times New Roman"/>
            </a:rPr>
            <a:t>Cho phép nhập free text</a:t>
          </a:r>
          <a:endParaRPr sz="1400"/>
        </a:p>
      </xdr:txBody>
    </xdr:sp>
    <xdr:clientData fLocksWithSheet="0"/>
  </xdr:oneCellAnchor>
  <xdr:oneCellAnchor>
    <xdr:from>
      <xdr:col>124</xdr:col>
      <xdr:colOff>57150</xdr:colOff>
      <xdr:row>57</xdr:row>
      <xdr:rowOff>47625</xdr:rowOff>
    </xdr:from>
    <xdr:ext cx="228600" cy="228600"/>
    <xdr:sp>
      <xdr:nvSpPr>
        <xdr:cNvPr id="37" name="Shape 37"/>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124</xdr:col>
      <xdr:colOff>47625</xdr:colOff>
      <xdr:row>61</xdr:row>
      <xdr:rowOff>38100</xdr:rowOff>
    </xdr:from>
    <xdr:ext cx="228600" cy="228600"/>
    <xdr:sp>
      <xdr:nvSpPr>
        <xdr:cNvPr id="38" name="Shape 38"/>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124</xdr:col>
      <xdr:colOff>47625</xdr:colOff>
      <xdr:row>65</xdr:row>
      <xdr:rowOff>47625</xdr:rowOff>
    </xdr:from>
    <xdr:ext cx="228600" cy="228600"/>
    <xdr:sp>
      <xdr:nvSpPr>
        <xdr:cNvPr id="39" name="Shape 39"/>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124</xdr:col>
      <xdr:colOff>57150</xdr:colOff>
      <xdr:row>73</xdr:row>
      <xdr:rowOff>47625</xdr:rowOff>
    </xdr:from>
    <xdr:ext cx="228600" cy="228600"/>
    <xdr:sp>
      <xdr:nvSpPr>
        <xdr:cNvPr id="40" name="Shape 40"/>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124</xdr:col>
      <xdr:colOff>47625</xdr:colOff>
      <xdr:row>77</xdr:row>
      <xdr:rowOff>38100</xdr:rowOff>
    </xdr:from>
    <xdr:ext cx="228600" cy="228600"/>
    <xdr:sp>
      <xdr:nvSpPr>
        <xdr:cNvPr id="41" name="Shape 41"/>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124</xdr:col>
      <xdr:colOff>47625</xdr:colOff>
      <xdr:row>81</xdr:row>
      <xdr:rowOff>47625</xdr:rowOff>
    </xdr:from>
    <xdr:ext cx="228600" cy="228600"/>
    <xdr:sp>
      <xdr:nvSpPr>
        <xdr:cNvPr id="42" name="Shape 42"/>
        <xdr:cNvSpPr/>
      </xdr:nvSpPr>
      <xdr:spPr>
        <a:xfrm>
          <a:off x="5231700" y="3665700"/>
          <a:ext cx="228600" cy="228600"/>
        </a:xfrm>
        <a:prstGeom prst="ellipse">
          <a:avLst/>
        </a:prstGeom>
        <a:solidFill>
          <a:srgbClr val="3F3F3F"/>
        </a:solidFill>
        <a:ln>
          <a:noFill/>
        </a:ln>
      </xdr:spPr>
      <xdr:txBody>
        <a:bodyPr anchorCtr="0" anchor="ctr" bIns="0" lIns="0" spcFirstLastPara="1" rIns="0" wrap="square" tIns="0">
          <a:noAutofit/>
        </a:bodyPr>
        <a:lstStyle/>
        <a:p>
          <a:pPr indent="0" lvl="0" marL="0" rtl="0" algn="ctr">
            <a:spcBef>
              <a:spcPts val="0"/>
            </a:spcBef>
            <a:spcAft>
              <a:spcPts val="0"/>
            </a:spcAft>
            <a:buNone/>
          </a:pPr>
          <a:r>
            <a:rPr b="1" lang="en-US" sz="1050">
              <a:solidFill>
                <a:schemeClr val="lt1"/>
              </a:solidFill>
              <a:latin typeface="Arial"/>
              <a:ea typeface="Arial"/>
              <a:cs typeface="Arial"/>
              <a:sym typeface="Arial"/>
            </a:rPr>
            <a:t>×</a:t>
          </a:r>
          <a:endParaRPr b="1" sz="1050">
            <a:latin typeface="Arial"/>
            <a:ea typeface="Arial"/>
            <a:cs typeface="Arial"/>
            <a:sym typeface="Arial"/>
          </a:endParaRPr>
        </a:p>
      </xdr:txBody>
    </xdr:sp>
    <xdr:clientData fLocksWithSheet="0"/>
  </xdr:oneCellAnchor>
  <xdr:oneCellAnchor>
    <xdr:from>
      <xdr:col>132</xdr:col>
      <xdr:colOff>9525</xdr:colOff>
      <xdr:row>30</xdr:row>
      <xdr:rowOff>0</xdr:rowOff>
    </xdr:from>
    <xdr:ext cx="2590800" cy="40195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131</xdr:col>
      <xdr:colOff>19050</xdr:colOff>
      <xdr:row>82</xdr:row>
      <xdr:rowOff>9525</xdr:rowOff>
    </xdr:from>
    <xdr:ext cx="2905125" cy="22669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153</xdr:col>
      <xdr:colOff>19050</xdr:colOff>
      <xdr:row>82</xdr:row>
      <xdr:rowOff>9525</xdr:rowOff>
    </xdr:from>
    <xdr:ext cx="2971800" cy="2333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197</xdr:col>
      <xdr:colOff>19050</xdr:colOff>
      <xdr:row>82</xdr:row>
      <xdr:rowOff>9525</xdr:rowOff>
    </xdr:from>
    <xdr:ext cx="2962275" cy="23431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219</xdr:col>
      <xdr:colOff>19050</xdr:colOff>
      <xdr:row>82</xdr:row>
      <xdr:rowOff>9525</xdr:rowOff>
    </xdr:from>
    <xdr:ext cx="2952750" cy="2333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175</xdr:col>
      <xdr:colOff>19050</xdr:colOff>
      <xdr:row>82</xdr:row>
      <xdr:rowOff>9525</xdr:rowOff>
    </xdr:from>
    <xdr:ext cx="2962275" cy="23812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6</xdr:row>
      <xdr:rowOff>171450</xdr:rowOff>
    </xdr:from>
    <xdr:ext cx="2590800" cy="4638675"/>
    <xdr:grpSp>
      <xdr:nvGrpSpPr>
        <xdr:cNvPr id="2" name="Shape 2"/>
        <xdr:cNvGrpSpPr/>
      </xdr:nvGrpSpPr>
      <xdr:grpSpPr>
        <a:xfrm>
          <a:off x="4050600" y="1460663"/>
          <a:ext cx="2590800" cy="4638675"/>
          <a:chOff x="4050600" y="1460663"/>
          <a:chExt cx="2590800" cy="4638675"/>
        </a:xfrm>
      </xdr:grpSpPr>
      <xdr:grpSp>
        <xdr:nvGrpSpPr>
          <xdr:cNvPr id="43" name="Shape 43"/>
          <xdr:cNvGrpSpPr/>
        </xdr:nvGrpSpPr>
        <xdr:grpSpPr>
          <a:xfrm>
            <a:off x="4050600" y="1460663"/>
            <a:ext cx="2590800" cy="4638675"/>
            <a:chOff x="3629025" y="1200150"/>
            <a:chExt cx="2884396" cy="4181475"/>
          </a:xfrm>
        </xdr:grpSpPr>
        <xdr:sp>
          <xdr:nvSpPr>
            <xdr:cNvPr id="44" name="Shape 44"/>
            <xdr:cNvSpPr/>
          </xdr:nvSpPr>
          <xdr:spPr>
            <a:xfrm>
              <a:off x="3629025" y="1200150"/>
              <a:ext cx="2884375" cy="418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5" name="Shape 45"/>
            <xdr:cNvPicPr preferRelativeResize="0"/>
          </xdr:nvPicPr>
          <xdr:blipFill rotWithShape="1">
            <a:blip r:embed="rId1">
              <a:alphaModFix/>
            </a:blip>
            <a:srcRect b="0" l="0" r="0" t="0"/>
            <a:stretch/>
          </xdr:blipFill>
          <xdr:spPr>
            <a:xfrm>
              <a:off x="3629025" y="1200150"/>
              <a:ext cx="2884396" cy="4181475"/>
            </a:xfrm>
            <a:prstGeom prst="rect">
              <a:avLst/>
            </a:prstGeom>
            <a:noFill/>
            <a:ln>
              <a:noFill/>
            </a:ln>
          </xdr:spPr>
        </xdr:pic>
        <xdr:sp>
          <xdr:nvSpPr>
            <xdr:cNvPr id="46" name="Shape 46"/>
            <xdr:cNvSpPr/>
          </xdr:nvSpPr>
          <xdr:spPr>
            <a:xfrm>
              <a:off x="3714750" y="1257300"/>
              <a:ext cx="2725831" cy="4047003"/>
            </a:xfrm>
            <a:prstGeom prst="rect">
              <a:avLst/>
            </a:prstGeom>
            <a:noFill/>
            <a:ln cap="flat" cmpd="sng" w="15875">
              <a:solidFill>
                <a:srgbClr val="FF0000"/>
              </a:solidFill>
              <a:prstDash val="dash"/>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4300" cy="57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B12:E23" displayName="Table_1" name="Table_1" id="1">
  <tableColumns count="4">
    <tableColumn name="#" id="1"/>
    <tableColumn name="Status" id="2"/>
    <tableColumn name="Statitics" id="3"/>
    <tableColumn name="Description" id="4"/>
  </tableColumns>
  <tableStyleInfo name="General-style" showColumnStripes="0" showFirstColumn="1" showLastColumn="1" showRowStripes="1"/>
</table>
</file>

<file path=xl/tables/table2.xml><?xml version="1.0" encoding="utf-8"?>
<table xmlns="http://schemas.openxmlformats.org/spreadsheetml/2006/main" ref="G12:I44" displayName="Table_2" name="Table_2" id="2">
  <tableColumns count="3">
    <tableColumn name="#" id="1"/>
    <tableColumn name="Name" id="2"/>
    <tableColumn name="Effort" id="3"/>
  </tableColumns>
  <tableStyleInfo name="General-style 2" showColumnStripes="0" showFirstColumn="1" showLastColumn="1" showRowStripes="1"/>
</table>
</file>

<file path=xl/tables/table3.xml><?xml version="1.0" encoding="utf-8"?>
<table xmlns="http://schemas.openxmlformats.org/spreadsheetml/2006/main" ref="K12:M13" displayName="Table_3" name="Table_3" id="3">
  <tableColumns count="3">
    <tableColumn name="#" id="1"/>
    <tableColumn name="Redmine" id="2"/>
    <tableColumn name="Atom" id="3"/>
  </tableColumns>
  <tableStyleInfo name="General-style 3" showColumnStripes="0" showFirstColumn="1" showLastColumn="1" showRowStripes="1"/>
</table>
</file>

<file path=xl/tables/table4.xml><?xml version="1.0" encoding="utf-8"?>
<table xmlns="http://schemas.openxmlformats.org/spreadsheetml/2006/main" ref="O12:R23" displayName="Table_4" name="Table_4" id="4">
  <tableColumns count="4">
    <tableColumn name="#" id="1"/>
    <tableColumn name="Title" id="2"/>
    <tableColumn name="Effort" id="3"/>
    <tableColumn name="Description" id="4"/>
  </tableColumns>
  <tableStyleInfo name="General-style 4" showColumnStripes="0" showFirstColumn="1" showLastColumn="1" showRowStripes="1"/>
</table>
</file>

<file path=xl/tables/table5.xml><?xml version="1.0" encoding="utf-8"?>
<table xmlns="http://schemas.openxmlformats.org/spreadsheetml/2006/main" ref="W12:X18" displayName="Table_5" name="Table_5" id="5">
  <tableColumns count="2">
    <tableColumn name="#" id="1"/>
    <tableColumn name="Title" id="2"/>
  </tableColumns>
  <tableStyleInfo name="General-style 5"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xSplit="14.0" ySplit="12.0" topLeftCell="O13" activePane="bottomRight" state="frozen"/>
      <selection activeCell="O1" sqref="O1" pane="topRight"/>
      <selection activeCell="A13" sqref="A13" pane="bottomLeft"/>
      <selection activeCell="O13" sqref="O13" pane="bottomRight"/>
    </sheetView>
  </sheetViews>
  <sheetFormatPr customHeight="1" defaultColWidth="12.63" defaultRowHeight="15.75" outlineLevelRow="1"/>
  <cols>
    <col customWidth="1" min="1" max="1" width="6.13"/>
    <col customWidth="1" min="2" max="2" width="32.75"/>
    <col customWidth="1" min="3" max="3" width="17.25"/>
    <col customWidth="1" min="4" max="4" width="6.88"/>
    <col customWidth="1" min="5" max="6" width="4.88"/>
    <col customWidth="1" min="7" max="7" width="4.75"/>
    <col customWidth="1" hidden="1" min="8" max="8" width="5.13"/>
    <col customWidth="1" min="9" max="9" width="4.13"/>
    <col customWidth="1" min="10" max="10" width="7.0"/>
    <col customWidth="1" hidden="1" min="11" max="12" width="4.88"/>
    <col customWidth="1" hidden="1" min="13" max="13" width="5.75"/>
    <col customWidth="1" min="14" max="14" width="5.38"/>
    <col customWidth="1" hidden="1" min="15" max="15" width="8.13"/>
    <col customWidth="1" min="16" max="16" width="2.75"/>
    <col customWidth="1" min="17" max="23" width="1.88"/>
    <col customWidth="1" min="24" max="24" width="2.0"/>
    <col customWidth="1" min="25" max="180" width="1.88"/>
  </cols>
  <sheetData>
    <row r="1" ht="22.5" customHeight="1">
      <c r="A1" s="9"/>
      <c r="B1" s="11" t="s">
        <v>3</v>
      </c>
      <c r="C1" s="12"/>
      <c r="D1" s="14"/>
      <c r="E1" s="15"/>
      <c r="F1" s="15"/>
      <c r="G1" s="15"/>
      <c r="H1" s="15"/>
      <c r="I1" s="15"/>
      <c r="J1" s="18"/>
      <c r="K1" s="18"/>
      <c r="L1" s="18"/>
      <c r="M1" s="18"/>
      <c r="N1" s="18"/>
      <c r="O1" s="18"/>
      <c r="P1" s="23"/>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60"/>
      <c r="FB1" s="60"/>
      <c r="FC1" s="60"/>
      <c r="FD1" s="60"/>
      <c r="FE1" s="60"/>
      <c r="FF1" s="60"/>
      <c r="FG1" s="60"/>
      <c r="FH1" s="60"/>
      <c r="FI1" s="60"/>
      <c r="FJ1" s="60"/>
      <c r="FK1" s="60"/>
      <c r="FL1" s="60"/>
      <c r="FM1" s="60"/>
      <c r="FN1" s="60"/>
      <c r="FO1" s="60"/>
      <c r="FP1" s="60"/>
      <c r="FQ1" s="60"/>
      <c r="FR1" s="60"/>
      <c r="FS1" s="60"/>
      <c r="FT1" s="60"/>
      <c r="FU1" s="60"/>
      <c r="FV1" s="60"/>
      <c r="FW1" s="60"/>
      <c r="FX1" s="60"/>
    </row>
    <row r="2" hidden="1">
      <c r="A2" s="67"/>
      <c r="B2" s="71" t="s">
        <v>43</v>
      </c>
      <c r="C2" s="73"/>
      <c r="D2" s="75"/>
      <c r="E2" s="77" t="s">
        <v>2</v>
      </c>
      <c r="F2" s="80" t="s">
        <v>8</v>
      </c>
      <c r="G2" s="82"/>
      <c r="H2" s="84" t="s">
        <v>47</v>
      </c>
      <c r="I2" s="86">
        <v>0.1</v>
      </c>
      <c r="J2" s="67"/>
      <c r="K2" s="67"/>
      <c r="L2" s="67"/>
      <c r="M2" s="67"/>
      <c r="N2" s="67"/>
      <c r="O2" s="67"/>
      <c r="P2" s="89"/>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60"/>
      <c r="FB2" s="60"/>
      <c r="FC2" s="60"/>
      <c r="FD2" s="60"/>
      <c r="FE2" s="60"/>
      <c r="FF2" s="60"/>
      <c r="FG2" s="60"/>
      <c r="FH2" s="60"/>
      <c r="FI2" s="60"/>
      <c r="FJ2" s="60"/>
      <c r="FK2" s="60"/>
      <c r="FL2" s="60"/>
      <c r="FM2" s="60"/>
      <c r="FN2" s="60"/>
      <c r="FO2" s="60"/>
      <c r="FP2" s="60"/>
      <c r="FQ2" s="60"/>
      <c r="FR2" s="60"/>
      <c r="FS2" s="60"/>
      <c r="FT2" s="60"/>
      <c r="FU2" s="60"/>
      <c r="FV2" s="60"/>
      <c r="FW2" s="60"/>
      <c r="FX2" s="60"/>
    </row>
    <row r="3" hidden="1">
      <c r="A3" s="102"/>
      <c r="B3" s="71" t="s">
        <v>6</v>
      </c>
      <c r="C3" s="103">
        <v>43403.0</v>
      </c>
      <c r="D3" s="105"/>
      <c r="E3" s="113">
        <f>MIN(E13:E35)</f>
        <v>43801</v>
      </c>
      <c r="F3" s="113">
        <f>MAX(F13:F35)</f>
        <v>43815</v>
      </c>
      <c r="G3" s="115"/>
      <c r="H3" s="84" t="s">
        <v>52</v>
      </c>
      <c r="I3" s="86">
        <v>0.2</v>
      </c>
      <c r="J3" s="102"/>
      <c r="K3" s="102"/>
      <c r="L3" s="102"/>
      <c r="M3" s="102"/>
      <c r="N3" s="102"/>
      <c r="O3" s="102"/>
      <c r="P3" s="119"/>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60"/>
      <c r="FB3" s="60"/>
      <c r="FC3" s="60"/>
      <c r="FD3" s="60"/>
      <c r="FE3" s="60"/>
      <c r="FF3" s="60"/>
      <c r="FG3" s="60"/>
      <c r="FH3" s="60"/>
      <c r="FI3" s="60"/>
      <c r="FJ3" s="60"/>
      <c r="FK3" s="60"/>
      <c r="FL3" s="60"/>
      <c r="FM3" s="60"/>
      <c r="FN3" s="60"/>
      <c r="FO3" s="60"/>
      <c r="FP3" s="60"/>
      <c r="FQ3" s="60"/>
      <c r="FR3" s="60"/>
      <c r="FS3" s="60"/>
      <c r="FT3" s="60"/>
      <c r="FU3" s="60"/>
      <c r="FV3" s="60"/>
      <c r="FW3" s="60"/>
      <c r="FX3" s="60"/>
    </row>
    <row r="4" hidden="1">
      <c r="A4" s="102"/>
      <c r="B4" s="71" t="s">
        <v>11</v>
      </c>
      <c r="C4" s="71" t="s">
        <v>57</v>
      </c>
      <c r="D4" s="105"/>
      <c r="E4" s="115"/>
      <c r="F4" s="115"/>
      <c r="G4" s="115"/>
      <c r="H4" s="84" t="s">
        <v>58</v>
      </c>
      <c r="I4" s="86">
        <v>0.3</v>
      </c>
      <c r="J4" s="102"/>
      <c r="K4" s="102"/>
      <c r="L4" s="102"/>
      <c r="M4" s="102"/>
      <c r="N4" s="102"/>
      <c r="O4" s="102"/>
      <c r="P4" s="137" t="str">
        <f t="shared" ref="P4:FX4" si="1">IF(P12=TODAY(),"TODAY","")</f>
        <v/>
      </c>
      <c r="Q4" s="137" t="str">
        <f t="shared" si="1"/>
        <v/>
      </c>
      <c r="R4" s="137" t="str">
        <f t="shared" si="1"/>
        <v/>
      </c>
      <c r="S4" s="137" t="str">
        <f t="shared" si="1"/>
        <v/>
      </c>
      <c r="T4" s="137" t="str">
        <f t="shared" si="1"/>
        <v/>
      </c>
      <c r="U4" s="137" t="str">
        <f t="shared" si="1"/>
        <v/>
      </c>
      <c r="V4" s="137" t="str">
        <f t="shared" si="1"/>
        <v/>
      </c>
      <c r="W4" s="137" t="str">
        <f t="shared" si="1"/>
        <v/>
      </c>
      <c r="X4" s="137" t="str">
        <f t="shared" si="1"/>
        <v/>
      </c>
      <c r="Y4" s="137" t="str">
        <f t="shared" si="1"/>
        <v/>
      </c>
      <c r="Z4" s="137" t="str">
        <f t="shared" si="1"/>
        <v/>
      </c>
      <c r="AA4" s="137" t="str">
        <f t="shared" si="1"/>
        <v/>
      </c>
      <c r="AB4" s="137" t="str">
        <f t="shared" si="1"/>
        <v/>
      </c>
      <c r="AC4" s="137" t="str">
        <f t="shared" si="1"/>
        <v/>
      </c>
      <c r="AD4" s="137" t="str">
        <f t="shared" si="1"/>
        <v/>
      </c>
      <c r="AE4" s="137" t="str">
        <f t="shared" si="1"/>
        <v/>
      </c>
      <c r="AF4" s="137" t="str">
        <f t="shared" si="1"/>
        <v/>
      </c>
      <c r="AG4" s="137" t="str">
        <f t="shared" si="1"/>
        <v/>
      </c>
      <c r="AH4" s="137" t="str">
        <f t="shared" si="1"/>
        <v/>
      </c>
      <c r="AI4" s="137" t="str">
        <f t="shared" si="1"/>
        <v/>
      </c>
      <c r="AJ4" s="137" t="str">
        <f t="shared" si="1"/>
        <v/>
      </c>
      <c r="AK4" s="137" t="str">
        <f t="shared" si="1"/>
        <v/>
      </c>
      <c r="AL4" s="137" t="str">
        <f t="shared" si="1"/>
        <v/>
      </c>
      <c r="AM4" s="137" t="str">
        <f t="shared" si="1"/>
        <v/>
      </c>
      <c r="AN4" s="137" t="str">
        <f t="shared" si="1"/>
        <v/>
      </c>
      <c r="AO4" s="137" t="str">
        <f t="shared" si="1"/>
        <v/>
      </c>
      <c r="AP4" s="137" t="str">
        <f t="shared" si="1"/>
        <v/>
      </c>
      <c r="AQ4" s="137" t="str">
        <f t="shared" si="1"/>
        <v/>
      </c>
      <c r="AR4" s="137" t="str">
        <f t="shared" si="1"/>
        <v/>
      </c>
      <c r="AS4" s="137" t="str">
        <f t="shared" si="1"/>
        <v/>
      </c>
      <c r="AT4" s="137" t="str">
        <f t="shared" si="1"/>
        <v/>
      </c>
      <c r="AU4" s="137" t="str">
        <f t="shared" si="1"/>
        <v/>
      </c>
      <c r="AV4" s="137" t="str">
        <f t="shared" si="1"/>
        <v/>
      </c>
      <c r="AW4" s="137" t="str">
        <f t="shared" si="1"/>
        <v/>
      </c>
      <c r="AX4" s="137" t="str">
        <f t="shared" si="1"/>
        <v/>
      </c>
      <c r="AY4" s="137" t="str">
        <f t="shared" si="1"/>
        <v/>
      </c>
      <c r="AZ4" s="137" t="str">
        <f t="shared" si="1"/>
        <v/>
      </c>
      <c r="BA4" s="137" t="str">
        <f t="shared" si="1"/>
        <v/>
      </c>
      <c r="BB4" s="137" t="str">
        <f t="shared" si="1"/>
        <v/>
      </c>
      <c r="BC4" s="137" t="str">
        <f t="shared" si="1"/>
        <v/>
      </c>
      <c r="BD4" s="137" t="str">
        <f t="shared" si="1"/>
        <v/>
      </c>
      <c r="BE4" s="137" t="str">
        <f t="shared" si="1"/>
        <v/>
      </c>
      <c r="BF4" s="137" t="str">
        <f t="shared" si="1"/>
        <v/>
      </c>
      <c r="BG4" s="137" t="str">
        <f t="shared" si="1"/>
        <v/>
      </c>
      <c r="BH4" s="137" t="str">
        <f t="shared" si="1"/>
        <v/>
      </c>
      <c r="BI4" s="137" t="str">
        <f t="shared" si="1"/>
        <v/>
      </c>
      <c r="BJ4" s="137" t="str">
        <f t="shared" si="1"/>
        <v/>
      </c>
      <c r="BK4" s="137" t="str">
        <f t="shared" si="1"/>
        <v/>
      </c>
      <c r="BL4" s="137" t="str">
        <f t="shared" si="1"/>
        <v/>
      </c>
      <c r="BM4" s="137" t="str">
        <f t="shared" si="1"/>
        <v/>
      </c>
      <c r="BN4" s="137" t="str">
        <f t="shared" si="1"/>
        <v/>
      </c>
      <c r="BO4" s="137" t="str">
        <f t="shared" si="1"/>
        <v/>
      </c>
      <c r="BP4" s="137" t="str">
        <f t="shared" si="1"/>
        <v/>
      </c>
      <c r="BQ4" s="137" t="str">
        <f t="shared" si="1"/>
        <v/>
      </c>
      <c r="BR4" s="137" t="str">
        <f t="shared" si="1"/>
        <v/>
      </c>
      <c r="BS4" s="137" t="str">
        <f t="shared" si="1"/>
        <v/>
      </c>
      <c r="BT4" s="137" t="str">
        <f t="shared" si="1"/>
        <v/>
      </c>
      <c r="BU4" s="137" t="str">
        <f t="shared" si="1"/>
        <v/>
      </c>
      <c r="BV4" s="137" t="str">
        <f t="shared" si="1"/>
        <v/>
      </c>
      <c r="BW4" s="137" t="str">
        <f t="shared" si="1"/>
        <v/>
      </c>
      <c r="BX4" s="137" t="str">
        <f t="shared" si="1"/>
        <v/>
      </c>
      <c r="BY4" s="137" t="str">
        <f t="shared" si="1"/>
        <v/>
      </c>
      <c r="BZ4" s="137" t="str">
        <f t="shared" si="1"/>
        <v/>
      </c>
      <c r="CA4" s="137" t="str">
        <f t="shared" si="1"/>
        <v/>
      </c>
      <c r="CB4" s="137" t="str">
        <f t="shared" si="1"/>
        <v/>
      </c>
      <c r="CC4" s="137" t="str">
        <f t="shared" si="1"/>
        <v/>
      </c>
      <c r="CD4" s="137" t="str">
        <f t="shared" si="1"/>
        <v/>
      </c>
      <c r="CE4" s="137" t="str">
        <f t="shared" si="1"/>
        <v/>
      </c>
      <c r="CF4" s="137" t="str">
        <f t="shared" si="1"/>
        <v/>
      </c>
      <c r="CG4" s="137" t="str">
        <f t="shared" si="1"/>
        <v/>
      </c>
      <c r="CH4" s="137" t="str">
        <f t="shared" si="1"/>
        <v/>
      </c>
      <c r="CI4" s="137" t="str">
        <f t="shared" si="1"/>
        <v/>
      </c>
      <c r="CJ4" s="137" t="str">
        <f t="shared" si="1"/>
        <v/>
      </c>
      <c r="CK4" s="137" t="str">
        <f t="shared" si="1"/>
        <v/>
      </c>
      <c r="CL4" s="137" t="str">
        <f t="shared" si="1"/>
        <v/>
      </c>
      <c r="CM4" s="137" t="str">
        <f t="shared" si="1"/>
        <v/>
      </c>
      <c r="CN4" s="137" t="str">
        <f t="shared" si="1"/>
        <v/>
      </c>
      <c r="CO4" s="137" t="str">
        <f t="shared" si="1"/>
        <v/>
      </c>
      <c r="CP4" s="137" t="str">
        <f t="shared" si="1"/>
        <v/>
      </c>
      <c r="CQ4" s="137" t="str">
        <f t="shared" si="1"/>
        <v/>
      </c>
      <c r="CR4" s="137" t="str">
        <f t="shared" si="1"/>
        <v/>
      </c>
      <c r="CS4" s="137" t="str">
        <f t="shared" si="1"/>
        <v/>
      </c>
      <c r="CT4" s="137" t="str">
        <f t="shared" si="1"/>
        <v/>
      </c>
      <c r="CU4" s="137" t="str">
        <f t="shared" si="1"/>
        <v/>
      </c>
      <c r="CV4" s="137" t="str">
        <f t="shared" si="1"/>
        <v/>
      </c>
      <c r="CW4" s="137" t="str">
        <f t="shared" si="1"/>
        <v/>
      </c>
      <c r="CX4" s="137" t="str">
        <f t="shared" si="1"/>
        <v/>
      </c>
      <c r="CY4" s="137" t="str">
        <f t="shared" si="1"/>
        <v/>
      </c>
      <c r="CZ4" s="137" t="str">
        <f t="shared" si="1"/>
        <v/>
      </c>
      <c r="DA4" s="137" t="str">
        <f t="shared" si="1"/>
        <v/>
      </c>
      <c r="DB4" s="137" t="str">
        <f t="shared" si="1"/>
        <v/>
      </c>
      <c r="DC4" s="137" t="str">
        <f t="shared" si="1"/>
        <v/>
      </c>
      <c r="DD4" s="137" t="str">
        <f t="shared" si="1"/>
        <v/>
      </c>
      <c r="DE4" s="137" t="str">
        <f t="shared" si="1"/>
        <v/>
      </c>
      <c r="DF4" s="137" t="str">
        <f t="shared" si="1"/>
        <v/>
      </c>
      <c r="DG4" s="137" t="str">
        <f t="shared" si="1"/>
        <v/>
      </c>
      <c r="DH4" s="137" t="str">
        <f t="shared" si="1"/>
        <v/>
      </c>
      <c r="DI4" s="137" t="str">
        <f t="shared" si="1"/>
        <v/>
      </c>
      <c r="DJ4" s="137" t="str">
        <f t="shared" si="1"/>
        <v/>
      </c>
      <c r="DK4" s="137" t="str">
        <f t="shared" si="1"/>
        <v/>
      </c>
      <c r="DL4" s="137" t="str">
        <f t="shared" si="1"/>
        <v/>
      </c>
      <c r="DM4" s="137" t="str">
        <f t="shared" si="1"/>
        <v/>
      </c>
      <c r="DN4" s="137" t="str">
        <f t="shared" si="1"/>
        <v/>
      </c>
      <c r="DO4" s="137" t="str">
        <f t="shared" si="1"/>
        <v/>
      </c>
      <c r="DP4" s="137" t="str">
        <f t="shared" si="1"/>
        <v/>
      </c>
      <c r="DQ4" s="137" t="str">
        <f t="shared" si="1"/>
        <v/>
      </c>
      <c r="DR4" s="137" t="str">
        <f t="shared" si="1"/>
        <v/>
      </c>
      <c r="DS4" s="137" t="str">
        <f t="shared" si="1"/>
        <v/>
      </c>
      <c r="DT4" s="137" t="str">
        <f t="shared" si="1"/>
        <v/>
      </c>
      <c r="DU4" s="137" t="str">
        <f t="shared" si="1"/>
        <v/>
      </c>
      <c r="DV4" s="137" t="str">
        <f t="shared" si="1"/>
        <v/>
      </c>
      <c r="DW4" s="137" t="str">
        <f t="shared" si="1"/>
        <v/>
      </c>
      <c r="DX4" s="137" t="str">
        <f t="shared" si="1"/>
        <v/>
      </c>
      <c r="DY4" s="137" t="str">
        <f t="shared" si="1"/>
        <v/>
      </c>
      <c r="DZ4" s="137" t="str">
        <f t="shared" si="1"/>
        <v/>
      </c>
      <c r="EA4" s="137" t="str">
        <f t="shared" si="1"/>
        <v/>
      </c>
      <c r="EB4" s="137" t="str">
        <f t="shared" si="1"/>
        <v/>
      </c>
      <c r="EC4" s="137" t="str">
        <f t="shared" si="1"/>
        <v/>
      </c>
      <c r="ED4" s="137" t="str">
        <f t="shared" si="1"/>
        <v/>
      </c>
      <c r="EE4" s="137" t="str">
        <f t="shared" si="1"/>
        <v/>
      </c>
      <c r="EF4" s="137" t="str">
        <f t="shared" si="1"/>
        <v/>
      </c>
      <c r="EG4" s="137" t="str">
        <f t="shared" si="1"/>
        <v/>
      </c>
      <c r="EH4" s="137" t="str">
        <f t="shared" si="1"/>
        <v/>
      </c>
      <c r="EI4" s="137" t="str">
        <f t="shared" si="1"/>
        <v/>
      </c>
      <c r="EJ4" s="137" t="str">
        <f t="shared" si="1"/>
        <v/>
      </c>
      <c r="EK4" s="137" t="str">
        <f t="shared" si="1"/>
        <v/>
      </c>
      <c r="EL4" s="137" t="str">
        <f t="shared" si="1"/>
        <v/>
      </c>
      <c r="EM4" s="137" t="str">
        <f t="shared" si="1"/>
        <v/>
      </c>
      <c r="EN4" s="137" t="str">
        <f t="shared" si="1"/>
        <v/>
      </c>
      <c r="EO4" s="137" t="str">
        <f t="shared" si="1"/>
        <v/>
      </c>
      <c r="EP4" s="137" t="str">
        <f t="shared" si="1"/>
        <v/>
      </c>
      <c r="EQ4" s="137" t="str">
        <f t="shared" si="1"/>
        <v/>
      </c>
      <c r="ER4" s="137" t="str">
        <f t="shared" si="1"/>
        <v/>
      </c>
      <c r="ES4" s="137" t="str">
        <f t="shared" si="1"/>
        <v/>
      </c>
      <c r="ET4" s="137" t="str">
        <f t="shared" si="1"/>
        <v/>
      </c>
      <c r="EU4" s="137" t="str">
        <f t="shared" si="1"/>
        <v/>
      </c>
      <c r="EV4" s="137" t="str">
        <f t="shared" si="1"/>
        <v/>
      </c>
      <c r="EW4" s="137" t="str">
        <f t="shared" si="1"/>
        <v/>
      </c>
      <c r="EX4" s="137" t="str">
        <f t="shared" si="1"/>
        <v/>
      </c>
      <c r="EY4" s="137" t="str">
        <f t="shared" si="1"/>
        <v/>
      </c>
      <c r="EZ4" s="137" t="str">
        <f t="shared" si="1"/>
        <v/>
      </c>
      <c r="FA4" s="60" t="str">
        <f t="shared" si="1"/>
        <v/>
      </c>
      <c r="FB4" s="60" t="str">
        <f t="shared" si="1"/>
        <v/>
      </c>
      <c r="FC4" s="60" t="str">
        <f t="shared" si="1"/>
        <v/>
      </c>
      <c r="FD4" s="60" t="str">
        <f t="shared" si="1"/>
        <v/>
      </c>
      <c r="FE4" s="60" t="str">
        <f t="shared" si="1"/>
        <v/>
      </c>
      <c r="FF4" s="60" t="str">
        <f t="shared" si="1"/>
        <v/>
      </c>
      <c r="FG4" s="60" t="str">
        <f t="shared" si="1"/>
        <v/>
      </c>
      <c r="FH4" s="60" t="str">
        <f t="shared" si="1"/>
        <v/>
      </c>
      <c r="FI4" s="60" t="str">
        <f t="shared" si="1"/>
        <v/>
      </c>
      <c r="FJ4" s="60" t="str">
        <f t="shared" si="1"/>
        <v/>
      </c>
      <c r="FK4" s="60" t="str">
        <f t="shared" si="1"/>
        <v/>
      </c>
      <c r="FL4" s="60" t="str">
        <f t="shared" si="1"/>
        <v/>
      </c>
      <c r="FM4" s="60" t="str">
        <f t="shared" si="1"/>
        <v/>
      </c>
      <c r="FN4" s="60" t="str">
        <f t="shared" si="1"/>
        <v/>
      </c>
      <c r="FO4" s="60" t="str">
        <f t="shared" si="1"/>
        <v/>
      </c>
      <c r="FP4" s="60" t="str">
        <f t="shared" si="1"/>
        <v/>
      </c>
      <c r="FQ4" s="60" t="str">
        <f t="shared" si="1"/>
        <v/>
      </c>
      <c r="FR4" s="60" t="str">
        <f t="shared" si="1"/>
        <v/>
      </c>
      <c r="FS4" s="60" t="str">
        <f t="shared" si="1"/>
        <v/>
      </c>
      <c r="FT4" s="60" t="str">
        <f t="shared" si="1"/>
        <v/>
      </c>
      <c r="FU4" s="60" t="str">
        <f t="shared" si="1"/>
        <v/>
      </c>
      <c r="FV4" s="60" t="str">
        <f t="shared" si="1"/>
        <v/>
      </c>
      <c r="FW4" s="60" t="str">
        <f t="shared" si="1"/>
        <v/>
      </c>
      <c r="FX4" s="60" t="str">
        <f t="shared" si="1"/>
        <v/>
      </c>
    </row>
    <row r="5" hidden="1">
      <c r="A5" s="102"/>
      <c r="B5" s="71" t="s">
        <v>96</v>
      </c>
      <c r="C5" s="188" t="str">
        <f>SUM(#REF!)</f>
        <v>#REF!</v>
      </c>
      <c r="D5" s="105"/>
      <c r="E5" s="115"/>
      <c r="F5" s="115"/>
      <c r="G5" s="115"/>
      <c r="H5" s="115"/>
      <c r="I5" s="115"/>
      <c r="J5" s="102"/>
      <c r="K5" s="102"/>
      <c r="L5" s="102"/>
      <c r="M5" s="102"/>
      <c r="N5" s="102"/>
      <c r="O5" s="102"/>
    </row>
    <row r="6" ht="3.75" customHeight="1">
      <c r="A6" s="102"/>
      <c r="B6" s="191"/>
      <c r="C6" s="191"/>
      <c r="D6" s="105"/>
      <c r="E6" s="195"/>
      <c r="F6" s="195"/>
      <c r="G6" s="195"/>
      <c r="H6" s="195"/>
      <c r="I6" s="195"/>
      <c r="J6" s="102"/>
      <c r="K6" s="102"/>
      <c r="L6" s="102"/>
      <c r="M6" s="102"/>
      <c r="N6" s="102"/>
      <c r="O6" s="102"/>
    </row>
    <row r="7" ht="19.5" customHeight="1">
      <c r="A7" s="102"/>
      <c r="B7" s="196"/>
      <c r="C7" s="197"/>
      <c r="D7" s="105"/>
      <c r="E7" s="102"/>
      <c r="F7" s="102"/>
      <c r="G7" s="198"/>
      <c r="H7" s="102"/>
      <c r="I7" s="199"/>
      <c r="J7" s="102"/>
      <c r="K7" s="102"/>
      <c r="L7" s="102"/>
      <c r="M7" s="102"/>
      <c r="N7" s="102"/>
      <c r="O7" s="102"/>
    </row>
    <row r="8" ht="12.0" customHeight="1">
      <c r="A8" s="102"/>
      <c r="B8" s="196" t="s">
        <v>102</v>
      </c>
      <c r="C8" s="197">
        <v>1.2</v>
      </c>
      <c r="D8" s="105"/>
      <c r="E8" s="77" t="s">
        <v>2</v>
      </c>
      <c r="F8" s="80" t="s">
        <v>8</v>
      </c>
      <c r="G8" s="198"/>
      <c r="H8" s="102"/>
      <c r="I8" s="204" t="s">
        <v>103</v>
      </c>
      <c r="J8" s="102"/>
      <c r="K8" s="102"/>
      <c r="L8" s="102"/>
      <c r="M8" s="102"/>
      <c r="N8" s="102"/>
      <c r="O8" s="102"/>
      <c r="P8" s="206"/>
      <c r="Q8" s="214">
        <f t="shared" ref="Q8:FX8" si="2">SUMIF($D13:$D300, "QA" ,Q13:Q300)</f>
        <v>0</v>
      </c>
      <c r="R8" s="214">
        <f t="shared" si="2"/>
        <v>1</v>
      </c>
      <c r="S8" s="214">
        <f t="shared" si="2"/>
        <v>1</v>
      </c>
      <c r="T8" s="214">
        <f t="shared" si="2"/>
        <v>1</v>
      </c>
      <c r="U8" s="214">
        <f t="shared" si="2"/>
        <v>1</v>
      </c>
      <c r="V8" s="214">
        <f t="shared" si="2"/>
        <v>0</v>
      </c>
      <c r="W8" s="214">
        <f t="shared" si="2"/>
        <v>0</v>
      </c>
      <c r="X8" s="214">
        <f t="shared" si="2"/>
        <v>1</v>
      </c>
      <c r="Y8" s="214">
        <f t="shared" si="2"/>
        <v>2</v>
      </c>
      <c r="Z8" s="214">
        <f t="shared" si="2"/>
        <v>1</v>
      </c>
      <c r="AA8" s="214">
        <f t="shared" si="2"/>
        <v>1</v>
      </c>
      <c r="AB8" s="214">
        <f t="shared" si="2"/>
        <v>1</v>
      </c>
      <c r="AC8" s="214">
        <f t="shared" si="2"/>
        <v>0</v>
      </c>
      <c r="AD8" s="214">
        <f t="shared" si="2"/>
        <v>0</v>
      </c>
      <c r="AE8" s="214">
        <f t="shared" si="2"/>
        <v>2</v>
      </c>
      <c r="AF8" s="214">
        <f t="shared" si="2"/>
        <v>0</v>
      </c>
      <c r="AG8" s="214">
        <f t="shared" si="2"/>
        <v>1</v>
      </c>
      <c r="AH8" s="214">
        <f t="shared" si="2"/>
        <v>1</v>
      </c>
      <c r="AI8" s="214">
        <f t="shared" si="2"/>
        <v>2</v>
      </c>
      <c r="AJ8" s="214">
        <f t="shared" si="2"/>
        <v>0</v>
      </c>
      <c r="AK8" s="214">
        <f t="shared" si="2"/>
        <v>0</v>
      </c>
      <c r="AL8" s="214">
        <f t="shared" si="2"/>
        <v>1</v>
      </c>
      <c r="AM8" s="214">
        <f t="shared" si="2"/>
        <v>1</v>
      </c>
      <c r="AN8" s="214">
        <f t="shared" si="2"/>
        <v>1</v>
      </c>
      <c r="AO8" s="214">
        <f t="shared" si="2"/>
        <v>1</v>
      </c>
      <c r="AP8" s="214">
        <f t="shared" si="2"/>
        <v>1</v>
      </c>
      <c r="AQ8" s="214">
        <f t="shared" si="2"/>
        <v>0</v>
      </c>
      <c r="AR8" s="214">
        <f t="shared" si="2"/>
        <v>0</v>
      </c>
      <c r="AS8" s="214">
        <f t="shared" si="2"/>
        <v>1</v>
      </c>
      <c r="AT8" s="214">
        <f t="shared" si="2"/>
        <v>1</v>
      </c>
      <c r="AU8" s="214">
        <f t="shared" si="2"/>
        <v>0</v>
      </c>
      <c r="AV8" s="214">
        <f t="shared" si="2"/>
        <v>0</v>
      </c>
      <c r="AW8" s="214">
        <f t="shared" si="2"/>
        <v>0</v>
      </c>
      <c r="AX8" s="214">
        <f t="shared" si="2"/>
        <v>0</v>
      </c>
      <c r="AY8" s="214">
        <f t="shared" si="2"/>
        <v>0</v>
      </c>
      <c r="AZ8" s="214">
        <f t="shared" si="2"/>
        <v>0</v>
      </c>
      <c r="BA8" s="214">
        <f t="shared" si="2"/>
        <v>0</v>
      </c>
      <c r="BB8" s="214">
        <f t="shared" si="2"/>
        <v>0</v>
      </c>
      <c r="BC8" s="214">
        <f t="shared" si="2"/>
        <v>0</v>
      </c>
      <c r="BD8" s="214">
        <f t="shared" si="2"/>
        <v>0</v>
      </c>
      <c r="BE8" s="214">
        <f t="shared" si="2"/>
        <v>0</v>
      </c>
      <c r="BF8" s="214">
        <f t="shared" si="2"/>
        <v>0</v>
      </c>
      <c r="BG8" s="214">
        <f t="shared" si="2"/>
        <v>0</v>
      </c>
      <c r="BH8" s="214">
        <f t="shared" si="2"/>
        <v>0</v>
      </c>
      <c r="BI8" s="214">
        <f t="shared" si="2"/>
        <v>0</v>
      </c>
      <c r="BJ8" s="214">
        <f t="shared" si="2"/>
        <v>0</v>
      </c>
      <c r="BK8" s="214">
        <f t="shared" si="2"/>
        <v>0</v>
      </c>
      <c r="BL8" s="214">
        <f t="shared" si="2"/>
        <v>0</v>
      </c>
      <c r="BM8" s="214">
        <f t="shared" si="2"/>
        <v>0</v>
      </c>
      <c r="BN8" s="214">
        <f t="shared" si="2"/>
        <v>0</v>
      </c>
      <c r="BO8" s="214">
        <f t="shared" si="2"/>
        <v>0</v>
      </c>
      <c r="BP8" s="214">
        <f t="shared" si="2"/>
        <v>0</v>
      </c>
      <c r="BQ8" s="214">
        <f t="shared" si="2"/>
        <v>0</v>
      </c>
      <c r="BR8" s="214">
        <f t="shared" si="2"/>
        <v>0</v>
      </c>
      <c r="BS8" s="214">
        <f t="shared" si="2"/>
        <v>0</v>
      </c>
      <c r="BT8" s="214">
        <f t="shared" si="2"/>
        <v>0</v>
      </c>
      <c r="BU8" s="214">
        <f t="shared" si="2"/>
        <v>0</v>
      </c>
      <c r="BV8" s="214">
        <f t="shared" si="2"/>
        <v>0</v>
      </c>
      <c r="BW8" s="214">
        <f t="shared" si="2"/>
        <v>0</v>
      </c>
      <c r="BX8" s="214">
        <f t="shared" si="2"/>
        <v>0</v>
      </c>
      <c r="BY8" s="214">
        <f t="shared" si="2"/>
        <v>0</v>
      </c>
      <c r="BZ8" s="214">
        <f t="shared" si="2"/>
        <v>0</v>
      </c>
      <c r="CA8" s="214">
        <f t="shared" si="2"/>
        <v>0</v>
      </c>
      <c r="CB8" s="214">
        <f t="shared" si="2"/>
        <v>0</v>
      </c>
      <c r="CC8" s="214">
        <f t="shared" si="2"/>
        <v>0</v>
      </c>
      <c r="CD8" s="214">
        <f t="shared" si="2"/>
        <v>0</v>
      </c>
      <c r="CE8" s="214">
        <f t="shared" si="2"/>
        <v>0</v>
      </c>
      <c r="CF8" s="214">
        <f t="shared" si="2"/>
        <v>0</v>
      </c>
      <c r="CG8" s="214">
        <f t="shared" si="2"/>
        <v>0</v>
      </c>
      <c r="CH8" s="214">
        <f t="shared" si="2"/>
        <v>0</v>
      </c>
      <c r="CI8" s="214">
        <f t="shared" si="2"/>
        <v>0</v>
      </c>
      <c r="CJ8" s="214">
        <f t="shared" si="2"/>
        <v>0</v>
      </c>
      <c r="CK8" s="214">
        <f t="shared" si="2"/>
        <v>0</v>
      </c>
      <c r="CL8" s="214">
        <f t="shared" si="2"/>
        <v>0</v>
      </c>
      <c r="CM8" s="214">
        <f t="shared" si="2"/>
        <v>0</v>
      </c>
      <c r="CN8" s="214">
        <f t="shared" si="2"/>
        <v>0</v>
      </c>
      <c r="CO8" s="214">
        <f t="shared" si="2"/>
        <v>0</v>
      </c>
      <c r="CP8" s="214">
        <f t="shared" si="2"/>
        <v>0</v>
      </c>
      <c r="CQ8" s="214">
        <f t="shared" si="2"/>
        <v>0</v>
      </c>
      <c r="CR8" s="214">
        <f t="shared" si="2"/>
        <v>0</v>
      </c>
      <c r="CS8" s="214">
        <f t="shared" si="2"/>
        <v>0</v>
      </c>
      <c r="CT8" s="214">
        <f t="shared" si="2"/>
        <v>0</v>
      </c>
      <c r="CU8" s="214">
        <f t="shared" si="2"/>
        <v>0</v>
      </c>
      <c r="CV8" s="214">
        <f t="shared" si="2"/>
        <v>0</v>
      </c>
      <c r="CW8" s="214">
        <f t="shared" si="2"/>
        <v>0</v>
      </c>
      <c r="CX8" s="214">
        <f t="shared" si="2"/>
        <v>0</v>
      </c>
      <c r="CY8" s="214">
        <f t="shared" si="2"/>
        <v>0</v>
      </c>
      <c r="CZ8" s="214">
        <f t="shared" si="2"/>
        <v>0</v>
      </c>
      <c r="DA8" s="214">
        <f t="shared" si="2"/>
        <v>0</v>
      </c>
      <c r="DB8" s="214">
        <f t="shared" si="2"/>
        <v>0</v>
      </c>
      <c r="DC8" s="214">
        <f t="shared" si="2"/>
        <v>0</v>
      </c>
      <c r="DD8" s="214">
        <f t="shared" si="2"/>
        <v>0</v>
      </c>
      <c r="DE8" s="214">
        <f t="shared" si="2"/>
        <v>0</v>
      </c>
      <c r="DF8" s="214">
        <f t="shared" si="2"/>
        <v>0</v>
      </c>
      <c r="DG8" s="214">
        <f t="shared" si="2"/>
        <v>0</v>
      </c>
      <c r="DH8" s="214">
        <f t="shared" si="2"/>
        <v>0</v>
      </c>
      <c r="DI8" s="214">
        <f t="shared" si="2"/>
        <v>0</v>
      </c>
      <c r="DJ8" s="214">
        <f t="shared" si="2"/>
        <v>0</v>
      </c>
      <c r="DK8" s="214">
        <f t="shared" si="2"/>
        <v>0</v>
      </c>
      <c r="DL8" s="214">
        <f t="shared" si="2"/>
        <v>0</v>
      </c>
      <c r="DM8" s="214">
        <f t="shared" si="2"/>
        <v>0</v>
      </c>
      <c r="DN8" s="214">
        <f t="shared" si="2"/>
        <v>0</v>
      </c>
      <c r="DO8" s="214">
        <f t="shared" si="2"/>
        <v>0</v>
      </c>
      <c r="DP8" s="214">
        <f t="shared" si="2"/>
        <v>0</v>
      </c>
      <c r="DQ8" s="214">
        <f t="shared" si="2"/>
        <v>0</v>
      </c>
      <c r="DR8" s="214">
        <f t="shared" si="2"/>
        <v>0</v>
      </c>
      <c r="DS8" s="214">
        <f t="shared" si="2"/>
        <v>0</v>
      </c>
      <c r="DT8" s="214">
        <f t="shared" si="2"/>
        <v>0</v>
      </c>
      <c r="DU8" s="214">
        <f t="shared" si="2"/>
        <v>0</v>
      </c>
      <c r="DV8" s="214">
        <f t="shared" si="2"/>
        <v>0</v>
      </c>
      <c r="DW8" s="214">
        <f t="shared" si="2"/>
        <v>0</v>
      </c>
      <c r="DX8" s="214">
        <f t="shared" si="2"/>
        <v>0</v>
      </c>
      <c r="DY8" s="214">
        <f t="shared" si="2"/>
        <v>0</v>
      </c>
      <c r="DZ8" s="214">
        <f t="shared" si="2"/>
        <v>0</v>
      </c>
      <c r="EA8" s="214">
        <f t="shared" si="2"/>
        <v>0</v>
      </c>
      <c r="EB8" s="214">
        <f t="shared" si="2"/>
        <v>0</v>
      </c>
      <c r="EC8" s="214">
        <f t="shared" si="2"/>
        <v>0</v>
      </c>
      <c r="ED8" s="214">
        <f t="shared" si="2"/>
        <v>0</v>
      </c>
      <c r="EE8" s="214">
        <f t="shared" si="2"/>
        <v>0</v>
      </c>
      <c r="EF8" s="214">
        <f t="shared" si="2"/>
        <v>0</v>
      </c>
      <c r="EG8" s="214">
        <f t="shared" si="2"/>
        <v>0</v>
      </c>
      <c r="EH8" s="214">
        <f t="shared" si="2"/>
        <v>0</v>
      </c>
      <c r="EI8" s="214">
        <f t="shared" si="2"/>
        <v>0</v>
      </c>
      <c r="EJ8" s="214">
        <f t="shared" si="2"/>
        <v>0</v>
      </c>
      <c r="EK8" s="214">
        <f t="shared" si="2"/>
        <v>0</v>
      </c>
      <c r="EL8" s="214">
        <f t="shared" si="2"/>
        <v>0</v>
      </c>
      <c r="EM8" s="214">
        <f t="shared" si="2"/>
        <v>0</v>
      </c>
      <c r="EN8" s="214">
        <f t="shared" si="2"/>
        <v>0</v>
      </c>
      <c r="EO8" s="214">
        <f t="shared" si="2"/>
        <v>0</v>
      </c>
      <c r="EP8" s="214">
        <f t="shared" si="2"/>
        <v>0</v>
      </c>
      <c r="EQ8" s="214">
        <f t="shared" si="2"/>
        <v>0</v>
      </c>
      <c r="ER8" s="214">
        <f t="shared" si="2"/>
        <v>0</v>
      </c>
      <c r="ES8" s="214">
        <f t="shared" si="2"/>
        <v>0</v>
      </c>
      <c r="ET8" s="214">
        <f t="shared" si="2"/>
        <v>0</v>
      </c>
      <c r="EU8" s="214">
        <f t="shared" si="2"/>
        <v>0</v>
      </c>
      <c r="EV8" s="214">
        <f t="shared" si="2"/>
        <v>0</v>
      </c>
      <c r="EW8" s="214">
        <f t="shared" si="2"/>
        <v>0</v>
      </c>
      <c r="EX8" s="214">
        <f t="shared" si="2"/>
        <v>0</v>
      </c>
      <c r="EY8" s="214">
        <f t="shared" si="2"/>
        <v>0</v>
      </c>
      <c r="EZ8" s="214">
        <f t="shared" si="2"/>
        <v>0</v>
      </c>
      <c r="FA8" s="214">
        <f t="shared" si="2"/>
        <v>0</v>
      </c>
      <c r="FB8" s="214">
        <f t="shared" si="2"/>
        <v>0</v>
      </c>
      <c r="FC8" s="214">
        <f t="shared" si="2"/>
        <v>0</v>
      </c>
      <c r="FD8" s="214">
        <f t="shared" si="2"/>
        <v>0</v>
      </c>
      <c r="FE8" s="214">
        <f t="shared" si="2"/>
        <v>0</v>
      </c>
      <c r="FF8" s="214">
        <f t="shared" si="2"/>
        <v>0</v>
      </c>
      <c r="FG8" s="214">
        <f t="shared" si="2"/>
        <v>0</v>
      </c>
      <c r="FH8" s="214">
        <f t="shared" si="2"/>
        <v>0</v>
      </c>
      <c r="FI8" s="214">
        <f t="shared" si="2"/>
        <v>0</v>
      </c>
      <c r="FJ8" s="214">
        <f t="shared" si="2"/>
        <v>0</v>
      </c>
      <c r="FK8" s="214">
        <f t="shared" si="2"/>
        <v>0</v>
      </c>
      <c r="FL8" s="214">
        <f t="shared" si="2"/>
        <v>0</v>
      </c>
      <c r="FM8" s="214">
        <f t="shared" si="2"/>
        <v>0</v>
      </c>
      <c r="FN8" s="214">
        <f t="shared" si="2"/>
        <v>0</v>
      </c>
      <c r="FO8" s="214">
        <f t="shared" si="2"/>
        <v>0</v>
      </c>
      <c r="FP8" s="214">
        <f t="shared" si="2"/>
        <v>0</v>
      </c>
      <c r="FQ8" s="214">
        <f t="shared" si="2"/>
        <v>0</v>
      </c>
      <c r="FR8" s="214">
        <f t="shared" si="2"/>
        <v>0</v>
      </c>
      <c r="FS8" s="214">
        <f t="shared" si="2"/>
        <v>0</v>
      </c>
      <c r="FT8" s="214">
        <f t="shared" si="2"/>
        <v>0</v>
      </c>
      <c r="FU8" s="214">
        <f t="shared" si="2"/>
        <v>0</v>
      </c>
      <c r="FV8" s="214">
        <f t="shared" si="2"/>
        <v>0</v>
      </c>
      <c r="FW8" s="214">
        <f t="shared" si="2"/>
        <v>0</v>
      </c>
      <c r="FX8" s="214">
        <f t="shared" si="2"/>
        <v>0</v>
      </c>
    </row>
    <row r="9" ht="12.0" customHeight="1">
      <c r="A9" s="102"/>
      <c r="B9" s="196" t="s">
        <v>195</v>
      </c>
      <c r="C9" s="197">
        <v>1.3</v>
      </c>
      <c r="D9" s="105"/>
      <c r="E9" s="244">
        <f>MIN(E13:E100)</f>
        <v>43801</v>
      </c>
      <c r="F9" s="244">
        <f>MAX(F13:F100)</f>
        <v>43830</v>
      </c>
      <c r="G9" s="198"/>
      <c r="H9" s="102"/>
      <c r="I9" s="247" t="s">
        <v>208</v>
      </c>
      <c r="J9" s="102"/>
      <c r="K9" s="102"/>
      <c r="L9" s="102"/>
      <c r="M9" s="102"/>
      <c r="N9" s="102"/>
      <c r="O9" s="102"/>
      <c r="P9" s="206"/>
      <c r="Q9" s="214">
        <f t="shared" ref="Q9:FX9" si="3">SUMIF($D13:$D300, "PG" ,Q13:Q300)</f>
        <v>1</v>
      </c>
      <c r="R9" s="214">
        <f t="shared" si="3"/>
        <v>1</v>
      </c>
      <c r="S9" s="214">
        <f t="shared" si="3"/>
        <v>1</v>
      </c>
      <c r="T9" s="214">
        <f t="shared" si="3"/>
        <v>1</v>
      </c>
      <c r="U9" s="214">
        <f t="shared" si="3"/>
        <v>1</v>
      </c>
      <c r="V9" s="214">
        <f t="shared" si="3"/>
        <v>0</v>
      </c>
      <c r="W9" s="214">
        <f t="shared" si="3"/>
        <v>0</v>
      </c>
      <c r="X9" s="214">
        <f t="shared" si="3"/>
        <v>1</v>
      </c>
      <c r="Y9" s="214">
        <f t="shared" si="3"/>
        <v>1</v>
      </c>
      <c r="Z9" s="214">
        <f t="shared" si="3"/>
        <v>1</v>
      </c>
      <c r="AA9" s="214">
        <f t="shared" si="3"/>
        <v>1</v>
      </c>
      <c r="AB9" s="214">
        <f t="shared" si="3"/>
        <v>1</v>
      </c>
      <c r="AC9" s="214">
        <f t="shared" si="3"/>
        <v>0</v>
      </c>
      <c r="AD9" s="214">
        <f t="shared" si="3"/>
        <v>0</v>
      </c>
      <c r="AE9" s="214">
        <f t="shared" si="3"/>
        <v>1</v>
      </c>
      <c r="AF9" s="214">
        <f t="shared" si="3"/>
        <v>1</v>
      </c>
      <c r="AG9" s="214">
        <f t="shared" si="3"/>
        <v>1</v>
      </c>
      <c r="AH9" s="214">
        <f t="shared" si="3"/>
        <v>1</v>
      </c>
      <c r="AI9" s="214">
        <f t="shared" si="3"/>
        <v>1</v>
      </c>
      <c r="AJ9" s="214">
        <f t="shared" si="3"/>
        <v>0</v>
      </c>
      <c r="AK9" s="214">
        <f t="shared" si="3"/>
        <v>0</v>
      </c>
      <c r="AL9" s="214">
        <f t="shared" si="3"/>
        <v>1</v>
      </c>
      <c r="AM9" s="214">
        <f t="shared" si="3"/>
        <v>1</v>
      </c>
      <c r="AN9" s="214">
        <f t="shared" si="3"/>
        <v>1</v>
      </c>
      <c r="AO9" s="214">
        <f t="shared" si="3"/>
        <v>1</v>
      </c>
      <c r="AP9" s="214">
        <f t="shared" si="3"/>
        <v>1</v>
      </c>
      <c r="AQ9" s="214">
        <f t="shared" si="3"/>
        <v>0</v>
      </c>
      <c r="AR9" s="214">
        <f t="shared" si="3"/>
        <v>0</v>
      </c>
      <c r="AS9" s="214">
        <f t="shared" si="3"/>
        <v>1</v>
      </c>
      <c r="AT9" s="214">
        <f t="shared" si="3"/>
        <v>1</v>
      </c>
      <c r="AU9" s="214">
        <f t="shared" si="3"/>
        <v>0</v>
      </c>
      <c r="AV9" s="214">
        <f t="shared" si="3"/>
        <v>0</v>
      </c>
      <c r="AW9" s="214">
        <f t="shared" si="3"/>
        <v>0</v>
      </c>
      <c r="AX9" s="214">
        <f t="shared" si="3"/>
        <v>0</v>
      </c>
      <c r="AY9" s="214">
        <f t="shared" si="3"/>
        <v>0</v>
      </c>
      <c r="AZ9" s="214">
        <f t="shared" si="3"/>
        <v>0</v>
      </c>
      <c r="BA9" s="214">
        <f t="shared" si="3"/>
        <v>0</v>
      </c>
      <c r="BB9" s="214">
        <f t="shared" si="3"/>
        <v>0</v>
      </c>
      <c r="BC9" s="214">
        <f t="shared" si="3"/>
        <v>0</v>
      </c>
      <c r="BD9" s="214">
        <f t="shared" si="3"/>
        <v>0</v>
      </c>
      <c r="BE9" s="214">
        <f t="shared" si="3"/>
        <v>0</v>
      </c>
      <c r="BF9" s="214">
        <f t="shared" si="3"/>
        <v>0</v>
      </c>
      <c r="BG9" s="214">
        <f t="shared" si="3"/>
        <v>0</v>
      </c>
      <c r="BH9" s="214">
        <f t="shared" si="3"/>
        <v>0</v>
      </c>
      <c r="BI9" s="214">
        <f t="shared" si="3"/>
        <v>0</v>
      </c>
      <c r="BJ9" s="214">
        <f t="shared" si="3"/>
        <v>0</v>
      </c>
      <c r="BK9" s="214">
        <f t="shared" si="3"/>
        <v>0</v>
      </c>
      <c r="BL9" s="214">
        <f t="shared" si="3"/>
        <v>0</v>
      </c>
      <c r="BM9" s="214">
        <f t="shared" si="3"/>
        <v>0</v>
      </c>
      <c r="BN9" s="214">
        <f t="shared" si="3"/>
        <v>0</v>
      </c>
      <c r="BO9" s="214">
        <f t="shared" si="3"/>
        <v>0</v>
      </c>
      <c r="BP9" s="214">
        <f t="shared" si="3"/>
        <v>0</v>
      </c>
      <c r="BQ9" s="214">
        <f t="shared" si="3"/>
        <v>0</v>
      </c>
      <c r="BR9" s="214">
        <f t="shared" si="3"/>
        <v>0</v>
      </c>
      <c r="BS9" s="214">
        <f t="shared" si="3"/>
        <v>0</v>
      </c>
      <c r="BT9" s="214">
        <f t="shared" si="3"/>
        <v>0</v>
      </c>
      <c r="BU9" s="214">
        <f t="shared" si="3"/>
        <v>0</v>
      </c>
      <c r="BV9" s="214">
        <f t="shared" si="3"/>
        <v>0</v>
      </c>
      <c r="BW9" s="214">
        <f t="shared" si="3"/>
        <v>0</v>
      </c>
      <c r="BX9" s="214">
        <f t="shared" si="3"/>
        <v>0</v>
      </c>
      <c r="BY9" s="214">
        <f t="shared" si="3"/>
        <v>0</v>
      </c>
      <c r="BZ9" s="214">
        <f t="shared" si="3"/>
        <v>0</v>
      </c>
      <c r="CA9" s="214">
        <f t="shared" si="3"/>
        <v>0</v>
      </c>
      <c r="CB9" s="214">
        <f t="shared" si="3"/>
        <v>0</v>
      </c>
      <c r="CC9" s="214">
        <f t="shared" si="3"/>
        <v>0</v>
      </c>
      <c r="CD9" s="214">
        <f t="shared" si="3"/>
        <v>0</v>
      </c>
      <c r="CE9" s="214">
        <f t="shared" si="3"/>
        <v>0</v>
      </c>
      <c r="CF9" s="214">
        <f t="shared" si="3"/>
        <v>0</v>
      </c>
      <c r="CG9" s="214">
        <f t="shared" si="3"/>
        <v>0</v>
      </c>
      <c r="CH9" s="214">
        <f t="shared" si="3"/>
        <v>0</v>
      </c>
      <c r="CI9" s="214">
        <f t="shared" si="3"/>
        <v>0</v>
      </c>
      <c r="CJ9" s="214">
        <f t="shared" si="3"/>
        <v>0</v>
      </c>
      <c r="CK9" s="214">
        <f t="shared" si="3"/>
        <v>0</v>
      </c>
      <c r="CL9" s="214">
        <f t="shared" si="3"/>
        <v>0</v>
      </c>
      <c r="CM9" s="214">
        <f t="shared" si="3"/>
        <v>0</v>
      </c>
      <c r="CN9" s="214">
        <f t="shared" si="3"/>
        <v>0</v>
      </c>
      <c r="CO9" s="214">
        <f t="shared" si="3"/>
        <v>0</v>
      </c>
      <c r="CP9" s="214">
        <f t="shared" si="3"/>
        <v>0</v>
      </c>
      <c r="CQ9" s="214">
        <f t="shared" si="3"/>
        <v>0</v>
      </c>
      <c r="CR9" s="214">
        <f t="shared" si="3"/>
        <v>0</v>
      </c>
      <c r="CS9" s="214">
        <f t="shared" si="3"/>
        <v>0</v>
      </c>
      <c r="CT9" s="214">
        <f t="shared" si="3"/>
        <v>0</v>
      </c>
      <c r="CU9" s="214">
        <f t="shared" si="3"/>
        <v>0</v>
      </c>
      <c r="CV9" s="214">
        <f t="shared" si="3"/>
        <v>0</v>
      </c>
      <c r="CW9" s="214">
        <f t="shared" si="3"/>
        <v>0</v>
      </c>
      <c r="CX9" s="214">
        <f t="shared" si="3"/>
        <v>0</v>
      </c>
      <c r="CY9" s="214">
        <f t="shared" si="3"/>
        <v>0</v>
      </c>
      <c r="CZ9" s="214">
        <f t="shared" si="3"/>
        <v>0</v>
      </c>
      <c r="DA9" s="214">
        <f t="shared" si="3"/>
        <v>0</v>
      </c>
      <c r="DB9" s="214">
        <f t="shared" si="3"/>
        <v>0</v>
      </c>
      <c r="DC9" s="214">
        <f t="shared" si="3"/>
        <v>0</v>
      </c>
      <c r="DD9" s="214">
        <f t="shared" si="3"/>
        <v>0</v>
      </c>
      <c r="DE9" s="214">
        <f t="shared" si="3"/>
        <v>0</v>
      </c>
      <c r="DF9" s="214">
        <f t="shared" si="3"/>
        <v>0</v>
      </c>
      <c r="DG9" s="214">
        <f t="shared" si="3"/>
        <v>0</v>
      </c>
      <c r="DH9" s="214">
        <f t="shared" si="3"/>
        <v>0</v>
      </c>
      <c r="DI9" s="214">
        <f t="shared" si="3"/>
        <v>0</v>
      </c>
      <c r="DJ9" s="214">
        <f t="shared" si="3"/>
        <v>0</v>
      </c>
      <c r="DK9" s="214">
        <f t="shared" si="3"/>
        <v>0</v>
      </c>
      <c r="DL9" s="214">
        <f t="shared" si="3"/>
        <v>0</v>
      </c>
      <c r="DM9" s="214">
        <f t="shared" si="3"/>
        <v>0</v>
      </c>
      <c r="DN9" s="214">
        <f t="shared" si="3"/>
        <v>0</v>
      </c>
      <c r="DO9" s="214">
        <f t="shared" si="3"/>
        <v>0</v>
      </c>
      <c r="DP9" s="214">
        <f t="shared" si="3"/>
        <v>0</v>
      </c>
      <c r="DQ9" s="214">
        <f t="shared" si="3"/>
        <v>0</v>
      </c>
      <c r="DR9" s="214">
        <f t="shared" si="3"/>
        <v>0</v>
      </c>
      <c r="DS9" s="214">
        <f t="shared" si="3"/>
        <v>0</v>
      </c>
      <c r="DT9" s="214">
        <f t="shared" si="3"/>
        <v>0</v>
      </c>
      <c r="DU9" s="214">
        <f t="shared" si="3"/>
        <v>0</v>
      </c>
      <c r="DV9" s="214">
        <f t="shared" si="3"/>
        <v>0</v>
      </c>
      <c r="DW9" s="214">
        <f t="shared" si="3"/>
        <v>0</v>
      </c>
      <c r="DX9" s="214">
        <f t="shared" si="3"/>
        <v>0</v>
      </c>
      <c r="DY9" s="214">
        <f t="shared" si="3"/>
        <v>0</v>
      </c>
      <c r="DZ9" s="214">
        <f t="shared" si="3"/>
        <v>0</v>
      </c>
      <c r="EA9" s="214">
        <f t="shared" si="3"/>
        <v>0</v>
      </c>
      <c r="EB9" s="214">
        <f t="shared" si="3"/>
        <v>0</v>
      </c>
      <c r="EC9" s="214">
        <f t="shared" si="3"/>
        <v>0</v>
      </c>
      <c r="ED9" s="214">
        <f t="shared" si="3"/>
        <v>0</v>
      </c>
      <c r="EE9" s="214">
        <f t="shared" si="3"/>
        <v>0</v>
      </c>
      <c r="EF9" s="214">
        <f t="shared" si="3"/>
        <v>0</v>
      </c>
      <c r="EG9" s="214">
        <f t="shared" si="3"/>
        <v>0</v>
      </c>
      <c r="EH9" s="214">
        <f t="shared" si="3"/>
        <v>0</v>
      </c>
      <c r="EI9" s="214">
        <f t="shared" si="3"/>
        <v>0</v>
      </c>
      <c r="EJ9" s="214">
        <f t="shared" si="3"/>
        <v>0</v>
      </c>
      <c r="EK9" s="214">
        <f t="shared" si="3"/>
        <v>0</v>
      </c>
      <c r="EL9" s="214">
        <f t="shared" si="3"/>
        <v>0</v>
      </c>
      <c r="EM9" s="214">
        <f t="shared" si="3"/>
        <v>0</v>
      </c>
      <c r="EN9" s="214">
        <f t="shared" si="3"/>
        <v>0</v>
      </c>
      <c r="EO9" s="214">
        <f t="shared" si="3"/>
        <v>0</v>
      </c>
      <c r="EP9" s="214">
        <f t="shared" si="3"/>
        <v>0</v>
      </c>
      <c r="EQ9" s="214">
        <f t="shared" si="3"/>
        <v>0</v>
      </c>
      <c r="ER9" s="214">
        <f t="shared" si="3"/>
        <v>0</v>
      </c>
      <c r="ES9" s="214">
        <f t="shared" si="3"/>
        <v>0</v>
      </c>
      <c r="ET9" s="214">
        <f t="shared" si="3"/>
        <v>0</v>
      </c>
      <c r="EU9" s="214">
        <f t="shared" si="3"/>
        <v>0</v>
      </c>
      <c r="EV9" s="214">
        <f t="shared" si="3"/>
        <v>0</v>
      </c>
      <c r="EW9" s="214">
        <f t="shared" si="3"/>
        <v>0</v>
      </c>
      <c r="EX9" s="214">
        <f t="shared" si="3"/>
        <v>0</v>
      </c>
      <c r="EY9" s="214">
        <f t="shared" si="3"/>
        <v>0</v>
      </c>
      <c r="EZ9" s="214">
        <f t="shared" si="3"/>
        <v>0</v>
      </c>
      <c r="FA9" s="214">
        <f t="shared" si="3"/>
        <v>0</v>
      </c>
      <c r="FB9" s="214">
        <f t="shared" si="3"/>
        <v>0</v>
      </c>
      <c r="FC9" s="214">
        <f t="shared" si="3"/>
        <v>0</v>
      </c>
      <c r="FD9" s="214">
        <f t="shared" si="3"/>
        <v>0</v>
      </c>
      <c r="FE9" s="214">
        <f t="shared" si="3"/>
        <v>0</v>
      </c>
      <c r="FF9" s="214">
        <f t="shared" si="3"/>
        <v>0</v>
      </c>
      <c r="FG9" s="214">
        <f t="shared" si="3"/>
        <v>0</v>
      </c>
      <c r="FH9" s="214">
        <f t="shared" si="3"/>
        <v>0</v>
      </c>
      <c r="FI9" s="214">
        <f t="shared" si="3"/>
        <v>0</v>
      </c>
      <c r="FJ9" s="214">
        <f t="shared" si="3"/>
        <v>0</v>
      </c>
      <c r="FK9" s="214">
        <f t="shared" si="3"/>
        <v>0</v>
      </c>
      <c r="FL9" s="214">
        <f t="shared" si="3"/>
        <v>0</v>
      </c>
      <c r="FM9" s="214">
        <f t="shared" si="3"/>
        <v>0</v>
      </c>
      <c r="FN9" s="214">
        <f t="shared" si="3"/>
        <v>0</v>
      </c>
      <c r="FO9" s="214">
        <f t="shared" si="3"/>
        <v>0</v>
      </c>
      <c r="FP9" s="214">
        <f t="shared" si="3"/>
        <v>0</v>
      </c>
      <c r="FQ9" s="214">
        <f t="shared" si="3"/>
        <v>0</v>
      </c>
      <c r="FR9" s="214">
        <f t="shared" si="3"/>
        <v>0</v>
      </c>
      <c r="FS9" s="214">
        <f t="shared" si="3"/>
        <v>0</v>
      </c>
      <c r="FT9" s="214">
        <f t="shared" si="3"/>
        <v>0</v>
      </c>
      <c r="FU9" s="214">
        <f t="shared" si="3"/>
        <v>0</v>
      </c>
      <c r="FV9" s="214">
        <f t="shared" si="3"/>
        <v>0</v>
      </c>
      <c r="FW9" s="214">
        <f t="shared" si="3"/>
        <v>0</v>
      </c>
      <c r="FX9" s="214">
        <f t="shared" si="3"/>
        <v>0</v>
      </c>
    </row>
    <row r="10" ht="12.0" customHeight="1">
      <c r="A10" s="102"/>
      <c r="B10" s="196"/>
      <c r="C10" s="197"/>
      <c r="D10" s="105"/>
      <c r="E10" s="102"/>
      <c r="F10" s="102"/>
      <c r="G10" s="198"/>
      <c r="H10" s="102"/>
      <c r="I10" s="278" t="s">
        <v>327</v>
      </c>
      <c r="J10" s="102"/>
      <c r="K10" s="102"/>
      <c r="L10" s="102"/>
      <c r="M10" s="102"/>
      <c r="N10" s="102"/>
      <c r="O10" s="102"/>
      <c r="P10" s="206"/>
      <c r="Q10" s="279">
        <f t="shared" ref="Q10:FX10" si="4">SUMIF($D13:$D300, "Front" ,Q13:Q300)</f>
        <v>0</v>
      </c>
      <c r="R10" s="279">
        <f t="shared" si="4"/>
        <v>0</v>
      </c>
      <c r="S10" s="279">
        <f t="shared" si="4"/>
        <v>0</v>
      </c>
      <c r="T10" s="279">
        <f t="shared" si="4"/>
        <v>0</v>
      </c>
      <c r="U10" s="279">
        <f t="shared" si="4"/>
        <v>0</v>
      </c>
      <c r="V10" s="279">
        <f t="shared" si="4"/>
        <v>0</v>
      </c>
      <c r="W10" s="279">
        <f t="shared" si="4"/>
        <v>0</v>
      </c>
      <c r="X10" s="279">
        <f t="shared" si="4"/>
        <v>0</v>
      </c>
      <c r="Y10" s="279">
        <f t="shared" si="4"/>
        <v>0</v>
      </c>
      <c r="Z10" s="279">
        <f t="shared" si="4"/>
        <v>0</v>
      </c>
      <c r="AA10" s="279">
        <f t="shared" si="4"/>
        <v>0</v>
      </c>
      <c r="AB10" s="279">
        <f t="shared" si="4"/>
        <v>0</v>
      </c>
      <c r="AC10" s="279">
        <f t="shared" si="4"/>
        <v>0</v>
      </c>
      <c r="AD10" s="279">
        <f t="shared" si="4"/>
        <v>0</v>
      </c>
      <c r="AE10" s="279">
        <f t="shared" si="4"/>
        <v>0</v>
      </c>
      <c r="AF10" s="279">
        <f t="shared" si="4"/>
        <v>0</v>
      </c>
      <c r="AG10" s="279">
        <f t="shared" si="4"/>
        <v>0</v>
      </c>
      <c r="AH10" s="279">
        <f t="shared" si="4"/>
        <v>0</v>
      </c>
      <c r="AI10" s="279">
        <f t="shared" si="4"/>
        <v>0</v>
      </c>
      <c r="AJ10" s="279">
        <f t="shared" si="4"/>
        <v>0</v>
      </c>
      <c r="AK10" s="279">
        <f t="shared" si="4"/>
        <v>0</v>
      </c>
      <c r="AL10" s="279">
        <f t="shared" si="4"/>
        <v>0</v>
      </c>
      <c r="AM10" s="279">
        <f t="shared" si="4"/>
        <v>0</v>
      </c>
      <c r="AN10" s="279">
        <f t="shared" si="4"/>
        <v>0</v>
      </c>
      <c r="AO10" s="279">
        <f t="shared" si="4"/>
        <v>0</v>
      </c>
      <c r="AP10" s="279">
        <f t="shared" si="4"/>
        <v>0</v>
      </c>
      <c r="AQ10" s="279">
        <f t="shared" si="4"/>
        <v>0</v>
      </c>
      <c r="AR10" s="279">
        <f t="shared" si="4"/>
        <v>0</v>
      </c>
      <c r="AS10" s="279">
        <f t="shared" si="4"/>
        <v>0</v>
      </c>
      <c r="AT10" s="279">
        <f t="shared" si="4"/>
        <v>0</v>
      </c>
      <c r="AU10" s="279">
        <f t="shared" si="4"/>
        <v>0</v>
      </c>
      <c r="AV10" s="279">
        <f t="shared" si="4"/>
        <v>0</v>
      </c>
      <c r="AW10" s="279">
        <f t="shared" si="4"/>
        <v>0</v>
      </c>
      <c r="AX10" s="279">
        <f t="shared" si="4"/>
        <v>0</v>
      </c>
      <c r="AY10" s="279">
        <f t="shared" si="4"/>
        <v>0</v>
      </c>
      <c r="AZ10" s="279">
        <f t="shared" si="4"/>
        <v>0</v>
      </c>
      <c r="BA10" s="279">
        <f t="shared" si="4"/>
        <v>0</v>
      </c>
      <c r="BB10" s="279">
        <f t="shared" si="4"/>
        <v>0</v>
      </c>
      <c r="BC10" s="279">
        <f t="shared" si="4"/>
        <v>0</v>
      </c>
      <c r="BD10" s="279">
        <f t="shared" si="4"/>
        <v>0</v>
      </c>
      <c r="BE10" s="279">
        <f t="shared" si="4"/>
        <v>0</v>
      </c>
      <c r="BF10" s="279">
        <f t="shared" si="4"/>
        <v>0</v>
      </c>
      <c r="BG10" s="279">
        <f t="shared" si="4"/>
        <v>0</v>
      </c>
      <c r="BH10" s="279">
        <f t="shared" si="4"/>
        <v>0</v>
      </c>
      <c r="BI10" s="279">
        <f t="shared" si="4"/>
        <v>0</v>
      </c>
      <c r="BJ10" s="279">
        <f t="shared" si="4"/>
        <v>0</v>
      </c>
      <c r="BK10" s="279">
        <f t="shared" si="4"/>
        <v>0</v>
      </c>
      <c r="BL10" s="279">
        <f t="shared" si="4"/>
        <v>0</v>
      </c>
      <c r="BM10" s="279">
        <f t="shared" si="4"/>
        <v>0</v>
      </c>
      <c r="BN10" s="279">
        <f t="shared" si="4"/>
        <v>0</v>
      </c>
      <c r="BO10" s="279">
        <f t="shared" si="4"/>
        <v>0</v>
      </c>
      <c r="BP10" s="279">
        <f t="shared" si="4"/>
        <v>0</v>
      </c>
      <c r="BQ10" s="279">
        <f t="shared" si="4"/>
        <v>0</v>
      </c>
      <c r="BR10" s="279">
        <f t="shared" si="4"/>
        <v>0</v>
      </c>
      <c r="BS10" s="279">
        <f t="shared" si="4"/>
        <v>0</v>
      </c>
      <c r="BT10" s="279">
        <f t="shared" si="4"/>
        <v>0</v>
      </c>
      <c r="BU10" s="279">
        <f t="shared" si="4"/>
        <v>0</v>
      </c>
      <c r="BV10" s="279">
        <f t="shared" si="4"/>
        <v>0</v>
      </c>
      <c r="BW10" s="279">
        <f t="shared" si="4"/>
        <v>0</v>
      </c>
      <c r="BX10" s="279">
        <f t="shared" si="4"/>
        <v>0</v>
      </c>
      <c r="BY10" s="279">
        <f t="shared" si="4"/>
        <v>0</v>
      </c>
      <c r="BZ10" s="279">
        <f t="shared" si="4"/>
        <v>0</v>
      </c>
      <c r="CA10" s="279">
        <f t="shared" si="4"/>
        <v>0</v>
      </c>
      <c r="CB10" s="279">
        <f t="shared" si="4"/>
        <v>0</v>
      </c>
      <c r="CC10" s="279">
        <f t="shared" si="4"/>
        <v>0</v>
      </c>
      <c r="CD10" s="279">
        <f t="shared" si="4"/>
        <v>0</v>
      </c>
      <c r="CE10" s="279">
        <f t="shared" si="4"/>
        <v>0</v>
      </c>
      <c r="CF10" s="279">
        <f t="shared" si="4"/>
        <v>0</v>
      </c>
      <c r="CG10" s="279">
        <f t="shared" si="4"/>
        <v>0</v>
      </c>
      <c r="CH10" s="279">
        <f t="shared" si="4"/>
        <v>0</v>
      </c>
      <c r="CI10" s="279">
        <f t="shared" si="4"/>
        <v>0</v>
      </c>
      <c r="CJ10" s="279">
        <f t="shared" si="4"/>
        <v>0</v>
      </c>
      <c r="CK10" s="279">
        <f t="shared" si="4"/>
        <v>0</v>
      </c>
      <c r="CL10" s="279">
        <f t="shared" si="4"/>
        <v>0</v>
      </c>
      <c r="CM10" s="279">
        <f t="shared" si="4"/>
        <v>0</v>
      </c>
      <c r="CN10" s="279">
        <f t="shared" si="4"/>
        <v>0</v>
      </c>
      <c r="CO10" s="279">
        <f t="shared" si="4"/>
        <v>0</v>
      </c>
      <c r="CP10" s="279">
        <f t="shared" si="4"/>
        <v>0</v>
      </c>
      <c r="CQ10" s="279">
        <f t="shared" si="4"/>
        <v>0</v>
      </c>
      <c r="CR10" s="279">
        <f t="shared" si="4"/>
        <v>0</v>
      </c>
      <c r="CS10" s="279">
        <f t="shared" si="4"/>
        <v>0</v>
      </c>
      <c r="CT10" s="279">
        <f t="shared" si="4"/>
        <v>0</v>
      </c>
      <c r="CU10" s="279">
        <f t="shared" si="4"/>
        <v>0</v>
      </c>
      <c r="CV10" s="279">
        <f t="shared" si="4"/>
        <v>0</v>
      </c>
      <c r="CW10" s="279">
        <f t="shared" si="4"/>
        <v>0</v>
      </c>
      <c r="CX10" s="279">
        <f t="shared" si="4"/>
        <v>0</v>
      </c>
      <c r="CY10" s="279">
        <f t="shared" si="4"/>
        <v>0</v>
      </c>
      <c r="CZ10" s="279">
        <f t="shared" si="4"/>
        <v>0</v>
      </c>
      <c r="DA10" s="279">
        <f t="shared" si="4"/>
        <v>0</v>
      </c>
      <c r="DB10" s="279">
        <f t="shared" si="4"/>
        <v>0</v>
      </c>
      <c r="DC10" s="279">
        <f t="shared" si="4"/>
        <v>0</v>
      </c>
      <c r="DD10" s="279">
        <f t="shared" si="4"/>
        <v>0</v>
      </c>
      <c r="DE10" s="279">
        <f t="shared" si="4"/>
        <v>0</v>
      </c>
      <c r="DF10" s="279">
        <f t="shared" si="4"/>
        <v>0</v>
      </c>
      <c r="DG10" s="279">
        <f t="shared" si="4"/>
        <v>0</v>
      </c>
      <c r="DH10" s="279">
        <f t="shared" si="4"/>
        <v>0</v>
      </c>
      <c r="DI10" s="279">
        <f t="shared" si="4"/>
        <v>0</v>
      </c>
      <c r="DJ10" s="279">
        <f t="shared" si="4"/>
        <v>0</v>
      </c>
      <c r="DK10" s="279">
        <f t="shared" si="4"/>
        <v>0</v>
      </c>
      <c r="DL10" s="279">
        <f t="shared" si="4"/>
        <v>0</v>
      </c>
      <c r="DM10" s="279">
        <f t="shared" si="4"/>
        <v>0</v>
      </c>
      <c r="DN10" s="279">
        <f t="shared" si="4"/>
        <v>0</v>
      </c>
      <c r="DO10" s="279">
        <f t="shared" si="4"/>
        <v>0</v>
      </c>
      <c r="DP10" s="279">
        <f t="shared" si="4"/>
        <v>0</v>
      </c>
      <c r="DQ10" s="279">
        <f t="shared" si="4"/>
        <v>0</v>
      </c>
      <c r="DR10" s="279">
        <f t="shared" si="4"/>
        <v>0</v>
      </c>
      <c r="DS10" s="279">
        <f t="shared" si="4"/>
        <v>0</v>
      </c>
      <c r="DT10" s="279">
        <f t="shared" si="4"/>
        <v>0</v>
      </c>
      <c r="DU10" s="279">
        <f t="shared" si="4"/>
        <v>0</v>
      </c>
      <c r="DV10" s="279">
        <f t="shared" si="4"/>
        <v>0</v>
      </c>
      <c r="DW10" s="279">
        <f t="shared" si="4"/>
        <v>0</v>
      </c>
      <c r="DX10" s="279">
        <f t="shared" si="4"/>
        <v>0</v>
      </c>
      <c r="DY10" s="279">
        <f t="shared" si="4"/>
        <v>0</v>
      </c>
      <c r="DZ10" s="279">
        <f t="shared" si="4"/>
        <v>0</v>
      </c>
      <c r="EA10" s="279">
        <f t="shared" si="4"/>
        <v>0</v>
      </c>
      <c r="EB10" s="279">
        <f t="shared" si="4"/>
        <v>0</v>
      </c>
      <c r="EC10" s="279">
        <f t="shared" si="4"/>
        <v>0</v>
      </c>
      <c r="ED10" s="279">
        <f t="shared" si="4"/>
        <v>0</v>
      </c>
      <c r="EE10" s="279">
        <f t="shared" si="4"/>
        <v>0</v>
      </c>
      <c r="EF10" s="279">
        <f t="shared" si="4"/>
        <v>0</v>
      </c>
      <c r="EG10" s="279">
        <f t="shared" si="4"/>
        <v>0</v>
      </c>
      <c r="EH10" s="279">
        <f t="shared" si="4"/>
        <v>0</v>
      </c>
      <c r="EI10" s="279">
        <f t="shared" si="4"/>
        <v>0</v>
      </c>
      <c r="EJ10" s="279">
        <f t="shared" si="4"/>
        <v>0</v>
      </c>
      <c r="EK10" s="279">
        <f t="shared" si="4"/>
        <v>0</v>
      </c>
      <c r="EL10" s="279">
        <f t="shared" si="4"/>
        <v>0</v>
      </c>
      <c r="EM10" s="279">
        <f t="shared" si="4"/>
        <v>0</v>
      </c>
      <c r="EN10" s="279">
        <f t="shared" si="4"/>
        <v>0</v>
      </c>
      <c r="EO10" s="279">
        <f t="shared" si="4"/>
        <v>0</v>
      </c>
      <c r="EP10" s="279">
        <f t="shared" si="4"/>
        <v>0</v>
      </c>
      <c r="EQ10" s="279">
        <f t="shared" si="4"/>
        <v>0</v>
      </c>
      <c r="ER10" s="279">
        <f t="shared" si="4"/>
        <v>0</v>
      </c>
      <c r="ES10" s="279">
        <f t="shared" si="4"/>
        <v>0</v>
      </c>
      <c r="ET10" s="279">
        <f t="shared" si="4"/>
        <v>0</v>
      </c>
      <c r="EU10" s="279">
        <f t="shared" si="4"/>
        <v>0</v>
      </c>
      <c r="EV10" s="279">
        <f t="shared" si="4"/>
        <v>0</v>
      </c>
      <c r="EW10" s="279">
        <f t="shared" si="4"/>
        <v>0</v>
      </c>
      <c r="EX10" s="279">
        <f t="shared" si="4"/>
        <v>0</v>
      </c>
      <c r="EY10" s="279">
        <f t="shared" si="4"/>
        <v>0</v>
      </c>
      <c r="EZ10" s="279">
        <f t="shared" si="4"/>
        <v>0</v>
      </c>
      <c r="FA10" s="279">
        <f t="shared" si="4"/>
        <v>0</v>
      </c>
      <c r="FB10" s="279">
        <f t="shared" si="4"/>
        <v>0</v>
      </c>
      <c r="FC10" s="279">
        <f t="shared" si="4"/>
        <v>0</v>
      </c>
      <c r="FD10" s="279">
        <f t="shared" si="4"/>
        <v>0</v>
      </c>
      <c r="FE10" s="279">
        <f t="shared" si="4"/>
        <v>0</v>
      </c>
      <c r="FF10" s="279">
        <f t="shared" si="4"/>
        <v>0</v>
      </c>
      <c r="FG10" s="279">
        <f t="shared" si="4"/>
        <v>0</v>
      </c>
      <c r="FH10" s="279">
        <f t="shared" si="4"/>
        <v>0</v>
      </c>
      <c r="FI10" s="279">
        <f t="shared" si="4"/>
        <v>0</v>
      </c>
      <c r="FJ10" s="279">
        <f t="shared" si="4"/>
        <v>0</v>
      </c>
      <c r="FK10" s="279">
        <f t="shared" si="4"/>
        <v>0</v>
      </c>
      <c r="FL10" s="279">
        <f t="shared" si="4"/>
        <v>0</v>
      </c>
      <c r="FM10" s="279">
        <f t="shared" si="4"/>
        <v>0</v>
      </c>
      <c r="FN10" s="279">
        <f t="shared" si="4"/>
        <v>0</v>
      </c>
      <c r="FO10" s="279">
        <f t="shared" si="4"/>
        <v>0</v>
      </c>
      <c r="FP10" s="279">
        <f t="shared" si="4"/>
        <v>0</v>
      </c>
      <c r="FQ10" s="279">
        <f t="shared" si="4"/>
        <v>0</v>
      </c>
      <c r="FR10" s="279">
        <f t="shared" si="4"/>
        <v>0</v>
      </c>
      <c r="FS10" s="279">
        <f t="shared" si="4"/>
        <v>0</v>
      </c>
      <c r="FT10" s="279">
        <f t="shared" si="4"/>
        <v>0</v>
      </c>
      <c r="FU10" s="279">
        <f t="shared" si="4"/>
        <v>0</v>
      </c>
      <c r="FV10" s="279">
        <f t="shared" si="4"/>
        <v>0</v>
      </c>
      <c r="FW10" s="279">
        <f t="shared" si="4"/>
        <v>0</v>
      </c>
      <c r="FX10" s="279">
        <f t="shared" si="4"/>
        <v>0</v>
      </c>
    </row>
    <row r="11" ht="12.0" customHeight="1">
      <c r="A11" s="102"/>
      <c r="B11" s="196"/>
      <c r="C11" s="197"/>
      <c r="D11" s="105"/>
      <c r="E11" s="102"/>
      <c r="F11" s="102"/>
      <c r="G11" s="198" t="s">
        <v>26</v>
      </c>
      <c r="H11" s="102"/>
      <c r="I11" s="199" t="s">
        <v>26</v>
      </c>
      <c r="J11" s="102"/>
      <c r="K11" s="316"/>
      <c r="L11" s="102"/>
      <c r="M11" s="102"/>
      <c r="N11" s="102"/>
      <c r="O11" s="102"/>
      <c r="P11" s="317" t="s">
        <v>404</v>
      </c>
      <c r="Q11" s="214" t="str">
        <f>IF(Month(Q12)=Month(R12),"",Month(Q12))</f>
        <v/>
      </c>
      <c r="R11" s="214" t="str">
        <f t="shared" ref="R11:FX11" si="5">IF(Month(R12)=Month(Q12),"",Month(R12))</f>
        <v/>
      </c>
      <c r="S11" s="214" t="str">
        <f t="shared" si="5"/>
        <v/>
      </c>
      <c r="T11" s="214" t="str">
        <f t="shared" si="5"/>
        <v/>
      </c>
      <c r="U11" s="214" t="str">
        <f t="shared" si="5"/>
        <v/>
      </c>
      <c r="V11" s="214" t="str">
        <f t="shared" si="5"/>
        <v/>
      </c>
      <c r="W11" s="214" t="str">
        <f t="shared" si="5"/>
        <v/>
      </c>
      <c r="X11" s="214" t="str">
        <f t="shared" si="5"/>
        <v/>
      </c>
      <c r="Y11" s="214" t="str">
        <f t="shared" si="5"/>
        <v/>
      </c>
      <c r="Z11" s="214" t="str">
        <f t="shared" si="5"/>
        <v/>
      </c>
      <c r="AA11" s="214" t="str">
        <f t="shared" si="5"/>
        <v/>
      </c>
      <c r="AB11" s="214" t="str">
        <f t="shared" si="5"/>
        <v/>
      </c>
      <c r="AC11" s="214" t="str">
        <f t="shared" si="5"/>
        <v/>
      </c>
      <c r="AD11" s="214" t="str">
        <f t="shared" si="5"/>
        <v/>
      </c>
      <c r="AE11" s="214" t="str">
        <f t="shared" si="5"/>
        <v/>
      </c>
      <c r="AF11" s="214" t="str">
        <f t="shared" si="5"/>
        <v/>
      </c>
      <c r="AG11" s="214" t="str">
        <f t="shared" si="5"/>
        <v/>
      </c>
      <c r="AH11" s="214" t="str">
        <f t="shared" si="5"/>
        <v/>
      </c>
      <c r="AI11" s="214" t="str">
        <f t="shared" si="5"/>
        <v/>
      </c>
      <c r="AJ11" s="214" t="str">
        <f t="shared" si="5"/>
        <v/>
      </c>
      <c r="AK11" s="214" t="str">
        <f t="shared" si="5"/>
        <v/>
      </c>
      <c r="AL11" s="214" t="str">
        <f t="shared" si="5"/>
        <v/>
      </c>
      <c r="AM11" s="214" t="str">
        <f t="shared" si="5"/>
        <v/>
      </c>
      <c r="AN11" s="214" t="str">
        <f t="shared" si="5"/>
        <v/>
      </c>
      <c r="AO11" s="214" t="str">
        <f t="shared" si="5"/>
        <v/>
      </c>
      <c r="AP11" s="214" t="str">
        <f t="shared" si="5"/>
        <v/>
      </c>
      <c r="AQ11" s="214" t="str">
        <f t="shared" si="5"/>
        <v/>
      </c>
      <c r="AR11" s="214" t="str">
        <f t="shared" si="5"/>
        <v/>
      </c>
      <c r="AS11" s="214" t="str">
        <f t="shared" si="5"/>
        <v/>
      </c>
      <c r="AT11" s="214" t="str">
        <f t="shared" si="5"/>
        <v/>
      </c>
      <c r="AU11" s="214">
        <f t="shared" si="5"/>
        <v>1</v>
      </c>
      <c r="AV11" s="214" t="str">
        <f t="shared" si="5"/>
        <v/>
      </c>
      <c r="AW11" s="214" t="str">
        <f t="shared" si="5"/>
        <v/>
      </c>
      <c r="AX11" s="214" t="str">
        <f t="shared" si="5"/>
        <v/>
      </c>
      <c r="AY11" s="214" t="str">
        <f t="shared" si="5"/>
        <v/>
      </c>
      <c r="AZ11" s="214" t="str">
        <f t="shared" si="5"/>
        <v/>
      </c>
      <c r="BA11" s="214" t="str">
        <f t="shared" si="5"/>
        <v/>
      </c>
      <c r="BB11" s="214" t="str">
        <f t="shared" si="5"/>
        <v/>
      </c>
      <c r="BC11" s="214" t="str">
        <f t="shared" si="5"/>
        <v/>
      </c>
      <c r="BD11" s="214" t="str">
        <f t="shared" si="5"/>
        <v/>
      </c>
      <c r="BE11" s="214" t="str">
        <f t="shared" si="5"/>
        <v/>
      </c>
      <c r="BF11" s="214" t="str">
        <f t="shared" si="5"/>
        <v/>
      </c>
      <c r="BG11" s="214" t="str">
        <f t="shared" si="5"/>
        <v/>
      </c>
      <c r="BH11" s="214" t="str">
        <f t="shared" si="5"/>
        <v/>
      </c>
      <c r="BI11" s="214" t="str">
        <f t="shared" si="5"/>
        <v/>
      </c>
      <c r="BJ11" s="214" t="str">
        <f t="shared" si="5"/>
        <v/>
      </c>
      <c r="BK11" s="214" t="str">
        <f t="shared" si="5"/>
        <v/>
      </c>
      <c r="BL11" s="214" t="str">
        <f t="shared" si="5"/>
        <v/>
      </c>
      <c r="BM11" s="214" t="str">
        <f t="shared" si="5"/>
        <v/>
      </c>
      <c r="BN11" s="214" t="str">
        <f t="shared" si="5"/>
        <v/>
      </c>
      <c r="BO11" s="214" t="str">
        <f t="shared" si="5"/>
        <v/>
      </c>
      <c r="BP11" s="214" t="str">
        <f t="shared" si="5"/>
        <v/>
      </c>
      <c r="BQ11" s="214" t="str">
        <f t="shared" si="5"/>
        <v/>
      </c>
      <c r="BR11" s="214" t="str">
        <f t="shared" si="5"/>
        <v/>
      </c>
      <c r="BS11" s="214" t="str">
        <f t="shared" si="5"/>
        <v/>
      </c>
      <c r="BT11" s="214" t="str">
        <f t="shared" si="5"/>
        <v/>
      </c>
      <c r="BU11" s="214" t="str">
        <f t="shared" si="5"/>
        <v/>
      </c>
      <c r="BV11" s="214" t="str">
        <f t="shared" si="5"/>
        <v/>
      </c>
      <c r="BW11" s="214" t="str">
        <f t="shared" si="5"/>
        <v/>
      </c>
      <c r="BX11" s="214" t="str">
        <f t="shared" si="5"/>
        <v/>
      </c>
      <c r="BY11" s="214" t="str">
        <f t="shared" si="5"/>
        <v/>
      </c>
      <c r="BZ11" s="214">
        <f t="shared" si="5"/>
        <v>2</v>
      </c>
      <c r="CA11" s="214" t="str">
        <f t="shared" si="5"/>
        <v/>
      </c>
      <c r="CB11" s="214" t="str">
        <f t="shared" si="5"/>
        <v/>
      </c>
      <c r="CC11" s="214" t="str">
        <f t="shared" si="5"/>
        <v/>
      </c>
      <c r="CD11" s="214" t="str">
        <f t="shared" si="5"/>
        <v/>
      </c>
      <c r="CE11" s="214" t="str">
        <f t="shared" si="5"/>
        <v/>
      </c>
      <c r="CF11" s="214" t="str">
        <f t="shared" si="5"/>
        <v/>
      </c>
      <c r="CG11" s="214" t="str">
        <f t="shared" si="5"/>
        <v/>
      </c>
      <c r="CH11" s="214" t="str">
        <f t="shared" si="5"/>
        <v/>
      </c>
      <c r="CI11" s="214" t="str">
        <f t="shared" si="5"/>
        <v/>
      </c>
      <c r="CJ11" s="214" t="str">
        <f t="shared" si="5"/>
        <v/>
      </c>
      <c r="CK11" s="214" t="str">
        <f t="shared" si="5"/>
        <v/>
      </c>
      <c r="CL11" s="214" t="str">
        <f t="shared" si="5"/>
        <v/>
      </c>
      <c r="CM11" s="214" t="str">
        <f t="shared" si="5"/>
        <v/>
      </c>
      <c r="CN11" s="214" t="str">
        <f t="shared" si="5"/>
        <v/>
      </c>
      <c r="CO11" s="214" t="str">
        <f t="shared" si="5"/>
        <v/>
      </c>
      <c r="CP11" s="214" t="str">
        <f t="shared" si="5"/>
        <v/>
      </c>
      <c r="CQ11" s="214" t="str">
        <f t="shared" si="5"/>
        <v/>
      </c>
      <c r="CR11" s="214" t="str">
        <f t="shared" si="5"/>
        <v/>
      </c>
      <c r="CS11" s="214" t="str">
        <f t="shared" si="5"/>
        <v/>
      </c>
      <c r="CT11" s="214" t="str">
        <f t="shared" si="5"/>
        <v/>
      </c>
      <c r="CU11" s="214" t="str">
        <f t="shared" si="5"/>
        <v/>
      </c>
      <c r="CV11" s="214" t="str">
        <f t="shared" si="5"/>
        <v/>
      </c>
      <c r="CW11" s="214" t="str">
        <f t="shared" si="5"/>
        <v/>
      </c>
      <c r="CX11" s="214" t="str">
        <f t="shared" si="5"/>
        <v/>
      </c>
      <c r="CY11" s="214" t="str">
        <f t="shared" si="5"/>
        <v/>
      </c>
      <c r="CZ11" s="214" t="str">
        <f t="shared" si="5"/>
        <v/>
      </c>
      <c r="DA11" s="214" t="str">
        <f t="shared" si="5"/>
        <v/>
      </c>
      <c r="DB11" s="214" t="str">
        <f t="shared" si="5"/>
        <v/>
      </c>
      <c r="DC11" s="214">
        <f t="shared" si="5"/>
        <v>3</v>
      </c>
      <c r="DD11" s="214" t="str">
        <f t="shared" si="5"/>
        <v/>
      </c>
      <c r="DE11" s="214" t="str">
        <f t="shared" si="5"/>
        <v/>
      </c>
      <c r="DF11" s="214" t="str">
        <f t="shared" si="5"/>
        <v/>
      </c>
      <c r="DG11" s="214" t="str">
        <f t="shared" si="5"/>
        <v/>
      </c>
      <c r="DH11" s="214" t="str">
        <f t="shared" si="5"/>
        <v/>
      </c>
      <c r="DI11" s="214" t="str">
        <f t="shared" si="5"/>
        <v/>
      </c>
      <c r="DJ11" s="214" t="str">
        <f t="shared" si="5"/>
        <v/>
      </c>
      <c r="DK11" s="214" t="str">
        <f t="shared" si="5"/>
        <v/>
      </c>
      <c r="DL11" s="214" t="str">
        <f t="shared" si="5"/>
        <v/>
      </c>
      <c r="DM11" s="214" t="str">
        <f t="shared" si="5"/>
        <v/>
      </c>
      <c r="DN11" s="214" t="str">
        <f t="shared" si="5"/>
        <v/>
      </c>
      <c r="DO11" s="214" t="str">
        <f t="shared" si="5"/>
        <v/>
      </c>
      <c r="DP11" s="214" t="str">
        <f t="shared" si="5"/>
        <v/>
      </c>
      <c r="DQ11" s="214" t="str">
        <f t="shared" si="5"/>
        <v/>
      </c>
      <c r="DR11" s="214" t="str">
        <f t="shared" si="5"/>
        <v/>
      </c>
      <c r="DS11" s="214" t="str">
        <f t="shared" si="5"/>
        <v/>
      </c>
      <c r="DT11" s="214" t="str">
        <f t="shared" si="5"/>
        <v/>
      </c>
      <c r="DU11" s="214" t="str">
        <f t="shared" si="5"/>
        <v/>
      </c>
      <c r="DV11" s="214" t="str">
        <f t="shared" si="5"/>
        <v/>
      </c>
      <c r="DW11" s="214" t="str">
        <f t="shared" si="5"/>
        <v/>
      </c>
      <c r="DX11" s="214" t="str">
        <f t="shared" si="5"/>
        <v/>
      </c>
      <c r="DY11" s="214" t="str">
        <f t="shared" si="5"/>
        <v/>
      </c>
      <c r="DZ11" s="214" t="str">
        <f t="shared" si="5"/>
        <v/>
      </c>
      <c r="EA11" s="214" t="str">
        <f t="shared" si="5"/>
        <v/>
      </c>
      <c r="EB11" s="214" t="str">
        <f t="shared" si="5"/>
        <v/>
      </c>
      <c r="EC11" s="214" t="str">
        <f t="shared" si="5"/>
        <v/>
      </c>
      <c r="ED11" s="214" t="str">
        <f t="shared" si="5"/>
        <v/>
      </c>
      <c r="EE11" s="214" t="str">
        <f t="shared" si="5"/>
        <v/>
      </c>
      <c r="EF11" s="214" t="str">
        <f t="shared" si="5"/>
        <v/>
      </c>
      <c r="EG11" s="214" t="str">
        <f t="shared" si="5"/>
        <v/>
      </c>
      <c r="EH11" s="214">
        <f t="shared" si="5"/>
        <v>4</v>
      </c>
      <c r="EI11" s="214" t="str">
        <f t="shared" si="5"/>
        <v/>
      </c>
      <c r="EJ11" s="214" t="str">
        <f t="shared" si="5"/>
        <v/>
      </c>
      <c r="EK11" s="214" t="str">
        <f t="shared" si="5"/>
        <v/>
      </c>
      <c r="EL11" s="214" t="str">
        <f t="shared" si="5"/>
        <v/>
      </c>
      <c r="EM11" s="214" t="str">
        <f t="shared" si="5"/>
        <v/>
      </c>
      <c r="EN11" s="214" t="str">
        <f t="shared" si="5"/>
        <v/>
      </c>
      <c r="EO11" s="214" t="str">
        <f t="shared" si="5"/>
        <v/>
      </c>
      <c r="EP11" s="214" t="str">
        <f t="shared" si="5"/>
        <v/>
      </c>
      <c r="EQ11" s="214" t="str">
        <f t="shared" si="5"/>
        <v/>
      </c>
      <c r="ER11" s="214" t="str">
        <f t="shared" si="5"/>
        <v/>
      </c>
      <c r="ES11" s="214" t="str">
        <f t="shared" si="5"/>
        <v/>
      </c>
      <c r="ET11" s="214" t="str">
        <f t="shared" si="5"/>
        <v/>
      </c>
      <c r="EU11" s="214" t="str">
        <f t="shared" si="5"/>
        <v/>
      </c>
      <c r="EV11" s="214" t="str">
        <f t="shared" si="5"/>
        <v/>
      </c>
      <c r="EW11" s="214" t="str">
        <f t="shared" si="5"/>
        <v/>
      </c>
      <c r="EX11" s="214" t="str">
        <f t="shared" si="5"/>
        <v/>
      </c>
      <c r="EY11" s="214" t="str">
        <f t="shared" si="5"/>
        <v/>
      </c>
      <c r="EZ11" s="214" t="str">
        <f t="shared" si="5"/>
        <v/>
      </c>
      <c r="FA11" s="344" t="str">
        <f t="shared" si="5"/>
        <v/>
      </c>
      <c r="FB11" s="344" t="str">
        <f t="shared" si="5"/>
        <v/>
      </c>
      <c r="FC11" s="344" t="str">
        <f t="shared" si="5"/>
        <v/>
      </c>
      <c r="FD11" s="344" t="str">
        <f t="shared" si="5"/>
        <v/>
      </c>
      <c r="FE11" s="344" t="str">
        <f t="shared" si="5"/>
        <v/>
      </c>
      <c r="FF11" s="344" t="str">
        <f t="shared" si="5"/>
        <v/>
      </c>
      <c r="FG11" s="344" t="str">
        <f t="shared" si="5"/>
        <v/>
      </c>
      <c r="FH11" s="344" t="str">
        <f t="shared" si="5"/>
        <v/>
      </c>
      <c r="FI11" s="344" t="str">
        <f t="shared" si="5"/>
        <v/>
      </c>
      <c r="FJ11" s="344" t="str">
        <f t="shared" si="5"/>
        <v/>
      </c>
      <c r="FK11" s="344" t="str">
        <f t="shared" si="5"/>
        <v/>
      </c>
      <c r="FL11" s="344">
        <f t="shared" si="5"/>
        <v>5</v>
      </c>
      <c r="FM11" s="344" t="str">
        <f t="shared" si="5"/>
        <v/>
      </c>
      <c r="FN11" s="344" t="str">
        <f t="shared" si="5"/>
        <v/>
      </c>
      <c r="FO11" s="344" t="str">
        <f t="shared" si="5"/>
        <v/>
      </c>
      <c r="FP11" s="344" t="str">
        <f t="shared" si="5"/>
        <v/>
      </c>
      <c r="FQ11" s="344" t="str">
        <f t="shared" si="5"/>
        <v/>
      </c>
      <c r="FR11" s="344" t="str">
        <f t="shared" si="5"/>
        <v/>
      </c>
      <c r="FS11" s="344" t="str">
        <f t="shared" si="5"/>
        <v/>
      </c>
      <c r="FT11" s="344" t="str">
        <f t="shared" si="5"/>
        <v/>
      </c>
      <c r="FU11" s="344" t="str">
        <f t="shared" si="5"/>
        <v/>
      </c>
      <c r="FV11" s="344" t="str">
        <f t="shared" si="5"/>
        <v/>
      </c>
      <c r="FW11" s="344" t="str">
        <f t="shared" si="5"/>
        <v/>
      </c>
      <c r="FX11" s="344" t="str">
        <f t="shared" si="5"/>
        <v/>
      </c>
    </row>
    <row r="12" ht="20.25" customHeight="1">
      <c r="A12" s="346" t="s">
        <v>413</v>
      </c>
      <c r="B12" s="347" t="s">
        <v>106</v>
      </c>
      <c r="C12" s="348" t="s">
        <v>110</v>
      </c>
      <c r="D12" s="350" t="s">
        <v>80</v>
      </c>
      <c r="E12" s="351" t="str">
        <f t="shared" ref="E12:F12" si="6">E2</f>
        <v>Start</v>
      </c>
      <c r="F12" s="352" t="str">
        <f t="shared" si="6"/>
        <v>End</v>
      </c>
      <c r="G12" s="353" t="s">
        <v>112</v>
      </c>
      <c r="H12" s="355" t="s">
        <v>115</v>
      </c>
      <c r="I12" s="356" t="s">
        <v>116</v>
      </c>
      <c r="J12" s="357" t="s">
        <v>117</v>
      </c>
      <c r="K12" s="358" t="s">
        <v>416</v>
      </c>
      <c r="L12" s="358" t="s">
        <v>417</v>
      </c>
      <c r="M12" s="358" t="s">
        <v>418</v>
      </c>
      <c r="N12" s="359" t="s">
        <v>118</v>
      </c>
      <c r="O12" s="359" t="s">
        <v>419</v>
      </c>
      <c r="P12" s="360" t="s">
        <v>420</v>
      </c>
      <c r="Q12" s="361">
        <f>E3</f>
        <v>43801</v>
      </c>
      <c r="R12" s="361">
        <f t="shared" ref="R12:FX12" si="7">Q12+1</f>
        <v>43802</v>
      </c>
      <c r="S12" s="361">
        <f t="shared" si="7"/>
        <v>43803</v>
      </c>
      <c r="T12" s="361">
        <f t="shared" si="7"/>
        <v>43804</v>
      </c>
      <c r="U12" s="361">
        <f t="shared" si="7"/>
        <v>43805</v>
      </c>
      <c r="V12" s="361">
        <f t="shared" si="7"/>
        <v>43806</v>
      </c>
      <c r="W12" s="361">
        <f t="shared" si="7"/>
        <v>43807</v>
      </c>
      <c r="X12" s="361">
        <f t="shared" si="7"/>
        <v>43808</v>
      </c>
      <c r="Y12" s="361">
        <f t="shared" si="7"/>
        <v>43809</v>
      </c>
      <c r="Z12" s="361">
        <f t="shared" si="7"/>
        <v>43810</v>
      </c>
      <c r="AA12" s="361">
        <f t="shared" si="7"/>
        <v>43811</v>
      </c>
      <c r="AB12" s="361">
        <f t="shared" si="7"/>
        <v>43812</v>
      </c>
      <c r="AC12" s="361">
        <f t="shared" si="7"/>
        <v>43813</v>
      </c>
      <c r="AD12" s="361">
        <f t="shared" si="7"/>
        <v>43814</v>
      </c>
      <c r="AE12" s="361">
        <f t="shared" si="7"/>
        <v>43815</v>
      </c>
      <c r="AF12" s="361">
        <f t="shared" si="7"/>
        <v>43816</v>
      </c>
      <c r="AG12" s="361">
        <f t="shared" si="7"/>
        <v>43817</v>
      </c>
      <c r="AH12" s="361">
        <f t="shared" si="7"/>
        <v>43818</v>
      </c>
      <c r="AI12" s="361">
        <f t="shared" si="7"/>
        <v>43819</v>
      </c>
      <c r="AJ12" s="361">
        <f t="shared" si="7"/>
        <v>43820</v>
      </c>
      <c r="AK12" s="361">
        <f t="shared" si="7"/>
        <v>43821</v>
      </c>
      <c r="AL12" s="361">
        <f t="shared" si="7"/>
        <v>43822</v>
      </c>
      <c r="AM12" s="361">
        <f t="shared" si="7"/>
        <v>43823</v>
      </c>
      <c r="AN12" s="361">
        <f t="shared" si="7"/>
        <v>43824</v>
      </c>
      <c r="AO12" s="361">
        <f t="shared" si="7"/>
        <v>43825</v>
      </c>
      <c r="AP12" s="361">
        <f t="shared" si="7"/>
        <v>43826</v>
      </c>
      <c r="AQ12" s="361">
        <f t="shared" si="7"/>
        <v>43827</v>
      </c>
      <c r="AR12" s="361">
        <f t="shared" si="7"/>
        <v>43828</v>
      </c>
      <c r="AS12" s="361">
        <f t="shared" si="7"/>
        <v>43829</v>
      </c>
      <c r="AT12" s="361">
        <f t="shared" si="7"/>
        <v>43830</v>
      </c>
      <c r="AU12" s="361">
        <f t="shared" si="7"/>
        <v>43831</v>
      </c>
      <c r="AV12" s="361">
        <f t="shared" si="7"/>
        <v>43832</v>
      </c>
      <c r="AW12" s="361">
        <f t="shared" si="7"/>
        <v>43833</v>
      </c>
      <c r="AX12" s="361">
        <f t="shared" si="7"/>
        <v>43834</v>
      </c>
      <c r="AY12" s="361">
        <f t="shared" si="7"/>
        <v>43835</v>
      </c>
      <c r="AZ12" s="361">
        <f t="shared" si="7"/>
        <v>43836</v>
      </c>
      <c r="BA12" s="361">
        <f t="shared" si="7"/>
        <v>43837</v>
      </c>
      <c r="BB12" s="361">
        <f t="shared" si="7"/>
        <v>43838</v>
      </c>
      <c r="BC12" s="361">
        <f t="shared" si="7"/>
        <v>43839</v>
      </c>
      <c r="BD12" s="361">
        <f t="shared" si="7"/>
        <v>43840</v>
      </c>
      <c r="BE12" s="361">
        <f t="shared" si="7"/>
        <v>43841</v>
      </c>
      <c r="BF12" s="361">
        <f t="shared" si="7"/>
        <v>43842</v>
      </c>
      <c r="BG12" s="361">
        <f t="shared" si="7"/>
        <v>43843</v>
      </c>
      <c r="BH12" s="361">
        <f t="shared" si="7"/>
        <v>43844</v>
      </c>
      <c r="BI12" s="361">
        <f t="shared" si="7"/>
        <v>43845</v>
      </c>
      <c r="BJ12" s="361">
        <f t="shared" si="7"/>
        <v>43846</v>
      </c>
      <c r="BK12" s="361">
        <f t="shared" si="7"/>
        <v>43847</v>
      </c>
      <c r="BL12" s="361">
        <f t="shared" si="7"/>
        <v>43848</v>
      </c>
      <c r="BM12" s="361">
        <f t="shared" si="7"/>
        <v>43849</v>
      </c>
      <c r="BN12" s="361">
        <f t="shared" si="7"/>
        <v>43850</v>
      </c>
      <c r="BO12" s="361">
        <f t="shared" si="7"/>
        <v>43851</v>
      </c>
      <c r="BP12" s="361">
        <f t="shared" si="7"/>
        <v>43852</v>
      </c>
      <c r="BQ12" s="361">
        <f t="shared" si="7"/>
        <v>43853</v>
      </c>
      <c r="BR12" s="361">
        <f t="shared" si="7"/>
        <v>43854</v>
      </c>
      <c r="BS12" s="361">
        <f t="shared" si="7"/>
        <v>43855</v>
      </c>
      <c r="BT12" s="361">
        <f t="shared" si="7"/>
        <v>43856</v>
      </c>
      <c r="BU12" s="361">
        <f t="shared" si="7"/>
        <v>43857</v>
      </c>
      <c r="BV12" s="361">
        <f t="shared" si="7"/>
        <v>43858</v>
      </c>
      <c r="BW12" s="361">
        <f t="shared" si="7"/>
        <v>43859</v>
      </c>
      <c r="BX12" s="361">
        <f t="shared" si="7"/>
        <v>43860</v>
      </c>
      <c r="BY12" s="361">
        <f t="shared" si="7"/>
        <v>43861</v>
      </c>
      <c r="BZ12" s="361">
        <f t="shared" si="7"/>
        <v>43862</v>
      </c>
      <c r="CA12" s="361">
        <f t="shared" si="7"/>
        <v>43863</v>
      </c>
      <c r="CB12" s="361">
        <f t="shared" si="7"/>
        <v>43864</v>
      </c>
      <c r="CC12" s="361">
        <f t="shared" si="7"/>
        <v>43865</v>
      </c>
      <c r="CD12" s="361">
        <f t="shared" si="7"/>
        <v>43866</v>
      </c>
      <c r="CE12" s="361">
        <f t="shared" si="7"/>
        <v>43867</v>
      </c>
      <c r="CF12" s="361">
        <f t="shared" si="7"/>
        <v>43868</v>
      </c>
      <c r="CG12" s="361">
        <f t="shared" si="7"/>
        <v>43869</v>
      </c>
      <c r="CH12" s="361">
        <f t="shared" si="7"/>
        <v>43870</v>
      </c>
      <c r="CI12" s="361">
        <f t="shared" si="7"/>
        <v>43871</v>
      </c>
      <c r="CJ12" s="361">
        <f t="shared" si="7"/>
        <v>43872</v>
      </c>
      <c r="CK12" s="361">
        <f t="shared" si="7"/>
        <v>43873</v>
      </c>
      <c r="CL12" s="361">
        <f t="shared" si="7"/>
        <v>43874</v>
      </c>
      <c r="CM12" s="361">
        <f t="shared" si="7"/>
        <v>43875</v>
      </c>
      <c r="CN12" s="361">
        <f t="shared" si="7"/>
        <v>43876</v>
      </c>
      <c r="CO12" s="361">
        <f t="shared" si="7"/>
        <v>43877</v>
      </c>
      <c r="CP12" s="361">
        <f t="shared" si="7"/>
        <v>43878</v>
      </c>
      <c r="CQ12" s="361">
        <f t="shared" si="7"/>
        <v>43879</v>
      </c>
      <c r="CR12" s="361">
        <f t="shared" si="7"/>
        <v>43880</v>
      </c>
      <c r="CS12" s="361">
        <f t="shared" si="7"/>
        <v>43881</v>
      </c>
      <c r="CT12" s="361">
        <f t="shared" si="7"/>
        <v>43882</v>
      </c>
      <c r="CU12" s="361">
        <f t="shared" si="7"/>
        <v>43883</v>
      </c>
      <c r="CV12" s="361">
        <f t="shared" si="7"/>
        <v>43884</v>
      </c>
      <c r="CW12" s="361">
        <f t="shared" si="7"/>
        <v>43885</v>
      </c>
      <c r="CX12" s="361">
        <f t="shared" si="7"/>
        <v>43886</v>
      </c>
      <c r="CY12" s="361">
        <f t="shared" si="7"/>
        <v>43887</v>
      </c>
      <c r="CZ12" s="361">
        <f t="shared" si="7"/>
        <v>43888</v>
      </c>
      <c r="DA12" s="361">
        <f t="shared" si="7"/>
        <v>43889</v>
      </c>
      <c r="DB12" s="361">
        <f t="shared" si="7"/>
        <v>43890</v>
      </c>
      <c r="DC12" s="361">
        <f t="shared" si="7"/>
        <v>43891</v>
      </c>
      <c r="DD12" s="361">
        <f t="shared" si="7"/>
        <v>43892</v>
      </c>
      <c r="DE12" s="361">
        <f t="shared" si="7"/>
        <v>43893</v>
      </c>
      <c r="DF12" s="361">
        <f t="shared" si="7"/>
        <v>43894</v>
      </c>
      <c r="DG12" s="361">
        <f t="shared" si="7"/>
        <v>43895</v>
      </c>
      <c r="DH12" s="361">
        <f t="shared" si="7"/>
        <v>43896</v>
      </c>
      <c r="DI12" s="361">
        <f t="shared" si="7"/>
        <v>43897</v>
      </c>
      <c r="DJ12" s="361">
        <f t="shared" si="7"/>
        <v>43898</v>
      </c>
      <c r="DK12" s="361">
        <f t="shared" si="7"/>
        <v>43899</v>
      </c>
      <c r="DL12" s="361">
        <f t="shared" si="7"/>
        <v>43900</v>
      </c>
      <c r="DM12" s="361">
        <f t="shared" si="7"/>
        <v>43901</v>
      </c>
      <c r="DN12" s="361">
        <f t="shared" si="7"/>
        <v>43902</v>
      </c>
      <c r="DO12" s="361">
        <f t="shared" si="7"/>
        <v>43903</v>
      </c>
      <c r="DP12" s="361">
        <f t="shared" si="7"/>
        <v>43904</v>
      </c>
      <c r="DQ12" s="361">
        <f t="shared" si="7"/>
        <v>43905</v>
      </c>
      <c r="DR12" s="361">
        <f t="shared" si="7"/>
        <v>43906</v>
      </c>
      <c r="DS12" s="361">
        <f t="shared" si="7"/>
        <v>43907</v>
      </c>
      <c r="DT12" s="361">
        <f t="shared" si="7"/>
        <v>43908</v>
      </c>
      <c r="DU12" s="361">
        <f t="shared" si="7"/>
        <v>43909</v>
      </c>
      <c r="DV12" s="361">
        <f t="shared" si="7"/>
        <v>43910</v>
      </c>
      <c r="DW12" s="361">
        <f t="shared" si="7"/>
        <v>43911</v>
      </c>
      <c r="DX12" s="361">
        <f t="shared" si="7"/>
        <v>43912</v>
      </c>
      <c r="DY12" s="361">
        <f t="shared" si="7"/>
        <v>43913</v>
      </c>
      <c r="DZ12" s="361">
        <f t="shared" si="7"/>
        <v>43914</v>
      </c>
      <c r="EA12" s="361">
        <f t="shared" si="7"/>
        <v>43915</v>
      </c>
      <c r="EB12" s="361">
        <f t="shared" si="7"/>
        <v>43916</v>
      </c>
      <c r="EC12" s="361">
        <f t="shared" si="7"/>
        <v>43917</v>
      </c>
      <c r="ED12" s="361">
        <f t="shared" si="7"/>
        <v>43918</v>
      </c>
      <c r="EE12" s="361">
        <f t="shared" si="7"/>
        <v>43919</v>
      </c>
      <c r="EF12" s="361">
        <f t="shared" si="7"/>
        <v>43920</v>
      </c>
      <c r="EG12" s="361">
        <f t="shared" si="7"/>
        <v>43921</v>
      </c>
      <c r="EH12" s="361">
        <f t="shared" si="7"/>
        <v>43922</v>
      </c>
      <c r="EI12" s="361">
        <f t="shared" si="7"/>
        <v>43923</v>
      </c>
      <c r="EJ12" s="361">
        <f t="shared" si="7"/>
        <v>43924</v>
      </c>
      <c r="EK12" s="361">
        <f t="shared" si="7"/>
        <v>43925</v>
      </c>
      <c r="EL12" s="361">
        <f t="shared" si="7"/>
        <v>43926</v>
      </c>
      <c r="EM12" s="361">
        <f t="shared" si="7"/>
        <v>43927</v>
      </c>
      <c r="EN12" s="361">
        <f t="shared" si="7"/>
        <v>43928</v>
      </c>
      <c r="EO12" s="361">
        <f t="shared" si="7"/>
        <v>43929</v>
      </c>
      <c r="EP12" s="361">
        <f t="shared" si="7"/>
        <v>43930</v>
      </c>
      <c r="EQ12" s="361">
        <f t="shared" si="7"/>
        <v>43931</v>
      </c>
      <c r="ER12" s="361">
        <f t="shared" si="7"/>
        <v>43932</v>
      </c>
      <c r="ES12" s="361">
        <f t="shared" si="7"/>
        <v>43933</v>
      </c>
      <c r="ET12" s="361">
        <f t="shared" si="7"/>
        <v>43934</v>
      </c>
      <c r="EU12" s="361">
        <f t="shared" si="7"/>
        <v>43935</v>
      </c>
      <c r="EV12" s="361">
        <f t="shared" si="7"/>
        <v>43936</v>
      </c>
      <c r="EW12" s="361">
        <f t="shared" si="7"/>
        <v>43937</v>
      </c>
      <c r="EX12" s="361">
        <f t="shared" si="7"/>
        <v>43938</v>
      </c>
      <c r="EY12" s="361">
        <f t="shared" si="7"/>
        <v>43939</v>
      </c>
      <c r="EZ12" s="361">
        <f t="shared" si="7"/>
        <v>43940</v>
      </c>
      <c r="FA12" s="364">
        <f t="shared" si="7"/>
        <v>43941</v>
      </c>
      <c r="FB12" s="365">
        <f t="shared" si="7"/>
        <v>43942</v>
      </c>
      <c r="FC12" s="365">
        <f t="shared" si="7"/>
        <v>43943</v>
      </c>
      <c r="FD12" s="365">
        <f t="shared" si="7"/>
        <v>43944</v>
      </c>
      <c r="FE12" s="365">
        <f t="shared" si="7"/>
        <v>43945</v>
      </c>
      <c r="FF12" s="366">
        <f t="shared" si="7"/>
        <v>43946</v>
      </c>
      <c r="FG12" s="366">
        <f t="shared" si="7"/>
        <v>43947</v>
      </c>
      <c r="FH12" s="365">
        <f t="shared" si="7"/>
        <v>43948</v>
      </c>
      <c r="FI12" s="365">
        <f t="shared" si="7"/>
        <v>43949</v>
      </c>
      <c r="FJ12" s="365">
        <f t="shared" si="7"/>
        <v>43950</v>
      </c>
      <c r="FK12" s="365">
        <f t="shared" si="7"/>
        <v>43951</v>
      </c>
      <c r="FL12" s="365">
        <f t="shared" si="7"/>
        <v>43952</v>
      </c>
      <c r="FM12" s="366">
        <f t="shared" si="7"/>
        <v>43953</v>
      </c>
      <c r="FN12" s="366">
        <f t="shared" si="7"/>
        <v>43954</v>
      </c>
      <c r="FO12" s="364">
        <f t="shared" si="7"/>
        <v>43955</v>
      </c>
      <c r="FP12" s="365">
        <f t="shared" si="7"/>
        <v>43956</v>
      </c>
      <c r="FQ12" s="365">
        <f t="shared" si="7"/>
        <v>43957</v>
      </c>
      <c r="FR12" s="365">
        <f t="shared" si="7"/>
        <v>43958</v>
      </c>
      <c r="FS12" s="365">
        <f t="shared" si="7"/>
        <v>43959</v>
      </c>
      <c r="FT12" s="366">
        <f t="shared" si="7"/>
        <v>43960</v>
      </c>
      <c r="FU12" s="366">
        <f t="shared" si="7"/>
        <v>43961</v>
      </c>
      <c r="FV12" s="365">
        <f t="shared" si="7"/>
        <v>43962</v>
      </c>
      <c r="FW12" s="365">
        <f t="shared" si="7"/>
        <v>43963</v>
      </c>
      <c r="FX12" s="365">
        <f t="shared" si="7"/>
        <v>43964</v>
      </c>
    </row>
    <row r="13" ht="16.5" customHeight="1">
      <c r="A13" s="368">
        <v>388176.0</v>
      </c>
      <c r="B13" s="369" t="s">
        <v>437</v>
      </c>
      <c r="C13" s="370"/>
      <c r="D13" s="371" t="s">
        <v>439</v>
      </c>
      <c r="E13" s="372">
        <v>43801.0</v>
      </c>
      <c r="F13" s="374">
        <f>WORKDAY(E13,ROUNDUP(G13/I13,0),General!$U$13:$U$27)-1</f>
        <v>43801</v>
      </c>
      <c r="G13" s="375">
        <v>0.5</v>
      </c>
      <c r="H13" s="377"/>
      <c r="I13" s="379">
        <v>1.0</v>
      </c>
      <c r="J13" s="379"/>
      <c r="K13" s="381"/>
      <c r="L13" s="382"/>
      <c r="M13" s="383"/>
      <c r="N13" s="384"/>
      <c r="O13" s="386"/>
      <c r="P13" s="388"/>
      <c r="Q13" s="390">
        <f>IF(AND(Q$12&gt;=$E13,Q$12&lt;=$F13,MOD(Q$12,7)&gt;1,NOT(COUNTIF(General!$U$13:$U$19,Q$12))),$I13,"")</f>
        <v>1</v>
      </c>
      <c r="R13" s="390" t="str">
        <f>IF(AND(R$12&gt;=$E13,R$12&lt;=$F13,MOD(R$12,7)&gt;1,NOT(COUNTIF(General!$U$13:$U$19,R$12))),$I13,"")</f>
        <v/>
      </c>
      <c r="S13" s="390" t="str">
        <f>IF(AND(S$12&gt;=$E13,S$12&lt;=$F13,MOD(S$12,7)&gt;1,NOT(COUNTIF(General!$U$13:$U$19,S$12))),$I13,"")</f>
        <v/>
      </c>
      <c r="T13" s="390" t="str">
        <f>IF(AND(T$12&gt;=$E13,T$12&lt;=$F13,MOD(T$12,7)&gt;1,NOT(COUNTIF(General!$U$13:$U$19,T$12))),$I13,"")</f>
        <v/>
      </c>
      <c r="U13" s="390" t="str">
        <f>IF(AND(U$12&gt;=$E13,U$12&lt;=$F13,MOD(U$12,7)&gt;1,NOT(COUNTIF(General!$U$13:$U$19,U$12))),$I13,"")</f>
        <v/>
      </c>
      <c r="V13" s="390" t="str">
        <f>IF(AND(V$12&gt;=$E13,V$12&lt;=$F13,MOD(V$12,7)&gt;1,NOT(COUNTIF(General!$U$13:$U$19,V$12))),$I13,"")</f>
        <v/>
      </c>
      <c r="W13" s="390" t="str">
        <f>IF(AND(W$12&gt;=$E13,W$12&lt;=$F13,MOD(W$12,7)&gt;1,NOT(COUNTIF(General!$U$13:$U$19,W$12))),$I13,"")</f>
        <v/>
      </c>
      <c r="X13" s="390" t="str">
        <f>IF(AND(X$12&gt;=$E13,X$12&lt;=$F13,MOD(X$12,7)&gt;1,NOT(COUNTIF(General!$U$13:$U$19,X$12))),$I13,"")</f>
        <v/>
      </c>
      <c r="Y13" s="390" t="str">
        <f>IF(AND(Y$12&gt;=$E13,Y$12&lt;=$F13,MOD(Y$12,7)&gt;1,NOT(COUNTIF(General!$U$13:$U$19,Y$12))),$I13,"")</f>
        <v/>
      </c>
      <c r="Z13" s="390" t="str">
        <f>IF(AND(Z$12&gt;=$E13,Z$12&lt;=$F13,MOD(Z$12,7)&gt;1,NOT(COUNTIF(General!$U$13:$U$19,Z$12))),$I13,"")</f>
        <v/>
      </c>
      <c r="AA13" s="390" t="str">
        <f>IF(AND(AA$12&gt;=$E13,AA$12&lt;=$F13,MOD(AA$12,7)&gt;1,NOT(COUNTIF(General!$U$13:$U$19,AA$12))),$I13,"")</f>
        <v/>
      </c>
      <c r="AB13" s="390" t="str">
        <f>IF(AND(AB$12&gt;=$E13,AB$12&lt;=$F13,MOD(AB$12,7)&gt;1,NOT(COUNTIF(General!$U$13:$U$19,AB$12))),$I13,"")</f>
        <v/>
      </c>
      <c r="AC13" s="390" t="str">
        <f>IF(AND(AC$12&gt;=$E13,AC$12&lt;=$F13,MOD(AC$12,7)&gt;1,NOT(COUNTIF(General!$U$13:$U$19,AC$12))),$I13,"")</f>
        <v/>
      </c>
      <c r="AD13" s="390" t="str">
        <f>IF(AND(AD$12&gt;=$E13,AD$12&lt;=$F13,MOD(AD$12,7)&gt;1,NOT(COUNTIF(General!$U$13:$U$19,AD$12))),$I13,"")</f>
        <v/>
      </c>
      <c r="AE13" s="390" t="str">
        <f>IF(AND(AE$12&gt;=$E13,AE$12&lt;=$F13,MOD(AE$12,7)&gt;1,NOT(COUNTIF(General!$U$13:$U$19,AE$12))),$I13,"")</f>
        <v/>
      </c>
      <c r="AF13" s="390" t="str">
        <f>IF(AND(AF$12&gt;=$E13,AF$12&lt;=$F13,MOD(AF$12,7)&gt;1,NOT(COUNTIF(General!$U$13:$U$19,AF$12))),$I13,"")</f>
        <v/>
      </c>
      <c r="AG13" s="390" t="str">
        <f>IF(AND(AG$12&gt;=$E13,AG$12&lt;=$F13,MOD(AG$12,7)&gt;1,NOT(COUNTIF(General!$U$13:$U$19,AG$12))),$I13,"")</f>
        <v/>
      </c>
      <c r="AH13" s="390" t="str">
        <f>IF(AND(AH$12&gt;=$E13,AH$12&lt;=$F13,MOD(AH$12,7)&gt;1,NOT(COUNTIF(General!$U$13:$U$19,AH$12))),$I13,"")</f>
        <v/>
      </c>
      <c r="AI13" s="390" t="str">
        <f>IF(AND(AI$12&gt;=$E13,AI$12&lt;=$F13,MOD(AI$12,7)&gt;1,NOT(COUNTIF(General!$U$13:$U$19,AI$12))),$I13,"")</f>
        <v/>
      </c>
      <c r="AJ13" s="390" t="str">
        <f>IF(AND(AJ$12&gt;=$E13,AJ$12&lt;=$F13,MOD(AJ$12,7)&gt;1,NOT(COUNTIF(General!$U$13:$U$19,AJ$12))),$I13,"")</f>
        <v/>
      </c>
      <c r="AK13" s="390" t="str">
        <f>IF(AND(AK$12&gt;=$E13,AK$12&lt;=$F13,MOD(AK$12,7)&gt;1,NOT(COUNTIF(General!$U$13:$U$19,AK$12))),$I13,"")</f>
        <v/>
      </c>
      <c r="AL13" s="390" t="str">
        <f>IF(AND(AL$12&gt;=$E13,AL$12&lt;=$F13,MOD(AL$12,7)&gt;1,NOT(COUNTIF(General!$U$13:$U$19,AL$12))),$I13,"")</f>
        <v/>
      </c>
      <c r="AM13" s="390" t="str">
        <f>IF(AND(AM$12&gt;=$E13,AM$12&lt;=$F13,MOD(AM$12,7)&gt;1,NOT(COUNTIF(General!$U$13:$U$19,AM$12))),$I13,"")</f>
        <v/>
      </c>
      <c r="AN13" s="390" t="str">
        <f>IF(AND(AN$12&gt;=$E13,AN$12&lt;=$F13,MOD(AN$12,7)&gt;1,NOT(COUNTIF(General!$U$13:$U$19,AN$12))),$I13,"")</f>
        <v/>
      </c>
      <c r="AO13" s="390" t="str">
        <f>IF(AND(AO$12&gt;=$E13,AO$12&lt;=$F13,MOD(AO$12,7)&gt;1,NOT(COUNTIF(General!$U$13:$U$19,AO$12))),$I13,"")</f>
        <v/>
      </c>
      <c r="AP13" s="390" t="str">
        <f>IF(AND(AP$12&gt;=$E13,AP$12&lt;=$F13,MOD(AP$12,7)&gt;1,NOT(COUNTIF(General!$U$13:$U$19,AP$12))),$I13,"")</f>
        <v/>
      </c>
      <c r="AQ13" s="390" t="str">
        <f>IF(AND(AQ$12&gt;=$E13,AQ$12&lt;=$F13,MOD(AQ$12,7)&gt;1,NOT(COUNTIF(General!$U$13:$U$19,AQ$12))),$I13,"")</f>
        <v/>
      </c>
      <c r="AR13" s="390" t="str">
        <f>IF(AND(AR$12&gt;=$E13,AR$12&lt;=$F13,MOD(AR$12,7)&gt;1,NOT(COUNTIF(General!$U$13:$U$19,AR$12))),$I13,"")</f>
        <v/>
      </c>
      <c r="AS13" s="390" t="str">
        <f>IF(AND(AS$12&gt;=$E13,AS$12&lt;=$F13,MOD(AS$12,7)&gt;1,NOT(COUNTIF(General!$U$13:$U$19,AS$12))),$I13,"")</f>
        <v/>
      </c>
      <c r="AT13" s="390" t="str">
        <f>IF(AND(AT$12&gt;=$E13,AT$12&lt;=$F13,MOD(AT$12,7)&gt;1,NOT(COUNTIF(General!$U$13:$U$19,AT$12))),$I13,"")</f>
        <v/>
      </c>
      <c r="AU13" s="390" t="str">
        <f>IF(AND(AU$12&gt;=$E13,AU$12&lt;=$F13,MOD(AU$12,7)&gt;1,NOT(COUNTIF(General!$U$13:$U$19,AU$12))),$I13,"")</f>
        <v/>
      </c>
      <c r="AV13" s="390" t="str">
        <f>IF(AND(AV$12&gt;=$E13,AV$12&lt;=$F13,MOD(AV$12,7)&gt;1,NOT(COUNTIF(General!$U$13:$U$19,AV$12))),$I13,"")</f>
        <v/>
      </c>
      <c r="AW13" s="390" t="str">
        <f>IF(AND(AW$12&gt;=$E13,AW$12&lt;=$F13,MOD(AW$12,7)&gt;1,NOT(COUNTIF(General!$U$13:$U$19,AW$12))),$I13,"")</f>
        <v/>
      </c>
      <c r="AX13" s="390" t="str">
        <f>IF(AND(AX$12&gt;=$E13,AX$12&lt;=$F13,MOD(AX$12,7)&gt;1,NOT(COUNTIF(General!$U$13:$U$19,AX$12))),$I13,"")</f>
        <v/>
      </c>
      <c r="AY13" s="390" t="str">
        <f>IF(AND(AY$12&gt;=$E13,AY$12&lt;=$F13,MOD(AY$12,7)&gt;1,NOT(COUNTIF(General!$U$13:$U$19,AY$12))),$I13,"")</f>
        <v/>
      </c>
      <c r="AZ13" s="390" t="str">
        <f>IF(AND(AZ$12&gt;=$E13,AZ$12&lt;=$F13,MOD(AZ$12,7)&gt;1,NOT(COUNTIF(General!$U$13:$U$19,AZ$12))),$I13,"")</f>
        <v/>
      </c>
      <c r="BA13" s="390" t="str">
        <f>IF(AND(BA$12&gt;=$E13,BA$12&lt;=$F13,MOD(BA$12,7)&gt;1,NOT(COUNTIF(General!$U$13:$U$19,BA$12))),$I13,"")</f>
        <v/>
      </c>
      <c r="BB13" s="390" t="str">
        <f>IF(AND(BB$12&gt;=$E13,BB$12&lt;=$F13,MOD(BB$12,7)&gt;1,NOT(COUNTIF(General!$U$13:$U$19,BB$12))),$I13,"")</f>
        <v/>
      </c>
      <c r="BC13" s="390" t="str">
        <f>IF(AND(BC$12&gt;=$E13,BC$12&lt;=$F13,MOD(BC$12,7)&gt;1,NOT(COUNTIF(General!$U$13:$U$19,BC$12))),$I13,"")</f>
        <v/>
      </c>
      <c r="BD13" s="390" t="str">
        <f>IF(AND(BD$12&gt;=$E13,BD$12&lt;=$F13,MOD(BD$12,7)&gt;1,NOT(COUNTIF(General!$U$13:$U$19,BD$12))),$I13,"")</f>
        <v/>
      </c>
      <c r="BE13" s="390" t="str">
        <f>IF(AND(BE$12&gt;=$E13,BE$12&lt;=$F13,MOD(BE$12,7)&gt;1,NOT(COUNTIF(General!$U$13:$U$19,BE$12))),$I13,"")</f>
        <v/>
      </c>
      <c r="BF13" s="390" t="str">
        <f>IF(AND(BF$12&gt;=$E13,BF$12&lt;=$F13,MOD(BF$12,7)&gt;1,NOT(COUNTIF(General!$U$13:$U$19,BF$12))),$I13,"")</f>
        <v/>
      </c>
      <c r="BG13" s="390" t="str">
        <f>IF(AND(BG$12&gt;=$E13,BG$12&lt;=$F13,MOD(BG$12,7)&gt;1,NOT(COUNTIF(General!$U$13:$U$19,BG$12))),$I13,"")</f>
        <v/>
      </c>
      <c r="BH13" s="390" t="str">
        <f>IF(AND(BH$12&gt;=$E13,BH$12&lt;=$F13,MOD(BH$12,7)&gt;1,NOT(COUNTIF(General!$U$13:$U$19,BH$12))),$I13,"")</f>
        <v/>
      </c>
      <c r="BI13" s="390" t="str">
        <f>IF(AND(BI$12&gt;=$E13,BI$12&lt;=$F13,MOD(BI$12,7)&gt;1,NOT(COUNTIF(General!$U$13:$U$19,BI$12))),$I13,"")</f>
        <v/>
      </c>
      <c r="BJ13" s="390" t="str">
        <f>IF(AND(BJ$12&gt;=$E13,BJ$12&lt;=$F13,MOD(BJ$12,7)&gt;1,NOT(COUNTIF(General!$U$13:$U$19,BJ$12))),$I13,"")</f>
        <v/>
      </c>
      <c r="BK13" s="390" t="str">
        <f>IF(AND(BK$12&gt;=$E13,BK$12&lt;=$F13,MOD(BK$12,7)&gt;1,NOT(COUNTIF(General!$U$13:$U$19,BK$12))),$I13,"")</f>
        <v/>
      </c>
      <c r="BL13" s="390" t="str">
        <f>IF(AND(BL$12&gt;=$E13,BL$12&lt;=$F13,MOD(BL$12,7)&gt;1,NOT(COUNTIF(General!$U$13:$U$19,BL$12))),$I13,"")</f>
        <v/>
      </c>
      <c r="BM13" s="390" t="str">
        <f>IF(AND(BM$12&gt;=$E13,BM$12&lt;=$F13,MOD(BM$12,7)&gt;1,NOT(COUNTIF(General!$U$13:$U$19,BM$12))),$I13,"")</f>
        <v/>
      </c>
      <c r="BN13" s="390" t="str">
        <f>IF(AND(BN$12&gt;=$E13,BN$12&lt;=$F13,MOD(BN$12,7)&gt;1,NOT(COUNTIF(General!$U$13:$U$19,BN$12))),$I13,"")</f>
        <v/>
      </c>
      <c r="BO13" s="390" t="str">
        <f>IF(AND(BO$12&gt;=$E13,BO$12&lt;=$F13,MOD(BO$12,7)&gt;1,NOT(COUNTIF(General!$U$13:$U$19,BO$12))),$I13,"")</f>
        <v/>
      </c>
      <c r="BP13" s="390" t="str">
        <f>IF(AND(BP$12&gt;=$E13,BP$12&lt;=$F13,MOD(BP$12,7)&gt;1,NOT(COUNTIF(General!$U$13:$U$19,BP$12))),$I13,"")</f>
        <v/>
      </c>
      <c r="BQ13" s="390" t="str">
        <f>IF(AND(BQ$12&gt;=$E13,BQ$12&lt;=$F13,MOD(BQ$12,7)&gt;1,NOT(COUNTIF(General!$U$13:$U$19,BQ$12))),$I13,"")</f>
        <v/>
      </c>
      <c r="BR13" s="390" t="str">
        <f>IF(AND(BR$12&gt;=$E13,BR$12&lt;=$F13,MOD(BR$12,7)&gt;1,NOT(COUNTIF(General!$U$13:$U$19,BR$12))),$I13,"")</f>
        <v/>
      </c>
      <c r="BS13" s="390" t="str">
        <f>IF(AND(BS$12&gt;=$E13,BS$12&lt;=$F13,MOD(BS$12,7)&gt;1,NOT(COUNTIF(General!$U$13:$U$19,BS$12))),$I13,"")</f>
        <v/>
      </c>
      <c r="BT13" s="390" t="str">
        <f>IF(AND(BT$12&gt;=$E13,BT$12&lt;=$F13,MOD(BT$12,7)&gt;1,NOT(COUNTIF(General!$U$13:$U$19,BT$12))),$I13,"")</f>
        <v/>
      </c>
      <c r="BU13" s="390" t="str">
        <f>IF(AND(BU$12&gt;=$E13,BU$12&lt;=$F13,MOD(BU$12,7)&gt;1,NOT(COUNTIF(General!$U$13:$U$19,BU$12))),$I13,"")</f>
        <v/>
      </c>
      <c r="BV13" s="390" t="str">
        <f>IF(AND(BV$12&gt;=$E13,BV$12&lt;=$F13,MOD(BV$12,7)&gt;1,NOT(COUNTIF(General!$U$13:$U$19,BV$12))),$I13,"")</f>
        <v/>
      </c>
      <c r="BW13" s="390" t="str">
        <f>IF(AND(BW$12&gt;=$E13,BW$12&lt;=$F13,MOD(BW$12,7)&gt;1,NOT(COUNTIF(General!$U$13:$U$19,BW$12))),$I13,"")</f>
        <v/>
      </c>
      <c r="BX13" s="390" t="str">
        <f>IF(AND(BX$12&gt;=$E13,BX$12&lt;=$F13,MOD(BX$12,7)&gt;1,NOT(COUNTIF(General!$U$13:$U$19,BX$12))),$I13,"")</f>
        <v/>
      </c>
      <c r="BY13" s="390" t="str">
        <f>IF(AND(BY$12&gt;=$E13,BY$12&lt;=$F13,MOD(BY$12,7)&gt;1,NOT(COUNTIF(General!$U$13:$U$19,BY$12))),$I13,"")</f>
        <v/>
      </c>
      <c r="BZ13" s="390" t="str">
        <f>IF(AND(BZ$12&gt;=$E13,BZ$12&lt;=$F13,MOD(BZ$12,7)&gt;1,NOT(COUNTIF(General!$U$13:$U$19,BZ$12))),$I13,"")</f>
        <v/>
      </c>
      <c r="CA13" s="390" t="str">
        <f>IF(AND(CA$12&gt;=$E13,CA$12&lt;=$F13,MOD(CA$12,7)&gt;1,NOT(COUNTIF(General!$U$13:$U$19,CA$12))),$I13,"")</f>
        <v/>
      </c>
      <c r="CB13" s="390" t="str">
        <f>IF(AND(CB$12&gt;=$E13,CB$12&lt;=$F13,MOD(CB$12,7)&gt;1,NOT(COUNTIF(General!$U$13:$U$19,CB$12))),$I13,"")</f>
        <v/>
      </c>
      <c r="CC13" s="390" t="str">
        <f>IF(AND(CC$12&gt;=$E13,CC$12&lt;=$F13,MOD(CC$12,7)&gt;1,NOT(COUNTIF(General!$U$13:$U$19,CC$12))),$I13,"")</f>
        <v/>
      </c>
      <c r="CD13" s="390" t="str">
        <f>IF(AND(CD$12&gt;=$E13,CD$12&lt;=$F13,MOD(CD$12,7)&gt;1,NOT(COUNTIF(General!$U$13:$U$19,CD$12))),$I13,"")</f>
        <v/>
      </c>
      <c r="CE13" s="390" t="str">
        <f>IF(AND(CE$12&gt;=$E13,CE$12&lt;=$F13,MOD(CE$12,7)&gt;1,NOT(COUNTIF(General!$U$13:$U$19,CE$12))),$I13,"")</f>
        <v/>
      </c>
      <c r="CF13" s="390" t="str">
        <f>IF(AND(CF$12&gt;=$E13,CF$12&lt;=$F13,MOD(CF$12,7)&gt;1,NOT(COUNTIF(General!$U$13:$U$19,CF$12))),$I13,"")</f>
        <v/>
      </c>
      <c r="CG13" s="390" t="str">
        <f>IF(AND(CG$12&gt;=$E13,CG$12&lt;=$F13,MOD(CG$12,7)&gt;1,NOT(COUNTIF(General!$U$13:$U$19,CG$12))),$I13,"")</f>
        <v/>
      </c>
      <c r="CH13" s="390" t="str">
        <f>IF(AND(CH$12&gt;=$E13,CH$12&lt;=$F13,MOD(CH$12,7)&gt;1,NOT(COUNTIF(General!$U$13:$U$19,CH$12))),$I13,"")</f>
        <v/>
      </c>
      <c r="CI13" s="390" t="str">
        <f>IF(AND(CI$12&gt;=$E13,CI$12&lt;=$F13,MOD(CI$12,7)&gt;1,NOT(COUNTIF(General!$U$13:$U$19,CI$12))),$I13,"")</f>
        <v/>
      </c>
      <c r="CJ13" s="390" t="str">
        <f>IF(AND(CJ$12&gt;=$E13,CJ$12&lt;=$F13,MOD(CJ$12,7)&gt;1,NOT(COUNTIF(General!$U$13:$U$19,CJ$12))),$I13,"")</f>
        <v/>
      </c>
      <c r="CK13" s="390" t="str">
        <f>IF(AND(CK$12&gt;=$E13,CK$12&lt;=$F13,MOD(CK$12,7)&gt;1,NOT(COUNTIF(General!$U$13:$U$19,CK$12))),$I13,"")</f>
        <v/>
      </c>
      <c r="CL13" s="390" t="str">
        <f>IF(AND(CL$12&gt;=$E13,CL$12&lt;=$F13,MOD(CL$12,7)&gt;1,NOT(COUNTIF(General!$U$13:$U$19,CL$12))),$I13,"")</f>
        <v/>
      </c>
      <c r="CM13" s="390" t="str">
        <f>IF(AND(CM$12&gt;=$E13,CM$12&lt;=$F13,MOD(CM$12,7)&gt;1,NOT(COUNTIF(General!$U$13:$U$19,CM$12))),$I13,"")</f>
        <v/>
      </c>
      <c r="CN13" s="390" t="str">
        <f>IF(AND(CN$12&gt;=$E13,CN$12&lt;=$F13,MOD(CN$12,7)&gt;1,NOT(COUNTIF(General!$U$13:$U$19,CN$12))),$I13,"")</f>
        <v/>
      </c>
      <c r="CO13" s="390" t="str">
        <f>IF(AND(CO$12&gt;=$E13,CO$12&lt;=$F13,MOD(CO$12,7)&gt;1,NOT(COUNTIF(General!$U$13:$U$19,CO$12))),$I13,"")</f>
        <v/>
      </c>
      <c r="CP13" s="390" t="str">
        <f>IF(AND(CP$12&gt;=$E13,CP$12&lt;=$F13,MOD(CP$12,7)&gt;1,NOT(COUNTIF(General!$U$13:$U$19,CP$12))),$I13,"")</f>
        <v/>
      </c>
      <c r="CQ13" s="390" t="str">
        <f>IF(AND(CQ$12&gt;=$E13,CQ$12&lt;=$F13,MOD(CQ$12,7)&gt;1,NOT(COUNTIF(General!$U$13:$U$19,CQ$12))),$I13,"")</f>
        <v/>
      </c>
      <c r="CR13" s="390" t="str">
        <f>IF(AND(CR$12&gt;=$E13,CR$12&lt;=$F13,MOD(CR$12,7)&gt;1,NOT(COUNTIF(General!$U$13:$U$19,CR$12))),$I13,"")</f>
        <v/>
      </c>
      <c r="CS13" s="390" t="str">
        <f>IF(AND(CS$12&gt;=$E13,CS$12&lt;=$F13,MOD(CS$12,7)&gt;1,NOT(COUNTIF(General!$U$13:$U$19,CS$12))),$I13,"")</f>
        <v/>
      </c>
      <c r="CT13" s="390" t="str">
        <f>IF(AND(CT$12&gt;=$E13,CT$12&lt;=$F13,MOD(CT$12,7)&gt;1,NOT(COUNTIF(General!$U$13:$U$19,CT$12))),$I13,"")</f>
        <v/>
      </c>
      <c r="CU13" s="390" t="str">
        <f>IF(AND(CU$12&gt;=$E13,CU$12&lt;=$F13,MOD(CU$12,7)&gt;1,NOT(COUNTIF(General!$U$13:$U$19,CU$12))),$I13,"")</f>
        <v/>
      </c>
      <c r="CV13" s="390" t="str">
        <f>IF(AND(CV$12&gt;=$E13,CV$12&lt;=$F13,MOD(CV$12,7)&gt;1,NOT(COUNTIF(General!$U$13:$U$19,CV$12))),$I13,"")</f>
        <v/>
      </c>
      <c r="CW13" s="390" t="str">
        <f>IF(AND(CW$12&gt;=$E13,CW$12&lt;=$F13,MOD(CW$12,7)&gt;1,NOT(COUNTIF(General!$U$13:$U$19,CW$12))),$I13,"")</f>
        <v/>
      </c>
      <c r="CX13" s="390" t="str">
        <f>IF(AND(CX$12&gt;=$E13,CX$12&lt;=$F13,MOD(CX$12,7)&gt;1,NOT(COUNTIF(General!$U$13:$U$19,CX$12))),$I13,"")</f>
        <v/>
      </c>
      <c r="CY13" s="390" t="str">
        <f>IF(AND(CY$12&gt;=$E13,CY$12&lt;=$F13,MOD(CY$12,7)&gt;1,NOT(COUNTIF(General!$U$13:$U$19,CY$12))),$I13,"")</f>
        <v/>
      </c>
      <c r="CZ13" s="390" t="str">
        <f>IF(AND(CZ$12&gt;=$E13,CZ$12&lt;=$F13,MOD(CZ$12,7)&gt;1,NOT(COUNTIF(General!$U$13:$U$19,CZ$12))),$I13,"")</f>
        <v/>
      </c>
      <c r="DA13" s="390" t="str">
        <f>IF(AND(DA$12&gt;=$E13,DA$12&lt;=$F13,MOD(DA$12,7)&gt;1,NOT(COUNTIF(General!$U$13:$U$19,DA$12))),$I13,"")</f>
        <v/>
      </c>
      <c r="DB13" s="390" t="str">
        <f>IF(AND(DB$12&gt;=$E13,DB$12&lt;=$F13,MOD(DB$12,7)&gt;1,NOT(COUNTIF(General!$U$13:$U$19,DB$12))),$I13,"")</f>
        <v/>
      </c>
      <c r="DC13" s="390" t="str">
        <f>IF(AND(DC$12&gt;=$E13,DC$12&lt;=$F13,MOD(DC$12,7)&gt;1,NOT(COUNTIF(General!$U$13:$U$19,DC$12))),$I13,"")</f>
        <v/>
      </c>
      <c r="DD13" s="390" t="str">
        <f>IF(AND(DD$12&gt;=$E13,DD$12&lt;=$F13,MOD(DD$12,7)&gt;1,NOT(COUNTIF(General!$U$13:$U$19,DD$12))),$I13,"")</f>
        <v/>
      </c>
      <c r="DE13" s="390" t="str">
        <f>IF(AND(DE$12&gt;=$E13,DE$12&lt;=$F13,MOD(DE$12,7)&gt;1,NOT(COUNTIF(General!$U$13:$U$19,DE$12))),$I13,"")</f>
        <v/>
      </c>
      <c r="DF13" s="390" t="str">
        <f>IF(AND(DF$12&gt;=$E13,DF$12&lt;=$F13,MOD(DF$12,7)&gt;1,NOT(COUNTIF(General!$U$13:$U$19,DF$12))),$I13,"")</f>
        <v/>
      </c>
      <c r="DG13" s="390" t="str">
        <f>IF(AND(DG$12&gt;=$E13,DG$12&lt;=$F13,MOD(DG$12,7)&gt;1,NOT(COUNTIF(General!$U$13:$U$19,DG$12))),$I13,"")</f>
        <v/>
      </c>
      <c r="DH13" s="390" t="str">
        <f>IF(AND(DH$12&gt;=$E13,DH$12&lt;=$F13,MOD(DH$12,7)&gt;1,NOT(COUNTIF(General!$U$13:$U$19,DH$12))),$I13,"")</f>
        <v/>
      </c>
      <c r="DI13" s="390" t="str">
        <f>IF(AND(DI$12&gt;=$E13,DI$12&lt;=$F13,MOD(DI$12,7)&gt;1,NOT(COUNTIF(General!$U$13:$U$19,DI$12))),$I13,"")</f>
        <v/>
      </c>
      <c r="DJ13" s="390" t="str">
        <f>IF(AND(DJ$12&gt;=$E13,DJ$12&lt;=$F13,MOD(DJ$12,7)&gt;1,NOT(COUNTIF(General!$U$13:$U$19,DJ$12))),$I13,"")</f>
        <v/>
      </c>
      <c r="DK13" s="390" t="str">
        <f>IF(AND(DK$12&gt;=$E13,DK$12&lt;=$F13,MOD(DK$12,7)&gt;1,NOT(COUNTIF(General!$U$13:$U$19,DK$12))),$I13,"")</f>
        <v/>
      </c>
      <c r="DL13" s="390" t="str">
        <f>IF(AND(DL$12&gt;=$E13,DL$12&lt;=$F13,MOD(DL$12,7)&gt;1,NOT(COUNTIF(General!$U$13:$U$19,DL$12))),$I13,"")</f>
        <v/>
      </c>
      <c r="DM13" s="390" t="str">
        <f>IF(AND(DM$12&gt;=$E13,DM$12&lt;=$F13,MOD(DM$12,7)&gt;1,NOT(COUNTIF(General!$U$13:$U$19,DM$12))),$I13,"")</f>
        <v/>
      </c>
      <c r="DN13" s="390" t="str">
        <f>IF(AND(DN$12&gt;=$E13,DN$12&lt;=$F13,MOD(DN$12,7)&gt;1,NOT(COUNTIF(General!$U$13:$U$19,DN$12))),$I13,"")</f>
        <v/>
      </c>
      <c r="DO13" s="390" t="str">
        <f>IF(AND(DO$12&gt;=$E13,DO$12&lt;=$F13,MOD(DO$12,7)&gt;1,NOT(COUNTIF(General!$U$13:$U$19,DO$12))),$I13,"")</f>
        <v/>
      </c>
      <c r="DP13" s="390" t="str">
        <f>IF(AND(DP$12&gt;=$E13,DP$12&lt;=$F13,MOD(DP$12,7)&gt;1,NOT(COUNTIF(General!$U$13:$U$19,DP$12))),$I13,"")</f>
        <v/>
      </c>
      <c r="DQ13" s="390" t="str">
        <f>IF(AND(DQ$12&gt;=$E13,DQ$12&lt;=$F13,MOD(DQ$12,7)&gt;1,NOT(COUNTIF(General!$U$13:$U$19,DQ$12))),$I13,"")</f>
        <v/>
      </c>
      <c r="DR13" s="390" t="str">
        <f>IF(AND(DR$12&gt;=$E13,DR$12&lt;=$F13,MOD(DR$12,7)&gt;1,NOT(COUNTIF(General!$U$13:$U$19,DR$12))),$I13,"")</f>
        <v/>
      </c>
      <c r="DS13" s="390" t="str">
        <f>IF(AND(DS$12&gt;=$E13,DS$12&lt;=$F13,MOD(DS$12,7)&gt;1,NOT(COUNTIF(General!$U$13:$U$19,DS$12))),$I13,"")</f>
        <v/>
      </c>
      <c r="DT13" s="390" t="str">
        <f>IF(AND(DT$12&gt;=$E13,DT$12&lt;=$F13,MOD(DT$12,7)&gt;1,NOT(COUNTIF(General!$U$13:$U$19,DT$12))),$I13,"")</f>
        <v/>
      </c>
      <c r="DU13" s="390" t="str">
        <f>IF(AND(DU$12&gt;=$E13,DU$12&lt;=$F13,MOD(DU$12,7)&gt;1,NOT(COUNTIF(General!$U$13:$U$19,DU$12))),$I13,"")</f>
        <v/>
      </c>
      <c r="DV13" s="390" t="str">
        <f>IF(AND(DV$12&gt;=$E13,DV$12&lt;=$F13,MOD(DV$12,7)&gt;1,NOT(COUNTIF(General!$U$13:$U$19,DV$12))),$I13,"")</f>
        <v/>
      </c>
      <c r="DW13" s="390" t="str">
        <f>IF(AND(DW$12&gt;=$E13,DW$12&lt;=$F13,MOD(DW$12,7)&gt;1,NOT(COUNTIF(General!$U$13:$U$19,DW$12))),$I13,"")</f>
        <v/>
      </c>
      <c r="DX13" s="390" t="str">
        <f>IF(AND(DX$12&gt;=$E13,DX$12&lt;=$F13,MOD(DX$12,7)&gt;1,NOT(COUNTIF(General!$U$13:$U$19,DX$12))),$I13,"")</f>
        <v/>
      </c>
      <c r="DY13" s="390" t="str">
        <f>IF(AND(DY$12&gt;=$E13,DY$12&lt;=$F13,MOD(DY$12,7)&gt;1,NOT(COUNTIF(General!$U$13:$U$19,DY$12))),$I13,"")</f>
        <v/>
      </c>
      <c r="DZ13" s="390" t="str">
        <f>IF(AND(DZ$12&gt;=$E13,DZ$12&lt;=$F13,MOD(DZ$12,7)&gt;1,NOT(COUNTIF(General!$U$13:$U$19,DZ$12))),$I13,"")</f>
        <v/>
      </c>
      <c r="EA13" s="390" t="str">
        <f>IF(AND(EA$12&gt;=$E13,EA$12&lt;=$F13,MOD(EA$12,7)&gt;1,NOT(COUNTIF(General!$U$13:$U$19,EA$12))),$I13,"")</f>
        <v/>
      </c>
      <c r="EB13" s="390" t="str">
        <f>IF(AND(EB$12&gt;=$E13,EB$12&lt;=$F13,MOD(EB$12,7)&gt;1,NOT(COUNTIF(General!$U$13:$U$19,EB$12))),$I13,"")</f>
        <v/>
      </c>
      <c r="EC13" s="390" t="str">
        <f>IF(AND(EC$12&gt;=$E13,EC$12&lt;=$F13,MOD(EC$12,7)&gt;1,NOT(COUNTIF(General!$U$13:$U$19,EC$12))),$I13,"")</f>
        <v/>
      </c>
      <c r="ED13" s="390" t="str">
        <f>IF(AND(ED$12&gt;=$E13,ED$12&lt;=$F13,MOD(ED$12,7)&gt;1,NOT(COUNTIF(General!$U$13:$U$19,ED$12))),$I13,"")</f>
        <v/>
      </c>
      <c r="EE13" s="390" t="str">
        <f>IF(AND(EE$12&gt;=$E13,EE$12&lt;=$F13,MOD(EE$12,7)&gt;1,NOT(COUNTIF(General!$U$13:$U$19,EE$12))),$I13,"")</f>
        <v/>
      </c>
      <c r="EF13" s="390" t="str">
        <f>IF(AND(EF$12&gt;=$E13,EF$12&lt;=$F13,MOD(EF$12,7)&gt;1,NOT(COUNTIF(General!$U$13:$U$19,EF$12))),$I13,"")</f>
        <v/>
      </c>
      <c r="EG13" s="390" t="str">
        <f>IF(AND(EG$12&gt;=$E13,EG$12&lt;=$F13,MOD(EG$12,7)&gt;1,NOT(COUNTIF(General!$U$13:$U$19,EG$12))),$I13,"")</f>
        <v/>
      </c>
      <c r="EH13" s="390" t="str">
        <f>IF(AND(EH$12&gt;=$E13,EH$12&lt;=$F13,MOD(EH$12,7)&gt;1,NOT(COUNTIF(General!$U$13:$U$19,EH$12))),$I13,"")</f>
        <v/>
      </c>
      <c r="EI13" s="390" t="str">
        <f>IF(AND(EI$12&gt;=$E13,EI$12&lt;=$F13,MOD(EI$12,7)&gt;1,NOT(COUNTIF(General!$U$13:$U$19,EI$12))),$I13,"")</f>
        <v/>
      </c>
      <c r="EJ13" s="390" t="str">
        <f>IF(AND(EJ$12&gt;=$E13,EJ$12&lt;=$F13,MOD(EJ$12,7)&gt;1,NOT(COUNTIF(General!$U$13:$U$19,EJ$12))),$I13,"")</f>
        <v/>
      </c>
      <c r="EK13" s="390" t="str">
        <f>IF(AND(EK$12&gt;=$E13,EK$12&lt;=$F13,MOD(EK$12,7)&gt;1,NOT(COUNTIF(General!$U$13:$U$19,EK$12))),$I13,"")</f>
        <v/>
      </c>
      <c r="EL13" s="390" t="str">
        <f>IF(AND(EL$12&gt;=$E13,EL$12&lt;=$F13,MOD(EL$12,7)&gt;1,NOT(COUNTIF(General!$U$13:$U$19,EL$12))),$I13,"")</f>
        <v/>
      </c>
      <c r="EM13" s="390" t="str">
        <f>IF(AND(EM$12&gt;=$E13,EM$12&lt;=$F13,MOD(EM$12,7)&gt;1,NOT(COUNTIF(General!$U$13:$U$19,EM$12))),$I13,"")</f>
        <v/>
      </c>
      <c r="EN13" s="390" t="str">
        <f>IF(AND(EN$12&gt;=$E13,EN$12&lt;=$F13,MOD(EN$12,7)&gt;1,NOT(COUNTIF(General!$U$13:$U$19,EN$12))),$I13,"")</f>
        <v/>
      </c>
      <c r="EO13" s="390" t="str">
        <f>IF(AND(EO$12&gt;=$E13,EO$12&lt;=$F13,MOD(EO$12,7)&gt;1,NOT(COUNTIF(General!$U$13:$U$19,EO$12))),$I13,"")</f>
        <v/>
      </c>
      <c r="EP13" s="390" t="str">
        <f>IF(AND(EP$12&gt;=$E13,EP$12&lt;=$F13,MOD(EP$12,7)&gt;1,NOT(COUNTIF(General!$U$13:$U$19,EP$12))),$I13,"")</f>
        <v/>
      </c>
      <c r="EQ13" s="390" t="str">
        <f>IF(AND(EQ$12&gt;=$E13,EQ$12&lt;=$F13,MOD(EQ$12,7)&gt;1,NOT(COUNTIF(General!$U$13:$U$19,EQ$12))),$I13,"")</f>
        <v/>
      </c>
      <c r="ER13" s="390" t="str">
        <f>IF(AND(ER$12&gt;=$E13,ER$12&lt;=$F13,MOD(ER$12,7)&gt;1,NOT(COUNTIF(General!$U$13:$U$19,ER$12))),$I13,"")</f>
        <v/>
      </c>
      <c r="ES13" s="390" t="str">
        <f>IF(AND(ES$12&gt;=$E13,ES$12&lt;=$F13,MOD(ES$12,7)&gt;1,NOT(COUNTIF(General!$U$13:$U$19,ES$12))),$I13,"")</f>
        <v/>
      </c>
      <c r="ET13" s="390" t="str">
        <f>IF(AND(ET$12&gt;=$E13,ET$12&lt;=$F13,MOD(ET$12,7)&gt;1,NOT(COUNTIF(General!$U$13:$U$19,ET$12))),$I13,"")</f>
        <v/>
      </c>
      <c r="EU13" s="390" t="str">
        <f>IF(AND(EU$12&gt;=$E13,EU$12&lt;=$F13,MOD(EU$12,7)&gt;1,NOT(COUNTIF(General!$U$13:$U$19,EU$12))),$I13,"")</f>
        <v/>
      </c>
      <c r="EV13" s="390" t="str">
        <f>IF(AND(EV$12&gt;=$E13,EV$12&lt;=$F13,MOD(EV$12,7)&gt;1,NOT(COUNTIF(General!$U$13:$U$19,EV$12))),$I13,"")</f>
        <v/>
      </c>
      <c r="EW13" s="390" t="str">
        <f>IF(AND(EW$12&gt;=$E13,EW$12&lt;=$F13,MOD(EW$12,7)&gt;1,NOT(COUNTIF(General!$U$13:$U$19,EW$12))),$I13,"")</f>
        <v/>
      </c>
      <c r="EX13" s="390" t="str">
        <f>IF(AND(EX$12&gt;=$E13,EX$12&lt;=$F13,MOD(EX$12,7)&gt;1,NOT(COUNTIF(General!$U$13:$U$19,EX$12))),$I13,"")</f>
        <v/>
      </c>
      <c r="EY13" s="390" t="str">
        <f>IF(AND(EY$12&gt;=$E13,EY$12&lt;=$F13,MOD(EY$12,7)&gt;1,NOT(COUNTIF(General!$U$13:$U$19,EY$12))),$I13,"")</f>
        <v/>
      </c>
      <c r="EZ13" s="390" t="str">
        <f>IF(AND(EZ$12&gt;=$E13,EZ$12&lt;=$F13,MOD(EZ$12,7)&gt;1,NOT(COUNTIF(General!$U$13:$U$19,EZ$12))),$I13,"")</f>
        <v/>
      </c>
      <c r="FA13" s="390" t="str">
        <f>IF(AND(FA$12&gt;=$E13,FA$12&lt;=$F13,MOD(FA$12,7)&gt;1,NOT(COUNTIF(General!$U$13:$U$19,FA$12))),$I13,"")</f>
        <v/>
      </c>
      <c r="FB13" s="390" t="str">
        <f>IF(AND(FB$12&gt;=$E13,FB$12&lt;=$F13,MOD(FB$12,7)&gt;1,NOT(COUNTIF(General!$U$13:$U$19,FB$12))),$I13,"")</f>
        <v/>
      </c>
      <c r="FC13" s="390" t="str">
        <f>IF(AND(FC$12&gt;=$E13,FC$12&lt;=$F13,MOD(FC$12,7)&gt;1,NOT(COUNTIF(General!$U$13:$U$19,FC$12))),$I13,"")</f>
        <v/>
      </c>
      <c r="FD13" s="390" t="str">
        <f>IF(AND(FD$12&gt;=$E13,FD$12&lt;=$F13,MOD(FD$12,7)&gt;1,NOT(COUNTIF(General!$U$13:$U$19,FD$12))),$I13,"")</f>
        <v/>
      </c>
      <c r="FE13" s="390" t="str">
        <f>IF(AND(FE$12&gt;=$E13,FE$12&lt;=$F13,MOD(FE$12,7)&gt;1,NOT(COUNTIF(General!$U$13:$U$19,FE$12))),$I13,"")</f>
        <v/>
      </c>
      <c r="FF13" s="390" t="str">
        <f>IF(AND(FF$12&gt;=$E13,FF$12&lt;=$F13,MOD(FF$12,7)&gt;1,NOT(COUNTIF(General!$U$13:$U$19,FF$12))),$I13,"")</f>
        <v/>
      </c>
      <c r="FG13" s="390" t="str">
        <f>IF(AND(FG$12&gt;=$E13,FG$12&lt;=$F13,MOD(FG$12,7)&gt;1,NOT(COUNTIF(General!$U$13:$U$19,FG$12))),$I13,"")</f>
        <v/>
      </c>
      <c r="FH13" s="390" t="str">
        <f>IF(AND(FH$12&gt;=$E13,FH$12&lt;=$F13,MOD(FH$12,7)&gt;1,NOT(COUNTIF(General!$U$13:$U$19,FH$12))),$I13,"")</f>
        <v/>
      </c>
      <c r="FI13" s="390" t="str">
        <f>IF(AND(FI$12&gt;=$E13,FI$12&lt;=$F13,MOD(FI$12,7)&gt;1,NOT(COUNTIF(General!$U$13:$U$19,FI$12))),$I13,"")</f>
        <v/>
      </c>
      <c r="FJ13" s="390" t="str">
        <f>IF(AND(FJ$12&gt;=$E13,FJ$12&lt;=$F13,MOD(FJ$12,7)&gt;1,NOT(COUNTIF(General!$U$13:$U$19,FJ$12))),$I13,"")</f>
        <v/>
      </c>
      <c r="FK13" s="390" t="str">
        <f>IF(AND(FK$12&gt;=$E13,FK$12&lt;=$F13,MOD(FK$12,7)&gt;1,NOT(COUNTIF(General!$U$13:$U$19,FK$12))),$I13,"")</f>
        <v/>
      </c>
      <c r="FL13" s="390" t="str">
        <f>IF(AND(FL$12&gt;=$E13,FL$12&lt;=$F13,MOD(FL$12,7)&gt;1,NOT(COUNTIF(General!$U$13:$U$19,FL$12))),$I13,"")</f>
        <v/>
      </c>
      <c r="FM13" s="390" t="str">
        <f>IF(AND(FM$12&gt;=$E13,FM$12&lt;=$F13,MOD(FM$12,7)&gt;1,NOT(COUNTIF(General!$U$13:$U$19,FM$12))),$I13,"")</f>
        <v/>
      </c>
      <c r="FN13" s="390" t="str">
        <f>IF(AND(FN$12&gt;=$E13,FN$12&lt;=$F13,MOD(FN$12,7)&gt;1,NOT(COUNTIF(General!$U$13:$U$19,FN$12))),$I13,"")</f>
        <v/>
      </c>
      <c r="FO13" s="390" t="str">
        <f>IF(AND(FO$12&gt;=$E13,FO$12&lt;=$F13,MOD(FO$12,7)&gt;1,NOT(COUNTIF(General!$U$13:$U$19,FO$12))),$I13,"")</f>
        <v/>
      </c>
      <c r="FP13" s="390" t="str">
        <f>IF(AND(FP$12&gt;=$E13,FP$12&lt;=$F13,MOD(FP$12,7)&gt;1,NOT(COUNTIF(General!$U$13:$U$19,FP$12))),$I13,"")</f>
        <v/>
      </c>
      <c r="FQ13" s="390" t="str">
        <f>IF(AND(FQ$12&gt;=$E13,FQ$12&lt;=$F13,MOD(FQ$12,7)&gt;1,NOT(COUNTIF(General!$U$13:$U$19,FQ$12))),$I13,"")</f>
        <v/>
      </c>
      <c r="FR13" s="390" t="str">
        <f>IF(AND(FR$12&gt;=$E13,FR$12&lt;=$F13,MOD(FR$12,7)&gt;1,NOT(COUNTIF(General!$U$13:$U$19,FR$12))),$I13,"")</f>
        <v/>
      </c>
      <c r="FS13" s="390" t="str">
        <f>IF(AND(FS$12&gt;=$E13,FS$12&lt;=$F13,MOD(FS$12,7)&gt;1,NOT(COUNTIF(General!$U$13:$U$19,FS$12))),$I13,"")</f>
        <v/>
      </c>
      <c r="FT13" s="390" t="str">
        <f>IF(AND(FT$12&gt;=$E13,FT$12&lt;=$F13,MOD(FT$12,7)&gt;1,NOT(COUNTIF(General!$U$13:$U$19,FT$12))),$I13,"")</f>
        <v/>
      </c>
      <c r="FU13" s="390" t="str">
        <f>IF(AND(FU$12&gt;=$E13,FU$12&lt;=$F13,MOD(FU$12,7)&gt;1,NOT(COUNTIF(General!$U$13:$U$19,FU$12))),$I13,"")</f>
        <v/>
      </c>
      <c r="FV13" s="390" t="str">
        <f>IF(AND(FV$12&gt;=$E13,FV$12&lt;=$F13,MOD(FV$12,7)&gt;1,NOT(COUNTIF(General!$U$13:$U$19,FV$12))),$I13,"")</f>
        <v/>
      </c>
      <c r="FW13" s="390" t="str">
        <f>IF(AND(FW$12&gt;=$E13,FW$12&lt;=$F13,MOD(FW$12,7)&gt;1,NOT(COUNTIF(General!$U$13:$U$19,FW$12))),$I13,"")</f>
        <v/>
      </c>
      <c r="FX13" s="390" t="str">
        <f>IF(AND(FX$12&gt;=$E13,FX$12&lt;=$F13,MOD(FX$12,7)&gt;1,NOT(COUNTIF(General!$U$13:$U$19,FX$12))),$I13,"")</f>
        <v/>
      </c>
    </row>
    <row r="14" ht="16.5" customHeight="1">
      <c r="A14" s="537">
        <v>388797.0</v>
      </c>
      <c r="B14" s="538" t="s">
        <v>531</v>
      </c>
      <c r="C14" s="539"/>
      <c r="D14" s="540" t="s">
        <v>439</v>
      </c>
      <c r="E14" s="541">
        <v>43802.0</v>
      </c>
      <c r="F14" s="374">
        <f>WORKDAY(E14,ROUNDUP(G14/I14,0),General!$U$13:$U$27)-1</f>
        <v>43803</v>
      </c>
      <c r="G14" s="542">
        <v>2.0</v>
      </c>
      <c r="H14" s="543"/>
      <c r="I14" s="544">
        <v>1.0</v>
      </c>
      <c r="J14" s="545"/>
      <c r="K14" s="546"/>
      <c r="L14" s="546"/>
      <c r="M14" s="547"/>
      <c r="N14" s="548"/>
      <c r="O14" s="549"/>
      <c r="P14" s="550"/>
      <c r="Q14" s="390" t="str">
        <f>IF(AND(Q$12&gt;=$E14,Q$12&lt;=$F14,MOD(Q$12,7)&gt;1,NOT(COUNTIF(General!$U$13:$U$19,Q$12))),$I14,"")</f>
        <v/>
      </c>
      <c r="R14" s="390">
        <f>IF(AND(R$12&gt;=$E14,R$12&lt;=$F14,MOD(R$12,7)&gt;1,NOT(COUNTIF(General!$U$13:$U$19,R$12))),$I14,"")</f>
        <v>1</v>
      </c>
      <c r="S14" s="390">
        <f>IF(AND(S$12&gt;=$E14,S$12&lt;=$F14,MOD(S$12,7)&gt;1,NOT(COUNTIF(General!$U$13:$U$19,S$12))),$I14,"")</f>
        <v>1</v>
      </c>
      <c r="T14" s="390" t="str">
        <f>IF(AND(T$12&gt;=$E14,T$12&lt;=$F14,MOD(T$12,7)&gt;1,NOT(COUNTIF(General!$U$13:$U$19,T$12))),$I14,"")</f>
        <v/>
      </c>
      <c r="U14" s="390" t="str">
        <f>IF(AND(U$12&gt;=$E14,U$12&lt;=$F14,MOD(U$12,7)&gt;1,NOT(COUNTIF(General!$U$13:$U$19,U$12))),$I14,"")</f>
        <v/>
      </c>
      <c r="V14" s="390" t="str">
        <f>IF(AND(V$12&gt;=$E14,V$12&lt;=$F14,MOD(V$12,7)&gt;1,NOT(COUNTIF(General!$U$13:$U$19,V$12))),$I14,"")</f>
        <v/>
      </c>
      <c r="W14" s="390" t="str">
        <f>IF(AND(W$12&gt;=$E14,W$12&lt;=$F14,MOD(W$12,7)&gt;1,NOT(COUNTIF(General!$U$13:$U$19,W$12))),$I14,"")</f>
        <v/>
      </c>
      <c r="X14" s="390" t="str">
        <f>IF(AND(X$12&gt;=$E14,X$12&lt;=$F14,MOD(X$12,7)&gt;1,NOT(COUNTIF(General!$U$13:$U$19,X$12))),$I14,"")</f>
        <v/>
      </c>
      <c r="Y14" s="390" t="str">
        <f>IF(AND(Y$12&gt;=$E14,Y$12&lt;=$F14,MOD(Y$12,7)&gt;1,NOT(COUNTIF(General!$U$13:$U$19,Y$12))),$I14,"")</f>
        <v/>
      </c>
      <c r="Z14" s="390" t="str">
        <f>IF(AND(Z$12&gt;=$E14,Z$12&lt;=$F14,MOD(Z$12,7)&gt;1,NOT(COUNTIF(General!$U$13:$U$19,Z$12))),$I14,"")</f>
        <v/>
      </c>
      <c r="AA14" s="390" t="str">
        <f>IF(AND(AA$12&gt;=$E14,AA$12&lt;=$F14,MOD(AA$12,7)&gt;1,NOT(COUNTIF(General!$U$13:$U$19,AA$12))),$I14,"")</f>
        <v/>
      </c>
      <c r="AB14" s="390" t="str">
        <f>IF(AND(AB$12&gt;=$E14,AB$12&lt;=$F14,MOD(AB$12,7)&gt;1,NOT(COUNTIF(General!$U$13:$U$19,AB$12))),$I14,"")</f>
        <v/>
      </c>
      <c r="AC14" s="390" t="str">
        <f>IF(AND(AC$12&gt;=$E14,AC$12&lt;=$F14,MOD(AC$12,7)&gt;1,NOT(COUNTIF(General!$U$13:$U$19,AC$12))),$I14,"")</f>
        <v/>
      </c>
      <c r="AD14" s="390" t="str">
        <f>IF(AND(AD$12&gt;=$E14,AD$12&lt;=$F14,MOD(AD$12,7)&gt;1,NOT(COUNTIF(General!$U$13:$U$19,AD$12))),$I14,"")</f>
        <v/>
      </c>
      <c r="AE14" s="390" t="str">
        <f>IF(AND(AE$12&gt;=$E14,AE$12&lt;=$F14,MOD(AE$12,7)&gt;1,NOT(COUNTIF(General!$U$13:$U$19,AE$12))),$I14,"")</f>
        <v/>
      </c>
      <c r="AF14" s="390" t="str">
        <f>IF(AND(AF$12&gt;=$E14,AF$12&lt;=$F14,MOD(AF$12,7)&gt;1,NOT(COUNTIF(General!$U$13:$U$19,AF$12))),$I14,"")</f>
        <v/>
      </c>
      <c r="AG14" s="390" t="str">
        <f>IF(AND(AG$12&gt;=$E14,AG$12&lt;=$F14,MOD(AG$12,7)&gt;1,NOT(COUNTIF(General!$U$13:$U$19,AG$12))),$I14,"")</f>
        <v/>
      </c>
      <c r="AH14" s="390" t="str">
        <f>IF(AND(AH$12&gt;=$E14,AH$12&lt;=$F14,MOD(AH$12,7)&gt;1,NOT(COUNTIF(General!$U$13:$U$19,AH$12))),$I14,"")</f>
        <v/>
      </c>
      <c r="AI14" s="390" t="str">
        <f>IF(AND(AI$12&gt;=$E14,AI$12&lt;=$F14,MOD(AI$12,7)&gt;1,NOT(COUNTIF(General!$U$13:$U$19,AI$12))),$I14,"")</f>
        <v/>
      </c>
      <c r="AJ14" s="390" t="str">
        <f>IF(AND(AJ$12&gt;=$E14,AJ$12&lt;=$F14,MOD(AJ$12,7)&gt;1,NOT(COUNTIF(General!$U$13:$U$19,AJ$12))),$I14,"")</f>
        <v/>
      </c>
      <c r="AK14" s="390" t="str">
        <f>IF(AND(AK$12&gt;=$E14,AK$12&lt;=$F14,MOD(AK$12,7)&gt;1,NOT(COUNTIF(General!$U$13:$U$19,AK$12))),$I14,"")</f>
        <v/>
      </c>
      <c r="AL14" s="390" t="str">
        <f>IF(AND(AL$12&gt;=$E14,AL$12&lt;=$F14,MOD(AL$12,7)&gt;1,NOT(COUNTIF(General!$U$13:$U$19,AL$12))),$I14,"")</f>
        <v/>
      </c>
      <c r="AM14" s="390" t="str">
        <f>IF(AND(AM$12&gt;=$E14,AM$12&lt;=$F14,MOD(AM$12,7)&gt;1,NOT(COUNTIF(General!$U$13:$U$19,AM$12))),$I14,"")</f>
        <v/>
      </c>
      <c r="AN14" s="390" t="str">
        <f>IF(AND(AN$12&gt;=$E14,AN$12&lt;=$F14,MOD(AN$12,7)&gt;1,NOT(COUNTIF(General!$U$13:$U$19,AN$12))),$I14,"")</f>
        <v/>
      </c>
      <c r="AO14" s="390" t="str">
        <f>IF(AND(AO$12&gt;=$E14,AO$12&lt;=$F14,MOD(AO$12,7)&gt;1,NOT(COUNTIF(General!$U$13:$U$19,AO$12))),$I14,"")</f>
        <v/>
      </c>
      <c r="AP14" s="390" t="str">
        <f>IF(AND(AP$12&gt;=$E14,AP$12&lt;=$F14,MOD(AP$12,7)&gt;1,NOT(COUNTIF(General!$U$13:$U$19,AP$12))),$I14,"")</f>
        <v/>
      </c>
      <c r="AQ14" s="390" t="str">
        <f>IF(AND(AQ$12&gt;=$E14,AQ$12&lt;=$F14,MOD(AQ$12,7)&gt;1,NOT(COUNTIF(General!$U$13:$U$19,AQ$12))),$I14,"")</f>
        <v/>
      </c>
      <c r="AR14" s="390" t="str">
        <f>IF(AND(AR$12&gt;=$E14,AR$12&lt;=$F14,MOD(AR$12,7)&gt;1,NOT(COUNTIF(General!$U$13:$U$19,AR$12))),$I14,"")</f>
        <v/>
      </c>
      <c r="AS14" s="390" t="str">
        <f>IF(AND(AS$12&gt;=$E14,AS$12&lt;=$F14,MOD(AS$12,7)&gt;1,NOT(COUNTIF(General!$U$13:$U$19,AS$12))),$I14,"")</f>
        <v/>
      </c>
      <c r="AT14" s="390" t="str">
        <f>IF(AND(AT$12&gt;=$E14,AT$12&lt;=$F14,MOD(AT$12,7)&gt;1,NOT(COUNTIF(General!$U$13:$U$19,AT$12))),$I14,"")</f>
        <v/>
      </c>
      <c r="AU14" s="390" t="str">
        <f>IF(AND(AU$12&gt;=$E14,AU$12&lt;=$F14,MOD(AU$12,7)&gt;1,NOT(COUNTIF(General!$U$13:$U$19,AU$12))),$I14,"")</f>
        <v/>
      </c>
      <c r="AV14" s="390" t="str">
        <f>IF(AND(AV$12&gt;=$E14,AV$12&lt;=$F14,MOD(AV$12,7)&gt;1,NOT(COUNTIF(General!$U$13:$U$19,AV$12))),$I14,"")</f>
        <v/>
      </c>
      <c r="AW14" s="390" t="str">
        <f>IF(AND(AW$12&gt;=$E14,AW$12&lt;=$F14,MOD(AW$12,7)&gt;1,NOT(COUNTIF(General!$U$13:$U$19,AW$12))),$I14,"")</f>
        <v/>
      </c>
      <c r="AX14" s="390" t="str">
        <f>IF(AND(AX$12&gt;=$E14,AX$12&lt;=$F14,MOD(AX$12,7)&gt;1,NOT(COUNTIF(General!$U$13:$U$19,AX$12))),$I14,"")</f>
        <v/>
      </c>
      <c r="AY14" s="390" t="str">
        <f>IF(AND(AY$12&gt;=$E14,AY$12&lt;=$F14,MOD(AY$12,7)&gt;1,NOT(COUNTIF(General!$U$13:$U$19,AY$12))),$I14,"")</f>
        <v/>
      </c>
      <c r="AZ14" s="390" t="str">
        <f>IF(AND(AZ$12&gt;=$E14,AZ$12&lt;=$F14,MOD(AZ$12,7)&gt;1,NOT(COUNTIF(General!$U$13:$U$19,AZ$12))),$I14,"")</f>
        <v/>
      </c>
      <c r="BA14" s="390" t="str">
        <f>IF(AND(BA$12&gt;=$E14,BA$12&lt;=$F14,MOD(BA$12,7)&gt;1,NOT(COUNTIF(General!$U$13:$U$19,BA$12))),$I14,"")</f>
        <v/>
      </c>
      <c r="BB14" s="390" t="str">
        <f>IF(AND(BB$12&gt;=$E14,BB$12&lt;=$F14,MOD(BB$12,7)&gt;1,NOT(COUNTIF(General!$U$13:$U$19,BB$12))),$I14,"")</f>
        <v/>
      </c>
      <c r="BC14" s="390" t="str">
        <f>IF(AND(BC$12&gt;=$E14,BC$12&lt;=$F14,MOD(BC$12,7)&gt;1,NOT(COUNTIF(General!$U$13:$U$19,BC$12))),$I14,"")</f>
        <v/>
      </c>
      <c r="BD14" s="390" t="str">
        <f>IF(AND(BD$12&gt;=$E14,BD$12&lt;=$F14,MOD(BD$12,7)&gt;1,NOT(COUNTIF(General!$U$13:$U$19,BD$12))),$I14,"")</f>
        <v/>
      </c>
      <c r="BE14" s="390" t="str">
        <f>IF(AND(BE$12&gt;=$E14,BE$12&lt;=$F14,MOD(BE$12,7)&gt;1,NOT(COUNTIF(General!$U$13:$U$19,BE$12))),$I14,"")</f>
        <v/>
      </c>
      <c r="BF14" s="390" t="str">
        <f>IF(AND(BF$12&gt;=$E14,BF$12&lt;=$F14,MOD(BF$12,7)&gt;1,NOT(COUNTIF(General!$U$13:$U$19,BF$12))),$I14,"")</f>
        <v/>
      </c>
      <c r="BG14" s="390" t="str">
        <f>IF(AND(BG$12&gt;=$E14,BG$12&lt;=$F14,MOD(BG$12,7)&gt;1,NOT(COUNTIF(General!$U$13:$U$19,BG$12))),$I14,"")</f>
        <v/>
      </c>
      <c r="BH14" s="390" t="str">
        <f>IF(AND(BH$12&gt;=$E14,BH$12&lt;=$F14,MOD(BH$12,7)&gt;1,NOT(COUNTIF(General!$U$13:$U$19,BH$12))),$I14,"")</f>
        <v/>
      </c>
      <c r="BI14" s="390" t="str">
        <f>IF(AND(BI$12&gt;=$E14,BI$12&lt;=$F14,MOD(BI$12,7)&gt;1,NOT(COUNTIF(General!$U$13:$U$19,BI$12))),$I14,"")</f>
        <v/>
      </c>
      <c r="BJ14" s="390" t="str">
        <f>IF(AND(BJ$12&gt;=$E14,BJ$12&lt;=$F14,MOD(BJ$12,7)&gt;1,NOT(COUNTIF(General!$U$13:$U$19,BJ$12))),$I14,"")</f>
        <v/>
      </c>
      <c r="BK14" s="390" t="str">
        <f>IF(AND(BK$12&gt;=$E14,BK$12&lt;=$F14,MOD(BK$12,7)&gt;1,NOT(COUNTIF(General!$U$13:$U$19,BK$12))),$I14,"")</f>
        <v/>
      </c>
      <c r="BL14" s="390" t="str">
        <f>IF(AND(BL$12&gt;=$E14,BL$12&lt;=$F14,MOD(BL$12,7)&gt;1,NOT(COUNTIF(General!$U$13:$U$19,BL$12))),$I14,"")</f>
        <v/>
      </c>
      <c r="BM14" s="390" t="str">
        <f>IF(AND(BM$12&gt;=$E14,BM$12&lt;=$F14,MOD(BM$12,7)&gt;1,NOT(COUNTIF(General!$U$13:$U$19,BM$12))),$I14,"")</f>
        <v/>
      </c>
      <c r="BN14" s="390" t="str">
        <f>IF(AND(BN$12&gt;=$E14,BN$12&lt;=$F14,MOD(BN$12,7)&gt;1,NOT(COUNTIF(General!$U$13:$U$19,BN$12))),$I14,"")</f>
        <v/>
      </c>
      <c r="BO14" s="390" t="str">
        <f>IF(AND(BO$12&gt;=$E14,BO$12&lt;=$F14,MOD(BO$12,7)&gt;1,NOT(COUNTIF(General!$U$13:$U$19,BO$12))),$I14,"")</f>
        <v/>
      </c>
      <c r="BP14" s="390" t="str">
        <f>IF(AND(BP$12&gt;=$E14,BP$12&lt;=$F14,MOD(BP$12,7)&gt;1,NOT(COUNTIF(General!$U$13:$U$19,BP$12))),$I14,"")</f>
        <v/>
      </c>
      <c r="BQ14" s="390" t="str">
        <f>IF(AND(BQ$12&gt;=$E14,BQ$12&lt;=$F14,MOD(BQ$12,7)&gt;1,NOT(COUNTIF(General!$U$13:$U$19,BQ$12))),$I14,"")</f>
        <v/>
      </c>
      <c r="BR14" s="390" t="str">
        <f>IF(AND(BR$12&gt;=$E14,BR$12&lt;=$F14,MOD(BR$12,7)&gt;1,NOT(COUNTIF(General!$U$13:$U$19,BR$12))),$I14,"")</f>
        <v/>
      </c>
      <c r="BS14" s="390" t="str">
        <f>IF(AND(BS$12&gt;=$E14,BS$12&lt;=$F14,MOD(BS$12,7)&gt;1,NOT(COUNTIF(General!$U$13:$U$19,BS$12))),$I14,"")</f>
        <v/>
      </c>
      <c r="BT14" s="390" t="str">
        <f>IF(AND(BT$12&gt;=$E14,BT$12&lt;=$F14,MOD(BT$12,7)&gt;1,NOT(COUNTIF(General!$U$13:$U$19,BT$12))),$I14,"")</f>
        <v/>
      </c>
      <c r="BU14" s="390" t="str">
        <f>IF(AND(BU$12&gt;=$E14,BU$12&lt;=$F14,MOD(BU$12,7)&gt;1,NOT(COUNTIF(General!$U$13:$U$19,BU$12))),$I14,"")</f>
        <v/>
      </c>
      <c r="BV14" s="390" t="str">
        <f>IF(AND(BV$12&gt;=$E14,BV$12&lt;=$F14,MOD(BV$12,7)&gt;1,NOT(COUNTIF(General!$U$13:$U$19,BV$12))),$I14,"")</f>
        <v/>
      </c>
      <c r="BW14" s="390" t="str">
        <f>IF(AND(BW$12&gt;=$E14,BW$12&lt;=$F14,MOD(BW$12,7)&gt;1,NOT(COUNTIF(General!$U$13:$U$19,BW$12))),$I14,"")</f>
        <v/>
      </c>
      <c r="BX14" s="390" t="str">
        <f>IF(AND(BX$12&gt;=$E14,BX$12&lt;=$F14,MOD(BX$12,7)&gt;1,NOT(COUNTIF(General!$U$13:$U$19,BX$12))),$I14,"")</f>
        <v/>
      </c>
      <c r="BY14" s="390" t="str">
        <f>IF(AND(BY$12&gt;=$E14,BY$12&lt;=$F14,MOD(BY$12,7)&gt;1,NOT(COUNTIF(General!$U$13:$U$19,BY$12))),$I14,"")</f>
        <v/>
      </c>
      <c r="BZ14" s="390" t="str">
        <f>IF(AND(BZ$12&gt;=$E14,BZ$12&lt;=$F14,MOD(BZ$12,7)&gt;1,NOT(COUNTIF(General!$U$13:$U$19,BZ$12))),$I14,"")</f>
        <v/>
      </c>
      <c r="CA14" s="390" t="str">
        <f>IF(AND(CA$12&gt;=$E14,CA$12&lt;=$F14,MOD(CA$12,7)&gt;1,NOT(COUNTIF(General!$U$13:$U$19,CA$12))),$I14,"")</f>
        <v/>
      </c>
      <c r="CB14" s="390" t="str">
        <f>IF(AND(CB$12&gt;=$E14,CB$12&lt;=$F14,MOD(CB$12,7)&gt;1,NOT(COUNTIF(General!$U$13:$U$19,CB$12))),$I14,"")</f>
        <v/>
      </c>
      <c r="CC14" s="390" t="str">
        <f>IF(AND(CC$12&gt;=$E14,CC$12&lt;=$F14,MOD(CC$12,7)&gt;1,NOT(COUNTIF(General!$U$13:$U$19,CC$12))),$I14,"")</f>
        <v/>
      </c>
      <c r="CD14" s="390" t="str">
        <f>IF(AND(CD$12&gt;=$E14,CD$12&lt;=$F14,MOD(CD$12,7)&gt;1,NOT(COUNTIF(General!$U$13:$U$19,CD$12))),$I14,"")</f>
        <v/>
      </c>
      <c r="CE14" s="390" t="str">
        <f>IF(AND(CE$12&gt;=$E14,CE$12&lt;=$F14,MOD(CE$12,7)&gt;1,NOT(COUNTIF(General!$U$13:$U$19,CE$12))),$I14,"")</f>
        <v/>
      </c>
      <c r="CF14" s="390" t="str">
        <f>IF(AND(CF$12&gt;=$E14,CF$12&lt;=$F14,MOD(CF$12,7)&gt;1,NOT(COUNTIF(General!$U$13:$U$19,CF$12))),$I14,"")</f>
        <v/>
      </c>
      <c r="CG14" s="390" t="str">
        <f>IF(AND(CG$12&gt;=$E14,CG$12&lt;=$F14,MOD(CG$12,7)&gt;1,NOT(COUNTIF(General!$U$13:$U$19,CG$12))),$I14,"")</f>
        <v/>
      </c>
      <c r="CH14" s="390" t="str">
        <f>IF(AND(CH$12&gt;=$E14,CH$12&lt;=$F14,MOD(CH$12,7)&gt;1,NOT(COUNTIF(General!$U$13:$U$19,CH$12))),$I14,"")</f>
        <v/>
      </c>
      <c r="CI14" s="390" t="str">
        <f>IF(AND(CI$12&gt;=$E14,CI$12&lt;=$F14,MOD(CI$12,7)&gt;1,NOT(COUNTIF(General!$U$13:$U$19,CI$12))),$I14,"")</f>
        <v/>
      </c>
      <c r="CJ14" s="390" t="str">
        <f>IF(AND(CJ$12&gt;=$E14,CJ$12&lt;=$F14,MOD(CJ$12,7)&gt;1,NOT(COUNTIF(General!$U$13:$U$19,CJ$12))),$I14,"")</f>
        <v/>
      </c>
      <c r="CK14" s="390" t="str">
        <f>IF(AND(CK$12&gt;=$E14,CK$12&lt;=$F14,MOD(CK$12,7)&gt;1,NOT(COUNTIF(General!$U$13:$U$19,CK$12))),$I14,"")</f>
        <v/>
      </c>
      <c r="CL14" s="390" t="str">
        <f>IF(AND(CL$12&gt;=$E14,CL$12&lt;=$F14,MOD(CL$12,7)&gt;1,NOT(COUNTIF(General!$U$13:$U$19,CL$12))),$I14,"")</f>
        <v/>
      </c>
      <c r="CM14" s="390" t="str">
        <f>IF(AND(CM$12&gt;=$E14,CM$12&lt;=$F14,MOD(CM$12,7)&gt;1,NOT(COUNTIF(General!$U$13:$U$19,CM$12))),$I14,"")</f>
        <v/>
      </c>
      <c r="CN14" s="390" t="str">
        <f>IF(AND(CN$12&gt;=$E14,CN$12&lt;=$F14,MOD(CN$12,7)&gt;1,NOT(COUNTIF(General!$U$13:$U$19,CN$12))),$I14,"")</f>
        <v/>
      </c>
      <c r="CO14" s="390" t="str">
        <f>IF(AND(CO$12&gt;=$E14,CO$12&lt;=$F14,MOD(CO$12,7)&gt;1,NOT(COUNTIF(General!$U$13:$U$19,CO$12))),$I14,"")</f>
        <v/>
      </c>
      <c r="CP14" s="390" t="str">
        <f>IF(AND(CP$12&gt;=$E14,CP$12&lt;=$F14,MOD(CP$12,7)&gt;1,NOT(COUNTIF(General!$U$13:$U$19,CP$12))),$I14,"")</f>
        <v/>
      </c>
      <c r="CQ14" s="390" t="str">
        <f>IF(AND(CQ$12&gt;=$E14,CQ$12&lt;=$F14,MOD(CQ$12,7)&gt;1,NOT(COUNTIF(General!$U$13:$U$19,CQ$12))),$I14,"")</f>
        <v/>
      </c>
      <c r="CR14" s="390" t="str">
        <f>IF(AND(CR$12&gt;=$E14,CR$12&lt;=$F14,MOD(CR$12,7)&gt;1,NOT(COUNTIF(General!$U$13:$U$19,CR$12))),$I14,"")</f>
        <v/>
      </c>
      <c r="CS14" s="390" t="str">
        <f>IF(AND(CS$12&gt;=$E14,CS$12&lt;=$F14,MOD(CS$12,7)&gt;1,NOT(COUNTIF(General!$U$13:$U$19,CS$12))),$I14,"")</f>
        <v/>
      </c>
      <c r="CT14" s="390" t="str">
        <f>IF(AND(CT$12&gt;=$E14,CT$12&lt;=$F14,MOD(CT$12,7)&gt;1,NOT(COUNTIF(General!$U$13:$U$19,CT$12))),$I14,"")</f>
        <v/>
      </c>
      <c r="CU14" s="390" t="str">
        <f>IF(AND(CU$12&gt;=$E14,CU$12&lt;=$F14,MOD(CU$12,7)&gt;1,NOT(COUNTIF(General!$U$13:$U$19,CU$12))),$I14,"")</f>
        <v/>
      </c>
      <c r="CV14" s="390" t="str">
        <f>IF(AND(CV$12&gt;=$E14,CV$12&lt;=$F14,MOD(CV$12,7)&gt;1,NOT(COUNTIF(General!$U$13:$U$19,CV$12))),$I14,"")</f>
        <v/>
      </c>
      <c r="CW14" s="390" t="str">
        <f>IF(AND(CW$12&gt;=$E14,CW$12&lt;=$F14,MOD(CW$12,7)&gt;1,NOT(COUNTIF(General!$U$13:$U$19,CW$12))),$I14,"")</f>
        <v/>
      </c>
      <c r="CX14" s="390" t="str">
        <f>IF(AND(CX$12&gt;=$E14,CX$12&lt;=$F14,MOD(CX$12,7)&gt;1,NOT(COUNTIF(General!$U$13:$U$19,CX$12))),$I14,"")</f>
        <v/>
      </c>
      <c r="CY14" s="390" t="str">
        <f>IF(AND(CY$12&gt;=$E14,CY$12&lt;=$F14,MOD(CY$12,7)&gt;1,NOT(COUNTIF(General!$U$13:$U$19,CY$12))),$I14,"")</f>
        <v/>
      </c>
      <c r="CZ14" s="390" t="str">
        <f>IF(AND(CZ$12&gt;=$E14,CZ$12&lt;=$F14,MOD(CZ$12,7)&gt;1,NOT(COUNTIF(General!$U$13:$U$19,CZ$12))),$I14,"")</f>
        <v/>
      </c>
      <c r="DA14" s="390" t="str">
        <f>IF(AND(DA$12&gt;=$E14,DA$12&lt;=$F14,MOD(DA$12,7)&gt;1,NOT(COUNTIF(General!$U$13:$U$19,DA$12))),$I14,"")</f>
        <v/>
      </c>
      <c r="DB14" s="390" t="str">
        <f>IF(AND(DB$12&gt;=$E14,DB$12&lt;=$F14,MOD(DB$12,7)&gt;1,NOT(COUNTIF(General!$U$13:$U$19,DB$12))),$I14,"")</f>
        <v/>
      </c>
      <c r="DC14" s="390" t="str">
        <f>IF(AND(DC$12&gt;=$E14,DC$12&lt;=$F14,MOD(DC$12,7)&gt;1,NOT(COUNTIF(General!$U$13:$U$19,DC$12))),$I14,"")</f>
        <v/>
      </c>
      <c r="DD14" s="390" t="str">
        <f>IF(AND(DD$12&gt;=$E14,DD$12&lt;=$F14,MOD(DD$12,7)&gt;1,NOT(COUNTIF(General!$U$13:$U$19,DD$12))),$I14,"")</f>
        <v/>
      </c>
      <c r="DE14" s="390" t="str">
        <f>IF(AND(DE$12&gt;=$E14,DE$12&lt;=$F14,MOD(DE$12,7)&gt;1,NOT(COUNTIF(General!$U$13:$U$19,DE$12))),$I14,"")</f>
        <v/>
      </c>
      <c r="DF14" s="390" t="str">
        <f>IF(AND(DF$12&gt;=$E14,DF$12&lt;=$F14,MOD(DF$12,7)&gt;1,NOT(COUNTIF(General!$U$13:$U$19,DF$12))),$I14,"")</f>
        <v/>
      </c>
      <c r="DG14" s="390" t="str">
        <f>IF(AND(DG$12&gt;=$E14,DG$12&lt;=$F14,MOD(DG$12,7)&gt;1,NOT(COUNTIF(General!$U$13:$U$19,DG$12))),$I14,"")</f>
        <v/>
      </c>
      <c r="DH14" s="390" t="str">
        <f>IF(AND(DH$12&gt;=$E14,DH$12&lt;=$F14,MOD(DH$12,7)&gt;1,NOT(COUNTIF(General!$U$13:$U$19,DH$12))),$I14,"")</f>
        <v/>
      </c>
      <c r="DI14" s="390" t="str">
        <f>IF(AND(DI$12&gt;=$E14,DI$12&lt;=$F14,MOD(DI$12,7)&gt;1,NOT(COUNTIF(General!$U$13:$U$19,DI$12))),$I14,"")</f>
        <v/>
      </c>
      <c r="DJ14" s="390" t="str">
        <f>IF(AND(DJ$12&gt;=$E14,DJ$12&lt;=$F14,MOD(DJ$12,7)&gt;1,NOT(COUNTIF(General!$U$13:$U$19,DJ$12))),$I14,"")</f>
        <v/>
      </c>
      <c r="DK14" s="390" t="str">
        <f>IF(AND(DK$12&gt;=$E14,DK$12&lt;=$F14,MOD(DK$12,7)&gt;1,NOT(COUNTIF(General!$U$13:$U$19,DK$12))),$I14,"")</f>
        <v/>
      </c>
      <c r="DL14" s="390" t="str">
        <f>IF(AND(DL$12&gt;=$E14,DL$12&lt;=$F14,MOD(DL$12,7)&gt;1,NOT(COUNTIF(General!$U$13:$U$19,DL$12))),$I14,"")</f>
        <v/>
      </c>
      <c r="DM14" s="390" t="str">
        <f>IF(AND(DM$12&gt;=$E14,DM$12&lt;=$F14,MOD(DM$12,7)&gt;1,NOT(COUNTIF(General!$U$13:$U$19,DM$12))),$I14,"")</f>
        <v/>
      </c>
      <c r="DN14" s="390" t="str">
        <f>IF(AND(DN$12&gt;=$E14,DN$12&lt;=$F14,MOD(DN$12,7)&gt;1,NOT(COUNTIF(General!$U$13:$U$19,DN$12))),$I14,"")</f>
        <v/>
      </c>
      <c r="DO14" s="390" t="str">
        <f>IF(AND(DO$12&gt;=$E14,DO$12&lt;=$F14,MOD(DO$12,7)&gt;1,NOT(COUNTIF(General!$U$13:$U$19,DO$12))),$I14,"")</f>
        <v/>
      </c>
      <c r="DP14" s="390" t="str">
        <f>IF(AND(DP$12&gt;=$E14,DP$12&lt;=$F14,MOD(DP$12,7)&gt;1,NOT(COUNTIF(General!$U$13:$U$19,DP$12))),$I14,"")</f>
        <v/>
      </c>
      <c r="DQ14" s="390" t="str">
        <f>IF(AND(DQ$12&gt;=$E14,DQ$12&lt;=$F14,MOD(DQ$12,7)&gt;1,NOT(COUNTIF(General!$U$13:$U$19,DQ$12))),$I14,"")</f>
        <v/>
      </c>
      <c r="DR14" s="390" t="str">
        <f>IF(AND(DR$12&gt;=$E14,DR$12&lt;=$F14,MOD(DR$12,7)&gt;1,NOT(COUNTIF(General!$U$13:$U$19,DR$12))),$I14,"")</f>
        <v/>
      </c>
      <c r="DS14" s="390" t="str">
        <f>IF(AND(DS$12&gt;=$E14,DS$12&lt;=$F14,MOD(DS$12,7)&gt;1,NOT(COUNTIF(General!$U$13:$U$19,DS$12))),$I14,"")</f>
        <v/>
      </c>
      <c r="DT14" s="390" t="str">
        <f>IF(AND(DT$12&gt;=$E14,DT$12&lt;=$F14,MOD(DT$12,7)&gt;1,NOT(COUNTIF(General!$U$13:$U$19,DT$12))),$I14,"")</f>
        <v/>
      </c>
      <c r="DU14" s="390" t="str">
        <f>IF(AND(DU$12&gt;=$E14,DU$12&lt;=$F14,MOD(DU$12,7)&gt;1,NOT(COUNTIF(General!$U$13:$U$19,DU$12))),$I14,"")</f>
        <v/>
      </c>
      <c r="DV14" s="390" t="str">
        <f>IF(AND(DV$12&gt;=$E14,DV$12&lt;=$F14,MOD(DV$12,7)&gt;1,NOT(COUNTIF(General!$U$13:$U$19,DV$12))),$I14,"")</f>
        <v/>
      </c>
      <c r="DW14" s="390" t="str">
        <f>IF(AND(DW$12&gt;=$E14,DW$12&lt;=$F14,MOD(DW$12,7)&gt;1,NOT(COUNTIF(General!$U$13:$U$19,DW$12))),$I14,"")</f>
        <v/>
      </c>
      <c r="DX14" s="390" t="str">
        <f>IF(AND(DX$12&gt;=$E14,DX$12&lt;=$F14,MOD(DX$12,7)&gt;1,NOT(COUNTIF(General!$U$13:$U$19,DX$12))),$I14,"")</f>
        <v/>
      </c>
      <c r="DY14" s="390" t="str">
        <f>IF(AND(DY$12&gt;=$E14,DY$12&lt;=$F14,MOD(DY$12,7)&gt;1,NOT(COUNTIF(General!$U$13:$U$19,DY$12))),$I14,"")</f>
        <v/>
      </c>
      <c r="DZ14" s="390" t="str">
        <f>IF(AND(DZ$12&gt;=$E14,DZ$12&lt;=$F14,MOD(DZ$12,7)&gt;1,NOT(COUNTIF(General!$U$13:$U$19,DZ$12))),$I14,"")</f>
        <v/>
      </c>
      <c r="EA14" s="390" t="str">
        <f>IF(AND(EA$12&gt;=$E14,EA$12&lt;=$F14,MOD(EA$12,7)&gt;1,NOT(COUNTIF(General!$U$13:$U$19,EA$12))),$I14,"")</f>
        <v/>
      </c>
      <c r="EB14" s="390" t="str">
        <f>IF(AND(EB$12&gt;=$E14,EB$12&lt;=$F14,MOD(EB$12,7)&gt;1,NOT(COUNTIF(General!$U$13:$U$19,EB$12))),$I14,"")</f>
        <v/>
      </c>
      <c r="EC14" s="390" t="str">
        <f>IF(AND(EC$12&gt;=$E14,EC$12&lt;=$F14,MOD(EC$12,7)&gt;1,NOT(COUNTIF(General!$U$13:$U$19,EC$12))),$I14,"")</f>
        <v/>
      </c>
      <c r="ED14" s="390" t="str">
        <f>IF(AND(ED$12&gt;=$E14,ED$12&lt;=$F14,MOD(ED$12,7)&gt;1,NOT(COUNTIF(General!$U$13:$U$19,ED$12))),$I14,"")</f>
        <v/>
      </c>
      <c r="EE14" s="390" t="str">
        <f>IF(AND(EE$12&gt;=$E14,EE$12&lt;=$F14,MOD(EE$12,7)&gt;1,NOT(COUNTIF(General!$U$13:$U$19,EE$12))),$I14,"")</f>
        <v/>
      </c>
      <c r="EF14" s="390" t="str">
        <f>IF(AND(EF$12&gt;=$E14,EF$12&lt;=$F14,MOD(EF$12,7)&gt;1,NOT(COUNTIF(General!$U$13:$U$19,EF$12))),$I14,"")</f>
        <v/>
      </c>
      <c r="EG14" s="390" t="str">
        <f>IF(AND(EG$12&gt;=$E14,EG$12&lt;=$F14,MOD(EG$12,7)&gt;1,NOT(COUNTIF(General!$U$13:$U$19,EG$12))),$I14,"")</f>
        <v/>
      </c>
      <c r="EH14" s="390" t="str">
        <f>IF(AND(EH$12&gt;=$E14,EH$12&lt;=$F14,MOD(EH$12,7)&gt;1,NOT(COUNTIF(General!$U$13:$U$19,EH$12))),$I14,"")</f>
        <v/>
      </c>
      <c r="EI14" s="390" t="str">
        <f>IF(AND(EI$12&gt;=$E14,EI$12&lt;=$F14,MOD(EI$12,7)&gt;1,NOT(COUNTIF(General!$U$13:$U$19,EI$12))),$I14,"")</f>
        <v/>
      </c>
      <c r="EJ14" s="390" t="str">
        <f>IF(AND(EJ$12&gt;=$E14,EJ$12&lt;=$F14,MOD(EJ$12,7)&gt;1,NOT(COUNTIF(General!$U$13:$U$19,EJ$12))),$I14,"")</f>
        <v/>
      </c>
      <c r="EK14" s="390" t="str">
        <f>IF(AND(EK$12&gt;=$E14,EK$12&lt;=$F14,MOD(EK$12,7)&gt;1,NOT(COUNTIF(General!$U$13:$U$19,EK$12))),$I14,"")</f>
        <v/>
      </c>
      <c r="EL14" s="390" t="str">
        <f>IF(AND(EL$12&gt;=$E14,EL$12&lt;=$F14,MOD(EL$12,7)&gt;1,NOT(COUNTIF(General!$U$13:$U$19,EL$12))),$I14,"")</f>
        <v/>
      </c>
      <c r="EM14" s="390" t="str">
        <f>IF(AND(EM$12&gt;=$E14,EM$12&lt;=$F14,MOD(EM$12,7)&gt;1,NOT(COUNTIF(General!$U$13:$U$19,EM$12))),$I14,"")</f>
        <v/>
      </c>
      <c r="EN14" s="390" t="str">
        <f>IF(AND(EN$12&gt;=$E14,EN$12&lt;=$F14,MOD(EN$12,7)&gt;1,NOT(COUNTIF(General!$U$13:$U$19,EN$12))),$I14,"")</f>
        <v/>
      </c>
      <c r="EO14" s="390" t="str">
        <f>IF(AND(EO$12&gt;=$E14,EO$12&lt;=$F14,MOD(EO$12,7)&gt;1,NOT(COUNTIF(General!$U$13:$U$19,EO$12))),$I14,"")</f>
        <v/>
      </c>
      <c r="EP14" s="390" t="str">
        <f>IF(AND(EP$12&gt;=$E14,EP$12&lt;=$F14,MOD(EP$12,7)&gt;1,NOT(COUNTIF(General!$U$13:$U$19,EP$12))),$I14,"")</f>
        <v/>
      </c>
      <c r="EQ14" s="390" t="str">
        <f>IF(AND(EQ$12&gt;=$E14,EQ$12&lt;=$F14,MOD(EQ$12,7)&gt;1,NOT(COUNTIF(General!$U$13:$U$19,EQ$12))),$I14,"")</f>
        <v/>
      </c>
      <c r="ER14" s="390" t="str">
        <f>IF(AND(ER$12&gt;=$E14,ER$12&lt;=$F14,MOD(ER$12,7)&gt;1,NOT(COUNTIF(General!$U$13:$U$19,ER$12))),$I14,"")</f>
        <v/>
      </c>
      <c r="ES14" s="390" t="str">
        <f>IF(AND(ES$12&gt;=$E14,ES$12&lt;=$F14,MOD(ES$12,7)&gt;1,NOT(COUNTIF(General!$U$13:$U$19,ES$12))),$I14,"")</f>
        <v/>
      </c>
      <c r="ET14" s="390" t="str">
        <f>IF(AND(ET$12&gt;=$E14,ET$12&lt;=$F14,MOD(ET$12,7)&gt;1,NOT(COUNTIF(General!$U$13:$U$19,ET$12))),$I14,"")</f>
        <v/>
      </c>
      <c r="EU14" s="390" t="str">
        <f>IF(AND(EU$12&gt;=$E14,EU$12&lt;=$F14,MOD(EU$12,7)&gt;1,NOT(COUNTIF(General!$U$13:$U$19,EU$12))),$I14,"")</f>
        <v/>
      </c>
      <c r="EV14" s="390" t="str">
        <f>IF(AND(EV$12&gt;=$E14,EV$12&lt;=$F14,MOD(EV$12,7)&gt;1,NOT(COUNTIF(General!$U$13:$U$19,EV$12))),$I14,"")</f>
        <v/>
      </c>
      <c r="EW14" s="390" t="str">
        <f>IF(AND(EW$12&gt;=$E14,EW$12&lt;=$F14,MOD(EW$12,7)&gt;1,NOT(COUNTIF(General!$U$13:$U$19,EW$12))),$I14,"")</f>
        <v/>
      </c>
      <c r="EX14" s="390" t="str">
        <f>IF(AND(EX$12&gt;=$E14,EX$12&lt;=$F14,MOD(EX$12,7)&gt;1,NOT(COUNTIF(General!$U$13:$U$19,EX$12))),$I14,"")</f>
        <v/>
      </c>
      <c r="EY14" s="390" t="str">
        <f>IF(AND(EY$12&gt;=$E14,EY$12&lt;=$F14,MOD(EY$12,7)&gt;1,NOT(COUNTIF(General!$U$13:$U$19,EY$12))),$I14,"")</f>
        <v/>
      </c>
      <c r="EZ14" s="390" t="str">
        <f>IF(AND(EZ$12&gt;=$E14,EZ$12&lt;=$F14,MOD(EZ$12,7)&gt;1,NOT(COUNTIF(General!$U$13:$U$19,EZ$12))),$I14,"")</f>
        <v/>
      </c>
      <c r="FA14" s="390" t="str">
        <f>IF(AND(FA$12&gt;=$E14,FA$12&lt;=$F14,MOD(FA$12,7)&gt;1,NOT(COUNTIF(General!$U$13:$U$19,FA$12))),$I14,"")</f>
        <v/>
      </c>
      <c r="FB14" s="390" t="str">
        <f>IF(AND(FB$12&gt;=$E14,FB$12&lt;=$F14,MOD(FB$12,7)&gt;1,NOT(COUNTIF(General!$U$13:$U$19,FB$12))),$I14,"")</f>
        <v/>
      </c>
      <c r="FC14" s="390" t="str">
        <f>IF(AND(FC$12&gt;=$E14,FC$12&lt;=$F14,MOD(FC$12,7)&gt;1,NOT(COUNTIF(General!$U$13:$U$19,FC$12))),$I14,"")</f>
        <v/>
      </c>
      <c r="FD14" s="390" t="str">
        <f>IF(AND(FD$12&gt;=$E14,FD$12&lt;=$F14,MOD(FD$12,7)&gt;1,NOT(COUNTIF(General!$U$13:$U$19,FD$12))),$I14,"")</f>
        <v/>
      </c>
      <c r="FE14" s="390" t="str">
        <f>IF(AND(FE$12&gt;=$E14,FE$12&lt;=$F14,MOD(FE$12,7)&gt;1,NOT(COUNTIF(General!$U$13:$U$19,FE$12))),$I14,"")</f>
        <v/>
      </c>
      <c r="FF14" s="390" t="str">
        <f>IF(AND(FF$12&gt;=$E14,FF$12&lt;=$F14,MOD(FF$12,7)&gt;1,NOT(COUNTIF(General!$U$13:$U$19,FF$12))),$I14,"")</f>
        <v/>
      </c>
      <c r="FG14" s="390" t="str">
        <f>IF(AND(FG$12&gt;=$E14,FG$12&lt;=$F14,MOD(FG$12,7)&gt;1,NOT(COUNTIF(General!$U$13:$U$19,FG$12))),$I14,"")</f>
        <v/>
      </c>
      <c r="FH14" s="390" t="str">
        <f>IF(AND(FH$12&gt;=$E14,FH$12&lt;=$F14,MOD(FH$12,7)&gt;1,NOT(COUNTIF(General!$U$13:$U$19,FH$12))),$I14,"")</f>
        <v/>
      </c>
      <c r="FI14" s="390" t="str">
        <f>IF(AND(FI$12&gt;=$E14,FI$12&lt;=$F14,MOD(FI$12,7)&gt;1,NOT(COUNTIF(General!$U$13:$U$19,FI$12))),$I14,"")</f>
        <v/>
      </c>
      <c r="FJ14" s="390" t="str">
        <f>IF(AND(FJ$12&gt;=$E14,FJ$12&lt;=$F14,MOD(FJ$12,7)&gt;1,NOT(COUNTIF(General!$U$13:$U$19,FJ$12))),$I14,"")</f>
        <v/>
      </c>
      <c r="FK14" s="390" t="str">
        <f>IF(AND(FK$12&gt;=$E14,FK$12&lt;=$F14,MOD(FK$12,7)&gt;1,NOT(COUNTIF(General!$U$13:$U$19,FK$12))),$I14,"")</f>
        <v/>
      </c>
      <c r="FL14" s="390" t="str">
        <f>IF(AND(FL$12&gt;=$E14,FL$12&lt;=$F14,MOD(FL$12,7)&gt;1,NOT(COUNTIF(General!$U$13:$U$19,FL$12))),$I14,"")</f>
        <v/>
      </c>
      <c r="FM14" s="390" t="str">
        <f>IF(AND(FM$12&gt;=$E14,FM$12&lt;=$F14,MOD(FM$12,7)&gt;1,NOT(COUNTIF(General!$U$13:$U$19,FM$12))),$I14,"")</f>
        <v/>
      </c>
      <c r="FN14" s="390" t="str">
        <f>IF(AND(FN$12&gt;=$E14,FN$12&lt;=$F14,MOD(FN$12,7)&gt;1,NOT(COUNTIF(General!$U$13:$U$19,FN$12))),$I14,"")</f>
        <v/>
      </c>
      <c r="FO14" s="390" t="str">
        <f>IF(AND(FO$12&gt;=$E14,FO$12&lt;=$F14,MOD(FO$12,7)&gt;1,NOT(COUNTIF(General!$U$13:$U$19,FO$12))),$I14,"")</f>
        <v/>
      </c>
      <c r="FP14" s="390" t="str">
        <f>IF(AND(FP$12&gt;=$E14,FP$12&lt;=$F14,MOD(FP$12,7)&gt;1,NOT(COUNTIF(General!$U$13:$U$19,FP$12))),$I14,"")</f>
        <v/>
      </c>
      <c r="FQ14" s="390" t="str">
        <f>IF(AND(FQ$12&gt;=$E14,FQ$12&lt;=$F14,MOD(FQ$12,7)&gt;1,NOT(COUNTIF(General!$U$13:$U$19,FQ$12))),$I14,"")</f>
        <v/>
      </c>
      <c r="FR14" s="390" t="str">
        <f>IF(AND(FR$12&gt;=$E14,FR$12&lt;=$F14,MOD(FR$12,7)&gt;1,NOT(COUNTIF(General!$U$13:$U$19,FR$12))),$I14,"")</f>
        <v/>
      </c>
      <c r="FS14" s="390" t="str">
        <f>IF(AND(FS$12&gt;=$E14,FS$12&lt;=$F14,MOD(FS$12,7)&gt;1,NOT(COUNTIF(General!$U$13:$U$19,FS$12))),$I14,"")</f>
        <v/>
      </c>
      <c r="FT14" s="390" t="str">
        <f>IF(AND(FT$12&gt;=$E14,FT$12&lt;=$F14,MOD(FT$12,7)&gt;1,NOT(COUNTIF(General!$U$13:$U$19,FT$12))),$I14,"")</f>
        <v/>
      </c>
      <c r="FU14" s="390" t="str">
        <f>IF(AND(FU$12&gt;=$E14,FU$12&lt;=$F14,MOD(FU$12,7)&gt;1,NOT(COUNTIF(General!$U$13:$U$19,FU$12))),$I14,"")</f>
        <v/>
      </c>
      <c r="FV14" s="390" t="str">
        <f>IF(AND(FV$12&gt;=$E14,FV$12&lt;=$F14,MOD(FV$12,7)&gt;1,NOT(COUNTIF(General!$U$13:$U$19,FV$12))),$I14,"")</f>
        <v/>
      </c>
      <c r="FW14" s="390" t="str">
        <f>IF(AND(FW$12&gt;=$E14,FW$12&lt;=$F14,MOD(FW$12,7)&gt;1,NOT(COUNTIF(General!$U$13:$U$19,FW$12))),$I14,"")</f>
        <v/>
      </c>
      <c r="FX14" s="390" t="str">
        <f>IF(AND(FX$12&gt;=$E14,FX$12&lt;=$F14,MOD(FX$12,7)&gt;1,NOT(COUNTIF(General!$U$13:$U$19,FX$12))),$I14,"")</f>
        <v/>
      </c>
    </row>
    <row r="15" ht="16.5" customHeight="1">
      <c r="A15" s="537"/>
      <c r="B15" s="538"/>
      <c r="C15" s="539"/>
      <c r="D15" s="540" t="s">
        <v>571</v>
      </c>
      <c r="E15" s="541">
        <v>43803.0</v>
      </c>
      <c r="F15" s="374">
        <f>WORKDAY(E15,ROUNDUP(G15/I15,0),General!$U$13:$U$27)-1</f>
        <v>43803</v>
      </c>
      <c r="G15" s="542">
        <f>G14*0.4</f>
        <v>0.8</v>
      </c>
      <c r="H15" s="543"/>
      <c r="I15" s="544">
        <v>1.0</v>
      </c>
      <c r="J15" s="545"/>
      <c r="K15" s="546"/>
      <c r="L15" s="546"/>
      <c r="M15" s="547"/>
      <c r="N15" s="548"/>
      <c r="O15" s="549"/>
      <c r="P15" s="550"/>
      <c r="Q15" s="390" t="str">
        <f>IF(AND(Q$12&gt;=$E15,Q$12&lt;=$F15,MOD(Q$12,7)&gt;1,NOT(COUNTIF(General!$U$13:$U$19,Q$12))),$I15,"")</f>
        <v/>
      </c>
      <c r="R15" s="390" t="str">
        <f>IF(AND(R$12&gt;=$E15,R$12&lt;=$F15,MOD(R$12,7)&gt;1,NOT(COUNTIF(General!$U$13:$U$19,R$12))),$I15,"")</f>
        <v/>
      </c>
      <c r="S15" s="390">
        <f>IF(AND(S$12&gt;=$E15,S$12&lt;=$F15,MOD(S$12,7)&gt;1,NOT(COUNTIF(General!$U$13:$U$19,S$12))),$I15,"")</f>
        <v>1</v>
      </c>
      <c r="T15" s="390" t="str">
        <f>IF(AND(T$12&gt;=$E15,T$12&lt;=$F15,MOD(T$12,7)&gt;1,NOT(COUNTIF(General!$U$13:$U$19,T$12))),$I15,"")</f>
        <v/>
      </c>
      <c r="U15" s="390" t="str">
        <f>IF(AND(U$12&gt;=$E15,U$12&lt;=$F15,MOD(U$12,7)&gt;1,NOT(COUNTIF(General!$U$13:$U$19,U$12))),$I15,"")</f>
        <v/>
      </c>
      <c r="V15" s="390" t="str">
        <f>IF(AND(V$12&gt;=$E15,V$12&lt;=$F15,MOD(V$12,7)&gt;1,NOT(COUNTIF(General!$U$13:$U$19,V$12))),$I15,"")</f>
        <v/>
      </c>
      <c r="W15" s="390" t="str">
        <f>IF(AND(W$12&gt;=$E15,W$12&lt;=$F15,MOD(W$12,7)&gt;1,NOT(COUNTIF(General!$U$13:$U$19,W$12))),$I15,"")</f>
        <v/>
      </c>
      <c r="X15" s="390" t="str">
        <f>IF(AND(X$12&gt;=$E15,X$12&lt;=$F15,MOD(X$12,7)&gt;1,NOT(COUNTIF(General!$U$13:$U$19,X$12))),$I15,"")</f>
        <v/>
      </c>
      <c r="Y15" s="390" t="str">
        <f>IF(AND(Y$12&gt;=$E15,Y$12&lt;=$F15,MOD(Y$12,7)&gt;1,NOT(COUNTIF(General!$U$13:$U$19,Y$12))),$I15,"")</f>
        <v/>
      </c>
      <c r="Z15" s="390" t="str">
        <f>IF(AND(Z$12&gt;=$E15,Z$12&lt;=$F15,MOD(Z$12,7)&gt;1,NOT(COUNTIF(General!$U$13:$U$19,Z$12))),$I15,"")</f>
        <v/>
      </c>
      <c r="AA15" s="390" t="str">
        <f>IF(AND(AA$12&gt;=$E15,AA$12&lt;=$F15,MOD(AA$12,7)&gt;1,NOT(COUNTIF(General!$U$13:$U$19,AA$12))),$I15,"")</f>
        <v/>
      </c>
      <c r="AB15" s="390" t="str">
        <f>IF(AND(AB$12&gt;=$E15,AB$12&lt;=$F15,MOD(AB$12,7)&gt;1,NOT(COUNTIF(General!$U$13:$U$19,AB$12))),$I15,"")</f>
        <v/>
      </c>
      <c r="AC15" s="390" t="str">
        <f>IF(AND(AC$12&gt;=$E15,AC$12&lt;=$F15,MOD(AC$12,7)&gt;1,NOT(COUNTIF(General!$U$13:$U$19,AC$12))),$I15,"")</f>
        <v/>
      </c>
      <c r="AD15" s="390" t="str">
        <f>IF(AND(AD$12&gt;=$E15,AD$12&lt;=$F15,MOD(AD$12,7)&gt;1,NOT(COUNTIF(General!$U$13:$U$19,AD$12))),$I15,"")</f>
        <v/>
      </c>
      <c r="AE15" s="390" t="str">
        <f>IF(AND(AE$12&gt;=$E15,AE$12&lt;=$F15,MOD(AE$12,7)&gt;1,NOT(COUNTIF(General!$U$13:$U$19,AE$12))),$I15,"")</f>
        <v/>
      </c>
      <c r="AF15" s="390" t="str">
        <f>IF(AND(AF$12&gt;=$E15,AF$12&lt;=$F15,MOD(AF$12,7)&gt;1,NOT(COUNTIF(General!$U$13:$U$19,AF$12))),$I15,"")</f>
        <v/>
      </c>
      <c r="AG15" s="390" t="str">
        <f>IF(AND(AG$12&gt;=$E15,AG$12&lt;=$F15,MOD(AG$12,7)&gt;1,NOT(COUNTIF(General!$U$13:$U$19,AG$12))),$I15,"")</f>
        <v/>
      </c>
      <c r="AH15" s="390" t="str">
        <f>IF(AND(AH$12&gt;=$E15,AH$12&lt;=$F15,MOD(AH$12,7)&gt;1,NOT(COUNTIF(General!$U$13:$U$19,AH$12))),$I15,"")</f>
        <v/>
      </c>
      <c r="AI15" s="390" t="str">
        <f>IF(AND(AI$12&gt;=$E15,AI$12&lt;=$F15,MOD(AI$12,7)&gt;1,NOT(COUNTIF(General!$U$13:$U$19,AI$12))),$I15,"")</f>
        <v/>
      </c>
      <c r="AJ15" s="390" t="str">
        <f>IF(AND(AJ$12&gt;=$E15,AJ$12&lt;=$F15,MOD(AJ$12,7)&gt;1,NOT(COUNTIF(General!$U$13:$U$19,AJ$12))),$I15,"")</f>
        <v/>
      </c>
      <c r="AK15" s="390" t="str">
        <f>IF(AND(AK$12&gt;=$E15,AK$12&lt;=$F15,MOD(AK$12,7)&gt;1,NOT(COUNTIF(General!$U$13:$U$19,AK$12))),$I15,"")</f>
        <v/>
      </c>
      <c r="AL15" s="390" t="str">
        <f>IF(AND(AL$12&gt;=$E15,AL$12&lt;=$F15,MOD(AL$12,7)&gt;1,NOT(COUNTIF(General!$U$13:$U$19,AL$12))),$I15,"")</f>
        <v/>
      </c>
      <c r="AM15" s="390" t="str">
        <f>IF(AND(AM$12&gt;=$E15,AM$12&lt;=$F15,MOD(AM$12,7)&gt;1,NOT(COUNTIF(General!$U$13:$U$19,AM$12))),$I15,"")</f>
        <v/>
      </c>
      <c r="AN15" s="390" t="str">
        <f>IF(AND(AN$12&gt;=$E15,AN$12&lt;=$F15,MOD(AN$12,7)&gt;1,NOT(COUNTIF(General!$U$13:$U$19,AN$12))),$I15,"")</f>
        <v/>
      </c>
      <c r="AO15" s="390" t="str">
        <f>IF(AND(AO$12&gt;=$E15,AO$12&lt;=$F15,MOD(AO$12,7)&gt;1,NOT(COUNTIF(General!$U$13:$U$19,AO$12))),$I15,"")</f>
        <v/>
      </c>
      <c r="AP15" s="390" t="str">
        <f>IF(AND(AP$12&gt;=$E15,AP$12&lt;=$F15,MOD(AP$12,7)&gt;1,NOT(COUNTIF(General!$U$13:$U$19,AP$12))),$I15,"")</f>
        <v/>
      </c>
      <c r="AQ15" s="390" t="str">
        <f>IF(AND(AQ$12&gt;=$E15,AQ$12&lt;=$F15,MOD(AQ$12,7)&gt;1,NOT(COUNTIF(General!$U$13:$U$19,AQ$12))),$I15,"")</f>
        <v/>
      </c>
      <c r="AR15" s="390" t="str">
        <f>IF(AND(AR$12&gt;=$E15,AR$12&lt;=$F15,MOD(AR$12,7)&gt;1,NOT(COUNTIF(General!$U$13:$U$19,AR$12))),$I15,"")</f>
        <v/>
      </c>
      <c r="AS15" s="390" t="str">
        <f>IF(AND(AS$12&gt;=$E15,AS$12&lt;=$F15,MOD(AS$12,7)&gt;1,NOT(COUNTIF(General!$U$13:$U$19,AS$12))),$I15,"")</f>
        <v/>
      </c>
      <c r="AT15" s="390" t="str">
        <f>IF(AND(AT$12&gt;=$E15,AT$12&lt;=$F15,MOD(AT$12,7)&gt;1,NOT(COUNTIF(General!$U$13:$U$19,AT$12))),$I15,"")</f>
        <v/>
      </c>
      <c r="AU15" s="390" t="str">
        <f>IF(AND(AU$12&gt;=$E15,AU$12&lt;=$F15,MOD(AU$12,7)&gt;1,NOT(COUNTIF(General!$U$13:$U$19,AU$12))),$I15,"")</f>
        <v/>
      </c>
      <c r="AV15" s="390" t="str">
        <f>IF(AND(AV$12&gt;=$E15,AV$12&lt;=$F15,MOD(AV$12,7)&gt;1,NOT(COUNTIF(General!$U$13:$U$19,AV$12))),$I15,"")</f>
        <v/>
      </c>
      <c r="AW15" s="390" t="str">
        <f>IF(AND(AW$12&gt;=$E15,AW$12&lt;=$F15,MOD(AW$12,7)&gt;1,NOT(COUNTIF(General!$U$13:$U$19,AW$12))),$I15,"")</f>
        <v/>
      </c>
      <c r="AX15" s="390" t="str">
        <f>IF(AND(AX$12&gt;=$E15,AX$12&lt;=$F15,MOD(AX$12,7)&gt;1,NOT(COUNTIF(General!$U$13:$U$19,AX$12))),$I15,"")</f>
        <v/>
      </c>
      <c r="AY15" s="390" t="str">
        <f>IF(AND(AY$12&gt;=$E15,AY$12&lt;=$F15,MOD(AY$12,7)&gt;1,NOT(COUNTIF(General!$U$13:$U$19,AY$12))),$I15,"")</f>
        <v/>
      </c>
      <c r="AZ15" s="390" t="str">
        <f>IF(AND(AZ$12&gt;=$E15,AZ$12&lt;=$F15,MOD(AZ$12,7)&gt;1,NOT(COUNTIF(General!$U$13:$U$19,AZ$12))),$I15,"")</f>
        <v/>
      </c>
      <c r="BA15" s="390" t="str">
        <f>IF(AND(BA$12&gt;=$E15,BA$12&lt;=$F15,MOD(BA$12,7)&gt;1,NOT(COUNTIF(General!$U$13:$U$19,BA$12))),$I15,"")</f>
        <v/>
      </c>
      <c r="BB15" s="390" t="str">
        <f>IF(AND(BB$12&gt;=$E15,BB$12&lt;=$F15,MOD(BB$12,7)&gt;1,NOT(COUNTIF(General!$U$13:$U$19,BB$12))),$I15,"")</f>
        <v/>
      </c>
      <c r="BC15" s="390" t="str">
        <f>IF(AND(BC$12&gt;=$E15,BC$12&lt;=$F15,MOD(BC$12,7)&gt;1,NOT(COUNTIF(General!$U$13:$U$19,BC$12))),$I15,"")</f>
        <v/>
      </c>
      <c r="BD15" s="390" t="str">
        <f>IF(AND(BD$12&gt;=$E15,BD$12&lt;=$F15,MOD(BD$12,7)&gt;1,NOT(COUNTIF(General!$U$13:$U$19,BD$12))),$I15,"")</f>
        <v/>
      </c>
      <c r="BE15" s="390" t="str">
        <f>IF(AND(BE$12&gt;=$E15,BE$12&lt;=$F15,MOD(BE$12,7)&gt;1,NOT(COUNTIF(General!$U$13:$U$19,BE$12))),$I15,"")</f>
        <v/>
      </c>
      <c r="BF15" s="390" t="str">
        <f>IF(AND(BF$12&gt;=$E15,BF$12&lt;=$F15,MOD(BF$12,7)&gt;1,NOT(COUNTIF(General!$U$13:$U$19,BF$12))),$I15,"")</f>
        <v/>
      </c>
      <c r="BG15" s="390" t="str">
        <f>IF(AND(BG$12&gt;=$E15,BG$12&lt;=$F15,MOD(BG$12,7)&gt;1,NOT(COUNTIF(General!$U$13:$U$19,BG$12))),$I15,"")</f>
        <v/>
      </c>
      <c r="BH15" s="390" t="str">
        <f>IF(AND(BH$12&gt;=$E15,BH$12&lt;=$F15,MOD(BH$12,7)&gt;1,NOT(COUNTIF(General!$U$13:$U$19,BH$12))),$I15,"")</f>
        <v/>
      </c>
      <c r="BI15" s="390" t="str">
        <f>IF(AND(BI$12&gt;=$E15,BI$12&lt;=$F15,MOD(BI$12,7)&gt;1,NOT(COUNTIF(General!$U$13:$U$19,BI$12))),$I15,"")</f>
        <v/>
      </c>
      <c r="BJ15" s="390" t="str">
        <f>IF(AND(BJ$12&gt;=$E15,BJ$12&lt;=$F15,MOD(BJ$12,7)&gt;1,NOT(COUNTIF(General!$U$13:$U$19,BJ$12))),$I15,"")</f>
        <v/>
      </c>
      <c r="BK15" s="390" t="str">
        <f>IF(AND(BK$12&gt;=$E15,BK$12&lt;=$F15,MOD(BK$12,7)&gt;1,NOT(COUNTIF(General!$U$13:$U$19,BK$12))),$I15,"")</f>
        <v/>
      </c>
      <c r="BL15" s="390" t="str">
        <f>IF(AND(BL$12&gt;=$E15,BL$12&lt;=$F15,MOD(BL$12,7)&gt;1,NOT(COUNTIF(General!$U$13:$U$19,BL$12))),$I15,"")</f>
        <v/>
      </c>
      <c r="BM15" s="390" t="str">
        <f>IF(AND(BM$12&gt;=$E15,BM$12&lt;=$F15,MOD(BM$12,7)&gt;1,NOT(COUNTIF(General!$U$13:$U$19,BM$12))),$I15,"")</f>
        <v/>
      </c>
      <c r="BN15" s="390" t="str">
        <f>IF(AND(BN$12&gt;=$E15,BN$12&lt;=$F15,MOD(BN$12,7)&gt;1,NOT(COUNTIF(General!$U$13:$U$19,BN$12))),$I15,"")</f>
        <v/>
      </c>
      <c r="BO15" s="390" t="str">
        <f>IF(AND(BO$12&gt;=$E15,BO$12&lt;=$F15,MOD(BO$12,7)&gt;1,NOT(COUNTIF(General!$U$13:$U$19,BO$12))),$I15,"")</f>
        <v/>
      </c>
      <c r="BP15" s="390" t="str">
        <f>IF(AND(BP$12&gt;=$E15,BP$12&lt;=$F15,MOD(BP$12,7)&gt;1,NOT(COUNTIF(General!$U$13:$U$19,BP$12))),$I15,"")</f>
        <v/>
      </c>
      <c r="BQ15" s="390" t="str">
        <f>IF(AND(BQ$12&gt;=$E15,BQ$12&lt;=$F15,MOD(BQ$12,7)&gt;1,NOT(COUNTIF(General!$U$13:$U$19,BQ$12))),$I15,"")</f>
        <v/>
      </c>
      <c r="BR15" s="390" t="str">
        <f>IF(AND(BR$12&gt;=$E15,BR$12&lt;=$F15,MOD(BR$12,7)&gt;1,NOT(COUNTIF(General!$U$13:$U$19,BR$12))),$I15,"")</f>
        <v/>
      </c>
      <c r="BS15" s="390" t="str">
        <f>IF(AND(BS$12&gt;=$E15,BS$12&lt;=$F15,MOD(BS$12,7)&gt;1,NOT(COUNTIF(General!$U$13:$U$19,BS$12))),$I15,"")</f>
        <v/>
      </c>
      <c r="BT15" s="390" t="str">
        <f>IF(AND(BT$12&gt;=$E15,BT$12&lt;=$F15,MOD(BT$12,7)&gt;1,NOT(COUNTIF(General!$U$13:$U$19,BT$12))),$I15,"")</f>
        <v/>
      </c>
      <c r="BU15" s="390" t="str">
        <f>IF(AND(BU$12&gt;=$E15,BU$12&lt;=$F15,MOD(BU$12,7)&gt;1,NOT(COUNTIF(General!$U$13:$U$19,BU$12))),$I15,"")</f>
        <v/>
      </c>
      <c r="BV15" s="390" t="str">
        <f>IF(AND(BV$12&gt;=$E15,BV$12&lt;=$F15,MOD(BV$12,7)&gt;1,NOT(COUNTIF(General!$U$13:$U$19,BV$12))),$I15,"")</f>
        <v/>
      </c>
      <c r="BW15" s="390" t="str">
        <f>IF(AND(BW$12&gt;=$E15,BW$12&lt;=$F15,MOD(BW$12,7)&gt;1,NOT(COUNTIF(General!$U$13:$U$19,BW$12))),$I15,"")</f>
        <v/>
      </c>
      <c r="BX15" s="390" t="str">
        <f>IF(AND(BX$12&gt;=$E15,BX$12&lt;=$F15,MOD(BX$12,7)&gt;1,NOT(COUNTIF(General!$U$13:$U$19,BX$12))),$I15,"")</f>
        <v/>
      </c>
      <c r="BY15" s="390" t="str">
        <f>IF(AND(BY$12&gt;=$E15,BY$12&lt;=$F15,MOD(BY$12,7)&gt;1,NOT(COUNTIF(General!$U$13:$U$19,BY$12))),$I15,"")</f>
        <v/>
      </c>
      <c r="BZ15" s="390" t="str">
        <f>IF(AND(BZ$12&gt;=$E15,BZ$12&lt;=$F15,MOD(BZ$12,7)&gt;1,NOT(COUNTIF(General!$U$13:$U$19,BZ$12))),$I15,"")</f>
        <v/>
      </c>
      <c r="CA15" s="390" t="str">
        <f>IF(AND(CA$12&gt;=$E15,CA$12&lt;=$F15,MOD(CA$12,7)&gt;1,NOT(COUNTIF(General!$U$13:$U$19,CA$12))),$I15,"")</f>
        <v/>
      </c>
      <c r="CB15" s="390" t="str">
        <f>IF(AND(CB$12&gt;=$E15,CB$12&lt;=$F15,MOD(CB$12,7)&gt;1,NOT(COUNTIF(General!$U$13:$U$19,CB$12))),$I15,"")</f>
        <v/>
      </c>
      <c r="CC15" s="390" t="str">
        <f>IF(AND(CC$12&gt;=$E15,CC$12&lt;=$F15,MOD(CC$12,7)&gt;1,NOT(COUNTIF(General!$U$13:$U$19,CC$12))),$I15,"")</f>
        <v/>
      </c>
      <c r="CD15" s="390" t="str">
        <f>IF(AND(CD$12&gt;=$E15,CD$12&lt;=$F15,MOD(CD$12,7)&gt;1,NOT(COUNTIF(General!$U$13:$U$19,CD$12))),$I15,"")</f>
        <v/>
      </c>
      <c r="CE15" s="390" t="str">
        <f>IF(AND(CE$12&gt;=$E15,CE$12&lt;=$F15,MOD(CE$12,7)&gt;1,NOT(COUNTIF(General!$U$13:$U$19,CE$12))),$I15,"")</f>
        <v/>
      </c>
      <c r="CF15" s="390" t="str">
        <f>IF(AND(CF$12&gt;=$E15,CF$12&lt;=$F15,MOD(CF$12,7)&gt;1,NOT(COUNTIF(General!$U$13:$U$19,CF$12))),$I15,"")</f>
        <v/>
      </c>
      <c r="CG15" s="390" t="str">
        <f>IF(AND(CG$12&gt;=$E15,CG$12&lt;=$F15,MOD(CG$12,7)&gt;1,NOT(COUNTIF(General!$U$13:$U$19,CG$12))),$I15,"")</f>
        <v/>
      </c>
      <c r="CH15" s="390" t="str">
        <f>IF(AND(CH$12&gt;=$E15,CH$12&lt;=$F15,MOD(CH$12,7)&gt;1,NOT(COUNTIF(General!$U$13:$U$19,CH$12))),$I15,"")</f>
        <v/>
      </c>
      <c r="CI15" s="390" t="str">
        <f>IF(AND(CI$12&gt;=$E15,CI$12&lt;=$F15,MOD(CI$12,7)&gt;1,NOT(COUNTIF(General!$U$13:$U$19,CI$12))),$I15,"")</f>
        <v/>
      </c>
      <c r="CJ15" s="390" t="str">
        <f>IF(AND(CJ$12&gt;=$E15,CJ$12&lt;=$F15,MOD(CJ$12,7)&gt;1,NOT(COUNTIF(General!$U$13:$U$19,CJ$12))),$I15,"")</f>
        <v/>
      </c>
      <c r="CK15" s="390" t="str">
        <f>IF(AND(CK$12&gt;=$E15,CK$12&lt;=$F15,MOD(CK$12,7)&gt;1,NOT(COUNTIF(General!$U$13:$U$19,CK$12))),$I15,"")</f>
        <v/>
      </c>
      <c r="CL15" s="390" t="str">
        <f>IF(AND(CL$12&gt;=$E15,CL$12&lt;=$F15,MOD(CL$12,7)&gt;1,NOT(COUNTIF(General!$U$13:$U$19,CL$12))),$I15,"")</f>
        <v/>
      </c>
      <c r="CM15" s="390" t="str">
        <f>IF(AND(CM$12&gt;=$E15,CM$12&lt;=$F15,MOD(CM$12,7)&gt;1,NOT(COUNTIF(General!$U$13:$U$19,CM$12))),$I15,"")</f>
        <v/>
      </c>
      <c r="CN15" s="390" t="str">
        <f>IF(AND(CN$12&gt;=$E15,CN$12&lt;=$F15,MOD(CN$12,7)&gt;1,NOT(COUNTIF(General!$U$13:$U$19,CN$12))),$I15,"")</f>
        <v/>
      </c>
      <c r="CO15" s="390" t="str">
        <f>IF(AND(CO$12&gt;=$E15,CO$12&lt;=$F15,MOD(CO$12,7)&gt;1,NOT(COUNTIF(General!$U$13:$U$19,CO$12))),$I15,"")</f>
        <v/>
      </c>
      <c r="CP15" s="390" t="str">
        <f>IF(AND(CP$12&gt;=$E15,CP$12&lt;=$F15,MOD(CP$12,7)&gt;1,NOT(COUNTIF(General!$U$13:$U$19,CP$12))),$I15,"")</f>
        <v/>
      </c>
      <c r="CQ15" s="390" t="str">
        <f>IF(AND(CQ$12&gt;=$E15,CQ$12&lt;=$F15,MOD(CQ$12,7)&gt;1,NOT(COUNTIF(General!$U$13:$U$19,CQ$12))),$I15,"")</f>
        <v/>
      </c>
      <c r="CR15" s="390" t="str">
        <f>IF(AND(CR$12&gt;=$E15,CR$12&lt;=$F15,MOD(CR$12,7)&gt;1,NOT(COUNTIF(General!$U$13:$U$19,CR$12))),$I15,"")</f>
        <v/>
      </c>
      <c r="CS15" s="390" t="str">
        <f>IF(AND(CS$12&gt;=$E15,CS$12&lt;=$F15,MOD(CS$12,7)&gt;1,NOT(COUNTIF(General!$U$13:$U$19,CS$12))),$I15,"")</f>
        <v/>
      </c>
      <c r="CT15" s="390" t="str">
        <f>IF(AND(CT$12&gt;=$E15,CT$12&lt;=$F15,MOD(CT$12,7)&gt;1,NOT(COUNTIF(General!$U$13:$U$19,CT$12))),$I15,"")</f>
        <v/>
      </c>
      <c r="CU15" s="390" t="str">
        <f>IF(AND(CU$12&gt;=$E15,CU$12&lt;=$F15,MOD(CU$12,7)&gt;1,NOT(COUNTIF(General!$U$13:$U$19,CU$12))),$I15,"")</f>
        <v/>
      </c>
      <c r="CV15" s="390" t="str">
        <f>IF(AND(CV$12&gt;=$E15,CV$12&lt;=$F15,MOD(CV$12,7)&gt;1,NOT(COUNTIF(General!$U$13:$U$19,CV$12))),$I15,"")</f>
        <v/>
      </c>
      <c r="CW15" s="390" t="str">
        <f>IF(AND(CW$12&gt;=$E15,CW$12&lt;=$F15,MOD(CW$12,7)&gt;1,NOT(COUNTIF(General!$U$13:$U$19,CW$12))),$I15,"")</f>
        <v/>
      </c>
      <c r="CX15" s="390" t="str">
        <f>IF(AND(CX$12&gt;=$E15,CX$12&lt;=$F15,MOD(CX$12,7)&gt;1,NOT(COUNTIF(General!$U$13:$U$19,CX$12))),$I15,"")</f>
        <v/>
      </c>
      <c r="CY15" s="390" t="str">
        <f>IF(AND(CY$12&gt;=$E15,CY$12&lt;=$F15,MOD(CY$12,7)&gt;1,NOT(COUNTIF(General!$U$13:$U$19,CY$12))),$I15,"")</f>
        <v/>
      </c>
      <c r="CZ15" s="390" t="str">
        <f>IF(AND(CZ$12&gt;=$E15,CZ$12&lt;=$F15,MOD(CZ$12,7)&gt;1,NOT(COUNTIF(General!$U$13:$U$19,CZ$12))),$I15,"")</f>
        <v/>
      </c>
      <c r="DA15" s="390" t="str">
        <f>IF(AND(DA$12&gt;=$E15,DA$12&lt;=$F15,MOD(DA$12,7)&gt;1,NOT(COUNTIF(General!$U$13:$U$19,DA$12))),$I15,"")</f>
        <v/>
      </c>
      <c r="DB15" s="390" t="str">
        <f>IF(AND(DB$12&gt;=$E15,DB$12&lt;=$F15,MOD(DB$12,7)&gt;1,NOT(COUNTIF(General!$U$13:$U$19,DB$12))),$I15,"")</f>
        <v/>
      </c>
      <c r="DC15" s="390" t="str">
        <f>IF(AND(DC$12&gt;=$E15,DC$12&lt;=$F15,MOD(DC$12,7)&gt;1,NOT(COUNTIF(General!$U$13:$U$19,DC$12))),$I15,"")</f>
        <v/>
      </c>
      <c r="DD15" s="390" t="str">
        <f>IF(AND(DD$12&gt;=$E15,DD$12&lt;=$F15,MOD(DD$12,7)&gt;1,NOT(COUNTIF(General!$U$13:$U$19,DD$12))),$I15,"")</f>
        <v/>
      </c>
      <c r="DE15" s="390" t="str">
        <f>IF(AND(DE$12&gt;=$E15,DE$12&lt;=$F15,MOD(DE$12,7)&gt;1,NOT(COUNTIF(General!$U$13:$U$19,DE$12))),$I15,"")</f>
        <v/>
      </c>
      <c r="DF15" s="390" t="str">
        <f>IF(AND(DF$12&gt;=$E15,DF$12&lt;=$F15,MOD(DF$12,7)&gt;1,NOT(COUNTIF(General!$U$13:$U$19,DF$12))),$I15,"")</f>
        <v/>
      </c>
      <c r="DG15" s="390" t="str">
        <f>IF(AND(DG$12&gt;=$E15,DG$12&lt;=$F15,MOD(DG$12,7)&gt;1,NOT(COUNTIF(General!$U$13:$U$19,DG$12))),$I15,"")</f>
        <v/>
      </c>
      <c r="DH15" s="390" t="str">
        <f>IF(AND(DH$12&gt;=$E15,DH$12&lt;=$F15,MOD(DH$12,7)&gt;1,NOT(COUNTIF(General!$U$13:$U$19,DH$12))),$I15,"")</f>
        <v/>
      </c>
      <c r="DI15" s="390" t="str">
        <f>IF(AND(DI$12&gt;=$E15,DI$12&lt;=$F15,MOD(DI$12,7)&gt;1,NOT(COUNTIF(General!$U$13:$U$19,DI$12))),$I15,"")</f>
        <v/>
      </c>
      <c r="DJ15" s="390" t="str">
        <f>IF(AND(DJ$12&gt;=$E15,DJ$12&lt;=$F15,MOD(DJ$12,7)&gt;1,NOT(COUNTIF(General!$U$13:$U$19,DJ$12))),$I15,"")</f>
        <v/>
      </c>
      <c r="DK15" s="390" t="str">
        <f>IF(AND(DK$12&gt;=$E15,DK$12&lt;=$F15,MOD(DK$12,7)&gt;1,NOT(COUNTIF(General!$U$13:$U$19,DK$12))),$I15,"")</f>
        <v/>
      </c>
      <c r="DL15" s="390" t="str">
        <f>IF(AND(DL$12&gt;=$E15,DL$12&lt;=$F15,MOD(DL$12,7)&gt;1,NOT(COUNTIF(General!$U$13:$U$19,DL$12))),$I15,"")</f>
        <v/>
      </c>
      <c r="DM15" s="390" t="str">
        <f>IF(AND(DM$12&gt;=$E15,DM$12&lt;=$F15,MOD(DM$12,7)&gt;1,NOT(COUNTIF(General!$U$13:$U$19,DM$12))),$I15,"")</f>
        <v/>
      </c>
      <c r="DN15" s="390" t="str">
        <f>IF(AND(DN$12&gt;=$E15,DN$12&lt;=$F15,MOD(DN$12,7)&gt;1,NOT(COUNTIF(General!$U$13:$U$19,DN$12))),$I15,"")</f>
        <v/>
      </c>
      <c r="DO15" s="390" t="str">
        <f>IF(AND(DO$12&gt;=$E15,DO$12&lt;=$F15,MOD(DO$12,7)&gt;1,NOT(COUNTIF(General!$U$13:$U$19,DO$12))),$I15,"")</f>
        <v/>
      </c>
      <c r="DP15" s="390" t="str">
        <f>IF(AND(DP$12&gt;=$E15,DP$12&lt;=$F15,MOD(DP$12,7)&gt;1,NOT(COUNTIF(General!$U$13:$U$19,DP$12))),$I15,"")</f>
        <v/>
      </c>
      <c r="DQ15" s="390" t="str">
        <f>IF(AND(DQ$12&gt;=$E15,DQ$12&lt;=$F15,MOD(DQ$12,7)&gt;1,NOT(COUNTIF(General!$U$13:$U$19,DQ$12))),$I15,"")</f>
        <v/>
      </c>
      <c r="DR15" s="390" t="str">
        <f>IF(AND(DR$12&gt;=$E15,DR$12&lt;=$F15,MOD(DR$12,7)&gt;1,NOT(COUNTIF(General!$U$13:$U$19,DR$12))),$I15,"")</f>
        <v/>
      </c>
      <c r="DS15" s="390" t="str">
        <f>IF(AND(DS$12&gt;=$E15,DS$12&lt;=$F15,MOD(DS$12,7)&gt;1,NOT(COUNTIF(General!$U$13:$U$19,DS$12))),$I15,"")</f>
        <v/>
      </c>
      <c r="DT15" s="390" t="str">
        <f>IF(AND(DT$12&gt;=$E15,DT$12&lt;=$F15,MOD(DT$12,7)&gt;1,NOT(COUNTIF(General!$U$13:$U$19,DT$12))),$I15,"")</f>
        <v/>
      </c>
      <c r="DU15" s="390" t="str">
        <f>IF(AND(DU$12&gt;=$E15,DU$12&lt;=$F15,MOD(DU$12,7)&gt;1,NOT(COUNTIF(General!$U$13:$U$19,DU$12))),$I15,"")</f>
        <v/>
      </c>
      <c r="DV15" s="390" t="str">
        <f>IF(AND(DV$12&gt;=$E15,DV$12&lt;=$F15,MOD(DV$12,7)&gt;1,NOT(COUNTIF(General!$U$13:$U$19,DV$12))),$I15,"")</f>
        <v/>
      </c>
      <c r="DW15" s="390" t="str">
        <f>IF(AND(DW$12&gt;=$E15,DW$12&lt;=$F15,MOD(DW$12,7)&gt;1,NOT(COUNTIF(General!$U$13:$U$19,DW$12))),$I15,"")</f>
        <v/>
      </c>
      <c r="DX15" s="390" t="str">
        <f>IF(AND(DX$12&gt;=$E15,DX$12&lt;=$F15,MOD(DX$12,7)&gt;1,NOT(COUNTIF(General!$U$13:$U$19,DX$12))),$I15,"")</f>
        <v/>
      </c>
      <c r="DY15" s="390" t="str">
        <f>IF(AND(DY$12&gt;=$E15,DY$12&lt;=$F15,MOD(DY$12,7)&gt;1,NOT(COUNTIF(General!$U$13:$U$19,DY$12))),$I15,"")</f>
        <v/>
      </c>
      <c r="DZ15" s="390" t="str">
        <f>IF(AND(DZ$12&gt;=$E15,DZ$12&lt;=$F15,MOD(DZ$12,7)&gt;1,NOT(COUNTIF(General!$U$13:$U$19,DZ$12))),$I15,"")</f>
        <v/>
      </c>
      <c r="EA15" s="390" t="str">
        <f>IF(AND(EA$12&gt;=$E15,EA$12&lt;=$F15,MOD(EA$12,7)&gt;1,NOT(COUNTIF(General!$U$13:$U$19,EA$12))),$I15,"")</f>
        <v/>
      </c>
      <c r="EB15" s="390" t="str">
        <f>IF(AND(EB$12&gt;=$E15,EB$12&lt;=$F15,MOD(EB$12,7)&gt;1,NOT(COUNTIF(General!$U$13:$U$19,EB$12))),$I15,"")</f>
        <v/>
      </c>
      <c r="EC15" s="390" t="str">
        <f>IF(AND(EC$12&gt;=$E15,EC$12&lt;=$F15,MOD(EC$12,7)&gt;1,NOT(COUNTIF(General!$U$13:$U$19,EC$12))),$I15,"")</f>
        <v/>
      </c>
      <c r="ED15" s="390" t="str">
        <f>IF(AND(ED$12&gt;=$E15,ED$12&lt;=$F15,MOD(ED$12,7)&gt;1,NOT(COUNTIF(General!$U$13:$U$19,ED$12))),$I15,"")</f>
        <v/>
      </c>
      <c r="EE15" s="390" t="str">
        <f>IF(AND(EE$12&gt;=$E15,EE$12&lt;=$F15,MOD(EE$12,7)&gt;1,NOT(COUNTIF(General!$U$13:$U$19,EE$12))),$I15,"")</f>
        <v/>
      </c>
      <c r="EF15" s="390" t="str">
        <f>IF(AND(EF$12&gt;=$E15,EF$12&lt;=$F15,MOD(EF$12,7)&gt;1,NOT(COUNTIF(General!$U$13:$U$19,EF$12))),$I15,"")</f>
        <v/>
      </c>
      <c r="EG15" s="390" t="str">
        <f>IF(AND(EG$12&gt;=$E15,EG$12&lt;=$F15,MOD(EG$12,7)&gt;1,NOT(COUNTIF(General!$U$13:$U$19,EG$12))),$I15,"")</f>
        <v/>
      </c>
      <c r="EH15" s="390" t="str">
        <f>IF(AND(EH$12&gt;=$E15,EH$12&lt;=$F15,MOD(EH$12,7)&gt;1,NOT(COUNTIF(General!$U$13:$U$19,EH$12))),$I15,"")</f>
        <v/>
      </c>
      <c r="EI15" s="390" t="str">
        <f>IF(AND(EI$12&gt;=$E15,EI$12&lt;=$F15,MOD(EI$12,7)&gt;1,NOT(COUNTIF(General!$U$13:$U$19,EI$12))),$I15,"")</f>
        <v/>
      </c>
      <c r="EJ15" s="390" t="str">
        <f>IF(AND(EJ$12&gt;=$E15,EJ$12&lt;=$F15,MOD(EJ$12,7)&gt;1,NOT(COUNTIF(General!$U$13:$U$19,EJ$12))),$I15,"")</f>
        <v/>
      </c>
      <c r="EK15" s="390" t="str">
        <f>IF(AND(EK$12&gt;=$E15,EK$12&lt;=$F15,MOD(EK$12,7)&gt;1,NOT(COUNTIF(General!$U$13:$U$19,EK$12))),$I15,"")</f>
        <v/>
      </c>
      <c r="EL15" s="390" t="str">
        <f>IF(AND(EL$12&gt;=$E15,EL$12&lt;=$F15,MOD(EL$12,7)&gt;1,NOT(COUNTIF(General!$U$13:$U$19,EL$12))),$I15,"")</f>
        <v/>
      </c>
      <c r="EM15" s="390" t="str">
        <f>IF(AND(EM$12&gt;=$E15,EM$12&lt;=$F15,MOD(EM$12,7)&gt;1,NOT(COUNTIF(General!$U$13:$U$19,EM$12))),$I15,"")</f>
        <v/>
      </c>
      <c r="EN15" s="390" t="str">
        <f>IF(AND(EN$12&gt;=$E15,EN$12&lt;=$F15,MOD(EN$12,7)&gt;1,NOT(COUNTIF(General!$U$13:$U$19,EN$12))),$I15,"")</f>
        <v/>
      </c>
      <c r="EO15" s="390" t="str">
        <f>IF(AND(EO$12&gt;=$E15,EO$12&lt;=$F15,MOD(EO$12,7)&gt;1,NOT(COUNTIF(General!$U$13:$U$19,EO$12))),$I15,"")</f>
        <v/>
      </c>
      <c r="EP15" s="390" t="str">
        <f>IF(AND(EP$12&gt;=$E15,EP$12&lt;=$F15,MOD(EP$12,7)&gt;1,NOT(COUNTIF(General!$U$13:$U$19,EP$12))),$I15,"")</f>
        <v/>
      </c>
      <c r="EQ15" s="390" t="str">
        <f>IF(AND(EQ$12&gt;=$E15,EQ$12&lt;=$F15,MOD(EQ$12,7)&gt;1,NOT(COUNTIF(General!$U$13:$U$19,EQ$12))),$I15,"")</f>
        <v/>
      </c>
      <c r="ER15" s="390" t="str">
        <f>IF(AND(ER$12&gt;=$E15,ER$12&lt;=$F15,MOD(ER$12,7)&gt;1,NOT(COUNTIF(General!$U$13:$U$19,ER$12))),$I15,"")</f>
        <v/>
      </c>
      <c r="ES15" s="390" t="str">
        <f>IF(AND(ES$12&gt;=$E15,ES$12&lt;=$F15,MOD(ES$12,7)&gt;1,NOT(COUNTIF(General!$U$13:$U$19,ES$12))),$I15,"")</f>
        <v/>
      </c>
      <c r="ET15" s="390" t="str">
        <f>IF(AND(ET$12&gt;=$E15,ET$12&lt;=$F15,MOD(ET$12,7)&gt;1,NOT(COUNTIF(General!$U$13:$U$19,ET$12))),$I15,"")</f>
        <v/>
      </c>
      <c r="EU15" s="390" t="str">
        <f>IF(AND(EU$12&gt;=$E15,EU$12&lt;=$F15,MOD(EU$12,7)&gt;1,NOT(COUNTIF(General!$U$13:$U$19,EU$12))),$I15,"")</f>
        <v/>
      </c>
      <c r="EV15" s="390" t="str">
        <f>IF(AND(EV$12&gt;=$E15,EV$12&lt;=$F15,MOD(EV$12,7)&gt;1,NOT(COUNTIF(General!$U$13:$U$19,EV$12))),$I15,"")</f>
        <v/>
      </c>
      <c r="EW15" s="390" t="str">
        <f>IF(AND(EW$12&gt;=$E15,EW$12&lt;=$F15,MOD(EW$12,7)&gt;1,NOT(COUNTIF(General!$U$13:$U$19,EW$12))),$I15,"")</f>
        <v/>
      </c>
      <c r="EX15" s="390" t="str">
        <f>IF(AND(EX$12&gt;=$E15,EX$12&lt;=$F15,MOD(EX$12,7)&gt;1,NOT(COUNTIF(General!$U$13:$U$19,EX$12))),$I15,"")</f>
        <v/>
      </c>
      <c r="EY15" s="390" t="str">
        <f>IF(AND(EY$12&gt;=$E15,EY$12&lt;=$F15,MOD(EY$12,7)&gt;1,NOT(COUNTIF(General!$U$13:$U$19,EY$12))),$I15,"")</f>
        <v/>
      </c>
      <c r="EZ15" s="390" t="str">
        <f>IF(AND(EZ$12&gt;=$E15,EZ$12&lt;=$F15,MOD(EZ$12,7)&gt;1,NOT(COUNTIF(General!$U$13:$U$19,EZ$12))),$I15,"")</f>
        <v/>
      </c>
      <c r="FA15" s="390" t="str">
        <f>IF(AND(FA$12&gt;=$E15,FA$12&lt;=$F15,MOD(FA$12,7)&gt;1,NOT(COUNTIF(General!$U$13:$U$19,FA$12))),$I15,"")</f>
        <v/>
      </c>
      <c r="FB15" s="390" t="str">
        <f>IF(AND(FB$12&gt;=$E15,FB$12&lt;=$F15,MOD(FB$12,7)&gt;1,NOT(COUNTIF(General!$U$13:$U$19,FB$12))),$I15,"")</f>
        <v/>
      </c>
      <c r="FC15" s="390" t="str">
        <f>IF(AND(FC$12&gt;=$E15,FC$12&lt;=$F15,MOD(FC$12,7)&gt;1,NOT(COUNTIF(General!$U$13:$U$19,FC$12))),$I15,"")</f>
        <v/>
      </c>
      <c r="FD15" s="390" t="str">
        <f>IF(AND(FD$12&gt;=$E15,FD$12&lt;=$F15,MOD(FD$12,7)&gt;1,NOT(COUNTIF(General!$U$13:$U$19,FD$12))),$I15,"")</f>
        <v/>
      </c>
      <c r="FE15" s="390" t="str">
        <f>IF(AND(FE$12&gt;=$E15,FE$12&lt;=$F15,MOD(FE$12,7)&gt;1,NOT(COUNTIF(General!$U$13:$U$19,FE$12))),$I15,"")</f>
        <v/>
      </c>
      <c r="FF15" s="390" t="str">
        <f>IF(AND(FF$12&gt;=$E15,FF$12&lt;=$F15,MOD(FF$12,7)&gt;1,NOT(COUNTIF(General!$U$13:$U$19,FF$12))),$I15,"")</f>
        <v/>
      </c>
      <c r="FG15" s="390" t="str">
        <f>IF(AND(FG$12&gt;=$E15,FG$12&lt;=$F15,MOD(FG$12,7)&gt;1,NOT(COUNTIF(General!$U$13:$U$19,FG$12))),$I15,"")</f>
        <v/>
      </c>
      <c r="FH15" s="390" t="str">
        <f>IF(AND(FH$12&gt;=$E15,FH$12&lt;=$F15,MOD(FH$12,7)&gt;1,NOT(COUNTIF(General!$U$13:$U$19,FH$12))),$I15,"")</f>
        <v/>
      </c>
      <c r="FI15" s="390" t="str">
        <f>IF(AND(FI$12&gt;=$E15,FI$12&lt;=$F15,MOD(FI$12,7)&gt;1,NOT(COUNTIF(General!$U$13:$U$19,FI$12))),$I15,"")</f>
        <v/>
      </c>
      <c r="FJ15" s="390" t="str">
        <f>IF(AND(FJ$12&gt;=$E15,FJ$12&lt;=$F15,MOD(FJ$12,7)&gt;1,NOT(COUNTIF(General!$U$13:$U$19,FJ$12))),$I15,"")</f>
        <v/>
      </c>
      <c r="FK15" s="390" t="str">
        <f>IF(AND(FK$12&gt;=$E15,FK$12&lt;=$F15,MOD(FK$12,7)&gt;1,NOT(COUNTIF(General!$U$13:$U$19,FK$12))),$I15,"")</f>
        <v/>
      </c>
      <c r="FL15" s="390" t="str">
        <f>IF(AND(FL$12&gt;=$E15,FL$12&lt;=$F15,MOD(FL$12,7)&gt;1,NOT(COUNTIF(General!$U$13:$U$19,FL$12))),$I15,"")</f>
        <v/>
      </c>
      <c r="FM15" s="390" t="str">
        <f>IF(AND(FM$12&gt;=$E15,FM$12&lt;=$F15,MOD(FM$12,7)&gt;1,NOT(COUNTIF(General!$U$13:$U$19,FM$12))),$I15,"")</f>
        <v/>
      </c>
      <c r="FN15" s="390" t="str">
        <f>IF(AND(FN$12&gt;=$E15,FN$12&lt;=$F15,MOD(FN$12,7)&gt;1,NOT(COUNTIF(General!$U$13:$U$19,FN$12))),$I15,"")</f>
        <v/>
      </c>
      <c r="FO15" s="390" t="str">
        <f>IF(AND(FO$12&gt;=$E15,FO$12&lt;=$F15,MOD(FO$12,7)&gt;1,NOT(COUNTIF(General!$U$13:$U$19,FO$12))),$I15,"")</f>
        <v/>
      </c>
      <c r="FP15" s="390" t="str">
        <f>IF(AND(FP$12&gt;=$E15,FP$12&lt;=$F15,MOD(FP$12,7)&gt;1,NOT(COUNTIF(General!$U$13:$U$19,FP$12))),$I15,"")</f>
        <v/>
      </c>
      <c r="FQ15" s="390" t="str">
        <f>IF(AND(FQ$12&gt;=$E15,FQ$12&lt;=$F15,MOD(FQ$12,7)&gt;1,NOT(COUNTIF(General!$U$13:$U$19,FQ$12))),$I15,"")</f>
        <v/>
      </c>
      <c r="FR15" s="390" t="str">
        <f>IF(AND(FR$12&gt;=$E15,FR$12&lt;=$F15,MOD(FR$12,7)&gt;1,NOT(COUNTIF(General!$U$13:$U$19,FR$12))),$I15,"")</f>
        <v/>
      </c>
      <c r="FS15" s="390" t="str">
        <f>IF(AND(FS$12&gt;=$E15,FS$12&lt;=$F15,MOD(FS$12,7)&gt;1,NOT(COUNTIF(General!$U$13:$U$19,FS$12))),$I15,"")</f>
        <v/>
      </c>
      <c r="FT15" s="390" t="str">
        <f>IF(AND(FT$12&gt;=$E15,FT$12&lt;=$F15,MOD(FT$12,7)&gt;1,NOT(COUNTIF(General!$U$13:$U$19,FT$12))),$I15,"")</f>
        <v/>
      </c>
      <c r="FU15" s="390" t="str">
        <f>IF(AND(FU$12&gt;=$E15,FU$12&lt;=$F15,MOD(FU$12,7)&gt;1,NOT(COUNTIF(General!$U$13:$U$19,FU$12))),$I15,"")</f>
        <v/>
      </c>
      <c r="FV15" s="390" t="str">
        <f>IF(AND(FV$12&gt;=$E15,FV$12&lt;=$F15,MOD(FV$12,7)&gt;1,NOT(COUNTIF(General!$U$13:$U$19,FV$12))),$I15,"")</f>
        <v/>
      </c>
      <c r="FW15" s="390" t="str">
        <f>IF(AND(FW$12&gt;=$E15,FW$12&lt;=$F15,MOD(FW$12,7)&gt;1,NOT(COUNTIF(General!$U$13:$U$19,FW$12))),$I15,"")</f>
        <v/>
      </c>
      <c r="FX15" s="390" t="str">
        <f>IF(AND(FX$12&gt;=$E15,FX$12&lt;=$F15,MOD(FX$12,7)&gt;1,NOT(COUNTIF(General!$U$13:$U$19,FX$12))),$I15,"")</f>
        <v/>
      </c>
    </row>
    <row r="16" ht="16.5" customHeight="1">
      <c r="A16" s="537">
        <v>389079.0</v>
      </c>
      <c r="B16" s="538" t="s">
        <v>572</v>
      </c>
      <c r="C16" s="539"/>
      <c r="D16" s="571" t="s">
        <v>439</v>
      </c>
      <c r="E16" s="541">
        <v>43804.0</v>
      </c>
      <c r="F16" s="374">
        <f>WORKDAY(E16,ROUNDUP(G16/I16,0),General!$U$13:$U$27)-1</f>
        <v>43808</v>
      </c>
      <c r="G16" s="542">
        <v>3.0</v>
      </c>
      <c r="H16" s="543"/>
      <c r="I16" s="544">
        <v>1.0</v>
      </c>
      <c r="J16" s="545"/>
      <c r="K16" s="546"/>
      <c r="L16" s="546"/>
      <c r="M16" s="547"/>
      <c r="N16" s="548"/>
      <c r="O16" s="549"/>
      <c r="P16" s="550"/>
      <c r="Q16" s="390" t="str">
        <f>IF(AND(Q$12&gt;=$E16,Q$12&lt;=$F16,MOD(Q$12,7)&gt;1,NOT(COUNTIF(General!$U$13:$U$19,Q$12))),$I16,"")</f>
        <v/>
      </c>
      <c r="R16" s="390" t="str">
        <f>IF(AND(R$12&gt;=$E16,R$12&lt;=$F16,MOD(R$12,7)&gt;1,NOT(COUNTIF(General!$U$13:$U$19,R$12))),$I16,"")</f>
        <v/>
      </c>
      <c r="S16" s="390" t="str">
        <f>IF(AND(S$12&gt;=$E16,S$12&lt;=$F16,MOD(S$12,7)&gt;1,NOT(COUNTIF(General!$U$13:$U$19,S$12))),$I16,"")</f>
        <v/>
      </c>
      <c r="T16" s="390">
        <f>IF(AND(T$12&gt;=$E16,T$12&lt;=$F16,MOD(T$12,7)&gt;1,NOT(COUNTIF(General!$U$13:$U$19,T$12))),$I16,"")</f>
        <v>1</v>
      </c>
      <c r="U16" s="390">
        <f>IF(AND(U$12&gt;=$E16,U$12&lt;=$F16,MOD(U$12,7)&gt;1,NOT(COUNTIF(General!$U$13:$U$19,U$12))),$I16,"")</f>
        <v>1</v>
      </c>
      <c r="V16" s="390" t="str">
        <f>IF(AND(V$12&gt;=$E16,V$12&lt;=$F16,MOD(V$12,7)&gt;1,NOT(COUNTIF(General!$U$13:$U$19,V$12))),$I16,"")</f>
        <v/>
      </c>
      <c r="W16" s="390" t="str">
        <f>IF(AND(W$12&gt;=$E16,W$12&lt;=$F16,MOD(W$12,7)&gt;1,NOT(COUNTIF(General!$U$13:$U$19,W$12))),$I16,"")</f>
        <v/>
      </c>
      <c r="X16" s="390">
        <f>IF(AND(X$12&gt;=$E16,X$12&lt;=$F16,MOD(X$12,7)&gt;1,NOT(COUNTIF(General!$U$13:$U$19,X$12))),$I16,"")</f>
        <v>1</v>
      </c>
      <c r="Y16" s="390" t="str">
        <f>IF(AND(Y$12&gt;=$E16,Y$12&lt;=$F16,MOD(Y$12,7)&gt;1,NOT(COUNTIF(General!$U$13:$U$19,Y$12))),$I16,"")</f>
        <v/>
      </c>
      <c r="Z16" s="390" t="str">
        <f>IF(AND(Z$12&gt;=$E16,Z$12&lt;=$F16,MOD(Z$12,7)&gt;1,NOT(COUNTIF(General!$U$13:$U$19,Z$12))),$I16,"")</f>
        <v/>
      </c>
      <c r="AA16" s="390" t="str">
        <f>IF(AND(AA$12&gt;=$E16,AA$12&lt;=$F16,MOD(AA$12,7)&gt;1,NOT(COUNTIF(General!$U$13:$U$19,AA$12))),$I16,"")</f>
        <v/>
      </c>
      <c r="AB16" s="390" t="str">
        <f>IF(AND(AB$12&gt;=$E16,AB$12&lt;=$F16,MOD(AB$12,7)&gt;1,NOT(COUNTIF(General!$U$13:$U$19,AB$12))),$I16,"")</f>
        <v/>
      </c>
      <c r="AC16" s="390" t="str">
        <f>IF(AND(AC$12&gt;=$E16,AC$12&lt;=$F16,MOD(AC$12,7)&gt;1,NOT(COUNTIF(General!$U$13:$U$19,AC$12))),$I16,"")</f>
        <v/>
      </c>
      <c r="AD16" s="390" t="str">
        <f>IF(AND(AD$12&gt;=$E16,AD$12&lt;=$F16,MOD(AD$12,7)&gt;1,NOT(COUNTIF(General!$U$13:$U$19,AD$12))),$I16,"")</f>
        <v/>
      </c>
      <c r="AE16" s="390" t="str">
        <f>IF(AND(AE$12&gt;=$E16,AE$12&lt;=$F16,MOD(AE$12,7)&gt;1,NOT(COUNTIF(General!$U$13:$U$19,AE$12))),$I16,"")</f>
        <v/>
      </c>
      <c r="AF16" s="390" t="str">
        <f>IF(AND(AF$12&gt;=$E16,AF$12&lt;=$F16,MOD(AF$12,7)&gt;1,NOT(COUNTIF(General!$U$13:$U$19,AF$12))),$I16,"")</f>
        <v/>
      </c>
      <c r="AG16" s="390" t="str">
        <f>IF(AND(AG$12&gt;=$E16,AG$12&lt;=$F16,MOD(AG$12,7)&gt;1,NOT(COUNTIF(General!$U$13:$U$19,AG$12))),$I16,"")</f>
        <v/>
      </c>
      <c r="AH16" s="390" t="str">
        <f>IF(AND(AH$12&gt;=$E16,AH$12&lt;=$F16,MOD(AH$12,7)&gt;1,NOT(COUNTIF(General!$U$13:$U$19,AH$12))),$I16,"")</f>
        <v/>
      </c>
      <c r="AI16" s="390" t="str">
        <f>IF(AND(AI$12&gt;=$E16,AI$12&lt;=$F16,MOD(AI$12,7)&gt;1,NOT(COUNTIF(General!$U$13:$U$19,AI$12))),$I16,"")</f>
        <v/>
      </c>
      <c r="AJ16" s="390" t="str">
        <f>IF(AND(AJ$12&gt;=$E16,AJ$12&lt;=$F16,MOD(AJ$12,7)&gt;1,NOT(COUNTIF(General!$U$13:$U$19,AJ$12))),$I16,"")</f>
        <v/>
      </c>
      <c r="AK16" s="390" t="str">
        <f>IF(AND(AK$12&gt;=$E16,AK$12&lt;=$F16,MOD(AK$12,7)&gt;1,NOT(COUNTIF(General!$U$13:$U$19,AK$12))),$I16,"")</f>
        <v/>
      </c>
      <c r="AL16" s="390" t="str">
        <f>IF(AND(AL$12&gt;=$E16,AL$12&lt;=$F16,MOD(AL$12,7)&gt;1,NOT(COUNTIF(General!$U$13:$U$19,AL$12))),$I16,"")</f>
        <v/>
      </c>
      <c r="AM16" s="390" t="str">
        <f>IF(AND(AM$12&gt;=$E16,AM$12&lt;=$F16,MOD(AM$12,7)&gt;1,NOT(COUNTIF(General!$U$13:$U$19,AM$12))),$I16,"")</f>
        <v/>
      </c>
      <c r="AN16" s="390" t="str">
        <f>IF(AND(AN$12&gt;=$E16,AN$12&lt;=$F16,MOD(AN$12,7)&gt;1,NOT(COUNTIF(General!$U$13:$U$19,AN$12))),$I16,"")</f>
        <v/>
      </c>
      <c r="AO16" s="390" t="str">
        <f>IF(AND(AO$12&gt;=$E16,AO$12&lt;=$F16,MOD(AO$12,7)&gt;1,NOT(COUNTIF(General!$U$13:$U$19,AO$12))),$I16,"")</f>
        <v/>
      </c>
      <c r="AP16" s="390" t="str">
        <f>IF(AND(AP$12&gt;=$E16,AP$12&lt;=$F16,MOD(AP$12,7)&gt;1,NOT(COUNTIF(General!$U$13:$U$19,AP$12))),$I16,"")</f>
        <v/>
      </c>
      <c r="AQ16" s="390" t="str">
        <f>IF(AND(AQ$12&gt;=$E16,AQ$12&lt;=$F16,MOD(AQ$12,7)&gt;1,NOT(COUNTIF(General!$U$13:$U$19,AQ$12))),$I16,"")</f>
        <v/>
      </c>
      <c r="AR16" s="390" t="str">
        <f>IF(AND(AR$12&gt;=$E16,AR$12&lt;=$F16,MOD(AR$12,7)&gt;1,NOT(COUNTIF(General!$U$13:$U$19,AR$12))),$I16,"")</f>
        <v/>
      </c>
      <c r="AS16" s="390" t="str">
        <f>IF(AND(AS$12&gt;=$E16,AS$12&lt;=$F16,MOD(AS$12,7)&gt;1,NOT(COUNTIF(General!$U$13:$U$19,AS$12))),$I16,"")</f>
        <v/>
      </c>
      <c r="AT16" s="390" t="str">
        <f>IF(AND(AT$12&gt;=$E16,AT$12&lt;=$F16,MOD(AT$12,7)&gt;1,NOT(COUNTIF(General!$U$13:$U$19,AT$12))),$I16,"")</f>
        <v/>
      </c>
      <c r="AU16" s="390" t="str">
        <f>IF(AND(AU$12&gt;=$E16,AU$12&lt;=$F16,MOD(AU$12,7)&gt;1,NOT(COUNTIF(General!$U$13:$U$19,AU$12))),$I16,"")</f>
        <v/>
      </c>
      <c r="AV16" s="390" t="str">
        <f>IF(AND(AV$12&gt;=$E16,AV$12&lt;=$F16,MOD(AV$12,7)&gt;1,NOT(COUNTIF(General!$U$13:$U$19,AV$12))),$I16,"")</f>
        <v/>
      </c>
      <c r="AW16" s="390" t="str">
        <f>IF(AND(AW$12&gt;=$E16,AW$12&lt;=$F16,MOD(AW$12,7)&gt;1,NOT(COUNTIF(General!$U$13:$U$19,AW$12))),$I16,"")</f>
        <v/>
      </c>
      <c r="AX16" s="390" t="str">
        <f>IF(AND(AX$12&gt;=$E16,AX$12&lt;=$F16,MOD(AX$12,7)&gt;1,NOT(COUNTIF(General!$U$13:$U$19,AX$12))),$I16,"")</f>
        <v/>
      </c>
      <c r="AY16" s="390" t="str">
        <f>IF(AND(AY$12&gt;=$E16,AY$12&lt;=$F16,MOD(AY$12,7)&gt;1,NOT(COUNTIF(General!$U$13:$U$19,AY$12))),$I16,"")</f>
        <v/>
      </c>
      <c r="AZ16" s="390" t="str">
        <f>IF(AND(AZ$12&gt;=$E16,AZ$12&lt;=$F16,MOD(AZ$12,7)&gt;1,NOT(COUNTIF(General!$U$13:$U$19,AZ$12))),$I16,"")</f>
        <v/>
      </c>
      <c r="BA16" s="390" t="str">
        <f>IF(AND(BA$12&gt;=$E16,BA$12&lt;=$F16,MOD(BA$12,7)&gt;1,NOT(COUNTIF(General!$U$13:$U$19,BA$12))),$I16,"")</f>
        <v/>
      </c>
      <c r="BB16" s="390" t="str">
        <f>IF(AND(BB$12&gt;=$E16,BB$12&lt;=$F16,MOD(BB$12,7)&gt;1,NOT(COUNTIF(General!$U$13:$U$19,BB$12))),$I16,"")</f>
        <v/>
      </c>
      <c r="BC16" s="390" t="str">
        <f>IF(AND(BC$12&gt;=$E16,BC$12&lt;=$F16,MOD(BC$12,7)&gt;1,NOT(COUNTIF(General!$U$13:$U$19,BC$12))),$I16,"")</f>
        <v/>
      </c>
      <c r="BD16" s="390" t="str">
        <f>IF(AND(BD$12&gt;=$E16,BD$12&lt;=$F16,MOD(BD$12,7)&gt;1,NOT(COUNTIF(General!$U$13:$U$19,BD$12))),$I16,"")</f>
        <v/>
      </c>
      <c r="BE16" s="390" t="str">
        <f>IF(AND(BE$12&gt;=$E16,BE$12&lt;=$F16,MOD(BE$12,7)&gt;1,NOT(COUNTIF(General!$U$13:$U$19,BE$12))),$I16,"")</f>
        <v/>
      </c>
      <c r="BF16" s="390" t="str">
        <f>IF(AND(BF$12&gt;=$E16,BF$12&lt;=$F16,MOD(BF$12,7)&gt;1,NOT(COUNTIF(General!$U$13:$U$19,BF$12))),$I16,"")</f>
        <v/>
      </c>
      <c r="BG16" s="390" t="str">
        <f>IF(AND(BG$12&gt;=$E16,BG$12&lt;=$F16,MOD(BG$12,7)&gt;1,NOT(COUNTIF(General!$U$13:$U$19,BG$12))),$I16,"")</f>
        <v/>
      </c>
      <c r="BH16" s="390" t="str">
        <f>IF(AND(BH$12&gt;=$E16,BH$12&lt;=$F16,MOD(BH$12,7)&gt;1,NOT(COUNTIF(General!$U$13:$U$19,BH$12))),$I16,"")</f>
        <v/>
      </c>
      <c r="BI16" s="390" t="str">
        <f>IF(AND(BI$12&gt;=$E16,BI$12&lt;=$F16,MOD(BI$12,7)&gt;1,NOT(COUNTIF(General!$U$13:$U$19,BI$12))),$I16,"")</f>
        <v/>
      </c>
      <c r="BJ16" s="390" t="str">
        <f>IF(AND(BJ$12&gt;=$E16,BJ$12&lt;=$F16,MOD(BJ$12,7)&gt;1,NOT(COUNTIF(General!$U$13:$U$19,BJ$12))),$I16,"")</f>
        <v/>
      </c>
      <c r="BK16" s="390" t="str">
        <f>IF(AND(BK$12&gt;=$E16,BK$12&lt;=$F16,MOD(BK$12,7)&gt;1,NOT(COUNTIF(General!$U$13:$U$19,BK$12))),$I16,"")</f>
        <v/>
      </c>
      <c r="BL16" s="390" t="str">
        <f>IF(AND(BL$12&gt;=$E16,BL$12&lt;=$F16,MOD(BL$12,7)&gt;1,NOT(COUNTIF(General!$U$13:$U$19,BL$12))),$I16,"")</f>
        <v/>
      </c>
      <c r="BM16" s="390" t="str">
        <f>IF(AND(BM$12&gt;=$E16,BM$12&lt;=$F16,MOD(BM$12,7)&gt;1,NOT(COUNTIF(General!$U$13:$U$19,BM$12))),$I16,"")</f>
        <v/>
      </c>
      <c r="BN16" s="390" t="str">
        <f>IF(AND(BN$12&gt;=$E16,BN$12&lt;=$F16,MOD(BN$12,7)&gt;1,NOT(COUNTIF(General!$U$13:$U$19,BN$12))),$I16,"")</f>
        <v/>
      </c>
      <c r="BO16" s="390" t="str">
        <f>IF(AND(BO$12&gt;=$E16,BO$12&lt;=$F16,MOD(BO$12,7)&gt;1,NOT(COUNTIF(General!$U$13:$U$19,BO$12))),$I16,"")</f>
        <v/>
      </c>
      <c r="BP16" s="390" t="str">
        <f>IF(AND(BP$12&gt;=$E16,BP$12&lt;=$F16,MOD(BP$12,7)&gt;1,NOT(COUNTIF(General!$U$13:$U$19,BP$12))),$I16,"")</f>
        <v/>
      </c>
      <c r="BQ16" s="390" t="str">
        <f>IF(AND(BQ$12&gt;=$E16,BQ$12&lt;=$F16,MOD(BQ$12,7)&gt;1,NOT(COUNTIF(General!$U$13:$U$19,BQ$12))),$I16,"")</f>
        <v/>
      </c>
      <c r="BR16" s="390" t="str">
        <f>IF(AND(BR$12&gt;=$E16,BR$12&lt;=$F16,MOD(BR$12,7)&gt;1,NOT(COUNTIF(General!$U$13:$U$19,BR$12))),$I16,"")</f>
        <v/>
      </c>
      <c r="BS16" s="390" t="str">
        <f>IF(AND(BS$12&gt;=$E16,BS$12&lt;=$F16,MOD(BS$12,7)&gt;1,NOT(COUNTIF(General!$U$13:$U$19,BS$12))),$I16,"")</f>
        <v/>
      </c>
      <c r="BT16" s="390" t="str">
        <f>IF(AND(BT$12&gt;=$E16,BT$12&lt;=$F16,MOD(BT$12,7)&gt;1,NOT(COUNTIF(General!$U$13:$U$19,BT$12))),$I16,"")</f>
        <v/>
      </c>
      <c r="BU16" s="390" t="str">
        <f>IF(AND(BU$12&gt;=$E16,BU$12&lt;=$F16,MOD(BU$12,7)&gt;1,NOT(COUNTIF(General!$U$13:$U$19,BU$12))),$I16,"")</f>
        <v/>
      </c>
      <c r="BV16" s="390" t="str">
        <f>IF(AND(BV$12&gt;=$E16,BV$12&lt;=$F16,MOD(BV$12,7)&gt;1,NOT(COUNTIF(General!$U$13:$U$19,BV$12))),$I16,"")</f>
        <v/>
      </c>
      <c r="BW16" s="390" t="str">
        <f>IF(AND(BW$12&gt;=$E16,BW$12&lt;=$F16,MOD(BW$12,7)&gt;1,NOT(COUNTIF(General!$U$13:$U$19,BW$12))),$I16,"")</f>
        <v/>
      </c>
      <c r="BX16" s="390" t="str">
        <f>IF(AND(BX$12&gt;=$E16,BX$12&lt;=$F16,MOD(BX$12,7)&gt;1,NOT(COUNTIF(General!$U$13:$U$19,BX$12))),$I16,"")</f>
        <v/>
      </c>
      <c r="BY16" s="390" t="str">
        <f>IF(AND(BY$12&gt;=$E16,BY$12&lt;=$F16,MOD(BY$12,7)&gt;1,NOT(COUNTIF(General!$U$13:$U$19,BY$12))),$I16,"")</f>
        <v/>
      </c>
      <c r="BZ16" s="390" t="str">
        <f>IF(AND(BZ$12&gt;=$E16,BZ$12&lt;=$F16,MOD(BZ$12,7)&gt;1,NOT(COUNTIF(General!$U$13:$U$19,BZ$12))),$I16,"")</f>
        <v/>
      </c>
      <c r="CA16" s="390" t="str">
        <f>IF(AND(CA$12&gt;=$E16,CA$12&lt;=$F16,MOD(CA$12,7)&gt;1,NOT(COUNTIF(General!$U$13:$U$19,CA$12))),$I16,"")</f>
        <v/>
      </c>
      <c r="CB16" s="390" t="str">
        <f>IF(AND(CB$12&gt;=$E16,CB$12&lt;=$F16,MOD(CB$12,7)&gt;1,NOT(COUNTIF(General!$U$13:$U$19,CB$12))),$I16,"")</f>
        <v/>
      </c>
      <c r="CC16" s="390" t="str">
        <f>IF(AND(CC$12&gt;=$E16,CC$12&lt;=$F16,MOD(CC$12,7)&gt;1,NOT(COUNTIF(General!$U$13:$U$19,CC$12))),$I16,"")</f>
        <v/>
      </c>
      <c r="CD16" s="390" t="str">
        <f>IF(AND(CD$12&gt;=$E16,CD$12&lt;=$F16,MOD(CD$12,7)&gt;1,NOT(COUNTIF(General!$U$13:$U$19,CD$12))),$I16,"")</f>
        <v/>
      </c>
      <c r="CE16" s="390" t="str">
        <f>IF(AND(CE$12&gt;=$E16,CE$12&lt;=$F16,MOD(CE$12,7)&gt;1,NOT(COUNTIF(General!$U$13:$U$19,CE$12))),$I16,"")</f>
        <v/>
      </c>
      <c r="CF16" s="390" t="str">
        <f>IF(AND(CF$12&gt;=$E16,CF$12&lt;=$F16,MOD(CF$12,7)&gt;1,NOT(COUNTIF(General!$U$13:$U$19,CF$12))),$I16,"")</f>
        <v/>
      </c>
      <c r="CG16" s="390" t="str">
        <f>IF(AND(CG$12&gt;=$E16,CG$12&lt;=$F16,MOD(CG$12,7)&gt;1,NOT(COUNTIF(General!$U$13:$U$19,CG$12))),$I16,"")</f>
        <v/>
      </c>
      <c r="CH16" s="390" t="str">
        <f>IF(AND(CH$12&gt;=$E16,CH$12&lt;=$F16,MOD(CH$12,7)&gt;1,NOT(COUNTIF(General!$U$13:$U$19,CH$12))),$I16,"")</f>
        <v/>
      </c>
      <c r="CI16" s="390" t="str">
        <f>IF(AND(CI$12&gt;=$E16,CI$12&lt;=$F16,MOD(CI$12,7)&gt;1,NOT(COUNTIF(General!$U$13:$U$19,CI$12))),$I16,"")</f>
        <v/>
      </c>
      <c r="CJ16" s="390" t="str">
        <f>IF(AND(CJ$12&gt;=$E16,CJ$12&lt;=$F16,MOD(CJ$12,7)&gt;1,NOT(COUNTIF(General!$U$13:$U$19,CJ$12))),$I16,"")</f>
        <v/>
      </c>
      <c r="CK16" s="390" t="str">
        <f>IF(AND(CK$12&gt;=$E16,CK$12&lt;=$F16,MOD(CK$12,7)&gt;1,NOT(COUNTIF(General!$U$13:$U$19,CK$12))),$I16,"")</f>
        <v/>
      </c>
      <c r="CL16" s="390" t="str">
        <f>IF(AND(CL$12&gt;=$E16,CL$12&lt;=$F16,MOD(CL$12,7)&gt;1,NOT(COUNTIF(General!$U$13:$U$19,CL$12))),$I16,"")</f>
        <v/>
      </c>
      <c r="CM16" s="390" t="str">
        <f>IF(AND(CM$12&gt;=$E16,CM$12&lt;=$F16,MOD(CM$12,7)&gt;1,NOT(COUNTIF(General!$U$13:$U$19,CM$12))),$I16,"")</f>
        <v/>
      </c>
      <c r="CN16" s="390" t="str">
        <f>IF(AND(CN$12&gt;=$E16,CN$12&lt;=$F16,MOD(CN$12,7)&gt;1,NOT(COUNTIF(General!$U$13:$U$19,CN$12))),$I16,"")</f>
        <v/>
      </c>
      <c r="CO16" s="390" t="str">
        <f>IF(AND(CO$12&gt;=$E16,CO$12&lt;=$F16,MOD(CO$12,7)&gt;1,NOT(COUNTIF(General!$U$13:$U$19,CO$12))),$I16,"")</f>
        <v/>
      </c>
      <c r="CP16" s="390" t="str">
        <f>IF(AND(CP$12&gt;=$E16,CP$12&lt;=$F16,MOD(CP$12,7)&gt;1,NOT(COUNTIF(General!$U$13:$U$19,CP$12))),$I16,"")</f>
        <v/>
      </c>
      <c r="CQ16" s="390" t="str">
        <f>IF(AND(CQ$12&gt;=$E16,CQ$12&lt;=$F16,MOD(CQ$12,7)&gt;1,NOT(COUNTIF(General!$U$13:$U$19,CQ$12))),$I16,"")</f>
        <v/>
      </c>
      <c r="CR16" s="390" t="str">
        <f>IF(AND(CR$12&gt;=$E16,CR$12&lt;=$F16,MOD(CR$12,7)&gt;1,NOT(COUNTIF(General!$U$13:$U$19,CR$12))),$I16,"")</f>
        <v/>
      </c>
      <c r="CS16" s="390" t="str">
        <f>IF(AND(CS$12&gt;=$E16,CS$12&lt;=$F16,MOD(CS$12,7)&gt;1,NOT(COUNTIF(General!$U$13:$U$19,CS$12))),$I16,"")</f>
        <v/>
      </c>
      <c r="CT16" s="390" t="str">
        <f>IF(AND(CT$12&gt;=$E16,CT$12&lt;=$F16,MOD(CT$12,7)&gt;1,NOT(COUNTIF(General!$U$13:$U$19,CT$12))),$I16,"")</f>
        <v/>
      </c>
      <c r="CU16" s="390" t="str">
        <f>IF(AND(CU$12&gt;=$E16,CU$12&lt;=$F16,MOD(CU$12,7)&gt;1,NOT(COUNTIF(General!$U$13:$U$19,CU$12))),$I16,"")</f>
        <v/>
      </c>
      <c r="CV16" s="390" t="str">
        <f>IF(AND(CV$12&gt;=$E16,CV$12&lt;=$F16,MOD(CV$12,7)&gt;1,NOT(COUNTIF(General!$U$13:$U$19,CV$12))),$I16,"")</f>
        <v/>
      </c>
      <c r="CW16" s="390" t="str">
        <f>IF(AND(CW$12&gt;=$E16,CW$12&lt;=$F16,MOD(CW$12,7)&gt;1,NOT(COUNTIF(General!$U$13:$U$19,CW$12))),$I16,"")</f>
        <v/>
      </c>
      <c r="CX16" s="390" t="str">
        <f>IF(AND(CX$12&gt;=$E16,CX$12&lt;=$F16,MOD(CX$12,7)&gt;1,NOT(COUNTIF(General!$U$13:$U$19,CX$12))),$I16,"")</f>
        <v/>
      </c>
      <c r="CY16" s="390" t="str">
        <f>IF(AND(CY$12&gt;=$E16,CY$12&lt;=$F16,MOD(CY$12,7)&gt;1,NOT(COUNTIF(General!$U$13:$U$19,CY$12))),$I16,"")</f>
        <v/>
      </c>
      <c r="CZ16" s="390" t="str">
        <f>IF(AND(CZ$12&gt;=$E16,CZ$12&lt;=$F16,MOD(CZ$12,7)&gt;1,NOT(COUNTIF(General!$U$13:$U$19,CZ$12))),$I16,"")</f>
        <v/>
      </c>
      <c r="DA16" s="390" t="str">
        <f>IF(AND(DA$12&gt;=$E16,DA$12&lt;=$F16,MOD(DA$12,7)&gt;1,NOT(COUNTIF(General!$U$13:$U$19,DA$12))),$I16,"")</f>
        <v/>
      </c>
      <c r="DB16" s="390" t="str">
        <f>IF(AND(DB$12&gt;=$E16,DB$12&lt;=$F16,MOD(DB$12,7)&gt;1,NOT(COUNTIF(General!$U$13:$U$19,DB$12))),$I16,"")</f>
        <v/>
      </c>
      <c r="DC16" s="390" t="str">
        <f>IF(AND(DC$12&gt;=$E16,DC$12&lt;=$F16,MOD(DC$12,7)&gt;1,NOT(COUNTIF(General!$U$13:$U$19,DC$12))),$I16,"")</f>
        <v/>
      </c>
      <c r="DD16" s="390" t="str">
        <f>IF(AND(DD$12&gt;=$E16,DD$12&lt;=$F16,MOD(DD$12,7)&gt;1,NOT(COUNTIF(General!$U$13:$U$19,DD$12))),$I16,"")</f>
        <v/>
      </c>
      <c r="DE16" s="390" t="str">
        <f>IF(AND(DE$12&gt;=$E16,DE$12&lt;=$F16,MOD(DE$12,7)&gt;1,NOT(COUNTIF(General!$U$13:$U$19,DE$12))),$I16,"")</f>
        <v/>
      </c>
      <c r="DF16" s="390" t="str">
        <f>IF(AND(DF$12&gt;=$E16,DF$12&lt;=$F16,MOD(DF$12,7)&gt;1,NOT(COUNTIF(General!$U$13:$U$19,DF$12))),$I16,"")</f>
        <v/>
      </c>
      <c r="DG16" s="390" t="str">
        <f>IF(AND(DG$12&gt;=$E16,DG$12&lt;=$F16,MOD(DG$12,7)&gt;1,NOT(COUNTIF(General!$U$13:$U$19,DG$12))),$I16,"")</f>
        <v/>
      </c>
      <c r="DH16" s="390" t="str">
        <f>IF(AND(DH$12&gt;=$E16,DH$12&lt;=$F16,MOD(DH$12,7)&gt;1,NOT(COUNTIF(General!$U$13:$U$19,DH$12))),$I16,"")</f>
        <v/>
      </c>
      <c r="DI16" s="390" t="str">
        <f>IF(AND(DI$12&gt;=$E16,DI$12&lt;=$F16,MOD(DI$12,7)&gt;1,NOT(COUNTIF(General!$U$13:$U$19,DI$12))),$I16,"")</f>
        <v/>
      </c>
      <c r="DJ16" s="390" t="str">
        <f>IF(AND(DJ$12&gt;=$E16,DJ$12&lt;=$F16,MOD(DJ$12,7)&gt;1,NOT(COUNTIF(General!$U$13:$U$19,DJ$12))),$I16,"")</f>
        <v/>
      </c>
      <c r="DK16" s="390" t="str">
        <f>IF(AND(DK$12&gt;=$E16,DK$12&lt;=$F16,MOD(DK$12,7)&gt;1,NOT(COUNTIF(General!$U$13:$U$19,DK$12))),$I16,"")</f>
        <v/>
      </c>
      <c r="DL16" s="390" t="str">
        <f>IF(AND(DL$12&gt;=$E16,DL$12&lt;=$F16,MOD(DL$12,7)&gt;1,NOT(COUNTIF(General!$U$13:$U$19,DL$12))),$I16,"")</f>
        <v/>
      </c>
      <c r="DM16" s="390" t="str">
        <f>IF(AND(DM$12&gt;=$E16,DM$12&lt;=$F16,MOD(DM$12,7)&gt;1,NOT(COUNTIF(General!$U$13:$U$19,DM$12))),$I16,"")</f>
        <v/>
      </c>
      <c r="DN16" s="390" t="str">
        <f>IF(AND(DN$12&gt;=$E16,DN$12&lt;=$F16,MOD(DN$12,7)&gt;1,NOT(COUNTIF(General!$U$13:$U$19,DN$12))),$I16,"")</f>
        <v/>
      </c>
      <c r="DO16" s="390" t="str">
        <f>IF(AND(DO$12&gt;=$E16,DO$12&lt;=$F16,MOD(DO$12,7)&gt;1,NOT(COUNTIF(General!$U$13:$U$19,DO$12))),$I16,"")</f>
        <v/>
      </c>
      <c r="DP16" s="390" t="str">
        <f>IF(AND(DP$12&gt;=$E16,DP$12&lt;=$F16,MOD(DP$12,7)&gt;1,NOT(COUNTIF(General!$U$13:$U$19,DP$12))),$I16,"")</f>
        <v/>
      </c>
      <c r="DQ16" s="390" t="str">
        <f>IF(AND(DQ$12&gt;=$E16,DQ$12&lt;=$F16,MOD(DQ$12,7)&gt;1,NOT(COUNTIF(General!$U$13:$U$19,DQ$12))),$I16,"")</f>
        <v/>
      </c>
      <c r="DR16" s="390" t="str">
        <f>IF(AND(DR$12&gt;=$E16,DR$12&lt;=$F16,MOD(DR$12,7)&gt;1,NOT(COUNTIF(General!$U$13:$U$19,DR$12))),$I16,"")</f>
        <v/>
      </c>
      <c r="DS16" s="390" t="str">
        <f>IF(AND(DS$12&gt;=$E16,DS$12&lt;=$F16,MOD(DS$12,7)&gt;1,NOT(COUNTIF(General!$U$13:$U$19,DS$12))),$I16,"")</f>
        <v/>
      </c>
      <c r="DT16" s="390" t="str">
        <f>IF(AND(DT$12&gt;=$E16,DT$12&lt;=$F16,MOD(DT$12,7)&gt;1,NOT(COUNTIF(General!$U$13:$U$19,DT$12))),$I16,"")</f>
        <v/>
      </c>
      <c r="DU16" s="390" t="str">
        <f>IF(AND(DU$12&gt;=$E16,DU$12&lt;=$F16,MOD(DU$12,7)&gt;1,NOT(COUNTIF(General!$U$13:$U$19,DU$12))),$I16,"")</f>
        <v/>
      </c>
      <c r="DV16" s="390" t="str">
        <f>IF(AND(DV$12&gt;=$E16,DV$12&lt;=$F16,MOD(DV$12,7)&gt;1,NOT(COUNTIF(General!$U$13:$U$19,DV$12))),$I16,"")</f>
        <v/>
      </c>
      <c r="DW16" s="390" t="str">
        <f>IF(AND(DW$12&gt;=$E16,DW$12&lt;=$F16,MOD(DW$12,7)&gt;1,NOT(COUNTIF(General!$U$13:$U$19,DW$12))),$I16,"")</f>
        <v/>
      </c>
      <c r="DX16" s="390" t="str">
        <f>IF(AND(DX$12&gt;=$E16,DX$12&lt;=$F16,MOD(DX$12,7)&gt;1,NOT(COUNTIF(General!$U$13:$U$19,DX$12))),$I16,"")</f>
        <v/>
      </c>
      <c r="DY16" s="390" t="str">
        <f>IF(AND(DY$12&gt;=$E16,DY$12&lt;=$F16,MOD(DY$12,7)&gt;1,NOT(COUNTIF(General!$U$13:$U$19,DY$12))),$I16,"")</f>
        <v/>
      </c>
      <c r="DZ16" s="390" t="str">
        <f>IF(AND(DZ$12&gt;=$E16,DZ$12&lt;=$F16,MOD(DZ$12,7)&gt;1,NOT(COUNTIF(General!$U$13:$U$19,DZ$12))),$I16,"")</f>
        <v/>
      </c>
      <c r="EA16" s="390" t="str">
        <f>IF(AND(EA$12&gt;=$E16,EA$12&lt;=$F16,MOD(EA$12,7)&gt;1,NOT(COUNTIF(General!$U$13:$U$19,EA$12))),$I16,"")</f>
        <v/>
      </c>
      <c r="EB16" s="390" t="str">
        <f>IF(AND(EB$12&gt;=$E16,EB$12&lt;=$F16,MOD(EB$12,7)&gt;1,NOT(COUNTIF(General!$U$13:$U$19,EB$12))),$I16,"")</f>
        <v/>
      </c>
      <c r="EC16" s="390" t="str">
        <f>IF(AND(EC$12&gt;=$E16,EC$12&lt;=$F16,MOD(EC$12,7)&gt;1,NOT(COUNTIF(General!$U$13:$U$19,EC$12))),$I16,"")</f>
        <v/>
      </c>
      <c r="ED16" s="390" t="str">
        <f>IF(AND(ED$12&gt;=$E16,ED$12&lt;=$F16,MOD(ED$12,7)&gt;1,NOT(COUNTIF(General!$U$13:$U$19,ED$12))),$I16,"")</f>
        <v/>
      </c>
      <c r="EE16" s="390" t="str">
        <f>IF(AND(EE$12&gt;=$E16,EE$12&lt;=$F16,MOD(EE$12,7)&gt;1,NOT(COUNTIF(General!$U$13:$U$19,EE$12))),$I16,"")</f>
        <v/>
      </c>
      <c r="EF16" s="390" t="str">
        <f>IF(AND(EF$12&gt;=$E16,EF$12&lt;=$F16,MOD(EF$12,7)&gt;1,NOT(COUNTIF(General!$U$13:$U$19,EF$12))),$I16,"")</f>
        <v/>
      </c>
      <c r="EG16" s="390" t="str">
        <f>IF(AND(EG$12&gt;=$E16,EG$12&lt;=$F16,MOD(EG$12,7)&gt;1,NOT(COUNTIF(General!$U$13:$U$19,EG$12))),$I16,"")</f>
        <v/>
      </c>
      <c r="EH16" s="390" t="str">
        <f>IF(AND(EH$12&gt;=$E16,EH$12&lt;=$F16,MOD(EH$12,7)&gt;1,NOT(COUNTIF(General!$U$13:$U$19,EH$12))),$I16,"")</f>
        <v/>
      </c>
      <c r="EI16" s="390" t="str">
        <f>IF(AND(EI$12&gt;=$E16,EI$12&lt;=$F16,MOD(EI$12,7)&gt;1,NOT(COUNTIF(General!$U$13:$U$19,EI$12))),$I16,"")</f>
        <v/>
      </c>
      <c r="EJ16" s="390" t="str">
        <f>IF(AND(EJ$12&gt;=$E16,EJ$12&lt;=$F16,MOD(EJ$12,7)&gt;1,NOT(COUNTIF(General!$U$13:$U$19,EJ$12))),$I16,"")</f>
        <v/>
      </c>
      <c r="EK16" s="390" t="str">
        <f>IF(AND(EK$12&gt;=$E16,EK$12&lt;=$F16,MOD(EK$12,7)&gt;1,NOT(COUNTIF(General!$U$13:$U$19,EK$12))),$I16,"")</f>
        <v/>
      </c>
      <c r="EL16" s="390" t="str">
        <f>IF(AND(EL$12&gt;=$E16,EL$12&lt;=$F16,MOD(EL$12,7)&gt;1,NOT(COUNTIF(General!$U$13:$U$19,EL$12))),$I16,"")</f>
        <v/>
      </c>
      <c r="EM16" s="390" t="str">
        <f>IF(AND(EM$12&gt;=$E16,EM$12&lt;=$F16,MOD(EM$12,7)&gt;1,NOT(COUNTIF(General!$U$13:$U$19,EM$12))),$I16,"")</f>
        <v/>
      </c>
      <c r="EN16" s="390" t="str">
        <f>IF(AND(EN$12&gt;=$E16,EN$12&lt;=$F16,MOD(EN$12,7)&gt;1,NOT(COUNTIF(General!$U$13:$U$19,EN$12))),$I16,"")</f>
        <v/>
      </c>
      <c r="EO16" s="390" t="str">
        <f>IF(AND(EO$12&gt;=$E16,EO$12&lt;=$F16,MOD(EO$12,7)&gt;1,NOT(COUNTIF(General!$U$13:$U$19,EO$12))),$I16,"")</f>
        <v/>
      </c>
      <c r="EP16" s="390" t="str">
        <f>IF(AND(EP$12&gt;=$E16,EP$12&lt;=$F16,MOD(EP$12,7)&gt;1,NOT(COUNTIF(General!$U$13:$U$19,EP$12))),$I16,"")</f>
        <v/>
      </c>
      <c r="EQ16" s="390" t="str">
        <f>IF(AND(EQ$12&gt;=$E16,EQ$12&lt;=$F16,MOD(EQ$12,7)&gt;1,NOT(COUNTIF(General!$U$13:$U$19,EQ$12))),$I16,"")</f>
        <v/>
      </c>
      <c r="ER16" s="390" t="str">
        <f>IF(AND(ER$12&gt;=$E16,ER$12&lt;=$F16,MOD(ER$12,7)&gt;1,NOT(COUNTIF(General!$U$13:$U$19,ER$12))),$I16,"")</f>
        <v/>
      </c>
      <c r="ES16" s="390" t="str">
        <f>IF(AND(ES$12&gt;=$E16,ES$12&lt;=$F16,MOD(ES$12,7)&gt;1,NOT(COUNTIF(General!$U$13:$U$19,ES$12))),$I16,"")</f>
        <v/>
      </c>
      <c r="ET16" s="390" t="str">
        <f>IF(AND(ET$12&gt;=$E16,ET$12&lt;=$F16,MOD(ET$12,7)&gt;1,NOT(COUNTIF(General!$U$13:$U$19,ET$12))),$I16,"")</f>
        <v/>
      </c>
      <c r="EU16" s="390" t="str">
        <f>IF(AND(EU$12&gt;=$E16,EU$12&lt;=$F16,MOD(EU$12,7)&gt;1,NOT(COUNTIF(General!$U$13:$U$19,EU$12))),$I16,"")</f>
        <v/>
      </c>
      <c r="EV16" s="390" t="str">
        <f>IF(AND(EV$12&gt;=$E16,EV$12&lt;=$F16,MOD(EV$12,7)&gt;1,NOT(COUNTIF(General!$U$13:$U$19,EV$12))),$I16,"")</f>
        <v/>
      </c>
      <c r="EW16" s="390" t="str">
        <f>IF(AND(EW$12&gt;=$E16,EW$12&lt;=$F16,MOD(EW$12,7)&gt;1,NOT(COUNTIF(General!$U$13:$U$19,EW$12))),$I16,"")</f>
        <v/>
      </c>
      <c r="EX16" s="390" t="str">
        <f>IF(AND(EX$12&gt;=$E16,EX$12&lt;=$F16,MOD(EX$12,7)&gt;1,NOT(COUNTIF(General!$U$13:$U$19,EX$12))),$I16,"")</f>
        <v/>
      </c>
      <c r="EY16" s="390" t="str">
        <f>IF(AND(EY$12&gt;=$E16,EY$12&lt;=$F16,MOD(EY$12,7)&gt;1,NOT(COUNTIF(General!$U$13:$U$19,EY$12))),$I16,"")</f>
        <v/>
      </c>
      <c r="EZ16" s="390" t="str">
        <f>IF(AND(EZ$12&gt;=$E16,EZ$12&lt;=$F16,MOD(EZ$12,7)&gt;1,NOT(COUNTIF(General!$U$13:$U$19,EZ$12))),$I16,"")</f>
        <v/>
      </c>
      <c r="FA16" s="390" t="str">
        <f>IF(AND(FA$12&gt;=$E16,FA$12&lt;=$F16,MOD(FA$12,7)&gt;1,NOT(COUNTIF(General!$U$13:$U$19,FA$12))),$I16,"")</f>
        <v/>
      </c>
      <c r="FB16" s="390" t="str">
        <f>IF(AND(FB$12&gt;=$E16,FB$12&lt;=$F16,MOD(FB$12,7)&gt;1,NOT(COUNTIF(General!$U$13:$U$19,FB$12))),$I16,"")</f>
        <v/>
      </c>
      <c r="FC16" s="390" t="str">
        <f>IF(AND(FC$12&gt;=$E16,FC$12&lt;=$F16,MOD(FC$12,7)&gt;1,NOT(COUNTIF(General!$U$13:$U$19,FC$12))),$I16,"")</f>
        <v/>
      </c>
      <c r="FD16" s="390" t="str">
        <f>IF(AND(FD$12&gt;=$E16,FD$12&lt;=$F16,MOD(FD$12,7)&gt;1,NOT(COUNTIF(General!$U$13:$U$19,FD$12))),$I16,"")</f>
        <v/>
      </c>
      <c r="FE16" s="390" t="str">
        <f>IF(AND(FE$12&gt;=$E16,FE$12&lt;=$F16,MOD(FE$12,7)&gt;1,NOT(COUNTIF(General!$U$13:$U$19,FE$12))),$I16,"")</f>
        <v/>
      </c>
      <c r="FF16" s="390" t="str">
        <f>IF(AND(FF$12&gt;=$E16,FF$12&lt;=$F16,MOD(FF$12,7)&gt;1,NOT(COUNTIF(General!$U$13:$U$19,FF$12))),$I16,"")</f>
        <v/>
      </c>
      <c r="FG16" s="390" t="str">
        <f>IF(AND(FG$12&gt;=$E16,FG$12&lt;=$F16,MOD(FG$12,7)&gt;1,NOT(COUNTIF(General!$U$13:$U$19,FG$12))),$I16,"")</f>
        <v/>
      </c>
      <c r="FH16" s="390" t="str">
        <f>IF(AND(FH$12&gt;=$E16,FH$12&lt;=$F16,MOD(FH$12,7)&gt;1,NOT(COUNTIF(General!$U$13:$U$19,FH$12))),$I16,"")</f>
        <v/>
      </c>
      <c r="FI16" s="390" t="str">
        <f>IF(AND(FI$12&gt;=$E16,FI$12&lt;=$F16,MOD(FI$12,7)&gt;1,NOT(COUNTIF(General!$U$13:$U$19,FI$12))),$I16,"")</f>
        <v/>
      </c>
      <c r="FJ16" s="390" t="str">
        <f>IF(AND(FJ$12&gt;=$E16,FJ$12&lt;=$F16,MOD(FJ$12,7)&gt;1,NOT(COUNTIF(General!$U$13:$U$19,FJ$12))),$I16,"")</f>
        <v/>
      </c>
      <c r="FK16" s="390" t="str">
        <f>IF(AND(FK$12&gt;=$E16,FK$12&lt;=$F16,MOD(FK$12,7)&gt;1,NOT(COUNTIF(General!$U$13:$U$19,FK$12))),$I16,"")</f>
        <v/>
      </c>
      <c r="FL16" s="390" t="str">
        <f>IF(AND(FL$12&gt;=$E16,FL$12&lt;=$F16,MOD(FL$12,7)&gt;1,NOT(COUNTIF(General!$U$13:$U$19,FL$12))),$I16,"")</f>
        <v/>
      </c>
      <c r="FM16" s="390" t="str">
        <f>IF(AND(FM$12&gt;=$E16,FM$12&lt;=$F16,MOD(FM$12,7)&gt;1,NOT(COUNTIF(General!$U$13:$U$19,FM$12))),$I16,"")</f>
        <v/>
      </c>
      <c r="FN16" s="390" t="str">
        <f>IF(AND(FN$12&gt;=$E16,FN$12&lt;=$F16,MOD(FN$12,7)&gt;1,NOT(COUNTIF(General!$U$13:$U$19,FN$12))),$I16,"")</f>
        <v/>
      </c>
      <c r="FO16" s="390" t="str">
        <f>IF(AND(FO$12&gt;=$E16,FO$12&lt;=$F16,MOD(FO$12,7)&gt;1,NOT(COUNTIF(General!$U$13:$U$19,FO$12))),$I16,"")</f>
        <v/>
      </c>
      <c r="FP16" s="390" t="str">
        <f>IF(AND(FP$12&gt;=$E16,FP$12&lt;=$F16,MOD(FP$12,7)&gt;1,NOT(COUNTIF(General!$U$13:$U$19,FP$12))),$I16,"")</f>
        <v/>
      </c>
      <c r="FQ16" s="390" t="str">
        <f>IF(AND(FQ$12&gt;=$E16,FQ$12&lt;=$F16,MOD(FQ$12,7)&gt;1,NOT(COUNTIF(General!$U$13:$U$19,FQ$12))),$I16,"")</f>
        <v/>
      </c>
      <c r="FR16" s="390" t="str">
        <f>IF(AND(FR$12&gt;=$E16,FR$12&lt;=$F16,MOD(FR$12,7)&gt;1,NOT(COUNTIF(General!$U$13:$U$19,FR$12))),$I16,"")</f>
        <v/>
      </c>
      <c r="FS16" s="390" t="str">
        <f>IF(AND(FS$12&gt;=$E16,FS$12&lt;=$F16,MOD(FS$12,7)&gt;1,NOT(COUNTIF(General!$U$13:$U$19,FS$12))),$I16,"")</f>
        <v/>
      </c>
      <c r="FT16" s="390" t="str">
        <f>IF(AND(FT$12&gt;=$E16,FT$12&lt;=$F16,MOD(FT$12,7)&gt;1,NOT(COUNTIF(General!$U$13:$U$19,FT$12))),$I16,"")</f>
        <v/>
      </c>
      <c r="FU16" s="390" t="str">
        <f>IF(AND(FU$12&gt;=$E16,FU$12&lt;=$F16,MOD(FU$12,7)&gt;1,NOT(COUNTIF(General!$U$13:$U$19,FU$12))),$I16,"")</f>
        <v/>
      </c>
      <c r="FV16" s="390" t="str">
        <f>IF(AND(FV$12&gt;=$E16,FV$12&lt;=$F16,MOD(FV$12,7)&gt;1,NOT(COUNTIF(General!$U$13:$U$19,FV$12))),$I16,"")</f>
        <v/>
      </c>
      <c r="FW16" s="390" t="str">
        <f>IF(AND(FW$12&gt;=$E16,FW$12&lt;=$F16,MOD(FW$12,7)&gt;1,NOT(COUNTIF(General!$U$13:$U$19,FW$12))),$I16,"")</f>
        <v/>
      </c>
      <c r="FX16" s="390" t="str">
        <f>IF(AND(FX$12&gt;=$E16,FX$12&lt;=$F16,MOD(FX$12,7)&gt;1,NOT(COUNTIF(General!$U$13:$U$19,FX$12))),$I16,"")</f>
        <v/>
      </c>
    </row>
    <row r="17">
      <c r="A17" s="368"/>
      <c r="B17" s="369"/>
      <c r="C17" s="370"/>
      <c r="D17" s="572" t="s">
        <v>571</v>
      </c>
      <c r="E17" s="541">
        <v>43808.0</v>
      </c>
      <c r="F17" s="374">
        <f>WORKDAY(E17,ROUNDUP(G17/I17,0),General!$U$13:$U$27)-1</f>
        <v>43809</v>
      </c>
      <c r="G17" s="542">
        <f>G16*0.4</f>
        <v>1.2</v>
      </c>
      <c r="H17" s="377"/>
      <c r="I17" s="368">
        <v>1.0</v>
      </c>
      <c r="J17" s="379"/>
      <c r="K17" s="573"/>
      <c r="L17" s="573"/>
      <c r="M17" s="574"/>
      <c r="N17" s="384"/>
      <c r="O17" s="386"/>
      <c r="P17" s="575"/>
      <c r="Q17" s="390" t="str">
        <f>IF(AND(Q$12&gt;=$E17,Q$12&lt;=$F17,MOD(Q$12,7)&gt;1,NOT(COUNTIF(General!$U$13:$U$19,Q$12))),$I17,"")</f>
        <v/>
      </c>
      <c r="R17" s="390" t="str">
        <f>IF(AND(R$12&gt;=$E17,R$12&lt;=$F17,MOD(R$12,7)&gt;1,NOT(COUNTIF(General!$U$13:$U$19,R$12))),$I17,"")</f>
        <v/>
      </c>
      <c r="S17" s="390" t="str">
        <f>IF(AND(S$12&gt;=$E17,S$12&lt;=$F17,MOD(S$12,7)&gt;1,NOT(COUNTIF(General!$U$13:$U$19,S$12))),$I17,"")</f>
        <v/>
      </c>
      <c r="T17" s="390" t="str">
        <f>IF(AND(T$12&gt;=$E17,T$12&lt;=$F17,MOD(T$12,7)&gt;1,NOT(COUNTIF(General!$U$13:$U$19,T$12))),$I17,"")</f>
        <v/>
      </c>
      <c r="U17" s="390" t="str">
        <f>IF(AND(U$12&gt;=$E17,U$12&lt;=$F17,MOD(U$12,7)&gt;1,NOT(COUNTIF(General!$U$13:$U$19,U$12))),$I17,"")</f>
        <v/>
      </c>
      <c r="V17" s="390" t="str">
        <f>IF(AND(V$12&gt;=$E17,V$12&lt;=$F17,MOD(V$12,7)&gt;1,NOT(COUNTIF(General!$U$13:$U$19,V$12))),$I17,"")</f>
        <v/>
      </c>
      <c r="W17" s="390" t="str">
        <f>IF(AND(W$12&gt;=$E17,W$12&lt;=$F17,MOD(W$12,7)&gt;1,NOT(COUNTIF(General!$U$13:$U$19,W$12))),$I17,"")</f>
        <v/>
      </c>
      <c r="X17" s="390">
        <f>IF(AND(X$12&gt;=$E17,X$12&lt;=$F17,MOD(X$12,7)&gt;1,NOT(COUNTIF(General!$U$13:$U$19,X$12))),$I17,"")</f>
        <v>1</v>
      </c>
      <c r="Y17" s="390">
        <f>IF(AND(Y$12&gt;=$E17,Y$12&lt;=$F17,MOD(Y$12,7)&gt;1,NOT(COUNTIF(General!$U$13:$U$19,Y$12))),$I17,"")</f>
        <v>1</v>
      </c>
      <c r="Z17" s="390" t="str">
        <f>IF(AND(Z$12&gt;=$E17,Z$12&lt;=$F17,MOD(Z$12,7)&gt;1,NOT(COUNTIF(General!$U$13:$U$19,Z$12))),$I17,"")</f>
        <v/>
      </c>
      <c r="AA17" s="390" t="str">
        <f>IF(AND(AA$12&gt;=$E17,AA$12&lt;=$F17,MOD(AA$12,7)&gt;1,NOT(COUNTIF(General!$U$13:$U$19,AA$12))),$I17,"")</f>
        <v/>
      </c>
      <c r="AB17" s="390" t="str">
        <f>IF(AND(AB$12&gt;=$E17,AB$12&lt;=$F17,MOD(AB$12,7)&gt;1,NOT(COUNTIF(General!$U$13:$U$19,AB$12))),$I17,"")</f>
        <v/>
      </c>
      <c r="AC17" s="390" t="str">
        <f>IF(AND(AC$12&gt;=$E17,AC$12&lt;=$F17,MOD(AC$12,7)&gt;1,NOT(COUNTIF(General!$U$13:$U$19,AC$12))),$I17,"")</f>
        <v/>
      </c>
      <c r="AD17" s="390" t="str">
        <f>IF(AND(AD$12&gt;=$E17,AD$12&lt;=$F17,MOD(AD$12,7)&gt;1,NOT(COUNTIF(General!$U$13:$U$19,AD$12))),$I17,"")</f>
        <v/>
      </c>
      <c r="AE17" s="390" t="str">
        <f>IF(AND(AE$12&gt;=$E17,AE$12&lt;=$F17,MOD(AE$12,7)&gt;1,NOT(COUNTIF(General!$U$13:$U$19,AE$12))),$I17,"")</f>
        <v/>
      </c>
      <c r="AF17" s="390" t="str">
        <f>IF(AND(AF$12&gt;=$E17,AF$12&lt;=$F17,MOD(AF$12,7)&gt;1,NOT(COUNTIF(General!$U$13:$U$19,AF$12))),$I17,"")</f>
        <v/>
      </c>
      <c r="AG17" s="390" t="str">
        <f>IF(AND(AG$12&gt;=$E17,AG$12&lt;=$F17,MOD(AG$12,7)&gt;1,NOT(COUNTIF(General!$U$13:$U$19,AG$12))),$I17,"")</f>
        <v/>
      </c>
      <c r="AH17" s="390" t="str">
        <f>IF(AND(AH$12&gt;=$E17,AH$12&lt;=$F17,MOD(AH$12,7)&gt;1,NOT(COUNTIF(General!$U$13:$U$19,AH$12))),$I17,"")</f>
        <v/>
      </c>
      <c r="AI17" s="390" t="str">
        <f>IF(AND(AI$12&gt;=$E17,AI$12&lt;=$F17,MOD(AI$12,7)&gt;1,NOT(COUNTIF(General!$U$13:$U$19,AI$12))),$I17,"")</f>
        <v/>
      </c>
      <c r="AJ17" s="390" t="str">
        <f>IF(AND(AJ$12&gt;=$E17,AJ$12&lt;=$F17,MOD(AJ$12,7)&gt;1,NOT(COUNTIF(General!$U$13:$U$19,AJ$12))),$I17,"")</f>
        <v/>
      </c>
      <c r="AK17" s="390" t="str">
        <f>IF(AND(AK$12&gt;=$E17,AK$12&lt;=$F17,MOD(AK$12,7)&gt;1,NOT(COUNTIF(General!$U$13:$U$19,AK$12))),$I17,"")</f>
        <v/>
      </c>
      <c r="AL17" s="390" t="str">
        <f>IF(AND(AL$12&gt;=$E17,AL$12&lt;=$F17,MOD(AL$12,7)&gt;1,NOT(COUNTIF(General!$U$13:$U$19,AL$12))),$I17,"")</f>
        <v/>
      </c>
      <c r="AM17" s="390" t="str">
        <f>IF(AND(AM$12&gt;=$E17,AM$12&lt;=$F17,MOD(AM$12,7)&gt;1,NOT(COUNTIF(General!$U$13:$U$19,AM$12))),$I17,"")</f>
        <v/>
      </c>
      <c r="AN17" s="390" t="str">
        <f>IF(AND(AN$12&gt;=$E17,AN$12&lt;=$F17,MOD(AN$12,7)&gt;1,NOT(COUNTIF(General!$U$13:$U$19,AN$12))),$I17,"")</f>
        <v/>
      </c>
      <c r="AO17" s="390" t="str">
        <f>IF(AND(AO$12&gt;=$E17,AO$12&lt;=$F17,MOD(AO$12,7)&gt;1,NOT(COUNTIF(General!$U$13:$U$19,AO$12))),$I17,"")</f>
        <v/>
      </c>
      <c r="AP17" s="390" t="str">
        <f>IF(AND(AP$12&gt;=$E17,AP$12&lt;=$F17,MOD(AP$12,7)&gt;1,NOT(COUNTIF(General!$U$13:$U$19,AP$12))),$I17,"")</f>
        <v/>
      </c>
      <c r="AQ17" s="390" t="str">
        <f>IF(AND(AQ$12&gt;=$E17,AQ$12&lt;=$F17,MOD(AQ$12,7)&gt;1,NOT(COUNTIF(General!$U$13:$U$19,AQ$12))),$I17,"")</f>
        <v/>
      </c>
      <c r="AR17" s="390" t="str">
        <f>IF(AND(AR$12&gt;=$E17,AR$12&lt;=$F17,MOD(AR$12,7)&gt;1,NOT(COUNTIF(General!$U$13:$U$19,AR$12))),$I17,"")</f>
        <v/>
      </c>
      <c r="AS17" s="390" t="str">
        <f>IF(AND(AS$12&gt;=$E17,AS$12&lt;=$F17,MOD(AS$12,7)&gt;1,NOT(COUNTIF(General!$U$13:$U$19,AS$12))),$I17,"")</f>
        <v/>
      </c>
      <c r="AT17" s="390" t="str">
        <f>IF(AND(AT$12&gt;=$E17,AT$12&lt;=$F17,MOD(AT$12,7)&gt;1,NOT(COUNTIF(General!$U$13:$U$19,AT$12))),$I17,"")</f>
        <v/>
      </c>
      <c r="AU17" s="390" t="str">
        <f>IF(AND(AU$12&gt;=$E17,AU$12&lt;=$F17,MOD(AU$12,7)&gt;1,NOT(COUNTIF(General!$U$13:$U$19,AU$12))),$I17,"")</f>
        <v/>
      </c>
      <c r="AV17" s="390" t="str">
        <f>IF(AND(AV$12&gt;=$E17,AV$12&lt;=$F17,MOD(AV$12,7)&gt;1,NOT(COUNTIF(General!$U$13:$U$19,AV$12))),$I17,"")</f>
        <v/>
      </c>
      <c r="AW17" s="390" t="str">
        <f>IF(AND(AW$12&gt;=$E17,AW$12&lt;=$F17,MOD(AW$12,7)&gt;1,NOT(COUNTIF(General!$U$13:$U$19,AW$12))),$I17,"")</f>
        <v/>
      </c>
      <c r="AX17" s="390" t="str">
        <f>IF(AND(AX$12&gt;=$E17,AX$12&lt;=$F17,MOD(AX$12,7)&gt;1,NOT(COUNTIF(General!$U$13:$U$19,AX$12))),$I17,"")</f>
        <v/>
      </c>
      <c r="AY17" s="390" t="str">
        <f>IF(AND(AY$12&gt;=$E17,AY$12&lt;=$F17,MOD(AY$12,7)&gt;1,NOT(COUNTIF(General!$U$13:$U$19,AY$12))),$I17,"")</f>
        <v/>
      </c>
      <c r="AZ17" s="390" t="str">
        <f>IF(AND(AZ$12&gt;=$E17,AZ$12&lt;=$F17,MOD(AZ$12,7)&gt;1,NOT(COUNTIF(General!$U$13:$U$19,AZ$12))),$I17,"")</f>
        <v/>
      </c>
      <c r="BA17" s="390" t="str">
        <f>IF(AND(BA$12&gt;=$E17,BA$12&lt;=$F17,MOD(BA$12,7)&gt;1,NOT(COUNTIF(General!$U$13:$U$19,BA$12))),$I17,"")</f>
        <v/>
      </c>
      <c r="BB17" s="390" t="str">
        <f>IF(AND(BB$12&gt;=$E17,BB$12&lt;=$F17,MOD(BB$12,7)&gt;1,NOT(COUNTIF(General!$U$13:$U$19,BB$12))),$I17,"")</f>
        <v/>
      </c>
      <c r="BC17" s="390" t="str">
        <f>IF(AND(BC$12&gt;=$E17,BC$12&lt;=$F17,MOD(BC$12,7)&gt;1,NOT(COUNTIF(General!$U$13:$U$19,BC$12))),$I17,"")</f>
        <v/>
      </c>
      <c r="BD17" s="390" t="str">
        <f>IF(AND(BD$12&gt;=$E17,BD$12&lt;=$F17,MOD(BD$12,7)&gt;1,NOT(COUNTIF(General!$U$13:$U$19,BD$12))),$I17,"")</f>
        <v/>
      </c>
      <c r="BE17" s="390" t="str">
        <f>IF(AND(BE$12&gt;=$E17,BE$12&lt;=$F17,MOD(BE$12,7)&gt;1,NOT(COUNTIF(General!$U$13:$U$19,BE$12))),$I17,"")</f>
        <v/>
      </c>
      <c r="BF17" s="390" t="str">
        <f>IF(AND(BF$12&gt;=$E17,BF$12&lt;=$F17,MOD(BF$12,7)&gt;1,NOT(COUNTIF(General!$U$13:$U$19,BF$12))),$I17,"")</f>
        <v/>
      </c>
      <c r="BG17" s="390" t="str">
        <f>IF(AND(BG$12&gt;=$E17,BG$12&lt;=$F17,MOD(BG$12,7)&gt;1,NOT(COUNTIF(General!$U$13:$U$19,BG$12))),$I17,"")</f>
        <v/>
      </c>
      <c r="BH17" s="390" t="str">
        <f>IF(AND(BH$12&gt;=$E17,BH$12&lt;=$F17,MOD(BH$12,7)&gt;1,NOT(COUNTIF(General!$U$13:$U$19,BH$12))),$I17,"")</f>
        <v/>
      </c>
      <c r="BI17" s="390" t="str">
        <f>IF(AND(BI$12&gt;=$E17,BI$12&lt;=$F17,MOD(BI$12,7)&gt;1,NOT(COUNTIF(General!$U$13:$U$19,BI$12))),$I17,"")</f>
        <v/>
      </c>
      <c r="BJ17" s="390" t="str">
        <f>IF(AND(BJ$12&gt;=$E17,BJ$12&lt;=$F17,MOD(BJ$12,7)&gt;1,NOT(COUNTIF(General!$U$13:$U$19,BJ$12))),$I17,"")</f>
        <v/>
      </c>
      <c r="BK17" s="390" t="str">
        <f>IF(AND(BK$12&gt;=$E17,BK$12&lt;=$F17,MOD(BK$12,7)&gt;1,NOT(COUNTIF(General!$U$13:$U$19,BK$12))),$I17,"")</f>
        <v/>
      </c>
      <c r="BL17" s="390" t="str">
        <f>IF(AND(BL$12&gt;=$E17,BL$12&lt;=$F17,MOD(BL$12,7)&gt;1,NOT(COUNTIF(General!$U$13:$U$19,BL$12))),$I17,"")</f>
        <v/>
      </c>
      <c r="BM17" s="390" t="str">
        <f>IF(AND(BM$12&gt;=$E17,BM$12&lt;=$F17,MOD(BM$12,7)&gt;1,NOT(COUNTIF(General!$U$13:$U$19,BM$12))),$I17,"")</f>
        <v/>
      </c>
      <c r="BN17" s="390" t="str">
        <f>IF(AND(BN$12&gt;=$E17,BN$12&lt;=$F17,MOD(BN$12,7)&gt;1,NOT(COUNTIF(General!$U$13:$U$19,BN$12))),$I17,"")</f>
        <v/>
      </c>
      <c r="BO17" s="390" t="str">
        <f>IF(AND(BO$12&gt;=$E17,BO$12&lt;=$F17,MOD(BO$12,7)&gt;1,NOT(COUNTIF(General!$U$13:$U$19,BO$12))),$I17,"")</f>
        <v/>
      </c>
      <c r="BP17" s="390" t="str">
        <f>IF(AND(BP$12&gt;=$E17,BP$12&lt;=$F17,MOD(BP$12,7)&gt;1,NOT(COUNTIF(General!$U$13:$U$19,BP$12))),$I17,"")</f>
        <v/>
      </c>
      <c r="BQ17" s="390" t="str">
        <f>IF(AND(BQ$12&gt;=$E17,BQ$12&lt;=$F17,MOD(BQ$12,7)&gt;1,NOT(COUNTIF(General!$U$13:$U$19,BQ$12))),$I17,"")</f>
        <v/>
      </c>
      <c r="BR17" s="390" t="str">
        <f>IF(AND(BR$12&gt;=$E17,BR$12&lt;=$F17,MOD(BR$12,7)&gt;1,NOT(COUNTIF(General!$U$13:$U$19,BR$12))),$I17,"")</f>
        <v/>
      </c>
      <c r="BS17" s="390" t="str">
        <f>IF(AND(BS$12&gt;=$E17,BS$12&lt;=$F17,MOD(BS$12,7)&gt;1,NOT(COUNTIF(General!$U$13:$U$19,BS$12))),$I17,"")</f>
        <v/>
      </c>
      <c r="BT17" s="390" t="str">
        <f>IF(AND(BT$12&gt;=$E17,BT$12&lt;=$F17,MOD(BT$12,7)&gt;1,NOT(COUNTIF(General!$U$13:$U$19,BT$12))),$I17,"")</f>
        <v/>
      </c>
      <c r="BU17" s="390" t="str">
        <f>IF(AND(BU$12&gt;=$E17,BU$12&lt;=$F17,MOD(BU$12,7)&gt;1,NOT(COUNTIF(General!$U$13:$U$19,BU$12))),$I17,"")</f>
        <v/>
      </c>
      <c r="BV17" s="390" t="str">
        <f>IF(AND(BV$12&gt;=$E17,BV$12&lt;=$F17,MOD(BV$12,7)&gt;1,NOT(COUNTIF(General!$U$13:$U$19,BV$12))),$I17,"")</f>
        <v/>
      </c>
      <c r="BW17" s="390" t="str">
        <f>IF(AND(BW$12&gt;=$E17,BW$12&lt;=$F17,MOD(BW$12,7)&gt;1,NOT(COUNTIF(General!$U$13:$U$19,BW$12))),$I17,"")</f>
        <v/>
      </c>
      <c r="BX17" s="390" t="str">
        <f>IF(AND(BX$12&gt;=$E17,BX$12&lt;=$F17,MOD(BX$12,7)&gt;1,NOT(COUNTIF(General!$U$13:$U$19,BX$12))),$I17,"")</f>
        <v/>
      </c>
      <c r="BY17" s="390" t="str">
        <f>IF(AND(BY$12&gt;=$E17,BY$12&lt;=$F17,MOD(BY$12,7)&gt;1,NOT(COUNTIF(General!$U$13:$U$19,BY$12))),$I17,"")</f>
        <v/>
      </c>
      <c r="BZ17" s="390" t="str">
        <f>IF(AND(BZ$12&gt;=$E17,BZ$12&lt;=$F17,MOD(BZ$12,7)&gt;1,NOT(COUNTIF(General!$U$13:$U$19,BZ$12))),$I17,"")</f>
        <v/>
      </c>
      <c r="CA17" s="390" t="str">
        <f>IF(AND(CA$12&gt;=$E17,CA$12&lt;=$F17,MOD(CA$12,7)&gt;1,NOT(COUNTIF(General!$U$13:$U$19,CA$12))),$I17,"")</f>
        <v/>
      </c>
      <c r="CB17" s="390" t="str">
        <f>IF(AND(CB$12&gt;=$E17,CB$12&lt;=$F17,MOD(CB$12,7)&gt;1,NOT(COUNTIF(General!$U$13:$U$19,CB$12))),$I17,"")</f>
        <v/>
      </c>
      <c r="CC17" s="390" t="str">
        <f>IF(AND(CC$12&gt;=$E17,CC$12&lt;=$F17,MOD(CC$12,7)&gt;1,NOT(COUNTIF(General!$U$13:$U$19,CC$12))),$I17,"")</f>
        <v/>
      </c>
      <c r="CD17" s="390" t="str">
        <f>IF(AND(CD$12&gt;=$E17,CD$12&lt;=$F17,MOD(CD$12,7)&gt;1,NOT(COUNTIF(General!$U$13:$U$19,CD$12))),$I17,"")</f>
        <v/>
      </c>
      <c r="CE17" s="390" t="str">
        <f>IF(AND(CE$12&gt;=$E17,CE$12&lt;=$F17,MOD(CE$12,7)&gt;1,NOT(COUNTIF(General!$U$13:$U$19,CE$12))),$I17,"")</f>
        <v/>
      </c>
      <c r="CF17" s="390" t="str">
        <f>IF(AND(CF$12&gt;=$E17,CF$12&lt;=$F17,MOD(CF$12,7)&gt;1,NOT(COUNTIF(General!$U$13:$U$19,CF$12))),$I17,"")</f>
        <v/>
      </c>
      <c r="CG17" s="390" t="str">
        <f>IF(AND(CG$12&gt;=$E17,CG$12&lt;=$F17,MOD(CG$12,7)&gt;1,NOT(COUNTIF(General!$U$13:$U$19,CG$12))),$I17,"")</f>
        <v/>
      </c>
      <c r="CH17" s="390" t="str">
        <f>IF(AND(CH$12&gt;=$E17,CH$12&lt;=$F17,MOD(CH$12,7)&gt;1,NOT(COUNTIF(General!$U$13:$U$19,CH$12))),$I17,"")</f>
        <v/>
      </c>
      <c r="CI17" s="390" t="str">
        <f>IF(AND(CI$12&gt;=$E17,CI$12&lt;=$F17,MOD(CI$12,7)&gt;1,NOT(COUNTIF(General!$U$13:$U$19,CI$12))),$I17,"")</f>
        <v/>
      </c>
      <c r="CJ17" s="390" t="str">
        <f>IF(AND(CJ$12&gt;=$E17,CJ$12&lt;=$F17,MOD(CJ$12,7)&gt;1,NOT(COUNTIF(General!$U$13:$U$19,CJ$12))),$I17,"")</f>
        <v/>
      </c>
      <c r="CK17" s="390" t="str">
        <f>IF(AND(CK$12&gt;=$E17,CK$12&lt;=$F17,MOD(CK$12,7)&gt;1,NOT(COUNTIF(General!$U$13:$U$19,CK$12))),$I17,"")</f>
        <v/>
      </c>
      <c r="CL17" s="390" t="str">
        <f>IF(AND(CL$12&gt;=$E17,CL$12&lt;=$F17,MOD(CL$12,7)&gt;1,NOT(COUNTIF(General!$U$13:$U$19,CL$12))),$I17,"")</f>
        <v/>
      </c>
      <c r="CM17" s="390" t="str">
        <f>IF(AND(CM$12&gt;=$E17,CM$12&lt;=$F17,MOD(CM$12,7)&gt;1,NOT(COUNTIF(General!$U$13:$U$19,CM$12))),$I17,"")</f>
        <v/>
      </c>
      <c r="CN17" s="390" t="str">
        <f>IF(AND(CN$12&gt;=$E17,CN$12&lt;=$F17,MOD(CN$12,7)&gt;1,NOT(COUNTIF(General!$U$13:$U$19,CN$12))),$I17,"")</f>
        <v/>
      </c>
      <c r="CO17" s="390" t="str">
        <f>IF(AND(CO$12&gt;=$E17,CO$12&lt;=$F17,MOD(CO$12,7)&gt;1,NOT(COUNTIF(General!$U$13:$U$19,CO$12))),$I17,"")</f>
        <v/>
      </c>
      <c r="CP17" s="390" t="str">
        <f>IF(AND(CP$12&gt;=$E17,CP$12&lt;=$F17,MOD(CP$12,7)&gt;1,NOT(COUNTIF(General!$U$13:$U$19,CP$12))),$I17,"")</f>
        <v/>
      </c>
      <c r="CQ17" s="390" t="str">
        <f>IF(AND(CQ$12&gt;=$E17,CQ$12&lt;=$F17,MOD(CQ$12,7)&gt;1,NOT(COUNTIF(General!$U$13:$U$19,CQ$12))),$I17,"")</f>
        <v/>
      </c>
      <c r="CR17" s="390" t="str">
        <f>IF(AND(CR$12&gt;=$E17,CR$12&lt;=$F17,MOD(CR$12,7)&gt;1,NOT(COUNTIF(General!$U$13:$U$19,CR$12))),$I17,"")</f>
        <v/>
      </c>
      <c r="CS17" s="390" t="str">
        <f>IF(AND(CS$12&gt;=$E17,CS$12&lt;=$F17,MOD(CS$12,7)&gt;1,NOT(COUNTIF(General!$U$13:$U$19,CS$12))),$I17,"")</f>
        <v/>
      </c>
      <c r="CT17" s="390" t="str">
        <f>IF(AND(CT$12&gt;=$E17,CT$12&lt;=$F17,MOD(CT$12,7)&gt;1,NOT(COUNTIF(General!$U$13:$U$19,CT$12))),$I17,"")</f>
        <v/>
      </c>
      <c r="CU17" s="390" t="str">
        <f>IF(AND(CU$12&gt;=$E17,CU$12&lt;=$F17,MOD(CU$12,7)&gt;1,NOT(COUNTIF(General!$U$13:$U$19,CU$12))),$I17,"")</f>
        <v/>
      </c>
      <c r="CV17" s="390" t="str">
        <f>IF(AND(CV$12&gt;=$E17,CV$12&lt;=$F17,MOD(CV$12,7)&gt;1,NOT(COUNTIF(General!$U$13:$U$19,CV$12))),$I17,"")</f>
        <v/>
      </c>
      <c r="CW17" s="390" t="str">
        <f>IF(AND(CW$12&gt;=$E17,CW$12&lt;=$F17,MOD(CW$12,7)&gt;1,NOT(COUNTIF(General!$U$13:$U$19,CW$12))),$I17,"")</f>
        <v/>
      </c>
      <c r="CX17" s="390" t="str">
        <f>IF(AND(CX$12&gt;=$E17,CX$12&lt;=$F17,MOD(CX$12,7)&gt;1,NOT(COUNTIF(General!$U$13:$U$19,CX$12))),$I17,"")</f>
        <v/>
      </c>
      <c r="CY17" s="390" t="str">
        <f>IF(AND(CY$12&gt;=$E17,CY$12&lt;=$F17,MOD(CY$12,7)&gt;1,NOT(COUNTIF(General!$U$13:$U$19,CY$12))),$I17,"")</f>
        <v/>
      </c>
      <c r="CZ17" s="390" t="str">
        <f>IF(AND(CZ$12&gt;=$E17,CZ$12&lt;=$F17,MOD(CZ$12,7)&gt;1,NOT(COUNTIF(General!$U$13:$U$19,CZ$12))),$I17,"")</f>
        <v/>
      </c>
      <c r="DA17" s="390" t="str">
        <f>IF(AND(DA$12&gt;=$E17,DA$12&lt;=$F17,MOD(DA$12,7)&gt;1,NOT(COUNTIF(General!$U$13:$U$19,DA$12))),$I17,"")</f>
        <v/>
      </c>
      <c r="DB17" s="390" t="str">
        <f>IF(AND(DB$12&gt;=$E17,DB$12&lt;=$F17,MOD(DB$12,7)&gt;1,NOT(COUNTIF(General!$U$13:$U$19,DB$12))),$I17,"")</f>
        <v/>
      </c>
      <c r="DC17" s="390" t="str">
        <f>IF(AND(DC$12&gt;=$E17,DC$12&lt;=$F17,MOD(DC$12,7)&gt;1,NOT(COUNTIF(General!$U$13:$U$19,DC$12))),$I17,"")</f>
        <v/>
      </c>
      <c r="DD17" s="390" t="str">
        <f>IF(AND(DD$12&gt;=$E17,DD$12&lt;=$F17,MOD(DD$12,7)&gt;1,NOT(COUNTIF(General!$U$13:$U$19,DD$12))),$I17,"")</f>
        <v/>
      </c>
      <c r="DE17" s="390" t="str">
        <f>IF(AND(DE$12&gt;=$E17,DE$12&lt;=$F17,MOD(DE$12,7)&gt;1,NOT(COUNTIF(General!$U$13:$U$19,DE$12))),$I17,"")</f>
        <v/>
      </c>
      <c r="DF17" s="390" t="str">
        <f>IF(AND(DF$12&gt;=$E17,DF$12&lt;=$F17,MOD(DF$12,7)&gt;1,NOT(COUNTIF(General!$U$13:$U$19,DF$12))),$I17,"")</f>
        <v/>
      </c>
      <c r="DG17" s="390" t="str">
        <f>IF(AND(DG$12&gt;=$E17,DG$12&lt;=$F17,MOD(DG$12,7)&gt;1,NOT(COUNTIF(General!$U$13:$U$19,DG$12))),$I17,"")</f>
        <v/>
      </c>
      <c r="DH17" s="390" t="str">
        <f>IF(AND(DH$12&gt;=$E17,DH$12&lt;=$F17,MOD(DH$12,7)&gt;1,NOT(COUNTIF(General!$U$13:$U$19,DH$12))),$I17,"")</f>
        <v/>
      </c>
      <c r="DI17" s="390" t="str">
        <f>IF(AND(DI$12&gt;=$E17,DI$12&lt;=$F17,MOD(DI$12,7)&gt;1,NOT(COUNTIF(General!$U$13:$U$19,DI$12))),$I17,"")</f>
        <v/>
      </c>
      <c r="DJ17" s="390" t="str">
        <f>IF(AND(DJ$12&gt;=$E17,DJ$12&lt;=$F17,MOD(DJ$12,7)&gt;1,NOT(COUNTIF(General!$U$13:$U$19,DJ$12))),$I17,"")</f>
        <v/>
      </c>
      <c r="DK17" s="390" t="str">
        <f>IF(AND(DK$12&gt;=$E17,DK$12&lt;=$F17,MOD(DK$12,7)&gt;1,NOT(COUNTIF(General!$U$13:$U$19,DK$12))),$I17,"")</f>
        <v/>
      </c>
      <c r="DL17" s="390" t="str">
        <f>IF(AND(DL$12&gt;=$E17,DL$12&lt;=$F17,MOD(DL$12,7)&gt;1,NOT(COUNTIF(General!$U$13:$U$19,DL$12))),$I17,"")</f>
        <v/>
      </c>
      <c r="DM17" s="390" t="str">
        <f>IF(AND(DM$12&gt;=$E17,DM$12&lt;=$F17,MOD(DM$12,7)&gt;1,NOT(COUNTIF(General!$U$13:$U$19,DM$12))),$I17,"")</f>
        <v/>
      </c>
      <c r="DN17" s="390" t="str">
        <f>IF(AND(DN$12&gt;=$E17,DN$12&lt;=$F17,MOD(DN$12,7)&gt;1,NOT(COUNTIF(General!$U$13:$U$19,DN$12))),$I17,"")</f>
        <v/>
      </c>
      <c r="DO17" s="390" t="str">
        <f>IF(AND(DO$12&gt;=$E17,DO$12&lt;=$F17,MOD(DO$12,7)&gt;1,NOT(COUNTIF(General!$U$13:$U$19,DO$12))),$I17,"")</f>
        <v/>
      </c>
      <c r="DP17" s="390" t="str">
        <f>IF(AND(DP$12&gt;=$E17,DP$12&lt;=$F17,MOD(DP$12,7)&gt;1,NOT(COUNTIF(General!$U$13:$U$19,DP$12))),$I17,"")</f>
        <v/>
      </c>
      <c r="DQ17" s="390" t="str">
        <f>IF(AND(DQ$12&gt;=$E17,DQ$12&lt;=$F17,MOD(DQ$12,7)&gt;1,NOT(COUNTIF(General!$U$13:$U$19,DQ$12))),$I17,"")</f>
        <v/>
      </c>
      <c r="DR17" s="390" t="str">
        <f>IF(AND(DR$12&gt;=$E17,DR$12&lt;=$F17,MOD(DR$12,7)&gt;1,NOT(COUNTIF(General!$U$13:$U$19,DR$12))),$I17,"")</f>
        <v/>
      </c>
      <c r="DS17" s="390" t="str">
        <f>IF(AND(DS$12&gt;=$E17,DS$12&lt;=$F17,MOD(DS$12,7)&gt;1,NOT(COUNTIF(General!$U$13:$U$19,DS$12))),$I17,"")</f>
        <v/>
      </c>
      <c r="DT17" s="390" t="str">
        <f>IF(AND(DT$12&gt;=$E17,DT$12&lt;=$F17,MOD(DT$12,7)&gt;1,NOT(COUNTIF(General!$U$13:$U$19,DT$12))),$I17,"")</f>
        <v/>
      </c>
      <c r="DU17" s="390" t="str">
        <f>IF(AND(DU$12&gt;=$E17,DU$12&lt;=$F17,MOD(DU$12,7)&gt;1,NOT(COUNTIF(General!$U$13:$U$19,DU$12))),$I17,"")</f>
        <v/>
      </c>
      <c r="DV17" s="390" t="str">
        <f>IF(AND(DV$12&gt;=$E17,DV$12&lt;=$F17,MOD(DV$12,7)&gt;1,NOT(COUNTIF(General!$U$13:$U$19,DV$12))),$I17,"")</f>
        <v/>
      </c>
      <c r="DW17" s="390" t="str">
        <f>IF(AND(DW$12&gt;=$E17,DW$12&lt;=$F17,MOD(DW$12,7)&gt;1,NOT(COUNTIF(General!$U$13:$U$19,DW$12))),$I17,"")</f>
        <v/>
      </c>
      <c r="DX17" s="390" t="str">
        <f>IF(AND(DX$12&gt;=$E17,DX$12&lt;=$F17,MOD(DX$12,7)&gt;1,NOT(COUNTIF(General!$U$13:$U$19,DX$12))),$I17,"")</f>
        <v/>
      </c>
      <c r="DY17" s="390" t="str">
        <f>IF(AND(DY$12&gt;=$E17,DY$12&lt;=$F17,MOD(DY$12,7)&gt;1,NOT(COUNTIF(General!$U$13:$U$19,DY$12))),$I17,"")</f>
        <v/>
      </c>
      <c r="DZ17" s="390" t="str">
        <f>IF(AND(DZ$12&gt;=$E17,DZ$12&lt;=$F17,MOD(DZ$12,7)&gt;1,NOT(COUNTIF(General!$U$13:$U$19,DZ$12))),$I17,"")</f>
        <v/>
      </c>
      <c r="EA17" s="390" t="str">
        <f>IF(AND(EA$12&gt;=$E17,EA$12&lt;=$F17,MOD(EA$12,7)&gt;1,NOT(COUNTIF(General!$U$13:$U$19,EA$12))),$I17,"")</f>
        <v/>
      </c>
      <c r="EB17" s="390" t="str">
        <f>IF(AND(EB$12&gt;=$E17,EB$12&lt;=$F17,MOD(EB$12,7)&gt;1,NOT(COUNTIF(General!$U$13:$U$19,EB$12))),$I17,"")</f>
        <v/>
      </c>
      <c r="EC17" s="390" t="str">
        <f>IF(AND(EC$12&gt;=$E17,EC$12&lt;=$F17,MOD(EC$12,7)&gt;1,NOT(COUNTIF(General!$U$13:$U$19,EC$12))),$I17,"")</f>
        <v/>
      </c>
      <c r="ED17" s="390" t="str">
        <f>IF(AND(ED$12&gt;=$E17,ED$12&lt;=$F17,MOD(ED$12,7)&gt;1,NOT(COUNTIF(General!$U$13:$U$19,ED$12))),$I17,"")</f>
        <v/>
      </c>
      <c r="EE17" s="390" t="str">
        <f>IF(AND(EE$12&gt;=$E17,EE$12&lt;=$F17,MOD(EE$12,7)&gt;1,NOT(COUNTIF(General!$U$13:$U$19,EE$12))),$I17,"")</f>
        <v/>
      </c>
      <c r="EF17" s="390" t="str">
        <f>IF(AND(EF$12&gt;=$E17,EF$12&lt;=$F17,MOD(EF$12,7)&gt;1,NOT(COUNTIF(General!$U$13:$U$19,EF$12))),$I17,"")</f>
        <v/>
      </c>
      <c r="EG17" s="390" t="str">
        <f>IF(AND(EG$12&gt;=$E17,EG$12&lt;=$F17,MOD(EG$12,7)&gt;1,NOT(COUNTIF(General!$U$13:$U$19,EG$12))),$I17,"")</f>
        <v/>
      </c>
      <c r="EH17" s="390" t="str">
        <f>IF(AND(EH$12&gt;=$E17,EH$12&lt;=$F17,MOD(EH$12,7)&gt;1,NOT(COUNTIF(General!$U$13:$U$19,EH$12))),$I17,"")</f>
        <v/>
      </c>
      <c r="EI17" s="390" t="str">
        <f>IF(AND(EI$12&gt;=$E17,EI$12&lt;=$F17,MOD(EI$12,7)&gt;1,NOT(COUNTIF(General!$U$13:$U$19,EI$12))),$I17,"")</f>
        <v/>
      </c>
      <c r="EJ17" s="390" t="str">
        <f>IF(AND(EJ$12&gt;=$E17,EJ$12&lt;=$F17,MOD(EJ$12,7)&gt;1,NOT(COUNTIF(General!$U$13:$U$19,EJ$12))),$I17,"")</f>
        <v/>
      </c>
      <c r="EK17" s="390" t="str">
        <f>IF(AND(EK$12&gt;=$E17,EK$12&lt;=$F17,MOD(EK$12,7)&gt;1,NOT(COUNTIF(General!$U$13:$U$19,EK$12))),$I17,"")</f>
        <v/>
      </c>
      <c r="EL17" s="390" t="str">
        <f>IF(AND(EL$12&gt;=$E17,EL$12&lt;=$F17,MOD(EL$12,7)&gt;1,NOT(COUNTIF(General!$U$13:$U$19,EL$12))),$I17,"")</f>
        <v/>
      </c>
      <c r="EM17" s="390" t="str">
        <f>IF(AND(EM$12&gt;=$E17,EM$12&lt;=$F17,MOD(EM$12,7)&gt;1,NOT(COUNTIF(General!$U$13:$U$19,EM$12))),$I17,"")</f>
        <v/>
      </c>
      <c r="EN17" s="390" t="str">
        <f>IF(AND(EN$12&gt;=$E17,EN$12&lt;=$F17,MOD(EN$12,7)&gt;1,NOT(COUNTIF(General!$U$13:$U$19,EN$12))),$I17,"")</f>
        <v/>
      </c>
      <c r="EO17" s="390" t="str">
        <f>IF(AND(EO$12&gt;=$E17,EO$12&lt;=$F17,MOD(EO$12,7)&gt;1,NOT(COUNTIF(General!$U$13:$U$19,EO$12))),$I17,"")</f>
        <v/>
      </c>
      <c r="EP17" s="390" t="str">
        <f>IF(AND(EP$12&gt;=$E17,EP$12&lt;=$F17,MOD(EP$12,7)&gt;1,NOT(COUNTIF(General!$U$13:$U$19,EP$12))),$I17,"")</f>
        <v/>
      </c>
      <c r="EQ17" s="390" t="str">
        <f>IF(AND(EQ$12&gt;=$E17,EQ$12&lt;=$F17,MOD(EQ$12,7)&gt;1,NOT(COUNTIF(General!$U$13:$U$19,EQ$12))),$I17,"")</f>
        <v/>
      </c>
      <c r="ER17" s="390" t="str">
        <f>IF(AND(ER$12&gt;=$E17,ER$12&lt;=$F17,MOD(ER$12,7)&gt;1,NOT(COUNTIF(General!$U$13:$U$19,ER$12))),$I17,"")</f>
        <v/>
      </c>
      <c r="ES17" s="390" t="str">
        <f>IF(AND(ES$12&gt;=$E17,ES$12&lt;=$F17,MOD(ES$12,7)&gt;1,NOT(COUNTIF(General!$U$13:$U$19,ES$12))),$I17,"")</f>
        <v/>
      </c>
      <c r="ET17" s="390" t="str">
        <f>IF(AND(ET$12&gt;=$E17,ET$12&lt;=$F17,MOD(ET$12,7)&gt;1,NOT(COUNTIF(General!$U$13:$U$19,ET$12))),$I17,"")</f>
        <v/>
      </c>
      <c r="EU17" s="390" t="str">
        <f>IF(AND(EU$12&gt;=$E17,EU$12&lt;=$F17,MOD(EU$12,7)&gt;1,NOT(COUNTIF(General!$U$13:$U$19,EU$12))),$I17,"")</f>
        <v/>
      </c>
      <c r="EV17" s="390" t="str">
        <f>IF(AND(EV$12&gt;=$E17,EV$12&lt;=$F17,MOD(EV$12,7)&gt;1,NOT(COUNTIF(General!$U$13:$U$19,EV$12))),$I17,"")</f>
        <v/>
      </c>
      <c r="EW17" s="390" t="str">
        <f>IF(AND(EW$12&gt;=$E17,EW$12&lt;=$F17,MOD(EW$12,7)&gt;1,NOT(COUNTIF(General!$U$13:$U$19,EW$12))),$I17,"")</f>
        <v/>
      </c>
      <c r="EX17" s="390" t="str">
        <f>IF(AND(EX$12&gt;=$E17,EX$12&lt;=$F17,MOD(EX$12,7)&gt;1,NOT(COUNTIF(General!$U$13:$U$19,EX$12))),$I17,"")</f>
        <v/>
      </c>
      <c r="EY17" s="390" t="str">
        <f>IF(AND(EY$12&gt;=$E17,EY$12&lt;=$F17,MOD(EY$12,7)&gt;1,NOT(COUNTIF(General!$U$13:$U$19,EY$12))),$I17,"")</f>
        <v/>
      </c>
      <c r="EZ17" s="390" t="str">
        <f>IF(AND(EZ$12&gt;=$E17,EZ$12&lt;=$F17,MOD(EZ$12,7)&gt;1,NOT(COUNTIF(General!$U$13:$U$19,EZ$12))),$I17,"")</f>
        <v/>
      </c>
      <c r="FA17" s="390" t="str">
        <f>IF(AND(FA$12&gt;=$E17,FA$12&lt;=$F17,MOD(FA$12,7)&gt;1,NOT(COUNTIF(General!$U$13:$U$19,FA$12))),$I17,"")</f>
        <v/>
      </c>
      <c r="FB17" s="390" t="str">
        <f>IF(AND(FB$12&gt;=$E17,FB$12&lt;=$F17,MOD(FB$12,7)&gt;1,NOT(COUNTIF(General!$U$13:$U$19,FB$12))),$I17,"")</f>
        <v/>
      </c>
      <c r="FC17" s="390" t="str">
        <f>IF(AND(FC$12&gt;=$E17,FC$12&lt;=$F17,MOD(FC$12,7)&gt;1,NOT(COUNTIF(General!$U$13:$U$19,FC$12))),$I17,"")</f>
        <v/>
      </c>
      <c r="FD17" s="390" t="str">
        <f>IF(AND(FD$12&gt;=$E17,FD$12&lt;=$F17,MOD(FD$12,7)&gt;1,NOT(COUNTIF(General!$U$13:$U$19,FD$12))),$I17,"")</f>
        <v/>
      </c>
      <c r="FE17" s="390" t="str">
        <f>IF(AND(FE$12&gt;=$E17,FE$12&lt;=$F17,MOD(FE$12,7)&gt;1,NOT(COUNTIF(General!$U$13:$U$19,FE$12))),$I17,"")</f>
        <v/>
      </c>
      <c r="FF17" s="390" t="str">
        <f>IF(AND(FF$12&gt;=$E17,FF$12&lt;=$F17,MOD(FF$12,7)&gt;1,NOT(COUNTIF(General!$U$13:$U$19,FF$12))),$I17,"")</f>
        <v/>
      </c>
      <c r="FG17" s="390" t="str">
        <f>IF(AND(FG$12&gt;=$E17,FG$12&lt;=$F17,MOD(FG$12,7)&gt;1,NOT(COUNTIF(General!$U$13:$U$19,FG$12))),$I17,"")</f>
        <v/>
      </c>
      <c r="FH17" s="390" t="str">
        <f>IF(AND(FH$12&gt;=$E17,FH$12&lt;=$F17,MOD(FH$12,7)&gt;1,NOT(COUNTIF(General!$U$13:$U$19,FH$12))),$I17,"")</f>
        <v/>
      </c>
      <c r="FI17" s="390" t="str">
        <f>IF(AND(FI$12&gt;=$E17,FI$12&lt;=$F17,MOD(FI$12,7)&gt;1,NOT(COUNTIF(General!$U$13:$U$19,FI$12))),$I17,"")</f>
        <v/>
      </c>
      <c r="FJ17" s="390" t="str">
        <f>IF(AND(FJ$12&gt;=$E17,FJ$12&lt;=$F17,MOD(FJ$12,7)&gt;1,NOT(COUNTIF(General!$U$13:$U$19,FJ$12))),$I17,"")</f>
        <v/>
      </c>
      <c r="FK17" s="390" t="str">
        <f>IF(AND(FK$12&gt;=$E17,FK$12&lt;=$F17,MOD(FK$12,7)&gt;1,NOT(COUNTIF(General!$U$13:$U$19,FK$12))),$I17,"")</f>
        <v/>
      </c>
      <c r="FL17" s="390" t="str">
        <f>IF(AND(FL$12&gt;=$E17,FL$12&lt;=$F17,MOD(FL$12,7)&gt;1,NOT(COUNTIF(General!$U$13:$U$19,FL$12))),$I17,"")</f>
        <v/>
      </c>
      <c r="FM17" s="390" t="str">
        <f>IF(AND(FM$12&gt;=$E17,FM$12&lt;=$F17,MOD(FM$12,7)&gt;1,NOT(COUNTIF(General!$U$13:$U$19,FM$12))),$I17,"")</f>
        <v/>
      </c>
      <c r="FN17" s="390" t="str">
        <f>IF(AND(FN$12&gt;=$E17,FN$12&lt;=$F17,MOD(FN$12,7)&gt;1,NOT(COUNTIF(General!$U$13:$U$19,FN$12))),$I17,"")</f>
        <v/>
      </c>
      <c r="FO17" s="390" t="str">
        <f>IF(AND(FO$12&gt;=$E17,FO$12&lt;=$F17,MOD(FO$12,7)&gt;1,NOT(COUNTIF(General!$U$13:$U$19,FO$12))),$I17,"")</f>
        <v/>
      </c>
      <c r="FP17" s="390" t="str">
        <f>IF(AND(FP$12&gt;=$E17,FP$12&lt;=$F17,MOD(FP$12,7)&gt;1,NOT(COUNTIF(General!$U$13:$U$19,FP$12))),$I17,"")</f>
        <v/>
      </c>
      <c r="FQ17" s="390" t="str">
        <f>IF(AND(FQ$12&gt;=$E17,FQ$12&lt;=$F17,MOD(FQ$12,7)&gt;1,NOT(COUNTIF(General!$U$13:$U$19,FQ$12))),$I17,"")</f>
        <v/>
      </c>
      <c r="FR17" s="390" t="str">
        <f>IF(AND(FR$12&gt;=$E17,FR$12&lt;=$F17,MOD(FR$12,7)&gt;1,NOT(COUNTIF(General!$U$13:$U$19,FR$12))),$I17,"")</f>
        <v/>
      </c>
      <c r="FS17" s="390" t="str">
        <f>IF(AND(FS$12&gt;=$E17,FS$12&lt;=$F17,MOD(FS$12,7)&gt;1,NOT(COUNTIF(General!$U$13:$U$19,FS$12))),$I17,"")</f>
        <v/>
      </c>
      <c r="FT17" s="390" t="str">
        <f>IF(AND(FT$12&gt;=$E17,FT$12&lt;=$F17,MOD(FT$12,7)&gt;1,NOT(COUNTIF(General!$U$13:$U$19,FT$12))),$I17,"")</f>
        <v/>
      </c>
      <c r="FU17" s="390" t="str">
        <f>IF(AND(FU$12&gt;=$E17,FU$12&lt;=$F17,MOD(FU$12,7)&gt;1,NOT(COUNTIF(General!$U$13:$U$19,FU$12))),$I17,"")</f>
        <v/>
      </c>
      <c r="FV17" s="390" t="str">
        <f>IF(AND(FV$12&gt;=$E17,FV$12&lt;=$F17,MOD(FV$12,7)&gt;1,NOT(COUNTIF(General!$U$13:$U$19,FV$12))),$I17,"")</f>
        <v/>
      </c>
      <c r="FW17" s="390" t="str">
        <f>IF(AND(FW$12&gt;=$E17,FW$12&lt;=$F17,MOD(FW$12,7)&gt;1,NOT(COUNTIF(General!$U$13:$U$19,FW$12))),$I17,"")</f>
        <v/>
      </c>
      <c r="FX17" s="390" t="str">
        <f>IF(AND(FX$12&gt;=$E17,FX$12&lt;=$F17,MOD(FX$12,7)&gt;1,NOT(COUNTIF(General!$U$13:$U$19,FX$12))),$I17,"")</f>
        <v/>
      </c>
    </row>
    <row r="18" ht="16.5" customHeight="1">
      <c r="A18" s="537">
        <v>389709.0</v>
      </c>
      <c r="B18" s="538" t="s">
        <v>573</v>
      </c>
      <c r="C18" s="539"/>
      <c r="D18" s="576" t="s">
        <v>574</v>
      </c>
      <c r="E18" s="541">
        <v>43801.0</v>
      </c>
      <c r="F18" s="374">
        <f>WORKDAY(E18,ROUNDUP(G18/I18,0),General!$U$13:$U$27)-1</f>
        <v>43802</v>
      </c>
      <c r="G18" s="577">
        <v>2.0</v>
      </c>
      <c r="H18" s="543"/>
      <c r="I18" s="544">
        <v>1.0</v>
      </c>
      <c r="J18" s="545"/>
      <c r="K18" s="546"/>
      <c r="L18" s="546"/>
      <c r="M18" s="547"/>
      <c r="N18" s="548"/>
      <c r="O18" s="549"/>
      <c r="P18" s="550"/>
      <c r="Q18" s="390">
        <f>IF(AND(Q$12&gt;=$E18,Q$12&lt;=$F18,MOD(Q$12,7)&gt;1,NOT(COUNTIF(General!$U$13:$U$19,Q$12))),$I18,"")</f>
        <v>1</v>
      </c>
      <c r="R18" s="390">
        <f>IF(AND(R$12&gt;=$E18,R$12&lt;=$F18,MOD(R$12,7)&gt;1,NOT(COUNTIF(General!$U$13:$U$19,R$12))),$I18,"")</f>
        <v>1</v>
      </c>
      <c r="S18" s="390" t="str">
        <f>IF(AND(S$12&gt;=$E18,S$12&lt;=$F18,MOD(S$12,7)&gt;1,NOT(COUNTIF(General!$U$13:$U$19,S$12))),$I18,"")</f>
        <v/>
      </c>
      <c r="T18" s="390" t="str">
        <f>IF(AND(T$12&gt;=$E18,T$12&lt;=$F18,MOD(T$12,7)&gt;1,NOT(COUNTIF(General!$U$13:$U$19,T$12))),$I18,"")</f>
        <v/>
      </c>
      <c r="U18" s="390" t="str">
        <f>IF(AND(U$12&gt;=$E18,U$12&lt;=$F18,MOD(U$12,7)&gt;1,NOT(COUNTIF(General!$U$13:$U$19,U$12))),$I18,"")</f>
        <v/>
      </c>
      <c r="V18" s="390" t="str">
        <f>IF(AND(V$12&gt;=$E18,V$12&lt;=$F18,MOD(V$12,7)&gt;1,NOT(COUNTIF(General!$U$13:$U$19,V$12))),$I18,"")</f>
        <v/>
      </c>
      <c r="W18" s="390" t="str">
        <f>IF(AND(W$12&gt;=$E18,W$12&lt;=$F18,MOD(W$12,7)&gt;1,NOT(COUNTIF(General!$U$13:$U$19,W$12))),$I18,"")</f>
        <v/>
      </c>
      <c r="X18" s="390" t="str">
        <f>IF(AND(X$12&gt;=$E18,X$12&lt;=$F18,MOD(X$12,7)&gt;1,NOT(COUNTIF(General!$U$13:$U$19,X$12))),$I18,"")</f>
        <v/>
      </c>
      <c r="Y18" s="390" t="str">
        <f>IF(AND(Y$12&gt;=$E18,Y$12&lt;=$F18,MOD(Y$12,7)&gt;1,NOT(COUNTIF(General!$U$13:$U$19,Y$12))),$I18,"")</f>
        <v/>
      </c>
      <c r="Z18" s="390" t="str">
        <f>IF(AND(Z$12&gt;=$E18,Z$12&lt;=$F18,MOD(Z$12,7)&gt;1,NOT(COUNTIF(General!$U$13:$U$19,Z$12))),$I18,"")</f>
        <v/>
      </c>
      <c r="AA18" s="390" t="str">
        <f>IF(AND(AA$12&gt;=$E18,AA$12&lt;=$F18,MOD(AA$12,7)&gt;1,NOT(COUNTIF(General!$U$13:$U$19,AA$12))),$I18,"")</f>
        <v/>
      </c>
      <c r="AB18" s="390" t="str">
        <f>IF(AND(AB$12&gt;=$E18,AB$12&lt;=$F18,MOD(AB$12,7)&gt;1,NOT(COUNTIF(General!$U$13:$U$19,AB$12))),$I18,"")</f>
        <v/>
      </c>
      <c r="AC18" s="390" t="str">
        <f>IF(AND(AC$12&gt;=$E18,AC$12&lt;=$F18,MOD(AC$12,7)&gt;1,NOT(COUNTIF(General!$U$13:$U$19,AC$12))),$I18,"")</f>
        <v/>
      </c>
      <c r="AD18" s="390" t="str">
        <f>IF(AND(AD$12&gt;=$E18,AD$12&lt;=$F18,MOD(AD$12,7)&gt;1,NOT(COUNTIF(General!$U$13:$U$19,AD$12))),$I18,"")</f>
        <v/>
      </c>
      <c r="AE18" s="390" t="str">
        <f>IF(AND(AE$12&gt;=$E18,AE$12&lt;=$F18,MOD(AE$12,7)&gt;1,NOT(COUNTIF(General!$U$13:$U$19,AE$12))),$I18,"")</f>
        <v/>
      </c>
      <c r="AF18" s="390" t="str">
        <f>IF(AND(AF$12&gt;=$E18,AF$12&lt;=$F18,MOD(AF$12,7)&gt;1,NOT(COUNTIF(General!$U$13:$U$19,AF$12))),$I18,"")</f>
        <v/>
      </c>
      <c r="AG18" s="390" t="str">
        <f>IF(AND(AG$12&gt;=$E18,AG$12&lt;=$F18,MOD(AG$12,7)&gt;1,NOT(COUNTIF(General!$U$13:$U$19,AG$12))),$I18,"")</f>
        <v/>
      </c>
      <c r="AH18" s="390" t="str">
        <f>IF(AND(AH$12&gt;=$E18,AH$12&lt;=$F18,MOD(AH$12,7)&gt;1,NOT(COUNTIF(General!$U$13:$U$19,AH$12))),$I18,"")</f>
        <v/>
      </c>
      <c r="AI18" s="390" t="str">
        <f>IF(AND(AI$12&gt;=$E18,AI$12&lt;=$F18,MOD(AI$12,7)&gt;1,NOT(COUNTIF(General!$U$13:$U$19,AI$12))),$I18,"")</f>
        <v/>
      </c>
      <c r="AJ18" s="390" t="str">
        <f>IF(AND(AJ$12&gt;=$E18,AJ$12&lt;=$F18,MOD(AJ$12,7)&gt;1,NOT(COUNTIF(General!$U$13:$U$19,AJ$12))),$I18,"")</f>
        <v/>
      </c>
      <c r="AK18" s="390" t="str">
        <f>IF(AND(AK$12&gt;=$E18,AK$12&lt;=$F18,MOD(AK$12,7)&gt;1,NOT(COUNTIF(General!$U$13:$U$19,AK$12))),$I18,"")</f>
        <v/>
      </c>
      <c r="AL18" s="390" t="str">
        <f>IF(AND(AL$12&gt;=$E18,AL$12&lt;=$F18,MOD(AL$12,7)&gt;1,NOT(COUNTIF(General!$U$13:$U$19,AL$12))),$I18,"")</f>
        <v/>
      </c>
      <c r="AM18" s="390" t="str">
        <f>IF(AND(AM$12&gt;=$E18,AM$12&lt;=$F18,MOD(AM$12,7)&gt;1,NOT(COUNTIF(General!$U$13:$U$19,AM$12))),$I18,"")</f>
        <v/>
      </c>
      <c r="AN18" s="390" t="str">
        <f>IF(AND(AN$12&gt;=$E18,AN$12&lt;=$F18,MOD(AN$12,7)&gt;1,NOT(COUNTIF(General!$U$13:$U$19,AN$12))),$I18,"")</f>
        <v/>
      </c>
      <c r="AO18" s="390" t="str">
        <f>IF(AND(AO$12&gt;=$E18,AO$12&lt;=$F18,MOD(AO$12,7)&gt;1,NOT(COUNTIF(General!$U$13:$U$19,AO$12))),$I18,"")</f>
        <v/>
      </c>
      <c r="AP18" s="390" t="str">
        <f>IF(AND(AP$12&gt;=$E18,AP$12&lt;=$F18,MOD(AP$12,7)&gt;1,NOT(COUNTIF(General!$U$13:$U$19,AP$12))),$I18,"")</f>
        <v/>
      </c>
      <c r="AQ18" s="390" t="str">
        <f>IF(AND(AQ$12&gt;=$E18,AQ$12&lt;=$F18,MOD(AQ$12,7)&gt;1,NOT(COUNTIF(General!$U$13:$U$19,AQ$12))),$I18,"")</f>
        <v/>
      </c>
      <c r="AR18" s="390" t="str">
        <f>IF(AND(AR$12&gt;=$E18,AR$12&lt;=$F18,MOD(AR$12,7)&gt;1,NOT(COUNTIF(General!$U$13:$U$19,AR$12))),$I18,"")</f>
        <v/>
      </c>
      <c r="AS18" s="390" t="str">
        <f>IF(AND(AS$12&gt;=$E18,AS$12&lt;=$F18,MOD(AS$12,7)&gt;1,NOT(COUNTIF(General!$U$13:$U$19,AS$12))),$I18,"")</f>
        <v/>
      </c>
      <c r="AT18" s="390" t="str">
        <f>IF(AND(AT$12&gt;=$E18,AT$12&lt;=$F18,MOD(AT$12,7)&gt;1,NOT(COUNTIF(General!$U$13:$U$19,AT$12))),$I18,"")</f>
        <v/>
      </c>
      <c r="AU18" s="390" t="str">
        <f>IF(AND(AU$12&gt;=$E18,AU$12&lt;=$F18,MOD(AU$12,7)&gt;1,NOT(COUNTIF(General!$U$13:$U$19,AU$12))),$I18,"")</f>
        <v/>
      </c>
      <c r="AV18" s="390" t="str">
        <f>IF(AND(AV$12&gt;=$E18,AV$12&lt;=$F18,MOD(AV$12,7)&gt;1,NOT(COUNTIF(General!$U$13:$U$19,AV$12))),$I18,"")</f>
        <v/>
      </c>
      <c r="AW18" s="390" t="str">
        <f>IF(AND(AW$12&gt;=$E18,AW$12&lt;=$F18,MOD(AW$12,7)&gt;1,NOT(COUNTIF(General!$U$13:$U$19,AW$12))),$I18,"")</f>
        <v/>
      </c>
      <c r="AX18" s="390" t="str">
        <f>IF(AND(AX$12&gt;=$E18,AX$12&lt;=$F18,MOD(AX$12,7)&gt;1,NOT(COUNTIF(General!$U$13:$U$19,AX$12))),$I18,"")</f>
        <v/>
      </c>
      <c r="AY18" s="390" t="str">
        <f>IF(AND(AY$12&gt;=$E18,AY$12&lt;=$F18,MOD(AY$12,7)&gt;1,NOT(COUNTIF(General!$U$13:$U$19,AY$12))),$I18,"")</f>
        <v/>
      </c>
      <c r="AZ18" s="390" t="str">
        <f>IF(AND(AZ$12&gt;=$E18,AZ$12&lt;=$F18,MOD(AZ$12,7)&gt;1,NOT(COUNTIF(General!$U$13:$U$19,AZ$12))),$I18,"")</f>
        <v/>
      </c>
      <c r="BA18" s="390" t="str">
        <f>IF(AND(BA$12&gt;=$E18,BA$12&lt;=$F18,MOD(BA$12,7)&gt;1,NOT(COUNTIF(General!$U$13:$U$19,BA$12))),$I18,"")</f>
        <v/>
      </c>
      <c r="BB18" s="390" t="str">
        <f>IF(AND(BB$12&gt;=$E18,BB$12&lt;=$F18,MOD(BB$12,7)&gt;1,NOT(COUNTIF(General!$U$13:$U$19,BB$12))),$I18,"")</f>
        <v/>
      </c>
      <c r="BC18" s="390" t="str">
        <f>IF(AND(BC$12&gt;=$E18,BC$12&lt;=$F18,MOD(BC$12,7)&gt;1,NOT(COUNTIF(General!$U$13:$U$19,BC$12))),$I18,"")</f>
        <v/>
      </c>
      <c r="BD18" s="390" t="str">
        <f>IF(AND(BD$12&gt;=$E18,BD$12&lt;=$F18,MOD(BD$12,7)&gt;1,NOT(COUNTIF(General!$U$13:$U$19,BD$12))),$I18,"")</f>
        <v/>
      </c>
      <c r="BE18" s="390" t="str">
        <f>IF(AND(BE$12&gt;=$E18,BE$12&lt;=$F18,MOD(BE$12,7)&gt;1,NOT(COUNTIF(General!$U$13:$U$19,BE$12))),$I18,"")</f>
        <v/>
      </c>
      <c r="BF18" s="390" t="str">
        <f>IF(AND(BF$12&gt;=$E18,BF$12&lt;=$F18,MOD(BF$12,7)&gt;1,NOT(COUNTIF(General!$U$13:$U$19,BF$12))),$I18,"")</f>
        <v/>
      </c>
      <c r="BG18" s="390" t="str">
        <f>IF(AND(BG$12&gt;=$E18,BG$12&lt;=$F18,MOD(BG$12,7)&gt;1,NOT(COUNTIF(General!$U$13:$U$19,BG$12))),$I18,"")</f>
        <v/>
      </c>
      <c r="BH18" s="390" t="str">
        <f>IF(AND(BH$12&gt;=$E18,BH$12&lt;=$F18,MOD(BH$12,7)&gt;1,NOT(COUNTIF(General!$U$13:$U$19,BH$12))),$I18,"")</f>
        <v/>
      </c>
      <c r="BI18" s="390" t="str">
        <f>IF(AND(BI$12&gt;=$E18,BI$12&lt;=$F18,MOD(BI$12,7)&gt;1,NOT(COUNTIF(General!$U$13:$U$19,BI$12))),$I18,"")</f>
        <v/>
      </c>
      <c r="BJ18" s="390" t="str">
        <f>IF(AND(BJ$12&gt;=$E18,BJ$12&lt;=$F18,MOD(BJ$12,7)&gt;1,NOT(COUNTIF(General!$U$13:$U$19,BJ$12))),$I18,"")</f>
        <v/>
      </c>
      <c r="BK18" s="390" t="str">
        <f>IF(AND(BK$12&gt;=$E18,BK$12&lt;=$F18,MOD(BK$12,7)&gt;1,NOT(COUNTIF(General!$U$13:$U$19,BK$12))),$I18,"")</f>
        <v/>
      </c>
      <c r="BL18" s="390" t="str">
        <f>IF(AND(BL$12&gt;=$E18,BL$12&lt;=$F18,MOD(BL$12,7)&gt;1,NOT(COUNTIF(General!$U$13:$U$19,BL$12))),$I18,"")</f>
        <v/>
      </c>
      <c r="BM18" s="390" t="str">
        <f>IF(AND(BM$12&gt;=$E18,BM$12&lt;=$F18,MOD(BM$12,7)&gt;1,NOT(COUNTIF(General!$U$13:$U$19,BM$12))),$I18,"")</f>
        <v/>
      </c>
      <c r="BN18" s="390" t="str">
        <f>IF(AND(BN$12&gt;=$E18,BN$12&lt;=$F18,MOD(BN$12,7)&gt;1,NOT(COUNTIF(General!$U$13:$U$19,BN$12))),$I18,"")</f>
        <v/>
      </c>
      <c r="BO18" s="390" t="str">
        <f>IF(AND(BO$12&gt;=$E18,BO$12&lt;=$F18,MOD(BO$12,7)&gt;1,NOT(COUNTIF(General!$U$13:$U$19,BO$12))),$I18,"")</f>
        <v/>
      </c>
      <c r="BP18" s="390" t="str">
        <f>IF(AND(BP$12&gt;=$E18,BP$12&lt;=$F18,MOD(BP$12,7)&gt;1,NOT(COUNTIF(General!$U$13:$U$19,BP$12))),$I18,"")</f>
        <v/>
      </c>
      <c r="BQ18" s="390" t="str">
        <f>IF(AND(BQ$12&gt;=$E18,BQ$12&lt;=$F18,MOD(BQ$12,7)&gt;1,NOT(COUNTIF(General!$U$13:$U$19,BQ$12))),$I18,"")</f>
        <v/>
      </c>
      <c r="BR18" s="390" t="str">
        <f>IF(AND(BR$12&gt;=$E18,BR$12&lt;=$F18,MOD(BR$12,7)&gt;1,NOT(COUNTIF(General!$U$13:$U$19,BR$12))),$I18,"")</f>
        <v/>
      </c>
      <c r="BS18" s="390" t="str">
        <f>IF(AND(BS$12&gt;=$E18,BS$12&lt;=$F18,MOD(BS$12,7)&gt;1,NOT(COUNTIF(General!$U$13:$U$19,BS$12))),$I18,"")</f>
        <v/>
      </c>
      <c r="BT18" s="390" t="str">
        <f>IF(AND(BT$12&gt;=$E18,BT$12&lt;=$F18,MOD(BT$12,7)&gt;1,NOT(COUNTIF(General!$U$13:$U$19,BT$12))),$I18,"")</f>
        <v/>
      </c>
      <c r="BU18" s="390" t="str">
        <f>IF(AND(BU$12&gt;=$E18,BU$12&lt;=$F18,MOD(BU$12,7)&gt;1,NOT(COUNTIF(General!$U$13:$U$19,BU$12))),$I18,"")</f>
        <v/>
      </c>
      <c r="BV18" s="390" t="str">
        <f>IF(AND(BV$12&gt;=$E18,BV$12&lt;=$F18,MOD(BV$12,7)&gt;1,NOT(COUNTIF(General!$U$13:$U$19,BV$12))),$I18,"")</f>
        <v/>
      </c>
      <c r="BW18" s="390" t="str">
        <f>IF(AND(BW$12&gt;=$E18,BW$12&lt;=$F18,MOD(BW$12,7)&gt;1,NOT(COUNTIF(General!$U$13:$U$19,BW$12))),$I18,"")</f>
        <v/>
      </c>
      <c r="BX18" s="390" t="str">
        <f>IF(AND(BX$12&gt;=$E18,BX$12&lt;=$F18,MOD(BX$12,7)&gt;1,NOT(COUNTIF(General!$U$13:$U$19,BX$12))),$I18,"")</f>
        <v/>
      </c>
      <c r="BY18" s="390" t="str">
        <f>IF(AND(BY$12&gt;=$E18,BY$12&lt;=$F18,MOD(BY$12,7)&gt;1,NOT(COUNTIF(General!$U$13:$U$19,BY$12))),$I18,"")</f>
        <v/>
      </c>
      <c r="BZ18" s="390" t="str">
        <f>IF(AND(BZ$12&gt;=$E18,BZ$12&lt;=$F18,MOD(BZ$12,7)&gt;1,NOT(COUNTIF(General!$U$13:$U$19,BZ$12))),$I18,"")</f>
        <v/>
      </c>
      <c r="CA18" s="390" t="str">
        <f>IF(AND(CA$12&gt;=$E18,CA$12&lt;=$F18,MOD(CA$12,7)&gt;1,NOT(COUNTIF(General!$U$13:$U$19,CA$12))),$I18,"")</f>
        <v/>
      </c>
      <c r="CB18" s="390" t="str">
        <f>IF(AND(CB$12&gt;=$E18,CB$12&lt;=$F18,MOD(CB$12,7)&gt;1,NOT(COUNTIF(General!$U$13:$U$19,CB$12))),$I18,"")</f>
        <v/>
      </c>
      <c r="CC18" s="390" t="str">
        <f>IF(AND(CC$12&gt;=$E18,CC$12&lt;=$F18,MOD(CC$12,7)&gt;1,NOT(COUNTIF(General!$U$13:$U$19,CC$12))),$I18,"")</f>
        <v/>
      </c>
      <c r="CD18" s="390" t="str">
        <f>IF(AND(CD$12&gt;=$E18,CD$12&lt;=$F18,MOD(CD$12,7)&gt;1,NOT(COUNTIF(General!$U$13:$U$19,CD$12))),$I18,"")</f>
        <v/>
      </c>
      <c r="CE18" s="390" t="str">
        <f>IF(AND(CE$12&gt;=$E18,CE$12&lt;=$F18,MOD(CE$12,7)&gt;1,NOT(COUNTIF(General!$U$13:$U$19,CE$12))),$I18,"")</f>
        <v/>
      </c>
      <c r="CF18" s="390" t="str">
        <f>IF(AND(CF$12&gt;=$E18,CF$12&lt;=$F18,MOD(CF$12,7)&gt;1,NOT(COUNTIF(General!$U$13:$U$19,CF$12))),$I18,"")</f>
        <v/>
      </c>
      <c r="CG18" s="390" t="str">
        <f>IF(AND(CG$12&gt;=$E18,CG$12&lt;=$F18,MOD(CG$12,7)&gt;1,NOT(COUNTIF(General!$U$13:$U$19,CG$12))),$I18,"")</f>
        <v/>
      </c>
      <c r="CH18" s="390" t="str">
        <f>IF(AND(CH$12&gt;=$E18,CH$12&lt;=$F18,MOD(CH$12,7)&gt;1,NOT(COUNTIF(General!$U$13:$U$19,CH$12))),$I18,"")</f>
        <v/>
      </c>
      <c r="CI18" s="390" t="str">
        <f>IF(AND(CI$12&gt;=$E18,CI$12&lt;=$F18,MOD(CI$12,7)&gt;1,NOT(COUNTIF(General!$U$13:$U$19,CI$12))),$I18,"")</f>
        <v/>
      </c>
      <c r="CJ18" s="390" t="str">
        <f>IF(AND(CJ$12&gt;=$E18,CJ$12&lt;=$F18,MOD(CJ$12,7)&gt;1,NOT(COUNTIF(General!$U$13:$U$19,CJ$12))),$I18,"")</f>
        <v/>
      </c>
      <c r="CK18" s="390" t="str">
        <f>IF(AND(CK$12&gt;=$E18,CK$12&lt;=$F18,MOD(CK$12,7)&gt;1,NOT(COUNTIF(General!$U$13:$U$19,CK$12))),$I18,"")</f>
        <v/>
      </c>
      <c r="CL18" s="390" t="str">
        <f>IF(AND(CL$12&gt;=$E18,CL$12&lt;=$F18,MOD(CL$12,7)&gt;1,NOT(COUNTIF(General!$U$13:$U$19,CL$12))),$I18,"")</f>
        <v/>
      </c>
      <c r="CM18" s="390" t="str">
        <f>IF(AND(CM$12&gt;=$E18,CM$12&lt;=$F18,MOD(CM$12,7)&gt;1,NOT(COUNTIF(General!$U$13:$U$19,CM$12))),$I18,"")</f>
        <v/>
      </c>
      <c r="CN18" s="390" t="str">
        <f>IF(AND(CN$12&gt;=$E18,CN$12&lt;=$F18,MOD(CN$12,7)&gt;1,NOT(COUNTIF(General!$U$13:$U$19,CN$12))),$I18,"")</f>
        <v/>
      </c>
      <c r="CO18" s="390" t="str">
        <f>IF(AND(CO$12&gt;=$E18,CO$12&lt;=$F18,MOD(CO$12,7)&gt;1,NOT(COUNTIF(General!$U$13:$U$19,CO$12))),$I18,"")</f>
        <v/>
      </c>
      <c r="CP18" s="390" t="str">
        <f>IF(AND(CP$12&gt;=$E18,CP$12&lt;=$F18,MOD(CP$12,7)&gt;1,NOT(COUNTIF(General!$U$13:$U$19,CP$12))),$I18,"")</f>
        <v/>
      </c>
      <c r="CQ18" s="390" t="str">
        <f>IF(AND(CQ$12&gt;=$E18,CQ$12&lt;=$F18,MOD(CQ$12,7)&gt;1,NOT(COUNTIF(General!$U$13:$U$19,CQ$12))),$I18,"")</f>
        <v/>
      </c>
      <c r="CR18" s="390" t="str">
        <f>IF(AND(CR$12&gt;=$E18,CR$12&lt;=$F18,MOD(CR$12,7)&gt;1,NOT(COUNTIF(General!$U$13:$U$19,CR$12))),$I18,"")</f>
        <v/>
      </c>
      <c r="CS18" s="390" t="str">
        <f>IF(AND(CS$12&gt;=$E18,CS$12&lt;=$F18,MOD(CS$12,7)&gt;1,NOT(COUNTIF(General!$U$13:$U$19,CS$12))),$I18,"")</f>
        <v/>
      </c>
      <c r="CT18" s="390" t="str">
        <f>IF(AND(CT$12&gt;=$E18,CT$12&lt;=$F18,MOD(CT$12,7)&gt;1,NOT(COUNTIF(General!$U$13:$U$19,CT$12))),$I18,"")</f>
        <v/>
      </c>
      <c r="CU18" s="390" t="str">
        <f>IF(AND(CU$12&gt;=$E18,CU$12&lt;=$F18,MOD(CU$12,7)&gt;1,NOT(COUNTIF(General!$U$13:$U$19,CU$12))),$I18,"")</f>
        <v/>
      </c>
      <c r="CV18" s="390" t="str">
        <f>IF(AND(CV$12&gt;=$E18,CV$12&lt;=$F18,MOD(CV$12,7)&gt;1,NOT(COUNTIF(General!$U$13:$U$19,CV$12))),$I18,"")</f>
        <v/>
      </c>
      <c r="CW18" s="390" t="str">
        <f>IF(AND(CW$12&gt;=$E18,CW$12&lt;=$F18,MOD(CW$12,7)&gt;1,NOT(COUNTIF(General!$U$13:$U$19,CW$12))),$I18,"")</f>
        <v/>
      </c>
      <c r="CX18" s="390" t="str">
        <f>IF(AND(CX$12&gt;=$E18,CX$12&lt;=$F18,MOD(CX$12,7)&gt;1,NOT(COUNTIF(General!$U$13:$U$19,CX$12))),$I18,"")</f>
        <v/>
      </c>
      <c r="CY18" s="390" t="str">
        <f>IF(AND(CY$12&gt;=$E18,CY$12&lt;=$F18,MOD(CY$12,7)&gt;1,NOT(COUNTIF(General!$U$13:$U$19,CY$12))),$I18,"")</f>
        <v/>
      </c>
      <c r="CZ18" s="390" t="str">
        <f>IF(AND(CZ$12&gt;=$E18,CZ$12&lt;=$F18,MOD(CZ$12,7)&gt;1,NOT(COUNTIF(General!$U$13:$U$19,CZ$12))),$I18,"")</f>
        <v/>
      </c>
      <c r="DA18" s="390" t="str">
        <f>IF(AND(DA$12&gt;=$E18,DA$12&lt;=$F18,MOD(DA$12,7)&gt;1,NOT(COUNTIF(General!$U$13:$U$19,DA$12))),$I18,"")</f>
        <v/>
      </c>
      <c r="DB18" s="390" t="str">
        <f>IF(AND(DB$12&gt;=$E18,DB$12&lt;=$F18,MOD(DB$12,7)&gt;1,NOT(COUNTIF(General!$U$13:$U$19,DB$12))),$I18,"")</f>
        <v/>
      </c>
      <c r="DC18" s="390" t="str">
        <f>IF(AND(DC$12&gt;=$E18,DC$12&lt;=$F18,MOD(DC$12,7)&gt;1,NOT(COUNTIF(General!$U$13:$U$19,DC$12))),$I18,"")</f>
        <v/>
      </c>
      <c r="DD18" s="390" t="str">
        <f>IF(AND(DD$12&gt;=$E18,DD$12&lt;=$F18,MOD(DD$12,7)&gt;1,NOT(COUNTIF(General!$U$13:$U$19,DD$12))),$I18,"")</f>
        <v/>
      </c>
      <c r="DE18" s="390" t="str">
        <f>IF(AND(DE$12&gt;=$E18,DE$12&lt;=$F18,MOD(DE$12,7)&gt;1,NOT(COUNTIF(General!$U$13:$U$19,DE$12))),$I18,"")</f>
        <v/>
      </c>
      <c r="DF18" s="390" t="str">
        <f>IF(AND(DF$12&gt;=$E18,DF$12&lt;=$F18,MOD(DF$12,7)&gt;1,NOT(COUNTIF(General!$U$13:$U$19,DF$12))),$I18,"")</f>
        <v/>
      </c>
      <c r="DG18" s="390" t="str">
        <f>IF(AND(DG$12&gt;=$E18,DG$12&lt;=$F18,MOD(DG$12,7)&gt;1,NOT(COUNTIF(General!$U$13:$U$19,DG$12))),$I18,"")</f>
        <v/>
      </c>
      <c r="DH18" s="390" t="str">
        <f>IF(AND(DH$12&gt;=$E18,DH$12&lt;=$F18,MOD(DH$12,7)&gt;1,NOT(COUNTIF(General!$U$13:$U$19,DH$12))),$I18,"")</f>
        <v/>
      </c>
      <c r="DI18" s="390" t="str">
        <f>IF(AND(DI$12&gt;=$E18,DI$12&lt;=$F18,MOD(DI$12,7)&gt;1,NOT(COUNTIF(General!$U$13:$U$19,DI$12))),$I18,"")</f>
        <v/>
      </c>
      <c r="DJ18" s="390" t="str">
        <f>IF(AND(DJ$12&gt;=$E18,DJ$12&lt;=$F18,MOD(DJ$12,7)&gt;1,NOT(COUNTIF(General!$U$13:$U$19,DJ$12))),$I18,"")</f>
        <v/>
      </c>
      <c r="DK18" s="390" t="str">
        <f>IF(AND(DK$12&gt;=$E18,DK$12&lt;=$F18,MOD(DK$12,7)&gt;1,NOT(COUNTIF(General!$U$13:$U$19,DK$12))),$I18,"")</f>
        <v/>
      </c>
      <c r="DL18" s="390" t="str">
        <f>IF(AND(DL$12&gt;=$E18,DL$12&lt;=$F18,MOD(DL$12,7)&gt;1,NOT(COUNTIF(General!$U$13:$U$19,DL$12))),$I18,"")</f>
        <v/>
      </c>
      <c r="DM18" s="390" t="str">
        <f>IF(AND(DM$12&gt;=$E18,DM$12&lt;=$F18,MOD(DM$12,7)&gt;1,NOT(COUNTIF(General!$U$13:$U$19,DM$12))),$I18,"")</f>
        <v/>
      </c>
      <c r="DN18" s="390" t="str">
        <f>IF(AND(DN$12&gt;=$E18,DN$12&lt;=$F18,MOD(DN$12,7)&gt;1,NOT(COUNTIF(General!$U$13:$U$19,DN$12))),$I18,"")</f>
        <v/>
      </c>
      <c r="DO18" s="390" t="str">
        <f>IF(AND(DO$12&gt;=$E18,DO$12&lt;=$F18,MOD(DO$12,7)&gt;1,NOT(COUNTIF(General!$U$13:$U$19,DO$12))),$I18,"")</f>
        <v/>
      </c>
      <c r="DP18" s="390" t="str">
        <f>IF(AND(DP$12&gt;=$E18,DP$12&lt;=$F18,MOD(DP$12,7)&gt;1,NOT(COUNTIF(General!$U$13:$U$19,DP$12))),$I18,"")</f>
        <v/>
      </c>
      <c r="DQ18" s="390" t="str">
        <f>IF(AND(DQ$12&gt;=$E18,DQ$12&lt;=$F18,MOD(DQ$12,7)&gt;1,NOT(COUNTIF(General!$U$13:$U$19,DQ$12))),$I18,"")</f>
        <v/>
      </c>
      <c r="DR18" s="390" t="str">
        <f>IF(AND(DR$12&gt;=$E18,DR$12&lt;=$F18,MOD(DR$12,7)&gt;1,NOT(COUNTIF(General!$U$13:$U$19,DR$12))),$I18,"")</f>
        <v/>
      </c>
      <c r="DS18" s="390" t="str">
        <f>IF(AND(DS$12&gt;=$E18,DS$12&lt;=$F18,MOD(DS$12,7)&gt;1,NOT(COUNTIF(General!$U$13:$U$19,DS$12))),$I18,"")</f>
        <v/>
      </c>
      <c r="DT18" s="390" t="str">
        <f>IF(AND(DT$12&gt;=$E18,DT$12&lt;=$F18,MOD(DT$12,7)&gt;1,NOT(COUNTIF(General!$U$13:$U$19,DT$12))),$I18,"")</f>
        <v/>
      </c>
      <c r="DU18" s="390" t="str">
        <f>IF(AND(DU$12&gt;=$E18,DU$12&lt;=$F18,MOD(DU$12,7)&gt;1,NOT(COUNTIF(General!$U$13:$U$19,DU$12))),$I18,"")</f>
        <v/>
      </c>
      <c r="DV18" s="390" t="str">
        <f>IF(AND(DV$12&gt;=$E18,DV$12&lt;=$F18,MOD(DV$12,7)&gt;1,NOT(COUNTIF(General!$U$13:$U$19,DV$12))),$I18,"")</f>
        <v/>
      </c>
      <c r="DW18" s="390" t="str">
        <f>IF(AND(DW$12&gt;=$E18,DW$12&lt;=$F18,MOD(DW$12,7)&gt;1,NOT(COUNTIF(General!$U$13:$U$19,DW$12))),$I18,"")</f>
        <v/>
      </c>
      <c r="DX18" s="390" t="str">
        <f>IF(AND(DX$12&gt;=$E18,DX$12&lt;=$F18,MOD(DX$12,7)&gt;1,NOT(COUNTIF(General!$U$13:$U$19,DX$12))),$I18,"")</f>
        <v/>
      </c>
      <c r="DY18" s="390" t="str">
        <f>IF(AND(DY$12&gt;=$E18,DY$12&lt;=$F18,MOD(DY$12,7)&gt;1,NOT(COUNTIF(General!$U$13:$U$19,DY$12))),$I18,"")</f>
        <v/>
      </c>
      <c r="DZ18" s="390" t="str">
        <f>IF(AND(DZ$12&gt;=$E18,DZ$12&lt;=$F18,MOD(DZ$12,7)&gt;1,NOT(COUNTIF(General!$U$13:$U$19,DZ$12))),$I18,"")</f>
        <v/>
      </c>
      <c r="EA18" s="390" t="str">
        <f>IF(AND(EA$12&gt;=$E18,EA$12&lt;=$F18,MOD(EA$12,7)&gt;1,NOT(COUNTIF(General!$U$13:$U$19,EA$12))),$I18,"")</f>
        <v/>
      </c>
      <c r="EB18" s="390" t="str">
        <f>IF(AND(EB$12&gt;=$E18,EB$12&lt;=$F18,MOD(EB$12,7)&gt;1,NOT(COUNTIF(General!$U$13:$U$19,EB$12))),$I18,"")</f>
        <v/>
      </c>
      <c r="EC18" s="390" t="str">
        <f>IF(AND(EC$12&gt;=$E18,EC$12&lt;=$F18,MOD(EC$12,7)&gt;1,NOT(COUNTIF(General!$U$13:$U$19,EC$12))),$I18,"")</f>
        <v/>
      </c>
      <c r="ED18" s="390" t="str">
        <f>IF(AND(ED$12&gt;=$E18,ED$12&lt;=$F18,MOD(ED$12,7)&gt;1,NOT(COUNTIF(General!$U$13:$U$19,ED$12))),$I18,"")</f>
        <v/>
      </c>
      <c r="EE18" s="390" t="str">
        <f>IF(AND(EE$12&gt;=$E18,EE$12&lt;=$F18,MOD(EE$12,7)&gt;1,NOT(COUNTIF(General!$U$13:$U$19,EE$12))),$I18,"")</f>
        <v/>
      </c>
      <c r="EF18" s="390" t="str">
        <f>IF(AND(EF$12&gt;=$E18,EF$12&lt;=$F18,MOD(EF$12,7)&gt;1,NOT(COUNTIF(General!$U$13:$U$19,EF$12))),$I18,"")</f>
        <v/>
      </c>
      <c r="EG18" s="390" t="str">
        <f>IF(AND(EG$12&gt;=$E18,EG$12&lt;=$F18,MOD(EG$12,7)&gt;1,NOT(COUNTIF(General!$U$13:$U$19,EG$12))),$I18,"")</f>
        <v/>
      </c>
      <c r="EH18" s="390" t="str">
        <f>IF(AND(EH$12&gt;=$E18,EH$12&lt;=$F18,MOD(EH$12,7)&gt;1,NOT(COUNTIF(General!$U$13:$U$19,EH$12))),$I18,"")</f>
        <v/>
      </c>
      <c r="EI18" s="390" t="str">
        <f>IF(AND(EI$12&gt;=$E18,EI$12&lt;=$F18,MOD(EI$12,7)&gt;1,NOT(COUNTIF(General!$U$13:$U$19,EI$12))),$I18,"")</f>
        <v/>
      </c>
      <c r="EJ18" s="390" t="str">
        <f>IF(AND(EJ$12&gt;=$E18,EJ$12&lt;=$F18,MOD(EJ$12,7)&gt;1,NOT(COUNTIF(General!$U$13:$U$19,EJ$12))),$I18,"")</f>
        <v/>
      </c>
      <c r="EK18" s="390" t="str">
        <f>IF(AND(EK$12&gt;=$E18,EK$12&lt;=$F18,MOD(EK$12,7)&gt;1,NOT(COUNTIF(General!$U$13:$U$19,EK$12))),$I18,"")</f>
        <v/>
      </c>
      <c r="EL18" s="390" t="str">
        <f>IF(AND(EL$12&gt;=$E18,EL$12&lt;=$F18,MOD(EL$12,7)&gt;1,NOT(COUNTIF(General!$U$13:$U$19,EL$12))),$I18,"")</f>
        <v/>
      </c>
      <c r="EM18" s="390" t="str">
        <f>IF(AND(EM$12&gt;=$E18,EM$12&lt;=$F18,MOD(EM$12,7)&gt;1,NOT(COUNTIF(General!$U$13:$U$19,EM$12))),$I18,"")</f>
        <v/>
      </c>
      <c r="EN18" s="390" t="str">
        <f>IF(AND(EN$12&gt;=$E18,EN$12&lt;=$F18,MOD(EN$12,7)&gt;1,NOT(COUNTIF(General!$U$13:$U$19,EN$12))),$I18,"")</f>
        <v/>
      </c>
      <c r="EO18" s="390" t="str">
        <f>IF(AND(EO$12&gt;=$E18,EO$12&lt;=$F18,MOD(EO$12,7)&gt;1,NOT(COUNTIF(General!$U$13:$U$19,EO$12))),$I18,"")</f>
        <v/>
      </c>
      <c r="EP18" s="390" t="str">
        <f>IF(AND(EP$12&gt;=$E18,EP$12&lt;=$F18,MOD(EP$12,7)&gt;1,NOT(COUNTIF(General!$U$13:$U$19,EP$12))),$I18,"")</f>
        <v/>
      </c>
      <c r="EQ18" s="390" t="str">
        <f>IF(AND(EQ$12&gt;=$E18,EQ$12&lt;=$F18,MOD(EQ$12,7)&gt;1,NOT(COUNTIF(General!$U$13:$U$19,EQ$12))),$I18,"")</f>
        <v/>
      </c>
      <c r="ER18" s="390" t="str">
        <f>IF(AND(ER$12&gt;=$E18,ER$12&lt;=$F18,MOD(ER$12,7)&gt;1,NOT(COUNTIF(General!$U$13:$U$19,ER$12))),$I18,"")</f>
        <v/>
      </c>
      <c r="ES18" s="390" t="str">
        <f>IF(AND(ES$12&gt;=$E18,ES$12&lt;=$F18,MOD(ES$12,7)&gt;1,NOT(COUNTIF(General!$U$13:$U$19,ES$12))),$I18,"")</f>
        <v/>
      </c>
      <c r="ET18" s="390" t="str">
        <f>IF(AND(ET$12&gt;=$E18,ET$12&lt;=$F18,MOD(ET$12,7)&gt;1,NOT(COUNTIF(General!$U$13:$U$19,ET$12))),$I18,"")</f>
        <v/>
      </c>
      <c r="EU18" s="390" t="str">
        <f>IF(AND(EU$12&gt;=$E18,EU$12&lt;=$F18,MOD(EU$12,7)&gt;1,NOT(COUNTIF(General!$U$13:$U$19,EU$12))),$I18,"")</f>
        <v/>
      </c>
      <c r="EV18" s="390" t="str">
        <f>IF(AND(EV$12&gt;=$E18,EV$12&lt;=$F18,MOD(EV$12,7)&gt;1,NOT(COUNTIF(General!$U$13:$U$19,EV$12))),$I18,"")</f>
        <v/>
      </c>
      <c r="EW18" s="390" t="str">
        <f>IF(AND(EW$12&gt;=$E18,EW$12&lt;=$F18,MOD(EW$12,7)&gt;1,NOT(COUNTIF(General!$U$13:$U$19,EW$12))),$I18,"")</f>
        <v/>
      </c>
      <c r="EX18" s="390" t="str">
        <f>IF(AND(EX$12&gt;=$E18,EX$12&lt;=$F18,MOD(EX$12,7)&gt;1,NOT(COUNTIF(General!$U$13:$U$19,EX$12))),$I18,"")</f>
        <v/>
      </c>
      <c r="EY18" s="390" t="str">
        <f>IF(AND(EY$12&gt;=$E18,EY$12&lt;=$F18,MOD(EY$12,7)&gt;1,NOT(COUNTIF(General!$U$13:$U$19,EY$12))),$I18,"")</f>
        <v/>
      </c>
      <c r="EZ18" s="390" t="str">
        <f>IF(AND(EZ$12&gt;=$E18,EZ$12&lt;=$F18,MOD(EZ$12,7)&gt;1,NOT(COUNTIF(General!$U$13:$U$19,EZ$12))),$I18,"")</f>
        <v/>
      </c>
      <c r="FA18" s="390" t="str">
        <f>IF(AND(FA$12&gt;=$E18,FA$12&lt;=$F18,MOD(FA$12,7)&gt;1,NOT(COUNTIF(General!$U$13:$U$19,FA$12))),$I18,"")</f>
        <v/>
      </c>
      <c r="FB18" s="390" t="str">
        <f>IF(AND(FB$12&gt;=$E18,FB$12&lt;=$F18,MOD(FB$12,7)&gt;1,NOT(COUNTIF(General!$U$13:$U$19,FB$12))),$I18,"")</f>
        <v/>
      </c>
      <c r="FC18" s="390" t="str">
        <f>IF(AND(FC$12&gt;=$E18,FC$12&lt;=$F18,MOD(FC$12,7)&gt;1,NOT(COUNTIF(General!$U$13:$U$19,FC$12))),$I18,"")</f>
        <v/>
      </c>
      <c r="FD18" s="390" t="str">
        <f>IF(AND(FD$12&gt;=$E18,FD$12&lt;=$F18,MOD(FD$12,7)&gt;1,NOT(COUNTIF(General!$U$13:$U$19,FD$12))),$I18,"")</f>
        <v/>
      </c>
      <c r="FE18" s="390" t="str">
        <f>IF(AND(FE$12&gt;=$E18,FE$12&lt;=$F18,MOD(FE$12,7)&gt;1,NOT(COUNTIF(General!$U$13:$U$19,FE$12))),$I18,"")</f>
        <v/>
      </c>
      <c r="FF18" s="390" t="str">
        <f>IF(AND(FF$12&gt;=$E18,FF$12&lt;=$F18,MOD(FF$12,7)&gt;1,NOT(COUNTIF(General!$U$13:$U$19,FF$12))),$I18,"")</f>
        <v/>
      </c>
      <c r="FG18" s="390" t="str">
        <f>IF(AND(FG$12&gt;=$E18,FG$12&lt;=$F18,MOD(FG$12,7)&gt;1,NOT(COUNTIF(General!$U$13:$U$19,FG$12))),$I18,"")</f>
        <v/>
      </c>
      <c r="FH18" s="390" t="str">
        <f>IF(AND(FH$12&gt;=$E18,FH$12&lt;=$F18,MOD(FH$12,7)&gt;1,NOT(COUNTIF(General!$U$13:$U$19,FH$12))),$I18,"")</f>
        <v/>
      </c>
      <c r="FI18" s="390" t="str">
        <f>IF(AND(FI$12&gt;=$E18,FI$12&lt;=$F18,MOD(FI$12,7)&gt;1,NOT(COUNTIF(General!$U$13:$U$19,FI$12))),$I18,"")</f>
        <v/>
      </c>
      <c r="FJ18" s="390" t="str">
        <f>IF(AND(FJ$12&gt;=$E18,FJ$12&lt;=$F18,MOD(FJ$12,7)&gt;1,NOT(COUNTIF(General!$U$13:$U$19,FJ$12))),$I18,"")</f>
        <v/>
      </c>
      <c r="FK18" s="390" t="str">
        <f>IF(AND(FK$12&gt;=$E18,FK$12&lt;=$F18,MOD(FK$12,7)&gt;1,NOT(COUNTIF(General!$U$13:$U$19,FK$12))),$I18,"")</f>
        <v/>
      </c>
      <c r="FL18" s="390" t="str">
        <f>IF(AND(FL$12&gt;=$E18,FL$12&lt;=$F18,MOD(FL$12,7)&gt;1,NOT(COUNTIF(General!$U$13:$U$19,FL$12))),$I18,"")</f>
        <v/>
      </c>
      <c r="FM18" s="390" t="str">
        <f>IF(AND(FM$12&gt;=$E18,FM$12&lt;=$F18,MOD(FM$12,7)&gt;1,NOT(COUNTIF(General!$U$13:$U$19,FM$12))),$I18,"")</f>
        <v/>
      </c>
      <c r="FN18" s="390" t="str">
        <f>IF(AND(FN$12&gt;=$E18,FN$12&lt;=$F18,MOD(FN$12,7)&gt;1,NOT(COUNTIF(General!$U$13:$U$19,FN$12))),$I18,"")</f>
        <v/>
      </c>
      <c r="FO18" s="390" t="str">
        <f>IF(AND(FO$12&gt;=$E18,FO$12&lt;=$F18,MOD(FO$12,7)&gt;1,NOT(COUNTIF(General!$U$13:$U$19,FO$12))),$I18,"")</f>
        <v/>
      </c>
      <c r="FP18" s="390" t="str">
        <f>IF(AND(FP$12&gt;=$E18,FP$12&lt;=$F18,MOD(FP$12,7)&gt;1,NOT(COUNTIF(General!$U$13:$U$19,FP$12))),$I18,"")</f>
        <v/>
      </c>
      <c r="FQ18" s="390" t="str">
        <f>IF(AND(FQ$12&gt;=$E18,FQ$12&lt;=$F18,MOD(FQ$12,7)&gt;1,NOT(COUNTIF(General!$U$13:$U$19,FQ$12))),$I18,"")</f>
        <v/>
      </c>
      <c r="FR18" s="390" t="str">
        <f>IF(AND(FR$12&gt;=$E18,FR$12&lt;=$F18,MOD(FR$12,7)&gt;1,NOT(COUNTIF(General!$U$13:$U$19,FR$12))),$I18,"")</f>
        <v/>
      </c>
      <c r="FS18" s="390" t="str">
        <f>IF(AND(FS$12&gt;=$E18,FS$12&lt;=$F18,MOD(FS$12,7)&gt;1,NOT(COUNTIF(General!$U$13:$U$19,FS$12))),$I18,"")</f>
        <v/>
      </c>
      <c r="FT18" s="390" t="str">
        <f>IF(AND(FT$12&gt;=$E18,FT$12&lt;=$F18,MOD(FT$12,7)&gt;1,NOT(COUNTIF(General!$U$13:$U$19,FT$12))),$I18,"")</f>
        <v/>
      </c>
      <c r="FU18" s="390" t="str">
        <f>IF(AND(FU$12&gt;=$E18,FU$12&lt;=$F18,MOD(FU$12,7)&gt;1,NOT(COUNTIF(General!$U$13:$U$19,FU$12))),$I18,"")</f>
        <v/>
      </c>
      <c r="FV18" s="390" t="str">
        <f>IF(AND(FV$12&gt;=$E18,FV$12&lt;=$F18,MOD(FV$12,7)&gt;1,NOT(COUNTIF(General!$U$13:$U$19,FV$12))),$I18,"")</f>
        <v/>
      </c>
      <c r="FW18" s="390" t="str">
        <f>IF(AND(FW$12&gt;=$E18,FW$12&lt;=$F18,MOD(FW$12,7)&gt;1,NOT(COUNTIF(General!$U$13:$U$19,FW$12))),$I18,"")</f>
        <v/>
      </c>
      <c r="FX18" s="390" t="str">
        <f>IF(AND(FX$12&gt;=$E18,FX$12&lt;=$F18,MOD(FX$12,7)&gt;1,NOT(COUNTIF(General!$U$13:$U$19,FX$12))),$I18,"")</f>
        <v/>
      </c>
    </row>
    <row r="19">
      <c r="A19" s="578"/>
      <c r="B19" s="369"/>
      <c r="C19" s="370"/>
      <c r="D19" s="579" t="s">
        <v>571</v>
      </c>
      <c r="E19" s="541">
        <v>43802.0</v>
      </c>
      <c r="F19" s="374">
        <f>WORKDAY(E19,ROUNDUP(G19/I19,0),General!$U$13:$U$27)-1</f>
        <v>43802</v>
      </c>
      <c r="G19" s="542">
        <f>G18*0.4</f>
        <v>0.8</v>
      </c>
      <c r="H19" s="377"/>
      <c r="I19" s="368">
        <v>1.0</v>
      </c>
      <c r="J19" s="379"/>
      <c r="K19" s="573"/>
      <c r="L19" s="573"/>
      <c r="M19" s="574"/>
      <c r="N19" s="384"/>
      <c r="O19" s="386"/>
      <c r="P19" s="575"/>
      <c r="Q19" s="390" t="str">
        <f>IF(AND(Q$12&gt;=$E19,Q$12&lt;=$F19,MOD(Q$12,7)&gt;1,NOT(COUNTIF(General!$U$13:$U$19,Q$12))),$I19,"")</f>
        <v/>
      </c>
      <c r="R19" s="390">
        <f>IF(AND(R$12&gt;=$E19,R$12&lt;=$F19,MOD(R$12,7)&gt;1,NOT(COUNTIF(General!$U$13:$U$19,R$12))),$I19,"")</f>
        <v>1</v>
      </c>
      <c r="S19" s="390" t="str">
        <f>IF(AND(S$12&gt;=$E19,S$12&lt;=$F19,MOD(S$12,7)&gt;1,NOT(COUNTIF(General!$U$13:$U$19,S$12))),$I19,"")</f>
        <v/>
      </c>
      <c r="T19" s="390" t="str">
        <f>IF(AND(T$12&gt;=$E19,T$12&lt;=$F19,MOD(T$12,7)&gt;1,NOT(COUNTIF(General!$U$13:$U$19,T$12))),$I19,"")</f>
        <v/>
      </c>
      <c r="U19" s="390" t="str">
        <f>IF(AND(U$12&gt;=$E19,U$12&lt;=$F19,MOD(U$12,7)&gt;1,NOT(COUNTIF(General!$U$13:$U$19,U$12))),$I19,"")</f>
        <v/>
      </c>
      <c r="V19" s="390" t="str">
        <f>IF(AND(V$12&gt;=$E19,V$12&lt;=$F19,MOD(V$12,7)&gt;1,NOT(COUNTIF(General!$U$13:$U$19,V$12))),$I19,"")</f>
        <v/>
      </c>
      <c r="W19" s="390" t="str">
        <f>IF(AND(W$12&gt;=$E19,W$12&lt;=$F19,MOD(W$12,7)&gt;1,NOT(COUNTIF(General!$U$13:$U$19,W$12))),$I19,"")</f>
        <v/>
      </c>
      <c r="X19" s="390" t="str">
        <f>IF(AND(X$12&gt;=$E19,X$12&lt;=$F19,MOD(X$12,7)&gt;1,NOT(COUNTIF(General!$U$13:$U$19,X$12))),$I19,"")</f>
        <v/>
      </c>
      <c r="Y19" s="390" t="str">
        <f>IF(AND(Y$12&gt;=$E19,Y$12&lt;=$F19,MOD(Y$12,7)&gt;1,NOT(COUNTIF(General!$U$13:$U$19,Y$12))),$I19,"")</f>
        <v/>
      </c>
      <c r="Z19" s="390" t="str">
        <f>IF(AND(Z$12&gt;=$E19,Z$12&lt;=$F19,MOD(Z$12,7)&gt;1,NOT(COUNTIF(General!$U$13:$U$19,Z$12))),$I19,"")</f>
        <v/>
      </c>
      <c r="AA19" s="390" t="str">
        <f>IF(AND(AA$12&gt;=$E19,AA$12&lt;=$F19,MOD(AA$12,7)&gt;1,NOT(COUNTIF(General!$U$13:$U$19,AA$12))),$I19,"")</f>
        <v/>
      </c>
      <c r="AB19" s="390" t="str">
        <f>IF(AND(AB$12&gt;=$E19,AB$12&lt;=$F19,MOD(AB$12,7)&gt;1,NOT(COUNTIF(General!$U$13:$U$19,AB$12))),$I19,"")</f>
        <v/>
      </c>
      <c r="AC19" s="390" t="str">
        <f>IF(AND(AC$12&gt;=$E19,AC$12&lt;=$F19,MOD(AC$12,7)&gt;1,NOT(COUNTIF(General!$U$13:$U$19,AC$12))),$I19,"")</f>
        <v/>
      </c>
      <c r="AD19" s="390" t="str">
        <f>IF(AND(AD$12&gt;=$E19,AD$12&lt;=$F19,MOD(AD$12,7)&gt;1,NOT(COUNTIF(General!$U$13:$U$19,AD$12))),$I19,"")</f>
        <v/>
      </c>
      <c r="AE19" s="390" t="str">
        <f>IF(AND(AE$12&gt;=$E19,AE$12&lt;=$F19,MOD(AE$12,7)&gt;1,NOT(COUNTIF(General!$U$13:$U$19,AE$12))),$I19,"")</f>
        <v/>
      </c>
      <c r="AF19" s="390" t="str">
        <f>IF(AND(AF$12&gt;=$E19,AF$12&lt;=$F19,MOD(AF$12,7)&gt;1,NOT(COUNTIF(General!$U$13:$U$19,AF$12))),$I19,"")</f>
        <v/>
      </c>
      <c r="AG19" s="390" t="str">
        <f>IF(AND(AG$12&gt;=$E19,AG$12&lt;=$F19,MOD(AG$12,7)&gt;1,NOT(COUNTIF(General!$U$13:$U$19,AG$12))),$I19,"")</f>
        <v/>
      </c>
      <c r="AH19" s="390" t="str">
        <f>IF(AND(AH$12&gt;=$E19,AH$12&lt;=$F19,MOD(AH$12,7)&gt;1,NOT(COUNTIF(General!$U$13:$U$19,AH$12))),$I19,"")</f>
        <v/>
      </c>
      <c r="AI19" s="390" t="str">
        <f>IF(AND(AI$12&gt;=$E19,AI$12&lt;=$F19,MOD(AI$12,7)&gt;1,NOT(COUNTIF(General!$U$13:$U$19,AI$12))),$I19,"")</f>
        <v/>
      </c>
      <c r="AJ19" s="390" t="str">
        <f>IF(AND(AJ$12&gt;=$E19,AJ$12&lt;=$F19,MOD(AJ$12,7)&gt;1,NOT(COUNTIF(General!$U$13:$U$19,AJ$12))),$I19,"")</f>
        <v/>
      </c>
      <c r="AK19" s="390" t="str">
        <f>IF(AND(AK$12&gt;=$E19,AK$12&lt;=$F19,MOD(AK$12,7)&gt;1,NOT(COUNTIF(General!$U$13:$U$19,AK$12))),$I19,"")</f>
        <v/>
      </c>
      <c r="AL19" s="390" t="str">
        <f>IF(AND(AL$12&gt;=$E19,AL$12&lt;=$F19,MOD(AL$12,7)&gt;1,NOT(COUNTIF(General!$U$13:$U$19,AL$12))),$I19,"")</f>
        <v/>
      </c>
      <c r="AM19" s="390" t="str">
        <f>IF(AND(AM$12&gt;=$E19,AM$12&lt;=$F19,MOD(AM$12,7)&gt;1,NOT(COUNTIF(General!$U$13:$U$19,AM$12))),$I19,"")</f>
        <v/>
      </c>
      <c r="AN19" s="390" t="str">
        <f>IF(AND(AN$12&gt;=$E19,AN$12&lt;=$F19,MOD(AN$12,7)&gt;1,NOT(COUNTIF(General!$U$13:$U$19,AN$12))),$I19,"")</f>
        <v/>
      </c>
      <c r="AO19" s="390" t="str">
        <f>IF(AND(AO$12&gt;=$E19,AO$12&lt;=$F19,MOD(AO$12,7)&gt;1,NOT(COUNTIF(General!$U$13:$U$19,AO$12))),$I19,"")</f>
        <v/>
      </c>
      <c r="AP19" s="390" t="str">
        <f>IF(AND(AP$12&gt;=$E19,AP$12&lt;=$F19,MOD(AP$12,7)&gt;1,NOT(COUNTIF(General!$U$13:$U$19,AP$12))),$I19,"")</f>
        <v/>
      </c>
      <c r="AQ19" s="390" t="str">
        <f>IF(AND(AQ$12&gt;=$E19,AQ$12&lt;=$F19,MOD(AQ$12,7)&gt;1,NOT(COUNTIF(General!$U$13:$U$19,AQ$12))),$I19,"")</f>
        <v/>
      </c>
      <c r="AR19" s="390" t="str">
        <f>IF(AND(AR$12&gt;=$E19,AR$12&lt;=$F19,MOD(AR$12,7)&gt;1,NOT(COUNTIF(General!$U$13:$U$19,AR$12))),$I19,"")</f>
        <v/>
      </c>
      <c r="AS19" s="390" t="str">
        <f>IF(AND(AS$12&gt;=$E19,AS$12&lt;=$F19,MOD(AS$12,7)&gt;1,NOT(COUNTIF(General!$U$13:$U$19,AS$12))),$I19,"")</f>
        <v/>
      </c>
      <c r="AT19" s="390" t="str">
        <f>IF(AND(AT$12&gt;=$E19,AT$12&lt;=$F19,MOD(AT$12,7)&gt;1,NOT(COUNTIF(General!$U$13:$U$19,AT$12))),$I19,"")</f>
        <v/>
      </c>
      <c r="AU19" s="390" t="str">
        <f>IF(AND(AU$12&gt;=$E19,AU$12&lt;=$F19,MOD(AU$12,7)&gt;1,NOT(COUNTIF(General!$U$13:$U$19,AU$12))),$I19,"")</f>
        <v/>
      </c>
      <c r="AV19" s="390" t="str">
        <f>IF(AND(AV$12&gt;=$E19,AV$12&lt;=$F19,MOD(AV$12,7)&gt;1,NOT(COUNTIF(General!$U$13:$U$19,AV$12))),$I19,"")</f>
        <v/>
      </c>
      <c r="AW19" s="390" t="str">
        <f>IF(AND(AW$12&gt;=$E19,AW$12&lt;=$F19,MOD(AW$12,7)&gt;1,NOT(COUNTIF(General!$U$13:$U$19,AW$12))),$I19,"")</f>
        <v/>
      </c>
      <c r="AX19" s="390" t="str">
        <f>IF(AND(AX$12&gt;=$E19,AX$12&lt;=$F19,MOD(AX$12,7)&gt;1,NOT(COUNTIF(General!$U$13:$U$19,AX$12))),$I19,"")</f>
        <v/>
      </c>
      <c r="AY19" s="390" t="str">
        <f>IF(AND(AY$12&gt;=$E19,AY$12&lt;=$F19,MOD(AY$12,7)&gt;1,NOT(COUNTIF(General!$U$13:$U$19,AY$12))),$I19,"")</f>
        <v/>
      </c>
      <c r="AZ19" s="390" t="str">
        <f>IF(AND(AZ$12&gt;=$E19,AZ$12&lt;=$F19,MOD(AZ$12,7)&gt;1,NOT(COUNTIF(General!$U$13:$U$19,AZ$12))),$I19,"")</f>
        <v/>
      </c>
      <c r="BA19" s="390" t="str">
        <f>IF(AND(BA$12&gt;=$E19,BA$12&lt;=$F19,MOD(BA$12,7)&gt;1,NOT(COUNTIF(General!$U$13:$U$19,BA$12))),$I19,"")</f>
        <v/>
      </c>
      <c r="BB19" s="390" t="str">
        <f>IF(AND(BB$12&gt;=$E19,BB$12&lt;=$F19,MOD(BB$12,7)&gt;1,NOT(COUNTIF(General!$U$13:$U$19,BB$12))),$I19,"")</f>
        <v/>
      </c>
      <c r="BC19" s="390" t="str">
        <f>IF(AND(BC$12&gt;=$E19,BC$12&lt;=$F19,MOD(BC$12,7)&gt;1,NOT(COUNTIF(General!$U$13:$U$19,BC$12))),$I19,"")</f>
        <v/>
      </c>
      <c r="BD19" s="390" t="str">
        <f>IF(AND(BD$12&gt;=$E19,BD$12&lt;=$F19,MOD(BD$12,7)&gt;1,NOT(COUNTIF(General!$U$13:$U$19,BD$12))),$I19,"")</f>
        <v/>
      </c>
      <c r="BE19" s="390" t="str">
        <f>IF(AND(BE$12&gt;=$E19,BE$12&lt;=$F19,MOD(BE$12,7)&gt;1,NOT(COUNTIF(General!$U$13:$U$19,BE$12))),$I19,"")</f>
        <v/>
      </c>
      <c r="BF19" s="390" t="str">
        <f>IF(AND(BF$12&gt;=$E19,BF$12&lt;=$F19,MOD(BF$12,7)&gt;1,NOT(COUNTIF(General!$U$13:$U$19,BF$12))),$I19,"")</f>
        <v/>
      </c>
      <c r="BG19" s="390" t="str">
        <f>IF(AND(BG$12&gt;=$E19,BG$12&lt;=$F19,MOD(BG$12,7)&gt;1,NOT(COUNTIF(General!$U$13:$U$19,BG$12))),$I19,"")</f>
        <v/>
      </c>
      <c r="BH19" s="390" t="str">
        <f>IF(AND(BH$12&gt;=$E19,BH$12&lt;=$F19,MOD(BH$12,7)&gt;1,NOT(COUNTIF(General!$U$13:$U$19,BH$12))),$I19,"")</f>
        <v/>
      </c>
      <c r="BI19" s="390" t="str">
        <f>IF(AND(BI$12&gt;=$E19,BI$12&lt;=$F19,MOD(BI$12,7)&gt;1,NOT(COUNTIF(General!$U$13:$U$19,BI$12))),$I19,"")</f>
        <v/>
      </c>
      <c r="BJ19" s="390" t="str">
        <f>IF(AND(BJ$12&gt;=$E19,BJ$12&lt;=$F19,MOD(BJ$12,7)&gt;1,NOT(COUNTIF(General!$U$13:$U$19,BJ$12))),$I19,"")</f>
        <v/>
      </c>
      <c r="BK19" s="390" t="str">
        <f>IF(AND(BK$12&gt;=$E19,BK$12&lt;=$F19,MOD(BK$12,7)&gt;1,NOT(COUNTIF(General!$U$13:$U$19,BK$12))),$I19,"")</f>
        <v/>
      </c>
      <c r="BL19" s="390" t="str">
        <f>IF(AND(BL$12&gt;=$E19,BL$12&lt;=$F19,MOD(BL$12,7)&gt;1,NOT(COUNTIF(General!$U$13:$U$19,BL$12))),$I19,"")</f>
        <v/>
      </c>
      <c r="BM19" s="390" t="str">
        <f>IF(AND(BM$12&gt;=$E19,BM$12&lt;=$F19,MOD(BM$12,7)&gt;1,NOT(COUNTIF(General!$U$13:$U$19,BM$12))),$I19,"")</f>
        <v/>
      </c>
      <c r="BN19" s="390" t="str">
        <f>IF(AND(BN$12&gt;=$E19,BN$12&lt;=$F19,MOD(BN$12,7)&gt;1,NOT(COUNTIF(General!$U$13:$U$19,BN$12))),$I19,"")</f>
        <v/>
      </c>
      <c r="BO19" s="390" t="str">
        <f>IF(AND(BO$12&gt;=$E19,BO$12&lt;=$F19,MOD(BO$12,7)&gt;1,NOT(COUNTIF(General!$U$13:$U$19,BO$12))),$I19,"")</f>
        <v/>
      </c>
      <c r="BP19" s="390" t="str">
        <f>IF(AND(BP$12&gt;=$E19,BP$12&lt;=$F19,MOD(BP$12,7)&gt;1,NOT(COUNTIF(General!$U$13:$U$19,BP$12))),$I19,"")</f>
        <v/>
      </c>
      <c r="BQ19" s="390" t="str">
        <f>IF(AND(BQ$12&gt;=$E19,BQ$12&lt;=$F19,MOD(BQ$12,7)&gt;1,NOT(COUNTIF(General!$U$13:$U$19,BQ$12))),$I19,"")</f>
        <v/>
      </c>
      <c r="BR19" s="390" t="str">
        <f>IF(AND(BR$12&gt;=$E19,BR$12&lt;=$F19,MOD(BR$12,7)&gt;1,NOT(COUNTIF(General!$U$13:$U$19,BR$12))),$I19,"")</f>
        <v/>
      </c>
      <c r="BS19" s="390" t="str">
        <f>IF(AND(BS$12&gt;=$E19,BS$12&lt;=$F19,MOD(BS$12,7)&gt;1,NOT(COUNTIF(General!$U$13:$U$19,BS$12))),$I19,"")</f>
        <v/>
      </c>
      <c r="BT19" s="390" t="str">
        <f>IF(AND(BT$12&gt;=$E19,BT$12&lt;=$F19,MOD(BT$12,7)&gt;1,NOT(COUNTIF(General!$U$13:$U$19,BT$12))),$I19,"")</f>
        <v/>
      </c>
      <c r="BU19" s="390" t="str">
        <f>IF(AND(BU$12&gt;=$E19,BU$12&lt;=$F19,MOD(BU$12,7)&gt;1,NOT(COUNTIF(General!$U$13:$U$19,BU$12))),$I19,"")</f>
        <v/>
      </c>
      <c r="BV19" s="390" t="str">
        <f>IF(AND(BV$12&gt;=$E19,BV$12&lt;=$F19,MOD(BV$12,7)&gt;1,NOT(COUNTIF(General!$U$13:$U$19,BV$12))),$I19,"")</f>
        <v/>
      </c>
      <c r="BW19" s="390" t="str">
        <f>IF(AND(BW$12&gt;=$E19,BW$12&lt;=$F19,MOD(BW$12,7)&gt;1,NOT(COUNTIF(General!$U$13:$U$19,BW$12))),$I19,"")</f>
        <v/>
      </c>
      <c r="BX19" s="390" t="str">
        <f>IF(AND(BX$12&gt;=$E19,BX$12&lt;=$F19,MOD(BX$12,7)&gt;1,NOT(COUNTIF(General!$U$13:$U$19,BX$12))),$I19,"")</f>
        <v/>
      </c>
      <c r="BY19" s="390" t="str">
        <f>IF(AND(BY$12&gt;=$E19,BY$12&lt;=$F19,MOD(BY$12,7)&gt;1,NOT(COUNTIF(General!$U$13:$U$19,BY$12))),$I19,"")</f>
        <v/>
      </c>
      <c r="BZ19" s="390" t="str">
        <f>IF(AND(BZ$12&gt;=$E19,BZ$12&lt;=$F19,MOD(BZ$12,7)&gt;1,NOT(COUNTIF(General!$U$13:$U$19,BZ$12))),$I19,"")</f>
        <v/>
      </c>
      <c r="CA19" s="390" t="str">
        <f>IF(AND(CA$12&gt;=$E19,CA$12&lt;=$F19,MOD(CA$12,7)&gt;1,NOT(COUNTIF(General!$U$13:$U$19,CA$12))),$I19,"")</f>
        <v/>
      </c>
      <c r="CB19" s="390" t="str">
        <f>IF(AND(CB$12&gt;=$E19,CB$12&lt;=$F19,MOD(CB$12,7)&gt;1,NOT(COUNTIF(General!$U$13:$U$19,CB$12))),$I19,"")</f>
        <v/>
      </c>
      <c r="CC19" s="390" t="str">
        <f>IF(AND(CC$12&gt;=$E19,CC$12&lt;=$F19,MOD(CC$12,7)&gt;1,NOT(COUNTIF(General!$U$13:$U$19,CC$12))),$I19,"")</f>
        <v/>
      </c>
      <c r="CD19" s="390" t="str">
        <f>IF(AND(CD$12&gt;=$E19,CD$12&lt;=$F19,MOD(CD$12,7)&gt;1,NOT(COUNTIF(General!$U$13:$U$19,CD$12))),$I19,"")</f>
        <v/>
      </c>
      <c r="CE19" s="390" t="str">
        <f>IF(AND(CE$12&gt;=$E19,CE$12&lt;=$F19,MOD(CE$12,7)&gt;1,NOT(COUNTIF(General!$U$13:$U$19,CE$12))),$I19,"")</f>
        <v/>
      </c>
      <c r="CF19" s="390" t="str">
        <f>IF(AND(CF$12&gt;=$E19,CF$12&lt;=$F19,MOD(CF$12,7)&gt;1,NOT(COUNTIF(General!$U$13:$U$19,CF$12))),$I19,"")</f>
        <v/>
      </c>
      <c r="CG19" s="390" t="str">
        <f>IF(AND(CG$12&gt;=$E19,CG$12&lt;=$F19,MOD(CG$12,7)&gt;1,NOT(COUNTIF(General!$U$13:$U$19,CG$12))),$I19,"")</f>
        <v/>
      </c>
      <c r="CH19" s="390" t="str">
        <f>IF(AND(CH$12&gt;=$E19,CH$12&lt;=$F19,MOD(CH$12,7)&gt;1,NOT(COUNTIF(General!$U$13:$U$19,CH$12))),$I19,"")</f>
        <v/>
      </c>
      <c r="CI19" s="390" t="str">
        <f>IF(AND(CI$12&gt;=$E19,CI$12&lt;=$F19,MOD(CI$12,7)&gt;1,NOT(COUNTIF(General!$U$13:$U$19,CI$12))),$I19,"")</f>
        <v/>
      </c>
      <c r="CJ19" s="390" t="str">
        <f>IF(AND(CJ$12&gt;=$E19,CJ$12&lt;=$F19,MOD(CJ$12,7)&gt;1,NOT(COUNTIF(General!$U$13:$U$19,CJ$12))),$I19,"")</f>
        <v/>
      </c>
      <c r="CK19" s="390" t="str">
        <f>IF(AND(CK$12&gt;=$E19,CK$12&lt;=$F19,MOD(CK$12,7)&gt;1,NOT(COUNTIF(General!$U$13:$U$19,CK$12))),$I19,"")</f>
        <v/>
      </c>
      <c r="CL19" s="390" t="str">
        <f>IF(AND(CL$12&gt;=$E19,CL$12&lt;=$F19,MOD(CL$12,7)&gt;1,NOT(COUNTIF(General!$U$13:$U$19,CL$12))),$I19,"")</f>
        <v/>
      </c>
      <c r="CM19" s="390" t="str">
        <f>IF(AND(CM$12&gt;=$E19,CM$12&lt;=$F19,MOD(CM$12,7)&gt;1,NOT(COUNTIF(General!$U$13:$U$19,CM$12))),$I19,"")</f>
        <v/>
      </c>
      <c r="CN19" s="390" t="str">
        <f>IF(AND(CN$12&gt;=$E19,CN$12&lt;=$F19,MOD(CN$12,7)&gt;1,NOT(COUNTIF(General!$U$13:$U$19,CN$12))),$I19,"")</f>
        <v/>
      </c>
      <c r="CO19" s="390" t="str">
        <f>IF(AND(CO$12&gt;=$E19,CO$12&lt;=$F19,MOD(CO$12,7)&gt;1,NOT(COUNTIF(General!$U$13:$U$19,CO$12))),$I19,"")</f>
        <v/>
      </c>
      <c r="CP19" s="390" t="str">
        <f>IF(AND(CP$12&gt;=$E19,CP$12&lt;=$F19,MOD(CP$12,7)&gt;1,NOT(COUNTIF(General!$U$13:$U$19,CP$12))),$I19,"")</f>
        <v/>
      </c>
      <c r="CQ19" s="390" t="str">
        <f>IF(AND(CQ$12&gt;=$E19,CQ$12&lt;=$F19,MOD(CQ$12,7)&gt;1,NOT(COUNTIF(General!$U$13:$U$19,CQ$12))),$I19,"")</f>
        <v/>
      </c>
      <c r="CR19" s="390" t="str">
        <f>IF(AND(CR$12&gt;=$E19,CR$12&lt;=$F19,MOD(CR$12,7)&gt;1,NOT(COUNTIF(General!$U$13:$U$19,CR$12))),$I19,"")</f>
        <v/>
      </c>
      <c r="CS19" s="390" t="str">
        <f>IF(AND(CS$12&gt;=$E19,CS$12&lt;=$F19,MOD(CS$12,7)&gt;1,NOT(COUNTIF(General!$U$13:$U$19,CS$12))),$I19,"")</f>
        <v/>
      </c>
      <c r="CT19" s="390" t="str">
        <f>IF(AND(CT$12&gt;=$E19,CT$12&lt;=$F19,MOD(CT$12,7)&gt;1,NOT(COUNTIF(General!$U$13:$U$19,CT$12))),$I19,"")</f>
        <v/>
      </c>
      <c r="CU19" s="390" t="str">
        <f>IF(AND(CU$12&gt;=$E19,CU$12&lt;=$F19,MOD(CU$12,7)&gt;1,NOT(COUNTIF(General!$U$13:$U$19,CU$12))),$I19,"")</f>
        <v/>
      </c>
      <c r="CV19" s="390" t="str">
        <f>IF(AND(CV$12&gt;=$E19,CV$12&lt;=$F19,MOD(CV$12,7)&gt;1,NOT(COUNTIF(General!$U$13:$U$19,CV$12))),$I19,"")</f>
        <v/>
      </c>
      <c r="CW19" s="390" t="str">
        <f>IF(AND(CW$12&gt;=$E19,CW$12&lt;=$F19,MOD(CW$12,7)&gt;1,NOT(COUNTIF(General!$U$13:$U$19,CW$12))),$I19,"")</f>
        <v/>
      </c>
      <c r="CX19" s="390" t="str">
        <f>IF(AND(CX$12&gt;=$E19,CX$12&lt;=$F19,MOD(CX$12,7)&gt;1,NOT(COUNTIF(General!$U$13:$U$19,CX$12))),$I19,"")</f>
        <v/>
      </c>
      <c r="CY19" s="390" t="str">
        <f>IF(AND(CY$12&gt;=$E19,CY$12&lt;=$F19,MOD(CY$12,7)&gt;1,NOT(COUNTIF(General!$U$13:$U$19,CY$12))),$I19,"")</f>
        <v/>
      </c>
      <c r="CZ19" s="390" t="str">
        <f>IF(AND(CZ$12&gt;=$E19,CZ$12&lt;=$F19,MOD(CZ$12,7)&gt;1,NOT(COUNTIF(General!$U$13:$U$19,CZ$12))),$I19,"")</f>
        <v/>
      </c>
      <c r="DA19" s="390" t="str">
        <f>IF(AND(DA$12&gt;=$E19,DA$12&lt;=$F19,MOD(DA$12,7)&gt;1,NOT(COUNTIF(General!$U$13:$U$19,DA$12))),$I19,"")</f>
        <v/>
      </c>
      <c r="DB19" s="390" t="str">
        <f>IF(AND(DB$12&gt;=$E19,DB$12&lt;=$F19,MOD(DB$12,7)&gt;1,NOT(COUNTIF(General!$U$13:$U$19,DB$12))),$I19,"")</f>
        <v/>
      </c>
      <c r="DC19" s="390" t="str">
        <f>IF(AND(DC$12&gt;=$E19,DC$12&lt;=$F19,MOD(DC$12,7)&gt;1,NOT(COUNTIF(General!$U$13:$U$19,DC$12))),$I19,"")</f>
        <v/>
      </c>
      <c r="DD19" s="390" t="str">
        <f>IF(AND(DD$12&gt;=$E19,DD$12&lt;=$F19,MOD(DD$12,7)&gt;1,NOT(COUNTIF(General!$U$13:$U$19,DD$12))),$I19,"")</f>
        <v/>
      </c>
      <c r="DE19" s="390" t="str">
        <f>IF(AND(DE$12&gt;=$E19,DE$12&lt;=$F19,MOD(DE$12,7)&gt;1,NOT(COUNTIF(General!$U$13:$U$19,DE$12))),$I19,"")</f>
        <v/>
      </c>
      <c r="DF19" s="390" t="str">
        <f>IF(AND(DF$12&gt;=$E19,DF$12&lt;=$F19,MOD(DF$12,7)&gt;1,NOT(COUNTIF(General!$U$13:$U$19,DF$12))),$I19,"")</f>
        <v/>
      </c>
      <c r="DG19" s="390" t="str">
        <f>IF(AND(DG$12&gt;=$E19,DG$12&lt;=$F19,MOD(DG$12,7)&gt;1,NOT(COUNTIF(General!$U$13:$U$19,DG$12))),$I19,"")</f>
        <v/>
      </c>
      <c r="DH19" s="390" t="str">
        <f>IF(AND(DH$12&gt;=$E19,DH$12&lt;=$F19,MOD(DH$12,7)&gt;1,NOT(COUNTIF(General!$U$13:$U$19,DH$12))),$I19,"")</f>
        <v/>
      </c>
      <c r="DI19" s="390" t="str">
        <f>IF(AND(DI$12&gt;=$E19,DI$12&lt;=$F19,MOD(DI$12,7)&gt;1,NOT(COUNTIF(General!$U$13:$U$19,DI$12))),$I19,"")</f>
        <v/>
      </c>
      <c r="DJ19" s="390" t="str">
        <f>IF(AND(DJ$12&gt;=$E19,DJ$12&lt;=$F19,MOD(DJ$12,7)&gt;1,NOT(COUNTIF(General!$U$13:$U$19,DJ$12))),$I19,"")</f>
        <v/>
      </c>
      <c r="DK19" s="390" t="str">
        <f>IF(AND(DK$12&gt;=$E19,DK$12&lt;=$F19,MOD(DK$12,7)&gt;1,NOT(COUNTIF(General!$U$13:$U$19,DK$12))),$I19,"")</f>
        <v/>
      </c>
      <c r="DL19" s="390" t="str">
        <f>IF(AND(DL$12&gt;=$E19,DL$12&lt;=$F19,MOD(DL$12,7)&gt;1,NOT(COUNTIF(General!$U$13:$U$19,DL$12))),$I19,"")</f>
        <v/>
      </c>
      <c r="DM19" s="390" t="str">
        <f>IF(AND(DM$12&gt;=$E19,DM$12&lt;=$F19,MOD(DM$12,7)&gt;1,NOT(COUNTIF(General!$U$13:$U$19,DM$12))),$I19,"")</f>
        <v/>
      </c>
      <c r="DN19" s="390" t="str">
        <f>IF(AND(DN$12&gt;=$E19,DN$12&lt;=$F19,MOD(DN$12,7)&gt;1,NOT(COUNTIF(General!$U$13:$U$19,DN$12))),$I19,"")</f>
        <v/>
      </c>
      <c r="DO19" s="390" t="str">
        <f>IF(AND(DO$12&gt;=$E19,DO$12&lt;=$F19,MOD(DO$12,7)&gt;1,NOT(COUNTIF(General!$U$13:$U$19,DO$12))),$I19,"")</f>
        <v/>
      </c>
      <c r="DP19" s="390" t="str">
        <f>IF(AND(DP$12&gt;=$E19,DP$12&lt;=$F19,MOD(DP$12,7)&gt;1,NOT(COUNTIF(General!$U$13:$U$19,DP$12))),$I19,"")</f>
        <v/>
      </c>
      <c r="DQ19" s="390" t="str">
        <f>IF(AND(DQ$12&gt;=$E19,DQ$12&lt;=$F19,MOD(DQ$12,7)&gt;1,NOT(COUNTIF(General!$U$13:$U$19,DQ$12))),$I19,"")</f>
        <v/>
      </c>
      <c r="DR19" s="390" t="str">
        <f>IF(AND(DR$12&gt;=$E19,DR$12&lt;=$F19,MOD(DR$12,7)&gt;1,NOT(COUNTIF(General!$U$13:$U$19,DR$12))),$I19,"")</f>
        <v/>
      </c>
      <c r="DS19" s="390" t="str">
        <f>IF(AND(DS$12&gt;=$E19,DS$12&lt;=$F19,MOD(DS$12,7)&gt;1,NOT(COUNTIF(General!$U$13:$U$19,DS$12))),$I19,"")</f>
        <v/>
      </c>
      <c r="DT19" s="390" t="str">
        <f>IF(AND(DT$12&gt;=$E19,DT$12&lt;=$F19,MOD(DT$12,7)&gt;1,NOT(COUNTIF(General!$U$13:$U$19,DT$12))),$I19,"")</f>
        <v/>
      </c>
      <c r="DU19" s="390" t="str">
        <f>IF(AND(DU$12&gt;=$E19,DU$12&lt;=$F19,MOD(DU$12,7)&gt;1,NOT(COUNTIF(General!$U$13:$U$19,DU$12))),$I19,"")</f>
        <v/>
      </c>
      <c r="DV19" s="390" t="str">
        <f>IF(AND(DV$12&gt;=$E19,DV$12&lt;=$F19,MOD(DV$12,7)&gt;1,NOT(COUNTIF(General!$U$13:$U$19,DV$12))),$I19,"")</f>
        <v/>
      </c>
      <c r="DW19" s="390" t="str">
        <f>IF(AND(DW$12&gt;=$E19,DW$12&lt;=$F19,MOD(DW$12,7)&gt;1,NOT(COUNTIF(General!$U$13:$U$19,DW$12))),$I19,"")</f>
        <v/>
      </c>
      <c r="DX19" s="390" t="str">
        <f>IF(AND(DX$12&gt;=$E19,DX$12&lt;=$F19,MOD(DX$12,7)&gt;1,NOT(COUNTIF(General!$U$13:$U$19,DX$12))),$I19,"")</f>
        <v/>
      </c>
      <c r="DY19" s="390" t="str">
        <f>IF(AND(DY$12&gt;=$E19,DY$12&lt;=$F19,MOD(DY$12,7)&gt;1,NOT(COUNTIF(General!$U$13:$U$19,DY$12))),$I19,"")</f>
        <v/>
      </c>
      <c r="DZ19" s="390" t="str">
        <f>IF(AND(DZ$12&gt;=$E19,DZ$12&lt;=$F19,MOD(DZ$12,7)&gt;1,NOT(COUNTIF(General!$U$13:$U$19,DZ$12))),$I19,"")</f>
        <v/>
      </c>
      <c r="EA19" s="390" t="str">
        <f>IF(AND(EA$12&gt;=$E19,EA$12&lt;=$F19,MOD(EA$12,7)&gt;1,NOT(COUNTIF(General!$U$13:$U$19,EA$12))),$I19,"")</f>
        <v/>
      </c>
      <c r="EB19" s="390" t="str">
        <f>IF(AND(EB$12&gt;=$E19,EB$12&lt;=$F19,MOD(EB$12,7)&gt;1,NOT(COUNTIF(General!$U$13:$U$19,EB$12))),$I19,"")</f>
        <v/>
      </c>
      <c r="EC19" s="390" t="str">
        <f>IF(AND(EC$12&gt;=$E19,EC$12&lt;=$F19,MOD(EC$12,7)&gt;1,NOT(COUNTIF(General!$U$13:$U$19,EC$12))),$I19,"")</f>
        <v/>
      </c>
      <c r="ED19" s="390" t="str">
        <f>IF(AND(ED$12&gt;=$E19,ED$12&lt;=$F19,MOD(ED$12,7)&gt;1,NOT(COUNTIF(General!$U$13:$U$19,ED$12))),$I19,"")</f>
        <v/>
      </c>
      <c r="EE19" s="390" t="str">
        <f>IF(AND(EE$12&gt;=$E19,EE$12&lt;=$F19,MOD(EE$12,7)&gt;1,NOT(COUNTIF(General!$U$13:$U$19,EE$12))),$I19,"")</f>
        <v/>
      </c>
      <c r="EF19" s="390" t="str">
        <f>IF(AND(EF$12&gt;=$E19,EF$12&lt;=$F19,MOD(EF$12,7)&gt;1,NOT(COUNTIF(General!$U$13:$U$19,EF$12))),$I19,"")</f>
        <v/>
      </c>
      <c r="EG19" s="390" t="str">
        <f>IF(AND(EG$12&gt;=$E19,EG$12&lt;=$F19,MOD(EG$12,7)&gt;1,NOT(COUNTIF(General!$U$13:$U$19,EG$12))),$I19,"")</f>
        <v/>
      </c>
      <c r="EH19" s="390" t="str">
        <f>IF(AND(EH$12&gt;=$E19,EH$12&lt;=$F19,MOD(EH$12,7)&gt;1,NOT(COUNTIF(General!$U$13:$U$19,EH$12))),$I19,"")</f>
        <v/>
      </c>
      <c r="EI19" s="390" t="str">
        <f>IF(AND(EI$12&gt;=$E19,EI$12&lt;=$F19,MOD(EI$12,7)&gt;1,NOT(COUNTIF(General!$U$13:$U$19,EI$12))),$I19,"")</f>
        <v/>
      </c>
      <c r="EJ19" s="390" t="str">
        <f>IF(AND(EJ$12&gt;=$E19,EJ$12&lt;=$F19,MOD(EJ$12,7)&gt;1,NOT(COUNTIF(General!$U$13:$U$19,EJ$12))),$I19,"")</f>
        <v/>
      </c>
      <c r="EK19" s="390" t="str">
        <f>IF(AND(EK$12&gt;=$E19,EK$12&lt;=$F19,MOD(EK$12,7)&gt;1,NOT(COUNTIF(General!$U$13:$U$19,EK$12))),$I19,"")</f>
        <v/>
      </c>
      <c r="EL19" s="390" t="str">
        <f>IF(AND(EL$12&gt;=$E19,EL$12&lt;=$F19,MOD(EL$12,7)&gt;1,NOT(COUNTIF(General!$U$13:$U$19,EL$12))),$I19,"")</f>
        <v/>
      </c>
      <c r="EM19" s="390" t="str">
        <f>IF(AND(EM$12&gt;=$E19,EM$12&lt;=$F19,MOD(EM$12,7)&gt;1,NOT(COUNTIF(General!$U$13:$U$19,EM$12))),$I19,"")</f>
        <v/>
      </c>
      <c r="EN19" s="390" t="str">
        <f>IF(AND(EN$12&gt;=$E19,EN$12&lt;=$F19,MOD(EN$12,7)&gt;1,NOT(COUNTIF(General!$U$13:$U$19,EN$12))),$I19,"")</f>
        <v/>
      </c>
      <c r="EO19" s="390" t="str">
        <f>IF(AND(EO$12&gt;=$E19,EO$12&lt;=$F19,MOD(EO$12,7)&gt;1,NOT(COUNTIF(General!$U$13:$U$19,EO$12))),$I19,"")</f>
        <v/>
      </c>
      <c r="EP19" s="390" t="str">
        <f>IF(AND(EP$12&gt;=$E19,EP$12&lt;=$F19,MOD(EP$12,7)&gt;1,NOT(COUNTIF(General!$U$13:$U$19,EP$12))),$I19,"")</f>
        <v/>
      </c>
      <c r="EQ19" s="390" t="str">
        <f>IF(AND(EQ$12&gt;=$E19,EQ$12&lt;=$F19,MOD(EQ$12,7)&gt;1,NOT(COUNTIF(General!$U$13:$U$19,EQ$12))),$I19,"")</f>
        <v/>
      </c>
      <c r="ER19" s="390" t="str">
        <f>IF(AND(ER$12&gt;=$E19,ER$12&lt;=$F19,MOD(ER$12,7)&gt;1,NOT(COUNTIF(General!$U$13:$U$19,ER$12))),$I19,"")</f>
        <v/>
      </c>
      <c r="ES19" s="390" t="str">
        <f>IF(AND(ES$12&gt;=$E19,ES$12&lt;=$F19,MOD(ES$12,7)&gt;1,NOT(COUNTIF(General!$U$13:$U$19,ES$12))),$I19,"")</f>
        <v/>
      </c>
      <c r="ET19" s="390" t="str">
        <f>IF(AND(ET$12&gt;=$E19,ET$12&lt;=$F19,MOD(ET$12,7)&gt;1,NOT(COUNTIF(General!$U$13:$U$19,ET$12))),$I19,"")</f>
        <v/>
      </c>
      <c r="EU19" s="390" t="str">
        <f>IF(AND(EU$12&gt;=$E19,EU$12&lt;=$F19,MOD(EU$12,7)&gt;1,NOT(COUNTIF(General!$U$13:$U$19,EU$12))),$I19,"")</f>
        <v/>
      </c>
      <c r="EV19" s="390" t="str">
        <f>IF(AND(EV$12&gt;=$E19,EV$12&lt;=$F19,MOD(EV$12,7)&gt;1,NOT(COUNTIF(General!$U$13:$U$19,EV$12))),$I19,"")</f>
        <v/>
      </c>
      <c r="EW19" s="390" t="str">
        <f>IF(AND(EW$12&gt;=$E19,EW$12&lt;=$F19,MOD(EW$12,7)&gt;1,NOT(COUNTIF(General!$U$13:$U$19,EW$12))),$I19,"")</f>
        <v/>
      </c>
      <c r="EX19" s="390" t="str">
        <f>IF(AND(EX$12&gt;=$E19,EX$12&lt;=$F19,MOD(EX$12,7)&gt;1,NOT(COUNTIF(General!$U$13:$U$19,EX$12))),$I19,"")</f>
        <v/>
      </c>
      <c r="EY19" s="390" t="str">
        <f>IF(AND(EY$12&gt;=$E19,EY$12&lt;=$F19,MOD(EY$12,7)&gt;1,NOT(COUNTIF(General!$U$13:$U$19,EY$12))),$I19,"")</f>
        <v/>
      </c>
      <c r="EZ19" s="390" t="str">
        <f>IF(AND(EZ$12&gt;=$E19,EZ$12&lt;=$F19,MOD(EZ$12,7)&gt;1,NOT(COUNTIF(General!$U$13:$U$19,EZ$12))),$I19,"")</f>
        <v/>
      </c>
      <c r="FA19" s="390" t="str">
        <f>IF(AND(FA$12&gt;=$E19,FA$12&lt;=$F19,MOD(FA$12,7)&gt;1,NOT(COUNTIF(General!$U$13:$U$19,FA$12))),$I19,"")</f>
        <v/>
      </c>
      <c r="FB19" s="390" t="str">
        <f>IF(AND(FB$12&gt;=$E19,FB$12&lt;=$F19,MOD(FB$12,7)&gt;1,NOT(COUNTIF(General!$U$13:$U$19,FB$12))),$I19,"")</f>
        <v/>
      </c>
      <c r="FC19" s="390" t="str">
        <f>IF(AND(FC$12&gt;=$E19,FC$12&lt;=$F19,MOD(FC$12,7)&gt;1,NOT(COUNTIF(General!$U$13:$U$19,FC$12))),$I19,"")</f>
        <v/>
      </c>
      <c r="FD19" s="390" t="str">
        <f>IF(AND(FD$12&gt;=$E19,FD$12&lt;=$F19,MOD(FD$12,7)&gt;1,NOT(COUNTIF(General!$U$13:$U$19,FD$12))),$I19,"")</f>
        <v/>
      </c>
      <c r="FE19" s="390" t="str">
        <f>IF(AND(FE$12&gt;=$E19,FE$12&lt;=$F19,MOD(FE$12,7)&gt;1,NOT(COUNTIF(General!$U$13:$U$19,FE$12))),$I19,"")</f>
        <v/>
      </c>
      <c r="FF19" s="390" t="str">
        <f>IF(AND(FF$12&gt;=$E19,FF$12&lt;=$F19,MOD(FF$12,7)&gt;1,NOT(COUNTIF(General!$U$13:$U$19,FF$12))),$I19,"")</f>
        <v/>
      </c>
      <c r="FG19" s="390" t="str">
        <f>IF(AND(FG$12&gt;=$E19,FG$12&lt;=$F19,MOD(FG$12,7)&gt;1,NOT(COUNTIF(General!$U$13:$U$19,FG$12))),$I19,"")</f>
        <v/>
      </c>
      <c r="FH19" s="390" t="str">
        <f>IF(AND(FH$12&gt;=$E19,FH$12&lt;=$F19,MOD(FH$12,7)&gt;1,NOT(COUNTIF(General!$U$13:$U$19,FH$12))),$I19,"")</f>
        <v/>
      </c>
      <c r="FI19" s="390" t="str">
        <f>IF(AND(FI$12&gt;=$E19,FI$12&lt;=$F19,MOD(FI$12,7)&gt;1,NOT(COUNTIF(General!$U$13:$U$19,FI$12))),$I19,"")</f>
        <v/>
      </c>
      <c r="FJ19" s="390" t="str">
        <f>IF(AND(FJ$12&gt;=$E19,FJ$12&lt;=$F19,MOD(FJ$12,7)&gt;1,NOT(COUNTIF(General!$U$13:$U$19,FJ$12))),$I19,"")</f>
        <v/>
      </c>
      <c r="FK19" s="390" t="str">
        <f>IF(AND(FK$12&gt;=$E19,FK$12&lt;=$F19,MOD(FK$12,7)&gt;1,NOT(COUNTIF(General!$U$13:$U$19,FK$12))),$I19,"")</f>
        <v/>
      </c>
      <c r="FL19" s="390" t="str">
        <f>IF(AND(FL$12&gt;=$E19,FL$12&lt;=$F19,MOD(FL$12,7)&gt;1,NOT(COUNTIF(General!$U$13:$U$19,FL$12))),$I19,"")</f>
        <v/>
      </c>
      <c r="FM19" s="390" t="str">
        <f>IF(AND(FM$12&gt;=$E19,FM$12&lt;=$F19,MOD(FM$12,7)&gt;1,NOT(COUNTIF(General!$U$13:$U$19,FM$12))),$I19,"")</f>
        <v/>
      </c>
      <c r="FN19" s="390" t="str">
        <f>IF(AND(FN$12&gt;=$E19,FN$12&lt;=$F19,MOD(FN$12,7)&gt;1,NOT(COUNTIF(General!$U$13:$U$19,FN$12))),$I19,"")</f>
        <v/>
      </c>
      <c r="FO19" s="390" t="str">
        <f>IF(AND(FO$12&gt;=$E19,FO$12&lt;=$F19,MOD(FO$12,7)&gt;1,NOT(COUNTIF(General!$U$13:$U$19,FO$12))),$I19,"")</f>
        <v/>
      </c>
      <c r="FP19" s="390" t="str">
        <f>IF(AND(FP$12&gt;=$E19,FP$12&lt;=$F19,MOD(FP$12,7)&gt;1,NOT(COUNTIF(General!$U$13:$U$19,FP$12))),$I19,"")</f>
        <v/>
      </c>
      <c r="FQ19" s="390" t="str">
        <f>IF(AND(FQ$12&gt;=$E19,FQ$12&lt;=$F19,MOD(FQ$12,7)&gt;1,NOT(COUNTIF(General!$U$13:$U$19,FQ$12))),$I19,"")</f>
        <v/>
      </c>
      <c r="FR19" s="390" t="str">
        <f>IF(AND(FR$12&gt;=$E19,FR$12&lt;=$F19,MOD(FR$12,7)&gt;1,NOT(COUNTIF(General!$U$13:$U$19,FR$12))),$I19,"")</f>
        <v/>
      </c>
      <c r="FS19" s="390" t="str">
        <f>IF(AND(FS$12&gt;=$E19,FS$12&lt;=$F19,MOD(FS$12,7)&gt;1,NOT(COUNTIF(General!$U$13:$U$19,FS$12))),$I19,"")</f>
        <v/>
      </c>
      <c r="FT19" s="390" t="str">
        <f>IF(AND(FT$12&gt;=$E19,FT$12&lt;=$F19,MOD(FT$12,7)&gt;1,NOT(COUNTIF(General!$U$13:$U$19,FT$12))),$I19,"")</f>
        <v/>
      </c>
      <c r="FU19" s="390" t="str">
        <f>IF(AND(FU$12&gt;=$E19,FU$12&lt;=$F19,MOD(FU$12,7)&gt;1,NOT(COUNTIF(General!$U$13:$U$19,FU$12))),$I19,"")</f>
        <v/>
      </c>
      <c r="FV19" s="390" t="str">
        <f>IF(AND(FV$12&gt;=$E19,FV$12&lt;=$F19,MOD(FV$12,7)&gt;1,NOT(COUNTIF(General!$U$13:$U$19,FV$12))),$I19,"")</f>
        <v/>
      </c>
      <c r="FW19" s="390" t="str">
        <f>IF(AND(FW$12&gt;=$E19,FW$12&lt;=$F19,MOD(FW$12,7)&gt;1,NOT(COUNTIF(General!$U$13:$U$19,FW$12))),$I19,"")</f>
        <v/>
      </c>
      <c r="FX19" s="390" t="str">
        <f>IF(AND(FX$12&gt;=$E19,FX$12&lt;=$F19,MOD(FX$12,7)&gt;1,NOT(COUNTIF(General!$U$13:$U$19,FX$12))),$I19,"")</f>
        <v/>
      </c>
    </row>
    <row r="20" ht="16.5" customHeight="1">
      <c r="A20" s="580">
        <v>388893.0</v>
      </c>
      <c r="B20" s="581" t="s">
        <v>575</v>
      </c>
      <c r="C20" s="582"/>
      <c r="D20" s="576" t="s">
        <v>574</v>
      </c>
      <c r="E20" s="583">
        <v>43803.0</v>
      </c>
      <c r="F20" s="374">
        <f>WORKDAY(E20,ROUNDUP(G20/I20,0),General!$U$13:$U$27)-1</f>
        <v>43803</v>
      </c>
      <c r="G20" s="584">
        <v>1.0</v>
      </c>
      <c r="H20" s="585"/>
      <c r="I20" s="586">
        <v>1.0</v>
      </c>
      <c r="J20" s="587"/>
      <c r="K20" s="588"/>
      <c r="L20" s="588"/>
      <c r="M20" s="589"/>
      <c r="N20" s="590"/>
      <c r="O20" s="591"/>
      <c r="P20" s="592"/>
      <c r="Q20" s="582" t="str">
        <f>IF(AND(Q$12&gt;=$E20,Q$12&lt;=$F20,MOD(Q$12,7)&gt;1,NOT(COUNTIF(General!$U$13:$U$19,Q$12))),$I20,"")</f>
        <v/>
      </c>
      <c r="R20" s="582" t="str">
        <f>IF(AND(R$12&gt;=$E20,R$12&lt;=$F20,MOD(R$12,7)&gt;1,NOT(COUNTIF(General!$U$13:$U$19,R$12))),$I20,"")</f>
        <v/>
      </c>
      <c r="S20" s="582">
        <f>IF(AND(S$12&gt;=$E20,S$12&lt;=$F20,MOD(S$12,7)&gt;1,NOT(COUNTIF(General!$U$13:$U$19,S$12))),$I20,"")</f>
        <v>1</v>
      </c>
      <c r="T20" s="582" t="str">
        <f>IF(AND(T$12&gt;=$E20,T$12&lt;=$F20,MOD(T$12,7)&gt;1,NOT(COUNTIF(General!$U$13:$U$19,T$12))),$I20,"")</f>
        <v/>
      </c>
      <c r="U20" s="582" t="str">
        <f>IF(AND(U$12&gt;=$E20,U$12&lt;=$F20,MOD(U$12,7)&gt;1,NOT(COUNTIF(General!$U$13:$U$19,U$12))),$I20,"")</f>
        <v/>
      </c>
      <c r="V20" s="593" t="str">
        <f>IF(AND(V$12&gt;=$E20,V$12&lt;=$F20,MOD(V$12,7)&gt;1,NOT(COUNTIF(General!$U$13:$U$19,V$12))),$I20,"")</f>
        <v/>
      </c>
      <c r="W20" s="593" t="str">
        <f>IF(AND(W$12&gt;=$E20,W$12&lt;=$F20,MOD(W$12,7)&gt;1,NOT(COUNTIF(General!$U$13:$U$19,W$12))),$I20,"")</f>
        <v/>
      </c>
      <c r="X20" s="582" t="str">
        <f>IF(AND(X$12&gt;=$E20,X$12&lt;=$F20,MOD(X$12,7)&gt;1,NOT(COUNTIF(General!$U$13:$U$19,X$12))),$I20,"")</f>
        <v/>
      </c>
      <c r="Y20" s="582" t="str">
        <f>IF(AND(Y$12&gt;=$E20,Y$12&lt;=$F20,MOD(Y$12,7)&gt;1,NOT(COUNTIF(General!$U$13:$U$19,Y$12))),$I20,"")</f>
        <v/>
      </c>
      <c r="Z20" s="582" t="str">
        <f>IF(AND(Z$12&gt;=$E20,Z$12&lt;=$F20,MOD(Z$12,7)&gt;1,NOT(COUNTIF(General!$U$13:$U$19,Z$12))),$I20,"")</f>
        <v/>
      </c>
      <c r="AA20" s="582" t="str">
        <f>IF(AND(AA$12&gt;=$E20,AA$12&lt;=$F20,MOD(AA$12,7)&gt;1,NOT(COUNTIF(General!$U$13:$U$19,AA$12))),$I20,"")</f>
        <v/>
      </c>
      <c r="AB20" s="582" t="str">
        <f>IF(AND(AB$12&gt;=$E20,AB$12&lt;=$F20,MOD(AB$12,7)&gt;1,NOT(COUNTIF(General!$U$13:$U$19,AB$12))),$I20,"")</f>
        <v/>
      </c>
      <c r="AC20" s="582" t="str">
        <f>IF(AND(AC$12&gt;=$E20,AC$12&lt;=$F20,MOD(AC$12,7)&gt;1,NOT(COUNTIF(General!$U$13:$U$19,AC$12))),$I20,"")</f>
        <v/>
      </c>
      <c r="AD20" s="582" t="str">
        <f>IF(AND(AD$12&gt;=$E20,AD$12&lt;=$F20,MOD(AD$12,7)&gt;1,NOT(COUNTIF(General!$U$13:$U$19,AD$12))),$I20,"")</f>
        <v/>
      </c>
      <c r="AE20" s="582" t="str">
        <f>IF(AND(AE$12&gt;=$E20,AE$12&lt;=$F20,MOD(AE$12,7)&gt;1,NOT(COUNTIF(General!$U$13:$U$19,AE$12))),$I20,"")</f>
        <v/>
      </c>
      <c r="AF20" s="582" t="str">
        <f>IF(AND(AF$12&gt;=$E20,AF$12&lt;=$F20,MOD(AF$12,7)&gt;1,NOT(COUNTIF(General!$U$13:$U$19,AF$12))),$I20,"")</f>
        <v/>
      </c>
      <c r="AG20" s="582" t="str">
        <f>IF(AND(AG$12&gt;=$E20,AG$12&lt;=$F20,MOD(AG$12,7)&gt;1,NOT(COUNTIF(General!$U$13:$U$19,AG$12))),$I20,"")</f>
        <v/>
      </c>
      <c r="AH20" s="582" t="str">
        <f>IF(AND(AH$12&gt;=$E20,AH$12&lt;=$F20,MOD(AH$12,7)&gt;1,NOT(COUNTIF(General!$U$13:$U$19,AH$12))),$I20,"")</f>
        <v/>
      </c>
      <c r="AI20" s="582" t="str">
        <f>IF(AND(AI$12&gt;=$E20,AI$12&lt;=$F20,MOD(AI$12,7)&gt;1,NOT(COUNTIF(General!$U$13:$U$19,AI$12))),$I20,"")</f>
        <v/>
      </c>
      <c r="AJ20" s="593" t="str">
        <f>IF(AND(AJ$12&gt;=$E20,AJ$12&lt;=$F20,MOD(AJ$12,7)&gt;1,NOT(COUNTIF(General!$U$13:$U$19,AJ$12))),$I20,"")</f>
        <v/>
      </c>
      <c r="AK20" s="593" t="str">
        <f>IF(AND(AK$12&gt;=$E20,AK$12&lt;=$F20,MOD(AK$12,7)&gt;1,NOT(COUNTIF(General!$U$13:$U$19,AK$12))),$I20,"")</f>
        <v/>
      </c>
      <c r="AL20" s="582" t="str">
        <f>IF(AND(AL$12&gt;=$E20,AL$12&lt;=$F20,MOD(AL$12,7)&gt;1,NOT(COUNTIF(General!$U$13:$U$19,AL$12))),$I20,"")</f>
        <v/>
      </c>
      <c r="AM20" s="582" t="str">
        <f>IF(AND(AM$12&gt;=$E20,AM$12&lt;=$F20,MOD(AM$12,7)&gt;1,NOT(COUNTIF(General!$U$13:$U$19,AM$12))),$I20,"")</f>
        <v/>
      </c>
      <c r="AN20" s="582" t="str">
        <f>IF(AND(AN$12&gt;=$E20,AN$12&lt;=$F20,MOD(AN$12,7)&gt;1,NOT(COUNTIF(General!$U$13:$U$19,AN$12))),$I20,"")</f>
        <v/>
      </c>
      <c r="AO20" s="582" t="str">
        <f>IF(AND(AO$12&gt;=$E20,AO$12&lt;=$F20,MOD(AO$12,7)&gt;1,NOT(COUNTIF(General!$U$13:$U$19,AO$12))),$I20,"")</f>
        <v/>
      </c>
      <c r="AP20" s="582" t="str">
        <f>IF(AND(AP$12&gt;=$E20,AP$12&lt;=$F20,MOD(AP$12,7)&gt;1,NOT(COUNTIF(General!$U$13:$U$19,AP$12))),$I20,"")</f>
        <v/>
      </c>
      <c r="AQ20" s="593" t="str">
        <f>IF(AND(AQ$12&gt;=$E20,AQ$12&lt;=$F20,MOD(AQ$12,7)&gt;1,NOT(COUNTIF(General!$U$13:$U$19,AQ$12))),$I20,"")</f>
        <v/>
      </c>
      <c r="AR20" s="593" t="str">
        <f>IF(AND(AR$12&gt;=$E20,AR$12&lt;=$F20,MOD(AR$12,7)&gt;1,NOT(COUNTIF(General!$U$13:$U$19,AR$12))),$I20,"")</f>
        <v/>
      </c>
      <c r="AS20" s="582" t="str">
        <f>IF(AND(AS$12&gt;=$E20,AS$12&lt;=$F20,MOD(AS$12,7)&gt;1,NOT(COUNTIF(General!$U$13:$U$19,AS$12))),$I20,"")</f>
        <v/>
      </c>
      <c r="AT20" s="582" t="str">
        <f>IF(AND(AT$12&gt;=$E20,AT$12&lt;=$F20,MOD(AT$12,7)&gt;1,NOT(COUNTIF(General!$U$13:$U$19,AT$12))),$I20,"")</f>
        <v/>
      </c>
      <c r="AU20" s="582" t="str">
        <f>IF(AND(AU$12&gt;=$E20,AU$12&lt;=$F20,MOD(AU$12,7)&gt;1,NOT(COUNTIF(General!$U$13:$U$19,AU$12))),$I20,"")</f>
        <v/>
      </c>
      <c r="AV20" s="582" t="str">
        <f>IF(AND(AV$12&gt;=$E20,AV$12&lt;=$F20,MOD(AV$12,7)&gt;1,NOT(COUNTIF(General!$U$13:$U$19,AV$12))),$I20,"")</f>
        <v/>
      </c>
      <c r="AW20" s="582" t="str">
        <f>IF(AND(AW$12&gt;=$E20,AW$12&lt;=$F20,MOD(AW$12,7)&gt;1,NOT(COUNTIF(General!$U$13:$U$19,AW$12))),$I20,"")</f>
        <v/>
      </c>
      <c r="AX20" s="593" t="str">
        <f>IF(AND(AX$12&gt;=$E20,AX$12&lt;=$F20,MOD(AX$12,7)&gt;1,NOT(COUNTIF(General!$U$13:$U$19,AX$12))),$I20,"")</f>
        <v/>
      </c>
      <c r="AY20" s="593" t="str">
        <f>IF(AND(AY$12&gt;=$E20,AY$12&lt;=$F20,MOD(AY$12,7)&gt;1,NOT(COUNTIF(General!$U$13:$U$19,AY$12))),$I20,"")</f>
        <v/>
      </c>
      <c r="AZ20" s="582" t="str">
        <f>IF(AND(AZ$12&gt;=$E20,AZ$12&lt;=$F20,MOD(AZ$12,7)&gt;1,NOT(COUNTIF(General!$U$13:$U$19,AZ$12))),$I20,"")</f>
        <v/>
      </c>
      <c r="BA20" s="582" t="str">
        <f>IF(AND(BA$12&gt;=$E20,BA$12&lt;=$F20,MOD(BA$12,7)&gt;1,NOT(COUNTIF(General!$U$13:$U$19,BA$12))),$I20,"")</f>
        <v/>
      </c>
      <c r="BB20" s="582" t="str">
        <f>IF(AND(BB$12&gt;=$E20,BB$12&lt;=$F20,MOD(BB$12,7)&gt;1,NOT(COUNTIF(General!$U$13:$U$19,BB$12))),$I20,"")</f>
        <v/>
      </c>
      <c r="BC20" s="582" t="str">
        <f>IF(AND(BC$12&gt;=$E20,BC$12&lt;=$F20,MOD(BC$12,7)&gt;1,NOT(COUNTIF(General!$U$13:$U$19,BC$12))),$I20,"")</f>
        <v/>
      </c>
      <c r="BD20" s="582" t="str">
        <f>IF(AND(BD$12&gt;=$E20,BD$12&lt;=$F20,MOD(BD$12,7)&gt;1,NOT(COUNTIF(General!$U$13:$U$19,BD$12))),$I20,"")</f>
        <v/>
      </c>
      <c r="BE20" s="593" t="str">
        <f>IF(AND(BE$12&gt;=$E20,BE$12&lt;=$F20,MOD(BE$12,7)&gt;1,NOT(COUNTIF(General!$U$13:$U$19,BE$12))),$I20,"")</f>
        <v/>
      </c>
      <c r="BF20" s="593" t="str">
        <f>IF(AND(BF$12&gt;=$E20,BF$12&lt;=$F20,MOD(BF$12,7)&gt;1,NOT(COUNTIF(General!$U$13:$U$19,BF$12))),$I20,"")</f>
        <v/>
      </c>
      <c r="BG20" s="582" t="str">
        <f>IF(AND(BG$12&gt;=$E20,BG$12&lt;=$F20,MOD(BG$12,7)&gt;1,NOT(COUNTIF(General!$U$13:$U$19,BG$12))),$I20,"")</f>
        <v/>
      </c>
      <c r="BH20" s="582" t="str">
        <f>IF(AND(BH$12&gt;=$E20,BH$12&lt;=$F20,MOD(BH$12,7)&gt;1,NOT(COUNTIF(General!$U$13:$U$19,BH$12))),$I20,"")</f>
        <v/>
      </c>
      <c r="BI20" s="582" t="str">
        <f>IF(AND(BI$12&gt;=$E20,BI$12&lt;=$F20,MOD(BI$12,7)&gt;1,NOT(COUNTIF(General!$U$13:$U$19,BI$12))),$I20,"")</f>
        <v/>
      </c>
      <c r="BJ20" s="582" t="str">
        <f>IF(AND(BJ$12&gt;=$E20,BJ$12&lt;=$F20,MOD(BJ$12,7)&gt;1,NOT(COUNTIF(General!$U$13:$U$19,BJ$12))),$I20,"")</f>
        <v/>
      </c>
      <c r="BK20" s="582" t="str">
        <f>IF(AND(BK$12&gt;=$E20,BK$12&lt;=$F20,MOD(BK$12,7)&gt;1,NOT(COUNTIF(General!$U$13:$U$19,BK$12))),$I20,"")</f>
        <v/>
      </c>
      <c r="BL20" s="593" t="str">
        <f>IF(AND(BL$12&gt;=$E20,BL$12&lt;=$F20,MOD(BL$12,7)&gt;1,NOT(COUNTIF(General!$U$13:$U$19,BL$12))),$I20,"")</f>
        <v/>
      </c>
      <c r="BM20" s="593" t="str">
        <f>IF(AND(BM$12&gt;=$E20,BM$12&lt;=$F20,MOD(BM$12,7)&gt;1,NOT(COUNTIF(General!$U$13:$U$19,BM$12))),$I20,"")</f>
        <v/>
      </c>
      <c r="BN20" s="582" t="str">
        <f>IF(AND(BN$12&gt;=$E20,BN$12&lt;=$F20,MOD(BN$12,7)&gt;1,NOT(COUNTIF(General!$U$13:$U$19,BN$12))),$I20,"")</f>
        <v/>
      </c>
      <c r="BO20" s="582" t="str">
        <f>IF(AND(BO$12&gt;=$E20,BO$12&lt;=$F20,MOD(BO$12,7)&gt;1,NOT(COUNTIF(General!$U$13:$U$19,BO$12))),$I20,"")</f>
        <v/>
      </c>
      <c r="BP20" s="582" t="str">
        <f>IF(AND(BP$12&gt;=$E20,BP$12&lt;=$F20,MOD(BP$12,7)&gt;1,NOT(COUNTIF(General!$U$13:$U$19,BP$12))),$I20,"")</f>
        <v/>
      </c>
      <c r="BQ20" s="582" t="str">
        <f>IF(AND(BQ$12&gt;=$E20,BQ$12&lt;=$F20,MOD(BQ$12,7)&gt;1,NOT(COUNTIF(General!$U$13:$U$19,BQ$12))),$I20,"")</f>
        <v/>
      </c>
      <c r="BR20" s="582" t="str">
        <f>IF(AND(BR$12&gt;=$E20,BR$12&lt;=$F20,MOD(BR$12,7)&gt;1,NOT(COUNTIF(General!$U$13:$U$19,BR$12))),$I20,"")</f>
        <v/>
      </c>
      <c r="BS20" s="593" t="str">
        <f>IF(AND(BS$12&gt;=$E20,BS$12&lt;=$F20,MOD(BS$12,7)&gt;1,NOT(COUNTIF(General!$U$13:$U$19,BS$12))),$I20,"")</f>
        <v/>
      </c>
      <c r="BT20" s="593" t="str">
        <f>IF(AND(BT$12&gt;=$E20,BT$12&lt;=$F20,MOD(BT$12,7)&gt;1,NOT(COUNTIF(General!$U$13:$U$19,BT$12))),$I20,"")</f>
        <v/>
      </c>
      <c r="BU20" s="582" t="str">
        <f>IF(AND(BU$12&gt;=$E20,BU$12&lt;=$F20,MOD(BU$12,7)&gt;1,NOT(COUNTIF(General!$U$13:$U$19,BU$12))),$I20,"")</f>
        <v/>
      </c>
      <c r="BV20" s="582" t="str">
        <f>IF(AND(BV$12&gt;=$E20,BV$12&lt;=$F20,MOD(BV$12,7)&gt;1,NOT(COUNTIF(General!$U$13:$U$19,BV$12))),$I20,"")</f>
        <v/>
      </c>
      <c r="BW20" s="582" t="str">
        <f>IF(AND(BW$12&gt;=$E20,BW$12&lt;=$F20,MOD(BW$12,7)&gt;1,NOT(COUNTIF(General!$U$13:$U$19,BW$12))),$I20,"")</f>
        <v/>
      </c>
      <c r="BX20" s="582" t="str">
        <f>IF(AND(BX$12&gt;=$E20,BX$12&lt;=$F20,MOD(BX$12,7)&gt;1,NOT(COUNTIF(General!$U$13:$U$19,BX$12))),$I20,"")</f>
        <v/>
      </c>
      <c r="BY20" s="582" t="str">
        <f>IF(AND(BY$12&gt;=$E20,BY$12&lt;=$F20,MOD(BY$12,7)&gt;1,NOT(COUNTIF(General!$U$13:$U$19,BY$12))),$I20,"")</f>
        <v/>
      </c>
      <c r="BZ20" s="593" t="str">
        <f>IF(AND(BZ$12&gt;=$E20,BZ$12&lt;=$F20,MOD(BZ$12,7)&gt;1,NOT(COUNTIF(General!$U$13:$U$19,BZ$12))),$I20,"")</f>
        <v/>
      </c>
      <c r="CA20" s="593" t="str">
        <f>IF(AND(CA$12&gt;=$E20,CA$12&lt;=$F20,MOD(CA$12,7)&gt;1,NOT(COUNTIF(General!$U$13:$U$19,CA$12))),$I20,"")</f>
        <v/>
      </c>
      <c r="CB20" s="582" t="str">
        <f>IF(AND(CB$12&gt;=$E20,CB$12&lt;=$F20,MOD(CB$12,7)&gt;1,NOT(COUNTIF(General!$U$13:$U$19,CB$12))),$I20,"")</f>
        <v/>
      </c>
      <c r="CC20" s="582" t="str">
        <f>IF(AND(CC$12&gt;=$E20,CC$12&lt;=$F20,MOD(CC$12,7)&gt;1,NOT(COUNTIF(General!$U$13:$U$19,CC$12))),$I20,"")</f>
        <v/>
      </c>
      <c r="CD20" s="582" t="str">
        <f>IF(AND(CD$12&gt;=$E20,CD$12&lt;=$F20,MOD(CD$12,7)&gt;1,NOT(COUNTIF(General!$U$13:$U$19,CD$12))),$I20,"")</f>
        <v/>
      </c>
      <c r="CE20" s="582" t="str">
        <f>IF(AND(CE$12&gt;=$E20,CE$12&lt;=$F20,MOD(CE$12,7)&gt;1,NOT(COUNTIF(General!$U$13:$U$19,CE$12))),$I20,"")</f>
        <v/>
      </c>
      <c r="CF20" s="582" t="str">
        <f>IF(AND(CF$12&gt;=$E20,CF$12&lt;=$F20,MOD(CF$12,7)&gt;1,NOT(COUNTIF(General!$U$13:$U$19,CF$12))),$I20,"")</f>
        <v/>
      </c>
      <c r="CG20" s="593" t="str">
        <f>IF(AND(CG$12&gt;=$E20,CG$12&lt;=$F20,MOD(CG$12,7)&gt;1,NOT(COUNTIF(General!$U$13:$U$19,CG$12))),$I20,"")</f>
        <v/>
      </c>
      <c r="CH20" s="593" t="str">
        <f>IF(AND(CH$12&gt;=$E20,CH$12&lt;=$F20,MOD(CH$12,7)&gt;1,NOT(COUNTIF(General!$U$13:$U$19,CH$12))),$I20,"")</f>
        <v/>
      </c>
      <c r="CI20" s="582" t="str">
        <f>IF(AND(CI$12&gt;=$E20,CI$12&lt;=$F20,MOD(CI$12,7)&gt;1,NOT(COUNTIF(General!$U$13:$U$19,CI$12))),$I20,"")</f>
        <v/>
      </c>
      <c r="CJ20" s="582" t="str">
        <f>IF(AND(CJ$12&gt;=$E20,CJ$12&lt;=$F20,MOD(CJ$12,7)&gt;1,NOT(COUNTIF(General!$U$13:$U$19,CJ$12))),$I20,"")</f>
        <v/>
      </c>
      <c r="CK20" s="582" t="str">
        <f>IF(AND(CK$12&gt;=$E20,CK$12&lt;=$F20,MOD(CK$12,7)&gt;1,NOT(COUNTIF(General!$U$13:$U$19,CK$12))),$I20,"")</f>
        <v/>
      </c>
      <c r="CL20" s="582" t="str">
        <f>IF(AND(CL$12&gt;=$E20,CL$12&lt;=$F20,MOD(CL$12,7)&gt;1,NOT(COUNTIF(General!$U$13:$U$19,CL$12))),$I20,"")</f>
        <v/>
      </c>
      <c r="CM20" s="582" t="str">
        <f>IF(AND(CM$12&gt;=$E20,CM$12&lt;=$F20,MOD(CM$12,7)&gt;1,NOT(COUNTIF(General!$U$13:$U$19,CM$12))),$I20,"")</f>
        <v/>
      </c>
      <c r="CN20" s="593" t="str">
        <f>IF(AND(CN$12&gt;=$E20,CN$12&lt;=$F20,MOD(CN$12,7)&gt;1,NOT(COUNTIF(General!$U$13:$U$19,CN$12))),$I20,"")</f>
        <v/>
      </c>
      <c r="CO20" s="593" t="str">
        <f>IF(AND(CO$12&gt;=$E20,CO$12&lt;=$F20,MOD(CO$12,7)&gt;1,NOT(COUNTIF(General!$U$13:$U$19,CO$12))),$I20,"")</f>
        <v/>
      </c>
      <c r="CP20" s="582" t="str">
        <f>IF(AND(CP$12&gt;=$E20,CP$12&lt;=$F20,MOD(CP$12,7)&gt;1,NOT(COUNTIF(General!$U$13:$U$19,CP$12))),$I20,"")</f>
        <v/>
      </c>
      <c r="CQ20" s="582" t="str">
        <f>IF(AND(CQ$12&gt;=$E20,CQ$12&lt;=$F20,MOD(CQ$12,7)&gt;1,NOT(COUNTIF(General!$U$13:$U$19,CQ$12))),$I20,"")</f>
        <v/>
      </c>
      <c r="CR20" s="582" t="str">
        <f>IF(AND(CR$12&gt;=$E20,CR$12&lt;=$F20,MOD(CR$12,7)&gt;1,NOT(COUNTIF(General!$U$13:$U$19,CR$12))),$I20,"")</f>
        <v/>
      </c>
      <c r="CS20" s="582" t="str">
        <f>IF(AND(CS$12&gt;=$E20,CS$12&lt;=$F20,MOD(CS$12,7)&gt;1,NOT(COUNTIF(General!$U$13:$U$19,CS$12))),$I20,"")</f>
        <v/>
      </c>
      <c r="CT20" s="582" t="str">
        <f>IF(AND(CT$12&gt;=$E20,CT$12&lt;=$F20,MOD(CT$12,7)&gt;1,NOT(COUNTIF(General!$U$13:$U$19,CT$12))),$I20,"")</f>
        <v/>
      </c>
      <c r="CU20" s="593" t="str">
        <f>IF(AND(CU$12&gt;=$E20,CU$12&lt;=$F20,MOD(CU$12,7)&gt;1,NOT(COUNTIF(General!$U$13:$U$19,CU$12))),$I20,"")</f>
        <v/>
      </c>
      <c r="CV20" s="593" t="str">
        <f>IF(AND(CV$12&gt;=$E20,CV$12&lt;=$F20,MOD(CV$12,7)&gt;1,NOT(COUNTIF(General!$U$13:$U$19,CV$12))),$I20,"")</f>
        <v/>
      </c>
      <c r="CW20" s="582" t="str">
        <f>IF(AND(CW$12&gt;=$E20,CW$12&lt;=$F20,MOD(CW$12,7)&gt;1,NOT(COUNTIF(General!$U$13:$U$19,CW$12))),$I20,"")</f>
        <v/>
      </c>
      <c r="CX20" s="582" t="str">
        <f>IF(AND(CX$12&gt;=$E20,CX$12&lt;=$F20,MOD(CX$12,7)&gt;1,NOT(COUNTIF(General!$U$13:$U$19,CX$12))),$I20,"")</f>
        <v/>
      </c>
      <c r="CY20" s="582" t="str">
        <f>IF(AND(CY$12&gt;=$E20,CY$12&lt;=$F20,MOD(CY$12,7)&gt;1,NOT(COUNTIF(General!$U$13:$U$19,CY$12))),$I20,"")</f>
        <v/>
      </c>
      <c r="CZ20" s="582" t="str">
        <f>IF(AND(CZ$12&gt;=$E20,CZ$12&lt;=$F20,MOD(CZ$12,7)&gt;1,NOT(COUNTIF(General!$U$13:$U$19,CZ$12))),$I20,"")</f>
        <v/>
      </c>
      <c r="DA20" s="582" t="str">
        <f>IF(AND(DA$12&gt;=$E20,DA$12&lt;=$F20,MOD(DA$12,7)&gt;1,NOT(COUNTIF(General!$U$13:$U$19,DA$12))),$I20,"")</f>
        <v/>
      </c>
      <c r="DB20" s="593" t="str">
        <f>IF(AND(DB$12&gt;=$E20,DB$12&lt;=$F20,MOD(DB$12,7)&gt;1,NOT(COUNTIF(General!$U$13:$U$19,DB$12))),$I20,"")</f>
        <v/>
      </c>
      <c r="DC20" s="593" t="str">
        <f>IF(AND(DC$12&gt;=$E20,DC$12&lt;=$F20,MOD(DC$12,7)&gt;1,NOT(COUNTIF(General!$U$13:$U$19,DC$12))),$I20,"")</f>
        <v/>
      </c>
      <c r="DD20" s="582" t="str">
        <f>IF(AND(DD$12&gt;=$E20,DD$12&lt;=$F20,MOD(DD$12,7)&gt;1,NOT(COUNTIF(General!$U$13:$U$19,DD$12))),$I20,"")</f>
        <v/>
      </c>
      <c r="DE20" s="582" t="str">
        <f>IF(AND(DE$12&gt;=$E20,DE$12&lt;=$F20,MOD(DE$12,7)&gt;1,NOT(COUNTIF(General!$U$13:$U$19,DE$12))),$I20,"")</f>
        <v/>
      </c>
      <c r="DF20" s="582" t="str">
        <f>IF(AND(DF$12&gt;=$E20,DF$12&lt;=$F20,MOD(DF$12,7)&gt;1,NOT(COUNTIF(General!$U$13:$U$19,DF$12))),$I20,"")</f>
        <v/>
      </c>
      <c r="DG20" s="582" t="str">
        <f>IF(AND(DG$12&gt;=$E20,DG$12&lt;=$F20,MOD(DG$12,7)&gt;1,NOT(COUNTIF(General!$U$13:$U$19,DG$12))),$I20,"")</f>
        <v/>
      </c>
      <c r="DH20" s="582" t="str">
        <f>IF(AND(DH$12&gt;=$E20,DH$12&lt;=$F20,MOD(DH$12,7)&gt;1,NOT(COUNTIF(General!$U$13:$U$19,DH$12))),$I20,"")</f>
        <v/>
      </c>
      <c r="DI20" s="593" t="str">
        <f>IF(AND(DI$12&gt;=$E20,DI$12&lt;=$F20,MOD(DI$12,7)&gt;1,NOT(COUNTIF(General!$U$13:$U$19,DI$12))),$I20,"")</f>
        <v/>
      </c>
      <c r="DJ20" s="593" t="str">
        <f>IF(AND(DJ$12&gt;=$E20,DJ$12&lt;=$F20,MOD(DJ$12,7)&gt;1,NOT(COUNTIF(General!$U$13:$U$19,DJ$12))),$I20,"")</f>
        <v/>
      </c>
      <c r="DK20" s="582" t="str">
        <f>IF(AND(DK$12&gt;=$E20,DK$12&lt;=$F20,MOD(DK$12,7)&gt;1,NOT(COUNTIF(General!$U$13:$U$19,DK$12))),$I20,"")</f>
        <v/>
      </c>
      <c r="DL20" s="582" t="str">
        <f>IF(AND(DL$12&gt;=$E20,DL$12&lt;=$F20,MOD(DL$12,7)&gt;1,NOT(COUNTIF(General!$U$13:$U$19,DL$12))),$I20,"")</f>
        <v/>
      </c>
      <c r="DM20" s="582" t="str">
        <f>IF(AND(DM$12&gt;=$E20,DM$12&lt;=$F20,MOD(DM$12,7)&gt;1,NOT(COUNTIF(General!$U$13:$U$19,DM$12))),$I20,"")</f>
        <v/>
      </c>
      <c r="DN20" s="582" t="str">
        <f>IF(AND(DN$12&gt;=$E20,DN$12&lt;=$F20,MOD(DN$12,7)&gt;1,NOT(COUNTIF(General!$U$13:$U$19,DN$12))),$I20,"")</f>
        <v/>
      </c>
      <c r="DO20" s="582" t="str">
        <f>IF(AND(DO$12&gt;=$E20,DO$12&lt;=$F20,MOD(DO$12,7)&gt;1,NOT(COUNTIF(General!$U$13:$U$19,DO$12))),$I20,"")</f>
        <v/>
      </c>
      <c r="DP20" s="593" t="str">
        <f>IF(AND(DP$12&gt;=$E20,DP$12&lt;=$F20,MOD(DP$12,7)&gt;1,NOT(COUNTIF(General!$U$13:$U$19,DP$12))),$I20,"")</f>
        <v/>
      </c>
      <c r="DQ20" s="593" t="str">
        <f>IF(AND(DQ$12&gt;=$E20,DQ$12&lt;=$F20,MOD(DQ$12,7)&gt;1,NOT(COUNTIF(General!$U$13:$U$19,DQ$12))),$I20,"")</f>
        <v/>
      </c>
      <c r="DR20" s="582" t="str">
        <f>IF(AND(DR$12&gt;=$E20,DR$12&lt;=$F20,MOD(DR$12,7)&gt;1,NOT(COUNTIF(General!$U$13:$U$19,DR$12))),$I20,"")</f>
        <v/>
      </c>
      <c r="DS20" s="582" t="str">
        <f>IF(AND(DS$12&gt;=$E20,DS$12&lt;=$F20,MOD(DS$12,7)&gt;1,NOT(COUNTIF(General!$U$13:$U$19,DS$12))),$I20,"")</f>
        <v/>
      </c>
      <c r="DT20" s="582" t="str">
        <f>IF(AND(DT$12&gt;=$E20,DT$12&lt;=$F20,MOD(DT$12,7)&gt;1,NOT(COUNTIF(General!$U$13:$U$19,DT$12))),$I20,"")</f>
        <v/>
      </c>
      <c r="DU20" s="582" t="str">
        <f>IF(AND(DU$12&gt;=$E20,DU$12&lt;=$F20,MOD(DU$12,7)&gt;1,NOT(COUNTIF(General!$U$13:$U$19,DU$12))),$I20,"")</f>
        <v/>
      </c>
      <c r="DV20" s="582" t="str">
        <f>IF(AND(DV$12&gt;=$E20,DV$12&lt;=$F20,MOD(DV$12,7)&gt;1,NOT(COUNTIF(General!$U$13:$U$19,DV$12))),$I20,"")</f>
        <v/>
      </c>
      <c r="DW20" s="593" t="str">
        <f>IF(AND(DW$12&gt;=$E20,DW$12&lt;=$F20,MOD(DW$12,7)&gt;1,NOT(COUNTIF(General!$U$13:$U$19,DW$12))),$I20,"")</f>
        <v/>
      </c>
      <c r="DX20" s="593" t="str">
        <f>IF(AND(DX$12&gt;=$E20,DX$12&lt;=$F20,MOD(DX$12,7)&gt;1,NOT(COUNTIF(General!$U$13:$U$19,DX$12))),$I20,"")</f>
        <v/>
      </c>
      <c r="DY20" s="582" t="str">
        <f>IF(AND(DY$12&gt;=$E20,DY$12&lt;=$F20,MOD(DY$12,7)&gt;1,NOT(COUNTIF(General!$U$13:$U$19,DY$12))),$I20,"")</f>
        <v/>
      </c>
      <c r="DZ20" s="582" t="str">
        <f>IF(AND(DZ$12&gt;=$E20,DZ$12&lt;=$F20,MOD(DZ$12,7)&gt;1,NOT(COUNTIF(General!$U$13:$U$19,DZ$12))),$I20,"")</f>
        <v/>
      </c>
      <c r="EA20" s="582" t="str">
        <f>IF(AND(EA$12&gt;=$E20,EA$12&lt;=$F20,MOD(EA$12,7)&gt;1,NOT(COUNTIF(General!$U$13:$U$19,EA$12))),$I20,"")</f>
        <v/>
      </c>
      <c r="EB20" s="582" t="str">
        <f>IF(AND(EB$12&gt;=$E20,EB$12&lt;=$F20,MOD(EB$12,7)&gt;1,NOT(COUNTIF(General!$U$13:$U$19,EB$12))),$I20,"")</f>
        <v/>
      </c>
      <c r="EC20" s="582" t="str">
        <f>IF(AND(EC$12&gt;=$E20,EC$12&lt;=$F20,MOD(EC$12,7)&gt;1,NOT(COUNTIF(General!$U$13:$U$19,EC$12))),$I20,"")</f>
        <v/>
      </c>
      <c r="ED20" s="593" t="str">
        <f>IF(AND(ED$12&gt;=$E20,ED$12&lt;=$F20,MOD(ED$12,7)&gt;1,NOT(COUNTIF(General!$U$13:$U$19,ED$12))),$I20,"")</f>
        <v/>
      </c>
      <c r="EE20" s="593" t="str">
        <f>IF(AND(EE$12&gt;=$E20,EE$12&lt;=$F20,MOD(EE$12,7)&gt;1,NOT(COUNTIF(General!$U$13:$U$19,EE$12))),$I20,"")</f>
        <v/>
      </c>
      <c r="EF20" s="582" t="str">
        <f>IF(AND(EF$12&gt;=$E20,EF$12&lt;=$F20,MOD(EF$12,7)&gt;1,NOT(COUNTIF(General!$U$13:$U$19,EF$12))),$I20,"")</f>
        <v/>
      </c>
      <c r="EG20" s="582" t="str">
        <f>IF(AND(EG$12&gt;=$E20,EG$12&lt;=$F20,MOD(EG$12,7)&gt;1,NOT(COUNTIF(General!$U$13:$U$19,EG$12))),$I20,"")</f>
        <v/>
      </c>
      <c r="EH20" s="582" t="str">
        <f>IF(AND(EH$12&gt;=$E20,EH$12&lt;=$F20,MOD(EH$12,7)&gt;1,NOT(COUNTIF(General!$U$13:$U$19,EH$12))),$I20,"")</f>
        <v/>
      </c>
      <c r="EI20" s="582" t="str">
        <f>IF(AND(EI$12&gt;=$E20,EI$12&lt;=$F20,MOD(EI$12,7)&gt;1,NOT(COUNTIF(General!$U$13:$U$19,EI$12))),$I20,"")</f>
        <v/>
      </c>
      <c r="EJ20" s="582" t="str">
        <f>IF(AND(EJ$12&gt;=$E20,EJ$12&lt;=$F20,MOD(EJ$12,7)&gt;1,NOT(COUNTIF(General!$U$13:$U$19,EJ$12))),$I20,"")</f>
        <v/>
      </c>
      <c r="EK20" s="593" t="str">
        <f>IF(AND(EK$12&gt;=$E20,EK$12&lt;=$F20,MOD(EK$12,7)&gt;1,NOT(COUNTIF(General!$U$13:$U$19,EK$12))),$I20,"")</f>
        <v/>
      </c>
      <c r="EL20" s="593" t="str">
        <f>IF(AND(EL$12&gt;=$E20,EL$12&lt;=$F20,MOD(EL$12,7)&gt;1,NOT(COUNTIF(General!$U$13:$U$19,EL$12))),$I20,"")</f>
        <v/>
      </c>
      <c r="EM20" s="582" t="str">
        <f>IF(AND(EM$12&gt;=$E20,EM$12&lt;=$F20,MOD(EM$12,7)&gt;1,NOT(COUNTIF(General!$U$13:$U$19,EM$12))),$I20,"")</f>
        <v/>
      </c>
      <c r="EN20" s="582" t="str">
        <f>IF(AND(EN$12&gt;=$E20,EN$12&lt;=$F20,MOD(EN$12,7)&gt;1,NOT(COUNTIF(General!$U$13:$U$19,EN$12))),$I20,"")</f>
        <v/>
      </c>
      <c r="EO20" s="582" t="str">
        <f>IF(AND(EO$12&gt;=$E20,EO$12&lt;=$F20,MOD(EO$12,7)&gt;1,NOT(COUNTIF(General!$U$13:$U$19,EO$12))),$I20,"")</f>
        <v/>
      </c>
      <c r="EP20" s="582" t="str">
        <f>IF(AND(EP$12&gt;=$E20,EP$12&lt;=$F20,MOD(EP$12,7)&gt;1,NOT(COUNTIF(General!$U$13:$U$19,EP$12))),$I20,"")</f>
        <v/>
      </c>
      <c r="EQ20" s="582" t="str">
        <f>IF(AND(EQ$12&gt;=$E20,EQ$12&lt;=$F20,MOD(EQ$12,7)&gt;1,NOT(COUNTIF(General!$U$13:$U$19,EQ$12))),$I20,"")</f>
        <v/>
      </c>
      <c r="ER20" s="593" t="str">
        <f>IF(AND(ER$12&gt;=$E20,ER$12&lt;=$F20,MOD(ER$12,7)&gt;1,NOT(COUNTIF(General!$U$13:$U$19,ER$12))),$I20,"")</f>
        <v/>
      </c>
      <c r="ES20" s="593" t="str">
        <f>IF(AND(ES$12&gt;=$E20,ES$12&lt;=$F20,MOD(ES$12,7)&gt;1,NOT(COUNTIF(General!$U$13:$U$19,ES$12))),$I20,"")</f>
        <v/>
      </c>
      <c r="ET20" s="582" t="str">
        <f>IF(AND(ET$12&gt;=$E20,ET$12&lt;=$F20,MOD(ET$12,7)&gt;1,NOT(COUNTIF(General!$U$13:$U$19,ET$12))),$I20,"")</f>
        <v/>
      </c>
      <c r="EU20" s="582" t="str">
        <f>IF(AND(EU$12&gt;=$E20,EU$12&lt;=$F20,MOD(EU$12,7)&gt;1,NOT(COUNTIF(General!$U$13:$U$19,EU$12))),$I20,"")</f>
        <v/>
      </c>
      <c r="EV20" s="582" t="str">
        <f>IF(AND(EV$12&gt;=$E20,EV$12&lt;=$F20,MOD(EV$12,7)&gt;1,NOT(COUNTIF(General!$U$13:$U$19,EV$12))),$I20,"")</f>
        <v/>
      </c>
      <c r="EW20" s="582" t="str">
        <f>IF(AND(EW$12&gt;=$E20,EW$12&lt;=$F20,MOD(EW$12,7)&gt;1,NOT(COUNTIF(General!$U$13:$U$19,EW$12))),$I20,"")</f>
        <v/>
      </c>
      <c r="EX20" s="582" t="str">
        <f>IF(AND(EX$12&gt;=$E20,EX$12&lt;=$F20,MOD(EX$12,7)&gt;1,NOT(COUNTIF(General!$U$13:$U$19,EX$12))),$I20,"")</f>
        <v/>
      </c>
      <c r="EY20" s="593" t="str">
        <f>IF(AND(EY$12&gt;=$E20,EY$12&lt;=$F20,MOD(EY$12,7)&gt;1,NOT(COUNTIF(General!$U$13:$U$19,EY$12))),$I20,"")</f>
        <v/>
      </c>
      <c r="EZ20" s="593" t="str">
        <f>IF(AND(EZ$12&gt;=$E20,EZ$12&lt;=$F20,MOD(EZ$12,7)&gt;1,NOT(COUNTIF(General!$U$13:$U$19,EZ$12))),$I20,"")</f>
        <v/>
      </c>
      <c r="FA20" s="582" t="str">
        <f>IF(AND(FA$12&gt;=$E20,FA$12&lt;=$F20,MOD(FA$12,7)&gt;1,NOT(COUNTIF(General!$U$13:$U$19,FA$12))),$I20,"")</f>
        <v/>
      </c>
      <c r="FB20" s="582" t="str">
        <f>IF(AND(FB$12&gt;=$E20,FB$12&lt;=$F20,MOD(FB$12,7)&gt;1,NOT(COUNTIF(General!$U$13:$U$19,FB$12))),$I20,"")</f>
        <v/>
      </c>
      <c r="FC20" s="582" t="str">
        <f>IF(AND(FC$12&gt;=$E20,FC$12&lt;=$F20,MOD(FC$12,7)&gt;1,NOT(COUNTIF(General!$U$13:$U$19,FC$12))),$I20,"")</f>
        <v/>
      </c>
      <c r="FD20" s="582" t="str">
        <f>IF(AND(FD$12&gt;=$E20,FD$12&lt;=$F20,MOD(FD$12,7)&gt;1,NOT(COUNTIF(General!$U$13:$U$19,FD$12))),$I20,"")</f>
        <v/>
      </c>
      <c r="FE20" s="582" t="str">
        <f>IF(AND(FE$12&gt;=$E20,FE$12&lt;=$F20,MOD(FE$12,7)&gt;1,NOT(COUNTIF(General!$U$13:$U$19,FE$12))),$I20,"")</f>
        <v/>
      </c>
      <c r="FF20" s="593" t="str">
        <f>IF(AND(FF$12&gt;=$E20,FF$12&lt;=$F20,MOD(FF$12,7)&gt;1,NOT(COUNTIF(General!$U$13:$U$19,FF$12))),$I20,"")</f>
        <v/>
      </c>
      <c r="FG20" s="593" t="str">
        <f>IF(AND(FG$12&gt;=$E20,FG$12&lt;=$F20,MOD(FG$12,7)&gt;1,NOT(COUNTIF(General!$U$13:$U$19,FG$12))),$I20,"")</f>
        <v/>
      </c>
      <c r="FH20" s="582" t="str">
        <f>IF(AND(FH$12&gt;=$E20,FH$12&lt;=$F20,MOD(FH$12,7)&gt;1,NOT(COUNTIF(General!$U$13:$U$19,FH$12))),$I20,"")</f>
        <v/>
      </c>
      <c r="FI20" s="582" t="str">
        <f>IF(AND(FI$12&gt;=$E20,FI$12&lt;=$F20,MOD(FI$12,7)&gt;1,NOT(COUNTIF(General!$U$13:$U$19,FI$12))),$I20,"")</f>
        <v/>
      </c>
      <c r="FJ20" s="582" t="str">
        <f>IF(AND(FJ$12&gt;=$E20,FJ$12&lt;=$F20,MOD(FJ$12,7)&gt;1,NOT(COUNTIF(General!$U$13:$U$19,FJ$12))),$I20,"")</f>
        <v/>
      </c>
      <c r="FK20" s="582" t="str">
        <f>IF(AND(FK$12&gt;=$E20,FK$12&lt;=$F20,MOD(FK$12,7)&gt;1,NOT(COUNTIF(General!$U$13:$U$19,FK$12))),$I20,"")</f>
        <v/>
      </c>
      <c r="FL20" s="582" t="str">
        <f>IF(AND(FL$12&gt;=$E20,FL$12&lt;=$F20,MOD(FL$12,7)&gt;1,NOT(COUNTIF(General!$U$13:$U$19,FL$12))),$I20,"")</f>
        <v/>
      </c>
      <c r="FM20" s="593" t="str">
        <f>IF(AND(FM$12&gt;=$E20,FM$12&lt;=$F20,MOD(FM$12,7)&gt;1,NOT(COUNTIF(General!$U$13:$U$19,FM$12))),$I20,"")</f>
        <v/>
      </c>
      <c r="FN20" s="593" t="str">
        <f>IF(AND(FN$12&gt;=$E20,FN$12&lt;=$F20,MOD(FN$12,7)&gt;1,NOT(COUNTIF(General!$U$13:$U$19,FN$12))),$I20,"")</f>
        <v/>
      </c>
      <c r="FO20" s="582" t="str">
        <f>IF(AND(FO$12&gt;=$E20,FO$12&lt;=$F20,MOD(FO$12,7)&gt;1,NOT(COUNTIF(General!$U$13:$U$19,FO$12))),$I20,"")</f>
        <v/>
      </c>
      <c r="FP20" s="582" t="str">
        <f>IF(AND(FP$12&gt;=$E20,FP$12&lt;=$F20,MOD(FP$12,7)&gt;1,NOT(COUNTIF(General!$U$13:$U$19,FP$12))),$I20,"")</f>
        <v/>
      </c>
      <c r="FQ20" s="582" t="str">
        <f>IF(AND(FQ$12&gt;=$E20,FQ$12&lt;=$F20,MOD(FQ$12,7)&gt;1,NOT(COUNTIF(General!$U$13:$U$19,FQ$12))),$I20,"")</f>
        <v/>
      </c>
      <c r="FR20" s="582" t="str">
        <f>IF(AND(FR$12&gt;=$E20,FR$12&lt;=$F20,MOD(FR$12,7)&gt;1,NOT(COUNTIF(General!$U$13:$U$19,FR$12))),$I20,"")</f>
        <v/>
      </c>
      <c r="FS20" s="582" t="str">
        <f>IF(AND(FS$12&gt;=$E20,FS$12&lt;=$F20,MOD(FS$12,7)&gt;1,NOT(COUNTIF(General!$U$13:$U$19,FS$12))),$I20,"")</f>
        <v/>
      </c>
      <c r="FT20" s="593" t="str">
        <f>IF(AND(FT$12&gt;=$E20,FT$12&lt;=$F20,MOD(FT$12,7)&gt;1,NOT(COUNTIF(General!$U$13:$U$19,FT$12))),$I20,"")</f>
        <v/>
      </c>
      <c r="FU20" s="593" t="str">
        <f>IF(AND(FU$12&gt;=$E20,FU$12&lt;=$F20,MOD(FU$12,7)&gt;1,NOT(COUNTIF(General!$U$13:$U$19,FU$12))),$I20,"")</f>
        <v/>
      </c>
      <c r="FV20" s="582" t="str">
        <f>IF(AND(FV$12&gt;=$E20,FV$12&lt;=$F20,MOD(FV$12,7)&gt;1,NOT(COUNTIF(General!$U$13:$U$19,FV$12))),$I20,"")</f>
        <v/>
      </c>
      <c r="FW20" s="582" t="str">
        <f>IF(AND(FW$12&gt;=$E20,FW$12&lt;=$F20,MOD(FW$12,7)&gt;1,NOT(COUNTIF(General!$U$13:$U$19,FW$12))),$I20,"")</f>
        <v/>
      </c>
      <c r="FX20" s="582" t="str">
        <f>IF(AND(FX$12&gt;=$E20,FX$12&lt;=$F20,MOD(FX$12,7)&gt;1,NOT(COUNTIF(General!$U$13:$U$19,FX$12))),$I20,"")</f>
        <v/>
      </c>
    </row>
    <row r="21" ht="16.5" customHeight="1">
      <c r="A21" s="594"/>
      <c r="B21" s="582"/>
      <c r="C21" s="582"/>
      <c r="D21" s="595" t="s">
        <v>571</v>
      </c>
      <c r="E21" s="583">
        <v>43804.0</v>
      </c>
      <c r="F21" s="374">
        <f>WORKDAY(E21,ROUNDUP(G21/I21,0),General!$U$13:$U$27)-1</f>
        <v>43804</v>
      </c>
      <c r="G21" s="542">
        <f>G20*0.4</f>
        <v>0.4</v>
      </c>
      <c r="H21" s="585"/>
      <c r="I21" s="581">
        <v>1.0</v>
      </c>
      <c r="J21" s="587"/>
      <c r="K21" s="588"/>
      <c r="L21" s="588"/>
      <c r="M21" s="589"/>
      <c r="N21" s="590"/>
      <c r="O21" s="591"/>
      <c r="P21" s="592"/>
      <c r="Q21" s="582" t="str">
        <f>IF(AND(Q$12&gt;=$E21,Q$12&lt;=$F21,MOD(Q$12,7)&gt;1,NOT(COUNTIF(General!$U$13:$U$19,Q$12))),$I21,"")</f>
        <v/>
      </c>
      <c r="R21" s="582" t="str">
        <f>IF(AND(R$12&gt;=$E21,R$12&lt;=$F21,MOD(R$12,7)&gt;1,NOT(COUNTIF(General!$U$13:$U$19,R$12))),$I21,"")</f>
        <v/>
      </c>
      <c r="S21" s="582" t="str">
        <f>IF(AND(S$12&gt;=$E21,S$12&lt;=$F21,MOD(S$12,7)&gt;1,NOT(COUNTIF(General!$U$13:$U$19,S$12))),$I21,"")</f>
        <v/>
      </c>
      <c r="T21" s="582">
        <f>IF(AND(T$12&gt;=$E21,T$12&lt;=$F21,MOD(T$12,7)&gt;1,NOT(COUNTIF(General!$U$13:$U$19,T$12))),$I21,"")</f>
        <v>1</v>
      </c>
      <c r="U21" s="582" t="str">
        <f>IF(AND(U$12&gt;=$E21,U$12&lt;=$F21,MOD(U$12,7)&gt;1,NOT(COUNTIF(General!$U$13:$U$19,U$12))),$I21,"")</f>
        <v/>
      </c>
      <c r="V21" s="593" t="str">
        <f>IF(AND(V$12&gt;=$E21,V$12&lt;=$F21,MOD(V$12,7)&gt;1,NOT(COUNTIF(General!$U$13:$U$19,V$12))),$I21,"")</f>
        <v/>
      </c>
      <c r="W21" s="593" t="str">
        <f>IF(AND(W$12&gt;=$E21,W$12&lt;=$F21,MOD(W$12,7)&gt;1,NOT(COUNTIF(General!$U$13:$U$19,W$12))),$I21,"")</f>
        <v/>
      </c>
      <c r="X21" s="582" t="str">
        <f>IF(AND(X$12&gt;=$E21,X$12&lt;=$F21,MOD(X$12,7)&gt;1,NOT(COUNTIF(General!$U$13:$U$19,X$12))),$I21,"")</f>
        <v/>
      </c>
      <c r="Y21" s="582" t="str">
        <f>IF(AND(Y$12&gt;=$E21,Y$12&lt;=$F21,MOD(Y$12,7)&gt;1,NOT(COUNTIF(General!$U$13:$U$19,Y$12))),$I21,"")</f>
        <v/>
      </c>
      <c r="Z21" s="582" t="str">
        <f>IF(AND(Z$12&gt;=$E21,Z$12&lt;=$F21,MOD(Z$12,7)&gt;1,NOT(COUNTIF(General!$U$13:$U$19,Z$12))),$I21,"")</f>
        <v/>
      </c>
      <c r="AA21" s="582" t="str">
        <f>IF(AND(AA$12&gt;=$E21,AA$12&lt;=$F21,MOD(AA$12,7)&gt;1,NOT(COUNTIF(General!$U$13:$U$19,AA$12))),$I21,"")</f>
        <v/>
      </c>
      <c r="AB21" s="582" t="str">
        <f>IF(AND(AB$12&gt;=$E21,AB$12&lt;=$F21,MOD(AB$12,7)&gt;1,NOT(COUNTIF(General!$U$13:$U$19,AB$12))),$I21,"")</f>
        <v/>
      </c>
      <c r="AC21" s="582" t="str">
        <f>IF(AND(AC$12&gt;=$E21,AC$12&lt;=$F21,MOD(AC$12,7)&gt;1,NOT(COUNTIF(General!$U$13:$U$19,AC$12))),$I21,"")</f>
        <v/>
      </c>
      <c r="AD21" s="582" t="str">
        <f>IF(AND(AD$12&gt;=$E21,AD$12&lt;=$F21,MOD(AD$12,7)&gt;1,NOT(COUNTIF(General!$U$13:$U$19,AD$12))),$I21,"")</f>
        <v/>
      </c>
      <c r="AE21" s="582" t="str">
        <f>IF(AND(AE$12&gt;=$E21,AE$12&lt;=$F21,MOD(AE$12,7)&gt;1,NOT(COUNTIF(General!$U$13:$U$19,AE$12))),$I21,"")</f>
        <v/>
      </c>
      <c r="AF21" s="582" t="str">
        <f>IF(AND(AF$12&gt;=$E21,AF$12&lt;=$F21,MOD(AF$12,7)&gt;1,NOT(COUNTIF(General!$U$13:$U$19,AF$12))),$I21,"")</f>
        <v/>
      </c>
      <c r="AG21" s="582" t="str">
        <f>IF(AND(AG$12&gt;=$E21,AG$12&lt;=$F21,MOD(AG$12,7)&gt;1,NOT(COUNTIF(General!$U$13:$U$19,AG$12))),$I21,"")</f>
        <v/>
      </c>
      <c r="AH21" s="582" t="str">
        <f>IF(AND(AH$12&gt;=$E21,AH$12&lt;=$F21,MOD(AH$12,7)&gt;1,NOT(COUNTIF(General!$U$13:$U$19,AH$12))),$I21,"")</f>
        <v/>
      </c>
      <c r="AI21" s="582" t="str">
        <f>IF(AND(AI$12&gt;=$E21,AI$12&lt;=$F21,MOD(AI$12,7)&gt;1,NOT(COUNTIF(General!$U$13:$U$19,AI$12))),$I21,"")</f>
        <v/>
      </c>
      <c r="AJ21" s="593" t="str">
        <f>IF(AND(AJ$12&gt;=$E21,AJ$12&lt;=$F21,MOD(AJ$12,7)&gt;1,NOT(COUNTIF(General!$U$13:$U$19,AJ$12))),$I21,"")</f>
        <v/>
      </c>
      <c r="AK21" s="593" t="str">
        <f>IF(AND(AK$12&gt;=$E21,AK$12&lt;=$F21,MOD(AK$12,7)&gt;1,NOT(COUNTIF(General!$U$13:$U$19,AK$12))),$I21,"")</f>
        <v/>
      </c>
      <c r="AL21" s="582" t="str">
        <f>IF(AND(AL$12&gt;=$E21,AL$12&lt;=$F21,MOD(AL$12,7)&gt;1,NOT(COUNTIF(General!$U$13:$U$19,AL$12))),$I21,"")</f>
        <v/>
      </c>
      <c r="AM21" s="582" t="str">
        <f>IF(AND(AM$12&gt;=$E21,AM$12&lt;=$F21,MOD(AM$12,7)&gt;1,NOT(COUNTIF(General!$U$13:$U$19,AM$12))),$I21,"")</f>
        <v/>
      </c>
      <c r="AN21" s="582" t="str">
        <f>IF(AND(AN$12&gt;=$E21,AN$12&lt;=$F21,MOD(AN$12,7)&gt;1,NOT(COUNTIF(General!$U$13:$U$19,AN$12))),$I21,"")</f>
        <v/>
      </c>
      <c r="AO21" s="582" t="str">
        <f>IF(AND(AO$12&gt;=$E21,AO$12&lt;=$F21,MOD(AO$12,7)&gt;1,NOT(COUNTIF(General!$U$13:$U$19,AO$12))),$I21,"")</f>
        <v/>
      </c>
      <c r="AP21" s="582" t="str">
        <f>IF(AND(AP$12&gt;=$E21,AP$12&lt;=$F21,MOD(AP$12,7)&gt;1,NOT(COUNTIF(General!$U$13:$U$19,AP$12))),$I21,"")</f>
        <v/>
      </c>
      <c r="AQ21" s="593" t="str">
        <f>IF(AND(AQ$12&gt;=$E21,AQ$12&lt;=$F21,MOD(AQ$12,7)&gt;1,NOT(COUNTIF(General!$U$13:$U$19,AQ$12))),$I21,"")</f>
        <v/>
      </c>
      <c r="AR21" s="593" t="str">
        <f>IF(AND(AR$12&gt;=$E21,AR$12&lt;=$F21,MOD(AR$12,7)&gt;1,NOT(COUNTIF(General!$U$13:$U$19,AR$12))),$I21,"")</f>
        <v/>
      </c>
      <c r="AS21" s="582" t="str">
        <f>IF(AND(AS$12&gt;=$E21,AS$12&lt;=$F21,MOD(AS$12,7)&gt;1,NOT(COUNTIF(General!$U$13:$U$19,AS$12))),$I21,"")</f>
        <v/>
      </c>
      <c r="AT21" s="582" t="str">
        <f>IF(AND(AT$12&gt;=$E21,AT$12&lt;=$F21,MOD(AT$12,7)&gt;1,NOT(COUNTIF(General!$U$13:$U$19,AT$12))),$I21,"")</f>
        <v/>
      </c>
      <c r="AU21" s="582" t="str">
        <f>IF(AND(AU$12&gt;=$E21,AU$12&lt;=$F21,MOD(AU$12,7)&gt;1,NOT(COUNTIF(General!$U$13:$U$19,AU$12))),$I21,"")</f>
        <v/>
      </c>
      <c r="AV21" s="582" t="str">
        <f>IF(AND(AV$12&gt;=$E21,AV$12&lt;=$F21,MOD(AV$12,7)&gt;1,NOT(COUNTIF(General!$U$13:$U$19,AV$12))),$I21,"")</f>
        <v/>
      </c>
      <c r="AW21" s="582" t="str">
        <f>IF(AND(AW$12&gt;=$E21,AW$12&lt;=$F21,MOD(AW$12,7)&gt;1,NOT(COUNTIF(General!$U$13:$U$19,AW$12))),$I21,"")</f>
        <v/>
      </c>
      <c r="AX21" s="593" t="str">
        <f>IF(AND(AX$12&gt;=$E21,AX$12&lt;=$F21,MOD(AX$12,7)&gt;1,NOT(COUNTIF(General!$U$13:$U$19,AX$12))),$I21,"")</f>
        <v/>
      </c>
      <c r="AY21" s="593" t="str">
        <f>IF(AND(AY$12&gt;=$E21,AY$12&lt;=$F21,MOD(AY$12,7)&gt;1,NOT(COUNTIF(General!$U$13:$U$19,AY$12))),$I21,"")</f>
        <v/>
      </c>
      <c r="AZ21" s="582" t="str">
        <f>IF(AND(AZ$12&gt;=$E21,AZ$12&lt;=$F21,MOD(AZ$12,7)&gt;1,NOT(COUNTIF(General!$U$13:$U$19,AZ$12))),$I21,"")</f>
        <v/>
      </c>
      <c r="BA21" s="582" t="str">
        <f>IF(AND(BA$12&gt;=$E21,BA$12&lt;=$F21,MOD(BA$12,7)&gt;1,NOT(COUNTIF(General!$U$13:$U$19,BA$12))),$I21,"")</f>
        <v/>
      </c>
      <c r="BB21" s="582" t="str">
        <f>IF(AND(BB$12&gt;=$E21,BB$12&lt;=$F21,MOD(BB$12,7)&gt;1,NOT(COUNTIF(General!$U$13:$U$19,BB$12))),$I21,"")</f>
        <v/>
      </c>
      <c r="BC21" s="582" t="str">
        <f>IF(AND(BC$12&gt;=$E21,BC$12&lt;=$F21,MOD(BC$12,7)&gt;1,NOT(COUNTIF(General!$U$13:$U$19,BC$12))),$I21,"")</f>
        <v/>
      </c>
      <c r="BD21" s="582" t="str">
        <f>IF(AND(BD$12&gt;=$E21,BD$12&lt;=$F21,MOD(BD$12,7)&gt;1,NOT(COUNTIF(General!$U$13:$U$19,BD$12))),$I21,"")</f>
        <v/>
      </c>
      <c r="BE21" s="593" t="str">
        <f>IF(AND(BE$12&gt;=$E21,BE$12&lt;=$F21,MOD(BE$12,7)&gt;1,NOT(COUNTIF(General!$U$13:$U$19,BE$12))),$I21,"")</f>
        <v/>
      </c>
      <c r="BF21" s="593" t="str">
        <f>IF(AND(BF$12&gt;=$E21,BF$12&lt;=$F21,MOD(BF$12,7)&gt;1,NOT(COUNTIF(General!$U$13:$U$19,BF$12))),$I21,"")</f>
        <v/>
      </c>
      <c r="BG21" s="582" t="str">
        <f>IF(AND(BG$12&gt;=$E21,BG$12&lt;=$F21,MOD(BG$12,7)&gt;1,NOT(COUNTIF(General!$U$13:$U$19,BG$12))),$I21,"")</f>
        <v/>
      </c>
      <c r="BH21" s="582" t="str">
        <f>IF(AND(BH$12&gt;=$E21,BH$12&lt;=$F21,MOD(BH$12,7)&gt;1,NOT(COUNTIF(General!$U$13:$U$19,BH$12))),$I21,"")</f>
        <v/>
      </c>
      <c r="BI21" s="582" t="str">
        <f>IF(AND(BI$12&gt;=$E21,BI$12&lt;=$F21,MOD(BI$12,7)&gt;1,NOT(COUNTIF(General!$U$13:$U$19,BI$12))),$I21,"")</f>
        <v/>
      </c>
      <c r="BJ21" s="582" t="str">
        <f>IF(AND(BJ$12&gt;=$E21,BJ$12&lt;=$F21,MOD(BJ$12,7)&gt;1,NOT(COUNTIF(General!$U$13:$U$19,BJ$12))),$I21,"")</f>
        <v/>
      </c>
      <c r="BK21" s="582" t="str">
        <f>IF(AND(BK$12&gt;=$E21,BK$12&lt;=$F21,MOD(BK$12,7)&gt;1,NOT(COUNTIF(General!$U$13:$U$19,BK$12))),$I21,"")</f>
        <v/>
      </c>
      <c r="BL21" s="593" t="str">
        <f>IF(AND(BL$12&gt;=$E21,BL$12&lt;=$F21,MOD(BL$12,7)&gt;1,NOT(COUNTIF(General!$U$13:$U$19,BL$12))),$I21,"")</f>
        <v/>
      </c>
      <c r="BM21" s="593" t="str">
        <f>IF(AND(BM$12&gt;=$E21,BM$12&lt;=$F21,MOD(BM$12,7)&gt;1,NOT(COUNTIF(General!$U$13:$U$19,BM$12))),$I21,"")</f>
        <v/>
      </c>
      <c r="BN21" s="582" t="str">
        <f>IF(AND(BN$12&gt;=$E21,BN$12&lt;=$F21,MOD(BN$12,7)&gt;1,NOT(COUNTIF(General!$U$13:$U$19,BN$12))),$I21,"")</f>
        <v/>
      </c>
      <c r="BO21" s="582" t="str">
        <f>IF(AND(BO$12&gt;=$E21,BO$12&lt;=$F21,MOD(BO$12,7)&gt;1,NOT(COUNTIF(General!$U$13:$U$19,BO$12))),$I21,"")</f>
        <v/>
      </c>
      <c r="BP21" s="582" t="str">
        <f>IF(AND(BP$12&gt;=$E21,BP$12&lt;=$F21,MOD(BP$12,7)&gt;1,NOT(COUNTIF(General!$U$13:$U$19,BP$12))),$I21,"")</f>
        <v/>
      </c>
      <c r="BQ21" s="582" t="str">
        <f>IF(AND(BQ$12&gt;=$E21,BQ$12&lt;=$F21,MOD(BQ$12,7)&gt;1,NOT(COUNTIF(General!$U$13:$U$19,BQ$12))),$I21,"")</f>
        <v/>
      </c>
      <c r="BR21" s="582" t="str">
        <f>IF(AND(BR$12&gt;=$E21,BR$12&lt;=$F21,MOD(BR$12,7)&gt;1,NOT(COUNTIF(General!$U$13:$U$19,BR$12))),$I21,"")</f>
        <v/>
      </c>
      <c r="BS21" s="593" t="str">
        <f>IF(AND(BS$12&gt;=$E21,BS$12&lt;=$F21,MOD(BS$12,7)&gt;1,NOT(COUNTIF(General!$U$13:$U$19,BS$12))),$I21,"")</f>
        <v/>
      </c>
      <c r="BT21" s="593" t="str">
        <f>IF(AND(BT$12&gt;=$E21,BT$12&lt;=$F21,MOD(BT$12,7)&gt;1,NOT(COUNTIF(General!$U$13:$U$19,BT$12))),$I21,"")</f>
        <v/>
      </c>
      <c r="BU21" s="582" t="str">
        <f>IF(AND(BU$12&gt;=$E21,BU$12&lt;=$F21,MOD(BU$12,7)&gt;1,NOT(COUNTIF(General!$U$13:$U$19,BU$12))),$I21,"")</f>
        <v/>
      </c>
      <c r="BV21" s="582" t="str">
        <f>IF(AND(BV$12&gt;=$E21,BV$12&lt;=$F21,MOD(BV$12,7)&gt;1,NOT(COUNTIF(General!$U$13:$U$19,BV$12))),$I21,"")</f>
        <v/>
      </c>
      <c r="BW21" s="582" t="str">
        <f>IF(AND(BW$12&gt;=$E21,BW$12&lt;=$F21,MOD(BW$12,7)&gt;1,NOT(COUNTIF(General!$U$13:$U$19,BW$12))),$I21,"")</f>
        <v/>
      </c>
      <c r="BX21" s="582" t="str">
        <f>IF(AND(BX$12&gt;=$E21,BX$12&lt;=$F21,MOD(BX$12,7)&gt;1,NOT(COUNTIF(General!$U$13:$U$19,BX$12))),$I21,"")</f>
        <v/>
      </c>
      <c r="BY21" s="582" t="str">
        <f>IF(AND(BY$12&gt;=$E21,BY$12&lt;=$F21,MOD(BY$12,7)&gt;1,NOT(COUNTIF(General!$U$13:$U$19,BY$12))),$I21,"")</f>
        <v/>
      </c>
      <c r="BZ21" s="593" t="str">
        <f>IF(AND(BZ$12&gt;=$E21,BZ$12&lt;=$F21,MOD(BZ$12,7)&gt;1,NOT(COUNTIF(General!$U$13:$U$19,BZ$12))),$I21,"")</f>
        <v/>
      </c>
      <c r="CA21" s="593" t="str">
        <f>IF(AND(CA$12&gt;=$E21,CA$12&lt;=$F21,MOD(CA$12,7)&gt;1,NOT(COUNTIF(General!$U$13:$U$19,CA$12))),$I21,"")</f>
        <v/>
      </c>
      <c r="CB21" s="582" t="str">
        <f>IF(AND(CB$12&gt;=$E21,CB$12&lt;=$F21,MOD(CB$12,7)&gt;1,NOT(COUNTIF(General!$U$13:$U$19,CB$12))),$I21,"")</f>
        <v/>
      </c>
      <c r="CC21" s="582" t="str">
        <f>IF(AND(CC$12&gt;=$E21,CC$12&lt;=$F21,MOD(CC$12,7)&gt;1,NOT(COUNTIF(General!$U$13:$U$19,CC$12))),$I21,"")</f>
        <v/>
      </c>
      <c r="CD21" s="582" t="str">
        <f>IF(AND(CD$12&gt;=$E21,CD$12&lt;=$F21,MOD(CD$12,7)&gt;1,NOT(COUNTIF(General!$U$13:$U$19,CD$12))),$I21,"")</f>
        <v/>
      </c>
      <c r="CE21" s="582" t="str">
        <f>IF(AND(CE$12&gt;=$E21,CE$12&lt;=$F21,MOD(CE$12,7)&gt;1,NOT(COUNTIF(General!$U$13:$U$19,CE$12))),$I21,"")</f>
        <v/>
      </c>
      <c r="CF21" s="582" t="str">
        <f>IF(AND(CF$12&gt;=$E21,CF$12&lt;=$F21,MOD(CF$12,7)&gt;1,NOT(COUNTIF(General!$U$13:$U$19,CF$12))),$I21,"")</f>
        <v/>
      </c>
      <c r="CG21" s="593" t="str">
        <f>IF(AND(CG$12&gt;=$E21,CG$12&lt;=$F21,MOD(CG$12,7)&gt;1,NOT(COUNTIF(General!$U$13:$U$19,CG$12))),$I21,"")</f>
        <v/>
      </c>
      <c r="CH21" s="593" t="str">
        <f>IF(AND(CH$12&gt;=$E21,CH$12&lt;=$F21,MOD(CH$12,7)&gt;1,NOT(COUNTIF(General!$U$13:$U$19,CH$12))),$I21,"")</f>
        <v/>
      </c>
      <c r="CI21" s="582" t="str">
        <f>IF(AND(CI$12&gt;=$E21,CI$12&lt;=$F21,MOD(CI$12,7)&gt;1,NOT(COUNTIF(General!$U$13:$U$19,CI$12))),$I21,"")</f>
        <v/>
      </c>
      <c r="CJ21" s="582" t="str">
        <f>IF(AND(CJ$12&gt;=$E21,CJ$12&lt;=$F21,MOD(CJ$12,7)&gt;1,NOT(COUNTIF(General!$U$13:$U$19,CJ$12))),$I21,"")</f>
        <v/>
      </c>
      <c r="CK21" s="582" t="str">
        <f>IF(AND(CK$12&gt;=$E21,CK$12&lt;=$F21,MOD(CK$12,7)&gt;1,NOT(COUNTIF(General!$U$13:$U$19,CK$12))),$I21,"")</f>
        <v/>
      </c>
      <c r="CL21" s="582" t="str">
        <f>IF(AND(CL$12&gt;=$E21,CL$12&lt;=$F21,MOD(CL$12,7)&gt;1,NOT(COUNTIF(General!$U$13:$U$19,CL$12))),$I21,"")</f>
        <v/>
      </c>
      <c r="CM21" s="582" t="str">
        <f>IF(AND(CM$12&gt;=$E21,CM$12&lt;=$F21,MOD(CM$12,7)&gt;1,NOT(COUNTIF(General!$U$13:$U$19,CM$12))),$I21,"")</f>
        <v/>
      </c>
      <c r="CN21" s="593" t="str">
        <f>IF(AND(CN$12&gt;=$E21,CN$12&lt;=$F21,MOD(CN$12,7)&gt;1,NOT(COUNTIF(General!$U$13:$U$19,CN$12))),$I21,"")</f>
        <v/>
      </c>
      <c r="CO21" s="593" t="str">
        <f>IF(AND(CO$12&gt;=$E21,CO$12&lt;=$F21,MOD(CO$12,7)&gt;1,NOT(COUNTIF(General!$U$13:$U$19,CO$12))),$I21,"")</f>
        <v/>
      </c>
      <c r="CP21" s="582" t="str">
        <f>IF(AND(CP$12&gt;=$E21,CP$12&lt;=$F21,MOD(CP$12,7)&gt;1,NOT(COUNTIF(General!$U$13:$U$19,CP$12))),$I21,"")</f>
        <v/>
      </c>
      <c r="CQ21" s="582" t="str">
        <f>IF(AND(CQ$12&gt;=$E21,CQ$12&lt;=$F21,MOD(CQ$12,7)&gt;1,NOT(COUNTIF(General!$U$13:$U$19,CQ$12))),$I21,"")</f>
        <v/>
      </c>
      <c r="CR21" s="582" t="str">
        <f>IF(AND(CR$12&gt;=$E21,CR$12&lt;=$F21,MOD(CR$12,7)&gt;1,NOT(COUNTIF(General!$U$13:$U$19,CR$12))),$I21,"")</f>
        <v/>
      </c>
      <c r="CS21" s="582" t="str">
        <f>IF(AND(CS$12&gt;=$E21,CS$12&lt;=$F21,MOD(CS$12,7)&gt;1,NOT(COUNTIF(General!$U$13:$U$19,CS$12))),$I21,"")</f>
        <v/>
      </c>
      <c r="CT21" s="582" t="str">
        <f>IF(AND(CT$12&gt;=$E21,CT$12&lt;=$F21,MOD(CT$12,7)&gt;1,NOT(COUNTIF(General!$U$13:$U$19,CT$12))),$I21,"")</f>
        <v/>
      </c>
      <c r="CU21" s="593" t="str">
        <f>IF(AND(CU$12&gt;=$E21,CU$12&lt;=$F21,MOD(CU$12,7)&gt;1,NOT(COUNTIF(General!$U$13:$U$19,CU$12))),$I21,"")</f>
        <v/>
      </c>
      <c r="CV21" s="593" t="str">
        <f>IF(AND(CV$12&gt;=$E21,CV$12&lt;=$F21,MOD(CV$12,7)&gt;1,NOT(COUNTIF(General!$U$13:$U$19,CV$12))),$I21,"")</f>
        <v/>
      </c>
      <c r="CW21" s="582" t="str">
        <f>IF(AND(CW$12&gt;=$E21,CW$12&lt;=$F21,MOD(CW$12,7)&gt;1,NOT(COUNTIF(General!$U$13:$U$19,CW$12))),$I21,"")</f>
        <v/>
      </c>
      <c r="CX21" s="582" t="str">
        <f>IF(AND(CX$12&gt;=$E21,CX$12&lt;=$F21,MOD(CX$12,7)&gt;1,NOT(COUNTIF(General!$U$13:$U$19,CX$12))),$I21,"")</f>
        <v/>
      </c>
      <c r="CY21" s="582" t="str">
        <f>IF(AND(CY$12&gt;=$E21,CY$12&lt;=$F21,MOD(CY$12,7)&gt;1,NOT(COUNTIF(General!$U$13:$U$19,CY$12))),$I21,"")</f>
        <v/>
      </c>
      <c r="CZ21" s="582" t="str">
        <f>IF(AND(CZ$12&gt;=$E21,CZ$12&lt;=$F21,MOD(CZ$12,7)&gt;1,NOT(COUNTIF(General!$U$13:$U$19,CZ$12))),$I21,"")</f>
        <v/>
      </c>
      <c r="DA21" s="582" t="str">
        <f>IF(AND(DA$12&gt;=$E21,DA$12&lt;=$F21,MOD(DA$12,7)&gt;1,NOT(COUNTIF(General!$U$13:$U$19,DA$12))),$I21,"")</f>
        <v/>
      </c>
      <c r="DB21" s="593" t="str">
        <f>IF(AND(DB$12&gt;=$E21,DB$12&lt;=$F21,MOD(DB$12,7)&gt;1,NOT(COUNTIF(General!$U$13:$U$19,DB$12))),$I21,"")</f>
        <v/>
      </c>
      <c r="DC21" s="593" t="str">
        <f>IF(AND(DC$12&gt;=$E21,DC$12&lt;=$F21,MOD(DC$12,7)&gt;1,NOT(COUNTIF(General!$U$13:$U$19,DC$12))),$I21,"")</f>
        <v/>
      </c>
      <c r="DD21" s="582" t="str">
        <f>IF(AND(DD$12&gt;=$E21,DD$12&lt;=$F21,MOD(DD$12,7)&gt;1,NOT(COUNTIF(General!$U$13:$U$19,DD$12))),$I21,"")</f>
        <v/>
      </c>
      <c r="DE21" s="582" t="str">
        <f>IF(AND(DE$12&gt;=$E21,DE$12&lt;=$F21,MOD(DE$12,7)&gt;1,NOT(COUNTIF(General!$U$13:$U$19,DE$12))),$I21,"")</f>
        <v/>
      </c>
      <c r="DF21" s="582" t="str">
        <f>IF(AND(DF$12&gt;=$E21,DF$12&lt;=$F21,MOD(DF$12,7)&gt;1,NOT(COUNTIF(General!$U$13:$U$19,DF$12))),$I21,"")</f>
        <v/>
      </c>
      <c r="DG21" s="582" t="str">
        <f>IF(AND(DG$12&gt;=$E21,DG$12&lt;=$F21,MOD(DG$12,7)&gt;1,NOT(COUNTIF(General!$U$13:$U$19,DG$12))),$I21,"")</f>
        <v/>
      </c>
      <c r="DH21" s="582" t="str">
        <f>IF(AND(DH$12&gt;=$E21,DH$12&lt;=$F21,MOD(DH$12,7)&gt;1,NOT(COUNTIF(General!$U$13:$U$19,DH$12))),$I21,"")</f>
        <v/>
      </c>
      <c r="DI21" s="593" t="str">
        <f>IF(AND(DI$12&gt;=$E21,DI$12&lt;=$F21,MOD(DI$12,7)&gt;1,NOT(COUNTIF(General!$U$13:$U$19,DI$12))),$I21,"")</f>
        <v/>
      </c>
      <c r="DJ21" s="593" t="str">
        <f>IF(AND(DJ$12&gt;=$E21,DJ$12&lt;=$F21,MOD(DJ$12,7)&gt;1,NOT(COUNTIF(General!$U$13:$U$19,DJ$12))),$I21,"")</f>
        <v/>
      </c>
      <c r="DK21" s="582" t="str">
        <f>IF(AND(DK$12&gt;=$E21,DK$12&lt;=$F21,MOD(DK$12,7)&gt;1,NOT(COUNTIF(General!$U$13:$U$19,DK$12))),$I21,"")</f>
        <v/>
      </c>
      <c r="DL21" s="582" t="str">
        <f>IF(AND(DL$12&gt;=$E21,DL$12&lt;=$F21,MOD(DL$12,7)&gt;1,NOT(COUNTIF(General!$U$13:$U$19,DL$12))),$I21,"")</f>
        <v/>
      </c>
      <c r="DM21" s="582" t="str">
        <f>IF(AND(DM$12&gt;=$E21,DM$12&lt;=$F21,MOD(DM$12,7)&gt;1,NOT(COUNTIF(General!$U$13:$U$19,DM$12))),$I21,"")</f>
        <v/>
      </c>
      <c r="DN21" s="582" t="str">
        <f>IF(AND(DN$12&gt;=$E21,DN$12&lt;=$F21,MOD(DN$12,7)&gt;1,NOT(COUNTIF(General!$U$13:$U$19,DN$12))),$I21,"")</f>
        <v/>
      </c>
      <c r="DO21" s="582" t="str">
        <f>IF(AND(DO$12&gt;=$E21,DO$12&lt;=$F21,MOD(DO$12,7)&gt;1,NOT(COUNTIF(General!$U$13:$U$19,DO$12))),$I21,"")</f>
        <v/>
      </c>
      <c r="DP21" s="593" t="str">
        <f>IF(AND(DP$12&gt;=$E21,DP$12&lt;=$F21,MOD(DP$12,7)&gt;1,NOT(COUNTIF(General!$U$13:$U$19,DP$12))),$I21,"")</f>
        <v/>
      </c>
      <c r="DQ21" s="593" t="str">
        <f>IF(AND(DQ$12&gt;=$E21,DQ$12&lt;=$F21,MOD(DQ$12,7)&gt;1,NOT(COUNTIF(General!$U$13:$U$19,DQ$12))),$I21,"")</f>
        <v/>
      </c>
      <c r="DR21" s="582" t="str">
        <f>IF(AND(DR$12&gt;=$E21,DR$12&lt;=$F21,MOD(DR$12,7)&gt;1,NOT(COUNTIF(General!$U$13:$U$19,DR$12))),$I21,"")</f>
        <v/>
      </c>
      <c r="DS21" s="582" t="str">
        <f>IF(AND(DS$12&gt;=$E21,DS$12&lt;=$F21,MOD(DS$12,7)&gt;1,NOT(COUNTIF(General!$U$13:$U$19,DS$12))),$I21,"")</f>
        <v/>
      </c>
      <c r="DT21" s="582" t="str">
        <f>IF(AND(DT$12&gt;=$E21,DT$12&lt;=$F21,MOD(DT$12,7)&gt;1,NOT(COUNTIF(General!$U$13:$U$19,DT$12))),$I21,"")</f>
        <v/>
      </c>
      <c r="DU21" s="582" t="str">
        <f>IF(AND(DU$12&gt;=$E21,DU$12&lt;=$F21,MOD(DU$12,7)&gt;1,NOT(COUNTIF(General!$U$13:$U$19,DU$12))),$I21,"")</f>
        <v/>
      </c>
      <c r="DV21" s="582" t="str">
        <f>IF(AND(DV$12&gt;=$E21,DV$12&lt;=$F21,MOD(DV$12,7)&gt;1,NOT(COUNTIF(General!$U$13:$U$19,DV$12))),$I21,"")</f>
        <v/>
      </c>
      <c r="DW21" s="593" t="str">
        <f>IF(AND(DW$12&gt;=$E21,DW$12&lt;=$F21,MOD(DW$12,7)&gt;1,NOT(COUNTIF(General!$U$13:$U$19,DW$12))),$I21,"")</f>
        <v/>
      </c>
      <c r="DX21" s="593" t="str">
        <f>IF(AND(DX$12&gt;=$E21,DX$12&lt;=$F21,MOD(DX$12,7)&gt;1,NOT(COUNTIF(General!$U$13:$U$19,DX$12))),$I21,"")</f>
        <v/>
      </c>
      <c r="DY21" s="582" t="str">
        <f>IF(AND(DY$12&gt;=$E21,DY$12&lt;=$F21,MOD(DY$12,7)&gt;1,NOT(COUNTIF(General!$U$13:$U$19,DY$12))),$I21,"")</f>
        <v/>
      </c>
      <c r="DZ21" s="582" t="str">
        <f>IF(AND(DZ$12&gt;=$E21,DZ$12&lt;=$F21,MOD(DZ$12,7)&gt;1,NOT(COUNTIF(General!$U$13:$U$19,DZ$12))),$I21,"")</f>
        <v/>
      </c>
      <c r="EA21" s="582" t="str">
        <f>IF(AND(EA$12&gt;=$E21,EA$12&lt;=$F21,MOD(EA$12,7)&gt;1,NOT(COUNTIF(General!$U$13:$U$19,EA$12))),$I21,"")</f>
        <v/>
      </c>
      <c r="EB21" s="582" t="str">
        <f>IF(AND(EB$12&gt;=$E21,EB$12&lt;=$F21,MOD(EB$12,7)&gt;1,NOT(COUNTIF(General!$U$13:$U$19,EB$12))),$I21,"")</f>
        <v/>
      </c>
      <c r="EC21" s="582" t="str">
        <f>IF(AND(EC$12&gt;=$E21,EC$12&lt;=$F21,MOD(EC$12,7)&gt;1,NOT(COUNTIF(General!$U$13:$U$19,EC$12))),$I21,"")</f>
        <v/>
      </c>
      <c r="ED21" s="593" t="str">
        <f>IF(AND(ED$12&gt;=$E21,ED$12&lt;=$F21,MOD(ED$12,7)&gt;1,NOT(COUNTIF(General!$U$13:$U$19,ED$12))),$I21,"")</f>
        <v/>
      </c>
      <c r="EE21" s="593" t="str">
        <f>IF(AND(EE$12&gt;=$E21,EE$12&lt;=$F21,MOD(EE$12,7)&gt;1,NOT(COUNTIF(General!$U$13:$U$19,EE$12))),$I21,"")</f>
        <v/>
      </c>
      <c r="EF21" s="582" t="str">
        <f>IF(AND(EF$12&gt;=$E21,EF$12&lt;=$F21,MOD(EF$12,7)&gt;1,NOT(COUNTIF(General!$U$13:$U$19,EF$12))),$I21,"")</f>
        <v/>
      </c>
      <c r="EG21" s="582" t="str">
        <f>IF(AND(EG$12&gt;=$E21,EG$12&lt;=$F21,MOD(EG$12,7)&gt;1,NOT(COUNTIF(General!$U$13:$U$19,EG$12))),$I21,"")</f>
        <v/>
      </c>
      <c r="EH21" s="582" t="str">
        <f>IF(AND(EH$12&gt;=$E21,EH$12&lt;=$F21,MOD(EH$12,7)&gt;1,NOT(COUNTIF(General!$U$13:$U$19,EH$12))),$I21,"")</f>
        <v/>
      </c>
      <c r="EI21" s="582" t="str">
        <f>IF(AND(EI$12&gt;=$E21,EI$12&lt;=$F21,MOD(EI$12,7)&gt;1,NOT(COUNTIF(General!$U$13:$U$19,EI$12))),$I21,"")</f>
        <v/>
      </c>
      <c r="EJ21" s="582" t="str">
        <f>IF(AND(EJ$12&gt;=$E21,EJ$12&lt;=$F21,MOD(EJ$12,7)&gt;1,NOT(COUNTIF(General!$U$13:$U$19,EJ$12))),$I21,"")</f>
        <v/>
      </c>
      <c r="EK21" s="593" t="str">
        <f>IF(AND(EK$12&gt;=$E21,EK$12&lt;=$F21,MOD(EK$12,7)&gt;1,NOT(COUNTIF(General!$U$13:$U$19,EK$12))),$I21,"")</f>
        <v/>
      </c>
      <c r="EL21" s="593" t="str">
        <f>IF(AND(EL$12&gt;=$E21,EL$12&lt;=$F21,MOD(EL$12,7)&gt;1,NOT(COUNTIF(General!$U$13:$U$19,EL$12))),$I21,"")</f>
        <v/>
      </c>
      <c r="EM21" s="582" t="str">
        <f>IF(AND(EM$12&gt;=$E21,EM$12&lt;=$F21,MOD(EM$12,7)&gt;1,NOT(COUNTIF(General!$U$13:$U$19,EM$12))),$I21,"")</f>
        <v/>
      </c>
      <c r="EN21" s="582" t="str">
        <f>IF(AND(EN$12&gt;=$E21,EN$12&lt;=$F21,MOD(EN$12,7)&gt;1,NOT(COUNTIF(General!$U$13:$U$19,EN$12))),$I21,"")</f>
        <v/>
      </c>
      <c r="EO21" s="582" t="str">
        <f>IF(AND(EO$12&gt;=$E21,EO$12&lt;=$F21,MOD(EO$12,7)&gt;1,NOT(COUNTIF(General!$U$13:$U$19,EO$12))),$I21,"")</f>
        <v/>
      </c>
      <c r="EP21" s="582" t="str">
        <f>IF(AND(EP$12&gt;=$E21,EP$12&lt;=$F21,MOD(EP$12,7)&gt;1,NOT(COUNTIF(General!$U$13:$U$19,EP$12))),$I21,"")</f>
        <v/>
      </c>
      <c r="EQ21" s="582" t="str">
        <f>IF(AND(EQ$12&gt;=$E21,EQ$12&lt;=$F21,MOD(EQ$12,7)&gt;1,NOT(COUNTIF(General!$U$13:$U$19,EQ$12))),$I21,"")</f>
        <v/>
      </c>
      <c r="ER21" s="593" t="str">
        <f>IF(AND(ER$12&gt;=$E21,ER$12&lt;=$F21,MOD(ER$12,7)&gt;1,NOT(COUNTIF(General!$U$13:$U$19,ER$12))),$I21,"")</f>
        <v/>
      </c>
      <c r="ES21" s="593" t="str">
        <f>IF(AND(ES$12&gt;=$E21,ES$12&lt;=$F21,MOD(ES$12,7)&gt;1,NOT(COUNTIF(General!$U$13:$U$19,ES$12))),$I21,"")</f>
        <v/>
      </c>
      <c r="ET21" s="582" t="str">
        <f>IF(AND(ET$12&gt;=$E21,ET$12&lt;=$F21,MOD(ET$12,7)&gt;1,NOT(COUNTIF(General!$U$13:$U$19,ET$12))),$I21,"")</f>
        <v/>
      </c>
      <c r="EU21" s="582" t="str">
        <f>IF(AND(EU$12&gt;=$E21,EU$12&lt;=$F21,MOD(EU$12,7)&gt;1,NOT(COUNTIF(General!$U$13:$U$19,EU$12))),$I21,"")</f>
        <v/>
      </c>
      <c r="EV21" s="582" t="str">
        <f>IF(AND(EV$12&gt;=$E21,EV$12&lt;=$F21,MOD(EV$12,7)&gt;1,NOT(COUNTIF(General!$U$13:$U$19,EV$12))),$I21,"")</f>
        <v/>
      </c>
      <c r="EW21" s="582" t="str">
        <f>IF(AND(EW$12&gt;=$E21,EW$12&lt;=$F21,MOD(EW$12,7)&gt;1,NOT(COUNTIF(General!$U$13:$U$19,EW$12))),$I21,"")</f>
        <v/>
      </c>
      <c r="EX21" s="582" t="str">
        <f>IF(AND(EX$12&gt;=$E21,EX$12&lt;=$F21,MOD(EX$12,7)&gt;1,NOT(COUNTIF(General!$U$13:$U$19,EX$12))),$I21,"")</f>
        <v/>
      </c>
      <c r="EY21" s="593" t="str">
        <f>IF(AND(EY$12&gt;=$E21,EY$12&lt;=$F21,MOD(EY$12,7)&gt;1,NOT(COUNTIF(General!$U$13:$U$19,EY$12))),$I21,"")</f>
        <v/>
      </c>
      <c r="EZ21" s="593" t="str">
        <f>IF(AND(EZ$12&gt;=$E21,EZ$12&lt;=$F21,MOD(EZ$12,7)&gt;1,NOT(COUNTIF(General!$U$13:$U$19,EZ$12))),$I21,"")</f>
        <v/>
      </c>
      <c r="FA21" s="582" t="str">
        <f>IF(AND(FA$12&gt;=$E21,FA$12&lt;=$F21,MOD(FA$12,7)&gt;1,NOT(COUNTIF(General!$U$13:$U$19,FA$12))),$I21,"")</f>
        <v/>
      </c>
      <c r="FB21" s="582" t="str">
        <f>IF(AND(FB$12&gt;=$E21,FB$12&lt;=$F21,MOD(FB$12,7)&gt;1,NOT(COUNTIF(General!$U$13:$U$19,FB$12))),$I21,"")</f>
        <v/>
      </c>
      <c r="FC21" s="582" t="str">
        <f>IF(AND(FC$12&gt;=$E21,FC$12&lt;=$F21,MOD(FC$12,7)&gt;1,NOT(COUNTIF(General!$U$13:$U$19,FC$12))),$I21,"")</f>
        <v/>
      </c>
      <c r="FD21" s="582" t="str">
        <f>IF(AND(FD$12&gt;=$E21,FD$12&lt;=$F21,MOD(FD$12,7)&gt;1,NOT(COUNTIF(General!$U$13:$U$19,FD$12))),$I21,"")</f>
        <v/>
      </c>
      <c r="FE21" s="582" t="str">
        <f>IF(AND(FE$12&gt;=$E21,FE$12&lt;=$F21,MOD(FE$12,7)&gt;1,NOT(COUNTIF(General!$U$13:$U$19,FE$12))),$I21,"")</f>
        <v/>
      </c>
      <c r="FF21" s="593" t="str">
        <f>IF(AND(FF$12&gt;=$E21,FF$12&lt;=$F21,MOD(FF$12,7)&gt;1,NOT(COUNTIF(General!$U$13:$U$19,FF$12))),$I21,"")</f>
        <v/>
      </c>
      <c r="FG21" s="593" t="str">
        <f>IF(AND(FG$12&gt;=$E21,FG$12&lt;=$F21,MOD(FG$12,7)&gt;1,NOT(COUNTIF(General!$U$13:$U$19,FG$12))),$I21,"")</f>
        <v/>
      </c>
      <c r="FH21" s="582" t="str">
        <f>IF(AND(FH$12&gt;=$E21,FH$12&lt;=$F21,MOD(FH$12,7)&gt;1,NOT(COUNTIF(General!$U$13:$U$19,FH$12))),$I21,"")</f>
        <v/>
      </c>
      <c r="FI21" s="582" t="str">
        <f>IF(AND(FI$12&gt;=$E21,FI$12&lt;=$F21,MOD(FI$12,7)&gt;1,NOT(COUNTIF(General!$U$13:$U$19,FI$12))),$I21,"")</f>
        <v/>
      </c>
      <c r="FJ21" s="582" t="str">
        <f>IF(AND(FJ$12&gt;=$E21,FJ$12&lt;=$F21,MOD(FJ$12,7)&gt;1,NOT(COUNTIF(General!$U$13:$U$19,FJ$12))),$I21,"")</f>
        <v/>
      </c>
      <c r="FK21" s="582" t="str">
        <f>IF(AND(FK$12&gt;=$E21,FK$12&lt;=$F21,MOD(FK$12,7)&gt;1,NOT(COUNTIF(General!$U$13:$U$19,FK$12))),$I21,"")</f>
        <v/>
      </c>
      <c r="FL21" s="582" t="str">
        <f>IF(AND(FL$12&gt;=$E21,FL$12&lt;=$F21,MOD(FL$12,7)&gt;1,NOT(COUNTIF(General!$U$13:$U$19,FL$12))),$I21,"")</f>
        <v/>
      </c>
      <c r="FM21" s="593" t="str">
        <f>IF(AND(FM$12&gt;=$E21,FM$12&lt;=$F21,MOD(FM$12,7)&gt;1,NOT(COUNTIF(General!$U$13:$U$19,FM$12))),$I21,"")</f>
        <v/>
      </c>
      <c r="FN21" s="593" t="str">
        <f>IF(AND(FN$12&gt;=$E21,FN$12&lt;=$F21,MOD(FN$12,7)&gt;1,NOT(COUNTIF(General!$U$13:$U$19,FN$12))),$I21,"")</f>
        <v/>
      </c>
      <c r="FO21" s="582" t="str">
        <f>IF(AND(FO$12&gt;=$E21,FO$12&lt;=$F21,MOD(FO$12,7)&gt;1,NOT(COUNTIF(General!$U$13:$U$19,FO$12))),$I21,"")</f>
        <v/>
      </c>
      <c r="FP21" s="582" t="str">
        <f>IF(AND(FP$12&gt;=$E21,FP$12&lt;=$F21,MOD(FP$12,7)&gt;1,NOT(COUNTIF(General!$U$13:$U$19,FP$12))),$I21,"")</f>
        <v/>
      </c>
      <c r="FQ21" s="582" t="str">
        <f>IF(AND(FQ$12&gt;=$E21,FQ$12&lt;=$F21,MOD(FQ$12,7)&gt;1,NOT(COUNTIF(General!$U$13:$U$19,FQ$12))),$I21,"")</f>
        <v/>
      </c>
      <c r="FR21" s="582" t="str">
        <f>IF(AND(FR$12&gt;=$E21,FR$12&lt;=$F21,MOD(FR$12,7)&gt;1,NOT(COUNTIF(General!$U$13:$U$19,FR$12))),$I21,"")</f>
        <v/>
      </c>
      <c r="FS21" s="582" t="str">
        <f>IF(AND(FS$12&gt;=$E21,FS$12&lt;=$F21,MOD(FS$12,7)&gt;1,NOT(COUNTIF(General!$U$13:$U$19,FS$12))),$I21,"")</f>
        <v/>
      </c>
      <c r="FT21" s="593" t="str">
        <f>IF(AND(FT$12&gt;=$E21,FT$12&lt;=$F21,MOD(FT$12,7)&gt;1,NOT(COUNTIF(General!$U$13:$U$19,FT$12))),$I21,"")</f>
        <v/>
      </c>
      <c r="FU21" s="593" t="str">
        <f>IF(AND(FU$12&gt;=$E21,FU$12&lt;=$F21,MOD(FU$12,7)&gt;1,NOT(COUNTIF(General!$U$13:$U$19,FU$12))),$I21,"")</f>
        <v/>
      </c>
      <c r="FV21" s="582" t="str">
        <f>IF(AND(FV$12&gt;=$E21,FV$12&lt;=$F21,MOD(FV$12,7)&gt;1,NOT(COUNTIF(General!$U$13:$U$19,FV$12))),$I21,"")</f>
        <v/>
      </c>
      <c r="FW21" s="582" t="str">
        <f>IF(AND(FW$12&gt;=$E21,FW$12&lt;=$F21,MOD(FW$12,7)&gt;1,NOT(COUNTIF(General!$U$13:$U$19,FW$12))),$I21,"")</f>
        <v/>
      </c>
      <c r="FX21" s="582" t="str">
        <f>IF(AND(FX$12&gt;=$E21,FX$12&lt;=$F21,MOD(FX$12,7)&gt;1,NOT(COUNTIF(General!$U$13:$U$19,FX$12))),$I21,"")</f>
        <v/>
      </c>
    </row>
    <row r="22" ht="16.5" customHeight="1">
      <c r="A22" s="596">
        <v>389262.0</v>
      </c>
      <c r="B22" s="582" t="s">
        <v>576</v>
      </c>
      <c r="C22" s="582"/>
      <c r="D22" s="576" t="s">
        <v>574</v>
      </c>
      <c r="E22" s="583">
        <v>43804.0</v>
      </c>
      <c r="F22" s="374">
        <f>WORKDAY(E22,ROUNDUP(G22/I22,0),General!$U$13:$U$27)-1</f>
        <v>43807</v>
      </c>
      <c r="G22" s="584">
        <v>1.5</v>
      </c>
      <c r="H22" s="585"/>
      <c r="I22" s="586">
        <v>1.0</v>
      </c>
      <c r="J22" s="587"/>
      <c r="K22" s="588"/>
      <c r="L22" s="588"/>
      <c r="M22" s="589"/>
      <c r="N22" s="590"/>
      <c r="O22" s="591"/>
      <c r="P22" s="592"/>
      <c r="Q22" s="582" t="str">
        <f>IF(AND(Q$12&gt;=$E22,Q$12&lt;=$F22,MOD(Q$12,7)&gt;1,NOT(COUNTIF(General!$U$13:$U$19,Q$12))),$I22,"")</f>
        <v/>
      </c>
      <c r="R22" s="582" t="str">
        <f>IF(AND(R$12&gt;=$E22,R$12&lt;=$F22,MOD(R$12,7)&gt;1,NOT(COUNTIF(General!$U$13:$U$19,R$12))),$I22,"")</f>
        <v/>
      </c>
      <c r="S22" s="582" t="str">
        <f>IF(AND(S$12&gt;=$E22,S$12&lt;=$F22,MOD(S$12,7)&gt;1,NOT(COUNTIF(General!$U$13:$U$19,S$12))),$I22,"")</f>
        <v/>
      </c>
      <c r="T22" s="582">
        <f>IF(AND(T$12&gt;=$E22,T$12&lt;=$F22,MOD(T$12,7)&gt;1,NOT(COUNTIF(General!$U$13:$U$19,T$12))),$I22,"")</f>
        <v>1</v>
      </c>
      <c r="U22" s="582">
        <f>IF(AND(U$12&gt;=$E22,U$12&lt;=$F22,MOD(U$12,7)&gt;1,NOT(COUNTIF(General!$U$13:$U$19,U$12))),$I22,"")</f>
        <v>1</v>
      </c>
      <c r="V22" s="593" t="str">
        <f>IF(AND(V$12&gt;=$E22,V$12&lt;=$F22,MOD(V$12,7)&gt;1,NOT(COUNTIF(General!$U$13:$U$19,V$12))),$I22,"")</f>
        <v/>
      </c>
      <c r="W22" s="593" t="str">
        <f>IF(AND(W$12&gt;=$E22,W$12&lt;=$F22,MOD(W$12,7)&gt;1,NOT(COUNTIF(General!$U$13:$U$19,W$12))),$I22,"")</f>
        <v/>
      </c>
      <c r="X22" s="582" t="str">
        <f>IF(AND(X$12&gt;=$E22,X$12&lt;=$F22,MOD(X$12,7)&gt;1,NOT(COUNTIF(General!$U$13:$U$19,X$12))),$I22,"")</f>
        <v/>
      </c>
      <c r="Y22" s="582" t="str">
        <f>IF(AND(Y$12&gt;=$E22,Y$12&lt;=$F22,MOD(Y$12,7)&gt;1,NOT(COUNTIF(General!$U$13:$U$19,Y$12))),$I22,"")</f>
        <v/>
      </c>
      <c r="Z22" s="582" t="str">
        <f>IF(AND(Z$12&gt;=$E22,Z$12&lt;=$F22,MOD(Z$12,7)&gt;1,NOT(COUNTIF(General!$U$13:$U$19,Z$12))),$I22,"")</f>
        <v/>
      </c>
      <c r="AA22" s="582" t="str">
        <f>IF(AND(AA$12&gt;=$E22,AA$12&lt;=$F22,MOD(AA$12,7)&gt;1,NOT(COUNTIF(General!$U$13:$U$19,AA$12))),$I22,"")</f>
        <v/>
      </c>
      <c r="AB22" s="582" t="str">
        <f>IF(AND(AB$12&gt;=$E22,AB$12&lt;=$F22,MOD(AB$12,7)&gt;1,NOT(COUNTIF(General!$U$13:$U$19,AB$12))),$I22,"")</f>
        <v/>
      </c>
      <c r="AC22" s="582" t="str">
        <f>IF(AND(AC$12&gt;=$E22,AC$12&lt;=$F22,MOD(AC$12,7)&gt;1,NOT(COUNTIF(General!$U$13:$U$19,AC$12))),$I22,"")</f>
        <v/>
      </c>
      <c r="AD22" s="582" t="str">
        <f>IF(AND(AD$12&gt;=$E22,AD$12&lt;=$F22,MOD(AD$12,7)&gt;1,NOT(COUNTIF(General!$U$13:$U$19,AD$12))),$I22,"")</f>
        <v/>
      </c>
      <c r="AE22" s="582" t="str">
        <f>IF(AND(AE$12&gt;=$E22,AE$12&lt;=$F22,MOD(AE$12,7)&gt;1,NOT(COUNTIF(General!$U$13:$U$19,AE$12))),$I22,"")</f>
        <v/>
      </c>
      <c r="AF22" s="582" t="str">
        <f>IF(AND(AF$12&gt;=$E22,AF$12&lt;=$F22,MOD(AF$12,7)&gt;1,NOT(COUNTIF(General!$U$13:$U$19,AF$12))),$I22,"")</f>
        <v/>
      </c>
      <c r="AG22" s="582" t="str">
        <f>IF(AND(AG$12&gt;=$E22,AG$12&lt;=$F22,MOD(AG$12,7)&gt;1,NOT(COUNTIF(General!$U$13:$U$19,AG$12))),$I22,"")</f>
        <v/>
      </c>
      <c r="AH22" s="582" t="str">
        <f>IF(AND(AH$12&gt;=$E22,AH$12&lt;=$F22,MOD(AH$12,7)&gt;1,NOT(COUNTIF(General!$U$13:$U$19,AH$12))),$I22,"")</f>
        <v/>
      </c>
      <c r="AI22" s="582" t="str">
        <f>IF(AND(AI$12&gt;=$E22,AI$12&lt;=$F22,MOD(AI$12,7)&gt;1,NOT(COUNTIF(General!$U$13:$U$19,AI$12))),$I22,"")</f>
        <v/>
      </c>
      <c r="AJ22" s="593" t="str">
        <f>IF(AND(AJ$12&gt;=$E22,AJ$12&lt;=$F22,MOD(AJ$12,7)&gt;1,NOT(COUNTIF(General!$U$13:$U$19,AJ$12))),$I22,"")</f>
        <v/>
      </c>
      <c r="AK22" s="593" t="str">
        <f>IF(AND(AK$12&gt;=$E22,AK$12&lt;=$F22,MOD(AK$12,7)&gt;1,NOT(COUNTIF(General!$U$13:$U$19,AK$12))),$I22,"")</f>
        <v/>
      </c>
      <c r="AL22" s="582" t="str">
        <f>IF(AND(AL$12&gt;=$E22,AL$12&lt;=$F22,MOD(AL$12,7)&gt;1,NOT(COUNTIF(General!$U$13:$U$19,AL$12))),$I22,"")</f>
        <v/>
      </c>
      <c r="AM22" s="582" t="str">
        <f>IF(AND(AM$12&gt;=$E22,AM$12&lt;=$F22,MOD(AM$12,7)&gt;1,NOT(COUNTIF(General!$U$13:$U$19,AM$12))),$I22,"")</f>
        <v/>
      </c>
      <c r="AN22" s="582" t="str">
        <f>IF(AND(AN$12&gt;=$E22,AN$12&lt;=$F22,MOD(AN$12,7)&gt;1,NOT(COUNTIF(General!$U$13:$U$19,AN$12))),$I22,"")</f>
        <v/>
      </c>
      <c r="AO22" s="582" t="str">
        <f>IF(AND(AO$12&gt;=$E22,AO$12&lt;=$F22,MOD(AO$12,7)&gt;1,NOT(COUNTIF(General!$U$13:$U$19,AO$12))),$I22,"")</f>
        <v/>
      </c>
      <c r="AP22" s="582" t="str">
        <f>IF(AND(AP$12&gt;=$E22,AP$12&lt;=$F22,MOD(AP$12,7)&gt;1,NOT(COUNTIF(General!$U$13:$U$19,AP$12))),$I22,"")</f>
        <v/>
      </c>
      <c r="AQ22" s="593" t="str">
        <f>IF(AND(AQ$12&gt;=$E22,AQ$12&lt;=$F22,MOD(AQ$12,7)&gt;1,NOT(COUNTIF(General!$U$13:$U$19,AQ$12))),$I22,"")</f>
        <v/>
      </c>
      <c r="AR22" s="593" t="str">
        <f>IF(AND(AR$12&gt;=$E22,AR$12&lt;=$F22,MOD(AR$12,7)&gt;1,NOT(COUNTIF(General!$U$13:$U$19,AR$12))),$I22,"")</f>
        <v/>
      </c>
      <c r="AS22" s="582" t="str">
        <f>IF(AND(AS$12&gt;=$E22,AS$12&lt;=$F22,MOD(AS$12,7)&gt;1,NOT(COUNTIF(General!$U$13:$U$19,AS$12))),$I22,"")</f>
        <v/>
      </c>
      <c r="AT22" s="582" t="str">
        <f>IF(AND(AT$12&gt;=$E22,AT$12&lt;=$F22,MOD(AT$12,7)&gt;1,NOT(COUNTIF(General!$U$13:$U$19,AT$12))),$I22,"")</f>
        <v/>
      </c>
      <c r="AU22" s="582" t="str">
        <f>IF(AND(AU$12&gt;=$E22,AU$12&lt;=$F22,MOD(AU$12,7)&gt;1,NOT(COUNTIF(General!$U$13:$U$19,AU$12))),$I22,"")</f>
        <v/>
      </c>
      <c r="AV22" s="582" t="str">
        <f>IF(AND(AV$12&gt;=$E22,AV$12&lt;=$F22,MOD(AV$12,7)&gt;1,NOT(COUNTIF(General!$U$13:$U$19,AV$12))),$I22,"")</f>
        <v/>
      </c>
      <c r="AW22" s="582" t="str">
        <f>IF(AND(AW$12&gt;=$E22,AW$12&lt;=$F22,MOD(AW$12,7)&gt;1,NOT(COUNTIF(General!$U$13:$U$19,AW$12))),$I22,"")</f>
        <v/>
      </c>
      <c r="AX22" s="593" t="str">
        <f>IF(AND(AX$12&gt;=$E22,AX$12&lt;=$F22,MOD(AX$12,7)&gt;1,NOT(COUNTIF(General!$U$13:$U$19,AX$12))),$I22,"")</f>
        <v/>
      </c>
      <c r="AY22" s="593" t="str">
        <f>IF(AND(AY$12&gt;=$E22,AY$12&lt;=$F22,MOD(AY$12,7)&gt;1,NOT(COUNTIF(General!$U$13:$U$19,AY$12))),$I22,"")</f>
        <v/>
      </c>
      <c r="AZ22" s="582" t="str">
        <f>IF(AND(AZ$12&gt;=$E22,AZ$12&lt;=$F22,MOD(AZ$12,7)&gt;1,NOT(COUNTIF(General!$U$13:$U$19,AZ$12))),$I22,"")</f>
        <v/>
      </c>
      <c r="BA22" s="582" t="str">
        <f>IF(AND(BA$12&gt;=$E22,BA$12&lt;=$F22,MOD(BA$12,7)&gt;1,NOT(COUNTIF(General!$U$13:$U$19,BA$12))),$I22,"")</f>
        <v/>
      </c>
      <c r="BB22" s="582" t="str">
        <f>IF(AND(BB$12&gt;=$E22,BB$12&lt;=$F22,MOD(BB$12,7)&gt;1,NOT(COUNTIF(General!$U$13:$U$19,BB$12))),$I22,"")</f>
        <v/>
      </c>
      <c r="BC22" s="582" t="str">
        <f>IF(AND(BC$12&gt;=$E22,BC$12&lt;=$F22,MOD(BC$12,7)&gt;1,NOT(COUNTIF(General!$U$13:$U$19,BC$12))),$I22,"")</f>
        <v/>
      </c>
      <c r="BD22" s="582" t="str">
        <f>IF(AND(BD$12&gt;=$E22,BD$12&lt;=$F22,MOD(BD$12,7)&gt;1,NOT(COUNTIF(General!$U$13:$U$19,BD$12))),$I22,"")</f>
        <v/>
      </c>
      <c r="BE22" s="593" t="str">
        <f>IF(AND(BE$12&gt;=$E22,BE$12&lt;=$F22,MOD(BE$12,7)&gt;1,NOT(COUNTIF(General!$U$13:$U$19,BE$12))),$I22,"")</f>
        <v/>
      </c>
      <c r="BF22" s="593" t="str">
        <f>IF(AND(BF$12&gt;=$E22,BF$12&lt;=$F22,MOD(BF$12,7)&gt;1,NOT(COUNTIF(General!$U$13:$U$19,BF$12))),$I22,"")</f>
        <v/>
      </c>
      <c r="BG22" s="582" t="str">
        <f>IF(AND(BG$12&gt;=$E22,BG$12&lt;=$F22,MOD(BG$12,7)&gt;1,NOT(COUNTIF(General!$U$13:$U$19,BG$12))),$I22,"")</f>
        <v/>
      </c>
      <c r="BH22" s="582" t="str">
        <f>IF(AND(BH$12&gt;=$E22,BH$12&lt;=$F22,MOD(BH$12,7)&gt;1,NOT(COUNTIF(General!$U$13:$U$19,BH$12))),$I22,"")</f>
        <v/>
      </c>
      <c r="BI22" s="582" t="str">
        <f>IF(AND(BI$12&gt;=$E22,BI$12&lt;=$F22,MOD(BI$12,7)&gt;1,NOT(COUNTIF(General!$U$13:$U$19,BI$12))),$I22,"")</f>
        <v/>
      </c>
      <c r="BJ22" s="582" t="str">
        <f>IF(AND(BJ$12&gt;=$E22,BJ$12&lt;=$F22,MOD(BJ$12,7)&gt;1,NOT(COUNTIF(General!$U$13:$U$19,BJ$12))),$I22,"")</f>
        <v/>
      </c>
      <c r="BK22" s="582" t="str">
        <f>IF(AND(BK$12&gt;=$E22,BK$12&lt;=$F22,MOD(BK$12,7)&gt;1,NOT(COUNTIF(General!$U$13:$U$19,BK$12))),$I22,"")</f>
        <v/>
      </c>
      <c r="BL22" s="593" t="str">
        <f>IF(AND(BL$12&gt;=$E22,BL$12&lt;=$F22,MOD(BL$12,7)&gt;1,NOT(COUNTIF(General!$U$13:$U$19,BL$12))),$I22,"")</f>
        <v/>
      </c>
      <c r="BM22" s="593" t="str">
        <f>IF(AND(BM$12&gt;=$E22,BM$12&lt;=$F22,MOD(BM$12,7)&gt;1,NOT(COUNTIF(General!$U$13:$U$19,BM$12))),$I22,"")</f>
        <v/>
      </c>
      <c r="BN22" s="582" t="str">
        <f>IF(AND(BN$12&gt;=$E22,BN$12&lt;=$F22,MOD(BN$12,7)&gt;1,NOT(COUNTIF(General!$U$13:$U$19,BN$12))),$I22,"")</f>
        <v/>
      </c>
      <c r="BO22" s="582" t="str">
        <f>IF(AND(BO$12&gt;=$E22,BO$12&lt;=$F22,MOD(BO$12,7)&gt;1,NOT(COUNTIF(General!$U$13:$U$19,BO$12))),$I22,"")</f>
        <v/>
      </c>
      <c r="BP22" s="582" t="str">
        <f>IF(AND(BP$12&gt;=$E22,BP$12&lt;=$F22,MOD(BP$12,7)&gt;1,NOT(COUNTIF(General!$U$13:$U$19,BP$12))),$I22,"")</f>
        <v/>
      </c>
      <c r="BQ22" s="582" t="str">
        <f>IF(AND(BQ$12&gt;=$E22,BQ$12&lt;=$F22,MOD(BQ$12,7)&gt;1,NOT(COUNTIF(General!$U$13:$U$19,BQ$12))),$I22,"")</f>
        <v/>
      </c>
      <c r="BR22" s="582" t="str">
        <f>IF(AND(BR$12&gt;=$E22,BR$12&lt;=$F22,MOD(BR$12,7)&gt;1,NOT(COUNTIF(General!$U$13:$U$19,BR$12))),$I22,"")</f>
        <v/>
      </c>
      <c r="BS22" s="593" t="str">
        <f>IF(AND(BS$12&gt;=$E22,BS$12&lt;=$F22,MOD(BS$12,7)&gt;1,NOT(COUNTIF(General!$U$13:$U$19,BS$12))),$I22,"")</f>
        <v/>
      </c>
      <c r="BT22" s="593" t="str">
        <f>IF(AND(BT$12&gt;=$E22,BT$12&lt;=$F22,MOD(BT$12,7)&gt;1,NOT(COUNTIF(General!$U$13:$U$19,BT$12))),$I22,"")</f>
        <v/>
      </c>
      <c r="BU22" s="582" t="str">
        <f>IF(AND(BU$12&gt;=$E22,BU$12&lt;=$F22,MOD(BU$12,7)&gt;1,NOT(COUNTIF(General!$U$13:$U$19,BU$12))),$I22,"")</f>
        <v/>
      </c>
      <c r="BV22" s="582" t="str">
        <f>IF(AND(BV$12&gt;=$E22,BV$12&lt;=$F22,MOD(BV$12,7)&gt;1,NOT(COUNTIF(General!$U$13:$U$19,BV$12))),$I22,"")</f>
        <v/>
      </c>
      <c r="BW22" s="582" t="str">
        <f>IF(AND(BW$12&gt;=$E22,BW$12&lt;=$F22,MOD(BW$12,7)&gt;1,NOT(COUNTIF(General!$U$13:$U$19,BW$12))),$I22,"")</f>
        <v/>
      </c>
      <c r="BX22" s="582" t="str">
        <f>IF(AND(BX$12&gt;=$E22,BX$12&lt;=$F22,MOD(BX$12,7)&gt;1,NOT(COUNTIF(General!$U$13:$U$19,BX$12))),$I22,"")</f>
        <v/>
      </c>
      <c r="BY22" s="582" t="str">
        <f>IF(AND(BY$12&gt;=$E22,BY$12&lt;=$F22,MOD(BY$12,7)&gt;1,NOT(COUNTIF(General!$U$13:$U$19,BY$12))),$I22,"")</f>
        <v/>
      </c>
      <c r="BZ22" s="593" t="str">
        <f>IF(AND(BZ$12&gt;=$E22,BZ$12&lt;=$F22,MOD(BZ$12,7)&gt;1,NOT(COUNTIF(General!$U$13:$U$19,BZ$12))),$I22,"")</f>
        <v/>
      </c>
      <c r="CA22" s="593" t="str">
        <f>IF(AND(CA$12&gt;=$E22,CA$12&lt;=$F22,MOD(CA$12,7)&gt;1,NOT(COUNTIF(General!$U$13:$U$19,CA$12))),$I22,"")</f>
        <v/>
      </c>
      <c r="CB22" s="582" t="str">
        <f>IF(AND(CB$12&gt;=$E22,CB$12&lt;=$F22,MOD(CB$12,7)&gt;1,NOT(COUNTIF(General!$U$13:$U$19,CB$12))),$I22,"")</f>
        <v/>
      </c>
      <c r="CC22" s="582" t="str">
        <f>IF(AND(CC$12&gt;=$E22,CC$12&lt;=$F22,MOD(CC$12,7)&gt;1,NOT(COUNTIF(General!$U$13:$U$19,CC$12))),$I22,"")</f>
        <v/>
      </c>
      <c r="CD22" s="582" t="str">
        <f>IF(AND(CD$12&gt;=$E22,CD$12&lt;=$F22,MOD(CD$12,7)&gt;1,NOT(COUNTIF(General!$U$13:$U$19,CD$12))),$I22,"")</f>
        <v/>
      </c>
      <c r="CE22" s="582" t="str">
        <f>IF(AND(CE$12&gt;=$E22,CE$12&lt;=$F22,MOD(CE$12,7)&gt;1,NOT(COUNTIF(General!$U$13:$U$19,CE$12))),$I22,"")</f>
        <v/>
      </c>
      <c r="CF22" s="582" t="str">
        <f>IF(AND(CF$12&gt;=$E22,CF$12&lt;=$F22,MOD(CF$12,7)&gt;1,NOT(COUNTIF(General!$U$13:$U$19,CF$12))),$I22,"")</f>
        <v/>
      </c>
      <c r="CG22" s="593" t="str">
        <f>IF(AND(CG$12&gt;=$E22,CG$12&lt;=$F22,MOD(CG$12,7)&gt;1,NOT(COUNTIF(General!$U$13:$U$19,CG$12))),$I22,"")</f>
        <v/>
      </c>
      <c r="CH22" s="593" t="str">
        <f>IF(AND(CH$12&gt;=$E22,CH$12&lt;=$F22,MOD(CH$12,7)&gt;1,NOT(COUNTIF(General!$U$13:$U$19,CH$12))),$I22,"")</f>
        <v/>
      </c>
      <c r="CI22" s="582" t="str">
        <f>IF(AND(CI$12&gt;=$E22,CI$12&lt;=$F22,MOD(CI$12,7)&gt;1,NOT(COUNTIF(General!$U$13:$U$19,CI$12))),$I22,"")</f>
        <v/>
      </c>
      <c r="CJ22" s="582" t="str">
        <f>IF(AND(CJ$12&gt;=$E22,CJ$12&lt;=$F22,MOD(CJ$12,7)&gt;1,NOT(COUNTIF(General!$U$13:$U$19,CJ$12))),$I22,"")</f>
        <v/>
      </c>
      <c r="CK22" s="582" t="str">
        <f>IF(AND(CK$12&gt;=$E22,CK$12&lt;=$F22,MOD(CK$12,7)&gt;1,NOT(COUNTIF(General!$U$13:$U$19,CK$12))),$I22,"")</f>
        <v/>
      </c>
      <c r="CL22" s="582" t="str">
        <f>IF(AND(CL$12&gt;=$E22,CL$12&lt;=$F22,MOD(CL$12,7)&gt;1,NOT(COUNTIF(General!$U$13:$U$19,CL$12))),$I22,"")</f>
        <v/>
      </c>
      <c r="CM22" s="582" t="str">
        <f>IF(AND(CM$12&gt;=$E22,CM$12&lt;=$F22,MOD(CM$12,7)&gt;1,NOT(COUNTIF(General!$U$13:$U$19,CM$12))),$I22,"")</f>
        <v/>
      </c>
      <c r="CN22" s="593" t="str">
        <f>IF(AND(CN$12&gt;=$E22,CN$12&lt;=$F22,MOD(CN$12,7)&gt;1,NOT(COUNTIF(General!$U$13:$U$19,CN$12))),$I22,"")</f>
        <v/>
      </c>
      <c r="CO22" s="593" t="str">
        <f>IF(AND(CO$12&gt;=$E22,CO$12&lt;=$F22,MOD(CO$12,7)&gt;1,NOT(COUNTIF(General!$U$13:$U$19,CO$12))),$I22,"")</f>
        <v/>
      </c>
      <c r="CP22" s="582" t="str">
        <f>IF(AND(CP$12&gt;=$E22,CP$12&lt;=$F22,MOD(CP$12,7)&gt;1,NOT(COUNTIF(General!$U$13:$U$19,CP$12))),$I22,"")</f>
        <v/>
      </c>
      <c r="CQ22" s="582" t="str">
        <f>IF(AND(CQ$12&gt;=$E22,CQ$12&lt;=$F22,MOD(CQ$12,7)&gt;1,NOT(COUNTIF(General!$U$13:$U$19,CQ$12))),$I22,"")</f>
        <v/>
      </c>
      <c r="CR22" s="582" t="str">
        <f>IF(AND(CR$12&gt;=$E22,CR$12&lt;=$F22,MOD(CR$12,7)&gt;1,NOT(COUNTIF(General!$U$13:$U$19,CR$12))),$I22,"")</f>
        <v/>
      </c>
      <c r="CS22" s="582" t="str">
        <f>IF(AND(CS$12&gt;=$E22,CS$12&lt;=$F22,MOD(CS$12,7)&gt;1,NOT(COUNTIF(General!$U$13:$U$19,CS$12))),$I22,"")</f>
        <v/>
      </c>
      <c r="CT22" s="582" t="str">
        <f>IF(AND(CT$12&gt;=$E22,CT$12&lt;=$F22,MOD(CT$12,7)&gt;1,NOT(COUNTIF(General!$U$13:$U$19,CT$12))),$I22,"")</f>
        <v/>
      </c>
      <c r="CU22" s="593" t="str">
        <f>IF(AND(CU$12&gt;=$E22,CU$12&lt;=$F22,MOD(CU$12,7)&gt;1,NOT(COUNTIF(General!$U$13:$U$19,CU$12))),$I22,"")</f>
        <v/>
      </c>
      <c r="CV22" s="593" t="str">
        <f>IF(AND(CV$12&gt;=$E22,CV$12&lt;=$F22,MOD(CV$12,7)&gt;1,NOT(COUNTIF(General!$U$13:$U$19,CV$12))),$I22,"")</f>
        <v/>
      </c>
      <c r="CW22" s="582" t="str">
        <f>IF(AND(CW$12&gt;=$E22,CW$12&lt;=$F22,MOD(CW$12,7)&gt;1,NOT(COUNTIF(General!$U$13:$U$19,CW$12))),$I22,"")</f>
        <v/>
      </c>
      <c r="CX22" s="582" t="str">
        <f>IF(AND(CX$12&gt;=$E22,CX$12&lt;=$F22,MOD(CX$12,7)&gt;1,NOT(COUNTIF(General!$U$13:$U$19,CX$12))),$I22,"")</f>
        <v/>
      </c>
      <c r="CY22" s="582" t="str">
        <f>IF(AND(CY$12&gt;=$E22,CY$12&lt;=$F22,MOD(CY$12,7)&gt;1,NOT(COUNTIF(General!$U$13:$U$19,CY$12))),$I22,"")</f>
        <v/>
      </c>
      <c r="CZ22" s="582" t="str">
        <f>IF(AND(CZ$12&gt;=$E22,CZ$12&lt;=$F22,MOD(CZ$12,7)&gt;1,NOT(COUNTIF(General!$U$13:$U$19,CZ$12))),$I22,"")</f>
        <v/>
      </c>
      <c r="DA22" s="582" t="str">
        <f>IF(AND(DA$12&gt;=$E22,DA$12&lt;=$F22,MOD(DA$12,7)&gt;1,NOT(COUNTIF(General!$U$13:$U$19,DA$12))),$I22,"")</f>
        <v/>
      </c>
      <c r="DB22" s="593" t="str">
        <f>IF(AND(DB$12&gt;=$E22,DB$12&lt;=$F22,MOD(DB$12,7)&gt;1,NOT(COUNTIF(General!$U$13:$U$19,DB$12))),$I22,"")</f>
        <v/>
      </c>
      <c r="DC22" s="593" t="str">
        <f>IF(AND(DC$12&gt;=$E22,DC$12&lt;=$F22,MOD(DC$12,7)&gt;1,NOT(COUNTIF(General!$U$13:$U$19,DC$12))),$I22,"")</f>
        <v/>
      </c>
      <c r="DD22" s="582" t="str">
        <f>IF(AND(DD$12&gt;=$E22,DD$12&lt;=$F22,MOD(DD$12,7)&gt;1,NOT(COUNTIF(General!$U$13:$U$19,DD$12))),$I22,"")</f>
        <v/>
      </c>
      <c r="DE22" s="582" t="str">
        <f>IF(AND(DE$12&gt;=$E22,DE$12&lt;=$F22,MOD(DE$12,7)&gt;1,NOT(COUNTIF(General!$U$13:$U$19,DE$12))),$I22,"")</f>
        <v/>
      </c>
      <c r="DF22" s="582" t="str">
        <f>IF(AND(DF$12&gt;=$E22,DF$12&lt;=$F22,MOD(DF$12,7)&gt;1,NOT(COUNTIF(General!$U$13:$U$19,DF$12))),$I22,"")</f>
        <v/>
      </c>
      <c r="DG22" s="582" t="str">
        <f>IF(AND(DG$12&gt;=$E22,DG$12&lt;=$F22,MOD(DG$12,7)&gt;1,NOT(COUNTIF(General!$U$13:$U$19,DG$12))),$I22,"")</f>
        <v/>
      </c>
      <c r="DH22" s="582" t="str">
        <f>IF(AND(DH$12&gt;=$E22,DH$12&lt;=$F22,MOD(DH$12,7)&gt;1,NOT(COUNTIF(General!$U$13:$U$19,DH$12))),$I22,"")</f>
        <v/>
      </c>
      <c r="DI22" s="593" t="str">
        <f>IF(AND(DI$12&gt;=$E22,DI$12&lt;=$F22,MOD(DI$12,7)&gt;1,NOT(COUNTIF(General!$U$13:$U$19,DI$12))),$I22,"")</f>
        <v/>
      </c>
      <c r="DJ22" s="593" t="str">
        <f>IF(AND(DJ$12&gt;=$E22,DJ$12&lt;=$F22,MOD(DJ$12,7)&gt;1,NOT(COUNTIF(General!$U$13:$U$19,DJ$12))),$I22,"")</f>
        <v/>
      </c>
      <c r="DK22" s="582" t="str">
        <f>IF(AND(DK$12&gt;=$E22,DK$12&lt;=$F22,MOD(DK$12,7)&gt;1,NOT(COUNTIF(General!$U$13:$U$19,DK$12))),$I22,"")</f>
        <v/>
      </c>
      <c r="DL22" s="582" t="str">
        <f>IF(AND(DL$12&gt;=$E22,DL$12&lt;=$F22,MOD(DL$12,7)&gt;1,NOT(COUNTIF(General!$U$13:$U$19,DL$12))),$I22,"")</f>
        <v/>
      </c>
      <c r="DM22" s="582" t="str">
        <f>IF(AND(DM$12&gt;=$E22,DM$12&lt;=$F22,MOD(DM$12,7)&gt;1,NOT(COUNTIF(General!$U$13:$U$19,DM$12))),$I22,"")</f>
        <v/>
      </c>
      <c r="DN22" s="582" t="str">
        <f>IF(AND(DN$12&gt;=$E22,DN$12&lt;=$F22,MOD(DN$12,7)&gt;1,NOT(COUNTIF(General!$U$13:$U$19,DN$12))),$I22,"")</f>
        <v/>
      </c>
      <c r="DO22" s="582" t="str">
        <f>IF(AND(DO$12&gt;=$E22,DO$12&lt;=$F22,MOD(DO$12,7)&gt;1,NOT(COUNTIF(General!$U$13:$U$19,DO$12))),$I22,"")</f>
        <v/>
      </c>
      <c r="DP22" s="593" t="str">
        <f>IF(AND(DP$12&gt;=$E22,DP$12&lt;=$F22,MOD(DP$12,7)&gt;1,NOT(COUNTIF(General!$U$13:$U$19,DP$12))),$I22,"")</f>
        <v/>
      </c>
      <c r="DQ22" s="593" t="str">
        <f>IF(AND(DQ$12&gt;=$E22,DQ$12&lt;=$F22,MOD(DQ$12,7)&gt;1,NOT(COUNTIF(General!$U$13:$U$19,DQ$12))),$I22,"")</f>
        <v/>
      </c>
      <c r="DR22" s="582" t="str">
        <f>IF(AND(DR$12&gt;=$E22,DR$12&lt;=$F22,MOD(DR$12,7)&gt;1,NOT(COUNTIF(General!$U$13:$U$19,DR$12))),$I22,"")</f>
        <v/>
      </c>
      <c r="DS22" s="582" t="str">
        <f>IF(AND(DS$12&gt;=$E22,DS$12&lt;=$F22,MOD(DS$12,7)&gt;1,NOT(COUNTIF(General!$U$13:$U$19,DS$12))),$I22,"")</f>
        <v/>
      </c>
      <c r="DT22" s="582" t="str">
        <f>IF(AND(DT$12&gt;=$E22,DT$12&lt;=$F22,MOD(DT$12,7)&gt;1,NOT(COUNTIF(General!$U$13:$U$19,DT$12))),$I22,"")</f>
        <v/>
      </c>
      <c r="DU22" s="582" t="str">
        <f>IF(AND(DU$12&gt;=$E22,DU$12&lt;=$F22,MOD(DU$12,7)&gt;1,NOT(COUNTIF(General!$U$13:$U$19,DU$12))),$I22,"")</f>
        <v/>
      </c>
      <c r="DV22" s="582" t="str">
        <f>IF(AND(DV$12&gt;=$E22,DV$12&lt;=$F22,MOD(DV$12,7)&gt;1,NOT(COUNTIF(General!$U$13:$U$19,DV$12))),$I22,"")</f>
        <v/>
      </c>
      <c r="DW22" s="593" t="str">
        <f>IF(AND(DW$12&gt;=$E22,DW$12&lt;=$F22,MOD(DW$12,7)&gt;1,NOT(COUNTIF(General!$U$13:$U$19,DW$12))),$I22,"")</f>
        <v/>
      </c>
      <c r="DX22" s="593" t="str">
        <f>IF(AND(DX$12&gt;=$E22,DX$12&lt;=$F22,MOD(DX$12,7)&gt;1,NOT(COUNTIF(General!$U$13:$U$19,DX$12))),$I22,"")</f>
        <v/>
      </c>
      <c r="DY22" s="582" t="str">
        <f>IF(AND(DY$12&gt;=$E22,DY$12&lt;=$F22,MOD(DY$12,7)&gt;1,NOT(COUNTIF(General!$U$13:$U$19,DY$12))),$I22,"")</f>
        <v/>
      </c>
      <c r="DZ22" s="582" t="str">
        <f>IF(AND(DZ$12&gt;=$E22,DZ$12&lt;=$F22,MOD(DZ$12,7)&gt;1,NOT(COUNTIF(General!$U$13:$U$19,DZ$12))),$I22,"")</f>
        <v/>
      </c>
      <c r="EA22" s="582" t="str">
        <f>IF(AND(EA$12&gt;=$E22,EA$12&lt;=$F22,MOD(EA$12,7)&gt;1,NOT(COUNTIF(General!$U$13:$U$19,EA$12))),$I22,"")</f>
        <v/>
      </c>
      <c r="EB22" s="582" t="str">
        <f>IF(AND(EB$12&gt;=$E22,EB$12&lt;=$F22,MOD(EB$12,7)&gt;1,NOT(COUNTIF(General!$U$13:$U$19,EB$12))),$I22,"")</f>
        <v/>
      </c>
      <c r="EC22" s="582" t="str">
        <f>IF(AND(EC$12&gt;=$E22,EC$12&lt;=$F22,MOD(EC$12,7)&gt;1,NOT(COUNTIF(General!$U$13:$U$19,EC$12))),$I22,"")</f>
        <v/>
      </c>
      <c r="ED22" s="593" t="str">
        <f>IF(AND(ED$12&gt;=$E22,ED$12&lt;=$F22,MOD(ED$12,7)&gt;1,NOT(COUNTIF(General!$U$13:$U$19,ED$12))),$I22,"")</f>
        <v/>
      </c>
      <c r="EE22" s="593" t="str">
        <f>IF(AND(EE$12&gt;=$E22,EE$12&lt;=$F22,MOD(EE$12,7)&gt;1,NOT(COUNTIF(General!$U$13:$U$19,EE$12))),$I22,"")</f>
        <v/>
      </c>
      <c r="EF22" s="582" t="str">
        <f>IF(AND(EF$12&gt;=$E22,EF$12&lt;=$F22,MOD(EF$12,7)&gt;1,NOT(COUNTIF(General!$U$13:$U$19,EF$12))),$I22,"")</f>
        <v/>
      </c>
      <c r="EG22" s="582" t="str">
        <f>IF(AND(EG$12&gt;=$E22,EG$12&lt;=$F22,MOD(EG$12,7)&gt;1,NOT(COUNTIF(General!$U$13:$U$19,EG$12))),$I22,"")</f>
        <v/>
      </c>
      <c r="EH22" s="582" t="str">
        <f>IF(AND(EH$12&gt;=$E22,EH$12&lt;=$F22,MOD(EH$12,7)&gt;1,NOT(COUNTIF(General!$U$13:$U$19,EH$12))),$I22,"")</f>
        <v/>
      </c>
      <c r="EI22" s="582" t="str">
        <f>IF(AND(EI$12&gt;=$E22,EI$12&lt;=$F22,MOD(EI$12,7)&gt;1,NOT(COUNTIF(General!$U$13:$U$19,EI$12))),$I22,"")</f>
        <v/>
      </c>
      <c r="EJ22" s="582" t="str">
        <f>IF(AND(EJ$12&gt;=$E22,EJ$12&lt;=$F22,MOD(EJ$12,7)&gt;1,NOT(COUNTIF(General!$U$13:$U$19,EJ$12))),$I22,"")</f>
        <v/>
      </c>
      <c r="EK22" s="593" t="str">
        <f>IF(AND(EK$12&gt;=$E22,EK$12&lt;=$F22,MOD(EK$12,7)&gt;1,NOT(COUNTIF(General!$U$13:$U$19,EK$12))),$I22,"")</f>
        <v/>
      </c>
      <c r="EL22" s="593" t="str">
        <f>IF(AND(EL$12&gt;=$E22,EL$12&lt;=$F22,MOD(EL$12,7)&gt;1,NOT(COUNTIF(General!$U$13:$U$19,EL$12))),$I22,"")</f>
        <v/>
      </c>
      <c r="EM22" s="582" t="str">
        <f>IF(AND(EM$12&gt;=$E22,EM$12&lt;=$F22,MOD(EM$12,7)&gt;1,NOT(COUNTIF(General!$U$13:$U$19,EM$12))),$I22,"")</f>
        <v/>
      </c>
      <c r="EN22" s="582" t="str">
        <f>IF(AND(EN$12&gt;=$E22,EN$12&lt;=$F22,MOD(EN$12,7)&gt;1,NOT(COUNTIF(General!$U$13:$U$19,EN$12))),$I22,"")</f>
        <v/>
      </c>
      <c r="EO22" s="582" t="str">
        <f>IF(AND(EO$12&gt;=$E22,EO$12&lt;=$F22,MOD(EO$12,7)&gt;1,NOT(COUNTIF(General!$U$13:$U$19,EO$12))),$I22,"")</f>
        <v/>
      </c>
      <c r="EP22" s="582" t="str">
        <f>IF(AND(EP$12&gt;=$E22,EP$12&lt;=$F22,MOD(EP$12,7)&gt;1,NOT(COUNTIF(General!$U$13:$U$19,EP$12))),$I22,"")</f>
        <v/>
      </c>
      <c r="EQ22" s="582" t="str">
        <f>IF(AND(EQ$12&gt;=$E22,EQ$12&lt;=$F22,MOD(EQ$12,7)&gt;1,NOT(COUNTIF(General!$U$13:$U$19,EQ$12))),$I22,"")</f>
        <v/>
      </c>
      <c r="ER22" s="593" t="str">
        <f>IF(AND(ER$12&gt;=$E22,ER$12&lt;=$F22,MOD(ER$12,7)&gt;1,NOT(COUNTIF(General!$U$13:$U$19,ER$12))),$I22,"")</f>
        <v/>
      </c>
      <c r="ES22" s="593" t="str">
        <f>IF(AND(ES$12&gt;=$E22,ES$12&lt;=$F22,MOD(ES$12,7)&gt;1,NOT(COUNTIF(General!$U$13:$U$19,ES$12))),$I22,"")</f>
        <v/>
      </c>
      <c r="ET22" s="582" t="str">
        <f>IF(AND(ET$12&gt;=$E22,ET$12&lt;=$F22,MOD(ET$12,7)&gt;1,NOT(COUNTIF(General!$U$13:$U$19,ET$12))),$I22,"")</f>
        <v/>
      </c>
      <c r="EU22" s="582" t="str">
        <f>IF(AND(EU$12&gt;=$E22,EU$12&lt;=$F22,MOD(EU$12,7)&gt;1,NOT(COUNTIF(General!$U$13:$U$19,EU$12))),$I22,"")</f>
        <v/>
      </c>
      <c r="EV22" s="582" t="str">
        <f>IF(AND(EV$12&gt;=$E22,EV$12&lt;=$F22,MOD(EV$12,7)&gt;1,NOT(COUNTIF(General!$U$13:$U$19,EV$12))),$I22,"")</f>
        <v/>
      </c>
      <c r="EW22" s="582" t="str">
        <f>IF(AND(EW$12&gt;=$E22,EW$12&lt;=$F22,MOD(EW$12,7)&gt;1,NOT(COUNTIF(General!$U$13:$U$19,EW$12))),$I22,"")</f>
        <v/>
      </c>
      <c r="EX22" s="582" t="str">
        <f>IF(AND(EX$12&gt;=$E22,EX$12&lt;=$F22,MOD(EX$12,7)&gt;1,NOT(COUNTIF(General!$U$13:$U$19,EX$12))),$I22,"")</f>
        <v/>
      </c>
      <c r="EY22" s="593" t="str">
        <f>IF(AND(EY$12&gt;=$E22,EY$12&lt;=$F22,MOD(EY$12,7)&gt;1,NOT(COUNTIF(General!$U$13:$U$19,EY$12))),$I22,"")</f>
        <v/>
      </c>
      <c r="EZ22" s="593" t="str">
        <f>IF(AND(EZ$12&gt;=$E22,EZ$12&lt;=$F22,MOD(EZ$12,7)&gt;1,NOT(COUNTIF(General!$U$13:$U$19,EZ$12))),$I22,"")</f>
        <v/>
      </c>
      <c r="FA22" s="582" t="str">
        <f>IF(AND(FA$12&gt;=$E22,FA$12&lt;=$F22,MOD(FA$12,7)&gt;1,NOT(COUNTIF(General!$U$13:$U$19,FA$12))),$I22,"")</f>
        <v/>
      </c>
      <c r="FB22" s="582" t="str">
        <f>IF(AND(FB$12&gt;=$E22,FB$12&lt;=$F22,MOD(FB$12,7)&gt;1,NOT(COUNTIF(General!$U$13:$U$19,FB$12))),$I22,"")</f>
        <v/>
      </c>
      <c r="FC22" s="582" t="str">
        <f>IF(AND(FC$12&gt;=$E22,FC$12&lt;=$F22,MOD(FC$12,7)&gt;1,NOT(COUNTIF(General!$U$13:$U$19,FC$12))),$I22,"")</f>
        <v/>
      </c>
      <c r="FD22" s="582" t="str">
        <f>IF(AND(FD$12&gt;=$E22,FD$12&lt;=$F22,MOD(FD$12,7)&gt;1,NOT(COUNTIF(General!$U$13:$U$19,FD$12))),$I22,"")</f>
        <v/>
      </c>
      <c r="FE22" s="582" t="str">
        <f>IF(AND(FE$12&gt;=$E22,FE$12&lt;=$F22,MOD(FE$12,7)&gt;1,NOT(COUNTIF(General!$U$13:$U$19,FE$12))),$I22,"")</f>
        <v/>
      </c>
      <c r="FF22" s="593" t="str">
        <f>IF(AND(FF$12&gt;=$E22,FF$12&lt;=$F22,MOD(FF$12,7)&gt;1,NOT(COUNTIF(General!$U$13:$U$19,FF$12))),$I22,"")</f>
        <v/>
      </c>
      <c r="FG22" s="593" t="str">
        <f>IF(AND(FG$12&gt;=$E22,FG$12&lt;=$F22,MOD(FG$12,7)&gt;1,NOT(COUNTIF(General!$U$13:$U$19,FG$12))),$I22,"")</f>
        <v/>
      </c>
      <c r="FH22" s="582" t="str">
        <f>IF(AND(FH$12&gt;=$E22,FH$12&lt;=$F22,MOD(FH$12,7)&gt;1,NOT(COUNTIF(General!$U$13:$U$19,FH$12))),$I22,"")</f>
        <v/>
      </c>
      <c r="FI22" s="582" t="str">
        <f>IF(AND(FI$12&gt;=$E22,FI$12&lt;=$F22,MOD(FI$12,7)&gt;1,NOT(COUNTIF(General!$U$13:$U$19,FI$12))),$I22,"")</f>
        <v/>
      </c>
      <c r="FJ22" s="582" t="str">
        <f>IF(AND(FJ$12&gt;=$E22,FJ$12&lt;=$F22,MOD(FJ$12,7)&gt;1,NOT(COUNTIF(General!$U$13:$U$19,FJ$12))),$I22,"")</f>
        <v/>
      </c>
      <c r="FK22" s="582" t="str">
        <f>IF(AND(FK$12&gt;=$E22,FK$12&lt;=$F22,MOD(FK$12,7)&gt;1,NOT(COUNTIF(General!$U$13:$U$19,FK$12))),$I22,"")</f>
        <v/>
      </c>
      <c r="FL22" s="582" t="str">
        <f>IF(AND(FL$12&gt;=$E22,FL$12&lt;=$F22,MOD(FL$12,7)&gt;1,NOT(COUNTIF(General!$U$13:$U$19,FL$12))),$I22,"")</f>
        <v/>
      </c>
      <c r="FM22" s="593" t="str">
        <f>IF(AND(FM$12&gt;=$E22,FM$12&lt;=$F22,MOD(FM$12,7)&gt;1,NOT(COUNTIF(General!$U$13:$U$19,FM$12))),$I22,"")</f>
        <v/>
      </c>
      <c r="FN22" s="593" t="str">
        <f>IF(AND(FN$12&gt;=$E22,FN$12&lt;=$F22,MOD(FN$12,7)&gt;1,NOT(COUNTIF(General!$U$13:$U$19,FN$12))),$I22,"")</f>
        <v/>
      </c>
      <c r="FO22" s="582" t="str">
        <f>IF(AND(FO$12&gt;=$E22,FO$12&lt;=$F22,MOD(FO$12,7)&gt;1,NOT(COUNTIF(General!$U$13:$U$19,FO$12))),$I22,"")</f>
        <v/>
      </c>
      <c r="FP22" s="582" t="str">
        <f>IF(AND(FP$12&gt;=$E22,FP$12&lt;=$F22,MOD(FP$12,7)&gt;1,NOT(COUNTIF(General!$U$13:$U$19,FP$12))),$I22,"")</f>
        <v/>
      </c>
      <c r="FQ22" s="582" t="str">
        <f>IF(AND(FQ$12&gt;=$E22,FQ$12&lt;=$F22,MOD(FQ$12,7)&gt;1,NOT(COUNTIF(General!$U$13:$U$19,FQ$12))),$I22,"")</f>
        <v/>
      </c>
      <c r="FR22" s="582" t="str">
        <f>IF(AND(FR$12&gt;=$E22,FR$12&lt;=$F22,MOD(FR$12,7)&gt;1,NOT(COUNTIF(General!$U$13:$U$19,FR$12))),$I22,"")</f>
        <v/>
      </c>
      <c r="FS22" s="582" t="str">
        <f>IF(AND(FS$12&gt;=$E22,FS$12&lt;=$F22,MOD(FS$12,7)&gt;1,NOT(COUNTIF(General!$U$13:$U$19,FS$12))),$I22,"")</f>
        <v/>
      </c>
      <c r="FT22" s="593" t="str">
        <f>IF(AND(FT$12&gt;=$E22,FT$12&lt;=$F22,MOD(FT$12,7)&gt;1,NOT(COUNTIF(General!$U$13:$U$19,FT$12))),$I22,"")</f>
        <v/>
      </c>
      <c r="FU22" s="593" t="str">
        <f>IF(AND(FU$12&gt;=$E22,FU$12&lt;=$F22,MOD(FU$12,7)&gt;1,NOT(COUNTIF(General!$U$13:$U$19,FU$12))),$I22,"")</f>
        <v/>
      </c>
      <c r="FV22" s="582" t="str">
        <f>IF(AND(FV$12&gt;=$E22,FV$12&lt;=$F22,MOD(FV$12,7)&gt;1,NOT(COUNTIF(General!$U$13:$U$19,FV$12))),$I22,"")</f>
        <v/>
      </c>
      <c r="FW22" s="582" t="str">
        <f>IF(AND(FW$12&gt;=$E22,FW$12&lt;=$F22,MOD(FW$12,7)&gt;1,NOT(COUNTIF(General!$U$13:$U$19,FW$12))),$I22,"")</f>
        <v/>
      </c>
      <c r="FX22" s="582" t="str">
        <f>IF(AND(FX$12&gt;=$E22,FX$12&lt;=$F22,MOD(FX$12,7)&gt;1,NOT(COUNTIF(General!$U$13:$U$19,FX$12))),$I22,"")</f>
        <v/>
      </c>
    </row>
    <row r="23" ht="16.5" customHeight="1">
      <c r="A23" s="594"/>
      <c r="B23" s="597"/>
      <c r="C23" s="582"/>
      <c r="D23" s="598" t="s">
        <v>571</v>
      </c>
      <c r="E23" s="583">
        <v>43805.0</v>
      </c>
      <c r="F23" s="374">
        <f>WORKDAY(E23,ROUNDUP(G23/I23,0),General!$U$13:$U$27)-1</f>
        <v>43807</v>
      </c>
      <c r="G23" s="542">
        <f>G22*0.4</f>
        <v>0.6</v>
      </c>
      <c r="H23" s="585"/>
      <c r="I23" s="586">
        <v>1.0</v>
      </c>
      <c r="J23" s="587"/>
      <c r="K23" s="588"/>
      <c r="L23" s="588"/>
      <c r="M23" s="589"/>
      <c r="N23" s="590"/>
      <c r="O23" s="591"/>
      <c r="P23" s="592"/>
      <c r="Q23" s="582" t="str">
        <f>IF(AND(Q$12&gt;=$E23,Q$12&lt;=$F23,MOD(Q$12,7)&gt;1,NOT(COUNTIF(General!$U$13:$U$19,Q$12))),$I23,"")</f>
        <v/>
      </c>
      <c r="R23" s="582" t="str">
        <f>IF(AND(R$12&gt;=$E23,R$12&lt;=$F23,MOD(R$12,7)&gt;1,NOT(COUNTIF(General!$U$13:$U$19,R$12))),$I23,"")</f>
        <v/>
      </c>
      <c r="S23" s="582" t="str">
        <f>IF(AND(S$12&gt;=$E23,S$12&lt;=$F23,MOD(S$12,7)&gt;1,NOT(COUNTIF(General!$U$13:$U$19,S$12))),$I23,"")</f>
        <v/>
      </c>
      <c r="T23" s="582" t="str">
        <f>IF(AND(T$12&gt;=$E23,T$12&lt;=$F23,MOD(T$12,7)&gt;1,NOT(COUNTIF(General!$U$13:$U$19,T$12))),$I23,"")</f>
        <v/>
      </c>
      <c r="U23" s="582">
        <f>IF(AND(U$12&gt;=$E23,U$12&lt;=$F23,MOD(U$12,7)&gt;1,NOT(COUNTIF(General!$U$13:$U$19,U$12))),$I23,"")</f>
        <v>1</v>
      </c>
      <c r="V23" s="593" t="str">
        <f>IF(AND(V$12&gt;=$E23,V$12&lt;=$F23,MOD(V$12,7)&gt;1,NOT(COUNTIF(General!$U$13:$U$19,V$12))),$I23,"")</f>
        <v/>
      </c>
      <c r="W23" s="593" t="str">
        <f>IF(AND(W$12&gt;=$E23,W$12&lt;=$F23,MOD(W$12,7)&gt;1,NOT(COUNTIF(General!$U$13:$U$19,W$12))),$I23,"")</f>
        <v/>
      </c>
      <c r="X23" s="582" t="str">
        <f>IF(AND(X$12&gt;=$E23,X$12&lt;=$F23,MOD(X$12,7)&gt;1,NOT(COUNTIF(General!$U$13:$U$19,X$12))),$I23,"")</f>
        <v/>
      </c>
      <c r="Y23" s="582" t="str">
        <f>IF(AND(Y$12&gt;=$E23,Y$12&lt;=$F23,MOD(Y$12,7)&gt;1,NOT(COUNTIF(General!$U$13:$U$19,Y$12))),$I23,"")</f>
        <v/>
      </c>
      <c r="Z23" s="582" t="str">
        <f>IF(AND(Z$12&gt;=$E23,Z$12&lt;=$F23,MOD(Z$12,7)&gt;1,NOT(COUNTIF(General!$U$13:$U$19,Z$12))),$I23,"")</f>
        <v/>
      </c>
      <c r="AA23" s="582" t="str">
        <f>IF(AND(AA$12&gt;=$E23,AA$12&lt;=$F23,MOD(AA$12,7)&gt;1,NOT(COUNTIF(General!$U$13:$U$19,AA$12))),$I23,"")</f>
        <v/>
      </c>
      <c r="AB23" s="582" t="str">
        <f>IF(AND(AB$12&gt;=$E23,AB$12&lt;=$F23,MOD(AB$12,7)&gt;1,NOT(COUNTIF(General!$U$13:$U$19,AB$12))),$I23,"")</f>
        <v/>
      </c>
      <c r="AC23" s="582" t="str">
        <f>IF(AND(AC$12&gt;=$E23,AC$12&lt;=$F23,MOD(AC$12,7)&gt;1,NOT(COUNTIF(General!$U$13:$U$19,AC$12))),$I23,"")</f>
        <v/>
      </c>
      <c r="AD23" s="582" t="str">
        <f>IF(AND(AD$12&gt;=$E23,AD$12&lt;=$F23,MOD(AD$12,7)&gt;1,NOT(COUNTIF(General!$U$13:$U$19,AD$12))),$I23,"")</f>
        <v/>
      </c>
      <c r="AE23" s="582" t="str">
        <f>IF(AND(AE$12&gt;=$E23,AE$12&lt;=$F23,MOD(AE$12,7)&gt;1,NOT(COUNTIF(General!$U$13:$U$19,AE$12))),$I23,"")</f>
        <v/>
      </c>
      <c r="AF23" s="582" t="str">
        <f>IF(AND(AF$12&gt;=$E23,AF$12&lt;=$F23,MOD(AF$12,7)&gt;1,NOT(COUNTIF(General!$U$13:$U$19,AF$12))),$I23,"")</f>
        <v/>
      </c>
      <c r="AG23" s="582" t="str">
        <f>IF(AND(AG$12&gt;=$E23,AG$12&lt;=$F23,MOD(AG$12,7)&gt;1,NOT(COUNTIF(General!$U$13:$U$19,AG$12))),$I23,"")</f>
        <v/>
      </c>
      <c r="AH23" s="582" t="str">
        <f>IF(AND(AH$12&gt;=$E23,AH$12&lt;=$F23,MOD(AH$12,7)&gt;1,NOT(COUNTIF(General!$U$13:$U$19,AH$12))),$I23,"")</f>
        <v/>
      </c>
      <c r="AI23" s="582" t="str">
        <f>IF(AND(AI$12&gt;=$E23,AI$12&lt;=$F23,MOD(AI$12,7)&gt;1,NOT(COUNTIF(General!$U$13:$U$19,AI$12))),$I23,"")</f>
        <v/>
      </c>
      <c r="AJ23" s="593" t="str">
        <f>IF(AND(AJ$12&gt;=$E23,AJ$12&lt;=$F23,MOD(AJ$12,7)&gt;1,NOT(COUNTIF(General!$U$13:$U$19,AJ$12))),$I23,"")</f>
        <v/>
      </c>
      <c r="AK23" s="593" t="str">
        <f>IF(AND(AK$12&gt;=$E23,AK$12&lt;=$F23,MOD(AK$12,7)&gt;1,NOT(COUNTIF(General!$U$13:$U$19,AK$12))),$I23,"")</f>
        <v/>
      </c>
      <c r="AL23" s="582" t="str">
        <f>IF(AND(AL$12&gt;=$E23,AL$12&lt;=$F23,MOD(AL$12,7)&gt;1,NOT(COUNTIF(General!$U$13:$U$19,AL$12))),$I23,"")</f>
        <v/>
      </c>
      <c r="AM23" s="582" t="str">
        <f>IF(AND(AM$12&gt;=$E23,AM$12&lt;=$F23,MOD(AM$12,7)&gt;1,NOT(COUNTIF(General!$U$13:$U$19,AM$12))),$I23,"")</f>
        <v/>
      </c>
      <c r="AN23" s="582" t="str">
        <f>IF(AND(AN$12&gt;=$E23,AN$12&lt;=$F23,MOD(AN$12,7)&gt;1,NOT(COUNTIF(General!$U$13:$U$19,AN$12))),$I23,"")</f>
        <v/>
      </c>
      <c r="AO23" s="582" t="str">
        <f>IF(AND(AO$12&gt;=$E23,AO$12&lt;=$F23,MOD(AO$12,7)&gt;1,NOT(COUNTIF(General!$U$13:$U$19,AO$12))),$I23,"")</f>
        <v/>
      </c>
      <c r="AP23" s="582" t="str">
        <f>IF(AND(AP$12&gt;=$E23,AP$12&lt;=$F23,MOD(AP$12,7)&gt;1,NOT(COUNTIF(General!$U$13:$U$19,AP$12))),$I23,"")</f>
        <v/>
      </c>
      <c r="AQ23" s="593" t="str">
        <f>IF(AND(AQ$12&gt;=$E23,AQ$12&lt;=$F23,MOD(AQ$12,7)&gt;1,NOT(COUNTIF(General!$U$13:$U$19,AQ$12))),$I23,"")</f>
        <v/>
      </c>
      <c r="AR23" s="593" t="str">
        <f>IF(AND(AR$12&gt;=$E23,AR$12&lt;=$F23,MOD(AR$12,7)&gt;1,NOT(COUNTIF(General!$U$13:$U$19,AR$12))),$I23,"")</f>
        <v/>
      </c>
      <c r="AS23" s="582" t="str">
        <f>IF(AND(AS$12&gt;=$E23,AS$12&lt;=$F23,MOD(AS$12,7)&gt;1,NOT(COUNTIF(General!$U$13:$U$19,AS$12))),$I23,"")</f>
        <v/>
      </c>
      <c r="AT23" s="582" t="str">
        <f>IF(AND(AT$12&gt;=$E23,AT$12&lt;=$F23,MOD(AT$12,7)&gt;1,NOT(COUNTIF(General!$U$13:$U$19,AT$12))),$I23,"")</f>
        <v/>
      </c>
      <c r="AU23" s="582" t="str">
        <f>IF(AND(AU$12&gt;=$E23,AU$12&lt;=$F23,MOD(AU$12,7)&gt;1,NOT(COUNTIF(General!$U$13:$U$19,AU$12))),$I23,"")</f>
        <v/>
      </c>
      <c r="AV23" s="582" t="str">
        <f>IF(AND(AV$12&gt;=$E23,AV$12&lt;=$F23,MOD(AV$12,7)&gt;1,NOT(COUNTIF(General!$U$13:$U$19,AV$12))),$I23,"")</f>
        <v/>
      </c>
      <c r="AW23" s="582" t="str">
        <f>IF(AND(AW$12&gt;=$E23,AW$12&lt;=$F23,MOD(AW$12,7)&gt;1,NOT(COUNTIF(General!$U$13:$U$19,AW$12))),$I23,"")</f>
        <v/>
      </c>
      <c r="AX23" s="593" t="str">
        <f>IF(AND(AX$12&gt;=$E23,AX$12&lt;=$F23,MOD(AX$12,7)&gt;1,NOT(COUNTIF(General!$U$13:$U$19,AX$12))),$I23,"")</f>
        <v/>
      </c>
      <c r="AY23" s="593" t="str">
        <f>IF(AND(AY$12&gt;=$E23,AY$12&lt;=$F23,MOD(AY$12,7)&gt;1,NOT(COUNTIF(General!$U$13:$U$19,AY$12))),$I23,"")</f>
        <v/>
      </c>
      <c r="AZ23" s="582" t="str">
        <f>IF(AND(AZ$12&gt;=$E23,AZ$12&lt;=$F23,MOD(AZ$12,7)&gt;1,NOT(COUNTIF(General!$U$13:$U$19,AZ$12))),$I23,"")</f>
        <v/>
      </c>
      <c r="BA23" s="582" t="str">
        <f>IF(AND(BA$12&gt;=$E23,BA$12&lt;=$F23,MOD(BA$12,7)&gt;1,NOT(COUNTIF(General!$U$13:$U$19,BA$12))),$I23,"")</f>
        <v/>
      </c>
      <c r="BB23" s="582" t="str">
        <f>IF(AND(BB$12&gt;=$E23,BB$12&lt;=$F23,MOD(BB$12,7)&gt;1,NOT(COUNTIF(General!$U$13:$U$19,BB$12))),$I23,"")</f>
        <v/>
      </c>
      <c r="BC23" s="582" t="str">
        <f>IF(AND(BC$12&gt;=$E23,BC$12&lt;=$F23,MOD(BC$12,7)&gt;1,NOT(COUNTIF(General!$U$13:$U$19,BC$12))),$I23,"")</f>
        <v/>
      </c>
      <c r="BD23" s="582" t="str">
        <f>IF(AND(BD$12&gt;=$E23,BD$12&lt;=$F23,MOD(BD$12,7)&gt;1,NOT(COUNTIF(General!$U$13:$U$19,BD$12))),$I23,"")</f>
        <v/>
      </c>
      <c r="BE23" s="593" t="str">
        <f>IF(AND(BE$12&gt;=$E23,BE$12&lt;=$F23,MOD(BE$12,7)&gt;1,NOT(COUNTIF(General!$U$13:$U$19,BE$12))),$I23,"")</f>
        <v/>
      </c>
      <c r="BF23" s="593" t="str">
        <f>IF(AND(BF$12&gt;=$E23,BF$12&lt;=$F23,MOD(BF$12,7)&gt;1,NOT(COUNTIF(General!$U$13:$U$19,BF$12))),$I23,"")</f>
        <v/>
      </c>
      <c r="BG23" s="582" t="str">
        <f>IF(AND(BG$12&gt;=$E23,BG$12&lt;=$F23,MOD(BG$12,7)&gt;1,NOT(COUNTIF(General!$U$13:$U$19,BG$12))),$I23,"")</f>
        <v/>
      </c>
      <c r="BH23" s="582" t="str">
        <f>IF(AND(BH$12&gt;=$E23,BH$12&lt;=$F23,MOD(BH$12,7)&gt;1,NOT(COUNTIF(General!$U$13:$U$19,BH$12))),$I23,"")</f>
        <v/>
      </c>
      <c r="BI23" s="582" t="str">
        <f>IF(AND(BI$12&gt;=$E23,BI$12&lt;=$F23,MOD(BI$12,7)&gt;1,NOT(COUNTIF(General!$U$13:$U$19,BI$12))),$I23,"")</f>
        <v/>
      </c>
      <c r="BJ23" s="582" t="str">
        <f>IF(AND(BJ$12&gt;=$E23,BJ$12&lt;=$F23,MOD(BJ$12,7)&gt;1,NOT(COUNTIF(General!$U$13:$U$19,BJ$12))),$I23,"")</f>
        <v/>
      </c>
      <c r="BK23" s="582" t="str">
        <f>IF(AND(BK$12&gt;=$E23,BK$12&lt;=$F23,MOD(BK$12,7)&gt;1,NOT(COUNTIF(General!$U$13:$U$19,BK$12))),$I23,"")</f>
        <v/>
      </c>
      <c r="BL23" s="593" t="str">
        <f>IF(AND(BL$12&gt;=$E23,BL$12&lt;=$F23,MOD(BL$12,7)&gt;1,NOT(COUNTIF(General!$U$13:$U$19,BL$12))),$I23,"")</f>
        <v/>
      </c>
      <c r="BM23" s="593" t="str">
        <f>IF(AND(BM$12&gt;=$E23,BM$12&lt;=$F23,MOD(BM$12,7)&gt;1,NOT(COUNTIF(General!$U$13:$U$19,BM$12))),$I23,"")</f>
        <v/>
      </c>
      <c r="BN23" s="582" t="str">
        <f>IF(AND(BN$12&gt;=$E23,BN$12&lt;=$F23,MOD(BN$12,7)&gt;1,NOT(COUNTIF(General!$U$13:$U$19,BN$12))),$I23,"")</f>
        <v/>
      </c>
      <c r="BO23" s="582" t="str">
        <f>IF(AND(BO$12&gt;=$E23,BO$12&lt;=$F23,MOD(BO$12,7)&gt;1,NOT(COUNTIF(General!$U$13:$U$19,BO$12))),$I23,"")</f>
        <v/>
      </c>
      <c r="BP23" s="582" t="str">
        <f>IF(AND(BP$12&gt;=$E23,BP$12&lt;=$F23,MOD(BP$12,7)&gt;1,NOT(COUNTIF(General!$U$13:$U$19,BP$12))),$I23,"")</f>
        <v/>
      </c>
      <c r="BQ23" s="582" t="str">
        <f>IF(AND(BQ$12&gt;=$E23,BQ$12&lt;=$F23,MOD(BQ$12,7)&gt;1,NOT(COUNTIF(General!$U$13:$U$19,BQ$12))),$I23,"")</f>
        <v/>
      </c>
      <c r="BR23" s="582" t="str">
        <f>IF(AND(BR$12&gt;=$E23,BR$12&lt;=$F23,MOD(BR$12,7)&gt;1,NOT(COUNTIF(General!$U$13:$U$19,BR$12))),$I23,"")</f>
        <v/>
      </c>
      <c r="BS23" s="593" t="str">
        <f>IF(AND(BS$12&gt;=$E23,BS$12&lt;=$F23,MOD(BS$12,7)&gt;1,NOT(COUNTIF(General!$U$13:$U$19,BS$12))),$I23,"")</f>
        <v/>
      </c>
      <c r="BT23" s="593" t="str">
        <f>IF(AND(BT$12&gt;=$E23,BT$12&lt;=$F23,MOD(BT$12,7)&gt;1,NOT(COUNTIF(General!$U$13:$U$19,BT$12))),$I23,"")</f>
        <v/>
      </c>
      <c r="BU23" s="582" t="str">
        <f>IF(AND(BU$12&gt;=$E23,BU$12&lt;=$F23,MOD(BU$12,7)&gt;1,NOT(COUNTIF(General!$U$13:$U$19,BU$12))),$I23,"")</f>
        <v/>
      </c>
      <c r="BV23" s="582" t="str">
        <f>IF(AND(BV$12&gt;=$E23,BV$12&lt;=$F23,MOD(BV$12,7)&gt;1,NOT(COUNTIF(General!$U$13:$U$19,BV$12))),$I23,"")</f>
        <v/>
      </c>
      <c r="BW23" s="582" t="str">
        <f>IF(AND(BW$12&gt;=$E23,BW$12&lt;=$F23,MOD(BW$12,7)&gt;1,NOT(COUNTIF(General!$U$13:$U$19,BW$12))),$I23,"")</f>
        <v/>
      </c>
      <c r="BX23" s="582" t="str">
        <f>IF(AND(BX$12&gt;=$E23,BX$12&lt;=$F23,MOD(BX$12,7)&gt;1,NOT(COUNTIF(General!$U$13:$U$19,BX$12))),$I23,"")</f>
        <v/>
      </c>
      <c r="BY23" s="582" t="str">
        <f>IF(AND(BY$12&gt;=$E23,BY$12&lt;=$F23,MOD(BY$12,7)&gt;1,NOT(COUNTIF(General!$U$13:$U$19,BY$12))),$I23,"")</f>
        <v/>
      </c>
      <c r="BZ23" s="593" t="str">
        <f>IF(AND(BZ$12&gt;=$E23,BZ$12&lt;=$F23,MOD(BZ$12,7)&gt;1,NOT(COUNTIF(General!$U$13:$U$19,BZ$12))),$I23,"")</f>
        <v/>
      </c>
      <c r="CA23" s="593" t="str">
        <f>IF(AND(CA$12&gt;=$E23,CA$12&lt;=$F23,MOD(CA$12,7)&gt;1,NOT(COUNTIF(General!$U$13:$U$19,CA$12))),$I23,"")</f>
        <v/>
      </c>
      <c r="CB23" s="582" t="str">
        <f>IF(AND(CB$12&gt;=$E23,CB$12&lt;=$F23,MOD(CB$12,7)&gt;1,NOT(COUNTIF(General!$U$13:$U$19,CB$12))),$I23,"")</f>
        <v/>
      </c>
      <c r="CC23" s="582" t="str">
        <f>IF(AND(CC$12&gt;=$E23,CC$12&lt;=$F23,MOD(CC$12,7)&gt;1,NOT(COUNTIF(General!$U$13:$U$19,CC$12))),$I23,"")</f>
        <v/>
      </c>
      <c r="CD23" s="582" t="str">
        <f>IF(AND(CD$12&gt;=$E23,CD$12&lt;=$F23,MOD(CD$12,7)&gt;1,NOT(COUNTIF(General!$U$13:$U$19,CD$12))),$I23,"")</f>
        <v/>
      </c>
      <c r="CE23" s="582" t="str">
        <f>IF(AND(CE$12&gt;=$E23,CE$12&lt;=$F23,MOD(CE$12,7)&gt;1,NOT(COUNTIF(General!$U$13:$U$19,CE$12))),$I23,"")</f>
        <v/>
      </c>
      <c r="CF23" s="582" t="str">
        <f>IF(AND(CF$12&gt;=$E23,CF$12&lt;=$F23,MOD(CF$12,7)&gt;1,NOT(COUNTIF(General!$U$13:$U$19,CF$12))),$I23,"")</f>
        <v/>
      </c>
      <c r="CG23" s="593" t="str">
        <f>IF(AND(CG$12&gt;=$E23,CG$12&lt;=$F23,MOD(CG$12,7)&gt;1,NOT(COUNTIF(General!$U$13:$U$19,CG$12))),$I23,"")</f>
        <v/>
      </c>
      <c r="CH23" s="593" t="str">
        <f>IF(AND(CH$12&gt;=$E23,CH$12&lt;=$F23,MOD(CH$12,7)&gt;1,NOT(COUNTIF(General!$U$13:$U$19,CH$12))),$I23,"")</f>
        <v/>
      </c>
      <c r="CI23" s="582" t="str">
        <f>IF(AND(CI$12&gt;=$E23,CI$12&lt;=$F23,MOD(CI$12,7)&gt;1,NOT(COUNTIF(General!$U$13:$U$19,CI$12))),$I23,"")</f>
        <v/>
      </c>
      <c r="CJ23" s="582" t="str">
        <f>IF(AND(CJ$12&gt;=$E23,CJ$12&lt;=$F23,MOD(CJ$12,7)&gt;1,NOT(COUNTIF(General!$U$13:$U$19,CJ$12))),$I23,"")</f>
        <v/>
      </c>
      <c r="CK23" s="582" t="str">
        <f>IF(AND(CK$12&gt;=$E23,CK$12&lt;=$F23,MOD(CK$12,7)&gt;1,NOT(COUNTIF(General!$U$13:$U$19,CK$12))),$I23,"")</f>
        <v/>
      </c>
      <c r="CL23" s="582" t="str">
        <f>IF(AND(CL$12&gt;=$E23,CL$12&lt;=$F23,MOD(CL$12,7)&gt;1,NOT(COUNTIF(General!$U$13:$U$19,CL$12))),$I23,"")</f>
        <v/>
      </c>
      <c r="CM23" s="582" t="str">
        <f>IF(AND(CM$12&gt;=$E23,CM$12&lt;=$F23,MOD(CM$12,7)&gt;1,NOT(COUNTIF(General!$U$13:$U$19,CM$12))),$I23,"")</f>
        <v/>
      </c>
      <c r="CN23" s="593" t="str">
        <f>IF(AND(CN$12&gt;=$E23,CN$12&lt;=$F23,MOD(CN$12,7)&gt;1,NOT(COUNTIF(General!$U$13:$U$19,CN$12))),$I23,"")</f>
        <v/>
      </c>
      <c r="CO23" s="593" t="str">
        <f>IF(AND(CO$12&gt;=$E23,CO$12&lt;=$F23,MOD(CO$12,7)&gt;1,NOT(COUNTIF(General!$U$13:$U$19,CO$12))),$I23,"")</f>
        <v/>
      </c>
      <c r="CP23" s="582" t="str">
        <f>IF(AND(CP$12&gt;=$E23,CP$12&lt;=$F23,MOD(CP$12,7)&gt;1,NOT(COUNTIF(General!$U$13:$U$19,CP$12))),$I23,"")</f>
        <v/>
      </c>
      <c r="CQ23" s="582" t="str">
        <f>IF(AND(CQ$12&gt;=$E23,CQ$12&lt;=$F23,MOD(CQ$12,7)&gt;1,NOT(COUNTIF(General!$U$13:$U$19,CQ$12))),$I23,"")</f>
        <v/>
      </c>
      <c r="CR23" s="582" t="str">
        <f>IF(AND(CR$12&gt;=$E23,CR$12&lt;=$F23,MOD(CR$12,7)&gt;1,NOT(COUNTIF(General!$U$13:$U$19,CR$12))),$I23,"")</f>
        <v/>
      </c>
      <c r="CS23" s="582" t="str">
        <f>IF(AND(CS$12&gt;=$E23,CS$12&lt;=$F23,MOD(CS$12,7)&gt;1,NOT(COUNTIF(General!$U$13:$U$19,CS$12))),$I23,"")</f>
        <v/>
      </c>
      <c r="CT23" s="582" t="str">
        <f>IF(AND(CT$12&gt;=$E23,CT$12&lt;=$F23,MOD(CT$12,7)&gt;1,NOT(COUNTIF(General!$U$13:$U$19,CT$12))),$I23,"")</f>
        <v/>
      </c>
      <c r="CU23" s="593" t="str">
        <f>IF(AND(CU$12&gt;=$E23,CU$12&lt;=$F23,MOD(CU$12,7)&gt;1,NOT(COUNTIF(General!$U$13:$U$19,CU$12))),$I23,"")</f>
        <v/>
      </c>
      <c r="CV23" s="593" t="str">
        <f>IF(AND(CV$12&gt;=$E23,CV$12&lt;=$F23,MOD(CV$12,7)&gt;1,NOT(COUNTIF(General!$U$13:$U$19,CV$12))),$I23,"")</f>
        <v/>
      </c>
      <c r="CW23" s="582" t="str">
        <f>IF(AND(CW$12&gt;=$E23,CW$12&lt;=$F23,MOD(CW$12,7)&gt;1,NOT(COUNTIF(General!$U$13:$U$19,CW$12))),$I23,"")</f>
        <v/>
      </c>
      <c r="CX23" s="582" t="str">
        <f>IF(AND(CX$12&gt;=$E23,CX$12&lt;=$F23,MOD(CX$12,7)&gt;1,NOT(COUNTIF(General!$U$13:$U$19,CX$12))),$I23,"")</f>
        <v/>
      </c>
      <c r="CY23" s="582" t="str">
        <f>IF(AND(CY$12&gt;=$E23,CY$12&lt;=$F23,MOD(CY$12,7)&gt;1,NOT(COUNTIF(General!$U$13:$U$19,CY$12))),$I23,"")</f>
        <v/>
      </c>
      <c r="CZ23" s="582" t="str">
        <f>IF(AND(CZ$12&gt;=$E23,CZ$12&lt;=$F23,MOD(CZ$12,7)&gt;1,NOT(COUNTIF(General!$U$13:$U$19,CZ$12))),$I23,"")</f>
        <v/>
      </c>
      <c r="DA23" s="582" t="str">
        <f>IF(AND(DA$12&gt;=$E23,DA$12&lt;=$F23,MOD(DA$12,7)&gt;1,NOT(COUNTIF(General!$U$13:$U$19,DA$12))),$I23,"")</f>
        <v/>
      </c>
      <c r="DB23" s="593" t="str">
        <f>IF(AND(DB$12&gt;=$E23,DB$12&lt;=$F23,MOD(DB$12,7)&gt;1,NOT(COUNTIF(General!$U$13:$U$19,DB$12))),$I23,"")</f>
        <v/>
      </c>
      <c r="DC23" s="593" t="str">
        <f>IF(AND(DC$12&gt;=$E23,DC$12&lt;=$F23,MOD(DC$12,7)&gt;1,NOT(COUNTIF(General!$U$13:$U$19,DC$12))),$I23,"")</f>
        <v/>
      </c>
      <c r="DD23" s="582" t="str">
        <f>IF(AND(DD$12&gt;=$E23,DD$12&lt;=$F23,MOD(DD$12,7)&gt;1,NOT(COUNTIF(General!$U$13:$U$19,DD$12))),$I23,"")</f>
        <v/>
      </c>
      <c r="DE23" s="582" t="str">
        <f>IF(AND(DE$12&gt;=$E23,DE$12&lt;=$F23,MOD(DE$12,7)&gt;1,NOT(COUNTIF(General!$U$13:$U$19,DE$12))),$I23,"")</f>
        <v/>
      </c>
      <c r="DF23" s="582" t="str">
        <f>IF(AND(DF$12&gt;=$E23,DF$12&lt;=$F23,MOD(DF$12,7)&gt;1,NOT(COUNTIF(General!$U$13:$U$19,DF$12))),$I23,"")</f>
        <v/>
      </c>
      <c r="DG23" s="582" t="str">
        <f>IF(AND(DG$12&gt;=$E23,DG$12&lt;=$F23,MOD(DG$12,7)&gt;1,NOT(COUNTIF(General!$U$13:$U$19,DG$12))),$I23,"")</f>
        <v/>
      </c>
      <c r="DH23" s="582" t="str">
        <f>IF(AND(DH$12&gt;=$E23,DH$12&lt;=$F23,MOD(DH$12,7)&gt;1,NOT(COUNTIF(General!$U$13:$U$19,DH$12))),$I23,"")</f>
        <v/>
      </c>
      <c r="DI23" s="593" t="str">
        <f>IF(AND(DI$12&gt;=$E23,DI$12&lt;=$F23,MOD(DI$12,7)&gt;1,NOT(COUNTIF(General!$U$13:$U$19,DI$12))),$I23,"")</f>
        <v/>
      </c>
      <c r="DJ23" s="593" t="str">
        <f>IF(AND(DJ$12&gt;=$E23,DJ$12&lt;=$F23,MOD(DJ$12,7)&gt;1,NOT(COUNTIF(General!$U$13:$U$19,DJ$12))),$I23,"")</f>
        <v/>
      </c>
      <c r="DK23" s="582" t="str">
        <f>IF(AND(DK$12&gt;=$E23,DK$12&lt;=$F23,MOD(DK$12,7)&gt;1,NOT(COUNTIF(General!$U$13:$U$19,DK$12))),$I23,"")</f>
        <v/>
      </c>
      <c r="DL23" s="582" t="str">
        <f>IF(AND(DL$12&gt;=$E23,DL$12&lt;=$F23,MOD(DL$12,7)&gt;1,NOT(COUNTIF(General!$U$13:$U$19,DL$12))),$I23,"")</f>
        <v/>
      </c>
      <c r="DM23" s="582" t="str">
        <f>IF(AND(DM$12&gt;=$E23,DM$12&lt;=$F23,MOD(DM$12,7)&gt;1,NOT(COUNTIF(General!$U$13:$U$19,DM$12))),$I23,"")</f>
        <v/>
      </c>
      <c r="DN23" s="582" t="str">
        <f>IF(AND(DN$12&gt;=$E23,DN$12&lt;=$F23,MOD(DN$12,7)&gt;1,NOT(COUNTIF(General!$U$13:$U$19,DN$12))),$I23,"")</f>
        <v/>
      </c>
      <c r="DO23" s="582" t="str">
        <f>IF(AND(DO$12&gt;=$E23,DO$12&lt;=$F23,MOD(DO$12,7)&gt;1,NOT(COUNTIF(General!$U$13:$U$19,DO$12))),$I23,"")</f>
        <v/>
      </c>
      <c r="DP23" s="593" t="str">
        <f>IF(AND(DP$12&gt;=$E23,DP$12&lt;=$F23,MOD(DP$12,7)&gt;1,NOT(COUNTIF(General!$U$13:$U$19,DP$12))),$I23,"")</f>
        <v/>
      </c>
      <c r="DQ23" s="593" t="str">
        <f>IF(AND(DQ$12&gt;=$E23,DQ$12&lt;=$F23,MOD(DQ$12,7)&gt;1,NOT(COUNTIF(General!$U$13:$U$19,DQ$12))),$I23,"")</f>
        <v/>
      </c>
      <c r="DR23" s="582" t="str">
        <f>IF(AND(DR$12&gt;=$E23,DR$12&lt;=$F23,MOD(DR$12,7)&gt;1,NOT(COUNTIF(General!$U$13:$U$19,DR$12))),$I23,"")</f>
        <v/>
      </c>
      <c r="DS23" s="582" t="str">
        <f>IF(AND(DS$12&gt;=$E23,DS$12&lt;=$F23,MOD(DS$12,7)&gt;1,NOT(COUNTIF(General!$U$13:$U$19,DS$12))),$I23,"")</f>
        <v/>
      </c>
      <c r="DT23" s="582" t="str">
        <f>IF(AND(DT$12&gt;=$E23,DT$12&lt;=$F23,MOD(DT$12,7)&gt;1,NOT(COUNTIF(General!$U$13:$U$19,DT$12))),$I23,"")</f>
        <v/>
      </c>
      <c r="DU23" s="582" t="str">
        <f>IF(AND(DU$12&gt;=$E23,DU$12&lt;=$F23,MOD(DU$12,7)&gt;1,NOT(COUNTIF(General!$U$13:$U$19,DU$12))),$I23,"")</f>
        <v/>
      </c>
      <c r="DV23" s="582" t="str">
        <f>IF(AND(DV$12&gt;=$E23,DV$12&lt;=$F23,MOD(DV$12,7)&gt;1,NOT(COUNTIF(General!$U$13:$U$19,DV$12))),$I23,"")</f>
        <v/>
      </c>
      <c r="DW23" s="593" t="str">
        <f>IF(AND(DW$12&gt;=$E23,DW$12&lt;=$F23,MOD(DW$12,7)&gt;1,NOT(COUNTIF(General!$U$13:$U$19,DW$12))),$I23,"")</f>
        <v/>
      </c>
      <c r="DX23" s="593" t="str">
        <f>IF(AND(DX$12&gt;=$E23,DX$12&lt;=$F23,MOD(DX$12,7)&gt;1,NOT(COUNTIF(General!$U$13:$U$19,DX$12))),$I23,"")</f>
        <v/>
      </c>
      <c r="DY23" s="582" t="str">
        <f>IF(AND(DY$12&gt;=$E23,DY$12&lt;=$F23,MOD(DY$12,7)&gt;1,NOT(COUNTIF(General!$U$13:$U$19,DY$12))),$I23,"")</f>
        <v/>
      </c>
      <c r="DZ23" s="582" t="str">
        <f>IF(AND(DZ$12&gt;=$E23,DZ$12&lt;=$F23,MOD(DZ$12,7)&gt;1,NOT(COUNTIF(General!$U$13:$U$19,DZ$12))),$I23,"")</f>
        <v/>
      </c>
      <c r="EA23" s="582" t="str">
        <f>IF(AND(EA$12&gt;=$E23,EA$12&lt;=$F23,MOD(EA$12,7)&gt;1,NOT(COUNTIF(General!$U$13:$U$19,EA$12))),$I23,"")</f>
        <v/>
      </c>
      <c r="EB23" s="582" t="str">
        <f>IF(AND(EB$12&gt;=$E23,EB$12&lt;=$F23,MOD(EB$12,7)&gt;1,NOT(COUNTIF(General!$U$13:$U$19,EB$12))),$I23,"")</f>
        <v/>
      </c>
      <c r="EC23" s="582" t="str">
        <f>IF(AND(EC$12&gt;=$E23,EC$12&lt;=$F23,MOD(EC$12,7)&gt;1,NOT(COUNTIF(General!$U$13:$U$19,EC$12))),$I23,"")</f>
        <v/>
      </c>
      <c r="ED23" s="593" t="str">
        <f>IF(AND(ED$12&gt;=$E23,ED$12&lt;=$F23,MOD(ED$12,7)&gt;1,NOT(COUNTIF(General!$U$13:$U$19,ED$12))),$I23,"")</f>
        <v/>
      </c>
      <c r="EE23" s="593" t="str">
        <f>IF(AND(EE$12&gt;=$E23,EE$12&lt;=$F23,MOD(EE$12,7)&gt;1,NOT(COUNTIF(General!$U$13:$U$19,EE$12))),$I23,"")</f>
        <v/>
      </c>
      <c r="EF23" s="582" t="str">
        <f>IF(AND(EF$12&gt;=$E23,EF$12&lt;=$F23,MOD(EF$12,7)&gt;1,NOT(COUNTIF(General!$U$13:$U$19,EF$12))),$I23,"")</f>
        <v/>
      </c>
      <c r="EG23" s="582" t="str">
        <f>IF(AND(EG$12&gt;=$E23,EG$12&lt;=$F23,MOD(EG$12,7)&gt;1,NOT(COUNTIF(General!$U$13:$U$19,EG$12))),$I23,"")</f>
        <v/>
      </c>
      <c r="EH23" s="582" t="str">
        <f>IF(AND(EH$12&gt;=$E23,EH$12&lt;=$F23,MOD(EH$12,7)&gt;1,NOT(COUNTIF(General!$U$13:$U$19,EH$12))),$I23,"")</f>
        <v/>
      </c>
      <c r="EI23" s="582" t="str">
        <f>IF(AND(EI$12&gt;=$E23,EI$12&lt;=$F23,MOD(EI$12,7)&gt;1,NOT(COUNTIF(General!$U$13:$U$19,EI$12))),$I23,"")</f>
        <v/>
      </c>
      <c r="EJ23" s="582" t="str">
        <f>IF(AND(EJ$12&gt;=$E23,EJ$12&lt;=$F23,MOD(EJ$12,7)&gt;1,NOT(COUNTIF(General!$U$13:$U$19,EJ$12))),$I23,"")</f>
        <v/>
      </c>
      <c r="EK23" s="593" t="str">
        <f>IF(AND(EK$12&gt;=$E23,EK$12&lt;=$F23,MOD(EK$12,7)&gt;1,NOT(COUNTIF(General!$U$13:$U$19,EK$12))),$I23,"")</f>
        <v/>
      </c>
      <c r="EL23" s="593" t="str">
        <f>IF(AND(EL$12&gt;=$E23,EL$12&lt;=$F23,MOD(EL$12,7)&gt;1,NOT(COUNTIF(General!$U$13:$U$19,EL$12))),$I23,"")</f>
        <v/>
      </c>
      <c r="EM23" s="582" t="str">
        <f>IF(AND(EM$12&gt;=$E23,EM$12&lt;=$F23,MOD(EM$12,7)&gt;1,NOT(COUNTIF(General!$U$13:$U$19,EM$12))),$I23,"")</f>
        <v/>
      </c>
      <c r="EN23" s="582" t="str">
        <f>IF(AND(EN$12&gt;=$E23,EN$12&lt;=$F23,MOD(EN$12,7)&gt;1,NOT(COUNTIF(General!$U$13:$U$19,EN$12))),$I23,"")</f>
        <v/>
      </c>
      <c r="EO23" s="582" t="str">
        <f>IF(AND(EO$12&gt;=$E23,EO$12&lt;=$F23,MOD(EO$12,7)&gt;1,NOT(COUNTIF(General!$U$13:$U$19,EO$12))),$I23,"")</f>
        <v/>
      </c>
      <c r="EP23" s="582" t="str">
        <f>IF(AND(EP$12&gt;=$E23,EP$12&lt;=$F23,MOD(EP$12,7)&gt;1,NOT(COUNTIF(General!$U$13:$U$19,EP$12))),$I23,"")</f>
        <v/>
      </c>
      <c r="EQ23" s="582" t="str">
        <f>IF(AND(EQ$12&gt;=$E23,EQ$12&lt;=$F23,MOD(EQ$12,7)&gt;1,NOT(COUNTIF(General!$U$13:$U$19,EQ$12))),$I23,"")</f>
        <v/>
      </c>
      <c r="ER23" s="593" t="str">
        <f>IF(AND(ER$12&gt;=$E23,ER$12&lt;=$F23,MOD(ER$12,7)&gt;1,NOT(COUNTIF(General!$U$13:$U$19,ER$12))),$I23,"")</f>
        <v/>
      </c>
      <c r="ES23" s="593" t="str">
        <f>IF(AND(ES$12&gt;=$E23,ES$12&lt;=$F23,MOD(ES$12,7)&gt;1,NOT(COUNTIF(General!$U$13:$U$19,ES$12))),$I23,"")</f>
        <v/>
      </c>
      <c r="ET23" s="582" t="str">
        <f>IF(AND(ET$12&gt;=$E23,ET$12&lt;=$F23,MOD(ET$12,7)&gt;1,NOT(COUNTIF(General!$U$13:$U$19,ET$12))),$I23,"")</f>
        <v/>
      </c>
      <c r="EU23" s="582" t="str">
        <f>IF(AND(EU$12&gt;=$E23,EU$12&lt;=$F23,MOD(EU$12,7)&gt;1,NOT(COUNTIF(General!$U$13:$U$19,EU$12))),$I23,"")</f>
        <v/>
      </c>
      <c r="EV23" s="582" t="str">
        <f>IF(AND(EV$12&gt;=$E23,EV$12&lt;=$F23,MOD(EV$12,7)&gt;1,NOT(COUNTIF(General!$U$13:$U$19,EV$12))),$I23,"")</f>
        <v/>
      </c>
      <c r="EW23" s="582" t="str">
        <f>IF(AND(EW$12&gt;=$E23,EW$12&lt;=$F23,MOD(EW$12,7)&gt;1,NOT(COUNTIF(General!$U$13:$U$19,EW$12))),$I23,"")</f>
        <v/>
      </c>
      <c r="EX23" s="582" t="str">
        <f>IF(AND(EX$12&gt;=$E23,EX$12&lt;=$F23,MOD(EX$12,7)&gt;1,NOT(COUNTIF(General!$U$13:$U$19,EX$12))),$I23,"")</f>
        <v/>
      </c>
      <c r="EY23" s="593" t="str">
        <f>IF(AND(EY$12&gt;=$E23,EY$12&lt;=$F23,MOD(EY$12,7)&gt;1,NOT(COUNTIF(General!$U$13:$U$19,EY$12))),$I23,"")</f>
        <v/>
      </c>
      <c r="EZ23" s="593" t="str">
        <f>IF(AND(EZ$12&gt;=$E23,EZ$12&lt;=$F23,MOD(EZ$12,7)&gt;1,NOT(COUNTIF(General!$U$13:$U$19,EZ$12))),$I23,"")</f>
        <v/>
      </c>
      <c r="FA23" s="582" t="str">
        <f>IF(AND(FA$12&gt;=$E23,FA$12&lt;=$F23,MOD(FA$12,7)&gt;1,NOT(COUNTIF(General!$U$13:$U$19,FA$12))),$I23,"")</f>
        <v/>
      </c>
      <c r="FB23" s="582" t="str">
        <f>IF(AND(FB$12&gt;=$E23,FB$12&lt;=$F23,MOD(FB$12,7)&gt;1,NOT(COUNTIF(General!$U$13:$U$19,FB$12))),$I23,"")</f>
        <v/>
      </c>
      <c r="FC23" s="582" t="str">
        <f>IF(AND(FC$12&gt;=$E23,FC$12&lt;=$F23,MOD(FC$12,7)&gt;1,NOT(COUNTIF(General!$U$13:$U$19,FC$12))),$I23,"")</f>
        <v/>
      </c>
      <c r="FD23" s="582" t="str">
        <f>IF(AND(FD$12&gt;=$E23,FD$12&lt;=$F23,MOD(FD$12,7)&gt;1,NOT(COUNTIF(General!$U$13:$U$19,FD$12))),$I23,"")</f>
        <v/>
      </c>
      <c r="FE23" s="582" t="str">
        <f>IF(AND(FE$12&gt;=$E23,FE$12&lt;=$F23,MOD(FE$12,7)&gt;1,NOT(COUNTIF(General!$U$13:$U$19,FE$12))),$I23,"")</f>
        <v/>
      </c>
      <c r="FF23" s="593" t="str">
        <f>IF(AND(FF$12&gt;=$E23,FF$12&lt;=$F23,MOD(FF$12,7)&gt;1,NOT(COUNTIF(General!$U$13:$U$19,FF$12))),$I23,"")</f>
        <v/>
      </c>
      <c r="FG23" s="593" t="str">
        <f>IF(AND(FG$12&gt;=$E23,FG$12&lt;=$F23,MOD(FG$12,7)&gt;1,NOT(COUNTIF(General!$U$13:$U$19,FG$12))),$I23,"")</f>
        <v/>
      </c>
      <c r="FH23" s="582" t="str">
        <f>IF(AND(FH$12&gt;=$E23,FH$12&lt;=$F23,MOD(FH$12,7)&gt;1,NOT(COUNTIF(General!$U$13:$U$19,FH$12))),$I23,"")</f>
        <v/>
      </c>
      <c r="FI23" s="582" t="str">
        <f>IF(AND(FI$12&gt;=$E23,FI$12&lt;=$F23,MOD(FI$12,7)&gt;1,NOT(COUNTIF(General!$U$13:$U$19,FI$12))),$I23,"")</f>
        <v/>
      </c>
      <c r="FJ23" s="582" t="str">
        <f>IF(AND(FJ$12&gt;=$E23,FJ$12&lt;=$F23,MOD(FJ$12,7)&gt;1,NOT(COUNTIF(General!$U$13:$U$19,FJ$12))),$I23,"")</f>
        <v/>
      </c>
      <c r="FK23" s="582" t="str">
        <f>IF(AND(FK$12&gt;=$E23,FK$12&lt;=$F23,MOD(FK$12,7)&gt;1,NOT(COUNTIF(General!$U$13:$U$19,FK$12))),$I23,"")</f>
        <v/>
      </c>
      <c r="FL23" s="582" t="str">
        <f>IF(AND(FL$12&gt;=$E23,FL$12&lt;=$F23,MOD(FL$12,7)&gt;1,NOT(COUNTIF(General!$U$13:$U$19,FL$12))),$I23,"")</f>
        <v/>
      </c>
      <c r="FM23" s="593" t="str">
        <f>IF(AND(FM$12&gt;=$E23,FM$12&lt;=$F23,MOD(FM$12,7)&gt;1,NOT(COUNTIF(General!$U$13:$U$19,FM$12))),$I23,"")</f>
        <v/>
      </c>
      <c r="FN23" s="593" t="str">
        <f>IF(AND(FN$12&gt;=$E23,FN$12&lt;=$F23,MOD(FN$12,7)&gt;1,NOT(COUNTIF(General!$U$13:$U$19,FN$12))),$I23,"")</f>
        <v/>
      </c>
      <c r="FO23" s="582" t="str">
        <f>IF(AND(FO$12&gt;=$E23,FO$12&lt;=$F23,MOD(FO$12,7)&gt;1,NOT(COUNTIF(General!$U$13:$U$19,FO$12))),$I23,"")</f>
        <v/>
      </c>
      <c r="FP23" s="582" t="str">
        <f>IF(AND(FP$12&gt;=$E23,FP$12&lt;=$F23,MOD(FP$12,7)&gt;1,NOT(COUNTIF(General!$U$13:$U$19,FP$12))),$I23,"")</f>
        <v/>
      </c>
      <c r="FQ23" s="582" t="str">
        <f>IF(AND(FQ$12&gt;=$E23,FQ$12&lt;=$F23,MOD(FQ$12,7)&gt;1,NOT(COUNTIF(General!$U$13:$U$19,FQ$12))),$I23,"")</f>
        <v/>
      </c>
      <c r="FR23" s="582" t="str">
        <f>IF(AND(FR$12&gt;=$E23,FR$12&lt;=$F23,MOD(FR$12,7)&gt;1,NOT(COUNTIF(General!$U$13:$U$19,FR$12))),$I23,"")</f>
        <v/>
      </c>
      <c r="FS23" s="582" t="str">
        <f>IF(AND(FS$12&gt;=$E23,FS$12&lt;=$F23,MOD(FS$12,7)&gt;1,NOT(COUNTIF(General!$U$13:$U$19,FS$12))),$I23,"")</f>
        <v/>
      </c>
      <c r="FT23" s="593" t="str">
        <f>IF(AND(FT$12&gt;=$E23,FT$12&lt;=$F23,MOD(FT$12,7)&gt;1,NOT(COUNTIF(General!$U$13:$U$19,FT$12))),$I23,"")</f>
        <v/>
      </c>
      <c r="FU23" s="593" t="str">
        <f>IF(AND(FU$12&gt;=$E23,FU$12&lt;=$F23,MOD(FU$12,7)&gt;1,NOT(COUNTIF(General!$U$13:$U$19,FU$12))),$I23,"")</f>
        <v/>
      </c>
      <c r="FV23" s="582" t="str">
        <f>IF(AND(FV$12&gt;=$E23,FV$12&lt;=$F23,MOD(FV$12,7)&gt;1,NOT(COUNTIF(General!$U$13:$U$19,FV$12))),$I23,"")</f>
        <v/>
      </c>
      <c r="FW23" s="582" t="str">
        <f>IF(AND(FW$12&gt;=$E23,FW$12&lt;=$F23,MOD(FW$12,7)&gt;1,NOT(COUNTIF(General!$U$13:$U$19,FW$12))),$I23,"")</f>
        <v/>
      </c>
      <c r="FX23" s="582" t="str">
        <f>IF(AND(FX$12&gt;=$E23,FX$12&lt;=$F23,MOD(FX$12,7)&gt;1,NOT(COUNTIF(General!$U$13:$U$19,FX$12))),$I23,"")</f>
        <v/>
      </c>
    </row>
    <row r="24">
      <c r="A24" s="368">
        <v>389733.0</v>
      </c>
      <c r="B24" s="369" t="s">
        <v>577</v>
      </c>
      <c r="C24" s="370"/>
      <c r="D24" s="576" t="s">
        <v>574</v>
      </c>
      <c r="E24" s="599">
        <v>43808.0</v>
      </c>
      <c r="F24" s="374">
        <f>WORKDAY(E24,ROUNDUP(G24/I24,0),General!$U$13:$U$27)-1</f>
        <v>43809</v>
      </c>
      <c r="G24" s="600">
        <v>2.0</v>
      </c>
      <c r="H24" s="377"/>
      <c r="I24" s="379">
        <v>1.0</v>
      </c>
      <c r="J24" s="379"/>
      <c r="K24" s="573"/>
      <c r="L24" s="573"/>
      <c r="M24" s="574"/>
      <c r="N24" s="384"/>
      <c r="O24" s="386"/>
      <c r="P24" s="575"/>
      <c r="Q24" s="390" t="str">
        <f>IF(AND(Q$12&gt;=$E24,Q$12&lt;=$F24,MOD(Q$12,7)&gt;1,NOT(COUNTIF(General!$U$13:$U$19,Q$12))),$I24,"")</f>
        <v/>
      </c>
      <c r="R24" s="390" t="str">
        <f>IF(AND(R$12&gt;=$E24,R$12&lt;=$F24,MOD(R$12,7)&gt;1,NOT(COUNTIF(General!$U$13:$U$19,R$12))),$I24,"")</f>
        <v/>
      </c>
      <c r="S24" s="390" t="str">
        <f>IF(AND(S$12&gt;=$E24,S$12&lt;=$F24,MOD(S$12,7)&gt;1,NOT(COUNTIF(General!$U$13:$U$19,S$12))),$I24,"")</f>
        <v/>
      </c>
      <c r="T24" s="390" t="str">
        <f>IF(AND(T$12&gt;=$E24,T$12&lt;=$F24,MOD(T$12,7)&gt;1,NOT(COUNTIF(General!$U$13:$U$19,T$12))),$I24,"")</f>
        <v/>
      </c>
      <c r="U24" s="390" t="str">
        <f>IF(AND(U$12&gt;=$E24,U$12&lt;=$F24,MOD(U$12,7)&gt;1,NOT(COUNTIF(General!$U$13:$U$19,U$12))),$I24,"")</f>
        <v/>
      </c>
      <c r="V24" s="390" t="str">
        <f>IF(AND(V$12&gt;=$E24,V$12&lt;=$F24,MOD(V$12,7)&gt;1,NOT(COUNTIF(General!$U$13:$U$19,V$12))),$I24,"")</f>
        <v/>
      </c>
      <c r="W24" s="390" t="str">
        <f>IF(AND(W$12&gt;=$E24,W$12&lt;=$F24,MOD(W$12,7)&gt;1,NOT(COUNTIF(General!$U$13:$U$19,W$12))),$I24,"")</f>
        <v/>
      </c>
      <c r="X24" s="390">
        <f>IF(AND(X$12&gt;=$E24,X$12&lt;=$F24,MOD(X$12,7)&gt;1,NOT(COUNTIF(General!$U$13:$U$19,X$12))),$I24,"")</f>
        <v>1</v>
      </c>
      <c r="Y24" s="390">
        <f>IF(AND(Y$12&gt;=$E24,Y$12&lt;=$F24,MOD(Y$12,7)&gt;1,NOT(COUNTIF(General!$U$13:$U$19,Y$12))),$I24,"")</f>
        <v>1</v>
      </c>
      <c r="Z24" s="390" t="str">
        <f>IF(AND(Z$12&gt;=$E24,Z$12&lt;=$F24,MOD(Z$12,7)&gt;1,NOT(COUNTIF(General!$U$13:$U$19,Z$12))),$I24,"")</f>
        <v/>
      </c>
      <c r="AA24" s="390" t="str">
        <f>IF(AND(AA$12&gt;=$E24,AA$12&lt;=$F24,MOD(AA$12,7)&gt;1,NOT(COUNTIF(General!$U$13:$U$19,AA$12))),$I24,"")</f>
        <v/>
      </c>
      <c r="AB24" s="390" t="str">
        <f>IF(AND(AB$12&gt;=$E24,AB$12&lt;=$F24,MOD(AB$12,7)&gt;1,NOT(COUNTIF(General!$U$13:$U$19,AB$12))),$I24,"")</f>
        <v/>
      </c>
      <c r="AC24" s="390" t="str">
        <f>IF(AND(AC$12&gt;=$E24,AC$12&lt;=$F24,MOD(AC$12,7)&gt;1,NOT(COUNTIF(General!$U$13:$U$19,AC$12))),$I24,"")</f>
        <v/>
      </c>
      <c r="AD24" s="390" t="str">
        <f>IF(AND(AD$12&gt;=$E24,AD$12&lt;=$F24,MOD(AD$12,7)&gt;1,NOT(COUNTIF(General!$U$13:$U$19,AD$12))),$I24,"")</f>
        <v/>
      </c>
      <c r="AE24" s="390" t="str">
        <f>IF(AND(AE$12&gt;=$E24,AE$12&lt;=$F24,MOD(AE$12,7)&gt;1,NOT(COUNTIF(General!$U$13:$U$19,AE$12))),$I24,"")</f>
        <v/>
      </c>
      <c r="AF24" s="390" t="str">
        <f>IF(AND(AF$12&gt;=$E24,AF$12&lt;=$F24,MOD(AF$12,7)&gt;1,NOT(COUNTIF(General!$U$13:$U$19,AF$12))),$I24,"")</f>
        <v/>
      </c>
      <c r="AG24" s="390" t="str">
        <f>IF(AND(AG$12&gt;=$E24,AG$12&lt;=$F24,MOD(AG$12,7)&gt;1,NOT(COUNTIF(General!$U$13:$U$19,AG$12))),$I24,"")</f>
        <v/>
      </c>
      <c r="AH24" s="390" t="str">
        <f>IF(AND(AH$12&gt;=$E24,AH$12&lt;=$F24,MOD(AH$12,7)&gt;1,NOT(COUNTIF(General!$U$13:$U$19,AH$12))),$I24,"")</f>
        <v/>
      </c>
      <c r="AI24" s="390" t="str">
        <f>IF(AND(AI$12&gt;=$E24,AI$12&lt;=$F24,MOD(AI$12,7)&gt;1,NOT(COUNTIF(General!$U$13:$U$19,AI$12))),$I24,"")</f>
        <v/>
      </c>
      <c r="AJ24" s="390" t="str">
        <f>IF(AND(AJ$12&gt;=$E24,AJ$12&lt;=$F24,MOD(AJ$12,7)&gt;1,NOT(COUNTIF(General!$U$13:$U$19,AJ$12))),$I24,"")</f>
        <v/>
      </c>
      <c r="AK24" s="390" t="str">
        <f>IF(AND(AK$12&gt;=$E24,AK$12&lt;=$F24,MOD(AK$12,7)&gt;1,NOT(COUNTIF(General!$U$13:$U$19,AK$12))),$I24,"")</f>
        <v/>
      </c>
      <c r="AL24" s="390" t="str">
        <f>IF(AND(AL$12&gt;=$E24,AL$12&lt;=$F24,MOD(AL$12,7)&gt;1,NOT(COUNTIF(General!$U$13:$U$19,AL$12))),$I24,"")</f>
        <v/>
      </c>
      <c r="AM24" s="390" t="str">
        <f>IF(AND(AM$12&gt;=$E24,AM$12&lt;=$F24,MOD(AM$12,7)&gt;1,NOT(COUNTIF(General!$U$13:$U$19,AM$12))),$I24,"")</f>
        <v/>
      </c>
      <c r="AN24" s="390" t="str">
        <f>IF(AND(AN$12&gt;=$E24,AN$12&lt;=$F24,MOD(AN$12,7)&gt;1,NOT(COUNTIF(General!$U$13:$U$19,AN$12))),$I24,"")</f>
        <v/>
      </c>
      <c r="AO24" s="390" t="str">
        <f>IF(AND(AO$12&gt;=$E24,AO$12&lt;=$F24,MOD(AO$12,7)&gt;1,NOT(COUNTIF(General!$U$13:$U$19,AO$12))),$I24,"")</f>
        <v/>
      </c>
      <c r="AP24" s="390" t="str">
        <f>IF(AND(AP$12&gt;=$E24,AP$12&lt;=$F24,MOD(AP$12,7)&gt;1,NOT(COUNTIF(General!$U$13:$U$19,AP$12))),$I24,"")</f>
        <v/>
      </c>
      <c r="AQ24" s="390" t="str">
        <f>IF(AND(AQ$12&gt;=$E24,AQ$12&lt;=$F24,MOD(AQ$12,7)&gt;1,NOT(COUNTIF(General!$U$13:$U$19,AQ$12))),$I24,"")</f>
        <v/>
      </c>
      <c r="AR24" s="390" t="str">
        <f>IF(AND(AR$12&gt;=$E24,AR$12&lt;=$F24,MOD(AR$12,7)&gt;1,NOT(COUNTIF(General!$U$13:$U$19,AR$12))),$I24,"")</f>
        <v/>
      </c>
      <c r="AS24" s="390" t="str">
        <f>IF(AND(AS$12&gt;=$E24,AS$12&lt;=$F24,MOD(AS$12,7)&gt;1,NOT(COUNTIF(General!$U$13:$U$19,AS$12))),$I24,"")</f>
        <v/>
      </c>
      <c r="AT24" s="390" t="str">
        <f>IF(AND(AT$12&gt;=$E24,AT$12&lt;=$F24,MOD(AT$12,7)&gt;1,NOT(COUNTIF(General!$U$13:$U$19,AT$12))),$I24,"")</f>
        <v/>
      </c>
      <c r="AU24" s="390" t="str">
        <f>IF(AND(AU$12&gt;=$E24,AU$12&lt;=$F24,MOD(AU$12,7)&gt;1,NOT(COUNTIF(General!$U$13:$U$19,AU$12))),$I24,"")</f>
        <v/>
      </c>
      <c r="AV24" s="390" t="str">
        <f>IF(AND(AV$12&gt;=$E24,AV$12&lt;=$F24,MOD(AV$12,7)&gt;1,NOT(COUNTIF(General!$U$13:$U$19,AV$12))),$I24,"")</f>
        <v/>
      </c>
      <c r="AW24" s="390" t="str">
        <f>IF(AND(AW$12&gt;=$E24,AW$12&lt;=$F24,MOD(AW$12,7)&gt;1,NOT(COUNTIF(General!$U$13:$U$19,AW$12))),$I24,"")</f>
        <v/>
      </c>
      <c r="AX24" s="390" t="str">
        <f>IF(AND(AX$12&gt;=$E24,AX$12&lt;=$F24,MOD(AX$12,7)&gt;1,NOT(COUNTIF(General!$U$13:$U$19,AX$12))),$I24,"")</f>
        <v/>
      </c>
      <c r="AY24" s="390" t="str">
        <f>IF(AND(AY$12&gt;=$E24,AY$12&lt;=$F24,MOD(AY$12,7)&gt;1,NOT(COUNTIF(General!$U$13:$U$19,AY$12))),$I24,"")</f>
        <v/>
      </c>
      <c r="AZ24" s="390" t="str">
        <f>IF(AND(AZ$12&gt;=$E24,AZ$12&lt;=$F24,MOD(AZ$12,7)&gt;1,NOT(COUNTIF(General!$U$13:$U$19,AZ$12))),$I24,"")</f>
        <v/>
      </c>
      <c r="BA24" s="390" t="str">
        <f>IF(AND(BA$12&gt;=$E24,BA$12&lt;=$F24,MOD(BA$12,7)&gt;1,NOT(COUNTIF(General!$U$13:$U$19,BA$12))),$I24,"")</f>
        <v/>
      </c>
      <c r="BB24" s="390" t="str">
        <f>IF(AND(BB$12&gt;=$E24,BB$12&lt;=$F24,MOD(BB$12,7)&gt;1,NOT(COUNTIF(General!$U$13:$U$19,BB$12))),$I24,"")</f>
        <v/>
      </c>
      <c r="BC24" s="390" t="str">
        <f>IF(AND(BC$12&gt;=$E24,BC$12&lt;=$F24,MOD(BC$12,7)&gt;1,NOT(COUNTIF(General!$U$13:$U$19,BC$12))),$I24,"")</f>
        <v/>
      </c>
      <c r="BD24" s="390" t="str">
        <f>IF(AND(BD$12&gt;=$E24,BD$12&lt;=$F24,MOD(BD$12,7)&gt;1,NOT(COUNTIF(General!$U$13:$U$19,BD$12))),$I24,"")</f>
        <v/>
      </c>
      <c r="BE24" s="390" t="str">
        <f>IF(AND(BE$12&gt;=$E24,BE$12&lt;=$F24,MOD(BE$12,7)&gt;1,NOT(COUNTIF(General!$U$13:$U$19,BE$12))),$I24,"")</f>
        <v/>
      </c>
      <c r="BF24" s="390" t="str">
        <f>IF(AND(BF$12&gt;=$E24,BF$12&lt;=$F24,MOD(BF$12,7)&gt;1,NOT(COUNTIF(General!$U$13:$U$19,BF$12))),$I24,"")</f>
        <v/>
      </c>
      <c r="BG24" s="390" t="str">
        <f>IF(AND(BG$12&gt;=$E24,BG$12&lt;=$F24,MOD(BG$12,7)&gt;1,NOT(COUNTIF(General!$U$13:$U$19,BG$12))),$I24,"")</f>
        <v/>
      </c>
      <c r="BH24" s="390" t="str">
        <f>IF(AND(BH$12&gt;=$E24,BH$12&lt;=$F24,MOD(BH$12,7)&gt;1,NOT(COUNTIF(General!$U$13:$U$19,BH$12))),$I24,"")</f>
        <v/>
      </c>
      <c r="BI24" s="390" t="str">
        <f>IF(AND(BI$12&gt;=$E24,BI$12&lt;=$F24,MOD(BI$12,7)&gt;1,NOT(COUNTIF(General!$U$13:$U$19,BI$12))),$I24,"")</f>
        <v/>
      </c>
      <c r="BJ24" s="390" t="str">
        <f>IF(AND(BJ$12&gt;=$E24,BJ$12&lt;=$F24,MOD(BJ$12,7)&gt;1,NOT(COUNTIF(General!$U$13:$U$19,BJ$12))),$I24,"")</f>
        <v/>
      </c>
      <c r="BK24" s="390" t="str">
        <f>IF(AND(BK$12&gt;=$E24,BK$12&lt;=$F24,MOD(BK$12,7)&gt;1,NOT(COUNTIF(General!$U$13:$U$19,BK$12))),$I24,"")</f>
        <v/>
      </c>
      <c r="BL24" s="390" t="str">
        <f>IF(AND(BL$12&gt;=$E24,BL$12&lt;=$F24,MOD(BL$12,7)&gt;1,NOT(COUNTIF(General!$U$13:$U$19,BL$12))),$I24,"")</f>
        <v/>
      </c>
      <c r="BM24" s="390" t="str">
        <f>IF(AND(BM$12&gt;=$E24,BM$12&lt;=$F24,MOD(BM$12,7)&gt;1,NOT(COUNTIF(General!$U$13:$U$19,BM$12))),$I24,"")</f>
        <v/>
      </c>
      <c r="BN24" s="390" t="str">
        <f>IF(AND(BN$12&gt;=$E24,BN$12&lt;=$F24,MOD(BN$12,7)&gt;1,NOT(COUNTIF(General!$U$13:$U$19,BN$12))),$I24,"")</f>
        <v/>
      </c>
      <c r="BO24" s="390" t="str">
        <f>IF(AND(BO$12&gt;=$E24,BO$12&lt;=$F24,MOD(BO$12,7)&gt;1,NOT(COUNTIF(General!$U$13:$U$19,BO$12))),$I24,"")</f>
        <v/>
      </c>
      <c r="BP24" s="390" t="str">
        <f>IF(AND(BP$12&gt;=$E24,BP$12&lt;=$F24,MOD(BP$12,7)&gt;1,NOT(COUNTIF(General!$U$13:$U$19,BP$12))),$I24,"")</f>
        <v/>
      </c>
      <c r="BQ24" s="390" t="str">
        <f>IF(AND(BQ$12&gt;=$E24,BQ$12&lt;=$F24,MOD(BQ$12,7)&gt;1,NOT(COUNTIF(General!$U$13:$U$19,BQ$12))),$I24,"")</f>
        <v/>
      </c>
      <c r="BR24" s="390" t="str">
        <f>IF(AND(BR$12&gt;=$E24,BR$12&lt;=$F24,MOD(BR$12,7)&gt;1,NOT(COUNTIF(General!$U$13:$U$19,BR$12))),$I24,"")</f>
        <v/>
      </c>
      <c r="BS24" s="390" t="str">
        <f>IF(AND(BS$12&gt;=$E24,BS$12&lt;=$F24,MOD(BS$12,7)&gt;1,NOT(COUNTIF(General!$U$13:$U$19,BS$12))),$I24,"")</f>
        <v/>
      </c>
      <c r="BT24" s="390" t="str">
        <f>IF(AND(BT$12&gt;=$E24,BT$12&lt;=$F24,MOD(BT$12,7)&gt;1,NOT(COUNTIF(General!$U$13:$U$19,BT$12))),$I24,"")</f>
        <v/>
      </c>
      <c r="BU24" s="390" t="str">
        <f>IF(AND(BU$12&gt;=$E24,BU$12&lt;=$F24,MOD(BU$12,7)&gt;1,NOT(COUNTIF(General!$U$13:$U$19,BU$12))),$I24,"")</f>
        <v/>
      </c>
      <c r="BV24" s="390" t="str">
        <f>IF(AND(BV$12&gt;=$E24,BV$12&lt;=$F24,MOD(BV$12,7)&gt;1,NOT(COUNTIF(General!$U$13:$U$19,BV$12))),$I24,"")</f>
        <v/>
      </c>
      <c r="BW24" s="390" t="str">
        <f>IF(AND(BW$12&gt;=$E24,BW$12&lt;=$F24,MOD(BW$12,7)&gt;1,NOT(COUNTIF(General!$U$13:$U$19,BW$12))),$I24,"")</f>
        <v/>
      </c>
      <c r="BX24" s="390" t="str">
        <f>IF(AND(BX$12&gt;=$E24,BX$12&lt;=$F24,MOD(BX$12,7)&gt;1,NOT(COUNTIF(General!$U$13:$U$19,BX$12))),$I24,"")</f>
        <v/>
      </c>
      <c r="BY24" s="390" t="str">
        <f>IF(AND(BY$12&gt;=$E24,BY$12&lt;=$F24,MOD(BY$12,7)&gt;1,NOT(COUNTIF(General!$U$13:$U$19,BY$12))),$I24,"")</f>
        <v/>
      </c>
      <c r="BZ24" s="390" t="str">
        <f>IF(AND(BZ$12&gt;=$E24,BZ$12&lt;=$F24,MOD(BZ$12,7)&gt;1,NOT(COUNTIF(General!$U$13:$U$19,BZ$12))),$I24,"")</f>
        <v/>
      </c>
      <c r="CA24" s="390" t="str">
        <f>IF(AND(CA$12&gt;=$E24,CA$12&lt;=$F24,MOD(CA$12,7)&gt;1,NOT(COUNTIF(General!$U$13:$U$19,CA$12))),$I24,"")</f>
        <v/>
      </c>
      <c r="CB24" s="390" t="str">
        <f>IF(AND(CB$12&gt;=$E24,CB$12&lt;=$F24,MOD(CB$12,7)&gt;1,NOT(COUNTIF(General!$U$13:$U$19,CB$12))),$I24,"")</f>
        <v/>
      </c>
      <c r="CC24" s="390" t="str">
        <f>IF(AND(CC$12&gt;=$E24,CC$12&lt;=$F24,MOD(CC$12,7)&gt;1,NOT(COUNTIF(General!$U$13:$U$19,CC$12))),$I24,"")</f>
        <v/>
      </c>
      <c r="CD24" s="390" t="str">
        <f>IF(AND(CD$12&gt;=$E24,CD$12&lt;=$F24,MOD(CD$12,7)&gt;1,NOT(COUNTIF(General!$U$13:$U$19,CD$12))),$I24,"")</f>
        <v/>
      </c>
      <c r="CE24" s="390" t="str">
        <f>IF(AND(CE$12&gt;=$E24,CE$12&lt;=$F24,MOD(CE$12,7)&gt;1,NOT(COUNTIF(General!$U$13:$U$19,CE$12))),$I24,"")</f>
        <v/>
      </c>
      <c r="CF24" s="390" t="str">
        <f>IF(AND(CF$12&gt;=$E24,CF$12&lt;=$F24,MOD(CF$12,7)&gt;1,NOT(COUNTIF(General!$U$13:$U$19,CF$12))),$I24,"")</f>
        <v/>
      </c>
      <c r="CG24" s="390" t="str">
        <f>IF(AND(CG$12&gt;=$E24,CG$12&lt;=$F24,MOD(CG$12,7)&gt;1,NOT(COUNTIF(General!$U$13:$U$19,CG$12))),$I24,"")</f>
        <v/>
      </c>
      <c r="CH24" s="390" t="str">
        <f>IF(AND(CH$12&gt;=$E24,CH$12&lt;=$F24,MOD(CH$12,7)&gt;1,NOT(COUNTIF(General!$U$13:$U$19,CH$12))),$I24,"")</f>
        <v/>
      </c>
      <c r="CI24" s="390" t="str">
        <f>IF(AND(CI$12&gt;=$E24,CI$12&lt;=$F24,MOD(CI$12,7)&gt;1,NOT(COUNTIF(General!$U$13:$U$19,CI$12))),$I24,"")</f>
        <v/>
      </c>
      <c r="CJ24" s="390" t="str">
        <f>IF(AND(CJ$12&gt;=$E24,CJ$12&lt;=$F24,MOD(CJ$12,7)&gt;1,NOT(COUNTIF(General!$U$13:$U$19,CJ$12))),$I24,"")</f>
        <v/>
      </c>
      <c r="CK24" s="390" t="str">
        <f>IF(AND(CK$12&gt;=$E24,CK$12&lt;=$F24,MOD(CK$12,7)&gt;1,NOT(COUNTIF(General!$U$13:$U$19,CK$12))),$I24,"")</f>
        <v/>
      </c>
      <c r="CL24" s="390" t="str">
        <f>IF(AND(CL$12&gt;=$E24,CL$12&lt;=$F24,MOD(CL$12,7)&gt;1,NOT(COUNTIF(General!$U$13:$U$19,CL$12))),$I24,"")</f>
        <v/>
      </c>
      <c r="CM24" s="390" t="str">
        <f>IF(AND(CM$12&gt;=$E24,CM$12&lt;=$F24,MOD(CM$12,7)&gt;1,NOT(COUNTIF(General!$U$13:$U$19,CM$12))),$I24,"")</f>
        <v/>
      </c>
      <c r="CN24" s="390" t="str">
        <f>IF(AND(CN$12&gt;=$E24,CN$12&lt;=$F24,MOD(CN$12,7)&gt;1,NOT(COUNTIF(General!$U$13:$U$19,CN$12))),$I24,"")</f>
        <v/>
      </c>
      <c r="CO24" s="390" t="str">
        <f>IF(AND(CO$12&gt;=$E24,CO$12&lt;=$F24,MOD(CO$12,7)&gt;1,NOT(COUNTIF(General!$U$13:$U$19,CO$12))),$I24,"")</f>
        <v/>
      </c>
      <c r="CP24" s="390" t="str">
        <f>IF(AND(CP$12&gt;=$E24,CP$12&lt;=$F24,MOD(CP$12,7)&gt;1,NOT(COUNTIF(General!$U$13:$U$19,CP$12))),$I24,"")</f>
        <v/>
      </c>
      <c r="CQ24" s="390" t="str">
        <f>IF(AND(CQ$12&gt;=$E24,CQ$12&lt;=$F24,MOD(CQ$12,7)&gt;1,NOT(COUNTIF(General!$U$13:$U$19,CQ$12))),$I24,"")</f>
        <v/>
      </c>
      <c r="CR24" s="390" t="str">
        <f>IF(AND(CR$12&gt;=$E24,CR$12&lt;=$F24,MOD(CR$12,7)&gt;1,NOT(COUNTIF(General!$U$13:$U$19,CR$12))),$I24,"")</f>
        <v/>
      </c>
      <c r="CS24" s="390" t="str">
        <f>IF(AND(CS$12&gt;=$E24,CS$12&lt;=$F24,MOD(CS$12,7)&gt;1,NOT(COUNTIF(General!$U$13:$U$19,CS$12))),$I24,"")</f>
        <v/>
      </c>
      <c r="CT24" s="390" t="str">
        <f>IF(AND(CT$12&gt;=$E24,CT$12&lt;=$F24,MOD(CT$12,7)&gt;1,NOT(COUNTIF(General!$U$13:$U$19,CT$12))),$I24,"")</f>
        <v/>
      </c>
      <c r="CU24" s="390" t="str">
        <f>IF(AND(CU$12&gt;=$E24,CU$12&lt;=$F24,MOD(CU$12,7)&gt;1,NOT(COUNTIF(General!$U$13:$U$19,CU$12))),$I24,"")</f>
        <v/>
      </c>
      <c r="CV24" s="390" t="str">
        <f>IF(AND(CV$12&gt;=$E24,CV$12&lt;=$F24,MOD(CV$12,7)&gt;1,NOT(COUNTIF(General!$U$13:$U$19,CV$12))),$I24,"")</f>
        <v/>
      </c>
      <c r="CW24" s="390" t="str">
        <f>IF(AND(CW$12&gt;=$E24,CW$12&lt;=$F24,MOD(CW$12,7)&gt;1,NOT(COUNTIF(General!$U$13:$U$19,CW$12))),$I24,"")</f>
        <v/>
      </c>
      <c r="CX24" s="390" t="str">
        <f>IF(AND(CX$12&gt;=$E24,CX$12&lt;=$F24,MOD(CX$12,7)&gt;1,NOT(COUNTIF(General!$U$13:$U$19,CX$12))),$I24,"")</f>
        <v/>
      </c>
      <c r="CY24" s="390" t="str">
        <f>IF(AND(CY$12&gt;=$E24,CY$12&lt;=$F24,MOD(CY$12,7)&gt;1,NOT(COUNTIF(General!$U$13:$U$19,CY$12))),$I24,"")</f>
        <v/>
      </c>
      <c r="CZ24" s="390" t="str">
        <f>IF(AND(CZ$12&gt;=$E24,CZ$12&lt;=$F24,MOD(CZ$12,7)&gt;1,NOT(COUNTIF(General!$U$13:$U$19,CZ$12))),$I24,"")</f>
        <v/>
      </c>
      <c r="DA24" s="390" t="str">
        <f>IF(AND(DA$12&gt;=$E24,DA$12&lt;=$F24,MOD(DA$12,7)&gt;1,NOT(COUNTIF(General!$U$13:$U$19,DA$12))),$I24,"")</f>
        <v/>
      </c>
      <c r="DB24" s="390" t="str">
        <f>IF(AND(DB$12&gt;=$E24,DB$12&lt;=$F24,MOD(DB$12,7)&gt;1,NOT(COUNTIF(General!$U$13:$U$19,DB$12))),$I24,"")</f>
        <v/>
      </c>
      <c r="DC24" s="390" t="str">
        <f>IF(AND(DC$12&gt;=$E24,DC$12&lt;=$F24,MOD(DC$12,7)&gt;1,NOT(COUNTIF(General!$U$13:$U$19,DC$12))),$I24,"")</f>
        <v/>
      </c>
      <c r="DD24" s="390" t="str">
        <f>IF(AND(DD$12&gt;=$E24,DD$12&lt;=$F24,MOD(DD$12,7)&gt;1,NOT(COUNTIF(General!$U$13:$U$19,DD$12))),$I24,"")</f>
        <v/>
      </c>
      <c r="DE24" s="390" t="str">
        <f>IF(AND(DE$12&gt;=$E24,DE$12&lt;=$F24,MOD(DE$12,7)&gt;1,NOT(COUNTIF(General!$U$13:$U$19,DE$12))),$I24,"")</f>
        <v/>
      </c>
      <c r="DF24" s="390" t="str">
        <f>IF(AND(DF$12&gt;=$E24,DF$12&lt;=$F24,MOD(DF$12,7)&gt;1,NOT(COUNTIF(General!$U$13:$U$19,DF$12))),$I24,"")</f>
        <v/>
      </c>
      <c r="DG24" s="390" t="str">
        <f>IF(AND(DG$12&gt;=$E24,DG$12&lt;=$F24,MOD(DG$12,7)&gt;1,NOT(COUNTIF(General!$U$13:$U$19,DG$12))),$I24,"")</f>
        <v/>
      </c>
      <c r="DH24" s="390" t="str">
        <f>IF(AND(DH$12&gt;=$E24,DH$12&lt;=$F24,MOD(DH$12,7)&gt;1,NOT(COUNTIF(General!$U$13:$U$19,DH$12))),$I24,"")</f>
        <v/>
      </c>
      <c r="DI24" s="390" t="str">
        <f>IF(AND(DI$12&gt;=$E24,DI$12&lt;=$F24,MOD(DI$12,7)&gt;1,NOT(COUNTIF(General!$U$13:$U$19,DI$12))),$I24,"")</f>
        <v/>
      </c>
      <c r="DJ24" s="390" t="str">
        <f>IF(AND(DJ$12&gt;=$E24,DJ$12&lt;=$F24,MOD(DJ$12,7)&gt;1,NOT(COUNTIF(General!$U$13:$U$19,DJ$12))),$I24,"")</f>
        <v/>
      </c>
      <c r="DK24" s="390" t="str">
        <f>IF(AND(DK$12&gt;=$E24,DK$12&lt;=$F24,MOD(DK$12,7)&gt;1,NOT(COUNTIF(General!$U$13:$U$19,DK$12))),$I24,"")</f>
        <v/>
      </c>
      <c r="DL24" s="390" t="str">
        <f>IF(AND(DL$12&gt;=$E24,DL$12&lt;=$F24,MOD(DL$12,7)&gt;1,NOT(COUNTIF(General!$U$13:$U$19,DL$12))),$I24,"")</f>
        <v/>
      </c>
      <c r="DM24" s="390" t="str">
        <f>IF(AND(DM$12&gt;=$E24,DM$12&lt;=$F24,MOD(DM$12,7)&gt;1,NOT(COUNTIF(General!$U$13:$U$19,DM$12))),$I24,"")</f>
        <v/>
      </c>
      <c r="DN24" s="390" t="str">
        <f>IF(AND(DN$12&gt;=$E24,DN$12&lt;=$F24,MOD(DN$12,7)&gt;1,NOT(COUNTIF(General!$U$13:$U$19,DN$12))),$I24,"")</f>
        <v/>
      </c>
      <c r="DO24" s="390" t="str">
        <f>IF(AND(DO$12&gt;=$E24,DO$12&lt;=$F24,MOD(DO$12,7)&gt;1,NOT(COUNTIF(General!$U$13:$U$19,DO$12))),$I24,"")</f>
        <v/>
      </c>
      <c r="DP24" s="390" t="str">
        <f>IF(AND(DP$12&gt;=$E24,DP$12&lt;=$F24,MOD(DP$12,7)&gt;1,NOT(COUNTIF(General!$U$13:$U$19,DP$12))),$I24,"")</f>
        <v/>
      </c>
      <c r="DQ24" s="390" t="str">
        <f>IF(AND(DQ$12&gt;=$E24,DQ$12&lt;=$F24,MOD(DQ$12,7)&gt;1,NOT(COUNTIF(General!$U$13:$U$19,DQ$12))),$I24,"")</f>
        <v/>
      </c>
      <c r="DR24" s="390" t="str">
        <f>IF(AND(DR$12&gt;=$E24,DR$12&lt;=$F24,MOD(DR$12,7)&gt;1,NOT(COUNTIF(General!$U$13:$U$19,DR$12))),$I24,"")</f>
        <v/>
      </c>
      <c r="DS24" s="390" t="str">
        <f>IF(AND(DS$12&gt;=$E24,DS$12&lt;=$F24,MOD(DS$12,7)&gt;1,NOT(COUNTIF(General!$U$13:$U$19,DS$12))),$I24,"")</f>
        <v/>
      </c>
      <c r="DT24" s="390" t="str">
        <f>IF(AND(DT$12&gt;=$E24,DT$12&lt;=$F24,MOD(DT$12,7)&gt;1,NOT(COUNTIF(General!$U$13:$U$19,DT$12))),$I24,"")</f>
        <v/>
      </c>
      <c r="DU24" s="390" t="str">
        <f>IF(AND(DU$12&gt;=$E24,DU$12&lt;=$F24,MOD(DU$12,7)&gt;1,NOT(COUNTIF(General!$U$13:$U$19,DU$12))),$I24,"")</f>
        <v/>
      </c>
      <c r="DV24" s="390" t="str">
        <f>IF(AND(DV$12&gt;=$E24,DV$12&lt;=$F24,MOD(DV$12,7)&gt;1,NOT(COUNTIF(General!$U$13:$U$19,DV$12))),$I24,"")</f>
        <v/>
      </c>
      <c r="DW24" s="390" t="str">
        <f>IF(AND(DW$12&gt;=$E24,DW$12&lt;=$F24,MOD(DW$12,7)&gt;1,NOT(COUNTIF(General!$U$13:$U$19,DW$12))),$I24,"")</f>
        <v/>
      </c>
      <c r="DX24" s="390" t="str">
        <f>IF(AND(DX$12&gt;=$E24,DX$12&lt;=$F24,MOD(DX$12,7)&gt;1,NOT(COUNTIF(General!$U$13:$U$19,DX$12))),$I24,"")</f>
        <v/>
      </c>
      <c r="DY24" s="390" t="str">
        <f>IF(AND(DY$12&gt;=$E24,DY$12&lt;=$F24,MOD(DY$12,7)&gt;1,NOT(COUNTIF(General!$U$13:$U$19,DY$12))),$I24,"")</f>
        <v/>
      </c>
      <c r="DZ24" s="390" t="str">
        <f>IF(AND(DZ$12&gt;=$E24,DZ$12&lt;=$F24,MOD(DZ$12,7)&gt;1,NOT(COUNTIF(General!$U$13:$U$19,DZ$12))),$I24,"")</f>
        <v/>
      </c>
      <c r="EA24" s="390" t="str">
        <f>IF(AND(EA$12&gt;=$E24,EA$12&lt;=$F24,MOD(EA$12,7)&gt;1,NOT(COUNTIF(General!$U$13:$U$19,EA$12))),$I24,"")</f>
        <v/>
      </c>
      <c r="EB24" s="390" t="str">
        <f>IF(AND(EB$12&gt;=$E24,EB$12&lt;=$F24,MOD(EB$12,7)&gt;1,NOT(COUNTIF(General!$U$13:$U$19,EB$12))),$I24,"")</f>
        <v/>
      </c>
      <c r="EC24" s="390" t="str">
        <f>IF(AND(EC$12&gt;=$E24,EC$12&lt;=$F24,MOD(EC$12,7)&gt;1,NOT(COUNTIF(General!$U$13:$U$19,EC$12))),$I24,"")</f>
        <v/>
      </c>
      <c r="ED24" s="390" t="str">
        <f>IF(AND(ED$12&gt;=$E24,ED$12&lt;=$F24,MOD(ED$12,7)&gt;1,NOT(COUNTIF(General!$U$13:$U$19,ED$12))),$I24,"")</f>
        <v/>
      </c>
      <c r="EE24" s="390" t="str">
        <f>IF(AND(EE$12&gt;=$E24,EE$12&lt;=$F24,MOD(EE$12,7)&gt;1,NOT(COUNTIF(General!$U$13:$U$19,EE$12))),$I24,"")</f>
        <v/>
      </c>
      <c r="EF24" s="390" t="str">
        <f>IF(AND(EF$12&gt;=$E24,EF$12&lt;=$F24,MOD(EF$12,7)&gt;1,NOT(COUNTIF(General!$U$13:$U$19,EF$12))),$I24,"")</f>
        <v/>
      </c>
      <c r="EG24" s="390" t="str">
        <f>IF(AND(EG$12&gt;=$E24,EG$12&lt;=$F24,MOD(EG$12,7)&gt;1,NOT(COUNTIF(General!$U$13:$U$19,EG$12))),$I24,"")</f>
        <v/>
      </c>
      <c r="EH24" s="390" t="str">
        <f>IF(AND(EH$12&gt;=$E24,EH$12&lt;=$F24,MOD(EH$12,7)&gt;1,NOT(COUNTIF(General!$U$13:$U$19,EH$12))),$I24,"")</f>
        <v/>
      </c>
      <c r="EI24" s="390" t="str">
        <f>IF(AND(EI$12&gt;=$E24,EI$12&lt;=$F24,MOD(EI$12,7)&gt;1,NOT(COUNTIF(General!$U$13:$U$19,EI$12))),$I24,"")</f>
        <v/>
      </c>
      <c r="EJ24" s="390" t="str">
        <f>IF(AND(EJ$12&gt;=$E24,EJ$12&lt;=$F24,MOD(EJ$12,7)&gt;1,NOT(COUNTIF(General!$U$13:$U$19,EJ$12))),$I24,"")</f>
        <v/>
      </c>
      <c r="EK24" s="390" t="str">
        <f>IF(AND(EK$12&gt;=$E24,EK$12&lt;=$F24,MOD(EK$12,7)&gt;1,NOT(COUNTIF(General!$U$13:$U$19,EK$12))),$I24,"")</f>
        <v/>
      </c>
      <c r="EL24" s="390" t="str">
        <f>IF(AND(EL$12&gt;=$E24,EL$12&lt;=$F24,MOD(EL$12,7)&gt;1,NOT(COUNTIF(General!$U$13:$U$19,EL$12))),$I24,"")</f>
        <v/>
      </c>
      <c r="EM24" s="390" t="str">
        <f>IF(AND(EM$12&gt;=$E24,EM$12&lt;=$F24,MOD(EM$12,7)&gt;1,NOT(COUNTIF(General!$U$13:$U$19,EM$12))),$I24,"")</f>
        <v/>
      </c>
      <c r="EN24" s="390" t="str">
        <f>IF(AND(EN$12&gt;=$E24,EN$12&lt;=$F24,MOD(EN$12,7)&gt;1,NOT(COUNTIF(General!$U$13:$U$19,EN$12))),$I24,"")</f>
        <v/>
      </c>
      <c r="EO24" s="390" t="str">
        <f>IF(AND(EO$12&gt;=$E24,EO$12&lt;=$F24,MOD(EO$12,7)&gt;1,NOT(COUNTIF(General!$U$13:$U$19,EO$12))),$I24,"")</f>
        <v/>
      </c>
      <c r="EP24" s="390" t="str">
        <f>IF(AND(EP$12&gt;=$E24,EP$12&lt;=$F24,MOD(EP$12,7)&gt;1,NOT(COUNTIF(General!$U$13:$U$19,EP$12))),$I24,"")</f>
        <v/>
      </c>
      <c r="EQ24" s="390" t="str">
        <f>IF(AND(EQ$12&gt;=$E24,EQ$12&lt;=$F24,MOD(EQ$12,7)&gt;1,NOT(COUNTIF(General!$U$13:$U$19,EQ$12))),$I24,"")</f>
        <v/>
      </c>
      <c r="ER24" s="390" t="str">
        <f>IF(AND(ER$12&gt;=$E24,ER$12&lt;=$F24,MOD(ER$12,7)&gt;1,NOT(COUNTIF(General!$U$13:$U$19,ER$12))),$I24,"")</f>
        <v/>
      </c>
      <c r="ES24" s="390" t="str">
        <f>IF(AND(ES$12&gt;=$E24,ES$12&lt;=$F24,MOD(ES$12,7)&gt;1,NOT(COUNTIF(General!$U$13:$U$19,ES$12))),$I24,"")</f>
        <v/>
      </c>
      <c r="ET24" s="390" t="str">
        <f>IF(AND(ET$12&gt;=$E24,ET$12&lt;=$F24,MOD(ET$12,7)&gt;1,NOT(COUNTIF(General!$U$13:$U$19,ET$12))),$I24,"")</f>
        <v/>
      </c>
      <c r="EU24" s="390" t="str">
        <f>IF(AND(EU$12&gt;=$E24,EU$12&lt;=$F24,MOD(EU$12,7)&gt;1,NOT(COUNTIF(General!$U$13:$U$19,EU$12))),$I24,"")</f>
        <v/>
      </c>
      <c r="EV24" s="390" t="str">
        <f>IF(AND(EV$12&gt;=$E24,EV$12&lt;=$F24,MOD(EV$12,7)&gt;1,NOT(COUNTIF(General!$U$13:$U$19,EV$12))),$I24,"")</f>
        <v/>
      </c>
      <c r="EW24" s="390" t="str">
        <f>IF(AND(EW$12&gt;=$E24,EW$12&lt;=$F24,MOD(EW$12,7)&gt;1,NOT(COUNTIF(General!$U$13:$U$19,EW$12))),$I24,"")</f>
        <v/>
      </c>
      <c r="EX24" s="390" t="str">
        <f>IF(AND(EX$12&gt;=$E24,EX$12&lt;=$F24,MOD(EX$12,7)&gt;1,NOT(COUNTIF(General!$U$13:$U$19,EX$12))),$I24,"")</f>
        <v/>
      </c>
      <c r="EY24" s="390" t="str">
        <f>IF(AND(EY$12&gt;=$E24,EY$12&lt;=$F24,MOD(EY$12,7)&gt;1,NOT(COUNTIF(General!$U$13:$U$19,EY$12))),$I24,"")</f>
        <v/>
      </c>
      <c r="EZ24" s="390" t="str">
        <f>IF(AND(EZ$12&gt;=$E24,EZ$12&lt;=$F24,MOD(EZ$12,7)&gt;1,NOT(COUNTIF(General!$U$13:$U$19,EZ$12))),$I24,"")</f>
        <v/>
      </c>
      <c r="FA24" s="390" t="str">
        <f>IF(AND(FA$12&gt;=$E24,FA$12&lt;=$F24,MOD(FA$12,7)&gt;1,NOT(COUNTIF(General!$U$13:$U$19,FA$12))),$I24,"")</f>
        <v/>
      </c>
      <c r="FB24" s="390" t="str">
        <f>IF(AND(FB$12&gt;=$E24,FB$12&lt;=$F24,MOD(FB$12,7)&gt;1,NOT(COUNTIF(General!$U$13:$U$19,FB$12))),$I24,"")</f>
        <v/>
      </c>
      <c r="FC24" s="390" t="str">
        <f>IF(AND(FC$12&gt;=$E24,FC$12&lt;=$F24,MOD(FC$12,7)&gt;1,NOT(COUNTIF(General!$U$13:$U$19,FC$12))),$I24,"")</f>
        <v/>
      </c>
      <c r="FD24" s="390" t="str">
        <f>IF(AND(FD$12&gt;=$E24,FD$12&lt;=$F24,MOD(FD$12,7)&gt;1,NOT(COUNTIF(General!$U$13:$U$19,FD$12))),$I24,"")</f>
        <v/>
      </c>
      <c r="FE24" s="390" t="str">
        <f>IF(AND(FE$12&gt;=$E24,FE$12&lt;=$F24,MOD(FE$12,7)&gt;1,NOT(COUNTIF(General!$U$13:$U$19,FE$12))),$I24,"")</f>
        <v/>
      </c>
      <c r="FF24" s="390" t="str">
        <f>IF(AND(FF$12&gt;=$E24,FF$12&lt;=$F24,MOD(FF$12,7)&gt;1,NOT(COUNTIF(General!$U$13:$U$19,FF$12))),$I24,"")</f>
        <v/>
      </c>
      <c r="FG24" s="390" t="str">
        <f>IF(AND(FG$12&gt;=$E24,FG$12&lt;=$F24,MOD(FG$12,7)&gt;1,NOT(COUNTIF(General!$U$13:$U$19,FG$12))),$I24,"")</f>
        <v/>
      </c>
      <c r="FH24" s="390" t="str">
        <f>IF(AND(FH$12&gt;=$E24,FH$12&lt;=$F24,MOD(FH$12,7)&gt;1,NOT(COUNTIF(General!$U$13:$U$19,FH$12))),$I24,"")</f>
        <v/>
      </c>
      <c r="FI24" s="390" t="str">
        <f>IF(AND(FI$12&gt;=$E24,FI$12&lt;=$F24,MOD(FI$12,7)&gt;1,NOT(COUNTIF(General!$U$13:$U$19,FI$12))),$I24,"")</f>
        <v/>
      </c>
      <c r="FJ24" s="390" t="str">
        <f>IF(AND(FJ$12&gt;=$E24,FJ$12&lt;=$F24,MOD(FJ$12,7)&gt;1,NOT(COUNTIF(General!$U$13:$U$19,FJ$12))),$I24,"")</f>
        <v/>
      </c>
      <c r="FK24" s="390" t="str">
        <f>IF(AND(FK$12&gt;=$E24,FK$12&lt;=$F24,MOD(FK$12,7)&gt;1,NOT(COUNTIF(General!$U$13:$U$19,FK$12))),$I24,"")</f>
        <v/>
      </c>
      <c r="FL24" s="390" t="str">
        <f>IF(AND(FL$12&gt;=$E24,FL$12&lt;=$F24,MOD(FL$12,7)&gt;1,NOT(COUNTIF(General!$U$13:$U$19,FL$12))),$I24,"")</f>
        <v/>
      </c>
      <c r="FM24" s="390" t="str">
        <f>IF(AND(FM$12&gt;=$E24,FM$12&lt;=$F24,MOD(FM$12,7)&gt;1,NOT(COUNTIF(General!$U$13:$U$19,FM$12))),$I24,"")</f>
        <v/>
      </c>
      <c r="FN24" s="390" t="str">
        <f>IF(AND(FN$12&gt;=$E24,FN$12&lt;=$F24,MOD(FN$12,7)&gt;1,NOT(COUNTIF(General!$U$13:$U$19,FN$12))),$I24,"")</f>
        <v/>
      </c>
      <c r="FO24" s="390" t="str">
        <f>IF(AND(FO$12&gt;=$E24,FO$12&lt;=$F24,MOD(FO$12,7)&gt;1,NOT(COUNTIF(General!$U$13:$U$19,FO$12))),$I24,"")</f>
        <v/>
      </c>
      <c r="FP24" s="390" t="str">
        <f>IF(AND(FP$12&gt;=$E24,FP$12&lt;=$F24,MOD(FP$12,7)&gt;1,NOT(COUNTIF(General!$U$13:$U$19,FP$12))),$I24,"")</f>
        <v/>
      </c>
      <c r="FQ24" s="390" t="str">
        <f>IF(AND(FQ$12&gt;=$E24,FQ$12&lt;=$F24,MOD(FQ$12,7)&gt;1,NOT(COUNTIF(General!$U$13:$U$19,FQ$12))),$I24,"")</f>
        <v/>
      </c>
      <c r="FR24" s="390" t="str">
        <f>IF(AND(FR$12&gt;=$E24,FR$12&lt;=$F24,MOD(FR$12,7)&gt;1,NOT(COUNTIF(General!$U$13:$U$19,FR$12))),$I24,"")</f>
        <v/>
      </c>
      <c r="FS24" s="390" t="str">
        <f>IF(AND(FS$12&gt;=$E24,FS$12&lt;=$F24,MOD(FS$12,7)&gt;1,NOT(COUNTIF(General!$U$13:$U$19,FS$12))),$I24,"")</f>
        <v/>
      </c>
      <c r="FT24" s="390" t="str">
        <f>IF(AND(FT$12&gt;=$E24,FT$12&lt;=$F24,MOD(FT$12,7)&gt;1,NOT(COUNTIF(General!$U$13:$U$19,FT$12))),$I24,"")</f>
        <v/>
      </c>
      <c r="FU24" s="390" t="str">
        <f>IF(AND(FU$12&gt;=$E24,FU$12&lt;=$F24,MOD(FU$12,7)&gt;1,NOT(COUNTIF(General!$U$13:$U$19,FU$12))),$I24,"")</f>
        <v/>
      </c>
      <c r="FV24" s="390" t="str">
        <f>IF(AND(FV$12&gt;=$E24,FV$12&lt;=$F24,MOD(FV$12,7)&gt;1,NOT(COUNTIF(General!$U$13:$U$19,FV$12))),$I24,"")</f>
        <v/>
      </c>
      <c r="FW24" s="390" t="str">
        <f>IF(AND(FW$12&gt;=$E24,FW$12&lt;=$F24,MOD(FW$12,7)&gt;1,NOT(COUNTIF(General!$U$13:$U$19,FW$12))),$I24,"")</f>
        <v/>
      </c>
      <c r="FX24" s="390" t="str">
        <f>IF(AND(FX$12&gt;=$E24,FX$12&lt;=$F24,MOD(FX$12,7)&gt;1,NOT(COUNTIF(General!$U$13:$U$19,FX$12))),$I24,"")</f>
        <v/>
      </c>
    </row>
    <row r="25">
      <c r="A25" s="601"/>
      <c r="B25" s="602"/>
      <c r="C25" s="602"/>
      <c r="D25" s="572" t="s">
        <v>571</v>
      </c>
      <c r="E25" s="583">
        <v>43809.0</v>
      </c>
      <c r="F25" s="374">
        <f>WORKDAY(E25,ROUNDUP(G25/I25,0),General!$U$13:$U$27)-1</f>
        <v>43809</v>
      </c>
      <c r="G25" s="542">
        <f>G24*0.4</f>
        <v>0.8</v>
      </c>
      <c r="H25" s="603"/>
      <c r="I25" s="379">
        <v>1.0</v>
      </c>
      <c r="J25" s="604"/>
      <c r="K25" s="605"/>
      <c r="L25" s="605"/>
      <c r="M25" s="606"/>
      <c r="N25" s="607"/>
      <c r="O25" s="608"/>
      <c r="P25" s="609"/>
      <c r="Q25" s="602" t="str">
        <f>IF(AND(Q$12&gt;=$E25,Q$12&lt;=$F25,MOD(Q$12,7)&gt;1,NOT(COUNTIF(General!$U$13:$U$19,Q$12))),$I25,"")</f>
        <v/>
      </c>
      <c r="R25" s="602" t="str">
        <f>IF(AND(R$12&gt;=$E25,R$12&lt;=$F25,MOD(R$12,7)&gt;1,NOT(COUNTIF(General!$U$13:$U$19,R$12))),$I25,"")</f>
        <v/>
      </c>
      <c r="S25" s="602" t="str">
        <f>IF(AND(S$12&gt;=$E25,S$12&lt;=$F25,MOD(S$12,7)&gt;1,NOT(COUNTIF(General!$U$13:$U$19,S$12))),$I25,"")</f>
        <v/>
      </c>
      <c r="T25" s="602" t="str">
        <f>IF(AND(T$12&gt;=$E25,T$12&lt;=$F25,MOD(T$12,7)&gt;1,NOT(COUNTIF(General!$U$13:$U$19,T$12))),$I25,"")</f>
        <v/>
      </c>
      <c r="U25" s="602" t="str">
        <f>IF(AND(U$12&gt;=$E25,U$12&lt;=$F25,MOD(U$12,7)&gt;1,NOT(COUNTIF(General!$U$13:$U$19,U$12))),$I25,"")</f>
        <v/>
      </c>
      <c r="V25" s="610" t="str">
        <f>IF(AND(V$12&gt;=$E25,V$12&lt;=$F25,MOD(V$12,7)&gt;1,NOT(COUNTIF(General!$U$13:$U$19,V$12))),$I25,"")</f>
        <v/>
      </c>
      <c r="W25" s="610" t="str">
        <f>IF(AND(W$12&gt;=$E25,W$12&lt;=$F25,MOD(W$12,7)&gt;1,NOT(COUNTIF(General!$U$13:$U$19,W$12))),$I25,"")</f>
        <v/>
      </c>
      <c r="X25" s="602" t="str">
        <f>IF(AND(X$12&gt;=$E25,X$12&lt;=$F25,MOD(X$12,7)&gt;1,NOT(COUNTIF(General!$U$13:$U$19,X$12))),$I25,"")</f>
        <v/>
      </c>
      <c r="Y25" s="602">
        <f>IF(AND(Y$12&gt;=$E25,Y$12&lt;=$F25,MOD(Y$12,7)&gt;1,NOT(COUNTIF(General!$U$13:$U$19,Y$12))),$I25,"")</f>
        <v>1</v>
      </c>
      <c r="Z25" s="602" t="str">
        <f>IF(AND(Z$12&gt;=$E25,Z$12&lt;=$F25,MOD(Z$12,7)&gt;1,NOT(COUNTIF(General!$U$13:$U$19,Z$12))),$I25,"")</f>
        <v/>
      </c>
      <c r="AA25" s="602" t="str">
        <f>IF(AND(AA$12&gt;=$E25,AA$12&lt;=$F25,MOD(AA$12,7)&gt;1,NOT(COUNTIF(General!$U$13:$U$19,AA$12))),$I25,"")</f>
        <v/>
      </c>
      <c r="AB25" s="602" t="str">
        <f>IF(AND(AB$12&gt;=$E25,AB$12&lt;=$F25,MOD(AB$12,7)&gt;1,NOT(COUNTIF(General!$U$13:$U$19,AB$12))),$I25,"")</f>
        <v/>
      </c>
      <c r="AC25" s="602" t="str">
        <f>IF(AND(AC$12&gt;=$E25,AC$12&lt;=$F25,MOD(AC$12,7)&gt;1,NOT(COUNTIF(General!$U$13:$U$19,AC$12))),$I25,"")</f>
        <v/>
      </c>
      <c r="AD25" s="602" t="str">
        <f>IF(AND(AD$12&gt;=$E25,AD$12&lt;=$F25,MOD(AD$12,7)&gt;1,NOT(COUNTIF(General!$U$13:$U$19,AD$12))),$I25,"")</f>
        <v/>
      </c>
      <c r="AE25" s="602" t="str">
        <f>IF(AND(AE$12&gt;=$E25,AE$12&lt;=$F25,MOD(AE$12,7)&gt;1,NOT(COUNTIF(General!$U$13:$U$19,AE$12))),$I25,"")</f>
        <v/>
      </c>
      <c r="AF25" s="602" t="str">
        <f>IF(AND(AF$12&gt;=$E25,AF$12&lt;=$F25,MOD(AF$12,7)&gt;1,NOT(COUNTIF(General!$U$13:$U$19,AF$12))),$I25,"")</f>
        <v/>
      </c>
      <c r="AG25" s="602" t="str">
        <f>IF(AND(AG$12&gt;=$E25,AG$12&lt;=$F25,MOD(AG$12,7)&gt;1,NOT(COUNTIF(General!$U$13:$U$19,AG$12))),$I25,"")</f>
        <v/>
      </c>
      <c r="AH25" s="602" t="str">
        <f>IF(AND(AH$12&gt;=$E25,AH$12&lt;=$F25,MOD(AH$12,7)&gt;1,NOT(COUNTIF(General!$U$13:$U$19,AH$12))),$I25,"")</f>
        <v/>
      </c>
      <c r="AI25" s="602" t="str">
        <f>IF(AND(AI$12&gt;=$E25,AI$12&lt;=$F25,MOD(AI$12,7)&gt;1,NOT(COUNTIF(General!$U$13:$U$19,AI$12))),$I25,"")</f>
        <v/>
      </c>
      <c r="AJ25" s="610" t="str">
        <f>IF(AND(AJ$12&gt;=$E25,AJ$12&lt;=$F25,MOD(AJ$12,7)&gt;1,NOT(COUNTIF(General!$U$13:$U$19,AJ$12))),$I25,"")</f>
        <v/>
      </c>
      <c r="AK25" s="610" t="str">
        <f>IF(AND(AK$12&gt;=$E25,AK$12&lt;=$F25,MOD(AK$12,7)&gt;1,NOT(COUNTIF(General!$U$13:$U$19,AK$12))),$I25,"")</f>
        <v/>
      </c>
      <c r="AL25" s="602" t="str">
        <f>IF(AND(AL$12&gt;=$E25,AL$12&lt;=$F25,MOD(AL$12,7)&gt;1,NOT(COUNTIF(General!$U$13:$U$19,AL$12))),$I25,"")</f>
        <v/>
      </c>
      <c r="AM25" s="602" t="str">
        <f>IF(AND(AM$12&gt;=$E25,AM$12&lt;=$F25,MOD(AM$12,7)&gt;1,NOT(COUNTIF(General!$U$13:$U$19,AM$12))),$I25,"")</f>
        <v/>
      </c>
      <c r="AN25" s="602" t="str">
        <f>IF(AND(AN$12&gt;=$E25,AN$12&lt;=$F25,MOD(AN$12,7)&gt;1,NOT(COUNTIF(General!$U$13:$U$19,AN$12))),$I25,"")</f>
        <v/>
      </c>
      <c r="AO25" s="602" t="str">
        <f>IF(AND(AO$12&gt;=$E25,AO$12&lt;=$F25,MOD(AO$12,7)&gt;1,NOT(COUNTIF(General!$U$13:$U$19,AO$12))),$I25,"")</f>
        <v/>
      </c>
      <c r="AP25" s="602" t="str">
        <f>IF(AND(AP$12&gt;=$E25,AP$12&lt;=$F25,MOD(AP$12,7)&gt;1,NOT(COUNTIF(General!$U$13:$U$19,AP$12))),$I25,"")</f>
        <v/>
      </c>
      <c r="AQ25" s="610" t="str">
        <f>IF(AND(AQ$12&gt;=$E25,AQ$12&lt;=$F25,MOD(AQ$12,7)&gt;1,NOT(COUNTIF(General!$U$13:$U$19,AQ$12))),$I25,"")</f>
        <v/>
      </c>
      <c r="AR25" s="610" t="str">
        <f>IF(AND(AR$12&gt;=$E25,AR$12&lt;=$F25,MOD(AR$12,7)&gt;1,NOT(COUNTIF(General!$U$13:$U$19,AR$12))),$I25,"")</f>
        <v/>
      </c>
      <c r="AS25" s="602" t="str">
        <f>IF(AND(AS$12&gt;=$E25,AS$12&lt;=$F25,MOD(AS$12,7)&gt;1,NOT(COUNTIF(General!$U$13:$U$19,AS$12))),$I25,"")</f>
        <v/>
      </c>
      <c r="AT25" s="602" t="str">
        <f>IF(AND(AT$12&gt;=$E25,AT$12&lt;=$F25,MOD(AT$12,7)&gt;1,NOT(COUNTIF(General!$U$13:$U$19,AT$12))),$I25,"")</f>
        <v/>
      </c>
      <c r="AU25" s="602" t="str">
        <f>IF(AND(AU$12&gt;=$E25,AU$12&lt;=$F25,MOD(AU$12,7)&gt;1,NOT(COUNTIF(General!$U$13:$U$19,AU$12))),$I25,"")</f>
        <v/>
      </c>
      <c r="AV25" s="602" t="str">
        <f>IF(AND(AV$12&gt;=$E25,AV$12&lt;=$F25,MOD(AV$12,7)&gt;1,NOT(COUNTIF(General!$U$13:$U$19,AV$12))),$I25,"")</f>
        <v/>
      </c>
      <c r="AW25" s="602" t="str">
        <f>IF(AND(AW$12&gt;=$E25,AW$12&lt;=$F25,MOD(AW$12,7)&gt;1,NOT(COUNTIF(General!$U$13:$U$19,AW$12))),$I25,"")</f>
        <v/>
      </c>
      <c r="AX25" s="610" t="str">
        <f>IF(AND(AX$12&gt;=$E25,AX$12&lt;=$F25,MOD(AX$12,7)&gt;1,NOT(COUNTIF(General!$U$13:$U$19,AX$12))),$I25,"")</f>
        <v/>
      </c>
      <c r="AY25" s="610" t="str">
        <f>IF(AND(AY$12&gt;=$E25,AY$12&lt;=$F25,MOD(AY$12,7)&gt;1,NOT(COUNTIF(General!$U$13:$U$19,AY$12))),$I25,"")</f>
        <v/>
      </c>
      <c r="AZ25" s="602" t="str">
        <f>IF(AND(AZ$12&gt;=$E25,AZ$12&lt;=$F25,MOD(AZ$12,7)&gt;1,NOT(COUNTIF(General!$U$13:$U$19,AZ$12))),$I25,"")</f>
        <v/>
      </c>
      <c r="BA25" s="602" t="str">
        <f>IF(AND(BA$12&gt;=$E25,BA$12&lt;=$F25,MOD(BA$12,7)&gt;1,NOT(COUNTIF(General!$U$13:$U$19,BA$12))),$I25,"")</f>
        <v/>
      </c>
      <c r="BB25" s="602" t="str">
        <f>IF(AND(BB$12&gt;=$E25,BB$12&lt;=$F25,MOD(BB$12,7)&gt;1,NOT(COUNTIF(General!$U$13:$U$19,BB$12))),$I25,"")</f>
        <v/>
      </c>
      <c r="BC25" s="602" t="str">
        <f>IF(AND(BC$12&gt;=$E25,BC$12&lt;=$F25,MOD(BC$12,7)&gt;1,NOT(COUNTIF(General!$U$13:$U$19,BC$12))),$I25,"")</f>
        <v/>
      </c>
      <c r="BD25" s="602" t="str">
        <f>IF(AND(BD$12&gt;=$E25,BD$12&lt;=$F25,MOD(BD$12,7)&gt;1,NOT(COUNTIF(General!$U$13:$U$19,BD$12))),$I25,"")</f>
        <v/>
      </c>
      <c r="BE25" s="610" t="str">
        <f>IF(AND(BE$12&gt;=$E25,BE$12&lt;=$F25,MOD(BE$12,7)&gt;1,NOT(COUNTIF(General!$U$13:$U$19,BE$12))),$I25,"")</f>
        <v/>
      </c>
      <c r="BF25" s="610" t="str">
        <f>IF(AND(BF$12&gt;=$E25,BF$12&lt;=$F25,MOD(BF$12,7)&gt;1,NOT(COUNTIF(General!$U$13:$U$19,BF$12))),$I25,"")</f>
        <v/>
      </c>
      <c r="BG25" s="602" t="str">
        <f>IF(AND(BG$12&gt;=$E25,BG$12&lt;=$F25,MOD(BG$12,7)&gt;1,NOT(COUNTIF(General!$U$13:$U$19,BG$12))),$I25,"")</f>
        <v/>
      </c>
      <c r="BH25" s="602" t="str">
        <f>IF(AND(BH$12&gt;=$E25,BH$12&lt;=$F25,MOD(BH$12,7)&gt;1,NOT(COUNTIF(General!$U$13:$U$19,BH$12))),$I25,"")</f>
        <v/>
      </c>
      <c r="BI25" s="602" t="str">
        <f>IF(AND(BI$12&gt;=$E25,BI$12&lt;=$F25,MOD(BI$12,7)&gt;1,NOT(COUNTIF(General!$U$13:$U$19,BI$12))),$I25,"")</f>
        <v/>
      </c>
      <c r="BJ25" s="602" t="str">
        <f>IF(AND(BJ$12&gt;=$E25,BJ$12&lt;=$F25,MOD(BJ$12,7)&gt;1,NOT(COUNTIF(General!$U$13:$U$19,BJ$12))),$I25,"")</f>
        <v/>
      </c>
      <c r="BK25" s="602" t="str">
        <f>IF(AND(BK$12&gt;=$E25,BK$12&lt;=$F25,MOD(BK$12,7)&gt;1,NOT(COUNTIF(General!$U$13:$U$19,BK$12))),$I25,"")</f>
        <v/>
      </c>
      <c r="BL25" s="610" t="str">
        <f>IF(AND(BL$12&gt;=$E25,BL$12&lt;=$F25,MOD(BL$12,7)&gt;1,NOT(COUNTIF(General!$U$13:$U$19,BL$12))),$I25,"")</f>
        <v/>
      </c>
      <c r="BM25" s="610" t="str">
        <f>IF(AND(BM$12&gt;=$E25,BM$12&lt;=$F25,MOD(BM$12,7)&gt;1,NOT(COUNTIF(General!$U$13:$U$19,BM$12))),$I25,"")</f>
        <v/>
      </c>
      <c r="BN25" s="602" t="str">
        <f>IF(AND(BN$12&gt;=$E25,BN$12&lt;=$F25,MOD(BN$12,7)&gt;1,NOT(COUNTIF(General!$U$13:$U$19,BN$12))),$I25,"")</f>
        <v/>
      </c>
      <c r="BO25" s="602" t="str">
        <f>IF(AND(BO$12&gt;=$E25,BO$12&lt;=$F25,MOD(BO$12,7)&gt;1,NOT(COUNTIF(General!$U$13:$U$19,BO$12))),$I25,"")</f>
        <v/>
      </c>
      <c r="BP25" s="602" t="str">
        <f>IF(AND(BP$12&gt;=$E25,BP$12&lt;=$F25,MOD(BP$12,7)&gt;1,NOT(COUNTIF(General!$U$13:$U$19,BP$12))),$I25,"")</f>
        <v/>
      </c>
      <c r="BQ25" s="602" t="str">
        <f>IF(AND(BQ$12&gt;=$E25,BQ$12&lt;=$F25,MOD(BQ$12,7)&gt;1,NOT(COUNTIF(General!$U$13:$U$19,BQ$12))),$I25,"")</f>
        <v/>
      </c>
      <c r="BR25" s="602" t="str">
        <f>IF(AND(BR$12&gt;=$E25,BR$12&lt;=$F25,MOD(BR$12,7)&gt;1,NOT(COUNTIF(General!$U$13:$U$19,BR$12))),$I25,"")</f>
        <v/>
      </c>
      <c r="BS25" s="610" t="str">
        <f>IF(AND(BS$12&gt;=$E25,BS$12&lt;=$F25,MOD(BS$12,7)&gt;1,NOT(COUNTIF(General!$U$13:$U$19,BS$12))),$I25,"")</f>
        <v/>
      </c>
      <c r="BT25" s="610" t="str">
        <f>IF(AND(BT$12&gt;=$E25,BT$12&lt;=$F25,MOD(BT$12,7)&gt;1,NOT(COUNTIF(General!$U$13:$U$19,BT$12))),$I25,"")</f>
        <v/>
      </c>
      <c r="BU25" s="602" t="str">
        <f>IF(AND(BU$12&gt;=$E25,BU$12&lt;=$F25,MOD(BU$12,7)&gt;1,NOT(COUNTIF(General!$U$13:$U$19,BU$12))),$I25,"")</f>
        <v/>
      </c>
      <c r="BV25" s="602" t="str">
        <f>IF(AND(BV$12&gt;=$E25,BV$12&lt;=$F25,MOD(BV$12,7)&gt;1,NOT(COUNTIF(General!$U$13:$U$19,BV$12))),$I25,"")</f>
        <v/>
      </c>
      <c r="BW25" s="602" t="str">
        <f>IF(AND(BW$12&gt;=$E25,BW$12&lt;=$F25,MOD(BW$12,7)&gt;1,NOT(COUNTIF(General!$U$13:$U$19,BW$12))),$I25,"")</f>
        <v/>
      </c>
      <c r="BX25" s="602" t="str">
        <f>IF(AND(BX$12&gt;=$E25,BX$12&lt;=$F25,MOD(BX$12,7)&gt;1,NOT(COUNTIF(General!$U$13:$U$19,BX$12))),$I25,"")</f>
        <v/>
      </c>
      <c r="BY25" s="602" t="str">
        <f>IF(AND(BY$12&gt;=$E25,BY$12&lt;=$F25,MOD(BY$12,7)&gt;1,NOT(COUNTIF(General!$U$13:$U$19,BY$12))),$I25,"")</f>
        <v/>
      </c>
      <c r="BZ25" s="610" t="str">
        <f>IF(AND(BZ$12&gt;=$E25,BZ$12&lt;=$F25,MOD(BZ$12,7)&gt;1,NOT(COUNTIF(General!$U$13:$U$19,BZ$12))),$I25,"")</f>
        <v/>
      </c>
      <c r="CA25" s="610" t="str">
        <f>IF(AND(CA$12&gt;=$E25,CA$12&lt;=$F25,MOD(CA$12,7)&gt;1,NOT(COUNTIF(General!$U$13:$U$19,CA$12))),$I25,"")</f>
        <v/>
      </c>
      <c r="CB25" s="602" t="str">
        <f>IF(AND(CB$12&gt;=$E25,CB$12&lt;=$F25,MOD(CB$12,7)&gt;1,NOT(COUNTIF(General!$U$13:$U$19,CB$12))),$I25,"")</f>
        <v/>
      </c>
      <c r="CC25" s="602" t="str">
        <f>IF(AND(CC$12&gt;=$E25,CC$12&lt;=$F25,MOD(CC$12,7)&gt;1,NOT(COUNTIF(General!$U$13:$U$19,CC$12))),$I25,"")</f>
        <v/>
      </c>
      <c r="CD25" s="602" t="str">
        <f>IF(AND(CD$12&gt;=$E25,CD$12&lt;=$F25,MOD(CD$12,7)&gt;1,NOT(COUNTIF(General!$U$13:$U$19,CD$12))),$I25,"")</f>
        <v/>
      </c>
      <c r="CE25" s="602" t="str">
        <f>IF(AND(CE$12&gt;=$E25,CE$12&lt;=$F25,MOD(CE$12,7)&gt;1,NOT(COUNTIF(General!$U$13:$U$19,CE$12))),$I25,"")</f>
        <v/>
      </c>
      <c r="CF25" s="602" t="str">
        <f>IF(AND(CF$12&gt;=$E25,CF$12&lt;=$F25,MOD(CF$12,7)&gt;1,NOT(COUNTIF(General!$U$13:$U$19,CF$12))),$I25,"")</f>
        <v/>
      </c>
      <c r="CG25" s="610" t="str">
        <f>IF(AND(CG$12&gt;=$E25,CG$12&lt;=$F25,MOD(CG$12,7)&gt;1,NOT(COUNTIF(General!$U$13:$U$19,CG$12))),$I25,"")</f>
        <v/>
      </c>
      <c r="CH25" s="610" t="str">
        <f>IF(AND(CH$12&gt;=$E25,CH$12&lt;=$F25,MOD(CH$12,7)&gt;1,NOT(COUNTIF(General!$U$13:$U$19,CH$12))),$I25,"")</f>
        <v/>
      </c>
      <c r="CI25" s="602" t="str">
        <f>IF(AND(CI$12&gt;=$E25,CI$12&lt;=$F25,MOD(CI$12,7)&gt;1,NOT(COUNTIF(General!$U$13:$U$19,CI$12))),$I25,"")</f>
        <v/>
      </c>
      <c r="CJ25" s="602" t="str">
        <f>IF(AND(CJ$12&gt;=$E25,CJ$12&lt;=$F25,MOD(CJ$12,7)&gt;1,NOT(COUNTIF(General!$U$13:$U$19,CJ$12))),$I25,"")</f>
        <v/>
      </c>
      <c r="CK25" s="602" t="str">
        <f>IF(AND(CK$12&gt;=$E25,CK$12&lt;=$F25,MOD(CK$12,7)&gt;1,NOT(COUNTIF(General!$U$13:$U$19,CK$12))),$I25,"")</f>
        <v/>
      </c>
      <c r="CL25" s="602" t="str">
        <f>IF(AND(CL$12&gt;=$E25,CL$12&lt;=$F25,MOD(CL$12,7)&gt;1,NOT(COUNTIF(General!$U$13:$U$19,CL$12))),$I25,"")</f>
        <v/>
      </c>
      <c r="CM25" s="602" t="str">
        <f>IF(AND(CM$12&gt;=$E25,CM$12&lt;=$F25,MOD(CM$12,7)&gt;1,NOT(COUNTIF(General!$U$13:$U$19,CM$12))),$I25,"")</f>
        <v/>
      </c>
      <c r="CN25" s="610" t="str">
        <f>IF(AND(CN$12&gt;=$E25,CN$12&lt;=$F25,MOD(CN$12,7)&gt;1,NOT(COUNTIF(General!$U$13:$U$19,CN$12))),$I25,"")</f>
        <v/>
      </c>
      <c r="CO25" s="610" t="str">
        <f>IF(AND(CO$12&gt;=$E25,CO$12&lt;=$F25,MOD(CO$12,7)&gt;1,NOT(COUNTIF(General!$U$13:$U$19,CO$12))),$I25,"")</f>
        <v/>
      </c>
      <c r="CP25" s="602" t="str">
        <f>IF(AND(CP$12&gt;=$E25,CP$12&lt;=$F25,MOD(CP$12,7)&gt;1,NOT(COUNTIF(General!$U$13:$U$19,CP$12))),$I25,"")</f>
        <v/>
      </c>
      <c r="CQ25" s="602" t="str">
        <f>IF(AND(CQ$12&gt;=$E25,CQ$12&lt;=$F25,MOD(CQ$12,7)&gt;1,NOT(COUNTIF(General!$U$13:$U$19,CQ$12))),$I25,"")</f>
        <v/>
      </c>
      <c r="CR25" s="602" t="str">
        <f>IF(AND(CR$12&gt;=$E25,CR$12&lt;=$F25,MOD(CR$12,7)&gt;1,NOT(COUNTIF(General!$U$13:$U$19,CR$12))),$I25,"")</f>
        <v/>
      </c>
      <c r="CS25" s="602" t="str">
        <f>IF(AND(CS$12&gt;=$E25,CS$12&lt;=$F25,MOD(CS$12,7)&gt;1,NOT(COUNTIF(General!$U$13:$U$19,CS$12))),$I25,"")</f>
        <v/>
      </c>
      <c r="CT25" s="602" t="str">
        <f>IF(AND(CT$12&gt;=$E25,CT$12&lt;=$F25,MOD(CT$12,7)&gt;1,NOT(COUNTIF(General!$U$13:$U$19,CT$12))),$I25,"")</f>
        <v/>
      </c>
      <c r="CU25" s="610" t="str">
        <f>IF(AND(CU$12&gt;=$E25,CU$12&lt;=$F25,MOD(CU$12,7)&gt;1,NOT(COUNTIF(General!$U$13:$U$19,CU$12))),$I25,"")</f>
        <v/>
      </c>
      <c r="CV25" s="610" t="str">
        <f>IF(AND(CV$12&gt;=$E25,CV$12&lt;=$F25,MOD(CV$12,7)&gt;1,NOT(COUNTIF(General!$U$13:$U$19,CV$12))),$I25,"")</f>
        <v/>
      </c>
      <c r="CW25" s="602" t="str">
        <f>IF(AND(CW$12&gt;=$E25,CW$12&lt;=$F25,MOD(CW$12,7)&gt;1,NOT(COUNTIF(General!$U$13:$U$19,CW$12))),$I25,"")</f>
        <v/>
      </c>
      <c r="CX25" s="602" t="str">
        <f>IF(AND(CX$12&gt;=$E25,CX$12&lt;=$F25,MOD(CX$12,7)&gt;1,NOT(COUNTIF(General!$U$13:$U$19,CX$12))),$I25,"")</f>
        <v/>
      </c>
      <c r="CY25" s="602" t="str">
        <f>IF(AND(CY$12&gt;=$E25,CY$12&lt;=$F25,MOD(CY$12,7)&gt;1,NOT(COUNTIF(General!$U$13:$U$19,CY$12))),$I25,"")</f>
        <v/>
      </c>
      <c r="CZ25" s="602" t="str">
        <f>IF(AND(CZ$12&gt;=$E25,CZ$12&lt;=$F25,MOD(CZ$12,7)&gt;1,NOT(COUNTIF(General!$U$13:$U$19,CZ$12))),$I25,"")</f>
        <v/>
      </c>
      <c r="DA25" s="602" t="str">
        <f>IF(AND(DA$12&gt;=$E25,DA$12&lt;=$F25,MOD(DA$12,7)&gt;1,NOT(COUNTIF(General!$U$13:$U$19,DA$12))),$I25,"")</f>
        <v/>
      </c>
      <c r="DB25" s="610" t="str">
        <f>IF(AND(DB$12&gt;=$E25,DB$12&lt;=$F25,MOD(DB$12,7)&gt;1,NOT(COUNTIF(General!$U$13:$U$19,DB$12))),$I25,"")</f>
        <v/>
      </c>
      <c r="DC25" s="610" t="str">
        <f>IF(AND(DC$12&gt;=$E25,DC$12&lt;=$F25,MOD(DC$12,7)&gt;1,NOT(COUNTIF(General!$U$13:$U$19,DC$12))),$I25,"")</f>
        <v/>
      </c>
      <c r="DD25" s="602" t="str">
        <f>IF(AND(DD$12&gt;=$E25,DD$12&lt;=$F25,MOD(DD$12,7)&gt;1,NOT(COUNTIF(General!$U$13:$U$19,DD$12))),$I25,"")</f>
        <v/>
      </c>
      <c r="DE25" s="602" t="str">
        <f>IF(AND(DE$12&gt;=$E25,DE$12&lt;=$F25,MOD(DE$12,7)&gt;1,NOT(COUNTIF(General!$U$13:$U$19,DE$12))),$I25,"")</f>
        <v/>
      </c>
      <c r="DF25" s="602" t="str">
        <f>IF(AND(DF$12&gt;=$E25,DF$12&lt;=$F25,MOD(DF$12,7)&gt;1,NOT(COUNTIF(General!$U$13:$U$19,DF$12))),$I25,"")</f>
        <v/>
      </c>
      <c r="DG25" s="602" t="str">
        <f>IF(AND(DG$12&gt;=$E25,DG$12&lt;=$F25,MOD(DG$12,7)&gt;1,NOT(COUNTIF(General!$U$13:$U$19,DG$12))),$I25,"")</f>
        <v/>
      </c>
      <c r="DH25" s="602" t="str">
        <f>IF(AND(DH$12&gt;=$E25,DH$12&lt;=$F25,MOD(DH$12,7)&gt;1,NOT(COUNTIF(General!$U$13:$U$19,DH$12))),$I25,"")</f>
        <v/>
      </c>
      <c r="DI25" s="610" t="str">
        <f>IF(AND(DI$12&gt;=$E25,DI$12&lt;=$F25,MOD(DI$12,7)&gt;1,NOT(COUNTIF(General!$U$13:$U$19,DI$12))),$I25,"")</f>
        <v/>
      </c>
      <c r="DJ25" s="610" t="str">
        <f>IF(AND(DJ$12&gt;=$E25,DJ$12&lt;=$F25,MOD(DJ$12,7)&gt;1,NOT(COUNTIF(General!$U$13:$U$19,DJ$12))),$I25,"")</f>
        <v/>
      </c>
      <c r="DK25" s="602" t="str">
        <f>IF(AND(DK$12&gt;=$E25,DK$12&lt;=$F25,MOD(DK$12,7)&gt;1,NOT(COUNTIF(General!$U$13:$U$19,DK$12))),$I25,"")</f>
        <v/>
      </c>
      <c r="DL25" s="602" t="str">
        <f>IF(AND(DL$12&gt;=$E25,DL$12&lt;=$F25,MOD(DL$12,7)&gt;1,NOT(COUNTIF(General!$U$13:$U$19,DL$12))),$I25,"")</f>
        <v/>
      </c>
      <c r="DM25" s="602" t="str">
        <f>IF(AND(DM$12&gt;=$E25,DM$12&lt;=$F25,MOD(DM$12,7)&gt;1,NOT(COUNTIF(General!$U$13:$U$19,DM$12))),$I25,"")</f>
        <v/>
      </c>
      <c r="DN25" s="602" t="str">
        <f>IF(AND(DN$12&gt;=$E25,DN$12&lt;=$F25,MOD(DN$12,7)&gt;1,NOT(COUNTIF(General!$U$13:$U$19,DN$12))),$I25,"")</f>
        <v/>
      </c>
      <c r="DO25" s="602" t="str">
        <f>IF(AND(DO$12&gt;=$E25,DO$12&lt;=$F25,MOD(DO$12,7)&gt;1,NOT(COUNTIF(General!$U$13:$U$19,DO$12))),$I25,"")</f>
        <v/>
      </c>
      <c r="DP25" s="610" t="str">
        <f>IF(AND(DP$12&gt;=$E25,DP$12&lt;=$F25,MOD(DP$12,7)&gt;1,NOT(COUNTIF(General!$U$13:$U$19,DP$12))),$I25,"")</f>
        <v/>
      </c>
      <c r="DQ25" s="610" t="str">
        <f>IF(AND(DQ$12&gt;=$E25,DQ$12&lt;=$F25,MOD(DQ$12,7)&gt;1,NOT(COUNTIF(General!$U$13:$U$19,DQ$12))),$I25,"")</f>
        <v/>
      </c>
      <c r="DR25" s="602" t="str">
        <f>IF(AND(DR$12&gt;=$E25,DR$12&lt;=$F25,MOD(DR$12,7)&gt;1,NOT(COUNTIF(General!$U$13:$U$19,DR$12))),$I25,"")</f>
        <v/>
      </c>
      <c r="DS25" s="602" t="str">
        <f>IF(AND(DS$12&gt;=$E25,DS$12&lt;=$F25,MOD(DS$12,7)&gt;1,NOT(COUNTIF(General!$U$13:$U$19,DS$12))),$I25,"")</f>
        <v/>
      </c>
      <c r="DT25" s="602" t="str">
        <f>IF(AND(DT$12&gt;=$E25,DT$12&lt;=$F25,MOD(DT$12,7)&gt;1,NOT(COUNTIF(General!$U$13:$U$19,DT$12))),$I25,"")</f>
        <v/>
      </c>
      <c r="DU25" s="602" t="str">
        <f>IF(AND(DU$12&gt;=$E25,DU$12&lt;=$F25,MOD(DU$12,7)&gt;1,NOT(COUNTIF(General!$U$13:$U$19,DU$12))),$I25,"")</f>
        <v/>
      </c>
      <c r="DV25" s="602" t="str">
        <f>IF(AND(DV$12&gt;=$E25,DV$12&lt;=$F25,MOD(DV$12,7)&gt;1,NOT(COUNTIF(General!$U$13:$U$19,DV$12))),$I25,"")</f>
        <v/>
      </c>
      <c r="DW25" s="610" t="str">
        <f>IF(AND(DW$12&gt;=$E25,DW$12&lt;=$F25,MOD(DW$12,7)&gt;1,NOT(COUNTIF(General!$U$13:$U$19,DW$12))),$I25,"")</f>
        <v/>
      </c>
      <c r="DX25" s="610" t="str">
        <f>IF(AND(DX$12&gt;=$E25,DX$12&lt;=$F25,MOD(DX$12,7)&gt;1,NOT(COUNTIF(General!$U$13:$U$19,DX$12))),$I25,"")</f>
        <v/>
      </c>
      <c r="DY25" s="602" t="str">
        <f>IF(AND(DY$12&gt;=$E25,DY$12&lt;=$F25,MOD(DY$12,7)&gt;1,NOT(COUNTIF(General!$U$13:$U$19,DY$12))),$I25,"")</f>
        <v/>
      </c>
      <c r="DZ25" s="602" t="str">
        <f>IF(AND(DZ$12&gt;=$E25,DZ$12&lt;=$F25,MOD(DZ$12,7)&gt;1,NOT(COUNTIF(General!$U$13:$U$19,DZ$12))),$I25,"")</f>
        <v/>
      </c>
      <c r="EA25" s="602" t="str">
        <f>IF(AND(EA$12&gt;=$E25,EA$12&lt;=$F25,MOD(EA$12,7)&gt;1,NOT(COUNTIF(General!$U$13:$U$19,EA$12))),$I25,"")</f>
        <v/>
      </c>
      <c r="EB25" s="602" t="str">
        <f>IF(AND(EB$12&gt;=$E25,EB$12&lt;=$F25,MOD(EB$12,7)&gt;1,NOT(COUNTIF(General!$U$13:$U$19,EB$12))),$I25,"")</f>
        <v/>
      </c>
      <c r="EC25" s="602" t="str">
        <f>IF(AND(EC$12&gt;=$E25,EC$12&lt;=$F25,MOD(EC$12,7)&gt;1,NOT(COUNTIF(General!$U$13:$U$19,EC$12))),$I25,"")</f>
        <v/>
      </c>
      <c r="ED25" s="610" t="str">
        <f>IF(AND(ED$12&gt;=$E25,ED$12&lt;=$F25,MOD(ED$12,7)&gt;1,NOT(COUNTIF(General!$U$13:$U$19,ED$12))),$I25,"")</f>
        <v/>
      </c>
      <c r="EE25" s="610" t="str">
        <f>IF(AND(EE$12&gt;=$E25,EE$12&lt;=$F25,MOD(EE$12,7)&gt;1,NOT(COUNTIF(General!$U$13:$U$19,EE$12))),$I25,"")</f>
        <v/>
      </c>
      <c r="EF25" s="602" t="str">
        <f>IF(AND(EF$12&gt;=$E25,EF$12&lt;=$F25,MOD(EF$12,7)&gt;1,NOT(COUNTIF(General!$U$13:$U$19,EF$12))),$I25,"")</f>
        <v/>
      </c>
      <c r="EG25" s="602" t="str">
        <f>IF(AND(EG$12&gt;=$E25,EG$12&lt;=$F25,MOD(EG$12,7)&gt;1,NOT(COUNTIF(General!$U$13:$U$19,EG$12))),$I25,"")</f>
        <v/>
      </c>
      <c r="EH25" s="602" t="str">
        <f>IF(AND(EH$12&gt;=$E25,EH$12&lt;=$F25,MOD(EH$12,7)&gt;1,NOT(COUNTIF(General!$U$13:$U$19,EH$12))),$I25,"")</f>
        <v/>
      </c>
      <c r="EI25" s="602" t="str">
        <f>IF(AND(EI$12&gt;=$E25,EI$12&lt;=$F25,MOD(EI$12,7)&gt;1,NOT(COUNTIF(General!$U$13:$U$19,EI$12))),$I25,"")</f>
        <v/>
      </c>
      <c r="EJ25" s="602" t="str">
        <f>IF(AND(EJ$12&gt;=$E25,EJ$12&lt;=$F25,MOD(EJ$12,7)&gt;1,NOT(COUNTIF(General!$U$13:$U$19,EJ$12))),$I25,"")</f>
        <v/>
      </c>
      <c r="EK25" s="610" t="str">
        <f>IF(AND(EK$12&gt;=$E25,EK$12&lt;=$F25,MOD(EK$12,7)&gt;1,NOT(COUNTIF(General!$U$13:$U$19,EK$12))),$I25,"")</f>
        <v/>
      </c>
      <c r="EL25" s="610" t="str">
        <f>IF(AND(EL$12&gt;=$E25,EL$12&lt;=$F25,MOD(EL$12,7)&gt;1,NOT(COUNTIF(General!$U$13:$U$19,EL$12))),$I25,"")</f>
        <v/>
      </c>
      <c r="EM25" s="602" t="str">
        <f>IF(AND(EM$12&gt;=$E25,EM$12&lt;=$F25,MOD(EM$12,7)&gt;1,NOT(COUNTIF(General!$U$13:$U$19,EM$12))),$I25,"")</f>
        <v/>
      </c>
      <c r="EN25" s="602" t="str">
        <f>IF(AND(EN$12&gt;=$E25,EN$12&lt;=$F25,MOD(EN$12,7)&gt;1,NOT(COUNTIF(General!$U$13:$U$19,EN$12))),$I25,"")</f>
        <v/>
      </c>
      <c r="EO25" s="602" t="str">
        <f>IF(AND(EO$12&gt;=$E25,EO$12&lt;=$F25,MOD(EO$12,7)&gt;1,NOT(COUNTIF(General!$U$13:$U$19,EO$12))),$I25,"")</f>
        <v/>
      </c>
      <c r="EP25" s="602" t="str">
        <f>IF(AND(EP$12&gt;=$E25,EP$12&lt;=$F25,MOD(EP$12,7)&gt;1,NOT(COUNTIF(General!$U$13:$U$19,EP$12))),$I25,"")</f>
        <v/>
      </c>
      <c r="EQ25" s="602" t="str">
        <f>IF(AND(EQ$12&gt;=$E25,EQ$12&lt;=$F25,MOD(EQ$12,7)&gt;1,NOT(COUNTIF(General!$U$13:$U$19,EQ$12))),$I25,"")</f>
        <v/>
      </c>
      <c r="ER25" s="610" t="str">
        <f>IF(AND(ER$12&gt;=$E25,ER$12&lt;=$F25,MOD(ER$12,7)&gt;1,NOT(COUNTIF(General!$U$13:$U$19,ER$12))),$I25,"")</f>
        <v/>
      </c>
      <c r="ES25" s="610" t="str">
        <f>IF(AND(ES$12&gt;=$E25,ES$12&lt;=$F25,MOD(ES$12,7)&gt;1,NOT(COUNTIF(General!$U$13:$U$19,ES$12))),$I25,"")</f>
        <v/>
      </c>
      <c r="ET25" s="602" t="str">
        <f>IF(AND(ET$12&gt;=$E25,ET$12&lt;=$F25,MOD(ET$12,7)&gt;1,NOT(COUNTIF(General!$U$13:$U$19,ET$12))),$I25,"")</f>
        <v/>
      </c>
      <c r="EU25" s="602" t="str">
        <f>IF(AND(EU$12&gt;=$E25,EU$12&lt;=$F25,MOD(EU$12,7)&gt;1,NOT(COUNTIF(General!$U$13:$U$19,EU$12))),$I25,"")</f>
        <v/>
      </c>
      <c r="EV25" s="602" t="str">
        <f>IF(AND(EV$12&gt;=$E25,EV$12&lt;=$F25,MOD(EV$12,7)&gt;1,NOT(COUNTIF(General!$U$13:$U$19,EV$12))),$I25,"")</f>
        <v/>
      </c>
      <c r="EW25" s="602" t="str">
        <f>IF(AND(EW$12&gt;=$E25,EW$12&lt;=$F25,MOD(EW$12,7)&gt;1,NOT(COUNTIF(General!$U$13:$U$19,EW$12))),$I25,"")</f>
        <v/>
      </c>
      <c r="EX25" s="602" t="str">
        <f>IF(AND(EX$12&gt;=$E25,EX$12&lt;=$F25,MOD(EX$12,7)&gt;1,NOT(COUNTIF(General!$U$13:$U$19,EX$12))),$I25,"")</f>
        <v/>
      </c>
      <c r="EY25" s="610" t="str">
        <f>IF(AND(EY$12&gt;=$E25,EY$12&lt;=$F25,MOD(EY$12,7)&gt;1,NOT(COUNTIF(General!$U$13:$U$19,EY$12))),$I25,"")</f>
        <v/>
      </c>
      <c r="EZ25" s="610" t="str">
        <f>IF(AND(EZ$12&gt;=$E25,EZ$12&lt;=$F25,MOD(EZ$12,7)&gt;1,NOT(COUNTIF(General!$U$13:$U$19,EZ$12))),$I25,"")</f>
        <v/>
      </c>
      <c r="FA25" s="602" t="str">
        <f>IF(AND(FA$12&gt;=$E25,FA$12&lt;=$F25,MOD(FA$12,7)&gt;1,NOT(COUNTIF(General!$U$13:$U$19,FA$12))),$I25,"")</f>
        <v/>
      </c>
      <c r="FB25" s="602" t="str">
        <f>IF(AND(FB$12&gt;=$E25,FB$12&lt;=$F25,MOD(FB$12,7)&gt;1,NOT(COUNTIF(General!$U$13:$U$19,FB$12))),$I25,"")</f>
        <v/>
      </c>
      <c r="FC25" s="602" t="str">
        <f>IF(AND(FC$12&gt;=$E25,FC$12&lt;=$F25,MOD(FC$12,7)&gt;1,NOT(COUNTIF(General!$U$13:$U$19,FC$12))),$I25,"")</f>
        <v/>
      </c>
      <c r="FD25" s="602" t="str">
        <f>IF(AND(FD$12&gt;=$E25,FD$12&lt;=$F25,MOD(FD$12,7)&gt;1,NOT(COUNTIF(General!$U$13:$U$19,FD$12))),$I25,"")</f>
        <v/>
      </c>
      <c r="FE25" s="602" t="str">
        <f>IF(AND(FE$12&gt;=$E25,FE$12&lt;=$F25,MOD(FE$12,7)&gt;1,NOT(COUNTIF(General!$U$13:$U$19,FE$12))),$I25,"")</f>
        <v/>
      </c>
      <c r="FF25" s="610" t="str">
        <f>IF(AND(FF$12&gt;=$E25,FF$12&lt;=$F25,MOD(FF$12,7)&gt;1,NOT(COUNTIF(General!$U$13:$U$19,FF$12))),$I25,"")</f>
        <v/>
      </c>
      <c r="FG25" s="610" t="str">
        <f>IF(AND(FG$12&gt;=$E25,FG$12&lt;=$F25,MOD(FG$12,7)&gt;1,NOT(COUNTIF(General!$U$13:$U$19,FG$12))),$I25,"")</f>
        <v/>
      </c>
      <c r="FH25" s="602" t="str">
        <f>IF(AND(FH$12&gt;=$E25,FH$12&lt;=$F25,MOD(FH$12,7)&gt;1,NOT(COUNTIF(General!$U$13:$U$19,FH$12))),$I25,"")</f>
        <v/>
      </c>
      <c r="FI25" s="602" t="str">
        <f>IF(AND(FI$12&gt;=$E25,FI$12&lt;=$F25,MOD(FI$12,7)&gt;1,NOT(COUNTIF(General!$U$13:$U$19,FI$12))),$I25,"")</f>
        <v/>
      </c>
      <c r="FJ25" s="602" t="str">
        <f>IF(AND(FJ$12&gt;=$E25,FJ$12&lt;=$F25,MOD(FJ$12,7)&gt;1,NOT(COUNTIF(General!$U$13:$U$19,FJ$12))),$I25,"")</f>
        <v/>
      </c>
      <c r="FK25" s="602" t="str">
        <f>IF(AND(FK$12&gt;=$E25,FK$12&lt;=$F25,MOD(FK$12,7)&gt;1,NOT(COUNTIF(General!$U$13:$U$19,FK$12))),$I25,"")</f>
        <v/>
      </c>
      <c r="FL25" s="602" t="str">
        <f>IF(AND(FL$12&gt;=$E25,FL$12&lt;=$F25,MOD(FL$12,7)&gt;1,NOT(COUNTIF(General!$U$13:$U$19,FL$12))),$I25,"")</f>
        <v/>
      </c>
      <c r="FM25" s="610" t="str">
        <f>IF(AND(FM$12&gt;=$E25,FM$12&lt;=$F25,MOD(FM$12,7)&gt;1,NOT(COUNTIF(General!$U$13:$U$19,FM$12))),$I25,"")</f>
        <v/>
      </c>
      <c r="FN25" s="610" t="str">
        <f>IF(AND(FN$12&gt;=$E25,FN$12&lt;=$F25,MOD(FN$12,7)&gt;1,NOT(COUNTIF(General!$U$13:$U$19,FN$12))),$I25,"")</f>
        <v/>
      </c>
      <c r="FO25" s="602" t="str">
        <f>IF(AND(FO$12&gt;=$E25,FO$12&lt;=$F25,MOD(FO$12,7)&gt;1,NOT(COUNTIF(General!$U$13:$U$19,FO$12))),$I25,"")</f>
        <v/>
      </c>
      <c r="FP25" s="602" t="str">
        <f>IF(AND(FP$12&gt;=$E25,FP$12&lt;=$F25,MOD(FP$12,7)&gt;1,NOT(COUNTIF(General!$U$13:$U$19,FP$12))),$I25,"")</f>
        <v/>
      </c>
      <c r="FQ25" s="602" t="str">
        <f>IF(AND(FQ$12&gt;=$E25,FQ$12&lt;=$F25,MOD(FQ$12,7)&gt;1,NOT(COUNTIF(General!$U$13:$U$19,FQ$12))),$I25,"")</f>
        <v/>
      </c>
      <c r="FR25" s="602" t="str">
        <f>IF(AND(FR$12&gt;=$E25,FR$12&lt;=$F25,MOD(FR$12,7)&gt;1,NOT(COUNTIF(General!$U$13:$U$19,FR$12))),$I25,"")</f>
        <v/>
      </c>
      <c r="FS25" s="602" t="str">
        <f>IF(AND(FS$12&gt;=$E25,FS$12&lt;=$F25,MOD(FS$12,7)&gt;1,NOT(COUNTIF(General!$U$13:$U$19,FS$12))),$I25,"")</f>
        <v/>
      </c>
      <c r="FT25" s="610" t="str">
        <f>IF(AND(FT$12&gt;=$E25,FT$12&lt;=$F25,MOD(FT$12,7)&gt;1,NOT(COUNTIF(General!$U$13:$U$19,FT$12))),$I25,"")</f>
        <v/>
      </c>
      <c r="FU25" s="610" t="str">
        <f>IF(AND(FU$12&gt;=$E25,FU$12&lt;=$F25,MOD(FU$12,7)&gt;1,NOT(COUNTIF(General!$U$13:$U$19,FU$12))),$I25,"")</f>
        <v/>
      </c>
      <c r="FV25" s="602" t="str">
        <f>IF(AND(FV$12&gt;=$E25,FV$12&lt;=$F25,MOD(FV$12,7)&gt;1,NOT(COUNTIF(General!$U$13:$U$19,FV$12))),$I25,"")</f>
        <v/>
      </c>
      <c r="FW25" s="602" t="str">
        <f>IF(AND(FW$12&gt;=$E25,FW$12&lt;=$F25,MOD(FW$12,7)&gt;1,NOT(COUNTIF(General!$U$13:$U$19,FW$12))),$I25,"")</f>
        <v/>
      </c>
      <c r="FX25" s="602" t="str">
        <f>IF(AND(FX$12&gt;=$E25,FX$12&lt;=$F25,MOD(FX$12,7)&gt;1,NOT(COUNTIF(General!$U$13:$U$19,FX$12))),$I25,"")</f>
        <v/>
      </c>
    </row>
    <row r="26" ht="16.5" customHeight="1">
      <c r="A26" s="580">
        <v>389736.0</v>
      </c>
      <c r="B26" s="581" t="s">
        <v>578</v>
      </c>
      <c r="C26" s="582"/>
      <c r="D26" s="576" t="s">
        <v>574</v>
      </c>
      <c r="E26" s="599">
        <v>43810.0</v>
      </c>
      <c r="F26" s="374">
        <f>WORKDAY(E26,ROUNDUP(G26/I26,0),General!$U$13:$U$27)-1</f>
        <v>43811</v>
      </c>
      <c r="G26" s="584">
        <v>2.0</v>
      </c>
      <c r="H26" s="585"/>
      <c r="I26" s="379">
        <v>1.0</v>
      </c>
      <c r="J26" s="587"/>
      <c r="K26" s="588"/>
      <c r="L26" s="588"/>
      <c r="M26" s="589"/>
      <c r="N26" s="590"/>
      <c r="O26" s="591"/>
      <c r="P26" s="592"/>
      <c r="Q26" s="582" t="str">
        <f>IF(AND(Q$12&gt;=$E26,Q$12&lt;=$F26,MOD(Q$12,7)&gt;1,NOT(COUNTIF(General!$U$13:$U$19,Q$12))),$I26,"")</f>
        <v/>
      </c>
      <c r="R26" s="582" t="str">
        <f>IF(AND(R$12&gt;=$E26,R$12&lt;=$F26,MOD(R$12,7)&gt;1,NOT(COUNTIF(General!$U$13:$U$19,R$12))),$I26,"")</f>
        <v/>
      </c>
      <c r="S26" s="582" t="str">
        <f>IF(AND(S$12&gt;=$E26,S$12&lt;=$F26,MOD(S$12,7)&gt;1,NOT(COUNTIF(General!$U$13:$U$19,S$12))),$I26,"")</f>
        <v/>
      </c>
      <c r="T26" s="582" t="str">
        <f>IF(AND(T$12&gt;=$E26,T$12&lt;=$F26,MOD(T$12,7)&gt;1,NOT(COUNTIF(General!$U$13:$U$19,T$12))),$I26,"")</f>
        <v/>
      </c>
      <c r="U26" s="582" t="str">
        <f>IF(AND(U$12&gt;=$E26,U$12&lt;=$F26,MOD(U$12,7)&gt;1,NOT(COUNTIF(General!$U$13:$U$19,U$12))),$I26,"")</f>
        <v/>
      </c>
      <c r="V26" s="593" t="str">
        <f>IF(AND(V$12&gt;=$E26,V$12&lt;=$F26,MOD(V$12,7)&gt;1,NOT(COUNTIF(General!$U$13:$U$19,V$12))),$I26,"")</f>
        <v/>
      </c>
      <c r="W26" s="593" t="str">
        <f>IF(AND(W$12&gt;=$E26,W$12&lt;=$F26,MOD(W$12,7)&gt;1,NOT(COUNTIF(General!$U$13:$U$19,W$12))),$I26,"")</f>
        <v/>
      </c>
      <c r="X26" s="582" t="str">
        <f>IF(AND(X$12&gt;=$E26,X$12&lt;=$F26,MOD(X$12,7)&gt;1,NOT(COUNTIF(General!$U$13:$U$19,X$12))),$I26,"")</f>
        <v/>
      </c>
      <c r="Y26" s="582" t="str">
        <f>IF(AND(Y$12&gt;=$E26,Y$12&lt;=$F26,MOD(Y$12,7)&gt;1,NOT(COUNTIF(General!$U$13:$U$19,Y$12))),$I26,"")</f>
        <v/>
      </c>
      <c r="Z26" s="582">
        <f>IF(AND(Z$12&gt;=$E26,Z$12&lt;=$F26,MOD(Z$12,7)&gt;1,NOT(COUNTIF(General!$U$13:$U$19,Z$12))),$I26,"")</f>
        <v>1</v>
      </c>
      <c r="AA26" s="582">
        <f>IF(AND(AA$12&gt;=$E26,AA$12&lt;=$F26,MOD(AA$12,7)&gt;1,NOT(COUNTIF(General!$U$13:$U$19,AA$12))),$I26,"")</f>
        <v>1</v>
      </c>
      <c r="AB26" s="582" t="str">
        <f>IF(AND(AB$12&gt;=$E26,AB$12&lt;=$F26,MOD(AB$12,7)&gt;1,NOT(COUNTIF(General!$U$13:$U$19,AB$12))),$I26,"")</f>
        <v/>
      </c>
      <c r="AC26" s="582" t="str">
        <f>IF(AND(AC$12&gt;=$E26,AC$12&lt;=$F26,MOD(AC$12,7)&gt;1,NOT(COUNTIF(General!$U$13:$U$19,AC$12))),$I26,"")</f>
        <v/>
      </c>
      <c r="AD26" s="582" t="str">
        <f>IF(AND(AD$12&gt;=$E26,AD$12&lt;=$F26,MOD(AD$12,7)&gt;1,NOT(COUNTIF(General!$U$13:$U$19,AD$12))),$I26,"")</f>
        <v/>
      </c>
      <c r="AE26" s="582" t="str">
        <f>IF(AND(AE$12&gt;=$E26,AE$12&lt;=$F26,MOD(AE$12,7)&gt;1,NOT(COUNTIF(General!$U$13:$U$19,AE$12))),$I26,"")</f>
        <v/>
      </c>
      <c r="AF26" s="582" t="str">
        <f>IF(AND(AF$12&gt;=$E26,AF$12&lt;=$F26,MOD(AF$12,7)&gt;1,NOT(COUNTIF(General!$U$13:$U$19,AF$12))),$I26,"")</f>
        <v/>
      </c>
      <c r="AG26" s="582" t="str">
        <f>IF(AND(AG$12&gt;=$E26,AG$12&lt;=$F26,MOD(AG$12,7)&gt;1,NOT(COUNTIF(General!$U$13:$U$19,AG$12))),$I26,"")</f>
        <v/>
      </c>
      <c r="AH26" s="582" t="str">
        <f>IF(AND(AH$12&gt;=$E26,AH$12&lt;=$F26,MOD(AH$12,7)&gt;1,NOT(COUNTIF(General!$U$13:$U$19,AH$12))),$I26,"")</f>
        <v/>
      </c>
      <c r="AI26" s="582" t="str">
        <f>IF(AND(AI$12&gt;=$E26,AI$12&lt;=$F26,MOD(AI$12,7)&gt;1,NOT(COUNTIF(General!$U$13:$U$19,AI$12))),$I26,"")</f>
        <v/>
      </c>
      <c r="AJ26" s="593" t="str">
        <f>IF(AND(AJ$12&gt;=$E26,AJ$12&lt;=$F26,MOD(AJ$12,7)&gt;1,NOT(COUNTIF(General!$U$13:$U$19,AJ$12))),$I26,"")</f>
        <v/>
      </c>
      <c r="AK26" s="593" t="str">
        <f>IF(AND(AK$12&gt;=$E26,AK$12&lt;=$F26,MOD(AK$12,7)&gt;1,NOT(COUNTIF(General!$U$13:$U$19,AK$12))),$I26,"")</f>
        <v/>
      </c>
      <c r="AL26" s="582" t="str">
        <f>IF(AND(AL$12&gt;=$E26,AL$12&lt;=$F26,MOD(AL$12,7)&gt;1,NOT(COUNTIF(General!$U$13:$U$19,AL$12))),$I26,"")</f>
        <v/>
      </c>
      <c r="AM26" s="582" t="str">
        <f>IF(AND(AM$12&gt;=$E26,AM$12&lt;=$F26,MOD(AM$12,7)&gt;1,NOT(COUNTIF(General!$U$13:$U$19,AM$12))),$I26,"")</f>
        <v/>
      </c>
      <c r="AN26" s="582" t="str">
        <f>IF(AND(AN$12&gt;=$E26,AN$12&lt;=$F26,MOD(AN$12,7)&gt;1,NOT(COUNTIF(General!$U$13:$U$19,AN$12))),$I26,"")</f>
        <v/>
      </c>
      <c r="AO26" s="582" t="str">
        <f>IF(AND(AO$12&gt;=$E26,AO$12&lt;=$F26,MOD(AO$12,7)&gt;1,NOT(COUNTIF(General!$U$13:$U$19,AO$12))),$I26,"")</f>
        <v/>
      </c>
      <c r="AP26" s="582" t="str">
        <f>IF(AND(AP$12&gt;=$E26,AP$12&lt;=$F26,MOD(AP$12,7)&gt;1,NOT(COUNTIF(General!$U$13:$U$19,AP$12))),$I26,"")</f>
        <v/>
      </c>
      <c r="AQ26" s="593" t="str">
        <f>IF(AND(AQ$12&gt;=$E26,AQ$12&lt;=$F26,MOD(AQ$12,7)&gt;1,NOT(COUNTIF(General!$U$13:$U$19,AQ$12))),$I26,"")</f>
        <v/>
      </c>
      <c r="AR26" s="593" t="str">
        <f>IF(AND(AR$12&gt;=$E26,AR$12&lt;=$F26,MOD(AR$12,7)&gt;1,NOT(COUNTIF(General!$U$13:$U$19,AR$12))),$I26,"")</f>
        <v/>
      </c>
      <c r="AS26" s="582" t="str">
        <f>IF(AND(AS$12&gt;=$E26,AS$12&lt;=$F26,MOD(AS$12,7)&gt;1,NOT(COUNTIF(General!$U$13:$U$19,AS$12))),$I26,"")</f>
        <v/>
      </c>
      <c r="AT26" s="582" t="str">
        <f>IF(AND(AT$12&gt;=$E26,AT$12&lt;=$F26,MOD(AT$12,7)&gt;1,NOT(COUNTIF(General!$U$13:$U$19,AT$12))),$I26,"")</f>
        <v/>
      </c>
      <c r="AU26" s="582" t="str">
        <f>IF(AND(AU$12&gt;=$E26,AU$12&lt;=$F26,MOD(AU$12,7)&gt;1,NOT(COUNTIF(General!$U$13:$U$19,AU$12))),$I26,"")</f>
        <v/>
      </c>
      <c r="AV26" s="582" t="str">
        <f>IF(AND(AV$12&gt;=$E26,AV$12&lt;=$F26,MOD(AV$12,7)&gt;1,NOT(COUNTIF(General!$U$13:$U$19,AV$12))),$I26,"")</f>
        <v/>
      </c>
      <c r="AW26" s="582" t="str">
        <f>IF(AND(AW$12&gt;=$E26,AW$12&lt;=$F26,MOD(AW$12,7)&gt;1,NOT(COUNTIF(General!$U$13:$U$19,AW$12))),$I26,"")</f>
        <v/>
      </c>
      <c r="AX26" s="593" t="str">
        <f>IF(AND(AX$12&gt;=$E26,AX$12&lt;=$F26,MOD(AX$12,7)&gt;1,NOT(COUNTIF(General!$U$13:$U$19,AX$12))),$I26,"")</f>
        <v/>
      </c>
      <c r="AY26" s="593" t="str">
        <f>IF(AND(AY$12&gt;=$E26,AY$12&lt;=$F26,MOD(AY$12,7)&gt;1,NOT(COUNTIF(General!$U$13:$U$19,AY$12))),$I26,"")</f>
        <v/>
      </c>
      <c r="AZ26" s="582" t="str">
        <f>IF(AND(AZ$12&gt;=$E26,AZ$12&lt;=$F26,MOD(AZ$12,7)&gt;1,NOT(COUNTIF(General!$U$13:$U$19,AZ$12))),$I26,"")</f>
        <v/>
      </c>
      <c r="BA26" s="582" t="str">
        <f>IF(AND(BA$12&gt;=$E26,BA$12&lt;=$F26,MOD(BA$12,7)&gt;1,NOT(COUNTIF(General!$U$13:$U$19,BA$12))),$I26,"")</f>
        <v/>
      </c>
      <c r="BB26" s="582" t="str">
        <f>IF(AND(BB$12&gt;=$E26,BB$12&lt;=$F26,MOD(BB$12,7)&gt;1,NOT(COUNTIF(General!$U$13:$U$19,BB$12))),$I26,"")</f>
        <v/>
      </c>
      <c r="BC26" s="582" t="str">
        <f>IF(AND(BC$12&gt;=$E26,BC$12&lt;=$F26,MOD(BC$12,7)&gt;1,NOT(COUNTIF(General!$U$13:$U$19,BC$12))),$I26,"")</f>
        <v/>
      </c>
      <c r="BD26" s="582" t="str">
        <f>IF(AND(BD$12&gt;=$E26,BD$12&lt;=$F26,MOD(BD$12,7)&gt;1,NOT(COUNTIF(General!$U$13:$U$19,BD$12))),$I26,"")</f>
        <v/>
      </c>
      <c r="BE26" s="593" t="str">
        <f>IF(AND(BE$12&gt;=$E26,BE$12&lt;=$F26,MOD(BE$12,7)&gt;1,NOT(COUNTIF(General!$U$13:$U$19,BE$12))),$I26,"")</f>
        <v/>
      </c>
      <c r="BF26" s="593" t="str">
        <f>IF(AND(BF$12&gt;=$E26,BF$12&lt;=$F26,MOD(BF$12,7)&gt;1,NOT(COUNTIF(General!$U$13:$U$19,BF$12))),$I26,"")</f>
        <v/>
      </c>
      <c r="BG26" s="582" t="str">
        <f>IF(AND(BG$12&gt;=$E26,BG$12&lt;=$F26,MOD(BG$12,7)&gt;1,NOT(COUNTIF(General!$U$13:$U$19,BG$12))),$I26,"")</f>
        <v/>
      </c>
      <c r="BH26" s="582" t="str">
        <f>IF(AND(BH$12&gt;=$E26,BH$12&lt;=$F26,MOD(BH$12,7)&gt;1,NOT(COUNTIF(General!$U$13:$U$19,BH$12))),$I26,"")</f>
        <v/>
      </c>
      <c r="BI26" s="582" t="str">
        <f>IF(AND(BI$12&gt;=$E26,BI$12&lt;=$F26,MOD(BI$12,7)&gt;1,NOT(COUNTIF(General!$U$13:$U$19,BI$12))),$I26,"")</f>
        <v/>
      </c>
      <c r="BJ26" s="582" t="str">
        <f>IF(AND(BJ$12&gt;=$E26,BJ$12&lt;=$F26,MOD(BJ$12,7)&gt;1,NOT(COUNTIF(General!$U$13:$U$19,BJ$12))),$I26,"")</f>
        <v/>
      </c>
      <c r="BK26" s="582" t="str">
        <f>IF(AND(BK$12&gt;=$E26,BK$12&lt;=$F26,MOD(BK$12,7)&gt;1,NOT(COUNTIF(General!$U$13:$U$19,BK$12))),$I26,"")</f>
        <v/>
      </c>
      <c r="BL26" s="593" t="str">
        <f>IF(AND(BL$12&gt;=$E26,BL$12&lt;=$F26,MOD(BL$12,7)&gt;1,NOT(COUNTIF(General!$U$13:$U$19,BL$12))),$I26,"")</f>
        <v/>
      </c>
      <c r="BM26" s="593" t="str">
        <f>IF(AND(BM$12&gt;=$E26,BM$12&lt;=$F26,MOD(BM$12,7)&gt;1,NOT(COUNTIF(General!$U$13:$U$19,BM$12))),$I26,"")</f>
        <v/>
      </c>
      <c r="BN26" s="582" t="str">
        <f>IF(AND(BN$12&gt;=$E26,BN$12&lt;=$F26,MOD(BN$12,7)&gt;1,NOT(COUNTIF(General!$U$13:$U$19,BN$12))),$I26,"")</f>
        <v/>
      </c>
      <c r="BO26" s="582" t="str">
        <f>IF(AND(BO$12&gt;=$E26,BO$12&lt;=$F26,MOD(BO$12,7)&gt;1,NOT(COUNTIF(General!$U$13:$U$19,BO$12))),$I26,"")</f>
        <v/>
      </c>
      <c r="BP26" s="582" t="str">
        <f>IF(AND(BP$12&gt;=$E26,BP$12&lt;=$F26,MOD(BP$12,7)&gt;1,NOT(COUNTIF(General!$U$13:$U$19,BP$12))),$I26,"")</f>
        <v/>
      </c>
      <c r="BQ26" s="582" t="str">
        <f>IF(AND(BQ$12&gt;=$E26,BQ$12&lt;=$F26,MOD(BQ$12,7)&gt;1,NOT(COUNTIF(General!$U$13:$U$19,BQ$12))),$I26,"")</f>
        <v/>
      </c>
      <c r="BR26" s="582" t="str">
        <f>IF(AND(BR$12&gt;=$E26,BR$12&lt;=$F26,MOD(BR$12,7)&gt;1,NOT(COUNTIF(General!$U$13:$U$19,BR$12))),$I26,"")</f>
        <v/>
      </c>
      <c r="BS26" s="593" t="str">
        <f>IF(AND(BS$12&gt;=$E26,BS$12&lt;=$F26,MOD(BS$12,7)&gt;1,NOT(COUNTIF(General!$U$13:$U$19,BS$12))),$I26,"")</f>
        <v/>
      </c>
      <c r="BT26" s="593" t="str">
        <f>IF(AND(BT$12&gt;=$E26,BT$12&lt;=$F26,MOD(BT$12,7)&gt;1,NOT(COUNTIF(General!$U$13:$U$19,BT$12))),$I26,"")</f>
        <v/>
      </c>
      <c r="BU26" s="582" t="str">
        <f>IF(AND(BU$12&gt;=$E26,BU$12&lt;=$F26,MOD(BU$12,7)&gt;1,NOT(COUNTIF(General!$U$13:$U$19,BU$12))),$I26,"")</f>
        <v/>
      </c>
      <c r="BV26" s="582" t="str">
        <f>IF(AND(BV$12&gt;=$E26,BV$12&lt;=$F26,MOD(BV$12,7)&gt;1,NOT(COUNTIF(General!$U$13:$U$19,BV$12))),$I26,"")</f>
        <v/>
      </c>
      <c r="BW26" s="582" t="str">
        <f>IF(AND(BW$12&gt;=$E26,BW$12&lt;=$F26,MOD(BW$12,7)&gt;1,NOT(COUNTIF(General!$U$13:$U$19,BW$12))),$I26,"")</f>
        <v/>
      </c>
      <c r="BX26" s="582" t="str">
        <f>IF(AND(BX$12&gt;=$E26,BX$12&lt;=$F26,MOD(BX$12,7)&gt;1,NOT(COUNTIF(General!$U$13:$U$19,BX$12))),$I26,"")</f>
        <v/>
      </c>
      <c r="BY26" s="582" t="str">
        <f>IF(AND(BY$12&gt;=$E26,BY$12&lt;=$F26,MOD(BY$12,7)&gt;1,NOT(COUNTIF(General!$U$13:$U$19,BY$12))),$I26,"")</f>
        <v/>
      </c>
      <c r="BZ26" s="593" t="str">
        <f>IF(AND(BZ$12&gt;=$E26,BZ$12&lt;=$F26,MOD(BZ$12,7)&gt;1,NOT(COUNTIF(General!$U$13:$U$19,BZ$12))),$I26,"")</f>
        <v/>
      </c>
      <c r="CA26" s="593" t="str">
        <f>IF(AND(CA$12&gt;=$E26,CA$12&lt;=$F26,MOD(CA$12,7)&gt;1,NOT(COUNTIF(General!$U$13:$U$19,CA$12))),$I26,"")</f>
        <v/>
      </c>
      <c r="CB26" s="582" t="str">
        <f>IF(AND(CB$12&gt;=$E26,CB$12&lt;=$F26,MOD(CB$12,7)&gt;1,NOT(COUNTIF(General!$U$13:$U$19,CB$12))),$I26,"")</f>
        <v/>
      </c>
      <c r="CC26" s="582" t="str">
        <f>IF(AND(CC$12&gt;=$E26,CC$12&lt;=$F26,MOD(CC$12,7)&gt;1,NOT(COUNTIF(General!$U$13:$U$19,CC$12))),$I26,"")</f>
        <v/>
      </c>
      <c r="CD26" s="582" t="str">
        <f>IF(AND(CD$12&gt;=$E26,CD$12&lt;=$F26,MOD(CD$12,7)&gt;1,NOT(COUNTIF(General!$U$13:$U$19,CD$12))),$I26,"")</f>
        <v/>
      </c>
      <c r="CE26" s="582" t="str">
        <f>IF(AND(CE$12&gt;=$E26,CE$12&lt;=$F26,MOD(CE$12,7)&gt;1,NOT(COUNTIF(General!$U$13:$U$19,CE$12))),$I26,"")</f>
        <v/>
      </c>
      <c r="CF26" s="582" t="str">
        <f>IF(AND(CF$12&gt;=$E26,CF$12&lt;=$F26,MOD(CF$12,7)&gt;1,NOT(COUNTIF(General!$U$13:$U$19,CF$12))),$I26,"")</f>
        <v/>
      </c>
      <c r="CG26" s="593" t="str">
        <f>IF(AND(CG$12&gt;=$E26,CG$12&lt;=$F26,MOD(CG$12,7)&gt;1,NOT(COUNTIF(General!$U$13:$U$19,CG$12))),$I26,"")</f>
        <v/>
      </c>
      <c r="CH26" s="593" t="str">
        <f>IF(AND(CH$12&gt;=$E26,CH$12&lt;=$F26,MOD(CH$12,7)&gt;1,NOT(COUNTIF(General!$U$13:$U$19,CH$12))),$I26,"")</f>
        <v/>
      </c>
      <c r="CI26" s="582" t="str">
        <f>IF(AND(CI$12&gt;=$E26,CI$12&lt;=$F26,MOD(CI$12,7)&gt;1,NOT(COUNTIF(General!$U$13:$U$19,CI$12))),$I26,"")</f>
        <v/>
      </c>
      <c r="CJ26" s="582" t="str">
        <f>IF(AND(CJ$12&gt;=$E26,CJ$12&lt;=$F26,MOD(CJ$12,7)&gt;1,NOT(COUNTIF(General!$U$13:$U$19,CJ$12))),$I26,"")</f>
        <v/>
      </c>
      <c r="CK26" s="582" t="str">
        <f>IF(AND(CK$12&gt;=$E26,CK$12&lt;=$F26,MOD(CK$12,7)&gt;1,NOT(COUNTIF(General!$U$13:$U$19,CK$12))),$I26,"")</f>
        <v/>
      </c>
      <c r="CL26" s="582" t="str">
        <f>IF(AND(CL$12&gt;=$E26,CL$12&lt;=$F26,MOD(CL$12,7)&gt;1,NOT(COUNTIF(General!$U$13:$U$19,CL$12))),$I26,"")</f>
        <v/>
      </c>
      <c r="CM26" s="582" t="str">
        <f>IF(AND(CM$12&gt;=$E26,CM$12&lt;=$F26,MOD(CM$12,7)&gt;1,NOT(COUNTIF(General!$U$13:$U$19,CM$12))),$I26,"")</f>
        <v/>
      </c>
      <c r="CN26" s="593" t="str">
        <f>IF(AND(CN$12&gt;=$E26,CN$12&lt;=$F26,MOD(CN$12,7)&gt;1,NOT(COUNTIF(General!$U$13:$U$19,CN$12))),$I26,"")</f>
        <v/>
      </c>
      <c r="CO26" s="593" t="str">
        <f>IF(AND(CO$12&gt;=$E26,CO$12&lt;=$F26,MOD(CO$12,7)&gt;1,NOT(COUNTIF(General!$U$13:$U$19,CO$12))),$I26,"")</f>
        <v/>
      </c>
      <c r="CP26" s="582" t="str">
        <f>IF(AND(CP$12&gt;=$E26,CP$12&lt;=$F26,MOD(CP$12,7)&gt;1,NOT(COUNTIF(General!$U$13:$U$19,CP$12))),$I26,"")</f>
        <v/>
      </c>
      <c r="CQ26" s="582" t="str">
        <f>IF(AND(CQ$12&gt;=$E26,CQ$12&lt;=$F26,MOD(CQ$12,7)&gt;1,NOT(COUNTIF(General!$U$13:$U$19,CQ$12))),$I26,"")</f>
        <v/>
      </c>
      <c r="CR26" s="582" t="str">
        <f>IF(AND(CR$12&gt;=$E26,CR$12&lt;=$F26,MOD(CR$12,7)&gt;1,NOT(COUNTIF(General!$U$13:$U$19,CR$12))),$I26,"")</f>
        <v/>
      </c>
      <c r="CS26" s="582" t="str">
        <f>IF(AND(CS$12&gt;=$E26,CS$12&lt;=$F26,MOD(CS$12,7)&gt;1,NOT(COUNTIF(General!$U$13:$U$19,CS$12))),$I26,"")</f>
        <v/>
      </c>
      <c r="CT26" s="582" t="str">
        <f>IF(AND(CT$12&gt;=$E26,CT$12&lt;=$F26,MOD(CT$12,7)&gt;1,NOT(COUNTIF(General!$U$13:$U$19,CT$12))),$I26,"")</f>
        <v/>
      </c>
      <c r="CU26" s="593" t="str">
        <f>IF(AND(CU$12&gt;=$E26,CU$12&lt;=$F26,MOD(CU$12,7)&gt;1,NOT(COUNTIF(General!$U$13:$U$19,CU$12))),$I26,"")</f>
        <v/>
      </c>
      <c r="CV26" s="593" t="str">
        <f>IF(AND(CV$12&gt;=$E26,CV$12&lt;=$F26,MOD(CV$12,7)&gt;1,NOT(COUNTIF(General!$U$13:$U$19,CV$12))),$I26,"")</f>
        <v/>
      </c>
      <c r="CW26" s="582" t="str">
        <f>IF(AND(CW$12&gt;=$E26,CW$12&lt;=$F26,MOD(CW$12,7)&gt;1,NOT(COUNTIF(General!$U$13:$U$19,CW$12))),$I26,"")</f>
        <v/>
      </c>
      <c r="CX26" s="582" t="str">
        <f>IF(AND(CX$12&gt;=$E26,CX$12&lt;=$F26,MOD(CX$12,7)&gt;1,NOT(COUNTIF(General!$U$13:$U$19,CX$12))),$I26,"")</f>
        <v/>
      </c>
      <c r="CY26" s="582" t="str">
        <f>IF(AND(CY$12&gt;=$E26,CY$12&lt;=$F26,MOD(CY$12,7)&gt;1,NOT(COUNTIF(General!$U$13:$U$19,CY$12))),$I26,"")</f>
        <v/>
      </c>
      <c r="CZ26" s="582" t="str">
        <f>IF(AND(CZ$12&gt;=$E26,CZ$12&lt;=$F26,MOD(CZ$12,7)&gt;1,NOT(COUNTIF(General!$U$13:$U$19,CZ$12))),$I26,"")</f>
        <v/>
      </c>
      <c r="DA26" s="582" t="str">
        <f>IF(AND(DA$12&gt;=$E26,DA$12&lt;=$F26,MOD(DA$12,7)&gt;1,NOT(COUNTIF(General!$U$13:$U$19,DA$12))),$I26,"")</f>
        <v/>
      </c>
      <c r="DB26" s="593" t="str">
        <f>IF(AND(DB$12&gt;=$E26,DB$12&lt;=$F26,MOD(DB$12,7)&gt;1,NOT(COUNTIF(General!$U$13:$U$19,DB$12))),$I26,"")</f>
        <v/>
      </c>
      <c r="DC26" s="593" t="str">
        <f>IF(AND(DC$12&gt;=$E26,DC$12&lt;=$F26,MOD(DC$12,7)&gt;1,NOT(COUNTIF(General!$U$13:$U$19,DC$12))),$I26,"")</f>
        <v/>
      </c>
      <c r="DD26" s="582" t="str">
        <f>IF(AND(DD$12&gt;=$E26,DD$12&lt;=$F26,MOD(DD$12,7)&gt;1,NOT(COUNTIF(General!$U$13:$U$19,DD$12))),$I26,"")</f>
        <v/>
      </c>
      <c r="DE26" s="582" t="str">
        <f>IF(AND(DE$12&gt;=$E26,DE$12&lt;=$F26,MOD(DE$12,7)&gt;1,NOT(COUNTIF(General!$U$13:$U$19,DE$12))),$I26,"")</f>
        <v/>
      </c>
      <c r="DF26" s="582" t="str">
        <f>IF(AND(DF$12&gt;=$E26,DF$12&lt;=$F26,MOD(DF$12,7)&gt;1,NOT(COUNTIF(General!$U$13:$U$19,DF$12))),$I26,"")</f>
        <v/>
      </c>
      <c r="DG26" s="582" t="str">
        <f>IF(AND(DG$12&gt;=$E26,DG$12&lt;=$F26,MOD(DG$12,7)&gt;1,NOT(COUNTIF(General!$U$13:$U$19,DG$12))),$I26,"")</f>
        <v/>
      </c>
      <c r="DH26" s="582" t="str">
        <f>IF(AND(DH$12&gt;=$E26,DH$12&lt;=$F26,MOD(DH$12,7)&gt;1,NOT(COUNTIF(General!$U$13:$U$19,DH$12))),$I26,"")</f>
        <v/>
      </c>
      <c r="DI26" s="593" t="str">
        <f>IF(AND(DI$12&gt;=$E26,DI$12&lt;=$F26,MOD(DI$12,7)&gt;1,NOT(COUNTIF(General!$U$13:$U$19,DI$12))),$I26,"")</f>
        <v/>
      </c>
      <c r="DJ26" s="593" t="str">
        <f>IF(AND(DJ$12&gt;=$E26,DJ$12&lt;=$F26,MOD(DJ$12,7)&gt;1,NOT(COUNTIF(General!$U$13:$U$19,DJ$12))),$I26,"")</f>
        <v/>
      </c>
      <c r="DK26" s="582" t="str">
        <f>IF(AND(DK$12&gt;=$E26,DK$12&lt;=$F26,MOD(DK$12,7)&gt;1,NOT(COUNTIF(General!$U$13:$U$19,DK$12))),$I26,"")</f>
        <v/>
      </c>
      <c r="DL26" s="582" t="str">
        <f>IF(AND(DL$12&gt;=$E26,DL$12&lt;=$F26,MOD(DL$12,7)&gt;1,NOT(COUNTIF(General!$U$13:$U$19,DL$12))),$I26,"")</f>
        <v/>
      </c>
      <c r="DM26" s="582" t="str">
        <f>IF(AND(DM$12&gt;=$E26,DM$12&lt;=$F26,MOD(DM$12,7)&gt;1,NOT(COUNTIF(General!$U$13:$U$19,DM$12))),$I26,"")</f>
        <v/>
      </c>
      <c r="DN26" s="582" t="str">
        <f>IF(AND(DN$12&gt;=$E26,DN$12&lt;=$F26,MOD(DN$12,7)&gt;1,NOT(COUNTIF(General!$U$13:$U$19,DN$12))),$I26,"")</f>
        <v/>
      </c>
      <c r="DO26" s="582" t="str">
        <f>IF(AND(DO$12&gt;=$E26,DO$12&lt;=$F26,MOD(DO$12,7)&gt;1,NOT(COUNTIF(General!$U$13:$U$19,DO$12))),$I26,"")</f>
        <v/>
      </c>
      <c r="DP26" s="593" t="str">
        <f>IF(AND(DP$12&gt;=$E26,DP$12&lt;=$F26,MOD(DP$12,7)&gt;1,NOT(COUNTIF(General!$U$13:$U$19,DP$12))),$I26,"")</f>
        <v/>
      </c>
      <c r="DQ26" s="593" t="str">
        <f>IF(AND(DQ$12&gt;=$E26,DQ$12&lt;=$F26,MOD(DQ$12,7)&gt;1,NOT(COUNTIF(General!$U$13:$U$19,DQ$12))),$I26,"")</f>
        <v/>
      </c>
      <c r="DR26" s="582" t="str">
        <f>IF(AND(DR$12&gt;=$E26,DR$12&lt;=$F26,MOD(DR$12,7)&gt;1,NOT(COUNTIF(General!$U$13:$U$19,DR$12))),$I26,"")</f>
        <v/>
      </c>
      <c r="DS26" s="582" t="str">
        <f>IF(AND(DS$12&gt;=$E26,DS$12&lt;=$F26,MOD(DS$12,7)&gt;1,NOT(COUNTIF(General!$U$13:$U$19,DS$12))),$I26,"")</f>
        <v/>
      </c>
      <c r="DT26" s="582" t="str">
        <f>IF(AND(DT$12&gt;=$E26,DT$12&lt;=$F26,MOD(DT$12,7)&gt;1,NOT(COUNTIF(General!$U$13:$U$19,DT$12))),$I26,"")</f>
        <v/>
      </c>
      <c r="DU26" s="582" t="str">
        <f>IF(AND(DU$12&gt;=$E26,DU$12&lt;=$F26,MOD(DU$12,7)&gt;1,NOT(COUNTIF(General!$U$13:$U$19,DU$12))),$I26,"")</f>
        <v/>
      </c>
      <c r="DV26" s="582" t="str">
        <f>IF(AND(DV$12&gt;=$E26,DV$12&lt;=$F26,MOD(DV$12,7)&gt;1,NOT(COUNTIF(General!$U$13:$U$19,DV$12))),$I26,"")</f>
        <v/>
      </c>
      <c r="DW26" s="593" t="str">
        <f>IF(AND(DW$12&gt;=$E26,DW$12&lt;=$F26,MOD(DW$12,7)&gt;1,NOT(COUNTIF(General!$U$13:$U$19,DW$12))),$I26,"")</f>
        <v/>
      </c>
      <c r="DX26" s="593" t="str">
        <f>IF(AND(DX$12&gt;=$E26,DX$12&lt;=$F26,MOD(DX$12,7)&gt;1,NOT(COUNTIF(General!$U$13:$U$19,DX$12))),$I26,"")</f>
        <v/>
      </c>
      <c r="DY26" s="582" t="str">
        <f>IF(AND(DY$12&gt;=$E26,DY$12&lt;=$F26,MOD(DY$12,7)&gt;1,NOT(COUNTIF(General!$U$13:$U$19,DY$12))),$I26,"")</f>
        <v/>
      </c>
      <c r="DZ26" s="582" t="str">
        <f>IF(AND(DZ$12&gt;=$E26,DZ$12&lt;=$F26,MOD(DZ$12,7)&gt;1,NOT(COUNTIF(General!$U$13:$U$19,DZ$12))),$I26,"")</f>
        <v/>
      </c>
      <c r="EA26" s="582" t="str">
        <f>IF(AND(EA$12&gt;=$E26,EA$12&lt;=$F26,MOD(EA$12,7)&gt;1,NOT(COUNTIF(General!$U$13:$U$19,EA$12))),$I26,"")</f>
        <v/>
      </c>
      <c r="EB26" s="582" t="str">
        <f>IF(AND(EB$12&gt;=$E26,EB$12&lt;=$F26,MOD(EB$12,7)&gt;1,NOT(COUNTIF(General!$U$13:$U$19,EB$12))),$I26,"")</f>
        <v/>
      </c>
      <c r="EC26" s="582" t="str">
        <f>IF(AND(EC$12&gt;=$E26,EC$12&lt;=$F26,MOD(EC$12,7)&gt;1,NOT(COUNTIF(General!$U$13:$U$19,EC$12))),$I26,"")</f>
        <v/>
      </c>
      <c r="ED26" s="593" t="str">
        <f>IF(AND(ED$12&gt;=$E26,ED$12&lt;=$F26,MOD(ED$12,7)&gt;1,NOT(COUNTIF(General!$U$13:$U$19,ED$12))),$I26,"")</f>
        <v/>
      </c>
      <c r="EE26" s="593" t="str">
        <f>IF(AND(EE$12&gt;=$E26,EE$12&lt;=$F26,MOD(EE$12,7)&gt;1,NOT(COUNTIF(General!$U$13:$U$19,EE$12))),$I26,"")</f>
        <v/>
      </c>
      <c r="EF26" s="582" t="str">
        <f>IF(AND(EF$12&gt;=$E26,EF$12&lt;=$F26,MOD(EF$12,7)&gt;1,NOT(COUNTIF(General!$U$13:$U$19,EF$12))),$I26,"")</f>
        <v/>
      </c>
      <c r="EG26" s="582" t="str">
        <f>IF(AND(EG$12&gt;=$E26,EG$12&lt;=$F26,MOD(EG$12,7)&gt;1,NOT(COUNTIF(General!$U$13:$U$19,EG$12))),$I26,"")</f>
        <v/>
      </c>
      <c r="EH26" s="582" t="str">
        <f>IF(AND(EH$12&gt;=$E26,EH$12&lt;=$F26,MOD(EH$12,7)&gt;1,NOT(COUNTIF(General!$U$13:$U$19,EH$12))),$I26,"")</f>
        <v/>
      </c>
      <c r="EI26" s="582" t="str">
        <f>IF(AND(EI$12&gt;=$E26,EI$12&lt;=$F26,MOD(EI$12,7)&gt;1,NOT(COUNTIF(General!$U$13:$U$19,EI$12))),$I26,"")</f>
        <v/>
      </c>
      <c r="EJ26" s="582" t="str">
        <f>IF(AND(EJ$12&gt;=$E26,EJ$12&lt;=$F26,MOD(EJ$12,7)&gt;1,NOT(COUNTIF(General!$U$13:$U$19,EJ$12))),$I26,"")</f>
        <v/>
      </c>
      <c r="EK26" s="593" t="str">
        <f>IF(AND(EK$12&gt;=$E26,EK$12&lt;=$F26,MOD(EK$12,7)&gt;1,NOT(COUNTIF(General!$U$13:$U$19,EK$12))),$I26,"")</f>
        <v/>
      </c>
      <c r="EL26" s="593" t="str">
        <f>IF(AND(EL$12&gt;=$E26,EL$12&lt;=$F26,MOD(EL$12,7)&gt;1,NOT(COUNTIF(General!$U$13:$U$19,EL$12))),$I26,"")</f>
        <v/>
      </c>
      <c r="EM26" s="582" t="str">
        <f>IF(AND(EM$12&gt;=$E26,EM$12&lt;=$F26,MOD(EM$12,7)&gt;1,NOT(COUNTIF(General!$U$13:$U$19,EM$12))),$I26,"")</f>
        <v/>
      </c>
      <c r="EN26" s="582" t="str">
        <f>IF(AND(EN$12&gt;=$E26,EN$12&lt;=$F26,MOD(EN$12,7)&gt;1,NOT(COUNTIF(General!$U$13:$U$19,EN$12))),$I26,"")</f>
        <v/>
      </c>
      <c r="EO26" s="582" t="str">
        <f>IF(AND(EO$12&gt;=$E26,EO$12&lt;=$F26,MOD(EO$12,7)&gt;1,NOT(COUNTIF(General!$U$13:$U$19,EO$12))),$I26,"")</f>
        <v/>
      </c>
      <c r="EP26" s="582" t="str">
        <f>IF(AND(EP$12&gt;=$E26,EP$12&lt;=$F26,MOD(EP$12,7)&gt;1,NOT(COUNTIF(General!$U$13:$U$19,EP$12))),$I26,"")</f>
        <v/>
      </c>
      <c r="EQ26" s="582" t="str">
        <f>IF(AND(EQ$12&gt;=$E26,EQ$12&lt;=$F26,MOD(EQ$12,7)&gt;1,NOT(COUNTIF(General!$U$13:$U$19,EQ$12))),$I26,"")</f>
        <v/>
      </c>
      <c r="ER26" s="593" t="str">
        <f>IF(AND(ER$12&gt;=$E26,ER$12&lt;=$F26,MOD(ER$12,7)&gt;1,NOT(COUNTIF(General!$U$13:$U$19,ER$12))),$I26,"")</f>
        <v/>
      </c>
      <c r="ES26" s="593" t="str">
        <f>IF(AND(ES$12&gt;=$E26,ES$12&lt;=$F26,MOD(ES$12,7)&gt;1,NOT(COUNTIF(General!$U$13:$U$19,ES$12))),$I26,"")</f>
        <v/>
      </c>
      <c r="ET26" s="582" t="str">
        <f>IF(AND(ET$12&gt;=$E26,ET$12&lt;=$F26,MOD(ET$12,7)&gt;1,NOT(COUNTIF(General!$U$13:$U$19,ET$12))),$I26,"")</f>
        <v/>
      </c>
      <c r="EU26" s="582" t="str">
        <f>IF(AND(EU$12&gt;=$E26,EU$12&lt;=$F26,MOD(EU$12,7)&gt;1,NOT(COUNTIF(General!$U$13:$U$19,EU$12))),$I26,"")</f>
        <v/>
      </c>
      <c r="EV26" s="582" t="str">
        <f>IF(AND(EV$12&gt;=$E26,EV$12&lt;=$F26,MOD(EV$12,7)&gt;1,NOT(COUNTIF(General!$U$13:$U$19,EV$12))),$I26,"")</f>
        <v/>
      </c>
      <c r="EW26" s="582" t="str">
        <f>IF(AND(EW$12&gt;=$E26,EW$12&lt;=$F26,MOD(EW$12,7)&gt;1,NOT(COUNTIF(General!$U$13:$U$19,EW$12))),$I26,"")</f>
        <v/>
      </c>
      <c r="EX26" s="582" t="str">
        <f>IF(AND(EX$12&gt;=$E26,EX$12&lt;=$F26,MOD(EX$12,7)&gt;1,NOT(COUNTIF(General!$U$13:$U$19,EX$12))),$I26,"")</f>
        <v/>
      </c>
      <c r="EY26" s="593" t="str">
        <f>IF(AND(EY$12&gt;=$E26,EY$12&lt;=$F26,MOD(EY$12,7)&gt;1,NOT(COUNTIF(General!$U$13:$U$19,EY$12))),$I26,"")</f>
        <v/>
      </c>
      <c r="EZ26" s="593" t="str">
        <f>IF(AND(EZ$12&gt;=$E26,EZ$12&lt;=$F26,MOD(EZ$12,7)&gt;1,NOT(COUNTIF(General!$U$13:$U$19,EZ$12))),$I26,"")</f>
        <v/>
      </c>
      <c r="FA26" s="582" t="str">
        <f>IF(AND(FA$12&gt;=$E26,FA$12&lt;=$F26,MOD(FA$12,7)&gt;1,NOT(COUNTIF(General!$U$13:$U$19,FA$12))),$I26,"")</f>
        <v/>
      </c>
      <c r="FB26" s="582" t="str">
        <f>IF(AND(FB$12&gt;=$E26,FB$12&lt;=$F26,MOD(FB$12,7)&gt;1,NOT(COUNTIF(General!$U$13:$U$19,FB$12))),$I26,"")</f>
        <v/>
      </c>
      <c r="FC26" s="582" t="str">
        <f>IF(AND(FC$12&gt;=$E26,FC$12&lt;=$F26,MOD(FC$12,7)&gt;1,NOT(COUNTIF(General!$U$13:$U$19,FC$12))),$I26,"")</f>
        <v/>
      </c>
      <c r="FD26" s="582" t="str">
        <f>IF(AND(FD$12&gt;=$E26,FD$12&lt;=$F26,MOD(FD$12,7)&gt;1,NOT(COUNTIF(General!$U$13:$U$19,FD$12))),$I26,"")</f>
        <v/>
      </c>
      <c r="FE26" s="582" t="str">
        <f>IF(AND(FE$12&gt;=$E26,FE$12&lt;=$F26,MOD(FE$12,7)&gt;1,NOT(COUNTIF(General!$U$13:$U$19,FE$12))),$I26,"")</f>
        <v/>
      </c>
      <c r="FF26" s="593" t="str">
        <f>IF(AND(FF$12&gt;=$E26,FF$12&lt;=$F26,MOD(FF$12,7)&gt;1,NOT(COUNTIF(General!$U$13:$U$19,FF$12))),$I26,"")</f>
        <v/>
      </c>
      <c r="FG26" s="593" t="str">
        <f>IF(AND(FG$12&gt;=$E26,FG$12&lt;=$F26,MOD(FG$12,7)&gt;1,NOT(COUNTIF(General!$U$13:$U$19,FG$12))),$I26,"")</f>
        <v/>
      </c>
      <c r="FH26" s="582" t="str">
        <f>IF(AND(FH$12&gt;=$E26,FH$12&lt;=$F26,MOD(FH$12,7)&gt;1,NOT(COUNTIF(General!$U$13:$U$19,FH$12))),$I26,"")</f>
        <v/>
      </c>
      <c r="FI26" s="582" t="str">
        <f>IF(AND(FI$12&gt;=$E26,FI$12&lt;=$F26,MOD(FI$12,7)&gt;1,NOT(COUNTIF(General!$U$13:$U$19,FI$12))),$I26,"")</f>
        <v/>
      </c>
      <c r="FJ26" s="582" t="str">
        <f>IF(AND(FJ$12&gt;=$E26,FJ$12&lt;=$F26,MOD(FJ$12,7)&gt;1,NOT(COUNTIF(General!$U$13:$U$19,FJ$12))),$I26,"")</f>
        <v/>
      </c>
      <c r="FK26" s="582" t="str">
        <f>IF(AND(FK$12&gt;=$E26,FK$12&lt;=$F26,MOD(FK$12,7)&gt;1,NOT(COUNTIF(General!$U$13:$U$19,FK$12))),$I26,"")</f>
        <v/>
      </c>
      <c r="FL26" s="582" t="str">
        <f>IF(AND(FL$12&gt;=$E26,FL$12&lt;=$F26,MOD(FL$12,7)&gt;1,NOT(COUNTIF(General!$U$13:$U$19,FL$12))),$I26,"")</f>
        <v/>
      </c>
      <c r="FM26" s="593" t="str">
        <f>IF(AND(FM$12&gt;=$E26,FM$12&lt;=$F26,MOD(FM$12,7)&gt;1,NOT(COUNTIF(General!$U$13:$U$19,FM$12))),$I26,"")</f>
        <v/>
      </c>
      <c r="FN26" s="593" t="str">
        <f>IF(AND(FN$12&gt;=$E26,FN$12&lt;=$F26,MOD(FN$12,7)&gt;1,NOT(COUNTIF(General!$U$13:$U$19,FN$12))),$I26,"")</f>
        <v/>
      </c>
      <c r="FO26" s="582" t="str">
        <f>IF(AND(FO$12&gt;=$E26,FO$12&lt;=$F26,MOD(FO$12,7)&gt;1,NOT(COUNTIF(General!$U$13:$U$19,FO$12))),$I26,"")</f>
        <v/>
      </c>
      <c r="FP26" s="582" t="str">
        <f>IF(AND(FP$12&gt;=$E26,FP$12&lt;=$F26,MOD(FP$12,7)&gt;1,NOT(COUNTIF(General!$U$13:$U$19,FP$12))),$I26,"")</f>
        <v/>
      </c>
      <c r="FQ26" s="582" t="str">
        <f>IF(AND(FQ$12&gt;=$E26,FQ$12&lt;=$F26,MOD(FQ$12,7)&gt;1,NOT(COUNTIF(General!$U$13:$U$19,FQ$12))),$I26,"")</f>
        <v/>
      </c>
      <c r="FR26" s="582" t="str">
        <f>IF(AND(FR$12&gt;=$E26,FR$12&lt;=$F26,MOD(FR$12,7)&gt;1,NOT(COUNTIF(General!$U$13:$U$19,FR$12))),$I26,"")</f>
        <v/>
      </c>
      <c r="FS26" s="582" t="str">
        <f>IF(AND(FS$12&gt;=$E26,FS$12&lt;=$F26,MOD(FS$12,7)&gt;1,NOT(COUNTIF(General!$U$13:$U$19,FS$12))),$I26,"")</f>
        <v/>
      </c>
      <c r="FT26" s="593" t="str">
        <f>IF(AND(FT$12&gt;=$E26,FT$12&lt;=$F26,MOD(FT$12,7)&gt;1,NOT(COUNTIF(General!$U$13:$U$19,FT$12))),$I26,"")</f>
        <v/>
      </c>
      <c r="FU26" s="593" t="str">
        <f>IF(AND(FU$12&gt;=$E26,FU$12&lt;=$F26,MOD(FU$12,7)&gt;1,NOT(COUNTIF(General!$U$13:$U$19,FU$12))),$I26,"")</f>
        <v/>
      </c>
      <c r="FV26" s="582" t="str">
        <f>IF(AND(FV$12&gt;=$E26,FV$12&lt;=$F26,MOD(FV$12,7)&gt;1,NOT(COUNTIF(General!$U$13:$U$19,FV$12))),$I26,"")</f>
        <v/>
      </c>
      <c r="FW26" s="582" t="str">
        <f>IF(AND(FW$12&gt;=$E26,FW$12&lt;=$F26,MOD(FW$12,7)&gt;1,NOT(COUNTIF(General!$U$13:$U$19,FW$12))),$I26,"")</f>
        <v/>
      </c>
      <c r="FX26" s="582" t="str">
        <f>IF(AND(FX$12&gt;=$E26,FX$12&lt;=$F26,MOD(FX$12,7)&gt;1,NOT(COUNTIF(General!$U$13:$U$19,FX$12))),$I26,"")</f>
        <v/>
      </c>
    </row>
    <row r="27" ht="16.5" customHeight="1">
      <c r="A27" s="594"/>
      <c r="B27" s="582"/>
      <c r="C27" s="582"/>
      <c r="D27" s="611" t="s">
        <v>571</v>
      </c>
      <c r="E27" s="583">
        <v>43811.0</v>
      </c>
      <c r="F27" s="374">
        <f>WORKDAY(E27,ROUNDUP(G27/I27,0),General!$U$13:$U$27)-1</f>
        <v>43811</v>
      </c>
      <c r="G27" s="542">
        <f>G26*0.4</f>
        <v>0.8</v>
      </c>
      <c r="H27" s="585"/>
      <c r="I27" s="379">
        <v>1.0</v>
      </c>
      <c r="J27" s="587"/>
      <c r="K27" s="588"/>
      <c r="L27" s="588"/>
      <c r="M27" s="589"/>
      <c r="N27" s="590"/>
      <c r="O27" s="591"/>
      <c r="P27" s="592"/>
      <c r="Q27" s="582" t="str">
        <f>IF(AND(Q$12&gt;=$E27,Q$12&lt;=$F27,MOD(Q$12,7)&gt;1,NOT(COUNTIF(General!$U$13:$U$19,Q$12))),$I27,"")</f>
        <v/>
      </c>
      <c r="R27" s="582" t="str">
        <f>IF(AND(R$12&gt;=$E27,R$12&lt;=$F27,MOD(R$12,7)&gt;1,NOT(COUNTIF(General!$U$13:$U$19,R$12))),$I27,"")</f>
        <v/>
      </c>
      <c r="S27" s="582" t="str">
        <f>IF(AND(S$12&gt;=$E27,S$12&lt;=$F27,MOD(S$12,7)&gt;1,NOT(COUNTIF(General!$U$13:$U$19,S$12))),$I27,"")</f>
        <v/>
      </c>
      <c r="T27" s="582" t="str">
        <f>IF(AND(T$12&gt;=$E27,T$12&lt;=$F27,MOD(T$12,7)&gt;1,NOT(COUNTIF(General!$U$13:$U$19,T$12))),$I27,"")</f>
        <v/>
      </c>
      <c r="U27" s="582" t="str">
        <f>IF(AND(U$12&gt;=$E27,U$12&lt;=$F27,MOD(U$12,7)&gt;1,NOT(COUNTIF(General!$U$13:$U$19,U$12))),$I27,"")</f>
        <v/>
      </c>
      <c r="V27" s="593" t="str">
        <f>IF(AND(V$12&gt;=$E27,V$12&lt;=$F27,MOD(V$12,7)&gt;1,NOT(COUNTIF(General!$U$13:$U$19,V$12))),$I27,"")</f>
        <v/>
      </c>
      <c r="W27" s="593" t="str">
        <f>IF(AND(W$12&gt;=$E27,W$12&lt;=$F27,MOD(W$12,7)&gt;1,NOT(COUNTIF(General!$U$13:$U$19,W$12))),$I27,"")</f>
        <v/>
      </c>
      <c r="X27" s="582" t="str">
        <f>IF(AND(X$12&gt;=$E27,X$12&lt;=$F27,MOD(X$12,7)&gt;1,NOT(COUNTIF(General!$U$13:$U$19,X$12))),$I27,"")</f>
        <v/>
      </c>
      <c r="Y27" s="582" t="str">
        <f>IF(AND(Y$12&gt;=$E27,Y$12&lt;=$F27,MOD(Y$12,7)&gt;1,NOT(COUNTIF(General!$U$13:$U$19,Y$12))),$I27,"")</f>
        <v/>
      </c>
      <c r="Z27" s="582" t="str">
        <f>IF(AND(Z$12&gt;=$E27,Z$12&lt;=$F27,MOD(Z$12,7)&gt;1,NOT(COUNTIF(General!$U$13:$U$19,Z$12))),$I27,"")</f>
        <v/>
      </c>
      <c r="AA27" s="582">
        <f>IF(AND(AA$12&gt;=$E27,AA$12&lt;=$F27,MOD(AA$12,7)&gt;1,NOT(COUNTIF(General!$U$13:$U$19,AA$12))),$I27,"")</f>
        <v>1</v>
      </c>
      <c r="AB27" s="582" t="str">
        <f>IF(AND(AB$12&gt;=$E27,AB$12&lt;=$F27,MOD(AB$12,7)&gt;1,NOT(COUNTIF(General!$U$13:$U$19,AB$12))),$I27,"")</f>
        <v/>
      </c>
      <c r="AC27" s="582" t="str">
        <f>IF(AND(AC$12&gt;=$E27,AC$12&lt;=$F27,MOD(AC$12,7)&gt;1,NOT(COUNTIF(General!$U$13:$U$19,AC$12))),$I27,"")</f>
        <v/>
      </c>
      <c r="AD27" s="582" t="str">
        <f>IF(AND(AD$12&gt;=$E27,AD$12&lt;=$F27,MOD(AD$12,7)&gt;1,NOT(COUNTIF(General!$U$13:$U$19,AD$12))),$I27,"")</f>
        <v/>
      </c>
      <c r="AE27" s="582" t="str">
        <f>IF(AND(AE$12&gt;=$E27,AE$12&lt;=$F27,MOD(AE$12,7)&gt;1,NOT(COUNTIF(General!$U$13:$U$19,AE$12))),$I27,"")</f>
        <v/>
      </c>
      <c r="AF27" s="582" t="str">
        <f>IF(AND(AF$12&gt;=$E27,AF$12&lt;=$F27,MOD(AF$12,7)&gt;1,NOT(COUNTIF(General!$U$13:$U$19,AF$12))),$I27,"")</f>
        <v/>
      </c>
      <c r="AG27" s="582" t="str">
        <f>IF(AND(AG$12&gt;=$E27,AG$12&lt;=$F27,MOD(AG$12,7)&gt;1,NOT(COUNTIF(General!$U$13:$U$19,AG$12))),$I27,"")</f>
        <v/>
      </c>
      <c r="AH27" s="582" t="str">
        <f>IF(AND(AH$12&gt;=$E27,AH$12&lt;=$F27,MOD(AH$12,7)&gt;1,NOT(COUNTIF(General!$U$13:$U$19,AH$12))),$I27,"")</f>
        <v/>
      </c>
      <c r="AI27" s="582" t="str">
        <f>IF(AND(AI$12&gt;=$E27,AI$12&lt;=$F27,MOD(AI$12,7)&gt;1,NOT(COUNTIF(General!$U$13:$U$19,AI$12))),$I27,"")</f>
        <v/>
      </c>
      <c r="AJ27" s="593" t="str">
        <f>IF(AND(AJ$12&gt;=$E27,AJ$12&lt;=$F27,MOD(AJ$12,7)&gt;1,NOT(COUNTIF(General!$U$13:$U$19,AJ$12))),$I27,"")</f>
        <v/>
      </c>
      <c r="AK27" s="593" t="str">
        <f>IF(AND(AK$12&gt;=$E27,AK$12&lt;=$F27,MOD(AK$12,7)&gt;1,NOT(COUNTIF(General!$U$13:$U$19,AK$12))),$I27,"")</f>
        <v/>
      </c>
      <c r="AL27" s="582" t="str">
        <f>IF(AND(AL$12&gt;=$E27,AL$12&lt;=$F27,MOD(AL$12,7)&gt;1,NOT(COUNTIF(General!$U$13:$U$19,AL$12))),$I27,"")</f>
        <v/>
      </c>
      <c r="AM27" s="582" t="str">
        <f>IF(AND(AM$12&gt;=$E27,AM$12&lt;=$F27,MOD(AM$12,7)&gt;1,NOT(COUNTIF(General!$U$13:$U$19,AM$12))),$I27,"")</f>
        <v/>
      </c>
      <c r="AN27" s="582" t="str">
        <f>IF(AND(AN$12&gt;=$E27,AN$12&lt;=$F27,MOD(AN$12,7)&gt;1,NOT(COUNTIF(General!$U$13:$U$19,AN$12))),$I27,"")</f>
        <v/>
      </c>
      <c r="AO27" s="582" t="str">
        <f>IF(AND(AO$12&gt;=$E27,AO$12&lt;=$F27,MOD(AO$12,7)&gt;1,NOT(COUNTIF(General!$U$13:$U$19,AO$12))),$I27,"")</f>
        <v/>
      </c>
      <c r="AP27" s="582" t="str">
        <f>IF(AND(AP$12&gt;=$E27,AP$12&lt;=$F27,MOD(AP$12,7)&gt;1,NOT(COUNTIF(General!$U$13:$U$19,AP$12))),$I27,"")</f>
        <v/>
      </c>
      <c r="AQ27" s="593" t="str">
        <f>IF(AND(AQ$12&gt;=$E27,AQ$12&lt;=$F27,MOD(AQ$12,7)&gt;1,NOT(COUNTIF(General!$U$13:$U$19,AQ$12))),$I27,"")</f>
        <v/>
      </c>
      <c r="AR27" s="593" t="str">
        <f>IF(AND(AR$12&gt;=$E27,AR$12&lt;=$F27,MOD(AR$12,7)&gt;1,NOT(COUNTIF(General!$U$13:$U$19,AR$12))),$I27,"")</f>
        <v/>
      </c>
      <c r="AS27" s="582" t="str">
        <f>IF(AND(AS$12&gt;=$E27,AS$12&lt;=$F27,MOD(AS$12,7)&gt;1,NOT(COUNTIF(General!$U$13:$U$19,AS$12))),$I27,"")</f>
        <v/>
      </c>
      <c r="AT27" s="582" t="str">
        <f>IF(AND(AT$12&gt;=$E27,AT$12&lt;=$F27,MOD(AT$12,7)&gt;1,NOT(COUNTIF(General!$U$13:$U$19,AT$12))),$I27,"")</f>
        <v/>
      </c>
      <c r="AU27" s="582" t="str">
        <f>IF(AND(AU$12&gt;=$E27,AU$12&lt;=$F27,MOD(AU$12,7)&gt;1,NOT(COUNTIF(General!$U$13:$U$19,AU$12))),$I27,"")</f>
        <v/>
      </c>
      <c r="AV27" s="582" t="str">
        <f>IF(AND(AV$12&gt;=$E27,AV$12&lt;=$F27,MOD(AV$12,7)&gt;1,NOT(COUNTIF(General!$U$13:$U$19,AV$12))),$I27,"")</f>
        <v/>
      </c>
      <c r="AW27" s="582" t="str">
        <f>IF(AND(AW$12&gt;=$E27,AW$12&lt;=$F27,MOD(AW$12,7)&gt;1,NOT(COUNTIF(General!$U$13:$U$19,AW$12))),$I27,"")</f>
        <v/>
      </c>
      <c r="AX27" s="593" t="str">
        <f>IF(AND(AX$12&gt;=$E27,AX$12&lt;=$F27,MOD(AX$12,7)&gt;1,NOT(COUNTIF(General!$U$13:$U$19,AX$12))),$I27,"")</f>
        <v/>
      </c>
      <c r="AY27" s="593" t="str">
        <f>IF(AND(AY$12&gt;=$E27,AY$12&lt;=$F27,MOD(AY$12,7)&gt;1,NOT(COUNTIF(General!$U$13:$U$19,AY$12))),$I27,"")</f>
        <v/>
      </c>
      <c r="AZ27" s="582" t="str">
        <f>IF(AND(AZ$12&gt;=$E27,AZ$12&lt;=$F27,MOD(AZ$12,7)&gt;1,NOT(COUNTIF(General!$U$13:$U$19,AZ$12))),$I27,"")</f>
        <v/>
      </c>
      <c r="BA27" s="582" t="str">
        <f>IF(AND(BA$12&gt;=$E27,BA$12&lt;=$F27,MOD(BA$12,7)&gt;1,NOT(COUNTIF(General!$U$13:$U$19,BA$12))),$I27,"")</f>
        <v/>
      </c>
      <c r="BB27" s="582" t="str">
        <f>IF(AND(BB$12&gt;=$E27,BB$12&lt;=$F27,MOD(BB$12,7)&gt;1,NOT(COUNTIF(General!$U$13:$U$19,BB$12))),$I27,"")</f>
        <v/>
      </c>
      <c r="BC27" s="582" t="str">
        <f>IF(AND(BC$12&gt;=$E27,BC$12&lt;=$F27,MOD(BC$12,7)&gt;1,NOT(COUNTIF(General!$U$13:$U$19,BC$12))),$I27,"")</f>
        <v/>
      </c>
      <c r="BD27" s="582" t="str">
        <f>IF(AND(BD$12&gt;=$E27,BD$12&lt;=$F27,MOD(BD$12,7)&gt;1,NOT(COUNTIF(General!$U$13:$U$19,BD$12))),$I27,"")</f>
        <v/>
      </c>
      <c r="BE27" s="593" t="str">
        <f>IF(AND(BE$12&gt;=$E27,BE$12&lt;=$F27,MOD(BE$12,7)&gt;1,NOT(COUNTIF(General!$U$13:$U$19,BE$12))),$I27,"")</f>
        <v/>
      </c>
      <c r="BF27" s="593" t="str">
        <f>IF(AND(BF$12&gt;=$E27,BF$12&lt;=$F27,MOD(BF$12,7)&gt;1,NOT(COUNTIF(General!$U$13:$U$19,BF$12))),$I27,"")</f>
        <v/>
      </c>
      <c r="BG27" s="582" t="str">
        <f>IF(AND(BG$12&gt;=$E27,BG$12&lt;=$F27,MOD(BG$12,7)&gt;1,NOT(COUNTIF(General!$U$13:$U$19,BG$12))),$I27,"")</f>
        <v/>
      </c>
      <c r="BH27" s="582" t="str">
        <f>IF(AND(BH$12&gt;=$E27,BH$12&lt;=$F27,MOD(BH$12,7)&gt;1,NOT(COUNTIF(General!$U$13:$U$19,BH$12))),$I27,"")</f>
        <v/>
      </c>
      <c r="BI27" s="582" t="str">
        <f>IF(AND(BI$12&gt;=$E27,BI$12&lt;=$F27,MOD(BI$12,7)&gt;1,NOT(COUNTIF(General!$U$13:$U$19,BI$12))),$I27,"")</f>
        <v/>
      </c>
      <c r="BJ27" s="582" t="str">
        <f>IF(AND(BJ$12&gt;=$E27,BJ$12&lt;=$F27,MOD(BJ$12,7)&gt;1,NOT(COUNTIF(General!$U$13:$U$19,BJ$12))),$I27,"")</f>
        <v/>
      </c>
      <c r="BK27" s="582" t="str">
        <f>IF(AND(BK$12&gt;=$E27,BK$12&lt;=$F27,MOD(BK$12,7)&gt;1,NOT(COUNTIF(General!$U$13:$U$19,BK$12))),$I27,"")</f>
        <v/>
      </c>
      <c r="BL27" s="593" t="str">
        <f>IF(AND(BL$12&gt;=$E27,BL$12&lt;=$F27,MOD(BL$12,7)&gt;1,NOT(COUNTIF(General!$U$13:$U$19,BL$12))),$I27,"")</f>
        <v/>
      </c>
      <c r="BM27" s="593" t="str">
        <f>IF(AND(BM$12&gt;=$E27,BM$12&lt;=$F27,MOD(BM$12,7)&gt;1,NOT(COUNTIF(General!$U$13:$U$19,BM$12))),$I27,"")</f>
        <v/>
      </c>
      <c r="BN27" s="582" t="str">
        <f>IF(AND(BN$12&gt;=$E27,BN$12&lt;=$F27,MOD(BN$12,7)&gt;1,NOT(COUNTIF(General!$U$13:$U$19,BN$12))),$I27,"")</f>
        <v/>
      </c>
      <c r="BO27" s="582" t="str">
        <f>IF(AND(BO$12&gt;=$E27,BO$12&lt;=$F27,MOD(BO$12,7)&gt;1,NOT(COUNTIF(General!$U$13:$U$19,BO$12))),$I27,"")</f>
        <v/>
      </c>
      <c r="BP27" s="582" t="str">
        <f>IF(AND(BP$12&gt;=$E27,BP$12&lt;=$F27,MOD(BP$12,7)&gt;1,NOT(COUNTIF(General!$U$13:$U$19,BP$12))),$I27,"")</f>
        <v/>
      </c>
      <c r="BQ27" s="582" t="str">
        <f>IF(AND(BQ$12&gt;=$E27,BQ$12&lt;=$F27,MOD(BQ$12,7)&gt;1,NOT(COUNTIF(General!$U$13:$U$19,BQ$12))),$I27,"")</f>
        <v/>
      </c>
      <c r="BR27" s="582" t="str">
        <f>IF(AND(BR$12&gt;=$E27,BR$12&lt;=$F27,MOD(BR$12,7)&gt;1,NOT(COUNTIF(General!$U$13:$U$19,BR$12))),$I27,"")</f>
        <v/>
      </c>
      <c r="BS27" s="593" t="str">
        <f>IF(AND(BS$12&gt;=$E27,BS$12&lt;=$F27,MOD(BS$12,7)&gt;1,NOT(COUNTIF(General!$U$13:$U$19,BS$12))),$I27,"")</f>
        <v/>
      </c>
      <c r="BT27" s="593" t="str">
        <f>IF(AND(BT$12&gt;=$E27,BT$12&lt;=$F27,MOD(BT$12,7)&gt;1,NOT(COUNTIF(General!$U$13:$U$19,BT$12))),$I27,"")</f>
        <v/>
      </c>
      <c r="BU27" s="582" t="str">
        <f>IF(AND(BU$12&gt;=$E27,BU$12&lt;=$F27,MOD(BU$12,7)&gt;1,NOT(COUNTIF(General!$U$13:$U$19,BU$12))),$I27,"")</f>
        <v/>
      </c>
      <c r="BV27" s="582" t="str">
        <f>IF(AND(BV$12&gt;=$E27,BV$12&lt;=$F27,MOD(BV$12,7)&gt;1,NOT(COUNTIF(General!$U$13:$U$19,BV$12))),$I27,"")</f>
        <v/>
      </c>
      <c r="BW27" s="582" t="str">
        <f>IF(AND(BW$12&gt;=$E27,BW$12&lt;=$F27,MOD(BW$12,7)&gt;1,NOT(COUNTIF(General!$U$13:$U$19,BW$12))),$I27,"")</f>
        <v/>
      </c>
      <c r="BX27" s="582" t="str">
        <f>IF(AND(BX$12&gt;=$E27,BX$12&lt;=$F27,MOD(BX$12,7)&gt;1,NOT(COUNTIF(General!$U$13:$U$19,BX$12))),$I27,"")</f>
        <v/>
      </c>
      <c r="BY27" s="582" t="str">
        <f>IF(AND(BY$12&gt;=$E27,BY$12&lt;=$F27,MOD(BY$12,7)&gt;1,NOT(COUNTIF(General!$U$13:$U$19,BY$12))),$I27,"")</f>
        <v/>
      </c>
      <c r="BZ27" s="593" t="str">
        <f>IF(AND(BZ$12&gt;=$E27,BZ$12&lt;=$F27,MOD(BZ$12,7)&gt;1,NOT(COUNTIF(General!$U$13:$U$19,BZ$12))),$I27,"")</f>
        <v/>
      </c>
      <c r="CA27" s="593" t="str">
        <f>IF(AND(CA$12&gt;=$E27,CA$12&lt;=$F27,MOD(CA$12,7)&gt;1,NOT(COUNTIF(General!$U$13:$U$19,CA$12))),$I27,"")</f>
        <v/>
      </c>
      <c r="CB27" s="582" t="str">
        <f>IF(AND(CB$12&gt;=$E27,CB$12&lt;=$F27,MOD(CB$12,7)&gt;1,NOT(COUNTIF(General!$U$13:$U$19,CB$12))),$I27,"")</f>
        <v/>
      </c>
      <c r="CC27" s="582" t="str">
        <f>IF(AND(CC$12&gt;=$E27,CC$12&lt;=$F27,MOD(CC$12,7)&gt;1,NOT(COUNTIF(General!$U$13:$U$19,CC$12))),$I27,"")</f>
        <v/>
      </c>
      <c r="CD27" s="582" t="str">
        <f>IF(AND(CD$12&gt;=$E27,CD$12&lt;=$F27,MOD(CD$12,7)&gt;1,NOT(COUNTIF(General!$U$13:$U$19,CD$12))),$I27,"")</f>
        <v/>
      </c>
      <c r="CE27" s="582" t="str">
        <f>IF(AND(CE$12&gt;=$E27,CE$12&lt;=$F27,MOD(CE$12,7)&gt;1,NOT(COUNTIF(General!$U$13:$U$19,CE$12))),$I27,"")</f>
        <v/>
      </c>
      <c r="CF27" s="582" t="str">
        <f>IF(AND(CF$12&gt;=$E27,CF$12&lt;=$F27,MOD(CF$12,7)&gt;1,NOT(COUNTIF(General!$U$13:$U$19,CF$12))),$I27,"")</f>
        <v/>
      </c>
      <c r="CG27" s="593" t="str">
        <f>IF(AND(CG$12&gt;=$E27,CG$12&lt;=$F27,MOD(CG$12,7)&gt;1,NOT(COUNTIF(General!$U$13:$U$19,CG$12))),$I27,"")</f>
        <v/>
      </c>
      <c r="CH27" s="593" t="str">
        <f>IF(AND(CH$12&gt;=$E27,CH$12&lt;=$F27,MOD(CH$12,7)&gt;1,NOT(COUNTIF(General!$U$13:$U$19,CH$12))),$I27,"")</f>
        <v/>
      </c>
      <c r="CI27" s="582" t="str">
        <f>IF(AND(CI$12&gt;=$E27,CI$12&lt;=$F27,MOD(CI$12,7)&gt;1,NOT(COUNTIF(General!$U$13:$U$19,CI$12))),$I27,"")</f>
        <v/>
      </c>
      <c r="CJ27" s="582" t="str">
        <f>IF(AND(CJ$12&gt;=$E27,CJ$12&lt;=$F27,MOD(CJ$12,7)&gt;1,NOT(COUNTIF(General!$U$13:$U$19,CJ$12))),$I27,"")</f>
        <v/>
      </c>
      <c r="CK27" s="582" t="str">
        <f>IF(AND(CK$12&gt;=$E27,CK$12&lt;=$F27,MOD(CK$12,7)&gt;1,NOT(COUNTIF(General!$U$13:$U$19,CK$12))),$I27,"")</f>
        <v/>
      </c>
      <c r="CL27" s="582" t="str">
        <f>IF(AND(CL$12&gt;=$E27,CL$12&lt;=$F27,MOD(CL$12,7)&gt;1,NOT(COUNTIF(General!$U$13:$U$19,CL$12))),$I27,"")</f>
        <v/>
      </c>
      <c r="CM27" s="582" t="str">
        <f>IF(AND(CM$12&gt;=$E27,CM$12&lt;=$F27,MOD(CM$12,7)&gt;1,NOT(COUNTIF(General!$U$13:$U$19,CM$12))),$I27,"")</f>
        <v/>
      </c>
      <c r="CN27" s="593" t="str">
        <f>IF(AND(CN$12&gt;=$E27,CN$12&lt;=$F27,MOD(CN$12,7)&gt;1,NOT(COUNTIF(General!$U$13:$U$19,CN$12))),$I27,"")</f>
        <v/>
      </c>
      <c r="CO27" s="593" t="str">
        <f>IF(AND(CO$12&gt;=$E27,CO$12&lt;=$F27,MOD(CO$12,7)&gt;1,NOT(COUNTIF(General!$U$13:$U$19,CO$12))),$I27,"")</f>
        <v/>
      </c>
      <c r="CP27" s="582" t="str">
        <f>IF(AND(CP$12&gt;=$E27,CP$12&lt;=$F27,MOD(CP$12,7)&gt;1,NOT(COUNTIF(General!$U$13:$U$19,CP$12))),$I27,"")</f>
        <v/>
      </c>
      <c r="CQ27" s="582" t="str">
        <f>IF(AND(CQ$12&gt;=$E27,CQ$12&lt;=$F27,MOD(CQ$12,7)&gt;1,NOT(COUNTIF(General!$U$13:$U$19,CQ$12))),$I27,"")</f>
        <v/>
      </c>
      <c r="CR27" s="582" t="str">
        <f>IF(AND(CR$12&gt;=$E27,CR$12&lt;=$F27,MOD(CR$12,7)&gt;1,NOT(COUNTIF(General!$U$13:$U$19,CR$12))),$I27,"")</f>
        <v/>
      </c>
      <c r="CS27" s="582" t="str">
        <f>IF(AND(CS$12&gt;=$E27,CS$12&lt;=$F27,MOD(CS$12,7)&gt;1,NOT(COUNTIF(General!$U$13:$U$19,CS$12))),$I27,"")</f>
        <v/>
      </c>
      <c r="CT27" s="582" t="str">
        <f>IF(AND(CT$12&gt;=$E27,CT$12&lt;=$F27,MOD(CT$12,7)&gt;1,NOT(COUNTIF(General!$U$13:$U$19,CT$12))),$I27,"")</f>
        <v/>
      </c>
      <c r="CU27" s="593" t="str">
        <f>IF(AND(CU$12&gt;=$E27,CU$12&lt;=$F27,MOD(CU$12,7)&gt;1,NOT(COUNTIF(General!$U$13:$U$19,CU$12))),$I27,"")</f>
        <v/>
      </c>
      <c r="CV27" s="593" t="str">
        <f>IF(AND(CV$12&gt;=$E27,CV$12&lt;=$F27,MOD(CV$12,7)&gt;1,NOT(COUNTIF(General!$U$13:$U$19,CV$12))),$I27,"")</f>
        <v/>
      </c>
      <c r="CW27" s="582" t="str">
        <f>IF(AND(CW$12&gt;=$E27,CW$12&lt;=$F27,MOD(CW$12,7)&gt;1,NOT(COUNTIF(General!$U$13:$U$19,CW$12))),$I27,"")</f>
        <v/>
      </c>
      <c r="CX27" s="582" t="str">
        <f>IF(AND(CX$12&gt;=$E27,CX$12&lt;=$F27,MOD(CX$12,7)&gt;1,NOT(COUNTIF(General!$U$13:$U$19,CX$12))),$I27,"")</f>
        <v/>
      </c>
      <c r="CY27" s="582" t="str">
        <f>IF(AND(CY$12&gt;=$E27,CY$12&lt;=$F27,MOD(CY$12,7)&gt;1,NOT(COUNTIF(General!$U$13:$U$19,CY$12))),$I27,"")</f>
        <v/>
      </c>
      <c r="CZ27" s="582" t="str">
        <f>IF(AND(CZ$12&gt;=$E27,CZ$12&lt;=$F27,MOD(CZ$12,7)&gt;1,NOT(COUNTIF(General!$U$13:$U$19,CZ$12))),$I27,"")</f>
        <v/>
      </c>
      <c r="DA27" s="582" t="str">
        <f>IF(AND(DA$12&gt;=$E27,DA$12&lt;=$F27,MOD(DA$12,7)&gt;1,NOT(COUNTIF(General!$U$13:$U$19,DA$12))),$I27,"")</f>
        <v/>
      </c>
      <c r="DB27" s="593" t="str">
        <f>IF(AND(DB$12&gt;=$E27,DB$12&lt;=$F27,MOD(DB$12,7)&gt;1,NOT(COUNTIF(General!$U$13:$U$19,DB$12))),$I27,"")</f>
        <v/>
      </c>
      <c r="DC27" s="593" t="str">
        <f>IF(AND(DC$12&gt;=$E27,DC$12&lt;=$F27,MOD(DC$12,7)&gt;1,NOT(COUNTIF(General!$U$13:$U$19,DC$12))),$I27,"")</f>
        <v/>
      </c>
      <c r="DD27" s="582" t="str">
        <f>IF(AND(DD$12&gt;=$E27,DD$12&lt;=$F27,MOD(DD$12,7)&gt;1,NOT(COUNTIF(General!$U$13:$U$19,DD$12))),$I27,"")</f>
        <v/>
      </c>
      <c r="DE27" s="582" t="str">
        <f>IF(AND(DE$12&gt;=$E27,DE$12&lt;=$F27,MOD(DE$12,7)&gt;1,NOT(COUNTIF(General!$U$13:$U$19,DE$12))),$I27,"")</f>
        <v/>
      </c>
      <c r="DF27" s="582" t="str">
        <f>IF(AND(DF$12&gt;=$E27,DF$12&lt;=$F27,MOD(DF$12,7)&gt;1,NOT(COUNTIF(General!$U$13:$U$19,DF$12))),$I27,"")</f>
        <v/>
      </c>
      <c r="DG27" s="582" t="str">
        <f>IF(AND(DG$12&gt;=$E27,DG$12&lt;=$F27,MOD(DG$12,7)&gt;1,NOT(COUNTIF(General!$U$13:$U$19,DG$12))),$I27,"")</f>
        <v/>
      </c>
      <c r="DH27" s="582" t="str">
        <f>IF(AND(DH$12&gt;=$E27,DH$12&lt;=$F27,MOD(DH$12,7)&gt;1,NOT(COUNTIF(General!$U$13:$U$19,DH$12))),$I27,"")</f>
        <v/>
      </c>
      <c r="DI27" s="593" t="str">
        <f>IF(AND(DI$12&gt;=$E27,DI$12&lt;=$F27,MOD(DI$12,7)&gt;1,NOT(COUNTIF(General!$U$13:$U$19,DI$12))),$I27,"")</f>
        <v/>
      </c>
      <c r="DJ27" s="593" t="str">
        <f>IF(AND(DJ$12&gt;=$E27,DJ$12&lt;=$F27,MOD(DJ$12,7)&gt;1,NOT(COUNTIF(General!$U$13:$U$19,DJ$12))),$I27,"")</f>
        <v/>
      </c>
      <c r="DK27" s="582" t="str">
        <f>IF(AND(DK$12&gt;=$E27,DK$12&lt;=$F27,MOD(DK$12,7)&gt;1,NOT(COUNTIF(General!$U$13:$U$19,DK$12))),$I27,"")</f>
        <v/>
      </c>
      <c r="DL27" s="582" t="str">
        <f>IF(AND(DL$12&gt;=$E27,DL$12&lt;=$F27,MOD(DL$12,7)&gt;1,NOT(COUNTIF(General!$U$13:$U$19,DL$12))),$I27,"")</f>
        <v/>
      </c>
      <c r="DM27" s="582" t="str">
        <f>IF(AND(DM$12&gt;=$E27,DM$12&lt;=$F27,MOD(DM$12,7)&gt;1,NOT(COUNTIF(General!$U$13:$U$19,DM$12))),$I27,"")</f>
        <v/>
      </c>
      <c r="DN27" s="582" t="str">
        <f>IF(AND(DN$12&gt;=$E27,DN$12&lt;=$F27,MOD(DN$12,7)&gt;1,NOT(COUNTIF(General!$U$13:$U$19,DN$12))),$I27,"")</f>
        <v/>
      </c>
      <c r="DO27" s="582" t="str">
        <f>IF(AND(DO$12&gt;=$E27,DO$12&lt;=$F27,MOD(DO$12,7)&gt;1,NOT(COUNTIF(General!$U$13:$U$19,DO$12))),$I27,"")</f>
        <v/>
      </c>
      <c r="DP27" s="593" t="str">
        <f>IF(AND(DP$12&gt;=$E27,DP$12&lt;=$F27,MOD(DP$12,7)&gt;1,NOT(COUNTIF(General!$U$13:$U$19,DP$12))),$I27,"")</f>
        <v/>
      </c>
      <c r="DQ27" s="593" t="str">
        <f>IF(AND(DQ$12&gt;=$E27,DQ$12&lt;=$F27,MOD(DQ$12,7)&gt;1,NOT(COUNTIF(General!$U$13:$U$19,DQ$12))),$I27,"")</f>
        <v/>
      </c>
      <c r="DR27" s="582" t="str">
        <f>IF(AND(DR$12&gt;=$E27,DR$12&lt;=$F27,MOD(DR$12,7)&gt;1,NOT(COUNTIF(General!$U$13:$U$19,DR$12))),$I27,"")</f>
        <v/>
      </c>
      <c r="DS27" s="582" t="str">
        <f>IF(AND(DS$12&gt;=$E27,DS$12&lt;=$F27,MOD(DS$12,7)&gt;1,NOT(COUNTIF(General!$U$13:$U$19,DS$12))),$I27,"")</f>
        <v/>
      </c>
      <c r="DT27" s="582" t="str">
        <f>IF(AND(DT$12&gt;=$E27,DT$12&lt;=$F27,MOD(DT$12,7)&gt;1,NOT(COUNTIF(General!$U$13:$U$19,DT$12))),$I27,"")</f>
        <v/>
      </c>
      <c r="DU27" s="582" t="str">
        <f>IF(AND(DU$12&gt;=$E27,DU$12&lt;=$F27,MOD(DU$12,7)&gt;1,NOT(COUNTIF(General!$U$13:$U$19,DU$12))),$I27,"")</f>
        <v/>
      </c>
      <c r="DV27" s="582" t="str">
        <f>IF(AND(DV$12&gt;=$E27,DV$12&lt;=$F27,MOD(DV$12,7)&gt;1,NOT(COUNTIF(General!$U$13:$U$19,DV$12))),$I27,"")</f>
        <v/>
      </c>
      <c r="DW27" s="593" t="str">
        <f>IF(AND(DW$12&gt;=$E27,DW$12&lt;=$F27,MOD(DW$12,7)&gt;1,NOT(COUNTIF(General!$U$13:$U$19,DW$12))),$I27,"")</f>
        <v/>
      </c>
      <c r="DX27" s="593" t="str">
        <f>IF(AND(DX$12&gt;=$E27,DX$12&lt;=$F27,MOD(DX$12,7)&gt;1,NOT(COUNTIF(General!$U$13:$U$19,DX$12))),$I27,"")</f>
        <v/>
      </c>
      <c r="DY27" s="582" t="str">
        <f>IF(AND(DY$12&gt;=$E27,DY$12&lt;=$F27,MOD(DY$12,7)&gt;1,NOT(COUNTIF(General!$U$13:$U$19,DY$12))),$I27,"")</f>
        <v/>
      </c>
      <c r="DZ27" s="582" t="str">
        <f>IF(AND(DZ$12&gt;=$E27,DZ$12&lt;=$F27,MOD(DZ$12,7)&gt;1,NOT(COUNTIF(General!$U$13:$U$19,DZ$12))),$I27,"")</f>
        <v/>
      </c>
      <c r="EA27" s="582" t="str">
        <f>IF(AND(EA$12&gt;=$E27,EA$12&lt;=$F27,MOD(EA$12,7)&gt;1,NOT(COUNTIF(General!$U$13:$U$19,EA$12))),$I27,"")</f>
        <v/>
      </c>
      <c r="EB27" s="582" t="str">
        <f>IF(AND(EB$12&gt;=$E27,EB$12&lt;=$F27,MOD(EB$12,7)&gt;1,NOT(COUNTIF(General!$U$13:$U$19,EB$12))),$I27,"")</f>
        <v/>
      </c>
      <c r="EC27" s="582" t="str">
        <f>IF(AND(EC$12&gt;=$E27,EC$12&lt;=$F27,MOD(EC$12,7)&gt;1,NOT(COUNTIF(General!$U$13:$U$19,EC$12))),$I27,"")</f>
        <v/>
      </c>
      <c r="ED27" s="593" t="str">
        <f>IF(AND(ED$12&gt;=$E27,ED$12&lt;=$F27,MOD(ED$12,7)&gt;1,NOT(COUNTIF(General!$U$13:$U$19,ED$12))),$I27,"")</f>
        <v/>
      </c>
      <c r="EE27" s="593" t="str">
        <f>IF(AND(EE$12&gt;=$E27,EE$12&lt;=$F27,MOD(EE$12,7)&gt;1,NOT(COUNTIF(General!$U$13:$U$19,EE$12))),$I27,"")</f>
        <v/>
      </c>
      <c r="EF27" s="582" t="str">
        <f>IF(AND(EF$12&gt;=$E27,EF$12&lt;=$F27,MOD(EF$12,7)&gt;1,NOT(COUNTIF(General!$U$13:$U$19,EF$12))),$I27,"")</f>
        <v/>
      </c>
      <c r="EG27" s="582" t="str">
        <f>IF(AND(EG$12&gt;=$E27,EG$12&lt;=$F27,MOD(EG$12,7)&gt;1,NOT(COUNTIF(General!$U$13:$U$19,EG$12))),$I27,"")</f>
        <v/>
      </c>
      <c r="EH27" s="582" t="str">
        <f>IF(AND(EH$12&gt;=$E27,EH$12&lt;=$F27,MOD(EH$12,7)&gt;1,NOT(COUNTIF(General!$U$13:$U$19,EH$12))),$I27,"")</f>
        <v/>
      </c>
      <c r="EI27" s="582" t="str">
        <f>IF(AND(EI$12&gt;=$E27,EI$12&lt;=$F27,MOD(EI$12,7)&gt;1,NOT(COUNTIF(General!$U$13:$U$19,EI$12))),$I27,"")</f>
        <v/>
      </c>
      <c r="EJ27" s="582" t="str">
        <f>IF(AND(EJ$12&gt;=$E27,EJ$12&lt;=$F27,MOD(EJ$12,7)&gt;1,NOT(COUNTIF(General!$U$13:$U$19,EJ$12))),$I27,"")</f>
        <v/>
      </c>
      <c r="EK27" s="593" t="str">
        <f>IF(AND(EK$12&gt;=$E27,EK$12&lt;=$F27,MOD(EK$12,7)&gt;1,NOT(COUNTIF(General!$U$13:$U$19,EK$12))),$I27,"")</f>
        <v/>
      </c>
      <c r="EL27" s="593" t="str">
        <f>IF(AND(EL$12&gt;=$E27,EL$12&lt;=$F27,MOD(EL$12,7)&gt;1,NOT(COUNTIF(General!$U$13:$U$19,EL$12))),$I27,"")</f>
        <v/>
      </c>
      <c r="EM27" s="582" t="str">
        <f>IF(AND(EM$12&gt;=$E27,EM$12&lt;=$F27,MOD(EM$12,7)&gt;1,NOT(COUNTIF(General!$U$13:$U$19,EM$12))),$I27,"")</f>
        <v/>
      </c>
      <c r="EN27" s="582" t="str">
        <f>IF(AND(EN$12&gt;=$E27,EN$12&lt;=$F27,MOD(EN$12,7)&gt;1,NOT(COUNTIF(General!$U$13:$U$19,EN$12))),$I27,"")</f>
        <v/>
      </c>
      <c r="EO27" s="582" t="str">
        <f>IF(AND(EO$12&gt;=$E27,EO$12&lt;=$F27,MOD(EO$12,7)&gt;1,NOT(COUNTIF(General!$U$13:$U$19,EO$12))),$I27,"")</f>
        <v/>
      </c>
      <c r="EP27" s="582" t="str">
        <f>IF(AND(EP$12&gt;=$E27,EP$12&lt;=$F27,MOD(EP$12,7)&gt;1,NOT(COUNTIF(General!$U$13:$U$19,EP$12))),$I27,"")</f>
        <v/>
      </c>
      <c r="EQ27" s="582" t="str">
        <f>IF(AND(EQ$12&gt;=$E27,EQ$12&lt;=$F27,MOD(EQ$12,7)&gt;1,NOT(COUNTIF(General!$U$13:$U$19,EQ$12))),$I27,"")</f>
        <v/>
      </c>
      <c r="ER27" s="593" t="str">
        <f>IF(AND(ER$12&gt;=$E27,ER$12&lt;=$F27,MOD(ER$12,7)&gt;1,NOT(COUNTIF(General!$U$13:$U$19,ER$12))),$I27,"")</f>
        <v/>
      </c>
      <c r="ES27" s="593" t="str">
        <f>IF(AND(ES$12&gt;=$E27,ES$12&lt;=$F27,MOD(ES$12,7)&gt;1,NOT(COUNTIF(General!$U$13:$U$19,ES$12))),$I27,"")</f>
        <v/>
      </c>
      <c r="ET27" s="582" t="str">
        <f>IF(AND(ET$12&gt;=$E27,ET$12&lt;=$F27,MOD(ET$12,7)&gt;1,NOT(COUNTIF(General!$U$13:$U$19,ET$12))),$I27,"")</f>
        <v/>
      </c>
      <c r="EU27" s="582" t="str">
        <f>IF(AND(EU$12&gt;=$E27,EU$12&lt;=$F27,MOD(EU$12,7)&gt;1,NOT(COUNTIF(General!$U$13:$U$19,EU$12))),$I27,"")</f>
        <v/>
      </c>
      <c r="EV27" s="582" t="str">
        <f>IF(AND(EV$12&gt;=$E27,EV$12&lt;=$F27,MOD(EV$12,7)&gt;1,NOT(COUNTIF(General!$U$13:$U$19,EV$12))),$I27,"")</f>
        <v/>
      </c>
      <c r="EW27" s="582" t="str">
        <f>IF(AND(EW$12&gt;=$E27,EW$12&lt;=$F27,MOD(EW$12,7)&gt;1,NOT(COUNTIF(General!$U$13:$U$19,EW$12))),$I27,"")</f>
        <v/>
      </c>
      <c r="EX27" s="582" t="str">
        <f>IF(AND(EX$12&gt;=$E27,EX$12&lt;=$F27,MOD(EX$12,7)&gt;1,NOT(COUNTIF(General!$U$13:$U$19,EX$12))),$I27,"")</f>
        <v/>
      </c>
      <c r="EY27" s="593" t="str">
        <f>IF(AND(EY$12&gt;=$E27,EY$12&lt;=$F27,MOD(EY$12,7)&gt;1,NOT(COUNTIF(General!$U$13:$U$19,EY$12))),$I27,"")</f>
        <v/>
      </c>
      <c r="EZ27" s="593" t="str">
        <f>IF(AND(EZ$12&gt;=$E27,EZ$12&lt;=$F27,MOD(EZ$12,7)&gt;1,NOT(COUNTIF(General!$U$13:$U$19,EZ$12))),$I27,"")</f>
        <v/>
      </c>
      <c r="FA27" s="582" t="str">
        <f>IF(AND(FA$12&gt;=$E27,FA$12&lt;=$F27,MOD(FA$12,7)&gt;1,NOT(COUNTIF(General!$U$13:$U$19,FA$12))),$I27,"")</f>
        <v/>
      </c>
      <c r="FB27" s="582" t="str">
        <f>IF(AND(FB$12&gt;=$E27,FB$12&lt;=$F27,MOD(FB$12,7)&gt;1,NOT(COUNTIF(General!$U$13:$U$19,FB$12))),$I27,"")</f>
        <v/>
      </c>
      <c r="FC27" s="582" t="str">
        <f>IF(AND(FC$12&gt;=$E27,FC$12&lt;=$F27,MOD(FC$12,7)&gt;1,NOT(COUNTIF(General!$U$13:$U$19,FC$12))),$I27,"")</f>
        <v/>
      </c>
      <c r="FD27" s="582" t="str">
        <f>IF(AND(FD$12&gt;=$E27,FD$12&lt;=$F27,MOD(FD$12,7)&gt;1,NOT(COUNTIF(General!$U$13:$U$19,FD$12))),$I27,"")</f>
        <v/>
      </c>
      <c r="FE27" s="582" t="str">
        <f>IF(AND(FE$12&gt;=$E27,FE$12&lt;=$F27,MOD(FE$12,7)&gt;1,NOT(COUNTIF(General!$U$13:$U$19,FE$12))),$I27,"")</f>
        <v/>
      </c>
      <c r="FF27" s="593" t="str">
        <f>IF(AND(FF$12&gt;=$E27,FF$12&lt;=$F27,MOD(FF$12,7)&gt;1,NOT(COUNTIF(General!$U$13:$U$19,FF$12))),$I27,"")</f>
        <v/>
      </c>
      <c r="FG27" s="593" t="str">
        <f>IF(AND(FG$12&gt;=$E27,FG$12&lt;=$F27,MOD(FG$12,7)&gt;1,NOT(COUNTIF(General!$U$13:$U$19,FG$12))),$I27,"")</f>
        <v/>
      </c>
      <c r="FH27" s="582" t="str">
        <f>IF(AND(FH$12&gt;=$E27,FH$12&lt;=$F27,MOD(FH$12,7)&gt;1,NOT(COUNTIF(General!$U$13:$U$19,FH$12))),$I27,"")</f>
        <v/>
      </c>
      <c r="FI27" s="582" t="str">
        <f>IF(AND(FI$12&gt;=$E27,FI$12&lt;=$F27,MOD(FI$12,7)&gt;1,NOT(COUNTIF(General!$U$13:$U$19,FI$12))),$I27,"")</f>
        <v/>
      </c>
      <c r="FJ27" s="582" t="str">
        <f>IF(AND(FJ$12&gt;=$E27,FJ$12&lt;=$F27,MOD(FJ$12,7)&gt;1,NOT(COUNTIF(General!$U$13:$U$19,FJ$12))),$I27,"")</f>
        <v/>
      </c>
      <c r="FK27" s="582" t="str">
        <f>IF(AND(FK$12&gt;=$E27,FK$12&lt;=$F27,MOD(FK$12,7)&gt;1,NOT(COUNTIF(General!$U$13:$U$19,FK$12))),$I27,"")</f>
        <v/>
      </c>
      <c r="FL27" s="582" t="str">
        <f>IF(AND(FL$12&gt;=$E27,FL$12&lt;=$F27,MOD(FL$12,7)&gt;1,NOT(COUNTIF(General!$U$13:$U$19,FL$12))),$I27,"")</f>
        <v/>
      </c>
      <c r="FM27" s="593" t="str">
        <f>IF(AND(FM$12&gt;=$E27,FM$12&lt;=$F27,MOD(FM$12,7)&gt;1,NOT(COUNTIF(General!$U$13:$U$19,FM$12))),$I27,"")</f>
        <v/>
      </c>
      <c r="FN27" s="593" t="str">
        <f>IF(AND(FN$12&gt;=$E27,FN$12&lt;=$F27,MOD(FN$12,7)&gt;1,NOT(COUNTIF(General!$U$13:$U$19,FN$12))),$I27,"")</f>
        <v/>
      </c>
      <c r="FO27" s="582" t="str">
        <f>IF(AND(FO$12&gt;=$E27,FO$12&lt;=$F27,MOD(FO$12,7)&gt;1,NOT(COUNTIF(General!$U$13:$U$19,FO$12))),$I27,"")</f>
        <v/>
      </c>
      <c r="FP27" s="582" t="str">
        <f>IF(AND(FP$12&gt;=$E27,FP$12&lt;=$F27,MOD(FP$12,7)&gt;1,NOT(COUNTIF(General!$U$13:$U$19,FP$12))),$I27,"")</f>
        <v/>
      </c>
      <c r="FQ27" s="582" t="str">
        <f>IF(AND(FQ$12&gt;=$E27,FQ$12&lt;=$F27,MOD(FQ$12,7)&gt;1,NOT(COUNTIF(General!$U$13:$U$19,FQ$12))),$I27,"")</f>
        <v/>
      </c>
      <c r="FR27" s="582" t="str">
        <f>IF(AND(FR$12&gt;=$E27,FR$12&lt;=$F27,MOD(FR$12,7)&gt;1,NOT(COUNTIF(General!$U$13:$U$19,FR$12))),$I27,"")</f>
        <v/>
      </c>
      <c r="FS27" s="582" t="str">
        <f>IF(AND(FS$12&gt;=$E27,FS$12&lt;=$F27,MOD(FS$12,7)&gt;1,NOT(COUNTIF(General!$U$13:$U$19,FS$12))),$I27,"")</f>
        <v/>
      </c>
      <c r="FT27" s="593" t="str">
        <f>IF(AND(FT$12&gt;=$E27,FT$12&lt;=$F27,MOD(FT$12,7)&gt;1,NOT(COUNTIF(General!$U$13:$U$19,FT$12))),$I27,"")</f>
        <v/>
      </c>
      <c r="FU27" s="593" t="str">
        <f>IF(AND(FU$12&gt;=$E27,FU$12&lt;=$F27,MOD(FU$12,7)&gt;1,NOT(COUNTIF(General!$U$13:$U$19,FU$12))),$I27,"")</f>
        <v/>
      </c>
      <c r="FV27" s="582" t="str">
        <f>IF(AND(FV$12&gt;=$E27,FV$12&lt;=$F27,MOD(FV$12,7)&gt;1,NOT(COUNTIF(General!$U$13:$U$19,FV$12))),$I27,"")</f>
        <v/>
      </c>
      <c r="FW27" s="582" t="str">
        <f>IF(AND(FW$12&gt;=$E27,FW$12&lt;=$F27,MOD(FW$12,7)&gt;1,NOT(COUNTIF(General!$U$13:$U$19,FW$12))),$I27,"")</f>
        <v/>
      </c>
      <c r="FX27" s="582" t="str">
        <f>IF(AND(FX$12&gt;=$E27,FX$12&lt;=$F27,MOD(FX$12,7)&gt;1,NOT(COUNTIF(General!$U$13:$U$19,FX$12))),$I27,"")</f>
        <v/>
      </c>
    </row>
    <row r="28" ht="16.5" customHeight="1">
      <c r="A28" s="580">
        <v>389739.0</v>
      </c>
      <c r="B28" s="582" t="s">
        <v>579</v>
      </c>
      <c r="C28" s="582"/>
      <c r="D28" s="576" t="s">
        <v>574</v>
      </c>
      <c r="E28" s="583">
        <v>43812.0</v>
      </c>
      <c r="F28" s="374">
        <f>WORKDAY(E28,ROUNDUP(G28/I28,0),General!$U$13:$U$27)-1</f>
        <v>43814</v>
      </c>
      <c r="G28" s="584">
        <v>0.5</v>
      </c>
      <c r="H28" s="585"/>
      <c r="I28" s="379">
        <v>1.0</v>
      </c>
      <c r="J28" s="587"/>
      <c r="K28" s="588"/>
      <c r="L28" s="588"/>
      <c r="M28" s="589"/>
      <c r="N28" s="590"/>
      <c r="O28" s="591"/>
      <c r="P28" s="592"/>
      <c r="Q28" s="582" t="str">
        <f>IF(AND(Q$12&gt;=$E28,Q$12&lt;=$F28,MOD(Q$12,7)&gt;1,NOT(COUNTIF(General!$U$13:$U$19,Q$12))),$I28,"")</f>
        <v/>
      </c>
      <c r="R28" s="582" t="str">
        <f>IF(AND(R$12&gt;=$E28,R$12&lt;=$F28,MOD(R$12,7)&gt;1,NOT(COUNTIF(General!$U$13:$U$19,R$12))),$I28,"")</f>
        <v/>
      </c>
      <c r="S28" s="582" t="str">
        <f>IF(AND(S$12&gt;=$E28,S$12&lt;=$F28,MOD(S$12,7)&gt;1,NOT(COUNTIF(General!$U$13:$U$19,S$12))),$I28,"")</f>
        <v/>
      </c>
      <c r="T28" s="582" t="str">
        <f>IF(AND(T$12&gt;=$E28,T$12&lt;=$F28,MOD(T$12,7)&gt;1,NOT(COUNTIF(General!$U$13:$U$19,T$12))),$I28,"")</f>
        <v/>
      </c>
      <c r="U28" s="582" t="str">
        <f>IF(AND(U$12&gt;=$E28,U$12&lt;=$F28,MOD(U$12,7)&gt;1,NOT(COUNTIF(General!$U$13:$U$19,U$12))),$I28,"")</f>
        <v/>
      </c>
      <c r="V28" s="593" t="str">
        <f>IF(AND(V$12&gt;=$E28,V$12&lt;=$F28,MOD(V$12,7)&gt;1,NOT(COUNTIF(General!$U$13:$U$19,V$12))),$I28,"")</f>
        <v/>
      </c>
      <c r="W28" s="593" t="str">
        <f>IF(AND(W$12&gt;=$E28,W$12&lt;=$F28,MOD(W$12,7)&gt;1,NOT(COUNTIF(General!$U$13:$U$19,W$12))),$I28,"")</f>
        <v/>
      </c>
      <c r="X28" s="582" t="str">
        <f>IF(AND(X$12&gt;=$E28,X$12&lt;=$F28,MOD(X$12,7)&gt;1,NOT(COUNTIF(General!$U$13:$U$19,X$12))),$I28,"")</f>
        <v/>
      </c>
      <c r="Y28" s="582" t="str">
        <f>IF(AND(Y$12&gt;=$E28,Y$12&lt;=$F28,MOD(Y$12,7)&gt;1,NOT(COUNTIF(General!$U$13:$U$19,Y$12))),$I28,"")</f>
        <v/>
      </c>
      <c r="Z28" s="582" t="str">
        <f>IF(AND(Z$12&gt;=$E28,Z$12&lt;=$F28,MOD(Z$12,7)&gt;1,NOT(COUNTIF(General!$U$13:$U$19,Z$12))),$I28,"")</f>
        <v/>
      </c>
      <c r="AA28" s="582" t="str">
        <f>IF(AND(AA$12&gt;=$E28,AA$12&lt;=$F28,MOD(AA$12,7)&gt;1,NOT(COUNTIF(General!$U$13:$U$19,AA$12))),$I28,"")</f>
        <v/>
      </c>
      <c r="AB28" s="582">
        <f>IF(AND(AB$12&gt;=$E28,AB$12&lt;=$F28,MOD(AB$12,7)&gt;1,NOT(COUNTIF(General!$U$13:$U$19,AB$12))),$I28,"")</f>
        <v>1</v>
      </c>
      <c r="AC28" s="582" t="str">
        <f>IF(AND(AC$12&gt;=$E28,AC$12&lt;=$F28,MOD(AC$12,7)&gt;1,NOT(COUNTIF(General!$U$13:$U$19,AC$12))),$I28,"")</f>
        <v/>
      </c>
      <c r="AD28" s="582" t="str">
        <f>IF(AND(AD$12&gt;=$E28,AD$12&lt;=$F28,MOD(AD$12,7)&gt;1,NOT(COUNTIF(General!$U$13:$U$19,AD$12))),$I28,"")</f>
        <v/>
      </c>
      <c r="AE28" s="582" t="str">
        <f>IF(AND(AE$12&gt;=$E28,AE$12&lt;=$F28,MOD(AE$12,7)&gt;1,NOT(COUNTIF(General!$U$13:$U$19,AE$12))),$I28,"")</f>
        <v/>
      </c>
      <c r="AF28" s="582" t="str">
        <f>IF(AND(AF$12&gt;=$E28,AF$12&lt;=$F28,MOD(AF$12,7)&gt;1,NOT(COUNTIF(General!$U$13:$U$19,AF$12))),$I28,"")</f>
        <v/>
      </c>
      <c r="AG28" s="582" t="str">
        <f>IF(AND(AG$12&gt;=$E28,AG$12&lt;=$F28,MOD(AG$12,7)&gt;1,NOT(COUNTIF(General!$U$13:$U$19,AG$12))),$I28,"")</f>
        <v/>
      </c>
      <c r="AH28" s="582" t="str">
        <f>IF(AND(AH$12&gt;=$E28,AH$12&lt;=$F28,MOD(AH$12,7)&gt;1,NOT(COUNTIF(General!$U$13:$U$19,AH$12))),$I28,"")</f>
        <v/>
      </c>
      <c r="AI28" s="582" t="str">
        <f>IF(AND(AI$12&gt;=$E28,AI$12&lt;=$F28,MOD(AI$12,7)&gt;1,NOT(COUNTIF(General!$U$13:$U$19,AI$12))),$I28,"")</f>
        <v/>
      </c>
      <c r="AJ28" s="593" t="str">
        <f>IF(AND(AJ$12&gt;=$E28,AJ$12&lt;=$F28,MOD(AJ$12,7)&gt;1,NOT(COUNTIF(General!$U$13:$U$19,AJ$12))),$I28,"")</f>
        <v/>
      </c>
      <c r="AK28" s="593" t="str">
        <f>IF(AND(AK$12&gt;=$E28,AK$12&lt;=$F28,MOD(AK$12,7)&gt;1,NOT(COUNTIF(General!$U$13:$U$19,AK$12))),$I28,"")</f>
        <v/>
      </c>
      <c r="AL28" s="582" t="str">
        <f>IF(AND(AL$12&gt;=$E28,AL$12&lt;=$F28,MOD(AL$12,7)&gt;1,NOT(COUNTIF(General!$U$13:$U$19,AL$12))),$I28,"")</f>
        <v/>
      </c>
      <c r="AM28" s="582" t="str">
        <f>IF(AND(AM$12&gt;=$E28,AM$12&lt;=$F28,MOD(AM$12,7)&gt;1,NOT(COUNTIF(General!$U$13:$U$19,AM$12))),$I28,"")</f>
        <v/>
      </c>
      <c r="AN28" s="582" t="str">
        <f>IF(AND(AN$12&gt;=$E28,AN$12&lt;=$F28,MOD(AN$12,7)&gt;1,NOT(COUNTIF(General!$U$13:$U$19,AN$12))),$I28,"")</f>
        <v/>
      </c>
      <c r="AO28" s="582" t="str">
        <f>IF(AND(AO$12&gt;=$E28,AO$12&lt;=$F28,MOD(AO$12,7)&gt;1,NOT(COUNTIF(General!$U$13:$U$19,AO$12))),$I28,"")</f>
        <v/>
      </c>
      <c r="AP28" s="582" t="str">
        <f>IF(AND(AP$12&gt;=$E28,AP$12&lt;=$F28,MOD(AP$12,7)&gt;1,NOT(COUNTIF(General!$U$13:$U$19,AP$12))),$I28,"")</f>
        <v/>
      </c>
      <c r="AQ28" s="593" t="str">
        <f>IF(AND(AQ$12&gt;=$E28,AQ$12&lt;=$F28,MOD(AQ$12,7)&gt;1,NOT(COUNTIF(General!$U$13:$U$19,AQ$12))),$I28,"")</f>
        <v/>
      </c>
      <c r="AR28" s="593" t="str">
        <f>IF(AND(AR$12&gt;=$E28,AR$12&lt;=$F28,MOD(AR$12,7)&gt;1,NOT(COUNTIF(General!$U$13:$U$19,AR$12))),$I28,"")</f>
        <v/>
      </c>
      <c r="AS28" s="582" t="str">
        <f>IF(AND(AS$12&gt;=$E28,AS$12&lt;=$F28,MOD(AS$12,7)&gt;1,NOT(COUNTIF(General!$U$13:$U$19,AS$12))),$I28,"")</f>
        <v/>
      </c>
      <c r="AT28" s="582" t="str">
        <f>IF(AND(AT$12&gt;=$E28,AT$12&lt;=$F28,MOD(AT$12,7)&gt;1,NOT(COUNTIF(General!$U$13:$U$19,AT$12))),$I28,"")</f>
        <v/>
      </c>
      <c r="AU28" s="582" t="str">
        <f>IF(AND(AU$12&gt;=$E28,AU$12&lt;=$F28,MOD(AU$12,7)&gt;1,NOT(COUNTIF(General!$U$13:$U$19,AU$12))),$I28,"")</f>
        <v/>
      </c>
      <c r="AV28" s="582" t="str">
        <f>IF(AND(AV$12&gt;=$E28,AV$12&lt;=$F28,MOD(AV$12,7)&gt;1,NOT(COUNTIF(General!$U$13:$U$19,AV$12))),$I28,"")</f>
        <v/>
      </c>
      <c r="AW28" s="582" t="str">
        <f>IF(AND(AW$12&gt;=$E28,AW$12&lt;=$F28,MOD(AW$12,7)&gt;1,NOT(COUNTIF(General!$U$13:$U$19,AW$12))),$I28,"")</f>
        <v/>
      </c>
      <c r="AX28" s="593" t="str">
        <f>IF(AND(AX$12&gt;=$E28,AX$12&lt;=$F28,MOD(AX$12,7)&gt;1,NOT(COUNTIF(General!$U$13:$U$19,AX$12))),$I28,"")</f>
        <v/>
      </c>
      <c r="AY28" s="593" t="str">
        <f>IF(AND(AY$12&gt;=$E28,AY$12&lt;=$F28,MOD(AY$12,7)&gt;1,NOT(COUNTIF(General!$U$13:$U$19,AY$12))),$I28,"")</f>
        <v/>
      </c>
      <c r="AZ28" s="582" t="str">
        <f>IF(AND(AZ$12&gt;=$E28,AZ$12&lt;=$F28,MOD(AZ$12,7)&gt;1,NOT(COUNTIF(General!$U$13:$U$19,AZ$12))),$I28,"")</f>
        <v/>
      </c>
      <c r="BA28" s="582" t="str">
        <f>IF(AND(BA$12&gt;=$E28,BA$12&lt;=$F28,MOD(BA$12,7)&gt;1,NOT(COUNTIF(General!$U$13:$U$19,BA$12))),$I28,"")</f>
        <v/>
      </c>
      <c r="BB28" s="582" t="str">
        <f>IF(AND(BB$12&gt;=$E28,BB$12&lt;=$F28,MOD(BB$12,7)&gt;1,NOT(COUNTIF(General!$U$13:$U$19,BB$12))),$I28,"")</f>
        <v/>
      </c>
      <c r="BC28" s="582" t="str">
        <f>IF(AND(BC$12&gt;=$E28,BC$12&lt;=$F28,MOD(BC$12,7)&gt;1,NOT(COUNTIF(General!$U$13:$U$19,BC$12))),$I28,"")</f>
        <v/>
      </c>
      <c r="BD28" s="582" t="str">
        <f>IF(AND(BD$12&gt;=$E28,BD$12&lt;=$F28,MOD(BD$12,7)&gt;1,NOT(COUNTIF(General!$U$13:$U$19,BD$12))),$I28,"")</f>
        <v/>
      </c>
      <c r="BE28" s="593" t="str">
        <f>IF(AND(BE$12&gt;=$E28,BE$12&lt;=$F28,MOD(BE$12,7)&gt;1,NOT(COUNTIF(General!$U$13:$U$19,BE$12))),$I28,"")</f>
        <v/>
      </c>
      <c r="BF28" s="593" t="str">
        <f>IF(AND(BF$12&gt;=$E28,BF$12&lt;=$F28,MOD(BF$12,7)&gt;1,NOT(COUNTIF(General!$U$13:$U$19,BF$12))),$I28,"")</f>
        <v/>
      </c>
      <c r="BG28" s="582" t="str">
        <f>IF(AND(BG$12&gt;=$E28,BG$12&lt;=$F28,MOD(BG$12,7)&gt;1,NOT(COUNTIF(General!$U$13:$U$19,BG$12))),$I28,"")</f>
        <v/>
      </c>
      <c r="BH28" s="582" t="str">
        <f>IF(AND(BH$12&gt;=$E28,BH$12&lt;=$F28,MOD(BH$12,7)&gt;1,NOT(COUNTIF(General!$U$13:$U$19,BH$12))),$I28,"")</f>
        <v/>
      </c>
      <c r="BI28" s="582" t="str">
        <f>IF(AND(BI$12&gt;=$E28,BI$12&lt;=$F28,MOD(BI$12,7)&gt;1,NOT(COUNTIF(General!$U$13:$U$19,BI$12))),$I28,"")</f>
        <v/>
      </c>
      <c r="BJ28" s="582" t="str">
        <f>IF(AND(BJ$12&gt;=$E28,BJ$12&lt;=$F28,MOD(BJ$12,7)&gt;1,NOT(COUNTIF(General!$U$13:$U$19,BJ$12))),$I28,"")</f>
        <v/>
      </c>
      <c r="BK28" s="582" t="str">
        <f>IF(AND(BK$12&gt;=$E28,BK$12&lt;=$F28,MOD(BK$12,7)&gt;1,NOT(COUNTIF(General!$U$13:$U$19,BK$12))),$I28,"")</f>
        <v/>
      </c>
      <c r="BL28" s="593" t="str">
        <f>IF(AND(BL$12&gt;=$E28,BL$12&lt;=$F28,MOD(BL$12,7)&gt;1,NOT(COUNTIF(General!$U$13:$U$19,BL$12))),$I28,"")</f>
        <v/>
      </c>
      <c r="BM28" s="593" t="str">
        <f>IF(AND(BM$12&gt;=$E28,BM$12&lt;=$F28,MOD(BM$12,7)&gt;1,NOT(COUNTIF(General!$U$13:$U$19,BM$12))),$I28,"")</f>
        <v/>
      </c>
      <c r="BN28" s="582" t="str">
        <f>IF(AND(BN$12&gt;=$E28,BN$12&lt;=$F28,MOD(BN$12,7)&gt;1,NOT(COUNTIF(General!$U$13:$U$19,BN$12))),$I28,"")</f>
        <v/>
      </c>
      <c r="BO28" s="582" t="str">
        <f>IF(AND(BO$12&gt;=$E28,BO$12&lt;=$F28,MOD(BO$12,7)&gt;1,NOT(COUNTIF(General!$U$13:$U$19,BO$12))),$I28,"")</f>
        <v/>
      </c>
      <c r="BP28" s="582" t="str">
        <f>IF(AND(BP$12&gt;=$E28,BP$12&lt;=$F28,MOD(BP$12,7)&gt;1,NOT(COUNTIF(General!$U$13:$U$19,BP$12))),$I28,"")</f>
        <v/>
      </c>
      <c r="BQ28" s="582" t="str">
        <f>IF(AND(BQ$12&gt;=$E28,BQ$12&lt;=$F28,MOD(BQ$12,7)&gt;1,NOT(COUNTIF(General!$U$13:$U$19,BQ$12))),$I28,"")</f>
        <v/>
      </c>
      <c r="BR28" s="582" t="str">
        <f>IF(AND(BR$12&gt;=$E28,BR$12&lt;=$F28,MOD(BR$12,7)&gt;1,NOT(COUNTIF(General!$U$13:$U$19,BR$12))),$I28,"")</f>
        <v/>
      </c>
      <c r="BS28" s="593" t="str">
        <f>IF(AND(BS$12&gt;=$E28,BS$12&lt;=$F28,MOD(BS$12,7)&gt;1,NOT(COUNTIF(General!$U$13:$U$19,BS$12))),$I28,"")</f>
        <v/>
      </c>
      <c r="BT28" s="593" t="str">
        <f>IF(AND(BT$12&gt;=$E28,BT$12&lt;=$F28,MOD(BT$12,7)&gt;1,NOT(COUNTIF(General!$U$13:$U$19,BT$12))),$I28,"")</f>
        <v/>
      </c>
      <c r="BU28" s="582" t="str">
        <f>IF(AND(BU$12&gt;=$E28,BU$12&lt;=$F28,MOD(BU$12,7)&gt;1,NOT(COUNTIF(General!$U$13:$U$19,BU$12))),$I28,"")</f>
        <v/>
      </c>
      <c r="BV28" s="582" t="str">
        <f>IF(AND(BV$12&gt;=$E28,BV$12&lt;=$F28,MOD(BV$12,7)&gt;1,NOT(COUNTIF(General!$U$13:$U$19,BV$12))),$I28,"")</f>
        <v/>
      </c>
      <c r="BW28" s="582" t="str">
        <f>IF(AND(BW$12&gt;=$E28,BW$12&lt;=$F28,MOD(BW$12,7)&gt;1,NOT(COUNTIF(General!$U$13:$U$19,BW$12))),$I28,"")</f>
        <v/>
      </c>
      <c r="BX28" s="582" t="str">
        <f>IF(AND(BX$12&gt;=$E28,BX$12&lt;=$F28,MOD(BX$12,7)&gt;1,NOT(COUNTIF(General!$U$13:$U$19,BX$12))),$I28,"")</f>
        <v/>
      </c>
      <c r="BY28" s="582" t="str">
        <f>IF(AND(BY$12&gt;=$E28,BY$12&lt;=$F28,MOD(BY$12,7)&gt;1,NOT(COUNTIF(General!$U$13:$U$19,BY$12))),$I28,"")</f>
        <v/>
      </c>
      <c r="BZ28" s="593" t="str">
        <f>IF(AND(BZ$12&gt;=$E28,BZ$12&lt;=$F28,MOD(BZ$12,7)&gt;1,NOT(COUNTIF(General!$U$13:$U$19,BZ$12))),$I28,"")</f>
        <v/>
      </c>
      <c r="CA28" s="593" t="str">
        <f>IF(AND(CA$12&gt;=$E28,CA$12&lt;=$F28,MOD(CA$12,7)&gt;1,NOT(COUNTIF(General!$U$13:$U$19,CA$12))),$I28,"")</f>
        <v/>
      </c>
      <c r="CB28" s="582" t="str">
        <f>IF(AND(CB$12&gt;=$E28,CB$12&lt;=$F28,MOD(CB$12,7)&gt;1,NOT(COUNTIF(General!$U$13:$U$19,CB$12))),$I28,"")</f>
        <v/>
      </c>
      <c r="CC28" s="582" t="str">
        <f>IF(AND(CC$12&gt;=$E28,CC$12&lt;=$F28,MOD(CC$12,7)&gt;1,NOT(COUNTIF(General!$U$13:$U$19,CC$12))),$I28,"")</f>
        <v/>
      </c>
      <c r="CD28" s="582" t="str">
        <f>IF(AND(CD$12&gt;=$E28,CD$12&lt;=$F28,MOD(CD$12,7)&gt;1,NOT(COUNTIF(General!$U$13:$U$19,CD$12))),$I28,"")</f>
        <v/>
      </c>
      <c r="CE28" s="582" t="str">
        <f>IF(AND(CE$12&gt;=$E28,CE$12&lt;=$F28,MOD(CE$12,7)&gt;1,NOT(COUNTIF(General!$U$13:$U$19,CE$12))),$I28,"")</f>
        <v/>
      </c>
      <c r="CF28" s="582" t="str">
        <f>IF(AND(CF$12&gt;=$E28,CF$12&lt;=$F28,MOD(CF$12,7)&gt;1,NOT(COUNTIF(General!$U$13:$U$19,CF$12))),$I28,"")</f>
        <v/>
      </c>
      <c r="CG28" s="593" t="str">
        <f>IF(AND(CG$12&gt;=$E28,CG$12&lt;=$F28,MOD(CG$12,7)&gt;1,NOT(COUNTIF(General!$U$13:$U$19,CG$12))),$I28,"")</f>
        <v/>
      </c>
      <c r="CH28" s="593" t="str">
        <f>IF(AND(CH$12&gt;=$E28,CH$12&lt;=$F28,MOD(CH$12,7)&gt;1,NOT(COUNTIF(General!$U$13:$U$19,CH$12))),$I28,"")</f>
        <v/>
      </c>
      <c r="CI28" s="582" t="str">
        <f>IF(AND(CI$12&gt;=$E28,CI$12&lt;=$F28,MOD(CI$12,7)&gt;1,NOT(COUNTIF(General!$U$13:$U$19,CI$12))),$I28,"")</f>
        <v/>
      </c>
      <c r="CJ28" s="582" t="str">
        <f>IF(AND(CJ$12&gt;=$E28,CJ$12&lt;=$F28,MOD(CJ$12,7)&gt;1,NOT(COUNTIF(General!$U$13:$U$19,CJ$12))),$I28,"")</f>
        <v/>
      </c>
      <c r="CK28" s="582" t="str">
        <f>IF(AND(CK$12&gt;=$E28,CK$12&lt;=$F28,MOD(CK$12,7)&gt;1,NOT(COUNTIF(General!$U$13:$U$19,CK$12))),$I28,"")</f>
        <v/>
      </c>
      <c r="CL28" s="582" t="str">
        <f>IF(AND(CL$12&gt;=$E28,CL$12&lt;=$F28,MOD(CL$12,7)&gt;1,NOT(COUNTIF(General!$U$13:$U$19,CL$12))),$I28,"")</f>
        <v/>
      </c>
      <c r="CM28" s="582" t="str">
        <f>IF(AND(CM$12&gt;=$E28,CM$12&lt;=$F28,MOD(CM$12,7)&gt;1,NOT(COUNTIF(General!$U$13:$U$19,CM$12))),$I28,"")</f>
        <v/>
      </c>
      <c r="CN28" s="593" t="str">
        <f>IF(AND(CN$12&gt;=$E28,CN$12&lt;=$F28,MOD(CN$12,7)&gt;1,NOT(COUNTIF(General!$U$13:$U$19,CN$12))),$I28,"")</f>
        <v/>
      </c>
      <c r="CO28" s="593" t="str">
        <f>IF(AND(CO$12&gt;=$E28,CO$12&lt;=$F28,MOD(CO$12,7)&gt;1,NOT(COUNTIF(General!$U$13:$U$19,CO$12))),$I28,"")</f>
        <v/>
      </c>
      <c r="CP28" s="582" t="str">
        <f>IF(AND(CP$12&gt;=$E28,CP$12&lt;=$F28,MOD(CP$12,7)&gt;1,NOT(COUNTIF(General!$U$13:$U$19,CP$12))),$I28,"")</f>
        <v/>
      </c>
      <c r="CQ28" s="582" t="str">
        <f>IF(AND(CQ$12&gt;=$E28,CQ$12&lt;=$F28,MOD(CQ$12,7)&gt;1,NOT(COUNTIF(General!$U$13:$U$19,CQ$12))),$I28,"")</f>
        <v/>
      </c>
      <c r="CR28" s="582" t="str">
        <f>IF(AND(CR$12&gt;=$E28,CR$12&lt;=$F28,MOD(CR$12,7)&gt;1,NOT(COUNTIF(General!$U$13:$U$19,CR$12))),$I28,"")</f>
        <v/>
      </c>
      <c r="CS28" s="582" t="str">
        <f>IF(AND(CS$12&gt;=$E28,CS$12&lt;=$F28,MOD(CS$12,7)&gt;1,NOT(COUNTIF(General!$U$13:$U$19,CS$12))),$I28,"")</f>
        <v/>
      </c>
      <c r="CT28" s="582" t="str">
        <f>IF(AND(CT$12&gt;=$E28,CT$12&lt;=$F28,MOD(CT$12,7)&gt;1,NOT(COUNTIF(General!$U$13:$U$19,CT$12))),$I28,"")</f>
        <v/>
      </c>
      <c r="CU28" s="593" t="str">
        <f>IF(AND(CU$12&gt;=$E28,CU$12&lt;=$F28,MOD(CU$12,7)&gt;1,NOT(COUNTIF(General!$U$13:$U$19,CU$12))),$I28,"")</f>
        <v/>
      </c>
      <c r="CV28" s="593" t="str">
        <f>IF(AND(CV$12&gt;=$E28,CV$12&lt;=$F28,MOD(CV$12,7)&gt;1,NOT(COUNTIF(General!$U$13:$U$19,CV$12))),$I28,"")</f>
        <v/>
      </c>
      <c r="CW28" s="582" t="str">
        <f>IF(AND(CW$12&gt;=$E28,CW$12&lt;=$F28,MOD(CW$12,7)&gt;1,NOT(COUNTIF(General!$U$13:$U$19,CW$12))),$I28,"")</f>
        <v/>
      </c>
      <c r="CX28" s="582" t="str">
        <f>IF(AND(CX$12&gt;=$E28,CX$12&lt;=$F28,MOD(CX$12,7)&gt;1,NOT(COUNTIF(General!$U$13:$U$19,CX$12))),$I28,"")</f>
        <v/>
      </c>
      <c r="CY28" s="582" t="str">
        <f>IF(AND(CY$12&gt;=$E28,CY$12&lt;=$F28,MOD(CY$12,7)&gt;1,NOT(COUNTIF(General!$U$13:$U$19,CY$12))),$I28,"")</f>
        <v/>
      </c>
      <c r="CZ28" s="582" t="str">
        <f>IF(AND(CZ$12&gt;=$E28,CZ$12&lt;=$F28,MOD(CZ$12,7)&gt;1,NOT(COUNTIF(General!$U$13:$U$19,CZ$12))),$I28,"")</f>
        <v/>
      </c>
      <c r="DA28" s="582" t="str">
        <f>IF(AND(DA$12&gt;=$E28,DA$12&lt;=$F28,MOD(DA$12,7)&gt;1,NOT(COUNTIF(General!$U$13:$U$19,DA$12))),$I28,"")</f>
        <v/>
      </c>
      <c r="DB28" s="593" t="str">
        <f>IF(AND(DB$12&gt;=$E28,DB$12&lt;=$F28,MOD(DB$12,7)&gt;1,NOT(COUNTIF(General!$U$13:$U$19,DB$12))),$I28,"")</f>
        <v/>
      </c>
      <c r="DC28" s="593" t="str">
        <f>IF(AND(DC$12&gt;=$E28,DC$12&lt;=$F28,MOD(DC$12,7)&gt;1,NOT(COUNTIF(General!$U$13:$U$19,DC$12))),$I28,"")</f>
        <v/>
      </c>
      <c r="DD28" s="582" t="str">
        <f>IF(AND(DD$12&gt;=$E28,DD$12&lt;=$F28,MOD(DD$12,7)&gt;1,NOT(COUNTIF(General!$U$13:$U$19,DD$12))),$I28,"")</f>
        <v/>
      </c>
      <c r="DE28" s="582" t="str">
        <f>IF(AND(DE$12&gt;=$E28,DE$12&lt;=$F28,MOD(DE$12,7)&gt;1,NOT(COUNTIF(General!$U$13:$U$19,DE$12))),$I28,"")</f>
        <v/>
      </c>
      <c r="DF28" s="582" t="str">
        <f>IF(AND(DF$12&gt;=$E28,DF$12&lt;=$F28,MOD(DF$12,7)&gt;1,NOT(COUNTIF(General!$U$13:$U$19,DF$12))),$I28,"")</f>
        <v/>
      </c>
      <c r="DG28" s="582" t="str">
        <f>IF(AND(DG$12&gt;=$E28,DG$12&lt;=$F28,MOD(DG$12,7)&gt;1,NOT(COUNTIF(General!$U$13:$U$19,DG$12))),$I28,"")</f>
        <v/>
      </c>
      <c r="DH28" s="582" t="str">
        <f>IF(AND(DH$12&gt;=$E28,DH$12&lt;=$F28,MOD(DH$12,7)&gt;1,NOT(COUNTIF(General!$U$13:$U$19,DH$12))),$I28,"")</f>
        <v/>
      </c>
      <c r="DI28" s="593" t="str">
        <f>IF(AND(DI$12&gt;=$E28,DI$12&lt;=$F28,MOD(DI$12,7)&gt;1,NOT(COUNTIF(General!$U$13:$U$19,DI$12))),$I28,"")</f>
        <v/>
      </c>
      <c r="DJ28" s="593" t="str">
        <f>IF(AND(DJ$12&gt;=$E28,DJ$12&lt;=$F28,MOD(DJ$12,7)&gt;1,NOT(COUNTIF(General!$U$13:$U$19,DJ$12))),$I28,"")</f>
        <v/>
      </c>
      <c r="DK28" s="582" t="str">
        <f>IF(AND(DK$12&gt;=$E28,DK$12&lt;=$F28,MOD(DK$12,7)&gt;1,NOT(COUNTIF(General!$U$13:$U$19,DK$12))),$I28,"")</f>
        <v/>
      </c>
      <c r="DL28" s="582" t="str">
        <f>IF(AND(DL$12&gt;=$E28,DL$12&lt;=$F28,MOD(DL$12,7)&gt;1,NOT(COUNTIF(General!$U$13:$U$19,DL$12))),$I28,"")</f>
        <v/>
      </c>
      <c r="DM28" s="582" t="str">
        <f>IF(AND(DM$12&gt;=$E28,DM$12&lt;=$F28,MOD(DM$12,7)&gt;1,NOT(COUNTIF(General!$U$13:$U$19,DM$12))),$I28,"")</f>
        <v/>
      </c>
      <c r="DN28" s="582" t="str">
        <f>IF(AND(DN$12&gt;=$E28,DN$12&lt;=$F28,MOD(DN$12,7)&gt;1,NOT(COUNTIF(General!$U$13:$U$19,DN$12))),$I28,"")</f>
        <v/>
      </c>
      <c r="DO28" s="582" t="str">
        <f>IF(AND(DO$12&gt;=$E28,DO$12&lt;=$F28,MOD(DO$12,7)&gt;1,NOT(COUNTIF(General!$U$13:$U$19,DO$12))),$I28,"")</f>
        <v/>
      </c>
      <c r="DP28" s="593" t="str">
        <f>IF(AND(DP$12&gt;=$E28,DP$12&lt;=$F28,MOD(DP$12,7)&gt;1,NOT(COUNTIF(General!$U$13:$U$19,DP$12))),$I28,"")</f>
        <v/>
      </c>
      <c r="DQ28" s="593" t="str">
        <f>IF(AND(DQ$12&gt;=$E28,DQ$12&lt;=$F28,MOD(DQ$12,7)&gt;1,NOT(COUNTIF(General!$U$13:$U$19,DQ$12))),$I28,"")</f>
        <v/>
      </c>
      <c r="DR28" s="582" t="str">
        <f>IF(AND(DR$12&gt;=$E28,DR$12&lt;=$F28,MOD(DR$12,7)&gt;1,NOT(COUNTIF(General!$U$13:$U$19,DR$12))),$I28,"")</f>
        <v/>
      </c>
      <c r="DS28" s="582" t="str">
        <f>IF(AND(DS$12&gt;=$E28,DS$12&lt;=$F28,MOD(DS$12,7)&gt;1,NOT(COUNTIF(General!$U$13:$U$19,DS$12))),$I28,"")</f>
        <v/>
      </c>
      <c r="DT28" s="582" t="str">
        <f>IF(AND(DT$12&gt;=$E28,DT$12&lt;=$F28,MOD(DT$12,7)&gt;1,NOT(COUNTIF(General!$U$13:$U$19,DT$12))),$I28,"")</f>
        <v/>
      </c>
      <c r="DU28" s="582" t="str">
        <f>IF(AND(DU$12&gt;=$E28,DU$12&lt;=$F28,MOD(DU$12,7)&gt;1,NOT(COUNTIF(General!$U$13:$U$19,DU$12))),$I28,"")</f>
        <v/>
      </c>
      <c r="DV28" s="582" t="str">
        <f>IF(AND(DV$12&gt;=$E28,DV$12&lt;=$F28,MOD(DV$12,7)&gt;1,NOT(COUNTIF(General!$U$13:$U$19,DV$12))),$I28,"")</f>
        <v/>
      </c>
      <c r="DW28" s="593" t="str">
        <f>IF(AND(DW$12&gt;=$E28,DW$12&lt;=$F28,MOD(DW$12,7)&gt;1,NOT(COUNTIF(General!$U$13:$U$19,DW$12))),$I28,"")</f>
        <v/>
      </c>
      <c r="DX28" s="593" t="str">
        <f>IF(AND(DX$12&gt;=$E28,DX$12&lt;=$F28,MOD(DX$12,7)&gt;1,NOT(COUNTIF(General!$U$13:$U$19,DX$12))),$I28,"")</f>
        <v/>
      </c>
      <c r="DY28" s="582" t="str">
        <f>IF(AND(DY$12&gt;=$E28,DY$12&lt;=$F28,MOD(DY$12,7)&gt;1,NOT(COUNTIF(General!$U$13:$U$19,DY$12))),$I28,"")</f>
        <v/>
      </c>
      <c r="DZ28" s="582" t="str">
        <f>IF(AND(DZ$12&gt;=$E28,DZ$12&lt;=$F28,MOD(DZ$12,7)&gt;1,NOT(COUNTIF(General!$U$13:$U$19,DZ$12))),$I28,"")</f>
        <v/>
      </c>
      <c r="EA28" s="582" t="str">
        <f>IF(AND(EA$12&gt;=$E28,EA$12&lt;=$F28,MOD(EA$12,7)&gt;1,NOT(COUNTIF(General!$U$13:$U$19,EA$12))),$I28,"")</f>
        <v/>
      </c>
      <c r="EB28" s="582" t="str">
        <f>IF(AND(EB$12&gt;=$E28,EB$12&lt;=$F28,MOD(EB$12,7)&gt;1,NOT(COUNTIF(General!$U$13:$U$19,EB$12))),$I28,"")</f>
        <v/>
      </c>
      <c r="EC28" s="582" t="str">
        <f>IF(AND(EC$12&gt;=$E28,EC$12&lt;=$F28,MOD(EC$12,7)&gt;1,NOT(COUNTIF(General!$U$13:$U$19,EC$12))),$I28,"")</f>
        <v/>
      </c>
      <c r="ED28" s="593" t="str">
        <f>IF(AND(ED$12&gt;=$E28,ED$12&lt;=$F28,MOD(ED$12,7)&gt;1,NOT(COUNTIF(General!$U$13:$U$19,ED$12))),$I28,"")</f>
        <v/>
      </c>
      <c r="EE28" s="593" t="str">
        <f>IF(AND(EE$12&gt;=$E28,EE$12&lt;=$F28,MOD(EE$12,7)&gt;1,NOT(COUNTIF(General!$U$13:$U$19,EE$12))),$I28,"")</f>
        <v/>
      </c>
      <c r="EF28" s="582" t="str">
        <f>IF(AND(EF$12&gt;=$E28,EF$12&lt;=$F28,MOD(EF$12,7)&gt;1,NOT(COUNTIF(General!$U$13:$U$19,EF$12))),$I28,"")</f>
        <v/>
      </c>
      <c r="EG28" s="582" t="str">
        <f>IF(AND(EG$12&gt;=$E28,EG$12&lt;=$F28,MOD(EG$12,7)&gt;1,NOT(COUNTIF(General!$U$13:$U$19,EG$12))),$I28,"")</f>
        <v/>
      </c>
      <c r="EH28" s="582" t="str">
        <f>IF(AND(EH$12&gt;=$E28,EH$12&lt;=$F28,MOD(EH$12,7)&gt;1,NOT(COUNTIF(General!$U$13:$U$19,EH$12))),$I28,"")</f>
        <v/>
      </c>
      <c r="EI28" s="582" t="str">
        <f>IF(AND(EI$12&gt;=$E28,EI$12&lt;=$F28,MOD(EI$12,7)&gt;1,NOT(COUNTIF(General!$U$13:$U$19,EI$12))),$I28,"")</f>
        <v/>
      </c>
      <c r="EJ28" s="582" t="str">
        <f>IF(AND(EJ$12&gt;=$E28,EJ$12&lt;=$F28,MOD(EJ$12,7)&gt;1,NOT(COUNTIF(General!$U$13:$U$19,EJ$12))),$I28,"")</f>
        <v/>
      </c>
      <c r="EK28" s="593" t="str">
        <f>IF(AND(EK$12&gt;=$E28,EK$12&lt;=$F28,MOD(EK$12,7)&gt;1,NOT(COUNTIF(General!$U$13:$U$19,EK$12))),$I28,"")</f>
        <v/>
      </c>
      <c r="EL28" s="593" t="str">
        <f>IF(AND(EL$12&gt;=$E28,EL$12&lt;=$F28,MOD(EL$12,7)&gt;1,NOT(COUNTIF(General!$U$13:$U$19,EL$12))),$I28,"")</f>
        <v/>
      </c>
      <c r="EM28" s="582" t="str">
        <f>IF(AND(EM$12&gt;=$E28,EM$12&lt;=$F28,MOD(EM$12,7)&gt;1,NOT(COUNTIF(General!$U$13:$U$19,EM$12))),$I28,"")</f>
        <v/>
      </c>
      <c r="EN28" s="582" t="str">
        <f>IF(AND(EN$12&gt;=$E28,EN$12&lt;=$F28,MOD(EN$12,7)&gt;1,NOT(COUNTIF(General!$U$13:$U$19,EN$12))),$I28,"")</f>
        <v/>
      </c>
      <c r="EO28" s="582" t="str">
        <f>IF(AND(EO$12&gt;=$E28,EO$12&lt;=$F28,MOD(EO$12,7)&gt;1,NOT(COUNTIF(General!$U$13:$U$19,EO$12))),$I28,"")</f>
        <v/>
      </c>
      <c r="EP28" s="582" t="str">
        <f>IF(AND(EP$12&gt;=$E28,EP$12&lt;=$F28,MOD(EP$12,7)&gt;1,NOT(COUNTIF(General!$U$13:$U$19,EP$12))),$I28,"")</f>
        <v/>
      </c>
      <c r="EQ28" s="582" t="str">
        <f>IF(AND(EQ$12&gt;=$E28,EQ$12&lt;=$F28,MOD(EQ$12,7)&gt;1,NOT(COUNTIF(General!$U$13:$U$19,EQ$12))),$I28,"")</f>
        <v/>
      </c>
      <c r="ER28" s="593" t="str">
        <f>IF(AND(ER$12&gt;=$E28,ER$12&lt;=$F28,MOD(ER$12,7)&gt;1,NOT(COUNTIF(General!$U$13:$U$19,ER$12))),$I28,"")</f>
        <v/>
      </c>
      <c r="ES28" s="593" t="str">
        <f>IF(AND(ES$12&gt;=$E28,ES$12&lt;=$F28,MOD(ES$12,7)&gt;1,NOT(COUNTIF(General!$U$13:$U$19,ES$12))),$I28,"")</f>
        <v/>
      </c>
      <c r="ET28" s="582" t="str">
        <f>IF(AND(ET$12&gt;=$E28,ET$12&lt;=$F28,MOD(ET$12,7)&gt;1,NOT(COUNTIF(General!$U$13:$U$19,ET$12))),$I28,"")</f>
        <v/>
      </c>
      <c r="EU28" s="582" t="str">
        <f>IF(AND(EU$12&gt;=$E28,EU$12&lt;=$F28,MOD(EU$12,7)&gt;1,NOT(COUNTIF(General!$U$13:$U$19,EU$12))),$I28,"")</f>
        <v/>
      </c>
      <c r="EV28" s="582" t="str">
        <f>IF(AND(EV$12&gt;=$E28,EV$12&lt;=$F28,MOD(EV$12,7)&gt;1,NOT(COUNTIF(General!$U$13:$U$19,EV$12))),$I28,"")</f>
        <v/>
      </c>
      <c r="EW28" s="582" t="str">
        <f>IF(AND(EW$12&gt;=$E28,EW$12&lt;=$F28,MOD(EW$12,7)&gt;1,NOT(COUNTIF(General!$U$13:$U$19,EW$12))),$I28,"")</f>
        <v/>
      </c>
      <c r="EX28" s="582" t="str">
        <f>IF(AND(EX$12&gt;=$E28,EX$12&lt;=$F28,MOD(EX$12,7)&gt;1,NOT(COUNTIF(General!$U$13:$U$19,EX$12))),$I28,"")</f>
        <v/>
      </c>
      <c r="EY28" s="593" t="str">
        <f>IF(AND(EY$12&gt;=$E28,EY$12&lt;=$F28,MOD(EY$12,7)&gt;1,NOT(COUNTIF(General!$U$13:$U$19,EY$12))),$I28,"")</f>
        <v/>
      </c>
      <c r="EZ28" s="593" t="str">
        <f>IF(AND(EZ$12&gt;=$E28,EZ$12&lt;=$F28,MOD(EZ$12,7)&gt;1,NOT(COUNTIF(General!$U$13:$U$19,EZ$12))),$I28,"")</f>
        <v/>
      </c>
      <c r="FA28" s="582" t="str">
        <f>IF(AND(FA$12&gt;=$E28,FA$12&lt;=$F28,MOD(FA$12,7)&gt;1,NOT(COUNTIF(General!$U$13:$U$19,FA$12))),$I28,"")</f>
        <v/>
      </c>
      <c r="FB28" s="582" t="str">
        <f>IF(AND(FB$12&gt;=$E28,FB$12&lt;=$F28,MOD(FB$12,7)&gt;1,NOT(COUNTIF(General!$U$13:$U$19,FB$12))),$I28,"")</f>
        <v/>
      </c>
      <c r="FC28" s="582" t="str">
        <f>IF(AND(FC$12&gt;=$E28,FC$12&lt;=$F28,MOD(FC$12,7)&gt;1,NOT(COUNTIF(General!$U$13:$U$19,FC$12))),$I28,"")</f>
        <v/>
      </c>
      <c r="FD28" s="582" t="str">
        <f>IF(AND(FD$12&gt;=$E28,FD$12&lt;=$F28,MOD(FD$12,7)&gt;1,NOT(COUNTIF(General!$U$13:$U$19,FD$12))),$I28,"")</f>
        <v/>
      </c>
      <c r="FE28" s="582" t="str">
        <f>IF(AND(FE$12&gt;=$E28,FE$12&lt;=$F28,MOD(FE$12,7)&gt;1,NOT(COUNTIF(General!$U$13:$U$19,FE$12))),$I28,"")</f>
        <v/>
      </c>
      <c r="FF28" s="593" t="str">
        <f>IF(AND(FF$12&gt;=$E28,FF$12&lt;=$F28,MOD(FF$12,7)&gt;1,NOT(COUNTIF(General!$U$13:$U$19,FF$12))),$I28,"")</f>
        <v/>
      </c>
      <c r="FG28" s="593" t="str">
        <f>IF(AND(FG$12&gt;=$E28,FG$12&lt;=$F28,MOD(FG$12,7)&gt;1,NOT(COUNTIF(General!$U$13:$U$19,FG$12))),$I28,"")</f>
        <v/>
      </c>
      <c r="FH28" s="582" t="str">
        <f>IF(AND(FH$12&gt;=$E28,FH$12&lt;=$F28,MOD(FH$12,7)&gt;1,NOT(COUNTIF(General!$U$13:$U$19,FH$12))),$I28,"")</f>
        <v/>
      </c>
      <c r="FI28" s="582" t="str">
        <f>IF(AND(FI$12&gt;=$E28,FI$12&lt;=$F28,MOD(FI$12,7)&gt;1,NOT(COUNTIF(General!$U$13:$U$19,FI$12))),$I28,"")</f>
        <v/>
      </c>
      <c r="FJ28" s="582" t="str">
        <f>IF(AND(FJ$12&gt;=$E28,FJ$12&lt;=$F28,MOD(FJ$12,7)&gt;1,NOT(COUNTIF(General!$U$13:$U$19,FJ$12))),$I28,"")</f>
        <v/>
      </c>
      <c r="FK28" s="582" t="str">
        <f>IF(AND(FK$12&gt;=$E28,FK$12&lt;=$F28,MOD(FK$12,7)&gt;1,NOT(COUNTIF(General!$U$13:$U$19,FK$12))),$I28,"")</f>
        <v/>
      </c>
      <c r="FL28" s="582" t="str">
        <f>IF(AND(FL$12&gt;=$E28,FL$12&lt;=$F28,MOD(FL$12,7)&gt;1,NOT(COUNTIF(General!$U$13:$U$19,FL$12))),$I28,"")</f>
        <v/>
      </c>
      <c r="FM28" s="593" t="str">
        <f>IF(AND(FM$12&gt;=$E28,FM$12&lt;=$F28,MOD(FM$12,7)&gt;1,NOT(COUNTIF(General!$U$13:$U$19,FM$12))),$I28,"")</f>
        <v/>
      </c>
      <c r="FN28" s="593" t="str">
        <f>IF(AND(FN$12&gt;=$E28,FN$12&lt;=$F28,MOD(FN$12,7)&gt;1,NOT(COUNTIF(General!$U$13:$U$19,FN$12))),$I28,"")</f>
        <v/>
      </c>
      <c r="FO28" s="582" t="str">
        <f>IF(AND(FO$12&gt;=$E28,FO$12&lt;=$F28,MOD(FO$12,7)&gt;1,NOT(COUNTIF(General!$U$13:$U$19,FO$12))),$I28,"")</f>
        <v/>
      </c>
      <c r="FP28" s="582" t="str">
        <f>IF(AND(FP$12&gt;=$E28,FP$12&lt;=$F28,MOD(FP$12,7)&gt;1,NOT(COUNTIF(General!$U$13:$U$19,FP$12))),$I28,"")</f>
        <v/>
      </c>
      <c r="FQ28" s="582" t="str">
        <f>IF(AND(FQ$12&gt;=$E28,FQ$12&lt;=$F28,MOD(FQ$12,7)&gt;1,NOT(COUNTIF(General!$U$13:$U$19,FQ$12))),$I28,"")</f>
        <v/>
      </c>
      <c r="FR28" s="582" t="str">
        <f>IF(AND(FR$12&gt;=$E28,FR$12&lt;=$F28,MOD(FR$12,7)&gt;1,NOT(COUNTIF(General!$U$13:$U$19,FR$12))),$I28,"")</f>
        <v/>
      </c>
      <c r="FS28" s="582" t="str">
        <f>IF(AND(FS$12&gt;=$E28,FS$12&lt;=$F28,MOD(FS$12,7)&gt;1,NOT(COUNTIF(General!$U$13:$U$19,FS$12))),$I28,"")</f>
        <v/>
      </c>
      <c r="FT28" s="593" t="str">
        <f>IF(AND(FT$12&gt;=$E28,FT$12&lt;=$F28,MOD(FT$12,7)&gt;1,NOT(COUNTIF(General!$U$13:$U$19,FT$12))),$I28,"")</f>
        <v/>
      </c>
      <c r="FU28" s="593" t="str">
        <f>IF(AND(FU$12&gt;=$E28,FU$12&lt;=$F28,MOD(FU$12,7)&gt;1,NOT(COUNTIF(General!$U$13:$U$19,FU$12))),$I28,"")</f>
        <v/>
      </c>
      <c r="FV28" s="582" t="str">
        <f>IF(AND(FV$12&gt;=$E28,FV$12&lt;=$F28,MOD(FV$12,7)&gt;1,NOT(COUNTIF(General!$U$13:$U$19,FV$12))),$I28,"")</f>
        <v/>
      </c>
      <c r="FW28" s="582" t="str">
        <f>IF(AND(FW$12&gt;=$E28,FW$12&lt;=$F28,MOD(FW$12,7)&gt;1,NOT(COUNTIF(General!$U$13:$U$19,FW$12))),$I28,"")</f>
        <v/>
      </c>
      <c r="FX28" s="582" t="str">
        <f>IF(AND(FX$12&gt;=$E28,FX$12&lt;=$F28,MOD(FX$12,7)&gt;1,NOT(COUNTIF(General!$U$13:$U$19,FX$12))),$I28,"")</f>
        <v/>
      </c>
    </row>
    <row r="29" ht="16.5" customHeight="1">
      <c r="A29" s="594"/>
      <c r="B29" s="582"/>
      <c r="C29" s="582"/>
      <c r="D29" s="611" t="s">
        <v>571</v>
      </c>
      <c r="E29" s="583">
        <v>43815.0</v>
      </c>
      <c r="F29" s="374">
        <f>WORKDAY(E29,ROUNDUP(G29/I29,0),General!$U$13:$U$27)-1</f>
        <v>43815</v>
      </c>
      <c r="G29" s="542">
        <f>G28*0.4</f>
        <v>0.2</v>
      </c>
      <c r="H29" s="585"/>
      <c r="I29" s="379">
        <v>1.0</v>
      </c>
      <c r="J29" s="587"/>
      <c r="K29" s="588"/>
      <c r="L29" s="588"/>
      <c r="M29" s="589"/>
      <c r="N29" s="590"/>
      <c r="O29" s="591"/>
      <c r="P29" s="592"/>
      <c r="Q29" s="582" t="str">
        <f>IF(AND(Q$12&gt;=$E29,Q$12&lt;=$F29,MOD(Q$12,7)&gt;1,NOT(COUNTIF(General!$U$13:$U$19,Q$12))),$I29,"")</f>
        <v/>
      </c>
      <c r="R29" s="582" t="str">
        <f>IF(AND(R$12&gt;=$E29,R$12&lt;=$F29,MOD(R$12,7)&gt;1,NOT(COUNTIF(General!$U$13:$U$19,R$12))),$I29,"")</f>
        <v/>
      </c>
      <c r="S29" s="582" t="str">
        <f>IF(AND(S$12&gt;=$E29,S$12&lt;=$F29,MOD(S$12,7)&gt;1,NOT(COUNTIF(General!$U$13:$U$19,S$12))),$I29,"")</f>
        <v/>
      </c>
      <c r="T29" s="582" t="str">
        <f>IF(AND(T$12&gt;=$E29,T$12&lt;=$F29,MOD(T$12,7)&gt;1,NOT(COUNTIF(General!$U$13:$U$19,T$12))),$I29,"")</f>
        <v/>
      </c>
      <c r="U29" s="582" t="str">
        <f>IF(AND(U$12&gt;=$E29,U$12&lt;=$F29,MOD(U$12,7)&gt;1,NOT(COUNTIF(General!$U$13:$U$19,U$12))),$I29,"")</f>
        <v/>
      </c>
      <c r="V29" s="593" t="str">
        <f>IF(AND(V$12&gt;=$E29,V$12&lt;=$F29,MOD(V$12,7)&gt;1,NOT(COUNTIF(General!$U$13:$U$19,V$12))),$I29,"")</f>
        <v/>
      </c>
      <c r="W29" s="593" t="str">
        <f>IF(AND(W$12&gt;=$E29,W$12&lt;=$F29,MOD(W$12,7)&gt;1,NOT(COUNTIF(General!$U$13:$U$19,W$12))),$I29,"")</f>
        <v/>
      </c>
      <c r="X29" s="582" t="str">
        <f>IF(AND(X$12&gt;=$E29,X$12&lt;=$F29,MOD(X$12,7)&gt;1,NOT(COUNTIF(General!$U$13:$U$19,X$12))),$I29,"")</f>
        <v/>
      </c>
      <c r="Y29" s="582" t="str">
        <f>IF(AND(Y$12&gt;=$E29,Y$12&lt;=$F29,MOD(Y$12,7)&gt;1,NOT(COUNTIF(General!$U$13:$U$19,Y$12))),$I29,"")</f>
        <v/>
      </c>
      <c r="Z29" s="582" t="str">
        <f>IF(AND(Z$12&gt;=$E29,Z$12&lt;=$F29,MOD(Z$12,7)&gt;1,NOT(COUNTIF(General!$U$13:$U$19,Z$12))),$I29,"")</f>
        <v/>
      </c>
      <c r="AA29" s="582" t="str">
        <f>IF(AND(AA$12&gt;=$E29,AA$12&lt;=$F29,MOD(AA$12,7)&gt;1,NOT(COUNTIF(General!$U$13:$U$19,AA$12))),$I29,"")</f>
        <v/>
      </c>
      <c r="AB29" s="582" t="str">
        <f>IF(AND(AB$12&gt;=$E29,AB$12&lt;=$F29,MOD(AB$12,7)&gt;1,NOT(COUNTIF(General!$U$13:$U$19,AB$12))),$I29,"")</f>
        <v/>
      </c>
      <c r="AC29" s="582" t="str">
        <f>IF(AND(AC$12&gt;=$E29,AC$12&lt;=$F29,MOD(AC$12,7)&gt;1,NOT(COUNTIF(General!$U$13:$U$19,AC$12))),$I29,"")</f>
        <v/>
      </c>
      <c r="AD29" s="582" t="str">
        <f>IF(AND(AD$12&gt;=$E29,AD$12&lt;=$F29,MOD(AD$12,7)&gt;1,NOT(COUNTIF(General!$U$13:$U$19,AD$12))),$I29,"")</f>
        <v/>
      </c>
      <c r="AE29" s="582">
        <f>IF(AND(AE$12&gt;=$E29,AE$12&lt;=$F29,MOD(AE$12,7)&gt;1,NOT(COUNTIF(General!$U$13:$U$19,AE$12))),$I29,"")</f>
        <v>1</v>
      </c>
      <c r="AF29" s="582" t="str">
        <f>IF(AND(AF$12&gt;=$E29,AF$12&lt;=$F29,MOD(AF$12,7)&gt;1,NOT(COUNTIF(General!$U$13:$U$19,AF$12))),$I29,"")</f>
        <v/>
      </c>
      <c r="AG29" s="582" t="str">
        <f>IF(AND(AG$12&gt;=$E29,AG$12&lt;=$F29,MOD(AG$12,7)&gt;1,NOT(COUNTIF(General!$U$13:$U$19,AG$12))),$I29,"")</f>
        <v/>
      </c>
      <c r="AH29" s="582" t="str">
        <f>IF(AND(AH$12&gt;=$E29,AH$12&lt;=$F29,MOD(AH$12,7)&gt;1,NOT(COUNTIF(General!$U$13:$U$19,AH$12))),$I29,"")</f>
        <v/>
      </c>
      <c r="AI29" s="582" t="str">
        <f>IF(AND(AI$12&gt;=$E29,AI$12&lt;=$F29,MOD(AI$12,7)&gt;1,NOT(COUNTIF(General!$U$13:$U$19,AI$12))),$I29,"")</f>
        <v/>
      </c>
      <c r="AJ29" s="593" t="str">
        <f>IF(AND(AJ$12&gt;=$E29,AJ$12&lt;=$F29,MOD(AJ$12,7)&gt;1,NOT(COUNTIF(General!$U$13:$U$19,AJ$12))),$I29,"")</f>
        <v/>
      </c>
      <c r="AK29" s="593" t="str">
        <f>IF(AND(AK$12&gt;=$E29,AK$12&lt;=$F29,MOD(AK$12,7)&gt;1,NOT(COUNTIF(General!$U$13:$U$19,AK$12))),$I29,"")</f>
        <v/>
      </c>
      <c r="AL29" s="582" t="str">
        <f>IF(AND(AL$12&gt;=$E29,AL$12&lt;=$F29,MOD(AL$12,7)&gt;1,NOT(COUNTIF(General!$U$13:$U$19,AL$12))),$I29,"")</f>
        <v/>
      </c>
      <c r="AM29" s="582" t="str">
        <f>IF(AND(AM$12&gt;=$E29,AM$12&lt;=$F29,MOD(AM$12,7)&gt;1,NOT(COUNTIF(General!$U$13:$U$19,AM$12))),$I29,"")</f>
        <v/>
      </c>
      <c r="AN29" s="582" t="str">
        <f>IF(AND(AN$12&gt;=$E29,AN$12&lt;=$F29,MOD(AN$12,7)&gt;1,NOT(COUNTIF(General!$U$13:$U$19,AN$12))),$I29,"")</f>
        <v/>
      </c>
      <c r="AO29" s="582" t="str">
        <f>IF(AND(AO$12&gt;=$E29,AO$12&lt;=$F29,MOD(AO$12,7)&gt;1,NOT(COUNTIF(General!$U$13:$U$19,AO$12))),$I29,"")</f>
        <v/>
      </c>
      <c r="AP29" s="582" t="str">
        <f>IF(AND(AP$12&gt;=$E29,AP$12&lt;=$F29,MOD(AP$12,7)&gt;1,NOT(COUNTIF(General!$U$13:$U$19,AP$12))),$I29,"")</f>
        <v/>
      </c>
      <c r="AQ29" s="593" t="str">
        <f>IF(AND(AQ$12&gt;=$E29,AQ$12&lt;=$F29,MOD(AQ$12,7)&gt;1,NOT(COUNTIF(General!$U$13:$U$19,AQ$12))),$I29,"")</f>
        <v/>
      </c>
      <c r="AR29" s="593" t="str">
        <f>IF(AND(AR$12&gt;=$E29,AR$12&lt;=$F29,MOD(AR$12,7)&gt;1,NOT(COUNTIF(General!$U$13:$U$19,AR$12))),$I29,"")</f>
        <v/>
      </c>
      <c r="AS29" s="582" t="str">
        <f>IF(AND(AS$12&gt;=$E29,AS$12&lt;=$F29,MOD(AS$12,7)&gt;1,NOT(COUNTIF(General!$U$13:$U$19,AS$12))),$I29,"")</f>
        <v/>
      </c>
      <c r="AT29" s="582" t="str">
        <f>IF(AND(AT$12&gt;=$E29,AT$12&lt;=$F29,MOD(AT$12,7)&gt;1,NOT(COUNTIF(General!$U$13:$U$19,AT$12))),$I29,"")</f>
        <v/>
      </c>
      <c r="AU29" s="582" t="str">
        <f>IF(AND(AU$12&gt;=$E29,AU$12&lt;=$F29,MOD(AU$12,7)&gt;1,NOT(COUNTIF(General!$U$13:$U$19,AU$12))),$I29,"")</f>
        <v/>
      </c>
      <c r="AV29" s="582" t="str">
        <f>IF(AND(AV$12&gt;=$E29,AV$12&lt;=$F29,MOD(AV$12,7)&gt;1,NOT(COUNTIF(General!$U$13:$U$19,AV$12))),$I29,"")</f>
        <v/>
      </c>
      <c r="AW29" s="582" t="str">
        <f>IF(AND(AW$12&gt;=$E29,AW$12&lt;=$F29,MOD(AW$12,7)&gt;1,NOT(COUNTIF(General!$U$13:$U$19,AW$12))),$I29,"")</f>
        <v/>
      </c>
      <c r="AX29" s="593" t="str">
        <f>IF(AND(AX$12&gt;=$E29,AX$12&lt;=$F29,MOD(AX$12,7)&gt;1,NOT(COUNTIF(General!$U$13:$U$19,AX$12))),$I29,"")</f>
        <v/>
      </c>
      <c r="AY29" s="593" t="str">
        <f>IF(AND(AY$12&gt;=$E29,AY$12&lt;=$F29,MOD(AY$12,7)&gt;1,NOT(COUNTIF(General!$U$13:$U$19,AY$12))),$I29,"")</f>
        <v/>
      </c>
      <c r="AZ29" s="582" t="str">
        <f>IF(AND(AZ$12&gt;=$E29,AZ$12&lt;=$F29,MOD(AZ$12,7)&gt;1,NOT(COUNTIF(General!$U$13:$U$19,AZ$12))),$I29,"")</f>
        <v/>
      </c>
      <c r="BA29" s="582" t="str">
        <f>IF(AND(BA$12&gt;=$E29,BA$12&lt;=$F29,MOD(BA$12,7)&gt;1,NOT(COUNTIF(General!$U$13:$U$19,BA$12))),$I29,"")</f>
        <v/>
      </c>
      <c r="BB29" s="582" t="str">
        <f>IF(AND(BB$12&gt;=$E29,BB$12&lt;=$F29,MOD(BB$12,7)&gt;1,NOT(COUNTIF(General!$U$13:$U$19,BB$12))),$I29,"")</f>
        <v/>
      </c>
      <c r="BC29" s="582" t="str">
        <f>IF(AND(BC$12&gt;=$E29,BC$12&lt;=$F29,MOD(BC$12,7)&gt;1,NOT(COUNTIF(General!$U$13:$U$19,BC$12))),$I29,"")</f>
        <v/>
      </c>
      <c r="BD29" s="582" t="str">
        <f>IF(AND(BD$12&gt;=$E29,BD$12&lt;=$F29,MOD(BD$12,7)&gt;1,NOT(COUNTIF(General!$U$13:$U$19,BD$12))),$I29,"")</f>
        <v/>
      </c>
      <c r="BE29" s="593" t="str">
        <f>IF(AND(BE$12&gt;=$E29,BE$12&lt;=$F29,MOD(BE$12,7)&gt;1,NOT(COUNTIF(General!$U$13:$U$19,BE$12))),$I29,"")</f>
        <v/>
      </c>
      <c r="BF29" s="593" t="str">
        <f>IF(AND(BF$12&gt;=$E29,BF$12&lt;=$F29,MOD(BF$12,7)&gt;1,NOT(COUNTIF(General!$U$13:$U$19,BF$12))),$I29,"")</f>
        <v/>
      </c>
      <c r="BG29" s="582" t="str">
        <f>IF(AND(BG$12&gt;=$E29,BG$12&lt;=$F29,MOD(BG$12,7)&gt;1,NOT(COUNTIF(General!$U$13:$U$19,BG$12))),$I29,"")</f>
        <v/>
      </c>
      <c r="BH29" s="582" t="str">
        <f>IF(AND(BH$12&gt;=$E29,BH$12&lt;=$F29,MOD(BH$12,7)&gt;1,NOT(COUNTIF(General!$U$13:$U$19,BH$12))),$I29,"")</f>
        <v/>
      </c>
      <c r="BI29" s="582" t="str">
        <f>IF(AND(BI$12&gt;=$E29,BI$12&lt;=$F29,MOD(BI$12,7)&gt;1,NOT(COUNTIF(General!$U$13:$U$19,BI$12))),$I29,"")</f>
        <v/>
      </c>
      <c r="BJ29" s="582" t="str">
        <f>IF(AND(BJ$12&gt;=$E29,BJ$12&lt;=$F29,MOD(BJ$12,7)&gt;1,NOT(COUNTIF(General!$U$13:$U$19,BJ$12))),$I29,"")</f>
        <v/>
      </c>
      <c r="BK29" s="582" t="str">
        <f>IF(AND(BK$12&gt;=$E29,BK$12&lt;=$F29,MOD(BK$12,7)&gt;1,NOT(COUNTIF(General!$U$13:$U$19,BK$12))),$I29,"")</f>
        <v/>
      </c>
      <c r="BL29" s="593" t="str">
        <f>IF(AND(BL$12&gt;=$E29,BL$12&lt;=$F29,MOD(BL$12,7)&gt;1,NOT(COUNTIF(General!$U$13:$U$19,BL$12))),$I29,"")</f>
        <v/>
      </c>
      <c r="BM29" s="593" t="str">
        <f>IF(AND(BM$12&gt;=$E29,BM$12&lt;=$F29,MOD(BM$12,7)&gt;1,NOT(COUNTIF(General!$U$13:$U$19,BM$12))),$I29,"")</f>
        <v/>
      </c>
      <c r="BN29" s="582" t="str">
        <f>IF(AND(BN$12&gt;=$E29,BN$12&lt;=$F29,MOD(BN$12,7)&gt;1,NOT(COUNTIF(General!$U$13:$U$19,BN$12))),$I29,"")</f>
        <v/>
      </c>
      <c r="BO29" s="582" t="str">
        <f>IF(AND(BO$12&gt;=$E29,BO$12&lt;=$F29,MOD(BO$12,7)&gt;1,NOT(COUNTIF(General!$U$13:$U$19,BO$12))),$I29,"")</f>
        <v/>
      </c>
      <c r="BP29" s="582" t="str">
        <f>IF(AND(BP$12&gt;=$E29,BP$12&lt;=$F29,MOD(BP$12,7)&gt;1,NOT(COUNTIF(General!$U$13:$U$19,BP$12))),$I29,"")</f>
        <v/>
      </c>
      <c r="BQ29" s="582" t="str">
        <f>IF(AND(BQ$12&gt;=$E29,BQ$12&lt;=$F29,MOD(BQ$12,7)&gt;1,NOT(COUNTIF(General!$U$13:$U$19,BQ$12))),$I29,"")</f>
        <v/>
      </c>
      <c r="BR29" s="582" t="str">
        <f>IF(AND(BR$12&gt;=$E29,BR$12&lt;=$F29,MOD(BR$12,7)&gt;1,NOT(COUNTIF(General!$U$13:$U$19,BR$12))),$I29,"")</f>
        <v/>
      </c>
      <c r="BS29" s="593" t="str">
        <f>IF(AND(BS$12&gt;=$E29,BS$12&lt;=$F29,MOD(BS$12,7)&gt;1,NOT(COUNTIF(General!$U$13:$U$19,BS$12))),$I29,"")</f>
        <v/>
      </c>
      <c r="BT29" s="593" t="str">
        <f>IF(AND(BT$12&gt;=$E29,BT$12&lt;=$F29,MOD(BT$12,7)&gt;1,NOT(COUNTIF(General!$U$13:$U$19,BT$12))),$I29,"")</f>
        <v/>
      </c>
      <c r="BU29" s="582" t="str">
        <f>IF(AND(BU$12&gt;=$E29,BU$12&lt;=$F29,MOD(BU$12,7)&gt;1,NOT(COUNTIF(General!$U$13:$U$19,BU$12))),$I29,"")</f>
        <v/>
      </c>
      <c r="BV29" s="582" t="str">
        <f>IF(AND(BV$12&gt;=$E29,BV$12&lt;=$F29,MOD(BV$12,7)&gt;1,NOT(COUNTIF(General!$U$13:$U$19,BV$12))),$I29,"")</f>
        <v/>
      </c>
      <c r="BW29" s="582" t="str">
        <f>IF(AND(BW$12&gt;=$E29,BW$12&lt;=$F29,MOD(BW$12,7)&gt;1,NOT(COUNTIF(General!$U$13:$U$19,BW$12))),$I29,"")</f>
        <v/>
      </c>
      <c r="BX29" s="582" t="str">
        <f>IF(AND(BX$12&gt;=$E29,BX$12&lt;=$F29,MOD(BX$12,7)&gt;1,NOT(COUNTIF(General!$U$13:$U$19,BX$12))),$I29,"")</f>
        <v/>
      </c>
      <c r="BY29" s="582" t="str">
        <f>IF(AND(BY$12&gt;=$E29,BY$12&lt;=$F29,MOD(BY$12,7)&gt;1,NOT(COUNTIF(General!$U$13:$U$19,BY$12))),$I29,"")</f>
        <v/>
      </c>
      <c r="BZ29" s="593" t="str">
        <f>IF(AND(BZ$12&gt;=$E29,BZ$12&lt;=$F29,MOD(BZ$12,7)&gt;1,NOT(COUNTIF(General!$U$13:$U$19,BZ$12))),$I29,"")</f>
        <v/>
      </c>
      <c r="CA29" s="593" t="str">
        <f>IF(AND(CA$12&gt;=$E29,CA$12&lt;=$F29,MOD(CA$12,7)&gt;1,NOT(COUNTIF(General!$U$13:$U$19,CA$12))),$I29,"")</f>
        <v/>
      </c>
      <c r="CB29" s="582" t="str">
        <f>IF(AND(CB$12&gt;=$E29,CB$12&lt;=$F29,MOD(CB$12,7)&gt;1,NOT(COUNTIF(General!$U$13:$U$19,CB$12))),$I29,"")</f>
        <v/>
      </c>
      <c r="CC29" s="582" t="str">
        <f>IF(AND(CC$12&gt;=$E29,CC$12&lt;=$F29,MOD(CC$12,7)&gt;1,NOT(COUNTIF(General!$U$13:$U$19,CC$12))),$I29,"")</f>
        <v/>
      </c>
      <c r="CD29" s="582" t="str">
        <f>IF(AND(CD$12&gt;=$E29,CD$12&lt;=$F29,MOD(CD$12,7)&gt;1,NOT(COUNTIF(General!$U$13:$U$19,CD$12))),$I29,"")</f>
        <v/>
      </c>
      <c r="CE29" s="582" t="str">
        <f>IF(AND(CE$12&gt;=$E29,CE$12&lt;=$F29,MOD(CE$12,7)&gt;1,NOT(COUNTIF(General!$U$13:$U$19,CE$12))),$I29,"")</f>
        <v/>
      </c>
      <c r="CF29" s="582" t="str">
        <f>IF(AND(CF$12&gt;=$E29,CF$12&lt;=$F29,MOD(CF$12,7)&gt;1,NOT(COUNTIF(General!$U$13:$U$19,CF$12))),$I29,"")</f>
        <v/>
      </c>
      <c r="CG29" s="593" t="str">
        <f>IF(AND(CG$12&gt;=$E29,CG$12&lt;=$F29,MOD(CG$12,7)&gt;1,NOT(COUNTIF(General!$U$13:$U$19,CG$12))),$I29,"")</f>
        <v/>
      </c>
      <c r="CH29" s="593" t="str">
        <f>IF(AND(CH$12&gt;=$E29,CH$12&lt;=$F29,MOD(CH$12,7)&gt;1,NOT(COUNTIF(General!$U$13:$U$19,CH$12))),$I29,"")</f>
        <v/>
      </c>
      <c r="CI29" s="582" t="str">
        <f>IF(AND(CI$12&gt;=$E29,CI$12&lt;=$F29,MOD(CI$12,7)&gt;1,NOT(COUNTIF(General!$U$13:$U$19,CI$12))),$I29,"")</f>
        <v/>
      </c>
      <c r="CJ29" s="582" t="str">
        <f>IF(AND(CJ$12&gt;=$E29,CJ$12&lt;=$F29,MOD(CJ$12,7)&gt;1,NOT(COUNTIF(General!$U$13:$U$19,CJ$12))),$I29,"")</f>
        <v/>
      </c>
      <c r="CK29" s="582" t="str">
        <f>IF(AND(CK$12&gt;=$E29,CK$12&lt;=$F29,MOD(CK$12,7)&gt;1,NOT(COUNTIF(General!$U$13:$U$19,CK$12))),$I29,"")</f>
        <v/>
      </c>
      <c r="CL29" s="582" t="str">
        <f>IF(AND(CL$12&gt;=$E29,CL$12&lt;=$F29,MOD(CL$12,7)&gt;1,NOT(COUNTIF(General!$U$13:$U$19,CL$12))),$I29,"")</f>
        <v/>
      </c>
      <c r="CM29" s="582" t="str">
        <f>IF(AND(CM$12&gt;=$E29,CM$12&lt;=$F29,MOD(CM$12,7)&gt;1,NOT(COUNTIF(General!$U$13:$U$19,CM$12))),$I29,"")</f>
        <v/>
      </c>
      <c r="CN29" s="593" t="str">
        <f>IF(AND(CN$12&gt;=$E29,CN$12&lt;=$F29,MOD(CN$12,7)&gt;1,NOT(COUNTIF(General!$U$13:$U$19,CN$12))),$I29,"")</f>
        <v/>
      </c>
      <c r="CO29" s="593" t="str">
        <f>IF(AND(CO$12&gt;=$E29,CO$12&lt;=$F29,MOD(CO$12,7)&gt;1,NOT(COUNTIF(General!$U$13:$U$19,CO$12))),$I29,"")</f>
        <v/>
      </c>
      <c r="CP29" s="582" t="str">
        <f>IF(AND(CP$12&gt;=$E29,CP$12&lt;=$F29,MOD(CP$12,7)&gt;1,NOT(COUNTIF(General!$U$13:$U$19,CP$12))),$I29,"")</f>
        <v/>
      </c>
      <c r="CQ29" s="582" t="str">
        <f>IF(AND(CQ$12&gt;=$E29,CQ$12&lt;=$F29,MOD(CQ$12,7)&gt;1,NOT(COUNTIF(General!$U$13:$U$19,CQ$12))),$I29,"")</f>
        <v/>
      </c>
      <c r="CR29" s="582" t="str">
        <f>IF(AND(CR$12&gt;=$E29,CR$12&lt;=$F29,MOD(CR$12,7)&gt;1,NOT(COUNTIF(General!$U$13:$U$19,CR$12))),$I29,"")</f>
        <v/>
      </c>
      <c r="CS29" s="582" t="str">
        <f>IF(AND(CS$12&gt;=$E29,CS$12&lt;=$F29,MOD(CS$12,7)&gt;1,NOT(COUNTIF(General!$U$13:$U$19,CS$12))),$I29,"")</f>
        <v/>
      </c>
      <c r="CT29" s="582" t="str">
        <f>IF(AND(CT$12&gt;=$E29,CT$12&lt;=$F29,MOD(CT$12,7)&gt;1,NOT(COUNTIF(General!$U$13:$U$19,CT$12))),$I29,"")</f>
        <v/>
      </c>
      <c r="CU29" s="593" t="str">
        <f>IF(AND(CU$12&gt;=$E29,CU$12&lt;=$F29,MOD(CU$12,7)&gt;1,NOT(COUNTIF(General!$U$13:$U$19,CU$12))),$I29,"")</f>
        <v/>
      </c>
      <c r="CV29" s="593" t="str">
        <f>IF(AND(CV$12&gt;=$E29,CV$12&lt;=$F29,MOD(CV$12,7)&gt;1,NOT(COUNTIF(General!$U$13:$U$19,CV$12))),$I29,"")</f>
        <v/>
      </c>
      <c r="CW29" s="582" t="str">
        <f>IF(AND(CW$12&gt;=$E29,CW$12&lt;=$F29,MOD(CW$12,7)&gt;1,NOT(COUNTIF(General!$U$13:$U$19,CW$12))),$I29,"")</f>
        <v/>
      </c>
      <c r="CX29" s="582" t="str">
        <f>IF(AND(CX$12&gt;=$E29,CX$12&lt;=$F29,MOD(CX$12,7)&gt;1,NOT(COUNTIF(General!$U$13:$U$19,CX$12))),$I29,"")</f>
        <v/>
      </c>
      <c r="CY29" s="582" t="str">
        <f>IF(AND(CY$12&gt;=$E29,CY$12&lt;=$F29,MOD(CY$12,7)&gt;1,NOT(COUNTIF(General!$U$13:$U$19,CY$12))),$I29,"")</f>
        <v/>
      </c>
      <c r="CZ29" s="582" t="str">
        <f>IF(AND(CZ$12&gt;=$E29,CZ$12&lt;=$F29,MOD(CZ$12,7)&gt;1,NOT(COUNTIF(General!$U$13:$U$19,CZ$12))),$I29,"")</f>
        <v/>
      </c>
      <c r="DA29" s="582" t="str">
        <f>IF(AND(DA$12&gt;=$E29,DA$12&lt;=$F29,MOD(DA$12,7)&gt;1,NOT(COUNTIF(General!$U$13:$U$19,DA$12))),$I29,"")</f>
        <v/>
      </c>
      <c r="DB29" s="593" t="str">
        <f>IF(AND(DB$12&gt;=$E29,DB$12&lt;=$F29,MOD(DB$12,7)&gt;1,NOT(COUNTIF(General!$U$13:$U$19,DB$12))),$I29,"")</f>
        <v/>
      </c>
      <c r="DC29" s="593" t="str">
        <f>IF(AND(DC$12&gt;=$E29,DC$12&lt;=$F29,MOD(DC$12,7)&gt;1,NOT(COUNTIF(General!$U$13:$U$19,DC$12))),$I29,"")</f>
        <v/>
      </c>
      <c r="DD29" s="582" t="str">
        <f>IF(AND(DD$12&gt;=$E29,DD$12&lt;=$F29,MOD(DD$12,7)&gt;1,NOT(COUNTIF(General!$U$13:$U$19,DD$12))),$I29,"")</f>
        <v/>
      </c>
      <c r="DE29" s="582" t="str">
        <f>IF(AND(DE$12&gt;=$E29,DE$12&lt;=$F29,MOD(DE$12,7)&gt;1,NOT(COUNTIF(General!$U$13:$U$19,DE$12))),$I29,"")</f>
        <v/>
      </c>
      <c r="DF29" s="582" t="str">
        <f>IF(AND(DF$12&gt;=$E29,DF$12&lt;=$F29,MOD(DF$12,7)&gt;1,NOT(COUNTIF(General!$U$13:$U$19,DF$12))),$I29,"")</f>
        <v/>
      </c>
      <c r="DG29" s="582" t="str">
        <f>IF(AND(DG$12&gt;=$E29,DG$12&lt;=$F29,MOD(DG$12,7)&gt;1,NOT(COUNTIF(General!$U$13:$U$19,DG$12))),$I29,"")</f>
        <v/>
      </c>
      <c r="DH29" s="582" t="str">
        <f>IF(AND(DH$12&gt;=$E29,DH$12&lt;=$F29,MOD(DH$12,7)&gt;1,NOT(COUNTIF(General!$U$13:$U$19,DH$12))),$I29,"")</f>
        <v/>
      </c>
      <c r="DI29" s="593" t="str">
        <f>IF(AND(DI$12&gt;=$E29,DI$12&lt;=$F29,MOD(DI$12,7)&gt;1,NOT(COUNTIF(General!$U$13:$U$19,DI$12))),$I29,"")</f>
        <v/>
      </c>
      <c r="DJ29" s="593" t="str">
        <f>IF(AND(DJ$12&gt;=$E29,DJ$12&lt;=$F29,MOD(DJ$12,7)&gt;1,NOT(COUNTIF(General!$U$13:$U$19,DJ$12))),$I29,"")</f>
        <v/>
      </c>
      <c r="DK29" s="582" t="str">
        <f>IF(AND(DK$12&gt;=$E29,DK$12&lt;=$F29,MOD(DK$12,7)&gt;1,NOT(COUNTIF(General!$U$13:$U$19,DK$12))),$I29,"")</f>
        <v/>
      </c>
      <c r="DL29" s="582" t="str">
        <f>IF(AND(DL$12&gt;=$E29,DL$12&lt;=$F29,MOD(DL$12,7)&gt;1,NOT(COUNTIF(General!$U$13:$U$19,DL$12))),$I29,"")</f>
        <v/>
      </c>
      <c r="DM29" s="582" t="str">
        <f>IF(AND(DM$12&gt;=$E29,DM$12&lt;=$F29,MOD(DM$12,7)&gt;1,NOT(COUNTIF(General!$U$13:$U$19,DM$12))),$I29,"")</f>
        <v/>
      </c>
      <c r="DN29" s="582" t="str">
        <f>IF(AND(DN$12&gt;=$E29,DN$12&lt;=$F29,MOD(DN$12,7)&gt;1,NOT(COUNTIF(General!$U$13:$U$19,DN$12))),$I29,"")</f>
        <v/>
      </c>
      <c r="DO29" s="582" t="str">
        <f>IF(AND(DO$12&gt;=$E29,DO$12&lt;=$F29,MOD(DO$12,7)&gt;1,NOT(COUNTIF(General!$U$13:$U$19,DO$12))),$I29,"")</f>
        <v/>
      </c>
      <c r="DP29" s="593" t="str">
        <f>IF(AND(DP$12&gt;=$E29,DP$12&lt;=$F29,MOD(DP$12,7)&gt;1,NOT(COUNTIF(General!$U$13:$U$19,DP$12))),$I29,"")</f>
        <v/>
      </c>
      <c r="DQ29" s="593" t="str">
        <f>IF(AND(DQ$12&gt;=$E29,DQ$12&lt;=$F29,MOD(DQ$12,7)&gt;1,NOT(COUNTIF(General!$U$13:$U$19,DQ$12))),$I29,"")</f>
        <v/>
      </c>
      <c r="DR29" s="582" t="str">
        <f>IF(AND(DR$12&gt;=$E29,DR$12&lt;=$F29,MOD(DR$12,7)&gt;1,NOT(COUNTIF(General!$U$13:$U$19,DR$12))),$I29,"")</f>
        <v/>
      </c>
      <c r="DS29" s="582" t="str">
        <f>IF(AND(DS$12&gt;=$E29,DS$12&lt;=$F29,MOD(DS$12,7)&gt;1,NOT(COUNTIF(General!$U$13:$U$19,DS$12))),$I29,"")</f>
        <v/>
      </c>
      <c r="DT29" s="582" t="str">
        <f>IF(AND(DT$12&gt;=$E29,DT$12&lt;=$F29,MOD(DT$12,7)&gt;1,NOT(COUNTIF(General!$U$13:$U$19,DT$12))),$I29,"")</f>
        <v/>
      </c>
      <c r="DU29" s="582" t="str">
        <f>IF(AND(DU$12&gt;=$E29,DU$12&lt;=$F29,MOD(DU$12,7)&gt;1,NOT(COUNTIF(General!$U$13:$U$19,DU$12))),$I29,"")</f>
        <v/>
      </c>
      <c r="DV29" s="582" t="str">
        <f>IF(AND(DV$12&gt;=$E29,DV$12&lt;=$F29,MOD(DV$12,7)&gt;1,NOT(COUNTIF(General!$U$13:$U$19,DV$12))),$I29,"")</f>
        <v/>
      </c>
      <c r="DW29" s="593" t="str">
        <f>IF(AND(DW$12&gt;=$E29,DW$12&lt;=$F29,MOD(DW$12,7)&gt;1,NOT(COUNTIF(General!$U$13:$U$19,DW$12))),$I29,"")</f>
        <v/>
      </c>
      <c r="DX29" s="593" t="str">
        <f>IF(AND(DX$12&gt;=$E29,DX$12&lt;=$F29,MOD(DX$12,7)&gt;1,NOT(COUNTIF(General!$U$13:$U$19,DX$12))),$I29,"")</f>
        <v/>
      </c>
      <c r="DY29" s="582" t="str">
        <f>IF(AND(DY$12&gt;=$E29,DY$12&lt;=$F29,MOD(DY$12,7)&gt;1,NOT(COUNTIF(General!$U$13:$U$19,DY$12))),$I29,"")</f>
        <v/>
      </c>
      <c r="DZ29" s="582" t="str">
        <f>IF(AND(DZ$12&gt;=$E29,DZ$12&lt;=$F29,MOD(DZ$12,7)&gt;1,NOT(COUNTIF(General!$U$13:$U$19,DZ$12))),$I29,"")</f>
        <v/>
      </c>
      <c r="EA29" s="582" t="str">
        <f>IF(AND(EA$12&gt;=$E29,EA$12&lt;=$F29,MOD(EA$12,7)&gt;1,NOT(COUNTIF(General!$U$13:$U$19,EA$12))),$I29,"")</f>
        <v/>
      </c>
      <c r="EB29" s="582" t="str">
        <f>IF(AND(EB$12&gt;=$E29,EB$12&lt;=$F29,MOD(EB$12,7)&gt;1,NOT(COUNTIF(General!$U$13:$U$19,EB$12))),$I29,"")</f>
        <v/>
      </c>
      <c r="EC29" s="582" t="str">
        <f>IF(AND(EC$12&gt;=$E29,EC$12&lt;=$F29,MOD(EC$12,7)&gt;1,NOT(COUNTIF(General!$U$13:$U$19,EC$12))),$I29,"")</f>
        <v/>
      </c>
      <c r="ED29" s="593" t="str">
        <f>IF(AND(ED$12&gt;=$E29,ED$12&lt;=$F29,MOD(ED$12,7)&gt;1,NOT(COUNTIF(General!$U$13:$U$19,ED$12))),$I29,"")</f>
        <v/>
      </c>
      <c r="EE29" s="593" t="str">
        <f>IF(AND(EE$12&gt;=$E29,EE$12&lt;=$F29,MOD(EE$12,7)&gt;1,NOT(COUNTIF(General!$U$13:$U$19,EE$12))),$I29,"")</f>
        <v/>
      </c>
      <c r="EF29" s="582" t="str">
        <f>IF(AND(EF$12&gt;=$E29,EF$12&lt;=$F29,MOD(EF$12,7)&gt;1,NOT(COUNTIF(General!$U$13:$U$19,EF$12))),$I29,"")</f>
        <v/>
      </c>
      <c r="EG29" s="582" t="str">
        <f>IF(AND(EG$12&gt;=$E29,EG$12&lt;=$F29,MOD(EG$12,7)&gt;1,NOT(COUNTIF(General!$U$13:$U$19,EG$12))),$I29,"")</f>
        <v/>
      </c>
      <c r="EH29" s="582" t="str">
        <f>IF(AND(EH$12&gt;=$E29,EH$12&lt;=$F29,MOD(EH$12,7)&gt;1,NOT(COUNTIF(General!$U$13:$U$19,EH$12))),$I29,"")</f>
        <v/>
      </c>
      <c r="EI29" s="582" t="str">
        <f>IF(AND(EI$12&gt;=$E29,EI$12&lt;=$F29,MOD(EI$12,7)&gt;1,NOT(COUNTIF(General!$U$13:$U$19,EI$12))),$I29,"")</f>
        <v/>
      </c>
      <c r="EJ29" s="582" t="str">
        <f>IF(AND(EJ$12&gt;=$E29,EJ$12&lt;=$F29,MOD(EJ$12,7)&gt;1,NOT(COUNTIF(General!$U$13:$U$19,EJ$12))),$I29,"")</f>
        <v/>
      </c>
      <c r="EK29" s="593" t="str">
        <f>IF(AND(EK$12&gt;=$E29,EK$12&lt;=$F29,MOD(EK$12,7)&gt;1,NOT(COUNTIF(General!$U$13:$U$19,EK$12))),$I29,"")</f>
        <v/>
      </c>
      <c r="EL29" s="593" t="str">
        <f>IF(AND(EL$12&gt;=$E29,EL$12&lt;=$F29,MOD(EL$12,7)&gt;1,NOT(COUNTIF(General!$U$13:$U$19,EL$12))),$I29,"")</f>
        <v/>
      </c>
      <c r="EM29" s="582" t="str">
        <f>IF(AND(EM$12&gt;=$E29,EM$12&lt;=$F29,MOD(EM$12,7)&gt;1,NOT(COUNTIF(General!$U$13:$U$19,EM$12))),$I29,"")</f>
        <v/>
      </c>
      <c r="EN29" s="582" t="str">
        <f>IF(AND(EN$12&gt;=$E29,EN$12&lt;=$F29,MOD(EN$12,7)&gt;1,NOT(COUNTIF(General!$U$13:$U$19,EN$12))),$I29,"")</f>
        <v/>
      </c>
      <c r="EO29" s="582" t="str">
        <f>IF(AND(EO$12&gt;=$E29,EO$12&lt;=$F29,MOD(EO$12,7)&gt;1,NOT(COUNTIF(General!$U$13:$U$19,EO$12))),$I29,"")</f>
        <v/>
      </c>
      <c r="EP29" s="582" t="str">
        <f>IF(AND(EP$12&gt;=$E29,EP$12&lt;=$F29,MOD(EP$12,7)&gt;1,NOT(COUNTIF(General!$U$13:$U$19,EP$12))),$I29,"")</f>
        <v/>
      </c>
      <c r="EQ29" s="582" t="str">
        <f>IF(AND(EQ$12&gt;=$E29,EQ$12&lt;=$F29,MOD(EQ$12,7)&gt;1,NOT(COUNTIF(General!$U$13:$U$19,EQ$12))),$I29,"")</f>
        <v/>
      </c>
      <c r="ER29" s="593" t="str">
        <f>IF(AND(ER$12&gt;=$E29,ER$12&lt;=$F29,MOD(ER$12,7)&gt;1,NOT(COUNTIF(General!$U$13:$U$19,ER$12))),$I29,"")</f>
        <v/>
      </c>
      <c r="ES29" s="593" t="str">
        <f>IF(AND(ES$12&gt;=$E29,ES$12&lt;=$F29,MOD(ES$12,7)&gt;1,NOT(COUNTIF(General!$U$13:$U$19,ES$12))),$I29,"")</f>
        <v/>
      </c>
      <c r="ET29" s="582" t="str">
        <f>IF(AND(ET$12&gt;=$E29,ET$12&lt;=$F29,MOD(ET$12,7)&gt;1,NOT(COUNTIF(General!$U$13:$U$19,ET$12))),$I29,"")</f>
        <v/>
      </c>
      <c r="EU29" s="582" t="str">
        <f>IF(AND(EU$12&gt;=$E29,EU$12&lt;=$F29,MOD(EU$12,7)&gt;1,NOT(COUNTIF(General!$U$13:$U$19,EU$12))),$I29,"")</f>
        <v/>
      </c>
      <c r="EV29" s="582" t="str">
        <f>IF(AND(EV$12&gt;=$E29,EV$12&lt;=$F29,MOD(EV$12,7)&gt;1,NOT(COUNTIF(General!$U$13:$U$19,EV$12))),$I29,"")</f>
        <v/>
      </c>
      <c r="EW29" s="582" t="str">
        <f>IF(AND(EW$12&gt;=$E29,EW$12&lt;=$F29,MOD(EW$12,7)&gt;1,NOT(COUNTIF(General!$U$13:$U$19,EW$12))),$I29,"")</f>
        <v/>
      </c>
      <c r="EX29" s="582" t="str">
        <f>IF(AND(EX$12&gt;=$E29,EX$12&lt;=$F29,MOD(EX$12,7)&gt;1,NOT(COUNTIF(General!$U$13:$U$19,EX$12))),$I29,"")</f>
        <v/>
      </c>
      <c r="EY29" s="593" t="str">
        <f>IF(AND(EY$12&gt;=$E29,EY$12&lt;=$F29,MOD(EY$12,7)&gt;1,NOT(COUNTIF(General!$U$13:$U$19,EY$12))),$I29,"")</f>
        <v/>
      </c>
      <c r="EZ29" s="593" t="str">
        <f>IF(AND(EZ$12&gt;=$E29,EZ$12&lt;=$F29,MOD(EZ$12,7)&gt;1,NOT(COUNTIF(General!$U$13:$U$19,EZ$12))),$I29,"")</f>
        <v/>
      </c>
      <c r="FA29" s="582" t="str">
        <f>IF(AND(FA$12&gt;=$E29,FA$12&lt;=$F29,MOD(FA$12,7)&gt;1,NOT(COUNTIF(General!$U$13:$U$19,FA$12))),$I29,"")</f>
        <v/>
      </c>
      <c r="FB29" s="582" t="str">
        <f>IF(AND(FB$12&gt;=$E29,FB$12&lt;=$F29,MOD(FB$12,7)&gt;1,NOT(COUNTIF(General!$U$13:$U$19,FB$12))),$I29,"")</f>
        <v/>
      </c>
      <c r="FC29" s="582" t="str">
        <f>IF(AND(FC$12&gt;=$E29,FC$12&lt;=$F29,MOD(FC$12,7)&gt;1,NOT(COUNTIF(General!$U$13:$U$19,FC$12))),$I29,"")</f>
        <v/>
      </c>
      <c r="FD29" s="582" t="str">
        <f>IF(AND(FD$12&gt;=$E29,FD$12&lt;=$F29,MOD(FD$12,7)&gt;1,NOT(COUNTIF(General!$U$13:$U$19,FD$12))),$I29,"")</f>
        <v/>
      </c>
      <c r="FE29" s="582" t="str">
        <f>IF(AND(FE$12&gt;=$E29,FE$12&lt;=$F29,MOD(FE$12,7)&gt;1,NOT(COUNTIF(General!$U$13:$U$19,FE$12))),$I29,"")</f>
        <v/>
      </c>
      <c r="FF29" s="593" t="str">
        <f>IF(AND(FF$12&gt;=$E29,FF$12&lt;=$F29,MOD(FF$12,7)&gt;1,NOT(COUNTIF(General!$U$13:$U$19,FF$12))),$I29,"")</f>
        <v/>
      </c>
      <c r="FG29" s="593" t="str">
        <f>IF(AND(FG$12&gt;=$E29,FG$12&lt;=$F29,MOD(FG$12,7)&gt;1,NOT(COUNTIF(General!$U$13:$U$19,FG$12))),$I29,"")</f>
        <v/>
      </c>
      <c r="FH29" s="582" t="str">
        <f>IF(AND(FH$12&gt;=$E29,FH$12&lt;=$F29,MOD(FH$12,7)&gt;1,NOT(COUNTIF(General!$U$13:$U$19,FH$12))),$I29,"")</f>
        <v/>
      </c>
      <c r="FI29" s="582" t="str">
        <f>IF(AND(FI$12&gt;=$E29,FI$12&lt;=$F29,MOD(FI$12,7)&gt;1,NOT(COUNTIF(General!$U$13:$U$19,FI$12))),$I29,"")</f>
        <v/>
      </c>
      <c r="FJ29" s="582" t="str">
        <f>IF(AND(FJ$12&gt;=$E29,FJ$12&lt;=$F29,MOD(FJ$12,7)&gt;1,NOT(COUNTIF(General!$U$13:$U$19,FJ$12))),$I29,"")</f>
        <v/>
      </c>
      <c r="FK29" s="582" t="str">
        <f>IF(AND(FK$12&gt;=$E29,FK$12&lt;=$F29,MOD(FK$12,7)&gt;1,NOT(COUNTIF(General!$U$13:$U$19,FK$12))),$I29,"")</f>
        <v/>
      </c>
      <c r="FL29" s="582" t="str">
        <f>IF(AND(FL$12&gt;=$E29,FL$12&lt;=$F29,MOD(FL$12,7)&gt;1,NOT(COUNTIF(General!$U$13:$U$19,FL$12))),$I29,"")</f>
        <v/>
      </c>
      <c r="FM29" s="593" t="str">
        <f>IF(AND(FM$12&gt;=$E29,FM$12&lt;=$F29,MOD(FM$12,7)&gt;1,NOT(COUNTIF(General!$U$13:$U$19,FM$12))),$I29,"")</f>
        <v/>
      </c>
      <c r="FN29" s="593" t="str">
        <f>IF(AND(FN$12&gt;=$E29,FN$12&lt;=$F29,MOD(FN$12,7)&gt;1,NOT(COUNTIF(General!$U$13:$U$19,FN$12))),$I29,"")</f>
        <v/>
      </c>
      <c r="FO29" s="582" t="str">
        <f>IF(AND(FO$12&gt;=$E29,FO$12&lt;=$F29,MOD(FO$12,7)&gt;1,NOT(COUNTIF(General!$U$13:$U$19,FO$12))),$I29,"")</f>
        <v/>
      </c>
      <c r="FP29" s="582" t="str">
        <f>IF(AND(FP$12&gt;=$E29,FP$12&lt;=$F29,MOD(FP$12,7)&gt;1,NOT(COUNTIF(General!$U$13:$U$19,FP$12))),$I29,"")</f>
        <v/>
      </c>
      <c r="FQ29" s="582" t="str">
        <f>IF(AND(FQ$12&gt;=$E29,FQ$12&lt;=$F29,MOD(FQ$12,7)&gt;1,NOT(COUNTIF(General!$U$13:$U$19,FQ$12))),$I29,"")</f>
        <v/>
      </c>
      <c r="FR29" s="582" t="str">
        <f>IF(AND(FR$12&gt;=$E29,FR$12&lt;=$F29,MOD(FR$12,7)&gt;1,NOT(COUNTIF(General!$U$13:$U$19,FR$12))),$I29,"")</f>
        <v/>
      </c>
      <c r="FS29" s="582" t="str">
        <f>IF(AND(FS$12&gt;=$E29,FS$12&lt;=$F29,MOD(FS$12,7)&gt;1,NOT(COUNTIF(General!$U$13:$U$19,FS$12))),$I29,"")</f>
        <v/>
      </c>
      <c r="FT29" s="593" t="str">
        <f>IF(AND(FT$12&gt;=$E29,FT$12&lt;=$F29,MOD(FT$12,7)&gt;1,NOT(COUNTIF(General!$U$13:$U$19,FT$12))),$I29,"")</f>
        <v/>
      </c>
      <c r="FU29" s="593" t="str">
        <f>IF(AND(FU$12&gt;=$E29,FU$12&lt;=$F29,MOD(FU$12,7)&gt;1,NOT(COUNTIF(General!$U$13:$U$19,FU$12))),$I29,"")</f>
        <v/>
      </c>
      <c r="FV29" s="582" t="str">
        <f>IF(AND(FV$12&gt;=$E29,FV$12&lt;=$F29,MOD(FV$12,7)&gt;1,NOT(COUNTIF(General!$U$13:$U$19,FV$12))),$I29,"")</f>
        <v/>
      </c>
      <c r="FW29" s="582" t="str">
        <f>IF(AND(FW$12&gt;=$E29,FW$12&lt;=$F29,MOD(FW$12,7)&gt;1,NOT(COUNTIF(General!$U$13:$U$19,FW$12))),$I29,"")</f>
        <v/>
      </c>
      <c r="FX29" s="582" t="str">
        <f>IF(AND(FX$12&gt;=$E29,FX$12&lt;=$F29,MOD(FX$12,7)&gt;1,NOT(COUNTIF(General!$U$13:$U$19,FX$12))),$I29,"")</f>
        <v/>
      </c>
    </row>
    <row r="30">
      <c r="A30" s="368">
        <v>389712.0</v>
      </c>
      <c r="B30" s="369" t="s">
        <v>580</v>
      </c>
      <c r="C30" s="370"/>
      <c r="D30" s="612" t="s">
        <v>439</v>
      </c>
      <c r="E30" s="541">
        <v>43809.0</v>
      </c>
      <c r="F30" s="374">
        <f>WORKDAY(E30,ROUNDUP(G30/I30,0),General!$U$13:$U$27)-1</f>
        <v>43809</v>
      </c>
      <c r="G30" s="600">
        <v>1.0</v>
      </c>
      <c r="H30" s="377"/>
      <c r="I30" s="368">
        <v>1.0</v>
      </c>
      <c r="J30" s="379"/>
      <c r="K30" s="573"/>
      <c r="L30" s="573"/>
      <c r="M30" s="574"/>
      <c r="N30" s="384"/>
      <c r="O30" s="386"/>
      <c r="P30" s="575"/>
      <c r="Q30" s="390" t="str">
        <f>IF(AND(Q$12&gt;=$E30,Q$12&lt;=$F30,MOD(Q$12,7)&gt;1,NOT(COUNTIF(General!$U$13:$U$19,Q$12))),$I30,"")</f>
        <v/>
      </c>
      <c r="R30" s="390" t="str">
        <f>IF(AND(R$12&gt;=$E30,R$12&lt;=$F30,MOD(R$12,7)&gt;1,NOT(COUNTIF(General!$U$13:$U$19,R$12))),$I30,"")</f>
        <v/>
      </c>
      <c r="S30" s="390" t="str">
        <f>IF(AND(S$12&gt;=$E30,S$12&lt;=$F30,MOD(S$12,7)&gt;1,NOT(COUNTIF(General!$U$13:$U$19,S$12))),$I30,"")</f>
        <v/>
      </c>
      <c r="T30" s="390" t="str">
        <f>IF(AND(T$12&gt;=$E30,T$12&lt;=$F30,MOD(T$12,7)&gt;1,NOT(COUNTIF(General!$U$13:$U$19,T$12))),$I30,"")</f>
        <v/>
      </c>
      <c r="U30" s="390" t="str">
        <f>IF(AND(U$12&gt;=$E30,U$12&lt;=$F30,MOD(U$12,7)&gt;1,NOT(COUNTIF(General!$U$13:$U$19,U$12))),$I30,"")</f>
        <v/>
      </c>
      <c r="V30" s="390" t="str">
        <f>IF(AND(V$12&gt;=$E30,V$12&lt;=$F30,MOD(V$12,7)&gt;1,NOT(COUNTIF(General!$U$13:$U$19,V$12))),$I30,"")</f>
        <v/>
      </c>
      <c r="W30" s="390" t="str">
        <f>IF(AND(W$12&gt;=$E30,W$12&lt;=$F30,MOD(W$12,7)&gt;1,NOT(COUNTIF(General!$U$13:$U$19,W$12))),$I30,"")</f>
        <v/>
      </c>
      <c r="X30" s="390" t="str">
        <f>IF(AND(X$12&gt;=$E30,X$12&lt;=$F30,MOD(X$12,7)&gt;1,NOT(COUNTIF(General!$U$13:$U$19,X$12))),$I30,"")</f>
        <v/>
      </c>
      <c r="Y30" s="390">
        <f>IF(AND(Y$12&gt;=$E30,Y$12&lt;=$F30,MOD(Y$12,7)&gt;1,NOT(COUNTIF(General!$U$13:$U$19,Y$12))),$I30,"")</f>
        <v>1</v>
      </c>
      <c r="Z30" s="390" t="str">
        <f>IF(AND(Z$12&gt;=$E30,Z$12&lt;=$F30,MOD(Z$12,7)&gt;1,NOT(COUNTIF(General!$U$13:$U$19,Z$12))),$I30,"")</f>
        <v/>
      </c>
      <c r="AA30" s="390" t="str">
        <f>IF(AND(AA$12&gt;=$E30,AA$12&lt;=$F30,MOD(AA$12,7)&gt;1,NOT(COUNTIF(General!$U$13:$U$19,AA$12))),$I30,"")</f>
        <v/>
      </c>
      <c r="AB30" s="390" t="str">
        <f>IF(AND(AB$12&gt;=$E30,AB$12&lt;=$F30,MOD(AB$12,7)&gt;1,NOT(COUNTIF(General!$U$13:$U$19,AB$12))),$I30,"")</f>
        <v/>
      </c>
      <c r="AC30" s="390" t="str">
        <f>IF(AND(AC$12&gt;=$E30,AC$12&lt;=$F30,MOD(AC$12,7)&gt;1,NOT(COUNTIF(General!$U$13:$U$19,AC$12))),$I30,"")</f>
        <v/>
      </c>
      <c r="AD30" s="390" t="str">
        <f>IF(AND(AD$12&gt;=$E30,AD$12&lt;=$F30,MOD(AD$12,7)&gt;1,NOT(COUNTIF(General!$U$13:$U$19,AD$12))),$I30,"")</f>
        <v/>
      </c>
      <c r="AE30" s="390" t="str">
        <f>IF(AND(AE$12&gt;=$E30,AE$12&lt;=$F30,MOD(AE$12,7)&gt;1,NOT(COUNTIF(General!$U$13:$U$19,AE$12))),$I30,"")</f>
        <v/>
      </c>
      <c r="AF30" s="390" t="str">
        <f>IF(AND(AF$12&gt;=$E30,AF$12&lt;=$F30,MOD(AF$12,7)&gt;1,NOT(COUNTIF(General!$U$13:$U$19,AF$12))),$I30,"")</f>
        <v/>
      </c>
      <c r="AG30" s="390" t="str">
        <f>IF(AND(AG$12&gt;=$E30,AG$12&lt;=$F30,MOD(AG$12,7)&gt;1,NOT(COUNTIF(General!$U$13:$U$19,AG$12))),$I30,"")</f>
        <v/>
      </c>
      <c r="AH30" s="390" t="str">
        <f>IF(AND(AH$12&gt;=$E30,AH$12&lt;=$F30,MOD(AH$12,7)&gt;1,NOT(COUNTIF(General!$U$13:$U$19,AH$12))),$I30,"")</f>
        <v/>
      </c>
      <c r="AI30" s="390" t="str">
        <f>IF(AND(AI$12&gt;=$E30,AI$12&lt;=$F30,MOD(AI$12,7)&gt;1,NOT(COUNTIF(General!$U$13:$U$19,AI$12))),$I30,"")</f>
        <v/>
      </c>
      <c r="AJ30" s="390" t="str">
        <f>IF(AND(AJ$12&gt;=$E30,AJ$12&lt;=$F30,MOD(AJ$12,7)&gt;1,NOT(COUNTIF(General!$U$13:$U$19,AJ$12))),$I30,"")</f>
        <v/>
      </c>
      <c r="AK30" s="390" t="str">
        <f>IF(AND(AK$12&gt;=$E30,AK$12&lt;=$F30,MOD(AK$12,7)&gt;1,NOT(COUNTIF(General!$U$13:$U$19,AK$12))),$I30,"")</f>
        <v/>
      </c>
      <c r="AL30" s="390" t="str">
        <f>IF(AND(AL$12&gt;=$E30,AL$12&lt;=$F30,MOD(AL$12,7)&gt;1,NOT(COUNTIF(General!$U$13:$U$19,AL$12))),$I30,"")</f>
        <v/>
      </c>
      <c r="AM30" s="390" t="str">
        <f>IF(AND(AM$12&gt;=$E30,AM$12&lt;=$F30,MOD(AM$12,7)&gt;1,NOT(COUNTIF(General!$U$13:$U$19,AM$12))),$I30,"")</f>
        <v/>
      </c>
      <c r="AN30" s="390" t="str">
        <f>IF(AND(AN$12&gt;=$E30,AN$12&lt;=$F30,MOD(AN$12,7)&gt;1,NOT(COUNTIF(General!$U$13:$U$19,AN$12))),$I30,"")</f>
        <v/>
      </c>
      <c r="AO30" s="390" t="str">
        <f>IF(AND(AO$12&gt;=$E30,AO$12&lt;=$F30,MOD(AO$12,7)&gt;1,NOT(COUNTIF(General!$U$13:$U$19,AO$12))),$I30,"")</f>
        <v/>
      </c>
      <c r="AP30" s="390" t="str">
        <f>IF(AND(AP$12&gt;=$E30,AP$12&lt;=$F30,MOD(AP$12,7)&gt;1,NOT(COUNTIF(General!$U$13:$U$19,AP$12))),$I30,"")</f>
        <v/>
      </c>
      <c r="AQ30" s="390" t="str">
        <f>IF(AND(AQ$12&gt;=$E30,AQ$12&lt;=$F30,MOD(AQ$12,7)&gt;1,NOT(COUNTIF(General!$U$13:$U$19,AQ$12))),$I30,"")</f>
        <v/>
      </c>
      <c r="AR30" s="390" t="str">
        <f>IF(AND(AR$12&gt;=$E30,AR$12&lt;=$F30,MOD(AR$12,7)&gt;1,NOT(COUNTIF(General!$U$13:$U$19,AR$12))),$I30,"")</f>
        <v/>
      </c>
      <c r="AS30" s="390" t="str">
        <f>IF(AND(AS$12&gt;=$E30,AS$12&lt;=$F30,MOD(AS$12,7)&gt;1,NOT(COUNTIF(General!$U$13:$U$19,AS$12))),$I30,"")</f>
        <v/>
      </c>
      <c r="AT30" s="390" t="str">
        <f>IF(AND(AT$12&gt;=$E30,AT$12&lt;=$F30,MOD(AT$12,7)&gt;1,NOT(COUNTIF(General!$U$13:$U$19,AT$12))),$I30,"")</f>
        <v/>
      </c>
      <c r="AU30" s="390" t="str">
        <f>IF(AND(AU$12&gt;=$E30,AU$12&lt;=$F30,MOD(AU$12,7)&gt;1,NOT(COUNTIF(General!$U$13:$U$19,AU$12))),$I30,"")</f>
        <v/>
      </c>
      <c r="AV30" s="390" t="str">
        <f>IF(AND(AV$12&gt;=$E30,AV$12&lt;=$F30,MOD(AV$12,7)&gt;1,NOT(COUNTIF(General!$U$13:$U$19,AV$12))),$I30,"")</f>
        <v/>
      </c>
      <c r="AW30" s="390" t="str">
        <f>IF(AND(AW$12&gt;=$E30,AW$12&lt;=$F30,MOD(AW$12,7)&gt;1,NOT(COUNTIF(General!$U$13:$U$19,AW$12))),$I30,"")</f>
        <v/>
      </c>
      <c r="AX30" s="390" t="str">
        <f>IF(AND(AX$12&gt;=$E30,AX$12&lt;=$F30,MOD(AX$12,7)&gt;1,NOT(COUNTIF(General!$U$13:$U$19,AX$12))),$I30,"")</f>
        <v/>
      </c>
      <c r="AY30" s="390" t="str">
        <f>IF(AND(AY$12&gt;=$E30,AY$12&lt;=$F30,MOD(AY$12,7)&gt;1,NOT(COUNTIF(General!$U$13:$U$19,AY$12))),$I30,"")</f>
        <v/>
      </c>
      <c r="AZ30" s="390" t="str">
        <f>IF(AND(AZ$12&gt;=$E30,AZ$12&lt;=$F30,MOD(AZ$12,7)&gt;1,NOT(COUNTIF(General!$U$13:$U$19,AZ$12))),$I30,"")</f>
        <v/>
      </c>
      <c r="BA30" s="390" t="str">
        <f>IF(AND(BA$12&gt;=$E30,BA$12&lt;=$F30,MOD(BA$12,7)&gt;1,NOT(COUNTIF(General!$U$13:$U$19,BA$12))),$I30,"")</f>
        <v/>
      </c>
      <c r="BB30" s="390" t="str">
        <f>IF(AND(BB$12&gt;=$E30,BB$12&lt;=$F30,MOD(BB$12,7)&gt;1,NOT(COUNTIF(General!$U$13:$U$19,BB$12))),$I30,"")</f>
        <v/>
      </c>
      <c r="BC30" s="390" t="str">
        <f>IF(AND(BC$12&gt;=$E30,BC$12&lt;=$F30,MOD(BC$12,7)&gt;1,NOT(COUNTIF(General!$U$13:$U$19,BC$12))),$I30,"")</f>
        <v/>
      </c>
      <c r="BD30" s="390" t="str">
        <f>IF(AND(BD$12&gt;=$E30,BD$12&lt;=$F30,MOD(BD$12,7)&gt;1,NOT(COUNTIF(General!$U$13:$U$19,BD$12))),$I30,"")</f>
        <v/>
      </c>
      <c r="BE30" s="390" t="str">
        <f>IF(AND(BE$12&gt;=$E30,BE$12&lt;=$F30,MOD(BE$12,7)&gt;1,NOT(COUNTIF(General!$U$13:$U$19,BE$12))),$I30,"")</f>
        <v/>
      </c>
      <c r="BF30" s="390" t="str">
        <f>IF(AND(BF$12&gt;=$E30,BF$12&lt;=$F30,MOD(BF$12,7)&gt;1,NOT(COUNTIF(General!$U$13:$U$19,BF$12))),$I30,"")</f>
        <v/>
      </c>
      <c r="BG30" s="390" t="str">
        <f>IF(AND(BG$12&gt;=$E30,BG$12&lt;=$F30,MOD(BG$12,7)&gt;1,NOT(COUNTIF(General!$U$13:$U$19,BG$12))),$I30,"")</f>
        <v/>
      </c>
      <c r="BH30" s="390" t="str">
        <f>IF(AND(BH$12&gt;=$E30,BH$12&lt;=$F30,MOD(BH$12,7)&gt;1,NOT(COUNTIF(General!$U$13:$U$19,BH$12))),$I30,"")</f>
        <v/>
      </c>
      <c r="BI30" s="390" t="str">
        <f>IF(AND(BI$12&gt;=$E30,BI$12&lt;=$F30,MOD(BI$12,7)&gt;1,NOT(COUNTIF(General!$U$13:$U$19,BI$12))),$I30,"")</f>
        <v/>
      </c>
      <c r="BJ30" s="390" t="str">
        <f>IF(AND(BJ$12&gt;=$E30,BJ$12&lt;=$F30,MOD(BJ$12,7)&gt;1,NOT(COUNTIF(General!$U$13:$U$19,BJ$12))),$I30,"")</f>
        <v/>
      </c>
      <c r="BK30" s="390" t="str">
        <f>IF(AND(BK$12&gt;=$E30,BK$12&lt;=$F30,MOD(BK$12,7)&gt;1,NOT(COUNTIF(General!$U$13:$U$19,BK$12))),$I30,"")</f>
        <v/>
      </c>
      <c r="BL30" s="390" t="str">
        <f>IF(AND(BL$12&gt;=$E30,BL$12&lt;=$F30,MOD(BL$12,7)&gt;1,NOT(COUNTIF(General!$U$13:$U$19,BL$12))),$I30,"")</f>
        <v/>
      </c>
      <c r="BM30" s="390" t="str">
        <f>IF(AND(BM$12&gt;=$E30,BM$12&lt;=$F30,MOD(BM$12,7)&gt;1,NOT(COUNTIF(General!$U$13:$U$19,BM$12))),$I30,"")</f>
        <v/>
      </c>
      <c r="BN30" s="390" t="str">
        <f>IF(AND(BN$12&gt;=$E30,BN$12&lt;=$F30,MOD(BN$12,7)&gt;1,NOT(COUNTIF(General!$U$13:$U$19,BN$12))),$I30,"")</f>
        <v/>
      </c>
      <c r="BO30" s="390" t="str">
        <f>IF(AND(BO$12&gt;=$E30,BO$12&lt;=$F30,MOD(BO$12,7)&gt;1,NOT(COUNTIF(General!$U$13:$U$19,BO$12))),$I30,"")</f>
        <v/>
      </c>
      <c r="BP30" s="390" t="str">
        <f>IF(AND(BP$12&gt;=$E30,BP$12&lt;=$F30,MOD(BP$12,7)&gt;1,NOT(COUNTIF(General!$U$13:$U$19,BP$12))),$I30,"")</f>
        <v/>
      </c>
      <c r="BQ30" s="390" t="str">
        <f>IF(AND(BQ$12&gt;=$E30,BQ$12&lt;=$F30,MOD(BQ$12,7)&gt;1,NOT(COUNTIF(General!$U$13:$U$19,BQ$12))),$I30,"")</f>
        <v/>
      </c>
      <c r="BR30" s="390" t="str">
        <f>IF(AND(BR$12&gt;=$E30,BR$12&lt;=$F30,MOD(BR$12,7)&gt;1,NOT(COUNTIF(General!$U$13:$U$19,BR$12))),$I30,"")</f>
        <v/>
      </c>
      <c r="BS30" s="390" t="str">
        <f>IF(AND(BS$12&gt;=$E30,BS$12&lt;=$F30,MOD(BS$12,7)&gt;1,NOT(COUNTIF(General!$U$13:$U$19,BS$12))),$I30,"")</f>
        <v/>
      </c>
      <c r="BT30" s="390" t="str">
        <f>IF(AND(BT$12&gt;=$E30,BT$12&lt;=$F30,MOD(BT$12,7)&gt;1,NOT(COUNTIF(General!$U$13:$U$19,BT$12))),$I30,"")</f>
        <v/>
      </c>
      <c r="BU30" s="390" t="str">
        <f>IF(AND(BU$12&gt;=$E30,BU$12&lt;=$F30,MOD(BU$12,7)&gt;1,NOT(COUNTIF(General!$U$13:$U$19,BU$12))),$I30,"")</f>
        <v/>
      </c>
      <c r="BV30" s="390" t="str">
        <f>IF(AND(BV$12&gt;=$E30,BV$12&lt;=$F30,MOD(BV$12,7)&gt;1,NOT(COUNTIF(General!$U$13:$U$19,BV$12))),$I30,"")</f>
        <v/>
      </c>
      <c r="BW30" s="390" t="str">
        <f>IF(AND(BW$12&gt;=$E30,BW$12&lt;=$F30,MOD(BW$12,7)&gt;1,NOT(COUNTIF(General!$U$13:$U$19,BW$12))),$I30,"")</f>
        <v/>
      </c>
      <c r="BX30" s="390" t="str">
        <f>IF(AND(BX$12&gt;=$E30,BX$12&lt;=$F30,MOD(BX$12,7)&gt;1,NOT(COUNTIF(General!$U$13:$U$19,BX$12))),$I30,"")</f>
        <v/>
      </c>
      <c r="BY30" s="390" t="str">
        <f>IF(AND(BY$12&gt;=$E30,BY$12&lt;=$F30,MOD(BY$12,7)&gt;1,NOT(COUNTIF(General!$U$13:$U$19,BY$12))),$I30,"")</f>
        <v/>
      </c>
      <c r="BZ30" s="390" t="str">
        <f>IF(AND(BZ$12&gt;=$E30,BZ$12&lt;=$F30,MOD(BZ$12,7)&gt;1,NOT(COUNTIF(General!$U$13:$U$19,BZ$12))),$I30,"")</f>
        <v/>
      </c>
      <c r="CA30" s="390" t="str">
        <f>IF(AND(CA$12&gt;=$E30,CA$12&lt;=$F30,MOD(CA$12,7)&gt;1,NOT(COUNTIF(General!$U$13:$U$19,CA$12))),$I30,"")</f>
        <v/>
      </c>
      <c r="CB30" s="390" t="str">
        <f>IF(AND(CB$12&gt;=$E30,CB$12&lt;=$F30,MOD(CB$12,7)&gt;1,NOT(COUNTIF(General!$U$13:$U$19,CB$12))),$I30,"")</f>
        <v/>
      </c>
      <c r="CC30" s="390" t="str">
        <f>IF(AND(CC$12&gt;=$E30,CC$12&lt;=$F30,MOD(CC$12,7)&gt;1,NOT(COUNTIF(General!$U$13:$U$19,CC$12))),$I30,"")</f>
        <v/>
      </c>
      <c r="CD30" s="390" t="str">
        <f>IF(AND(CD$12&gt;=$E30,CD$12&lt;=$F30,MOD(CD$12,7)&gt;1,NOT(COUNTIF(General!$U$13:$U$19,CD$12))),$I30,"")</f>
        <v/>
      </c>
      <c r="CE30" s="390" t="str">
        <f>IF(AND(CE$12&gt;=$E30,CE$12&lt;=$F30,MOD(CE$12,7)&gt;1,NOT(COUNTIF(General!$U$13:$U$19,CE$12))),$I30,"")</f>
        <v/>
      </c>
      <c r="CF30" s="390" t="str">
        <f>IF(AND(CF$12&gt;=$E30,CF$12&lt;=$F30,MOD(CF$12,7)&gt;1,NOT(COUNTIF(General!$U$13:$U$19,CF$12))),$I30,"")</f>
        <v/>
      </c>
      <c r="CG30" s="390" t="str">
        <f>IF(AND(CG$12&gt;=$E30,CG$12&lt;=$F30,MOD(CG$12,7)&gt;1,NOT(COUNTIF(General!$U$13:$U$19,CG$12))),$I30,"")</f>
        <v/>
      </c>
      <c r="CH30" s="390" t="str">
        <f>IF(AND(CH$12&gt;=$E30,CH$12&lt;=$F30,MOD(CH$12,7)&gt;1,NOT(COUNTIF(General!$U$13:$U$19,CH$12))),$I30,"")</f>
        <v/>
      </c>
      <c r="CI30" s="390" t="str">
        <f>IF(AND(CI$12&gt;=$E30,CI$12&lt;=$F30,MOD(CI$12,7)&gt;1,NOT(COUNTIF(General!$U$13:$U$19,CI$12))),$I30,"")</f>
        <v/>
      </c>
      <c r="CJ30" s="390" t="str">
        <f>IF(AND(CJ$12&gt;=$E30,CJ$12&lt;=$F30,MOD(CJ$12,7)&gt;1,NOT(COUNTIF(General!$U$13:$U$19,CJ$12))),$I30,"")</f>
        <v/>
      </c>
      <c r="CK30" s="390" t="str">
        <f>IF(AND(CK$12&gt;=$E30,CK$12&lt;=$F30,MOD(CK$12,7)&gt;1,NOT(COUNTIF(General!$U$13:$U$19,CK$12))),$I30,"")</f>
        <v/>
      </c>
      <c r="CL30" s="390" t="str">
        <f>IF(AND(CL$12&gt;=$E30,CL$12&lt;=$F30,MOD(CL$12,7)&gt;1,NOT(COUNTIF(General!$U$13:$U$19,CL$12))),$I30,"")</f>
        <v/>
      </c>
      <c r="CM30" s="390" t="str">
        <f>IF(AND(CM$12&gt;=$E30,CM$12&lt;=$F30,MOD(CM$12,7)&gt;1,NOT(COUNTIF(General!$U$13:$U$19,CM$12))),$I30,"")</f>
        <v/>
      </c>
      <c r="CN30" s="390" t="str">
        <f>IF(AND(CN$12&gt;=$E30,CN$12&lt;=$F30,MOD(CN$12,7)&gt;1,NOT(COUNTIF(General!$U$13:$U$19,CN$12))),$I30,"")</f>
        <v/>
      </c>
      <c r="CO30" s="390" t="str">
        <f>IF(AND(CO$12&gt;=$E30,CO$12&lt;=$F30,MOD(CO$12,7)&gt;1,NOT(COUNTIF(General!$U$13:$U$19,CO$12))),$I30,"")</f>
        <v/>
      </c>
      <c r="CP30" s="390" t="str">
        <f>IF(AND(CP$12&gt;=$E30,CP$12&lt;=$F30,MOD(CP$12,7)&gt;1,NOT(COUNTIF(General!$U$13:$U$19,CP$12))),$I30,"")</f>
        <v/>
      </c>
      <c r="CQ30" s="390" t="str">
        <f>IF(AND(CQ$12&gt;=$E30,CQ$12&lt;=$F30,MOD(CQ$12,7)&gt;1,NOT(COUNTIF(General!$U$13:$U$19,CQ$12))),$I30,"")</f>
        <v/>
      </c>
      <c r="CR30" s="390" t="str">
        <f>IF(AND(CR$12&gt;=$E30,CR$12&lt;=$F30,MOD(CR$12,7)&gt;1,NOT(COUNTIF(General!$U$13:$U$19,CR$12))),$I30,"")</f>
        <v/>
      </c>
      <c r="CS30" s="390" t="str">
        <f>IF(AND(CS$12&gt;=$E30,CS$12&lt;=$F30,MOD(CS$12,7)&gt;1,NOT(COUNTIF(General!$U$13:$U$19,CS$12))),$I30,"")</f>
        <v/>
      </c>
      <c r="CT30" s="390" t="str">
        <f>IF(AND(CT$12&gt;=$E30,CT$12&lt;=$F30,MOD(CT$12,7)&gt;1,NOT(COUNTIF(General!$U$13:$U$19,CT$12))),$I30,"")</f>
        <v/>
      </c>
      <c r="CU30" s="390" t="str">
        <f>IF(AND(CU$12&gt;=$E30,CU$12&lt;=$F30,MOD(CU$12,7)&gt;1,NOT(COUNTIF(General!$U$13:$U$19,CU$12))),$I30,"")</f>
        <v/>
      </c>
      <c r="CV30" s="390" t="str">
        <f>IF(AND(CV$12&gt;=$E30,CV$12&lt;=$F30,MOD(CV$12,7)&gt;1,NOT(COUNTIF(General!$U$13:$U$19,CV$12))),$I30,"")</f>
        <v/>
      </c>
      <c r="CW30" s="390" t="str">
        <f>IF(AND(CW$12&gt;=$E30,CW$12&lt;=$F30,MOD(CW$12,7)&gt;1,NOT(COUNTIF(General!$U$13:$U$19,CW$12))),$I30,"")</f>
        <v/>
      </c>
      <c r="CX30" s="390" t="str">
        <f>IF(AND(CX$12&gt;=$E30,CX$12&lt;=$F30,MOD(CX$12,7)&gt;1,NOT(COUNTIF(General!$U$13:$U$19,CX$12))),$I30,"")</f>
        <v/>
      </c>
      <c r="CY30" s="390" t="str">
        <f>IF(AND(CY$12&gt;=$E30,CY$12&lt;=$F30,MOD(CY$12,7)&gt;1,NOT(COUNTIF(General!$U$13:$U$19,CY$12))),$I30,"")</f>
        <v/>
      </c>
      <c r="CZ30" s="390" t="str">
        <f>IF(AND(CZ$12&gt;=$E30,CZ$12&lt;=$F30,MOD(CZ$12,7)&gt;1,NOT(COUNTIF(General!$U$13:$U$19,CZ$12))),$I30,"")</f>
        <v/>
      </c>
      <c r="DA30" s="390" t="str">
        <f>IF(AND(DA$12&gt;=$E30,DA$12&lt;=$F30,MOD(DA$12,7)&gt;1,NOT(COUNTIF(General!$U$13:$U$19,DA$12))),$I30,"")</f>
        <v/>
      </c>
      <c r="DB30" s="390" t="str">
        <f>IF(AND(DB$12&gt;=$E30,DB$12&lt;=$F30,MOD(DB$12,7)&gt;1,NOT(COUNTIF(General!$U$13:$U$19,DB$12))),$I30,"")</f>
        <v/>
      </c>
      <c r="DC30" s="390" t="str">
        <f>IF(AND(DC$12&gt;=$E30,DC$12&lt;=$F30,MOD(DC$12,7)&gt;1,NOT(COUNTIF(General!$U$13:$U$19,DC$12))),$I30,"")</f>
        <v/>
      </c>
      <c r="DD30" s="390" t="str">
        <f>IF(AND(DD$12&gt;=$E30,DD$12&lt;=$F30,MOD(DD$12,7)&gt;1,NOT(COUNTIF(General!$U$13:$U$19,DD$12))),$I30,"")</f>
        <v/>
      </c>
      <c r="DE30" s="390" t="str">
        <f>IF(AND(DE$12&gt;=$E30,DE$12&lt;=$F30,MOD(DE$12,7)&gt;1,NOT(COUNTIF(General!$U$13:$U$19,DE$12))),$I30,"")</f>
        <v/>
      </c>
      <c r="DF30" s="390" t="str">
        <f>IF(AND(DF$12&gt;=$E30,DF$12&lt;=$F30,MOD(DF$12,7)&gt;1,NOT(COUNTIF(General!$U$13:$U$19,DF$12))),$I30,"")</f>
        <v/>
      </c>
      <c r="DG30" s="390" t="str">
        <f>IF(AND(DG$12&gt;=$E30,DG$12&lt;=$F30,MOD(DG$12,7)&gt;1,NOT(COUNTIF(General!$U$13:$U$19,DG$12))),$I30,"")</f>
        <v/>
      </c>
      <c r="DH30" s="390" t="str">
        <f>IF(AND(DH$12&gt;=$E30,DH$12&lt;=$F30,MOD(DH$12,7)&gt;1,NOT(COUNTIF(General!$U$13:$U$19,DH$12))),$I30,"")</f>
        <v/>
      </c>
      <c r="DI30" s="390" t="str">
        <f>IF(AND(DI$12&gt;=$E30,DI$12&lt;=$F30,MOD(DI$12,7)&gt;1,NOT(COUNTIF(General!$U$13:$U$19,DI$12))),$I30,"")</f>
        <v/>
      </c>
      <c r="DJ30" s="390" t="str">
        <f>IF(AND(DJ$12&gt;=$E30,DJ$12&lt;=$F30,MOD(DJ$12,7)&gt;1,NOT(COUNTIF(General!$U$13:$U$19,DJ$12))),$I30,"")</f>
        <v/>
      </c>
      <c r="DK30" s="390" t="str">
        <f>IF(AND(DK$12&gt;=$E30,DK$12&lt;=$F30,MOD(DK$12,7)&gt;1,NOT(COUNTIF(General!$U$13:$U$19,DK$12))),$I30,"")</f>
        <v/>
      </c>
      <c r="DL30" s="390" t="str">
        <f>IF(AND(DL$12&gt;=$E30,DL$12&lt;=$F30,MOD(DL$12,7)&gt;1,NOT(COUNTIF(General!$U$13:$U$19,DL$12))),$I30,"")</f>
        <v/>
      </c>
      <c r="DM30" s="390" t="str">
        <f>IF(AND(DM$12&gt;=$E30,DM$12&lt;=$F30,MOD(DM$12,7)&gt;1,NOT(COUNTIF(General!$U$13:$U$19,DM$12))),$I30,"")</f>
        <v/>
      </c>
      <c r="DN30" s="390" t="str">
        <f>IF(AND(DN$12&gt;=$E30,DN$12&lt;=$F30,MOD(DN$12,7)&gt;1,NOT(COUNTIF(General!$U$13:$U$19,DN$12))),$I30,"")</f>
        <v/>
      </c>
      <c r="DO30" s="390" t="str">
        <f>IF(AND(DO$12&gt;=$E30,DO$12&lt;=$F30,MOD(DO$12,7)&gt;1,NOT(COUNTIF(General!$U$13:$U$19,DO$12))),$I30,"")</f>
        <v/>
      </c>
      <c r="DP30" s="390" t="str">
        <f>IF(AND(DP$12&gt;=$E30,DP$12&lt;=$F30,MOD(DP$12,7)&gt;1,NOT(COUNTIF(General!$U$13:$U$19,DP$12))),$I30,"")</f>
        <v/>
      </c>
      <c r="DQ30" s="390" t="str">
        <f>IF(AND(DQ$12&gt;=$E30,DQ$12&lt;=$F30,MOD(DQ$12,7)&gt;1,NOT(COUNTIF(General!$U$13:$U$19,DQ$12))),$I30,"")</f>
        <v/>
      </c>
      <c r="DR30" s="390" t="str">
        <f>IF(AND(DR$12&gt;=$E30,DR$12&lt;=$F30,MOD(DR$12,7)&gt;1,NOT(COUNTIF(General!$U$13:$U$19,DR$12))),$I30,"")</f>
        <v/>
      </c>
      <c r="DS30" s="390" t="str">
        <f>IF(AND(DS$12&gt;=$E30,DS$12&lt;=$F30,MOD(DS$12,7)&gt;1,NOT(COUNTIF(General!$U$13:$U$19,DS$12))),$I30,"")</f>
        <v/>
      </c>
      <c r="DT30" s="390" t="str">
        <f>IF(AND(DT$12&gt;=$E30,DT$12&lt;=$F30,MOD(DT$12,7)&gt;1,NOT(COUNTIF(General!$U$13:$U$19,DT$12))),$I30,"")</f>
        <v/>
      </c>
      <c r="DU30" s="390" t="str">
        <f>IF(AND(DU$12&gt;=$E30,DU$12&lt;=$F30,MOD(DU$12,7)&gt;1,NOT(COUNTIF(General!$U$13:$U$19,DU$12))),$I30,"")</f>
        <v/>
      </c>
      <c r="DV30" s="390" t="str">
        <f>IF(AND(DV$12&gt;=$E30,DV$12&lt;=$F30,MOD(DV$12,7)&gt;1,NOT(COUNTIF(General!$U$13:$U$19,DV$12))),$I30,"")</f>
        <v/>
      </c>
      <c r="DW30" s="390" t="str">
        <f>IF(AND(DW$12&gt;=$E30,DW$12&lt;=$F30,MOD(DW$12,7)&gt;1,NOT(COUNTIF(General!$U$13:$U$19,DW$12))),$I30,"")</f>
        <v/>
      </c>
      <c r="DX30" s="390" t="str">
        <f>IF(AND(DX$12&gt;=$E30,DX$12&lt;=$F30,MOD(DX$12,7)&gt;1,NOT(COUNTIF(General!$U$13:$U$19,DX$12))),$I30,"")</f>
        <v/>
      </c>
      <c r="DY30" s="390" t="str">
        <f>IF(AND(DY$12&gt;=$E30,DY$12&lt;=$F30,MOD(DY$12,7)&gt;1,NOT(COUNTIF(General!$U$13:$U$19,DY$12))),$I30,"")</f>
        <v/>
      </c>
      <c r="DZ30" s="390" t="str">
        <f>IF(AND(DZ$12&gt;=$E30,DZ$12&lt;=$F30,MOD(DZ$12,7)&gt;1,NOT(COUNTIF(General!$U$13:$U$19,DZ$12))),$I30,"")</f>
        <v/>
      </c>
      <c r="EA30" s="390" t="str">
        <f>IF(AND(EA$12&gt;=$E30,EA$12&lt;=$F30,MOD(EA$12,7)&gt;1,NOT(COUNTIF(General!$U$13:$U$19,EA$12))),$I30,"")</f>
        <v/>
      </c>
      <c r="EB30" s="390" t="str">
        <f>IF(AND(EB$12&gt;=$E30,EB$12&lt;=$F30,MOD(EB$12,7)&gt;1,NOT(COUNTIF(General!$U$13:$U$19,EB$12))),$I30,"")</f>
        <v/>
      </c>
      <c r="EC30" s="390" t="str">
        <f>IF(AND(EC$12&gt;=$E30,EC$12&lt;=$F30,MOD(EC$12,7)&gt;1,NOT(COUNTIF(General!$U$13:$U$19,EC$12))),$I30,"")</f>
        <v/>
      </c>
      <c r="ED30" s="390" t="str">
        <f>IF(AND(ED$12&gt;=$E30,ED$12&lt;=$F30,MOD(ED$12,7)&gt;1,NOT(COUNTIF(General!$U$13:$U$19,ED$12))),$I30,"")</f>
        <v/>
      </c>
      <c r="EE30" s="390" t="str">
        <f>IF(AND(EE$12&gt;=$E30,EE$12&lt;=$F30,MOD(EE$12,7)&gt;1,NOT(COUNTIF(General!$U$13:$U$19,EE$12))),$I30,"")</f>
        <v/>
      </c>
      <c r="EF30" s="390" t="str">
        <f>IF(AND(EF$12&gt;=$E30,EF$12&lt;=$F30,MOD(EF$12,7)&gt;1,NOT(COUNTIF(General!$U$13:$U$19,EF$12))),$I30,"")</f>
        <v/>
      </c>
      <c r="EG30" s="390" t="str">
        <f>IF(AND(EG$12&gt;=$E30,EG$12&lt;=$F30,MOD(EG$12,7)&gt;1,NOT(COUNTIF(General!$U$13:$U$19,EG$12))),$I30,"")</f>
        <v/>
      </c>
      <c r="EH30" s="390" t="str">
        <f>IF(AND(EH$12&gt;=$E30,EH$12&lt;=$F30,MOD(EH$12,7)&gt;1,NOT(COUNTIF(General!$U$13:$U$19,EH$12))),$I30,"")</f>
        <v/>
      </c>
      <c r="EI30" s="390" t="str">
        <f>IF(AND(EI$12&gt;=$E30,EI$12&lt;=$F30,MOD(EI$12,7)&gt;1,NOT(COUNTIF(General!$U$13:$U$19,EI$12))),$I30,"")</f>
        <v/>
      </c>
      <c r="EJ30" s="390" t="str">
        <f>IF(AND(EJ$12&gt;=$E30,EJ$12&lt;=$F30,MOD(EJ$12,7)&gt;1,NOT(COUNTIF(General!$U$13:$U$19,EJ$12))),$I30,"")</f>
        <v/>
      </c>
      <c r="EK30" s="390" t="str">
        <f>IF(AND(EK$12&gt;=$E30,EK$12&lt;=$F30,MOD(EK$12,7)&gt;1,NOT(COUNTIF(General!$U$13:$U$19,EK$12))),$I30,"")</f>
        <v/>
      </c>
      <c r="EL30" s="390" t="str">
        <f>IF(AND(EL$12&gt;=$E30,EL$12&lt;=$F30,MOD(EL$12,7)&gt;1,NOT(COUNTIF(General!$U$13:$U$19,EL$12))),$I30,"")</f>
        <v/>
      </c>
      <c r="EM30" s="390" t="str">
        <f>IF(AND(EM$12&gt;=$E30,EM$12&lt;=$F30,MOD(EM$12,7)&gt;1,NOT(COUNTIF(General!$U$13:$U$19,EM$12))),$I30,"")</f>
        <v/>
      </c>
      <c r="EN30" s="390" t="str">
        <f>IF(AND(EN$12&gt;=$E30,EN$12&lt;=$F30,MOD(EN$12,7)&gt;1,NOT(COUNTIF(General!$U$13:$U$19,EN$12))),$I30,"")</f>
        <v/>
      </c>
      <c r="EO30" s="390" t="str">
        <f>IF(AND(EO$12&gt;=$E30,EO$12&lt;=$F30,MOD(EO$12,7)&gt;1,NOT(COUNTIF(General!$U$13:$U$19,EO$12))),$I30,"")</f>
        <v/>
      </c>
      <c r="EP30" s="390" t="str">
        <f>IF(AND(EP$12&gt;=$E30,EP$12&lt;=$F30,MOD(EP$12,7)&gt;1,NOT(COUNTIF(General!$U$13:$U$19,EP$12))),$I30,"")</f>
        <v/>
      </c>
      <c r="EQ30" s="390" t="str">
        <f>IF(AND(EQ$12&gt;=$E30,EQ$12&lt;=$F30,MOD(EQ$12,7)&gt;1,NOT(COUNTIF(General!$U$13:$U$19,EQ$12))),$I30,"")</f>
        <v/>
      </c>
      <c r="ER30" s="390" t="str">
        <f>IF(AND(ER$12&gt;=$E30,ER$12&lt;=$F30,MOD(ER$12,7)&gt;1,NOT(COUNTIF(General!$U$13:$U$19,ER$12))),$I30,"")</f>
        <v/>
      </c>
      <c r="ES30" s="390" t="str">
        <f>IF(AND(ES$12&gt;=$E30,ES$12&lt;=$F30,MOD(ES$12,7)&gt;1,NOT(COUNTIF(General!$U$13:$U$19,ES$12))),$I30,"")</f>
        <v/>
      </c>
      <c r="ET30" s="390" t="str">
        <f>IF(AND(ET$12&gt;=$E30,ET$12&lt;=$F30,MOD(ET$12,7)&gt;1,NOT(COUNTIF(General!$U$13:$U$19,ET$12))),$I30,"")</f>
        <v/>
      </c>
      <c r="EU30" s="390" t="str">
        <f>IF(AND(EU$12&gt;=$E30,EU$12&lt;=$F30,MOD(EU$12,7)&gt;1,NOT(COUNTIF(General!$U$13:$U$19,EU$12))),$I30,"")</f>
        <v/>
      </c>
      <c r="EV30" s="390" t="str">
        <f>IF(AND(EV$12&gt;=$E30,EV$12&lt;=$F30,MOD(EV$12,7)&gt;1,NOT(COUNTIF(General!$U$13:$U$19,EV$12))),$I30,"")</f>
        <v/>
      </c>
      <c r="EW30" s="390" t="str">
        <f>IF(AND(EW$12&gt;=$E30,EW$12&lt;=$F30,MOD(EW$12,7)&gt;1,NOT(COUNTIF(General!$U$13:$U$19,EW$12))),$I30,"")</f>
        <v/>
      </c>
      <c r="EX30" s="390" t="str">
        <f>IF(AND(EX$12&gt;=$E30,EX$12&lt;=$F30,MOD(EX$12,7)&gt;1,NOT(COUNTIF(General!$U$13:$U$19,EX$12))),$I30,"")</f>
        <v/>
      </c>
      <c r="EY30" s="390" t="str">
        <f>IF(AND(EY$12&gt;=$E30,EY$12&lt;=$F30,MOD(EY$12,7)&gt;1,NOT(COUNTIF(General!$U$13:$U$19,EY$12))),$I30,"")</f>
        <v/>
      </c>
      <c r="EZ30" s="390" t="str">
        <f>IF(AND(EZ$12&gt;=$E30,EZ$12&lt;=$F30,MOD(EZ$12,7)&gt;1,NOT(COUNTIF(General!$U$13:$U$19,EZ$12))),$I30,"")</f>
        <v/>
      </c>
      <c r="FA30" s="390" t="str">
        <f>IF(AND(FA$12&gt;=$E30,FA$12&lt;=$F30,MOD(FA$12,7)&gt;1,NOT(COUNTIF(General!$U$13:$U$19,FA$12))),$I30,"")</f>
        <v/>
      </c>
      <c r="FB30" s="390" t="str">
        <f>IF(AND(FB$12&gt;=$E30,FB$12&lt;=$F30,MOD(FB$12,7)&gt;1,NOT(COUNTIF(General!$U$13:$U$19,FB$12))),$I30,"")</f>
        <v/>
      </c>
      <c r="FC30" s="390" t="str">
        <f>IF(AND(FC$12&gt;=$E30,FC$12&lt;=$F30,MOD(FC$12,7)&gt;1,NOT(COUNTIF(General!$U$13:$U$19,FC$12))),$I30,"")</f>
        <v/>
      </c>
      <c r="FD30" s="390" t="str">
        <f>IF(AND(FD$12&gt;=$E30,FD$12&lt;=$F30,MOD(FD$12,7)&gt;1,NOT(COUNTIF(General!$U$13:$U$19,FD$12))),$I30,"")</f>
        <v/>
      </c>
      <c r="FE30" s="390" t="str">
        <f>IF(AND(FE$12&gt;=$E30,FE$12&lt;=$F30,MOD(FE$12,7)&gt;1,NOT(COUNTIF(General!$U$13:$U$19,FE$12))),$I30,"")</f>
        <v/>
      </c>
      <c r="FF30" s="390" t="str">
        <f>IF(AND(FF$12&gt;=$E30,FF$12&lt;=$F30,MOD(FF$12,7)&gt;1,NOT(COUNTIF(General!$U$13:$U$19,FF$12))),$I30,"")</f>
        <v/>
      </c>
      <c r="FG30" s="390" t="str">
        <f>IF(AND(FG$12&gt;=$E30,FG$12&lt;=$F30,MOD(FG$12,7)&gt;1,NOT(COUNTIF(General!$U$13:$U$19,FG$12))),$I30,"")</f>
        <v/>
      </c>
      <c r="FH30" s="390" t="str">
        <f>IF(AND(FH$12&gt;=$E30,FH$12&lt;=$F30,MOD(FH$12,7)&gt;1,NOT(COUNTIF(General!$U$13:$U$19,FH$12))),$I30,"")</f>
        <v/>
      </c>
      <c r="FI30" s="390" t="str">
        <f>IF(AND(FI$12&gt;=$E30,FI$12&lt;=$F30,MOD(FI$12,7)&gt;1,NOT(COUNTIF(General!$U$13:$U$19,FI$12))),$I30,"")</f>
        <v/>
      </c>
      <c r="FJ30" s="390" t="str">
        <f>IF(AND(FJ$12&gt;=$E30,FJ$12&lt;=$F30,MOD(FJ$12,7)&gt;1,NOT(COUNTIF(General!$U$13:$U$19,FJ$12))),$I30,"")</f>
        <v/>
      </c>
      <c r="FK30" s="390" t="str">
        <f>IF(AND(FK$12&gt;=$E30,FK$12&lt;=$F30,MOD(FK$12,7)&gt;1,NOT(COUNTIF(General!$U$13:$U$19,FK$12))),$I30,"")</f>
        <v/>
      </c>
      <c r="FL30" s="390" t="str">
        <f>IF(AND(FL$12&gt;=$E30,FL$12&lt;=$F30,MOD(FL$12,7)&gt;1,NOT(COUNTIF(General!$U$13:$U$19,FL$12))),$I30,"")</f>
        <v/>
      </c>
      <c r="FM30" s="390" t="str">
        <f>IF(AND(FM$12&gt;=$E30,FM$12&lt;=$F30,MOD(FM$12,7)&gt;1,NOT(COUNTIF(General!$U$13:$U$19,FM$12))),$I30,"")</f>
        <v/>
      </c>
      <c r="FN30" s="390" t="str">
        <f>IF(AND(FN$12&gt;=$E30,FN$12&lt;=$F30,MOD(FN$12,7)&gt;1,NOT(COUNTIF(General!$U$13:$U$19,FN$12))),$I30,"")</f>
        <v/>
      </c>
      <c r="FO30" s="390" t="str">
        <f>IF(AND(FO$12&gt;=$E30,FO$12&lt;=$F30,MOD(FO$12,7)&gt;1,NOT(COUNTIF(General!$U$13:$U$19,FO$12))),$I30,"")</f>
        <v/>
      </c>
      <c r="FP30" s="390" t="str">
        <f>IF(AND(FP$12&gt;=$E30,FP$12&lt;=$F30,MOD(FP$12,7)&gt;1,NOT(COUNTIF(General!$U$13:$U$19,FP$12))),$I30,"")</f>
        <v/>
      </c>
      <c r="FQ30" s="390" t="str">
        <f>IF(AND(FQ$12&gt;=$E30,FQ$12&lt;=$F30,MOD(FQ$12,7)&gt;1,NOT(COUNTIF(General!$U$13:$U$19,FQ$12))),$I30,"")</f>
        <v/>
      </c>
      <c r="FR30" s="390" t="str">
        <f>IF(AND(FR$12&gt;=$E30,FR$12&lt;=$F30,MOD(FR$12,7)&gt;1,NOT(COUNTIF(General!$U$13:$U$19,FR$12))),$I30,"")</f>
        <v/>
      </c>
      <c r="FS30" s="390" t="str">
        <f>IF(AND(FS$12&gt;=$E30,FS$12&lt;=$F30,MOD(FS$12,7)&gt;1,NOT(COUNTIF(General!$U$13:$U$19,FS$12))),$I30,"")</f>
        <v/>
      </c>
      <c r="FT30" s="390" t="str">
        <f>IF(AND(FT$12&gt;=$E30,FT$12&lt;=$F30,MOD(FT$12,7)&gt;1,NOT(COUNTIF(General!$U$13:$U$19,FT$12))),$I30,"")</f>
        <v/>
      </c>
      <c r="FU30" s="390" t="str">
        <f>IF(AND(FU$12&gt;=$E30,FU$12&lt;=$F30,MOD(FU$12,7)&gt;1,NOT(COUNTIF(General!$U$13:$U$19,FU$12))),$I30,"")</f>
        <v/>
      </c>
      <c r="FV30" s="390" t="str">
        <f>IF(AND(FV$12&gt;=$E30,FV$12&lt;=$F30,MOD(FV$12,7)&gt;1,NOT(COUNTIF(General!$U$13:$U$19,FV$12))),$I30,"")</f>
        <v/>
      </c>
      <c r="FW30" s="390" t="str">
        <f>IF(AND(FW$12&gt;=$E30,FW$12&lt;=$F30,MOD(FW$12,7)&gt;1,NOT(COUNTIF(General!$U$13:$U$19,FW$12))),$I30,"")</f>
        <v/>
      </c>
      <c r="FX30" s="390" t="str">
        <f>IF(AND(FX$12&gt;=$E30,FX$12&lt;=$F30,MOD(FX$12,7)&gt;1,NOT(COUNTIF(General!$U$13:$U$19,FX$12))),$I30,"")</f>
        <v/>
      </c>
    </row>
    <row r="31" ht="16.5" customHeight="1">
      <c r="A31" s="368"/>
      <c r="B31" s="369"/>
      <c r="C31" s="370"/>
      <c r="D31" s="371" t="s">
        <v>571</v>
      </c>
      <c r="E31" s="372">
        <v>43810.0</v>
      </c>
      <c r="F31" s="374">
        <f>WORKDAY(E31,ROUNDUP(G31/I31,0),General!$U$13:$U$27)-1</f>
        <v>43810</v>
      </c>
      <c r="G31" s="542">
        <f>G30*0.4</f>
        <v>0.4</v>
      </c>
      <c r="H31" s="377"/>
      <c r="I31" s="368">
        <v>1.0</v>
      </c>
      <c r="J31" s="379"/>
      <c r="K31" s="381"/>
      <c r="L31" s="382"/>
      <c r="M31" s="383"/>
      <c r="N31" s="384"/>
      <c r="O31" s="386"/>
      <c r="P31" s="388"/>
      <c r="Q31" s="390" t="str">
        <f>IF(AND(Q$12&gt;=$E31,Q$12&lt;=$F31,MOD(Q$12,7)&gt;1,NOT(COUNTIF(General!$U$13:$U$19,Q$12))),$I31,"")</f>
        <v/>
      </c>
      <c r="R31" s="390" t="str">
        <f>IF(AND(R$12&gt;=$E31,R$12&lt;=$F31,MOD(R$12,7)&gt;1,NOT(COUNTIF(General!$U$13:$U$19,R$12))),$I31,"")</f>
        <v/>
      </c>
      <c r="S31" s="390" t="str">
        <f>IF(AND(S$12&gt;=$E31,S$12&lt;=$F31,MOD(S$12,7)&gt;1,NOT(COUNTIF(General!$U$13:$U$19,S$12))),$I31,"")</f>
        <v/>
      </c>
      <c r="T31" s="390" t="str">
        <f>IF(AND(T$12&gt;=$E31,T$12&lt;=$F31,MOD(T$12,7)&gt;1,NOT(COUNTIF(General!$U$13:$U$19,T$12))),$I31,"")</f>
        <v/>
      </c>
      <c r="U31" s="390" t="str">
        <f>IF(AND(U$12&gt;=$E31,U$12&lt;=$F31,MOD(U$12,7)&gt;1,NOT(COUNTIF(General!$U$13:$U$19,U$12))),$I31,"")</f>
        <v/>
      </c>
      <c r="V31" s="390" t="str">
        <f>IF(AND(V$12&gt;=$E31,V$12&lt;=$F31,MOD(V$12,7)&gt;1,NOT(COUNTIF(General!$U$13:$U$19,V$12))),$I31,"")</f>
        <v/>
      </c>
      <c r="W31" s="390" t="str">
        <f>IF(AND(W$12&gt;=$E31,W$12&lt;=$F31,MOD(W$12,7)&gt;1,NOT(COUNTIF(General!$U$13:$U$19,W$12))),$I31,"")</f>
        <v/>
      </c>
      <c r="X31" s="390" t="str">
        <f>IF(AND(X$12&gt;=$E31,X$12&lt;=$F31,MOD(X$12,7)&gt;1,NOT(COUNTIF(General!$U$13:$U$19,X$12))),$I31,"")</f>
        <v/>
      </c>
      <c r="Y31" s="390" t="str">
        <f>IF(AND(Y$12&gt;=$E31,Y$12&lt;=$F31,MOD(Y$12,7)&gt;1,NOT(COUNTIF(General!$U$13:$U$19,Y$12))),$I31,"")</f>
        <v/>
      </c>
      <c r="Z31" s="390">
        <f>IF(AND(Z$12&gt;=$E31,Z$12&lt;=$F31,MOD(Z$12,7)&gt;1,NOT(COUNTIF(General!$U$13:$U$19,Z$12))),$I31,"")</f>
        <v>1</v>
      </c>
      <c r="AA31" s="390" t="str">
        <f>IF(AND(AA$12&gt;=$E31,AA$12&lt;=$F31,MOD(AA$12,7)&gt;1,NOT(COUNTIF(General!$U$13:$U$19,AA$12))),$I31,"")</f>
        <v/>
      </c>
      <c r="AB31" s="390" t="str">
        <f>IF(AND(AB$12&gt;=$E31,AB$12&lt;=$F31,MOD(AB$12,7)&gt;1,NOT(COUNTIF(General!$U$13:$U$19,AB$12))),$I31,"")</f>
        <v/>
      </c>
      <c r="AC31" s="390" t="str">
        <f>IF(AND(AC$12&gt;=$E31,AC$12&lt;=$F31,MOD(AC$12,7)&gt;1,NOT(COUNTIF(General!$U$13:$U$19,AC$12))),$I31,"")</f>
        <v/>
      </c>
      <c r="AD31" s="390" t="str">
        <f>IF(AND(AD$12&gt;=$E31,AD$12&lt;=$F31,MOD(AD$12,7)&gt;1,NOT(COUNTIF(General!$U$13:$U$19,AD$12))),$I31,"")</f>
        <v/>
      </c>
      <c r="AE31" s="390" t="str">
        <f>IF(AND(AE$12&gt;=$E31,AE$12&lt;=$F31,MOD(AE$12,7)&gt;1,NOT(COUNTIF(General!$U$13:$U$19,AE$12))),$I31,"")</f>
        <v/>
      </c>
      <c r="AF31" s="390" t="str">
        <f>IF(AND(AF$12&gt;=$E31,AF$12&lt;=$F31,MOD(AF$12,7)&gt;1,NOT(COUNTIF(General!$U$13:$U$19,AF$12))),$I31,"")</f>
        <v/>
      </c>
      <c r="AG31" s="390" t="str">
        <f>IF(AND(AG$12&gt;=$E31,AG$12&lt;=$F31,MOD(AG$12,7)&gt;1,NOT(COUNTIF(General!$U$13:$U$19,AG$12))),$I31,"")</f>
        <v/>
      </c>
      <c r="AH31" s="390" t="str">
        <f>IF(AND(AH$12&gt;=$E31,AH$12&lt;=$F31,MOD(AH$12,7)&gt;1,NOT(COUNTIF(General!$U$13:$U$19,AH$12))),$I31,"")</f>
        <v/>
      </c>
      <c r="AI31" s="390" t="str">
        <f>IF(AND(AI$12&gt;=$E31,AI$12&lt;=$F31,MOD(AI$12,7)&gt;1,NOT(COUNTIF(General!$U$13:$U$19,AI$12))),$I31,"")</f>
        <v/>
      </c>
      <c r="AJ31" s="390" t="str">
        <f>IF(AND(AJ$12&gt;=$E31,AJ$12&lt;=$F31,MOD(AJ$12,7)&gt;1,NOT(COUNTIF(General!$U$13:$U$19,AJ$12))),$I31,"")</f>
        <v/>
      </c>
      <c r="AK31" s="390" t="str">
        <f>IF(AND(AK$12&gt;=$E31,AK$12&lt;=$F31,MOD(AK$12,7)&gt;1,NOT(COUNTIF(General!$U$13:$U$19,AK$12))),$I31,"")</f>
        <v/>
      </c>
      <c r="AL31" s="390" t="str">
        <f>IF(AND(AL$12&gt;=$E31,AL$12&lt;=$F31,MOD(AL$12,7)&gt;1,NOT(COUNTIF(General!$U$13:$U$19,AL$12))),$I31,"")</f>
        <v/>
      </c>
      <c r="AM31" s="390" t="str">
        <f>IF(AND(AM$12&gt;=$E31,AM$12&lt;=$F31,MOD(AM$12,7)&gt;1,NOT(COUNTIF(General!$U$13:$U$19,AM$12))),$I31,"")</f>
        <v/>
      </c>
      <c r="AN31" s="390" t="str">
        <f>IF(AND(AN$12&gt;=$E31,AN$12&lt;=$F31,MOD(AN$12,7)&gt;1,NOT(COUNTIF(General!$U$13:$U$19,AN$12))),$I31,"")</f>
        <v/>
      </c>
      <c r="AO31" s="390" t="str">
        <f>IF(AND(AO$12&gt;=$E31,AO$12&lt;=$F31,MOD(AO$12,7)&gt;1,NOT(COUNTIF(General!$U$13:$U$19,AO$12))),$I31,"")</f>
        <v/>
      </c>
      <c r="AP31" s="390" t="str">
        <f>IF(AND(AP$12&gt;=$E31,AP$12&lt;=$F31,MOD(AP$12,7)&gt;1,NOT(COUNTIF(General!$U$13:$U$19,AP$12))),$I31,"")</f>
        <v/>
      </c>
      <c r="AQ31" s="390" t="str">
        <f>IF(AND(AQ$12&gt;=$E31,AQ$12&lt;=$F31,MOD(AQ$12,7)&gt;1,NOT(COUNTIF(General!$U$13:$U$19,AQ$12))),$I31,"")</f>
        <v/>
      </c>
      <c r="AR31" s="390" t="str">
        <f>IF(AND(AR$12&gt;=$E31,AR$12&lt;=$F31,MOD(AR$12,7)&gt;1,NOT(COUNTIF(General!$U$13:$U$19,AR$12))),$I31,"")</f>
        <v/>
      </c>
      <c r="AS31" s="390" t="str">
        <f>IF(AND(AS$12&gt;=$E31,AS$12&lt;=$F31,MOD(AS$12,7)&gt;1,NOT(COUNTIF(General!$U$13:$U$19,AS$12))),$I31,"")</f>
        <v/>
      </c>
      <c r="AT31" s="390" t="str">
        <f>IF(AND(AT$12&gt;=$E31,AT$12&lt;=$F31,MOD(AT$12,7)&gt;1,NOT(COUNTIF(General!$U$13:$U$19,AT$12))),$I31,"")</f>
        <v/>
      </c>
      <c r="AU31" s="390" t="str">
        <f>IF(AND(AU$12&gt;=$E31,AU$12&lt;=$F31,MOD(AU$12,7)&gt;1,NOT(COUNTIF(General!$U$13:$U$19,AU$12))),$I31,"")</f>
        <v/>
      </c>
      <c r="AV31" s="390" t="str">
        <f>IF(AND(AV$12&gt;=$E31,AV$12&lt;=$F31,MOD(AV$12,7)&gt;1,NOT(COUNTIF(General!$U$13:$U$19,AV$12))),$I31,"")</f>
        <v/>
      </c>
      <c r="AW31" s="390" t="str">
        <f>IF(AND(AW$12&gt;=$E31,AW$12&lt;=$F31,MOD(AW$12,7)&gt;1,NOT(COUNTIF(General!$U$13:$U$19,AW$12))),$I31,"")</f>
        <v/>
      </c>
      <c r="AX31" s="390" t="str">
        <f>IF(AND(AX$12&gt;=$E31,AX$12&lt;=$F31,MOD(AX$12,7)&gt;1,NOT(COUNTIF(General!$U$13:$U$19,AX$12))),$I31,"")</f>
        <v/>
      </c>
      <c r="AY31" s="390" t="str">
        <f>IF(AND(AY$12&gt;=$E31,AY$12&lt;=$F31,MOD(AY$12,7)&gt;1,NOT(COUNTIF(General!$U$13:$U$19,AY$12))),$I31,"")</f>
        <v/>
      </c>
      <c r="AZ31" s="390" t="str">
        <f>IF(AND(AZ$12&gt;=$E31,AZ$12&lt;=$F31,MOD(AZ$12,7)&gt;1,NOT(COUNTIF(General!$U$13:$U$19,AZ$12))),$I31,"")</f>
        <v/>
      </c>
      <c r="BA31" s="390" t="str">
        <f>IF(AND(BA$12&gt;=$E31,BA$12&lt;=$F31,MOD(BA$12,7)&gt;1,NOT(COUNTIF(General!$U$13:$U$19,BA$12))),$I31,"")</f>
        <v/>
      </c>
      <c r="BB31" s="390" t="str">
        <f>IF(AND(BB$12&gt;=$E31,BB$12&lt;=$F31,MOD(BB$12,7)&gt;1,NOT(COUNTIF(General!$U$13:$U$19,BB$12))),$I31,"")</f>
        <v/>
      </c>
      <c r="BC31" s="390" t="str">
        <f>IF(AND(BC$12&gt;=$E31,BC$12&lt;=$F31,MOD(BC$12,7)&gt;1,NOT(COUNTIF(General!$U$13:$U$19,BC$12))),$I31,"")</f>
        <v/>
      </c>
      <c r="BD31" s="390" t="str">
        <f>IF(AND(BD$12&gt;=$E31,BD$12&lt;=$F31,MOD(BD$12,7)&gt;1,NOT(COUNTIF(General!$U$13:$U$19,BD$12))),$I31,"")</f>
        <v/>
      </c>
      <c r="BE31" s="390" t="str">
        <f>IF(AND(BE$12&gt;=$E31,BE$12&lt;=$F31,MOD(BE$12,7)&gt;1,NOT(COUNTIF(General!$U$13:$U$19,BE$12))),$I31,"")</f>
        <v/>
      </c>
      <c r="BF31" s="390" t="str">
        <f>IF(AND(BF$12&gt;=$E31,BF$12&lt;=$F31,MOD(BF$12,7)&gt;1,NOT(COUNTIF(General!$U$13:$U$19,BF$12))),$I31,"")</f>
        <v/>
      </c>
      <c r="BG31" s="390" t="str">
        <f>IF(AND(BG$12&gt;=$E31,BG$12&lt;=$F31,MOD(BG$12,7)&gt;1,NOT(COUNTIF(General!$U$13:$U$19,BG$12))),$I31,"")</f>
        <v/>
      </c>
      <c r="BH31" s="390" t="str">
        <f>IF(AND(BH$12&gt;=$E31,BH$12&lt;=$F31,MOD(BH$12,7)&gt;1,NOT(COUNTIF(General!$U$13:$U$19,BH$12))),$I31,"")</f>
        <v/>
      </c>
      <c r="BI31" s="390" t="str">
        <f>IF(AND(BI$12&gt;=$E31,BI$12&lt;=$F31,MOD(BI$12,7)&gt;1,NOT(COUNTIF(General!$U$13:$U$19,BI$12))),$I31,"")</f>
        <v/>
      </c>
      <c r="BJ31" s="390" t="str">
        <f>IF(AND(BJ$12&gt;=$E31,BJ$12&lt;=$F31,MOD(BJ$12,7)&gt;1,NOT(COUNTIF(General!$U$13:$U$19,BJ$12))),$I31,"")</f>
        <v/>
      </c>
      <c r="BK31" s="390" t="str">
        <f>IF(AND(BK$12&gt;=$E31,BK$12&lt;=$F31,MOD(BK$12,7)&gt;1,NOT(COUNTIF(General!$U$13:$U$19,BK$12))),$I31,"")</f>
        <v/>
      </c>
      <c r="BL31" s="390" t="str">
        <f>IF(AND(BL$12&gt;=$E31,BL$12&lt;=$F31,MOD(BL$12,7)&gt;1,NOT(COUNTIF(General!$U$13:$U$19,BL$12))),$I31,"")</f>
        <v/>
      </c>
      <c r="BM31" s="390" t="str">
        <f>IF(AND(BM$12&gt;=$E31,BM$12&lt;=$F31,MOD(BM$12,7)&gt;1,NOT(COUNTIF(General!$U$13:$U$19,BM$12))),$I31,"")</f>
        <v/>
      </c>
      <c r="BN31" s="390" t="str">
        <f>IF(AND(BN$12&gt;=$E31,BN$12&lt;=$F31,MOD(BN$12,7)&gt;1,NOT(COUNTIF(General!$U$13:$U$19,BN$12))),$I31,"")</f>
        <v/>
      </c>
      <c r="BO31" s="390" t="str">
        <f>IF(AND(BO$12&gt;=$E31,BO$12&lt;=$F31,MOD(BO$12,7)&gt;1,NOT(COUNTIF(General!$U$13:$U$19,BO$12))),$I31,"")</f>
        <v/>
      </c>
      <c r="BP31" s="390" t="str">
        <f>IF(AND(BP$12&gt;=$E31,BP$12&lt;=$F31,MOD(BP$12,7)&gt;1,NOT(COUNTIF(General!$U$13:$U$19,BP$12))),$I31,"")</f>
        <v/>
      </c>
      <c r="BQ31" s="390" t="str">
        <f>IF(AND(BQ$12&gt;=$E31,BQ$12&lt;=$F31,MOD(BQ$12,7)&gt;1,NOT(COUNTIF(General!$U$13:$U$19,BQ$12))),$I31,"")</f>
        <v/>
      </c>
      <c r="BR31" s="390" t="str">
        <f>IF(AND(BR$12&gt;=$E31,BR$12&lt;=$F31,MOD(BR$12,7)&gt;1,NOT(COUNTIF(General!$U$13:$U$19,BR$12))),$I31,"")</f>
        <v/>
      </c>
      <c r="BS31" s="390" t="str">
        <f>IF(AND(BS$12&gt;=$E31,BS$12&lt;=$F31,MOD(BS$12,7)&gt;1,NOT(COUNTIF(General!$U$13:$U$19,BS$12))),$I31,"")</f>
        <v/>
      </c>
      <c r="BT31" s="390" t="str">
        <f>IF(AND(BT$12&gt;=$E31,BT$12&lt;=$F31,MOD(BT$12,7)&gt;1,NOT(COUNTIF(General!$U$13:$U$19,BT$12))),$I31,"")</f>
        <v/>
      </c>
      <c r="BU31" s="390" t="str">
        <f>IF(AND(BU$12&gt;=$E31,BU$12&lt;=$F31,MOD(BU$12,7)&gt;1,NOT(COUNTIF(General!$U$13:$U$19,BU$12))),$I31,"")</f>
        <v/>
      </c>
      <c r="BV31" s="390" t="str">
        <f>IF(AND(BV$12&gt;=$E31,BV$12&lt;=$F31,MOD(BV$12,7)&gt;1,NOT(COUNTIF(General!$U$13:$U$19,BV$12))),$I31,"")</f>
        <v/>
      </c>
      <c r="BW31" s="390" t="str">
        <f>IF(AND(BW$12&gt;=$E31,BW$12&lt;=$F31,MOD(BW$12,7)&gt;1,NOT(COUNTIF(General!$U$13:$U$19,BW$12))),$I31,"")</f>
        <v/>
      </c>
      <c r="BX31" s="390" t="str">
        <f>IF(AND(BX$12&gt;=$E31,BX$12&lt;=$F31,MOD(BX$12,7)&gt;1,NOT(COUNTIF(General!$U$13:$U$19,BX$12))),$I31,"")</f>
        <v/>
      </c>
      <c r="BY31" s="390" t="str">
        <f>IF(AND(BY$12&gt;=$E31,BY$12&lt;=$F31,MOD(BY$12,7)&gt;1,NOT(COUNTIF(General!$U$13:$U$19,BY$12))),$I31,"")</f>
        <v/>
      </c>
      <c r="BZ31" s="390" t="str">
        <f>IF(AND(BZ$12&gt;=$E31,BZ$12&lt;=$F31,MOD(BZ$12,7)&gt;1,NOT(COUNTIF(General!$U$13:$U$19,BZ$12))),$I31,"")</f>
        <v/>
      </c>
      <c r="CA31" s="390" t="str">
        <f>IF(AND(CA$12&gt;=$E31,CA$12&lt;=$F31,MOD(CA$12,7)&gt;1,NOT(COUNTIF(General!$U$13:$U$19,CA$12))),$I31,"")</f>
        <v/>
      </c>
      <c r="CB31" s="390" t="str">
        <f>IF(AND(CB$12&gt;=$E31,CB$12&lt;=$F31,MOD(CB$12,7)&gt;1,NOT(COUNTIF(General!$U$13:$U$19,CB$12))),$I31,"")</f>
        <v/>
      </c>
      <c r="CC31" s="390" t="str">
        <f>IF(AND(CC$12&gt;=$E31,CC$12&lt;=$F31,MOD(CC$12,7)&gt;1,NOT(COUNTIF(General!$U$13:$U$19,CC$12))),$I31,"")</f>
        <v/>
      </c>
      <c r="CD31" s="390" t="str">
        <f>IF(AND(CD$12&gt;=$E31,CD$12&lt;=$F31,MOD(CD$12,7)&gt;1,NOT(COUNTIF(General!$U$13:$U$19,CD$12))),$I31,"")</f>
        <v/>
      </c>
      <c r="CE31" s="390" t="str">
        <f>IF(AND(CE$12&gt;=$E31,CE$12&lt;=$F31,MOD(CE$12,7)&gt;1,NOT(COUNTIF(General!$U$13:$U$19,CE$12))),$I31,"")</f>
        <v/>
      </c>
      <c r="CF31" s="390" t="str">
        <f>IF(AND(CF$12&gt;=$E31,CF$12&lt;=$F31,MOD(CF$12,7)&gt;1,NOT(COUNTIF(General!$U$13:$U$19,CF$12))),$I31,"")</f>
        <v/>
      </c>
      <c r="CG31" s="390" t="str">
        <f>IF(AND(CG$12&gt;=$E31,CG$12&lt;=$F31,MOD(CG$12,7)&gt;1,NOT(COUNTIF(General!$U$13:$U$19,CG$12))),$I31,"")</f>
        <v/>
      </c>
      <c r="CH31" s="390" t="str">
        <f>IF(AND(CH$12&gt;=$E31,CH$12&lt;=$F31,MOD(CH$12,7)&gt;1,NOT(COUNTIF(General!$U$13:$U$19,CH$12))),$I31,"")</f>
        <v/>
      </c>
      <c r="CI31" s="390" t="str">
        <f>IF(AND(CI$12&gt;=$E31,CI$12&lt;=$F31,MOD(CI$12,7)&gt;1,NOT(COUNTIF(General!$U$13:$U$19,CI$12))),$I31,"")</f>
        <v/>
      </c>
      <c r="CJ31" s="390" t="str">
        <f>IF(AND(CJ$12&gt;=$E31,CJ$12&lt;=$F31,MOD(CJ$12,7)&gt;1,NOT(COUNTIF(General!$U$13:$U$19,CJ$12))),$I31,"")</f>
        <v/>
      </c>
      <c r="CK31" s="390" t="str">
        <f>IF(AND(CK$12&gt;=$E31,CK$12&lt;=$F31,MOD(CK$12,7)&gt;1,NOT(COUNTIF(General!$U$13:$U$19,CK$12))),$I31,"")</f>
        <v/>
      </c>
      <c r="CL31" s="390" t="str">
        <f>IF(AND(CL$12&gt;=$E31,CL$12&lt;=$F31,MOD(CL$12,7)&gt;1,NOT(COUNTIF(General!$U$13:$U$19,CL$12))),$I31,"")</f>
        <v/>
      </c>
      <c r="CM31" s="390" t="str">
        <f>IF(AND(CM$12&gt;=$E31,CM$12&lt;=$F31,MOD(CM$12,7)&gt;1,NOT(COUNTIF(General!$U$13:$U$19,CM$12))),$I31,"")</f>
        <v/>
      </c>
      <c r="CN31" s="390" t="str">
        <f>IF(AND(CN$12&gt;=$E31,CN$12&lt;=$F31,MOD(CN$12,7)&gt;1,NOT(COUNTIF(General!$U$13:$U$19,CN$12))),$I31,"")</f>
        <v/>
      </c>
      <c r="CO31" s="390" t="str">
        <f>IF(AND(CO$12&gt;=$E31,CO$12&lt;=$F31,MOD(CO$12,7)&gt;1,NOT(COUNTIF(General!$U$13:$U$19,CO$12))),$I31,"")</f>
        <v/>
      </c>
      <c r="CP31" s="390" t="str">
        <f>IF(AND(CP$12&gt;=$E31,CP$12&lt;=$F31,MOD(CP$12,7)&gt;1,NOT(COUNTIF(General!$U$13:$U$19,CP$12))),$I31,"")</f>
        <v/>
      </c>
      <c r="CQ31" s="390" t="str">
        <f>IF(AND(CQ$12&gt;=$E31,CQ$12&lt;=$F31,MOD(CQ$12,7)&gt;1,NOT(COUNTIF(General!$U$13:$U$19,CQ$12))),$I31,"")</f>
        <v/>
      </c>
      <c r="CR31" s="390" t="str">
        <f>IF(AND(CR$12&gt;=$E31,CR$12&lt;=$F31,MOD(CR$12,7)&gt;1,NOT(COUNTIF(General!$U$13:$U$19,CR$12))),$I31,"")</f>
        <v/>
      </c>
      <c r="CS31" s="390" t="str">
        <f>IF(AND(CS$12&gt;=$E31,CS$12&lt;=$F31,MOD(CS$12,7)&gt;1,NOT(COUNTIF(General!$U$13:$U$19,CS$12))),$I31,"")</f>
        <v/>
      </c>
      <c r="CT31" s="390" t="str">
        <f>IF(AND(CT$12&gt;=$E31,CT$12&lt;=$F31,MOD(CT$12,7)&gt;1,NOT(COUNTIF(General!$U$13:$U$19,CT$12))),$I31,"")</f>
        <v/>
      </c>
      <c r="CU31" s="390" t="str">
        <f>IF(AND(CU$12&gt;=$E31,CU$12&lt;=$F31,MOD(CU$12,7)&gt;1,NOT(COUNTIF(General!$U$13:$U$19,CU$12))),$I31,"")</f>
        <v/>
      </c>
      <c r="CV31" s="390" t="str">
        <f>IF(AND(CV$12&gt;=$E31,CV$12&lt;=$F31,MOD(CV$12,7)&gt;1,NOT(COUNTIF(General!$U$13:$U$19,CV$12))),$I31,"")</f>
        <v/>
      </c>
      <c r="CW31" s="390" t="str">
        <f>IF(AND(CW$12&gt;=$E31,CW$12&lt;=$F31,MOD(CW$12,7)&gt;1,NOT(COUNTIF(General!$U$13:$U$19,CW$12))),$I31,"")</f>
        <v/>
      </c>
      <c r="CX31" s="390" t="str">
        <f>IF(AND(CX$12&gt;=$E31,CX$12&lt;=$F31,MOD(CX$12,7)&gt;1,NOT(COUNTIF(General!$U$13:$U$19,CX$12))),$I31,"")</f>
        <v/>
      </c>
      <c r="CY31" s="390" t="str">
        <f>IF(AND(CY$12&gt;=$E31,CY$12&lt;=$F31,MOD(CY$12,7)&gt;1,NOT(COUNTIF(General!$U$13:$U$19,CY$12))),$I31,"")</f>
        <v/>
      </c>
      <c r="CZ31" s="390" t="str">
        <f>IF(AND(CZ$12&gt;=$E31,CZ$12&lt;=$F31,MOD(CZ$12,7)&gt;1,NOT(COUNTIF(General!$U$13:$U$19,CZ$12))),$I31,"")</f>
        <v/>
      </c>
      <c r="DA31" s="390" t="str">
        <f>IF(AND(DA$12&gt;=$E31,DA$12&lt;=$F31,MOD(DA$12,7)&gt;1,NOT(COUNTIF(General!$U$13:$U$19,DA$12))),$I31,"")</f>
        <v/>
      </c>
      <c r="DB31" s="390" t="str">
        <f>IF(AND(DB$12&gt;=$E31,DB$12&lt;=$F31,MOD(DB$12,7)&gt;1,NOT(COUNTIF(General!$U$13:$U$19,DB$12))),$I31,"")</f>
        <v/>
      </c>
      <c r="DC31" s="390" t="str">
        <f>IF(AND(DC$12&gt;=$E31,DC$12&lt;=$F31,MOD(DC$12,7)&gt;1,NOT(COUNTIF(General!$U$13:$U$19,DC$12))),$I31,"")</f>
        <v/>
      </c>
      <c r="DD31" s="390" t="str">
        <f>IF(AND(DD$12&gt;=$E31,DD$12&lt;=$F31,MOD(DD$12,7)&gt;1,NOT(COUNTIF(General!$U$13:$U$19,DD$12))),$I31,"")</f>
        <v/>
      </c>
      <c r="DE31" s="390" t="str">
        <f>IF(AND(DE$12&gt;=$E31,DE$12&lt;=$F31,MOD(DE$12,7)&gt;1,NOT(COUNTIF(General!$U$13:$U$19,DE$12))),$I31,"")</f>
        <v/>
      </c>
      <c r="DF31" s="390" t="str">
        <f>IF(AND(DF$12&gt;=$E31,DF$12&lt;=$F31,MOD(DF$12,7)&gt;1,NOT(COUNTIF(General!$U$13:$U$19,DF$12))),$I31,"")</f>
        <v/>
      </c>
      <c r="DG31" s="390" t="str">
        <f>IF(AND(DG$12&gt;=$E31,DG$12&lt;=$F31,MOD(DG$12,7)&gt;1,NOT(COUNTIF(General!$U$13:$U$19,DG$12))),$I31,"")</f>
        <v/>
      </c>
      <c r="DH31" s="390" t="str">
        <f>IF(AND(DH$12&gt;=$E31,DH$12&lt;=$F31,MOD(DH$12,7)&gt;1,NOT(COUNTIF(General!$U$13:$U$19,DH$12))),$I31,"")</f>
        <v/>
      </c>
      <c r="DI31" s="390" t="str">
        <f>IF(AND(DI$12&gt;=$E31,DI$12&lt;=$F31,MOD(DI$12,7)&gt;1,NOT(COUNTIF(General!$U$13:$U$19,DI$12))),$I31,"")</f>
        <v/>
      </c>
      <c r="DJ31" s="390" t="str">
        <f>IF(AND(DJ$12&gt;=$E31,DJ$12&lt;=$F31,MOD(DJ$12,7)&gt;1,NOT(COUNTIF(General!$U$13:$U$19,DJ$12))),$I31,"")</f>
        <v/>
      </c>
      <c r="DK31" s="390" t="str">
        <f>IF(AND(DK$12&gt;=$E31,DK$12&lt;=$F31,MOD(DK$12,7)&gt;1,NOT(COUNTIF(General!$U$13:$U$19,DK$12))),$I31,"")</f>
        <v/>
      </c>
      <c r="DL31" s="390" t="str">
        <f>IF(AND(DL$12&gt;=$E31,DL$12&lt;=$F31,MOD(DL$12,7)&gt;1,NOT(COUNTIF(General!$U$13:$U$19,DL$12))),$I31,"")</f>
        <v/>
      </c>
      <c r="DM31" s="390" t="str">
        <f>IF(AND(DM$12&gt;=$E31,DM$12&lt;=$F31,MOD(DM$12,7)&gt;1,NOT(COUNTIF(General!$U$13:$U$19,DM$12))),$I31,"")</f>
        <v/>
      </c>
      <c r="DN31" s="390" t="str">
        <f>IF(AND(DN$12&gt;=$E31,DN$12&lt;=$F31,MOD(DN$12,7)&gt;1,NOT(COUNTIF(General!$U$13:$U$19,DN$12))),$I31,"")</f>
        <v/>
      </c>
      <c r="DO31" s="390" t="str">
        <f>IF(AND(DO$12&gt;=$E31,DO$12&lt;=$F31,MOD(DO$12,7)&gt;1,NOT(COUNTIF(General!$U$13:$U$19,DO$12))),$I31,"")</f>
        <v/>
      </c>
      <c r="DP31" s="390" t="str">
        <f>IF(AND(DP$12&gt;=$E31,DP$12&lt;=$F31,MOD(DP$12,7)&gt;1,NOT(COUNTIF(General!$U$13:$U$19,DP$12))),$I31,"")</f>
        <v/>
      </c>
      <c r="DQ31" s="390" t="str">
        <f>IF(AND(DQ$12&gt;=$E31,DQ$12&lt;=$F31,MOD(DQ$12,7)&gt;1,NOT(COUNTIF(General!$U$13:$U$19,DQ$12))),$I31,"")</f>
        <v/>
      </c>
      <c r="DR31" s="390" t="str">
        <f>IF(AND(DR$12&gt;=$E31,DR$12&lt;=$F31,MOD(DR$12,7)&gt;1,NOT(COUNTIF(General!$U$13:$U$19,DR$12))),$I31,"")</f>
        <v/>
      </c>
      <c r="DS31" s="390" t="str">
        <f>IF(AND(DS$12&gt;=$E31,DS$12&lt;=$F31,MOD(DS$12,7)&gt;1,NOT(COUNTIF(General!$U$13:$U$19,DS$12))),$I31,"")</f>
        <v/>
      </c>
      <c r="DT31" s="390" t="str">
        <f>IF(AND(DT$12&gt;=$E31,DT$12&lt;=$F31,MOD(DT$12,7)&gt;1,NOT(COUNTIF(General!$U$13:$U$19,DT$12))),$I31,"")</f>
        <v/>
      </c>
      <c r="DU31" s="390" t="str">
        <f>IF(AND(DU$12&gt;=$E31,DU$12&lt;=$F31,MOD(DU$12,7)&gt;1,NOT(COUNTIF(General!$U$13:$U$19,DU$12))),$I31,"")</f>
        <v/>
      </c>
      <c r="DV31" s="390" t="str">
        <f>IF(AND(DV$12&gt;=$E31,DV$12&lt;=$F31,MOD(DV$12,7)&gt;1,NOT(COUNTIF(General!$U$13:$U$19,DV$12))),$I31,"")</f>
        <v/>
      </c>
      <c r="DW31" s="390" t="str">
        <f>IF(AND(DW$12&gt;=$E31,DW$12&lt;=$F31,MOD(DW$12,7)&gt;1,NOT(COUNTIF(General!$U$13:$U$19,DW$12))),$I31,"")</f>
        <v/>
      </c>
      <c r="DX31" s="390" t="str">
        <f>IF(AND(DX$12&gt;=$E31,DX$12&lt;=$F31,MOD(DX$12,7)&gt;1,NOT(COUNTIF(General!$U$13:$U$19,DX$12))),$I31,"")</f>
        <v/>
      </c>
      <c r="DY31" s="390" t="str">
        <f>IF(AND(DY$12&gt;=$E31,DY$12&lt;=$F31,MOD(DY$12,7)&gt;1,NOT(COUNTIF(General!$U$13:$U$19,DY$12))),$I31,"")</f>
        <v/>
      </c>
      <c r="DZ31" s="390" t="str">
        <f>IF(AND(DZ$12&gt;=$E31,DZ$12&lt;=$F31,MOD(DZ$12,7)&gt;1,NOT(COUNTIF(General!$U$13:$U$19,DZ$12))),$I31,"")</f>
        <v/>
      </c>
      <c r="EA31" s="390" t="str">
        <f>IF(AND(EA$12&gt;=$E31,EA$12&lt;=$F31,MOD(EA$12,7)&gt;1,NOT(COUNTIF(General!$U$13:$U$19,EA$12))),$I31,"")</f>
        <v/>
      </c>
      <c r="EB31" s="390" t="str">
        <f>IF(AND(EB$12&gt;=$E31,EB$12&lt;=$F31,MOD(EB$12,7)&gt;1,NOT(COUNTIF(General!$U$13:$U$19,EB$12))),$I31,"")</f>
        <v/>
      </c>
      <c r="EC31" s="390" t="str">
        <f>IF(AND(EC$12&gt;=$E31,EC$12&lt;=$F31,MOD(EC$12,7)&gt;1,NOT(COUNTIF(General!$U$13:$U$19,EC$12))),$I31,"")</f>
        <v/>
      </c>
      <c r="ED31" s="390" t="str">
        <f>IF(AND(ED$12&gt;=$E31,ED$12&lt;=$F31,MOD(ED$12,7)&gt;1,NOT(COUNTIF(General!$U$13:$U$19,ED$12))),$I31,"")</f>
        <v/>
      </c>
      <c r="EE31" s="390" t="str">
        <f>IF(AND(EE$12&gt;=$E31,EE$12&lt;=$F31,MOD(EE$12,7)&gt;1,NOT(COUNTIF(General!$U$13:$U$19,EE$12))),$I31,"")</f>
        <v/>
      </c>
      <c r="EF31" s="390" t="str">
        <f>IF(AND(EF$12&gt;=$E31,EF$12&lt;=$F31,MOD(EF$12,7)&gt;1,NOT(COUNTIF(General!$U$13:$U$19,EF$12))),$I31,"")</f>
        <v/>
      </c>
      <c r="EG31" s="390" t="str">
        <f>IF(AND(EG$12&gt;=$E31,EG$12&lt;=$F31,MOD(EG$12,7)&gt;1,NOT(COUNTIF(General!$U$13:$U$19,EG$12))),$I31,"")</f>
        <v/>
      </c>
      <c r="EH31" s="390" t="str">
        <f>IF(AND(EH$12&gt;=$E31,EH$12&lt;=$F31,MOD(EH$12,7)&gt;1,NOT(COUNTIF(General!$U$13:$U$19,EH$12))),$I31,"")</f>
        <v/>
      </c>
      <c r="EI31" s="390" t="str">
        <f>IF(AND(EI$12&gt;=$E31,EI$12&lt;=$F31,MOD(EI$12,7)&gt;1,NOT(COUNTIF(General!$U$13:$U$19,EI$12))),$I31,"")</f>
        <v/>
      </c>
      <c r="EJ31" s="390" t="str">
        <f>IF(AND(EJ$12&gt;=$E31,EJ$12&lt;=$F31,MOD(EJ$12,7)&gt;1,NOT(COUNTIF(General!$U$13:$U$19,EJ$12))),$I31,"")</f>
        <v/>
      </c>
      <c r="EK31" s="390" t="str">
        <f>IF(AND(EK$12&gt;=$E31,EK$12&lt;=$F31,MOD(EK$12,7)&gt;1,NOT(COUNTIF(General!$U$13:$U$19,EK$12))),$I31,"")</f>
        <v/>
      </c>
      <c r="EL31" s="390" t="str">
        <f>IF(AND(EL$12&gt;=$E31,EL$12&lt;=$F31,MOD(EL$12,7)&gt;1,NOT(COUNTIF(General!$U$13:$U$19,EL$12))),$I31,"")</f>
        <v/>
      </c>
      <c r="EM31" s="390" t="str">
        <f>IF(AND(EM$12&gt;=$E31,EM$12&lt;=$F31,MOD(EM$12,7)&gt;1,NOT(COUNTIF(General!$U$13:$U$19,EM$12))),$I31,"")</f>
        <v/>
      </c>
      <c r="EN31" s="390" t="str">
        <f>IF(AND(EN$12&gt;=$E31,EN$12&lt;=$F31,MOD(EN$12,7)&gt;1,NOT(COUNTIF(General!$U$13:$U$19,EN$12))),$I31,"")</f>
        <v/>
      </c>
      <c r="EO31" s="390" t="str">
        <f>IF(AND(EO$12&gt;=$E31,EO$12&lt;=$F31,MOD(EO$12,7)&gt;1,NOT(COUNTIF(General!$U$13:$U$19,EO$12))),$I31,"")</f>
        <v/>
      </c>
      <c r="EP31" s="390" t="str">
        <f>IF(AND(EP$12&gt;=$E31,EP$12&lt;=$F31,MOD(EP$12,7)&gt;1,NOT(COUNTIF(General!$U$13:$U$19,EP$12))),$I31,"")</f>
        <v/>
      </c>
      <c r="EQ31" s="390" t="str">
        <f>IF(AND(EQ$12&gt;=$E31,EQ$12&lt;=$F31,MOD(EQ$12,7)&gt;1,NOT(COUNTIF(General!$U$13:$U$19,EQ$12))),$I31,"")</f>
        <v/>
      </c>
      <c r="ER31" s="390" t="str">
        <f>IF(AND(ER$12&gt;=$E31,ER$12&lt;=$F31,MOD(ER$12,7)&gt;1,NOT(COUNTIF(General!$U$13:$U$19,ER$12))),$I31,"")</f>
        <v/>
      </c>
      <c r="ES31" s="390" t="str">
        <f>IF(AND(ES$12&gt;=$E31,ES$12&lt;=$F31,MOD(ES$12,7)&gt;1,NOT(COUNTIF(General!$U$13:$U$19,ES$12))),$I31,"")</f>
        <v/>
      </c>
      <c r="ET31" s="390" t="str">
        <f>IF(AND(ET$12&gt;=$E31,ET$12&lt;=$F31,MOD(ET$12,7)&gt;1,NOT(COUNTIF(General!$U$13:$U$19,ET$12))),$I31,"")</f>
        <v/>
      </c>
      <c r="EU31" s="390" t="str">
        <f>IF(AND(EU$12&gt;=$E31,EU$12&lt;=$F31,MOD(EU$12,7)&gt;1,NOT(COUNTIF(General!$U$13:$U$19,EU$12))),$I31,"")</f>
        <v/>
      </c>
      <c r="EV31" s="390" t="str">
        <f>IF(AND(EV$12&gt;=$E31,EV$12&lt;=$F31,MOD(EV$12,7)&gt;1,NOT(COUNTIF(General!$U$13:$U$19,EV$12))),$I31,"")</f>
        <v/>
      </c>
      <c r="EW31" s="390" t="str">
        <f>IF(AND(EW$12&gt;=$E31,EW$12&lt;=$F31,MOD(EW$12,7)&gt;1,NOT(COUNTIF(General!$U$13:$U$19,EW$12))),$I31,"")</f>
        <v/>
      </c>
      <c r="EX31" s="390" t="str">
        <f>IF(AND(EX$12&gt;=$E31,EX$12&lt;=$F31,MOD(EX$12,7)&gt;1,NOT(COUNTIF(General!$U$13:$U$19,EX$12))),$I31,"")</f>
        <v/>
      </c>
      <c r="EY31" s="390" t="str">
        <f>IF(AND(EY$12&gt;=$E31,EY$12&lt;=$F31,MOD(EY$12,7)&gt;1,NOT(COUNTIF(General!$U$13:$U$19,EY$12))),$I31,"")</f>
        <v/>
      </c>
      <c r="EZ31" s="390" t="str">
        <f>IF(AND(EZ$12&gt;=$E31,EZ$12&lt;=$F31,MOD(EZ$12,7)&gt;1,NOT(COUNTIF(General!$U$13:$U$19,EZ$12))),$I31,"")</f>
        <v/>
      </c>
      <c r="FA31" s="390" t="str">
        <f>IF(AND(FA$12&gt;=$E31,FA$12&lt;=$F31,MOD(FA$12,7)&gt;1,NOT(COUNTIF(General!$U$13:$U$19,FA$12))),$I31,"")</f>
        <v/>
      </c>
      <c r="FB31" s="390" t="str">
        <f>IF(AND(FB$12&gt;=$E31,FB$12&lt;=$F31,MOD(FB$12,7)&gt;1,NOT(COUNTIF(General!$U$13:$U$19,FB$12))),$I31,"")</f>
        <v/>
      </c>
      <c r="FC31" s="390" t="str">
        <f>IF(AND(FC$12&gt;=$E31,FC$12&lt;=$F31,MOD(FC$12,7)&gt;1,NOT(COUNTIF(General!$U$13:$U$19,FC$12))),$I31,"")</f>
        <v/>
      </c>
      <c r="FD31" s="390" t="str">
        <f>IF(AND(FD$12&gt;=$E31,FD$12&lt;=$F31,MOD(FD$12,7)&gt;1,NOT(COUNTIF(General!$U$13:$U$19,FD$12))),$I31,"")</f>
        <v/>
      </c>
      <c r="FE31" s="390" t="str">
        <f>IF(AND(FE$12&gt;=$E31,FE$12&lt;=$F31,MOD(FE$12,7)&gt;1,NOT(COUNTIF(General!$U$13:$U$19,FE$12))),$I31,"")</f>
        <v/>
      </c>
      <c r="FF31" s="390" t="str">
        <f>IF(AND(FF$12&gt;=$E31,FF$12&lt;=$F31,MOD(FF$12,7)&gt;1,NOT(COUNTIF(General!$U$13:$U$19,FF$12))),$I31,"")</f>
        <v/>
      </c>
      <c r="FG31" s="390" t="str">
        <f>IF(AND(FG$12&gt;=$E31,FG$12&lt;=$F31,MOD(FG$12,7)&gt;1,NOT(COUNTIF(General!$U$13:$U$19,FG$12))),$I31,"")</f>
        <v/>
      </c>
      <c r="FH31" s="390" t="str">
        <f>IF(AND(FH$12&gt;=$E31,FH$12&lt;=$F31,MOD(FH$12,7)&gt;1,NOT(COUNTIF(General!$U$13:$U$19,FH$12))),$I31,"")</f>
        <v/>
      </c>
      <c r="FI31" s="390" t="str">
        <f>IF(AND(FI$12&gt;=$E31,FI$12&lt;=$F31,MOD(FI$12,7)&gt;1,NOT(COUNTIF(General!$U$13:$U$19,FI$12))),$I31,"")</f>
        <v/>
      </c>
      <c r="FJ31" s="390" t="str">
        <f>IF(AND(FJ$12&gt;=$E31,FJ$12&lt;=$F31,MOD(FJ$12,7)&gt;1,NOT(COUNTIF(General!$U$13:$U$19,FJ$12))),$I31,"")</f>
        <v/>
      </c>
      <c r="FK31" s="390" t="str">
        <f>IF(AND(FK$12&gt;=$E31,FK$12&lt;=$F31,MOD(FK$12,7)&gt;1,NOT(COUNTIF(General!$U$13:$U$19,FK$12))),$I31,"")</f>
        <v/>
      </c>
      <c r="FL31" s="390" t="str">
        <f>IF(AND(FL$12&gt;=$E31,FL$12&lt;=$F31,MOD(FL$12,7)&gt;1,NOT(COUNTIF(General!$U$13:$U$19,FL$12))),$I31,"")</f>
        <v/>
      </c>
      <c r="FM31" s="390" t="str">
        <f>IF(AND(FM$12&gt;=$E31,FM$12&lt;=$F31,MOD(FM$12,7)&gt;1,NOT(COUNTIF(General!$U$13:$U$19,FM$12))),$I31,"")</f>
        <v/>
      </c>
      <c r="FN31" s="390" t="str">
        <f>IF(AND(FN$12&gt;=$E31,FN$12&lt;=$F31,MOD(FN$12,7)&gt;1,NOT(COUNTIF(General!$U$13:$U$19,FN$12))),$I31,"")</f>
        <v/>
      </c>
      <c r="FO31" s="390" t="str">
        <f>IF(AND(FO$12&gt;=$E31,FO$12&lt;=$F31,MOD(FO$12,7)&gt;1,NOT(COUNTIF(General!$U$13:$U$19,FO$12))),$I31,"")</f>
        <v/>
      </c>
      <c r="FP31" s="390" t="str">
        <f>IF(AND(FP$12&gt;=$E31,FP$12&lt;=$F31,MOD(FP$12,7)&gt;1,NOT(COUNTIF(General!$U$13:$U$19,FP$12))),$I31,"")</f>
        <v/>
      </c>
      <c r="FQ31" s="390" t="str">
        <f>IF(AND(FQ$12&gt;=$E31,FQ$12&lt;=$F31,MOD(FQ$12,7)&gt;1,NOT(COUNTIF(General!$U$13:$U$19,FQ$12))),$I31,"")</f>
        <v/>
      </c>
      <c r="FR31" s="390" t="str">
        <f>IF(AND(FR$12&gt;=$E31,FR$12&lt;=$F31,MOD(FR$12,7)&gt;1,NOT(COUNTIF(General!$U$13:$U$19,FR$12))),$I31,"")</f>
        <v/>
      </c>
      <c r="FS31" s="390" t="str">
        <f>IF(AND(FS$12&gt;=$E31,FS$12&lt;=$F31,MOD(FS$12,7)&gt;1,NOT(COUNTIF(General!$U$13:$U$19,FS$12))),$I31,"")</f>
        <v/>
      </c>
      <c r="FT31" s="390" t="str">
        <f>IF(AND(FT$12&gt;=$E31,FT$12&lt;=$F31,MOD(FT$12,7)&gt;1,NOT(COUNTIF(General!$U$13:$U$19,FT$12))),$I31,"")</f>
        <v/>
      </c>
      <c r="FU31" s="390" t="str">
        <f>IF(AND(FU$12&gt;=$E31,FU$12&lt;=$F31,MOD(FU$12,7)&gt;1,NOT(COUNTIF(General!$U$13:$U$19,FU$12))),$I31,"")</f>
        <v/>
      </c>
      <c r="FV31" s="390" t="str">
        <f>IF(AND(FV$12&gt;=$E31,FV$12&lt;=$F31,MOD(FV$12,7)&gt;1,NOT(COUNTIF(General!$U$13:$U$19,FV$12))),$I31,"")</f>
        <v/>
      </c>
      <c r="FW31" s="390" t="str">
        <f>IF(AND(FW$12&gt;=$E31,FW$12&lt;=$F31,MOD(FW$12,7)&gt;1,NOT(COUNTIF(General!$U$13:$U$19,FW$12))),$I31,"")</f>
        <v/>
      </c>
      <c r="FX31" s="390" t="str">
        <f>IF(AND(FX$12&gt;=$E31,FX$12&lt;=$F31,MOD(FX$12,7)&gt;1,NOT(COUNTIF(General!$U$13:$U$19,FX$12))),$I31,"")</f>
        <v/>
      </c>
    </row>
    <row r="32" ht="16.5" customHeight="1">
      <c r="A32" s="368">
        <v>389715.0</v>
      </c>
      <c r="B32" s="369" t="s">
        <v>581</v>
      </c>
      <c r="C32" s="370"/>
      <c r="D32" s="371" t="s">
        <v>439</v>
      </c>
      <c r="E32" s="372">
        <v>43810.0</v>
      </c>
      <c r="F32" s="374">
        <f>WORKDAY(E32,ROUNDUP(G32/I32,0),General!$U$13:$U$27)-1</f>
        <v>43811</v>
      </c>
      <c r="G32" s="375">
        <v>1.5</v>
      </c>
      <c r="H32" s="377"/>
      <c r="I32" s="368">
        <v>1.0</v>
      </c>
      <c r="J32" s="379"/>
      <c r="K32" s="381"/>
      <c r="L32" s="382"/>
      <c r="M32" s="383"/>
      <c r="N32" s="384"/>
      <c r="O32" s="386"/>
      <c r="P32" s="388"/>
      <c r="Q32" s="390" t="str">
        <f>IF(AND(Q$12&gt;=$E32,Q$12&lt;=$F32,MOD(Q$12,7)&gt;1,NOT(COUNTIF(General!$U$13:$U$19,Q$12))),$I32,"")</f>
        <v/>
      </c>
      <c r="R32" s="390" t="str">
        <f>IF(AND(R$12&gt;=$E32,R$12&lt;=$F32,MOD(R$12,7)&gt;1,NOT(COUNTIF(General!$U$13:$U$19,R$12))),$I32,"")</f>
        <v/>
      </c>
      <c r="S32" s="390" t="str">
        <f>IF(AND(S$12&gt;=$E32,S$12&lt;=$F32,MOD(S$12,7)&gt;1,NOT(COUNTIF(General!$U$13:$U$19,S$12))),$I32,"")</f>
        <v/>
      </c>
      <c r="T32" s="390" t="str">
        <f>IF(AND(T$12&gt;=$E32,T$12&lt;=$F32,MOD(T$12,7)&gt;1,NOT(COUNTIF(General!$U$13:$U$19,T$12))),$I32,"")</f>
        <v/>
      </c>
      <c r="U32" s="390" t="str">
        <f>IF(AND(U$12&gt;=$E32,U$12&lt;=$F32,MOD(U$12,7)&gt;1,NOT(COUNTIF(General!$U$13:$U$19,U$12))),$I32,"")</f>
        <v/>
      </c>
      <c r="V32" s="390" t="str">
        <f>IF(AND(V$12&gt;=$E32,V$12&lt;=$F32,MOD(V$12,7)&gt;1,NOT(COUNTIF(General!$U$13:$U$19,V$12))),$I32,"")</f>
        <v/>
      </c>
      <c r="W32" s="390" t="str">
        <f>IF(AND(W$12&gt;=$E32,W$12&lt;=$F32,MOD(W$12,7)&gt;1,NOT(COUNTIF(General!$U$13:$U$19,W$12))),$I32,"")</f>
        <v/>
      </c>
      <c r="X32" s="390" t="str">
        <f>IF(AND(X$12&gt;=$E32,X$12&lt;=$F32,MOD(X$12,7)&gt;1,NOT(COUNTIF(General!$U$13:$U$19,X$12))),$I32,"")</f>
        <v/>
      </c>
      <c r="Y32" s="390" t="str">
        <f>IF(AND(Y$12&gt;=$E32,Y$12&lt;=$F32,MOD(Y$12,7)&gt;1,NOT(COUNTIF(General!$U$13:$U$19,Y$12))),$I32,"")</f>
        <v/>
      </c>
      <c r="Z32" s="390">
        <f>IF(AND(Z$12&gt;=$E32,Z$12&lt;=$F32,MOD(Z$12,7)&gt;1,NOT(COUNTIF(General!$U$13:$U$19,Z$12))),$I32,"")</f>
        <v>1</v>
      </c>
      <c r="AA32" s="390">
        <f>IF(AND(AA$12&gt;=$E32,AA$12&lt;=$F32,MOD(AA$12,7)&gt;1,NOT(COUNTIF(General!$U$13:$U$19,AA$12))),$I32,"")</f>
        <v>1</v>
      </c>
      <c r="AB32" s="390" t="str">
        <f>IF(AND(AB$12&gt;=$E32,AB$12&lt;=$F32,MOD(AB$12,7)&gt;1,NOT(COUNTIF(General!$U$13:$U$19,AB$12))),$I32,"")</f>
        <v/>
      </c>
      <c r="AC32" s="390" t="str">
        <f>IF(AND(AC$12&gt;=$E32,AC$12&lt;=$F32,MOD(AC$12,7)&gt;1,NOT(COUNTIF(General!$U$13:$U$19,AC$12))),$I32,"")</f>
        <v/>
      </c>
      <c r="AD32" s="390" t="str">
        <f>IF(AND(AD$12&gt;=$E32,AD$12&lt;=$F32,MOD(AD$12,7)&gt;1,NOT(COUNTIF(General!$U$13:$U$19,AD$12))),$I32,"")</f>
        <v/>
      </c>
      <c r="AE32" s="390" t="str">
        <f>IF(AND(AE$12&gt;=$E32,AE$12&lt;=$F32,MOD(AE$12,7)&gt;1,NOT(COUNTIF(General!$U$13:$U$19,AE$12))),$I32,"")</f>
        <v/>
      </c>
      <c r="AF32" s="390" t="str">
        <f>IF(AND(AF$12&gt;=$E32,AF$12&lt;=$F32,MOD(AF$12,7)&gt;1,NOT(COUNTIF(General!$U$13:$U$19,AF$12))),$I32,"")</f>
        <v/>
      </c>
      <c r="AG32" s="390" t="str">
        <f>IF(AND(AG$12&gt;=$E32,AG$12&lt;=$F32,MOD(AG$12,7)&gt;1,NOT(COUNTIF(General!$U$13:$U$19,AG$12))),$I32,"")</f>
        <v/>
      </c>
      <c r="AH32" s="390" t="str">
        <f>IF(AND(AH$12&gt;=$E32,AH$12&lt;=$F32,MOD(AH$12,7)&gt;1,NOT(COUNTIF(General!$U$13:$U$19,AH$12))),$I32,"")</f>
        <v/>
      </c>
      <c r="AI32" s="390" t="str">
        <f>IF(AND(AI$12&gt;=$E32,AI$12&lt;=$F32,MOD(AI$12,7)&gt;1,NOT(COUNTIF(General!$U$13:$U$19,AI$12))),$I32,"")</f>
        <v/>
      </c>
      <c r="AJ32" s="390" t="str">
        <f>IF(AND(AJ$12&gt;=$E32,AJ$12&lt;=$F32,MOD(AJ$12,7)&gt;1,NOT(COUNTIF(General!$U$13:$U$19,AJ$12))),$I32,"")</f>
        <v/>
      </c>
      <c r="AK32" s="390" t="str">
        <f>IF(AND(AK$12&gt;=$E32,AK$12&lt;=$F32,MOD(AK$12,7)&gt;1,NOT(COUNTIF(General!$U$13:$U$19,AK$12))),$I32,"")</f>
        <v/>
      </c>
      <c r="AL32" s="390" t="str">
        <f>IF(AND(AL$12&gt;=$E32,AL$12&lt;=$F32,MOD(AL$12,7)&gt;1,NOT(COUNTIF(General!$U$13:$U$19,AL$12))),$I32,"")</f>
        <v/>
      </c>
      <c r="AM32" s="390" t="str">
        <f>IF(AND(AM$12&gt;=$E32,AM$12&lt;=$F32,MOD(AM$12,7)&gt;1,NOT(COUNTIF(General!$U$13:$U$19,AM$12))),$I32,"")</f>
        <v/>
      </c>
      <c r="AN32" s="390" t="str">
        <f>IF(AND(AN$12&gt;=$E32,AN$12&lt;=$F32,MOD(AN$12,7)&gt;1,NOT(COUNTIF(General!$U$13:$U$19,AN$12))),$I32,"")</f>
        <v/>
      </c>
      <c r="AO32" s="390" t="str">
        <f>IF(AND(AO$12&gt;=$E32,AO$12&lt;=$F32,MOD(AO$12,7)&gt;1,NOT(COUNTIF(General!$U$13:$U$19,AO$12))),$I32,"")</f>
        <v/>
      </c>
      <c r="AP32" s="390" t="str">
        <f>IF(AND(AP$12&gt;=$E32,AP$12&lt;=$F32,MOD(AP$12,7)&gt;1,NOT(COUNTIF(General!$U$13:$U$19,AP$12))),$I32,"")</f>
        <v/>
      </c>
      <c r="AQ32" s="390" t="str">
        <f>IF(AND(AQ$12&gt;=$E32,AQ$12&lt;=$F32,MOD(AQ$12,7)&gt;1,NOT(COUNTIF(General!$U$13:$U$19,AQ$12))),$I32,"")</f>
        <v/>
      </c>
      <c r="AR32" s="390" t="str">
        <f>IF(AND(AR$12&gt;=$E32,AR$12&lt;=$F32,MOD(AR$12,7)&gt;1,NOT(COUNTIF(General!$U$13:$U$19,AR$12))),$I32,"")</f>
        <v/>
      </c>
      <c r="AS32" s="390" t="str">
        <f>IF(AND(AS$12&gt;=$E32,AS$12&lt;=$F32,MOD(AS$12,7)&gt;1,NOT(COUNTIF(General!$U$13:$U$19,AS$12))),$I32,"")</f>
        <v/>
      </c>
      <c r="AT32" s="390" t="str">
        <f>IF(AND(AT$12&gt;=$E32,AT$12&lt;=$F32,MOD(AT$12,7)&gt;1,NOT(COUNTIF(General!$U$13:$U$19,AT$12))),$I32,"")</f>
        <v/>
      </c>
      <c r="AU32" s="390" t="str">
        <f>IF(AND(AU$12&gt;=$E32,AU$12&lt;=$F32,MOD(AU$12,7)&gt;1,NOT(COUNTIF(General!$U$13:$U$19,AU$12))),$I32,"")</f>
        <v/>
      </c>
      <c r="AV32" s="390" t="str">
        <f>IF(AND(AV$12&gt;=$E32,AV$12&lt;=$F32,MOD(AV$12,7)&gt;1,NOT(COUNTIF(General!$U$13:$U$19,AV$12))),$I32,"")</f>
        <v/>
      </c>
      <c r="AW32" s="390" t="str">
        <f>IF(AND(AW$12&gt;=$E32,AW$12&lt;=$F32,MOD(AW$12,7)&gt;1,NOT(COUNTIF(General!$U$13:$U$19,AW$12))),$I32,"")</f>
        <v/>
      </c>
      <c r="AX32" s="390" t="str">
        <f>IF(AND(AX$12&gt;=$E32,AX$12&lt;=$F32,MOD(AX$12,7)&gt;1,NOT(COUNTIF(General!$U$13:$U$19,AX$12))),$I32,"")</f>
        <v/>
      </c>
      <c r="AY32" s="390" t="str">
        <f>IF(AND(AY$12&gt;=$E32,AY$12&lt;=$F32,MOD(AY$12,7)&gt;1,NOT(COUNTIF(General!$U$13:$U$19,AY$12))),$I32,"")</f>
        <v/>
      </c>
      <c r="AZ32" s="390" t="str">
        <f>IF(AND(AZ$12&gt;=$E32,AZ$12&lt;=$F32,MOD(AZ$12,7)&gt;1,NOT(COUNTIF(General!$U$13:$U$19,AZ$12))),$I32,"")</f>
        <v/>
      </c>
      <c r="BA32" s="390" t="str">
        <f>IF(AND(BA$12&gt;=$E32,BA$12&lt;=$F32,MOD(BA$12,7)&gt;1,NOT(COUNTIF(General!$U$13:$U$19,BA$12))),$I32,"")</f>
        <v/>
      </c>
      <c r="BB32" s="390" t="str">
        <f>IF(AND(BB$12&gt;=$E32,BB$12&lt;=$F32,MOD(BB$12,7)&gt;1,NOT(COUNTIF(General!$U$13:$U$19,BB$12))),$I32,"")</f>
        <v/>
      </c>
      <c r="BC32" s="390" t="str">
        <f>IF(AND(BC$12&gt;=$E32,BC$12&lt;=$F32,MOD(BC$12,7)&gt;1,NOT(COUNTIF(General!$U$13:$U$19,BC$12))),$I32,"")</f>
        <v/>
      </c>
      <c r="BD32" s="390" t="str">
        <f>IF(AND(BD$12&gt;=$E32,BD$12&lt;=$F32,MOD(BD$12,7)&gt;1,NOT(COUNTIF(General!$U$13:$U$19,BD$12))),$I32,"")</f>
        <v/>
      </c>
      <c r="BE32" s="390" t="str">
        <f>IF(AND(BE$12&gt;=$E32,BE$12&lt;=$F32,MOD(BE$12,7)&gt;1,NOT(COUNTIF(General!$U$13:$U$19,BE$12))),$I32,"")</f>
        <v/>
      </c>
      <c r="BF32" s="390" t="str">
        <f>IF(AND(BF$12&gt;=$E32,BF$12&lt;=$F32,MOD(BF$12,7)&gt;1,NOT(COUNTIF(General!$U$13:$U$19,BF$12))),$I32,"")</f>
        <v/>
      </c>
      <c r="BG32" s="390" t="str">
        <f>IF(AND(BG$12&gt;=$E32,BG$12&lt;=$F32,MOD(BG$12,7)&gt;1,NOT(COUNTIF(General!$U$13:$U$19,BG$12))),$I32,"")</f>
        <v/>
      </c>
      <c r="BH32" s="390" t="str">
        <f>IF(AND(BH$12&gt;=$E32,BH$12&lt;=$F32,MOD(BH$12,7)&gt;1,NOT(COUNTIF(General!$U$13:$U$19,BH$12))),$I32,"")</f>
        <v/>
      </c>
      <c r="BI32" s="390" t="str">
        <f>IF(AND(BI$12&gt;=$E32,BI$12&lt;=$F32,MOD(BI$12,7)&gt;1,NOT(COUNTIF(General!$U$13:$U$19,BI$12))),$I32,"")</f>
        <v/>
      </c>
      <c r="BJ32" s="390" t="str">
        <f>IF(AND(BJ$12&gt;=$E32,BJ$12&lt;=$F32,MOD(BJ$12,7)&gt;1,NOT(COUNTIF(General!$U$13:$U$19,BJ$12))),$I32,"")</f>
        <v/>
      </c>
      <c r="BK32" s="390" t="str">
        <f>IF(AND(BK$12&gt;=$E32,BK$12&lt;=$F32,MOD(BK$12,7)&gt;1,NOT(COUNTIF(General!$U$13:$U$19,BK$12))),$I32,"")</f>
        <v/>
      </c>
      <c r="BL32" s="390" t="str">
        <f>IF(AND(BL$12&gt;=$E32,BL$12&lt;=$F32,MOD(BL$12,7)&gt;1,NOT(COUNTIF(General!$U$13:$U$19,BL$12))),$I32,"")</f>
        <v/>
      </c>
      <c r="BM32" s="390" t="str">
        <f>IF(AND(BM$12&gt;=$E32,BM$12&lt;=$F32,MOD(BM$12,7)&gt;1,NOT(COUNTIF(General!$U$13:$U$19,BM$12))),$I32,"")</f>
        <v/>
      </c>
      <c r="BN32" s="390" t="str">
        <f>IF(AND(BN$12&gt;=$E32,BN$12&lt;=$F32,MOD(BN$12,7)&gt;1,NOT(COUNTIF(General!$U$13:$U$19,BN$12))),$I32,"")</f>
        <v/>
      </c>
      <c r="BO32" s="390" t="str">
        <f>IF(AND(BO$12&gt;=$E32,BO$12&lt;=$F32,MOD(BO$12,7)&gt;1,NOT(COUNTIF(General!$U$13:$U$19,BO$12))),$I32,"")</f>
        <v/>
      </c>
      <c r="BP32" s="390" t="str">
        <f>IF(AND(BP$12&gt;=$E32,BP$12&lt;=$F32,MOD(BP$12,7)&gt;1,NOT(COUNTIF(General!$U$13:$U$19,BP$12))),$I32,"")</f>
        <v/>
      </c>
      <c r="BQ32" s="390" t="str">
        <f>IF(AND(BQ$12&gt;=$E32,BQ$12&lt;=$F32,MOD(BQ$12,7)&gt;1,NOT(COUNTIF(General!$U$13:$U$19,BQ$12))),$I32,"")</f>
        <v/>
      </c>
      <c r="BR32" s="390" t="str">
        <f>IF(AND(BR$12&gt;=$E32,BR$12&lt;=$F32,MOD(BR$12,7)&gt;1,NOT(COUNTIF(General!$U$13:$U$19,BR$12))),$I32,"")</f>
        <v/>
      </c>
      <c r="BS32" s="390" t="str">
        <f>IF(AND(BS$12&gt;=$E32,BS$12&lt;=$F32,MOD(BS$12,7)&gt;1,NOT(COUNTIF(General!$U$13:$U$19,BS$12))),$I32,"")</f>
        <v/>
      </c>
      <c r="BT32" s="390" t="str">
        <f>IF(AND(BT$12&gt;=$E32,BT$12&lt;=$F32,MOD(BT$12,7)&gt;1,NOT(COUNTIF(General!$U$13:$U$19,BT$12))),$I32,"")</f>
        <v/>
      </c>
      <c r="BU32" s="390" t="str">
        <f>IF(AND(BU$12&gt;=$E32,BU$12&lt;=$F32,MOD(BU$12,7)&gt;1,NOT(COUNTIF(General!$U$13:$U$19,BU$12))),$I32,"")</f>
        <v/>
      </c>
      <c r="BV32" s="390" t="str">
        <f>IF(AND(BV$12&gt;=$E32,BV$12&lt;=$F32,MOD(BV$12,7)&gt;1,NOT(COUNTIF(General!$U$13:$U$19,BV$12))),$I32,"")</f>
        <v/>
      </c>
      <c r="BW32" s="390" t="str">
        <f>IF(AND(BW$12&gt;=$E32,BW$12&lt;=$F32,MOD(BW$12,7)&gt;1,NOT(COUNTIF(General!$U$13:$U$19,BW$12))),$I32,"")</f>
        <v/>
      </c>
      <c r="BX32" s="390" t="str">
        <f>IF(AND(BX$12&gt;=$E32,BX$12&lt;=$F32,MOD(BX$12,7)&gt;1,NOT(COUNTIF(General!$U$13:$U$19,BX$12))),$I32,"")</f>
        <v/>
      </c>
      <c r="BY32" s="390" t="str">
        <f>IF(AND(BY$12&gt;=$E32,BY$12&lt;=$F32,MOD(BY$12,7)&gt;1,NOT(COUNTIF(General!$U$13:$U$19,BY$12))),$I32,"")</f>
        <v/>
      </c>
      <c r="BZ32" s="390" t="str">
        <f>IF(AND(BZ$12&gt;=$E32,BZ$12&lt;=$F32,MOD(BZ$12,7)&gt;1,NOT(COUNTIF(General!$U$13:$U$19,BZ$12))),$I32,"")</f>
        <v/>
      </c>
      <c r="CA32" s="390" t="str">
        <f>IF(AND(CA$12&gt;=$E32,CA$12&lt;=$F32,MOD(CA$12,7)&gt;1,NOT(COUNTIF(General!$U$13:$U$19,CA$12))),$I32,"")</f>
        <v/>
      </c>
      <c r="CB32" s="390" t="str">
        <f>IF(AND(CB$12&gt;=$E32,CB$12&lt;=$F32,MOD(CB$12,7)&gt;1,NOT(COUNTIF(General!$U$13:$U$19,CB$12))),$I32,"")</f>
        <v/>
      </c>
      <c r="CC32" s="390" t="str">
        <f>IF(AND(CC$12&gt;=$E32,CC$12&lt;=$F32,MOD(CC$12,7)&gt;1,NOT(COUNTIF(General!$U$13:$U$19,CC$12))),$I32,"")</f>
        <v/>
      </c>
      <c r="CD32" s="390" t="str">
        <f>IF(AND(CD$12&gt;=$E32,CD$12&lt;=$F32,MOD(CD$12,7)&gt;1,NOT(COUNTIF(General!$U$13:$U$19,CD$12))),$I32,"")</f>
        <v/>
      </c>
      <c r="CE32" s="390" t="str">
        <f>IF(AND(CE$12&gt;=$E32,CE$12&lt;=$F32,MOD(CE$12,7)&gt;1,NOT(COUNTIF(General!$U$13:$U$19,CE$12))),$I32,"")</f>
        <v/>
      </c>
      <c r="CF32" s="390" t="str">
        <f>IF(AND(CF$12&gt;=$E32,CF$12&lt;=$F32,MOD(CF$12,7)&gt;1,NOT(COUNTIF(General!$U$13:$U$19,CF$12))),$I32,"")</f>
        <v/>
      </c>
      <c r="CG32" s="390" t="str">
        <f>IF(AND(CG$12&gt;=$E32,CG$12&lt;=$F32,MOD(CG$12,7)&gt;1,NOT(COUNTIF(General!$U$13:$U$19,CG$12))),$I32,"")</f>
        <v/>
      </c>
      <c r="CH32" s="390" t="str">
        <f>IF(AND(CH$12&gt;=$E32,CH$12&lt;=$F32,MOD(CH$12,7)&gt;1,NOT(COUNTIF(General!$U$13:$U$19,CH$12))),$I32,"")</f>
        <v/>
      </c>
      <c r="CI32" s="390" t="str">
        <f>IF(AND(CI$12&gt;=$E32,CI$12&lt;=$F32,MOD(CI$12,7)&gt;1,NOT(COUNTIF(General!$U$13:$U$19,CI$12))),$I32,"")</f>
        <v/>
      </c>
      <c r="CJ32" s="390" t="str">
        <f>IF(AND(CJ$12&gt;=$E32,CJ$12&lt;=$F32,MOD(CJ$12,7)&gt;1,NOT(COUNTIF(General!$U$13:$U$19,CJ$12))),$I32,"")</f>
        <v/>
      </c>
      <c r="CK32" s="390" t="str">
        <f>IF(AND(CK$12&gt;=$E32,CK$12&lt;=$F32,MOD(CK$12,7)&gt;1,NOT(COUNTIF(General!$U$13:$U$19,CK$12))),$I32,"")</f>
        <v/>
      </c>
      <c r="CL32" s="390" t="str">
        <f>IF(AND(CL$12&gt;=$E32,CL$12&lt;=$F32,MOD(CL$12,7)&gt;1,NOT(COUNTIF(General!$U$13:$U$19,CL$12))),$I32,"")</f>
        <v/>
      </c>
      <c r="CM32" s="390" t="str">
        <f>IF(AND(CM$12&gt;=$E32,CM$12&lt;=$F32,MOD(CM$12,7)&gt;1,NOT(COUNTIF(General!$U$13:$U$19,CM$12))),$I32,"")</f>
        <v/>
      </c>
      <c r="CN32" s="390" t="str">
        <f>IF(AND(CN$12&gt;=$E32,CN$12&lt;=$F32,MOD(CN$12,7)&gt;1,NOT(COUNTIF(General!$U$13:$U$19,CN$12))),$I32,"")</f>
        <v/>
      </c>
      <c r="CO32" s="390" t="str">
        <f>IF(AND(CO$12&gt;=$E32,CO$12&lt;=$F32,MOD(CO$12,7)&gt;1,NOT(COUNTIF(General!$U$13:$U$19,CO$12))),$I32,"")</f>
        <v/>
      </c>
      <c r="CP32" s="390" t="str">
        <f>IF(AND(CP$12&gt;=$E32,CP$12&lt;=$F32,MOD(CP$12,7)&gt;1,NOT(COUNTIF(General!$U$13:$U$19,CP$12))),$I32,"")</f>
        <v/>
      </c>
      <c r="CQ32" s="390" t="str">
        <f>IF(AND(CQ$12&gt;=$E32,CQ$12&lt;=$F32,MOD(CQ$12,7)&gt;1,NOT(COUNTIF(General!$U$13:$U$19,CQ$12))),$I32,"")</f>
        <v/>
      </c>
      <c r="CR32" s="390" t="str">
        <f>IF(AND(CR$12&gt;=$E32,CR$12&lt;=$F32,MOD(CR$12,7)&gt;1,NOT(COUNTIF(General!$U$13:$U$19,CR$12))),$I32,"")</f>
        <v/>
      </c>
      <c r="CS32" s="390" t="str">
        <f>IF(AND(CS$12&gt;=$E32,CS$12&lt;=$F32,MOD(CS$12,7)&gt;1,NOT(COUNTIF(General!$U$13:$U$19,CS$12))),$I32,"")</f>
        <v/>
      </c>
      <c r="CT32" s="390" t="str">
        <f>IF(AND(CT$12&gt;=$E32,CT$12&lt;=$F32,MOD(CT$12,7)&gt;1,NOT(COUNTIF(General!$U$13:$U$19,CT$12))),$I32,"")</f>
        <v/>
      </c>
      <c r="CU32" s="390" t="str">
        <f>IF(AND(CU$12&gt;=$E32,CU$12&lt;=$F32,MOD(CU$12,7)&gt;1,NOT(COUNTIF(General!$U$13:$U$19,CU$12))),$I32,"")</f>
        <v/>
      </c>
      <c r="CV32" s="390" t="str">
        <f>IF(AND(CV$12&gt;=$E32,CV$12&lt;=$F32,MOD(CV$12,7)&gt;1,NOT(COUNTIF(General!$U$13:$U$19,CV$12))),$I32,"")</f>
        <v/>
      </c>
      <c r="CW32" s="390" t="str">
        <f>IF(AND(CW$12&gt;=$E32,CW$12&lt;=$F32,MOD(CW$12,7)&gt;1,NOT(COUNTIF(General!$U$13:$U$19,CW$12))),$I32,"")</f>
        <v/>
      </c>
      <c r="CX32" s="390" t="str">
        <f>IF(AND(CX$12&gt;=$E32,CX$12&lt;=$F32,MOD(CX$12,7)&gt;1,NOT(COUNTIF(General!$U$13:$U$19,CX$12))),$I32,"")</f>
        <v/>
      </c>
      <c r="CY32" s="390" t="str">
        <f>IF(AND(CY$12&gt;=$E32,CY$12&lt;=$F32,MOD(CY$12,7)&gt;1,NOT(COUNTIF(General!$U$13:$U$19,CY$12))),$I32,"")</f>
        <v/>
      </c>
      <c r="CZ32" s="390" t="str">
        <f>IF(AND(CZ$12&gt;=$E32,CZ$12&lt;=$F32,MOD(CZ$12,7)&gt;1,NOT(COUNTIF(General!$U$13:$U$19,CZ$12))),$I32,"")</f>
        <v/>
      </c>
      <c r="DA32" s="390" t="str">
        <f>IF(AND(DA$12&gt;=$E32,DA$12&lt;=$F32,MOD(DA$12,7)&gt;1,NOT(COUNTIF(General!$U$13:$U$19,DA$12))),$I32,"")</f>
        <v/>
      </c>
      <c r="DB32" s="390" t="str">
        <f>IF(AND(DB$12&gt;=$E32,DB$12&lt;=$F32,MOD(DB$12,7)&gt;1,NOT(COUNTIF(General!$U$13:$U$19,DB$12))),$I32,"")</f>
        <v/>
      </c>
      <c r="DC32" s="390" t="str">
        <f>IF(AND(DC$12&gt;=$E32,DC$12&lt;=$F32,MOD(DC$12,7)&gt;1,NOT(COUNTIF(General!$U$13:$U$19,DC$12))),$I32,"")</f>
        <v/>
      </c>
      <c r="DD32" s="390" t="str">
        <f>IF(AND(DD$12&gt;=$E32,DD$12&lt;=$F32,MOD(DD$12,7)&gt;1,NOT(COUNTIF(General!$U$13:$U$19,DD$12))),$I32,"")</f>
        <v/>
      </c>
      <c r="DE32" s="390" t="str">
        <f>IF(AND(DE$12&gt;=$E32,DE$12&lt;=$F32,MOD(DE$12,7)&gt;1,NOT(COUNTIF(General!$U$13:$U$19,DE$12))),$I32,"")</f>
        <v/>
      </c>
      <c r="DF32" s="390" t="str">
        <f>IF(AND(DF$12&gt;=$E32,DF$12&lt;=$F32,MOD(DF$12,7)&gt;1,NOT(COUNTIF(General!$U$13:$U$19,DF$12))),$I32,"")</f>
        <v/>
      </c>
      <c r="DG32" s="390" t="str">
        <f>IF(AND(DG$12&gt;=$E32,DG$12&lt;=$F32,MOD(DG$12,7)&gt;1,NOT(COUNTIF(General!$U$13:$U$19,DG$12))),$I32,"")</f>
        <v/>
      </c>
      <c r="DH32" s="390" t="str">
        <f>IF(AND(DH$12&gt;=$E32,DH$12&lt;=$F32,MOD(DH$12,7)&gt;1,NOT(COUNTIF(General!$U$13:$U$19,DH$12))),$I32,"")</f>
        <v/>
      </c>
      <c r="DI32" s="390" t="str">
        <f>IF(AND(DI$12&gt;=$E32,DI$12&lt;=$F32,MOD(DI$12,7)&gt;1,NOT(COUNTIF(General!$U$13:$U$19,DI$12))),$I32,"")</f>
        <v/>
      </c>
      <c r="DJ32" s="390" t="str">
        <f>IF(AND(DJ$12&gt;=$E32,DJ$12&lt;=$F32,MOD(DJ$12,7)&gt;1,NOT(COUNTIF(General!$U$13:$U$19,DJ$12))),$I32,"")</f>
        <v/>
      </c>
      <c r="DK32" s="390" t="str">
        <f>IF(AND(DK$12&gt;=$E32,DK$12&lt;=$F32,MOD(DK$12,7)&gt;1,NOT(COUNTIF(General!$U$13:$U$19,DK$12))),$I32,"")</f>
        <v/>
      </c>
      <c r="DL32" s="390" t="str">
        <f>IF(AND(DL$12&gt;=$E32,DL$12&lt;=$F32,MOD(DL$12,7)&gt;1,NOT(COUNTIF(General!$U$13:$U$19,DL$12))),$I32,"")</f>
        <v/>
      </c>
      <c r="DM32" s="390" t="str">
        <f>IF(AND(DM$12&gt;=$E32,DM$12&lt;=$F32,MOD(DM$12,7)&gt;1,NOT(COUNTIF(General!$U$13:$U$19,DM$12))),$I32,"")</f>
        <v/>
      </c>
      <c r="DN32" s="390" t="str">
        <f>IF(AND(DN$12&gt;=$E32,DN$12&lt;=$F32,MOD(DN$12,7)&gt;1,NOT(COUNTIF(General!$U$13:$U$19,DN$12))),$I32,"")</f>
        <v/>
      </c>
      <c r="DO32" s="390" t="str">
        <f>IF(AND(DO$12&gt;=$E32,DO$12&lt;=$F32,MOD(DO$12,7)&gt;1,NOT(COUNTIF(General!$U$13:$U$19,DO$12))),$I32,"")</f>
        <v/>
      </c>
      <c r="DP32" s="390" t="str">
        <f>IF(AND(DP$12&gt;=$E32,DP$12&lt;=$F32,MOD(DP$12,7)&gt;1,NOT(COUNTIF(General!$U$13:$U$19,DP$12))),$I32,"")</f>
        <v/>
      </c>
      <c r="DQ32" s="390" t="str">
        <f>IF(AND(DQ$12&gt;=$E32,DQ$12&lt;=$F32,MOD(DQ$12,7)&gt;1,NOT(COUNTIF(General!$U$13:$U$19,DQ$12))),$I32,"")</f>
        <v/>
      </c>
      <c r="DR32" s="390" t="str">
        <f>IF(AND(DR$12&gt;=$E32,DR$12&lt;=$F32,MOD(DR$12,7)&gt;1,NOT(COUNTIF(General!$U$13:$U$19,DR$12))),$I32,"")</f>
        <v/>
      </c>
      <c r="DS32" s="390" t="str">
        <f>IF(AND(DS$12&gt;=$E32,DS$12&lt;=$F32,MOD(DS$12,7)&gt;1,NOT(COUNTIF(General!$U$13:$U$19,DS$12))),$I32,"")</f>
        <v/>
      </c>
      <c r="DT32" s="390" t="str">
        <f>IF(AND(DT$12&gt;=$E32,DT$12&lt;=$F32,MOD(DT$12,7)&gt;1,NOT(COUNTIF(General!$U$13:$U$19,DT$12))),$I32,"")</f>
        <v/>
      </c>
      <c r="DU32" s="390" t="str">
        <f>IF(AND(DU$12&gt;=$E32,DU$12&lt;=$F32,MOD(DU$12,7)&gt;1,NOT(COUNTIF(General!$U$13:$U$19,DU$12))),$I32,"")</f>
        <v/>
      </c>
      <c r="DV32" s="390" t="str">
        <f>IF(AND(DV$12&gt;=$E32,DV$12&lt;=$F32,MOD(DV$12,7)&gt;1,NOT(COUNTIF(General!$U$13:$U$19,DV$12))),$I32,"")</f>
        <v/>
      </c>
      <c r="DW32" s="390" t="str">
        <f>IF(AND(DW$12&gt;=$E32,DW$12&lt;=$F32,MOD(DW$12,7)&gt;1,NOT(COUNTIF(General!$U$13:$U$19,DW$12))),$I32,"")</f>
        <v/>
      </c>
      <c r="DX32" s="390" t="str">
        <f>IF(AND(DX$12&gt;=$E32,DX$12&lt;=$F32,MOD(DX$12,7)&gt;1,NOT(COUNTIF(General!$U$13:$U$19,DX$12))),$I32,"")</f>
        <v/>
      </c>
      <c r="DY32" s="390" t="str">
        <f>IF(AND(DY$12&gt;=$E32,DY$12&lt;=$F32,MOD(DY$12,7)&gt;1,NOT(COUNTIF(General!$U$13:$U$19,DY$12))),$I32,"")</f>
        <v/>
      </c>
      <c r="DZ32" s="390" t="str">
        <f>IF(AND(DZ$12&gt;=$E32,DZ$12&lt;=$F32,MOD(DZ$12,7)&gt;1,NOT(COUNTIF(General!$U$13:$U$19,DZ$12))),$I32,"")</f>
        <v/>
      </c>
      <c r="EA32" s="390" t="str">
        <f>IF(AND(EA$12&gt;=$E32,EA$12&lt;=$F32,MOD(EA$12,7)&gt;1,NOT(COUNTIF(General!$U$13:$U$19,EA$12))),$I32,"")</f>
        <v/>
      </c>
      <c r="EB32" s="390" t="str">
        <f>IF(AND(EB$12&gt;=$E32,EB$12&lt;=$F32,MOD(EB$12,7)&gt;1,NOT(COUNTIF(General!$U$13:$U$19,EB$12))),$I32,"")</f>
        <v/>
      </c>
      <c r="EC32" s="390" t="str">
        <f>IF(AND(EC$12&gt;=$E32,EC$12&lt;=$F32,MOD(EC$12,7)&gt;1,NOT(COUNTIF(General!$U$13:$U$19,EC$12))),$I32,"")</f>
        <v/>
      </c>
      <c r="ED32" s="390" t="str">
        <f>IF(AND(ED$12&gt;=$E32,ED$12&lt;=$F32,MOD(ED$12,7)&gt;1,NOT(COUNTIF(General!$U$13:$U$19,ED$12))),$I32,"")</f>
        <v/>
      </c>
      <c r="EE32" s="390" t="str">
        <f>IF(AND(EE$12&gt;=$E32,EE$12&lt;=$F32,MOD(EE$12,7)&gt;1,NOT(COUNTIF(General!$U$13:$U$19,EE$12))),$I32,"")</f>
        <v/>
      </c>
      <c r="EF32" s="390" t="str">
        <f>IF(AND(EF$12&gt;=$E32,EF$12&lt;=$F32,MOD(EF$12,7)&gt;1,NOT(COUNTIF(General!$U$13:$U$19,EF$12))),$I32,"")</f>
        <v/>
      </c>
      <c r="EG32" s="390" t="str">
        <f>IF(AND(EG$12&gt;=$E32,EG$12&lt;=$F32,MOD(EG$12,7)&gt;1,NOT(COUNTIF(General!$U$13:$U$19,EG$12))),$I32,"")</f>
        <v/>
      </c>
      <c r="EH32" s="390" t="str">
        <f>IF(AND(EH$12&gt;=$E32,EH$12&lt;=$F32,MOD(EH$12,7)&gt;1,NOT(COUNTIF(General!$U$13:$U$19,EH$12))),$I32,"")</f>
        <v/>
      </c>
      <c r="EI32" s="390" t="str">
        <f>IF(AND(EI$12&gt;=$E32,EI$12&lt;=$F32,MOD(EI$12,7)&gt;1,NOT(COUNTIF(General!$U$13:$U$19,EI$12))),$I32,"")</f>
        <v/>
      </c>
      <c r="EJ32" s="390" t="str">
        <f>IF(AND(EJ$12&gt;=$E32,EJ$12&lt;=$F32,MOD(EJ$12,7)&gt;1,NOT(COUNTIF(General!$U$13:$U$19,EJ$12))),$I32,"")</f>
        <v/>
      </c>
      <c r="EK32" s="390" t="str">
        <f>IF(AND(EK$12&gt;=$E32,EK$12&lt;=$F32,MOD(EK$12,7)&gt;1,NOT(COUNTIF(General!$U$13:$U$19,EK$12))),$I32,"")</f>
        <v/>
      </c>
      <c r="EL32" s="390" t="str">
        <f>IF(AND(EL$12&gt;=$E32,EL$12&lt;=$F32,MOD(EL$12,7)&gt;1,NOT(COUNTIF(General!$U$13:$U$19,EL$12))),$I32,"")</f>
        <v/>
      </c>
      <c r="EM32" s="390" t="str">
        <f>IF(AND(EM$12&gt;=$E32,EM$12&lt;=$F32,MOD(EM$12,7)&gt;1,NOT(COUNTIF(General!$U$13:$U$19,EM$12))),$I32,"")</f>
        <v/>
      </c>
      <c r="EN32" s="390" t="str">
        <f>IF(AND(EN$12&gt;=$E32,EN$12&lt;=$F32,MOD(EN$12,7)&gt;1,NOT(COUNTIF(General!$U$13:$U$19,EN$12))),$I32,"")</f>
        <v/>
      </c>
      <c r="EO32" s="390" t="str">
        <f>IF(AND(EO$12&gt;=$E32,EO$12&lt;=$F32,MOD(EO$12,7)&gt;1,NOT(COUNTIF(General!$U$13:$U$19,EO$12))),$I32,"")</f>
        <v/>
      </c>
      <c r="EP32" s="390" t="str">
        <f>IF(AND(EP$12&gt;=$E32,EP$12&lt;=$F32,MOD(EP$12,7)&gt;1,NOT(COUNTIF(General!$U$13:$U$19,EP$12))),$I32,"")</f>
        <v/>
      </c>
      <c r="EQ32" s="390" t="str">
        <f>IF(AND(EQ$12&gt;=$E32,EQ$12&lt;=$F32,MOD(EQ$12,7)&gt;1,NOT(COUNTIF(General!$U$13:$U$19,EQ$12))),$I32,"")</f>
        <v/>
      </c>
      <c r="ER32" s="390" t="str">
        <f>IF(AND(ER$12&gt;=$E32,ER$12&lt;=$F32,MOD(ER$12,7)&gt;1,NOT(COUNTIF(General!$U$13:$U$19,ER$12))),$I32,"")</f>
        <v/>
      </c>
      <c r="ES32" s="390" t="str">
        <f>IF(AND(ES$12&gt;=$E32,ES$12&lt;=$F32,MOD(ES$12,7)&gt;1,NOT(COUNTIF(General!$U$13:$U$19,ES$12))),$I32,"")</f>
        <v/>
      </c>
      <c r="ET32" s="390" t="str">
        <f>IF(AND(ET$12&gt;=$E32,ET$12&lt;=$F32,MOD(ET$12,7)&gt;1,NOT(COUNTIF(General!$U$13:$U$19,ET$12))),$I32,"")</f>
        <v/>
      </c>
      <c r="EU32" s="390" t="str">
        <f>IF(AND(EU$12&gt;=$E32,EU$12&lt;=$F32,MOD(EU$12,7)&gt;1,NOT(COUNTIF(General!$U$13:$U$19,EU$12))),$I32,"")</f>
        <v/>
      </c>
      <c r="EV32" s="390" t="str">
        <f>IF(AND(EV$12&gt;=$E32,EV$12&lt;=$F32,MOD(EV$12,7)&gt;1,NOT(COUNTIF(General!$U$13:$U$19,EV$12))),$I32,"")</f>
        <v/>
      </c>
      <c r="EW32" s="390" t="str">
        <f>IF(AND(EW$12&gt;=$E32,EW$12&lt;=$F32,MOD(EW$12,7)&gt;1,NOT(COUNTIF(General!$U$13:$U$19,EW$12))),$I32,"")</f>
        <v/>
      </c>
      <c r="EX32" s="390" t="str">
        <f>IF(AND(EX$12&gt;=$E32,EX$12&lt;=$F32,MOD(EX$12,7)&gt;1,NOT(COUNTIF(General!$U$13:$U$19,EX$12))),$I32,"")</f>
        <v/>
      </c>
      <c r="EY32" s="390" t="str">
        <f>IF(AND(EY$12&gt;=$E32,EY$12&lt;=$F32,MOD(EY$12,7)&gt;1,NOT(COUNTIF(General!$U$13:$U$19,EY$12))),$I32,"")</f>
        <v/>
      </c>
      <c r="EZ32" s="390" t="str">
        <f>IF(AND(EZ$12&gt;=$E32,EZ$12&lt;=$F32,MOD(EZ$12,7)&gt;1,NOT(COUNTIF(General!$U$13:$U$19,EZ$12))),$I32,"")</f>
        <v/>
      </c>
      <c r="FA32" s="390" t="str">
        <f>IF(AND(FA$12&gt;=$E32,FA$12&lt;=$F32,MOD(FA$12,7)&gt;1,NOT(COUNTIF(General!$U$13:$U$19,FA$12))),$I32,"")</f>
        <v/>
      </c>
      <c r="FB32" s="390" t="str">
        <f>IF(AND(FB$12&gt;=$E32,FB$12&lt;=$F32,MOD(FB$12,7)&gt;1,NOT(COUNTIF(General!$U$13:$U$19,FB$12))),$I32,"")</f>
        <v/>
      </c>
      <c r="FC32" s="390" t="str">
        <f>IF(AND(FC$12&gt;=$E32,FC$12&lt;=$F32,MOD(FC$12,7)&gt;1,NOT(COUNTIF(General!$U$13:$U$19,FC$12))),$I32,"")</f>
        <v/>
      </c>
      <c r="FD32" s="390" t="str">
        <f>IF(AND(FD$12&gt;=$E32,FD$12&lt;=$F32,MOD(FD$12,7)&gt;1,NOT(COUNTIF(General!$U$13:$U$19,FD$12))),$I32,"")</f>
        <v/>
      </c>
      <c r="FE32" s="390" t="str">
        <f>IF(AND(FE$12&gt;=$E32,FE$12&lt;=$F32,MOD(FE$12,7)&gt;1,NOT(COUNTIF(General!$U$13:$U$19,FE$12))),$I32,"")</f>
        <v/>
      </c>
      <c r="FF32" s="390" t="str">
        <f>IF(AND(FF$12&gt;=$E32,FF$12&lt;=$F32,MOD(FF$12,7)&gt;1,NOT(COUNTIF(General!$U$13:$U$19,FF$12))),$I32,"")</f>
        <v/>
      </c>
      <c r="FG32" s="390" t="str">
        <f>IF(AND(FG$12&gt;=$E32,FG$12&lt;=$F32,MOD(FG$12,7)&gt;1,NOT(COUNTIF(General!$U$13:$U$19,FG$12))),$I32,"")</f>
        <v/>
      </c>
      <c r="FH32" s="390" t="str">
        <f>IF(AND(FH$12&gt;=$E32,FH$12&lt;=$F32,MOD(FH$12,7)&gt;1,NOT(COUNTIF(General!$U$13:$U$19,FH$12))),$I32,"")</f>
        <v/>
      </c>
      <c r="FI32" s="390" t="str">
        <f>IF(AND(FI$12&gt;=$E32,FI$12&lt;=$F32,MOD(FI$12,7)&gt;1,NOT(COUNTIF(General!$U$13:$U$19,FI$12))),$I32,"")</f>
        <v/>
      </c>
      <c r="FJ32" s="390" t="str">
        <f>IF(AND(FJ$12&gt;=$E32,FJ$12&lt;=$F32,MOD(FJ$12,7)&gt;1,NOT(COUNTIF(General!$U$13:$U$19,FJ$12))),$I32,"")</f>
        <v/>
      </c>
      <c r="FK32" s="390" t="str">
        <f>IF(AND(FK$12&gt;=$E32,FK$12&lt;=$F32,MOD(FK$12,7)&gt;1,NOT(COUNTIF(General!$U$13:$U$19,FK$12))),$I32,"")</f>
        <v/>
      </c>
      <c r="FL32" s="390" t="str">
        <f>IF(AND(FL$12&gt;=$E32,FL$12&lt;=$F32,MOD(FL$12,7)&gt;1,NOT(COUNTIF(General!$U$13:$U$19,FL$12))),$I32,"")</f>
        <v/>
      </c>
      <c r="FM32" s="390" t="str">
        <f>IF(AND(FM$12&gt;=$E32,FM$12&lt;=$F32,MOD(FM$12,7)&gt;1,NOT(COUNTIF(General!$U$13:$U$19,FM$12))),$I32,"")</f>
        <v/>
      </c>
      <c r="FN32" s="390" t="str">
        <f>IF(AND(FN$12&gt;=$E32,FN$12&lt;=$F32,MOD(FN$12,7)&gt;1,NOT(COUNTIF(General!$U$13:$U$19,FN$12))),$I32,"")</f>
        <v/>
      </c>
      <c r="FO32" s="390" t="str">
        <f>IF(AND(FO$12&gt;=$E32,FO$12&lt;=$F32,MOD(FO$12,7)&gt;1,NOT(COUNTIF(General!$U$13:$U$19,FO$12))),$I32,"")</f>
        <v/>
      </c>
      <c r="FP32" s="390" t="str">
        <f>IF(AND(FP$12&gt;=$E32,FP$12&lt;=$F32,MOD(FP$12,7)&gt;1,NOT(COUNTIF(General!$U$13:$U$19,FP$12))),$I32,"")</f>
        <v/>
      </c>
      <c r="FQ32" s="390" t="str">
        <f>IF(AND(FQ$12&gt;=$E32,FQ$12&lt;=$F32,MOD(FQ$12,7)&gt;1,NOT(COUNTIF(General!$U$13:$U$19,FQ$12))),$I32,"")</f>
        <v/>
      </c>
      <c r="FR32" s="390" t="str">
        <f>IF(AND(FR$12&gt;=$E32,FR$12&lt;=$F32,MOD(FR$12,7)&gt;1,NOT(COUNTIF(General!$U$13:$U$19,FR$12))),$I32,"")</f>
        <v/>
      </c>
      <c r="FS32" s="390" t="str">
        <f>IF(AND(FS$12&gt;=$E32,FS$12&lt;=$F32,MOD(FS$12,7)&gt;1,NOT(COUNTIF(General!$U$13:$U$19,FS$12))),$I32,"")</f>
        <v/>
      </c>
      <c r="FT32" s="390" t="str">
        <f>IF(AND(FT$12&gt;=$E32,FT$12&lt;=$F32,MOD(FT$12,7)&gt;1,NOT(COUNTIF(General!$U$13:$U$19,FT$12))),$I32,"")</f>
        <v/>
      </c>
      <c r="FU32" s="390" t="str">
        <f>IF(AND(FU$12&gt;=$E32,FU$12&lt;=$F32,MOD(FU$12,7)&gt;1,NOT(COUNTIF(General!$U$13:$U$19,FU$12))),$I32,"")</f>
        <v/>
      </c>
      <c r="FV32" s="390" t="str">
        <f>IF(AND(FV$12&gt;=$E32,FV$12&lt;=$F32,MOD(FV$12,7)&gt;1,NOT(COUNTIF(General!$U$13:$U$19,FV$12))),$I32,"")</f>
        <v/>
      </c>
      <c r="FW32" s="390" t="str">
        <f>IF(AND(FW$12&gt;=$E32,FW$12&lt;=$F32,MOD(FW$12,7)&gt;1,NOT(COUNTIF(General!$U$13:$U$19,FW$12))),$I32,"")</f>
        <v/>
      </c>
      <c r="FX32" s="390" t="str">
        <f>IF(AND(FX$12&gt;=$E32,FX$12&lt;=$F32,MOD(FX$12,7)&gt;1,NOT(COUNTIF(General!$U$13:$U$19,FX$12))),$I32,"")</f>
        <v/>
      </c>
    </row>
    <row r="33">
      <c r="A33" s="368"/>
      <c r="B33" s="369"/>
      <c r="C33" s="370"/>
      <c r="D33" s="579" t="s">
        <v>571</v>
      </c>
      <c r="E33" s="372">
        <v>43812.0</v>
      </c>
      <c r="F33" s="374">
        <f>WORKDAY(E33,ROUNDUP(G33/I33,0),General!$U$13:$U$27)-1</f>
        <v>43814</v>
      </c>
      <c r="G33" s="542">
        <f>G32*0.4</f>
        <v>0.6</v>
      </c>
      <c r="H33" s="377"/>
      <c r="I33" s="368">
        <v>1.0</v>
      </c>
      <c r="J33" s="379"/>
      <c r="K33" s="573"/>
      <c r="L33" s="573"/>
      <c r="M33" s="574"/>
      <c r="N33" s="384"/>
      <c r="O33" s="386"/>
      <c r="P33" s="575"/>
      <c r="Q33" s="390" t="str">
        <f>IF(AND(Q$12&gt;=$E33,Q$12&lt;=$F33,MOD(Q$12,7)&gt;1,NOT(COUNTIF(General!$U$13:$U$19,Q$12))),$I33,"")</f>
        <v/>
      </c>
      <c r="R33" s="390" t="str">
        <f>IF(AND(R$12&gt;=$E33,R$12&lt;=$F33,MOD(R$12,7)&gt;1,NOT(COUNTIF(General!$U$13:$U$19,R$12))),$I33,"")</f>
        <v/>
      </c>
      <c r="S33" s="390" t="str">
        <f>IF(AND(S$12&gt;=$E33,S$12&lt;=$F33,MOD(S$12,7)&gt;1,NOT(COUNTIF(General!$U$13:$U$19,S$12))),$I33,"")</f>
        <v/>
      </c>
      <c r="T33" s="390" t="str">
        <f>IF(AND(T$12&gt;=$E33,T$12&lt;=$F33,MOD(T$12,7)&gt;1,NOT(COUNTIF(General!$U$13:$U$19,T$12))),$I33,"")</f>
        <v/>
      </c>
      <c r="U33" s="390" t="str">
        <f>IF(AND(U$12&gt;=$E33,U$12&lt;=$F33,MOD(U$12,7)&gt;1,NOT(COUNTIF(General!$U$13:$U$19,U$12))),$I33,"")</f>
        <v/>
      </c>
      <c r="V33" s="390" t="str">
        <f>IF(AND(V$12&gt;=$E33,V$12&lt;=$F33,MOD(V$12,7)&gt;1,NOT(COUNTIF(General!$U$13:$U$19,V$12))),$I33,"")</f>
        <v/>
      </c>
      <c r="W33" s="390" t="str">
        <f>IF(AND(W$12&gt;=$E33,W$12&lt;=$F33,MOD(W$12,7)&gt;1,NOT(COUNTIF(General!$U$13:$U$19,W$12))),$I33,"")</f>
        <v/>
      </c>
      <c r="X33" s="390" t="str">
        <f>IF(AND(X$12&gt;=$E33,X$12&lt;=$F33,MOD(X$12,7)&gt;1,NOT(COUNTIF(General!$U$13:$U$19,X$12))),$I33,"")</f>
        <v/>
      </c>
      <c r="Y33" s="390" t="str">
        <f>IF(AND(Y$12&gt;=$E33,Y$12&lt;=$F33,MOD(Y$12,7)&gt;1,NOT(COUNTIF(General!$U$13:$U$19,Y$12))),$I33,"")</f>
        <v/>
      </c>
      <c r="Z33" s="390" t="str">
        <f>IF(AND(Z$12&gt;=$E33,Z$12&lt;=$F33,MOD(Z$12,7)&gt;1,NOT(COUNTIF(General!$U$13:$U$19,Z$12))),$I33,"")</f>
        <v/>
      </c>
      <c r="AA33" s="390" t="str">
        <f>IF(AND(AA$12&gt;=$E33,AA$12&lt;=$F33,MOD(AA$12,7)&gt;1,NOT(COUNTIF(General!$U$13:$U$19,AA$12))),$I33,"")</f>
        <v/>
      </c>
      <c r="AB33" s="390">
        <f>IF(AND(AB$12&gt;=$E33,AB$12&lt;=$F33,MOD(AB$12,7)&gt;1,NOT(COUNTIF(General!$U$13:$U$19,AB$12))),$I33,"")</f>
        <v>1</v>
      </c>
      <c r="AC33" s="390" t="str">
        <f>IF(AND(AC$12&gt;=$E33,AC$12&lt;=$F33,MOD(AC$12,7)&gt;1,NOT(COUNTIF(General!$U$13:$U$19,AC$12))),$I33,"")</f>
        <v/>
      </c>
      <c r="AD33" s="390" t="str">
        <f>IF(AND(AD$12&gt;=$E33,AD$12&lt;=$F33,MOD(AD$12,7)&gt;1,NOT(COUNTIF(General!$U$13:$U$19,AD$12))),$I33,"")</f>
        <v/>
      </c>
      <c r="AE33" s="390" t="str">
        <f>IF(AND(AE$12&gt;=$E33,AE$12&lt;=$F33,MOD(AE$12,7)&gt;1,NOT(COUNTIF(General!$U$13:$U$19,AE$12))),$I33,"")</f>
        <v/>
      </c>
      <c r="AF33" s="390" t="str">
        <f>IF(AND(AF$12&gt;=$E33,AF$12&lt;=$F33,MOD(AF$12,7)&gt;1,NOT(COUNTIF(General!$U$13:$U$19,AF$12))),$I33,"")</f>
        <v/>
      </c>
      <c r="AG33" s="390" t="str">
        <f>IF(AND(AG$12&gt;=$E33,AG$12&lt;=$F33,MOD(AG$12,7)&gt;1,NOT(COUNTIF(General!$U$13:$U$19,AG$12))),$I33,"")</f>
        <v/>
      </c>
      <c r="AH33" s="390" t="str">
        <f>IF(AND(AH$12&gt;=$E33,AH$12&lt;=$F33,MOD(AH$12,7)&gt;1,NOT(COUNTIF(General!$U$13:$U$19,AH$12))),$I33,"")</f>
        <v/>
      </c>
      <c r="AI33" s="390" t="str">
        <f>IF(AND(AI$12&gt;=$E33,AI$12&lt;=$F33,MOD(AI$12,7)&gt;1,NOT(COUNTIF(General!$U$13:$U$19,AI$12))),$I33,"")</f>
        <v/>
      </c>
      <c r="AJ33" s="390" t="str">
        <f>IF(AND(AJ$12&gt;=$E33,AJ$12&lt;=$F33,MOD(AJ$12,7)&gt;1,NOT(COUNTIF(General!$U$13:$U$19,AJ$12))),$I33,"")</f>
        <v/>
      </c>
      <c r="AK33" s="390" t="str">
        <f>IF(AND(AK$12&gt;=$E33,AK$12&lt;=$F33,MOD(AK$12,7)&gt;1,NOT(COUNTIF(General!$U$13:$U$19,AK$12))),$I33,"")</f>
        <v/>
      </c>
      <c r="AL33" s="390" t="str">
        <f>IF(AND(AL$12&gt;=$E33,AL$12&lt;=$F33,MOD(AL$12,7)&gt;1,NOT(COUNTIF(General!$U$13:$U$19,AL$12))),$I33,"")</f>
        <v/>
      </c>
      <c r="AM33" s="390" t="str">
        <f>IF(AND(AM$12&gt;=$E33,AM$12&lt;=$F33,MOD(AM$12,7)&gt;1,NOT(COUNTIF(General!$U$13:$U$19,AM$12))),$I33,"")</f>
        <v/>
      </c>
      <c r="AN33" s="390" t="str">
        <f>IF(AND(AN$12&gt;=$E33,AN$12&lt;=$F33,MOD(AN$12,7)&gt;1,NOT(COUNTIF(General!$U$13:$U$19,AN$12))),$I33,"")</f>
        <v/>
      </c>
      <c r="AO33" s="390" t="str">
        <f>IF(AND(AO$12&gt;=$E33,AO$12&lt;=$F33,MOD(AO$12,7)&gt;1,NOT(COUNTIF(General!$U$13:$U$19,AO$12))),$I33,"")</f>
        <v/>
      </c>
      <c r="AP33" s="390" t="str">
        <f>IF(AND(AP$12&gt;=$E33,AP$12&lt;=$F33,MOD(AP$12,7)&gt;1,NOT(COUNTIF(General!$U$13:$U$19,AP$12))),$I33,"")</f>
        <v/>
      </c>
      <c r="AQ33" s="390" t="str">
        <f>IF(AND(AQ$12&gt;=$E33,AQ$12&lt;=$F33,MOD(AQ$12,7)&gt;1,NOT(COUNTIF(General!$U$13:$U$19,AQ$12))),$I33,"")</f>
        <v/>
      </c>
      <c r="AR33" s="390" t="str">
        <f>IF(AND(AR$12&gt;=$E33,AR$12&lt;=$F33,MOD(AR$12,7)&gt;1,NOT(COUNTIF(General!$U$13:$U$19,AR$12))),$I33,"")</f>
        <v/>
      </c>
      <c r="AS33" s="390" t="str">
        <f>IF(AND(AS$12&gt;=$E33,AS$12&lt;=$F33,MOD(AS$12,7)&gt;1,NOT(COUNTIF(General!$U$13:$U$19,AS$12))),$I33,"")</f>
        <v/>
      </c>
      <c r="AT33" s="390" t="str">
        <f>IF(AND(AT$12&gt;=$E33,AT$12&lt;=$F33,MOD(AT$12,7)&gt;1,NOT(COUNTIF(General!$U$13:$U$19,AT$12))),$I33,"")</f>
        <v/>
      </c>
      <c r="AU33" s="390" t="str">
        <f>IF(AND(AU$12&gt;=$E33,AU$12&lt;=$F33,MOD(AU$12,7)&gt;1,NOT(COUNTIF(General!$U$13:$U$19,AU$12))),$I33,"")</f>
        <v/>
      </c>
      <c r="AV33" s="390" t="str">
        <f>IF(AND(AV$12&gt;=$E33,AV$12&lt;=$F33,MOD(AV$12,7)&gt;1,NOT(COUNTIF(General!$U$13:$U$19,AV$12))),$I33,"")</f>
        <v/>
      </c>
      <c r="AW33" s="390" t="str">
        <f>IF(AND(AW$12&gt;=$E33,AW$12&lt;=$F33,MOD(AW$12,7)&gt;1,NOT(COUNTIF(General!$U$13:$U$19,AW$12))),$I33,"")</f>
        <v/>
      </c>
      <c r="AX33" s="390" t="str">
        <f>IF(AND(AX$12&gt;=$E33,AX$12&lt;=$F33,MOD(AX$12,7)&gt;1,NOT(COUNTIF(General!$U$13:$U$19,AX$12))),$I33,"")</f>
        <v/>
      </c>
      <c r="AY33" s="390" t="str">
        <f>IF(AND(AY$12&gt;=$E33,AY$12&lt;=$F33,MOD(AY$12,7)&gt;1,NOT(COUNTIF(General!$U$13:$U$19,AY$12))),$I33,"")</f>
        <v/>
      </c>
      <c r="AZ33" s="390" t="str">
        <f>IF(AND(AZ$12&gt;=$E33,AZ$12&lt;=$F33,MOD(AZ$12,7)&gt;1,NOT(COUNTIF(General!$U$13:$U$19,AZ$12))),$I33,"")</f>
        <v/>
      </c>
      <c r="BA33" s="390" t="str">
        <f>IF(AND(BA$12&gt;=$E33,BA$12&lt;=$F33,MOD(BA$12,7)&gt;1,NOT(COUNTIF(General!$U$13:$U$19,BA$12))),$I33,"")</f>
        <v/>
      </c>
      <c r="BB33" s="390" t="str">
        <f>IF(AND(BB$12&gt;=$E33,BB$12&lt;=$F33,MOD(BB$12,7)&gt;1,NOT(COUNTIF(General!$U$13:$U$19,BB$12))),$I33,"")</f>
        <v/>
      </c>
      <c r="BC33" s="390" t="str">
        <f>IF(AND(BC$12&gt;=$E33,BC$12&lt;=$F33,MOD(BC$12,7)&gt;1,NOT(COUNTIF(General!$U$13:$U$19,BC$12))),$I33,"")</f>
        <v/>
      </c>
      <c r="BD33" s="390" t="str">
        <f>IF(AND(BD$12&gt;=$E33,BD$12&lt;=$F33,MOD(BD$12,7)&gt;1,NOT(COUNTIF(General!$U$13:$U$19,BD$12))),$I33,"")</f>
        <v/>
      </c>
      <c r="BE33" s="390" t="str">
        <f>IF(AND(BE$12&gt;=$E33,BE$12&lt;=$F33,MOD(BE$12,7)&gt;1,NOT(COUNTIF(General!$U$13:$U$19,BE$12))),$I33,"")</f>
        <v/>
      </c>
      <c r="BF33" s="390" t="str">
        <f>IF(AND(BF$12&gt;=$E33,BF$12&lt;=$F33,MOD(BF$12,7)&gt;1,NOT(COUNTIF(General!$U$13:$U$19,BF$12))),$I33,"")</f>
        <v/>
      </c>
      <c r="BG33" s="390" t="str">
        <f>IF(AND(BG$12&gt;=$E33,BG$12&lt;=$F33,MOD(BG$12,7)&gt;1,NOT(COUNTIF(General!$U$13:$U$19,BG$12))),$I33,"")</f>
        <v/>
      </c>
      <c r="BH33" s="390" t="str">
        <f>IF(AND(BH$12&gt;=$E33,BH$12&lt;=$F33,MOD(BH$12,7)&gt;1,NOT(COUNTIF(General!$U$13:$U$19,BH$12))),$I33,"")</f>
        <v/>
      </c>
      <c r="BI33" s="390" t="str">
        <f>IF(AND(BI$12&gt;=$E33,BI$12&lt;=$F33,MOD(BI$12,7)&gt;1,NOT(COUNTIF(General!$U$13:$U$19,BI$12))),$I33,"")</f>
        <v/>
      </c>
      <c r="BJ33" s="390" t="str">
        <f>IF(AND(BJ$12&gt;=$E33,BJ$12&lt;=$F33,MOD(BJ$12,7)&gt;1,NOT(COUNTIF(General!$U$13:$U$19,BJ$12))),$I33,"")</f>
        <v/>
      </c>
      <c r="BK33" s="390" t="str">
        <f>IF(AND(BK$12&gt;=$E33,BK$12&lt;=$F33,MOD(BK$12,7)&gt;1,NOT(COUNTIF(General!$U$13:$U$19,BK$12))),$I33,"")</f>
        <v/>
      </c>
      <c r="BL33" s="390" t="str">
        <f>IF(AND(BL$12&gt;=$E33,BL$12&lt;=$F33,MOD(BL$12,7)&gt;1,NOT(COUNTIF(General!$U$13:$U$19,BL$12))),$I33,"")</f>
        <v/>
      </c>
      <c r="BM33" s="390" t="str">
        <f>IF(AND(BM$12&gt;=$E33,BM$12&lt;=$F33,MOD(BM$12,7)&gt;1,NOT(COUNTIF(General!$U$13:$U$19,BM$12))),$I33,"")</f>
        <v/>
      </c>
      <c r="BN33" s="390" t="str">
        <f>IF(AND(BN$12&gt;=$E33,BN$12&lt;=$F33,MOD(BN$12,7)&gt;1,NOT(COUNTIF(General!$U$13:$U$19,BN$12))),$I33,"")</f>
        <v/>
      </c>
      <c r="BO33" s="390" t="str">
        <f>IF(AND(BO$12&gt;=$E33,BO$12&lt;=$F33,MOD(BO$12,7)&gt;1,NOT(COUNTIF(General!$U$13:$U$19,BO$12))),$I33,"")</f>
        <v/>
      </c>
      <c r="BP33" s="390" t="str">
        <f>IF(AND(BP$12&gt;=$E33,BP$12&lt;=$F33,MOD(BP$12,7)&gt;1,NOT(COUNTIF(General!$U$13:$U$19,BP$12))),$I33,"")</f>
        <v/>
      </c>
      <c r="BQ33" s="390" t="str">
        <f>IF(AND(BQ$12&gt;=$E33,BQ$12&lt;=$F33,MOD(BQ$12,7)&gt;1,NOT(COUNTIF(General!$U$13:$U$19,BQ$12))),$I33,"")</f>
        <v/>
      </c>
      <c r="BR33" s="390" t="str">
        <f>IF(AND(BR$12&gt;=$E33,BR$12&lt;=$F33,MOD(BR$12,7)&gt;1,NOT(COUNTIF(General!$U$13:$U$19,BR$12))),$I33,"")</f>
        <v/>
      </c>
      <c r="BS33" s="390" t="str">
        <f>IF(AND(BS$12&gt;=$E33,BS$12&lt;=$F33,MOD(BS$12,7)&gt;1,NOT(COUNTIF(General!$U$13:$U$19,BS$12))),$I33,"")</f>
        <v/>
      </c>
      <c r="BT33" s="390" t="str">
        <f>IF(AND(BT$12&gt;=$E33,BT$12&lt;=$F33,MOD(BT$12,7)&gt;1,NOT(COUNTIF(General!$U$13:$U$19,BT$12))),$I33,"")</f>
        <v/>
      </c>
      <c r="BU33" s="390" t="str">
        <f>IF(AND(BU$12&gt;=$E33,BU$12&lt;=$F33,MOD(BU$12,7)&gt;1,NOT(COUNTIF(General!$U$13:$U$19,BU$12))),$I33,"")</f>
        <v/>
      </c>
      <c r="BV33" s="390" t="str">
        <f>IF(AND(BV$12&gt;=$E33,BV$12&lt;=$F33,MOD(BV$12,7)&gt;1,NOT(COUNTIF(General!$U$13:$U$19,BV$12))),$I33,"")</f>
        <v/>
      </c>
      <c r="BW33" s="390" t="str">
        <f>IF(AND(BW$12&gt;=$E33,BW$12&lt;=$F33,MOD(BW$12,7)&gt;1,NOT(COUNTIF(General!$U$13:$U$19,BW$12))),$I33,"")</f>
        <v/>
      </c>
      <c r="BX33" s="390" t="str">
        <f>IF(AND(BX$12&gt;=$E33,BX$12&lt;=$F33,MOD(BX$12,7)&gt;1,NOT(COUNTIF(General!$U$13:$U$19,BX$12))),$I33,"")</f>
        <v/>
      </c>
      <c r="BY33" s="390" t="str">
        <f>IF(AND(BY$12&gt;=$E33,BY$12&lt;=$F33,MOD(BY$12,7)&gt;1,NOT(COUNTIF(General!$U$13:$U$19,BY$12))),$I33,"")</f>
        <v/>
      </c>
      <c r="BZ33" s="390" t="str">
        <f>IF(AND(BZ$12&gt;=$E33,BZ$12&lt;=$F33,MOD(BZ$12,7)&gt;1,NOT(COUNTIF(General!$U$13:$U$19,BZ$12))),$I33,"")</f>
        <v/>
      </c>
      <c r="CA33" s="390" t="str">
        <f>IF(AND(CA$12&gt;=$E33,CA$12&lt;=$F33,MOD(CA$12,7)&gt;1,NOT(COUNTIF(General!$U$13:$U$19,CA$12))),$I33,"")</f>
        <v/>
      </c>
      <c r="CB33" s="390" t="str">
        <f>IF(AND(CB$12&gt;=$E33,CB$12&lt;=$F33,MOD(CB$12,7)&gt;1,NOT(COUNTIF(General!$U$13:$U$19,CB$12))),$I33,"")</f>
        <v/>
      </c>
      <c r="CC33" s="390" t="str">
        <f>IF(AND(CC$12&gt;=$E33,CC$12&lt;=$F33,MOD(CC$12,7)&gt;1,NOT(COUNTIF(General!$U$13:$U$19,CC$12))),$I33,"")</f>
        <v/>
      </c>
      <c r="CD33" s="390" t="str">
        <f>IF(AND(CD$12&gt;=$E33,CD$12&lt;=$F33,MOD(CD$12,7)&gt;1,NOT(COUNTIF(General!$U$13:$U$19,CD$12))),$I33,"")</f>
        <v/>
      </c>
      <c r="CE33" s="390" t="str">
        <f>IF(AND(CE$12&gt;=$E33,CE$12&lt;=$F33,MOD(CE$12,7)&gt;1,NOT(COUNTIF(General!$U$13:$U$19,CE$12))),$I33,"")</f>
        <v/>
      </c>
      <c r="CF33" s="390" t="str">
        <f>IF(AND(CF$12&gt;=$E33,CF$12&lt;=$F33,MOD(CF$12,7)&gt;1,NOT(COUNTIF(General!$U$13:$U$19,CF$12))),$I33,"")</f>
        <v/>
      </c>
      <c r="CG33" s="390" t="str">
        <f>IF(AND(CG$12&gt;=$E33,CG$12&lt;=$F33,MOD(CG$12,7)&gt;1,NOT(COUNTIF(General!$U$13:$U$19,CG$12))),$I33,"")</f>
        <v/>
      </c>
      <c r="CH33" s="390" t="str">
        <f>IF(AND(CH$12&gt;=$E33,CH$12&lt;=$F33,MOD(CH$12,7)&gt;1,NOT(COUNTIF(General!$U$13:$U$19,CH$12))),$I33,"")</f>
        <v/>
      </c>
      <c r="CI33" s="390" t="str">
        <f>IF(AND(CI$12&gt;=$E33,CI$12&lt;=$F33,MOD(CI$12,7)&gt;1,NOT(COUNTIF(General!$U$13:$U$19,CI$12))),$I33,"")</f>
        <v/>
      </c>
      <c r="CJ33" s="390" t="str">
        <f>IF(AND(CJ$12&gt;=$E33,CJ$12&lt;=$F33,MOD(CJ$12,7)&gt;1,NOT(COUNTIF(General!$U$13:$U$19,CJ$12))),$I33,"")</f>
        <v/>
      </c>
      <c r="CK33" s="390" t="str">
        <f>IF(AND(CK$12&gt;=$E33,CK$12&lt;=$F33,MOD(CK$12,7)&gt;1,NOT(COUNTIF(General!$U$13:$U$19,CK$12))),$I33,"")</f>
        <v/>
      </c>
      <c r="CL33" s="390" t="str">
        <f>IF(AND(CL$12&gt;=$E33,CL$12&lt;=$F33,MOD(CL$12,7)&gt;1,NOT(COUNTIF(General!$U$13:$U$19,CL$12))),$I33,"")</f>
        <v/>
      </c>
      <c r="CM33" s="390" t="str">
        <f>IF(AND(CM$12&gt;=$E33,CM$12&lt;=$F33,MOD(CM$12,7)&gt;1,NOT(COUNTIF(General!$U$13:$U$19,CM$12))),$I33,"")</f>
        <v/>
      </c>
      <c r="CN33" s="390" t="str">
        <f>IF(AND(CN$12&gt;=$E33,CN$12&lt;=$F33,MOD(CN$12,7)&gt;1,NOT(COUNTIF(General!$U$13:$U$19,CN$12))),$I33,"")</f>
        <v/>
      </c>
      <c r="CO33" s="390" t="str">
        <f>IF(AND(CO$12&gt;=$E33,CO$12&lt;=$F33,MOD(CO$12,7)&gt;1,NOT(COUNTIF(General!$U$13:$U$19,CO$12))),$I33,"")</f>
        <v/>
      </c>
      <c r="CP33" s="390" t="str">
        <f>IF(AND(CP$12&gt;=$E33,CP$12&lt;=$F33,MOD(CP$12,7)&gt;1,NOT(COUNTIF(General!$U$13:$U$19,CP$12))),$I33,"")</f>
        <v/>
      </c>
      <c r="CQ33" s="390" t="str">
        <f>IF(AND(CQ$12&gt;=$E33,CQ$12&lt;=$F33,MOD(CQ$12,7)&gt;1,NOT(COUNTIF(General!$U$13:$U$19,CQ$12))),$I33,"")</f>
        <v/>
      </c>
      <c r="CR33" s="390" t="str">
        <f>IF(AND(CR$12&gt;=$E33,CR$12&lt;=$F33,MOD(CR$12,7)&gt;1,NOT(COUNTIF(General!$U$13:$U$19,CR$12))),$I33,"")</f>
        <v/>
      </c>
      <c r="CS33" s="390" t="str">
        <f>IF(AND(CS$12&gt;=$E33,CS$12&lt;=$F33,MOD(CS$12,7)&gt;1,NOT(COUNTIF(General!$U$13:$U$19,CS$12))),$I33,"")</f>
        <v/>
      </c>
      <c r="CT33" s="390" t="str">
        <f>IF(AND(CT$12&gt;=$E33,CT$12&lt;=$F33,MOD(CT$12,7)&gt;1,NOT(COUNTIF(General!$U$13:$U$19,CT$12))),$I33,"")</f>
        <v/>
      </c>
      <c r="CU33" s="390" t="str">
        <f>IF(AND(CU$12&gt;=$E33,CU$12&lt;=$F33,MOD(CU$12,7)&gt;1,NOT(COUNTIF(General!$U$13:$U$19,CU$12))),$I33,"")</f>
        <v/>
      </c>
      <c r="CV33" s="390" t="str">
        <f>IF(AND(CV$12&gt;=$E33,CV$12&lt;=$F33,MOD(CV$12,7)&gt;1,NOT(COUNTIF(General!$U$13:$U$19,CV$12))),$I33,"")</f>
        <v/>
      </c>
      <c r="CW33" s="390" t="str">
        <f>IF(AND(CW$12&gt;=$E33,CW$12&lt;=$F33,MOD(CW$12,7)&gt;1,NOT(COUNTIF(General!$U$13:$U$19,CW$12))),$I33,"")</f>
        <v/>
      </c>
      <c r="CX33" s="390" t="str">
        <f>IF(AND(CX$12&gt;=$E33,CX$12&lt;=$F33,MOD(CX$12,7)&gt;1,NOT(COUNTIF(General!$U$13:$U$19,CX$12))),$I33,"")</f>
        <v/>
      </c>
      <c r="CY33" s="390" t="str">
        <f>IF(AND(CY$12&gt;=$E33,CY$12&lt;=$F33,MOD(CY$12,7)&gt;1,NOT(COUNTIF(General!$U$13:$U$19,CY$12))),$I33,"")</f>
        <v/>
      </c>
      <c r="CZ33" s="390" t="str">
        <f>IF(AND(CZ$12&gt;=$E33,CZ$12&lt;=$F33,MOD(CZ$12,7)&gt;1,NOT(COUNTIF(General!$U$13:$U$19,CZ$12))),$I33,"")</f>
        <v/>
      </c>
      <c r="DA33" s="390" t="str">
        <f>IF(AND(DA$12&gt;=$E33,DA$12&lt;=$F33,MOD(DA$12,7)&gt;1,NOT(COUNTIF(General!$U$13:$U$19,DA$12))),$I33,"")</f>
        <v/>
      </c>
      <c r="DB33" s="390" t="str">
        <f>IF(AND(DB$12&gt;=$E33,DB$12&lt;=$F33,MOD(DB$12,7)&gt;1,NOT(COUNTIF(General!$U$13:$U$19,DB$12))),$I33,"")</f>
        <v/>
      </c>
      <c r="DC33" s="390" t="str">
        <f>IF(AND(DC$12&gt;=$E33,DC$12&lt;=$F33,MOD(DC$12,7)&gt;1,NOT(COUNTIF(General!$U$13:$U$19,DC$12))),$I33,"")</f>
        <v/>
      </c>
      <c r="DD33" s="390" t="str">
        <f>IF(AND(DD$12&gt;=$E33,DD$12&lt;=$F33,MOD(DD$12,7)&gt;1,NOT(COUNTIF(General!$U$13:$U$19,DD$12))),$I33,"")</f>
        <v/>
      </c>
      <c r="DE33" s="390" t="str">
        <f>IF(AND(DE$12&gt;=$E33,DE$12&lt;=$F33,MOD(DE$12,7)&gt;1,NOT(COUNTIF(General!$U$13:$U$19,DE$12))),$I33,"")</f>
        <v/>
      </c>
      <c r="DF33" s="390" t="str">
        <f>IF(AND(DF$12&gt;=$E33,DF$12&lt;=$F33,MOD(DF$12,7)&gt;1,NOT(COUNTIF(General!$U$13:$U$19,DF$12))),$I33,"")</f>
        <v/>
      </c>
      <c r="DG33" s="390" t="str">
        <f>IF(AND(DG$12&gt;=$E33,DG$12&lt;=$F33,MOD(DG$12,7)&gt;1,NOT(COUNTIF(General!$U$13:$U$19,DG$12))),$I33,"")</f>
        <v/>
      </c>
      <c r="DH33" s="390" t="str">
        <f>IF(AND(DH$12&gt;=$E33,DH$12&lt;=$F33,MOD(DH$12,7)&gt;1,NOT(COUNTIF(General!$U$13:$U$19,DH$12))),$I33,"")</f>
        <v/>
      </c>
      <c r="DI33" s="390" t="str">
        <f>IF(AND(DI$12&gt;=$E33,DI$12&lt;=$F33,MOD(DI$12,7)&gt;1,NOT(COUNTIF(General!$U$13:$U$19,DI$12))),$I33,"")</f>
        <v/>
      </c>
      <c r="DJ33" s="390" t="str">
        <f>IF(AND(DJ$12&gt;=$E33,DJ$12&lt;=$F33,MOD(DJ$12,7)&gt;1,NOT(COUNTIF(General!$U$13:$U$19,DJ$12))),$I33,"")</f>
        <v/>
      </c>
      <c r="DK33" s="390" t="str">
        <f>IF(AND(DK$12&gt;=$E33,DK$12&lt;=$F33,MOD(DK$12,7)&gt;1,NOT(COUNTIF(General!$U$13:$U$19,DK$12))),$I33,"")</f>
        <v/>
      </c>
      <c r="DL33" s="390" t="str">
        <f>IF(AND(DL$12&gt;=$E33,DL$12&lt;=$F33,MOD(DL$12,7)&gt;1,NOT(COUNTIF(General!$U$13:$U$19,DL$12))),$I33,"")</f>
        <v/>
      </c>
      <c r="DM33" s="390" t="str">
        <f>IF(AND(DM$12&gt;=$E33,DM$12&lt;=$F33,MOD(DM$12,7)&gt;1,NOT(COUNTIF(General!$U$13:$U$19,DM$12))),$I33,"")</f>
        <v/>
      </c>
      <c r="DN33" s="390" t="str">
        <f>IF(AND(DN$12&gt;=$E33,DN$12&lt;=$F33,MOD(DN$12,7)&gt;1,NOT(COUNTIF(General!$U$13:$U$19,DN$12))),$I33,"")</f>
        <v/>
      </c>
      <c r="DO33" s="390" t="str">
        <f>IF(AND(DO$12&gt;=$E33,DO$12&lt;=$F33,MOD(DO$12,7)&gt;1,NOT(COUNTIF(General!$U$13:$U$19,DO$12))),$I33,"")</f>
        <v/>
      </c>
      <c r="DP33" s="390" t="str">
        <f>IF(AND(DP$12&gt;=$E33,DP$12&lt;=$F33,MOD(DP$12,7)&gt;1,NOT(COUNTIF(General!$U$13:$U$19,DP$12))),$I33,"")</f>
        <v/>
      </c>
      <c r="DQ33" s="390" t="str">
        <f>IF(AND(DQ$12&gt;=$E33,DQ$12&lt;=$F33,MOD(DQ$12,7)&gt;1,NOT(COUNTIF(General!$U$13:$U$19,DQ$12))),$I33,"")</f>
        <v/>
      </c>
      <c r="DR33" s="390" t="str">
        <f>IF(AND(DR$12&gt;=$E33,DR$12&lt;=$F33,MOD(DR$12,7)&gt;1,NOT(COUNTIF(General!$U$13:$U$19,DR$12))),$I33,"")</f>
        <v/>
      </c>
      <c r="DS33" s="390" t="str">
        <f>IF(AND(DS$12&gt;=$E33,DS$12&lt;=$F33,MOD(DS$12,7)&gt;1,NOT(COUNTIF(General!$U$13:$U$19,DS$12))),$I33,"")</f>
        <v/>
      </c>
      <c r="DT33" s="390" t="str">
        <f>IF(AND(DT$12&gt;=$E33,DT$12&lt;=$F33,MOD(DT$12,7)&gt;1,NOT(COUNTIF(General!$U$13:$U$19,DT$12))),$I33,"")</f>
        <v/>
      </c>
      <c r="DU33" s="390" t="str">
        <f>IF(AND(DU$12&gt;=$E33,DU$12&lt;=$F33,MOD(DU$12,7)&gt;1,NOT(COUNTIF(General!$U$13:$U$19,DU$12))),$I33,"")</f>
        <v/>
      </c>
      <c r="DV33" s="390" t="str">
        <f>IF(AND(DV$12&gt;=$E33,DV$12&lt;=$F33,MOD(DV$12,7)&gt;1,NOT(COUNTIF(General!$U$13:$U$19,DV$12))),$I33,"")</f>
        <v/>
      </c>
      <c r="DW33" s="390" t="str">
        <f>IF(AND(DW$12&gt;=$E33,DW$12&lt;=$F33,MOD(DW$12,7)&gt;1,NOT(COUNTIF(General!$U$13:$U$19,DW$12))),$I33,"")</f>
        <v/>
      </c>
      <c r="DX33" s="390" t="str">
        <f>IF(AND(DX$12&gt;=$E33,DX$12&lt;=$F33,MOD(DX$12,7)&gt;1,NOT(COUNTIF(General!$U$13:$U$19,DX$12))),$I33,"")</f>
        <v/>
      </c>
      <c r="DY33" s="390" t="str">
        <f>IF(AND(DY$12&gt;=$E33,DY$12&lt;=$F33,MOD(DY$12,7)&gt;1,NOT(COUNTIF(General!$U$13:$U$19,DY$12))),$I33,"")</f>
        <v/>
      </c>
      <c r="DZ33" s="390" t="str">
        <f>IF(AND(DZ$12&gt;=$E33,DZ$12&lt;=$F33,MOD(DZ$12,7)&gt;1,NOT(COUNTIF(General!$U$13:$U$19,DZ$12))),$I33,"")</f>
        <v/>
      </c>
      <c r="EA33" s="390" t="str">
        <f>IF(AND(EA$12&gt;=$E33,EA$12&lt;=$F33,MOD(EA$12,7)&gt;1,NOT(COUNTIF(General!$U$13:$U$19,EA$12))),$I33,"")</f>
        <v/>
      </c>
      <c r="EB33" s="390" t="str">
        <f>IF(AND(EB$12&gt;=$E33,EB$12&lt;=$F33,MOD(EB$12,7)&gt;1,NOT(COUNTIF(General!$U$13:$U$19,EB$12))),$I33,"")</f>
        <v/>
      </c>
      <c r="EC33" s="390" t="str">
        <f>IF(AND(EC$12&gt;=$E33,EC$12&lt;=$F33,MOD(EC$12,7)&gt;1,NOT(COUNTIF(General!$U$13:$U$19,EC$12))),$I33,"")</f>
        <v/>
      </c>
      <c r="ED33" s="390" t="str">
        <f>IF(AND(ED$12&gt;=$E33,ED$12&lt;=$F33,MOD(ED$12,7)&gt;1,NOT(COUNTIF(General!$U$13:$U$19,ED$12))),$I33,"")</f>
        <v/>
      </c>
      <c r="EE33" s="390" t="str">
        <f>IF(AND(EE$12&gt;=$E33,EE$12&lt;=$F33,MOD(EE$12,7)&gt;1,NOT(COUNTIF(General!$U$13:$U$19,EE$12))),$I33,"")</f>
        <v/>
      </c>
      <c r="EF33" s="390" t="str">
        <f>IF(AND(EF$12&gt;=$E33,EF$12&lt;=$F33,MOD(EF$12,7)&gt;1,NOT(COUNTIF(General!$U$13:$U$19,EF$12))),$I33,"")</f>
        <v/>
      </c>
      <c r="EG33" s="390" t="str">
        <f>IF(AND(EG$12&gt;=$E33,EG$12&lt;=$F33,MOD(EG$12,7)&gt;1,NOT(COUNTIF(General!$U$13:$U$19,EG$12))),$I33,"")</f>
        <v/>
      </c>
      <c r="EH33" s="390" t="str">
        <f>IF(AND(EH$12&gt;=$E33,EH$12&lt;=$F33,MOD(EH$12,7)&gt;1,NOT(COUNTIF(General!$U$13:$U$19,EH$12))),$I33,"")</f>
        <v/>
      </c>
      <c r="EI33" s="390" t="str">
        <f>IF(AND(EI$12&gt;=$E33,EI$12&lt;=$F33,MOD(EI$12,7)&gt;1,NOT(COUNTIF(General!$U$13:$U$19,EI$12))),$I33,"")</f>
        <v/>
      </c>
      <c r="EJ33" s="390" t="str">
        <f>IF(AND(EJ$12&gt;=$E33,EJ$12&lt;=$F33,MOD(EJ$12,7)&gt;1,NOT(COUNTIF(General!$U$13:$U$19,EJ$12))),$I33,"")</f>
        <v/>
      </c>
      <c r="EK33" s="390" t="str">
        <f>IF(AND(EK$12&gt;=$E33,EK$12&lt;=$F33,MOD(EK$12,7)&gt;1,NOT(COUNTIF(General!$U$13:$U$19,EK$12))),$I33,"")</f>
        <v/>
      </c>
      <c r="EL33" s="390" t="str">
        <f>IF(AND(EL$12&gt;=$E33,EL$12&lt;=$F33,MOD(EL$12,7)&gt;1,NOT(COUNTIF(General!$U$13:$U$19,EL$12))),$I33,"")</f>
        <v/>
      </c>
      <c r="EM33" s="390" t="str">
        <f>IF(AND(EM$12&gt;=$E33,EM$12&lt;=$F33,MOD(EM$12,7)&gt;1,NOT(COUNTIF(General!$U$13:$U$19,EM$12))),$I33,"")</f>
        <v/>
      </c>
      <c r="EN33" s="390" t="str">
        <f>IF(AND(EN$12&gt;=$E33,EN$12&lt;=$F33,MOD(EN$12,7)&gt;1,NOT(COUNTIF(General!$U$13:$U$19,EN$12))),$I33,"")</f>
        <v/>
      </c>
      <c r="EO33" s="390" t="str">
        <f>IF(AND(EO$12&gt;=$E33,EO$12&lt;=$F33,MOD(EO$12,7)&gt;1,NOT(COUNTIF(General!$U$13:$U$19,EO$12))),$I33,"")</f>
        <v/>
      </c>
      <c r="EP33" s="390" t="str">
        <f>IF(AND(EP$12&gt;=$E33,EP$12&lt;=$F33,MOD(EP$12,7)&gt;1,NOT(COUNTIF(General!$U$13:$U$19,EP$12))),$I33,"")</f>
        <v/>
      </c>
      <c r="EQ33" s="390" t="str">
        <f>IF(AND(EQ$12&gt;=$E33,EQ$12&lt;=$F33,MOD(EQ$12,7)&gt;1,NOT(COUNTIF(General!$U$13:$U$19,EQ$12))),$I33,"")</f>
        <v/>
      </c>
      <c r="ER33" s="390" t="str">
        <f>IF(AND(ER$12&gt;=$E33,ER$12&lt;=$F33,MOD(ER$12,7)&gt;1,NOT(COUNTIF(General!$U$13:$U$19,ER$12))),$I33,"")</f>
        <v/>
      </c>
      <c r="ES33" s="390" t="str">
        <f>IF(AND(ES$12&gt;=$E33,ES$12&lt;=$F33,MOD(ES$12,7)&gt;1,NOT(COUNTIF(General!$U$13:$U$19,ES$12))),$I33,"")</f>
        <v/>
      </c>
      <c r="ET33" s="390" t="str">
        <f>IF(AND(ET$12&gt;=$E33,ET$12&lt;=$F33,MOD(ET$12,7)&gt;1,NOT(COUNTIF(General!$U$13:$U$19,ET$12))),$I33,"")</f>
        <v/>
      </c>
      <c r="EU33" s="390" t="str">
        <f>IF(AND(EU$12&gt;=$E33,EU$12&lt;=$F33,MOD(EU$12,7)&gt;1,NOT(COUNTIF(General!$U$13:$U$19,EU$12))),$I33,"")</f>
        <v/>
      </c>
      <c r="EV33" s="390" t="str">
        <f>IF(AND(EV$12&gt;=$E33,EV$12&lt;=$F33,MOD(EV$12,7)&gt;1,NOT(COUNTIF(General!$U$13:$U$19,EV$12))),$I33,"")</f>
        <v/>
      </c>
      <c r="EW33" s="390" t="str">
        <f>IF(AND(EW$12&gt;=$E33,EW$12&lt;=$F33,MOD(EW$12,7)&gt;1,NOT(COUNTIF(General!$U$13:$U$19,EW$12))),$I33,"")</f>
        <v/>
      </c>
      <c r="EX33" s="390" t="str">
        <f>IF(AND(EX$12&gt;=$E33,EX$12&lt;=$F33,MOD(EX$12,7)&gt;1,NOT(COUNTIF(General!$U$13:$U$19,EX$12))),$I33,"")</f>
        <v/>
      </c>
      <c r="EY33" s="390" t="str">
        <f>IF(AND(EY$12&gt;=$E33,EY$12&lt;=$F33,MOD(EY$12,7)&gt;1,NOT(COUNTIF(General!$U$13:$U$19,EY$12))),$I33,"")</f>
        <v/>
      </c>
      <c r="EZ33" s="390" t="str">
        <f>IF(AND(EZ$12&gt;=$E33,EZ$12&lt;=$F33,MOD(EZ$12,7)&gt;1,NOT(COUNTIF(General!$U$13:$U$19,EZ$12))),$I33,"")</f>
        <v/>
      </c>
      <c r="FA33" s="390" t="str">
        <f>IF(AND(FA$12&gt;=$E33,FA$12&lt;=$F33,MOD(FA$12,7)&gt;1,NOT(COUNTIF(General!$U$13:$U$19,FA$12))),$I33,"")</f>
        <v/>
      </c>
      <c r="FB33" s="390" t="str">
        <f>IF(AND(FB$12&gt;=$E33,FB$12&lt;=$F33,MOD(FB$12,7)&gt;1,NOT(COUNTIF(General!$U$13:$U$19,FB$12))),$I33,"")</f>
        <v/>
      </c>
      <c r="FC33" s="390" t="str">
        <f>IF(AND(FC$12&gt;=$E33,FC$12&lt;=$F33,MOD(FC$12,7)&gt;1,NOT(COUNTIF(General!$U$13:$U$19,FC$12))),$I33,"")</f>
        <v/>
      </c>
      <c r="FD33" s="390" t="str">
        <f>IF(AND(FD$12&gt;=$E33,FD$12&lt;=$F33,MOD(FD$12,7)&gt;1,NOT(COUNTIF(General!$U$13:$U$19,FD$12))),$I33,"")</f>
        <v/>
      </c>
      <c r="FE33" s="390" t="str">
        <f>IF(AND(FE$12&gt;=$E33,FE$12&lt;=$F33,MOD(FE$12,7)&gt;1,NOT(COUNTIF(General!$U$13:$U$19,FE$12))),$I33,"")</f>
        <v/>
      </c>
      <c r="FF33" s="390" t="str">
        <f>IF(AND(FF$12&gt;=$E33,FF$12&lt;=$F33,MOD(FF$12,7)&gt;1,NOT(COUNTIF(General!$U$13:$U$19,FF$12))),$I33,"")</f>
        <v/>
      </c>
      <c r="FG33" s="390" t="str">
        <f>IF(AND(FG$12&gt;=$E33,FG$12&lt;=$F33,MOD(FG$12,7)&gt;1,NOT(COUNTIF(General!$U$13:$U$19,FG$12))),$I33,"")</f>
        <v/>
      </c>
      <c r="FH33" s="390" t="str">
        <f>IF(AND(FH$12&gt;=$E33,FH$12&lt;=$F33,MOD(FH$12,7)&gt;1,NOT(COUNTIF(General!$U$13:$U$19,FH$12))),$I33,"")</f>
        <v/>
      </c>
      <c r="FI33" s="390" t="str">
        <f>IF(AND(FI$12&gt;=$E33,FI$12&lt;=$F33,MOD(FI$12,7)&gt;1,NOT(COUNTIF(General!$U$13:$U$19,FI$12))),$I33,"")</f>
        <v/>
      </c>
      <c r="FJ33" s="390" t="str">
        <f>IF(AND(FJ$12&gt;=$E33,FJ$12&lt;=$F33,MOD(FJ$12,7)&gt;1,NOT(COUNTIF(General!$U$13:$U$19,FJ$12))),$I33,"")</f>
        <v/>
      </c>
      <c r="FK33" s="390" t="str">
        <f>IF(AND(FK$12&gt;=$E33,FK$12&lt;=$F33,MOD(FK$12,7)&gt;1,NOT(COUNTIF(General!$U$13:$U$19,FK$12))),$I33,"")</f>
        <v/>
      </c>
      <c r="FL33" s="390" t="str">
        <f>IF(AND(FL$12&gt;=$E33,FL$12&lt;=$F33,MOD(FL$12,7)&gt;1,NOT(COUNTIF(General!$U$13:$U$19,FL$12))),$I33,"")</f>
        <v/>
      </c>
      <c r="FM33" s="390" t="str">
        <f>IF(AND(FM$12&gt;=$E33,FM$12&lt;=$F33,MOD(FM$12,7)&gt;1,NOT(COUNTIF(General!$U$13:$U$19,FM$12))),$I33,"")</f>
        <v/>
      </c>
      <c r="FN33" s="390" t="str">
        <f>IF(AND(FN$12&gt;=$E33,FN$12&lt;=$F33,MOD(FN$12,7)&gt;1,NOT(COUNTIF(General!$U$13:$U$19,FN$12))),$I33,"")</f>
        <v/>
      </c>
      <c r="FO33" s="390" t="str">
        <f>IF(AND(FO$12&gt;=$E33,FO$12&lt;=$F33,MOD(FO$12,7)&gt;1,NOT(COUNTIF(General!$U$13:$U$19,FO$12))),$I33,"")</f>
        <v/>
      </c>
      <c r="FP33" s="390" t="str">
        <f>IF(AND(FP$12&gt;=$E33,FP$12&lt;=$F33,MOD(FP$12,7)&gt;1,NOT(COUNTIF(General!$U$13:$U$19,FP$12))),$I33,"")</f>
        <v/>
      </c>
      <c r="FQ33" s="390" t="str">
        <f>IF(AND(FQ$12&gt;=$E33,FQ$12&lt;=$F33,MOD(FQ$12,7)&gt;1,NOT(COUNTIF(General!$U$13:$U$19,FQ$12))),$I33,"")</f>
        <v/>
      </c>
      <c r="FR33" s="390" t="str">
        <f>IF(AND(FR$12&gt;=$E33,FR$12&lt;=$F33,MOD(FR$12,7)&gt;1,NOT(COUNTIF(General!$U$13:$U$19,FR$12))),$I33,"")</f>
        <v/>
      </c>
      <c r="FS33" s="390" t="str">
        <f>IF(AND(FS$12&gt;=$E33,FS$12&lt;=$F33,MOD(FS$12,7)&gt;1,NOT(COUNTIF(General!$U$13:$U$19,FS$12))),$I33,"")</f>
        <v/>
      </c>
      <c r="FT33" s="390" t="str">
        <f>IF(AND(FT$12&gt;=$E33,FT$12&lt;=$F33,MOD(FT$12,7)&gt;1,NOT(COUNTIF(General!$U$13:$U$19,FT$12))),$I33,"")</f>
        <v/>
      </c>
      <c r="FU33" s="390" t="str">
        <f>IF(AND(FU$12&gt;=$E33,FU$12&lt;=$F33,MOD(FU$12,7)&gt;1,NOT(COUNTIF(General!$U$13:$U$19,FU$12))),$I33,"")</f>
        <v/>
      </c>
      <c r="FV33" s="390" t="str">
        <f>IF(AND(FV$12&gt;=$E33,FV$12&lt;=$F33,MOD(FV$12,7)&gt;1,NOT(COUNTIF(General!$U$13:$U$19,FV$12))),$I33,"")</f>
        <v/>
      </c>
      <c r="FW33" s="390" t="str">
        <f>IF(AND(FW$12&gt;=$E33,FW$12&lt;=$F33,MOD(FW$12,7)&gt;1,NOT(COUNTIF(General!$U$13:$U$19,FW$12))),$I33,"")</f>
        <v/>
      </c>
      <c r="FX33" s="390" t="str">
        <f>IF(AND(FX$12&gt;=$E33,FX$12&lt;=$F33,MOD(FX$12,7)&gt;1,NOT(COUNTIF(General!$U$13:$U$19,FX$12))),$I33,"")</f>
        <v/>
      </c>
    </row>
    <row r="34">
      <c r="A34" s="368">
        <v>389718.0</v>
      </c>
      <c r="B34" s="424" t="s">
        <v>582</v>
      </c>
      <c r="C34" s="370"/>
      <c r="D34" s="572" t="s">
        <v>439</v>
      </c>
      <c r="E34" s="372">
        <v>43812.0</v>
      </c>
      <c r="F34" s="374">
        <f>WORKDAY(E34,ROUNDUP(G34/I34,0),General!$U$13:$U$27)-1</f>
        <v>43814</v>
      </c>
      <c r="G34" s="600">
        <v>1.0</v>
      </c>
      <c r="H34" s="377"/>
      <c r="I34" s="368">
        <v>1.0</v>
      </c>
      <c r="J34" s="379"/>
      <c r="K34" s="573"/>
      <c r="L34" s="573"/>
      <c r="M34" s="574"/>
      <c r="N34" s="384"/>
      <c r="O34" s="386"/>
      <c r="P34" s="575"/>
      <c r="Q34" s="390" t="str">
        <f>IF(AND(Q$12&gt;=$E34,Q$12&lt;=$F34,MOD(Q$12,7)&gt;1,NOT(COUNTIF(General!$U$13:$U$19,Q$12))),$I34,"")</f>
        <v/>
      </c>
      <c r="R34" s="390" t="str">
        <f>IF(AND(R$12&gt;=$E34,R$12&lt;=$F34,MOD(R$12,7)&gt;1,NOT(COUNTIF(General!$U$13:$U$19,R$12))),$I34,"")</f>
        <v/>
      </c>
      <c r="S34" s="390" t="str">
        <f>IF(AND(S$12&gt;=$E34,S$12&lt;=$F34,MOD(S$12,7)&gt;1,NOT(COUNTIF(General!$U$13:$U$19,S$12))),$I34,"")</f>
        <v/>
      </c>
      <c r="T34" s="390" t="str">
        <f>IF(AND(T$12&gt;=$E34,T$12&lt;=$F34,MOD(T$12,7)&gt;1,NOT(COUNTIF(General!$U$13:$U$19,T$12))),$I34,"")</f>
        <v/>
      </c>
      <c r="U34" s="390" t="str">
        <f>IF(AND(U$12&gt;=$E34,U$12&lt;=$F34,MOD(U$12,7)&gt;1,NOT(COUNTIF(General!$U$13:$U$19,U$12))),$I34,"")</f>
        <v/>
      </c>
      <c r="V34" s="390" t="str">
        <f>IF(AND(V$12&gt;=$E34,V$12&lt;=$F34,MOD(V$12,7)&gt;1,NOT(COUNTIF(General!$U$13:$U$19,V$12))),$I34,"")</f>
        <v/>
      </c>
      <c r="W34" s="390" t="str">
        <f>IF(AND(W$12&gt;=$E34,W$12&lt;=$F34,MOD(W$12,7)&gt;1,NOT(COUNTIF(General!$U$13:$U$19,W$12))),$I34,"")</f>
        <v/>
      </c>
      <c r="X34" s="390" t="str">
        <f>IF(AND(X$12&gt;=$E34,X$12&lt;=$F34,MOD(X$12,7)&gt;1,NOT(COUNTIF(General!$U$13:$U$19,X$12))),$I34,"")</f>
        <v/>
      </c>
      <c r="Y34" s="390" t="str">
        <f>IF(AND(Y$12&gt;=$E34,Y$12&lt;=$F34,MOD(Y$12,7)&gt;1,NOT(COUNTIF(General!$U$13:$U$19,Y$12))),$I34,"")</f>
        <v/>
      </c>
      <c r="Z34" s="390" t="str">
        <f>IF(AND(Z$12&gt;=$E34,Z$12&lt;=$F34,MOD(Z$12,7)&gt;1,NOT(COUNTIF(General!$U$13:$U$19,Z$12))),$I34,"")</f>
        <v/>
      </c>
      <c r="AA34" s="390" t="str">
        <f>IF(AND(AA$12&gt;=$E34,AA$12&lt;=$F34,MOD(AA$12,7)&gt;1,NOT(COUNTIF(General!$U$13:$U$19,AA$12))),$I34,"")</f>
        <v/>
      </c>
      <c r="AB34" s="390">
        <f>IF(AND(AB$12&gt;=$E34,AB$12&lt;=$F34,MOD(AB$12,7)&gt;1,NOT(COUNTIF(General!$U$13:$U$19,AB$12))),$I34,"")</f>
        <v>1</v>
      </c>
      <c r="AC34" s="390" t="str">
        <f>IF(AND(AC$12&gt;=$E34,AC$12&lt;=$F34,MOD(AC$12,7)&gt;1,NOT(COUNTIF(General!$U$13:$U$19,AC$12))),$I34,"")</f>
        <v/>
      </c>
      <c r="AD34" s="390" t="str">
        <f>IF(AND(AD$12&gt;=$E34,AD$12&lt;=$F34,MOD(AD$12,7)&gt;1,NOT(COUNTIF(General!$U$13:$U$19,AD$12))),$I34,"")</f>
        <v/>
      </c>
      <c r="AE34" s="390" t="str">
        <f>IF(AND(AE$12&gt;=$E34,AE$12&lt;=$F34,MOD(AE$12,7)&gt;1,NOT(COUNTIF(General!$U$13:$U$19,AE$12))),$I34,"")</f>
        <v/>
      </c>
      <c r="AF34" s="390" t="str">
        <f>IF(AND(AF$12&gt;=$E34,AF$12&lt;=$F34,MOD(AF$12,7)&gt;1,NOT(COUNTIF(General!$U$13:$U$19,AF$12))),$I34,"")</f>
        <v/>
      </c>
      <c r="AG34" s="390" t="str">
        <f>IF(AND(AG$12&gt;=$E34,AG$12&lt;=$F34,MOD(AG$12,7)&gt;1,NOT(COUNTIF(General!$U$13:$U$19,AG$12))),$I34,"")</f>
        <v/>
      </c>
      <c r="AH34" s="390" t="str">
        <f>IF(AND(AH$12&gt;=$E34,AH$12&lt;=$F34,MOD(AH$12,7)&gt;1,NOT(COUNTIF(General!$U$13:$U$19,AH$12))),$I34,"")</f>
        <v/>
      </c>
      <c r="AI34" s="390" t="str">
        <f>IF(AND(AI$12&gt;=$E34,AI$12&lt;=$F34,MOD(AI$12,7)&gt;1,NOT(COUNTIF(General!$U$13:$U$19,AI$12))),$I34,"")</f>
        <v/>
      </c>
      <c r="AJ34" s="390" t="str">
        <f>IF(AND(AJ$12&gt;=$E34,AJ$12&lt;=$F34,MOD(AJ$12,7)&gt;1,NOT(COUNTIF(General!$U$13:$U$19,AJ$12))),$I34,"")</f>
        <v/>
      </c>
      <c r="AK34" s="390" t="str">
        <f>IF(AND(AK$12&gt;=$E34,AK$12&lt;=$F34,MOD(AK$12,7)&gt;1,NOT(COUNTIF(General!$U$13:$U$19,AK$12))),$I34,"")</f>
        <v/>
      </c>
      <c r="AL34" s="390" t="str">
        <f>IF(AND(AL$12&gt;=$E34,AL$12&lt;=$F34,MOD(AL$12,7)&gt;1,NOT(COUNTIF(General!$U$13:$U$19,AL$12))),$I34,"")</f>
        <v/>
      </c>
      <c r="AM34" s="390" t="str">
        <f>IF(AND(AM$12&gt;=$E34,AM$12&lt;=$F34,MOD(AM$12,7)&gt;1,NOT(COUNTIF(General!$U$13:$U$19,AM$12))),$I34,"")</f>
        <v/>
      </c>
      <c r="AN34" s="390" t="str">
        <f>IF(AND(AN$12&gt;=$E34,AN$12&lt;=$F34,MOD(AN$12,7)&gt;1,NOT(COUNTIF(General!$U$13:$U$19,AN$12))),$I34,"")</f>
        <v/>
      </c>
      <c r="AO34" s="390" t="str">
        <f>IF(AND(AO$12&gt;=$E34,AO$12&lt;=$F34,MOD(AO$12,7)&gt;1,NOT(COUNTIF(General!$U$13:$U$19,AO$12))),$I34,"")</f>
        <v/>
      </c>
      <c r="AP34" s="390" t="str">
        <f>IF(AND(AP$12&gt;=$E34,AP$12&lt;=$F34,MOD(AP$12,7)&gt;1,NOT(COUNTIF(General!$U$13:$U$19,AP$12))),$I34,"")</f>
        <v/>
      </c>
      <c r="AQ34" s="390" t="str">
        <f>IF(AND(AQ$12&gt;=$E34,AQ$12&lt;=$F34,MOD(AQ$12,7)&gt;1,NOT(COUNTIF(General!$U$13:$U$19,AQ$12))),$I34,"")</f>
        <v/>
      </c>
      <c r="AR34" s="390" t="str">
        <f>IF(AND(AR$12&gt;=$E34,AR$12&lt;=$F34,MOD(AR$12,7)&gt;1,NOT(COUNTIF(General!$U$13:$U$19,AR$12))),$I34,"")</f>
        <v/>
      </c>
      <c r="AS34" s="390" t="str">
        <f>IF(AND(AS$12&gt;=$E34,AS$12&lt;=$F34,MOD(AS$12,7)&gt;1,NOT(COUNTIF(General!$U$13:$U$19,AS$12))),$I34,"")</f>
        <v/>
      </c>
      <c r="AT34" s="390" t="str">
        <f>IF(AND(AT$12&gt;=$E34,AT$12&lt;=$F34,MOD(AT$12,7)&gt;1,NOT(COUNTIF(General!$U$13:$U$19,AT$12))),$I34,"")</f>
        <v/>
      </c>
      <c r="AU34" s="390" t="str">
        <f>IF(AND(AU$12&gt;=$E34,AU$12&lt;=$F34,MOD(AU$12,7)&gt;1,NOT(COUNTIF(General!$U$13:$U$19,AU$12))),$I34,"")</f>
        <v/>
      </c>
      <c r="AV34" s="390" t="str">
        <f>IF(AND(AV$12&gt;=$E34,AV$12&lt;=$F34,MOD(AV$12,7)&gt;1,NOT(COUNTIF(General!$U$13:$U$19,AV$12))),$I34,"")</f>
        <v/>
      </c>
      <c r="AW34" s="390" t="str">
        <f>IF(AND(AW$12&gt;=$E34,AW$12&lt;=$F34,MOD(AW$12,7)&gt;1,NOT(COUNTIF(General!$U$13:$U$19,AW$12))),$I34,"")</f>
        <v/>
      </c>
      <c r="AX34" s="390" t="str">
        <f>IF(AND(AX$12&gt;=$E34,AX$12&lt;=$F34,MOD(AX$12,7)&gt;1,NOT(COUNTIF(General!$U$13:$U$19,AX$12))),$I34,"")</f>
        <v/>
      </c>
      <c r="AY34" s="390" t="str">
        <f>IF(AND(AY$12&gt;=$E34,AY$12&lt;=$F34,MOD(AY$12,7)&gt;1,NOT(COUNTIF(General!$U$13:$U$19,AY$12))),$I34,"")</f>
        <v/>
      </c>
      <c r="AZ34" s="390" t="str">
        <f>IF(AND(AZ$12&gt;=$E34,AZ$12&lt;=$F34,MOD(AZ$12,7)&gt;1,NOT(COUNTIF(General!$U$13:$U$19,AZ$12))),$I34,"")</f>
        <v/>
      </c>
      <c r="BA34" s="390" t="str">
        <f>IF(AND(BA$12&gt;=$E34,BA$12&lt;=$F34,MOD(BA$12,7)&gt;1,NOT(COUNTIF(General!$U$13:$U$19,BA$12))),$I34,"")</f>
        <v/>
      </c>
      <c r="BB34" s="390" t="str">
        <f>IF(AND(BB$12&gt;=$E34,BB$12&lt;=$F34,MOD(BB$12,7)&gt;1,NOT(COUNTIF(General!$U$13:$U$19,BB$12))),$I34,"")</f>
        <v/>
      </c>
      <c r="BC34" s="390" t="str">
        <f>IF(AND(BC$12&gt;=$E34,BC$12&lt;=$F34,MOD(BC$12,7)&gt;1,NOT(COUNTIF(General!$U$13:$U$19,BC$12))),$I34,"")</f>
        <v/>
      </c>
      <c r="BD34" s="390" t="str">
        <f>IF(AND(BD$12&gt;=$E34,BD$12&lt;=$F34,MOD(BD$12,7)&gt;1,NOT(COUNTIF(General!$U$13:$U$19,BD$12))),$I34,"")</f>
        <v/>
      </c>
      <c r="BE34" s="390" t="str">
        <f>IF(AND(BE$12&gt;=$E34,BE$12&lt;=$F34,MOD(BE$12,7)&gt;1,NOT(COUNTIF(General!$U$13:$U$19,BE$12))),$I34,"")</f>
        <v/>
      </c>
      <c r="BF34" s="390" t="str">
        <f>IF(AND(BF$12&gt;=$E34,BF$12&lt;=$F34,MOD(BF$12,7)&gt;1,NOT(COUNTIF(General!$U$13:$U$19,BF$12))),$I34,"")</f>
        <v/>
      </c>
      <c r="BG34" s="390" t="str">
        <f>IF(AND(BG$12&gt;=$E34,BG$12&lt;=$F34,MOD(BG$12,7)&gt;1,NOT(COUNTIF(General!$U$13:$U$19,BG$12))),$I34,"")</f>
        <v/>
      </c>
      <c r="BH34" s="390" t="str">
        <f>IF(AND(BH$12&gt;=$E34,BH$12&lt;=$F34,MOD(BH$12,7)&gt;1,NOT(COUNTIF(General!$U$13:$U$19,BH$12))),$I34,"")</f>
        <v/>
      </c>
      <c r="BI34" s="390" t="str">
        <f>IF(AND(BI$12&gt;=$E34,BI$12&lt;=$F34,MOD(BI$12,7)&gt;1,NOT(COUNTIF(General!$U$13:$U$19,BI$12))),$I34,"")</f>
        <v/>
      </c>
      <c r="BJ34" s="390" t="str">
        <f>IF(AND(BJ$12&gt;=$E34,BJ$12&lt;=$F34,MOD(BJ$12,7)&gt;1,NOT(COUNTIF(General!$U$13:$U$19,BJ$12))),$I34,"")</f>
        <v/>
      </c>
      <c r="BK34" s="390" t="str">
        <f>IF(AND(BK$12&gt;=$E34,BK$12&lt;=$F34,MOD(BK$12,7)&gt;1,NOT(COUNTIF(General!$U$13:$U$19,BK$12))),$I34,"")</f>
        <v/>
      </c>
      <c r="BL34" s="390" t="str">
        <f>IF(AND(BL$12&gt;=$E34,BL$12&lt;=$F34,MOD(BL$12,7)&gt;1,NOT(COUNTIF(General!$U$13:$U$19,BL$12))),$I34,"")</f>
        <v/>
      </c>
      <c r="BM34" s="390" t="str">
        <f>IF(AND(BM$12&gt;=$E34,BM$12&lt;=$F34,MOD(BM$12,7)&gt;1,NOT(COUNTIF(General!$U$13:$U$19,BM$12))),$I34,"")</f>
        <v/>
      </c>
      <c r="BN34" s="390" t="str">
        <f>IF(AND(BN$12&gt;=$E34,BN$12&lt;=$F34,MOD(BN$12,7)&gt;1,NOT(COUNTIF(General!$U$13:$U$19,BN$12))),$I34,"")</f>
        <v/>
      </c>
      <c r="BO34" s="390" t="str">
        <f>IF(AND(BO$12&gt;=$E34,BO$12&lt;=$F34,MOD(BO$12,7)&gt;1,NOT(COUNTIF(General!$U$13:$U$19,BO$12))),$I34,"")</f>
        <v/>
      </c>
      <c r="BP34" s="390" t="str">
        <f>IF(AND(BP$12&gt;=$E34,BP$12&lt;=$F34,MOD(BP$12,7)&gt;1,NOT(COUNTIF(General!$U$13:$U$19,BP$12))),$I34,"")</f>
        <v/>
      </c>
      <c r="BQ34" s="390" t="str">
        <f>IF(AND(BQ$12&gt;=$E34,BQ$12&lt;=$F34,MOD(BQ$12,7)&gt;1,NOT(COUNTIF(General!$U$13:$U$19,BQ$12))),$I34,"")</f>
        <v/>
      </c>
      <c r="BR34" s="390" t="str">
        <f>IF(AND(BR$12&gt;=$E34,BR$12&lt;=$F34,MOD(BR$12,7)&gt;1,NOT(COUNTIF(General!$U$13:$U$19,BR$12))),$I34,"")</f>
        <v/>
      </c>
      <c r="BS34" s="390" t="str">
        <f>IF(AND(BS$12&gt;=$E34,BS$12&lt;=$F34,MOD(BS$12,7)&gt;1,NOT(COUNTIF(General!$U$13:$U$19,BS$12))),$I34,"")</f>
        <v/>
      </c>
      <c r="BT34" s="390" t="str">
        <f>IF(AND(BT$12&gt;=$E34,BT$12&lt;=$F34,MOD(BT$12,7)&gt;1,NOT(COUNTIF(General!$U$13:$U$19,BT$12))),$I34,"")</f>
        <v/>
      </c>
      <c r="BU34" s="390" t="str">
        <f>IF(AND(BU$12&gt;=$E34,BU$12&lt;=$F34,MOD(BU$12,7)&gt;1,NOT(COUNTIF(General!$U$13:$U$19,BU$12))),$I34,"")</f>
        <v/>
      </c>
      <c r="BV34" s="390" t="str">
        <f>IF(AND(BV$12&gt;=$E34,BV$12&lt;=$F34,MOD(BV$12,7)&gt;1,NOT(COUNTIF(General!$U$13:$U$19,BV$12))),$I34,"")</f>
        <v/>
      </c>
      <c r="BW34" s="390" t="str">
        <f>IF(AND(BW$12&gt;=$E34,BW$12&lt;=$F34,MOD(BW$12,7)&gt;1,NOT(COUNTIF(General!$U$13:$U$19,BW$12))),$I34,"")</f>
        <v/>
      </c>
      <c r="BX34" s="390" t="str">
        <f>IF(AND(BX$12&gt;=$E34,BX$12&lt;=$F34,MOD(BX$12,7)&gt;1,NOT(COUNTIF(General!$U$13:$U$19,BX$12))),$I34,"")</f>
        <v/>
      </c>
      <c r="BY34" s="390" t="str">
        <f>IF(AND(BY$12&gt;=$E34,BY$12&lt;=$F34,MOD(BY$12,7)&gt;1,NOT(COUNTIF(General!$U$13:$U$19,BY$12))),$I34,"")</f>
        <v/>
      </c>
      <c r="BZ34" s="390" t="str">
        <f>IF(AND(BZ$12&gt;=$E34,BZ$12&lt;=$F34,MOD(BZ$12,7)&gt;1,NOT(COUNTIF(General!$U$13:$U$19,BZ$12))),$I34,"")</f>
        <v/>
      </c>
      <c r="CA34" s="390" t="str">
        <f>IF(AND(CA$12&gt;=$E34,CA$12&lt;=$F34,MOD(CA$12,7)&gt;1,NOT(COUNTIF(General!$U$13:$U$19,CA$12))),$I34,"")</f>
        <v/>
      </c>
      <c r="CB34" s="390" t="str">
        <f>IF(AND(CB$12&gt;=$E34,CB$12&lt;=$F34,MOD(CB$12,7)&gt;1,NOT(COUNTIF(General!$U$13:$U$19,CB$12))),$I34,"")</f>
        <v/>
      </c>
      <c r="CC34" s="390" t="str">
        <f>IF(AND(CC$12&gt;=$E34,CC$12&lt;=$F34,MOD(CC$12,7)&gt;1,NOT(COUNTIF(General!$U$13:$U$19,CC$12))),$I34,"")</f>
        <v/>
      </c>
      <c r="CD34" s="390" t="str">
        <f>IF(AND(CD$12&gt;=$E34,CD$12&lt;=$F34,MOD(CD$12,7)&gt;1,NOT(COUNTIF(General!$U$13:$U$19,CD$12))),$I34,"")</f>
        <v/>
      </c>
      <c r="CE34" s="390" t="str">
        <f>IF(AND(CE$12&gt;=$E34,CE$12&lt;=$F34,MOD(CE$12,7)&gt;1,NOT(COUNTIF(General!$U$13:$U$19,CE$12))),$I34,"")</f>
        <v/>
      </c>
      <c r="CF34" s="390" t="str">
        <f>IF(AND(CF$12&gt;=$E34,CF$12&lt;=$F34,MOD(CF$12,7)&gt;1,NOT(COUNTIF(General!$U$13:$U$19,CF$12))),$I34,"")</f>
        <v/>
      </c>
      <c r="CG34" s="390" t="str">
        <f>IF(AND(CG$12&gt;=$E34,CG$12&lt;=$F34,MOD(CG$12,7)&gt;1,NOT(COUNTIF(General!$U$13:$U$19,CG$12))),$I34,"")</f>
        <v/>
      </c>
      <c r="CH34" s="390" t="str">
        <f>IF(AND(CH$12&gt;=$E34,CH$12&lt;=$F34,MOD(CH$12,7)&gt;1,NOT(COUNTIF(General!$U$13:$U$19,CH$12))),$I34,"")</f>
        <v/>
      </c>
      <c r="CI34" s="390" t="str">
        <f>IF(AND(CI$12&gt;=$E34,CI$12&lt;=$F34,MOD(CI$12,7)&gt;1,NOT(COUNTIF(General!$U$13:$U$19,CI$12))),$I34,"")</f>
        <v/>
      </c>
      <c r="CJ34" s="390" t="str">
        <f>IF(AND(CJ$12&gt;=$E34,CJ$12&lt;=$F34,MOD(CJ$12,7)&gt;1,NOT(COUNTIF(General!$U$13:$U$19,CJ$12))),$I34,"")</f>
        <v/>
      </c>
      <c r="CK34" s="390" t="str">
        <f>IF(AND(CK$12&gt;=$E34,CK$12&lt;=$F34,MOD(CK$12,7)&gt;1,NOT(COUNTIF(General!$U$13:$U$19,CK$12))),$I34,"")</f>
        <v/>
      </c>
      <c r="CL34" s="390" t="str">
        <f>IF(AND(CL$12&gt;=$E34,CL$12&lt;=$F34,MOD(CL$12,7)&gt;1,NOT(COUNTIF(General!$U$13:$U$19,CL$12))),$I34,"")</f>
        <v/>
      </c>
      <c r="CM34" s="390" t="str">
        <f>IF(AND(CM$12&gt;=$E34,CM$12&lt;=$F34,MOD(CM$12,7)&gt;1,NOT(COUNTIF(General!$U$13:$U$19,CM$12))),$I34,"")</f>
        <v/>
      </c>
      <c r="CN34" s="390" t="str">
        <f>IF(AND(CN$12&gt;=$E34,CN$12&lt;=$F34,MOD(CN$12,7)&gt;1,NOT(COUNTIF(General!$U$13:$U$19,CN$12))),$I34,"")</f>
        <v/>
      </c>
      <c r="CO34" s="390" t="str">
        <f>IF(AND(CO$12&gt;=$E34,CO$12&lt;=$F34,MOD(CO$12,7)&gt;1,NOT(COUNTIF(General!$U$13:$U$19,CO$12))),$I34,"")</f>
        <v/>
      </c>
      <c r="CP34" s="390" t="str">
        <f>IF(AND(CP$12&gt;=$E34,CP$12&lt;=$F34,MOD(CP$12,7)&gt;1,NOT(COUNTIF(General!$U$13:$U$19,CP$12))),$I34,"")</f>
        <v/>
      </c>
      <c r="CQ34" s="390" t="str">
        <f>IF(AND(CQ$12&gt;=$E34,CQ$12&lt;=$F34,MOD(CQ$12,7)&gt;1,NOT(COUNTIF(General!$U$13:$U$19,CQ$12))),$I34,"")</f>
        <v/>
      </c>
      <c r="CR34" s="390" t="str">
        <f>IF(AND(CR$12&gt;=$E34,CR$12&lt;=$F34,MOD(CR$12,7)&gt;1,NOT(COUNTIF(General!$U$13:$U$19,CR$12))),$I34,"")</f>
        <v/>
      </c>
      <c r="CS34" s="390" t="str">
        <f>IF(AND(CS$12&gt;=$E34,CS$12&lt;=$F34,MOD(CS$12,7)&gt;1,NOT(COUNTIF(General!$U$13:$U$19,CS$12))),$I34,"")</f>
        <v/>
      </c>
      <c r="CT34" s="390" t="str">
        <f>IF(AND(CT$12&gt;=$E34,CT$12&lt;=$F34,MOD(CT$12,7)&gt;1,NOT(COUNTIF(General!$U$13:$U$19,CT$12))),$I34,"")</f>
        <v/>
      </c>
      <c r="CU34" s="390" t="str">
        <f>IF(AND(CU$12&gt;=$E34,CU$12&lt;=$F34,MOD(CU$12,7)&gt;1,NOT(COUNTIF(General!$U$13:$U$19,CU$12))),$I34,"")</f>
        <v/>
      </c>
      <c r="CV34" s="390" t="str">
        <f>IF(AND(CV$12&gt;=$E34,CV$12&lt;=$F34,MOD(CV$12,7)&gt;1,NOT(COUNTIF(General!$U$13:$U$19,CV$12))),$I34,"")</f>
        <v/>
      </c>
      <c r="CW34" s="390" t="str">
        <f>IF(AND(CW$12&gt;=$E34,CW$12&lt;=$F34,MOD(CW$12,7)&gt;1,NOT(COUNTIF(General!$U$13:$U$19,CW$12))),$I34,"")</f>
        <v/>
      </c>
      <c r="CX34" s="390" t="str">
        <f>IF(AND(CX$12&gt;=$E34,CX$12&lt;=$F34,MOD(CX$12,7)&gt;1,NOT(COUNTIF(General!$U$13:$U$19,CX$12))),$I34,"")</f>
        <v/>
      </c>
      <c r="CY34" s="390" t="str">
        <f>IF(AND(CY$12&gt;=$E34,CY$12&lt;=$F34,MOD(CY$12,7)&gt;1,NOT(COUNTIF(General!$U$13:$U$19,CY$12))),$I34,"")</f>
        <v/>
      </c>
      <c r="CZ34" s="390" t="str">
        <f>IF(AND(CZ$12&gt;=$E34,CZ$12&lt;=$F34,MOD(CZ$12,7)&gt;1,NOT(COUNTIF(General!$U$13:$U$19,CZ$12))),$I34,"")</f>
        <v/>
      </c>
      <c r="DA34" s="390" t="str">
        <f>IF(AND(DA$12&gt;=$E34,DA$12&lt;=$F34,MOD(DA$12,7)&gt;1,NOT(COUNTIF(General!$U$13:$U$19,DA$12))),$I34,"")</f>
        <v/>
      </c>
      <c r="DB34" s="390" t="str">
        <f>IF(AND(DB$12&gt;=$E34,DB$12&lt;=$F34,MOD(DB$12,7)&gt;1,NOT(COUNTIF(General!$U$13:$U$19,DB$12))),$I34,"")</f>
        <v/>
      </c>
      <c r="DC34" s="390" t="str">
        <f>IF(AND(DC$12&gt;=$E34,DC$12&lt;=$F34,MOD(DC$12,7)&gt;1,NOT(COUNTIF(General!$U$13:$U$19,DC$12))),$I34,"")</f>
        <v/>
      </c>
      <c r="DD34" s="390" t="str">
        <f>IF(AND(DD$12&gt;=$E34,DD$12&lt;=$F34,MOD(DD$12,7)&gt;1,NOT(COUNTIF(General!$U$13:$U$19,DD$12))),$I34,"")</f>
        <v/>
      </c>
      <c r="DE34" s="390" t="str">
        <f>IF(AND(DE$12&gt;=$E34,DE$12&lt;=$F34,MOD(DE$12,7)&gt;1,NOT(COUNTIF(General!$U$13:$U$19,DE$12))),$I34,"")</f>
        <v/>
      </c>
      <c r="DF34" s="390" t="str">
        <f>IF(AND(DF$12&gt;=$E34,DF$12&lt;=$F34,MOD(DF$12,7)&gt;1,NOT(COUNTIF(General!$U$13:$U$19,DF$12))),$I34,"")</f>
        <v/>
      </c>
      <c r="DG34" s="390" t="str">
        <f>IF(AND(DG$12&gt;=$E34,DG$12&lt;=$F34,MOD(DG$12,7)&gt;1,NOT(COUNTIF(General!$U$13:$U$19,DG$12))),$I34,"")</f>
        <v/>
      </c>
      <c r="DH34" s="390" t="str">
        <f>IF(AND(DH$12&gt;=$E34,DH$12&lt;=$F34,MOD(DH$12,7)&gt;1,NOT(COUNTIF(General!$U$13:$U$19,DH$12))),$I34,"")</f>
        <v/>
      </c>
      <c r="DI34" s="390" t="str">
        <f>IF(AND(DI$12&gt;=$E34,DI$12&lt;=$F34,MOD(DI$12,7)&gt;1,NOT(COUNTIF(General!$U$13:$U$19,DI$12))),$I34,"")</f>
        <v/>
      </c>
      <c r="DJ34" s="390" t="str">
        <f>IF(AND(DJ$12&gt;=$E34,DJ$12&lt;=$F34,MOD(DJ$12,7)&gt;1,NOT(COUNTIF(General!$U$13:$U$19,DJ$12))),$I34,"")</f>
        <v/>
      </c>
      <c r="DK34" s="390" t="str">
        <f>IF(AND(DK$12&gt;=$E34,DK$12&lt;=$F34,MOD(DK$12,7)&gt;1,NOT(COUNTIF(General!$U$13:$U$19,DK$12))),$I34,"")</f>
        <v/>
      </c>
      <c r="DL34" s="390" t="str">
        <f>IF(AND(DL$12&gt;=$E34,DL$12&lt;=$F34,MOD(DL$12,7)&gt;1,NOT(COUNTIF(General!$U$13:$U$19,DL$12))),$I34,"")</f>
        <v/>
      </c>
      <c r="DM34" s="390" t="str">
        <f>IF(AND(DM$12&gt;=$E34,DM$12&lt;=$F34,MOD(DM$12,7)&gt;1,NOT(COUNTIF(General!$U$13:$U$19,DM$12))),$I34,"")</f>
        <v/>
      </c>
      <c r="DN34" s="390" t="str">
        <f>IF(AND(DN$12&gt;=$E34,DN$12&lt;=$F34,MOD(DN$12,7)&gt;1,NOT(COUNTIF(General!$U$13:$U$19,DN$12))),$I34,"")</f>
        <v/>
      </c>
      <c r="DO34" s="390" t="str">
        <f>IF(AND(DO$12&gt;=$E34,DO$12&lt;=$F34,MOD(DO$12,7)&gt;1,NOT(COUNTIF(General!$U$13:$U$19,DO$12))),$I34,"")</f>
        <v/>
      </c>
      <c r="DP34" s="390" t="str">
        <f>IF(AND(DP$12&gt;=$E34,DP$12&lt;=$F34,MOD(DP$12,7)&gt;1,NOT(COUNTIF(General!$U$13:$U$19,DP$12))),$I34,"")</f>
        <v/>
      </c>
      <c r="DQ34" s="390" t="str">
        <f>IF(AND(DQ$12&gt;=$E34,DQ$12&lt;=$F34,MOD(DQ$12,7)&gt;1,NOT(COUNTIF(General!$U$13:$U$19,DQ$12))),$I34,"")</f>
        <v/>
      </c>
      <c r="DR34" s="390" t="str">
        <f>IF(AND(DR$12&gt;=$E34,DR$12&lt;=$F34,MOD(DR$12,7)&gt;1,NOT(COUNTIF(General!$U$13:$U$19,DR$12))),$I34,"")</f>
        <v/>
      </c>
      <c r="DS34" s="390" t="str">
        <f>IF(AND(DS$12&gt;=$E34,DS$12&lt;=$F34,MOD(DS$12,7)&gt;1,NOT(COUNTIF(General!$U$13:$U$19,DS$12))),$I34,"")</f>
        <v/>
      </c>
      <c r="DT34" s="390" t="str">
        <f>IF(AND(DT$12&gt;=$E34,DT$12&lt;=$F34,MOD(DT$12,7)&gt;1,NOT(COUNTIF(General!$U$13:$U$19,DT$12))),$I34,"")</f>
        <v/>
      </c>
      <c r="DU34" s="390" t="str">
        <f>IF(AND(DU$12&gt;=$E34,DU$12&lt;=$F34,MOD(DU$12,7)&gt;1,NOT(COUNTIF(General!$U$13:$U$19,DU$12))),$I34,"")</f>
        <v/>
      </c>
      <c r="DV34" s="390" t="str">
        <f>IF(AND(DV$12&gt;=$E34,DV$12&lt;=$F34,MOD(DV$12,7)&gt;1,NOT(COUNTIF(General!$U$13:$U$19,DV$12))),$I34,"")</f>
        <v/>
      </c>
      <c r="DW34" s="390" t="str">
        <f>IF(AND(DW$12&gt;=$E34,DW$12&lt;=$F34,MOD(DW$12,7)&gt;1,NOT(COUNTIF(General!$U$13:$U$19,DW$12))),$I34,"")</f>
        <v/>
      </c>
      <c r="DX34" s="390" t="str">
        <f>IF(AND(DX$12&gt;=$E34,DX$12&lt;=$F34,MOD(DX$12,7)&gt;1,NOT(COUNTIF(General!$U$13:$U$19,DX$12))),$I34,"")</f>
        <v/>
      </c>
      <c r="DY34" s="390" t="str">
        <f>IF(AND(DY$12&gt;=$E34,DY$12&lt;=$F34,MOD(DY$12,7)&gt;1,NOT(COUNTIF(General!$U$13:$U$19,DY$12))),$I34,"")</f>
        <v/>
      </c>
      <c r="DZ34" s="390" t="str">
        <f>IF(AND(DZ$12&gt;=$E34,DZ$12&lt;=$F34,MOD(DZ$12,7)&gt;1,NOT(COUNTIF(General!$U$13:$U$19,DZ$12))),$I34,"")</f>
        <v/>
      </c>
      <c r="EA34" s="390" t="str">
        <f>IF(AND(EA$12&gt;=$E34,EA$12&lt;=$F34,MOD(EA$12,7)&gt;1,NOT(COUNTIF(General!$U$13:$U$19,EA$12))),$I34,"")</f>
        <v/>
      </c>
      <c r="EB34" s="390" t="str">
        <f>IF(AND(EB$12&gt;=$E34,EB$12&lt;=$F34,MOD(EB$12,7)&gt;1,NOT(COUNTIF(General!$U$13:$U$19,EB$12))),$I34,"")</f>
        <v/>
      </c>
      <c r="EC34" s="390" t="str">
        <f>IF(AND(EC$12&gt;=$E34,EC$12&lt;=$F34,MOD(EC$12,7)&gt;1,NOT(COUNTIF(General!$U$13:$U$19,EC$12))),$I34,"")</f>
        <v/>
      </c>
      <c r="ED34" s="390" t="str">
        <f>IF(AND(ED$12&gt;=$E34,ED$12&lt;=$F34,MOD(ED$12,7)&gt;1,NOT(COUNTIF(General!$U$13:$U$19,ED$12))),$I34,"")</f>
        <v/>
      </c>
      <c r="EE34" s="390" t="str">
        <f>IF(AND(EE$12&gt;=$E34,EE$12&lt;=$F34,MOD(EE$12,7)&gt;1,NOT(COUNTIF(General!$U$13:$U$19,EE$12))),$I34,"")</f>
        <v/>
      </c>
      <c r="EF34" s="390" t="str">
        <f>IF(AND(EF$12&gt;=$E34,EF$12&lt;=$F34,MOD(EF$12,7)&gt;1,NOT(COUNTIF(General!$U$13:$U$19,EF$12))),$I34,"")</f>
        <v/>
      </c>
      <c r="EG34" s="390" t="str">
        <f>IF(AND(EG$12&gt;=$E34,EG$12&lt;=$F34,MOD(EG$12,7)&gt;1,NOT(COUNTIF(General!$U$13:$U$19,EG$12))),$I34,"")</f>
        <v/>
      </c>
      <c r="EH34" s="390" t="str">
        <f>IF(AND(EH$12&gt;=$E34,EH$12&lt;=$F34,MOD(EH$12,7)&gt;1,NOT(COUNTIF(General!$U$13:$U$19,EH$12))),$I34,"")</f>
        <v/>
      </c>
      <c r="EI34" s="390" t="str">
        <f>IF(AND(EI$12&gt;=$E34,EI$12&lt;=$F34,MOD(EI$12,7)&gt;1,NOT(COUNTIF(General!$U$13:$U$19,EI$12))),$I34,"")</f>
        <v/>
      </c>
      <c r="EJ34" s="390" t="str">
        <f>IF(AND(EJ$12&gt;=$E34,EJ$12&lt;=$F34,MOD(EJ$12,7)&gt;1,NOT(COUNTIF(General!$U$13:$U$19,EJ$12))),$I34,"")</f>
        <v/>
      </c>
      <c r="EK34" s="390" t="str">
        <f>IF(AND(EK$12&gt;=$E34,EK$12&lt;=$F34,MOD(EK$12,7)&gt;1,NOT(COUNTIF(General!$U$13:$U$19,EK$12))),$I34,"")</f>
        <v/>
      </c>
      <c r="EL34" s="390" t="str">
        <f>IF(AND(EL$12&gt;=$E34,EL$12&lt;=$F34,MOD(EL$12,7)&gt;1,NOT(COUNTIF(General!$U$13:$U$19,EL$12))),$I34,"")</f>
        <v/>
      </c>
      <c r="EM34" s="390" t="str">
        <f>IF(AND(EM$12&gt;=$E34,EM$12&lt;=$F34,MOD(EM$12,7)&gt;1,NOT(COUNTIF(General!$U$13:$U$19,EM$12))),$I34,"")</f>
        <v/>
      </c>
      <c r="EN34" s="390" t="str">
        <f>IF(AND(EN$12&gt;=$E34,EN$12&lt;=$F34,MOD(EN$12,7)&gt;1,NOT(COUNTIF(General!$U$13:$U$19,EN$12))),$I34,"")</f>
        <v/>
      </c>
      <c r="EO34" s="390" t="str">
        <f>IF(AND(EO$12&gt;=$E34,EO$12&lt;=$F34,MOD(EO$12,7)&gt;1,NOT(COUNTIF(General!$U$13:$U$19,EO$12))),$I34,"")</f>
        <v/>
      </c>
      <c r="EP34" s="390" t="str">
        <f>IF(AND(EP$12&gt;=$E34,EP$12&lt;=$F34,MOD(EP$12,7)&gt;1,NOT(COUNTIF(General!$U$13:$U$19,EP$12))),$I34,"")</f>
        <v/>
      </c>
      <c r="EQ34" s="390" t="str">
        <f>IF(AND(EQ$12&gt;=$E34,EQ$12&lt;=$F34,MOD(EQ$12,7)&gt;1,NOT(COUNTIF(General!$U$13:$U$19,EQ$12))),$I34,"")</f>
        <v/>
      </c>
      <c r="ER34" s="390" t="str">
        <f>IF(AND(ER$12&gt;=$E34,ER$12&lt;=$F34,MOD(ER$12,7)&gt;1,NOT(COUNTIF(General!$U$13:$U$19,ER$12))),$I34,"")</f>
        <v/>
      </c>
      <c r="ES34" s="390" t="str">
        <f>IF(AND(ES$12&gt;=$E34,ES$12&lt;=$F34,MOD(ES$12,7)&gt;1,NOT(COUNTIF(General!$U$13:$U$19,ES$12))),$I34,"")</f>
        <v/>
      </c>
      <c r="ET34" s="390" t="str">
        <f>IF(AND(ET$12&gt;=$E34,ET$12&lt;=$F34,MOD(ET$12,7)&gt;1,NOT(COUNTIF(General!$U$13:$U$19,ET$12))),$I34,"")</f>
        <v/>
      </c>
      <c r="EU34" s="390" t="str">
        <f>IF(AND(EU$12&gt;=$E34,EU$12&lt;=$F34,MOD(EU$12,7)&gt;1,NOT(COUNTIF(General!$U$13:$U$19,EU$12))),$I34,"")</f>
        <v/>
      </c>
      <c r="EV34" s="390" t="str">
        <f>IF(AND(EV$12&gt;=$E34,EV$12&lt;=$F34,MOD(EV$12,7)&gt;1,NOT(COUNTIF(General!$U$13:$U$19,EV$12))),$I34,"")</f>
        <v/>
      </c>
      <c r="EW34" s="390" t="str">
        <f>IF(AND(EW$12&gt;=$E34,EW$12&lt;=$F34,MOD(EW$12,7)&gt;1,NOT(COUNTIF(General!$U$13:$U$19,EW$12))),$I34,"")</f>
        <v/>
      </c>
      <c r="EX34" s="390" t="str">
        <f>IF(AND(EX$12&gt;=$E34,EX$12&lt;=$F34,MOD(EX$12,7)&gt;1,NOT(COUNTIF(General!$U$13:$U$19,EX$12))),$I34,"")</f>
        <v/>
      </c>
      <c r="EY34" s="390" t="str">
        <f>IF(AND(EY$12&gt;=$E34,EY$12&lt;=$F34,MOD(EY$12,7)&gt;1,NOT(COUNTIF(General!$U$13:$U$19,EY$12))),$I34,"")</f>
        <v/>
      </c>
      <c r="EZ34" s="390" t="str">
        <f>IF(AND(EZ$12&gt;=$E34,EZ$12&lt;=$F34,MOD(EZ$12,7)&gt;1,NOT(COUNTIF(General!$U$13:$U$19,EZ$12))),$I34,"")</f>
        <v/>
      </c>
      <c r="FA34" s="390" t="str">
        <f>IF(AND(FA$12&gt;=$E34,FA$12&lt;=$F34,MOD(FA$12,7)&gt;1,NOT(COUNTIF(General!$U$13:$U$19,FA$12))),$I34,"")</f>
        <v/>
      </c>
      <c r="FB34" s="390" t="str">
        <f>IF(AND(FB$12&gt;=$E34,FB$12&lt;=$F34,MOD(FB$12,7)&gt;1,NOT(COUNTIF(General!$U$13:$U$19,FB$12))),$I34,"")</f>
        <v/>
      </c>
      <c r="FC34" s="390" t="str">
        <f>IF(AND(FC$12&gt;=$E34,FC$12&lt;=$F34,MOD(FC$12,7)&gt;1,NOT(COUNTIF(General!$U$13:$U$19,FC$12))),$I34,"")</f>
        <v/>
      </c>
      <c r="FD34" s="390" t="str">
        <f>IF(AND(FD$12&gt;=$E34,FD$12&lt;=$F34,MOD(FD$12,7)&gt;1,NOT(COUNTIF(General!$U$13:$U$19,FD$12))),$I34,"")</f>
        <v/>
      </c>
      <c r="FE34" s="390" t="str">
        <f>IF(AND(FE$12&gt;=$E34,FE$12&lt;=$F34,MOD(FE$12,7)&gt;1,NOT(COUNTIF(General!$U$13:$U$19,FE$12))),$I34,"")</f>
        <v/>
      </c>
      <c r="FF34" s="390" t="str">
        <f>IF(AND(FF$12&gt;=$E34,FF$12&lt;=$F34,MOD(FF$12,7)&gt;1,NOT(COUNTIF(General!$U$13:$U$19,FF$12))),$I34,"")</f>
        <v/>
      </c>
      <c r="FG34" s="390" t="str">
        <f>IF(AND(FG$12&gt;=$E34,FG$12&lt;=$F34,MOD(FG$12,7)&gt;1,NOT(COUNTIF(General!$U$13:$U$19,FG$12))),$I34,"")</f>
        <v/>
      </c>
      <c r="FH34" s="390" t="str">
        <f>IF(AND(FH$12&gt;=$E34,FH$12&lt;=$F34,MOD(FH$12,7)&gt;1,NOT(COUNTIF(General!$U$13:$U$19,FH$12))),$I34,"")</f>
        <v/>
      </c>
      <c r="FI34" s="390" t="str">
        <f>IF(AND(FI$12&gt;=$E34,FI$12&lt;=$F34,MOD(FI$12,7)&gt;1,NOT(COUNTIF(General!$U$13:$U$19,FI$12))),$I34,"")</f>
        <v/>
      </c>
      <c r="FJ34" s="390" t="str">
        <f>IF(AND(FJ$12&gt;=$E34,FJ$12&lt;=$F34,MOD(FJ$12,7)&gt;1,NOT(COUNTIF(General!$U$13:$U$19,FJ$12))),$I34,"")</f>
        <v/>
      </c>
      <c r="FK34" s="390" t="str">
        <f>IF(AND(FK$12&gt;=$E34,FK$12&lt;=$F34,MOD(FK$12,7)&gt;1,NOT(COUNTIF(General!$U$13:$U$19,FK$12))),$I34,"")</f>
        <v/>
      </c>
      <c r="FL34" s="390" t="str">
        <f>IF(AND(FL$12&gt;=$E34,FL$12&lt;=$F34,MOD(FL$12,7)&gt;1,NOT(COUNTIF(General!$U$13:$U$19,FL$12))),$I34,"")</f>
        <v/>
      </c>
      <c r="FM34" s="390" t="str">
        <f>IF(AND(FM$12&gt;=$E34,FM$12&lt;=$F34,MOD(FM$12,7)&gt;1,NOT(COUNTIF(General!$U$13:$U$19,FM$12))),$I34,"")</f>
        <v/>
      </c>
      <c r="FN34" s="390" t="str">
        <f>IF(AND(FN$12&gt;=$E34,FN$12&lt;=$F34,MOD(FN$12,7)&gt;1,NOT(COUNTIF(General!$U$13:$U$19,FN$12))),$I34,"")</f>
        <v/>
      </c>
      <c r="FO34" s="390" t="str">
        <f>IF(AND(FO$12&gt;=$E34,FO$12&lt;=$F34,MOD(FO$12,7)&gt;1,NOT(COUNTIF(General!$U$13:$U$19,FO$12))),$I34,"")</f>
        <v/>
      </c>
      <c r="FP34" s="390" t="str">
        <f>IF(AND(FP$12&gt;=$E34,FP$12&lt;=$F34,MOD(FP$12,7)&gt;1,NOT(COUNTIF(General!$U$13:$U$19,FP$12))),$I34,"")</f>
        <v/>
      </c>
      <c r="FQ34" s="390" t="str">
        <f>IF(AND(FQ$12&gt;=$E34,FQ$12&lt;=$F34,MOD(FQ$12,7)&gt;1,NOT(COUNTIF(General!$U$13:$U$19,FQ$12))),$I34,"")</f>
        <v/>
      </c>
      <c r="FR34" s="390" t="str">
        <f>IF(AND(FR$12&gt;=$E34,FR$12&lt;=$F34,MOD(FR$12,7)&gt;1,NOT(COUNTIF(General!$U$13:$U$19,FR$12))),$I34,"")</f>
        <v/>
      </c>
      <c r="FS34" s="390" t="str">
        <f>IF(AND(FS$12&gt;=$E34,FS$12&lt;=$F34,MOD(FS$12,7)&gt;1,NOT(COUNTIF(General!$U$13:$U$19,FS$12))),$I34,"")</f>
        <v/>
      </c>
      <c r="FT34" s="390" t="str">
        <f>IF(AND(FT$12&gt;=$E34,FT$12&lt;=$F34,MOD(FT$12,7)&gt;1,NOT(COUNTIF(General!$U$13:$U$19,FT$12))),$I34,"")</f>
        <v/>
      </c>
      <c r="FU34" s="390" t="str">
        <f>IF(AND(FU$12&gt;=$E34,FU$12&lt;=$F34,MOD(FU$12,7)&gt;1,NOT(COUNTIF(General!$U$13:$U$19,FU$12))),$I34,"")</f>
        <v/>
      </c>
      <c r="FV34" s="390" t="str">
        <f>IF(AND(FV$12&gt;=$E34,FV$12&lt;=$F34,MOD(FV$12,7)&gt;1,NOT(COUNTIF(General!$U$13:$U$19,FV$12))),$I34,"")</f>
        <v/>
      </c>
      <c r="FW34" s="390" t="str">
        <f>IF(AND(FW$12&gt;=$E34,FW$12&lt;=$F34,MOD(FW$12,7)&gt;1,NOT(COUNTIF(General!$U$13:$U$19,FW$12))),$I34,"")</f>
        <v/>
      </c>
      <c r="FX34" s="390" t="str">
        <f>IF(AND(FX$12&gt;=$E34,FX$12&lt;=$F34,MOD(FX$12,7)&gt;1,NOT(COUNTIF(General!$U$13:$U$19,FX$12))),$I34,"")</f>
        <v/>
      </c>
    </row>
    <row r="35" ht="16.5" customHeight="1">
      <c r="A35" s="613"/>
      <c r="B35" s="369"/>
      <c r="C35" s="370"/>
      <c r="D35" s="614" t="s">
        <v>571</v>
      </c>
      <c r="E35" s="599">
        <v>43815.0</v>
      </c>
      <c r="F35" s="374">
        <f>WORKDAY(E35,ROUNDUP(G35/I35,0),General!$U$13:$U$27)-1</f>
        <v>43815</v>
      </c>
      <c r="G35" s="542">
        <f>G34*0.4</f>
        <v>0.4</v>
      </c>
      <c r="H35" s="377"/>
      <c r="I35" s="368">
        <v>1.0</v>
      </c>
      <c r="J35" s="379"/>
      <c r="K35" s="381"/>
      <c r="L35" s="382"/>
      <c r="M35" s="383"/>
      <c r="N35" s="384"/>
      <c r="O35" s="386"/>
      <c r="P35" s="388"/>
      <c r="Q35" s="390" t="str">
        <f>IF(AND(Q$12&gt;=$E35,Q$12&lt;=$F35,MOD(Q$12,7)&gt;1,NOT(COUNTIF(General!$U$13:$U$19,Q$12))),$I35,"")</f>
        <v/>
      </c>
      <c r="R35" s="390" t="str">
        <f>IF(AND(R$12&gt;=$E35,R$12&lt;=$F35,MOD(R$12,7)&gt;1,NOT(COUNTIF(General!$U$13:$U$19,R$12))),$I35,"")</f>
        <v/>
      </c>
      <c r="S35" s="390" t="str">
        <f>IF(AND(S$12&gt;=$E35,S$12&lt;=$F35,MOD(S$12,7)&gt;1,NOT(COUNTIF(General!$U$13:$U$19,S$12))),$I35,"")</f>
        <v/>
      </c>
      <c r="T35" s="390" t="str">
        <f>IF(AND(T$12&gt;=$E35,T$12&lt;=$F35,MOD(T$12,7)&gt;1,NOT(COUNTIF(General!$U$13:$U$19,T$12))),$I35,"")</f>
        <v/>
      </c>
      <c r="U35" s="390" t="str">
        <f>IF(AND(U$12&gt;=$E35,U$12&lt;=$F35,MOD(U$12,7)&gt;1,NOT(COUNTIF(General!$U$13:$U$19,U$12))),$I35,"")</f>
        <v/>
      </c>
      <c r="V35" s="390" t="str">
        <f>IF(AND(V$12&gt;=$E35,V$12&lt;=$F35,MOD(V$12,7)&gt;1,NOT(COUNTIF(General!$U$13:$U$19,V$12))),$I35,"")</f>
        <v/>
      </c>
      <c r="W35" s="390" t="str">
        <f>IF(AND(W$12&gt;=$E35,W$12&lt;=$F35,MOD(W$12,7)&gt;1,NOT(COUNTIF(General!$U$13:$U$19,W$12))),$I35,"")</f>
        <v/>
      </c>
      <c r="X35" s="390" t="str">
        <f>IF(AND(X$12&gt;=$E35,X$12&lt;=$F35,MOD(X$12,7)&gt;1,NOT(COUNTIF(General!$U$13:$U$19,X$12))),$I35,"")</f>
        <v/>
      </c>
      <c r="Y35" s="390" t="str">
        <f>IF(AND(Y$12&gt;=$E35,Y$12&lt;=$F35,MOD(Y$12,7)&gt;1,NOT(COUNTIF(General!$U$13:$U$19,Y$12))),$I35,"")</f>
        <v/>
      </c>
      <c r="Z35" s="390" t="str">
        <f>IF(AND(Z$12&gt;=$E35,Z$12&lt;=$F35,MOD(Z$12,7)&gt;1,NOT(COUNTIF(General!$U$13:$U$19,Z$12))),$I35,"")</f>
        <v/>
      </c>
      <c r="AA35" s="390" t="str">
        <f>IF(AND(AA$12&gt;=$E35,AA$12&lt;=$F35,MOD(AA$12,7)&gt;1,NOT(COUNTIF(General!$U$13:$U$19,AA$12))),$I35,"")</f>
        <v/>
      </c>
      <c r="AB35" s="390" t="str">
        <f>IF(AND(AB$12&gt;=$E35,AB$12&lt;=$F35,MOD(AB$12,7)&gt;1,NOT(COUNTIF(General!$U$13:$U$19,AB$12))),$I35,"")</f>
        <v/>
      </c>
      <c r="AC35" s="390" t="str">
        <f>IF(AND(AC$12&gt;=$E35,AC$12&lt;=$F35,MOD(AC$12,7)&gt;1,NOT(COUNTIF(General!$U$13:$U$19,AC$12))),$I35,"")</f>
        <v/>
      </c>
      <c r="AD35" s="390" t="str">
        <f>IF(AND(AD$12&gt;=$E35,AD$12&lt;=$F35,MOD(AD$12,7)&gt;1,NOT(COUNTIF(General!$U$13:$U$19,AD$12))),$I35,"")</f>
        <v/>
      </c>
      <c r="AE35" s="390">
        <f>IF(AND(AE$12&gt;=$E35,AE$12&lt;=$F35,MOD(AE$12,7)&gt;1,NOT(COUNTIF(General!$U$13:$U$19,AE$12))),$I35,"")</f>
        <v>1</v>
      </c>
      <c r="AF35" s="390" t="str">
        <f>IF(AND(AF$12&gt;=$E35,AF$12&lt;=$F35,MOD(AF$12,7)&gt;1,NOT(COUNTIF(General!$U$13:$U$19,AF$12))),$I35,"")</f>
        <v/>
      </c>
      <c r="AG35" s="390" t="str">
        <f>IF(AND(AG$12&gt;=$E35,AG$12&lt;=$F35,MOD(AG$12,7)&gt;1,NOT(COUNTIF(General!$U$13:$U$19,AG$12))),$I35,"")</f>
        <v/>
      </c>
      <c r="AH35" s="390" t="str">
        <f>IF(AND(AH$12&gt;=$E35,AH$12&lt;=$F35,MOD(AH$12,7)&gt;1,NOT(COUNTIF(General!$U$13:$U$19,AH$12))),$I35,"")</f>
        <v/>
      </c>
      <c r="AI35" s="390" t="str">
        <f>IF(AND(AI$12&gt;=$E35,AI$12&lt;=$F35,MOD(AI$12,7)&gt;1,NOT(COUNTIF(General!$U$13:$U$19,AI$12))),$I35,"")</f>
        <v/>
      </c>
      <c r="AJ35" s="390" t="str">
        <f>IF(AND(AJ$12&gt;=$E35,AJ$12&lt;=$F35,MOD(AJ$12,7)&gt;1,NOT(COUNTIF(General!$U$13:$U$19,AJ$12))),$I35,"")</f>
        <v/>
      </c>
      <c r="AK35" s="390" t="str">
        <f>IF(AND(AK$12&gt;=$E35,AK$12&lt;=$F35,MOD(AK$12,7)&gt;1,NOT(COUNTIF(General!$U$13:$U$19,AK$12))),$I35,"")</f>
        <v/>
      </c>
      <c r="AL35" s="390" t="str">
        <f>IF(AND(AL$12&gt;=$E35,AL$12&lt;=$F35,MOD(AL$12,7)&gt;1,NOT(COUNTIF(General!$U$13:$U$19,AL$12))),$I35,"")</f>
        <v/>
      </c>
      <c r="AM35" s="390" t="str">
        <f>IF(AND(AM$12&gt;=$E35,AM$12&lt;=$F35,MOD(AM$12,7)&gt;1,NOT(COUNTIF(General!$U$13:$U$19,AM$12))),$I35,"")</f>
        <v/>
      </c>
      <c r="AN35" s="390" t="str">
        <f>IF(AND(AN$12&gt;=$E35,AN$12&lt;=$F35,MOD(AN$12,7)&gt;1,NOT(COUNTIF(General!$U$13:$U$19,AN$12))),$I35,"")</f>
        <v/>
      </c>
      <c r="AO35" s="390" t="str">
        <f>IF(AND(AO$12&gt;=$E35,AO$12&lt;=$F35,MOD(AO$12,7)&gt;1,NOT(COUNTIF(General!$U$13:$U$19,AO$12))),$I35,"")</f>
        <v/>
      </c>
      <c r="AP35" s="390" t="str">
        <f>IF(AND(AP$12&gt;=$E35,AP$12&lt;=$F35,MOD(AP$12,7)&gt;1,NOT(COUNTIF(General!$U$13:$U$19,AP$12))),$I35,"")</f>
        <v/>
      </c>
      <c r="AQ35" s="390" t="str">
        <f>IF(AND(AQ$12&gt;=$E35,AQ$12&lt;=$F35,MOD(AQ$12,7)&gt;1,NOT(COUNTIF(General!$U$13:$U$19,AQ$12))),$I35,"")</f>
        <v/>
      </c>
      <c r="AR35" s="390" t="str">
        <f>IF(AND(AR$12&gt;=$E35,AR$12&lt;=$F35,MOD(AR$12,7)&gt;1,NOT(COUNTIF(General!$U$13:$U$19,AR$12))),$I35,"")</f>
        <v/>
      </c>
      <c r="AS35" s="390" t="str">
        <f>IF(AND(AS$12&gt;=$E35,AS$12&lt;=$F35,MOD(AS$12,7)&gt;1,NOT(COUNTIF(General!$U$13:$U$19,AS$12))),$I35,"")</f>
        <v/>
      </c>
      <c r="AT35" s="390" t="str">
        <f>IF(AND(AT$12&gt;=$E35,AT$12&lt;=$F35,MOD(AT$12,7)&gt;1,NOT(COUNTIF(General!$U$13:$U$19,AT$12))),$I35,"")</f>
        <v/>
      </c>
      <c r="AU35" s="390" t="str">
        <f>IF(AND(AU$12&gt;=$E35,AU$12&lt;=$F35,MOD(AU$12,7)&gt;1,NOT(COUNTIF(General!$U$13:$U$19,AU$12))),$I35,"")</f>
        <v/>
      </c>
      <c r="AV35" s="390" t="str">
        <f>IF(AND(AV$12&gt;=$E35,AV$12&lt;=$F35,MOD(AV$12,7)&gt;1,NOT(COUNTIF(General!$U$13:$U$19,AV$12))),$I35,"")</f>
        <v/>
      </c>
      <c r="AW35" s="390" t="str">
        <f>IF(AND(AW$12&gt;=$E35,AW$12&lt;=$F35,MOD(AW$12,7)&gt;1,NOT(COUNTIF(General!$U$13:$U$19,AW$12))),$I35,"")</f>
        <v/>
      </c>
      <c r="AX35" s="390" t="str">
        <f>IF(AND(AX$12&gt;=$E35,AX$12&lt;=$F35,MOD(AX$12,7)&gt;1,NOT(COUNTIF(General!$U$13:$U$19,AX$12))),$I35,"")</f>
        <v/>
      </c>
      <c r="AY35" s="390" t="str">
        <f>IF(AND(AY$12&gt;=$E35,AY$12&lt;=$F35,MOD(AY$12,7)&gt;1,NOT(COUNTIF(General!$U$13:$U$19,AY$12))),$I35,"")</f>
        <v/>
      </c>
      <c r="AZ35" s="390" t="str">
        <f>IF(AND(AZ$12&gt;=$E35,AZ$12&lt;=$F35,MOD(AZ$12,7)&gt;1,NOT(COUNTIF(General!$U$13:$U$19,AZ$12))),$I35,"")</f>
        <v/>
      </c>
      <c r="BA35" s="390" t="str">
        <f>IF(AND(BA$12&gt;=$E35,BA$12&lt;=$F35,MOD(BA$12,7)&gt;1,NOT(COUNTIF(General!$U$13:$U$19,BA$12))),$I35,"")</f>
        <v/>
      </c>
      <c r="BB35" s="390" t="str">
        <f>IF(AND(BB$12&gt;=$E35,BB$12&lt;=$F35,MOD(BB$12,7)&gt;1,NOT(COUNTIF(General!$U$13:$U$19,BB$12))),$I35,"")</f>
        <v/>
      </c>
      <c r="BC35" s="390" t="str">
        <f>IF(AND(BC$12&gt;=$E35,BC$12&lt;=$F35,MOD(BC$12,7)&gt;1,NOT(COUNTIF(General!$U$13:$U$19,BC$12))),$I35,"")</f>
        <v/>
      </c>
      <c r="BD35" s="390" t="str">
        <f>IF(AND(BD$12&gt;=$E35,BD$12&lt;=$F35,MOD(BD$12,7)&gt;1,NOT(COUNTIF(General!$U$13:$U$19,BD$12))),$I35,"")</f>
        <v/>
      </c>
      <c r="BE35" s="390" t="str">
        <f>IF(AND(BE$12&gt;=$E35,BE$12&lt;=$F35,MOD(BE$12,7)&gt;1,NOT(COUNTIF(General!$U$13:$U$19,BE$12))),$I35,"")</f>
        <v/>
      </c>
      <c r="BF35" s="390" t="str">
        <f>IF(AND(BF$12&gt;=$E35,BF$12&lt;=$F35,MOD(BF$12,7)&gt;1,NOT(COUNTIF(General!$U$13:$U$19,BF$12))),$I35,"")</f>
        <v/>
      </c>
      <c r="BG35" s="390" t="str">
        <f>IF(AND(BG$12&gt;=$E35,BG$12&lt;=$F35,MOD(BG$12,7)&gt;1,NOT(COUNTIF(General!$U$13:$U$19,BG$12))),$I35,"")</f>
        <v/>
      </c>
      <c r="BH35" s="390" t="str">
        <f>IF(AND(BH$12&gt;=$E35,BH$12&lt;=$F35,MOD(BH$12,7)&gt;1,NOT(COUNTIF(General!$U$13:$U$19,BH$12))),$I35,"")</f>
        <v/>
      </c>
      <c r="BI35" s="390" t="str">
        <f>IF(AND(BI$12&gt;=$E35,BI$12&lt;=$F35,MOD(BI$12,7)&gt;1,NOT(COUNTIF(General!$U$13:$U$19,BI$12))),$I35,"")</f>
        <v/>
      </c>
      <c r="BJ35" s="390" t="str">
        <f>IF(AND(BJ$12&gt;=$E35,BJ$12&lt;=$F35,MOD(BJ$12,7)&gt;1,NOT(COUNTIF(General!$U$13:$U$19,BJ$12))),$I35,"")</f>
        <v/>
      </c>
      <c r="BK35" s="390" t="str">
        <f>IF(AND(BK$12&gt;=$E35,BK$12&lt;=$F35,MOD(BK$12,7)&gt;1,NOT(COUNTIF(General!$U$13:$U$19,BK$12))),$I35,"")</f>
        <v/>
      </c>
      <c r="BL35" s="390" t="str">
        <f>IF(AND(BL$12&gt;=$E35,BL$12&lt;=$F35,MOD(BL$12,7)&gt;1,NOT(COUNTIF(General!$U$13:$U$19,BL$12))),$I35,"")</f>
        <v/>
      </c>
      <c r="BM35" s="390" t="str">
        <f>IF(AND(BM$12&gt;=$E35,BM$12&lt;=$F35,MOD(BM$12,7)&gt;1,NOT(COUNTIF(General!$U$13:$U$19,BM$12))),$I35,"")</f>
        <v/>
      </c>
      <c r="BN35" s="390" t="str">
        <f>IF(AND(BN$12&gt;=$E35,BN$12&lt;=$F35,MOD(BN$12,7)&gt;1,NOT(COUNTIF(General!$U$13:$U$19,BN$12))),$I35,"")</f>
        <v/>
      </c>
      <c r="BO35" s="390" t="str">
        <f>IF(AND(BO$12&gt;=$E35,BO$12&lt;=$F35,MOD(BO$12,7)&gt;1,NOT(COUNTIF(General!$U$13:$U$19,BO$12))),$I35,"")</f>
        <v/>
      </c>
      <c r="BP35" s="390" t="str">
        <f>IF(AND(BP$12&gt;=$E35,BP$12&lt;=$F35,MOD(BP$12,7)&gt;1,NOT(COUNTIF(General!$U$13:$U$19,BP$12))),$I35,"")</f>
        <v/>
      </c>
      <c r="BQ35" s="390" t="str">
        <f>IF(AND(BQ$12&gt;=$E35,BQ$12&lt;=$F35,MOD(BQ$12,7)&gt;1,NOT(COUNTIF(General!$U$13:$U$19,BQ$12))),$I35,"")</f>
        <v/>
      </c>
      <c r="BR35" s="390" t="str">
        <f>IF(AND(BR$12&gt;=$E35,BR$12&lt;=$F35,MOD(BR$12,7)&gt;1,NOT(COUNTIF(General!$U$13:$U$19,BR$12))),$I35,"")</f>
        <v/>
      </c>
      <c r="BS35" s="390" t="str">
        <f>IF(AND(BS$12&gt;=$E35,BS$12&lt;=$F35,MOD(BS$12,7)&gt;1,NOT(COUNTIF(General!$U$13:$U$19,BS$12))),$I35,"")</f>
        <v/>
      </c>
      <c r="BT35" s="390" t="str">
        <f>IF(AND(BT$12&gt;=$E35,BT$12&lt;=$F35,MOD(BT$12,7)&gt;1,NOT(COUNTIF(General!$U$13:$U$19,BT$12))),$I35,"")</f>
        <v/>
      </c>
      <c r="BU35" s="390" t="str">
        <f>IF(AND(BU$12&gt;=$E35,BU$12&lt;=$F35,MOD(BU$12,7)&gt;1,NOT(COUNTIF(General!$U$13:$U$19,BU$12))),$I35,"")</f>
        <v/>
      </c>
      <c r="BV35" s="390" t="str">
        <f>IF(AND(BV$12&gt;=$E35,BV$12&lt;=$F35,MOD(BV$12,7)&gt;1,NOT(COUNTIF(General!$U$13:$U$19,BV$12))),$I35,"")</f>
        <v/>
      </c>
      <c r="BW35" s="390" t="str">
        <f>IF(AND(BW$12&gt;=$E35,BW$12&lt;=$F35,MOD(BW$12,7)&gt;1,NOT(COUNTIF(General!$U$13:$U$19,BW$12))),$I35,"")</f>
        <v/>
      </c>
      <c r="BX35" s="390" t="str">
        <f>IF(AND(BX$12&gt;=$E35,BX$12&lt;=$F35,MOD(BX$12,7)&gt;1,NOT(COUNTIF(General!$U$13:$U$19,BX$12))),$I35,"")</f>
        <v/>
      </c>
      <c r="BY35" s="390" t="str">
        <f>IF(AND(BY$12&gt;=$E35,BY$12&lt;=$F35,MOD(BY$12,7)&gt;1,NOT(COUNTIF(General!$U$13:$U$19,BY$12))),$I35,"")</f>
        <v/>
      </c>
      <c r="BZ35" s="390" t="str">
        <f>IF(AND(BZ$12&gt;=$E35,BZ$12&lt;=$F35,MOD(BZ$12,7)&gt;1,NOT(COUNTIF(General!$U$13:$U$19,BZ$12))),$I35,"")</f>
        <v/>
      </c>
      <c r="CA35" s="390" t="str">
        <f>IF(AND(CA$12&gt;=$E35,CA$12&lt;=$F35,MOD(CA$12,7)&gt;1,NOT(COUNTIF(General!$U$13:$U$19,CA$12))),$I35,"")</f>
        <v/>
      </c>
      <c r="CB35" s="390" t="str">
        <f>IF(AND(CB$12&gt;=$E35,CB$12&lt;=$F35,MOD(CB$12,7)&gt;1,NOT(COUNTIF(General!$U$13:$U$19,CB$12))),$I35,"")</f>
        <v/>
      </c>
      <c r="CC35" s="390" t="str">
        <f>IF(AND(CC$12&gt;=$E35,CC$12&lt;=$F35,MOD(CC$12,7)&gt;1,NOT(COUNTIF(General!$U$13:$U$19,CC$12))),$I35,"")</f>
        <v/>
      </c>
      <c r="CD35" s="390" t="str">
        <f>IF(AND(CD$12&gt;=$E35,CD$12&lt;=$F35,MOD(CD$12,7)&gt;1,NOT(COUNTIF(General!$U$13:$U$19,CD$12))),$I35,"")</f>
        <v/>
      </c>
      <c r="CE35" s="390" t="str">
        <f>IF(AND(CE$12&gt;=$E35,CE$12&lt;=$F35,MOD(CE$12,7)&gt;1,NOT(COUNTIF(General!$U$13:$U$19,CE$12))),$I35,"")</f>
        <v/>
      </c>
      <c r="CF35" s="390" t="str">
        <f>IF(AND(CF$12&gt;=$E35,CF$12&lt;=$F35,MOD(CF$12,7)&gt;1,NOT(COUNTIF(General!$U$13:$U$19,CF$12))),$I35,"")</f>
        <v/>
      </c>
      <c r="CG35" s="390" t="str">
        <f>IF(AND(CG$12&gt;=$E35,CG$12&lt;=$F35,MOD(CG$12,7)&gt;1,NOT(COUNTIF(General!$U$13:$U$19,CG$12))),$I35,"")</f>
        <v/>
      </c>
      <c r="CH35" s="390" t="str">
        <f>IF(AND(CH$12&gt;=$E35,CH$12&lt;=$F35,MOD(CH$12,7)&gt;1,NOT(COUNTIF(General!$U$13:$U$19,CH$12))),$I35,"")</f>
        <v/>
      </c>
      <c r="CI35" s="390" t="str">
        <f>IF(AND(CI$12&gt;=$E35,CI$12&lt;=$F35,MOD(CI$12,7)&gt;1,NOT(COUNTIF(General!$U$13:$U$19,CI$12))),$I35,"")</f>
        <v/>
      </c>
      <c r="CJ35" s="390" t="str">
        <f>IF(AND(CJ$12&gt;=$E35,CJ$12&lt;=$F35,MOD(CJ$12,7)&gt;1,NOT(COUNTIF(General!$U$13:$U$19,CJ$12))),$I35,"")</f>
        <v/>
      </c>
      <c r="CK35" s="390" t="str">
        <f>IF(AND(CK$12&gt;=$E35,CK$12&lt;=$F35,MOD(CK$12,7)&gt;1,NOT(COUNTIF(General!$U$13:$U$19,CK$12))),$I35,"")</f>
        <v/>
      </c>
      <c r="CL35" s="390" t="str">
        <f>IF(AND(CL$12&gt;=$E35,CL$12&lt;=$F35,MOD(CL$12,7)&gt;1,NOT(COUNTIF(General!$U$13:$U$19,CL$12))),$I35,"")</f>
        <v/>
      </c>
      <c r="CM35" s="390" t="str">
        <f>IF(AND(CM$12&gt;=$E35,CM$12&lt;=$F35,MOD(CM$12,7)&gt;1,NOT(COUNTIF(General!$U$13:$U$19,CM$12))),$I35,"")</f>
        <v/>
      </c>
      <c r="CN35" s="390" t="str">
        <f>IF(AND(CN$12&gt;=$E35,CN$12&lt;=$F35,MOD(CN$12,7)&gt;1,NOT(COUNTIF(General!$U$13:$U$19,CN$12))),$I35,"")</f>
        <v/>
      </c>
      <c r="CO35" s="390" t="str">
        <f>IF(AND(CO$12&gt;=$E35,CO$12&lt;=$F35,MOD(CO$12,7)&gt;1,NOT(COUNTIF(General!$U$13:$U$19,CO$12))),$I35,"")</f>
        <v/>
      </c>
      <c r="CP35" s="390" t="str">
        <f>IF(AND(CP$12&gt;=$E35,CP$12&lt;=$F35,MOD(CP$12,7)&gt;1,NOT(COUNTIF(General!$U$13:$U$19,CP$12))),$I35,"")</f>
        <v/>
      </c>
      <c r="CQ35" s="390" t="str">
        <f>IF(AND(CQ$12&gt;=$E35,CQ$12&lt;=$F35,MOD(CQ$12,7)&gt;1,NOT(COUNTIF(General!$U$13:$U$19,CQ$12))),$I35,"")</f>
        <v/>
      </c>
      <c r="CR35" s="390" t="str">
        <f>IF(AND(CR$12&gt;=$E35,CR$12&lt;=$F35,MOD(CR$12,7)&gt;1,NOT(COUNTIF(General!$U$13:$U$19,CR$12))),$I35,"")</f>
        <v/>
      </c>
      <c r="CS35" s="390" t="str">
        <f>IF(AND(CS$12&gt;=$E35,CS$12&lt;=$F35,MOD(CS$12,7)&gt;1,NOT(COUNTIF(General!$U$13:$U$19,CS$12))),$I35,"")</f>
        <v/>
      </c>
      <c r="CT35" s="390" t="str">
        <f>IF(AND(CT$12&gt;=$E35,CT$12&lt;=$F35,MOD(CT$12,7)&gt;1,NOT(COUNTIF(General!$U$13:$U$19,CT$12))),$I35,"")</f>
        <v/>
      </c>
      <c r="CU35" s="390" t="str">
        <f>IF(AND(CU$12&gt;=$E35,CU$12&lt;=$F35,MOD(CU$12,7)&gt;1,NOT(COUNTIF(General!$U$13:$U$19,CU$12))),$I35,"")</f>
        <v/>
      </c>
      <c r="CV35" s="390" t="str">
        <f>IF(AND(CV$12&gt;=$E35,CV$12&lt;=$F35,MOD(CV$12,7)&gt;1,NOT(COUNTIF(General!$U$13:$U$19,CV$12))),$I35,"")</f>
        <v/>
      </c>
      <c r="CW35" s="390" t="str">
        <f>IF(AND(CW$12&gt;=$E35,CW$12&lt;=$F35,MOD(CW$12,7)&gt;1,NOT(COUNTIF(General!$U$13:$U$19,CW$12))),$I35,"")</f>
        <v/>
      </c>
      <c r="CX35" s="390" t="str">
        <f>IF(AND(CX$12&gt;=$E35,CX$12&lt;=$F35,MOD(CX$12,7)&gt;1,NOT(COUNTIF(General!$U$13:$U$19,CX$12))),$I35,"")</f>
        <v/>
      </c>
      <c r="CY35" s="390" t="str">
        <f>IF(AND(CY$12&gt;=$E35,CY$12&lt;=$F35,MOD(CY$12,7)&gt;1,NOT(COUNTIF(General!$U$13:$U$19,CY$12))),$I35,"")</f>
        <v/>
      </c>
      <c r="CZ35" s="390" t="str">
        <f>IF(AND(CZ$12&gt;=$E35,CZ$12&lt;=$F35,MOD(CZ$12,7)&gt;1,NOT(COUNTIF(General!$U$13:$U$19,CZ$12))),$I35,"")</f>
        <v/>
      </c>
      <c r="DA35" s="390" t="str">
        <f>IF(AND(DA$12&gt;=$E35,DA$12&lt;=$F35,MOD(DA$12,7)&gt;1,NOT(COUNTIF(General!$U$13:$U$19,DA$12))),$I35,"")</f>
        <v/>
      </c>
      <c r="DB35" s="390" t="str">
        <f>IF(AND(DB$12&gt;=$E35,DB$12&lt;=$F35,MOD(DB$12,7)&gt;1,NOT(COUNTIF(General!$U$13:$U$19,DB$12))),$I35,"")</f>
        <v/>
      </c>
      <c r="DC35" s="390" t="str">
        <f>IF(AND(DC$12&gt;=$E35,DC$12&lt;=$F35,MOD(DC$12,7)&gt;1,NOT(COUNTIF(General!$U$13:$U$19,DC$12))),$I35,"")</f>
        <v/>
      </c>
      <c r="DD35" s="390" t="str">
        <f>IF(AND(DD$12&gt;=$E35,DD$12&lt;=$F35,MOD(DD$12,7)&gt;1,NOT(COUNTIF(General!$U$13:$U$19,DD$12))),$I35,"")</f>
        <v/>
      </c>
      <c r="DE35" s="390" t="str">
        <f>IF(AND(DE$12&gt;=$E35,DE$12&lt;=$F35,MOD(DE$12,7)&gt;1,NOT(COUNTIF(General!$U$13:$U$19,DE$12))),$I35,"")</f>
        <v/>
      </c>
      <c r="DF35" s="390" t="str">
        <f>IF(AND(DF$12&gt;=$E35,DF$12&lt;=$F35,MOD(DF$12,7)&gt;1,NOT(COUNTIF(General!$U$13:$U$19,DF$12))),$I35,"")</f>
        <v/>
      </c>
      <c r="DG35" s="390" t="str">
        <f>IF(AND(DG$12&gt;=$E35,DG$12&lt;=$F35,MOD(DG$12,7)&gt;1,NOT(COUNTIF(General!$U$13:$U$19,DG$12))),$I35,"")</f>
        <v/>
      </c>
      <c r="DH35" s="390" t="str">
        <f>IF(AND(DH$12&gt;=$E35,DH$12&lt;=$F35,MOD(DH$12,7)&gt;1,NOT(COUNTIF(General!$U$13:$U$19,DH$12))),$I35,"")</f>
        <v/>
      </c>
      <c r="DI35" s="390" t="str">
        <f>IF(AND(DI$12&gt;=$E35,DI$12&lt;=$F35,MOD(DI$12,7)&gt;1,NOT(COUNTIF(General!$U$13:$U$19,DI$12))),$I35,"")</f>
        <v/>
      </c>
      <c r="DJ35" s="390" t="str">
        <f>IF(AND(DJ$12&gt;=$E35,DJ$12&lt;=$F35,MOD(DJ$12,7)&gt;1,NOT(COUNTIF(General!$U$13:$U$19,DJ$12))),$I35,"")</f>
        <v/>
      </c>
      <c r="DK35" s="390" t="str">
        <f>IF(AND(DK$12&gt;=$E35,DK$12&lt;=$F35,MOD(DK$12,7)&gt;1,NOT(COUNTIF(General!$U$13:$U$19,DK$12))),$I35,"")</f>
        <v/>
      </c>
      <c r="DL35" s="390" t="str">
        <f>IF(AND(DL$12&gt;=$E35,DL$12&lt;=$F35,MOD(DL$12,7)&gt;1,NOT(COUNTIF(General!$U$13:$U$19,DL$12))),$I35,"")</f>
        <v/>
      </c>
      <c r="DM35" s="390" t="str">
        <f>IF(AND(DM$12&gt;=$E35,DM$12&lt;=$F35,MOD(DM$12,7)&gt;1,NOT(COUNTIF(General!$U$13:$U$19,DM$12))),$I35,"")</f>
        <v/>
      </c>
      <c r="DN35" s="390" t="str">
        <f>IF(AND(DN$12&gt;=$E35,DN$12&lt;=$F35,MOD(DN$12,7)&gt;1,NOT(COUNTIF(General!$U$13:$U$19,DN$12))),$I35,"")</f>
        <v/>
      </c>
      <c r="DO35" s="390" t="str">
        <f>IF(AND(DO$12&gt;=$E35,DO$12&lt;=$F35,MOD(DO$12,7)&gt;1,NOT(COUNTIF(General!$U$13:$U$19,DO$12))),$I35,"")</f>
        <v/>
      </c>
      <c r="DP35" s="390" t="str">
        <f>IF(AND(DP$12&gt;=$E35,DP$12&lt;=$F35,MOD(DP$12,7)&gt;1,NOT(COUNTIF(General!$U$13:$U$19,DP$12))),$I35,"")</f>
        <v/>
      </c>
      <c r="DQ35" s="390" t="str">
        <f>IF(AND(DQ$12&gt;=$E35,DQ$12&lt;=$F35,MOD(DQ$12,7)&gt;1,NOT(COUNTIF(General!$U$13:$U$19,DQ$12))),$I35,"")</f>
        <v/>
      </c>
      <c r="DR35" s="390" t="str">
        <f>IF(AND(DR$12&gt;=$E35,DR$12&lt;=$F35,MOD(DR$12,7)&gt;1,NOT(COUNTIF(General!$U$13:$U$19,DR$12))),$I35,"")</f>
        <v/>
      </c>
      <c r="DS35" s="390" t="str">
        <f>IF(AND(DS$12&gt;=$E35,DS$12&lt;=$F35,MOD(DS$12,7)&gt;1,NOT(COUNTIF(General!$U$13:$U$19,DS$12))),$I35,"")</f>
        <v/>
      </c>
      <c r="DT35" s="390" t="str">
        <f>IF(AND(DT$12&gt;=$E35,DT$12&lt;=$F35,MOD(DT$12,7)&gt;1,NOT(COUNTIF(General!$U$13:$U$19,DT$12))),$I35,"")</f>
        <v/>
      </c>
      <c r="DU35" s="390" t="str">
        <f>IF(AND(DU$12&gt;=$E35,DU$12&lt;=$F35,MOD(DU$12,7)&gt;1,NOT(COUNTIF(General!$U$13:$U$19,DU$12))),$I35,"")</f>
        <v/>
      </c>
      <c r="DV35" s="390" t="str">
        <f>IF(AND(DV$12&gt;=$E35,DV$12&lt;=$F35,MOD(DV$12,7)&gt;1,NOT(COUNTIF(General!$U$13:$U$19,DV$12))),$I35,"")</f>
        <v/>
      </c>
      <c r="DW35" s="390" t="str">
        <f>IF(AND(DW$12&gt;=$E35,DW$12&lt;=$F35,MOD(DW$12,7)&gt;1,NOT(COUNTIF(General!$U$13:$U$19,DW$12))),$I35,"")</f>
        <v/>
      </c>
      <c r="DX35" s="390" t="str">
        <f>IF(AND(DX$12&gt;=$E35,DX$12&lt;=$F35,MOD(DX$12,7)&gt;1,NOT(COUNTIF(General!$U$13:$U$19,DX$12))),$I35,"")</f>
        <v/>
      </c>
      <c r="DY35" s="390" t="str">
        <f>IF(AND(DY$12&gt;=$E35,DY$12&lt;=$F35,MOD(DY$12,7)&gt;1,NOT(COUNTIF(General!$U$13:$U$19,DY$12))),$I35,"")</f>
        <v/>
      </c>
      <c r="DZ35" s="390" t="str">
        <f>IF(AND(DZ$12&gt;=$E35,DZ$12&lt;=$F35,MOD(DZ$12,7)&gt;1,NOT(COUNTIF(General!$U$13:$U$19,DZ$12))),$I35,"")</f>
        <v/>
      </c>
      <c r="EA35" s="390" t="str">
        <f>IF(AND(EA$12&gt;=$E35,EA$12&lt;=$F35,MOD(EA$12,7)&gt;1,NOT(COUNTIF(General!$U$13:$U$19,EA$12))),$I35,"")</f>
        <v/>
      </c>
      <c r="EB35" s="390" t="str">
        <f>IF(AND(EB$12&gt;=$E35,EB$12&lt;=$F35,MOD(EB$12,7)&gt;1,NOT(COUNTIF(General!$U$13:$U$19,EB$12))),$I35,"")</f>
        <v/>
      </c>
      <c r="EC35" s="390" t="str">
        <f>IF(AND(EC$12&gt;=$E35,EC$12&lt;=$F35,MOD(EC$12,7)&gt;1,NOT(COUNTIF(General!$U$13:$U$19,EC$12))),$I35,"")</f>
        <v/>
      </c>
      <c r="ED35" s="390" t="str">
        <f>IF(AND(ED$12&gt;=$E35,ED$12&lt;=$F35,MOD(ED$12,7)&gt;1,NOT(COUNTIF(General!$U$13:$U$19,ED$12))),$I35,"")</f>
        <v/>
      </c>
      <c r="EE35" s="390" t="str">
        <f>IF(AND(EE$12&gt;=$E35,EE$12&lt;=$F35,MOD(EE$12,7)&gt;1,NOT(COUNTIF(General!$U$13:$U$19,EE$12))),$I35,"")</f>
        <v/>
      </c>
      <c r="EF35" s="390" t="str">
        <f>IF(AND(EF$12&gt;=$E35,EF$12&lt;=$F35,MOD(EF$12,7)&gt;1,NOT(COUNTIF(General!$U$13:$U$19,EF$12))),$I35,"")</f>
        <v/>
      </c>
      <c r="EG35" s="390" t="str">
        <f>IF(AND(EG$12&gt;=$E35,EG$12&lt;=$F35,MOD(EG$12,7)&gt;1,NOT(COUNTIF(General!$U$13:$U$19,EG$12))),$I35,"")</f>
        <v/>
      </c>
      <c r="EH35" s="390" t="str">
        <f>IF(AND(EH$12&gt;=$E35,EH$12&lt;=$F35,MOD(EH$12,7)&gt;1,NOT(COUNTIF(General!$U$13:$U$19,EH$12))),$I35,"")</f>
        <v/>
      </c>
      <c r="EI35" s="390" t="str">
        <f>IF(AND(EI$12&gt;=$E35,EI$12&lt;=$F35,MOD(EI$12,7)&gt;1,NOT(COUNTIF(General!$U$13:$U$19,EI$12))),$I35,"")</f>
        <v/>
      </c>
      <c r="EJ35" s="390" t="str">
        <f>IF(AND(EJ$12&gt;=$E35,EJ$12&lt;=$F35,MOD(EJ$12,7)&gt;1,NOT(COUNTIF(General!$U$13:$U$19,EJ$12))),$I35,"")</f>
        <v/>
      </c>
      <c r="EK35" s="390" t="str">
        <f>IF(AND(EK$12&gt;=$E35,EK$12&lt;=$F35,MOD(EK$12,7)&gt;1,NOT(COUNTIF(General!$U$13:$U$19,EK$12))),$I35,"")</f>
        <v/>
      </c>
      <c r="EL35" s="390" t="str">
        <f>IF(AND(EL$12&gt;=$E35,EL$12&lt;=$F35,MOD(EL$12,7)&gt;1,NOT(COUNTIF(General!$U$13:$U$19,EL$12))),$I35,"")</f>
        <v/>
      </c>
      <c r="EM35" s="390" t="str">
        <f>IF(AND(EM$12&gt;=$E35,EM$12&lt;=$F35,MOD(EM$12,7)&gt;1,NOT(COUNTIF(General!$U$13:$U$19,EM$12))),$I35,"")</f>
        <v/>
      </c>
      <c r="EN35" s="390" t="str">
        <f>IF(AND(EN$12&gt;=$E35,EN$12&lt;=$F35,MOD(EN$12,7)&gt;1,NOT(COUNTIF(General!$U$13:$U$19,EN$12))),$I35,"")</f>
        <v/>
      </c>
      <c r="EO35" s="390" t="str">
        <f>IF(AND(EO$12&gt;=$E35,EO$12&lt;=$F35,MOD(EO$12,7)&gt;1,NOT(COUNTIF(General!$U$13:$U$19,EO$12))),$I35,"")</f>
        <v/>
      </c>
      <c r="EP35" s="390" t="str">
        <f>IF(AND(EP$12&gt;=$E35,EP$12&lt;=$F35,MOD(EP$12,7)&gt;1,NOT(COUNTIF(General!$U$13:$U$19,EP$12))),$I35,"")</f>
        <v/>
      </c>
      <c r="EQ35" s="390" t="str">
        <f>IF(AND(EQ$12&gt;=$E35,EQ$12&lt;=$F35,MOD(EQ$12,7)&gt;1,NOT(COUNTIF(General!$U$13:$U$19,EQ$12))),$I35,"")</f>
        <v/>
      </c>
      <c r="ER35" s="390" t="str">
        <f>IF(AND(ER$12&gt;=$E35,ER$12&lt;=$F35,MOD(ER$12,7)&gt;1,NOT(COUNTIF(General!$U$13:$U$19,ER$12))),$I35,"")</f>
        <v/>
      </c>
      <c r="ES35" s="390" t="str">
        <f>IF(AND(ES$12&gt;=$E35,ES$12&lt;=$F35,MOD(ES$12,7)&gt;1,NOT(COUNTIF(General!$U$13:$U$19,ES$12))),$I35,"")</f>
        <v/>
      </c>
      <c r="ET35" s="390" t="str">
        <f>IF(AND(ET$12&gt;=$E35,ET$12&lt;=$F35,MOD(ET$12,7)&gt;1,NOT(COUNTIF(General!$U$13:$U$19,ET$12))),$I35,"")</f>
        <v/>
      </c>
      <c r="EU35" s="390" t="str">
        <f>IF(AND(EU$12&gt;=$E35,EU$12&lt;=$F35,MOD(EU$12,7)&gt;1,NOT(COUNTIF(General!$U$13:$U$19,EU$12))),$I35,"")</f>
        <v/>
      </c>
      <c r="EV35" s="390" t="str">
        <f>IF(AND(EV$12&gt;=$E35,EV$12&lt;=$F35,MOD(EV$12,7)&gt;1,NOT(COUNTIF(General!$U$13:$U$19,EV$12))),$I35,"")</f>
        <v/>
      </c>
      <c r="EW35" s="390" t="str">
        <f>IF(AND(EW$12&gt;=$E35,EW$12&lt;=$F35,MOD(EW$12,7)&gt;1,NOT(COUNTIF(General!$U$13:$U$19,EW$12))),$I35,"")</f>
        <v/>
      </c>
      <c r="EX35" s="390" t="str">
        <f>IF(AND(EX$12&gt;=$E35,EX$12&lt;=$F35,MOD(EX$12,7)&gt;1,NOT(COUNTIF(General!$U$13:$U$19,EX$12))),$I35,"")</f>
        <v/>
      </c>
      <c r="EY35" s="390" t="str">
        <f>IF(AND(EY$12&gt;=$E35,EY$12&lt;=$F35,MOD(EY$12,7)&gt;1,NOT(COUNTIF(General!$U$13:$U$19,EY$12))),$I35,"")</f>
        <v/>
      </c>
      <c r="EZ35" s="390" t="str">
        <f>IF(AND(EZ$12&gt;=$E35,EZ$12&lt;=$F35,MOD(EZ$12,7)&gt;1,NOT(COUNTIF(General!$U$13:$U$19,EZ$12))),$I35,"")</f>
        <v/>
      </c>
      <c r="FA35" s="390" t="str">
        <f>IF(AND(FA$12&gt;=$E35,FA$12&lt;=$F35,MOD(FA$12,7)&gt;1,NOT(COUNTIF(General!$U$13:$U$19,FA$12))),$I35,"")</f>
        <v/>
      </c>
      <c r="FB35" s="390" t="str">
        <f>IF(AND(FB$12&gt;=$E35,FB$12&lt;=$F35,MOD(FB$12,7)&gt;1,NOT(COUNTIF(General!$U$13:$U$19,FB$12))),$I35,"")</f>
        <v/>
      </c>
      <c r="FC35" s="390" t="str">
        <f>IF(AND(FC$12&gt;=$E35,FC$12&lt;=$F35,MOD(FC$12,7)&gt;1,NOT(COUNTIF(General!$U$13:$U$19,FC$12))),$I35,"")</f>
        <v/>
      </c>
      <c r="FD35" s="390" t="str">
        <f>IF(AND(FD$12&gt;=$E35,FD$12&lt;=$F35,MOD(FD$12,7)&gt;1,NOT(COUNTIF(General!$U$13:$U$19,FD$12))),$I35,"")</f>
        <v/>
      </c>
      <c r="FE35" s="390" t="str">
        <f>IF(AND(FE$12&gt;=$E35,FE$12&lt;=$F35,MOD(FE$12,7)&gt;1,NOT(COUNTIF(General!$U$13:$U$19,FE$12))),$I35,"")</f>
        <v/>
      </c>
      <c r="FF35" s="390" t="str">
        <f>IF(AND(FF$12&gt;=$E35,FF$12&lt;=$F35,MOD(FF$12,7)&gt;1,NOT(COUNTIF(General!$U$13:$U$19,FF$12))),$I35,"")</f>
        <v/>
      </c>
      <c r="FG35" s="390" t="str">
        <f>IF(AND(FG$12&gt;=$E35,FG$12&lt;=$F35,MOD(FG$12,7)&gt;1,NOT(COUNTIF(General!$U$13:$U$19,FG$12))),$I35,"")</f>
        <v/>
      </c>
      <c r="FH35" s="390" t="str">
        <f>IF(AND(FH$12&gt;=$E35,FH$12&lt;=$F35,MOD(FH$12,7)&gt;1,NOT(COUNTIF(General!$U$13:$U$19,FH$12))),$I35,"")</f>
        <v/>
      </c>
      <c r="FI35" s="390" t="str">
        <f>IF(AND(FI$12&gt;=$E35,FI$12&lt;=$F35,MOD(FI$12,7)&gt;1,NOT(COUNTIF(General!$U$13:$U$19,FI$12))),$I35,"")</f>
        <v/>
      </c>
      <c r="FJ35" s="390" t="str">
        <f>IF(AND(FJ$12&gt;=$E35,FJ$12&lt;=$F35,MOD(FJ$12,7)&gt;1,NOT(COUNTIF(General!$U$13:$U$19,FJ$12))),$I35,"")</f>
        <v/>
      </c>
      <c r="FK35" s="390" t="str">
        <f>IF(AND(FK$12&gt;=$E35,FK$12&lt;=$F35,MOD(FK$12,7)&gt;1,NOT(COUNTIF(General!$U$13:$U$19,FK$12))),$I35,"")</f>
        <v/>
      </c>
      <c r="FL35" s="390" t="str">
        <f>IF(AND(FL$12&gt;=$E35,FL$12&lt;=$F35,MOD(FL$12,7)&gt;1,NOT(COUNTIF(General!$U$13:$U$19,FL$12))),$I35,"")</f>
        <v/>
      </c>
      <c r="FM35" s="390" t="str">
        <f>IF(AND(FM$12&gt;=$E35,FM$12&lt;=$F35,MOD(FM$12,7)&gt;1,NOT(COUNTIF(General!$U$13:$U$19,FM$12))),$I35,"")</f>
        <v/>
      </c>
      <c r="FN35" s="390" t="str">
        <f>IF(AND(FN$12&gt;=$E35,FN$12&lt;=$F35,MOD(FN$12,7)&gt;1,NOT(COUNTIF(General!$U$13:$U$19,FN$12))),$I35,"")</f>
        <v/>
      </c>
      <c r="FO35" s="390" t="str">
        <f>IF(AND(FO$12&gt;=$E35,FO$12&lt;=$F35,MOD(FO$12,7)&gt;1,NOT(COUNTIF(General!$U$13:$U$19,FO$12))),$I35,"")</f>
        <v/>
      </c>
      <c r="FP35" s="390" t="str">
        <f>IF(AND(FP$12&gt;=$E35,FP$12&lt;=$F35,MOD(FP$12,7)&gt;1,NOT(COUNTIF(General!$U$13:$U$19,FP$12))),$I35,"")</f>
        <v/>
      </c>
      <c r="FQ35" s="390" t="str">
        <f>IF(AND(FQ$12&gt;=$E35,FQ$12&lt;=$F35,MOD(FQ$12,7)&gt;1,NOT(COUNTIF(General!$U$13:$U$19,FQ$12))),$I35,"")</f>
        <v/>
      </c>
      <c r="FR35" s="390" t="str">
        <f>IF(AND(FR$12&gt;=$E35,FR$12&lt;=$F35,MOD(FR$12,7)&gt;1,NOT(COUNTIF(General!$U$13:$U$19,FR$12))),$I35,"")</f>
        <v/>
      </c>
      <c r="FS35" s="390" t="str">
        <f>IF(AND(FS$12&gt;=$E35,FS$12&lt;=$F35,MOD(FS$12,7)&gt;1,NOT(COUNTIF(General!$U$13:$U$19,FS$12))),$I35,"")</f>
        <v/>
      </c>
      <c r="FT35" s="390" t="str">
        <f>IF(AND(FT$12&gt;=$E35,FT$12&lt;=$F35,MOD(FT$12,7)&gt;1,NOT(COUNTIF(General!$U$13:$U$19,FT$12))),$I35,"")</f>
        <v/>
      </c>
      <c r="FU35" s="390" t="str">
        <f>IF(AND(FU$12&gt;=$E35,FU$12&lt;=$F35,MOD(FU$12,7)&gt;1,NOT(COUNTIF(General!$U$13:$U$19,FU$12))),$I35,"")</f>
        <v/>
      </c>
      <c r="FV35" s="390" t="str">
        <f>IF(AND(FV$12&gt;=$E35,FV$12&lt;=$F35,MOD(FV$12,7)&gt;1,NOT(COUNTIF(General!$U$13:$U$19,FV$12))),$I35,"")</f>
        <v/>
      </c>
      <c r="FW35" s="390" t="str">
        <f>IF(AND(FW$12&gt;=$E35,FW$12&lt;=$F35,MOD(FW$12,7)&gt;1,NOT(COUNTIF(General!$U$13:$U$19,FW$12))),$I35,"")</f>
        <v/>
      </c>
      <c r="FX35" s="390" t="str">
        <f>IF(AND(FX$12&gt;=$E35,FX$12&lt;=$F35,MOD(FX$12,7)&gt;1,NOT(COUNTIF(General!$U$13:$U$19,FX$12))),$I35,"")</f>
        <v/>
      </c>
    </row>
    <row r="36">
      <c r="A36" s="368">
        <v>389721.0</v>
      </c>
      <c r="B36" s="369" t="s">
        <v>583</v>
      </c>
      <c r="C36" s="370"/>
      <c r="D36" s="579" t="s">
        <v>439</v>
      </c>
      <c r="E36" s="599">
        <v>43815.0</v>
      </c>
      <c r="F36" s="374">
        <f>WORKDAY(E36,ROUNDUP(G36/I36,0),General!$U$13:$U$27)-1</f>
        <v>43817</v>
      </c>
      <c r="G36" s="600">
        <v>3.0</v>
      </c>
      <c r="H36" s="377"/>
      <c r="I36" s="368">
        <v>1.0</v>
      </c>
      <c r="J36" s="379"/>
      <c r="K36" s="573"/>
      <c r="L36" s="573"/>
      <c r="M36" s="574"/>
      <c r="N36" s="384"/>
      <c r="O36" s="386"/>
      <c r="P36" s="575"/>
      <c r="Q36" s="390" t="str">
        <f>IF(AND(Q$12&gt;=$E36,Q$12&lt;=$F36,MOD(Q$12,7)&gt;1,NOT(COUNTIF(General!$U$13:$U$19,Q$12))),$I36,"")</f>
        <v/>
      </c>
      <c r="R36" s="390" t="str">
        <f>IF(AND(R$12&gt;=$E36,R$12&lt;=$F36,MOD(R$12,7)&gt;1,NOT(COUNTIF(General!$U$13:$U$19,R$12))),$I36,"")</f>
        <v/>
      </c>
      <c r="S36" s="390" t="str">
        <f>IF(AND(S$12&gt;=$E36,S$12&lt;=$F36,MOD(S$12,7)&gt;1,NOT(COUNTIF(General!$U$13:$U$19,S$12))),$I36,"")</f>
        <v/>
      </c>
      <c r="T36" s="390" t="str">
        <f>IF(AND(T$12&gt;=$E36,T$12&lt;=$F36,MOD(T$12,7)&gt;1,NOT(COUNTIF(General!$U$13:$U$19,T$12))),$I36,"")</f>
        <v/>
      </c>
      <c r="U36" s="390" t="str">
        <f>IF(AND(U$12&gt;=$E36,U$12&lt;=$F36,MOD(U$12,7)&gt;1,NOT(COUNTIF(General!$U$13:$U$19,U$12))),$I36,"")</f>
        <v/>
      </c>
      <c r="V36" s="390" t="str">
        <f>IF(AND(V$12&gt;=$E36,V$12&lt;=$F36,MOD(V$12,7)&gt;1,NOT(COUNTIF(General!$U$13:$U$19,V$12))),$I36,"")</f>
        <v/>
      </c>
      <c r="W36" s="390" t="str">
        <f>IF(AND(W$12&gt;=$E36,W$12&lt;=$F36,MOD(W$12,7)&gt;1,NOT(COUNTIF(General!$U$13:$U$19,W$12))),$I36,"")</f>
        <v/>
      </c>
      <c r="X36" s="390" t="str">
        <f>IF(AND(X$12&gt;=$E36,X$12&lt;=$F36,MOD(X$12,7)&gt;1,NOT(COUNTIF(General!$U$13:$U$19,X$12))),$I36,"")</f>
        <v/>
      </c>
      <c r="Y36" s="390" t="str">
        <f>IF(AND(Y$12&gt;=$E36,Y$12&lt;=$F36,MOD(Y$12,7)&gt;1,NOT(COUNTIF(General!$U$13:$U$19,Y$12))),$I36,"")</f>
        <v/>
      </c>
      <c r="Z36" s="390" t="str">
        <f>IF(AND(Z$12&gt;=$E36,Z$12&lt;=$F36,MOD(Z$12,7)&gt;1,NOT(COUNTIF(General!$U$13:$U$19,Z$12))),$I36,"")</f>
        <v/>
      </c>
      <c r="AA36" s="390" t="str">
        <f>IF(AND(AA$12&gt;=$E36,AA$12&lt;=$F36,MOD(AA$12,7)&gt;1,NOT(COUNTIF(General!$U$13:$U$19,AA$12))),$I36,"")</f>
        <v/>
      </c>
      <c r="AB36" s="390" t="str">
        <f>IF(AND(AB$12&gt;=$E36,AB$12&lt;=$F36,MOD(AB$12,7)&gt;1,NOT(COUNTIF(General!$U$13:$U$19,AB$12))),$I36,"")</f>
        <v/>
      </c>
      <c r="AC36" s="390" t="str">
        <f>IF(AND(AC$12&gt;=$E36,AC$12&lt;=$F36,MOD(AC$12,7)&gt;1,NOT(COUNTIF(General!$U$13:$U$19,AC$12))),$I36,"")</f>
        <v/>
      </c>
      <c r="AD36" s="390" t="str">
        <f>IF(AND(AD$12&gt;=$E36,AD$12&lt;=$F36,MOD(AD$12,7)&gt;1,NOT(COUNTIF(General!$U$13:$U$19,AD$12))),$I36,"")</f>
        <v/>
      </c>
      <c r="AE36" s="390">
        <f>IF(AND(AE$12&gt;=$E36,AE$12&lt;=$F36,MOD(AE$12,7)&gt;1,NOT(COUNTIF(General!$U$13:$U$19,AE$12))),$I36,"")</f>
        <v>1</v>
      </c>
      <c r="AF36" s="390">
        <f>IF(AND(AF$12&gt;=$E36,AF$12&lt;=$F36,MOD(AF$12,7)&gt;1,NOT(COUNTIF(General!$U$13:$U$19,AF$12))),$I36,"")</f>
        <v>1</v>
      </c>
      <c r="AG36" s="390">
        <f>IF(AND(AG$12&gt;=$E36,AG$12&lt;=$F36,MOD(AG$12,7)&gt;1,NOT(COUNTIF(General!$U$13:$U$19,AG$12))),$I36,"")</f>
        <v>1</v>
      </c>
      <c r="AH36" s="390" t="str">
        <f>IF(AND(AH$12&gt;=$E36,AH$12&lt;=$F36,MOD(AH$12,7)&gt;1,NOT(COUNTIF(General!$U$13:$U$19,AH$12))),$I36,"")</f>
        <v/>
      </c>
      <c r="AI36" s="390" t="str">
        <f>IF(AND(AI$12&gt;=$E36,AI$12&lt;=$F36,MOD(AI$12,7)&gt;1,NOT(COUNTIF(General!$U$13:$U$19,AI$12))),$I36,"")</f>
        <v/>
      </c>
      <c r="AJ36" s="390" t="str">
        <f>IF(AND(AJ$12&gt;=$E36,AJ$12&lt;=$F36,MOD(AJ$12,7)&gt;1,NOT(COUNTIF(General!$U$13:$U$19,AJ$12))),$I36,"")</f>
        <v/>
      </c>
      <c r="AK36" s="390" t="str">
        <f>IF(AND(AK$12&gt;=$E36,AK$12&lt;=$F36,MOD(AK$12,7)&gt;1,NOT(COUNTIF(General!$U$13:$U$19,AK$12))),$I36,"")</f>
        <v/>
      </c>
      <c r="AL36" s="390" t="str">
        <f>IF(AND(AL$12&gt;=$E36,AL$12&lt;=$F36,MOD(AL$12,7)&gt;1,NOT(COUNTIF(General!$U$13:$U$19,AL$12))),$I36,"")</f>
        <v/>
      </c>
      <c r="AM36" s="390" t="str">
        <f>IF(AND(AM$12&gt;=$E36,AM$12&lt;=$F36,MOD(AM$12,7)&gt;1,NOT(COUNTIF(General!$U$13:$U$19,AM$12))),$I36,"")</f>
        <v/>
      </c>
      <c r="AN36" s="390" t="str">
        <f>IF(AND(AN$12&gt;=$E36,AN$12&lt;=$F36,MOD(AN$12,7)&gt;1,NOT(COUNTIF(General!$U$13:$U$19,AN$12))),$I36,"")</f>
        <v/>
      </c>
      <c r="AO36" s="390" t="str">
        <f>IF(AND(AO$12&gt;=$E36,AO$12&lt;=$F36,MOD(AO$12,7)&gt;1,NOT(COUNTIF(General!$U$13:$U$19,AO$12))),$I36,"")</f>
        <v/>
      </c>
      <c r="AP36" s="390" t="str">
        <f>IF(AND(AP$12&gt;=$E36,AP$12&lt;=$F36,MOD(AP$12,7)&gt;1,NOT(COUNTIF(General!$U$13:$U$19,AP$12))),$I36,"")</f>
        <v/>
      </c>
      <c r="AQ36" s="390" t="str">
        <f>IF(AND(AQ$12&gt;=$E36,AQ$12&lt;=$F36,MOD(AQ$12,7)&gt;1,NOT(COUNTIF(General!$U$13:$U$19,AQ$12))),$I36,"")</f>
        <v/>
      </c>
      <c r="AR36" s="390" t="str">
        <f>IF(AND(AR$12&gt;=$E36,AR$12&lt;=$F36,MOD(AR$12,7)&gt;1,NOT(COUNTIF(General!$U$13:$U$19,AR$12))),$I36,"")</f>
        <v/>
      </c>
      <c r="AS36" s="390" t="str">
        <f>IF(AND(AS$12&gt;=$E36,AS$12&lt;=$F36,MOD(AS$12,7)&gt;1,NOT(COUNTIF(General!$U$13:$U$19,AS$12))),$I36,"")</f>
        <v/>
      </c>
      <c r="AT36" s="390" t="str">
        <f>IF(AND(AT$12&gt;=$E36,AT$12&lt;=$F36,MOD(AT$12,7)&gt;1,NOT(COUNTIF(General!$U$13:$U$19,AT$12))),$I36,"")</f>
        <v/>
      </c>
      <c r="AU36" s="390" t="str">
        <f>IF(AND(AU$12&gt;=$E36,AU$12&lt;=$F36,MOD(AU$12,7)&gt;1,NOT(COUNTIF(General!$U$13:$U$19,AU$12))),$I36,"")</f>
        <v/>
      </c>
      <c r="AV36" s="390" t="str">
        <f>IF(AND(AV$12&gt;=$E36,AV$12&lt;=$F36,MOD(AV$12,7)&gt;1,NOT(COUNTIF(General!$U$13:$U$19,AV$12))),$I36,"")</f>
        <v/>
      </c>
      <c r="AW36" s="390" t="str">
        <f>IF(AND(AW$12&gt;=$E36,AW$12&lt;=$F36,MOD(AW$12,7)&gt;1,NOT(COUNTIF(General!$U$13:$U$19,AW$12))),$I36,"")</f>
        <v/>
      </c>
      <c r="AX36" s="390" t="str">
        <f>IF(AND(AX$12&gt;=$E36,AX$12&lt;=$F36,MOD(AX$12,7)&gt;1,NOT(COUNTIF(General!$U$13:$U$19,AX$12))),$I36,"")</f>
        <v/>
      </c>
      <c r="AY36" s="390" t="str">
        <f>IF(AND(AY$12&gt;=$E36,AY$12&lt;=$F36,MOD(AY$12,7)&gt;1,NOT(COUNTIF(General!$U$13:$U$19,AY$12))),$I36,"")</f>
        <v/>
      </c>
      <c r="AZ36" s="390" t="str">
        <f>IF(AND(AZ$12&gt;=$E36,AZ$12&lt;=$F36,MOD(AZ$12,7)&gt;1,NOT(COUNTIF(General!$U$13:$U$19,AZ$12))),$I36,"")</f>
        <v/>
      </c>
      <c r="BA36" s="390" t="str">
        <f>IF(AND(BA$12&gt;=$E36,BA$12&lt;=$F36,MOD(BA$12,7)&gt;1,NOT(COUNTIF(General!$U$13:$U$19,BA$12))),$I36,"")</f>
        <v/>
      </c>
      <c r="BB36" s="390" t="str">
        <f>IF(AND(BB$12&gt;=$E36,BB$12&lt;=$F36,MOD(BB$12,7)&gt;1,NOT(COUNTIF(General!$U$13:$U$19,BB$12))),$I36,"")</f>
        <v/>
      </c>
      <c r="BC36" s="390" t="str">
        <f>IF(AND(BC$12&gt;=$E36,BC$12&lt;=$F36,MOD(BC$12,7)&gt;1,NOT(COUNTIF(General!$U$13:$U$19,BC$12))),$I36,"")</f>
        <v/>
      </c>
      <c r="BD36" s="390" t="str">
        <f>IF(AND(BD$12&gt;=$E36,BD$12&lt;=$F36,MOD(BD$12,7)&gt;1,NOT(COUNTIF(General!$U$13:$U$19,BD$12))),$I36,"")</f>
        <v/>
      </c>
      <c r="BE36" s="390" t="str">
        <f>IF(AND(BE$12&gt;=$E36,BE$12&lt;=$F36,MOD(BE$12,7)&gt;1,NOT(COUNTIF(General!$U$13:$U$19,BE$12))),$I36,"")</f>
        <v/>
      </c>
      <c r="BF36" s="390" t="str">
        <f>IF(AND(BF$12&gt;=$E36,BF$12&lt;=$F36,MOD(BF$12,7)&gt;1,NOT(COUNTIF(General!$U$13:$U$19,BF$12))),$I36,"")</f>
        <v/>
      </c>
      <c r="BG36" s="390" t="str">
        <f>IF(AND(BG$12&gt;=$E36,BG$12&lt;=$F36,MOD(BG$12,7)&gt;1,NOT(COUNTIF(General!$U$13:$U$19,BG$12))),$I36,"")</f>
        <v/>
      </c>
      <c r="BH36" s="390" t="str">
        <f>IF(AND(BH$12&gt;=$E36,BH$12&lt;=$F36,MOD(BH$12,7)&gt;1,NOT(COUNTIF(General!$U$13:$U$19,BH$12))),$I36,"")</f>
        <v/>
      </c>
      <c r="BI36" s="390" t="str">
        <f>IF(AND(BI$12&gt;=$E36,BI$12&lt;=$F36,MOD(BI$12,7)&gt;1,NOT(COUNTIF(General!$U$13:$U$19,BI$12))),$I36,"")</f>
        <v/>
      </c>
      <c r="BJ36" s="390" t="str">
        <f>IF(AND(BJ$12&gt;=$E36,BJ$12&lt;=$F36,MOD(BJ$12,7)&gt;1,NOT(COUNTIF(General!$U$13:$U$19,BJ$12))),$I36,"")</f>
        <v/>
      </c>
      <c r="BK36" s="390" t="str">
        <f>IF(AND(BK$12&gt;=$E36,BK$12&lt;=$F36,MOD(BK$12,7)&gt;1,NOT(COUNTIF(General!$U$13:$U$19,BK$12))),$I36,"")</f>
        <v/>
      </c>
      <c r="BL36" s="390" t="str">
        <f>IF(AND(BL$12&gt;=$E36,BL$12&lt;=$F36,MOD(BL$12,7)&gt;1,NOT(COUNTIF(General!$U$13:$U$19,BL$12))),$I36,"")</f>
        <v/>
      </c>
      <c r="BM36" s="390" t="str">
        <f>IF(AND(BM$12&gt;=$E36,BM$12&lt;=$F36,MOD(BM$12,7)&gt;1,NOT(COUNTIF(General!$U$13:$U$19,BM$12))),$I36,"")</f>
        <v/>
      </c>
      <c r="BN36" s="390" t="str">
        <f>IF(AND(BN$12&gt;=$E36,BN$12&lt;=$F36,MOD(BN$12,7)&gt;1,NOT(COUNTIF(General!$U$13:$U$19,BN$12))),$I36,"")</f>
        <v/>
      </c>
      <c r="BO36" s="390" t="str">
        <f>IF(AND(BO$12&gt;=$E36,BO$12&lt;=$F36,MOD(BO$12,7)&gt;1,NOT(COUNTIF(General!$U$13:$U$19,BO$12))),$I36,"")</f>
        <v/>
      </c>
      <c r="BP36" s="390" t="str">
        <f>IF(AND(BP$12&gt;=$E36,BP$12&lt;=$F36,MOD(BP$12,7)&gt;1,NOT(COUNTIF(General!$U$13:$U$19,BP$12))),$I36,"")</f>
        <v/>
      </c>
      <c r="BQ36" s="390" t="str">
        <f>IF(AND(BQ$12&gt;=$E36,BQ$12&lt;=$F36,MOD(BQ$12,7)&gt;1,NOT(COUNTIF(General!$U$13:$U$19,BQ$12))),$I36,"")</f>
        <v/>
      </c>
      <c r="BR36" s="390" t="str">
        <f>IF(AND(BR$12&gt;=$E36,BR$12&lt;=$F36,MOD(BR$12,7)&gt;1,NOT(COUNTIF(General!$U$13:$U$19,BR$12))),$I36,"")</f>
        <v/>
      </c>
      <c r="BS36" s="390" t="str">
        <f>IF(AND(BS$12&gt;=$E36,BS$12&lt;=$F36,MOD(BS$12,7)&gt;1,NOT(COUNTIF(General!$U$13:$U$19,BS$12))),$I36,"")</f>
        <v/>
      </c>
      <c r="BT36" s="390" t="str">
        <f>IF(AND(BT$12&gt;=$E36,BT$12&lt;=$F36,MOD(BT$12,7)&gt;1,NOT(COUNTIF(General!$U$13:$U$19,BT$12))),$I36,"")</f>
        <v/>
      </c>
      <c r="BU36" s="390" t="str">
        <f>IF(AND(BU$12&gt;=$E36,BU$12&lt;=$F36,MOD(BU$12,7)&gt;1,NOT(COUNTIF(General!$U$13:$U$19,BU$12))),$I36,"")</f>
        <v/>
      </c>
      <c r="BV36" s="390" t="str">
        <f>IF(AND(BV$12&gt;=$E36,BV$12&lt;=$F36,MOD(BV$12,7)&gt;1,NOT(COUNTIF(General!$U$13:$U$19,BV$12))),$I36,"")</f>
        <v/>
      </c>
      <c r="BW36" s="390" t="str">
        <f>IF(AND(BW$12&gt;=$E36,BW$12&lt;=$F36,MOD(BW$12,7)&gt;1,NOT(COUNTIF(General!$U$13:$U$19,BW$12))),$I36,"")</f>
        <v/>
      </c>
      <c r="BX36" s="390" t="str">
        <f>IF(AND(BX$12&gt;=$E36,BX$12&lt;=$F36,MOD(BX$12,7)&gt;1,NOT(COUNTIF(General!$U$13:$U$19,BX$12))),$I36,"")</f>
        <v/>
      </c>
      <c r="BY36" s="390" t="str">
        <f>IF(AND(BY$12&gt;=$E36,BY$12&lt;=$F36,MOD(BY$12,7)&gt;1,NOT(COUNTIF(General!$U$13:$U$19,BY$12))),$I36,"")</f>
        <v/>
      </c>
      <c r="BZ36" s="390" t="str">
        <f>IF(AND(BZ$12&gt;=$E36,BZ$12&lt;=$F36,MOD(BZ$12,7)&gt;1,NOT(COUNTIF(General!$U$13:$U$19,BZ$12))),$I36,"")</f>
        <v/>
      </c>
      <c r="CA36" s="390" t="str">
        <f>IF(AND(CA$12&gt;=$E36,CA$12&lt;=$F36,MOD(CA$12,7)&gt;1,NOT(COUNTIF(General!$U$13:$U$19,CA$12))),$I36,"")</f>
        <v/>
      </c>
      <c r="CB36" s="390" t="str">
        <f>IF(AND(CB$12&gt;=$E36,CB$12&lt;=$F36,MOD(CB$12,7)&gt;1,NOT(COUNTIF(General!$U$13:$U$19,CB$12))),$I36,"")</f>
        <v/>
      </c>
      <c r="CC36" s="390" t="str">
        <f>IF(AND(CC$12&gt;=$E36,CC$12&lt;=$F36,MOD(CC$12,7)&gt;1,NOT(COUNTIF(General!$U$13:$U$19,CC$12))),$I36,"")</f>
        <v/>
      </c>
      <c r="CD36" s="390" t="str">
        <f>IF(AND(CD$12&gt;=$E36,CD$12&lt;=$F36,MOD(CD$12,7)&gt;1,NOT(COUNTIF(General!$U$13:$U$19,CD$12))),$I36,"")</f>
        <v/>
      </c>
      <c r="CE36" s="390" t="str">
        <f>IF(AND(CE$12&gt;=$E36,CE$12&lt;=$F36,MOD(CE$12,7)&gt;1,NOT(COUNTIF(General!$U$13:$U$19,CE$12))),$I36,"")</f>
        <v/>
      </c>
      <c r="CF36" s="390" t="str">
        <f>IF(AND(CF$12&gt;=$E36,CF$12&lt;=$F36,MOD(CF$12,7)&gt;1,NOT(COUNTIF(General!$U$13:$U$19,CF$12))),$I36,"")</f>
        <v/>
      </c>
      <c r="CG36" s="390" t="str">
        <f>IF(AND(CG$12&gt;=$E36,CG$12&lt;=$F36,MOD(CG$12,7)&gt;1,NOT(COUNTIF(General!$U$13:$U$19,CG$12))),$I36,"")</f>
        <v/>
      </c>
      <c r="CH36" s="390" t="str">
        <f>IF(AND(CH$12&gt;=$E36,CH$12&lt;=$F36,MOD(CH$12,7)&gt;1,NOT(COUNTIF(General!$U$13:$U$19,CH$12))),$I36,"")</f>
        <v/>
      </c>
      <c r="CI36" s="390" t="str">
        <f>IF(AND(CI$12&gt;=$E36,CI$12&lt;=$F36,MOD(CI$12,7)&gt;1,NOT(COUNTIF(General!$U$13:$U$19,CI$12))),$I36,"")</f>
        <v/>
      </c>
      <c r="CJ36" s="390" t="str">
        <f>IF(AND(CJ$12&gt;=$E36,CJ$12&lt;=$F36,MOD(CJ$12,7)&gt;1,NOT(COUNTIF(General!$U$13:$U$19,CJ$12))),$I36,"")</f>
        <v/>
      </c>
      <c r="CK36" s="390" t="str">
        <f>IF(AND(CK$12&gt;=$E36,CK$12&lt;=$F36,MOD(CK$12,7)&gt;1,NOT(COUNTIF(General!$U$13:$U$19,CK$12))),$I36,"")</f>
        <v/>
      </c>
      <c r="CL36" s="390" t="str">
        <f>IF(AND(CL$12&gt;=$E36,CL$12&lt;=$F36,MOD(CL$12,7)&gt;1,NOT(COUNTIF(General!$U$13:$U$19,CL$12))),$I36,"")</f>
        <v/>
      </c>
      <c r="CM36" s="390" t="str">
        <f>IF(AND(CM$12&gt;=$E36,CM$12&lt;=$F36,MOD(CM$12,7)&gt;1,NOT(COUNTIF(General!$U$13:$U$19,CM$12))),$I36,"")</f>
        <v/>
      </c>
      <c r="CN36" s="390" t="str">
        <f>IF(AND(CN$12&gt;=$E36,CN$12&lt;=$F36,MOD(CN$12,7)&gt;1,NOT(COUNTIF(General!$U$13:$U$19,CN$12))),$I36,"")</f>
        <v/>
      </c>
      <c r="CO36" s="390" t="str">
        <f>IF(AND(CO$12&gt;=$E36,CO$12&lt;=$F36,MOD(CO$12,7)&gt;1,NOT(COUNTIF(General!$U$13:$U$19,CO$12))),$I36,"")</f>
        <v/>
      </c>
      <c r="CP36" s="390" t="str">
        <f>IF(AND(CP$12&gt;=$E36,CP$12&lt;=$F36,MOD(CP$12,7)&gt;1,NOT(COUNTIF(General!$U$13:$U$19,CP$12))),$I36,"")</f>
        <v/>
      </c>
      <c r="CQ36" s="390" t="str">
        <f>IF(AND(CQ$12&gt;=$E36,CQ$12&lt;=$F36,MOD(CQ$12,7)&gt;1,NOT(COUNTIF(General!$U$13:$U$19,CQ$12))),$I36,"")</f>
        <v/>
      </c>
      <c r="CR36" s="390" t="str">
        <f>IF(AND(CR$12&gt;=$E36,CR$12&lt;=$F36,MOD(CR$12,7)&gt;1,NOT(COUNTIF(General!$U$13:$U$19,CR$12))),$I36,"")</f>
        <v/>
      </c>
      <c r="CS36" s="390" t="str">
        <f>IF(AND(CS$12&gt;=$E36,CS$12&lt;=$F36,MOD(CS$12,7)&gt;1,NOT(COUNTIF(General!$U$13:$U$19,CS$12))),$I36,"")</f>
        <v/>
      </c>
      <c r="CT36" s="390" t="str">
        <f>IF(AND(CT$12&gt;=$E36,CT$12&lt;=$F36,MOD(CT$12,7)&gt;1,NOT(COUNTIF(General!$U$13:$U$19,CT$12))),$I36,"")</f>
        <v/>
      </c>
      <c r="CU36" s="390" t="str">
        <f>IF(AND(CU$12&gt;=$E36,CU$12&lt;=$F36,MOD(CU$12,7)&gt;1,NOT(COUNTIF(General!$U$13:$U$19,CU$12))),$I36,"")</f>
        <v/>
      </c>
      <c r="CV36" s="390" t="str">
        <f>IF(AND(CV$12&gt;=$E36,CV$12&lt;=$F36,MOD(CV$12,7)&gt;1,NOT(COUNTIF(General!$U$13:$U$19,CV$12))),$I36,"")</f>
        <v/>
      </c>
      <c r="CW36" s="390" t="str">
        <f>IF(AND(CW$12&gt;=$E36,CW$12&lt;=$F36,MOD(CW$12,7)&gt;1,NOT(COUNTIF(General!$U$13:$U$19,CW$12))),$I36,"")</f>
        <v/>
      </c>
      <c r="CX36" s="390" t="str">
        <f>IF(AND(CX$12&gt;=$E36,CX$12&lt;=$F36,MOD(CX$12,7)&gt;1,NOT(COUNTIF(General!$U$13:$U$19,CX$12))),$I36,"")</f>
        <v/>
      </c>
      <c r="CY36" s="390" t="str">
        <f>IF(AND(CY$12&gt;=$E36,CY$12&lt;=$F36,MOD(CY$12,7)&gt;1,NOT(COUNTIF(General!$U$13:$U$19,CY$12))),$I36,"")</f>
        <v/>
      </c>
      <c r="CZ36" s="390" t="str">
        <f>IF(AND(CZ$12&gt;=$E36,CZ$12&lt;=$F36,MOD(CZ$12,7)&gt;1,NOT(COUNTIF(General!$U$13:$U$19,CZ$12))),$I36,"")</f>
        <v/>
      </c>
      <c r="DA36" s="390" t="str">
        <f>IF(AND(DA$12&gt;=$E36,DA$12&lt;=$F36,MOD(DA$12,7)&gt;1,NOT(COUNTIF(General!$U$13:$U$19,DA$12))),$I36,"")</f>
        <v/>
      </c>
      <c r="DB36" s="390" t="str">
        <f>IF(AND(DB$12&gt;=$E36,DB$12&lt;=$F36,MOD(DB$12,7)&gt;1,NOT(COUNTIF(General!$U$13:$U$19,DB$12))),$I36,"")</f>
        <v/>
      </c>
      <c r="DC36" s="390" t="str">
        <f>IF(AND(DC$12&gt;=$E36,DC$12&lt;=$F36,MOD(DC$12,7)&gt;1,NOT(COUNTIF(General!$U$13:$U$19,DC$12))),$I36,"")</f>
        <v/>
      </c>
      <c r="DD36" s="390" t="str">
        <f>IF(AND(DD$12&gt;=$E36,DD$12&lt;=$F36,MOD(DD$12,7)&gt;1,NOT(COUNTIF(General!$U$13:$U$19,DD$12))),$I36,"")</f>
        <v/>
      </c>
      <c r="DE36" s="390" t="str">
        <f>IF(AND(DE$12&gt;=$E36,DE$12&lt;=$F36,MOD(DE$12,7)&gt;1,NOT(COUNTIF(General!$U$13:$U$19,DE$12))),$I36,"")</f>
        <v/>
      </c>
      <c r="DF36" s="390" t="str">
        <f>IF(AND(DF$12&gt;=$E36,DF$12&lt;=$F36,MOD(DF$12,7)&gt;1,NOT(COUNTIF(General!$U$13:$U$19,DF$12))),$I36,"")</f>
        <v/>
      </c>
      <c r="DG36" s="390" t="str">
        <f>IF(AND(DG$12&gt;=$E36,DG$12&lt;=$F36,MOD(DG$12,7)&gt;1,NOT(COUNTIF(General!$U$13:$U$19,DG$12))),$I36,"")</f>
        <v/>
      </c>
      <c r="DH36" s="390" t="str">
        <f>IF(AND(DH$12&gt;=$E36,DH$12&lt;=$F36,MOD(DH$12,7)&gt;1,NOT(COUNTIF(General!$U$13:$U$19,DH$12))),$I36,"")</f>
        <v/>
      </c>
      <c r="DI36" s="390" t="str">
        <f>IF(AND(DI$12&gt;=$E36,DI$12&lt;=$F36,MOD(DI$12,7)&gt;1,NOT(COUNTIF(General!$U$13:$U$19,DI$12))),$I36,"")</f>
        <v/>
      </c>
      <c r="DJ36" s="390" t="str">
        <f>IF(AND(DJ$12&gt;=$E36,DJ$12&lt;=$F36,MOD(DJ$12,7)&gt;1,NOT(COUNTIF(General!$U$13:$U$19,DJ$12))),$I36,"")</f>
        <v/>
      </c>
      <c r="DK36" s="390" t="str">
        <f>IF(AND(DK$12&gt;=$E36,DK$12&lt;=$F36,MOD(DK$12,7)&gt;1,NOT(COUNTIF(General!$U$13:$U$19,DK$12))),$I36,"")</f>
        <v/>
      </c>
      <c r="DL36" s="390" t="str">
        <f>IF(AND(DL$12&gt;=$E36,DL$12&lt;=$F36,MOD(DL$12,7)&gt;1,NOT(COUNTIF(General!$U$13:$U$19,DL$12))),$I36,"")</f>
        <v/>
      </c>
      <c r="DM36" s="390" t="str">
        <f>IF(AND(DM$12&gt;=$E36,DM$12&lt;=$F36,MOD(DM$12,7)&gt;1,NOT(COUNTIF(General!$U$13:$U$19,DM$12))),$I36,"")</f>
        <v/>
      </c>
      <c r="DN36" s="390" t="str">
        <f>IF(AND(DN$12&gt;=$E36,DN$12&lt;=$F36,MOD(DN$12,7)&gt;1,NOT(COUNTIF(General!$U$13:$U$19,DN$12))),$I36,"")</f>
        <v/>
      </c>
      <c r="DO36" s="390" t="str">
        <f>IF(AND(DO$12&gt;=$E36,DO$12&lt;=$F36,MOD(DO$12,7)&gt;1,NOT(COUNTIF(General!$U$13:$U$19,DO$12))),$I36,"")</f>
        <v/>
      </c>
      <c r="DP36" s="390" t="str">
        <f>IF(AND(DP$12&gt;=$E36,DP$12&lt;=$F36,MOD(DP$12,7)&gt;1,NOT(COUNTIF(General!$U$13:$U$19,DP$12))),$I36,"")</f>
        <v/>
      </c>
      <c r="DQ36" s="390" t="str">
        <f>IF(AND(DQ$12&gt;=$E36,DQ$12&lt;=$F36,MOD(DQ$12,7)&gt;1,NOT(COUNTIF(General!$U$13:$U$19,DQ$12))),$I36,"")</f>
        <v/>
      </c>
      <c r="DR36" s="390" t="str">
        <f>IF(AND(DR$12&gt;=$E36,DR$12&lt;=$F36,MOD(DR$12,7)&gt;1,NOT(COUNTIF(General!$U$13:$U$19,DR$12))),$I36,"")</f>
        <v/>
      </c>
      <c r="DS36" s="390" t="str">
        <f>IF(AND(DS$12&gt;=$E36,DS$12&lt;=$F36,MOD(DS$12,7)&gt;1,NOT(COUNTIF(General!$U$13:$U$19,DS$12))),$I36,"")</f>
        <v/>
      </c>
      <c r="DT36" s="390" t="str">
        <f>IF(AND(DT$12&gt;=$E36,DT$12&lt;=$F36,MOD(DT$12,7)&gt;1,NOT(COUNTIF(General!$U$13:$U$19,DT$12))),$I36,"")</f>
        <v/>
      </c>
      <c r="DU36" s="390" t="str">
        <f>IF(AND(DU$12&gt;=$E36,DU$12&lt;=$F36,MOD(DU$12,7)&gt;1,NOT(COUNTIF(General!$U$13:$U$19,DU$12))),$I36,"")</f>
        <v/>
      </c>
      <c r="DV36" s="390" t="str">
        <f>IF(AND(DV$12&gt;=$E36,DV$12&lt;=$F36,MOD(DV$12,7)&gt;1,NOT(COUNTIF(General!$U$13:$U$19,DV$12))),$I36,"")</f>
        <v/>
      </c>
      <c r="DW36" s="390" t="str">
        <f>IF(AND(DW$12&gt;=$E36,DW$12&lt;=$F36,MOD(DW$12,7)&gt;1,NOT(COUNTIF(General!$U$13:$U$19,DW$12))),$I36,"")</f>
        <v/>
      </c>
      <c r="DX36" s="390" t="str">
        <f>IF(AND(DX$12&gt;=$E36,DX$12&lt;=$F36,MOD(DX$12,7)&gt;1,NOT(COUNTIF(General!$U$13:$U$19,DX$12))),$I36,"")</f>
        <v/>
      </c>
      <c r="DY36" s="390" t="str">
        <f>IF(AND(DY$12&gt;=$E36,DY$12&lt;=$F36,MOD(DY$12,7)&gt;1,NOT(COUNTIF(General!$U$13:$U$19,DY$12))),$I36,"")</f>
        <v/>
      </c>
      <c r="DZ36" s="390" t="str">
        <f>IF(AND(DZ$12&gt;=$E36,DZ$12&lt;=$F36,MOD(DZ$12,7)&gt;1,NOT(COUNTIF(General!$U$13:$U$19,DZ$12))),$I36,"")</f>
        <v/>
      </c>
      <c r="EA36" s="390" t="str">
        <f>IF(AND(EA$12&gt;=$E36,EA$12&lt;=$F36,MOD(EA$12,7)&gt;1,NOT(COUNTIF(General!$U$13:$U$19,EA$12))),$I36,"")</f>
        <v/>
      </c>
      <c r="EB36" s="390" t="str">
        <f>IF(AND(EB$12&gt;=$E36,EB$12&lt;=$F36,MOD(EB$12,7)&gt;1,NOT(COUNTIF(General!$U$13:$U$19,EB$12))),$I36,"")</f>
        <v/>
      </c>
      <c r="EC36" s="390" t="str">
        <f>IF(AND(EC$12&gt;=$E36,EC$12&lt;=$F36,MOD(EC$12,7)&gt;1,NOT(COUNTIF(General!$U$13:$U$19,EC$12))),$I36,"")</f>
        <v/>
      </c>
      <c r="ED36" s="390" t="str">
        <f>IF(AND(ED$12&gt;=$E36,ED$12&lt;=$F36,MOD(ED$12,7)&gt;1,NOT(COUNTIF(General!$U$13:$U$19,ED$12))),$I36,"")</f>
        <v/>
      </c>
      <c r="EE36" s="390" t="str">
        <f>IF(AND(EE$12&gt;=$E36,EE$12&lt;=$F36,MOD(EE$12,7)&gt;1,NOT(COUNTIF(General!$U$13:$U$19,EE$12))),$I36,"")</f>
        <v/>
      </c>
      <c r="EF36" s="390" t="str">
        <f>IF(AND(EF$12&gt;=$E36,EF$12&lt;=$F36,MOD(EF$12,7)&gt;1,NOT(COUNTIF(General!$U$13:$U$19,EF$12))),$I36,"")</f>
        <v/>
      </c>
      <c r="EG36" s="390" t="str">
        <f>IF(AND(EG$12&gt;=$E36,EG$12&lt;=$F36,MOD(EG$12,7)&gt;1,NOT(COUNTIF(General!$U$13:$U$19,EG$12))),$I36,"")</f>
        <v/>
      </c>
      <c r="EH36" s="390" t="str">
        <f>IF(AND(EH$12&gt;=$E36,EH$12&lt;=$F36,MOD(EH$12,7)&gt;1,NOT(COUNTIF(General!$U$13:$U$19,EH$12))),$I36,"")</f>
        <v/>
      </c>
      <c r="EI36" s="390" t="str">
        <f>IF(AND(EI$12&gt;=$E36,EI$12&lt;=$F36,MOD(EI$12,7)&gt;1,NOT(COUNTIF(General!$U$13:$U$19,EI$12))),$I36,"")</f>
        <v/>
      </c>
      <c r="EJ36" s="390" t="str">
        <f>IF(AND(EJ$12&gt;=$E36,EJ$12&lt;=$F36,MOD(EJ$12,7)&gt;1,NOT(COUNTIF(General!$U$13:$U$19,EJ$12))),$I36,"")</f>
        <v/>
      </c>
      <c r="EK36" s="390" t="str">
        <f>IF(AND(EK$12&gt;=$E36,EK$12&lt;=$F36,MOD(EK$12,7)&gt;1,NOT(COUNTIF(General!$U$13:$U$19,EK$12))),$I36,"")</f>
        <v/>
      </c>
      <c r="EL36" s="390" t="str">
        <f>IF(AND(EL$12&gt;=$E36,EL$12&lt;=$F36,MOD(EL$12,7)&gt;1,NOT(COUNTIF(General!$U$13:$U$19,EL$12))),$I36,"")</f>
        <v/>
      </c>
      <c r="EM36" s="390" t="str">
        <f>IF(AND(EM$12&gt;=$E36,EM$12&lt;=$F36,MOD(EM$12,7)&gt;1,NOT(COUNTIF(General!$U$13:$U$19,EM$12))),$I36,"")</f>
        <v/>
      </c>
      <c r="EN36" s="390" t="str">
        <f>IF(AND(EN$12&gt;=$E36,EN$12&lt;=$F36,MOD(EN$12,7)&gt;1,NOT(COUNTIF(General!$U$13:$U$19,EN$12))),$I36,"")</f>
        <v/>
      </c>
      <c r="EO36" s="390" t="str">
        <f>IF(AND(EO$12&gt;=$E36,EO$12&lt;=$F36,MOD(EO$12,7)&gt;1,NOT(COUNTIF(General!$U$13:$U$19,EO$12))),$I36,"")</f>
        <v/>
      </c>
      <c r="EP36" s="390" t="str">
        <f>IF(AND(EP$12&gt;=$E36,EP$12&lt;=$F36,MOD(EP$12,7)&gt;1,NOT(COUNTIF(General!$U$13:$U$19,EP$12))),$I36,"")</f>
        <v/>
      </c>
      <c r="EQ36" s="390" t="str">
        <f>IF(AND(EQ$12&gt;=$E36,EQ$12&lt;=$F36,MOD(EQ$12,7)&gt;1,NOT(COUNTIF(General!$U$13:$U$19,EQ$12))),$I36,"")</f>
        <v/>
      </c>
      <c r="ER36" s="390" t="str">
        <f>IF(AND(ER$12&gt;=$E36,ER$12&lt;=$F36,MOD(ER$12,7)&gt;1,NOT(COUNTIF(General!$U$13:$U$19,ER$12))),$I36,"")</f>
        <v/>
      </c>
      <c r="ES36" s="390" t="str">
        <f>IF(AND(ES$12&gt;=$E36,ES$12&lt;=$F36,MOD(ES$12,7)&gt;1,NOT(COUNTIF(General!$U$13:$U$19,ES$12))),$I36,"")</f>
        <v/>
      </c>
      <c r="ET36" s="390" t="str">
        <f>IF(AND(ET$12&gt;=$E36,ET$12&lt;=$F36,MOD(ET$12,7)&gt;1,NOT(COUNTIF(General!$U$13:$U$19,ET$12))),$I36,"")</f>
        <v/>
      </c>
      <c r="EU36" s="390" t="str">
        <f>IF(AND(EU$12&gt;=$E36,EU$12&lt;=$F36,MOD(EU$12,7)&gt;1,NOT(COUNTIF(General!$U$13:$U$19,EU$12))),$I36,"")</f>
        <v/>
      </c>
      <c r="EV36" s="390" t="str">
        <f>IF(AND(EV$12&gt;=$E36,EV$12&lt;=$F36,MOD(EV$12,7)&gt;1,NOT(COUNTIF(General!$U$13:$U$19,EV$12))),$I36,"")</f>
        <v/>
      </c>
      <c r="EW36" s="390" t="str">
        <f>IF(AND(EW$12&gt;=$E36,EW$12&lt;=$F36,MOD(EW$12,7)&gt;1,NOT(COUNTIF(General!$U$13:$U$19,EW$12))),$I36,"")</f>
        <v/>
      </c>
      <c r="EX36" s="390" t="str">
        <f>IF(AND(EX$12&gt;=$E36,EX$12&lt;=$F36,MOD(EX$12,7)&gt;1,NOT(COUNTIF(General!$U$13:$U$19,EX$12))),$I36,"")</f>
        <v/>
      </c>
      <c r="EY36" s="390" t="str">
        <f>IF(AND(EY$12&gt;=$E36,EY$12&lt;=$F36,MOD(EY$12,7)&gt;1,NOT(COUNTIF(General!$U$13:$U$19,EY$12))),$I36,"")</f>
        <v/>
      </c>
      <c r="EZ36" s="390" t="str">
        <f>IF(AND(EZ$12&gt;=$E36,EZ$12&lt;=$F36,MOD(EZ$12,7)&gt;1,NOT(COUNTIF(General!$U$13:$U$19,EZ$12))),$I36,"")</f>
        <v/>
      </c>
      <c r="FA36" s="390" t="str">
        <f>IF(AND(FA$12&gt;=$E36,FA$12&lt;=$F36,MOD(FA$12,7)&gt;1,NOT(COUNTIF(General!$U$13:$U$19,FA$12))),$I36,"")</f>
        <v/>
      </c>
      <c r="FB36" s="390" t="str">
        <f>IF(AND(FB$12&gt;=$E36,FB$12&lt;=$F36,MOD(FB$12,7)&gt;1,NOT(COUNTIF(General!$U$13:$U$19,FB$12))),$I36,"")</f>
        <v/>
      </c>
      <c r="FC36" s="390" t="str">
        <f>IF(AND(FC$12&gt;=$E36,FC$12&lt;=$F36,MOD(FC$12,7)&gt;1,NOT(COUNTIF(General!$U$13:$U$19,FC$12))),$I36,"")</f>
        <v/>
      </c>
      <c r="FD36" s="390" t="str">
        <f>IF(AND(FD$12&gt;=$E36,FD$12&lt;=$F36,MOD(FD$12,7)&gt;1,NOT(COUNTIF(General!$U$13:$U$19,FD$12))),$I36,"")</f>
        <v/>
      </c>
      <c r="FE36" s="390" t="str">
        <f>IF(AND(FE$12&gt;=$E36,FE$12&lt;=$F36,MOD(FE$12,7)&gt;1,NOT(COUNTIF(General!$U$13:$U$19,FE$12))),$I36,"")</f>
        <v/>
      </c>
      <c r="FF36" s="390" t="str">
        <f>IF(AND(FF$12&gt;=$E36,FF$12&lt;=$F36,MOD(FF$12,7)&gt;1,NOT(COUNTIF(General!$U$13:$U$19,FF$12))),$I36,"")</f>
        <v/>
      </c>
      <c r="FG36" s="390" t="str">
        <f>IF(AND(FG$12&gt;=$E36,FG$12&lt;=$F36,MOD(FG$12,7)&gt;1,NOT(COUNTIF(General!$U$13:$U$19,FG$12))),$I36,"")</f>
        <v/>
      </c>
      <c r="FH36" s="390" t="str">
        <f>IF(AND(FH$12&gt;=$E36,FH$12&lt;=$F36,MOD(FH$12,7)&gt;1,NOT(COUNTIF(General!$U$13:$U$19,FH$12))),$I36,"")</f>
        <v/>
      </c>
      <c r="FI36" s="390" t="str">
        <f>IF(AND(FI$12&gt;=$E36,FI$12&lt;=$F36,MOD(FI$12,7)&gt;1,NOT(COUNTIF(General!$U$13:$U$19,FI$12))),$I36,"")</f>
        <v/>
      </c>
      <c r="FJ36" s="390" t="str">
        <f>IF(AND(FJ$12&gt;=$E36,FJ$12&lt;=$F36,MOD(FJ$12,7)&gt;1,NOT(COUNTIF(General!$U$13:$U$19,FJ$12))),$I36,"")</f>
        <v/>
      </c>
      <c r="FK36" s="390" t="str">
        <f>IF(AND(FK$12&gt;=$E36,FK$12&lt;=$F36,MOD(FK$12,7)&gt;1,NOT(COUNTIF(General!$U$13:$U$19,FK$12))),$I36,"")</f>
        <v/>
      </c>
      <c r="FL36" s="390" t="str">
        <f>IF(AND(FL$12&gt;=$E36,FL$12&lt;=$F36,MOD(FL$12,7)&gt;1,NOT(COUNTIF(General!$U$13:$U$19,FL$12))),$I36,"")</f>
        <v/>
      </c>
      <c r="FM36" s="390" t="str">
        <f>IF(AND(FM$12&gt;=$E36,FM$12&lt;=$F36,MOD(FM$12,7)&gt;1,NOT(COUNTIF(General!$U$13:$U$19,FM$12))),$I36,"")</f>
        <v/>
      </c>
      <c r="FN36" s="390" t="str">
        <f>IF(AND(FN$12&gt;=$E36,FN$12&lt;=$F36,MOD(FN$12,7)&gt;1,NOT(COUNTIF(General!$U$13:$U$19,FN$12))),$I36,"")</f>
        <v/>
      </c>
      <c r="FO36" s="390" t="str">
        <f>IF(AND(FO$12&gt;=$E36,FO$12&lt;=$F36,MOD(FO$12,7)&gt;1,NOT(COUNTIF(General!$U$13:$U$19,FO$12))),$I36,"")</f>
        <v/>
      </c>
      <c r="FP36" s="390" t="str">
        <f>IF(AND(FP$12&gt;=$E36,FP$12&lt;=$F36,MOD(FP$12,7)&gt;1,NOT(COUNTIF(General!$U$13:$U$19,FP$12))),$I36,"")</f>
        <v/>
      </c>
      <c r="FQ36" s="390" t="str">
        <f>IF(AND(FQ$12&gt;=$E36,FQ$12&lt;=$F36,MOD(FQ$12,7)&gt;1,NOT(COUNTIF(General!$U$13:$U$19,FQ$12))),$I36,"")</f>
        <v/>
      </c>
      <c r="FR36" s="390" t="str">
        <f>IF(AND(FR$12&gt;=$E36,FR$12&lt;=$F36,MOD(FR$12,7)&gt;1,NOT(COUNTIF(General!$U$13:$U$19,FR$12))),$I36,"")</f>
        <v/>
      </c>
      <c r="FS36" s="390" t="str">
        <f>IF(AND(FS$12&gt;=$E36,FS$12&lt;=$F36,MOD(FS$12,7)&gt;1,NOT(COUNTIF(General!$U$13:$U$19,FS$12))),$I36,"")</f>
        <v/>
      </c>
      <c r="FT36" s="390" t="str">
        <f>IF(AND(FT$12&gt;=$E36,FT$12&lt;=$F36,MOD(FT$12,7)&gt;1,NOT(COUNTIF(General!$U$13:$U$19,FT$12))),$I36,"")</f>
        <v/>
      </c>
      <c r="FU36" s="390" t="str">
        <f>IF(AND(FU$12&gt;=$E36,FU$12&lt;=$F36,MOD(FU$12,7)&gt;1,NOT(COUNTIF(General!$U$13:$U$19,FU$12))),$I36,"")</f>
        <v/>
      </c>
      <c r="FV36" s="390" t="str">
        <f>IF(AND(FV$12&gt;=$E36,FV$12&lt;=$F36,MOD(FV$12,7)&gt;1,NOT(COUNTIF(General!$U$13:$U$19,FV$12))),$I36,"")</f>
        <v/>
      </c>
      <c r="FW36" s="390" t="str">
        <f>IF(AND(FW$12&gt;=$E36,FW$12&lt;=$F36,MOD(FW$12,7)&gt;1,NOT(COUNTIF(General!$U$13:$U$19,FW$12))),$I36,"")</f>
        <v/>
      </c>
      <c r="FX36" s="390" t="str">
        <f>IF(AND(FX$12&gt;=$E36,FX$12&lt;=$F36,MOD(FX$12,7)&gt;1,NOT(COUNTIF(General!$U$13:$U$19,FX$12))),$I36,"")</f>
        <v/>
      </c>
    </row>
    <row r="37">
      <c r="A37" s="368"/>
      <c r="B37" s="369"/>
      <c r="C37" s="370"/>
      <c r="D37" s="572" t="s">
        <v>571</v>
      </c>
      <c r="E37" s="599">
        <v>43817.0</v>
      </c>
      <c r="F37" s="374">
        <f>WORKDAY(E37,ROUNDUP(G37/I37,0),General!$U$13:$U$27)-1</f>
        <v>43818</v>
      </c>
      <c r="G37" s="542">
        <f>G36*0.4</f>
        <v>1.2</v>
      </c>
      <c r="H37" s="377"/>
      <c r="I37" s="368">
        <v>1.0</v>
      </c>
      <c r="J37" s="379"/>
      <c r="K37" s="573"/>
      <c r="L37" s="573"/>
      <c r="M37" s="574"/>
      <c r="N37" s="384"/>
      <c r="O37" s="386"/>
      <c r="P37" s="575"/>
      <c r="Q37" s="390" t="str">
        <f>IF(AND(Q$12&gt;=$E37,Q$12&lt;=$F37,MOD(Q$12,7)&gt;1,NOT(COUNTIF(General!$U$13:$U$19,Q$12))),$I37,"")</f>
        <v/>
      </c>
      <c r="R37" s="390" t="str">
        <f>IF(AND(R$12&gt;=$E37,R$12&lt;=$F37,MOD(R$12,7)&gt;1,NOT(COUNTIF(General!$U$13:$U$19,R$12))),$I37,"")</f>
        <v/>
      </c>
      <c r="S37" s="390" t="str">
        <f>IF(AND(S$12&gt;=$E37,S$12&lt;=$F37,MOD(S$12,7)&gt;1,NOT(COUNTIF(General!$U$13:$U$19,S$12))),$I37,"")</f>
        <v/>
      </c>
      <c r="T37" s="390" t="str">
        <f>IF(AND(T$12&gt;=$E37,T$12&lt;=$F37,MOD(T$12,7)&gt;1,NOT(COUNTIF(General!$U$13:$U$19,T$12))),$I37,"")</f>
        <v/>
      </c>
      <c r="U37" s="390" t="str">
        <f>IF(AND(U$12&gt;=$E37,U$12&lt;=$F37,MOD(U$12,7)&gt;1,NOT(COUNTIF(General!$U$13:$U$19,U$12))),$I37,"")</f>
        <v/>
      </c>
      <c r="V37" s="390" t="str">
        <f>IF(AND(V$12&gt;=$E37,V$12&lt;=$F37,MOD(V$12,7)&gt;1,NOT(COUNTIF(General!$U$13:$U$19,V$12))),$I37,"")</f>
        <v/>
      </c>
      <c r="W37" s="390" t="str">
        <f>IF(AND(W$12&gt;=$E37,W$12&lt;=$F37,MOD(W$12,7)&gt;1,NOT(COUNTIF(General!$U$13:$U$19,W$12))),$I37,"")</f>
        <v/>
      </c>
      <c r="X37" s="390" t="str">
        <f>IF(AND(X$12&gt;=$E37,X$12&lt;=$F37,MOD(X$12,7)&gt;1,NOT(COUNTIF(General!$U$13:$U$19,X$12))),$I37,"")</f>
        <v/>
      </c>
      <c r="Y37" s="390" t="str">
        <f>IF(AND(Y$12&gt;=$E37,Y$12&lt;=$F37,MOD(Y$12,7)&gt;1,NOT(COUNTIF(General!$U$13:$U$19,Y$12))),$I37,"")</f>
        <v/>
      </c>
      <c r="Z37" s="390" t="str">
        <f>IF(AND(Z$12&gt;=$E37,Z$12&lt;=$F37,MOD(Z$12,7)&gt;1,NOT(COUNTIF(General!$U$13:$U$19,Z$12))),$I37,"")</f>
        <v/>
      </c>
      <c r="AA37" s="390" t="str">
        <f>IF(AND(AA$12&gt;=$E37,AA$12&lt;=$F37,MOD(AA$12,7)&gt;1,NOT(COUNTIF(General!$U$13:$U$19,AA$12))),$I37,"")</f>
        <v/>
      </c>
      <c r="AB37" s="390" t="str">
        <f>IF(AND(AB$12&gt;=$E37,AB$12&lt;=$F37,MOD(AB$12,7)&gt;1,NOT(COUNTIF(General!$U$13:$U$19,AB$12))),$I37,"")</f>
        <v/>
      </c>
      <c r="AC37" s="390" t="str">
        <f>IF(AND(AC$12&gt;=$E37,AC$12&lt;=$F37,MOD(AC$12,7)&gt;1,NOT(COUNTIF(General!$U$13:$U$19,AC$12))),$I37,"")</f>
        <v/>
      </c>
      <c r="AD37" s="390" t="str">
        <f>IF(AND(AD$12&gt;=$E37,AD$12&lt;=$F37,MOD(AD$12,7)&gt;1,NOT(COUNTIF(General!$U$13:$U$19,AD$12))),$I37,"")</f>
        <v/>
      </c>
      <c r="AE37" s="390" t="str">
        <f>IF(AND(AE$12&gt;=$E37,AE$12&lt;=$F37,MOD(AE$12,7)&gt;1,NOT(COUNTIF(General!$U$13:$U$19,AE$12))),$I37,"")</f>
        <v/>
      </c>
      <c r="AF37" s="390" t="str">
        <f>IF(AND(AF$12&gt;=$E37,AF$12&lt;=$F37,MOD(AF$12,7)&gt;1,NOT(COUNTIF(General!$U$13:$U$19,AF$12))),$I37,"")</f>
        <v/>
      </c>
      <c r="AG37" s="390">
        <f>IF(AND(AG$12&gt;=$E37,AG$12&lt;=$F37,MOD(AG$12,7)&gt;1,NOT(COUNTIF(General!$U$13:$U$19,AG$12))),$I37,"")</f>
        <v>1</v>
      </c>
      <c r="AH37" s="390">
        <f>IF(AND(AH$12&gt;=$E37,AH$12&lt;=$F37,MOD(AH$12,7)&gt;1,NOT(COUNTIF(General!$U$13:$U$19,AH$12))),$I37,"")</f>
        <v>1</v>
      </c>
      <c r="AI37" s="390" t="str">
        <f>IF(AND(AI$12&gt;=$E37,AI$12&lt;=$F37,MOD(AI$12,7)&gt;1,NOT(COUNTIF(General!$U$13:$U$19,AI$12))),$I37,"")</f>
        <v/>
      </c>
      <c r="AJ37" s="390" t="str">
        <f>IF(AND(AJ$12&gt;=$E37,AJ$12&lt;=$F37,MOD(AJ$12,7)&gt;1,NOT(COUNTIF(General!$U$13:$U$19,AJ$12))),$I37,"")</f>
        <v/>
      </c>
      <c r="AK37" s="390" t="str">
        <f>IF(AND(AK$12&gt;=$E37,AK$12&lt;=$F37,MOD(AK$12,7)&gt;1,NOT(COUNTIF(General!$U$13:$U$19,AK$12))),$I37,"")</f>
        <v/>
      </c>
      <c r="AL37" s="390" t="str">
        <f>IF(AND(AL$12&gt;=$E37,AL$12&lt;=$F37,MOD(AL$12,7)&gt;1,NOT(COUNTIF(General!$U$13:$U$19,AL$12))),$I37,"")</f>
        <v/>
      </c>
      <c r="AM37" s="390" t="str">
        <f>IF(AND(AM$12&gt;=$E37,AM$12&lt;=$F37,MOD(AM$12,7)&gt;1,NOT(COUNTIF(General!$U$13:$U$19,AM$12))),$I37,"")</f>
        <v/>
      </c>
      <c r="AN37" s="390" t="str">
        <f>IF(AND(AN$12&gt;=$E37,AN$12&lt;=$F37,MOD(AN$12,7)&gt;1,NOT(COUNTIF(General!$U$13:$U$19,AN$12))),$I37,"")</f>
        <v/>
      </c>
      <c r="AO37" s="390" t="str">
        <f>IF(AND(AO$12&gt;=$E37,AO$12&lt;=$F37,MOD(AO$12,7)&gt;1,NOT(COUNTIF(General!$U$13:$U$19,AO$12))),$I37,"")</f>
        <v/>
      </c>
      <c r="AP37" s="390" t="str">
        <f>IF(AND(AP$12&gt;=$E37,AP$12&lt;=$F37,MOD(AP$12,7)&gt;1,NOT(COUNTIF(General!$U$13:$U$19,AP$12))),$I37,"")</f>
        <v/>
      </c>
      <c r="AQ37" s="390" t="str">
        <f>IF(AND(AQ$12&gt;=$E37,AQ$12&lt;=$F37,MOD(AQ$12,7)&gt;1,NOT(COUNTIF(General!$U$13:$U$19,AQ$12))),$I37,"")</f>
        <v/>
      </c>
      <c r="AR37" s="390" t="str">
        <f>IF(AND(AR$12&gt;=$E37,AR$12&lt;=$F37,MOD(AR$12,7)&gt;1,NOT(COUNTIF(General!$U$13:$U$19,AR$12))),$I37,"")</f>
        <v/>
      </c>
      <c r="AS37" s="390" t="str">
        <f>IF(AND(AS$12&gt;=$E37,AS$12&lt;=$F37,MOD(AS$12,7)&gt;1,NOT(COUNTIF(General!$U$13:$U$19,AS$12))),$I37,"")</f>
        <v/>
      </c>
      <c r="AT37" s="390" t="str">
        <f>IF(AND(AT$12&gt;=$E37,AT$12&lt;=$F37,MOD(AT$12,7)&gt;1,NOT(COUNTIF(General!$U$13:$U$19,AT$12))),$I37,"")</f>
        <v/>
      </c>
      <c r="AU37" s="390" t="str">
        <f>IF(AND(AU$12&gt;=$E37,AU$12&lt;=$F37,MOD(AU$12,7)&gt;1,NOT(COUNTIF(General!$U$13:$U$19,AU$12))),$I37,"")</f>
        <v/>
      </c>
      <c r="AV37" s="390" t="str">
        <f>IF(AND(AV$12&gt;=$E37,AV$12&lt;=$F37,MOD(AV$12,7)&gt;1,NOT(COUNTIF(General!$U$13:$U$19,AV$12))),$I37,"")</f>
        <v/>
      </c>
      <c r="AW37" s="390" t="str">
        <f>IF(AND(AW$12&gt;=$E37,AW$12&lt;=$F37,MOD(AW$12,7)&gt;1,NOT(COUNTIF(General!$U$13:$U$19,AW$12))),$I37,"")</f>
        <v/>
      </c>
      <c r="AX37" s="390" t="str">
        <f>IF(AND(AX$12&gt;=$E37,AX$12&lt;=$F37,MOD(AX$12,7)&gt;1,NOT(COUNTIF(General!$U$13:$U$19,AX$12))),$I37,"")</f>
        <v/>
      </c>
      <c r="AY37" s="390" t="str">
        <f>IF(AND(AY$12&gt;=$E37,AY$12&lt;=$F37,MOD(AY$12,7)&gt;1,NOT(COUNTIF(General!$U$13:$U$19,AY$12))),$I37,"")</f>
        <v/>
      </c>
      <c r="AZ37" s="390" t="str">
        <f>IF(AND(AZ$12&gt;=$E37,AZ$12&lt;=$F37,MOD(AZ$12,7)&gt;1,NOT(COUNTIF(General!$U$13:$U$19,AZ$12))),$I37,"")</f>
        <v/>
      </c>
      <c r="BA37" s="390" t="str">
        <f>IF(AND(BA$12&gt;=$E37,BA$12&lt;=$F37,MOD(BA$12,7)&gt;1,NOT(COUNTIF(General!$U$13:$U$19,BA$12))),$I37,"")</f>
        <v/>
      </c>
      <c r="BB37" s="390" t="str">
        <f>IF(AND(BB$12&gt;=$E37,BB$12&lt;=$F37,MOD(BB$12,7)&gt;1,NOT(COUNTIF(General!$U$13:$U$19,BB$12))),$I37,"")</f>
        <v/>
      </c>
      <c r="BC37" s="390" t="str">
        <f>IF(AND(BC$12&gt;=$E37,BC$12&lt;=$F37,MOD(BC$12,7)&gt;1,NOT(COUNTIF(General!$U$13:$U$19,BC$12))),$I37,"")</f>
        <v/>
      </c>
      <c r="BD37" s="390" t="str">
        <f>IF(AND(BD$12&gt;=$E37,BD$12&lt;=$F37,MOD(BD$12,7)&gt;1,NOT(COUNTIF(General!$U$13:$U$19,BD$12))),$I37,"")</f>
        <v/>
      </c>
      <c r="BE37" s="390" t="str">
        <f>IF(AND(BE$12&gt;=$E37,BE$12&lt;=$F37,MOD(BE$12,7)&gt;1,NOT(COUNTIF(General!$U$13:$U$19,BE$12))),$I37,"")</f>
        <v/>
      </c>
      <c r="BF37" s="390" t="str">
        <f>IF(AND(BF$12&gt;=$E37,BF$12&lt;=$F37,MOD(BF$12,7)&gt;1,NOT(COUNTIF(General!$U$13:$U$19,BF$12))),$I37,"")</f>
        <v/>
      </c>
      <c r="BG37" s="390" t="str">
        <f>IF(AND(BG$12&gt;=$E37,BG$12&lt;=$F37,MOD(BG$12,7)&gt;1,NOT(COUNTIF(General!$U$13:$U$19,BG$12))),$I37,"")</f>
        <v/>
      </c>
      <c r="BH37" s="390" t="str">
        <f>IF(AND(BH$12&gt;=$E37,BH$12&lt;=$F37,MOD(BH$12,7)&gt;1,NOT(COUNTIF(General!$U$13:$U$19,BH$12))),$I37,"")</f>
        <v/>
      </c>
      <c r="BI37" s="390" t="str">
        <f>IF(AND(BI$12&gt;=$E37,BI$12&lt;=$F37,MOD(BI$12,7)&gt;1,NOT(COUNTIF(General!$U$13:$U$19,BI$12))),$I37,"")</f>
        <v/>
      </c>
      <c r="BJ37" s="390" t="str">
        <f>IF(AND(BJ$12&gt;=$E37,BJ$12&lt;=$F37,MOD(BJ$12,7)&gt;1,NOT(COUNTIF(General!$U$13:$U$19,BJ$12))),$I37,"")</f>
        <v/>
      </c>
      <c r="BK37" s="390" t="str">
        <f>IF(AND(BK$12&gt;=$E37,BK$12&lt;=$F37,MOD(BK$12,7)&gt;1,NOT(COUNTIF(General!$U$13:$U$19,BK$12))),$I37,"")</f>
        <v/>
      </c>
      <c r="BL37" s="390" t="str">
        <f>IF(AND(BL$12&gt;=$E37,BL$12&lt;=$F37,MOD(BL$12,7)&gt;1,NOT(COUNTIF(General!$U$13:$U$19,BL$12))),$I37,"")</f>
        <v/>
      </c>
      <c r="BM37" s="390" t="str">
        <f>IF(AND(BM$12&gt;=$E37,BM$12&lt;=$F37,MOD(BM$12,7)&gt;1,NOT(COUNTIF(General!$U$13:$U$19,BM$12))),$I37,"")</f>
        <v/>
      </c>
      <c r="BN37" s="390" t="str">
        <f>IF(AND(BN$12&gt;=$E37,BN$12&lt;=$F37,MOD(BN$12,7)&gt;1,NOT(COUNTIF(General!$U$13:$U$19,BN$12))),$I37,"")</f>
        <v/>
      </c>
      <c r="BO37" s="390" t="str">
        <f>IF(AND(BO$12&gt;=$E37,BO$12&lt;=$F37,MOD(BO$12,7)&gt;1,NOT(COUNTIF(General!$U$13:$U$19,BO$12))),$I37,"")</f>
        <v/>
      </c>
      <c r="BP37" s="390" t="str">
        <f>IF(AND(BP$12&gt;=$E37,BP$12&lt;=$F37,MOD(BP$12,7)&gt;1,NOT(COUNTIF(General!$U$13:$U$19,BP$12))),$I37,"")</f>
        <v/>
      </c>
      <c r="BQ37" s="390" t="str">
        <f>IF(AND(BQ$12&gt;=$E37,BQ$12&lt;=$F37,MOD(BQ$12,7)&gt;1,NOT(COUNTIF(General!$U$13:$U$19,BQ$12))),$I37,"")</f>
        <v/>
      </c>
      <c r="BR37" s="390" t="str">
        <f>IF(AND(BR$12&gt;=$E37,BR$12&lt;=$F37,MOD(BR$12,7)&gt;1,NOT(COUNTIF(General!$U$13:$U$19,BR$12))),$I37,"")</f>
        <v/>
      </c>
      <c r="BS37" s="390" t="str">
        <f>IF(AND(BS$12&gt;=$E37,BS$12&lt;=$F37,MOD(BS$12,7)&gt;1,NOT(COUNTIF(General!$U$13:$U$19,BS$12))),$I37,"")</f>
        <v/>
      </c>
      <c r="BT37" s="390" t="str">
        <f>IF(AND(BT$12&gt;=$E37,BT$12&lt;=$F37,MOD(BT$12,7)&gt;1,NOT(COUNTIF(General!$U$13:$U$19,BT$12))),$I37,"")</f>
        <v/>
      </c>
      <c r="BU37" s="390" t="str">
        <f>IF(AND(BU$12&gt;=$E37,BU$12&lt;=$F37,MOD(BU$12,7)&gt;1,NOT(COUNTIF(General!$U$13:$U$19,BU$12))),$I37,"")</f>
        <v/>
      </c>
      <c r="BV37" s="390" t="str">
        <f>IF(AND(BV$12&gt;=$E37,BV$12&lt;=$F37,MOD(BV$12,7)&gt;1,NOT(COUNTIF(General!$U$13:$U$19,BV$12))),$I37,"")</f>
        <v/>
      </c>
      <c r="BW37" s="390" t="str">
        <f>IF(AND(BW$12&gt;=$E37,BW$12&lt;=$F37,MOD(BW$12,7)&gt;1,NOT(COUNTIF(General!$U$13:$U$19,BW$12))),$I37,"")</f>
        <v/>
      </c>
      <c r="BX37" s="390" t="str">
        <f>IF(AND(BX$12&gt;=$E37,BX$12&lt;=$F37,MOD(BX$12,7)&gt;1,NOT(COUNTIF(General!$U$13:$U$19,BX$12))),$I37,"")</f>
        <v/>
      </c>
      <c r="BY37" s="390" t="str">
        <f>IF(AND(BY$12&gt;=$E37,BY$12&lt;=$F37,MOD(BY$12,7)&gt;1,NOT(COUNTIF(General!$U$13:$U$19,BY$12))),$I37,"")</f>
        <v/>
      </c>
      <c r="BZ37" s="390" t="str">
        <f>IF(AND(BZ$12&gt;=$E37,BZ$12&lt;=$F37,MOD(BZ$12,7)&gt;1,NOT(COUNTIF(General!$U$13:$U$19,BZ$12))),$I37,"")</f>
        <v/>
      </c>
      <c r="CA37" s="390" t="str">
        <f>IF(AND(CA$12&gt;=$E37,CA$12&lt;=$F37,MOD(CA$12,7)&gt;1,NOT(COUNTIF(General!$U$13:$U$19,CA$12))),$I37,"")</f>
        <v/>
      </c>
      <c r="CB37" s="390" t="str">
        <f>IF(AND(CB$12&gt;=$E37,CB$12&lt;=$F37,MOD(CB$12,7)&gt;1,NOT(COUNTIF(General!$U$13:$U$19,CB$12))),$I37,"")</f>
        <v/>
      </c>
      <c r="CC37" s="390" t="str">
        <f>IF(AND(CC$12&gt;=$E37,CC$12&lt;=$F37,MOD(CC$12,7)&gt;1,NOT(COUNTIF(General!$U$13:$U$19,CC$12))),$I37,"")</f>
        <v/>
      </c>
      <c r="CD37" s="390" t="str">
        <f>IF(AND(CD$12&gt;=$E37,CD$12&lt;=$F37,MOD(CD$12,7)&gt;1,NOT(COUNTIF(General!$U$13:$U$19,CD$12))),$I37,"")</f>
        <v/>
      </c>
      <c r="CE37" s="390" t="str">
        <f>IF(AND(CE$12&gt;=$E37,CE$12&lt;=$F37,MOD(CE$12,7)&gt;1,NOT(COUNTIF(General!$U$13:$U$19,CE$12))),$I37,"")</f>
        <v/>
      </c>
      <c r="CF37" s="390" t="str">
        <f>IF(AND(CF$12&gt;=$E37,CF$12&lt;=$F37,MOD(CF$12,7)&gt;1,NOT(COUNTIF(General!$U$13:$U$19,CF$12))),$I37,"")</f>
        <v/>
      </c>
      <c r="CG37" s="390" t="str">
        <f>IF(AND(CG$12&gt;=$E37,CG$12&lt;=$F37,MOD(CG$12,7)&gt;1,NOT(COUNTIF(General!$U$13:$U$19,CG$12))),$I37,"")</f>
        <v/>
      </c>
      <c r="CH37" s="390" t="str">
        <f>IF(AND(CH$12&gt;=$E37,CH$12&lt;=$F37,MOD(CH$12,7)&gt;1,NOT(COUNTIF(General!$U$13:$U$19,CH$12))),$I37,"")</f>
        <v/>
      </c>
      <c r="CI37" s="390" t="str">
        <f>IF(AND(CI$12&gt;=$E37,CI$12&lt;=$F37,MOD(CI$12,7)&gt;1,NOT(COUNTIF(General!$U$13:$U$19,CI$12))),$I37,"")</f>
        <v/>
      </c>
      <c r="CJ37" s="390" t="str">
        <f>IF(AND(CJ$12&gt;=$E37,CJ$12&lt;=$F37,MOD(CJ$12,7)&gt;1,NOT(COUNTIF(General!$U$13:$U$19,CJ$12))),$I37,"")</f>
        <v/>
      </c>
      <c r="CK37" s="390" t="str">
        <f>IF(AND(CK$12&gt;=$E37,CK$12&lt;=$F37,MOD(CK$12,7)&gt;1,NOT(COUNTIF(General!$U$13:$U$19,CK$12))),$I37,"")</f>
        <v/>
      </c>
      <c r="CL37" s="390" t="str">
        <f>IF(AND(CL$12&gt;=$E37,CL$12&lt;=$F37,MOD(CL$12,7)&gt;1,NOT(COUNTIF(General!$U$13:$U$19,CL$12))),$I37,"")</f>
        <v/>
      </c>
      <c r="CM37" s="390" t="str">
        <f>IF(AND(CM$12&gt;=$E37,CM$12&lt;=$F37,MOD(CM$12,7)&gt;1,NOT(COUNTIF(General!$U$13:$U$19,CM$12))),$I37,"")</f>
        <v/>
      </c>
      <c r="CN37" s="390" t="str">
        <f>IF(AND(CN$12&gt;=$E37,CN$12&lt;=$F37,MOD(CN$12,7)&gt;1,NOT(COUNTIF(General!$U$13:$U$19,CN$12))),$I37,"")</f>
        <v/>
      </c>
      <c r="CO37" s="390" t="str">
        <f>IF(AND(CO$12&gt;=$E37,CO$12&lt;=$F37,MOD(CO$12,7)&gt;1,NOT(COUNTIF(General!$U$13:$U$19,CO$12))),$I37,"")</f>
        <v/>
      </c>
      <c r="CP37" s="390" t="str">
        <f>IF(AND(CP$12&gt;=$E37,CP$12&lt;=$F37,MOD(CP$12,7)&gt;1,NOT(COUNTIF(General!$U$13:$U$19,CP$12))),$I37,"")</f>
        <v/>
      </c>
      <c r="CQ37" s="390" t="str">
        <f>IF(AND(CQ$12&gt;=$E37,CQ$12&lt;=$F37,MOD(CQ$12,7)&gt;1,NOT(COUNTIF(General!$U$13:$U$19,CQ$12))),$I37,"")</f>
        <v/>
      </c>
      <c r="CR37" s="390" t="str">
        <f>IF(AND(CR$12&gt;=$E37,CR$12&lt;=$F37,MOD(CR$12,7)&gt;1,NOT(COUNTIF(General!$U$13:$U$19,CR$12))),$I37,"")</f>
        <v/>
      </c>
      <c r="CS37" s="390" t="str">
        <f>IF(AND(CS$12&gt;=$E37,CS$12&lt;=$F37,MOD(CS$12,7)&gt;1,NOT(COUNTIF(General!$U$13:$U$19,CS$12))),$I37,"")</f>
        <v/>
      </c>
      <c r="CT37" s="390" t="str">
        <f>IF(AND(CT$12&gt;=$E37,CT$12&lt;=$F37,MOD(CT$12,7)&gt;1,NOT(COUNTIF(General!$U$13:$U$19,CT$12))),$I37,"")</f>
        <v/>
      </c>
      <c r="CU37" s="390" t="str">
        <f>IF(AND(CU$12&gt;=$E37,CU$12&lt;=$F37,MOD(CU$12,7)&gt;1,NOT(COUNTIF(General!$U$13:$U$19,CU$12))),$I37,"")</f>
        <v/>
      </c>
      <c r="CV37" s="390" t="str">
        <f>IF(AND(CV$12&gt;=$E37,CV$12&lt;=$F37,MOD(CV$12,7)&gt;1,NOT(COUNTIF(General!$U$13:$U$19,CV$12))),$I37,"")</f>
        <v/>
      </c>
      <c r="CW37" s="390" t="str">
        <f>IF(AND(CW$12&gt;=$E37,CW$12&lt;=$F37,MOD(CW$12,7)&gt;1,NOT(COUNTIF(General!$U$13:$U$19,CW$12))),$I37,"")</f>
        <v/>
      </c>
      <c r="CX37" s="390" t="str">
        <f>IF(AND(CX$12&gt;=$E37,CX$12&lt;=$F37,MOD(CX$12,7)&gt;1,NOT(COUNTIF(General!$U$13:$U$19,CX$12))),$I37,"")</f>
        <v/>
      </c>
      <c r="CY37" s="390" t="str">
        <f>IF(AND(CY$12&gt;=$E37,CY$12&lt;=$F37,MOD(CY$12,7)&gt;1,NOT(COUNTIF(General!$U$13:$U$19,CY$12))),$I37,"")</f>
        <v/>
      </c>
      <c r="CZ37" s="390" t="str">
        <f>IF(AND(CZ$12&gt;=$E37,CZ$12&lt;=$F37,MOD(CZ$12,7)&gt;1,NOT(COUNTIF(General!$U$13:$U$19,CZ$12))),$I37,"")</f>
        <v/>
      </c>
      <c r="DA37" s="390" t="str">
        <f>IF(AND(DA$12&gt;=$E37,DA$12&lt;=$F37,MOD(DA$12,7)&gt;1,NOT(COUNTIF(General!$U$13:$U$19,DA$12))),$I37,"")</f>
        <v/>
      </c>
      <c r="DB37" s="390" t="str">
        <f>IF(AND(DB$12&gt;=$E37,DB$12&lt;=$F37,MOD(DB$12,7)&gt;1,NOT(COUNTIF(General!$U$13:$U$19,DB$12))),$I37,"")</f>
        <v/>
      </c>
      <c r="DC37" s="390" t="str">
        <f>IF(AND(DC$12&gt;=$E37,DC$12&lt;=$F37,MOD(DC$12,7)&gt;1,NOT(COUNTIF(General!$U$13:$U$19,DC$12))),$I37,"")</f>
        <v/>
      </c>
      <c r="DD37" s="390" t="str">
        <f>IF(AND(DD$12&gt;=$E37,DD$12&lt;=$F37,MOD(DD$12,7)&gt;1,NOT(COUNTIF(General!$U$13:$U$19,DD$12))),$I37,"")</f>
        <v/>
      </c>
      <c r="DE37" s="390" t="str">
        <f>IF(AND(DE$12&gt;=$E37,DE$12&lt;=$F37,MOD(DE$12,7)&gt;1,NOT(COUNTIF(General!$U$13:$U$19,DE$12))),$I37,"")</f>
        <v/>
      </c>
      <c r="DF37" s="390" t="str">
        <f>IF(AND(DF$12&gt;=$E37,DF$12&lt;=$F37,MOD(DF$12,7)&gt;1,NOT(COUNTIF(General!$U$13:$U$19,DF$12))),$I37,"")</f>
        <v/>
      </c>
      <c r="DG37" s="390" t="str">
        <f>IF(AND(DG$12&gt;=$E37,DG$12&lt;=$F37,MOD(DG$12,7)&gt;1,NOT(COUNTIF(General!$U$13:$U$19,DG$12))),$I37,"")</f>
        <v/>
      </c>
      <c r="DH37" s="390" t="str">
        <f>IF(AND(DH$12&gt;=$E37,DH$12&lt;=$F37,MOD(DH$12,7)&gt;1,NOT(COUNTIF(General!$U$13:$U$19,DH$12))),$I37,"")</f>
        <v/>
      </c>
      <c r="DI37" s="390" t="str">
        <f>IF(AND(DI$12&gt;=$E37,DI$12&lt;=$F37,MOD(DI$12,7)&gt;1,NOT(COUNTIF(General!$U$13:$U$19,DI$12))),$I37,"")</f>
        <v/>
      </c>
      <c r="DJ37" s="390" t="str">
        <f>IF(AND(DJ$12&gt;=$E37,DJ$12&lt;=$F37,MOD(DJ$12,7)&gt;1,NOT(COUNTIF(General!$U$13:$U$19,DJ$12))),$I37,"")</f>
        <v/>
      </c>
      <c r="DK37" s="390" t="str">
        <f>IF(AND(DK$12&gt;=$E37,DK$12&lt;=$F37,MOD(DK$12,7)&gt;1,NOT(COUNTIF(General!$U$13:$U$19,DK$12))),$I37,"")</f>
        <v/>
      </c>
      <c r="DL37" s="390" t="str">
        <f>IF(AND(DL$12&gt;=$E37,DL$12&lt;=$F37,MOD(DL$12,7)&gt;1,NOT(COUNTIF(General!$U$13:$U$19,DL$12))),$I37,"")</f>
        <v/>
      </c>
      <c r="DM37" s="390" t="str">
        <f>IF(AND(DM$12&gt;=$E37,DM$12&lt;=$F37,MOD(DM$12,7)&gt;1,NOT(COUNTIF(General!$U$13:$U$19,DM$12))),$I37,"")</f>
        <v/>
      </c>
      <c r="DN37" s="390" t="str">
        <f>IF(AND(DN$12&gt;=$E37,DN$12&lt;=$F37,MOD(DN$12,7)&gt;1,NOT(COUNTIF(General!$U$13:$U$19,DN$12))),$I37,"")</f>
        <v/>
      </c>
      <c r="DO37" s="390" t="str">
        <f>IF(AND(DO$12&gt;=$E37,DO$12&lt;=$F37,MOD(DO$12,7)&gt;1,NOT(COUNTIF(General!$U$13:$U$19,DO$12))),$I37,"")</f>
        <v/>
      </c>
      <c r="DP37" s="390" t="str">
        <f>IF(AND(DP$12&gt;=$E37,DP$12&lt;=$F37,MOD(DP$12,7)&gt;1,NOT(COUNTIF(General!$U$13:$U$19,DP$12))),$I37,"")</f>
        <v/>
      </c>
      <c r="DQ37" s="390" t="str">
        <f>IF(AND(DQ$12&gt;=$E37,DQ$12&lt;=$F37,MOD(DQ$12,7)&gt;1,NOT(COUNTIF(General!$U$13:$U$19,DQ$12))),$I37,"")</f>
        <v/>
      </c>
      <c r="DR37" s="390" t="str">
        <f>IF(AND(DR$12&gt;=$E37,DR$12&lt;=$F37,MOD(DR$12,7)&gt;1,NOT(COUNTIF(General!$U$13:$U$19,DR$12))),$I37,"")</f>
        <v/>
      </c>
      <c r="DS37" s="390" t="str">
        <f>IF(AND(DS$12&gt;=$E37,DS$12&lt;=$F37,MOD(DS$12,7)&gt;1,NOT(COUNTIF(General!$U$13:$U$19,DS$12))),$I37,"")</f>
        <v/>
      </c>
      <c r="DT37" s="390" t="str">
        <f>IF(AND(DT$12&gt;=$E37,DT$12&lt;=$F37,MOD(DT$12,7)&gt;1,NOT(COUNTIF(General!$U$13:$U$19,DT$12))),$I37,"")</f>
        <v/>
      </c>
      <c r="DU37" s="390" t="str">
        <f>IF(AND(DU$12&gt;=$E37,DU$12&lt;=$F37,MOD(DU$12,7)&gt;1,NOT(COUNTIF(General!$U$13:$U$19,DU$12))),$I37,"")</f>
        <v/>
      </c>
      <c r="DV37" s="390" t="str">
        <f>IF(AND(DV$12&gt;=$E37,DV$12&lt;=$F37,MOD(DV$12,7)&gt;1,NOT(COUNTIF(General!$U$13:$U$19,DV$12))),$I37,"")</f>
        <v/>
      </c>
      <c r="DW37" s="390" t="str">
        <f>IF(AND(DW$12&gt;=$E37,DW$12&lt;=$F37,MOD(DW$12,7)&gt;1,NOT(COUNTIF(General!$U$13:$U$19,DW$12))),$I37,"")</f>
        <v/>
      </c>
      <c r="DX37" s="390" t="str">
        <f>IF(AND(DX$12&gt;=$E37,DX$12&lt;=$F37,MOD(DX$12,7)&gt;1,NOT(COUNTIF(General!$U$13:$U$19,DX$12))),$I37,"")</f>
        <v/>
      </c>
      <c r="DY37" s="390" t="str">
        <f>IF(AND(DY$12&gt;=$E37,DY$12&lt;=$F37,MOD(DY$12,7)&gt;1,NOT(COUNTIF(General!$U$13:$U$19,DY$12))),$I37,"")</f>
        <v/>
      </c>
      <c r="DZ37" s="390" t="str">
        <f>IF(AND(DZ$12&gt;=$E37,DZ$12&lt;=$F37,MOD(DZ$12,7)&gt;1,NOT(COUNTIF(General!$U$13:$U$19,DZ$12))),$I37,"")</f>
        <v/>
      </c>
      <c r="EA37" s="390" t="str">
        <f>IF(AND(EA$12&gt;=$E37,EA$12&lt;=$F37,MOD(EA$12,7)&gt;1,NOT(COUNTIF(General!$U$13:$U$19,EA$12))),$I37,"")</f>
        <v/>
      </c>
      <c r="EB37" s="390" t="str">
        <f>IF(AND(EB$12&gt;=$E37,EB$12&lt;=$F37,MOD(EB$12,7)&gt;1,NOT(COUNTIF(General!$U$13:$U$19,EB$12))),$I37,"")</f>
        <v/>
      </c>
      <c r="EC37" s="390" t="str">
        <f>IF(AND(EC$12&gt;=$E37,EC$12&lt;=$F37,MOD(EC$12,7)&gt;1,NOT(COUNTIF(General!$U$13:$U$19,EC$12))),$I37,"")</f>
        <v/>
      </c>
      <c r="ED37" s="390" t="str">
        <f>IF(AND(ED$12&gt;=$E37,ED$12&lt;=$F37,MOD(ED$12,7)&gt;1,NOT(COUNTIF(General!$U$13:$U$19,ED$12))),$I37,"")</f>
        <v/>
      </c>
      <c r="EE37" s="390" t="str">
        <f>IF(AND(EE$12&gt;=$E37,EE$12&lt;=$F37,MOD(EE$12,7)&gt;1,NOT(COUNTIF(General!$U$13:$U$19,EE$12))),$I37,"")</f>
        <v/>
      </c>
      <c r="EF37" s="390" t="str">
        <f>IF(AND(EF$12&gt;=$E37,EF$12&lt;=$F37,MOD(EF$12,7)&gt;1,NOT(COUNTIF(General!$U$13:$U$19,EF$12))),$I37,"")</f>
        <v/>
      </c>
      <c r="EG37" s="390" t="str">
        <f>IF(AND(EG$12&gt;=$E37,EG$12&lt;=$F37,MOD(EG$12,7)&gt;1,NOT(COUNTIF(General!$U$13:$U$19,EG$12))),$I37,"")</f>
        <v/>
      </c>
      <c r="EH37" s="390" t="str">
        <f>IF(AND(EH$12&gt;=$E37,EH$12&lt;=$F37,MOD(EH$12,7)&gt;1,NOT(COUNTIF(General!$U$13:$U$19,EH$12))),$I37,"")</f>
        <v/>
      </c>
      <c r="EI37" s="390" t="str">
        <f>IF(AND(EI$12&gt;=$E37,EI$12&lt;=$F37,MOD(EI$12,7)&gt;1,NOT(COUNTIF(General!$U$13:$U$19,EI$12))),$I37,"")</f>
        <v/>
      </c>
      <c r="EJ37" s="390" t="str">
        <f>IF(AND(EJ$12&gt;=$E37,EJ$12&lt;=$F37,MOD(EJ$12,7)&gt;1,NOT(COUNTIF(General!$U$13:$U$19,EJ$12))),$I37,"")</f>
        <v/>
      </c>
      <c r="EK37" s="390" t="str">
        <f>IF(AND(EK$12&gt;=$E37,EK$12&lt;=$F37,MOD(EK$12,7)&gt;1,NOT(COUNTIF(General!$U$13:$U$19,EK$12))),$I37,"")</f>
        <v/>
      </c>
      <c r="EL37" s="390" t="str">
        <f>IF(AND(EL$12&gt;=$E37,EL$12&lt;=$F37,MOD(EL$12,7)&gt;1,NOT(COUNTIF(General!$U$13:$U$19,EL$12))),$I37,"")</f>
        <v/>
      </c>
      <c r="EM37" s="390" t="str">
        <f>IF(AND(EM$12&gt;=$E37,EM$12&lt;=$F37,MOD(EM$12,7)&gt;1,NOT(COUNTIF(General!$U$13:$U$19,EM$12))),$I37,"")</f>
        <v/>
      </c>
      <c r="EN37" s="390" t="str">
        <f>IF(AND(EN$12&gt;=$E37,EN$12&lt;=$F37,MOD(EN$12,7)&gt;1,NOT(COUNTIF(General!$U$13:$U$19,EN$12))),$I37,"")</f>
        <v/>
      </c>
      <c r="EO37" s="390" t="str">
        <f>IF(AND(EO$12&gt;=$E37,EO$12&lt;=$F37,MOD(EO$12,7)&gt;1,NOT(COUNTIF(General!$U$13:$U$19,EO$12))),$I37,"")</f>
        <v/>
      </c>
      <c r="EP37" s="390" t="str">
        <f>IF(AND(EP$12&gt;=$E37,EP$12&lt;=$F37,MOD(EP$12,7)&gt;1,NOT(COUNTIF(General!$U$13:$U$19,EP$12))),$I37,"")</f>
        <v/>
      </c>
      <c r="EQ37" s="390" t="str">
        <f>IF(AND(EQ$12&gt;=$E37,EQ$12&lt;=$F37,MOD(EQ$12,7)&gt;1,NOT(COUNTIF(General!$U$13:$U$19,EQ$12))),$I37,"")</f>
        <v/>
      </c>
      <c r="ER37" s="390" t="str">
        <f>IF(AND(ER$12&gt;=$E37,ER$12&lt;=$F37,MOD(ER$12,7)&gt;1,NOT(COUNTIF(General!$U$13:$U$19,ER$12))),$I37,"")</f>
        <v/>
      </c>
      <c r="ES37" s="390" t="str">
        <f>IF(AND(ES$12&gt;=$E37,ES$12&lt;=$F37,MOD(ES$12,7)&gt;1,NOT(COUNTIF(General!$U$13:$U$19,ES$12))),$I37,"")</f>
        <v/>
      </c>
      <c r="ET37" s="390" t="str">
        <f>IF(AND(ET$12&gt;=$E37,ET$12&lt;=$F37,MOD(ET$12,7)&gt;1,NOT(COUNTIF(General!$U$13:$U$19,ET$12))),$I37,"")</f>
        <v/>
      </c>
      <c r="EU37" s="390" t="str">
        <f>IF(AND(EU$12&gt;=$E37,EU$12&lt;=$F37,MOD(EU$12,7)&gt;1,NOT(COUNTIF(General!$U$13:$U$19,EU$12))),$I37,"")</f>
        <v/>
      </c>
      <c r="EV37" s="390" t="str">
        <f>IF(AND(EV$12&gt;=$E37,EV$12&lt;=$F37,MOD(EV$12,7)&gt;1,NOT(COUNTIF(General!$U$13:$U$19,EV$12))),$I37,"")</f>
        <v/>
      </c>
      <c r="EW37" s="390" t="str">
        <f>IF(AND(EW$12&gt;=$E37,EW$12&lt;=$F37,MOD(EW$12,7)&gt;1,NOT(COUNTIF(General!$U$13:$U$19,EW$12))),$I37,"")</f>
        <v/>
      </c>
      <c r="EX37" s="390" t="str">
        <f>IF(AND(EX$12&gt;=$E37,EX$12&lt;=$F37,MOD(EX$12,7)&gt;1,NOT(COUNTIF(General!$U$13:$U$19,EX$12))),$I37,"")</f>
        <v/>
      </c>
      <c r="EY37" s="390" t="str">
        <f>IF(AND(EY$12&gt;=$E37,EY$12&lt;=$F37,MOD(EY$12,7)&gt;1,NOT(COUNTIF(General!$U$13:$U$19,EY$12))),$I37,"")</f>
        <v/>
      </c>
      <c r="EZ37" s="390" t="str">
        <f>IF(AND(EZ$12&gt;=$E37,EZ$12&lt;=$F37,MOD(EZ$12,7)&gt;1,NOT(COUNTIF(General!$U$13:$U$19,EZ$12))),$I37,"")</f>
        <v/>
      </c>
      <c r="FA37" s="390" t="str">
        <f>IF(AND(FA$12&gt;=$E37,FA$12&lt;=$F37,MOD(FA$12,7)&gt;1,NOT(COUNTIF(General!$U$13:$U$19,FA$12))),$I37,"")</f>
        <v/>
      </c>
      <c r="FB37" s="390" t="str">
        <f>IF(AND(FB$12&gt;=$E37,FB$12&lt;=$F37,MOD(FB$12,7)&gt;1,NOT(COUNTIF(General!$U$13:$U$19,FB$12))),$I37,"")</f>
        <v/>
      </c>
      <c r="FC37" s="390" t="str">
        <f>IF(AND(FC$12&gt;=$E37,FC$12&lt;=$F37,MOD(FC$12,7)&gt;1,NOT(COUNTIF(General!$U$13:$U$19,FC$12))),$I37,"")</f>
        <v/>
      </c>
      <c r="FD37" s="390" t="str">
        <f>IF(AND(FD$12&gt;=$E37,FD$12&lt;=$F37,MOD(FD$12,7)&gt;1,NOT(COUNTIF(General!$U$13:$U$19,FD$12))),$I37,"")</f>
        <v/>
      </c>
      <c r="FE37" s="390" t="str">
        <f>IF(AND(FE$12&gt;=$E37,FE$12&lt;=$F37,MOD(FE$12,7)&gt;1,NOT(COUNTIF(General!$U$13:$U$19,FE$12))),$I37,"")</f>
        <v/>
      </c>
      <c r="FF37" s="390" t="str">
        <f>IF(AND(FF$12&gt;=$E37,FF$12&lt;=$F37,MOD(FF$12,7)&gt;1,NOT(COUNTIF(General!$U$13:$U$19,FF$12))),$I37,"")</f>
        <v/>
      </c>
      <c r="FG37" s="390" t="str">
        <f>IF(AND(FG$12&gt;=$E37,FG$12&lt;=$F37,MOD(FG$12,7)&gt;1,NOT(COUNTIF(General!$U$13:$U$19,FG$12))),$I37,"")</f>
        <v/>
      </c>
      <c r="FH37" s="390" t="str">
        <f>IF(AND(FH$12&gt;=$E37,FH$12&lt;=$F37,MOD(FH$12,7)&gt;1,NOT(COUNTIF(General!$U$13:$U$19,FH$12))),$I37,"")</f>
        <v/>
      </c>
      <c r="FI37" s="390" t="str">
        <f>IF(AND(FI$12&gt;=$E37,FI$12&lt;=$F37,MOD(FI$12,7)&gt;1,NOT(COUNTIF(General!$U$13:$U$19,FI$12))),$I37,"")</f>
        <v/>
      </c>
      <c r="FJ37" s="390" t="str">
        <f>IF(AND(FJ$12&gt;=$E37,FJ$12&lt;=$F37,MOD(FJ$12,7)&gt;1,NOT(COUNTIF(General!$U$13:$U$19,FJ$12))),$I37,"")</f>
        <v/>
      </c>
      <c r="FK37" s="390" t="str">
        <f>IF(AND(FK$12&gt;=$E37,FK$12&lt;=$F37,MOD(FK$12,7)&gt;1,NOT(COUNTIF(General!$U$13:$U$19,FK$12))),$I37,"")</f>
        <v/>
      </c>
      <c r="FL37" s="390" t="str">
        <f>IF(AND(FL$12&gt;=$E37,FL$12&lt;=$F37,MOD(FL$12,7)&gt;1,NOT(COUNTIF(General!$U$13:$U$19,FL$12))),$I37,"")</f>
        <v/>
      </c>
      <c r="FM37" s="390" t="str">
        <f>IF(AND(FM$12&gt;=$E37,FM$12&lt;=$F37,MOD(FM$12,7)&gt;1,NOT(COUNTIF(General!$U$13:$U$19,FM$12))),$I37,"")</f>
        <v/>
      </c>
      <c r="FN37" s="390" t="str">
        <f>IF(AND(FN$12&gt;=$E37,FN$12&lt;=$F37,MOD(FN$12,7)&gt;1,NOT(COUNTIF(General!$U$13:$U$19,FN$12))),$I37,"")</f>
        <v/>
      </c>
      <c r="FO37" s="390" t="str">
        <f>IF(AND(FO$12&gt;=$E37,FO$12&lt;=$F37,MOD(FO$12,7)&gt;1,NOT(COUNTIF(General!$U$13:$U$19,FO$12))),$I37,"")</f>
        <v/>
      </c>
      <c r="FP37" s="390" t="str">
        <f>IF(AND(FP$12&gt;=$E37,FP$12&lt;=$F37,MOD(FP$12,7)&gt;1,NOT(COUNTIF(General!$U$13:$U$19,FP$12))),$I37,"")</f>
        <v/>
      </c>
      <c r="FQ37" s="390" t="str">
        <f>IF(AND(FQ$12&gt;=$E37,FQ$12&lt;=$F37,MOD(FQ$12,7)&gt;1,NOT(COUNTIF(General!$U$13:$U$19,FQ$12))),$I37,"")</f>
        <v/>
      </c>
      <c r="FR37" s="390" t="str">
        <f>IF(AND(FR$12&gt;=$E37,FR$12&lt;=$F37,MOD(FR$12,7)&gt;1,NOT(COUNTIF(General!$U$13:$U$19,FR$12))),$I37,"")</f>
        <v/>
      </c>
      <c r="FS37" s="390" t="str">
        <f>IF(AND(FS$12&gt;=$E37,FS$12&lt;=$F37,MOD(FS$12,7)&gt;1,NOT(COUNTIF(General!$U$13:$U$19,FS$12))),$I37,"")</f>
        <v/>
      </c>
      <c r="FT37" s="390" t="str">
        <f>IF(AND(FT$12&gt;=$E37,FT$12&lt;=$F37,MOD(FT$12,7)&gt;1,NOT(COUNTIF(General!$U$13:$U$19,FT$12))),$I37,"")</f>
        <v/>
      </c>
      <c r="FU37" s="390" t="str">
        <f>IF(AND(FU$12&gt;=$E37,FU$12&lt;=$F37,MOD(FU$12,7)&gt;1,NOT(COUNTIF(General!$U$13:$U$19,FU$12))),$I37,"")</f>
        <v/>
      </c>
      <c r="FV37" s="390" t="str">
        <f>IF(AND(FV$12&gt;=$E37,FV$12&lt;=$F37,MOD(FV$12,7)&gt;1,NOT(COUNTIF(General!$U$13:$U$19,FV$12))),$I37,"")</f>
        <v/>
      </c>
      <c r="FW37" s="390" t="str">
        <f>IF(AND(FW$12&gt;=$E37,FW$12&lt;=$F37,MOD(FW$12,7)&gt;1,NOT(COUNTIF(General!$U$13:$U$19,FW$12))),$I37,"")</f>
        <v/>
      </c>
      <c r="FX37" s="390" t="str">
        <f>IF(AND(FX$12&gt;=$E37,FX$12&lt;=$F37,MOD(FX$12,7)&gt;1,NOT(COUNTIF(General!$U$13:$U$19,FX$12))),$I37,"")</f>
        <v/>
      </c>
    </row>
    <row r="38">
      <c r="A38" s="368">
        <v>389727.0</v>
      </c>
      <c r="B38" s="369" t="s">
        <v>584</v>
      </c>
      <c r="C38" s="370"/>
      <c r="D38" s="612" t="s">
        <v>439</v>
      </c>
      <c r="E38" s="599">
        <v>43818.0</v>
      </c>
      <c r="F38" s="374">
        <f>WORKDAY(E38,ROUNDUP(G38/I38,0),General!$U$13:$U$27)-1</f>
        <v>43818</v>
      </c>
      <c r="G38" s="600">
        <v>1.0</v>
      </c>
      <c r="H38" s="377"/>
      <c r="I38" s="368">
        <v>1.0</v>
      </c>
      <c r="J38" s="379"/>
      <c r="K38" s="573"/>
      <c r="L38" s="573"/>
      <c r="M38" s="574"/>
      <c r="N38" s="384"/>
      <c r="O38" s="386"/>
      <c r="P38" s="575"/>
      <c r="Q38" s="390" t="str">
        <f>IF(AND(Q$12&gt;=$E38,Q$12&lt;=$F38,MOD(Q$12,7)&gt;1,NOT(COUNTIF(General!$U$13:$U$19,Q$12))),$I38,"")</f>
        <v/>
      </c>
      <c r="R38" s="390" t="str">
        <f>IF(AND(R$12&gt;=$E38,R$12&lt;=$F38,MOD(R$12,7)&gt;1,NOT(COUNTIF(General!$U$13:$U$19,R$12))),$I38,"")</f>
        <v/>
      </c>
      <c r="S38" s="390" t="str">
        <f>IF(AND(S$12&gt;=$E38,S$12&lt;=$F38,MOD(S$12,7)&gt;1,NOT(COUNTIF(General!$U$13:$U$19,S$12))),$I38,"")</f>
        <v/>
      </c>
      <c r="T38" s="390" t="str">
        <f>IF(AND(T$12&gt;=$E38,T$12&lt;=$F38,MOD(T$12,7)&gt;1,NOT(COUNTIF(General!$U$13:$U$19,T$12))),$I38,"")</f>
        <v/>
      </c>
      <c r="U38" s="390" t="str">
        <f>IF(AND(U$12&gt;=$E38,U$12&lt;=$F38,MOD(U$12,7)&gt;1,NOT(COUNTIF(General!$U$13:$U$19,U$12))),$I38,"")</f>
        <v/>
      </c>
      <c r="V38" s="390" t="str">
        <f>IF(AND(V$12&gt;=$E38,V$12&lt;=$F38,MOD(V$12,7)&gt;1,NOT(COUNTIF(General!$U$13:$U$19,V$12))),$I38,"")</f>
        <v/>
      </c>
      <c r="W38" s="390" t="str">
        <f>IF(AND(W$12&gt;=$E38,W$12&lt;=$F38,MOD(W$12,7)&gt;1,NOT(COUNTIF(General!$U$13:$U$19,W$12))),$I38,"")</f>
        <v/>
      </c>
      <c r="X38" s="390" t="str">
        <f>IF(AND(X$12&gt;=$E38,X$12&lt;=$F38,MOD(X$12,7)&gt;1,NOT(COUNTIF(General!$U$13:$U$19,X$12))),$I38,"")</f>
        <v/>
      </c>
      <c r="Y38" s="390" t="str">
        <f>IF(AND(Y$12&gt;=$E38,Y$12&lt;=$F38,MOD(Y$12,7)&gt;1,NOT(COUNTIF(General!$U$13:$U$19,Y$12))),$I38,"")</f>
        <v/>
      </c>
      <c r="Z38" s="390" t="str">
        <f>IF(AND(Z$12&gt;=$E38,Z$12&lt;=$F38,MOD(Z$12,7)&gt;1,NOT(COUNTIF(General!$U$13:$U$19,Z$12))),$I38,"")</f>
        <v/>
      </c>
      <c r="AA38" s="390" t="str">
        <f>IF(AND(AA$12&gt;=$E38,AA$12&lt;=$F38,MOD(AA$12,7)&gt;1,NOT(COUNTIF(General!$U$13:$U$19,AA$12))),$I38,"")</f>
        <v/>
      </c>
      <c r="AB38" s="390" t="str">
        <f>IF(AND(AB$12&gt;=$E38,AB$12&lt;=$F38,MOD(AB$12,7)&gt;1,NOT(COUNTIF(General!$U$13:$U$19,AB$12))),$I38,"")</f>
        <v/>
      </c>
      <c r="AC38" s="390" t="str">
        <f>IF(AND(AC$12&gt;=$E38,AC$12&lt;=$F38,MOD(AC$12,7)&gt;1,NOT(COUNTIF(General!$U$13:$U$19,AC$12))),$I38,"")</f>
        <v/>
      </c>
      <c r="AD38" s="390" t="str">
        <f>IF(AND(AD$12&gt;=$E38,AD$12&lt;=$F38,MOD(AD$12,7)&gt;1,NOT(COUNTIF(General!$U$13:$U$19,AD$12))),$I38,"")</f>
        <v/>
      </c>
      <c r="AE38" s="390" t="str">
        <f>IF(AND(AE$12&gt;=$E38,AE$12&lt;=$F38,MOD(AE$12,7)&gt;1,NOT(COUNTIF(General!$U$13:$U$19,AE$12))),$I38,"")</f>
        <v/>
      </c>
      <c r="AF38" s="390" t="str">
        <f>IF(AND(AF$12&gt;=$E38,AF$12&lt;=$F38,MOD(AF$12,7)&gt;1,NOT(COUNTIF(General!$U$13:$U$19,AF$12))),$I38,"")</f>
        <v/>
      </c>
      <c r="AG38" s="390" t="str">
        <f>IF(AND(AG$12&gt;=$E38,AG$12&lt;=$F38,MOD(AG$12,7)&gt;1,NOT(COUNTIF(General!$U$13:$U$19,AG$12))),$I38,"")</f>
        <v/>
      </c>
      <c r="AH38" s="390">
        <f>IF(AND(AH$12&gt;=$E38,AH$12&lt;=$F38,MOD(AH$12,7)&gt;1,NOT(COUNTIF(General!$U$13:$U$19,AH$12))),$I38,"")</f>
        <v>1</v>
      </c>
      <c r="AI38" s="390" t="str">
        <f>IF(AND(AI$12&gt;=$E38,AI$12&lt;=$F38,MOD(AI$12,7)&gt;1,NOT(COUNTIF(General!$U$13:$U$19,AI$12))),$I38,"")</f>
        <v/>
      </c>
      <c r="AJ38" s="390" t="str">
        <f>IF(AND(AJ$12&gt;=$E38,AJ$12&lt;=$F38,MOD(AJ$12,7)&gt;1,NOT(COUNTIF(General!$U$13:$U$19,AJ$12))),$I38,"")</f>
        <v/>
      </c>
      <c r="AK38" s="390" t="str">
        <f>IF(AND(AK$12&gt;=$E38,AK$12&lt;=$F38,MOD(AK$12,7)&gt;1,NOT(COUNTIF(General!$U$13:$U$19,AK$12))),$I38,"")</f>
        <v/>
      </c>
      <c r="AL38" s="390" t="str">
        <f>IF(AND(AL$12&gt;=$E38,AL$12&lt;=$F38,MOD(AL$12,7)&gt;1,NOT(COUNTIF(General!$U$13:$U$19,AL$12))),$I38,"")</f>
        <v/>
      </c>
      <c r="AM38" s="390" t="str">
        <f>IF(AND(AM$12&gt;=$E38,AM$12&lt;=$F38,MOD(AM$12,7)&gt;1,NOT(COUNTIF(General!$U$13:$U$19,AM$12))),$I38,"")</f>
        <v/>
      </c>
      <c r="AN38" s="390" t="str">
        <f>IF(AND(AN$12&gt;=$E38,AN$12&lt;=$F38,MOD(AN$12,7)&gt;1,NOT(COUNTIF(General!$U$13:$U$19,AN$12))),$I38,"")</f>
        <v/>
      </c>
      <c r="AO38" s="390" t="str">
        <f>IF(AND(AO$12&gt;=$E38,AO$12&lt;=$F38,MOD(AO$12,7)&gt;1,NOT(COUNTIF(General!$U$13:$U$19,AO$12))),$I38,"")</f>
        <v/>
      </c>
      <c r="AP38" s="390" t="str">
        <f>IF(AND(AP$12&gt;=$E38,AP$12&lt;=$F38,MOD(AP$12,7)&gt;1,NOT(COUNTIF(General!$U$13:$U$19,AP$12))),$I38,"")</f>
        <v/>
      </c>
      <c r="AQ38" s="390" t="str">
        <f>IF(AND(AQ$12&gt;=$E38,AQ$12&lt;=$F38,MOD(AQ$12,7)&gt;1,NOT(COUNTIF(General!$U$13:$U$19,AQ$12))),$I38,"")</f>
        <v/>
      </c>
      <c r="AR38" s="390" t="str">
        <f>IF(AND(AR$12&gt;=$E38,AR$12&lt;=$F38,MOD(AR$12,7)&gt;1,NOT(COUNTIF(General!$U$13:$U$19,AR$12))),$I38,"")</f>
        <v/>
      </c>
      <c r="AS38" s="390" t="str">
        <f>IF(AND(AS$12&gt;=$E38,AS$12&lt;=$F38,MOD(AS$12,7)&gt;1,NOT(COUNTIF(General!$U$13:$U$19,AS$12))),$I38,"")</f>
        <v/>
      </c>
      <c r="AT38" s="390" t="str">
        <f>IF(AND(AT$12&gt;=$E38,AT$12&lt;=$F38,MOD(AT$12,7)&gt;1,NOT(COUNTIF(General!$U$13:$U$19,AT$12))),$I38,"")</f>
        <v/>
      </c>
      <c r="AU38" s="390" t="str">
        <f>IF(AND(AU$12&gt;=$E38,AU$12&lt;=$F38,MOD(AU$12,7)&gt;1,NOT(COUNTIF(General!$U$13:$U$19,AU$12))),$I38,"")</f>
        <v/>
      </c>
      <c r="AV38" s="390" t="str">
        <f>IF(AND(AV$12&gt;=$E38,AV$12&lt;=$F38,MOD(AV$12,7)&gt;1,NOT(COUNTIF(General!$U$13:$U$19,AV$12))),$I38,"")</f>
        <v/>
      </c>
      <c r="AW38" s="390" t="str">
        <f>IF(AND(AW$12&gt;=$E38,AW$12&lt;=$F38,MOD(AW$12,7)&gt;1,NOT(COUNTIF(General!$U$13:$U$19,AW$12))),$I38,"")</f>
        <v/>
      </c>
      <c r="AX38" s="390" t="str">
        <f>IF(AND(AX$12&gt;=$E38,AX$12&lt;=$F38,MOD(AX$12,7)&gt;1,NOT(COUNTIF(General!$U$13:$U$19,AX$12))),$I38,"")</f>
        <v/>
      </c>
      <c r="AY38" s="390" t="str">
        <f>IF(AND(AY$12&gt;=$E38,AY$12&lt;=$F38,MOD(AY$12,7)&gt;1,NOT(COUNTIF(General!$U$13:$U$19,AY$12))),$I38,"")</f>
        <v/>
      </c>
      <c r="AZ38" s="390" t="str">
        <f>IF(AND(AZ$12&gt;=$E38,AZ$12&lt;=$F38,MOD(AZ$12,7)&gt;1,NOT(COUNTIF(General!$U$13:$U$19,AZ$12))),$I38,"")</f>
        <v/>
      </c>
      <c r="BA38" s="390" t="str">
        <f>IF(AND(BA$12&gt;=$E38,BA$12&lt;=$F38,MOD(BA$12,7)&gt;1,NOT(COUNTIF(General!$U$13:$U$19,BA$12))),$I38,"")</f>
        <v/>
      </c>
      <c r="BB38" s="390" t="str">
        <f>IF(AND(BB$12&gt;=$E38,BB$12&lt;=$F38,MOD(BB$12,7)&gt;1,NOT(COUNTIF(General!$U$13:$U$19,BB$12))),$I38,"")</f>
        <v/>
      </c>
      <c r="BC38" s="390" t="str">
        <f>IF(AND(BC$12&gt;=$E38,BC$12&lt;=$F38,MOD(BC$12,7)&gt;1,NOT(COUNTIF(General!$U$13:$U$19,BC$12))),$I38,"")</f>
        <v/>
      </c>
      <c r="BD38" s="390" t="str">
        <f>IF(AND(BD$12&gt;=$E38,BD$12&lt;=$F38,MOD(BD$12,7)&gt;1,NOT(COUNTIF(General!$U$13:$U$19,BD$12))),$I38,"")</f>
        <v/>
      </c>
      <c r="BE38" s="390" t="str">
        <f>IF(AND(BE$12&gt;=$E38,BE$12&lt;=$F38,MOD(BE$12,7)&gt;1,NOT(COUNTIF(General!$U$13:$U$19,BE$12))),$I38,"")</f>
        <v/>
      </c>
      <c r="BF38" s="390" t="str">
        <f>IF(AND(BF$12&gt;=$E38,BF$12&lt;=$F38,MOD(BF$12,7)&gt;1,NOT(COUNTIF(General!$U$13:$U$19,BF$12))),$I38,"")</f>
        <v/>
      </c>
      <c r="BG38" s="390" t="str">
        <f>IF(AND(BG$12&gt;=$E38,BG$12&lt;=$F38,MOD(BG$12,7)&gt;1,NOT(COUNTIF(General!$U$13:$U$19,BG$12))),$I38,"")</f>
        <v/>
      </c>
      <c r="BH38" s="390" t="str">
        <f>IF(AND(BH$12&gt;=$E38,BH$12&lt;=$F38,MOD(BH$12,7)&gt;1,NOT(COUNTIF(General!$U$13:$U$19,BH$12))),$I38,"")</f>
        <v/>
      </c>
      <c r="BI38" s="390" t="str">
        <f>IF(AND(BI$12&gt;=$E38,BI$12&lt;=$F38,MOD(BI$12,7)&gt;1,NOT(COUNTIF(General!$U$13:$U$19,BI$12))),$I38,"")</f>
        <v/>
      </c>
      <c r="BJ38" s="390" t="str">
        <f>IF(AND(BJ$12&gt;=$E38,BJ$12&lt;=$F38,MOD(BJ$12,7)&gt;1,NOT(COUNTIF(General!$U$13:$U$19,BJ$12))),$I38,"")</f>
        <v/>
      </c>
      <c r="BK38" s="390" t="str">
        <f>IF(AND(BK$12&gt;=$E38,BK$12&lt;=$F38,MOD(BK$12,7)&gt;1,NOT(COUNTIF(General!$U$13:$U$19,BK$12))),$I38,"")</f>
        <v/>
      </c>
      <c r="BL38" s="390" t="str">
        <f>IF(AND(BL$12&gt;=$E38,BL$12&lt;=$F38,MOD(BL$12,7)&gt;1,NOT(COUNTIF(General!$U$13:$U$19,BL$12))),$I38,"")</f>
        <v/>
      </c>
      <c r="BM38" s="390" t="str">
        <f>IF(AND(BM$12&gt;=$E38,BM$12&lt;=$F38,MOD(BM$12,7)&gt;1,NOT(COUNTIF(General!$U$13:$U$19,BM$12))),$I38,"")</f>
        <v/>
      </c>
      <c r="BN38" s="390" t="str">
        <f>IF(AND(BN$12&gt;=$E38,BN$12&lt;=$F38,MOD(BN$12,7)&gt;1,NOT(COUNTIF(General!$U$13:$U$19,BN$12))),$I38,"")</f>
        <v/>
      </c>
      <c r="BO38" s="390" t="str">
        <f>IF(AND(BO$12&gt;=$E38,BO$12&lt;=$F38,MOD(BO$12,7)&gt;1,NOT(COUNTIF(General!$U$13:$U$19,BO$12))),$I38,"")</f>
        <v/>
      </c>
      <c r="BP38" s="390" t="str">
        <f>IF(AND(BP$12&gt;=$E38,BP$12&lt;=$F38,MOD(BP$12,7)&gt;1,NOT(COUNTIF(General!$U$13:$U$19,BP$12))),$I38,"")</f>
        <v/>
      </c>
      <c r="BQ38" s="390" t="str">
        <f>IF(AND(BQ$12&gt;=$E38,BQ$12&lt;=$F38,MOD(BQ$12,7)&gt;1,NOT(COUNTIF(General!$U$13:$U$19,BQ$12))),$I38,"")</f>
        <v/>
      </c>
      <c r="BR38" s="390" t="str">
        <f>IF(AND(BR$12&gt;=$E38,BR$12&lt;=$F38,MOD(BR$12,7)&gt;1,NOT(COUNTIF(General!$U$13:$U$19,BR$12))),$I38,"")</f>
        <v/>
      </c>
      <c r="BS38" s="390" t="str">
        <f>IF(AND(BS$12&gt;=$E38,BS$12&lt;=$F38,MOD(BS$12,7)&gt;1,NOT(COUNTIF(General!$U$13:$U$19,BS$12))),$I38,"")</f>
        <v/>
      </c>
      <c r="BT38" s="390" t="str">
        <f>IF(AND(BT$12&gt;=$E38,BT$12&lt;=$F38,MOD(BT$12,7)&gt;1,NOT(COUNTIF(General!$U$13:$U$19,BT$12))),$I38,"")</f>
        <v/>
      </c>
      <c r="BU38" s="390" t="str">
        <f>IF(AND(BU$12&gt;=$E38,BU$12&lt;=$F38,MOD(BU$12,7)&gt;1,NOT(COUNTIF(General!$U$13:$U$19,BU$12))),$I38,"")</f>
        <v/>
      </c>
      <c r="BV38" s="390" t="str">
        <f>IF(AND(BV$12&gt;=$E38,BV$12&lt;=$F38,MOD(BV$12,7)&gt;1,NOT(COUNTIF(General!$U$13:$U$19,BV$12))),$I38,"")</f>
        <v/>
      </c>
      <c r="BW38" s="390" t="str">
        <f>IF(AND(BW$12&gt;=$E38,BW$12&lt;=$F38,MOD(BW$12,7)&gt;1,NOT(COUNTIF(General!$U$13:$U$19,BW$12))),$I38,"")</f>
        <v/>
      </c>
      <c r="BX38" s="390" t="str">
        <f>IF(AND(BX$12&gt;=$E38,BX$12&lt;=$F38,MOD(BX$12,7)&gt;1,NOT(COUNTIF(General!$U$13:$U$19,BX$12))),$I38,"")</f>
        <v/>
      </c>
      <c r="BY38" s="390" t="str">
        <f>IF(AND(BY$12&gt;=$E38,BY$12&lt;=$F38,MOD(BY$12,7)&gt;1,NOT(COUNTIF(General!$U$13:$U$19,BY$12))),$I38,"")</f>
        <v/>
      </c>
      <c r="BZ38" s="390" t="str">
        <f>IF(AND(BZ$12&gt;=$E38,BZ$12&lt;=$F38,MOD(BZ$12,7)&gt;1,NOT(COUNTIF(General!$U$13:$U$19,BZ$12))),$I38,"")</f>
        <v/>
      </c>
      <c r="CA38" s="390" t="str">
        <f>IF(AND(CA$12&gt;=$E38,CA$12&lt;=$F38,MOD(CA$12,7)&gt;1,NOT(COUNTIF(General!$U$13:$U$19,CA$12))),$I38,"")</f>
        <v/>
      </c>
      <c r="CB38" s="390" t="str">
        <f>IF(AND(CB$12&gt;=$E38,CB$12&lt;=$F38,MOD(CB$12,7)&gt;1,NOT(COUNTIF(General!$U$13:$U$19,CB$12))),$I38,"")</f>
        <v/>
      </c>
      <c r="CC38" s="390" t="str">
        <f>IF(AND(CC$12&gt;=$E38,CC$12&lt;=$F38,MOD(CC$12,7)&gt;1,NOT(COUNTIF(General!$U$13:$U$19,CC$12))),$I38,"")</f>
        <v/>
      </c>
      <c r="CD38" s="390" t="str">
        <f>IF(AND(CD$12&gt;=$E38,CD$12&lt;=$F38,MOD(CD$12,7)&gt;1,NOT(COUNTIF(General!$U$13:$U$19,CD$12))),$I38,"")</f>
        <v/>
      </c>
      <c r="CE38" s="390" t="str">
        <f>IF(AND(CE$12&gt;=$E38,CE$12&lt;=$F38,MOD(CE$12,7)&gt;1,NOT(COUNTIF(General!$U$13:$U$19,CE$12))),$I38,"")</f>
        <v/>
      </c>
      <c r="CF38" s="390" t="str">
        <f>IF(AND(CF$12&gt;=$E38,CF$12&lt;=$F38,MOD(CF$12,7)&gt;1,NOT(COUNTIF(General!$U$13:$U$19,CF$12))),$I38,"")</f>
        <v/>
      </c>
      <c r="CG38" s="390" t="str">
        <f>IF(AND(CG$12&gt;=$E38,CG$12&lt;=$F38,MOD(CG$12,7)&gt;1,NOT(COUNTIF(General!$U$13:$U$19,CG$12))),$I38,"")</f>
        <v/>
      </c>
      <c r="CH38" s="390" t="str">
        <f>IF(AND(CH$12&gt;=$E38,CH$12&lt;=$F38,MOD(CH$12,7)&gt;1,NOT(COUNTIF(General!$U$13:$U$19,CH$12))),$I38,"")</f>
        <v/>
      </c>
      <c r="CI38" s="390" t="str">
        <f>IF(AND(CI$12&gt;=$E38,CI$12&lt;=$F38,MOD(CI$12,7)&gt;1,NOT(COUNTIF(General!$U$13:$U$19,CI$12))),$I38,"")</f>
        <v/>
      </c>
      <c r="CJ38" s="390" t="str">
        <f>IF(AND(CJ$12&gt;=$E38,CJ$12&lt;=$F38,MOD(CJ$12,7)&gt;1,NOT(COUNTIF(General!$U$13:$U$19,CJ$12))),$I38,"")</f>
        <v/>
      </c>
      <c r="CK38" s="390" t="str">
        <f>IF(AND(CK$12&gt;=$E38,CK$12&lt;=$F38,MOD(CK$12,7)&gt;1,NOT(COUNTIF(General!$U$13:$U$19,CK$12))),$I38,"")</f>
        <v/>
      </c>
      <c r="CL38" s="390" t="str">
        <f>IF(AND(CL$12&gt;=$E38,CL$12&lt;=$F38,MOD(CL$12,7)&gt;1,NOT(COUNTIF(General!$U$13:$U$19,CL$12))),$I38,"")</f>
        <v/>
      </c>
      <c r="CM38" s="390" t="str">
        <f>IF(AND(CM$12&gt;=$E38,CM$12&lt;=$F38,MOD(CM$12,7)&gt;1,NOT(COUNTIF(General!$U$13:$U$19,CM$12))),$I38,"")</f>
        <v/>
      </c>
      <c r="CN38" s="390" t="str">
        <f>IF(AND(CN$12&gt;=$E38,CN$12&lt;=$F38,MOD(CN$12,7)&gt;1,NOT(COUNTIF(General!$U$13:$U$19,CN$12))),$I38,"")</f>
        <v/>
      </c>
      <c r="CO38" s="390" t="str">
        <f>IF(AND(CO$12&gt;=$E38,CO$12&lt;=$F38,MOD(CO$12,7)&gt;1,NOT(COUNTIF(General!$U$13:$U$19,CO$12))),$I38,"")</f>
        <v/>
      </c>
      <c r="CP38" s="390" t="str">
        <f>IF(AND(CP$12&gt;=$E38,CP$12&lt;=$F38,MOD(CP$12,7)&gt;1,NOT(COUNTIF(General!$U$13:$U$19,CP$12))),$I38,"")</f>
        <v/>
      </c>
      <c r="CQ38" s="390" t="str">
        <f>IF(AND(CQ$12&gt;=$E38,CQ$12&lt;=$F38,MOD(CQ$12,7)&gt;1,NOT(COUNTIF(General!$U$13:$U$19,CQ$12))),$I38,"")</f>
        <v/>
      </c>
      <c r="CR38" s="390" t="str">
        <f>IF(AND(CR$12&gt;=$E38,CR$12&lt;=$F38,MOD(CR$12,7)&gt;1,NOT(COUNTIF(General!$U$13:$U$19,CR$12))),$I38,"")</f>
        <v/>
      </c>
      <c r="CS38" s="390" t="str">
        <f>IF(AND(CS$12&gt;=$E38,CS$12&lt;=$F38,MOD(CS$12,7)&gt;1,NOT(COUNTIF(General!$U$13:$U$19,CS$12))),$I38,"")</f>
        <v/>
      </c>
      <c r="CT38" s="390" t="str">
        <f>IF(AND(CT$12&gt;=$E38,CT$12&lt;=$F38,MOD(CT$12,7)&gt;1,NOT(COUNTIF(General!$U$13:$U$19,CT$12))),$I38,"")</f>
        <v/>
      </c>
      <c r="CU38" s="390" t="str">
        <f>IF(AND(CU$12&gt;=$E38,CU$12&lt;=$F38,MOD(CU$12,7)&gt;1,NOT(COUNTIF(General!$U$13:$U$19,CU$12))),$I38,"")</f>
        <v/>
      </c>
      <c r="CV38" s="390" t="str">
        <f>IF(AND(CV$12&gt;=$E38,CV$12&lt;=$F38,MOD(CV$12,7)&gt;1,NOT(COUNTIF(General!$U$13:$U$19,CV$12))),$I38,"")</f>
        <v/>
      </c>
      <c r="CW38" s="390" t="str">
        <f>IF(AND(CW$12&gt;=$E38,CW$12&lt;=$F38,MOD(CW$12,7)&gt;1,NOT(COUNTIF(General!$U$13:$U$19,CW$12))),$I38,"")</f>
        <v/>
      </c>
      <c r="CX38" s="390" t="str">
        <f>IF(AND(CX$12&gt;=$E38,CX$12&lt;=$F38,MOD(CX$12,7)&gt;1,NOT(COUNTIF(General!$U$13:$U$19,CX$12))),$I38,"")</f>
        <v/>
      </c>
      <c r="CY38" s="390" t="str">
        <f>IF(AND(CY$12&gt;=$E38,CY$12&lt;=$F38,MOD(CY$12,7)&gt;1,NOT(COUNTIF(General!$U$13:$U$19,CY$12))),$I38,"")</f>
        <v/>
      </c>
      <c r="CZ38" s="390" t="str">
        <f>IF(AND(CZ$12&gt;=$E38,CZ$12&lt;=$F38,MOD(CZ$12,7)&gt;1,NOT(COUNTIF(General!$U$13:$U$19,CZ$12))),$I38,"")</f>
        <v/>
      </c>
      <c r="DA38" s="390" t="str">
        <f>IF(AND(DA$12&gt;=$E38,DA$12&lt;=$F38,MOD(DA$12,7)&gt;1,NOT(COUNTIF(General!$U$13:$U$19,DA$12))),$I38,"")</f>
        <v/>
      </c>
      <c r="DB38" s="390" t="str">
        <f>IF(AND(DB$12&gt;=$E38,DB$12&lt;=$F38,MOD(DB$12,7)&gt;1,NOT(COUNTIF(General!$U$13:$U$19,DB$12))),$I38,"")</f>
        <v/>
      </c>
      <c r="DC38" s="390" t="str">
        <f>IF(AND(DC$12&gt;=$E38,DC$12&lt;=$F38,MOD(DC$12,7)&gt;1,NOT(COUNTIF(General!$U$13:$U$19,DC$12))),$I38,"")</f>
        <v/>
      </c>
      <c r="DD38" s="390" t="str">
        <f>IF(AND(DD$12&gt;=$E38,DD$12&lt;=$F38,MOD(DD$12,7)&gt;1,NOT(COUNTIF(General!$U$13:$U$19,DD$12))),$I38,"")</f>
        <v/>
      </c>
      <c r="DE38" s="390" t="str">
        <f>IF(AND(DE$12&gt;=$E38,DE$12&lt;=$F38,MOD(DE$12,7)&gt;1,NOT(COUNTIF(General!$U$13:$U$19,DE$12))),$I38,"")</f>
        <v/>
      </c>
      <c r="DF38" s="390" t="str">
        <f>IF(AND(DF$12&gt;=$E38,DF$12&lt;=$F38,MOD(DF$12,7)&gt;1,NOT(COUNTIF(General!$U$13:$U$19,DF$12))),$I38,"")</f>
        <v/>
      </c>
      <c r="DG38" s="390" t="str">
        <f>IF(AND(DG$12&gt;=$E38,DG$12&lt;=$F38,MOD(DG$12,7)&gt;1,NOT(COUNTIF(General!$U$13:$U$19,DG$12))),$I38,"")</f>
        <v/>
      </c>
      <c r="DH38" s="390" t="str">
        <f>IF(AND(DH$12&gt;=$E38,DH$12&lt;=$F38,MOD(DH$12,7)&gt;1,NOT(COUNTIF(General!$U$13:$U$19,DH$12))),$I38,"")</f>
        <v/>
      </c>
      <c r="DI38" s="390" t="str">
        <f>IF(AND(DI$12&gt;=$E38,DI$12&lt;=$F38,MOD(DI$12,7)&gt;1,NOT(COUNTIF(General!$U$13:$U$19,DI$12))),$I38,"")</f>
        <v/>
      </c>
      <c r="DJ38" s="390" t="str">
        <f>IF(AND(DJ$12&gt;=$E38,DJ$12&lt;=$F38,MOD(DJ$12,7)&gt;1,NOT(COUNTIF(General!$U$13:$U$19,DJ$12))),$I38,"")</f>
        <v/>
      </c>
      <c r="DK38" s="390" t="str">
        <f>IF(AND(DK$12&gt;=$E38,DK$12&lt;=$F38,MOD(DK$12,7)&gt;1,NOT(COUNTIF(General!$U$13:$U$19,DK$12))),$I38,"")</f>
        <v/>
      </c>
      <c r="DL38" s="390" t="str">
        <f>IF(AND(DL$12&gt;=$E38,DL$12&lt;=$F38,MOD(DL$12,7)&gt;1,NOT(COUNTIF(General!$U$13:$U$19,DL$12))),$I38,"")</f>
        <v/>
      </c>
      <c r="DM38" s="390" t="str">
        <f>IF(AND(DM$12&gt;=$E38,DM$12&lt;=$F38,MOD(DM$12,7)&gt;1,NOT(COUNTIF(General!$U$13:$U$19,DM$12))),$I38,"")</f>
        <v/>
      </c>
      <c r="DN38" s="390" t="str">
        <f>IF(AND(DN$12&gt;=$E38,DN$12&lt;=$F38,MOD(DN$12,7)&gt;1,NOT(COUNTIF(General!$U$13:$U$19,DN$12))),$I38,"")</f>
        <v/>
      </c>
      <c r="DO38" s="390" t="str">
        <f>IF(AND(DO$12&gt;=$E38,DO$12&lt;=$F38,MOD(DO$12,7)&gt;1,NOT(COUNTIF(General!$U$13:$U$19,DO$12))),$I38,"")</f>
        <v/>
      </c>
      <c r="DP38" s="390" t="str">
        <f>IF(AND(DP$12&gt;=$E38,DP$12&lt;=$F38,MOD(DP$12,7)&gt;1,NOT(COUNTIF(General!$U$13:$U$19,DP$12))),$I38,"")</f>
        <v/>
      </c>
      <c r="DQ38" s="390" t="str">
        <f>IF(AND(DQ$12&gt;=$E38,DQ$12&lt;=$F38,MOD(DQ$12,7)&gt;1,NOT(COUNTIF(General!$U$13:$U$19,DQ$12))),$I38,"")</f>
        <v/>
      </c>
      <c r="DR38" s="390" t="str">
        <f>IF(AND(DR$12&gt;=$E38,DR$12&lt;=$F38,MOD(DR$12,7)&gt;1,NOT(COUNTIF(General!$U$13:$U$19,DR$12))),$I38,"")</f>
        <v/>
      </c>
      <c r="DS38" s="390" t="str">
        <f>IF(AND(DS$12&gt;=$E38,DS$12&lt;=$F38,MOD(DS$12,7)&gt;1,NOT(COUNTIF(General!$U$13:$U$19,DS$12))),$I38,"")</f>
        <v/>
      </c>
      <c r="DT38" s="390" t="str">
        <f>IF(AND(DT$12&gt;=$E38,DT$12&lt;=$F38,MOD(DT$12,7)&gt;1,NOT(COUNTIF(General!$U$13:$U$19,DT$12))),$I38,"")</f>
        <v/>
      </c>
      <c r="DU38" s="390" t="str">
        <f>IF(AND(DU$12&gt;=$E38,DU$12&lt;=$F38,MOD(DU$12,7)&gt;1,NOT(COUNTIF(General!$U$13:$U$19,DU$12))),$I38,"")</f>
        <v/>
      </c>
      <c r="DV38" s="390" t="str">
        <f>IF(AND(DV$12&gt;=$E38,DV$12&lt;=$F38,MOD(DV$12,7)&gt;1,NOT(COUNTIF(General!$U$13:$U$19,DV$12))),$I38,"")</f>
        <v/>
      </c>
      <c r="DW38" s="390" t="str">
        <f>IF(AND(DW$12&gt;=$E38,DW$12&lt;=$F38,MOD(DW$12,7)&gt;1,NOT(COUNTIF(General!$U$13:$U$19,DW$12))),$I38,"")</f>
        <v/>
      </c>
      <c r="DX38" s="390" t="str">
        <f>IF(AND(DX$12&gt;=$E38,DX$12&lt;=$F38,MOD(DX$12,7)&gt;1,NOT(COUNTIF(General!$U$13:$U$19,DX$12))),$I38,"")</f>
        <v/>
      </c>
      <c r="DY38" s="390" t="str">
        <f>IF(AND(DY$12&gt;=$E38,DY$12&lt;=$F38,MOD(DY$12,7)&gt;1,NOT(COUNTIF(General!$U$13:$U$19,DY$12))),$I38,"")</f>
        <v/>
      </c>
      <c r="DZ38" s="390" t="str">
        <f>IF(AND(DZ$12&gt;=$E38,DZ$12&lt;=$F38,MOD(DZ$12,7)&gt;1,NOT(COUNTIF(General!$U$13:$U$19,DZ$12))),$I38,"")</f>
        <v/>
      </c>
      <c r="EA38" s="390" t="str">
        <f>IF(AND(EA$12&gt;=$E38,EA$12&lt;=$F38,MOD(EA$12,7)&gt;1,NOT(COUNTIF(General!$U$13:$U$19,EA$12))),$I38,"")</f>
        <v/>
      </c>
      <c r="EB38" s="390" t="str">
        <f>IF(AND(EB$12&gt;=$E38,EB$12&lt;=$F38,MOD(EB$12,7)&gt;1,NOT(COUNTIF(General!$U$13:$U$19,EB$12))),$I38,"")</f>
        <v/>
      </c>
      <c r="EC38" s="390" t="str">
        <f>IF(AND(EC$12&gt;=$E38,EC$12&lt;=$F38,MOD(EC$12,7)&gt;1,NOT(COUNTIF(General!$U$13:$U$19,EC$12))),$I38,"")</f>
        <v/>
      </c>
      <c r="ED38" s="390" t="str">
        <f>IF(AND(ED$12&gt;=$E38,ED$12&lt;=$F38,MOD(ED$12,7)&gt;1,NOT(COUNTIF(General!$U$13:$U$19,ED$12))),$I38,"")</f>
        <v/>
      </c>
      <c r="EE38" s="390" t="str">
        <f>IF(AND(EE$12&gt;=$E38,EE$12&lt;=$F38,MOD(EE$12,7)&gt;1,NOT(COUNTIF(General!$U$13:$U$19,EE$12))),$I38,"")</f>
        <v/>
      </c>
      <c r="EF38" s="390" t="str">
        <f>IF(AND(EF$12&gt;=$E38,EF$12&lt;=$F38,MOD(EF$12,7)&gt;1,NOT(COUNTIF(General!$U$13:$U$19,EF$12))),$I38,"")</f>
        <v/>
      </c>
      <c r="EG38" s="390" t="str">
        <f>IF(AND(EG$12&gt;=$E38,EG$12&lt;=$F38,MOD(EG$12,7)&gt;1,NOT(COUNTIF(General!$U$13:$U$19,EG$12))),$I38,"")</f>
        <v/>
      </c>
      <c r="EH38" s="390" t="str">
        <f>IF(AND(EH$12&gt;=$E38,EH$12&lt;=$F38,MOD(EH$12,7)&gt;1,NOT(COUNTIF(General!$U$13:$U$19,EH$12))),$I38,"")</f>
        <v/>
      </c>
      <c r="EI38" s="390" t="str">
        <f>IF(AND(EI$12&gt;=$E38,EI$12&lt;=$F38,MOD(EI$12,7)&gt;1,NOT(COUNTIF(General!$U$13:$U$19,EI$12))),$I38,"")</f>
        <v/>
      </c>
      <c r="EJ38" s="390" t="str">
        <f>IF(AND(EJ$12&gt;=$E38,EJ$12&lt;=$F38,MOD(EJ$12,7)&gt;1,NOT(COUNTIF(General!$U$13:$U$19,EJ$12))),$I38,"")</f>
        <v/>
      </c>
      <c r="EK38" s="390" t="str">
        <f>IF(AND(EK$12&gt;=$E38,EK$12&lt;=$F38,MOD(EK$12,7)&gt;1,NOT(COUNTIF(General!$U$13:$U$19,EK$12))),$I38,"")</f>
        <v/>
      </c>
      <c r="EL38" s="390" t="str">
        <f>IF(AND(EL$12&gt;=$E38,EL$12&lt;=$F38,MOD(EL$12,7)&gt;1,NOT(COUNTIF(General!$U$13:$U$19,EL$12))),$I38,"")</f>
        <v/>
      </c>
      <c r="EM38" s="390" t="str">
        <f>IF(AND(EM$12&gt;=$E38,EM$12&lt;=$F38,MOD(EM$12,7)&gt;1,NOT(COUNTIF(General!$U$13:$U$19,EM$12))),$I38,"")</f>
        <v/>
      </c>
      <c r="EN38" s="390" t="str">
        <f>IF(AND(EN$12&gt;=$E38,EN$12&lt;=$F38,MOD(EN$12,7)&gt;1,NOT(COUNTIF(General!$U$13:$U$19,EN$12))),$I38,"")</f>
        <v/>
      </c>
      <c r="EO38" s="390" t="str">
        <f>IF(AND(EO$12&gt;=$E38,EO$12&lt;=$F38,MOD(EO$12,7)&gt;1,NOT(COUNTIF(General!$U$13:$U$19,EO$12))),$I38,"")</f>
        <v/>
      </c>
      <c r="EP38" s="390" t="str">
        <f>IF(AND(EP$12&gt;=$E38,EP$12&lt;=$F38,MOD(EP$12,7)&gt;1,NOT(COUNTIF(General!$U$13:$U$19,EP$12))),$I38,"")</f>
        <v/>
      </c>
      <c r="EQ38" s="390" t="str">
        <f>IF(AND(EQ$12&gt;=$E38,EQ$12&lt;=$F38,MOD(EQ$12,7)&gt;1,NOT(COUNTIF(General!$U$13:$U$19,EQ$12))),$I38,"")</f>
        <v/>
      </c>
      <c r="ER38" s="390" t="str">
        <f>IF(AND(ER$12&gt;=$E38,ER$12&lt;=$F38,MOD(ER$12,7)&gt;1,NOT(COUNTIF(General!$U$13:$U$19,ER$12))),$I38,"")</f>
        <v/>
      </c>
      <c r="ES38" s="390" t="str">
        <f>IF(AND(ES$12&gt;=$E38,ES$12&lt;=$F38,MOD(ES$12,7)&gt;1,NOT(COUNTIF(General!$U$13:$U$19,ES$12))),$I38,"")</f>
        <v/>
      </c>
      <c r="ET38" s="390" t="str">
        <f>IF(AND(ET$12&gt;=$E38,ET$12&lt;=$F38,MOD(ET$12,7)&gt;1,NOT(COUNTIF(General!$U$13:$U$19,ET$12))),$I38,"")</f>
        <v/>
      </c>
      <c r="EU38" s="390" t="str">
        <f>IF(AND(EU$12&gt;=$E38,EU$12&lt;=$F38,MOD(EU$12,7)&gt;1,NOT(COUNTIF(General!$U$13:$U$19,EU$12))),$I38,"")</f>
        <v/>
      </c>
      <c r="EV38" s="390" t="str">
        <f>IF(AND(EV$12&gt;=$E38,EV$12&lt;=$F38,MOD(EV$12,7)&gt;1,NOT(COUNTIF(General!$U$13:$U$19,EV$12))),$I38,"")</f>
        <v/>
      </c>
      <c r="EW38" s="390" t="str">
        <f>IF(AND(EW$12&gt;=$E38,EW$12&lt;=$F38,MOD(EW$12,7)&gt;1,NOT(COUNTIF(General!$U$13:$U$19,EW$12))),$I38,"")</f>
        <v/>
      </c>
      <c r="EX38" s="390" t="str">
        <f>IF(AND(EX$12&gt;=$E38,EX$12&lt;=$F38,MOD(EX$12,7)&gt;1,NOT(COUNTIF(General!$U$13:$U$19,EX$12))),$I38,"")</f>
        <v/>
      </c>
      <c r="EY38" s="390" t="str">
        <f>IF(AND(EY$12&gt;=$E38,EY$12&lt;=$F38,MOD(EY$12,7)&gt;1,NOT(COUNTIF(General!$U$13:$U$19,EY$12))),$I38,"")</f>
        <v/>
      </c>
      <c r="EZ38" s="390" t="str">
        <f>IF(AND(EZ$12&gt;=$E38,EZ$12&lt;=$F38,MOD(EZ$12,7)&gt;1,NOT(COUNTIF(General!$U$13:$U$19,EZ$12))),$I38,"")</f>
        <v/>
      </c>
      <c r="FA38" s="390" t="str">
        <f>IF(AND(FA$12&gt;=$E38,FA$12&lt;=$F38,MOD(FA$12,7)&gt;1,NOT(COUNTIF(General!$U$13:$U$19,FA$12))),$I38,"")</f>
        <v/>
      </c>
      <c r="FB38" s="390" t="str">
        <f>IF(AND(FB$12&gt;=$E38,FB$12&lt;=$F38,MOD(FB$12,7)&gt;1,NOT(COUNTIF(General!$U$13:$U$19,FB$12))),$I38,"")</f>
        <v/>
      </c>
      <c r="FC38" s="390" t="str">
        <f>IF(AND(FC$12&gt;=$E38,FC$12&lt;=$F38,MOD(FC$12,7)&gt;1,NOT(COUNTIF(General!$U$13:$U$19,FC$12))),$I38,"")</f>
        <v/>
      </c>
      <c r="FD38" s="390" t="str">
        <f>IF(AND(FD$12&gt;=$E38,FD$12&lt;=$F38,MOD(FD$12,7)&gt;1,NOT(COUNTIF(General!$U$13:$U$19,FD$12))),$I38,"")</f>
        <v/>
      </c>
      <c r="FE38" s="390" t="str">
        <f>IF(AND(FE$12&gt;=$E38,FE$12&lt;=$F38,MOD(FE$12,7)&gt;1,NOT(COUNTIF(General!$U$13:$U$19,FE$12))),$I38,"")</f>
        <v/>
      </c>
      <c r="FF38" s="390" t="str">
        <f>IF(AND(FF$12&gt;=$E38,FF$12&lt;=$F38,MOD(FF$12,7)&gt;1,NOT(COUNTIF(General!$U$13:$U$19,FF$12))),$I38,"")</f>
        <v/>
      </c>
      <c r="FG38" s="390" t="str">
        <f>IF(AND(FG$12&gt;=$E38,FG$12&lt;=$F38,MOD(FG$12,7)&gt;1,NOT(COUNTIF(General!$U$13:$U$19,FG$12))),$I38,"")</f>
        <v/>
      </c>
      <c r="FH38" s="390" t="str">
        <f>IF(AND(FH$12&gt;=$E38,FH$12&lt;=$F38,MOD(FH$12,7)&gt;1,NOT(COUNTIF(General!$U$13:$U$19,FH$12))),$I38,"")</f>
        <v/>
      </c>
      <c r="FI38" s="390" t="str">
        <f>IF(AND(FI$12&gt;=$E38,FI$12&lt;=$F38,MOD(FI$12,7)&gt;1,NOT(COUNTIF(General!$U$13:$U$19,FI$12))),$I38,"")</f>
        <v/>
      </c>
      <c r="FJ38" s="390" t="str">
        <f>IF(AND(FJ$12&gt;=$E38,FJ$12&lt;=$F38,MOD(FJ$12,7)&gt;1,NOT(COUNTIF(General!$U$13:$U$19,FJ$12))),$I38,"")</f>
        <v/>
      </c>
      <c r="FK38" s="390" t="str">
        <f>IF(AND(FK$12&gt;=$E38,FK$12&lt;=$F38,MOD(FK$12,7)&gt;1,NOT(COUNTIF(General!$U$13:$U$19,FK$12))),$I38,"")</f>
        <v/>
      </c>
      <c r="FL38" s="390" t="str">
        <f>IF(AND(FL$12&gt;=$E38,FL$12&lt;=$F38,MOD(FL$12,7)&gt;1,NOT(COUNTIF(General!$U$13:$U$19,FL$12))),$I38,"")</f>
        <v/>
      </c>
      <c r="FM38" s="390" t="str">
        <f>IF(AND(FM$12&gt;=$E38,FM$12&lt;=$F38,MOD(FM$12,7)&gt;1,NOT(COUNTIF(General!$U$13:$U$19,FM$12))),$I38,"")</f>
        <v/>
      </c>
      <c r="FN38" s="390" t="str">
        <f>IF(AND(FN$12&gt;=$E38,FN$12&lt;=$F38,MOD(FN$12,7)&gt;1,NOT(COUNTIF(General!$U$13:$U$19,FN$12))),$I38,"")</f>
        <v/>
      </c>
      <c r="FO38" s="390" t="str">
        <f>IF(AND(FO$12&gt;=$E38,FO$12&lt;=$F38,MOD(FO$12,7)&gt;1,NOT(COUNTIF(General!$U$13:$U$19,FO$12))),$I38,"")</f>
        <v/>
      </c>
      <c r="FP38" s="390" t="str">
        <f>IF(AND(FP$12&gt;=$E38,FP$12&lt;=$F38,MOD(FP$12,7)&gt;1,NOT(COUNTIF(General!$U$13:$U$19,FP$12))),$I38,"")</f>
        <v/>
      </c>
      <c r="FQ38" s="390" t="str">
        <f>IF(AND(FQ$12&gt;=$E38,FQ$12&lt;=$F38,MOD(FQ$12,7)&gt;1,NOT(COUNTIF(General!$U$13:$U$19,FQ$12))),$I38,"")</f>
        <v/>
      </c>
      <c r="FR38" s="390" t="str">
        <f>IF(AND(FR$12&gt;=$E38,FR$12&lt;=$F38,MOD(FR$12,7)&gt;1,NOT(COUNTIF(General!$U$13:$U$19,FR$12))),$I38,"")</f>
        <v/>
      </c>
      <c r="FS38" s="390" t="str">
        <f>IF(AND(FS$12&gt;=$E38,FS$12&lt;=$F38,MOD(FS$12,7)&gt;1,NOT(COUNTIF(General!$U$13:$U$19,FS$12))),$I38,"")</f>
        <v/>
      </c>
      <c r="FT38" s="390" t="str">
        <f>IF(AND(FT$12&gt;=$E38,FT$12&lt;=$F38,MOD(FT$12,7)&gt;1,NOT(COUNTIF(General!$U$13:$U$19,FT$12))),$I38,"")</f>
        <v/>
      </c>
      <c r="FU38" s="390" t="str">
        <f>IF(AND(FU$12&gt;=$E38,FU$12&lt;=$F38,MOD(FU$12,7)&gt;1,NOT(COUNTIF(General!$U$13:$U$19,FU$12))),$I38,"")</f>
        <v/>
      </c>
      <c r="FV38" s="390" t="str">
        <f>IF(AND(FV$12&gt;=$E38,FV$12&lt;=$F38,MOD(FV$12,7)&gt;1,NOT(COUNTIF(General!$U$13:$U$19,FV$12))),$I38,"")</f>
        <v/>
      </c>
      <c r="FW38" s="390" t="str">
        <f>IF(AND(FW$12&gt;=$E38,FW$12&lt;=$F38,MOD(FW$12,7)&gt;1,NOT(COUNTIF(General!$U$13:$U$19,FW$12))),$I38,"")</f>
        <v/>
      </c>
      <c r="FX38" s="390" t="str">
        <f>IF(AND(FX$12&gt;=$E38,FX$12&lt;=$F38,MOD(FX$12,7)&gt;1,NOT(COUNTIF(General!$U$13:$U$19,FX$12))),$I38,"")</f>
        <v/>
      </c>
    </row>
    <row r="39" ht="16.5" customHeight="1">
      <c r="A39" s="368"/>
      <c r="B39" s="369"/>
      <c r="C39" s="370"/>
      <c r="D39" s="572" t="s">
        <v>571</v>
      </c>
      <c r="E39" s="599">
        <v>43819.0</v>
      </c>
      <c r="F39" s="374">
        <f>WORKDAY(E39,ROUNDUP(G39/I39,0),General!$U$13:$U$27)-1</f>
        <v>43821</v>
      </c>
      <c r="G39" s="542">
        <f>G38*0.4</f>
        <v>0.4</v>
      </c>
      <c r="H39" s="377"/>
      <c r="I39" s="368">
        <v>1.0</v>
      </c>
      <c r="J39" s="379"/>
      <c r="K39" s="381"/>
      <c r="L39" s="382"/>
      <c r="M39" s="383"/>
      <c r="N39" s="384"/>
      <c r="O39" s="386"/>
      <c r="P39" s="388"/>
      <c r="Q39" s="390" t="str">
        <f>IF(AND(Q$12&gt;=$E39,Q$12&lt;=$F39,MOD(Q$12,7)&gt;1,NOT(COUNTIF(General!$U$13:$U$19,Q$12))),$I39,"")</f>
        <v/>
      </c>
      <c r="R39" s="390" t="str">
        <f>IF(AND(R$12&gt;=$E39,R$12&lt;=$F39,MOD(R$12,7)&gt;1,NOT(COUNTIF(General!$U$13:$U$19,R$12))),$I39,"")</f>
        <v/>
      </c>
      <c r="S39" s="390" t="str">
        <f>IF(AND(S$12&gt;=$E39,S$12&lt;=$F39,MOD(S$12,7)&gt;1,NOT(COUNTIF(General!$U$13:$U$19,S$12))),$I39,"")</f>
        <v/>
      </c>
      <c r="T39" s="390" t="str">
        <f>IF(AND(T$12&gt;=$E39,T$12&lt;=$F39,MOD(T$12,7)&gt;1,NOT(COUNTIF(General!$U$13:$U$19,T$12))),$I39,"")</f>
        <v/>
      </c>
      <c r="U39" s="390" t="str">
        <f>IF(AND(U$12&gt;=$E39,U$12&lt;=$F39,MOD(U$12,7)&gt;1,NOT(COUNTIF(General!$U$13:$U$19,U$12))),$I39,"")</f>
        <v/>
      </c>
      <c r="V39" s="390" t="str">
        <f>IF(AND(V$12&gt;=$E39,V$12&lt;=$F39,MOD(V$12,7)&gt;1,NOT(COUNTIF(General!$U$13:$U$19,V$12))),$I39,"")</f>
        <v/>
      </c>
      <c r="W39" s="390" t="str">
        <f>IF(AND(W$12&gt;=$E39,W$12&lt;=$F39,MOD(W$12,7)&gt;1,NOT(COUNTIF(General!$U$13:$U$19,W$12))),$I39,"")</f>
        <v/>
      </c>
      <c r="X39" s="390" t="str">
        <f>IF(AND(X$12&gt;=$E39,X$12&lt;=$F39,MOD(X$12,7)&gt;1,NOT(COUNTIF(General!$U$13:$U$19,X$12))),$I39,"")</f>
        <v/>
      </c>
      <c r="Y39" s="390" t="str">
        <f>IF(AND(Y$12&gt;=$E39,Y$12&lt;=$F39,MOD(Y$12,7)&gt;1,NOT(COUNTIF(General!$U$13:$U$19,Y$12))),$I39,"")</f>
        <v/>
      </c>
      <c r="Z39" s="390" t="str">
        <f>IF(AND(Z$12&gt;=$E39,Z$12&lt;=$F39,MOD(Z$12,7)&gt;1,NOT(COUNTIF(General!$U$13:$U$19,Z$12))),$I39,"")</f>
        <v/>
      </c>
      <c r="AA39" s="390" t="str">
        <f>IF(AND(AA$12&gt;=$E39,AA$12&lt;=$F39,MOD(AA$12,7)&gt;1,NOT(COUNTIF(General!$U$13:$U$19,AA$12))),$I39,"")</f>
        <v/>
      </c>
      <c r="AB39" s="390" t="str">
        <f>IF(AND(AB$12&gt;=$E39,AB$12&lt;=$F39,MOD(AB$12,7)&gt;1,NOT(COUNTIF(General!$U$13:$U$19,AB$12))),$I39,"")</f>
        <v/>
      </c>
      <c r="AC39" s="390" t="str">
        <f>IF(AND(AC$12&gt;=$E39,AC$12&lt;=$F39,MOD(AC$12,7)&gt;1,NOT(COUNTIF(General!$U$13:$U$19,AC$12))),$I39,"")</f>
        <v/>
      </c>
      <c r="AD39" s="390" t="str">
        <f>IF(AND(AD$12&gt;=$E39,AD$12&lt;=$F39,MOD(AD$12,7)&gt;1,NOT(COUNTIF(General!$U$13:$U$19,AD$12))),$I39,"")</f>
        <v/>
      </c>
      <c r="AE39" s="390" t="str">
        <f>IF(AND(AE$12&gt;=$E39,AE$12&lt;=$F39,MOD(AE$12,7)&gt;1,NOT(COUNTIF(General!$U$13:$U$19,AE$12))),$I39,"")</f>
        <v/>
      </c>
      <c r="AF39" s="390" t="str">
        <f>IF(AND(AF$12&gt;=$E39,AF$12&lt;=$F39,MOD(AF$12,7)&gt;1,NOT(COUNTIF(General!$U$13:$U$19,AF$12))),$I39,"")</f>
        <v/>
      </c>
      <c r="AG39" s="390" t="str">
        <f>IF(AND(AG$12&gt;=$E39,AG$12&lt;=$F39,MOD(AG$12,7)&gt;1,NOT(COUNTIF(General!$U$13:$U$19,AG$12))),$I39,"")</f>
        <v/>
      </c>
      <c r="AH39" s="390" t="str">
        <f>IF(AND(AH$12&gt;=$E39,AH$12&lt;=$F39,MOD(AH$12,7)&gt;1,NOT(COUNTIF(General!$U$13:$U$19,AH$12))),$I39,"")</f>
        <v/>
      </c>
      <c r="AI39" s="390">
        <f>IF(AND(AI$12&gt;=$E39,AI$12&lt;=$F39,MOD(AI$12,7)&gt;1,NOT(COUNTIF(General!$U$13:$U$19,AI$12))),$I39,"")</f>
        <v>1</v>
      </c>
      <c r="AJ39" s="390" t="str">
        <f>IF(AND(AJ$12&gt;=$E39,AJ$12&lt;=$F39,MOD(AJ$12,7)&gt;1,NOT(COUNTIF(General!$U$13:$U$19,AJ$12))),$I39,"")</f>
        <v/>
      </c>
      <c r="AK39" s="390" t="str">
        <f>IF(AND(AK$12&gt;=$E39,AK$12&lt;=$F39,MOD(AK$12,7)&gt;1,NOT(COUNTIF(General!$U$13:$U$19,AK$12))),$I39,"")</f>
        <v/>
      </c>
      <c r="AL39" s="390" t="str">
        <f>IF(AND(AL$12&gt;=$E39,AL$12&lt;=$F39,MOD(AL$12,7)&gt;1,NOT(COUNTIF(General!$U$13:$U$19,AL$12))),$I39,"")</f>
        <v/>
      </c>
      <c r="AM39" s="390" t="str">
        <f>IF(AND(AM$12&gt;=$E39,AM$12&lt;=$F39,MOD(AM$12,7)&gt;1,NOT(COUNTIF(General!$U$13:$U$19,AM$12))),$I39,"")</f>
        <v/>
      </c>
      <c r="AN39" s="390" t="str">
        <f>IF(AND(AN$12&gt;=$E39,AN$12&lt;=$F39,MOD(AN$12,7)&gt;1,NOT(COUNTIF(General!$U$13:$U$19,AN$12))),$I39,"")</f>
        <v/>
      </c>
      <c r="AO39" s="390" t="str">
        <f>IF(AND(AO$12&gt;=$E39,AO$12&lt;=$F39,MOD(AO$12,7)&gt;1,NOT(COUNTIF(General!$U$13:$U$19,AO$12))),$I39,"")</f>
        <v/>
      </c>
      <c r="AP39" s="390" t="str">
        <f>IF(AND(AP$12&gt;=$E39,AP$12&lt;=$F39,MOD(AP$12,7)&gt;1,NOT(COUNTIF(General!$U$13:$U$19,AP$12))),$I39,"")</f>
        <v/>
      </c>
      <c r="AQ39" s="390" t="str">
        <f>IF(AND(AQ$12&gt;=$E39,AQ$12&lt;=$F39,MOD(AQ$12,7)&gt;1,NOT(COUNTIF(General!$U$13:$U$19,AQ$12))),$I39,"")</f>
        <v/>
      </c>
      <c r="AR39" s="390" t="str">
        <f>IF(AND(AR$12&gt;=$E39,AR$12&lt;=$F39,MOD(AR$12,7)&gt;1,NOT(COUNTIF(General!$U$13:$U$19,AR$12))),$I39,"")</f>
        <v/>
      </c>
      <c r="AS39" s="390" t="str">
        <f>IF(AND(AS$12&gt;=$E39,AS$12&lt;=$F39,MOD(AS$12,7)&gt;1,NOT(COUNTIF(General!$U$13:$U$19,AS$12))),$I39,"")</f>
        <v/>
      </c>
      <c r="AT39" s="390" t="str">
        <f>IF(AND(AT$12&gt;=$E39,AT$12&lt;=$F39,MOD(AT$12,7)&gt;1,NOT(COUNTIF(General!$U$13:$U$19,AT$12))),$I39,"")</f>
        <v/>
      </c>
      <c r="AU39" s="390" t="str">
        <f>IF(AND(AU$12&gt;=$E39,AU$12&lt;=$F39,MOD(AU$12,7)&gt;1,NOT(COUNTIF(General!$U$13:$U$19,AU$12))),$I39,"")</f>
        <v/>
      </c>
      <c r="AV39" s="390" t="str">
        <f>IF(AND(AV$12&gt;=$E39,AV$12&lt;=$F39,MOD(AV$12,7)&gt;1,NOT(COUNTIF(General!$U$13:$U$19,AV$12))),$I39,"")</f>
        <v/>
      </c>
      <c r="AW39" s="390" t="str">
        <f>IF(AND(AW$12&gt;=$E39,AW$12&lt;=$F39,MOD(AW$12,7)&gt;1,NOT(COUNTIF(General!$U$13:$U$19,AW$12))),$I39,"")</f>
        <v/>
      </c>
      <c r="AX39" s="390" t="str">
        <f>IF(AND(AX$12&gt;=$E39,AX$12&lt;=$F39,MOD(AX$12,7)&gt;1,NOT(COUNTIF(General!$U$13:$U$19,AX$12))),$I39,"")</f>
        <v/>
      </c>
      <c r="AY39" s="390" t="str">
        <f>IF(AND(AY$12&gt;=$E39,AY$12&lt;=$F39,MOD(AY$12,7)&gt;1,NOT(COUNTIF(General!$U$13:$U$19,AY$12))),$I39,"")</f>
        <v/>
      </c>
      <c r="AZ39" s="390" t="str">
        <f>IF(AND(AZ$12&gt;=$E39,AZ$12&lt;=$F39,MOD(AZ$12,7)&gt;1,NOT(COUNTIF(General!$U$13:$U$19,AZ$12))),$I39,"")</f>
        <v/>
      </c>
      <c r="BA39" s="390" t="str">
        <f>IF(AND(BA$12&gt;=$E39,BA$12&lt;=$F39,MOD(BA$12,7)&gt;1,NOT(COUNTIF(General!$U$13:$U$19,BA$12))),$I39,"")</f>
        <v/>
      </c>
      <c r="BB39" s="390" t="str">
        <f>IF(AND(BB$12&gt;=$E39,BB$12&lt;=$F39,MOD(BB$12,7)&gt;1,NOT(COUNTIF(General!$U$13:$U$19,BB$12))),$I39,"")</f>
        <v/>
      </c>
      <c r="BC39" s="390" t="str">
        <f>IF(AND(BC$12&gt;=$E39,BC$12&lt;=$F39,MOD(BC$12,7)&gt;1,NOT(COUNTIF(General!$U$13:$U$19,BC$12))),$I39,"")</f>
        <v/>
      </c>
      <c r="BD39" s="390" t="str">
        <f>IF(AND(BD$12&gt;=$E39,BD$12&lt;=$F39,MOD(BD$12,7)&gt;1,NOT(COUNTIF(General!$U$13:$U$19,BD$12))),$I39,"")</f>
        <v/>
      </c>
      <c r="BE39" s="390" t="str">
        <f>IF(AND(BE$12&gt;=$E39,BE$12&lt;=$F39,MOD(BE$12,7)&gt;1,NOT(COUNTIF(General!$U$13:$U$19,BE$12))),$I39,"")</f>
        <v/>
      </c>
      <c r="BF39" s="390" t="str">
        <f>IF(AND(BF$12&gt;=$E39,BF$12&lt;=$F39,MOD(BF$12,7)&gt;1,NOT(COUNTIF(General!$U$13:$U$19,BF$12))),$I39,"")</f>
        <v/>
      </c>
      <c r="BG39" s="390" t="str">
        <f>IF(AND(BG$12&gt;=$E39,BG$12&lt;=$F39,MOD(BG$12,7)&gt;1,NOT(COUNTIF(General!$U$13:$U$19,BG$12))),$I39,"")</f>
        <v/>
      </c>
      <c r="BH39" s="390" t="str">
        <f>IF(AND(BH$12&gt;=$E39,BH$12&lt;=$F39,MOD(BH$12,7)&gt;1,NOT(COUNTIF(General!$U$13:$U$19,BH$12))),$I39,"")</f>
        <v/>
      </c>
      <c r="BI39" s="390" t="str">
        <f>IF(AND(BI$12&gt;=$E39,BI$12&lt;=$F39,MOD(BI$12,7)&gt;1,NOT(COUNTIF(General!$U$13:$U$19,BI$12))),$I39,"")</f>
        <v/>
      </c>
      <c r="BJ39" s="390" t="str">
        <f>IF(AND(BJ$12&gt;=$E39,BJ$12&lt;=$F39,MOD(BJ$12,7)&gt;1,NOT(COUNTIF(General!$U$13:$U$19,BJ$12))),$I39,"")</f>
        <v/>
      </c>
      <c r="BK39" s="390" t="str">
        <f>IF(AND(BK$12&gt;=$E39,BK$12&lt;=$F39,MOD(BK$12,7)&gt;1,NOT(COUNTIF(General!$U$13:$U$19,BK$12))),$I39,"")</f>
        <v/>
      </c>
      <c r="BL39" s="390" t="str">
        <f>IF(AND(BL$12&gt;=$E39,BL$12&lt;=$F39,MOD(BL$12,7)&gt;1,NOT(COUNTIF(General!$U$13:$U$19,BL$12))),$I39,"")</f>
        <v/>
      </c>
      <c r="BM39" s="390" t="str">
        <f>IF(AND(BM$12&gt;=$E39,BM$12&lt;=$F39,MOD(BM$12,7)&gt;1,NOT(COUNTIF(General!$U$13:$U$19,BM$12))),$I39,"")</f>
        <v/>
      </c>
      <c r="BN39" s="390" t="str">
        <f>IF(AND(BN$12&gt;=$E39,BN$12&lt;=$F39,MOD(BN$12,7)&gt;1,NOT(COUNTIF(General!$U$13:$U$19,BN$12))),$I39,"")</f>
        <v/>
      </c>
      <c r="BO39" s="390" t="str">
        <f>IF(AND(BO$12&gt;=$E39,BO$12&lt;=$F39,MOD(BO$12,7)&gt;1,NOT(COUNTIF(General!$U$13:$U$19,BO$12))),$I39,"")</f>
        <v/>
      </c>
      <c r="BP39" s="390" t="str">
        <f>IF(AND(BP$12&gt;=$E39,BP$12&lt;=$F39,MOD(BP$12,7)&gt;1,NOT(COUNTIF(General!$U$13:$U$19,BP$12))),$I39,"")</f>
        <v/>
      </c>
      <c r="BQ39" s="390" t="str">
        <f>IF(AND(BQ$12&gt;=$E39,BQ$12&lt;=$F39,MOD(BQ$12,7)&gt;1,NOT(COUNTIF(General!$U$13:$U$19,BQ$12))),$I39,"")</f>
        <v/>
      </c>
      <c r="BR39" s="390" t="str">
        <f>IF(AND(BR$12&gt;=$E39,BR$12&lt;=$F39,MOD(BR$12,7)&gt;1,NOT(COUNTIF(General!$U$13:$U$19,BR$12))),$I39,"")</f>
        <v/>
      </c>
      <c r="BS39" s="390" t="str">
        <f>IF(AND(BS$12&gt;=$E39,BS$12&lt;=$F39,MOD(BS$12,7)&gt;1,NOT(COUNTIF(General!$U$13:$U$19,BS$12))),$I39,"")</f>
        <v/>
      </c>
      <c r="BT39" s="390" t="str">
        <f>IF(AND(BT$12&gt;=$E39,BT$12&lt;=$F39,MOD(BT$12,7)&gt;1,NOT(COUNTIF(General!$U$13:$U$19,BT$12))),$I39,"")</f>
        <v/>
      </c>
      <c r="BU39" s="390" t="str">
        <f>IF(AND(BU$12&gt;=$E39,BU$12&lt;=$F39,MOD(BU$12,7)&gt;1,NOT(COUNTIF(General!$U$13:$U$19,BU$12))),$I39,"")</f>
        <v/>
      </c>
      <c r="BV39" s="390" t="str">
        <f>IF(AND(BV$12&gt;=$E39,BV$12&lt;=$F39,MOD(BV$12,7)&gt;1,NOT(COUNTIF(General!$U$13:$U$19,BV$12))),$I39,"")</f>
        <v/>
      </c>
      <c r="BW39" s="390" t="str">
        <f>IF(AND(BW$12&gt;=$E39,BW$12&lt;=$F39,MOD(BW$12,7)&gt;1,NOT(COUNTIF(General!$U$13:$U$19,BW$12))),$I39,"")</f>
        <v/>
      </c>
      <c r="BX39" s="390" t="str">
        <f>IF(AND(BX$12&gt;=$E39,BX$12&lt;=$F39,MOD(BX$12,7)&gt;1,NOT(COUNTIF(General!$U$13:$U$19,BX$12))),$I39,"")</f>
        <v/>
      </c>
      <c r="BY39" s="390" t="str">
        <f>IF(AND(BY$12&gt;=$E39,BY$12&lt;=$F39,MOD(BY$12,7)&gt;1,NOT(COUNTIF(General!$U$13:$U$19,BY$12))),$I39,"")</f>
        <v/>
      </c>
      <c r="BZ39" s="390" t="str">
        <f>IF(AND(BZ$12&gt;=$E39,BZ$12&lt;=$F39,MOD(BZ$12,7)&gt;1,NOT(COUNTIF(General!$U$13:$U$19,BZ$12))),$I39,"")</f>
        <v/>
      </c>
      <c r="CA39" s="390" t="str">
        <f>IF(AND(CA$12&gt;=$E39,CA$12&lt;=$F39,MOD(CA$12,7)&gt;1,NOT(COUNTIF(General!$U$13:$U$19,CA$12))),$I39,"")</f>
        <v/>
      </c>
      <c r="CB39" s="390" t="str">
        <f>IF(AND(CB$12&gt;=$E39,CB$12&lt;=$F39,MOD(CB$12,7)&gt;1,NOT(COUNTIF(General!$U$13:$U$19,CB$12))),$I39,"")</f>
        <v/>
      </c>
      <c r="CC39" s="390" t="str">
        <f>IF(AND(CC$12&gt;=$E39,CC$12&lt;=$F39,MOD(CC$12,7)&gt;1,NOT(COUNTIF(General!$U$13:$U$19,CC$12))),$I39,"")</f>
        <v/>
      </c>
      <c r="CD39" s="390" t="str">
        <f>IF(AND(CD$12&gt;=$E39,CD$12&lt;=$F39,MOD(CD$12,7)&gt;1,NOT(COUNTIF(General!$U$13:$U$19,CD$12))),$I39,"")</f>
        <v/>
      </c>
      <c r="CE39" s="390" t="str">
        <f>IF(AND(CE$12&gt;=$E39,CE$12&lt;=$F39,MOD(CE$12,7)&gt;1,NOT(COUNTIF(General!$U$13:$U$19,CE$12))),$I39,"")</f>
        <v/>
      </c>
      <c r="CF39" s="390" t="str">
        <f>IF(AND(CF$12&gt;=$E39,CF$12&lt;=$F39,MOD(CF$12,7)&gt;1,NOT(COUNTIF(General!$U$13:$U$19,CF$12))),$I39,"")</f>
        <v/>
      </c>
      <c r="CG39" s="390" t="str">
        <f>IF(AND(CG$12&gt;=$E39,CG$12&lt;=$F39,MOD(CG$12,7)&gt;1,NOT(COUNTIF(General!$U$13:$U$19,CG$12))),$I39,"")</f>
        <v/>
      </c>
      <c r="CH39" s="390" t="str">
        <f>IF(AND(CH$12&gt;=$E39,CH$12&lt;=$F39,MOD(CH$12,7)&gt;1,NOT(COUNTIF(General!$U$13:$U$19,CH$12))),$I39,"")</f>
        <v/>
      </c>
      <c r="CI39" s="390" t="str">
        <f>IF(AND(CI$12&gt;=$E39,CI$12&lt;=$F39,MOD(CI$12,7)&gt;1,NOT(COUNTIF(General!$U$13:$U$19,CI$12))),$I39,"")</f>
        <v/>
      </c>
      <c r="CJ39" s="390" t="str">
        <f>IF(AND(CJ$12&gt;=$E39,CJ$12&lt;=$F39,MOD(CJ$12,7)&gt;1,NOT(COUNTIF(General!$U$13:$U$19,CJ$12))),$I39,"")</f>
        <v/>
      </c>
      <c r="CK39" s="390" t="str">
        <f>IF(AND(CK$12&gt;=$E39,CK$12&lt;=$F39,MOD(CK$12,7)&gt;1,NOT(COUNTIF(General!$U$13:$U$19,CK$12))),$I39,"")</f>
        <v/>
      </c>
      <c r="CL39" s="390" t="str">
        <f>IF(AND(CL$12&gt;=$E39,CL$12&lt;=$F39,MOD(CL$12,7)&gt;1,NOT(COUNTIF(General!$U$13:$U$19,CL$12))),$I39,"")</f>
        <v/>
      </c>
      <c r="CM39" s="390" t="str">
        <f>IF(AND(CM$12&gt;=$E39,CM$12&lt;=$F39,MOD(CM$12,7)&gt;1,NOT(COUNTIF(General!$U$13:$U$19,CM$12))),$I39,"")</f>
        <v/>
      </c>
      <c r="CN39" s="390" t="str">
        <f>IF(AND(CN$12&gt;=$E39,CN$12&lt;=$F39,MOD(CN$12,7)&gt;1,NOT(COUNTIF(General!$U$13:$U$19,CN$12))),$I39,"")</f>
        <v/>
      </c>
      <c r="CO39" s="390" t="str">
        <f>IF(AND(CO$12&gt;=$E39,CO$12&lt;=$F39,MOD(CO$12,7)&gt;1,NOT(COUNTIF(General!$U$13:$U$19,CO$12))),$I39,"")</f>
        <v/>
      </c>
      <c r="CP39" s="390" t="str">
        <f>IF(AND(CP$12&gt;=$E39,CP$12&lt;=$F39,MOD(CP$12,7)&gt;1,NOT(COUNTIF(General!$U$13:$U$19,CP$12))),$I39,"")</f>
        <v/>
      </c>
      <c r="CQ39" s="390" t="str">
        <f>IF(AND(CQ$12&gt;=$E39,CQ$12&lt;=$F39,MOD(CQ$12,7)&gt;1,NOT(COUNTIF(General!$U$13:$U$19,CQ$12))),$I39,"")</f>
        <v/>
      </c>
      <c r="CR39" s="390" t="str">
        <f>IF(AND(CR$12&gt;=$E39,CR$12&lt;=$F39,MOD(CR$12,7)&gt;1,NOT(COUNTIF(General!$U$13:$U$19,CR$12))),$I39,"")</f>
        <v/>
      </c>
      <c r="CS39" s="390" t="str">
        <f>IF(AND(CS$12&gt;=$E39,CS$12&lt;=$F39,MOD(CS$12,7)&gt;1,NOT(COUNTIF(General!$U$13:$U$19,CS$12))),$I39,"")</f>
        <v/>
      </c>
      <c r="CT39" s="390" t="str">
        <f>IF(AND(CT$12&gt;=$E39,CT$12&lt;=$F39,MOD(CT$12,7)&gt;1,NOT(COUNTIF(General!$U$13:$U$19,CT$12))),$I39,"")</f>
        <v/>
      </c>
      <c r="CU39" s="390" t="str">
        <f>IF(AND(CU$12&gt;=$E39,CU$12&lt;=$F39,MOD(CU$12,7)&gt;1,NOT(COUNTIF(General!$U$13:$U$19,CU$12))),$I39,"")</f>
        <v/>
      </c>
      <c r="CV39" s="390" t="str">
        <f>IF(AND(CV$12&gt;=$E39,CV$12&lt;=$F39,MOD(CV$12,7)&gt;1,NOT(COUNTIF(General!$U$13:$U$19,CV$12))),$I39,"")</f>
        <v/>
      </c>
      <c r="CW39" s="390" t="str">
        <f>IF(AND(CW$12&gt;=$E39,CW$12&lt;=$F39,MOD(CW$12,7)&gt;1,NOT(COUNTIF(General!$U$13:$U$19,CW$12))),$I39,"")</f>
        <v/>
      </c>
      <c r="CX39" s="390" t="str">
        <f>IF(AND(CX$12&gt;=$E39,CX$12&lt;=$F39,MOD(CX$12,7)&gt;1,NOT(COUNTIF(General!$U$13:$U$19,CX$12))),$I39,"")</f>
        <v/>
      </c>
      <c r="CY39" s="390" t="str">
        <f>IF(AND(CY$12&gt;=$E39,CY$12&lt;=$F39,MOD(CY$12,7)&gt;1,NOT(COUNTIF(General!$U$13:$U$19,CY$12))),$I39,"")</f>
        <v/>
      </c>
      <c r="CZ39" s="390" t="str">
        <f>IF(AND(CZ$12&gt;=$E39,CZ$12&lt;=$F39,MOD(CZ$12,7)&gt;1,NOT(COUNTIF(General!$U$13:$U$19,CZ$12))),$I39,"")</f>
        <v/>
      </c>
      <c r="DA39" s="390" t="str">
        <f>IF(AND(DA$12&gt;=$E39,DA$12&lt;=$F39,MOD(DA$12,7)&gt;1,NOT(COUNTIF(General!$U$13:$U$19,DA$12))),$I39,"")</f>
        <v/>
      </c>
      <c r="DB39" s="390" t="str">
        <f>IF(AND(DB$12&gt;=$E39,DB$12&lt;=$F39,MOD(DB$12,7)&gt;1,NOT(COUNTIF(General!$U$13:$U$19,DB$12))),$I39,"")</f>
        <v/>
      </c>
      <c r="DC39" s="390" t="str">
        <f>IF(AND(DC$12&gt;=$E39,DC$12&lt;=$F39,MOD(DC$12,7)&gt;1,NOT(COUNTIF(General!$U$13:$U$19,DC$12))),$I39,"")</f>
        <v/>
      </c>
      <c r="DD39" s="390" t="str">
        <f>IF(AND(DD$12&gt;=$E39,DD$12&lt;=$F39,MOD(DD$12,7)&gt;1,NOT(COUNTIF(General!$U$13:$U$19,DD$12))),$I39,"")</f>
        <v/>
      </c>
      <c r="DE39" s="390" t="str">
        <f>IF(AND(DE$12&gt;=$E39,DE$12&lt;=$F39,MOD(DE$12,7)&gt;1,NOT(COUNTIF(General!$U$13:$U$19,DE$12))),$I39,"")</f>
        <v/>
      </c>
      <c r="DF39" s="390" t="str">
        <f>IF(AND(DF$12&gt;=$E39,DF$12&lt;=$F39,MOD(DF$12,7)&gt;1,NOT(COUNTIF(General!$U$13:$U$19,DF$12))),$I39,"")</f>
        <v/>
      </c>
      <c r="DG39" s="390" t="str">
        <f>IF(AND(DG$12&gt;=$E39,DG$12&lt;=$F39,MOD(DG$12,7)&gt;1,NOT(COUNTIF(General!$U$13:$U$19,DG$12))),$I39,"")</f>
        <v/>
      </c>
      <c r="DH39" s="390" t="str">
        <f>IF(AND(DH$12&gt;=$E39,DH$12&lt;=$F39,MOD(DH$12,7)&gt;1,NOT(COUNTIF(General!$U$13:$U$19,DH$12))),$I39,"")</f>
        <v/>
      </c>
      <c r="DI39" s="390" t="str">
        <f>IF(AND(DI$12&gt;=$E39,DI$12&lt;=$F39,MOD(DI$12,7)&gt;1,NOT(COUNTIF(General!$U$13:$U$19,DI$12))),$I39,"")</f>
        <v/>
      </c>
      <c r="DJ39" s="390" t="str">
        <f>IF(AND(DJ$12&gt;=$E39,DJ$12&lt;=$F39,MOD(DJ$12,7)&gt;1,NOT(COUNTIF(General!$U$13:$U$19,DJ$12))),$I39,"")</f>
        <v/>
      </c>
      <c r="DK39" s="390" t="str">
        <f>IF(AND(DK$12&gt;=$E39,DK$12&lt;=$F39,MOD(DK$12,7)&gt;1,NOT(COUNTIF(General!$U$13:$U$19,DK$12))),$I39,"")</f>
        <v/>
      </c>
      <c r="DL39" s="390" t="str">
        <f>IF(AND(DL$12&gt;=$E39,DL$12&lt;=$F39,MOD(DL$12,7)&gt;1,NOT(COUNTIF(General!$U$13:$U$19,DL$12))),$I39,"")</f>
        <v/>
      </c>
      <c r="DM39" s="390" t="str">
        <f>IF(AND(DM$12&gt;=$E39,DM$12&lt;=$F39,MOD(DM$12,7)&gt;1,NOT(COUNTIF(General!$U$13:$U$19,DM$12))),$I39,"")</f>
        <v/>
      </c>
      <c r="DN39" s="390" t="str">
        <f>IF(AND(DN$12&gt;=$E39,DN$12&lt;=$F39,MOD(DN$12,7)&gt;1,NOT(COUNTIF(General!$U$13:$U$19,DN$12))),$I39,"")</f>
        <v/>
      </c>
      <c r="DO39" s="390" t="str">
        <f>IF(AND(DO$12&gt;=$E39,DO$12&lt;=$F39,MOD(DO$12,7)&gt;1,NOT(COUNTIF(General!$U$13:$U$19,DO$12))),$I39,"")</f>
        <v/>
      </c>
      <c r="DP39" s="390" t="str">
        <f>IF(AND(DP$12&gt;=$E39,DP$12&lt;=$F39,MOD(DP$12,7)&gt;1,NOT(COUNTIF(General!$U$13:$U$19,DP$12))),$I39,"")</f>
        <v/>
      </c>
      <c r="DQ39" s="390" t="str">
        <f>IF(AND(DQ$12&gt;=$E39,DQ$12&lt;=$F39,MOD(DQ$12,7)&gt;1,NOT(COUNTIF(General!$U$13:$U$19,DQ$12))),$I39,"")</f>
        <v/>
      </c>
      <c r="DR39" s="390" t="str">
        <f>IF(AND(DR$12&gt;=$E39,DR$12&lt;=$F39,MOD(DR$12,7)&gt;1,NOT(COUNTIF(General!$U$13:$U$19,DR$12))),$I39,"")</f>
        <v/>
      </c>
      <c r="DS39" s="390" t="str">
        <f>IF(AND(DS$12&gt;=$E39,DS$12&lt;=$F39,MOD(DS$12,7)&gt;1,NOT(COUNTIF(General!$U$13:$U$19,DS$12))),$I39,"")</f>
        <v/>
      </c>
      <c r="DT39" s="390" t="str">
        <f>IF(AND(DT$12&gt;=$E39,DT$12&lt;=$F39,MOD(DT$12,7)&gt;1,NOT(COUNTIF(General!$U$13:$U$19,DT$12))),$I39,"")</f>
        <v/>
      </c>
      <c r="DU39" s="390" t="str">
        <f>IF(AND(DU$12&gt;=$E39,DU$12&lt;=$F39,MOD(DU$12,7)&gt;1,NOT(COUNTIF(General!$U$13:$U$19,DU$12))),$I39,"")</f>
        <v/>
      </c>
      <c r="DV39" s="390" t="str">
        <f>IF(AND(DV$12&gt;=$E39,DV$12&lt;=$F39,MOD(DV$12,7)&gt;1,NOT(COUNTIF(General!$U$13:$U$19,DV$12))),$I39,"")</f>
        <v/>
      </c>
      <c r="DW39" s="390" t="str">
        <f>IF(AND(DW$12&gt;=$E39,DW$12&lt;=$F39,MOD(DW$12,7)&gt;1,NOT(COUNTIF(General!$U$13:$U$19,DW$12))),$I39,"")</f>
        <v/>
      </c>
      <c r="DX39" s="390" t="str">
        <f>IF(AND(DX$12&gt;=$E39,DX$12&lt;=$F39,MOD(DX$12,7)&gt;1,NOT(COUNTIF(General!$U$13:$U$19,DX$12))),$I39,"")</f>
        <v/>
      </c>
      <c r="DY39" s="390" t="str">
        <f>IF(AND(DY$12&gt;=$E39,DY$12&lt;=$F39,MOD(DY$12,7)&gt;1,NOT(COUNTIF(General!$U$13:$U$19,DY$12))),$I39,"")</f>
        <v/>
      </c>
      <c r="DZ39" s="390" t="str">
        <f>IF(AND(DZ$12&gt;=$E39,DZ$12&lt;=$F39,MOD(DZ$12,7)&gt;1,NOT(COUNTIF(General!$U$13:$U$19,DZ$12))),$I39,"")</f>
        <v/>
      </c>
      <c r="EA39" s="390" t="str">
        <f>IF(AND(EA$12&gt;=$E39,EA$12&lt;=$F39,MOD(EA$12,7)&gt;1,NOT(COUNTIF(General!$U$13:$U$19,EA$12))),$I39,"")</f>
        <v/>
      </c>
      <c r="EB39" s="390" t="str">
        <f>IF(AND(EB$12&gt;=$E39,EB$12&lt;=$F39,MOD(EB$12,7)&gt;1,NOT(COUNTIF(General!$U$13:$U$19,EB$12))),$I39,"")</f>
        <v/>
      </c>
      <c r="EC39" s="390" t="str">
        <f>IF(AND(EC$12&gt;=$E39,EC$12&lt;=$F39,MOD(EC$12,7)&gt;1,NOT(COUNTIF(General!$U$13:$U$19,EC$12))),$I39,"")</f>
        <v/>
      </c>
      <c r="ED39" s="390" t="str">
        <f>IF(AND(ED$12&gt;=$E39,ED$12&lt;=$F39,MOD(ED$12,7)&gt;1,NOT(COUNTIF(General!$U$13:$U$19,ED$12))),$I39,"")</f>
        <v/>
      </c>
      <c r="EE39" s="390" t="str">
        <f>IF(AND(EE$12&gt;=$E39,EE$12&lt;=$F39,MOD(EE$12,7)&gt;1,NOT(COUNTIF(General!$U$13:$U$19,EE$12))),$I39,"")</f>
        <v/>
      </c>
      <c r="EF39" s="390" t="str">
        <f>IF(AND(EF$12&gt;=$E39,EF$12&lt;=$F39,MOD(EF$12,7)&gt;1,NOT(COUNTIF(General!$U$13:$U$19,EF$12))),$I39,"")</f>
        <v/>
      </c>
      <c r="EG39" s="390" t="str">
        <f>IF(AND(EG$12&gt;=$E39,EG$12&lt;=$F39,MOD(EG$12,7)&gt;1,NOT(COUNTIF(General!$U$13:$U$19,EG$12))),$I39,"")</f>
        <v/>
      </c>
      <c r="EH39" s="390" t="str">
        <f>IF(AND(EH$12&gt;=$E39,EH$12&lt;=$F39,MOD(EH$12,7)&gt;1,NOT(COUNTIF(General!$U$13:$U$19,EH$12))),$I39,"")</f>
        <v/>
      </c>
      <c r="EI39" s="390" t="str">
        <f>IF(AND(EI$12&gt;=$E39,EI$12&lt;=$F39,MOD(EI$12,7)&gt;1,NOT(COUNTIF(General!$U$13:$U$19,EI$12))),$I39,"")</f>
        <v/>
      </c>
      <c r="EJ39" s="390" t="str">
        <f>IF(AND(EJ$12&gt;=$E39,EJ$12&lt;=$F39,MOD(EJ$12,7)&gt;1,NOT(COUNTIF(General!$U$13:$U$19,EJ$12))),$I39,"")</f>
        <v/>
      </c>
      <c r="EK39" s="390" t="str">
        <f>IF(AND(EK$12&gt;=$E39,EK$12&lt;=$F39,MOD(EK$12,7)&gt;1,NOT(COUNTIF(General!$U$13:$U$19,EK$12))),$I39,"")</f>
        <v/>
      </c>
      <c r="EL39" s="390" t="str">
        <f>IF(AND(EL$12&gt;=$E39,EL$12&lt;=$F39,MOD(EL$12,7)&gt;1,NOT(COUNTIF(General!$U$13:$U$19,EL$12))),$I39,"")</f>
        <v/>
      </c>
      <c r="EM39" s="390" t="str">
        <f>IF(AND(EM$12&gt;=$E39,EM$12&lt;=$F39,MOD(EM$12,7)&gt;1,NOT(COUNTIF(General!$U$13:$U$19,EM$12))),$I39,"")</f>
        <v/>
      </c>
      <c r="EN39" s="390" t="str">
        <f>IF(AND(EN$12&gt;=$E39,EN$12&lt;=$F39,MOD(EN$12,7)&gt;1,NOT(COUNTIF(General!$U$13:$U$19,EN$12))),$I39,"")</f>
        <v/>
      </c>
      <c r="EO39" s="390" t="str">
        <f>IF(AND(EO$12&gt;=$E39,EO$12&lt;=$F39,MOD(EO$12,7)&gt;1,NOT(COUNTIF(General!$U$13:$U$19,EO$12))),$I39,"")</f>
        <v/>
      </c>
      <c r="EP39" s="390" t="str">
        <f>IF(AND(EP$12&gt;=$E39,EP$12&lt;=$F39,MOD(EP$12,7)&gt;1,NOT(COUNTIF(General!$U$13:$U$19,EP$12))),$I39,"")</f>
        <v/>
      </c>
      <c r="EQ39" s="390" t="str">
        <f>IF(AND(EQ$12&gt;=$E39,EQ$12&lt;=$F39,MOD(EQ$12,7)&gt;1,NOT(COUNTIF(General!$U$13:$U$19,EQ$12))),$I39,"")</f>
        <v/>
      </c>
      <c r="ER39" s="390" t="str">
        <f>IF(AND(ER$12&gt;=$E39,ER$12&lt;=$F39,MOD(ER$12,7)&gt;1,NOT(COUNTIF(General!$U$13:$U$19,ER$12))),$I39,"")</f>
        <v/>
      </c>
      <c r="ES39" s="390" t="str">
        <f>IF(AND(ES$12&gt;=$E39,ES$12&lt;=$F39,MOD(ES$12,7)&gt;1,NOT(COUNTIF(General!$U$13:$U$19,ES$12))),$I39,"")</f>
        <v/>
      </c>
      <c r="ET39" s="390" t="str">
        <f>IF(AND(ET$12&gt;=$E39,ET$12&lt;=$F39,MOD(ET$12,7)&gt;1,NOT(COUNTIF(General!$U$13:$U$19,ET$12))),$I39,"")</f>
        <v/>
      </c>
      <c r="EU39" s="390" t="str">
        <f>IF(AND(EU$12&gt;=$E39,EU$12&lt;=$F39,MOD(EU$12,7)&gt;1,NOT(COUNTIF(General!$U$13:$U$19,EU$12))),$I39,"")</f>
        <v/>
      </c>
      <c r="EV39" s="390" t="str">
        <f>IF(AND(EV$12&gt;=$E39,EV$12&lt;=$F39,MOD(EV$12,7)&gt;1,NOT(COUNTIF(General!$U$13:$U$19,EV$12))),$I39,"")</f>
        <v/>
      </c>
      <c r="EW39" s="390" t="str">
        <f>IF(AND(EW$12&gt;=$E39,EW$12&lt;=$F39,MOD(EW$12,7)&gt;1,NOT(COUNTIF(General!$U$13:$U$19,EW$12))),$I39,"")</f>
        <v/>
      </c>
      <c r="EX39" s="390" t="str">
        <f>IF(AND(EX$12&gt;=$E39,EX$12&lt;=$F39,MOD(EX$12,7)&gt;1,NOT(COUNTIF(General!$U$13:$U$19,EX$12))),$I39,"")</f>
        <v/>
      </c>
      <c r="EY39" s="390" t="str">
        <f>IF(AND(EY$12&gt;=$E39,EY$12&lt;=$F39,MOD(EY$12,7)&gt;1,NOT(COUNTIF(General!$U$13:$U$19,EY$12))),$I39,"")</f>
        <v/>
      </c>
      <c r="EZ39" s="390" t="str">
        <f>IF(AND(EZ$12&gt;=$E39,EZ$12&lt;=$F39,MOD(EZ$12,7)&gt;1,NOT(COUNTIF(General!$U$13:$U$19,EZ$12))),$I39,"")</f>
        <v/>
      </c>
      <c r="FA39" s="390" t="str">
        <f>IF(AND(FA$12&gt;=$E39,FA$12&lt;=$F39,MOD(FA$12,7)&gt;1,NOT(COUNTIF(General!$U$13:$U$19,FA$12))),$I39,"")</f>
        <v/>
      </c>
      <c r="FB39" s="390" t="str">
        <f>IF(AND(FB$12&gt;=$E39,FB$12&lt;=$F39,MOD(FB$12,7)&gt;1,NOT(COUNTIF(General!$U$13:$U$19,FB$12))),$I39,"")</f>
        <v/>
      </c>
      <c r="FC39" s="390" t="str">
        <f>IF(AND(FC$12&gt;=$E39,FC$12&lt;=$F39,MOD(FC$12,7)&gt;1,NOT(COUNTIF(General!$U$13:$U$19,FC$12))),$I39,"")</f>
        <v/>
      </c>
      <c r="FD39" s="390" t="str">
        <f>IF(AND(FD$12&gt;=$E39,FD$12&lt;=$F39,MOD(FD$12,7)&gt;1,NOT(COUNTIF(General!$U$13:$U$19,FD$12))),$I39,"")</f>
        <v/>
      </c>
      <c r="FE39" s="390" t="str">
        <f>IF(AND(FE$12&gt;=$E39,FE$12&lt;=$F39,MOD(FE$12,7)&gt;1,NOT(COUNTIF(General!$U$13:$U$19,FE$12))),$I39,"")</f>
        <v/>
      </c>
      <c r="FF39" s="390" t="str">
        <f>IF(AND(FF$12&gt;=$E39,FF$12&lt;=$F39,MOD(FF$12,7)&gt;1,NOT(COUNTIF(General!$U$13:$U$19,FF$12))),$I39,"")</f>
        <v/>
      </c>
      <c r="FG39" s="390" t="str">
        <f>IF(AND(FG$12&gt;=$E39,FG$12&lt;=$F39,MOD(FG$12,7)&gt;1,NOT(COUNTIF(General!$U$13:$U$19,FG$12))),$I39,"")</f>
        <v/>
      </c>
      <c r="FH39" s="390" t="str">
        <f>IF(AND(FH$12&gt;=$E39,FH$12&lt;=$F39,MOD(FH$12,7)&gt;1,NOT(COUNTIF(General!$U$13:$U$19,FH$12))),$I39,"")</f>
        <v/>
      </c>
      <c r="FI39" s="390" t="str">
        <f>IF(AND(FI$12&gt;=$E39,FI$12&lt;=$F39,MOD(FI$12,7)&gt;1,NOT(COUNTIF(General!$U$13:$U$19,FI$12))),$I39,"")</f>
        <v/>
      </c>
      <c r="FJ39" s="390" t="str">
        <f>IF(AND(FJ$12&gt;=$E39,FJ$12&lt;=$F39,MOD(FJ$12,7)&gt;1,NOT(COUNTIF(General!$U$13:$U$19,FJ$12))),$I39,"")</f>
        <v/>
      </c>
      <c r="FK39" s="390" t="str">
        <f>IF(AND(FK$12&gt;=$E39,FK$12&lt;=$F39,MOD(FK$12,7)&gt;1,NOT(COUNTIF(General!$U$13:$U$19,FK$12))),$I39,"")</f>
        <v/>
      </c>
      <c r="FL39" s="390" t="str">
        <f>IF(AND(FL$12&gt;=$E39,FL$12&lt;=$F39,MOD(FL$12,7)&gt;1,NOT(COUNTIF(General!$U$13:$U$19,FL$12))),$I39,"")</f>
        <v/>
      </c>
      <c r="FM39" s="390" t="str">
        <f>IF(AND(FM$12&gt;=$E39,FM$12&lt;=$F39,MOD(FM$12,7)&gt;1,NOT(COUNTIF(General!$U$13:$U$19,FM$12))),$I39,"")</f>
        <v/>
      </c>
      <c r="FN39" s="390" t="str">
        <f>IF(AND(FN$12&gt;=$E39,FN$12&lt;=$F39,MOD(FN$12,7)&gt;1,NOT(COUNTIF(General!$U$13:$U$19,FN$12))),$I39,"")</f>
        <v/>
      </c>
      <c r="FO39" s="390" t="str">
        <f>IF(AND(FO$12&gt;=$E39,FO$12&lt;=$F39,MOD(FO$12,7)&gt;1,NOT(COUNTIF(General!$U$13:$U$19,FO$12))),$I39,"")</f>
        <v/>
      </c>
      <c r="FP39" s="390" t="str">
        <f>IF(AND(FP$12&gt;=$E39,FP$12&lt;=$F39,MOD(FP$12,7)&gt;1,NOT(COUNTIF(General!$U$13:$U$19,FP$12))),$I39,"")</f>
        <v/>
      </c>
      <c r="FQ39" s="390" t="str">
        <f>IF(AND(FQ$12&gt;=$E39,FQ$12&lt;=$F39,MOD(FQ$12,7)&gt;1,NOT(COUNTIF(General!$U$13:$U$19,FQ$12))),$I39,"")</f>
        <v/>
      </c>
      <c r="FR39" s="390" t="str">
        <f>IF(AND(FR$12&gt;=$E39,FR$12&lt;=$F39,MOD(FR$12,7)&gt;1,NOT(COUNTIF(General!$U$13:$U$19,FR$12))),$I39,"")</f>
        <v/>
      </c>
      <c r="FS39" s="390" t="str">
        <f>IF(AND(FS$12&gt;=$E39,FS$12&lt;=$F39,MOD(FS$12,7)&gt;1,NOT(COUNTIF(General!$U$13:$U$19,FS$12))),$I39,"")</f>
        <v/>
      </c>
      <c r="FT39" s="390" t="str">
        <f>IF(AND(FT$12&gt;=$E39,FT$12&lt;=$F39,MOD(FT$12,7)&gt;1,NOT(COUNTIF(General!$U$13:$U$19,FT$12))),$I39,"")</f>
        <v/>
      </c>
      <c r="FU39" s="390" t="str">
        <f>IF(AND(FU$12&gt;=$E39,FU$12&lt;=$F39,MOD(FU$12,7)&gt;1,NOT(COUNTIF(General!$U$13:$U$19,FU$12))),$I39,"")</f>
        <v/>
      </c>
      <c r="FV39" s="390" t="str">
        <f>IF(AND(FV$12&gt;=$E39,FV$12&lt;=$F39,MOD(FV$12,7)&gt;1,NOT(COUNTIF(General!$U$13:$U$19,FV$12))),$I39,"")</f>
        <v/>
      </c>
      <c r="FW39" s="390" t="str">
        <f>IF(AND(FW$12&gt;=$E39,FW$12&lt;=$F39,MOD(FW$12,7)&gt;1,NOT(COUNTIF(General!$U$13:$U$19,FW$12))),$I39,"")</f>
        <v/>
      </c>
      <c r="FX39" s="390" t="str">
        <f>IF(AND(FX$12&gt;=$E39,FX$12&lt;=$F39,MOD(FX$12,7)&gt;1,NOT(COUNTIF(General!$U$13:$U$19,FX$12))),$I39,"")</f>
        <v/>
      </c>
    </row>
    <row r="40" ht="16.5" customHeight="1">
      <c r="A40" s="368">
        <v>389730.0</v>
      </c>
      <c r="B40" s="369" t="s">
        <v>585</v>
      </c>
      <c r="C40" s="370"/>
      <c r="D40" s="612" t="s">
        <v>439</v>
      </c>
      <c r="E40" s="599">
        <v>43819.0</v>
      </c>
      <c r="F40" s="374">
        <f>WORKDAY(E40,ROUNDUP(G40/I40,0),General!$U$13:$U$27)-1</f>
        <v>43821</v>
      </c>
      <c r="G40" s="375">
        <v>1.0</v>
      </c>
      <c r="H40" s="377"/>
      <c r="I40" s="368">
        <v>1.0</v>
      </c>
      <c r="J40" s="379"/>
      <c r="K40" s="381"/>
      <c r="L40" s="382"/>
      <c r="M40" s="383"/>
      <c r="N40" s="384"/>
      <c r="O40" s="386"/>
      <c r="P40" s="388"/>
      <c r="Q40" s="390" t="str">
        <f>IF(AND(Q$12&gt;=$E40,Q$12&lt;=$F40,MOD(Q$12,7)&gt;1,NOT(COUNTIF(General!$U$13:$U$19,Q$12))),$I40,"")</f>
        <v/>
      </c>
      <c r="R40" s="390" t="str">
        <f>IF(AND(R$12&gt;=$E40,R$12&lt;=$F40,MOD(R$12,7)&gt;1,NOT(COUNTIF(General!$U$13:$U$19,R$12))),$I40,"")</f>
        <v/>
      </c>
      <c r="S40" s="390" t="str">
        <f>IF(AND(S$12&gt;=$E40,S$12&lt;=$F40,MOD(S$12,7)&gt;1,NOT(COUNTIF(General!$U$13:$U$19,S$12))),$I40,"")</f>
        <v/>
      </c>
      <c r="T40" s="390" t="str">
        <f>IF(AND(T$12&gt;=$E40,T$12&lt;=$F40,MOD(T$12,7)&gt;1,NOT(COUNTIF(General!$U$13:$U$19,T$12))),$I40,"")</f>
        <v/>
      </c>
      <c r="U40" s="390" t="str">
        <f>IF(AND(U$12&gt;=$E40,U$12&lt;=$F40,MOD(U$12,7)&gt;1,NOT(COUNTIF(General!$U$13:$U$19,U$12))),$I40,"")</f>
        <v/>
      </c>
      <c r="V40" s="390" t="str">
        <f>IF(AND(V$12&gt;=$E40,V$12&lt;=$F40,MOD(V$12,7)&gt;1,NOT(COUNTIF(General!$U$13:$U$19,V$12))),$I40,"")</f>
        <v/>
      </c>
      <c r="W40" s="390" t="str">
        <f>IF(AND(W$12&gt;=$E40,W$12&lt;=$F40,MOD(W$12,7)&gt;1,NOT(COUNTIF(General!$U$13:$U$19,W$12))),$I40,"")</f>
        <v/>
      </c>
      <c r="X40" s="390" t="str">
        <f>IF(AND(X$12&gt;=$E40,X$12&lt;=$F40,MOD(X$12,7)&gt;1,NOT(COUNTIF(General!$U$13:$U$19,X$12))),$I40,"")</f>
        <v/>
      </c>
      <c r="Y40" s="390" t="str">
        <f>IF(AND(Y$12&gt;=$E40,Y$12&lt;=$F40,MOD(Y$12,7)&gt;1,NOT(COUNTIF(General!$U$13:$U$19,Y$12))),$I40,"")</f>
        <v/>
      </c>
      <c r="Z40" s="390" t="str">
        <f>IF(AND(Z$12&gt;=$E40,Z$12&lt;=$F40,MOD(Z$12,7)&gt;1,NOT(COUNTIF(General!$U$13:$U$19,Z$12))),$I40,"")</f>
        <v/>
      </c>
      <c r="AA40" s="390" t="str">
        <f>IF(AND(AA$12&gt;=$E40,AA$12&lt;=$F40,MOD(AA$12,7)&gt;1,NOT(COUNTIF(General!$U$13:$U$19,AA$12))),$I40,"")</f>
        <v/>
      </c>
      <c r="AB40" s="390" t="str">
        <f>IF(AND(AB$12&gt;=$E40,AB$12&lt;=$F40,MOD(AB$12,7)&gt;1,NOT(COUNTIF(General!$U$13:$U$19,AB$12))),$I40,"")</f>
        <v/>
      </c>
      <c r="AC40" s="390" t="str">
        <f>IF(AND(AC$12&gt;=$E40,AC$12&lt;=$F40,MOD(AC$12,7)&gt;1,NOT(COUNTIF(General!$U$13:$U$19,AC$12))),$I40,"")</f>
        <v/>
      </c>
      <c r="AD40" s="390" t="str">
        <f>IF(AND(AD$12&gt;=$E40,AD$12&lt;=$F40,MOD(AD$12,7)&gt;1,NOT(COUNTIF(General!$U$13:$U$19,AD$12))),$I40,"")</f>
        <v/>
      </c>
      <c r="AE40" s="390" t="str">
        <f>IF(AND(AE$12&gt;=$E40,AE$12&lt;=$F40,MOD(AE$12,7)&gt;1,NOT(COUNTIF(General!$U$13:$U$19,AE$12))),$I40,"")</f>
        <v/>
      </c>
      <c r="AF40" s="390" t="str">
        <f>IF(AND(AF$12&gt;=$E40,AF$12&lt;=$F40,MOD(AF$12,7)&gt;1,NOT(COUNTIF(General!$U$13:$U$19,AF$12))),$I40,"")</f>
        <v/>
      </c>
      <c r="AG40" s="390" t="str">
        <f>IF(AND(AG$12&gt;=$E40,AG$12&lt;=$F40,MOD(AG$12,7)&gt;1,NOT(COUNTIF(General!$U$13:$U$19,AG$12))),$I40,"")</f>
        <v/>
      </c>
      <c r="AH40" s="390" t="str">
        <f>IF(AND(AH$12&gt;=$E40,AH$12&lt;=$F40,MOD(AH$12,7)&gt;1,NOT(COUNTIF(General!$U$13:$U$19,AH$12))),$I40,"")</f>
        <v/>
      </c>
      <c r="AI40" s="390">
        <f>IF(AND(AI$12&gt;=$E40,AI$12&lt;=$F40,MOD(AI$12,7)&gt;1,NOT(COUNTIF(General!$U$13:$U$19,AI$12))),$I40,"")</f>
        <v>1</v>
      </c>
      <c r="AJ40" s="390" t="str">
        <f>IF(AND(AJ$12&gt;=$E40,AJ$12&lt;=$F40,MOD(AJ$12,7)&gt;1,NOT(COUNTIF(General!$U$13:$U$19,AJ$12))),$I40,"")</f>
        <v/>
      </c>
      <c r="AK40" s="390" t="str">
        <f>IF(AND(AK$12&gt;=$E40,AK$12&lt;=$F40,MOD(AK$12,7)&gt;1,NOT(COUNTIF(General!$U$13:$U$19,AK$12))),$I40,"")</f>
        <v/>
      </c>
      <c r="AL40" s="390" t="str">
        <f>IF(AND(AL$12&gt;=$E40,AL$12&lt;=$F40,MOD(AL$12,7)&gt;1,NOT(COUNTIF(General!$U$13:$U$19,AL$12))),$I40,"")</f>
        <v/>
      </c>
      <c r="AM40" s="390" t="str">
        <f>IF(AND(AM$12&gt;=$E40,AM$12&lt;=$F40,MOD(AM$12,7)&gt;1,NOT(COUNTIF(General!$U$13:$U$19,AM$12))),$I40,"")</f>
        <v/>
      </c>
      <c r="AN40" s="390" t="str">
        <f>IF(AND(AN$12&gt;=$E40,AN$12&lt;=$F40,MOD(AN$12,7)&gt;1,NOT(COUNTIF(General!$U$13:$U$19,AN$12))),$I40,"")</f>
        <v/>
      </c>
      <c r="AO40" s="390" t="str">
        <f>IF(AND(AO$12&gt;=$E40,AO$12&lt;=$F40,MOD(AO$12,7)&gt;1,NOT(COUNTIF(General!$U$13:$U$19,AO$12))),$I40,"")</f>
        <v/>
      </c>
      <c r="AP40" s="390" t="str">
        <f>IF(AND(AP$12&gt;=$E40,AP$12&lt;=$F40,MOD(AP$12,7)&gt;1,NOT(COUNTIF(General!$U$13:$U$19,AP$12))),$I40,"")</f>
        <v/>
      </c>
      <c r="AQ40" s="390" t="str">
        <f>IF(AND(AQ$12&gt;=$E40,AQ$12&lt;=$F40,MOD(AQ$12,7)&gt;1,NOT(COUNTIF(General!$U$13:$U$19,AQ$12))),$I40,"")</f>
        <v/>
      </c>
      <c r="AR40" s="390" t="str">
        <f>IF(AND(AR$12&gt;=$E40,AR$12&lt;=$F40,MOD(AR$12,7)&gt;1,NOT(COUNTIF(General!$U$13:$U$19,AR$12))),$I40,"")</f>
        <v/>
      </c>
      <c r="AS40" s="390" t="str">
        <f>IF(AND(AS$12&gt;=$E40,AS$12&lt;=$F40,MOD(AS$12,7)&gt;1,NOT(COUNTIF(General!$U$13:$U$19,AS$12))),$I40,"")</f>
        <v/>
      </c>
      <c r="AT40" s="390" t="str">
        <f>IF(AND(AT$12&gt;=$E40,AT$12&lt;=$F40,MOD(AT$12,7)&gt;1,NOT(COUNTIF(General!$U$13:$U$19,AT$12))),$I40,"")</f>
        <v/>
      </c>
      <c r="AU40" s="390" t="str">
        <f>IF(AND(AU$12&gt;=$E40,AU$12&lt;=$F40,MOD(AU$12,7)&gt;1,NOT(COUNTIF(General!$U$13:$U$19,AU$12))),$I40,"")</f>
        <v/>
      </c>
      <c r="AV40" s="390" t="str">
        <f>IF(AND(AV$12&gt;=$E40,AV$12&lt;=$F40,MOD(AV$12,7)&gt;1,NOT(COUNTIF(General!$U$13:$U$19,AV$12))),$I40,"")</f>
        <v/>
      </c>
      <c r="AW40" s="390" t="str">
        <f>IF(AND(AW$12&gt;=$E40,AW$12&lt;=$F40,MOD(AW$12,7)&gt;1,NOT(COUNTIF(General!$U$13:$U$19,AW$12))),$I40,"")</f>
        <v/>
      </c>
      <c r="AX40" s="390" t="str">
        <f>IF(AND(AX$12&gt;=$E40,AX$12&lt;=$F40,MOD(AX$12,7)&gt;1,NOT(COUNTIF(General!$U$13:$U$19,AX$12))),$I40,"")</f>
        <v/>
      </c>
      <c r="AY40" s="390" t="str">
        <f>IF(AND(AY$12&gt;=$E40,AY$12&lt;=$F40,MOD(AY$12,7)&gt;1,NOT(COUNTIF(General!$U$13:$U$19,AY$12))),$I40,"")</f>
        <v/>
      </c>
      <c r="AZ40" s="390" t="str">
        <f>IF(AND(AZ$12&gt;=$E40,AZ$12&lt;=$F40,MOD(AZ$12,7)&gt;1,NOT(COUNTIF(General!$U$13:$U$19,AZ$12))),$I40,"")</f>
        <v/>
      </c>
      <c r="BA40" s="390" t="str">
        <f>IF(AND(BA$12&gt;=$E40,BA$12&lt;=$F40,MOD(BA$12,7)&gt;1,NOT(COUNTIF(General!$U$13:$U$19,BA$12))),$I40,"")</f>
        <v/>
      </c>
      <c r="BB40" s="390" t="str">
        <f>IF(AND(BB$12&gt;=$E40,BB$12&lt;=$F40,MOD(BB$12,7)&gt;1,NOT(COUNTIF(General!$U$13:$U$19,BB$12))),$I40,"")</f>
        <v/>
      </c>
      <c r="BC40" s="390" t="str">
        <f>IF(AND(BC$12&gt;=$E40,BC$12&lt;=$F40,MOD(BC$12,7)&gt;1,NOT(COUNTIF(General!$U$13:$U$19,BC$12))),$I40,"")</f>
        <v/>
      </c>
      <c r="BD40" s="390" t="str">
        <f>IF(AND(BD$12&gt;=$E40,BD$12&lt;=$F40,MOD(BD$12,7)&gt;1,NOT(COUNTIF(General!$U$13:$U$19,BD$12))),$I40,"")</f>
        <v/>
      </c>
      <c r="BE40" s="390" t="str">
        <f>IF(AND(BE$12&gt;=$E40,BE$12&lt;=$F40,MOD(BE$12,7)&gt;1,NOT(COUNTIF(General!$U$13:$U$19,BE$12))),$I40,"")</f>
        <v/>
      </c>
      <c r="BF40" s="390" t="str">
        <f>IF(AND(BF$12&gt;=$E40,BF$12&lt;=$F40,MOD(BF$12,7)&gt;1,NOT(COUNTIF(General!$U$13:$U$19,BF$12))),$I40,"")</f>
        <v/>
      </c>
      <c r="BG40" s="390" t="str">
        <f>IF(AND(BG$12&gt;=$E40,BG$12&lt;=$F40,MOD(BG$12,7)&gt;1,NOT(COUNTIF(General!$U$13:$U$19,BG$12))),$I40,"")</f>
        <v/>
      </c>
      <c r="BH40" s="390" t="str">
        <f>IF(AND(BH$12&gt;=$E40,BH$12&lt;=$F40,MOD(BH$12,7)&gt;1,NOT(COUNTIF(General!$U$13:$U$19,BH$12))),$I40,"")</f>
        <v/>
      </c>
      <c r="BI40" s="390" t="str">
        <f>IF(AND(BI$12&gt;=$E40,BI$12&lt;=$F40,MOD(BI$12,7)&gt;1,NOT(COUNTIF(General!$U$13:$U$19,BI$12))),$I40,"")</f>
        <v/>
      </c>
      <c r="BJ40" s="390" t="str">
        <f>IF(AND(BJ$12&gt;=$E40,BJ$12&lt;=$F40,MOD(BJ$12,7)&gt;1,NOT(COUNTIF(General!$U$13:$U$19,BJ$12))),$I40,"")</f>
        <v/>
      </c>
      <c r="BK40" s="390" t="str">
        <f>IF(AND(BK$12&gt;=$E40,BK$12&lt;=$F40,MOD(BK$12,7)&gt;1,NOT(COUNTIF(General!$U$13:$U$19,BK$12))),$I40,"")</f>
        <v/>
      </c>
      <c r="BL40" s="390" t="str">
        <f>IF(AND(BL$12&gt;=$E40,BL$12&lt;=$F40,MOD(BL$12,7)&gt;1,NOT(COUNTIF(General!$U$13:$U$19,BL$12))),$I40,"")</f>
        <v/>
      </c>
      <c r="BM40" s="390" t="str">
        <f>IF(AND(BM$12&gt;=$E40,BM$12&lt;=$F40,MOD(BM$12,7)&gt;1,NOT(COUNTIF(General!$U$13:$U$19,BM$12))),$I40,"")</f>
        <v/>
      </c>
      <c r="BN40" s="390" t="str">
        <f>IF(AND(BN$12&gt;=$E40,BN$12&lt;=$F40,MOD(BN$12,7)&gt;1,NOT(COUNTIF(General!$U$13:$U$19,BN$12))),$I40,"")</f>
        <v/>
      </c>
      <c r="BO40" s="390" t="str">
        <f>IF(AND(BO$12&gt;=$E40,BO$12&lt;=$F40,MOD(BO$12,7)&gt;1,NOT(COUNTIF(General!$U$13:$U$19,BO$12))),$I40,"")</f>
        <v/>
      </c>
      <c r="BP40" s="390" t="str">
        <f>IF(AND(BP$12&gt;=$E40,BP$12&lt;=$F40,MOD(BP$12,7)&gt;1,NOT(COUNTIF(General!$U$13:$U$19,BP$12))),$I40,"")</f>
        <v/>
      </c>
      <c r="BQ40" s="390" t="str">
        <f>IF(AND(BQ$12&gt;=$E40,BQ$12&lt;=$F40,MOD(BQ$12,7)&gt;1,NOT(COUNTIF(General!$U$13:$U$19,BQ$12))),$I40,"")</f>
        <v/>
      </c>
      <c r="BR40" s="390" t="str">
        <f>IF(AND(BR$12&gt;=$E40,BR$12&lt;=$F40,MOD(BR$12,7)&gt;1,NOT(COUNTIF(General!$U$13:$U$19,BR$12))),$I40,"")</f>
        <v/>
      </c>
      <c r="BS40" s="390" t="str">
        <f>IF(AND(BS$12&gt;=$E40,BS$12&lt;=$F40,MOD(BS$12,7)&gt;1,NOT(COUNTIF(General!$U$13:$U$19,BS$12))),$I40,"")</f>
        <v/>
      </c>
      <c r="BT40" s="390" t="str">
        <f>IF(AND(BT$12&gt;=$E40,BT$12&lt;=$F40,MOD(BT$12,7)&gt;1,NOT(COUNTIF(General!$U$13:$U$19,BT$12))),$I40,"")</f>
        <v/>
      </c>
      <c r="BU40" s="390" t="str">
        <f>IF(AND(BU$12&gt;=$E40,BU$12&lt;=$F40,MOD(BU$12,7)&gt;1,NOT(COUNTIF(General!$U$13:$U$19,BU$12))),$I40,"")</f>
        <v/>
      </c>
      <c r="BV40" s="390" t="str">
        <f>IF(AND(BV$12&gt;=$E40,BV$12&lt;=$F40,MOD(BV$12,7)&gt;1,NOT(COUNTIF(General!$U$13:$U$19,BV$12))),$I40,"")</f>
        <v/>
      </c>
      <c r="BW40" s="390" t="str">
        <f>IF(AND(BW$12&gt;=$E40,BW$12&lt;=$F40,MOD(BW$12,7)&gt;1,NOT(COUNTIF(General!$U$13:$U$19,BW$12))),$I40,"")</f>
        <v/>
      </c>
      <c r="BX40" s="390" t="str">
        <f>IF(AND(BX$12&gt;=$E40,BX$12&lt;=$F40,MOD(BX$12,7)&gt;1,NOT(COUNTIF(General!$U$13:$U$19,BX$12))),$I40,"")</f>
        <v/>
      </c>
      <c r="BY40" s="390" t="str">
        <f>IF(AND(BY$12&gt;=$E40,BY$12&lt;=$F40,MOD(BY$12,7)&gt;1,NOT(COUNTIF(General!$U$13:$U$19,BY$12))),$I40,"")</f>
        <v/>
      </c>
      <c r="BZ40" s="390" t="str">
        <f>IF(AND(BZ$12&gt;=$E40,BZ$12&lt;=$F40,MOD(BZ$12,7)&gt;1,NOT(COUNTIF(General!$U$13:$U$19,BZ$12))),$I40,"")</f>
        <v/>
      </c>
      <c r="CA40" s="390" t="str">
        <f>IF(AND(CA$12&gt;=$E40,CA$12&lt;=$F40,MOD(CA$12,7)&gt;1,NOT(COUNTIF(General!$U$13:$U$19,CA$12))),$I40,"")</f>
        <v/>
      </c>
      <c r="CB40" s="390" t="str">
        <f>IF(AND(CB$12&gt;=$E40,CB$12&lt;=$F40,MOD(CB$12,7)&gt;1,NOT(COUNTIF(General!$U$13:$U$19,CB$12))),$I40,"")</f>
        <v/>
      </c>
      <c r="CC40" s="390" t="str">
        <f>IF(AND(CC$12&gt;=$E40,CC$12&lt;=$F40,MOD(CC$12,7)&gt;1,NOT(COUNTIF(General!$U$13:$U$19,CC$12))),$I40,"")</f>
        <v/>
      </c>
      <c r="CD40" s="390" t="str">
        <f>IF(AND(CD$12&gt;=$E40,CD$12&lt;=$F40,MOD(CD$12,7)&gt;1,NOT(COUNTIF(General!$U$13:$U$19,CD$12))),$I40,"")</f>
        <v/>
      </c>
      <c r="CE40" s="390" t="str">
        <f>IF(AND(CE$12&gt;=$E40,CE$12&lt;=$F40,MOD(CE$12,7)&gt;1,NOT(COUNTIF(General!$U$13:$U$19,CE$12))),$I40,"")</f>
        <v/>
      </c>
      <c r="CF40" s="390" t="str">
        <f>IF(AND(CF$12&gt;=$E40,CF$12&lt;=$F40,MOD(CF$12,7)&gt;1,NOT(COUNTIF(General!$U$13:$U$19,CF$12))),$I40,"")</f>
        <v/>
      </c>
      <c r="CG40" s="390" t="str">
        <f>IF(AND(CG$12&gt;=$E40,CG$12&lt;=$F40,MOD(CG$12,7)&gt;1,NOT(COUNTIF(General!$U$13:$U$19,CG$12))),$I40,"")</f>
        <v/>
      </c>
      <c r="CH40" s="390" t="str">
        <f>IF(AND(CH$12&gt;=$E40,CH$12&lt;=$F40,MOD(CH$12,7)&gt;1,NOT(COUNTIF(General!$U$13:$U$19,CH$12))),$I40,"")</f>
        <v/>
      </c>
      <c r="CI40" s="390" t="str">
        <f>IF(AND(CI$12&gt;=$E40,CI$12&lt;=$F40,MOD(CI$12,7)&gt;1,NOT(COUNTIF(General!$U$13:$U$19,CI$12))),$I40,"")</f>
        <v/>
      </c>
      <c r="CJ40" s="390" t="str">
        <f>IF(AND(CJ$12&gt;=$E40,CJ$12&lt;=$F40,MOD(CJ$12,7)&gt;1,NOT(COUNTIF(General!$U$13:$U$19,CJ$12))),$I40,"")</f>
        <v/>
      </c>
      <c r="CK40" s="390" t="str">
        <f>IF(AND(CK$12&gt;=$E40,CK$12&lt;=$F40,MOD(CK$12,7)&gt;1,NOT(COUNTIF(General!$U$13:$U$19,CK$12))),$I40,"")</f>
        <v/>
      </c>
      <c r="CL40" s="390" t="str">
        <f>IF(AND(CL$12&gt;=$E40,CL$12&lt;=$F40,MOD(CL$12,7)&gt;1,NOT(COUNTIF(General!$U$13:$U$19,CL$12))),$I40,"")</f>
        <v/>
      </c>
      <c r="CM40" s="390" t="str">
        <f>IF(AND(CM$12&gt;=$E40,CM$12&lt;=$F40,MOD(CM$12,7)&gt;1,NOT(COUNTIF(General!$U$13:$U$19,CM$12))),$I40,"")</f>
        <v/>
      </c>
      <c r="CN40" s="390" t="str">
        <f>IF(AND(CN$12&gt;=$E40,CN$12&lt;=$F40,MOD(CN$12,7)&gt;1,NOT(COUNTIF(General!$U$13:$U$19,CN$12))),$I40,"")</f>
        <v/>
      </c>
      <c r="CO40" s="390" t="str">
        <f>IF(AND(CO$12&gt;=$E40,CO$12&lt;=$F40,MOD(CO$12,7)&gt;1,NOT(COUNTIF(General!$U$13:$U$19,CO$12))),$I40,"")</f>
        <v/>
      </c>
      <c r="CP40" s="390" t="str">
        <f>IF(AND(CP$12&gt;=$E40,CP$12&lt;=$F40,MOD(CP$12,7)&gt;1,NOT(COUNTIF(General!$U$13:$U$19,CP$12))),$I40,"")</f>
        <v/>
      </c>
      <c r="CQ40" s="390" t="str">
        <f>IF(AND(CQ$12&gt;=$E40,CQ$12&lt;=$F40,MOD(CQ$12,7)&gt;1,NOT(COUNTIF(General!$U$13:$U$19,CQ$12))),$I40,"")</f>
        <v/>
      </c>
      <c r="CR40" s="390" t="str">
        <f>IF(AND(CR$12&gt;=$E40,CR$12&lt;=$F40,MOD(CR$12,7)&gt;1,NOT(COUNTIF(General!$U$13:$U$19,CR$12))),$I40,"")</f>
        <v/>
      </c>
      <c r="CS40" s="390" t="str">
        <f>IF(AND(CS$12&gt;=$E40,CS$12&lt;=$F40,MOD(CS$12,7)&gt;1,NOT(COUNTIF(General!$U$13:$U$19,CS$12))),$I40,"")</f>
        <v/>
      </c>
      <c r="CT40" s="390" t="str">
        <f>IF(AND(CT$12&gt;=$E40,CT$12&lt;=$F40,MOD(CT$12,7)&gt;1,NOT(COUNTIF(General!$U$13:$U$19,CT$12))),$I40,"")</f>
        <v/>
      </c>
      <c r="CU40" s="390" t="str">
        <f>IF(AND(CU$12&gt;=$E40,CU$12&lt;=$F40,MOD(CU$12,7)&gt;1,NOT(COUNTIF(General!$U$13:$U$19,CU$12))),$I40,"")</f>
        <v/>
      </c>
      <c r="CV40" s="390" t="str">
        <f>IF(AND(CV$12&gt;=$E40,CV$12&lt;=$F40,MOD(CV$12,7)&gt;1,NOT(COUNTIF(General!$U$13:$U$19,CV$12))),$I40,"")</f>
        <v/>
      </c>
      <c r="CW40" s="390" t="str">
        <f>IF(AND(CW$12&gt;=$E40,CW$12&lt;=$F40,MOD(CW$12,7)&gt;1,NOT(COUNTIF(General!$U$13:$U$19,CW$12))),$I40,"")</f>
        <v/>
      </c>
      <c r="CX40" s="390" t="str">
        <f>IF(AND(CX$12&gt;=$E40,CX$12&lt;=$F40,MOD(CX$12,7)&gt;1,NOT(COUNTIF(General!$U$13:$U$19,CX$12))),$I40,"")</f>
        <v/>
      </c>
      <c r="CY40" s="390" t="str">
        <f>IF(AND(CY$12&gt;=$E40,CY$12&lt;=$F40,MOD(CY$12,7)&gt;1,NOT(COUNTIF(General!$U$13:$U$19,CY$12))),$I40,"")</f>
        <v/>
      </c>
      <c r="CZ40" s="390" t="str">
        <f>IF(AND(CZ$12&gt;=$E40,CZ$12&lt;=$F40,MOD(CZ$12,7)&gt;1,NOT(COUNTIF(General!$U$13:$U$19,CZ$12))),$I40,"")</f>
        <v/>
      </c>
      <c r="DA40" s="390" t="str">
        <f>IF(AND(DA$12&gt;=$E40,DA$12&lt;=$F40,MOD(DA$12,7)&gt;1,NOT(COUNTIF(General!$U$13:$U$19,DA$12))),$I40,"")</f>
        <v/>
      </c>
      <c r="DB40" s="390" t="str">
        <f>IF(AND(DB$12&gt;=$E40,DB$12&lt;=$F40,MOD(DB$12,7)&gt;1,NOT(COUNTIF(General!$U$13:$U$19,DB$12))),$I40,"")</f>
        <v/>
      </c>
      <c r="DC40" s="390" t="str">
        <f>IF(AND(DC$12&gt;=$E40,DC$12&lt;=$F40,MOD(DC$12,7)&gt;1,NOT(COUNTIF(General!$U$13:$U$19,DC$12))),$I40,"")</f>
        <v/>
      </c>
      <c r="DD40" s="390" t="str">
        <f>IF(AND(DD$12&gt;=$E40,DD$12&lt;=$F40,MOD(DD$12,7)&gt;1,NOT(COUNTIF(General!$U$13:$U$19,DD$12))),$I40,"")</f>
        <v/>
      </c>
      <c r="DE40" s="390" t="str">
        <f>IF(AND(DE$12&gt;=$E40,DE$12&lt;=$F40,MOD(DE$12,7)&gt;1,NOT(COUNTIF(General!$U$13:$U$19,DE$12))),$I40,"")</f>
        <v/>
      </c>
      <c r="DF40" s="390" t="str">
        <f>IF(AND(DF$12&gt;=$E40,DF$12&lt;=$F40,MOD(DF$12,7)&gt;1,NOT(COUNTIF(General!$U$13:$U$19,DF$12))),$I40,"")</f>
        <v/>
      </c>
      <c r="DG40" s="390" t="str">
        <f>IF(AND(DG$12&gt;=$E40,DG$12&lt;=$F40,MOD(DG$12,7)&gt;1,NOT(COUNTIF(General!$U$13:$U$19,DG$12))),$I40,"")</f>
        <v/>
      </c>
      <c r="DH40" s="390" t="str">
        <f>IF(AND(DH$12&gt;=$E40,DH$12&lt;=$F40,MOD(DH$12,7)&gt;1,NOT(COUNTIF(General!$U$13:$U$19,DH$12))),$I40,"")</f>
        <v/>
      </c>
      <c r="DI40" s="390" t="str">
        <f>IF(AND(DI$12&gt;=$E40,DI$12&lt;=$F40,MOD(DI$12,7)&gt;1,NOT(COUNTIF(General!$U$13:$U$19,DI$12))),$I40,"")</f>
        <v/>
      </c>
      <c r="DJ40" s="390" t="str">
        <f>IF(AND(DJ$12&gt;=$E40,DJ$12&lt;=$F40,MOD(DJ$12,7)&gt;1,NOT(COUNTIF(General!$U$13:$U$19,DJ$12))),$I40,"")</f>
        <v/>
      </c>
      <c r="DK40" s="390" t="str">
        <f>IF(AND(DK$12&gt;=$E40,DK$12&lt;=$F40,MOD(DK$12,7)&gt;1,NOT(COUNTIF(General!$U$13:$U$19,DK$12))),$I40,"")</f>
        <v/>
      </c>
      <c r="DL40" s="390" t="str">
        <f>IF(AND(DL$12&gt;=$E40,DL$12&lt;=$F40,MOD(DL$12,7)&gt;1,NOT(COUNTIF(General!$U$13:$U$19,DL$12))),$I40,"")</f>
        <v/>
      </c>
      <c r="DM40" s="390" t="str">
        <f>IF(AND(DM$12&gt;=$E40,DM$12&lt;=$F40,MOD(DM$12,7)&gt;1,NOT(COUNTIF(General!$U$13:$U$19,DM$12))),$I40,"")</f>
        <v/>
      </c>
      <c r="DN40" s="390" t="str">
        <f>IF(AND(DN$12&gt;=$E40,DN$12&lt;=$F40,MOD(DN$12,7)&gt;1,NOT(COUNTIF(General!$U$13:$U$19,DN$12))),$I40,"")</f>
        <v/>
      </c>
      <c r="DO40" s="390" t="str">
        <f>IF(AND(DO$12&gt;=$E40,DO$12&lt;=$F40,MOD(DO$12,7)&gt;1,NOT(COUNTIF(General!$U$13:$U$19,DO$12))),$I40,"")</f>
        <v/>
      </c>
      <c r="DP40" s="390" t="str">
        <f>IF(AND(DP$12&gt;=$E40,DP$12&lt;=$F40,MOD(DP$12,7)&gt;1,NOT(COUNTIF(General!$U$13:$U$19,DP$12))),$I40,"")</f>
        <v/>
      </c>
      <c r="DQ40" s="390" t="str">
        <f>IF(AND(DQ$12&gt;=$E40,DQ$12&lt;=$F40,MOD(DQ$12,7)&gt;1,NOT(COUNTIF(General!$U$13:$U$19,DQ$12))),$I40,"")</f>
        <v/>
      </c>
      <c r="DR40" s="390" t="str">
        <f>IF(AND(DR$12&gt;=$E40,DR$12&lt;=$F40,MOD(DR$12,7)&gt;1,NOT(COUNTIF(General!$U$13:$U$19,DR$12))),$I40,"")</f>
        <v/>
      </c>
      <c r="DS40" s="390" t="str">
        <f>IF(AND(DS$12&gt;=$E40,DS$12&lt;=$F40,MOD(DS$12,7)&gt;1,NOT(COUNTIF(General!$U$13:$U$19,DS$12))),$I40,"")</f>
        <v/>
      </c>
      <c r="DT40" s="390" t="str">
        <f>IF(AND(DT$12&gt;=$E40,DT$12&lt;=$F40,MOD(DT$12,7)&gt;1,NOT(COUNTIF(General!$U$13:$U$19,DT$12))),$I40,"")</f>
        <v/>
      </c>
      <c r="DU40" s="390" t="str">
        <f>IF(AND(DU$12&gt;=$E40,DU$12&lt;=$F40,MOD(DU$12,7)&gt;1,NOT(COUNTIF(General!$U$13:$U$19,DU$12))),$I40,"")</f>
        <v/>
      </c>
      <c r="DV40" s="390" t="str">
        <f>IF(AND(DV$12&gt;=$E40,DV$12&lt;=$F40,MOD(DV$12,7)&gt;1,NOT(COUNTIF(General!$U$13:$U$19,DV$12))),$I40,"")</f>
        <v/>
      </c>
      <c r="DW40" s="390" t="str">
        <f>IF(AND(DW$12&gt;=$E40,DW$12&lt;=$F40,MOD(DW$12,7)&gt;1,NOT(COUNTIF(General!$U$13:$U$19,DW$12))),$I40,"")</f>
        <v/>
      </c>
      <c r="DX40" s="390" t="str">
        <f>IF(AND(DX$12&gt;=$E40,DX$12&lt;=$F40,MOD(DX$12,7)&gt;1,NOT(COUNTIF(General!$U$13:$U$19,DX$12))),$I40,"")</f>
        <v/>
      </c>
      <c r="DY40" s="390" t="str">
        <f>IF(AND(DY$12&gt;=$E40,DY$12&lt;=$F40,MOD(DY$12,7)&gt;1,NOT(COUNTIF(General!$U$13:$U$19,DY$12))),$I40,"")</f>
        <v/>
      </c>
      <c r="DZ40" s="390" t="str">
        <f>IF(AND(DZ$12&gt;=$E40,DZ$12&lt;=$F40,MOD(DZ$12,7)&gt;1,NOT(COUNTIF(General!$U$13:$U$19,DZ$12))),$I40,"")</f>
        <v/>
      </c>
      <c r="EA40" s="390" t="str">
        <f>IF(AND(EA$12&gt;=$E40,EA$12&lt;=$F40,MOD(EA$12,7)&gt;1,NOT(COUNTIF(General!$U$13:$U$19,EA$12))),$I40,"")</f>
        <v/>
      </c>
      <c r="EB40" s="390" t="str">
        <f>IF(AND(EB$12&gt;=$E40,EB$12&lt;=$F40,MOD(EB$12,7)&gt;1,NOT(COUNTIF(General!$U$13:$U$19,EB$12))),$I40,"")</f>
        <v/>
      </c>
      <c r="EC40" s="390" t="str">
        <f>IF(AND(EC$12&gt;=$E40,EC$12&lt;=$F40,MOD(EC$12,7)&gt;1,NOT(COUNTIF(General!$U$13:$U$19,EC$12))),$I40,"")</f>
        <v/>
      </c>
      <c r="ED40" s="390" t="str">
        <f>IF(AND(ED$12&gt;=$E40,ED$12&lt;=$F40,MOD(ED$12,7)&gt;1,NOT(COUNTIF(General!$U$13:$U$19,ED$12))),$I40,"")</f>
        <v/>
      </c>
      <c r="EE40" s="390" t="str">
        <f>IF(AND(EE$12&gt;=$E40,EE$12&lt;=$F40,MOD(EE$12,7)&gt;1,NOT(COUNTIF(General!$U$13:$U$19,EE$12))),$I40,"")</f>
        <v/>
      </c>
      <c r="EF40" s="390" t="str">
        <f>IF(AND(EF$12&gt;=$E40,EF$12&lt;=$F40,MOD(EF$12,7)&gt;1,NOT(COUNTIF(General!$U$13:$U$19,EF$12))),$I40,"")</f>
        <v/>
      </c>
      <c r="EG40" s="390" t="str">
        <f>IF(AND(EG$12&gt;=$E40,EG$12&lt;=$F40,MOD(EG$12,7)&gt;1,NOT(COUNTIF(General!$U$13:$U$19,EG$12))),$I40,"")</f>
        <v/>
      </c>
      <c r="EH40" s="390" t="str">
        <f>IF(AND(EH$12&gt;=$E40,EH$12&lt;=$F40,MOD(EH$12,7)&gt;1,NOT(COUNTIF(General!$U$13:$U$19,EH$12))),$I40,"")</f>
        <v/>
      </c>
      <c r="EI40" s="390" t="str">
        <f>IF(AND(EI$12&gt;=$E40,EI$12&lt;=$F40,MOD(EI$12,7)&gt;1,NOT(COUNTIF(General!$U$13:$U$19,EI$12))),$I40,"")</f>
        <v/>
      </c>
      <c r="EJ40" s="390" t="str">
        <f>IF(AND(EJ$12&gt;=$E40,EJ$12&lt;=$F40,MOD(EJ$12,7)&gt;1,NOT(COUNTIF(General!$U$13:$U$19,EJ$12))),$I40,"")</f>
        <v/>
      </c>
      <c r="EK40" s="390" t="str">
        <f>IF(AND(EK$12&gt;=$E40,EK$12&lt;=$F40,MOD(EK$12,7)&gt;1,NOT(COUNTIF(General!$U$13:$U$19,EK$12))),$I40,"")</f>
        <v/>
      </c>
      <c r="EL40" s="390" t="str">
        <f>IF(AND(EL$12&gt;=$E40,EL$12&lt;=$F40,MOD(EL$12,7)&gt;1,NOT(COUNTIF(General!$U$13:$U$19,EL$12))),$I40,"")</f>
        <v/>
      </c>
      <c r="EM40" s="390" t="str">
        <f>IF(AND(EM$12&gt;=$E40,EM$12&lt;=$F40,MOD(EM$12,7)&gt;1,NOT(COUNTIF(General!$U$13:$U$19,EM$12))),$I40,"")</f>
        <v/>
      </c>
      <c r="EN40" s="390" t="str">
        <f>IF(AND(EN$12&gt;=$E40,EN$12&lt;=$F40,MOD(EN$12,7)&gt;1,NOT(COUNTIF(General!$U$13:$U$19,EN$12))),$I40,"")</f>
        <v/>
      </c>
      <c r="EO40" s="390" t="str">
        <f>IF(AND(EO$12&gt;=$E40,EO$12&lt;=$F40,MOD(EO$12,7)&gt;1,NOT(COUNTIF(General!$U$13:$U$19,EO$12))),$I40,"")</f>
        <v/>
      </c>
      <c r="EP40" s="390" t="str">
        <f>IF(AND(EP$12&gt;=$E40,EP$12&lt;=$F40,MOD(EP$12,7)&gt;1,NOT(COUNTIF(General!$U$13:$U$19,EP$12))),$I40,"")</f>
        <v/>
      </c>
      <c r="EQ40" s="390" t="str">
        <f>IF(AND(EQ$12&gt;=$E40,EQ$12&lt;=$F40,MOD(EQ$12,7)&gt;1,NOT(COUNTIF(General!$U$13:$U$19,EQ$12))),$I40,"")</f>
        <v/>
      </c>
      <c r="ER40" s="390" t="str">
        <f>IF(AND(ER$12&gt;=$E40,ER$12&lt;=$F40,MOD(ER$12,7)&gt;1,NOT(COUNTIF(General!$U$13:$U$19,ER$12))),$I40,"")</f>
        <v/>
      </c>
      <c r="ES40" s="390" t="str">
        <f>IF(AND(ES$12&gt;=$E40,ES$12&lt;=$F40,MOD(ES$12,7)&gt;1,NOT(COUNTIF(General!$U$13:$U$19,ES$12))),$I40,"")</f>
        <v/>
      </c>
      <c r="ET40" s="390" t="str">
        <f>IF(AND(ET$12&gt;=$E40,ET$12&lt;=$F40,MOD(ET$12,7)&gt;1,NOT(COUNTIF(General!$U$13:$U$19,ET$12))),$I40,"")</f>
        <v/>
      </c>
      <c r="EU40" s="390" t="str">
        <f>IF(AND(EU$12&gt;=$E40,EU$12&lt;=$F40,MOD(EU$12,7)&gt;1,NOT(COUNTIF(General!$U$13:$U$19,EU$12))),$I40,"")</f>
        <v/>
      </c>
      <c r="EV40" s="390" t="str">
        <f>IF(AND(EV$12&gt;=$E40,EV$12&lt;=$F40,MOD(EV$12,7)&gt;1,NOT(COUNTIF(General!$U$13:$U$19,EV$12))),$I40,"")</f>
        <v/>
      </c>
      <c r="EW40" s="390" t="str">
        <f>IF(AND(EW$12&gt;=$E40,EW$12&lt;=$F40,MOD(EW$12,7)&gt;1,NOT(COUNTIF(General!$U$13:$U$19,EW$12))),$I40,"")</f>
        <v/>
      </c>
      <c r="EX40" s="390" t="str">
        <f>IF(AND(EX$12&gt;=$E40,EX$12&lt;=$F40,MOD(EX$12,7)&gt;1,NOT(COUNTIF(General!$U$13:$U$19,EX$12))),$I40,"")</f>
        <v/>
      </c>
      <c r="EY40" s="390" t="str">
        <f>IF(AND(EY$12&gt;=$E40,EY$12&lt;=$F40,MOD(EY$12,7)&gt;1,NOT(COUNTIF(General!$U$13:$U$19,EY$12))),$I40,"")</f>
        <v/>
      </c>
      <c r="EZ40" s="390" t="str">
        <f>IF(AND(EZ$12&gt;=$E40,EZ$12&lt;=$F40,MOD(EZ$12,7)&gt;1,NOT(COUNTIF(General!$U$13:$U$19,EZ$12))),$I40,"")</f>
        <v/>
      </c>
      <c r="FA40" s="390" t="str">
        <f>IF(AND(FA$12&gt;=$E40,FA$12&lt;=$F40,MOD(FA$12,7)&gt;1,NOT(COUNTIF(General!$U$13:$U$19,FA$12))),$I40,"")</f>
        <v/>
      </c>
      <c r="FB40" s="390" t="str">
        <f>IF(AND(FB$12&gt;=$E40,FB$12&lt;=$F40,MOD(FB$12,7)&gt;1,NOT(COUNTIF(General!$U$13:$U$19,FB$12))),$I40,"")</f>
        <v/>
      </c>
      <c r="FC40" s="390" t="str">
        <f>IF(AND(FC$12&gt;=$E40,FC$12&lt;=$F40,MOD(FC$12,7)&gt;1,NOT(COUNTIF(General!$U$13:$U$19,FC$12))),$I40,"")</f>
        <v/>
      </c>
      <c r="FD40" s="390" t="str">
        <f>IF(AND(FD$12&gt;=$E40,FD$12&lt;=$F40,MOD(FD$12,7)&gt;1,NOT(COUNTIF(General!$U$13:$U$19,FD$12))),$I40,"")</f>
        <v/>
      </c>
      <c r="FE40" s="390" t="str">
        <f>IF(AND(FE$12&gt;=$E40,FE$12&lt;=$F40,MOD(FE$12,7)&gt;1,NOT(COUNTIF(General!$U$13:$U$19,FE$12))),$I40,"")</f>
        <v/>
      </c>
      <c r="FF40" s="390" t="str">
        <f>IF(AND(FF$12&gt;=$E40,FF$12&lt;=$F40,MOD(FF$12,7)&gt;1,NOT(COUNTIF(General!$U$13:$U$19,FF$12))),$I40,"")</f>
        <v/>
      </c>
      <c r="FG40" s="390" t="str">
        <f>IF(AND(FG$12&gt;=$E40,FG$12&lt;=$F40,MOD(FG$12,7)&gt;1,NOT(COUNTIF(General!$U$13:$U$19,FG$12))),$I40,"")</f>
        <v/>
      </c>
      <c r="FH40" s="390" t="str">
        <f>IF(AND(FH$12&gt;=$E40,FH$12&lt;=$F40,MOD(FH$12,7)&gt;1,NOT(COUNTIF(General!$U$13:$U$19,FH$12))),$I40,"")</f>
        <v/>
      </c>
      <c r="FI40" s="390" t="str">
        <f>IF(AND(FI$12&gt;=$E40,FI$12&lt;=$F40,MOD(FI$12,7)&gt;1,NOT(COUNTIF(General!$U$13:$U$19,FI$12))),$I40,"")</f>
        <v/>
      </c>
      <c r="FJ40" s="390" t="str">
        <f>IF(AND(FJ$12&gt;=$E40,FJ$12&lt;=$F40,MOD(FJ$12,7)&gt;1,NOT(COUNTIF(General!$U$13:$U$19,FJ$12))),$I40,"")</f>
        <v/>
      </c>
      <c r="FK40" s="390" t="str">
        <f>IF(AND(FK$12&gt;=$E40,FK$12&lt;=$F40,MOD(FK$12,7)&gt;1,NOT(COUNTIF(General!$U$13:$U$19,FK$12))),$I40,"")</f>
        <v/>
      </c>
      <c r="FL40" s="390" t="str">
        <f>IF(AND(FL$12&gt;=$E40,FL$12&lt;=$F40,MOD(FL$12,7)&gt;1,NOT(COUNTIF(General!$U$13:$U$19,FL$12))),$I40,"")</f>
        <v/>
      </c>
      <c r="FM40" s="390" t="str">
        <f>IF(AND(FM$12&gt;=$E40,FM$12&lt;=$F40,MOD(FM$12,7)&gt;1,NOT(COUNTIF(General!$U$13:$U$19,FM$12))),$I40,"")</f>
        <v/>
      </c>
      <c r="FN40" s="390" t="str">
        <f>IF(AND(FN$12&gt;=$E40,FN$12&lt;=$F40,MOD(FN$12,7)&gt;1,NOT(COUNTIF(General!$U$13:$U$19,FN$12))),$I40,"")</f>
        <v/>
      </c>
      <c r="FO40" s="390" t="str">
        <f>IF(AND(FO$12&gt;=$E40,FO$12&lt;=$F40,MOD(FO$12,7)&gt;1,NOT(COUNTIF(General!$U$13:$U$19,FO$12))),$I40,"")</f>
        <v/>
      </c>
      <c r="FP40" s="390" t="str">
        <f>IF(AND(FP$12&gt;=$E40,FP$12&lt;=$F40,MOD(FP$12,7)&gt;1,NOT(COUNTIF(General!$U$13:$U$19,FP$12))),$I40,"")</f>
        <v/>
      </c>
      <c r="FQ40" s="390" t="str">
        <f>IF(AND(FQ$12&gt;=$E40,FQ$12&lt;=$F40,MOD(FQ$12,7)&gt;1,NOT(COUNTIF(General!$U$13:$U$19,FQ$12))),$I40,"")</f>
        <v/>
      </c>
      <c r="FR40" s="390" t="str">
        <f>IF(AND(FR$12&gt;=$E40,FR$12&lt;=$F40,MOD(FR$12,7)&gt;1,NOT(COUNTIF(General!$U$13:$U$19,FR$12))),$I40,"")</f>
        <v/>
      </c>
      <c r="FS40" s="390" t="str">
        <f>IF(AND(FS$12&gt;=$E40,FS$12&lt;=$F40,MOD(FS$12,7)&gt;1,NOT(COUNTIF(General!$U$13:$U$19,FS$12))),$I40,"")</f>
        <v/>
      </c>
      <c r="FT40" s="390" t="str">
        <f>IF(AND(FT$12&gt;=$E40,FT$12&lt;=$F40,MOD(FT$12,7)&gt;1,NOT(COUNTIF(General!$U$13:$U$19,FT$12))),$I40,"")</f>
        <v/>
      </c>
      <c r="FU40" s="390" t="str">
        <f>IF(AND(FU$12&gt;=$E40,FU$12&lt;=$F40,MOD(FU$12,7)&gt;1,NOT(COUNTIF(General!$U$13:$U$19,FU$12))),$I40,"")</f>
        <v/>
      </c>
      <c r="FV40" s="390" t="str">
        <f>IF(AND(FV$12&gt;=$E40,FV$12&lt;=$F40,MOD(FV$12,7)&gt;1,NOT(COUNTIF(General!$U$13:$U$19,FV$12))),$I40,"")</f>
        <v/>
      </c>
      <c r="FW40" s="390" t="str">
        <f>IF(AND(FW$12&gt;=$E40,FW$12&lt;=$F40,MOD(FW$12,7)&gt;1,NOT(COUNTIF(General!$U$13:$U$19,FW$12))),$I40,"")</f>
        <v/>
      </c>
      <c r="FX40" s="390" t="str">
        <f>IF(AND(FX$12&gt;=$E40,FX$12&lt;=$F40,MOD(FX$12,7)&gt;1,NOT(COUNTIF(General!$U$13:$U$19,FX$12))),$I40,"")</f>
        <v/>
      </c>
    </row>
    <row r="41" ht="16.5" customHeight="1">
      <c r="A41" s="613"/>
      <c r="B41" s="615"/>
      <c r="C41" s="370"/>
      <c r="D41" s="614" t="s">
        <v>571</v>
      </c>
      <c r="E41" s="599">
        <v>43819.0</v>
      </c>
      <c r="F41" s="374">
        <f>WORKDAY(E41,ROUNDUP(G41/I41,0),General!$U$13:$U$27)-1</f>
        <v>43821</v>
      </c>
      <c r="G41" s="542">
        <f>G40*0.4</f>
        <v>0.4</v>
      </c>
      <c r="H41" s="377"/>
      <c r="I41" s="368">
        <v>1.0</v>
      </c>
      <c r="J41" s="379"/>
      <c r="K41" s="381"/>
      <c r="L41" s="382"/>
      <c r="M41" s="383"/>
      <c r="N41" s="384"/>
      <c r="O41" s="386"/>
      <c r="P41" s="388"/>
      <c r="Q41" s="390" t="str">
        <f>IF(AND(Q$12&gt;=$E41,Q$12&lt;=$F41,MOD(Q$12,7)&gt;1,NOT(COUNTIF(General!$U$13:$U$19,Q$12))),$I41,"")</f>
        <v/>
      </c>
      <c r="R41" s="390" t="str">
        <f>IF(AND(R$12&gt;=$E41,R$12&lt;=$F41,MOD(R$12,7)&gt;1,NOT(COUNTIF(General!$U$13:$U$19,R$12))),$I41,"")</f>
        <v/>
      </c>
      <c r="S41" s="390" t="str">
        <f>IF(AND(S$12&gt;=$E41,S$12&lt;=$F41,MOD(S$12,7)&gt;1,NOT(COUNTIF(General!$U$13:$U$19,S$12))),$I41,"")</f>
        <v/>
      </c>
      <c r="T41" s="390" t="str">
        <f>IF(AND(T$12&gt;=$E41,T$12&lt;=$F41,MOD(T$12,7)&gt;1,NOT(COUNTIF(General!$U$13:$U$19,T$12))),$I41,"")</f>
        <v/>
      </c>
      <c r="U41" s="390" t="str">
        <f>IF(AND(U$12&gt;=$E41,U$12&lt;=$F41,MOD(U$12,7)&gt;1,NOT(COUNTIF(General!$U$13:$U$19,U$12))),$I41,"")</f>
        <v/>
      </c>
      <c r="V41" s="390" t="str">
        <f>IF(AND(V$12&gt;=$E41,V$12&lt;=$F41,MOD(V$12,7)&gt;1,NOT(COUNTIF(General!$U$13:$U$19,V$12))),$I41,"")</f>
        <v/>
      </c>
      <c r="W41" s="390" t="str">
        <f>IF(AND(W$12&gt;=$E41,W$12&lt;=$F41,MOD(W$12,7)&gt;1,NOT(COUNTIF(General!$U$13:$U$19,W$12))),$I41,"")</f>
        <v/>
      </c>
      <c r="X41" s="390" t="str">
        <f>IF(AND(X$12&gt;=$E41,X$12&lt;=$F41,MOD(X$12,7)&gt;1,NOT(COUNTIF(General!$U$13:$U$19,X$12))),$I41,"")</f>
        <v/>
      </c>
      <c r="Y41" s="390" t="str">
        <f>IF(AND(Y$12&gt;=$E41,Y$12&lt;=$F41,MOD(Y$12,7)&gt;1,NOT(COUNTIF(General!$U$13:$U$19,Y$12))),$I41,"")</f>
        <v/>
      </c>
      <c r="Z41" s="390" t="str">
        <f>IF(AND(Z$12&gt;=$E41,Z$12&lt;=$F41,MOD(Z$12,7)&gt;1,NOT(COUNTIF(General!$U$13:$U$19,Z$12))),$I41,"")</f>
        <v/>
      </c>
      <c r="AA41" s="390" t="str">
        <f>IF(AND(AA$12&gt;=$E41,AA$12&lt;=$F41,MOD(AA$12,7)&gt;1,NOT(COUNTIF(General!$U$13:$U$19,AA$12))),$I41,"")</f>
        <v/>
      </c>
      <c r="AB41" s="390" t="str">
        <f>IF(AND(AB$12&gt;=$E41,AB$12&lt;=$F41,MOD(AB$12,7)&gt;1,NOT(COUNTIF(General!$U$13:$U$19,AB$12))),$I41,"")</f>
        <v/>
      </c>
      <c r="AC41" s="390" t="str">
        <f>IF(AND(AC$12&gt;=$E41,AC$12&lt;=$F41,MOD(AC$12,7)&gt;1,NOT(COUNTIF(General!$U$13:$U$19,AC$12))),$I41,"")</f>
        <v/>
      </c>
      <c r="AD41" s="390" t="str">
        <f>IF(AND(AD$12&gt;=$E41,AD$12&lt;=$F41,MOD(AD$12,7)&gt;1,NOT(COUNTIF(General!$U$13:$U$19,AD$12))),$I41,"")</f>
        <v/>
      </c>
      <c r="AE41" s="390" t="str">
        <f>IF(AND(AE$12&gt;=$E41,AE$12&lt;=$F41,MOD(AE$12,7)&gt;1,NOT(COUNTIF(General!$U$13:$U$19,AE$12))),$I41,"")</f>
        <v/>
      </c>
      <c r="AF41" s="390" t="str">
        <f>IF(AND(AF$12&gt;=$E41,AF$12&lt;=$F41,MOD(AF$12,7)&gt;1,NOT(COUNTIF(General!$U$13:$U$19,AF$12))),$I41,"")</f>
        <v/>
      </c>
      <c r="AG41" s="390" t="str">
        <f>IF(AND(AG$12&gt;=$E41,AG$12&lt;=$F41,MOD(AG$12,7)&gt;1,NOT(COUNTIF(General!$U$13:$U$19,AG$12))),$I41,"")</f>
        <v/>
      </c>
      <c r="AH41" s="390" t="str">
        <f>IF(AND(AH$12&gt;=$E41,AH$12&lt;=$F41,MOD(AH$12,7)&gt;1,NOT(COUNTIF(General!$U$13:$U$19,AH$12))),$I41,"")</f>
        <v/>
      </c>
      <c r="AI41" s="390">
        <f>IF(AND(AI$12&gt;=$E41,AI$12&lt;=$F41,MOD(AI$12,7)&gt;1,NOT(COUNTIF(General!$U$13:$U$19,AI$12))),$I41,"")</f>
        <v>1</v>
      </c>
      <c r="AJ41" s="390" t="str">
        <f>IF(AND(AJ$12&gt;=$E41,AJ$12&lt;=$F41,MOD(AJ$12,7)&gt;1,NOT(COUNTIF(General!$U$13:$U$19,AJ$12))),$I41,"")</f>
        <v/>
      </c>
      <c r="AK41" s="390" t="str">
        <f>IF(AND(AK$12&gt;=$E41,AK$12&lt;=$F41,MOD(AK$12,7)&gt;1,NOT(COUNTIF(General!$U$13:$U$19,AK$12))),$I41,"")</f>
        <v/>
      </c>
      <c r="AL41" s="390" t="str">
        <f>IF(AND(AL$12&gt;=$E41,AL$12&lt;=$F41,MOD(AL$12,7)&gt;1,NOT(COUNTIF(General!$U$13:$U$19,AL$12))),$I41,"")</f>
        <v/>
      </c>
      <c r="AM41" s="390" t="str">
        <f>IF(AND(AM$12&gt;=$E41,AM$12&lt;=$F41,MOD(AM$12,7)&gt;1,NOT(COUNTIF(General!$U$13:$U$19,AM$12))),$I41,"")</f>
        <v/>
      </c>
      <c r="AN41" s="390" t="str">
        <f>IF(AND(AN$12&gt;=$E41,AN$12&lt;=$F41,MOD(AN$12,7)&gt;1,NOT(COUNTIF(General!$U$13:$U$19,AN$12))),$I41,"")</f>
        <v/>
      </c>
      <c r="AO41" s="390" t="str">
        <f>IF(AND(AO$12&gt;=$E41,AO$12&lt;=$F41,MOD(AO$12,7)&gt;1,NOT(COUNTIF(General!$U$13:$U$19,AO$12))),$I41,"")</f>
        <v/>
      </c>
      <c r="AP41" s="390" t="str">
        <f>IF(AND(AP$12&gt;=$E41,AP$12&lt;=$F41,MOD(AP$12,7)&gt;1,NOT(COUNTIF(General!$U$13:$U$19,AP$12))),$I41,"")</f>
        <v/>
      </c>
      <c r="AQ41" s="390" t="str">
        <f>IF(AND(AQ$12&gt;=$E41,AQ$12&lt;=$F41,MOD(AQ$12,7)&gt;1,NOT(COUNTIF(General!$U$13:$U$19,AQ$12))),$I41,"")</f>
        <v/>
      </c>
      <c r="AR41" s="390" t="str">
        <f>IF(AND(AR$12&gt;=$E41,AR$12&lt;=$F41,MOD(AR$12,7)&gt;1,NOT(COUNTIF(General!$U$13:$U$19,AR$12))),$I41,"")</f>
        <v/>
      </c>
      <c r="AS41" s="390" t="str">
        <f>IF(AND(AS$12&gt;=$E41,AS$12&lt;=$F41,MOD(AS$12,7)&gt;1,NOT(COUNTIF(General!$U$13:$U$19,AS$12))),$I41,"")</f>
        <v/>
      </c>
      <c r="AT41" s="390" t="str">
        <f>IF(AND(AT$12&gt;=$E41,AT$12&lt;=$F41,MOD(AT$12,7)&gt;1,NOT(COUNTIF(General!$U$13:$U$19,AT$12))),$I41,"")</f>
        <v/>
      </c>
      <c r="AU41" s="390" t="str">
        <f>IF(AND(AU$12&gt;=$E41,AU$12&lt;=$F41,MOD(AU$12,7)&gt;1,NOT(COUNTIF(General!$U$13:$U$19,AU$12))),$I41,"")</f>
        <v/>
      </c>
      <c r="AV41" s="390" t="str">
        <f>IF(AND(AV$12&gt;=$E41,AV$12&lt;=$F41,MOD(AV$12,7)&gt;1,NOT(COUNTIF(General!$U$13:$U$19,AV$12))),$I41,"")</f>
        <v/>
      </c>
      <c r="AW41" s="390" t="str">
        <f>IF(AND(AW$12&gt;=$E41,AW$12&lt;=$F41,MOD(AW$12,7)&gt;1,NOT(COUNTIF(General!$U$13:$U$19,AW$12))),$I41,"")</f>
        <v/>
      </c>
      <c r="AX41" s="390" t="str">
        <f>IF(AND(AX$12&gt;=$E41,AX$12&lt;=$F41,MOD(AX$12,7)&gt;1,NOT(COUNTIF(General!$U$13:$U$19,AX$12))),$I41,"")</f>
        <v/>
      </c>
      <c r="AY41" s="390" t="str">
        <f>IF(AND(AY$12&gt;=$E41,AY$12&lt;=$F41,MOD(AY$12,7)&gt;1,NOT(COUNTIF(General!$U$13:$U$19,AY$12))),$I41,"")</f>
        <v/>
      </c>
      <c r="AZ41" s="390" t="str">
        <f>IF(AND(AZ$12&gt;=$E41,AZ$12&lt;=$F41,MOD(AZ$12,7)&gt;1,NOT(COUNTIF(General!$U$13:$U$19,AZ$12))),$I41,"")</f>
        <v/>
      </c>
      <c r="BA41" s="390" t="str">
        <f>IF(AND(BA$12&gt;=$E41,BA$12&lt;=$F41,MOD(BA$12,7)&gt;1,NOT(COUNTIF(General!$U$13:$U$19,BA$12))),$I41,"")</f>
        <v/>
      </c>
      <c r="BB41" s="390" t="str">
        <f>IF(AND(BB$12&gt;=$E41,BB$12&lt;=$F41,MOD(BB$12,7)&gt;1,NOT(COUNTIF(General!$U$13:$U$19,BB$12))),$I41,"")</f>
        <v/>
      </c>
      <c r="BC41" s="390" t="str">
        <f>IF(AND(BC$12&gt;=$E41,BC$12&lt;=$F41,MOD(BC$12,7)&gt;1,NOT(COUNTIF(General!$U$13:$U$19,BC$12))),$I41,"")</f>
        <v/>
      </c>
      <c r="BD41" s="390" t="str">
        <f>IF(AND(BD$12&gt;=$E41,BD$12&lt;=$F41,MOD(BD$12,7)&gt;1,NOT(COUNTIF(General!$U$13:$U$19,BD$12))),$I41,"")</f>
        <v/>
      </c>
      <c r="BE41" s="390" t="str">
        <f>IF(AND(BE$12&gt;=$E41,BE$12&lt;=$F41,MOD(BE$12,7)&gt;1,NOT(COUNTIF(General!$U$13:$U$19,BE$12))),$I41,"")</f>
        <v/>
      </c>
      <c r="BF41" s="390" t="str">
        <f>IF(AND(BF$12&gt;=$E41,BF$12&lt;=$F41,MOD(BF$12,7)&gt;1,NOT(COUNTIF(General!$U$13:$U$19,BF$12))),$I41,"")</f>
        <v/>
      </c>
      <c r="BG41" s="390" t="str">
        <f>IF(AND(BG$12&gt;=$E41,BG$12&lt;=$F41,MOD(BG$12,7)&gt;1,NOT(COUNTIF(General!$U$13:$U$19,BG$12))),$I41,"")</f>
        <v/>
      </c>
      <c r="BH41" s="390" t="str">
        <f>IF(AND(BH$12&gt;=$E41,BH$12&lt;=$F41,MOD(BH$12,7)&gt;1,NOT(COUNTIF(General!$U$13:$U$19,BH$12))),$I41,"")</f>
        <v/>
      </c>
      <c r="BI41" s="390" t="str">
        <f>IF(AND(BI$12&gt;=$E41,BI$12&lt;=$F41,MOD(BI$12,7)&gt;1,NOT(COUNTIF(General!$U$13:$U$19,BI$12))),$I41,"")</f>
        <v/>
      </c>
      <c r="BJ41" s="390" t="str">
        <f>IF(AND(BJ$12&gt;=$E41,BJ$12&lt;=$F41,MOD(BJ$12,7)&gt;1,NOT(COUNTIF(General!$U$13:$U$19,BJ$12))),$I41,"")</f>
        <v/>
      </c>
      <c r="BK41" s="390" t="str">
        <f>IF(AND(BK$12&gt;=$E41,BK$12&lt;=$F41,MOD(BK$12,7)&gt;1,NOT(COUNTIF(General!$U$13:$U$19,BK$12))),$I41,"")</f>
        <v/>
      </c>
      <c r="BL41" s="390" t="str">
        <f>IF(AND(BL$12&gt;=$E41,BL$12&lt;=$F41,MOD(BL$12,7)&gt;1,NOT(COUNTIF(General!$U$13:$U$19,BL$12))),$I41,"")</f>
        <v/>
      </c>
      <c r="BM41" s="390" t="str">
        <f>IF(AND(BM$12&gt;=$E41,BM$12&lt;=$F41,MOD(BM$12,7)&gt;1,NOT(COUNTIF(General!$U$13:$U$19,BM$12))),$I41,"")</f>
        <v/>
      </c>
      <c r="BN41" s="390" t="str">
        <f>IF(AND(BN$12&gt;=$E41,BN$12&lt;=$F41,MOD(BN$12,7)&gt;1,NOT(COUNTIF(General!$U$13:$U$19,BN$12))),$I41,"")</f>
        <v/>
      </c>
      <c r="BO41" s="390" t="str">
        <f>IF(AND(BO$12&gt;=$E41,BO$12&lt;=$F41,MOD(BO$12,7)&gt;1,NOT(COUNTIF(General!$U$13:$U$19,BO$12))),$I41,"")</f>
        <v/>
      </c>
      <c r="BP41" s="390" t="str">
        <f>IF(AND(BP$12&gt;=$E41,BP$12&lt;=$F41,MOD(BP$12,7)&gt;1,NOT(COUNTIF(General!$U$13:$U$19,BP$12))),$I41,"")</f>
        <v/>
      </c>
      <c r="BQ41" s="390" t="str">
        <f>IF(AND(BQ$12&gt;=$E41,BQ$12&lt;=$F41,MOD(BQ$12,7)&gt;1,NOT(COUNTIF(General!$U$13:$U$19,BQ$12))),$I41,"")</f>
        <v/>
      </c>
      <c r="BR41" s="390" t="str">
        <f>IF(AND(BR$12&gt;=$E41,BR$12&lt;=$F41,MOD(BR$12,7)&gt;1,NOT(COUNTIF(General!$U$13:$U$19,BR$12))),$I41,"")</f>
        <v/>
      </c>
      <c r="BS41" s="390" t="str">
        <f>IF(AND(BS$12&gt;=$E41,BS$12&lt;=$F41,MOD(BS$12,7)&gt;1,NOT(COUNTIF(General!$U$13:$U$19,BS$12))),$I41,"")</f>
        <v/>
      </c>
      <c r="BT41" s="390" t="str">
        <f>IF(AND(BT$12&gt;=$E41,BT$12&lt;=$F41,MOD(BT$12,7)&gt;1,NOT(COUNTIF(General!$U$13:$U$19,BT$12))),$I41,"")</f>
        <v/>
      </c>
      <c r="BU41" s="390" t="str">
        <f>IF(AND(BU$12&gt;=$E41,BU$12&lt;=$F41,MOD(BU$12,7)&gt;1,NOT(COUNTIF(General!$U$13:$U$19,BU$12))),$I41,"")</f>
        <v/>
      </c>
      <c r="BV41" s="390" t="str">
        <f>IF(AND(BV$12&gt;=$E41,BV$12&lt;=$F41,MOD(BV$12,7)&gt;1,NOT(COUNTIF(General!$U$13:$U$19,BV$12))),$I41,"")</f>
        <v/>
      </c>
      <c r="BW41" s="390" t="str">
        <f>IF(AND(BW$12&gt;=$E41,BW$12&lt;=$F41,MOD(BW$12,7)&gt;1,NOT(COUNTIF(General!$U$13:$U$19,BW$12))),$I41,"")</f>
        <v/>
      </c>
      <c r="BX41" s="390" t="str">
        <f>IF(AND(BX$12&gt;=$E41,BX$12&lt;=$F41,MOD(BX$12,7)&gt;1,NOT(COUNTIF(General!$U$13:$U$19,BX$12))),$I41,"")</f>
        <v/>
      </c>
      <c r="BY41" s="390" t="str">
        <f>IF(AND(BY$12&gt;=$E41,BY$12&lt;=$F41,MOD(BY$12,7)&gt;1,NOT(COUNTIF(General!$U$13:$U$19,BY$12))),$I41,"")</f>
        <v/>
      </c>
      <c r="BZ41" s="390" t="str">
        <f>IF(AND(BZ$12&gt;=$E41,BZ$12&lt;=$F41,MOD(BZ$12,7)&gt;1,NOT(COUNTIF(General!$U$13:$U$19,BZ$12))),$I41,"")</f>
        <v/>
      </c>
      <c r="CA41" s="390" t="str">
        <f>IF(AND(CA$12&gt;=$E41,CA$12&lt;=$F41,MOD(CA$12,7)&gt;1,NOT(COUNTIF(General!$U$13:$U$19,CA$12))),$I41,"")</f>
        <v/>
      </c>
      <c r="CB41" s="390" t="str">
        <f>IF(AND(CB$12&gt;=$E41,CB$12&lt;=$F41,MOD(CB$12,7)&gt;1,NOT(COUNTIF(General!$U$13:$U$19,CB$12))),$I41,"")</f>
        <v/>
      </c>
      <c r="CC41" s="390" t="str">
        <f>IF(AND(CC$12&gt;=$E41,CC$12&lt;=$F41,MOD(CC$12,7)&gt;1,NOT(COUNTIF(General!$U$13:$U$19,CC$12))),$I41,"")</f>
        <v/>
      </c>
      <c r="CD41" s="390" t="str">
        <f>IF(AND(CD$12&gt;=$E41,CD$12&lt;=$F41,MOD(CD$12,7)&gt;1,NOT(COUNTIF(General!$U$13:$U$19,CD$12))),$I41,"")</f>
        <v/>
      </c>
      <c r="CE41" s="390" t="str">
        <f>IF(AND(CE$12&gt;=$E41,CE$12&lt;=$F41,MOD(CE$12,7)&gt;1,NOT(COUNTIF(General!$U$13:$U$19,CE$12))),$I41,"")</f>
        <v/>
      </c>
      <c r="CF41" s="390" t="str">
        <f>IF(AND(CF$12&gt;=$E41,CF$12&lt;=$F41,MOD(CF$12,7)&gt;1,NOT(COUNTIF(General!$U$13:$U$19,CF$12))),$I41,"")</f>
        <v/>
      </c>
      <c r="CG41" s="390" t="str">
        <f>IF(AND(CG$12&gt;=$E41,CG$12&lt;=$F41,MOD(CG$12,7)&gt;1,NOT(COUNTIF(General!$U$13:$U$19,CG$12))),$I41,"")</f>
        <v/>
      </c>
      <c r="CH41" s="390" t="str">
        <f>IF(AND(CH$12&gt;=$E41,CH$12&lt;=$F41,MOD(CH$12,7)&gt;1,NOT(COUNTIF(General!$U$13:$U$19,CH$12))),$I41,"")</f>
        <v/>
      </c>
      <c r="CI41" s="390" t="str">
        <f>IF(AND(CI$12&gt;=$E41,CI$12&lt;=$F41,MOD(CI$12,7)&gt;1,NOT(COUNTIF(General!$U$13:$U$19,CI$12))),$I41,"")</f>
        <v/>
      </c>
      <c r="CJ41" s="390" t="str">
        <f>IF(AND(CJ$12&gt;=$E41,CJ$12&lt;=$F41,MOD(CJ$12,7)&gt;1,NOT(COUNTIF(General!$U$13:$U$19,CJ$12))),$I41,"")</f>
        <v/>
      </c>
      <c r="CK41" s="390" t="str">
        <f>IF(AND(CK$12&gt;=$E41,CK$12&lt;=$F41,MOD(CK$12,7)&gt;1,NOT(COUNTIF(General!$U$13:$U$19,CK$12))),$I41,"")</f>
        <v/>
      </c>
      <c r="CL41" s="390" t="str">
        <f>IF(AND(CL$12&gt;=$E41,CL$12&lt;=$F41,MOD(CL$12,7)&gt;1,NOT(COUNTIF(General!$U$13:$U$19,CL$12))),$I41,"")</f>
        <v/>
      </c>
      <c r="CM41" s="390" t="str">
        <f>IF(AND(CM$12&gt;=$E41,CM$12&lt;=$F41,MOD(CM$12,7)&gt;1,NOT(COUNTIF(General!$U$13:$U$19,CM$12))),$I41,"")</f>
        <v/>
      </c>
      <c r="CN41" s="390" t="str">
        <f>IF(AND(CN$12&gt;=$E41,CN$12&lt;=$F41,MOD(CN$12,7)&gt;1,NOT(COUNTIF(General!$U$13:$U$19,CN$12))),$I41,"")</f>
        <v/>
      </c>
      <c r="CO41" s="390" t="str">
        <f>IF(AND(CO$12&gt;=$E41,CO$12&lt;=$F41,MOD(CO$12,7)&gt;1,NOT(COUNTIF(General!$U$13:$U$19,CO$12))),$I41,"")</f>
        <v/>
      </c>
      <c r="CP41" s="390" t="str">
        <f>IF(AND(CP$12&gt;=$E41,CP$12&lt;=$F41,MOD(CP$12,7)&gt;1,NOT(COUNTIF(General!$U$13:$U$19,CP$12))),$I41,"")</f>
        <v/>
      </c>
      <c r="CQ41" s="390" t="str">
        <f>IF(AND(CQ$12&gt;=$E41,CQ$12&lt;=$F41,MOD(CQ$12,7)&gt;1,NOT(COUNTIF(General!$U$13:$U$19,CQ$12))),$I41,"")</f>
        <v/>
      </c>
      <c r="CR41" s="390" t="str">
        <f>IF(AND(CR$12&gt;=$E41,CR$12&lt;=$F41,MOD(CR$12,7)&gt;1,NOT(COUNTIF(General!$U$13:$U$19,CR$12))),$I41,"")</f>
        <v/>
      </c>
      <c r="CS41" s="390" t="str">
        <f>IF(AND(CS$12&gt;=$E41,CS$12&lt;=$F41,MOD(CS$12,7)&gt;1,NOT(COUNTIF(General!$U$13:$U$19,CS$12))),$I41,"")</f>
        <v/>
      </c>
      <c r="CT41" s="390" t="str">
        <f>IF(AND(CT$12&gt;=$E41,CT$12&lt;=$F41,MOD(CT$12,7)&gt;1,NOT(COUNTIF(General!$U$13:$U$19,CT$12))),$I41,"")</f>
        <v/>
      </c>
      <c r="CU41" s="390" t="str">
        <f>IF(AND(CU$12&gt;=$E41,CU$12&lt;=$F41,MOD(CU$12,7)&gt;1,NOT(COUNTIF(General!$U$13:$U$19,CU$12))),$I41,"")</f>
        <v/>
      </c>
      <c r="CV41" s="390" t="str">
        <f>IF(AND(CV$12&gt;=$E41,CV$12&lt;=$F41,MOD(CV$12,7)&gt;1,NOT(COUNTIF(General!$U$13:$U$19,CV$12))),$I41,"")</f>
        <v/>
      </c>
      <c r="CW41" s="390" t="str">
        <f>IF(AND(CW$12&gt;=$E41,CW$12&lt;=$F41,MOD(CW$12,7)&gt;1,NOT(COUNTIF(General!$U$13:$U$19,CW$12))),$I41,"")</f>
        <v/>
      </c>
      <c r="CX41" s="390" t="str">
        <f>IF(AND(CX$12&gt;=$E41,CX$12&lt;=$F41,MOD(CX$12,7)&gt;1,NOT(COUNTIF(General!$U$13:$U$19,CX$12))),$I41,"")</f>
        <v/>
      </c>
      <c r="CY41" s="390" t="str">
        <f>IF(AND(CY$12&gt;=$E41,CY$12&lt;=$F41,MOD(CY$12,7)&gt;1,NOT(COUNTIF(General!$U$13:$U$19,CY$12))),$I41,"")</f>
        <v/>
      </c>
      <c r="CZ41" s="390" t="str">
        <f>IF(AND(CZ$12&gt;=$E41,CZ$12&lt;=$F41,MOD(CZ$12,7)&gt;1,NOT(COUNTIF(General!$U$13:$U$19,CZ$12))),$I41,"")</f>
        <v/>
      </c>
      <c r="DA41" s="390" t="str">
        <f>IF(AND(DA$12&gt;=$E41,DA$12&lt;=$F41,MOD(DA$12,7)&gt;1,NOT(COUNTIF(General!$U$13:$U$19,DA$12))),$I41,"")</f>
        <v/>
      </c>
      <c r="DB41" s="390" t="str">
        <f>IF(AND(DB$12&gt;=$E41,DB$12&lt;=$F41,MOD(DB$12,7)&gt;1,NOT(COUNTIF(General!$U$13:$U$19,DB$12))),$I41,"")</f>
        <v/>
      </c>
      <c r="DC41" s="390" t="str">
        <f>IF(AND(DC$12&gt;=$E41,DC$12&lt;=$F41,MOD(DC$12,7)&gt;1,NOT(COUNTIF(General!$U$13:$U$19,DC$12))),$I41,"")</f>
        <v/>
      </c>
      <c r="DD41" s="390" t="str">
        <f>IF(AND(DD$12&gt;=$E41,DD$12&lt;=$F41,MOD(DD$12,7)&gt;1,NOT(COUNTIF(General!$U$13:$U$19,DD$12))),$I41,"")</f>
        <v/>
      </c>
      <c r="DE41" s="390" t="str">
        <f>IF(AND(DE$12&gt;=$E41,DE$12&lt;=$F41,MOD(DE$12,7)&gt;1,NOT(COUNTIF(General!$U$13:$U$19,DE$12))),$I41,"")</f>
        <v/>
      </c>
      <c r="DF41" s="390" t="str">
        <f>IF(AND(DF$12&gt;=$E41,DF$12&lt;=$F41,MOD(DF$12,7)&gt;1,NOT(COUNTIF(General!$U$13:$U$19,DF$12))),$I41,"")</f>
        <v/>
      </c>
      <c r="DG41" s="390" t="str">
        <f>IF(AND(DG$12&gt;=$E41,DG$12&lt;=$F41,MOD(DG$12,7)&gt;1,NOT(COUNTIF(General!$U$13:$U$19,DG$12))),$I41,"")</f>
        <v/>
      </c>
      <c r="DH41" s="390" t="str">
        <f>IF(AND(DH$12&gt;=$E41,DH$12&lt;=$F41,MOD(DH$12,7)&gt;1,NOT(COUNTIF(General!$U$13:$U$19,DH$12))),$I41,"")</f>
        <v/>
      </c>
      <c r="DI41" s="390" t="str">
        <f>IF(AND(DI$12&gt;=$E41,DI$12&lt;=$F41,MOD(DI$12,7)&gt;1,NOT(COUNTIF(General!$U$13:$U$19,DI$12))),$I41,"")</f>
        <v/>
      </c>
      <c r="DJ41" s="390" t="str">
        <f>IF(AND(DJ$12&gt;=$E41,DJ$12&lt;=$F41,MOD(DJ$12,7)&gt;1,NOT(COUNTIF(General!$U$13:$U$19,DJ$12))),$I41,"")</f>
        <v/>
      </c>
      <c r="DK41" s="390" t="str">
        <f>IF(AND(DK$12&gt;=$E41,DK$12&lt;=$F41,MOD(DK$12,7)&gt;1,NOT(COUNTIF(General!$U$13:$U$19,DK$12))),$I41,"")</f>
        <v/>
      </c>
      <c r="DL41" s="390" t="str">
        <f>IF(AND(DL$12&gt;=$E41,DL$12&lt;=$F41,MOD(DL$12,7)&gt;1,NOT(COUNTIF(General!$U$13:$U$19,DL$12))),$I41,"")</f>
        <v/>
      </c>
      <c r="DM41" s="390" t="str">
        <f>IF(AND(DM$12&gt;=$E41,DM$12&lt;=$F41,MOD(DM$12,7)&gt;1,NOT(COUNTIF(General!$U$13:$U$19,DM$12))),$I41,"")</f>
        <v/>
      </c>
      <c r="DN41" s="390" t="str">
        <f>IF(AND(DN$12&gt;=$E41,DN$12&lt;=$F41,MOD(DN$12,7)&gt;1,NOT(COUNTIF(General!$U$13:$U$19,DN$12))),$I41,"")</f>
        <v/>
      </c>
      <c r="DO41" s="390" t="str">
        <f>IF(AND(DO$12&gt;=$E41,DO$12&lt;=$F41,MOD(DO$12,7)&gt;1,NOT(COUNTIF(General!$U$13:$U$19,DO$12))),$I41,"")</f>
        <v/>
      </c>
      <c r="DP41" s="390" t="str">
        <f>IF(AND(DP$12&gt;=$E41,DP$12&lt;=$F41,MOD(DP$12,7)&gt;1,NOT(COUNTIF(General!$U$13:$U$19,DP$12))),$I41,"")</f>
        <v/>
      </c>
      <c r="DQ41" s="390" t="str">
        <f>IF(AND(DQ$12&gt;=$E41,DQ$12&lt;=$F41,MOD(DQ$12,7)&gt;1,NOT(COUNTIF(General!$U$13:$U$19,DQ$12))),$I41,"")</f>
        <v/>
      </c>
      <c r="DR41" s="390" t="str">
        <f>IF(AND(DR$12&gt;=$E41,DR$12&lt;=$F41,MOD(DR$12,7)&gt;1,NOT(COUNTIF(General!$U$13:$U$19,DR$12))),$I41,"")</f>
        <v/>
      </c>
      <c r="DS41" s="390" t="str">
        <f>IF(AND(DS$12&gt;=$E41,DS$12&lt;=$F41,MOD(DS$12,7)&gt;1,NOT(COUNTIF(General!$U$13:$U$19,DS$12))),$I41,"")</f>
        <v/>
      </c>
      <c r="DT41" s="390" t="str">
        <f>IF(AND(DT$12&gt;=$E41,DT$12&lt;=$F41,MOD(DT$12,7)&gt;1,NOT(COUNTIF(General!$U$13:$U$19,DT$12))),$I41,"")</f>
        <v/>
      </c>
      <c r="DU41" s="390" t="str">
        <f>IF(AND(DU$12&gt;=$E41,DU$12&lt;=$F41,MOD(DU$12,7)&gt;1,NOT(COUNTIF(General!$U$13:$U$19,DU$12))),$I41,"")</f>
        <v/>
      </c>
      <c r="DV41" s="390" t="str">
        <f>IF(AND(DV$12&gt;=$E41,DV$12&lt;=$F41,MOD(DV$12,7)&gt;1,NOT(COUNTIF(General!$U$13:$U$19,DV$12))),$I41,"")</f>
        <v/>
      </c>
      <c r="DW41" s="390" t="str">
        <f>IF(AND(DW$12&gt;=$E41,DW$12&lt;=$F41,MOD(DW$12,7)&gt;1,NOT(COUNTIF(General!$U$13:$U$19,DW$12))),$I41,"")</f>
        <v/>
      </c>
      <c r="DX41" s="390" t="str">
        <f>IF(AND(DX$12&gt;=$E41,DX$12&lt;=$F41,MOD(DX$12,7)&gt;1,NOT(COUNTIF(General!$U$13:$U$19,DX$12))),$I41,"")</f>
        <v/>
      </c>
      <c r="DY41" s="390" t="str">
        <f>IF(AND(DY$12&gt;=$E41,DY$12&lt;=$F41,MOD(DY$12,7)&gt;1,NOT(COUNTIF(General!$U$13:$U$19,DY$12))),$I41,"")</f>
        <v/>
      </c>
      <c r="DZ41" s="390" t="str">
        <f>IF(AND(DZ$12&gt;=$E41,DZ$12&lt;=$F41,MOD(DZ$12,7)&gt;1,NOT(COUNTIF(General!$U$13:$U$19,DZ$12))),$I41,"")</f>
        <v/>
      </c>
      <c r="EA41" s="390" t="str">
        <f>IF(AND(EA$12&gt;=$E41,EA$12&lt;=$F41,MOD(EA$12,7)&gt;1,NOT(COUNTIF(General!$U$13:$U$19,EA$12))),$I41,"")</f>
        <v/>
      </c>
      <c r="EB41" s="390" t="str">
        <f>IF(AND(EB$12&gt;=$E41,EB$12&lt;=$F41,MOD(EB$12,7)&gt;1,NOT(COUNTIF(General!$U$13:$U$19,EB$12))),$I41,"")</f>
        <v/>
      </c>
      <c r="EC41" s="390" t="str">
        <f>IF(AND(EC$12&gt;=$E41,EC$12&lt;=$F41,MOD(EC$12,7)&gt;1,NOT(COUNTIF(General!$U$13:$U$19,EC$12))),$I41,"")</f>
        <v/>
      </c>
      <c r="ED41" s="390" t="str">
        <f>IF(AND(ED$12&gt;=$E41,ED$12&lt;=$F41,MOD(ED$12,7)&gt;1,NOT(COUNTIF(General!$U$13:$U$19,ED$12))),$I41,"")</f>
        <v/>
      </c>
      <c r="EE41" s="390" t="str">
        <f>IF(AND(EE$12&gt;=$E41,EE$12&lt;=$F41,MOD(EE$12,7)&gt;1,NOT(COUNTIF(General!$U$13:$U$19,EE$12))),$I41,"")</f>
        <v/>
      </c>
      <c r="EF41" s="390" t="str">
        <f>IF(AND(EF$12&gt;=$E41,EF$12&lt;=$F41,MOD(EF$12,7)&gt;1,NOT(COUNTIF(General!$U$13:$U$19,EF$12))),$I41,"")</f>
        <v/>
      </c>
      <c r="EG41" s="390" t="str">
        <f>IF(AND(EG$12&gt;=$E41,EG$12&lt;=$F41,MOD(EG$12,7)&gt;1,NOT(COUNTIF(General!$U$13:$U$19,EG$12))),$I41,"")</f>
        <v/>
      </c>
      <c r="EH41" s="390" t="str">
        <f>IF(AND(EH$12&gt;=$E41,EH$12&lt;=$F41,MOD(EH$12,7)&gt;1,NOT(COUNTIF(General!$U$13:$U$19,EH$12))),$I41,"")</f>
        <v/>
      </c>
      <c r="EI41" s="390" t="str">
        <f>IF(AND(EI$12&gt;=$E41,EI$12&lt;=$F41,MOD(EI$12,7)&gt;1,NOT(COUNTIF(General!$U$13:$U$19,EI$12))),$I41,"")</f>
        <v/>
      </c>
      <c r="EJ41" s="390" t="str">
        <f>IF(AND(EJ$12&gt;=$E41,EJ$12&lt;=$F41,MOD(EJ$12,7)&gt;1,NOT(COUNTIF(General!$U$13:$U$19,EJ$12))),$I41,"")</f>
        <v/>
      </c>
      <c r="EK41" s="390" t="str">
        <f>IF(AND(EK$12&gt;=$E41,EK$12&lt;=$F41,MOD(EK$12,7)&gt;1,NOT(COUNTIF(General!$U$13:$U$19,EK$12))),$I41,"")</f>
        <v/>
      </c>
      <c r="EL41" s="390" t="str">
        <f>IF(AND(EL$12&gt;=$E41,EL$12&lt;=$F41,MOD(EL$12,7)&gt;1,NOT(COUNTIF(General!$U$13:$U$19,EL$12))),$I41,"")</f>
        <v/>
      </c>
      <c r="EM41" s="390" t="str">
        <f>IF(AND(EM$12&gt;=$E41,EM$12&lt;=$F41,MOD(EM$12,7)&gt;1,NOT(COUNTIF(General!$U$13:$U$19,EM$12))),$I41,"")</f>
        <v/>
      </c>
      <c r="EN41" s="390" t="str">
        <f>IF(AND(EN$12&gt;=$E41,EN$12&lt;=$F41,MOD(EN$12,7)&gt;1,NOT(COUNTIF(General!$U$13:$U$19,EN$12))),$I41,"")</f>
        <v/>
      </c>
      <c r="EO41" s="390" t="str">
        <f>IF(AND(EO$12&gt;=$E41,EO$12&lt;=$F41,MOD(EO$12,7)&gt;1,NOT(COUNTIF(General!$U$13:$U$19,EO$12))),$I41,"")</f>
        <v/>
      </c>
      <c r="EP41" s="390" t="str">
        <f>IF(AND(EP$12&gt;=$E41,EP$12&lt;=$F41,MOD(EP$12,7)&gt;1,NOT(COUNTIF(General!$U$13:$U$19,EP$12))),$I41,"")</f>
        <v/>
      </c>
      <c r="EQ41" s="390" t="str">
        <f>IF(AND(EQ$12&gt;=$E41,EQ$12&lt;=$F41,MOD(EQ$12,7)&gt;1,NOT(COUNTIF(General!$U$13:$U$19,EQ$12))),$I41,"")</f>
        <v/>
      </c>
      <c r="ER41" s="390" t="str">
        <f>IF(AND(ER$12&gt;=$E41,ER$12&lt;=$F41,MOD(ER$12,7)&gt;1,NOT(COUNTIF(General!$U$13:$U$19,ER$12))),$I41,"")</f>
        <v/>
      </c>
      <c r="ES41" s="390" t="str">
        <f>IF(AND(ES$12&gt;=$E41,ES$12&lt;=$F41,MOD(ES$12,7)&gt;1,NOT(COUNTIF(General!$U$13:$U$19,ES$12))),$I41,"")</f>
        <v/>
      </c>
      <c r="ET41" s="390" t="str">
        <f>IF(AND(ET$12&gt;=$E41,ET$12&lt;=$F41,MOD(ET$12,7)&gt;1,NOT(COUNTIF(General!$U$13:$U$19,ET$12))),$I41,"")</f>
        <v/>
      </c>
      <c r="EU41" s="390" t="str">
        <f>IF(AND(EU$12&gt;=$E41,EU$12&lt;=$F41,MOD(EU$12,7)&gt;1,NOT(COUNTIF(General!$U$13:$U$19,EU$12))),$I41,"")</f>
        <v/>
      </c>
      <c r="EV41" s="390" t="str">
        <f>IF(AND(EV$12&gt;=$E41,EV$12&lt;=$F41,MOD(EV$12,7)&gt;1,NOT(COUNTIF(General!$U$13:$U$19,EV$12))),$I41,"")</f>
        <v/>
      </c>
      <c r="EW41" s="390" t="str">
        <f>IF(AND(EW$12&gt;=$E41,EW$12&lt;=$F41,MOD(EW$12,7)&gt;1,NOT(COUNTIF(General!$U$13:$U$19,EW$12))),$I41,"")</f>
        <v/>
      </c>
      <c r="EX41" s="390" t="str">
        <f>IF(AND(EX$12&gt;=$E41,EX$12&lt;=$F41,MOD(EX$12,7)&gt;1,NOT(COUNTIF(General!$U$13:$U$19,EX$12))),$I41,"")</f>
        <v/>
      </c>
      <c r="EY41" s="390" t="str">
        <f>IF(AND(EY$12&gt;=$E41,EY$12&lt;=$F41,MOD(EY$12,7)&gt;1,NOT(COUNTIF(General!$U$13:$U$19,EY$12))),$I41,"")</f>
        <v/>
      </c>
      <c r="EZ41" s="390" t="str">
        <f>IF(AND(EZ$12&gt;=$E41,EZ$12&lt;=$F41,MOD(EZ$12,7)&gt;1,NOT(COUNTIF(General!$U$13:$U$19,EZ$12))),$I41,"")</f>
        <v/>
      </c>
      <c r="FA41" s="390" t="str">
        <f>IF(AND(FA$12&gt;=$E41,FA$12&lt;=$F41,MOD(FA$12,7)&gt;1,NOT(COUNTIF(General!$U$13:$U$19,FA$12))),$I41,"")</f>
        <v/>
      </c>
      <c r="FB41" s="390" t="str">
        <f>IF(AND(FB$12&gt;=$E41,FB$12&lt;=$F41,MOD(FB$12,7)&gt;1,NOT(COUNTIF(General!$U$13:$U$19,FB$12))),$I41,"")</f>
        <v/>
      </c>
      <c r="FC41" s="390" t="str">
        <f>IF(AND(FC$12&gt;=$E41,FC$12&lt;=$F41,MOD(FC$12,7)&gt;1,NOT(COUNTIF(General!$U$13:$U$19,FC$12))),$I41,"")</f>
        <v/>
      </c>
      <c r="FD41" s="390" t="str">
        <f>IF(AND(FD$12&gt;=$E41,FD$12&lt;=$F41,MOD(FD$12,7)&gt;1,NOT(COUNTIF(General!$U$13:$U$19,FD$12))),$I41,"")</f>
        <v/>
      </c>
      <c r="FE41" s="390" t="str">
        <f>IF(AND(FE$12&gt;=$E41,FE$12&lt;=$F41,MOD(FE$12,7)&gt;1,NOT(COUNTIF(General!$U$13:$U$19,FE$12))),$I41,"")</f>
        <v/>
      </c>
      <c r="FF41" s="390" t="str">
        <f>IF(AND(FF$12&gt;=$E41,FF$12&lt;=$F41,MOD(FF$12,7)&gt;1,NOT(COUNTIF(General!$U$13:$U$19,FF$12))),$I41,"")</f>
        <v/>
      </c>
      <c r="FG41" s="390" t="str">
        <f>IF(AND(FG$12&gt;=$E41,FG$12&lt;=$F41,MOD(FG$12,7)&gt;1,NOT(COUNTIF(General!$U$13:$U$19,FG$12))),$I41,"")</f>
        <v/>
      </c>
      <c r="FH41" s="390" t="str">
        <f>IF(AND(FH$12&gt;=$E41,FH$12&lt;=$F41,MOD(FH$12,7)&gt;1,NOT(COUNTIF(General!$U$13:$U$19,FH$12))),$I41,"")</f>
        <v/>
      </c>
      <c r="FI41" s="390" t="str">
        <f>IF(AND(FI$12&gt;=$E41,FI$12&lt;=$F41,MOD(FI$12,7)&gt;1,NOT(COUNTIF(General!$U$13:$U$19,FI$12))),$I41,"")</f>
        <v/>
      </c>
      <c r="FJ41" s="390" t="str">
        <f>IF(AND(FJ$12&gt;=$E41,FJ$12&lt;=$F41,MOD(FJ$12,7)&gt;1,NOT(COUNTIF(General!$U$13:$U$19,FJ$12))),$I41,"")</f>
        <v/>
      </c>
      <c r="FK41" s="390" t="str">
        <f>IF(AND(FK$12&gt;=$E41,FK$12&lt;=$F41,MOD(FK$12,7)&gt;1,NOT(COUNTIF(General!$U$13:$U$19,FK$12))),$I41,"")</f>
        <v/>
      </c>
      <c r="FL41" s="390" t="str">
        <f>IF(AND(FL$12&gt;=$E41,FL$12&lt;=$F41,MOD(FL$12,7)&gt;1,NOT(COUNTIF(General!$U$13:$U$19,FL$12))),$I41,"")</f>
        <v/>
      </c>
      <c r="FM41" s="390" t="str">
        <f>IF(AND(FM$12&gt;=$E41,FM$12&lt;=$F41,MOD(FM$12,7)&gt;1,NOT(COUNTIF(General!$U$13:$U$19,FM$12))),$I41,"")</f>
        <v/>
      </c>
      <c r="FN41" s="390" t="str">
        <f>IF(AND(FN$12&gt;=$E41,FN$12&lt;=$F41,MOD(FN$12,7)&gt;1,NOT(COUNTIF(General!$U$13:$U$19,FN$12))),$I41,"")</f>
        <v/>
      </c>
      <c r="FO41" s="390" t="str">
        <f>IF(AND(FO$12&gt;=$E41,FO$12&lt;=$F41,MOD(FO$12,7)&gt;1,NOT(COUNTIF(General!$U$13:$U$19,FO$12))),$I41,"")</f>
        <v/>
      </c>
      <c r="FP41" s="390" t="str">
        <f>IF(AND(FP$12&gt;=$E41,FP$12&lt;=$F41,MOD(FP$12,7)&gt;1,NOT(COUNTIF(General!$U$13:$U$19,FP$12))),$I41,"")</f>
        <v/>
      </c>
      <c r="FQ41" s="390" t="str">
        <f>IF(AND(FQ$12&gt;=$E41,FQ$12&lt;=$F41,MOD(FQ$12,7)&gt;1,NOT(COUNTIF(General!$U$13:$U$19,FQ$12))),$I41,"")</f>
        <v/>
      </c>
      <c r="FR41" s="390" t="str">
        <f>IF(AND(FR$12&gt;=$E41,FR$12&lt;=$F41,MOD(FR$12,7)&gt;1,NOT(COUNTIF(General!$U$13:$U$19,FR$12))),$I41,"")</f>
        <v/>
      </c>
      <c r="FS41" s="390" t="str">
        <f>IF(AND(FS$12&gt;=$E41,FS$12&lt;=$F41,MOD(FS$12,7)&gt;1,NOT(COUNTIF(General!$U$13:$U$19,FS$12))),$I41,"")</f>
        <v/>
      </c>
      <c r="FT41" s="390" t="str">
        <f>IF(AND(FT$12&gt;=$E41,FT$12&lt;=$F41,MOD(FT$12,7)&gt;1,NOT(COUNTIF(General!$U$13:$U$19,FT$12))),$I41,"")</f>
        <v/>
      </c>
      <c r="FU41" s="390" t="str">
        <f>IF(AND(FU$12&gt;=$E41,FU$12&lt;=$F41,MOD(FU$12,7)&gt;1,NOT(COUNTIF(General!$U$13:$U$19,FU$12))),$I41,"")</f>
        <v/>
      </c>
      <c r="FV41" s="390" t="str">
        <f>IF(AND(FV$12&gt;=$E41,FV$12&lt;=$F41,MOD(FV$12,7)&gt;1,NOT(COUNTIF(General!$U$13:$U$19,FV$12))),$I41,"")</f>
        <v/>
      </c>
      <c r="FW41" s="390" t="str">
        <f>IF(AND(FW$12&gt;=$E41,FW$12&lt;=$F41,MOD(FW$12,7)&gt;1,NOT(COUNTIF(General!$U$13:$U$19,FW$12))),$I41,"")</f>
        <v/>
      </c>
      <c r="FX41" s="390" t="str">
        <f>IF(AND(FX$12&gt;=$E41,FX$12&lt;=$F41,MOD(FX$12,7)&gt;1,NOT(COUNTIF(General!$U$13:$U$19,FX$12))),$I41,"")</f>
        <v/>
      </c>
    </row>
    <row r="42" ht="16.5" customHeight="1">
      <c r="A42" s="537">
        <v>389742.0</v>
      </c>
      <c r="B42" s="582" t="s">
        <v>586</v>
      </c>
      <c r="C42" s="602"/>
      <c r="D42" s="576" t="s">
        <v>574</v>
      </c>
      <c r="E42" s="583">
        <v>43815.0</v>
      </c>
      <c r="F42" s="374">
        <f>WORKDAY(E42,ROUNDUP(G42/I42,0),General!$U$13:$U$27)-1</f>
        <v>43816</v>
      </c>
      <c r="G42" s="616">
        <v>2.0</v>
      </c>
      <c r="H42" s="603"/>
      <c r="I42" s="379">
        <v>1.0</v>
      </c>
      <c r="J42" s="604"/>
      <c r="K42" s="605"/>
      <c r="L42" s="605"/>
      <c r="M42" s="606"/>
      <c r="N42" s="607"/>
      <c r="O42" s="608"/>
      <c r="P42" s="609"/>
      <c r="Q42" s="602" t="str">
        <f>IF(AND(Q$12&gt;=$E42,Q$12&lt;=$F42,MOD(Q$12,7)&gt;1,NOT(COUNTIF(General!$U$13:$U$19,Q$12))),$I42,"")</f>
        <v/>
      </c>
      <c r="R42" s="602" t="str">
        <f>IF(AND(R$12&gt;=$E42,R$12&lt;=$F42,MOD(R$12,7)&gt;1,NOT(COUNTIF(General!$U$13:$U$19,R$12))),$I42,"")</f>
        <v/>
      </c>
      <c r="S42" s="602" t="str">
        <f>IF(AND(S$12&gt;=$E42,S$12&lt;=$F42,MOD(S$12,7)&gt;1,NOT(COUNTIF(General!$U$13:$U$19,S$12))),$I42,"")</f>
        <v/>
      </c>
      <c r="T42" s="602" t="str">
        <f>IF(AND(T$12&gt;=$E42,T$12&lt;=$F42,MOD(T$12,7)&gt;1,NOT(COUNTIF(General!$U$13:$U$19,T$12))),$I42,"")</f>
        <v/>
      </c>
      <c r="U42" s="602" t="str">
        <f>IF(AND(U$12&gt;=$E42,U$12&lt;=$F42,MOD(U$12,7)&gt;1,NOT(COUNTIF(General!$U$13:$U$19,U$12))),$I42,"")</f>
        <v/>
      </c>
      <c r="V42" s="610" t="str">
        <f>IF(AND(V$12&gt;=$E42,V$12&lt;=$F42,MOD(V$12,7)&gt;1,NOT(COUNTIF(General!$U$13:$U$19,V$12))),$I42,"")</f>
        <v/>
      </c>
      <c r="W42" s="610" t="str">
        <f>IF(AND(W$12&gt;=$E42,W$12&lt;=$F42,MOD(W$12,7)&gt;1,NOT(COUNTIF(General!$U$13:$U$19,W$12))),$I42,"")</f>
        <v/>
      </c>
      <c r="X42" s="602" t="str">
        <f>IF(AND(X$12&gt;=$E42,X$12&lt;=$F42,MOD(X$12,7)&gt;1,NOT(COUNTIF(General!$U$13:$U$19,X$12))),$I42,"")</f>
        <v/>
      </c>
      <c r="Y42" s="602" t="str">
        <f>IF(AND(Y$12&gt;=$E42,Y$12&lt;=$F42,MOD(Y$12,7)&gt;1,NOT(COUNTIF(General!$U$13:$U$19,Y$12))),$I42,"")</f>
        <v/>
      </c>
      <c r="Z42" s="602" t="str">
        <f>IF(AND(Z$12&gt;=$E42,Z$12&lt;=$F42,MOD(Z$12,7)&gt;1,NOT(COUNTIF(General!$U$13:$U$19,Z$12))),$I42,"")</f>
        <v/>
      </c>
      <c r="AA42" s="602" t="str">
        <f>IF(AND(AA$12&gt;=$E42,AA$12&lt;=$F42,MOD(AA$12,7)&gt;1,NOT(COUNTIF(General!$U$13:$U$19,AA$12))),$I42,"")</f>
        <v/>
      </c>
      <c r="AB42" s="602" t="str">
        <f>IF(AND(AB$12&gt;=$E42,AB$12&lt;=$F42,MOD(AB$12,7)&gt;1,NOT(COUNTIF(General!$U$13:$U$19,AB$12))),$I42,"")</f>
        <v/>
      </c>
      <c r="AC42" s="602" t="str">
        <f>IF(AND(AC$12&gt;=$E42,AC$12&lt;=$F42,MOD(AC$12,7)&gt;1,NOT(COUNTIF(General!$U$13:$U$19,AC$12))),$I42,"")</f>
        <v/>
      </c>
      <c r="AD42" s="602" t="str">
        <f>IF(AND(AD$12&gt;=$E42,AD$12&lt;=$F42,MOD(AD$12,7)&gt;1,NOT(COUNTIF(General!$U$13:$U$19,AD$12))),$I42,"")</f>
        <v/>
      </c>
      <c r="AE42" s="602">
        <f>IF(AND(AE$12&gt;=$E42,AE$12&lt;=$F42,MOD(AE$12,7)&gt;1,NOT(COUNTIF(General!$U$13:$U$19,AE$12))),$I42,"")</f>
        <v>1</v>
      </c>
      <c r="AF42" s="602">
        <f>IF(AND(AF$12&gt;=$E42,AF$12&lt;=$F42,MOD(AF$12,7)&gt;1,NOT(COUNTIF(General!$U$13:$U$19,AF$12))),$I42,"")</f>
        <v>1</v>
      </c>
      <c r="AG42" s="602" t="str">
        <f>IF(AND(AG$12&gt;=$E42,AG$12&lt;=$F42,MOD(AG$12,7)&gt;1,NOT(COUNTIF(General!$U$13:$U$19,AG$12))),$I42,"")</f>
        <v/>
      </c>
      <c r="AH42" s="602" t="str">
        <f>IF(AND(AH$12&gt;=$E42,AH$12&lt;=$F42,MOD(AH$12,7)&gt;1,NOT(COUNTIF(General!$U$13:$U$19,AH$12))),$I42,"")</f>
        <v/>
      </c>
      <c r="AI42" s="602" t="str">
        <f>IF(AND(AI$12&gt;=$E42,AI$12&lt;=$F42,MOD(AI$12,7)&gt;1,NOT(COUNTIF(General!$U$13:$U$19,AI$12))),$I42,"")</f>
        <v/>
      </c>
      <c r="AJ42" s="610" t="str">
        <f>IF(AND(AJ$12&gt;=$E42,AJ$12&lt;=$F42,MOD(AJ$12,7)&gt;1,NOT(COUNTIF(General!$U$13:$U$19,AJ$12))),$I42,"")</f>
        <v/>
      </c>
      <c r="AK42" s="610" t="str">
        <f>IF(AND(AK$12&gt;=$E42,AK$12&lt;=$F42,MOD(AK$12,7)&gt;1,NOT(COUNTIF(General!$U$13:$U$19,AK$12))),$I42,"")</f>
        <v/>
      </c>
      <c r="AL42" s="602" t="str">
        <f>IF(AND(AL$12&gt;=$E42,AL$12&lt;=$F42,MOD(AL$12,7)&gt;1,NOT(COUNTIF(General!$U$13:$U$19,AL$12))),$I42,"")</f>
        <v/>
      </c>
      <c r="AM42" s="602" t="str">
        <f>IF(AND(AM$12&gt;=$E42,AM$12&lt;=$F42,MOD(AM$12,7)&gt;1,NOT(COUNTIF(General!$U$13:$U$19,AM$12))),$I42,"")</f>
        <v/>
      </c>
      <c r="AN42" s="602" t="str">
        <f>IF(AND(AN$12&gt;=$E42,AN$12&lt;=$F42,MOD(AN$12,7)&gt;1,NOT(COUNTIF(General!$U$13:$U$19,AN$12))),$I42,"")</f>
        <v/>
      </c>
      <c r="AO42" s="602" t="str">
        <f>IF(AND(AO$12&gt;=$E42,AO$12&lt;=$F42,MOD(AO$12,7)&gt;1,NOT(COUNTIF(General!$U$13:$U$19,AO$12))),$I42,"")</f>
        <v/>
      </c>
      <c r="AP42" s="602" t="str">
        <f>IF(AND(AP$12&gt;=$E42,AP$12&lt;=$F42,MOD(AP$12,7)&gt;1,NOT(COUNTIF(General!$U$13:$U$19,AP$12))),$I42,"")</f>
        <v/>
      </c>
      <c r="AQ42" s="610" t="str">
        <f>IF(AND(AQ$12&gt;=$E42,AQ$12&lt;=$F42,MOD(AQ$12,7)&gt;1,NOT(COUNTIF(General!$U$13:$U$19,AQ$12))),$I42,"")</f>
        <v/>
      </c>
      <c r="AR42" s="610" t="str">
        <f>IF(AND(AR$12&gt;=$E42,AR$12&lt;=$F42,MOD(AR$12,7)&gt;1,NOT(COUNTIF(General!$U$13:$U$19,AR$12))),$I42,"")</f>
        <v/>
      </c>
      <c r="AS42" s="602" t="str">
        <f>IF(AND(AS$12&gt;=$E42,AS$12&lt;=$F42,MOD(AS$12,7)&gt;1,NOT(COUNTIF(General!$U$13:$U$19,AS$12))),$I42,"")</f>
        <v/>
      </c>
      <c r="AT42" s="602" t="str">
        <f>IF(AND(AT$12&gt;=$E42,AT$12&lt;=$F42,MOD(AT$12,7)&gt;1,NOT(COUNTIF(General!$U$13:$U$19,AT$12))),$I42,"")</f>
        <v/>
      </c>
      <c r="AU42" s="602" t="str">
        <f>IF(AND(AU$12&gt;=$E42,AU$12&lt;=$F42,MOD(AU$12,7)&gt;1,NOT(COUNTIF(General!$U$13:$U$19,AU$12))),$I42,"")</f>
        <v/>
      </c>
      <c r="AV42" s="602" t="str">
        <f>IF(AND(AV$12&gt;=$E42,AV$12&lt;=$F42,MOD(AV$12,7)&gt;1,NOT(COUNTIF(General!$U$13:$U$19,AV$12))),$I42,"")</f>
        <v/>
      </c>
      <c r="AW42" s="602" t="str">
        <f>IF(AND(AW$12&gt;=$E42,AW$12&lt;=$F42,MOD(AW$12,7)&gt;1,NOT(COUNTIF(General!$U$13:$U$19,AW$12))),$I42,"")</f>
        <v/>
      </c>
      <c r="AX42" s="610" t="str">
        <f>IF(AND(AX$12&gt;=$E42,AX$12&lt;=$F42,MOD(AX$12,7)&gt;1,NOT(COUNTIF(General!$U$13:$U$19,AX$12))),$I42,"")</f>
        <v/>
      </c>
      <c r="AY42" s="610" t="str">
        <f>IF(AND(AY$12&gt;=$E42,AY$12&lt;=$F42,MOD(AY$12,7)&gt;1,NOT(COUNTIF(General!$U$13:$U$19,AY$12))),$I42,"")</f>
        <v/>
      </c>
      <c r="AZ42" s="602" t="str">
        <f>IF(AND(AZ$12&gt;=$E42,AZ$12&lt;=$F42,MOD(AZ$12,7)&gt;1,NOT(COUNTIF(General!$U$13:$U$19,AZ$12))),$I42,"")</f>
        <v/>
      </c>
      <c r="BA42" s="602" t="str">
        <f>IF(AND(BA$12&gt;=$E42,BA$12&lt;=$F42,MOD(BA$12,7)&gt;1,NOT(COUNTIF(General!$U$13:$U$19,BA$12))),$I42,"")</f>
        <v/>
      </c>
      <c r="BB42" s="602" t="str">
        <f>IF(AND(BB$12&gt;=$E42,BB$12&lt;=$F42,MOD(BB$12,7)&gt;1,NOT(COUNTIF(General!$U$13:$U$19,BB$12))),$I42,"")</f>
        <v/>
      </c>
      <c r="BC42" s="602" t="str">
        <f>IF(AND(BC$12&gt;=$E42,BC$12&lt;=$F42,MOD(BC$12,7)&gt;1,NOT(COUNTIF(General!$U$13:$U$19,BC$12))),$I42,"")</f>
        <v/>
      </c>
      <c r="BD42" s="602" t="str">
        <f>IF(AND(BD$12&gt;=$E42,BD$12&lt;=$F42,MOD(BD$12,7)&gt;1,NOT(COUNTIF(General!$U$13:$U$19,BD$12))),$I42,"")</f>
        <v/>
      </c>
      <c r="BE42" s="610" t="str">
        <f>IF(AND(BE$12&gt;=$E42,BE$12&lt;=$F42,MOD(BE$12,7)&gt;1,NOT(COUNTIF(General!$U$13:$U$19,BE$12))),$I42,"")</f>
        <v/>
      </c>
      <c r="BF42" s="610" t="str">
        <f>IF(AND(BF$12&gt;=$E42,BF$12&lt;=$F42,MOD(BF$12,7)&gt;1,NOT(COUNTIF(General!$U$13:$U$19,BF$12))),$I42,"")</f>
        <v/>
      </c>
      <c r="BG42" s="602" t="str">
        <f>IF(AND(BG$12&gt;=$E42,BG$12&lt;=$F42,MOD(BG$12,7)&gt;1,NOT(COUNTIF(General!$U$13:$U$19,BG$12))),$I42,"")</f>
        <v/>
      </c>
      <c r="BH42" s="602" t="str">
        <f>IF(AND(BH$12&gt;=$E42,BH$12&lt;=$F42,MOD(BH$12,7)&gt;1,NOT(COUNTIF(General!$U$13:$U$19,BH$12))),$I42,"")</f>
        <v/>
      </c>
      <c r="BI42" s="602" t="str">
        <f>IF(AND(BI$12&gt;=$E42,BI$12&lt;=$F42,MOD(BI$12,7)&gt;1,NOT(COUNTIF(General!$U$13:$U$19,BI$12))),$I42,"")</f>
        <v/>
      </c>
      <c r="BJ42" s="602" t="str">
        <f>IF(AND(BJ$12&gt;=$E42,BJ$12&lt;=$F42,MOD(BJ$12,7)&gt;1,NOT(COUNTIF(General!$U$13:$U$19,BJ$12))),$I42,"")</f>
        <v/>
      </c>
      <c r="BK42" s="602" t="str">
        <f>IF(AND(BK$12&gt;=$E42,BK$12&lt;=$F42,MOD(BK$12,7)&gt;1,NOT(COUNTIF(General!$U$13:$U$19,BK$12))),$I42,"")</f>
        <v/>
      </c>
      <c r="BL42" s="610" t="str">
        <f>IF(AND(BL$12&gt;=$E42,BL$12&lt;=$F42,MOD(BL$12,7)&gt;1,NOT(COUNTIF(General!$U$13:$U$19,BL$12))),$I42,"")</f>
        <v/>
      </c>
      <c r="BM42" s="610" t="str">
        <f>IF(AND(BM$12&gt;=$E42,BM$12&lt;=$F42,MOD(BM$12,7)&gt;1,NOT(COUNTIF(General!$U$13:$U$19,BM$12))),$I42,"")</f>
        <v/>
      </c>
      <c r="BN42" s="602" t="str">
        <f>IF(AND(BN$12&gt;=$E42,BN$12&lt;=$F42,MOD(BN$12,7)&gt;1,NOT(COUNTIF(General!$U$13:$U$19,BN$12))),$I42,"")</f>
        <v/>
      </c>
      <c r="BO42" s="602" t="str">
        <f>IF(AND(BO$12&gt;=$E42,BO$12&lt;=$F42,MOD(BO$12,7)&gt;1,NOT(COUNTIF(General!$U$13:$U$19,BO$12))),$I42,"")</f>
        <v/>
      </c>
      <c r="BP42" s="602" t="str">
        <f>IF(AND(BP$12&gt;=$E42,BP$12&lt;=$F42,MOD(BP$12,7)&gt;1,NOT(COUNTIF(General!$U$13:$U$19,BP$12))),$I42,"")</f>
        <v/>
      </c>
      <c r="BQ42" s="602" t="str">
        <f>IF(AND(BQ$12&gt;=$E42,BQ$12&lt;=$F42,MOD(BQ$12,7)&gt;1,NOT(COUNTIF(General!$U$13:$U$19,BQ$12))),$I42,"")</f>
        <v/>
      </c>
      <c r="BR42" s="602" t="str">
        <f>IF(AND(BR$12&gt;=$E42,BR$12&lt;=$F42,MOD(BR$12,7)&gt;1,NOT(COUNTIF(General!$U$13:$U$19,BR$12))),$I42,"")</f>
        <v/>
      </c>
      <c r="BS42" s="610" t="str">
        <f>IF(AND(BS$12&gt;=$E42,BS$12&lt;=$F42,MOD(BS$12,7)&gt;1,NOT(COUNTIF(General!$U$13:$U$19,BS$12))),$I42,"")</f>
        <v/>
      </c>
      <c r="BT42" s="610" t="str">
        <f>IF(AND(BT$12&gt;=$E42,BT$12&lt;=$F42,MOD(BT$12,7)&gt;1,NOT(COUNTIF(General!$U$13:$U$19,BT$12))),$I42,"")</f>
        <v/>
      </c>
      <c r="BU42" s="602" t="str">
        <f>IF(AND(BU$12&gt;=$E42,BU$12&lt;=$F42,MOD(BU$12,7)&gt;1,NOT(COUNTIF(General!$U$13:$U$19,BU$12))),$I42,"")</f>
        <v/>
      </c>
      <c r="BV42" s="602" t="str">
        <f>IF(AND(BV$12&gt;=$E42,BV$12&lt;=$F42,MOD(BV$12,7)&gt;1,NOT(COUNTIF(General!$U$13:$U$19,BV$12))),$I42,"")</f>
        <v/>
      </c>
      <c r="BW42" s="602" t="str">
        <f>IF(AND(BW$12&gt;=$E42,BW$12&lt;=$F42,MOD(BW$12,7)&gt;1,NOT(COUNTIF(General!$U$13:$U$19,BW$12))),$I42,"")</f>
        <v/>
      </c>
      <c r="BX42" s="602" t="str">
        <f>IF(AND(BX$12&gt;=$E42,BX$12&lt;=$F42,MOD(BX$12,7)&gt;1,NOT(COUNTIF(General!$U$13:$U$19,BX$12))),$I42,"")</f>
        <v/>
      </c>
      <c r="BY42" s="602" t="str">
        <f>IF(AND(BY$12&gt;=$E42,BY$12&lt;=$F42,MOD(BY$12,7)&gt;1,NOT(COUNTIF(General!$U$13:$U$19,BY$12))),$I42,"")</f>
        <v/>
      </c>
      <c r="BZ42" s="610" t="str">
        <f>IF(AND(BZ$12&gt;=$E42,BZ$12&lt;=$F42,MOD(BZ$12,7)&gt;1,NOT(COUNTIF(General!$U$13:$U$19,BZ$12))),$I42,"")</f>
        <v/>
      </c>
      <c r="CA42" s="610" t="str">
        <f>IF(AND(CA$12&gt;=$E42,CA$12&lt;=$F42,MOD(CA$12,7)&gt;1,NOT(COUNTIF(General!$U$13:$U$19,CA$12))),$I42,"")</f>
        <v/>
      </c>
      <c r="CB42" s="602" t="str">
        <f>IF(AND(CB$12&gt;=$E42,CB$12&lt;=$F42,MOD(CB$12,7)&gt;1,NOT(COUNTIF(General!$U$13:$U$19,CB$12))),$I42,"")</f>
        <v/>
      </c>
      <c r="CC42" s="602" t="str">
        <f>IF(AND(CC$12&gt;=$E42,CC$12&lt;=$F42,MOD(CC$12,7)&gt;1,NOT(COUNTIF(General!$U$13:$U$19,CC$12))),$I42,"")</f>
        <v/>
      </c>
      <c r="CD42" s="602" t="str">
        <f>IF(AND(CD$12&gt;=$E42,CD$12&lt;=$F42,MOD(CD$12,7)&gt;1,NOT(COUNTIF(General!$U$13:$U$19,CD$12))),$I42,"")</f>
        <v/>
      </c>
      <c r="CE42" s="602" t="str">
        <f>IF(AND(CE$12&gt;=$E42,CE$12&lt;=$F42,MOD(CE$12,7)&gt;1,NOT(COUNTIF(General!$U$13:$U$19,CE$12))),$I42,"")</f>
        <v/>
      </c>
      <c r="CF42" s="602" t="str">
        <f>IF(AND(CF$12&gt;=$E42,CF$12&lt;=$F42,MOD(CF$12,7)&gt;1,NOT(COUNTIF(General!$U$13:$U$19,CF$12))),$I42,"")</f>
        <v/>
      </c>
      <c r="CG42" s="610" t="str">
        <f>IF(AND(CG$12&gt;=$E42,CG$12&lt;=$F42,MOD(CG$12,7)&gt;1,NOT(COUNTIF(General!$U$13:$U$19,CG$12))),$I42,"")</f>
        <v/>
      </c>
      <c r="CH42" s="610" t="str">
        <f>IF(AND(CH$12&gt;=$E42,CH$12&lt;=$F42,MOD(CH$12,7)&gt;1,NOT(COUNTIF(General!$U$13:$U$19,CH$12))),$I42,"")</f>
        <v/>
      </c>
      <c r="CI42" s="602" t="str">
        <f>IF(AND(CI$12&gt;=$E42,CI$12&lt;=$F42,MOD(CI$12,7)&gt;1,NOT(COUNTIF(General!$U$13:$U$19,CI$12))),$I42,"")</f>
        <v/>
      </c>
      <c r="CJ42" s="602" t="str">
        <f>IF(AND(CJ$12&gt;=$E42,CJ$12&lt;=$F42,MOD(CJ$12,7)&gt;1,NOT(COUNTIF(General!$U$13:$U$19,CJ$12))),$I42,"")</f>
        <v/>
      </c>
      <c r="CK42" s="602" t="str">
        <f>IF(AND(CK$12&gt;=$E42,CK$12&lt;=$F42,MOD(CK$12,7)&gt;1,NOT(COUNTIF(General!$U$13:$U$19,CK$12))),$I42,"")</f>
        <v/>
      </c>
      <c r="CL42" s="602" t="str">
        <f>IF(AND(CL$12&gt;=$E42,CL$12&lt;=$F42,MOD(CL$12,7)&gt;1,NOT(COUNTIF(General!$U$13:$U$19,CL$12))),$I42,"")</f>
        <v/>
      </c>
      <c r="CM42" s="602" t="str">
        <f>IF(AND(CM$12&gt;=$E42,CM$12&lt;=$F42,MOD(CM$12,7)&gt;1,NOT(COUNTIF(General!$U$13:$U$19,CM$12))),$I42,"")</f>
        <v/>
      </c>
      <c r="CN42" s="610" t="str">
        <f>IF(AND(CN$12&gt;=$E42,CN$12&lt;=$F42,MOD(CN$12,7)&gt;1,NOT(COUNTIF(General!$U$13:$U$19,CN$12))),$I42,"")</f>
        <v/>
      </c>
      <c r="CO42" s="610" t="str">
        <f>IF(AND(CO$12&gt;=$E42,CO$12&lt;=$F42,MOD(CO$12,7)&gt;1,NOT(COUNTIF(General!$U$13:$U$19,CO$12))),$I42,"")</f>
        <v/>
      </c>
      <c r="CP42" s="602" t="str">
        <f>IF(AND(CP$12&gt;=$E42,CP$12&lt;=$F42,MOD(CP$12,7)&gt;1,NOT(COUNTIF(General!$U$13:$U$19,CP$12))),$I42,"")</f>
        <v/>
      </c>
      <c r="CQ42" s="602" t="str">
        <f>IF(AND(CQ$12&gt;=$E42,CQ$12&lt;=$F42,MOD(CQ$12,7)&gt;1,NOT(COUNTIF(General!$U$13:$U$19,CQ$12))),$I42,"")</f>
        <v/>
      </c>
      <c r="CR42" s="602" t="str">
        <f>IF(AND(CR$12&gt;=$E42,CR$12&lt;=$F42,MOD(CR$12,7)&gt;1,NOT(COUNTIF(General!$U$13:$U$19,CR$12))),$I42,"")</f>
        <v/>
      </c>
      <c r="CS42" s="602" t="str">
        <f>IF(AND(CS$12&gt;=$E42,CS$12&lt;=$F42,MOD(CS$12,7)&gt;1,NOT(COUNTIF(General!$U$13:$U$19,CS$12))),$I42,"")</f>
        <v/>
      </c>
      <c r="CT42" s="602" t="str">
        <f>IF(AND(CT$12&gt;=$E42,CT$12&lt;=$F42,MOD(CT$12,7)&gt;1,NOT(COUNTIF(General!$U$13:$U$19,CT$12))),$I42,"")</f>
        <v/>
      </c>
      <c r="CU42" s="610" t="str">
        <f>IF(AND(CU$12&gt;=$E42,CU$12&lt;=$F42,MOD(CU$12,7)&gt;1,NOT(COUNTIF(General!$U$13:$U$19,CU$12))),$I42,"")</f>
        <v/>
      </c>
      <c r="CV42" s="610" t="str">
        <f>IF(AND(CV$12&gt;=$E42,CV$12&lt;=$F42,MOD(CV$12,7)&gt;1,NOT(COUNTIF(General!$U$13:$U$19,CV$12))),$I42,"")</f>
        <v/>
      </c>
      <c r="CW42" s="602" t="str">
        <f>IF(AND(CW$12&gt;=$E42,CW$12&lt;=$F42,MOD(CW$12,7)&gt;1,NOT(COUNTIF(General!$U$13:$U$19,CW$12))),$I42,"")</f>
        <v/>
      </c>
      <c r="CX42" s="602" t="str">
        <f>IF(AND(CX$12&gt;=$E42,CX$12&lt;=$F42,MOD(CX$12,7)&gt;1,NOT(COUNTIF(General!$U$13:$U$19,CX$12))),$I42,"")</f>
        <v/>
      </c>
      <c r="CY42" s="602" t="str">
        <f>IF(AND(CY$12&gt;=$E42,CY$12&lt;=$F42,MOD(CY$12,7)&gt;1,NOT(COUNTIF(General!$U$13:$U$19,CY$12))),$I42,"")</f>
        <v/>
      </c>
      <c r="CZ42" s="602" t="str">
        <f>IF(AND(CZ$12&gt;=$E42,CZ$12&lt;=$F42,MOD(CZ$12,7)&gt;1,NOT(COUNTIF(General!$U$13:$U$19,CZ$12))),$I42,"")</f>
        <v/>
      </c>
      <c r="DA42" s="602" t="str">
        <f>IF(AND(DA$12&gt;=$E42,DA$12&lt;=$F42,MOD(DA$12,7)&gt;1,NOT(COUNTIF(General!$U$13:$U$19,DA$12))),$I42,"")</f>
        <v/>
      </c>
      <c r="DB42" s="610" t="str">
        <f>IF(AND(DB$12&gt;=$E42,DB$12&lt;=$F42,MOD(DB$12,7)&gt;1,NOT(COUNTIF(General!$U$13:$U$19,DB$12))),$I42,"")</f>
        <v/>
      </c>
      <c r="DC42" s="610" t="str">
        <f>IF(AND(DC$12&gt;=$E42,DC$12&lt;=$F42,MOD(DC$12,7)&gt;1,NOT(COUNTIF(General!$U$13:$U$19,DC$12))),$I42,"")</f>
        <v/>
      </c>
      <c r="DD42" s="602" t="str">
        <f>IF(AND(DD$12&gt;=$E42,DD$12&lt;=$F42,MOD(DD$12,7)&gt;1,NOT(COUNTIF(General!$U$13:$U$19,DD$12))),$I42,"")</f>
        <v/>
      </c>
      <c r="DE42" s="602" t="str">
        <f>IF(AND(DE$12&gt;=$E42,DE$12&lt;=$F42,MOD(DE$12,7)&gt;1,NOT(COUNTIF(General!$U$13:$U$19,DE$12))),$I42,"")</f>
        <v/>
      </c>
      <c r="DF42" s="602" t="str">
        <f>IF(AND(DF$12&gt;=$E42,DF$12&lt;=$F42,MOD(DF$12,7)&gt;1,NOT(COUNTIF(General!$U$13:$U$19,DF$12))),$I42,"")</f>
        <v/>
      </c>
      <c r="DG42" s="602" t="str">
        <f>IF(AND(DG$12&gt;=$E42,DG$12&lt;=$F42,MOD(DG$12,7)&gt;1,NOT(COUNTIF(General!$U$13:$U$19,DG$12))),$I42,"")</f>
        <v/>
      </c>
      <c r="DH42" s="602" t="str">
        <f>IF(AND(DH$12&gt;=$E42,DH$12&lt;=$F42,MOD(DH$12,7)&gt;1,NOT(COUNTIF(General!$U$13:$U$19,DH$12))),$I42,"")</f>
        <v/>
      </c>
      <c r="DI42" s="610" t="str">
        <f>IF(AND(DI$12&gt;=$E42,DI$12&lt;=$F42,MOD(DI$12,7)&gt;1,NOT(COUNTIF(General!$U$13:$U$19,DI$12))),$I42,"")</f>
        <v/>
      </c>
      <c r="DJ42" s="610" t="str">
        <f>IF(AND(DJ$12&gt;=$E42,DJ$12&lt;=$F42,MOD(DJ$12,7)&gt;1,NOT(COUNTIF(General!$U$13:$U$19,DJ$12))),$I42,"")</f>
        <v/>
      </c>
      <c r="DK42" s="602" t="str">
        <f>IF(AND(DK$12&gt;=$E42,DK$12&lt;=$F42,MOD(DK$12,7)&gt;1,NOT(COUNTIF(General!$U$13:$U$19,DK$12))),$I42,"")</f>
        <v/>
      </c>
      <c r="DL42" s="602" t="str">
        <f>IF(AND(DL$12&gt;=$E42,DL$12&lt;=$F42,MOD(DL$12,7)&gt;1,NOT(COUNTIF(General!$U$13:$U$19,DL$12))),$I42,"")</f>
        <v/>
      </c>
      <c r="DM42" s="602" t="str">
        <f>IF(AND(DM$12&gt;=$E42,DM$12&lt;=$F42,MOD(DM$12,7)&gt;1,NOT(COUNTIF(General!$U$13:$U$19,DM$12))),$I42,"")</f>
        <v/>
      </c>
      <c r="DN42" s="602" t="str">
        <f>IF(AND(DN$12&gt;=$E42,DN$12&lt;=$F42,MOD(DN$12,7)&gt;1,NOT(COUNTIF(General!$U$13:$U$19,DN$12))),$I42,"")</f>
        <v/>
      </c>
      <c r="DO42" s="602" t="str">
        <f>IF(AND(DO$12&gt;=$E42,DO$12&lt;=$F42,MOD(DO$12,7)&gt;1,NOT(COUNTIF(General!$U$13:$U$19,DO$12))),$I42,"")</f>
        <v/>
      </c>
      <c r="DP42" s="610" t="str">
        <f>IF(AND(DP$12&gt;=$E42,DP$12&lt;=$F42,MOD(DP$12,7)&gt;1,NOT(COUNTIF(General!$U$13:$U$19,DP$12))),$I42,"")</f>
        <v/>
      </c>
      <c r="DQ42" s="610" t="str">
        <f>IF(AND(DQ$12&gt;=$E42,DQ$12&lt;=$F42,MOD(DQ$12,7)&gt;1,NOT(COUNTIF(General!$U$13:$U$19,DQ$12))),$I42,"")</f>
        <v/>
      </c>
      <c r="DR42" s="602" t="str">
        <f>IF(AND(DR$12&gt;=$E42,DR$12&lt;=$F42,MOD(DR$12,7)&gt;1,NOT(COUNTIF(General!$U$13:$U$19,DR$12))),$I42,"")</f>
        <v/>
      </c>
      <c r="DS42" s="602" t="str">
        <f>IF(AND(DS$12&gt;=$E42,DS$12&lt;=$F42,MOD(DS$12,7)&gt;1,NOT(COUNTIF(General!$U$13:$U$19,DS$12))),$I42,"")</f>
        <v/>
      </c>
      <c r="DT42" s="602" t="str">
        <f>IF(AND(DT$12&gt;=$E42,DT$12&lt;=$F42,MOD(DT$12,7)&gt;1,NOT(COUNTIF(General!$U$13:$U$19,DT$12))),$I42,"")</f>
        <v/>
      </c>
      <c r="DU42" s="602" t="str">
        <f>IF(AND(DU$12&gt;=$E42,DU$12&lt;=$F42,MOD(DU$12,7)&gt;1,NOT(COUNTIF(General!$U$13:$U$19,DU$12))),$I42,"")</f>
        <v/>
      </c>
      <c r="DV42" s="602" t="str">
        <f>IF(AND(DV$12&gt;=$E42,DV$12&lt;=$F42,MOD(DV$12,7)&gt;1,NOT(COUNTIF(General!$U$13:$U$19,DV$12))),$I42,"")</f>
        <v/>
      </c>
      <c r="DW42" s="610" t="str">
        <f>IF(AND(DW$12&gt;=$E42,DW$12&lt;=$F42,MOD(DW$12,7)&gt;1,NOT(COUNTIF(General!$U$13:$U$19,DW$12))),$I42,"")</f>
        <v/>
      </c>
      <c r="DX42" s="610" t="str">
        <f>IF(AND(DX$12&gt;=$E42,DX$12&lt;=$F42,MOD(DX$12,7)&gt;1,NOT(COUNTIF(General!$U$13:$U$19,DX$12))),$I42,"")</f>
        <v/>
      </c>
      <c r="DY42" s="602" t="str">
        <f>IF(AND(DY$12&gt;=$E42,DY$12&lt;=$F42,MOD(DY$12,7)&gt;1,NOT(COUNTIF(General!$U$13:$U$19,DY$12))),$I42,"")</f>
        <v/>
      </c>
      <c r="DZ42" s="602" t="str">
        <f>IF(AND(DZ$12&gt;=$E42,DZ$12&lt;=$F42,MOD(DZ$12,7)&gt;1,NOT(COUNTIF(General!$U$13:$U$19,DZ$12))),$I42,"")</f>
        <v/>
      </c>
      <c r="EA42" s="602" t="str">
        <f>IF(AND(EA$12&gt;=$E42,EA$12&lt;=$F42,MOD(EA$12,7)&gt;1,NOT(COUNTIF(General!$U$13:$U$19,EA$12))),$I42,"")</f>
        <v/>
      </c>
      <c r="EB42" s="602" t="str">
        <f>IF(AND(EB$12&gt;=$E42,EB$12&lt;=$F42,MOD(EB$12,7)&gt;1,NOT(COUNTIF(General!$U$13:$U$19,EB$12))),$I42,"")</f>
        <v/>
      </c>
      <c r="EC42" s="602" t="str">
        <f>IF(AND(EC$12&gt;=$E42,EC$12&lt;=$F42,MOD(EC$12,7)&gt;1,NOT(COUNTIF(General!$U$13:$U$19,EC$12))),$I42,"")</f>
        <v/>
      </c>
      <c r="ED42" s="610" t="str">
        <f>IF(AND(ED$12&gt;=$E42,ED$12&lt;=$F42,MOD(ED$12,7)&gt;1,NOT(COUNTIF(General!$U$13:$U$19,ED$12))),$I42,"")</f>
        <v/>
      </c>
      <c r="EE42" s="610" t="str">
        <f>IF(AND(EE$12&gt;=$E42,EE$12&lt;=$F42,MOD(EE$12,7)&gt;1,NOT(COUNTIF(General!$U$13:$U$19,EE$12))),$I42,"")</f>
        <v/>
      </c>
      <c r="EF42" s="602" t="str">
        <f>IF(AND(EF$12&gt;=$E42,EF$12&lt;=$F42,MOD(EF$12,7)&gt;1,NOT(COUNTIF(General!$U$13:$U$19,EF$12))),$I42,"")</f>
        <v/>
      </c>
      <c r="EG42" s="602" t="str">
        <f>IF(AND(EG$12&gt;=$E42,EG$12&lt;=$F42,MOD(EG$12,7)&gt;1,NOT(COUNTIF(General!$U$13:$U$19,EG$12))),$I42,"")</f>
        <v/>
      </c>
      <c r="EH42" s="602" t="str">
        <f>IF(AND(EH$12&gt;=$E42,EH$12&lt;=$F42,MOD(EH$12,7)&gt;1,NOT(COUNTIF(General!$U$13:$U$19,EH$12))),$I42,"")</f>
        <v/>
      </c>
      <c r="EI42" s="602" t="str">
        <f>IF(AND(EI$12&gt;=$E42,EI$12&lt;=$F42,MOD(EI$12,7)&gt;1,NOT(COUNTIF(General!$U$13:$U$19,EI$12))),$I42,"")</f>
        <v/>
      </c>
      <c r="EJ42" s="602" t="str">
        <f>IF(AND(EJ$12&gt;=$E42,EJ$12&lt;=$F42,MOD(EJ$12,7)&gt;1,NOT(COUNTIF(General!$U$13:$U$19,EJ$12))),$I42,"")</f>
        <v/>
      </c>
      <c r="EK42" s="610" t="str">
        <f>IF(AND(EK$12&gt;=$E42,EK$12&lt;=$F42,MOD(EK$12,7)&gt;1,NOT(COUNTIF(General!$U$13:$U$19,EK$12))),$I42,"")</f>
        <v/>
      </c>
      <c r="EL42" s="610" t="str">
        <f>IF(AND(EL$12&gt;=$E42,EL$12&lt;=$F42,MOD(EL$12,7)&gt;1,NOT(COUNTIF(General!$U$13:$U$19,EL$12))),$I42,"")</f>
        <v/>
      </c>
      <c r="EM42" s="602" t="str">
        <f>IF(AND(EM$12&gt;=$E42,EM$12&lt;=$F42,MOD(EM$12,7)&gt;1,NOT(COUNTIF(General!$U$13:$U$19,EM$12))),$I42,"")</f>
        <v/>
      </c>
      <c r="EN42" s="602" t="str">
        <f>IF(AND(EN$12&gt;=$E42,EN$12&lt;=$F42,MOD(EN$12,7)&gt;1,NOT(COUNTIF(General!$U$13:$U$19,EN$12))),$I42,"")</f>
        <v/>
      </c>
      <c r="EO42" s="602" t="str">
        <f>IF(AND(EO$12&gt;=$E42,EO$12&lt;=$F42,MOD(EO$12,7)&gt;1,NOT(COUNTIF(General!$U$13:$U$19,EO$12))),$I42,"")</f>
        <v/>
      </c>
      <c r="EP42" s="602" t="str">
        <f>IF(AND(EP$12&gt;=$E42,EP$12&lt;=$F42,MOD(EP$12,7)&gt;1,NOT(COUNTIF(General!$U$13:$U$19,EP$12))),$I42,"")</f>
        <v/>
      </c>
      <c r="EQ42" s="602" t="str">
        <f>IF(AND(EQ$12&gt;=$E42,EQ$12&lt;=$F42,MOD(EQ$12,7)&gt;1,NOT(COUNTIF(General!$U$13:$U$19,EQ$12))),$I42,"")</f>
        <v/>
      </c>
      <c r="ER42" s="610" t="str">
        <f>IF(AND(ER$12&gt;=$E42,ER$12&lt;=$F42,MOD(ER$12,7)&gt;1,NOT(COUNTIF(General!$U$13:$U$19,ER$12))),$I42,"")</f>
        <v/>
      </c>
      <c r="ES42" s="610" t="str">
        <f>IF(AND(ES$12&gt;=$E42,ES$12&lt;=$F42,MOD(ES$12,7)&gt;1,NOT(COUNTIF(General!$U$13:$U$19,ES$12))),$I42,"")</f>
        <v/>
      </c>
      <c r="ET42" s="602" t="str">
        <f>IF(AND(ET$12&gt;=$E42,ET$12&lt;=$F42,MOD(ET$12,7)&gt;1,NOT(COUNTIF(General!$U$13:$U$19,ET$12))),$I42,"")</f>
        <v/>
      </c>
      <c r="EU42" s="602" t="str">
        <f>IF(AND(EU$12&gt;=$E42,EU$12&lt;=$F42,MOD(EU$12,7)&gt;1,NOT(COUNTIF(General!$U$13:$U$19,EU$12))),$I42,"")</f>
        <v/>
      </c>
      <c r="EV42" s="602" t="str">
        <f>IF(AND(EV$12&gt;=$E42,EV$12&lt;=$F42,MOD(EV$12,7)&gt;1,NOT(COUNTIF(General!$U$13:$U$19,EV$12))),$I42,"")</f>
        <v/>
      </c>
      <c r="EW42" s="602" t="str">
        <f>IF(AND(EW$12&gt;=$E42,EW$12&lt;=$F42,MOD(EW$12,7)&gt;1,NOT(COUNTIF(General!$U$13:$U$19,EW$12))),$I42,"")</f>
        <v/>
      </c>
      <c r="EX42" s="602" t="str">
        <f>IF(AND(EX$12&gt;=$E42,EX$12&lt;=$F42,MOD(EX$12,7)&gt;1,NOT(COUNTIF(General!$U$13:$U$19,EX$12))),$I42,"")</f>
        <v/>
      </c>
      <c r="EY42" s="610" t="str">
        <f>IF(AND(EY$12&gt;=$E42,EY$12&lt;=$F42,MOD(EY$12,7)&gt;1,NOT(COUNTIF(General!$U$13:$U$19,EY$12))),$I42,"")</f>
        <v/>
      </c>
      <c r="EZ42" s="610" t="str">
        <f>IF(AND(EZ$12&gt;=$E42,EZ$12&lt;=$F42,MOD(EZ$12,7)&gt;1,NOT(COUNTIF(General!$U$13:$U$19,EZ$12))),$I42,"")</f>
        <v/>
      </c>
      <c r="FA42" s="602" t="str">
        <f>IF(AND(FA$12&gt;=$E42,FA$12&lt;=$F42,MOD(FA$12,7)&gt;1,NOT(COUNTIF(General!$U$13:$U$19,FA$12))),$I42,"")</f>
        <v/>
      </c>
      <c r="FB42" s="602" t="str">
        <f>IF(AND(FB$12&gt;=$E42,FB$12&lt;=$F42,MOD(FB$12,7)&gt;1,NOT(COUNTIF(General!$U$13:$U$19,FB$12))),$I42,"")</f>
        <v/>
      </c>
      <c r="FC42" s="602" t="str">
        <f>IF(AND(FC$12&gt;=$E42,FC$12&lt;=$F42,MOD(FC$12,7)&gt;1,NOT(COUNTIF(General!$U$13:$U$19,FC$12))),$I42,"")</f>
        <v/>
      </c>
      <c r="FD42" s="602" t="str">
        <f>IF(AND(FD$12&gt;=$E42,FD$12&lt;=$F42,MOD(FD$12,7)&gt;1,NOT(COUNTIF(General!$U$13:$U$19,FD$12))),$I42,"")</f>
        <v/>
      </c>
      <c r="FE42" s="602" t="str">
        <f>IF(AND(FE$12&gt;=$E42,FE$12&lt;=$F42,MOD(FE$12,7)&gt;1,NOT(COUNTIF(General!$U$13:$U$19,FE$12))),$I42,"")</f>
        <v/>
      </c>
      <c r="FF42" s="610" t="str">
        <f>IF(AND(FF$12&gt;=$E42,FF$12&lt;=$F42,MOD(FF$12,7)&gt;1,NOT(COUNTIF(General!$U$13:$U$19,FF$12))),$I42,"")</f>
        <v/>
      </c>
      <c r="FG42" s="610" t="str">
        <f>IF(AND(FG$12&gt;=$E42,FG$12&lt;=$F42,MOD(FG$12,7)&gt;1,NOT(COUNTIF(General!$U$13:$U$19,FG$12))),$I42,"")</f>
        <v/>
      </c>
      <c r="FH42" s="602" t="str">
        <f>IF(AND(FH$12&gt;=$E42,FH$12&lt;=$F42,MOD(FH$12,7)&gt;1,NOT(COUNTIF(General!$U$13:$U$19,FH$12))),$I42,"")</f>
        <v/>
      </c>
      <c r="FI42" s="602" t="str">
        <f>IF(AND(FI$12&gt;=$E42,FI$12&lt;=$F42,MOD(FI$12,7)&gt;1,NOT(COUNTIF(General!$U$13:$U$19,FI$12))),$I42,"")</f>
        <v/>
      </c>
      <c r="FJ42" s="602" t="str">
        <f>IF(AND(FJ$12&gt;=$E42,FJ$12&lt;=$F42,MOD(FJ$12,7)&gt;1,NOT(COUNTIF(General!$U$13:$U$19,FJ$12))),$I42,"")</f>
        <v/>
      </c>
      <c r="FK42" s="602" t="str">
        <f>IF(AND(FK$12&gt;=$E42,FK$12&lt;=$F42,MOD(FK$12,7)&gt;1,NOT(COUNTIF(General!$U$13:$U$19,FK$12))),$I42,"")</f>
        <v/>
      </c>
      <c r="FL42" s="602" t="str">
        <f>IF(AND(FL$12&gt;=$E42,FL$12&lt;=$F42,MOD(FL$12,7)&gt;1,NOT(COUNTIF(General!$U$13:$U$19,FL$12))),$I42,"")</f>
        <v/>
      </c>
      <c r="FM42" s="610" t="str">
        <f>IF(AND(FM$12&gt;=$E42,FM$12&lt;=$F42,MOD(FM$12,7)&gt;1,NOT(COUNTIF(General!$U$13:$U$19,FM$12))),$I42,"")</f>
        <v/>
      </c>
      <c r="FN42" s="610" t="str">
        <f>IF(AND(FN$12&gt;=$E42,FN$12&lt;=$F42,MOD(FN$12,7)&gt;1,NOT(COUNTIF(General!$U$13:$U$19,FN$12))),$I42,"")</f>
        <v/>
      </c>
      <c r="FO42" s="602" t="str">
        <f>IF(AND(FO$12&gt;=$E42,FO$12&lt;=$F42,MOD(FO$12,7)&gt;1,NOT(COUNTIF(General!$U$13:$U$19,FO$12))),$I42,"")</f>
        <v/>
      </c>
      <c r="FP42" s="602" t="str">
        <f>IF(AND(FP$12&gt;=$E42,FP$12&lt;=$F42,MOD(FP$12,7)&gt;1,NOT(COUNTIF(General!$U$13:$U$19,FP$12))),$I42,"")</f>
        <v/>
      </c>
      <c r="FQ42" s="602" t="str">
        <f>IF(AND(FQ$12&gt;=$E42,FQ$12&lt;=$F42,MOD(FQ$12,7)&gt;1,NOT(COUNTIF(General!$U$13:$U$19,FQ$12))),$I42,"")</f>
        <v/>
      </c>
      <c r="FR42" s="602" t="str">
        <f>IF(AND(FR$12&gt;=$E42,FR$12&lt;=$F42,MOD(FR$12,7)&gt;1,NOT(COUNTIF(General!$U$13:$U$19,FR$12))),$I42,"")</f>
        <v/>
      </c>
      <c r="FS42" s="602" t="str">
        <f>IF(AND(FS$12&gt;=$E42,FS$12&lt;=$F42,MOD(FS$12,7)&gt;1,NOT(COUNTIF(General!$U$13:$U$19,FS$12))),$I42,"")</f>
        <v/>
      </c>
      <c r="FT42" s="610" t="str">
        <f>IF(AND(FT$12&gt;=$E42,FT$12&lt;=$F42,MOD(FT$12,7)&gt;1,NOT(COUNTIF(General!$U$13:$U$19,FT$12))),$I42,"")</f>
        <v/>
      </c>
      <c r="FU42" s="610" t="str">
        <f>IF(AND(FU$12&gt;=$E42,FU$12&lt;=$F42,MOD(FU$12,7)&gt;1,NOT(COUNTIF(General!$U$13:$U$19,FU$12))),$I42,"")</f>
        <v/>
      </c>
      <c r="FV42" s="602" t="str">
        <f>IF(AND(FV$12&gt;=$E42,FV$12&lt;=$F42,MOD(FV$12,7)&gt;1,NOT(COUNTIF(General!$U$13:$U$19,FV$12))),$I42,"")</f>
        <v/>
      </c>
      <c r="FW42" s="602" t="str">
        <f>IF(AND(FW$12&gt;=$E42,FW$12&lt;=$F42,MOD(FW$12,7)&gt;1,NOT(COUNTIF(General!$U$13:$U$19,FW$12))),$I42,"")</f>
        <v/>
      </c>
      <c r="FX42" s="602" t="str">
        <f>IF(AND(FX$12&gt;=$E42,FX$12&lt;=$F42,MOD(FX$12,7)&gt;1,NOT(COUNTIF(General!$U$13:$U$19,FX$12))),$I42,"")</f>
        <v/>
      </c>
    </row>
    <row r="43" ht="16.5" customHeight="1">
      <c r="A43" s="594"/>
      <c r="B43" s="582"/>
      <c r="C43" s="582"/>
      <c r="D43" s="598" t="s">
        <v>571</v>
      </c>
      <c r="E43" s="583">
        <v>43822.0</v>
      </c>
      <c r="F43" s="374">
        <f>WORKDAY(E43,ROUNDUP(G43/I43,0),General!$U$13:$U$27)-1</f>
        <v>43822</v>
      </c>
      <c r="G43" s="542">
        <f>G42*0.4</f>
        <v>0.8</v>
      </c>
      <c r="H43" s="585"/>
      <c r="I43" s="379">
        <v>1.0</v>
      </c>
      <c r="J43" s="587"/>
      <c r="K43" s="588"/>
      <c r="L43" s="588"/>
      <c r="M43" s="589"/>
      <c r="N43" s="590"/>
      <c r="O43" s="591"/>
      <c r="P43" s="592"/>
      <c r="Q43" s="582" t="str">
        <f>IF(AND(Q$12&gt;=$E43,Q$12&lt;=$F43,MOD(Q$12,7)&gt;1,NOT(COUNTIF(General!$U$13:$U$19,Q$12))),$I43,"")</f>
        <v/>
      </c>
      <c r="R43" s="582" t="str">
        <f>IF(AND(R$12&gt;=$E43,R$12&lt;=$F43,MOD(R$12,7)&gt;1,NOT(COUNTIF(General!$U$13:$U$19,R$12))),$I43,"")</f>
        <v/>
      </c>
      <c r="S43" s="582" t="str">
        <f>IF(AND(S$12&gt;=$E43,S$12&lt;=$F43,MOD(S$12,7)&gt;1,NOT(COUNTIF(General!$U$13:$U$19,S$12))),$I43,"")</f>
        <v/>
      </c>
      <c r="T43" s="582" t="str">
        <f>IF(AND(T$12&gt;=$E43,T$12&lt;=$F43,MOD(T$12,7)&gt;1,NOT(COUNTIF(General!$U$13:$U$19,T$12))),$I43,"")</f>
        <v/>
      </c>
      <c r="U43" s="582" t="str">
        <f>IF(AND(U$12&gt;=$E43,U$12&lt;=$F43,MOD(U$12,7)&gt;1,NOT(COUNTIF(General!$U$13:$U$19,U$12))),$I43,"")</f>
        <v/>
      </c>
      <c r="V43" s="593" t="str">
        <f>IF(AND(V$12&gt;=$E43,V$12&lt;=$F43,MOD(V$12,7)&gt;1,NOT(COUNTIF(General!$U$13:$U$19,V$12))),$I43,"")</f>
        <v/>
      </c>
      <c r="W43" s="593" t="str">
        <f>IF(AND(W$12&gt;=$E43,W$12&lt;=$F43,MOD(W$12,7)&gt;1,NOT(COUNTIF(General!$U$13:$U$19,W$12))),$I43,"")</f>
        <v/>
      </c>
      <c r="X43" s="582" t="str">
        <f>IF(AND(X$12&gt;=$E43,X$12&lt;=$F43,MOD(X$12,7)&gt;1,NOT(COUNTIF(General!$U$13:$U$19,X$12))),$I43,"")</f>
        <v/>
      </c>
      <c r="Y43" s="582" t="str">
        <f>IF(AND(Y$12&gt;=$E43,Y$12&lt;=$F43,MOD(Y$12,7)&gt;1,NOT(COUNTIF(General!$U$13:$U$19,Y$12))),$I43,"")</f>
        <v/>
      </c>
      <c r="Z43" s="582" t="str">
        <f>IF(AND(Z$12&gt;=$E43,Z$12&lt;=$F43,MOD(Z$12,7)&gt;1,NOT(COUNTIF(General!$U$13:$U$19,Z$12))),$I43,"")</f>
        <v/>
      </c>
      <c r="AA43" s="582" t="str">
        <f>IF(AND(AA$12&gt;=$E43,AA$12&lt;=$F43,MOD(AA$12,7)&gt;1,NOT(COUNTIF(General!$U$13:$U$19,AA$12))),$I43,"")</f>
        <v/>
      </c>
      <c r="AB43" s="582" t="str">
        <f>IF(AND(AB$12&gt;=$E43,AB$12&lt;=$F43,MOD(AB$12,7)&gt;1,NOT(COUNTIF(General!$U$13:$U$19,AB$12))),$I43,"")</f>
        <v/>
      </c>
      <c r="AC43" s="582" t="str">
        <f>IF(AND(AC$12&gt;=$E43,AC$12&lt;=$F43,MOD(AC$12,7)&gt;1,NOT(COUNTIF(General!$U$13:$U$19,AC$12))),$I43,"")</f>
        <v/>
      </c>
      <c r="AD43" s="582" t="str">
        <f>IF(AND(AD$12&gt;=$E43,AD$12&lt;=$F43,MOD(AD$12,7)&gt;1,NOT(COUNTIF(General!$U$13:$U$19,AD$12))),$I43,"")</f>
        <v/>
      </c>
      <c r="AE43" s="582" t="str">
        <f>IF(AND(AE$12&gt;=$E43,AE$12&lt;=$F43,MOD(AE$12,7)&gt;1,NOT(COUNTIF(General!$U$13:$U$19,AE$12))),$I43,"")</f>
        <v/>
      </c>
      <c r="AF43" s="582" t="str">
        <f>IF(AND(AF$12&gt;=$E43,AF$12&lt;=$F43,MOD(AF$12,7)&gt;1,NOT(COUNTIF(General!$U$13:$U$19,AF$12))),$I43,"")</f>
        <v/>
      </c>
      <c r="AG43" s="582" t="str">
        <f>IF(AND(AG$12&gt;=$E43,AG$12&lt;=$F43,MOD(AG$12,7)&gt;1,NOT(COUNTIF(General!$U$13:$U$19,AG$12))),$I43,"")</f>
        <v/>
      </c>
      <c r="AH43" s="582" t="str">
        <f>IF(AND(AH$12&gt;=$E43,AH$12&lt;=$F43,MOD(AH$12,7)&gt;1,NOT(COUNTIF(General!$U$13:$U$19,AH$12))),$I43,"")</f>
        <v/>
      </c>
      <c r="AI43" s="582" t="str">
        <f>IF(AND(AI$12&gt;=$E43,AI$12&lt;=$F43,MOD(AI$12,7)&gt;1,NOT(COUNTIF(General!$U$13:$U$19,AI$12))),$I43,"")</f>
        <v/>
      </c>
      <c r="AJ43" s="593" t="str">
        <f>IF(AND(AJ$12&gt;=$E43,AJ$12&lt;=$F43,MOD(AJ$12,7)&gt;1,NOT(COUNTIF(General!$U$13:$U$19,AJ$12))),$I43,"")</f>
        <v/>
      </c>
      <c r="AK43" s="593" t="str">
        <f>IF(AND(AK$12&gt;=$E43,AK$12&lt;=$F43,MOD(AK$12,7)&gt;1,NOT(COUNTIF(General!$U$13:$U$19,AK$12))),$I43,"")</f>
        <v/>
      </c>
      <c r="AL43" s="582">
        <f>IF(AND(AL$12&gt;=$E43,AL$12&lt;=$F43,MOD(AL$12,7)&gt;1,NOT(COUNTIF(General!$U$13:$U$19,AL$12))),$I43,"")</f>
        <v>1</v>
      </c>
      <c r="AM43" s="582" t="str">
        <f>IF(AND(AM$12&gt;=$E43,AM$12&lt;=$F43,MOD(AM$12,7)&gt;1,NOT(COUNTIF(General!$U$13:$U$19,AM$12))),$I43,"")</f>
        <v/>
      </c>
      <c r="AN43" s="582" t="str">
        <f>IF(AND(AN$12&gt;=$E43,AN$12&lt;=$F43,MOD(AN$12,7)&gt;1,NOT(COUNTIF(General!$U$13:$U$19,AN$12))),$I43,"")</f>
        <v/>
      </c>
      <c r="AO43" s="582" t="str">
        <f>IF(AND(AO$12&gt;=$E43,AO$12&lt;=$F43,MOD(AO$12,7)&gt;1,NOT(COUNTIF(General!$U$13:$U$19,AO$12))),$I43,"")</f>
        <v/>
      </c>
      <c r="AP43" s="582" t="str">
        <f>IF(AND(AP$12&gt;=$E43,AP$12&lt;=$F43,MOD(AP$12,7)&gt;1,NOT(COUNTIF(General!$U$13:$U$19,AP$12))),$I43,"")</f>
        <v/>
      </c>
      <c r="AQ43" s="593" t="str">
        <f>IF(AND(AQ$12&gt;=$E43,AQ$12&lt;=$F43,MOD(AQ$12,7)&gt;1,NOT(COUNTIF(General!$U$13:$U$19,AQ$12))),$I43,"")</f>
        <v/>
      </c>
      <c r="AR43" s="593" t="str">
        <f>IF(AND(AR$12&gt;=$E43,AR$12&lt;=$F43,MOD(AR$12,7)&gt;1,NOT(COUNTIF(General!$U$13:$U$19,AR$12))),$I43,"")</f>
        <v/>
      </c>
      <c r="AS43" s="582" t="str">
        <f>IF(AND(AS$12&gt;=$E43,AS$12&lt;=$F43,MOD(AS$12,7)&gt;1,NOT(COUNTIF(General!$U$13:$U$19,AS$12))),$I43,"")</f>
        <v/>
      </c>
      <c r="AT43" s="582" t="str">
        <f>IF(AND(AT$12&gt;=$E43,AT$12&lt;=$F43,MOD(AT$12,7)&gt;1,NOT(COUNTIF(General!$U$13:$U$19,AT$12))),$I43,"")</f>
        <v/>
      </c>
      <c r="AU43" s="582" t="str">
        <f>IF(AND(AU$12&gt;=$E43,AU$12&lt;=$F43,MOD(AU$12,7)&gt;1,NOT(COUNTIF(General!$U$13:$U$19,AU$12))),$I43,"")</f>
        <v/>
      </c>
      <c r="AV43" s="582" t="str">
        <f>IF(AND(AV$12&gt;=$E43,AV$12&lt;=$F43,MOD(AV$12,7)&gt;1,NOT(COUNTIF(General!$U$13:$U$19,AV$12))),$I43,"")</f>
        <v/>
      </c>
      <c r="AW43" s="582" t="str">
        <f>IF(AND(AW$12&gt;=$E43,AW$12&lt;=$F43,MOD(AW$12,7)&gt;1,NOT(COUNTIF(General!$U$13:$U$19,AW$12))),$I43,"")</f>
        <v/>
      </c>
      <c r="AX43" s="593" t="str">
        <f>IF(AND(AX$12&gt;=$E43,AX$12&lt;=$F43,MOD(AX$12,7)&gt;1,NOT(COUNTIF(General!$U$13:$U$19,AX$12))),$I43,"")</f>
        <v/>
      </c>
      <c r="AY43" s="593" t="str">
        <f>IF(AND(AY$12&gt;=$E43,AY$12&lt;=$F43,MOD(AY$12,7)&gt;1,NOT(COUNTIF(General!$U$13:$U$19,AY$12))),$I43,"")</f>
        <v/>
      </c>
      <c r="AZ43" s="582" t="str">
        <f>IF(AND(AZ$12&gt;=$E43,AZ$12&lt;=$F43,MOD(AZ$12,7)&gt;1,NOT(COUNTIF(General!$U$13:$U$19,AZ$12))),$I43,"")</f>
        <v/>
      </c>
      <c r="BA43" s="582" t="str">
        <f>IF(AND(BA$12&gt;=$E43,BA$12&lt;=$F43,MOD(BA$12,7)&gt;1,NOT(COUNTIF(General!$U$13:$U$19,BA$12))),$I43,"")</f>
        <v/>
      </c>
      <c r="BB43" s="582" t="str">
        <f>IF(AND(BB$12&gt;=$E43,BB$12&lt;=$F43,MOD(BB$12,7)&gt;1,NOT(COUNTIF(General!$U$13:$U$19,BB$12))),$I43,"")</f>
        <v/>
      </c>
      <c r="BC43" s="582" t="str">
        <f>IF(AND(BC$12&gt;=$E43,BC$12&lt;=$F43,MOD(BC$12,7)&gt;1,NOT(COUNTIF(General!$U$13:$U$19,BC$12))),$I43,"")</f>
        <v/>
      </c>
      <c r="BD43" s="582" t="str">
        <f>IF(AND(BD$12&gt;=$E43,BD$12&lt;=$F43,MOD(BD$12,7)&gt;1,NOT(COUNTIF(General!$U$13:$U$19,BD$12))),$I43,"")</f>
        <v/>
      </c>
      <c r="BE43" s="593" t="str">
        <f>IF(AND(BE$12&gt;=$E43,BE$12&lt;=$F43,MOD(BE$12,7)&gt;1,NOT(COUNTIF(General!$U$13:$U$19,BE$12))),$I43,"")</f>
        <v/>
      </c>
      <c r="BF43" s="593" t="str">
        <f>IF(AND(BF$12&gt;=$E43,BF$12&lt;=$F43,MOD(BF$12,7)&gt;1,NOT(COUNTIF(General!$U$13:$U$19,BF$12))),$I43,"")</f>
        <v/>
      </c>
      <c r="BG43" s="582" t="str">
        <f>IF(AND(BG$12&gt;=$E43,BG$12&lt;=$F43,MOD(BG$12,7)&gt;1,NOT(COUNTIF(General!$U$13:$U$19,BG$12))),$I43,"")</f>
        <v/>
      </c>
      <c r="BH43" s="582" t="str">
        <f>IF(AND(BH$12&gt;=$E43,BH$12&lt;=$F43,MOD(BH$12,7)&gt;1,NOT(COUNTIF(General!$U$13:$U$19,BH$12))),$I43,"")</f>
        <v/>
      </c>
      <c r="BI43" s="582" t="str">
        <f>IF(AND(BI$12&gt;=$E43,BI$12&lt;=$F43,MOD(BI$12,7)&gt;1,NOT(COUNTIF(General!$U$13:$U$19,BI$12))),$I43,"")</f>
        <v/>
      </c>
      <c r="BJ43" s="582" t="str">
        <f>IF(AND(BJ$12&gt;=$E43,BJ$12&lt;=$F43,MOD(BJ$12,7)&gt;1,NOT(COUNTIF(General!$U$13:$U$19,BJ$12))),$I43,"")</f>
        <v/>
      </c>
      <c r="BK43" s="582" t="str">
        <f>IF(AND(BK$12&gt;=$E43,BK$12&lt;=$F43,MOD(BK$12,7)&gt;1,NOT(COUNTIF(General!$U$13:$U$19,BK$12))),$I43,"")</f>
        <v/>
      </c>
      <c r="BL43" s="593" t="str">
        <f>IF(AND(BL$12&gt;=$E43,BL$12&lt;=$F43,MOD(BL$12,7)&gt;1,NOT(COUNTIF(General!$U$13:$U$19,BL$12))),$I43,"")</f>
        <v/>
      </c>
      <c r="BM43" s="593" t="str">
        <f>IF(AND(BM$12&gt;=$E43,BM$12&lt;=$F43,MOD(BM$12,7)&gt;1,NOT(COUNTIF(General!$U$13:$U$19,BM$12))),$I43,"")</f>
        <v/>
      </c>
      <c r="BN43" s="582" t="str">
        <f>IF(AND(BN$12&gt;=$E43,BN$12&lt;=$F43,MOD(BN$12,7)&gt;1,NOT(COUNTIF(General!$U$13:$U$19,BN$12))),$I43,"")</f>
        <v/>
      </c>
      <c r="BO43" s="582" t="str">
        <f>IF(AND(BO$12&gt;=$E43,BO$12&lt;=$F43,MOD(BO$12,7)&gt;1,NOT(COUNTIF(General!$U$13:$U$19,BO$12))),$I43,"")</f>
        <v/>
      </c>
      <c r="BP43" s="582" t="str">
        <f>IF(AND(BP$12&gt;=$E43,BP$12&lt;=$F43,MOD(BP$12,7)&gt;1,NOT(COUNTIF(General!$U$13:$U$19,BP$12))),$I43,"")</f>
        <v/>
      </c>
      <c r="BQ43" s="582" t="str">
        <f>IF(AND(BQ$12&gt;=$E43,BQ$12&lt;=$F43,MOD(BQ$12,7)&gt;1,NOT(COUNTIF(General!$U$13:$U$19,BQ$12))),$I43,"")</f>
        <v/>
      </c>
      <c r="BR43" s="582" t="str">
        <f>IF(AND(BR$12&gt;=$E43,BR$12&lt;=$F43,MOD(BR$12,7)&gt;1,NOT(COUNTIF(General!$U$13:$U$19,BR$12))),$I43,"")</f>
        <v/>
      </c>
      <c r="BS43" s="593" t="str">
        <f>IF(AND(BS$12&gt;=$E43,BS$12&lt;=$F43,MOD(BS$12,7)&gt;1,NOT(COUNTIF(General!$U$13:$U$19,BS$12))),$I43,"")</f>
        <v/>
      </c>
      <c r="BT43" s="593" t="str">
        <f>IF(AND(BT$12&gt;=$E43,BT$12&lt;=$F43,MOD(BT$12,7)&gt;1,NOT(COUNTIF(General!$U$13:$U$19,BT$12))),$I43,"")</f>
        <v/>
      </c>
      <c r="BU43" s="582" t="str">
        <f>IF(AND(BU$12&gt;=$E43,BU$12&lt;=$F43,MOD(BU$12,7)&gt;1,NOT(COUNTIF(General!$U$13:$U$19,BU$12))),$I43,"")</f>
        <v/>
      </c>
      <c r="BV43" s="582" t="str">
        <f>IF(AND(BV$12&gt;=$E43,BV$12&lt;=$F43,MOD(BV$12,7)&gt;1,NOT(COUNTIF(General!$U$13:$U$19,BV$12))),$I43,"")</f>
        <v/>
      </c>
      <c r="BW43" s="582" t="str">
        <f>IF(AND(BW$12&gt;=$E43,BW$12&lt;=$F43,MOD(BW$12,7)&gt;1,NOT(COUNTIF(General!$U$13:$U$19,BW$12))),$I43,"")</f>
        <v/>
      </c>
      <c r="BX43" s="582" t="str">
        <f>IF(AND(BX$12&gt;=$E43,BX$12&lt;=$F43,MOD(BX$12,7)&gt;1,NOT(COUNTIF(General!$U$13:$U$19,BX$12))),$I43,"")</f>
        <v/>
      </c>
      <c r="BY43" s="582" t="str">
        <f>IF(AND(BY$12&gt;=$E43,BY$12&lt;=$F43,MOD(BY$12,7)&gt;1,NOT(COUNTIF(General!$U$13:$U$19,BY$12))),$I43,"")</f>
        <v/>
      </c>
      <c r="BZ43" s="593" t="str">
        <f>IF(AND(BZ$12&gt;=$E43,BZ$12&lt;=$F43,MOD(BZ$12,7)&gt;1,NOT(COUNTIF(General!$U$13:$U$19,BZ$12))),$I43,"")</f>
        <v/>
      </c>
      <c r="CA43" s="593" t="str">
        <f>IF(AND(CA$12&gt;=$E43,CA$12&lt;=$F43,MOD(CA$12,7)&gt;1,NOT(COUNTIF(General!$U$13:$U$19,CA$12))),$I43,"")</f>
        <v/>
      </c>
      <c r="CB43" s="582" t="str">
        <f>IF(AND(CB$12&gt;=$E43,CB$12&lt;=$F43,MOD(CB$12,7)&gt;1,NOT(COUNTIF(General!$U$13:$U$19,CB$12))),$I43,"")</f>
        <v/>
      </c>
      <c r="CC43" s="582" t="str">
        <f>IF(AND(CC$12&gt;=$E43,CC$12&lt;=$F43,MOD(CC$12,7)&gt;1,NOT(COUNTIF(General!$U$13:$U$19,CC$12))),$I43,"")</f>
        <v/>
      </c>
      <c r="CD43" s="582" t="str">
        <f>IF(AND(CD$12&gt;=$E43,CD$12&lt;=$F43,MOD(CD$12,7)&gt;1,NOT(COUNTIF(General!$U$13:$U$19,CD$12))),$I43,"")</f>
        <v/>
      </c>
      <c r="CE43" s="582" t="str">
        <f>IF(AND(CE$12&gt;=$E43,CE$12&lt;=$F43,MOD(CE$12,7)&gt;1,NOT(COUNTIF(General!$U$13:$U$19,CE$12))),$I43,"")</f>
        <v/>
      </c>
      <c r="CF43" s="582" t="str">
        <f>IF(AND(CF$12&gt;=$E43,CF$12&lt;=$F43,MOD(CF$12,7)&gt;1,NOT(COUNTIF(General!$U$13:$U$19,CF$12))),$I43,"")</f>
        <v/>
      </c>
      <c r="CG43" s="593" t="str">
        <f>IF(AND(CG$12&gt;=$E43,CG$12&lt;=$F43,MOD(CG$12,7)&gt;1,NOT(COUNTIF(General!$U$13:$U$19,CG$12))),$I43,"")</f>
        <v/>
      </c>
      <c r="CH43" s="593" t="str">
        <f>IF(AND(CH$12&gt;=$E43,CH$12&lt;=$F43,MOD(CH$12,7)&gt;1,NOT(COUNTIF(General!$U$13:$U$19,CH$12))),$I43,"")</f>
        <v/>
      </c>
      <c r="CI43" s="582" t="str">
        <f>IF(AND(CI$12&gt;=$E43,CI$12&lt;=$F43,MOD(CI$12,7)&gt;1,NOT(COUNTIF(General!$U$13:$U$19,CI$12))),$I43,"")</f>
        <v/>
      </c>
      <c r="CJ43" s="582" t="str">
        <f>IF(AND(CJ$12&gt;=$E43,CJ$12&lt;=$F43,MOD(CJ$12,7)&gt;1,NOT(COUNTIF(General!$U$13:$U$19,CJ$12))),$I43,"")</f>
        <v/>
      </c>
      <c r="CK43" s="582" t="str">
        <f>IF(AND(CK$12&gt;=$E43,CK$12&lt;=$F43,MOD(CK$12,7)&gt;1,NOT(COUNTIF(General!$U$13:$U$19,CK$12))),$I43,"")</f>
        <v/>
      </c>
      <c r="CL43" s="582" t="str">
        <f>IF(AND(CL$12&gt;=$E43,CL$12&lt;=$F43,MOD(CL$12,7)&gt;1,NOT(COUNTIF(General!$U$13:$U$19,CL$12))),$I43,"")</f>
        <v/>
      </c>
      <c r="CM43" s="582" t="str">
        <f>IF(AND(CM$12&gt;=$E43,CM$12&lt;=$F43,MOD(CM$12,7)&gt;1,NOT(COUNTIF(General!$U$13:$U$19,CM$12))),$I43,"")</f>
        <v/>
      </c>
      <c r="CN43" s="593" t="str">
        <f>IF(AND(CN$12&gt;=$E43,CN$12&lt;=$F43,MOD(CN$12,7)&gt;1,NOT(COUNTIF(General!$U$13:$U$19,CN$12))),$I43,"")</f>
        <v/>
      </c>
      <c r="CO43" s="593" t="str">
        <f>IF(AND(CO$12&gt;=$E43,CO$12&lt;=$F43,MOD(CO$12,7)&gt;1,NOT(COUNTIF(General!$U$13:$U$19,CO$12))),$I43,"")</f>
        <v/>
      </c>
      <c r="CP43" s="582" t="str">
        <f>IF(AND(CP$12&gt;=$E43,CP$12&lt;=$F43,MOD(CP$12,7)&gt;1,NOT(COUNTIF(General!$U$13:$U$19,CP$12))),$I43,"")</f>
        <v/>
      </c>
      <c r="CQ43" s="582" t="str">
        <f>IF(AND(CQ$12&gt;=$E43,CQ$12&lt;=$F43,MOD(CQ$12,7)&gt;1,NOT(COUNTIF(General!$U$13:$U$19,CQ$12))),$I43,"")</f>
        <v/>
      </c>
      <c r="CR43" s="582" t="str">
        <f>IF(AND(CR$12&gt;=$E43,CR$12&lt;=$F43,MOD(CR$12,7)&gt;1,NOT(COUNTIF(General!$U$13:$U$19,CR$12))),$I43,"")</f>
        <v/>
      </c>
      <c r="CS43" s="582" t="str">
        <f>IF(AND(CS$12&gt;=$E43,CS$12&lt;=$F43,MOD(CS$12,7)&gt;1,NOT(COUNTIF(General!$U$13:$U$19,CS$12))),$I43,"")</f>
        <v/>
      </c>
      <c r="CT43" s="582" t="str">
        <f>IF(AND(CT$12&gt;=$E43,CT$12&lt;=$F43,MOD(CT$12,7)&gt;1,NOT(COUNTIF(General!$U$13:$U$19,CT$12))),$I43,"")</f>
        <v/>
      </c>
      <c r="CU43" s="593" t="str">
        <f>IF(AND(CU$12&gt;=$E43,CU$12&lt;=$F43,MOD(CU$12,7)&gt;1,NOT(COUNTIF(General!$U$13:$U$19,CU$12))),$I43,"")</f>
        <v/>
      </c>
      <c r="CV43" s="593" t="str">
        <f>IF(AND(CV$12&gt;=$E43,CV$12&lt;=$F43,MOD(CV$12,7)&gt;1,NOT(COUNTIF(General!$U$13:$U$19,CV$12))),$I43,"")</f>
        <v/>
      </c>
      <c r="CW43" s="582" t="str">
        <f>IF(AND(CW$12&gt;=$E43,CW$12&lt;=$F43,MOD(CW$12,7)&gt;1,NOT(COUNTIF(General!$U$13:$U$19,CW$12))),$I43,"")</f>
        <v/>
      </c>
      <c r="CX43" s="582" t="str">
        <f>IF(AND(CX$12&gt;=$E43,CX$12&lt;=$F43,MOD(CX$12,7)&gt;1,NOT(COUNTIF(General!$U$13:$U$19,CX$12))),$I43,"")</f>
        <v/>
      </c>
      <c r="CY43" s="582" t="str">
        <f>IF(AND(CY$12&gt;=$E43,CY$12&lt;=$F43,MOD(CY$12,7)&gt;1,NOT(COUNTIF(General!$U$13:$U$19,CY$12))),$I43,"")</f>
        <v/>
      </c>
      <c r="CZ43" s="582" t="str">
        <f>IF(AND(CZ$12&gt;=$E43,CZ$12&lt;=$F43,MOD(CZ$12,7)&gt;1,NOT(COUNTIF(General!$U$13:$U$19,CZ$12))),$I43,"")</f>
        <v/>
      </c>
      <c r="DA43" s="582" t="str">
        <f>IF(AND(DA$12&gt;=$E43,DA$12&lt;=$F43,MOD(DA$12,7)&gt;1,NOT(COUNTIF(General!$U$13:$U$19,DA$12))),$I43,"")</f>
        <v/>
      </c>
      <c r="DB43" s="593" t="str">
        <f>IF(AND(DB$12&gt;=$E43,DB$12&lt;=$F43,MOD(DB$12,7)&gt;1,NOT(COUNTIF(General!$U$13:$U$19,DB$12))),$I43,"")</f>
        <v/>
      </c>
      <c r="DC43" s="593" t="str">
        <f>IF(AND(DC$12&gt;=$E43,DC$12&lt;=$F43,MOD(DC$12,7)&gt;1,NOT(COUNTIF(General!$U$13:$U$19,DC$12))),$I43,"")</f>
        <v/>
      </c>
      <c r="DD43" s="582" t="str">
        <f>IF(AND(DD$12&gt;=$E43,DD$12&lt;=$F43,MOD(DD$12,7)&gt;1,NOT(COUNTIF(General!$U$13:$U$19,DD$12))),$I43,"")</f>
        <v/>
      </c>
      <c r="DE43" s="582" t="str">
        <f>IF(AND(DE$12&gt;=$E43,DE$12&lt;=$F43,MOD(DE$12,7)&gt;1,NOT(COUNTIF(General!$U$13:$U$19,DE$12))),$I43,"")</f>
        <v/>
      </c>
      <c r="DF43" s="582" t="str">
        <f>IF(AND(DF$12&gt;=$E43,DF$12&lt;=$F43,MOD(DF$12,7)&gt;1,NOT(COUNTIF(General!$U$13:$U$19,DF$12))),$I43,"")</f>
        <v/>
      </c>
      <c r="DG43" s="582" t="str">
        <f>IF(AND(DG$12&gt;=$E43,DG$12&lt;=$F43,MOD(DG$12,7)&gt;1,NOT(COUNTIF(General!$U$13:$U$19,DG$12))),$I43,"")</f>
        <v/>
      </c>
      <c r="DH43" s="582" t="str">
        <f>IF(AND(DH$12&gt;=$E43,DH$12&lt;=$F43,MOD(DH$12,7)&gt;1,NOT(COUNTIF(General!$U$13:$U$19,DH$12))),$I43,"")</f>
        <v/>
      </c>
      <c r="DI43" s="593" t="str">
        <f>IF(AND(DI$12&gt;=$E43,DI$12&lt;=$F43,MOD(DI$12,7)&gt;1,NOT(COUNTIF(General!$U$13:$U$19,DI$12))),$I43,"")</f>
        <v/>
      </c>
      <c r="DJ43" s="593" t="str">
        <f>IF(AND(DJ$12&gt;=$E43,DJ$12&lt;=$F43,MOD(DJ$12,7)&gt;1,NOT(COUNTIF(General!$U$13:$U$19,DJ$12))),$I43,"")</f>
        <v/>
      </c>
      <c r="DK43" s="582" t="str">
        <f>IF(AND(DK$12&gt;=$E43,DK$12&lt;=$F43,MOD(DK$12,7)&gt;1,NOT(COUNTIF(General!$U$13:$U$19,DK$12))),$I43,"")</f>
        <v/>
      </c>
      <c r="DL43" s="582" t="str">
        <f>IF(AND(DL$12&gt;=$E43,DL$12&lt;=$F43,MOD(DL$12,7)&gt;1,NOT(COUNTIF(General!$U$13:$U$19,DL$12))),$I43,"")</f>
        <v/>
      </c>
      <c r="DM43" s="582" t="str">
        <f>IF(AND(DM$12&gt;=$E43,DM$12&lt;=$F43,MOD(DM$12,7)&gt;1,NOT(COUNTIF(General!$U$13:$U$19,DM$12))),$I43,"")</f>
        <v/>
      </c>
      <c r="DN43" s="582" t="str">
        <f>IF(AND(DN$12&gt;=$E43,DN$12&lt;=$F43,MOD(DN$12,7)&gt;1,NOT(COUNTIF(General!$U$13:$U$19,DN$12))),$I43,"")</f>
        <v/>
      </c>
      <c r="DO43" s="582" t="str">
        <f>IF(AND(DO$12&gt;=$E43,DO$12&lt;=$F43,MOD(DO$12,7)&gt;1,NOT(COUNTIF(General!$U$13:$U$19,DO$12))),$I43,"")</f>
        <v/>
      </c>
      <c r="DP43" s="593" t="str">
        <f>IF(AND(DP$12&gt;=$E43,DP$12&lt;=$F43,MOD(DP$12,7)&gt;1,NOT(COUNTIF(General!$U$13:$U$19,DP$12))),$I43,"")</f>
        <v/>
      </c>
      <c r="DQ43" s="593" t="str">
        <f>IF(AND(DQ$12&gt;=$E43,DQ$12&lt;=$F43,MOD(DQ$12,7)&gt;1,NOT(COUNTIF(General!$U$13:$U$19,DQ$12))),$I43,"")</f>
        <v/>
      </c>
      <c r="DR43" s="582" t="str">
        <f>IF(AND(DR$12&gt;=$E43,DR$12&lt;=$F43,MOD(DR$12,7)&gt;1,NOT(COUNTIF(General!$U$13:$U$19,DR$12))),$I43,"")</f>
        <v/>
      </c>
      <c r="DS43" s="582" t="str">
        <f>IF(AND(DS$12&gt;=$E43,DS$12&lt;=$F43,MOD(DS$12,7)&gt;1,NOT(COUNTIF(General!$U$13:$U$19,DS$12))),$I43,"")</f>
        <v/>
      </c>
      <c r="DT43" s="582" t="str">
        <f>IF(AND(DT$12&gt;=$E43,DT$12&lt;=$F43,MOD(DT$12,7)&gt;1,NOT(COUNTIF(General!$U$13:$U$19,DT$12))),$I43,"")</f>
        <v/>
      </c>
      <c r="DU43" s="582" t="str">
        <f>IF(AND(DU$12&gt;=$E43,DU$12&lt;=$F43,MOD(DU$12,7)&gt;1,NOT(COUNTIF(General!$U$13:$U$19,DU$12))),$I43,"")</f>
        <v/>
      </c>
      <c r="DV43" s="582" t="str">
        <f>IF(AND(DV$12&gt;=$E43,DV$12&lt;=$F43,MOD(DV$12,7)&gt;1,NOT(COUNTIF(General!$U$13:$U$19,DV$12))),$I43,"")</f>
        <v/>
      </c>
      <c r="DW43" s="593" t="str">
        <f>IF(AND(DW$12&gt;=$E43,DW$12&lt;=$F43,MOD(DW$12,7)&gt;1,NOT(COUNTIF(General!$U$13:$U$19,DW$12))),$I43,"")</f>
        <v/>
      </c>
      <c r="DX43" s="593" t="str">
        <f>IF(AND(DX$12&gt;=$E43,DX$12&lt;=$F43,MOD(DX$12,7)&gt;1,NOT(COUNTIF(General!$U$13:$U$19,DX$12))),$I43,"")</f>
        <v/>
      </c>
      <c r="DY43" s="582" t="str">
        <f>IF(AND(DY$12&gt;=$E43,DY$12&lt;=$F43,MOD(DY$12,7)&gt;1,NOT(COUNTIF(General!$U$13:$U$19,DY$12))),$I43,"")</f>
        <v/>
      </c>
      <c r="DZ43" s="582" t="str">
        <f>IF(AND(DZ$12&gt;=$E43,DZ$12&lt;=$F43,MOD(DZ$12,7)&gt;1,NOT(COUNTIF(General!$U$13:$U$19,DZ$12))),$I43,"")</f>
        <v/>
      </c>
      <c r="EA43" s="582" t="str">
        <f>IF(AND(EA$12&gt;=$E43,EA$12&lt;=$F43,MOD(EA$12,7)&gt;1,NOT(COUNTIF(General!$U$13:$U$19,EA$12))),$I43,"")</f>
        <v/>
      </c>
      <c r="EB43" s="582" t="str">
        <f>IF(AND(EB$12&gt;=$E43,EB$12&lt;=$F43,MOD(EB$12,7)&gt;1,NOT(COUNTIF(General!$U$13:$U$19,EB$12))),$I43,"")</f>
        <v/>
      </c>
      <c r="EC43" s="582" t="str">
        <f>IF(AND(EC$12&gt;=$E43,EC$12&lt;=$F43,MOD(EC$12,7)&gt;1,NOT(COUNTIF(General!$U$13:$U$19,EC$12))),$I43,"")</f>
        <v/>
      </c>
      <c r="ED43" s="593" t="str">
        <f>IF(AND(ED$12&gt;=$E43,ED$12&lt;=$F43,MOD(ED$12,7)&gt;1,NOT(COUNTIF(General!$U$13:$U$19,ED$12))),$I43,"")</f>
        <v/>
      </c>
      <c r="EE43" s="593" t="str">
        <f>IF(AND(EE$12&gt;=$E43,EE$12&lt;=$F43,MOD(EE$12,7)&gt;1,NOT(COUNTIF(General!$U$13:$U$19,EE$12))),$I43,"")</f>
        <v/>
      </c>
      <c r="EF43" s="582" t="str">
        <f>IF(AND(EF$12&gt;=$E43,EF$12&lt;=$F43,MOD(EF$12,7)&gt;1,NOT(COUNTIF(General!$U$13:$U$19,EF$12))),$I43,"")</f>
        <v/>
      </c>
      <c r="EG43" s="582" t="str">
        <f>IF(AND(EG$12&gt;=$E43,EG$12&lt;=$F43,MOD(EG$12,7)&gt;1,NOT(COUNTIF(General!$U$13:$U$19,EG$12))),$I43,"")</f>
        <v/>
      </c>
      <c r="EH43" s="582" t="str">
        <f>IF(AND(EH$12&gt;=$E43,EH$12&lt;=$F43,MOD(EH$12,7)&gt;1,NOT(COUNTIF(General!$U$13:$U$19,EH$12))),$I43,"")</f>
        <v/>
      </c>
      <c r="EI43" s="582" t="str">
        <f>IF(AND(EI$12&gt;=$E43,EI$12&lt;=$F43,MOD(EI$12,7)&gt;1,NOT(COUNTIF(General!$U$13:$U$19,EI$12))),$I43,"")</f>
        <v/>
      </c>
      <c r="EJ43" s="582" t="str">
        <f>IF(AND(EJ$12&gt;=$E43,EJ$12&lt;=$F43,MOD(EJ$12,7)&gt;1,NOT(COUNTIF(General!$U$13:$U$19,EJ$12))),$I43,"")</f>
        <v/>
      </c>
      <c r="EK43" s="593" t="str">
        <f>IF(AND(EK$12&gt;=$E43,EK$12&lt;=$F43,MOD(EK$12,7)&gt;1,NOT(COUNTIF(General!$U$13:$U$19,EK$12))),$I43,"")</f>
        <v/>
      </c>
      <c r="EL43" s="593" t="str">
        <f>IF(AND(EL$12&gt;=$E43,EL$12&lt;=$F43,MOD(EL$12,7)&gt;1,NOT(COUNTIF(General!$U$13:$U$19,EL$12))),$I43,"")</f>
        <v/>
      </c>
      <c r="EM43" s="582" t="str">
        <f>IF(AND(EM$12&gt;=$E43,EM$12&lt;=$F43,MOD(EM$12,7)&gt;1,NOT(COUNTIF(General!$U$13:$U$19,EM$12))),$I43,"")</f>
        <v/>
      </c>
      <c r="EN43" s="582" t="str">
        <f>IF(AND(EN$12&gt;=$E43,EN$12&lt;=$F43,MOD(EN$12,7)&gt;1,NOT(COUNTIF(General!$U$13:$U$19,EN$12))),$I43,"")</f>
        <v/>
      </c>
      <c r="EO43" s="582" t="str">
        <f>IF(AND(EO$12&gt;=$E43,EO$12&lt;=$F43,MOD(EO$12,7)&gt;1,NOT(COUNTIF(General!$U$13:$U$19,EO$12))),$I43,"")</f>
        <v/>
      </c>
      <c r="EP43" s="582" t="str">
        <f>IF(AND(EP$12&gt;=$E43,EP$12&lt;=$F43,MOD(EP$12,7)&gt;1,NOT(COUNTIF(General!$U$13:$U$19,EP$12))),$I43,"")</f>
        <v/>
      </c>
      <c r="EQ43" s="582" t="str">
        <f>IF(AND(EQ$12&gt;=$E43,EQ$12&lt;=$F43,MOD(EQ$12,7)&gt;1,NOT(COUNTIF(General!$U$13:$U$19,EQ$12))),$I43,"")</f>
        <v/>
      </c>
      <c r="ER43" s="593" t="str">
        <f>IF(AND(ER$12&gt;=$E43,ER$12&lt;=$F43,MOD(ER$12,7)&gt;1,NOT(COUNTIF(General!$U$13:$U$19,ER$12))),$I43,"")</f>
        <v/>
      </c>
      <c r="ES43" s="593" t="str">
        <f>IF(AND(ES$12&gt;=$E43,ES$12&lt;=$F43,MOD(ES$12,7)&gt;1,NOT(COUNTIF(General!$U$13:$U$19,ES$12))),$I43,"")</f>
        <v/>
      </c>
      <c r="ET43" s="582" t="str">
        <f>IF(AND(ET$12&gt;=$E43,ET$12&lt;=$F43,MOD(ET$12,7)&gt;1,NOT(COUNTIF(General!$U$13:$U$19,ET$12))),$I43,"")</f>
        <v/>
      </c>
      <c r="EU43" s="582" t="str">
        <f>IF(AND(EU$12&gt;=$E43,EU$12&lt;=$F43,MOD(EU$12,7)&gt;1,NOT(COUNTIF(General!$U$13:$U$19,EU$12))),$I43,"")</f>
        <v/>
      </c>
      <c r="EV43" s="582" t="str">
        <f>IF(AND(EV$12&gt;=$E43,EV$12&lt;=$F43,MOD(EV$12,7)&gt;1,NOT(COUNTIF(General!$U$13:$U$19,EV$12))),$I43,"")</f>
        <v/>
      </c>
      <c r="EW43" s="582" t="str">
        <f>IF(AND(EW$12&gt;=$E43,EW$12&lt;=$F43,MOD(EW$12,7)&gt;1,NOT(COUNTIF(General!$U$13:$U$19,EW$12))),$I43,"")</f>
        <v/>
      </c>
      <c r="EX43" s="582" t="str">
        <f>IF(AND(EX$12&gt;=$E43,EX$12&lt;=$F43,MOD(EX$12,7)&gt;1,NOT(COUNTIF(General!$U$13:$U$19,EX$12))),$I43,"")</f>
        <v/>
      </c>
      <c r="EY43" s="593" t="str">
        <f>IF(AND(EY$12&gt;=$E43,EY$12&lt;=$F43,MOD(EY$12,7)&gt;1,NOT(COUNTIF(General!$U$13:$U$19,EY$12))),$I43,"")</f>
        <v/>
      </c>
      <c r="EZ43" s="593" t="str">
        <f>IF(AND(EZ$12&gt;=$E43,EZ$12&lt;=$F43,MOD(EZ$12,7)&gt;1,NOT(COUNTIF(General!$U$13:$U$19,EZ$12))),$I43,"")</f>
        <v/>
      </c>
      <c r="FA43" s="582" t="str">
        <f>IF(AND(FA$12&gt;=$E43,FA$12&lt;=$F43,MOD(FA$12,7)&gt;1,NOT(COUNTIF(General!$U$13:$U$19,FA$12))),$I43,"")</f>
        <v/>
      </c>
      <c r="FB43" s="582" t="str">
        <f>IF(AND(FB$12&gt;=$E43,FB$12&lt;=$F43,MOD(FB$12,7)&gt;1,NOT(COUNTIF(General!$U$13:$U$19,FB$12))),$I43,"")</f>
        <v/>
      </c>
      <c r="FC43" s="582" t="str">
        <f>IF(AND(FC$12&gt;=$E43,FC$12&lt;=$F43,MOD(FC$12,7)&gt;1,NOT(COUNTIF(General!$U$13:$U$19,FC$12))),$I43,"")</f>
        <v/>
      </c>
      <c r="FD43" s="582" t="str">
        <f>IF(AND(FD$12&gt;=$E43,FD$12&lt;=$F43,MOD(FD$12,7)&gt;1,NOT(COUNTIF(General!$U$13:$U$19,FD$12))),$I43,"")</f>
        <v/>
      </c>
      <c r="FE43" s="582" t="str">
        <f>IF(AND(FE$12&gt;=$E43,FE$12&lt;=$F43,MOD(FE$12,7)&gt;1,NOT(COUNTIF(General!$U$13:$U$19,FE$12))),$I43,"")</f>
        <v/>
      </c>
      <c r="FF43" s="593" t="str">
        <f>IF(AND(FF$12&gt;=$E43,FF$12&lt;=$F43,MOD(FF$12,7)&gt;1,NOT(COUNTIF(General!$U$13:$U$19,FF$12))),$I43,"")</f>
        <v/>
      </c>
      <c r="FG43" s="593" t="str">
        <f>IF(AND(FG$12&gt;=$E43,FG$12&lt;=$F43,MOD(FG$12,7)&gt;1,NOT(COUNTIF(General!$U$13:$U$19,FG$12))),$I43,"")</f>
        <v/>
      </c>
      <c r="FH43" s="582" t="str">
        <f>IF(AND(FH$12&gt;=$E43,FH$12&lt;=$F43,MOD(FH$12,7)&gt;1,NOT(COUNTIF(General!$U$13:$U$19,FH$12))),$I43,"")</f>
        <v/>
      </c>
      <c r="FI43" s="582" t="str">
        <f>IF(AND(FI$12&gt;=$E43,FI$12&lt;=$F43,MOD(FI$12,7)&gt;1,NOT(COUNTIF(General!$U$13:$U$19,FI$12))),$I43,"")</f>
        <v/>
      </c>
      <c r="FJ43" s="582" t="str">
        <f>IF(AND(FJ$12&gt;=$E43,FJ$12&lt;=$F43,MOD(FJ$12,7)&gt;1,NOT(COUNTIF(General!$U$13:$U$19,FJ$12))),$I43,"")</f>
        <v/>
      </c>
      <c r="FK43" s="582" t="str">
        <f>IF(AND(FK$12&gt;=$E43,FK$12&lt;=$F43,MOD(FK$12,7)&gt;1,NOT(COUNTIF(General!$U$13:$U$19,FK$12))),$I43,"")</f>
        <v/>
      </c>
      <c r="FL43" s="582" t="str">
        <f>IF(AND(FL$12&gt;=$E43,FL$12&lt;=$F43,MOD(FL$12,7)&gt;1,NOT(COUNTIF(General!$U$13:$U$19,FL$12))),$I43,"")</f>
        <v/>
      </c>
      <c r="FM43" s="593" t="str">
        <f>IF(AND(FM$12&gt;=$E43,FM$12&lt;=$F43,MOD(FM$12,7)&gt;1,NOT(COUNTIF(General!$U$13:$U$19,FM$12))),$I43,"")</f>
        <v/>
      </c>
      <c r="FN43" s="593" t="str">
        <f>IF(AND(FN$12&gt;=$E43,FN$12&lt;=$F43,MOD(FN$12,7)&gt;1,NOT(COUNTIF(General!$U$13:$U$19,FN$12))),$I43,"")</f>
        <v/>
      </c>
      <c r="FO43" s="582" t="str">
        <f>IF(AND(FO$12&gt;=$E43,FO$12&lt;=$F43,MOD(FO$12,7)&gt;1,NOT(COUNTIF(General!$U$13:$U$19,FO$12))),$I43,"")</f>
        <v/>
      </c>
      <c r="FP43" s="582" t="str">
        <f>IF(AND(FP$12&gt;=$E43,FP$12&lt;=$F43,MOD(FP$12,7)&gt;1,NOT(COUNTIF(General!$U$13:$U$19,FP$12))),$I43,"")</f>
        <v/>
      </c>
      <c r="FQ43" s="582" t="str">
        <f>IF(AND(FQ$12&gt;=$E43,FQ$12&lt;=$F43,MOD(FQ$12,7)&gt;1,NOT(COUNTIF(General!$U$13:$U$19,FQ$12))),$I43,"")</f>
        <v/>
      </c>
      <c r="FR43" s="582" t="str">
        <f>IF(AND(FR$12&gt;=$E43,FR$12&lt;=$F43,MOD(FR$12,7)&gt;1,NOT(COUNTIF(General!$U$13:$U$19,FR$12))),$I43,"")</f>
        <v/>
      </c>
      <c r="FS43" s="582" t="str">
        <f>IF(AND(FS$12&gt;=$E43,FS$12&lt;=$F43,MOD(FS$12,7)&gt;1,NOT(COUNTIF(General!$U$13:$U$19,FS$12))),$I43,"")</f>
        <v/>
      </c>
      <c r="FT43" s="593" t="str">
        <f>IF(AND(FT$12&gt;=$E43,FT$12&lt;=$F43,MOD(FT$12,7)&gt;1,NOT(COUNTIF(General!$U$13:$U$19,FT$12))),$I43,"")</f>
        <v/>
      </c>
      <c r="FU43" s="593" t="str">
        <f>IF(AND(FU$12&gt;=$E43,FU$12&lt;=$F43,MOD(FU$12,7)&gt;1,NOT(COUNTIF(General!$U$13:$U$19,FU$12))),$I43,"")</f>
        <v/>
      </c>
      <c r="FV43" s="582" t="str">
        <f>IF(AND(FV$12&gt;=$E43,FV$12&lt;=$F43,MOD(FV$12,7)&gt;1,NOT(COUNTIF(General!$U$13:$U$19,FV$12))),$I43,"")</f>
        <v/>
      </c>
      <c r="FW43" s="582" t="str">
        <f>IF(AND(FW$12&gt;=$E43,FW$12&lt;=$F43,MOD(FW$12,7)&gt;1,NOT(COUNTIF(General!$U$13:$U$19,FW$12))),$I43,"")</f>
        <v/>
      </c>
      <c r="FX43" s="582" t="str">
        <f>IF(AND(FX$12&gt;=$E43,FX$12&lt;=$F43,MOD(FX$12,7)&gt;1,NOT(COUNTIF(General!$U$13:$U$19,FX$12))),$I43,"")</f>
        <v/>
      </c>
    </row>
    <row r="44" ht="16.5" customHeight="1">
      <c r="A44" s="368">
        <v>389748.0</v>
      </c>
      <c r="B44" s="369" t="s">
        <v>587</v>
      </c>
      <c r="C44" s="370"/>
      <c r="D44" s="576" t="s">
        <v>574</v>
      </c>
      <c r="E44" s="583">
        <v>43822.0</v>
      </c>
      <c r="F44" s="374">
        <f>WORKDAY(E44,ROUNDUP(G44/I44,0),General!$U$13:$U$27)-1</f>
        <v>43823</v>
      </c>
      <c r="G44" s="375">
        <v>2.0</v>
      </c>
      <c r="H44" s="377"/>
      <c r="I44" s="379">
        <v>1.0</v>
      </c>
      <c r="J44" s="379"/>
      <c r="K44" s="381"/>
      <c r="L44" s="382"/>
      <c r="M44" s="383"/>
      <c r="N44" s="384"/>
      <c r="O44" s="386"/>
      <c r="P44" s="388"/>
      <c r="Q44" s="390" t="str">
        <f>IF(AND(Q$12&gt;=$E44,Q$12&lt;=$F44,MOD(Q$12,7)&gt;1,NOT(COUNTIF(General!$U$13:$U$19,Q$12))),$I44,"")</f>
        <v/>
      </c>
      <c r="R44" s="390" t="str">
        <f>IF(AND(R$12&gt;=$E44,R$12&lt;=$F44,MOD(R$12,7)&gt;1,NOT(COUNTIF(General!$U$13:$U$19,R$12))),$I44,"")</f>
        <v/>
      </c>
      <c r="S44" s="390" t="str">
        <f>IF(AND(S$12&gt;=$E44,S$12&lt;=$F44,MOD(S$12,7)&gt;1,NOT(COUNTIF(General!$U$13:$U$19,S$12))),$I44,"")</f>
        <v/>
      </c>
      <c r="T44" s="390" t="str">
        <f>IF(AND(T$12&gt;=$E44,T$12&lt;=$F44,MOD(T$12,7)&gt;1,NOT(COUNTIF(General!$U$13:$U$19,T$12))),$I44,"")</f>
        <v/>
      </c>
      <c r="U44" s="390" t="str">
        <f>IF(AND(U$12&gt;=$E44,U$12&lt;=$F44,MOD(U$12,7)&gt;1,NOT(COUNTIF(General!$U$13:$U$19,U$12))),$I44,"")</f>
        <v/>
      </c>
      <c r="V44" s="390" t="str">
        <f>IF(AND(V$12&gt;=$E44,V$12&lt;=$F44,MOD(V$12,7)&gt;1,NOT(COUNTIF(General!$U$13:$U$19,V$12))),$I44,"")</f>
        <v/>
      </c>
      <c r="W44" s="390" t="str">
        <f>IF(AND(W$12&gt;=$E44,W$12&lt;=$F44,MOD(W$12,7)&gt;1,NOT(COUNTIF(General!$U$13:$U$19,W$12))),$I44,"")</f>
        <v/>
      </c>
      <c r="X44" s="390" t="str">
        <f>IF(AND(X$12&gt;=$E44,X$12&lt;=$F44,MOD(X$12,7)&gt;1,NOT(COUNTIF(General!$U$13:$U$19,X$12))),$I44,"")</f>
        <v/>
      </c>
      <c r="Y44" s="390" t="str">
        <f>IF(AND(Y$12&gt;=$E44,Y$12&lt;=$F44,MOD(Y$12,7)&gt;1,NOT(COUNTIF(General!$U$13:$U$19,Y$12))),$I44,"")</f>
        <v/>
      </c>
      <c r="Z44" s="390" t="str">
        <f>IF(AND(Z$12&gt;=$E44,Z$12&lt;=$F44,MOD(Z$12,7)&gt;1,NOT(COUNTIF(General!$U$13:$U$19,Z$12))),$I44,"")</f>
        <v/>
      </c>
      <c r="AA44" s="390" t="str">
        <f>IF(AND(AA$12&gt;=$E44,AA$12&lt;=$F44,MOD(AA$12,7)&gt;1,NOT(COUNTIF(General!$U$13:$U$19,AA$12))),$I44,"")</f>
        <v/>
      </c>
      <c r="AB44" s="390" t="str">
        <f>IF(AND(AB$12&gt;=$E44,AB$12&lt;=$F44,MOD(AB$12,7)&gt;1,NOT(COUNTIF(General!$U$13:$U$19,AB$12))),$I44,"")</f>
        <v/>
      </c>
      <c r="AC44" s="390" t="str">
        <f>IF(AND(AC$12&gt;=$E44,AC$12&lt;=$F44,MOD(AC$12,7)&gt;1,NOT(COUNTIF(General!$U$13:$U$19,AC$12))),$I44,"")</f>
        <v/>
      </c>
      <c r="AD44" s="390" t="str">
        <f>IF(AND(AD$12&gt;=$E44,AD$12&lt;=$F44,MOD(AD$12,7)&gt;1,NOT(COUNTIF(General!$U$13:$U$19,AD$12))),$I44,"")</f>
        <v/>
      </c>
      <c r="AE44" s="390" t="str">
        <f>IF(AND(AE$12&gt;=$E44,AE$12&lt;=$F44,MOD(AE$12,7)&gt;1,NOT(COUNTIF(General!$U$13:$U$19,AE$12))),$I44,"")</f>
        <v/>
      </c>
      <c r="AF44" s="390" t="str">
        <f>IF(AND(AF$12&gt;=$E44,AF$12&lt;=$F44,MOD(AF$12,7)&gt;1,NOT(COUNTIF(General!$U$13:$U$19,AF$12))),$I44,"")</f>
        <v/>
      </c>
      <c r="AG44" s="390" t="str">
        <f>IF(AND(AG$12&gt;=$E44,AG$12&lt;=$F44,MOD(AG$12,7)&gt;1,NOT(COUNTIF(General!$U$13:$U$19,AG$12))),$I44,"")</f>
        <v/>
      </c>
      <c r="AH44" s="390" t="str">
        <f>IF(AND(AH$12&gt;=$E44,AH$12&lt;=$F44,MOD(AH$12,7)&gt;1,NOT(COUNTIF(General!$U$13:$U$19,AH$12))),$I44,"")</f>
        <v/>
      </c>
      <c r="AI44" s="390" t="str">
        <f>IF(AND(AI$12&gt;=$E44,AI$12&lt;=$F44,MOD(AI$12,7)&gt;1,NOT(COUNTIF(General!$U$13:$U$19,AI$12))),$I44,"")</f>
        <v/>
      </c>
      <c r="AJ44" s="390" t="str">
        <f>IF(AND(AJ$12&gt;=$E44,AJ$12&lt;=$F44,MOD(AJ$12,7)&gt;1,NOT(COUNTIF(General!$U$13:$U$19,AJ$12))),$I44,"")</f>
        <v/>
      </c>
      <c r="AK44" s="390" t="str">
        <f>IF(AND(AK$12&gt;=$E44,AK$12&lt;=$F44,MOD(AK$12,7)&gt;1,NOT(COUNTIF(General!$U$13:$U$19,AK$12))),$I44,"")</f>
        <v/>
      </c>
      <c r="AL44" s="390">
        <f>IF(AND(AL$12&gt;=$E44,AL$12&lt;=$F44,MOD(AL$12,7)&gt;1,NOT(COUNTIF(General!$U$13:$U$19,AL$12))),$I44,"")</f>
        <v>1</v>
      </c>
      <c r="AM44" s="390">
        <f>IF(AND(AM$12&gt;=$E44,AM$12&lt;=$F44,MOD(AM$12,7)&gt;1,NOT(COUNTIF(General!$U$13:$U$19,AM$12))),$I44,"")</f>
        <v>1</v>
      </c>
      <c r="AN44" s="390" t="str">
        <f>IF(AND(AN$12&gt;=$E44,AN$12&lt;=$F44,MOD(AN$12,7)&gt;1,NOT(COUNTIF(General!$U$13:$U$19,AN$12))),$I44,"")</f>
        <v/>
      </c>
      <c r="AO44" s="390" t="str">
        <f>IF(AND(AO$12&gt;=$E44,AO$12&lt;=$F44,MOD(AO$12,7)&gt;1,NOT(COUNTIF(General!$U$13:$U$19,AO$12))),$I44,"")</f>
        <v/>
      </c>
      <c r="AP44" s="390" t="str">
        <f>IF(AND(AP$12&gt;=$E44,AP$12&lt;=$F44,MOD(AP$12,7)&gt;1,NOT(COUNTIF(General!$U$13:$U$19,AP$12))),$I44,"")</f>
        <v/>
      </c>
      <c r="AQ44" s="390" t="str">
        <f>IF(AND(AQ$12&gt;=$E44,AQ$12&lt;=$F44,MOD(AQ$12,7)&gt;1,NOT(COUNTIF(General!$U$13:$U$19,AQ$12))),$I44,"")</f>
        <v/>
      </c>
      <c r="AR44" s="390" t="str">
        <f>IF(AND(AR$12&gt;=$E44,AR$12&lt;=$F44,MOD(AR$12,7)&gt;1,NOT(COUNTIF(General!$U$13:$U$19,AR$12))),$I44,"")</f>
        <v/>
      </c>
      <c r="AS44" s="390" t="str">
        <f>IF(AND(AS$12&gt;=$E44,AS$12&lt;=$F44,MOD(AS$12,7)&gt;1,NOT(COUNTIF(General!$U$13:$U$19,AS$12))),$I44,"")</f>
        <v/>
      </c>
      <c r="AT44" s="390" t="str">
        <f>IF(AND(AT$12&gt;=$E44,AT$12&lt;=$F44,MOD(AT$12,7)&gt;1,NOT(COUNTIF(General!$U$13:$U$19,AT$12))),$I44,"")</f>
        <v/>
      </c>
      <c r="AU44" s="390" t="str">
        <f>IF(AND(AU$12&gt;=$E44,AU$12&lt;=$F44,MOD(AU$12,7)&gt;1,NOT(COUNTIF(General!$U$13:$U$19,AU$12))),$I44,"")</f>
        <v/>
      </c>
      <c r="AV44" s="390" t="str">
        <f>IF(AND(AV$12&gt;=$E44,AV$12&lt;=$F44,MOD(AV$12,7)&gt;1,NOT(COUNTIF(General!$U$13:$U$19,AV$12))),$I44,"")</f>
        <v/>
      </c>
      <c r="AW44" s="390" t="str">
        <f>IF(AND(AW$12&gt;=$E44,AW$12&lt;=$F44,MOD(AW$12,7)&gt;1,NOT(COUNTIF(General!$U$13:$U$19,AW$12))),$I44,"")</f>
        <v/>
      </c>
      <c r="AX44" s="390" t="str">
        <f>IF(AND(AX$12&gt;=$E44,AX$12&lt;=$F44,MOD(AX$12,7)&gt;1,NOT(COUNTIF(General!$U$13:$U$19,AX$12))),$I44,"")</f>
        <v/>
      </c>
      <c r="AY44" s="390" t="str">
        <f>IF(AND(AY$12&gt;=$E44,AY$12&lt;=$F44,MOD(AY$12,7)&gt;1,NOT(COUNTIF(General!$U$13:$U$19,AY$12))),$I44,"")</f>
        <v/>
      </c>
      <c r="AZ44" s="390" t="str">
        <f>IF(AND(AZ$12&gt;=$E44,AZ$12&lt;=$F44,MOD(AZ$12,7)&gt;1,NOT(COUNTIF(General!$U$13:$U$19,AZ$12))),$I44,"")</f>
        <v/>
      </c>
      <c r="BA44" s="390" t="str">
        <f>IF(AND(BA$12&gt;=$E44,BA$12&lt;=$F44,MOD(BA$12,7)&gt;1,NOT(COUNTIF(General!$U$13:$U$19,BA$12))),$I44,"")</f>
        <v/>
      </c>
      <c r="BB44" s="390" t="str">
        <f>IF(AND(BB$12&gt;=$E44,BB$12&lt;=$F44,MOD(BB$12,7)&gt;1,NOT(COUNTIF(General!$U$13:$U$19,BB$12))),$I44,"")</f>
        <v/>
      </c>
      <c r="BC44" s="390" t="str">
        <f>IF(AND(BC$12&gt;=$E44,BC$12&lt;=$F44,MOD(BC$12,7)&gt;1,NOT(COUNTIF(General!$U$13:$U$19,BC$12))),$I44,"")</f>
        <v/>
      </c>
      <c r="BD44" s="390" t="str">
        <f>IF(AND(BD$12&gt;=$E44,BD$12&lt;=$F44,MOD(BD$12,7)&gt;1,NOT(COUNTIF(General!$U$13:$U$19,BD$12))),$I44,"")</f>
        <v/>
      </c>
      <c r="BE44" s="390" t="str">
        <f>IF(AND(BE$12&gt;=$E44,BE$12&lt;=$F44,MOD(BE$12,7)&gt;1,NOT(COUNTIF(General!$U$13:$U$19,BE$12))),$I44,"")</f>
        <v/>
      </c>
      <c r="BF44" s="390" t="str">
        <f>IF(AND(BF$12&gt;=$E44,BF$12&lt;=$F44,MOD(BF$12,7)&gt;1,NOT(COUNTIF(General!$U$13:$U$19,BF$12))),$I44,"")</f>
        <v/>
      </c>
      <c r="BG44" s="390" t="str">
        <f>IF(AND(BG$12&gt;=$E44,BG$12&lt;=$F44,MOD(BG$12,7)&gt;1,NOT(COUNTIF(General!$U$13:$U$19,BG$12))),$I44,"")</f>
        <v/>
      </c>
      <c r="BH44" s="390" t="str">
        <f>IF(AND(BH$12&gt;=$E44,BH$12&lt;=$F44,MOD(BH$12,7)&gt;1,NOT(COUNTIF(General!$U$13:$U$19,BH$12))),$I44,"")</f>
        <v/>
      </c>
      <c r="BI44" s="390" t="str">
        <f>IF(AND(BI$12&gt;=$E44,BI$12&lt;=$F44,MOD(BI$12,7)&gt;1,NOT(COUNTIF(General!$U$13:$U$19,BI$12))),$I44,"")</f>
        <v/>
      </c>
      <c r="BJ44" s="390" t="str">
        <f>IF(AND(BJ$12&gt;=$E44,BJ$12&lt;=$F44,MOD(BJ$12,7)&gt;1,NOT(COUNTIF(General!$U$13:$U$19,BJ$12))),$I44,"")</f>
        <v/>
      </c>
      <c r="BK44" s="390" t="str">
        <f>IF(AND(BK$12&gt;=$E44,BK$12&lt;=$F44,MOD(BK$12,7)&gt;1,NOT(COUNTIF(General!$U$13:$U$19,BK$12))),$I44,"")</f>
        <v/>
      </c>
      <c r="BL44" s="390" t="str">
        <f>IF(AND(BL$12&gt;=$E44,BL$12&lt;=$F44,MOD(BL$12,7)&gt;1,NOT(COUNTIF(General!$U$13:$U$19,BL$12))),$I44,"")</f>
        <v/>
      </c>
      <c r="BM44" s="390" t="str">
        <f>IF(AND(BM$12&gt;=$E44,BM$12&lt;=$F44,MOD(BM$12,7)&gt;1,NOT(COUNTIF(General!$U$13:$U$19,BM$12))),$I44,"")</f>
        <v/>
      </c>
      <c r="BN44" s="390" t="str">
        <f>IF(AND(BN$12&gt;=$E44,BN$12&lt;=$F44,MOD(BN$12,7)&gt;1,NOT(COUNTIF(General!$U$13:$U$19,BN$12))),$I44,"")</f>
        <v/>
      </c>
      <c r="BO44" s="390" t="str">
        <f>IF(AND(BO$12&gt;=$E44,BO$12&lt;=$F44,MOD(BO$12,7)&gt;1,NOT(COUNTIF(General!$U$13:$U$19,BO$12))),$I44,"")</f>
        <v/>
      </c>
      <c r="BP44" s="390" t="str">
        <f>IF(AND(BP$12&gt;=$E44,BP$12&lt;=$F44,MOD(BP$12,7)&gt;1,NOT(COUNTIF(General!$U$13:$U$19,BP$12))),$I44,"")</f>
        <v/>
      </c>
      <c r="BQ44" s="390" t="str">
        <f>IF(AND(BQ$12&gt;=$E44,BQ$12&lt;=$F44,MOD(BQ$12,7)&gt;1,NOT(COUNTIF(General!$U$13:$U$19,BQ$12))),$I44,"")</f>
        <v/>
      </c>
      <c r="BR44" s="390" t="str">
        <f>IF(AND(BR$12&gt;=$E44,BR$12&lt;=$F44,MOD(BR$12,7)&gt;1,NOT(COUNTIF(General!$U$13:$U$19,BR$12))),$I44,"")</f>
        <v/>
      </c>
      <c r="BS44" s="390" t="str">
        <f>IF(AND(BS$12&gt;=$E44,BS$12&lt;=$F44,MOD(BS$12,7)&gt;1,NOT(COUNTIF(General!$U$13:$U$19,BS$12))),$I44,"")</f>
        <v/>
      </c>
      <c r="BT44" s="390" t="str">
        <f>IF(AND(BT$12&gt;=$E44,BT$12&lt;=$F44,MOD(BT$12,7)&gt;1,NOT(COUNTIF(General!$U$13:$U$19,BT$12))),$I44,"")</f>
        <v/>
      </c>
      <c r="BU44" s="390" t="str">
        <f>IF(AND(BU$12&gt;=$E44,BU$12&lt;=$F44,MOD(BU$12,7)&gt;1,NOT(COUNTIF(General!$U$13:$U$19,BU$12))),$I44,"")</f>
        <v/>
      </c>
      <c r="BV44" s="390" t="str">
        <f>IF(AND(BV$12&gt;=$E44,BV$12&lt;=$F44,MOD(BV$12,7)&gt;1,NOT(COUNTIF(General!$U$13:$U$19,BV$12))),$I44,"")</f>
        <v/>
      </c>
      <c r="BW44" s="390" t="str">
        <f>IF(AND(BW$12&gt;=$E44,BW$12&lt;=$F44,MOD(BW$12,7)&gt;1,NOT(COUNTIF(General!$U$13:$U$19,BW$12))),$I44,"")</f>
        <v/>
      </c>
      <c r="BX44" s="390" t="str">
        <f>IF(AND(BX$12&gt;=$E44,BX$12&lt;=$F44,MOD(BX$12,7)&gt;1,NOT(COUNTIF(General!$U$13:$U$19,BX$12))),$I44,"")</f>
        <v/>
      </c>
      <c r="BY44" s="390" t="str">
        <f>IF(AND(BY$12&gt;=$E44,BY$12&lt;=$F44,MOD(BY$12,7)&gt;1,NOT(COUNTIF(General!$U$13:$U$19,BY$12))),$I44,"")</f>
        <v/>
      </c>
      <c r="BZ44" s="390" t="str">
        <f>IF(AND(BZ$12&gt;=$E44,BZ$12&lt;=$F44,MOD(BZ$12,7)&gt;1,NOT(COUNTIF(General!$U$13:$U$19,BZ$12))),$I44,"")</f>
        <v/>
      </c>
      <c r="CA44" s="390" t="str">
        <f>IF(AND(CA$12&gt;=$E44,CA$12&lt;=$F44,MOD(CA$12,7)&gt;1,NOT(COUNTIF(General!$U$13:$U$19,CA$12))),$I44,"")</f>
        <v/>
      </c>
      <c r="CB44" s="390" t="str">
        <f>IF(AND(CB$12&gt;=$E44,CB$12&lt;=$F44,MOD(CB$12,7)&gt;1,NOT(COUNTIF(General!$U$13:$U$19,CB$12))),$I44,"")</f>
        <v/>
      </c>
      <c r="CC44" s="390" t="str">
        <f>IF(AND(CC$12&gt;=$E44,CC$12&lt;=$F44,MOD(CC$12,7)&gt;1,NOT(COUNTIF(General!$U$13:$U$19,CC$12))),$I44,"")</f>
        <v/>
      </c>
      <c r="CD44" s="390" t="str">
        <f>IF(AND(CD$12&gt;=$E44,CD$12&lt;=$F44,MOD(CD$12,7)&gt;1,NOT(COUNTIF(General!$U$13:$U$19,CD$12))),$I44,"")</f>
        <v/>
      </c>
      <c r="CE44" s="390" t="str">
        <f>IF(AND(CE$12&gt;=$E44,CE$12&lt;=$F44,MOD(CE$12,7)&gt;1,NOT(COUNTIF(General!$U$13:$U$19,CE$12))),$I44,"")</f>
        <v/>
      </c>
      <c r="CF44" s="390" t="str">
        <f>IF(AND(CF$12&gt;=$E44,CF$12&lt;=$F44,MOD(CF$12,7)&gt;1,NOT(COUNTIF(General!$U$13:$U$19,CF$12))),$I44,"")</f>
        <v/>
      </c>
      <c r="CG44" s="390" t="str">
        <f>IF(AND(CG$12&gt;=$E44,CG$12&lt;=$F44,MOD(CG$12,7)&gt;1,NOT(COUNTIF(General!$U$13:$U$19,CG$12))),$I44,"")</f>
        <v/>
      </c>
      <c r="CH44" s="390" t="str">
        <f>IF(AND(CH$12&gt;=$E44,CH$12&lt;=$F44,MOD(CH$12,7)&gt;1,NOT(COUNTIF(General!$U$13:$U$19,CH$12))),$I44,"")</f>
        <v/>
      </c>
      <c r="CI44" s="390" t="str">
        <f>IF(AND(CI$12&gt;=$E44,CI$12&lt;=$F44,MOD(CI$12,7)&gt;1,NOT(COUNTIF(General!$U$13:$U$19,CI$12))),$I44,"")</f>
        <v/>
      </c>
      <c r="CJ44" s="390" t="str">
        <f>IF(AND(CJ$12&gt;=$E44,CJ$12&lt;=$F44,MOD(CJ$12,7)&gt;1,NOT(COUNTIF(General!$U$13:$U$19,CJ$12))),$I44,"")</f>
        <v/>
      </c>
      <c r="CK44" s="390" t="str">
        <f>IF(AND(CK$12&gt;=$E44,CK$12&lt;=$F44,MOD(CK$12,7)&gt;1,NOT(COUNTIF(General!$U$13:$U$19,CK$12))),$I44,"")</f>
        <v/>
      </c>
      <c r="CL44" s="390" t="str">
        <f>IF(AND(CL$12&gt;=$E44,CL$12&lt;=$F44,MOD(CL$12,7)&gt;1,NOT(COUNTIF(General!$U$13:$U$19,CL$12))),$I44,"")</f>
        <v/>
      </c>
      <c r="CM44" s="390" t="str">
        <f>IF(AND(CM$12&gt;=$E44,CM$12&lt;=$F44,MOD(CM$12,7)&gt;1,NOT(COUNTIF(General!$U$13:$U$19,CM$12))),$I44,"")</f>
        <v/>
      </c>
      <c r="CN44" s="390" t="str">
        <f>IF(AND(CN$12&gt;=$E44,CN$12&lt;=$F44,MOD(CN$12,7)&gt;1,NOT(COUNTIF(General!$U$13:$U$19,CN$12))),$I44,"")</f>
        <v/>
      </c>
      <c r="CO44" s="390" t="str">
        <f>IF(AND(CO$12&gt;=$E44,CO$12&lt;=$F44,MOD(CO$12,7)&gt;1,NOT(COUNTIF(General!$U$13:$U$19,CO$12))),$I44,"")</f>
        <v/>
      </c>
      <c r="CP44" s="390" t="str">
        <f>IF(AND(CP$12&gt;=$E44,CP$12&lt;=$F44,MOD(CP$12,7)&gt;1,NOT(COUNTIF(General!$U$13:$U$19,CP$12))),$I44,"")</f>
        <v/>
      </c>
      <c r="CQ44" s="390" t="str">
        <f>IF(AND(CQ$12&gt;=$E44,CQ$12&lt;=$F44,MOD(CQ$12,7)&gt;1,NOT(COUNTIF(General!$U$13:$U$19,CQ$12))),$I44,"")</f>
        <v/>
      </c>
      <c r="CR44" s="390" t="str">
        <f>IF(AND(CR$12&gt;=$E44,CR$12&lt;=$F44,MOD(CR$12,7)&gt;1,NOT(COUNTIF(General!$U$13:$U$19,CR$12))),$I44,"")</f>
        <v/>
      </c>
      <c r="CS44" s="390" t="str">
        <f>IF(AND(CS$12&gt;=$E44,CS$12&lt;=$F44,MOD(CS$12,7)&gt;1,NOT(COUNTIF(General!$U$13:$U$19,CS$12))),$I44,"")</f>
        <v/>
      </c>
      <c r="CT44" s="390" t="str">
        <f>IF(AND(CT$12&gt;=$E44,CT$12&lt;=$F44,MOD(CT$12,7)&gt;1,NOT(COUNTIF(General!$U$13:$U$19,CT$12))),$I44,"")</f>
        <v/>
      </c>
      <c r="CU44" s="390" t="str">
        <f>IF(AND(CU$12&gt;=$E44,CU$12&lt;=$F44,MOD(CU$12,7)&gt;1,NOT(COUNTIF(General!$U$13:$U$19,CU$12))),$I44,"")</f>
        <v/>
      </c>
      <c r="CV44" s="390" t="str">
        <f>IF(AND(CV$12&gt;=$E44,CV$12&lt;=$F44,MOD(CV$12,7)&gt;1,NOT(COUNTIF(General!$U$13:$U$19,CV$12))),$I44,"")</f>
        <v/>
      </c>
      <c r="CW44" s="390" t="str">
        <f>IF(AND(CW$12&gt;=$E44,CW$12&lt;=$F44,MOD(CW$12,7)&gt;1,NOT(COUNTIF(General!$U$13:$U$19,CW$12))),$I44,"")</f>
        <v/>
      </c>
      <c r="CX44" s="390" t="str">
        <f>IF(AND(CX$12&gt;=$E44,CX$12&lt;=$F44,MOD(CX$12,7)&gt;1,NOT(COUNTIF(General!$U$13:$U$19,CX$12))),$I44,"")</f>
        <v/>
      </c>
      <c r="CY44" s="390" t="str">
        <f>IF(AND(CY$12&gt;=$E44,CY$12&lt;=$F44,MOD(CY$12,7)&gt;1,NOT(COUNTIF(General!$U$13:$U$19,CY$12))),$I44,"")</f>
        <v/>
      </c>
      <c r="CZ44" s="390" t="str">
        <f>IF(AND(CZ$12&gt;=$E44,CZ$12&lt;=$F44,MOD(CZ$12,7)&gt;1,NOT(COUNTIF(General!$U$13:$U$19,CZ$12))),$I44,"")</f>
        <v/>
      </c>
      <c r="DA44" s="390" t="str">
        <f>IF(AND(DA$12&gt;=$E44,DA$12&lt;=$F44,MOD(DA$12,7)&gt;1,NOT(COUNTIF(General!$U$13:$U$19,DA$12))),$I44,"")</f>
        <v/>
      </c>
      <c r="DB44" s="390" t="str">
        <f>IF(AND(DB$12&gt;=$E44,DB$12&lt;=$F44,MOD(DB$12,7)&gt;1,NOT(COUNTIF(General!$U$13:$U$19,DB$12))),$I44,"")</f>
        <v/>
      </c>
      <c r="DC44" s="390" t="str">
        <f>IF(AND(DC$12&gt;=$E44,DC$12&lt;=$F44,MOD(DC$12,7)&gt;1,NOT(COUNTIF(General!$U$13:$U$19,DC$12))),$I44,"")</f>
        <v/>
      </c>
      <c r="DD44" s="390" t="str">
        <f>IF(AND(DD$12&gt;=$E44,DD$12&lt;=$F44,MOD(DD$12,7)&gt;1,NOT(COUNTIF(General!$U$13:$U$19,DD$12))),$I44,"")</f>
        <v/>
      </c>
      <c r="DE44" s="390" t="str">
        <f>IF(AND(DE$12&gt;=$E44,DE$12&lt;=$F44,MOD(DE$12,7)&gt;1,NOT(COUNTIF(General!$U$13:$U$19,DE$12))),$I44,"")</f>
        <v/>
      </c>
      <c r="DF44" s="390" t="str">
        <f>IF(AND(DF$12&gt;=$E44,DF$12&lt;=$F44,MOD(DF$12,7)&gt;1,NOT(COUNTIF(General!$U$13:$U$19,DF$12))),$I44,"")</f>
        <v/>
      </c>
      <c r="DG44" s="390" t="str">
        <f>IF(AND(DG$12&gt;=$E44,DG$12&lt;=$F44,MOD(DG$12,7)&gt;1,NOT(COUNTIF(General!$U$13:$U$19,DG$12))),$I44,"")</f>
        <v/>
      </c>
      <c r="DH44" s="390" t="str">
        <f>IF(AND(DH$12&gt;=$E44,DH$12&lt;=$F44,MOD(DH$12,7)&gt;1,NOT(COUNTIF(General!$U$13:$U$19,DH$12))),$I44,"")</f>
        <v/>
      </c>
      <c r="DI44" s="390" t="str">
        <f>IF(AND(DI$12&gt;=$E44,DI$12&lt;=$F44,MOD(DI$12,7)&gt;1,NOT(COUNTIF(General!$U$13:$U$19,DI$12))),$I44,"")</f>
        <v/>
      </c>
      <c r="DJ44" s="390" t="str">
        <f>IF(AND(DJ$12&gt;=$E44,DJ$12&lt;=$F44,MOD(DJ$12,7)&gt;1,NOT(COUNTIF(General!$U$13:$U$19,DJ$12))),$I44,"")</f>
        <v/>
      </c>
      <c r="DK44" s="390" t="str">
        <f>IF(AND(DK$12&gt;=$E44,DK$12&lt;=$F44,MOD(DK$12,7)&gt;1,NOT(COUNTIF(General!$U$13:$U$19,DK$12))),$I44,"")</f>
        <v/>
      </c>
      <c r="DL44" s="390" t="str">
        <f>IF(AND(DL$12&gt;=$E44,DL$12&lt;=$F44,MOD(DL$12,7)&gt;1,NOT(COUNTIF(General!$U$13:$U$19,DL$12))),$I44,"")</f>
        <v/>
      </c>
      <c r="DM44" s="390" t="str">
        <f>IF(AND(DM$12&gt;=$E44,DM$12&lt;=$F44,MOD(DM$12,7)&gt;1,NOT(COUNTIF(General!$U$13:$U$19,DM$12))),$I44,"")</f>
        <v/>
      </c>
      <c r="DN44" s="390" t="str">
        <f>IF(AND(DN$12&gt;=$E44,DN$12&lt;=$F44,MOD(DN$12,7)&gt;1,NOT(COUNTIF(General!$U$13:$U$19,DN$12))),$I44,"")</f>
        <v/>
      </c>
      <c r="DO44" s="390" t="str">
        <f>IF(AND(DO$12&gt;=$E44,DO$12&lt;=$F44,MOD(DO$12,7)&gt;1,NOT(COUNTIF(General!$U$13:$U$19,DO$12))),$I44,"")</f>
        <v/>
      </c>
      <c r="DP44" s="390" t="str">
        <f>IF(AND(DP$12&gt;=$E44,DP$12&lt;=$F44,MOD(DP$12,7)&gt;1,NOT(COUNTIF(General!$U$13:$U$19,DP$12))),$I44,"")</f>
        <v/>
      </c>
      <c r="DQ44" s="390" t="str">
        <f>IF(AND(DQ$12&gt;=$E44,DQ$12&lt;=$F44,MOD(DQ$12,7)&gt;1,NOT(COUNTIF(General!$U$13:$U$19,DQ$12))),$I44,"")</f>
        <v/>
      </c>
      <c r="DR44" s="390" t="str">
        <f>IF(AND(DR$12&gt;=$E44,DR$12&lt;=$F44,MOD(DR$12,7)&gt;1,NOT(COUNTIF(General!$U$13:$U$19,DR$12))),$I44,"")</f>
        <v/>
      </c>
      <c r="DS44" s="390" t="str">
        <f>IF(AND(DS$12&gt;=$E44,DS$12&lt;=$F44,MOD(DS$12,7)&gt;1,NOT(COUNTIF(General!$U$13:$U$19,DS$12))),$I44,"")</f>
        <v/>
      </c>
      <c r="DT44" s="390" t="str">
        <f>IF(AND(DT$12&gt;=$E44,DT$12&lt;=$F44,MOD(DT$12,7)&gt;1,NOT(COUNTIF(General!$U$13:$U$19,DT$12))),$I44,"")</f>
        <v/>
      </c>
      <c r="DU44" s="390" t="str">
        <f>IF(AND(DU$12&gt;=$E44,DU$12&lt;=$F44,MOD(DU$12,7)&gt;1,NOT(COUNTIF(General!$U$13:$U$19,DU$12))),$I44,"")</f>
        <v/>
      </c>
      <c r="DV44" s="390" t="str">
        <f>IF(AND(DV$12&gt;=$E44,DV$12&lt;=$F44,MOD(DV$12,7)&gt;1,NOT(COUNTIF(General!$U$13:$U$19,DV$12))),$I44,"")</f>
        <v/>
      </c>
      <c r="DW44" s="390" t="str">
        <f>IF(AND(DW$12&gt;=$E44,DW$12&lt;=$F44,MOD(DW$12,7)&gt;1,NOT(COUNTIF(General!$U$13:$U$19,DW$12))),$I44,"")</f>
        <v/>
      </c>
      <c r="DX44" s="390" t="str">
        <f>IF(AND(DX$12&gt;=$E44,DX$12&lt;=$F44,MOD(DX$12,7)&gt;1,NOT(COUNTIF(General!$U$13:$U$19,DX$12))),$I44,"")</f>
        <v/>
      </c>
      <c r="DY44" s="390" t="str">
        <f>IF(AND(DY$12&gt;=$E44,DY$12&lt;=$F44,MOD(DY$12,7)&gt;1,NOT(COUNTIF(General!$U$13:$U$19,DY$12))),$I44,"")</f>
        <v/>
      </c>
      <c r="DZ44" s="390" t="str">
        <f>IF(AND(DZ$12&gt;=$E44,DZ$12&lt;=$F44,MOD(DZ$12,7)&gt;1,NOT(COUNTIF(General!$U$13:$U$19,DZ$12))),$I44,"")</f>
        <v/>
      </c>
      <c r="EA44" s="390" t="str">
        <f>IF(AND(EA$12&gt;=$E44,EA$12&lt;=$F44,MOD(EA$12,7)&gt;1,NOT(COUNTIF(General!$U$13:$U$19,EA$12))),$I44,"")</f>
        <v/>
      </c>
      <c r="EB44" s="390" t="str">
        <f>IF(AND(EB$12&gt;=$E44,EB$12&lt;=$F44,MOD(EB$12,7)&gt;1,NOT(COUNTIF(General!$U$13:$U$19,EB$12))),$I44,"")</f>
        <v/>
      </c>
      <c r="EC44" s="390" t="str">
        <f>IF(AND(EC$12&gt;=$E44,EC$12&lt;=$F44,MOD(EC$12,7)&gt;1,NOT(COUNTIF(General!$U$13:$U$19,EC$12))),$I44,"")</f>
        <v/>
      </c>
      <c r="ED44" s="390" t="str">
        <f>IF(AND(ED$12&gt;=$E44,ED$12&lt;=$F44,MOD(ED$12,7)&gt;1,NOT(COUNTIF(General!$U$13:$U$19,ED$12))),$I44,"")</f>
        <v/>
      </c>
      <c r="EE44" s="390" t="str">
        <f>IF(AND(EE$12&gt;=$E44,EE$12&lt;=$F44,MOD(EE$12,7)&gt;1,NOT(COUNTIF(General!$U$13:$U$19,EE$12))),$I44,"")</f>
        <v/>
      </c>
      <c r="EF44" s="390" t="str">
        <f>IF(AND(EF$12&gt;=$E44,EF$12&lt;=$F44,MOD(EF$12,7)&gt;1,NOT(COUNTIF(General!$U$13:$U$19,EF$12))),$I44,"")</f>
        <v/>
      </c>
      <c r="EG44" s="390" t="str">
        <f>IF(AND(EG$12&gt;=$E44,EG$12&lt;=$F44,MOD(EG$12,7)&gt;1,NOT(COUNTIF(General!$U$13:$U$19,EG$12))),$I44,"")</f>
        <v/>
      </c>
      <c r="EH44" s="390" t="str">
        <f>IF(AND(EH$12&gt;=$E44,EH$12&lt;=$F44,MOD(EH$12,7)&gt;1,NOT(COUNTIF(General!$U$13:$U$19,EH$12))),$I44,"")</f>
        <v/>
      </c>
      <c r="EI44" s="390" t="str">
        <f>IF(AND(EI$12&gt;=$E44,EI$12&lt;=$F44,MOD(EI$12,7)&gt;1,NOT(COUNTIF(General!$U$13:$U$19,EI$12))),$I44,"")</f>
        <v/>
      </c>
      <c r="EJ44" s="390" t="str">
        <f>IF(AND(EJ$12&gt;=$E44,EJ$12&lt;=$F44,MOD(EJ$12,7)&gt;1,NOT(COUNTIF(General!$U$13:$U$19,EJ$12))),$I44,"")</f>
        <v/>
      </c>
      <c r="EK44" s="390" t="str">
        <f>IF(AND(EK$12&gt;=$E44,EK$12&lt;=$F44,MOD(EK$12,7)&gt;1,NOT(COUNTIF(General!$U$13:$U$19,EK$12))),$I44,"")</f>
        <v/>
      </c>
      <c r="EL44" s="390" t="str">
        <f>IF(AND(EL$12&gt;=$E44,EL$12&lt;=$F44,MOD(EL$12,7)&gt;1,NOT(COUNTIF(General!$U$13:$U$19,EL$12))),$I44,"")</f>
        <v/>
      </c>
      <c r="EM44" s="390" t="str">
        <f>IF(AND(EM$12&gt;=$E44,EM$12&lt;=$F44,MOD(EM$12,7)&gt;1,NOT(COUNTIF(General!$U$13:$U$19,EM$12))),$I44,"")</f>
        <v/>
      </c>
      <c r="EN44" s="390" t="str">
        <f>IF(AND(EN$12&gt;=$E44,EN$12&lt;=$F44,MOD(EN$12,7)&gt;1,NOT(COUNTIF(General!$U$13:$U$19,EN$12))),$I44,"")</f>
        <v/>
      </c>
      <c r="EO44" s="390" t="str">
        <f>IF(AND(EO$12&gt;=$E44,EO$12&lt;=$F44,MOD(EO$12,7)&gt;1,NOT(COUNTIF(General!$U$13:$U$19,EO$12))),$I44,"")</f>
        <v/>
      </c>
      <c r="EP44" s="390" t="str">
        <f>IF(AND(EP$12&gt;=$E44,EP$12&lt;=$F44,MOD(EP$12,7)&gt;1,NOT(COUNTIF(General!$U$13:$U$19,EP$12))),$I44,"")</f>
        <v/>
      </c>
      <c r="EQ44" s="390" t="str">
        <f>IF(AND(EQ$12&gt;=$E44,EQ$12&lt;=$F44,MOD(EQ$12,7)&gt;1,NOT(COUNTIF(General!$U$13:$U$19,EQ$12))),$I44,"")</f>
        <v/>
      </c>
      <c r="ER44" s="390" t="str">
        <f>IF(AND(ER$12&gt;=$E44,ER$12&lt;=$F44,MOD(ER$12,7)&gt;1,NOT(COUNTIF(General!$U$13:$U$19,ER$12))),$I44,"")</f>
        <v/>
      </c>
      <c r="ES44" s="390" t="str">
        <f>IF(AND(ES$12&gt;=$E44,ES$12&lt;=$F44,MOD(ES$12,7)&gt;1,NOT(COUNTIF(General!$U$13:$U$19,ES$12))),$I44,"")</f>
        <v/>
      </c>
      <c r="ET44" s="390" t="str">
        <f>IF(AND(ET$12&gt;=$E44,ET$12&lt;=$F44,MOD(ET$12,7)&gt;1,NOT(COUNTIF(General!$U$13:$U$19,ET$12))),$I44,"")</f>
        <v/>
      </c>
      <c r="EU44" s="390" t="str">
        <f>IF(AND(EU$12&gt;=$E44,EU$12&lt;=$F44,MOD(EU$12,7)&gt;1,NOT(COUNTIF(General!$U$13:$U$19,EU$12))),$I44,"")</f>
        <v/>
      </c>
      <c r="EV44" s="390" t="str">
        <f>IF(AND(EV$12&gt;=$E44,EV$12&lt;=$F44,MOD(EV$12,7)&gt;1,NOT(COUNTIF(General!$U$13:$U$19,EV$12))),$I44,"")</f>
        <v/>
      </c>
      <c r="EW44" s="390" t="str">
        <f>IF(AND(EW$12&gt;=$E44,EW$12&lt;=$F44,MOD(EW$12,7)&gt;1,NOT(COUNTIF(General!$U$13:$U$19,EW$12))),$I44,"")</f>
        <v/>
      </c>
      <c r="EX44" s="390" t="str">
        <f>IF(AND(EX$12&gt;=$E44,EX$12&lt;=$F44,MOD(EX$12,7)&gt;1,NOT(COUNTIF(General!$U$13:$U$19,EX$12))),$I44,"")</f>
        <v/>
      </c>
      <c r="EY44" s="390" t="str">
        <f>IF(AND(EY$12&gt;=$E44,EY$12&lt;=$F44,MOD(EY$12,7)&gt;1,NOT(COUNTIF(General!$U$13:$U$19,EY$12))),$I44,"")</f>
        <v/>
      </c>
      <c r="EZ44" s="390" t="str">
        <f>IF(AND(EZ$12&gt;=$E44,EZ$12&lt;=$F44,MOD(EZ$12,7)&gt;1,NOT(COUNTIF(General!$U$13:$U$19,EZ$12))),$I44,"")</f>
        <v/>
      </c>
      <c r="FA44" s="390" t="str">
        <f>IF(AND(FA$12&gt;=$E44,FA$12&lt;=$F44,MOD(FA$12,7)&gt;1,NOT(COUNTIF(General!$U$13:$U$19,FA$12))),$I44,"")</f>
        <v/>
      </c>
      <c r="FB44" s="390" t="str">
        <f>IF(AND(FB$12&gt;=$E44,FB$12&lt;=$F44,MOD(FB$12,7)&gt;1,NOT(COUNTIF(General!$U$13:$U$19,FB$12))),$I44,"")</f>
        <v/>
      </c>
      <c r="FC44" s="390" t="str">
        <f>IF(AND(FC$12&gt;=$E44,FC$12&lt;=$F44,MOD(FC$12,7)&gt;1,NOT(COUNTIF(General!$U$13:$U$19,FC$12))),$I44,"")</f>
        <v/>
      </c>
      <c r="FD44" s="390" t="str">
        <f>IF(AND(FD$12&gt;=$E44,FD$12&lt;=$F44,MOD(FD$12,7)&gt;1,NOT(COUNTIF(General!$U$13:$U$19,FD$12))),$I44,"")</f>
        <v/>
      </c>
      <c r="FE44" s="390" t="str">
        <f>IF(AND(FE$12&gt;=$E44,FE$12&lt;=$F44,MOD(FE$12,7)&gt;1,NOT(COUNTIF(General!$U$13:$U$19,FE$12))),$I44,"")</f>
        <v/>
      </c>
      <c r="FF44" s="390" t="str">
        <f>IF(AND(FF$12&gt;=$E44,FF$12&lt;=$F44,MOD(FF$12,7)&gt;1,NOT(COUNTIF(General!$U$13:$U$19,FF$12))),$I44,"")</f>
        <v/>
      </c>
      <c r="FG44" s="390" t="str">
        <f>IF(AND(FG$12&gt;=$E44,FG$12&lt;=$F44,MOD(FG$12,7)&gt;1,NOT(COUNTIF(General!$U$13:$U$19,FG$12))),$I44,"")</f>
        <v/>
      </c>
      <c r="FH44" s="390" t="str">
        <f>IF(AND(FH$12&gt;=$E44,FH$12&lt;=$F44,MOD(FH$12,7)&gt;1,NOT(COUNTIF(General!$U$13:$U$19,FH$12))),$I44,"")</f>
        <v/>
      </c>
      <c r="FI44" s="390" t="str">
        <f>IF(AND(FI$12&gt;=$E44,FI$12&lt;=$F44,MOD(FI$12,7)&gt;1,NOT(COUNTIF(General!$U$13:$U$19,FI$12))),$I44,"")</f>
        <v/>
      </c>
      <c r="FJ44" s="390" t="str">
        <f>IF(AND(FJ$12&gt;=$E44,FJ$12&lt;=$F44,MOD(FJ$12,7)&gt;1,NOT(COUNTIF(General!$U$13:$U$19,FJ$12))),$I44,"")</f>
        <v/>
      </c>
      <c r="FK44" s="390" t="str">
        <f>IF(AND(FK$12&gt;=$E44,FK$12&lt;=$F44,MOD(FK$12,7)&gt;1,NOT(COUNTIF(General!$U$13:$U$19,FK$12))),$I44,"")</f>
        <v/>
      </c>
      <c r="FL44" s="390" t="str">
        <f>IF(AND(FL$12&gt;=$E44,FL$12&lt;=$F44,MOD(FL$12,7)&gt;1,NOT(COUNTIF(General!$U$13:$U$19,FL$12))),$I44,"")</f>
        <v/>
      </c>
      <c r="FM44" s="390" t="str">
        <f>IF(AND(FM$12&gt;=$E44,FM$12&lt;=$F44,MOD(FM$12,7)&gt;1,NOT(COUNTIF(General!$U$13:$U$19,FM$12))),$I44,"")</f>
        <v/>
      </c>
      <c r="FN44" s="390" t="str">
        <f>IF(AND(FN$12&gt;=$E44,FN$12&lt;=$F44,MOD(FN$12,7)&gt;1,NOT(COUNTIF(General!$U$13:$U$19,FN$12))),$I44,"")</f>
        <v/>
      </c>
      <c r="FO44" s="390" t="str">
        <f>IF(AND(FO$12&gt;=$E44,FO$12&lt;=$F44,MOD(FO$12,7)&gt;1,NOT(COUNTIF(General!$U$13:$U$19,FO$12))),$I44,"")</f>
        <v/>
      </c>
      <c r="FP44" s="390" t="str">
        <f>IF(AND(FP$12&gt;=$E44,FP$12&lt;=$F44,MOD(FP$12,7)&gt;1,NOT(COUNTIF(General!$U$13:$U$19,FP$12))),$I44,"")</f>
        <v/>
      </c>
      <c r="FQ44" s="390" t="str">
        <f>IF(AND(FQ$12&gt;=$E44,FQ$12&lt;=$F44,MOD(FQ$12,7)&gt;1,NOT(COUNTIF(General!$U$13:$U$19,FQ$12))),$I44,"")</f>
        <v/>
      </c>
      <c r="FR44" s="390" t="str">
        <f>IF(AND(FR$12&gt;=$E44,FR$12&lt;=$F44,MOD(FR$12,7)&gt;1,NOT(COUNTIF(General!$U$13:$U$19,FR$12))),$I44,"")</f>
        <v/>
      </c>
      <c r="FS44" s="390" t="str">
        <f>IF(AND(FS$12&gt;=$E44,FS$12&lt;=$F44,MOD(FS$12,7)&gt;1,NOT(COUNTIF(General!$U$13:$U$19,FS$12))),$I44,"")</f>
        <v/>
      </c>
      <c r="FT44" s="390" t="str">
        <f>IF(AND(FT$12&gt;=$E44,FT$12&lt;=$F44,MOD(FT$12,7)&gt;1,NOT(COUNTIF(General!$U$13:$U$19,FT$12))),$I44,"")</f>
        <v/>
      </c>
      <c r="FU44" s="390" t="str">
        <f>IF(AND(FU$12&gt;=$E44,FU$12&lt;=$F44,MOD(FU$12,7)&gt;1,NOT(COUNTIF(General!$U$13:$U$19,FU$12))),$I44,"")</f>
        <v/>
      </c>
      <c r="FV44" s="390" t="str">
        <f>IF(AND(FV$12&gt;=$E44,FV$12&lt;=$F44,MOD(FV$12,7)&gt;1,NOT(COUNTIF(General!$U$13:$U$19,FV$12))),$I44,"")</f>
        <v/>
      </c>
      <c r="FW44" s="390" t="str">
        <f>IF(AND(FW$12&gt;=$E44,FW$12&lt;=$F44,MOD(FW$12,7)&gt;1,NOT(COUNTIF(General!$U$13:$U$19,FW$12))),$I44,"")</f>
        <v/>
      </c>
      <c r="FX44" s="390" t="str">
        <f>IF(AND(FX$12&gt;=$E44,FX$12&lt;=$F44,MOD(FX$12,7)&gt;1,NOT(COUNTIF(General!$U$13:$U$19,FX$12))),$I44,"")</f>
        <v/>
      </c>
    </row>
    <row r="45" ht="16.5" customHeight="1">
      <c r="A45" s="613"/>
      <c r="B45" s="615"/>
      <c r="C45" s="370"/>
      <c r="D45" s="617" t="s">
        <v>571</v>
      </c>
      <c r="E45" s="583">
        <v>43823.0</v>
      </c>
      <c r="F45" s="374">
        <f>WORKDAY(E45,ROUNDUP(G45/I45,0),General!$U$13:$U$27)-1</f>
        <v>43823</v>
      </c>
      <c r="G45" s="542">
        <f>G44*0.4</f>
        <v>0.8</v>
      </c>
      <c r="H45" s="377"/>
      <c r="I45" s="379">
        <v>1.0</v>
      </c>
      <c r="J45" s="379"/>
      <c r="K45" s="381"/>
      <c r="L45" s="382"/>
      <c r="M45" s="383"/>
      <c r="N45" s="384"/>
      <c r="O45" s="386"/>
      <c r="P45" s="388"/>
      <c r="Q45" s="390" t="str">
        <f>IF(AND(Q$12&gt;=$E45,Q$12&lt;=$F45,MOD(Q$12,7)&gt;1,NOT(COUNTIF(General!$U$13:$U$19,Q$12))),$I45,"")</f>
        <v/>
      </c>
      <c r="R45" s="390" t="str">
        <f>IF(AND(R$12&gt;=$E45,R$12&lt;=$F45,MOD(R$12,7)&gt;1,NOT(COUNTIF(General!$U$13:$U$19,R$12))),$I45,"")</f>
        <v/>
      </c>
      <c r="S45" s="390" t="str">
        <f>IF(AND(S$12&gt;=$E45,S$12&lt;=$F45,MOD(S$12,7)&gt;1,NOT(COUNTIF(General!$U$13:$U$19,S$12))),$I45,"")</f>
        <v/>
      </c>
      <c r="T45" s="390" t="str">
        <f>IF(AND(T$12&gt;=$E45,T$12&lt;=$F45,MOD(T$12,7)&gt;1,NOT(COUNTIF(General!$U$13:$U$19,T$12))),$I45,"")</f>
        <v/>
      </c>
      <c r="U45" s="390" t="str">
        <f>IF(AND(U$12&gt;=$E45,U$12&lt;=$F45,MOD(U$12,7)&gt;1,NOT(COUNTIF(General!$U$13:$U$19,U$12))),$I45,"")</f>
        <v/>
      </c>
      <c r="V45" s="390" t="str">
        <f>IF(AND(V$12&gt;=$E45,V$12&lt;=$F45,MOD(V$12,7)&gt;1,NOT(COUNTIF(General!$U$13:$U$19,V$12))),$I45,"")</f>
        <v/>
      </c>
      <c r="W45" s="390" t="str">
        <f>IF(AND(W$12&gt;=$E45,W$12&lt;=$F45,MOD(W$12,7)&gt;1,NOT(COUNTIF(General!$U$13:$U$19,W$12))),$I45,"")</f>
        <v/>
      </c>
      <c r="X45" s="390" t="str">
        <f>IF(AND(X$12&gt;=$E45,X$12&lt;=$F45,MOD(X$12,7)&gt;1,NOT(COUNTIF(General!$U$13:$U$19,X$12))),$I45,"")</f>
        <v/>
      </c>
      <c r="Y45" s="390" t="str">
        <f>IF(AND(Y$12&gt;=$E45,Y$12&lt;=$F45,MOD(Y$12,7)&gt;1,NOT(COUNTIF(General!$U$13:$U$19,Y$12))),$I45,"")</f>
        <v/>
      </c>
      <c r="Z45" s="390" t="str">
        <f>IF(AND(Z$12&gt;=$E45,Z$12&lt;=$F45,MOD(Z$12,7)&gt;1,NOT(COUNTIF(General!$U$13:$U$19,Z$12))),$I45,"")</f>
        <v/>
      </c>
      <c r="AA45" s="390" t="str">
        <f>IF(AND(AA$12&gt;=$E45,AA$12&lt;=$F45,MOD(AA$12,7)&gt;1,NOT(COUNTIF(General!$U$13:$U$19,AA$12))),$I45,"")</f>
        <v/>
      </c>
      <c r="AB45" s="390" t="str">
        <f>IF(AND(AB$12&gt;=$E45,AB$12&lt;=$F45,MOD(AB$12,7)&gt;1,NOT(COUNTIF(General!$U$13:$U$19,AB$12))),$I45,"")</f>
        <v/>
      </c>
      <c r="AC45" s="390" t="str">
        <f>IF(AND(AC$12&gt;=$E45,AC$12&lt;=$F45,MOD(AC$12,7)&gt;1,NOT(COUNTIF(General!$U$13:$U$19,AC$12))),$I45,"")</f>
        <v/>
      </c>
      <c r="AD45" s="390" t="str">
        <f>IF(AND(AD$12&gt;=$E45,AD$12&lt;=$F45,MOD(AD$12,7)&gt;1,NOT(COUNTIF(General!$U$13:$U$19,AD$12))),$I45,"")</f>
        <v/>
      </c>
      <c r="AE45" s="390" t="str">
        <f>IF(AND(AE$12&gt;=$E45,AE$12&lt;=$F45,MOD(AE$12,7)&gt;1,NOT(COUNTIF(General!$U$13:$U$19,AE$12))),$I45,"")</f>
        <v/>
      </c>
      <c r="AF45" s="390" t="str">
        <f>IF(AND(AF$12&gt;=$E45,AF$12&lt;=$F45,MOD(AF$12,7)&gt;1,NOT(COUNTIF(General!$U$13:$U$19,AF$12))),$I45,"")</f>
        <v/>
      </c>
      <c r="AG45" s="390" t="str">
        <f>IF(AND(AG$12&gt;=$E45,AG$12&lt;=$F45,MOD(AG$12,7)&gt;1,NOT(COUNTIF(General!$U$13:$U$19,AG$12))),$I45,"")</f>
        <v/>
      </c>
      <c r="AH45" s="390" t="str">
        <f>IF(AND(AH$12&gt;=$E45,AH$12&lt;=$F45,MOD(AH$12,7)&gt;1,NOT(COUNTIF(General!$U$13:$U$19,AH$12))),$I45,"")</f>
        <v/>
      </c>
      <c r="AI45" s="390" t="str">
        <f>IF(AND(AI$12&gt;=$E45,AI$12&lt;=$F45,MOD(AI$12,7)&gt;1,NOT(COUNTIF(General!$U$13:$U$19,AI$12))),$I45,"")</f>
        <v/>
      </c>
      <c r="AJ45" s="390" t="str">
        <f>IF(AND(AJ$12&gt;=$E45,AJ$12&lt;=$F45,MOD(AJ$12,7)&gt;1,NOT(COUNTIF(General!$U$13:$U$19,AJ$12))),$I45,"")</f>
        <v/>
      </c>
      <c r="AK45" s="390" t="str">
        <f>IF(AND(AK$12&gt;=$E45,AK$12&lt;=$F45,MOD(AK$12,7)&gt;1,NOT(COUNTIF(General!$U$13:$U$19,AK$12))),$I45,"")</f>
        <v/>
      </c>
      <c r="AL45" s="390" t="str">
        <f>IF(AND(AL$12&gt;=$E45,AL$12&lt;=$F45,MOD(AL$12,7)&gt;1,NOT(COUNTIF(General!$U$13:$U$19,AL$12))),$I45,"")</f>
        <v/>
      </c>
      <c r="AM45" s="390">
        <f>IF(AND(AM$12&gt;=$E45,AM$12&lt;=$F45,MOD(AM$12,7)&gt;1,NOT(COUNTIF(General!$U$13:$U$19,AM$12))),$I45,"")</f>
        <v>1</v>
      </c>
      <c r="AN45" s="390" t="str">
        <f>IF(AND(AN$12&gt;=$E45,AN$12&lt;=$F45,MOD(AN$12,7)&gt;1,NOT(COUNTIF(General!$U$13:$U$19,AN$12))),$I45,"")</f>
        <v/>
      </c>
      <c r="AO45" s="390" t="str">
        <f>IF(AND(AO$12&gt;=$E45,AO$12&lt;=$F45,MOD(AO$12,7)&gt;1,NOT(COUNTIF(General!$U$13:$U$19,AO$12))),$I45,"")</f>
        <v/>
      </c>
      <c r="AP45" s="390" t="str">
        <f>IF(AND(AP$12&gt;=$E45,AP$12&lt;=$F45,MOD(AP$12,7)&gt;1,NOT(COUNTIF(General!$U$13:$U$19,AP$12))),$I45,"")</f>
        <v/>
      </c>
      <c r="AQ45" s="390" t="str">
        <f>IF(AND(AQ$12&gt;=$E45,AQ$12&lt;=$F45,MOD(AQ$12,7)&gt;1,NOT(COUNTIF(General!$U$13:$U$19,AQ$12))),$I45,"")</f>
        <v/>
      </c>
      <c r="AR45" s="390" t="str">
        <f>IF(AND(AR$12&gt;=$E45,AR$12&lt;=$F45,MOD(AR$12,7)&gt;1,NOT(COUNTIF(General!$U$13:$U$19,AR$12))),$I45,"")</f>
        <v/>
      </c>
      <c r="AS45" s="390" t="str">
        <f>IF(AND(AS$12&gt;=$E45,AS$12&lt;=$F45,MOD(AS$12,7)&gt;1,NOT(COUNTIF(General!$U$13:$U$19,AS$12))),$I45,"")</f>
        <v/>
      </c>
      <c r="AT45" s="390" t="str">
        <f>IF(AND(AT$12&gt;=$E45,AT$12&lt;=$F45,MOD(AT$12,7)&gt;1,NOT(COUNTIF(General!$U$13:$U$19,AT$12))),$I45,"")</f>
        <v/>
      </c>
      <c r="AU45" s="390" t="str">
        <f>IF(AND(AU$12&gt;=$E45,AU$12&lt;=$F45,MOD(AU$12,7)&gt;1,NOT(COUNTIF(General!$U$13:$U$19,AU$12))),$I45,"")</f>
        <v/>
      </c>
      <c r="AV45" s="390" t="str">
        <f>IF(AND(AV$12&gt;=$E45,AV$12&lt;=$F45,MOD(AV$12,7)&gt;1,NOT(COUNTIF(General!$U$13:$U$19,AV$12))),$I45,"")</f>
        <v/>
      </c>
      <c r="AW45" s="390" t="str">
        <f>IF(AND(AW$12&gt;=$E45,AW$12&lt;=$F45,MOD(AW$12,7)&gt;1,NOT(COUNTIF(General!$U$13:$U$19,AW$12))),$I45,"")</f>
        <v/>
      </c>
      <c r="AX45" s="390" t="str">
        <f>IF(AND(AX$12&gt;=$E45,AX$12&lt;=$F45,MOD(AX$12,7)&gt;1,NOT(COUNTIF(General!$U$13:$U$19,AX$12))),$I45,"")</f>
        <v/>
      </c>
      <c r="AY45" s="390" t="str">
        <f>IF(AND(AY$12&gt;=$E45,AY$12&lt;=$F45,MOD(AY$12,7)&gt;1,NOT(COUNTIF(General!$U$13:$U$19,AY$12))),$I45,"")</f>
        <v/>
      </c>
      <c r="AZ45" s="390" t="str">
        <f>IF(AND(AZ$12&gt;=$E45,AZ$12&lt;=$F45,MOD(AZ$12,7)&gt;1,NOT(COUNTIF(General!$U$13:$U$19,AZ$12))),$I45,"")</f>
        <v/>
      </c>
      <c r="BA45" s="390" t="str">
        <f>IF(AND(BA$12&gt;=$E45,BA$12&lt;=$F45,MOD(BA$12,7)&gt;1,NOT(COUNTIF(General!$U$13:$U$19,BA$12))),$I45,"")</f>
        <v/>
      </c>
      <c r="BB45" s="390" t="str">
        <f>IF(AND(BB$12&gt;=$E45,BB$12&lt;=$F45,MOD(BB$12,7)&gt;1,NOT(COUNTIF(General!$U$13:$U$19,BB$12))),$I45,"")</f>
        <v/>
      </c>
      <c r="BC45" s="390" t="str">
        <f>IF(AND(BC$12&gt;=$E45,BC$12&lt;=$F45,MOD(BC$12,7)&gt;1,NOT(COUNTIF(General!$U$13:$U$19,BC$12))),$I45,"")</f>
        <v/>
      </c>
      <c r="BD45" s="390" t="str">
        <f>IF(AND(BD$12&gt;=$E45,BD$12&lt;=$F45,MOD(BD$12,7)&gt;1,NOT(COUNTIF(General!$U$13:$U$19,BD$12))),$I45,"")</f>
        <v/>
      </c>
      <c r="BE45" s="390" t="str">
        <f>IF(AND(BE$12&gt;=$E45,BE$12&lt;=$F45,MOD(BE$12,7)&gt;1,NOT(COUNTIF(General!$U$13:$U$19,BE$12))),$I45,"")</f>
        <v/>
      </c>
      <c r="BF45" s="390" t="str">
        <f>IF(AND(BF$12&gt;=$E45,BF$12&lt;=$F45,MOD(BF$12,7)&gt;1,NOT(COUNTIF(General!$U$13:$U$19,BF$12))),$I45,"")</f>
        <v/>
      </c>
      <c r="BG45" s="390" t="str">
        <f>IF(AND(BG$12&gt;=$E45,BG$12&lt;=$F45,MOD(BG$12,7)&gt;1,NOT(COUNTIF(General!$U$13:$U$19,BG$12))),$I45,"")</f>
        <v/>
      </c>
      <c r="BH45" s="390" t="str">
        <f>IF(AND(BH$12&gt;=$E45,BH$12&lt;=$F45,MOD(BH$12,7)&gt;1,NOT(COUNTIF(General!$U$13:$U$19,BH$12))),$I45,"")</f>
        <v/>
      </c>
      <c r="BI45" s="390" t="str">
        <f>IF(AND(BI$12&gt;=$E45,BI$12&lt;=$F45,MOD(BI$12,7)&gt;1,NOT(COUNTIF(General!$U$13:$U$19,BI$12))),$I45,"")</f>
        <v/>
      </c>
      <c r="BJ45" s="390" t="str">
        <f>IF(AND(BJ$12&gt;=$E45,BJ$12&lt;=$F45,MOD(BJ$12,7)&gt;1,NOT(COUNTIF(General!$U$13:$U$19,BJ$12))),$I45,"")</f>
        <v/>
      </c>
      <c r="BK45" s="390" t="str">
        <f>IF(AND(BK$12&gt;=$E45,BK$12&lt;=$F45,MOD(BK$12,7)&gt;1,NOT(COUNTIF(General!$U$13:$U$19,BK$12))),$I45,"")</f>
        <v/>
      </c>
      <c r="BL45" s="390" t="str">
        <f>IF(AND(BL$12&gt;=$E45,BL$12&lt;=$F45,MOD(BL$12,7)&gt;1,NOT(COUNTIF(General!$U$13:$U$19,BL$12))),$I45,"")</f>
        <v/>
      </c>
      <c r="BM45" s="390" t="str">
        <f>IF(AND(BM$12&gt;=$E45,BM$12&lt;=$F45,MOD(BM$12,7)&gt;1,NOT(COUNTIF(General!$U$13:$U$19,BM$12))),$I45,"")</f>
        <v/>
      </c>
      <c r="BN45" s="390" t="str">
        <f>IF(AND(BN$12&gt;=$E45,BN$12&lt;=$F45,MOD(BN$12,7)&gt;1,NOT(COUNTIF(General!$U$13:$U$19,BN$12))),$I45,"")</f>
        <v/>
      </c>
      <c r="BO45" s="390" t="str">
        <f>IF(AND(BO$12&gt;=$E45,BO$12&lt;=$F45,MOD(BO$12,7)&gt;1,NOT(COUNTIF(General!$U$13:$U$19,BO$12))),$I45,"")</f>
        <v/>
      </c>
      <c r="BP45" s="390" t="str">
        <f>IF(AND(BP$12&gt;=$E45,BP$12&lt;=$F45,MOD(BP$12,7)&gt;1,NOT(COUNTIF(General!$U$13:$U$19,BP$12))),$I45,"")</f>
        <v/>
      </c>
      <c r="BQ45" s="390" t="str">
        <f>IF(AND(BQ$12&gt;=$E45,BQ$12&lt;=$F45,MOD(BQ$12,7)&gt;1,NOT(COUNTIF(General!$U$13:$U$19,BQ$12))),$I45,"")</f>
        <v/>
      </c>
      <c r="BR45" s="390" t="str">
        <f>IF(AND(BR$12&gt;=$E45,BR$12&lt;=$F45,MOD(BR$12,7)&gt;1,NOT(COUNTIF(General!$U$13:$U$19,BR$12))),$I45,"")</f>
        <v/>
      </c>
      <c r="BS45" s="390" t="str">
        <f>IF(AND(BS$12&gt;=$E45,BS$12&lt;=$F45,MOD(BS$12,7)&gt;1,NOT(COUNTIF(General!$U$13:$U$19,BS$12))),$I45,"")</f>
        <v/>
      </c>
      <c r="BT45" s="390" t="str">
        <f>IF(AND(BT$12&gt;=$E45,BT$12&lt;=$F45,MOD(BT$12,7)&gt;1,NOT(COUNTIF(General!$U$13:$U$19,BT$12))),$I45,"")</f>
        <v/>
      </c>
      <c r="BU45" s="390" t="str">
        <f>IF(AND(BU$12&gt;=$E45,BU$12&lt;=$F45,MOD(BU$12,7)&gt;1,NOT(COUNTIF(General!$U$13:$U$19,BU$12))),$I45,"")</f>
        <v/>
      </c>
      <c r="BV45" s="390" t="str">
        <f>IF(AND(BV$12&gt;=$E45,BV$12&lt;=$F45,MOD(BV$12,7)&gt;1,NOT(COUNTIF(General!$U$13:$U$19,BV$12))),$I45,"")</f>
        <v/>
      </c>
      <c r="BW45" s="390" t="str">
        <f>IF(AND(BW$12&gt;=$E45,BW$12&lt;=$F45,MOD(BW$12,7)&gt;1,NOT(COUNTIF(General!$U$13:$U$19,BW$12))),$I45,"")</f>
        <v/>
      </c>
      <c r="BX45" s="390" t="str">
        <f>IF(AND(BX$12&gt;=$E45,BX$12&lt;=$F45,MOD(BX$12,7)&gt;1,NOT(COUNTIF(General!$U$13:$U$19,BX$12))),$I45,"")</f>
        <v/>
      </c>
      <c r="BY45" s="390" t="str">
        <f>IF(AND(BY$12&gt;=$E45,BY$12&lt;=$F45,MOD(BY$12,7)&gt;1,NOT(COUNTIF(General!$U$13:$U$19,BY$12))),$I45,"")</f>
        <v/>
      </c>
      <c r="BZ45" s="390" t="str">
        <f>IF(AND(BZ$12&gt;=$E45,BZ$12&lt;=$F45,MOD(BZ$12,7)&gt;1,NOT(COUNTIF(General!$U$13:$U$19,BZ$12))),$I45,"")</f>
        <v/>
      </c>
      <c r="CA45" s="390" t="str">
        <f>IF(AND(CA$12&gt;=$E45,CA$12&lt;=$F45,MOD(CA$12,7)&gt;1,NOT(COUNTIF(General!$U$13:$U$19,CA$12))),$I45,"")</f>
        <v/>
      </c>
      <c r="CB45" s="390" t="str">
        <f>IF(AND(CB$12&gt;=$E45,CB$12&lt;=$F45,MOD(CB$12,7)&gt;1,NOT(COUNTIF(General!$U$13:$U$19,CB$12))),$I45,"")</f>
        <v/>
      </c>
      <c r="CC45" s="390" t="str">
        <f>IF(AND(CC$12&gt;=$E45,CC$12&lt;=$F45,MOD(CC$12,7)&gt;1,NOT(COUNTIF(General!$U$13:$U$19,CC$12))),$I45,"")</f>
        <v/>
      </c>
      <c r="CD45" s="390" t="str">
        <f>IF(AND(CD$12&gt;=$E45,CD$12&lt;=$F45,MOD(CD$12,7)&gt;1,NOT(COUNTIF(General!$U$13:$U$19,CD$12))),$I45,"")</f>
        <v/>
      </c>
      <c r="CE45" s="390" t="str">
        <f>IF(AND(CE$12&gt;=$E45,CE$12&lt;=$F45,MOD(CE$12,7)&gt;1,NOT(COUNTIF(General!$U$13:$U$19,CE$12))),$I45,"")</f>
        <v/>
      </c>
      <c r="CF45" s="390" t="str">
        <f>IF(AND(CF$12&gt;=$E45,CF$12&lt;=$F45,MOD(CF$12,7)&gt;1,NOT(COUNTIF(General!$U$13:$U$19,CF$12))),$I45,"")</f>
        <v/>
      </c>
      <c r="CG45" s="390" t="str">
        <f>IF(AND(CG$12&gt;=$E45,CG$12&lt;=$F45,MOD(CG$12,7)&gt;1,NOT(COUNTIF(General!$U$13:$U$19,CG$12))),$I45,"")</f>
        <v/>
      </c>
      <c r="CH45" s="390" t="str">
        <f>IF(AND(CH$12&gt;=$E45,CH$12&lt;=$F45,MOD(CH$12,7)&gt;1,NOT(COUNTIF(General!$U$13:$U$19,CH$12))),$I45,"")</f>
        <v/>
      </c>
      <c r="CI45" s="390" t="str">
        <f>IF(AND(CI$12&gt;=$E45,CI$12&lt;=$F45,MOD(CI$12,7)&gt;1,NOT(COUNTIF(General!$U$13:$U$19,CI$12))),$I45,"")</f>
        <v/>
      </c>
      <c r="CJ45" s="390" t="str">
        <f>IF(AND(CJ$12&gt;=$E45,CJ$12&lt;=$F45,MOD(CJ$12,7)&gt;1,NOT(COUNTIF(General!$U$13:$U$19,CJ$12))),$I45,"")</f>
        <v/>
      </c>
      <c r="CK45" s="390" t="str">
        <f>IF(AND(CK$12&gt;=$E45,CK$12&lt;=$F45,MOD(CK$12,7)&gt;1,NOT(COUNTIF(General!$U$13:$U$19,CK$12))),$I45,"")</f>
        <v/>
      </c>
      <c r="CL45" s="390" t="str">
        <f>IF(AND(CL$12&gt;=$E45,CL$12&lt;=$F45,MOD(CL$12,7)&gt;1,NOT(COUNTIF(General!$U$13:$U$19,CL$12))),$I45,"")</f>
        <v/>
      </c>
      <c r="CM45" s="390" t="str">
        <f>IF(AND(CM$12&gt;=$E45,CM$12&lt;=$F45,MOD(CM$12,7)&gt;1,NOT(COUNTIF(General!$U$13:$U$19,CM$12))),$I45,"")</f>
        <v/>
      </c>
      <c r="CN45" s="390" t="str">
        <f>IF(AND(CN$12&gt;=$E45,CN$12&lt;=$F45,MOD(CN$12,7)&gt;1,NOT(COUNTIF(General!$U$13:$U$19,CN$12))),$I45,"")</f>
        <v/>
      </c>
      <c r="CO45" s="390" t="str">
        <f>IF(AND(CO$12&gt;=$E45,CO$12&lt;=$F45,MOD(CO$12,7)&gt;1,NOT(COUNTIF(General!$U$13:$U$19,CO$12))),$I45,"")</f>
        <v/>
      </c>
      <c r="CP45" s="390" t="str">
        <f>IF(AND(CP$12&gt;=$E45,CP$12&lt;=$F45,MOD(CP$12,7)&gt;1,NOT(COUNTIF(General!$U$13:$U$19,CP$12))),$I45,"")</f>
        <v/>
      </c>
      <c r="CQ45" s="390" t="str">
        <f>IF(AND(CQ$12&gt;=$E45,CQ$12&lt;=$F45,MOD(CQ$12,7)&gt;1,NOT(COUNTIF(General!$U$13:$U$19,CQ$12))),$I45,"")</f>
        <v/>
      </c>
      <c r="CR45" s="390" t="str">
        <f>IF(AND(CR$12&gt;=$E45,CR$12&lt;=$F45,MOD(CR$12,7)&gt;1,NOT(COUNTIF(General!$U$13:$U$19,CR$12))),$I45,"")</f>
        <v/>
      </c>
      <c r="CS45" s="390" t="str">
        <f>IF(AND(CS$12&gt;=$E45,CS$12&lt;=$F45,MOD(CS$12,7)&gt;1,NOT(COUNTIF(General!$U$13:$U$19,CS$12))),$I45,"")</f>
        <v/>
      </c>
      <c r="CT45" s="390" t="str">
        <f>IF(AND(CT$12&gt;=$E45,CT$12&lt;=$F45,MOD(CT$12,7)&gt;1,NOT(COUNTIF(General!$U$13:$U$19,CT$12))),$I45,"")</f>
        <v/>
      </c>
      <c r="CU45" s="390" t="str">
        <f>IF(AND(CU$12&gt;=$E45,CU$12&lt;=$F45,MOD(CU$12,7)&gt;1,NOT(COUNTIF(General!$U$13:$U$19,CU$12))),$I45,"")</f>
        <v/>
      </c>
      <c r="CV45" s="390" t="str">
        <f>IF(AND(CV$12&gt;=$E45,CV$12&lt;=$F45,MOD(CV$12,7)&gt;1,NOT(COUNTIF(General!$U$13:$U$19,CV$12))),$I45,"")</f>
        <v/>
      </c>
      <c r="CW45" s="390" t="str">
        <f>IF(AND(CW$12&gt;=$E45,CW$12&lt;=$F45,MOD(CW$12,7)&gt;1,NOT(COUNTIF(General!$U$13:$U$19,CW$12))),$I45,"")</f>
        <v/>
      </c>
      <c r="CX45" s="390" t="str">
        <f>IF(AND(CX$12&gt;=$E45,CX$12&lt;=$F45,MOD(CX$12,7)&gt;1,NOT(COUNTIF(General!$U$13:$U$19,CX$12))),$I45,"")</f>
        <v/>
      </c>
      <c r="CY45" s="390" t="str">
        <f>IF(AND(CY$12&gt;=$E45,CY$12&lt;=$F45,MOD(CY$12,7)&gt;1,NOT(COUNTIF(General!$U$13:$U$19,CY$12))),$I45,"")</f>
        <v/>
      </c>
      <c r="CZ45" s="390" t="str">
        <f>IF(AND(CZ$12&gt;=$E45,CZ$12&lt;=$F45,MOD(CZ$12,7)&gt;1,NOT(COUNTIF(General!$U$13:$U$19,CZ$12))),$I45,"")</f>
        <v/>
      </c>
      <c r="DA45" s="390" t="str">
        <f>IF(AND(DA$12&gt;=$E45,DA$12&lt;=$F45,MOD(DA$12,7)&gt;1,NOT(COUNTIF(General!$U$13:$U$19,DA$12))),$I45,"")</f>
        <v/>
      </c>
      <c r="DB45" s="390" t="str">
        <f>IF(AND(DB$12&gt;=$E45,DB$12&lt;=$F45,MOD(DB$12,7)&gt;1,NOT(COUNTIF(General!$U$13:$U$19,DB$12))),$I45,"")</f>
        <v/>
      </c>
      <c r="DC45" s="390" t="str">
        <f>IF(AND(DC$12&gt;=$E45,DC$12&lt;=$F45,MOD(DC$12,7)&gt;1,NOT(COUNTIF(General!$U$13:$U$19,DC$12))),$I45,"")</f>
        <v/>
      </c>
      <c r="DD45" s="390" t="str">
        <f>IF(AND(DD$12&gt;=$E45,DD$12&lt;=$F45,MOD(DD$12,7)&gt;1,NOT(COUNTIF(General!$U$13:$U$19,DD$12))),$I45,"")</f>
        <v/>
      </c>
      <c r="DE45" s="390" t="str">
        <f>IF(AND(DE$12&gt;=$E45,DE$12&lt;=$F45,MOD(DE$12,7)&gt;1,NOT(COUNTIF(General!$U$13:$U$19,DE$12))),$I45,"")</f>
        <v/>
      </c>
      <c r="DF45" s="390" t="str">
        <f>IF(AND(DF$12&gt;=$E45,DF$12&lt;=$F45,MOD(DF$12,7)&gt;1,NOT(COUNTIF(General!$U$13:$U$19,DF$12))),$I45,"")</f>
        <v/>
      </c>
      <c r="DG45" s="390" t="str">
        <f>IF(AND(DG$12&gt;=$E45,DG$12&lt;=$F45,MOD(DG$12,7)&gt;1,NOT(COUNTIF(General!$U$13:$U$19,DG$12))),$I45,"")</f>
        <v/>
      </c>
      <c r="DH45" s="390" t="str">
        <f>IF(AND(DH$12&gt;=$E45,DH$12&lt;=$F45,MOD(DH$12,7)&gt;1,NOT(COUNTIF(General!$U$13:$U$19,DH$12))),$I45,"")</f>
        <v/>
      </c>
      <c r="DI45" s="390" t="str">
        <f>IF(AND(DI$12&gt;=$E45,DI$12&lt;=$F45,MOD(DI$12,7)&gt;1,NOT(COUNTIF(General!$U$13:$U$19,DI$12))),$I45,"")</f>
        <v/>
      </c>
      <c r="DJ45" s="390" t="str">
        <f>IF(AND(DJ$12&gt;=$E45,DJ$12&lt;=$F45,MOD(DJ$12,7)&gt;1,NOT(COUNTIF(General!$U$13:$U$19,DJ$12))),$I45,"")</f>
        <v/>
      </c>
      <c r="DK45" s="390" t="str">
        <f>IF(AND(DK$12&gt;=$E45,DK$12&lt;=$F45,MOD(DK$12,7)&gt;1,NOT(COUNTIF(General!$U$13:$U$19,DK$12))),$I45,"")</f>
        <v/>
      </c>
      <c r="DL45" s="390" t="str">
        <f>IF(AND(DL$12&gt;=$E45,DL$12&lt;=$F45,MOD(DL$12,7)&gt;1,NOT(COUNTIF(General!$U$13:$U$19,DL$12))),$I45,"")</f>
        <v/>
      </c>
      <c r="DM45" s="390" t="str">
        <f>IF(AND(DM$12&gt;=$E45,DM$12&lt;=$F45,MOD(DM$12,7)&gt;1,NOT(COUNTIF(General!$U$13:$U$19,DM$12))),$I45,"")</f>
        <v/>
      </c>
      <c r="DN45" s="390" t="str">
        <f>IF(AND(DN$12&gt;=$E45,DN$12&lt;=$F45,MOD(DN$12,7)&gt;1,NOT(COUNTIF(General!$U$13:$U$19,DN$12))),$I45,"")</f>
        <v/>
      </c>
      <c r="DO45" s="390" t="str">
        <f>IF(AND(DO$12&gt;=$E45,DO$12&lt;=$F45,MOD(DO$12,7)&gt;1,NOT(COUNTIF(General!$U$13:$U$19,DO$12))),$I45,"")</f>
        <v/>
      </c>
      <c r="DP45" s="390" t="str">
        <f>IF(AND(DP$12&gt;=$E45,DP$12&lt;=$F45,MOD(DP$12,7)&gt;1,NOT(COUNTIF(General!$U$13:$U$19,DP$12))),$I45,"")</f>
        <v/>
      </c>
      <c r="DQ45" s="390" t="str">
        <f>IF(AND(DQ$12&gt;=$E45,DQ$12&lt;=$F45,MOD(DQ$12,7)&gt;1,NOT(COUNTIF(General!$U$13:$U$19,DQ$12))),$I45,"")</f>
        <v/>
      </c>
      <c r="DR45" s="390" t="str">
        <f>IF(AND(DR$12&gt;=$E45,DR$12&lt;=$F45,MOD(DR$12,7)&gt;1,NOT(COUNTIF(General!$U$13:$U$19,DR$12))),$I45,"")</f>
        <v/>
      </c>
      <c r="DS45" s="390" t="str">
        <f>IF(AND(DS$12&gt;=$E45,DS$12&lt;=$F45,MOD(DS$12,7)&gt;1,NOT(COUNTIF(General!$U$13:$U$19,DS$12))),$I45,"")</f>
        <v/>
      </c>
      <c r="DT45" s="390" t="str">
        <f>IF(AND(DT$12&gt;=$E45,DT$12&lt;=$F45,MOD(DT$12,7)&gt;1,NOT(COUNTIF(General!$U$13:$U$19,DT$12))),$I45,"")</f>
        <v/>
      </c>
      <c r="DU45" s="390" t="str">
        <f>IF(AND(DU$12&gt;=$E45,DU$12&lt;=$F45,MOD(DU$12,7)&gt;1,NOT(COUNTIF(General!$U$13:$U$19,DU$12))),$I45,"")</f>
        <v/>
      </c>
      <c r="DV45" s="390" t="str">
        <f>IF(AND(DV$12&gt;=$E45,DV$12&lt;=$F45,MOD(DV$12,7)&gt;1,NOT(COUNTIF(General!$U$13:$U$19,DV$12))),$I45,"")</f>
        <v/>
      </c>
      <c r="DW45" s="390" t="str">
        <f>IF(AND(DW$12&gt;=$E45,DW$12&lt;=$F45,MOD(DW$12,7)&gt;1,NOT(COUNTIF(General!$U$13:$U$19,DW$12))),$I45,"")</f>
        <v/>
      </c>
      <c r="DX45" s="390" t="str">
        <f>IF(AND(DX$12&gt;=$E45,DX$12&lt;=$F45,MOD(DX$12,7)&gt;1,NOT(COUNTIF(General!$U$13:$U$19,DX$12))),$I45,"")</f>
        <v/>
      </c>
      <c r="DY45" s="390" t="str">
        <f>IF(AND(DY$12&gt;=$E45,DY$12&lt;=$F45,MOD(DY$12,7)&gt;1,NOT(COUNTIF(General!$U$13:$U$19,DY$12))),$I45,"")</f>
        <v/>
      </c>
      <c r="DZ45" s="390" t="str">
        <f>IF(AND(DZ$12&gt;=$E45,DZ$12&lt;=$F45,MOD(DZ$12,7)&gt;1,NOT(COUNTIF(General!$U$13:$U$19,DZ$12))),$I45,"")</f>
        <v/>
      </c>
      <c r="EA45" s="390" t="str">
        <f>IF(AND(EA$12&gt;=$E45,EA$12&lt;=$F45,MOD(EA$12,7)&gt;1,NOT(COUNTIF(General!$U$13:$U$19,EA$12))),$I45,"")</f>
        <v/>
      </c>
      <c r="EB45" s="390" t="str">
        <f>IF(AND(EB$12&gt;=$E45,EB$12&lt;=$F45,MOD(EB$12,7)&gt;1,NOT(COUNTIF(General!$U$13:$U$19,EB$12))),$I45,"")</f>
        <v/>
      </c>
      <c r="EC45" s="390" t="str">
        <f>IF(AND(EC$12&gt;=$E45,EC$12&lt;=$F45,MOD(EC$12,7)&gt;1,NOT(COUNTIF(General!$U$13:$U$19,EC$12))),$I45,"")</f>
        <v/>
      </c>
      <c r="ED45" s="390" t="str">
        <f>IF(AND(ED$12&gt;=$E45,ED$12&lt;=$F45,MOD(ED$12,7)&gt;1,NOT(COUNTIF(General!$U$13:$U$19,ED$12))),$I45,"")</f>
        <v/>
      </c>
      <c r="EE45" s="390" t="str">
        <f>IF(AND(EE$12&gt;=$E45,EE$12&lt;=$F45,MOD(EE$12,7)&gt;1,NOT(COUNTIF(General!$U$13:$U$19,EE$12))),$I45,"")</f>
        <v/>
      </c>
      <c r="EF45" s="390" t="str">
        <f>IF(AND(EF$12&gt;=$E45,EF$12&lt;=$F45,MOD(EF$12,7)&gt;1,NOT(COUNTIF(General!$U$13:$U$19,EF$12))),$I45,"")</f>
        <v/>
      </c>
      <c r="EG45" s="390" t="str">
        <f>IF(AND(EG$12&gt;=$E45,EG$12&lt;=$F45,MOD(EG$12,7)&gt;1,NOT(COUNTIF(General!$U$13:$U$19,EG$12))),$I45,"")</f>
        <v/>
      </c>
      <c r="EH45" s="390" t="str">
        <f>IF(AND(EH$12&gt;=$E45,EH$12&lt;=$F45,MOD(EH$12,7)&gt;1,NOT(COUNTIF(General!$U$13:$U$19,EH$12))),$I45,"")</f>
        <v/>
      </c>
      <c r="EI45" s="390" t="str">
        <f>IF(AND(EI$12&gt;=$E45,EI$12&lt;=$F45,MOD(EI$12,7)&gt;1,NOT(COUNTIF(General!$U$13:$U$19,EI$12))),$I45,"")</f>
        <v/>
      </c>
      <c r="EJ45" s="390" t="str">
        <f>IF(AND(EJ$12&gt;=$E45,EJ$12&lt;=$F45,MOD(EJ$12,7)&gt;1,NOT(COUNTIF(General!$U$13:$U$19,EJ$12))),$I45,"")</f>
        <v/>
      </c>
      <c r="EK45" s="390" t="str">
        <f>IF(AND(EK$12&gt;=$E45,EK$12&lt;=$F45,MOD(EK$12,7)&gt;1,NOT(COUNTIF(General!$U$13:$U$19,EK$12))),$I45,"")</f>
        <v/>
      </c>
      <c r="EL45" s="390" t="str">
        <f>IF(AND(EL$12&gt;=$E45,EL$12&lt;=$F45,MOD(EL$12,7)&gt;1,NOT(COUNTIF(General!$U$13:$U$19,EL$12))),$I45,"")</f>
        <v/>
      </c>
      <c r="EM45" s="390" t="str">
        <f>IF(AND(EM$12&gt;=$E45,EM$12&lt;=$F45,MOD(EM$12,7)&gt;1,NOT(COUNTIF(General!$U$13:$U$19,EM$12))),$I45,"")</f>
        <v/>
      </c>
      <c r="EN45" s="390" t="str">
        <f>IF(AND(EN$12&gt;=$E45,EN$12&lt;=$F45,MOD(EN$12,7)&gt;1,NOT(COUNTIF(General!$U$13:$U$19,EN$12))),$I45,"")</f>
        <v/>
      </c>
      <c r="EO45" s="390" t="str">
        <f>IF(AND(EO$12&gt;=$E45,EO$12&lt;=$F45,MOD(EO$12,7)&gt;1,NOT(COUNTIF(General!$U$13:$U$19,EO$12))),$I45,"")</f>
        <v/>
      </c>
      <c r="EP45" s="390" t="str">
        <f>IF(AND(EP$12&gt;=$E45,EP$12&lt;=$F45,MOD(EP$12,7)&gt;1,NOT(COUNTIF(General!$U$13:$U$19,EP$12))),$I45,"")</f>
        <v/>
      </c>
      <c r="EQ45" s="390" t="str">
        <f>IF(AND(EQ$12&gt;=$E45,EQ$12&lt;=$F45,MOD(EQ$12,7)&gt;1,NOT(COUNTIF(General!$U$13:$U$19,EQ$12))),$I45,"")</f>
        <v/>
      </c>
      <c r="ER45" s="390" t="str">
        <f>IF(AND(ER$12&gt;=$E45,ER$12&lt;=$F45,MOD(ER$12,7)&gt;1,NOT(COUNTIF(General!$U$13:$U$19,ER$12))),$I45,"")</f>
        <v/>
      </c>
      <c r="ES45" s="390" t="str">
        <f>IF(AND(ES$12&gt;=$E45,ES$12&lt;=$F45,MOD(ES$12,7)&gt;1,NOT(COUNTIF(General!$U$13:$U$19,ES$12))),$I45,"")</f>
        <v/>
      </c>
      <c r="ET45" s="390" t="str">
        <f>IF(AND(ET$12&gt;=$E45,ET$12&lt;=$F45,MOD(ET$12,7)&gt;1,NOT(COUNTIF(General!$U$13:$U$19,ET$12))),$I45,"")</f>
        <v/>
      </c>
      <c r="EU45" s="390" t="str">
        <f>IF(AND(EU$12&gt;=$E45,EU$12&lt;=$F45,MOD(EU$12,7)&gt;1,NOT(COUNTIF(General!$U$13:$U$19,EU$12))),$I45,"")</f>
        <v/>
      </c>
      <c r="EV45" s="390" t="str">
        <f>IF(AND(EV$12&gt;=$E45,EV$12&lt;=$F45,MOD(EV$12,7)&gt;1,NOT(COUNTIF(General!$U$13:$U$19,EV$12))),$I45,"")</f>
        <v/>
      </c>
      <c r="EW45" s="390" t="str">
        <f>IF(AND(EW$12&gt;=$E45,EW$12&lt;=$F45,MOD(EW$12,7)&gt;1,NOT(COUNTIF(General!$U$13:$U$19,EW$12))),$I45,"")</f>
        <v/>
      </c>
      <c r="EX45" s="390" t="str">
        <f>IF(AND(EX$12&gt;=$E45,EX$12&lt;=$F45,MOD(EX$12,7)&gt;1,NOT(COUNTIF(General!$U$13:$U$19,EX$12))),$I45,"")</f>
        <v/>
      </c>
      <c r="EY45" s="390" t="str">
        <f>IF(AND(EY$12&gt;=$E45,EY$12&lt;=$F45,MOD(EY$12,7)&gt;1,NOT(COUNTIF(General!$U$13:$U$19,EY$12))),$I45,"")</f>
        <v/>
      </c>
      <c r="EZ45" s="390" t="str">
        <f>IF(AND(EZ$12&gt;=$E45,EZ$12&lt;=$F45,MOD(EZ$12,7)&gt;1,NOT(COUNTIF(General!$U$13:$U$19,EZ$12))),$I45,"")</f>
        <v/>
      </c>
      <c r="FA45" s="390" t="str">
        <f>IF(AND(FA$12&gt;=$E45,FA$12&lt;=$F45,MOD(FA$12,7)&gt;1,NOT(COUNTIF(General!$U$13:$U$19,FA$12))),$I45,"")</f>
        <v/>
      </c>
      <c r="FB45" s="390" t="str">
        <f>IF(AND(FB$12&gt;=$E45,FB$12&lt;=$F45,MOD(FB$12,7)&gt;1,NOT(COUNTIF(General!$U$13:$U$19,FB$12))),$I45,"")</f>
        <v/>
      </c>
      <c r="FC45" s="390" t="str">
        <f>IF(AND(FC$12&gt;=$E45,FC$12&lt;=$F45,MOD(FC$12,7)&gt;1,NOT(COUNTIF(General!$U$13:$U$19,FC$12))),$I45,"")</f>
        <v/>
      </c>
      <c r="FD45" s="390" t="str">
        <f>IF(AND(FD$12&gt;=$E45,FD$12&lt;=$F45,MOD(FD$12,7)&gt;1,NOT(COUNTIF(General!$U$13:$U$19,FD$12))),$I45,"")</f>
        <v/>
      </c>
      <c r="FE45" s="390" t="str">
        <f>IF(AND(FE$12&gt;=$E45,FE$12&lt;=$F45,MOD(FE$12,7)&gt;1,NOT(COUNTIF(General!$U$13:$U$19,FE$12))),$I45,"")</f>
        <v/>
      </c>
      <c r="FF45" s="390" t="str">
        <f>IF(AND(FF$12&gt;=$E45,FF$12&lt;=$F45,MOD(FF$12,7)&gt;1,NOT(COUNTIF(General!$U$13:$U$19,FF$12))),$I45,"")</f>
        <v/>
      </c>
      <c r="FG45" s="390" t="str">
        <f>IF(AND(FG$12&gt;=$E45,FG$12&lt;=$F45,MOD(FG$12,7)&gt;1,NOT(COUNTIF(General!$U$13:$U$19,FG$12))),$I45,"")</f>
        <v/>
      </c>
      <c r="FH45" s="390" t="str">
        <f>IF(AND(FH$12&gt;=$E45,FH$12&lt;=$F45,MOD(FH$12,7)&gt;1,NOT(COUNTIF(General!$U$13:$U$19,FH$12))),$I45,"")</f>
        <v/>
      </c>
      <c r="FI45" s="390" t="str">
        <f>IF(AND(FI$12&gt;=$E45,FI$12&lt;=$F45,MOD(FI$12,7)&gt;1,NOT(COUNTIF(General!$U$13:$U$19,FI$12))),$I45,"")</f>
        <v/>
      </c>
      <c r="FJ45" s="390" t="str">
        <f>IF(AND(FJ$12&gt;=$E45,FJ$12&lt;=$F45,MOD(FJ$12,7)&gt;1,NOT(COUNTIF(General!$U$13:$U$19,FJ$12))),$I45,"")</f>
        <v/>
      </c>
      <c r="FK45" s="390" t="str">
        <f>IF(AND(FK$12&gt;=$E45,FK$12&lt;=$F45,MOD(FK$12,7)&gt;1,NOT(COUNTIF(General!$U$13:$U$19,FK$12))),$I45,"")</f>
        <v/>
      </c>
      <c r="FL45" s="390" t="str">
        <f>IF(AND(FL$12&gt;=$E45,FL$12&lt;=$F45,MOD(FL$12,7)&gt;1,NOT(COUNTIF(General!$U$13:$U$19,FL$12))),$I45,"")</f>
        <v/>
      </c>
      <c r="FM45" s="390" t="str">
        <f>IF(AND(FM$12&gt;=$E45,FM$12&lt;=$F45,MOD(FM$12,7)&gt;1,NOT(COUNTIF(General!$U$13:$U$19,FM$12))),$I45,"")</f>
        <v/>
      </c>
      <c r="FN45" s="390" t="str">
        <f>IF(AND(FN$12&gt;=$E45,FN$12&lt;=$F45,MOD(FN$12,7)&gt;1,NOT(COUNTIF(General!$U$13:$U$19,FN$12))),$I45,"")</f>
        <v/>
      </c>
      <c r="FO45" s="390" t="str">
        <f>IF(AND(FO$12&gt;=$E45,FO$12&lt;=$F45,MOD(FO$12,7)&gt;1,NOT(COUNTIF(General!$U$13:$U$19,FO$12))),$I45,"")</f>
        <v/>
      </c>
      <c r="FP45" s="390" t="str">
        <f>IF(AND(FP$12&gt;=$E45,FP$12&lt;=$F45,MOD(FP$12,7)&gt;1,NOT(COUNTIF(General!$U$13:$U$19,FP$12))),$I45,"")</f>
        <v/>
      </c>
      <c r="FQ45" s="390" t="str">
        <f>IF(AND(FQ$12&gt;=$E45,FQ$12&lt;=$F45,MOD(FQ$12,7)&gt;1,NOT(COUNTIF(General!$U$13:$U$19,FQ$12))),$I45,"")</f>
        <v/>
      </c>
      <c r="FR45" s="390" t="str">
        <f>IF(AND(FR$12&gt;=$E45,FR$12&lt;=$F45,MOD(FR$12,7)&gt;1,NOT(COUNTIF(General!$U$13:$U$19,FR$12))),$I45,"")</f>
        <v/>
      </c>
      <c r="FS45" s="390" t="str">
        <f>IF(AND(FS$12&gt;=$E45,FS$12&lt;=$F45,MOD(FS$12,7)&gt;1,NOT(COUNTIF(General!$U$13:$U$19,FS$12))),$I45,"")</f>
        <v/>
      </c>
      <c r="FT45" s="390" t="str">
        <f>IF(AND(FT$12&gt;=$E45,FT$12&lt;=$F45,MOD(FT$12,7)&gt;1,NOT(COUNTIF(General!$U$13:$U$19,FT$12))),$I45,"")</f>
        <v/>
      </c>
      <c r="FU45" s="390" t="str">
        <f>IF(AND(FU$12&gt;=$E45,FU$12&lt;=$F45,MOD(FU$12,7)&gt;1,NOT(COUNTIF(General!$U$13:$U$19,FU$12))),$I45,"")</f>
        <v/>
      </c>
      <c r="FV45" s="390" t="str">
        <f>IF(AND(FV$12&gt;=$E45,FV$12&lt;=$F45,MOD(FV$12,7)&gt;1,NOT(COUNTIF(General!$U$13:$U$19,FV$12))),$I45,"")</f>
        <v/>
      </c>
      <c r="FW45" s="390" t="str">
        <f>IF(AND(FW$12&gt;=$E45,FW$12&lt;=$F45,MOD(FW$12,7)&gt;1,NOT(COUNTIF(General!$U$13:$U$19,FW$12))),$I45,"")</f>
        <v/>
      </c>
      <c r="FX45" s="390" t="str">
        <f>IF(AND(FX$12&gt;=$E45,FX$12&lt;=$F45,MOD(FX$12,7)&gt;1,NOT(COUNTIF(General!$U$13:$U$19,FX$12))),$I45,"")</f>
        <v/>
      </c>
    </row>
    <row r="46" ht="16.5" customHeight="1">
      <c r="A46" s="368"/>
      <c r="B46" s="369" t="s">
        <v>588</v>
      </c>
      <c r="C46" s="370"/>
      <c r="D46" s="579" t="s">
        <v>574</v>
      </c>
      <c r="E46" s="583">
        <v>43824.0</v>
      </c>
      <c r="F46" s="374">
        <f>WORKDAY(E46,ROUNDUP(G46/I46,0),General!$U$13:$U$27)-1</f>
        <v>43828</v>
      </c>
      <c r="G46" s="375">
        <v>3.0</v>
      </c>
      <c r="H46" s="377"/>
      <c r="I46" s="379">
        <v>1.0</v>
      </c>
      <c r="J46" s="379"/>
      <c r="K46" s="381"/>
      <c r="L46" s="382"/>
      <c r="M46" s="383"/>
      <c r="N46" s="384"/>
      <c r="O46" s="386"/>
      <c r="P46" s="388"/>
      <c r="Q46" s="390" t="str">
        <f>IF(AND(Q$12&gt;=$E46,Q$12&lt;=$F46,MOD(Q$12,7)&gt;1,NOT(COUNTIF(General!$U$13:$U$19,Q$12))),$I46,"")</f>
        <v/>
      </c>
      <c r="R46" s="390" t="str">
        <f>IF(AND(R$12&gt;=$E46,R$12&lt;=$F46,MOD(R$12,7)&gt;1,NOT(COUNTIF(General!$U$13:$U$19,R$12))),$I46,"")</f>
        <v/>
      </c>
      <c r="S46" s="390" t="str">
        <f>IF(AND(S$12&gt;=$E46,S$12&lt;=$F46,MOD(S$12,7)&gt;1,NOT(COUNTIF(General!$U$13:$U$19,S$12))),$I46,"")</f>
        <v/>
      </c>
      <c r="T46" s="390" t="str">
        <f>IF(AND(T$12&gt;=$E46,T$12&lt;=$F46,MOD(T$12,7)&gt;1,NOT(COUNTIF(General!$U$13:$U$19,T$12))),$I46,"")</f>
        <v/>
      </c>
      <c r="U46" s="390" t="str">
        <f>IF(AND(U$12&gt;=$E46,U$12&lt;=$F46,MOD(U$12,7)&gt;1,NOT(COUNTIF(General!$U$13:$U$19,U$12))),$I46,"")</f>
        <v/>
      </c>
      <c r="V46" s="390" t="str">
        <f>IF(AND(V$12&gt;=$E46,V$12&lt;=$F46,MOD(V$12,7)&gt;1,NOT(COUNTIF(General!$U$13:$U$19,V$12))),$I46,"")</f>
        <v/>
      </c>
      <c r="W46" s="390" t="str">
        <f>IF(AND(W$12&gt;=$E46,W$12&lt;=$F46,MOD(W$12,7)&gt;1,NOT(COUNTIF(General!$U$13:$U$19,W$12))),$I46,"")</f>
        <v/>
      </c>
      <c r="X46" s="390" t="str">
        <f>IF(AND(X$12&gt;=$E46,X$12&lt;=$F46,MOD(X$12,7)&gt;1,NOT(COUNTIF(General!$U$13:$U$19,X$12))),$I46,"")</f>
        <v/>
      </c>
      <c r="Y46" s="390" t="str">
        <f>IF(AND(Y$12&gt;=$E46,Y$12&lt;=$F46,MOD(Y$12,7)&gt;1,NOT(COUNTIF(General!$U$13:$U$19,Y$12))),$I46,"")</f>
        <v/>
      </c>
      <c r="Z46" s="390" t="str">
        <f>IF(AND(Z$12&gt;=$E46,Z$12&lt;=$F46,MOD(Z$12,7)&gt;1,NOT(COUNTIF(General!$U$13:$U$19,Z$12))),$I46,"")</f>
        <v/>
      </c>
      <c r="AA46" s="390" t="str">
        <f>IF(AND(AA$12&gt;=$E46,AA$12&lt;=$F46,MOD(AA$12,7)&gt;1,NOT(COUNTIF(General!$U$13:$U$19,AA$12))),$I46,"")</f>
        <v/>
      </c>
      <c r="AB46" s="390" t="str">
        <f>IF(AND(AB$12&gt;=$E46,AB$12&lt;=$F46,MOD(AB$12,7)&gt;1,NOT(COUNTIF(General!$U$13:$U$19,AB$12))),$I46,"")</f>
        <v/>
      </c>
      <c r="AC46" s="390" t="str">
        <f>IF(AND(AC$12&gt;=$E46,AC$12&lt;=$F46,MOD(AC$12,7)&gt;1,NOT(COUNTIF(General!$U$13:$U$19,AC$12))),$I46,"")</f>
        <v/>
      </c>
      <c r="AD46" s="390" t="str">
        <f>IF(AND(AD$12&gt;=$E46,AD$12&lt;=$F46,MOD(AD$12,7)&gt;1,NOT(COUNTIF(General!$U$13:$U$19,AD$12))),$I46,"")</f>
        <v/>
      </c>
      <c r="AE46" s="390" t="str">
        <f>IF(AND(AE$12&gt;=$E46,AE$12&lt;=$F46,MOD(AE$12,7)&gt;1,NOT(COUNTIF(General!$U$13:$U$19,AE$12))),$I46,"")</f>
        <v/>
      </c>
      <c r="AF46" s="390" t="str">
        <f>IF(AND(AF$12&gt;=$E46,AF$12&lt;=$F46,MOD(AF$12,7)&gt;1,NOT(COUNTIF(General!$U$13:$U$19,AF$12))),$I46,"")</f>
        <v/>
      </c>
      <c r="AG46" s="390" t="str">
        <f>IF(AND(AG$12&gt;=$E46,AG$12&lt;=$F46,MOD(AG$12,7)&gt;1,NOT(COUNTIF(General!$U$13:$U$19,AG$12))),$I46,"")</f>
        <v/>
      </c>
      <c r="AH46" s="390" t="str">
        <f>IF(AND(AH$12&gt;=$E46,AH$12&lt;=$F46,MOD(AH$12,7)&gt;1,NOT(COUNTIF(General!$U$13:$U$19,AH$12))),$I46,"")</f>
        <v/>
      </c>
      <c r="AI46" s="390" t="str">
        <f>IF(AND(AI$12&gt;=$E46,AI$12&lt;=$F46,MOD(AI$12,7)&gt;1,NOT(COUNTIF(General!$U$13:$U$19,AI$12))),$I46,"")</f>
        <v/>
      </c>
      <c r="AJ46" s="390" t="str">
        <f>IF(AND(AJ$12&gt;=$E46,AJ$12&lt;=$F46,MOD(AJ$12,7)&gt;1,NOT(COUNTIF(General!$U$13:$U$19,AJ$12))),$I46,"")</f>
        <v/>
      </c>
      <c r="AK46" s="390" t="str">
        <f>IF(AND(AK$12&gt;=$E46,AK$12&lt;=$F46,MOD(AK$12,7)&gt;1,NOT(COUNTIF(General!$U$13:$U$19,AK$12))),$I46,"")</f>
        <v/>
      </c>
      <c r="AL46" s="390" t="str">
        <f>IF(AND(AL$12&gt;=$E46,AL$12&lt;=$F46,MOD(AL$12,7)&gt;1,NOT(COUNTIF(General!$U$13:$U$19,AL$12))),$I46,"")</f>
        <v/>
      </c>
      <c r="AM46" s="390" t="str">
        <f>IF(AND(AM$12&gt;=$E46,AM$12&lt;=$F46,MOD(AM$12,7)&gt;1,NOT(COUNTIF(General!$U$13:$U$19,AM$12))),$I46,"")</f>
        <v/>
      </c>
      <c r="AN46" s="390">
        <f>IF(AND(AN$12&gt;=$E46,AN$12&lt;=$F46,MOD(AN$12,7)&gt;1,NOT(COUNTIF(General!$U$13:$U$19,AN$12))),$I46,"")</f>
        <v>1</v>
      </c>
      <c r="AO46" s="390">
        <f>IF(AND(AO$12&gt;=$E46,AO$12&lt;=$F46,MOD(AO$12,7)&gt;1,NOT(COUNTIF(General!$U$13:$U$19,AO$12))),$I46,"")</f>
        <v>1</v>
      </c>
      <c r="AP46" s="390">
        <f>IF(AND(AP$12&gt;=$E46,AP$12&lt;=$F46,MOD(AP$12,7)&gt;1,NOT(COUNTIF(General!$U$13:$U$19,AP$12))),$I46,"")</f>
        <v>1</v>
      </c>
      <c r="AQ46" s="390" t="str">
        <f>IF(AND(AQ$12&gt;=$E46,AQ$12&lt;=$F46,MOD(AQ$12,7)&gt;1,NOT(COUNTIF(General!$U$13:$U$19,AQ$12))),$I46,"")</f>
        <v/>
      </c>
      <c r="AR46" s="390" t="str">
        <f>IF(AND(AR$12&gt;=$E46,AR$12&lt;=$F46,MOD(AR$12,7)&gt;1,NOT(COUNTIF(General!$U$13:$U$19,AR$12))),$I46,"")</f>
        <v/>
      </c>
      <c r="AS46" s="390" t="str">
        <f>IF(AND(AS$12&gt;=$E46,AS$12&lt;=$F46,MOD(AS$12,7)&gt;1,NOT(COUNTIF(General!$U$13:$U$19,AS$12))),$I46,"")</f>
        <v/>
      </c>
      <c r="AT46" s="390" t="str">
        <f>IF(AND(AT$12&gt;=$E46,AT$12&lt;=$F46,MOD(AT$12,7)&gt;1,NOT(COUNTIF(General!$U$13:$U$19,AT$12))),$I46,"")</f>
        <v/>
      </c>
      <c r="AU46" s="390" t="str">
        <f>IF(AND(AU$12&gt;=$E46,AU$12&lt;=$F46,MOD(AU$12,7)&gt;1,NOT(COUNTIF(General!$U$13:$U$19,AU$12))),$I46,"")</f>
        <v/>
      </c>
      <c r="AV46" s="390" t="str">
        <f>IF(AND(AV$12&gt;=$E46,AV$12&lt;=$F46,MOD(AV$12,7)&gt;1,NOT(COUNTIF(General!$U$13:$U$19,AV$12))),$I46,"")</f>
        <v/>
      </c>
      <c r="AW46" s="390" t="str">
        <f>IF(AND(AW$12&gt;=$E46,AW$12&lt;=$F46,MOD(AW$12,7)&gt;1,NOT(COUNTIF(General!$U$13:$U$19,AW$12))),$I46,"")</f>
        <v/>
      </c>
      <c r="AX46" s="390" t="str">
        <f>IF(AND(AX$12&gt;=$E46,AX$12&lt;=$F46,MOD(AX$12,7)&gt;1,NOT(COUNTIF(General!$U$13:$U$19,AX$12))),$I46,"")</f>
        <v/>
      </c>
      <c r="AY46" s="390" t="str">
        <f>IF(AND(AY$12&gt;=$E46,AY$12&lt;=$F46,MOD(AY$12,7)&gt;1,NOT(COUNTIF(General!$U$13:$U$19,AY$12))),$I46,"")</f>
        <v/>
      </c>
      <c r="AZ46" s="390" t="str">
        <f>IF(AND(AZ$12&gt;=$E46,AZ$12&lt;=$F46,MOD(AZ$12,7)&gt;1,NOT(COUNTIF(General!$U$13:$U$19,AZ$12))),$I46,"")</f>
        <v/>
      </c>
      <c r="BA46" s="390" t="str">
        <f>IF(AND(BA$12&gt;=$E46,BA$12&lt;=$F46,MOD(BA$12,7)&gt;1,NOT(COUNTIF(General!$U$13:$U$19,BA$12))),$I46,"")</f>
        <v/>
      </c>
      <c r="BB46" s="390" t="str">
        <f>IF(AND(BB$12&gt;=$E46,BB$12&lt;=$F46,MOD(BB$12,7)&gt;1,NOT(COUNTIF(General!$U$13:$U$19,BB$12))),$I46,"")</f>
        <v/>
      </c>
      <c r="BC46" s="390" t="str">
        <f>IF(AND(BC$12&gt;=$E46,BC$12&lt;=$F46,MOD(BC$12,7)&gt;1,NOT(COUNTIF(General!$U$13:$U$19,BC$12))),$I46,"")</f>
        <v/>
      </c>
      <c r="BD46" s="390" t="str">
        <f>IF(AND(BD$12&gt;=$E46,BD$12&lt;=$F46,MOD(BD$12,7)&gt;1,NOT(COUNTIF(General!$U$13:$U$19,BD$12))),$I46,"")</f>
        <v/>
      </c>
      <c r="BE46" s="390" t="str">
        <f>IF(AND(BE$12&gt;=$E46,BE$12&lt;=$F46,MOD(BE$12,7)&gt;1,NOT(COUNTIF(General!$U$13:$U$19,BE$12))),$I46,"")</f>
        <v/>
      </c>
      <c r="BF46" s="390" t="str">
        <f>IF(AND(BF$12&gt;=$E46,BF$12&lt;=$F46,MOD(BF$12,7)&gt;1,NOT(COUNTIF(General!$U$13:$U$19,BF$12))),$I46,"")</f>
        <v/>
      </c>
      <c r="BG46" s="390" t="str">
        <f>IF(AND(BG$12&gt;=$E46,BG$12&lt;=$F46,MOD(BG$12,7)&gt;1,NOT(COUNTIF(General!$U$13:$U$19,BG$12))),$I46,"")</f>
        <v/>
      </c>
      <c r="BH46" s="390" t="str">
        <f>IF(AND(BH$12&gt;=$E46,BH$12&lt;=$F46,MOD(BH$12,7)&gt;1,NOT(COUNTIF(General!$U$13:$U$19,BH$12))),$I46,"")</f>
        <v/>
      </c>
      <c r="BI46" s="390" t="str">
        <f>IF(AND(BI$12&gt;=$E46,BI$12&lt;=$F46,MOD(BI$12,7)&gt;1,NOT(COUNTIF(General!$U$13:$U$19,BI$12))),$I46,"")</f>
        <v/>
      </c>
      <c r="BJ46" s="390" t="str">
        <f>IF(AND(BJ$12&gt;=$E46,BJ$12&lt;=$F46,MOD(BJ$12,7)&gt;1,NOT(COUNTIF(General!$U$13:$U$19,BJ$12))),$I46,"")</f>
        <v/>
      </c>
      <c r="BK46" s="390" t="str">
        <f>IF(AND(BK$12&gt;=$E46,BK$12&lt;=$F46,MOD(BK$12,7)&gt;1,NOT(COUNTIF(General!$U$13:$U$19,BK$12))),$I46,"")</f>
        <v/>
      </c>
      <c r="BL46" s="390" t="str">
        <f>IF(AND(BL$12&gt;=$E46,BL$12&lt;=$F46,MOD(BL$12,7)&gt;1,NOT(COUNTIF(General!$U$13:$U$19,BL$12))),$I46,"")</f>
        <v/>
      </c>
      <c r="BM46" s="390" t="str">
        <f>IF(AND(BM$12&gt;=$E46,BM$12&lt;=$F46,MOD(BM$12,7)&gt;1,NOT(COUNTIF(General!$U$13:$U$19,BM$12))),$I46,"")</f>
        <v/>
      </c>
      <c r="BN46" s="390" t="str">
        <f>IF(AND(BN$12&gt;=$E46,BN$12&lt;=$F46,MOD(BN$12,7)&gt;1,NOT(COUNTIF(General!$U$13:$U$19,BN$12))),$I46,"")</f>
        <v/>
      </c>
      <c r="BO46" s="390" t="str">
        <f>IF(AND(BO$12&gt;=$E46,BO$12&lt;=$F46,MOD(BO$12,7)&gt;1,NOT(COUNTIF(General!$U$13:$U$19,BO$12))),$I46,"")</f>
        <v/>
      </c>
      <c r="BP46" s="390" t="str">
        <f>IF(AND(BP$12&gt;=$E46,BP$12&lt;=$F46,MOD(BP$12,7)&gt;1,NOT(COUNTIF(General!$U$13:$U$19,BP$12))),$I46,"")</f>
        <v/>
      </c>
      <c r="BQ46" s="390" t="str">
        <f>IF(AND(BQ$12&gt;=$E46,BQ$12&lt;=$F46,MOD(BQ$12,7)&gt;1,NOT(COUNTIF(General!$U$13:$U$19,BQ$12))),$I46,"")</f>
        <v/>
      </c>
      <c r="BR46" s="390" t="str">
        <f>IF(AND(BR$12&gt;=$E46,BR$12&lt;=$F46,MOD(BR$12,7)&gt;1,NOT(COUNTIF(General!$U$13:$U$19,BR$12))),$I46,"")</f>
        <v/>
      </c>
      <c r="BS46" s="390" t="str">
        <f>IF(AND(BS$12&gt;=$E46,BS$12&lt;=$F46,MOD(BS$12,7)&gt;1,NOT(COUNTIF(General!$U$13:$U$19,BS$12))),$I46,"")</f>
        <v/>
      </c>
      <c r="BT46" s="390" t="str">
        <f>IF(AND(BT$12&gt;=$E46,BT$12&lt;=$F46,MOD(BT$12,7)&gt;1,NOT(COUNTIF(General!$U$13:$U$19,BT$12))),$I46,"")</f>
        <v/>
      </c>
      <c r="BU46" s="390" t="str">
        <f>IF(AND(BU$12&gt;=$E46,BU$12&lt;=$F46,MOD(BU$12,7)&gt;1,NOT(COUNTIF(General!$U$13:$U$19,BU$12))),$I46,"")</f>
        <v/>
      </c>
      <c r="BV46" s="390" t="str">
        <f>IF(AND(BV$12&gt;=$E46,BV$12&lt;=$F46,MOD(BV$12,7)&gt;1,NOT(COUNTIF(General!$U$13:$U$19,BV$12))),$I46,"")</f>
        <v/>
      </c>
      <c r="BW46" s="390" t="str">
        <f>IF(AND(BW$12&gt;=$E46,BW$12&lt;=$F46,MOD(BW$12,7)&gt;1,NOT(COUNTIF(General!$U$13:$U$19,BW$12))),$I46,"")</f>
        <v/>
      </c>
      <c r="BX46" s="390" t="str">
        <f>IF(AND(BX$12&gt;=$E46,BX$12&lt;=$F46,MOD(BX$12,7)&gt;1,NOT(COUNTIF(General!$U$13:$U$19,BX$12))),$I46,"")</f>
        <v/>
      </c>
      <c r="BY46" s="390" t="str">
        <f>IF(AND(BY$12&gt;=$E46,BY$12&lt;=$F46,MOD(BY$12,7)&gt;1,NOT(COUNTIF(General!$U$13:$U$19,BY$12))),$I46,"")</f>
        <v/>
      </c>
      <c r="BZ46" s="390" t="str">
        <f>IF(AND(BZ$12&gt;=$E46,BZ$12&lt;=$F46,MOD(BZ$12,7)&gt;1,NOT(COUNTIF(General!$U$13:$U$19,BZ$12))),$I46,"")</f>
        <v/>
      </c>
      <c r="CA46" s="390" t="str">
        <f>IF(AND(CA$12&gt;=$E46,CA$12&lt;=$F46,MOD(CA$12,7)&gt;1,NOT(COUNTIF(General!$U$13:$U$19,CA$12))),$I46,"")</f>
        <v/>
      </c>
      <c r="CB46" s="390" t="str">
        <f>IF(AND(CB$12&gt;=$E46,CB$12&lt;=$F46,MOD(CB$12,7)&gt;1,NOT(COUNTIF(General!$U$13:$U$19,CB$12))),$I46,"")</f>
        <v/>
      </c>
      <c r="CC46" s="390" t="str">
        <f>IF(AND(CC$12&gt;=$E46,CC$12&lt;=$F46,MOD(CC$12,7)&gt;1,NOT(COUNTIF(General!$U$13:$U$19,CC$12))),$I46,"")</f>
        <v/>
      </c>
      <c r="CD46" s="390" t="str">
        <f>IF(AND(CD$12&gt;=$E46,CD$12&lt;=$F46,MOD(CD$12,7)&gt;1,NOT(COUNTIF(General!$U$13:$U$19,CD$12))),$I46,"")</f>
        <v/>
      </c>
      <c r="CE46" s="390" t="str">
        <f>IF(AND(CE$12&gt;=$E46,CE$12&lt;=$F46,MOD(CE$12,7)&gt;1,NOT(COUNTIF(General!$U$13:$U$19,CE$12))),$I46,"")</f>
        <v/>
      </c>
      <c r="CF46" s="390" t="str">
        <f>IF(AND(CF$12&gt;=$E46,CF$12&lt;=$F46,MOD(CF$12,7)&gt;1,NOT(COUNTIF(General!$U$13:$U$19,CF$12))),$I46,"")</f>
        <v/>
      </c>
      <c r="CG46" s="390" t="str">
        <f>IF(AND(CG$12&gt;=$E46,CG$12&lt;=$F46,MOD(CG$12,7)&gt;1,NOT(COUNTIF(General!$U$13:$U$19,CG$12))),$I46,"")</f>
        <v/>
      </c>
      <c r="CH46" s="390" t="str">
        <f>IF(AND(CH$12&gt;=$E46,CH$12&lt;=$F46,MOD(CH$12,7)&gt;1,NOT(COUNTIF(General!$U$13:$U$19,CH$12))),$I46,"")</f>
        <v/>
      </c>
      <c r="CI46" s="390" t="str">
        <f>IF(AND(CI$12&gt;=$E46,CI$12&lt;=$F46,MOD(CI$12,7)&gt;1,NOT(COUNTIF(General!$U$13:$U$19,CI$12))),$I46,"")</f>
        <v/>
      </c>
      <c r="CJ46" s="390" t="str">
        <f>IF(AND(CJ$12&gt;=$E46,CJ$12&lt;=$F46,MOD(CJ$12,7)&gt;1,NOT(COUNTIF(General!$U$13:$U$19,CJ$12))),$I46,"")</f>
        <v/>
      </c>
      <c r="CK46" s="390" t="str">
        <f>IF(AND(CK$12&gt;=$E46,CK$12&lt;=$F46,MOD(CK$12,7)&gt;1,NOT(COUNTIF(General!$U$13:$U$19,CK$12))),$I46,"")</f>
        <v/>
      </c>
      <c r="CL46" s="390" t="str">
        <f>IF(AND(CL$12&gt;=$E46,CL$12&lt;=$F46,MOD(CL$12,7)&gt;1,NOT(COUNTIF(General!$U$13:$U$19,CL$12))),$I46,"")</f>
        <v/>
      </c>
      <c r="CM46" s="390" t="str">
        <f>IF(AND(CM$12&gt;=$E46,CM$12&lt;=$F46,MOD(CM$12,7)&gt;1,NOT(COUNTIF(General!$U$13:$U$19,CM$12))),$I46,"")</f>
        <v/>
      </c>
      <c r="CN46" s="390" t="str">
        <f>IF(AND(CN$12&gt;=$E46,CN$12&lt;=$F46,MOD(CN$12,7)&gt;1,NOT(COUNTIF(General!$U$13:$U$19,CN$12))),$I46,"")</f>
        <v/>
      </c>
      <c r="CO46" s="390" t="str">
        <f>IF(AND(CO$12&gt;=$E46,CO$12&lt;=$F46,MOD(CO$12,7)&gt;1,NOT(COUNTIF(General!$U$13:$U$19,CO$12))),$I46,"")</f>
        <v/>
      </c>
      <c r="CP46" s="390" t="str">
        <f>IF(AND(CP$12&gt;=$E46,CP$12&lt;=$F46,MOD(CP$12,7)&gt;1,NOT(COUNTIF(General!$U$13:$U$19,CP$12))),$I46,"")</f>
        <v/>
      </c>
      <c r="CQ46" s="390" t="str">
        <f>IF(AND(CQ$12&gt;=$E46,CQ$12&lt;=$F46,MOD(CQ$12,7)&gt;1,NOT(COUNTIF(General!$U$13:$U$19,CQ$12))),$I46,"")</f>
        <v/>
      </c>
      <c r="CR46" s="390" t="str">
        <f>IF(AND(CR$12&gt;=$E46,CR$12&lt;=$F46,MOD(CR$12,7)&gt;1,NOT(COUNTIF(General!$U$13:$U$19,CR$12))),$I46,"")</f>
        <v/>
      </c>
      <c r="CS46" s="390" t="str">
        <f>IF(AND(CS$12&gt;=$E46,CS$12&lt;=$F46,MOD(CS$12,7)&gt;1,NOT(COUNTIF(General!$U$13:$U$19,CS$12))),$I46,"")</f>
        <v/>
      </c>
      <c r="CT46" s="390" t="str">
        <f>IF(AND(CT$12&gt;=$E46,CT$12&lt;=$F46,MOD(CT$12,7)&gt;1,NOT(COUNTIF(General!$U$13:$U$19,CT$12))),$I46,"")</f>
        <v/>
      </c>
      <c r="CU46" s="390" t="str">
        <f>IF(AND(CU$12&gt;=$E46,CU$12&lt;=$F46,MOD(CU$12,7)&gt;1,NOT(COUNTIF(General!$U$13:$U$19,CU$12))),$I46,"")</f>
        <v/>
      </c>
      <c r="CV46" s="390" t="str">
        <f>IF(AND(CV$12&gt;=$E46,CV$12&lt;=$F46,MOD(CV$12,7)&gt;1,NOT(COUNTIF(General!$U$13:$U$19,CV$12))),$I46,"")</f>
        <v/>
      </c>
      <c r="CW46" s="390" t="str">
        <f>IF(AND(CW$12&gt;=$E46,CW$12&lt;=$F46,MOD(CW$12,7)&gt;1,NOT(COUNTIF(General!$U$13:$U$19,CW$12))),$I46,"")</f>
        <v/>
      </c>
      <c r="CX46" s="390" t="str">
        <f>IF(AND(CX$12&gt;=$E46,CX$12&lt;=$F46,MOD(CX$12,7)&gt;1,NOT(COUNTIF(General!$U$13:$U$19,CX$12))),$I46,"")</f>
        <v/>
      </c>
      <c r="CY46" s="390" t="str">
        <f>IF(AND(CY$12&gt;=$E46,CY$12&lt;=$F46,MOD(CY$12,7)&gt;1,NOT(COUNTIF(General!$U$13:$U$19,CY$12))),$I46,"")</f>
        <v/>
      </c>
      <c r="CZ46" s="390" t="str">
        <f>IF(AND(CZ$12&gt;=$E46,CZ$12&lt;=$F46,MOD(CZ$12,7)&gt;1,NOT(COUNTIF(General!$U$13:$U$19,CZ$12))),$I46,"")</f>
        <v/>
      </c>
      <c r="DA46" s="390" t="str">
        <f>IF(AND(DA$12&gt;=$E46,DA$12&lt;=$F46,MOD(DA$12,7)&gt;1,NOT(COUNTIF(General!$U$13:$U$19,DA$12))),$I46,"")</f>
        <v/>
      </c>
      <c r="DB46" s="390" t="str">
        <f>IF(AND(DB$12&gt;=$E46,DB$12&lt;=$F46,MOD(DB$12,7)&gt;1,NOT(COUNTIF(General!$U$13:$U$19,DB$12))),$I46,"")</f>
        <v/>
      </c>
      <c r="DC46" s="390" t="str">
        <f>IF(AND(DC$12&gt;=$E46,DC$12&lt;=$F46,MOD(DC$12,7)&gt;1,NOT(COUNTIF(General!$U$13:$U$19,DC$12))),$I46,"")</f>
        <v/>
      </c>
      <c r="DD46" s="390" t="str">
        <f>IF(AND(DD$12&gt;=$E46,DD$12&lt;=$F46,MOD(DD$12,7)&gt;1,NOT(COUNTIF(General!$U$13:$U$19,DD$12))),$I46,"")</f>
        <v/>
      </c>
      <c r="DE46" s="390" t="str">
        <f>IF(AND(DE$12&gt;=$E46,DE$12&lt;=$F46,MOD(DE$12,7)&gt;1,NOT(COUNTIF(General!$U$13:$U$19,DE$12))),$I46,"")</f>
        <v/>
      </c>
      <c r="DF46" s="390" t="str">
        <f>IF(AND(DF$12&gt;=$E46,DF$12&lt;=$F46,MOD(DF$12,7)&gt;1,NOT(COUNTIF(General!$U$13:$U$19,DF$12))),$I46,"")</f>
        <v/>
      </c>
      <c r="DG46" s="390" t="str">
        <f>IF(AND(DG$12&gt;=$E46,DG$12&lt;=$F46,MOD(DG$12,7)&gt;1,NOT(COUNTIF(General!$U$13:$U$19,DG$12))),$I46,"")</f>
        <v/>
      </c>
      <c r="DH46" s="390" t="str">
        <f>IF(AND(DH$12&gt;=$E46,DH$12&lt;=$F46,MOD(DH$12,7)&gt;1,NOT(COUNTIF(General!$U$13:$U$19,DH$12))),$I46,"")</f>
        <v/>
      </c>
      <c r="DI46" s="390" t="str">
        <f>IF(AND(DI$12&gt;=$E46,DI$12&lt;=$F46,MOD(DI$12,7)&gt;1,NOT(COUNTIF(General!$U$13:$U$19,DI$12))),$I46,"")</f>
        <v/>
      </c>
      <c r="DJ46" s="390" t="str">
        <f>IF(AND(DJ$12&gt;=$E46,DJ$12&lt;=$F46,MOD(DJ$12,7)&gt;1,NOT(COUNTIF(General!$U$13:$U$19,DJ$12))),$I46,"")</f>
        <v/>
      </c>
      <c r="DK46" s="390" t="str">
        <f>IF(AND(DK$12&gt;=$E46,DK$12&lt;=$F46,MOD(DK$12,7)&gt;1,NOT(COUNTIF(General!$U$13:$U$19,DK$12))),$I46,"")</f>
        <v/>
      </c>
      <c r="DL46" s="390" t="str">
        <f>IF(AND(DL$12&gt;=$E46,DL$12&lt;=$F46,MOD(DL$12,7)&gt;1,NOT(COUNTIF(General!$U$13:$U$19,DL$12))),$I46,"")</f>
        <v/>
      </c>
      <c r="DM46" s="390" t="str">
        <f>IF(AND(DM$12&gt;=$E46,DM$12&lt;=$F46,MOD(DM$12,7)&gt;1,NOT(COUNTIF(General!$U$13:$U$19,DM$12))),$I46,"")</f>
        <v/>
      </c>
      <c r="DN46" s="390" t="str">
        <f>IF(AND(DN$12&gt;=$E46,DN$12&lt;=$F46,MOD(DN$12,7)&gt;1,NOT(COUNTIF(General!$U$13:$U$19,DN$12))),$I46,"")</f>
        <v/>
      </c>
      <c r="DO46" s="390" t="str">
        <f>IF(AND(DO$12&gt;=$E46,DO$12&lt;=$F46,MOD(DO$12,7)&gt;1,NOT(COUNTIF(General!$U$13:$U$19,DO$12))),$I46,"")</f>
        <v/>
      </c>
      <c r="DP46" s="390" t="str">
        <f>IF(AND(DP$12&gt;=$E46,DP$12&lt;=$F46,MOD(DP$12,7)&gt;1,NOT(COUNTIF(General!$U$13:$U$19,DP$12))),$I46,"")</f>
        <v/>
      </c>
      <c r="DQ46" s="390" t="str">
        <f>IF(AND(DQ$12&gt;=$E46,DQ$12&lt;=$F46,MOD(DQ$12,7)&gt;1,NOT(COUNTIF(General!$U$13:$U$19,DQ$12))),$I46,"")</f>
        <v/>
      </c>
      <c r="DR46" s="390" t="str">
        <f>IF(AND(DR$12&gt;=$E46,DR$12&lt;=$F46,MOD(DR$12,7)&gt;1,NOT(COUNTIF(General!$U$13:$U$19,DR$12))),$I46,"")</f>
        <v/>
      </c>
      <c r="DS46" s="390" t="str">
        <f>IF(AND(DS$12&gt;=$E46,DS$12&lt;=$F46,MOD(DS$12,7)&gt;1,NOT(COUNTIF(General!$U$13:$U$19,DS$12))),$I46,"")</f>
        <v/>
      </c>
      <c r="DT46" s="390" t="str">
        <f>IF(AND(DT$12&gt;=$E46,DT$12&lt;=$F46,MOD(DT$12,7)&gt;1,NOT(COUNTIF(General!$U$13:$U$19,DT$12))),$I46,"")</f>
        <v/>
      </c>
      <c r="DU46" s="390" t="str">
        <f>IF(AND(DU$12&gt;=$E46,DU$12&lt;=$F46,MOD(DU$12,7)&gt;1,NOT(COUNTIF(General!$U$13:$U$19,DU$12))),$I46,"")</f>
        <v/>
      </c>
      <c r="DV46" s="390" t="str">
        <f>IF(AND(DV$12&gt;=$E46,DV$12&lt;=$F46,MOD(DV$12,7)&gt;1,NOT(COUNTIF(General!$U$13:$U$19,DV$12))),$I46,"")</f>
        <v/>
      </c>
      <c r="DW46" s="390" t="str">
        <f>IF(AND(DW$12&gt;=$E46,DW$12&lt;=$F46,MOD(DW$12,7)&gt;1,NOT(COUNTIF(General!$U$13:$U$19,DW$12))),$I46,"")</f>
        <v/>
      </c>
      <c r="DX46" s="390" t="str">
        <f>IF(AND(DX$12&gt;=$E46,DX$12&lt;=$F46,MOD(DX$12,7)&gt;1,NOT(COUNTIF(General!$U$13:$U$19,DX$12))),$I46,"")</f>
        <v/>
      </c>
      <c r="DY46" s="390" t="str">
        <f>IF(AND(DY$12&gt;=$E46,DY$12&lt;=$F46,MOD(DY$12,7)&gt;1,NOT(COUNTIF(General!$U$13:$U$19,DY$12))),$I46,"")</f>
        <v/>
      </c>
      <c r="DZ46" s="390" t="str">
        <f>IF(AND(DZ$12&gt;=$E46,DZ$12&lt;=$F46,MOD(DZ$12,7)&gt;1,NOT(COUNTIF(General!$U$13:$U$19,DZ$12))),$I46,"")</f>
        <v/>
      </c>
      <c r="EA46" s="390" t="str">
        <f>IF(AND(EA$12&gt;=$E46,EA$12&lt;=$F46,MOD(EA$12,7)&gt;1,NOT(COUNTIF(General!$U$13:$U$19,EA$12))),$I46,"")</f>
        <v/>
      </c>
      <c r="EB46" s="390" t="str">
        <f>IF(AND(EB$12&gt;=$E46,EB$12&lt;=$F46,MOD(EB$12,7)&gt;1,NOT(COUNTIF(General!$U$13:$U$19,EB$12))),$I46,"")</f>
        <v/>
      </c>
      <c r="EC46" s="390" t="str">
        <f>IF(AND(EC$12&gt;=$E46,EC$12&lt;=$F46,MOD(EC$12,7)&gt;1,NOT(COUNTIF(General!$U$13:$U$19,EC$12))),$I46,"")</f>
        <v/>
      </c>
      <c r="ED46" s="390" t="str">
        <f>IF(AND(ED$12&gt;=$E46,ED$12&lt;=$F46,MOD(ED$12,7)&gt;1,NOT(COUNTIF(General!$U$13:$U$19,ED$12))),$I46,"")</f>
        <v/>
      </c>
      <c r="EE46" s="390" t="str">
        <f>IF(AND(EE$12&gt;=$E46,EE$12&lt;=$F46,MOD(EE$12,7)&gt;1,NOT(COUNTIF(General!$U$13:$U$19,EE$12))),$I46,"")</f>
        <v/>
      </c>
      <c r="EF46" s="390" t="str">
        <f>IF(AND(EF$12&gt;=$E46,EF$12&lt;=$F46,MOD(EF$12,7)&gt;1,NOT(COUNTIF(General!$U$13:$U$19,EF$12))),$I46,"")</f>
        <v/>
      </c>
      <c r="EG46" s="390" t="str">
        <f>IF(AND(EG$12&gt;=$E46,EG$12&lt;=$F46,MOD(EG$12,7)&gt;1,NOT(COUNTIF(General!$U$13:$U$19,EG$12))),$I46,"")</f>
        <v/>
      </c>
      <c r="EH46" s="390" t="str">
        <f>IF(AND(EH$12&gt;=$E46,EH$12&lt;=$F46,MOD(EH$12,7)&gt;1,NOT(COUNTIF(General!$U$13:$U$19,EH$12))),$I46,"")</f>
        <v/>
      </c>
      <c r="EI46" s="390" t="str">
        <f>IF(AND(EI$12&gt;=$E46,EI$12&lt;=$F46,MOD(EI$12,7)&gt;1,NOT(COUNTIF(General!$U$13:$U$19,EI$12))),$I46,"")</f>
        <v/>
      </c>
      <c r="EJ46" s="390" t="str">
        <f>IF(AND(EJ$12&gt;=$E46,EJ$12&lt;=$F46,MOD(EJ$12,7)&gt;1,NOT(COUNTIF(General!$U$13:$U$19,EJ$12))),$I46,"")</f>
        <v/>
      </c>
      <c r="EK46" s="390" t="str">
        <f>IF(AND(EK$12&gt;=$E46,EK$12&lt;=$F46,MOD(EK$12,7)&gt;1,NOT(COUNTIF(General!$U$13:$U$19,EK$12))),$I46,"")</f>
        <v/>
      </c>
      <c r="EL46" s="390" t="str">
        <f>IF(AND(EL$12&gt;=$E46,EL$12&lt;=$F46,MOD(EL$12,7)&gt;1,NOT(COUNTIF(General!$U$13:$U$19,EL$12))),$I46,"")</f>
        <v/>
      </c>
      <c r="EM46" s="390" t="str">
        <f>IF(AND(EM$12&gt;=$E46,EM$12&lt;=$F46,MOD(EM$12,7)&gt;1,NOT(COUNTIF(General!$U$13:$U$19,EM$12))),$I46,"")</f>
        <v/>
      </c>
      <c r="EN46" s="390" t="str">
        <f>IF(AND(EN$12&gt;=$E46,EN$12&lt;=$F46,MOD(EN$12,7)&gt;1,NOT(COUNTIF(General!$U$13:$U$19,EN$12))),$I46,"")</f>
        <v/>
      </c>
      <c r="EO46" s="390" t="str">
        <f>IF(AND(EO$12&gt;=$E46,EO$12&lt;=$F46,MOD(EO$12,7)&gt;1,NOT(COUNTIF(General!$U$13:$U$19,EO$12))),$I46,"")</f>
        <v/>
      </c>
      <c r="EP46" s="390" t="str">
        <f>IF(AND(EP$12&gt;=$E46,EP$12&lt;=$F46,MOD(EP$12,7)&gt;1,NOT(COUNTIF(General!$U$13:$U$19,EP$12))),$I46,"")</f>
        <v/>
      </c>
      <c r="EQ46" s="390" t="str">
        <f>IF(AND(EQ$12&gt;=$E46,EQ$12&lt;=$F46,MOD(EQ$12,7)&gt;1,NOT(COUNTIF(General!$U$13:$U$19,EQ$12))),$I46,"")</f>
        <v/>
      </c>
      <c r="ER46" s="390" t="str">
        <f>IF(AND(ER$12&gt;=$E46,ER$12&lt;=$F46,MOD(ER$12,7)&gt;1,NOT(COUNTIF(General!$U$13:$U$19,ER$12))),$I46,"")</f>
        <v/>
      </c>
      <c r="ES46" s="390" t="str">
        <f>IF(AND(ES$12&gt;=$E46,ES$12&lt;=$F46,MOD(ES$12,7)&gt;1,NOT(COUNTIF(General!$U$13:$U$19,ES$12))),$I46,"")</f>
        <v/>
      </c>
      <c r="ET46" s="390" t="str">
        <f>IF(AND(ET$12&gt;=$E46,ET$12&lt;=$F46,MOD(ET$12,7)&gt;1,NOT(COUNTIF(General!$U$13:$U$19,ET$12))),$I46,"")</f>
        <v/>
      </c>
      <c r="EU46" s="390" t="str">
        <f>IF(AND(EU$12&gt;=$E46,EU$12&lt;=$F46,MOD(EU$12,7)&gt;1,NOT(COUNTIF(General!$U$13:$U$19,EU$12))),$I46,"")</f>
        <v/>
      </c>
      <c r="EV46" s="390" t="str">
        <f>IF(AND(EV$12&gt;=$E46,EV$12&lt;=$F46,MOD(EV$12,7)&gt;1,NOT(COUNTIF(General!$U$13:$U$19,EV$12))),$I46,"")</f>
        <v/>
      </c>
      <c r="EW46" s="390" t="str">
        <f>IF(AND(EW$12&gt;=$E46,EW$12&lt;=$F46,MOD(EW$12,7)&gt;1,NOT(COUNTIF(General!$U$13:$U$19,EW$12))),$I46,"")</f>
        <v/>
      </c>
      <c r="EX46" s="390" t="str">
        <f>IF(AND(EX$12&gt;=$E46,EX$12&lt;=$F46,MOD(EX$12,7)&gt;1,NOT(COUNTIF(General!$U$13:$U$19,EX$12))),$I46,"")</f>
        <v/>
      </c>
      <c r="EY46" s="390" t="str">
        <f>IF(AND(EY$12&gt;=$E46,EY$12&lt;=$F46,MOD(EY$12,7)&gt;1,NOT(COUNTIF(General!$U$13:$U$19,EY$12))),$I46,"")</f>
        <v/>
      </c>
      <c r="EZ46" s="390" t="str">
        <f>IF(AND(EZ$12&gt;=$E46,EZ$12&lt;=$F46,MOD(EZ$12,7)&gt;1,NOT(COUNTIF(General!$U$13:$U$19,EZ$12))),$I46,"")</f>
        <v/>
      </c>
      <c r="FA46" s="390" t="str">
        <f>IF(AND(FA$12&gt;=$E46,FA$12&lt;=$F46,MOD(FA$12,7)&gt;1,NOT(COUNTIF(General!$U$13:$U$19,FA$12))),$I46,"")</f>
        <v/>
      </c>
      <c r="FB46" s="390" t="str">
        <f>IF(AND(FB$12&gt;=$E46,FB$12&lt;=$F46,MOD(FB$12,7)&gt;1,NOT(COUNTIF(General!$U$13:$U$19,FB$12))),$I46,"")</f>
        <v/>
      </c>
      <c r="FC46" s="390" t="str">
        <f>IF(AND(FC$12&gt;=$E46,FC$12&lt;=$F46,MOD(FC$12,7)&gt;1,NOT(COUNTIF(General!$U$13:$U$19,FC$12))),$I46,"")</f>
        <v/>
      </c>
      <c r="FD46" s="390" t="str">
        <f>IF(AND(FD$12&gt;=$E46,FD$12&lt;=$F46,MOD(FD$12,7)&gt;1,NOT(COUNTIF(General!$U$13:$U$19,FD$12))),$I46,"")</f>
        <v/>
      </c>
      <c r="FE46" s="390" t="str">
        <f>IF(AND(FE$12&gt;=$E46,FE$12&lt;=$F46,MOD(FE$12,7)&gt;1,NOT(COUNTIF(General!$U$13:$U$19,FE$12))),$I46,"")</f>
        <v/>
      </c>
      <c r="FF46" s="390" t="str">
        <f>IF(AND(FF$12&gt;=$E46,FF$12&lt;=$F46,MOD(FF$12,7)&gt;1,NOT(COUNTIF(General!$U$13:$U$19,FF$12))),$I46,"")</f>
        <v/>
      </c>
      <c r="FG46" s="390" t="str">
        <f>IF(AND(FG$12&gt;=$E46,FG$12&lt;=$F46,MOD(FG$12,7)&gt;1,NOT(COUNTIF(General!$U$13:$U$19,FG$12))),$I46,"")</f>
        <v/>
      </c>
      <c r="FH46" s="390" t="str">
        <f>IF(AND(FH$12&gt;=$E46,FH$12&lt;=$F46,MOD(FH$12,7)&gt;1,NOT(COUNTIF(General!$U$13:$U$19,FH$12))),$I46,"")</f>
        <v/>
      </c>
      <c r="FI46" s="390" t="str">
        <f>IF(AND(FI$12&gt;=$E46,FI$12&lt;=$F46,MOD(FI$12,7)&gt;1,NOT(COUNTIF(General!$U$13:$U$19,FI$12))),$I46,"")</f>
        <v/>
      </c>
      <c r="FJ46" s="390" t="str">
        <f>IF(AND(FJ$12&gt;=$E46,FJ$12&lt;=$F46,MOD(FJ$12,7)&gt;1,NOT(COUNTIF(General!$U$13:$U$19,FJ$12))),$I46,"")</f>
        <v/>
      </c>
      <c r="FK46" s="390" t="str">
        <f>IF(AND(FK$12&gt;=$E46,FK$12&lt;=$F46,MOD(FK$12,7)&gt;1,NOT(COUNTIF(General!$U$13:$U$19,FK$12))),$I46,"")</f>
        <v/>
      </c>
      <c r="FL46" s="390" t="str">
        <f>IF(AND(FL$12&gt;=$E46,FL$12&lt;=$F46,MOD(FL$12,7)&gt;1,NOT(COUNTIF(General!$U$13:$U$19,FL$12))),$I46,"")</f>
        <v/>
      </c>
      <c r="FM46" s="390" t="str">
        <f>IF(AND(FM$12&gt;=$E46,FM$12&lt;=$F46,MOD(FM$12,7)&gt;1,NOT(COUNTIF(General!$U$13:$U$19,FM$12))),$I46,"")</f>
        <v/>
      </c>
      <c r="FN46" s="390" t="str">
        <f>IF(AND(FN$12&gt;=$E46,FN$12&lt;=$F46,MOD(FN$12,7)&gt;1,NOT(COUNTIF(General!$U$13:$U$19,FN$12))),$I46,"")</f>
        <v/>
      </c>
      <c r="FO46" s="390" t="str">
        <f>IF(AND(FO$12&gt;=$E46,FO$12&lt;=$F46,MOD(FO$12,7)&gt;1,NOT(COUNTIF(General!$U$13:$U$19,FO$12))),$I46,"")</f>
        <v/>
      </c>
      <c r="FP46" s="390" t="str">
        <f>IF(AND(FP$12&gt;=$E46,FP$12&lt;=$F46,MOD(FP$12,7)&gt;1,NOT(COUNTIF(General!$U$13:$U$19,FP$12))),$I46,"")</f>
        <v/>
      </c>
      <c r="FQ46" s="390" t="str">
        <f>IF(AND(FQ$12&gt;=$E46,FQ$12&lt;=$F46,MOD(FQ$12,7)&gt;1,NOT(COUNTIF(General!$U$13:$U$19,FQ$12))),$I46,"")</f>
        <v/>
      </c>
      <c r="FR46" s="390" t="str">
        <f>IF(AND(FR$12&gt;=$E46,FR$12&lt;=$F46,MOD(FR$12,7)&gt;1,NOT(COUNTIF(General!$U$13:$U$19,FR$12))),$I46,"")</f>
        <v/>
      </c>
      <c r="FS46" s="390" t="str">
        <f>IF(AND(FS$12&gt;=$E46,FS$12&lt;=$F46,MOD(FS$12,7)&gt;1,NOT(COUNTIF(General!$U$13:$U$19,FS$12))),$I46,"")</f>
        <v/>
      </c>
      <c r="FT46" s="390" t="str">
        <f>IF(AND(FT$12&gt;=$E46,FT$12&lt;=$F46,MOD(FT$12,7)&gt;1,NOT(COUNTIF(General!$U$13:$U$19,FT$12))),$I46,"")</f>
        <v/>
      </c>
      <c r="FU46" s="390" t="str">
        <f>IF(AND(FU$12&gt;=$E46,FU$12&lt;=$F46,MOD(FU$12,7)&gt;1,NOT(COUNTIF(General!$U$13:$U$19,FU$12))),$I46,"")</f>
        <v/>
      </c>
      <c r="FV46" s="390" t="str">
        <f>IF(AND(FV$12&gt;=$E46,FV$12&lt;=$F46,MOD(FV$12,7)&gt;1,NOT(COUNTIF(General!$U$13:$U$19,FV$12))),$I46,"")</f>
        <v/>
      </c>
      <c r="FW46" s="390" t="str">
        <f>IF(AND(FW$12&gt;=$E46,FW$12&lt;=$F46,MOD(FW$12,7)&gt;1,NOT(COUNTIF(General!$U$13:$U$19,FW$12))),$I46,"")</f>
        <v/>
      </c>
      <c r="FX46" s="390" t="str">
        <f>IF(AND(FX$12&gt;=$E46,FX$12&lt;=$F46,MOD(FX$12,7)&gt;1,NOT(COUNTIF(General!$U$13:$U$19,FX$12))),$I46,"")</f>
        <v/>
      </c>
    </row>
    <row r="47">
      <c r="A47" s="613"/>
      <c r="B47" s="369" t="s">
        <v>588</v>
      </c>
      <c r="C47" s="370"/>
      <c r="D47" s="572" t="s">
        <v>439</v>
      </c>
      <c r="E47" s="583">
        <v>43822.0</v>
      </c>
      <c r="F47" s="374">
        <f>WORKDAY(E47,ROUNDUP(G47/I47,0),General!$U$13:$U$27)-1</f>
        <v>43828</v>
      </c>
      <c r="G47" s="600">
        <v>5.0</v>
      </c>
      <c r="H47" s="377"/>
      <c r="I47" s="379">
        <v>1.0</v>
      </c>
      <c r="J47" s="379"/>
      <c r="K47" s="573"/>
      <c r="L47" s="573"/>
      <c r="M47" s="574"/>
      <c r="N47" s="384"/>
      <c r="O47" s="386"/>
      <c r="P47" s="575"/>
      <c r="Q47" s="390" t="str">
        <f>IF(AND(Q$12&gt;=$E47,Q$12&lt;=$F47,MOD(Q$12,7)&gt;1,NOT(COUNTIF(General!$U$13:$U$19,Q$12))),$I47,"")</f>
        <v/>
      </c>
      <c r="R47" s="390" t="str">
        <f>IF(AND(R$12&gt;=$E47,R$12&lt;=$F47,MOD(R$12,7)&gt;1,NOT(COUNTIF(General!$U$13:$U$19,R$12))),$I47,"")</f>
        <v/>
      </c>
      <c r="S47" s="390" t="str">
        <f>IF(AND(S$12&gt;=$E47,S$12&lt;=$F47,MOD(S$12,7)&gt;1,NOT(COUNTIF(General!$U$13:$U$19,S$12))),$I47,"")</f>
        <v/>
      </c>
      <c r="T47" s="390" t="str">
        <f>IF(AND(T$12&gt;=$E47,T$12&lt;=$F47,MOD(T$12,7)&gt;1,NOT(COUNTIF(General!$U$13:$U$19,T$12))),$I47,"")</f>
        <v/>
      </c>
      <c r="U47" s="390" t="str">
        <f>IF(AND(U$12&gt;=$E47,U$12&lt;=$F47,MOD(U$12,7)&gt;1,NOT(COUNTIF(General!$U$13:$U$19,U$12))),$I47,"")</f>
        <v/>
      </c>
      <c r="V47" s="390" t="str">
        <f>IF(AND(V$12&gt;=$E47,V$12&lt;=$F47,MOD(V$12,7)&gt;1,NOT(COUNTIF(General!$U$13:$U$19,V$12))),$I47,"")</f>
        <v/>
      </c>
      <c r="W47" s="390" t="str">
        <f>IF(AND(W$12&gt;=$E47,W$12&lt;=$F47,MOD(W$12,7)&gt;1,NOT(COUNTIF(General!$U$13:$U$19,W$12))),$I47,"")</f>
        <v/>
      </c>
      <c r="X47" s="390" t="str">
        <f>IF(AND(X$12&gt;=$E47,X$12&lt;=$F47,MOD(X$12,7)&gt;1,NOT(COUNTIF(General!$U$13:$U$19,X$12))),$I47,"")</f>
        <v/>
      </c>
      <c r="Y47" s="390" t="str">
        <f>IF(AND(Y$12&gt;=$E47,Y$12&lt;=$F47,MOD(Y$12,7)&gt;1,NOT(COUNTIF(General!$U$13:$U$19,Y$12))),$I47,"")</f>
        <v/>
      </c>
      <c r="Z47" s="390" t="str">
        <f>IF(AND(Z$12&gt;=$E47,Z$12&lt;=$F47,MOD(Z$12,7)&gt;1,NOT(COUNTIF(General!$U$13:$U$19,Z$12))),$I47,"")</f>
        <v/>
      </c>
      <c r="AA47" s="390" t="str">
        <f>IF(AND(AA$12&gt;=$E47,AA$12&lt;=$F47,MOD(AA$12,7)&gt;1,NOT(COUNTIF(General!$U$13:$U$19,AA$12))),$I47,"")</f>
        <v/>
      </c>
      <c r="AB47" s="390" t="str">
        <f>IF(AND(AB$12&gt;=$E47,AB$12&lt;=$F47,MOD(AB$12,7)&gt;1,NOT(COUNTIF(General!$U$13:$U$19,AB$12))),$I47,"")</f>
        <v/>
      </c>
      <c r="AC47" s="390" t="str">
        <f>IF(AND(AC$12&gt;=$E47,AC$12&lt;=$F47,MOD(AC$12,7)&gt;1,NOT(COUNTIF(General!$U$13:$U$19,AC$12))),$I47,"")</f>
        <v/>
      </c>
      <c r="AD47" s="390" t="str">
        <f>IF(AND(AD$12&gt;=$E47,AD$12&lt;=$F47,MOD(AD$12,7)&gt;1,NOT(COUNTIF(General!$U$13:$U$19,AD$12))),$I47,"")</f>
        <v/>
      </c>
      <c r="AE47" s="390" t="str">
        <f>IF(AND(AE$12&gt;=$E47,AE$12&lt;=$F47,MOD(AE$12,7)&gt;1,NOT(COUNTIF(General!$U$13:$U$19,AE$12))),$I47,"")</f>
        <v/>
      </c>
      <c r="AF47" s="390" t="str">
        <f>IF(AND(AF$12&gt;=$E47,AF$12&lt;=$F47,MOD(AF$12,7)&gt;1,NOT(COUNTIF(General!$U$13:$U$19,AF$12))),$I47,"")</f>
        <v/>
      </c>
      <c r="AG47" s="390" t="str">
        <f>IF(AND(AG$12&gt;=$E47,AG$12&lt;=$F47,MOD(AG$12,7)&gt;1,NOT(COUNTIF(General!$U$13:$U$19,AG$12))),$I47,"")</f>
        <v/>
      </c>
      <c r="AH47" s="390" t="str">
        <f>IF(AND(AH$12&gt;=$E47,AH$12&lt;=$F47,MOD(AH$12,7)&gt;1,NOT(COUNTIF(General!$U$13:$U$19,AH$12))),$I47,"")</f>
        <v/>
      </c>
      <c r="AI47" s="390" t="str">
        <f>IF(AND(AI$12&gt;=$E47,AI$12&lt;=$F47,MOD(AI$12,7)&gt;1,NOT(COUNTIF(General!$U$13:$U$19,AI$12))),$I47,"")</f>
        <v/>
      </c>
      <c r="AJ47" s="390" t="str">
        <f>IF(AND(AJ$12&gt;=$E47,AJ$12&lt;=$F47,MOD(AJ$12,7)&gt;1,NOT(COUNTIF(General!$U$13:$U$19,AJ$12))),$I47,"")</f>
        <v/>
      </c>
      <c r="AK47" s="390" t="str">
        <f>IF(AND(AK$12&gt;=$E47,AK$12&lt;=$F47,MOD(AK$12,7)&gt;1,NOT(COUNTIF(General!$U$13:$U$19,AK$12))),$I47,"")</f>
        <v/>
      </c>
      <c r="AL47" s="390">
        <f>IF(AND(AL$12&gt;=$E47,AL$12&lt;=$F47,MOD(AL$12,7)&gt;1,NOT(COUNTIF(General!$U$13:$U$19,AL$12))),$I47,"")</f>
        <v>1</v>
      </c>
      <c r="AM47" s="390">
        <f>IF(AND(AM$12&gt;=$E47,AM$12&lt;=$F47,MOD(AM$12,7)&gt;1,NOT(COUNTIF(General!$U$13:$U$19,AM$12))),$I47,"")</f>
        <v>1</v>
      </c>
      <c r="AN47" s="390">
        <f>IF(AND(AN$12&gt;=$E47,AN$12&lt;=$F47,MOD(AN$12,7)&gt;1,NOT(COUNTIF(General!$U$13:$U$19,AN$12))),$I47,"")</f>
        <v>1</v>
      </c>
      <c r="AO47" s="390">
        <f>IF(AND(AO$12&gt;=$E47,AO$12&lt;=$F47,MOD(AO$12,7)&gt;1,NOT(COUNTIF(General!$U$13:$U$19,AO$12))),$I47,"")</f>
        <v>1</v>
      </c>
      <c r="AP47" s="390">
        <f>IF(AND(AP$12&gt;=$E47,AP$12&lt;=$F47,MOD(AP$12,7)&gt;1,NOT(COUNTIF(General!$U$13:$U$19,AP$12))),$I47,"")</f>
        <v>1</v>
      </c>
      <c r="AQ47" s="390" t="str">
        <f>IF(AND(AQ$12&gt;=$E47,AQ$12&lt;=$F47,MOD(AQ$12,7)&gt;1,NOT(COUNTIF(General!$U$13:$U$19,AQ$12))),$I47,"")</f>
        <v/>
      </c>
      <c r="AR47" s="390" t="str">
        <f>IF(AND(AR$12&gt;=$E47,AR$12&lt;=$F47,MOD(AR$12,7)&gt;1,NOT(COUNTIF(General!$U$13:$U$19,AR$12))),$I47,"")</f>
        <v/>
      </c>
      <c r="AS47" s="390" t="str">
        <f>IF(AND(AS$12&gt;=$E47,AS$12&lt;=$F47,MOD(AS$12,7)&gt;1,NOT(COUNTIF(General!$U$13:$U$19,AS$12))),$I47,"")</f>
        <v/>
      </c>
      <c r="AT47" s="390" t="str">
        <f>IF(AND(AT$12&gt;=$E47,AT$12&lt;=$F47,MOD(AT$12,7)&gt;1,NOT(COUNTIF(General!$U$13:$U$19,AT$12))),$I47,"")</f>
        <v/>
      </c>
      <c r="AU47" s="390" t="str">
        <f>IF(AND(AU$12&gt;=$E47,AU$12&lt;=$F47,MOD(AU$12,7)&gt;1,NOT(COUNTIF(General!$U$13:$U$19,AU$12))),$I47,"")</f>
        <v/>
      </c>
      <c r="AV47" s="390" t="str">
        <f>IF(AND(AV$12&gt;=$E47,AV$12&lt;=$F47,MOD(AV$12,7)&gt;1,NOT(COUNTIF(General!$U$13:$U$19,AV$12))),$I47,"")</f>
        <v/>
      </c>
      <c r="AW47" s="390" t="str">
        <f>IF(AND(AW$12&gt;=$E47,AW$12&lt;=$F47,MOD(AW$12,7)&gt;1,NOT(COUNTIF(General!$U$13:$U$19,AW$12))),$I47,"")</f>
        <v/>
      </c>
      <c r="AX47" s="390" t="str">
        <f>IF(AND(AX$12&gt;=$E47,AX$12&lt;=$F47,MOD(AX$12,7)&gt;1,NOT(COUNTIF(General!$U$13:$U$19,AX$12))),$I47,"")</f>
        <v/>
      </c>
      <c r="AY47" s="390" t="str">
        <f>IF(AND(AY$12&gt;=$E47,AY$12&lt;=$F47,MOD(AY$12,7)&gt;1,NOT(COUNTIF(General!$U$13:$U$19,AY$12))),$I47,"")</f>
        <v/>
      </c>
      <c r="AZ47" s="390" t="str">
        <f>IF(AND(AZ$12&gt;=$E47,AZ$12&lt;=$F47,MOD(AZ$12,7)&gt;1,NOT(COUNTIF(General!$U$13:$U$19,AZ$12))),$I47,"")</f>
        <v/>
      </c>
      <c r="BA47" s="390" t="str">
        <f>IF(AND(BA$12&gt;=$E47,BA$12&lt;=$F47,MOD(BA$12,7)&gt;1,NOT(COUNTIF(General!$U$13:$U$19,BA$12))),$I47,"")</f>
        <v/>
      </c>
      <c r="BB47" s="390" t="str">
        <f>IF(AND(BB$12&gt;=$E47,BB$12&lt;=$F47,MOD(BB$12,7)&gt;1,NOT(COUNTIF(General!$U$13:$U$19,BB$12))),$I47,"")</f>
        <v/>
      </c>
      <c r="BC47" s="390" t="str">
        <f>IF(AND(BC$12&gt;=$E47,BC$12&lt;=$F47,MOD(BC$12,7)&gt;1,NOT(COUNTIF(General!$U$13:$U$19,BC$12))),$I47,"")</f>
        <v/>
      </c>
      <c r="BD47" s="390" t="str">
        <f>IF(AND(BD$12&gt;=$E47,BD$12&lt;=$F47,MOD(BD$12,7)&gt;1,NOT(COUNTIF(General!$U$13:$U$19,BD$12))),$I47,"")</f>
        <v/>
      </c>
      <c r="BE47" s="390" t="str">
        <f>IF(AND(BE$12&gt;=$E47,BE$12&lt;=$F47,MOD(BE$12,7)&gt;1,NOT(COUNTIF(General!$U$13:$U$19,BE$12))),$I47,"")</f>
        <v/>
      </c>
      <c r="BF47" s="390" t="str">
        <f>IF(AND(BF$12&gt;=$E47,BF$12&lt;=$F47,MOD(BF$12,7)&gt;1,NOT(COUNTIF(General!$U$13:$U$19,BF$12))),$I47,"")</f>
        <v/>
      </c>
      <c r="BG47" s="390" t="str">
        <f>IF(AND(BG$12&gt;=$E47,BG$12&lt;=$F47,MOD(BG$12,7)&gt;1,NOT(COUNTIF(General!$U$13:$U$19,BG$12))),$I47,"")</f>
        <v/>
      </c>
      <c r="BH47" s="390" t="str">
        <f>IF(AND(BH$12&gt;=$E47,BH$12&lt;=$F47,MOD(BH$12,7)&gt;1,NOT(COUNTIF(General!$U$13:$U$19,BH$12))),$I47,"")</f>
        <v/>
      </c>
      <c r="BI47" s="390" t="str">
        <f>IF(AND(BI$12&gt;=$E47,BI$12&lt;=$F47,MOD(BI$12,7)&gt;1,NOT(COUNTIF(General!$U$13:$U$19,BI$12))),$I47,"")</f>
        <v/>
      </c>
      <c r="BJ47" s="390" t="str">
        <f>IF(AND(BJ$12&gt;=$E47,BJ$12&lt;=$F47,MOD(BJ$12,7)&gt;1,NOT(COUNTIF(General!$U$13:$U$19,BJ$12))),$I47,"")</f>
        <v/>
      </c>
      <c r="BK47" s="390" t="str">
        <f>IF(AND(BK$12&gt;=$E47,BK$12&lt;=$F47,MOD(BK$12,7)&gt;1,NOT(COUNTIF(General!$U$13:$U$19,BK$12))),$I47,"")</f>
        <v/>
      </c>
      <c r="BL47" s="390" t="str">
        <f>IF(AND(BL$12&gt;=$E47,BL$12&lt;=$F47,MOD(BL$12,7)&gt;1,NOT(COUNTIF(General!$U$13:$U$19,BL$12))),$I47,"")</f>
        <v/>
      </c>
      <c r="BM47" s="390" t="str">
        <f>IF(AND(BM$12&gt;=$E47,BM$12&lt;=$F47,MOD(BM$12,7)&gt;1,NOT(COUNTIF(General!$U$13:$U$19,BM$12))),$I47,"")</f>
        <v/>
      </c>
      <c r="BN47" s="390" t="str">
        <f>IF(AND(BN$12&gt;=$E47,BN$12&lt;=$F47,MOD(BN$12,7)&gt;1,NOT(COUNTIF(General!$U$13:$U$19,BN$12))),$I47,"")</f>
        <v/>
      </c>
      <c r="BO47" s="390" t="str">
        <f>IF(AND(BO$12&gt;=$E47,BO$12&lt;=$F47,MOD(BO$12,7)&gt;1,NOT(COUNTIF(General!$U$13:$U$19,BO$12))),$I47,"")</f>
        <v/>
      </c>
      <c r="BP47" s="390" t="str">
        <f>IF(AND(BP$12&gt;=$E47,BP$12&lt;=$F47,MOD(BP$12,7)&gt;1,NOT(COUNTIF(General!$U$13:$U$19,BP$12))),$I47,"")</f>
        <v/>
      </c>
      <c r="BQ47" s="390" t="str">
        <f>IF(AND(BQ$12&gt;=$E47,BQ$12&lt;=$F47,MOD(BQ$12,7)&gt;1,NOT(COUNTIF(General!$U$13:$U$19,BQ$12))),$I47,"")</f>
        <v/>
      </c>
      <c r="BR47" s="390" t="str">
        <f>IF(AND(BR$12&gt;=$E47,BR$12&lt;=$F47,MOD(BR$12,7)&gt;1,NOT(COUNTIF(General!$U$13:$U$19,BR$12))),$I47,"")</f>
        <v/>
      </c>
      <c r="BS47" s="390" t="str">
        <f>IF(AND(BS$12&gt;=$E47,BS$12&lt;=$F47,MOD(BS$12,7)&gt;1,NOT(COUNTIF(General!$U$13:$U$19,BS$12))),$I47,"")</f>
        <v/>
      </c>
      <c r="BT47" s="390" t="str">
        <f>IF(AND(BT$12&gt;=$E47,BT$12&lt;=$F47,MOD(BT$12,7)&gt;1,NOT(COUNTIF(General!$U$13:$U$19,BT$12))),$I47,"")</f>
        <v/>
      </c>
      <c r="BU47" s="390" t="str">
        <f>IF(AND(BU$12&gt;=$E47,BU$12&lt;=$F47,MOD(BU$12,7)&gt;1,NOT(COUNTIF(General!$U$13:$U$19,BU$12))),$I47,"")</f>
        <v/>
      </c>
      <c r="BV47" s="390" t="str">
        <f>IF(AND(BV$12&gt;=$E47,BV$12&lt;=$F47,MOD(BV$12,7)&gt;1,NOT(COUNTIF(General!$U$13:$U$19,BV$12))),$I47,"")</f>
        <v/>
      </c>
      <c r="BW47" s="390" t="str">
        <f>IF(AND(BW$12&gt;=$E47,BW$12&lt;=$F47,MOD(BW$12,7)&gt;1,NOT(COUNTIF(General!$U$13:$U$19,BW$12))),$I47,"")</f>
        <v/>
      </c>
      <c r="BX47" s="390" t="str">
        <f>IF(AND(BX$12&gt;=$E47,BX$12&lt;=$F47,MOD(BX$12,7)&gt;1,NOT(COUNTIF(General!$U$13:$U$19,BX$12))),$I47,"")</f>
        <v/>
      </c>
      <c r="BY47" s="390" t="str">
        <f>IF(AND(BY$12&gt;=$E47,BY$12&lt;=$F47,MOD(BY$12,7)&gt;1,NOT(COUNTIF(General!$U$13:$U$19,BY$12))),$I47,"")</f>
        <v/>
      </c>
      <c r="BZ47" s="390" t="str">
        <f>IF(AND(BZ$12&gt;=$E47,BZ$12&lt;=$F47,MOD(BZ$12,7)&gt;1,NOT(COUNTIF(General!$U$13:$U$19,BZ$12))),$I47,"")</f>
        <v/>
      </c>
      <c r="CA47" s="390" t="str">
        <f>IF(AND(CA$12&gt;=$E47,CA$12&lt;=$F47,MOD(CA$12,7)&gt;1,NOT(COUNTIF(General!$U$13:$U$19,CA$12))),$I47,"")</f>
        <v/>
      </c>
      <c r="CB47" s="390" t="str">
        <f>IF(AND(CB$12&gt;=$E47,CB$12&lt;=$F47,MOD(CB$12,7)&gt;1,NOT(COUNTIF(General!$U$13:$U$19,CB$12))),$I47,"")</f>
        <v/>
      </c>
      <c r="CC47" s="390" t="str">
        <f>IF(AND(CC$12&gt;=$E47,CC$12&lt;=$F47,MOD(CC$12,7)&gt;1,NOT(COUNTIF(General!$U$13:$U$19,CC$12))),$I47,"")</f>
        <v/>
      </c>
      <c r="CD47" s="390" t="str">
        <f>IF(AND(CD$12&gt;=$E47,CD$12&lt;=$F47,MOD(CD$12,7)&gt;1,NOT(COUNTIF(General!$U$13:$U$19,CD$12))),$I47,"")</f>
        <v/>
      </c>
      <c r="CE47" s="390" t="str">
        <f>IF(AND(CE$12&gt;=$E47,CE$12&lt;=$F47,MOD(CE$12,7)&gt;1,NOT(COUNTIF(General!$U$13:$U$19,CE$12))),$I47,"")</f>
        <v/>
      </c>
      <c r="CF47" s="390" t="str">
        <f>IF(AND(CF$12&gt;=$E47,CF$12&lt;=$F47,MOD(CF$12,7)&gt;1,NOT(COUNTIF(General!$U$13:$U$19,CF$12))),$I47,"")</f>
        <v/>
      </c>
      <c r="CG47" s="390" t="str">
        <f>IF(AND(CG$12&gt;=$E47,CG$12&lt;=$F47,MOD(CG$12,7)&gt;1,NOT(COUNTIF(General!$U$13:$U$19,CG$12))),$I47,"")</f>
        <v/>
      </c>
      <c r="CH47" s="390" t="str">
        <f>IF(AND(CH$12&gt;=$E47,CH$12&lt;=$F47,MOD(CH$12,7)&gt;1,NOT(COUNTIF(General!$U$13:$U$19,CH$12))),$I47,"")</f>
        <v/>
      </c>
      <c r="CI47" s="390" t="str">
        <f>IF(AND(CI$12&gt;=$E47,CI$12&lt;=$F47,MOD(CI$12,7)&gt;1,NOT(COUNTIF(General!$U$13:$U$19,CI$12))),$I47,"")</f>
        <v/>
      </c>
      <c r="CJ47" s="390" t="str">
        <f>IF(AND(CJ$12&gt;=$E47,CJ$12&lt;=$F47,MOD(CJ$12,7)&gt;1,NOT(COUNTIF(General!$U$13:$U$19,CJ$12))),$I47,"")</f>
        <v/>
      </c>
      <c r="CK47" s="390" t="str">
        <f>IF(AND(CK$12&gt;=$E47,CK$12&lt;=$F47,MOD(CK$12,7)&gt;1,NOT(COUNTIF(General!$U$13:$U$19,CK$12))),$I47,"")</f>
        <v/>
      </c>
      <c r="CL47" s="390" t="str">
        <f>IF(AND(CL$12&gt;=$E47,CL$12&lt;=$F47,MOD(CL$12,7)&gt;1,NOT(COUNTIF(General!$U$13:$U$19,CL$12))),$I47,"")</f>
        <v/>
      </c>
      <c r="CM47" s="390" t="str">
        <f>IF(AND(CM$12&gt;=$E47,CM$12&lt;=$F47,MOD(CM$12,7)&gt;1,NOT(COUNTIF(General!$U$13:$U$19,CM$12))),$I47,"")</f>
        <v/>
      </c>
      <c r="CN47" s="390" t="str">
        <f>IF(AND(CN$12&gt;=$E47,CN$12&lt;=$F47,MOD(CN$12,7)&gt;1,NOT(COUNTIF(General!$U$13:$U$19,CN$12))),$I47,"")</f>
        <v/>
      </c>
      <c r="CO47" s="390" t="str">
        <f>IF(AND(CO$12&gt;=$E47,CO$12&lt;=$F47,MOD(CO$12,7)&gt;1,NOT(COUNTIF(General!$U$13:$U$19,CO$12))),$I47,"")</f>
        <v/>
      </c>
      <c r="CP47" s="390" t="str">
        <f>IF(AND(CP$12&gt;=$E47,CP$12&lt;=$F47,MOD(CP$12,7)&gt;1,NOT(COUNTIF(General!$U$13:$U$19,CP$12))),$I47,"")</f>
        <v/>
      </c>
      <c r="CQ47" s="390" t="str">
        <f>IF(AND(CQ$12&gt;=$E47,CQ$12&lt;=$F47,MOD(CQ$12,7)&gt;1,NOT(COUNTIF(General!$U$13:$U$19,CQ$12))),$I47,"")</f>
        <v/>
      </c>
      <c r="CR47" s="390" t="str">
        <f>IF(AND(CR$12&gt;=$E47,CR$12&lt;=$F47,MOD(CR$12,7)&gt;1,NOT(COUNTIF(General!$U$13:$U$19,CR$12))),$I47,"")</f>
        <v/>
      </c>
      <c r="CS47" s="390" t="str">
        <f>IF(AND(CS$12&gt;=$E47,CS$12&lt;=$F47,MOD(CS$12,7)&gt;1,NOT(COUNTIF(General!$U$13:$U$19,CS$12))),$I47,"")</f>
        <v/>
      </c>
      <c r="CT47" s="390" t="str">
        <f>IF(AND(CT$12&gt;=$E47,CT$12&lt;=$F47,MOD(CT$12,7)&gt;1,NOT(COUNTIF(General!$U$13:$U$19,CT$12))),$I47,"")</f>
        <v/>
      </c>
      <c r="CU47" s="390" t="str">
        <f>IF(AND(CU$12&gt;=$E47,CU$12&lt;=$F47,MOD(CU$12,7)&gt;1,NOT(COUNTIF(General!$U$13:$U$19,CU$12))),$I47,"")</f>
        <v/>
      </c>
      <c r="CV47" s="390" t="str">
        <f>IF(AND(CV$12&gt;=$E47,CV$12&lt;=$F47,MOD(CV$12,7)&gt;1,NOT(COUNTIF(General!$U$13:$U$19,CV$12))),$I47,"")</f>
        <v/>
      </c>
      <c r="CW47" s="390" t="str">
        <f>IF(AND(CW$12&gt;=$E47,CW$12&lt;=$F47,MOD(CW$12,7)&gt;1,NOT(COUNTIF(General!$U$13:$U$19,CW$12))),$I47,"")</f>
        <v/>
      </c>
      <c r="CX47" s="390" t="str">
        <f>IF(AND(CX$12&gt;=$E47,CX$12&lt;=$F47,MOD(CX$12,7)&gt;1,NOT(COUNTIF(General!$U$13:$U$19,CX$12))),$I47,"")</f>
        <v/>
      </c>
      <c r="CY47" s="390" t="str">
        <f>IF(AND(CY$12&gt;=$E47,CY$12&lt;=$F47,MOD(CY$12,7)&gt;1,NOT(COUNTIF(General!$U$13:$U$19,CY$12))),$I47,"")</f>
        <v/>
      </c>
      <c r="CZ47" s="390" t="str">
        <f>IF(AND(CZ$12&gt;=$E47,CZ$12&lt;=$F47,MOD(CZ$12,7)&gt;1,NOT(COUNTIF(General!$U$13:$U$19,CZ$12))),$I47,"")</f>
        <v/>
      </c>
      <c r="DA47" s="390" t="str">
        <f>IF(AND(DA$12&gt;=$E47,DA$12&lt;=$F47,MOD(DA$12,7)&gt;1,NOT(COUNTIF(General!$U$13:$U$19,DA$12))),$I47,"")</f>
        <v/>
      </c>
      <c r="DB47" s="390" t="str">
        <f>IF(AND(DB$12&gt;=$E47,DB$12&lt;=$F47,MOD(DB$12,7)&gt;1,NOT(COUNTIF(General!$U$13:$U$19,DB$12))),$I47,"")</f>
        <v/>
      </c>
      <c r="DC47" s="390" t="str">
        <f>IF(AND(DC$12&gt;=$E47,DC$12&lt;=$F47,MOD(DC$12,7)&gt;1,NOT(COUNTIF(General!$U$13:$U$19,DC$12))),$I47,"")</f>
        <v/>
      </c>
      <c r="DD47" s="390" t="str">
        <f>IF(AND(DD$12&gt;=$E47,DD$12&lt;=$F47,MOD(DD$12,7)&gt;1,NOT(COUNTIF(General!$U$13:$U$19,DD$12))),$I47,"")</f>
        <v/>
      </c>
      <c r="DE47" s="390" t="str">
        <f>IF(AND(DE$12&gt;=$E47,DE$12&lt;=$F47,MOD(DE$12,7)&gt;1,NOT(COUNTIF(General!$U$13:$U$19,DE$12))),$I47,"")</f>
        <v/>
      </c>
      <c r="DF47" s="390" t="str">
        <f>IF(AND(DF$12&gt;=$E47,DF$12&lt;=$F47,MOD(DF$12,7)&gt;1,NOT(COUNTIF(General!$U$13:$U$19,DF$12))),$I47,"")</f>
        <v/>
      </c>
      <c r="DG47" s="390" t="str">
        <f>IF(AND(DG$12&gt;=$E47,DG$12&lt;=$F47,MOD(DG$12,7)&gt;1,NOT(COUNTIF(General!$U$13:$U$19,DG$12))),$I47,"")</f>
        <v/>
      </c>
      <c r="DH47" s="390" t="str">
        <f>IF(AND(DH$12&gt;=$E47,DH$12&lt;=$F47,MOD(DH$12,7)&gt;1,NOT(COUNTIF(General!$U$13:$U$19,DH$12))),$I47,"")</f>
        <v/>
      </c>
      <c r="DI47" s="390" t="str">
        <f>IF(AND(DI$12&gt;=$E47,DI$12&lt;=$F47,MOD(DI$12,7)&gt;1,NOT(COUNTIF(General!$U$13:$U$19,DI$12))),$I47,"")</f>
        <v/>
      </c>
      <c r="DJ47" s="390" t="str">
        <f>IF(AND(DJ$12&gt;=$E47,DJ$12&lt;=$F47,MOD(DJ$12,7)&gt;1,NOT(COUNTIF(General!$U$13:$U$19,DJ$12))),$I47,"")</f>
        <v/>
      </c>
      <c r="DK47" s="390" t="str">
        <f>IF(AND(DK$12&gt;=$E47,DK$12&lt;=$F47,MOD(DK$12,7)&gt;1,NOT(COUNTIF(General!$U$13:$U$19,DK$12))),$I47,"")</f>
        <v/>
      </c>
      <c r="DL47" s="390" t="str">
        <f>IF(AND(DL$12&gt;=$E47,DL$12&lt;=$F47,MOD(DL$12,7)&gt;1,NOT(COUNTIF(General!$U$13:$U$19,DL$12))),$I47,"")</f>
        <v/>
      </c>
      <c r="DM47" s="390" t="str">
        <f>IF(AND(DM$12&gt;=$E47,DM$12&lt;=$F47,MOD(DM$12,7)&gt;1,NOT(COUNTIF(General!$U$13:$U$19,DM$12))),$I47,"")</f>
        <v/>
      </c>
      <c r="DN47" s="390" t="str">
        <f>IF(AND(DN$12&gt;=$E47,DN$12&lt;=$F47,MOD(DN$12,7)&gt;1,NOT(COUNTIF(General!$U$13:$U$19,DN$12))),$I47,"")</f>
        <v/>
      </c>
      <c r="DO47" s="390" t="str">
        <f>IF(AND(DO$12&gt;=$E47,DO$12&lt;=$F47,MOD(DO$12,7)&gt;1,NOT(COUNTIF(General!$U$13:$U$19,DO$12))),$I47,"")</f>
        <v/>
      </c>
      <c r="DP47" s="390" t="str">
        <f>IF(AND(DP$12&gt;=$E47,DP$12&lt;=$F47,MOD(DP$12,7)&gt;1,NOT(COUNTIF(General!$U$13:$U$19,DP$12))),$I47,"")</f>
        <v/>
      </c>
      <c r="DQ47" s="390" t="str">
        <f>IF(AND(DQ$12&gt;=$E47,DQ$12&lt;=$F47,MOD(DQ$12,7)&gt;1,NOT(COUNTIF(General!$U$13:$U$19,DQ$12))),$I47,"")</f>
        <v/>
      </c>
      <c r="DR47" s="390" t="str">
        <f>IF(AND(DR$12&gt;=$E47,DR$12&lt;=$F47,MOD(DR$12,7)&gt;1,NOT(COUNTIF(General!$U$13:$U$19,DR$12))),$I47,"")</f>
        <v/>
      </c>
      <c r="DS47" s="390" t="str">
        <f>IF(AND(DS$12&gt;=$E47,DS$12&lt;=$F47,MOD(DS$12,7)&gt;1,NOT(COUNTIF(General!$U$13:$U$19,DS$12))),$I47,"")</f>
        <v/>
      </c>
      <c r="DT47" s="390" t="str">
        <f>IF(AND(DT$12&gt;=$E47,DT$12&lt;=$F47,MOD(DT$12,7)&gt;1,NOT(COUNTIF(General!$U$13:$U$19,DT$12))),$I47,"")</f>
        <v/>
      </c>
      <c r="DU47" s="390" t="str">
        <f>IF(AND(DU$12&gt;=$E47,DU$12&lt;=$F47,MOD(DU$12,7)&gt;1,NOT(COUNTIF(General!$U$13:$U$19,DU$12))),$I47,"")</f>
        <v/>
      </c>
      <c r="DV47" s="390" t="str">
        <f>IF(AND(DV$12&gt;=$E47,DV$12&lt;=$F47,MOD(DV$12,7)&gt;1,NOT(COUNTIF(General!$U$13:$U$19,DV$12))),$I47,"")</f>
        <v/>
      </c>
      <c r="DW47" s="390" t="str">
        <f>IF(AND(DW$12&gt;=$E47,DW$12&lt;=$F47,MOD(DW$12,7)&gt;1,NOT(COUNTIF(General!$U$13:$U$19,DW$12))),$I47,"")</f>
        <v/>
      </c>
      <c r="DX47" s="390" t="str">
        <f>IF(AND(DX$12&gt;=$E47,DX$12&lt;=$F47,MOD(DX$12,7)&gt;1,NOT(COUNTIF(General!$U$13:$U$19,DX$12))),$I47,"")</f>
        <v/>
      </c>
      <c r="DY47" s="390" t="str">
        <f>IF(AND(DY$12&gt;=$E47,DY$12&lt;=$F47,MOD(DY$12,7)&gt;1,NOT(COUNTIF(General!$U$13:$U$19,DY$12))),$I47,"")</f>
        <v/>
      </c>
      <c r="DZ47" s="390" t="str">
        <f>IF(AND(DZ$12&gt;=$E47,DZ$12&lt;=$F47,MOD(DZ$12,7)&gt;1,NOT(COUNTIF(General!$U$13:$U$19,DZ$12))),$I47,"")</f>
        <v/>
      </c>
      <c r="EA47" s="390" t="str">
        <f>IF(AND(EA$12&gt;=$E47,EA$12&lt;=$F47,MOD(EA$12,7)&gt;1,NOT(COUNTIF(General!$U$13:$U$19,EA$12))),$I47,"")</f>
        <v/>
      </c>
      <c r="EB47" s="390" t="str">
        <f>IF(AND(EB$12&gt;=$E47,EB$12&lt;=$F47,MOD(EB$12,7)&gt;1,NOT(COUNTIF(General!$U$13:$U$19,EB$12))),$I47,"")</f>
        <v/>
      </c>
      <c r="EC47" s="390" t="str">
        <f>IF(AND(EC$12&gt;=$E47,EC$12&lt;=$F47,MOD(EC$12,7)&gt;1,NOT(COUNTIF(General!$U$13:$U$19,EC$12))),$I47,"")</f>
        <v/>
      </c>
      <c r="ED47" s="390" t="str">
        <f>IF(AND(ED$12&gt;=$E47,ED$12&lt;=$F47,MOD(ED$12,7)&gt;1,NOT(COUNTIF(General!$U$13:$U$19,ED$12))),$I47,"")</f>
        <v/>
      </c>
      <c r="EE47" s="390" t="str">
        <f>IF(AND(EE$12&gt;=$E47,EE$12&lt;=$F47,MOD(EE$12,7)&gt;1,NOT(COUNTIF(General!$U$13:$U$19,EE$12))),$I47,"")</f>
        <v/>
      </c>
      <c r="EF47" s="390" t="str">
        <f>IF(AND(EF$12&gt;=$E47,EF$12&lt;=$F47,MOD(EF$12,7)&gt;1,NOT(COUNTIF(General!$U$13:$U$19,EF$12))),$I47,"")</f>
        <v/>
      </c>
      <c r="EG47" s="390" t="str">
        <f>IF(AND(EG$12&gt;=$E47,EG$12&lt;=$F47,MOD(EG$12,7)&gt;1,NOT(COUNTIF(General!$U$13:$U$19,EG$12))),$I47,"")</f>
        <v/>
      </c>
      <c r="EH47" s="390" t="str">
        <f>IF(AND(EH$12&gt;=$E47,EH$12&lt;=$F47,MOD(EH$12,7)&gt;1,NOT(COUNTIF(General!$U$13:$U$19,EH$12))),$I47,"")</f>
        <v/>
      </c>
      <c r="EI47" s="390" t="str">
        <f>IF(AND(EI$12&gt;=$E47,EI$12&lt;=$F47,MOD(EI$12,7)&gt;1,NOT(COUNTIF(General!$U$13:$U$19,EI$12))),$I47,"")</f>
        <v/>
      </c>
      <c r="EJ47" s="390" t="str">
        <f>IF(AND(EJ$12&gt;=$E47,EJ$12&lt;=$F47,MOD(EJ$12,7)&gt;1,NOT(COUNTIF(General!$U$13:$U$19,EJ$12))),$I47,"")</f>
        <v/>
      </c>
      <c r="EK47" s="390" t="str">
        <f>IF(AND(EK$12&gt;=$E47,EK$12&lt;=$F47,MOD(EK$12,7)&gt;1,NOT(COUNTIF(General!$U$13:$U$19,EK$12))),$I47,"")</f>
        <v/>
      </c>
      <c r="EL47" s="390" t="str">
        <f>IF(AND(EL$12&gt;=$E47,EL$12&lt;=$F47,MOD(EL$12,7)&gt;1,NOT(COUNTIF(General!$U$13:$U$19,EL$12))),$I47,"")</f>
        <v/>
      </c>
      <c r="EM47" s="390" t="str">
        <f>IF(AND(EM$12&gt;=$E47,EM$12&lt;=$F47,MOD(EM$12,7)&gt;1,NOT(COUNTIF(General!$U$13:$U$19,EM$12))),$I47,"")</f>
        <v/>
      </c>
      <c r="EN47" s="390" t="str">
        <f>IF(AND(EN$12&gt;=$E47,EN$12&lt;=$F47,MOD(EN$12,7)&gt;1,NOT(COUNTIF(General!$U$13:$U$19,EN$12))),$I47,"")</f>
        <v/>
      </c>
      <c r="EO47" s="390" t="str">
        <f>IF(AND(EO$12&gt;=$E47,EO$12&lt;=$F47,MOD(EO$12,7)&gt;1,NOT(COUNTIF(General!$U$13:$U$19,EO$12))),$I47,"")</f>
        <v/>
      </c>
      <c r="EP47" s="390" t="str">
        <f>IF(AND(EP$12&gt;=$E47,EP$12&lt;=$F47,MOD(EP$12,7)&gt;1,NOT(COUNTIF(General!$U$13:$U$19,EP$12))),$I47,"")</f>
        <v/>
      </c>
      <c r="EQ47" s="390" t="str">
        <f>IF(AND(EQ$12&gt;=$E47,EQ$12&lt;=$F47,MOD(EQ$12,7)&gt;1,NOT(COUNTIF(General!$U$13:$U$19,EQ$12))),$I47,"")</f>
        <v/>
      </c>
      <c r="ER47" s="390" t="str">
        <f>IF(AND(ER$12&gt;=$E47,ER$12&lt;=$F47,MOD(ER$12,7)&gt;1,NOT(COUNTIF(General!$U$13:$U$19,ER$12))),$I47,"")</f>
        <v/>
      </c>
      <c r="ES47" s="390" t="str">
        <f>IF(AND(ES$12&gt;=$E47,ES$12&lt;=$F47,MOD(ES$12,7)&gt;1,NOT(COUNTIF(General!$U$13:$U$19,ES$12))),$I47,"")</f>
        <v/>
      </c>
      <c r="ET47" s="390" t="str">
        <f>IF(AND(ET$12&gt;=$E47,ET$12&lt;=$F47,MOD(ET$12,7)&gt;1,NOT(COUNTIF(General!$U$13:$U$19,ET$12))),$I47,"")</f>
        <v/>
      </c>
      <c r="EU47" s="390" t="str">
        <f>IF(AND(EU$12&gt;=$E47,EU$12&lt;=$F47,MOD(EU$12,7)&gt;1,NOT(COUNTIF(General!$U$13:$U$19,EU$12))),$I47,"")</f>
        <v/>
      </c>
      <c r="EV47" s="390" t="str">
        <f>IF(AND(EV$12&gt;=$E47,EV$12&lt;=$F47,MOD(EV$12,7)&gt;1,NOT(COUNTIF(General!$U$13:$U$19,EV$12))),$I47,"")</f>
        <v/>
      </c>
      <c r="EW47" s="390" t="str">
        <f>IF(AND(EW$12&gt;=$E47,EW$12&lt;=$F47,MOD(EW$12,7)&gt;1,NOT(COUNTIF(General!$U$13:$U$19,EW$12))),$I47,"")</f>
        <v/>
      </c>
      <c r="EX47" s="390" t="str">
        <f>IF(AND(EX$12&gt;=$E47,EX$12&lt;=$F47,MOD(EX$12,7)&gt;1,NOT(COUNTIF(General!$U$13:$U$19,EX$12))),$I47,"")</f>
        <v/>
      </c>
      <c r="EY47" s="390" t="str">
        <f>IF(AND(EY$12&gt;=$E47,EY$12&lt;=$F47,MOD(EY$12,7)&gt;1,NOT(COUNTIF(General!$U$13:$U$19,EY$12))),$I47,"")</f>
        <v/>
      </c>
      <c r="EZ47" s="390" t="str">
        <f>IF(AND(EZ$12&gt;=$E47,EZ$12&lt;=$F47,MOD(EZ$12,7)&gt;1,NOT(COUNTIF(General!$U$13:$U$19,EZ$12))),$I47,"")</f>
        <v/>
      </c>
      <c r="FA47" s="390" t="str">
        <f>IF(AND(FA$12&gt;=$E47,FA$12&lt;=$F47,MOD(FA$12,7)&gt;1,NOT(COUNTIF(General!$U$13:$U$19,FA$12))),$I47,"")</f>
        <v/>
      </c>
      <c r="FB47" s="390" t="str">
        <f>IF(AND(FB$12&gt;=$E47,FB$12&lt;=$F47,MOD(FB$12,7)&gt;1,NOT(COUNTIF(General!$U$13:$U$19,FB$12))),$I47,"")</f>
        <v/>
      </c>
      <c r="FC47" s="390" t="str">
        <f>IF(AND(FC$12&gt;=$E47,FC$12&lt;=$F47,MOD(FC$12,7)&gt;1,NOT(COUNTIF(General!$U$13:$U$19,FC$12))),$I47,"")</f>
        <v/>
      </c>
      <c r="FD47" s="390" t="str">
        <f>IF(AND(FD$12&gt;=$E47,FD$12&lt;=$F47,MOD(FD$12,7)&gt;1,NOT(COUNTIF(General!$U$13:$U$19,FD$12))),$I47,"")</f>
        <v/>
      </c>
      <c r="FE47" s="390" t="str">
        <f>IF(AND(FE$12&gt;=$E47,FE$12&lt;=$F47,MOD(FE$12,7)&gt;1,NOT(COUNTIF(General!$U$13:$U$19,FE$12))),$I47,"")</f>
        <v/>
      </c>
      <c r="FF47" s="390" t="str">
        <f>IF(AND(FF$12&gt;=$E47,FF$12&lt;=$F47,MOD(FF$12,7)&gt;1,NOT(COUNTIF(General!$U$13:$U$19,FF$12))),$I47,"")</f>
        <v/>
      </c>
      <c r="FG47" s="390" t="str">
        <f>IF(AND(FG$12&gt;=$E47,FG$12&lt;=$F47,MOD(FG$12,7)&gt;1,NOT(COUNTIF(General!$U$13:$U$19,FG$12))),$I47,"")</f>
        <v/>
      </c>
      <c r="FH47" s="390" t="str">
        <f>IF(AND(FH$12&gt;=$E47,FH$12&lt;=$F47,MOD(FH$12,7)&gt;1,NOT(COUNTIF(General!$U$13:$U$19,FH$12))),$I47,"")</f>
        <v/>
      </c>
      <c r="FI47" s="390" t="str">
        <f>IF(AND(FI$12&gt;=$E47,FI$12&lt;=$F47,MOD(FI$12,7)&gt;1,NOT(COUNTIF(General!$U$13:$U$19,FI$12))),$I47,"")</f>
        <v/>
      </c>
      <c r="FJ47" s="390" t="str">
        <f>IF(AND(FJ$12&gt;=$E47,FJ$12&lt;=$F47,MOD(FJ$12,7)&gt;1,NOT(COUNTIF(General!$U$13:$U$19,FJ$12))),$I47,"")</f>
        <v/>
      </c>
      <c r="FK47" s="390" t="str">
        <f>IF(AND(FK$12&gt;=$E47,FK$12&lt;=$F47,MOD(FK$12,7)&gt;1,NOT(COUNTIF(General!$U$13:$U$19,FK$12))),$I47,"")</f>
        <v/>
      </c>
      <c r="FL47" s="390" t="str">
        <f>IF(AND(FL$12&gt;=$E47,FL$12&lt;=$F47,MOD(FL$12,7)&gt;1,NOT(COUNTIF(General!$U$13:$U$19,FL$12))),$I47,"")</f>
        <v/>
      </c>
      <c r="FM47" s="390" t="str">
        <f>IF(AND(FM$12&gt;=$E47,FM$12&lt;=$F47,MOD(FM$12,7)&gt;1,NOT(COUNTIF(General!$U$13:$U$19,FM$12))),$I47,"")</f>
        <v/>
      </c>
      <c r="FN47" s="390" t="str">
        <f>IF(AND(FN$12&gt;=$E47,FN$12&lt;=$F47,MOD(FN$12,7)&gt;1,NOT(COUNTIF(General!$U$13:$U$19,FN$12))),$I47,"")</f>
        <v/>
      </c>
      <c r="FO47" s="390" t="str">
        <f>IF(AND(FO$12&gt;=$E47,FO$12&lt;=$F47,MOD(FO$12,7)&gt;1,NOT(COUNTIF(General!$U$13:$U$19,FO$12))),$I47,"")</f>
        <v/>
      </c>
      <c r="FP47" s="390" t="str">
        <f>IF(AND(FP$12&gt;=$E47,FP$12&lt;=$F47,MOD(FP$12,7)&gt;1,NOT(COUNTIF(General!$U$13:$U$19,FP$12))),$I47,"")</f>
        <v/>
      </c>
      <c r="FQ47" s="390" t="str">
        <f>IF(AND(FQ$12&gt;=$E47,FQ$12&lt;=$F47,MOD(FQ$12,7)&gt;1,NOT(COUNTIF(General!$U$13:$U$19,FQ$12))),$I47,"")</f>
        <v/>
      </c>
      <c r="FR47" s="390" t="str">
        <f>IF(AND(FR$12&gt;=$E47,FR$12&lt;=$F47,MOD(FR$12,7)&gt;1,NOT(COUNTIF(General!$U$13:$U$19,FR$12))),$I47,"")</f>
        <v/>
      </c>
      <c r="FS47" s="390" t="str">
        <f>IF(AND(FS$12&gt;=$E47,FS$12&lt;=$F47,MOD(FS$12,7)&gt;1,NOT(COUNTIF(General!$U$13:$U$19,FS$12))),$I47,"")</f>
        <v/>
      </c>
      <c r="FT47" s="390" t="str">
        <f>IF(AND(FT$12&gt;=$E47,FT$12&lt;=$F47,MOD(FT$12,7)&gt;1,NOT(COUNTIF(General!$U$13:$U$19,FT$12))),$I47,"")</f>
        <v/>
      </c>
      <c r="FU47" s="390" t="str">
        <f>IF(AND(FU$12&gt;=$E47,FU$12&lt;=$F47,MOD(FU$12,7)&gt;1,NOT(COUNTIF(General!$U$13:$U$19,FU$12))),$I47,"")</f>
        <v/>
      </c>
      <c r="FV47" s="390" t="str">
        <f>IF(AND(FV$12&gt;=$E47,FV$12&lt;=$F47,MOD(FV$12,7)&gt;1,NOT(COUNTIF(General!$U$13:$U$19,FV$12))),$I47,"")</f>
        <v/>
      </c>
      <c r="FW47" s="390" t="str">
        <f>IF(AND(FW$12&gt;=$E47,FW$12&lt;=$F47,MOD(FW$12,7)&gt;1,NOT(COUNTIF(General!$U$13:$U$19,FW$12))),$I47,"")</f>
        <v/>
      </c>
      <c r="FX47" s="390" t="str">
        <f>IF(AND(FX$12&gt;=$E47,FX$12&lt;=$F47,MOD(FX$12,7)&gt;1,NOT(COUNTIF(General!$U$13:$U$19,FX$12))),$I47,"")</f>
        <v/>
      </c>
    </row>
    <row r="48" ht="16.5" customHeight="1">
      <c r="A48" s="368"/>
      <c r="B48" s="369" t="s">
        <v>588</v>
      </c>
      <c r="C48" s="370"/>
      <c r="D48" s="579" t="s">
        <v>571</v>
      </c>
      <c r="E48" s="583">
        <v>43824.0</v>
      </c>
      <c r="F48" s="374">
        <f>WORKDAY(E48,ROUNDUP(G48/I48,0),General!$U$13:$U$27)-1</f>
        <v>43828</v>
      </c>
      <c r="G48" s="600">
        <v>3.0</v>
      </c>
      <c r="H48" s="377"/>
      <c r="I48" s="379">
        <v>1.0</v>
      </c>
      <c r="J48" s="379"/>
      <c r="K48" s="381"/>
      <c r="L48" s="382"/>
      <c r="M48" s="383"/>
      <c r="N48" s="384"/>
      <c r="O48" s="386"/>
      <c r="P48" s="388"/>
      <c r="Q48" s="390" t="str">
        <f>IF(AND(Q$12&gt;=$E48,Q$12&lt;=$F48,MOD(Q$12,7)&gt;1,NOT(COUNTIF(General!$U$13:$U$19,Q$12))),$I48,"")</f>
        <v/>
      </c>
      <c r="R48" s="390" t="str">
        <f>IF(AND(R$12&gt;=$E48,R$12&lt;=$F48,MOD(R$12,7)&gt;1,NOT(COUNTIF(General!$U$13:$U$19,R$12))),$I48,"")</f>
        <v/>
      </c>
      <c r="S48" s="390" t="str">
        <f>IF(AND(S$12&gt;=$E48,S$12&lt;=$F48,MOD(S$12,7)&gt;1,NOT(COUNTIF(General!$U$13:$U$19,S$12))),$I48,"")</f>
        <v/>
      </c>
      <c r="T48" s="390" t="str">
        <f>IF(AND(T$12&gt;=$E48,T$12&lt;=$F48,MOD(T$12,7)&gt;1,NOT(COUNTIF(General!$U$13:$U$19,T$12))),$I48,"")</f>
        <v/>
      </c>
      <c r="U48" s="390" t="str">
        <f>IF(AND(U$12&gt;=$E48,U$12&lt;=$F48,MOD(U$12,7)&gt;1,NOT(COUNTIF(General!$U$13:$U$19,U$12))),$I48,"")</f>
        <v/>
      </c>
      <c r="V48" s="390" t="str">
        <f>IF(AND(V$12&gt;=$E48,V$12&lt;=$F48,MOD(V$12,7)&gt;1,NOT(COUNTIF(General!$U$13:$U$19,V$12))),$I48,"")</f>
        <v/>
      </c>
      <c r="W48" s="390" t="str">
        <f>IF(AND(W$12&gt;=$E48,W$12&lt;=$F48,MOD(W$12,7)&gt;1,NOT(COUNTIF(General!$U$13:$U$19,W$12))),$I48,"")</f>
        <v/>
      </c>
      <c r="X48" s="390" t="str">
        <f>IF(AND(X$12&gt;=$E48,X$12&lt;=$F48,MOD(X$12,7)&gt;1,NOT(COUNTIF(General!$U$13:$U$19,X$12))),$I48,"")</f>
        <v/>
      </c>
      <c r="Y48" s="390" t="str">
        <f>IF(AND(Y$12&gt;=$E48,Y$12&lt;=$F48,MOD(Y$12,7)&gt;1,NOT(COUNTIF(General!$U$13:$U$19,Y$12))),$I48,"")</f>
        <v/>
      </c>
      <c r="Z48" s="390" t="str">
        <f>IF(AND(Z$12&gt;=$E48,Z$12&lt;=$F48,MOD(Z$12,7)&gt;1,NOT(COUNTIF(General!$U$13:$U$19,Z$12))),$I48,"")</f>
        <v/>
      </c>
      <c r="AA48" s="390" t="str">
        <f>IF(AND(AA$12&gt;=$E48,AA$12&lt;=$F48,MOD(AA$12,7)&gt;1,NOT(COUNTIF(General!$U$13:$U$19,AA$12))),$I48,"")</f>
        <v/>
      </c>
      <c r="AB48" s="390" t="str">
        <f>IF(AND(AB$12&gt;=$E48,AB$12&lt;=$F48,MOD(AB$12,7)&gt;1,NOT(COUNTIF(General!$U$13:$U$19,AB$12))),$I48,"")</f>
        <v/>
      </c>
      <c r="AC48" s="390" t="str">
        <f>IF(AND(AC$12&gt;=$E48,AC$12&lt;=$F48,MOD(AC$12,7)&gt;1,NOT(COUNTIF(General!$U$13:$U$19,AC$12))),$I48,"")</f>
        <v/>
      </c>
      <c r="AD48" s="390" t="str">
        <f>IF(AND(AD$12&gt;=$E48,AD$12&lt;=$F48,MOD(AD$12,7)&gt;1,NOT(COUNTIF(General!$U$13:$U$19,AD$12))),$I48,"")</f>
        <v/>
      </c>
      <c r="AE48" s="390" t="str">
        <f>IF(AND(AE$12&gt;=$E48,AE$12&lt;=$F48,MOD(AE$12,7)&gt;1,NOT(COUNTIF(General!$U$13:$U$19,AE$12))),$I48,"")</f>
        <v/>
      </c>
      <c r="AF48" s="390" t="str">
        <f>IF(AND(AF$12&gt;=$E48,AF$12&lt;=$F48,MOD(AF$12,7)&gt;1,NOT(COUNTIF(General!$U$13:$U$19,AF$12))),$I48,"")</f>
        <v/>
      </c>
      <c r="AG48" s="390" t="str">
        <f>IF(AND(AG$12&gt;=$E48,AG$12&lt;=$F48,MOD(AG$12,7)&gt;1,NOT(COUNTIF(General!$U$13:$U$19,AG$12))),$I48,"")</f>
        <v/>
      </c>
      <c r="AH48" s="390" t="str">
        <f>IF(AND(AH$12&gt;=$E48,AH$12&lt;=$F48,MOD(AH$12,7)&gt;1,NOT(COUNTIF(General!$U$13:$U$19,AH$12))),$I48,"")</f>
        <v/>
      </c>
      <c r="AI48" s="390" t="str">
        <f>IF(AND(AI$12&gt;=$E48,AI$12&lt;=$F48,MOD(AI$12,7)&gt;1,NOT(COUNTIF(General!$U$13:$U$19,AI$12))),$I48,"")</f>
        <v/>
      </c>
      <c r="AJ48" s="390" t="str">
        <f>IF(AND(AJ$12&gt;=$E48,AJ$12&lt;=$F48,MOD(AJ$12,7)&gt;1,NOT(COUNTIF(General!$U$13:$U$19,AJ$12))),$I48,"")</f>
        <v/>
      </c>
      <c r="AK48" s="390" t="str">
        <f>IF(AND(AK$12&gt;=$E48,AK$12&lt;=$F48,MOD(AK$12,7)&gt;1,NOT(COUNTIF(General!$U$13:$U$19,AK$12))),$I48,"")</f>
        <v/>
      </c>
      <c r="AL48" s="390" t="str">
        <f>IF(AND(AL$12&gt;=$E48,AL$12&lt;=$F48,MOD(AL$12,7)&gt;1,NOT(COUNTIF(General!$U$13:$U$19,AL$12))),$I48,"")</f>
        <v/>
      </c>
      <c r="AM48" s="390" t="str">
        <f>IF(AND(AM$12&gt;=$E48,AM$12&lt;=$F48,MOD(AM$12,7)&gt;1,NOT(COUNTIF(General!$U$13:$U$19,AM$12))),$I48,"")</f>
        <v/>
      </c>
      <c r="AN48" s="390">
        <f>IF(AND(AN$12&gt;=$E48,AN$12&lt;=$F48,MOD(AN$12,7)&gt;1,NOT(COUNTIF(General!$U$13:$U$19,AN$12))),$I48,"")</f>
        <v>1</v>
      </c>
      <c r="AO48" s="390">
        <f>IF(AND(AO$12&gt;=$E48,AO$12&lt;=$F48,MOD(AO$12,7)&gt;1,NOT(COUNTIF(General!$U$13:$U$19,AO$12))),$I48,"")</f>
        <v>1</v>
      </c>
      <c r="AP48" s="390">
        <f>IF(AND(AP$12&gt;=$E48,AP$12&lt;=$F48,MOD(AP$12,7)&gt;1,NOT(COUNTIF(General!$U$13:$U$19,AP$12))),$I48,"")</f>
        <v>1</v>
      </c>
      <c r="AQ48" s="390" t="str">
        <f>IF(AND(AQ$12&gt;=$E48,AQ$12&lt;=$F48,MOD(AQ$12,7)&gt;1,NOT(COUNTIF(General!$U$13:$U$19,AQ$12))),$I48,"")</f>
        <v/>
      </c>
      <c r="AR48" s="390" t="str">
        <f>IF(AND(AR$12&gt;=$E48,AR$12&lt;=$F48,MOD(AR$12,7)&gt;1,NOT(COUNTIF(General!$U$13:$U$19,AR$12))),$I48,"")</f>
        <v/>
      </c>
      <c r="AS48" s="390" t="str">
        <f>IF(AND(AS$12&gt;=$E48,AS$12&lt;=$F48,MOD(AS$12,7)&gt;1,NOT(COUNTIF(General!$U$13:$U$19,AS$12))),$I48,"")</f>
        <v/>
      </c>
      <c r="AT48" s="390" t="str">
        <f>IF(AND(AT$12&gt;=$E48,AT$12&lt;=$F48,MOD(AT$12,7)&gt;1,NOT(COUNTIF(General!$U$13:$U$19,AT$12))),$I48,"")</f>
        <v/>
      </c>
      <c r="AU48" s="390" t="str">
        <f>IF(AND(AU$12&gt;=$E48,AU$12&lt;=$F48,MOD(AU$12,7)&gt;1,NOT(COUNTIF(General!$U$13:$U$19,AU$12))),$I48,"")</f>
        <v/>
      </c>
      <c r="AV48" s="390" t="str">
        <f>IF(AND(AV$12&gt;=$E48,AV$12&lt;=$F48,MOD(AV$12,7)&gt;1,NOT(COUNTIF(General!$U$13:$U$19,AV$12))),$I48,"")</f>
        <v/>
      </c>
      <c r="AW48" s="390" t="str">
        <f>IF(AND(AW$12&gt;=$E48,AW$12&lt;=$F48,MOD(AW$12,7)&gt;1,NOT(COUNTIF(General!$U$13:$U$19,AW$12))),$I48,"")</f>
        <v/>
      </c>
      <c r="AX48" s="390" t="str">
        <f>IF(AND(AX$12&gt;=$E48,AX$12&lt;=$F48,MOD(AX$12,7)&gt;1,NOT(COUNTIF(General!$U$13:$U$19,AX$12))),$I48,"")</f>
        <v/>
      </c>
      <c r="AY48" s="390" t="str">
        <f>IF(AND(AY$12&gt;=$E48,AY$12&lt;=$F48,MOD(AY$12,7)&gt;1,NOT(COUNTIF(General!$U$13:$U$19,AY$12))),$I48,"")</f>
        <v/>
      </c>
      <c r="AZ48" s="390" t="str">
        <f>IF(AND(AZ$12&gt;=$E48,AZ$12&lt;=$F48,MOD(AZ$12,7)&gt;1,NOT(COUNTIF(General!$U$13:$U$19,AZ$12))),$I48,"")</f>
        <v/>
      </c>
      <c r="BA48" s="390" t="str">
        <f>IF(AND(BA$12&gt;=$E48,BA$12&lt;=$F48,MOD(BA$12,7)&gt;1,NOT(COUNTIF(General!$U$13:$U$19,BA$12))),$I48,"")</f>
        <v/>
      </c>
      <c r="BB48" s="390" t="str">
        <f>IF(AND(BB$12&gt;=$E48,BB$12&lt;=$F48,MOD(BB$12,7)&gt;1,NOT(COUNTIF(General!$U$13:$U$19,BB$12))),$I48,"")</f>
        <v/>
      </c>
      <c r="BC48" s="390" t="str">
        <f>IF(AND(BC$12&gt;=$E48,BC$12&lt;=$F48,MOD(BC$12,7)&gt;1,NOT(COUNTIF(General!$U$13:$U$19,BC$12))),$I48,"")</f>
        <v/>
      </c>
      <c r="BD48" s="390" t="str">
        <f>IF(AND(BD$12&gt;=$E48,BD$12&lt;=$F48,MOD(BD$12,7)&gt;1,NOT(COUNTIF(General!$U$13:$U$19,BD$12))),$I48,"")</f>
        <v/>
      </c>
      <c r="BE48" s="390" t="str">
        <f>IF(AND(BE$12&gt;=$E48,BE$12&lt;=$F48,MOD(BE$12,7)&gt;1,NOT(COUNTIF(General!$U$13:$U$19,BE$12))),$I48,"")</f>
        <v/>
      </c>
      <c r="BF48" s="390" t="str">
        <f>IF(AND(BF$12&gt;=$E48,BF$12&lt;=$F48,MOD(BF$12,7)&gt;1,NOT(COUNTIF(General!$U$13:$U$19,BF$12))),$I48,"")</f>
        <v/>
      </c>
      <c r="BG48" s="390" t="str">
        <f>IF(AND(BG$12&gt;=$E48,BG$12&lt;=$F48,MOD(BG$12,7)&gt;1,NOT(COUNTIF(General!$U$13:$U$19,BG$12))),$I48,"")</f>
        <v/>
      </c>
      <c r="BH48" s="390" t="str">
        <f>IF(AND(BH$12&gt;=$E48,BH$12&lt;=$F48,MOD(BH$12,7)&gt;1,NOT(COUNTIF(General!$U$13:$U$19,BH$12))),$I48,"")</f>
        <v/>
      </c>
      <c r="BI48" s="390" t="str">
        <f>IF(AND(BI$12&gt;=$E48,BI$12&lt;=$F48,MOD(BI$12,7)&gt;1,NOT(COUNTIF(General!$U$13:$U$19,BI$12))),$I48,"")</f>
        <v/>
      </c>
      <c r="BJ48" s="390" t="str">
        <f>IF(AND(BJ$12&gt;=$E48,BJ$12&lt;=$F48,MOD(BJ$12,7)&gt;1,NOT(COUNTIF(General!$U$13:$U$19,BJ$12))),$I48,"")</f>
        <v/>
      </c>
      <c r="BK48" s="390" t="str">
        <f>IF(AND(BK$12&gt;=$E48,BK$12&lt;=$F48,MOD(BK$12,7)&gt;1,NOT(COUNTIF(General!$U$13:$U$19,BK$12))),$I48,"")</f>
        <v/>
      </c>
      <c r="BL48" s="390" t="str">
        <f>IF(AND(BL$12&gt;=$E48,BL$12&lt;=$F48,MOD(BL$12,7)&gt;1,NOT(COUNTIF(General!$U$13:$U$19,BL$12))),$I48,"")</f>
        <v/>
      </c>
      <c r="BM48" s="390" t="str">
        <f>IF(AND(BM$12&gt;=$E48,BM$12&lt;=$F48,MOD(BM$12,7)&gt;1,NOT(COUNTIF(General!$U$13:$U$19,BM$12))),$I48,"")</f>
        <v/>
      </c>
      <c r="BN48" s="390" t="str">
        <f>IF(AND(BN$12&gt;=$E48,BN$12&lt;=$F48,MOD(BN$12,7)&gt;1,NOT(COUNTIF(General!$U$13:$U$19,BN$12))),$I48,"")</f>
        <v/>
      </c>
      <c r="BO48" s="390" t="str">
        <f>IF(AND(BO$12&gt;=$E48,BO$12&lt;=$F48,MOD(BO$12,7)&gt;1,NOT(COUNTIF(General!$U$13:$U$19,BO$12))),$I48,"")</f>
        <v/>
      </c>
      <c r="BP48" s="390" t="str">
        <f>IF(AND(BP$12&gt;=$E48,BP$12&lt;=$F48,MOD(BP$12,7)&gt;1,NOT(COUNTIF(General!$U$13:$U$19,BP$12))),$I48,"")</f>
        <v/>
      </c>
      <c r="BQ48" s="390" t="str">
        <f>IF(AND(BQ$12&gt;=$E48,BQ$12&lt;=$F48,MOD(BQ$12,7)&gt;1,NOT(COUNTIF(General!$U$13:$U$19,BQ$12))),$I48,"")</f>
        <v/>
      </c>
      <c r="BR48" s="390" t="str">
        <f>IF(AND(BR$12&gt;=$E48,BR$12&lt;=$F48,MOD(BR$12,7)&gt;1,NOT(COUNTIF(General!$U$13:$U$19,BR$12))),$I48,"")</f>
        <v/>
      </c>
      <c r="BS48" s="390" t="str">
        <f>IF(AND(BS$12&gt;=$E48,BS$12&lt;=$F48,MOD(BS$12,7)&gt;1,NOT(COUNTIF(General!$U$13:$U$19,BS$12))),$I48,"")</f>
        <v/>
      </c>
      <c r="BT48" s="390" t="str">
        <f>IF(AND(BT$12&gt;=$E48,BT$12&lt;=$F48,MOD(BT$12,7)&gt;1,NOT(COUNTIF(General!$U$13:$U$19,BT$12))),$I48,"")</f>
        <v/>
      </c>
      <c r="BU48" s="390" t="str">
        <f>IF(AND(BU$12&gt;=$E48,BU$12&lt;=$F48,MOD(BU$12,7)&gt;1,NOT(COUNTIF(General!$U$13:$U$19,BU$12))),$I48,"")</f>
        <v/>
      </c>
      <c r="BV48" s="390" t="str">
        <f>IF(AND(BV$12&gt;=$E48,BV$12&lt;=$F48,MOD(BV$12,7)&gt;1,NOT(COUNTIF(General!$U$13:$U$19,BV$12))),$I48,"")</f>
        <v/>
      </c>
      <c r="BW48" s="390" t="str">
        <f>IF(AND(BW$12&gt;=$E48,BW$12&lt;=$F48,MOD(BW$12,7)&gt;1,NOT(COUNTIF(General!$U$13:$U$19,BW$12))),$I48,"")</f>
        <v/>
      </c>
      <c r="BX48" s="390" t="str">
        <f>IF(AND(BX$12&gt;=$E48,BX$12&lt;=$F48,MOD(BX$12,7)&gt;1,NOT(COUNTIF(General!$U$13:$U$19,BX$12))),$I48,"")</f>
        <v/>
      </c>
      <c r="BY48" s="390" t="str">
        <f>IF(AND(BY$12&gt;=$E48,BY$12&lt;=$F48,MOD(BY$12,7)&gt;1,NOT(COUNTIF(General!$U$13:$U$19,BY$12))),$I48,"")</f>
        <v/>
      </c>
      <c r="BZ48" s="390" t="str">
        <f>IF(AND(BZ$12&gt;=$E48,BZ$12&lt;=$F48,MOD(BZ$12,7)&gt;1,NOT(COUNTIF(General!$U$13:$U$19,BZ$12))),$I48,"")</f>
        <v/>
      </c>
      <c r="CA48" s="390" t="str">
        <f>IF(AND(CA$12&gt;=$E48,CA$12&lt;=$F48,MOD(CA$12,7)&gt;1,NOT(COUNTIF(General!$U$13:$U$19,CA$12))),$I48,"")</f>
        <v/>
      </c>
      <c r="CB48" s="390" t="str">
        <f>IF(AND(CB$12&gt;=$E48,CB$12&lt;=$F48,MOD(CB$12,7)&gt;1,NOT(COUNTIF(General!$U$13:$U$19,CB$12))),$I48,"")</f>
        <v/>
      </c>
      <c r="CC48" s="390" t="str">
        <f>IF(AND(CC$12&gt;=$E48,CC$12&lt;=$F48,MOD(CC$12,7)&gt;1,NOT(COUNTIF(General!$U$13:$U$19,CC$12))),$I48,"")</f>
        <v/>
      </c>
      <c r="CD48" s="390" t="str">
        <f>IF(AND(CD$12&gt;=$E48,CD$12&lt;=$F48,MOD(CD$12,7)&gt;1,NOT(COUNTIF(General!$U$13:$U$19,CD$12))),$I48,"")</f>
        <v/>
      </c>
      <c r="CE48" s="390" t="str">
        <f>IF(AND(CE$12&gt;=$E48,CE$12&lt;=$F48,MOD(CE$12,7)&gt;1,NOT(COUNTIF(General!$U$13:$U$19,CE$12))),$I48,"")</f>
        <v/>
      </c>
      <c r="CF48" s="390" t="str">
        <f>IF(AND(CF$12&gt;=$E48,CF$12&lt;=$F48,MOD(CF$12,7)&gt;1,NOT(COUNTIF(General!$U$13:$U$19,CF$12))),$I48,"")</f>
        <v/>
      </c>
      <c r="CG48" s="390" t="str">
        <f>IF(AND(CG$12&gt;=$E48,CG$12&lt;=$F48,MOD(CG$12,7)&gt;1,NOT(COUNTIF(General!$U$13:$U$19,CG$12))),$I48,"")</f>
        <v/>
      </c>
      <c r="CH48" s="390" t="str">
        <f>IF(AND(CH$12&gt;=$E48,CH$12&lt;=$F48,MOD(CH$12,7)&gt;1,NOT(COUNTIF(General!$U$13:$U$19,CH$12))),$I48,"")</f>
        <v/>
      </c>
      <c r="CI48" s="390" t="str">
        <f>IF(AND(CI$12&gt;=$E48,CI$12&lt;=$F48,MOD(CI$12,7)&gt;1,NOT(COUNTIF(General!$U$13:$U$19,CI$12))),$I48,"")</f>
        <v/>
      </c>
      <c r="CJ48" s="390" t="str">
        <f>IF(AND(CJ$12&gt;=$E48,CJ$12&lt;=$F48,MOD(CJ$12,7)&gt;1,NOT(COUNTIF(General!$U$13:$U$19,CJ$12))),$I48,"")</f>
        <v/>
      </c>
      <c r="CK48" s="390" t="str">
        <f>IF(AND(CK$12&gt;=$E48,CK$12&lt;=$F48,MOD(CK$12,7)&gt;1,NOT(COUNTIF(General!$U$13:$U$19,CK$12))),$I48,"")</f>
        <v/>
      </c>
      <c r="CL48" s="390" t="str">
        <f>IF(AND(CL$12&gt;=$E48,CL$12&lt;=$F48,MOD(CL$12,7)&gt;1,NOT(COUNTIF(General!$U$13:$U$19,CL$12))),$I48,"")</f>
        <v/>
      </c>
      <c r="CM48" s="390" t="str">
        <f>IF(AND(CM$12&gt;=$E48,CM$12&lt;=$F48,MOD(CM$12,7)&gt;1,NOT(COUNTIF(General!$U$13:$U$19,CM$12))),$I48,"")</f>
        <v/>
      </c>
      <c r="CN48" s="390" t="str">
        <f>IF(AND(CN$12&gt;=$E48,CN$12&lt;=$F48,MOD(CN$12,7)&gt;1,NOT(COUNTIF(General!$U$13:$U$19,CN$12))),$I48,"")</f>
        <v/>
      </c>
      <c r="CO48" s="390" t="str">
        <f>IF(AND(CO$12&gt;=$E48,CO$12&lt;=$F48,MOD(CO$12,7)&gt;1,NOT(COUNTIF(General!$U$13:$U$19,CO$12))),$I48,"")</f>
        <v/>
      </c>
      <c r="CP48" s="390" t="str">
        <f>IF(AND(CP$12&gt;=$E48,CP$12&lt;=$F48,MOD(CP$12,7)&gt;1,NOT(COUNTIF(General!$U$13:$U$19,CP$12))),$I48,"")</f>
        <v/>
      </c>
      <c r="CQ48" s="390" t="str">
        <f>IF(AND(CQ$12&gt;=$E48,CQ$12&lt;=$F48,MOD(CQ$12,7)&gt;1,NOT(COUNTIF(General!$U$13:$U$19,CQ$12))),$I48,"")</f>
        <v/>
      </c>
      <c r="CR48" s="390" t="str">
        <f>IF(AND(CR$12&gt;=$E48,CR$12&lt;=$F48,MOD(CR$12,7)&gt;1,NOT(COUNTIF(General!$U$13:$U$19,CR$12))),$I48,"")</f>
        <v/>
      </c>
      <c r="CS48" s="390" t="str">
        <f>IF(AND(CS$12&gt;=$E48,CS$12&lt;=$F48,MOD(CS$12,7)&gt;1,NOT(COUNTIF(General!$U$13:$U$19,CS$12))),$I48,"")</f>
        <v/>
      </c>
      <c r="CT48" s="390" t="str">
        <f>IF(AND(CT$12&gt;=$E48,CT$12&lt;=$F48,MOD(CT$12,7)&gt;1,NOT(COUNTIF(General!$U$13:$U$19,CT$12))),$I48,"")</f>
        <v/>
      </c>
      <c r="CU48" s="390" t="str">
        <f>IF(AND(CU$12&gt;=$E48,CU$12&lt;=$F48,MOD(CU$12,7)&gt;1,NOT(COUNTIF(General!$U$13:$U$19,CU$12))),$I48,"")</f>
        <v/>
      </c>
      <c r="CV48" s="390" t="str">
        <f>IF(AND(CV$12&gt;=$E48,CV$12&lt;=$F48,MOD(CV$12,7)&gt;1,NOT(COUNTIF(General!$U$13:$U$19,CV$12))),$I48,"")</f>
        <v/>
      </c>
      <c r="CW48" s="390" t="str">
        <f>IF(AND(CW$12&gt;=$E48,CW$12&lt;=$F48,MOD(CW$12,7)&gt;1,NOT(COUNTIF(General!$U$13:$U$19,CW$12))),$I48,"")</f>
        <v/>
      </c>
      <c r="CX48" s="390" t="str">
        <f>IF(AND(CX$12&gt;=$E48,CX$12&lt;=$F48,MOD(CX$12,7)&gt;1,NOT(COUNTIF(General!$U$13:$U$19,CX$12))),$I48,"")</f>
        <v/>
      </c>
      <c r="CY48" s="390" t="str">
        <f>IF(AND(CY$12&gt;=$E48,CY$12&lt;=$F48,MOD(CY$12,7)&gt;1,NOT(COUNTIF(General!$U$13:$U$19,CY$12))),$I48,"")</f>
        <v/>
      </c>
      <c r="CZ48" s="390" t="str">
        <f>IF(AND(CZ$12&gt;=$E48,CZ$12&lt;=$F48,MOD(CZ$12,7)&gt;1,NOT(COUNTIF(General!$U$13:$U$19,CZ$12))),$I48,"")</f>
        <v/>
      </c>
      <c r="DA48" s="390" t="str">
        <f>IF(AND(DA$12&gt;=$E48,DA$12&lt;=$F48,MOD(DA$12,7)&gt;1,NOT(COUNTIF(General!$U$13:$U$19,DA$12))),$I48,"")</f>
        <v/>
      </c>
      <c r="DB48" s="390" t="str">
        <f>IF(AND(DB$12&gt;=$E48,DB$12&lt;=$F48,MOD(DB$12,7)&gt;1,NOT(COUNTIF(General!$U$13:$U$19,DB$12))),$I48,"")</f>
        <v/>
      </c>
      <c r="DC48" s="390" t="str">
        <f>IF(AND(DC$12&gt;=$E48,DC$12&lt;=$F48,MOD(DC$12,7)&gt;1,NOT(COUNTIF(General!$U$13:$U$19,DC$12))),$I48,"")</f>
        <v/>
      </c>
      <c r="DD48" s="390" t="str">
        <f>IF(AND(DD$12&gt;=$E48,DD$12&lt;=$F48,MOD(DD$12,7)&gt;1,NOT(COUNTIF(General!$U$13:$U$19,DD$12))),$I48,"")</f>
        <v/>
      </c>
      <c r="DE48" s="390" t="str">
        <f>IF(AND(DE$12&gt;=$E48,DE$12&lt;=$F48,MOD(DE$12,7)&gt;1,NOT(COUNTIF(General!$U$13:$U$19,DE$12))),$I48,"")</f>
        <v/>
      </c>
      <c r="DF48" s="390" t="str">
        <f>IF(AND(DF$12&gt;=$E48,DF$12&lt;=$F48,MOD(DF$12,7)&gt;1,NOT(COUNTIF(General!$U$13:$U$19,DF$12))),$I48,"")</f>
        <v/>
      </c>
      <c r="DG48" s="390" t="str">
        <f>IF(AND(DG$12&gt;=$E48,DG$12&lt;=$F48,MOD(DG$12,7)&gt;1,NOT(COUNTIF(General!$U$13:$U$19,DG$12))),$I48,"")</f>
        <v/>
      </c>
      <c r="DH48" s="390" t="str">
        <f>IF(AND(DH$12&gt;=$E48,DH$12&lt;=$F48,MOD(DH$12,7)&gt;1,NOT(COUNTIF(General!$U$13:$U$19,DH$12))),$I48,"")</f>
        <v/>
      </c>
      <c r="DI48" s="390" t="str">
        <f>IF(AND(DI$12&gt;=$E48,DI$12&lt;=$F48,MOD(DI$12,7)&gt;1,NOT(COUNTIF(General!$U$13:$U$19,DI$12))),$I48,"")</f>
        <v/>
      </c>
      <c r="DJ48" s="390" t="str">
        <f>IF(AND(DJ$12&gt;=$E48,DJ$12&lt;=$F48,MOD(DJ$12,7)&gt;1,NOT(COUNTIF(General!$U$13:$U$19,DJ$12))),$I48,"")</f>
        <v/>
      </c>
      <c r="DK48" s="390" t="str">
        <f>IF(AND(DK$12&gt;=$E48,DK$12&lt;=$F48,MOD(DK$12,7)&gt;1,NOT(COUNTIF(General!$U$13:$U$19,DK$12))),$I48,"")</f>
        <v/>
      </c>
      <c r="DL48" s="390" t="str">
        <f>IF(AND(DL$12&gt;=$E48,DL$12&lt;=$F48,MOD(DL$12,7)&gt;1,NOT(COUNTIF(General!$U$13:$U$19,DL$12))),$I48,"")</f>
        <v/>
      </c>
      <c r="DM48" s="390" t="str">
        <f>IF(AND(DM$12&gt;=$E48,DM$12&lt;=$F48,MOD(DM$12,7)&gt;1,NOT(COUNTIF(General!$U$13:$U$19,DM$12))),$I48,"")</f>
        <v/>
      </c>
      <c r="DN48" s="390" t="str">
        <f>IF(AND(DN$12&gt;=$E48,DN$12&lt;=$F48,MOD(DN$12,7)&gt;1,NOT(COUNTIF(General!$U$13:$U$19,DN$12))),$I48,"")</f>
        <v/>
      </c>
      <c r="DO48" s="390" t="str">
        <f>IF(AND(DO$12&gt;=$E48,DO$12&lt;=$F48,MOD(DO$12,7)&gt;1,NOT(COUNTIF(General!$U$13:$U$19,DO$12))),$I48,"")</f>
        <v/>
      </c>
      <c r="DP48" s="390" t="str">
        <f>IF(AND(DP$12&gt;=$E48,DP$12&lt;=$F48,MOD(DP$12,7)&gt;1,NOT(COUNTIF(General!$U$13:$U$19,DP$12))),$I48,"")</f>
        <v/>
      </c>
      <c r="DQ48" s="390" t="str">
        <f>IF(AND(DQ$12&gt;=$E48,DQ$12&lt;=$F48,MOD(DQ$12,7)&gt;1,NOT(COUNTIF(General!$U$13:$U$19,DQ$12))),$I48,"")</f>
        <v/>
      </c>
      <c r="DR48" s="390" t="str">
        <f>IF(AND(DR$12&gt;=$E48,DR$12&lt;=$F48,MOD(DR$12,7)&gt;1,NOT(COUNTIF(General!$U$13:$U$19,DR$12))),$I48,"")</f>
        <v/>
      </c>
      <c r="DS48" s="390" t="str">
        <f>IF(AND(DS$12&gt;=$E48,DS$12&lt;=$F48,MOD(DS$12,7)&gt;1,NOT(COUNTIF(General!$U$13:$U$19,DS$12))),$I48,"")</f>
        <v/>
      </c>
      <c r="DT48" s="390" t="str">
        <f>IF(AND(DT$12&gt;=$E48,DT$12&lt;=$F48,MOD(DT$12,7)&gt;1,NOT(COUNTIF(General!$U$13:$U$19,DT$12))),$I48,"")</f>
        <v/>
      </c>
      <c r="DU48" s="390" t="str">
        <f>IF(AND(DU$12&gt;=$E48,DU$12&lt;=$F48,MOD(DU$12,7)&gt;1,NOT(COUNTIF(General!$U$13:$U$19,DU$12))),$I48,"")</f>
        <v/>
      </c>
      <c r="DV48" s="390" t="str">
        <f>IF(AND(DV$12&gt;=$E48,DV$12&lt;=$F48,MOD(DV$12,7)&gt;1,NOT(COUNTIF(General!$U$13:$U$19,DV$12))),$I48,"")</f>
        <v/>
      </c>
      <c r="DW48" s="390" t="str">
        <f>IF(AND(DW$12&gt;=$E48,DW$12&lt;=$F48,MOD(DW$12,7)&gt;1,NOT(COUNTIF(General!$U$13:$U$19,DW$12))),$I48,"")</f>
        <v/>
      </c>
      <c r="DX48" s="390" t="str">
        <f>IF(AND(DX$12&gt;=$E48,DX$12&lt;=$F48,MOD(DX$12,7)&gt;1,NOT(COUNTIF(General!$U$13:$U$19,DX$12))),$I48,"")</f>
        <v/>
      </c>
      <c r="DY48" s="390" t="str">
        <f>IF(AND(DY$12&gt;=$E48,DY$12&lt;=$F48,MOD(DY$12,7)&gt;1,NOT(COUNTIF(General!$U$13:$U$19,DY$12))),$I48,"")</f>
        <v/>
      </c>
      <c r="DZ48" s="390" t="str">
        <f>IF(AND(DZ$12&gt;=$E48,DZ$12&lt;=$F48,MOD(DZ$12,7)&gt;1,NOT(COUNTIF(General!$U$13:$U$19,DZ$12))),$I48,"")</f>
        <v/>
      </c>
      <c r="EA48" s="390" t="str">
        <f>IF(AND(EA$12&gt;=$E48,EA$12&lt;=$F48,MOD(EA$12,7)&gt;1,NOT(COUNTIF(General!$U$13:$U$19,EA$12))),$I48,"")</f>
        <v/>
      </c>
      <c r="EB48" s="390" t="str">
        <f>IF(AND(EB$12&gt;=$E48,EB$12&lt;=$F48,MOD(EB$12,7)&gt;1,NOT(COUNTIF(General!$U$13:$U$19,EB$12))),$I48,"")</f>
        <v/>
      </c>
      <c r="EC48" s="390" t="str">
        <f>IF(AND(EC$12&gt;=$E48,EC$12&lt;=$F48,MOD(EC$12,7)&gt;1,NOT(COUNTIF(General!$U$13:$U$19,EC$12))),$I48,"")</f>
        <v/>
      </c>
      <c r="ED48" s="390" t="str">
        <f>IF(AND(ED$12&gt;=$E48,ED$12&lt;=$F48,MOD(ED$12,7)&gt;1,NOT(COUNTIF(General!$U$13:$U$19,ED$12))),$I48,"")</f>
        <v/>
      </c>
      <c r="EE48" s="390" t="str">
        <f>IF(AND(EE$12&gt;=$E48,EE$12&lt;=$F48,MOD(EE$12,7)&gt;1,NOT(COUNTIF(General!$U$13:$U$19,EE$12))),$I48,"")</f>
        <v/>
      </c>
      <c r="EF48" s="390" t="str">
        <f>IF(AND(EF$12&gt;=$E48,EF$12&lt;=$F48,MOD(EF$12,7)&gt;1,NOT(COUNTIF(General!$U$13:$U$19,EF$12))),$I48,"")</f>
        <v/>
      </c>
      <c r="EG48" s="390" t="str">
        <f>IF(AND(EG$12&gt;=$E48,EG$12&lt;=$F48,MOD(EG$12,7)&gt;1,NOT(COUNTIF(General!$U$13:$U$19,EG$12))),$I48,"")</f>
        <v/>
      </c>
      <c r="EH48" s="390" t="str">
        <f>IF(AND(EH$12&gt;=$E48,EH$12&lt;=$F48,MOD(EH$12,7)&gt;1,NOT(COUNTIF(General!$U$13:$U$19,EH$12))),$I48,"")</f>
        <v/>
      </c>
      <c r="EI48" s="390" t="str">
        <f>IF(AND(EI$12&gt;=$E48,EI$12&lt;=$F48,MOD(EI$12,7)&gt;1,NOT(COUNTIF(General!$U$13:$U$19,EI$12))),$I48,"")</f>
        <v/>
      </c>
      <c r="EJ48" s="390" t="str">
        <f>IF(AND(EJ$12&gt;=$E48,EJ$12&lt;=$F48,MOD(EJ$12,7)&gt;1,NOT(COUNTIF(General!$U$13:$U$19,EJ$12))),$I48,"")</f>
        <v/>
      </c>
      <c r="EK48" s="390" t="str">
        <f>IF(AND(EK$12&gt;=$E48,EK$12&lt;=$F48,MOD(EK$12,7)&gt;1,NOT(COUNTIF(General!$U$13:$U$19,EK$12))),$I48,"")</f>
        <v/>
      </c>
      <c r="EL48" s="390" t="str">
        <f>IF(AND(EL$12&gt;=$E48,EL$12&lt;=$F48,MOD(EL$12,7)&gt;1,NOT(COUNTIF(General!$U$13:$U$19,EL$12))),$I48,"")</f>
        <v/>
      </c>
      <c r="EM48" s="390" t="str">
        <f>IF(AND(EM$12&gt;=$E48,EM$12&lt;=$F48,MOD(EM$12,7)&gt;1,NOT(COUNTIF(General!$U$13:$U$19,EM$12))),$I48,"")</f>
        <v/>
      </c>
      <c r="EN48" s="390" t="str">
        <f>IF(AND(EN$12&gt;=$E48,EN$12&lt;=$F48,MOD(EN$12,7)&gt;1,NOT(COUNTIF(General!$U$13:$U$19,EN$12))),$I48,"")</f>
        <v/>
      </c>
      <c r="EO48" s="390" t="str">
        <f>IF(AND(EO$12&gt;=$E48,EO$12&lt;=$F48,MOD(EO$12,7)&gt;1,NOT(COUNTIF(General!$U$13:$U$19,EO$12))),$I48,"")</f>
        <v/>
      </c>
      <c r="EP48" s="390" t="str">
        <f>IF(AND(EP$12&gt;=$E48,EP$12&lt;=$F48,MOD(EP$12,7)&gt;1,NOT(COUNTIF(General!$U$13:$U$19,EP$12))),$I48,"")</f>
        <v/>
      </c>
      <c r="EQ48" s="390" t="str">
        <f>IF(AND(EQ$12&gt;=$E48,EQ$12&lt;=$F48,MOD(EQ$12,7)&gt;1,NOT(COUNTIF(General!$U$13:$U$19,EQ$12))),$I48,"")</f>
        <v/>
      </c>
      <c r="ER48" s="390" t="str">
        <f>IF(AND(ER$12&gt;=$E48,ER$12&lt;=$F48,MOD(ER$12,7)&gt;1,NOT(COUNTIF(General!$U$13:$U$19,ER$12))),$I48,"")</f>
        <v/>
      </c>
      <c r="ES48" s="390" t="str">
        <f>IF(AND(ES$12&gt;=$E48,ES$12&lt;=$F48,MOD(ES$12,7)&gt;1,NOT(COUNTIF(General!$U$13:$U$19,ES$12))),$I48,"")</f>
        <v/>
      </c>
      <c r="ET48" s="390" t="str">
        <f>IF(AND(ET$12&gt;=$E48,ET$12&lt;=$F48,MOD(ET$12,7)&gt;1,NOT(COUNTIF(General!$U$13:$U$19,ET$12))),$I48,"")</f>
        <v/>
      </c>
      <c r="EU48" s="390" t="str">
        <f>IF(AND(EU$12&gt;=$E48,EU$12&lt;=$F48,MOD(EU$12,7)&gt;1,NOT(COUNTIF(General!$U$13:$U$19,EU$12))),$I48,"")</f>
        <v/>
      </c>
      <c r="EV48" s="390" t="str">
        <f>IF(AND(EV$12&gt;=$E48,EV$12&lt;=$F48,MOD(EV$12,7)&gt;1,NOT(COUNTIF(General!$U$13:$U$19,EV$12))),$I48,"")</f>
        <v/>
      </c>
      <c r="EW48" s="390" t="str">
        <f>IF(AND(EW$12&gt;=$E48,EW$12&lt;=$F48,MOD(EW$12,7)&gt;1,NOT(COUNTIF(General!$U$13:$U$19,EW$12))),$I48,"")</f>
        <v/>
      </c>
      <c r="EX48" s="390" t="str">
        <f>IF(AND(EX$12&gt;=$E48,EX$12&lt;=$F48,MOD(EX$12,7)&gt;1,NOT(COUNTIF(General!$U$13:$U$19,EX$12))),$I48,"")</f>
        <v/>
      </c>
      <c r="EY48" s="390" t="str">
        <f>IF(AND(EY$12&gt;=$E48,EY$12&lt;=$F48,MOD(EY$12,7)&gt;1,NOT(COUNTIF(General!$U$13:$U$19,EY$12))),$I48,"")</f>
        <v/>
      </c>
      <c r="EZ48" s="390" t="str">
        <f>IF(AND(EZ$12&gt;=$E48,EZ$12&lt;=$F48,MOD(EZ$12,7)&gt;1,NOT(COUNTIF(General!$U$13:$U$19,EZ$12))),$I48,"")</f>
        <v/>
      </c>
      <c r="FA48" s="390" t="str">
        <f>IF(AND(FA$12&gt;=$E48,FA$12&lt;=$F48,MOD(FA$12,7)&gt;1,NOT(COUNTIF(General!$U$13:$U$19,FA$12))),$I48,"")</f>
        <v/>
      </c>
      <c r="FB48" s="390" t="str">
        <f>IF(AND(FB$12&gt;=$E48,FB$12&lt;=$F48,MOD(FB$12,7)&gt;1,NOT(COUNTIF(General!$U$13:$U$19,FB$12))),$I48,"")</f>
        <v/>
      </c>
      <c r="FC48" s="390" t="str">
        <f>IF(AND(FC$12&gt;=$E48,FC$12&lt;=$F48,MOD(FC$12,7)&gt;1,NOT(COUNTIF(General!$U$13:$U$19,FC$12))),$I48,"")</f>
        <v/>
      </c>
      <c r="FD48" s="390" t="str">
        <f>IF(AND(FD$12&gt;=$E48,FD$12&lt;=$F48,MOD(FD$12,7)&gt;1,NOT(COUNTIF(General!$U$13:$U$19,FD$12))),$I48,"")</f>
        <v/>
      </c>
      <c r="FE48" s="390" t="str">
        <f>IF(AND(FE$12&gt;=$E48,FE$12&lt;=$F48,MOD(FE$12,7)&gt;1,NOT(COUNTIF(General!$U$13:$U$19,FE$12))),$I48,"")</f>
        <v/>
      </c>
      <c r="FF48" s="390" t="str">
        <f>IF(AND(FF$12&gt;=$E48,FF$12&lt;=$F48,MOD(FF$12,7)&gt;1,NOT(COUNTIF(General!$U$13:$U$19,FF$12))),$I48,"")</f>
        <v/>
      </c>
      <c r="FG48" s="390" t="str">
        <f>IF(AND(FG$12&gt;=$E48,FG$12&lt;=$F48,MOD(FG$12,7)&gt;1,NOT(COUNTIF(General!$U$13:$U$19,FG$12))),$I48,"")</f>
        <v/>
      </c>
      <c r="FH48" s="390" t="str">
        <f>IF(AND(FH$12&gt;=$E48,FH$12&lt;=$F48,MOD(FH$12,7)&gt;1,NOT(COUNTIF(General!$U$13:$U$19,FH$12))),$I48,"")</f>
        <v/>
      </c>
      <c r="FI48" s="390" t="str">
        <f>IF(AND(FI$12&gt;=$E48,FI$12&lt;=$F48,MOD(FI$12,7)&gt;1,NOT(COUNTIF(General!$U$13:$U$19,FI$12))),$I48,"")</f>
        <v/>
      </c>
      <c r="FJ48" s="390" t="str">
        <f>IF(AND(FJ$12&gt;=$E48,FJ$12&lt;=$F48,MOD(FJ$12,7)&gt;1,NOT(COUNTIF(General!$U$13:$U$19,FJ$12))),$I48,"")</f>
        <v/>
      </c>
      <c r="FK48" s="390" t="str">
        <f>IF(AND(FK$12&gt;=$E48,FK$12&lt;=$F48,MOD(FK$12,7)&gt;1,NOT(COUNTIF(General!$U$13:$U$19,FK$12))),$I48,"")</f>
        <v/>
      </c>
      <c r="FL48" s="390" t="str">
        <f>IF(AND(FL$12&gt;=$E48,FL$12&lt;=$F48,MOD(FL$12,7)&gt;1,NOT(COUNTIF(General!$U$13:$U$19,FL$12))),$I48,"")</f>
        <v/>
      </c>
      <c r="FM48" s="390" t="str">
        <f>IF(AND(FM$12&gt;=$E48,FM$12&lt;=$F48,MOD(FM$12,7)&gt;1,NOT(COUNTIF(General!$U$13:$U$19,FM$12))),$I48,"")</f>
        <v/>
      </c>
      <c r="FN48" s="390" t="str">
        <f>IF(AND(FN$12&gt;=$E48,FN$12&lt;=$F48,MOD(FN$12,7)&gt;1,NOT(COUNTIF(General!$U$13:$U$19,FN$12))),$I48,"")</f>
        <v/>
      </c>
      <c r="FO48" s="390" t="str">
        <f>IF(AND(FO$12&gt;=$E48,FO$12&lt;=$F48,MOD(FO$12,7)&gt;1,NOT(COUNTIF(General!$U$13:$U$19,FO$12))),$I48,"")</f>
        <v/>
      </c>
      <c r="FP48" s="390" t="str">
        <f>IF(AND(FP$12&gt;=$E48,FP$12&lt;=$F48,MOD(FP$12,7)&gt;1,NOT(COUNTIF(General!$U$13:$U$19,FP$12))),$I48,"")</f>
        <v/>
      </c>
      <c r="FQ48" s="390" t="str">
        <f>IF(AND(FQ$12&gt;=$E48,FQ$12&lt;=$F48,MOD(FQ$12,7)&gt;1,NOT(COUNTIF(General!$U$13:$U$19,FQ$12))),$I48,"")</f>
        <v/>
      </c>
      <c r="FR48" s="390" t="str">
        <f>IF(AND(FR$12&gt;=$E48,FR$12&lt;=$F48,MOD(FR$12,7)&gt;1,NOT(COUNTIF(General!$U$13:$U$19,FR$12))),$I48,"")</f>
        <v/>
      </c>
      <c r="FS48" s="390" t="str">
        <f>IF(AND(FS$12&gt;=$E48,FS$12&lt;=$F48,MOD(FS$12,7)&gt;1,NOT(COUNTIF(General!$U$13:$U$19,FS$12))),$I48,"")</f>
        <v/>
      </c>
      <c r="FT48" s="390" t="str">
        <f>IF(AND(FT$12&gt;=$E48,FT$12&lt;=$F48,MOD(FT$12,7)&gt;1,NOT(COUNTIF(General!$U$13:$U$19,FT$12))),$I48,"")</f>
        <v/>
      </c>
      <c r="FU48" s="390" t="str">
        <f>IF(AND(FU$12&gt;=$E48,FU$12&lt;=$F48,MOD(FU$12,7)&gt;1,NOT(COUNTIF(General!$U$13:$U$19,FU$12))),$I48,"")</f>
        <v/>
      </c>
      <c r="FV48" s="390" t="str">
        <f>IF(AND(FV$12&gt;=$E48,FV$12&lt;=$F48,MOD(FV$12,7)&gt;1,NOT(COUNTIF(General!$U$13:$U$19,FV$12))),$I48,"")</f>
        <v/>
      </c>
      <c r="FW48" s="390" t="str">
        <f>IF(AND(FW$12&gt;=$E48,FW$12&lt;=$F48,MOD(FW$12,7)&gt;1,NOT(COUNTIF(General!$U$13:$U$19,FW$12))),$I48,"")</f>
        <v/>
      </c>
      <c r="FX48" s="390" t="str">
        <f>IF(AND(FX$12&gt;=$E48,FX$12&lt;=$F48,MOD(FX$12,7)&gt;1,NOT(COUNTIF(General!$U$13:$U$19,FX$12))),$I48,"")</f>
        <v/>
      </c>
    </row>
    <row r="49" ht="16.5" customHeight="1">
      <c r="A49" s="613"/>
      <c r="B49" s="369" t="s">
        <v>589</v>
      </c>
      <c r="C49" s="370"/>
      <c r="D49" s="572" t="s">
        <v>439</v>
      </c>
      <c r="E49" s="599">
        <v>43829.0</v>
      </c>
      <c r="F49" s="374">
        <f>WORKDAY(E49,ROUNDUP(G49/I49,0),General!$U$13:$U$27)-1</f>
        <v>43830</v>
      </c>
      <c r="G49" s="375">
        <v>2.0</v>
      </c>
      <c r="H49" s="377"/>
      <c r="I49" s="379">
        <v>1.0</v>
      </c>
      <c r="J49" s="379"/>
      <c r="K49" s="381"/>
      <c r="L49" s="382"/>
      <c r="M49" s="383"/>
      <c r="N49" s="384"/>
      <c r="O49" s="386"/>
      <c r="P49" s="388"/>
      <c r="Q49" s="390" t="str">
        <f>IF(AND(Q$12&gt;=$E49,Q$12&lt;=$F49,MOD(Q$12,7)&gt;1,NOT(COUNTIF(General!$U$13:$U$19,Q$12))),$I49,"")</f>
        <v/>
      </c>
      <c r="R49" s="390" t="str">
        <f>IF(AND(R$12&gt;=$E49,R$12&lt;=$F49,MOD(R$12,7)&gt;1,NOT(COUNTIF(General!$U$13:$U$19,R$12))),$I49,"")</f>
        <v/>
      </c>
      <c r="S49" s="390" t="str">
        <f>IF(AND(S$12&gt;=$E49,S$12&lt;=$F49,MOD(S$12,7)&gt;1,NOT(COUNTIF(General!$U$13:$U$19,S$12))),$I49,"")</f>
        <v/>
      </c>
      <c r="T49" s="390" t="str">
        <f>IF(AND(T$12&gt;=$E49,T$12&lt;=$F49,MOD(T$12,7)&gt;1,NOT(COUNTIF(General!$U$13:$U$19,T$12))),$I49,"")</f>
        <v/>
      </c>
      <c r="U49" s="390" t="str">
        <f>IF(AND(U$12&gt;=$E49,U$12&lt;=$F49,MOD(U$12,7)&gt;1,NOT(COUNTIF(General!$U$13:$U$19,U$12))),$I49,"")</f>
        <v/>
      </c>
      <c r="V49" s="390" t="str">
        <f>IF(AND(V$12&gt;=$E49,V$12&lt;=$F49,MOD(V$12,7)&gt;1,NOT(COUNTIF(General!$U$13:$U$19,V$12))),$I49,"")</f>
        <v/>
      </c>
      <c r="W49" s="390" t="str">
        <f>IF(AND(W$12&gt;=$E49,W$12&lt;=$F49,MOD(W$12,7)&gt;1,NOT(COUNTIF(General!$U$13:$U$19,W$12))),$I49,"")</f>
        <v/>
      </c>
      <c r="X49" s="390" t="str">
        <f>IF(AND(X$12&gt;=$E49,X$12&lt;=$F49,MOD(X$12,7)&gt;1,NOT(COUNTIF(General!$U$13:$U$19,X$12))),$I49,"")</f>
        <v/>
      </c>
      <c r="Y49" s="390" t="str">
        <f>IF(AND(Y$12&gt;=$E49,Y$12&lt;=$F49,MOD(Y$12,7)&gt;1,NOT(COUNTIF(General!$U$13:$U$19,Y$12))),$I49,"")</f>
        <v/>
      </c>
      <c r="Z49" s="390" t="str">
        <f>IF(AND(Z$12&gt;=$E49,Z$12&lt;=$F49,MOD(Z$12,7)&gt;1,NOT(COUNTIF(General!$U$13:$U$19,Z$12))),$I49,"")</f>
        <v/>
      </c>
      <c r="AA49" s="390" t="str">
        <f>IF(AND(AA$12&gt;=$E49,AA$12&lt;=$F49,MOD(AA$12,7)&gt;1,NOT(COUNTIF(General!$U$13:$U$19,AA$12))),$I49,"")</f>
        <v/>
      </c>
      <c r="AB49" s="390" t="str">
        <f>IF(AND(AB$12&gt;=$E49,AB$12&lt;=$F49,MOD(AB$12,7)&gt;1,NOT(COUNTIF(General!$U$13:$U$19,AB$12))),$I49,"")</f>
        <v/>
      </c>
      <c r="AC49" s="390" t="str">
        <f>IF(AND(AC$12&gt;=$E49,AC$12&lt;=$F49,MOD(AC$12,7)&gt;1,NOT(COUNTIF(General!$U$13:$U$19,AC$12))),$I49,"")</f>
        <v/>
      </c>
      <c r="AD49" s="390" t="str">
        <f>IF(AND(AD$12&gt;=$E49,AD$12&lt;=$F49,MOD(AD$12,7)&gt;1,NOT(COUNTIF(General!$U$13:$U$19,AD$12))),$I49,"")</f>
        <v/>
      </c>
      <c r="AE49" s="390" t="str">
        <f>IF(AND(AE$12&gt;=$E49,AE$12&lt;=$F49,MOD(AE$12,7)&gt;1,NOT(COUNTIF(General!$U$13:$U$19,AE$12))),$I49,"")</f>
        <v/>
      </c>
      <c r="AF49" s="390" t="str">
        <f>IF(AND(AF$12&gt;=$E49,AF$12&lt;=$F49,MOD(AF$12,7)&gt;1,NOT(COUNTIF(General!$U$13:$U$19,AF$12))),$I49,"")</f>
        <v/>
      </c>
      <c r="AG49" s="390" t="str">
        <f>IF(AND(AG$12&gt;=$E49,AG$12&lt;=$F49,MOD(AG$12,7)&gt;1,NOT(COUNTIF(General!$U$13:$U$19,AG$12))),$I49,"")</f>
        <v/>
      </c>
      <c r="AH49" s="390" t="str">
        <f>IF(AND(AH$12&gt;=$E49,AH$12&lt;=$F49,MOD(AH$12,7)&gt;1,NOT(COUNTIF(General!$U$13:$U$19,AH$12))),$I49,"")</f>
        <v/>
      </c>
      <c r="AI49" s="390" t="str">
        <f>IF(AND(AI$12&gt;=$E49,AI$12&lt;=$F49,MOD(AI$12,7)&gt;1,NOT(COUNTIF(General!$U$13:$U$19,AI$12))),$I49,"")</f>
        <v/>
      </c>
      <c r="AJ49" s="390" t="str">
        <f>IF(AND(AJ$12&gt;=$E49,AJ$12&lt;=$F49,MOD(AJ$12,7)&gt;1,NOT(COUNTIF(General!$U$13:$U$19,AJ$12))),$I49,"")</f>
        <v/>
      </c>
      <c r="AK49" s="390" t="str">
        <f>IF(AND(AK$12&gt;=$E49,AK$12&lt;=$F49,MOD(AK$12,7)&gt;1,NOT(COUNTIF(General!$U$13:$U$19,AK$12))),$I49,"")</f>
        <v/>
      </c>
      <c r="AL49" s="390" t="str">
        <f>IF(AND(AL$12&gt;=$E49,AL$12&lt;=$F49,MOD(AL$12,7)&gt;1,NOT(COUNTIF(General!$U$13:$U$19,AL$12))),$I49,"")</f>
        <v/>
      </c>
      <c r="AM49" s="390" t="str">
        <f>IF(AND(AM$12&gt;=$E49,AM$12&lt;=$F49,MOD(AM$12,7)&gt;1,NOT(COUNTIF(General!$U$13:$U$19,AM$12))),$I49,"")</f>
        <v/>
      </c>
      <c r="AN49" s="390" t="str">
        <f>IF(AND(AN$12&gt;=$E49,AN$12&lt;=$F49,MOD(AN$12,7)&gt;1,NOT(COUNTIF(General!$U$13:$U$19,AN$12))),$I49,"")</f>
        <v/>
      </c>
      <c r="AO49" s="390" t="str">
        <f>IF(AND(AO$12&gt;=$E49,AO$12&lt;=$F49,MOD(AO$12,7)&gt;1,NOT(COUNTIF(General!$U$13:$U$19,AO$12))),$I49,"")</f>
        <v/>
      </c>
      <c r="AP49" s="390" t="str">
        <f>IF(AND(AP$12&gt;=$E49,AP$12&lt;=$F49,MOD(AP$12,7)&gt;1,NOT(COUNTIF(General!$U$13:$U$19,AP$12))),$I49,"")</f>
        <v/>
      </c>
      <c r="AQ49" s="390" t="str">
        <f>IF(AND(AQ$12&gt;=$E49,AQ$12&lt;=$F49,MOD(AQ$12,7)&gt;1,NOT(COUNTIF(General!$U$13:$U$19,AQ$12))),$I49,"")</f>
        <v/>
      </c>
      <c r="AR49" s="390" t="str">
        <f>IF(AND(AR$12&gt;=$E49,AR$12&lt;=$F49,MOD(AR$12,7)&gt;1,NOT(COUNTIF(General!$U$13:$U$19,AR$12))),$I49,"")</f>
        <v/>
      </c>
      <c r="AS49" s="390">
        <f>IF(AND(AS$12&gt;=$E49,AS$12&lt;=$F49,MOD(AS$12,7)&gt;1,NOT(COUNTIF(General!$U$13:$U$19,AS$12))),$I49,"")</f>
        <v>1</v>
      </c>
      <c r="AT49" s="390">
        <f>IF(AND(AT$12&gt;=$E49,AT$12&lt;=$F49,MOD(AT$12,7)&gt;1,NOT(COUNTIF(General!$U$13:$U$19,AT$12))),$I49,"")</f>
        <v>1</v>
      </c>
      <c r="AU49" s="390" t="str">
        <f>IF(AND(AU$12&gt;=$E49,AU$12&lt;=$F49,MOD(AU$12,7)&gt;1,NOT(COUNTIF(General!$U$13:$U$19,AU$12))),$I49,"")</f>
        <v/>
      </c>
      <c r="AV49" s="390" t="str">
        <f>IF(AND(AV$12&gt;=$E49,AV$12&lt;=$F49,MOD(AV$12,7)&gt;1,NOT(COUNTIF(General!$U$13:$U$19,AV$12))),$I49,"")</f>
        <v/>
      </c>
      <c r="AW49" s="390" t="str">
        <f>IF(AND(AW$12&gt;=$E49,AW$12&lt;=$F49,MOD(AW$12,7)&gt;1,NOT(COUNTIF(General!$U$13:$U$19,AW$12))),$I49,"")</f>
        <v/>
      </c>
      <c r="AX49" s="390" t="str">
        <f>IF(AND(AX$12&gt;=$E49,AX$12&lt;=$F49,MOD(AX$12,7)&gt;1,NOT(COUNTIF(General!$U$13:$U$19,AX$12))),$I49,"")</f>
        <v/>
      </c>
      <c r="AY49" s="390" t="str">
        <f>IF(AND(AY$12&gt;=$E49,AY$12&lt;=$F49,MOD(AY$12,7)&gt;1,NOT(COUNTIF(General!$U$13:$U$19,AY$12))),$I49,"")</f>
        <v/>
      </c>
      <c r="AZ49" s="390" t="str">
        <f>IF(AND(AZ$12&gt;=$E49,AZ$12&lt;=$F49,MOD(AZ$12,7)&gt;1,NOT(COUNTIF(General!$U$13:$U$19,AZ$12))),$I49,"")</f>
        <v/>
      </c>
      <c r="BA49" s="390" t="str">
        <f>IF(AND(BA$12&gt;=$E49,BA$12&lt;=$F49,MOD(BA$12,7)&gt;1,NOT(COUNTIF(General!$U$13:$U$19,BA$12))),$I49,"")</f>
        <v/>
      </c>
      <c r="BB49" s="390" t="str">
        <f>IF(AND(BB$12&gt;=$E49,BB$12&lt;=$F49,MOD(BB$12,7)&gt;1,NOT(COUNTIF(General!$U$13:$U$19,BB$12))),$I49,"")</f>
        <v/>
      </c>
      <c r="BC49" s="390" t="str">
        <f>IF(AND(BC$12&gt;=$E49,BC$12&lt;=$F49,MOD(BC$12,7)&gt;1,NOT(COUNTIF(General!$U$13:$U$19,BC$12))),$I49,"")</f>
        <v/>
      </c>
      <c r="BD49" s="390" t="str">
        <f>IF(AND(BD$12&gt;=$E49,BD$12&lt;=$F49,MOD(BD$12,7)&gt;1,NOT(COUNTIF(General!$U$13:$U$19,BD$12))),$I49,"")</f>
        <v/>
      </c>
      <c r="BE49" s="390" t="str">
        <f>IF(AND(BE$12&gt;=$E49,BE$12&lt;=$F49,MOD(BE$12,7)&gt;1,NOT(COUNTIF(General!$U$13:$U$19,BE$12))),$I49,"")</f>
        <v/>
      </c>
      <c r="BF49" s="390" t="str">
        <f>IF(AND(BF$12&gt;=$E49,BF$12&lt;=$F49,MOD(BF$12,7)&gt;1,NOT(COUNTIF(General!$U$13:$U$19,BF$12))),$I49,"")</f>
        <v/>
      </c>
      <c r="BG49" s="390" t="str">
        <f>IF(AND(BG$12&gt;=$E49,BG$12&lt;=$F49,MOD(BG$12,7)&gt;1,NOT(COUNTIF(General!$U$13:$U$19,BG$12))),$I49,"")</f>
        <v/>
      </c>
      <c r="BH49" s="390" t="str">
        <f>IF(AND(BH$12&gt;=$E49,BH$12&lt;=$F49,MOD(BH$12,7)&gt;1,NOT(COUNTIF(General!$U$13:$U$19,BH$12))),$I49,"")</f>
        <v/>
      </c>
      <c r="BI49" s="390" t="str">
        <f>IF(AND(BI$12&gt;=$E49,BI$12&lt;=$F49,MOD(BI$12,7)&gt;1,NOT(COUNTIF(General!$U$13:$U$19,BI$12))),$I49,"")</f>
        <v/>
      </c>
      <c r="BJ49" s="390" t="str">
        <f>IF(AND(BJ$12&gt;=$E49,BJ$12&lt;=$F49,MOD(BJ$12,7)&gt;1,NOT(COUNTIF(General!$U$13:$U$19,BJ$12))),$I49,"")</f>
        <v/>
      </c>
      <c r="BK49" s="390" t="str">
        <f>IF(AND(BK$12&gt;=$E49,BK$12&lt;=$F49,MOD(BK$12,7)&gt;1,NOT(COUNTIF(General!$U$13:$U$19,BK$12))),$I49,"")</f>
        <v/>
      </c>
      <c r="BL49" s="390" t="str">
        <f>IF(AND(BL$12&gt;=$E49,BL$12&lt;=$F49,MOD(BL$12,7)&gt;1,NOT(COUNTIF(General!$U$13:$U$19,BL$12))),$I49,"")</f>
        <v/>
      </c>
      <c r="BM49" s="390" t="str">
        <f>IF(AND(BM$12&gt;=$E49,BM$12&lt;=$F49,MOD(BM$12,7)&gt;1,NOT(COUNTIF(General!$U$13:$U$19,BM$12))),$I49,"")</f>
        <v/>
      </c>
      <c r="BN49" s="390" t="str">
        <f>IF(AND(BN$12&gt;=$E49,BN$12&lt;=$F49,MOD(BN$12,7)&gt;1,NOT(COUNTIF(General!$U$13:$U$19,BN$12))),$I49,"")</f>
        <v/>
      </c>
      <c r="BO49" s="390" t="str">
        <f>IF(AND(BO$12&gt;=$E49,BO$12&lt;=$F49,MOD(BO$12,7)&gt;1,NOT(COUNTIF(General!$U$13:$U$19,BO$12))),$I49,"")</f>
        <v/>
      </c>
      <c r="BP49" s="390" t="str">
        <f>IF(AND(BP$12&gt;=$E49,BP$12&lt;=$F49,MOD(BP$12,7)&gt;1,NOT(COUNTIF(General!$U$13:$U$19,BP$12))),$I49,"")</f>
        <v/>
      </c>
      <c r="BQ49" s="390" t="str">
        <f>IF(AND(BQ$12&gt;=$E49,BQ$12&lt;=$F49,MOD(BQ$12,7)&gt;1,NOT(COUNTIF(General!$U$13:$U$19,BQ$12))),$I49,"")</f>
        <v/>
      </c>
      <c r="BR49" s="390" t="str">
        <f>IF(AND(BR$12&gt;=$E49,BR$12&lt;=$F49,MOD(BR$12,7)&gt;1,NOT(COUNTIF(General!$U$13:$U$19,BR$12))),$I49,"")</f>
        <v/>
      </c>
      <c r="BS49" s="390" t="str">
        <f>IF(AND(BS$12&gt;=$E49,BS$12&lt;=$F49,MOD(BS$12,7)&gt;1,NOT(COUNTIF(General!$U$13:$U$19,BS$12))),$I49,"")</f>
        <v/>
      </c>
      <c r="BT49" s="390" t="str">
        <f>IF(AND(BT$12&gt;=$E49,BT$12&lt;=$F49,MOD(BT$12,7)&gt;1,NOT(COUNTIF(General!$U$13:$U$19,BT$12))),$I49,"")</f>
        <v/>
      </c>
      <c r="BU49" s="390" t="str">
        <f>IF(AND(BU$12&gt;=$E49,BU$12&lt;=$F49,MOD(BU$12,7)&gt;1,NOT(COUNTIF(General!$U$13:$U$19,BU$12))),$I49,"")</f>
        <v/>
      </c>
      <c r="BV49" s="390" t="str">
        <f>IF(AND(BV$12&gt;=$E49,BV$12&lt;=$F49,MOD(BV$12,7)&gt;1,NOT(COUNTIF(General!$U$13:$U$19,BV$12))),$I49,"")</f>
        <v/>
      </c>
      <c r="BW49" s="390" t="str">
        <f>IF(AND(BW$12&gt;=$E49,BW$12&lt;=$F49,MOD(BW$12,7)&gt;1,NOT(COUNTIF(General!$U$13:$U$19,BW$12))),$I49,"")</f>
        <v/>
      </c>
      <c r="BX49" s="390" t="str">
        <f>IF(AND(BX$12&gt;=$E49,BX$12&lt;=$F49,MOD(BX$12,7)&gt;1,NOT(COUNTIF(General!$U$13:$U$19,BX$12))),$I49,"")</f>
        <v/>
      </c>
      <c r="BY49" s="390" t="str">
        <f>IF(AND(BY$12&gt;=$E49,BY$12&lt;=$F49,MOD(BY$12,7)&gt;1,NOT(COUNTIF(General!$U$13:$U$19,BY$12))),$I49,"")</f>
        <v/>
      </c>
      <c r="BZ49" s="390" t="str">
        <f>IF(AND(BZ$12&gt;=$E49,BZ$12&lt;=$F49,MOD(BZ$12,7)&gt;1,NOT(COUNTIF(General!$U$13:$U$19,BZ$12))),$I49,"")</f>
        <v/>
      </c>
      <c r="CA49" s="390" t="str">
        <f>IF(AND(CA$12&gt;=$E49,CA$12&lt;=$F49,MOD(CA$12,7)&gt;1,NOT(COUNTIF(General!$U$13:$U$19,CA$12))),$I49,"")</f>
        <v/>
      </c>
      <c r="CB49" s="390" t="str">
        <f>IF(AND(CB$12&gt;=$E49,CB$12&lt;=$F49,MOD(CB$12,7)&gt;1,NOT(COUNTIF(General!$U$13:$U$19,CB$12))),$I49,"")</f>
        <v/>
      </c>
      <c r="CC49" s="390" t="str">
        <f>IF(AND(CC$12&gt;=$E49,CC$12&lt;=$F49,MOD(CC$12,7)&gt;1,NOT(COUNTIF(General!$U$13:$U$19,CC$12))),$I49,"")</f>
        <v/>
      </c>
      <c r="CD49" s="390" t="str">
        <f>IF(AND(CD$12&gt;=$E49,CD$12&lt;=$F49,MOD(CD$12,7)&gt;1,NOT(COUNTIF(General!$U$13:$U$19,CD$12))),$I49,"")</f>
        <v/>
      </c>
      <c r="CE49" s="390" t="str">
        <f>IF(AND(CE$12&gt;=$E49,CE$12&lt;=$F49,MOD(CE$12,7)&gt;1,NOT(COUNTIF(General!$U$13:$U$19,CE$12))),$I49,"")</f>
        <v/>
      </c>
      <c r="CF49" s="390" t="str">
        <f>IF(AND(CF$12&gt;=$E49,CF$12&lt;=$F49,MOD(CF$12,7)&gt;1,NOT(COUNTIF(General!$U$13:$U$19,CF$12))),$I49,"")</f>
        <v/>
      </c>
      <c r="CG49" s="390" t="str">
        <f>IF(AND(CG$12&gt;=$E49,CG$12&lt;=$F49,MOD(CG$12,7)&gt;1,NOT(COUNTIF(General!$U$13:$U$19,CG$12))),$I49,"")</f>
        <v/>
      </c>
      <c r="CH49" s="390" t="str">
        <f>IF(AND(CH$12&gt;=$E49,CH$12&lt;=$F49,MOD(CH$12,7)&gt;1,NOT(COUNTIF(General!$U$13:$U$19,CH$12))),$I49,"")</f>
        <v/>
      </c>
      <c r="CI49" s="390" t="str">
        <f>IF(AND(CI$12&gt;=$E49,CI$12&lt;=$F49,MOD(CI$12,7)&gt;1,NOT(COUNTIF(General!$U$13:$U$19,CI$12))),$I49,"")</f>
        <v/>
      </c>
      <c r="CJ49" s="390" t="str">
        <f>IF(AND(CJ$12&gt;=$E49,CJ$12&lt;=$F49,MOD(CJ$12,7)&gt;1,NOT(COUNTIF(General!$U$13:$U$19,CJ$12))),$I49,"")</f>
        <v/>
      </c>
      <c r="CK49" s="390" t="str">
        <f>IF(AND(CK$12&gt;=$E49,CK$12&lt;=$F49,MOD(CK$12,7)&gt;1,NOT(COUNTIF(General!$U$13:$U$19,CK$12))),$I49,"")</f>
        <v/>
      </c>
      <c r="CL49" s="390" t="str">
        <f>IF(AND(CL$12&gt;=$E49,CL$12&lt;=$F49,MOD(CL$12,7)&gt;1,NOT(COUNTIF(General!$U$13:$U$19,CL$12))),$I49,"")</f>
        <v/>
      </c>
      <c r="CM49" s="390" t="str">
        <f>IF(AND(CM$12&gt;=$E49,CM$12&lt;=$F49,MOD(CM$12,7)&gt;1,NOT(COUNTIF(General!$U$13:$U$19,CM$12))),$I49,"")</f>
        <v/>
      </c>
      <c r="CN49" s="390" t="str">
        <f>IF(AND(CN$12&gt;=$E49,CN$12&lt;=$F49,MOD(CN$12,7)&gt;1,NOT(COUNTIF(General!$U$13:$U$19,CN$12))),$I49,"")</f>
        <v/>
      </c>
      <c r="CO49" s="390" t="str">
        <f>IF(AND(CO$12&gt;=$E49,CO$12&lt;=$F49,MOD(CO$12,7)&gt;1,NOT(COUNTIF(General!$U$13:$U$19,CO$12))),$I49,"")</f>
        <v/>
      </c>
      <c r="CP49" s="390" t="str">
        <f>IF(AND(CP$12&gt;=$E49,CP$12&lt;=$F49,MOD(CP$12,7)&gt;1,NOT(COUNTIF(General!$U$13:$U$19,CP$12))),$I49,"")</f>
        <v/>
      </c>
      <c r="CQ49" s="390" t="str">
        <f>IF(AND(CQ$12&gt;=$E49,CQ$12&lt;=$F49,MOD(CQ$12,7)&gt;1,NOT(COUNTIF(General!$U$13:$U$19,CQ$12))),$I49,"")</f>
        <v/>
      </c>
      <c r="CR49" s="390" t="str">
        <f>IF(AND(CR$12&gt;=$E49,CR$12&lt;=$F49,MOD(CR$12,7)&gt;1,NOT(COUNTIF(General!$U$13:$U$19,CR$12))),$I49,"")</f>
        <v/>
      </c>
      <c r="CS49" s="390" t="str">
        <f>IF(AND(CS$12&gt;=$E49,CS$12&lt;=$F49,MOD(CS$12,7)&gt;1,NOT(COUNTIF(General!$U$13:$U$19,CS$12))),$I49,"")</f>
        <v/>
      </c>
      <c r="CT49" s="390" t="str">
        <f>IF(AND(CT$12&gt;=$E49,CT$12&lt;=$F49,MOD(CT$12,7)&gt;1,NOT(COUNTIF(General!$U$13:$U$19,CT$12))),$I49,"")</f>
        <v/>
      </c>
      <c r="CU49" s="390" t="str">
        <f>IF(AND(CU$12&gt;=$E49,CU$12&lt;=$F49,MOD(CU$12,7)&gt;1,NOT(COUNTIF(General!$U$13:$U$19,CU$12))),$I49,"")</f>
        <v/>
      </c>
      <c r="CV49" s="390" t="str">
        <f>IF(AND(CV$12&gt;=$E49,CV$12&lt;=$F49,MOD(CV$12,7)&gt;1,NOT(COUNTIF(General!$U$13:$U$19,CV$12))),$I49,"")</f>
        <v/>
      </c>
      <c r="CW49" s="390" t="str">
        <f>IF(AND(CW$12&gt;=$E49,CW$12&lt;=$F49,MOD(CW$12,7)&gt;1,NOT(COUNTIF(General!$U$13:$U$19,CW$12))),$I49,"")</f>
        <v/>
      </c>
      <c r="CX49" s="390" t="str">
        <f>IF(AND(CX$12&gt;=$E49,CX$12&lt;=$F49,MOD(CX$12,7)&gt;1,NOT(COUNTIF(General!$U$13:$U$19,CX$12))),$I49,"")</f>
        <v/>
      </c>
      <c r="CY49" s="390" t="str">
        <f>IF(AND(CY$12&gt;=$E49,CY$12&lt;=$F49,MOD(CY$12,7)&gt;1,NOT(COUNTIF(General!$U$13:$U$19,CY$12))),$I49,"")</f>
        <v/>
      </c>
      <c r="CZ49" s="390" t="str">
        <f>IF(AND(CZ$12&gt;=$E49,CZ$12&lt;=$F49,MOD(CZ$12,7)&gt;1,NOT(COUNTIF(General!$U$13:$U$19,CZ$12))),$I49,"")</f>
        <v/>
      </c>
      <c r="DA49" s="390" t="str">
        <f>IF(AND(DA$12&gt;=$E49,DA$12&lt;=$F49,MOD(DA$12,7)&gt;1,NOT(COUNTIF(General!$U$13:$U$19,DA$12))),$I49,"")</f>
        <v/>
      </c>
      <c r="DB49" s="390" t="str">
        <f>IF(AND(DB$12&gt;=$E49,DB$12&lt;=$F49,MOD(DB$12,7)&gt;1,NOT(COUNTIF(General!$U$13:$U$19,DB$12))),$I49,"")</f>
        <v/>
      </c>
      <c r="DC49" s="390" t="str">
        <f>IF(AND(DC$12&gt;=$E49,DC$12&lt;=$F49,MOD(DC$12,7)&gt;1,NOT(COUNTIF(General!$U$13:$U$19,DC$12))),$I49,"")</f>
        <v/>
      </c>
      <c r="DD49" s="390" t="str">
        <f>IF(AND(DD$12&gt;=$E49,DD$12&lt;=$F49,MOD(DD$12,7)&gt;1,NOT(COUNTIF(General!$U$13:$U$19,DD$12))),$I49,"")</f>
        <v/>
      </c>
      <c r="DE49" s="390" t="str">
        <f>IF(AND(DE$12&gt;=$E49,DE$12&lt;=$F49,MOD(DE$12,7)&gt;1,NOT(COUNTIF(General!$U$13:$U$19,DE$12))),$I49,"")</f>
        <v/>
      </c>
      <c r="DF49" s="390" t="str">
        <f>IF(AND(DF$12&gt;=$E49,DF$12&lt;=$F49,MOD(DF$12,7)&gt;1,NOT(COUNTIF(General!$U$13:$U$19,DF$12))),$I49,"")</f>
        <v/>
      </c>
      <c r="DG49" s="390" t="str">
        <f>IF(AND(DG$12&gt;=$E49,DG$12&lt;=$F49,MOD(DG$12,7)&gt;1,NOT(COUNTIF(General!$U$13:$U$19,DG$12))),$I49,"")</f>
        <v/>
      </c>
      <c r="DH49" s="390" t="str">
        <f>IF(AND(DH$12&gt;=$E49,DH$12&lt;=$F49,MOD(DH$12,7)&gt;1,NOT(COUNTIF(General!$U$13:$U$19,DH$12))),$I49,"")</f>
        <v/>
      </c>
      <c r="DI49" s="390" t="str">
        <f>IF(AND(DI$12&gt;=$E49,DI$12&lt;=$F49,MOD(DI$12,7)&gt;1,NOT(COUNTIF(General!$U$13:$U$19,DI$12))),$I49,"")</f>
        <v/>
      </c>
      <c r="DJ49" s="390" t="str">
        <f>IF(AND(DJ$12&gt;=$E49,DJ$12&lt;=$F49,MOD(DJ$12,7)&gt;1,NOT(COUNTIF(General!$U$13:$U$19,DJ$12))),$I49,"")</f>
        <v/>
      </c>
      <c r="DK49" s="390" t="str">
        <f>IF(AND(DK$12&gt;=$E49,DK$12&lt;=$F49,MOD(DK$12,7)&gt;1,NOT(COUNTIF(General!$U$13:$U$19,DK$12))),$I49,"")</f>
        <v/>
      </c>
      <c r="DL49" s="390" t="str">
        <f>IF(AND(DL$12&gt;=$E49,DL$12&lt;=$F49,MOD(DL$12,7)&gt;1,NOT(COUNTIF(General!$U$13:$U$19,DL$12))),$I49,"")</f>
        <v/>
      </c>
      <c r="DM49" s="390" t="str">
        <f>IF(AND(DM$12&gt;=$E49,DM$12&lt;=$F49,MOD(DM$12,7)&gt;1,NOT(COUNTIF(General!$U$13:$U$19,DM$12))),$I49,"")</f>
        <v/>
      </c>
      <c r="DN49" s="390" t="str">
        <f>IF(AND(DN$12&gt;=$E49,DN$12&lt;=$F49,MOD(DN$12,7)&gt;1,NOT(COUNTIF(General!$U$13:$U$19,DN$12))),$I49,"")</f>
        <v/>
      </c>
      <c r="DO49" s="390" t="str">
        <f>IF(AND(DO$12&gt;=$E49,DO$12&lt;=$F49,MOD(DO$12,7)&gt;1,NOT(COUNTIF(General!$U$13:$U$19,DO$12))),$I49,"")</f>
        <v/>
      </c>
      <c r="DP49" s="390" t="str">
        <f>IF(AND(DP$12&gt;=$E49,DP$12&lt;=$F49,MOD(DP$12,7)&gt;1,NOT(COUNTIF(General!$U$13:$U$19,DP$12))),$I49,"")</f>
        <v/>
      </c>
      <c r="DQ49" s="390" t="str">
        <f>IF(AND(DQ$12&gt;=$E49,DQ$12&lt;=$F49,MOD(DQ$12,7)&gt;1,NOT(COUNTIF(General!$U$13:$U$19,DQ$12))),$I49,"")</f>
        <v/>
      </c>
      <c r="DR49" s="390" t="str">
        <f>IF(AND(DR$12&gt;=$E49,DR$12&lt;=$F49,MOD(DR$12,7)&gt;1,NOT(COUNTIF(General!$U$13:$U$19,DR$12))),$I49,"")</f>
        <v/>
      </c>
      <c r="DS49" s="390" t="str">
        <f>IF(AND(DS$12&gt;=$E49,DS$12&lt;=$F49,MOD(DS$12,7)&gt;1,NOT(COUNTIF(General!$U$13:$U$19,DS$12))),$I49,"")</f>
        <v/>
      </c>
      <c r="DT49" s="390" t="str">
        <f>IF(AND(DT$12&gt;=$E49,DT$12&lt;=$F49,MOD(DT$12,7)&gt;1,NOT(COUNTIF(General!$U$13:$U$19,DT$12))),$I49,"")</f>
        <v/>
      </c>
      <c r="DU49" s="390" t="str">
        <f>IF(AND(DU$12&gt;=$E49,DU$12&lt;=$F49,MOD(DU$12,7)&gt;1,NOT(COUNTIF(General!$U$13:$U$19,DU$12))),$I49,"")</f>
        <v/>
      </c>
      <c r="DV49" s="390" t="str">
        <f>IF(AND(DV$12&gt;=$E49,DV$12&lt;=$F49,MOD(DV$12,7)&gt;1,NOT(COUNTIF(General!$U$13:$U$19,DV$12))),$I49,"")</f>
        <v/>
      </c>
      <c r="DW49" s="390" t="str">
        <f>IF(AND(DW$12&gt;=$E49,DW$12&lt;=$F49,MOD(DW$12,7)&gt;1,NOT(COUNTIF(General!$U$13:$U$19,DW$12))),$I49,"")</f>
        <v/>
      </c>
      <c r="DX49" s="390" t="str">
        <f>IF(AND(DX$12&gt;=$E49,DX$12&lt;=$F49,MOD(DX$12,7)&gt;1,NOT(COUNTIF(General!$U$13:$U$19,DX$12))),$I49,"")</f>
        <v/>
      </c>
      <c r="DY49" s="390" t="str">
        <f>IF(AND(DY$12&gt;=$E49,DY$12&lt;=$F49,MOD(DY$12,7)&gt;1,NOT(COUNTIF(General!$U$13:$U$19,DY$12))),$I49,"")</f>
        <v/>
      </c>
      <c r="DZ49" s="390" t="str">
        <f>IF(AND(DZ$12&gt;=$E49,DZ$12&lt;=$F49,MOD(DZ$12,7)&gt;1,NOT(COUNTIF(General!$U$13:$U$19,DZ$12))),$I49,"")</f>
        <v/>
      </c>
      <c r="EA49" s="390" t="str">
        <f>IF(AND(EA$12&gt;=$E49,EA$12&lt;=$F49,MOD(EA$12,7)&gt;1,NOT(COUNTIF(General!$U$13:$U$19,EA$12))),$I49,"")</f>
        <v/>
      </c>
      <c r="EB49" s="390" t="str">
        <f>IF(AND(EB$12&gt;=$E49,EB$12&lt;=$F49,MOD(EB$12,7)&gt;1,NOT(COUNTIF(General!$U$13:$U$19,EB$12))),$I49,"")</f>
        <v/>
      </c>
      <c r="EC49" s="390" t="str">
        <f>IF(AND(EC$12&gt;=$E49,EC$12&lt;=$F49,MOD(EC$12,7)&gt;1,NOT(COUNTIF(General!$U$13:$U$19,EC$12))),$I49,"")</f>
        <v/>
      </c>
      <c r="ED49" s="390" t="str">
        <f>IF(AND(ED$12&gt;=$E49,ED$12&lt;=$F49,MOD(ED$12,7)&gt;1,NOT(COUNTIF(General!$U$13:$U$19,ED$12))),$I49,"")</f>
        <v/>
      </c>
      <c r="EE49" s="390" t="str">
        <f>IF(AND(EE$12&gt;=$E49,EE$12&lt;=$F49,MOD(EE$12,7)&gt;1,NOT(COUNTIF(General!$U$13:$U$19,EE$12))),$I49,"")</f>
        <v/>
      </c>
      <c r="EF49" s="390" t="str">
        <f>IF(AND(EF$12&gt;=$E49,EF$12&lt;=$F49,MOD(EF$12,7)&gt;1,NOT(COUNTIF(General!$U$13:$U$19,EF$12))),$I49,"")</f>
        <v/>
      </c>
      <c r="EG49" s="390" t="str">
        <f>IF(AND(EG$12&gt;=$E49,EG$12&lt;=$F49,MOD(EG$12,7)&gt;1,NOT(COUNTIF(General!$U$13:$U$19,EG$12))),$I49,"")</f>
        <v/>
      </c>
      <c r="EH49" s="390" t="str">
        <f>IF(AND(EH$12&gt;=$E49,EH$12&lt;=$F49,MOD(EH$12,7)&gt;1,NOT(COUNTIF(General!$U$13:$U$19,EH$12))),$I49,"")</f>
        <v/>
      </c>
      <c r="EI49" s="390" t="str">
        <f>IF(AND(EI$12&gt;=$E49,EI$12&lt;=$F49,MOD(EI$12,7)&gt;1,NOT(COUNTIF(General!$U$13:$U$19,EI$12))),$I49,"")</f>
        <v/>
      </c>
      <c r="EJ49" s="390" t="str">
        <f>IF(AND(EJ$12&gt;=$E49,EJ$12&lt;=$F49,MOD(EJ$12,7)&gt;1,NOT(COUNTIF(General!$U$13:$U$19,EJ$12))),$I49,"")</f>
        <v/>
      </c>
      <c r="EK49" s="390" t="str">
        <f>IF(AND(EK$12&gt;=$E49,EK$12&lt;=$F49,MOD(EK$12,7)&gt;1,NOT(COUNTIF(General!$U$13:$U$19,EK$12))),$I49,"")</f>
        <v/>
      </c>
      <c r="EL49" s="390" t="str">
        <f>IF(AND(EL$12&gt;=$E49,EL$12&lt;=$F49,MOD(EL$12,7)&gt;1,NOT(COUNTIF(General!$U$13:$U$19,EL$12))),$I49,"")</f>
        <v/>
      </c>
      <c r="EM49" s="390" t="str">
        <f>IF(AND(EM$12&gt;=$E49,EM$12&lt;=$F49,MOD(EM$12,7)&gt;1,NOT(COUNTIF(General!$U$13:$U$19,EM$12))),$I49,"")</f>
        <v/>
      </c>
      <c r="EN49" s="390" t="str">
        <f>IF(AND(EN$12&gt;=$E49,EN$12&lt;=$F49,MOD(EN$12,7)&gt;1,NOT(COUNTIF(General!$U$13:$U$19,EN$12))),$I49,"")</f>
        <v/>
      </c>
      <c r="EO49" s="390" t="str">
        <f>IF(AND(EO$12&gt;=$E49,EO$12&lt;=$F49,MOD(EO$12,7)&gt;1,NOT(COUNTIF(General!$U$13:$U$19,EO$12))),$I49,"")</f>
        <v/>
      </c>
      <c r="EP49" s="390" t="str">
        <f>IF(AND(EP$12&gt;=$E49,EP$12&lt;=$F49,MOD(EP$12,7)&gt;1,NOT(COUNTIF(General!$U$13:$U$19,EP$12))),$I49,"")</f>
        <v/>
      </c>
      <c r="EQ49" s="390" t="str">
        <f>IF(AND(EQ$12&gt;=$E49,EQ$12&lt;=$F49,MOD(EQ$12,7)&gt;1,NOT(COUNTIF(General!$U$13:$U$19,EQ$12))),$I49,"")</f>
        <v/>
      </c>
      <c r="ER49" s="390" t="str">
        <f>IF(AND(ER$12&gt;=$E49,ER$12&lt;=$F49,MOD(ER$12,7)&gt;1,NOT(COUNTIF(General!$U$13:$U$19,ER$12))),$I49,"")</f>
        <v/>
      </c>
      <c r="ES49" s="390" t="str">
        <f>IF(AND(ES$12&gt;=$E49,ES$12&lt;=$F49,MOD(ES$12,7)&gt;1,NOT(COUNTIF(General!$U$13:$U$19,ES$12))),$I49,"")</f>
        <v/>
      </c>
      <c r="ET49" s="390" t="str">
        <f>IF(AND(ET$12&gt;=$E49,ET$12&lt;=$F49,MOD(ET$12,7)&gt;1,NOT(COUNTIF(General!$U$13:$U$19,ET$12))),$I49,"")</f>
        <v/>
      </c>
      <c r="EU49" s="390" t="str">
        <f>IF(AND(EU$12&gt;=$E49,EU$12&lt;=$F49,MOD(EU$12,7)&gt;1,NOT(COUNTIF(General!$U$13:$U$19,EU$12))),$I49,"")</f>
        <v/>
      </c>
      <c r="EV49" s="390" t="str">
        <f>IF(AND(EV$12&gt;=$E49,EV$12&lt;=$F49,MOD(EV$12,7)&gt;1,NOT(COUNTIF(General!$U$13:$U$19,EV$12))),$I49,"")</f>
        <v/>
      </c>
      <c r="EW49" s="390" t="str">
        <f>IF(AND(EW$12&gt;=$E49,EW$12&lt;=$F49,MOD(EW$12,7)&gt;1,NOT(COUNTIF(General!$U$13:$U$19,EW$12))),$I49,"")</f>
        <v/>
      </c>
      <c r="EX49" s="390" t="str">
        <f>IF(AND(EX$12&gt;=$E49,EX$12&lt;=$F49,MOD(EX$12,7)&gt;1,NOT(COUNTIF(General!$U$13:$U$19,EX$12))),$I49,"")</f>
        <v/>
      </c>
      <c r="EY49" s="390" t="str">
        <f>IF(AND(EY$12&gt;=$E49,EY$12&lt;=$F49,MOD(EY$12,7)&gt;1,NOT(COUNTIF(General!$U$13:$U$19,EY$12))),$I49,"")</f>
        <v/>
      </c>
      <c r="EZ49" s="390" t="str">
        <f>IF(AND(EZ$12&gt;=$E49,EZ$12&lt;=$F49,MOD(EZ$12,7)&gt;1,NOT(COUNTIF(General!$U$13:$U$19,EZ$12))),$I49,"")</f>
        <v/>
      </c>
      <c r="FA49" s="390" t="str">
        <f>IF(AND(FA$12&gt;=$E49,FA$12&lt;=$F49,MOD(FA$12,7)&gt;1,NOT(COUNTIF(General!$U$13:$U$19,FA$12))),$I49,"")</f>
        <v/>
      </c>
      <c r="FB49" s="390" t="str">
        <f>IF(AND(FB$12&gt;=$E49,FB$12&lt;=$F49,MOD(FB$12,7)&gt;1,NOT(COUNTIF(General!$U$13:$U$19,FB$12))),$I49,"")</f>
        <v/>
      </c>
      <c r="FC49" s="390" t="str">
        <f>IF(AND(FC$12&gt;=$E49,FC$12&lt;=$F49,MOD(FC$12,7)&gt;1,NOT(COUNTIF(General!$U$13:$U$19,FC$12))),$I49,"")</f>
        <v/>
      </c>
      <c r="FD49" s="390" t="str">
        <f>IF(AND(FD$12&gt;=$E49,FD$12&lt;=$F49,MOD(FD$12,7)&gt;1,NOT(COUNTIF(General!$U$13:$U$19,FD$12))),$I49,"")</f>
        <v/>
      </c>
      <c r="FE49" s="390" t="str">
        <f>IF(AND(FE$12&gt;=$E49,FE$12&lt;=$F49,MOD(FE$12,7)&gt;1,NOT(COUNTIF(General!$U$13:$U$19,FE$12))),$I49,"")</f>
        <v/>
      </c>
      <c r="FF49" s="390" t="str">
        <f>IF(AND(FF$12&gt;=$E49,FF$12&lt;=$F49,MOD(FF$12,7)&gt;1,NOT(COUNTIF(General!$U$13:$U$19,FF$12))),$I49,"")</f>
        <v/>
      </c>
      <c r="FG49" s="390" t="str">
        <f>IF(AND(FG$12&gt;=$E49,FG$12&lt;=$F49,MOD(FG$12,7)&gt;1,NOT(COUNTIF(General!$U$13:$U$19,FG$12))),$I49,"")</f>
        <v/>
      </c>
      <c r="FH49" s="390" t="str">
        <f>IF(AND(FH$12&gt;=$E49,FH$12&lt;=$F49,MOD(FH$12,7)&gt;1,NOT(COUNTIF(General!$U$13:$U$19,FH$12))),$I49,"")</f>
        <v/>
      </c>
      <c r="FI49" s="390" t="str">
        <f>IF(AND(FI$12&gt;=$E49,FI$12&lt;=$F49,MOD(FI$12,7)&gt;1,NOT(COUNTIF(General!$U$13:$U$19,FI$12))),$I49,"")</f>
        <v/>
      </c>
      <c r="FJ49" s="390" t="str">
        <f>IF(AND(FJ$12&gt;=$E49,FJ$12&lt;=$F49,MOD(FJ$12,7)&gt;1,NOT(COUNTIF(General!$U$13:$U$19,FJ$12))),$I49,"")</f>
        <v/>
      </c>
      <c r="FK49" s="390" t="str">
        <f>IF(AND(FK$12&gt;=$E49,FK$12&lt;=$F49,MOD(FK$12,7)&gt;1,NOT(COUNTIF(General!$U$13:$U$19,FK$12))),$I49,"")</f>
        <v/>
      </c>
      <c r="FL49" s="390" t="str">
        <f>IF(AND(FL$12&gt;=$E49,FL$12&lt;=$F49,MOD(FL$12,7)&gt;1,NOT(COUNTIF(General!$U$13:$U$19,FL$12))),$I49,"")</f>
        <v/>
      </c>
      <c r="FM49" s="390" t="str">
        <f>IF(AND(FM$12&gt;=$E49,FM$12&lt;=$F49,MOD(FM$12,7)&gt;1,NOT(COUNTIF(General!$U$13:$U$19,FM$12))),$I49,"")</f>
        <v/>
      </c>
      <c r="FN49" s="390" t="str">
        <f>IF(AND(FN$12&gt;=$E49,FN$12&lt;=$F49,MOD(FN$12,7)&gt;1,NOT(COUNTIF(General!$U$13:$U$19,FN$12))),$I49,"")</f>
        <v/>
      </c>
      <c r="FO49" s="390" t="str">
        <f>IF(AND(FO$12&gt;=$E49,FO$12&lt;=$F49,MOD(FO$12,7)&gt;1,NOT(COUNTIF(General!$U$13:$U$19,FO$12))),$I49,"")</f>
        <v/>
      </c>
      <c r="FP49" s="390" t="str">
        <f>IF(AND(FP$12&gt;=$E49,FP$12&lt;=$F49,MOD(FP$12,7)&gt;1,NOT(COUNTIF(General!$U$13:$U$19,FP$12))),$I49,"")</f>
        <v/>
      </c>
      <c r="FQ49" s="390" t="str">
        <f>IF(AND(FQ$12&gt;=$E49,FQ$12&lt;=$F49,MOD(FQ$12,7)&gt;1,NOT(COUNTIF(General!$U$13:$U$19,FQ$12))),$I49,"")</f>
        <v/>
      </c>
      <c r="FR49" s="390" t="str">
        <f>IF(AND(FR$12&gt;=$E49,FR$12&lt;=$F49,MOD(FR$12,7)&gt;1,NOT(COUNTIF(General!$U$13:$U$19,FR$12))),$I49,"")</f>
        <v/>
      </c>
      <c r="FS49" s="390" t="str">
        <f>IF(AND(FS$12&gt;=$E49,FS$12&lt;=$F49,MOD(FS$12,7)&gt;1,NOT(COUNTIF(General!$U$13:$U$19,FS$12))),$I49,"")</f>
        <v/>
      </c>
      <c r="FT49" s="390" t="str">
        <f>IF(AND(FT$12&gt;=$E49,FT$12&lt;=$F49,MOD(FT$12,7)&gt;1,NOT(COUNTIF(General!$U$13:$U$19,FT$12))),$I49,"")</f>
        <v/>
      </c>
      <c r="FU49" s="390" t="str">
        <f>IF(AND(FU$12&gt;=$E49,FU$12&lt;=$F49,MOD(FU$12,7)&gt;1,NOT(COUNTIF(General!$U$13:$U$19,FU$12))),$I49,"")</f>
        <v/>
      </c>
      <c r="FV49" s="390" t="str">
        <f>IF(AND(FV$12&gt;=$E49,FV$12&lt;=$F49,MOD(FV$12,7)&gt;1,NOT(COUNTIF(General!$U$13:$U$19,FV$12))),$I49,"")</f>
        <v/>
      </c>
      <c r="FW49" s="390" t="str">
        <f>IF(AND(FW$12&gt;=$E49,FW$12&lt;=$F49,MOD(FW$12,7)&gt;1,NOT(COUNTIF(General!$U$13:$U$19,FW$12))),$I49,"")</f>
        <v/>
      </c>
      <c r="FX49" s="390" t="str">
        <f>IF(AND(FX$12&gt;=$E49,FX$12&lt;=$F49,MOD(FX$12,7)&gt;1,NOT(COUNTIF(General!$U$13:$U$19,FX$12))),$I49,"")</f>
        <v/>
      </c>
    </row>
    <row r="50" ht="16.5" customHeight="1">
      <c r="A50" s="580"/>
      <c r="B50" s="369" t="s">
        <v>589</v>
      </c>
      <c r="C50" s="582"/>
      <c r="D50" s="618" t="s">
        <v>574</v>
      </c>
      <c r="E50" s="599">
        <v>43829.0</v>
      </c>
      <c r="F50" s="374">
        <f>WORKDAY(E50,ROUNDUP(G50/I50,0),General!$U$13:$U$27)-1</f>
        <v>43830</v>
      </c>
      <c r="G50" s="584">
        <v>2.0</v>
      </c>
      <c r="H50" s="585"/>
      <c r="I50" s="379">
        <v>1.0</v>
      </c>
      <c r="J50" s="587"/>
      <c r="K50" s="588"/>
      <c r="L50" s="588"/>
      <c r="M50" s="589"/>
      <c r="N50" s="590"/>
      <c r="O50" s="591"/>
      <c r="P50" s="592"/>
      <c r="Q50" s="582" t="str">
        <f>IF(AND(Q$12&gt;=$E50,Q$12&lt;=$F50,MOD(Q$12,7)&gt;1,NOT(COUNTIF(General!$U$13:$U$19,Q$12))),$I50,"")</f>
        <v/>
      </c>
      <c r="R50" s="582" t="str">
        <f>IF(AND(R$12&gt;=$E50,R$12&lt;=$F50,MOD(R$12,7)&gt;1,NOT(COUNTIF(General!$U$13:$U$19,R$12))),$I50,"")</f>
        <v/>
      </c>
      <c r="S50" s="582" t="str">
        <f>IF(AND(S$12&gt;=$E50,S$12&lt;=$F50,MOD(S$12,7)&gt;1,NOT(COUNTIF(General!$U$13:$U$19,S$12))),$I50,"")</f>
        <v/>
      </c>
      <c r="T50" s="582" t="str">
        <f>IF(AND(T$12&gt;=$E50,T$12&lt;=$F50,MOD(T$12,7)&gt;1,NOT(COUNTIF(General!$U$13:$U$19,T$12))),$I50,"")</f>
        <v/>
      </c>
      <c r="U50" s="582" t="str">
        <f>IF(AND(U$12&gt;=$E50,U$12&lt;=$F50,MOD(U$12,7)&gt;1,NOT(COUNTIF(General!$U$13:$U$19,U$12))),$I50,"")</f>
        <v/>
      </c>
      <c r="V50" s="593" t="str">
        <f>IF(AND(V$12&gt;=$E50,V$12&lt;=$F50,MOD(V$12,7)&gt;1,NOT(COUNTIF(General!$U$13:$U$19,V$12))),$I50,"")</f>
        <v/>
      </c>
      <c r="W50" s="593" t="str">
        <f>IF(AND(W$12&gt;=$E50,W$12&lt;=$F50,MOD(W$12,7)&gt;1,NOT(COUNTIF(General!$U$13:$U$19,W$12))),$I50,"")</f>
        <v/>
      </c>
      <c r="X50" s="582" t="str">
        <f>IF(AND(X$12&gt;=$E50,X$12&lt;=$F50,MOD(X$12,7)&gt;1,NOT(COUNTIF(General!$U$13:$U$19,X$12))),$I50,"")</f>
        <v/>
      </c>
      <c r="Y50" s="582" t="str">
        <f>IF(AND(Y$12&gt;=$E50,Y$12&lt;=$F50,MOD(Y$12,7)&gt;1,NOT(COUNTIF(General!$U$13:$U$19,Y$12))),$I50,"")</f>
        <v/>
      </c>
      <c r="Z50" s="582" t="str">
        <f>IF(AND(Z$12&gt;=$E50,Z$12&lt;=$F50,MOD(Z$12,7)&gt;1,NOT(COUNTIF(General!$U$13:$U$19,Z$12))),$I50,"")</f>
        <v/>
      </c>
      <c r="AA50" s="582" t="str">
        <f>IF(AND(AA$12&gt;=$E50,AA$12&lt;=$F50,MOD(AA$12,7)&gt;1,NOT(COUNTIF(General!$U$13:$U$19,AA$12))),$I50,"")</f>
        <v/>
      </c>
      <c r="AB50" s="582" t="str">
        <f>IF(AND(AB$12&gt;=$E50,AB$12&lt;=$F50,MOD(AB$12,7)&gt;1,NOT(COUNTIF(General!$U$13:$U$19,AB$12))),$I50,"")</f>
        <v/>
      </c>
      <c r="AC50" s="582" t="str">
        <f>IF(AND(AC$12&gt;=$E50,AC$12&lt;=$F50,MOD(AC$12,7)&gt;1,NOT(COUNTIF(General!$U$13:$U$19,AC$12))),$I50,"")</f>
        <v/>
      </c>
      <c r="AD50" s="582" t="str">
        <f>IF(AND(AD$12&gt;=$E50,AD$12&lt;=$F50,MOD(AD$12,7)&gt;1,NOT(COUNTIF(General!$U$13:$U$19,AD$12))),$I50,"")</f>
        <v/>
      </c>
      <c r="AE50" s="582" t="str">
        <f>IF(AND(AE$12&gt;=$E50,AE$12&lt;=$F50,MOD(AE$12,7)&gt;1,NOT(COUNTIF(General!$U$13:$U$19,AE$12))),$I50,"")</f>
        <v/>
      </c>
      <c r="AF50" s="582" t="str">
        <f>IF(AND(AF$12&gt;=$E50,AF$12&lt;=$F50,MOD(AF$12,7)&gt;1,NOT(COUNTIF(General!$U$13:$U$19,AF$12))),$I50,"")</f>
        <v/>
      </c>
      <c r="AG50" s="582" t="str">
        <f>IF(AND(AG$12&gt;=$E50,AG$12&lt;=$F50,MOD(AG$12,7)&gt;1,NOT(COUNTIF(General!$U$13:$U$19,AG$12))),$I50,"")</f>
        <v/>
      </c>
      <c r="AH50" s="582" t="str">
        <f>IF(AND(AH$12&gt;=$E50,AH$12&lt;=$F50,MOD(AH$12,7)&gt;1,NOT(COUNTIF(General!$U$13:$U$19,AH$12))),$I50,"")</f>
        <v/>
      </c>
      <c r="AI50" s="582" t="str">
        <f>IF(AND(AI$12&gt;=$E50,AI$12&lt;=$F50,MOD(AI$12,7)&gt;1,NOT(COUNTIF(General!$U$13:$U$19,AI$12))),$I50,"")</f>
        <v/>
      </c>
      <c r="AJ50" s="593" t="str">
        <f>IF(AND(AJ$12&gt;=$E50,AJ$12&lt;=$F50,MOD(AJ$12,7)&gt;1,NOT(COUNTIF(General!$U$13:$U$19,AJ$12))),$I50,"")</f>
        <v/>
      </c>
      <c r="AK50" s="593" t="str">
        <f>IF(AND(AK$12&gt;=$E50,AK$12&lt;=$F50,MOD(AK$12,7)&gt;1,NOT(COUNTIF(General!$U$13:$U$19,AK$12))),$I50,"")</f>
        <v/>
      </c>
      <c r="AL50" s="582" t="str">
        <f>IF(AND(AL$12&gt;=$E50,AL$12&lt;=$F50,MOD(AL$12,7)&gt;1,NOT(COUNTIF(General!$U$13:$U$19,AL$12))),$I50,"")</f>
        <v/>
      </c>
      <c r="AM50" s="582" t="str">
        <f>IF(AND(AM$12&gt;=$E50,AM$12&lt;=$F50,MOD(AM$12,7)&gt;1,NOT(COUNTIF(General!$U$13:$U$19,AM$12))),$I50,"")</f>
        <v/>
      </c>
      <c r="AN50" s="582" t="str">
        <f>IF(AND(AN$12&gt;=$E50,AN$12&lt;=$F50,MOD(AN$12,7)&gt;1,NOT(COUNTIF(General!$U$13:$U$19,AN$12))),$I50,"")</f>
        <v/>
      </c>
      <c r="AO50" s="582" t="str">
        <f>IF(AND(AO$12&gt;=$E50,AO$12&lt;=$F50,MOD(AO$12,7)&gt;1,NOT(COUNTIF(General!$U$13:$U$19,AO$12))),$I50,"")</f>
        <v/>
      </c>
      <c r="AP50" s="582" t="str">
        <f>IF(AND(AP$12&gt;=$E50,AP$12&lt;=$F50,MOD(AP$12,7)&gt;1,NOT(COUNTIF(General!$U$13:$U$19,AP$12))),$I50,"")</f>
        <v/>
      </c>
      <c r="AQ50" s="593" t="str">
        <f>IF(AND(AQ$12&gt;=$E50,AQ$12&lt;=$F50,MOD(AQ$12,7)&gt;1,NOT(COUNTIF(General!$U$13:$U$19,AQ$12))),$I50,"")</f>
        <v/>
      </c>
      <c r="AR50" s="593" t="str">
        <f>IF(AND(AR$12&gt;=$E50,AR$12&lt;=$F50,MOD(AR$12,7)&gt;1,NOT(COUNTIF(General!$U$13:$U$19,AR$12))),$I50,"")</f>
        <v/>
      </c>
      <c r="AS50" s="582">
        <f>IF(AND(AS$12&gt;=$E50,AS$12&lt;=$F50,MOD(AS$12,7)&gt;1,NOT(COUNTIF(General!$U$13:$U$19,AS$12))),$I50,"")</f>
        <v>1</v>
      </c>
      <c r="AT50" s="582">
        <f>IF(AND(AT$12&gt;=$E50,AT$12&lt;=$F50,MOD(AT$12,7)&gt;1,NOT(COUNTIF(General!$U$13:$U$19,AT$12))),$I50,"")</f>
        <v>1</v>
      </c>
      <c r="AU50" s="582" t="str">
        <f>IF(AND(AU$12&gt;=$E50,AU$12&lt;=$F50,MOD(AU$12,7)&gt;1,NOT(COUNTIF(General!$U$13:$U$19,AU$12))),$I50,"")</f>
        <v/>
      </c>
      <c r="AV50" s="582" t="str">
        <f>IF(AND(AV$12&gt;=$E50,AV$12&lt;=$F50,MOD(AV$12,7)&gt;1,NOT(COUNTIF(General!$U$13:$U$19,AV$12))),$I50,"")</f>
        <v/>
      </c>
      <c r="AW50" s="582" t="str">
        <f>IF(AND(AW$12&gt;=$E50,AW$12&lt;=$F50,MOD(AW$12,7)&gt;1,NOT(COUNTIF(General!$U$13:$U$19,AW$12))),$I50,"")</f>
        <v/>
      </c>
      <c r="AX50" s="593" t="str">
        <f>IF(AND(AX$12&gt;=$E50,AX$12&lt;=$F50,MOD(AX$12,7)&gt;1,NOT(COUNTIF(General!$U$13:$U$19,AX$12))),$I50,"")</f>
        <v/>
      </c>
      <c r="AY50" s="593" t="str">
        <f>IF(AND(AY$12&gt;=$E50,AY$12&lt;=$F50,MOD(AY$12,7)&gt;1,NOT(COUNTIF(General!$U$13:$U$19,AY$12))),$I50,"")</f>
        <v/>
      </c>
      <c r="AZ50" s="582" t="str">
        <f>IF(AND(AZ$12&gt;=$E50,AZ$12&lt;=$F50,MOD(AZ$12,7)&gt;1,NOT(COUNTIF(General!$U$13:$U$19,AZ$12))),$I50,"")</f>
        <v/>
      </c>
      <c r="BA50" s="582" t="str">
        <f>IF(AND(BA$12&gt;=$E50,BA$12&lt;=$F50,MOD(BA$12,7)&gt;1,NOT(COUNTIF(General!$U$13:$U$19,BA$12))),$I50,"")</f>
        <v/>
      </c>
      <c r="BB50" s="582" t="str">
        <f>IF(AND(BB$12&gt;=$E50,BB$12&lt;=$F50,MOD(BB$12,7)&gt;1,NOT(COUNTIF(General!$U$13:$U$19,BB$12))),$I50,"")</f>
        <v/>
      </c>
      <c r="BC50" s="582" t="str">
        <f>IF(AND(BC$12&gt;=$E50,BC$12&lt;=$F50,MOD(BC$12,7)&gt;1,NOT(COUNTIF(General!$U$13:$U$19,BC$12))),$I50,"")</f>
        <v/>
      </c>
      <c r="BD50" s="582" t="str">
        <f>IF(AND(BD$12&gt;=$E50,BD$12&lt;=$F50,MOD(BD$12,7)&gt;1,NOT(COUNTIF(General!$U$13:$U$19,BD$12))),$I50,"")</f>
        <v/>
      </c>
      <c r="BE50" s="593" t="str">
        <f>IF(AND(BE$12&gt;=$E50,BE$12&lt;=$F50,MOD(BE$12,7)&gt;1,NOT(COUNTIF(General!$U$13:$U$19,BE$12))),$I50,"")</f>
        <v/>
      </c>
      <c r="BF50" s="593" t="str">
        <f>IF(AND(BF$12&gt;=$E50,BF$12&lt;=$F50,MOD(BF$12,7)&gt;1,NOT(COUNTIF(General!$U$13:$U$19,BF$12))),$I50,"")</f>
        <v/>
      </c>
      <c r="BG50" s="582" t="str">
        <f>IF(AND(BG$12&gt;=$E50,BG$12&lt;=$F50,MOD(BG$12,7)&gt;1,NOT(COUNTIF(General!$U$13:$U$19,BG$12))),$I50,"")</f>
        <v/>
      </c>
      <c r="BH50" s="582" t="str">
        <f>IF(AND(BH$12&gt;=$E50,BH$12&lt;=$F50,MOD(BH$12,7)&gt;1,NOT(COUNTIF(General!$U$13:$U$19,BH$12))),$I50,"")</f>
        <v/>
      </c>
      <c r="BI50" s="582" t="str">
        <f>IF(AND(BI$12&gt;=$E50,BI$12&lt;=$F50,MOD(BI$12,7)&gt;1,NOT(COUNTIF(General!$U$13:$U$19,BI$12))),$I50,"")</f>
        <v/>
      </c>
      <c r="BJ50" s="582" t="str">
        <f>IF(AND(BJ$12&gt;=$E50,BJ$12&lt;=$F50,MOD(BJ$12,7)&gt;1,NOT(COUNTIF(General!$U$13:$U$19,BJ$12))),$I50,"")</f>
        <v/>
      </c>
      <c r="BK50" s="582" t="str">
        <f>IF(AND(BK$12&gt;=$E50,BK$12&lt;=$F50,MOD(BK$12,7)&gt;1,NOT(COUNTIF(General!$U$13:$U$19,BK$12))),$I50,"")</f>
        <v/>
      </c>
      <c r="BL50" s="593" t="str">
        <f>IF(AND(BL$12&gt;=$E50,BL$12&lt;=$F50,MOD(BL$12,7)&gt;1,NOT(COUNTIF(General!$U$13:$U$19,BL$12))),$I50,"")</f>
        <v/>
      </c>
      <c r="BM50" s="593" t="str">
        <f>IF(AND(BM$12&gt;=$E50,BM$12&lt;=$F50,MOD(BM$12,7)&gt;1,NOT(COUNTIF(General!$U$13:$U$19,BM$12))),$I50,"")</f>
        <v/>
      </c>
      <c r="BN50" s="582" t="str">
        <f>IF(AND(BN$12&gt;=$E50,BN$12&lt;=$F50,MOD(BN$12,7)&gt;1,NOT(COUNTIF(General!$U$13:$U$19,BN$12))),$I50,"")</f>
        <v/>
      </c>
      <c r="BO50" s="582" t="str">
        <f>IF(AND(BO$12&gt;=$E50,BO$12&lt;=$F50,MOD(BO$12,7)&gt;1,NOT(COUNTIF(General!$U$13:$U$19,BO$12))),$I50,"")</f>
        <v/>
      </c>
      <c r="BP50" s="582" t="str">
        <f>IF(AND(BP$12&gt;=$E50,BP$12&lt;=$F50,MOD(BP$12,7)&gt;1,NOT(COUNTIF(General!$U$13:$U$19,BP$12))),$I50,"")</f>
        <v/>
      </c>
      <c r="BQ50" s="582" t="str">
        <f>IF(AND(BQ$12&gt;=$E50,BQ$12&lt;=$F50,MOD(BQ$12,7)&gt;1,NOT(COUNTIF(General!$U$13:$U$19,BQ$12))),$I50,"")</f>
        <v/>
      </c>
      <c r="BR50" s="582" t="str">
        <f>IF(AND(BR$12&gt;=$E50,BR$12&lt;=$F50,MOD(BR$12,7)&gt;1,NOT(COUNTIF(General!$U$13:$U$19,BR$12))),$I50,"")</f>
        <v/>
      </c>
      <c r="BS50" s="593" t="str">
        <f>IF(AND(BS$12&gt;=$E50,BS$12&lt;=$F50,MOD(BS$12,7)&gt;1,NOT(COUNTIF(General!$U$13:$U$19,BS$12))),$I50,"")</f>
        <v/>
      </c>
      <c r="BT50" s="593" t="str">
        <f>IF(AND(BT$12&gt;=$E50,BT$12&lt;=$F50,MOD(BT$12,7)&gt;1,NOT(COUNTIF(General!$U$13:$U$19,BT$12))),$I50,"")</f>
        <v/>
      </c>
      <c r="BU50" s="582" t="str">
        <f>IF(AND(BU$12&gt;=$E50,BU$12&lt;=$F50,MOD(BU$12,7)&gt;1,NOT(COUNTIF(General!$U$13:$U$19,BU$12))),$I50,"")</f>
        <v/>
      </c>
      <c r="BV50" s="582" t="str">
        <f>IF(AND(BV$12&gt;=$E50,BV$12&lt;=$F50,MOD(BV$12,7)&gt;1,NOT(COUNTIF(General!$U$13:$U$19,BV$12))),$I50,"")</f>
        <v/>
      </c>
      <c r="BW50" s="582" t="str">
        <f>IF(AND(BW$12&gt;=$E50,BW$12&lt;=$F50,MOD(BW$12,7)&gt;1,NOT(COUNTIF(General!$U$13:$U$19,BW$12))),$I50,"")</f>
        <v/>
      </c>
      <c r="BX50" s="582" t="str">
        <f>IF(AND(BX$12&gt;=$E50,BX$12&lt;=$F50,MOD(BX$12,7)&gt;1,NOT(COUNTIF(General!$U$13:$U$19,BX$12))),$I50,"")</f>
        <v/>
      </c>
      <c r="BY50" s="582" t="str">
        <f>IF(AND(BY$12&gt;=$E50,BY$12&lt;=$F50,MOD(BY$12,7)&gt;1,NOT(COUNTIF(General!$U$13:$U$19,BY$12))),$I50,"")</f>
        <v/>
      </c>
      <c r="BZ50" s="593" t="str">
        <f>IF(AND(BZ$12&gt;=$E50,BZ$12&lt;=$F50,MOD(BZ$12,7)&gt;1,NOT(COUNTIF(General!$U$13:$U$19,BZ$12))),$I50,"")</f>
        <v/>
      </c>
      <c r="CA50" s="593" t="str">
        <f>IF(AND(CA$12&gt;=$E50,CA$12&lt;=$F50,MOD(CA$12,7)&gt;1,NOT(COUNTIF(General!$U$13:$U$19,CA$12))),$I50,"")</f>
        <v/>
      </c>
      <c r="CB50" s="582" t="str">
        <f>IF(AND(CB$12&gt;=$E50,CB$12&lt;=$F50,MOD(CB$12,7)&gt;1,NOT(COUNTIF(General!$U$13:$U$19,CB$12))),$I50,"")</f>
        <v/>
      </c>
      <c r="CC50" s="582" t="str">
        <f>IF(AND(CC$12&gt;=$E50,CC$12&lt;=$F50,MOD(CC$12,7)&gt;1,NOT(COUNTIF(General!$U$13:$U$19,CC$12))),$I50,"")</f>
        <v/>
      </c>
      <c r="CD50" s="582" t="str">
        <f>IF(AND(CD$12&gt;=$E50,CD$12&lt;=$F50,MOD(CD$12,7)&gt;1,NOT(COUNTIF(General!$U$13:$U$19,CD$12))),$I50,"")</f>
        <v/>
      </c>
      <c r="CE50" s="582" t="str">
        <f>IF(AND(CE$12&gt;=$E50,CE$12&lt;=$F50,MOD(CE$12,7)&gt;1,NOT(COUNTIF(General!$U$13:$U$19,CE$12))),$I50,"")</f>
        <v/>
      </c>
      <c r="CF50" s="582" t="str">
        <f>IF(AND(CF$12&gt;=$E50,CF$12&lt;=$F50,MOD(CF$12,7)&gt;1,NOT(COUNTIF(General!$U$13:$U$19,CF$12))),$I50,"")</f>
        <v/>
      </c>
      <c r="CG50" s="593" t="str">
        <f>IF(AND(CG$12&gt;=$E50,CG$12&lt;=$F50,MOD(CG$12,7)&gt;1,NOT(COUNTIF(General!$U$13:$U$19,CG$12))),$I50,"")</f>
        <v/>
      </c>
      <c r="CH50" s="593" t="str">
        <f>IF(AND(CH$12&gt;=$E50,CH$12&lt;=$F50,MOD(CH$12,7)&gt;1,NOT(COUNTIF(General!$U$13:$U$19,CH$12))),$I50,"")</f>
        <v/>
      </c>
      <c r="CI50" s="582" t="str">
        <f>IF(AND(CI$12&gt;=$E50,CI$12&lt;=$F50,MOD(CI$12,7)&gt;1,NOT(COUNTIF(General!$U$13:$U$19,CI$12))),$I50,"")</f>
        <v/>
      </c>
      <c r="CJ50" s="582" t="str">
        <f>IF(AND(CJ$12&gt;=$E50,CJ$12&lt;=$F50,MOD(CJ$12,7)&gt;1,NOT(COUNTIF(General!$U$13:$U$19,CJ$12))),$I50,"")</f>
        <v/>
      </c>
      <c r="CK50" s="582" t="str">
        <f>IF(AND(CK$12&gt;=$E50,CK$12&lt;=$F50,MOD(CK$12,7)&gt;1,NOT(COUNTIF(General!$U$13:$U$19,CK$12))),$I50,"")</f>
        <v/>
      </c>
      <c r="CL50" s="582" t="str">
        <f>IF(AND(CL$12&gt;=$E50,CL$12&lt;=$F50,MOD(CL$12,7)&gt;1,NOT(COUNTIF(General!$U$13:$U$19,CL$12))),$I50,"")</f>
        <v/>
      </c>
      <c r="CM50" s="582" t="str">
        <f>IF(AND(CM$12&gt;=$E50,CM$12&lt;=$F50,MOD(CM$12,7)&gt;1,NOT(COUNTIF(General!$U$13:$U$19,CM$12))),$I50,"")</f>
        <v/>
      </c>
      <c r="CN50" s="593" t="str">
        <f>IF(AND(CN$12&gt;=$E50,CN$12&lt;=$F50,MOD(CN$12,7)&gt;1,NOT(COUNTIF(General!$U$13:$U$19,CN$12))),$I50,"")</f>
        <v/>
      </c>
      <c r="CO50" s="593" t="str">
        <f>IF(AND(CO$12&gt;=$E50,CO$12&lt;=$F50,MOD(CO$12,7)&gt;1,NOT(COUNTIF(General!$U$13:$U$19,CO$12))),$I50,"")</f>
        <v/>
      </c>
      <c r="CP50" s="582" t="str">
        <f>IF(AND(CP$12&gt;=$E50,CP$12&lt;=$F50,MOD(CP$12,7)&gt;1,NOT(COUNTIF(General!$U$13:$U$19,CP$12))),$I50,"")</f>
        <v/>
      </c>
      <c r="CQ50" s="582" t="str">
        <f>IF(AND(CQ$12&gt;=$E50,CQ$12&lt;=$F50,MOD(CQ$12,7)&gt;1,NOT(COUNTIF(General!$U$13:$U$19,CQ$12))),$I50,"")</f>
        <v/>
      </c>
      <c r="CR50" s="582" t="str">
        <f>IF(AND(CR$12&gt;=$E50,CR$12&lt;=$F50,MOD(CR$12,7)&gt;1,NOT(COUNTIF(General!$U$13:$U$19,CR$12))),$I50,"")</f>
        <v/>
      </c>
      <c r="CS50" s="582" t="str">
        <f>IF(AND(CS$12&gt;=$E50,CS$12&lt;=$F50,MOD(CS$12,7)&gt;1,NOT(COUNTIF(General!$U$13:$U$19,CS$12))),$I50,"")</f>
        <v/>
      </c>
      <c r="CT50" s="582" t="str">
        <f>IF(AND(CT$12&gt;=$E50,CT$12&lt;=$F50,MOD(CT$12,7)&gt;1,NOT(COUNTIF(General!$U$13:$U$19,CT$12))),$I50,"")</f>
        <v/>
      </c>
      <c r="CU50" s="593" t="str">
        <f>IF(AND(CU$12&gt;=$E50,CU$12&lt;=$F50,MOD(CU$12,7)&gt;1,NOT(COUNTIF(General!$U$13:$U$19,CU$12))),$I50,"")</f>
        <v/>
      </c>
      <c r="CV50" s="593" t="str">
        <f>IF(AND(CV$12&gt;=$E50,CV$12&lt;=$F50,MOD(CV$12,7)&gt;1,NOT(COUNTIF(General!$U$13:$U$19,CV$12))),$I50,"")</f>
        <v/>
      </c>
      <c r="CW50" s="582" t="str">
        <f>IF(AND(CW$12&gt;=$E50,CW$12&lt;=$F50,MOD(CW$12,7)&gt;1,NOT(COUNTIF(General!$U$13:$U$19,CW$12))),$I50,"")</f>
        <v/>
      </c>
      <c r="CX50" s="582" t="str">
        <f>IF(AND(CX$12&gt;=$E50,CX$12&lt;=$F50,MOD(CX$12,7)&gt;1,NOT(COUNTIF(General!$U$13:$U$19,CX$12))),$I50,"")</f>
        <v/>
      </c>
      <c r="CY50" s="582" t="str">
        <f>IF(AND(CY$12&gt;=$E50,CY$12&lt;=$F50,MOD(CY$12,7)&gt;1,NOT(COUNTIF(General!$U$13:$U$19,CY$12))),$I50,"")</f>
        <v/>
      </c>
      <c r="CZ50" s="582" t="str">
        <f>IF(AND(CZ$12&gt;=$E50,CZ$12&lt;=$F50,MOD(CZ$12,7)&gt;1,NOT(COUNTIF(General!$U$13:$U$19,CZ$12))),$I50,"")</f>
        <v/>
      </c>
      <c r="DA50" s="582" t="str">
        <f>IF(AND(DA$12&gt;=$E50,DA$12&lt;=$F50,MOD(DA$12,7)&gt;1,NOT(COUNTIF(General!$U$13:$U$19,DA$12))),$I50,"")</f>
        <v/>
      </c>
      <c r="DB50" s="593" t="str">
        <f>IF(AND(DB$12&gt;=$E50,DB$12&lt;=$F50,MOD(DB$12,7)&gt;1,NOT(COUNTIF(General!$U$13:$U$19,DB$12))),$I50,"")</f>
        <v/>
      </c>
      <c r="DC50" s="593" t="str">
        <f>IF(AND(DC$12&gt;=$E50,DC$12&lt;=$F50,MOD(DC$12,7)&gt;1,NOT(COUNTIF(General!$U$13:$U$19,DC$12))),$I50,"")</f>
        <v/>
      </c>
      <c r="DD50" s="582" t="str">
        <f>IF(AND(DD$12&gt;=$E50,DD$12&lt;=$F50,MOD(DD$12,7)&gt;1,NOT(COUNTIF(General!$U$13:$U$19,DD$12))),$I50,"")</f>
        <v/>
      </c>
      <c r="DE50" s="582" t="str">
        <f>IF(AND(DE$12&gt;=$E50,DE$12&lt;=$F50,MOD(DE$12,7)&gt;1,NOT(COUNTIF(General!$U$13:$U$19,DE$12))),$I50,"")</f>
        <v/>
      </c>
      <c r="DF50" s="582" t="str">
        <f>IF(AND(DF$12&gt;=$E50,DF$12&lt;=$F50,MOD(DF$12,7)&gt;1,NOT(COUNTIF(General!$U$13:$U$19,DF$12))),$I50,"")</f>
        <v/>
      </c>
      <c r="DG50" s="582" t="str">
        <f>IF(AND(DG$12&gt;=$E50,DG$12&lt;=$F50,MOD(DG$12,7)&gt;1,NOT(COUNTIF(General!$U$13:$U$19,DG$12))),$I50,"")</f>
        <v/>
      </c>
      <c r="DH50" s="582" t="str">
        <f>IF(AND(DH$12&gt;=$E50,DH$12&lt;=$F50,MOD(DH$12,7)&gt;1,NOT(COUNTIF(General!$U$13:$U$19,DH$12))),$I50,"")</f>
        <v/>
      </c>
      <c r="DI50" s="593" t="str">
        <f>IF(AND(DI$12&gt;=$E50,DI$12&lt;=$F50,MOD(DI$12,7)&gt;1,NOT(COUNTIF(General!$U$13:$U$19,DI$12))),$I50,"")</f>
        <v/>
      </c>
      <c r="DJ50" s="593" t="str">
        <f>IF(AND(DJ$12&gt;=$E50,DJ$12&lt;=$F50,MOD(DJ$12,7)&gt;1,NOT(COUNTIF(General!$U$13:$U$19,DJ$12))),$I50,"")</f>
        <v/>
      </c>
      <c r="DK50" s="582" t="str">
        <f>IF(AND(DK$12&gt;=$E50,DK$12&lt;=$F50,MOD(DK$12,7)&gt;1,NOT(COUNTIF(General!$U$13:$U$19,DK$12))),$I50,"")</f>
        <v/>
      </c>
      <c r="DL50" s="582" t="str">
        <f>IF(AND(DL$12&gt;=$E50,DL$12&lt;=$F50,MOD(DL$12,7)&gt;1,NOT(COUNTIF(General!$U$13:$U$19,DL$12))),$I50,"")</f>
        <v/>
      </c>
      <c r="DM50" s="582" t="str">
        <f>IF(AND(DM$12&gt;=$E50,DM$12&lt;=$F50,MOD(DM$12,7)&gt;1,NOT(COUNTIF(General!$U$13:$U$19,DM$12))),$I50,"")</f>
        <v/>
      </c>
      <c r="DN50" s="582" t="str">
        <f>IF(AND(DN$12&gt;=$E50,DN$12&lt;=$F50,MOD(DN$12,7)&gt;1,NOT(COUNTIF(General!$U$13:$U$19,DN$12))),$I50,"")</f>
        <v/>
      </c>
      <c r="DO50" s="582" t="str">
        <f>IF(AND(DO$12&gt;=$E50,DO$12&lt;=$F50,MOD(DO$12,7)&gt;1,NOT(COUNTIF(General!$U$13:$U$19,DO$12))),$I50,"")</f>
        <v/>
      </c>
      <c r="DP50" s="593" t="str">
        <f>IF(AND(DP$12&gt;=$E50,DP$12&lt;=$F50,MOD(DP$12,7)&gt;1,NOT(COUNTIF(General!$U$13:$U$19,DP$12))),$I50,"")</f>
        <v/>
      </c>
      <c r="DQ50" s="593" t="str">
        <f>IF(AND(DQ$12&gt;=$E50,DQ$12&lt;=$F50,MOD(DQ$12,7)&gt;1,NOT(COUNTIF(General!$U$13:$U$19,DQ$12))),$I50,"")</f>
        <v/>
      </c>
      <c r="DR50" s="582" t="str">
        <f>IF(AND(DR$12&gt;=$E50,DR$12&lt;=$F50,MOD(DR$12,7)&gt;1,NOT(COUNTIF(General!$U$13:$U$19,DR$12))),$I50,"")</f>
        <v/>
      </c>
      <c r="DS50" s="582" t="str">
        <f>IF(AND(DS$12&gt;=$E50,DS$12&lt;=$F50,MOD(DS$12,7)&gt;1,NOT(COUNTIF(General!$U$13:$U$19,DS$12))),$I50,"")</f>
        <v/>
      </c>
      <c r="DT50" s="582" t="str">
        <f>IF(AND(DT$12&gt;=$E50,DT$12&lt;=$F50,MOD(DT$12,7)&gt;1,NOT(COUNTIF(General!$U$13:$U$19,DT$12))),$I50,"")</f>
        <v/>
      </c>
      <c r="DU50" s="582" t="str">
        <f>IF(AND(DU$12&gt;=$E50,DU$12&lt;=$F50,MOD(DU$12,7)&gt;1,NOT(COUNTIF(General!$U$13:$U$19,DU$12))),$I50,"")</f>
        <v/>
      </c>
      <c r="DV50" s="582" t="str">
        <f>IF(AND(DV$12&gt;=$E50,DV$12&lt;=$F50,MOD(DV$12,7)&gt;1,NOT(COUNTIF(General!$U$13:$U$19,DV$12))),$I50,"")</f>
        <v/>
      </c>
      <c r="DW50" s="593" t="str">
        <f>IF(AND(DW$12&gt;=$E50,DW$12&lt;=$F50,MOD(DW$12,7)&gt;1,NOT(COUNTIF(General!$U$13:$U$19,DW$12))),$I50,"")</f>
        <v/>
      </c>
      <c r="DX50" s="593" t="str">
        <f>IF(AND(DX$12&gt;=$E50,DX$12&lt;=$F50,MOD(DX$12,7)&gt;1,NOT(COUNTIF(General!$U$13:$U$19,DX$12))),$I50,"")</f>
        <v/>
      </c>
      <c r="DY50" s="582" t="str">
        <f>IF(AND(DY$12&gt;=$E50,DY$12&lt;=$F50,MOD(DY$12,7)&gt;1,NOT(COUNTIF(General!$U$13:$U$19,DY$12))),$I50,"")</f>
        <v/>
      </c>
      <c r="DZ50" s="582" t="str">
        <f>IF(AND(DZ$12&gt;=$E50,DZ$12&lt;=$F50,MOD(DZ$12,7)&gt;1,NOT(COUNTIF(General!$U$13:$U$19,DZ$12))),$I50,"")</f>
        <v/>
      </c>
      <c r="EA50" s="582" t="str">
        <f>IF(AND(EA$12&gt;=$E50,EA$12&lt;=$F50,MOD(EA$12,7)&gt;1,NOT(COUNTIF(General!$U$13:$U$19,EA$12))),$I50,"")</f>
        <v/>
      </c>
      <c r="EB50" s="582" t="str">
        <f>IF(AND(EB$12&gt;=$E50,EB$12&lt;=$F50,MOD(EB$12,7)&gt;1,NOT(COUNTIF(General!$U$13:$U$19,EB$12))),$I50,"")</f>
        <v/>
      </c>
      <c r="EC50" s="582" t="str">
        <f>IF(AND(EC$12&gt;=$E50,EC$12&lt;=$F50,MOD(EC$12,7)&gt;1,NOT(COUNTIF(General!$U$13:$U$19,EC$12))),$I50,"")</f>
        <v/>
      </c>
      <c r="ED50" s="593" t="str">
        <f>IF(AND(ED$12&gt;=$E50,ED$12&lt;=$F50,MOD(ED$12,7)&gt;1,NOT(COUNTIF(General!$U$13:$U$19,ED$12))),$I50,"")</f>
        <v/>
      </c>
      <c r="EE50" s="593" t="str">
        <f>IF(AND(EE$12&gt;=$E50,EE$12&lt;=$F50,MOD(EE$12,7)&gt;1,NOT(COUNTIF(General!$U$13:$U$19,EE$12))),$I50,"")</f>
        <v/>
      </c>
      <c r="EF50" s="582" t="str">
        <f>IF(AND(EF$12&gt;=$E50,EF$12&lt;=$F50,MOD(EF$12,7)&gt;1,NOT(COUNTIF(General!$U$13:$U$19,EF$12))),$I50,"")</f>
        <v/>
      </c>
      <c r="EG50" s="582" t="str">
        <f>IF(AND(EG$12&gt;=$E50,EG$12&lt;=$F50,MOD(EG$12,7)&gt;1,NOT(COUNTIF(General!$U$13:$U$19,EG$12))),$I50,"")</f>
        <v/>
      </c>
      <c r="EH50" s="582" t="str">
        <f>IF(AND(EH$12&gt;=$E50,EH$12&lt;=$F50,MOD(EH$12,7)&gt;1,NOT(COUNTIF(General!$U$13:$U$19,EH$12))),$I50,"")</f>
        <v/>
      </c>
      <c r="EI50" s="582" t="str">
        <f>IF(AND(EI$12&gt;=$E50,EI$12&lt;=$F50,MOD(EI$12,7)&gt;1,NOT(COUNTIF(General!$U$13:$U$19,EI$12))),$I50,"")</f>
        <v/>
      </c>
      <c r="EJ50" s="582" t="str">
        <f>IF(AND(EJ$12&gt;=$E50,EJ$12&lt;=$F50,MOD(EJ$12,7)&gt;1,NOT(COUNTIF(General!$U$13:$U$19,EJ$12))),$I50,"")</f>
        <v/>
      </c>
      <c r="EK50" s="593" t="str">
        <f>IF(AND(EK$12&gt;=$E50,EK$12&lt;=$F50,MOD(EK$12,7)&gt;1,NOT(COUNTIF(General!$U$13:$U$19,EK$12))),$I50,"")</f>
        <v/>
      </c>
      <c r="EL50" s="593" t="str">
        <f>IF(AND(EL$12&gt;=$E50,EL$12&lt;=$F50,MOD(EL$12,7)&gt;1,NOT(COUNTIF(General!$U$13:$U$19,EL$12))),$I50,"")</f>
        <v/>
      </c>
      <c r="EM50" s="582" t="str">
        <f>IF(AND(EM$12&gt;=$E50,EM$12&lt;=$F50,MOD(EM$12,7)&gt;1,NOT(COUNTIF(General!$U$13:$U$19,EM$12))),$I50,"")</f>
        <v/>
      </c>
      <c r="EN50" s="582" t="str">
        <f>IF(AND(EN$12&gt;=$E50,EN$12&lt;=$F50,MOD(EN$12,7)&gt;1,NOT(COUNTIF(General!$U$13:$U$19,EN$12))),$I50,"")</f>
        <v/>
      </c>
      <c r="EO50" s="582" t="str">
        <f>IF(AND(EO$12&gt;=$E50,EO$12&lt;=$F50,MOD(EO$12,7)&gt;1,NOT(COUNTIF(General!$U$13:$U$19,EO$12))),$I50,"")</f>
        <v/>
      </c>
      <c r="EP50" s="582" t="str">
        <f>IF(AND(EP$12&gt;=$E50,EP$12&lt;=$F50,MOD(EP$12,7)&gt;1,NOT(COUNTIF(General!$U$13:$U$19,EP$12))),$I50,"")</f>
        <v/>
      </c>
      <c r="EQ50" s="582" t="str">
        <f>IF(AND(EQ$12&gt;=$E50,EQ$12&lt;=$F50,MOD(EQ$12,7)&gt;1,NOT(COUNTIF(General!$U$13:$U$19,EQ$12))),$I50,"")</f>
        <v/>
      </c>
      <c r="ER50" s="593" t="str">
        <f>IF(AND(ER$12&gt;=$E50,ER$12&lt;=$F50,MOD(ER$12,7)&gt;1,NOT(COUNTIF(General!$U$13:$U$19,ER$12))),$I50,"")</f>
        <v/>
      </c>
      <c r="ES50" s="593" t="str">
        <f>IF(AND(ES$12&gt;=$E50,ES$12&lt;=$F50,MOD(ES$12,7)&gt;1,NOT(COUNTIF(General!$U$13:$U$19,ES$12))),$I50,"")</f>
        <v/>
      </c>
      <c r="ET50" s="582" t="str">
        <f>IF(AND(ET$12&gt;=$E50,ET$12&lt;=$F50,MOD(ET$12,7)&gt;1,NOT(COUNTIF(General!$U$13:$U$19,ET$12))),$I50,"")</f>
        <v/>
      </c>
      <c r="EU50" s="582" t="str">
        <f>IF(AND(EU$12&gt;=$E50,EU$12&lt;=$F50,MOD(EU$12,7)&gt;1,NOT(COUNTIF(General!$U$13:$U$19,EU$12))),$I50,"")</f>
        <v/>
      </c>
      <c r="EV50" s="582" t="str">
        <f>IF(AND(EV$12&gt;=$E50,EV$12&lt;=$F50,MOD(EV$12,7)&gt;1,NOT(COUNTIF(General!$U$13:$U$19,EV$12))),$I50,"")</f>
        <v/>
      </c>
      <c r="EW50" s="582" t="str">
        <f>IF(AND(EW$12&gt;=$E50,EW$12&lt;=$F50,MOD(EW$12,7)&gt;1,NOT(COUNTIF(General!$U$13:$U$19,EW$12))),$I50,"")</f>
        <v/>
      </c>
      <c r="EX50" s="582" t="str">
        <f>IF(AND(EX$12&gt;=$E50,EX$12&lt;=$F50,MOD(EX$12,7)&gt;1,NOT(COUNTIF(General!$U$13:$U$19,EX$12))),$I50,"")</f>
        <v/>
      </c>
      <c r="EY50" s="593" t="str">
        <f>IF(AND(EY$12&gt;=$E50,EY$12&lt;=$F50,MOD(EY$12,7)&gt;1,NOT(COUNTIF(General!$U$13:$U$19,EY$12))),$I50,"")</f>
        <v/>
      </c>
      <c r="EZ50" s="593" t="str">
        <f>IF(AND(EZ$12&gt;=$E50,EZ$12&lt;=$F50,MOD(EZ$12,7)&gt;1,NOT(COUNTIF(General!$U$13:$U$19,EZ$12))),$I50,"")</f>
        <v/>
      </c>
      <c r="FA50" s="582" t="str">
        <f>IF(AND(FA$12&gt;=$E50,FA$12&lt;=$F50,MOD(FA$12,7)&gt;1,NOT(COUNTIF(General!$U$13:$U$19,FA$12))),$I50,"")</f>
        <v/>
      </c>
      <c r="FB50" s="582" t="str">
        <f>IF(AND(FB$12&gt;=$E50,FB$12&lt;=$F50,MOD(FB$12,7)&gt;1,NOT(COUNTIF(General!$U$13:$U$19,FB$12))),$I50,"")</f>
        <v/>
      </c>
      <c r="FC50" s="582" t="str">
        <f>IF(AND(FC$12&gt;=$E50,FC$12&lt;=$F50,MOD(FC$12,7)&gt;1,NOT(COUNTIF(General!$U$13:$U$19,FC$12))),$I50,"")</f>
        <v/>
      </c>
      <c r="FD50" s="582" t="str">
        <f>IF(AND(FD$12&gt;=$E50,FD$12&lt;=$F50,MOD(FD$12,7)&gt;1,NOT(COUNTIF(General!$U$13:$U$19,FD$12))),$I50,"")</f>
        <v/>
      </c>
      <c r="FE50" s="582" t="str">
        <f>IF(AND(FE$12&gt;=$E50,FE$12&lt;=$F50,MOD(FE$12,7)&gt;1,NOT(COUNTIF(General!$U$13:$U$19,FE$12))),$I50,"")</f>
        <v/>
      </c>
      <c r="FF50" s="593" t="str">
        <f>IF(AND(FF$12&gt;=$E50,FF$12&lt;=$F50,MOD(FF$12,7)&gt;1,NOT(COUNTIF(General!$U$13:$U$19,FF$12))),$I50,"")</f>
        <v/>
      </c>
      <c r="FG50" s="593" t="str">
        <f>IF(AND(FG$12&gt;=$E50,FG$12&lt;=$F50,MOD(FG$12,7)&gt;1,NOT(COUNTIF(General!$U$13:$U$19,FG$12))),$I50,"")</f>
        <v/>
      </c>
      <c r="FH50" s="582" t="str">
        <f>IF(AND(FH$12&gt;=$E50,FH$12&lt;=$F50,MOD(FH$12,7)&gt;1,NOT(COUNTIF(General!$U$13:$U$19,FH$12))),$I50,"")</f>
        <v/>
      </c>
      <c r="FI50" s="582" t="str">
        <f>IF(AND(FI$12&gt;=$E50,FI$12&lt;=$F50,MOD(FI$12,7)&gt;1,NOT(COUNTIF(General!$U$13:$U$19,FI$12))),$I50,"")</f>
        <v/>
      </c>
      <c r="FJ50" s="582" t="str">
        <f>IF(AND(FJ$12&gt;=$E50,FJ$12&lt;=$F50,MOD(FJ$12,7)&gt;1,NOT(COUNTIF(General!$U$13:$U$19,FJ$12))),$I50,"")</f>
        <v/>
      </c>
      <c r="FK50" s="582" t="str">
        <f>IF(AND(FK$12&gt;=$E50,FK$12&lt;=$F50,MOD(FK$12,7)&gt;1,NOT(COUNTIF(General!$U$13:$U$19,FK$12))),$I50,"")</f>
        <v/>
      </c>
      <c r="FL50" s="582" t="str">
        <f>IF(AND(FL$12&gt;=$E50,FL$12&lt;=$F50,MOD(FL$12,7)&gt;1,NOT(COUNTIF(General!$U$13:$U$19,FL$12))),$I50,"")</f>
        <v/>
      </c>
      <c r="FM50" s="593" t="str">
        <f>IF(AND(FM$12&gt;=$E50,FM$12&lt;=$F50,MOD(FM$12,7)&gt;1,NOT(COUNTIF(General!$U$13:$U$19,FM$12))),$I50,"")</f>
        <v/>
      </c>
      <c r="FN50" s="593" t="str">
        <f>IF(AND(FN$12&gt;=$E50,FN$12&lt;=$F50,MOD(FN$12,7)&gt;1,NOT(COUNTIF(General!$U$13:$U$19,FN$12))),$I50,"")</f>
        <v/>
      </c>
      <c r="FO50" s="582" t="str">
        <f>IF(AND(FO$12&gt;=$E50,FO$12&lt;=$F50,MOD(FO$12,7)&gt;1,NOT(COUNTIF(General!$U$13:$U$19,FO$12))),$I50,"")</f>
        <v/>
      </c>
      <c r="FP50" s="582" t="str">
        <f>IF(AND(FP$12&gt;=$E50,FP$12&lt;=$F50,MOD(FP$12,7)&gt;1,NOT(COUNTIF(General!$U$13:$U$19,FP$12))),$I50,"")</f>
        <v/>
      </c>
      <c r="FQ50" s="582" t="str">
        <f>IF(AND(FQ$12&gt;=$E50,FQ$12&lt;=$F50,MOD(FQ$12,7)&gt;1,NOT(COUNTIF(General!$U$13:$U$19,FQ$12))),$I50,"")</f>
        <v/>
      </c>
      <c r="FR50" s="582" t="str">
        <f>IF(AND(FR$12&gt;=$E50,FR$12&lt;=$F50,MOD(FR$12,7)&gt;1,NOT(COUNTIF(General!$U$13:$U$19,FR$12))),$I50,"")</f>
        <v/>
      </c>
      <c r="FS50" s="582" t="str">
        <f>IF(AND(FS$12&gt;=$E50,FS$12&lt;=$F50,MOD(FS$12,7)&gt;1,NOT(COUNTIF(General!$U$13:$U$19,FS$12))),$I50,"")</f>
        <v/>
      </c>
      <c r="FT50" s="593" t="str">
        <f>IF(AND(FT$12&gt;=$E50,FT$12&lt;=$F50,MOD(FT$12,7)&gt;1,NOT(COUNTIF(General!$U$13:$U$19,FT$12))),$I50,"")</f>
        <v/>
      </c>
      <c r="FU50" s="593" t="str">
        <f>IF(AND(FU$12&gt;=$E50,FU$12&lt;=$F50,MOD(FU$12,7)&gt;1,NOT(COUNTIF(General!$U$13:$U$19,FU$12))),$I50,"")</f>
        <v/>
      </c>
      <c r="FV50" s="582" t="str">
        <f>IF(AND(FV$12&gt;=$E50,FV$12&lt;=$F50,MOD(FV$12,7)&gt;1,NOT(COUNTIF(General!$U$13:$U$19,FV$12))),$I50,"")</f>
        <v/>
      </c>
      <c r="FW50" s="582" t="str">
        <f>IF(AND(FW$12&gt;=$E50,FW$12&lt;=$F50,MOD(FW$12,7)&gt;1,NOT(COUNTIF(General!$U$13:$U$19,FW$12))),$I50,"")</f>
        <v/>
      </c>
      <c r="FX50" s="582" t="str">
        <f>IF(AND(FX$12&gt;=$E50,FX$12&lt;=$F50,MOD(FX$12,7)&gt;1,NOT(COUNTIF(General!$U$13:$U$19,FX$12))),$I50,"")</f>
        <v/>
      </c>
    </row>
    <row r="51" ht="16.5" customHeight="1">
      <c r="A51" s="594"/>
      <c r="B51" s="369" t="s">
        <v>589</v>
      </c>
      <c r="C51" s="582"/>
      <c r="D51" s="611" t="s">
        <v>571</v>
      </c>
      <c r="E51" s="599">
        <v>43829.0</v>
      </c>
      <c r="F51" s="374">
        <f>WORKDAY(E51,ROUNDUP(G51/I51,0),General!$U$13:$U$27)-1</f>
        <v>43830</v>
      </c>
      <c r="G51" s="584">
        <v>2.0</v>
      </c>
      <c r="H51" s="585"/>
      <c r="I51" s="379">
        <v>1.0</v>
      </c>
      <c r="J51" s="587"/>
      <c r="K51" s="588"/>
      <c r="L51" s="588"/>
      <c r="M51" s="589"/>
      <c r="N51" s="590"/>
      <c r="O51" s="591"/>
      <c r="P51" s="592"/>
      <c r="Q51" s="582" t="str">
        <f>IF(AND(Q$12&gt;=$E51,Q$12&lt;=$F51,MOD(Q$12,7)&gt;1,NOT(COUNTIF(General!$U$13:$U$19,Q$12))),$I51,"")</f>
        <v/>
      </c>
      <c r="R51" s="582" t="str">
        <f>IF(AND(R$12&gt;=$E51,R$12&lt;=$F51,MOD(R$12,7)&gt;1,NOT(COUNTIF(General!$U$13:$U$19,R$12))),$I51,"")</f>
        <v/>
      </c>
      <c r="S51" s="582" t="str">
        <f>IF(AND(S$12&gt;=$E51,S$12&lt;=$F51,MOD(S$12,7)&gt;1,NOT(COUNTIF(General!$U$13:$U$19,S$12))),$I51,"")</f>
        <v/>
      </c>
      <c r="T51" s="582" t="str">
        <f>IF(AND(T$12&gt;=$E51,T$12&lt;=$F51,MOD(T$12,7)&gt;1,NOT(COUNTIF(General!$U$13:$U$19,T$12))),$I51,"")</f>
        <v/>
      </c>
      <c r="U51" s="582" t="str">
        <f>IF(AND(U$12&gt;=$E51,U$12&lt;=$F51,MOD(U$12,7)&gt;1,NOT(COUNTIF(General!$U$13:$U$19,U$12))),$I51,"")</f>
        <v/>
      </c>
      <c r="V51" s="593" t="str">
        <f>IF(AND(V$12&gt;=$E51,V$12&lt;=$F51,MOD(V$12,7)&gt;1,NOT(COUNTIF(General!$U$13:$U$19,V$12))),$I51,"")</f>
        <v/>
      </c>
      <c r="W51" s="593" t="str">
        <f>IF(AND(W$12&gt;=$E51,W$12&lt;=$F51,MOD(W$12,7)&gt;1,NOT(COUNTIF(General!$U$13:$U$19,W$12))),$I51,"")</f>
        <v/>
      </c>
      <c r="X51" s="582" t="str">
        <f>IF(AND(X$12&gt;=$E51,X$12&lt;=$F51,MOD(X$12,7)&gt;1,NOT(COUNTIF(General!$U$13:$U$19,X$12))),$I51,"")</f>
        <v/>
      </c>
      <c r="Y51" s="582" t="str">
        <f>IF(AND(Y$12&gt;=$E51,Y$12&lt;=$F51,MOD(Y$12,7)&gt;1,NOT(COUNTIF(General!$U$13:$U$19,Y$12))),$I51,"")</f>
        <v/>
      </c>
      <c r="Z51" s="582" t="str">
        <f>IF(AND(Z$12&gt;=$E51,Z$12&lt;=$F51,MOD(Z$12,7)&gt;1,NOT(COUNTIF(General!$U$13:$U$19,Z$12))),$I51,"")</f>
        <v/>
      </c>
      <c r="AA51" s="582" t="str">
        <f>IF(AND(AA$12&gt;=$E51,AA$12&lt;=$F51,MOD(AA$12,7)&gt;1,NOT(COUNTIF(General!$U$13:$U$19,AA$12))),$I51,"")</f>
        <v/>
      </c>
      <c r="AB51" s="582" t="str">
        <f>IF(AND(AB$12&gt;=$E51,AB$12&lt;=$F51,MOD(AB$12,7)&gt;1,NOT(COUNTIF(General!$U$13:$U$19,AB$12))),$I51,"")</f>
        <v/>
      </c>
      <c r="AC51" s="582" t="str">
        <f>IF(AND(AC$12&gt;=$E51,AC$12&lt;=$F51,MOD(AC$12,7)&gt;1,NOT(COUNTIF(General!$U$13:$U$19,AC$12))),$I51,"")</f>
        <v/>
      </c>
      <c r="AD51" s="582" t="str">
        <f>IF(AND(AD$12&gt;=$E51,AD$12&lt;=$F51,MOD(AD$12,7)&gt;1,NOT(COUNTIF(General!$U$13:$U$19,AD$12))),$I51,"")</f>
        <v/>
      </c>
      <c r="AE51" s="582" t="str">
        <f>IF(AND(AE$12&gt;=$E51,AE$12&lt;=$F51,MOD(AE$12,7)&gt;1,NOT(COUNTIF(General!$U$13:$U$19,AE$12))),$I51,"")</f>
        <v/>
      </c>
      <c r="AF51" s="582" t="str">
        <f>IF(AND(AF$12&gt;=$E51,AF$12&lt;=$F51,MOD(AF$12,7)&gt;1,NOT(COUNTIF(General!$U$13:$U$19,AF$12))),$I51,"")</f>
        <v/>
      </c>
      <c r="AG51" s="582" t="str">
        <f>IF(AND(AG$12&gt;=$E51,AG$12&lt;=$F51,MOD(AG$12,7)&gt;1,NOT(COUNTIF(General!$U$13:$U$19,AG$12))),$I51,"")</f>
        <v/>
      </c>
      <c r="AH51" s="582" t="str">
        <f>IF(AND(AH$12&gt;=$E51,AH$12&lt;=$F51,MOD(AH$12,7)&gt;1,NOT(COUNTIF(General!$U$13:$U$19,AH$12))),$I51,"")</f>
        <v/>
      </c>
      <c r="AI51" s="582" t="str">
        <f>IF(AND(AI$12&gt;=$E51,AI$12&lt;=$F51,MOD(AI$12,7)&gt;1,NOT(COUNTIF(General!$U$13:$U$19,AI$12))),$I51,"")</f>
        <v/>
      </c>
      <c r="AJ51" s="593" t="str">
        <f>IF(AND(AJ$12&gt;=$E51,AJ$12&lt;=$F51,MOD(AJ$12,7)&gt;1,NOT(COUNTIF(General!$U$13:$U$19,AJ$12))),$I51,"")</f>
        <v/>
      </c>
      <c r="AK51" s="593" t="str">
        <f>IF(AND(AK$12&gt;=$E51,AK$12&lt;=$F51,MOD(AK$12,7)&gt;1,NOT(COUNTIF(General!$U$13:$U$19,AK$12))),$I51,"")</f>
        <v/>
      </c>
      <c r="AL51" s="582" t="str">
        <f>IF(AND(AL$12&gt;=$E51,AL$12&lt;=$F51,MOD(AL$12,7)&gt;1,NOT(COUNTIF(General!$U$13:$U$19,AL$12))),$I51,"")</f>
        <v/>
      </c>
      <c r="AM51" s="582" t="str">
        <f>IF(AND(AM$12&gt;=$E51,AM$12&lt;=$F51,MOD(AM$12,7)&gt;1,NOT(COUNTIF(General!$U$13:$U$19,AM$12))),$I51,"")</f>
        <v/>
      </c>
      <c r="AN51" s="582" t="str">
        <f>IF(AND(AN$12&gt;=$E51,AN$12&lt;=$F51,MOD(AN$12,7)&gt;1,NOT(COUNTIF(General!$U$13:$U$19,AN$12))),$I51,"")</f>
        <v/>
      </c>
      <c r="AO51" s="582" t="str">
        <f>IF(AND(AO$12&gt;=$E51,AO$12&lt;=$F51,MOD(AO$12,7)&gt;1,NOT(COUNTIF(General!$U$13:$U$19,AO$12))),$I51,"")</f>
        <v/>
      </c>
      <c r="AP51" s="582" t="str">
        <f>IF(AND(AP$12&gt;=$E51,AP$12&lt;=$F51,MOD(AP$12,7)&gt;1,NOT(COUNTIF(General!$U$13:$U$19,AP$12))),$I51,"")</f>
        <v/>
      </c>
      <c r="AQ51" s="593" t="str">
        <f>IF(AND(AQ$12&gt;=$E51,AQ$12&lt;=$F51,MOD(AQ$12,7)&gt;1,NOT(COUNTIF(General!$U$13:$U$19,AQ$12))),$I51,"")</f>
        <v/>
      </c>
      <c r="AR51" s="593" t="str">
        <f>IF(AND(AR$12&gt;=$E51,AR$12&lt;=$F51,MOD(AR$12,7)&gt;1,NOT(COUNTIF(General!$U$13:$U$19,AR$12))),$I51,"")</f>
        <v/>
      </c>
      <c r="AS51" s="582">
        <f>IF(AND(AS$12&gt;=$E51,AS$12&lt;=$F51,MOD(AS$12,7)&gt;1,NOT(COUNTIF(General!$U$13:$U$19,AS$12))),$I51,"")</f>
        <v>1</v>
      </c>
      <c r="AT51" s="582">
        <f>IF(AND(AT$12&gt;=$E51,AT$12&lt;=$F51,MOD(AT$12,7)&gt;1,NOT(COUNTIF(General!$U$13:$U$19,AT$12))),$I51,"")</f>
        <v>1</v>
      </c>
      <c r="AU51" s="582" t="str">
        <f>IF(AND(AU$12&gt;=$E51,AU$12&lt;=$F51,MOD(AU$12,7)&gt;1,NOT(COUNTIF(General!$U$13:$U$19,AU$12))),$I51,"")</f>
        <v/>
      </c>
      <c r="AV51" s="582" t="str">
        <f>IF(AND(AV$12&gt;=$E51,AV$12&lt;=$F51,MOD(AV$12,7)&gt;1,NOT(COUNTIF(General!$U$13:$U$19,AV$12))),$I51,"")</f>
        <v/>
      </c>
      <c r="AW51" s="582" t="str">
        <f>IF(AND(AW$12&gt;=$E51,AW$12&lt;=$F51,MOD(AW$12,7)&gt;1,NOT(COUNTIF(General!$U$13:$U$19,AW$12))),$I51,"")</f>
        <v/>
      </c>
      <c r="AX51" s="593" t="str">
        <f>IF(AND(AX$12&gt;=$E51,AX$12&lt;=$F51,MOD(AX$12,7)&gt;1,NOT(COUNTIF(General!$U$13:$U$19,AX$12))),$I51,"")</f>
        <v/>
      </c>
      <c r="AY51" s="593" t="str">
        <f>IF(AND(AY$12&gt;=$E51,AY$12&lt;=$F51,MOD(AY$12,7)&gt;1,NOT(COUNTIF(General!$U$13:$U$19,AY$12))),$I51,"")</f>
        <v/>
      </c>
      <c r="AZ51" s="582" t="str">
        <f>IF(AND(AZ$12&gt;=$E51,AZ$12&lt;=$F51,MOD(AZ$12,7)&gt;1,NOT(COUNTIF(General!$U$13:$U$19,AZ$12))),$I51,"")</f>
        <v/>
      </c>
      <c r="BA51" s="582" t="str">
        <f>IF(AND(BA$12&gt;=$E51,BA$12&lt;=$F51,MOD(BA$12,7)&gt;1,NOT(COUNTIF(General!$U$13:$U$19,BA$12))),$I51,"")</f>
        <v/>
      </c>
      <c r="BB51" s="582" t="str">
        <f>IF(AND(BB$12&gt;=$E51,BB$12&lt;=$F51,MOD(BB$12,7)&gt;1,NOT(COUNTIF(General!$U$13:$U$19,BB$12))),$I51,"")</f>
        <v/>
      </c>
      <c r="BC51" s="582" t="str">
        <f>IF(AND(BC$12&gt;=$E51,BC$12&lt;=$F51,MOD(BC$12,7)&gt;1,NOT(COUNTIF(General!$U$13:$U$19,BC$12))),$I51,"")</f>
        <v/>
      </c>
      <c r="BD51" s="582" t="str">
        <f>IF(AND(BD$12&gt;=$E51,BD$12&lt;=$F51,MOD(BD$12,7)&gt;1,NOT(COUNTIF(General!$U$13:$U$19,BD$12))),$I51,"")</f>
        <v/>
      </c>
      <c r="BE51" s="593" t="str">
        <f>IF(AND(BE$12&gt;=$E51,BE$12&lt;=$F51,MOD(BE$12,7)&gt;1,NOT(COUNTIF(General!$U$13:$U$19,BE$12))),$I51,"")</f>
        <v/>
      </c>
      <c r="BF51" s="593" t="str">
        <f>IF(AND(BF$12&gt;=$E51,BF$12&lt;=$F51,MOD(BF$12,7)&gt;1,NOT(COUNTIF(General!$U$13:$U$19,BF$12))),$I51,"")</f>
        <v/>
      </c>
      <c r="BG51" s="582" t="str">
        <f>IF(AND(BG$12&gt;=$E51,BG$12&lt;=$F51,MOD(BG$12,7)&gt;1,NOT(COUNTIF(General!$U$13:$U$19,BG$12))),$I51,"")</f>
        <v/>
      </c>
      <c r="BH51" s="582" t="str">
        <f>IF(AND(BH$12&gt;=$E51,BH$12&lt;=$F51,MOD(BH$12,7)&gt;1,NOT(COUNTIF(General!$U$13:$U$19,BH$12))),$I51,"")</f>
        <v/>
      </c>
      <c r="BI51" s="582" t="str">
        <f>IF(AND(BI$12&gt;=$E51,BI$12&lt;=$F51,MOD(BI$12,7)&gt;1,NOT(COUNTIF(General!$U$13:$U$19,BI$12))),$I51,"")</f>
        <v/>
      </c>
      <c r="BJ51" s="582" t="str">
        <f>IF(AND(BJ$12&gt;=$E51,BJ$12&lt;=$F51,MOD(BJ$12,7)&gt;1,NOT(COUNTIF(General!$U$13:$U$19,BJ$12))),$I51,"")</f>
        <v/>
      </c>
      <c r="BK51" s="582" t="str">
        <f>IF(AND(BK$12&gt;=$E51,BK$12&lt;=$F51,MOD(BK$12,7)&gt;1,NOT(COUNTIF(General!$U$13:$U$19,BK$12))),$I51,"")</f>
        <v/>
      </c>
      <c r="BL51" s="593" t="str">
        <f>IF(AND(BL$12&gt;=$E51,BL$12&lt;=$F51,MOD(BL$12,7)&gt;1,NOT(COUNTIF(General!$U$13:$U$19,BL$12))),$I51,"")</f>
        <v/>
      </c>
      <c r="BM51" s="593" t="str">
        <f>IF(AND(BM$12&gt;=$E51,BM$12&lt;=$F51,MOD(BM$12,7)&gt;1,NOT(COUNTIF(General!$U$13:$U$19,BM$12))),$I51,"")</f>
        <v/>
      </c>
      <c r="BN51" s="582" t="str">
        <f>IF(AND(BN$12&gt;=$E51,BN$12&lt;=$F51,MOD(BN$12,7)&gt;1,NOT(COUNTIF(General!$U$13:$U$19,BN$12))),$I51,"")</f>
        <v/>
      </c>
      <c r="BO51" s="582" t="str">
        <f>IF(AND(BO$12&gt;=$E51,BO$12&lt;=$F51,MOD(BO$12,7)&gt;1,NOT(COUNTIF(General!$U$13:$U$19,BO$12))),$I51,"")</f>
        <v/>
      </c>
      <c r="BP51" s="582" t="str">
        <f>IF(AND(BP$12&gt;=$E51,BP$12&lt;=$F51,MOD(BP$12,7)&gt;1,NOT(COUNTIF(General!$U$13:$U$19,BP$12))),$I51,"")</f>
        <v/>
      </c>
      <c r="BQ51" s="582" t="str">
        <f>IF(AND(BQ$12&gt;=$E51,BQ$12&lt;=$F51,MOD(BQ$12,7)&gt;1,NOT(COUNTIF(General!$U$13:$U$19,BQ$12))),$I51,"")</f>
        <v/>
      </c>
      <c r="BR51" s="582" t="str">
        <f>IF(AND(BR$12&gt;=$E51,BR$12&lt;=$F51,MOD(BR$12,7)&gt;1,NOT(COUNTIF(General!$U$13:$U$19,BR$12))),$I51,"")</f>
        <v/>
      </c>
      <c r="BS51" s="593" t="str">
        <f>IF(AND(BS$12&gt;=$E51,BS$12&lt;=$F51,MOD(BS$12,7)&gt;1,NOT(COUNTIF(General!$U$13:$U$19,BS$12))),$I51,"")</f>
        <v/>
      </c>
      <c r="BT51" s="593" t="str">
        <f>IF(AND(BT$12&gt;=$E51,BT$12&lt;=$F51,MOD(BT$12,7)&gt;1,NOT(COUNTIF(General!$U$13:$U$19,BT$12))),$I51,"")</f>
        <v/>
      </c>
      <c r="BU51" s="582" t="str">
        <f>IF(AND(BU$12&gt;=$E51,BU$12&lt;=$F51,MOD(BU$12,7)&gt;1,NOT(COUNTIF(General!$U$13:$U$19,BU$12))),$I51,"")</f>
        <v/>
      </c>
      <c r="BV51" s="582" t="str">
        <f>IF(AND(BV$12&gt;=$E51,BV$12&lt;=$F51,MOD(BV$12,7)&gt;1,NOT(COUNTIF(General!$U$13:$U$19,BV$12))),$I51,"")</f>
        <v/>
      </c>
      <c r="BW51" s="582" t="str">
        <f>IF(AND(BW$12&gt;=$E51,BW$12&lt;=$F51,MOD(BW$12,7)&gt;1,NOT(COUNTIF(General!$U$13:$U$19,BW$12))),$I51,"")</f>
        <v/>
      </c>
      <c r="BX51" s="582" t="str">
        <f>IF(AND(BX$12&gt;=$E51,BX$12&lt;=$F51,MOD(BX$12,7)&gt;1,NOT(COUNTIF(General!$U$13:$U$19,BX$12))),$I51,"")</f>
        <v/>
      </c>
      <c r="BY51" s="582" t="str">
        <f>IF(AND(BY$12&gt;=$E51,BY$12&lt;=$F51,MOD(BY$12,7)&gt;1,NOT(COUNTIF(General!$U$13:$U$19,BY$12))),$I51,"")</f>
        <v/>
      </c>
      <c r="BZ51" s="593" t="str">
        <f>IF(AND(BZ$12&gt;=$E51,BZ$12&lt;=$F51,MOD(BZ$12,7)&gt;1,NOT(COUNTIF(General!$U$13:$U$19,BZ$12))),$I51,"")</f>
        <v/>
      </c>
      <c r="CA51" s="593" t="str">
        <f>IF(AND(CA$12&gt;=$E51,CA$12&lt;=$F51,MOD(CA$12,7)&gt;1,NOT(COUNTIF(General!$U$13:$U$19,CA$12))),$I51,"")</f>
        <v/>
      </c>
      <c r="CB51" s="582" t="str">
        <f>IF(AND(CB$12&gt;=$E51,CB$12&lt;=$F51,MOD(CB$12,7)&gt;1,NOT(COUNTIF(General!$U$13:$U$19,CB$12))),$I51,"")</f>
        <v/>
      </c>
      <c r="CC51" s="582" t="str">
        <f>IF(AND(CC$12&gt;=$E51,CC$12&lt;=$F51,MOD(CC$12,7)&gt;1,NOT(COUNTIF(General!$U$13:$U$19,CC$12))),$I51,"")</f>
        <v/>
      </c>
      <c r="CD51" s="582" t="str">
        <f>IF(AND(CD$12&gt;=$E51,CD$12&lt;=$F51,MOD(CD$12,7)&gt;1,NOT(COUNTIF(General!$U$13:$U$19,CD$12))),$I51,"")</f>
        <v/>
      </c>
      <c r="CE51" s="582" t="str">
        <f>IF(AND(CE$12&gt;=$E51,CE$12&lt;=$F51,MOD(CE$12,7)&gt;1,NOT(COUNTIF(General!$U$13:$U$19,CE$12))),$I51,"")</f>
        <v/>
      </c>
      <c r="CF51" s="582" t="str">
        <f>IF(AND(CF$12&gt;=$E51,CF$12&lt;=$F51,MOD(CF$12,7)&gt;1,NOT(COUNTIF(General!$U$13:$U$19,CF$12))),$I51,"")</f>
        <v/>
      </c>
      <c r="CG51" s="593" t="str">
        <f>IF(AND(CG$12&gt;=$E51,CG$12&lt;=$F51,MOD(CG$12,7)&gt;1,NOT(COUNTIF(General!$U$13:$U$19,CG$12))),$I51,"")</f>
        <v/>
      </c>
      <c r="CH51" s="593" t="str">
        <f>IF(AND(CH$12&gt;=$E51,CH$12&lt;=$F51,MOD(CH$12,7)&gt;1,NOT(COUNTIF(General!$U$13:$U$19,CH$12))),$I51,"")</f>
        <v/>
      </c>
      <c r="CI51" s="582" t="str">
        <f>IF(AND(CI$12&gt;=$E51,CI$12&lt;=$F51,MOD(CI$12,7)&gt;1,NOT(COUNTIF(General!$U$13:$U$19,CI$12))),$I51,"")</f>
        <v/>
      </c>
      <c r="CJ51" s="582" t="str">
        <f>IF(AND(CJ$12&gt;=$E51,CJ$12&lt;=$F51,MOD(CJ$12,7)&gt;1,NOT(COUNTIF(General!$U$13:$U$19,CJ$12))),$I51,"")</f>
        <v/>
      </c>
      <c r="CK51" s="582" t="str">
        <f>IF(AND(CK$12&gt;=$E51,CK$12&lt;=$F51,MOD(CK$12,7)&gt;1,NOT(COUNTIF(General!$U$13:$U$19,CK$12))),$I51,"")</f>
        <v/>
      </c>
      <c r="CL51" s="582" t="str">
        <f>IF(AND(CL$12&gt;=$E51,CL$12&lt;=$F51,MOD(CL$12,7)&gt;1,NOT(COUNTIF(General!$U$13:$U$19,CL$12))),$I51,"")</f>
        <v/>
      </c>
      <c r="CM51" s="582" t="str">
        <f>IF(AND(CM$12&gt;=$E51,CM$12&lt;=$F51,MOD(CM$12,7)&gt;1,NOT(COUNTIF(General!$U$13:$U$19,CM$12))),$I51,"")</f>
        <v/>
      </c>
      <c r="CN51" s="593" t="str">
        <f>IF(AND(CN$12&gt;=$E51,CN$12&lt;=$F51,MOD(CN$12,7)&gt;1,NOT(COUNTIF(General!$U$13:$U$19,CN$12))),$I51,"")</f>
        <v/>
      </c>
      <c r="CO51" s="593" t="str">
        <f>IF(AND(CO$12&gt;=$E51,CO$12&lt;=$F51,MOD(CO$12,7)&gt;1,NOT(COUNTIF(General!$U$13:$U$19,CO$12))),$I51,"")</f>
        <v/>
      </c>
      <c r="CP51" s="582" t="str">
        <f>IF(AND(CP$12&gt;=$E51,CP$12&lt;=$F51,MOD(CP$12,7)&gt;1,NOT(COUNTIF(General!$U$13:$U$19,CP$12))),$I51,"")</f>
        <v/>
      </c>
      <c r="CQ51" s="582" t="str">
        <f>IF(AND(CQ$12&gt;=$E51,CQ$12&lt;=$F51,MOD(CQ$12,7)&gt;1,NOT(COUNTIF(General!$U$13:$U$19,CQ$12))),$I51,"")</f>
        <v/>
      </c>
      <c r="CR51" s="582" t="str">
        <f>IF(AND(CR$12&gt;=$E51,CR$12&lt;=$F51,MOD(CR$12,7)&gt;1,NOT(COUNTIF(General!$U$13:$U$19,CR$12))),$I51,"")</f>
        <v/>
      </c>
      <c r="CS51" s="582" t="str">
        <f>IF(AND(CS$12&gt;=$E51,CS$12&lt;=$F51,MOD(CS$12,7)&gt;1,NOT(COUNTIF(General!$U$13:$U$19,CS$12))),$I51,"")</f>
        <v/>
      </c>
      <c r="CT51" s="582" t="str">
        <f>IF(AND(CT$12&gt;=$E51,CT$12&lt;=$F51,MOD(CT$12,7)&gt;1,NOT(COUNTIF(General!$U$13:$U$19,CT$12))),$I51,"")</f>
        <v/>
      </c>
      <c r="CU51" s="593" t="str">
        <f>IF(AND(CU$12&gt;=$E51,CU$12&lt;=$F51,MOD(CU$12,7)&gt;1,NOT(COUNTIF(General!$U$13:$U$19,CU$12))),$I51,"")</f>
        <v/>
      </c>
      <c r="CV51" s="593" t="str">
        <f>IF(AND(CV$12&gt;=$E51,CV$12&lt;=$F51,MOD(CV$12,7)&gt;1,NOT(COUNTIF(General!$U$13:$U$19,CV$12))),$I51,"")</f>
        <v/>
      </c>
      <c r="CW51" s="582" t="str">
        <f>IF(AND(CW$12&gt;=$E51,CW$12&lt;=$F51,MOD(CW$12,7)&gt;1,NOT(COUNTIF(General!$U$13:$U$19,CW$12))),$I51,"")</f>
        <v/>
      </c>
      <c r="CX51" s="582" t="str">
        <f>IF(AND(CX$12&gt;=$E51,CX$12&lt;=$F51,MOD(CX$12,7)&gt;1,NOT(COUNTIF(General!$U$13:$U$19,CX$12))),$I51,"")</f>
        <v/>
      </c>
      <c r="CY51" s="582" t="str">
        <f>IF(AND(CY$12&gt;=$E51,CY$12&lt;=$F51,MOD(CY$12,7)&gt;1,NOT(COUNTIF(General!$U$13:$U$19,CY$12))),$I51,"")</f>
        <v/>
      </c>
      <c r="CZ51" s="582" t="str">
        <f>IF(AND(CZ$12&gt;=$E51,CZ$12&lt;=$F51,MOD(CZ$12,7)&gt;1,NOT(COUNTIF(General!$U$13:$U$19,CZ$12))),$I51,"")</f>
        <v/>
      </c>
      <c r="DA51" s="582" t="str">
        <f>IF(AND(DA$12&gt;=$E51,DA$12&lt;=$F51,MOD(DA$12,7)&gt;1,NOT(COUNTIF(General!$U$13:$U$19,DA$12))),$I51,"")</f>
        <v/>
      </c>
      <c r="DB51" s="593" t="str">
        <f>IF(AND(DB$12&gt;=$E51,DB$12&lt;=$F51,MOD(DB$12,7)&gt;1,NOT(COUNTIF(General!$U$13:$U$19,DB$12))),$I51,"")</f>
        <v/>
      </c>
      <c r="DC51" s="593" t="str">
        <f>IF(AND(DC$12&gt;=$E51,DC$12&lt;=$F51,MOD(DC$12,7)&gt;1,NOT(COUNTIF(General!$U$13:$U$19,DC$12))),$I51,"")</f>
        <v/>
      </c>
      <c r="DD51" s="582" t="str">
        <f>IF(AND(DD$12&gt;=$E51,DD$12&lt;=$F51,MOD(DD$12,7)&gt;1,NOT(COUNTIF(General!$U$13:$U$19,DD$12))),$I51,"")</f>
        <v/>
      </c>
      <c r="DE51" s="582" t="str">
        <f>IF(AND(DE$12&gt;=$E51,DE$12&lt;=$F51,MOD(DE$12,7)&gt;1,NOT(COUNTIF(General!$U$13:$U$19,DE$12))),$I51,"")</f>
        <v/>
      </c>
      <c r="DF51" s="582" t="str">
        <f>IF(AND(DF$12&gt;=$E51,DF$12&lt;=$F51,MOD(DF$12,7)&gt;1,NOT(COUNTIF(General!$U$13:$U$19,DF$12))),$I51,"")</f>
        <v/>
      </c>
      <c r="DG51" s="582" t="str">
        <f>IF(AND(DG$12&gt;=$E51,DG$12&lt;=$F51,MOD(DG$12,7)&gt;1,NOT(COUNTIF(General!$U$13:$U$19,DG$12))),$I51,"")</f>
        <v/>
      </c>
      <c r="DH51" s="582" t="str">
        <f>IF(AND(DH$12&gt;=$E51,DH$12&lt;=$F51,MOD(DH$12,7)&gt;1,NOT(COUNTIF(General!$U$13:$U$19,DH$12))),$I51,"")</f>
        <v/>
      </c>
      <c r="DI51" s="593" t="str">
        <f>IF(AND(DI$12&gt;=$E51,DI$12&lt;=$F51,MOD(DI$12,7)&gt;1,NOT(COUNTIF(General!$U$13:$U$19,DI$12))),$I51,"")</f>
        <v/>
      </c>
      <c r="DJ51" s="593" t="str">
        <f>IF(AND(DJ$12&gt;=$E51,DJ$12&lt;=$F51,MOD(DJ$12,7)&gt;1,NOT(COUNTIF(General!$U$13:$U$19,DJ$12))),$I51,"")</f>
        <v/>
      </c>
      <c r="DK51" s="582" t="str">
        <f>IF(AND(DK$12&gt;=$E51,DK$12&lt;=$F51,MOD(DK$12,7)&gt;1,NOT(COUNTIF(General!$U$13:$U$19,DK$12))),$I51,"")</f>
        <v/>
      </c>
      <c r="DL51" s="582" t="str">
        <f>IF(AND(DL$12&gt;=$E51,DL$12&lt;=$F51,MOD(DL$12,7)&gt;1,NOT(COUNTIF(General!$U$13:$U$19,DL$12))),$I51,"")</f>
        <v/>
      </c>
      <c r="DM51" s="582" t="str">
        <f>IF(AND(DM$12&gt;=$E51,DM$12&lt;=$F51,MOD(DM$12,7)&gt;1,NOT(COUNTIF(General!$U$13:$U$19,DM$12))),$I51,"")</f>
        <v/>
      </c>
      <c r="DN51" s="582" t="str">
        <f>IF(AND(DN$12&gt;=$E51,DN$12&lt;=$F51,MOD(DN$12,7)&gt;1,NOT(COUNTIF(General!$U$13:$U$19,DN$12))),$I51,"")</f>
        <v/>
      </c>
      <c r="DO51" s="582" t="str">
        <f>IF(AND(DO$12&gt;=$E51,DO$12&lt;=$F51,MOD(DO$12,7)&gt;1,NOT(COUNTIF(General!$U$13:$U$19,DO$12))),$I51,"")</f>
        <v/>
      </c>
      <c r="DP51" s="593" t="str">
        <f>IF(AND(DP$12&gt;=$E51,DP$12&lt;=$F51,MOD(DP$12,7)&gt;1,NOT(COUNTIF(General!$U$13:$U$19,DP$12))),$I51,"")</f>
        <v/>
      </c>
      <c r="DQ51" s="593" t="str">
        <f>IF(AND(DQ$12&gt;=$E51,DQ$12&lt;=$F51,MOD(DQ$12,7)&gt;1,NOT(COUNTIF(General!$U$13:$U$19,DQ$12))),$I51,"")</f>
        <v/>
      </c>
      <c r="DR51" s="582" t="str">
        <f>IF(AND(DR$12&gt;=$E51,DR$12&lt;=$F51,MOD(DR$12,7)&gt;1,NOT(COUNTIF(General!$U$13:$U$19,DR$12))),$I51,"")</f>
        <v/>
      </c>
      <c r="DS51" s="582" t="str">
        <f>IF(AND(DS$12&gt;=$E51,DS$12&lt;=$F51,MOD(DS$12,7)&gt;1,NOT(COUNTIF(General!$U$13:$U$19,DS$12))),$I51,"")</f>
        <v/>
      </c>
      <c r="DT51" s="582" t="str">
        <f>IF(AND(DT$12&gt;=$E51,DT$12&lt;=$F51,MOD(DT$12,7)&gt;1,NOT(COUNTIF(General!$U$13:$U$19,DT$12))),$I51,"")</f>
        <v/>
      </c>
      <c r="DU51" s="582" t="str">
        <f>IF(AND(DU$12&gt;=$E51,DU$12&lt;=$F51,MOD(DU$12,7)&gt;1,NOT(COUNTIF(General!$U$13:$U$19,DU$12))),$I51,"")</f>
        <v/>
      </c>
      <c r="DV51" s="582" t="str">
        <f>IF(AND(DV$12&gt;=$E51,DV$12&lt;=$F51,MOD(DV$12,7)&gt;1,NOT(COUNTIF(General!$U$13:$U$19,DV$12))),$I51,"")</f>
        <v/>
      </c>
      <c r="DW51" s="593" t="str">
        <f>IF(AND(DW$12&gt;=$E51,DW$12&lt;=$F51,MOD(DW$12,7)&gt;1,NOT(COUNTIF(General!$U$13:$U$19,DW$12))),$I51,"")</f>
        <v/>
      </c>
      <c r="DX51" s="593" t="str">
        <f>IF(AND(DX$12&gt;=$E51,DX$12&lt;=$F51,MOD(DX$12,7)&gt;1,NOT(COUNTIF(General!$U$13:$U$19,DX$12))),$I51,"")</f>
        <v/>
      </c>
      <c r="DY51" s="582" t="str">
        <f>IF(AND(DY$12&gt;=$E51,DY$12&lt;=$F51,MOD(DY$12,7)&gt;1,NOT(COUNTIF(General!$U$13:$U$19,DY$12))),$I51,"")</f>
        <v/>
      </c>
      <c r="DZ51" s="582" t="str">
        <f>IF(AND(DZ$12&gt;=$E51,DZ$12&lt;=$F51,MOD(DZ$12,7)&gt;1,NOT(COUNTIF(General!$U$13:$U$19,DZ$12))),$I51,"")</f>
        <v/>
      </c>
      <c r="EA51" s="582" t="str">
        <f>IF(AND(EA$12&gt;=$E51,EA$12&lt;=$F51,MOD(EA$12,7)&gt;1,NOT(COUNTIF(General!$U$13:$U$19,EA$12))),$I51,"")</f>
        <v/>
      </c>
      <c r="EB51" s="582" t="str">
        <f>IF(AND(EB$12&gt;=$E51,EB$12&lt;=$F51,MOD(EB$12,7)&gt;1,NOT(COUNTIF(General!$U$13:$U$19,EB$12))),$I51,"")</f>
        <v/>
      </c>
      <c r="EC51" s="582" t="str">
        <f>IF(AND(EC$12&gt;=$E51,EC$12&lt;=$F51,MOD(EC$12,7)&gt;1,NOT(COUNTIF(General!$U$13:$U$19,EC$12))),$I51,"")</f>
        <v/>
      </c>
      <c r="ED51" s="593" t="str">
        <f>IF(AND(ED$12&gt;=$E51,ED$12&lt;=$F51,MOD(ED$12,7)&gt;1,NOT(COUNTIF(General!$U$13:$U$19,ED$12))),$I51,"")</f>
        <v/>
      </c>
      <c r="EE51" s="593" t="str">
        <f>IF(AND(EE$12&gt;=$E51,EE$12&lt;=$F51,MOD(EE$12,7)&gt;1,NOT(COUNTIF(General!$U$13:$U$19,EE$12))),$I51,"")</f>
        <v/>
      </c>
      <c r="EF51" s="582" t="str">
        <f>IF(AND(EF$12&gt;=$E51,EF$12&lt;=$F51,MOD(EF$12,7)&gt;1,NOT(COUNTIF(General!$U$13:$U$19,EF$12))),$I51,"")</f>
        <v/>
      </c>
      <c r="EG51" s="582" t="str">
        <f>IF(AND(EG$12&gt;=$E51,EG$12&lt;=$F51,MOD(EG$12,7)&gt;1,NOT(COUNTIF(General!$U$13:$U$19,EG$12))),$I51,"")</f>
        <v/>
      </c>
      <c r="EH51" s="582" t="str">
        <f>IF(AND(EH$12&gt;=$E51,EH$12&lt;=$F51,MOD(EH$12,7)&gt;1,NOT(COUNTIF(General!$U$13:$U$19,EH$12))),$I51,"")</f>
        <v/>
      </c>
      <c r="EI51" s="582" t="str">
        <f>IF(AND(EI$12&gt;=$E51,EI$12&lt;=$F51,MOD(EI$12,7)&gt;1,NOT(COUNTIF(General!$U$13:$U$19,EI$12))),$I51,"")</f>
        <v/>
      </c>
      <c r="EJ51" s="582" t="str">
        <f>IF(AND(EJ$12&gt;=$E51,EJ$12&lt;=$F51,MOD(EJ$12,7)&gt;1,NOT(COUNTIF(General!$U$13:$U$19,EJ$12))),$I51,"")</f>
        <v/>
      </c>
      <c r="EK51" s="593" t="str">
        <f>IF(AND(EK$12&gt;=$E51,EK$12&lt;=$F51,MOD(EK$12,7)&gt;1,NOT(COUNTIF(General!$U$13:$U$19,EK$12))),$I51,"")</f>
        <v/>
      </c>
      <c r="EL51" s="593" t="str">
        <f>IF(AND(EL$12&gt;=$E51,EL$12&lt;=$F51,MOD(EL$12,7)&gt;1,NOT(COUNTIF(General!$U$13:$U$19,EL$12))),$I51,"")</f>
        <v/>
      </c>
      <c r="EM51" s="582" t="str">
        <f>IF(AND(EM$12&gt;=$E51,EM$12&lt;=$F51,MOD(EM$12,7)&gt;1,NOT(COUNTIF(General!$U$13:$U$19,EM$12))),$I51,"")</f>
        <v/>
      </c>
      <c r="EN51" s="582" t="str">
        <f>IF(AND(EN$12&gt;=$E51,EN$12&lt;=$F51,MOD(EN$12,7)&gt;1,NOT(COUNTIF(General!$U$13:$U$19,EN$12))),$I51,"")</f>
        <v/>
      </c>
      <c r="EO51" s="582" t="str">
        <f>IF(AND(EO$12&gt;=$E51,EO$12&lt;=$F51,MOD(EO$12,7)&gt;1,NOT(COUNTIF(General!$U$13:$U$19,EO$12))),$I51,"")</f>
        <v/>
      </c>
      <c r="EP51" s="582" t="str">
        <f>IF(AND(EP$12&gt;=$E51,EP$12&lt;=$F51,MOD(EP$12,7)&gt;1,NOT(COUNTIF(General!$U$13:$U$19,EP$12))),$I51,"")</f>
        <v/>
      </c>
      <c r="EQ51" s="582" t="str">
        <f>IF(AND(EQ$12&gt;=$E51,EQ$12&lt;=$F51,MOD(EQ$12,7)&gt;1,NOT(COUNTIF(General!$U$13:$U$19,EQ$12))),$I51,"")</f>
        <v/>
      </c>
      <c r="ER51" s="593" t="str">
        <f>IF(AND(ER$12&gt;=$E51,ER$12&lt;=$F51,MOD(ER$12,7)&gt;1,NOT(COUNTIF(General!$U$13:$U$19,ER$12))),$I51,"")</f>
        <v/>
      </c>
      <c r="ES51" s="593" t="str">
        <f>IF(AND(ES$12&gt;=$E51,ES$12&lt;=$F51,MOD(ES$12,7)&gt;1,NOT(COUNTIF(General!$U$13:$U$19,ES$12))),$I51,"")</f>
        <v/>
      </c>
      <c r="ET51" s="582" t="str">
        <f>IF(AND(ET$12&gt;=$E51,ET$12&lt;=$F51,MOD(ET$12,7)&gt;1,NOT(COUNTIF(General!$U$13:$U$19,ET$12))),$I51,"")</f>
        <v/>
      </c>
      <c r="EU51" s="582" t="str">
        <f>IF(AND(EU$12&gt;=$E51,EU$12&lt;=$F51,MOD(EU$12,7)&gt;1,NOT(COUNTIF(General!$U$13:$U$19,EU$12))),$I51,"")</f>
        <v/>
      </c>
      <c r="EV51" s="582" t="str">
        <f>IF(AND(EV$12&gt;=$E51,EV$12&lt;=$F51,MOD(EV$12,7)&gt;1,NOT(COUNTIF(General!$U$13:$U$19,EV$12))),$I51,"")</f>
        <v/>
      </c>
      <c r="EW51" s="582" t="str">
        <f>IF(AND(EW$12&gt;=$E51,EW$12&lt;=$F51,MOD(EW$12,7)&gt;1,NOT(COUNTIF(General!$U$13:$U$19,EW$12))),$I51,"")</f>
        <v/>
      </c>
      <c r="EX51" s="582" t="str">
        <f>IF(AND(EX$12&gt;=$E51,EX$12&lt;=$F51,MOD(EX$12,7)&gt;1,NOT(COUNTIF(General!$U$13:$U$19,EX$12))),$I51,"")</f>
        <v/>
      </c>
      <c r="EY51" s="593" t="str">
        <f>IF(AND(EY$12&gt;=$E51,EY$12&lt;=$F51,MOD(EY$12,7)&gt;1,NOT(COUNTIF(General!$U$13:$U$19,EY$12))),$I51,"")</f>
        <v/>
      </c>
      <c r="EZ51" s="593" t="str">
        <f>IF(AND(EZ$12&gt;=$E51,EZ$12&lt;=$F51,MOD(EZ$12,7)&gt;1,NOT(COUNTIF(General!$U$13:$U$19,EZ$12))),$I51,"")</f>
        <v/>
      </c>
      <c r="FA51" s="582" t="str">
        <f>IF(AND(FA$12&gt;=$E51,FA$12&lt;=$F51,MOD(FA$12,7)&gt;1,NOT(COUNTIF(General!$U$13:$U$19,FA$12))),$I51,"")</f>
        <v/>
      </c>
      <c r="FB51" s="582" t="str">
        <f>IF(AND(FB$12&gt;=$E51,FB$12&lt;=$F51,MOD(FB$12,7)&gt;1,NOT(COUNTIF(General!$U$13:$U$19,FB$12))),$I51,"")</f>
        <v/>
      </c>
      <c r="FC51" s="582" t="str">
        <f>IF(AND(FC$12&gt;=$E51,FC$12&lt;=$F51,MOD(FC$12,7)&gt;1,NOT(COUNTIF(General!$U$13:$U$19,FC$12))),$I51,"")</f>
        <v/>
      </c>
      <c r="FD51" s="582" t="str">
        <f>IF(AND(FD$12&gt;=$E51,FD$12&lt;=$F51,MOD(FD$12,7)&gt;1,NOT(COUNTIF(General!$U$13:$U$19,FD$12))),$I51,"")</f>
        <v/>
      </c>
      <c r="FE51" s="582" t="str">
        <f>IF(AND(FE$12&gt;=$E51,FE$12&lt;=$F51,MOD(FE$12,7)&gt;1,NOT(COUNTIF(General!$U$13:$U$19,FE$12))),$I51,"")</f>
        <v/>
      </c>
      <c r="FF51" s="593" t="str">
        <f>IF(AND(FF$12&gt;=$E51,FF$12&lt;=$F51,MOD(FF$12,7)&gt;1,NOT(COUNTIF(General!$U$13:$U$19,FF$12))),$I51,"")</f>
        <v/>
      </c>
      <c r="FG51" s="593" t="str">
        <f>IF(AND(FG$12&gt;=$E51,FG$12&lt;=$F51,MOD(FG$12,7)&gt;1,NOT(COUNTIF(General!$U$13:$U$19,FG$12))),$I51,"")</f>
        <v/>
      </c>
      <c r="FH51" s="582" t="str">
        <f>IF(AND(FH$12&gt;=$E51,FH$12&lt;=$F51,MOD(FH$12,7)&gt;1,NOT(COUNTIF(General!$U$13:$U$19,FH$12))),$I51,"")</f>
        <v/>
      </c>
      <c r="FI51" s="582" t="str">
        <f>IF(AND(FI$12&gt;=$E51,FI$12&lt;=$F51,MOD(FI$12,7)&gt;1,NOT(COUNTIF(General!$U$13:$U$19,FI$12))),$I51,"")</f>
        <v/>
      </c>
      <c r="FJ51" s="582" t="str">
        <f>IF(AND(FJ$12&gt;=$E51,FJ$12&lt;=$F51,MOD(FJ$12,7)&gt;1,NOT(COUNTIF(General!$U$13:$U$19,FJ$12))),$I51,"")</f>
        <v/>
      </c>
      <c r="FK51" s="582" t="str">
        <f>IF(AND(FK$12&gt;=$E51,FK$12&lt;=$F51,MOD(FK$12,7)&gt;1,NOT(COUNTIF(General!$U$13:$U$19,FK$12))),$I51,"")</f>
        <v/>
      </c>
      <c r="FL51" s="582" t="str">
        <f>IF(AND(FL$12&gt;=$E51,FL$12&lt;=$F51,MOD(FL$12,7)&gt;1,NOT(COUNTIF(General!$U$13:$U$19,FL$12))),$I51,"")</f>
        <v/>
      </c>
      <c r="FM51" s="593" t="str">
        <f>IF(AND(FM$12&gt;=$E51,FM$12&lt;=$F51,MOD(FM$12,7)&gt;1,NOT(COUNTIF(General!$U$13:$U$19,FM$12))),$I51,"")</f>
        <v/>
      </c>
      <c r="FN51" s="593" t="str">
        <f>IF(AND(FN$12&gt;=$E51,FN$12&lt;=$F51,MOD(FN$12,7)&gt;1,NOT(COUNTIF(General!$U$13:$U$19,FN$12))),$I51,"")</f>
        <v/>
      </c>
      <c r="FO51" s="582" t="str">
        <f>IF(AND(FO$12&gt;=$E51,FO$12&lt;=$F51,MOD(FO$12,7)&gt;1,NOT(COUNTIF(General!$U$13:$U$19,FO$12))),$I51,"")</f>
        <v/>
      </c>
      <c r="FP51" s="582" t="str">
        <f>IF(AND(FP$12&gt;=$E51,FP$12&lt;=$F51,MOD(FP$12,7)&gt;1,NOT(COUNTIF(General!$U$13:$U$19,FP$12))),$I51,"")</f>
        <v/>
      </c>
      <c r="FQ51" s="582" t="str">
        <f>IF(AND(FQ$12&gt;=$E51,FQ$12&lt;=$F51,MOD(FQ$12,7)&gt;1,NOT(COUNTIF(General!$U$13:$U$19,FQ$12))),$I51,"")</f>
        <v/>
      </c>
      <c r="FR51" s="582" t="str">
        <f>IF(AND(FR$12&gt;=$E51,FR$12&lt;=$F51,MOD(FR$12,7)&gt;1,NOT(COUNTIF(General!$U$13:$U$19,FR$12))),$I51,"")</f>
        <v/>
      </c>
      <c r="FS51" s="582" t="str">
        <f>IF(AND(FS$12&gt;=$E51,FS$12&lt;=$F51,MOD(FS$12,7)&gt;1,NOT(COUNTIF(General!$U$13:$U$19,FS$12))),$I51,"")</f>
        <v/>
      </c>
      <c r="FT51" s="593" t="str">
        <f>IF(AND(FT$12&gt;=$E51,FT$12&lt;=$F51,MOD(FT$12,7)&gt;1,NOT(COUNTIF(General!$U$13:$U$19,FT$12))),$I51,"")</f>
        <v/>
      </c>
      <c r="FU51" s="593" t="str">
        <f>IF(AND(FU$12&gt;=$E51,FU$12&lt;=$F51,MOD(FU$12,7)&gt;1,NOT(COUNTIF(General!$U$13:$U$19,FU$12))),$I51,"")</f>
        <v/>
      </c>
      <c r="FV51" s="582" t="str">
        <f>IF(AND(FV$12&gt;=$E51,FV$12&lt;=$F51,MOD(FV$12,7)&gt;1,NOT(COUNTIF(General!$U$13:$U$19,FV$12))),$I51,"")</f>
        <v/>
      </c>
      <c r="FW51" s="582" t="str">
        <f>IF(AND(FW$12&gt;=$E51,FW$12&lt;=$F51,MOD(FW$12,7)&gt;1,NOT(COUNTIF(General!$U$13:$U$19,FW$12))),$I51,"")</f>
        <v/>
      </c>
      <c r="FX51" s="582" t="str">
        <f>IF(AND(FX$12&gt;=$E51,FX$12&lt;=$F51,MOD(FX$12,7)&gt;1,NOT(COUNTIF(General!$U$13:$U$19,FX$12))),$I51,"")</f>
        <v/>
      </c>
    </row>
    <row r="52" ht="16.5" customHeight="1">
      <c r="A52" s="368">
        <v>390894.0</v>
      </c>
      <c r="B52" s="369" t="s">
        <v>590</v>
      </c>
      <c r="C52" s="370"/>
      <c r="D52" s="619"/>
      <c r="E52" s="583"/>
      <c r="F52" s="620"/>
      <c r="G52" s="375"/>
      <c r="H52" s="377"/>
      <c r="I52" s="379">
        <v>1.0</v>
      </c>
      <c r="J52" s="379"/>
      <c r="K52" s="381"/>
      <c r="L52" s="382"/>
      <c r="M52" s="383"/>
      <c r="N52" s="384"/>
      <c r="O52" s="386"/>
      <c r="P52" s="388"/>
      <c r="Q52" s="390" t="str">
        <f>IF(AND(Q$12&gt;=$E52,Q$12&lt;=$F52,MOD(Q$12,7)&gt;1,NOT(COUNTIF(General!$U$13:$U$19,Q$12))),$I52,"")</f>
        <v/>
      </c>
      <c r="R52" s="390" t="str">
        <f>IF(AND(R$12&gt;=$E52,R$12&lt;=$F52,MOD(R$12,7)&gt;1,NOT(COUNTIF(General!$U$13:$U$19,R$12))),$I52,"")</f>
        <v/>
      </c>
      <c r="S52" s="390" t="str">
        <f>IF(AND(S$12&gt;=$E52,S$12&lt;=$F52,MOD(S$12,7)&gt;1,NOT(COUNTIF(General!$U$13:$U$19,S$12))),$I52,"")</f>
        <v/>
      </c>
      <c r="T52" s="390" t="str">
        <f>IF(AND(T$12&gt;=$E52,T$12&lt;=$F52,MOD(T$12,7)&gt;1,NOT(COUNTIF(General!$U$13:$U$19,T$12))),$I52,"")</f>
        <v/>
      </c>
      <c r="U52" s="390" t="str">
        <f>IF(AND(U$12&gt;=$E52,U$12&lt;=$F52,MOD(U$12,7)&gt;1,NOT(COUNTIF(General!$U$13:$U$19,U$12))),$I52,"")</f>
        <v/>
      </c>
      <c r="V52" s="390" t="str">
        <f>IF(AND(V$12&gt;=$E52,V$12&lt;=$F52,MOD(V$12,7)&gt;1,NOT(COUNTIF(General!$U$13:$U$19,V$12))),$I52,"")</f>
        <v/>
      </c>
      <c r="W52" s="390" t="str">
        <f>IF(AND(W$12&gt;=$E52,W$12&lt;=$F52,MOD(W$12,7)&gt;1,NOT(COUNTIF(General!$U$13:$U$19,W$12))),$I52,"")</f>
        <v/>
      </c>
      <c r="X52" s="390" t="str">
        <f>IF(AND(X$12&gt;=$E52,X$12&lt;=$F52,MOD(X$12,7)&gt;1,NOT(COUNTIF(General!$U$13:$U$19,X$12))),$I52,"")</f>
        <v/>
      </c>
      <c r="Y52" s="390" t="str">
        <f>IF(AND(Y$12&gt;=$E52,Y$12&lt;=$F52,MOD(Y$12,7)&gt;1,NOT(COUNTIF(General!$U$13:$U$19,Y$12))),$I52,"")</f>
        <v/>
      </c>
      <c r="Z52" s="390" t="str">
        <f>IF(AND(Z$12&gt;=$E52,Z$12&lt;=$F52,MOD(Z$12,7)&gt;1,NOT(COUNTIF(General!$U$13:$U$19,Z$12))),$I52,"")</f>
        <v/>
      </c>
      <c r="AA52" s="390" t="str">
        <f>IF(AND(AA$12&gt;=$E52,AA$12&lt;=$F52,MOD(AA$12,7)&gt;1,NOT(COUNTIF(General!$U$13:$U$19,AA$12))),$I52,"")</f>
        <v/>
      </c>
      <c r="AB52" s="390" t="str">
        <f>IF(AND(AB$12&gt;=$E52,AB$12&lt;=$F52,MOD(AB$12,7)&gt;1,NOT(COUNTIF(General!$U$13:$U$19,AB$12))),$I52,"")</f>
        <v/>
      </c>
      <c r="AC52" s="390" t="str">
        <f>IF(AND(AC$12&gt;=$E52,AC$12&lt;=$F52,MOD(AC$12,7)&gt;1,NOT(COUNTIF(General!$U$13:$U$19,AC$12))),$I52,"")</f>
        <v/>
      </c>
      <c r="AD52" s="390" t="str">
        <f>IF(AND(AD$12&gt;=$E52,AD$12&lt;=$F52,MOD(AD$12,7)&gt;1,NOT(COUNTIF(General!$U$13:$U$19,AD$12))),$I52,"")</f>
        <v/>
      </c>
      <c r="AE52" s="390" t="str">
        <f>IF(AND(AE$12&gt;=$E52,AE$12&lt;=$F52,MOD(AE$12,7)&gt;1,NOT(COUNTIF(General!$U$13:$U$19,AE$12))),$I52,"")</f>
        <v/>
      </c>
      <c r="AF52" s="390" t="str">
        <f>IF(AND(AF$12&gt;=$E52,AF$12&lt;=$F52,MOD(AF$12,7)&gt;1,NOT(COUNTIF(General!$U$13:$U$19,AF$12))),$I52,"")</f>
        <v/>
      </c>
      <c r="AG52" s="390" t="str">
        <f>IF(AND(AG$12&gt;=$E52,AG$12&lt;=$F52,MOD(AG$12,7)&gt;1,NOT(COUNTIF(General!$U$13:$U$19,AG$12))),$I52,"")</f>
        <v/>
      </c>
      <c r="AH52" s="390" t="str">
        <f>IF(AND(AH$12&gt;=$E52,AH$12&lt;=$F52,MOD(AH$12,7)&gt;1,NOT(COUNTIF(General!$U$13:$U$19,AH$12))),$I52,"")</f>
        <v/>
      </c>
      <c r="AI52" s="390" t="str">
        <f>IF(AND(AI$12&gt;=$E52,AI$12&lt;=$F52,MOD(AI$12,7)&gt;1,NOT(COUNTIF(General!$U$13:$U$19,AI$12))),$I52,"")</f>
        <v/>
      </c>
      <c r="AJ52" s="390" t="str">
        <f>IF(AND(AJ$12&gt;=$E52,AJ$12&lt;=$F52,MOD(AJ$12,7)&gt;1,NOT(COUNTIF(General!$U$13:$U$19,AJ$12))),$I52,"")</f>
        <v/>
      </c>
      <c r="AK52" s="390" t="str">
        <f>IF(AND(AK$12&gt;=$E52,AK$12&lt;=$F52,MOD(AK$12,7)&gt;1,NOT(COUNTIF(General!$U$13:$U$19,AK$12))),$I52,"")</f>
        <v/>
      </c>
      <c r="AL52" s="390" t="str">
        <f>IF(AND(AL$12&gt;=$E52,AL$12&lt;=$F52,MOD(AL$12,7)&gt;1,NOT(COUNTIF(General!$U$13:$U$19,AL$12))),$I52,"")</f>
        <v/>
      </c>
      <c r="AM52" s="390" t="str">
        <f>IF(AND(AM$12&gt;=$E52,AM$12&lt;=$F52,MOD(AM$12,7)&gt;1,NOT(COUNTIF(General!$U$13:$U$19,AM$12))),$I52,"")</f>
        <v/>
      </c>
      <c r="AN52" s="390" t="str">
        <f>IF(AND(AN$12&gt;=$E52,AN$12&lt;=$F52,MOD(AN$12,7)&gt;1,NOT(COUNTIF(General!$U$13:$U$19,AN$12))),$I52,"")</f>
        <v/>
      </c>
      <c r="AO52" s="390" t="str">
        <f>IF(AND(AO$12&gt;=$E52,AO$12&lt;=$F52,MOD(AO$12,7)&gt;1,NOT(COUNTIF(General!$U$13:$U$19,AO$12))),$I52,"")</f>
        <v/>
      </c>
      <c r="AP52" s="390" t="str">
        <f>IF(AND(AP$12&gt;=$E52,AP$12&lt;=$F52,MOD(AP$12,7)&gt;1,NOT(COUNTIF(General!$U$13:$U$19,AP$12))),$I52,"")</f>
        <v/>
      </c>
      <c r="AQ52" s="390" t="str">
        <f>IF(AND(AQ$12&gt;=$E52,AQ$12&lt;=$F52,MOD(AQ$12,7)&gt;1,NOT(COUNTIF(General!$U$13:$U$19,AQ$12))),$I52,"")</f>
        <v/>
      </c>
      <c r="AR52" s="390" t="str">
        <f>IF(AND(AR$12&gt;=$E52,AR$12&lt;=$F52,MOD(AR$12,7)&gt;1,NOT(COUNTIF(General!$U$13:$U$19,AR$12))),$I52,"")</f>
        <v/>
      </c>
      <c r="AS52" s="390" t="str">
        <f>IF(AND(AS$12&gt;=$E52,AS$12&lt;=$F52,MOD(AS$12,7)&gt;1,NOT(COUNTIF(General!$U$13:$U$19,AS$12))),$I52,"")</f>
        <v/>
      </c>
      <c r="AT52" s="390" t="str">
        <f>IF(AND(AT$12&gt;=$E52,AT$12&lt;=$F52,MOD(AT$12,7)&gt;1,NOT(COUNTIF(General!$U$13:$U$19,AT$12))),$I52,"")</f>
        <v/>
      </c>
      <c r="AU52" s="390" t="str">
        <f>IF(AND(AU$12&gt;=$E52,AU$12&lt;=$F52,MOD(AU$12,7)&gt;1,NOT(COUNTIF(General!$U$13:$U$19,AU$12))),$I52,"")</f>
        <v/>
      </c>
      <c r="AV52" s="390" t="str">
        <f>IF(AND(AV$12&gt;=$E52,AV$12&lt;=$F52,MOD(AV$12,7)&gt;1,NOT(COUNTIF(General!$U$13:$U$19,AV$12))),$I52,"")</f>
        <v/>
      </c>
      <c r="AW52" s="390" t="str">
        <f>IF(AND(AW$12&gt;=$E52,AW$12&lt;=$F52,MOD(AW$12,7)&gt;1,NOT(COUNTIF(General!$U$13:$U$19,AW$12))),$I52,"")</f>
        <v/>
      </c>
      <c r="AX52" s="390" t="str">
        <f>IF(AND(AX$12&gt;=$E52,AX$12&lt;=$F52,MOD(AX$12,7)&gt;1,NOT(COUNTIF(General!$U$13:$U$19,AX$12))),$I52,"")</f>
        <v/>
      </c>
      <c r="AY52" s="390" t="str">
        <f>IF(AND(AY$12&gt;=$E52,AY$12&lt;=$F52,MOD(AY$12,7)&gt;1,NOT(COUNTIF(General!$U$13:$U$19,AY$12))),$I52,"")</f>
        <v/>
      </c>
      <c r="AZ52" s="390" t="str">
        <f>IF(AND(AZ$12&gt;=$E52,AZ$12&lt;=$F52,MOD(AZ$12,7)&gt;1,NOT(COUNTIF(General!$U$13:$U$19,AZ$12))),$I52,"")</f>
        <v/>
      </c>
      <c r="BA52" s="390" t="str">
        <f>IF(AND(BA$12&gt;=$E52,BA$12&lt;=$F52,MOD(BA$12,7)&gt;1,NOT(COUNTIF(General!$U$13:$U$19,BA$12))),$I52,"")</f>
        <v/>
      </c>
      <c r="BB52" s="390" t="str">
        <f>IF(AND(BB$12&gt;=$E52,BB$12&lt;=$F52,MOD(BB$12,7)&gt;1,NOT(COUNTIF(General!$U$13:$U$19,BB$12))),$I52,"")</f>
        <v/>
      </c>
      <c r="BC52" s="390" t="str">
        <f>IF(AND(BC$12&gt;=$E52,BC$12&lt;=$F52,MOD(BC$12,7)&gt;1,NOT(COUNTIF(General!$U$13:$U$19,BC$12))),$I52,"")</f>
        <v/>
      </c>
      <c r="BD52" s="390" t="str">
        <f>IF(AND(BD$12&gt;=$E52,BD$12&lt;=$F52,MOD(BD$12,7)&gt;1,NOT(COUNTIF(General!$U$13:$U$19,BD$12))),$I52,"")</f>
        <v/>
      </c>
      <c r="BE52" s="390" t="str">
        <f>IF(AND(BE$12&gt;=$E52,BE$12&lt;=$F52,MOD(BE$12,7)&gt;1,NOT(COUNTIF(General!$U$13:$U$19,BE$12))),$I52,"")</f>
        <v/>
      </c>
      <c r="BF52" s="390" t="str">
        <f>IF(AND(BF$12&gt;=$E52,BF$12&lt;=$F52,MOD(BF$12,7)&gt;1,NOT(COUNTIF(General!$U$13:$U$19,BF$12))),$I52,"")</f>
        <v/>
      </c>
      <c r="BG52" s="390" t="str">
        <f>IF(AND(BG$12&gt;=$E52,BG$12&lt;=$F52,MOD(BG$12,7)&gt;1,NOT(COUNTIF(General!$U$13:$U$19,BG$12))),$I52,"")</f>
        <v/>
      </c>
      <c r="BH52" s="390" t="str">
        <f>IF(AND(BH$12&gt;=$E52,BH$12&lt;=$F52,MOD(BH$12,7)&gt;1,NOT(COUNTIF(General!$U$13:$U$19,BH$12))),$I52,"")</f>
        <v/>
      </c>
      <c r="BI52" s="390" t="str">
        <f>IF(AND(BI$12&gt;=$E52,BI$12&lt;=$F52,MOD(BI$12,7)&gt;1,NOT(COUNTIF(General!$U$13:$U$19,BI$12))),$I52,"")</f>
        <v/>
      </c>
      <c r="BJ52" s="390" t="str">
        <f>IF(AND(BJ$12&gt;=$E52,BJ$12&lt;=$F52,MOD(BJ$12,7)&gt;1,NOT(COUNTIF(General!$U$13:$U$19,BJ$12))),$I52,"")</f>
        <v/>
      </c>
      <c r="BK52" s="390" t="str">
        <f>IF(AND(BK$12&gt;=$E52,BK$12&lt;=$F52,MOD(BK$12,7)&gt;1,NOT(COUNTIF(General!$U$13:$U$19,BK$12))),$I52,"")</f>
        <v/>
      </c>
      <c r="BL52" s="390" t="str">
        <f>IF(AND(BL$12&gt;=$E52,BL$12&lt;=$F52,MOD(BL$12,7)&gt;1,NOT(COUNTIF(General!$U$13:$U$19,BL$12))),$I52,"")</f>
        <v/>
      </c>
      <c r="BM52" s="390" t="str">
        <f>IF(AND(BM$12&gt;=$E52,BM$12&lt;=$F52,MOD(BM$12,7)&gt;1,NOT(COUNTIF(General!$U$13:$U$19,BM$12))),$I52,"")</f>
        <v/>
      </c>
      <c r="BN52" s="390" t="str">
        <f>IF(AND(BN$12&gt;=$E52,BN$12&lt;=$F52,MOD(BN$12,7)&gt;1,NOT(COUNTIF(General!$U$13:$U$19,BN$12))),$I52,"")</f>
        <v/>
      </c>
      <c r="BO52" s="390" t="str">
        <f>IF(AND(BO$12&gt;=$E52,BO$12&lt;=$F52,MOD(BO$12,7)&gt;1,NOT(COUNTIF(General!$U$13:$U$19,BO$12))),$I52,"")</f>
        <v/>
      </c>
      <c r="BP52" s="390" t="str">
        <f>IF(AND(BP$12&gt;=$E52,BP$12&lt;=$F52,MOD(BP$12,7)&gt;1,NOT(COUNTIF(General!$U$13:$U$19,BP$12))),$I52,"")</f>
        <v/>
      </c>
      <c r="BQ52" s="390" t="str">
        <f>IF(AND(BQ$12&gt;=$E52,BQ$12&lt;=$F52,MOD(BQ$12,7)&gt;1,NOT(COUNTIF(General!$U$13:$U$19,BQ$12))),$I52,"")</f>
        <v/>
      </c>
      <c r="BR52" s="390" t="str">
        <f>IF(AND(BR$12&gt;=$E52,BR$12&lt;=$F52,MOD(BR$12,7)&gt;1,NOT(COUNTIF(General!$U$13:$U$19,BR$12))),$I52,"")</f>
        <v/>
      </c>
      <c r="BS52" s="390" t="str">
        <f>IF(AND(BS$12&gt;=$E52,BS$12&lt;=$F52,MOD(BS$12,7)&gt;1,NOT(COUNTIF(General!$U$13:$U$19,BS$12))),$I52,"")</f>
        <v/>
      </c>
      <c r="BT52" s="390" t="str">
        <f>IF(AND(BT$12&gt;=$E52,BT$12&lt;=$F52,MOD(BT$12,7)&gt;1,NOT(COUNTIF(General!$U$13:$U$19,BT$12))),$I52,"")</f>
        <v/>
      </c>
      <c r="BU52" s="390" t="str">
        <f>IF(AND(BU$12&gt;=$E52,BU$12&lt;=$F52,MOD(BU$12,7)&gt;1,NOT(COUNTIF(General!$U$13:$U$19,BU$12))),$I52,"")</f>
        <v/>
      </c>
      <c r="BV52" s="390" t="str">
        <f>IF(AND(BV$12&gt;=$E52,BV$12&lt;=$F52,MOD(BV$12,7)&gt;1,NOT(COUNTIF(General!$U$13:$U$19,BV$12))),$I52,"")</f>
        <v/>
      </c>
      <c r="BW52" s="390" t="str">
        <f>IF(AND(BW$12&gt;=$E52,BW$12&lt;=$F52,MOD(BW$12,7)&gt;1,NOT(COUNTIF(General!$U$13:$U$19,BW$12))),$I52,"")</f>
        <v/>
      </c>
      <c r="BX52" s="390" t="str">
        <f>IF(AND(BX$12&gt;=$E52,BX$12&lt;=$F52,MOD(BX$12,7)&gt;1,NOT(COUNTIF(General!$U$13:$U$19,BX$12))),$I52,"")</f>
        <v/>
      </c>
      <c r="BY52" s="390" t="str">
        <f>IF(AND(BY$12&gt;=$E52,BY$12&lt;=$F52,MOD(BY$12,7)&gt;1,NOT(COUNTIF(General!$U$13:$U$19,BY$12))),$I52,"")</f>
        <v/>
      </c>
      <c r="BZ52" s="390" t="str">
        <f>IF(AND(BZ$12&gt;=$E52,BZ$12&lt;=$F52,MOD(BZ$12,7)&gt;1,NOT(COUNTIF(General!$U$13:$U$19,BZ$12))),$I52,"")</f>
        <v/>
      </c>
      <c r="CA52" s="390" t="str">
        <f>IF(AND(CA$12&gt;=$E52,CA$12&lt;=$F52,MOD(CA$12,7)&gt;1,NOT(COUNTIF(General!$U$13:$U$19,CA$12))),$I52,"")</f>
        <v/>
      </c>
      <c r="CB52" s="390" t="str">
        <f>IF(AND(CB$12&gt;=$E52,CB$12&lt;=$F52,MOD(CB$12,7)&gt;1,NOT(COUNTIF(General!$U$13:$U$19,CB$12))),$I52,"")</f>
        <v/>
      </c>
      <c r="CC52" s="390" t="str">
        <f>IF(AND(CC$12&gt;=$E52,CC$12&lt;=$F52,MOD(CC$12,7)&gt;1,NOT(COUNTIF(General!$U$13:$U$19,CC$12))),$I52,"")</f>
        <v/>
      </c>
      <c r="CD52" s="390" t="str">
        <f>IF(AND(CD$12&gt;=$E52,CD$12&lt;=$F52,MOD(CD$12,7)&gt;1,NOT(COUNTIF(General!$U$13:$U$19,CD$12))),$I52,"")</f>
        <v/>
      </c>
      <c r="CE52" s="390" t="str">
        <f>IF(AND(CE$12&gt;=$E52,CE$12&lt;=$F52,MOD(CE$12,7)&gt;1,NOT(COUNTIF(General!$U$13:$U$19,CE$12))),$I52,"")</f>
        <v/>
      </c>
      <c r="CF52" s="390" t="str">
        <f>IF(AND(CF$12&gt;=$E52,CF$12&lt;=$F52,MOD(CF$12,7)&gt;1,NOT(COUNTIF(General!$U$13:$U$19,CF$12))),$I52,"")</f>
        <v/>
      </c>
      <c r="CG52" s="390" t="str">
        <f>IF(AND(CG$12&gt;=$E52,CG$12&lt;=$F52,MOD(CG$12,7)&gt;1,NOT(COUNTIF(General!$U$13:$U$19,CG$12))),$I52,"")</f>
        <v/>
      </c>
      <c r="CH52" s="390" t="str">
        <f>IF(AND(CH$12&gt;=$E52,CH$12&lt;=$F52,MOD(CH$12,7)&gt;1,NOT(COUNTIF(General!$U$13:$U$19,CH$12))),$I52,"")</f>
        <v/>
      </c>
      <c r="CI52" s="390" t="str">
        <f>IF(AND(CI$12&gt;=$E52,CI$12&lt;=$F52,MOD(CI$12,7)&gt;1,NOT(COUNTIF(General!$U$13:$U$19,CI$12))),$I52,"")</f>
        <v/>
      </c>
      <c r="CJ52" s="390" t="str">
        <f>IF(AND(CJ$12&gt;=$E52,CJ$12&lt;=$F52,MOD(CJ$12,7)&gt;1,NOT(COUNTIF(General!$U$13:$U$19,CJ$12))),$I52,"")</f>
        <v/>
      </c>
      <c r="CK52" s="390" t="str">
        <f>IF(AND(CK$12&gt;=$E52,CK$12&lt;=$F52,MOD(CK$12,7)&gt;1,NOT(COUNTIF(General!$U$13:$U$19,CK$12))),$I52,"")</f>
        <v/>
      </c>
      <c r="CL52" s="390" t="str">
        <f>IF(AND(CL$12&gt;=$E52,CL$12&lt;=$F52,MOD(CL$12,7)&gt;1,NOT(COUNTIF(General!$U$13:$U$19,CL$12))),$I52,"")</f>
        <v/>
      </c>
      <c r="CM52" s="390" t="str">
        <f>IF(AND(CM$12&gt;=$E52,CM$12&lt;=$F52,MOD(CM$12,7)&gt;1,NOT(COUNTIF(General!$U$13:$U$19,CM$12))),$I52,"")</f>
        <v/>
      </c>
      <c r="CN52" s="390" t="str">
        <f>IF(AND(CN$12&gt;=$E52,CN$12&lt;=$F52,MOD(CN$12,7)&gt;1,NOT(COUNTIF(General!$U$13:$U$19,CN$12))),$I52,"")</f>
        <v/>
      </c>
      <c r="CO52" s="390" t="str">
        <f>IF(AND(CO$12&gt;=$E52,CO$12&lt;=$F52,MOD(CO$12,7)&gt;1,NOT(COUNTIF(General!$U$13:$U$19,CO$12))),$I52,"")</f>
        <v/>
      </c>
      <c r="CP52" s="390" t="str">
        <f>IF(AND(CP$12&gt;=$E52,CP$12&lt;=$F52,MOD(CP$12,7)&gt;1,NOT(COUNTIF(General!$U$13:$U$19,CP$12))),$I52,"")</f>
        <v/>
      </c>
      <c r="CQ52" s="390" t="str">
        <f>IF(AND(CQ$12&gt;=$E52,CQ$12&lt;=$F52,MOD(CQ$12,7)&gt;1,NOT(COUNTIF(General!$U$13:$U$19,CQ$12))),$I52,"")</f>
        <v/>
      </c>
      <c r="CR52" s="390" t="str">
        <f>IF(AND(CR$12&gt;=$E52,CR$12&lt;=$F52,MOD(CR$12,7)&gt;1,NOT(COUNTIF(General!$U$13:$U$19,CR$12))),$I52,"")</f>
        <v/>
      </c>
      <c r="CS52" s="390" t="str">
        <f>IF(AND(CS$12&gt;=$E52,CS$12&lt;=$F52,MOD(CS$12,7)&gt;1,NOT(COUNTIF(General!$U$13:$U$19,CS$12))),$I52,"")</f>
        <v/>
      </c>
      <c r="CT52" s="390" t="str">
        <f>IF(AND(CT$12&gt;=$E52,CT$12&lt;=$F52,MOD(CT$12,7)&gt;1,NOT(COUNTIF(General!$U$13:$U$19,CT$12))),$I52,"")</f>
        <v/>
      </c>
      <c r="CU52" s="390" t="str">
        <f>IF(AND(CU$12&gt;=$E52,CU$12&lt;=$F52,MOD(CU$12,7)&gt;1,NOT(COUNTIF(General!$U$13:$U$19,CU$12))),$I52,"")</f>
        <v/>
      </c>
      <c r="CV52" s="390" t="str">
        <f>IF(AND(CV$12&gt;=$E52,CV$12&lt;=$F52,MOD(CV$12,7)&gt;1,NOT(COUNTIF(General!$U$13:$U$19,CV$12))),$I52,"")</f>
        <v/>
      </c>
      <c r="CW52" s="390" t="str">
        <f>IF(AND(CW$12&gt;=$E52,CW$12&lt;=$F52,MOD(CW$12,7)&gt;1,NOT(COUNTIF(General!$U$13:$U$19,CW$12))),$I52,"")</f>
        <v/>
      </c>
      <c r="CX52" s="390" t="str">
        <f>IF(AND(CX$12&gt;=$E52,CX$12&lt;=$F52,MOD(CX$12,7)&gt;1,NOT(COUNTIF(General!$U$13:$U$19,CX$12))),$I52,"")</f>
        <v/>
      </c>
      <c r="CY52" s="390" t="str">
        <f>IF(AND(CY$12&gt;=$E52,CY$12&lt;=$F52,MOD(CY$12,7)&gt;1,NOT(COUNTIF(General!$U$13:$U$19,CY$12))),$I52,"")</f>
        <v/>
      </c>
      <c r="CZ52" s="390" t="str">
        <f>IF(AND(CZ$12&gt;=$E52,CZ$12&lt;=$F52,MOD(CZ$12,7)&gt;1,NOT(COUNTIF(General!$U$13:$U$19,CZ$12))),$I52,"")</f>
        <v/>
      </c>
      <c r="DA52" s="390" t="str">
        <f>IF(AND(DA$12&gt;=$E52,DA$12&lt;=$F52,MOD(DA$12,7)&gt;1,NOT(COUNTIF(General!$U$13:$U$19,DA$12))),$I52,"")</f>
        <v/>
      </c>
      <c r="DB52" s="390" t="str">
        <f>IF(AND(DB$12&gt;=$E52,DB$12&lt;=$F52,MOD(DB$12,7)&gt;1,NOT(COUNTIF(General!$U$13:$U$19,DB$12))),$I52,"")</f>
        <v/>
      </c>
      <c r="DC52" s="390" t="str">
        <f>IF(AND(DC$12&gt;=$E52,DC$12&lt;=$F52,MOD(DC$12,7)&gt;1,NOT(COUNTIF(General!$U$13:$U$19,DC$12))),$I52,"")</f>
        <v/>
      </c>
      <c r="DD52" s="390" t="str">
        <f>IF(AND(DD$12&gt;=$E52,DD$12&lt;=$F52,MOD(DD$12,7)&gt;1,NOT(COUNTIF(General!$U$13:$U$19,DD$12))),$I52,"")</f>
        <v/>
      </c>
      <c r="DE52" s="390" t="str">
        <f>IF(AND(DE$12&gt;=$E52,DE$12&lt;=$F52,MOD(DE$12,7)&gt;1,NOT(COUNTIF(General!$U$13:$U$19,DE$12))),$I52,"")</f>
        <v/>
      </c>
      <c r="DF52" s="390" t="str">
        <f>IF(AND(DF$12&gt;=$E52,DF$12&lt;=$F52,MOD(DF$12,7)&gt;1,NOT(COUNTIF(General!$U$13:$U$19,DF$12))),$I52,"")</f>
        <v/>
      </c>
      <c r="DG52" s="390" t="str">
        <f>IF(AND(DG$12&gt;=$E52,DG$12&lt;=$F52,MOD(DG$12,7)&gt;1,NOT(COUNTIF(General!$U$13:$U$19,DG$12))),$I52,"")</f>
        <v/>
      </c>
      <c r="DH52" s="390" t="str">
        <f>IF(AND(DH$12&gt;=$E52,DH$12&lt;=$F52,MOD(DH$12,7)&gt;1,NOT(COUNTIF(General!$U$13:$U$19,DH$12))),$I52,"")</f>
        <v/>
      </c>
      <c r="DI52" s="390" t="str">
        <f>IF(AND(DI$12&gt;=$E52,DI$12&lt;=$F52,MOD(DI$12,7)&gt;1,NOT(COUNTIF(General!$U$13:$U$19,DI$12))),$I52,"")</f>
        <v/>
      </c>
      <c r="DJ52" s="390" t="str">
        <f>IF(AND(DJ$12&gt;=$E52,DJ$12&lt;=$F52,MOD(DJ$12,7)&gt;1,NOT(COUNTIF(General!$U$13:$U$19,DJ$12))),$I52,"")</f>
        <v/>
      </c>
      <c r="DK52" s="390" t="str">
        <f>IF(AND(DK$12&gt;=$E52,DK$12&lt;=$F52,MOD(DK$12,7)&gt;1,NOT(COUNTIF(General!$U$13:$U$19,DK$12))),$I52,"")</f>
        <v/>
      </c>
      <c r="DL52" s="390" t="str">
        <f>IF(AND(DL$12&gt;=$E52,DL$12&lt;=$F52,MOD(DL$12,7)&gt;1,NOT(COUNTIF(General!$U$13:$U$19,DL$12))),$I52,"")</f>
        <v/>
      </c>
      <c r="DM52" s="390" t="str">
        <f>IF(AND(DM$12&gt;=$E52,DM$12&lt;=$F52,MOD(DM$12,7)&gt;1,NOT(COUNTIF(General!$U$13:$U$19,DM$12))),$I52,"")</f>
        <v/>
      </c>
      <c r="DN52" s="390" t="str">
        <f>IF(AND(DN$12&gt;=$E52,DN$12&lt;=$F52,MOD(DN$12,7)&gt;1,NOT(COUNTIF(General!$U$13:$U$19,DN$12))),$I52,"")</f>
        <v/>
      </c>
      <c r="DO52" s="390" t="str">
        <f>IF(AND(DO$12&gt;=$E52,DO$12&lt;=$F52,MOD(DO$12,7)&gt;1,NOT(COUNTIF(General!$U$13:$U$19,DO$12))),$I52,"")</f>
        <v/>
      </c>
      <c r="DP52" s="390" t="str">
        <f>IF(AND(DP$12&gt;=$E52,DP$12&lt;=$F52,MOD(DP$12,7)&gt;1,NOT(COUNTIF(General!$U$13:$U$19,DP$12))),$I52,"")</f>
        <v/>
      </c>
      <c r="DQ52" s="390" t="str">
        <f>IF(AND(DQ$12&gt;=$E52,DQ$12&lt;=$F52,MOD(DQ$12,7)&gt;1,NOT(COUNTIF(General!$U$13:$U$19,DQ$12))),$I52,"")</f>
        <v/>
      </c>
      <c r="DR52" s="390" t="str">
        <f>IF(AND(DR$12&gt;=$E52,DR$12&lt;=$F52,MOD(DR$12,7)&gt;1,NOT(COUNTIF(General!$U$13:$U$19,DR$12))),$I52,"")</f>
        <v/>
      </c>
      <c r="DS52" s="390" t="str">
        <f>IF(AND(DS$12&gt;=$E52,DS$12&lt;=$F52,MOD(DS$12,7)&gt;1,NOT(COUNTIF(General!$U$13:$U$19,DS$12))),$I52,"")</f>
        <v/>
      </c>
      <c r="DT52" s="390" t="str">
        <f>IF(AND(DT$12&gt;=$E52,DT$12&lt;=$F52,MOD(DT$12,7)&gt;1,NOT(COUNTIF(General!$U$13:$U$19,DT$12))),$I52,"")</f>
        <v/>
      </c>
      <c r="DU52" s="390" t="str">
        <f>IF(AND(DU$12&gt;=$E52,DU$12&lt;=$F52,MOD(DU$12,7)&gt;1,NOT(COUNTIF(General!$U$13:$U$19,DU$12))),$I52,"")</f>
        <v/>
      </c>
      <c r="DV52" s="390" t="str">
        <f>IF(AND(DV$12&gt;=$E52,DV$12&lt;=$F52,MOD(DV$12,7)&gt;1,NOT(COUNTIF(General!$U$13:$U$19,DV$12))),$I52,"")</f>
        <v/>
      </c>
      <c r="DW52" s="390" t="str">
        <f>IF(AND(DW$12&gt;=$E52,DW$12&lt;=$F52,MOD(DW$12,7)&gt;1,NOT(COUNTIF(General!$U$13:$U$19,DW$12))),$I52,"")</f>
        <v/>
      </c>
      <c r="DX52" s="390" t="str">
        <f>IF(AND(DX$12&gt;=$E52,DX$12&lt;=$F52,MOD(DX$12,7)&gt;1,NOT(COUNTIF(General!$U$13:$U$19,DX$12))),$I52,"")</f>
        <v/>
      </c>
      <c r="DY52" s="390" t="str">
        <f>IF(AND(DY$12&gt;=$E52,DY$12&lt;=$F52,MOD(DY$12,7)&gt;1,NOT(COUNTIF(General!$U$13:$U$19,DY$12))),$I52,"")</f>
        <v/>
      </c>
      <c r="DZ52" s="390" t="str">
        <f>IF(AND(DZ$12&gt;=$E52,DZ$12&lt;=$F52,MOD(DZ$12,7)&gt;1,NOT(COUNTIF(General!$U$13:$U$19,DZ$12))),$I52,"")</f>
        <v/>
      </c>
      <c r="EA52" s="390" t="str">
        <f>IF(AND(EA$12&gt;=$E52,EA$12&lt;=$F52,MOD(EA$12,7)&gt;1,NOT(COUNTIF(General!$U$13:$U$19,EA$12))),$I52,"")</f>
        <v/>
      </c>
      <c r="EB52" s="390" t="str">
        <f>IF(AND(EB$12&gt;=$E52,EB$12&lt;=$F52,MOD(EB$12,7)&gt;1,NOT(COUNTIF(General!$U$13:$U$19,EB$12))),$I52,"")</f>
        <v/>
      </c>
      <c r="EC52" s="390" t="str">
        <f>IF(AND(EC$12&gt;=$E52,EC$12&lt;=$F52,MOD(EC$12,7)&gt;1,NOT(COUNTIF(General!$U$13:$U$19,EC$12))),$I52,"")</f>
        <v/>
      </c>
      <c r="ED52" s="390" t="str">
        <f>IF(AND(ED$12&gt;=$E52,ED$12&lt;=$F52,MOD(ED$12,7)&gt;1,NOT(COUNTIF(General!$U$13:$U$19,ED$12))),$I52,"")</f>
        <v/>
      </c>
      <c r="EE52" s="390" t="str">
        <f>IF(AND(EE$12&gt;=$E52,EE$12&lt;=$F52,MOD(EE$12,7)&gt;1,NOT(COUNTIF(General!$U$13:$U$19,EE$12))),$I52,"")</f>
        <v/>
      </c>
      <c r="EF52" s="390" t="str">
        <f>IF(AND(EF$12&gt;=$E52,EF$12&lt;=$F52,MOD(EF$12,7)&gt;1,NOT(COUNTIF(General!$U$13:$U$19,EF$12))),$I52,"")</f>
        <v/>
      </c>
      <c r="EG52" s="390" t="str">
        <f>IF(AND(EG$12&gt;=$E52,EG$12&lt;=$F52,MOD(EG$12,7)&gt;1,NOT(COUNTIF(General!$U$13:$U$19,EG$12))),$I52,"")</f>
        <v/>
      </c>
      <c r="EH52" s="390" t="str">
        <f>IF(AND(EH$12&gt;=$E52,EH$12&lt;=$F52,MOD(EH$12,7)&gt;1,NOT(COUNTIF(General!$U$13:$U$19,EH$12))),$I52,"")</f>
        <v/>
      </c>
      <c r="EI52" s="390" t="str">
        <f>IF(AND(EI$12&gt;=$E52,EI$12&lt;=$F52,MOD(EI$12,7)&gt;1,NOT(COUNTIF(General!$U$13:$U$19,EI$12))),$I52,"")</f>
        <v/>
      </c>
      <c r="EJ52" s="390" t="str">
        <f>IF(AND(EJ$12&gt;=$E52,EJ$12&lt;=$F52,MOD(EJ$12,7)&gt;1,NOT(COUNTIF(General!$U$13:$U$19,EJ$12))),$I52,"")</f>
        <v/>
      </c>
      <c r="EK52" s="390" t="str">
        <f>IF(AND(EK$12&gt;=$E52,EK$12&lt;=$F52,MOD(EK$12,7)&gt;1,NOT(COUNTIF(General!$U$13:$U$19,EK$12))),$I52,"")</f>
        <v/>
      </c>
      <c r="EL52" s="390" t="str">
        <f>IF(AND(EL$12&gt;=$E52,EL$12&lt;=$F52,MOD(EL$12,7)&gt;1,NOT(COUNTIF(General!$U$13:$U$19,EL$12))),$I52,"")</f>
        <v/>
      </c>
      <c r="EM52" s="390" t="str">
        <f>IF(AND(EM$12&gt;=$E52,EM$12&lt;=$F52,MOD(EM$12,7)&gt;1,NOT(COUNTIF(General!$U$13:$U$19,EM$12))),$I52,"")</f>
        <v/>
      </c>
      <c r="EN52" s="390" t="str">
        <f>IF(AND(EN$12&gt;=$E52,EN$12&lt;=$F52,MOD(EN$12,7)&gt;1,NOT(COUNTIF(General!$U$13:$U$19,EN$12))),$I52,"")</f>
        <v/>
      </c>
      <c r="EO52" s="390" t="str">
        <f>IF(AND(EO$12&gt;=$E52,EO$12&lt;=$F52,MOD(EO$12,7)&gt;1,NOT(COUNTIF(General!$U$13:$U$19,EO$12))),$I52,"")</f>
        <v/>
      </c>
      <c r="EP52" s="390" t="str">
        <f>IF(AND(EP$12&gt;=$E52,EP$12&lt;=$F52,MOD(EP$12,7)&gt;1,NOT(COUNTIF(General!$U$13:$U$19,EP$12))),$I52,"")</f>
        <v/>
      </c>
      <c r="EQ52" s="390" t="str">
        <f>IF(AND(EQ$12&gt;=$E52,EQ$12&lt;=$F52,MOD(EQ$12,7)&gt;1,NOT(COUNTIF(General!$U$13:$U$19,EQ$12))),$I52,"")</f>
        <v/>
      </c>
      <c r="ER52" s="390" t="str">
        <f>IF(AND(ER$12&gt;=$E52,ER$12&lt;=$F52,MOD(ER$12,7)&gt;1,NOT(COUNTIF(General!$U$13:$U$19,ER$12))),$I52,"")</f>
        <v/>
      </c>
      <c r="ES52" s="390" t="str">
        <f>IF(AND(ES$12&gt;=$E52,ES$12&lt;=$F52,MOD(ES$12,7)&gt;1,NOT(COUNTIF(General!$U$13:$U$19,ES$12))),$I52,"")</f>
        <v/>
      </c>
      <c r="ET52" s="390" t="str">
        <f>IF(AND(ET$12&gt;=$E52,ET$12&lt;=$F52,MOD(ET$12,7)&gt;1,NOT(COUNTIF(General!$U$13:$U$19,ET$12))),$I52,"")</f>
        <v/>
      </c>
      <c r="EU52" s="390" t="str">
        <f>IF(AND(EU$12&gt;=$E52,EU$12&lt;=$F52,MOD(EU$12,7)&gt;1,NOT(COUNTIF(General!$U$13:$U$19,EU$12))),$I52,"")</f>
        <v/>
      </c>
      <c r="EV52" s="390" t="str">
        <f>IF(AND(EV$12&gt;=$E52,EV$12&lt;=$F52,MOD(EV$12,7)&gt;1,NOT(COUNTIF(General!$U$13:$U$19,EV$12))),$I52,"")</f>
        <v/>
      </c>
      <c r="EW52" s="390" t="str">
        <f>IF(AND(EW$12&gt;=$E52,EW$12&lt;=$F52,MOD(EW$12,7)&gt;1,NOT(COUNTIF(General!$U$13:$U$19,EW$12))),$I52,"")</f>
        <v/>
      </c>
      <c r="EX52" s="390" t="str">
        <f>IF(AND(EX$12&gt;=$E52,EX$12&lt;=$F52,MOD(EX$12,7)&gt;1,NOT(COUNTIF(General!$U$13:$U$19,EX$12))),$I52,"")</f>
        <v/>
      </c>
      <c r="EY52" s="390" t="str">
        <f>IF(AND(EY$12&gt;=$E52,EY$12&lt;=$F52,MOD(EY$12,7)&gt;1,NOT(COUNTIF(General!$U$13:$U$19,EY$12))),$I52,"")</f>
        <v/>
      </c>
      <c r="EZ52" s="390" t="str">
        <f>IF(AND(EZ$12&gt;=$E52,EZ$12&lt;=$F52,MOD(EZ$12,7)&gt;1,NOT(COUNTIF(General!$U$13:$U$19,EZ$12))),$I52,"")</f>
        <v/>
      </c>
      <c r="FA52" s="390" t="str">
        <f>IF(AND(FA$12&gt;=$E52,FA$12&lt;=$F52,MOD(FA$12,7)&gt;1,NOT(COUNTIF(General!$U$13:$U$19,FA$12))),$I52,"")</f>
        <v/>
      </c>
      <c r="FB52" s="390" t="str">
        <f>IF(AND(FB$12&gt;=$E52,FB$12&lt;=$F52,MOD(FB$12,7)&gt;1,NOT(COUNTIF(General!$U$13:$U$19,FB$12))),$I52,"")</f>
        <v/>
      </c>
      <c r="FC52" s="390" t="str">
        <f>IF(AND(FC$12&gt;=$E52,FC$12&lt;=$F52,MOD(FC$12,7)&gt;1,NOT(COUNTIF(General!$U$13:$U$19,FC$12))),$I52,"")</f>
        <v/>
      </c>
      <c r="FD52" s="390" t="str">
        <f>IF(AND(FD$12&gt;=$E52,FD$12&lt;=$F52,MOD(FD$12,7)&gt;1,NOT(COUNTIF(General!$U$13:$U$19,FD$12))),$I52,"")</f>
        <v/>
      </c>
      <c r="FE52" s="390" t="str">
        <f>IF(AND(FE$12&gt;=$E52,FE$12&lt;=$F52,MOD(FE$12,7)&gt;1,NOT(COUNTIF(General!$U$13:$U$19,FE$12))),$I52,"")</f>
        <v/>
      </c>
      <c r="FF52" s="390" t="str">
        <f>IF(AND(FF$12&gt;=$E52,FF$12&lt;=$F52,MOD(FF$12,7)&gt;1,NOT(COUNTIF(General!$U$13:$U$19,FF$12))),$I52,"")</f>
        <v/>
      </c>
      <c r="FG52" s="390" t="str">
        <f>IF(AND(FG$12&gt;=$E52,FG$12&lt;=$F52,MOD(FG$12,7)&gt;1,NOT(COUNTIF(General!$U$13:$U$19,FG$12))),$I52,"")</f>
        <v/>
      </c>
      <c r="FH52" s="390" t="str">
        <f>IF(AND(FH$12&gt;=$E52,FH$12&lt;=$F52,MOD(FH$12,7)&gt;1,NOT(COUNTIF(General!$U$13:$U$19,FH$12))),$I52,"")</f>
        <v/>
      </c>
      <c r="FI52" s="390" t="str">
        <f>IF(AND(FI$12&gt;=$E52,FI$12&lt;=$F52,MOD(FI$12,7)&gt;1,NOT(COUNTIF(General!$U$13:$U$19,FI$12))),$I52,"")</f>
        <v/>
      </c>
      <c r="FJ52" s="390" t="str">
        <f>IF(AND(FJ$12&gt;=$E52,FJ$12&lt;=$F52,MOD(FJ$12,7)&gt;1,NOT(COUNTIF(General!$U$13:$U$19,FJ$12))),$I52,"")</f>
        <v/>
      </c>
      <c r="FK52" s="390" t="str">
        <f>IF(AND(FK$12&gt;=$E52,FK$12&lt;=$F52,MOD(FK$12,7)&gt;1,NOT(COUNTIF(General!$U$13:$U$19,FK$12))),$I52,"")</f>
        <v/>
      </c>
      <c r="FL52" s="390" t="str">
        <f>IF(AND(FL$12&gt;=$E52,FL$12&lt;=$F52,MOD(FL$12,7)&gt;1,NOT(COUNTIF(General!$U$13:$U$19,FL$12))),$I52,"")</f>
        <v/>
      </c>
      <c r="FM52" s="390" t="str">
        <f>IF(AND(FM$12&gt;=$E52,FM$12&lt;=$F52,MOD(FM$12,7)&gt;1,NOT(COUNTIF(General!$U$13:$U$19,FM$12))),$I52,"")</f>
        <v/>
      </c>
      <c r="FN52" s="390" t="str">
        <f>IF(AND(FN$12&gt;=$E52,FN$12&lt;=$F52,MOD(FN$12,7)&gt;1,NOT(COUNTIF(General!$U$13:$U$19,FN$12))),$I52,"")</f>
        <v/>
      </c>
      <c r="FO52" s="390" t="str">
        <f>IF(AND(FO$12&gt;=$E52,FO$12&lt;=$F52,MOD(FO$12,7)&gt;1,NOT(COUNTIF(General!$U$13:$U$19,FO$12))),$I52,"")</f>
        <v/>
      </c>
      <c r="FP52" s="390" t="str">
        <f>IF(AND(FP$12&gt;=$E52,FP$12&lt;=$F52,MOD(FP$12,7)&gt;1,NOT(COUNTIF(General!$U$13:$U$19,FP$12))),$I52,"")</f>
        <v/>
      </c>
      <c r="FQ52" s="390" t="str">
        <f>IF(AND(FQ$12&gt;=$E52,FQ$12&lt;=$F52,MOD(FQ$12,7)&gt;1,NOT(COUNTIF(General!$U$13:$U$19,FQ$12))),$I52,"")</f>
        <v/>
      </c>
      <c r="FR52" s="390" t="str">
        <f>IF(AND(FR$12&gt;=$E52,FR$12&lt;=$F52,MOD(FR$12,7)&gt;1,NOT(COUNTIF(General!$U$13:$U$19,FR$12))),$I52,"")</f>
        <v/>
      </c>
      <c r="FS52" s="390" t="str">
        <f>IF(AND(FS$12&gt;=$E52,FS$12&lt;=$F52,MOD(FS$12,7)&gt;1,NOT(COUNTIF(General!$U$13:$U$19,FS$12))),$I52,"")</f>
        <v/>
      </c>
      <c r="FT52" s="390" t="str">
        <f>IF(AND(FT$12&gt;=$E52,FT$12&lt;=$F52,MOD(FT$12,7)&gt;1,NOT(COUNTIF(General!$U$13:$U$19,FT$12))),$I52,"")</f>
        <v/>
      </c>
      <c r="FU52" s="390" t="str">
        <f>IF(AND(FU$12&gt;=$E52,FU$12&lt;=$F52,MOD(FU$12,7)&gt;1,NOT(COUNTIF(General!$U$13:$U$19,FU$12))),$I52,"")</f>
        <v/>
      </c>
      <c r="FV52" s="390" t="str">
        <f>IF(AND(FV$12&gt;=$E52,FV$12&lt;=$F52,MOD(FV$12,7)&gt;1,NOT(COUNTIF(General!$U$13:$U$19,FV$12))),$I52,"")</f>
        <v/>
      </c>
      <c r="FW52" s="390" t="str">
        <f>IF(AND(FW$12&gt;=$E52,FW$12&lt;=$F52,MOD(FW$12,7)&gt;1,NOT(COUNTIF(General!$U$13:$U$19,FW$12))),$I52,"")</f>
        <v/>
      </c>
      <c r="FX52" s="390" t="str">
        <f>IF(AND(FX$12&gt;=$E52,FX$12&lt;=$F52,MOD(FX$12,7)&gt;1,NOT(COUNTIF(General!$U$13:$U$19,FX$12))),$I52,"")</f>
        <v/>
      </c>
    </row>
    <row r="53" ht="16.5" customHeight="1">
      <c r="A53" s="613"/>
      <c r="B53" s="369" t="s">
        <v>591</v>
      </c>
      <c r="C53" s="370"/>
      <c r="D53" s="621"/>
      <c r="E53" s="583"/>
      <c r="F53" s="620"/>
      <c r="G53" s="375"/>
      <c r="H53" s="377"/>
      <c r="I53" s="379">
        <v>1.0</v>
      </c>
      <c r="J53" s="379"/>
      <c r="K53" s="381"/>
      <c r="L53" s="382"/>
      <c r="M53" s="383"/>
      <c r="N53" s="384"/>
      <c r="O53" s="386"/>
      <c r="P53" s="388"/>
      <c r="Q53" s="390" t="str">
        <f>IF(AND(Q$12&gt;=$E53,Q$12&lt;=$F53,MOD(Q$12,7)&gt;1,NOT(COUNTIF(General!$U$13:$U$19,Q$12))),$I53,"")</f>
        <v/>
      </c>
      <c r="R53" s="390" t="str">
        <f>IF(AND(R$12&gt;=$E53,R$12&lt;=$F53,MOD(R$12,7)&gt;1,NOT(COUNTIF(General!$U$13:$U$19,R$12))),$I53,"")</f>
        <v/>
      </c>
      <c r="S53" s="390" t="str">
        <f>IF(AND(S$12&gt;=$E53,S$12&lt;=$F53,MOD(S$12,7)&gt;1,NOT(COUNTIF(General!$U$13:$U$19,S$12))),$I53,"")</f>
        <v/>
      </c>
      <c r="T53" s="390" t="str">
        <f>IF(AND(T$12&gt;=$E53,T$12&lt;=$F53,MOD(T$12,7)&gt;1,NOT(COUNTIF(General!$U$13:$U$19,T$12))),$I53,"")</f>
        <v/>
      </c>
      <c r="U53" s="390" t="str">
        <f>IF(AND(U$12&gt;=$E53,U$12&lt;=$F53,MOD(U$12,7)&gt;1,NOT(COUNTIF(General!$U$13:$U$19,U$12))),$I53,"")</f>
        <v/>
      </c>
      <c r="V53" s="390" t="str">
        <f>IF(AND(V$12&gt;=$E53,V$12&lt;=$F53,MOD(V$12,7)&gt;1,NOT(COUNTIF(General!$U$13:$U$19,V$12))),$I53,"")</f>
        <v/>
      </c>
      <c r="W53" s="390" t="str">
        <f>IF(AND(W$12&gt;=$E53,W$12&lt;=$F53,MOD(W$12,7)&gt;1,NOT(COUNTIF(General!$U$13:$U$19,W$12))),$I53,"")</f>
        <v/>
      </c>
      <c r="X53" s="390" t="str">
        <f>IF(AND(X$12&gt;=$E53,X$12&lt;=$F53,MOD(X$12,7)&gt;1,NOT(COUNTIF(General!$U$13:$U$19,X$12))),$I53,"")</f>
        <v/>
      </c>
      <c r="Y53" s="390" t="str">
        <f>IF(AND(Y$12&gt;=$E53,Y$12&lt;=$F53,MOD(Y$12,7)&gt;1,NOT(COUNTIF(General!$U$13:$U$19,Y$12))),$I53,"")</f>
        <v/>
      </c>
      <c r="Z53" s="390" t="str">
        <f>IF(AND(Z$12&gt;=$E53,Z$12&lt;=$F53,MOD(Z$12,7)&gt;1,NOT(COUNTIF(General!$U$13:$U$19,Z$12))),$I53,"")</f>
        <v/>
      </c>
      <c r="AA53" s="390" t="str">
        <f>IF(AND(AA$12&gt;=$E53,AA$12&lt;=$F53,MOD(AA$12,7)&gt;1,NOT(COUNTIF(General!$U$13:$U$19,AA$12))),$I53,"")</f>
        <v/>
      </c>
      <c r="AB53" s="390" t="str">
        <f>IF(AND(AB$12&gt;=$E53,AB$12&lt;=$F53,MOD(AB$12,7)&gt;1,NOT(COUNTIF(General!$U$13:$U$19,AB$12))),$I53,"")</f>
        <v/>
      </c>
      <c r="AC53" s="390" t="str">
        <f>IF(AND(AC$12&gt;=$E53,AC$12&lt;=$F53,MOD(AC$12,7)&gt;1,NOT(COUNTIF(General!$U$13:$U$19,AC$12))),$I53,"")</f>
        <v/>
      </c>
      <c r="AD53" s="390" t="str">
        <f>IF(AND(AD$12&gt;=$E53,AD$12&lt;=$F53,MOD(AD$12,7)&gt;1,NOT(COUNTIF(General!$U$13:$U$19,AD$12))),$I53,"")</f>
        <v/>
      </c>
      <c r="AE53" s="390" t="str">
        <f>IF(AND(AE$12&gt;=$E53,AE$12&lt;=$F53,MOD(AE$12,7)&gt;1,NOT(COUNTIF(General!$U$13:$U$19,AE$12))),$I53,"")</f>
        <v/>
      </c>
      <c r="AF53" s="390" t="str">
        <f>IF(AND(AF$12&gt;=$E53,AF$12&lt;=$F53,MOD(AF$12,7)&gt;1,NOT(COUNTIF(General!$U$13:$U$19,AF$12))),$I53,"")</f>
        <v/>
      </c>
      <c r="AG53" s="390" t="str">
        <f>IF(AND(AG$12&gt;=$E53,AG$12&lt;=$F53,MOD(AG$12,7)&gt;1,NOT(COUNTIF(General!$U$13:$U$19,AG$12))),$I53,"")</f>
        <v/>
      </c>
      <c r="AH53" s="390" t="str">
        <f>IF(AND(AH$12&gt;=$E53,AH$12&lt;=$F53,MOD(AH$12,7)&gt;1,NOT(COUNTIF(General!$U$13:$U$19,AH$12))),$I53,"")</f>
        <v/>
      </c>
      <c r="AI53" s="390" t="str">
        <f>IF(AND(AI$12&gt;=$E53,AI$12&lt;=$F53,MOD(AI$12,7)&gt;1,NOT(COUNTIF(General!$U$13:$U$19,AI$12))),$I53,"")</f>
        <v/>
      </c>
      <c r="AJ53" s="390" t="str">
        <f>IF(AND(AJ$12&gt;=$E53,AJ$12&lt;=$F53,MOD(AJ$12,7)&gt;1,NOT(COUNTIF(General!$U$13:$U$19,AJ$12))),$I53,"")</f>
        <v/>
      </c>
      <c r="AK53" s="390" t="str">
        <f>IF(AND(AK$12&gt;=$E53,AK$12&lt;=$F53,MOD(AK$12,7)&gt;1,NOT(COUNTIF(General!$U$13:$U$19,AK$12))),$I53,"")</f>
        <v/>
      </c>
      <c r="AL53" s="390" t="str">
        <f>IF(AND(AL$12&gt;=$E53,AL$12&lt;=$F53,MOD(AL$12,7)&gt;1,NOT(COUNTIF(General!$U$13:$U$19,AL$12))),$I53,"")</f>
        <v/>
      </c>
      <c r="AM53" s="390" t="str">
        <f>IF(AND(AM$12&gt;=$E53,AM$12&lt;=$F53,MOD(AM$12,7)&gt;1,NOT(COUNTIF(General!$U$13:$U$19,AM$12))),$I53,"")</f>
        <v/>
      </c>
      <c r="AN53" s="390" t="str">
        <f>IF(AND(AN$12&gt;=$E53,AN$12&lt;=$F53,MOD(AN$12,7)&gt;1,NOT(COUNTIF(General!$U$13:$U$19,AN$12))),$I53,"")</f>
        <v/>
      </c>
      <c r="AO53" s="390" t="str">
        <f>IF(AND(AO$12&gt;=$E53,AO$12&lt;=$F53,MOD(AO$12,7)&gt;1,NOT(COUNTIF(General!$U$13:$U$19,AO$12))),$I53,"")</f>
        <v/>
      </c>
      <c r="AP53" s="390" t="str">
        <f>IF(AND(AP$12&gt;=$E53,AP$12&lt;=$F53,MOD(AP$12,7)&gt;1,NOT(COUNTIF(General!$U$13:$U$19,AP$12))),$I53,"")</f>
        <v/>
      </c>
      <c r="AQ53" s="390" t="str">
        <f>IF(AND(AQ$12&gt;=$E53,AQ$12&lt;=$F53,MOD(AQ$12,7)&gt;1,NOT(COUNTIF(General!$U$13:$U$19,AQ$12))),$I53,"")</f>
        <v/>
      </c>
      <c r="AR53" s="390" t="str">
        <f>IF(AND(AR$12&gt;=$E53,AR$12&lt;=$F53,MOD(AR$12,7)&gt;1,NOT(COUNTIF(General!$U$13:$U$19,AR$12))),$I53,"")</f>
        <v/>
      </c>
      <c r="AS53" s="390" t="str">
        <f>IF(AND(AS$12&gt;=$E53,AS$12&lt;=$F53,MOD(AS$12,7)&gt;1,NOT(COUNTIF(General!$U$13:$U$19,AS$12))),$I53,"")</f>
        <v/>
      </c>
      <c r="AT53" s="390" t="str">
        <f>IF(AND(AT$12&gt;=$E53,AT$12&lt;=$F53,MOD(AT$12,7)&gt;1,NOT(COUNTIF(General!$U$13:$U$19,AT$12))),$I53,"")</f>
        <v/>
      </c>
      <c r="AU53" s="390" t="str">
        <f>IF(AND(AU$12&gt;=$E53,AU$12&lt;=$F53,MOD(AU$12,7)&gt;1,NOT(COUNTIF(General!$U$13:$U$19,AU$12))),$I53,"")</f>
        <v/>
      </c>
      <c r="AV53" s="390" t="str">
        <f>IF(AND(AV$12&gt;=$E53,AV$12&lt;=$F53,MOD(AV$12,7)&gt;1,NOT(COUNTIF(General!$U$13:$U$19,AV$12))),$I53,"")</f>
        <v/>
      </c>
      <c r="AW53" s="390" t="str">
        <f>IF(AND(AW$12&gt;=$E53,AW$12&lt;=$F53,MOD(AW$12,7)&gt;1,NOT(COUNTIF(General!$U$13:$U$19,AW$12))),$I53,"")</f>
        <v/>
      </c>
      <c r="AX53" s="390" t="str">
        <f>IF(AND(AX$12&gt;=$E53,AX$12&lt;=$F53,MOD(AX$12,7)&gt;1,NOT(COUNTIF(General!$U$13:$U$19,AX$12))),$I53,"")</f>
        <v/>
      </c>
      <c r="AY53" s="390" t="str">
        <f>IF(AND(AY$12&gt;=$E53,AY$12&lt;=$F53,MOD(AY$12,7)&gt;1,NOT(COUNTIF(General!$U$13:$U$19,AY$12))),$I53,"")</f>
        <v/>
      </c>
      <c r="AZ53" s="390" t="str">
        <f>IF(AND(AZ$12&gt;=$E53,AZ$12&lt;=$F53,MOD(AZ$12,7)&gt;1,NOT(COUNTIF(General!$U$13:$U$19,AZ$12))),$I53,"")</f>
        <v/>
      </c>
      <c r="BA53" s="390" t="str">
        <f>IF(AND(BA$12&gt;=$E53,BA$12&lt;=$F53,MOD(BA$12,7)&gt;1,NOT(COUNTIF(General!$U$13:$U$19,BA$12))),$I53,"")</f>
        <v/>
      </c>
      <c r="BB53" s="390" t="str">
        <f>IF(AND(BB$12&gt;=$E53,BB$12&lt;=$F53,MOD(BB$12,7)&gt;1,NOT(COUNTIF(General!$U$13:$U$19,BB$12))),$I53,"")</f>
        <v/>
      </c>
      <c r="BC53" s="390" t="str">
        <f>IF(AND(BC$12&gt;=$E53,BC$12&lt;=$F53,MOD(BC$12,7)&gt;1,NOT(COUNTIF(General!$U$13:$U$19,BC$12))),$I53,"")</f>
        <v/>
      </c>
      <c r="BD53" s="390" t="str">
        <f>IF(AND(BD$12&gt;=$E53,BD$12&lt;=$F53,MOD(BD$12,7)&gt;1,NOT(COUNTIF(General!$U$13:$U$19,BD$12))),$I53,"")</f>
        <v/>
      </c>
      <c r="BE53" s="390" t="str">
        <f>IF(AND(BE$12&gt;=$E53,BE$12&lt;=$F53,MOD(BE$12,7)&gt;1,NOT(COUNTIF(General!$U$13:$U$19,BE$12))),$I53,"")</f>
        <v/>
      </c>
      <c r="BF53" s="390" t="str">
        <f>IF(AND(BF$12&gt;=$E53,BF$12&lt;=$F53,MOD(BF$12,7)&gt;1,NOT(COUNTIF(General!$U$13:$U$19,BF$12))),$I53,"")</f>
        <v/>
      </c>
      <c r="BG53" s="390" t="str">
        <f>IF(AND(BG$12&gt;=$E53,BG$12&lt;=$F53,MOD(BG$12,7)&gt;1,NOT(COUNTIF(General!$U$13:$U$19,BG$12))),$I53,"")</f>
        <v/>
      </c>
      <c r="BH53" s="390" t="str">
        <f>IF(AND(BH$12&gt;=$E53,BH$12&lt;=$F53,MOD(BH$12,7)&gt;1,NOT(COUNTIF(General!$U$13:$U$19,BH$12))),$I53,"")</f>
        <v/>
      </c>
      <c r="BI53" s="390" t="str">
        <f>IF(AND(BI$12&gt;=$E53,BI$12&lt;=$F53,MOD(BI$12,7)&gt;1,NOT(COUNTIF(General!$U$13:$U$19,BI$12))),$I53,"")</f>
        <v/>
      </c>
      <c r="BJ53" s="390" t="str">
        <f>IF(AND(BJ$12&gt;=$E53,BJ$12&lt;=$F53,MOD(BJ$12,7)&gt;1,NOT(COUNTIF(General!$U$13:$U$19,BJ$12))),$I53,"")</f>
        <v/>
      </c>
      <c r="BK53" s="390" t="str">
        <f>IF(AND(BK$12&gt;=$E53,BK$12&lt;=$F53,MOD(BK$12,7)&gt;1,NOT(COUNTIF(General!$U$13:$U$19,BK$12))),$I53,"")</f>
        <v/>
      </c>
      <c r="BL53" s="390" t="str">
        <f>IF(AND(BL$12&gt;=$E53,BL$12&lt;=$F53,MOD(BL$12,7)&gt;1,NOT(COUNTIF(General!$U$13:$U$19,BL$12))),$I53,"")</f>
        <v/>
      </c>
      <c r="BM53" s="390" t="str">
        <f>IF(AND(BM$12&gt;=$E53,BM$12&lt;=$F53,MOD(BM$12,7)&gt;1,NOT(COUNTIF(General!$U$13:$U$19,BM$12))),$I53,"")</f>
        <v/>
      </c>
      <c r="BN53" s="390" t="str">
        <f>IF(AND(BN$12&gt;=$E53,BN$12&lt;=$F53,MOD(BN$12,7)&gt;1,NOT(COUNTIF(General!$U$13:$U$19,BN$12))),$I53,"")</f>
        <v/>
      </c>
      <c r="BO53" s="390" t="str">
        <f>IF(AND(BO$12&gt;=$E53,BO$12&lt;=$F53,MOD(BO$12,7)&gt;1,NOT(COUNTIF(General!$U$13:$U$19,BO$12))),$I53,"")</f>
        <v/>
      </c>
      <c r="BP53" s="390" t="str">
        <f>IF(AND(BP$12&gt;=$E53,BP$12&lt;=$F53,MOD(BP$12,7)&gt;1,NOT(COUNTIF(General!$U$13:$U$19,BP$12))),$I53,"")</f>
        <v/>
      </c>
      <c r="BQ53" s="390" t="str">
        <f>IF(AND(BQ$12&gt;=$E53,BQ$12&lt;=$F53,MOD(BQ$12,7)&gt;1,NOT(COUNTIF(General!$U$13:$U$19,BQ$12))),$I53,"")</f>
        <v/>
      </c>
      <c r="BR53" s="390" t="str">
        <f>IF(AND(BR$12&gt;=$E53,BR$12&lt;=$F53,MOD(BR$12,7)&gt;1,NOT(COUNTIF(General!$U$13:$U$19,BR$12))),$I53,"")</f>
        <v/>
      </c>
      <c r="BS53" s="390" t="str">
        <f>IF(AND(BS$12&gt;=$E53,BS$12&lt;=$F53,MOD(BS$12,7)&gt;1,NOT(COUNTIF(General!$U$13:$U$19,BS$12))),$I53,"")</f>
        <v/>
      </c>
      <c r="BT53" s="390" t="str">
        <f>IF(AND(BT$12&gt;=$E53,BT$12&lt;=$F53,MOD(BT$12,7)&gt;1,NOT(COUNTIF(General!$U$13:$U$19,BT$12))),$I53,"")</f>
        <v/>
      </c>
      <c r="BU53" s="390" t="str">
        <f>IF(AND(BU$12&gt;=$E53,BU$12&lt;=$F53,MOD(BU$12,7)&gt;1,NOT(COUNTIF(General!$U$13:$U$19,BU$12))),$I53,"")</f>
        <v/>
      </c>
      <c r="BV53" s="390" t="str">
        <f>IF(AND(BV$12&gt;=$E53,BV$12&lt;=$F53,MOD(BV$12,7)&gt;1,NOT(COUNTIF(General!$U$13:$U$19,BV$12))),$I53,"")</f>
        <v/>
      </c>
      <c r="BW53" s="390" t="str">
        <f>IF(AND(BW$12&gt;=$E53,BW$12&lt;=$F53,MOD(BW$12,7)&gt;1,NOT(COUNTIF(General!$U$13:$U$19,BW$12))),$I53,"")</f>
        <v/>
      </c>
      <c r="BX53" s="390" t="str">
        <f>IF(AND(BX$12&gt;=$E53,BX$12&lt;=$F53,MOD(BX$12,7)&gt;1,NOT(COUNTIF(General!$U$13:$U$19,BX$12))),$I53,"")</f>
        <v/>
      </c>
      <c r="BY53" s="390" t="str">
        <f>IF(AND(BY$12&gt;=$E53,BY$12&lt;=$F53,MOD(BY$12,7)&gt;1,NOT(COUNTIF(General!$U$13:$U$19,BY$12))),$I53,"")</f>
        <v/>
      </c>
      <c r="BZ53" s="390" t="str">
        <f>IF(AND(BZ$12&gt;=$E53,BZ$12&lt;=$F53,MOD(BZ$12,7)&gt;1,NOT(COUNTIF(General!$U$13:$U$19,BZ$12))),$I53,"")</f>
        <v/>
      </c>
      <c r="CA53" s="390" t="str">
        <f>IF(AND(CA$12&gt;=$E53,CA$12&lt;=$F53,MOD(CA$12,7)&gt;1,NOT(COUNTIF(General!$U$13:$U$19,CA$12))),$I53,"")</f>
        <v/>
      </c>
      <c r="CB53" s="390" t="str">
        <f>IF(AND(CB$12&gt;=$E53,CB$12&lt;=$F53,MOD(CB$12,7)&gt;1,NOT(COUNTIF(General!$U$13:$U$19,CB$12))),$I53,"")</f>
        <v/>
      </c>
      <c r="CC53" s="390" t="str">
        <f>IF(AND(CC$12&gt;=$E53,CC$12&lt;=$F53,MOD(CC$12,7)&gt;1,NOT(COUNTIF(General!$U$13:$U$19,CC$12))),$I53,"")</f>
        <v/>
      </c>
      <c r="CD53" s="390" t="str">
        <f>IF(AND(CD$12&gt;=$E53,CD$12&lt;=$F53,MOD(CD$12,7)&gt;1,NOT(COUNTIF(General!$U$13:$U$19,CD$12))),$I53,"")</f>
        <v/>
      </c>
      <c r="CE53" s="390" t="str">
        <f>IF(AND(CE$12&gt;=$E53,CE$12&lt;=$F53,MOD(CE$12,7)&gt;1,NOT(COUNTIF(General!$U$13:$U$19,CE$12))),$I53,"")</f>
        <v/>
      </c>
      <c r="CF53" s="390" t="str">
        <f>IF(AND(CF$12&gt;=$E53,CF$12&lt;=$F53,MOD(CF$12,7)&gt;1,NOT(COUNTIF(General!$U$13:$U$19,CF$12))),$I53,"")</f>
        <v/>
      </c>
      <c r="CG53" s="390" t="str">
        <f>IF(AND(CG$12&gt;=$E53,CG$12&lt;=$F53,MOD(CG$12,7)&gt;1,NOT(COUNTIF(General!$U$13:$U$19,CG$12))),$I53,"")</f>
        <v/>
      </c>
      <c r="CH53" s="390" t="str">
        <f>IF(AND(CH$12&gt;=$E53,CH$12&lt;=$F53,MOD(CH$12,7)&gt;1,NOT(COUNTIF(General!$U$13:$U$19,CH$12))),$I53,"")</f>
        <v/>
      </c>
      <c r="CI53" s="390" t="str">
        <f>IF(AND(CI$12&gt;=$E53,CI$12&lt;=$F53,MOD(CI$12,7)&gt;1,NOT(COUNTIF(General!$U$13:$U$19,CI$12))),$I53,"")</f>
        <v/>
      </c>
      <c r="CJ53" s="390" t="str">
        <f>IF(AND(CJ$12&gt;=$E53,CJ$12&lt;=$F53,MOD(CJ$12,7)&gt;1,NOT(COUNTIF(General!$U$13:$U$19,CJ$12))),$I53,"")</f>
        <v/>
      </c>
      <c r="CK53" s="390" t="str">
        <f>IF(AND(CK$12&gt;=$E53,CK$12&lt;=$F53,MOD(CK$12,7)&gt;1,NOT(COUNTIF(General!$U$13:$U$19,CK$12))),$I53,"")</f>
        <v/>
      </c>
      <c r="CL53" s="390" t="str">
        <f>IF(AND(CL$12&gt;=$E53,CL$12&lt;=$F53,MOD(CL$12,7)&gt;1,NOT(COUNTIF(General!$U$13:$U$19,CL$12))),$I53,"")</f>
        <v/>
      </c>
      <c r="CM53" s="390" t="str">
        <f>IF(AND(CM$12&gt;=$E53,CM$12&lt;=$F53,MOD(CM$12,7)&gt;1,NOT(COUNTIF(General!$U$13:$U$19,CM$12))),$I53,"")</f>
        <v/>
      </c>
      <c r="CN53" s="390" t="str">
        <f>IF(AND(CN$12&gt;=$E53,CN$12&lt;=$F53,MOD(CN$12,7)&gt;1,NOT(COUNTIF(General!$U$13:$U$19,CN$12))),$I53,"")</f>
        <v/>
      </c>
      <c r="CO53" s="390" t="str">
        <f>IF(AND(CO$12&gt;=$E53,CO$12&lt;=$F53,MOD(CO$12,7)&gt;1,NOT(COUNTIF(General!$U$13:$U$19,CO$12))),$I53,"")</f>
        <v/>
      </c>
      <c r="CP53" s="390" t="str">
        <f>IF(AND(CP$12&gt;=$E53,CP$12&lt;=$F53,MOD(CP$12,7)&gt;1,NOT(COUNTIF(General!$U$13:$U$19,CP$12))),$I53,"")</f>
        <v/>
      </c>
      <c r="CQ53" s="390" t="str">
        <f>IF(AND(CQ$12&gt;=$E53,CQ$12&lt;=$F53,MOD(CQ$12,7)&gt;1,NOT(COUNTIF(General!$U$13:$U$19,CQ$12))),$I53,"")</f>
        <v/>
      </c>
      <c r="CR53" s="390" t="str">
        <f>IF(AND(CR$12&gt;=$E53,CR$12&lt;=$F53,MOD(CR$12,7)&gt;1,NOT(COUNTIF(General!$U$13:$U$19,CR$12))),$I53,"")</f>
        <v/>
      </c>
      <c r="CS53" s="390" t="str">
        <f>IF(AND(CS$12&gt;=$E53,CS$12&lt;=$F53,MOD(CS$12,7)&gt;1,NOT(COUNTIF(General!$U$13:$U$19,CS$12))),$I53,"")</f>
        <v/>
      </c>
      <c r="CT53" s="390" t="str">
        <f>IF(AND(CT$12&gt;=$E53,CT$12&lt;=$F53,MOD(CT$12,7)&gt;1,NOT(COUNTIF(General!$U$13:$U$19,CT$12))),$I53,"")</f>
        <v/>
      </c>
      <c r="CU53" s="390" t="str">
        <f>IF(AND(CU$12&gt;=$E53,CU$12&lt;=$F53,MOD(CU$12,7)&gt;1,NOT(COUNTIF(General!$U$13:$U$19,CU$12))),$I53,"")</f>
        <v/>
      </c>
      <c r="CV53" s="390" t="str">
        <f>IF(AND(CV$12&gt;=$E53,CV$12&lt;=$F53,MOD(CV$12,7)&gt;1,NOT(COUNTIF(General!$U$13:$U$19,CV$12))),$I53,"")</f>
        <v/>
      </c>
      <c r="CW53" s="390" t="str">
        <f>IF(AND(CW$12&gt;=$E53,CW$12&lt;=$F53,MOD(CW$12,7)&gt;1,NOT(COUNTIF(General!$U$13:$U$19,CW$12))),$I53,"")</f>
        <v/>
      </c>
      <c r="CX53" s="390" t="str">
        <f>IF(AND(CX$12&gt;=$E53,CX$12&lt;=$F53,MOD(CX$12,7)&gt;1,NOT(COUNTIF(General!$U$13:$U$19,CX$12))),$I53,"")</f>
        <v/>
      </c>
      <c r="CY53" s="390" t="str">
        <f>IF(AND(CY$12&gt;=$E53,CY$12&lt;=$F53,MOD(CY$12,7)&gt;1,NOT(COUNTIF(General!$U$13:$U$19,CY$12))),$I53,"")</f>
        <v/>
      </c>
      <c r="CZ53" s="390" t="str">
        <f>IF(AND(CZ$12&gt;=$E53,CZ$12&lt;=$F53,MOD(CZ$12,7)&gt;1,NOT(COUNTIF(General!$U$13:$U$19,CZ$12))),$I53,"")</f>
        <v/>
      </c>
      <c r="DA53" s="390" t="str">
        <f>IF(AND(DA$12&gt;=$E53,DA$12&lt;=$F53,MOD(DA$12,7)&gt;1,NOT(COUNTIF(General!$U$13:$U$19,DA$12))),$I53,"")</f>
        <v/>
      </c>
      <c r="DB53" s="390" t="str">
        <f>IF(AND(DB$12&gt;=$E53,DB$12&lt;=$F53,MOD(DB$12,7)&gt;1,NOT(COUNTIF(General!$U$13:$U$19,DB$12))),$I53,"")</f>
        <v/>
      </c>
      <c r="DC53" s="390" t="str">
        <f>IF(AND(DC$12&gt;=$E53,DC$12&lt;=$F53,MOD(DC$12,7)&gt;1,NOT(COUNTIF(General!$U$13:$U$19,DC$12))),$I53,"")</f>
        <v/>
      </c>
      <c r="DD53" s="390" t="str">
        <f>IF(AND(DD$12&gt;=$E53,DD$12&lt;=$F53,MOD(DD$12,7)&gt;1,NOT(COUNTIF(General!$U$13:$U$19,DD$12))),$I53,"")</f>
        <v/>
      </c>
      <c r="DE53" s="390" t="str">
        <f>IF(AND(DE$12&gt;=$E53,DE$12&lt;=$F53,MOD(DE$12,7)&gt;1,NOT(COUNTIF(General!$U$13:$U$19,DE$12))),$I53,"")</f>
        <v/>
      </c>
      <c r="DF53" s="390" t="str">
        <f>IF(AND(DF$12&gt;=$E53,DF$12&lt;=$F53,MOD(DF$12,7)&gt;1,NOT(COUNTIF(General!$U$13:$U$19,DF$12))),$I53,"")</f>
        <v/>
      </c>
      <c r="DG53" s="390" t="str">
        <f>IF(AND(DG$12&gt;=$E53,DG$12&lt;=$F53,MOD(DG$12,7)&gt;1,NOT(COUNTIF(General!$U$13:$U$19,DG$12))),$I53,"")</f>
        <v/>
      </c>
      <c r="DH53" s="390" t="str">
        <f>IF(AND(DH$12&gt;=$E53,DH$12&lt;=$F53,MOD(DH$12,7)&gt;1,NOT(COUNTIF(General!$U$13:$U$19,DH$12))),$I53,"")</f>
        <v/>
      </c>
      <c r="DI53" s="390" t="str">
        <f>IF(AND(DI$12&gt;=$E53,DI$12&lt;=$F53,MOD(DI$12,7)&gt;1,NOT(COUNTIF(General!$U$13:$U$19,DI$12))),$I53,"")</f>
        <v/>
      </c>
      <c r="DJ53" s="390" t="str">
        <f>IF(AND(DJ$12&gt;=$E53,DJ$12&lt;=$F53,MOD(DJ$12,7)&gt;1,NOT(COUNTIF(General!$U$13:$U$19,DJ$12))),$I53,"")</f>
        <v/>
      </c>
      <c r="DK53" s="390" t="str">
        <f>IF(AND(DK$12&gt;=$E53,DK$12&lt;=$F53,MOD(DK$12,7)&gt;1,NOT(COUNTIF(General!$U$13:$U$19,DK$12))),$I53,"")</f>
        <v/>
      </c>
      <c r="DL53" s="390" t="str">
        <f>IF(AND(DL$12&gt;=$E53,DL$12&lt;=$F53,MOD(DL$12,7)&gt;1,NOT(COUNTIF(General!$U$13:$U$19,DL$12))),$I53,"")</f>
        <v/>
      </c>
      <c r="DM53" s="390" t="str">
        <f>IF(AND(DM$12&gt;=$E53,DM$12&lt;=$F53,MOD(DM$12,7)&gt;1,NOT(COUNTIF(General!$U$13:$U$19,DM$12))),$I53,"")</f>
        <v/>
      </c>
      <c r="DN53" s="390" t="str">
        <f>IF(AND(DN$12&gt;=$E53,DN$12&lt;=$F53,MOD(DN$12,7)&gt;1,NOT(COUNTIF(General!$U$13:$U$19,DN$12))),$I53,"")</f>
        <v/>
      </c>
      <c r="DO53" s="390" t="str">
        <f>IF(AND(DO$12&gt;=$E53,DO$12&lt;=$F53,MOD(DO$12,7)&gt;1,NOT(COUNTIF(General!$U$13:$U$19,DO$12))),$I53,"")</f>
        <v/>
      </c>
      <c r="DP53" s="390" t="str">
        <f>IF(AND(DP$12&gt;=$E53,DP$12&lt;=$F53,MOD(DP$12,7)&gt;1,NOT(COUNTIF(General!$U$13:$U$19,DP$12))),$I53,"")</f>
        <v/>
      </c>
      <c r="DQ53" s="390" t="str">
        <f>IF(AND(DQ$12&gt;=$E53,DQ$12&lt;=$F53,MOD(DQ$12,7)&gt;1,NOT(COUNTIF(General!$U$13:$U$19,DQ$12))),$I53,"")</f>
        <v/>
      </c>
      <c r="DR53" s="390" t="str">
        <f>IF(AND(DR$12&gt;=$E53,DR$12&lt;=$F53,MOD(DR$12,7)&gt;1,NOT(COUNTIF(General!$U$13:$U$19,DR$12))),$I53,"")</f>
        <v/>
      </c>
      <c r="DS53" s="390" t="str">
        <f>IF(AND(DS$12&gt;=$E53,DS$12&lt;=$F53,MOD(DS$12,7)&gt;1,NOT(COUNTIF(General!$U$13:$U$19,DS$12))),$I53,"")</f>
        <v/>
      </c>
      <c r="DT53" s="390" t="str">
        <f>IF(AND(DT$12&gt;=$E53,DT$12&lt;=$F53,MOD(DT$12,7)&gt;1,NOT(COUNTIF(General!$U$13:$U$19,DT$12))),$I53,"")</f>
        <v/>
      </c>
      <c r="DU53" s="390" t="str">
        <f>IF(AND(DU$12&gt;=$E53,DU$12&lt;=$F53,MOD(DU$12,7)&gt;1,NOT(COUNTIF(General!$U$13:$U$19,DU$12))),$I53,"")</f>
        <v/>
      </c>
      <c r="DV53" s="390" t="str">
        <f>IF(AND(DV$12&gt;=$E53,DV$12&lt;=$F53,MOD(DV$12,7)&gt;1,NOT(COUNTIF(General!$U$13:$U$19,DV$12))),$I53,"")</f>
        <v/>
      </c>
      <c r="DW53" s="390" t="str">
        <f>IF(AND(DW$12&gt;=$E53,DW$12&lt;=$F53,MOD(DW$12,7)&gt;1,NOT(COUNTIF(General!$U$13:$U$19,DW$12))),$I53,"")</f>
        <v/>
      </c>
      <c r="DX53" s="390" t="str">
        <f>IF(AND(DX$12&gt;=$E53,DX$12&lt;=$F53,MOD(DX$12,7)&gt;1,NOT(COUNTIF(General!$U$13:$U$19,DX$12))),$I53,"")</f>
        <v/>
      </c>
      <c r="DY53" s="390" t="str">
        <f>IF(AND(DY$12&gt;=$E53,DY$12&lt;=$F53,MOD(DY$12,7)&gt;1,NOT(COUNTIF(General!$U$13:$U$19,DY$12))),$I53,"")</f>
        <v/>
      </c>
      <c r="DZ53" s="390" t="str">
        <f>IF(AND(DZ$12&gt;=$E53,DZ$12&lt;=$F53,MOD(DZ$12,7)&gt;1,NOT(COUNTIF(General!$U$13:$U$19,DZ$12))),$I53,"")</f>
        <v/>
      </c>
      <c r="EA53" s="390" t="str">
        <f>IF(AND(EA$12&gt;=$E53,EA$12&lt;=$F53,MOD(EA$12,7)&gt;1,NOT(COUNTIF(General!$U$13:$U$19,EA$12))),$I53,"")</f>
        <v/>
      </c>
      <c r="EB53" s="390" t="str">
        <f>IF(AND(EB$12&gt;=$E53,EB$12&lt;=$F53,MOD(EB$12,7)&gt;1,NOT(COUNTIF(General!$U$13:$U$19,EB$12))),$I53,"")</f>
        <v/>
      </c>
      <c r="EC53" s="390" t="str">
        <f>IF(AND(EC$12&gt;=$E53,EC$12&lt;=$F53,MOD(EC$12,7)&gt;1,NOT(COUNTIF(General!$U$13:$U$19,EC$12))),$I53,"")</f>
        <v/>
      </c>
      <c r="ED53" s="390" t="str">
        <f>IF(AND(ED$12&gt;=$E53,ED$12&lt;=$F53,MOD(ED$12,7)&gt;1,NOT(COUNTIF(General!$U$13:$U$19,ED$12))),$I53,"")</f>
        <v/>
      </c>
      <c r="EE53" s="390" t="str">
        <f>IF(AND(EE$12&gt;=$E53,EE$12&lt;=$F53,MOD(EE$12,7)&gt;1,NOT(COUNTIF(General!$U$13:$U$19,EE$12))),$I53,"")</f>
        <v/>
      </c>
      <c r="EF53" s="390" t="str">
        <f>IF(AND(EF$12&gt;=$E53,EF$12&lt;=$F53,MOD(EF$12,7)&gt;1,NOT(COUNTIF(General!$U$13:$U$19,EF$12))),$I53,"")</f>
        <v/>
      </c>
      <c r="EG53" s="390" t="str">
        <f>IF(AND(EG$12&gt;=$E53,EG$12&lt;=$F53,MOD(EG$12,7)&gt;1,NOT(COUNTIF(General!$U$13:$U$19,EG$12))),$I53,"")</f>
        <v/>
      </c>
      <c r="EH53" s="390" t="str">
        <f>IF(AND(EH$12&gt;=$E53,EH$12&lt;=$F53,MOD(EH$12,7)&gt;1,NOT(COUNTIF(General!$U$13:$U$19,EH$12))),$I53,"")</f>
        <v/>
      </c>
      <c r="EI53" s="390" t="str">
        <f>IF(AND(EI$12&gt;=$E53,EI$12&lt;=$F53,MOD(EI$12,7)&gt;1,NOT(COUNTIF(General!$U$13:$U$19,EI$12))),$I53,"")</f>
        <v/>
      </c>
      <c r="EJ53" s="390" t="str">
        <f>IF(AND(EJ$12&gt;=$E53,EJ$12&lt;=$F53,MOD(EJ$12,7)&gt;1,NOT(COUNTIF(General!$U$13:$U$19,EJ$12))),$I53,"")</f>
        <v/>
      </c>
      <c r="EK53" s="390" t="str">
        <f>IF(AND(EK$12&gt;=$E53,EK$12&lt;=$F53,MOD(EK$12,7)&gt;1,NOT(COUNTIF(General!$U$13:$U$19,EK$12))),$I53,"")</f>
        <v/>
      </c>
      <c r="EL53" s="390" t="str">
        <f>IF(AND(EL$12&gt;=$E53,EL$12&lt;=$F53,MOD(EL$12,7)&gt;1,NOT(COUNTIF(General!$U$13:$U$19,EL$12))),$I53,"")</f>
        <v/>
      </c>
      <c r="EM53" s="390" t="str">
        <f>IF(AND(EM$12&gt;=$E53,EM$12&lt;=$F53,MOD(EM$12,7)&gt;1,NOT(COUNTIF(General!$U$13:$U$19,EM$12))),$I53,"")</f>
        <v/>
      </c>
      <c r="EN53" s="390" t="str">
        <f>IF(AND(EN$12&gt;=$E53,EN$12&lt;=$F53,MOD(EN$12,7)&gt;1,NOT(COUNTIF(General!$U$13:$U$19,EN$12))),$I53,"")</f>
        <v/>
      </c>
      <c r="EO53" s="390" t="str">
        <f>IF(AND(EO$12&gt;=$E53,EO$12&lt;=$F53,MOD(EO$12,7)&gt;1,NOT(COUNTIF(General!$U$13:$U$19,EO$12))),$I53,"")</f>
        <v/>
      </c>
      <c r="EP53" s="390" t="str">
        <f>IF(AND(EP$12&gt;=$E53,EP$12&lt;=$F53,MOD(EP$12,7)&gt;1,NOT(COUNTIF(General!$U$13:$U$19,EP$12))),$I53,"")</f>
        <v/>
      </c>
      <c r="EQ53" s="390" t="str">
        <f>IF(AND(EQ$12&gt;=$E53,EQ$12&lt;=$F53,MOD(EQ$12,7)&gt;1,NOT(COUNTIF(General!$U$13:$U$19,EQ$12))),$I53,"")</f>
        <v/>
      </c>
      <c r="ER53" s="390" t="str">
        <f>IF(AND(ER$12&gt;=$E53,ER$12&lt;=$F53,MOD(ER$12,7)&gt;1,NOT(COUNTIF(General!$U$13:$U$19,ER$12))),$I53,"")</f>
        <v/>
      </c>
      <c r="ES53" s="390" t="str">
        <f>IF(AND(ES$12&gt;=$E53,ES$12&lt;=$F53,MOD(ES$12,7)&gt;1,NOT(COUNTIF(General!$U$13:$U$19,ES$12))),$I53,"")</f>
        <v/>
      </c>
      <c r="ET53" s="390" t="str">
        <f>IF(AND(ET$12&gt;=$E53,ET$12&lt;=$F53,MOD(ET$12,7)&gt;1,NOT(COUNTIF(General!$U$13:$U$19,ET$12))),$I53,"")</f>
        <v/>
      </c>
      <c r="EU53" s="390" t="str">
        <f>IF(AND(EU$12&gt;=$E53,EU$12&lt;=$F53,MOD(EU$12,7)&gt;1,NOT(COUNTIF(General!$U$13:$U$19,EU$12))),$I53,"")</f>
        <v/>
      </c>
      <c r="EV53" s="390" t="str">
        <f>IF(AND(EV$12&gt;=$E53,EV$12&lt;=$F53,MOD(EV$12,7)&gt;1,NOT(COUNTIF(General!$U$13:$U$19,EV$12))),$I53,"")</f>
        <v/>
      </c>
      <c r="EW53" s="390" t="str">
        <f>IF(AND(EW$12&gt;=$E53,EW$12&lt;=$F53,MOD(EW$12,7)&gt;1,NOT(COUNTIF(General!$U$13:$U$19,EW$12))),$I53,"")</f>
        <v/>
      </c>
      <c r="EX53" s="390" t="str">
        <f>IF(AND(EX$12&gt;=$E53,EX$12&lt;=$F53,MOD(EX$12,7)&gt;1,NOT(COUNTIF(General!$U$13:$U$19,EX$12))),$I53,"")</f>
        <v/>
      </c>
      <c r="EY53" s="390" t="str">
        <f>IF(AND(EY$12&gt;=$E53,EY$12&lt;=$F53,MOD(EY$12,7)&gt;1,NOT(COUNTIF(General!$U$13:$U$19,EY$12))),$I53,"")</f>
        <v/>
      </c>
      <c r="EZ53" s="390" t="str">
        <f>IF(AND(EZ$12&gt;=$E53,EZ$12&lt;=$F53,MOD(EZ$12,7)&gt;1,NOT(COUNTIF(General!$U$13:$U$19,EZ$12))),$I53,"")</f>
        <v/>
      </c>
      <c r="FA53" s="390" t="str">
        <f>IF(AND(FA$12&gt;=$E53,FA$12&lt;=$F53,MOD(FA$12,7)&gt;1,NOT(COUNTIF(General!$U$13:$U$19,FA$12))),$I53,"")</f>
        <v/>
      </c>
      <c r="FB53" s="390" t="str">
        <f>IF(AND(FB$12&gt;=$E53,FB$12&lt;=$F53,MOD(FB$12,7)&gt;1,NOT(COUNTIF(General!$U$13:$U$19,FB$12))),$I53,"")</f>
        <v/>
      </c>
      <c r="FC53" s="390" t="str">
        <f>IF(AND(FC$12&gt;=$E53,FC$12&lt;=$F53,MOD(FC$12,7)&gt;1,NOT(COUNTIF(General!$U$13:$U$19,FC$12))),$I53,"")</f>
        <v/>
      </c>
      <c r="FD53" s="390" t="str">
        <f>IF(AND(FD$12&gt;=$E53,FD$12&lt;=$F53,MOD(FD$12,7)&gt;1,NOT(COUNTIF(General!$U$13:$U$19,FD$12))),$I53,"")</f>
        <v/>
      </c>
      <c r="FE53" s="390" t="str">
        <f>IF(AND(FE$12&gt;=$E53,FE$12&lt;=$F53,MOD(FE$12,7)&gt;1,NOT(COUNTIF(General!$U$13:$U$19,FE$12))),$I53,"")</f>
        <v/>
      </c>
      <c r="FF53" s="390" t="str">
        <f>IF(AND(FF$12&gt;=$E53,FF$12&lt;=$F53,MOD(FF$12,7)&gt;1,NOT(COUNTIF(General!$U$13:$U$19,FF$12))),$I53,"")</f>
        <v/>
      </c>
      <c r="FG53" s="390" t="str">
        <f>IF(AND(FG$12&gt;=$E53,FG$12&lt;=$F53,MOD(FG$12,7)&gt;1,NOT(COUNTIF(General!$U$13:$U$19,FG$12))),$I53,"")</f>
        <v/>
      </c>
      <c r="FH53" s="390" t="str">
        <f>IF(AND(FH$12&gt;=$E53,FH$12&lt;=$F53,MOD(FH$12,7)&gt;1,NOT(COUNTIF(General!$U$13:$U$19,FH$12))),$I53,"")</f>
        <v/>
      </c>
      <c r="FI53" s="390" t="str">
        <f>IF(AND(FI$12&gt;=$E53,FI$12&lt;=$F53,MOD(FI$12,7)&gt;1,NOT(COUNTIF(General!$U$13:$U$19,FI$12))),$I53,"")</f>
        <v/>
      </c>
      <c r="FJ53" s="390" t="str">
        <f>IF(AND(FJ$12&gt;=$E53,FJ$12&lt;=$F53,MOD(FJ$12,7)&gt;1,NOT(COUNTIF(General!$U$13:$U$19,FJ$12))),$I53,"")</f>
        <v/>
      </c>
      <c r="FK53" s="390" t="str">
        <f>IF(AND(FK$12&gt;=$E53,FK$12&lt;=$F53,MOD(FK$12,7)&gt;1,NOT(COUNTIF(General!$U$13:$U$19,FK$12))),$I53,"")</f>
        <v/>
      </c>
      <c r="FL53" s="390" t="str">
        <f>IF(AND(FL$12&gt;=$E53,FL$12&lt;=$F53,MOD(FL$12,7)&gt;1,NOT(COUNTIF(General!$U$13:$U$19,FL$12))),$I53,"")</f>
        <v/>
      </c>
      <c r="FM53" s="390" t="str">
        <f>IF(AND(FM$12&gt;=$E53,FM$12&lt;=$F53,MOD(FM$12,7)&gt;1,NOT(COUNTIF(General!$U$13:$U$19,FM$12))),$I53,"")</f>
        <v/>
      </c>
      <c r="FN53" s="390" t="str">
        <f>IF(AND(FN$12&gt;=$E53,FN$12&lt;=$F53,MOD(FN$12,7)&gt;1,NOT(COUNTIF(General!$U$13:$U$19,FN$12))),$I53,"")</f>
        <v/>
      </c>
      <c r="FO53" s="390" t="str">
        <f>IF(AND(FO$12&gt;=$E53,FO$12&lt;=$F53,MOD(FO$12,7)&gt;1,NOT(COUNTIF(General!$U$13:$U$19,FO$12))),$I53,"")</f>
        <v/>
      </c>
      <c r="FP53" s="390" t="str">
        <f>IF(AND(FP$12&gt;=$E53,FP$12&lt;=$F53,MOD(FP$12,7)&gt;1,NOT(COUNTIF(General!$U$13:$U$19,FP$12))),$I53,"")</f>
        <v/>
      </c>
      <c r="FQ53" s="390" t="str">
        <f>IF(AND(FQ$12&gt;=$E53,FQ$12&lt;=$F53,MOD(FQ$12,7)&gt;1,NOT(COUNTIF(General!$U$13:$U$19,FQ$12))),$I53,"")</f>
        <v/>
      </c>
      <c r="FR53" s="390" t="str">
        <f>IF(AND(FR$12&gt;=$E53,FR$12&lt;=$F53,MOD(FR$12,7)&gt;1,NOT(COUNTIF(General!$U$13:$U$19,FR$12))),$I53,"")</f>
        <v/>
      </c>
      <c r="FS53" s="390" t="str">
        <f>IF(AND(FS$12&gt;=$E53,FS$12&lt;=$F53,MOD(FS$12,7)&gt;1,NOT(COUNTIF(General!$U$13:$U$19,FS$12))),$I53,"")</f>
        <v/>
      </c>
      <c r="FT53" s="390" t="str">
        <f>IF(AND(FT$12&gt;=$E53,FT$12&lt;=$F53,MOD(FT$12,7)&gt;1,NOT(COUNTIF(General!$U$13:$U$19,FT$12))),$I53,"")</f>
        <v/>
      </c>
      <c r="FU53" s="390" t="str">
        <f>IF(AND(FU$12&gt;=$E53,FU$12&lt;=$F53,MOD(FU$12,7)&gt;1,NOT(COUNTIF(General!$U$13:$U$19,FU$12))),$I53,"")</f>
        <v/>
      </c>
      <c r="FV53" s="390" t="str">
        <f>IF(AND(FV$12&gt;=$E53,FV$12&lt;=$F53,MOD(FV$12,7)&gt;1,NOT(COUNTIF(General!$U$13:$U$19,FV$12))),$I53,"")</f>
        <v/>
      </c>
      <c r="FW53" s="390" t="str">
        <f>IF(AND(FW$12&gt;=$E53,FW$12&lt;=$F53,MOD(FW$12,7)&gt;1,NOT(COUNTIF(General!$U$13:$U$19,FW$12))),$I53,"")</f>
        <v/>
      </c>
      <c r="FX53" s="390" t="str">
        <f>IF(AND(FX$12&gt;=$E53,FX$12&lt;=$F53,MOD(FX$12,7)&gt;1,NOT(COUNTIF(General!$U$13:$U$19,FX$12))),$I53,"")</f>
        <v/>
      </c>
    </row>
    <row r="54" ht="16.5" customHeight="1">
      <c r="A54" s="580"/>
      <c r="B54" s="581"/>
      <c r="C54" s="582"/>
      <c r="D54" s="622"/>
      <c r="E54" s="583"/>
      <c r="F54" s="620"/>
      <c r="G54" s="584"/>
      <c r="H54" s="585"/>
      <c r="I54" s="581">
        <v>1.0</v>
      </c>
      <c r="J54" s="587"/>
      <c r="K54" s="588"/>
      <c r="L54" s="588"/>
      <c r="M54" s="589"/>
      <c r="N54" s="590"/>
      <c r="O54" s="591"/>
      <c r="P54" s="592"/>
      <c r="Q54" s="582" t="str">
        <f>IF(AND(Q$12&gt;=$E54,Q$12&lt;=$F54,MOD(Q$12,7)&gt;1,NOT(COUNTIF(General!$U$13:$U$19,Q$12))),$I54,"")</f>
        <v/>
      </c>
      <c r="R54" s="582" t="str">
        <f>IF(AND(R$12&gt;=$E54,R$12&lt;=$F54,MOD(R$12,7)&gt;1,NOT(COUNTIF(General!$U$13:$U$19,R$12))),$I54,"")</f>
        <v/>
      </c>
      <c r="S54" s="582" t="str">
        <f>IF(AND(S$12&gt;=$E54,S$12&lt;=$F54,MOD(S$12,7)&gt;1,NOT(COUNTIF(General!$U$13:$U$19,S$12))),$I54,"")</f>
        <v/>
      </c>
      <c r="T54" s="582" t="str">
        <f>IF(AND(T$12&gt;=$E54,T$12&lt;=$F54,MOD(T$12,7)&gt;1,NOT(COUNTIF(General!$U$13:$U$19,T$12))),$I54,"")</f>
        <v/>
      </c>
      <c r="U54" s="582" t="str">
        <f>IF(AND(U$12&gt;=$E54,U$12&lt;=$F54,MOD(U$12,7)&gt;1,NOT(COUNTIF(General!$U$13:$U$19,U$12))),$I54,"")</f>
        <v/>
      </c>
      <c r="V54" s="593" t="str">
        <f>IF(AND(V$12&gt;=$E54,V$12&lt;=$F54,MOD(V$12,7)&gt;1,NOT(COUNTIF(General!$U$13:$U$19,V$12))),$I54,"")</f>
        <v/>
      </c>
      <c r="W54" s="593" t="str">
        <f>IF(AND(W$12&gt;=$E54,W$12&lt;=$F54,MOD(W$12,7)&gt;1,NOT(COUNTIF(General!$U$13:$U$19,W$12))),$I54,"")</f>
        <v/>
      </c>
      <c r="X54" s="582" t="str">
        <f>IF(AND(X$12&gt;=$E54,X$12&lt;=$F54,MOD(X$12,7)&gt;1,NOT(COUNTIF(General!$U$13:$U$19,X$12))),$I54,"")</f>
        <v/>
      </c>
      <c r="Y54" s="582" t="str">
        <f>IF(AND(Y$12&gt;=$E54,Y$12&lt;=$F54,MOD(Y$12,7)&gt;1,NOT(COUNTIF(General!$U$13:$U$19,Y$12))),$I54,"")</f>
        <v/>
      </c>
      <c r="Z54" s="582" t="str">
        <f>IF(AND(Z$12&gt;=$E54,Z$12&lt;=$F54,MOD(Z$12,7)&gt;1,NOT(COUNTIF(General!$U$13:$U$19,Z$12))),$I54,"")</f>
        <v/>
      </c>
      <c r="AA54" s="582" t="str">
        <f>IF(AND(AA$12&gt;=$E54,AA$12&lt;=$F54,MOD(AA$12,7)&gt;1,NOT(COUNTIF(General!$U$13:$U$19,AA$12))),$I54,"")</f>
        <v/>
      </c>
      <c r="AB54" s="582" t="str">
        <f>IF(AND(AB$12&gt;=$E54,AB$12&lt;=$F54,MOD(AB$12,7)&gt;1,NOT(COUNTIF(General!$U$13:$U$19,AB$12))),$I54,"")</f>
        <v/>
      </c>
      <c r="AC54" s="582" t="str">
        <f>IF(AND(AC$12&gt;=$E54,AC$12&lt;=$F54,MOD(AC$12,7)&gt;1,NOT(COUNTIF(General!$U$13:$U$19,AC$12))),$I54,"")</f>
        <v/>
      </c>
      <c r="AD54" s="582" t="str">
        <f>IF(AND(AD$12&gt;=$E54,AD$12&lt;=$F54,MOD(AD$12,7)&gt;1,NOT(COUNTIF(General!$U$13:$U$19,AD$12))),$I54,"")</f>
        <v/>
      </c>
      <c r="AE54" s="582" t="str">
        <f>IF(AND(AE$12&gt;=$E54,AE$12&lt;=$F54,MOD(AE$12,7)&gt;1,NOT(COUNTIF(General!$U$13:$U$19,AE$12))),$I54,"")</f>
        <v/>
      </c>
      <c r="AF54" s="582" t="str">
        <f>IF(AND(AF$12&gt;=$E54,AF$12&lt;=$F54,MOD(AF$12,7)&gt;1,NOT(COUNTIF(General!$U$13:$U$19,AF$12))),$I54,"")</f>
        <v/>
      </c>
      <c r="AG54" s="582" t="str">
        <f>IF(AND(AG$12&gt;=$E54,AG$12&lt;=$F54,MOD(AG$12,7)&gt;1,NOT(COUNTIF(General!$U$13:$U$19,AG$12))),$I54,"")</f>
        <v/>
      </c>
      <c r="AH54" s="582" t="str">
        <f>IF(AND(AH$12&gt;=$E54,AH$12&lt;=$F54,MOD(AH$12,7)&gt;1,NOT(COUNTIF(General!$U$13:$U$19,AH$12))),$I54,"")</f>
        <v/>
      </c>
      <c r="AI54" s="582" t="str">
        <f>IF(AND(AI$12&gt;=$E54,AI$12&lt;=$F54,MOD(AI$12,7)&gt;1,NOT(COUNTIF(General!$U$13:$U$19,AI$12))),$I54,"")</f>
        <v/>
      </c>
      <c r="AJ54" s="593" t="str">
        <f>IF(AND(AJ$12&gt;=$E54,AJ$12&lt;=$F54,MOD(AJ$12,7)&gt;1,NOT(COUNTIF(General!$U$13:$U$19,AJ$12))),$I54,"")</f>
        <v/>
      </c>
      <c r="AK54" s="593" t="str">
        <f>IF(AND(AK$12&gt;=$E54,AK$12&lt;=$F54,MOD(AK$12,7)&gt;1,NOT(COUNTIF(General!$U$13:$U$19,AK$12))),$I54,"")</f>
        <v/>
      </c>
      <c r="AL54" s="582" t="str">
        <f>IF(AND(AL$12&gt;=$E54,AL$12&lt;=$F54,MOD(AL$12,7)&gt;1,NOT(COUNTIF(General!$U$13:$U$19,AL$12))),$I54,"")</f>
        <v/>
      </c>
      <c r="AM54" s="582" t="str">
        <f>IF(AND(AM$12&gt;=$E54,AM$12&lt;=$F54,MOD(AM$12,7)&gt;1,NOT(COUNTIF(General!$U$13:$U$19,AM$12))),$I54,"")</f>
        <v/>
      </c>
      <c r="AN54" s="582" t="str">
        <f>IF(AND(AN$12&gt;=$E54,AN$12&lt;=$F54,MOD(AN$12,7)&gt;1,NOT(COUNTIF(General!$U$13:$U$19,AN$12))),$I54,"")</f>
        <v/>
      </c>
      <c r="AO54" s="582" t="str">
        <f>IF(AND(AO$12&gt;=$E54,AO$12&lt;=$F54,MOD(AO$12,7)&gt;1,NOT(COUNTIF(General!$U$13:$U$19,AO$12))),$I54,"")</f>
        <v/>
      </c>
      <c r="AP54" s="582" t="str">
        <f>IF(AND(AP$12&gt;=$E54,AP$12&lt;=$F54,MOD(AP$12,7)&gt;1,NOT(COUNTIF(General!$U$13:$U$19,AP$12))),$I54,"")</f>
        <v/>
      </c>
      <c r="AQ54" s="593" t="str">
        <f>IF(AND(AQ$12&gt;=$E54,AQ$12&lt;=$F54,MOD(AQ$12,7)&gt;1,NOT(COUNTIF(General!$U$13:$U$19,AQ$12))),$I54,"")</f>
        <v/>
      </c>
      <c r="AR54" s="593" t="str">
        <f>IF(AND(AR$12&gt;=$E54,AR$12&lt;=$F54,MOD(AR$12,7)&gt;1,NOT(COUNTIF(General!$U$13:$U$19,AR$12))),$I54,"")</f>
        <v/>
      </c>
      <c r="AS54" s="582" t="str">
        <f>IF(AND(AS$12&gt;=$E54,AS$12&lt;=$F54,MOD(AS$12,7)&gt;1,NOT(COUNTIF(General!$U$13:$U$19,AS$12))),$I54,"")</f>
        <v/>
      </c>
      <c r="AT54" s="582" t="str">
        <f>IF(AND(AT$12&gt;=$E54,AT$12&lt;=$F54,MOD(AT$12,7)&gt;1,NOT(COUNTIF(General!$U$13:$U$19,AT$12))),$I54,"")</f>
        <v/>
      </c>
      <c r="AU54" s="582" t="str">
        <f>IF(AND(AU$12&gt;=$E54,AU$12&lt;=$F54,MOD(AU$12,7)&gt;1,NOT(COUNTIF(General!$U$13:$U$19,AU$12))),$I54,"")</f>
        <v/>
      </c>
      <c r="AV54" s="582" t="str">
        <f>IF(AND(AV$12&gt;=$E54,AV$12&lt;=$F54,MOD(AV$12,7)&gt;1,NOT(COUNTIF(General!$U$13:$U$19,AV$12))),$I54,"")</f>
        <v/>
      </c>
      <c r="AW54" s="582" t="str">
        <f>IF(AND(AW$12&gt;=$E54,AW$12&lt;=$F54,MOD(AW$12,7)&gt;1,NOT(COUNTIF(General!$U$13:$U$19,AW$12))),$I54,"")</f>
        <v/>
      </c>
      <c r="AX54" s="593" t="str">
        <f>IF(AND(AX$12&gt;=$E54,AX$12&lt;=$F54,MOD(AX$12,7)&gt;1,NOT(COUNTIF(General!$U$13:$U$19,AX$12))),$I54,"")</f>
        <v/>
      </c>
      <c r="AY54" s="593" t="str">
        <f>IF(AND(AY$12&gt;=$E54,AY$12&lt;=$F54,MOD(AY$12,7)&gt;1,NOT(COUNTIF(General!$U$13:$U$19,AY$12))),$I54,"")</f>
        <v/>
      </c>
      <c r="AZ54" s="582" t="str">
        <f>IF(AND(AZ$12&gt;=$E54,AZ$12&lt;=$F54,MOD(AZ$12,7)&gt;1,NOT(COUNTIF(General!$U$13:$U$19,AZ$12))),$I54,"")</f>
        <v/>
      </c>
      <c r="BA54" s="582" t="str">
        <f>IF(AND(BA$12&gt;=$E54,BA$12&lt;=$F54,MOD(BA$12,7)&gt;1,NOT(COUNTIF(General!$U$13:$U$19,BA$12))),$I54,"")</f>
        <v/>
      </c>
      <c r="BB54" s="582" t="str">
        <f>IF(AND(BB$12&gt;=$E54,BB$12&lt;=$F54,MOD(BB$12,7)&gt;1,NOT(COUNTIF(General!$U$13:$U$19,BB$12))),$I54,"")</f>
        <v/>
      </c>
      <c r="BC54" s="582" t="str">
        <f>IF(AND(BC$12&gt;=$E54,BC$12&lt;=$F54,MOD(BC$12,7)&gt;1,NOT(COUNTIF(General!$U$13:$U$19,BC$12))),$I54,"")</f>
        <v/>
      </c>
      <c r="BD54" s="582" t="str">
        <f>IF(AND(BD$12&gt;=$E54,BD$12&lt;=$F54,MOD(BD$12,7)&gt;1,NOT(COUNTIF(General!$U$13:$U$19,BD$12))),$I54,"")</f>
        <v/>
      </c>
      <c r="BE54" s="593" t="str">
        <f>IF(AND(BE$12&gt;=$E54,BE$12&lt;=$F54,MOD(BE$12,7)&gt;1,NOT(COUNTIF(General!$U$13:$U$19,BE$12))),$I54,"")</f>
        <v/>
      </c>
      <c r="BF54" s="593" t="str">
        <f>IF(AND(BF$12&gt;=$E54,BF$12&lt;=$F54,MOD(BF$12,7)&gt;1,NOT(COUNTIF(General!$U$13:$U$19,BF$12))),$I54,"")</f>
        <v/>
      </c>
      <c r="BG54" s="582" t="str">
        <f>IF(AND(BG$12&gt;=$E54,BG$12&lt;=$F54,MOD(BG$12,7)&gt;1,NOT(COUNTIF(General!$U$13:$U$19,BG$12))),$I54,"")</f>
        <v/>
      </c>
      <c r="BH54" s="582" t="str">
        <f>IF(AND(BH$12&gt;=$E54,BH$12&lt;=$F54,MOD(BH$12,7)&gt;1,NOT(COUNTIF(General!$U$13:$U$19,BH$12))),$I54,"")</f>
        <v/>
      </c>
      <c r="BI54" s="582" t="str">
        <f>IF(AND(BI$12&gt;=$E54,BI$12&lt;=$F54,MOD(BI$12,7)&gt;1,NOT(COUNTIF(General!$U$13:$U$19,BI$12))),$I54,"")</f>
        <v/>
      </c>
      <c r="BJ54" s="582" t="str">
        <f>IF(AND(BJ$12&gt;=$E54,BJ$12&lt;=$F54,MOD(BJ$12,7)&gt;1,NOT(COUNTIF(General!$U$13:$U$19,BJ$12))),$I54,"")</f>
        <v/>
      </c>
      <c r="BK54" s="582" t="str">
        <f>IF(AND(BK$12&gt;=$E54,BK$12&lt;=$F54,MOD(BK$12,7)&gt;1,NOT(COUNTIF(General!$U$13:$U$19,BK$12))),$I54,"")</f>
        <v/>
      </c>
      <c r="BL54" s="593" t="str">
        <f>IF(AND(BL$12&gt;=$E54,BL$12&lt;=$F54,MOD(BL$12,7)&gt;1,NOT(COUNTIF(General!$U$13:$U$19,BL$12))),$I54,"")</f>
        <v/>
      </c>
      <c r="BM54" s="593" t="str">
        <f>IF(AND(BM$12&gt;=$E54,BM$12&lt;=$F54,MOD(BM$12,7)&gt;1,NOT(COUNTIF(General!$U$13:$U$19,BM$12))),$I54,"")</f>
        <v/>
      </c>
      <c r="BN54" s="582" t="str">
        <f>IF(AND(BN$12&gt;=$E54,BN$12&lt;=$F54,MOD(BN$12,7)&gt;1,NOT(COUNTIF(General!$U$13:$U$19,BN$12))),$I54,"")</f>
        <v/>
      </c>
      <c r="BO54" s="582" t="str">
        <f>IF(AND(BO$12&gt;=$E54,BO$12&lt;=$F54,MOD(BO$12,7)&gt;1,NOT(COUNTIF(General!$U$13:$U$19,BO$12))),$I54,"")</f>
        <v/>
      </c>
      <c r="BP54" s="582" t="str">
        <f>IF(AND(BP$12&gt;=$E54,BP$12&lt;=$F54,MOD(BP$12,7)&gt;1,NOT(COUNTIF(General!$U$13:$U$19,BP$12))),$I54,"")</f>
        <v/>
      </c>
      <c r="BQ54" s="582" t="str">
        <f>IF(AND(BQ$12&gt;=$E54,BQ$12&lt;=$F54,MOD(BQ$12,7)&gt;1,NOT(COUNTIF(General!$U$13:$U$19,BQ$12))),$I54,"")</f>
        <v/>
      </c>
      <c r="BR54" s="582" t="str">
        <f>IF(AND(BR$12&gt;=$E54,BR$12&lt;=$F54,MOD(BR$12,7)&gt;1,NOT(COUNTIF(General!$U$13:$U$19,BR$12))),$I54,"")</f>
        <v/>
      </c>
      <c r="BS54" s="593" t="str">
        <f>IF(AND(BS$12&gt;=$E54,BS$12&lt;=$F54,MOD(BS$12,7)&gt;1,NOT(COUNTIF(General!$U$13:$U$19,BS$12))),$I54,"")</f>
        <v/>
      </c>
      <c r="BT54" s="593" t="str">
        <f>IF(AND(BT$12&gt;=$E54,BT$12&lt;=$F54,MOD(BT$12,7)&gt;1,NOT(COUNTIF(General!$U$13:$U$19,BT$12))),$I54,"")</f>
        <v/>
      </c>
      <c r="BU54" s="582" t="str">
        <f>IF(AND(BU$12&gt;=$E54,BU$12&lt;=$F54,MOD(BU$12,7)&gt;1,NOT(COUNTIF(General!$U$13:$U$19,BU$12))),$I54,"")</f>
        <v/>
      </c>
      <c r="BV54" s="582" t="str">
        <f>IF(AND(BV$12&gt;=$E54,BV$12&lt;=$F54,MOD(BV$12,7)&gt;1,NOT(COUNTIF(General!$U$13:$U$19,BV$12))),$I54,"")</f>
        <v/>
      </c>
      <c r="BW54" s="582" t="str">
        <f>IF(AND(BW$12&gt;=$E54,BW$12&lt;=$F54,MOD(BW$12,7)&gt;1,NOT(COUNTIF(General!$U$13:$U$19,BW$12))),$I54,"")</f>
        <v/>
      </c>
      <c r="BX54" s="582" t="str">
        <f>IF(AND(BX$12&gt;=$E54,BX$12&lt;=$F54,MOD(BX$12,7)&gt;1,NOT(COUNTIF(General!$U$13:$U$19,BX$12))),$I54,"")</f>
        <v/>
      </c>
      <c r="BY54" s="582" t="str">
        <f>IF(AND(BY$12&gt;=$E54,BY$12&lt;=$F54,MOD(BY$12,7)&gt;1,NOT(COUNTIF(General!$U$13:$U$19,BY$12))),$I54,"")</f>
        <v/>
      </c>
      <c r="BZ54" s="593" t="str">
        <f>IF(AND(BZ$12&gt;=$E54,BZ$12&lt;=$F54,MOD(BZ$12,7)&gt;1,NOT(COUNTIF(General!$U$13:$U$19,BZ$12))),$I54,"")</f>
        <v/>
      </c>
      <c r="CA54" s="593" t="str">
        <f>IF(AND(CA$12&gt;=$E54,CA$12&lt;=$F54,MOD(CA$12,7)&gt;1,NOT(COUNTIF(General!$U$13:$U$19,CA$12))),$I54,"")</f>
        <v/>
      </c>
      <c r="CB54" s="582" t="str">
        <f>IF(AND(CB$12&gt;=$E54,CB$12&lt;=$F54,MOD(CB$12,7)&gt;1,NOT(COUNTIF(General!$U$13:$U$19,CB$12))),$I54,"")</f>
        <v/>
      </c>
      <c r="CC54" s="582" t="str">
        <f>IF(AND(CC$12&gt;=$E54,CC$12&lt;=$F54,MOD(CC$12,7)&gt;1,NOT(COUNTIF(General!$U$13:$U$19,CC$12))),$I54,"")</f>
        <v/>
      </c>
      <c r="CD54" s="582" t="str">
        <f>IF(AND(CD$12&gt;=$E54,CD$12&lt;=$F54,MOD(CD$12,7)&gt;1,NOT(COUNTIF(General!$U$13:$U$19,CD$12))),$I54,"")</f>
        <v/>
      </c>
      <c r="CE54" s="582" t="str">
        <f>IF(AND(CE$12&gt;=$E54,CE$12&lt;=$F54,MOD(CE$12,7)&gt;1,NOT(COUNTIF(General!$U$13:$U$19,CE$12))),$I54,"")</f>
        <v/>
      </c>
      <c r="CF54" s="582" t="str">
        <f>IF(AND(CF$12&gt;=$E54,CF$12&lt;=$F54,MOD(CF$12,7)&gt;1,NOT(COUNTIF(General!$U$13:$U$19,CF$12))),$I54,"")</f>
        <v/>
      </c>
      <c r="CG54" s="593" t="str">
        <f>IF(AND(CG$12&gt;=$E54,CG$12&lt;=$F54,MOD(CG$12,7)&gt;1,NOT(COUNTIF(General!$U$13:$U$19,CG$12))),$I54,"")</f>
        <v/>
      </c>
      <c r="CH54" s="593" t="str">
        <f>IF(AND(CH$12&gt;=$E54,CH$12&lt;=$F54,MOD(CH$12,7)&gt;1,NOT(COUNTIF(General!$U$13:$U$19,CH$12))),$I54,"")</f>
        <v/>
      </c>
      <c r="CI54" s="582" t="str">
        <f>IF(AND(CI$12&gt;=$E54,CI$12&lt;=$F54,MOD(CI$12,7)&gt;1,NOT(COUNTIF(General!$U$13:$U$19,CI$12))),$I54,"")</f>
        <v/>
      </c>
      <c r="CJ54" s="582" t="str">
        <f>IF(AND(CJ$12&gt;=$E54,CJ$12&lt;=$F54,MOD(CJ$12,7)&gt;1,NOT(COUNTIF(General!$U$13:$U$19,CJ$12))),$I54,"")</f>
        <v/>
      </c>
      <c r="CK54" s="582" t="str">
        <f>IF(AND(CK$12&gt;=$E54,CK$12&lt;=$F54,MOD(CK$12,7)&gt;1,NOT(COUNTIF(General!$U$13:$U$19,CK$12))),$I54,"")</f>
        <v/>
      </c>
      <c r="CL54" s="582" t="str">
        <f>IF(AND(CL$12&gt;=$E54,CL$12&lt;=$F54,MOD(CL$12,7)&gt;1,NOT(COUNTIF(General!$U$13:$U$19,CL$12))),$I54,"")</f>
        <v/>
      </c>
      <c r="CM54" s="582" t="str">
        <f>IF(AND(CM$12&gt;=$E54,CM$12&lt;=$F54,MOD(CM$12,7)&gt;1,NOT(COUNTIF(General!$U$13:$U$19,CM$12))),$I54,"")</f>
        <v/>
      </c>
      <c r="CN54" s="593" t="str">
        <f>IF(AND(CN$12&gt;=$E54,CN$12&lt;=$F54,MOD(CN$12,7)&gt;1,NOT(COUNTIF(General!$U$13:$U$19,CN$12))),$I54,"")</f>
        <v/>
      </c>
      <c r="CO54" s="593" t="str">
        <f>IF(AND(CO$12&gt;=$E54,CO$12&lt;=$F54,MOD(CO$12,7)&gt;1,NOT(COUNTIF(General!$U$13:$U$19,CO$12))),$I54,"")</f>
        <v/>
      </c>
      <c r="CP54" s="582" t="str">
        <f>IF(AND(CP$12&gt;=$E54,CP$12&lt;=$F54,MOD(CP$12,7)&gt;1,NOT(COUNTIF(General!$U$13:$U$19,CP$12))),$I54,"")</f>
        <v/>
      </c>
      <c r="CQ54" s="582" t="str">
        <f>IF(AND(CQ$12&gt;=$E54,CQ$12&lt;=$F54,MOD(CQ$12,7)&gt;1,NOT(COUNTIF(General!$U$13:$U$19,CQ$12))),$I54,"")</f>
        <v/>
      </c>
      <c r="CR54" s="582" t="str">
        <f>IF(AND(CR$12&gt;=$E54,CR$12&lt;=$F54,MOD(CR$12,7)&gt;1,NOT(COUNTIF(General!$U$13:$U$19,CR$12))),$I54,"")</f>
        <v/>
      </c>
      <c r="CS54" s="582" t="str">
        <f>IF(AND(CS$12&gt;=$E54,CS$12&lt;=$F54,MOD(CS$12,7)&gt;1,NOT(COUNTIF(General!$U$13:$U$19,CS$12))),$I54,"")</f>
        <v/>
      </c>
      <c r="CT54" s="582" t="str">
        <f>IF(AND(CT$12&gt;=$E54,CT$12&lt;=$F54,MOD(CT$12,7)&gt;1,NOT(COUNTIF(General!$U$13:$U$19,CT$12))),$I54,"")</f>
        <v/>
      </c>
      <c r="CU54" s="593" t="str">
        <f>IF(AND(CU$12&gt;=$E54,CU$12&lt;=$F54,MOD(CU$12,7)&gt;1,NOT(COUNTIF(General!$U$13:$U$19,CU$12))),$I54,"")</f>
        <v/>
      </c>
      <c r="CV54" s="593" t="str">
        <f>IF(AND(CV$12&gt;=$E54,CV$12&lt;=$F54,MOD(CV$12,7)&gt;1,NOT(COUNTIF(General!$U$13:$U$19,CV$12))),$I54,"")</f>
        <v/>
      </c>
      <c r="CW54" s="582" t="str">
        <f>IF(AND(CW$12&gt;=$E54,CW$12&lt;=$F54,MOD(CW$12,7)&gt;1,NOT(COUNTIF(General!$U$13:$U$19,CW$12))),$I54,"")</f>
        <v/>
      </c>
      <c r="CX54" s="582" t="str">
        <f>IF(AND(CX$12&gt;=$E54,CX$12&lt;=$F54,MOD(CX$12,7)&gt;1,NOT(COUNTIF(General!$U$13:$U$19,CX$12))),$I54,"")</f>
        <v/>
      </c>
      <c r="CY54" s="582" t="str">
        <f>IF(AND(CY$12&gt;=$E54,CY$12&lt;=$F54,MOD(CY$12,7)&gt;1,NOT(COUNTIF(General!$U$13:$U$19,CY$12))),$I54,"")</f>
        <v/>
      </c>
      <c r="CZ54" s="582" t="str">
        <f>IF(AND(CZ$12&gt;=$E54,CZ$12&lt;=$F54,MOD(CZ$12,7)&gt;1,NOT(COUNTIF(General!$U$13:$U$19,CZ$12))),$I54,"")</f>
        <v/>
      </c>
      <c r="DA54" s="582" t="str">
        <f>IF(AND(DA$12&gt;=$E54,DA$12&lt;=$F54,MOD(DA$12,7)&gt;1,NOT(COUNTIF(General!$U$13:$U$19,DA$12))),$I54,"")</f>
        <v/>
      </c>
      <c r="DB54" s="593" t="str">
        <f>IF(AND(DB$12&gt;=$E54,DB$12&lt;=$F54,MOD(DB$12,7)&gt;1,NOT(COUNTIF(General!$U$13:$U$19,DB$12))),$I54,"")</f>
        <v/>
      </c>
      <c r="DC54" s="593" t="str">
        <f>IF(AND(DC$12&gt;=$E54,DC$12&lt;=$F54,MOD(DC$12,7)&gt;1,NOT(COUNTIF(General!$U$13:$U$19,DC$12))),$I54,"")</f>
        <v/>
      </c>
      <c r="DD54" s="582" t="str">
        <f>IF(AND(DD$12&gt;=$E54,DD$12&lt;=$F54,MOD(DD$12,7)&gt;1,NOT(COUNTIF(General!$U$13:$U$19,DD$12))),$I54,"")</f>
        <v/>
      </c>
      <c r="DE54" s="582" t="str">
        <f>IF(AND(DE$12&gt;=$E54,DE$12&lt;=$F54,MOD(DE$12,7)&gt;1,NOT(COUNTIF(General!$U$13:$U$19,DE$12))),$I54,"")</f>
        <v/>
      </c>
      <c r="DF54" s="582" t="str">
        <f>IF(AND(DF$12&gt;=$E54,DF$12&lt;=$F54,MOD(DF$12,7)&gt;1,NOT(COUNTIF(General!$U$13:$U$19,DF$12))),$I54,"")</f>
        <v/>
      </c>
      <c r="DG54" s="582" t="str">
        <f>IF(AND(DG$12&gt;=$E54,DG$12&lt;=$F54,MOD(DG$12,7)&gt;1,NOT(COUNTIF(General!$U$13:$U$19,DG$12))),$I54,"")</f>
        <v/>
      </c>
      <c r="DH54" s="582" t="str">
        <f>IF(AND(DH$12&gt;=$E54,DH$12&lt;=$F54,MOD(DH$12,7)&gt;1,NOT(COUNTIF(General!$U$13:$U$19,DH$12))),$I54,"")</f>
        <v/>
      </c>
      <c r="DI54" s="593" t="str">
        <f>IF(AND(DI$12&gt;=$E54,DI$12&lt;=$F54,MOD(DI$12,7)&gt;1,NOT(COUNTIF(General!$U$13:$U$19,DI$12))),$I54,"")</f>
        <v/>
      </c>
      <c r="DJ54" s="593" t="str">
        <f>IF(AND(DJ$12&gt;=$E54,DJ$12&lt;=$F54,MOD(DJ$12,7)&gt;1,NOT(COUNTIF(General!$U$13:$U$19,DJ$12))),$I54,"")</f>
        <v/>
      </c>
      <c r="DK54" s="582" t="str">
        <f>IF(AND(DK$12&gt;=$E54,DK$12&lt;=$F54,MOD(DK$12,7)&gt;1,NOT(COUNTIF(General!$U$13:$U$19,DK$12))),$I54,"")</f>
        <v/>
      </c>
      <c r="DL54" s="582" t="str">
        <f>IF(AND(DL$12&gt;=$E54,DL$12&lt;=$F54,MOD(DL$12,7)&gt;1,NOT(COUNTIF(General!$U$13:$U$19,DL$12))),$I54,"")</f>
        <v/>
      </c>
      <c r="DM54" s="582" t="str">
        <f>IF(AND(DM$12&gt;=$E54,DM$12&lt;=$F54,MOD(DM$12,7)&gt;1,NOT(COUNTIF(General!$U$13:$U$19,DM$12))),$I54,"")</f>
        <v/>
      </c>
      <c r="DN54" s="582" t="str">
        <f>IF(AND(DN$12&gt;=$E54,DN$12&lt;=$F54,MOD(DN$12,7)&gt;1,NOT(COUNTIF(General!$U$13:$U$19,DN$12))),$I54,"")</f>
        <v/>
      </c>
      <c r="DO54" s="582" t="str">
        <f>IF(AND(DO$12&gt;=$E54,DO$12&lt;=$F54,MOD(DO$12,7)&gt;1,NOT(COUNTIF(General!$U$13:$U$19,DO$12))),$I54,"")</f>
        <v/>
      </c>
      <c r="DP54" s="593" t="str">
        <f>IF(AND(DP$12&gt;=$E54,DP$12&lt;=$F54,MOD(DP$12,7)&gt;1,NOT(COUNTIF(General!$U$13:$U$19,DP$12))),$I54,"")</f>
        <v/>
      </c>
      <c r="DQ54" s="593" t="str">
        <f>IF(AND(DQ$12&gt;=$E54,DQ$12&lt;=$F54,MOD(DQ$12,7)&gt;1,NOT(COUNTIF(General!$U$13:$U$19,DQ$12))),$I54,"")</f>
        <v/>
      </c>
      <c r="DR54" s="582" t="str">
        <f>IF(AND(DR$12&gt;=$E54,DR$12&lt;=$F54,MOD(DR$12,7)&gt;1,NOT(COUNTIF(General!$U$13:$U$19,DR$12))),$I54,"")</f>
        <v/>
      </c>
      <c r="DS54" s="582" t="str">
        <f>IF(AND(DS$12&gt;=$E54,DS$12&lt;=$F54,MOD(DS$12,7)&gt;1,NOT(COUNTIF(General!$U$13:$U$19,DS$12))),$I54,"")</f>
        <v/>
      </c>
      <c r="DT54" s="582" t="str">
        <f>IF(AND(DT$12&gt;=$E54,DT$12&lt;=$F54,MOD(DT$12,7)&gt;1,NOT(COUNTIF(General!$U$13:$U$19,DT$12))),$I54,"")</f>
        <v/>
      </c>
      <c r="DU54" s="582" t="str">
        <f>IF(AND(DU$12&gt;=$E54,DU$12&lt;=$F54,MOD(DU$12,7)&gt;1,NOT(COUNTIF(General!$U$13:$U$19,DU$12))),$I54,"")</f>
        <v/>
      </c>
      <c r="DV54" s="582" t="str">
        <f>IF(AND(DV$12&gt;=$E54,DV$12&lt;=$F54,MOD(DV$12,7)&gt;1,NOT(COUNTIF(General!$U$13:$U$19,DV$12))),$I54,"")</f>
        <v/>
      </c>
      <c r="DW54" s="593" t="str">
        <f>IF(AND(DW$12&gt;=$E54,DW$12&lt;=$F54,MOD(DW$12,7)&gt;1,NOT(COUNTIF(General!$U$13:$U$19,DW$12))),$I54,"")</f>
        <v/>
      </c>
      <c r="DX54" s="593" t="str">
        <f>IF(AND(DX$12&gt;=$E54,DX$12&lt;=$F54,MOD(DX$12,7)&gt;1,NOT(COUNTIF(General!$U$13:$U$19,DX$12))),$I54,"")</f>
        <v/>
      </c>
      <c r="DY54" s="582" t="str">
        <f>IF(AND(DY$12&gt;=$E54,DY$12&lt;=$F54,MOD(DY$12,7)&gt;1,NOT(COUNTIF(General!$U$13:$U$19,DY$12))),$I54,"")</f>
        <v/>
      </c>
      <c r="DZ54" s="582" t="str">
        <f>IF(AND(DZ$12&gt;=$E54,DZ$12&lt;=$F54,MOD(DZ$12,7)&gt;1,NOT(COUNTIF(General!$U$13:$U$19,DZ$12))),$I54,"")</f>
        <v/>
      </c>
      <c r="EA54" s="582" t="str">
        <f>IF(AND(EA$12&gt;=$E54,EA$12&lt;=$F54,MOD(EA$12,7)&gt;1,NOT(COUNTIF(General!$U$13:$U$19,EA$12))),$I54,"")</f>
        <v/>
      </c>
      <c r="EB54" s="582" t="str">
        <f>IF(AND(EB$12&gt;=$E54,EB$12&lt;=$F54,MOD(EB$12,7)&gt;1,NOT(COUNTIF(General!$U$13:$U$19,EB$12))),$I54,"")</f>
        <v/>
      </c>
      <c r="EC54" s="582" t="str">
        <f>IF(AND(EC$12&gt;=$E54,EC$12&lt;=$F54,MOD(EC$12,7)&gt;1,NOT(COUNTIF(General!$U$13:$U$19,EC$12))),$I54,"")</f>
        <v/>
      </c>
      <c r="ED54" s="593" t="str">
        <f>IF(AND(ED$12&gt;=$E54,ED$12&lt;=$F54,MOD(ED$12,7)&gt;1,NOT(COUNTIF(General!$U$13:$U$19,ED$12))),$I54,"")</f>
        <v/>
      </c>
      <c r="EE54" s="593" t="str">
        <f>IF(AND(EE$12&gt;=$E54,EE$12&lt;=$F54,MOD(EE$12,7)&gt;1,NOT(COUNTIF(General!$U$13:$U$19,EE$12))),$I54,"")</f>
        <v/>
      </c>
      <c r="EF54" s="582" t="str">
        <f>IF(AND(EF$12&gt;=$E54,EF$12&lt;=$F54,MOD(EF$12,7)&gt;1,NOT(COUNTIF(General!$U$13:$U$19,EF$12))),$I54,"")</f>
        <v/>
      </c>
      <c r="EG54" s="582" t="str">
        <f>IF(AND(EG$12&gt;=$E54,EG$12&lt;=$F54,MOD(EG$12,7)&gt;1,NOT(COUNTIF(General!$U$13:$U$19,EG$12))),$I54,"")</f>
        <v/>
      </c>
      <c r="EH54" s="582" t="str">
        <f>IF(AND(EH$12&gt;=$E54,EH$12&lt;=$F54,MOD(EH$12,7)&gt;1,NOT(COUNTIF(General!$U$13:$U$19,EH$12))),$I54,"")</f>
        <v/>
      </c>
      <c r="EI54" s="582" t="str">
        <f>IF(AND(EI$12&gt;=$E54,EI$12&lt;=$F54,MOD(EI$12,7)&gt;1,NOT(COUNTIF(General!$U$13:$U$19,EI$12))),$I54,"")</f>
        <v/>
      </c>
      <c r="EJ54" s="582" t="str">
        <f>IF(AND(EJ$12&gt;=$E54,EJ$12&lt;=$F54,MOD(EJ$12,7)&gt;1,NOT(COUNTIF(General!$U$13:$U$19,EJ$12))),$I54,"")</f>
        <v/>
      </c>
      <c r="EK54" s="593" t="str">
        <f>IF(AND(EK$12&gt;=$E54,EK$12&lt;=$F54,MOD(EK$12,7)&gt;1,NOT(COUNTIF(General!$U$13:$U$19,EK$12))),$I54,"")</f>
        <v/>
      </c>
      <c r="EL54" s="593" t="str">
        <f>IF(AND(EL$12&gt;=$E54,EL$12&lt;=$F54,MOD(EL$12,7)&gt;1,NOT(COUNTIF(General!$U$13:$U$19,EL$12))),$I54,"")</f>
        <v/>
      </c>
      <c r="EM54" s="582" t="str">
        <f>IF(AND(EM$12&gt;=$E54,EM$12&lt;=$F54,MOD(EM$12,7)&gt;1,NOT(COUNTIF(General!$U$13:$U$19,EM$12))),$I54,"")</f>
        <v/>
      </c>
      <c r="EN54" s="582" t="str">
        <f>IF(AND(EN$12&gt;=$E54,EN$12&lt;=$F54,MOD(EN$12,7)&gt;1,NOT(COUNTIF(General!$U$13:$U$19,EN$12))),$I54,"")</f>
        <v/>
      </c>
      <c r="EO54" s="582" t="str">
        <f>IF(AND(EO$12&gt;=$E54,EO$12&lt;=$F54,MOD(EO$12,7)&gt;1,NOT(COUNTIF(General!$U$13:$U$19,EO$12))),$I54,"")</f>
        <v/>
      </c>
      <c r="EP54" s="582" t="str">
        <f>IF(AND(EP$12&gt;=$E54,EP$12&lt;=$F54,MOD(EP$12,7)&gt;1,NOT(COUNTIF(General!$U$13:$U$19,EP$12))),$I54,"")</f>
        <v/>
      </c>
      <c r="EQ54" s="582" t="str">
        <f>IF(AND(EQ$12&gt;=$E54,EQ$12&lt;=$F54,MOD(EQ$12,7)&gt;1,NOT(COUNTIF(General!$U$13:$U$19,EQ$12))),$I54,"")</f>
        <v/>
      </c>
      <c r="ER54" s="593" t="str">
        <f>IF(AND(ER$12&gt;=$E54,ER$12&lt;=$F54,MOD(ER$12,7)&gt;1,NOT(COUNTIF(General!$U$13:$U$19,ER$12))),$I54,"")</f>
        <v/>
      </c>
      <c r="ES54" s="593" t="str">
        <f>IF(AND(ES$12&gt;=$E54,ES$12&lt;=$F54,MOD(ES$12,7)&gt;1,NOT(COUNTIF(General!$U$13:$U$19,ES$12))),$I54,"")</f>
        <v/>
      </c>
      <c r="ET54" s="582" t="str">
        <f>IF(AND(ET$12&gt;=$E54,ET$12&lt;=$F54,MOD(ET$12,7)&gt;1,NOT(COUNTIF(General!$U$13:$U$19,ET$12))),$I54,"")</f>
        <v/>
      </c>
      <c r="EU54" s="582" t="str">
        <f>IF(AND(EU$12&gt;=$E54,EU$12&lt;=$F54,MOD(EU$12,7)&gt;1,NOT(COUNTIF(General!$U$13:$U$19,EU$12))),$I54,"")</f>
        <v/>
      </c>
      <c r="EV54" s="582" t="str">
        <f>IF(AND(EV$12&gt;=$E54,EV$12&lt;=$F54,MOD(EV$12,7)&gt;1,NOT(COUNTIF(General!$U$13:$U$19,EV$12))),$I54,"")</f>
        <v/>
      </c>
      <c r="EW54" s="582" t="str">
        <f>IF(AND(EW$12&gt;=$E54,EW$12&lt;=$F54,MOD(EW$12,7)&gt;1,NOT(COUNTIF(General!$U$13:$U$19,EW$12))),$I54,"")</f>
        <v/>
      </c>
      <c r="EX54" s="582" t="str">
        <f>IF(AND(EX$12&gt;=$E54,EX$12&lt;=$F54,MOD(EX$12,7)&gt;1,NOT(COUNTIF(General!$U$13:$U$19,EX$12))),$I54,"")</f>
        <v/>
      </c>
      <c r="EY54" s="593" t="str">
        <f>IF(AND(EY$12&gt;=$E54,EY$12&lt;=$F54,MOD(EY$12,7)&gt;1,NOT(COUNTIF(General!$U$13:$U$19,EY$12))),$I54,"")</f>
        <v/>
      </c>
      <c r="EZ54" s="593" t="str">
        <f>IF(AND(EZ$12&gt;=$E54,EZ$12&lt;=$F54,MOD(EZ$12,7)&gt;1,NOT(COUNTIF(General!$U$13:$U$19,EZ$12))),$I54,"")</f>
        <v/>
      </c>
      <c r="FA54" s="582" t="str">
        <f>IF(AND(FA$12&gt;=$E54,FA$12&lt;=$F54,MOD(FA$12,7)&gt;1,NOT(COUNTIF(General!$U$13:$U$19,FA$12))),$I54,"")</f>
        <v/>
      </c>
      <c r="FB54" s="582" t="str">
        <f>IF(AND(FB$12&gt;=$E54,FB$12&lt;=$F54,MOD(FB$12,7)&gt;1,NOT(COUNTIF(General!$U$13:$U$19,FB$12))),$I54,"")</f>
        <v/>
      </c>
      <c r="FC54" s="582" t="str">
        <f>IF(AND(FC$12&gt;=$E54,FC$12&lt;=$F54,MOD(FC$12,7)&gt;1,NOT(COUNTIF(General!$U$13:$U$19,FC$12))),$I54,"")</f>
        <v/>
      </c>
      <c r="FD54" s="582" t="str">
        <f>IF(AND(FD$12&gt;=$E54,FD$12&lt;=$F54,MOD(FD$12,7)&gt;1,NOT(COUNTIF(General!$U$13:$U$19,FD$12))),$I54,"")</f>
        <v/>
      </c>
      <c r="FE54" s="582" t="str">
        <f>IF(AND(FE$12&gt;=$E54,FE$12&lt;=$F54,MOD(FE$12,7)&gt;1,NOT(COUNTIF(General!$U$13:$U$19,FE$12))),$I54,"")</f>
        <v/>
      </c>
      <c r="FF54" s="593" t="str">
        <f>IF(AND(FF$12&gt;=$E54,FF$12&lt;=$F54,MOD(FF$12,7)&gt;1,NOT(COUNTIF(General!$U$13:$U$19,FF$12))),$I54,"")</f>
        <v/>
      </c>
      <c r="FG54" s="593" t="str">
        <f>IF(AND(FG$12&gt;=$E54,FG$12&lt;=$F54,MOD(FG$12,7)&gt;1,NOT(COUNTIF(General!$U$13:$U$19,FG$12))),$I54,"")</f>
        <v/>
      </c>
      <c r="FH54" s="582" t="str">
        <f>IF(AND(FH$12&gt;=$E54,FH$12&lt;=$F54,MOD(FH$12,7)&gt;1,NOT(COUNTIF(General!$U$13:$U$19,FH$12))),$I54,"")</f>
        <v/>
      </c>
      <c r="FI54" s="582" t="str">
        <f>IF(AND(FI$12&gt;=$E54,FI$12&lt;=$F54,MOD(FI$12,7)&gt;1,NOT(COUNTIF(General!$U$13:$U$19,FI$12))),$I54,"")</f>
        <v/>
      </c>
      <c r="FJ54" s="582" t="str">
        <f>IF(AND(FJ$12&gt;=$E54,FJ$12&lt;=$F54,MOD(FJ$12,7)&gt;1,NOT(COUNTIF(General!$U$13:$U$19,FJ$12))),$I54,"")</f>
        <v/>
      </c>
      <c r="FK54" s="582" t="str">
        <f>IF(AND(FK$12&gt;=$E54,FK$12&lt;=$F54,MOD(FK$12,7)&gt;1,NOT(COUNTIF(General!$U$13:$U$19,FK$12))),$I54,"")</f>
        <v/>
      </c>
      <c r="FL54" s="582" t="str">
        <f>IF(AND(FL$12&gt;=$E54,FL$12&lt;=$F54,MOD(FL$12,7)&gt;1,NOT(COUNTIF(General!$U$13:$U$19,FL$12))),$I54,"")</f>
        <v/>
      </c>
      <c r="FM54" s="593" t="str">
        <f>IF(AND(FM$12&gt;=$E54,FM$12&lt;=$F54,MOD(FM$12,7)&gt;1,NOT(COUNTIF(General!$U$13:$U$19,FM$12))),$I54,"")</f>
        <v/>
      </c>
      <c r="FN54" s="593" t="str">
        <f>IF(AND(FN$12&gt;=$E54,FN$12&lt;=$F54,MOD(FN$12,7)&gt;1,NOT(COUNTIF(General!$U$13:$U$19,FN$12))),$I54,"")</f>
        <v/>
      </c>
      <c r="FO54" s="582" t="str">
        <f>IF(AND(FO$12&gt;=$E54,FO$12&lt;=$F54,MOD(FO$12,7)&gt;1,NOT(COUNTIF(General!$U$13:$U$19,FO$12))),$I54,"")</f>
        <v/>
      </c>
      <c r="FP54" s="582" t="str">
        <f>IF(AND(FP$12&gt;=$E54,FP$12&lt;=$F54,MOD(FP$12,7)&gt;1,NOT(COUNTIF(General!$U$13:$U$19,FP$12))),$I54,"")</f>
        <v/>
      </c>
      <c r="FQ54" s="582" t="str">
        <f>IF(AND(FQ$12&gt;=$E54,FQ$12&lt;=$F54,MOD(FQ$12,7)&gt;1,NOT(COUNTIF(General!$U$13:$U$19,FQ$12))),$I54,"")</f>
        <v/>
      </c>
      <c r="FR54" s="582" t="str">
        <f>IF(AND(FR$12&gt;=$E54,FR$12&lt;=$F54,MOD(FR$12,7)&gt;1,NOT(COUNTIF(General!$U$13:$U$19,FR$12))),$I54,"")</f>
        <v/>
      </c>
      <c r="FS54" s="582" t="str">
        <f>IF(AND(FS$12&gt;=$E54,FS$12&lt;=$F54,MOD(FS$12,7)&gt;1,NOT(COUNTIF(General!$U$13:$U$19,FS$12))),$I54,"")</f>
        <v/>
      </c>
      <c r="FT54" s="593" t="str">
        <f>IF(AND(FT$12&gt;=$E54,FT$12&lt;=$F54,MOD(FT$12,7)&gt;1,NOT(COUNTIF(General!$U$13:$U$19,FT$12))),$I54,"")</f>
        <v/>
      </c>
      <c r="FU54" s="593" t="str">
        <f>IF(AND(FU$12&gt;=$E54,FU$12&lt;=$F54,MOD(FU$12,7)&gt;1,NOT(COUNTIF(General!$U$13:$U$19,FU$12))),$I54,"")</f>
        <v/>
      </c>
      <c r="FV54" s="582" t="str">
        <f>IF(AND(FV$12&gt;=$E54,FV$12&lt;=$F54,MOD(FV$12,7)&gt;1,NOT(COUNTIF(General!$U$13:$U$19,FV$12))),$I54,"")</f>
        <v/>
      </c>
      <c r="FW54" s="582" t="str">
        <f>IF(AND(FW$12&gt;=$E54,FW$12&lt;=$F54,MOD(FW$12,7)&gt;1,NOT(COUNTIF(General!$U$13:$U$19,FW$12))),$I54,"")</f>
        <v/>
      </c>
      <c r="FX54" s="582" t="str">
        <f>IF(AND(FX$12&gt;=$E54,FX$12&lt;=$F54,MOD(FX$12,7)&gt;1,NOT(COUNTIF(General!$U$13:$U$19,FX$12))),$I54,"")</f>
        <v/>
      </c>
    </row>
    <row r="55" ht="16.5" customHeight="1">
      <c r="A55" s="594"/>
      <c r="B55" s="582"/>
      <c r="C55" s="582"/>
      <c r="D55" s="623"/>
      <c r="E55" s="583"/>
      <c r="F55" s="620"/>
      <c r="G55" s="584"/>
      <c r="H55" s="585"/>
      <c r="I55" s="581">
        <v>1.0</v>
      </c>
      <c r="J55" s="587"/>
      <c r="K55" s="588"/>
      <c r="L55" s="588"/>
      <c r="M55" s="589"/>
      <c r="N55" s="590"/>
      <c r="O55" s="591"/>
      <c r="P55" s="592"/>
      <c r="Q55" s="582" t="str">
        <f>IF(AND(Q$12&gt;=$E55,Q$12&lt;=$F55,MOD(Q$12,7)&gt;1,NOT(COUNTIF(General!$U$13:$U$19,Q$12))),$I55,"")</f>
        <v/>
      </c>
      <c r="R55" s="582" t="str">
        <f>IF(AND(R$12&gt;=$E55,R$12&lt;=$F55,MOD(R$12,7)&gt;1,NOT(COUNTIF(General!$U$13:$U$19,R$12))),$I55,"")</f>
        <v/>
      </c>
      <c r="S55" s="582" t="str">
        <f>IF(AND(S$12&gt;=$E55,S$12&lt;=$F55,MOD(S$12,7)&gt;1,NOT(COUNTIF(General!$U$13:$U$19,S$12))),$I55,"")</f>
        <v/>
      </c>
      <c r="T55" s="582" t="str">
        <f>IF(AND(T$12&gt;=$E55,T$12&lt;=$F55,MOD(T$12,7)&gt;1,NOT(COUNTIF(General!$U$13:$U$19,T$12))),$I55,"")</f>
        <v/>
      </c>
      <c r="U55" s="582" t="str">
        <f>IF(AND(U$12&gt;=$E55,U$12&lt;=$F55,MOD(U$12,7)&gt;1,NOT(COUNTIF(General!$U$13:$U$19,U$12))),$I55,"")</f>
        <v/>
      </c>
      <c r="V55" s="593" t="str">
        <f>IF(AND(V$12&gt;=$E55,V$12&lt;=$F55,MOD(V$12,7)&gt;1,NOT(COUNTIF(General!$U$13:$U$19,V$12))),$I55,"")</f>
        <v/>
      </c>
      <c r="W55" s="593" t="str">
        <f>IF(AND(W$12&gt;=$E55,W$12&lt;=$F55,MOD(W$12,7)&gt;1,NOT(COUNTIF(General!$U$13:$U$19,W$12))),$I55,"")</f>
        <v/>
      </c>
      <c r="X55" s="582" t="str">
        <f>IF(AND(X$12&gt;=$E55,X$12&lt;=$F55,MOD(X$12,7)&gt;1,NOT(COUNTIF(General!$U$13:$U$19,X$12))),$I55,"")</f>
        <v/>
      </c>
      <c r="Y55" s="582" t="str">
        <f>IF(AND(Y$12&gt;=$E55,Y$12&lt;=$F55,MOD(Y$12,7)&gt;1,NOT(COUNTIF(General!$U$13:$U$19,Y$12))),$I55,"")</f>
        <v/>
      </c>
      <c r="Z55" s="582" t="str">
        <f>IF(AND(Z$12&gt;=$E55,Z$12&lt;=$F55,MOD(Z$12,7)&gt;1,NOT(COUNTIF(General!$U$13:$U$19,Z$12))),$I55,"")</f>
        <v/>
      </c>
      <c r="AA55" s="582" t="str">
        <f>IF(AND(AA$12&gt;=$E55,AA$12&lt;=$F55,MOD(AA$12,7)&gt;1,NOT(COUNTIF(General!$U$13:$U$19,AA$12))),$I55,"")</f>
        <v/>
      </c>
      <c r="AB55" s="582" t="str">
        <f>IF(AND(AB$12&gt;=$E55,AB$12&lt;=$F55,MOD(AB$12,7)&gt;1,NOT(COUNTIF(General!$U$13:$U$19,AB$12))),$I55,"")</f>
        <v/>
      </c>
      <c r="AC55" s="582" t="str">
        <f>IF(AND(AC$12&gt;=$E55,AC$12&lt;=$F55,MOD(AC$12,7)&gt;1,NOT(COUNTIF(General!$U$13:$U$19,AC$12))),$I55,"")</f>
        <v/>
      </c>
      <c r="AD55" s="582" t="str">
        <f>IF(AND(AD$12&gt;=$E55,AD$12&lt;=$F55,MOD(AD$12,7)&gt;1,NOT(COUNTIF(General!$U$13:$U$19,AD$12))),$I55,"")</f>
        <v/>
      </c>
      <c r="AE55" s="582" t="str">
        <f>IF(AND(AE$12&gt;=$E55,AE$12&lt;=$F55,MOD(AE$12,7)&gt;1,NOT(COUNTIF(General!$U$13:$U$19,AE$12))),$I55,"")</f>
        <v/>
      </c>
      <c r="AF55" s="582" t="str">
        <f>IF(AND(AF$12&gt;=$E55,AF$12&lt;=$F55,MOD(AF$12,7)&gt;1,NOT(COUNTIF(General!$U$13:$U$19,AF$12))),$I55,"")</f>
        <v/>
      </c>
      <c r="AG55" s="582" t="str">
        <f>IF(AND(AG$12&gt;=$E55,AG$12&lt;=$F55,MOD(AG$12,7)&gt;1,NOT(COUNTIF(General!$U$13:$U$19,AG$12))),$I55,"")</f>
        <v/>
      </c>
      <c r="AH55" s="582" t="str">
        <f>IF(AND(AH$12&gt;=$E55,AH$12&lt;=$F55,MOD(AH$12,7)&gt;1,NOT(COUNTIF(General!$U$13:$U$19,AH$12))),$I55,"")</f>
        <v/>
      </c>
      <c r="AI55" s="582" t="str">
        <f>IF(AND(AI$12&gt;=$E55,AI$12&lt;=$F55,MOD(AI$12,7)&gt;1,NOT(COUNTIF(General!$U$13:$U$19,AI$12))),$I55,"")</f>
        <v/>
      </c>
      <c r="AJ55" s="593" t="str">
        <f>IF(AND(AJ$12&gt;=$E55,AJ$12&lt;=$F55,MOD(AJ$12,7)&gt;1,NOT(COUNTIF(General!$U$13:$U$19,AJ$12))),$I55,"")</f>
        <v/>
      </c>
      <c r="AK55" s="593" t="str">
        <f>IF(AND(AK$12&gt;=$E55,AK$12&lt;=$F55,MOD(AK$12,7)&gt;1,NOT(COUNTIF(General!$U$13:$U$19,AK$12))),$I55,"")</f>
        <v/>
      </c>
      <c r="AL55" s="582" t="str">
        <f>IF(AND(AL$12&gt;=$E55,AL$12&lt;=$F55,MOD(AL$12,7)&gt;1,NOT(COUNTIF(General!$U$13:$U$19,AL$12))),$I55,"")</f>
        <v/>
      </c>
      <c r="AM55" s="582" t="str">
        <f>IF(AND(AM$12&gt;=$E55,AM$12&lt;=$F55,MOD(AM$12,7)&gt;1,NOT(COUNTIF(General!$U$13:$U$19,AM$12))),$I55,"")</f>
        <v/>
      </c>
      <c r="AN55" s="582" t="str">
        <f>IF(AND(AN$12&gt;=$E55,AN$12&lt;=$F55,MOD(AN$12,7)&gt;1,NOT(COUNTIF(General!$U$13:$U$19,AN$12))),$I55,"")</f>
        <v/>
      </c>
      <c r="AO55" s="582" t="str">
        <f>IF(AND(AO$12&gt;=$E55,AO$12&lt;=$F55,MOD(AO$12,7)&gt;1,NOT(COUNTIF(General!$U$13:$U$19,AO$12))),$I55,"")</f>
        <v/>
      </c>
      <c r="AP55" s="582" t="str">
        <f>IF(AND(AP$12&gt;=$E55,AP$12&lt;=$F55,MOD(AP$12,7)&gt;1,NOT(COUNTIF(General!$U$13:$U$19,AP$12))),$I55,"")</f>
        <v/>
      </c>
      <c r="AQ55" s="593" t="str">
        <f>IF(AND(AQ$12&gt;=$E55,AQ$12&lt;=$F55,MOD(AQ$12,7)&gt;1,NOT(COUNTIF(General!$U$13:$U$19,AQ$12))),$I55,"")</f>
        <v/>
      </c>
      <c r="AR55" s="593" t="str">
        <f>IF(AND(AR$12&gt;=$E55,AR$12&lt;=$F55,MOD(AR$12,7)&gt;1,NOT(COUNTIF(General!$U$13:$U$19,AR$12))),$I55,"")</f>
        <v/>
      </c>
      <c r="AS55" s="582" t="str">
        <f>IF(AND(AS$12&gt;=$E55,AS$12&lt;=$F55,MOD(AS$12,7)&gt;1,NOT(COUNTIF(General!$U$13:$U$19,AS$12))),$I55,"")</f>
        <v/>
      </c>
      <c r="AT55" s="582" t="str">
        <f>IF(AND(AT$12&gt;=$E55,AT$12&lt;=$F55,MOD(AT$12,7)&gt;1,NOT(COUNTIF(General!$U$13:$U$19,AT$12))),$I55,"")</f>
        <v/>
      </c>
      <c r="AU55" s="582" t="str">
        <f>IF(AND(AU$12&gt;=$E55,AU$12&lt;=$F55,MOD(AU$12,7)&gt;1,NOT(COUNTIF(General!$U$13:$U$19,AU$12))),$I55,"")</f>
        <v/>
      </c>
      <c r="AV55" s="582" t="str">
        <f>IF(AND(AV$12&gt;=$E55,AV$12&lt;=$F55,MOD(AV$12,7)&gt;1,NOT(COUNTIF(General!$U$13:$U$19,AV$12))),$I55,"")</f>
        <v/>
      </c>
      <c r="AW55" s="582" t="str">
        <f>IF(AND(AW$12&gt;=$E55,AW$12&lt;=$F55,MOD(AW$12,7)&gt;1,NOT(COUNTIF(General!$U$13:$U$19,AW$12))),$I55,"")</f>
        <v/>
      </c>
      <c r="AX55" s="593" t="str">
        <f>IF(AND(AX$12&gt;=$E55,AX$12&lt;=$F55,MOD(AX$12,7)&gt;1,NOT(COUNTIF(General!$U$13:$U$19,AX$12))),$I55,"")</f>
        <v/>
      </c>
      <c r="AY55" s="593" t="str">
        <f>IF(AND(AY$12&gt;=$E55,AY$12&lt;=$F55,MOD(AY$12,7)&gt;1,NOT(COUNTIF(General!$U$13:$U$19,AY$12))),$I55,"")</f>
        <v/>
      </c>
      <c r="AZ55" s="582" t="str">
        <f>IF(AND(AZ$12&gt;=$E55,AZ$12&lt;=$F55,MOD(AZ$12,7)&gt;1,NOT(COUNTIF(General!$U$13:$U$19,AZ$12))),$I55,"")</f>
        <v/>
      </c>
      <c r="BA55" s="582" t="str">
        <f>IF(AND(BA$12&gt;=$E55,BA$12&lt;=$F55,MOD(BA$12,7)&gt;1,NOT(COUNTIF(General!$U$13:$U$19,BA$12))),$I55,"")</f>
        <v/>
      </c>
      <c r="BB55" s="582" t="str">
        <f>IF(AND(BB$12&gt;=$E55,BB$12&lt;=$F55,MOD(BB$12,7)&gt;1,NOT(COUNTIF(General!$U$13:$U$19,BB$12))),$I55,"")</f>
        <v/>
      </c>
      <c r="BC55" s="582" t="str">
        <f>IF(AND(BC$12&gt;=$E55,BC$12&lt;=$F55,MOD(BC$12,7)&gt;1,NOT(COUNTIF(General!$U$13:$U$19,BC$12))),$I55,"")</f>
        <v/>
      </c>
      <c r="BD55" s="582" t="str">
        <f>IF(AND(BD$12&gt;=$E55,BD$12&lt;=$F55,MOD(BD$12,7)&gt;1,NOT(COUNTIF(General!$U$13:$U$19,BD$12))),$I55,"")</f>
        <v/>
      </c>
      <c r="BE55" s="593" t="str">
        <f>IF(AND(BE$12&gt;=$E55,BE$12&lt;=$F55,MOD(BE$12,7)&gt;1,NOT(COUNTIF(General!$U$13:$U$19,BE$12))),$I55,"")</f>
        <v/>
      </c>
      <c r="BF55" s="593" t="str">
        <f>IF(AND(BF$12&gt;=$E55,BF$12&lt;=$F55,MOD(BF$12,7)&gt;1,NOT(COUNTIF(General!$U$13:$U$19,BF$12))),$I55,"")</f>
        <v/>
      </c>
      <c r="BG55" s="582" t="str">
        <f>IF(AND(BG$12&gt;=$E55,BG$12&lt;=$F55,MOD(BG$12,7)&gt;1,NOT(COUNTIF(General!$U$13:$U$19,BG$12))),$I55,"")</f>
        <v/>
      </c>
      <c r="BH55" s="582" t="str">
        <f>IF(AND(BH$12&gt;=$E55,BH$12&lt;=$F55,MOD(BH$12,7)&gt;1,NOT(COUNTIF(General!$U$13:$U$19,BH$12))),$I55,"")</f>
        <v/>
      </c>
      <c r="BI55" s="582" t="str">
        <f>IF(AND(BI$12&gt;=$E55,BI$12&lt;=$F55,MOD(BI$12,7)&gt;1,NOT(COUNTIF(General!$U$13:$U$19,BI$12))),$I55,"")</f>
        <v/>
      </c>
      <c r="BJ55" s="582" t="str">
        <f>IF(AND(BJ$12&gt;=$E55,BJ$12&lt;=$F55,MOD(BJ$12,7)&gt;1,NOT(COUNTIF(General!$U$13:$U$19,BJ$12))),$I55,"")</f>
        <v/>
      </c>
      <c r="BK55" s="582" t="str">
        <f>IF(AND(BK$12&gt;=$E55,BK$12&lt;=$F55,MOD(BK$12,7)&gt;1,NOT(COUNTIF(General!$U$13:$U$19,BK$12))),$I55,"")</f>
        <v/>
      </c>
      <c r="BL55" s="593" t="str">
        <f>IF(AND(BL$12&gt;=$E55,BL$12&lt;=$F55,MOD(BL$12,7)&gt;1,NOT(COUNTIF(General!$U$13:$U$19,BL$12))),$I55,"")</f>
        <v/>
      </c>
      <c r="BM55" s="593" t="str">
        <f>IF(AND(BM$12&gt;=$E55,BM$12&lt;=$F55,MOD(BM$12,7)&gt;1,NOT(COUNTIF(General!$U$13:$U$19,BM$12))),$I55,"")</f>
        <v/>
      </c>
      <c r="BN55" s="582" t="str">
        <f>IF(AND(BN$12&gt;=$E55,BN$12&lt;=$F55,MOD(BN$12,7)&gt;1,NOT(COUNTIF(General!$U$13:$U$19,BN$12))),$I55,"")</f>
        <v/>
      </c>
      <c r="BO55" s="582" t="str">
        <f>IF(AND(BO$12&gt;=$E55,BO$12&lt;=$F55,MOD(BO$12,7)&gt;1,NOT(COUNTIF(General!$U$13:$U$19,BO$12))),$I55,"")</f>
        <v/>
      </c>
      <c r="BP55" s="582" t="str">
        <f>IF(AND(BP$12&gt;=$E55,BP$12&lt;=$F55,MOD(BP$12,7)&gt;1,NOT(COUNTIF(General!$U$13:$U$19,BP$12))),$I55,"")</f>
        <v/>
      </c>
      <c r="BQ55" s="582" t="str">
        <f>IF(AND(BQ$12&gt;=$E55,BQ$12&lt;=$F55,MOD(BQ$12,7)&gt;1,NOT(COUNTIF(General!$U$13:$U$19,BQ$12))),$I55,"")</f>
        <v/>
      </c>
      <c r="BR55" s="582" t="str">
        <f>IF(AND(BR$12&gt;=$E55,BR$12&lt;=$F55,MOD(BR$12,7)&gt;1,NOT(COUNTIF(General!$U$13:$U$19,BR$12))),$I55,"")</f>
        <v/>
      </c>
      <c r="BS55" s="593" t="str">
        <f>IF(AND(BS$12&gt;=$E55,BS$12&lt;=$F55,MOD(BS$12,7)&gt;1,NOT(COUNTIF(General!$U$13:$U$19,BS$12))),$I55,"")</f>
        <v/>
      </c>
      <c r="BT55" s="593" t="str">
        <f>IF(AND(BT$12&gt;=$E55,BT$12&lt;=$F55,MOD(BT$12,7)&gt;1,NOT(COUNTIF(General!$U$13:$U$19,BT$12))),$I55,"")</f>
        <v/>
      </c>
      <c r="BU55" s="582" t="str">
        <f>IF(AND(BU$12&gt;=$E55,BU$12&lt;=$F55,MOD(BU$12,7)&gt;1,NOT(COUNTIF(General!$U$13:$U$19,BU$12))),$I55,"")</f>
        <v/>
      </c>
      <c r="BV55" s="582" t="str">
        <f>IF(AND(BV$12&gt;=$E55,BV$12&lt;=$F55,MOD(BV$12,7)&gt;1,NOT(COUNTIF(General!$U$13:$U$19,BV$12))),$I55,"")</f>
        <v/>
      </c>
      <c r="BW55" s="582" t="str">
        <f>IF(AND(BW$12&gt;=$E55,BW$12&lt;=$F55,MOD(BW$12,7)&gt;1,NOT(COUNTIF(General!$U$13:$U$19,BW$12))),$I55,"")</f>
        <v/>
      </c>
      <c r="BX55" s="582" t="str">
        <f>IF(AND(BX$12&gt;=$E55,BX$12&lt;=$F55,MOD(BX$12,7)&gt;1,NOT(COUNTIF(General!$U$13:$U$19,BX$12))),$I55,"")</f>
        <v/>
      </c>
      <c r="BY55" s="582" t="str">
        <f>IF(AND(BY$12&gt;=$E55,BY$12&lt;=$F55,MOD(BY$12,7)&gt;1,NOT(COUNTIF(General!$U$13:$U$19,BY$12))),$I55,"")</f>
        <v/>
      </c>
      <c r="BZ55" s="593" t="str">
        <f>IF(AND(BZ$12&gt;=$E55,BZ$12&lt;=$F55,MOD(BZ$12,7)&gt;1,NOT(COUNTIF(General!$U$13:$U$19,BZ$12))),$I55,"")</f>
        <v/>
      </c>
      <c r="CA55" s="593" t="str">
        <f>IF(AND(CA$12&gt;=$E55,CA$12&lt;=$F55,MOD(CA$12,7)&gt;1,NOT(COUNTIF(General!$U$13:$U$19,CA$12))),$I55,"")</f>
        <v/>
      </c>
      <c r="CB55" s="582" t="str">
        <f>IF(AND(CB$12&gt;=$E55,CB$12&lt;=$F55,MOD(CB$12,7)&gt;1,NOT(COUNTIF(General!$U$13:$U$19,CB$12))),$I55,"")</f>
        <v/>
      </c>
      <c r="CC55" s="582" t="str">
        <f>IF(AND(CC$12&gt;=$E55,CC$12&lt;=$F55,MOD(CC$12,7)&gt;1,NOT(COUNTIF(General!$U$13:$U$19,CC$12))),$I55,"")</f>
        <v/>
      </c>
      <c r="CD55" s="582" t="str">
        <f>IF(AND(CD$12&gt;=$E55,CD$12&lt;=$F55,MOD(CD$12,7)&gt;1,NOT(COUNTIF(General!$U$13:$U$19,CD$12))),$I55,"")</f>
        <v/>
      </c>
      <c r="CE55" s="582" t="str">
        <f>IF(AND(CE$12&gt;=$E55,CE$12&lt;=$F55,MOD(CE$12,7)&gt;1,NOT(COUNTIF(General!$U$13:$U$19,CE$12))),$I55,"")</f>
        <v/>
      </c>
      <c r="CF55" s="582" t="str">
        <f>IF(AND(CF$12&gt;=$E55,CF$12&lt;=$F55,MOD(CF$12,7)&gt;1,NOT(COUNTIF(General!$U$13:$U$19,CF$12))),$I55,"")</f>
        <v/>
      </c>
      <c r="CG55" s="593" t="str">
        <f>IF(AND(CG$12&gt;=$E55,CG$12&lt;=$F55,MOD(CG$12,7)&gt;1,NOT(COUNTIF(General!$U$13:$U$19,CG$12))),$I55,"")</f>
        <v/>
      </c>
      <c r="CH55" s="593" t="str">
        <f>IF(AND(CH$12&gt;=$E55,CH$12&lt;=$F55,MOD(CH$12,7)&gt;1,NOT(COUNTIF(General!$U$13:$U$19,CH$12))),$I55,"")</f>
        <v/>
      </c>
      <c r="CI55" s="582" t="str">
        <f>IF(AND(CI$12&gt;=$E55,CI$12&lt;=$F55,MOD(CI$12,7)&gt;1,NOT(COUNTIF(General!$U$13:$U$19,CI$12))),$I55,"")</f>
        <v/>
      </c>
      <c r="CJ55" s="582" t="str">
        <f>IF(AND(CJ$12&gt;=$E55,CJ$12&lt;=$F55,MOD(CJ$12,7)&gt;1,NOT(COUNTIF(General!$U$13:$U$19,CJ$12))),$I55,"")</f>
        <v/>
      </c>
      <c r="CK55" s="582" t="str">
        <f>IF(AND(CK$12&gt;=$E55,CK$12&lt;=$F55,MOD(CK$12,7)&gt;1,NOT(COUNTIF(General!$U$13:$U$19,CK$12))),$I55,"")</f>
        <v/>
      </c>
      <c r="CL55" s="582" t="str">
        <f>IF(AND(CL$12&gt;=$E55,CL$12&lt;=$F55,MOD(CL$12,7)&gt;1,NOT(COUNTIF(General!$U$13:$U$19,CL$12))),$I55,"")</f>
        <v/>
      </c>
      <c r="CM55" s="582" t="str">
        <f>IF(AND(CM$12&gt;=$E55,CM$12&lt;=$F55,MOD(CM$12,7)&gt;1,NOT(COUNTIF(General!$U$13:$U$19,CM$12))),$I55,"")</f>
        <v/>
      </c>
      <c r="CN55" s="593" t="str">
        <f>IF(AND(CN$12&gt;=$E55,CN$12&lt;=$F55,MOD(CN$12,7)&gt;1,NOT(COUNTIF(General!$U$13:$U$19,CN$12))),$I55,"")</f>
        <v/>
      </c>
      <c r="CO55" s="593" t="str">
        <f>IF(AND(CO$12&gt;=$E55,CO$12&lt;=$F55,MOD(CO$12,7)&gt;1,NOT(COUNTIF(General!$U$13:$U$19,CO$12))),$I55,"")</f>
        <v/>
      </c>
      <c r="CP55" s="582" t="str">
        <f>IF(AND(CP$12&gt;=$E55,CP$12&lt;=$F55,MOD(CP$12,7)&gt;1,NOT(COUNTIF(General!$U$13:$U$19,CP$12))),$I55,"")</f>
        <v/>
      </c>
      <c r="CQ55" s="582" t="str">
        <f>IF(AND(CQ$12&gt;=$E55,CQ$12&lt;=$F55,MOD(CQ$12,7)&gt;1,NOT(COUNTIF(General!$U$13:$U$19,CQ$12))),$I55,"")</f>
        <v/>
      </c>
      <c r="CR55" s="582" t="str">
        <f>IF(AND(CR$12&gt;=$E55,CR$12&lt;=$F55,MOD(CR$12,7)&gt;1,NOT(COUNTIF(General!$U$13:$U$19,CR$12))),$I55,"")</f>
        <v/>
      </c>
      <c r="CS55" s="582" t="str">
        <f>IF(AND(CS$12&gt;=$E55,CS$12&lt;=$F55,MOD(CS$12,7)&gt;1,NOT(COUNTIF(General!$U$13:$U$19,CS$12))),$I55,"")</f>
        <v/>
      </c>
      <c r="CT55" s="582" t="str">
        <f>IF(AND(CT$12&gt;=$E55,CT$12&lt;=$F55,MOD(CT$12,7)&gt;1,NOT(COUNTIF(General!$U$13:$U$19,CT$12))),$I55,"")</f>
        <v/>
      </c>
      <c r="CU55" s="593" t="str">
        <f>IF(AND(CU$12&gt;=$E55,CU$12&lt;=$F55,MOD(CU$12,7)&gt;1,NOT(COUNTIF(General!$U$13:$U$19,CU$12))),$I55,"")</f>
        <v/>
      </c>
      <c r="CV55" s="593" t="str">
        <f>IF(AND(CV$12&gt;=$E55,CV$12&lt;=$F55,MOD(CV$12,7)&gt;1,NOT(COUNTIF(General!$U$13:$U$19,CV$12))),$I55,"")</f>
        <v/>
      </c>
      <c r="CW55" s="582" t="str">
        <f>IF(AND(CW$12&gt;=$E55,CW$12&lt;=$F55,MOD(CW$12,7)&gt;1,NOT(COUNTIF(General!$U$13:$U$19,CW$12))),$I55,"")</f>
        <v/>
      </c>
      <c r="CX55" s="582" t="str">
        <f>IF(AND(CX$12&gt;=$E55,CX$12&lt;=$F55,MOD(CX$12,7)&gt;1,NOT(COUNTIF(General!$U$13:$U$19,CX$12))),$I55,"")</f>
        <v/>
      </c>
      <c r="CY55" s="582" t="str">
        <f>IF(AND(CY$12&gt;=$E55,CY$12&lt;=$F55,MOD(CY$12,7)&gt;1,NOT(COUNTIF(General!$U$13:$U$19,CY$12))),$I55,"")</f>
        <v/>
      </c>
      <c r="CZ55" s="582" t="str">
        <f>IF(AND(CZ$12&gt;=$E55,CZ$12&lt;=$F55,MOD(CZ$12,7)&gt;1,NOT(COUNTIF(General!$U$13:$U$19,CZ$12))),$I55,"")</f>
        <v/>
      </c>
      <c r="DA55" s="582" t="str">
        <f>IF(AND(DA$12&gt;=$E55,DA$12&lt;=$F55,MOD(DA$12,7)&gt;1,NOT(COUNTIF(General!$U$13:$U$19,DA$12))),$I55,"")</f>
        <v/>
      </c>
      <c r="DB55" s="593" t="str">
        <f>IF(AND(DB$12&gt;=$E55,DB$12&lt;=$F55,MOD(DB$12,7)&gt;1,NOT(COUNTIF(General!$U$13:$U$19,DB$12))),$I55,"")</f>
        <v/>
      </c>
      <c r="DC55" s="593" t="str">
        <f>IF(AND(DC$12&gt;=$E55,DC$12&lt;=$F55,MOD(DC$12,7)&gt;1,NOT(COUNTIF(General!$U$13:$U$19,DC$12))),$I55,"")</f>
        <v/>
      </c>
      <c r="DD55" s="582" t="str">
        <f>IF(AND(DD$12&gt;=$E55,DD$12&lt;=$F55,MOD(DD$12,7)&gt;1,NOT(COUNTIF(General!$U$13:$U$19,DD$12))),$I55,"")</f>
        <v/>
      </c>
      <c r="DE55" s="582" t="str">
        <f>IF(AND(DE$12&gt;=$E55,DE$12&lt;=$F55,MOD(DE$12,7)&gt;1,NOT(COUNTIF(General!$U$13:$U$19,DE$12))),$I55,"")</f>
        <v/>
      </c>
      <c r="DF55" s="582" t="str">
        <f>IF(AND(DF$12&gt;=$E55,DF$12&lt;=$F55,MOD(DF$12,7)&gt;1,NOT(COUNTIF(General!$U$13:$U$19,DF$12))),$I55,"")</f>
        <v/>
      </c>
      <c r="DG55" s="582" t="str">
        <f>IF(AND(DG$12&gt;=$E55,DG$12&lt;=$F55,MOD(DG$12,7)&gt;1,NOT(COUNTIF(General!$U$13:$U$19,DG$12))),$I55,"")</f>
        <v/>
      </c>
      <c r="DH55" s="582" t="str">
        <f>IF(AND(DH$12&gt;=$E55,DH$12&lt;=$F55,MOD(DH$12,7)&gt;1,NOT(COUNTIF(General!$U$13:$U$19,DH$12))),$I55,"")</f>
        <v/>
      </c>
      <c r="DI55" s="593" t="str">
        <f>IF(AND(DI$12&gt;=$E55,DI$12&lt;=$F55,MOD(DI$12,7)&gt;1,NOT(COUNTIF(General!$U$13:$U$19,DI$12))),$I55,"")</f>
        <v/>
      </c>
      <c r="DJ55" s="593" t="str">
        <f>IF(AND(DJ$12&gt;=$E55,DJ$12&lt;=$F55,MOD(DJ$12,7)&gt;1,NOT(COUNTIF(General!$U$13:$U$19,DJ$12))),$I55,"")</f>
        <v/>
      </c>
      <c r="DK55" s="582" t="str">
        <f>IF(AND(DK$12&gt;=$E55,DK$12&lt;=$F55,MOD(DK$12,7)&gt;1,NOT(COUNTIF(General!$U$13:$U$19,DK$12))),$I55,"")</f>
        <v/>
      </c>
      <c r="DL55" s="582" t="str">
        <f>IF(AND(DL$12&gt;=$E55,DL$12&lt;=$F55,MOD(DL$12,7)&gt;1,NOT(COUNTIF(General!$U$13:$U$19,DL$12))),$I55,"")</f>
        <v/>
      </c>
      <c r="DM55" s="582" t="str">
        <f>IF(AND(DM$12&gt;=$E55,DM$12&lt;=$F55,MOD(DM$12,7)&gt;1,NOT(COUNTIF(General!$U$13:$U$19,DM$12))),$I55,"")</f>
        <v/>
      </c>
      <c r="DN55" s="582" t="str">
        <f>IF(AND(DN$12&gt;=$E55,DN$12&lt;=$F55,MOD(DN$12,7)&gt;1,NOT(COUNTIF(General!$U$13:$U$19,DN$12))),$I55,"")</f>
        <v/>
      </c>
      <c r="DO55" s="582" t="str">
        <f>IF(AND(DO$12&gt;=$E55,DO$12&lt;=$F55,MOD(DO$12,7)&gt;1,NOT(COUNTIF(General!$U$13:$U$19,DO$12))),$I55,"")</f>
        <v/>
      </c>
      <c r="DP55" s="593" t="str">
        <f>IF(AND(DP$12&gt;=$E55,DP$12&lt;=$F55,MOD(DP$12,7)&gt;1,NOT(COUNTIF(General!$U$13:$U$19,DP$12))),$I55,"")</f>
        <v/>
      </c>
      <c r="DQ55" s="593" t="str">
        <f>IF(AND(DQ$12&gt;=$E55,DQ$12&lt;=$F55,MOD(DQ$12,7)&gt;1,NOT(COUNTIF(General!$U$13:$U$19,DQ$12))),$I55,"")</f>
        <v/>
      </c>
      <c r="DR55" s="582" t="str">
        <f>IF(AND(DR$12&gt;=$E55,DR$12&lt;=$F55,MOD(DR$12,7)&gt;1,NOT(COUNTIF(General!$U$13:$U$19,DR$12))),$I55,"")</f>
        <v/>
      </c>
      <c r="DS55" s="582" t="str">
        <f>IF(AND(DS$12&gt;=$E55,DS$12&lt;=$F55,MOD(DS$12,7)&gt;1,NOT(COUNTIF(General!$U$13:$U$19,DS$12))),$I55,"")</f>
        <v/>
      </c>
      <c r="DT55" s="582" t="str">
        <f>IF(AND(DT$12&gt;=$E55,DT$12&lt;=$F55,MOD(DT$12,7)&gt;1,NOT(COUNTIF(General!$U$13:$U$19,DT$12))),$I55,"")</f>
        <v/>
      </c>
      <c r="DU55" s="582" t="str">
        <f>IF(AND(DU$12&gt;=$E55,DU$12&lt;=$F55,MOD(DU$12,7)&gt;1,NOT(COUNTIF(General!$U$13:$U$19,DU$12))),$I55,"")</f>
        <v/>
      </c>
      <c r="DV55" s="582" t="str">
        <f>IF(AND(DV$12&gt;=$E55,DV$12&lt;=$F55,MOD(DV$12,7)&gt;1,NOT(COUNTIF(General!$U$13:$U$19,DV$12))),$I55,"")</f>
        <v/>
      </c>
      <c r="DW55" s="593" t="str">
        <f>IF(AND(DW$12&gt;=$E55,DW$12&lt;=$F55,MOD(DW$12,7)&gt;1,NOT(COUNTIF(General!$U$13:$U$19,DW$12))),$I55,"")</f>
        <v/>
      </c>
      <c r="DX55" s="593" t="str">
        <f>IF(AND(DX$12&gt;=$E55,DX$12&lt;=$F55,MOD(DX$12,7)&gt;1,NOT(COUNTIF(General!$U$13:$U$19,DX$12))),$I55,"")</f>
        <v/>
      </c>
      <c r="DY55" s="582" t="str">
        <f>IF(AND(DY$12&gt;=$E55,DY$12&lt;=$F55,MOD(DY$12,7)&gt;1,NOT(COUNTIF(General!$U$13:$U$19,DY$12))),$I55,"")</f>
        <v/>
      </c>
      <c r="DZ55" s="582" t="str">
        <f>IF(AND(DZ$12&gt;=$E55,DZ$12&lt;=$F55,MOD(DZ$12,7)&gt;1,NOT(COUNTIF(General!$U$13:$U$19,DZ$12))),$I55,"")</f>
        <v/>
      </c>
      <c r="EA55" s="582" t="str">
        <f>IF(AND(EA$12&gt;=$E55,EA$12&lt;=$F55,MOD(EA$12,7)&gt;1,NOT(COUNTIF(General!$U$13:$U$19,EA$12))),$I55,"")</f>
        <v/>
      </c>
      <c r="EB55" s="582" t="str">
        <f>IF(AND(EB$12&gt;=$E55,EB$12&lt;=$F55,MOD(EB$12,7)&gt;1,NOT(COUNTIF(General!$U$13:$U$19,EB$12))),$I55,"")</f>
        <v/>
      </c>
      <c r="EC55" s="582" t="str">
        <f>IF(AND(EC$12&gt;=$E55,EC$12&lt;=$F55,MOD(EC$12,7)&gt;1,NOT(COUNTIF(General!$U$13:$U$19,EC$12))),$I55,"")</f>
        <v/>
      </c>
      <c r="ED55" s="593" t="str">
        <f>IF(AND(ED$12&gt;=$E55,ED$12&lt;=$F55,MOD(ED$12,7)&gt;1,NOT(COUNTIF(General!$U$13:$U$19,ED$12))),$I55,"")</f>
        <v/>
      </c>
      <c r="EE55" s="593" t="str">
        <f>IF(AND(EE$12&gt;=$E55,EE$12&lt;=$F55,MOD(EE$12,7)&gt;1,NOT(COUNTIF(General!$U$13:$U$19,EE$12))),$I55,"")</f>
        <v/>
      </c>
      <c r="EF55" s="582" t="str">
        <f>IF(AND(EF$12&gt;=$E55,EF$12&lt;=$F55,MOD(EF$12,7)&gt;1,NOT(COUNTIF(General!$U$13:$U$19,EF$12))),$I55,"")</f>
        <v/>
      </c>
      <c r="EG55" s="582" t="str">
        <f>IF(AND(EG$12&gt;=$E55,EG$12&lt;=$F55,MOD(EG$12,7)&gt;1,NOT(COUNTIF(General!$U$13:$U$19,EG$12))),$I55,"")</f>
        <v/>
      </c>
      <c r="EH55" s="582" t="str">
        <f>IF(AND(EH$12&gt;=$E55,EH$12&lt;=$F55,MOD(EH$12,7)&gt;1,NOT(COUNTIF(General!$U$13:$U$19,EH$12))),$I55,"")</f>
        <v/>
      </c>
      <c r="EI55" s="582" t="str">
        <f>IF(AND(EI$12&gt;=$E55,EI$12&lt;=$F55,MOD(EI$12,7)&gt;1,NOT(COUNTIF(General!$U$13:$U$19,EI$12))),$I55,"")</f>
        <v/>
      </c>
      <c r="EJ55" s="582" t="str">
        <f>IF(AND(EJ$12&gt;=$E55,EJ$12&lt;=$F55,MOD(EJ$12,7)&gt;1,NOT(COUNTIF(General!$U$13:$U$19,EJ$12))),$I55,"")</f>
        <v/>
      </c>
      <c r="EK55" s="593" t="str">
        <f>IF(AND(EK$12&gt;=$E55,EK$12&lt;=$F55,MOD(EK$12,7)&gt;1,NOT(COUNTIF(General!$U$13:$U$19,EK$12))),$I55,"")</f>
        <v/>
      </c>
      <c r="EL55" s="593" t="str">
        <f>IF(AND(EL$12&gt;=$E55,EL$12&lt;=$F55,MOD(EL$12,7)&gt;1,NOT(COUNTIF(General!$U$13:$U$19,EL$12))),$I55,"")</f>
        <v/>
      </c>
      <c r="EM55" s="582" t="str">
        <f>IF(AND(EM$12&gt;=$E55,EM$12&lt;=$F55,MOD(EM$12,7)&gt;1,NOT(COUNTIF(General!$U$13:$U$19,EM$12))),$I55,"")</f>
        <v/>
      </c>
      <c r="EN55" s="582" t="str">
        <f>IF(AND(EN$12&gt;=$E55,EN$12&lt;=$F55,MOD(EN$12,7)&gt;1,NOT(COUNTIF(General!$U$13:$U$19,EN$12))),$I55,"")</f>
        <v/>
      </c>
      <c r="EO55" s="582" t="str">
        <f>IF(AND(EO$12&gt;=$E55,EO$12&lt;=$F55,MOD(EO$12,7)&gt;1,NOT(COUNTIF(General!$U$13:$U$19,EO$12))),$I55,"")</f>
        <v/>
      </c>
      <c r="EP55" s="582" t="str">
        <f>IF(AND(EP$12&gt;=$E55,EP$12&lt;=$F55,MOD(EP$12,7)&gt;1,NOT(COUNTIF(General!$U$13:$U$19,EP$12))),$I55,"")</f>
        <v/>
      </c>
      <c r="EQ55" s="582" t="str">
        <f>IF(AND(EQ$12&gt;=$E55,EQ$12&lt;=$F55,MOD(EQ$12,7)&gt;1,NOT(COUNTIF(General!$U$13:$U$19,EQ$12))),$I55,"")</f>
        <v/>
      </c>
      <c r="ER55" s="593" t="str">
        <f>IF(AND(ER$12&gt;=$E55,ER$12&lt;=$F55,MOD(ER$12,7)&gt;1,NOT(COUNTIF(General!$U$13:$U$19,ER$12))),$I55,"")</f>
        <v/>
      </c>
      <c r="ES55" s="593" t="str">
        <f>IF(AND(ES$12&gt;=$E55,ES$12&lt;=$F55,MOD(ES$12,7)&gt;1,NOT(COUNTIF(General!$U$13:$U$19,ES$12))),$I55,"")</f>
        <v/>
      </c>
      <c r="ET55" s="582" t="str">
        <f>IF(AND(ET$12&gt;=$E55,ET$12&lt;=$F55,MOD(ET$12,7)&gt;1,NOT(COUNTIF(General!$U$13:$U$19,ET$12))),$I55,"")</f>
        <v/>
      </c>
      <c r="EU55" s="582" t="str">
        <f>IF(AND(EU$12&gt;=$E55,EU$12&lt;=$F55,MOD(EU$12,7)&gt;1,NOT(COUNTIF(General!$U$13:$U$19,EU$12))),$I55,"")</f>
        <v/>
      </c>
      <c r="EV55" s="582" t="str">
        <f>IF(AND(EV$12&gt;=$E55,EV$12&lt;=$F55,MOD(EV$12,7)&gt;1,NOT(COUNTIF(General!$U$13:$U$19,EV$12))),$I55,"")</f>
        <v/>
      </c>
      <c r="EW55" s="582" t="str">
        <f>IF(AND(EW$12&gt;=$E55,EW$12&lt;=$F55,MOD(EW$12,7)&gt;1,NOT(COUNTIF(General!$U$13:$U$19,EW$12))),$I55,"")</f>
        <v/>
      </c>
      <c r="EX55" s="582" t="str">
        <f>IF(AND(EX$12&gt;=$E55,EX$12&lt;=$F55,MOD(EX$12,7)&gt;1,NOT(COUNTIF(General!$U$13:$U$19,EX$12))),$I55,"")</f>
        <v/>
      </c>
      <c r="EY55" s="593" t="str">
        <f>IF(AND(EY$12&gt;=$E55,EY$12&lt;=$F55,MOD(EY$12,7)&gt;1,NOT(COUNTIF(General!$U$13:$U$19,EY$12))),$I55,"")</f>
        <v/>
      </c>
      <c r="EZ55" s="593" t="str">
        <f>IF(AND(EZ$12&gt;=$E55,EZ$12&lt;=$F55,MOD(EZ$12,7)&gt;1,NOT(COUNTIF(General!$U$13:$U$19,EZ$12))),$I55,"")</f>
        <v/>
      </c>
      <c r="FA55" s="582" t="str">
        <f>IF(AND(FA$12&gt;=$E55,FA$12&lt;=$F55,MOD(FA$12,7)&gt;1,NOT(COUNTIF(General!$U$13:$U$19,FA$12))),$I55,"")</f>
        <v/>
      </c>
      <c r="FB55" s="582" t="str">
        <f>IF(AND(FB$12&gt;=$E55,FB$12&lt;=$F55,MOD(FB$12,7)&gt;1,NOT(COUNTIF(General!$U$13:$U$19,FB$12))),$I55,"")</f>
        <v/>
      </c>
      <c r="FC55" s="582" t="str">
        <f>IF(AND(FC$12&gt;=$E55,FC$12&lt;=$F55,MOD(FC$12,7)&gt;1,NOT(COUNTIF(General!$U$13:$U$19,FC$12))),$I55,"")</f>
        <v/>
      </c>
      <c r="FD55" s="582" t="str">
        <f>IF(AND(FD$12&gt;=$E55,FD$12&lt;=$F55,MOD(FD$12,7)&gt;1,NOT(COUNTIF(General!$U$13:$U$19,FD$12))),$I55,"")</f>
        <v/>
      </c>
      <c r="FE55" s="582" t="str">
        <f>IF(AND(FE$12&gt;=$E55,FE$12&lt;=$F55,MOD(FE$12,7)&gt;1,NOT(COUNTIF(General!$U$13:$U$19,FE$12))),$I55,"")</f>
        <v/>
      </c>
      <c r="FF55" s="593" t="str">
        <f>IF(AND(FF$12&gt;=$E55,FF$12&lt;=$F55,MOD(FF$12,7)&gt;1,NOT(COUNTIF(General!$U$13:$U$19,FF$12))),$I55,"")</f>
        <v/>
      </c>
      <c r="FG55" s="593" t="str">
        <f>IF(AND(FG$12&gt;=$E55,FG$12&lt;=$F55,MOD(FG$12,7)&gt;1,NOT(COUNTIF(General!$U$13:$U$19,FG$12))),$I55,"")</f>
        <v/>
      </c>
      <c r="FH55" s="582" t="str">
        <f>IF(AND(FH$12&gt;=$E55,FH$12&lt;=$F55,MOD(FH$12,7)&gt;1,NOT(COUNTIF(General!$U$13:$U$19,FH$12))),$I55,"")</f>
        <v/>
      </c>
      <c r="FI55" s="582" t="str">
        <f>IF(AND(FI$12&gt;=$E55,FI$12&lt;=$F55,MOD(FI$12,7)&gt;1,NOT(COUNTIF(General!$U$13:$U$19,FI$12))),$I55,"")</f>
        <v/>
      </c>
      <c r="FJ55" s="582" t="str">
        <f>IF(AND(FJ$12&gt;=$E55,FJ$12&lt;=$F55,MOD(FJ$12,7)&gt;1,NOT(COUNTIF(General!$U$13:$U$19,FJ$12))),$I55,"")</f>
        <v/>
      </c>
      <c r="FK55" s="582" t="str">
        <f>IF(AND(FK$12&gt;=$E55,FK$12&lt;=$F55,MOD(FK$12,7)&gt;1,NOT(COUNTIF(General!$U$13:$U$19,FK$12))),$I55,"")</f>
        <v/>
      </c>
      <c r="FL55" s="582" t="str">
        <f>IF(AND(FL$12&gt;=$E55,FL$12&lt;=$F55,MOD(FL$12,7)&gt;1,NOT(COUNTIF(General!$U$13:$U$19,FL$12))),$I55,"")</f>
        <v/>
      </c>
      <c r="FM55" s="593" t="str">
        <f>IF(AND(FM$12&gt;=$E55,FM$12&lt;=$F55,MOD(FM$12,7)&gt;1,NOT(COUNTIF(General!$U$13:$U$19,FM$12))),$I55,"")</f>
        <v/>
      </c>
      <c r="FN55" s="593" t="str">
        <f>IF(AND(FN$12&gt;=$E55,FN$12&lt;=$F55,MOD(FN$12,7)&gt;1,NOT(COUNTIF(General!$U$13:$U$19,FN$12))),$I55,"")</f>
        <v/>
      </c>
      <c r="FO55" s="582" t="str">
        <f>IF(AND(FO$12&gt;=$E55,FO$12&lt;=$F55,MOD(FO$12,7)&gt;1,NOT(COUNTIF(General!$U$13:$U$19,FO$12))),$I55,"")</f>
        <v/>
      </c>
      <c r="FP55" s="582" t="str">
        <f>IF(AND(FP$12&gt;=$E55,FP$12&lt;=$F55,MOD(FP$12,7)&gt;1,NOT(COUNTIF(General!$U$13:$U$19,FP$12))),$I55,"")</f>
        <v/>
      </c>
      <c r="FQ55" s="582" t="str">
        <f>IF(AND(FQ$12&gt;=$E55,FQ$12&lt;=$F55,MOD(FQ$12,7)&gt;1,NOT(COUNTIF(General!$U$13:$U$19,FQ$12))),$I55,"")</f>
        <v/>
      </c>
      <c r="FR55" s="582" t="str">
        <f>IF(AND(FR$12&gt;=$E55,FR$12&lt;=$F55,MOD(FR$12,7)&gt;1,NOT(COUNTIF(General!$U$13:$U$19,FR$12))),$I55,"")</f>
        <v/>
      </c>
      <c r="FS55" s="582" t="str">
        <f>IF(AND(FS$12&gt;=$E55,FS$12&lt;=$F55,MOD(FS$12,7)&gt;1,NOT(COUNTIF(General!$U$13:$U$19,FS$12))),$I55,"")</f>
        <v/>
      </c>
      <c r="FT55" s="593" t="str">
        <f>IF(AND(FT$12&gt;=$E55,FT$12&lt;=$F55,MOD(FT$12,7)&gt;1,NOT(COUNTIF(General!$U$13:$U$19,FT$12))),$I55,"")</f>
        <v/>
      </c>
      <c r="FU55" s="593" t="str">
        <f>IF(AND(FU$12&gt;=$E55,FU$12&lt;=$F55,MOD(FU$12,7)&gt;1,NOT(COUNTIF(General!$U$13:$U$19,FU$12))),$I55,"")</f>
        <v/>
      </c>
      <c r="FV55" s="582" t="str">
        <f>IF(AND(FV$12&gt;=$E55,FV$12&lt;=$F55,MOD(FV$12,7)&gt;1,NOT(COUNTIF(General!$U$13:$U$19,FV$12))),$I55,"")</f>
        <v/>
      </c>
      <c r="FW55" s="582" t="str">
        <f>IF(AND(FW$12&gt;=$E55,FW$12&lt;=$F55,MOD(FW$12,7)&gt;1,NOT(COUNTIF(General!$U$13:$U$19,FW$12))),$I55,"")</f>
        <v/>
      </c>
      <c r="FX55" s="582" t="str">
        <f>IF(AND(FX$12&gt;=$E55,FX$12&lt;=$F55,MOD(FX$12,7)&gt;1,NOT(COUNTIF(General!$U$13:$U$19,FX$12))),$I55,"")</f>
        <v/>
      </c>
    </row>
    <row r="56" ht="16.5" customHeight="1">
      <c r="A56" s="580"/>
      <c r="B56" s="581"/>
      <c r="C56" s="582"/>
      <c r="D56" s="624"/>
      <c r="E56" s="583"/>
      <c r="F56" s="620"/>
      <c r="G56" s="584"/>
      <c r="H56" s="585"/>
      <c r="I56" s="581">
        <v>1.0</v>
      </c>
      <c r="J56" s="587"/>
      <c r="K56" s="588"/>
      <c r="L56" s="588"/>
      <c r="M56" s="589"/>
      <c r="N56" s="590"/>
      <c r="O56" s="591"/>
      <c r="P56" s="592"/>
      <c r="Q56" s="582" t="str">
        <f>IF(AND(Q$12&gt;=$E56,Q$12&lt;=$F56,MOD(Q$12,7)&gt;1,NOT(COUNTIF(General!$U$13:$U$19,Q$12))),$I56,"")</f>
        <v/>
      </c>
      <c r="R56" s="582" t="str">
        <f>IF(AND(R$12&gt;=$E56,R$12&lt;=$F56,MOD(R$12,7)&gt;1,NOT(COUNTIF(General!$U$13:$U$19,R$12))),$I56,"")</f>
        <v/>
      </c>
      <c r="S56" s="582" t="str">
        <f>IF(AND(S$12&gt;=$E56,S$12&lt;=$F56,MOD(S$12,7)&gt;1,NOT(COUNTIF(General!$U$13:$U$19,S$12))),$I56,"")</f>
        <v/>
      </c>
      <c r="T56" s="582" t="str">
        <f>IF(AND(T$12&gt;=$E56,T$12&lt;=$F56,MOD(T$12,7)&gt;1,NOT(COUNTIF(General!$U$13:$U$19,T$12))),$I56,"")</f>
        <v/>
      </c>
      <c r="U56" s="582" t="str">
        <f>IF(AND(U$12&gt;=$E56,U$12&lt;=$F56,MOD(U$12,7)&gt;1,NOT(COUNTIF(General!$U$13:$U$19,U$12))),$I56,"")</f>
        <v/>
      </c>
      <c r="V56" s="593" t="str">
        <f>IF(AND(V$12&gt;=$E56,V$12&lt;=$F56,MOD(V$12,7)&gt;1,NOT(COUNTIF(General!$U$13:$U$19,V$12))),$I56,"")</f>
        <v/>
      </c>
      <c r="W56" s="593" t="str">
        <f>IF(AND(W$12&gt;=$E56,W$12&lt;=$F56,MOD(W$12,7)&gt;1,NOT(COUNTIF(General!$U$13:$U$19,W$12))),$I56,"")</f>
        <v/>
      </c>
      <c r="X56" s="582" t="str">
        <f>IF(AND(X$12&gt;=$E56,X$12&lt;=$F56,MOD(X$12,7)&gt;1,NOT(COUNTIF(General!$U$13:$U$19,X$12))),$I56,"")</f>
        <v/>
      </c>
      <c r="Y56" s="582" t="str">
        <f>IF(AND(Y$12&gt;=$E56,Y$12&lt;=$F56,MOD(Y$12,7)&gt;1,NOT(COUNTIF(General!$U$13:$U$19,Y$12))),$I56,"")</f>
        <v/>
      </c>
      <c r="Z56" s="582" t="str">
        <f>IF(AND(Z$12&gt;=$E56,Z$12&lt;=$F56,MOD(Z$12,7)&gt;1,NOT(COUNTIF(General!$U$13:$U$19,Z$12))),$I56,"")</f>
        <v/>
      </c>
      <c r="AA56" s="582" t="str">
        <f>IF(AND(AA$12&gt;=$E56,AA$12&lt;=$F56,MOD(AA$12,7)&gt;1,NOT(COUNTIF(General!$U$13:$U$19,AA$12))),$I56,"")</f>
        <v/>
      </c>
      <c r="AB56" s="582" t="str">
        <f>IF(AND(AB$12&gt;=$E56,AB$12&lt;=$F56,MOD(AB$12,7)&gt;1,NOT(COUNTIF(General!$U$13:$U$19,AB$12))),$I56,"")</f>
        <v/>
      </c>
      <c r="AC56" s="582" t="str">
        <f>IF(AND(AC$12&gt;=$E56,AC$12&lt;=$F56,MOD(AC$12,7)&gt;1,NOT(COUNTIF(General!$U$13:$U$19,AC$12))),$I56,"")</f>
        <v/>
      </c>
      <c r="AD56" s="582" t="str">
        <f>IF(AND(AD$12&gt;=$E56,AD$12&lt;=$F56,MOD(AD$12,7)&gt;1,NOT(COUNTIF(General!$U$13:$U$19,AD$12))),$I56,"")</f>
        <v/>
      </c>
      <c r="AE56" s="582" t="str">
        <f>IF(AND(AE$12&gt;=$E56,AE$12&lt;=$F56,MOD(AE$12,7)&gt;1,NOT(COUNTIF(General!$U$13:$U$19,AE$12))),$I56,"")</f>
        <v/>
      </c>
      <c r="AF56" s="582" t="str">
        <f>IF(AND(AF$12&gt;=$E56,AF$12&lt;=$F56,MOD(AF$12,7)&gt;1,NOT(COUNTIF(General!$U$13:$U$19,AF$12))),$I56,"")</f>
        <v/>
      </c>
      <c r="AG56" s="582" t="str">
        <f>IF(AND(AG$12&gt;=$E56,AG$12&lt;=$F56,MOD(AG$12,7)&gt;1,NOT(COUNTIF(General!$U$13:$U$19,AG$12))),$I56,"")</f>
        <v/>
      </c>
      <c r="AH56" s="582" t="str">
        <f>IF(AND(AH$12&gt;=$E56,AH$12&lt;=$F56,MOD(AH$12,7)&gt;1,NOT(COUNTIF(General!$U$13:$U$19,AH$12))),$I56,"")</f>
        <v/>
      </c>
      <c r="AI56" s="582" t="str">
        <f>IF(AND(AI$12&gt;=$E56,AI$12&lt;=$F56,MOD(AI$12,7)&gt;1,NOT(COUNTIF(General!$U$13:$U$19,AI$12))),$I56,"")</f>
        <v/>
      </c>
      <c r="AJ56" s="593" t="str">
        <f>IF(AND(AJ$12&gt;=$E56,AJ$12&lt;=$F56,MOD(AJ$12,7)&gt;1,NOT(COUNTIF(General!$U$13:$U$19,AJ$12))),$I56,"")</f>
        <v/>
      </c>
      <c r="AK56" s="593" t="str">
        <f>IF(AND(AK$12&gt;=$E56,AK$12&lt;=$F56,MOD(AK$12,7)&gt;1,NOT(COUNTIF(General!$U$13:$U$19,AK$12))),$I56,"")</f>
        <v/>
      </c>
      <c r="AL56" s="582" t="str">
        <f>IF(AND(AL$12&gt;=$E56,AL$12&lt;=$F56,MOD(AL$12,7)&gt;1,NOT(COUNTIF(General!$U$13:$U$19,AL$12))),$I56,"")</f>
        <v/>
      </c>
      <c r="AM56" s="582" t="str">
        <f>IF(AND(AM$12&gt;=$E56,AM$12&lt;=$F56,MOD(AM$12,7)&gt;1,NOT(COUNTIF(General!$U$13:$U$19,AM$12))),$I56,"")</f>
        <v/>
      </c>
      <c r="AN56" s="582" t="str">
        <f>IF(AND(AN$12&gt;=$E56,AN$12&lt;=$F56,MOD(AN$12,7)&gt;1,NOT(COUNTIF(General!$U$13:$U$19,AN$12))),$I56,"")</f>
        <v/>
      </c>
      <c r="AO56" s="582" t="str">
        <f>IF(AND(AO$12&gt;=$E56,AO$12&lt;=$F56,MOD(AO$12,7)&gt;1,NOT(COUNTIF(General!$U$13:$U$19,AO$12))),$I56,"")</f>
        <v/>
      </c>
      <c r="AP56" s="582" t="str">
        <f>IF(AND(AP$12&gt;=$E56,AP$12&lt;=$F56,MOD(AP$12,7)&gt;1,NOT(COUNTIF(General!$U$13:$U$19,AP$12))),$I56,"")</f>
        <v/>
      </c>
      <c r="AQ56" s="593" t="str">
        <f>IF(AND(AQ$12&gt;=$E56,AQ$12&lt;=$F56,MOD(AQ$12,7)&gt;1,NOT(COUNTIF(General!$U$13:$U$19,AQ$12))),$I56,"")</f>
        <v/>
      </c>
      <c r="AR56" s="593" t="str">
        <f>IF(AND(AR$12&gt;=$E56,AR$12&lt;=$F56,MOD(AR$12,7)&gt;1,NOT(COUNTIF(General!$U$13:$U$19,AR$12))),$I56,"")</f>
        <v/>
      </c>
      <c r="AS56" s="582" t="str">
        <f>IF(AND(AS$12&gt;=$E56,AS$12&lt;=$F56,MOD(AS$12,7)&gt;1,NOT(COUNTIF(General!$U$13:$U$19,AS$12))),$I56,"")</f>
        <v/>
      </c>
      <c r="AT56" s="582" t="str">
        <f>IF(AND(AT$12&gt;=$E56,AT$12&lt;=$F56,MOD(AT$12,7)&gt;1,NOT(COUNTIF(General!$U$13:$U$19,AT$12))),$I56,"")</f>
        <v/>
      </c>
      <c r="AU56" s="582" t="str">
        <f>IF(AND(AU$12&gt;=$E56,AU$12&lt;=$F56,MOD(AU$12,7)&gt;1,NOT(COUNTIF(General!$U$13:$U$19,AU$12))),$I56,"")</f>
        <v/>
      </c>
      <c r="AV56" s="582" t="str">
        <f>IF(AND(AV$12&gt;=$E56,AV$12&lt;=$F56,MOD(AV$12,7)&gt;1,NOT(COUNTIF(General!$U$13:$U$19,AV$12))),$I56,"")</f>
        <v/>
      </c>
      <c r="AW56" s="582" t="str">
        <f>IF(AND(AW$12&gt;=$E56,AW$12&lt;=$F56,MOD(AW$12,7)&gt;1,NOT(COUNTIF(General!$U$13:$U$19,AW$12))),$I56,"")</f>
        <v/>
      </c>
      <c r="AX56" s="593" t="str">
        <f>IF(AND(AX$12&gt;=$E56,AX$12&lt;=$F56,MOD(AX$12,7)&gt;1,NOT(COUNTIF(General!$U$13:$U$19,AX$12))),$I56,"")</f>
        <v/>
      </c>
      <c r="AY56" s="593" t="str">
        <f>IF(AND(AY$12&gt;=$E56,AY$12&lt;=$F56,MOD(AY$12,7)&gt;1,NOT(COUNTIF(General!$U$13:$U$19,AY$12))),$I56,"")</f>
        <v/>
      </c>
      <c r="AZ56" s="582" t="str">
        <f>IF(AND(AZ$12&gt;=$E56,AZ$12&lt;=$F56,MOD(AZ$12,7)&gt;1,NOT(COUNTIF(General!$U$13:$U$19,AZ$12))),$I56,"")</f>
        <v/>
      </c>
      <c r="BA56" s="582" t="str">
        <f>IF(AND(BA$12&gt;=$E56,BA$12&lt;=$F56,MOD(BA$12,7)&gt;1,NOT(COUNTIF(General!$U$13:$U$19,BA$12))),$I56,"")</f>
        <v/>
      </c>
      <c r="BB56" s="582" t="str">
        <f>IF(AND(BB$12&gt;=$E56,BB$12&lt;=$F56,MOD(BB$12,7)&gt;1,NOT(COUNTIF(General!$U$13:$U$19,BB$12))),$I56,"")</f>
        <v/>
      </c>
      <c r="BC56" s="582" t="str">
        <f>IF(AND(BC$12&gt;=$E56,BC$12&lt;=$F56,MOD(BC$12,7)&gt;1,NOT(COUNTIF(General!$U$13:$U$19,BC$12))),$I56,"")</f>
        <v/>
      </c>
      <c r="BD56" s="582" t="str">
        <f>IF(AND(BD$12&gt;=$E56,BD$12&lt;=$F56,MOD(BD$12,7)&gt;1,NOT(COUNTIF(General!$U$13:$U$19,BD$12))),$I56,"")</f>
        <v/>
      </c>
      <c r="BE56" s="593" t="str">
        <f>IF(AND(BE$12&gt;=$E56,BE$12&lt;=$F56,MOD(BE$12,7)&gt;1,NOT(COUNTIF(General!$U$13:$U$19,BE$12))),$I56,"")</f>
        <v/>
      </c>
      <c r="BF56" s="593" t="str">
        <f>IF(AND(BF$12&gt;=$E56,BF$12&lt;=$F56,MOD(BF$12,7)&gt;1,NOT(COUNTIF(General!$U$13:$U$19,BF$12))),$I56,"")</f>
        <v/>
      </c>
      <c r="BG56" s="582" t="str">
        <f>IF(AND(BG$12&gt;=$E56,BG$12&lt;=$F56,MOD(BG$12,7)&gt;1,NOT(COUNTIF(General!$U$13:$U$19,BG$12))),$I56,"")</f>
        <v/>
      </c>
      <c r="BH56" s="582" t="str">
        <f>IF(AND(BH$12&gt;=$E56,BH$12&lt;=$F56,MOD(BH$12,7)&gt;1,NOT(COUNTIF(General!$U$13:$U$19,BH$12))),$I56,"")</f>
        <v/>
      </c>
      <c r="BI56" s="582" t="str">
        <f>IF(AND(BI$12&gt;=$E56,BI$12&lt;=$F56,MOD(BI$12,7)&gt;1,NOT(COUNTIF(General!$U$13:$U$19,BI$12))),$I56,"")</f>
        <v/>
      </c>
      <c r="BJ56" s="582" t="str">
        <f>IF(AND(BJ$12&gt;=$E56,BJ$12&lt;=$F56,MOD(BJ$12,7)&gt;1,NOT(COUNTIF(General!$U$13:$U$19,BJ$12))),$I56,"")</f>
        <v/>
      </c>
      <c r="BK56" s="582" t="str">
        <f>IF(AND(BK$12&gt;=$E56,BK$12&lt;=$F56,MOD(BK$12,7)&gt;1,NOT(COUNTIF(General!$U$13:$U$19,BK$12))),$I56,"")</f>
        <v/>
      </c>
      <c r="BL56" s="593" t="str">
        <f>IF(AND(BL$12&gt;=$E56,BL$12&lt;=$F56,MOD(BL$12,7)&gt;1,NOT(COUNTIF(General!$U$13:$U$19,BL$12))),$I56,"")</f>
        <v/>
      </c>
      <c r="BM56" s="593" t="str">
        <f>IF(AND(BM$12&gt;=$E56,BM$12&lt;=$F56,MOD(BM$12,7)&gt;1,NOT(COUNTIF(General!$U$13:$U$19,BM$12))),$I56,"")</f>
        <v/>
      </c>
      <c r="BN56" s="582" t="str">
        <f>IF(AND(BN$12&gt;=$E56,BN$12&lt;=$F56,MOD(BN$12,7)&gt;1,NOT(COUNTIF(General!$U$13:$U$19,BN$12))),$I56,"")</f>
        <v/>
      </c>
      <c r="BO56" s="582" t="str">
        <f>IF(AND(BO$12&gt;=$E56,BO$12&lt;=$F56,MOD(BO$12,7)&gt;1,NOT(COUNTIF(General!$U$13:$U$19,BO$12))),$I56,"")</f>
        <v/>
      </c>
      <c r="BP56" s="582" t="str">
        <f>IF(AND(BP$12&gt;=$E56,BP$12&lt;=$F56,MOD(BP$12,7)&gt;1,NOT(COUNTIF(General!$U$13:$U$19,BP$12))),$I56,"")</f>
        <v/>
      </c>
      <c r="BQ56" s="582" t="str">
        <f>IF(AND(BQ$12&gt;=$E56,BQ$12&lt;=$F56,MOD(BQ$12,7)&gt;1,NOT(COUNTIF(General!$U$13:$U$19,BQ$12))),$I56,"")</f>
        <v/>
      </c>
      <c r="BR56" s="582" t="str">
        <f>IF(AND(BR$12&gt;=$E56,BR$12&lt;=$F56,MOD(BR$12,7)&gt;1,NOT(COUNTIF(General!$U$13:$U$19,BR$12))),$I56,"")</f>
        <v/>
      </c>
      <c r="BS56" s="593" t="str">
        <f>IF(AND(BS$12&gt;=$E56,BS$12&lt;=$F56,MOD(BS$12,7)&gt;1,NOT(COUNTIF(General!$U$13:$U$19,BS$12))),$I56,"")</f>
        <v/>
      </c>
      <c r="BT56" s="593" t="str">
        <f>IF(AND(BT$12&gt;=$E56,BT$12&lt;=$F56,MOD(BT$12,7)&gt;1,NOT(COUNTIF(General!$U$13:$U$19,BT$12))),$I56,"")</f>
        <v/>
      </c>
      <c r="BU56" s="582" t="str">
        <f>IF(AND(BU$12&gt;=$E56,BU$12&lt;=$F56,MOD(BU$12,7)&gt;1,NOT(COUNTIF(General!$U$13:$U$19,BU$12))),$I56,"")</f>
        <v/>
      </c>
      <c r="BV56" s="582" t="str">
        <f>IF(AND(BV$12&gt;=$E56,BV$12&lt;=$F56,MOD(BV$12,7)&gt;1,NOT(COUNTIF(General!$U$13:$U$19,BV$12))),$I56,"")</f>
        <v/>
      </c>
      <c r="BW56" s="582" t="str">
        <f>IF(AND(BW$12&gt;=$E56,BW$12&lt;=$F56,MOD(BW$12,7)&gt;1,NOT(COUNTIF(General!$U$13:$U$19,BW$12))),$I56,"")</f>
        <v/>
      </c>
      <c r="BX56" s="582" t="str">
        <f>IF(AND(BX$12&gt;=$E56,BX$12&lt;=$F56,MOD(BX$12,7)&gt;1,NOT(COUNTIF(General!$U$13:$U$19,BX$12))),$I56,"")</f>
        <v/>
      </c>
      <c r="BY56" s="582" t="str">
        <f>IF(AND(BY$12&gt;=$E56,BY$12&lt;=$F56,MOD(BY$12,7)&gt;1,NOT(COUNTIF(General!$U$13:$U$19,BY$12))),$I56,"")</f>
        <v/>
      </c>
      <c r="BZ56" s="593" t="str">
        <f>IF(AND(BZ$12&gt;=$E56,BZ$12&lt;=$F56,MOD(BZ$12,7)&gt;1,NOT(COUNTIF(General!$U$13:$U$19,BZ$12))),$I56,"")</f>
        <v/>
      </c>
      <c r="CA56" s="593" t="str">
        <f>IF(AND(CA$12&gt;=$E56,CA$12&lt;=$F56,MOD(CA$12,7)&gt;1,NOT(COUNTIF(General!$U$13:$U$19,CA$12))),$I56,"")</f>
        <v/>
      </c>
      <c r="CB56" s="582" t="str">
        <f>IF(AND(CB$12&gt;=$E56,CB$12&lt;=$F56,MOD(CB$12,7)&gt;1,NOT(COUNTIF(General!$U$13:$U$19,CB$12))),$I56,"")</f>
        <v/>
      </c>
      <c r="CC56" s="582" t="str">
        <f>IF(AND(CC$12&gt;=$E56,CC$12&lt;=$F56,MOD(CC$12,7)&gt;1,NOT(COUNTIF(General!$U$13:$U$19,CC$12))),$I56,"")</f>
        <v/>
      </c>
      <c r="CD56" s="582" t="str">
        <f>IF(AND(CD$12&gt;=$E56,CD$12&lt;=$F56,MOD(CD$12,7)&gt;1,NOT(COUNTIF(General!$U$13:$U$19,CD$12))),$I56,"")</f>
        <v/>
      </c>
      <c r="CE56" s="582" t="str">
        <f>IF(AND(CE$12&gt;=$E56,CE$12&lt;=$F56,MOD(CE$12,7)&gt;1,NOT(COUNTIF(General!$U$13:$U$19,CE$12))),$I56,"")</f>
        <v/>
      </c>
      <c r="CF56" s="582" t="str">
        <f>IF(AND(CF$12&gt;=$E56,CF$12&lt;=$F56,MOD(CF$12,7)&gt;1,NOT(COUNTIF(General!$U$13:$U$19,CF$12))),$I56,"")</f>
        <v/>
      </c>
      <c r="CG56" s="593" t="str">
        <f>IF(AND(CG$12&gt;=$E56,CG$12&lt;=$F56,MOD(CG$12,7)&gt;1,NOT(COUNTIF(General!$U$13:$U$19,CG$12))),$I56,"")</f>
        <v/>
      </c>
      <c r="CH56" s="593" t="str">
        <f>IF(AND(CH$12&gt;=$E56,CH$12&lt;=$F56,MOD(CH$12,7)&gt;1,NOT(COUNTIF(General!$U$13:$U$19,CH$12))),$I56,"")</f>
        <v/>
      </c>
      <c r="CI56" s="582" t="str">
        <f>IF(AND(CI$12&gt;=$E56,CI$12&lt;=$F56,MOD(CI$12,7)&gt;1,NOT(COUNTIF(General!$U$13:$U$19,CI$12))),$I56,"")</f>
        <v/>
      </c>
      <c r="CJ56" s="582" t="str">
        <f>IF(AND(CJ$12&gt;=$E56,CJ$12&lt;=$F56,MOD(CJ$12,7)&gt;1,NOT(COUNTIF(General!$U$13:$U$19,CJ$12))),$I56,"")</f>
        <v/>
      </c>
      <c r="CK56" s="582" t="str">
        <f>IF(AND(CK$12&gt;=$E56,CK$12&lt;=$F56,MOD(CK$12,7)&gt;1,NOT(COUNTIF(General!$U$13:$U$19,CK$12))),$I56,"")</f>
        <v/>
      </c>
      <c r="CL56" s="582" t="str">
        <f>IF(AND(CL$12&gt;=$E56,CL$12&lt;=$F56,MOD(CL$12,7)&gt;1,NOT(COUNTIF(General!$U$13:$U$19,CL$12))),$I56,"")</f>
        <v/>
      </c>
      <c r="CM56" s="582" t="str">
        <f>IF(AND(CM$12&gt;=$E56,CM$12&lt;=$F56,MOD(CM$12,7)&gt;1,NOT(COUNTIF(General!$U$13:$U$19,CM$12))),$I56,"")</f>
        <v/>
      </c>
      <c r="CN56" s="593" t="str">
        <f>IF(AND(CN$12&gt;=$E56,CN$12&lt;=$F56,MOD(CN$12,7)&gt;1,NOT(COUNTIF(General!$U$13:$U$19,CN$12))),$I56,"")</f>
        <v/>
      </c>
      <c r="CO56" s="593" t="str">
        <f>IF(AND(CO$12&gt;=$E56,CO$12&lt;=$F56,MOD(CO$12,7)&gt;1,NOT(COUNTIF(General!$U$13:$U$19,CO$12))),$I56,"")</f>
        <v/>
      </c>
      <c r="CP56" s="582" t="str">
        <f>IF(AND(CP$12&gt;=$E56,CP$12&lt;=$F56,MOD(CP$12,7)&gt;1,NOT(COUNTIF(General!$U$13:$U$19,CP$12))),$I56,"")</f>
        <v/>
      </c>
      <c r="CQ56" s="582" t="str">
        <f>IF(AND(CQ$12&gt;=$E56,CQ$12&lt;=$F56,MOD(CQ$12,7)&gt;1,NOT(COUNTIF(General!$U$13:$U$19,CQ$12))),$I56,"")</f>
        <v/>
      </c>
      <c r="CR56" s="582" t="str">
        <f>IF(AND(CR$12&gt;=$E56,CR$12&lt;=$F56,MOD(CR$12,7)&gt;1,NOT(COUNTIF(General!$U$13:$U$19,CR$12))),$I56,"")</f>
        <v/>
      </c>
      <c r="CS56" s="582" t="str">
        <f>IF(AND(CS$12&gt;=$E56,CS$12&lt;=$F56,MOD(CS$12,7)&gt;1,NOT(COUNTIF(General!$U$13:$U$19,CS$12))),$I56,"")</f>
        <v/>
      </c>
      <c r="CT56" s="582" t="str">
        <f>IF(AND(CT$12&gt;=$E56,CT$12&lt;=$F56,MOD(CT$12,7)&gt;1,NOT(COUNTIF(General!$U$13:$U$19,CT$12))),$I56,"")</f>
        <v/>
      </c>
      <c r="CU56" s="593" t="str">
        <f>IF(AND(CU$12&gt;=$E56,CU$12&lt;=$F56,MOD(CU$12,7)&gt;1,NOT(COUNTIF(General!$U$13:$U$19,CU$12))),$I56,"")</f>
        <v/>
      </c>
      <c r="CV56" s="593" t="str">
        <f>IF(AND(CV$12&gt;=$E56,CV$12&lt;=$F56,MOD(CV$12,7)&gt;1,NOT(COUNTIF(General!$U$13:$U$19,CV$12))),$I56,"")</f>
        <v/>
      </c>
      <c r="CW56" s="582" t="str">
        <f>IF(AND(CW$12&gt;=$E56,CW$12&lt;=$F56,MOD(CW$12,7)&gt;1,NOT(COUNTIF(General!$U$13:$U$19,CW$12))),$I56,"")</f>
        <v/>
      </c>
      <c r="CX56" s="582" t="str">
        <f>IF(AND(CX$12&gt;=$E56,CX$12&lt;=$F56,MOD(CX$12,7)&gt;1,NOT(COUNTIF(General!$U$13:$U$19,CX$12))),$I56,"")</f>
        <v/>
      </c>
      <c r="CY56" s="582" t="str">
        <f>IF(AND(CY$12&gt;=$E56,CY$12&lt;=$F56,MOD(CY$12,7)&gt;1,NOT(COUNTIF(General!$U$13:$U$19,CY$12))),$I56,"")</f>
        <v/>
      </c>
      <c r="CZ56" s="582" t="str">
        <f>IF(AND(CZ$12&gt;=$E56,CZ$12&lt;=$F56,MOD(CZ$12,7)&gt;1,NOT(COUNTIF(General!$U$13:$U$19,CZ$12))),$I56,"")</f>
        <v/>
      </c>
      <c r="DA56" s="582" t="str">
        <f>IF(AND(DA$12&gt;=$E56,DA$12&lt;=$F56,MOD(DA$12,7)&gt;1,NOT(COUNTIF(General!$U$13:$U$19,DA$12))),$I56,"")</f>
        <v/>
      </c>
      <c r="DB56" s="593" t="str">
        <f>IF(AND(DB$12&gt;=$E56,DB$12&lt;=$F56,MOD(DB$12,7)&gt;1,NOT(COUNTIF(General!$U$13:$U$19,DB$12))),$I56,"")</f>
        <v/>
      </c>
      <c r="DC56" s="593" t="str">
        <f>IF(AND(DC$12&gt;=$E56,DC$12&lt;=$F56,MOD(DC$12,7)&gt;1,NOT(COUNTIF(General!$U$13:$U$19,DC$12))),$I56,"")</f>
        <v/>
      </c>
      <c r="DD56" s="582" t="str">
        <f>IF(AND(DD$12&gt;=$E56,DD$12&lt;=$F56,MOD(DD$12,7)&gt;1,NOT(COUNTIF(General!$U$13:$U$19,DD$12))),$I56,"")</f>
        <v/>
      </c>
      <c r="DE56" s="582" t="str">
        <f>IF(AND(DE$12&gt;=$E56,DE$12&lt;=$F56,MOD(DE$12,7)&gt;1,NOT(COUNTIF(General!$U$13:$U$19,DE$12))),$I56,"")</f>
        <v/>
      </c>
      <c r="DF56" s="582" t="str">
        <f>IF(AND(DF$12&gt;=$E56,DF$12&lt;=$F56,MOD(DF$12,7)&gt;1,NOT(COUNTIF(General!$U$13:$U$19,DF$12))),$I56,"")</f>
        <v/>
      </c>
      <c r="DG56" s="582" t="str">
        <f>IF(AND(DG$12&gt;=$E56,DG$12&lt;=$F56,MOD(DG$12,7)&gt;1,NOT(COUNTIF(General!$U$13:$U$19,DG$12))),$I56,"")</f>
        <v/>
      </c>
      <c r="DH56" s="582" t="str">
        <f>IF(AND(DH$12&gt;=$E56,DH$12&lt;=$F56,MOD(DH$12,7)&gt;1,NOT(COUNTIF(General!$U$13:$U$19,DH$12))),$I56,"")</f>
        <v/>
      </c>
      <c r="DI56" s="593" t="str">
        <f>IF(AND(DI$12&gt;=$E56,DI$12&lt;=$F56,MOD(DI$12,7)&gt;1,NOT(COUNTIF(General!$U$13:$U$19,DI$12))),$I56,"")</f>
        <v/>
      </c>
      <c r="DJ56" s="593" t="str">
        <f>IF(AND(DJ$12&gt;=$E56,DJ$12&lt;=$F56,MOD(DJ$12,7)&gt;1,NOT(COUNTIF(General!$U$13:$U$19,DJ$12))),$I56,"")</f>
        <v/>
      </c>
      <c r="DK56" s="582" t="str">
        <f>IF(AND(DK$12&gt;=$E56,DK$12&lt;=$F56,MOD(DK$12,7)&gt;1,NOT(COUNTIF(General!$U$13:$U$19,DK$12))),$I56,"")</f>
        <v/>
      </c>
      <c r="DL56" s="582" t="str">
        <f>IF(AND(DL$12&gt;=$E56,DL$12&lt;=$F56,MOD(DL$12,7)&gt;1,NOT(COUNTIF(General!$U$13:$U$19,DL$12))),$I56,"")</f>
        <v/>
      </c>
      <c r="DM56" s="582" t="str">
        <f>IF(AND(DM$12&gt;=$E56,DM$12&lt;=$F56,MOD(DM$12,7)&gt;1,NOT(COUNTIF(General!$U$13:$U$19,DM$12))),$I56,"")</f>
        <v/>
      </c>
      <c r="DN56" s="582" t="str">
        <f>IF(AND(DN$12&gt;=$E56,DN$12&lt;=$F56,MOD(DN$12,7)&gt;1,NOT(COUNTIF(General!$U$13:$U$19,DN$12))),$I56,"")</f>
        <v/>
      </c>
      <c r="DO56" s="582" t="str">
        <f>IF(AND(DO$12&gt;=$E56,DO$12&lt;=$F56,MOD(DO$12,7)&gt;1,NOT(COUNTIF(General!$U$13:$U$19,DO$12))),$I56,"")</f>
        <v/>
      </c>
      <c r="DP56" s="593" t="str">
        <f>IF(AND(DP$12&gt;=$E56,DP$12&lt;=$F56,MOD(DP$12,7)&gt;1,NOT(COUNTIF(General!$U$13:$U$19,DP$12))),$I56,"")</f>
        <v/>
      </c>
      <c r="DQ56" s="593" t="str">
        <f>IF(AND(DQ$12&gt;=$E56,DQ$12&lt;=$F56,MOD(DQ$12,7)&gt;1,NOT(COUNTIF(General!$U$13:$U$19,DQ$12))),$I56,"")</f>
        <v/>
      </c>
      <c r="DR56" s="582" t="str">
        <f>IF(AND(DR$12&gt;=$E56,DR$12&lt;=$F56,MOD(DR$12,7)&gt;1,NOT(COUNTIF(General!$U$13:$U$19,DR$12))),$I56,"")</f>
        <v/>
      </c>
      <c r="DS56" s="582" t="str">
        <f>IF(AND(DS$12&gt;=$E56,DS$12&lt;=$F56,MOD(DS$12,7)&gt;1,NOT(COUNTIF(General!$U$13:$U$19,DS$12))),$I56,"")</f>
        <v/>
      </c>
      <c r="DT56" s="582" t="str">
        <f>IF(AND(DT$12&gt;=$E56,DT$12&lt;=$F56,MOD(DT$12,7)&gt;1,NOT(COUNTIF(General!$U$13:$U$19,DT$12))),$I56,"")</f>
        <v/>
      </c>
      <c r="DU56" s="582" t="str">
        <f>IF(AND(DU$12&gt;=$E56,DU$12&lt;=$F56,MOD(DU$12,7)&gt;1,NOT(COUNTIF(General!$U$13:$U$19,DU$12))),$I56,"")</f>
        <v/>
      </c>
      <c r="DV56" s="582" t="str">
        <f>IF(AND(DV$12&gt;=$E56,DV$12&lt;=$F56,MOD(DV$12,7)&gt;1,NOT(COUNTIF(General!$U$13:$U$19,DV$12))),$I56,"")</f>
        <v/>
      </c>
      <c r="DW56" s="593" t="str">
        <f>IF(AND(DW$12&gt;=$E56,DW$12&lt;=$F56,MOD(DW$12,7)&gt;1,NOT(COUNTIF(General!$U$13:$U$19,DW$12))),$I56,"")</f>
        <v/>
      </c>
      <c r="DX56" s="593" t="str">
        <f>IF(AND(DX$12&gt;=$E56,DX$12&lt;=$F56,MOD(DX$12,7)&gt;1,NOT(COUNTIF(General!$U$13:$U$19,DX$12))),$I56,"")</f>
        <v/>
      </c>
      <c r="DY56" s="582" t="str">
        <f>IF(AND(DY$12&gt;=$E56,DY$12&lt;=$F56,MOD(DY$12,7)&gt;1,NOT(COUNTIF(General!$U$13:$U$19,DY$12))),$I56,"")</f>
        <v/>
      </c>
      <c r="DZ56" s="582" t="str">
        <f>IF(AND(DZ$12&gt;=$E56,DZ$12&lt;=$F56,MOD(DZ$12,7)&gt;1,NOT(COUNTIF(General!$U$13:$U$19,DZ$12))),$I56,"")</f>
        <v/>
      </c>
      <c r="EA56" s="582" t="str">
        <f>IF(AND(EA$12&gt;=$E56,EA$12&lt;=$F56,MOD(EA$12,7)&gt;1,NOT(COUNTIF(General!$U$13:$U$19,EA$12))),$I56,"")</f>
        <v/>
      </c>
      <c r="EB56" s="582" t="str">
        <f>IF(AND(EB$12&gt;=$E56,EB$12&lt;=$F56,MOD(EB$12,7)&gt;1,NOT(COUNTIF(General!$U$13:$U$19,EB$12))),$I56,"")</f>
        <v/>
      </c>
      <c r="EC56" s="582" t="str">
        <f>IF(AND(EC$12&gt;=$E56,EC$12&lt;=$F56,MOD(EC$12,7)&gt;1,NOT(COUNTIF(General!$U$13:$U$19,EC$12))),$I56,"")</f>
        <v/>
      </c>
      <c r="ED56" s="593" t="str">
        <f>IF(AND(ED$12&gt;=$E56,ED$12&lt;=$F56,MOD(ED$12,7)&gt;1,NOT(COUNTIF(General!$U$13:$U$19,ED$12))),$I56,"")</f>
        <v/>
      </c>
      <c r="EE56" s="593" t="str">
        <f>IF(AND(EE$12&gt;=$E56,EE$12&lt;=$F56,MOD(EE$12,7)&gt;1,NOT(COUNTIF(General!$U$13:$U$19,EE$12))),$I56,"")</f>
        <v/>
      </c>
      <c r="EF56" s="582" t="str">
        <f>IF(AND(EF$12&gt;=$E56,EF$12&lt;=$F56,MOD(EF$12,7)&gt;1,NOT(COUNTIF(General!$U$13:$U$19,EF$12))),$I56,"")</f>
        <v/>
      </c>
      <c r="EG56" s="582" t="str">
        <f>IF(AND(EG$12&gt;=$E56,EG$12&lt;=$F56,MOD(EG$12,7)&gt;1,NOT(COUNTIF(General!$U$13:$U$19,EG$12))),$I56,"")</f>
        <v/>
      </c>
      <c r="EH56" s="582" t="str">
        <f>IF(AND(EH$12&gt;=$E56,EH$12&lt;=$F56,MOD(EH$12,7)&gt;1,NOT(COUNTIF(General!$U$13:$U$19,EH$12))),$I56,"")</f>
        <v/>
      </c>
      <c r="EI56" s="582" t="str">
        <f>IF(AND(EI$12&gt;=$E56,EI$12&lt;=$F56,MOD(EI$12,7)&gt;1,NOT(COUNTIF(General!$U$13:$U$19,EI$12))),$I56,"")</f>
        <v/>
      </c>
      <c r="EJ56" s="582" t="str">
        <f>IF(AND(EJ$12&gt;=$E56,EJ$12&lt;=$F56,MOD(EJ$12,7)&gt;1,NOT(COUNTIF(General!$U$13:$U$19,EJ$12))),$I56,"")</f>
        <v/>
      </c>
      <c r="EK56" s="593" t="str">
        <f>IF(AND(EK$12&gt;=$E56,EK$12&lt;=$F56,MOD(EK$12,7)&gt;1,NOT(COUNTIF(General!$U$13:$U$19,EK$12))),$I56,"")</f>
        <v/>
      </c>
      <c r="EL56" s="593" t="str">
        <f>IF(AND(EL$12&gt;=$E56,EL$12&lt;=$F56,MOD(EL$12,7)&gt;1,NOT(COUNTIF(General!$U$13:$U$19,EL$12))),$I56,"")</f>
        <v/>
      </c>
      <c r="EM56" s="582" t="str">
        <f>IF(AND(EM$12&gt;=$E56,EM$12&lt;=$F56,MOD(EM$12,7)&gt;1,NOT(COUNTIF(General!$U$13:$U$19,EM$12))),$I56,"")</f>
        <v/>
      </c>
      <c r="EN56" s="582" t="str">
        <f>IF(AND(EN$12&gt;=$E56,EN$12&lt;=$F56,MOD(EN$12,7)&gt;1,NOT(COUNTIF(General!$U$13:$U$19,EN$12))),$I56,"")</f>
        <v/>
      </c>
      <c r="EO56" s="582" t="str">
        <f>IF(AND(EO$12&gt;=$E56,EO$12&lt;=$F56,MOD(EO$12,7)&gt;1,NOT(COUNTIF(General!$U$13:$U$19,EO$12))),$I56,"")</f>
        <v/>
      </c>
      <c r="EP56" s="582" t="str">
        <f>IF(AND(EP$12&gt;=$E56,EP$12&lt;=$F56,MOD(EP$12,7)&gt;1,NOT(COUNTIF(General!$U$13:$U$19,EP$12))),$I56,"")</f>
        <v/>
      </c>
      <c r="EQ56" s="582" t="str">
        <f>IF(AND(EQ$12&gt;=$E56,EQ$12&lt;=$F56,MOD(EQ$12,7)&gt;1,NOT(COUNTIF(General!$U$13:$U$19,EQ$12))),$I56,"")</f>
        <v/>
      </c>
      <c r="ER56" s="593" t="str">
        <f>IF(AND(ER$12&gt;=$E56,ER$12&lt;=$F56,MOD(ER$12,7)&gt;1,NOT(COUNTIF(General!$U$13:$U$19,ER$12))),$I56,"")</f>
        <v/>
      </c>
      <c r="ES56" s="593" t="str">
        <f>IF(AND(ES$12&gt;=$E56,ES$12&lt;=$F56,MOD(ES$12,7)&gt;1,NOT(COUNTIF(General!$U$13:$U$19,ES$12))),$I56,"")</f>
        <v/>
      </c>
      <c r="ET56" s="582" t="str">
        <f>IF(AND(ET$12&gt;=$E56,ET$12&lt;=$F56,MOD(ET$12,7)&gt;1,NOT(COUNTIF(General!$U$13:$U$19,ET$12))),$I56,"")</f>
        <v/>
      </c>
      <c r="EU56" s="582" t="str">
        <f>IF(AND(EU$12&gt;=$E56,EU$12&lt;=$F56,MOD(EU$12,7)&gt;1,NOT(COUNTIF(General!$U$13:$U$19,EU$12))),$I56,"")</f>
        <v/>
      </c>
      <c r="EV56" s="582" t="str">
        <f>IF(AND(EV$12&gt;=$E56,EV$12&lt;=$F56,MOD(EV$12,7)&gt;1,NOT(COUNTIF(General!$U$13:$U$19,EV$12))),$I56,"")</f>
        <v/>
      </c>
      <c r="EW56" s="582" t="str">
        <f>IF(AND(EW$12&gt;=$E56,EW$12&lt;=$F56,MOD(EW$12,7)&gt;1,NOT(COUNTIF(General!$U$13:$U$19,EW$12))),$I56,"")</f>
        <v/>
      </c>
      <c r="EX56" s="582" t="str">
        <f>IF(AND(EX$12&gt;=$E56,EX$12&lt;=$F56,MOD(EX$12,7)&gt;1,NOT(COUNTIF(General!$U$13:$U$19,EX$12))),$I56,"")</f>
        <v/>
      </c>
      <c r="EY56" s="593" t="str">
        <f>IF(AND(EY$12&gt;=$E56,EY$12&lt;=$F56,MOD(EY$12,7)&gt;1,NOT(COUNTIF(General!$U$13:$U$19,EY$12))),$I56,"")</f>
        <v/>
      </c>
      <c r="EZ56" s="593" t="str">
        <f>IF(AND(EZ$12&gt;=$E56,EZ$12&lt;=$F56,MOD(EZ$12,7)&gt;1,NOT(COUNTIF(General!$U$13:$U$19,EZ$12))),$I56,"")</f>
        <v/>
      </c>
      <c r="FA56" s="582" t="str">
        <f>IF(AND(FA$12&gt;=$E56,FA$12&lt;=$F56,MOD(FA$12,7)&gt;1,NOT(COUNTIF(General!$U$13:$U$19,FA$12))),$I56,"")</f>
        <v/>
      </c>
      <c r="FB56" s="582" t="str">
        <f>IF(AND(FB$12&gt;=$E56,FB$12&lt;=$F56,MOD(FB$12,7)&gt;1,NOT(COUNTIF(General!$U$13:$U$19,FB$12))),$I56,"")</f>
        <v/>
      </c>
      <c r="FC56" s="582" t="str">
        <f>IF(AND(FC$12&gt;=$E56,FC$12&lt;=$F56,MOD(FC$12,7)&gt;1,NOT(COUNTIF(General!$U$13:$U$19,FC$12))),$I56,"")</f>
        <v/>
      </c>
      <c r="FD56" s="582" t="str">
        <f>IF(AND(FD$12&gt;=$E56,FD$12&lt;=$F56,MOD(FD$12,7)&gt;1,NOT(COUNTIF(General!$U$13:$U$19,FD$12))),$I56,"")</f>
        <v/>
      </c>
      <c r="FE56" s="582" t="str">
        <f>IF(AND(FE$12&gt;=$E56,FE$12&lt;=$F56,MOD(FE$12,7)&gt;1,NOT(COUNTIF(General!$U$13:$U$19,FE$12))),$I56,"")</f>
        <v/>
      </c>
      <c r="FF56" s="593" t="str">
        <f>IF(AND(FF$12&gt;=$E56,FF$12&lt;=$F56,MOD(FF$12,7)&gt;1,NOT(COUNTIF(General!$U$13:$U$19,FF$12))),$I56,"")</f>
        <v/>
      </c>
      <c r="FG56" s="593" t="str">
        <f>IF(AND(FG$12&gt;=$E56,FG$12&lt;=$F56,MOD(FG$12,7)&gt;1,NOT(COUNTIF(General!$U$13:$U$19,FG$12))),$I56,"")</f>
        <v/>
      </c>
      <c r="FH56" s="582" t="str">
        <f>IF(AND(FH$12&gt;=$E56,FH$12&lt;=$F56,MOD(FH$12,7)&gt;1,NOT(COUNTIF(General!$U$13:$U$19,FH$12))),$I56,"")</f>
        <v/>
      </c>
      <c r="FI56" s="582" t="str">
        <f>IF(AND(FI$12&gt;=$E56,FI$12&lt;=$F56,MOD(FI$12,7)&gt;1,NOT(COUNTIF(General!$U$13:$U$19,FI$12))),$I56,"")</f>
        <v/>
      </c>
      <c r="FJ56" s="582" t="str">
        <f>IF(AND(FJ$12&gt;=$E56,FJ$12&lt;=$F56,MOD(FJ$12,7)&gt;1,NOT(COUNTIF(General!$U$13:$U$19,FJ$12))),$I56,"")</f>
        <v/>
      </c>
      <c r="FK56" s="582" t="str">
        <f>IF(AND(FK$12&gt;=$E56,FK$12&lt;=$F56,MOD(FK$12,7)&gt;1,NOT(COUNTIF(General!$U$13:$U$19,FK$12))),$I56,"")</f>
        <v/>
      </c>
      <c r="FL56" s="582" t="str">
        <f>IF(AND(FL$12&gt;=$E56,FL$12&lt;=$F56,MOD(FL$12,7)&gt;1,NOT(COUNTIF(General!$U$13:$U$19,FL$12))),$I56,"")</f>
        <v/>
      </c>
      <c r="FM56" s="593" t="str">
        <f>IF(AND(FM$12&gt;=$E56,FM$12&lt;=$F56,MOD(FM$12,7)&gt;1,NOT(COUNTIF(General!$U$13:$U$19,FM$12))),$I56,"")</f>
        <v/>
      </c>
      <c r="FN56" s="593" t="str">
        <f>IF(AND(FN$12&gt;=$E56,FN$12&lt;=$F56,MOD(FN$12,7)&gt;1,NOT(COUNTIF(General!$U$13:$U$19,FN$12))),$I56,"")</f>
        <v/>
      </c>
      <c r="FO56" s="582" t="str">
        <f>IF(AND(FO$12&gt;=$E56,FO$12&lt;=$F56,MOD(FO$12,7)&gt;1,NOT(COUNTIF(General!$U$13:$U$19,FO$12))),$I56,"")</f>
        <v/>
      </c>
      <c r="FP56" s="582" t="str">
        <f>IF(AND(FP$12&gt;=$E56,FP$12&lt;=$F56,MOD(FP$12,7)&gt;1,NOT(COUNTIF(General!$U$13:$U$19,FP$12))),$I56,"")</f>
        <v/>
      </c>
      <c r="FQ56" s="582" t="str">
        <f>IF(AND(FQ$12&gt;=$E56,FQ$12&lt;=$F56,MOD(FQ$12,7)&gt;1,NOT(COUNTIF(General!$U$13:$U$19,FQ$12))),$I56,"")</f>
        <v/>
      </c>
      <c r="FR56" s="582" t="str">
        <f>IF(AND(FR$12&gt;=$E56,FR$12&lt;=$F56,MOD(FR$12,7)&gt;1,NOT(COUNTIF(General!$U$13:$U$19,FR$12))),$I56,"")</f>
        <v/>
      </c>
      <c r="FS56" s="582" t="str">
        <f>IF(AND(FS$12&gt;=$E56,FS$12&lt;=$F56,MOD(FS$12,7)&gt;1,NOT(COUNTIF(General!$U$13:$U$19,FS$12))),$I56,"")</f>
        <v/>
      </c>
      <c r="FT56" s="593" t="str">
        <f>IF(AND(FT$12&gt;=$E56,FT$12&lt;=$F56,MOD(FT$12,7)&gt;1,NOT(COUNTIF(General!$U$13:$U$19,FT$12))),$I56,"")</f>
        <v/>
      </c>
      <c r="FU56" s="593" t="str">
        <f>IF(AND(FU$12&gt;=$E56,FU$12&lt;=$F56,MOD(FU$12,7)&gt;1,NOT(COUNTIF(General!$U$13:$U$19,FU$12))),$I56,"")</f>
        <v/>
      </c>
      <c r="FV56" s="582" t="str">
        <f>IF(AND(FV$12&gt;=$E56,FV$12&lt;=$F56,MOD(FV$12,7)&gt;1,NOT(COUNTIF(General!$U$13:$U$19,FV$12))),$I56,"")</f>
        <v/>
      </c>
      <c r="FW56" s="582" t="str">
        <f>IF(AND(FW$12&gt;=$E56,FW$12&lt;=$F56,MOD(FW$12,7)&gt;1,NOT(COUNTIF(General!$U$13:$U$19,FW$12))),$I56,"")</f>
        <v/>
      </c>
      <c r="FX56" s="582" t="str">
        <f>IF(AND(FX$12&gt;=$E56,FX$12&lt;=$F56,MOD(FX$12,7)&gt;1,NOT(COUNTIF(General!$U$13:$U$19,FX$12))),$I56,"")</f>
        <v/>
      </c>
    </row>
    <row r="57" ht="16.5" customHeight="1">
      <c r="A57" s="594"/>
      <c r="B57" s="582"/>
      <c r="C57" s="582"/>
      <c r="D57" s="625"/>
      <c r="E57" s="583"/>
      <c r="F57" s="620"/>
      <c r="G57" s="584"/>
      <c r="H57" s="585"/>
      <c r="I57" s="581">
        <v>1.0</v>
      </c>
      <c r="J57" s="587"/>
      <c r="K57" s="588"/>
      <c r="L57" s="588"/>
      <c r="M57" s="589"/>
      <c r="N57" s="590"/>
      <c r="O57" s="591"/>
      <c r="P57" s="592"/>
      <c r="Q57" s="582" t="str">
        <f>IF(AND(Q$12&gt;=$E57,Q$12&lt;=$F57,MOD(Q$12,7)&gt;1,NOT(COUNTIF(General!$U$13:$U$19,Q$12))),$I57,"")</f>
        <v/>
      </c>
      <c r="R57" s="582" t="str">
        <f>IF(AND(R$12&gt;=$E57,R$12&lt;=$F57,MOD(R$12,7)&gt;1,NOT(COUNTIF(General!$U$13:$U$19,R$12))),$I57,"")</f>
        <v/>
      </c>
      <c r="S57" s="582" t="str">
        <f>IF(AND(S$12&gt;=$E57,S$12&lt;=$F57,MOD(S$12,7)&gt;1,NOT(COUNTIF(General!$U$13:$U$19,S$12))),$I57,"")</f>
        <v/>
      </c>
      <c r="T57" s="582" t="str">
        <f>IF(AND(T$12&gt;=$E57,T$12&lt;=$F57,MOD(T$12,7)&gt;1,NOT(COUNTIF(General!$U$13:$U$19,T$12))),$I57,"")</f>
        <v/>
      </c>
      <c r="U57" s="582" t="str">
        <f>IF(AND(U$12&gt;=$E57,U$12&lt;=$F57,MOD(U$12,7)&gt;1,NOT(COUNTIF(General!$U$13:$U$19,U$12))),$I57,"")</f>
        <v/>
      </c>
      <c r="V57" s="593" t="str">
        <f>IF(AND(V$12&gt;=$E57,V$12&lt;=$F57,MOD(V$12,7)&gt;1,NOT(COUNTIF(General!$U$13:$U$19,V$12))),$I57,"")</f>
        <v/>
      </c>
      <c r="W57" s="593" t="str">
        <f>IF(AND(W$12&gt;=$E57,W$12&lt;=$F57,MOD(W$12,7)&gt;1,NOT(COUNTIF(General!$U$13:$U$19,W$12))),$I57,"")</f>
        <v/>
      </c>
      <c r="X57" s="582" t="str">
        <f>IF(AND(X$12&gt;=$E57,X$12&lt;=$F57,MOD(X$12,7)&gt;1,NOT(COUNTIF(General!$U$13:$U$19,X$12))),$I57,"")</f>
        <v/>
      </c>
      <c r="Y57" s="582" t="str">
        <f>IF(AND(Y$12&gt;=$E57,Y$12&lt;=$F57,MOD(Y$12,7)&gt;1,NOT(COUNTIF(General!$U$13:$U$19,Y$12))),$I57,"")</f>
        <v/>
      </c>
      <c r="Z57" s="582" t="str">
        <f>IF(AND(Z$12&gt;=$E57,Z$12&lt;=$F57,MOD(Z$12,7)&gt;1,NOT(COUNTIF(General!$U$13:$U$19,Z$12))),$I57,"")</f>
        <v/>
      </c>
      <c r="AA57" s="582" t="str">
        <f>IF(AND(AA$12&gt;=$E57,AA$12&lt;=$F57,MOD(AA$12,7)&gt;1,NOT(COUNTIF(General!$U$13:$U$19,AA$12))),$I57,"")</f>
        <v/>
      </c>
      <c r="AB57" s="582" t="str">
        <f>IF(AND(AB$12&gt;=$E57,AB$12&lt;=$F57,MOD(AB$12,7)&gt;1,NOT(COUNTIF(General!$U$13:$U$19,AB$12))),$I57,"")</f>
        <v/>
      </c>
      <c r="AC57" s="582" t="str">
        <f>IF(AND(AC$12&gt;=$E57,AC$12&lt;=$F57,MOD(AC$12,7)&gt;1,NOT(COUNTIF(General!$U$13:$U$19,AC$12))),$I57,"")</f>
        <v/>
      </c>
      <c r="AD57" s="582" t="str">
        <f>IF(AND(AD$12&gt;=$E57,AD$12&lt;=$F57,MOD(AD$12,7)&gt;1,NOT(COUNTIF(General!$U$13:$U$19,AD$12))),$I57,"")</f>
        <v/>
      </c>
      <c r="AE57" s="582" t="str">
        <f>IF(AND(AE$12&gt;=$E57,AE$12&lt;=$F57,MOD(AE$12,7)&gt;1,NOT(COUNTIF(General!$U$13:$U$19,AE$12))),$I57,"")</f>
        <v/>
      </c>
      <c r="AF57" s="582" t="str">
        <f>IF(AND(AF$12&gt;=$E57,AF$12&lt;=$F57,MOD(AF$12,7)&gt;1,NOT(COUNTIF(General!$U$13:$U$19,AF$12))),$I57,"")</f>
        <v/>
      </c>
      <c r="AG57" s="582" t="str">
        <f>IF(AND(AG$12&gt;=$E57,AG$12&lt;=$F57,MOD(AG$12,7)&gt;1,NOT(COUNTIF(General!$U$13:$U$19,AG$12))),$I57,"")</f>
        <v/>
      </c>
      <c r="AH57" s="582" t="str">
        <f>IF(AND(AH$12&gt;=$E57,AH$12&lt;=$F57,MOD(AH$12,7)&gt;1,NOT(COUNTIF(General!$U$13:$U$19,AH$12))),$I57,"")</f>
        <v/>
      </c>
      <c r="AI57" s="582" t="str">
        <f>IF(AND(AI$12&gt;=$E57,AI$12&lt;=$F57,MOD(AI$12,7)&gt;1,NOT(COUNTIF(General!$U$13:$U$19,AI$12))),$I57,"")</f>
        <v/>
      </c>
      <c r="AJ57" s="593" t="str">
        <f>IF(AND(AJ$12&gt;=$E57,AJ$12&lt;=$F57,MOD(AJ$12,7)&gt;1,NOT(COUNTIF(General!$U$13:$U$19,AJ$12))),$I57,"")</f>
        <v/>
      </c>
      <c r="AK57" s="593" t="str">
        <f>IF(AND(AK$12&gt;=$E57,AK$12&lt;=$F57,MOD(AK$12,7)&gt;1,NOT(COUNTIF(General!$U$13:$U$19,AK$12))),$I57,"")</f>
        <v/>
      </c>
      <c r="AL57" s="582" t="str">
        <f>IF(AND(AL$12&gt;=$E57,AL$12&lt;=$F57,MOD(AL$12,7)&gt;1,NOT(COUNTIF(General!$U$13:$U$19,AL$12))),$I57,"")</f>
        <v/>
      </c>
      <c r="AM57" s="582" t="str">
        <f>IF(AND(AM$12&gt;=$E57,AM$12&lt;=$F57,MOD(AM$12,7)&gt;1,NOT(COUNTIF(General!$U$13:$U$19,AM$12))),$I57,"")</f>
        <v/>
      </c>
      <c r="AN57" s="582" t="str">
        <f>IF(AND(AN$12&gt;=$E57,AN$12&lt;=$F57,MOD(AN$12,7)&gt;1,NOT(COUNTIF(General!$U$13:$U$19,AN$12))),$I57,"")</f>
        <v/>
      </c>
      <c r="AO57" s="582" t="str">
        <f>IF(AND(AO$12&gt;=$E57,AO$12&lt;=$F57,MOD(AO$12,7)&gt;1,NOT(COUNTIF(General!$U$13:$U$19,AO$12))),$I57,"")</f>
        <v/>
      </c>
      <c r="AP57" s="582" t="str">
        <f>IF(AND(AP$12&gt;=$E57,AP$12&lt;=$F57,MOD(AP$12,7)&gt;1,NOT(COUNTIF(General!$U$13:$U$19,AP$12))),$I57,"")</f>
        <v/>
      </c>
      <c r="AQ57" s="593" t="str">
        <f>IF(AND(AQ$12&gt;=$E57,AQ$12&lt;=$F57,MOD(AQ$12,7)&gt;1,NOT(COUNTIF(General!$U$13:$U$19,AQ$12))),$I57,"")</f>
        <v/>
      </c>
      <c r="AR57" s="593" t="str">
        <f>IF(AND(AR$12&gt;=$E57,AR$12&lt;=$F57,MOD(AR$12,7)&gt;1,NOT(COUNTIF(General!$U$13:$U$19,AR$12))),$I57,"")</f>
        <v/>
      </c>
      <c r="AS57" s="582" t="str">
        <f>IF(AND(AS$12&gt;=$E57,AS$12&lt;=$F57,MOD(AS$12,7)&gt;1,NOT(COUNTIF(General!$U$13:$U$19,AS$12))),$I57,"")</f>
        <v/>
      </c>
      <c r="AT57" s="582" t="str">
        <f>IF(AND(AT$12&gt;=$E57,AT$12&lt;=$F57,MOD(AT$12,7)&gt;1,NOT(COUNTIF(General!$U$13:$U$19,AT$12))),$I57,"")</f>
        <v/>
      </c>
      <c r="AU57" s="582" t="str">
        <f>IF(AND(AU$12&gt;=$E57,AU$12&lt;=$F57,MOD(AU$12,7)&gt;1,NOT(COUNTIF(General!$U$13:$U$19,AU$12))),$I57,"")</f>
        <v/>
      </c>
      <c r="AV57" s="582" t="str">
        <f>IF(AND(AV$12&gt;=$E57,AV$12&lt;=$F57,MOD(AV$12,7)&gt;1,NOT(COUNTIF(General!$U$13:$U$19,AV$12))),$I57,"")</f>
        <v/>
      </c>
      <c r="AW57" s="582" t="str">
        <f>IF(AND(AW$12&gt;=$E57,AW$12&lt;=$F57,MOD(AW$12,7)&gt;1,NOT(COUNTIF(General!$U$13:$U$19,AW$12))),$I57,"")</f>
        <v/>
      </c>
      <c r="AX57" s="593" t="str">
        <f>IF(AND(AX$12&gt;=$E57,AX$12&lt;=$F57,MOD(AX$12,7)&gt;1,NOT(COUNTIF(General!$U$13:$U$19,AX$12))),$I57,"")</f>
        <v/>
      </c>
      <c r="AY57" s="593" t="str">
        <f>IF(AND(AY$12&gt;=$E57,AY$12&lt;=$F57,MOD(AY$12,7)&gt;1,NOT(COUNTIF(General!$U$13:$U$19,AY$12))),$I57,"")</f>
        <v/>
      </c>
      <c r="AZ57" s="582" t="str">
        <f>IF(AND(AZ$12&gt;=$E57,AZ$12&lt;=$F57,MOD(AZ$12,7)&gt;1,NOT(COUNTIF(General!$U$13:$U$19,AZ$12))),$I57,"")</f>
        <v/>
      </c>
      <c r="BA57" s="582" t="str">
        <f>IF(AND(BA$12&gt;=$E57,BA$12&lt;=$F57,MOD(BA$12,7)&gt;1,NOT(COUNTIF(General!$U$13:$U$19,BA$12))),$I57,"")</f>
        <v/>
      </c>
      <c r="BB57" s="582" t="str">
        <f>IF(AND(BB$12&gt;=$E57,BB$12&lt;=$F57,MOD(BB$12,7)&gt;1,NOT(COUNTIF(General!$U$13:$U$19,BB$12))),$I57,"")</f>
        <v/>
      </c>
      <c r="BC57" s="582" t="str">
        <f>IF(AND(BC$12&gt;=$E57,BC$12&lt;=$F57,MOD(BC$12,7)&gt;1,NOT(COUNTIF(General!$U$13:$U$19,BC$12))),$I57,"")</f>
        <v/>
      </c>
      <c r="BD57" s="582" t="str">
        <f>IF(AND(BD$12&gt;=$E57,BD$12&lt;=$F57,MOD(BD$12,7)&gt;1,NOT(COUNTIF(General!$U$13:$U$19,BD$12))),$I57,"")</f>
        <v/>
      </c>
      <c r="BE57" s="593" t="str">
        <f>IF(AND(BE$12&gt;=$E57,BE$12&lt;=$F57,MOD(BE$12,7)&gt;1,NOT(COUNTIF(General!$U$13:$U$19,BE$12))),$I57,"")</f>
        <v/>
      </c>
      <c r="BF57" s="593" t="str">
        <f>IF(AND(BF$12&gt;=$E57,BF$12&lt;=$F57,MOD(BF$12,7)&gt;1,NOT(COUNTIF(General!$U$13:$U$19,BF$12))),$I57,"")</f>
        <v/>
      </c>
      <c r="BG57" s="582" t="str">
        <f>IF(AND(BG$12&gt;=$E57,BG$12&lt;=$F57,MOD(BG$12,7)&gt;1,NOT(COUNTIF(General!$U$13:$U$19,BG$12))),$I57,"")</f>
        <v/>
      </c>
      <c r="BH57" s="582" t="str">
        <f>IF(AND(BH$12&gt;=$E57,BH$12&lt;=$F57,MOD(BH$12,7)&gt;1,NOT(COUNTIF(General!$U$13:$U$19,BH$12))),$I57,"")</f>
        <v/>
      </c>
      <c r="BI57" s="582" t="str">
        <f>IF(AND(BI$12&gt;=$E57,BI$12&lt;=$F57,MOD(BI$12,7)&gt;1,NOT(COUNTIF(General!$U$13:$U$19,BI$12))),$I57,"")</f>
        <v/>
      </c>
      <c r="BJ57" s="582" t="str">
        <f>IF(AND(BJ$12&gt;=$E57,BJ$12&lt;=$F57,MOD(BJ$12,7)&gt;1,NOT(COUNTIF(General!$U$13:$U$19,BJ$12))),$I57,"")</f>
        <v/>
      </c>
      <c r="BK57" s="582" t="str">
        <f>IF(AND(BK$12&gt;=$E57,BK$12&lt;=$F57,MOD(BK$12,7)&gt;1,NOT(COUNTIF(General!$U$13:$U$19,BK$12))),$I57,"")</f>
        <v/>
      </c>
      <c r="BL57" s="593" t="str">
        <f>IF(AND(BL$12&gt;=$E57,BL$12&lt;=$F57,MOD(BL$12,7)&gt;1,NOT(COUNTIF(General!$U$13:$U$19,BL$12))),$I57,"")</f>
        <v/>
      </c>
      <c r="BM57" s="593" t="str">
        <f>IF(AND(BM$12&gt;=$E57,BM$12&lt;=$F57,MOD(BM$12,7)&gt;1,NOT(COUNTIF(General!$U$13:$U$19,BM$12))),$I57,"")</f>
        <v/>
      </c>
      <c r="BN57" s="582" t="str">
        <f>IF(AND(BN$12&gt;=$E57,BN$12&lt;=$F57,MOD(BN$12,7)&gt;1,NOT(COUNTIF(General!$U$13:$U$19,BN$12))),$I57,"")</f>
        <v/>
      </c>
      <c r="BO57" s="582" t="str">
        <f>IF(AND(BO$12&gt;=$E57,BO$12&lt;=$F57,MOD(BO$12,7)&gt;1,NOT(COUNTIF(General!$U$13:$U$19,BO$12))),$I57,"")</f>
        <v/>
      </c>
      <c r="BP57" s="582" t="str">
        <f>IF(AND(BP$12&gt;=$E57,BP$12&lt;=$F57,MOD(BP$12,7)&gt;1,NOT(COUNTIF(General!$U$13:$U$19,BP$12))),$I57,"")</f>
        <v/>
      </c>
      <c r="BQ57" s="582" t="str">
        <f>IF(AND(BQ$12&gt;=$E57,BQ$12&lt;=$F57,MOD(BQ$12,7)&gt;1,NOT(COUNTIF(General!$U$13:$U$19,BQ$12))),$I57,"")</f>
        <v/>
      </c>
      <c r="BR57" s="582" t="str">
        <f>IF(AND(BR$12&gt;=$E57,BR$12&lt;=$F57,MOD(BR$12,7)&gt;1,NOT(COUNTIF(General!$U$13:$U$19,BR$12))),$I57,"")</f>
        <v/>
      </c>
      <c r="BS57" s="593" t="str">
        <f>IF(AND(BS$12&gt;=$E57,BS$12&lt;=$F57,MOD(BS$12,7)&gt;1,NOT(COUNTIF(General!$U$13:$U$19,BS$12))),$I57,"")</f>
        <v/>
      </c>
      <c r="BT57" s="593" t="str">
        <f>IF(AND(BT$12&gt;=$E57,BT$12&lt;=$F57,MOD(BT$12,7)&gt;1,NOT(COUNTIF(General!$U$13:$U$19,BT$12))),$I57,"")</f>
        <v/>
      </c>
      <c r="BU57" s="582" t="str">
        <f>IF(AND(BU$12&gt;=$E57,BU$12&lt;=$F57,MOD(BU$12,7)&gt;1,NOT(COUNTIF(General!$U$13:$U$19,BU$12))),$I57,"")</f>
        <v/>
      </c>
      <c r="BV57" s="582" t="str">
        <f>IF(AND(BV$12&gt;=$E57,BV$12&lt;=$F57,MOD(BV$12,7)&gt;1,NOT(COUNTIF(General!$U$13:$U$19,BV$12))),$I57,"")</f>
        <v/>
      </c>
      <c r="BW57" s="582" t="str">
        <f>IF(AND(BW$12&gt;=$E57,BW$12&lt;=$F57,MOD(BW$12,7)&gt;1,NOT(COUNTIF(General!$U$13:$U$19,BW$12))),$I57,"")</f>
        <v/>
      </c>
      <c r="BX57" s="582" t="str">
        <f>IF(AND(BX$12&gt;=$E57,BX$12&lt;=$F57,MOD(BX$12,7)&gt;1,NOT(COUNTIF(General!$U$13:$U$19,BX$12))),$I57,"")</f>
        <v/>
      </c>
      <c r="BY57" s="582" t="str">
        <f>IF(AND(BY$12&gt;=$E57,BY$12&lt;=$F57,MOD(BY$12,7)&gt;1,NOT(COUNTIF(General!$U$13:$U$19,BY$12))),$I57,"")</f>
        <v/>
      </c>
      <c r="BZ57" s="593" t="str">
        <f>IF(AND(BZ$12&gt;=$E57,BZ$12&lt;=$F57,MOD(BZ$12,7)&gt;1,NOT(COUNTIF(General!$U$13:$U$19,BZ$12))),$I57,"")</f>
        <v/>
      </c>
      <c r="CA57" s="593" t="str">
        <f>IF(AND(CA$12&gt;=$E57,CA$12&lt;=$F57,MOD(CA$12,7)&gt;1,NOT(COUNTIF(General!$U$13:$U$19,CA$12))),$I57,"")</f>
        <v/>
      </c>
      <c r="CB57" s="582" t="str">
        <f>IF(AND(CB$12&gt;=$E57,CB$12&lt;=$F57,MOD(CB$12,7)&gt;1,NOT(COUNTIF(General!$U$13:$U$19,CB$12))),$I57,"")</f>
        <v/>
      </c>
      <c r="CC57" s="582" t="str">
        <f>IF(AND(CC$12&gt;=$E57,CC$12&lt;=$F57,MOD(CC$12,7)&gt;1,NOT(COUNTIF(General!$U$13:$U$19,CC$12))),$I57,"")</f>
        <v/>
      </c>
      <c r="CD57" s="582" t="str">
        <f>IF(AND(CD$12&gt;=$E57,CD$12&lt;=$F57,MOD(CD$12,7)&gt;1,NOT(COUNTIF(General!$U$13:$U$19,CD$12))),$I57,"")</f>
        <v/>
      </c>
      <c r="CE57" s="582" t="str">
        <f>IF(AND(CE$12&gt;=$E57,CE$12&lt;=$F57,MOD(CE$12,7)&gt;1,NOT(COUNTIF(General!$U$13:$U$19,CE$12))),$I57,"")</f>
        <v/>
      </c>
      <c r="CF57" s="582" t="str">
        <f>IF(AND(CF$12&gt;=$E57,CF$12&lt;=$F57,MOD(CF$12,7)&gt;1,NOT(COUNTIF(General!$U$13:$U$19,CF$12))),$I57,"")</f>
        <v/>
      </c>
      <c r="CG57" s="593" t="str">
        <f>IF(AND(CG$12&gt;=$E57,CG$12&lt;=$F57,MOD(CG$12,7)&gt;1,NOT(COUNTIF(General!$U$13:$U$19,CG$12))),$I57,"")</f>
        <v/>
      </c>
      <c r="CH57" s="593" t="str">
        <f>IF(AND(CH$12&gt;=$E57,CH$12&lt;=$F57,MOD(CH$12,7)&gt;1,NOT(COUNTIF(General!$U$13:$U$19,CH$12))),$I57,"")</f>
        <v/>
      </c>
      <c r="CI57" s="582" t="str">
        <f>IF(AND(CI$12&gt;=$E57,CI$12&lt;=$F57,MOD(CI$12,7)&gt;1,NOT(COUNTIF(General!$U$13:$U$19,CI$12))),$I57,"")</f>
        <v/>
      </c>
      <c r="CJ57" s="582" t="str">
        <f>IF(AND(CJ$12&gt;=$E57,CJ$12&lt;=$F57,MOD(CJ$12,7)&gt;1,NOT(COUNTIF(General!$U$13:$U$19,CJ$12))),$I57,"")</f>
        <v/>
      </c>
      <c r="CK57" s="582" t="str">
        <f>IF(AND(CK$12&gt;=$E57,CK$12&lt;=$F57,MOD(CK$12,7)&gt;1,NOT(COUNTIF(General!$U$13:$U$19,CK$12))),$I57,"")</f>
        <v/>
      </c>
      <c r="CL57" s="582" t="str">
        <f>IF(AND(CL$12&gt;=$E57,CL$12&lt;=$F57,MOD(CL$12,7)&gt;1,NOT(COUNTIF(General!$U$13:$U$19,CL$12))),$I57,"")</f>
        <v/>
      </c>
      <c r="CM57" s="582" t="str">
        <f>IF(AND(CM$12&gt;=$E57,CM$12&lt;=$F57,MOD(CM$12,7)&gt;1,NOT(COUNTIF(General!$U$13:$U$19,CM$12))),$I57,"")</f>
        <v/>
      </c>
      <c r="CN57" s="593" t="str">
        <f>IF(AND(CN$12&gt;=$E57,CN$12&lt;=$F57,MOD(CN$12,7)&gt;1,NOT(COUNTIF(General!$U$13:$U$19,CN$12))),$I57,"")</f>
        <v/>
      </c>
      <c r="CO57" s="593" t="str">
        <f>IF(AND(CO$12&gt;=$E57,CO$12&lt;=$F57,MOD(CO$12,7)&gt;1,NOT(COUNTIF(General!$U$13:$U$19,CO$12))),$I57,"")</f>
        <v/>
      </c>
      <c r="CP57" s="582" t="str">
        <f>IF(AND(CP$12&gt;=$E57,CP$12&lt;=$F57,MOD(CP$12,7)&gt;1,NOT(COUNTIF(General!$U$13:$U$19,CP$12))),$I57,"")</f>
        <v/>
      </c>
      <c r="CQ57" s="582" t="str">
        <f>IF(AND(CQ$12&gt;=$E57,CQ$12&lt;=$F57,MOD(CQ$12,7)&gt;1,NOT(COUNTIF(General!$U$13:$U$19,CQ$12))),$I57,"")</f>
        <v/>
      </c>
      <c r="CR57" s="582" t="str">
        <f>IF(AND(CR$12&gt;=$E57,CR$12&lt;=$F57,MOD(CR$12,7)&gt;1,NOT(COUNTIF(General!$U$13:$U$19,CR$12))),$I57,"")</f>
        <v/>
      </c>
      <c r="CS57" s="582" t="str">
        <f>IF(AND(CS$12&gt;=$E57,CS$12&lt;=$F57,MOD(CS$12,7)&gt;1,NOT(COUNTIF(General!$U$13:$U$19,CS$12))),$I57,"")</f>
        <v/>
      </c>
      <c r="CT57" s="582" t="str">
        <f>IF(AND(CT$12&gt;=$E57,CT$12&lt;=$F57,MOD(CT$12,7)&gt;1,NOT(COUNTIF(General!$U$13:$U$19,CT$12))),$I57,"")</f>
        <v/>
      </c>
      <c r="CU57" s="593" t="str">
        <f>IF(AND(CU$12&gt;=$E57,CU$12&lt;=$F57,MOD(CU$12,7)&gt;1,NOT(COUNTIF(General!$U$13:$U$19,CU$12))),$I57,"")</f>
        <v/>
      </c>
      <c r="CV57" s="593" t="str">
        <f>IF(AND(CV$12&gt;=$E57,CV$12&lt;=$F57,MOD(CV$12,7)&gt;1,NOT(COUNTIF(General!$U$13:$U$19,CV$12))),$I57,"")</f>
        <v/>
      </c>
      <c r="CW57" s="582" t="str">
        <f>IF(AND(CW$12&gt;=$E57,CW$12&lt;=$F57,MOD(CW$12,7)&gt;1,NOT(COUNTIF(General!$U$13:$U$19,CW$12))),$I57,"")</f>
        <v/>
      </c>
      <c r="CX57" s="582" t="str">
        <f>IF(AND(CX$12&gt;=$E57,CX$12&lt;=$F57,MOD(CX$12,7)&gt;1,NOT(COUNTIF(General!$U$13:$U$19,CX$12))),$I57,"")</f>
        <v/>
      </c>
      <c r="CY57" s="582" t="str">
        <f>IF(AND(CY$12&gt;=$E57,CY$12&lt;=$F57,MOD(CY$12,7)&gt;1,NOT(COUNTIF(General!$U$13:$U$19,CY$12))),$I57,"")</f>
        <v/>
      </c>
      <c r="CZ57" s="582" t="str">
        <f>IF(AND(CZ$12&gt;=$E57,CZ$12&lt;=$F57,MOD(CZ$12,7)&gt;1,NOT(COUNTIF(General!$U$13:$U$19,CZ$12))),$I57,"")</f>
        <v/>
      </c>
      <c r="DA57" s="582" t="str">
        <f>IF(AND(DA$12&gt;=$E57,DA$12&lt;=$F57,MOD(DA$12,7)&gt;1,NOT(COUNTIF(General!$U$13:$U$19,DA$12))),$I57,"")</f>
        <v/>
      </c>
      <c r="DB57" s="593" t="str">
        <f>IF(AND(DB$12&gt;=$E57,DB$12&lt;=$F57,MOD(DB$12,7)&gt;1,NOT(COUNTIF(General!$U$13:$U$19,DB$12))),$I57,"")</f>
        <v/>
      </c>
      <c r="DC57" s="593" t="str">
        <f>IF(AND(DC$12&gt;=$E57,DC$12&lt;=$F57,MOD(DC$12,7)&gt;1,NOT(COUNTIF(General!$U$13:$U$19,DC$12))),$I57,"")</f>
        <v/>
      </c>
      <c r="DD57" s="582" t="str">
        <f>IF(AND(DD$12&gt;=$E57,DD$12&lt;=$F57,MOD(DD$12,7)&gt;1,NOT(COUNTIF(General!$U$13:$U$19,DD$12))),$I57,"")</f>
        <v/>
      </c>
      <c r="DE57" s="582" t="str">
        <f>IF(AND(DE$12&gt;=$E57,DE$12&lt;=$F57,MOD(DE$12,7)&gt;1,NOT(COUNTIF(General!$U$13:$U$19,DE$12))),$I57,"")</f>
        <v/>
      </c>
      <c r="DF57" s="582" t="str">
        <f>IF(AND(DF$12&gt;=$E57,DF$12&lt;=$F57,MOD(DF$12,7)&gt;1,NOT(COUNTIF(General!$U$13:$U$19,DF$12))),$I57,"")</f>
        <v/>
      </c>
      <c r="DG57" s="582" t="str">
        <f>IF(AND(DG$12&gt;=$E57,DG$12&lt;=$F57,MOD(DG$12,7)&gt;1,NOT(COUNTIF(General!$U$13:$U$19,DG$12))),$I57,"")</f>
        <v/>
      </c>
      <c r="DH57" s="582" t="str">
        <f>IF(AND(DH$12&gt;=$E57,DH$12&lt;=$F57,MOD(DH$12,7)&gt;1,NOT(COUNTIF(General!$U$13:$U$19,DH$12))),$I57,"")</f>
        <v/>
      </c>
      <c r="DI57" s="593" t="str">
        <f>IF(AND(DI$12&gt;=$E57,DI$12&lt;=$F57,MOD(DI$12,7)&gt;1,NOT(COUNTIF(General!$U$13:$U$19,DI$12))),$I57,"")</f>
        <v/>
      </c>
      <c r="DJ57" s="593" t="str">
        <f>IF(AND(DJ$12&gt;=$E57,DJ$12&lt;=$F57,MOD(DJ$12,7)&gt;1,NOT(COUNTIF(General!$U$13:$U$19,DJ$12))),$I57,"")</f>
        <v/>
      </c>
      <c r="DK57" s="582" t="str">
        <f>IF(AND(DK$12&gt;=$E57,DK$12&lt;=$F57,MOD(DK$12,7)&gt;1,NOT(COUNTIF(General!$U$13:$U$19,DK$12))),$I57,"")</f>
        <v/>
      </c>
      <c r="DL57" s="582" t="str">
        <f>IF(AND(DL$12&gt;=$E57,DL$12&lt;=$F57,MOD(DL$12,7)&gt;1,NOT(COUNTIF(General!$U$13:$U$19,DL$12))),$I57,"")</f>
        <v/>
      </c>
      <c r="DM57" s="582" t="str">
        <f>IF(AND(DM$12&gt;=$E57,DM$12&lt;=$F57,MOD(DM$12,7)&gt;1,NOT(COUNTIF(General!$U$13:$U$19,DM$12))),$I57,"")</f>
        <v/>
      </c>
      <c r="DN57" s="582" t="str">
        <f>IF(AND(DN$12&gt;=$E57,DN$12&lt;=$F57,MOD(DN$12,7)&gt;1,NOT(COUNTIF(General!$U$13:$U$19,DN$12))),$I57,"")</f>
        <v/>
      </c>
      <c r="DO57" s="582" t="str">
        <f>IF(AND(DO$12&gt;=$E57,DO$12&lt;=$F57,MOD(DO$12,7)&gt;1,NOT(COUNTIF(General!$U$13:$U$19,DO$12))),$I57,"")</f>
        <v/>
      </c>
      <c r="DP57" s="593" t="str">
        <f>IF(AND(DP$12&gt;=$E57,DP$12&lt;=$F57,MOD(DP$12,7)&gt;1,NOT(COUNTIF(General!$U$13:$U$19,DP$12))),$I57,"")</f>
        <v/>
      </c>
      <c r="DQ57" s="593" t="str">
        <f>IF(AND(DQ$12&gt;=$E57,DQ$12&lt;=$F57,MOD(DQ$12,7)&gt;1,NOT(COUNTIF(General!$U$13:$U$19,DQ$12))),$I57,"")</f>
        <v/>
      </c>
      <c r="DR57" s="582" t="str">
        <f>IF(AND(DR$12&gt;=$E57,DR$12&lt;=$F57,MOD(DR$12,7)&gt;1,NOT(COUNTIF(General!$U$13:$U$19,DR$12))),$I57,"")</f>
        <v/>
      </c>
      <c r="DS57" s="582" t="str">
        <f>IF(AND(DS$12&gt;=$E57,DS$12&lt;=$F57,MOD(DS$12,7)&gt;1,NOT(COUNTIF(General!$U$13:$U$19,DS$12))),$I57,"")</f>
        <v/>
      </c>
      <c r="DT57" s="582" t="str">
        <f>IF(AND(DT$12&gt;=$E57,DT$12&lt;=$F57,MOD(DT$12,7)&gt;1,NOT(COUNTIF(General!$U$13:$U$19,DT$12))),$I57,"")</f>
        <v/>
      </c>
      <c r="DU57" s="582" t="str">
        <f>IF(AND(DU$12&gt;=$E57,DU$12&lt;=$F57,MOD(DU$12,7)&gt;1,NOT(COUNTIF(General!$U$13:$U$19,DU$12))),$I57,"")</f>
        <v/>
      </c>
      <c r="DV57" s="582" t="str">
        <f>IF(AND(DV$12&gt;=$E57,DV$12&lt;=$F57,MOD(DV$12,7)&gt;1,NOT(COUNTIF(General!$U$13:$U$19,DV$12))),$I57,"")</f>
        <v/>
      </c>
      <c r="DW57" s="593" t="str">
        <f>IF(AND(DW$12&gt;=$E57,DW$12&lt;=$F57,MOD(DW$12,7)&gt;1,NOT(COUNTIF(General!$U$13:$U$19,DW$12))),$I57,"")</f>
        <v/>
      </c>
      <c r="DX57" s="593" t="str">
        <f>IF(AND(DX$12&gt;=$E57,DX$12&lt;=$F57,MOD(DX$12,7)&gt;1,NOT(COUNTIF(General!$U$13:$U$19,DX$12))),$I57,"")</f>
        <v/>
      </c>
      <c r="DY57" s="582" t="str">
        <f>IF(AND(DY$12&gt;=$E57,DY$12&lt;=$F57,MOD(DY$12,7)&gt;1,NOT(COUNTIF(General!$U$13:$U$19,DY$12))),$I57,"")</f>
        <v/>
      </c>
      <c r="DZ57" s="582" t="str">
        <f>IF(AND(DZ$12&gt;=$E57,DZ$12&lt;=$F57,MOD(DZ$12,7)&gt;1,NOT(COUNTIF(General!$U$13:$U$19,DZ$12))),$I57,"")</f>
        <v/>
      </c>
      <c r="EA57" s="582" t="str">
        <f>IF(AND(EA$12&gt;=$E57,EA$12&lt;=$F57,MOD(EA$12,7)&gt;1,NOT(COUNTIF(General!$U$13:$U$19,EA$12))),$I57,"")</f>
        <v/>
      </c>
      <c r="EB57" s="582" t="str">
        <f>IF(AND(EB$12&gt;=$E57,EB$12&lt;=$F57,MOD(EB$12,7)&gt;1,NOT(COUNTIF(General!$U$13:$U$19,EB$12))),$I57,"")</f>
        <v/>
      </c>
      <c r="EC57" s="582" t="str">
        <f>IF(AND(EC$12&gt;=$E57,EC$12&lt;=$F57,MOD(EC$12,7)&gt;1,NOT(COUNTIF(General!$U$13:$U$19,EC$12))),$I57,"")</f>
        <v/>
      </c>
      <c r="ED57" s="593" t="str">
        <f>IF(AND(ED$12&gt;=$E57,ED$12&lt;=$F57,MOD(ED$12,7)&gt;1,NOT(COUNTIF(General!$U$13:$U$19,ED$12))),$I57,"")</f>
        <v/>
      </c>
      <c r="EE57" s="593" t="str">
        <f>IF(AND(EE$12&gt;=$E57,EE$12&lt;=$F57,MOD(EE$12,7)&gt;1,NOT(COUNTIF(General!$U$13:$U$19,EE$12))),$I57,"")</f>
        <v/>
      </c>
      <c r="EF57" s="582" t="str">
        <f>IF(AND(EF$12&gt;=$E57,EF$12&lt;=$F57,MOD(EF$12,7)&gt;1,NOT(COUNTIF(General!$U$13:$U$19,EF$12))),$I57,"")</f>
        <v/>
      </c>
      <c r="EG57" s="582" t="str">
        <f>IF(AND(EG$12&gt;=$E57,EG$12&lt;=$F57,MOD(EG$12,7)&gt;1,NOT(COUNTIF(General!$U$13:$U$19,EG$12))),$I57,"")</f>
        <v/>
      </c>
      <c r="EH57" s="582" t="str">
        <f>IF(AND(EH$12&gt;=$E57,EH$12&lt;=$F57,MOD(EH$12,7)&gt;1,NOT(COUNTIF(General!$U$13:$U$19,EH$12))),$I57,"")</f>
        <v/>
      </c>
      <c r="EI57" s="582" t="str">
        <f>IF(AND(EI$12&gt;=$E57,EI$12&lt;=$F57,MOD(EI$12,7)&gt;1,NOT(COUNTIF(General!$U$13:$U$19,EI$12))),$I57,"")</f>
        <v/>
      </c>
      <c r="EJ57" s="582" t="str">
        <f>IF(AND(EJ$12&gt;=$E57,EJ$12&lt;=$F57,MOD(EJ$12,7)&gt;1,NOT(COUNTIF(General!$U$13:$U$19,EJ$12))),$I57,"")</f>
        <v/>
      </c>
      <c r="EK57" s="593" t="str">
        <f>IF(AND(EK$12&gt;=$E57,EK$12&lt;=$F57,MOD(EK$12,7)&gt;1,NOT(COUNTIF(General!$U$13:$U$19,EK$12))),$I57,"")</f>
        <v/>
      </c>
      <c r="EL57" s="593" t="str">
        <f>IF(AND(EL$12&gt;=$E57,EL$12&lt;=$F57,MOD(EL$12,7)&gt;1,NOT(COUNTIF(General!$U$13:$U$19,EL$12))),$I57,"")</f>
        <v/>
      </c>
      <c r="EM57" s="582" t="str">
        <f>IF(AND(EM$12&gt;=$E57,EM$12&lt;=$F57,MOD(EM$12,7)&gt;1,NOT(COUNTIF(General!$U$13:$U$19,EM$12))),$I57,"")</f>
        <v/>
      </c>
      <c r="EN57" s="582" t="str">
        <f>IF(AND(EN$12&gt;=$E57,EN$12&lt;=$F57,MOD(EN$12,7)&gt;1,NOT(COUNTIF(General!$U$13:$U$19,EN$12))),$I57,"")</f>
        <v/>
      </c>
      <c r="EO57" s="582" t="str">
        <f>IF(AND(EO$12&gt;=$E57,EO$12&lt;=$F57,MOD(EO$12,7)&gt;1,NOT(COUNTIF(General!$U$13:$U$19,EO$12))),$I57,"")</f>
        <v/>
      </c>
      <c r="EP57" s="582" t="str">
        <f>IF(AND(EP$12&gt;=$E57,EP$12&lt;=$F57,MOD(EP$12,7)&gt;1,NOT(COUNTIF(General!$U$13:$U$19,EP$12))),$I57,"")</f>
        <v/>
      </c>
      <c r="EQ57" s="582" t="str">
        <f>IF(AND(EQ$12&gt;=$E57,EQ$12&lt;=$F57,MOD(EQ$12,7)&gt;1,NOT(COUNTIF(General!$U$13:$U$19,EQ$12))),$I57,"")</f>
        <v/>
      </c>
      <c r="ER57" s="593" t="str">
        <f>IF(AND(ER$12&gt;=$E57,ER$12&lt;=$F57,MOD(ER$12,7)&gt;1,NOT(COUNTIF(General!$U$13:$U$19,ER$12))),$I57,"")</f>
        <v/>
      </c>
      <c r="ES57" s="593" t="str">
        <f>IF(AND(ES$12&gt;=$E57,ES$12&lt;=$F57,MOD(ES$12,7)&gt;1,NOT(COUNTIF(General!$U$13:$U$19,ES$12))),$I57,"")</f>
        <v/>
      </c>
      <c r="ET57" s="582" t="str">
        <f>IF(AND(ET$12&gt;=$E57,ET$12&lt;=$F57,MOD(ET$12,7)&gt;1,NOT(COUNTIF(General!$U$13:$U$19,ET$12))),$I57,"")</f>
        <v/>
      </c>
      <c r="EU57" s="582" t="str">
        <f>IF(AND(EU$12&gt;=$E57,EU$12&lt;=$F57,MOD(EU$12,7)&gt;1,NOT(COUNTIF(General!$U$13:$U$19,EU$12))),$I57,"")</f>
        <v/>
      </c>
      <c r="EV57" s="582" t="str">
        <f>IF(AND(EV$12&gt;=$E57,EV$12&lt;=$F57,MOD(EV$12,7)&gt;1,NOT(COUNTIF(General!$U$13:$U$19,EV$12))),$I57,"")</f>
        <v/>
      </c>
      <c r="EW57" s="582" t="str">
        <f>IF(AND(EW$12&gt;=$E57,EW$12&lt;=$F57,MOD(EW$12,7)&gt;1,NOT(COUNTIF(General!$U$13:$U$19,EW$12))),$I57,"")</f>
        <v/>
      </c>
      <c r="EX57" s="582" t="str">
        <f>IF(AND(EX$12&gt;=$E57,EX$12&lt;=$F57,MOD(EX$12,7)&gt;1,NOT(COUNTIF(General!$U$13:$U$19,EX$12))),$I57,"")</f>
        <v/>
      </c>
      <c r="EY57" s="593" t="str">
        <f>IF(AND(EY$12&gt;=$E57,EY$12&lt;=$F57,MOD(EY$12,7)&gt;1,NOT(COUNTIF(General!$U$13:$U$19,EY$12))),$I57,"")</f>
        <v/>
      </c>
      <c r="EZ57" s="593" t="str">
        <f>IF(AND(EZ$12&gt;=$E57,EZ$12&lt;=$F57,MOD(EZ$12,7)&gt;1,NOT(COUNTIF(General!$U$13:$U$19,EZ$12))),$I57,"")</f>
        <v/>
      </c>
      <c r="FA57" s="582" t="str">
        <f>IF(AND(FA$12&gt;=$E57,FA$12&lt;=$F57,MOD(FA$12,7)&gt;1,NOT(COUNTIF(General!$U$13:$U$19,FA$12))),$I57,"")</f>
        <v/>
      </c>
      <c r="FB57" s="582" t="str">
        <f>IF(AND(FB$12&gt;=$E57,FB$12&lt;=$F57,MOD(FB$12,7)&gt;1,NOT(COUNTIF(General!$U$13:$U$19,FB$12))),$I57,"")</f>
        <v/>
      </c>
      <c r="FC57" s="582" t="str">
        <f>IF(AND(FC$12&gt;=$E57,FC$12&lt;=$F57,MOD(FC$12,7)&gt;1,NOT(COUNTIF(General!$U$13:$U$19,FC$12))),$I57,"")</f>
        <v/>
      </c>
      <c r="FD57" s="582" t="str">
        <f>IF(AND(FD$12&gt;=$E57,FD$12&lt;=$F57,MOD(FD$12,7)&gt;1,NOT(COUNTIF(General!$U$13:$U$19,FD$12))),$I57,"")</f>
        <v/>
      </c>
      <c r="FE57" s="582" t="str">
        <f>IF(AND(FE$12&gt;=$E57,FE$12&lt;=$F57,MOD(FE$12,7)&gt;1,NOT(COUNTIF(General!$U$13:$U$19,FE$12))),$I57,"")</f>
        <v/>
      </c>
      <c r="FF57" s="593" t="str">
        <f>IF(AND(FF$12&gt;=$E57,FF$12&lt;=$F57,MOD(FF$12,7)&gt;1,NOT(COUNTIF(General!$U$13:$U$19,FF$12))),$I57,"")</f>
        <v/>
      </c>
      <c r="FG57" s="593" t="str">
        <f>IF(AND(FG$12&gt;=$E57,FG$12&lt;=$F57,MOD(FG$12,7)&gt;1,NOT(COUNTIF(General!$U$13:$U$19,FG$12))),$I57,"")</f>
        <v/>
      </c>
      <c r="FH57" s="582" t="str">
        <f>IF(AND(FH$12&gt;=$E57,FH$12&lt;=$F57,MOD(FH$12,7)&gt;1,NOT(COUNTIF(General!$U$13:$U$19,FH$12))),$I57,"")</f>
        <v/>
      </c>
      <c r="FI57" s="582" t="str">
        <f>IF(AND(FI$12&gt;=$E57,FI$12&lt;=$F57,MOD(FI$12,7)&gt;1,NOT(COUNTIF(General!$U$13:$U$19,FI$12))),$I57,"")</f>
        <v/>
      </c>
      <c r="FJ57" s="582" t="str">
        <f>IF(AND(FJ$12&gt;=$E57,FJ$12&lt;=$F57,MOD(FJ$12,7)&gt;1,NOT(COUNTIF(General!$U$13:$U$19,FJ$12))),$I57,"")</f>
        <v/>
      </c>
      <c r="FK57" s="582" t="str">
        <f>IF(AND(FK$12&gt;=$E57,FK$12&lt;=$F57,MOD(FK$12,7)&gt;1,NOT(COUNTIF(General!$U$13:$U$19,FK$12))),$I57,"")</f>
        <v/>
      </c>
      <c r="FL57" s="582" t="str">
        <f>IF(AND(FL$12&gt;=$E57,FL$12&lt;=$F57,MOD(FL$12,7)&gt;1,NOT(COUNTIF(General!$U$13:$U$19,FL$12))),$I57,"")</f>
        <v/>
      </c>
      <c r="FM57" s="593" t="str">
        <f>IF(AND(FM$12&gt;=$E57,FM$12&lt;=$F57,MOD(FM$12,7)&gt;1,NOT(COUNTIF(General!$U$13:$U$19,FM$12))),$I57,"")</f>
        <v/>
      </c>
      <c r="FN57" s="593" t="str">
        <f>IF(AND(FN$12&gt;=$E57,FN$12&lt;=$F57,MOD(FN$12,7)&gt;1,NOT(COUNTIF(General!$U$13:$U$19,FN$12))),$I57,"")</f>
        <v/>
      </c>
      <c r="FO57" s="582" t="str">
        <f>IF(AND(FO$12&gt;=$E57,FO$12&lt;=$F57,MOD(FO$12,7)&gt;1,NOT(COUNTIF(General!$U$13:$U$19,FO$12))),$I57,"")</f>
        <v/>
      </c>
      <c r="FP57" s="582" t="str">
        <f>IF(AND(FP$12&gt;=$E57,FP$12&lt;=$F57,MOD(FP$12,7)&gt;1,NOT(COUNTIF(General!$U$13:$U$19,FP$12))),$I57,"")</f>
        <v/>
      </c>
      <c r="FQ57" s="582" t="str">
        <f>IF(AND(FQ$12&gt;=$E57,FQ$12&lt;=$F57,MOD(FQ$12,7)&gt;1,NOT(COUNTIF(General!$U$13:$U$19,FQ$12))),$I57,"")</f>
        <v/>
      </c>
      <c r="FR57" s="582" t="str">
        <f>IF(AND(FR$12&gt;=$E57,FR$12&lt;=$F57,MOD(FR$12,7)&gt;1,NOT(COUNTIF(General!$U$13:$U$19,FR$12))),$I57,"")</f>
        <v/>
      </c>
      <c r="FS57" s="582" t="str">
        <f>IF(AND(FS$12&gt;=$E57,FS$12&lt;=$F57,MOD(FS$12,7)&gt;1,NOT(COUNTIF(General!$U$13:$U$19,FS$12))),$I57,"")</f>
        <v/>
      </c>
      <c r="FT57" s="593" t="str">
        <f>IF(AND(FT$12&gt;=$E57,FT$12&lt;=$F57,MOD(FT$12,7)&gt;1,NOT(COUNTIF(General!$U$13:$U$19,FT$12))),$I57,"")</f>
        <v/>
      </c>
      <c r="FU57" s="593" t="str">
        <f>IF(AND(FU$12&gt;=$E57,FU$12&lt;=$F57,MOD(FU$12,7)&gt;1,NOT(COUNTIF(General!$U$13:$U$19,FU$12))),$I57,"")</f>
        <v/>
      </c>
      <c r="FV57" s="582" t="str">
        <f>IF(AND(FV$12&gt;=$E57,FV$12&lt;=$F57,MOD(FV$12,7)&gt;1,NOT(COUNTIF(General!$U$13:$U$19,FV$12))),$I57,"")</f>
        <v/>
      </c>
      <c r="FW57" s="582" t="str">
        <f>IF(AND(FW$12&gt;=$E57,FW$12&lt;=$F57,MOD(FW$12,7)&gt;1,NOT(COUNTIF(General!$U$13:$U$19,FW$12))),$I57,"")</f>
        <v/>
      </c>
      <c r="FX57" s="582" t="str">
        <f>IF(AND(FX$12&gt;=$E57,FX$12&lt;=$F57,MOD(FX$12,7)&gt;1,NOT(COUNTIF(General!$U$13:$U$19,FX$12))),$I57,"")</f>
        <v/>
      </c>
    </row>
    <row r="58">
      <c r="A58" s="626"/>
      <c r="B58" s="627"/>
      <c r="C58" s="628"/>
      <c r="D58" s="629"/>
      <c r="E58" s="599"/>
      <c r="F58" s="620"/>
      <c r="G58" s="375"/>
      <c r="H58" s="377"/>
      <c r="I58" s="379">
        <v>1.0</v>
      </c>
      <c r="J58" s="630"/>
      <c r="K58" s="605"/>
      <c r="L58" s="605"/>
      <c r="M58" s="606"/>
      <c r="N58" s="607"/>
      <c r="O58" s="608"/>
      <c r="P58" s="609"/>
      <c r="Q58" s="602" t="str">
        <f>IF(AND(Q$12&gt;=$E58,Q$12&lt;=$F58,MOD(Q$12,7)&gt;1,NOT(COUNTIF(General!$U$13:$U$19,Q$12))),$I58,"")</f>
        <v/>
      </c>
      <c r="R58" s="602" t="str">
        <f>IF(AND(R$12&gt;=$E58,R$12&lt;=$F58,MOD(R$12,7)&gt;1,NOT(COUNTIF(General!$U$13:$U$19,R$12))),$I58,"")</f>
        <v/>
      </c>
      <c r="S58" s="602" t="str">
        <f>IF(AND(S$12&gt;=$E58,S$12&lt;=$F58,MOD(S$12,7)&gt;1,NOT(COUNTIF(General!$U$13:$U$19,S$12))),$I58,"")</f>
        <v/>
      </c>
      <c r="T58" s="602" t="str">
        <f>IF(AND(T$12&gt;=$E58,T$12&lt;=$F58,MOD(T$12,7)&gt;1,NOT(COUNTIF(General!$U$13:$U$19,T$12))),$I58,"")</f>
        <v/>
      </c>
      <c r="U58" s="602" t="str">
        <f>IF(AND(U$12&gt;=$E58,U$12&lt;=$F58,MOD(U$12,7)&gt;1,NOT(COUNTIF(General!$U$13:$U$19,U$12))),$I58,"")</f>
        <v/>
      </c>
      <c r="V58" s="602" t="str">
        <f>IF(AND(V$12&gt;=$E58,V$12&lt;=$F58,MOD(V$12,7)&gt;1,NOT(COUNTIF(General!$U$13:$U$19,V$12))),$I58,"")</f>
        <v/>
      </c>
      <c r="W58" s="602" t="str">
        <f>IF(AND(W$12&gt;=$E58,W$12&lt;=$F58,MOD(W$12,7)&gt;1,NOT(COUNTIF(General!$U$13:$U$19,W$12))),$I58,"")</f>
        <v/>
      </c>
      <c r="X58" s="602" t="str">
        <f>IF(AND(X$12&gt;=$E58,X$12&lt;=$F58,MOD(X$12,7)&gt;1,NOT(COUNTIF(General!$U$13:$U$19,X$12))),$I58,"")</f>
        <v/>
      </c>
      <c r="Y58" s="602" t="str">
        <f>IF(AND(Y$12&gt;=$E58,Y$12&lt;=$F58,MOD(Y$12,7)&gt;1,NOT(COUNTIF(General!$U$13:$U$19,Y$12))),$I58,"")</f>
        <v/>
      </c>
      <c r="Z58" s="602" t="str">
        <f>IF(AND(Z$12&gt;=$E58,Z$12&lt;=$F58,MOD(Z$12,7)&gt;1,NOT(COUNTIF(General!$U$13:$U$19,Z$12))),$I58,"")</f>
        <v/>
      </c>
      <c r="AA58" s="602" t="str">
        <f>IF(AND(AA$12&gt;=$E58,AA$12&lt;=$F58,MOD(AA$12,7)&gt;1,NOT(COUNTIF(General!$U$13:$U$19,AA$12))),$I58,"")</f>
        <v/>
      </c>
      <c r="AB58" s="602" t="str">
        <f>IF(AND(AB$12&gt;=$E58,AB$12&lt;=$F58,MOD(AB$12,7)&gt;1,NOT(COUNTIF(General!$U$13:$U$19,AB$12))),$I58,"")</f>
        <v/>
      </c>
      <c r="AC58" s="602" t="str">
        <f>IF(AND(AC$12&gt;=$E58,AC$12&lt;=$F58,MOD(AC$12,7)&gt;1,NOT(COUNTIF(General!$U$13:$U$19,AC$12))),$I58,"")</f>
        <v/>
      </c>
      <c r="AD58" s="602" t="str">
        <f>IF(AND(AD$12&gt;=$E58,AD$12&lt;=$F58,MOD(AD$12,7)&gt;1,NOT(COUNTIF(General!$U$13:$U$19,AD$12))),$I58,"")</f>
        <v/>
      </c>
      <c r="AE58" s="602" t="str">
        <f>IF(AND(AE$12&gt;=$E58,AE$12&lt;=$F58,MOD(AE$12,7)&gt;1,NOT(COUNTIF(General!$U$13:$U$19,AE$12))),$I58,"")</f>
        <v/>
      </c>
      <c r="AF58" s="602" t="str">
        <f>IF(AND(AF$12&gt;=$E58,AF$12&lt;=$F58,MOD(AF$12,7)&gt;1,NOT(COUNTIF(General!$U$13:$U$19,AF$12))),$I58,"")</f>
        <v/>
      </c>
      <c r="AG58" s="602" t="str">
        <f>IF(AND(AG$12&gt;=$E58,AG$12&lt;=$F58,MOD(AG$12,7)&gt;1,NOT(COUNTIF(General!$U$13:$U$19,AG$12))),$I58,"")</f>
        <v/>
      </c>
      <c r="AH58" s="602" t="str">
        <f>IF(AND(AH$12&gt;=$E58,AH$12&lt;=$F58,MOD(AH$12,7)&gt;1,NOT(COUNTIF(General!$U$13:$U$19,AH$12))),$I58,"")</f>
        <v/>
      </c>
      <c r="AI58" s="602" t="str">
        <f>IF(AND(AI$12&gt;=$E58,AI$12&lt;=$F58,MOD(AI$12,7)&gt;1,NOT(COUNTIF(General!$U$13:$U$19,AI$12))),$I58,"")</f>
        <v/>
      </c>
      <c r="AJ58" s="602" t="str">
        <f>IF(AND(AJ$12&gt;=$E58,AJ$12&lt;=$F58,MOD(AJ$12,7)&gt;1,NOT(COUNTIF(General!$U$13:$U$19,AJ$12))),$I58,"")</f>
        <v/>
      </c>
      <c r="AK58" s="602" t="str">
        <f>IF(AND(AK$12&gt;=$E58,AK$12&lt;=$F58,MOD(AK$12,7)&gt;1,NOT(COUNTIF(General!$U$13:$U$19,AK$12))),$I58,"")</f>
        <v/>
      </c>
      <c r="AL58" s="602" t="str">
        <f>IF(AND(AL$12&gt;=$E58,AL$12&lt;=$F58,MOD(AL$12,7)&gt;1,NOT(COUNTIF(General!$U$13:$U$19,AL$12))),$I58,"")</f>
        <v/>
      </c>
      <c r="AM58" s="602" t="str">
        <f>IF(AND(AM$12&gt;=$E58,AM$12&lt;=$F58,MOD(AM$12,7)&gt;1,NOT(COUNTIF(General!$U$13:$U$19,AM$12))),$I58,"")</f>
        <v/>
      </c>
      <c r="AN58" s="602" t="str">
        <f>IF(AND(AN$12&gt;=$E58,AN$12&lt;=$F58,MOD(AN$12,7)&gt;1,NOT(COUNTIF(General!$U$13:$U$19,AN$12))),$I58,"")</f>
        <v/>
      </c>
      <c r="AO58" s="602" t="str">
        <f>IF(AND(AO$12&gt;=$E58,AO$12&lt;=$F58,MOD(AO$12,7)&gt;1,NOT(COUNTIF(General!$U$13:$U$19,AO$12))),$I58,"")</f>
        <v/>
      </c>
      <c r="AP58" s="602" t="str">
        <f>IF(AND(AP$12&gt;=$E58,AP$12&lt;=$F58,MOD(AP$12,7)&gt;1,NOT(COUNTIF(General!$U$13:$U$19,AP$12))),$I58,"")</f>
        <v/>
      </c>
      <c r="AQ58" s="602" t="str">
        <f>IF(AND(AQ$12&gt;=$E58,AQ$12&lt;=$F58,MOD(AQ$12,7)&gt;1,NOT(COUNTIF(General!$U$13:$U$19,AQ$12))),$I58,"")</f>
        <v/>
      </c>
      <c r="AR58" s="602" t="str">
        <f>IF(AND(AR$12&gt;=$E58,AR$12&lt;=$F58,MOD(AR$12,7)&gt;1,NOT(COUNTIF(General!$U$13:$U$19,AR$12))),$I58,"")</f>
        <v/>
      </c>
      <c r="AS58" s="602" t="str">
        <f>IF(AND(AS$12&gt;=$E58,AS$12&lt;=$F58,MOD(AS$12,7)&gt;1,NOT(COUNTIF(General!$U$13:$U$19,AS$12))),$I58,"")</f>
        <v/>
      </c>
      <c r="AT58" s="602" t="str">
        <f>IF(AND(AT$12&gt;=$E58,AT$12&lt;=$F58,MOD(AT$12,7)&gt;1,NOT(COUNTIF(General!$U$13:$U$19,AT$12))),$I58,"")</f>
        <v/>
      </c>
      <c r="AU58" s="602" t="str">
        <f>IF(AND(AU$12&gt;=$E58,AU$12&lt;=$F58,MOD(AU$12,7)&gt;1,NOT(COUNTIF(General!$U$13:$U$19,AU$12))),$I58,"")</f>
        <v/>
      </c>
      <c r="AV58" s="602" t="str">
        <f>IF(AND(AV$12&gt;=$E58,AV$12&lt;=$F58,MOD(AV$12,7)&gt;1,NOT(COUNTIF(General!$U$13:$U$19,AV$12))),$I58,"")</f>
        <v/>
      </c>
      <c r="AW58" s="602" t="str">
        <f>IF(AND(AW$12&gt;=$E58,AW$12&lt;=$F58,MOD(AW$12,7)&gt;1,NOT(COUNTIF(General!$U$13:$U$19,AW$12))),$I58,"")</f>
        <v/>
      </c>
      <c r="AX58" s="602" t="str">
        <f>IF(AND(AX$12&gt;=$E58,AX$12&lt;=$F58,MOD(AX$12,7)&gt;1,NOT(COUNTIF(General!$U$13:$U$19,AX$12))),$I58,"")</f>
        <v/>
      </c>
      <c r="AY58" s="602" t="str">
        <f>IF(AND(AY$12&gt;=$E58,AY$12&lt;=$F58,MOD(AY$12,7)&gt;1,NOT(COUNTIF(General!$U$13:$U$19,AY$12))),$I58,"")</f>
        <v/>
      </c>
      <c r="AZ58" s="602" t="str">
        <f>IF(AND(AZ$12&gt;=$E58,AZ$12&lt;=$F58,MOD(AZ$12,7)&gt;1,NOT(COUNTIF(General!$U$13:$U$19,AZ$12))),$I58,"")</f>
        <v/>
      </c>
      <c r="BA58" s="602" t="str">
        <f>IF(AND(BA$12&gt;=$E58,BA$12&lt;=$F58,MOD(BA$12,7)&gt;1,NOT(COUNTIF(General!$U$13:$U$19,BA$12))),$I58,"")</f>
        <v/>
      </c>
      <c r="BB58" s="602" t="str">
        <f>IF(AND(BB$12&gt;=$E58,BB$12&lt;=$F58,MOD(BB$12,7)&gt;1,NOT(COUNTIF(General!$U$13:$U$19,BB$12))),$I58,"")</f>
        <v/>
      </c>
      <c r="BC58" s="602" t="str">
        <f>IF(AND(BC$12&gt;=$E58,BC$12&lt;=$F58,MOD(BC$12,7)&gt;1,NOT(COUNTIF(General!$U$13:$U$19,BC$12))),$I58,"")</f>
        <v/>
      </c>
      <c r="BD58" s="602" t="str">
        <f>IF(AND(BD$12&gt;=$E58,BD$12&lt;=$F58,MOD(BD$12,7)&gt;1,NOT(COUNTIF(General!$U$13:$U$19,BD$12))),$I58,"")</f>
        <v/>
      </c>
      <c r="BE58" s="602" t="str">
        <f>IF(AND(BE$12&gt;=$E58,BE$12&lt;=$F58,MOD(BE$12,7)&gt;1,NOT(COUNTIF(General!$U$13:$U$19,BE$12))),$I58,"")</f>
        <v/>
      </c>
      <c r="BF58" s="602" t="str">
        <f>IF(AND(BF$12&gt;=$E58,BF$12&lt;=$F58,MOD(BF$12,7)&gt;1,NOT(COUNTIF(General!$U$13:$U$19,BF$12))),$I58,"")</f>
        <v/>
      </c>
      <c r="BG58" s="602" t="str">
        <f>IF(AND(BG$12&gt;=$E58,BG$12&lt;=$F58,MOD(BG$12,7)&gt;1,NOT(COUNTIF(General!$U$13:$U$19,BG$12))),$I58,"")</f>
        <v/>
      </c>
      <c r="BH58" s="602" t="str">
        <f>IF(AND(BH$12&gt;=$E58,BH$12&lt;=$F58,MOD(BH$12,7)&gt;1,NOT(COUNTIF(General!$U$13:$U$19,BH$12))),$I58,"")</f>
        <v/>
      </c>
      <c r="BI58" s="602" t="str">
        <f>IF(AND(BI$12&gt;=$E58,BI$12&lt;=$F58,MOD(BI$12,7)&gt;1,NOT(COUNTIF(General!$U$13:$U$19,BI$12))),$I58,"")</f>
        <v/>
      </c>
      <c r="BJ58" s="602" t="str">
        <f>IF(AND(BJ$12&gt;=$E58,BJ$12&lt;=$F58,MOD(BJ$12,7)&gt;1,NOT(COUNTIF(General!$U$13:$U$19,BJ$12))),$I58,"")</f>
        <v/>
      </c>
      <c r="BK58" s="602" t="str">
        <f>IF(AND(BK$12&gt;=$E58,BK$12&lt;=$F58,MOD(BK$12,7)&gt;1,NOT(COUNTIF(General!$U$13:$U$19,BK$12))),$I58,"")</f>
        <v/>
      </c>
      <c r="BL58" s="602" t="str">
        <f>IF(AND(BL$12&gt;=$E58,BL$12&lt;=$F58,MOD(BL$12,7)&gt;1,NOT(COUNTIF(General!$U$13:$U$19,BL$12))),$I58,"")</f>
        <v/>
      </c>
      <c r="BM58" s="602" t="str">
        <f>IF(AND(BM$12&gt;=$E58,BM$12&lt;=$F58,MOD(BM$12,7)&gt;1,NOT(COUNTIF(General!$U$13:$U$19,BM$12))),$I58,"")</f>
        <v/>
      </c>
      <c r="BN58" s="602" t="str">
        <f>IF(AND(BN$12&gt;=$E58,BN$12&lt;=$F58,MOD(BN$12,7)&gt;1,NOT(COUNTIF(General!$U$13:$U$19,BN$12))),$I58,"")</f>
        <v/>
      </c>
      <c r="BO58" s="602" t="str">
        <f>IF(AND(BO$12&gt;=$E58,BO$12&lt;=$F58,MOD(BO$12,7)&gt;1,NOT(COUNTIF(General!$U$13:$U$19,BO$12))),$I58,"")</f>
        <v/>
      </c>
      <c r="BP58" s="602" t="str">
        <f>IF(AND(BP$12&gt;=$E58,BP$12&lt;=$F58,MOD(BP$12,7)&gt;1,NOT(COUNTIF(General!$U$13:$U$19,BP$12))),$I58,"")</f>
        <v/>
      </c>
      <c r="BQ58" s="602" t="str">
        <f>IF(AND(BQ$12&gt;=$E58,BQ$12&lt;=$F58,MOD(BQ$12,7)&gt;1,NOT(COUNTIF(General!$U$13:$U$19,BQ$12))),$I58,"")</f>
        <v/>
      </c>
      <c r="BR58" s="602" t="str">
        <f>IF(AND(BR$12&gt;=$E58,BR$12&lt;=$F58,MOD(BR$12,7)&gt;1,NOT(COUNTIF(General!$U$13:$U$19,BR$12))),$I58,"")</f>
        <v/>
      </c>
      <c r="BS58" s="602" t="str">
        <f>IF(AND(BS$12&gt;=$E58,BS$12&lt;=$F58,MOD(BS$12,7)&gt;1,NOT(COUNTIF(General!$U$13:$U$19,BS$12))),$I58,"")</f>
        <v/>
      </c>
      <c r="BT58" s="602" t="str">
        <f>IF(AND(BT$12&gt;=$E58,BT$12&lt;=$F58,MOD(BT$12,7)&gt;1,NOT(COUNTIF(General!$U$13:$U$19,BT$12))),$I58,"")</f>
        <v/>
      </c>
      <c r="BU58" s="602" t="str">
        <f>IF(AND(BU$12&gt;=$E58,BU$12&lt;=$F58,MOD(BU$12,7)&gt;1,NOT(COUNTIF(General!$U$13:$U$19,BU$12))),$I58,"")</f>
        <v/>
      </c>
      <c r="BV58" s="602" t="str">
        <f>IF(AND(BV$12&gt;=$E58,BV$12&lt;=$F58,MOD(BV$12,7)&gt;1,NOT(COUNTIF(General!$U$13:$U$19,BV$12))),$I58,"")</f>
        <v/>
      </c>
      <c r="BW58" s="602" t="str">
        <f>IF(AND(BW$12&gt;=$E58,BW$12&lt;=$F58,MOD(BW$12,7)&gt;1,NOT(COUNTIF(General!$U$13:$U$19,BW$12))),$I58,"")</f>
        <v/>
      </c>
      <c r="BX58" s="602" t="str">
        <f>IF(AND(BX$12&gt;=$E58,BX$12&lt;=$F58,MOD(BX$12,7)&gt;1,NOT(COUNTIF(General!$U$13:$U$19,BX$12))),$I58,"")</f>
        <v/>
      </c>
      <c r="BY58" s="602" t="str">
        <f>IF(AND(BY$12&gt;=$E58,BY$12&lt;=$F58,MOD(BY$12,7)&gt;1,NOT(COUNTIF(General!$U$13:$U$19,BY$12))),$I58,"")</f>
        <v/>
      </c>
      <c r="BZ58" s="602" t="str">
        <f>IF(AND(BZ$12&gt;=$E58,BZ$12&lt;=$F58,MOD(BZ$12,7)&gt;1,NOT(COUNTIF(General!$U$13:$U$19,BZ$12))),$I58,"")</f>
        <v/>
      </c>
      <c r="CA58" s="602" t="str">
        <f>IF(AND(CA$12&gt;=$E58,CA$12&lt;=$F58,MOD(CA$12,7)&gt;1,NOT(COUNTIF(General!$U$13:$U$19,CA$12))),$I58,"")</f>
        <v/>
      </c>
      <c r="CB58" s="602" t="str">
        <f>IF(AND(CB$12&gt;=$E58,CB$12&lt;=$F58,MOD(CB$12,7)&gt;1,NOT(COUNTIF(General!$U$13:$U$19,CB$12))),$I58,"")</f>
        <v/>
      </c>
      <c r="CC58" s="602" t="str">
        <f>IF(AND(CC$12&gt;=$E58,CC$12&lt;=$F58,MOD(CC$12,7)&gt;1,NOT(COUNTIF(General!$U$13:$U$19,CC$12))),$I58,"")</f>
        <v/>
      </c>
      <c r="CD58" s="602" t="str">
        <f>IF(AND(CD$12&gt;=$E58,CD$12&lt;=$F58,MOD(CD$12,7)&gt;1,NOT(COUNTIF(General!$U$13:$U$19,CD$12))),$I58,"")</f>
        <v/>
      </c>
      <c r="CE58" s="602" t="str">
        <f>IF(AND(CE$12&gt;=$E58,CE$12&lt;=$F58,MOD(CE$12,7)&gt;1,NOT(COUNTIF(General!$U$13:$U$19,CE$12))),$I58,"")</f>
        <v/>
      </c>
      <c r="CF58" s="602" t="str">
        <f>IF(AND(CF$12&gt;=$E58,CF$12&lt;=$F58,MOD(CF$12,7)&gt;1,NOT(COUNTIF(General!$U$13:$U$19,CF$12))),$I58,"")</f>
        <v/>
      </c>
      <c r="CG58" s="602" t="str">
        <f>IF(AND(CG$12&gt;=$E58,CG$12&lt;=$F58,MOD(CG$12,7)&gt;1,NOT(COUNTIF(General!$U$13:$U$19,CG$12))),$I58,"")</f>
        <v/>
      </c>
      <c r="CH58" s="602" t="str">
        <f>IF(AND(CH$12&gt;=$E58,CH$12&lt;=$F58,MOD(CH$12,7)&gt;1,NOT(COUNTIF(General!$U$13:$U$19,CH$12))),$I58,"")</f>
        <v/>
      </c>
      <c r="CI58" s="602" t="str">
        <f>IF(AND(CI$12&gt;=$E58,CI$12&lt;=$F58,MOD(CI$12,7)&gt;1,NOT(COUNTIF(General!$U$13:$U$19,CI$12))),$I58,"")</f>
        <v/>
      </c>
      <c r="CJ58" s="602" t="str">
        <f>IF(AND(CJ$12&gt;=$E58,CJ$12&lt;=$F58,MOD(CJ$12,7)&gt;1,NOT(COUNTIF(General!$U$13:$U$19,CJ$12))),$I58,"")</f>
        <v/>
      </c>
      <c r="CK58" s="602" t="str">
        <f>IF(AND(CK$12&gt;=$E58,CK$12&lt;=$F58,MOD(CK$12,7)&gt;1,NOT(COUNTIF(General!$U$13:$U$19,CK$12))),$I58,"")</f>
        <v/>
      </c>
      <c r="CL58" s="602" t="str">
        <f>IF(AND(CL$12&gt;=$E58,CL$12&lt;=$F58,MOD(CL$12,7)&gt;1,NOT(COUNTIF(General!$U$13:$U$19,CL$12))),$I58,"")</f>
        <v/>
      </c>
      <c r="CM58" s="602" t="str">
        <f>IF(AND(CM$12&gt;=$E58,CM$12&lt;=$F58,MOD(CM$12,7)&gt;1,NOT(COUNTIF(General!$U$13:$U$19,CM$12))),$I58,"")</f>
        <v/>
      </c>
      <c r="CN58" s="602" t="str">
        <f>IF(AND(CN$12&gt;=$E58,CN$12&lt;=$F58,MOD(CN$12,7)&gt;1,NOT(COUNTIF(General!$U$13:$U$19,CN$12))),$I58,"")</f>
        <v/>
      </c>
      <c r="CO58" s="602" t="str">
        <f>IF(AND(CO$12&gt;=$E58,CO$12&lt;=$F58,MOD(CO$12,7)&gt;1,NOT(COUNTIF(General!$U$13:$U$19,CO$12))),$I58,"")</f>
        <v/>
      </c>
      <c r="CP58" s="602" t="str">
        <f>IF(AND(CP$12&gt;=$E58,CP$12&lt;=$F58,MOD(CP$12,7)&gt;1,NOT(COUNTIF(General!$U$13:$U$19,CP$12))),$I58,"")</f>
        <v/>
      </c>
      <c r="CQ58" s="602" t="str">
        <f>IF(AND(CQ$12&gt;=$E58,CQ$12&lt;=$F58,MOD(CQ$12,7)&gt;1,NOT(COUNTIF(General!$U$13:$U$19,CQ$12))),$I58,"")</f>
        <v/>
      </c>
      <c r="CR58" s="602" t="str">
        <f>IF(AND(CR$12&gt;=$E58,CR$12&lt;=$F58,MOD(CR$12,7)&gt;1,NOT(COUNTIF(General!$U$13:$U$19,CR$12))),$I58,"")</f>
        <v/>
      </c>
      <c r="CS58" s="602" t="str">
        <f>IF(AND(CS$12&gt;=$E58,CS$12&lt;=$F58,MOD(CS$12,7)&gt;1,NOT(COUNTIF(General!$U$13:$U$19,CS$12))),$I58,"")</f>
        <v/>
      </c>
      <c r="CT58" s="602" t="str">
        <f>IF(AND(CT$12&gt;=$E58,CT$12&lt;=$F58,MOD(CT$12,7)&gt;1,NOT(COUNTIF(General!$U$13:$U$19,CT$12))),$I58,"")</f>
        <v/>
      </c>
      <c r="CU58" s="602" t="str">
        <f>IF(AND(CU$12&gt;=$E58,CU$12&lt;=$F58,MOD(CU$12,7)&gt;1,NOT(COUNTIF(General!$U$13:$U$19,CU$12))),$I58,"")</f>
        <v/>
      </c>
      <c r="CV58" s="602" t="str">
        <f>IF(AND(CV$12&gt;=$E58,CV$12&lt;=$F58,MOD(CV$12,7)&gt;1,NOT(COUNTIF(General!$U$13:$U$19,CV$12))),$I58,"")</f>
        <v/>
      </c>
      <c r="CW58" s="602" t="str">
        <f>IF(AND(CW$12&gt;=$E58,CW$12&lt;=$F58,MOD(CW$12,7)&gt;1,NOT(COUNTIF(General!$U$13:$U$19,CW$12))),$I58,"")</f>
        <v/>
      </c>
      <c r="CX58" s="602" t="str">
        <f>IF(AND(CX$12&gt;=$E58,CX$12&lt;=$F58,MOD(CX$12,7)&gt;1,NOT(COUNTIF(General!$U$13:$U$19,CX$12))),$I58,"")</f>
        <v/>
      </c>
      <c r="CY58" s="602" t="str">
        <f>IF(AND(CY$12&gt;=$E58,CY$12&lt;=$F58,MOD(CY$12,7)&gt;1,NOT(COUNTIF(General!$U$13:$U$19,CY$12))),$I58,"")</f>
        <v/>
      </c>
      <c r="CZ58" s="602" t="str">
        <f>IF(AND(CZ$12&gt;=$E58,CZ$12&lt;=$F58,MOD(CZ$12,7)&gt;1,NOT(COUNTIF(General!$U$13:$U$19,CZ$12))),$I58,"")</f>
        <v/>
      </c>
      <c r="DA58" s="602" t="str">
        <f>IF(AND(DA$12&gt;=$E58,DA$12&lt;=$F58,MOD(DA$12,7)&gt;1,NOT(COUNTIF(General!$U$13:$U$19,DA$12))),$I58,"")</f>
        <v/>
      </c>
      <c r="DB58" s="602" t="str">
        <f>IF(AND(DB$12&gt;=$E58,DB$12&lt;=$F58,MOD(DB$12,7)&gt;1,NOT(COUNTIF(General!$U$13:$U$19,DB$12))),$I58,"")</f>
        <v/>
      </c>
      <c r="DC58" s="602" t="str">
        <f>IF(AND(DC$12&gt;=$E58,DC$12&lt;=$F58,MOD(DC$12,7)&gt;1,NOT(COUNTIF(General!$U$13:$U$19,DC$12))),$I58,"")</f>
        <v/>
      </c>
      <c r="DD58" s="602" t="str">
        <f>IF(AND(DD$12&gt;=$E58,DD$12&lt;=$F58,MOD(DD$12,7)&gt;1,NOT(COUNTIF(General!$U$13:$U$19,DD$12))),$I58,"")</f>
        <v/>
      </c>
      <c r="DE58" s="602" t="str">
        <f>IF(AND(DE$12&gt;=$E58,DE$12&lt;=$F58,MOD(DE$12,7)&gt;1,NOT(COUNTIF(General!$U$13:$U$19,DE$12))),$I58,"")</f>
        <v/>
      </c>
      <c r="DF58" s="602" t="str">
        <f>IF(AND(DF$12&gt;=$E58,DF$12&lt;=$F58,MOD(DF$12,7)&gt;1,NOT(COUNTIF(General!$U$13:$U$19,DF$12))),$I58,"")</f>
        <v/>
      </c>
      <c r="DG58" s="602" t="str">
        <f>IF(AND(DG$12&gt;=$E58,DG$12&lt;=$F58,MOD(DG$12,7)&gt;1,NOT(COUNTIF(General!$U$13:$U$19,DG$12))),$I58,"")</f>
        <v/>
      </c>
      <c r="DH58" s="602" t="str">
        <f>IF(AND(DH$12&gt;=$E58,DH$12&lt;=$F58,MOD(DH$12,7)&gt;1,NOT(COUNTIF(General!$U$13:$U$19,DH$12))),$I58,"")</f>
        <v/>
      </c>
      <c r="DI58" s="602" t="str">
        <f>IF(AND(DI$12&gt;=$E58,DI$12&lt;=$F58,MOD(DI$12,7)&gt;1,NOT(COUNTIF(General!$U$13:$U$19,DI$12))),$I58,"")</f>
        <v/>
      </c>
      <c r="DJ58" s="602" t="str">
        <f>IF(AND(DJ$12&gt;=$E58,DJ$12&lt;=$F58,MOD(DJ$12,7)&gt;1,NOT(COUNTIF(General!$U$13:$U$19,DJ$12))),$I58,"")</f>
        <v/>
      </c>
      <c r="DK58" s="602" t="str">
        <f>IF(AND(DK$12&gt;=$E58,DK$12&lt;=$F58,MOD(DK$12,7)&gt;1,NOT(COUNTIF(General!$U$13:$U$19,DK$12))),$I58,"")</f>
        <v/>
      </c>
      <c r="DL58" s="602" t="str">
        <f>IF(AND(DL$12&gt;=$E58,DL$12&lt;=$F58,MOD(DL$12,7)&gt;1,NOT(COUNTIF(General!$U$13:$U$19,DL$12))),$I58,"")</f>
        <v/>
      </c>
      <c r="DM58" s="602" t="str">
        <f>IF(AND(DM$12&gt;=$E58,DM$12&lt;=$F58,MOD(DM$12,7)&gt;1,NOT(COUNTIF(General!$U$13:$U$19,DM$12))),$I58,"")</f>
        <v/>
      </c>
      <c r="DN58" s="602" t="str">
        <f>IF(AND(DN$12&gt;=$E58,DN$12&lt;=$F58,MOD(DN$12,7)&gt;1,NOT(COUNTIF(General!$U$13:$U$19,DN$12))),$I58,"")</f>
        <v/>
      </c>
      <c r="DO58" s="602" t="str">
        <f>IF(AND(DO$12&gt;=$E58,DO$12&lt;=$F58,MOD(DO$12,7)&gt;1,NOT(COUNTIF(General!$U$13:$U$19,DO$12))),$I58,"")</f>
        <v/>
      </c>
      <c r="DP58" s="602" t="str">
        <f>IF(AND(DP$12&gt;=$E58,DP$12&lt;=$F58,MOD(DP$12,7)&gt;1,NOT(COUNTIF(General!$U$13:$U$19,DP$12))),$I58,"")</f>
        <v/>
      </c>
      <c r="DQ58" s="602" t="str">
        <f>IF(AND(DQ$12&gt;=$E58,DQ$12&lt;=$F58,MOD(DQ$12,7)&gt;1,NOT(COUNTIF(General!$U$13:$U$19,DQ$12))),$I58,"")</f>
        <v/>
      </c>
      <c r="DR58" s="602" t="str">
        <f>IF(AND(DR$12&gt;=$E58,DR$12&lt;=$F58,MOD(DR$12,7)&gt;1,NOT(COUNTIF(General!$U$13:$U$19,DR$12))),$I58,"")</f>
        <v/>
      </c>
      <c r="DS58" s="602" t="str">
        <f>IF(AND(DS$12&gt;=$E58,DS$12&lt;=$F58,MOD(DS$12,7)&gt;1,NOT(COUNTIF(General!$U$13:$U$19,DS$12))),$I58,"")</f>
        <v/>
      </c>
      <c r="DT58" s="602" t="str">
        <f>IF(AND(DT$12&gt;=$E58,DT$12&lt;=$F58,MOD(DT$12,7)&gt;1,NOT(COUNTIF(General!$U$13:$U$19,DT$12))),$I58,"")</f>
        <v/>
      </c>
      <c r="DU58" s="602" t="str">
        <f>IF(AND(DU$12&gt;=$E58,DU$12&lt;=$F58,MOD(DU$12,7)&gt;1,NOT(COUNTIF(General!$U$13:$U$19,DU$12))),$I58,"")</f>
        <v/>
      </c>
      <c r="DV58" s="602" t="str">
        <f>IF(AND(DV$12&gt;=$E58,DV$12&lt;=$F58,MOD(DV$12,7)&gt;1,NOT(COUNTIF(General!$U$13:$U$19,DV$12))),$I58,"")</f>
        <v/>
      </c>
      <c r="DW58" s="602" t="str">
        <f>IF(AND(DW$12&gt;=$E58,DW$12&lt;=$F58,MOD(DW$12,7)&gt;1,NOT(COUNTIF(General!$U$13:$U$19,DW$12))),$I58,"")</f>
        <v/>
      </c>
      <c r="DX58" s="602" t="str">
        <f>IF(AND(DX$12&gt;=$E58,DX$12&lt;=$F58,MOD(DX$12,7)&gt;1,NOT(COUNTIF(General!$U$13:$U$19,DX$12))),$I58,"")</f>
        <v/>
      </c>
      <c r="DY58" s="602" t="str">
        <f>IF(AND(DY$12&gt;=$E58,DY$12&lt;=$F58,MOD(DY$12,7)&gt;1,NOT(COUNTIF(General!$U$13:$U$19,DY$12))),$I58,"")</f>
        <v/>
      </c>
      <c r="DZ58" s="602" t="str">
        <f>IF(AND(DZ$12&gt;=$E58,DZ$12&lt;=$F58,MOD(DZ$12,7)&gt;1,NOT(COUNTIF(General!$U$13:$U$19,DZ$12))),$I58,"")</f>
        <v/>
      </c>
      <c r="EA58" s="602" t="str">
        <f>IF(AND(EA$12&gt;=$E58,EA$12&lt;=$F58,MOD(EA$12,7)&gt;1,NOT(COUNTIF(General!$U$13:$U$19,EA$12))),$I58,"")</f>
        <v/>
      </c>
      <c r="EB58" s="602" t="str">
        <f>IF(AND(EB$12&gt;=$E58,EB$12&lt;=$F58,MOD(EB$12,7)&gt;1,NOT(COUNTIF(General!$U$13:$U$19,EB$12))),$I58,"")</f>
        <v/>
      </c>
      <c r="EC58" s="602" t="str">
        <f>IF(AND(EC$12&gt;=$E58,EC$12&lt;=$F58,MOD(EC$12,7)&gt;1,NOT(COUNTIF(General!$U$13:$U$19,EC$12))),$I58,"")</f>
        <v/>
      </c>
      <c r="ED58" s="602" t="str">
        <f>IF(AND(ED$12&gt;=$E58,ED$12&lt;=$F58,MOD(ED$12,7)&gt;1,NOT(COUNTIF(General!$U$13:$U$19,ED$12))),$I58,"")</f>
        <v/>
      </c>
      <c r="EE58" s="602" t="str">
        <f>IF(AND(EE$12&gt;=$E58,EE$12&lt;=$F58,MOD(EE$12,7)&gt;1,NOT(COUNTIF(General!$U$13:$U$19,EE$12))),$I58,"")</f>
        <v/>
      </c>
      <c r="EF58" s="602" t="str">
        <f>IF(AND(EF$12&gt;=$E58,EF$12&lt;=$F58,MOD(EF$12,7)&gt;1,NOT(COUNTIF(General!$U$13:$U$19,EF$12))),$I58,"")</f>
        <v/>
      </c>
      <c r="EG58" s="602" t="str">
        <f>IF(AND(EG$12&gt;=$E58,EG$12&lt;=$F58,MOD(EG$12,7)&gt;1,NOT(COUNTIF(General!$U$13:$U$19,EG$12))),$I58,"")</f>
        <v/>
      </c>
      <c r="EH58" s="602" t="str">
        <f>IF(AND(EH$12&gt;=$E58,EH$12&lt;=$F58,MOD(EH$12,7)&gt;1,NOT(COUNTIF(General!$U$13:$U$19,EH$12))),$I58,"")</f>
        <v/>
      </c>
      <c r="EI58" s="602" t="str">
        <f>IF(AND(EI$12&gt;=$E58,EI$12&lt;=$F58,MOD(EI$12,7)&gt;1,NOT(COUNTIF(General!$U$13:$U$19,EI$12))),$I58,"")</f>
        <v/>
      </c>
      <c r="EJ58" s="602" t="str">
        <f>IF(AND(EJ$12&gt;=$E58,EJ$12&lt;=$F58,MOD(EJ$12,7)&gt;1,NOT(COUNTIF(General!$U$13:$U$19,EJ$12))),$I58,"")</f>
        <v/>
      </c>
      <c r="EK58" s="602" t="str">
        <f>IF(AND(EK$12&gt;=$E58,EK$12&lt;=$F58,MOD(EK$12,7)&gt;1,NOT(COUNTIF(General!$U$13:$U$19,EK$12))),$I58,"")</f>
        <v/>
      </c>
      <c r="EL58" s="602" t="str">
        <f>IF(AND(EL$12&gt;=$E58,EL$12&lt;=$F58,MOD(EL$12,7)&gt;1,NOT(COUNTIF(General!$U$13:$U$19,EL$12))),$I58,"")</f>
        <v/>
      </c>
      <c r="EM58" s="602" t="str">
        <f>IF(AND(EM$12&gt;=$E58,EM$12&lt;=$F58,MOD(EM$12,7)&gt;1,NOT(COUNTIF(General!$U$13:$U$19,EM$12))),$I58,"")</f>
        <v/>
      </c>
      <c r="EN58" s="602" t="str">
        <f>IF(AND(EN$12&gt;=$E58,EN$12&lt;=$F58,MOD(EN$12,7)&gt;1,NOT(COUNTIF(General!$U$13:$U$19,EN$12))),$I58,"")</f>
        <v/>
      </c>
      <c r="EO58" s="602" t="str">
        <f>IF(AND(EO$12&gt;=$E58,EO$12&lt;=$F58,MOD(EO$12,7)&gt;1,NOT(COUNTIF(General!$U$13:$U$19,EO$12))),$I58,"")</f>
        <v/>
      </c>
      <c r="EP58" s="602" t="str">
        <f>IF(AND(EP$12&gt;=$E58,EP$12&lt;=$F58,MOD(EP$12,7)&gt;1,NOT(COUNTIF(General!$U$13:$U$19,EP$12))),$I58,"")</f>
        <v/>
      </c>
      <c r="EQ58" s="602" t="str">
        <f>IF(AND(EQ$12&gt;=$E58,EQ$12&lt;=$F58,MOD(EQ$12,7)&gt;1,NOT(COUNTIF(General!$U$13:$U$19,EQ$12))),$I58,"")</f>
        <v/>
      </c>
      <c r="ER58" s="602" t="str">
        <f>IF(AND(ER$12&gt;=$E58,ER$12&lt;=$F58,MOD(ER$12,7)&gt;1,NOT(COUNTIF(General!$U$13:$U$19,ER$12))),$I58,"")</f>
        <v/>
      </c>
      <c r="ES58" s="602" t="str">
        <f>IF(AND(ES$12&gt;=$E58,ES$12&lt;=$F58,MOD(ES$12,7)&gt;1,NOT(COUNTIF(General!$U$13:$U$19,ES$12))),$I58,"")</f>
        <v/>
      </c>
      <c r="ET58" s="602" t="str">
        <f>IF(AND(ET$12&gt;=$E58,ET$12&lt;=$F58,MOD(ET$12,7)&gt;1,NOT(COUNTIF(General!$U$13:$U$19,ET$12))),$I58,"")</f>
        <v/>
      </c>
      <c r="EU58" s="602" t="str">
        <f>IF(AND(EU$12&gt;=$E58,EU$12&lt;=$F58,MOD(EU$12,7)&gt;1,NOT(COUNTIF(General!$U$13:$U$19,EU$12))),$I58,"")</f>
        <v/>
      </c>
      <c r="EV58" s="602" t="str">
        <f>IF(AND(EV$12&gt;=$E58,EV$12&lt;=$F58,MOD(EV$12,7)&gt;1,NOT(COUNTIF(General!$U$13:$U$19,EV$12))),$I58,"")</f>
        <v/>
      </c>
      <c r="EW58" s="602" t="str">
        <f>IF(AND(EW$12&gt;=$E58,EW$12&lt;=$F58,MOD(EW$12,7)&gt;1,NOT(COUNTIF(General!$U$13:$U$19,EW$12))),$I58,"")</f>
        <v/>
      </c>
      <c r="EX58" s="602" t="str">
        <f>IF(AND(EX$12&gt;=$E58,EX$12&lt;=$F58,MOD(EX$12,7)&gt;1,NOT(COUNTIF(General!$U$13:$U$19,EX$12))),$I58,"")</f>
        <v/>
      </c>
      <c r="EY58" s="602" t="str">
        <f>IF(AND(EY$12&gt;=$E58,EY$12&lt;=$F58,MOD(EY$12,7)&gt;1,NOT(COUNTIF(General!$U$13:$U$19,EY$12))),$I58,"")</f>
        <v/>
      </c>
      <c r="EZ58" s="602" t="str">
        <f>IF(AND(EZ$12&gt;=$E58,EZ$12&lt;=$F58,MOD(EZ$12,7)&gt;1,NOT(COUNTIF(General!$U$13:$U$19,EZ$12))),$I58,"")</f>
        <v/>
      </c>
      <c r="FA58" s="602" t="str">
        <f>IF(AND(FA$12&gt;=$E58,FA$12&lt;=$F58,MOD(FA$12,7)&gt;1,NOT(COUNTIF(General!$U$13:$U$19,FA$12))),$I58,"")</f>
        <v/>
      </c>
      <c r="FB58" s="602" t="str">
        <f>IF(AND(FB$12&gt;=$E58,FB$12&lt;=$F58,MOD(FB$12,7)&gt;1,NOT(COUNTIF(General!$U$13:$U$19,FB$12))),$I58,"")</f>
        <v/>
      </c>
      <c r="FC58" s="602" t="str">
        <f>IF(AND(FC$12&gt;=$E58,FC$12&lt;=$F58,MOD(FC$12,7)&gt;1,NOT(COUNTIF(General!$U$13:$U$19,FC$12))),$I58,"")</f>
        <v/>
      </c>
      <c r="FD58" s="602" t="str">
        <f>IF(AND(FD$12&gt;=$E58,FD$12&lt;=$F58,MOD(FD$12,7)&gt;1,NOT(COUNTIF(General!$U$13:$U$19,FD$12))),$I58,"")</f>
        <v/>
      </c>
      <c r="FE58" s="602" t="str">
        <f>IF(AND(FE$12&gt;=$E58,FE$12&lt;=$F58,MOD(FE$12,7)&gt;1,NOT(COUNTIF(General!$U$13:$U$19,FE$12))),$I58,"")</f>
        <v/>
      </c>
      <c r="FF58" s="602" t="str">
        <f>IF(AND(FF$12&gt;=$E58,FF$12&lt;=$F58,MOD(FF$12,7)&gt;1,NOT(COUNTIF(General!$U$13:$U$19,FF$12))),$I58,"")</f>
        <v/>
      </c>
      <c r="FG58" s="602" t="str">
        <f>IF(AND(FG$12&gt;=$E58,FG$12&lt;=$F58,MOD(FG$12,7)&gt;1,NOT(COUNTIF(General!$U$13:$U$19,FG$12))),$I58,"")</f>
        <v/>
      </c>
      <c r="FH58" s="602" t="str">
        <f>IF(AND(FH$12&gt;=$E58,FH$12&lt;=$F58,MOD(FH$12,7)&gt;1,NOT(COUNTIF(General!$U$13:$U$19,FH$12))),$I58,"")</f>
        <v/>
      </c>
      <c r="FI58" s="602" t="str">
        <f>IF(AND(FI$12&gt;=$E58,FI$12&lt;=$F58,MOD(FI$12,7)&gt;1,NOT(COUNTIF(General!$U$13:$U$19,FI$12))),$I58,"")</f>
        <v/>
      </c>
      <c r="FJ58" s="602" t="str">
        <f>IF(AND(FJ$12&gt;=$E58,FJ$12&lt;=$F58,MOD(FJ$12,7)&gt;1,NOT(COUNTIF(General!$U$13:$U$19,FJ$12))),$I58,"")</f>
        <v/>
      </c>
      <c r="FK58" s="602" t="str">
        <f>IF(AND(FK$12&gt;=$E58,FK$12&lt;=$F58,MOD(FK$12,7)&gt;1,NOT(COUNTIF(General!$U$13:$U$19,FK$12))),$I58,"")</f>
        <v/>
      </c>
      <c r="FL58" s="602" t="str">
        <f>IF(AND(FL$12&gt;=$E58,FL$12&lt;=$F58,MOD(FL$12,7)&gt;1,NOT(COUNTIF(General!$U$13:$U$19,FL$12))),$I58,"")</f>
        <v/>
      </c>
      <c r="FM58" s="602" t="str">
        <f>IF(AND(FM$12&gt;=$E58,FM$12&lt;=$F58,MOD(FM$12,7)&gt;1,NOT(COUNTIF(General!$U$13:$U$19,FM$12))),$I58,"")</f>
        <v/>
      </c>
      <c r="FN58" s="602" t="str">
        <f>IF(AND(FN$12&gt;=$E58,FN$12&lt;=$F58,MOD(FN$12,7)&gt;1,NOT(COUNTIF(General!$U$13:$U$19,FN$12))),$I58,"")</f>
        <v/>
      </c>
      <c r="FO58" s="602" t="str">
        <f>IF(AND(FO$12&gt;=$E58,FO$12&lt;=$F58,MOD(FO$12,7)&gt;1,NOT(COUNTIF(General!$U$13:$U$19,FO$12))),$I58,"")</f>
        <v/>
      </c>
      <c r="FP58" s="602" t="str">
        <f>IF(AND(FP$12&gt;=$E58,FP$12&lt;=$F58,MOD(FP$12,7)&gt;1,NOT(COUNTIF(General!$U$13:$U$19,FP$12))),$I58,"")</f>
        <v/>
      </c>
      <c r="FQ58" s="602" t="str">
        <f>IF(AND(FQ$12&gt;=$E58,FQ$12&lt;=$F58,MOD(FQ$12,7)&gt;1,NOT(COUNTIF(General!$U$13:$U$19,FQ$12))),$I58,"")</f>
        <v/>
      </c>
      <c r="FR58" s="602" t="str">
        <f>IF(AND(FR$12&gt;=$E58,FR$12&lt;=$F58,MOD(FR$12,7)&gt;1,NOT(COUNTIF(General!$U$13:$U$19,FR$12))),$I58,"")</f>
        <v/>
      </c>
      <c r="FS58" s="602" t="str">
        <f>IF(AND(FS$12&gt;=$E58,FS$12&lt;=$F58,MOD(FS$12,7)&gt;1,NOT(COUNTIF(General!$U$13:$U$19,FS$12))),$I58,"")</f>
        <v/>
      </c>
      <c r="FT58" s="602" t="str">
        <f>IF(AND(FT$12&gt;=$E58,FT$12&lt;=$F58,MOD(FT$12,7)&gt;1,NOT(COUNTIF(General!$U$13:$U$19,FT$12))),$I58,"")</f>
        <v/>
      </c>
      <c r="FU58" s="602" t="str">
        <f>IF(AND(FU$12&gt;=$E58,FU$12&lt;=$F58,MOD(FU$12,7)&gt;1,NOT(COUNTIF(General!$U$13:$U$19,FU$12))),$I58,"")</f>
        <v/>
      </c>
      <c r="FV58" s="602" t="str">
        <f>IF(AND(FV$12&gt;=$E58,FV$12&lt;=$F58,MOD(FV$12,7)&gt;1,NOT(COUNTIF(General!$U$13:$U$19,FV$12))),$I58,"")</f>
        <v/>
      </c>
      <c r="FW58" s="602" t="str">
        <f>IF(AND(FW$12&gt;=$E58,FW$12&lt;=$F58,MOD(FW$12,7)&gt;1,NOT(COUNTIF(General!$U$13:$U$19,FW$12))),$I58,"")</f>
        <v/>
      </c>
      <c r="FX58" s="602" t="str">
        <f>IF(AND(FX$12&gt;=$E58,FX$12&lt;=$F58,MOD(FX$12,7)&gt;1,NOT(COUNTIF(General!$U$13:$U$19,FX$12))),$I58,"")</f>
        <v/>
      </c>
    </row>
    <row r="59">
      <c r="A59" s="594"/>
      <c r="B59" s="631"/>
      <c r="C59" s="628"/>
      <c r="D59" s="632"/>
      <c r="E59" s="599"/>
      <c r="F59" s="620"/>
      <c r="G59" s="633"/>
      <c r="H59" s="603"/>
      <c r="I59" s="634">
        <v>1.0</v>
      </c>
      <c r="J59" s="630"/>
      <c r="K59" s="605"/>
      <c r="L59" s="605"/>
      <c r="M59" s="606"/>
      <c r="N59" s="607"/>
      <c r="O59" s="608"/>
      <c r="P59" s="609"/>
      <c r="Q59" s="602" t="str">
        <f>IF(AND(Q$12&gt;=$E59,Q$12&lt;=$F59,MOD(Q$12,7)&gt;1,NOT(COUNTIF(General!$U$13:$U$19,Q$12))),$I59,"")</f>
        <v/>
      </c>
      <c r="R59" s="602" t="str">
        <f>IF(AND(R$12&gt;=$E59,R$12&lt;=$F59,MOD(R$12,7)&gt;1,NOT(COUNTIF(General!$U$13:$U$19,R$12))),$I59,"")</f>
        <v/>
      </c>
      <c r="S59" s="602" t="str">
        <f>IF(AND(S$12&gt;=$E59,S$12&lt;=$F59,MOD(S$12,7)&gt;1,NOT(COUNTIF(General!$U$13:$U$19,S$12))),$I59,"")</f>
        <v/>
      </c>
      <c r="T59" s="602" t="str">
        <f>IF(AND(T$12&gt;=$E59,T$12&lt;=$F59,MOD(T$12,7)&gt;1,NOT(COUNTIF(General!$U$13:$U$19,T$12))),$I59,"")</f>
        <v/>
      </c>
      <c r="U59" s="602" t="str">
        <f>IF(AND(U$12&gt;=$E59,U$12&lt;=$F59,MOD(U$12,7)&gt;1,NOT(COUNTIF(General!$U$13:$U$19,U$12))),$I59,"")</f>
        <v/>
      </c>
      <c r="V59" s="602" t="str">
        <f>IF(AND(V$12&gt;=$E59,V$12&lt;=$F59,MOD(V$12,7)&gt;1,NOT(COUNTIF(General!$U$13:$U$19,V$12))),$I59,"")</f>
        <v/>
      </c>
      <c r="W59" s="602" t="str">
        <f>IF(AND(W$12&gt;=$E59,W$12&lt;=$F59,MOD(W$12,7)&gt;1,NOT(COUNTIF(General!$U$13:$U$19,W$12))),$I59,"")</f>
        <v/>
      </c>
      <c r="X59" s="602" t="str">
        <f>IF(AND(X$12&gt;=$E59,X$12&lt;=$F59,MOD(X$12,7)&gt;1,NOT(COUNTIF(General!$U$13:$U$19,X$12))),$I59,"")</f>
        <v/>
      </c>
      <c r="Y59" s="602" t="str">
        <f>IF(AND(Y$12&gt;=$E59,Y$12&lt;=$F59,MOD(Y$12,7)&gt;1,NOT(COUNTIF(General!$U$13:$U$19,Y$12))),$I59,"")</f>
        <v/>
      </c>
      <c r="Z59" s="602" t="str">
        <f>IF(AND(Z$12&gt;=$E59,Z$12&lt;=$F59,MOD(Z$12,7)&gt;1,NOT(COUNTIF(General!$U$13:$U$19,Z$12))),$I59,"")</f>
        <v/>
      </c>
      <c r="AA59" s="602" t="str">
        <f>IF(AND(AA$12&gt;=$E59,AA$12&lt;=$F59,MOD(AA$12,7)&gt;1,NOT(COUNTIF(General!$U$13:$U$19,AA$12))),$I59,"")</f>
        <v/>
      </c>
      <c r="AB59" s="602" t="str">
        <f>IF(AND(AB$12&gt;=$E59,AB$12&lt;=$F59,MOD(AB$12,7)&gt;1,NOT(COUNTIF(General!$U$13:$U$19,AB$12))),$I59,"")</f>
        <v/>
      </c>
      <c r="AC59" s="602" t="str">
        <f>IF(AND(AC$12&gt;=$E59,AC$12&lt;=$F59,MOD(AC$12,7)&gt;1,NOT(COUNTIF(General!$U$13:$U$19,AC$12))),$I59,"")</f>
        <v/>
      </c>
      <c r="AD59" s="602" t="str">
        <f>IF(AND(AD$12&gt;=$E59,AD$12&lt;=$F59,MOD(AD$12,7)&gt;1,NOT(COUNTIF(General!$U$13:$U$19,AD$12))),$I59,"")</f>
        <v/>
      </c>
      <c r="AE59" s="602" t="str">
        <f>IF(AND(AE$12&gt;=$E59,AE$12&lt;=$F59,MOD(AE$12,7)&gt;1,NOT(COUNTIF(General!$U$13:$U$19,AE$12))),$I59,"")</f>
        <v/>
      </c>
      <c r="AF59" s="602" t="str">
        <f>IF(AND(AF$12&gt;=$E59,AF$12&lt;=$F59,MOD(AF$12,7)&gt;1,NOT(COUNTIF(General!$U$13:$U$19,AF$12))),$I59,"")</f>
        <v/>
      </c>
      <c r="AG59" s="602" t="str">
        <f>IF(AND(AG$12&gt;=$E59,AG$12&lt;=$F59,MOD(AG$12,7)&gt;1,NOT(COUNTIF(General!$U$13:$U$19,AG$12))),$I59,"")</f>
        <v/>
      </c>
      <c r="AH59" s="602" t="str">
        <f>IF(AND(AH$12&gt;=$E59,AH$12&lt;=$F59,MOD(AH$12,7)&gt;1,NOT(COUNTIF(General!$U$13:$U$19,AH$12))),$I59,"")</f>
        <v/>
      </c>
      <c r="AI59" s="602" t="str">
        <f>IF(AND(AI$12&gt;=$E59,AI$12&lt;=$F59,MOD(AI$12,7)&gt;1,NOT(COUNTIF(General!$U$13:$U$19,AI$12))),$I59,"")</f>
        <v/>
      </c>
      <c r="AJ59" s="602" t="str">
        <f>IF(AND(AJ$12&gt;=$E59,AJ$12&lt;=$F59,MOD(AJ$12,7)&gt;1,NOT(COUNTIF(General!$U$13:$U$19,AJ$12))),$I59,"")</f>
        <v/>
      </c>
      <c r="AK59" s="602" t="str">
        <f>IF(AND(AK$12&gt;=$E59,AK$12&lt;=$F59,MOD(AK$12,7)&gt;1,NOT(COUNTIF(General!$U$13:$U$19,AK$12))),$I59,"")</f>
        <v/>
      </c>
      <c r="AL59" s="602" t="str">
        <f>IF(AND(AL$12&gt;=$E59,AL$12&lt;=$F59,MOD(AL$12,7)&gt;1,NOT(COUNTIF(General!$U$13:$U$19,AL$12))),$I59,"")</f>
        <v/>
      </c>
      <c r="AM59" s="602" t="str">
        <f>IF(AND(AM$12&gt;=$E59,AM$12&lt;=$F59,MOD(AM$12,7)&gt;1,NOT(COUNTIF(General!$U$13:$U$19,AM$12))),$I59,"")</f>
        <v/>
      </c>
      <c r="AN59" s="602" t="str">
        <f>IF(AND(AN$12&gt;=$E59,AN$12&lt;=$F59,MOD(AN$12,7)&gt;1,NOT(COUNTIF(General!$U$13:$U$19,AN$12))),$I59,"")</f>
        <v/>
      </c>
      <c r="AO59" s="602" t="str">
        <f>IF(AND(AO$12&gt;=$E59,AO$12&lt;=$F59,MOD(AO$12,7)&gt;1,NOT(COUNTIF(General!$U$13:$U$19,AO$12))),$I59,"")</f>
        <v/>
      </c>
      <c r="AP59" s="602" t="str">
        <f>IF(AND(AP$12&gt;=$E59,AP$12&lt;=$F59,MOD(AP$12,7)&gt;1,NOT(COUNTIF(General!$U$13:$U$19,AP$12))),$I59,"")</f>
        <v/>
      </c>
      <c r="AQ59" s="602" t="str">
        <f>IF(AND(AQ$12&gt;=$E59,AQ$12&lt;=$F59,MOD(AQ$12,7)&gt;1,NOT(COUNTIF(General!$U$13:$U$19,AQ$12))),$I59,"")</f>
        <v/>
      </c>
      <c r="AR59" s="602" t="str">
        <f>IF(AND(AR$12&gt;=$E59,AR$12&lt;=$F59,MOD(AR$12,7)&gt;1,NOT(COUNTIF(General!$U$13:$U$19,AR$12))),$I59,"")</f>
        <v/>
      </c>
      <c r="AS59" s="602" t="str">
        <f>IF(AND(AS$12&gt;=$E59,AS$12&lt;=$F59,MOD(AS$12,7)&gt;1,NOT(COUNTIF(General!$U$13:$U$19,AS$12))),$I59,"")</f>
        <v/>
      </c>
      <c r="AT59" s="602" t="str">
        <f>IF(AND(AT$12&gt;=$E59,AT$12&lt;=$F59,MOD(AT$12,7)&gt;1,NOT(COUNTIF(General!$U$13:$U$19,AT$12))),$I59,"")</f>
        <v/>
      </c>
      <c r="AU59" s="602" t="str">
        <f>IF(AND(AU$12&gt;=$E59,AU$12&lt;=$F59,MOD(AU$12,7)&gt;1,NOT(COUNTIF(General!$U$13:$U$19,AU$12))),$I59,"")</f>
        <v/>
      </c>
      <c r="AV59" s="602" t="str">
        <f>IF(AND(AV$12&gt;=$E59,AV$12&lt;=$F59,MOD(AV$12,7)&gt;1,NOT(COUNTIF(General!$U$13:$U$19,AV$12))),$I59,"")</f>
        <v/>
      </c>
      <c r="AW59" s="602" t="str">
        <f>IF(AND(AW$12&gt;=$E59,AW$12&lt;=$F59,MOD(AW$12,7)&gt;1,NOT(COUNTIF(General!$U$13:$U$19,AW$12))),$I59,"")</f>
        <v/>
      </c>
      <c r="AX59" s="602" t="str">
        <f>IF(AND(AX$12&gt;=$E59,AX$12&lt;=$F59,MOD(AX$12,7)&gt;1,NOT(COUNTIF(General!$U$13:$U$19,AX$12))),$I59,"")</f>
        <v/>
      </c>
      <c r="AY59" s="602" t="str">
        <f>IF(AND(AY$12&gt;=$E59,AY$12&lt;=$F59,MOD(AY$12,7)&gt;1,NOT(COUNTIF(General!$U$13:$U$19,AY$12))),$I59,"")</f>
        <v/>
      </c>
      <c r="AZ59" s="602" t="str">
        <f>IF(AND(AZ$12&gt;=$E59,AZ$12&lt;=$F59,MOD(AZ$12,7)&gt;1,NOT(COUNTIF(General!$U$13:$U$19,AZ$12))),$I59,"")</f>
        <v/>
      </c>
      <c r="BA59" s="602" t="str">
        <f>IF(AND(BA$12&gt;=$E59,BA$12&lt;=$F59,MOD(BA$12,7)&gt;1,NOT(COUNTIF(General!$U$13:$U$19,BA$12))),$I59,"")</f>
        <v/>
      </c>
      <c r="BB59" s="602" t="str">
        <f>IF(AND(BB$12&gt;=$E59,BB$12&lt;=$F59,MOD(BB$12,7)&gt;1,NOT(COUNTIF(General!$U$13:$U$19,BB$12))),$I59,"")</f>
        <v/>
      </c>
      <c r="BC59" s="602" t="str">
        <f>IF(AND(BC$12&gt;=$E59,BC$12&lt;=$F59,MOD(BC$12,7)&gt;1,NOT(COUNTIF(General!$U$13:$U$19,BC$12))),$I59,"")</f>
        <v/>
      </c>
      <c r="BD59" s="602" t="str">
        <f>IF(AND(BD$12&gt;=$E59,BD$12&lt;=$F59,MOD(BD$12,7)&gt;1,NOT(COUNTIF(General!$U$13:$U$19,BD$12))),$I59,"")</f>
        <v/>
      </c>
      <c r="BE59" s="602" t="str">
        <f>IF(AND(BE$12&gt;=$E59,BE$12&lt;=$F59,MOD(BE$12,7)&gt;1,NOT(COUNTIF(General!$U$13:$U$19,BE$12))),$I59,"")</f>
        <v/>
      </c>
      <c r="BF59" s="602" t="str">
        <f>IF(AND(BF$12&gt;=$E59,BF$12&lt;=$F59,MOD(BF$12,7)&gt;1,NOT(COUNTIF(General!$U$13:$U$19,BF$12))),$I59,"")</f>
        <v/>
      </c>
      <c r="BG59" s="602" t="str">
        <f>IF(AND(BG$12&gt;=$E59,BG$12&lt;=$F59,MOD(BG$12,7)&gt;1,NOT(COUNTIF(General!$U$13:$U$19,BG$12))),$I59,"")</f>
        <v/>
      </c>
      <c r="BH59" s="602" t="str">
        <f>IF(AND(BH$12&gt;=$E59,BH$12&lt;=$F59,MOD(BH$12,7)&gt;1,NOT(COUNTIF(General!$U$13:$U$19,BH$12))),$I59,"")</f>
        <v/>
      </c>
      <c r="BI59" s="602" t="str">
        <f>IF(AND(BI$12&gt;=$E59,BI$12&lt;=$F59,MOD(BI$12,7)&gt;1,NOT(COUNTIF(General!$U$13:$U$19,BI$12))),$I59,"")</f>
        <v/>
      </c>
      <c r="BJ59" s="602" t="str">
        <f>IF(AND(BJ$12&gt;=$E59,BJ$12&lt;=$F59,MOD(BJ$12,7)&gt;1,NOT(COUNTIF(General!$U$13:$U$19,BJ$12))),$I59,"")</f>
        <v/>
      </c>
      <c r="BK59" s="602" t="str">
        <f>IF(AND(BK$12&gt;=$E59,BK$12&lt;=$F59,MOD(BK$12,7)&gt;1,NOT(COUNTIF(General!$U$13:$U$19,BK$12))),$I59,"")</f>
        <v/>
      </c>
      <c r="BL59" s="602" t="str">
        <f>IF(AND(BL$12&gt;=$E59,BL$12&lt;=$F59,MOD(BL$12,7)&gt;1,NOT(COUNTIF(General!$U$13:$U$19,BL$12))),$I59,"")</f>
        <v/>
      </c>
      <c r="BM59" s="602" t="str">
        <f>IF(AND(BM$12&gt;=$E59,BM$12&lt;=$F59,MOD(BM$12,7)&gt;1,NOT(COUNTIF(General!$U$13:$U$19,BM$12))),$I59,"")</f>
        <v/>
      </c>
      <c r="BN59" s="602" t="str">
        <f>IF(AND(BN$12&gt;=$E59,BN$12&lt;=$F59,MOD(BN$12,7)&gt;1,NOT(COUNTIF(General!$U$13:$U$19,BN$12))),$I59,"")</f>
        <v/>
      </c>
      <c r="BO59" s="602" t="str">
        <f>IF(AND(BO$12&gt;=$E59,BO$12&lt;=$F59,MOD(BO$12,7)&gt;1,NOT(COUNTIF(General!$U$13:$U$19,BO$12))),$I59,"")</f>
        <v/>
      </c>
      <c r="BP59" s="602" t="str">
        <f>IF(AND(BP$12&gt;=$E59,BP$12&lt;=$F59,MOD(BP$12,7)&gt;1,NOT(COUNTIF(General!$U$13:$U$19,BP$12))),$I59,"")</f>
        <v/>
      </c>
      <c r="BQ59" s="602" t="str">
        <f>IF(AND(BQ$12&gt;=$E59,BQ$12&lt;=$F59,MOD(BQ$12,7)&gt;1,NOT(COUNTIF(General!$U$13:$U$19,BQ$12))),$I59,"")</f>
        <v/>
      </c>
      <c r="BR59" s="602" t="str">
        <f>IF(AND(BR$12&gt;=$E59,BR$12&lt;=$F59,MOD(BR$12,7)&gt;1,NOT(COUNTIF(General!$U$13:$U$19,BR$12))),$I59,"")</f>
        <v/>
      </c>
      <c r="BS59" s="602" t="str">
        <f>IF(AND(BS$12&gt;=$E59,BS$12&lt;=$F59,MOD(BS$12,7)&gt;1,NOT(COUNTIF(General!$U$13:$U$19,BS$12))),$I59,"")</f>
        <v/>
      </c>
      <c r="BT59" s="602" t="str">
        <f>IF(AND(BT$12&gt;=$E59,BT$12&lt;=$F59,MOD(BT$12,7)&gt;1,NOT(COUNTIF(General!$U$13:$U$19,BT$12))),$I59,"")</f>
        <v/>
      </c>
      <c r="BU59" s="602" t="str">
        <f>IF(AND(BU$12&gt;=$E59,BU$12&lt;=$F59,MOD(BU$12,7)&gt;1,NOT(COUNTIF(General!$U$13:$U$19,BU$12))),$I59,"")</f>
        <v/>
      </c>
      <c r="BV59" s="602" t="str">
        <f>IF(AND(BV$12&gt;=$E59,BV$12&lt;=$F59,MOD(BV$12,7)&gt;1,NOT(COUNTIF(General!$U$13:$U$19,BV$12))),$I59,"")</f>
        <v/>
      </c>
      <c r="BW59" s="602" t="str">
        <f>IF(AND(BW$12&gt;=$E59,BW$12&lt;=$F59,MOD(BW$12,7)&gt;1,NOT(COUNTIF(General!$U$13:$U$19,BW$12))),$I59,"")</f>
        <v/>
      </c>
      <c r="BX59" s="602" t="str">
        <f>IF(AND(BX$12&gt;=$E59,BX$12&lt;=$F59,MOD(BX$12,7)&gt;1,NOT(COUNTIF(General!$U$13:$U$19,BX$12))),$I59,"")</f>
        <v/>
      </c>
      <c r="BY59" s="602" t="str">
        <f>IF(AND(BY$12&gt;=$E59,BY$12&lt;=$F59,MOD(BY$12,7)&gt;1,NOT(COUNTIF(General!$U$13:$U$19,BY$12))),$I59,"")</f>
        <v/>
      </c>
      <c r="BZ59" s="602" t="str">
        <f>IF(AND(BZ$12&gt;=$E59,BZ$12&lt;=$F59,MOD(BZ$12,7)&gt;1,NOT(COUNTIF(General!$U$13:$U$19,BZ$12))),$I59,"")</f>
        <v/>
      </c>
      <c r="CA59" s="602" t="str">
        <f>IF(AND(CA$12&gt;=$E59,CA$12&lt;=$F59,MOD(CA$12,7)&gt;1,NOT(COUNTIF(General!$U$13:$U$19,CA$12))),$I59,"")</f>
        <v/>
      </c>
      <c r="CB59" s="602" t="str">
        <f>IF(AND(CB$12&gt;=$E59,CB$12&lt;=$F59,MOD(CB$12,7)&gt;1,NOT(COUNTIF(General!$U$13:$U$19,CB$12))),$I59,"")</f>
        <v/>
      </c>
      <c r="CC59" s="602" t="str">
        <f>IF(AND(CC$12&gt;=$E59,CC$12&lt;=$F59,MOD(CC$12,7)&gt;1,NOT(COUNTIF(General!$U$13:$U$19,CC$12))),$I59,"")</f>
        <v/>
      </c>
      <c r="CD59" s="602" t="str">
        <f>IF(AND(CD$12&gt;=$E59,CD$12&lt;=$F59,MOD(CD$12,7)&gt;1,NOT(COUNTIF(General!$U$13:$U$19,CD$12))),$I59,"")</f>
        <v/>
      </c>
      <c r="CE59" s="602" t="str">
        <f>IF(AND(CE$12&gt;=$E59,CE$12&lt;=$F59,MOD(CE$12,7)&gt;1,NOT(COUNTIF(General!$U$13:$U$19,CE$12))),$I59,"")</f>
        <v/>
      </c>
      <c r="CF59" s="602" t="str">
        <f>IF(AND(CF$12&gt;=$E59,CF$12&lt;=$F59,MOD(CF$12,7)&gt;1,NOT(COUNTIF(General!$U$13:$U$19,CF$12))),$I59,"")</f>
        <v/>
      </c>
      <c r="CG59" s="602" t="str">
        <f>IF(AND(CG$12&gt;=$E59,CG$12&lt;=$F59,MOD(CG$12,7)&gt;1,NOT(COUNTIF(General!$U$13:$U$19,CG$12))),$I59,"")</f>
        <v/>
      </c>
      <c r="CH59" s="602" t="str">
        <f>IF(AND(CH$12&gt;=$E59,CH$12&lt;=$F59,MOD(CH$12,7)&gt;1,NOT(COUNTIF(General!$U$13:$U$19,CH$12))),$I59,"")</f>
        <v/>
      </c>
      <c r="CI59" s="602" t="str">
        <f>IF(AND(CI$12&gt;=$E59,CI$12&lt;=$F59,MOD(CI$12,7)&gt;1,NOT(COUNTIF(General!$U$13:$U$19,CI$12))),$I59,"")</f>
        <v/>
      </c>
      <c r="CJ59" s="602" t="str">
        <f>IF(AND(CJ$12&gt;=$E59,CJ$12&lt;=$F59,MOD(CJ$12,7)&gt;1,NOT(COUNTIF(General!$U$13:$U$19,CJ$12))),$I59,"")</f>
        <v/>
      </c>
      <c r="CK59" s="602" t="str">
        <f>IF(AND(CK$12&gt;=$E59,CK$12&lt;=$F59,MOD(CK$12,7)&gt;1,NOT(COUNTIF(General!$U$13:$U$19,CK$12))),$I59,"")</f>
        <v/>
      </c>
      <c r="CL59" s="602" t="str">
        <f>IF(AND(CL$12&gt;=$E59,CL$12&lt;=$F59,MOD(CL$12,7)&gt;1,NOT(COUNTIF(General!$U$13:$U$19,CL$12))),$I59,"")</f>
        <v/>
      </c>
      <c r="CM59" s="602" t="str">
        <f>IF(AND(CM$12&gt;=$E59,CM$12&lt;=$F59,MOD(CM$12,7)&gt;1,NOT(COUNTIF(General!$U$13:$U$19,CM$12))),$I59,"")</f>
        <v/>
      </c>
      <c r="CN59" s="602" t="str">
        <f>IF(AND(CN$12&gt;=$E59,CN$12&lt;=$F59,MOD(CN$12,7)&gt;1,NOT(COUNTIF(General!$U$13:$U$19,CN$12))),$I59,"")</f>
        <v/>
      </c>
      <c r="CO59" s="602" t="str">
        <f>IF(AND(CO$12&gt;=$E59,CO$12&lt;=$F59,MOD(CO$12,7)&gt;1,NOT(COUNTIF(General!$U$13:$U$19,CO$12))),$I59,"")</f>
        <v/>
      </c>
      <c r="CP59" s="602" t="str">
        <f>IF(AND(CP$12&gt;=$E59,CP$12&lt;=$F59,MOD(CP$12,7)&gt;1,NOT(COUNTIF(General!$U$13:$U$19,CP$12))),$I59,"")</f>
        <v/>
      </c>
      <c r="CQ59" s="602" t="str">
        <f>IF(AND(CQ$12&gt;=$E59,CQ$12&lt;=$F59,MOD(CQ$12,7)&gt;1,NOT(COUNTIF(General!$U$13:$U$19,CQ$12))),$I59,"")</f>
        <v/>
      </c>
      <c r="CR59" s="602" t="str">
        <f>IF(AND(CR$12&gt;=$E59,CR$12&lt;=$F59,MOD(CR$12,7)&gt;1,NOT(COUNTIF(General!$U$13:$U$19,CR$12))),$I59,"")</f>
        <v/>
      </c>
      <c r="CS59" s="602" t="str">
        <f>IF(AND(CS$12&gt;=$E59,CS$12&lt;=$F59,MOD(CS$12,7)&gt;1,NOT(COUNTIF(General!$U$13:$U$19,CS$12))),$I59,"")</f>
        <v/>
      </c>
      <c r="CT59" s="602" t="str">
        <f>IF(AND(CT$12&gt;=$E59,CT$12&lt;=$F59,MOD(CT$12,7)&gt;1,NOT(COUNTIF(General!$U$13:$U$19,CT$12))),$I59,"")</f>
        <v/>
      </c>
      <c r="CU59" s="602" t="str">
        <f>IF(AND(CU$12&gt;=$E59,CU$12&lt;=$F59,MOD(CU$12,7)&gt;1,NOT(COUNTIF(General!$U$13:$U$19,CU$12))),$I59,"")</f>
        <v/>
      </c>
      <c r="CV59" s="602" t="str">
        <f>IF(AND(CV$12&gt;=$E59,CV$12&lt;=$F59,MOD(CV$12,7)&gt;1,NOT(COUNTIF(General!$U$13:$U$19,CV$12))),$I59,"")</f>
        <v/>
      </c>
      <c r="CW59" s="602" t="str">
        <f>IF(AND(CW$12&gt;=$E59,CW$12&lt;=$F59,MOD(CW$12,7)&gt;1,NOT(COUNTIF(General!$U$13:$U$19,CW$12))),$I59,"")</f>
        <v/>
      </c>
      <c r="CX59" s="602" t="str">
        <f>IF(AND(CX$12&gt;=$E59,CX$12&lt;=$F59,MOD(CX$12,7)&gt;1,NOT(COUNTIF(General!$U$13:$U$19,CX$12))),$I59,"")</f>
        <v/>
      </c>
      <c r="CY59" s="602" t="str">
        <f>IF(AND(CY$12&gt;=$E59,CY$12&lt;=$F59,MOD(CY$12,7)&gt;1,NOT(COUNTIF(General!$U$13:$U$19,CY$12))),$I59,"")</f>
        <v/>
      </c>
      <c r="CZ59" s="602" t="str">
        <f>IF(AND(CZ$12&gt;=$E59,CZ$12&lt;=$F59,MOD(CZ$12,7)&gt;1,NOT(COUNTIF(General!$U$13:$U$19,CZ$12))),$I59,"")</f>
        <v/>
      </c>
      <c r="DA59" s="602" t="str">
        <f>IF(AND(DA$12&gt;=$E59,DA$12&lt;=$F59,MOD(DA$12,7)&gt;1,NOT(COUNTIF(General!$U$13:$U$19,DA$12))),$I59,"")</f>
        <v/>
      </c>
      <c r="DB59" s="602" t="str">
        <f>IF(AND(DB$12&gt;=$E59,DB$12&lt;=$F59,MOD(DB$12,7)&gt;1,NOT(COUNTIF(General!$U$13:$U$19,DB$12))),$I59,"")</f>
        <v/>
      </c>
      <c r="DC59" s="602" t="str">
        <f>IF(AND(DC$12&gt;=$E59,DC$12&lt;=$F59,MOD(DC$12,7)&gt;1,NOT(COUNTIF(General!$U$13:$U$19,DC$12))),$I59,"")</f>
        <v/>
      </c>
      <c r="DD59" s="602" t="str">
        <f>IF(AND(DD$12&gt;=$E59,DD$12&lt;=$F59,MOD(DD$12,7)&gt;1,NOT(COUNTIF(General!$U$13:$U$19,DD$12))),$I59,"")</f>
        <v/>
      </c>
      <c r="DE59" s="602" t="str">
        <f>IF(AND(DE$12&gt;=$E59,DE$12&lt;=$F59,MOD(DE$12,7)&gt;1,NOT(COUNTIF(General!$U$13:$U$19,DE$12))),$I59,"")</f>
        <v/>
      </c>
      <c r="DF59" s="602" t="str">
        <f>IF(AND(DF$12&gt;=$E59,DF$12&lt;=$F59,MOD(DF$12,7)&gt;1,NOT(COUNTIF(General!$U$13:$U$19,DF$12))),$I59,"")</f>
        <v/>
      </c>
      <c r="DG59" s="602" t="str">
        <f>IF(AND(DG$12&gt;=$E59,DG$12&lt;=$F59,MOD(DG$12,7)&gt;1,NOT(COUNTIF(General!$U$13:$U$19,DG$12))),$I59,"")</f>
        <v/>
      </c>
      <c r="DH59" s="602" t="str">
        <f>IF(AND(DH$12&gt;=$E59,DH$12&lt;=$F59,MOD(DH$12,7)&gt;1,NOT(COUNTIF(General!$U$13:$U$19,DH$12))),$I59,"")</f>
        <v/>
      </c>
      <c r="DI59" s="602" t="str">
        <f>IF(AND(DI$12&gt;=$E59,DI$12&lt;=$F59,MOD(DI$12,7)&gt;1,NOT(COUNTIF(General!$U$13:$U$19,DI$12))),$I59,"")</f>
        <v/>
      </c>
      <c r="DJ59" s="602" t="str">
        <f>IF(AND(DJ$12&gt;=$E59,DJ$12&lt;=$F59,MOD(DJ$12,7)&gt;1,NOT(COUNTIF(General!$U$13:$U$19,DJ$12))),$I59,"")</f>
        <v/>
      </c>
      <c r="DK59" s="602" t="str">
        <f>IF(AND(DK$12&gt;=$E59,DK$12&lt;=$F59,MOD(DK$12,7)&gt;1,NOT(COUNTIF(General!$U$13:$U$19,DK$12))),$I59,"")</f>
        <v/>
      </c>
      <c r="DL59" s="602" t="str">
        <f>IF(AND(DL$12&gt;=$E59,DL$12&lt;=$F59,MOD(DL$12,7)&gt;1,NOT(COUNTIF(General!$U$13:$U$19,DL$12))),$I59,"")</f>
        <v/>
      </c>
      <c r="DM59" s="602" t="str">
        <f>IF(AND(DM$12&gt;=$E59,DM$12&lt;=$F59,MOD(DM$12,7)&gt;1,NOT(COUNTIF(General!$U$13:$U$19,DM$12))),$I59,"")</f>
        <v/>
      </c>
      <c r="DN59" s="602" t="str">
        <f>IF(AND(DN$12&gt;=$E59,DN$12&lt;=$F59,MOD(DN$12,7)&gt;1,NOT(COUNTIF(General!$U$13:$U$19,DN$12))),$I59,"")</f>
        <v/>
      </c>
      <c r="DO59" s="602" t="str">
        <f>IF(AND(DO$12&gt;=$E59,DO$12&lt;=$F59,MOD(DO$12,7)&gt;1,NOT(COUNTIF(General!$U$13:$U$19,DO$12))),$I59,"")</f>
        <v/>
      </c>
      <c r="DP59" s="602" t="str">
        <f>IF(AND(DP$12&gt;=$E59,DP$12&lt;=$F59,MOD(DP$12,7)&gt;1,NOT(COUNTIF(General!$U$13:$U$19,DP$12))),$I59,"")</f>
        <v/>
      </c>
      <c r="DQ59" s="602" t="str">
        <f>IF(AND(DQ$12&gt;=$E59,DQ$12&lt;=$F59,MOD(DQ$12,7)&gt;1,NOT(COUNTIF(General!$U$13:$U$19,DQ$12))),$I59,"")</f>
        <v/>
      </c>
      <c r="DR59" s="602" t="str">
        <f>IF(AND(DR$12&gt;=$E59,DR$12&lt;=$F59,MOD(DR$12,7)&gt;1,NOT(COUNTIF(General!$U$13:$U$19,DR$12))),$I59,"")</f>
        <v/>
      </c>
      <c r="DS59" s="602" t="str">
        <f>IF(AND(DS$12&gt;=$E59,DS$12&lt;=$F59,MOD(DS$12,7)&gt;1,NOT(COUNTIF(General!$U$13:$U$19,DS$12))),$I59,"")</f>
        <v/>
      </c>
      <c r="DT59" s="602" t="str">
        <f>IF(AND(DT$12&gt;=$E59,DT$12&lt;=$F59,MOD(DT$12,7)&gt;1,NOT(COUNTIF(General!$U$13:$U$19,DT$12))),$I59,"")</f>
        <v/>
      </c>
      <c r="DU59" s="602" t="str">
        <f>IF(AND(DU$12&gt;=$E59,DU$12&lt;=$F59,MOD(DU$12,7)&gt;1,NOT(COUNTIF(General!$U$13:$U$19,DU$12))),$I59,"")</f>
        <v/>
      </c>
      <c r="DV59" s="602" t="str">
        <f>IF(AND(DV$12&gt;=$E59,DV$12&lt;=$F59,MOD(DV$12,7)&gt;1,NOT(COUNTIF(General!$U$13:$U$19,DV$12))),$I59,"")</f>
        <v/>
      </c>
      <c r="DW59" s="602" t="str">
        <f>IF(AND(DW$12&gt;=$E59,DW$12&lt;=$F59,MOD(DW$12,7)&gt;1,NOT(COUNTIF(General!$U$13:$U$19,DW$12))),$I59,"")</f>
        <v/>
      </c>
      <c r="DX59" s="602" t="str">
        <f>IF(AND(DX$12&gt;=$E59,DX$12&lt;=$F59,MOD(DX$12,7)&gt;1,NOT(COUNTIF(General!$U$13:$U$19,DX$12))),$I59,"")</f>
        <v/>
      </c>
      <c r="DY59" s="602" t="str">
        <f>IF(AND(DY$12&gt;=$E59,DY$12&lt;=$F59,MOD(DY$12,7)&gt;1,NOT(COUNTIF(General!$U$13:$U$19,DY$12))),$I59,"")</f>
        <v/>
      </c>
      <c r="DZ59" s="602" t="str">
        <f>IF(AND(DZ$12&gt;=$E59,DZ$12&lt;=$F59,MOD(DZ$12,7)&gt;1,NOT(COUNTIF(General!$U$13:$U$19,DZ$12))),$I59,"")</f>
        <v/>
      </c>
      <c r="EA59" s="602" t="str">
        <f>IF(AND(EA$12&gt;=$E59,EA$12&lt;=$F59,MOD(EA$12,7)&gt;1,NOT(COUNTIF(General!$U$13:$U$19,EA$12))),$I59,"")</f>
        <v/>
      </c>
      <c r="EB59" s="602" t="str">
        <f>IF(AND(EB$12&gt;=$E59,EB$12&lt;=$F59,MOD(EB$12,7)&gt;1,NOT(COUNTIF(General!$U$13:$U$19,EB$12))),$I59,"")</f>
        <v/>
      </c>
      <c r="EC59" s="602" t="str">
        <f>IF(AND(EC$12&gt;=$E59,EC$12&lt;=$F59,MOD(EC$12,7)&gt;1,NOT(COUNTIF(General!$U$13:$U$19,EC$12))),$I59,"")</f>
        <v/>
      </c>
      <c r="ED59" s="602" t="str">
        <f>IF(AND(ED$12&gt;=$E59,ED$12&lt;=$F59,MOD(ED$12,7)&gt;1,NOT(COUNTIF(General!$U$13:$U$19,ED$12))),$I59,"")</f>
        <v/>
      </c>
      <c r="EE59" s="602" t="str">
        <f>IF(AND(EE$12&gt;=$E59,EE$12&lt;=$F59,MOD(EE$12,7)&gt;1,NOT(COUNTIF(General!$U$13:$U$19,EE$12))),$I59,"")</f>
        <v/>
      </c>
      <c r="EF59" s="602" t="str">
        <f>IF(AND(EF$12&gt;=$E59,EF$12&lt;=$F59,MOD(EF$12,7)&gt;1,NOT(COUNTIF(General!$U$13:$U$19,EF$12))),$I59,"")</f>
        <v/>
      </c>
      <c r="EG59" s="602" t="str">
        <f>IF(AND(EG$12&gt;=$E59,EG$12&lt;=$F59,MOD(EG$12,7)&gt;1,NOT(COUNTIF(General!$U$13:$U$19,EG$12))),$I59,"")</f>
        <v/>
      </c>
      <c r="EH59" s="602" t="str">
        <f>IF(AND(EH$12&gt;=$E59,EH$12&lt;=$F59,MOD(EH$12,7)&gt;1,NOT(COUNTIF(General!$U$13:$U$19,EH$12))),$I59,"")</f>
        <v/>
      </c>
      <c r="EI59" s="602" t="str">
        <f>IF(AND(EI$12&gt;=$E59,EI$12&lt;=$F59,MOD(EI$12,7)&gt;1,NOT(COUNTIF(General!$U$13:$U$19,EI$12))),$I59,"")</f>
        <v/>
      </c>
      <c r="EJ59" s="602" t="str">
        <f>IF(AND(EJ$12&gt;=$E59,EJ$12&lt;=$F59,MOD(EJ$12,7)&gt;1,NOT(COUNTIF(General!$U$13:$U$19,EJ$12))),$I59,"")</f>
        <v/>
      </c>
      <c r="EK59" s="602" t="str">
        <f>IF(AND(EK$12&gt;=$E59,EK$12&lt;=$F59,MOD(EK$12,7)&gt;1,NOT(COUNTIF(General!$U$13:$U$19,EK$12))),$I59,"")</f>
        <v/>
      </c>
      <c r="EL59" s="602" t="str">
        <f>IF(AND(EL$12&gt;=$E59,EL$12&lt;=$F59,MOD(EL$12,7)&gt;1,NOT(COUNTIF(General!$U$13:$U$19,EL$12))),$I59,"")</f>
        <v/>
      </c>
      <c r="EM59" s="602" t="str">
        <f>IF(AND(EM$12&gt;=$E59,EM$12&lt;=$F59,MOD(EM$12,7)&gt;1,NOT(COUNTIF(General!$U$13:$U$19,EM$12))),$I59,"")</f>
        <v/>
      </c>
      <c r="EN59" s="602" t="str">
        <f>IF(AND(EN$12&gt;=$E59,EN$12&lt;=$F59,MOD(EN$12,7)&gt;1,NOT(COUNTIF(General!$U$13:$U$19,EN$12))),$I59,"")</f>
        <v/>
      </c>
      <c r="EO59" s="602" t="str">
        <f>IF(AND(EO$12&gt;=$E59,EO$12&lt;=$F59,MOD(EO$12,7)&gt;1,NOT(COUNTIF(General!$U$13:$U$19,EO$12))),$I59,"")</f>
        <v/>
      </c>
      <c r="EP59" s="602" t="str">
        <f>IF(AND(EP$12&gt;=$E59,EP$12&lt;=$F59,MOD(EP$12,7)&gt;1,NOT(COUNTIF(General!$U$13:$U$19,EP$12))),$I59,"")</f>
        <v/>
      </c>
      <c r="EQ59" s="602" t="str">
        <f>IF(AND(EQ$12&gt;=$E59,EQ$12&lt;=$F59,MOD(EQ$12,7)&gt;1,NOT(COUNTIF(General!$U$13:$U$19,EQ$12))),$I59,"")</f>
        <v/>
      </c>
      <c r="ER59" s="602" t="str">
        <f>IF(AND(ER$12&gt;=$E59,ER$12&lt;=$F59,MOD(ER$12,7)&gt;1,NOT(COUNTIF(General!$U$13:$U$19,ER$12))),$I59,"")</f>
        <v/>
      </c>
      <c r="ES59" s="602" t="str">
        <f>IF(AND(ES$12&gt;=$E59,ES$12&lt;=$F59,MOD(ES$12,7)&gt;1,NOT(COUNTIF(General!$U$13:$U$19,ES$12))),$I59,"")</f>
        <v/>
      </c>
      <c r="ET59" s="602" t="str">
        <f>IF(AND(ET$12&gt;=$E59,ET$12&lt;=$F59,MOD(ET$12,7)&gt;1,NOT(COUNTIF(General!$U$13:$U$19,ET$12))),$I59,"")</f>
        <v/>
      </c>
      <c r="EU59" s="602" t="str">
        <f>IF(AND(EU$12&gt;=$E59,EU$12&lt;=$F59,MOD(EU$12,7)&gt;1,NOT(COUNTIF(General!$U$13:$U$19,EU$12))),$I59,"")</f>
        <v/>
      </c>
      <c r="EV59" s="602" t="str">
        <f>IF(AND(EV$12&gt;=$E59,EV$12&lt;=$F59,MOD(EV$12,7)&gt;1,NOT(COUNTIF(General!$U$13:$U$19,EV$12))),$I59,"")</f>
        <v/>
      </c>
      <c r="EW59" s="602" t="str">
        <f>IF(AND(EW$12&gt;=$E59,EW$12&lt;=$F59,MOD(EW$12,7)&gt;1,NOT(COUNTIF(General!$U$13:$U$19,EW$12))),$I59,"")</f>
        <v/>
      </c>
      <c r="EX59" s="602" t="str">
        <f>IF(AND(EX$12&gt;=$E59,EX$12&lt;=$F59,MOD(EX$12,7)&gt;1,NOT(COUNTIF(General!$U$13:$U$19,EX$12))),$I59,"")</f>
        <v/>
      </c>
      <c r="EY59" s="602" t="str">
        <f>IF(AND(EY$12&gt;=$E59,EY$12&lt;=$F59,MOD(EY$12,7)&gt;1,NOT(COUNTIF(General!$U$13:$U$19,EY$12))),$I59,"")</f>
        <v/>
      </c>
      <c r="EZ59" s="602" t="str">
        <f>IF(AND(EZ$12&gt;=$E59,EZ$12&lt;=$F59,MOD(EZ$12,7)&gt;1,NOT(COUNTIF(General!$U$13:$U$19,EZ$12))),$I59,"")</f>
        <v/>
      </c>
      <c r="FA59" s="602" t="str">
        <f>IF(AND(FA$12&gt;=$E59,FA$12&lt;=$F59,MOD(FA$12,7)&gt;1,NOT(COUNTIF(General!$U$13:$U$19,FA$12))),$I59,"")</f>
        <v/>
      </c>
      <c r="FB59" s="602" t="str">
        <f>IF(AND(FB$12&gt;=$E59,FB$12&lt;=$F59,MOD(FB$12,7)&gt;1,NOT(COUNTIF(General!$U$13:$U$19,FB$12))),$I59,"")</f>
        <v/>
      </c>
      <c r="FC59" s="602" t="str">
        <f>IF(AND(FC$12&gt;=$E59,FC$12&lt;=$F59,MOD(FC$12,7)&gt;1,NOT(COUNTIF(General!$U$13:$U$19,FC$12))),$I59,"")</f>
        <v/>
      </c>
      <c r="FD59" s="602" t="str">
        <f>IF(AND(FD$12&gt;=$E59,FD$12&lt;=$F59,MOD(FD$12,7)&gt;1,NOT(COUNTIF(General!$U$13:$U$19,FD$12))),$I59,"")</f>
        <v/>
      </c>
      <c r="FE59" s="602" t="str">
        <f>IF(AND(FE$12&gt;=$E59,FE$12&lt;=$F59,MOD(FE$12,7)&gt;1,NOT(COUNTIF(General!$U$13:$U$19,FE$12))),$I59,"")</f>
        <v/>
      </c>
      <c r="FF59" s="602" t="str">
        <f>IF(AND(FF$12&gt;=$E59,FF$12&lt;=$F59,MOD(FF$12,7)&gt;1,NOT(COUNTIF(General!$U$13:$U$19,FF$12))),$I59,"")</f>
        <v/>
      </c>
      <c r="FG59" s="602" t="str">
        <f>IF(AND(FG$12&gt;=$E59,FG$12&lt;=$F59,MOD(FG$12,7)&gt;1,NOT(COUNTIF(General!$U$13:$U$19,FG$12))),$I59,"")</f>
        <v/>
      </c>
      <c r="FH59" s="602" t="str">
        <f>IF(AND(FH$12&gt;=$E59,FH$12&lt;=$F59,MOD(FH$12,7)&gt;1,NOT(COUNTIF(General!$U$13:$U$19,FH$12))),$I59,"")</f>
        <v/>
      </c>
      <c r="FI59" s="602" t="str">
        <f>IF(AND(FI$12&gt;=$E59,FI$12&lt;=$F59,MOD(FI$12,7)&gt;1,NOT(COUNTIF(General!$U$13:$U$19,FI$12))),$I59,"")</f>
        <v/>
      </c>
      <c r="FJ59" s="602" t="str">
        <f>IF(AND(FJ$12&gt;=$E59,FJ$12&lt;=$F59,MOD(FJ$12,7)&gt;1,NOT(COUNTIF(General!$U$13:$U$19,FJ$12))),$I59,"")</f>
        <v/>
      </c>
      <c r="FK59" s="602" t="str">
        <f>IF(AND(FK$12&gt;=$E59,FK$12&lt;=$F59,MOD(FK$12,7)&gt;1,NOT(COUNTIF(General!$U$13:$U$19,FK$12))),$I59,"")</f>
        <v/>
      </c>
      <c r="FL59" s="602" t="str">
        <f>IF(AND(FL$12&gt;=$E59,FL$12&lt;=$F59,MOD(FL$12,7)&gt;1,NOT(COUNTIF(General!$U$13:$U$19,FL$12))),$I59,"")</f>
        <v/>
      </c>
      <c r="FM59" s="602" t="str">
        <f>IF(AND(FM$12&gt;=$E59,FM$12&lt;=$F59,MOD(FM$12,7)&gt;1,NOT(COUNTIF(General!$U$13:$U$19,FM$12))),$I59,"")</f>
        <v/>
      </c>
      <c r="FN59" s="602" t="str">
        <f>IF(AND(FN$12&gt;=$E59,FN$12&lt;=$F59,MOD(FN$12,7)&gt;1,NOT(COUNTIF(General!$U$13:$U$19,FN$12))),$I59,"")</f>
        <v/>
      </c>
      <c r="FO59" s="602" t="str">
        <f>IF(AND(FO$12&gt;=$E59,FO$12&lt;=$F59,MOD(FO$12,7)&gt;1,NOT(COUNTIF(General!$U$13:$U$19,FO$12))),$I59,"")</f>
        <v/>
      </c>
      <c r="FP59" s="602" t="str">
        <f>IF(AND(FP$12&gt;=$E59,FP$12&lt;=$F59,MOD(FP$12,7)&gt;1,NOT(COUNTIF(General!$U$13:$U$19,FP$12))),$I59,"")</f>
        <v/>
      </c>
      <c r="FQ59" s="602" t="str">
        <f>IF(AND(FQ$12&gt;=$E59,FQ$12&lt;=$F59,MOD(FQ$12,7)&gt;1,NOT(COUNTIF(General!$U$13:$U$19,FQ$12))),$I59,"")</f>
        <v/>
      </c>
      <c r="FR59" s="602" t="str">
        <f>IF(AND(FR$12&gt;=$E59,FR$12&lt;=$F59,MOD(FR$12,7)&gt;1,NOT(COUNTIF(General!$U$13:$U$19,FR$12))),$I59,"")</f>
        <v/>
      </c>
      <c r="FS59" s="602" t="str">
        <f>IF(AND(FS$12&gt;=$E59,FS$12&lt;=$F59,MOD(FS$12,7)&gt;1,NOT(COUNTIF(General!$U$13:$U$19,FS$12))),$I59,"")</f>
        <v/>
      </c>
      <c r="FT59" s="602" t="str">
        <f>IF(AND(FT$12&gt;=$E59,FT$12&lt;=$F59,MOD(FT$12,7)&gt;1,NOT(COUNTIF(General!$U$13:$U$19,FT$12))),$I59,"")</f>
        <v/>
      </c>
      <c r="FU59" s="602" t="str">
        <f>IF(AND(FU$12&gt;=$E59,FU$12&lt;=$F59,MOD(FU$12,7)&gt;1,NOT(COUNTIF(General!$U$13:$U$19,FU$12))),$I59,"")</f>
        <v/>
      </c>
      <c r="FV59" s="602" t="str">
        <f>IF(AND(FV$12&gt;=$E59,FV$12&lt;=$F59,MOD(FV$12,7)&gt;1,NOT(COUNTIF(General!$U$13:$U$19,FV$12))),$I59,"")</f>
        <v/>
      </c>
      <c r="FW59" s="602" t="str">
        <f>IF(AND(FW$12&gt;=$E59,FW$12&lt;=$F59,MOD(FW$12,7)&gt;1,NOT(COUNTIF(General!$U$13:$U$19,FW$12))),$I59,"")</f>
        <v/>
      </c>
      <c r="FX59" s="602" t="str">
        <f>IF(AND(FX$12&gt;=$E59,FX$12&lt;=$F59,MOD(FX$12,7)&gt;1,NOT(COUNTIF(General!$U$13:$U$19,FX$12))),$I59,"")</f>
        <v/>
      </c>
    </row>
    <row r="60">
      <c r="A60" s="368"/>
      <c r="B60" s="369"/>
      <c r="C60" s="370"/>
      <c r="D60" s="595"/>
      <c r="E60" s="583"/>
      <c r="F60" s="620"/>
      <c r="G60" s="600"/>
      <c r="H60" s="377"/>
      <c r="I60" s="368">
        <v>1.0</v>
      </c>
      <c r="J60" s="379"/>
      <c r="K60" s="573"/>
      <c r="L60" s="573"/>
      <c r="M60" s="574"/>
      <c r="N60" s="384"/>
      <c r="O60" s="386"/>
      <c r="P60" s="575"/>
      <c r="Q60" s="390" t="str">
        <f>IF(AND(Q$12&gt;=$E60,Q$12&lt;=$F60,MOD(Q$12,7)&gt;1,NOT(COUNTIF(General!$U$13:$U$19,Q$12))),$I60,"")</f>
        <v/>
      </c>
      <c r="R60" s="390" t="str">
        <f>IF(AND(R$12&gt;=$E60,R$12&lt;=$F60,MOD(R$12,7)&gt;1,NOT(COUNTIF(General!$U$13:$U$19,R$12))),$I60,"")</f>
        <v/>
      </c>
      <c r="S60" s="390" t="str">
        <f>IF(AND(S$12&gt;=$E60,S$12&lt;=$F60,MOD(S$12,7)&gt;1,NOT(COUNTIF(General!$U$13:$U$19,S$12))),$I60,"")</f>
        <v/>
      </c>
      <c r="T60" s="390" t="str">
        <f>IF(AND(T$12&gt;=$E60,T$12&lt;=$F60,MOD(T$12,7)&gt;1,NOT(COUNTIF(General!$U$13:$U$19,T$12))),$I60,"")</f>
        <v/>
      </c>
      <c r="U60" s="390" t="str">
        <f>IF(AND(U$12&gt;=$E60,U$12&lt;=$F60,MOD(U$12,7)&gt;1,NOT(COUNTIF(General!$U$13:$U$19,U$12))),$I60,"")</f>
        <v/>
      </c>
      <c r="V60" s="390" t="str">
        <f>IF(AND(V$12&gt;=$E60,V$12&lt;=$F60,MOD(V$12,7)&gt;1,NOT(COUNTIF(General!$U$13:$U$19,V$12))),$I60,"")</f>
        <v/>
      </c>
      <c r="W60" s="390" t="str">
        <f>IF(AND(W$12&gt;=$E60,W$12&lt;=$F60,MOD(W$12,7)&gt;1,NOT(COUNTIF(General!$U$13:$U$19,W$12))),$I60,"")</f>
        <v/>
      </c>
      <c r="X60" s="390" t="str">
        <f>IF(AND(X$12&gt;=$E60,X$12&lt;=$F60,MOD(X$12,7)&gt;1,NOT(COUNTIF(General!$U$13:$U$19,X$12))),$I60,"")</f>
        <v/>
      </c>
      <c r="Y60" s="390" t="str">
        <f>IF(AND(Y$12&gt;=$E60,Y$12&lt;=$F60,MOD(Y$12,7)&gt;1,NOT(COUNTIF(General!$U$13:$U$19,Y$12))),$I60,"")</f>
        <v/>
      </c>
      <c r="Z60" s="390" t="str">
        <f>IF(AND(Z$12&gt;=$E60,Z$12&lt;=$F60,MOD(Z$12,7)&gt;1,NOT(COUNTIF(General!$U$13:$U$19,Z$12))),$I60,"")</f>
        <v/>
      </c>
      <c r="AA60" s="390" t="str">
        <f>IF(AND(AA$12&gt;=$E60,AA$12&lt;=$F60,MOD(AA$12,7)&gt;1,NOT(COUNTIF(General!$U$13:$U$19,AA$12))),$I60,"")</f>
        <v/>
      </c>
      <c r="AB60" s="390" t="str">
        <f>IF(AND(AB$12&gt;=$E60,AB$12&lt;=$F60,MOD(AB$12,7)&gt;1,NOT(COUNTIF(General!$U$13:$U$19,AB$12))),$I60,"")</f>
        <v/>
      </c>
      <c r="AC60" s="390" t="str">
        <f>IF(AND(AC$12&gt;=$E60,AC$12&lt;=$F60,MOD(AC$12,7)&gt;1,NOT(COUNTIF(General!$U$13:$U$19,AC$12))),$I60,"")</f>
        <v/>
      </c>
      <c r="AD60" s="390" t="str">
        <f>IF(AND(AD$12&gt;=$E60,AD$12&lt;=$F60,MOD(AD$12,7)&gt;1,NOT(COUNTIF(General!$U$13:$U$19,AD$12))),$I60,"")</f>
        <v/>
      </c>
      <c r="AE60" s="390" t="str">
        <f>IF(AND(AE$12&gt;=$E60,AE$12&lt;=$F60,MOD(AE$12,7)&gt;1,NOT(COUNTIF(General!$U$13:$U$19,AE$12))),$I60,"")</f>
        <v/>
      </c>
      <c r="AF60" s="390" t="str">
        <f>IF(AND(AF$12&gt;=$E60,AF$12&lt;=$F60,MOD(AF$12,7)&gt;1,NOT(COUNTIF(General!$U$13:$U$19,AF$12))),$I60,"")</f>
        <v/>
      </c>
      <c r="AG60" s="390" t="str">
        <f>IF(AND(AG$12&gt;=$E60,AG$12&lt;=$F60,MOD(AG$12,7)&gt;1,NOT(COUNTIF(General!$U$13:$U$19,AG$12))),$I60,"")</f>
        <v/>
      </c>
      <c r="AH60" s="390" t="str">
        <f>IF(AND(AH$12&gt;=$E60,AH$12&lt;=$F60,MOD(AH$12,7)&gt;1,NOT(COUNTIF(General!$U$13:$U$19,AH$12))),$I60,"")</f>
        <v/>
      </c>
      <c r="AI60" s="390" t="str">
        <f>IF(AND(AI$12&gt;=$E60,AI$12&lt;=$F60,MOD(AI$12,7)&gt;1,NOT(COUNTIF(General!$U$13:$U$19,AI$12))),$I60,"")</f>
        <v/>
      </c>
      <c r="AJ60" s="390" t="str">
        <f>IF(AND(AJ$12&gt;=$E60,AJ$12&lt;=$F60,MOD(AJ$12,7)&gt;1,NOT(COUNTIF(General!$U$13:$U$19,AJ$12))),$I60,"")</f>
        <v/>
      </c>
      <c r="AK60" s="390" t="str">
        <f>IF(AND(AK$12&gt;=$E60,AK$12&lt;=$F60,MOD(AK$12,7)&gt;1,NOT(COUNTIF(General!$U$13:$U$19,AK$12))),$I60,"")</f>
        <v/>
      </c>
      <c r="AL60" s="390" t="str">
        <f>IF(AND(AL$12&gt;=$E60,AL$12&lt;=$F60,MOD(AL$12,7)&gt;1,NOT(COUNTIF(General!$U$13:$U$19,AL$12))),$I60,"")</f>
        <v/>
      </c>
      <c r="AM60" s="390" t="str">
        <f>IF(AND(AM$12&gt;=$E60,AM$12&lt;=$F60,MOD(AM$12,7)&gt;1,NOT(COUNTIF(General!$U$13:$U$19,AM$12))),$I60,"")</f>
        <v/>
      </c>
      <c r="AN60" s="390" t="str">
        <f>IF(AND(AN$12&gt;=$E60,AN$12&lt;=$F60,MOD(AN$12,7)&gt;1,NOT(COUNTIF(General!$U$13:$U$19,AN$12))),$I60,"")</f>
        <v/>
      </c>
      <c r="AO60" s="390" t="str">
        <f>IF(AND(AO$12&gt;=$E60,AO$12&lt;=$F60,MOD(AO$12,7)&gt;1,NOT(COUNTIF(General!$U$13:$U$19,AO$12))),$I60,"")</f>
        <v/>
      </c>
      <c r="AP60" s="390" t="str">
        <f>IF(AND(AP$12&gt;=$E60,AP$12&lt;=$F60,MOD(AP$12,7)&gt;1,NOT(COUNTIF(General!$U$13:$U$19,AP$12))),$I60,"")</f>
        <v/>
      </c>
      <c r="AQ60" s="390" t="str">
        <f>IF(AND(AQ$12&gt;=$E60,AQ$12&lt;=$F60,MOD(AQ$12,7)&gt;1,NOT(COUNTIF(General!$U$13:$U$19,AQ$12))),$I60,"")</f>
        <v/>
      </c>
      <c r="AR60" s="390" t="str">
        <f>IF(AND(AR$12&gt;=$E60,AR$12&lt;=$F60,MOD(AR$12,7)&gt;1,NOT(COUNTIF(General!$U$13:$U$19,AR$12))),$I60,"")</f>
        <v/>
      </c>
      <c r="AS60" s="390" t="str">
        <f>IF(AND(AS$12&gt;=$E60,AS$12&lt;=$F60,MOD(AS$12,7)&gt;1,NOT(COUNTIF(General!$U$13:$U$19,AS$12))),$I60,"")</f>
        <v/>
      </c>
      <c r="AT60" s="390" t="str">
        <f>IF(AND(AT$12&gt;=$E60,AT$12&lt;=$F60,MOD(AT$12,7)&gt;1,NOT(COUNTIF(General!$U$13:$U$19,AT$12))),$I60,"")</f>
        <v/>
      </c>
      <c r="AU60" s="390" t="str">
        <f>IF(AND(AU$12&gt;=$E60,AU$12&lt;=$F60,MOD(AU$12,7)&gt;1,NOT(COUNTIF(General!$U$13:$U$19,AU$12))),$I60,"")</f>
        <v/>
      </c>
      <c r="AV60" s="390" t="str">
        <f>IF(AND(AV$12&gt;=$E60,AV$12&lt;=$F60,MOD(AV$12,7)&gt;1,NOT(COUNTIF(General!$U$13:$U$19,AV$12))),$I60,"")</f>
        <v/>
      </c>
      <c r="AW60" s="390" t="str">
        <f>IF(AND(AW$12&gt;=$E60,AW$12&lt;=$F60,MOD(AW$12,7)&gt;1,NOT(COUNTIF(General!$U$13:$U$19,AW$12))),$I60,"")</f>
        <v/>
      </c>
      <c r="AX60" s="390" t="str">
        <f>IF(AND(AX$12&gt;=$E60,AX$12&lt;=$F60,MOD(AX$12,7)&gt;1,NOT(COUNTIF(General!$U$13:$U$19,AX$12))),$I60,"")</f>
        <v/>
      </c>
      <c r="AY60" s="390" t="str">
        <f>IF(AND(AY$12&gt;=$E60,AY$12&lt;=$F60,MOD(AY$12,7)&gt;1,NOT(COUNTIF(General!$U$13:$U$19,AY$12))),$I60,"")</f>
        <v/>
      </c>
      <c r="AZ60" s="390" t="str">
        <f>IF(AND(AZ$12&gt;=$E60,AZ$12&lt;=$F60,MOD(AZ$12,7)&gt;1,NOT(COUNTIF(General!$U$13:$U$19,AZ$12))),$I60,"")</f>
        <v/>
      </c>
      <c r="BA60" s="390" t="str">
        <f>IF(AND(BA$12&gt;=$E60,BA$12&lt;=$F60,MOD(BA$12,7)&gt;1,NOT(COUNTIF(General!$U$13:$U$19,BA$12))),$I60,"")</f>
        <v/>
      </c>
      <c r="BB60" s="390" t="str">
        <f>IF(AND(BB$12&gt;=$E60,BB$12&lt;=$F60,MOD(BB$12,7)&gt;1,NOT(COUNTIF(General!$U$13:$U$19,BB$12))),$I60,"")</f>
        <v/>
      </c>
      <c r="BC60" s="390" t="str">
        <f>IF(AND(BC$12&gt;=$E60,BC$12&lt;=$F60,MOD(BC$12,7)&gt;1,NOT(COUNTIF(General!$U$13:$U$19,BC$12))),$I60,"")</f>
        <v/>
      </c>
      <c r="BD60" s="390" t="str">
        <f>IF(AND(BD$12&gt;=$E60,BD$12&lt;=$F60,MOD(BD$12,7)&gt;1,NOT(COUNTIF(General!$U$13:$U$19,BD$12))),$I60,"")</f>
        <v/>
      </c>
      <c r="BE60" s="390" t="str">
        <f>IF(AND(BE$12&gt;=$E60,BE$12&lt;=$F60,MOD(BE$12,7)&gt;1,NOT(COUNTIF(General!$U$13:$U$19,BE$12))),$I60,"")</f>
        <v/>
      </c>
      <c r="BF60" s="390" t="str">
        <f>IF(AND(BF$12&gt;=$E60,BF$12&lt;=$F60,MOD(BF$12,7)&gt;1,NOT(COUNTIF(General!$U$13:$U$19,BF$12))),$I60,"")</f>
        <v/>
      </c>
      <c r="BG60" s="390" t="str">
        <f>IF(AND(BG$12&gt;=$E60,BG$12&lt;=$F60,MOD(BG$12,7)&gt;1,NOT(COUNTIF(General!$U$13:$U$19,BG$12))),$I60,"")</f>
        <v/>
      </c>
      <c r="BH60" s="390" t="str">
        <f>IF(AND(BH$12&gt;=$E60,BH$12&lt;=$F60,MOD(BH$12,7)&gt;1,NOT(COUNTIF(General!$U$13:$U$19,BH$12))),$I60,"")</f>
        <v/>
      </c>
      <c r="BI60" s="390" t="str">
        <f>IF(AND(BI$12&gt;=$E60,BI$12&lt;=$F60,MOD(BI$12,7)&gt;1,NOT(COUNTIF(General!$U$13:$U$19,BI$12))),$I60,"")</f>
        <v/>
      </c>
      <c r="BJ60" s="390" t="str">
        <f>IF(AND(BJ$12&gt;=$E60,BJ$12&lt;=$F60,MOD(BJ$12,7)&gt;1,NOT(COUNTIF(General!$U$13:$U$19,BJ$12))),$I60,"")</f>
        <v/>
      </c>
      <c r="BK60" s="390" t="str">
        <f>IF(AND(BK$12&gt;=$E60,BK$12&lt;=$F60,MOD(BK$12,7)&gt;1,NOT(COUNTIF(General!$U$13:$U$19,BK$12))),$I60,"")</f>
        <v/>
      </c>
      <c r="BL60" s="390" t="str">
        <f>IF(AND(BL$12&gt;=$E60,BL$12&lt;=$F60,MOD(BL$12,7)&gt;1,NOT(COUNTIF(General!$U$13:$U$19,BL$12))),$I60,"")</f>
        <v/>
      </c>
      <c r="BM60" s="390" t="str">
        <f>IF(AND(BM$12&gt;=$E60,BM$12&lt;=$F60,MOD(BM$12,7)&gt;1,NOT(COUNTIF(General!$U$13:$U$19,BM$12))),$I60,"")</f>
        <v/>
      </c>
      <c r="BN60" s="390" t="str">
        <f>IF(AND(BN$12&gt;=$E60,BN$12&lt;=$F60,MOD(BN$12,7)&gt;1,NOT(COUNTIF(General!$U$13:$U$19,BN$12))),$I60,"")</f>
        <v/>
      </c>
      <c r="BO60" s="390" t="str">
        <f>IF(AND(BO$12&gt;=$E60,BO$12&lt;=$F60,MOD(BO$12,7)&gt;1,NOT(COUNTIF(General!$U$13:$U$19,BO$12))),$I60,"")</f>
        <v/>
      </c>
      <c r="BP60" s="390" t="str">
        <f>IF(AND(BP$12&gt;=$E60,BP$12&lt;=$F60,MOD(BP$12,7)&gt;1,NOT(COUNTIF(General!$U$13:$U$19,BP$12))),$I60,"")</f>
        <v/>
      </c>
      <c r="BQ60" s="390" t="str">
        <f>IF(AND(BQ$12&gt;=$E60,BQ$12&lt;=$F60,MOD(BQ$12,7)&gt;1,NOT(COUNTIF(General!$U$13:$U$19,BQ$12))),$I60,"")</f>
        <v/>
      </c>
      <c r="BR60" s="390" t="str">
        <f>IF(AND(BR$12&gt;=$E60,BR$12&lt;=$F60,MOD(BR$12,7)&gt;1,NOT(COUNTIF(General!$U$13:$U$19,BR$12))),$I60,"")</f>
        <v/>
      </c>
      <c r="BS60" s="390" t="str">
        <f>IF(AND(BS$12&gt;=$E60,BS$12&lt;=$F60,MOD(BS$12,7)&gt;1,NOT(COUNTIF(General!$U$13:$U$19,BS$12))),$I60,"")</f>
        <v/>
      </c>
      <c r="BT60" s="390" t="str">
        <f>IF(AND(BT$12&gt;=$E60,BT$12&lt;=$F60,MOD(BT$12,7)&gt;1,NOT(COUNTIF(General!$U$13:$U$19,BT$12))),$I60,"")</f>
        <v/>
      </c>
      <c r="BU60" s="390" t="str">
        <f>IF(AND(BU$12&gt;=$E60,BU$12&lt;=$F60,MOD(BU$12,7)&gt;1,NOT(COUNTIF(General!$U$13:$U$19,BU$12))),$I60,"")</f>
        <v/>
      </c>
      <c r="BV60" s="390" t="str">
        <f>IF(AND(BV$12&gt;=$E60,BV$12&lt;=$F60,MOD(BV$12,7)&gt;1,NOT(COUNTIF(General!$U$13:$U$19,BV$12))),$I60,"")</f>
        <v/>
      </c>
      <c r="BW60" s="390" t="str">
        <f>IF(AND(BW$12&gt;=$E60,BW$12&lt;=$F60,MOD(BW$12,7)&gt;1,NOT(COUNTIF(General!$U$13:$U$19,BW$12))),$I60,"")</f>
        <v/>
      </c>
      <c r="BX60" s="390" t="str">
        <f>IF(AND(BX$12&gt;=$E60,BX$12&lt;=$F60,MOD(BX$12,7)&gt;1,NOT(COUNTIF(General!$U$13:$U$19,BX$12))),$I60,"")</f>
        <v/>
      </c>
      <c r="BY60" s="390" t="str">
        <f>IF(AND(BY$12&gt;=$E60,BY$12&lt;=$F60,MOD(BY$12,7)&gt;1,NOT(COUNTIF(General!$U$13:$U$19,BY$12))),$I60,"")</f>
        <v/>
      </c>
      <c r="BZ60" s="390" t="str">
        <f>IF(AND(BZ$12&gt;=$E60,BZ$12&lt;=$F60,MOD(BZ$12,7)&gt;1,NOT(COUNTIF(General!$U$13:$U$19,BZ$12))),$I60,"")</f>
        <v/>
      </c>
      <c r="CA60" s="390" t="str">
        <f>IF(AND(CA$12&gt;=$E60,CA$12&lt;=$F60,MOD(CA$12,7)&gt;1,NOT(COUNTIF(General!$U$13:$U$19,CA$12))),$I60,"")</f>
        <v/>
      </c>
      <c r="CB60" s="390" t="str">
        <f>IF(AND(CB$12&gt;=$E60,CB$12&lt;=$F60,MOD(CB$12,7)&gt;1,NOT(COUNTIF(General!$U$13:$U$19,CB$12))),$I60,"")</f>
        <v/>
      </c>
      <c r="CC60" s="390" t="str">
        <f>IF(AND(CC$12&gt;=$E60,CC$12&lt;=$F60,MOD(CC$12,7)&gt;1,NOT(COUNTIF(General!$U$13:$U$19,CC$12))),$I60,"")</f>
        <v/>
      </c>
      <c r="CD60" s="390" t="str">
        <f>IF(AND(CD$12&gt;=$E60,CD$12&lt;=$F60,MOD(CD$12,7)&gt;1,NOT(COUNTIF(General!$U$13:$U$19,CD$12))),$I60,"")</f>
        <v/>
      </c>
      <c r="CE60" s="390" t="str">
        <f>IF(AND(CE$12&gt;=$E60,CE$12&lt;=$F60,MOD(CE$12,7)&gt;1,NOT(COUNTIF(General!$U$13:$U$19,CE$12))),$I60,"")</f>
        <v/>
      </c>
      <c r="CF60" s="390" t="str">
        <f>IF(AND(CF$12&gt;=$E60,CF$12&lt;=$F60,MOD(CF$12,7)&gt;1,NOT(COUNTIF(General!$U$13:$U$19,CF$12))),$I60,"")</f>
        <v/>
      </c>
      <c r="CG60" s="390" t="str">
        <f>IF(AND(CG$12&gt;=$E60,CG$12&lt;=$F60,MOD(CG$12,7)&gt;1,NOT(COUNTIF(General!$U$13:$U$19,CG$12))),$I60,"")</f>
        <v/>
      </c>
      <c r="CH60" s="390" t="str">
        <f>IF(AND(CH$12&gt;=$E60,CH$12&lt;=$F60,MOD(CH$12,7)&gt;1,NOT(COUNTIF(General!$U$13:$U$19,CH$12))),$I60,"")</f>
        <v/>
      </c>
      <c r="CI60" s="390" t="str">
        <f>IF(AND(CI$12&gt;=$E60,CI$12&lt;=$F60,MOD(CI$12,7)&gt;1,NOT(COUNTIF(General!$U$13:$U$19,CI$12))),$I60,"")</f>
        <v/>
      </c>
      <c r="CJ60" s="390" t="str">
        <f>IF(AND(CJ$12&gt;=$E60,CJ$12&lt;=$F60,MOD(CJ$12,7)&gt;1,NOT(COUNTIF(General!$U$13:$U$19,CJ$12))),$I60,"")</f>
        <v/>
      </c>
      <c r="CK60" s="390" t="str">
        <f>IF(AND(CK$12&gt;=$E60,CK$12&lt;=$F60,MOD(CK$12,7)&gt;1,NOT(COUNTIF(General!$U$13:$U$19,CK$12))),$I60,"")</f>
        <v/>
      </c>
      <c r="CL60" s="390" t="str">
        <f>IF(AND(CL$12&gt;=$E60,CL$12&lt;=$F60,MOD(CL$12,7)&gt;1,NOT(COUNTIF(General!$U$13:$U$19,CL$12))),$I60,"")</f>
        <v/>
      </c>
      <c r="CM60" s="390" t="str">
        <f>IF(AND(CM$12&gt;=$E60,CM$12&lt;=$F60,MOD(CM$12,7)&gt;1,NOT(COUNTIF(General!$U$13:$U$19,CM$12))),$I60,"")</f>
        <v/>
      </c>
      <c r="CN60" s="390" t="str">
        <f>IF(AND(CN$12&gt;=$E60,CN$12&lt;=$F60,MOD(CN$12,7)&gt;1,NOT(COUNTIF(General!$U$13:$U$19,CN$12))),$I60,"")</f>
        <v/>
      </c>
      <c r="CO60" s="390" t="str">
        <f>IF(AND(CO$12&gt;=$E60,CO$12&lt;=$F60,MOD(CO$12,7)&gt;1,NOT(COUNTIF(General!$U$13:$U$19,CO$12))),$I60,"")</f>
        <v/>
      </c>
      <c r="CP60" s="390" t="str">
        <f>IF(AND(CP$12&gt;=$E60,CP$12&lt;=$F60,MOD(CP$12,7)&gt;1,NOT(COUNTIF(General!$U$13:$U$19,CP$12))),$I60,"")</f>
        <v/>
      </c>
      <c r="CQ60" s="390" t="str">
        <f>IF(AND(CQ$12&gt;=$E60,CQ$12&lt;=$F60,MOD(CQ$12,7)&gt;1,NOT(COUNTIF(General!$U$13:$U$19,CQ$12))),$I60,"")</f>
        <v/>
      </c>
      <c r="CR60" s="390" t="str">
        <f>IF(AND(CR$12&gt;=$E60,CR$12&lt;=$F60,MOD(CR$12,7)&gt;1,NOT(COUNTIF(General!$U$13:$U$19,CR$12))),$I60,"")</f>
        <v/>
      </c>
      <c r="CS60" s="390" t="str">
        <f>IF(AND(CS$12&gt;=$E60,CS$12&lt;=$F60,MOD(CS$12,7)&gt;1,NOT(COUNTIF(General!$U$13:$U$19,CS$12))),$I60,"")</f>
        <v/>
      </c>
      <c r="CT60" s="390" t="str">
        <f>IF(AND(CT$12&gt;=$E60,CT$12&lt;=$F60,MOD(CT$12,7)&gt;1,NOT(COUNTIF(General!$U$13:$U$19,CT$12))),$I60,"")</f>
        <v/>
      </c>
      <c r="CU60" s="390" t="str">
        <f>IF(AND(CU$12&gt;=$E60,CU$12&lt;=$F60,MOD(CU$12,7)&gt;1,NOT(COUNTIF(General!$U$13:$U$19,CU$12))),$I60,"")</f>
        <v/>
      </c>
      <c r="CV60" s="390" t="str">
        <f>IF(AND(CV$12&gt;=$E60,CV$12&lt;=$F60,MOD(CV$12,7)&gt;1,NOT(COUNTIF(General!$U$13:$U$19,CV$12))),$I60,"")</f>
        <v/>
      </c>
      <c r="CW60" s="390" t="str">
        <f>IF(AND(CW$12&gt;=$E60,CW$12&lt;=$F60,MOD(CW$12,7)&gt;1,NOT(COUNTIF(General!$U$13:$U$19,CW$12))),$I60,"")</f>
        <v/>
      </c>
      <c r="CX60" s="390" t="str">
        <f>IF(AND(CX$12&gt;=$E60,CX$12&lt;=$F60,MOD(CX$12,7)&gt;1,NOT(COUNTIF(General!$U$13:$U$19,CX$12))),$I60,"")</f>
        <v/>
      </c>
      <c r="CY60" s="390" t="str">
        <f>IF(AND(CY$12&gt;=$E60,CY$12&lt;=$F60,MOD(CY$12,7)&gt;1,NOT(COUNTIF(General!$U$13:$U$19,CY$12))),$I60,"")</f>
        <v/>
      </c>
      <c r="CZ60" s="390" t="str">
        <f>IF(AND(CZ$12&gt;=$E60,CZ$12&lt;=$F60,MOD(CZ$12,7)&gt;1,NOT(COUNTIF(General!$U$13:$U$19,CZ$12))),$I60,"")</f>
        <v/>
      </c>
      <c r="DA60" s="390" t="str">
        <f>IF(AND(DA$12&gt;=$E60,DA$12&lt;=$F60,MOD(DA$12,7)&gt;1,NOT(COUNTIF(General!$U$13:$U$19,DA$12))),$I60,"")</f>
        <v/>
      </c>
      <c r="DB60" s="390" t="str">
        <f>IF(AND(DB$12&gt;=$E60,DB$12&lt;=$F60,MOD(DB$12,7)&gt;1,NOT(COUNTIF(General!$U$13:$U$19,DB$12))),$I60,"")</f>
        <v/>
      </c>
      <c r="DC60" s="390" t="str">
        <f>IF(AND(DC$12&gt;=$E60,DC$12&lt;=$F60,MOD(DC$12,7)&gt;1,NOT(COUNTIF(General!$U$13:$U$19,DC$12))),$I60,"")</f>
        <v/>
      </c>
      <c r="DD60" s="390" t="str">
        <f>IF(AND(DD$12&gt;=$E60,DD$12&lt;=$F60,MOD(DD$12,7)&gt;1,NOT(COUNTIF(General!$U$13:$U$19,DD$12))),$I60,"")</f>
        <v/>
      </c>
      <c r="DE60" s="390" t="str">
        <f>IF(AND(DE$12&gt;=$E60,DE$12&lt;=$F60,MOD(DE$12,7)&gt;1,NOT(COUNTIF(General!$U$13:$U$19,DE$12))),$I60,"")</f>
        <v/>
      </c>
      <c r="DF60" s="390" t="str">
        <f>IF(AND(DF$12&gt;=$E60,DF$12&lt;=$F60,MOD(DF$12,7)&gt;1,NOT(COUNTIF(General!$U$13:$U$19,DF$12))),$I60,"")</f>
        <v/>
      </c>
      <c r="DG60" s="390" t="str">
        <f>IF(AND(DG$12&gt;=$E60,DG$12&lt;=$F60,MOD(DG$12,7)&gt;1,NOT(COUNTIF(General!$U$13:$U$19,DG$12))),$I60,"")</f>
        <v/>
      </c>
      <c r="DH60" s="390" t="str">
        <f>IF(AND(DH$12&gt;=$E60,DH$12&lt;=$F60,MOD(DH$12,7)&gt;1,NOT(COUNTIF(General!$U$13:$U$19,DH$12))),$I60,"")</f>
        <v/>
      </c>
      <c r="DI60" s="390" t="str">
        <f>IF(AND(DI$12&gt;=$E60,DI$12&lt;=$F60,MOD(DI$12,7)&gt;1,NOT(COUNTIF(General!$U$13:$U$19,DI$12))),$I60,"")</f>
        <v/>
      </c>
      <c r="DJ60" s="390" t="str">
        <f>IF(AND(DJ$12&gt;=$E60,DJ$12&lt;=$F60,MOD(DJ$12,7)&gt;1,NOT(COUNTIF(General!$U$13:$U$19,DJ$12))),$I60,"")</f>
        <v/>
      </c>
      <c r="DK60" s="390" t="str">
        <f>IF(AND(DK$12&gt;=$E60,DK$12&lt;=$F60,MOD(DK$12,7)&gt;1,NOT(COUNTIF(General!$U$13:$U$19,DK$12))),$I60,"")</f>
        <v/>
      </c>
      <c r="DL60" s="390" t="str">
        <f>IF(AND(DL$12&gt;=$E60,DL$12&lt;=$F60,MOD(DL$12,7)&gt;1,NOT(COUNTIF(General!$U$13:$U$19,DL$12))),$I60,"")</f>
        <v/>
      </c>
      <c r="DM60" s="390" t="str">
        <f>IF(AND(DM$12&gt;=$E60,DM$12&lt;=$F60,MOD(DM$12,7)&gt;1,NOT(COUNTIF(General!$U$13:$U$19,DM$12))),$I60,"")</f>
        <v/>
      </c>
      <c r="DN60" s="390" t="str">
        <f>IF(AND(DN$12&gt;=$E60,DN$12&lt;=$F60,MOD(DN$12,7)&gt;1,NOT(COUNTIF(General!$U$13:$U$19,DN$12))),$I60,"")</f>
        <v/>
      </c>
      <c r="DO60" s="390" t="str">
        <f>IF(AND(DO$12&gt;=$E60,DO$12&lt;=$F60,MOD(DO$12,7)&gt;1,NOT(COUNTIF(General!$U$13:$U$19,DO$12))),$I60,"")</f>
        <v/>
      </c>
      <c r="DP60" s="390" t="str">
        <f>IF(AND(DP$12&gt;=$E60,DP$12&lt;=$F60,MOD(DP$12,7)&gt;1,NOT(COUNTIF(General!$U$13:$U$19,DP$12))),$I60,"")</f>
        <v/>
      </c>
      <c r="DQ60" s="390" t="str">
        <f>IF(AND(DQ$12&gt;=$E60,DQ$12&lt;=$F60,MOD(DQ$12,7)&gt;1,NOT(COUNTIF(General!$U$13:$U$19,DQ$12))),$I60,"")</f>
        <v/>
      </c>
      <c r="DR60" s="390" t="str">
        <f>IF(AND(DR$12&gt;=$E60,DR$12&lt;=$F60,MOD(DR$12,7)&gt;1,NOT(COUNTIF(General!$U$13:$U$19,DR$12))),$I60,"")</f>
        <v/>
      </c>
      <c r="DS60" s="390" t="str">
        <f>IF(AND(DS$12&gt;=$E60,DS$12&lt;=$F60,MOD(DS$12,7)&gt;1,NOT(COUNTIF(General!$U$13:$U$19,DS$12))),$I60,"")</f>
        <v/>
      </c>
      <c r="DT60" s="390" t="str">
        <f>IF(AND(DT$12&gt;=$E60,DT$12&lt;=$F60,MOD(DT$12,7)&gt;1,NOT(COUNTIF(General!$U$13:$U$19,DT$12))),$I60,"")</f>
        <v/>
      </c>
      <c r="DU60" s="390" t="str">
        <f>IF(AND(DU$12&gt;=$E60,DU$12&lt;=$F60,MOD(DU$12,7)&gt;1,NOT(COUNTIF(General!$U$13:$U$19,DU$12))),$I60,"")</f>
        <v/>
      </c>
      <c r="DV60" s="390" t="str">
        <f>IF(AND(DV$12&gt;=$E60,DV$12&lt;=$F60,MOD(DV$12,7)&gt;1,NOT(COUNTIF(General!$U$13:$U$19,DV$12))),$I60,"")</f>
        <v/>
      </c>
      <c r="DW60" s="390" t="str">
        <f>IF(AND(DW$12&gt;=$E60,DW$12&lt;=$F60,MOD(DW$12,7)&gt;1,NOT(COUNTIF(General!$U$13:$U$19,DW$12))),$I60,"")</f>
        <v/>
      </c>
      <c r="DX60" s="390" t="str">
        <f>IF(AND(DX$12&gt;=$E60,DX$12&lt;=$F60,MOD(DX$12,7)&gt;1,NOT(COUNTIF(General!$U$13:$U$19,DX$12))),$I60,"")</f>
        <v/>
      </c>
      <c r="DY60" s="390" t="str">
        <f>IF(AND(DY$12&gt;=$E60,DY$12&lt;=$F60,MOD(DY$12,7)&gt;1,NOT(COUNTIF(General!$U$13:$U$19,DY$12))),$I60,"")</f>
        <v/>
      </c>
      <c r="DZ60" s="390" t="str">
        <f>IF(AND(DZ$12&gt;=$E60,DZ$12&lt;=$F60,MOD(DZ$12,7)&gt;1,NOT(COUNTIF(General!$U$13:$U$19,DZ$12))),$I60,"")</f>
        <v/>
      </c>
      <c r="EA60" s="390" t="str">
        <f>IF(AND(EA$12&gt;=$E60,EA$12&lt;=$F60,MOD(EA$12,7)&gt;1,NOT(COUNTIF(General!$U$13:$U$19,EA$12))),$I60,"")</f>
        <v/>
      </c>
      <c r="EB60" s="390" t="str">
        <f>IF(AND(EB$12&gt;=$E60,EB$12&lt;=$F60,MOD(EB$12,7)&gt;1,NOT(COUNTIF(General!$U$13:$U$19,EB$12))),$I60,"")</f>
        <v/>
      </c>
      <c r="EC60" s="390" t="str">
        <f>IF(AND(EC$12&gt;=$E60,EC$12&lt;=$F60,MOD(EC$12,7)&gt;1,NOT(COUNTIF(General!$U$13:$U$19,EC$12))),$I60,"")</f>
        <v/>
      </c>
      <c r="ED60" s="390" t="str">
        <f>IF(AND(ED$12&gt;=$E60,ED$12&lt;=$F60,MOD(ED$12,7)&gt;1,NOT(COUNTIF(General!$U$13:$U$19,ED$12))),$I60,"")</f>
        <v/>
      </c>
      <c r="EE60" s="390" t="str">
        <f>IF(AND(EE$12&gt;=$E60,EE$12&lt;=$F60,MOD(EE$12,7)&gt;1,NOT(COUNTIF(General!$U$13:$U$19,EE$12))),$I60,"")</f>
        <v/>
      </c>
      <c r="EF60" s="390" t="str">
        <f>IF(AND(EF$12&gt;=$E60,EF$12&lt;=$F60,MOD(EF$12,7)&gt;1,NOT(COUNTIF(General!$U$13:$U$19,EF$12))),$I60,"")</f>
        <v/>
      </c>
      <c r="EG60" s="390" t="str">
        <f>IF(AND(EG$12&gt;=$E60,EG$12&lt;=$F60,MOD(EG$12,7)&gt;1,NOT(COUNTIF(General!$U$13:$U$19,EG$12))),$I60,"")</f>
        <v/>
      </c>
      <c r="EH60" s="390" t="str">
        <f>IF(AND(EH$12&gt;=$E60,EH$12&lt;=$F60,MOD(EH$12,7)&gt;1,NOT(COUNTIF(General!$U$13:$U$19,EH$12))),$I60,"")</f>
        <v/>
      </c>
      <c r="EI60" s="390" t="str">
        <f>IF(AND(EI$12&gt;=$E60,EI$12&lt;=$F60,MOD(EI$12,7)&gt;1,NOT(COUNTIF(General!$U$13:$U$19,EI$12))),$I60,"")</f>
        <v/>
      </c>
      <c r="EJ60" s="390" t="str">
        <f>IF(AND(EJ$12&gt;=$E60,EJ$12&lt;=$F60,MOD(EJ$12,7)&gt;1,NOT(COUNTIF(General!$U$13:$U$19,EJ$12))),$I60,"")</f>
        <v/>
      </c>
      <c r="EK60" s="390" t="str">
        <f>IF(AND(EK$12&gt;=$E60,EK$12&lt;=$F60,MOD(EK$12,7)&gt;1,NOT(COUNTIF(General!$U$13:$U$19,EK$12))),$I60,"")</f>
        <v/>
      </c>
      <c r="EL60" s="390" t="str">
        <f>IF(AND(EL$12&gt;=$E60,EL$12&lt;=$F60,MOD(EL$12,7)&gt;1,NOT(COUNTIF(General!$U$13:$U$19,EL$12))),$I60,"")</f>
        <v/>
      </c>
      <c r="EM60" s="390" t="str">
        <f>IF(AND(EM$12&gt;=$E60,EM$12&lt;=$F60,MOD(EM$12,7)&gt;1,NOT(COUNTIF(General!$U$13:$U$19,EM$12))),$I60,"")</f>
        <v/>
      </c>
      <c r="EN60" s="390" t="str">
        <f>IF(AND(EN$12&gt;=$E60,EN$12&lt;=$F60,MOD(EN$12,7)&gt;1,NOT(COUNTIF(General!$U$13:$U$19,EN$12))),$I60,"")</f>
        <v/>
      </c>
      <c r="EO60" s="390" t="str">
        <f>IF(AND(EO$12&gt;=$E60,EO$12&lt;=$F60,MOD(EO$12,7)&gt;1,NOT(COUNTIF(General!$U$13:$U$19,EO$12))),$I60,"")</f>
        <v/>
      </c>
      <c r="EP60" s="390" t="str">
        <f>IF(AND(EP$12&gt;=$E60,EP$12&lt;=$F60,MOD(EP$12,7)&gt;1,NOT(COUNTIF(General!$U$13:$U$19,EP$12))),$I60,"")</f>
        <v/>
      </c>
      <c r="EQ60" s="390" t="str">
        <f>IF(AND(EQ$12&gt;=$E60,EQ$12&lt;=$F60,MOD(EQ$12,7)&gt;1,NOT(COUNTIF(General!$U$13:$U$19,EQ$12))),$I60,"")</f>
        <v/>
      </c>
      <c r="ER60" s="390" t="str">
        <f>IF(AND(ER$12&gt;=$E60,ER$12&lt;=$F60,MOD(ER$12,7)&gt;1,NOT(COUNTIF(General!$U$13:$U$19,ER$12))),$I60,"")</f>
        <v/>
      </c>
      <c r="ES60" s="390" t="str">
        <f>IF(AND(ES$12&gt;=$E60,ES$12&lt;=$F60,MOD(ES$12,7)&gt;1,NOT(COUNTIF(General!$U$13:$U$19,ES$12))),$I60,"")</f>
        <v/>
      </c>
      <c r="ET60" s="390" t="str">
        <f>IF(AND(ET$12&gt;=$E60,ET$12&lt;=$F60,MOD(ET$12,7)&gt;1,NOT(COUNTIF(General!$U$13:$U$19,ET$12))),$I60,"")</f>
        <v/>
      </c>
      <c r="EU60" s="390" t="str">
        <f>IF(AND(EU$12&gt;=$E60,EU$12&lt;=$F60,MOD(EU$12,7)&gt;1,NOT(COUNTIF(General!$U$13:$U$19,EU$12))),$I60,"")</f>
        <v/>
      </c>
      <c r="EV60" s="390" t="str">
        <f>IF(AND(EV$12&gt;=$E60,EV$12&lt;=$F60,MOD(EV$12,7)&gt;1,NOT(COUNTIF(General!$U$13:$U$19,EV$12))),$I60,"")</f>
        <v/>
      </c>
      <c r="EW60" s="390" t="str">
        <f>IF(AND(EW$12&gt;=$E60,EW$12&lt;=$F60,MOD(EW$12,7)&gt;1,NOT(COUNTIF(General!$U$13:$U$19,EW$12))),$I60,"")</f>
        <v/>
      </c>
      <c r="EX60" s="390" t="str">
        <f>IF(AND(EX$12&gt;=$E60,EX$12&lt;=$F60,MOD(EX$12,7)&gt;1,NOT(COUNTIF(General!$U$13:$U$19,EX$12))),$I60,"")</f>
        <v/>
      </c>
      <c r="EY60" s="390" t="str">
        <f>IF(AND(EY$12&gt;=$E60,EY$12&lt;=$F60,MOD(EY$12,7)&gt;1,NOT(COUNTIF(General!$U$13:$U$19,EY$12))),$I60,"")</f>
        <v/>
      </c>
      <c r="EZ60" s="390" t="str">
        <f>IF(AND(EZ$12&gt;=$E60,EZ$12&lt;=$F60,MOD(EZ$12,7)&gt;1,NOT(COUNTIF(General!$U$13:$U$19,EZ$12))),$I60,"")</f>
        <v/>
      </c>
      <c r="FA60" s="390" t="str">
        <f>IF(AND(FA$12&gt;=$E60,FA$12&lt;=$F60,MOD(FA$12,7)&gt;1,NOT(COUNTIF(General!$U$13:$U$19,FA$12))),$I60,"")</f>
        <v/>
      </c>
      <c r="FB60" s="390" t="str">
        <f>IF(AND(FB$12&gt;=$E60,FB$12&lt;=$F60,MOD(FB$12,7)&gt;1,NOT(COUNTIF(General!$U$13:$U$19,FB$12))),$I60,"")</f>
        <v/>
      </c>
      <c r="FC60" s="390" t="str">
        <f>IF(AND(FC$12&gt;=$E60,FC$12&lt;=$F60,MOD(FC$12,7)&gt;1,NOT(COUNTIF(General!$U$13:$U$19,FC$12))),$I60,"")</f>
        <v/>
      </c>
      <c r="FD60" s="390" t="str">
        <f>IF(AND(FD$12&gt;=$E60,FD$12&lt;=$F60,MOD(FD$12,7)&gt;1,NOT(COUNTIF(General!$U$13:$U$19,FD$12))),$I60,"")</f>
        <v/>
      </c>
      <c r="FE60" s="390" t="str">
        <f>IF(AND(FE$12&gt;=$E60,FE$12&lt;=$F60,MOD(FE$12,7)&gt;1,NOT(COUNTIF(General!$U$13:$U$19,FE$12))),$I60,"")</f>
        <v/>
      </c>
      <c r="FF60" s="390" t="str">
        <f>IF(AND(FF$12&gt;=$E60,FF$12&lt;=$F60,MOD(FF$12,7)&gt;1,NOT(COUNTIF(General!$U$13:$U$19,FF$12))),$I60,"")</f>
        <v/>
      </c>
      <c r="FG60" s="390" t="str">
        <f>IF(AND(FG$12&gt;=$E60,FG$12&lt;=$F60,MOD(FG$12,7)&gt;1,NOT(COUNTIF(General!$U$13:$U$19,FG$12))),$I60,"")</f>
        <v/>
      </c>
      <c r="FH60" s="390" t="str">
        <f>IF(AND(FH$12&gt;=$E60,FH$12&lt;=$F60,MOD(FH$12,7)&gt;1,NOT(COUNTIF(General!$U$13:$U$19,FH$12))),$I60,"")</f>
        <v/>
      </c>
      <c r="FI60" s="390" t="str">
        <f>IF(AND(FI$12&gt;=$E60,FI$12&lt;=$F60,MOD(FI$12,7)&gt;1,NOT(COUNTIF(General!$U$13:$U$19,FI$12))),$I60,"")</f>
        <v/>
      </c>
      <c r="FJ60" s="390" t="str">
        <f>IF(AND(FJ$12&gt;=$E60,FJ$12&lt;=$F60,MOD(FJ$12,7)&gt;1,NOT(COUNTIF(General!$U$13:$U$19,FJ$12))),$I60,"")</f>
        <v/>
      </c>
      <c r="FK60" s="390" t="str">
        <f>IF(AND(FK$12&gt;=$E60,FK$12&lt;=$F60,MOD(FK$12,7)&gt;1,NOT(COUNTIF(General!$U$13:$U$19,FK$12))),$I60,"")</f>
        <v/>
      </c>
      <c r="FL60" s="390" t="str">
        <f>IF(AND(FL$12&gt;=$E60,FL$12&lt;=$F60,MOD(FL$12,7)&gt;1,NOT(COUNTIF(General!$U$13:$U$19,FL$12))),$I60,"")</f>
        <v/>
      </c>
      <c r="FM60" s="390" t="str">
        <f>IF(AND(FM$12&gt;=$E60,FM$12&lt;=$F60,MOD(FM$12,7)&gt;1,NOT(COUNTIF(General!$U$13:$U$19,FM$12))),$I60,"")</f>
        <v/>
      </c>
      <c r="FN60" s="390" t="str">
        <f>IF(AND(FN$12&gt;=$E60,FN$12&lt;=$F60,MOD(FN$12,7)&gt;1,NOT(COUNTIF(General!$U$13:$U$19,FN$12))),$I60,"")</f>
        <v/>
      </c>
      <c r="FO60" s="390" t="str">
        <f>IF(AND(FO$12&gt;=$E60,FO$12&lt;=$F60,MOD(FO$12,7)&gt;1,NOT(COUNTIF(General!$U$13:$U$19,FO$12))),$I60,"")</f>
        <v/>
      </c>
      <c r="FP60" s="390" t="str">
        <f>IF(AND(FP$12&gt;=$E60,FP$12&lt;=$F60,MOD(FP$12,7)&gt;1,NOT(COUNTIF(General!$U$13:$U$19,FP$12))),$I60,"")</f>
        <v/>
      </c>
      <c r="FQ60" s="390" t="str">
        <f>IF(AND(FQ$12&gt;=$E60,FQ$12&lt;=$F60,MOD(FQ$12,7)&gt;1,NOT(COUNTIF(General!$U$13:$U$19,FQ$12))),$I60,"")</f>
        <v/>
      </c>
      <c r="FR60" s="390" t="str">
        <f>IF(AND(FR$12&gt;=$E60,FR$12&lt;=$F60,MOD(FR$12,7)&gt;1,NOT(COUNTIF(General!$U$13:$U$19,FR$12))),$I60,"")</f>
        <v/>
      </c>
      <c r="FS60" s="390" t="str">
        <f>IF(AND(FS$12&gt;=$E60,FS$12&lt;=$F60,MOD(FS$12,7)&gt;1,NOT(COUNTIF(General!$U$13:$U$19,FS$12))),$I60,"")</f>
        <v/>
      </c>
      <c r="FT60" s="390" t="str">
        <f>IF(AND(FT$12&gt;=$E60,FT$12&lt;=$F60,MOD(FT$12,7)&gt;1,NOT(COUNTIF(General!$U$13:$U$19,FT$12))),$I60,"")</f>
        <v/>
      </c>
      <c r="FU60" s="390" t="str">
        <f>IF(AND(FU$12&gt;=$E60,FU$12&lt;=$F60,MOD(FU$12,7)&gt;1,NOT(COUNTIF(General!$U$13:$U$19,FU$12))),$I60,"")</f>
        <v/>
      </c>
      <c r="FV60" s="390" t="str">
        <f>IF(AND(FV$12&gt;=$E60,FV$12&lt;=$F60,MOD(FV$12,7)&gt;1,NOT(COUNTIF(General!$U$13:$U$19,FV$12))),$I60,"")</f>
        <v/>
      </c>
      <c r="FW60" s="390" t="str">
        <f>IF(AND(FW$12&gt;=$E60,FW$12&lt;=$F60,MOD(FW$12,7)&gt;1,NOT(COUNTIF(General!$U$13:$U$19,FW$12))),$I60,"")</f>
        <v/>
      </c>
      <c r="FX60" s="390" t="str">
        <f>IF(AND(FX$12&gt;=$E60,FX$12&lt;=$F60,MOD(FX$12,7)&gt;1,NOT(COUNTIF(General!$U$13:$U$19,FX$12))),$I60,"")</f>
        <v/>
      </c>
    </row>
    <row r="61" ht="16.5" customHeight="1">
      <c r="A61" s="613"/>
      <c r="B61" s="615"/>
      <c r="C61" s="370"/>
      <c r="D61" s="617"/>
      <c r="E61" s="583"/>
      <c r="F61" s="620"/>
      <c r="G61" s="375"/>
      <c r="H61" s="377"/>
      <c r="I61" s="379">
        <v>1.0</v>
      </c>
      <c r="J61" s="379"/>
      <c r="K61" s="381"/>
      <c r="L61" s="382"/>
      <c r="M61" s="383"/>
      <c r="N61" s="384"/>
      <c r="O61" s="386"/>
      <c r="P61" s="388"/>
      <c r="Q61" s="390" t="str">
        <f>IF(AND(Q$12&gt;=$E61,Q$12&lt;=$F61,MOD(Q$12,7)&gt;1,NOT(COUNTIF(General!$U$13:$U$19,Q$12))),$I61,"")</f>
        <v/>
      </c>
      <c r="R61" s="390" t="str">
        <f>IF(AND(R$12&gt;=$E61,R$12&lt;=$F61,MOD(R$12,7)&gt;1,NOT(COUNTIF(General!$U$13:$U$19,R$12))),$I61,"")</f>
        <v/>
      </c>
      <c r="S61" s="390" t="str">
        <f>IF(AND(S$12&gt;=$E61,S$12&lt;=$F61,MOD(S$12,7)&gt;1,NOT(COUNTIF(General!$U$13:$U$19,S$12))),$I61,"")</f>
        <v/>
      </c>
      <c r="T61" s="390" t="str">
        <f>IF(AND(T$12&gt;=$E61,T$12&lt;=$F61,MOD(T$12,7)&gt;1,NOT(COUNTIF(General!$U$13:$U$19,T$12))),$I61,"")</f>
        <v/>
      </c>
      <c r="U61" s="390" t="str">
        <f>IF(AND(U$12&gt;=$E61,U$12&lt;=$F61,MOD(U$12,7)&gt;1,NOT(COUNTIF(General!$U$13:$U$19,U$12))),$I61,"")</f>
        <v/>
      </c>
      <c r="V61" s="390" t="str">
        <f>IF(AND(V$12&gt;=$E61,V$12&lt;=$F61,MOD(V$12,7)&gt;1,NOT(COUNTIF(General!$U$13:$U$19,V$12))),$I61,"")</f>
        <v/>
      </c>
      <c r="W61" s="390" t="str">
        <f>IF(AND(W$12&gt;=$E61,W$12&lt;=$F61,MOD(W$12,7)&gt;1,NOT(COUNTIF(General!$U$13:$U$19,W$12))),$I61,"")</f>
        <v/>
      </c>
      <c r="X61" s="390" t="str">
        <f>IF(AND(X$12&gt;=$E61,X$12&lt;=$F61,MOD(X$12,7)&gt;1,NOT(COUNTIF(General!$U$13:$U$19,X$12))),$I61,"")</f>
        <v/>
      </c>
      <c r="Y61" s="390" t="str">
        <f>IF(AND(Y$12&gt;=$E61,Y$12&lt;=$F61,MOD(Y$12,7)&gt;1,NOT(COUNTIF(General!$U$13:$U$19,Y$12))),$I61,"")</f>
        <v/>
      </c>
      <c r="Z61" s="390" t="str">
        <f>IF(AND(Z$12&gt;=$E61,Z$12&lt;=$F61,MOD(Z$12,7)&gt;1,NOT(COUNTIF(General!$U$13:$U$19,Z$12))),$I61,"")</f>
        <v/>
      </c>
      <c r="AA61" s="390" t="str">
        <f>IF(AND(AA$12&gt;=$E61,AA$12&lt;=$F61,MOD(AA$12,7)&gt;1,NOT(COUNTIF(General!$U$13:$U$19,AA$12))),$I61,"")</f>
        <v/>
      </c>
      <c r="AB61" s="390" t="str">
        <f>IF(AND(AB$12&gt;=$E61,AB$12&lt;=$F61,MOD(AB$12,7)&gt;1,NOT(COUNTIF(General!$U$13:$U$19,AB$12))),$I61,"")</f>
        <v/>
      </c>
      <c r="AC61" s="390" t="str">
        <f>IF(AND(AC$12&gt;=$E61,AC$12&lt;=$F61,MOD(AC$12,7)&gt;1,NOT(COUNTIF(General!$U$13:$U$19,AC$12))),$I61,"")</f>
        <v/>
      </c>
      <c r="AD61" s="390" t="str">
        <f>IF(AND(AD$12&gt;=$E61,AD$12&lt;=$F61,MOD(AD$12,7)&gt;1,NOT(COUNTIF(General!$U$13:$U$19,AD$12))),$I61,"")</f>
        <v/>
      </c>
      <c r="AE61" s="390" t="str">
        <f>IF(AND(AE$12&gt;=$E61,AE$12&lt;=$F61,MOD(AE$12,7)&gt;1,NOT(COUNTIF(General!$U$13:$U$19,AE$12))),$I61,"")</f>
        <v/>
      </c>
      <c r="AF61" s="390" t="str">
        <f>IF(AND(AF$12&gt;=$E61,AF$12&lt;=$F61,MOD(AF$12,7)&gt;1,NOT(COUNTIF(General!$U$13:$U$19,AF$12))),$I61,"")</f>
        <v/>
      </c>
      <c r="AG61" s="390" t="str">
        <f>IF(AND(AG$12&gt;=$E61,AG$12&lt;=$F61,MOD(AG$12,7)&gt;1,NOT(COUNTIF(General!$U$13:$U$19,AG$12))),$I61,"")</f>
        <v/>
      </c>
      <c r="AH61" s="390" t="str">
        <f>IF(AND(AH$12&gt;=$E61,AH$12&lt;=$F61,MOD(AH$12,7)&gt;1,NOT(COUNTIF(General!$U$13:$U$19,AH$12))),$I61,"")</f>
        <v/>
      </c>
      <c r="AI61" s="390" t="str">
        <f>IF(AND(AI$12&gt;=$E61,AI$12&lt;=$F61,MOD(AI$12,7)&gt;1,NOT(COUNTIF(General!$U$13:$U$19,AI$12))),$I61,"")</f>
        <v/>
      </c>
      <c r="AJ61" s="390" t="str">
        <f>IF(AND(AJ$12&gt;=$E61,AJ$12&lt;=$F61,MOD(AJ$12,7)&gt;1,NOT(COUNTIF(General!$U$13:$U$19,AJ$12))),$I61,"")</f>
        <v/>
      </c>
      <c r="AK61" s="390" t="str">
        <f>IF(AND(AK$12&gt;=$E61,AK$12&lt;=$F61,MOD(AK$12,7)&gt;1,NOT(COUNTIF(General!$U$13:$U$19,AK$12))),$I61,"")</f>
        <v/>
      </c>
      <c r="AL61" s="390" t="str">
        <f>IF(AND(AL$12&gt;=$E61,AL$12&lt;=$F61,MOD(AL$12,7)&gt;1,NOT(COUNTIF(General!$U$13:$U$19,AL$12))),$I61,"")</f>
        <v/>
      </c>
      <c r="AM61" s="390" t="str">
        <f>IF(AND(AM$12&gt;=$E61,AM$12&lt;=$F61,MOD(AM$12,7)&gt;1,NOT(COUNTIF(General!$U$13:$U$19,AM$12))),$I61,"")</f>
        <v/>
      </c>
      <c r="AN61" s="390" t="str">
        <f>IF(AND(AN$12&gt;=$E61,AN$12&lt;=$F61,MOD(AN$12,7)&gt;1,NOT(COUNTIF(General!$U$13:$U$19,AN$12))),$I61,"")</f>
        <v/>
      </c>
      <c r="AO61" s="390" t="str">
        <f>IF(AND(AO$12&gt;=$E61,AO$12&lt;=$F61,MOD(AO$12,7)&gt;1,NOT(COUNTIF(General!$U$13:$U$19,AO$12))),$I61,"")</f>
        <v/>
      </c>
      <c r="AP61" s="390" t="str">
        <f>IF(AND(AP$12&gt;=$E61,AP$12&lt;=$F61,MOD(AP$12,7)&gt;1,NOT(COUNTIF(General!$U$13:$U$19,AP$12))),$I61,"")</f>
        <v/>
      </c>
      <c r="AQ61" s="390" t="str">
        <f>IF(AND(AQ$12&gt;=$E61,AQ$12&lt;=$F61,MOD(AQ$12,7)&gt;1,NOT(COUNTIF(General!$U$13:$U$19,AQ$12))),$I61,"")</f>
        <v/>
      </c>
      <c r="AR61" s="390" t="str">
        <f>IF(AND(AR$12&gt;=$E61,AR$12&lt;=$F61,MOD(AR$12,7)&gt;1,NOT(COUNTIF(General!$U$13:$U$19,AR$12))),$I61,"")</f>
        <v/>
      </c>
      <c r="AS61" s="390" t="str">
        <f>IF(AND(AS$12&gt;=$E61,AS$12&lt;=$F61,MOD(AS$12,7)&gt;1,NOT(COUNTIF(General!$U$13:$U$19,AS$12))),$I61,"")</f>
        <v/>
      </c>
      <c r="AT61" s="390" t="str">
        <f>IF(AND(AT$12&gt;=$E61,AT$12&lt;=$F61,MOD(AT$12,7)&gt;1,NOT(COUNTIF(General!$U$13:$U$19,AT$12))),$I61,"")</f>
        <v/>
      </c>
      <c r="AU61" s="390" t="str">
        <f>IF(AND(AU$12&gt;=$E61,AU$12&lt;=$F61,MOD(AU$12,7)&gt;1,NOT(COUNTIF(General!$U$13:$U$19,AU$12))),$I61,"")</f>
        <v/>
      </c>
      <c r="AV61" s="390" t="str">
        <f>IF(AND(AV$12&gt;=$E61,AV$12&lt;=$F61,MOD(AV$12,7)&gt;1,NOT(COUNTIF(General!$U$13:$U$19,AV$12))),$I61,"")</f>
        <v/>
      </c>
      <c r="AW61" s="390" t="str">
        <f>IF(AND(AW$12&gt;=$E61,AW$12&lt;=$F61,MOD(AW$12,7)&gt;1,NOT(COUNTIF(General!$U$13:$U$19,AW$12))),$I61,"")</f>
        <v/>
      </c>
      <c r="AX61" s="390" t="str">
        <f>IF(AND(AX$12&gt;=$E61,AX$12&lt;=$F61,MOD(AX$12,7)&gt;1,NOT(COUNTIF(General!$U$13:$U$19,AX$12))),$I61,"")</f>
        <v/>
      </c>
      <c r="AY61" s="390" t="str">
        <f>IF(AND(AY$12&gt;=$E61,AY$12&lt;=$F61,MOD(AY$12,7)&gt;1,NOT(COUNTIF(General!$U$13:$U$19,AY$12))),$I61,"")</f>
        <v/>
      </c>
      <c r="AZ61" s="390" t="str">
        <f>IF(AND(AZ$12&gt;=$E61,AZ$12&lt;=$F61,MOD(AZ$12,7)&gt;1,NOT(COUNTIF(General!$U$13:$U$19,AZ$12))),$I61,"")</f>
        <v/>
      </c>
      <c r="BA61" s="390" t="str">
        <f>IF(AND(BA$12&gt;=$E61,BA$12&lt;=$F61,MOD(BA$12,7)&gt;1,NOT(COUNTIF(General!$U$13:$U$19,BA$12))),$I61,"")</f>
        <v/>
      </c>
      <c r="BB61" s="390" t="str">
        <f>IF(AND(BB$12&gt;=$E61,BB$12&lt;=$F61,MOD(BB$12,7)&gt;1,NOT(COUNTIF(General!$U$13:$U$19,BB$12))),$I61,"")</f>
        <v/>
      </c>
      <c r="BC61" s="390" t="str">
        <f>IF(AND(BC$12&gt;=$E61,BC$12&lt;=$F61,MOD(BC$12,7)&gt;1,NOT(COUNTIF(General!$U$13:$U$19,BC$12))),$I61,"")</f>
        <v/>
      </c>
      <c r="BD61" s="390" t="str">
        <f>IF(AND(BD$12&gt;=$E61,BD$12&lt;=$F61,MOD(BD$12,7)&gt;1,NOT(COUNTIF(General!$U$13:$U$19,BD$12))),$I61,"")</f>
        <v/>
      </c>
      <c r="BE61" s="390" t="str">
        <f>IF(AND(BE$12&gt;=$E61,BE$12&lt;=$F61,MOD(BE$12,7)&gt;1,NOT(COUNTIF(General!$U$13:$U$19,BE$12))),$I61,"")</f>
        <v/>
      </c>
      <c r="BF61" s="390" t="str">
        <f>IF(AND(BF$12&gt;=$E61,BF$12&lt;=$F61,MOD(BF$12,7)&gt;1,NOT(COUNTIF(General!$U$13:$U$19,BF$12))),$I61,"")</f>
        <v/>
      </c>
      <c r="BG61" s="390" t="str">
        <f>IF(AND(BG$12&gt;=$E61,BG$12&lt;=$F61,MOD(BG$12,7)&gt;1,NOT(COUNTIF(General!$U$13:$U$19,BG$12))),$I61,"")</f>
        <v/>
      </c>
      <c r="BH61" s="390" t="str">
        <f>IF(AND(BH$12&gt;=$E61,BH$12&lt;=$F61,MOD(BH$12,7)&gt;1,NOT(COUNTIF(General!$U$13:$U$19,BH$12))),$I61,"")</f>
        <v/>
      </c>
      <c r="BI61" s="390" t="str">
        <f>IF(AND(BI$12&gt;=$E61,BI$12&lt;=$F61,MOD(BI$12,7)&gt;1,NOT(COUNTIF(General!$U$13:$U$19,BI$12))),$I61,"")</f>
        <v/>
      </c>
      <c r="BJ61" s="390" t="str">
        <f>IF(AND(BJ$12&gt;=$E61,BJ$12&lt;=$F61,MOD(BJ$12,7)&gt;1,NOT(COUNTIF(General!$U$13:$U$19,BJ$12))),$I61,"")</f>
        <v/>
      </c>
      <c r="BK61" s="390" t="str">
        <f>IF(AND(BK$12&gt;=$E61,BK$12&lt;=$F61,MOD(BK$12,7)&gt;1,NOT(COUNTIF(General!$U$13:$U$19,BK$12))),$I61,"")</f>
        <v/>
      </c>
      <c r="BL61" s="390" t="str">
        <f>IF(AND(BL$12&gt;=$E61,BL$12&lt;=$F61,MOD(BL$12,7)&gt;1,NOT(COUNTIF(General!$U$13:$U$19,BL$12))),$I61,"")</f>
        <v/>
      </c>
      <c r="BM61" s="390" t="str">
        <f>IF(AND(BM$12&gt;=$E61,BM$12&lt;=$F61,MOD(BM$12,7)&gt;1,NOT(COUNTIF(General!$U$13:$U$19,BM$12))),$I61,"")</f>
        <v/>
      </c>
      <c r="BN61" s="390" t="str">
        <f>IF(AND(BN$12&gt;=$E61,BN$12&lt;=$F61,MOD(BN$12,7)&gt;1,NOT(COUNTIF(General!$U$13:$U$19,BN$12))),$I61,"")</f>
        <v/>
      </c>
      <c r="BO61" s="390" t="str">
        <f>IF(AND(BO$12&gt;=$E61,BO$12&lt;=$F61,MOD(BO$12,7)&gt;1,NOT(COUNTIF(General!$U$13:$U$19,BO$12))),$I61,"")</f>
        <v/>
      </c>
      <c r="BP61" s="390" t="str">
        <f>IF(AND(BP$12&gt;=$E61,BP$12&lt;=$F61,MOD(BP$12,7)&gt;1,NOT(COUNTIF(General!$U$13:$U$19,BP$12))),$I61,"")</f>
        <v/>
      </c>
      <c r="BQ61" s="390" t="str">
        <f>IF(AND(BQ$12&gt;=$E61,BQ$12&lt;=$F61,MOD(BQ$12,7)&gt;1,NOT(COUNTIF(General!$U$13:$U$19,BQ$12))),$I61,"")</f>
        <v/>
      </c>
      <c r="BR61" s="390" t="str">
        <f>IF(AND(BR$12&gt;=$E61,BR$12&lt;=$F61,MOD(BR$12,7)&gt;1,NOT(COUNTIF(General!$U$13:$U$19,BR$12))),$I61,"")</f>
        <v/>
      </c>
      <c r="BS61" s="390" t="str">
        <f>IF(AND(BS$12&gt;=$E61,BS$12&lt;=$F61,MOD(BS$12,7)&gt;1,NOT(COUNTIF(General!$U$13:$U$19,BS$12))),$I61,"")</f>
        <v/>
      </c>
      <c r="BT61" s="390" t="str">
        <f>IF(AND(BT$12&gt;=$E61,BT$12&lt;=$F61,MOD(BT$12,7)&gt;1,NOT(COUNTIF(General!$U$13:$U$19,BT$12))),$I61,"")</f>
        <v/>
      </c>
      <c r="BU61" s="390" t="str">
        <f>IF(AND(BU$12&gt;=$E61,BU$12&lt;=$F61,MOD(BU$12,7)&gt;1,NOT(COUNTIF(General!$U$13:$U$19,BU$12))),$I61,"")</f>
        <v/>
      </c>
      <c r="BV61" s="390" t="str">
        <f>IF(AND(BV$12&gt;=$E61,BV$12&lt;=$F61,MOD(BV$12,7)&gt;1,NOT(COUNTIF(General!$U$13:$U$19,BV$12))),$I61,"")</f>
        <v/>
      </c>
      <c r="BW61" s="390" t="str">
        <f>IF(AND(BW$12&gt;=$E61,BW$12&lt;=$F61,MOD(BW$12,7)&gt;1,NOT(COUNTIF(General!$U$13:$U$19,BW$12))),$I61,"")</f>
        <v/>
      </c>
      <c r="BX61" s="390" t="str">
        <f>IF(AND(BX$12&gt;=$E61,BX$12&lt;=$F61,MOD(BX$12,7)&gt;1,NOT(COUNTIF(General!$U$13:$U$19,BX$12))),$I61,"")</f>
        <v/>
      </c>
      <c r="BY61" s="390" t="str">
        <f>IF(AND(BY$12&gt;=$E61,BY$12&lt;=$F61,MOD(BY$12,7)&gt;1,NOT(COUNTIF(General!$U$13:$U$19,BY$12))),$I61,"")</f>
        <v/>
      </c>
      <c r="BZ61" s="390" t="str">
        <f>IF(AND(BZ$12&gt;=$E61,BZ$12&lt;=$F61,MOD(BZ$12,7)&gt;1,NOT(COUNTIF(General!$U$13:$U$19,BZ$12))),$I61,"")</f>
        <v/>
      </c>
      <c r="CA61" s="390" t="str">
        <f>IF(AND(CA$12&gt;=$E61,CA$12&lt;=$F61,MOD(CA$12,7)&gt;1,NOT(COUNTIF(General!$U$13:$U$19,CA$12))),$I61,"")</f>
        <v/>
      </c>
      <c r="CB61" s="390" t="str">
        <f>IF(AND(CB$12&gt;=$E61,CB$12&lt;=$F61,MOD(CB$12,7)&gt;1,NOT(COUNTIF(General!$U$13:$U$19,CB$12))),$I61,"")</f>
        <v/>
      </c>
      <c r="CC61" s="390" t="str">
        <f>IF(AND(CC$12&gt;=$E61,CC$12&lt;=$F61,MOD(CC$12,7)&gt;1,NOT(COUNTIF(General!$U$13:$U$19,CC$12))),$I61,"")</f>
        <v/>
      </c>
      <c r="CD61" s="390" t="str">
        <f>IF(AND(CD$12&gt;=$E61,CD$12&lt;=$F61,MOD(CD$12,7)&gt;1,NOT(COUNTIF(General!$U$13:$U$19,CD$12))),$I61,"")</f>
        <v/>
      </c>
      <c r="CE61" s="390" t="str">
        <f>IF(AND(CE$12&gt;=$E61,CE$12&lt;=$F61,MOD(CE$12,7)&gt;1,NOT(COUNTIF(General!$U$13:$U$19,CE$12))),$I61,"")</f>
        <v/>
      </c>
      <c r="CF61" s="390" t="str">
        <f>IF(AND(CF$12&gt;=$E61,CF$12&lt;=$F61,MOD(CF$12,7)&gt;1,NOT(COUNTIF(General!$U$13:$U$19,CF$12))),$I61,"")</f>
        <v/>
      </c>
      <c r="CG61" s="390" t="str">
        <f>IF(AND(CG$12&gt;=$E61,CG$12&lt;=$F61,MOD(CG$12,7)&gt;1,NOT(COUNTIF(General!$U$13:$U$19,CG$12))),$I61,"")</f>
        <v/>
      </c>
      <c r="CH61" s="390" t="str">
        <f>IF(AND(CH$12&gt;=$E61,CH$12&lt;=$F61,MOD(CH$12,7)&gt;1,NOT(COUNTIF(General!$U$13:$U$19,CH$12))),$I61,"")</f>
        <v/>
      </c>
      <c r="CI61" s="390" t="str">
        <f>IF(AND(CI$12&gt;=$E61,CI$12&lt;=$F61,MOD(CI$12,7)&gt;1,NOT(COUNTIF(General!$U$13:$U$19,CI$12))),$I61,"")</f>
        <v/>
      </c>
      <c r="CJ61" s="390" t="str">
        <f>IF(AND(CJ$12&gt;=$E61,CJ$12&lt;=$F61,MOD(CJ$12,7)&gt;1,NOT(COUNTIF(General!$U$13:$U$19,CJ$12))),$I61,"")</f>
        <v/>
      </c>
      <c r="CK61" s="390" t="str">
        <f>IF(AND(CK$12&gt;=$E61,CK$12&lt;=$F61,MOD(CK$12,7)&gt;1,NOT(COUNTIF(General!$U$13:$U$19,CK$12))),$I61,"")</f>
        <v/>
      </c>
      <c r="CL61" s="390" t="str">
        <f>IF(AND(CL$12&gt;=$E61,CL$12&lt;=$F61,MOD(CL$12,7)&gt;1,NOT(COUNTIF(General!$U$13:$U$19,CL$12))),$I61,"")</f>
        <v/>
      </c>
      <c r="CM61" s="390" t="str">
        <f>IF(AND(CM$12&gt;=$E61,CM$12&lt;=$F61,MOD(CM$12,7)&gt;1,NOT(COUNTIF(General!$U$13:$U$19,CM$12))),$I61,"")</f>
        <v/>
      </c>
      <c r="CN61" s="390" t="str">
        <f>IF(AND(CN$12&gt;=$E61,CN$12&lt;=$F61,MOD(CN$12,7)&gt;1,NOT(COUNTIF(General!$U$13:$U$19,CN$12))),$I61,"")</f>
        <v/>
      </c>
      <c r="CO61" s="390" t="str">
        <f>IF(AND(CO$12&gt;=$E61,CO$12&lt;=$F61,MOD(CO$12,7)&gt;1,NOT(COUNTIF(General!$U$13:$U$19,CO$12))),$I61,"")</f>
        <v/>
      </c>
      <c r="CP61" s="390" t="str">
        <f>IF(AND(CP$12&gt;=$E61,CP$12&lt;=$F61,MOD(CP$12,7)&gt;1,NOT(COUNTIF(General!$U$13:$U$19,CP$12))),$I61,"")</f>
        <v/>
      </c>
      <c r="CQ61" s="390" t="str">
        <f>IF(AND(CQ$12&gt;=$E61,CQ$12&lt;=$F61,MOD(CQ$12,7)&gt;1,NOT(COUNTIF(General!$U$13:$U$19,CQ$12))),$I61,"")</f>
        <v/>
      </c>
      <c r="CR61" s="390" t="str">
        <f>IF(AND(CR$12&gt;=$E61,CR$12&lt;=$F61,MOD(CR$12,7)&gt;1,NOT(COUNTIF(General!$U$13:$U$19,CR$12))),$I61,"")</f>
        <v/>
      </c>
      <c r="CS61" s="390" t="str">
        <f>IF(AND(CS$12&gt;=$E61,CS$12&lt;=$F61,MOD(CS$12,7)&gt;1,NOT(COUNTIF(General!$U$13:$U$19,CS$12))),$I61,"")</f>
        <v/>
      </c>
      <c r="CT61" s="390" t="str">
        <f>IF(AND(CT$12&gt;=$E61,CT$12&lt;=$F61,MOD(CT$12,7)&gt;1,NOT(COUNTIF(General!$U$13:$U$19,CT$12))),$I61,"")</f>
        <v/>
      </c>
      <c r="CU61" s="390" t="str">
        <f>IF(AND(CU$12&gt;=$E61,CU$12&lt;=$F61,MOD(CU$12,7)&gt;1,NOT(COUNTIF(General!$U$13:$U$19,CU$12))),$I61,"")</f>
        <v/>
      </c>
      <c r="CV61" s="390" t="str">
        <f>IF(AND(CV$12&gt;=$E61,CV$12&lt;=$F61,MOD(CV$12,7)&gt;1,NOT(COUNTIF(General!$U$13:$U$19,CV$12))),$I61,"")</f>
        <v/>
      </c>
      <c r="CW61" s="390" t="str">
        <f>IF(AND(CW$12&gt;=$E61,CW$12&lt;=$F61,MOD(CW$12,7)&gt;1,NOT(COUNTIF(General!$U$13:$U$19,CW$12))),$I61,"")</f>
        <v/>
      </c>
      <c r="CX61" s="390" t="str">
        <f>IF(AND(CX$12&gt;=$E61,CX$12&lt;=$F61,MOD(CX$12,7)&gt;1,NOT(COUNTIF(General!$U$13:$U$19,CX$12))),$I61,"")</f>
        <v/>
      </c>
      <c r="CY61" s="390" t="str">
        <f>IF(AND(CY$12&gt;=$E61,CY$12&lt;=$F61,MOD(CY$12,7)&gt;1,NOT(COUNTIF(General!$U$13:$U$19,CY$12))),$I61,"")</f>
        <v/>
      </c>
      <c r="CZ61" s="390" t="str">
        <f>IF(AND(CZ$12&gt;=$E61,CZ$12&lt;=$F61,MOD(CZ$12,7)&gt;1,NOT(COUNTIF(General!$U$13:$U$19,CZ$12))),$I61,"")</f>
        <v/>
      </c>
      <c r="DA61" s="390" t="str">
        <f>IF(AND(DA$12&gt;=$E61,DA$12&lt;=$F61,MOD(DA$12,7)&gt;1,NOT(COUNTIF(General!$U$13:$U$19,DA$12))),$I61,"")</f>
        <v/>
      </c>
      <c r="DB61" s="390" t="str">
        <f>IF(AND(DB$12&gt;=$E61,DB$12&lt;=$F61,MOD(DB$12,7)&gt;1,NOT(COUNTIF(General!$U$13:$U$19,DB$12))),$I61,"")</f>
        <v/>
      </c>
      <c r="DC61" s="390" t="str">
        <f>IF(AND(DC$12&gt;=$E61,DC$12&lt;=$F61,MOD(DC$12,7)&gt;1,NOT(COUNTIF(General!$U$13:$U$19,DC$12))),$I61,"")</f>
        <v/>
      </c>
      <c r="DD61" s="390" t="str">
        <f>IF(AND(DD$12&gt;=$E61,DD$12&lt;=$F61,MOD(DD$12,7)&gt;1,NOT(COUNTIF(General!$U$13:$U$19,DD$12))),$I61,"")</f>
        <v/>
      </c>
      <c r="DE61" s="390" t="str">
        <f>IF(AND(DE$12&gt;=$E61,DE$12&lt;=$F61,MOD(DE$12,7)&gt;1,NOT(COUNTIF(General!$U$13:$U$19,DE$12))),$I61,"")</f>
        <v/>
      </c>
      <c r="DF61" s="390" t="str">
        <f>IF(AND(DF$12&gt;=$E61,DF$12&lt;=$F61,MOD(DF$12,7)&gt;1,NOT(COUNTIF(General!$U$13:$U$19,DF$12))),$I61,"")</f>
        <v/>
      </c>
      <c r="DG61" s="390" t="str">
        <f>IF(AND(DG$12&gt;=$E61,DG$12&lt;=$F61,MOD(DG$12,7)&gt;1,NOT(COUNTIF(General!$U$13:$U$19,DG$12))),$I61,"")</f>
        <v/>
      </c>
      <c r="DH61" s="390" t="str">
        <f>IF(AND(DH$12&gt;=$E61,DH$12&lt;=$F61,MOD(DH$12,7)&gt;1,NOT(COUNTIF(General!$U$13:$U$19,DH$12))),$I61,"")</f>
        <v/>
      </c>
      <c r="DI61" s="390" t="str">
        <f>IF(AND(DI$12&gt;=$E61,DI$12&lt;=$F61,MOD(DI$12,7)&gt;1,NOT(COUNTIF(General!$U$13:$U$19,DI$12))),$I61,"")</f>
        <v/>
      </c>
      <c r="DJ61" s="390" t="str">
        <f>IF(AND(DJ$12&gt;=$E61,DJ$12&lt;=$F61,MOD(DJ$12,7)&gt;1,NOT(COUNTIF(General!$U$13:$U$19,DJ$12))),$I61,"")</f>
        <v/>
      </c>
      <c r="DK61" s="390" t="str">
        <f>IF(AND(DK$12&gt;=$E61,DK$12&lt;=$F61,MOD(DK$12,7)&gt;1,NOT(COUNTIF(General!$U$13:$U$19,DK$12))),$I61,"")</f>
        <v/>
      </c>
      <c r="DL61" s="390" t="str">
        <f>IF(AND(DL$12&gt;=$E61,DL$12&lt;=$F61,MOD(DL$12,7)&gt;1,NOT(COUNTIF(General!$U$13:$U$19,DL$12))),$I61,"")</f>
        <v/>
      </c>
      <c r="DM61" s="390" t="str">
        <f>IF(AND(DM$12&gt;=$E61,DM$12&lt;=$F61,MOD(DM$12,7)&gt;1,NOT(COUNTIF(General!$U$13:$U$19,DM$12))),$I61,"")</f>
        <v/>
      </c>
      <c r="DN61" s="390" t="str">
        <f>IF(AND(DN$12&gt;=$E61,DN$12&lt;=$F61,MOD(DN$12,7)&gt;1,NOT(COUNTIF(General!$U$13:$U$19,DN$12))),$I61,"")</f>
        <v/>
      </c>
      <c r="DO61" s="390" t="str">
        <f>IF(AND(DO$12&gt;=$E61,DO$12&lt;=$F61,MOD(DO$12,7)&gt;1,NOT(COUNTIF(General!$U$13:$U$19,DO$12))),$I61,"")</f>
        <v/>
      </c>
      <c r="DP61" s="390" t="str">
        <f>IF(AND(DP$12&gt;=$E61,DP$12&lt;=$F61,MOD(DP$12,7)&gt;1,NOT(COUNTIF(General!$U$13:$U$19,DP$12))),$I61,"")</f>
        <v/>
      </c>
      <c r="DQ61" s="390" t="str">
        <f>IF(AND(DQ$12&gt;=$E61,DQ$12&lt;=$F61,MOD(DQ$12,7)&gt;1,NOT(COUNTIF(General!$U$13:$U$19,DQ$12))),$I61,"")</f>
        <v/>
      </c>
      <c r="DR61" s="390" t="str">
        <f>IF(AND(DR$12&gt;=$E61,DR$12&lt;=$F61,MOD(DR$12,7)&gt;1,NOT(COUNTIF(General!$U$13:$U$19,DR$12))),$I61,"")</f>
        <v/>
      </c>
      <c r="DS61" s="390" t="str">
        <f>IF(AND(DS$12&gt;=$E61,DS$12&lt;=$F61,MOD(DS$12,7)&gt;1,NOT(COUNTIF(General!$U$13:$U$19,DS$12))),$I61,"")</f>
        <v/>
      </c>
      <c r="DT61" s="390" t="str">
        <f>IF(AND(DT$12&gt;=$E61,DT$12&lt;=$F61,MOD(DT$12,7)&gt;1,NOT(COUNTIF(General!$U$13:$U$19,DT$12))),$I61,"")</f>
        <v/>
      </c>
      <c r="DU61" s="390" t="str">
        <f>IF(AND(DU$12&gt;=$E61,DU$12&lt;=$F61,MOD(DU$12,7)&gt;1,NOT(COUNTIF(General!$U$13:$U$19,DU$12))),$I61,"")</f>
        <v/>
      </c>
      <c r="DV61" s="390" t="str">
        <f>IF(AND(DV$12&gt;=$E61,DV$12&lt;=$F61,MOD(DV$12,7)&gt;1,NOT(COUNTIF(General!$U$13:$U$19,DV$12))),$I61,"")</f>
        <v/>
      </c>
      <c r="DW61" s="390" t="str">
        <f>IF(AND(DW$12&gt;=$E61,DW$12&lt;=$F61,MOD(DW$12,7)&gt;1,NOT(COUNTIF(General!$U$13:$U$19,DW$12))),$I61,"")</f>
        <v/>
      </c>
      <c r="DX61" s="390" t="str">
        <f>IF(AND(DX$12&gt;=$E61,DX$12&lt;=$F61,MOD(DX$12,7)&gt;1,NOT(COUNTIF(General!$U$13:$U$19,DX$12))),$I61,"")</f>
        <v/>
      </c>
      <c r="DY61" s="390" t="str">
        <f>IF(AND(DY$12&gt;=$E61,DY$12&lt;=$F61,MOD(DY$12,7)&gt;1,NOT(COUNTIF(General!$U$13:$U$19,DY$12))),$I61,"")</f>
        <v/>
      </c>
      <c r="DZ61" s="390" t="str">
        <f>IF(AND(DZ$12&gt;=$E61,DZ$12&lt;=$F61,MOD(DZ$12,7)&gt;1,NOT(COUNTIF(General!$U$13:$U$19,DZ$12))),$I61,"")</f>
        <v/>
      </c>
      <c r="EA61" s="390" t="str">
        <f>IF(AND(EA$12&gt;=$E61,EA$12&lt;=$F61,MOD(EA$12,7)&gt;1,NOT(COUNTIF(General!$U$13:$U$19,EA$12))),$I61,"")</f>
        <v/>
      </c>
      <c r="EB61" s="390" t="str">
        <f>IF(AND(EB$12&gt;=$E61,EB$12&lt;=$F61,MOD(EB$12,7)&gt;1,NOT(COUNTIF(General!$U$13:$U$19,EB$12))),$I61,"")</f>
        <v/>
      </c>
      <c r="EC61" s="390" t="str">
        <f>IF(AND(EC$12&gt;=$E61,EC$12&lt;=$F61,MOD(EC$12,7)&gt;1,NOT(COUNTIF(General!$U$13:$U$19,EC$12))),$I61,"")</f>
        <v/>
      </c>
      <c r="ED61" s="390" t="str">
        <f>IF(AND(ED$12&gt;=$E61,ED$12&lt;=$F61,MOD(ED$12,7)&gt;1,NOT(COUNTIF(General!$U$13:$U$19,ED$12))),$I61,"")</f>
        <v/>
      </c>
      <c r="EE61" s="390" t="str">
        <f>IF(AND(EE$12&gt;=$E61,EE$12&lt;=$F61,MOD(EE$12,7)&gt;1,NOT(COUNTIF(General!$U$13:$U$19,EE$12))),$I61,"")</f>
        <v/>
      </c>
      <c r="EF61" s="390" t="str">
        <f>IF(AND(EF$12&gt;=$E61,EF$12&lt;=$F61,MOD(EF$12,7)&gt;1,NOT(COUNTIF(General!$U$13:$U$19,EF$12))),$I61,"")</f>
        <v/>
      </c>
      <c r="EG61" s="390" t="str">
        <f>IF(AND(EG$12&gt;=$E61,EG$12&lt;=$F61,MOD(EG$12,7)&gt;1,NOT(COUNTIF(General!$U$13:$U$19,EG$12))),$I61,"")</f>
        <v/>
      </c>
      <c r="EH61" s="390" t="str">
        <f>IF(AND(EH$12&gt;=$E61,EH$12&lt;=$F61,MOD(EH$12,7)&gt;1,NOT(COUNTIF(General!$U$13:$U$19,EH$12))),$I61,"")</f>
        <v/>
      </c>
      <c r="EI61" s="390" t="str">
        <f>IF(AND(EI$12&gt;=$E61,EI$12&lt;=$F61,MOD(EI$12,7)&gt;1,NOT(COUNTIF(General!$U$13:$U$19,EI$12))),$I61,"")</f>
        <v/>
      </c>
      <c r="EJ61" s="390" t="str">
        <f>IF(AND(EJ$12&gt;=$E61,EJ$12&lt;=$F61,MOD(EJ$12,7)&gt;1,NOT(COUNTIF(General!$U$13:$U$19,EJ$12))),$I61,"")</f>
        <v/>
      </c>
      <c r="EK61" s="390" t="str">
        <f>IF(AND(EK$12&gt;=$E61,EK$12&lt;=$F61,MOD(EK$12,7)&gt;1,NOT(COUNTIF(General!$U$13:$U$19,EK$12))),$I61,"")</f>
        <v/>
      </c>
      <c r="EL61" s="390" t="str">
        <f>IF(AND(EL$12&gt;=$E61,EL$12&lt;=$F61,MOD(EL$12,7)&gt;1,NOT(COUNTIF(General!$U$13:$U$19,EL$12))),$I61,"")</f>
        <v/>
      </c>
      <c r="EM61" s="390" t="str">
        <f>IF(AND(EM$12&gt;=$E61,EM$12&lt;=$F61,MOD(EM$12,7)&gt;1,NOT(COUNTIF(General!$U$13:$U$19,EM$12))),$I61,"")</f>
        <v/>
      </c>
      <c r="EN61" s="390" t="str">
        <f>IF(AND(EN$12&gt;=$E61,EN$12&lt;=$F61,MOD(EN$12,7)&gt;1,NOT(COUNTIF(General!$U$13:$U$19,EN$12))),$I61,"")</f>
        <v/>
      </c>
      <c r="EO61" s="390" t="str">
        <f>IF(AND(EO$12&gt;=$E61,EO$12&lt;=$F61,MOD(EO$12,7)&gt;1,NOT(COUNTIF(General!$U$13:$U$19,EO$12))),$I61,"")</f>
        <v/>
      </c>
      <c r="EP61" s="390" t="str">
        <f>IF(AND(EP$12&gt;=$E61,EP$12&lt;=$F61,MOD(EP$12,7)&gt;1,NOT(COUNTIF(General!$U$13:$U$19,EP$12))),$I61,"")</f>
        <v/>
      </c>
      <c r="EQ61" s="390" t="str">
        <f>IF(AND(EQ$12&gt;=$E61,EQ$12&lt;=$F61,MOD(EQ$12,7)&gt;1,NOT(COUNTIF(General!$U$13:$U$19,EQ$12))),$I61,"")</f>
        <v/>
      </c>
      <c r="ER61" s="390" t="str">
        <f>IF(AND(ER$12&gt;=$E61,ER$12&lt;=$F61,MOD(ER$12,7)&gt;1,NOT(COUNTIF(General!$U$13:$U$19,ER$12))),$I61,"")</f>
        <v/>
      </c>
      <c r="ES61" s="390" t="str">
        <f>IF(AND(ES$12&gt;=$E61,ES$12&lt;=$F61,MOD(ES$12,7)&gt;1,NOT(COUNTIF(General!$U$13:$U$19,ES$12))),$I61,"")</f>
        <v/>
      </c>
      <c r="ET61" s="390" t="str">
        <f>IF(AND(ET$12&gt;=$E61,ET$12&lt;=$F61,MOD(ET$12,7)&gt;1,NOT(COUNTIF(General!$U$13:$U$19,ET$12))),$I61,"")</f>
        <v/>
      </c>
      <c r="EU61" s="390" t="str">
        <f>IF(AND(EU$12&gt;=$E61,EU$12&lt;=$F61,MOD(EU$12,7)&gt;1,NOT(COUNTIF(General!$U$13:$U$19,EU$12))),$I61,"")</f>
        <v/>
      </c>
      <c r="EV61" s="390" t="str">
        <f>IF(AND(EV$12&gt;=$E61,EV$12&lt;=$F61,MOD(EV$12,7)&gt;1,NOT(COUNTIF(General!$U$13:$U$19,EV$12))),$I61,"")</f>
        <v/>
      </c>
      <c r="EW61" s="390" t="str">
        <f>IF(AND(EW$12&gt;=$E61,EW$12&lt;=$F61,MOD(EW$12,7)&gt;1,NOT(COUNTIF(General!$U$13:$U$19,EW$12))),$I61,"")</f>
        <v/>
      </c>
      <c r="EX61" s="390" t="str">
        <f>IF(AND(EX$12&gt;=$E61,EX$12&lt;=$F61,MOD(EX$12,7)&gt;1,NOT(COUNTIF(General!$U$13:$U$19,EX$12))),$I61,"")</f>
        <v/>
      </c>
      <c r="EY61" s="390" t="str">
        <f>IF(AND(EY$12&gt;=$E61,EY$12&lt;=$F61,MOD(EY$12,7)&gt;1,NOT(COUNTIF(General!$U$13:$U$19,EY$12))),$I61,"")</f>
        <v/>
      </c>
      <c r="EZ61" s="390" t="str">
        <f>IF(AND(EZ$12&gt;=$E61,EZ$12&lt;=$F61,MOD(EZ$12,7)&gt;1,NOT(COUNTIF(General!$U$13:$U$19,EZ$12))),$I61,"")</f>
        <v/>
      </c>
      <c r="FA61" s="390" t="str">
        <f>IF(AND(FA$12&gt;=$E61,FA$12&lt;=$F61,MOD(FA$12,7)&gt;1,NOT(COUNTIF(General!$U$13:$U$19,FA$12))),$I61,"")</f>
        <v/>
      </c>
      <c r="FB61" s="390" t="str">
        <f>IF(AND(FB$12&gt;=$E61,FB$12&lt;=$F61,MOD(FB$12,7)&gt;1,NOT(COUNTIF(General!$U$13:$U$19,FB$12))),$I61,"")</f>
        <v/>
      </c>
      <c r="FC61" s="390" t="str">
        <f>IF(AND(FC$12&gt;=$E61,FC$12&lt;=$F61,MOD(FC$12,7)&gt;1,NOT(COUNTIF(General!$U$13:$U$19,FC$12))),$I61,"")</f>
        <v/>
      </c>
      <c r="FD61" s="390" t="str">
        <f>IF(AND(FD$12&gt;=$E61,FD$12&lt;=$F61,MOD(FD$12,7)&gt;1,NOT(COUNTIF(General!$U$13:$U$19,FD$12))),$I61,"")</f>
        <v/>
      </c>
      <c r="FE61" s="390" t="str">
        <f>IF(AND(FE$12&gt;=$E61,FE$12&lt;=$F61,MOD(FE$12,7)&gt;1,NOT(COUNTIF(General!$U$13:$U$19,FE$12))),$I61,"")</f>
        <v/>
      </c>
      <c r="FF61" s="390" t="str">
        <f>IF(AND(FF$12&gt;=$E61,FF$12&lt;=$F61,MOD(FF$12,7)&gt;1,NOT(COUNTIF(General!$U$13:$U$19,FF$12))),$I61,"")</f>
        <v/>
      </c>
      <c r="FG61" s="390" t="str">
        <f>IF(AND(FG$12&gt;=$E61,FG$12&lt;=$F61,MOD(FG$12,7)&gt;1,NOT(COUNTIF(General!$U$13:$U$19,FG$12))),$I61,"")</f>
        <v/>
      </c>
      <c r="FH61" s="390" t="str">
        <f>IF(AND(FH$12&gt;=$E61,FH$12&lt;=$F61,MOD(FH$12,7)&gt;1,NOT(COUNTIF(General!$U$13:$U$19,FH$12))),$I61,"")</f>
        <v/>
      </c>
      <c r="FI61" s="390" t="str">
        <f>IF(AND(FI$12&gt;=$E61,FI$12&lt;=$F61,MOD(FI$12,7)&gt;1,NOT(COUNTIF(General!$U$13:$U$19,FI$12))),$I61,"")</f>
        <v/>
      </c>
      <c r="FJ61" s="390" t="str">
        <f>IF(AND(FJ$12&gt;=$E61,FJ$12&lt;=$F61,MOD(FJ$12,7)&gt;1,NOT(COUNTIF(General!$U$13:$U$19,FJ$12))),$I61,"")</f>
        <v/>
      </c>
      <c r="FK61" s="390" t="str">
        <f>IF(AND(FK$12&gt;=$E61,FK$12&lt;=$F61,MOD(FK$12,7)&gt;1,NOT(COUNTIF(General!$U$13:$U$19,FK$12))),$I61,"")</f>
        <v/>
      </c>
      <c r="FL61" s="390" t="str">
        <f>IF(AND(FL$12&gt;=$E61,FL$12&lt;=$F61,MOD(FL$12,7)&gt;1,NOT(COUNTIF(General!$U$13:$U$19,FL$12))),$I61,"")</f>
        <v/>
      </c>
      <c r="FM61" s="390" t="str">
        <f>IF(AND(FM$12&gt;=$E61,FM$12&lt;=$F61,MOD(FM$12,7)&gt;1,NOT(COUNTIF(General!$U$13:$U$19,FM$12))),$I61,"")</f>
        <v/>
      </c>
      <c r="FN61" s="390" t="str">
        <f>IF(AND(FN$12&gt;=$E61,FN$12&lt;=$F61,MOD(FN$12,7)&gt;1,NOT(COUNTIF(General!$U$13:$U$19,FN$12))),$I61,"")</f>
        <v/>
      </c>
      <c r="FO61" s="390" t="str">
        <f>IF(AND(FO$12&gt;=$E61,FO$12&lt;=$F61,MOD(FO$12,7)&gt;1,NOT(COUNTIF(General!$U$13:$U$19,FO$12))),$I61,"")</f>
        <v/>
      </c>
      <c r="FP61" s="390" t="str">
        <f>IF(AND(FP$12&gt;=$E61,FP$12&lt;=$F61,MOD(FP$12,7)&gt;1,NOT(COUNTIF(General!$U$13:$U$19,FP$12))),$I61,"")</f>
        <v/>
      </c>
      <c r="FQ61" s="390" t="str">
        <f>IF(AND(FQ$12&gt;=$E61,FQ$12&lt;=$F61,MOD(FQ$12,7)&gt;1,NOT(COUNTIF(General!$U$13:$U$19,FQ$12))),$I61,"")</f>
        <v/>
      </c>
      <c r="FR61" s="390" t="str">
        <f>IF(AND(FR$12&gt;=$E61,FR$12&lt;=$F61,MOD(FR$12,7)&gt;1,NOT(COUNTIF(General!$U$13:$U$19,FR$12))),$I61,"")</f>
        <v/>
      </c>
      <c r="FS61" s="390" t="str">
        <f>IF(AND(FS$12&gt;=$E61,FS$12&lt;=$F61,MOD(FS$12,7)&gt;1,NOT(COUNTIF(General!$U$13:$U$19,FS$12))),$I61,"")</f>
        <v/>
      </c>
      <c r="FT61" s="390" t="str">
        <f>IF(AND(FT$12&gt;=$E61,FT$12&lt;=$F61,MOD(FT$12,7)&gt;1,NOT(COUNTIF(General!$U$13:$U$19,FT$12))),$I61,"")</f>
        <v/>
      </c>
      <c r="FU61" s="390" t="str">
        <f>IF(AND(FU$12&gt;=$E61,FU$12&lt;=$F61,MOD(FU$12,7)&gt;1,NOT(COUNTIF(General!$U$13:$U$19,FU$12))),$I61,"")</f>
        <v/>
      </c>
      <c r="FV61" s="390" t="str">
        <f>IF(AND(FV$12&gt;=$E61,FV$12&lt;=$F61,MOD(FV$12,7)&gt;1,NOT(COUNTIF(General!$U$13:$U$19,FV$12))),$I61,"")</f>
        <v/>
      </c>
      <c r="FW61" s="390" t="str">
        <f>IF(AND(FW$12&gt;=$E61,FW$12&lt;=$F61,MOD(FW$12,7)&gt;1,NOT(COUNTIF(General!$U$13:$U$19,FW$12))),$I61,"")</f>
        <v/>
      </c>
      <c r="FX61" s="390" t="str">
        <f>IF(AND(FX$12&gt;=$E61,FX$12&lt;=$F61,MOD(FX$12,7)&gt;1,NOT(COUNTIF(General!$U$13:$U$19,FX$12))),$I61,"")</f>
        <v/>
      </c>
    </row>
    <row r="62" ht="16.5" customHeight="1">
      <c r="A62" s="368"/>
      <c r="B62" s="369"/>
      <c r="C62" s="370"/>
      <c r="D62" s="612"/>
      <c r="E62" s="583"/>
      <c r="F62" s="620"/>
      <c r="G62" s="375"/>
      <c r="H62" s="377"/>
      <c r="I62" s="379">
        <v>1.0</v>
      </c>
      <c r="J62" s="377"/>
      <c r="K62" s="381"/>
      <c r="L62" s="382"/>
      <c r="M62" s="383"/>
      <c r="N62" s="384"/>
      <c r="O62" s="386"/>
      <c r="P62" s="388"/>
      <c r="Q62" s="390" t="str">
        <f>IF(AND(Q$12&gt;=$E62,Q$12&lt;=$F62,MOD(Q$12,7)&gt;1,NOT(COUNTIF(General!$U$13:$U$19,Q$12))),$I62,"")</f>
        <v/>
      </c>
      <c r="R62" s="390" t="str">
        <f>IF(AND(R$12&gt;=$E62,R$12&lt;=$F62,MOD(R$12,7)&gt;1,NOT(COUNTIF(General!$U$13:$U$19,R$12))),$I62,"")</f>
        <v/>
      </c>
      <c r="S62" s="390" t="str">
        <f>IF(AND(S$12&gt;=$E62,S$12&lt;=$F62,MOD(S$12,7)&gt;1,NOT(COUNTIF(General!$U$13:$U$19,S$12))),$I62,"")</f>
        <v/>
      </c>
      <c r="T62" s="390" t="str">
        <f>IF(AND(T$12&gt;=$E62,T$12&lt;=$F62,MOD(T$12,7)&gt;1,NOT(COUNTIF(General!$U$13:$U$19,T$12))),$I62,"")</f>
        <v/>
      </c>
      <c r="U62" s="390" t="str">
        <f>IF(AND(U$12&gt;=$E62,U$12&lt;=$F62,MOD(U$12,7)&gt;1,NOT(COUNTIF(General!$U$13:$U$19,U$12))),$I62,"")</f>
        <v/>
      </c>
      <c r="V62" s="390" t="str">
        <f>IF(AND(V$12&gt;=$E62,V$12&lt;=$F62,MOD(V$12,7)&gt;1,NOT(COUNTIF(General!$U$13:$U$19,V$12))),$I62,"")</f>
        <v/>
      </c>
      <c r="W62" s="390" t="str">
        <f>IF(AND(W$12&gt;=$E62,W$12&lt;=$F62,MOD(W$12,7)&gt;1,NOT(COUNTIF(General!$U$13:$U$19,W$12))),$I62,"")</f>
        <v/>
      </c>
      <c r="X62" s="390" t="str">
        <f>IF(AND(X$12&gt;=$E62,X$12&lt;=$F62,MOD(X$12,7)&gt;1,NOT(COUNTIF(General!$U$13:$U$19,X$12))),$I62,"")</f>
        <v/>
      </c>
      <c r="Y62" s="390" t="str">
        <f>IF(AND(Y$12&gt;=$E62,Y$12&lt;=$F62,MOD(Y$12,7)&gt;1,NOT(COUNTIF(General!$U$13:$U$19,Y$12))),$I62,"")</f>
        <v/>
      </c>
      <c r="Z62" s="390" t="str">
        <f>IF(AND(Z$12&gt;=$E62,Z$12&lt;=$F62,MOD(Z$12,7)&gt;1,NOT(COUNTIF(General!$U$13:$U$19,Z$12))),$I62,"")</f>
        <v/>
      </c>
      <c r="AA62" s="390" t="str">
        <f>IF(AND(AA$12&gt;=$E62,AA$12&lt;=$F62,MOD(AA$12,7)&gt;1,NOT(COUNTIF(General!$U$13:$U$19,AA$12))),$I62,"")</f>
        <v/>
      </c>
      <c r="AB62" s="390" t="str">
        <f>IF(AND(AB$12&gt;=$E62,AB$12&lt;=$F62,MOD(AB$12,7)&gt;1,NOT(COUNTIF(General!$U$13:$U$19,AB$12))),$I62,"")</f>
        <v/>
      </c>
      <c r="AC62" s="390" t="str">
        <f>IF(AND(AC$12&gt;=$E62,AC$12&lt;=$F62,MOD(AC$12,7)&gt;1,NOT(COUNTIF(General!$U$13:$U$19,AC$12))),$I62,"")</f>
        <v/>
      </c>
      <c r="AD62" s="390" t="str">
        <f>IF(AND(AD$12&gt;=$E62,AD$12&lt;=$F62,MOD(AD$12,7)&gt;1,NOT(COUNTIF(General!$U$13:$U$19,AD$12))),$I62,"")</f>
        <v/>
      </c>
      <c r="AE62" s="390" t="str">
        <f>IF(AND(AE$12&gt;=$E62,AE$12&lt;=$F62,MOD(AE$12,7)&gt;1,NOT(COUNTIF(General!$U$13:$U$19,AE$12))),$I62,"")</f>
        <v/>
      </c>
      <c r="AF62" s="390" t="str">
        <f>IF(AND(AF$12&gt;=$E62,AF$12&lt;=$F62,MOD(AF$12,7)&gt;1,NOT(COUNTIF(General!$U$13:$U$19,AF$12))),$I62,"")</f>
        <v/>
      </c>
      <c r="AG62" s="390" t="str">
        <f>IF(AND(AG$12&gt;=$E62,AG$12&lt;=$F62,MOD(AG$12,7)&gt;1,NOT(COUNTIF(General!$U$13:$U$19,AG$12))),$I62,"")</f>
        <v/>
      </c>
      <c r="AH62" s="390" t="str">
        <f>IF(AND(AH$12&gt;=$E62,AH$12&lt;=$F62,MOD(AH$12,7)&gt;1,NOT(COUNTIF(General!$U$13:$U$19,AH$12))),$I62,"")</f>
        <v/>
      </c>
      <c r="AI62" s="390" t="str">
        <f>IF(AND(AI$12&gt;=$E62,AI$12&lt;=$F62,MOD(AI$12,7)&gt;1,NOT(COUNTIF(General!$U$13:$U$19,AI$12))),$I62,"")</f>
        <v/>
      </c>
      <c r="AJ62" s="390" t="str">
        <f>IF(AND(AJ$12&gt;=$E62,AJ$12&lt;=$F62,MOD(AJ$12,7)&gt;1,NOT(COUNTIF(General!$U$13:$U$19,AJ$12))),$I62,"")</f>
        <v/>
      </c>
      <c r="AK62" s="390" t="str">
        <f>IF(AND(AK$12&gt;=$E62,AK$12&lt;=$F62,MOD(AK$12,7)&gt;1,NOT(COUNTIF(General!$U$13:$U$19,AK$12))),$I62,"")</f>
        <v/>
      </c>
      <c r="AL62" s="390" t="str">
        <f>IF(AND(AL$12&gt;=$E62,AL$12&lt;=$F62,MOD(AL$12,7)&gt;1,NOT(COUNTIF(General!$U$13:$U$19,AL$12))),$I62,"")</f>
        <v/>
      </c>
      <c r="AM62" s="390" t="str">
        <f>IF(AND(AM$12&gt;=$E62,AM$12&lt;=$F62,MOD(AM$12,7)&gt;1,NOT(COUNTIF(General!$U$13:$U$19,AM$12))),$I62,"")</f>
        <v/>
      </c>
      <c r="AN62" s="390" t="str">
        <f>IF(AND(AN$12&gt;=$E62,AN$12&lt;=$F62,MOD(AN$12,7)&gt;1,NOT(COUNTIF(General!$U$13:$U$19,AN$12))),$I62,"")</f>
        <v/>
      </c>
      <c r="AO62" s="390" t="str">
        <f>IF(AND(AO$12&gt;=$E62,AO$12&lt;=$F62,MOD(AO$12,7)&gt;1,NOT(COUNTIF(General!$U$13:$U$19,AO$12))),$I62,"")</f>
        <v/>
      </c>
      <c r="AP62" s="390" t="str">
        <f>IF(AND(AP$12&gt;=$E62,AP$12&lt;=$F62,MOD(AP$12,7)&gt;1,NOT(COUNTIF(General!$U$13:$U$19,AP$12))),$I62,"")</f>
        <v/>
      </c>
      <c r="AQ62" s="390" t="str">
        <f>IF(AND(AQ$12&gt;=$E62,AQ$12&lt;=$F62,MOD(AQ$12,7)&gt;1,NOT(COUNTIF(General!$U$13:$U$19,AQ$12))),$I62,"")</f>
        <v/>
      </c>
      <c r="AR62" s="390" t="str">
        <f>IF(AND(AR$12&gt;=$E62,AR$12&lt;=$F62,MOD(AR$12,7)&gt;1,NOT(COUNTIF(General!$U$13:$U$19,AR$12))),$I62,"")</f>
        <v/>
      </c>
      <c r="AS62" s="390" t="str">
        <f>IF(AND(AS$12&gt;=$E62,AS$12&lt;=$F62,MOD(AS$12,7)&gt;1,NOT(COUNTIF(General!$U$13:$U$19,AS$12))),$I62,"")</f>
        <v/>
      </c>
      <c r="AT62" s="390" t="str">
        <f>IF(AND(AT$12&gt;=$E62,AT$12&lt;=$F62,MOD(AT$12,7)&gt;1,NOT(COUNTIF(General!$U$13:$U$19,AT$12))),$I62,"")</f>
        <v/>
      </c>
      <c r="AU62" s="390" t="str">
        <f>IF(AND(AU$12&gt;=$E62,AU$12&lt;=$F62,MOD(AU$12,7)&gt;1,NOT(COUNTIF(General!$U$13:$U$19,AU$12))),$I62,"")</f>
        <v/>
      </c>
      <c r="AV62" s="390" t="str">
        <f>IF(AND(AV$12&gt;=$E62,AV$12&lt;=$F62,MOD(AV$12,7)&gt;1,NOT(COUNTIF(General!$U$13:$U$19,AV$12))),$I62,"")</f>
        <v/>
      </c>
      <c r="AW62" s="390" t="str">
        <f>IF(AND(AW$12&gt;=$E62,AW$12&lt;=$F62,MOD(AW$12,7)&gt;1,NOT(COUNTIF(General!$U$13:$U$19,AW$12))),$I62,"")</f>
        <v/>
      </c>
      <c r="AX62" s="390" t="str">
        <f>IF(AND(AX$12&gt;=$E62,AX$12&lt;=$F62,MOD(AX$12,7)&gt;1,NOT(COUNTIF(General!$U$13:$U$19,AX$12))),$I62,"")</f>
        <v/>
      </c>
      <c r="AY62" s="390" t="str">
        <f>IF(AND(AY$12&gt;=$E62,AY$12&lt;=$F62,MOD(AY$12,7)&gt;1,NOT(COUNTIF(General!$U$13:$U$19,AY$12))),$I62,"")</f>
        <v/>
      </c>
      <c r="AZ62" s="390" t="str">
        <f>IF(AND(AZ$12&gt;=$E62,AZ$12&lt;=$F62,MOD(AZ$12,7)&gt;1,NOT(COUNTIF(General!$U$13:$U$19,AZ$12))),$I62,"")</f>
        <v/>
      </c>
      <c r="BA62" s="390" t="str">
        <f>IF(AND(BA$12&gt;=$E62,BA$12&lt;=$F62,MOD(BA$12,7)&gt;1,NOT(COUNTIF(General!$U$13:$U$19,BA$12))),$I62,"")</f>
        <v/>
      </c>
      <c r="BB62" s="390" t="str">
        <f>IF(AND(BB$12&gt;=$E62,BB$12&lt;=$F62,MOD(BB$12,7)&gt;1,NOT(COUNTIF(General!$U$13:$U$19,BB$12))),$I62,"")</f>
        <v/>
      </c>
      <c r="BC62" s="390" t="str">
        <f>IF(AND(BC$12&gt;=$E62,BC$12&lt;=$F62,MOD(BC$12,7)&gt;1,NOT(COUNTIF(General!$U$13:$U$19,BC$12))),$I62,"")</f>
        <v/>
      </c>
      <c r="BD62" s="390" t="str">
        <f>IF(AND(BD$12&gt;=$E62,BD$12&lt;=$F62,MOD(BD$12,7)&gt;1,NOT(COUNTIF(General!$U$13:$U$19,BD$12))),$I62,"")</f>
        <v/>
      </c>
      <c r="BE62" s="390" t="str">
        <f>IF(AND(BE$12&gt;=$E62,BE$12&lt;=$F62,MOD(BE$12,7)&gt;1,NOT(COUNTIF(General!$U$13:$U$19,BE$12))),$I62,"")</f>
        <v/>
      </c>
      <c r="BF62" s="390" t="str">
        <f>IF(AND(BF$12&gt;=$E62,BF$12&lt;=$F62,MOD(BF$12,7)&gt;1,NOT(COUNTIF(General!$U$13:$U$19,BF$12))),$I62,"")</f>
        <v/>
      </c>
      <c r="BG62" s="390" t="str">
        <f>IF(AND(BG$12&gt;=$E62,BG$12&lt;=$F62,MOD(BG$12,7)&gt;1,NOT(COUNTIF(General!$U$13:$U$19,BG$12))),$I62,"")</f>
        <v/>
      </c>
      <c r="BH62" s="390" t="str">
        <f>IF(AND(BH$12&gt;=$E62,BH$12&lt;=$F62,MOD(BH$12,7)&gt;1,NOT(COUNTIF(General!$U$13:$U$19,BH$12))),$I62,"")</f>
        <v/>
      </c>
      <c r="BI62" s="390" t="str">
        <f>IF(AND(BI$12&gt;=$E62,BI$12&lt;=$F62,MOD(BI$12,7)&gt;1,NOT(COUNTIF(General!$U$13:$U$19,BI$12))),$I62,"")</f>
        <v/>
      </c>
      <c r="BJ62" s="390" t="str">
        <f>IF(AND(BJ$12&gt;=$E62,BJ$12&lt;=$F62,MOD(BJ$12,7)&gt;1,NOT(COUNTIF(General!$U$13:$U$19,BJ$12))),$I62,"")</f>
        <v/>
      </c>
      <c r="BK62" s="390" t="str">
        <f>IF(AND(BK$12&gt;=$E62,BK$12&lt;=$F62,MOD(BK$12,7)&gt;1,NOT(COUNTIF(General!$U$13:$U$19,BK$12))),$I62,"")</f>
        <v/>
      </c>
      <c r="BL62" s="390" t="str">
        <f>IF(AND(BL$12&gt;=$E62,BL$12&lt;=$F62,MOD(BL$12,7)&gt;1,NOT(COUNTIF(General!$U$13:$U$19,BL$12))),$I62,"")</f>
        <v/>
      </c>
      <c r="BM62" s="390" t="str">
        <f>IF(AND(BM$12&gt;=$E62,BM$12&lt;=$F62,MOD(BM$12,7)&gt;1,NOT(COUNTIF(General!$U$13:$U$19,BM$12))),$I62,"")</f>
        <v/>
      </c>
      <c r="BN62" s="390" t="str">
        <f>IF(AND(BN$12&gt;=$E62,BN$12&lt;=$F62,MOD(BN$12,7)&gt;1,NOT(COUNTIF(General!$U$13:$U$19,BN$12))),$I62,"")</f>
        <v/>
      </c>
      <c r="BO62" s="390" t="str">
        <f>IF(AND(BO$12&gt;=$E62,BO$12&lt;=$F62,MOD(BO$12,7)&gt;1,NOT(COUNTIF(General!$U$13:$U$19,BO$12))),$I62,"")</f>
        <v/>
      </c>
      <c r="BP62" s="390" t="str">
        <f>IF(AND(BP$12&gt;=$E62,BP$12&lt;=$F62,MOD(BP$12,7)&gt;1,NOT(COUNTIF(General!$U$13:$U$19,BP$12))),$I62,"")</f>
        <v/>
      </c>
      <c r="BQ62" s="390" t="str">
        <f>IF(AND(BQ$12&gt;=$E62,BQ$12&lt;=$F62,MOD(BQ$12,7)&gt;1,NOT(COUNTIF(General!$U$13:$U$19,BQ$12))),$I62,"")</f>
        <v/>
      </c>
      <c r="BR62" s="390" t="str">
        <f>IF(AND(BR$12&gt;=$E62,BR$12&lt;=$F62,MOD(BR$12,7)&gt;1,NOT(COUNTIF(General!$U$13:$U$19,BR$12))),$I62,"")</f>
        <v/>
      </c>
      <c r="BS62" s="390" t="str">
        <f>IF(AND(BS$12&gt;=$E62,BS$12&lt;=$F62,MOD(BS$12,7)&gt;1,NOT(COUNTIF(General!$U$13:$U$19,BS$12))),$I62,"")</f>
        <v/>
      </c>
      <c r="BT62" s="390" t="str">
        <f>IF(AND(BT$12&gt;=$E62,BT$12&lt;=$F62,MOD(BT$12,7)&gt;1,NOT(COUNTIF(General!$U$13:$U$19,BT$12))),$I62,"")</f>
        <v/>
      </c>
      <c r="BU62" s="390" t="str">
        <f>IF(AND(BU$12&gt;=$E62,BU$12&lt;=$F62,MOD(BU$12,7)&gt;1,NOT(COUNTIF(General!$U$13:$U$19,BU$12))),$I62,"")</f>
        <v/>
      </c>
      <c r="BV62" s="390" t="str">
        <f>IF(AND(BV$12&gt;=$E62,BV$12&lt;=$F62,MOD(BV$12,7)&gt;1,NOT(COUNTIF(General!$U$13:$U$19,BV$12))),$I62,"")</f>
        <v/>
      </c>
      <c r="BW62" s="390" t="str">
        <f>IF(AND(BW$12&gt;=$E62,BW$12&lt;=$F62,MOD(BW$12,7)&gt;1,NOT(COUNTIF(General!$U$13:$U$19,BW$12))),$I62,"")</f>
        <v/>
      </c>
      <c r="BX62" s="390" t="str">
        <f>IF(AND(BX$12&gt;=$E62,BX$12&lt;=$F62,MOD(BX$12,7)&gt;1,NOT(COUNTIF(General!$U$13:$U$19,BX$12))),$I62,"")</f>
        <v/>
      </c>
      <c r="BY62" s="390" t="str">
        <f>IF(AND(BY$12&gt;=$E62,BY$12&lt;=$F62,MOD(BY$12,7)&gt;1,NOT(COUNTIF(General!$U$13:$U$19,BY$12))),$I62,"")</f>
        <v/>
      </c>
      <c r="BZ62" s="390" t="str">
        <f>IF(AND(BZ$12&gt;=$E62,BZ$12&lt;=$F62,MOD(BZ$12,7)&gt;1,NOT(COUNTIF(General!$U$13:$U$19,BZ$12))),$I62,"")</f>
        <v/>
      </c>
      <c r="CA62" s="390" t="str">
        <f>IF(AND(CA$12&gt;=$E62,CA$12&lt;=$F62,MOD(CA$12,7)&gt;1,NOT(COUNTIF(General!$U$13:$U$19,CA$12))),$I62,"")</f>
        <v/>
      </c>
      <c r="CB62" s="390" t="str">
        <f>IF(AND(CB$12&gt;=$E62,CB$12&lt;=$F62,MOD(CB$12,7)&gt;1,NOT(COUNTIF(General!$U$13:$U$19,CB$12))),$I62,"")</f>
        <v/>
      </c>
      <c r="CC62" s="390" t="str">
        <f>IF(AND(CC$12&gt;=$E62,CC$12&lt;=$F62,MOD(CC$12,7)&gt;1,NOT(COUNTIF(General!$U$13:$U$19,CC$12))),$I62,"")</f>
        <v/>
      </c>
      <c r="CD62" s="390" t="str">
        <f>IF(AND(CD$12&gt;=$E62,CD$12&lt;=$F62,MOD(CD$12,7)&gt;1,NOT(COUNTIF(General!$U$13:$U$19,CD$12))),$I62,"")</f>
        <v/>
      </c>
      <c r="CE62" s="390" t="str">
        <f>IF(AND(CE$12&gt;=$E62,CE$12&lt;=$F62,MOD(CE$12,7)&gt;1,NOT(COUNTIF(General!$U$13:$U$19,CE$12))),$I62,"")</f>
        <v/>
      </c>
      <c r="CF62" s="390" t="str">
        <f>IF(AND(CF$12&gt;=$E62,CF$12&lt;=$F62,MOD(CF$12,7)&gt;1,NOT(COUNTIF(General!$U$13:$U$19,CF$12))),$I62,"")</f>
        <v/>
      </c>
      <c r="CG62" s="390" t="str">
        <f>IF(AND(CG$12&gt;=$E62,CG$12&lt;=$F62,MOD(CG$12,7)&gt;1,NOT(COUNTIF(General!$U$13:$U$19,CG$12))),$I62,"")</f>
        <v/>
      </c>
      <c r="CH62" s="390" t="str">
        <f>IF(AND(CH$12&gt;=$E62,CH$12&lt;=$F62,MOD(CH$12,7)&gt;1,NOT(COUNTIF(General!$U$13:$U$19,CH$12))),$I62,"")</f>
        <v/>
      </c>
      <c r="CI62" s="390" t="str">
        <f>IF(AND(CI$12&gt;=$E62,CI$12&lt;=$F62,MOD(CI$12,7)&gt;1,NOT(COUNTIF(General!$U$13:$U$19,CI$12))),$I62,"")</f>
        <v/>
      </c>
      <c r="CJ62" s="390" t="str">
        <f>IF(AND(CJ$12&gt;=$E62,CJ$12&lt;=$F62,MOD(CJ$12,7)&gt;1,NOT(COUNTIF(General!$U$13:$U$19,CJ$12))),$I62,"")</f>
        <v/>
      </c>
      <c r="CK62" s="390" t="str">
        <f>IF(AND(CK$12&gt;=$E62,CK$12&lt;=$F62,MOD(CK$12,7)&gt;1,NOT(COUNTIF(General!$U$13:$U$19,CK$12))),$I62,"")</f>
        <v/>
      </c>
      <c r="CL62" s="390" t="str">
        <f>IF(AND(CL$12&gt;=$E62,CL$12&lt;=$F62,MOD(CL$12,7)&gt;1,NOT(COUNTIF(General!$U$13:$U$19,CL$12))),$I62,"")</f>
        <v/>
      </c>
      <c r="CM62" s="390" t="str">
        <f>IF(AND(CM$12&gt;=$E62,CM$12&lt;=$F62,MOD(CM$12,7)&gt;1,NOT(COUNTIF(General!$U$13:$U$19,CM$12))),$I62,"")</f>
        <v/>
      </c>
      <c r="CN62" s="390" t="str">
        <f>IF(AND(CN$12&gt;=$E62,CN$12&lt;=$F62,MOD(CN$12,7)&gt;1,NOT(COUNTIF(General!$U$13:$U$19,CN$12))),$I62,"")</f>
        <v/>
      </c>
      <c r="CO62" s="390" t="str">
        <f>IF(AND(CO$12&gt;=$E62,CO$12&lt;=$F62,MOD(CO$12,7)&gt;1,NOT(COUNTIF(General!$U$13:$U$19,CO$12))),$I62,"")</f>
        <v/>
      </c>
      <c r="CP62" s="390" t="str">
        <f>IF(AND(CP$12&gt;=$E62,CP$12&lt;=$F62,MOD(CP$12,7)&gt;1,NOT(COUNTIF(General!$U$13:$U$19,CP$12))),$I62,"")</f>
        <v/>
      </c>
      <c r="CQ62" s="390" t="str">
        <f>IF(AND(CQ$12&gt;=$E62,CQ$12&lt;=$F62,MOD(CQ$12,7)&gt;1,NOT(COUNTIF(General!$U$13:$U$19,CQ$12))),$I62,"")</f>
        <v/>
      </c>
      <c r="CR62" s="390" t="str">
        <f>IF(AND(CR$12&gt;=$E62,CR$12&lt;=$F62,MOD(CR$12,7)&gt;1,NOT(COUNTIF(General!$U$13:$U$19,CR$12))),$I62,"")</f>
        <v/>
      </c>
      <c r="CS62" s="390" t="str">
        <f>IF(AND(CS$12&gt;=$E62,CS$12&lt;=$F62,MOD(CS$12,7)&gt;1,NOT(COUNTIF(General!$U$13:$U$19,CS$12))),$I62,"")</f>
        <v/>
      </c>
      <c r="CT62" s="390" t="str">
        <f>IF(AND(CT$12&gt;=$E62,CT$12&lt;=$F62,MOD(CT$12,7)&gt;1,NOT(COUNTIF(General!$U$13:$U$19,CT$12))),$I62,"")</f>
        <v/>
      </c>
      <c r="CU62" s="390" t="str">
        <f>IF(AND(CU$12&gt;=$E62,CU$12&lt;=$F62,MOD(CU$12,7)&gt;1,NOT(COUNTIF(General!$U$13:$U$19,CU$12))),$I62,"")</f>
        <v/>
      </c>
      <c r="CV62" s="390" t="str">
        <f>IF(AND(CV$12&gt;=$E62,CV$12&lt;=$F62,MOD(CV$12,7)&gt;1,NOT(COUNTIF(General!$U$13:$U$19,CV$12))),$I62,"")</f>
        <v/>
      </c>
      <c r="CW62" s="390" t="str">
        <f>IF(AND(CW$12&gt;=$E62,CW$12&lt;=$F62,MOD(CW$12,7)&gt;1,NOT(COUNTIF(General!$U$13:$U$19,CW$12))),$I62,"")</f>
        <v/>
      </c>
      <c r="CX62" s="390" t="str">
        <f>IF(AND(CX$12&gt;=$E62,CX$12&lt;=$F62,MOD(CX$12,7)&gt;1,NOT(COUNTIF(General!$U$13:$U$19,CX$12))),$I62,"")</f>
        <v/>
      </c>
      <c r="CY62" s="390" t="str">
        <f>IF(AND(CY$12&gt;=$E62,CY$12&lt;=$F62,MOD(CY$12,7)&gt;1,NOT(COUNTIF(General!$U$13:$U$19,CY$12))),$I62,"")</f>
        <v/>
      </c>
      <c r="CZ62" s="390" t="str">
        <f>IF(AND(CZ$12&gt;=$E62,CZ$12&lt;=$F62,MOD(CZ$12,7)&gt;1,NOT(COUNTIF(General!$U$13:$U$19,CZ$12))),$I62,"")</f>
        <v/>
      </c>
      <c r="DA62" s="390" t="str">
        <f>IF(AND(DA$12&gt;=$E62,DA$12&lt;=$F62,MOD(DA$12,7)&gt;1,NOT(COUNTIF(General!$U$13:$U$19,DA$12))),$I62,"")</f>
        <v/>
      </c>
      <c r="DB62" s="390" t="str">
        <f>IF(AND(DB$12&gt;=$E62,DB$12&lt;=$F62,MOD(DB$12,7)&gt;1,NOT(COUNTIF(General!$U$13:$U$19,DB$12))),$I62,"")</f>
        <v/>
      </c>
      <c r="DC62" s="390" t="str">
        <f>IF(AND(DC$12&gt;=$E62,DC$12&lt;=$F62,MOD(DC$12,7)&gt;1,NOT(COUNTIF(General!$U$13:$U$19,DC$12))),$I62,"")</f>
        <v/>
      </c>
      <c r="DD62" s="390" t="str">
        <f>IF(AND(DD$12&gt;=$E62,DD$12&lt;=$F62,MOD(DD$12,7)&gt;1,NOT(COUNTIF(General!$U$13:$U$19,DD$12))),$I62,"")</f>
        <v/>
      </c>
      <c r="DE62" s="390" t="str">
        <f>IF(AND(DE$12&gt;=$E62,DE$12&lt;=$F62,MOD(DE$12,7)&gt;1,NOT(COUNTIF(General!$U$13:$U$19,DE$12))),$I62,"")</f>
        <v/>
      </c>
      <c r="DF62" s="390" t="str">
        <f>IF(AND(DF$12&gt;=$E62,DF$12&lt;=$F62,MOD(DF$12,7)&gt;1,NOT(COUNTIF(General!$U$13:$U$19,DF$12))),$I62,"")</f>
        <v/>
      </c>
      <c r="DG62" s="390" t="str">
        <f>IF(AND(DG$12&gt;=$E62,DG$12&lt;=$F62,MOD(DG$12,7)&gt;1,NOT(COUNTIF(General!$U$13:$U$19,DG$12))),$I62,"")</f>
        <v/>
      </c>
      <c r="DH62" s="390" t="str">
        <f>IF(AND(DH$12&gt;=$E62,DH$12&lt;=$F62,MOD(DH$12,7)&gt;1,NOT(COUNTIF(General!$U$13:$U$19,DH$12))),$I62,"")</f>
        <v/>
      </c>
      <c r="DI62" s="390" t="str">
        <f>IF(AND(DI$12&gt;=$E62,DI$12&lt;=$F62,MOD(DI$12,7)&gt;1,NOT(COUNTIF(General!$U$13:$U$19,DI$12))),$I62,"")</f>
        <v/>
      </c>
      <c r="DJ62" s="390" t="str">
        <f>IF(AND(DJ$12&gt;=$E62,DJ$12&lt;=$F62,MOD(DJ$12,7)&gt;1,NOT(COUNTIF(General!$U$13:$U$19,DJ$12))),$I62,"")</f>
        <v/>
      </c>
      <c r="DK62" s="390" t="str">
        <f>IF(AND(DK$12&gt;=$E62,DK$12&lt;=$F62,MOD(DK$12,7)&gt;1,NOT(COUNTIF(General!$U$13:$U$19,DK$12))),$I62,"")</f>
        <v/>
      </c>
      <c r="DL62" s="390" t="str">
        <f>IF(AND(DL$12&gt;=$E62,DL$12&lt;=$F62,MOD(DL$12,7)&gt;1,NOT(COUNTIF(General!$U$13:$U$19,DL$12))),$I62,"")</f>
        <v/>
      </c>
      <c r="DM62" s="390" t="str">
        <f>IF(AND(DM$12&gt;=$E62,DM$12&lt;=$F62,MOD(DM$12,7)&gt;1,NOT(COUNTIF(General!$U$13:$U$19,DM$12))),$I62,"")</f>
        <v/>
      </c>
      <c r="DN62" s="390" t="str">
        <f>IF(AND(DN$12&gt;=$E62,DN$12&lt;=$F62,MOD(DN$12,7)&gt;1,NOT(COUNTIF(General!$U$13:$U$19,DN$12))),$I62,"")</f>
        <v/>
      </c>
      <c r="DO62" s="390" t="str">
        <f>IF(AND(DO$12&gt;=$E62,DO$12&lt;=$F62,MOD(DO$12,7)&gt;1,NOT(COUNTIF(General!$U$13:$U$19,DO$12))),$I62,"")</f>
        <v/>
      </c>
      <c r="DP62" s="390" t="str">
        <f>IF(AND(DP$12&gt;=$E62,DP$12&lt;=$F62,MOD(DP$12,7)&gt;1,NOT(COUNTIF(General!$U$13:$U$19,DP$12))),$I62,"")</f>
        <v/>
      </c>
      <c r="DQ62" s="390" t="str">
        <f>IF(AND(DQ$12&gt;=$E62,DQ$12&lt;=$F62,MOD(DQ$12,7)&gt;1,NOT(COUNTIF(General!$U$13:$U$19,DQ$12))),$I62,"")</f>
        <v/>
      </c>
      <c r="DR62" s="390" t="str">
        <f>IF(AND(DR$12&gt;=$E62,DR$12&lt;=$F62,MOD(DR$12,7)&gt;1,NOT(COUNTIF(General!$U$13:$U$19,DR$12))),$I62,"")</f>
        <v/>
      </c>
      <c r="DS62" s="390" t="str">
        <f>IF(AND(DS$12&gt;=$E62,DS$12&lt;=$F62,MOD(DS$12,7)&gt;1,NOT(COUNTIF(General!$U$13:$U$19,DS$12))),$I62,"")</f>
        <v/>
      </c>
      <c r="DT62" s="390" t="str">
        <f>IF(AND(DT$12&gt;=$E62,DT$12&lt;=$F62,MOD(DT$12,7)&gt;1,NOT(COUNTIF(General!$U$13:$U$19,DT$12))),$I62,"")</f>
        <v/>
      </c>
      <c r="DU62" s="390" t="str">
        <f>IF(AND(DU$12&gt;=$E62,DU$12&lt;=$F62,MOD(DU$12,7)&gt;1,NOT(COUNTIF(General!$U$13:$U$19,DU$12))),$I62,"")</f>
        <v/>
      </c>
      <c r="DV62" s="390" t="str">
        <f>IF(AND(DV$12&gt;=$E62,DV$12&lt;=$F62,MOD(DV$12,7)&gt;1,NOT(COUNTIF(General!$U$13:$U$19,DV$12))),$I62,"")</f>
        <v/>
      </c>
      <c r="DW62" s="390" t="str">
        <f>IF(AND(DW$12&gt;=$E62,DW$12&lt;=$F62,MOD(DW$12,7)&gt;1,NOT(COUNTIF(General!$U$13:$U$19,DW$12))),$I62,"")</f>
        <v/>
      </c>
      <c r="DX62" s="390" t="str">
        <f>IF(AND(DX$12&gt;=$E62,DX$12&lt;=$F62,MOD(DX$12,7)&gt;1,NOT(COUNTIF(General!$U$13:$U$19,DX$12))),$I62,"")</f>
        <v/>
      </c>
      <c r="DY62" s="390" t="str">
        <f>IF(AND(DY$12&gt;=$E62,DY$12&lt;=$F62,MOD(DY$12,7)&gt;1,NOT(COUNTIF(General!$U$13:$U$19,DY$12))),$I62,"")</f>
        <v/>
      </c>
      <c r="DZ62" s="390" t="str">
        <f>IF(AND(DZ$12&gt;=$E62,DZ$12&lt;=$F62,MOD(DZ$12,7)&gt;1,NOT(COUNTIF(General!$U$13:$U$19,DZ$12))),$I62,"")</f>
        <v/>
      </c>
      <c r="EA62" s="390" t="str">
        <f>IF(AND(EA$12&gt;=$E62,EA$12&lt;=$F62,MOD(EA$12,7)&gt;1,NOT(COUNTIF(General!$U$13:$U$19,EA$12))),$I62,"")</f>
        <v/>
      </c>
      <c r="EB62" s="390" t="str">
        <f>IF(AND(EB$12&gt;=$E62,EB$12&lt;=$F62,MOD(EB$12,7)&gt;1,NOT(COUNTIF(General!$U$13:$U$19,EB$12))),$I62,"")</f>
        <v/>
      </c>
      <c r="EC62" s="390" t="str">
        <f>IF(AND(EC$12&gt;=$E62,EC$12&lt;=$F62,MOD(EC$12,7)&gt;1,NOT(COUNTIF(General!$U$13:$U$19,EC$12))),$I62,"")</f>
        <v/>
      </c>
      <c r="ED62" s="390" t="str">
        <f>IF(AND(ED$12&gt;=$E62,ED$12&lt;=$F62,MOD(ED$12,7)&gt;1,NOT(COUNTIF(General!$U$13:$U$19,ED$12))),$I62,"")</f>
        <v/>
      </c>
      <c r="EE62" s="390" t="str">
        <f>IF(AND(EE$12&gt;=$E62,EE$12&lt;=$F62,MOD(EE$12,7)&gt;1,NOT(COUNTIF(General!$U$13:$U$19,EE$12))),$I62,"")</f>
        <v/>
      </c>
      <c r="EF62" s="390" t="str">
        <f>IF(AND(EF$12&gt;=$E62,EF$12&lt;=$F62,MOD(EF$12,7)&gt;1,NOT(COUNTIF(General!$U$13:$U$19,EF$12))),$I62,"")</f>
        <v/>
      </c>
      <c r="EG62" s="390" t="str">
        <f>IF(AND(EG$12&gt;=$E62,EG$12&lt;=$F62,MOD(EG$12,7)&gt;1,NOT(COUNTIF(General!$U$13:$U$19,EG$12))),$I62,"")</f>
        <v/>
      </c>
      <c r="EH62" s="390" t="str">
        <f>IF(AND(EH$12&gt;=$E62,EH$12&lt;=$F62,MOD(EH$12,7)&gt;1,NOT(COUNTIF(General!$U$13:$U$19,EH$12))),$I62,"")</f>
        <v/>
      </c>
      <c r="EI62" s="390" t="str">
        <f>IF(AND(EI$12&gt;=$E62,EI$12&lt;=$F62,MOD(EI$12,7)&gt;1,NOT(COUNTIF(General!$U$13:$U$19,EI$12))),$I62,"")</f>
        <v/>
      </c>
      <c r="EJ62" s="390" t="str">
        <f>IF(AND(EJ$12&gt;=$E62,EJ$12&lt;=$F62,MOD(EJ$12,7)&gt;1,NOT(COUNTIF(General!$U$13:$U$19,EJ$12))),$I62,"")</f>
        <v/>
      </c>
      <c r="EK62" s="390" t="str">
        <f>IF(AND(EK$12&gt;=$E62,EK$12&lt;=$F62,MOD(EK$12,7)&gt;1,NOT(COUNTIF(General!$U$13:$U$19,EK$12))),$I62,"")</f>
        <v/>
      </c>
      <c r="EL62" s="390" t="str">
        <f>IF(AND(EL$12&gt;=$E62,EL$12&lt;=$F62,MOD(EL$12,7)&gt;1,NOT(COUNTIF(General!$U$13:$U$19,EL$12))),$I62,"")</f>
        <v/>
      </c>
      <c r="EM62" s="390" t="str">
        <f>IF(AND(EM$12&gt;=$E62,EM$12&lt;=$F62,MOD(EM$12,7)&gt;1,NOT(COUNTIF(General!$U$13:$U$19,EM$12))),$I62,"")</f>
        <v/>
      </c>
      <c r="EN62" s="390" t="str">
        <f>IF(AND(EN$12&gt;=$E62,EN$12&lt;=$F62,MOD(EN$12,7)&gt;1,NOT(COUNTIF(General!$U$13:$U$19,EN$12))),$I62,"")</f>
        <v/>
      </c>
      <c r="EO62" s="390" t="str">
        <f>IF(AND(EO$12&gt;=$E62,EO$12&lt;=$F62,MOD(EO$12,7)&gt;1,NOT(COUNTIF(General!$U$13:$U$19,EO$12))),$I62,"")</f>
        <v/>
      </c>
      <c r="EP62" s="390" t="str">
        <f>IF(AND(EP$12&gt;=$E62,EP$12&lt;=$F62,MOD(EP$12,7)&gt;1,NOT(COUNTIF(General!$U$13:$U$19,EP$12))),$I62,"")</f>
        <v/>
      </c>
      <c r="EQ62" s="390" t="str">
        <f>IF(AND(EQ$12&gt;=$E62,EQ$12&lt;=$F62,MOD(EQ$12,7)&gt;1,NOT(COUNTIF(General!$U$13:$U$19,EQ$12))),$I62,"")</f>
        <v/>
      </c>
      <c r="ER62" s="390" t="str">
        <f>IF(AND(ER$12&gt;=$E62,ER$12&lt;=$F62,MOD(ER$12,7)&gt;1,NOT(COUNTIF(General!$U$13:$U$19,ER$12))),$I62,"")</f>
        <v/>
      </c>
      <c r="ES62" s="390" t="str">
        <f>IF(AND(ES$12&gt;=$E62,ES$12&lt;=$F62,MOD(ES$12,7)&gt;1,NOT(COUNTIF(General!$U$13:$U$19,ES$12))),$I62,"")</f>
        <v/>
      </c>
      <c r="ET62" s="390" t="str">
        <f>IF(AND(ET$12&gt;=$E62,ET$12&lt;=$F62,MOD(ET$12,7)&gt;1,NOT(COUNTIF(General!$U$13:$U$19,ET$12))),$I62,"")</f>
        <v/>
      </c>
      <c r="EU62" s="390" t="str">
        <f>IF(AND(EU$12&gt;=$E62,EU$12&lt;=$F62,MOD(EU$12,7)&gt;1,NOT(COUNTIF(General!$U$13:$U$19,EU$12))),$I62,"")</f>
        <v/>
      </c>
      <c r="EV62" s="390" t="str">
        <f>IF(AND(EV$12&gt;=$E62,EV$12&lt;=$F62,MOD(EV$12,7)&gt;1,NOT(COUNTIF(General!$U$13:$U$19,EV$12))),$I62,"")</f>
        <v/>
      </c>
      <c r="EW62" s="390" t="str">
        <f>IF(AND(EW$12&gt;=$E62,EW$12&lt;=$F62,MOD(EW$12,7)&gt;1,NOT(COUNTIF(General!$U$13:$U$19,EW$12))),$I62,"")</f>
        <v/>
      </c>
      <c r="EX62" s="390" t="str">
        <f>IF(AND(EX$12&gt;=$E62,EX$12&lt;=$F62,MOD(EX$12,7)&gt;1,NOT(COUNTIF(General!$U$13:$U$19,EX$12))),$I62,"")</f>
        <v/>
      </c>
      <c r="EY62" s="390" t="str">
        <f>IF(AND(EY$12&gt;=$E62,EY$12&lt;=$F62,MOD(EY$12,7)&gt;1,NOT(COUNTIF(General!$U$13:$U$19,EY$12))),$I62,"")</f>
        <v/>
      </c>
      <c r="EZ62" s="390" t="str">
        <f>IF(AND(EZ$12&gt;=$E62,EZ$12&lt;=$F62,MOD(EZ$12,7)&gt;1,NOT(COUNTIF(General!$U$13:$U$19,EZ$12))),$I62,"")</f>
        <v/>
      </c>
      <c r="FA62" s="390" t="str">
        <f>IF(AND(FA$12&gt;=$E62,FA$12&lt;=$F62,MOD(FA$12,7)&gt;1,NOT(COUNTIF(General!$U$13:$U$19,FA$12))),$I62,"")</f>
        <v/>
      </c>
      <c r="FB62" s="390" t="str">
        <f>IF(AND(FB$12&gt;=$E62,FB$12&lt;=$F62,MOD(FB$12,7)&gt;1,NOT(COUNTIF(General!$U$13:$U$19,FB$12))),$I62,"")</f>
        <v/>
      </c>
      <c r="FC62" s="390" t="str">
        <f>IF(AND(FC$12&gt;=$E62,FC$12&lt;=$F62,MOD(FC$12,7)&gt;1,NOT(COUNTIF(General!$U$13:$U$19,FC$12))),$I62,"")</f>
        <v/>
      </c>
      <c r="FD62" s="390" t="str">
        <f>IF(AND(FD$12&gt;=$E62,FD$12&lt;=$F62,MOD(FD$12,7)&gt;1,NOT(COUNTIF(General!$U$13:$U$19,FD$12))),$I62,"")</f>
        <v/>
      </c>
      <c r="FE62" s="390" t="str">
        <f>IF(AND(FE$12&gt;=$E62,FE$12&lt;=$F62,MOD(FE$12,7)&gt;1,NOT(COUNTIF(General!$U$13:$U$19,FE$12))),$I62,"")</f>
        <v/>
      </c>
      <c r="FF62" s="390" t="str">
        <f>IF(AND(FF$12&gt;=$E62,FF$12&lt;=$F62,MOD(FF$12,7)&gt;1,NOT(COUNTIF(General!$U$13:$U$19,FF$12))),$I62,"")</f>
        <v/>
      </c>
      <c r="FG62" s="390" t="str">
        <f>IF(AND(FG$12&gt;=$E62,FG$12&lt;=$F62,MOD(FG$12,7)&gt;1,NOT(COUNTIF(General!$U$13:$U$19,FG$12))),$I62,"")</f>
        <v/>
      </c>
      <c r="FH62" s="390" t="str">
        <f>IF(AND(FH$12&gt;=$E62,FH$12&lt;=$F62,MOD(FH$12,7)&gt;1,NOT(COUNTIF(General!$U$13:$U$19,FH$12))),$I62,"")</f>
        <v/>
      </c>
      <c r="FI62" s="390" t="str">
        <f>IF(AND(FI$12&gt;=$E62,FI$12&lt;=$F62,MOD(FI$12,7)&gt;1,NOT(COUNTIF(General!$U$13:$U$19,FI$12))),$I62,"")</f>
        <v/>
      </c>
      <c r="FJ62" s="390" t="str">
        <f>IF(AND(FJ$12&gt;=$E62,FJ$12&lt;=$F62,MOD(FJ$12,7)&gt;1,NOT(COUNTIF(General!$U$13:$U$19,FJ$12))),$I62,"")</f>
        <v/>
      </c>
      <c r="FK62" s="390" t="str">
        <f>IF(AND(FK$12&gt;=$E62,FK$12&lt;=$F62,MOD(FK$12,7)&gt;1,NOT(COUNTIF(General!$U$13:$U$19,FK$12))),$I62,"")</f>
        <v/>
      </c>
      <c r="FL62" s="390" t="str">
        <f>IF(AND(FL$12&gt;=$E62,FL$12&lt;=$F62,MOD(FL$12,7)&gt;1,NOT(COUNTIF(General!$U$13:$U$19,FL$12))),$I62,"")</f>
        <v/>
      </c>
      <c r="FM62" s="390" t="str">
        <f>IF(AND(FM$12&gt;=$E62,FM$12&lt;=$F62,MOD(FM$12,7)&gt;1,NOT(COUNTIF(General!$U$13:$U$19,FM$12))),$I62,"")</f>
        <v/>
      </c>
      <c r="FN62" s="390" t="str">
        <f>IF(AND(FN$12&gt;=$E62,FN$12&lt;=$F62,MOD(FN$12,7)&gt;1,NOT(COUNTIF(General!$U$13:$U$19,FN$12))),$I62,"")</f>
        <v/>
      </c>
      <c r="FO62" s="390" t="str">
        <f>IF(AND(FO$12&gt;=$E62,FO$12&lt;=$F62,MOD(FO$12,7)&gt;1,NOT(COUNTIF(General!$U$13:$U$19,FO$12))),$I62,"")</f>
        <v/>
      </c>
      <c r="FP62" s="390" t="str">
        <f>IF(AND(FP$12&gt;=$E62,FP$12&lt;=$F62,MOD(FP$12,7)&gt;1,NOT(COUNTIF(General!$U$13:$U$19,FP$12))),$I62,"")</f>
        <v/>
      </c>
      <c r="FQ62" s="390" t="str">
        <f>IF(AND(FQ$12&gt;=$E62,FQ$12&lt;=$F62,MOD(FQ$12,7)&gt;1,NOT(COUNTIF(General!$U$13:$U$19,FQ$12))),$I62,"")</f>
        <v/>
      </c>
      <c r="FR62" s="390" t="str">
        <f>IF(AND(FR$12&gt;=$E62,FR$12&lt;=$F62,MOD(FR$12,7)&gt;1,NOT(COUNTIF(General!$U$13:$U$19,FR$12))),$I62,"")</f>
        <v/>
      </c>
      <c r="FS62" s="390" t="str">
        <f>IF(AND(FS$12&gt;=$E62,FS$12&lt;=$F62,MOD(FS$12,7)&gt;1,NOT(COUNTIF(General!$U$13:$U$19,FS$12))),$I62,"")</f>
        <v/>
      </c>
      <c r="FT62" s="390" t="str">
        <f>IF(AND(FT$12&gt;=$E62,FT$12&lt;=$F62,MOD(FT$12,7)&gt;1,NOT(COUNTIF(General!$U$13:$U$19,FT$12))),$I62,"")</f>
        <v/>
      </c>
      <c r="FU62" s="390" t="str">
        <f>IF(AND(FU$12&gt;=$E62,FU$12&lt;=$F62,MOD(FU$12,7)&gt;1,NOT(COUNTIF(General!$U$13:$U$19,FU$12))),$I62,"")</f>
        <v/>
      </c>
      <c r="FV62" s="390" t="str">
        <f>IF(AND(FV$12&gt;=$E62,FV$12&lt;=$F62,MOD(FV$12,7)&gt;1,NOT(COUNTIF(General!$U$13:$U$19,FV$12))),$I62,"")</f>
        <v/>
      </c>
      <c r="FW62" s="390" t="str">
        <f>IF(AND(FW$12&gt;=$E62,FW$12&lt;=$F62,MOD(FW$12,7)&gt;1,NOT(COUNTIF(General!$U$13:$U$19,FW$12))),$I62,"")</f>
        <v/>
      </c>
      <c r="FX62" s="390" t="str">
        <f>IF(AND(FX$12&gt;=$E62,FX$12&lt;=$F62,MOD(FX$12,7)&gt;1,NOT(COUNTIF(General!$U$13:$U$19,FX$12))),$I62,"")</f>
        <v/>
      </c>
    </row>
    <row r="63" ht="16.5" customHeight="1">
      <c r="A63" s="613"/>
      <c r="B63" s="615"/>
      <c r="C63" s="370"/>
      <c r="D63" s="614"/>
      <c r="E63" s="583"/>
      <c r="F63" s="620"/>
      <c r="G63" s="600"/>
      <c r="H63" s="377"/>
      <c r="I63" s="379">
        <v>1.0</v>
      </c>
      <c r="J63" s="377"/>
      <c r="K63" s="381"/>
      <c r="L63" s="382"/>
      <c r="M63" s="383"/>
      <c r="N63" s="384"/>
      <c r="O63" s="386"/>
      <c r="P63" s="388"/>
      <c r="Q63" s="390" t="str">
        <f>IF(AND(Q$12&gt;=$E63,Q$12&lt;=$F63,MOD(Q$12,7)&gt;1,NOT(COUNTIF(General!$U$13:$U$19,Q$12))),$I63,"")</f>
        <v/>
      </c>
      <c r="R63" s="390" t="str">
        <f>IF(AND(R$12&gt;=$E63,R$12&lt;=$F63,MOD(R$12,7)&gt;1,NOT(COUNTIF(General!$U$13:$U$19,R$12))),$I63,"")</f>
        <v/>
      </c>
      <c r="S63" s="390" t="str">
        <f>IF(AND(S$12&gt;=$E63,S$12&lt;=$F63,MOD(S$12,7)&gt;1,NOT(COUNTIF(General!$U$13:$U$19,S$12))),$I63,"")</f>
        <v/>
      </c>
      <c r="T63" s="390" t="str">
        <f>IF(AND(T$12&gt;=$E63,T$12&lt;=$F63,MOD(T$12,7)&gt;1,NOT(COUNTIF(General!$U$13:$U$19,T$12))),$I63,"")</f>
        <v/>
      </c>
      <c r="U63" s="390" t="str">
        <f>IF(AND(U$12&gt;=$E63,U$12&lt;=$F63,MOD(U$12,7)&gt;1,NOT(COUNTIF(General!$U$13:$U$19,U$12))),$I63,"")</f>
        <v/>
      </c>
      <c r="V63" s="390" t="str">
        <f>IF(AND(V$12&gt;=$E63,V$12&lt;=$F63,MOD(V$12,7)&gt;1,NOT(COUNTIF(General!$U$13:$U$19,V$12))),$I63,"")</f>
        <v/>
      </c>
      <c r="W63" s="390" t="str">
        <f>IF(AND(W$12&gt;=$E63,W$12&lt;=$F63,MOD(W$12,7)&gt;1,NOT(COUNTIF(General!$U$13:$U$19,W$12))),$I63,"")</f>
        <v/>
      </c>
      <c r="X63" s="390" t="str">
        <f>IF(AND(X$12&gt;=$E63,X$12&lt;=$F63,MOD(X$12,7)&gt;1,NOT(COUNTIF(General!$U$13:$U$19,X$12))),$I63,"")</f>
        <v/>
      </c>
      <c r="Y63" s="390" t="str">
        <f>IF(AND(Y$12&gt;=$E63,Y$12&lt;=$F63,MOD(Y$12,7)&gt;1,NOT(COUNTIF(General!$U$13:$U$19,Y$12))),$I63,"")</f>
        <v/>
      </c>
      <c r="Z63" s="390" t="str">
        <f>IF(AND(Z$12&gt;=$E63,Z$12&lt;=$F63,MOD(Z$12,7)&gt;1,NOT(COUNTIF(General!$U$13:$U$19,Z$12))),$I63,"")</f>
        <v/>
      </c>
      <c r="AA63" s="390" t="str">
        <f>IF(AND(AA$12&gt;=$E63,AA$12&lt;=$F63,MOD(AA$12,7)&gt;1,NOT(COUNTIF(General!$U$13:$U$19,AA$12))),$I63,"")</f>
        <v/>
      </c>
      <c r="AB63" s="390" t="str">
        <f>IF(AND(AB$12&gt;=$E63,AB$12&lt;=$F63,MOD(AB$12,7)&gt;1,NOT(COUNTIF(General!$U$13:$U$19,AB$12))),$I63,"")</f>
        <v/>
      </c>
      <c r="AC63" s="390" t="str">
        <f>IF(AND(AC$12&gt;=$E63,AC$12&lt;=$F63,MOD(AC$12,7)&gt;1,NOT(COUNTIF(General!$U$13:$U$19,AC$12))),$I63,"")</f>
        <v/>
      </c>
      <c r="AD63" s="390" t="str">
        <f>IF(AND(AD$12&gt;=$E63,AD$12&lt;=$F63,MOD(AD$12,7)&gt;1,NOT(COUNTIF(General!$U$13:$U$19,AD$12))),$I63,"")</f>
        <v/>
      </c>
      <c r="AE63" s="390" t="str">
        <f>IF(AND(AE$12&gt;=$E63,AE$12&lt;=$F63,MOD(AE$12,7)&gt;1,NOT(COUNTIF(General!$U$13:$U$19,AE$12))),$I63,"")</f>
        <v/>
      </c>
      <c r="AF63" s="390" t="str">
        <f>IF(AND(AF$12&gt;=$E63,AF$12&lt;=$F63,MOD(AF$12,7)&gt;1,NOT(COUNTIF(General!$U$13:$U$19,AF$12))),$I63,"")</f>
        <v/>
      </c>
      <c r="AG63" s="390" t="str">
        <f>IF(AND(AG$12&gt;=$E63,AG$12&lt;=$F63,MOD(AG$12,7)&gt;1,NOT(COUNTIF(General!$U$13:$U$19,AG$12))),$I63,"")</f>
        <v/>
      </c>
      <c r="AH63" s="390" t="str">
        <f>IF(AND(AH$12&gt;=$E63,AH$12&lt;=$F63,MOD(AH$12,7)&gt;1,NOT(COUNTIF(General!$U$13:$U$19,AH$12))),$I63,"")</f>
        <v/>
      </c>
      <c r="AI63" s="390" t="str">
        <f>IF(AND(AI$12&gt;=$E63,AI$12&lt;=$F63,MOD(AI$12,7)&gt;1,NOT(COUNTIF(General!$U$13:$U$19,AI$12))),$I63,"")</f>
        <v/>
      </c>
      <c r="AJ63" s="390" t="str">
        <f>IF(AND(AJ$12&gt;=$E63,AJ$12&lt;=$F63,MOD(AJ$12,7)&gt;1,NOT(COUNTIF(General!$U$13:$U$19,AJ$12))),$I63,"")</f>
        <v/>
      </c>
      <c r="AK63" s="390" t="str">
        <f>IF(AND(AK$12&gt;=$E63,AK$12&lt;=$F63,MOD(AK$12,7)&gt;1,NOT(COUNTIF(General!$U$13:$U$19,AK$12))),$I63,"")</f>
        <v/>
      </c>
      <c r="AL63" s="390" t="str">
        <f>IF(AND(AL$12&gt;=$E63,AL$12&lt;=$F63,MOD(AL$12,7)&gt;1,NOT(COUNTIF(General!$U$13:$U$19,AL$12))),$I63,"")</f>
        <v/>
      </c>
      <c r="AM63" s="390" t="str">
        <f>IF(AND(AM$12&gt;=$E63,AM$12&lt;=$F63,MOD(AM$12,7)&gt;1,NOT(COUNTIF(General!$U$13:$U$19,AM$12))),$I63,"")</f>
        <v/>
      </c>
      <c r="AN63" s="390" t="str">
        <f>IF(AND(AN$12&gt;=$E63,AN$12&lt;=$F63,MOD(AN$12,7)&gt;1,NOT(COUNTIF(General!$U$13:$U$19,AN$12))),$I63,"")</f>
        <v/>
      </c>
      <c r="AO63" s="390" t="str">
        <f>IF(AND(AO$12&gt;=$E63,AO$12&lt;=$F63,MOD(AO$12,7)&gt;1,NOT(COUNTIF(General!$U$13:$U$19,AO$12))),$I63,"")</f>
        <v/>
      </c>
      <c r="AP63" s="390" t="str">
        <f>IF(AND(AP$12&gt;=$E63,AP$12&lt;=$F63,MOD(AP$12,7)&gt;1,NOT(COUNTIF(General!$U$13:$U$19,AP$12))),$I63,"")</f>
        <v/>
      </c>
      <c r="AQ63" s="390" t="str">
        <f>IF(AND(AQ$12&gt;=$E63,AQ$12&lt;=$F63,MOD(AQ$12,7)&gt;1,NOT(COUNTIF(General!$U$13:$U$19,AQ$12))),$I63,"")</f>
        <v/>
      </c>
      <c r="AR63" s="390" t="str">
        <f>IF(AND(AR$12&gt;=$E63,AR$12&lt;=$F63,MOD(AR$12,7)&gt;1,NOT(COUNTIF(General!$U$13:$U$19,AR$12))),$I63,"")</f>
        <v/>
      </c>
      <c r="AS63" s="390" t="str">
        <f>IF(AND(AS$12&gt;=$E63,AS$12&lt;=$F63,MOD(AS$12,7)&gt;1,NOT(COUNTIF(General!$U$13:$U$19,AS$12))),$I63,"")</f>
        <v/>
      </c>
      <c r="AT63" s="390" t="str">
        <f>IF(AND(AT$12&gt;=$E63,AT$12&lt;=$F63,MOD(AT$12,7)&gt;1,NOT(COUNTIF(General!$U$13:$U$19,AT$12))),$I63,"")</f>
        <v/>
      </c>
      <c r="AU63" s="390" t="str">
        <f>IF(AND(AU$12&gt;=$E63,AU$12&lt;=$F63,MOD(AU$12,7)&gt;1,NOT(COUNTIF(General!$U$13:$U$19,AU$12))),$I63,"")</f>
        <v/>
      </c>
      <c r="AV63" s="390" t="str">
        <f>IF(AND(AV$12&gt;=$E63,AV$12&lt;=$F63,MOD(AV$12,7)&gt;1,NOT(COUNTIF(General!$U$13:$U$19,AV$12))),$I63,"")</f>
        <v/>
      </c>
      <c r="AW63" s="390" t="str">
        <f>IF(AND(AW$12&gt;=$E63,AW$12&lt;=$F63,MOD(AW$12,7)&gt;1,NOT(COUNTIF(General!$U$13:$U$19,AW$12))),$I63,"")</f>
        <v/>
      </c>
      <c r="AX63" s="390" t="str">
        <f>IF(AND(AX$12&gt;=$E63,AX$12&lt;=$F63,MOD(AX$12,7)&gt;1,NOT(COUNTIF(General!$U$13:$U$19,AX$12))),$I63,"")</f>
        <v/>
      </c>
      <c r="AY63" s="390" t="str">
        <f>IF(AND(AY$12&gt;=$E63,AY$12&lt;=$F63,MOD(AY$12,7)&gt;1,NOT(COUNTIF(General!$U$13:$U$19,AY$12))),$I63,"")</f>
        <v/>
      </c>
      <c r="AZ63" s="390" t="str">
        <f>IF(AND(AZ$12&gt;=$E63,AZ$12&lt;=$F63,MOD(AZ$12,7)&gt;1,NOT(COUNTIF(General!$U$13:$U$19,AZ$12))),$I63,"")</f>
        <v/>
      </c>
      <c r="BA63" s="390" t="str">
        <f>IF(AND(BA$12&gt;=$E63,BA$12&lt;=$F63,MOD(BA$12,7)&gt;1,NOT(COUNTIF(General!$U$13:$U$19,BA$12))),$I63,"")</f>
        <v/>
      </c>
      <c r="BB63" s="390" t="str">
        <f>IF(AND(BB$12&gt;=$E63,BB$12&lt;=$F63,MOD(BB$12,7)&gt;1,NOT(COUNTIF(General!$U$13:$U$19,BB$12))),$I63,"")</f>
        <v/>
      </c>
      <c r="BC63" s="390" t="str">
        <f>IF(AND(BC$12&gt;=$E63,BC$12&lt;=$F63,MOD(BC$12,7)&gt;1,NOT(COUNTIF(General!$U$13:$U$19,BC$12))),$I63,"")</f>
        <v/>
      </c>
      <c r="BD63" s="390" t="str">
        <f>IF(AND(BD$12&gt;=$E63,BD$12&lt;=$F63,MOD(BD$12,7)&gt;1,NOT(COUNTIF(General!$U$13:$U$19,BD$12))),$I63,"")</f>
        <v/>
      </c>
      <c r="BE63" s="390" t="str">
        <f>IF(AND(BE$12&gt;=$E63,BE$12&lt;=$F63,MOD(BE$12,7)&gt;1,NOT(COUNTIF(General!$U$13:$U$19,BE$12))),$I63,"")</f>
        <v/>
      </c>
      <c r="BF63" s="390" t="str">
        <f>IF(AND(BF$12&gt;=$E63,BF$12&lt;=$F63,MOD(BF$12,7)&gt;1,NOT(COUNTIF(General!$U$13:$U$19,BF$12))),$I63,"")</f>
        <v/>
      </c>
      <c r="BG63" s="390" t="str">
        <f>IF(AND(BG$12&gt;=$E63,BG$12&lt;=$F63,MOD(BG$12,7)&gt;1,NOT(COUNTIF(General!$U$13:$U$19,BG$12))),$I63,"")</f>
        <v/>
      </c>
      <c r="BH63" s="390" t="str">
        <f>IF(AND(BH$12&gt;=$E63,BH$12&lt;=$F63,MOD(BH$12,7)&gt;1,NOT(COUNTIF(General!$U$13:$U$19,BH$12))),$I63,"")</f>
        <v/>
      </c>
      <c r="BI63" s="390" t="str">
        <f>IF(AND(BI$12&gt;=$E63,BI$12&lt;=$F63,MOD(BI$12,7)&gt;1,NOT(COUNTIF(General!$U$13:$U$19,BI$12))),$I63,"")</f>
        <v/>
      </c>
      <c r="BJ63" s="390" t="str">
        <f>IF(AND(BJ$12&gt;=$E63,BJ$12&lt;=$F63,MOD(BJ$12,7)&gt;1,NOT(COUNTIF(General!$U$13:$U$19,BJ$12))),$I63,"")</f>
        <v/>
      </c>
      <c r="BK63" s="390" t="str">
        <f>IF(AND(BK$12&gt;=$E63,BK$12&lt;=$F63,MOD(BK$12,7)&gt;1,NOT(COUNTIF(General!$U$13:$U$19,BK$12))),$I63,"")</f>
        <v/>
      </c>
      <c r="BL63" s="390" t="str">
        <f>IF(AND(BL$12&gt;=$E63,BL$12&lt;=$F63,MOD(BL$12,7)&gt;1,NOT(COUNTIF(General!$U$13:$U$19,BL$12))),$I63,"")</f>
        <v/>
      </c>
      <c r="BM63" s="390" t="str">
        <f>IF(AND(BM$12&gt;=$E63,BM$12&lt;=$F63,MOD(BM$12,7)&gt;1,NOT(COUNTIF(General!$U$13:$U$19,BM$12))),$I63,"")</f>
        <v/>
      </c>
      <c r="BN63" s="390" t="str">
        <f>IF(AND(BN$12&gt;=$E63,BN$12&lt;=$F63,MOD(BN$12,7)&gt;1,NOT(COUNTIF(General!$U$13:$U$19,BN$12))),$I63,"")</f>
        <v/>
      </c>
      <c r="BO63" s="390" t="str">
        <f>IF(AND(BO$12&gt;=$E63,BO$12&lt;=$F63,MOD(BO$12,7)&gt;1,NOT(COUNTIF(General!$U$13:$U$19,BO$12))),$I63,"")</f>
        <v/>
      </c>
      <c r="BP63" s="390" t="str">
        <f>IF(AND(BP$12&gt;=$E63,BP$12&lt;=$F63,MOD(BP$12,7)&gt;1,NOT(COUNTIF(General!$U$13:$U$19,BP$12))),$I63,"")</f>
        <v/>
      </c>
      <c r="BQ63" s="390" t="str">
        <f>IF(AND(BQ$12&gt;=$E63,BQ$12&lt;=$F63,MOD(BQ$12,7)&gt;1,NOT(COUNTIF(General!$U$13:$U$19,BQ$12))),$I63,"")</f>
        <v/>
      </c>
      <c r="BR63" s="390" t="str">
        <f>IF(AND(BR$12&gt;=$E63,BR$12&lt;=$F63,MOD(BR$12,7)&gt;1,NOT(COUNTIF(General!$U$13:$U$19,BR$12))),$I63,"")</f>
        <v/>
      </c>
      <c r="BS63" s="390" t="str">
        <f>IF(AND(BS$12&gt;=$E63,BS$12&lt;=$F63,MOD(BS$12,7)&gt;1,NOT(COUNTIF(General!$U$13:$U$19,BS$12))),$I63,"")</f>
        <v/>
      </c>
      <c r="BT63" s="390" t="str">
        <f>IF(AND(BT$12&gt;=$E63,BT$12&lt;=$F63,MOD(BT$12,7)&gt;1,NOT(COUNTIF(General!$U$13:$U$19,BT$12))),$I63,"")</f>
        <v/>
      </c>
      <c r="BU63" s="390" t="str">
        <f>IF(AND(BU$12&gt;=$E63,BU$12&lt;=$F63,MOD(BU$12,7)&gt;1,NOT(COUNTIF(General!$U$13:$U$19,BU$12))),$I63,"")</f>
        <v/>
      </c>
      <c r="BV63" s="390" t="str">
        <f>IF(AND(BV$12&gt;=$E63,BV$12&lt;=$F63,MOD(BV$12,7)&gt;1,NOT(COUNTIF(General!$U$13:$U$19,BV$12))),$I63,"")</f>
        <v/>
      </c>
      <c r="BW63" s="390" t="str">
        <f>IF(AND(BW$12&gt;=$E63,BW$12&lt;=$F63,MOD(BW$12,7)&gt;1,NOT(COUNTIF(General!$U$13:$U$19,BW$12))),$I63,"")</f>
        <v/>
      </c>
      <c r="BX63" s="390" t="str">
        <f>IF(AND(BX$12&gt;=$E63,BX$12&lt;=$F63,MOD(BX$12,7)&gt;1,NOT(COUNTIF(General!$U$13:$U$19,BX$12))),$I63,"")</f>
        <v/>
      </c>
      <c r="BY63" s="390" t="str">
        <f>IF(AND(BY$12&gt;=$E63,BY$12&lt;=$F63,MOD(BY$12,7)&gt;1,NOT(COUNTIF(General!$U$13:$U$19,BY$12))),$I63,"")</f>
        <v/>
      </c>
      <c r="BZ63" s="390" t="str">
        <f>IF(AND(BZ$12&gt;=$E63,BZ$12&lt;=$F63,MOD(BZ$12,7)&gt;1,NOT(COUNTIF(General!$U$13:$U$19,BZ$12))),$I63,"")</f>
        <v/>
      </c>
      <c r="CA63" s="390" t="str">
        <f>IF(AND(CA$12&gt;=$E63,CA$12&lt;=$F63,MOD(CA$12,7)&gt;1,NOT(COUNTIF(General!$U$13:$U$19,CA$12))),$I63,"")</f>
        <v/>
      </c>
      <c r="CB63" s="390" t="str">
        <f>IF(AND(CB$12&gt;=$E63,CB$12&lt;=$F63,MOD(CB$12,7)&gt;1,NOT(COUNTIF(General!$U$13:$U$19,CB$12))),$I63,"")</f>
        <v/>
      </c>
      <c r="CC63" s="390" t="str">
        <f>IF(AND(CC$12&gt;=$E63,CC$12&lt;=$F63,MOD(CC$12,7)&gt;1,NOT(COUNTIF(General!$U$13:$U$19,CC$12))),$I63,"")</f>
        <v/>
      </c>
      <c r="CD63" s="390" t="str">
        <f>IF(AND(CD$12&gt;=$E63,CD$12&lt;=$F63,MOD(CD$12,7)&gt;1,NOT(COUNTIF(General!$U$13:$U$19,CD$12))),$I63,"")</f>
        <v/>
      </c>
      <c r="CE63" s="390" t="str">
        <f>IF(AND(CE$12&gt;=$E63,CE$12&lt;=$F63,MOD(CE$12,7)&gt;1,NOT(COUNTIF(General!$U$13:$U$19,CE$12))),$I63,"")</f>
        <v/>
      </c>
      <c r="CF63" s="390" t="str">
        <f>IF(AND(CF$12&gt;=$E63,CF$12&lt;=$F63,MOD(CF$12,7)&gt;1,NOT(COUNTIF(General!$U$13:$U$19,CF$12))),$I63,"")</f>
        <v/>
      </c>
      <c r="CG63" s="390" t="str">
        <f>IF(AND(CG$12&gt;=$E63,CG$12&lt;=$F63,MOD(CG$12,7)&gt;1,NOT(COUNTIF(General!$U$13:$U$19,CG$12))),$I63,"")</f>
        <v/>
      </c>
      <c r="CH63" s="390" t="str">
        <f>IF(AND(CH$12&gt;=$E63,CH$12&lt;=$F63,MOD(CH$12,7)&gt;1,NOT(COUNTIF(General!$U$13:$U$19,CH$12))),$I63,"")</f>
        <v/>
      </c>
      <c r="CI63" s="390" t="str">
        <f>IF(AND(CI$12&gt;=$E63,CI$12&lt;=$F63,MOD(CI$12,7)&gt;1,NOT(COUNTIF(General!$U$13:$U$19,CI$12))),$I63,"")</f>
        <v/>
      </c>
      <c r="CJ63" s="390" t="str">
        <f>IF(AND(CJ$12&gt;=$E63,CJ$12&lt;=$F63,MOD(CJ$12,7)&gt;1,NOT(COUNTIF(General!$U$13:$U$19,CJ$12))),$I63,"")</f>
        <v/>
      </c>
      <c r="CK63" s="390" t="str">
        <f>IF(AND(CK$12&gt;=$E63,CK$12&lt;=$F63,MOD(CK$12,7)&gt;1,NOT(COUNTIF(General!$U$13:$U$19,CK$12))),$I63,"")</f>
        <v/>
      </c>
      <c r="CL63" s="390" t="str">
        <f>IF(AND(CL$12&gt;=$E63,CL$12&lt;=$F63,MOD(CL$12,7)&gt;1,NOT(COUNTIF(General!$U$13:$U$19,CL$12))),$I63,"")</f>
        <v/>
      </c>
      <c r="CM63" s="390" t="str">
        <f>IF(AND(CM$12&gt;=$E63,CM$12&lt;=$F63,MOD(CM$12,7)&gt;1,NOT(COUNTIF(General!$U$13:$U$19,CM$12))),$I63,"")</f>
        <v/>
      </c>
      <c r="CN63" s="390" t="str">
        <f>IF(AND(CN$12&gt;=$E63,CN$12&lt;=$F63,MOD(CN$12,7)&gt;1,NOT(COUNTIF(General!$U$13:$U$19,CN$12))),$I63,"")</f>
        <v/>
      </c>
      <c r="CO63" s="390" t="str">
        <f>IF(AND(CO$12&gt;=$E63,CO$12&lt;=$F63,MOD(CO$12,7)&gt;1,NOT(COUNTIF(General!$U$13:$U$19,CO$12))),$I63,"")</f>
        <v/>
      </c>
      <c r="CP63" s="390" t="str">
        <f>IF(AND(CP$12&gt;=$E63,CP$12&lt;=$F63,MOD(CP$12,7)&gt;1,NOT(COUNTIF(General!$U$13:$U$19,CP$12))),$I63,"")</f>
        <v/>
      </c>
      <c r="CQ63" s="390" t="str">
        <f>IF(AND(CQ$12&gt;=$E63,CQ$12&lt;=$F63,MOD(CQ$12,7)&gt;1,NOT(COUNTIF(General!$U$13:$U$19,CQ$12))),$I63,"")</f>
        <v/>
      </c>
      <c r="CR63" s="390" t="str">
        <f>IF(AND(CR$12&gt;=$E63,CR$12&lt;=$F63,MOD(CR$12,7)&gt;1,NOT(COUNTIF(General!$U$13:$U$19,CR$12))),$I63,"")</f>
        <v/>
      </c>
      <c r="CS63" s="390" t="str">
        <f>IF(AND(CS$12&gt;=$E63,CS$12&lt;=$F63,MOD(CS$12,7)&gt;1,NOT(COUNTIF(General!$U$13:$U$19,CS$12))),$I63,"")</f>
        <v/>
      </c>
      <c r="CT63" s="390" t="str">
        <f>IF(AND(CT$12&gt;=$E63,CT$12&lt;=$F63,MOD(CT$12,7)&gt;1,NOT(COUNTIF(General!$U$13:$U$19,CT$12))),$I63,"")</f>
        <v/>
      </c>
      <c r="CU63" s="390" t="str">
        <f>IF(AND(CU$12&gt;=$E63,CU$12&lt;=$F63,MOD(CU$12,7)&gt;1,NOT(COUNTIF(General!$U$13:$U$19,CU$12))),$I63,"")</f>
        <v/>
      </c>
      <c r="CV63" s="390" t="str">
        <f>IF(AND(CV$12&gt;=$E63,CV$12&lt;=$F63,MOD(CV$12,7)&gt;1,NOT(COUNTIF(General!$U$13:$U$19,CV$12))),$I63,"")</f>
        <v/>
      </c>
      <c r="CW63" s="390" t="str">
        <f>IF(AND(CW$12&gt;=$E63,CW$12&lt;=$F63,MOD(CW$12,7)&gt;1,NOT(COUNTIF(General!$U$13:$U$19,CW$12))),$I63,"")</f>
        <v/>
      </c>
      <c r="CX63" s="390" t="str">
        <f>IF(AND(CX$12&gt;=$E63,CX$12&lt;=$F63,MOD(CX$12,7)&gt;1,NOT(COUNTIF(General!$U$13:$U$19,CX$12))),$I63,"")</f>
        <v/>
      </c>
      <c r="CY63" s="390" t="str">
        <f>IF(AND(CY$12&gt;=$E63,CY$12&lt;=$F63,MOD(CY$12,7)&gt;1,NOT(COUNTIF(General!$U$13:$U$19,CY$12))),$I63,"")</f>
        <v/>
      </c>
      <c r="CZ63" s="390" t="str">
        <f>IF(AND(CZ$12&gt;=$E63,CZ$12&lt;=$F63,MOD(CZ$12,7)&gt;1,NOT(COUNTIF(General!$U$13:$U$19,CZ$12))),$I63,"")</f>
        <v/>
      </c>
      <c r="DA63" s="390" t="str">
        <f>IF(AND(DA$12&gt;=$E63,DA$12&lt;=$F63,MOD(DA$12,7)&gt;1,NOT(COUNTIF(General!$U$13:$U$19,DA$12))),$I63,"")</f>
        <v/>
      </c>
      <c r="DB63" s="390" t="str">
        <f>IF(AND(DB$12&gt;=$E63,DB$12&lt;=$F63,MOD(DB$12,7)&gt;1,NOT(COUNTIF(General!$U$13:$U$19,DB$12))),$I63,"")</f>
        <v/>
      </c>
      <c r="DC63" s="390" t="str">
        <f>IF(AND(DC$12&gt;=$E63,DC$12&lt;=$F63,MOD(DC$12,7)&gt;1,NOT(COUNTIF(General!$U$13:$U$19,DC$12))),$I63,"")</f>
        <v/>
      </c>
      <c r="DD63" s="390" t="str">
        <f>IF(AND(DD$12&gt;=$E63,DD$12&lt;=$F63,MOD(DD$12,7)&gt;1,NOT(COUNTIF(General!$U$13:$U$19,DD$12))),$I63,"")</f>
        <v/>
      </c>
      <c r="DE63" s="390" t="str">
        <f>IF(AND(DE$12&gt;=$E63,DE$12&lt;=$F63,MOD(DE$12,7)&gt;1,NOT(COUNTIF(General!$U$13:$U$19,DE$12))),$I63,"")</f>
        <v/>
      </c>
      <c r="DF63" s="390" t="str">
        <f>IF(AND(DF$12&gt;=$E63,DF$12&lt;=$F63,MOD(DF$12,7)&gt;1,NOT(COUNTIF(General!$U$13:$U$19,DF$12))),$I63,"")</f>
        <v/>
      </c>
      <c r="DG63" s="390" t="str">
        <f>IF(AND(DG$12&gt;=$E63,DG$12&lt;=$F63,MOD(DG$12,7)&gt;1,NOT(COUNTIF(General!$U$13:$U$19,DG$12))),$I63,"")</f>
        <v/>
      </c>
      <c r="DH63" s="390" t="str">
        <f>IF(AND(DH$12&gt;=$E63,DH$12&lt;=$F63,MOD(DH$12,7)&gt;1,NOT(COUNTIF(General!$U$13:$U$19,DH$12))),$I63,"")</f>
        <v/>
      </c>
      <c r="DI63" s="390" t="str">
        <f>IF(AND(DI$12&gt;=$E63,DI$12&lt;=$F63,MOD(DI$12,7)&gt;1,NOT(COUNTIF(General!$U$13:$U$19,DI$12))),$I63,"")</f>
        <v/>
      </c>
      <c r="DJ63" s="390" t="str">
        <f>IF(AND(DJ$12&gt;=$E63,DJ$12&lt;=$F63,MOD(DJ$12,7)&gt;1,NOT(COUNTIF(General!$U$13:$U$19,DJ$12))),$I63,"")</f>
        <v/>
      </c>
      <c r="DK63" s="390" t="str">
        <f>IF(AND(DK$12&gt;=$E63,DK$12&lt;=$F63,MOD(DK$12,7)&gt;1,NOT(COUNTIF(General!$U$13:$U$19,DK$12))),$I63,"")</f>
        <v/>
      </c>
      <c r="DL63" s="390" t="str">
        <f>IF(AND(DL$12&gt;=$E63,DL$12&lt;=$F63,MOD(DL$12,7)&gt;1,NOT(COUNTIF(General!$U$13:$U$19,DL$12))),$I63,"")</f>
        <v/>
      </c>
      <c r="DM63" s="390" t="str">
        <f>IF(AND(DM$12&gt;=$E63,DM$12&lt;=$F63,MOD(DM$12,7)&gt;1,NOT(COUNTIF(General!$U$13:$U$19,DM$12))),$I63,"")</f>
        <v/>
      </c>
      <c r="DN63" s="390" t="str">
        <f>IF(AND(DN$12&gt;=$E63,DN$12&lt;=$F63,MOD(DN$12,7)&gt;1,NOT(COUNTIF(General!$U$13:$U$19,DN$12))),$I63,"")</f>
        <v/>
      </c>
      <c r="DO63" s="390" t="str">
        <f>IF(AND(DO$12&gt;=$E63,DO$12&lt;=$F63,MOD(DO$12,7)&gt;1,NOT(COUNTIF(General!$U$13:$U$19,DO$12))),$I63,"")</f>
        <v/>
      </c>
      <c r="DP63" s="390" t="str">
        <f>IF(AND(DP$12&gt;=$E63,DP$12&lt;=$F63,MOD(DP$12,7)&gt;1,NOT(COUNTIF(General!$U$13:$U$19,DP$12))),$I63,"")</f>
        <v/>
      </c>
      <c r="DQ63" s="390" t="str">
        <f>IF(AND(DQ$12&gt;=$E63,DQ$12&lt;=$F63,MOD(DQ$12,7)&gt;1,NOT(COUNTIF(General!$U$13:$U$19,DQ$12))),$I63,"")</f>
        <v/>
      </c>
      <c r="DR63" s="390" t="str">
        <f>IF(AND(DR$12&gt;=$E63,DR$12&lt;=$F63,MOD(DR$12,7)&gt;1,NOT(COUNTIF(General!$U$13:$U$19,DR$12))),$I63,"")</f>
        <v/>
      </c>
      <c r="DS63" s="390" t="str">
        <f>IF(AND(DS$12&gt;=$E63,DS$12&lt;=$F63,MOD(DS$12,7)&gt;1,NOT(COUNTIF(General!$U$13:$U$19,DS$12))),$I63,"")</f>
        <v/>
      </c>
      <c r="DT63" s="390" t="str">
        <f>IF(AND(DT$12&gt;=$E63,DT$12&lt;=$F63,MOD(DT$12,7)&gt;1,NOT(COUNTIF(General!$U$13:$U$19,DT$12))),$I63,"")</f>
        <v/>
      </c>
      <c r="DU63" s="390" t="str">
        <f>IF(AND(DU$12&gt;=$E63,DU$12&lt;=$F63,MOD(DU$12,7)&gt;1,NOT(COUNTIF(General!$U$13:$U$19,DU$12))),$I63,"")</f>
        <v/>
      </c>
      <c r="DV63" s="390" t="str">
        <f>IF(AND(DV$12&gt;=$E63,DV$12&lt;=$F63,MOD(DV$12,7)&gt;1,NOT(COUNTIF(General!$U$13:$U$19,DV$12))),$I63,"")</f>
        <v/>
      </c>
      <c r="DW63" s="390" t="str">
        <f>IF(AND(DW$12&gt;=$E63,DW$12&lt;=$F63,MOD(DW$12,7)&gt;1,NOT(COUNTIF(General!$U$13:$U$19,DW$12))),$I63,"")</f>
        <v/>
      </c>
      <c r="DX63" s="390" t="str">
        <f>IF(AND(DX$12&gt;=$E63,DX$12&lt;=$F63,MOD(DX$12,7)&gt;1,NOT(COUNTIF(General!$U$13:$U$19,DX$12))),$I63,"")</f>
        <v/>
      </c>
      <c r="DY63" s="390" t="str">
        <f>IF(AND(DY$12&gt;=$E63,DY$12&lt;=$F63,MOD(DY$12,7)&gt;1,NOT(COUNTIF(General!$U$13:$U$19,DY$12))),$I63,"")</f>
        <v/>
      </c>
      <c r="DZ63" s="390" t="str">
        <f>IF(AND(DZ$12&gt;=$E63,DZ$12&lt;=$F63,MOD(DZ$12,7)&gt;1,NOT(COUNTIF(General!$U$13:$U$19,DZ$12))),$I63,"")</f>
        <v/>
      </c>
      <c r="EA63" s="390" t="str">
        <f>IF(AND(EA$12&gt;=$E63,EA$12&lt;=$F63,MOD(EA$12,7)&gt;1,NOT(COUNTIF(General!$U$13:$U$19,EA$12))),$I63,"")</f>
        <v/>
      </c>
      <c r="EB63" s="390" t="str">
        <f>IF(AND(EB$12&gt;=$E63,EB$12&lt;=$F63,MOD(EB$12,7)&gt;1,NOT(COUNTIF(General!$U$13:$U$19,EB$12))),$I63,"")</f>
        <v/>
      </c>
      <c r="EC63" s="390" t="str">
        <f>IF(AND(EC$12&gt;=$E63,EC$12&lt;=$F63,MOD(EC$12,7)&gt;1,NOT(COUNTIF(General!$U$13:$U$19,EC$12))),$I63,"")</f>
        <v/>
      </c>
      <c r="ED63" s="390" t="str">
        <f>IF(AND(ED$12&gt;=$E63,ED$12&lt;=$F63,MOD(ED$12,7)&gt;1,NOT(COUNTIF(General!$U$13:$U$19,ED$12))),$I63,"")</f>
        <v/>
      </c>
      <c r="EE63" s="390" t="str">
        <f>IF(AND(EE$12&gt;=$E63,EE$12&lt;=$F63,MOD(EE$12,7)&gt;1,NOT(COUNTIF(General!$U$13:$U$19,EE$12))),$I63,"")</f>
        <v/>
      </c>
      <c r="EF63" s="390" t="str">
        <f>IF(AND(EF$12&gt;=$E63,EF$12&lt;=$F63,MOD(EF$12,7)&gt;1,NOT(COUNTIF(General!$U$13:$U$19,EF$12))),$I63,"")</f>
        <v/>
      </c>
      <c r="EG63" s="390" t="str">
        <f>IF(AND(EG$12&gt;=$E63,EG$12&lt;=$F63,MOD(EG$12,7)&gt;1,NOT(COUNTIF(General!$U$13:$U$19,EG$12))),$I63,"")</f>
        <v/>
      </c>
      <c r="EH63" s="390" t="str">
        <f>IF(AND(EH$12&gt;=$E63,EH$12&lt;=$F63,MOD(EH$12,7)&gt;1,NOT(COUNTIF(General!$U$13:$U$19,EH$12))),$I63,"")</f>
        <v/>
      </c>
      <c r="EI63" s="390" t="str">
        <f>IF(AND(EI$12&gt;=$E63,EI$12&lt;=$F63,MOD(EI$12,7)&gt;1,NOT(COUNTIF(General!$U$13:$U$19,EI$12))),$I63,"")</f>
        <v/>
      </c>
      <c r="EJ63" s="390" t="str">
        <f>IF(AND(EJ$12&gt;=$E63,EJ$12&lt;=$F63,MOD(EJ$12,7)&gt;1,NOT(COUNTIF(General!$U$13:$U$19,EJ$12))),$I63,"")</f>
        <v/>
      </c>
      <c r="EK63" s="390" t="str">
        <f>IF(AND(EK$12&gt;=$E63,EK$12&lt;=$F63,MOD(EK$12,7)&gt;1,NOT(COUNTIF(General!$U$13:$U$19,EK$12))),$I63,"")</f>
        <v/>
      </c>
      <c r="EL63" s="390" t="str">
        <f>IF(AND(EL$12&gt;=$E63,EL$12&lt;=$F63,MOD(EL$12,7)&gt;1,NOT(COUNTIF(General!$U$13:$U$19,EL$12))),$I63,"")</f>
        <v/>
      </c>
      <c r="EM63" s="390" t="str">
        <f>IF(AND(EM$12&gt;=$E63,EM$12&lt;=$F63,MOD(EM$12,7)&gt;1,NOT(COUNTIF(General!$U$13:$U$19,EM$12))),$I63,"")</f>
        <v/>
      </c>
      <c r="EN63" s="390" t="str">
        <f>IF(AND(EN$12&gt;=$E63,EN$12&lt;=$F63,MOD(EN$12,7)&gt;1,NOT(COUNTIF(General!$U$13:$U$19,EN$12))),$I63,"")</f>
        <v/>
      </c>
      <c r="EO63" s="390" t="str">
        <f>IF(AND(EO$12&gt;=$E63,EO$12&lt;=$F63,MOD(EO$12,7)&gt;1,NOT(COUNTIF(General!$U$13:$U$19,EO$12))),$I63,"")</f>
        <v/>
      </c>
      <c r="EP63" s="390" t="str">
        <f>IF(AND(EP$12&gt;=$E63,EP$12&lt;=$F63,MOD(EP$12,7)&gt;1,NOT(COUNTIF(General!$U$13:$U$19,EP$12))),$I63,"")</f>
        <v/>
      </c>
      <c r="EQ63" s="390" t="str">
        <f>IF(AND(EQ$12&gt;=$E63,EQ$12&lt;=$F63,MOD(EQ$12,7)&gt;1,NOT(COUNTIF(General!$U$13:$U$19,EQ$12))),$I63,"")</f>
        <v/>
      </c>
      <c r="ER63" s="390" t="str">
        <f>IF(AND(ER$12&gt;=$E63,ER$12&lt;=$F63,MOD(ER$12,7)&gt;1,NOT(COUNTIF(General!$U$13:$U$19,ER$12))),$I63,"")</f>
        <v/>
      </c>
      <c r="ES63" s="390" t="str">
        <f>IF(AND(ES$12&gt;=$E63,ES$12&lt;=$F63,MOD(ES$12,7)&gt;1,NOT(COUNTIF(General!$U$13:$U$19,ES$12))),$I63,"")</f>
        <v/>
      </c>
      <c r="ET63" s="390" t="str">
        <f>IF(AND(ET$12&gt;=$E63,ET$12&lt;=$F63,MOD(ET$12,7)&gt;1,NOT(COUNTIF(General!$U$13:$U$19,ET$12))),$I63,"")</f>
        <v/>
      </c>
      <c r="EU63" s="390" t="str">
        <f>IF(AND(EU$12&gt;=$E63,EU$12&lt;=$F63,MOD(EU$12,7)&gt;1,NOT(COUNTIF(General!$U$13:$U$19,EU$12))),$I63,"")</f>
        <v/>
      </c>
      <c r="EV63" s="390" t="str">
        <f>IF(AND(EV$12&gt;=$E63,EV$12&lt;=$F63,MOD(EV$12,7)&gt;1,NOT(COUNTIF(General!$U$13:$U$19,EV$12))),$I63,"")</f>
        <v/>
      </c>
      <c r="EW63" s="390" t="str">
        <f>IF(AND(EW$12&gt;=$E63,EW$12&lt;=$F63,MOD(EW$12,7)&gt;1,NOT(COUNTIF(General!$U$13:$U$19,EW$12))),$I63,"")</f>
        <v/>
      </c>
      <c r="EX63" s="390" t="str">
        <f>IF(AND(EX$12&gt;=$E63,EX$12&lt;=$F63,MOD(EX$12,7)&gt;1,NOT(COUNTIF(General!$U$13:$U$19,EX$12))),$I63,"")</f>
        <v/>
      </c>
      <c r="EY63" s="390" t="str">
        <f>IF(AND(EY$12&gt;=$E63,EY$12&lt;=$F63,MOD(EY$12,7)&gt;1,NOT(COUNTIF(General!$U$13:$U$19,EY$12))),$I63,"")</f>
        <v/>
      </c>
      <c r="EZ63" s="390" t="str">
        <f>IF(AND(EZ$12&gt;=$E63,EZ$12&lt;=$F63,MOD(EZ$12,7)&gt;1,NOT(COUNTIF(General!$U$13:$U$19,EZ$12))),$I63,"")</f>
        <v/>
      </c>
      <c r="FA63" s="390" t="str">
        <f>IF(AND(FA$12&gt;=$E63,FA$12&lt;=$F63,MOD(FA$12,7)&gt;1,NOT(COUNTIF(General!$U$13:$U$19,FA$12))),$I63,"")</f>
        <v/>
      </c>
      <c r="FB63" s="390" t="str">
        <f>IF(AND(FB$12&gt;=$E63,FB$12&lt;=$F63,MOD(FB$12,7)&gt;1,NOT(COUNTIF(General!$U$13:$U$19,FB$12))),$I63,"")</f>
        <v/>
      </c>
      <c r="FC63" s="390" t="str">
        <f>IF(AND(FC$12&gt;=$E63,FC$12&lt;=$F63,MOD(FC$12,7)&gt;1,NOT(COUNTIF(General!$U$13:$U$19,FC$12))),$I63,"")</f>
        <v/>
      </c>
      <c r="FD63" s="390" t="str">
        <f>IF(AND(FD$12&gt;=$E63,FD$12&lt;=$F63,MOD(FD$12,7)&gt;1,NOT(COUNTIF(General!$U$13:$U$19,FD$12))),$I63,"")</f>
        <v/>
      </c>
      <c r="FE63" s="390" t="str">
        <f>IF(AND(FE$12&gt;=$E63,FE$12&lt;=$F63,MOD(FE$12,7)&gt;1,NOT(COUNTIF(General!$U$13:$U$19,FE$12))),$I63,"")</f>
        <v/>
      </c>
      <c r="FF63" s="390" t="str">
        <f>IF(AND(FF$12&gt;=$E63,FF$12&lt;=$F63,MOD(FF$12,7)&gt;1,NOT(COUNTIF(General!$U$13:$U$19,FF$12))),$I63,"")</f>
        <v/>
      </c>
      <c r="FG63" s="390" t="str">
        <f>IF(AND(FG$12&gt;=$E63,FG$12&lt;=$F63,MOD(FG$12,7)&gt;1,NOT(COUNTIF(General!$U$13:$U$19,FG$12))),$I63,"")</f>
        <v/>
      </c>
      <c r="FH63" s="390" t="str">
        <f>IF(AND(FH$12&gt;=$E63,FH$12&lt;=$F63,MOD(FH$12,7)&gt;1,NOT(COUNTIF(General!$U$13:$U$19,FH$12))),$I63,"")</f>
        <v/>
      </c>
      <c r="FI63" s="390" t="str">
        <f>IF(AND(FI$12&gt;=$E63,FI$12&lt;=$F63,MOD(FI$12,7)&gt;1,NOT(COUNTIF(General!$U$13:$U$19,FI$12))),$I63,"")</f>
        <v/>
      </c>
      <c r="FJ63" s="390" t="str">
        <f>IF(AND(FJ$12&gt;=$E63,FJ$12&lt;=$F63,MOD(FJ$12,7)&gt;1,NOT(COUNTIF(General!$U$13:$U$19,FJ$12))),$I63,"")</f>
        <v/>
      </c>
      <c r="FK63" s="390" t="str">
        <f>IF(AND(FK$12&gt;=$E63,FK$12&lt;=$F63,MOD(FK$12,7)&gt;1,NOT(COUNTIF(General!$U$13:$U$19,FK$12))),$I63,"")</f>
        <v/>
      </c>
      <c r="FL63" s="390" t="str">
        <f>IF(AND(FL$12&gt;=$E63,FL$12&lt;=$F63,MOD(FL$12,7)&gt;1,NOT(COUNTIF(General!$U$13:$U$19,FL$12))),$I63,"")</f>
        <v/>
      </c>
      <c r="FM63" s="390" t="str">
        <f>IF(AND(FM$12&gt;=$E63,FM$12&lt;=$F63,MOD(FM$12,7)&gt;1,NOT(COUNTIF(General!$U$13:$U$19,FM$12))),$I63,"")</f>
        <v/>
      </c>
      <c r="FN63" s="390" t="str">
        <f>IF(AND(FN$12&gt;=$E63,FN$12&lt;=$F63,MOD(FN$12,7)&gt;1,NOT(COUNTIF(General!$U$13:$U$19,FN$12))),$I63,"")</f>
        <v/>
      </c>
      <c r="FO63" s="390" t="str">
        <f>IF(AND(FO$12&gt;=$E63,FO$12&lt;=$F63,MOD(FO$12,7)&gt;1,NOT(COUNTIF(General!$U$13:$U$19,FO$12))),$I63,"")</f>
        <v/>
      </c>
      <c r="FP63" s="390" t="str">
        <f>IF(AND(FP$12&gt;=$E63,FP$12&lt;=$F63,MOD(FP$12,7)&gt;1,NOT(COUNTIF(General!$U$13:$U$19,FP$12))),$I63,"")</f>
        <v/>
      </c>
      <c r="FQ63" s="390" t="str">
        <f>IF(AND(FQ$12&gt;=$E63,FQ$12&lt;=$F63,MOD(FQ$12,7)&gt;1,NOT(COUNTIF(General!$U$13:$U$19,FQ$12))),$I63,"")</f>
        <v/>
      </c>
      <c r="FR63" s="390" t="str">
        <f>IF(AND(FR$12&gt;=$E63,FR$12&lt;=$F63,MOD(FR$12,7)&gt;1,NOT(COUNTIF(General!$U$13:$U$19,FR$12))),$I63,"")</f>
        <v/>
      </c>
      <c r="FS63" s="390" t="str">
        <f>IF(AND(FS$12&gt;=$E63,FS$12&lt;=$F63,MOD(FS$12,7)&gt;1,NOT(COUNTIF(General!$U$13:$U$19,FS$12))),$I63,"")</f>
        <v/>
      </c>
      <c r="FT63" s="390" t="str">
        <f>IF(AND(FT$12&gt;=$E63,FT$12&lt;=$F63,MOD(FT$12,7)&gt;1,NOT(COUNTIF(General!$U$13:$U$19,FT$12))),$I63,"")</f>
        <v/>
      </c>
      <c r="FU63" s="390" t="str">
        <f>IF(AND(FU$12&gt;=$E63,FU$12&lt;=$F63,MOD(FU$12,7)&gt;1,NOT(COUNTIF(General!$U$13:$U$19,FU$12))),$I63,"")</f>
        <v/>
      </c>
      <c r="FV63" s="390" t="str">
        <f>IF(AND(FV$12&gt;=$E63,FV$12&lt;=$F63,MOD(FV$12,7)&gt;1,NOT(COUNTIF(General!$U$13:$U$19,FV$12))),$I63,"")</f>
        <v/>
      </c>
      <c r="FW63" s="390" t="str">
        <f>IF(AND(FW$12&gt;=$E63,FW$12&lt;=$F63,MOD(FW$12,7)&gt;1,NOT(COUNTIF(General!$U$13:$U$19,FW$12))),$I63,"")</f>
        <v/>
      </c>
      <c r="FX63" s="390" t="str">
        <f>IF(AND(FX$12&gt;=$E63,FX$12&lt;=$F63,MOD(FX$12,7)&gt;1,NOT(COUNTIF(General!$U$13:$U$19,FX$12))),$I63,"")</f>
        <v/>
      </c>
    </row>
    <row r="64" ht="16.5" customHeight="1">
      <c r="A64" s="368"/>
      <c r="B64" s="369"/>
      <c r="C64" s="370"/>
      <c r="D64" s="612"/>
      <c r="E64" s="599"/>
      <c r="F64" s="620"/>
      <c r="G64" s="375"/>
      <c r="H64" s="377"/>
      <c r="I64" s="379">
        <v>1.0</v>
      </c>
      <c r="J64" s="379"/>
      <c r="K64" s="381"/>
      <c r="L64" s="382"/>
      <c r="M64" s="383"/>
      <c r="N64" s="384"/>
      <c r="O64" s="386"/>
      <c r="P64" s="388"/>
      <c r="Q64" s="390" t="str">
        <f>IF(AND(Q$12&gt;=$E64,Q$12&lt;=$F64,MOD(Q$12,7)&gt;1,NOT(COUNTIF(General!$U$13:$U$19,Q$12))),$I64,"")</f>
        <v/>
      </c>
      <c r="R64" s="390" t="str">
        <f>IF(AND(R$12&gt;=$E64,R$12&lt;=$F64,MOD(R$12,7)&gt;1,NOT(COUNTIF(General!$U$13:$U$19,R$12))),$I64,"")</f>
        <v/>
      </c>
      <c r="S64" s="390" t="str">
        <f>IF(AND(S$12&gt;=$E64,S$12&lt;=$F64,MOD(S$12,7)&gt;1,NOT(COUNTIF(General!$U$13:$U$19,S$12))),$I64,"")</f>
        <v/>
      </c>
      <c r="T64" s="390" t="str">
        <f>IF(AND(T$12&gt;=$E64,T$12&lt;=$F64,MOD(T$12,7)&gt;1,NOT(COUNTIF(General!$U$13:$U$19,T$12))),$I64,"")</f>
        <v/>
      </c>
      <c r="U64" s="390" t="str">
        <f>IF(AND(U$12&gt;=$E64,U$12&lt;=$F64,MOD(U$12,7)&gt;1,NOT(COUNTIF(General!$U$13:$U$19,U$12))),$I64,"")</f>
        <v/>
      </c>
      <c r="V64" s="390" t="str">
        <f>IF(AND(V$12&gt;=$E64,V$12&lt;=$F64,MOD(V$12,7)&gt;1,NOT(COUNTIF(General!$U$13:$U$19,V$12))),$I64,"")</f>
        <v/>
      </c>
      <c r="W64" s="390" t="str">
        <f>IF(AND(W$12&gt;=$E64,W$12&lt;=$F64,MOD(W$12,7)&gt;1,NOT(COUNTIF(General!$U$13:$U$19,W$12))),$I64,"")</f>
        <v/>
      </c>
      <c r="X64" s="390" t="str">
        <f>IF(AND(X$12&gt;=$E64,X$12&lt;=$F64,MOD(X$12,7)&gt;1,NOT(COUNTIF(General!$U$13:$U$19,X$12))),$I64,"")</f>
        <v/>
      </c>
      <c r="Y64" s="390" t="str">
        <f>IF(AND(Y$12&gt;=$E64,Y$12&lt;=$F64,MOD(Y$12,7)&gt;1,NOT(COUNTIF(General!$U$13:$U$19,Y$12))),$I64,"")</f>
        <v/>
      </c>
      <c r="Z64" s="390" t="str">
        <f>IF(AND(Z$12&gt;=$E64,Z$12&lt;=$F64,MOD(Z$12,7)&gt;1,NOT(COUNTIF(General!$U$13:$U$19,Z$12))),$I64,"")</f>
        <v/>
      </c>
      <c r="AA64" s="390" t="str">
        <f>IF(AND(AA$12&gt;=$E64,AA$12&lt;=$F64,MOD(AA$12,7)&gt;1,NOT(COUNTIF(General!$U$13:$U$19,AA$12))),$I64,"")</f>
        <v/>
      </c>
      <c r="AB64" s="390" t="str">
        <f>IF(AND(AB$12&gt;=$E64,AB$12&lt;=$F64,MOD(AB$12,7)&gt;1,NOT(COUNTIF(General!$U$13:$U$19,AB$12))),$I64,"")</f>
        <v/>
      </c>
      <c r="AC64" s="390" t="str">
        <f>IF(AND(AC$12&gt;=$E64,AC$12&lt;=$F64,MOD(AC$12,7)&gt;1,NOT(COUNTIF(General!$U$13:$U$19,AC$12))),$I64,"")</f>
        <v/>
      </c>
      <c r="AD64" s="390" t="str">
        <f>IF(AND(AD$12&gt;=$E64,AD$12&lt;=$F64,MOD(AD$12,7)&gt;1,NOT(COUNTIF(General!$U$13:$U$19,AD$12))),$I64,"")</f>
        <v/>
      </c>
      <c r="AE64" s="390" t="str">
        <f>IF(AND(AE$12&gt;=$E64,AE$12&lt;=$F64,MOD(AE$12,7)&gt;1,NOT(COUNTIF(General!$U$13:$U$19,AE$12))),$I64,"")</f>
        <v/>
      </c>
      <c r="AF64" s="390" t="str">
        <f>IF(AND(AF$12&gt;=$E64,AF$12&lt;=$F64,MOD(AF$12,7)&gt;1,NOT(COUNTIF(General!$U$13:$U$19,AF$12))),$I64,"")</f>
        <v/>
      </c>
      <c r="AG64" s="390" t="str">
        <f>IF(AND(AG$12&gt;=$E64,AG$12&lt;=$F64,MOD(AG$12,7)&gt;1,NOT(COUNTIF(General!$U$13:$U$19,AG$12))),$I64,"")</f>
        <v/>
      </c>
      <c r="AH64" s="390" t="str">
        <f>IF(AND(AH$12&gt;=$E64,AH$12&lt;=$F64,MOD(AH$12,7)&gt;1,NOT(COUNTIF(General!$U$13:$U$19,AH$12))),$I64,"")</f>
        <v/>
      </c>
      <c r="AI64" s="390" t="str">
        <f>IF(AND(AI$12&gt;=$E64,AI$12&lt;=$F64,MOD(AI$12,7)&gt;1,NOT(COUNTIF(General!$U$13:$U$19,AI$12))),$I64,"")</f>
        <v/>
      </c>
      <c r="AJ64" s="390" t="str">
        <f>IF(AND(AJ$12&gt;=$E64,AJ$12&lt;=$F64,MOD(AJ$12,7)&gt;1,NOT(COUNTIF(General!$U$13:$U$19,AJ$12))),$I64,"")</f>
        <v/>
      </c>
      <c r="AK64" s="390" t="str">
        <f>IF(AND(AK$12&gt;=$E64,AK$12&lt;=$F64,MOD(AK$12,7)&gt;1,NOT(COUNTIF(General!$U$13:$U$19,AK$12))),$I64,"")</f>
        <v/>
      </c>
      <c r="AL64" s="390" t="str">
        <f>IF(AND(AL$12&gt;=$E64,AL$12&lt;=$F64,MOD(AL$12,7)&gt;1,NOT(COUNTIF(General!$U$13:$U$19,AL$12))),$I64,"")</f>
        <v/>
      </c>
      <c r="AM64" s="390" t="str">
        <f>IF(AND(AM$12&gt;=$E64,AM$12&lt;=$F64,MOD(AM$12,7)&gt;1,NOT(COUNTIF(General!$U$13:$U$19,AM$12))),$I64,"")</f>
        <v/>
      </c>
      <c r="AN64" s="390" t="str">
        <f>IF(AND(AN$12&gt;=$E64,AN$12&lt;=$F64,MOD(AN$12,7)&gt;1,NOT(COUNTIF(General!$U$13:$U$19,AN$12))),$I64,"")</f>
        <v/>
      </c>
      <c r="AO64" s="390" t="str">
        <f>IF(AND(AO$12&gt;=$E64,AO$12&lt;=$F64,MOD(AO$12,7)&gt;1,NOT(COUNTIF(General!$U$13:$U$19,AO$12))),$I64,"")</f>
        <v/>
      </c>
      <c r="AP64" s="390" t="str">
        <f>IF(AND(AP$12&gt;=$E64,AP$12&lt;=$F64,MOD(AP$12,7)&gt;1,NOT(COUNTIF(General!$U$13:$U$19,AP$12))),$I64,"")</f>
        <v/>
      </c>
      <c r="AQ64" s="390" t="str">
        <f>IF(AND(AQ$12&gt;=$E64,AQ$12&lt;=$F64,MOD(AQ$12,7)&gt;1,NOT(COUNTIF(General!$U$13:$U$19,AQ$12))),$I64,"")</f>
        <v/>
      </c>
      <c r="AR64" s="390" t="str">
        <f>IF(AND(AR$12&gt;=$E64,AR$12&lt;=$F64,MOD(AR$12,7)&gt;1,NOT(COUNTIF(General!$U$13:$U$19,AR$12))),$I64,"")</f>
        <v/>
      </c>
      <c r="AS64" s="390" t="str">
        <f>IF(AND(AS$12&gt;=$E64,AS$12&lt;=$F64,MOD(AS$12,7)&gt;1,NOT(COUNTIF(General!$U$13:$U$19,AS$12))),$I64,"")</f>
        <v/>
      </c>
      <c r="AT64" s="390" t="str">
        <f>IF(AND(AT$12&gt;=$E64,AT$12&lt;=$F64,MOD(AT$12,7)&gt;1,NOT(COUNTIF(General!$U$13:$U$19,AT$12))),$I64,"")</f>
        <v/>
      </c>
      <c r="AU64" s="390" t="str">
        <f>IF(AND(AU$12&gt;=$E64,AU$12&lt;=$F64,MOD(AU$12,7)&gt;1,NOT(COUNTIF(General!$U$13:$U$19,AU$12))),$I64,"")</f>
        <v/>
      </c>
      <c r="AV64" s="390" t="str">
        <f>IF(AND(AV$12&gt;=$E64,AV$12&lt;=$F64,MOD(AV$12,7)&gt;1,NOT(COUNTIF(General!$U$13:$U$19,AV$12))),$I64,"")</f>
        <v/>
      </c>
      <c r="AW64" s="390" t="str">
        <f>IF(AND(AW$12&gt;=$E64,AW$12&lt;=$F64,MOD(AW$12,7)&gt;1,NOT(COUNTIF(General!$U$13:$U$19,AW$12))),$I64,"")</f>
        <v/>
      </c>
      <c r="AX64" s="390" t="str">
        <f>IF(AND(AX$12&gt;=$E64,AX$12&lt;=$F64,MOD(AX$12,7)&gt;1,NOT(COUNTIF(General!$U$13:$U$19,AX$12))),$I64,"")</f>
        <v/>
      </c>
      <c r="AY64" s="390" t="str">
        <f>IF(AND(AY$12&gt;=$E64,AY$12&lt;=$F64,MOD(AY$12,7)&gt;1,NOT(COUNTIF(General!$U$13:$U$19,AY$12))),$I64,"")</f>
        <v/>
      </c>
      <c r="AZ64" s="390" t="str">
        <f>IF(AND(AZ$12&gt;=$E64,AZ$12&lt;=$F64,MOD(AZ$12,7)&gt;1,NOT(COUNTIF(General!$U$13:$U$19,AZ$12))),$I64,"")</f>
        <v/>
      </c>
      <c r="BA64" s="390" t="str">
        <f>IF(AND(BA$12&gt;=$E64,BA$12&lt;=$F64,MOD(BA$12,7)&gt;1,NOT(COUNTIF(General!$U$13:$U$19,BA$12))),$I64,"")</f>
        <v/>
      </c>
      <c r="BB64" s="390" t="str">
        <f>IF(AND(BB$12&gt;=$E64,BB$12&lt;=$F64,MOD(BB$12,7)&gt;1,NOT(COUNTIF(General!$U$13:$U$19,BB$12))),$I64,"")</f>
        <v/>
      </c>
      <c r="BC64" s="390" t="str">
        <f>IF(AND(BC$12&gt;=$E64,BC$12&lt;=$F64,MOD(BC$12,7)&gt;1,NOT(COUNTIF(General!$U$13:$U$19,BC$12))),$I64,"")</f>
        <v/>
      </c>
      <c r="BD64" s="390" t="str">
        <f>IF(AND(BD$12&gt;=$E64,BD$12&lt;=$F64,MOD(BD$12,7)&gt;1,NOT(COUNTIF(General!$U$13:$U$19,BD$12))),$I64,"")</f>
        <v/>
      </c>
      <c r="BE64" s="390" t="str">
        <f>IF(AND(BE$12&gt;=$E64,BE$12&lt;=$F64,MOD(BE$12,7)&gt;1,NOT(COUNTIF(General!$U$13:$U$19,BE$12))),$I64,"")</f>
        <v/>
      </c>
      <c r="BF64" s="390" t="str">
        <f>IF(AND(BF$12&gt;=$E64,BF$12&lt;=$F64,MOD(BF$12,7)&gt;1,NOT(COUNTIF(General!$U$13:$U$19,BF$12))),$I64,"")</f>
        <v/>
      </c>
      <c r="BG64" s="390" t="str">
        <f>IF(AND(BG$12&gt;=$E64,BG$12&lt;=$F64,MOD(BG$12,7)&gt;1,NOT(COUNTIF(General!$U$13:$U$19,BG$12))),$I64,"")</f>
        <v/>
      </c>
      <c r="BH64" s="390" t="str">
        <f>IF(AND(BH$12&gt;=$E64,BH$12&lt;=$F64,MOD(BH$12,7)&gt;1,NOT(COUNTIF(General!$U$13:$U$19,BH$12))),$I64,"")</f>
        <v/>
      </c>
      <c r="BI64" s="390" t="str">
        <f>IF(AND(BI$12&gt;=$E64,BI$12&lt;=$F64,MOD(BI$12,7)&gt;1,NOT(COUNTIF(General!$U$13:$U$19,BI$12))),$I64,"")</f>
        <v/>
      </c>
      <c r="BJ64" s="390" t="str">
        <f>IF(AND(BJ$12&gt;=$E64,BJ$12&lt;=$F64,MOD(BJ$12,7)&gt;1,NOT(COUNTIF(General!$U$13:$U$19,BJ$12))),$I64,"")</f>
        <v/>
      </c>
      <c r="BK64" s="390" t="str">
        <f>IF(AND(BK$12&gt;=$E64,BK$12&lt;=$F64,MOD(BK$12,7)&gt;1,NOT(COUNTIF(General!$U$13:$U$19,BK$12))),$I64,"")</f>
        <v/>
      </c>
      <c r="BL64" s="390" t="str">
        <f>IF(AND(BL$12&gt;=$E64,BL$12&lt;=$F64,MOD(BL$12,7)&gt;1,NOT(COUNTIF(General!$U$13:$U$19,BL$12))),$I64,"")</f>
        <v/>
      </c>
      <c r="BM64" s="390" t="str">
        <f>IF(AND(BM$12&gt;=$E64,BM$12&lt;=$F64,MOD(BM$12,7)&gt;1,NOT(COUNTIF(General!$U$13:$U$19,BM$12))),$I64,"")</f>
        <v/>
      </c>
      <c r="BN64" s="390" t="str">
        <f>IF(AND(BN$12&gt;=$E64,BN$12&lt;=$F64,MOD(BN$12,7)&gt;1,NOT(COUNTIF(General!$U$13:$U$19,BN$12))),$I64,"")</f>
        <v/>
      </c>
      <c r="BO64" s="390" t="str">
        <f>IF(AND(BO$12&gt;=$E64,BO$12&lt;=$F64,MOD(BO$12,7)&gt;1,NOT(COUNTIF(General!$U$13:$U$19,BO$12))),$I64,"")</f>
        <v/>
      </c>
      <c r="BP64" s="390" t="str">
        <f>IF(AND(BP$12&gt;=$E64,BP$12&lt;=$F64,MOD(BP$12,7)&gt;1,NOT(COUNTIF(General!$U$13:$U$19,BP$12))),$I64,"")</f>
        <v/>
      </c>
      <c r="BQ64" s="390" t="str">
        <f>IF(AND(BQ$12&gt;=$E64,BQ$12&lt;=$F64,MOD(BQ$12,7)&gt;1,NOT(COUNTIF(General!$U$13:$U$19,BQ$12))),$I64,"")</f>
        <v/>
      </c>
      <c r="BR64" s="390" t="str">
        <f>IF(AND(BR$12&gt;=$E64,BR$12&lt;=$F64,MOD(BR$12,7)&gt;1,NOT(COUNTIF(General!$U$13:$U$19,BR$12))),$I64,"")</f>
        <v/>
      </c>
      <c r="BS64" s="390" t="str">
        <f>IF(AND(BS$12&gt;=$E64,BS$12&lt;=$F64,MOD(BS$12,7)&gt;1,NOT(COUNTIF(General!$U$13:$U$19,BS$12))),$I64,"")</f>
        <v/>
      </c>
      <c r="BT64" s="390" t="str">
        <f>IF(AND(BT$12&gt;=$E64,BT$12&lt;=$F64,MOD(BT$12,7)&gt;1,NOT(COUNTIF(General!$U$13:$U$19,BT$12))),$I64,"")</f>
        <v/>
      </c>
      <c r="BU64" s="390" t="str">
        <f>IF(AND(BU$12&gt;=$E64,BU$12&lt;=$F64,MOD(BU$12,7)&gt;1,NOT(COUNTIF(General!$U$13:$U$19,BU$12))),$I64,"")</f>
        <v/>
      </c>
      <c r="BV64" s="390" t="str">
        <f>IF(AND(BV$12&gt;=$E64,BV$12&lt;=$F64,MOD(BV$12,7)&gt;1,NOT(COUNTIF(General!$U$13:$U$19,BV$12))),$I64,"")</f>
        <v/>
      </c>
      <c r="BW64" s="390" t="str">
        <f>IF(AND(BW$12&gt;=$E64,BW$12&lt;=$F64,MOD(BW$12,7)&gt;1,NOT(COUNTIF(General!$U$13:$U$19,BW$12))),$I64,"")</f>
        <v/>
      </c>
      <c r="BX64" s="390" t="str">
        <f>IF(AND(BX$12&gt;=$E64,BX$12&lt;=$F64,MOD(BX$12,7)&gt;1,NOT(COUNTIF(General!$U$13:$U$19,BX$12))),$I64,"")</f>
        <v/>
      </c>
      <c r="BY64" s="390" t="str">
        <f>IF(AND(BY$12&gt;=$E64,BY$12&lt;=$F64,MOD(BY$12,7)&gt;1,NOT(COUNTIF(General!$U$13:$U$19,BY$12))),$I64,"")</f>
        <v/>
      </c>
      <c r="BZ64" s="390" t="str">
        <f>IF(AND(BZ$12&gt;=$E64,BZ$12&lt;=$F64,MOD(BZ$12,7)&gt;1,NOT(COUNTIF(General!$U$13:$U$19,BZ$12))),$I64,"")</f>
        <v/>
      </c>
      <c r="CA64" s="390" t="str">
        <f>IF(AND(CA$12&gt;=$E64,CA$12&lt;=$F64,MOD(CA$12,7)&gt;1,NOT(COUNTIF(General!$U$13:$U$19,CA$12))),$I64,"")</f>
        <v/>
      </c>
      <c r="CB64" s="390" t="str">
        <f>IF(AND(CB$12&gt;=$E64,CB$12&lt;=$F64,MOD(CB$12,7)&gt;1,NOT(COUNTIF(General!$U$13:$U$19,CB$12))),$I64,"")</f>
        <v/>
      </c>
      <c r="CC64" s="390" t="str">
        <f>IF(AND(CC$12&gt;=$E64,CC$12&lt;=$F64,MOD(CC$12,7)&gt;1,NOT(COUNTIF(General!$U$13:$U$19,CC$12))),$I64,"")</f>
        <v/>
      </c>
      <c r="CD64" s="390" t="str">
        <f>IF(AND(CD$12&gt;=$E64,CD$12&lt;=$F64,MOD(CD$12,7)&gt;1,NOT(COUNTIF(General!$U$13:$U$19,CD$12))),$I64,"")</f>
        <v/>
      </c>
      <c r="CE64" s="390" t="str">
        <f>IF(AND(CE$12&gt;=$E64,CE$12&lt;=$F64,MOD(CE$12,7)&gt;1,NOT(COUNTIF(General!$U$13:$U$19,CE$12))),$I64,"")</f>
        <v/>
      </c>
      <c r="CF64" s="390" t="str">
        <f>IF(AND(CF$12&gt;=$E64,CF$12&lt;=$F64,MOD(CF$12,7)&gt;1,NOT(COUNTIF(General!$U$13:$U$19,CF$12))),$I64,"")</f>
        <v/>
      </c>
      <c r="CG64" s="390" t="str">
        <f>IF(AND(CG$12&gt;=$E64,CG$12&lt;=$F64,MOD(CG$12,7)&gt;1,NOT(COUNTIF(General!$U$13:$U$19,CG$12))),$I64,"")</f>
        <v/>
      </c>
      <c r="CH64" s="390" t="str">
        <f>IF(AND(CH$12&gt;=$E64,CH$12&lt;=$F64,MOD(CH$12,7)&gt;1,NOT(COUNTIF(General!$U$13:$U$19,CH$12))),$I64,"")</f>
        <v/>
      </c>
      <c r="CI64" s="390" t="str">
        <f>IF(AND(CI$12&gt;=$E64,CI$12&lt;=$F64,MOD(CI$12,7)&gt;1,NOT(COUNTIF(General!$U$13:$U$19,CI$12))),$I64,"")</f>
        <v/>
      </c>
      <c r="CJ64" s="390" t="str">
        <f>IF(AND(CJ$12&gt;=$E64,CJ$12&lt;=$F64,MOD(CJ$12,7)&gt;1,NOT(COUNTIF(General!$U$13:$U$19,CJ$12))),$I64,"")</f>
        <v/>
      </c>
      <c r="CK64" s="390" t="str">
        <f>IF(AND(CK$12&gt;=$E64,CK$12&lt;=$F64,MOD(CK$12,7)&gt;1,NOT(COUNTIF(General!$U$13:$U$19,CK$12))),$I64,"")</f>
        <v/>
      </c>
      <c r="CL64" s="390" t="str">
        <f>IF(AND(CL$12&gt;=$E64,CL$12&lt;=$F64,MOD(CL$12,7)&gt;1,NOT(COUNTIF(General!$U$13:$U$19,CL$12))),$I64,"")</f>
        <v/>
      </c>
      <c r="CM64" s="390" t="str">
        <f>IF(AND(CM$12&gt;=$E64,CM$12&lt;=$F64,MOD(CM$12,7)&gt;1,NOT(COUNTIF(General!$U$13:$U$19,CM$12))),$I64,"")</f>
        <v/>
      </c>
      <c r="CN64" s="390" t="str">
        <f>IF(AND(CN$12&gt;=$E64,CN$12&lt;=$F64,MOD(CN$12,7)&gt;1,NOT(COUNTIF(General!$U$13:$U$19,CN$12))),$I64,"")</f>
        <v/>
      </c>
      <c r="CO64" s="390" t="str">
        <f>IF(AND(CO$12&gt;=$E64,CO$12&lt;=$F64,MOD(CO$12,7)&gt;1,NOT(COUNTIF(General!$U$13:$U$19,CO$12))),$I64,"")</f>
        <v/>
      </c>
      <c r="CP64" s="390" t="str">
        <f>IF(AND(CP$12&gt;=$E64,CP$12&lt;=$F64,MOD(CP$12,7)&gt;1,NOT(COUNTIF(General!$U$13:$U$19,CP$12))),$I64,"")</f>
        <v/>
      </c>
      <c r="CQ64" s="390" t="str">
        <f>IF(AND(CQ$12&gt;=$E64,CQ$12&lt;=$F64,MOD(CQ$12,7)&gt;1,NOT(COUNTIF(General!$U$13:$U$19,CQ$12))),$I64,"")</f>
        <v/>
      </c>
      <c r="CR64" s="390" t="str">
        <f>IF(AND(CR$12&gt;=$E64,CR$12&lt;=$F64,MOD(CR$12,7)&gt;1,NOT(COUNTIF(General!$U$13:$U$19,CR$12))),$I64,"")</f>
        <v/>
      </c>
      <c r="CS64" s="390" t="str">
        <f>IF(AND(CS$12&gt;=$E64,CS$12&lt;=$F64,MOD(CS$12,7)&gt;1,NOT(COUNTIF(General!$U$13:$U$19,CS$12))),$I64,"")</f>
        <v/>
      </c>
      <c r="CT64" s="390" t="str">
        <f>IF(AND(CT$12&gt;=$E64,CT$12&lt;=$F64,MOD(CT$12,7)&gt;1,NOT(COUNTIF(General!$U$13:$U$19,CT$12))),$I64,"")</f>
        <v/>
      </c>
      <c r="CU64" s="390" t="str">
        <f>IF(AND(CU$12&gt;=$E64,CU$12&lt;=$F64,MOD(CU$12,7)&gt;1,NOT(COUNTIF(General!$U$13:$U$19,CU$12))),$I64,"")</f>
        <v/>
      </c>
      <c r="CV64" s="390" t="str">
        <f>IF(AND(CV$12&gt;=$E64,CV$12&lt;=$F64,MOD(CV$12,7)&gt;1,NOT(COUNTIF(General!$U$13:$U$19,CV$12))),$I64,"")</f>
        <v/>
      </c>
      <c r="CW64" s="390" t="str">
        <f>IF(AND(CW$12&gt;=$E64,CW$12&lt;=$F64,MOD(CW$12,7)&gt;1,NOT(COUNTIF(General!$U$13:$U$19,CW$12))),$I64,"")</f>
        <v/>
      </c>
      <c r="CX64" s="390" t="str">
        <f>IF(AND(CX$12&gt;=$E64,CX$12&lt;=$F64,MOD(CX$12,7)&gt;1,NOT(COUNTIF(General!$U$13:$U$19,CX$12))),$I64,"")</f>
        <v/>
      </c>
      <c r="CY64" s="390" t="str">
        <f>IF(AND(CY$12&gt;=$E64,CY$12&lt;=$F64,MOD(CY$12,7)&gt;1,NOT(COUNTIF(General!$U$13:$U$19,CY$12))),$I64,"")</f>
        <v/>
      </c>
      <c r="CZ64" s="390" t="str">
        <f>IF(AND(CZ$12&gt;=$E64,CZ$12&lt;=$F64,MOD(CZ$12,7)&gt;1,NOT(COUNTIF(General!$U$13:$U$19,CZ$12))),$I64,"")</f>
        <v/>
      </c>
      <c r="DA64" s="390" t="str">
        <f>IF(AND(DA$12&gt;=$E64,DA$12&lt;=$F64,MOD(DA$12,7)&gt;1,NOT(COUNTIF(General!$U$13:$U$19,DA$12))),$I64,"")</f>
        <v/>
      </c>
      <c r="DB64" s="390" t="str">
        <f>IF(AND(DB$12&gt;=$E64,DB$12&lt;=$F64,MOD(DB$12,7)&gt;1,NOT(COUNTIF(General!$U$13:$U$19,DB$12))),$I64,"")</f>
        <v/>
      </c>
      <c r="DC64" s="390" t="str">
        <f>IF(AND(DC$12&gt;=$E64,DC$12&lt;=$F64,MOD(DC$12,7)&gt;1,NOT(COUNTIF(General!$U$13:$U$19,DC$12))),$I64,"")</f>
        <v/>
      </c>
      <c r="DD64" s="390" t="str">
        <f>IF(AND(DD$12&gt;=$E64,DD$12&lt;=$F64,MOD(DD$12,7)&gt;1,NOT(COUNTIF(General!$U$13:$U$19,DD$12))),$I64,"")</f>
        <v/>
      </c>
      <c r="DE64" s="390" t="str">
        <f>IF(AND(DE$12&gt;=$E64,DE$12&lt;=$F64,MOD(DE$12,7)&gt;1,NOT(COUNTIF(General!$U$13:$U$19,DE$12))),$I64,"")</f>
        <v/>
      </c>
      <c r="DF64" s="390" t="str">
        <f>IF(AND(DF$12&gt;=$E64,DF$12&lt;=$F64,MOD(DF$12,7)&gt;1,NOT(COUNTIF(General!$U$13:$U$19,DF$12))),$I64,"")</f>
        <v/>
      </c>
      <c r="DG64" s="390" t="str">
        <f>IF(AND(DG$12&gt;=$E64,DG$12&lt;=$F64,MOD(DG$12,7)&gt;1,NOT(COUNTIF(General!$U$13:$U$19,DG$12))),$I64,"")</f>
        <v/>
      </c>
      <c r="DH64" s="390" t="str">
        <f>IF(AND(DH$12&gt;=$E64,DH$12&lt;=$F64,MOD(DH$12,7)&gt;1,NOT(COUNTIF(General!$U$13:$U$19,DH$12))),$I64,"")</f>
        <v/>
      </c>
      <c r="DI64" s="390" t="str">
        <f>IF(AND(DI$12&gt;=$E64,DI$12&lt;=$F64,MOD(DI$12,7)&gt;1,NOT(COUNTIF(General!$U$13:$U$19,DI$12))),$I64,"")</f>
        <v/>
      </c>
      <c r="DJ64" s="390" t="str">
        <f>IF(AND(DJ$12&gt;=$E64,DJ$12&lt;=$F64,MOD(DJ$12,7)&gt;1,NOT(COUNTIF(General!$U$13:$U$19,DJ$12))),$I64,"")</f>
        <v/>
      </c>
      <c r="DK64" s="390" t="str">
        <f>IF(AND(DK$12&gt;=$E64,DK$12&lt;=$F64,MOD(DK$12,7)&gt;1,NOT(COUNTIF(General!$U$13:$U$19,DK$12))),$I64,"")</f>
        <v/>
      </c>
      <c r="DL64" s="390" t="str">
        <f>IF(AND(DL$12&gt;=$E64,DL$12&lt;=$F64,MOD(DL$12,7)&gt;1,NOT(COUNTIF(General!$U$13:$U$19,DL$12))),$I64,"")</f>
        <v/>
      </c>
      <c r="DM64" s="390" t="str">
        <f>IF(AND(DM$12&gt;=$E64,DM$12&lt;=$F64,MOD(DM$12,7)&gt;1,NOT(COUNTIF(General!$U$13:$U$19,DM$12))),$I64,"")</f>
        <v/>
      </c>
      <c r="DN64" s="390" t="str">
        <f>IF(AND(DN$12&gt;=$E64,DN$12&lt;=$F64,MOD(DN$12,7)&gt;1,NOT(COUNTIF(General!$U$13:$U$19,DN$12))),$I64,"")</f>
        <v/>
      </c>
      <c r="DO64" s="390" t="str">
        <f>IF(AND(DO$12&gt;=$E64,DO$12&lt;=$F64,MOD(DO$12,7)&gt;1,NOT(COUNTIF(General!$U$13:$U$19,DO$12))),$I64,"")</f>
        <v/>
      </c>
      <c r="DP64" s="390" t="str">
        <f>IF(AND(DP$12&gt;=$E64,DP$12&lt;=$F64,MOD(DP$12,7)&gt;1,NOT(COUNTIF(General!$U$13:$U$19,DP$12))),$I64,"")</f>
        <v/>
      </c>
      <c r="DQ64" s="390" t="str">
        <f>IF(AND(DQ$12&gt;=$E64,DQ$12&lt;=$F64,MOD(DQ$12,7)&gt;1,NOT(COUNTIF(General!$U$13:$U$19,DQ$12))),$I64,"")</f>
        <v/>
      </c>
      <c r="DR64" s="390" t="str">
        <f>IF(AND(DR$12&gt;=$E64,DR$12&lt;=$F64,MOD(DR$12,7)&gt;1,NOT(COUNTIF(General!$U$13:$U$19,DR$12))),$I64,"")</f>
        <v/>
      </c>
      <c r="DS64" s="390" t="str">
        <f>IF(AND(DS$12&gt;=$E64,DS$12&lt;=$F64,MOD(DS$12,7)&gt;1,NOT(COUNTIF(General!$U$13:$U$19,DS$12))),$I64,"")</f>
        <v/>
      </c>
      <c r="DT64" s="390" t="str">
        <f>IF(AND(DT$12&gt;=$E64,DT$12&lt;=$F64,MOD(DT$12,7)&gt;1,NOT(COUNTIF(General!$U$13:$U$19,DT$12))),$I64,"")</f>
        <v/>
      </c>
      <c r="DU64" s="390" t="str">
        <f>IF(AND(DU$12&gt;=$E64,DU$12&lt;=$F64,MOD(DU$12,7)&gt;1,NOT(COUNTIF(General!$U$13:$U$19,DU$12))),$I64,"")</f>
        <v/>
      </c>
      <c r="DV64" s="390" t="str">
        <f>IF(AND(DV$12&gt;=$E64,DV$12&lt;=$F64,MOD(DV$12,7)&gt;1,NOT(COUNTIF(General!$U$13:$U$19,DV$12))),$I64,"")</f>
        <v/>
      </c>
      <c r="DW64" s="390" t="str">
        <f>IF(AND(DW$12&gt;=$E64,DW$12&lt;=$F64,MOD(DW$12,7)&gt;1,NOT(COUNTIF(General!$U$13:$U$19,DW$12))),$I64,"")</f>
        <v/>
      </c>
      <c r="DX64" s="390" t="str">
        <f>IF(AND(DX$12&gt;=$E64,DX$12&lt;=$F64,MOD(DX$12,7)&gt;1,NOT(COUNTIF(General!$U$13:$U$19,DX$12))),$I64,"")</f>
        <v/>
      </c>
      <c r="DY64" s="390" t="str">
        <f>IF(AND(DY$12&gt;=$E64,DY$12&lt;=$F64,MOD(DY$12,7)&gt;1,NOT(COUNTIF(General!$U$13:$U$19,DY$12))),$I64,"")</f>
        <v/>
      </c>
      <c r="DZ64" s="390" t="str">
        <f>IF(AND(DZ$12&gt;=$E64,DZ$12&lt;=$F64,MOD(DZ$12,7)&gt;1,NOT(COUNTIF(General!$U$13:$U$19,DZ$12))),$I64,"")</f>
        <v/>
      </c>
      <c r="EA64" s="390" t="str">
        <f>IF(AND(EA$12&gt;=$E64,EA$12&lt;=$F64,MOD(EA$12,7)&gt;1,NOT(COUNTIF(General!$U$13:$U$19,EA$12))),$I64,"")</f>
        <v/>
      </c>
      <c r="EB64" s="390" t="str">
        <f>IF(AND(EB$12&gt;=$E64,EB$12&lt;=$F64,MOD(EB$12,7)&gt;1,NOT(COUNTIF(General!$U$13:$U$19,EB$12))),$I64,"")</f>
        <v/>
      </c>
      <c r="EC64" s="390" t="str">
        <f>IF(AND(EC$12&gt;=$E64,EC$12&lt;=$F64,MOD(EC$12,7)&gt;1,NOT(COUNTIF(General!$U$13:$U$19,EC$12))),$I64,"")</f>
        <v/>
      </c>
      <c r="ED64" s="390" t="str">
        <f>IF(AND(ED$12&gt;=$E64,ED$12&lt;=$F64,MOD(ED$12,7)&gt;1,NOT(COUNTIF(General!$U$13:$U$19,ED$12))),$I64,"")</f>
        <v/>
      </c>
      <c r="EE64" s="390" t="str">
        <f>IF(AND(EE$12&gt;=$E64,EE$12&lt;=$F64,MOD(EE$12,7)&gt;1,NOT(COUNTIF(General!$U$13:$U$19,EE$12))),$I64,"")</f>
        <v/>
      </c>
      <c r="EF64" s="390" t="str">
        <f>IF(AND(EF$12&gt;=$E64,EF$12&lt;=$F64,MOD(EF$12,7)&gt;1,NOT(COUNTIF(General!$U$13:$U$19,EF$12))),$I64,"")</f>
        <v/>
      </c>
      <c r="EG64" s="390" t="str">
        <f>IF(AND(EG$12&gt;=$E64,EG$12&lt;=$F64,MOD(EG$12,7)&gt;1,NOT(COUNTIF(General!$U$13:$U$19,EG$12))),$I64,"")</f>
        <v/>
      </c>
      <c r="EH64" s="390" t="str">
        <f>IF(AND(EH$12&gt;=$E64,EH$12&lt;=$F64,MOD(EH$12,7)&gt;1,NOT(COUNTIF(General!$U$13:$U$19,EH$12))),$I64,"")</f>
        <v/>
      </c>
      <c r="EI64" s="390" t="str">
        <f>IF(AND(EI$12&gt;=$E64,EI$12&lt;=$F64,MOD(EI$12,7)&gt;1,NOT(COUNTIF(General!$U$13:$U$19,EI$12))),$I64,"")</f>
        <v/>
      </c>
      <c r="EJ64" s="390" t="str">
        <f>IF(AND(EJ$12&gt;=$E64,EJ$12&lt;=$F64,MOD(EJ$12,7)&gt;1,NOT(COUNTIF(General!$U$13:$U$19,EJ$12))),$I64,"")</f>
        <v/>
      </c>
      <c r="EK64" s="390" t="str">
        <f>IF(AND(EK$12&gt;=$E64,EK$12&lt;=$F64,MOD(EK$12,7)&gt;1,NOT(COUNTIF(General!$U$13:$U$19,EK$12))),$I64,"")</f>
        <v/>
      </c>
      <c r="EL64" s="390" t="str">
        <f>IF(AND(EL$12&gt;=$E64,EL$12&lt;=$F64,MOD(EL$12,7)&gt;1,NOT(COUNTIF(General!$U$13:$U$19,EL$12))),$I64,"")</f>
        <v/>
      </c>
      <c r="EM64" s="390" t="str">
        <f>IF(AND(EM$12&gt;=$E64,EM$12&lt;=$F64,MOD(EM$12,7)&gt;1,NOT(COUNTIF(General!$U$13:$U$19,EM$12))),$I64,"")</f>
        <v/>
      </c>
      <c r="EN64" s="390" t="str">
        <f>IF(AND(EN$12&gt;=$E64,EN$12&lt;=$F64,MOD(EN$12,7)&gt;1,NOT(COUNTIF(General!$U$13:$U$19,EN$12))),$I64,"")</f>
        <v/>
      </c>
      <c r="EO64" s="390" t="str">
        <f>IF(AND(EO$12&gt;=$E64,EO$12&lt;=$F64,MOD(EO$12,7)&gt;1,NOT(COUNTIF(General!$U$13:$U$19,EO$12))),$I64,"")</f>
        <v/>
      </c>
      <c r="EP64" s="390" t="str">
        <f>IF(AND(EP$12&gt;=$E64,EP$12&lt;=$F64,MOD(EP$12,7)&gt;1,NOT(COUNTIF(General!$U$13:$U$19,EP$12))),$I64,"")</f>
        <v/>
      </c>
      <c r="EQ64" s="390" t="str">
        <f>IF(AND(EQ$12&gt;=$E64,EQ$12&lt;=$F64,MOD(EQ$12,7)&gt;1,NOT(COUNTIF(General!$U$13:$U$19,EQ$12))),$I64,"")</f>
        <v/>
      </c>
      <c r="ER64" s="390" t="str">
        <f>IF(AND(ER$12&gt;=$E64,ER$12&lt;=$F64,MOD(ER$12,7)&gt;1,NOT(COUNTIF(General!$U$13:$U$19,ER$12))),$I64,"")</f>
        <v/>
      </c>
      <c r="ES64" s="390" t="str">
        <f>IF(AND(ES$12&gt;=$E64,ES$12&lt;=$F64,MOD(ES$12,7)&gt;1,NOT(COUNTIF(General!$U$13:$U$19,ES$12))),$I64,"")</f>
        <v/>
      </c>
      <c r="ET64" s="390" t="str">
        <f>IF(AND(ET$12&gt;=$E64,ET$12&lt;=$F64,MOD(ET$12,7)&gt;1,NOT(COUNTIF(General!$U$13:$U$19,ET$12))),$I64,"")</f>
        <v/>
      </c>
      <c r="EU64" s="390" t="str">
        <f>IF(AND(EU$12&gt;=$E64,EU$12&lt;=$F64,MOD(EU$12,7)&gt;1,NOT(COUNTIF(General!$U$13:$U$19,EU$12))),$I64,"")</f>
        <v/>
      </c>
      <c r="EV64" s="390" t="str">
        <f>IF(AND(EV$12&gt;=$E64,EV$12&lt;=$F64,MOD(EV$12,7)&gt;1,NOT(COUNTIF(General!$U$13:$U$19,EV$12))),$I64,"")</f>
        <v/>
      </c>
      <c r="EW64" s="390" t="str">
        <f>IF(AND(EW$12&gt;=$E64,EW$12&lt;=$F64,MOD(EW$12,7)&gt;1,NOT(COUNTIF(General!$U$13:$U$19,EW$12))),$I64,"")</f>
        <v/>
      </c>
      <c r="EX64" s="390" t="str">
        <f>IF(AND(EX$12&gt;=$E64,EX$12&lt;=$F64,MOD(EX$12,7)&gt;1,NOT(COUNTIF(General!$U$13:$U$19,EX$12))),$I64,"")</f>
        <v/>
      </c>
      <c r="EY64" s="390" t="str">
        <f>IF(AND(EY$12&gt;=$E64,EY$12&lt;=$F64,MOD(EY$12,7)&gt;1,NOT(COUNTIF(General!$U$13:$U$19,EY$12))),$I64,"")</f>
        <v/>
      </c>
      <c r="EZ64" s="390" t="str">
        <f>IF(AND(EZ$12&gt;=$E64,EZ$12&lt;=$F64,MOD(EZ$12,7)&gt;1,NOT(COUNTIF(General!$U$13:$U$19,EZ$12))),$I64,"")</f>
        <v/>
      </c>
      <c r="FA64" s="390" t="str">
        <f>IF(AND(FA$12&gt;=$E64,FA$12&lt;=$F64,MOD(FA$12,7)&gt;1,NOT(COUNTIF(General!$U$13:$U$19,FA$12))),$I64,"")</f>
        <v/>
      </c>
      <c r="FB64" s="390" t="str">
        <f>IF(AND(FB$12&gt;=$E64,FB$12&lt;=$F64,MOD(FB$12,7)&gt;1,NOT(COUNTIF(General!$U$13:$U$19,FB$12))),$I64,"")</f>
        <v/>
      </c>
      <c r="FC64" s="390" t="str">
        <f>IF(AND(FC$12&gt;=$E64,FC$12&lt;=$F64,MOD(FC$12,7)&gt;1,NOT(COUNTIF(General!$U$13:$U$19,FC$12))),$I64,"")</f>
        <v/>
      </c>
      <c r="FD64" s="390" t="str">
        <f>IF(AND(FD$12&gt;=$E64,FD$12&lt;=$F64,MOD(FD$12,7)&gt;1,NOT(COUNTIF(General!$U$13:$U$19,FD$12))),$I64,"")</f>
        <v/>
      </c>
      <c r="FE64" s="390" t="str">
        <f>IF(AND(FE$12&gt;=$E64,FE$12&lt;=$F64,MOD(FE$12,7)&gt;1,NOT(COUNTIF(General!$U$13:$U$19,FE$12))),$I64,"")</f>
        <v/>
      </c>
      <c r="FF64" s="390" t="str">
        <f>IF(AND(FF$12&gt;=$E64,FF$12&lt;=$F64,MOD(FF$12,7)&gt;1,NOT(COUNTIF(General!$U$13:$U$19,FF$12))),$I64,"")</f>
        <v/>
      </c>
      <c r="FG64" s="390" t="str">
        <f>IF(AND(FG$12&gt;=$E64,FG$12&lt;=$F64,MOD(FG$12,7)&gt;1,NOT(COUNTIF(General!$U$13:$U$19,FG$12))),$I64,"")</f>
        <v/>
      </c>
      <c r="FH64" s="390" t="str">
        <f>IF(AND(FH$12&gt;=$E64,FH$12&lt;=$F64,MOD(FH$12,7)&gt;1,NOT(COUNTIF(General!$U$13:$U$19,FH$12))),$I64,"")</f>
        <v/>
      </c>
      <c r="FI64" s="390" t="str">
        <f>IF(AND(FI$12&gt;=$E64,FI$12&lt;=$F64,MOD(FI$12,7)&gt;1,NOT(COUNTIF(General!$U$13:$U$19,FI$12))),$I64,"")</f>
        <v/>
      </c>
      <c r="FJ64" s="390" t="str">
        <f>IF(AND(FJ$12&gt;=$E64,FJ$12&lt;=$F64,MOD(FJ$12,7)&gt;1,NOT(COUNTIF(General!$U$13:$U$19,FJ$12))),$I64,"")</f>
        <v/>
      </c>
      <c r="FK64" s="390" t="str">
        <f>IF(AND(FK$12&gt;=$E64,FK$12&lt;=$F64,MOD(FK$12,7)&gt;1,NOT(COUNTIF(General!$U$13:$U$19,FK$12))),$I64,"")</f>
        <v/>
      </c>
      <c r="FL64" s="390" t="str">
        <f>IF(AND(FL$12&gt;=$E64,FL$12&lt;=$F64,MOD(FL$12,7)&gt;1,NOT(COUNTIF(General!$U$13:$U$19,FL$12))),$I64,"")</f>
        <v/>
      </c>
      <c r="FM64" s="390" t="str">
        <f>IF(AND(FM$12&gt;=$E64,FM$12&lt;=$F64,MOD(FM$12,7)&gt;1,NOT(COUNTIF(General!$U$13:$U$19,FM$12))),$I64,"")</f>
        <v/>
      </c>
      <c r="FN64" s="390" t="str">
        <f>IF(AND(FN$12&gt;=$E64,FN$12&lt;=$F64,MOD(FN$12,7)&gt;1,NOT(COUNTIF(General!$U$13:$U$19,FN$12))),$I64,"")</f>
        <v/>
      </c>
      <c r="FO64" s="390" t="str">
        <f>IF(AND(FO$12&gt;=$E64,FO$12&lt;=$F64,MOD(FO$12,7)&gt;1,NOT(COUNTIF(General!$U$13:$U$19,FO$12))),$I64,"")</f>
        <v/>
      </c>
      <c r="FP64" s="390" t="str">
        <f>IF(AND(FP$12&gt;=$E64,FP$12&lt;=$F64,MOD(FP$12,7)&gt;1,NOT(COUNTIF(General!$U$13:$U$19,FP$12))),$I64,"")</f>
        <v/>
      </c>
      <c r="FQ64" s="390" t="str">
        <f>IF(AND(FQ$12&gt;=$E64,FQ$12&lt;=$F64,MOD(FQ$12,7)&gt;1,NOT(COUNTIF(General!$U$13:$U$19,FQ$12))),$I64,"")</f>
        <v/>
      </c>
      <c r="FR64" s="390" t="str">
        <f>IF(AND(FR$12&gt;=$E64,FR$12&lt;=$F64,MOD(FR$12,7)&gt;1,NOT(COUNTIF(General!$U$13:$U$19,FR$12))),$I64,"")</f>
        <v/>
      </c>
      <c r="FS64" s="390" t="str">
        <f>IF(AND(FS$12&gt;=$E64,FS$12&lt;=$F64,MOD(FS$12,7)&gt;1,NOT(COUNTIF(General!$U$13:$U$19,FS$12))),$I64,"")</f>
        <v/>
      </c>
      <c r="FT64" s="390" t="str">
        <f>IF(AND(FT$12&gt;=$E64,FT$12&lt;=$F64,MOD(FT$12,7)&gt;1,NOT(COUNTIF(General!$U$13:$U$19,FT$12))),$I64,"")</f>
        <v/>
      </c>
      <c r="FU64" s="390" t="str">
        <f>IF(AND(FU$12&gt;=$E64,FU$12&lt;=$F64,MOD(FU$12,7)&gt;1,NOT(COUNTIF(General!$U$13:$U$19,FU$12))),$I64,"")</f>
        <v/>
      </c>
      <c r="FV64" s="390" t="str">
        <f>IF(AND(FV$12&gt;=$E64,FV$12&lt;=$F64,MOD(FV$12,7)&gt;1,NOT(COUNTIF(General!$U$13:$U$19,FV$12))),$I64,"")</f>
        <v/>
      </c>
      <c r="FW64" s="390" t="str">
        <f>IF(AND(FW$12&gt;=$E64,FW$12&lt;=$F64,MOD(FW$12,7)&gt;1,NOT(COUNTIF(General!$U$13:$U$19,FW$12))),$I64,"")</f>
        <v/>
      </c>
      <c r="FX64" s="390" t="str">
        <f>IF(AND(FX$12&gt;=$E64,FX$12&lt;=$F64,MOD(FX$12,7)&gt;1,NOT(COUNTIF(General!$U$13:$U$19,FX$12))),$I64,"")</f>
        <v/>
      </c>
    </row>
    <row r="65" ht="16.5" customHeight="1">
      <c r="A65" s="613"/>
      <c r="B65" s="615"/>
      <c r="C65" s="370"/>
      <c r="D65" s="614"/>
      <c r="E65" s="599"/>
      <c r="F65" s="620"/>
      <c r="G65" s="600"/>
      <c r="H65" s="377"/>
      <c r="I65" s="379">
        <v>1.0</v>
      </c>
      <c r="J65" s="379"/>
      <c r="K65" s="381"/>
      <c r="L65" s="382"/>
      <c r="M65" s="383"/>
      <c r="N65" s="384"/>
      <c r="O65" s="386"/>
      <c r="P65" s="388"/>
      <c r="Q65" s="390" t="str">
        <f>IF(AND(Q$12&gt;=$E65,Q$12&lt;=$F65,MOD(Q$12,7)&gt;1,NOT(COUNTIF(General!$U$13:$U$19,Q$12))),$I65,"")</f>
        <v/>
      </c>
      <c r="R65" s="390" t="str">
        <f>IF(AND(R$12&gt;=$E65,R$12&lt;=$F65,MOD(R$12,7)&gt;1,NOT(COUNTIF(General!$U$13:$U$19,R$12))),$I65,"")</f>
        <v/>
      </c>
      <c r="S65" s="390" t="str">
        <f>IF(AND(S$12&gt;=$E65,S$12&lt;=$F65,MOD(S$12,7)&gt;1,NOT(COUNTIF(General!$U$13:$U$19,S$12))),$I65,"")</f>
        <v/>
      </c>
      <c r="T65" s="390" t="str">
        <f>IF(AND(T$12&gt;=$E65,T$12&lt;=$F65,MOD(T$12,7)&gt;1,NOT(COUNTIF(General!$U$13:$U$19,T$12))),$I65,"")</f>
        <v/>
      </c>
      <c r="U65" s="390" t="str">
        <f>IF(AND(U$12&gt;=$E65,U$12&lt;=$F65,MOD(U$12,7)&gt;1,NOT(COUNTIF(General!$U$13:$U$19,U$12))),$I65,"")</f>
        <v/>
      </c>
      <c r="V65" s="390" t="str">
        <f>IF(AND(V$12&gt;=$E65,V$12&lt;=$F65,MOD(V$12,7)&gt;1,NOT(COUNTIF(General!$U$13:$U$19,V$12))),$I65,"")</f>
        <v/>
      </c>
      <c r="W65" s="390" t="str">
        <f>IF(AND(W$12&gt;=$E65,W$12&lt;=$F65,MOD(W$12,7)&gt;1,NOT(COUNTIF(General!$U$13:$U$19,W$12))),$I65,"")</f>
        <v/>
      </c>
      <c r="X65" s="390" t="str">
        <f>IF(AND(X$12&gt;=$E65,X$12&lt;=$F65,MOD(X$12,7)&gt;1,NOT(COUNTIF(General!$U$13:$U$19,X$12))),$I65,"")</f>
        <v/>
      </c>
      <c r="Y65" s="390" t="str">
        <f>IF(AND(Y$12&gt;=$E65,Y$12&lt;=$F65,MOD(Y$12,7)&gt;1,NOT(COUNTIF(General!$U$13:$U$19,Y$12))),$I65,"")</f>
        <v/>
      </c>
      <c r="Z65" s="390" t="str">
        <f>IF(AND(Z$12&gt;=$E65,Z$12&lt;=$F65,MOD(Z$12,7)&gt;1,NOT(COUNTIF(General!$U$13:$U$19,Z$12))),$I65,"")</f>
        <v/>
      </c>
      <c r="AA65" s="390" t="str">
        <f>IF(AND(AA$12&gt;=$E65,AA$12&lt;=$F65,MOD(AA$12,7)&gt;1,NOT(COUNTIF(General!$U$13:$U$19,AA$12))),$I65,"")</f>
        <v/>
      </c>
      <c r="AB65" s="390" t="str">
        <f>IF(AND(AB$12&gt;=$E65,AB$12&lt;=$F65,MOD(AB$12,7)&gt;1,NOT(COUNTIF(General!$U$13:$U$19,AB$12))),$I65,"")</f>
        <v/>
      </c>
      <c r="AC65" s="390" t="str">
        <f>IF(AND(AC$12&gt;=$E65,AC$12&lt;=$F65,MOD(AC$12,7)&gt;1,NOT(COUNTIF(General!$U$13:$U$19,AC$12))),$I65,"")</f>
        <v/>
      </c>
      <c r="AD65" s="390" t="str">
        <f>IF(AND(AD$12&gt;=$E65,AD$12&lt;=$F65,MOD(AD$12,7)&gt;1,NOT(COUNTIF(General!$U$13:$U$19,AD$12))),$I65,"")</f>
        <v/>
      </c>
      <c r="AE65" s="390" t="str">
        <f>IF(AND(AE$12&gt;=$E65,AE$12&lt;=$F65,MOD(AE$12,7)&gt;1,NOT(COUNTIF(General!$U$13:$U$19,AE$12))),$I65,"")</f>
        <v/>
      </c>
      <c r="AF65" s="390" t="str">
        <f>IF(AND(AF$12&gt;=$E65,AF$12&lt;=$F65,MOD(AF$12,7)&gt;1,NOT(COUNTIF(General!$U$13:$U$19,AF$12))),$I65,"")</f>
        <v/>
      </c>
      <c r="AG65" s="390" t="str">
        <f>IF(AND(AG$12&gt;=$E65,AG$12&lt;=$F65,MOD(AG$12,7)&gt;1,NOT(COUNTIF(General!$U$13:$U$19,AG$12))),$I65,"")</f>
        <v/>
      </c>
      <c r="AH65" s="390" t="str">
        <f>IF(AND(AH$12&gt;=$E65,AH$12&lt;=$F65,MOD(AH$12,7)&gt;1,NOT(COUNTIF(General!$U$13:$U$19,AH$12))),$I65,"")</f>
        <v/>
      </c>
      <c r="AI65" s="390" t="str">
        <f>IF(AND(AI$12&gt;=$E65,AI$12&lt;=$F65,MOD(AI$12,7)&gt;1,NOT(COUNTIF(General!$U$13:$U$19,AI$12))),$I65,"")</f>
        <v/>
      </c>
      <c r="AJ65" s="390" t="str">
        <f>IF(AND(AJ$12&gt;=$E65,AJ$12&lt;=$F65,MOD(AJ$12,7)&gt;1,NOT(COUNTIF(General!$U$13:$U$19,AJ$12))),$I65,"")</f>
        <v/>
      </c>
      <c r="AK65" s="390" t="str">
        <f>IF(AND(AK$12&gt;=$E65,AK$12&lt;=$F65,MOD(AK$12,7)&gt;1,NOT(COUNTIF(General!$U$13:$U$19,AK$12))),$I65,"")</f>
        <v/>
      </c>
      <c r="AL65" s="390" t="str">
        <f>IF(AND(AL$12&gt;=$E65,AL$12&lt;=$F65,MOD(AL$12,7)&gt;1,NOT(COUNTIF(General!$U$13:$U$19,AL$12))),$I65,"")</f>
        <v/>
      </c>
      <c r="AM65" s="390" t="str">
        <f>IF(AND(AM$12&gt;=$E65,AM$12&lt;=$F65,MOD(AM$12,7)&gt;1,NOT(COUNTIF(General!$U$13:$U$19,AM$12))),$I65,"")</f>
        <v/>
      </c>
      <c r="AN65" s="390" t="str">
        <f>IF(AND(AN$12&gt;=$E65,AN$12&lt;=$F65,MOD(AN$12,7)&gt;1,NOT(COUNTIF(General!$U$13:$U$19,AN$12))),$I65,"")</f>
        <v/>
      </c>
      <c r="AO65" s="390" t="str">
        <f>IF(AND(AO$12&gt;=$E65,AO$12&lt;=$F65,MOD(AO$12,7)&gt;1,NOT(COUNTIF(General!$U$13:$U$19,AO$12))),$I65,"")</f>
        <v/>
      </c>
      <c r="AP65" s="390" t="str">
        <f>IF(AND(AP$12&gt;=$E65,AP$12&lt;=$F65,MOD(AP$12,7)&gt;1,NOT(COUNTIF(General!$U$13:$U$19,AP$12))),$I65,"")</f>
        <v/>
      </c>
      <c r="AQ65" s="390" t="str">
        <f>IF(AND(AQ$12&gt;=$E65,AQ$12&lt;=$F65,MOD(AQ$12,7)&gt;1,NOT(COUNTIF(General!$U$13:$U$19,AQ$12))),$I65,"")</f>
        <v/>
      </c>
      <c r="AR65" s="390" t="str">
        <f>IF(AND(AR$12&gt;=$E65,AR$12&lt;=$F65,MOD(AR$12,7)&gt;1,NOT(COUNTIF(General!$U$13:$U$19,AR$12))),$I65,"")</f>
        <v/>
      </c>
      <c r="AS65" s="390" t="str">
        <f>IF(AND(AS$12&gt;=$E65,AS$12&lt;=$F65,MOD(AS$12,7)&gt;1,NOT(COUNTIF(General!$U$13:$U$19,AS$12))),$I65,"")</f>
        <v/>
      </c>
      <c r="AT65" s="390" t="str">
        <f>IF(AND(AT$12&gt;=$E65,AT$12&lt;=$F65,MOD(AT$12,7)&gt;1,NOT(COUNTIF(General!$U$13:$U$19,AT$12))),$I65,"")</f>
        <v/>
      </c>
      <c r="AU65" s="390" t="str">
        <f>IF(AND(AU$12&gt;=$E65,AU$12&lt;=$F65,MOD(AU$12,7)&gt;1,NOT(COUNTIF(General!$U$13:$U$19,AU$12))),$I65,"")</f>
        <v/>
      </c>
      <c r="AV65" s="390" t="str">
        <f>IF(AND(AV$12&gt;=$E65,AV$12&lt;=$F65,MOD(AV$12,7)&gt;1,NOT(COUNTIF(General!$U$13:$U$19,AV$12))),$I65,"")</f>
        <v/>
      </c>
      <c r="AW65" s="390" t="str">
        <f>IF(AND(AW$12&gt;=$E65,AW$12&lt;=$F65,MOD(AW$12,7)&gt;1,NOT(COUNTIF(General!$U$13:$U$19,AW$12))),$I65,"")</f>
        <v/>
      </c>
      <c r="AX65" s="390" t="str">
        <f>IF(AND(AX$12&gt;=$E65,AX$12&lt;=$F65,MOD(AX$12,7)&gt;1,NOT(COUNTIF(General!$U$13:$U$19,AX$12))),$I65,"")</f>
        <v/>
      </c>
      <c r="AY65" s="390" t="str">
        <f>IF(AND(AY$12&gt;=$E65,AY$12&lt;=$F65,MOD(AY$12,7)&gt;1,NOT(COUNTIF(General!$U$13:$U$19,AY$12))),$I65,"")</f>
        <v/>
      </c>
      <c r="AZ65" s="390" t="str">
        <f>IF(AND(AZ$12&gt;=$E65,AZ$12&lt;=$F65,MOD(AZ$12,7)&gt;1,NOT(COUNTIF(General!$U$13:$U$19,AZ$12))),$I65,"")</f>
        <v/>
      </c>
      <c r="BA65" s="390" t="str">
        <f>IF(AND(BA$12&gt;=$E65,BA$12&lt;=$F65,MOD(BA$12,7)&gt;1,NOT(COUNTIF(General!$U$13:$U$19,BA$12))),$I65,"")</f>
        <v/>
      </c>
      <c r="BB65" s="390" t="str">
        <f>IF(AND(BB$12&gt;=$E65,BB$12&lt;=$F65,MOD(BB$12,7)&gt;1,NOT(COUNTIF(General!$U$13:$U$19,BB$12))),$I65,"")</f>
        <v/>
      </c>
      <c r="BC65" s="390" t="str">
        <f>IF(AND(BC$12&gt;=$E65,BC$12&lt;=$F65,MOD(BC$12,7)&gt;1,NOT(COUNTIF(General!$U$13:$U$19,BC$12))),$I65,"")</f>
        <v/>
      </c>
      <c r="BD65" s="390" t="str">
        <f>IF(AND(BD$12&gt;=$E65,BD$12&lt;=$F65,MOD(BD$12,7)&gt;1,NOT(COUNTIF(General!$U$13:$U$19,BD$12))),$I65,"")</f>
        <v/>
      </c>
      <c r="BE65" s="390" t="str">
        <f>IF(AND(BE$12&gt;=$E65,BE$12&lt;=$F65,MOD(BE$12,7)&gt;1,NOT(COUNTIF(General!$U$13:$U$19,BE$12))),$I65,"")</f>
        <v/>
      </c>
      <c r="BF65" s="390" t="str">
        <f>IF(AND(BF$12&gt;=$E65,BF$12&lt;=$F65,MOD(BF$12,7)&gt;1,NOT(COUNTIF(General!$U$13:$U$19,BF$12))),$I65,"")</f>
        <v/>
      </c>
      <c r="BG65" s="390" t="str">
        <f>IF(AND(BG$12&gt;=$E65,BG$12&lt;=$F65,MOD(BG$12,7)&gt;1,NOT(COUNTIF(General!$U$13:$U$19,BG$12))),$I65,"")</f>
        <v/>
      </c>
      <c r="BH65" s="390" t="str">
        <f>IF(AND(BH$12&gt;=$E65,BH$12&lt;=$F65,MOD(BH$12,7)&gt;1,NOT(COUNTIF(General!$U$13:$U$19,BH$12))),$I65,"")</f>
        <v/>
      </c>
      <c r="BI65" s="390" t="str">
        <f>IF(AND(BI$12&gt;=$E65,BI$12&lt;=$F65,MOD(BI$12,7)&gt;1,NOT(COUNTIF(General!$U$13:$U$19,BI$12))),$I65,"")</f>
        <v/>
      </c>
      <c r="BJ65" s="390" t="str">
        <f>IF(AND(BJ$12&gt;=$E65,BJ$12&lt;=$F65,MOD(BJ$12,7)&gt;1,NOT(COUNTIF(General!$U$13:$U$19,BJ$12))),$I65,"")</f>
        <v/>
      </c>
      <c r="BK65" s="390" t="str">
        <f>IF(AND(BK$12&gt;=$E65,BK$12&lt;=$F65,MOD(BK$12,7)&gt;1,NOT(COUNTIF(General!$U$13:$U$19,BK$12))),$I65,"")</f>
        <v/>
      </c>
      <c r="BL65" s="390" t="str">
        <f>IF(AND(BL$12&gt;=$E65,BL$12&lt;=$F65,MOD(BL$12,7)&gt;1,NOT(COUNTIF(General!$U$13:$U$19,BL$12))),$I65,"")</f>
        <v/>
      </c>
      <c r="BM65" s="390" t="str">
        <f>IF(AND(BM$12&gt;=$E65,BM$12&lt;=$F65,MOD(BM$12,7)&gt;1,NOT(COUNTIF(General!$U$13:$U$19,BM$12))),$I65,"")</f>
        <v/>
      </c>
      <c r="BN65" s="390" t="str">
        <f>IF(AND(BN$12&gt;=$E65,BN$12&lt;=$F65,MOD(BN$12,7)&gt;1,NOT(COUNTIF(General!$U$13:$U$19,BN$12))),$I65,"")</f>
        <v/>
      </c>
      <c r="BO65" s="390" t="str">
        <f>IF(AND(BO$12&gt;=$E65,BO$12&lt;=$F65,MOD(BO$12,7)&gt;1,NOT(COUNTIF(General!$U$13:$U$19,BO$12))),$I65,"")</f>
        <v/>
      </c>
      <c r="BP65" s="390" t="str">
        <f>IF(AND(BP$12&gt;=$E65,BP$12&lt;=$F65,MOD(BP$12,7)&gt;1,NOT(COUNTIF(General!$U$13:$U$19,BP$12))),$I65,"")</f>
        <v/>
      </c>
      <c r="BQ65" s="390" t="str">
        <f>IF(AND(BQ$12&gt;=$E65,BQ$12&lt;=$F65,MOD(BQ$12,7)&gt;1,NOT(COUNTIF(General!$U$13:$U$19,BQ$12))),$I65,"")</f>
        <v/>
      </c>
      <c r="BR65" s="390" t="str">
        <f>IF(AND(BR$12&gt;=$E65,BR$12&lt;=$F65,MOD(BR$12,7)&gt;1,NOT(COUNTIF(General!$U$13:$U$19,BR$12))),$I65,"")</f>
        <v/>
      </c>
      <c r="BS65" s="390" t="str">
        <f>IF(AND(BS$12&gt;=$E65,BS$12&lt;=$F65,MOD(BS$12,7)&gt;1,NOT(COUNTIF(General!$U$13:$U$19,BS$12))),$I65,"")</f>
        <v/>
      </c>
      <c r="BT65" s="390" t="str">
        <f>IF(AND(BT$12&gt;=$E65,BT$12&lt;=$F65,MOD(BT$12,7)&gt;1,NOT(COUNTIF(General!$U$13:$U$19,BT$12))),$I65,"")</f>
        <v/>
      </c>
      <c r="BU65" s="390" t="str">
        <f>IF(AND(BU$12&gt;=$E65,BU$12&lt;=$F65,MOD(BU$12,7)&gt;1,NOT(COUNTIF(General!$U$13:$U$19,BU$12))),$I65,"")</f>
        <v/>
      </c>
      <c r="BV65" s="390" t="str">
        <f>IF(AND(BV$12&gt;=$E65,BV$12&lt;=$F65,MOD(BV$12,7)&gt;1,NOT(COUNTIF(General!$U$13:$U$19,BV$12))),$I65,"")</f>
        <v/>
      </c>
      <c r="BW65" s="390" t="str">
        <f>IF(AND(BW$12&gt;=$E65,BW$12&lt;=$F65,MOD(BW$12,7)&gt;1,NOT(COUNTIF(General!$U$13:$U$19,BW$12))),$I65,"")</f>
        <v/>
      </c>
      <c r="BX65" s="390" t="str">
        <f>IF(AND(BX$12&gt;=$E65,BX$12&lt;=$F65,MOD(BX$12,7)&gt;1,NOT(COUNTIF(General!$U$13:$U$19,BX$12))),$I65,"")</f>
        <v/>
      </c>
      <c r="BY65" s="390" t="str">
        <f>IF(AND(BY$12&gt;=$E65,BY$12&lt;=$F65,MOD(BY$12,7)&gt;1,NOT(COUNTIF(General!$U$13:$U$19,BY$12))),$I65,"")</f>
        <v/>
      </c>
      <c r="BZ65" s="390" t="str">
        <f>IF(AND(BZ$12&gt;=$E65,BZ$12&lt;=$F65,MOD(BZ$12,7)&gt;1,NOT(COUNTIF(General!$U$13:$U$19,BZ$12))),$I65,"")</f>
        <v/>
      </c>
      <c r="CA65" s="390" t="str">
        <f>IF(AND(CA$12&gt;=$E65,CA$12&lt;=$F65,MOD(CA$12,7)&gt;1,NOT(COUNTIF(General!$U$13:$U$19,CA$12))),$I65,"")</f>
        <v/>
      </c>
      <c r="CB65" s="390" t="str">
        <f>IF(AND(CB$12&gt;=$E65,CB$12&lt;=$F65,MOD(CB$12,7)&gt;1,NOT(COUNTIF(General!$U$13:$U$19,CB$12))),$I65,"")</f>
        <v/>
      </c>
      <c r="CC65" s="390" t="str">
        <f>IF(AND(CC$12&gt;=$E65,CC$12&lt;=$F65,MOD(CC$12,7)&gt;1,NOT(COUNTIF(General!$U$13:$U$19,CC$12))),$I65,"")</f>
        <v/>
      </c>
      <c r="CD65" s="390" t="str">
        <f>IF(AND(CD$12&gt;=$E65,CD$12&lt;=$F65,MOD(CD$12,7)&gt;1,NOT(COUNTIF(General!$U$13:$U$19,CD$12))),$I65,"")</f>
        <v/>
      </c>
      <c r="CE65" s="390" t="str">
        <f>IF(AND(CE$12&gt;=$E65,CE$12&lt;=$F65,MOD(CE$12,7)&gt;1,NOT(COUNTIF(General!$U$13:$U$19,CE$12))),$I65,"")</f>
        <v/>
      </c>
      <c r="CF65" s="390" t="str">
        <f>IF(AND(CF$12&gt;=$E65,CF$12&lt;=$F65,MOD(CF$12,7)&gt;1,NOT(COUNTIF(General!$U$13:$U$19,CF$12))),$I65,"")</f>
        <v/>
      </c>
      <c r="CG65" s="390" t="str">
        <f>IF(AND(CG$12&gt;=$E65,CG$12&lt;=$F65,MOD(CG$12,7)&gt;1,NOT(COUNTIF(General!$U$13:$U$19,CG$12))),$I65,"")</f>
        <v/>
      </c>
      <c r="CH65" s="390" t="str">
        <f>IF(AND(CH$12&gt;=$E65,CH$12&lt;=$F65,MOD(CH$12,7)&gt;1,NOT(COUNTIF(General!$U$13:$U$19,CH$12))),$I65,"")</f>
        <v/>
      </c>
      <c r="CI65" s="390" t="str">
        <f>IF(AND(CI$12&gt;=$E65,CI$12&lt;=$F65,MOD(CI$12,7)&gt;1,NOT(COUNTIF(General!$U$13:$U$19,CI$12))),$I65,"")</f>
        <v/>
      </c>
      <c r="CJ65" s="390" t="str">
        <f>IF(AND(CJ$12&gt;=$E65,CJ$12&lt;=$F65,MOD(CJ$12,7)&gt;1,NOT(COUNTIF(General!$U$13:$U$19,CJ$12))),$I65,"")</f>
        <v/>
      </c>
      <c r="CK65" s="390" t="str">
        <f>IF(AND(CK$12&gt;=$E65,CK$12&lt;=$F65,MOD(CK$12,7)&gt;1,NOT(COUNTIF(General!$U$13:$U$19,CK$12))),$I65,"")</f>
        <v/>
      </c>
      <c r="CL65" s="390" t="str">
        <f>IF(AND(CL$12&gt;=$E65,CL$12&lt;=$F65,MOD(CL$12,7)&gt;1,NOT(COUNTIF(General!$U$13:$U$19,CL$12))),$I65,"")</f>
        <v/>
      </c>
      <c r="CM65" s="390" t="str">
        <f>IF(AND(CM$12&gt;=$E65,CM$12&lt;=$F65,MOD(CM$12,7)&gt;1,NOT(COUNTIF(General!$U$13:$U$19,CM$12))),$I65,"")</f>
        <v/>
      </c>
      <c r="CN65" s="390" t="str">
        <f>IF(AND(CN$12&gt;=$E65,CN$12&lt;=$F65,MOD(CN$12,7)&gt;1,NOT(COUNTIF(General!$U$13:$U$19,CN$12))),$I65,"")</f>
        <v/>
      </c>
      <c r="CO65" s="390" t="str">
        <f>IF(AND(CO$12&gt;=$E65,CO$12&lt;=$F65,MOD(CO$12,7)&gt;1,NOT(COUNTIF(General!$U$13:$U$19,CO$12))),$I65,"")</f>
        <v/>
      </c>
      <c r="CP65" s="390" t="str">
        <f>IF(AND(CP$12&gt;=$E65,CP$12&lt;=$F65,MOD(CP$12,7)&gt;1,NOT(COUNTIF(General!$U$13:$U$19,CP$12))),$I65,"")</f>
        <v/>
      </c>
      <c r="CQ65" s="390" t="str">
        <f>IF(AND(CQ$12&gt;=$E65,CQ$12&lt;=$F65,MOD(CQ$12,7)&gt;1,NOT(COUNTIF(General!$U$13:$U$19,CQ$12))),$I65,"")</f>
        <v/>
      </c>
      <c r="CR65" s="390" t="str">
        <f>IF(AND(CR$12&gt;=$E65,CR$12&lt;=$F65,MOD(CR$12,7)&gt;1,NOT(COUNTIF(General!$U$13:$U$19,CR$12))),$I65,"")</f>
        <v/>
      </c>
      <c r="CS65" s="390" t="str">
        <f>IF(AND(CS$12&gt;=$E65,CS$12&lt;=$F65,MOD(CS$12,7)&gt;1,NOT(COUNTIF(General!$U$13:$U$19,CS$12))),$I65,"")</f>
        <v/>
      </c>
      <c r="CT65" s="390" t="str">
        <f>IF(AND(CT$12&gt;=$E65,CT$12&lt;=$F65,MOD(CT$12,7)&gt;1,NOT(COUNTIF(General!$U$13:$U$19,CT$12))),$I65,"")</f>
        <v/>
      </c>
      <c r="CU65" s="390" t="str">
        <f>IF(AND(CU$12&gt;=$E65,CU$12&lt;=$F65,MOD(CU$12,7)&gt;1,NOT(COUNTIF(General!$U$13:$U$19,CU$12))),$I65,"")</f>
        <v/>
      </c>
      <c r="CV65" s="390" t="str">
        <f>IF(AND(CV$12&gt;=$E65,CV$12&lt;=$F65,MOD(CV$12,7)&gt;1,NOT(COUNTIF(General!$U$13:$U$19,CV$12))),$I65,"")</f>
        <v/>
      </c>
      <c r="CW65" s="390" t="str">
        <f>IF(AND(CW$12&gt;=$E65,CW$12&lt;=$F65,MOD(CW$12,7)&gt;1,NOT(COUNTIF(General!$U$13:$U$19,CW$12))),$I65,"")</f>
        <v/>
      </c>
      <c r="CX65" s="390" t="str">
        <f>IF(AND(CX$12&gt;=$E65,CX$12&lt;=$F65,MOD(CX$12,7)&gt;1,NOT(COUNTIF(General!$U$13:$U$19,CX$12))),$I65,"")</f>
        <v/>
      </c>
      <c r="CY65" s="390" t="str">
        <f>IF(AND(CY$12&gt;=$E65,CY$12&lt;=$F65,MOD(CY$12,7)&gt;1,NOT(COUNTIF(General!$U$13:$U$19,CY$12))),$I65,"")</f>
        <v/>
      </c>
      <c r="CZ65" s="390" t="str">
        <f>IF(AND(CZ$12&gt;=$E65,CZ$12&lt;=$F65,MOD(CZ$12,7)&gt;1,NOT(COUNTIF(General!$U$13:$U$19,CZ$12))),$I65,"")</f>
        <v/>
      </c>
      <c r="DA65" s="390" t="str">
        <f>IF(AND(DA$12&gt;=$E65,DA$12&lt;=$F65,MOD(DA$12,7)&gt;1,NOT(COUNTIF(General!$U$13:$U$19,DA$12))),$I65,"")</f>
        <v/>
      </c>
      <c r="DB65" s="390" t="str">
        <f>IF(AND(DB$12&gt;=$E65,DB$12&lt;=$F65,MOD(DB$12,7)&gt;1,NOT(COUNTIF(General!$U$13:$U$19,DB$12))),$I65,"")</f>
        <v/>
      </c>
      <c r="DC65" s="390" t="str">
        <f>IF(AND(DC$12&gt;=$E65,DC$12&lt;=$F65,MOD(DC$12,7)&gt;1,NOT(COUNTIF(General!$U$13:$U$19,DC$12))),$I65,"")</f>
        <v/>
      </c>
      <c r="DD65" s="390" t="str">
        <f>IF(AND(DD$12&gt;=$E65,DD$12&lt;=$F65,MOD(DD$12,7)&gt;1,NOT(COUNTIF(General!$U$13:$U$19,DD$12))),$I65,"")</f>
        <v/>
      </c>
      <c r="DE65" s="390" t="str">
        <f>IF(AND(DE$12&gt;=$E65,DE$12&lt;=$F65,MOD(DE$12,7)&gt;1,NOT(COUNTIF(General!$U$13:$U$19,DE$12))),$I65,"")</f>
        <v/>
      </c>
      <c r="DF65" s="390" t="str">
        <f>IF(AND(DF$12&gt;=$E65,DF$12&lt;=$F65,MOD(DF$12,7)&gt;1,NOT(COUNTIF(General!$U$13:$U$19,DF$12))),$I65,"")</f>
        <v/>
      </c>
      <c r="DG65" s="390" t="str">
        <f>IF(AND(DG$12&gt;=$E65,DG$12&lt;=$F65,MOD(DG$12,7)&gt;1,NOT(COUNTIF(General!$U$13:$U$19,DG$12))),$I65,"")</f>
        <v/>
      </c>
      <c r="DH65" s="390" t="str">
        <f>IF(AND(DH$12&gt;=$E65,DH$12&lt;=$F65,MOD(DH$12,7)&gt;1,NOT(COUNTIF(General!$U$13:$U$19,DH$12))),$I65,"")</f>
        <v/>
      </c>
      <c r="DI65" s="390" t="str">
        <f>IF(AND(DI$12&gt;=$E65,DI$12&lt;=$F65,MOD(DI$12,7)&gt;1,NOT(COUNTIF(General!$U$13:$U$19,DI$12))),$I65,"")</f>
        <v/>
      </c>
      <c r="DJ65" s="390" t="str">
        <f>IF(AND(DJ$12&gt;=$E65,DJ$12&lt;=$F65,MOD(DJ$12,7)&gt;1,NOT(COUNTIF(General!$U$13:$U$19,DJ$12))),$I65,"")</f>
        <v/>
      </c>
      <c r="DK65" s="390" t="str">
        <f>IF(AND(DK$12&gt;=$E65,DK$12&lt;=$F65,MOD(DK$12,7)&gt;1,NOT(COUNTIF(General!$U$13:$U$19,DK$12))),$I65,"")</f>
        <v/>
      </c>
      <c r="DL65" s="390" t="str">
        <f>IF(AND(DL$12&gt;=$E65,DL$12&lt;=$F65,MOD(DL$12,7)&gt;1,NOT(COUNTIF(General!$U$13:$U$19,DL$12))),$I65,"")</f>
        <v/>
      </c>
      <c r="DM65" s="390" t="str">
        <f>IF(AND(DM$12&gt;=$E65,DM$12&lt;=$F65,MOD(DM$12,7)&gt;1,NOT(COUNTIF(General!$U$13:$U$19,DM$12))),$I65,"")</f>
        <v/>
      </c>
      <c r="DN65" s="390" t="str">
        <f>IF(AND(DN$12&gt;=$E65,DN$12&lt;=$F65,MOD(DN$12,7)&gt;1,NOT(COUNTIF(General!$U$13:$U$19,DN$12))),$I65,"")</f>
        <v/>
      </c>
      <c r="DO65" s="390" t="str">
        <f>IF(AND(DO$12&gt;=$E65,DO$12&lt;=$F65,MOD(DO$12,7)&gt;1,NOT(COUNTIF(General!$U$13:$U$19,DO$12))),$I65,"")</f>
        <v/>
      </c>
      <c r="DP65" s="390" t="str">
        <f>IF(AND(DP$12&gt;=$E65,DP$12&lt;=$F65,MOD(DP$12,7)&gt;1,NOT(COUNTIF(General!$U$13:$U$19,DP$12))),$I65,"")</f>
        <v/>
      </c>
      <c r="DQ65" s="390" t="str">
        <f>IF(AND(DQ$12&gt;=$E65,DQ$12&lt;=$F65,MOD(DQ$12,7)&gt;1,NOT(COUNTIF(General!$U$13:$U$19,DQ$12))),$I65,"")</f>
        <v/>
      </c>
      <c r="DR65" s="390" t="str">
        <f>IF(AND(DR$12&gt;=$E65,DR$12&lt;=$F65,MOD(DR$12,7)&gt;1,NOT(COUNTIF(General!$U$13:$U$19,DR$12))),$I65,"")</f>
        <v/>
      </c>
      <c r="DS65" s="390" t="str">
        <f>IF(AND(DS$12&gt;=$E65,DS$12&lt;=$F65,MOD(DS$12,7)&gt;1,NOT(COUNTIF(General!$U$13:$U$19,DS$12))),$I65,"")</f>
        <v/>
      </c>
      <c r="DT65" s="390" t="str">
        <f>IF(AND(DT$12&gt;=$E65,DT$12&lt;=$F65,MOD(DT$12,7)&gt;1,NOT(COUNTIF(General!$U$13:$U$19,DT$12))),$I65,"")</f>
        <v/>
      </c>
      <c r="DU65" s="390" t="str">
        <f>IF(AND(DU$12&gt;=$E65,DU$12&lt;=$F65,MOD(DU$12,7)&gt;1,NOT(COUNTIF(General!$U$13:$U$19,DU$12))),$I65,"")</f>
        <v/>
      </c>
      <c r="DV65" s="390" t="str">
        <f>IF(AND(DV$12&gt;=$E65,DV$12&lt;=$F65,MOD(DV$12,7)&gt;1,NOT(COUNTIF(General!$U$13:$U$19,DV$12))),$I65,"")</f>
        <v/>
      </c>
      <c r="DW65" s="390" t="str">
        <f>IF(AND(DW$12&gt;=$E65,DW$12&lt;=$F65,MOD(DW$12,7)&gt;1,NOT(COUNTIF(General!$U$13:$U$19,DW$12))),$I65,"")</f>
        <v/>
      </c>
      <c r="DX65" s="390" t="str">
        <f>IF(AND(DX$12&gt;=$E65,DX$12&lt;=$F65,MOD(DX$12,7)&gt;1,NOT(COUNTIF(General!$U$13:$U$19,DX$12))),$I65,"")</f>
        <v/>
      </c>
      <c r="DY65" s="390" t="str">
        <f>IF(AND(DY$12&gt;=$E65,DY$12&lt;=$F65,MOD(DY$12,7)&gt;1,NOT(COUNTIF(General!$U$13:$U$19,DY$12))),$I65,"")</f>
        <v/>
      </c>
      <c r="DZ65" s="390" t="str">
        <f>IF(AND(DZ$12&gt;=$E65,DZ$12&lt;=$F65,MOD(DZ$12,7)&gt;1,NOT(COUNTIF(General!$U$13:$U$19,DZ$12))),$I65,"")</f>
        <v/>
      </c>
      <c r="EA65" s="390" t="str">
        <f>IF(AND(EA$12&gt;=$E65,EA$12&lt;=$F65,MOD(EA$12,7)&gt;1,NOT(COUNTIF(General!$U$13:$U$19,EA$12))),$I65,"")</f>
        <v/>
      </c>
      <c r="EB65" s="390" t="str">
        <f>IF(AND(EB$12&gt;=$E65,EB$12&lt;=$F65,MOD(EB$12,7)&gt;1,NOT(COUNTIF(General!$U$13:$U$19,EB$12))),$I65,"")</f>
        <v/>
      </c>
      <c r="EC65" s="390" t="str">
        <f>IF(AND(EC$12&gt;=$E65,EC$12&lt;=$F65,MOD(EC$12,7)&gt;1,NOT(COUNTIF(General!$U$13:$U$19,EC$12))),$I65,"")</f>
        <v/>
      </c>
      <c r="ED65" s="390" t="str">
        <f>IF(AND(ED$12&gt;=$E65,ED$12&lt;=$F65,MOD(ED$12,7)&gt;1,NOT(COUNTIF(General!$U$13:$U$19,ED$12))),$I65,"")</f>
        <v/>
      </c>
      <c r="EE65" s="390" t="str">
        <f>IF(AND(EE$12&gt;=$E65,EE$12&lt;=$F65,MOD(EE$12,7)&gt;1,NOT(COUNTIF(General!$U$13:$U$19,EE$12))),$I65,"")</f>
        <v/>
      </c>
      <c r="EF65" s="390" t="str">
        <f>IF(AND(EF$12&gt;=$E65,EF$12&lt;=$F65,MOD(EF$12,7)&gt;1,NOT(COUNTIF(General!$U$13:$U$19,EF$12))),$I65,"")</f>
        <v/>
      </c>
      <c r="EG65" s="390" t="str">
        <f>IF(AND(EG$12&gt;=$E65,EG$12&lt;=$F65,MOD(EG$12,7)&gt;1,NOT(COUNTIF(General!$U$13:$U$19,EG$12))),$I65,"")</f>
        <v/>
      </c>
      <c r="EH65" s="390" t="str">
        <f>IF(AND(EH$12&gt;=$E65,EH$12&lt;=$F65,MOD(EH$12,7)&gt;1,NOT(COUNTIF(General!$U$13:$U$19,EH$12))),$I65,"")</f>
        <v/>
      </c>
      <c r="EI65" s="390" t="str">
        <f>IF(AND(EI$12&gt;=$E65,EI$12&lt;=$F65,MOD(EI$12,7)&gt;1,NOT(COUNTIF(General!$U$13:$U$19,EI$12))),$I65,"")</f>
        <v/>
      </c>
      <c r="EJ65" s="390" t="str">
        <f>IF(AND(EJ$12&gt;=$E65,EJ$12&lt;=$F65,MOD(EJ$12,7)&gt;1,NOT(COUNTIF(General!$U$13:$U$19,EJ$12))),$I65,"")</f>
        <v/>
      </c>
      <c r="EK65" s="390" t="str">
        <f>IF(AND(EK$12&gt;=$E65,EK$12&lt;=$F65,MOD(EK$12,7)&gt;1,NOT(COUNTIF(General!$U$13:$U$19,EK$12))),$I65,"")</f>
        <v/>
      </c>
      <c r="EL65" s="390" t="str">
        <f>IF(AND(EL$12&gt;=$E65,EL$12&lt;=$F65,MOD(EL$12,7)&gt;1,NOT(COUNTIF(General!$U$13:$U$19,EL$12))),$I65,"")</f>
        <v/>
      </c>
      <c r="EM65" s="390" t="str">
        <f>IF(AND(EM$12&gt;=$E65,EM$12&lt;=$F65,MOD(EM$12,7)&gt;1,NOT(COUNTIF(General!$U$13:$U$19,EM$12))),$I65,"")</f>
        <v/>
      </c>
      <c r="EN65" s="390" t="str">
        <f>IF(AND(EN$12&gt;=$E65,EN$12&lt;=$F65,MOD(EN$12,7)&gt;1,NOT(COUNTIF(General!$U$13:$U$19,EN$12))),$I65,"")</f>
        <v/>
      </c>
      <c r="EO65" s="390" t="str">
        <f>IF(AND(EO$12&gt;=$E65,EO$12&lt;=$F65,MOD(EO$12,7)&gt;1,NOT(COUNTIF(General!$U$13:$U$19,EO$12))),$I65,"")</f>
        <v/>
      </c>
      <c r="EP65" s="390" t="str">
        <f>IF(AND(EP$12&gt;=$E65,EP$12&lt;=$F65,MOD(EP$12,7)&gt;1,NOT(COUNTIF(General!$U$13:$U$19,EP$12))),$I65,"")</f>
        <v/>
      </c>
      <c r="EQ65" s="390" t="str">
        <f>IF(AND(EQ$12&gt;=$E65,EQ$12&lt;=$F65,MOD(EQ$12,7)&gt;1,NOT(COUNTIF(General!$U$13:$U$19,EQ$12))),$I65,"")</f>
        <v/>
      </c>
      <c r="ER65" s="390" t="str">
        <f>IF(AND(ER$12&gt;=$E65,ER$12&lt;=$F65,MOD(ER$12,7)&gt;1,NOT(COUNTIF(General!$U$13:$U$19,ER$12))),$I65,"")</f>
        <v/>
      </c>
      <c r="ES65" s="390" t="str">
        <f>IF(AND(ES$12&gt;=$E65,ES$12&lt;=$F65,MOD(ES$12,7)&gt;1,NOT(COUNTIF(General!$U$13:$U$19,ES$12))),$I65,"")</f>
        <v/>
      </c>
      <c r="ET65" s="390" t="str">
        <f>IF(AND(ET$12&gt;=$E65,ET$12&lt;=$F65,MOD(ET$12,7)&gt;1,NOT(COUNTIF(General!$U$13:$U$19,ET$12))),$I65,"")</f>
        <v/>
      </c>
      <c r="EU65" s="390" t="str">
        <f>IF(AND(EU$12&gt;=$E65,EU$12&lt;=$F65,MOD(EU$12,7)&gt;1,NOT(COUNTIF(General!$U$13:$U$19,EU$12))),$I65,"")</f>
        <v/>
      </c>
      <c r="EV65" s="390" t="str">
        <f>IF(AND(EV$12&gt;=$E65,EV$12&lt;=$F65,MOD(EV$12,7)&gt;1,NOT(COUNTIF(General!$U$13:$U$19,EV$12))),$I65,"")</f>
        <v/>
      </c>
      <c r="EW65" s="390" t="str">
        <f>IF(AND(EW$12&gt;=$E65,EW$12&lt;=$F65,MOD(EW$12,7)&gt;1,NOT(COUNTIF(General!$U$13:$U$19,EW$12))),$I65,"")</f>
        <v/>
      </c>
      <c r="EX65" s="390" t="str">
        <f>IF(AND(EX$12&gt;=$E65,EX$12&lt;=$F65,MOD(EX$12,7)&gt;1,NOT(COUNTIF(General!$U$13:$U$19,EX$12))),$I65,"")</f>
        <v/>
      </c>
      <c r="EY65" s="390" t="str">
        <f>IF(AND(EY$12&gt;=$E65,EY$12&lt;=$F65,MOD(EY$12,7)&gt;1,NOT(COUNTIF(General!$U$13:$U$19,EY$12))),$I65,"")</f>
        <v/>
      </c>
      <c r="EZ65" s="390" t="str">
        <f>IF(AND(EZ$12&gt;=$E65,EZ$12&lt;=$F65,MOD(EZ$12,7)&gt;1,NOT(COUNTIF(General!$U$13:$U$19,EZ$12))),$I65,"")</f>
        <v/>
      </c>
      <c r="FA65" s="390" t="str">
        <f>IF(AND(FA$12&gt;=$E65,FA$12&lt;=$F65,MOD(FA$12,7)&gt;1,NOT(COUNTIF(General!$U$13:$U$19,FA$12))),$I65,"")</f>
        <v/>
      </c>
      <c r="FB65" s="390" t="str">
        <f>IF(AND(FB$12&gt;=$E65,FB$12&lt;=$F65,MOD(FB$12,7)&gt;1,NOT(COUNTIF(General!$U$13:$U$19,FB$12))),$I65,"")</f>
        <v/>
      </c>
      <c r="FC65" s="390" t="str">
        <f>IF(AND(FC$12&gt;=$E65,FC$12&lt;=$F65,MOD(FC$12,7)&gt;1,NOT(COUNTIF(General!$U$13:$U$19,FC$12))),$I65,"")</f>
        <v/>
      </c>
      <c r="FD65" s="390" t="str">
        <f>IF(AND(FD$12&gt;=$E65,FD$12&lt;=$F65,MOD(FD$12,7)&gt;1,NOT(COUNTIF(General!$U$13:$U$19,FD$12))),$I65,"")</f>
        <v/>
      </c>
      <c r="FE65" s="390" t="str">
        <f>IF(AND(FE$12&gt;=$E65,FE$12&lt;=$F65,MOD(FE$12,7)&gt;1,NOT(COUNTIF(General!$U$13:$U$19,FE$12))),$I65,"")</f>
        <v/>
      </c>
      <c r="FF65" s="390" t="str">
        <f>IF(AND(FF$12&gt;=$E65,FF$12&lt;=$F65,MOD(FF$12,7)&gt;1,NOT(COUNTIF(General!$U$13:$U$19,FF$12))),$I65,"")</f>
        <v/>
      </c>
      <c r="FG65" s="390" t="str">
        <f>IF(AND(FG$12&gt;=$E65,FG$12&lt;=$F65,MOD(FG$12,7)&gt;1,NOT(COUNTIF(General!$U$13:$U$19,FG$12))),$I65,"")</f>
        <v/>
      </c>
      <c r="FH65" s="390" t="str">
        <f>IF(AND(FH$12&gt;=$E65,FH$12&lt;=$F65,MOD(FH$12,7)&gt;1,NOT(COUNTIF(General!$U$13:$U$19,FH$12))),$I65,"")</f>
        <v/>
      </c>
      <c r="FI65" s="390" t="str">
        <f>IF(AND(FI$12&gt;=$E65,FI$12&lt;=$F65,MOD(FI$12,7)&gt;1,NOT(COUNTIF(General!$U$13:$U$19,FI$12))),$I65,"")</f>
        <v/>
      </c>
      <c r="FJ65" s="390" t="str">
        <f>IF(AND(FJ$12&gt;=$E65,FJ$12&lt;=$F65,MOD(FJ$12,7)&gt;1,NOT(COUNTIF(General!$U$13:$U$19,FJ$12))),$I65,"")</f>
        <v/>
      </c>
      <c r="FK65" s="390" t="str">
        <f>IF(AND(FK$12&gt;=$E65,FK$12&lt;=$F65,MOD(FK$12,7)&gt;1,NOT(COUNTIF(General!$U$13:$U$19,FK$12))),$I65,"")</f>
        <v/>
      </c>
      <c r="FL65" s="390" t="str">
        <f>IF(AND(FL$12&gt;=$E65,FL$12&lt;=$F65,MOD(FL$12,7)&gt;1,NOT(COUNTIF(General!$U$13:$U$19,FL$12))),$I65,"")</f>
        <v/>
      </c>
      <c r="FM65" s="390" t="str">
        <f>IF(AND(FM$12&gt;=$E65,FM$12&lt;=$F65,MOD(FM$12,7)&gt;1,NOT(COUNTIF(General!$U$13:$U$19,FM$12))),$I65,"")</f>
        <v/>
      </c>
      <c r="FN65" s="390" t="str">
        <f>IF(AND(FN$12&gt;=$E65,FN$12&lt;=$F65,MOD(FN$12,7)&gt;1,NOT(COUNTIF(General!$U$13:$U$19,FN$12))),$I65,"")</f>
        <v/>
      </c>
      <c r="FO65" s="390" t="str">
        <f>IF(AND(FO$12&gt;=$E65,FO$12&lt;=$F65,MOD(FO$12,7)&gt;1,NOT(COUNTIF(General!$U$13:$U$19,FO$12))),$I65,"")</f>
        <v/>
      </c>
      <c r="FP65" s="390" t="str">
        <f>IF(AND(FP$12&gt;=$E65,FP$12&lt;=$F65,MOD(FP$12,7)&gt;1,NOT(COUNTIF(General!$U$13:$U$19,FP$12))),$I65,"")</f>
        <v/>
      </c>
      <c r="FQ65" s="390" t="str">
        <f>IF(AND(FQ$12&gt;=$E65,FQ$12&lt;=$F65,MOD(FQ$12,7)&gt;1,NOT(COUNTIF(General!$U$13:$U$19,FQ$12))),$I65,"")</f>
        <v/>
      </c>
      <c r="FR65" s="390" t="str">
        <f>IF(AND(FR$12&gt;=$E65,FR$12&lt;=$F65,MOD(FR$12,7)&gt;1,NOT(COUNTIF(General!$U$13:$U$19,FR$12))),$I65,"")</f>
        <v/>
      </c>
      <c r="FS65" s="390" t="str">
        <f>IF(AND(FS$12&gt;=$E65,FS$12&lt;=$F65,MOD(FS$12,7)&gt;1,NOT(COUNTIF(General!$U$13:$U$19,FS$12))),$I65,"")</f>
        <v/>
      </c>
      <c r="FT65" s="390" t="str">
        <f>IF(AND(FT$12&gt;=$E65,FT$12&lt;=$F65,MOD(FT$12,7)&gt;1,NOT(COUNTIF(General!$U$13:$U$19,FT$12))),$I65,"")</f>
        <v/>
      </c>
      <c r="FU65" s="390" t="str">
        <f>IF(AND(FU$12&gt;=$E65,FU$12&lt;=$F65,MOD(FU$12,7)&gt;1,NOT(COUNTIF(General!$U$13:$U$19,FU$12))),$I65,"")</f>
        <v/>
      </c>
      <c r="FV65" s="390" t="str">
        <f>IF(AND(FV$12&gt;=$E65,FV$12&lt;=$F65,MOD(FV$12,7)&gt;1,NOT(COUNTIF(General!$U$13:$U$19,FV$12))),$I65,"")</f>
        <v/>
      </c>
      <c r="FW65" s="390" t="str">
        <f>IF(AND(FW$12&gt;=$E65,FW$12&lt;=$F65,MOD(FW$12,7)&gt;1,NOT(COUNTIF(General!$U$13:$U$19,FW$12))),$I65,"")</f>
        <v/>
      </c>
      <c r="FX65" s="390" t="str">
        <f>IF(AND(FX$12&gt;=$E65,FX$12&lt;=$F65,MOD(FX$12,7)&gt;1,NOT(COUNTIF(General!$U$13:$U$19,FX$12))),$I65,"")</f>
        <v/>
      </c>
    </row>
    <row r="66">
      <c r="A66" s="368"/>
      <c r="B66" s="369"/>
      <c r="C66" s="370"/>
      <c r="D66" s="614"/>
      <c r="E66" s="583"/>
      <c r="F66" s="620"/>
      <c r="G66" s="600"/>
      <c r="H66" s="377"/>
      <c r="I66" s="379">
        <v>1.0</v>
      </c>
      <c r="J66" s="377"/>
      <c r="K66" s="573"/>
      <c r="L66" s="573"/>
      <c r="M66" s="574"/>
      <c r="N66" s="384"/>
      <c r="O66" s="386"/>
      <c r="P66" s="575"/>
      <c r="Q66" s="390" t="str">
        <f>IF(AND(Q$12&gt;=$E66,Q$12&lt;=$F66,MOD(Q$12,7)&gt;1,NOT(COUNTIF(General!$U$13:$U$19,Q$12))),$I66,"")</f>
        <v/>
      </c>
      <c r="R66" s="390" t="str">
        <f>IF(AND(R$12&gt;=$E66,R$12&lt;=$F66,MOD(R$12,7)&gt;1,NOT(COUNTIF(General!$U$13:$U$19,R$12))),$I66,"")</f>
        <v/>
      </c>
      <c r="S66" s="390" t="str">
        <f>IF(AND(S$12&gt;=$E66,S$12&lt;=$F66,MOD(S$12,7)&gt;1,NOT(COUNTIF(General!$U$13:$U$19,S$12))),$I66,"")</f>
        <v/>
      </c>
      <c r="T66" s="390" t="str">
        <f>IF(AND(T$12&gt;=$E66,T$12&lt;=$F66,MOD(T$12,7)&gt;1,NOT(COUNTIF(General!$U$13:$U$19,T$12))),$I66,"")</f>
        <v/>
      </c>
      <c r="U66" s="390" t="str">
        <f>IF(AND(U$12&gt;=$E66,U$12&lt;=$F66,MOD(U$12,7)&gt;1,NOT(COUNTIF(General!$U$13:$U$19,U$12))),$I66,"")</f>
        <v/>
      </c>
      <c r="V66" s="390" t="str">
        <f>IF(AND(V$12&gt;=$E66,V$12&lt;=$F66,MOD(V$12,7)&gt;1,NOT(COUNTIF(General!$U$13:$U$19,V$12))),$I66,"")</f>
        <v/>
      </c>
      <c r="W66" s="390" t="str">
        <f>IF(AND(W$12&gt;=$E66,W$12&lt;=$F66,MOD(W$12,7)&gt;1,NOT(COUNTIF(General!$U$13:$U$19,W$12))),$I66,"")</f>
        <v/>
      </c>
      <c r="X66" s="390" t="str">
        <f>IF(AND(X$12&gt;=$E66,X$12&lt;=$F66,MOD(X$12,7)&gt;1,NOT(COUNTIF(General!$U$13:$U$19,X$12))),$I66,"")</f>
        <v/>
      </c>
      <c r="Y66" s="390" t="str">
        <f>IF(AND(Y$12&gt;=$E66,Y$12&lt;=$F66,MOD(Y$12,7)&gt;1,NOT(COUNTIF(General!$U$13:$U$19,Y$12))),$I66,"")</f>
        <v/>
      </c>
      <c r="Z66" s="390" t="str">
        <f>IF(AND(Z$12&gt;=$E66,Z$12&lt;=$F66,MOD(Z$12,7)&gt;1,NOT(COUNTIF(General!$U$13:$U$19,Z$12))),$I66,"")</f>
        <v/>
      </c>
      <c r="AA66" s="390" t="str">
        <f>IF(AND(AA$12&gt;=$E66,AA$12&lt;=$F66,MOD(AA$12,7)&gt;1,NOT(COUNTIF(General!$U$13:$U$19,AA$12))),$I66,"")</f>
        <v/>
      </c>
      <c r="AB66" s="390" t="str">
        <f>IF(AND(AB$12&gt;=$E66,AB$12&lt;=$F66,MOD(AB$12,7)&gt;1,NOT(COUNTIF(General!$U$13:$U$19,AB$12))),$I66,"")</f>
        <v/>
      </c>
      <c r="AC66" s="390" t="str">
        <f>IF(AND(AC$12&gt;=$E66,AC$12&lt;=$F66,MOD(AC$12,7)&gt;1,NOT(COUNTIF(General!$U$13:$U$19,AC$12))),$I66,"")</f>
        <v/>
      </c>
      <c r="AD66" s="390" t="str">
        <f>IF(AND(AD$12&gt;=$E66,AD$12&lt;=$F66,MOD(AD$12,7)&gt;1,NOT(COUNTIF(General!$U$13:$U$19,AD$12))),$I66,"")</f>
        <v/>
      </c>
      <c r="AE66" s="390" t="str">
        <f>IF(AND(AE$12&gt;=$E66,AE$12&lt;=$F66,MOD(AE$12,7)&gt;1,NOT(COUNTIF(General!$U$13:$U$19,AE$12))),$I66,"")</f>
        <v/>
      </c>
      <c r="AF66" s="390" t="str">
        <f>IF(AND(AF$12&gt;=$E66,AF$12&lt;=$F66,MOD(AF$12,7)&gt;1,NOT(COUNTIF(General!$U$13:$U$19,AF$12))),$I66,"")</f>
        <v/>
      </c>
      <c r="AG66" s="390" t="str">
        <f>IF(AND(AG$12&gt;=$E66,AG$12&lt;=$F66,MOD(AG$12,7)&gt;1,NOT(COUNTIF(General!$U$13:$U$19,AG$12))),$I66,"")</f>
        <v/>
      </c>
      <c r="AH66" s="390" t="str">
        <f>IF(AND(AH$12&gt;=$E66,AH$12&lt;=$F66,MOD(AH$12,7)&gt;1,NOT(COUNTIF(General!$U$13:$U$19,AH$12))),$I66,"")</f>
        <v/>
      </c>
      <c r="AI66" s="390" t="str">
        <f>IF(AND(AI$12&gt;=$E66,AI$12&lt;=$F66,MOD(AI$12,7)&gt;1,NOT(COUNTIF(General!$U$13:$U$19,AI$12))),$I66,"")</f>
        <v/>
      </c>
      <c r="AJ66" s="390" t="str">
        <f>IF(AND(AJ$12&gt;=$E66,AJ$12&lt;=$F66,MOD(AJ$12,7)&gt;1,NOT(COUNTIF(General!$U$13:$U$19,AJ$12))),$I66,"")</f>
        <v/>
      </c>
      <c r="AK66" s="390" t="str">
        <f>IF(AND(AK$12&gt;=$E66,AK$12&lt;=$F66,MOD(AK$12,7)&gt;1,NOT(COUNTIF(General!$U$13:$U$19,AK$12))),$I66,"")</f>
        <v/>
      </c>
      <c r="AL66" s="390" t="str">
        <f>IF(AND(AL$12&gt;=$E66,AL$12&lt;=$F66,MOD(AL$12,7)&gt;1,NOT(COUNTIF(General!$U$13:$U$19,AL$12))),$I66,"")</f>
        <v/>
      </c>
      <c r="AM66" s="390" t="str">
        <f>IF(AND(AM$12&gt;=$E66,AM$12&lt;=$F66,MOD(AM$12,7)&gt;1,NOT(COUNTIF(General!$U$13:$U$19,AM$12))),$I66,"")</f>
        <v/>
      </c>
      <c r="AN66" s="390" t="str">
        <f>IF(AND(AN$12&gt;=$E66,AN$12&lt;=$F66,MOD(AN$12,7)&gt;1,NOT(COUNTIF(General!$U$13:$U$19,AN$12))),$I66,"")</f>
        <v/>
      </c>
      <c r="AO66" s="390" t="str">
        <f>IF(AND(AO$12&gt;=$E66,AO$12&lt;=$F66,MOD(AO$12,7)&gt;1,NOT(COUNTIF(General!$U$13:$U$19,AO$12))),$I66,"")</f>
        <v/>
      </c>
      <c r="AP66" s="390" t="str">
        <f>IF(AND(AP$12&gt;=$E66,AP$12&lt;=$F66,MOD(AP$12,7)&gt;1,NOT(COUNTIF(General!$U$13:$U$19,AP$12))),$I66,"")</f>
        <v/>
      </c>
      <c r="AQ66" s="390" t="str">
        <f>IF(AND(AQ$12&gt;=$E66,AQ$12&lt;=$F66,MOD(AQ$12,7)&gt;1,NOT(COUNTIF(General!$U$13:$U$19,AQ$12))),$I66,"")</f>
        <v/>
      </c>
      <c r="AR66" s="390" t="str">
        <f>IF(AND(AR$12&gt;=$E66,AR$12&lt;=$F66,MOD(AR$12,7)&gt;1,NOT(COUNTIF(General!$U$13:$U$19,AR$12))),$I66,"")</f>
        <v/>
      </c>
      <c r="AS66" s="390" t="str">
        <f>IF(AND(AS$12&gt;=$E66,AS$12&lt;=$F66,MOD(AS$12,7)&gt;1,NOT(COUNTIF(General!$U$13:$U$19,AS$12))),$I66,"")</f>
        <v/>
      </c>
      <c r="AT66" s="390" t="str">
        <f>IF(AND(AT$12&gt;=$E66,AT$12&lt;=$F66,MOD(AT$12,7)&gt;1,NOT(COUNTIF(General!$U$13:$U$19,AT$12))),$I66,"")</f>
        <v/>
      </c>
      <c r="AU66" s="390" t="str">
        <f>IF(AND(AU$12&gt;=$E66,AU$12&lt;=$F66,MOD(AU$12,7)&gt;1,NOT(COUNTIF(General!$U$13:$U$19,AU$12))),$I66,"")</f>
        <v/>
      </c>
      <c r="AV66" s="390" t="str">
        <f>IF(AND(AV$12&gt;=$E66,AV$12&lt;=$F66,MOD(AV$12,7)&gt;1,NOT(COUNTIF(General!$U$13:$U$19,AV$12))),$I66,"")</f>
        <v/>
      </c>
      <c r="AW66" s="390" t="str">
        <f>IF(AND(AW$12&gt;=$E66,AW$12&lt;=$F66,MOD(AW$12,7)&gt;1,NOT(COUNTIF(General!$U$13:$U$19,AW$12))),$I66,"")</f>
        <v/>
      </c>
      <c r="AX66" s="390" t="str">
        <f>IF(AND(AX$12&gt;=$E66,AX$12&lt;=$F66,MOD(AX$12,7)&gt;1,NOT(COUNTIF(General!$U$13:$U$19,AX$12))),$I66,"")</f>
        <v/>
      </c>
      <c r="AY66" s="390" t="str">
        <f>IF(AND(AY$12&gt;=$E66,AY$12&lt;=$F66,MOD(AY$12,7)&gt;1,NOT(COUNTIF(General!$U$13:$U$19,AY$12))),$I66,"")</f>
        <v/>
      </c>
      <c r="AZ66" s="390" t="str">
        <f>IF(AND(AZ$12&gt;=$E66,AZ$12&lt;=$F66,MOD(AZ$12,7)&gt;1,NOT(COUNTIF(General!$U$13:$U$19,AZ$12))),$I66,"")</f>
        <v/>
      </c>
      <c r="BA66" s="390" t="str">
        <f>IF(AND(BA$12&gt;=$E66,BA$12&lt;=$F66,MOD(BA$12,7)&gt;1,NOT(COUNTIF(General!$U$13:$U$19,BA$12))),$I66,"")</f>
        <v/>
      </c>
      <c r="BB66" s="390" t="str">
        <f>IF(AND(BB$12&gt;=$E66,BB$12&lt;=$F66,MOD(BB$12,7)&gt;1,NOT(COUNTIF(General!$U$13:$U$19,BB$12))),$I66,"")</f>
        <v/>
      </c>
      <c r="BC66" s="390" t="str">
        <f>IF(AND(BC$12&gt;=$E66,BC$12&lt;=$F66,MOD(BC$12,7)&gt;1,NOT(COUNTIF(General!$U$13:$U$19,BC$12))),$I66,"")</f>
        <v/>
      </c>
      <c r="BD66" s="390" t="str">
        <f>IF(AND(BD$12&gt;=$E66,BD$12&lt;=$F66,MOD(BD$12,7)&gt;1,NOT(COUNTIF(General!$U$13:$U$19,BD$12))),$I66,"")</f>
        <v/>
      </c>
      <c r="BE66" s="390" t="str">
        <f>IF(AND(BE$12&gt;=$E66,BE$12&lt;=$F66,MOD(BE$12,7)&gt;1,NOT(COUNTIF(General!$U$13:$U$19,BE$12))),$I66,"")</f>
        <v/>
      </c>
      <c r="BF66" s="390" t="str">
        <f>IF(AND(BF$12&gt;=$E66,BF$12&lt;=$F66,MOD(BF$12,7)&gt;1,NOT(COUNTIF(General!$U$13:$U$19,BF$12))),$I66,"")</f>
        <v/>
      </c>
      <c r="BG66" s="390" t="str">
        <f>IF(AND(BG$12&gt;=$E66,BG$12&lt;=$F66,MOD(BG$12,7)&gt;1,NOT(COUNTIF(General!$U$13:$U$19,BG$12))),$I66,"")</f>
        <v/>
      </c>
      <c r="BH66" s="390" t="str">
        <f>IF(AND(BH$12&gt;=$E66,BH$12&lt;=$F66,MOD(BH$12,7)&gt;1,NOT(COUNTIF(General!$U$13:$U$19,BH$12))),$I66,"")</f>
        <v/>
      </c>
      <c r="BI66" s="390" t="str">
        <f>IF(AND(BI$12&gt;=$E66,BI$12&lt;=$F66,MOD(BI$12,7)&gt;1,NOT(COUNTIF(General!$U$13:$U$19,BI$12))),$I66,"")</f>
        <v/>
      </c>
      <c r="BJ66" s="390" t="str">
        <f>IF(AND(BJ$12&gt;=$E66,BJ$12&lt;=$F66,MOD(BJ$12,7)&gt;1,NOT(COUNTIF(General!$U$13:$U$19,BJ$12))),$I66,"")</f>
        <v/>
      </c>
      <c r="BK66" s="390" t="str">
        <f>IF(AND(BK$12&gt;=$E66,BK$12&lt;=$F66,MOD(BK$12,7)&gt;1,NOT(COUNTIF(General!$U$13:$U$19,BK$12))),$I66,"")</f>
        <v/>
      </c>
      <c r="BL66" s="390" t="str">
        <f>IF(AND(BL$12&gt;=$E66,BL$12&lt;=$F66,MOD(BL$12,7)&gt;1,NOT(COUNTIF(General!$U$13:$U$19,BL$12))),$I66,"")</f>
        <v/>
      </c>
      <c r="BM66" s="390" t="str">
        <f>IF(AND(BM$12&gt;=$E66,BM$12&lt;=$F66,MOD(BM$12,7)&gt;1,NOT(COUNTIF(General!$U$13:$U$19,BM$12))),$I66,"")</f>
        <v/>
      </c>
      <c r="BN66" s="390" t="str">
        <f>IF(AND(BN$12&gt;=$E66,BN$12&lt;=$F66,MOD(BN$12,7)&gt;1,NOT(COUNTIF(General!$U$13:$U$19,BN$12))),$I66,"")</f>
        <v/>
      </c>
      <c r="BO66" s="390" t="str">
        <f>IF(AND(BO$12&gt;=$E66,BO$12&lt;=$F66,MOD(BO$12,7)&gt;1,NOT(COUNTIF(General!$U$13:$U$19,BO$12))),$I66,"")</f>
        <v/>
      </c>
      <c r="BP66" s="390" t="str">
        <f>IF(AND(BP$12&gt;=$E66,BP$12&lt;=$F66,MOD(BP$12,7)&gt;1,NOT(COUNTIF(General!$U$13:$U$19,BP$12))),$I66,"")</f>
        <v/>
      </c>
      <c r="BQ66" s="390" t="str">
        <f>IF(AND(BQ$12&gt;=$E66,BQ$12&lt;=$F66,MOD(BQ$12,7)&gt;1,NOT(COUNTIF(General!$U$13:$U$19,BQ$12))),$I66,"")</f>
        <v/>
      </c>
      <c r="BR66" s="390" t="str">
        <f>IF(AND(BR$12&gt;=$E66,BR$12&lt;=$F66,MOD(BR$12,7)&gt;1,NOT(COUNTIF(General!$U$13:$U$19,BR$12))),$I66,"")</f>
        <v/>
      </c>
      <c r="BS66" s="390" t="str">
        <f>IF(AND(BS$12&gt;=$E66,BS$12&lt;=$F66,MOD(BS$12,7)&gt;1,NOT(COUNTIF(General!$U$13:$U$19,BS$12))),$I66,"")</f>
        <v/>
      </c>
      <c r="BT66" s="390" t="str">
        <f>IF(AND(BT$12&gt;=$E66,BT$12&lt;=$F66,MOD(BT$12,7)&gt;1,NOT(COUNTIF(General!$U$13:$U$19,BT$12))),$I66,"")</f>
        <v/>
      </c>
      <c r="BU66" s="390" t="str">
        <f>IF(AND(BU$12&gt;=$E66,BU$12&lt;=$F66,MOD(BU$12,7)&gt;1,NOT(COUNTIF(General!$U$13:$U$19,BU$12))),$I66,"")</f>
        <v/>
      </c>
      <c r="BV66" s="390" t="str">
        <f>IF(AND(BV$12&gt;=$E66,BV$12&lt;=$F66,MOD(BV$12,7)&gt;1,NOT(COUNTIF(General!$U$13:$U$19,BV$12))),$I66,"")</f>
        <v/>
      </c>
      <c r="BW66" s="390" t="str">
        <f>IF(AND(BW$12&gt;=$E66,BW$12&lt;=$F66,MOD(BW$12,7)&gt;1,NOT(COUNTIF(General!$U$13:$U$19,BW$12))),$I66,"")</f>
        <v/>
      </c>
      <c r="BX66" s="390" t="str">
        <f>IF(AND(BX$12&gt;=$E66,BX$12&lt;=$F66,MOD(BX$12,7)&gt;1,NOT(COUNTIF(General!$U$13:$U$19,BX$12))),$I66,"")</f>
        <v/>
      </c>
      <c r="BY66" s="390" t="str">
        <f>IF(AND(BY$12&gt;=$E66,BY$12&lt;=$F66,MOD(BY$12,7)&gt;1,NOT(COUNTIF(General!$U$13:$U$19,BY$12))),$I66,"")</f>
        <v/>
      </c>
      <c r="BZ66" s="390" t="str">
        <f>IF(AND(BZ$12&gt;=$E66,BZ$12&lt;=$F66,MOD(BZ$12,7)&gt;1,NOT(COUNTIF(General!$U$13:$U$19,BZ$12))),$I66,"")</f>
        <v/>
      </c>
      <c r="CA66" s="390" t="str">
        <f>IF(AND(CA$12&gt;=$E66,CA$12&lt;=$F66,MOD(CA$12,7)&gt;1,NOT(COUNTIF(General!$U$13:$U$19,CA$12))),$I66,"")</f>
        <v/>
      </c>
      <c r="CB66" s="390" t="str">
        <f>IF(AND(CB$12&gt;=$E66,CB$12&lt;=$F66,MOD(CB$12,7)&gt;1,NOT(COUNTIF(General!$U$13:$U$19,CB$12))),$I66,"")</f>
        <v/>
      </c>
      <c r="CC66" s="390" t="str">
        <f>IF(AND(CC$12&gt;=$E66,CC$12&lt;=$F66,MOD(CC$12,7)&gt;1,NOT(COUNTIF(General!$U$13:$U$19,CC$12))),$I66,"")</f>
        <v/>
      </c>
      <c r="CD66" s="390" t="str">
        <f>IF(AND(CD$12&gt;=$E66,CD$12&lt;=$F66,MOD(CD$12,7)&gt;1,NOT(COUNTIF(General!$U$13:$U$19,CD$12))),$I66,"")</f>
        <v/>
      </c>
      <c r="CE66" s="390" t="str">
        <f>IF(AND(CE$12&gt;=$E66,CE$12&lt;=$F66,MOD(CE$12,7)&gt;1,NOT(COUNTIF(General!$U$13:$U$19,CE$12))),$I66,"")</f>
        <v/>
      </c>
      <c r="CF66" s="390" t="str">
        <f>IF(AND(CF$12&gt;=$E66,CF$12&lt;=$F66,MOD(CF$12,7)&gt;1,NOT(COUNTIF(General!$U$13:$U$19,CF$12))),$I66,"")</f>
        <v/>
      </c>
      <c r="CG66" s="390" t="str">
        <f>IF(AND(CG$12&gt;=$E66,CG$12&lt;=$F66,MOD(CG$12,7)&gt;1,NOT(COUNTIF(General!$U$13:$U$19,CG$12))),$I66,"")</f>
        <v/>
      </c>
      <c r="CH66" s="390" t="str">
        <f>IF(AND(CH$12&gt;=$E66,CH$12&lt;=$F66,MOD(CH$12,7)&gt;1,NOT(COUNTIF(General!$U$13:$U$19,CH$12))),$I66,"")</f>
        <v/>
      </c>
      <c r="CI66" s="390" t="str">
        <f>IF(AND(CI$12&gt;=$E66,CI$12&lt;=$F66,MOD(CI$12,7)&gt;1,NOT(COUNTIF(General!$U$13:$U$19,CI$12))),$I66,"")</f>
        <v/>
      </c>
      <c r="CJ66" s="390" t="str">
        <f>IF(AND(CJ$12&gt;=$E66,CJ$12&lt;=$F66,MOD(CJ$12,7)&gt;1,NOT(COUNTIF(General!$U$13:$U$19,CJ$12))),$I66,"")</f>
        <v/>
      </c>
      <c r="CK66" s="390" t="str">
        <f>IF(AND(CK$12&gt;=$E66,CK$12&lt;=$F66,MOD(CK$12,7)&gt;1,NOT(COUNTIF(General!$U$13:$U$19,CK$12))),$I66,"")</f>
        <v/>
      </c>
      <c r="CL66" s="390" t="str">
        <f>IF(AND(CL$12&gt;=$E66,CL$12&lt;=$F66,MOD(CL$12,7)&gt;1,NOT(COUNTIF(General!$U$13:$U$19,CL$12))),$I66,"")</f>
        <v/>
      </c>
      <c r="CM66" s="390" t="str">
        <f>IF(AND(CM$12&gt;=$E66,CM$12&lt;=$F66,MOD(CM$12,7)&gt;1,NOT(COUNTIF(General!$U$13:$U$19,CM$12))),$I66,"")</f>
        <v/>
      </c>
      <c r="CN66" s="390" t="str">
        <f>IF(AND(CN$12&gt;=$E66,CN$12&lt;=$F66,MOD(CN$12,7)&gt;1,NOT(COUNTIF(General!$U$13:$U$19,CN$12))),$I66,"")</f>
        <v/>
      </c>
      <c r="CO66" s="390" t="str">
        <f>IF(AND(CO$12&gt;=$E66,CO$12&lt;=$F66,MOD(CO$12,7)&gt;1,NOT(COUNTIF(General!$U$13:$U$19,CO$12))),$I66,"")</f>
        <v/>
      </c>
      <c r="CP66" s="390" t="str">
        <f>IF(AND(CP$12&gt;=$E66,CP$12&lt;=$F66,MOD(CP$12,7)&gt;1,NOT(COUNTIF(General!$U$13:$U$19,CP$12))),$I66,"")</f>
        <v/>
      </c>
      <c r="CQ66" s="390" t="str">
        <f>IF(AND(CQ$12&gt;=$E66,CQ$12&lt;=$F66,MOD(CQ$12,7)&gt;1,NOT(COUNTIF(General!$U$13:$U$19,CQ$12))),$I66,"")</f>
        <v/>
      </c>
      <c r="CR66" s="390" t="str">
        <f>IF(AND(CR$12&gt;=$E66,CR$12&lt;=$F66,MOD(CR$12,7)&gt;1,NOT(COUNTIF(General!$U$13:$U$19,CR$12))),$I66,"")</f>
        <v/>
      </c>
      <c r="CS66" s="390" t="str">
        <f>IF(AND(CS$12&gt;=$E66,CS$12&lt;=$F66,MOD(CS$12,7)&gt;1,NOT(COUNTIF(General!$U$13:$U$19,CS$12))),$I66,"")</f>
        <v/>
      </c>
      <c r="CT66" s="390" t="str">
        <f>IF(AND(CT$12&gt;=$E66,CT$12&lt;=$F66,MOD(CT$12,7)&gt;1,NOT(COUNTIF(General!$U$13:$U$19,CT$12))),$I66,"")</f>
        <v/>
      </c>
      <c r="CU66" s="390" t="str">
        <f>IF(AND(CU$12&gt;=$E66,CU$12&lt;=$F66,MOD(CU$12,7)&gt;1,NOT(COUNTIF(General!$U$13:$U$19,CU$12))),$I66,"")</f>
        <v/>
      </c>
      <c r="CV66" s="390" t="str">
        <f>IF(AND(CV$12&gt;=$E66,CV$12&lt;=$F66,MOD(CV$12,7)&gt;1,NOT(COUNTIF(General!$U$13:$U$19,CV$12))),$I66,"")</f>
        <v/>
      </c>
      <c r="CW66" s="390" t="str">
        <f>IF(AND(CW$12&gt;=$E66,CW$12&lt;=$F66,MOD(CW$12,7)&gt;1,NOT(COUNTIF(General!$U$13:$U$19,CW$12))),$I66,"")</f>
        <v/>
      </c>
      <c r="CX66" s="390" t="str">
        <f>IF(AND(CX$12&gt;=$E66,CX$12&lt;=$F66,MOD(CX$12,7)&gt;1,NOT(COUNTIF(General!$U$13:$U$19,CX$12))),$I66,"")</f>
        <v/>
      </c>
      <c r="CY66" s="390" t="str">
        <f>IF(AND(CY$12&gt;=$E66,CY$12&lt;=$F66,MOD(CY$12,7)&gt;1,NOT(COUNTIF(General!$U$13:$U$19,CY$12))),$I66,"")</f>
        <v/>
      </c>
      <c r="CZ66" s="390" t="str">
        <f>IF(AND(CZ$12&gt;=$E66,CZ$12&lt;=$F66,MOD(CZ$12,7)&gt;1,NOT(COUNTIF(General!$U$13:$U$19,CZ$12))),$I66,"")</f>
        <v/>
      </c>
      <c r="DA66" s="390" t="str">
        <f>IF(AND(DA$12&gt;=$E66,DA$12&lt;=$F66,MOD(DA$12,7)&gt;1,NOT(COUNTIF(General!$U$13:$U$19,DA$12))),$I66,"")</f>
        <v/>
      </c>
      <c r="DB66" s="390" t="str">
        <f>IF(AND(DB$12&gt;=$E66,DB$12&lt;=$F66,MOD(DB$12,7)&gt;1,NOT(COUNTIF(General!$U$13:$U$19,DB$12))),$I66,"")</f>
        <v/>
      </c>
      <c r="DC66" s="390" t="str">
        <f>IF(AND(DC$12&gt;=$E66,DC$12&lt;=$F66,MOD(DC$12,7)&gt;1,NOT(COUNTIF(General!$U$13:$U$19,DC$12))),$I66,"")</f>
        <v/>
      </c>
      <c r="DD66" s="390" t="str">
        <f>IF(AND(DD$12&gt;=$E66,DD$12&lt;=$F66,MOD(DD$12,7)&gt;1,NOT(COUNTIF(General!$U$13:$U$19,DD$12))),$I66,"")</f>
        <v/>
      </c>
      <c r="DE66" s="390" t="str">
        <f>IF(AND(DE$12&gt;=$E66,DE$12&lt;=$F66,MOD(DE$12,7)&gt;1,NOT(COUNTIF(General!$U$13:$U$19,DE$12))),$I66,"")</f>
        <v/>
      </c>
      <c r="DF66" s="390" t="str">
        <f>IF(AND(DF$12&gt;=$E66,DF$12&lt;=$F66,MOD(DF$12,7)&gt;1,NOT(COUNTIF(General!$U$13:$U$19,DF$12))),$I66,"")</f>
        <v/>
      </c>
      <c r="DG66" s="390" t="str">
        <f>IF(AND(DG$12&gt;=$E66,DG$12&lt;=$F66,MOD(DG$12,7)&gt;1,NOT(COUNTIF(General!$U$13:$U$19,DG$12))),$I66,"")</f>
        <v/>
      </c>
      <c r="DH66" s="390" t="str">
        <f>IF(AND(DH$12&gt;=$E66,DH$12&lt;=$F66,MOD(DH$12,7)&gt;1,NOT(COUNTIF(General!$U$13:$U$19,DH$12))),$I66,"")</f>
        <v/>
      </c>
      <c r="DI66" s="390" t="str">
        <f>IF(AND(DI$12&gt;=$E66,DI$12&lt;=$F66,MOD(DI$12,7)&gt;1,NOT(COUNTIF(General!$U$13:$U$19,DI$12))),$I66,"")</f>
        <v/>
      </c>
      <c r="DJ66" s="390" t="str">
        <f>IF(AND(DJ$12&gt;=$E66,DJ$12&lt;=$F66,MOD(DJ$12,7)&gt;1,NOT(COUNTIF(General!$U$13:$U$19,DJ$12))),$I66,"")</f>
        <v/>
      </c>
      <c r="DK66" s="390" t="str">
        <f>IF(AND(DK$12&gt;=$E66,DK$12&lt;=$F66,MOD(DK$12,7)&gt;1,NOT(COUNTIF(General!$U$13:$U$19,DK$12))),$I66,"")</f>
        <v/>
      </c>
      <c r="DL66" s="390" t="str">
        <f>IF(AND(DL$12&gt;=$E66,DL$12&lt;=$F66,MOD(DL$12,7)&gt;1,NOT(COUNTIF(General!$U$13:$U$19,DL$12))),$I66,"")</f>
        <v/>
      </c>
      <c r="DM66" s="390" t="str">
        <f>IF(AND(DM$12&gt;=$E66,DM$12&lt;=$F66,MOD(DM$12,7)&gt;1,NOT(COUNTIF(General!$U$13:$U$19,DM$12))),$I66,"")</f>
        <v/>
      </c>
      <c r="DN66" s="390" t="str">
        <f>IF(AND(DN$12&gt;=$E66,DN$12&lt;=$F66,MOD(DN$12,7)&gt;1,NOT(COUNTIF(General!$U$13:$U$19,DN$12))),$I66,"")</f>
        <v/>
      </c>
      <c r="DO66" s="390" t="str">
        <f>IF(AND(DO$12&gt;=$E66,DO$12&lt;=$F66,MOD(DO$12,7)&gt;1,NOT(COUNTIF(General!$U$13:$U$19,DO$12))),$I66,"")</f>
        <v/>
      </c>
      <c r="DP66" s="390" t="str">
        <f>IF(AND(DP$12&gt;=$E66,DP$12&lt;=$F66,MOD(DP$12,7)&gt;1,NOT(COUNTIF(General!$U$13:$U$19,DP$12))),$I66,"")</f>
        <v/>
      </c>
      <c r="DQ66" s="390" t="str">
        <f>IF(AND(DQ$12&gt;=$E66,DQ$12&lt;=$F66,MOD(DQ$12,7)&gt;1,NOT(COUNTIF(General!$U$13:$U$19,DQ$12))),$I66,"")</f>
        <v/>
      </c>
      <c r="DR66" s="390" t="str">
        <f>IF(AND(DR$12&gt;=$E66,DR$12&lt;=$F66,MOD(DR$12,7)&gt;1,NOT(COUNTIF(General!$U$13:$U$19,DR$12))),$I66,"")</f>
        <v/>
      </c>
      <c r="DS66" s="390" t="str">
        <f>IF(AND(DS$12&gt;=$E66,DS$12&lt;=$F66,MOD(DS$12,7)&gt;1,NOT(COUNTIF(General!$U$13:$U$19,DS$12))),$I66,"")</f>
        <v/>
      </c>
      <c r="DT66" s="390" t="str">
        <f>IF(AND(DT$12&gt;=$E66,DT$12&lt;=$F66,MOD(DT$12,7)&gt;1,NOT(COUNTIF(General!$U$13:$U$19,DT$12))),$I66,"")</f>
        <v/>
      </c>
      <c r="DU66" s="390" t="str">
        <f>IF(AND(DU$12&gt;=$E66,DU$12&lt;=$F66,MOD(DU$12,7)&gt;1,NOT(COUNTIF(General!$U$13:$U$19,DU$12))),$I66,"")</f>
        <v/>
      </c>
      <c r="DV66" s="390" t="str">
        <f>IF(AND(DV$12&gt;=$E66,DV$12&lt;=$F66,MOD(DV$12,7)&gt;1,NOT(COUNTIF(General!$U$13:$U$19,DV$12))),$I66,"")</f>
        <v/>
      </c>
      <c r="DW66" s="390" t="str">
        <f>IF(AND(DW$12&gt;=$E66,DW$12&lt;=$F66,MOD(DW$12,7)&gt;1,NOT(COUNTIF(General!$U$13:$U$19,DW$12))),$I66,"")</f>
        <v/>
      </c>
      <c r="DX66" s="390" t="str">
        <f>IF(AND(DX$12&gt;=$E66,DX$12&lt;=$F66,MOD(DX$12,7)&gt;1,NOT(COUNTIF(General!$U$13:$U$19,DX$12))),$I66,"")</f>
        <v/>
      </c>
      <c r="DY66" s="390" t="str">
        <f>IF(AND(DY$12&gt;=$E66,DY$12&lt;=$F66,MOD(DY$12,7)&gt;1,NOT(COUNTIF(General!$U$13:$U$19,DY$12))),$I66,"")</f>
        <v/>
      </c>
      <c r="DZ66" s="390" t="str">
        <f>IF(AND(DZ$12&gt;=$E66,DZ$12&lt;=$F66,MOD(DZ$12,7)&gt;1,NOT(COUNTIF(General!$U$13:$U$19,DZ$12))),$I66,"")</f>
        <v/>
      </c>
      <c r="EA66" s="390" t="str">
        <f>IF(AND(EA$12&gt;=$E66,EA$12&lt;=$F66,MOD(EA$12,7)&gt;1,NOT(COUNTIF(General!$U$13:$U$19,EA$12))),$I66,"")</f>
        <v/>
      </c>
      <c r="EB66" s="390" t="str">
        <f>IF(AND(EB$12&gt;=$E66,EB$12&lt;=$F66,MOD(EB$12,7)&gt;1,NOT(COUNTIF(General!$U$13:$U$19,EB$12))),$I66,"")</f>
        <v/>
      </c>
      <c r="EC66" s="390" t="str">
        <f>IF(AND(EC$12&gt;=$E66,EC$12&lt;=$F66,MOD(EC$12,7)&gt;1,NOT(COUNTIF(General!$U$13:$U$19,EC$12))),$I66,"")</f>
        <v/>
      </c>
      <c r="ED66" s="390" t="str">
        <f>IF(AND(ED$12&gt;=$E66,ED$12&lt;=$F66,MOD(ED$12,7)&gt;1,NOT(COUNTIF(General!$U$13:$U$19,ED$12))),$I66,"")</f>
        <v/>
      </c>
      <c r="EE66" s="390" t="str">
        <f>IF(AND(EE$12&gt;=$E66,EE$12&lt;=$F66,MOD(EE$12,7)&gt;1,NOT(COUNTIF(General!$U$13:$U$19,EE$12))),$I66,"")</f>
        <v/>
      </c>
      <c r="EF66" s="390" t="str">
        <f>IF(AND(EF$12&gt;=$E66,EF$12&lt;=$F66,MOD(EF$12,7)&gt;1,NOT(COUNTIF(General!$U$13:$U$19,EF$12))),$I66,"")</f>
        <v/>
      </c>
      <c r="EG66" s="390" t="str">
        <f>IF(AND(EG$12&gt;=$E66,EG$12&lt;=$F66,MOD(EG$12,7)&gt;1,NOT(COUNTIF(General!$U$13:$U$19,EG$12))),$I66,"")</f>
        <v/>
      </c>
      <c r="EH66" s="390" t="str">
        <f>IF(AND(EH$12&gt;=$E66,EH$12&lt;=$F66,MOD(EH$12,7)&gt;1,NOT(COUNTIF(General!$U$13:$U$19,EH$12))),$I66,"")</f>
        <v/>
      </c>
      <c r="EI66" s="390" t="str">
        <f>IF(AND(EI$12&gt;=$E66,EI$12&lt;=$F66,MOD(EI$12,7)&gt;1,NOT(COUNTIF(General!$U$13:$U$19,EI$12))),$I66,"")</f>
        <v/>
      </c>
      <c r="EJ66" s="390" t="str">
        <f>IF(AND(EJ$12&gt;=$E66,EJ$12&lt;=$F66,MOD(EJ$12,7)&gt;1,NOT(COUNTIF(General!$U$13:$U$19,EJ$12))),$I66,"")</f>
        <v/>
      </c>
      <c r="EK66" s="390" t="str">
        <f>IF(AND(EK$12&gt;=$E66,EK$12&lt;=$F66,MOD(EK$12,7)&gt;1,NOT(COUNTIF(General!$U$13:$U$19,EK$12))),$I66,"")</f>
        <v/>
      </c>
      <c r="EL66" s="390" t="str">
        <f>IF(AND(EL$12&gt;=$E66,EL$12&lt;=$F66,MOD(EL$12,7)&gt;1,NOT(COUNTIF(General!$U$13:$U$19,EL$12))),$I66,"")</f>
        <v/>
      </c>
      <c r="EM66" s="390" t="str">
        <f>IF(AND(EM$12&gt;=$E66,EM$12&lt;=$F66,MOD(EM$12,7)&gt;1,NOT(COUNTIF(General!$U$13:$U$19,EM$12))),$I66,"")</f>
        <v/>
      </c>
      <c r="EN66" s="390" t="str">
        <f>IF(AND(EN$12&gt;=$E66,EN$12&lt;=$F66,MOD(EN$12,7)&gt;1,NOT(COUNTIF(General!$U$13:$U$19,EN$12))),$I66,"")</f>
        <v/>
      </c>
      <c r="EO66" s="390" t="str">
        <f>IF(AND(EO$12&gt;=$E66,EO$12&lt;=$F66,MOD(EO$12,7)&gt;1,NOT(COUNTIF(General!$U$13:$U$19,EO$12))),$I66,"")</f>
        <v/>
      </c>
      <c r="EP66" s="390" t="str">
        <f>IF(AND(EP$12&gt;=$E66,EP$12&lt;=$F66,MOD(EP$12,7)&gt;1,NOT(COUNTIF(General!$U$13:$U$19,EP$12))),$I66,"")</f>
        <v/>
      </c>
      <c r="EQ66" s="390" t="str">
        <f>IF(AND(EQ$12&gt;=$E66,EQ$12&lt;=$F66,MOD(EQ$12,7)&gt;1,NOT(COUNTIF(General!$U$13:$U$19,EQ$12))),$I66,"")</f>
        <v/>
      </c>
      <c r="ER66" s="390" t="str">
        <f>IF(AND(ER$12&gt;=$E66,ER$12&lt;=$F66,MOD(ER$12,7)&gt;1,NOT(COUNTIF(General!$U$13:$U$19,ER$12))),$I66,"")</f>
        <v/>
      </c>
      <c r="ES66" s="390" t="str">
        <f>IF(AND(ES$12&gt;=$E66,ES$12&lt;=$F66,MOD(ES$12,7)&gt;1,NOT(COUNTIF(General!$U$13:$U$19,ES$12))),$I66,"")</f>
        <v/>
      </c>
      <c r="ET66" s="390" t="str">
        <f>IF(AND(ET$12&gt;=$E66,ET$12&lt;=$F66,MOD(ET$12,7)&gt;1,NOT(COUNTIF(General!$U$13:$U$19,ET$12))),$I66,"")</f>
        <v/>
      </c>
      <c r="EU66" s="390" t="str">
        <f>IF(AND(EU$12&gt;=$E66,EU$12&lt;=$F66,MOD(EU$12,7)&gt;1,NOT(COUNTIF(General!$U$13:$U$19,EU$12))),$I66,"")</f>
        <v/>
      </c>
      <c r="EV66" s="390" t="str">
        <f>IF(AND(EV$12&gt;=$E66,EV$12&lt;=$F66,MOD(EV$12,7)&gt;1,NOT(COUNTIF(General!$U$13:$U$19,EV$12))),$I66,"")</f>
        <v/>
      </c>
      <c r="EW66" s="390" t="str">
        <f>IF(AND(EW$12&gt;=$E66,EW$12&lt;=$F66,MOD(EW$12,7)&gt;1,NOT(COUNTIF(General!$U$13:$U$19,EW$12))),$I66,"")</f>
        <v/>
      </c>
      <c r="EX66" s="390" t="str">
        <f>IF(AND(EX$12&gt;=$E66,EX$12&lt;=$F66,MOD(EX$12,7)&gt;1,NOT(COUNTIF(General!$U$13:$U$19,EX$12))),$I66,"")</f>
        <v/>
      </c>
      <c r="EY66" s="390" t="str">
        <f>IF(AND(EY$12&gt;=$E66,EY$12&lt;=$F66,MOD(EY$12,7)&gt;1,NOT(COUNTIF(General!$U$13:$U$19,EY$12))),$I66,"")</f>
        <v/>
      </c>
      <c r="EZ66" s="390" t="str">
        <f>IF(AND(EZ$12&gt;=$E66,EZ$12&lt;=$F66,MOD(EZ$12,7)&gt;1,NOT(COUNTIF(General!$U$13:$U$19,EZ$12))),$I66,"")</f>
        <v/>
      </c>
      <c r="FA66" s="390" t="str">
        <f>IF(AND(FA$12&gt;=$E66,FA$12&lt;=$F66,MOD(FA$12,7)&gt;1,NOT(COUNTIF(General!$U$13:$U$19,FA$12))),$I66,"")</f>
        <v/>
      </c>
      <c r="FB66" s="390" t="str">
        <f>IF(AND(FB$12&gt;=$E66,FB$12&lt;=$F66,MOD(FB$12,7)&gt;1,NOT(COUNTIF(General!$U$13:$U$19,FB$12))),$I66,"")</f>
        <v/>
      </c>
      <c r="FC66" s="390" t="str">
        <f>IF(AND(FC$12&gt;=$E66,FC$12&lt;=$F66,MOD(FC$12,7)&gt;1,NOT(COUNTIF(General!$U$13:$U$19,FC$12))),$I66,"")</f>
        <v/>
      </c>
      <c r="FD66" s="390" t="str">
        <f>IF(AND(FD$12&gt;=$E66,FD$12&lt;=$F66,MOD(FD$12,7)&gt;1,NOT(COUNTIF(General!$U$13:$U$19,FD$12))),$I66,"")</f>
        <v/>
      </c>
      <c r="FE66" s="390" t="str">
        <f>IF(AND(FE$12&gt;=$E66,FE$12&lt;=$F66,MOD(FE$12,7)&gt;1,NOT(COUNTIF(General!$U$13:$U$19,FE$12))),$I66,"")</f>
        <v/>
      </c>
      <c r="FF66" s="390" t="str">
        <f>IF(AND(FF$12&gt;=$E66,FF$12&lt;=$F66,MOD(FF$12,7)&gt;1,NOT(COUNTIF(General!$U$13:$U$19,FF$12))),$I66,"")</f>
        <v/>
      </c>
      <c r="FG66" s="390" t="str">
        <f>IF(AND(FG$12&gt;=$E66,FG$12&lt;=$F66,MOD(FG$12,7)&gt;1,NOT(COUNTIF(General!$U$13:$U$19,FG$12))),$I66,"")</f>
        <v/>
      </c>
      <c r="FH66" s="390" t="str">
        <f>IF(AND(FH$12&gt;=$E66,FH$12&lt;=$F66,MOD(FH$12,7)&gt;1,NOT(COUNTIF(General!$U$13:$U$19,FH$12))),$I66,"")</f>
        <v/>
      </c>
      <c r="FI66" s="390" t="str">
        <f>IF(AND(FI$12&gt;=$E66,FI$12&lt;=$F66,MOD(FI$12,7)&gt;1,NOT(COUNTIF(General!$U$13:$U$19,FI$12))),$I66,"")</f>
        <v/>
      </c>
      <c r="FJ66" s="390" t="str">
        <f>IF(AND(FJ$12&gt;=$E66,FJ$12&lt;=$F66,MOD(FJ$12,7)&gt;1,NOT(COUNTIF(General!$U$13:$U$19,FJ$12))),$I66,"")</f>
        <v/>
      </c>
      <c r="FK66" s="390" t="str">
        <f>IF(AND(FK$12&gt;=$E66,FK$12&lt;=$F66,MOD(FK$12,7)&gt;1,NOT(COUNTIF(General!$U$13:$U$19,FK$12))),$I66,"")</f>
        <v/>
      </c>
      <c r="FL66" s="390" t="str">
        <f>IF(AND(FL$12&gt;=$E66,FL$12&lt;=$F66,MOD(FL$12,7)&gt;1,NOT(COUNTIF(General!$U$13:$U$19,FL$12))),$I66,"")</f>
        <v/>
      </c>
      <c r="FM66" s="390" t="str">
        <f>IF(AND(FM$12&gt;=$E66,FM$12&lt;=$F66,MOD(FM$12,7)&gt;1,NOT(COUNTIF(General!$U$13:$U$19,FM$12))),$I66,"")</f>
        <v/>
      </c>
      <c r="FN66" s="390" t="str">
        <f>IF(AND(FN$12&gt;=$E66,FN$12&lt;=$F66,MOD(FN$12,7)&gt;1,NOT(COUNTIF(General!$U$13:$U$19,FN$12))),$I66,"")</f>
        <v/>
      </c>
      <c r="FO66" s="390" t="str">
        <f>IF(AND(FO$12&gt;=$E66,FO$12&lt;=$F66,MOD(FO$12,7)&gt;1,NOT(COUNTIF(General!$U$13:$U$19,FO$12))),$I66,"")</f>
        <v/>
      </c>
      <c r="FP66" s="390" t="str">
        <f>IF(AND(FP$12&gt;=$E66,FP$12&lt;=$F66,MOD(FP$12,7)&gt;1,NOT(COUNTIF(General!$U$13:$U$19,FP$12))),$I66,"")</f>
        <v/>
      </c>
      <c r="FQ66" s="390" t="str">
        <f>IF(AND(FQ$12&gt;=$E66,FQ$12&lt;=$F66,MOD(FQ$12,7)&gt;1,NOT(COUNTIF(General!$U$13:$U$19,FQ$12))),$I66,"")</f>
        <v/>
      </c>
      <c r="FR66" s="390" t="str">
        <f>IF(AND(FR$12&gt;=$E66,FR$12&lt;=$F66,MOD(FR$12,7)&gt;1,NOT(COUNTIF(General!$U$13:$U$19,FR$12))),$I66,"")</f>
        <v/>
      </c>
      <c r="FS66" s="390" t="str">
        <f>IF(AND(FS$12&gt;=$E66,FS$12&lt;=$F66,MOD(FS$12,7)&gt;1,NOT(COUNTIF(General!$U$13:$U$19,FS$12))),$I66,"")</f>
        <v/>
      </c>
      <c r="FT66" s="390" t="str">
        <f>IF(AND(FT$12&gt;=$E66,FT$12&lt;=$F66,MOD(FT$12,7)&gt;1,NOT(COUNTIF(General!$U$13:$U$19,FT$12))),$I66,"")</f>
        <v/>
      </c>
      <c r="FU66" s="390" t="str">
        <f>IF(AND(FU$12&gt;=$E66,FU$12&lt;=$F66,MOD(FU$12,7)&gt;1,NOT(COUNTIF(General!$U$13:$U$19,FU$12))),$I66,"")</f>
        <v/>
      </c>
      <c r="FV66" s="390" t="str">
        <f>IF(AND(FV$12&gt;=$E66,FV$12&lt;=$F66,MOD(FV$12,7)&gt;1,NOT(COUNTIF(General!$U$13:$U$19,FV$12))),$I66,"")</f>
        <v/>
      </c>
      <c r="FW66" s="390" t="str">
        <f>IF(AND(FW$12&gt;=$E66,FW$12&lt;=$F66,MOD(FW$12,7)&gt;1,NOT(COUNTIF(General!$U$13:$U$19,FW$12))),$I66,"")</f>
        <v/>
      </c>
      <c r="FX66" s="390" t="str">
        <f>IF(AND(FX$12&gt;=$E66,FX$12&lt;=$F66,MOD(FX$12,7)&gt;1,NOT(COUNTIF(General!$U$13:$U$19,FX$12))),$I66,"")</f>
        <v/>
      </c>
    </row>
    <row r="67" ht="16.5" customHeight="1">
      <c r="A67" s="613"/>
      <c r="B67" s="369"/>
      <c r="C67" s="370"/>
      <c r="D67" s="579"/>
      <c r="E67" s="583"/>
      <c r="F67" s="620"/>
      <c r="G67" s="375"/>
      <c r="H67" s="377"/>
      <c r="I67" s="379">
        <v>1.0</v>
      </c>
      <c r="J67" s="377"/>
      <c r="K67" s="381"/>
      <c r="L67" s="382"/>
      <c r="M67" s="383"/>
      <c r="N67" s="384"/>
      <c r="O67" s="386"/>
      <c r="P67" s="388"/>
      <c r="Q67" s="390" t="str">
        <f>IF(AND(Q$12&gt;=$E67,Q$12&lt;=$F67,MOD(Q$12,7)&gt;1,NOT(COUNTIF(General!$U$13:$U$19,Q$12))),$I67,"")</f>
        <v/>
      </c>
      <c r="R67" s="390" t="str">
        <f>IF(AND(R$12&gt;=$E67,R$12&lt;=$F67,MOD(R$12,7)&gt;1,NOT(COUNTIF(General!$U$13:$U$19,R$12))),$I67,"")</f>
        <v/>
      </c>
      <c r="S67" s="390" t="str">
        <f>IF(AND(S$12&gt;=$E67,S$12&lt;=$F67,MOD(S$12,7)&gt;1,NOT(COUNTIF(General!$U$13:$U$19,S$12))),$I67,"")</f>
        <v/>
      </c>
      <c r="T67" s="390" t="str">
        <f>IF(AND(T$12&gt;=$E67,T$12&lt;=$F67,MOD(T$12,7)&gt;1,NOT(COUNTIF(General!$U$13:$U$19,T$12))),$I67,"")</f>
        <v/>
      </c>
      <c r="U67" s="390" t="str">
        <f>IF(AND(U$12&gt;=$E67,U$12&lt;=$F67,MOD(U$12,7)&gt;1,NOT(COUNTIF(General!$U$13:$U$19,U$12))),$I67,"")</f>
        <v/>
      </c>
      <c r="V67" s="390" t="str">
        <f>IF(AND(V$12&gt;=$E67,V$12&lt;=$F67,MOD(V$12,7)&gt;1,NOT(COUNTIF(General!$U$13:$U$19,V$12))),$I67,"")</f>
        <v/>
      </c>
      <c r="W67" s="390" t="str">
        <f>IF(AND(W$12&gt;=$E67,W$12&lt;=$F67,MOD(W$12,7)&gt;1,NOT(COUNTIF(General!$U$13:$U$19,W$12))),$I67,"")</f>
        <v/>
      </c>
      <c r="X67" s="390" t="str">
        <f>IF(AND(X$12&gt;=$E67,X$12&lt;=$F67,MOD(X$12,7)&gt;1,NOT(COUNTIF(General!$U$13:$U$19,X$12))),$I67,"")</f>
        <v/>
      </c>
      <c r="Y67" s="390" t="str">
        <f>IF(AND(Y$12&gt;=$E67,Y$12&lt;=$F67,MOD(Y$12,7)&gt;1,NOT(COUNTIF(General!$U$13:$U$19,Y$12))),$I67,"")</f>
        <v/>
      </c>
      <c r="Z67" s="390" t="str">
        <f>IF(AND(Z$12&gt;=$E67,Z$12&lt;=$F67,MOD(Z$12,7)&gt;1,NOT(COUNTIF(General!$U$13:$U$19,Z$12))),$I67,"")</f>
        <v/>
      </c>
      <c r="AA67" s="390" t="str">
        <f>IF(AND(AA$12&gt;=$E67,AA$12&lt;=$F67,MOD(AA$12,7)&gt;1,NOT(COUNTIF(General!$U$13:$U$19,AA$12))),$I67,"")</f>
        <v/>
      </c>
      <c r="AB67" s="390" t="str">
        <f>IF(AND(AB$12&gt;=$E67,AB$12&lt;=$F67,MOD(AB$12,7)&gt;1,NOT(COUNTIF(General!$U$13:$U$19,AB$12))),$I67,"")</f>
        <v/>
      </c>
      <c r="AC67" s="390" t="str">
        <f>IF(AND(AC$12&gt;=$E67,AC$12&lt;=$F67,MOD(AC$12,7)&gt;1,NOT(COUNTIF(General!$U$13:$U$19,AC$12))),$I67,"")</f>
        <v/>
      </c>
      <c r="AD67" s="390" t="str">
        <f>IF(AND(AD$12&gt;=$E67,AD$12&lt;=$F67,MOD(AD$12,7)&gt;1,NOT(COUNTIF(General!$U$13:$U$19,AD$12))),$I67,"")</f>
        <v/>
      </c>
      <c r="AE67" s="390" t="str">
        <f>IF(AND(AE$12&gt;=$E67,AE$12&lt;=$F67,MOD(AE$12,7)&gt;1,NOT(COUNTIF(General!$U$13:$U$19,AE$12))),$I67,"")</f>
        <v/>
      </c>
      <c r="AF67" s="390" t="str">
        <f>IF(AND(AF$12&gt;=$E67,AF$12&lt;=$F67,MOD(AF$12,7)&gt;1,NOT(COUNTIF(General!$U$13:$U$19,AF$12))),$I67,"")</f>
        <v/>
      </c>
      <c r="AG67" s="390" t="str">
        <f>IF(AND(AG$12&gt;=$E67,AG$12&lt;=$F67,MOD(AG$12,7)&gt;1,NOT(COUNTIF(General!$U$13:$U$19,AG$12))),$I67,"")</f>
        <v/>
      </c>
      <c r="AH67" s="390" t="str">
        <f>IF(AND(AH$12&gt;=$E67,AH$12&lt;=$F67,MOD(AH$12,7)&gt;1,NOT(COUNTIF(General!$U$13:$U$19,AH$12))),$I67,"")</f>
        <v/>
      </c>
      <c r="AI67" s="390" t="str">
        <f>IF(AND(AI$12&gt;=$E67,AI$12&lt;=$F67,MOD(AI$12,7)&gt;1,NOT(COUNTIF(General!$U$13:$U$19,AI$12))),$I67,"")</f>
        <v/>
      </c>
      <c r="AJ67" s="390" t="str">
        <f>IF(AND(AJ$12&gt;=$E67,AJ$12&lt;=$F67,MOD(AJ$12,7)&gt;1,NOT(COUNTIF(General!$U$13:$U$19,AJ$12))),$I67,"")</f>
        <v/>
      </c>
      <c r="AK67" s="390" t="str">
        <f>IF(AND(AK$12&gt;=$E67,AK$12&lt;=$F67,MOD(AK$12,7)&gt;1,NOT(COUNTIF(General!$U$13:$U$19,AK$12))),$I67,"")</f>
        <v/>
      </c>
      <c r="AL67" s="390" t="str">
        <f>IF(AND(AL$12&gt;=$E67,AL$12&lt;=$F67,MOD(AL$12,7)&gt;1,NOT(COUNTIF(General!$U$13:$U$19,AL$12))),$I67,"")</f>
        <v/>
      </c>
      <c r="AM67" s="390" t="str">
        <f>IF(AND(AM$12&gt;=$E67,AM$12&lt;=$F67,MOD(AM$12,7)&gt;1,NOT(COUNTIF(General!$U$13:$U$19,AM$12))),$I67,"")</f>
        <v/>
      </c>
      <c r="AN67" s="390" t="str">
        <f>IF(AND(AN$12&gt;=$E67,AN$12&lt;=$F67,MOD(AN$12,7)&gt;1,NOT(COUNTIF(General!$U$13:$U$19,AN$12))),$I67,"")</f>
        <v/>
      </c>
      <c r="AO67" s="390" t="str">
        <f>IF(AND(AO$12&gt;=$E67,AO$12&lt;=$F67,MOD(AO$12,7)&gt;1,NOT(COUNTIF(General!$U$13:$U$19,AO$12))),$I67,"")</f>
        <v/>
      </c>
      <c r="AP67" s="390" t="str">
        <f>IF(AND(AP$12&gt;=$E67,AP$12&lt;=$F67,MOD(AP$12,7)&gt;1,NOT(COUNTIF(General!$U$13:$U$19,AP$12))),$I67,"")</f>
        <v/>
      </c>
      <c r="AQ67" s="390" t="str">
        <f>IF(AND(AQ$12&gt;=$E67,AQ$12&lt;=$F67,MOD(AQ$12,7)&gt;1,NOT(COUNTIF(General!$U$13:$U$19,AQ$12))),$I67,"")</f>
        <v/>
      </c>
      <c r="AR67" s="390" t="str">
        <f>IF(AND(AR$12&gt;=$E67,AR$12&lt;=$F67,MOD(AR$12,7)&gt;1,NOT(COUNTIF(General!$U$13:$U$19,AR$12))),$I67,"")</f>
        <v/>
      </c>
      <c r="AS67" s="390" t="str">
        <f>IF(AND(AS$12&gt;=$E67,AS$12&lt;=$F67,MOD(AS$12,7)&gt;1,NOT(COUNTIF(General!$U$13:$U$19,AS$12))),$I67,"")</f>
        <v/>
      </c>
      <c r="AT67" s="390" t="str">
        <f>IF(AND(AT$12&gt;=$E67,AT$12&lt;=$F67,MOD(AT$12,7)&gt;1,NOT(COUNTIF(General!$U$13:$U$19,AT$12))),$I67,"")</f>
        <v/>
      </c>
      <c r="AU67" s="390" t="str">
        <f>IF(AND(AU$12&gt;=$E67,AU$12&lt;=$F67,MOD(AU$12,7)&gt;1,NOT(COUNTIF(General!$U$13:$U$19,AU$12))),$I67,"")</f>
        <v/>
      </c>
      <c r="AV67" s="390" t="str">
        <f>IF(AND(AV$12&gt;=$E67,AV$12&lt;=$F67,MOD(AV$12,7)&gt;1,NOT(COUNTIF(General!$U$13:$U$19,AV$12))),$I67,"")</f>
        <v/>
      </c>
      <c r="AW67" s="390" t="str">
        <f>IF(AND(AW$12&gt;=$E67,AW$12&lt;=$F67,MOD(AW$12,7)&gt;1,NOT(COUNTIF(General!$U$13:$U$19,AW$12))),$I67,"")</f>
        <v/>
      </c>
      <c r="AX67" s="390" t="str">
        <f>IF(AND(AX$12&gt;=$E67,AX$12&lt;=$F67,MOD(AX$12,7)&gt;1,NOT(COUNTIF(General!$U$13:$U$19,AX$12))),$I67,"")</f>
        <v/>
      </c>
      <c r="AY67" s="390" t="str">
        <f>IF(AND(AY$12&gt;=$E67,AY$12&lt;=$F67,MOD(AY$12,7)&gt;1,NOT(COUNTIF(General!$U$13:$U$19,AY$12))),$I67,"")</f>
        <v/>
      </c>
      <c r="AZ67" s="390" t="str">
        <f>IF(AND(AZ$12&gt;=$E67,AZ$12&lt;=$F67,MOD(AZ$12,7)&gt;1,NOT(COUNTIF(General!$U$13:$U$19,AZ$12))),$I67,"")</f>
        <v/>
      </c>
      <c r="BA67" s="390" t="str">
        <f>IF(AND(BA$12&gt;=$E67,BA$12&lt;=$F67,MOD(BA$12,7)&gt;1,NOT(COUNTIF(General!$U$13:$U$19,BA$12))),$I67,"")</f>
        <v/>
      </c>
      <c r="BB67" s="390" t="str">
        <f>IF(AND(BB$12&gt;=$E67,BB$12&lt;=$F67,MOD(BB$12,7)&gt;1,NOT(COUNTIF(General!$U$13:$U$19,BB$12))),$I67,"")</f>
        <v/>
      </c>
      <c r="BC67" s="390" t="str">
        <f>IF(AND(BC$12&gt;=$E67,BC$12&lt;=$F67,MOD(BC$12,7)&gt;1,NOT(COUNTIF(General!$U$13:$U$19,BC$12))),$I67,"")</f>
        <v/>
      </c>
      <c r="BD67" s="390" t="str">
        <f>IF(AND(BD$12&gt;=$E67,BD$12&lt;=$F67,MOD(BD$12,7)&gt;1,NOT(COUNTIF(General!$U$13:$U$19,BD$12))),$I67,"")</f>
        <v/>
      </c>
      <c r="BE67" s="390" t="str">
        <f>IF(AND(BE$12&gt;=$E67,BE$12&lt;=$F67,MOD(BE$12,7)&gt;1,NOT(COUNTIF(General!$U$13:$U$19,BE$12))),$I67,"")</f>
        <v/>
      </c>
      <c r="BF67" s="390" t="str">
        <f>IF(AND(BF$12&gt;=$E67,BF$12&lt;=$F67,MOD(BF$12,7)&gt;1,NOT(COUNTIF(General!$U$13:$U$19,BF$12))),$I67,"")</f>
        <v/>
      </c>
      <c r="BG67" s="390" t="str">
        <f>IF(AND(BG$12&gt;=$E67,BG$12&lt;=$F67,MOD(BG$12,7)&gt;1,NOT(COUNTIF(General!$U$13:$U$19,BG$12))),$I67,"")</f>
        <v/>
      </c>
      <c r="BH67" s="390" t="str">
        <f>IF(AND(BH$12&gt;=$E67,BH$12&lt;=$F67,MOD(BH$12,7)&gt;1,NOT(COUNTIF(General!$U$13:$U$19,BH$12))),$I67,"")</f>
        <v/>
      </c>
      <c r="BI67" s="390" t="str">
        <f>IF(AND(BI$12&gt;=$E67,BI$12&lt;=$F67,MOD(BI$12,7)&gt;1,NOT(COUNTIF(General!$U$13:$U$19,BI$12))),$I67,"")</f>
        <v/>
      </c>
      <c r="BJ67" s="390" t="str">
        <f>IF(AND(BJ$12&gt;=$E67,BJ$12&lt;=$F67,MOD(BJ$12,7)&gt;1,NOT(COUNTIF(General!$U$13:$U$19,BJ$12))),$I67,"")</f>
        <v/>
      </c>
      <c r="BK67" s="390" t="str">
        <f>IF(AND(BK$12&gt;=$E67,BK$12&lt;=$F67,MOD(BK$12,7)&gt;1,NOT(COUNTIF(General!$U$13:$U$19,BK$12))),$I67,"")</f>
        <v/>
      </c>
      <c r="BL67" s="390" t="str">
        <f>IF(AND(BL$12&gt;=$E67,BL$12&lt;=$F67,MOD(BL$12,7)&gt;1,NOT(COUNTIF(General!$U$13:$U$19,BL$12))),$I67,"")</f>
        <v/>
      </c>
      <c r="BM67" s="390" t="str">
        <f>IF(AND(BM$12&gt;=$E67,BM$12&lt;=$F67,MOD(BM$12,7)&gt;1,NOT(COUNTIF(General!$U$13:$U$19,BM$12))),$I67,"")</f>
        <v/>
      </c>
      <c r="BN67" s="390" t="str">
        <f>IF(AND(BN$12&gt;=$E67,BN$12&lt;=$F67,MOD(BN$12,7)&gt;1,NOT(COUNTIF(General!$U$13:$U$19,BN$12))),$I67,"")</f>
        <v/>
      </c>
      <c r="BO67" s="390" t="str">
        <f>IF(AND(BO$12&gt;=$E67,BO$12&lt;=$F67,MOD(BO$12,7)&gt;1,NOT(COUNTIF(General!$U$13:$U$19,BO$12))),$I67,"")</f>
        <v/>
      </c>
      <c r="BP67" s="390" t="str">
        <f>IF(AND(BP$12&gt;=$E67,BP$12&lt;=$F67,MOD(BP$12,7)&gt;1,NOT(COUNTIF(General!$U$13:$U$19,BP$12))),$I67,"")</f>
        <v/>
      </c>
      <c r="BQ67" s="390" t="str">
        <f>IF(AND(BQ$12&gt;=$E67,BQ$12&lt;=$F67,MOD(BQ$12,7)&gt;1,NOT(COUNTIF(General!$U$13:$U$19,BQ$12))),$I67,"")</f>
        <v/>
      </c>
      <c r="BR67" s="390" t="str">
        <f>IF(AND(BR$12&gt;=$E67,BR$12&lt;=$F67,MOD(BR$12,7)&gt;1,NOT(COUNTIF(General!$U$13:$U$19,BR$12))),$I67,"")</f>
        <v/>
      </c>
      <c r="BS67" s="390" t="str">
        <f>IF(AND(BS$12&gt;=$E67,BS$12&lt;=$F67,MOD(BS$12,7)&gt;1,NOT(COUNTIF(General!$U$13:$U$19,BS$12))),$I67,"")</f>
        <v/>
      </c>
      <c r="BT67" s="390" t="str">
        <f>IF(AND(BT$12&gt;=$E67,BT$12&lt;=$F67,MOD(BT$12,7)&gt;1,NOT(COUNTIF(General!$U$13:$U$19,BT$12))),$I67,"")</f>
        <v/>
      </c>
      <c r="BU67" s="390" t="str">
        <f>IF(AND(BU$12&gt;=$E67,BU$12&lt;=$F67,MOD(BU$12,7)&gt;1,NOT(COUNTIF(General!$U$13:$U$19,BU$12))),$I67,"")</f>
        <v/>
      </c>
      <c r="BV67" s="390" t="str">
        <f>IF(AND(BV$12&gt;=$E67,BV$12&lt;=$F67,MOD(BV$12,7)&gt;1,NOT(COUNTIF(General!$U$13:$U$19,BV$12))),$I67,"")</f>
        <v/>
      </c>
      <c r="BW67" s="390" t="str">
        <f>IF(AND(BW$12&gt;=$E67,BW$12&lt;=$F67,MOD(BW$12,7)&gt;1,NOT(COUNTIF(General!$U$13:$U$19,BW$12))),$I67,"")</f>
        <v/>
      </c>
      <c r="BX67" s="390" t="str">
        <f>IF(AND(BX$12&gt;=$E67,BX$12&lt;=$F67,MOD(BX$12,7)&gt;1,NOT(COUNTIF(General!$U$13:$U$19,BX$12))),$I67,"")</f>
        <v/>
      </c>
      <c r="BY67" s="390" t="str">
        <f>IF(AND(BY$12&gt;=$E67,BY$12&lt;=$F67,MOD(BY$12,7)&gt;1,NOT(COUNTIF(General!$U$13:$U$19,BY$12))),$I67,"")</f>
        <v/>
      </c>
      <c r="BZ67" s="390" t="str">
        <f>IF(AND(BZ$12&gt;=$E67,BZ$12&lt;=$F67,MOD(BZ$12,7)&gt;1,NOT(COUNTIF(General!$U$13:$U$19,BZ$12))),$I67,"")</f>
        <v/>
      </c>
      <c r="CA67" s="390" t="str">
        <f>IF(AND(CA$12&gt;=$E67,CA$12&lt;=$F67,MOD(CA$12,7)&gt;1,NOT(COUNTIF(General!$U$13:$U$19,CA$12))),$I67,"")</f>
        <v/>
      </c>
      <c r="CB67" s="390" t="str">
        <f>IF(AND(CB$12&gt;=$E67,CB$12&lt;=$F67,MOD(CB$12,7)&gt;1,NOT(COUNTIF(General!$U$13:$U$19,CB$12))),$I67,"")</f>
        <v/>
      </c>
      <c r="CC67" s="390" t="str">
        <f>IF(AND(CC$12&gt;=$E67,CC$12&lt;=$F67,MOD(CC$12,7)&gt;1,NOT(COUNTIF(General!$U$13:$U$19,CC$12))),$I67,"")</f>
        <v/>
      </c>
      <c r="CD67" s="390" t="str">
        <f>IF(AND(CD$12&gt;=$E67,CD$12&lt;=$F67,MOD(CD$12,7)&gt;1,NOT(COUNTIF(General!$U$13:$U$19,CD$12))),$I67,"")</f>
        <v/>
      </c>
      <c r="CE67" s="390" t="str">
        <f>IF(AND(CE$12&gt;=$E67,CE$12&lt;=$F67,MOD(CE$12,7)&gt;1,NOT(COUNTIF(General!$U$13:$U$19,CE$12))),$I67,"")</f>
        <v/>
      </c>
      <c r="CF67" s="390" t="str">
        <f>IF(AND(CF$12&gt;=$E67,CF$12&lt;=$F67,MOD(CF$12,7)&gt;1,NOT(COUNTIF(General!$U$13:$U$19,CF$12))),$I67,"")</f>
        <v/>
      </c>
      <c r="CG67" s="390" t="str">
        <f>IF(AND(CG$12&gt;=$E67,CG$12&lt;=$F67,MOD(CG$12,7)&gt;1,NOT(COUNTIF(General!$U$13:$U$19,CG$12))),$I67,"")</f>
        <v/>
      </c>
      <c r="CH67" s="390" t="str">
        <f>IF(AND(CH$12&gt;=$E67,CH$12&lt;=$F67,MOD(CH$12,7)&gt;1,NOT(COUNTIF(General!$U$13:$U$19,CH$12))),$I67,"")</f>
        <v/>
      </c>
      <c r="CI67" s="390" t="str">
        <f>IF(AND(CI$12&gt;=$E67,CI$12&lt;=$F67,MOD(CI$12,7)&gt;1,NOT(COUNTIF(General!$U$13:$U$19,CI$12))),$I67,"")</f>
        <v/>
      </c>
      <c r="CJ67" s="390" t="str">
        <f>IF(AND(CJ$12&gt;=$E67,CJ$12&lt;=$F67,MOD(CJ$12,7)&gt;1,NOT(COUNTIF(General!$U$13:$U$19,CJ$12))),$I67,"")</f>
        <v/>
      </c>
      <c r="CK67" s="390" t="str">
        <f>IF(AND(CK$12&gt;=$E67,CK$12&lt;=$F67,MOD(CK$12,7)&gt;1,NOT(COUNTIF(General!$U$13:$U$19,CK$12))),$I67,"")</f>
        <v/>
      </c>
      <c r="CL67" s="390" t="str">
        <f>IF(AND(CL$12&gt;=$E67,CL$12&lt;=$F67,MOD(CL$12,7)&gt;1,NOT(COUNTIF(General!$U$13:$U$19,CL$12))),$I67,"")</f>
        <v/>
      </c>
      <c r="CM67" s="390" t="str">
        <f>IF(AND(CM$12&gt;=$E67,CM$12&lt;=$F67,MOD(CM$12,7)&gt;1,NOT(COUNTIF(General!$U$13:$U$19,CM$12))),$I67,"")</f>
        <v/>
      </c>
      <c r="CN67" s="390" t="str">
        <f>IF(AND(CN$12&gt;=$E67,CN$12&lt;=$F67,MOD(CN$12,7)&gt;1,NOT(COUNTIF(General!$U$13:$U$19,CN$12))),$I67,"")</f>
        <v/>
      </c>
      <c r="CO67" s="390" t="str">
        <f>IF(AND(CO$12&gt;=$E67,CO$12&lt;=$F67,MOD(CO$12,7)&gt;1,NOT(COUNTIF(General!$U$13:$U$19,CO$12))),$I67,"")</f>
        <v/>
      </c>
      <c r="CP67" s="390" t="str">
        <f>IF(AND(CP$12&gt;=$E67,CP$12&lt;=$F67,MOD(CP$12,7)&gt;1,NOT(COUNTIF(General!$U$13:$U$19,CP$12))),$I67,"")</f>
        <v/>
      </c>
      <c r="CQ67" s="390" t="str">
        <f>IF(AND(CQ$12&gt;=$E67,CQ$12&lt;=$F67,MOD(CQ$12,7)&gt;1,NOT(COUNTIF(General!$U$13:$U$19,CQ$12))),$I67,"")</f>
        <v/>
      </c>
      <c r="CR67" s="390" t="str">
        <f>IF(AND(CR$12&gt;=$E67,CR$12&lt;=$F67,MOD(CR$12,7)&gt;1,NOT(COUNTIF(General!$U$13:$U$19,CR$12))),$I67,"")</f>
        <v/>
      </c>
      <c r="CS67" s="390" t="str">
        <f>IF(AND(CS$12&gt;=$E67,CS$12&lt;=$F67,MOD(CS$12,7)&gt;1,NOT(COUNTIF(General!$U$13:$U$19,CS$12))),$I67,"")</f>
        <v/>
      </c>
      <c r="CT67" s="390" t="str">
        <f>IF(AND(CT$12&gt;=$E67,CT$12&lt;=$F67,MOD(CT$12,7)&gt;1,NOT(COUNTIF(General!$U$13:$U$19,CT$12))),$I67,"")</f>
        <v/>
      </c>
      <c r="CU67" s="390" t="str">
        <f>IF(AND(CU$12&gt;=$E67,CU$12&lt;=$F67,MOD(CU$12,7)&gt;1,NOT(COUNTIF(General!$U$13:$U$19,CU$12))),$I67,"")</f>
        <v/>
      </c>
      <c r="CV67" s="390" t="str">
        <f>IF(AND(CV$12&gt;=$E67,CV$12&lt;=$F67,MOD(CV$12,7)&gt;1,NOT(COUNTIF(General!$U$13:$U$19,CV$12))),$I67,"")</f>
        <v/>
      </c>
      <c r="CW67" s="390" t="str">
        <f>IF(AND(CW$12&gt;=$E67,CW$12&lt;=$F67,MOD(CW$12,7)&gt;1,NOT(COUNTIF(General!$U$13:$U$19,CW$12))),$I67,"")</f>
        <v/>
      </c>
      <c r="CX67" s="390" t="str">
        <f>IF(AND(CX$12&gt;=$E67,CX$12&lt;=$F67,MOD(CX$12,7)&gt;1,NOT(COUNTIF(General!$U$13:$U$19,CX$12))),$I67,"")</f>
        <v/>
      </c>
      <c r="CY67" s="390" t="str">
        <f>IF(AND(CY$12&gt;=$E67,CY$12&lt;=$F67,MOD(CY$12,7)&gt;1,NOT(COUNTIF(General!$U$13:$U$19,CY$12))),$I67,"")</f>
        <v/>
      </c>
      <c r="CZ67" s="390" t="str">
        <f>IF(AND(CZ$12&gt;=$E67,CZ$12&lt;=$F67,MOD(CZ$12,7)&gt;1,NOT(COUNTIF(General!$U$13:$U$19,CZ$12))),$I67,"")</f>
        <v/>
      </c>
      <c r="DA67" s="390" t="str">
        <f>IF(AND(DA$12&gt;=$E67,DA$12&lt;=$F67,MOD(DA$12,7)&gt;1,NOT(COUNTIF(General!$U$13:$U$19,DA$12))),$I67,"")</f>
        <v/>
      </c>
      <c r="DB67" s="390" t="str">
        <f>IF(AND(DB$12&gt;=$E67,DB$12&lt;=$F67,MOD(DB$12,7)&gt;1,NOT(COUNTIF(General!$U$13:$U$19,DB$12))),$I67,"")</f>
        <v/>
      </c>
      <c r="DC67" s="390" t="str">
        <f>IF(AND(DC$12&gt;=$E67,DC$12&lt;=$F67,MOD(DC$12,7)&gt;1,NOT(COUNTIF(General!$U$13:$U$19,DC$12))),$I67,"")</f>
        <v/>
      </c>
      <c r="DD67" s="390" t="str">
        <f>IF(AND(DD$12&gt;=$E67,DD$12&lt;=$F67,MOD(DD$12,7)&gt;1,NOT(COUNTIF(General!$U$13:$U$19,DD$12))),$I67,"")</f>
        <v/>
      </c>
      <c r="DE67" s="390" t="str">
        <f>IF(AND(DE$12&gt;=$E67,DE$12&lt;=$F67,MOD(DE$12,7)&gt;1,NOT(COUNTIF(General!$U$13:$U$19,DE$12))),$I67,"")</f>
        <v/>
      </c>
      <c r="DF67" s="390" t="str">
        <f>IF(AND(DF$12&gt;=$E67,DF$12&lt;=$F67,MOD(DF$12,7)&gt;1,NOT(COUNTIF(General!$U$13:$U$19,DF$12))),$I67,"")</f>
        <v/>
      </c>
      <c r="DG67" s="390" t="str">
        <f>IF(AND(DG$12&gt;=$E67,DG$12&lt;=$F67,MOD(DG$12,7)&gt;1,NOT(COUNTIF(General!$U$13:$U$19,DG$12))),$I67,"")</f>
        <v/>
      </c>
      <c r="DH67" s="390" t="str">
        <f>IF(AND(DH$12&gt;=$E67,DH$12&lt;=$F67,MOD(DH$12,7)&gt;1,NOT(COUNTIF(General!$U$13:$U$19,DH$12))),$I67,"")</f>
        <v/>
      </c>
      <c r="DI67" s="390" t="str">
        <f>IF(AND(DI$12&gt;=$E67,DI$12&lt;=$F67,MOD(DI$12,7)&gt;1,NOT(COUNTIF(General!$U$13:$U$19,DI$12))),$I67,"")</f>
        <v/>
      </c>
      <c r="DJ67" s="390" t="str">
        <f>IF(AND(DJ$12&gt;=$E67,DJ$12&lt;=$F67,MOD(DJ$12,7)&gt;1,NOT(COUNTIF(General!$U$13:$U$19,DJ$12))),$I67,"")</f>
        <v/>
      </c>
      <c r="DK67" s="390" t="str">
        <f>IF(AND(DK$12&gt;=$E67,DK$12&lt;=$F67,MOD(DK$12,7)&gt;1,NOT(COUNTIF(General!$U$13:$U$19,DK$12))),$I67,"")</f>
        <v/>
      </c>
      <c r="DL67" s="390" t="str">
        <f>IF(AND(DL$12&gt;=$E67,DL$12&lt;=$F67,MOD(DL$12,7)&gt;1,NOT(COUNTIF(General!$U$13:$U$19,DL$12))),$I67,"")</f>
        <v/>
      </c>
      <c r="DM67" s="390" t="str">
        <f>IF(AND(DM$12&gt;=$E67,DM$12&lt;=$F67,MOD(DM$12,7)&gt;1,NOT(COUNTIF(General!$U$13:$U$19,DM$12))),$I67,"")</f>
        <v/>
      </c>
      <c r="DN67" s="390" t="str">
        <f>IF(AND(DN$12&gt;=$E67,DN$12&lt;=$F67,MOD(DN$12,7)&gt;1,NOT(COUNTIF(General!$U$13:$U$19,DN$12))),$I67,"")</f>
        <v/>
      </c>
      <c r="DO67" s="390" t="str">
        <f>IF(AND(DO$12&gt;=$E67,DO$12&lt;=$F67,MOD(DO$12,7)&gt;1,NOT(COUNTIF(General!$U$13:$U$19,DO$12))),$I67,"")</f>
        <v/>
      </c>
      <c r="DP67" s="390" t="str">
        <f>IF(AND(DP$12&gt;=$E67,DP$12&lt;=$F67,MOD(DP$12,7)&gt;1,NOT(COUNTIF(General!$U$13:$U$19,DP$12))),$I67,"")</f>
        <v/>
      </c>
      <c r="DQ67" s="390" t="str">
        <f>IF(AND(DQ$12&gt;=$E67,DQ$12&lt;=$F67,MOD(DQ$12,7)&gt;1,NOT(COUNTIF(General!$U$13:$U$19,DQ$12))),$I67,"")</f>
        <v/>
      </c>
      <c r="DR67" s="390" t="str">
        <f>IF(AND(DR$12&gt;=$E67,DR$12&lt;=$F67,MOD(DR$12,7)&gt;1,NOT(COUNTIF(General!$U$13:$U$19,DR$12))),$I67,"")</f>
        <v/>
      </c>
      <c r="DS67" s="390" t="str">
        <f>IF(AND(DS$12&gt;=$E67,DS$12&lt;=$F67,MOD(DS$12,7)&gt;1,NOT(COUNTIF(General!$U$13:$U$19,DS$12))),$I67,"")</f>
        <v/>
      </c>
      <c r="DT67" s="390" t="str">
        <f>IF(AND(DT$12&gt;=$E67,DT$12&lt;=$F67,MOD(DT$12,7)&gt;1,NOT(COUNTIF(General!$U$13:$U$19,DT$12))),$I67,"")</f>
        <v/>
      </c>
      <c r="DU67" s="390" t="str">
        <f>IF(AND(DU$12&gt;=$E67,DU$12&lt;=$F67,MOD(DU$12,7)&gt;1,NOT(COUNTIF(General!$U$13:$U$19,DU$12))),$I67,"")</f>
        <v/>
      </c>
      <c r="DV67" s="390" t="str">
        <f>IF(AND(DV$12&gt;=$E67,DV$12&lt;=$F67,MOD(DV$12,7)&gt;1,NOT(COUNTIF(General!$U$13:$U$19,DV$12))),$I67,"")</f>
        <v/>
      </c>
      <c r="DW67" s="390" t="str">
        <f>IF(AND(DW$12&gt;=$E67,DW$12&lt;=$F67,MOD(DW$12,7)&gt;1,NOT(COUNTIF(General!$U$13:$U$19,DW$12))),$I67,"")</f>
        <v/>
      </c>
      <c r="DX67" s="390" t="str">
        <f>IF(AND(DX$12&gt;=$E67,DX$12&lt;=$F67,MOD(DX$12,7)&gt;1,NOT(COUNTIF(General!$U$13:$U$19,DX$12))),$I67,"")</f>
        <v/>
      </c>
      <c r="DY67" s="390" t="str">
        <f>IF(AND(DY$12&gt;=$E67,DY$12&lt;=$F67,MOD(DY$12,7)&gt;1,NOT(COUNTIF(General!$U$13:$U$19,DY$12))),$I67,"")</f>
        <v/>
      </c>
      <c r="DZ67" s="390" t="str">
        <f>IF(AND(DZ$12&gt;=$E67,DZ$12&lt;=$F67,MOD(DZ$12,7)&gt;1,NOT(COUNTIF(General!$U$13:$U$19,DZ$12))),$I67,"")</f>
        <v/>
      </c>
      <c r="EA67" s="390" t="str">
        <f>IF(AND(EA$12&gt;=$E67,EA$12&lt;=$F67,MOD(EA$12,7)&gt;1,NOT(COUNTIF(General!$U$13:$U$19,EA$12))),$I67,"")</f>
        <v/>
      </c>
      <c r="EB67" s="390" t="str">
        <f>IF(AND(EB$12&gt;=$E67,EB$12&lt;=$F67,MOD(EB$12,7)&gt;1,NOT(COUNTIF(General!$U$13:$U$19,EB$12))),$I67,"")</f>
        <v/>
      </c>
      <c r="EC67" s="390" t="str">
        <f>IF(AND(EC$12&gt;=$E67,EC$12&lt;=$F67,MOD(EC$12,7)&gt;1,NOT(COUNTIF(General!$U$13:$U$19,EC$12))),$I67,"")</f>
        <v/>
      </c>
      <c r="ED67" s="390" t="str">
        <f>IF(AND(ED$12&gt;=$E67,ED$12&lt;=$F67,MOD(ED$12,7)&gt;1,NOT(COUNTIF(General!$U$13:$U$19,ED$12))),$I67,"")</f>
        <v/>
      </c>
      <c r="EE67" s="390" t="str">
        <f>IF(AND(EE$12&gt;=$E67,EE$12&lt;=$F67,MOD(EE$12,7)&gt;1,NOT(COUNTIF(General!$U$13:$U$19,EE$12))),$I67,"")</f>
        <v/>
      </c>
      <c r="EF67" s="390" t="str">
        <f>IF(AND(EF$12&gt;=$E67,EF$12&lt;=$F67,MOD(EF$12,7)&gt;1,NOT(COUNTIF(General!$U$13:$U$19,EF$12))),$I67,"")</f>
        <v/>
      </c>
      <c r="EG67" s="390" t="str">
        <f>IF(AND(EG$12&gt;=$E67,EG$12&lt;=$F67,MOD(EG$12,7)&gt;1,NOT(COUNTIF(General!$U$13:$U$19,EG$12))),$I67,"")</f>
        <v/>
      </c>
      <c r="EH67" s="390" t="str">
        <f>IF(AND(EH$12&gt;=$E67,EH$12&lt;=$F67,MOD(EH$12,7)&gt;1,NOT(COUNTIF(General!$U$13:$U$19,EH$12))),$I67,"")</f>
        <v/>
      </c>
      <c r="EI67" s="390" t="str">
        <f>IF(AND(EI$12&gt;=$E67,EI$12&lt;=$F67,MOD(EI$12,7)&gt;1,NOT(COUNTIF(General!$U$13:$U$19,EI$12))),$I67,"")</f>
        <v/>
      </c>
      <c r="EJ67" s="390" t="str">
        <f>IF(AND(EJ$12&gt;=$E67,EJ$12&lt;=$F67,MOD(EJ$12,7)&gt;1,NOT(COUNTIF(General!$U$13:$U$19,EJ$12))),$I67,"")</f>
        <v/>
      </c>
      <c r="EK67" s="390" t="str">
        <f>IF(AND(EK$12&gt;=$E67,EK$12&lt;=$F67,MOD(EK$12,7)&gt;1,NOT(COUNTIF(General!$U$13:$U$19,EK$12))),$I67,"")</f>
        <v/>
      </c>
      <c r="EL67" s="390" t="str">
        <f>IF(AND(EL$12&gt;=$E67,EL$12&lt;=$F67,MOD(EL$12,7)&gt;1,NOT(COUNTIF(General!$U$13:$U$19,EL$12))),$I67,"")</f>
        <v/>
      </c>
      <c r="EM67" s="390" t="str">
        <f>IF(AND(EM$12&gt;=$E67,EM$12&lt;=$F67,MOD(EM$12,7)&gt;1,NOT(COUNTIF(General!$U$13:$U$19,EM$12))),$I67,"")</f>
        <v/>
      </c>
      <c r="EN67" s="390" t="str">
        <f>IF(AND(EN$12&gt;=$E67,EN$12&lt;=$F67,MOD(EN$12,7)&gt;1,NOT(COUNTIF(General!$U$13:$U$19,EN$12))),$I67,"")</f>
        <v/>
      </c>
      <c r="EO67" s="390" t="str">
        <f>IF(AND(EO$12&gt;=$E67,EO$12&lt;=$F67,MOD(EO$12,7)&gt;1,NOT(COUNTIF(General!$U$13:$U$19,EO$12))),$I67,"")</f>
        <v/>
      </c>
      <c r="EP67" s="390" t="str">
        <f>IF(AND(EP$12&gt;=$E67,EP$12&lt;=$F67,MOD(EP$12,7)&gt;1,NOT(COUNTIF(General!$U$13:$U$19,EP$12))),$I67,"")</f>
        <v/>
      </c>
      <c r="EQ67" s="390" t="str">
        <f>IF(AND(EQ$12&gt;=$E67,EQ$12&lt;=$F67,MOD(EQ$12,7)&gt;1,NOT(COUNTIF(General!$U$13:$U$19,EQ$12))),$I67,"")</f>
        <v/>
      </c>
      <c r="ER67" s="390" t="str">
        <f>IF(AND(ER$12&gt;=$E67,ER$12&lt;=$F67,MOD(ER$12,7)&gt;1,NOT(COUNTIF(General!$U$13:$U$19,ER$12))),$I67,"")</f>
        <v/>
      </c>
      <c r="ES67" s="390" t="str">
        <f>IF(AND(ES$12&gt;=$E67,ES$12&lt;=$F67,MOD(ES$12,7)&gt;1,NOT(COUNTIF(General!$U$13:$U$19,ES$12))),$I67,"")</f>
        <v/>
      </c>
      <c r="ET67" s="390" t="str">
        <f>IF(AND(ET$12&gt;=$E67,ET$12&lt;=$F67,MOD(ET$12,7)&gt;1,NOT(COUNTIF(General!$U$13:$U$19,ET$12))),$I67,"")</f>
        <v/>
      </c>
      <c r="EU67" s="390" t="str">
        <f>IF(AND(EU$12&gt;=$E67,EU$12&lt;=$F67,MOD(EU$12,7)&gt;1,NOT(COUNTIF(General!$U$13:$U$19,EU$12))),$I67,"")</f>
        <v/>
      </c>
      <c r="EV67" s="390" t="str">
        <f>IF(AND(EV$12&gt;=$E67,EV$12&lt;=$F67,MOD(EV$12,7)&gt;1,NOT(COUNTIF(General!$U$13:$U$19,EV$12))),$I67,"")</f>
        <v/>
      </c>
      <c r="EW67" s="390" t="str">
        <f>IF(AND(EW$12&gt;=$E67,EW$12&lt;=$F67,MOD(EW$12,7)&gt;1,NOT(COUNTIF(General!$U$13:$U$19,EW$12))),$I67,"")</f>
        <v/>
      </c>
      <c r="EX67" s="390" t="str">
        <f>IF(AND(EX$12&gt;=$E67,EX$12&lt;=$F67,MOD(EX$12,7)&gt;1,NOT(COUNTIF(General!$U$13:$U$19,EX$12))),$I67,"")</f>
        <v/>
      </c>
      <c r="EY67" s="390" t="str">
        <f>IF(AND(EY$12&gt;=$E67,EY$12&lt;=$F67,MOD(EY$12,7)&gt;1,NOT(COUNTIF(General!$U$13:$U$19,EY$12))),$I67,"")</f>
        <v/>
      </c>
      <c r="EZ67" s="390" t="str">
        <f>IF(AND(EZ$12&gt;=$E67,EZ$12&lt;=$F67,MOD(EZ$12,7)&gt;1,NOT(COUNTIF(General!$U$13:$U$19,EZ$12))),$I67,"")</f>
        <v/>
      </c>
      <c r="FA67" s="390" t="str">
        <f>IF(AND(FA$12&gt;=$E67,FA$12&lt;=$F67,MOD(FA$12,7)&gt;1,NOT(COUNTIF(General!$U$13:$U$19,FA$12))),$I67,"")</f>
        <v/>
      </c>
      <c r="FB67" s="390" t="str">
        <f>IF(AND(FB$12&gt;=$E67,FB$12&lt;=$F67,MOD(FB$12,7)&gt;1,NOT(COUNTIF(General!$U$13:$U$19,FB$12))),$I67,"")</f>
        <v/>
      </c>
      <c r="FC67" s="390" t="str">
        <f>IF(AND(FC$12&gt;=$E67,FC$12&lt;=$F67,MOD(FC$12,7)&gt;1,NOT(COUNTIF(General!$U$13:$U$19,FC$12))),$I67,"")</f>
        <v/>
      </c>
      <c r="FD67" s="390" t="str">
        <f>IF(AND(FD$12&gt;=$E67,FD$12&lt;=$F67,MOD(FD$12,7)&gt;1,NOT(COUNTIF(General!$U$13:$U$19,FD$12))),$I67,"")</f>
        <v/>
      </c>
      <c r="FE67" s="390" t="str">
        <f>IF(AND(FE$12&gt;=$E67,FE$12&lt;=$F67,MOD(FE$12,7)&gt;1,NOT(COUNTIF(General!$U$13:$U$19,FE$12))),$I67,"")</f>
        <v/>
      </c>
      <c r="FF67" s="390" t="str">
        <f>IF(AND(FF$12&gt;=$E67,FF$12&lt;=$F67,MOD(FF$12,7)&gt;1,NOT(COUNTIF(General!$U$13:$U$19,FF$12))),$I67,"")</f>
        <v/>
      </c>
      <c r="FG67" s="390" t="str">
        <f>IF(AND(FG$12&gt;=$E67,FG$12&lt;=$F67,MOD(FG$12,7)&gt;1,NOT(COUNTIF(General!$U$13:$U$19,FG$12))),$I67,"")</f>
        <v/>
      </c>
      <c r="FH67" s="390" t="str">
        <f>IF(AND(FH$12&gt;=$E67,FH$12&lt;=$F67,MOD(FH$12,7)&gt;1,NOT(COUNTIF(General!$U$13:$U$19,FH$12))),$I67,"")</f>
        <v/>
      </c>
      <c r="FI67" s="390" t="str">
        <f>IF(AND(FI$12&gt;=$E67,FI$12&lt;=$F67,MOD(FI$12,7)&gt;1,NOT(COUNTIF(General!$U$13:$U$19,FI$12))),$I67,"")</f>
        <v/>
      </c>
      <c r="FJ67" s="390" t="str">
        <f>IF(AND(FJ$12&gt;=$E67,FJ$12&lt;=$F67,MOD(FJ$12,7)&gt;1,NOT(COUNTIF(General!$U$13:$U$19,FJ$12))),$I67,"")</f>
        <v/>
      </c>
      <c r="FK67" s="390" t="str">
        <f>IF(AND(FK$12&gt;=$E67,FK$12&lt;=$F67,MOD(FK$12,7)&gt;1,NOT(COUNTIF(General!$U$13:$U$19,FK$12))),$I67,"")</f>
        <v/>
      </c>
      <c r="FL67" s="390" t="str">
        <f>IF(AND(FL$12&gt;=$E67,FL$12&lt;=$F67,MOD(FL$12,7)&gt;1,NOT(COUNTIF(General!$U$13:$U$19,FL$12))),$I67,"")</f>
        <v/>
      </c>
      <c r="FM67" s="390" t="str">
        <f>IF(AND(FM$12&gt;=$E67,FM$12&lt;=$F67,MOD(FM$12,7)&gt;1,NOT(COUNTIF(General!$U$13:$U$19,FM$12))),$I67,"")</f>
        <v/>
      </c>
      <c r="FN67" s="390" t="str">
        <f>IF(AND(FN$12&gt;=$E67,FN$12&lt;=$F67,MOD(FN$12,7)&gt;1,NOT(COUNTIF(General!$U$13:$U$19,FN$12))),$I67,"")</f>
        <v/>
      </c>
      <c r="FO67" s="390" t="str">
        <f>IF(AND(FO$12&gt;=$E67,FO$12&lt;=$F67,MOD(FO$12,7)&gt;1,NOT(COUNTIF(General!$U$13:$U$19,FO$12))),$I67,"")</f>
        <v/>
      </c>
      <c r="FP67" s="390" t="str">
        <f>IF(AND(FP$12&gt;=$E67,FP$12&lt;=$F67,MOD(FP$12,7)&gt;1,NOT(COUNTIF(General!$U$13:$U$19,FP$12))),$I67,"")</f>
        <v/>
      </c>
      <c r="FQ67" s="390" t="str">
        <f>IF(AND(FQ$12&gt;=$E67,FQ$12&lt;=$F67,MOD(FQ$12,7)&gt;1,NOT(COUNTIF(General!$U$13:$U$19,FQ$12))),$I67,"")</f>
        <v/>
      </c>
      <c r="FR67" s="390" t="str">
        <f>IF(AND(FR$12&gt;=$E67,FR$12&lt;=$F67,MOD(FR$12,7)&gt;1,NOT(COUNTIF(General!$U$13:$U$19,FR$12))),$I67,"")</f>
        <v/>
      </c>
      <c r="FS67" s="390" t="str">
        <f>IF(AND(FS$12&gt;=$E67,FS$12&lt;=$F67,MOD(FS$12,7)&gt;1,NOT(COUNTIF(General!$U$13:$U$19,FS$12))),$I67,"")</f>
        <v/>
      </c>
      <c r="FT67" s="390" t="str">
        <f>IF(AND(FT$12&gt;=$E67,FT$12&lt;=$F67,MOD(FT$12,7)&gt;1,NOT(COUNTIF(General!$U$13:$U$19,FT$12))),$I67,"")</f>
        <v/>
      </c>
      <c r="FU67" s="390" t="str">
        <f>IF(AND(FU$12&gt;=$E67,FU$12&lt;=$F67,MOD(FU$12,7)&gt;1,NOT(COUNTIF(General!$U$13:$U$19,FU$12))),$I67,"")</f>
        <v/>
      </c>
      <c r="FV67" s="390" t="str">
        <f>IF(AND(FV$12&gt;=$E67,FV$12&lt;=$F67,MOD(FV$12,7)&gt;1,NOT(COUNTIF(General!$U$13:$U$19,FV$12))),$I67,"")</f>
        <v/>
      </c>
      <c r="FW67" s="390" t="str">
        <f>IF(AND(FW$12&gt;=$E67,FW$12&lt;=$F67,MOD(FW$12,7)&gt;1,NOT(COUNTIF(General!$U$13:$U$19,FW$12))),$I67,"")</f>
        <v/>
      </c>
      <c r="FX67" s="390" t="str">
        <f>IF(AND(FX$12&gt;=$E67,FX$12&lt;=$F67,MOD(FX$12,7)&gt;1,NOT(COUNTIF(General!$U$13:$U$19,FX$12))),$I67,"")</f>
        <v/>
      </c>
    </row>
    <row r="68" ht="16.5" customHeight="1">
      <c r="A68" s="368"/>
      <c r="B68" s="369"/>
      <c r="C68" s="370"/>
      <c r="D68" s="619"/>
      <c r="E68" s="583"/>
      <c r="F68" s="620"/>
      <c r="G68" s="375"/>
      <c r="H68" s="377"/>
      <c r="I68" s="379">
        <v>1.0</v>
      </c>
      <c r="J68" s="379"/>
      <c r="K68" s="381"/>
      <c r="L68" s="382"/>
      <c r="M68" s="383"/>
      <c r="N68" s="384"/>
      <c r="O68" s="386"/>
      <c r="P68" s="388"/>
      <c r="Q68" s="390" t="str">
        <f>IF(AND(Q$12&gt;=$E68,Q$12&lt;=$F68,MOD(Q$12,7)&gt;1,NOT(COUNTIF(General!$U$13:$U$19,Q$12))),$I68,"")</f>
        <v/>
      </c>
      <c r="R68" s="390" t="str">
        <f>IF(AND(R$12&gt;=$E68,R$12&lt;=$F68,MOD(R$12,7)&gt;1,NOT(COUNTIF(General!$U$13:$U$19,R$12))),$I68,"")</f>
        <v/>
      </c>
      <c r="S68" s="390" t="str">
        <f>IF(AND(S$12&gt;=$E68,S$12&lt;=$F68,MOD(S$12,7)&gt;1,NOT(COUNTIF(General!$U$13:$U$19,S$12))),$I68,"")</f>
        <v/>
      </c>
      <c r="T68" s="390" t="str">
        <f>IF(AND(T$12&gt;=$E68,T$12&lt;=$F68,MOD(T$12,7)&gt;1,NOT(COUNTIF(General!$U$13:$U$19,T$12))),$I68,"")</f>
        <v/>
      </c>
      <c r="U68" s="390" t="str">
        <f>IF(AND(U$12&gt;=$E68,U$12&lt;=$F68,MOD(U$12,7)&gt;1,NOT(COUNTIF(General!$U$13:$U$19,U$12))),$I68,"")</f>
        <v/>
      </c>
      <c r="V68" s="390" t="str">
        <f>IF(AND(V$12&gt;=$E68,V$12&lt;=$F68,MOD(V$12,7)&gt;1,NOT(COUNTIF(General!$U$13:$U$19,V$12))),$I68,"")</f>
        <v/>
      </c>
      <c r="W68" s="390" t="str">
        <f>IF(AND(W$12&gt;=$E68,W$12&lt;=$F68,MOD(W$12,7)&gt;1,NOT(COUNTIF(General!$U$13:$U$19,W$12))),$I68,"")</f>
        <v/>
      </c>
      <c r="X68" s="390" t="str">
        <f>IF(AND(X$12&gt;=$E68,X$12&lt;=$F68,MOD(X$12,7)&gt;1,NOT(COUNTIF(General!$U$13:$U$19,X$12))),$I68,"")</f>
        <v/>
      </c>
      <c r="Y68" s="390" t="str">
        <f>IF(AND(Y$12&gt;=$E68,Y$12&lt;=$F68,MOD(Y$12,7)&gt;1,NOT(COUNTIF(General!$U$13:$U$19,Y$12))),$I68,"")</f>
        <v/>
      </c>
      <c r="Z68" s="390" t="str">
        <f>IF(AND(Z$12&gt;=$E68,Z$12&lt;=$F68,MOD(Z$12,7)&gt;1,NOT(COUNTIF(General!$U$13:$U$19,Z$12))),$I68,"")</f>
        <v/>
      </c>
      <c r="AA68" s="390" t="str">
        <f>IF(AND(AA$12&gt;=$E68,AA$12&lt;=$F68,MOD(AA$12,7)&gt;1,NOT(COUNTIF(General!$U$13:$U$19,AA$12))),$I68,"")</f>
        <v/>
      </c>
      <c r="AB68" s="390" t="str">
        <f>IF(AND(AB$12&gt;=$E68,AB$12&lt;=$F68,MOD(AB$12,7)&gt;1,NOT(COUNTIF(General!$U$13:$U$19,AB$12))),$I68,"")</f>
        <v/>
      </c>
      <c r="AC68" s="390" t="str">
        <f>IF(AND(AC$12&gt;=$E68,AC$12&lt;=$F68,MOD(AC$12,7)&gt;1,NOT(COUNTIF(General!$U$13:$U$19,AC$12))),$I68,"")</f>
        <v/>
      </c>
      <c r="AD68" s="390" t="str">
        <f>IF(AND(AD$12&gt;=$E68,AD$12&lt;=$F68,MOD(AD$12,7)&gt;1,NOT(COUNTIF(General!$U$13:$U$19,AD$12))),$I68,"")</f>
        <v/>
      </c>
      <c r="AE68" s="390" t="str">
        <f>IF(AND(AE$12&gt;=$E68,AE$12&lt;=$F68,MOD(AE$12,7)&gt;1,NOT(COUNTIF(General!$U$13:$U$19,AE$12))),$I68,"")</f>
        <v/>
      </c>
      <c r="AF68" s="390" t="str">
        <f>IF(AND(AF$12&gt;=$E68,AF$12&lt;=$F68,MOD(AF$12,7)&gt;1,NOT(COUNTIF(General!$U$13:$U$19,AF$12))),$I68,"")</f>
        <v/>
      </c>
      <c r="AG68" s="390" t="str">
        <f>IF(AND(AG$12&gt;=$E68,AG$12&lt;=$F68,MOD(AG$12,7)&gt;1,NOT(COUNTIF(General!$U$13:$U$19,AG$12))),$I68,"")</f>
        <v/>
      </c>
      <c r="AH68" s="390" t="str">
        <f>IF(AND(AH$12&gt;=$E68,AH$12&lt;=$F68,MOD(AH$12,7)&gt;1,NOT(COUNTIF(General!$U$13:$U$19,AH$12))),$I68,"")</f>
        <v/>
      </c>
      <c r="AI68" s="390" t="str">
        <f>IF(AND(AI$12&gt;=$E68,AI$12&lt;=$F68,MOD(AI$12,7)&gt;1,NOT(COUNTIF(General!$U$13:$U$19,AI$12))),$I68,"")</f>
        <v/>
      </c>
      <c r="AJ68" s="390" t="str">
        <f>IF(AND(AJ$12&gt;=$E68,AJ$12&lt;=$F68,MOD(AJ$12,7)&gt;1,NOT(COUNTIF(General!$U$13:$U$19,AJ$12))),$I68,"")</f>
        <v/>
      </c>
      <c r="AK68" s="390" t="str">
        <f>IF(AND(AK$12&gt;=$E68,AK$12&lt;=$F68,MOD(AK$12,7)&gt;1,NOT(COUNTIF(General!$U$13:$U$19,AK$12))),$I68,"")</f>
        <v/>
      </c>
      <c r="AL68" s="390" t="str">
        <f>IF(AND(AL$12&gt;=$E68,AL$12&lt;=$F68,MOD(AL$12,7)&gt;1,NOT(COUNTIF(General!$U$13:$U$19,AL$12))),$I68,"")</f>
        <v/>
      </c>
      <c r="AM68" s="390" t="str">
        <f>IF(AND(AM$12&gt;=$E68,AM$12&lt;=$F68,MOD(AM$12,7)&gt;1,NOT(COUNTIF(General!$U$13:$U$19,AM$12))),$I68,"")</f>
        <v/>
      </c>
      <c r="AN68" s="390" t="str">
        <f>IF(AND(AN$12&gt;=$E68,AN$12&lt;=$F68,MOD(AN$12,7)&gt;1,NOT(COUNTIF(General!$U$13:$U$19,AN$12))),$I68,"")</f>
        <v/>
      </c>
      <c r="AO68" s="390" t="str">
        <f>IF(AND(AO$12&gt;=$E68,AO$12&lt;=$F68,MOD(AO$12,7)&gt;1,NOT(COUNTIF(General!$U$13:$U$19,AO$12))),$I68,"")</f>
        <v/>
      </c>
      <c r="AP68" s="390" t="str">
        <f>IF(AND(AP$12&gt;=$E68,AP$12&lt;=$F68,MOD(AP$12,7)&gt;1,NOT(COUNTIF(General!$U$13:$U$19,AP$12))),$I68,"")</f>
        <v/>
      </c>
      <c r="AQ68" s="390" t="str">
        <f>IF(AND(AQ$12&gt;=$E68,AQ$12&lt;=$F68,MOD(AQ$12,7)&gt;1,NOT(COUNTIF(General!$U$13:$U$19,AQ$12))),$I68,"")</f>
        <v/>
      </c>
      <c r="AR68" s="390" t="str">
        <f>IF(AND(AR$12&gt;=$E68,AR$12&lt;=$F68,MOD(AR$12,7)&gt;1,NOT(COUNTIF(General!$U$13:$U$19,AR$12))),$I68,"")</f>
        <v/>
      </c>
      <c r="AS68" s="390" t="str">
        <f>IF(AND(AS$12&gt;=$E68,AS$12&lt;=$F68,MOD(AS$12,7)&gt;1,NOT(COUNTIF(General!$U$13:$U$19,AS$12))),$I68,"")</f>
        <v/>
      </c>
      <c r="AT68" s="390" t="str">
        <f>IF(AND(AT$12&gt;=$E68,AT$12&lt;=$F68,MOD(AT$12,7)&gt;1,NOT(COUNTIF(General!$U$13:$U$19,AT$12))),$I68,"")</f>
        <v/>
      </c>
      <c r="AU68" s="390" t="str">
        <f>IF(AND(AU$12&gt;=$E68,AU$12&lt;=$F68,MOD(AU$12,7)&gt;1,NOT(COUNTIF(General!$U$13:$U$19,AU$12))),$I68,"")</f>
        <v/>
      </c>
      <c r="AV68" s="390" t="str">
        <f>IF(AND(AV$12&gt;=$E68,AV$12&lt;=$F68,MOD(AV$12,7)&gt;1,NOT(COUNTIF(General!$U$13:$U$19,AV$12))),$I68,"")</f>
        <v/>
      </c>
      <c r="AW68" s="390" t="str">
        <f>IF(AND(AW$12&gt;=$E68,AW$12&lt;=$F68,MOD(AW$12,7)&gt;1,NOT(COUNTIF(General!$U$13:$U$19,AW$12))),$I68,"")</f>
        <v/>
      </c>
      <c r="AX68" s="390" t="str">
        <f>IF(AND(AX$12&gt;=$E68,AX$12&lt;=$F68,MOD(AX$12,7)&gt;1,NOT(COUNTIF(General!$U$13:$U$19,AX$12))),$I68,"")</f>
        <v/>
      </c>
      <c r="AY68" s="390" t="str">
        <f>IF(AND(AY$12&gt;=$E68,AY$12&lt;=$F68,MOD(AY$12,7)&gt;1,NOT(COUNTIF(General!$U$13:$U$19,AY$12))),$I68,"")</f>
        <v/>
      </c>
      <c r="AZ68" s="390" t="str">
        <f>IF(AND(AZ$12&gt;=$E68,AZ$12&lt;=$F68,MOD(AZ$12,7)&gt;1,NOT(COUNTIF(General!$U$13:$U$19,AZ$12))),$I68,"")</f>
        <v/>
      </c>
      <c r="BA68" s="390" t="str">
        <f>IF(AND(BA$12&gt;=$E68,BA$12&lt;=$F68,MOD(BA$12,7)&gt;1,NOT(COUNTIF(General!$U$13:$U$19,BA$12))),$I68,"")</f>
        <v/>
      </c>
      <c r="BB68" s="390" t="str">
        <f>IF(AND(BB$12&gt;=$E68,BB$12&lt;=$F68,MOD(BB$12,7)&gt;1,NOT(COUNTIF(General!$U$13:$U$19,BB$12))),$I68,"")</f>
        <v/>
      </c>
      <c r="BC68" s="390" t="str">
        <f>IF(AND(BC$12&gt;=$E68,BC$12&lt;=$F68,MOD(BC$12,7)&gt;1,NOT(COUNTIF(General!$U$13:$U$19,BC$12))),$I68,"")</f>
        <v/>
      </c>
      <c r="BD68" s="390" t="str">
        <f>IF(AND(BD$12&gt;=$E68,BD$12&lt;=$F68,MOD(BD$12,7)&gt;1,NOT(COUNTIF(General!$U$13:$U$19,BD$12))),$I68,"")</f>
        <v/>
      </c>
      <c r="BE68" s="390" t="str">
        <f>IF(AND(BE$12&gt;=$E68,BE$12&lt;=$F68,MOD(BE$12,7)&gt;1,NOT(COUNTIF(General!$U$13:$U$19,BE$12))),$I68,"")</f>
        <v/>
      </c>
      <c r="BF68" s="390" t="str">
        <f>IF(AND(BF$12&gt;=$E68,BF$12&lt;=$F68,MOD(BF$12,7)&gt;1,NOT(COUNTIF(General!$U$13:$U$19,BF$12))),$I68,"")</f>
        <v/>
      </c>
      <c r="BG68" s="390" t="str">
        <f>IF(AND(BG$12&gt;=$E68,BG$12&lt;=$F68,MOD(BG$12,7)&gt;1,NOT(COUNTIF(General!$U$13:$U$19,BG$12))),$I68,"")</f>
        <v/>
      </c>
      <c r="BH68" s="390" t="str">
        <f>IF(AND(BH$12&gt;=$E68,BH$12&lt;=$F68,MOD(BH$12,7)&gt;1,NOT(COUNTIF(General!$U$13:$U$19,BH$12))),$I68,"")</f>
        <v/>
      </c>
      <c r="BI68" s="390" t="str">
        <f>IF(AND(BI$12&gt;=$E68,BI$12&lt;=$F68,MOD(BI$12,7)&gt;1,NOT(COUNTIF(General!$U$13:$U$19,BI$12))),$I68,"")</f>
        <v/>
      </c>
      <c r="BJ68" s="390" t="str">
        <f>IF(AND(BJ$12&gt;=$E68,BJ$12&lt;=$F68,MOD(BJ$12,7)&gt;1,NOT(COUNTIF(General!$U$13:$U$19,BJ$12))),$I68,"")</f>
        <v/>
      </c>
      <c r="BK68" s="390" t="str">
        <f>IF(AND(BK$12&gt;=$E68,BK$12&lt;=$F68,MOD(BK$12,7)&gt;1,NOT(COUNTIF(General!$U$13:$U$19,BK$12))),$I68,"")</f>
        <v/>
      </c>
      <c r="BL68" s="390" t="str">
        <f>IF(AND(BL$12&gt;=$E68,BL$12&lt;=$F68,MOD(BL$12,7)&gt;1,NOT(COUNTIF(General!$U$13:$U$19,BL$12))),$I68,"")</f>
        <v/>
      </c>
      <c r="BM68" s="390" t="str">
        <f>IF(AND(BM$12&gt;=$E68,BM$12&lt;=$F68,MOD(BM$12,7)&gt;1,NOT(COUNTIF(General!$U$13:$U$19,BM$12))),$I68,"")</f>
        <v/>
      </c>
      <c r="BN68" s="390" t="str">
        <f>IF(AND(BN$12&gt;=$E68,BN$12&lt;=$F68,MOD(BN$12,7)&gt;1,NOT(COUNTIF(General!$U$13:$U$19,BN$12))),$I68,"")</f>
        <v/>
      </c>
      <c r="BO68" s="390" t="str">
        <f>IF(AND(BO$12&gt;=$E68,BO$12&lt;=$F68,MOD(BO$12,7)&gt;1,NOT(COUNTIF(General!$U$13:$U$19,BO$12))),$I68,"")</f>
        <v/>
      </c>
      <c r="BP68" s="390" t="str">
        <f>IF(AND(BP$12&gt;=$E68,BP$12&lt;=$F68,MOD(BP$12,7)&gt;1,NOT(COUNTIF(General!$U$13:$U$19,BP$12))),$I68,"")</f>
        <v/>
      </c>
      <c r="BQ68" s="390" t="str">
        <f>IF(AND(BQ$12&gt;=$E68,BQ$12&lt;=$F68,MOD(BQ$12,7)&gt;1,NOT(COUNTIF(General!$U$13:$U$19,BQ$12))),$I68,"")</f>
        <v/>
      </c>
      <c r="BR68" s="390" t="str">
        <f>IF(AND(BR$12&gt;=$E68,BR$12&lt;=$F68,MOD(BR$12,7)&gt;1,NOT(COUNTIF(General!$U$13:$U$19,BR$12))),$I68,"")</f>
        <v/>
      </c>
      <c r="BS68" s="390" t="str">
        <f>IF(AND(BS$12&gt;=$E68,BS$12&lt;=$F68,MOD(BS$12,7)&gt;1,NOT(COUNTIF(General!$U$13:$U$19,BS$12))),$I68,"")</f>
        <v/>
      </c>
      <c r="BT68" s="390" t="str">
        <f>IF(AND(BT$12&gt;=$E68,BT$12&lt;=$F68,MOD(BT$12,7)&gt;1,NOT(COUNTIF(General!$U$13:$U$19,BT$12))),$I68,"")</f>
        <v/>
      </c>
      <c r="BU68" s="390" t="str">
        <f>IF(AND(BU$12&gt;=$E68,BU$12&lt;=$F68,MOD(BU$12,7)&gt;1,NOT(COUNTIF(General!$U$13:$U$19,BU$12))),$I68,"")</f>
        <v/>
      </c>
      <c r="BV68" s="390" t="str">
        <f>IF(AND(BV$12&gt;=$E68,BV$12&lt;=$F68,MOD(BV$12,7)&gt;1,NOT(COUNTIF(General!$U$13:$U$19,BV$12))),$I68,"")</f>
        <v/>
      </c>
      <c r="BW68" s="390" t="str">
        <f>IF(AND(BW$12&gt;=$E68,BW$12&lt;=$F68,MOD(BW$12,7)&gt;1,NOT(COUNTIF(General!$U$13:$U$19,BW$12))),$I68,"")</f>
        <v/>
      </c>
      <c r="BX68" s="390" t="str">
        <f>IF(AND(BX$12&gt;=$E68,BX$12&lt;=$F68,MOD(BX$12,7)&gt;1,NOT(COUNTIF(General!$U$13:$U$19,BX$12))),$I68,"")</f>
        <v/>
      </c>
      <c r="BY68" s="390" t="str">
        <f>IF(AND(BY$12&gt;=$E68,BY$12&lt;=$F68,MOD(BY$12,7)&gt;1,NOT(COUNTIF(General!$U$13:$U$19,BY$12))),$I68,"")</f>
        <v/>
      </c>
      <c r="BZ68" s="390" t="str">
        <f>IF(AND(BZ$12&gt;=$E68,BZ$12&lt;=$F68,MOD(BZ$12,7)&gt;1,NOT(COUNTIF(General!$U$13:$U$19,BZ$12))),$I68,"")</f>
        <v/>
      </c>
      <c r="CA68" s="390" t="str">
        <f>IF(AND(CA$12&gt;=$E68,CA$12&lt;=$F68,MOD(CA$12,7)&gt;1,NOT(COUNTIF(General!$U$13:$U$19,CA$12))),$I68,"")</f>
        <v/>
      </c>
      <c r="CB68" s="390" t="str">
        <f>IF(AND(CB$12&gt;=$E68,CB$12&lt;=$F68,MOD(CB$12,7)&gt;1,NOT(COUNTIF(General!$U$13:$U$19,CB$12))),$I68,"")</f>
        <v/>
      </c>
      <c r="CC68" s="390" t="str">
        <f>IF(AND(CC$12&gt;=$E68,CC$12&lt;=$F68,MOD(CC$12,7)&gt;1,NOT(COUNTIF(General!$U$13:$U$19,CC$12))),$I68,"")</f>
        <v/>
      </c>
      <c r="CD68" s="390" t="str">
        <f>IF(AND(CD$12&gt;=$E68,CD$12&lt;=$F68,MOD(CD$12,7)&gt;1,NOT(COUNTIF(General!$U$13:$U$19,CD$12))),$I68,"")</f>
        <v/>
      </c>
      <c r="CE68" s="390" t="str">
        <f>IF(AND(CE$12&gt;=$E68,CE$12&lt;=$F68,MOD(CE$12,7)&gt;1,NOT(COUNTIF(General!$U$13:$U$19,CE$12))),$I68,"")</f>
        <v/>
      </c>
      <c r="CF68" s="390" t="str">
        <f>IF(AND(CF$12&gt;=$E68,CF$12&lt;=$F68,MOD(CF$12,7)&gt;1,NOT(COUNTIF(General!$U$13:$U$19,CF$12))),$I68,"")</f>
        <v/>
      </c>
      <c r="CG68" s="390" t="str">
        <f>IF(AND(CG$12&gt;=$E68,CG$12&lt;=$F68,MOD(CG$12,7)&gt;1,NOT(COUNTIF(General!$U$13:$U$19,CG$12))),$I68,"")</f>
        <v/>
      </c>
      <c r="CH68" s="390" t="str">
        <f>IF(AND(CH$12&gt;=$E68,CH$12&lt;=$F68,MOD(CH$12,7)&gt;1,NOT(COUNTIF(General!$U$13:$U$19,CH$12))),$I68,"")</f>
        <v/>
      </c>
      <c r="CI68" s="390" t="str">
        <f>IF(AND(CI$12&gt;=$E68,CI$12&lt;=$F68,MOD(CI$12,7)&gt;1,NOT(COUNTIF(General!$U$13:$U$19,CI$12))),$I68,"")</f>
        <v/>
      </c>
      <c r="CJ68" s="390" t="str">
        <f>IF(AND(CJ$12&gt;=$E68,CJ$12&lt;=$F68,MOD(CJ$12,7)&gt;1,NOT(COUNTIF(General!$U$13:$U$19,CJ$12))),$I68,"")</f>
        <v/>
      </c>
      <c r="CK68" s="390" t="str">
        <f>IF(AND(CK$12&gt;=$E68,CK$12&lt;=$F68,MOD(CK$12,7)&gt;1,NOT(COUNTIF(General!$U$13:$U$19,CK$12))),$I68,"")</f>
        <v/>
      </c>
      <c r="CL68" s="390" t="str">
        <f>IF(AND(CL$12&gt;=$E68,CL$12&lt;=$F68,MOD(CL$12,7)&gt;1,NOT(COUNTIF(General!$U$13:$U$19,CL$12))),$I68,"")</f>
        <v/>
      </c>
      <c r="CM68" s="390" t="str">
        <f>IF(AND(CM$12&gt;=$E68,CM$12&lt;=$F68,MOD(CM$12,7)&gt;1,NOT(COUNTIF(General!$U$13:$U$19,CM$12))),$I68,"")</f>
        <v/>
      </c>
      <c r="CN68" s="390" t="str">
        <f>IF(AND(CN$12&gt;=$E68,CN$12&lt;=$F68,MOD(CN$12,7)&gt;1,NOT(COUNTIF(General!$U$13:$U$19,CN$12))),$I68,"")</f>
        <v/>
      </c>
      <c r="CO68" s="390" t="str">
        <f>IF(AND(CO$12&gt;=$E68,CO$12&lt;=$F68,MOD(CO$12,7)&gt;1,NOT(COUNTIF(General!$U$13:$U$19,CO$12))),$I68,"")</f>
        <v/>
      </c>
      <c r="CP68" s="390" t="str">
        <f>IF(AND(CP$12&gt;=$E68,CP$12&lt;=$F68,MOD(CP$12,7)&gt;1,NOT(COUNTIF(General!$U$13:$U$19,CP$12))),$I68,"")</f>
        <v/>
      </c>
      <c r="CQ68" s="390" t="str">
        <f>IF(AND(CQ$12&gt;=$E68,CQ$12&lt;=$F68,MOD(CQ$12,7)&gt;1,NOT(COUNTIF(General!$U$13:$U$19,CQ$12))),$I68,"")</f>
        <v/>
      </c>
      <c r="CR68" s="390" t="str">
        <f>IF(AND(CR$12&gt;=$E68,CR$12&lt;=$F68,MOD(CR$12,7)&gt;1,NOT(COUNTIF(General!$U$13:$U$19,CR$12))),$I68,"")</f>
        <v/>
      </c>
      <c r="CS68" s="390" t="str">
        <f>IF(AND(CS$12&gt;=$E68,CS$12&lt;=$F68,MOD(CS$12,7)&gt;1,NOT(COUNTIF(General!$U$13:$U$19,CS$12))),$I68,"")</f>
        <v/>
      </c>
      <c r="CT68" s="390" t="str">
        <f>IF(AND(CT$12&gt;=$E68,CT$12&lt;=$F68,MOD(CT$12,7)&gt;1,NOT(COUNTIF(General!$U$13:$U$19,CT$12))),$I68,"")</f>
        <v/>
      </c>
      <c r="CU68" s="390" t="str">
        <f>IF(AND(CU$12&gt;=$E68,CU$12&lt;=$F68,MOD(CU$12,7)&gt;1,NOT(COUNTIF(General!$U$13:$U$19,CU$12))),$I68,"")</f>
        <v/>
      </c>
      <c r="CV68" s="390" t="str">
        <f>IF(AND(CV$12&gt;=$E68,CV$12&lt;=$F68,MOD(CV$12,7)&gt;1,NOT(COUNTIF(General!$U$13:$U$19,CV$12))),$I68,"")</f>
        <v/>
      </c>
      <c r="CW68" s="390" t="str">
        <f>IF(AND(CW$12&gt;=$E68,CW$12&lt;=$F68,MOD(CW$12,7)&gt;1,NOT(COUNTIF(General!$U$13:$U$19,CW$12))),$I68,"")</f>
        <v/>
      </c>
      <c r="CX68" s="390" t="str">
        <f>IF(AND(CX$12&gt;=$E68,CX$12&lt;=$F68,MOD(CX$12,7)&gt;1,NOT(COUNTIF(General!$U$13:$U$19,CX$12))),$I68,"")</f>
        <v/>
      </c>
      <c r="CY68" s="390" t="str">
        <f>IF(AND(CY$12&gt;=$E68,CY$12&lt;=$F68,MOD(CY$12,7)&gt;1,NOT(COUNTIF(General!$U$13:$U$19,CY$12))),$I68,"")</f>
        <v/>
      </c>
      <c r="CZ68" s="390" t="str">
        <f>IF(AND(CZ$12&gt;=$E68,CZ$12&lt;=$F68,MOD(CZ$12,7)&gt;1,NOT(COUNTIF(General!$U$13:$U$19,CZ$12))),$I68,"")</f>
        <v/>
      </c>
      <c r="DA68" s="390" t="str">
        <f>IF(AND(DA$12&gt;=$E68,DA$12&lt;=$F68,MOD(DA$12,7)&gt;1,NOT(COUNTIF(General!$U$13:$U$19,DA$12))),$I68,"")</f>
        <v/>
      </c>
      <c r="DB68" s="390" t="str">
        <f>IF(AND(DB$12&gt;=$E68,DB$12&lt;=$F68,MOD(DB$12,7)&gt;1,NOT(COUNTIF(General!$U$13:$U$19,DB$12))),$I68,"")</f>
        <v/>
      </c>
      <c r="DC68" s="390" t="str">
        <f>IF(AND(DC$12&gt;=$E68,DC$12&lt;=$F68,MOD(DC$12,7)&gt;1,NOT(COUNTIF(General!$U$13:$U$19,DC$12))),$I68,"")</f>
        <v/>
      </c>
      <c r="DD68" s="390" t="str">
        <f>IF(AND(DD$12&gt;=$E68,DD$12&lt;=$F68,MOD(DD$12,7)&gt;1,NOT(COUNTIF(General!$U$13:$U$19,DD$12))),$I68,"")</f>
        <v/>
      </c>
      <c r="DE68" s="390" t="str">
        <f>IF(AND(DE$12&gt;=$E68,DE$12&lt;=$F68,MOD(DE$12,7)&gt;1,NOT(COUNTIF(General!$U$13:$U$19,DE$12))),$I68,"")</f>
        <v/>
      </c>
      <c r="DF68" s="390" t="str">
        <f>IF(AND(DF$12&gt;=$E68,DF$12&lt;=$F68,MOD(DF$12,7)&gt;1,NOT(COUNTIF(General!$U$13:$U$19,DF$12))),$I68,"")</f>
        <v/>
      </c>
      <c r="DG68" s="390" t="str">
        <f>IF(AND(DG$12&gt;=$E68,DG$12&lt;=$F68,MOD(DG$12,7)&gt;1,NOT(COUNTIF(General!$U$13:$U$19,DG$12))),$I68,"")</f>
        <v/>
      </c>
      <c r="DH68" s="390" t="str">
        <f>IF(AND(DH$12&gt;=$E68,DH$12&lt;=$F68,MOD(DH$12,7)&gt;1,NOT(COUNTIF(General!$U$13:$U$19,DH$12))),$I68,"")</f>
        <v/>
      </c>
      <c r="DI68" s="390" t="str">
        <f>IF(AND(DI$12&gt;=$E68,DI$12&lt;=$F68,MOD(DI$12,7)&gt;1,NOT(COUNTIF(General!$U$13:$U$19,DI$12))),$I68,"")</f>
        <v/>
      </c>
      <c r="DJ68" s="390" t="str">
        <f>IF(AND(DJ$12&gt;=$E68,DJ$12&lt;=$F68,MOD(DJ$12,7)&gt;1,NOT(COUNTIF(General!$U$13:$U$19,DJ$12))),$I68,"")</f>
        <v/>
      </c>
      <c r="DK68" s="390" t="str">
        <f>IF(AND(DK$12&gt;=$E68,DK$12&lt;=$F68,MOD(DK$12,7)&gt;1,NOT(COUNTIF(General!$U$13:$U$19,DK$12))),$I68,"")</f>
        <v/>
      </c>
      <c r="DL68" s="390" t="str">
        <f>IF(AND(DL$12&gt;=$E68,DL$12&lt;=$F68,MOD(DL$12,7)&gt;1,NOT(COUNTIF(General!$U$13:$U$19,DL$12))),$I68,"")</f>
        <v/>
      </c>
      <c r="DM68" s="390" t="str">
        <f>IF(AND(DM$12&gt;=$E68,DM$12&lt;=$F68,MOD(DM$12,7)&gt;1,NOT(COUNTIF(General!$U$13:$U$19,DM$12))),$I68,"")</f>
        <v/>
      </c>
      <c r="DN68" s="390" t="str">
        <f>IF(AND(DN$12&gt;=$E68,DN$12&lt;=$F68,MOD(DN$12,7)&gt;1,NOT(COUNTIF(General!$U$13:$U$19,DN$12))),$I68,"")</f>
        <v/>
      </c>
      <c r="DO68" s="390" t="str">
        <f>IF(AND(DO$12&gt;=$E68,DO$12&lt;=$F68,MOD(DO$12,7)&gt;1,NOT(COUNTIF(General!$U$13:$U$19,DO$12))),$I68,"")</f>
        <v/>
      </c>
      <c r="DP68" s="390" t="str">
        <f>IF(AND(DP$12&gt;=$E68,DP$12&lt;=$F68,MOD(DP$12,7)&gt;1,NOT(COUNTIF(General!$U$13:$U$19,DP$12))),$I68,"")</f>
        <v/>
      </c>
      <c r="DQ68" s="390" t="str">
        <f>IF(AND(DQ$12&gt;=$E68,DQ$12&lt;=$F68,MOD(DQ$12,7)&gt;1,NOT(COUNTIF(General!$U$13:$U$19,DQ$12))),$I68,"")</f>
        <v/>
      </c>
      <c r="DR68" s="390" t="str">
        <f>IF(AND(DR$12&gt;=$E68,DR$12&lt;=$F68,MOD(DR$12,7)&gt;1,NOT(COUNTIF(General!$U$13:$U$19,DR$12))),$I68,"")</f>
        <v/>
      </c>
      <c r="DS68" s="390" t="str">
        <f>IF(AND(DS$12&gt;=$E68,DS$12&lt;=$F68,MOD(DS$12,7)&gt;1,NOT(COUNTIF(General!$U$13:$U$19,DS$12))),$I68,"")</f>
        <v/>
      </c>
      <c r="DT68" s="390" t="str">
        <f>IF(AND(DT$12&gt;=$E68,DT$12&lt;=$F68,MOD(DT$12,7)&gt;1,NOT(COUNTIF(General!$U$13:$U$19,DT$12))),$I68,"")</f>
        <v/>
      </c>
      <c r="DU68" s="390" t="str">
        <f>IF(AND(DU$12&gt;=$E68,DU$12&lt;=$F68,MOD(DU$12,7)&gt;1,NOT(COUNTIF(General!$U$13:$U$19,DU$12))),$I68,"")</f>
        <v/>
      </c>
      <c r="DV68" s="390" t="str">
        <f>IF(AND(DV$12&gt;=$E68,DV$12&lt;=$F68,MOD(DV$12,7)&gt;1,NOT(COUNTIF(General!$U$13:$U$19,DV$12))),$I68,"")</f>
        <v/>
      </c>
      <c r="DW68" s="390" t="str">
        <f>IF(AND(DW$12&gt;=$E68,DW$12&lt;=$F68,MOD(DW$12,7)&gt;1,NOT(COUNTIF(General!$U$13:$U$19,DW$12))),$I68,"")</f>
        <v/>
      </c>
      <c r="DX68" s="390" t="str">
        <f>IF(AND(DX$12&gt;=$E68,DX$12&lt;=$F68,MOD(DX$12,7)&gt;1,NOT(COUNTIF(General!$U$13:$U$19,DX$12))),$I68,"")</f>
        <v/>
      </c>
      <c r="DY68" s="390" t="str">
        <f>IF(AND(DY$12&gt;=$E68,DY$12&lt;=$F68,MOD(DY$12,7)&gt;1,NOT(COUNTIF(General!$U$13:$U$19,DY$12))),$I68,"")</f>
        <v/>
      </c>
      <c r="DZ68" s="390" t="str">
        <f>IF(AND(DZ$12&gt;=$E68,DZ$12&lt;=$F68,MOD(DZ$12,7)&gt;1,NOT(COUNTIF(General!$U$13:$U$19,DZ$12))),$I68,"")</f>
        <v/>
      </c>
      <c r="EA68" s="390" t="str">
        <f>IF(AND(EA$12&gt;=$E68,EA$12&lt;=$F68,MOD(EA$12,7)&gt;1,NOT(COUNTIF(General!$U$13:$U$19,EA$12))),$I68,"")</f>
        <v/>
      </c>
      <c r="EB68" s="390" t="str">
        <f>IF(AND(EB$12&gt;=$E68,EB$12&lt;=$F68,MOD(EB$12,7)&gt;1,NOT(COUNTIF(General!$U$13:$U$19,EB$12))),$I68,"")</f>
        <v/>
      </c>
      <c r="EC68" s="390" t="str">
        <f>IF(AND(EC$12&gt;=$E68,EC$12&lt;=$F68,MOD(EC$12,7)&gt;1,NOT(COUNTIF(General!$U$13:$U$19,EC$12))),$I68,"")</f>
        <v/>
      </c>
      <c r="ED68" s="390" t="str">
        <f>IF(AND(ED$12&gt;=$E68,ED$12&lt;=$F68,MOD(ED$12,7)&gt;1,NOT(COUNTIF(General!$U$13:$U$19,ED$12))),$I68,"")</f>
        <v/>
      </c>
      <c r="EE68" s="390" t="str">
        <f>IF(AND(EE$12&gt;=$E68,EE$12&lt;=$F68,MOD(EE$12,7)&gt;1,NOT(COUNTIF(General!$U$13:$U$19,EE$12))),$I68,"")</f>
        <v/>
      </c>
      <c r="EF68" s="390" t="str">
        <f>IF(AND(EF$12&gt;=$E68,EF$12&lt;=$F68,MOD(EF$12,7)&gt;1,NOT(COUNTIF(General!$U$13:$U$19,EF$12))),$I68,"")</f>
        <v/>
      </c>
      <c r="EG68" s="390" t="str">
        <f>IF(AND(EG$12&gt;=$E68,EG$12&lt;=$F68,MOD(EG$12,7)&gt;1,NOT(COUNTIF(General!$U$13:$U$19,EG$12))),$I68,"")</f>
        <v/>
      </c>
      <c r="EH68" s="390" t="str">
        <f>IF(AND(EH$12&gt;=$E68,EH$12&lt;=$F68,MOD(EH$12,7)&gt;1,NOT(COUNTIF(General!$U$13:$U$19,EH$12))),$I68,"")</f>
        <v/>
      </c>
      <c r="EI68" s="390" t="str">
        <f>IF(AND(EI$12&gt;=$E68,EI$12&lt;=$F68,MOD(EI$12,7)&gt;1,NOT(COUNTIF(General!$U$13:$U$19,EI$12))),$I68,"")</f>
        <v/>
      </c>
      <c r="EJ68" s="390" t="str">
        <f>IF(AND(EJ$12&gt;=$E68,EJ$12&lt;=$F68,MOD(EJ$12,7)&gt;1,NOT(COUNTIF(General!$U$13:$U$19,EJ$12))),$I68,"")</f>
        <v/>
      </c>
      <c r="EK68" s="390" t="str">
        <f>IF(AND(EK$12&gt;=$E68,EK$12&lt;=$F68,MOD(EK$12,7)&gt;1,NOT(COUNTIF(General!$U$13:$U$19,EK$12))),$I68,"")</f>
        <v/>
      </c>
      <c r="EL68" s="390" t="str">
        <f>IF(AND(EL$12&gt;=$E68,EL$12&lt;=$F68,MOD(EL$12,7)&gt;1,NOT(COUNTIF(General!$U$13:$U$19,EL$12))),$I68,"")</f>
        <v/>
      </c>
      <c r="EM68" s="390" t="str">
        <f>IF(AND(EM$12&gt;=$E68,EM$12&lt;=$F68,MOD(EM$12,7)&gt;1,NOT(COUNTIF(General!$U$13:$U$19,EM$12))),$I68,"")</f>
        <v/>
      </c>
      <c r="EN68" s="390" t="str">
        <f>IF(AND(EN$12&gt;=$E68,EN$12&lt;=$F68,MOD(EN$12,7)&gt;1,NOT(COUNTIF(General!$U$13:$U$19,EN$12))),$I68,"")</f>
        <v/>
      </c>
      <c r="EO68" s="390" t="str">
        <f>IF(AND(EO$12&gt;=$E68,EO$12&lt;=$F68,MOD(EO$12,7)&gt;1,NOT(COUNTIF(General!$U$13:$U$19,EO$12))),$I68,"")</f>
        <v/>
      </c>
      <c r="EP68" s="390" t="str">
        <f>IF(AND(EP$12&gt;=$E68,EP$12&lt;=$F68,MOD(EP$12,7)&gt;1,NOT(COUNTIF(General!$U$13:$U$19,EP$12))),$I68,"")</f>
        <v/>
      </c>
      <c r="EQ68" s="390" t="str">
        <f>IF(AND(EQ$12&gt;=$E68,EQ$12&lt;=$F68,MOD(EQ$12,7)&gt;1,NOT(COUNTIF(General!$U$13:$U$19,EQ$12))),$I68,"")</f>
        <v/>
      </c>
      <c r="ER68" s="390" t="str">
        <f>IF(AND(ER$12&gt;=$E68,ER$12&lt;=$F68,MOD(ER$12,7)&gt;1,NOT(COUNTIF(General!$U$13:$U$19,ER$12))),$I68,"")</f>
        <v/>
      </c>
      <c r="ES68" s="390" t="str">
        <f>IF(AND(ES$12&gt;=$E68,ES$12&lt;=$F68,MOD(ES$12,7)&gt;1,NOT(COUNTIF(General!$U$13:$U$19,ES$12))),$I68,"")</f>
        <v/>
      </c>
      <c r="ET68" s="390" t="str">
        <f>IF(AND(ET$12&gt;=$E68,ET$12&lt;=$F68,MOD(ET$12,7)&gt;1,NOT(COUNTIF(General!$U$13:$U$19,ET$12))),$I68,"")</f>
        <v/>
      </c>
      <c r="EU68" s="390" t="str">
        <f>IF(AND(EU$12&gt;=$E68,EU$12&lt;=$F68,MOD(EU$12,7)&gt;1,NOT(COUNTIF(General!$U$13:$U$19,EU$12))),$I68,"")</f>
        <v/>
      </c>
      <c r="EV68" s="390" t="str">
        <f>IF(AND(EV$12&gt;=$E68,EV$12&lt;=$F68,MOD(EV$12,7)&gt;1,NOT(COUNTIF(General!$U$13:$U$19,EV$12))),$I68,"")</f>
        <v/>
      </c>
      <c r="EW68" s="390" t="str">
        <f>IF(AND(EW$12&gt;=$E68,EW$12&lt;=$F68,MOD(EW$12,7)&gt;1,NOT(COUNTIF(General!$U$13:$U$19,EW$12))),$I68,"")</f>
        <v/>
      </c>
      <c r="EX68" s="390" t="str">
        <f>IF(AND(EX$12&gt;=$E68,EX$12&lt;=$F68,MOD(EX$12,7)&gt;1,NOT(COUNTIF(General!$U$13:$U$19,EX$12))),$I68,"")</f>
        <v/>
      </c>
      <c r="EY68" s="390" t="str">
        <f>IF(AND(EY$12&gt;=$E68,EY$12&lt;=$F68,MOD(EY$12,7)&gt;1,NOT(COUNTIF(General!$U$13:$U$19,EY$12))),$I68,"")</f>
        <v/>
      </c>
      <c r="EZ68" s="390" t="str">
        <f>IF(AND(EZ$12&gt;=$E68,EZ$12&lt;=$F68,MOD(EZ$12,7)&gt;1,NOT(COUNTIF(General!$U$13:$U$19,EZ$12))),$I68,"")</f>
        <v/>
      </c>
      <c r="FA68" s="390" t="str">
        <f>IF(AND(FA$12&gt;=$E68,FA$12&lt;=$F68,MOD(FA$12,7)&gt;1,NOT(COUNTIF(General!$U$13:$U$19,FA$12))),$I68,"")</f>
        <v/>
      </c>
      <c r="FB68" s="390" t="str">
        <f>IF(AND(FB$12&gt;=$E68,FB$12&lt;=$F68,MOD(FB$12,7)&gt;1,NOT(COUNTIF(General!$U$13:$U$19,FB$12))),$I68,"")</f>
        <v/>
      </c>
      <c r="FC68" s="390" t="str">
        <f>IF(AND(FC$12&gt;=$E68,FC$12&lt;=$F68,MOD(FC$12,7)&gt;1,NOT(COUNTIF(General!$U$13:$U$19,FC$12))),$I68,"")</f>
        <v/>
      </c>
      <c r="FD68" s="390" t="str">
        <f>IF(AND(FD$12&gt;=$E68,FD$12&lt;=$F68,MOD(FD$12,7)&gt;1,NOT(COUNTIF(General!$U$13:$U$19,FD$12))),$I68,"")</f>
        <v/>
      </c>
      <c r="FE68" s="390" t="str">
        <f>IF(AND(FE$12&gt;=$E68,FE$12&lt;=$F68,MOD(FE$12,7)&gt;1,NOT(COUNTIF(General!$U$13:$U$19,FE$12))),$I68,"")</f>
        <v/>
      </c>
      <c r="FF68" s="390" t="str">
        <f>IF(AND(FF$12&gt;=$E68,FF$12&lt;=$F68,MOD(FF$12,7)&gt;1,NOT(COUNTIF(General!$U$13:$U$19,FF$12))),$I68,"")</f>
        <v/>
      </c>
      <c r="FG68" s="390" t="str">
        <f>IF(AND(FG$12&gt;=$E68,FG$12&lt;=$F68,MOD(FG$12,7)&gt;1,NOT(COUNTIF(General!$U$13:$U$19,FG$12))),$I68,"")</f>
        <v/>
      </c>
      <c r="FH68" s="390" t="str">
        <f>IF(AND(FH$12&gt;=$E68,FH$12&lt;=$F68,MOD(FH$12,7)&gt;1,NOT(COUNTIF(General!$U$13:$U$19,FH$12))),$I68,"")</f>
        <v/>
      </c>
      <c r="FI68" s="390" t="str">
        <f>IF(AND(FI$12&gt;=$E68,FI$12&lt;=$F68,MOD(FI$12,7)&gt;1,NOT(COUNTIF(General!$U$13:$U$19,FI$12))),$I68,"")</f>
        <v/>
      </c>
      <c r="FJ68" s="390" t="str">
        <f>IF(AND(FJ$12&gt;=$E68,FJ$12&lt;=$F68,MOD(FJ$12,7)&gt;1,NOT(COUNTIF(General!$U$13:$U$19,FJ$12))),$I68,"")</f>
        <v/>
      </c>
      <c r="FK68" s="390" t="str">
        <f>IF(AND(FK$12&gt;=$E68,FK$12&lt;=$F68,MOD(FK$12,7)&gt;1,NOT(COUNTIF(General!$U$13:$U$19,FK$12))),$I68,"")</f>
        <v/>
      </c>
      <c r="FL68" s="390" t="str">
        <f>IF(AND(FL$12&gt;=$E68,FL$12&lt;=$F68,MOD(FL$12,7)&gt;1,NOT(COUNTIF(General!$U$13:$U$19,FL$12))),$I68,"")</f>
        <v/>
      </c>
      <c r="FM68" s="390" t="str">
        <f>IF(AND(FM$12&gt;=$E68,FM$12&lt;=$F68,MOD(FM$12,7)&gt;1,NOT(COUNTIF(General!$U$13:$U$19,FM$12))),$I68,"")</f>
        <v/>
      </c>
      <c r="FN68" s="390" t="str">
        <f>IF(AND(FN$12&gt;=$E68,FN$12&lt;=$F68,MOD(FN$12,7)&gt;1,NOT(COUNTIF(General!$U$13:$U$19,FN$12))),$I68,"")</f>
        <v/>
      </c>
      <c r="FO68" s="390" t="str">
        <f>IF(AND(FO$12&gt;=$E68,FO$12&lt;=$F68,MOD(FO$12,7)&gt;1,NOT(COUNTIF(General!$U$13:$U$19,FO$12))),$I68,"")</f>
        <v/>
      </c>
      <c r="FP68" s="390" t="str">
        <f>IF(AND(FP$12&gt;=$E68,FP$12&lt;=$F68,MOD(FP$12,7)&gt;1,NOT(COUNTIF(General!$U$13:$U$19,FP$12))),$I68,"")</f>
        <v/>
      </c>
      <c r="FQ68" s="390" t="str">
        <f>IF(AND(FQ$12&gt;=$E68,FQ$12&lt;=$F68,MOD(FQ$12,7)&gt;1,NOT(COUNTIF(General!$U$13:$U$19,FQ$12))),$I68,"")</f>
        <v/>
      </c>
      <c r="FR68" s="390" t="str">
        <f>IF(AND(FR$12&gt;=$E68,FR$12&lt;=$F68,MOD(FR$12,7)&gt;1,NOT(COUNTIF(General!$U$13:$U$19,FR$12))),$I68,"")</f>
        <v/>
      </c>
      <c r="FS68" s="390" t="str">
        <f>IF(AND(FS$12&gt;=$E68,FS$12&lt;=$F68,MOD(FS$12,7)&gt;1,NOT(COUNTIF(General!$U$13:$U$19,FS$12))),$I68,"")</f>
        <v/>
      </c>
      <c r="FT68" s="390" t="str">
        <f>IF(AND(FT$12&gt;=$E68,FT$12&lt;=$F68,MOD(FT$12,7)&gt;1,NOT(COUNTIF(General!$U$13:$U$19,FT$12))),$I68,"")</f>
        <v/>
      </c>
      <c r="FU68" s="390" t="str">
        <f>IF(AND(FU$12&gt;=$E68,FU$12&lt;=$F68,MOD(FU$12,7)&gt;1,NOT(COUNTIF(General!$U$13:$U$19,FU$12))),$I68,"")</f>
        <v/>
      </c>
      <c r="FV68" s="390" t="str">
        <f>IF(AND(FV$12&gt;=$E68,FV$12&lt;=$F68,MOD(FV$12,7)&gt;1,NOT(COUNTIF(General!$U$13:$U$19,FV$12))),$I68,"")</f>
        <v/>
      </c>
      <c r="FW68" s="390" t="str">
        <f>IF(AND(FW$12&gt;=$E68,FW$12&lt;=$F68,MOD(FW$12,7)&gt;1,NOT(COUNTIF(General!$U$13:$U$19,FW$12))),$I68,"")</f>
        <v/>
      </c>
      <c r="FX68" s="390" t="str">
        <f>IF(AND(FX$12&gt;=$E68,FX$12&lt;=$F68,MOD(FX$12,7)&gt;1,NOT(COUNTIF(General!$U$13:$U$19,FX$12))),$I68,"")</f>
        <v/>
      </c>
    </row>
    <row r="69" ht="16.5" customHeight="1">
      <c r="A69" s="613"/>
      <c r="B69" s="369"/>
      <c r="C69" s="370"/>
      <c r="D69" s="579"/>
      <c r="E69" s="583"/>
      <c r="F69" s="620"/>
      <c r="G69" s="375"/>
      <c r="H69" s="377"/>
      <c r="I69" s="379">
        <v>1.0</v>
      </c>
      <c r="J69" s="377"/>
      <c r="K69" s="381"/>
      <c r="L69" s="382"/>
      <c r="M69" s="383"/>
      <c r="N69" s="384"/>
      <c r="O69" s="386"/>
      <c r="P69" s="388"/>
      <c r="Q69" s="390" t="str">
        <f>IF(AND(Q$12&gt;=$E69,Q$12&lt;=$F69,MOD(Q$12,7)&gt;1,NOT(COUNTIF(General!$U$13:$U$19,Q$12))),$I69,"")</f>
        <v/>
      </c>
      <c r="R69" s="390" t="str">
        <f>IF(AND(R$12&gt;=$E69,R$12&lt;=$F69,MOD(R$12,7)&gt;1,NOT(COUNTIF(General!$U$13:$U$19,R$12))),$I69,"")</f>
        <v/>
      </c>
      <c r="S69" s="390" t="str">
        <f>IF(AND(S$12&gt;=$E69,S$12&lt;=$F69,MOD(S$12,7)&gt;1,NOT(COUNTIF(General!$U$13:$U$19,S$12))),$I69,"")</f>
        <v/>
      </c>
      <c r="T69" s="390" t="str">
        <f>IF(AND(T$12&gt;=$E69,T$12&lt;=$F69,MOD(T$12,7)&gt;1,NOT(COUNTIF(General!$U$13:$U$19,T$12))),$I69,"")</f>
        <v/>
      </c>
      <c r="U69" s="390" t="str">
        <f>IF(AND(U$12&gt;=$E69,U$12&lt;=$F69,MOD(U$12,7)&gt;1,NOT(COUNTIF(General!$U$13:$U$19,U$12))),$I69,"")</f>
        <v/>
      </c>
      <c r="V69" s="390" t="str">
        <f>IF(AND(V$12&gt;=$E69,V$12&lt;=$F69,MOD(V$12,7)&gt;1,NOT(COUNTIF(General!$U$13:$U$19,V$12))),$I69,"")</f>
        <v/>
      </c>
      <c r="W69" s="390" t="str">
        <f>IF(AND(W$12&gt;=$E69,W$12&lt;=$F69,MOD(W$12,7)&gt;1,NOT(COUNTIF(General!$U$13:$U$19,W$12))),$I69,"")</f>
        <v/>
      </c>
      <c r="X69" s="390" t="str">
        <f>IF(AND(X$12&gt;=$E69,X$12&lt;=$F69,MOD(X$12,7)&gt;1,NOT(COUNTIF(General!$U$13:$U$19,X$12))),$I69,"")</f>
        <v/>
      </c>
      <c r="Y69" s="390" t="str">
        <f>IF(AND(Y$12&gt;=$E69,Y$12&lt;=$F69,MOD(Y$12,7)&gt;1,NOT(COUNTIF(General!$U$13:$U$19,Y$12))),$I69,"")</f>
        <v/>
      </c>
      <c r="Z69" s="390" t="str">
        <f>IF(AND(Z$12&gt;=$E69,Z$12&lt;=$F69,MOD(Z$12,7)&gt;1,NOT(COUNTIF(General!$U$13:$U$19,Z$12))),$I69,"")</f>
        <v/>
      </c>
      <c r="AA69" s="390" t="str">
        <f>IF(AND(AA$12&gt;=$E69,AA$12&lt;=$F69,MOD(AA$12,7)&gt;1,NOT(COUNTIF(General!$U$13:$U$19,AA$12))),$I69,"")</f>
        <v/>
      </c>
      <c r="AB69" s="390" t="str">
        <f>IF(AND(AB$12&gt;=$E69,AB$12&lt;=$F69,MOD(AB$12,7)&gt;1,NOT(COUNTIF(General!$U$13:$U$19,AB$12))),$I69,"")</f>
        <v/>
      </c>
      <c r="AC69" s="390" t="str">
        <f>IF(AND(AC$12&gt;=$E69,AC$12&lt;=$F69,MOD(AC$12,7)&gt;1,NOT(COUNTIF(General!$U$13:$U$19,AC$12))),$I69,"")</f>
        <v/>
      </c>
      <c r="AD69" s="390" t="str">
        <f>IF(AND(AD$12&gt;=$E69,AD$12&lt;=$F69,MOD(AD$12,7)&gt;1,NOT(COUNTIF(General!$U$13:$U$19,AD$12))),$I69,"")</f>
        <v/>
      </c>
      <c r="AE69" s="390" t="str">
        <f>IF(AND(AE$12&gt;=$E69,AE$12&lt;=$F69,MOD(AE$12,7)&gt;1,NOT(COUNTIF(General!$U$13:$U$19,AE$12))),$I69,"")</f>
        <v/>
      </c>
      <c r="AF69" s="390" t="str">
        <f>IF(AND(AF$12&gt;=$E69,AF$12&lt;=$F69,MOD(AF$12,7)&gt;1,NOT(COUNTIF(General!$U$13:$U$19,AF$12))),$I69,"")</f>
        <v/>
      </c>
      <c r="AG69" s="390" t="str">
        <f>IF(AND(AG$12&gt;=$E69,AG$12&lt;=$F69,MOD(AG$12,7)&gt;1,NOT(COUNTIF(General!$U$13:$U$19,AG$12))),$I69,"")</f>
        <v/>
      </c>
      <c r="AH69" s="390" t="str">
        <f>IF(AND(AH$12&gt;=$E69,AH$12&lt;=$F69,MOD(AH$12,7)&gt;1,NOT(COUNTIF(General!$U$13:$U$19,AH$12))),$I69,"")</f>
        <v/>
      </c>
      <c r="AI69" s="390" t="str">
        <f>IF(AND(AI$12&gt;=$E69,AI$12&lt;=$F69,MOD(AI$12,7)&gt;1,NOT(COUNTIF(General!$U$13:$U$19,AI$12))),$I69,"")</f>
        <v/>
      </c>
      <c r="AJ69" s="390" t="str">
        <f>IF(AND(AJ$12&gt;=$E69,AJ$12&lt;=$F69,MOD(AJ$12,7)&gt;1,NOT(COUNTIF(General!$U$13:$U$19,AJ$12))),$I69,"")</f>
        <v/>
      </c>
      <c r="AK69" s="390" t="str">
        <f>IF(AND(AK$12&gt;=$E69,AK$12&lt;=$F69,MOD(AK$12,7)&gt;1,NOT(COUNTIF(General!$U$13:$U$19,AK$12))),$I69,"")</f>
        <v/>
      </c>
      <c r="AL69" s="390" t="str">
        <f>IF(AND(AL$12&gt;=$E69,AL$12&lt;=$F69,MOD(AL$12,7)&gt;1,NOT(COUNTIF(General!$U$13:$U$19,AL$12))),$I69,"")</f>
        <v/>
      </c>
      <c r="AM69" s="390" t="str">
        <f>IF(AND(AM$12&gt;=$E69,AM$12&lt;=$F69,MOD(AM$12,7)&gt;1,NOT(COUNTIF(General!$U$13:$U$19,AM$12))),$I69,"")</f>
        <v/>
      </c>
      <c r="AN69" s="390" t="str">
        <f>IF(AND(AN$12&gt;=$E69,AN$12&lt;=$F69,MOD(AN$12,7)&gt;1,NOT(COUNTIF(General!$U$13:$U$19,AN$12))),$I69,"")</f>
        <v/>
      </c>
      <c r="AO69" s="390" t="str">
        <f>IF(AND(AO$12&gt;=$E69,AO$12&lt;=$F69,MOD(AO$12,7)&gt;1,NOT(COUNTIF(General!$U$13:$U$19,AO$12))),$I69,"")</f>
        <v/>
      </c>
      <c r="AP69" s="390" t="str">
        <f>IF(AND(AP$12&gt;=$E69,AP$12&lt;=$F69,MOD(AP$12,7)&gt;1,NOT(COUNTIF(General!$U$13:$U$19,AP$12))),$I69,"")</f>
        <v/>
      </c>
      <c r="AQ69" s="390" t="str">
        <f>IF(AND(AQ$12&gt;=$E69,AQ$12&lt;=$F69,MOD(AQ$12,7)&gt;1,NOT(COUNTIF(General!$U$13:$U$19,AQ$12))),$I69,"")</f>
        <v/>
      </c>
      <c r="AR69" s="390" t="str">
        <f>IF(AND(AR$12&gt;=$E69,AR$12&lt;=$F69,MOD(AR$12,7)&gt;1,NOT(COUNTIF(General!$U$13:$U$19,AR$12))),$I69,"")</f>
        <v/>
      </c>
      <c r="AS69" s="390" t="str">
        <f>IF(AND(AS$12&gt;=$E69,AS$12&lt;=$F69,MOD(AS$12,7)&gt;1,NOT(COUNTIF(General!$U$13:$U$19,AS$12))),$I69,"")</f>
        <v/>
      </c>
      <c r="AT69" s="390" t="str">
        <f>IF(AND(AT$12&gt;=$E69,AT$12&lt;=$F69,MOD(AT$12,7)&gt;1,NOT(COUNTIF(General!$U$13:$U$19,AT$12))),$I69,"")</f>
        <v/>
      </c>
      <c r="AU69" s="390" t="str">
        <f>IF(AND(AU$12&gt;=$E69,AU$12&lt;=$F69,MOD(AU$12,7)&gt;1,NOT(COUNTIF(General!$U$13:$U$19,AU$12))),$I69,"")</f>
        <v/>
      </c>
      <c r="AV69" s="390" t="str">
        <f>IF(AND(AV$12&gt;=$E69,AV$12&lt;=$F69,MOD(AV$12,7)&gt;1,NOT(COUNTIF(General!$U$13:$U$19,AV$12))),$I69,"")</f>
        <v/>
      </c>
      <c r="AW69" s="390" t="str">
        <f>IF(AND(AW$12&gt;=$E69,AW$12&lt;=$F69,MOD(AW$12,7)&gt;1,NOT(COUNTIF(General!$U$13:$U$19,AW$12))),$I69,"")</f>
        <v/>
      </c>
      <c r="AX69" s="390" t="str">
        <f>IF(AND(AX$12&gt;=$E69,AX$12&lt;=$F69,MOD(AX$12,7)&gt;1,NOT(COUNTIF(General!$U$13:$U$19,AX$12))),$I69,"")</f>
        <v/>
      </c>
      <c r="AY69" s="390" t="str">
        <f>IF(AND(AY$12&gt;=$E69,AY$12&lt;=$F69,MOD(AY$12,7)&gt;1,NOT(COUNTIF(General!$U$13:$U$19,AY$12))),$I69,"")</f>
        <v/>
      </c>
      <c r="AZ69" s="390" t="str">
        <f>IF(AND(AZ$12&gt;=$E69,AZ$12&lt;=$F69,MOD(AZ$12,7)&gt;1,NOT(COUNTIF(General!$U$13:$U$19,AZ$12))),$I69,"")</f>
        <v/>
      </c>
      <c r="BA69" s="390" t="str">
        <f>IF(AND(BA$12&gt;=$E69,BA$12&lt;=$F69,MOD(BA$12,7)&gt;1,NOT(COUNTIF(General!$U$13:$U$19,BA$12))),$I69,"")</f>
        <v/>
      </c>
      <c r="BB69" s="390" t="str">
        <f>IF(AND(BB$12&gt;=$E69,BB$12&lt;=$F69,MOD(BB$12,7)&gt;1,NOT(COUNTIF(General!$U$13:$U$19,BB$12))),$I69,"")</f>
        <v/>
      </c>
      <c r="BC69" s="390" t="str">
        <f>IF(AND(BC$12&gt;=$E69,BC$12&lt;=$F69,MOD(BC$12,7)&gt;1,NOT(COUNTIF(General!$U$13:$U$19,BC$12))),$I69,"")</f>
        <v/>
      </c>
      <c r="BD69" s="390" t="str">
        <f>IF(AND(BD$12&gt;=$E69,BD$12&lt;=$F69,MOD(BD$12,7)&gt;1,NOT(COUNTIF(General!$U$13:$U$19,BD$12))),$I69,"")</f>
        <v/>
      </c>
      <c r="BE69" s="390" t="str">
        <f>IF(AND(BE$12&gt;=$E69,BE$12&lt;=$F69,MOD(BE$12,7)&gt;1,NOT(COUNTIF(General!$U$13:$U$19,BE$12))),$I69,"")</f>
        <v/>
      </c>
      <c r="BF69" s="390" t="str">
        <f>IF(AND(BF$12&gt;=$E69,BF$12&lt;=$F69,MOD(BF$12,7)&gt;1,NOT(COUNTIF(General!$U$13:$U$19,BF$12))),$I69,"")</f>
        <v/>
      </c>
      <c r="BG69" s="390" t="str">
        <f>IF(AND(BG$12&gt;=$E69,BG$12&lt;=$F69,MOD(BG$12,7)&gt;1,NOT(COUNTIF(General!$U$13:$U$19,BG$12))),$I69,"")</f>
        <v/>
      </c>
      <c r="BH69" s="390" t="str">
        <f>IF(AND(BH$12&gt;=$E69,BH$12&lt;=$F69,MOD(BH$12,7)&gt;1,NOT(COUNTIF(General!$U$13:$U$19,BH$12))),$I69,"")</f>
        <v/>
      </c>
      <c r="BI69" s="390" t="str">
        <f>IF(AND(BI$12&gt;=$E69,BI$12&lt;=$F69,MOD(BI$12,7)&gt;1,NOT(COUNTIF(General!$U$13:$U$19,BI$12))),$I69,"")</f>
        <v/>
      </c>
      <c r="BJ69" s="390" t="str">
        <f>IF(AND(BJ$12&gt;=$E69,BJ$12&lt;=$F69,MOD(BJ$12,7)&gt;1,NOT(COUNTIF(General!$U$13:$U$19,BJ$12))),$I69,"")</f>
        <v/>
      </c>
      <c r="BK69" s="390" t="str">
        <f>IF(AND(BK$12&gt;=$E69,BK$12&lt;=$F69,MOD(BK$12,7)&gt;1,NOT(COUNTIF(General!$U$13:$U$19,BK$12))),$I69,"")</f>
        <v/>
      </c>
      <c r="BL69" s="390" t="str">
        <f>IF(AND(BL$12&gt;=$E69,BL$12&lt;=$F69,MOD(BL$12,7)&gt;1,NOT(COUNTIF(General!$U$13:$U$19,BL$12))),$I69,"")</f>
        <v/>
      </c>
      <c r="BM69" s="390" t="str">
        <f>IF(AND(BM$12&gt;=$E69,BM$12&lt;=$F69,MOD(BM$12,7)&gt;1,NOT(COUNTIF(General!$U$13:$U$19,BM$12))),$I69,"")</f>
        <v/>
      </c>
      <c r="BN69" s="390" t="str">
        <f>IF(AND(BN$12&gt;=$E69,BN$12&lt;=$F69,MOD(BN$12,7)&gt;1,NOT(COUNTIF(General!$U$13:$U$19,BN$12))),$I69,"")</f>
        <v/>
      </c>
      <c r="BO69" s="390" t="str">
        <f>IF(AND(BO$12&gt;=$E69,BO$12&lt;=$F69,MOD(BO$12,7)&gt;1,NOT(COUNTIF(General!$U$13:$U$19,BO$12))),$I69,"")</f>
        <v/>
      </c>
      <c r="BP69" s="390" t="str">
        <f>IF(AND(BP$12&gt;=$E69,BP$12&lt;=$F69,MOD(BP$12,7)&gt;1,NOT(COUNTIF(General!$U$13:$U$19,BP$12))),$I69,"")</f>
        <v/>
      </c>
      <c r="BQ69" s="390" t="str">
        <f>IF(AND(BQ$12&gt;=$E69,BQ$12&lt;=$F69,MOD(BQ$12,7)&gt;1,NOT(COUNTIF(General!$U$13:$U$19,BQ$12))),$I69,"")</f>
        <v/>
      </c>
      <c r="BR69" s="390" t="str">
        <f>IF(AND(BR$12&gt;=$E69,BR$12&lt;=$F69,MOD(BR$12,7)&gt;1,NOT(COUNTIF(General!$U$13:$U$19,BR$12))),$I69,"")</f>
        <v/>
      </c>
      <c r="BS69" s="390" t="str">
        <f>IF(AND(BS$12&gt;=$E69,BS$12&lt;=$F69,MOD(BS$12,7)&gt;1,NOT(COUNTIF(General!$U$13:$U$19,BS$12))),$I69,"")</f>
        <v/>
      </c>
      <c r="BT69" s="390" t="str">
        <f>IF(AND(BT$12&gt;=$E69,BT$12&lt;=$F69,MOD(BT$12,7)&gt;1,NOT(COUNTIF(General!$U$13:$U$19,BT$12))),$I69,"")</f>
        <v/>
      </c>
      <c r="BU69" s="390" t="str">
        <f>IF(AND(BU$12&gt;=$E69,BU$12&lt;=$F69,MOD(BU$12,7)&gt;1,NOT(COUNTIF(General!$U$13:$U$19,BU$12))),$I69,"")</f>
        <v/>
      </c>
      <c r="BV69" s="390" t="str">
        <f>IF(AND(BV$12&gt;=$E69,BV$12&lt;=$F69,MOD(BV$12,7)&gt;1,NOT(COUNTIF(General!$U$13:$U$19,BV$12))),$I69,"")</f>
        <v/>
      </c>
      <c r="BW69" s="390" t="str">
        <f>IF(AND(BW$12&gt;=$E69,BW$12&lt;=$F69,MOD(BW$12,7)&gt;1,NOT(COUNTIF(General!$U$13:$U$19,BW$12))),$I69,"")</f>
        <v/>
      </c>
      <c r="BX69" s="390" t="str">
        <f>IF(AND(BX$12&gt;=$E69,BX$12&lt;=$F69,MOD(BX$12,7)&gt;1,NOT(COUNTIF(General!$U$13:$U$19,BX$12))),$I69,"")</f>
        <v/>
      </c>
      <c r="BY69" s="390" t="str">
        <f>IF(AND(BY$12&gt;=$E69,BY$12&lt;=$F69,MOD(BY$12,7)&gt;1,NOT(COUNTIF(General!$U$13:$U$19,BY$12))),$I69,"")</f>
        <v/>
      </c>
      <c r="BZ69" s="390" t="str">
        <f>IF(AND(BZ$12&gt;=$E69,BZ$12&lt;=$F69,MOD(BZ$12,7)&gt;1,NOT(COUNTIF(General!$U$13:$U$19,BZ$12))),$I69,"")</f>
        <v/>
      </c>
      <c r="CA69" s="390" t="str">
        <f>IF(AND(CA$12&gt;=$E69,CA$12&lt;=$F69,MOD(CA$12,7)&gt;1,NOT(COUNTIF(General!$U$13:$U$19,CA$12))),$I69,"")</f>
        <v/>
      </c>
      <c r="CB69" s="390" t="str">
        <f>IF(AND(CB$12&gt;=$E69,CB$12&lt;=$F69,MOD(CB$12,7)&gt;1,NOT(COUNTIF(General!$U$13:$U$19,CB$12))),$I69,"")</f>
        <v/>
      </c>
      <c r="CC69" s="390" t="str">
        <f>IF(AND(CC$12&gt;=$E69,CC$12&lt;=$F69,MOD(CC$12,7)&gt;1,NOT(COUNTIF(General!$U$13:$U$19,CC$12))),$I69,"")</f>
        <v/>
      </c>
      <c r="CD69" s="390" t="str">
        <f>IF(AND(CD$12&gt;=$E69,CD$12&lt;=$F69,MOD(CD$12,7)&gt;1,NOT(COUNTIF(General!$U$13:$U$19,CD$12))),$I69,"")</f>
        <v/>
      </c>
      <c r="CE69" s="390" t="str">
        <f>IF(AND(CE$12&gt;=$E69,CE$12&lt;=$F69,MOD(CE$12,7)&gt;1,NOT(COUNTIF(General!$U$13:$U$19,CE$12))),$I69,"")</f>
        <v/>
      </c>
      <c r="CF69" s="390" t="str">
        <f>IF(AND(CF$12&gt;=$E69,CF$12&lt;=$F69,MOD(CF$12,7)&gt;1,NOT(COUNTIF(General!$U$13:$U$19,CF$12))),$I69,"")</f>
        <v/>
      </c>
      <c r="CG69" s="390" t="str">
        <f>IF(AND(CG$12&gt;=$E69,CG$12&lt;=$F69,MOD(CG$12,7)&gt;1,NOT(COUNTIF(General!$U$13:$U$19,CG$12))),$I69,"")</f>
        <v/>
      </c>
      <c r="CH69" s="390" t="str">
        <f>IF(AND(CH$12&gt;=$E69,CH$12&lt;=$F69,MOD(CH$12,7)&gt;1,NOT(COUNTIF(General!$U$13:$U$19,CH$12))),$I69,"")</f>
        <v/>
      </c>
      <c r="CI69" s="390" t="str">
        <f>IF(AND(CI$12&gt;=$E69,CI$12&lt;=$F69,MOD(CI$12,7)&gt;1,NOT(COUNTIF(General!$U$13:$U$19,CI$12))),$I69,"")</f>
        <v/>
      </c>
      <c r="CJ69" s="390" t="str">
        <f>IF(AND(CJ$12&gt;=$E69,CJ$12&lt;=$F69,MOD(CJ$12,7)&gt;1,NOT(COUNTIF(General!$U$13:$U$19,CJ$12))),$I69,"")</f>
        <v/>
      </c>
      <c r="CK69" s="390" t="str">
        <f>IF(AND(CK$12&gt;=$E69,CK$12&lt;=$F69,MOD(CK$12,7)&gt;1,NOT(COUNTIF(General!$U$13:$U$19,CK$12))),$I69,"")</f>
        <v/>
      </c>
      <c r="CL69" s="390" t="str">
        <f>IF(AND(CL$12&gt;=$E69,CL$12&lt;=$F69,MOD(CL$12,7)&gt;1,NOT(COUNTIF(General!$U$13:$U$19,CL$12))),$I69,"")</f>
        <v/>
      </c>
      <c r="CM69" s="390" t="str">
        <f>IF(AND(CM$12&gt;=$E69,CM$12&lt;=$F69,MOD(CM$12,7)&gt;1,NOT(COUNTIF(General!$U$13:$U$19,CM$12))),$I69,"")</f>
        <v/>
      </c>
      <c r="CN69" s="390" t="str">
        <f>IF(AND(CN$12&gt;=$E69,CN$12&lt;=$F69,MOD(CN$12,7)&gt;1,NOT(COUNTIF(General!$U$13:$U$19,CN$12))),$I69,"")</f>
        <v/>
      </c>
      <c r="CO69" s="390" t="str">
        <f>IF(AND(CO$12&gt;=$E69,CO$12&lt;=$F69,MOD(CO$12,7)&gt;1,NOT(COUNTIF(General!$U$13:$U$19,CO$12))),$I69,"")</f>
        <v/>
      </c>
      <c r="CP69" s="390" t="str">
        <f>IF(AND(CP$12&gt;=$E69,CP$12&lt;=$F69,MOD(CP$12,7)&gt;1,NOT(COUNTIF(General!$U$13:$U$19,CP$12))),$I69,"")</f>
        <v/>
      </c>
      <c r="CQ69" s="390" t="str">
        <f>IF(AND(CQ$12&gt;=$E69,CQ$12&lt;=$F69,MOD(CQ$12,7)&gt;1,NOT(COUNTIF(General!$U$13:$U$19,CQ$12))),$I69,"")</f>
        <v/>
      </c>
      <c r="CR69" s="390" t="str">
        <f>IF(AND(CR$12&gt;=$E69,CR$12&lt;=$F69,MOD(CR$12,7)&gt;1,NOT(COUNTIF(General!$U$13:$U$19,CR$12))),$I69,"")</f>
        <v/>
      </c>
      <c r="CS69" s="390" t="str">
        <f>IF(AND(CS$12&gt;=$E69,CS$12&lt;=$F69,MOD(CS$12,7)&gt;1,NOT(COUNTIF(General!$U$13:$U$19,CS$12))),$I69,"")</f>
        <v/>
      </c>
      <c r="CT69" s="390" t="str">
        <f>IF(AND(CT$12&gt;=$E69,CT$12&lt;=$F69,MOD(CT$12,7)&gt;1,NOT(COUNTIF(General!$U$13:$U$19,CT$12))),$I69,"")</f>
        <v/>
      </c>
      <c r="CU69" s="390" t="str">
        <f>IF(AND(CU$12&gt;=$E69,CU$12&lt;=$F69,MOD(CU$12,7)&gt;1,NOT(COUNTIF(General!$U$13:$U$19,CU$12))),$I69,"")</f>
        <v/>
      </c>
      <c r="CV69" s="390" t="str">
        <f>IF(AND(CV$12&gt;=$E69,CV$12&lt;=$F69,MOD(CV$12,7)&gt;1,NOT(COUNTIF(General!$U$13:$U$19,CV$12))),$I69,"")</f>
        <v/>
      </c>
      <c r="CW69" s="390" t="str">
        <f>IF(AND(CW$12&gt;=$E69,CW$12&lt;=$F69,MOD(CW$12,7)&gt;1,NOT(COUNTIF(General!$U$13:$U$19,CW$12))),$I69,"")</f>
        <v/>
      </c>
      <c r="CX69" s="390" t="str">
        <f>IF(AND(CX$12&gt;=$E69,CX$12&lt;=$F69,MOD(CX$12,7)&gt;1,NOT(COUNTIF(General!$U$13:$U$19,CX$12))),$I69,"")</f>
        <v/>
      </c>
      <c r="CY69" s="390" t="str">
        <f>IF(AND(CY$12&gt;=$E69,CY$12&lt;=$F69,MOD(CY$12,7)&gt;1,NOT(COUNTIF(General!$U$13:$U$19,CY$12))),$I69,"")</f>
        <v/>
      </c>
      <c r="CZ69" s="390" t="str">
        <f>IF(AND(CZ$12&gt;=$E69,CZ$12&lt;=$F69,MOD(CZ$12,7)&gt;1,NOT(COUNTIF(General!$U$13:$U$19,CZ$12))),$I69,"")</f>
        <v/>
      </c>
      <c r="DA69" s="390" t="str">
        <f>IF(AND(DA$12&gt;=$E69,DA$12&lt;=$F69,MOD(DA$12,7)&gt;1,NOT(COUNTIF(General!$U$13:$U$19,DA$12))),$I69,"")</f>
        <v/>
      </c>
      <c r="DB69" s="390" t="str">
        <f>IF(AND(DB$12&gt;=$E69,DB$12&lt;=$F69,MOD(DB$12,7)&gt;1,NOT(COUNTIF(General!$U$13:$U$19,DB$12))),$I69,"")</f>
        <v/>
      </c>
      <c r="DC69" s="390" t="str">
        <f>IF(AND(DC$12&gt;=$E69,DC$12&lt;=$F69,MOD(DC$12,7)&gt;1,NOT(COUNTIF(General!$U$13:$U$19,DC$12))),$I69,"")</f>
        <v/>
      </c>
      <c r="DD69" s="390" t="str">
        <f>IF(AND(DD$12&gt;=$E69,DD$12&lt;=$F69,MOD(DD$12,7)&gt;1,NOT(COUNTIF(General!$U$13:$U$19,DD$12))),$I69,"")</f>
        <v/>
      </c>
      <c r="DE69" s="390" t="str">
        <f>IF(AND(DE$12&gt;=$E69,DE$12&lt;=$F69,MOD(DE$12,7)&gt;1,NOT(COUNTIF(General!$U$13:$U$19,DE$12))),$I69,"")</f>
        <v/>
      </c>
      <c r="DF69" s="390" t="str">
        <f>IF(AND(DF$12&gt;=$E69,DF$12&lt;=$F69,MOD(DF$12,7)&gt;1,NOT(COUNTIF(General!$U$13:$U$19,DF$12))),$I69,"")</f>
        <v/>
      </c>
      <c r="DG69" s="390" t="str">
        <f>IF(AND(DG$12&gt;=$E69,DG$12&lt;=$F69,MOD(DG$12,7)&gt;1,NOT(COUNTIF(General!$U$13:$U$19,DG$12))),$I69,"")</f>
        <v/>
      </c>
      <c r="DH69" s="390" t="str">
        <f>IF(AND(DH$12&gt;=$E69,DH$12&lt;=$F69,MOD(DH$12,7)&gt;1,NOT(COUNTIF(General!$U$13:$U$19,DH$12))),$I69,"")</f>
        <v/>
      </c>
      <c r="DI69" s="390" t="str">
        <f>IF(AND(DI$12&gt;=$E69,DI$12&lt;=$F69,MOD(DI$12,7)&gt;1,NOT(COUNTIF(General!$U$13:$U$19,DI$12))),$I69,"")</f>
        <v/>
      </c>
      <c r="DJ69" s="390" t="str">
        <f>IF(AND(DJ$12&gt;=$E69,DJ$12&lt;=$F69,MOD(DJ$12,7)&gt;1,NOT(COUNTIF(General!$U$13:$U$19,DJ$12))),$I69,"")</f>
        <v/>
      </c>
      <c r="DK69" s="390" t="str">
        <f>IF(AND(DK$12&gt;=$E69,DK$12&lt;=$F69,MOD(DK$12,7)&gt;1,NOT(COUNTIF(General!$U$13:$U$19,DK$12))),$I69,"")</f>
        <v/>
      </c>
      <c r="DL69" s="390" t="str">
        <f>IF(AND(DL$12&gt;=$E69,DL$12&lt;=$F69,MOD(DL$12,7)&gt;1,NOT(COUNTIF(General!$U$13:$U$19,DL$12))),$I69,"")</f>
        <v/>
      </c>
      <c r="DM69" s="390" t="str">
        <f>IF(AND(DM$12&gt;=$E69,DM$12&lt;=$F69,MOD(DM$12,7)&gt;1,NOT(COUNTIF(General!$U$13:$U$19,DM$12))),$I69,"")</f>
        <v/>
      </c>
      <c r="DN69" s="390" t="str">
        <f>IF(AND(DN$12&gt;=$E69,DN$12&lt;=$F69,MOD(DN$12,7)&gt;1,NOT(COUNTIF(General!$U$13:$U$19,DN$12))),$I69,"")</f>
        <v/>
      </c>
      <c r="DO69" s="390" t="str">
        <f>IF(AND(DO$12&gt;=$E69,DO$12&lt;=$F69,MOD(DO$12,7)&gt;1,NOT(COUNTIF(General!$U$13:$U$19,DO$12))),$I69,"")</f>
        <v/>
      </c>
      <c r="DP69" s="390" t="str">
        <f>IF(AND(DP$12&gt;=$E69,DP$12&lt;=$F69,MOD(DP$12,7)&gt;1,NOT(COUNTIF(General!$U$13:$U$19,DP$12))),$I69,"")</f>
        <v/>
      </c>
      <c r="DQ69" s="390" t="str">
        <f>IF(AND(DQ$12&gt;=$E69,DQ$12&lt;=$F69,MOD(DQ$12,7)&gt;1,NOT(COUNTIF(General!$U$13:$U$19,DQ$12))),$I69,"")</f>
        <v/>
      </c>
      <c r="DR69" s="390" t="str">
        <f>IF(AND(DR$12&gt;=$E69,DR$12&lt;=$F69,MOD(DR$12,7)&gt;1,NOT(COUNTIF(General!$U$13:$U$19,DR$12))),$I69,"")</f>
        <v/>
      </c>
      <c r="DS69" s="390" t="str">
        <f>IF(AND(DS$12&gt;=$E69,DS$12&lt;=$F69,MOD(DS$12,7)&gt;1,NOT(COUNTIF(General!$U$13:$U$19,DS$12))),$I69,"")</f>
        <v/>
      </c>
      <c r="DT69" s="390" t="str">
        <f>IF(AND(DT$12&gt;=$E69,DT$12&lt;=$F69,MOD(DT$12,7)&gt;1,NOT(COUNTIF(General!$U$13:$U$19,DT$12))),$I69,"")</f>
        <v/>
      </c>
      <c r="DU69" s="390" t="str">
        <f>IF(AND(DU$12&gt;=$E69,DU$12&lt;=$F69,MOD(DU$12,7)&gt;1,NOT(COUNTIF(General!$U$13:$U$19,DU$12))),$I69,"")</f>
        <v/>
      </c>
      <c r="DV69" s="390" t="str">
        <f>IF(AND(DV$12&gt;=$E69,DV$12&lt;=$F69,MOD(DV$12,7)&gt;1,NOT(COUNTIF(General!$U$13:$U$19,DV$12))),$I69,"")</f>
        <v/>
      </c>
      <c r="DW69" s="390" t="str">
        <f>IF(AND(DW$12&gt;=$E69,DW$12&lt;=$F69,MOD(DW$12,7)&gt;1,NOT(COUNTIF(General!$U$13:$U$19,DW$12))),$I69,"")</f>
        <v/>
      </c>
      <c r="DX69" s="390" t="str">
        <f>IF(AND(DX$12&gt;=$E69,DX$12&lt;=$F69,MOD(DX$12,7)&gt;1,NOT(COUNTIF(General!$U$13:$U$19,DX$12))),$I69,"")</f>
        <v/>
      </c>
      <c r="DY69" s="390" t="str">
        <f>IF(AND(DY$12&gt;=$E69,DY$12&lt;=$F69,MOD(DY$12,7)&gt;1,NOT(COUNTIF(General!$U$13:$U$19,DY$12))),$I69,"")</f>
        <v/>
      </c>
      <c r="DZ69" s="390" t="str">
        <f>IF(AND(DZ$12&gt;=$E69,DZ$12&lt;=$F69,MOD(DZ$12,7)&gt;1,NOT(COUNTIF(General!$U$13:$U$19,DZ$12))),$I69,"")</f>
        <v/>
      </c>
      <c r="EA69" s="390" t="str">
        <f>IF(AND(EA$12&gt;=$E69,EA$12&lt;=$F69,MOD(EA$12,7)&gt;1,NOT(COUNTIF(General!$U$13:$U$19,EA$12))),$I69,"")</f>
        <v/>
      </c>
      <c r="EB69" s="390" t="str">
        <f>IF(AND(EB$12&gt;=$E69,EB$12&lt;=$F69,MOD(EB$12,7)&gt;1,NOT(COUNTIF(General!$U$13:$U$19,EB$12))),$I69,"")</f>
        <v/>
      </c>
      <c r="EC69" s="390" t="str">
        <f>IF(AND(EC$12&gt;=$E69,EC$12&lt;=$F69,MOD(EC$12,7)&gt;1,NOT(COUNTIF(General!$U$13:$U$19,EC$12))),$I69,"")</f>
        <v/>
      </c>
      <c r="ED69" s="390" t="str">
        <f>IF(AND(ED$12&gt;=$E69,ED$12&lt;=$F69,MOD(ED$12,7)&gt;1,NOT(COUNTIF(General!$U$13:$U$19,ED$12))),$I69,"")</f>
        <v/>
      </c>
      <c r="EE69" s="390" t="str">
        <f>IF(AND(EE$12&gt;=$E69,EE$12&lt;=$F69,MOD(EE$12,7)&gt;1,NOT(COUNTIF(General!$U$13:$U$19,EE$12))),$I69,"")</f>
        <v/>
      </c>
      <c r="EF69" s="390" t="str">
        <f>IF(AND(EF$12&gt;=$E69,EF$12&lt;=$F69,MOD(EF$12,7)&gt;1,NOT(COUNTIF(General!$U$13:$U$19,EF$12))),$I69,"")</f>
        <v/>
      </c>
      <c r="EG69" s="390" t="str">
        <f>IF(AND(EG$12&gt;=$E69,EG$12&lt;=$F69,MOD(EG$12,7)&gt;1,NOT(COUNTIF(General!$U$13:$U$19,EG$12))),$I69,"")</f>
        <v/>
      </c>
      <c r="EH69" s="390" t="str">
        <f>IF(AND(EH$12&gt;=$E69,EH$12&lt;=$F69,MOD(EH$12,7)&gt;1,NOT(COUNTIF(General!$U$13:$U$19,EH$12))),$I69,"")</f>
        <v/>
      </c>
      <c r="EI69" s="390" t="str">
        <f>IF(AND(EI$12&gt;=$E69,EI$12&lt;=$F69,MOD(EI$12,7)&gt;1,NOT(COUNTIF(General!$U$13:$U$19,EI$12))),$I69,"")</f>
        <v/>
      </c>
      <c r="EJ69" s="390" t="str">
        <f>IF(AND(EJ$12&gt;=$E69,EJ$12&lt;=$F69,MOD(EJ$12,7)&gt;1,NOT(COUNTIF(General!$U$13:$U$19,EJ$12))),$I69,"")</f>
        <v/>
      </c>
      <c r="EK69" s="390" t="str">
        <f>IF(AND(EK$12&gt;=$E69,EK$12&lt;=$F69,MOD(EK$12,7)&gt;1,NOT(COUNTIF(General!$U$13:$U$19,EK$12))),$I69,"")</f>
        <v/>
      </c>
      <c r="EL69" s="390" t="str">
        <f>IF(AND(EL$12&gt;=$E69,EL$12&lt;=$F69,MOD(EL$12,7)&gt;1,NOT(COUNTIF(General!$U$13:$U$19,EL$12))),$I69,"")</f>
        <v/>
      </c>
      <c r="EM69" s="390" t="str">
        <f>IF(AND(EM$12&gt;=$E69,EM$12&lt;=$F69,MOD(EM$12,7)&gt;1,NOT(COUNTIF(General!$U$13:$U$19,EM$12))),$I69,"")</f>
        <v/>
      </c>
      <c r="EN69" s="390" t="str">
        <f>IF(AND(EN$12&gt;=$E69,EN$12&lt;=$F69,MOD(EN$12,7)&gt;1,NOT(COUNTIF(General!$U$13:$U$19,EN$12))),$I69,"")</f>
        <v/>
      </c>
      <c r="EO69" s="390" t="str">
        <f>IF(AND(EO$12&gt;=$E69,EO$12&lt;=$F69,MOD(EO$12,7)&gt;1,NOT(COUNTIF(General!$U$13:$U$19,EO$12))),$I69,"")</f>
        <v/>
      </c>
      <c r="EP69" s="390" t="str">
        <f>IF(AND(EP$12&gt;=$E69,EP$12&lt;=$F69,MOD(EP$12,7)&gt;1,NOT(COUNTIF(General!$U$13:$U$19,EP$12))),$I69,"")</f>
        <v/>
      </c>
      <c r="EQ69" s="390" t="str">
        <f>IF(AND(EQ$12&gt;=$E69,EQ$12&lt;=$F69,MOD(EQ$12,7)&gt;1,NOT(COUNTIF(General!$U$13:$U$19,EQ$12))),$I69,"")</f>
        <v/>
      </c>
      <c r="ER69" s="390" t="str">
        <f>IF(AND(ER$12&gt;=$E69,ER$12&lt;=$F69,MOD(ER$12,7)&gt;1,NOT(COUNTIF(General!$U$13:$U$19,ER$12))),$I69,"")</f>
        <v/>
      </c>
      <c r="ES69" s="390" t="str">
        <f>IF(AND(ES$12&gt;=$E69,ES$12&lt;=$F69,MOD(ES$12,7)&gt;1,NOT(COUNTIF(General!$U$13:$U$19,ES$12))),$I69,"")</f>
        <v/>
      </c>
      <c r="ET69" s="390" t="str">
        <f>IF(AND(ET$12&gt;=$E69,ET$12&lt;=$F69,MOD(ET$12,7)&gt;1,NOT(COUNTIF(General!$U$13:$U$19,ET$12))),$I69,"")</f>
        <v/>
      </c>
      <c r="EU69" s="390" t="str">
        <f>IF(AND(EU$12&gt;=$E69,EU$12&lt;=$F69,MOD(EU$12,7)&gt;1,NOT(COUNTIF(General!$U$13:$U$19,EU$12))),$I69,"")</f>
        <v/>
      </c>
      <c r="EV69" s="390" t="str">
        <f>IF(AND(EV$12&gt;=$E69,EV$12&lt;=$F69,MOD(EV$12,7)&gt;1,NOT(COUNTIF(General!$U$13:$U$19,EV$12))),$I69,"")</f>
        <v/>
      </c>
      <c r="EW69" s="390" t="str">
        <f>IF(AND(EW$12&gt;=$E69,EW$12&lt;=$F69,MOD(EW$12,7)&gt;1,NOT(COUNTIF(General!$U$13:$U$19,EW$12))),$I69,"")</f>
        <v/>
      </c>
      <c r="EX69" s="390" t="str">
        <f>IF(AND(EX$12&gt;=$E69,EX$12&lt;=$F69,MOD(EX$12,7)&gt;1,NOT(COUNTIF(General!$U$13:$U$19,EX$12))),$I69,"")</f>
        <v/>
      </c>
      <c r="EY69" s="390" t="str">
        <f>IF(AND(EY$12&gt;=$E69,EY$12&lt;=$F69,MOD(EY$12,7)&gt;1,NOT(COUNTIF(General!$U$13:$U$19,EY$12))),$I69,"")</f>
        <v/>
      </c>
      <c r="EZ69" s="390" t="str">
        <f>IF(AND(EZ$12&gt;=$E69,EZ$12&lt;=$F69,MOD(EZ$12,7)&gt;1,NOT(COUNTIF(General!$U$13:$U$19,EZ$12))),$I69,"")</f>
        <v/>
      </c>
      <c r="FA69" s="390" t="str">
        <f>IF(AND(FA$12&gt;=$E69,FA$12&lt;=$F69,MOD(FA$12,7)&gt;1,NOT(COUNTIF(General!$U$13:$U$19,FA$12))),$I69,"")</f>
        <v/>
      </c>
      <c r="FB69" s="390" t="str">
        <f>IF(AND(FB$12&gt;=$E69,FB$12&lt;=$F69,MOD(FB$12,7)&gt;1,NOT(COUNTIF(General!$U$13:$U$19,FB$12))),$I69,"")</f>
        <v/>
      </c>
      <c r="FC69" s="390" t="str">
        <f>IF(AND(FC$12&gt;=$E69,FC$12&lt;=$F69,MOD(FC$12,7)&gt;1,NOT(COUNTIF(General!$U$13:$U$19,FC$12))),$I69,"")</f>
        <v/>
      </c>
      <c r="FD69" s="390" t="str">
        <f>IF(AND(FD$12&gt;=$E69,FD$12&lt;=$F69,MOD(FD$12,7)&gt;1,NOT(COUNTIF(General!$U$13:$U$19,FD$12))),$I69,"")</f>
        <v/>
      </c>
      <c r="FE69" s="390" t="str">
        <f>IF(AND(FE$12&gt;=$E69,FE$12&lt;=$F69,MOD(FE$12,7)&gt;1,NOT(COUNTIF(General!$U$13:$U$19,FE$12))),$I69,"")</f>
        <v/>
      </c>
      <c r="FF69" s="390" t="str">
        <f>IF(AND(FF$12&gt;=$E69,FF$12&lt;=$F69,MOD(FF$12,7)&gt;1,NOT(COUNTIF(General!$U$13:$U$19,FF$12))),$I69,"")</f>
        <v/>
      </c>
      <c r="FG69" s="390" t="str">
        <f>IF(AND(FG$12&gt;=$E69,FG$12&lt;=$F69,MOD(FG$12,7)&gt;1,NOT(COUNTIF(General!$U$13:$U$19,FG$12))),$I69,"")</f>
        <v/>
      </c>
      <c r="FH69" s="390" t="str">
        <f>IF(AND(FH$12&gt;=$E69,FH$12&lt;=$F69,MOD(FH$12,7)&gt;1,NOT(COUNTIF(General!$U$13:$U$19,FH$12))),$I69,"")</f>
        <v/>
      </c>
      <c r="FI69" s="390" t="str">
        <f>IF(AND(FI$12&gt;=$E69,FI$12&lt;=$F69,MOD(FI$12,7)&gt;1,NOT(COUNTIF(General!$U$13:$U$19,FI$12))),$I69,"")</f>
        <v/>
      </c>
      <c r="FJ69" s="390" t="str">
        <f>IF(AND(FJ$12&gt;=$E69,FJ$12&lt;=$F69,MOD(FJ$12,7)&gt;1,NOT(COUNTIF(General!$U$13:$U$19,FJ$12))),$I69,"")</f>
        <v/>
      </c>
      <c r="FK69" s="390" t="str">
        <f>IF(AND(FK$12&gt;=$E69,FK$12&lt;=$F69,MOD(FK$12,7)&gt;1,NOT(COUNTIF(General!$U$13:$U$19,FK$12))),$I69,"")</f>
        <v/>
      </c>
      <c r="FL69" s="390" t="str">
        <f>IF(AND(FL$12&gt;=$E69,FL$12&lt;=$F69,MOD(FL$12,7)&gt;1,NOT(COUNTIF(General!$U$13:$U$19,FL$12))),$I69,"")</f>
        <v/>
      </c>
      <c r="FM69" s="390" t="str">
        <f>IF(AND(FM$12&gt;=$E69,FM$12&lt;=$F69,MOD(FM$12,7)&gt;1,NOT(COUNTIF(General!$U$13:$U$19,FM$12))),$I69,"")</f>
        <v/>
      </c>
      <c r="FN69" s="390" t="str">
        <f>IF(AND(FN$12&gt;=$E69,FN$12&lt;=$F69,MOD(FN$12,7)&gt;1,NOT(COUNTIF(General!$U$13:$U$19,FN$12))),$I69,"")</f>
        <v/>
      </c>
      <c r="FO69" s="390" t="str">
        <f>IF(AND(FO$12&gt;=$E69,FO$12&lt;=$F69,MOD(FO$12,7)&gt;1,NOT(COUNTIF(General!$U$13:$U$19,FO$12))),$I69,"")</f>
        <v/>
      </c>
      <c r="FP69" s="390" t="str">
        <f>IF(AND(FP$12&gt;=$E69,FP$12&lt;=$F69,MOD(FP$12,7)&gt;1,NOT(COUNTIF(General!$U$13:$U$19,FP$12))),$I69,"")</f>
        <v/>
      </c>
      <c r="FQ69" s="390" t="str">
        <f>IF(AND(FQ$12&gt;=$E69,FQ$12&lt;=$F69,MOD(FQ$12,7)&gt;1,NOT(COUNTIF(General!$U$13:$U$19,FQ$12))),$I69,"")</f>
        <v/>
      </c>
      <c r="FR69" s="390" t="str">
        <f>IF(AND(FR$12&gt;=$E69,FR$12&lt;=$F69,MOD(FR$12,7)&gt;1,NOT(COUNTIF(General!$U$13:$U$19,FR$12))),$I69,"")</f>
        <v/>
      </c>
      <c r="FS69" s="390" t="str">
        <f>IF(AND(FS$12&gt;=$E69,FS$12&lt;=$F69,MOD(FS$12,7)&gt;1,NOT(COUNTIF(General!$U$13:$U$19,FS$12))),$I69,"")</f>
        <v/>
      </c>
      <c r="FT69" s="390" t="str">
        <f>IF(AND(FT$12&gt;=$E69,FT$12&lt;=$F69,MOD(FT$12,7)&gt;1,NOT(COUNTIF(General!$U$13:$U$19,FT$12))),$I69,"")</f>
        <v/>
      </c>
      <c r="FU69" s="390" t="str">
        <f>IF(AND(FU$12&gt;=$E69,FU$12&lt;=$F69,MOD(FU$12,7)&gt;1,NOT(COUNTIF(General!$U$13:$U$19,FU$12))),$I69,"")</f>
        <v/>
      </c>
      <c r="FV69" s="390" t="str">
        <f>IF(AND(FV$12&gt;=$E69,FV$12&lt;=$F69,MOD(FV$12,7)&gt;1,NOT(COUNTIF(General!$U$13:$U$19,FV$12))),$I69,"")</f>
        <v/>
      </c>
      <c r="FW69" s="390" t="str">
        <f>IF(AND(FW$12&gt;=$E69,FW$12&lt;=$F69,MOD(FW$12,7)&gt;1,NOT(COUNTIF(General!$U$13:$U$19,FW$12))),$I69,"")</f>
        <v/>
      </c>
      <c r="FX69" s="390" t="str">
        <f>IF(AND(FX$12&gt;=$E69,FX$12&lt;=$F69,MOD(FX$12,7)&gt;1,NOT(COUNTIF(General!$U$13:$U$19,FX$12))),$I69,"")</f>
        <v/>
      </c>
    </row>
    <row r="70" ht="16.5" customHeight="1">
      <c r="A70" s="613"/>
      <c r="B70" s="615"/>
      <c r="C70" s="370"/>
      <c r="D70" s="619" t="s">
        <v>592</v>
      </c>
      <c r="E70" s="635"/>
      <c r="F70" s="374"/>
      <c r="G70" s="636"/>
      <c r="H70" s="377"/>
      <c r="I70" s="379">
        <v>1.0</v>
      </c>
      <c r="J70" s="377"/>
      <c r="K70" s="381"/>
      <c r="L70" s="382"/>
      <c r="M70" s="383"/>
      <c r="N70" s="384"/>
      <c r="O70" s="386"/>
      <c r="P70" s="388"/>
      <c r="Q70" s="390" t="str">
        <f>IF(AND(Q$12&gt;=$E70,Q$12&lt;=$F70,MOD(Q$12,7)&gt;1,NOT(COUNTIF(General!$U$13:$U$19,Q$12))),$I70,"")</f>
        <v/>
      </c>
      <c r="R70" s="390" t="str">
        <f>IF(AND(R$12&gt;=$E70,R$12&lt;=$F70,MOD(R$12,7)&gt;1,NOT(COUNTIF(General!$U$13:$U$19,R$12))),$I70,"")</f>
        <v/>
      </c>
      <c r="S70" s="390" t="str">
        <f>IF(AND(S$12&gt;=$E70,S$12&lt;=$F70,MOD(S$12,7)&gt;1,NOT(COUNTIF(General!$U$13:$U$19,S$12))),$I70,"")</f>
        <v/>
      </c>
      <c r="T70" s="390" t="str">
        <f>IF(AND(T$12&gt;=$E70,T$12&lt;=$F70,MOD(T$12,7)&gt;1,NOT(COUNTIF(General!$U$13:$U$19,T$12))),$I70,"")</f>
        <v/>
      </c>
      <c r="U70" s="390" t="str">
        <f>IF(AND(U$12&gt;=$E70,U$12&lt;=$F70,MOD(U$12,7)&gt;1,NOT(COUNTIF(General!$U$13:$U$19,U$12))),$I70,"")</f>
        <v/>
      </c>
      <c r="V70" s="390" t="str">
        <f>IF(AND(V$12&gt;=$E70,V$12&lt;=$F70,MOD(V$12,7)&gt;1,NOT(COUNTIF(General!$U$13:$U$19,V$12))),$I70,"")</f>
        <v/>
      </c>
      <c r="W70" s="390" t="str">
        <f>IF(AND(W$12&gt;=$E70,W$12&lt;=$F70,MOD(W$12,7)&gt;1,NOT(COUNTIF(General!$U$13:$U$19,W$12))),$I70,"")</f>
        <v/>
      </c>
      <c r="X70" s="390" t="str">
        <f>IF(AND(X$12&gt;=$E70,X$12&lt;=$F70,MOD(X$12,7)&gt;1,NOT(COUNTIF(General!$U$13:$U$19,X$12))),$I70,"")</f>
        <v/>
      </c>
      <c r="Y70" s="390" t="str">
        <f>IF(AND(Y$12&gt;=$E70,Y$12&lt;=$F70,MOD(Y$12,7)&gt;1,NOT(COUNTIF(General!$U$13:$U$19,Y$12))),$I70,"")</f>
        <v/>
      </c>
      <c r="Z70" s="390" t="str">
        <f>IF(AND(Z$12&gt;=$E70,Z$12&lt;=$F70,MOD(Z$12,7)&gt;1,NOT(COUNTIF(General!$U$13:$U$19,Z$12))),$I70,"")</f>
        <v/>
      </c>
      <c r="AA70" s="390" t="str">
        <f>IF(AND(AA$12&gt;=$E70,AA$12&lt;=$F70,MOD(AA$12,7)&gt;1,NOT(COUNTIF(General!$U$13:$U$19,AA$12))),$I70,"")</f>
        <v/>
      </c>
      <c r="AB70" s="390" t="str">
        <f>IF(AND(AB$12&gt;=$E70,AB$12&lt;=$F70,MOD(AB$12,7)&gt;1,NOT(COUNTIF(General!$U$13:$U$19,AB$12))),$I70,"")</f>
        <v/>
      </c>
      <c r="AC70" s="390" t="str">
        <f>IF(AND(AC$12&gt;=$E70,AC$12&lt;=$F70,MOD(AC$12,7)&gt;1,NOT(COUNTIF(General!$U$13:$U$19,AC$12))),$I70,"")</f>
        <v/>
      </c>
      <c r="AD70" s="390" t="str">
        <f>IF(AND(AD$12&gt;=$E70,AD$12&lt;=$F70,MOD(AD$12,7)&gt;1,NOT(COUNTIF(General!$U$13:$U$19,AD$12))),$I70,"")</f>
        <v/>
      </c>
      <c r="AE70" s="390" t="str">
        <f>IF(AND(AE$12&gt;=$E70,AE$12&lt;=$F70,MOD(AE$12,7)&gt;1,NOT(COUNTIF(General!$U$13:$U$19,AE$12))),$I70,"")</f>
        <v/>
      </c>
      <c r="AF70" s="390" t="str">
        <f>IF(AND(AF$12&gt;=$E70,AF$12&lt;=$F70,MOD(AF$12,7)&gt;1,NOT(COUNTIF(General!$U$13:$U$19,AF$12))),$I70,"")</f>
        <v/>
      </c>
      <c r="AG70" s="390" t="str">
        <f>IF(AND(AG$12&gt;=$E70,AG$12&lt;=$F70,MOD(AG$12,7)&gt;1,NOT(COUNTIF(General!$U$13:$U$19,AG$12))),$I70,"")</f>
        <v/>
      </c>
      <c r="AH70" s="390" t="str">
        <f>IF(AND(AH$12&gt;=$E70,AH$12&lt;=$F70,MOD(AH$12,7)&gt;1,NOT(COUNTIF(General!$U$13:$U$19,AH$12))),$I70,"")</f>
        <v/>
      </c>
      <c r="AI70" s="390" t="str">
        <f>IF(AND(AI$12&gt;=$E70,AI$12&lt;=$F70,MOD(AI$12,7)&gt;1,NOT(COUNTIF(General!$U$13:$U$19,AI$12))),$I70,"")</f>
        <v/>
      </c>
      <c r="AJ70" s="390" t="str">
        <f>IF(AND(AJ$12&gt;=$E70,AJ$12&lt;=$F70,MOD(AJ$12,7)&gt;1,NOT(COUNTIF(General!$U$13:$U$19,AJ$12))),$I70,"")</f>
        <v/>
      </c>
      <c r="AK70" s="390" t="str">
        <f>IF(AND(AK$12&gt;=$E70,AK$12&lt;=$F70,MOD(AK$12,7)&gt;1,NOT(COUNTIF(General!$U$13:$U$19,AK$12))),$I70,"")</f>
        <v/>
      </c>
      <c r="AL70" s="390" t="str">
        <f>IF(AND(AL$12&gt;=$E70,AL$12&lt;=$F70,MOD(AL$12,7)&gt;1,NOT(COUNTIF(General!$U$13:$U$19,AL$12))),$I70,"")</f>
        <v/>
      </c>
      <c r="AM70" s="390" t="str">
        <f>IF(AND(AM$12&gt;=$E70,AM$12&lt;=$F70,MOD(AM$12,7)&gt;1,NOT(COUNTIF(General!$U$13:$U$19,AM$12))),$I70,"")</f>
        <v/>
      </c>
      <c r="AN70" s="390" t="str">
        <f>IF(AND(AN$12&gt;=$E70,AN$12&lt;=$F70,MOD(AN$12,7)&gt;1,NOT(COUNTIF(General!$U$13:$U$19,AN$12))),$I70,"")</f>
        <v/>
      </c>
      <c r="AO70" s="390" t="str">
        <f>IF(AND(AO$12&gt;=$E70,AO$12&lt;=$F70,MOD(AO$12,7)&gt;1,NOT(COUNTIF(General!$U$13:$U$19,AO$12))),$I70,"")</f>
        <v/>
      </c>
      <c r="AP70" s="390" t="str">
        <f>IF(AND(AP$12&gt;=$E70,AP$12&lt;=$F70,MOD(AP$12,7)&gt;1,NOT(COUNTIF(General!$U$13:$U$19,AP$12))),$I70,"")</f>
        <v/>
      </c>
      <c r="AQ70" s="390" t="str">
        <f>IF(AND(AQ$12&gt;=$E70,AQ$12&lt;=$F70,MOD(AQ$12,7)&gt;1,NOT(COUNTIF(General!$U$13:$U$19,AQ$12))),$I70,"")</f>
        <v/>
      </c>
      <c r="AR70" s="390" t="str">
        <f>IF(AND(AR$12&gt;=$E70,AR$12&lt;=$F70,MOD(AR$12,7)&gt;1,NOT(COUNTIF(General!$U$13:$U$19,AR$12))),$I70,"")</f>
        <v/>
      </c>
      <c r="AS70" s="390" t="str">
        <f>IF(AND(AS$12&gt;=$E70,AS$12&lt;=$F70,MOD(AS$12,7)&gt;1,NOT(COUNTIF(General!$U$13:$U$19,AS$12))),$I70,"")</f>
        <v/>
      </c>
      <c r="AT70" s="390" t="str">
        <f>IF(AND(AT$12&gt;=$E70,AT$12&lt;=$F70,MOD(AT$12,7)&gt;1,NOT(COUNTIF(General!$U$13:$U$19,AT$12))),$I70,"")</f>
        <v/>
      </c>
      <c r="AU70" s="390" t="str">
        <f>IF(AND(AU$12&gt;=$E70,AU$12&lt;=$F70,MOD(AU$12,7)&gt;1,NOT(COUNTIF(General!$U$13:$U$19,AU$12))),$I70,"")</f>
        <v/>
      </c>
      <c r="AV70" s="390" t="str">
        <f>IF(AND(AV$12&gt;=$E70,AV$12&lt;=$F70,MOD(AV$12,7)&gt;1,NOT(COUNTIF(General!$U$13:$U$19,AV$12))),$I70,"")</f>
        <v/>
      </c>
      <c r="AW70" s="390" t="str">
        <f>IF(AND(AW$12&gt;=$E70,AW$12&lt;=$F70,MOD(AW$12,7)&gt;1,NOT(COUNTIF(General!$U$13:$U$19,AW$12))),$I70,"")</f>
        <v/>
      </c>
      <c r="AX70" s="390" t="str">
        <f>IF(AND(AX$12&gt;=$E70,AX$12&lt;=$F70,MOD(AX$12,7)&gt;1,NOT(COUNTIF(General!$U$13:$U$19,AX$12))),$I70,"")</f>
        <v/>
      </c>
      <c r="AY70" s="390" t="str">
        <f>IF(AND(AY$12&gt;=$E70,AY$12&lt;=$F70,MOD(AY$12,7)&gt;1,NOT(COUNTIF(General!$U$13:$U$19,AY$12))),$I70,"")</f>
        <v/>
      </c>
      <c r="AZ70" s="390" t="str">
        <f>IF(AND(AZ$12&gt;=$E70,AZ$12&lt;=$F70,MOD(AZ$12,7)&gt;1,NOT(COUNTIF(General!$U$13:$U$19,AZ$12))),$I70,"")</f>
        <v/>
      </c>
      <c r="BA70" s="390" t="str">
        <f>IF(AND(BA$12&gt;=$E70,BA$12&lt;=$F70,MOD(BA$12,7)&gt;1,NOT(COUNTIF(General!$U$13:$U$19,BA$12))),$I70,"")</f>
        <v/>
      </c>
      <c r="BB70" s="390" t="str">
        <f>IF(AND(BB$12&gt;=$E70,BB$12&lt;=$F70,MOD(BB$12,7)&gt;1,NOT(COUNTIF(General!$U$13:$U$19,BB$12))),$I70,"")</f>
        <v/>
      </c>
      <c r="BC70" s="390" t="str">
        <f>IF(AND(BC$12&gt;=$E70,BC$12&lt;=$F70,MOD(BC$12,7)&gt;1,NOT(COUNTIF(General!$U$13:$U$19,BC$12))),$I70,"")</f>
        <v/>
      </c>
      <c r="BD70" s="390" t="str">
        <f>IF(AND(BD$12&gt;=$E70,BD$12&lt;=$F70,MOD(BD$12,7)&gt;1,NOT(COUNTIF(General!$U$13:$U$19,BD$12))),$I70,"")</f>
        <v/>
      </c>
      <c r="BE70" s="390" t="str">
        <f>IF(AND(BE$12&gt;=$E70,BE$12&lt;=$F70,MOD(BE$12,7)&gt;1,NOT(COUNTIF(General!$U$13:$U$19,BE$12))),$I70,"")</f>
        <v/>
      </c>
      <c r="BF70" s="390" t="str">
        <f>IF(AND(BF$12&gt;=$E70,BF$12&lt;=$F70,MOD(BF$12,7)&gt;1,NOT(COUNTIF(General!$U$13:$U$19,BF$12))),$I70,"")</f>
        <v/>
      </c>
      <c r="BG70" s="390" t="str">
        <f>IF(AND(BG$12&gt;=$E70,BG$12&lt;=$F70,MOD(BG$12,7)&gt;1,NOT(COUNTIF(General!$U$13:$U$19,BG$12))),$I70,"")</f>
        <v/>
      </c>
      <c r="BH70" s="390" t="str">
        <f>IF(AND(BH$12&gt;=$E70,BH$12&lt;=$F70,MOD(BH$12,7)&gt;1,NOT(COUNTIF(General!$U$13:$U$19,BH$12))),$I70,"")</f>
        <v/>
      </c>
      <c r="BI70" s="390" t="str">
        <f>IF(AND(BI$12&gt;=$E70,BI$12&lt;=$F70,MOD(BI$12,7)&gt;1,NOT(COUNTIF(General!$U$13:$U$19,BI$12))),$I70,"")</f>
        <v/>
      </c>
      <c r="BJ70" s="390" t="str">
        <f>IF(AND(BJ$12&gt;=$E70,BJ$12&lt;=$F70,MOD(BJ$12,7)&gt;1,NOT(COUNTIF(General!$U$13:$U$19,BJ$12))),$I70,"")</f>
        <v/>
      </c>
      <c r="BK70" s="390" t="str">
        <f>IF(AND(BK$12&gt;=$E70,BK$12&lt;=$F70,MOD(BK$12,7)&gt;1,NOT(COUNTIF(General!$U$13:$U$19,BK$12))),$I70,"")</f>
        <v/>
      </c>
      <c r="BL70" s="390" t="str">
        <f>IF(AND(BL$12&gt;=$E70,BL$12&lt;=$F70,MOD(BL$12,7)&gt;1,NOT(COUNTIF(General!$U$13:$U$19,BL$12))),$I70,"")</f>
        <v/>
      </c>
      <c r="BM70" s="390" t="str">
        <f>IF(AND(BM$12&gt;=$E70,BM$12&lt;=$F70,MOD(BM$12,7)&gt;1,NOT(COUNTIF(General!$U$13:$U$19,BM$12))),$I70,"")</f>
        <v/>
      </c>
      <c r="BN70" s="390" t="str">
        <f>IF(AND(BN$12&gt;=$E70,BN$12&lt;=$F70,MOD(BN$12,7)&gt;1,NOT(COUNTIF(General!$U$13:$U$19,BN$12))),$I70,"")</f>
        <v/>
      </c>
      <c r="BO70" s="390" t="str">
        <f>IF(AND(BO$12&gt;=$E70,BO$12&lt;=$F70,MOD(BO$12,7)&gt;1,NOT(COUNTIF(General!$U$13:$U$19,BO$12))),$I70,"")</f>
        <v/>
      </c>
      <c r="BP70" s="390" t="str">
        <f>IF(AND(BP$12&gt;=$E70,BP$12&lt;=$F70,MOD(BP$12,7)&gt;1,NOT(COUNTIF(General!$U$13:$U$19,BP$12))),$I70,"")</f>
        <v/>
      </c>
      <c r="BQ70" s="390" t="str">
        <f>IF(AND(BQ$12&gt;=$E70,BQ$12&lt;=$F70,MOD(BQ$12,7)&gt;1,NOT(COUNTIF(General!$U$13:$U$19,BQ$12))),$I70,"")</f>
        <v/>
      </c>
      <c r="BR70" s="390" t="str">
        <f>IF(AND(BR$12&gt;=$E70,BR$12&lt;=$F70,MOD(BR$12,7)&gt;1,NOT(COUNTIF(General!$U$13:$U$19,BR$12))),$I70,"")</f>
        <v/>
      </c>
      <c r="BS70" s="390" t="str">
        <f>IF(AND(BS$12&gt;=$E70,BS$12&lt;=$F70,MOD(BS$12,7)&gt;1,NOT(COUNTIF(General!$U$13:$U$19,BS$12))),$I70,"")</f>
        <v/>
      </c>
      <c r="BT70" s="390" t="str">
        <f>IF(AND(BT$12&gt;=$E70,BT$12&lt;=$F70,MOD(BT$12,7)&gt;1,NOT(COUNTIF(General!$U$13:$U$19,BT$12))),$I70,"")</f>
        <v/>
      </c>
      <c r="BU70" s="390" t="str">
        <f>IF(AND(BU$12&gt;=$E70,BU$12&lt;=$F70,MOD(BU$12,7)&gt;1,NOT(COUNTIF(General!$U$13:$U$19,BU$12))),$I70,"")</f>
        <v/>
      </c>
      <c r="BV70" s="390" t="str">
        <f>IF(AND(BV$12&gt;=$E70,BV$12&lt;=$F70,MOD(BV$12,7)&gt;1,NOT(COUNTIF(General!$U$13:$U$19,BV$12))),$I70,"")</f>
        <v/>
      </c>
      <c r="BW70" s="390" t="str">
        <f>IF(AND(BW$12&gt;=$E70,BW$12&lt;=$F70,MOD(BW$12,7)&gt;1,NOT(COUNTIF(General!$U$13:$U$19,BW$12))),$I70,"")</f>
        <v/>
      </c>
      <c r="BX70" s="390" t="str">
        <f>IF(AND(BX$12&gt;=$E70,BX$12&lt;=$F70,MOD(BX$12,7)&gt;1,NOT(COUNTIF(General!$U$13:$U$19,BX$12))),$I70,"")</f>
        <v/>
      </c>
      <c r="BY70" s="390" t="str">
        <f>IF(AND(BY$12&gt;=$E70,BY$12&lt;=$F70,MOD(BY$12,7)&gt;1,NOT(COUNTIF(General!$U$13:$U$19,BY$12))),$I70,"")</f>
        <v/>
      </c>
      <c r="BZ70" s="390" t="str">
        <f>IF(AND(BZ$12&gt;=$E70,BZ$12&lt;=$F70,MOD(BZ$12,7)&gt;1,NOT(COUNTIF(General!$U$13:$U$19,BZ$12))),$I70,"")</f>
        <v/>
      </c>
      <c r="CA70" s="390" t="str">
        <f>IF(AND(CA$12&gt;=$E70,CA$12&lt;=$F70,MOD(CA$12,7)&gt;1,NOT(COUNTIF(General!$U$13:$U$19,CA$12))),$I70,"")</f>
        <v/>
      </c>
      <c r="CB70" s="390" t="str">
        <f>IF(AND(CB$12&gt;=$E70,CB$12&lt;=$F70,MOD(CB$12,7)&gt;1,NOT(COUNTIF(General!$U$13:$U$19,CB$12))),$I70,"")</f>
        <v/>
      </c>
      <c r="CC70" s="390" t="str">
        <f>IF(AND(CC$12&gt;=$E70,CC$12&lt;=$F70,MOD(CC$12,7)&gt;1,NOT(COUNTIF(General!$U$13:$U$19,CC$12))),$I70,"")</f>
        <v/>
      </c>
      <c r="CD70" s="390" t="str">
        <f>IF(AND(CD$12&gt;=$E70,CD$12&lt;=$F70,MOD(CD$12,7)&gt;1,NOT(COUNTIF(General!$U$13:$U$19,CD$12))),$I70,"")</f>
        <v/>
      </c>
      <c r="CE70" s="390" t="str">
        <f>IF(AND(CE$12&gt;=$E70,CE$12&lt;=$F70,MOD(CE$12,7)&gt;1,NOT(COUNTIF(General!$U$13:$U$19,CE$12))),$I70,"")</f>
        <v/>
      </c>
      <c r="CF70" s="390" t="str">
        <f>IF(AND(CF$12&gt;=$E70,CF$12&lt;=$F70,MOD(CF$12,7)&gt;1,NOT(COUNTIF(General!$U$13:$U$19,CF$12))),$I70,"")</f>
        <v/>
      </c>
      <c r="CG70" s="390" t="str">
        <f>IF(AND(CG$12&gt;=$E70,CG$12&lt;=$F70,MOD(CG$12,7)&gt;1,NOT(COUNTIF(General!$U$13:$U$19,CG$12))),$I70,"")</f>
        <v/>
      </c>
      <c r="CH70" s="390" t="str">
        <f>IF(AND(CH$12&gt;=$E70,CH$12&lt;=$F70,MOD(CH$12,7)&gt;1,NOT(COUNTIF(General!$U$13:$U$19,CH$12))),$I70,"")</f>
        <v/>
      </c>
      <c r="CI70" s="390" t="str">
        <f>IF(AND(CI$12&gt;=$E70,CI$12&lt;=$F70,MOD(CI$12,7)&gt;1,NOT(COUNTIF(General!$U$13:$U$19,CI$12))),$I70,"")</f>
        <v/>
      </c>
      <c r="CJ70" s="390" t="str">
        <f>IF(AND(CJ$12&gt;=$E70,CJ$12&lt;=$F70,MOD(CJ$12,7)&gt;1,NOT(COUNTIF(General!$U$13:$U$19,CJ$12))),$I70,"")</f>
        <v/>
      </c>
      <c r="CK70" s="390" t="str">
        <f>IF(AND(CK$12&gt;=$E70,CK$12&lt;=$F70,MOD(CK$12,7)&gt;1,NOT(COUNTIF(General!$U$13:$U$19,CK$12))),$I70,"")</f>
        <v/>
      </c>
      <c r="CL70" s="390" t="str">
        <f>IF(AND(CL$12&gt;=$E70,CL$12&lt;=$F70,MOD(CL$12,7)&gt;1,NOT(COUNTIF(General!$U$13:$U$19,CL$12))),$I70,"")</f>
        <v/>
      </c>
      <c r="CM70" s="390" t="str">
        <f>IF(AND(CM$12&gt;=$E70,CM$12&lt;=$F70,MOD(CM$12,7)&gt;1,NOT(COUNTIF(General!$U$13:$U$19,CM$12))),$I70,"")</f>
        <v/>
      </c>
      <c r="CN70" s="390" t="str">
        <f>IF(AND(CN$12&gt;=$E70,CN$12&lt;=$F70,MOD(CN$12,7)&gt;1,NOT(COUNTIF(General!$U$13:$U$19,CN$12))),$I70,"")</f>
        <v/>
      </c>
      <c r="CO70" s="390" t="str">
        <f>IF(AND(CO$12&gt;=$E70,CO$12&lt;=$F70,MOD(CO$12,7)&gt;1,NOT(COUNTIF(General!$U$13:$U$19,CO$12))),$I70,"")</f>
        <v/>
      </c>
      <c r="CP70" s="390" t="str">
        <f>IF(AND(CP$12&gt;=$E70,CP$12&lt;=$F70,MOD(CP$12,7)&gt;1,NOT(COUNTIF(General!$U$13:$U$19,CP$12))),$I70,"")</f>
        <v/>
      </c>
      <c r="CQ70" s="390" t="str">
        <f>IF(AND(CQ$12&gt;=$E70,CQ$12&lt;=$F70,MOD(CQ$12,7)&gt;1,NOT(COUNTIF(General!$U$13:$U$19,CQ$12))),$I70,"")</f>
        <v/>
      </c>
      <c r="CR70" s="390" t="str">
        <f>IF(AND(CR$12&gt;=$E70,CR$12&lt;=$F70,MOD(CR$12,7)&gt;1,NOT(COUNTIF(General!$U$13:$U$19,CR$12))),$I70,"")</f>
        <v/>
      </c>
      <c r="CS70" s="390" t="str">
        <f>IF(AND(CS$12&gt;=$E70,CS$12&lt;=$F70,MOD(CS$12,7)&gt;1,NOT(COUNTIF(General!$U$13:$U$19,CS$12))),$I70,"")</f>
        <v/>
      </c>
      <c r="CT70" s="390" t="str">
        <f>IF(AND(CT$12&gt;=$E70,CT$12&lt;=$F70,MOD(CT$12,7)&gt;1,NOT(COUNTIF(General!$U$13:$U$19,CT$12))),$I70,"")</f>
        <v/>
      </c>
      <c r="CU70" s="390" t="str">
        <f>IF(AND(CU$12&gt;=$E70,CU$12&lt;=$F70,MOD(CU$12,7)&gt;1,NOT(COUNTIF(General!$U$13:$U$19,CU$12))),$I70,"")</f>
        <v/>
      </c>
      <c r="CV70" s="390" t="str">
        <f>IF(AND(CV$12&gt;=$E70,CV$12&lt;=$F70,MOD(CV$12,7)&gt;1,NOT(COUNTIF(General!$U$13:$U$19,CV$12))),$I70,"")</f>
        <v/>
      </c>
      <c r="CW70" s="390" t="str">
        <f>IF(AND(CW$12&gt;=$E70,CW$12&lt;=$F70,MOD(CW$12,7)&gt;1,NOT(COUNTIF(General!$U$13:$U$19,CW$12))),$I70,"")</f>
        <v/>
      </c>
      <c r="CX70" s="390" t="str">
        <f>IF(AND(CX$12&gt;=$E70,CX$12&lt;=$F70,MOD(CX$12,7)&gt;1,NOT(COUNTIF(General!$U$13:$U$19,CX$12))),$I70,"")</f>
        <v/>
      </c>
      <c r="CY70" s="390" t="str">
        <f>IF(AND(CY$12&gt;=$E70,CY$12&lt;=$F70,MOD(CY$12,7)&gt;1,NOT(COUNTIF(General!$U$13:$U$19,CY$12))),$I70,"")</f>
        <v/>
      </c>
      <c r="CZ70" s="390" t="str">
        <f>IF(AND(CZ$12&gt;=$E70,CZ$12&lt;=$F70,MOD(CZ$12,7)&gt;1,NOT(COUNTIF(General!$U$13:$U$19,CZ$12))),$I70,"")</f>
        <v/>
      </c>
      <c r="DA70" s="390" t="str">
        <f>IF(AND(DA$12&gt;=$E70,DA$12&lt;=$F70,MOD(DA$12,7)&gt;1,NOT(COUNTIF(General!$U$13:$U$19,DA$12))),$I70,"")</f>
        <v/>
      </c>
      <c r="DB70" s="390" t="str">
        <f>IF(AND(DB$12&gt;=$E70,DB$12&lt;=$F70,MOD(DB$12,7)&gt;1,NOT(COUNTIF(General!$U$13:$U$19,DB$12))),$I70,"")</f>
        <v/>
      </c>
      <c r="DC70" s="390" t="str">
        <f>IF(AND(DC$12&gt;=$E70,DC$12&lt;=$F70,MOD(DC$12,7)&gt;1,NOT(COUNTIF(General!$U$13:$U$19,DC$12))),$I70,"")</f>
        <v/>
      </c>
      <c r="DD70" s="390" t="str">
        <f>IF(AND(DD$12&gt;=$E70,DD$12&lt;=$F70,MOD(DD$12,7)&gt;1,NOT(COUNTIF(General!$U$13:$U$19,DD$12))),$I70,"")</f>
        <v/>
      </c>
      <c r="DE70" s="390" t="str">
        <f>IF(AND(DE$12&gt;=$E70,DE$12&lt;=$F70,MOD(DE$12,7)&gt;1,NOT(COUNTIF(General!$U$13:$U$19,DE$12))),$I70,"")</f>
        <v/>
      </c>
      <c r="DF70" s="390" t="str">
        <f>IF(AND(DF$12&gt;=$E70,DF$12&lt;=$F70,MOD(DF$12,7)&gt;1,NOT(COUNTIF(General!$U$13:$U$19,DF$12))),$I70,"")</f>
        <v/>
      </c>
      <c r="DG70" s="390" t="str">
        <f>IF(AND(DG$12&gt;=$E70,DG$12&lt;=$F70,MOD(DG$12,7)&gt;1,NOT(COUNTIF(General!$U$13:$U$19,DG$12))),$I70,"")</f>
        <v/>
      </c>
      <c r="DH70" s="390" t="str">
        <f>IF(AND(DH$12&gt;=$E70,DH$12&lt;=$F70,MOD(DH$12,7)&gt;1,NOT(COUNTIF(General!$U$13:$U$19,DH$12))),$I70,"")</f>
        <v/>
      </c>
      <c r="DI70" s="390" t="str">
        <f>IF(AND(DI$12&gt;=$E70,DI$12&lt;=$F70,MOD(DI$12,7)&gt;1,NOT(COUNTIF(General!$U$13:$U$19,DI$12))),$I70,"")</f>
        <v/>
      </c>
      <c r="DJ70" s="390" t="str">
        <f>IF(AND(DJ$12&gt;=$E70,DJ$12&lt;=$F70,MOD(DJ$12,7)&gt;1,NOT(COUNTIF(General!$U$13:$U$19,DJ$12))),$I70,"")</f>
        <v/>
      </c>
      <c r="DK70" s="390" t="str">
        <f>IF(AND(DK$12&gt;=$E70,DK$12&lt;=$F70,MOD(DK$12,7)&gt;1,NOT(COUNTIF(General!$U$13:$U$19,DK$12))),$I70,"")</f>
        <v/>
      </c>
      <c r="DL70" s="390" t="str">
        <f>IF(AND(DL$12&gt;=$E70,DL$12&lt;=$F70,MOD(DL$12,7)&gt;1,NOT(COUNTIF(General!$U$13:$U$19,DL$12))),$I70,"")</f>
        <v/>
      </c>
      <c r="DM70" s="390" t="str">
        <f>IF(AND(DM$12&gt;=$E70,DM$12&lt;=$F70,MOD(DM$12,7)&gt;1,NOT(COUNTIF(General!$U$13:$U$19,DM$12))),$I70,"")</f>
        <v/>
      </c>
      <c r="DN70" s="390" t="str">
        <f>IF(AND(DN$12&gt;=$E70,DN$12&lt;=$F70,MOD(DN$12,7)&gt;1,NOT(COUNTIF(General!$U$13:$U$19,DN$12))),$I70,"")</f>
        <v/>
      </c>
      <c r="DO70" s="390" t="str">
        <f>IF(AND(DO$12&gt;=$E70,DO$12&lt;=$F70,MOD(DO$12,7)&gt;1,NOT(COUNTIF(General!$U$13:$U$19,DO$12))),$I70,"")</f>
        <v/>
      </c>
      <c r="DP70" s="390" t="str">
        <f>IF(AND(DP$12&gt;=$E70,DP$12&lt;=$F70,MOD(DP$12,7)&gt;1,NOT(COUNTIF(General!$U$13:$U$19,DP$12))),$I70,"")</f>
        <v/>
      </c>
      <c r="DQ70" s="390" t="str">
        <f>IF(AND(DQ$12&gt;=$E70,DQ$12&lt;=$F70,MOD(DQ$12,7)&gt;1,NOT(COUNTIF(General!$U$13:$U$19,DQ$12))),$I70,"")</f>
        <v/>
      </c>
      <c r="DR70" s="390" t="str">
        <f>IF(AND(DR$12&gt;=$E70,DR$12&lt;=$F70,MOD(DR$12,7)&gt;1,NOT(COUNTIF(General!$U$13:$U$19,DR$12))),$I70,"")</f>
        <v/>
      </c>
      <c r="DS70" s="390" t="str">
        <f>IF(AND(DS$12&gt;=$E70,DS$12&lt;=$F70,MOD(DS$12,7)&gt;1,NOT(COUNTIF(General!$U$13:$U$19,DS$12))),$I70,"")</f>
        <v/>
      </c>
      <c r="DT70" s="390" t="str">
        <f>IF(AND(DT$12&gt;=$E70,DT$12&lt;=$F70,MOD(DT$12,7)&gt;1,NOT(COUNTIF(General!$U$13:$U$19,DT$12))),$I70,"")</f>
        <v/>
      </c>
      <c r="DU70" s="390" t="str">
        <f>IF(AND(DU$12&gt;=$E70,DU$12&lt;=$F70,MOD(DU$12,7)&gt;1,NOT(COUNTIF(General!$U$13:$U$19,DU$12))),$I70,"")</f>
        <v/>
      </c>
      <c r="DV70" s="390" t="str">
        <f>IF(AND(DV$12&gt;=$E70,DV$12&lt;=$F70,MOD(DV$12,7)&gt;1,NOT(COUNTIF(General!$U$13:$U$19,DV$12))),$I70,"")</f>
        <v/>
      </c>
      <c r="DW70" s="390" t="str">
        <f>IF(AND(DW$12&gt;=$E70,DW$12&lt;=$F70,MOD(DW$12,7)&gt;1,NOT(COUNTIF(General!$U$13:$U$19,DW$12))),$I70,"")</f>
        <v/>
      </c>
      <c r="DX70" s="390" t="str">
        <f>IF(AND(DX$12&gt;=$E70,DX$12&lt;=$F70,MOD(DX$12,7)&gt;1,NOT(COUNTIF(General!$U$13:$U$19,DX$12))),$I70,"")</f>
        <v/>
      </c>
      <c r="DY70" s="390" t="str">
        <f>IF(AND(DY$12&gt;=$E70,DY$12&lt;=$F70,MOD(DY$12,7)&gt;1,NOT(COUNTIF(General!$U$13:$U$19,DY$12))),$I70,"")</f>
        <v/>
      </c>
      <c r="DZ70" s="390" t="str">
        <f>IF(AND(DZ$12&gt;=$E70,DZ$12&lt;=$F70,MOD(DZ$12,7)&gt;1,NOT(COUNTIF(General!$U$13:$U$19,DZ$12))),$I70,"")</f>
        <v/>
      </c>
      <c r="EA70" s="390" t="str">
        <f>IF(AND(EA$12&gt;=$E70,EA$12&lt;=$F70,MOD(EA$12,7)&gt;1,NOT(COUNTIF(General!$U$13:$U$19,EA$12))),$I70,"")</f>
        <v/>
      </c>
      <c r="EB70" s="390" t="str">
        <f>IF(AND(EB$12&gt;=$E70,EB$12&lt;=$F70,MOD(EB$12,7)&gt;1,NOT(COUNTIF(General!$U$13:$U$19,EB$12))),$I70,"")</f>
        <v/>
      </c>
      <c r="EC70" s="390" t="str">
        <f>IF(AND(EC$12&gt;=$E70,EC$12&lt;=$F70,MOD(EC$12,7)&gt;1,NOT(COUNTIF(General!$U$13:$U$19,EC$12))),$I70,"")</f>
        <v/>
      </c>
      <c r="ED70" s="390" t="str">
        <f>IF(AND(ED$12&gt;=$E70,ED$12&lt;=$F70,MOD(ED$12,7)&gt;1,NOT(COUNTIF(General!$U$13:$U$19,ED$12))),$I70,"")</f>
        <v/>
      </c>
      <c r="EE70" s="390" t="str">
        <f>IF(AND(EE$12&gt;=$E70,EE$12&lt;=$F70,MOD(EE$12,7)&gt;1,NOT(COUNTIF(General!$U$13:$U$19,EE$12))),$I70,"")</f>
        <v/>
      </c>
      <c r="EF70" s="390" t="str">
        <f>IF(AND(EF$12&gt;=$E70,EF$12&lt;=$F70,MOD(EF$12,7)&gt;1,NOT(COUNTIF(General!$U$13:$U$19,EF$12))),$I70,"")</f>
        <v/>
      </c>
      <c r="EG70" s="390" t="str">
        <f>IF(AND(EG$12&gt;=$E70,EG$12&lt;=$F70,MOD(EG$12,7)&gt;1,NOT(COUNTIF(General!$U$13:$U$19,EG$12))),$I70,"")</f>
        <v/>
      </c>
      <c r="EH70" s="390" t="str">
        <f>IF(AND(EH$12&gt;=$E70,EH$12&lt;=$F70,MOD(EH$12,7)&gt;1,NOT(COUNTIF(General!$U$13:$U$19,EH$12))),$I70,"")</f>
        <v/>
      </c>
      <c r="EI70" s="390" t="str">
        <f>IF(AND(EI$12&gt;=$E70,EI$12&lt;=$F70,MOD(EI$12,7)&gt;1,NOT(COUNTIF(General!$U$13:$U$19,EI$12))),$I70,"")</f>
        <v/>
      </c>
      <c r="EJ70" s="390" t="str">
        <f>IF(AND(EJ$12&gt;=$E70,EJ$12&lt;=$F70,MOD(EJ$12,7)&gt;1,NOT(COUNTIF(General!$U$13:$U$19,EJ$12))),$I70,"")</f>
        <v/>
      </c>
      <c r="EK70" s="390" t="str">
        <f>IF(AND(EK$12&gt;=$E70,EK$12&lt;=$F70,MOD(EK$12,7)&gt;1,NOT(COUNTIF(General!$U$13:$U$19,EK$12))),$I70,"")</f>
        <v/>
      </c>
      <c r="EL70" s="390" t="str">
        <f>IF(AND(EL$12&gt;=$E70,EL$12&lt;=$F70,MOD(EL$12,7)&gt;1,NOT(COUNTIF(General!$U$13:$U$19,EL$12))),$I70,"")</f>
        <v/>
      </c>
      <c r="EM70" s="390" t="str">
        <f>IF(AND(EM$12&gt;=$E70,EM$12&lt;=$F70,MOD(EM$12,7)&gt;1,NOT(COUNTIF(General!$U$13:$U$19,EM$12))),$I70,"")</f>
        <v/>
      </c>
      <c r="EN70" s="390" t="str">
        <f>IF(AND(EN$12&gt;=$E70,EN$12&lt;=$F70,MOD(EN$12,7)&gt;1,NOT(COUNTIF(General!$U$13:$U$19,EN$12))),$I70,"")</f>
        <v/>
      </c>
      <c r="EO70" s="390" t="str">
        <f>IF(AND(EO$12&gt;=$E70,EO$12&lt;=$F70,MOD(EO$12,7)&gt;1,NOT(COUNTIF(General!$U$13:$U$19,EO$12))),$I70,"")</f>
        <v/>
      </c>
      <c r="EP70" s="390" t="str">
        <f>IF(AND(EP$12&gt;=$E70,EP$12&lt;=$F70,MOD(EP$12,7)&gt;1,NOT(COUNTIF(General!$U$13:$U$19,EP$12))),$I70,"")</f>
        <v/>
      </c>
      <c r="EQ70" s="390" t="str">
        <f>IF(AND(EQ$12&gt;=$E70,EQ$12&lt;=$F70,MOD(EQ$12,7)&gt;1,NOT(COUNTIF(General!$U$13:$U$19,EQ$12))),$I70,"")</f>
        <v/>
      </c>
      <c r="ER70" s="390" t="str">
        <f>IF(AND(ER$12&gt;=$E70,ER$12&lt;=$F70,MOD(ER$12,7)&gt;1,NOT(COUNTIF(General!$U$13:$U$19,ER$12))),$I70,"")</f>
        <v/>
      </c>
      <c r="ES70" s="390" t="str">
        <f>IF(AND(ES$12&gt;=$E70,ES$12&lt;=$F70,MOD(ES$12,7)&gt;1,NOT(COUNTIF(General!$U$13:$U$19,ES$12))),$I70,"")</f>
        <v/>
      </c>
      <c r="ET70" s="390" t="str">
        <f>IF(AND(ET$12&gt;=$E70,ET$12&lt;=$F70,MOD(ET$12,7)&gt;1,NOT(COUNTIF(General!$U$13:$U$19,ET$12))),$I70,"")</f>
        <v/>
      </c>
      <c r="EU70" s="390" t="str">
        <f>IF(AND(EU$12&gt;=$E70,EU$12&lt;=$F70,MOD(EU$12,7)&gt;1,NOT(COUNTIF(General!$U$13:$U$19,EU$12))),$I70,"")</f>
        <v/>
      </c>
      <c r="EV70" s="390" t="str">
        <f>IF(AND(EV$12&gt;=$E70,EV$12&lt;=$F70,MOD(EV$12,7)&gt;1,NOT(COUNTIF(General!$U$13:$U$19,EV$12))),$I70,"")</f>
        <v/>
      </c>
      <c r="EW70" s="390" t="str">
        <f>IF(AND(EW$12&gt;=$E70,EW$12&lt;=$F70,MOD(EW$12,7)&gt;1,NOT(COUNTIF(General!$U$13:$U$19,EW$12))),$I70,"")</f>
        <v/>
      </c>
      <c r="EX70" s="390" t="str">
        <f>IF(AND(EX$12&gt;=$E70,EX$12&lt;=$F70,MOD(EX$12,7)&gt;1,NOT(COUNTIF(General!$U$13:$U$19,EX$12))),$I70,"")</f>
        <v/>
      </c>
      <c r="EY70" s="390" t="str">
        <f>IF(AND(EY$12&gt;=$E70,EY$12&lt;=$F70,MOD(EY$12,7)&gt;1,NOT(COUNTIF(General!$U$13:$U$19,EY$12))),$I70,"")</f>
        <v/>
      </c>
      <c r="EZ70" s="390" t="str">
        <f>IF(AND(EZ$12&gt;=$E70,EZ$12&lt;=$F70,MOD(EZ$12,7)&gt;1,NOT(COUNTIF(General!$U$13:$U$19,EZ$12))),$I70,"")</f>
        <v/>
      </c>
      <c r="FA70" s="390" t="str">
        <f>IF(AND(FA$12&gt;=$E70,FA$12&lt;=$F70,MOD(FA$12,7)&gt;1,NOT(COUNTIF(General!$U$13:$U$19,FA$12))),$I70,"")</f>
        <v/>
      </c>
      <c r="FB70" s="390" t="str">
        <f>IF(AND(FB$12&gt;=$E70,FB$12&lt;=$F70,MOD(FB$12,7)&gt;1,NOT(COUNTIF(General!$U$13:$U$19,FB$12))),$I70,"")</f>
        <v/>
      </c>
      <c r="FC70" s="390" t="str">
        <f>IF(AND(FC$12&gt;=$E70,FC$12&lt;=$F70,MOD(FC$12,7)&gt;1,NOT(COUNTIF(General!$U$13:$U$19,FC$12))),$I70,"")</f>
        <v/>
      </c>
      <c r="FD70" s="390" t="str">
        <f>IF(AND(FD$12&gt;=$E70,FD$12&lt;=$F70,MOD(FD$12,7)&gt;1,NOT(COUNTIF(General!$U$13:$U$19,FD$12))),$I70,"")</f>
        <v/>
      </c>
      <c r="FE70" s="390" t="str">
        <f>IF(AND(FE$12&gt;=$E70,FE$12&lt;=$F70,MOD(FE$12,7)&gt;1,NOT(COUNTIF(General!$U$13:$U$19,FE$12))),$I70,"")</f>
        <v/>
      </c>
      <c r="FF70" s="390" t="str">
        <f>IF(AND(FF$12&gt;=$E70,FF$12&lt;=$F70,MOD(FF$12,7)&gt;1,NOT(COUNTIF(General!$U$13:$U$19,FF$12))),$I70,"")</f>
        <v/>
      </c>
      <c r="FG70" s="390" t="str">
        <f>IF(AND(FG$12&gt;=$E70,FG$12&lt;=$F70,MOD(FG$12,7)&gt;1,NOT(COUNTIF(General!$U$13:$U$19,FG$12))),$I70,"")</f>
        <v/>
      </c>
      <c r="FH70" s="390" t="str">
        <f>IF(AND(FH$12&gt;=$E70,FH$12&lt;=$F70,MOD(FH$12,7)&gt;1,NOT(COUNTIF(General!$U$13:$U$19,FH$12))),$I70,"")</f>
        <v/>
      </c>
      <c r="FI70" s="390" t="str">
        <f>IF(AND(FI$12&gt;=$E70,FI$12&lt;=$F70,MOD(FI$12,7)&gt;1,NOT(COUNTIF(General!$U$13:$U$19,FI$12))),$I70,"")</f>
        <v/>
      </c>
      <c r="FJ70" s="390" t="str">
        <f>IF(AND(FJ$12&gt;=$E70,FJ$12&lt;=$F70,MOD(FJ$12,7)&gt;1,NOT(COUNTIF(General!$U$13:$U$19,FJ$12))),$I70,"")</f>
        <v/>
      </c>
      <c r="FK70" s="390" t="str">
        <f>IF(AND(FK$12&gt;=$E70,FK$12&lt;=$F70,MOD(FK$12,7)&gt;1,NOT(COUNTIF(General!$U$13:$U$19,FK$12))),$I70,"")</f>
        <v/>
      </c>
      <c r="FL70" s="390" t="str">
        <f>IF(AND(FL$12&gt;=$E70,FL$12&lt;=$F70,MOD(FL$12,7)&gt;1,NOT(COUNTIF(General!$U$13:$U$19,FL$12))),$I70,"")</f>
        <v/>
      </c>
      <c r="FM70" s="390" t="str">
        <f>IF(AND(FM$12&gt;=$E70,FM$12&lt;=$F70,MOD(FM$12,7)&gt;1,NOT(COUNTIF(General!$U$13:$U$19,FM$12))),$I70,"")</f>
        <v/>
      </c>
      <c r="FN70" s="390" t="str">
        <f>IF(AND(FN$12&gt;=$E70,FN$12&lt;=$F70,MOD(FN$12,7)&gt;1,NOT(COUNTIF(General!$U$13:$U$19,FN$12))),$I70,"")</f>
        <v/>
      </c>
      <c r="FO70" s="390" t="str">
        <f>IF(AND(FO$12&gt;=$E70,FO$12&lt;=$F70,MOD(FO$12,7)&gt;1,NOT(COUNTIF(General!$U$13:$U$19,FO$12))),$I70,"")</f>
        <v/>
      </c>
      <c r="FP70" s="390" t="str">
        <f>IF(AND(FP$12&gt;=$E70,FP$12&lt;=$F70,MOD(FP$12,7)&gt;1,NOT(COUNTIF(General!$U$13:$U$19,FP$12))),$I70,"")</f>
        <v/>
      </c>
      <c r="FQ70" s="390" t="str">
        <f>IF(AND(FQ$12&gt;=$E70,FQ$12&lt;=$F70,MOD(FQ$12,7)&gt;1,NOT(COUNTIF(General!$U$13:$U$19,FQ$12))),$I70,"")</f>
        <v/>
      </c>
      <c r="FR70" s="390" t="str">
        <f>IF(AND(FR$12&gt;=$E70,FR$12&lt;=$F70,MOD(FR$12,7)&gt;1,NOT(COUNTIF(General!$U$13:$U$19,FR$12))),$I70,"")</f>
        <v/>
      </c>
      <c r="FS70" s="390" t="str">
        <f>IF(AND(FS$12&gt;=$E70,FS$12&lt;=$F70,MOD(FS$12,7)&gt;1,NOT(COUNTIF(General!$U$13:$U$19,FS$12))),$I70,"")</f>
        <v/>
      </c>
      <c r="FT70" s="390" t="str">
        <f>IF(AND(FT$12&gt;=$E70,FT$12&lt;=$F70,MOD(FT$12,7)&gt;1,NOT(COUNTIF(General!$U$13:$U$19,FT$12))),$I70,"")</f>
        <v/>
      </c>
      <c r="FU70" s="390" t="str">
        <f>IF(AND(FU$12&gt;=$E70,FU$12&lt;=$F70,MOD(FU$12,7)&gt;1,NOT(COUNTIF(General!$U$13:$U$19,FU$12))),$I70,"")</f>
        <v/>
      </c>
      <c r="FV70" s="390" t="str">
        <f>IF(AND(FV$12&gt;=$E70,FV$12&lt;=$F70,MOD(FV$12,7)&gt;1,NOT(COUNTIF(General!$U$13:$U$19,FV$12))),$I70,"")</f>
        <v/>
      </c>
      <c r="FW70" s="390" t="str">
        <f>IF(AND(FW$12&gt;=$E70,FW$12&lt;=$F70,MOD(FW$12,7)&gt;1,NOT(COUNTIF(General!$U$13:$U$19,FW$12))),$I70,"")</f>
        <v/>
      </c>
      <c r="FX70" s="390" t="str">
        <f>IF(AND(FX$12&gt;=$E70,FX$12&lt;=$F70,MOD(FX$12,7)&gt;1,NOT(COUNTIF(General!$U$13:$U$19,FX$12))),$I70,"")</f>
        <v/>
      </c>
    </row>
    <row r="71" ht="16.5" customHeight="1">
      <c r="A71" s="613"/>
      <c r="B71" s="615"/>
      <c r="C71" s="370"/>
      <c r="D71" s="621" t="s">
        <v>593</v>
      </c>
      <c r="E71" s="635"/>
      <c r="F71" s="374"/>
      <c r="G71" s="636"/>
      <c r="H71" s="377"/>
      <c r="I71" s="379">
        <v>1.0</v>
      </c>
      <c r="J71" s="377"/>
      <c r="K71" s="381"/>
      <c r="L71" s="382"/>
      <c r="M71" s="383"/>
      <c r="N71" s="384"/>
      <c r="O71" s="386"/>
      <c r="P71" s="388"/>
      <c r="Q71" s="390" t="str">
        <f>IF(AND(Q$12&gt;=$E71,Q$12&lt;=$F71,MOD(Q$12,7)&gt;1,NOT(COUNTIF(General!$U$13:$U$19,Q$12))),$I71,"")</f>
        <v/>
      </c>
      <c r="R71" s="390" t="str">
        <f>IF(AND(R$12&gt;=$E71,R$12&lt;=$F71,MOD(R$12,7)&gt;1,NOT(COUNTIF(General!$U$13:$U$19,R$12))),$I71,"")</f>
        <v/>
      </c>
      <c r="S71" s="390" t="str">
        <f>IF(AND(S$12&gt;=$E71,S$12&lt;=$F71,MOD(S$12,7)&gt;1,NOT(COUNTIF(General!$U$13:$U$19,S$12))),$I71,"")</f>
        <v/>
      </c>
      <c r="T71" s="390" t="str">
        <f>IF(AND(T$12&gt;=$E71,T$12&lt;=$F71,MOD(T$12,7)&gt;1,NOT(COUNTIF(General!$U$13:$U$19,T$12))),$I71,"")</f>
        <v/>
      </c>
      <c r="U71" s="390" t="str">
        <f>IF(AND(U$12&gt;=$E71,U$12&lt;=$F71,MOD(U$12,7)&gt;1,NOT(COUNTIF(General!$U$13:$U$19,U$12))),$I71,"")</f>
        <v/>
      </c>
      <c r="V71" s="390" t="str">
        <f>IF(AND(V$12&gt;=$E71,V$12&lt;=$F71,MOD(V$12,7)&gt;1,NOT(COUNTIF(General!$U$13:$U$19,V$12))),$I71,"")</f>
        <v/>
      </c>
      <c r="W71" s="390" t="str">
        <f>IF(AND(W$12&gt;=$E71,W$12&lt;=$F71,MOD(W$12,7)&gt;1,NOT(COUNTIF(General!$U$13:$U$19,W$12))),$I71,"")</f>
        <v/>
      </c>
      <c r="X71" s="390" t="str">
        <f>IF(AND(X$12&gt;=$E71,X$12&lt;=$F71,MOD(X$12,7)&gt;1,NOT(COUNTIF(General!$U$13:$U$19,X$12))),$I71,"")</f>
        <v/>
      </c>
      <c r="Y71" s="390" t="str">
        <f>IF(AND(Y$12&gt;=$E71,Y$12&lt;=$F71,MOD(Y$12,7)&gt;1,NOT(COUNTIF(General!$U$13:$U$19,Y$12))),$I71,"")</f>
        <v/>
      </c>
      <c r="Z71" s="390" t="str">
        <f>IF(AND(Z$12&gt;=$E71,Z$12&lt;=$F71,MOD(Z$12,7)&gt;1,NOT(COUNTIF(General!$U$13:$U$19,Z$12))),$I71,"")</f>
        <v/>
      </c>
      <c r="AA71" s="390" t="str">
        <f>IF(AND(AA$12&gt;=$E71,AA$12&lt;=$F71,MOD(AA$12,7)&gt;1,NOT(COUNTIF(General!$U$13:$U$19,AA$12))),$I71,"")</f>
        <v/>
      </c>
      <c r="AB71" s="390" t="str">
        <f>IF(AND(AB$12&gt;=$E71,AB$12&lt;=$F71,MOD(AB$12,7)&gt;1,NOT(COUNTIF(General!$U$13:$U$19,AB$12))),$I71,"")</f>
        <v/>
      </c>
      <c r="AC71" s="390" t="str">
        <f>IF(AND(AC$12&gt;=$E71,AC$12&lt;=$F71,MOD(AC$12,7)&gt;1,NOT(COUNTIF(General!$U$13:$U$19,AC$12))),$I71,"")</f>
        <v/>
      </c>
      <c r="AD71" s="390" t="str">
        <f>IF(AND(AD$12&gt;=$E71,AD$12&lt;=$F71,MOD(AD$12,7)&gt;1,NOT(COUNTIF(General!$U$13:$U$19,AD$12))),$I71,"")</f>
        <v/>
      </c>
      <c r="AE71" s="390" t="str">
        <f>IF(AND(AE$12&gt;=$E71,AE$12&lt;=$F71,MOD(AE$12,7)&gt;1,NOT(COUNTIF(General!$U$13:$U$19,AE$12))),$I71,"")</f>
        <v/>
      </c>
      <c r="AF71" s="390" t="str">
        <f>IF(AND(AF$12&gt;=$E71,AF$12&lt;=$F71,MOD(AF$12,7)&gt;1,NOT(COUNTIF(General!$U$13:$U$19,AF$12))),$I71,"")</f>
        <v/>
      </c>
      <c r="AG71" s="390" t="str">
        <f>IF(AND(AG$12&gt;=$E71,AG$12&lt;=$F71,MOD(AG$12,7)&gt;1,NOT(COUNTIF(General!$U$13:$U$19,AG$12))),$I71,"")</f>
        <v/>
      </c>
      <c r="AH71" s="390" t="str">
        <f>IF(AND(AH$12&gt;=$E71,AH$12&lt;=$F71,MOD(AH$12,7)&gt;1,NOT(COUNTIF(General!$U$13:$U$19,AH$12))),$I71,"")</f>
        <v/>
      </c>
      <c r="AI71" s="390" t="str">
        <f>IF(AND(AI$12&gt;=$E71,AI$12&lt;=$F71,MOD(AI$12,7)&gt;1,NOT(COUNTIF(General!$U$13:$U$19,AI$12))),$I71,"")</f>
        <v/>
      </c>
      <c r="AJ71" s="390" t="str">
        <f>IF(AND(AJ$12&gt;=$E71,AJ$12&lt;=$F71,MOD(AJ$12,7)&gt;1,NOT(COUNTIF(General!$U$13:$U$19,AJ$12))),$I71,"")</f>
        <v/>
      </c>
      <c r="AK71" s="390" t="str">
        <f>IF(AND(AK$12&gt;=$E71,AK$12&lt;=$F71,MOD(AK$12,7)&gt;1,NOT(COUNTIF(General!$U$13:$U$19,AK$12))),$I71,"")</f>
        <v/>
      </c>
      <c r="AL71" s="390" t="str">
        <f>IF(AND(AL$12&gt;=$E71,AL$12&lt;=$F71,MOD(AL$12,7)&gt;1,NOT(COUNTIF(General!$U$13:$U$19,AL$12))),$I71,"")</f>
        <v/>
      </c>
      <c r="AM71" s="390" t="str">
        <f>IF(AND(AM$12&gt;=$E71,AM$12&lt;=$F71,MOD(AM$12,7)&gt;1,NOT(COUNTIF(General!$U$13:$U$19,AM$12))),$I71,"")</f>
        <v/>
      </c>
      <c r="AN71" s="390" t="str">
        <f>IF(AND(AN$12&gt;=$E71,AN$12&lt;=$F71,MOD(AN$12,7)&gt;1,NOT(COUNTIF(General!$U$13:$U$19,AN$12))),$I71,"")</f>
        <v/>
      </c>
      <c r="AO71" s="390" t="str">
        <f>IF(AND(AO$12&gt;=$E71,AO$12&lt;=$F71,MOD(AO$12,7)&gt;1,NOT(COUNTIF(General!$U$13:$U$19,AO$12))),$I71,"")</f>
        <v/>
      </c>
      <c r="AP71" s="390" t="str">
        <f>IF(AND(AP$12&gt;=$E71,AP$12&lt;=$F71,MOD(AP$12,7)&gt;1,NOT(COUNTIF(General!$U$13:$U$19,AP$12))),$I71,"")</f>
        <v/>
      </c>
      <c r="AQ71" s="390" t="str">
        <f>IF(AND(AQ$12&gt;=$E71,AQ$12&lt;=$F71,MOD(AQ$12,7)&gt;1,NOT(COUNTIF(General!$U$13:$U$19,AQ$12))),$I71,"")</f>
        <v/>
      </c>
      <c r="AR71" s="390" t="str">
        <f>IF(AND(AR$12&gt;=$E71,AR$12&lt;=$F71,MOD(AR$12,7)&gt;1,NOT(COUNTIF(General!$U$13:$U$19,AR$12))),$I71,"")</f>
        <v/>
      </c>
      <c r="AS71" s="390" t="str">
        <f>IF(AND(AS$12&gt;=$E71,AS$12&lt;=$F71,MOD(AS$12,7)&gt;1,NOT(COUNTIF(General!$U$13:$U$19,AS$12))),$I71,"")</f>
        <v/>
      </c>
      <c r="AT71" s="390" t="str">
        <f>IF(AND(AT$12&gt;=$E71,AT$12&lt;=$F71,MOD(AT$12,7)&gt;1,NOT(COUNTIF(General!$U$13:$U$19,AT$12))),$I71,"")</f>
        <v/>
      </c>
      <c r="AU71" s="390" t="str">
        <f>IF(AND(AU$12&gt;=$E71,AU$12&lt;=$F71,MOD(AU$12,7)&gt;1,NOT(COUNTIF(General!$U$13:$U$19,AU$12))),$I71,"")</f>
        <v/>
      </c>
      <c r="AV71" s="390" t="str">
        <f>IF(AND(AV$12&gt;=$E71,AV$12&lt;=$F71,MOD(AV$12,7)&gt;1,NOT(COUNTIF(General!$U$13:$U$19,AV$12))),$I71,"")</f>
        <v/>
      </c>
      <c r="AW71" s="390" t="str">
        <f>IF(AND(AW$12&gt;=$E71,AW$12&lt;=$F71,MOD(AW$12,7)&gt;1,NOT(COUNTIF(General!$U$13:$U$19,AW$12))),$I71,"")</f>
        <v/>
      </c>
      <c r="AX71" s="390" t="str">
        <f>IF(AND(AX$12&gt;=$E71,AX$12&lt;=$F71,MOD(AX$12,7)&gt;1,NOT(COUNTIF(General!$U$13:$U$19,AX$12))),$I71,"")</f>
        <v/>
      </c>
      <c r="AY71" s="390" t="str">
        <f>IF(AND(AY$12&gt;=$E71,AY$12&lt;=$F71,MOD(AY$12,7)&gt;1,NOT(COUNTIF(General!$U$13:$U$19,AY$12))),$I71,"")</f>
        <v/>
      </c>
      <c r="AZ71" s="390" t="str">
        <f>IF(AND(AZ$12&gt;=$E71,AZ$12&lt;=$F71,MOD(AZ$12,7)&gt;1,NOT(COUNTIF(General!$U$13:$U$19,AZ$12))),$I71,"")</f>
        <v/>
      </c>
      <c r="BA71" s="390" t="str">
        <f>IF(AND(BA$12&gt;=$E71,BA$12&lt;=$F71,MOD(BA$12,7)&gt;1,NOT(COUNTIF(General!$U$13:$U$19,BA$12))),$I71,"")</f>
        <v/>
      </c>
      <c r="BB71" s="390" t="str">
        <f>IF(AND(BB$12&gt;=$E71,BB$12&lt;=$F71,MOD(BB$12,7)&gt;1,NOT(COUNTIF(General!$U$13:$U$19,BB$12))),$I71,"")</f>
        <v/>
      </c>
      <c r="BC71" s="390" t="str">
        <f>IF(AND(BC$12&gt;=$E71,BC$12&lt;=$F71,MOD(BC$12,7)&gt;1,NOT(COUNTIF(General!$U$13:$U$19,BC$12))),$I71,"")</f>
        <v/>
      </c>
      <c r="BD71" s="390" t="str">
        <f>IF(AND(BD$12&gt;=$E71,BD$12&lt;=$F71,MOD(BD$12,7)&gt;1,NOT(COUNTIF(General!$U$13:$U$19,BD$12))),$I71,"")</f>
        <v/>
      </c>
      <c r="BE71" s="390" t="str">
        <f>IF(AND(BE$12&gt;=$E71,BE$12&lt;=$F71,MOD(BE$12,7)&gt;1,NOT(COUNTIF(General!$U$13:$U$19,BE$12))),$I71,"")</f>
        <v/>
      </c>
      <c r="BF71" s="390" t="str">
        <f>IF(AND(BF$12&gt;=$E71,BF$12&lt;=$F71,MOD(BF$12,7)&gt;1,NOT(COUNTIF(General!$U$13:$U$19,BF$12))),$I71,"")</f>
        <v/>
      </c>
      <c r="BG71" s="390" t="str">
        <f>IF(AND(BG$12&gt;=$E71,BG$12&lt;=$F71,MOD(BG$12,7)&gt;1,NOT(COUNTIF(General!$U$13:$U$19,BG$12))),$I71,"")</f>
        <v/>
      </c>
      <c r="BH71" s="390" t="str">
        <f>IF(AND(BH$12&gt;=$E71,BH$12&lt;=$F71,MOD(BH$12,7)&gt;1,NOT(COUNTIF(General!$U$13:$U$19,BH$12))),$I71,"")</f>
        <v/>
      </c>
      <c r="BI71" s="390" t="str">
        <f>IF(AND(BI$12&gt;=$E71,BI$12&lt;=$F71,MOD(BI$12,7)&gt;1,NOT(COUNTIF(General!$U$13:$U$19,BI$12))),$I71,"")</f>
        <v/>
      </c>
      <c r="BJ71" s="390" t="str">
        <f>IF(AND(BJ$12&gt;=$E71,BJ$12&lt;=$F71,MOD(BJ$12,7)&gt;1,NOT(COUNTIF(General!$U$13:$U$19,BJ$12))),$I71,"")</f>
        <v/>
      </c>
      <c r="BK71" s="390" t="str">
        <f>IF(AND(BK$12&gt;=$E71,BK$12&lt;=$F71,MOD(BK$12,7)&gt;1,NOT(COUNTIF(General!$U$13:$U$19,BK$12))),$I71,"")</f>
        <v/>
      </c>
      <c r="BL71" s="390" t="str">
        <f>IF(AND(BL$12&gt;=$E71,BL$12&lt;=$F71,MOD(BL$12,7)&gt;1,NOT(COUNTIF(General!$U$13:$U$19,BL$12))),$I71,"")</f>
        <v/>
      </c>
      <c r="BM71" s="390" t="str">
        <f>IF(AND(BM$12&gt;=$E71,BM$12&lt;=$F71,MOD(BM$12,7)&gt;1,NOT(COUNTIF(General!$U$13:$U$19,BM$12))),$I71,"")</f>
        <v/>
      </c>
      <c r="BN71" s="390" t="str">
        <f>IF(AND(BN$12&gt;=$E71,BN$12&lt;=$F71,MOD(BN$12,7)&gt;1,NOT(COUNTIF(General!$U$13:$U$19,BN$12))),$I71,"")</f>
        <v/>
      </c>
      <c r="BO71" s="390" t="str">
        <f>IF(AND(BO$12&gt;=$E71,BO$12&lt;=$F71,MOD(BO$12,7)&gt;1,NOT(COUNTIF(General!$U$13:$U$19,BO$12))),$I71,"")</f>
        <v/>
      </c>
      <c r="BP71" s="390" t="str">
        <f>IF(AND(BP$12&gt;=$E71,BP$12&lt;=$F71,MOD(BP$12,7)&gt;1,NOT(COUNTIF(General!$U$13:$U$19,BP$12))),$I71,"")</f>
        <v/>
      </c>
      <c r="BQ71" s="390" t="str">
        <f>IF(AND(BQ$12&gt;=$E71,BQ$12&lt;=$F71,MOD(BQ$12,7)&gt;1,NOT(COUNTIF(General!$U$13:$U$19,BQ$12))),$I71,"")</f>
        <v/>
      </c>
      <c r="BR71" s="390" t="str">
        <f>IF(AND(BR$12&gt;=$E71,BR$12&lt;=$F71,MOD(BR$12,7)&gt;1,NOT(COUNTIF(General!$U$13:$U$19,BR$12))),$I71,"")</f>
        <v/>
      </c>
      <c r="BS71" s="390" t="str">
        <f>IF(AND(BS$12&gt;=$E71,BS$12&lt;=$F71,MOD(BS$12,7)&gt;1,NOT(COUNTIF(General!$U$13:$U$19,BS$12))),$I71,"")</f>
        <v/>
      </c>
      <c r="BT71" s="390" t="str">
        <f>IF(AND(BT$12&gt;=$E71,BT$12&lt;=$F71,MOD(BT$12,7)&gt;1,NOT(COUNTIF(General!$U$13:$U$19,BT$12))),$I71,"")</f>
        <v/>
      </c>
      <c r="BU71" s="390" t="str">
        <f>IF(AND(BU$12&gt;=$E71,BU$12&lt;=$F71,MOD(BU$12,7)&gt;1,NOT(COUNTIF(General!$U$13:$U$19,BU$12))),$I71,"")</f>
        <v/>
      </c>
      <c r="BV71" s="390" t="str">
        <f>IF(AND(BV$12&gt;=$E71,BV$12&lt;=$F71,MOD(BV$12,7)&gt;1,NOT(COUNTIF(General!$U$13:$U$19,BV$12))),$I71,"")</f>
        <v/>
      </c>
      <c r="BW71" s="390" t="str">
        <f>IF(AND(BW$12&gt;=$E71,BW$12&lt;=$F71,MOD(BW$12,7)&gt;1,NOT(COUNTIF(General!$U$13:$U$19,BW$12))),$I71,"")</f>
        <v/>
      </c>
      <c r="BX71" s="390" t="str">
        <f>IF(AND(BX$12&gt;=$E71,BX$12&lt;=$F71,MOD(BX$12,7)&gt;1,NOT(COUNTIF(General!$U$13:$U$19,BX$12))),$I71,"")</f>
        <v/>
      </c>
      <c r="BY71" s="390" t="str">
        <f>IF(AND(BY$12&gt;=$E71,BY$12&lt;=$F71,MOD(BY$12,7)&gt;1,NOT(COUNTIF(General!$U$13:$U$19,BY$12))),$I71,"")</f>
        <v/>
      </c>
      <c r="BZ71" s="390" t="str">
        <f>IF(AND(BZ$12&gt;=$E71,BZ$12&lt;=$F71,MOD(BZ$12,7)&gt;1,NOT(COUNTIF(General!$U$13:$U$19,BZ$12))),$I71,"")</f>
        <v/>
      </c>
      <c r="CA71" s="390" t="str">
        <f>IF(AND(CA$12&gt;=$E71,CA$12&lt;=$F71,MOD(CA$12,7)&gt;1,NOT(COUNTIF(General!$U$13:$U$19,CA$12))),$I71,"")</f>
        <v/>
      </c>
      <c r="CB71" s="390" t="str">
        <f>IF(AND(CB$12&gt;=$E71,CB$12&lt;=$F71,MOD(CB$12,7)&gt;1,NOT(COUNTIF(General!$U$13:$U$19,CB$12))),$I71,"")</f>
        <v/>
      </c>
      <c r="CC71" s="390" t="str">
        <f>IF(AND(CC$12&gt;=$E71,CC$12&lt;=$F71,MOD(CC$12,7)&gt;1,NOT(COUNTIF(General!$U$13:$U$19,CC$12))),$I71,"")</f>
        <v/>
      </c>
      <c r="CD71" s="390" t="str">
        <f>IF(AND(CD$12&gt;=$E71,CD$12&lt;=$F71,MOD(CD$12,7)&gt;1,NOT(COUNTIF(General!$U$13:$U$19,CD$12))),$I71,"")</f>
        <v/>
      </c>
      <c r="CE71" s="390" t="str">
        <f>IF(AND(CE$12&gt;=$E71,CE$12&lt;=$F71,MOD(CE$12,7)&gt;1,NOT(COUNTIF(General!$U$13:$U$19,CE$12))),$I71,"")</f>
        <v/>
      </c>
      <c r="CF71" s="390" t="str">
        <f>IF(AND(CF$12&gt;=$E71,CF$12&lt;=$F71,MOD(CF$12,7)&gt;1,NOT(COUNTIF(General!$U$13:$U$19,CF$12))),$I71,"")</f>
        <v/>
      </c>
      <c r="CG71" s="390" t="str">
        <f>IF(AND(CG$12&gt;=$E71,CG$12&lt;=$F71,MOD(CG$12,7)&gt;1,NOT(COUNTIF(General!$U$13:$U$19,CG$12))),$I71,"")</f>
        <v/>
      </c>
      <c r="CH71" s="390" t="str">
        <f>IF(AND(CH$12&gt;=$E71,CH$12&lt;=$F71,MOD(CH$12,7)&gt;1,NOT(COUNTIF(General!$U$13:$U$19,CH$12))),$I71,"")</f>
        <v/>
      </c>
      <c r="CI71" s="390" t="str">
        <f>IF(AND(CI$12&gt;=$E71,CI$12&lt;=$F71,MOD(CI$12,7)&gt;1,NOT(COUNTIF(General!$U$13:$U$19,CI$12))),$I71,"")</f>
        <v/>
      </c>
      <c r="CJ71" s="390" t="str">
        <f>IF(AND(CJ$12&gt;=$E71,CJ$12&lt;=$F71,MOD(CJ$12,7)&gt;1,NOT(COUNTIF(General!$U$13:$U$19,CJ$12))),$I71,"")</f>
        <v/>
      </c>
      <c r="CK71" s="390" t="str">
        <f>IF(AND(CK$12&gt;=$E71,CK$12&lt;=$F71,MOD(CK$12,7)&gt;1,NOT(COUNTIF(General!$U$13:$U$19,CK$12))),$I71,"")</f>
        <v/>
      </c>
      <c r="CL71" s="390" t="str">
        <f>IF(AND(CL$12&gt;=$E71,CL$12&lt;=$F71,MOD(CL$12,7)&gt;1,NOT(COUNTIF(General!$U$13:$U$19,CL$12))),$I71,"")</f>
        <v/>
      </c>
      <c r="CM71" s="390" t="str">
        <f>IF(AND(CM$12&gt;=$E71,CM$12&lt;=$F71,MOD(CM$12,7)&gt;1,NOT(COUNTIF(General!$U$13:$U$19,CM$12))),$I71,"")</f>
        <v/>
      </c>
      <c r="CN71" s="390" t="str">
        <f>IF(AND(CN$12&gt;=$E71,CN$12&lt;=$F71,MOD(CN$12,7)&gt;1,NOT(COUNTIF(General!$U$13:$U$19,CN$12))),$I71,"")</f>
        <v/>
      </c>
      <c r="CO71" s="390" t="str">
        <f>IF(AND(CO$12&gt;=$E71,CO$12&lt;=$F71,MOD(CO$12,7)&gt;1,NOT(COUNTIF(General!$U$13:$U$19,CO$12))),$I71,"")</f>
        <v/>
      </c>
      <c r="CP71" s="390" t="str">
        <f>IF(AND(CP$12&gt;=$E71,CP$12&lt;=$F71,MOD(CP$12,7)&gt;1,NOT(COUNTIF(General!$U$13:$U$19,CP$12))),$I71,"")</f>
        <v/>
      </c>
      <c r="CQ71" s="390" t="str">
        <f>IF(AND(CQ$12&gt;=$E71,CQ$12&lt;=$F71,MOD(CQ$12,7)&gt;1,NOT(COUNTIF(General!$U$13:$U$19,CQ$12))),$I71,"")</f>
        <v/>
      </c>
      <c r="CR71" s="390" t="str">
        <f>IF(AND(CR$12&gt;=$E71,CR$12&lt;=$F71,MOD(CR$12,7)&gt;1,NOT(COUNTIF(General!$U$13:$U$19,CR$12))),$I71,"")</f>
        <v/>
      </c>
      <c r="CS71" s="390" t="str">
        <f>IF(AND(CS$12&gt;=$E71,CS$12&lt;=$F71,MOD(CS$12,7)&gt;1,NOT(COUNTIF(General!$U$13:$U$19,CS$12))),$I71,"")</f>
        <v/>
      </c>
      <c r="CT71" s="390" t="str">
        <f>IF(AND(CT$12&gt;=$E71,CT$12&lt;=$F71,MOD(CT$12,7)&gt;1,NOT(COUNTIF(General!$U$13:$U$19,CT$12))),$I71,"")</f>
        <v/>
      </c>
      <c r="CU71" s="390" t="str">
        <f>IF(AND(CU$12&gt;=$E71,CU$12&lt;=$F71,MOD(CU$12,7)&gt;1,NOT(COUNTIF(General!$U$13:$U$19,CU$12))),$I71,"")</f>
        <v/>
      </c>
      <c r="CV71" s="390" t="str">
        <f>IF(AND(CV$12&gt;=$E71,CV$12&lt;=$F71,MOD(CV$12,7)&gt;1,NOT(COUNTIF(General!$U$13:$U$19,CV$12))),$I71,"")</f>
        <v/>
      </c>
      <c r="CW71" s="390" t="str">
        <f>IF(AND(CW$12&gt;=$E71,CW$12&lt;=$F71,MOD(CW$12,7)&gt;1,NOT(COUNTIF(General!$U$13:$U$19,CW$12))),$I71,"")</f>
        <v/>
      </c>
      <c r="CX71" s="390" t="str">
        <f>IF(AND(CX$12&gt;=$E71,CX$12&lt;=$F71,MOD(CX$12,7)&gt;1,NOT(COUNTIF(General!$U$13:$U$19,CX$12))),$I71,"")</f>
        <v/>
      </c>
      <c r="CY71" s="390" t="str">
        <f>IF(AND(CY$12&gt;=$E71,CY$12&lt;=$F71,MOD(CY$12,7)&gt;1,NOT(COUNTIF(General!$U$13:$U$19,CY$12))),$I71,"")</f>
        <v/>
      </c>
      <c r="CZ71" s="390" t="str">
        <f>IF(AND(CZ$12&gt;=$E71,CZ$12&lt;=$F71,MOD(CZ$12,7)&gt;1,NOT(COUNTIF(General!$U$13:$U$19,CZ$12))),$I71,"")</f>
        <v/>
      </c>
      <c r="DA71" s="390" t="str">
        <f>IF(AND(DA$12&gt;=$E71,DA$12&lt;=$F71,MOD(DA$12,7)&gt;1,NOT(COUNTIF(General!$U$13:$U$19,DA$12))),$I71,"")</f>
        <v/>
      </c>
      <c r="DB71" s="390" t="str">
        <f>IF(AND(DB$12&gt;=$E71,DB$12&lt;=$F71,MOD(DB$12,7)&gt;1,NOT(COUNTIF(General!$U$13:$U$19,DB$12))),$I71,"")</f>
        <v/>
      </c>
      <c r="DC71" s="390" t="str">
        <f>IF(AND(DC$12&gt;=$E71,DC$12&lt;=$F71,MOD(DC$12,7)&gt;1,NOT(COUNTIF(General!$U$13:$U$19,DC$12))),$I71,"")</f>
        <v/>
      </c>
      <c r="DD71" s="390" t="str">
        <f>IF(AND(DD$12&gt;=$E71,DD$12&lt;=$F71,MOD(DD$12,7)&gt;1,NOT(COUNTIF(General!$U$13:$U$19,DD$12))),$I71,"")</f>
        <v/>
      </c>
      <c r="DE71" s="390" t="str">
        <f>IF(AND(DE$12&gt;=$E71,DE$12&lt;=$F71,MOD(DE$12,7)&gt;1,NOT(COUNTIF(General!$U$13:$U$19,DE$12))),$I71,"")</f>
        <v/>
      </c>
      <c r="DF71" s="390" t="str">
        <f>IF(AND(DF$12&gt;=$E71,DF$12&lt;=$F71,MOD(DF$12,7)&gt;1,NOT(COUNTIF(General!$U$13:$U$19,DF$12))),$I71,"")</f>
        <v/>
      </c>
      <c r="DG71" s="390" t="str">
        <f>IF(AND(DG$12&gt;=$E71,DG$12&lt;=$F71,MOD(DG$12,7)&gt;1,NOT(COUNTIF(General!$U$13:$U$19,DG$12))),$I71,"")</f>
        <v/>
      </c>
      <c r="DH71" s="390" t="str">
        <f>IF(AND(DH$12&gt;=$E71,DH$12&lt;=$F71,MOD(DH$12,7)&gt;1,NOT(COUNTIF(General!$U$13:$U$19,DH$12))),$I71,"")</f>
        <v/>
      </c>
      <c r="DI71" s="390" t="str">
        <f>IF(AND(DI$12&gt;=$E71,DI$12&lt;=$F71,MOD(DI$12,7)&gt;1,NOT(COUNTIF(General!$U$13:$U$19,DI$12))),$I71,"")</f>
        <v/>
      </c>
      <c r="DJ71" s="390" t="str">
        <f>IF(AND(DJ$12&gt;=$E71,DJ$12&lt;=$F71,MOD(DJ$12,7)&gt;1,NOT(COUNTIF(General!$U$13:$U$19,DJ$12))),$I71,"")</f>
        <v/>
      </c>
      <c r="DK71" s="390" t="str">
        <f>IF(AND(DK$12&gt;=$E71,DK$12&lt;=$F71,MOD(DK$12,7)&gt;1,NOT(COUNTIF(General!$U$13:$U$19,DK$12))),$I71,"")</f>
        <v/>
      </c>
      <c r="DL71" s="390" t="str">
        <f>IF(AND(DL$12&gt;=$E71,DL$12&lt;=$F71,MOD(DL$12,7)&gt;1,NOT(COUNTIF(General!$U$13:$U$19,DL$12))),$I71,"")</f>
        <v/>
      </c>
      <c r="DM71" s="390" t="str">
        <f>IF(AND(DM$12&gt;=$E71,DM$12&lt;=$F71,MOD(DM$12,7)&gt;1,NOT(COUNTIF(General!$U$13:$U$19,DM$12))),$I71,"")</f>
        <v/>
      </c>
      <c r="DN71" s="390" t="str">
        <f>IF(AND(DN$12&gt;=$E71,DN$12&lt;=$F71,MOD(DN$12,7)&gt;1,NOT(COUNTIF(General!$U$13:$U$19,DN$12))),$I71,"")</f>
        <v/>
      </c>
      <c r="DO71" s="390" t="str">
        <f>IF(AND(DO$12&gt;=$E71,DO$12&lt;=$F71,MOD(DO$12,7)&gt;1,NOT(COUNTIF(General!$U$13:$U$19,DO$12))),$I71,"")</f>
        <v/>
      </c>
      <c r="DP71" s="390" t="str">
        <f>IF(AND(DP$12&gt;=$E71,DP$12&lt;=$F71,MOD(DP$12,7)&gt;1,NOT(COUNTIF(General!$U$13:$U$19,DP$12))),$I71,"")</f>
        <v/>
      </c>
      <c r="DQ71" s="390" t="str">
        <f>IF(AND(DQ$12&gt;=$E71,DQ$12&lt;=$F71,MOD(DQ$12,7)&gt;1,NOT(COUNTIF(General!$U$13:$U$19,DQ$12))),$I71,"")</f>
        <v/>
      </c>
      <c r="DR71" s="390" t="str">
        <f>IF(AND(DR$12&gt;=$E71,DR$12&lt;=$F71,MOD(DR$12,7)&gt;1,NOT(COUNTIF(General!$U$13:$U$19,DR$12))),$I71,"")</f>
        <v/>
      </c>
      <c r="DS71" s="390" t="str">
        <f>IF(AND(DS$12&gt;=$E71,DS$12&lt;=$F71,MOD(DS$12,7)&gt;1,NOT(COUNTIF(General!$U$13:$U$19,DS$12))),$I71,"")</f>
        <v/>
      </c>
      <c r="DT71" s="390" t="str">
        <f>IF(AND(DT$12&gt;=$E71,DT$12&lt;=$F71,MOD(DT$12,7)&gt;1,NOT(COUNTIF(General!$U$13:$U$19,DT$12))),$I71,"")</f>
        <v/>
      </c>
      <c r="DU71" s="390" t="str">
        <f>IF(AND(DU$12&gt;=$E71,DU$12&lt;=$F71,MOD(DU$12,7)&gt;1,NOT(COUNTIF(General!$U$13:$U$19,DU$12))),$I71,"")</f>
        <v/>
      </c>
      <c r="DV71" s="390" t="str">
        <f>IF(AND(DV$12&gt;=$E71,DV$12&lt;=$F71,MOD(DV$12,7)&gt;1,NOT(COUNTIF(General!$U$13:$U$19,DV$12))),$I71,"")</f>
        <v/>
      </c>
      <c r="DW71" s="390" t="str">
        <f>IF(AND(DW$12&gt;=$E71,DW$12&lt;=$F71,MOD(DW$12,7)&gt;1,NOT(COUNTIF(General!$U$13:$U$19,DW$12))),$I71,"")</f>
        <v/>
      </c>
      <c r="DX71" s="390" t="str">
        <f>IF(AND(DX$12&gt;=$E71,DX$12&lt;=$F71,MOD(DX$12,7)&gt;1,NOT(COUNTIF(General!$U$13:$U$19,DX$12))),$I71,"")</f>
        <v/>
      </c>
      <c r="DY71" s="390" t="str">
        <f>IF(AND(DY$12&gt;=$E71,DY$12&lt;=$F71,MOD(DY$12,7)&gt;1,NOT(COUNTIF(General!$U$13:$U$19,DY$12))),$I71,"")</f>
        <v/>
      </c>
      <c r="DZ71" s="390" t="str">
        <f>IF(AND(DZ$12&gt;=$E71,DZ$12&lt;=$F71,MOD(DZ$12,7)&gt;1,NOT(COUNTIF(General!$U$13:$U$19,DZ$12))),$I71,"")</f>
        <v/>
      </c>
      <c r="EA71" s="390" t="str">
        <f>IF(AND(EA$12&gt;=$E71,EA$12&lt;=$F71,MOD(EA$12,7)&gt;1,NOT(COUNTIF(General!$U$13:$U$19,EA$12))),$I71,"")</f>
        <v/>
      </c>
      <c r="EB71" s="390" t="str">
        <f>IF(AND(EB$12&gt;=$E71,EB$12&lt;=$F71,MOD(EB$12,7)&gt;1,NOT(COUNTIF(General!$U$13:$U$19,EB$12))),$I71,"")</f>
        <v/>
      </c>
      <c r="EC71" s="390" t="str">
        <f>IF(AND(EC$12&gt;=$E71,EC$12&lt;=$F71,MOD(EC$12,7)&gt;1,NOT(COUNTIF(General!$U$13:$U$19,EC$12))),$I71,"")</f>
        <v/>
      </c>
      <c r="ED71" s="390" t="str">
        <f>IF(AND(ED$12&gt;=$E71,ED$12&lt;=$F71,MOD(ED$12,7)&gt;1,NOT(COUNTIF(General!$U$13:$U$19,ED$12))),$I71,"")</f>
        <v/>
      </c>
      <c r="EE71" s="390" t="str">
        <f>IF(AND(EE$12&gt;=$E71,EE$12&lt;=$F71,MOD(EE$12,7)&gt;1,NOT(COUNTIF(General!$U$13:$U$19,EE$12))),$I71,"")</f>
        <v/>
      </c>
      <c r="EF71" s="390" t="str">
        <f>IF(AND(EF$12&gt;=$E71,EF$12&lt;=$F71,MOD(EF$12,7)&gt;1,NOT(COUNTIF(General!$U$13:$U$19,EF$12))),$I71,"")</f>
        <v/>
      </c>
      <c r="EG71" s="390" t="str">
        <f>IF(AND(EG$12&gt;=$E71,EG$12&lt;=$F71,MOD(EG$12,7)&gt;1,NOT(COUNTIF(General!$U$13:$U$19,EG$12))),$I71,"")</f>
        <v/>
      </c>
      <c r="EH71" s="390" t="str">
        <f>IF(AND(EH$12&gt;=$E71,EH$12&lt;=$F71,MOD(EH$12,7)&gt;1,NOT(COUNTIF(General!$U$13:$U$19,EH$12))),$I71,"")</f>
        <v/>
      </c>
      <c r="EI71" s="390" t="str">
        <f>IF(AND(EI$12&gt;=$E71,EI$12&lt;=$F71,MOD(EI$12,7)&gt;1,NOT(COUNTIF(General!$U$13:$U$19,EI$12))),$I71,"")</f>
        <v/>
      </c>
      <c r="EJ71" s="390" t="str">
        <f>IF(AND(EJ$12&gt;=$E71,EJ$12&lt;=$F71,MOD(EJ$12,7)&gt;1,NOT(COUNTIF(General!$U$13:$U$19,EJ$12))),$I71,"")</f>
        <v/>
      </c>
      <c r="EK71" s="390" t="str">
        <f>IF(AND(EK$12&gt;=$E71,EK$12&lt;=$F71,MOD(EK$12,7)&gt;1,NOT(COUNTIF(General!$U$13:$U$19,EK$12))),$I71,"")</f>
        <v/>
      </c>
      <c r="EL71" s="390" t="str">
        <f>IF(AND(EL$12&gt;=$E71,EL$12&lt;=$F71,MOD(EL$12,7)&gt;1,NOT(COUNTIF(General!$U$13:$U$19,EL$12))),$I71,"")</f>
        <v/>
      </c>
      <c r="EM71" s="390" t="str">
        <f>IF(AND(EM$12&gt;=$E71,EM$12&lt;=$F71,MOD(EM$12,7)&gt;1,NOT(COUNTIF(General!$U$13:$U$19,EM$12))),$I71,"")</f>
        <v/>
      </c>
      <c r="EN71" s="390" t="str">
        <f>IF(AND(EN$12&gt;=$E71,EN$12&lt;=$F71,MOD(EN$12,7)&gt;1,NOT(COUNTIF(General!$U$13:$U$19,EN$12))),$I71,"")</f>
        <v/>
      </c>
      <c r="EO71" s="390" t="str">
        <f>IF(AND(EO$12&gt;=$E71,EO$12&lt;=$F71,MOD(EO$12,7)&gt;1,NOT(COUNTIF(General!$U$13:$U$19,EO$12))),$I71,"")</f>
        <v/>
      </c>
      <c r="EP71" s="390" t="str">
        <f>IF(AND(EP$12&gt;=$E71,EP$12&lt;=$F71,MOD(EP$12,7)&gt;1,NOT(COUNTIF(General!$U$13:$U$19,EP$12))),$I71,"")</f>
        <v/>
      </c>
      <c r="EQ71" s="390" t="str">
        <f>IF(AND(EQ$12&gt;=$E71,EQ$12&lt;=$F71,MOD(EQ$12,7)&gt;1,NOT(COUNTIF(General!$U$13:$U$19,EQ$12))),$I71,"")</f>
        <v/>
      </c>
      <c r="ER71" s="390" t="str">
        <f>IF(AND(ER$12&gt;=$E71,ER$12&lt;=$F71,MOD(ER$12,7)&gt;1,NOT(COUNTIF(General!$U$13:$U$19,ER$12))),$I71,"")</f>
        <v/>
      </c>
      <c r="ES71" s="390" t="str">
        <f>IF(AND(ES$12&gt;=$E71,ES$12&lt;=$F71,MOD(ES$12,7)&gt;1,NOT(COUNTIF(General!$U$13:$U$19,ES$12))),$I71,"")</f>
        <v/>
      </c>
      <c r="ET71" s="390" t="str">
        <f>IF(AND(ET$12&gt;=$E71,ET$12&lt;=$F71,MOD(ET$12,7)&gt;1,NOT(COUNTIF(General!$U$13:$U$19,ET$12))),$I71,"")</f>
        <v/>
      </c>
      <c r="EU71" s="390" t="str">
        <f>IF(AND(EU$12&gt;=$E71,EU$12&lt;=$F71,MOD(EU$12,7)&gt;1,NOT(COUNTIF(General!$U$13:$U$19,EU$12))),$I71,"")</f>
        <v/>
      </c>
      <c r="EV71" s="390" t="str">
        <f>IF(AND(EV$12&gt;=$E71,EV$12&lt;=$F71,MOD(EV$12,7)&gt;1,NOT(COUNTIF(General!$U$13:$U$19,EV$12))),$I71,"")</f>
        <v/>
      </c>
      <c r="EW71" s="390" t="str">
        <f>IF(AND(EW$12&gt;=$E71,EW$12&lt;=$F71,MOD(EW$12,7)&gt;1,NOT(COUNTIF(General!$U$13:$U$19,EW$12))),$I71,"")</f>
        <v/>
      </c>
      <c r="EX71" s="390" t="str">
        <f>IF(AND(EX$12&gt;=$E71,EX$12&lt;=$F71,MOD(EX$12,7)&gt;1,NOT(COUNTIF(General!$U$13:$U$19,EX$12))),$I71,"")</f>
        <v/>
      </c>
      <c r="EY71" s="390" t="str">
        <f>IF(AND(EY$12&gt;=$E71,EY$12&lt;=$F71,MOD(EY$12,7)&gt;1,NOT(COUNTIF(General!$U$13:$U$19,EY$12))),$I71,"")</f>
        <v/>
      </c>
      <c r="EZ71" s="390" t="str">
        <f>IF(AND(EZ$12&gt;=$E71,EZ$12&lt;=$F71,MOD(EZ$12,7)&gt;1,NOT(COUNTIF(General!$U$13:$U$19,EZ$12))),$I71,"")</f>
        <v/>
      </c>
      <c r="FA71" s="390" t="str">
        <f>IF(AND(FA$12&gt;=$E71,FA$12&lt;=$F71,MOD(FA$12,7)&gt;1,NOT(COUNTIF(General!$U$13:$U$19,FA$12))),$I71,"")</f>
        <v/>
      </c>
      <c r="FB71" s="390" t="str">
        <f>IF(AND(FB$12&gt;=$E71,FB$12&lt;=$F71,MOD(FB$12,7)&gt;1,NOT(COUNTIF(General!$U$13:$U$19,FB$12))),$I71,"")</f>
        <v/>
      </c>
      <c r="FC71" s="390" t="str">
        <f>IF(AND(FC$12&gt;=$E71,FC$12&lt;=$F71,MOD(FC$12,7)&gt;1,NOT(COUNTIF(General!$U$13:$U$19,FC$12))),$I71,"")</f>
        <v/>
      </c>
      <c r="FD71" s="390" t="str">
        <f>IF(AND(FD$12&gt;=$E71,FD$12&lt;=$F71,MOD(FD$12,7)&gt;1,NOT(COUNTIF(General!$U$13:$U$19,FD$12))),$I71,"")</f>
        <v/>
      </c>
      <c r="FE71" s="390" t="str">
        <f>IF(AND(FE$12&gt;=$E71,FE$12&lt;=$F71,MOD(FE$12,7)&gt;1,NOT(COUNTIF(General!$U$13:$U$19,FE$12))),$I71,"")</f>
        <v/>
      </c>
      <c r="FF71" s="390" t="str">
        <f>IF(AND(FF$12&gt;=$E71,FF$12&lt;=$F71,MOD(FF$12,7)&gt;1,NOT(COUNTIF(General!$U$13:$U$19,FF$12))),$I71,"")</f>
        <v/>
      </c>
      <c r="FG71" s="390" t="str">
        <f>IF(AND(FG$12&gt;=$E71,FG$12&lt;=$F71,MOD(FG$12,7)&gt;1,NOT(COUNTIF(General!$U$13:$U$19,FG$12))),$I71,"")</f>
        <v/>
      </c>
      <c r="FH71" s="390" t="str">
        <f>IF(AND(FH$12&gt;=$E71,FH$12&lt;=$F71,MOD(FH$12,7)&gt;1,NOT(COUNTIF(General!$U$13:$U$19,FH$12))),$I71,"")</f>
        <v/>
      </c>
      <c r="FI71" s="390" t="str">
        <f>IF(AND(FI$12&gt;=$E71,FI$12&lt;=$F71,MOD(FI$12,7)&gt;1,NOT(COUNTIF(General!$U$13:$U$19,FI$12))),$I71,"")</f>
        <v/>
      </c>
      <c r="FJ71" s="390" t="str">
        <f>IF(AND(FJ$12&gt;=$E71,FJ$12&lt;=$F71,MOD(FJ$12,7)&gt;1,NOT(COUNTIF(General!$U$13:$U$19,FJ$12))),$I71,"")</f>
        <v/>
      </c>
      <c r="FK71" s="390" t="str">
        <f>IF(AND(FK$12&gt;=$E71,FK$12&lt;=$F71,MOD(FK$12,7)&gt;1,NOT(COUNTIF(General!$U$13:$U$19,FK$12))),$I71,"")</f>
        <v/>
      </c>
      <c r="FL71" s="390" t="str">
        <f>IF(AND(FL$12&gt;=$E71,FL$12&lt;=$F71,MOD(FL$12,7)&gt;1,NOT(COUNTIF(General!$U$13:$U$19,FL$12))),$I71,"")</f>
        <v/>
      </c>
      <c r="FM71" s="390" t="str">
        <f>IF(AND(FM$12&gt;=$E71,FM$12&lt;=$F71,MOD(FM$12,7)&gt;1,NOT(COUNTIF(General!$U$13:$U$19,FM$12))),$I71,"")</f>
        <v/>
      </c>
      <c r="FN71" s="390" t="str">
        <f>IF(AND(FN$12&gt;=$E71,FN$12&lt;=$F71,MOD(FN$12,7)&gt;1,NOT(COUNTIF(General!$U$13:$U$19,FN$12))),$I71,"")</f>
        <v/>
      </c>
      <c r="FO71" s="390" t="str">
        <f>IF(AND(FO$12&gt;=$E71,FO$12&lt;=$F71,MOD(FO$12,7)&gt;1,NOT(COUNTIF(General!$U$13:$U$19,FO$12))),$I71,"")</f>
        <v/>
      </c>
      <c r="FP71" s="390" t="str">
        <f>IF(AND(FP$12&gt;=$E71,FP$12&lt;=$F71,MOD(FP$12,7)&gt;1,NOT(COUNTIF(General!$U$13:$U$19,FP$12))),$I71,"")</f>
        <v/>
      </c>
      <c r="FQ71" s="390" t="str">
        <f>IF(AND(FQ$12&gt;=$E71,FQ$12&lt;=$F71,MOD(FQ$12,7)&gt;1,NOT(COUNTIF(General!$U$13:$U$19,FQ$12))),$I71,"")</f>
        <v/>
      </c>
      <c r="FR71" s="390" t="str">
        <f>IF(AND(FR$12&gt;=$E71,FR$12&lt;=$F71,MOD(FR$12,7)&gt;1,NOT(COUNTIF(General!$U$13:$U$19,FR$12))),$I71,"")</f>
        <v/>
      </c>
      <c r="FS71" s="390" t="str">
        <f>IF(AND(FS$12&gt;=$E71,FS$12&lt;=$F71,MOD(FS$12,7)&gt;1,NOT(COUNTIF(General!$U$13:$U$19,FS$12))),$I71,"")</f>
        <v/>
      </c>
      <c r="FT71" s="390" t="str">
        <f>IF(AND(FT$12&gt;=$E71,FT$12&lt;=$F71,MOD(FT$12,7)&gt;1,NOT(COUNTIF(General!$U$13:$U$19,FT$12))),$I71,"")</f>
        <v/>
      </c>
      <c r="FU71" s="390" t="str">
        <f>IF(AND(FU$12&gt;=$E71,FU$12&lt;=$F71,MOD(FU$12,7)&gt;1,NOT(COUNTIF(General!$U$13:$U$19,FU$12))),$I71,"")</f>
        <v/>
      </c>
      <c r="FV71" s="390" t="str">
        <f>IF(AND(FV$12&gt;=$E71,FV$12&lt;=$F71,MOD(FV$12,7)&gt;1,NOT(COUNTIF(General!$U$13:$U$19,FV$12))),$I71,"")</f>
        <v/>
      </c>
      <c r="FW71" s="390" t="str">
        <f>IF(AND(FW$12&gt;=$E71,FW$12&lt;=$F71,MOD(FW$12,7)&gt;1,NOT(COUNTIF(General!$U$13:$U$19,FW$12))),$I71,"")</f>
        <v/>
      </c>
      <c r="FX71" s="390" t="str">
        <f>IF(AND(FX$12&gt;=$E71,FX$12&lt;=$F71,MOD(FX$12,7)&gt;1,NOT(COUNTIF(General!$U$13:$U$19,FX$12))),$I71,"")</f>
        <v/>
      </c>
    </row>
    <row r="72" ht="16.5" customHeight="1">
      <c r="A72" s="613"/>
      <c r="B72" s="615"/>
      <c r="C72" s="370"/>
      <c r="D72" s="637" t="s">
        <v>439</v>
      </c>
      <c r="E72" s="635"/>
      <c r="F72" s="374"/>
      <c r="G72" s="636"/>
      <c r="H72" s="377"/>
      <c r="I72" s="379">
        <v>1.0</v>
      </c>
      <c r="J72" s="377"/>
      <c r="K72" s="381"/>
      <c r="L72" s="382"/>
      <c r="M72" s="383"/>
      <c r="N72" s="384"/>
      <c r="O72" s="386"/>
      <c r="P72" s="388"/>
      <c r="Q72" s="390" t="str">
        <f>IF(AND(Q$12&gt;=$E72,Q$12&lt;=$F72,MOD(Q$12,7)&gt;1,NOT(COUNTIF(General!$U$13:$U$19,Q$12))),$I72,"")</f>
        <v/>
      </c>
      <c r="R72" s="390" t="str">
        <f>IF(AND(R$12&gt;=$E72,R$12&lt;=$F72,MOD(R$12,7)&gt;1,NOT(COUNTIF(General!$U$13:$U$19,R$12))),$I72,"")</f>
        <v/>
      </c>
      <c r="S72" s="390" t="str">
        <f>IF(AND(S$12&gt;=$E72,S$12&lt;=$F72,MOD(S$12,7)&gt;1,NOT(COUNTIF(General!$U$13:$U$19,S$12))),$I72,"")</f>
        <v/>
      </c>
      <c r="T72" s="390" t="str">
        <f>IF(AND(T$12&gt;=$E72,T$12&lt;=$F72,MOD(T$12,7)&gt;1,NOT(COUNTIF(General!$U$13:$U$19,T$12))),$I72,"")</f>
        <v/>
      </c>
      <c r="U72" s="390" t="str">
        <f>IF(AND(U$12&gt;=$E72,U$12&lt;=$F72,MOD(U$12,7)&gt;1,NOT(COUNTIF(General!$U$13:$U$19,U$12))),$I72,"")</f>
        <v/>
      </c>
      <c r="V72" s="390" t="str">
        <f>IF(AND(V$12&gt;=$E72,V$12&lt;=$F72,MOD(V$12,7)&gt;1,NOT(COUNTIF(General!$U$13:$U$19,V$12))),$I72,"")</f>
        <v/>
      </c>
      <c r="W72" s="390" t="str">
        <f>IF(AND(W$12&gt;=$E72,W$12&lt;=$F72,MOD(W$12,7)&gt;1,NOT(COUNTIF(General!$U$13:$U$19,W$12))),$I72,"")</f>
        <v/>
      </c>
      <c r="X72" s="390" t="str">
        <f>IF(AND(X$12&gt;=$E72,X$12&lt;=$F72,MOD(X$12,7)&gt;1,NOT(COUNTIF(General!$U$13:$U$19,X$12))),$I72,"")</f>
        <v/>
      </c>
      <c r="Y72" s="390" t="str">
        <f>IF(AND(Y$12&gt;=$E72,Y$12&lt;=$F72,MOD(Y$12,7)&gt;1,NOT(COUNTIF(General!$U$13:$U$19,Y$12))),$I72,"")</f>
        <v/>
      </c>
      <c r="Z72" s="390" t="str">
        <f>IF(AND(Z$12&gt;=$E72,Z$12&lt;=$F72,MOD(Z$12,7)&gt;1,NOT(COUNTIF(General!$U$13:$U$19,Z$12))),$I72,"")</f>
        <v/>
      </c>
      <c r="AA72" s="390" t="str">
        <f>IF(AND(AA$12&gt;=$E72,AA$12&lt;=$F72,MOD(AA$12,7)&gt;1,NOT(COUNTIF(General!$U$13:$U$19,AA$12))),$I72,"")</f>
        <v/>
      </c>
      <c r="AB72" s="390" t="str">
        <f>IF(AND(AB$12&gt;=$E72,AB$12&lt;=$F72,MOD(AB$12,7)&gt;1,NOT(COUNTIF(General!$U$13:$U$19,AB$12))),$I72,"")</f>
        <v/>
      </c>
      <c r="AC72" s="390" t="str">
        <f>IF(AND(AC$12&gt;=$E72,AC$12&lt;=$F72,MOD(AC$12,7)&gt;1,NOT(COUNTIF(General!$U$13:$U$19,AC$12))),$I72,"")</f>
        <v/>
      </c>
      <c r="AD72" s="390" t="str">
        <f>IF(AND(AD$12&gt;=$E72,AD$12&lt;=$F72,MOD(AD$12,7)&gt;1,NOT(COUNTIF(General!$U$13:$U$19,AD$12))),$I72,"")</f>
        <v/>
      </c>
      <c r="AE72" s="390" t="str">
        <f>IF(AND(AE$12&gt;=$E72,AE$12&lt;=$F72,MOD(AE$12,7)&gt;1,NOT(COUNTIF(General!$U$13:$U$19,AE$12))),$I72,"")</f>
        <v/>
      </c>
      <c r="AF72" s="390" t="str">
        <f>IF(AND(AF$12&gt;=$E72,AF$12&lt;=$F72,MOD(AF$12,7)&gt;1,NOT(COUNTIF(General!$U$13:$U$19,AF$12))),$I72,"")</f>
        <v/>
      </c>
      <c r="AG72" s="390" t="str">
        <f>IF(AND(AG$12&gt;=$E72,AG$12&lt;=$F72,MOD(AG$12,7)&gt;1,NOT(COUNTIF(General!$U$13:$U$19,AG$12))),$I72,"")</f>
        <v/>
      </c>
      <c r="AH72" s="390" t="str">
        <f>IF(AND(AH$12&gt;=$E72,AH$12&lt;=$F72,MOD(AH$12,7)&gt;1,NOT(COUNTIF(General!$U$13:$U$19,AH$12))),$I72,"")</f>
        <v/>
      </c>
      <c r="AI72" s="390" t="str">
        <f>IF(AND(AI$12&gt;=$E72,AI$12&lt;=$F72,MOD(AI$12,7)&gt;1,NOT(COUNTIF(General!$U$13:$U$19,AI$12))),$I72,"")</f>
        <v/>
      </c>
      <c r="AJ72" s="390" t="str">
        <f>IF(AND(AJ$12&gt;=$E72,AJ$12&lt;=$F72,MOD(AJ$12,7)&gt;1,NOT(COUNTIF(General!$U$13:$U$19,AJ$12))),$I72,"")</f>
        <v/>
      </c>
      <c r="AK72" s="390" t="str">
        <f>IF(AND(AK$12&gt;=$E72,AK$12&lt;=$F72,MOD(AK$12,7)&gt;1,NOT(COUNTIF(General!$U$13:$U$19,AK$12))),$I72,"")</f>
        <v/>
      </c>
      <c r="AL72" s="390" t="str">
        <f>IF(AND(AL$12&gt;=$E72,AL$12&lt;=$F72,MOD(AL$12,7)&gt;1,NOT(COUNTIF(General!$U$13:$U$19,AL$12))),$I72,"")</f>
        <v/>
      </c>
      <c r="AM72" s="390" t="str">
        <f>IF(AND(AM$12&gt;=$E72,AM$12&lt;=$F72,MOD(AM$12,7)&gt;1,NOT(COUNTIF(General!$U$13:$U$19,AM$12))),$I72,"")</f>
        <v/>
      </c>
      <c r="AN72" s="390" t="str">
        <f>IF(AND(AN$12&gt;=$E72,AN$12&lt;=$F72,MOD(AN$12,7)&gt;1,NOT(COUNTIF(General!$U$13:$U$19,AN$12))),$I72,"")</f>
        <v/>
      </c>
      <c r="AO72" s="390" t="str">
        <f>IF(AND(AO$12&gt;=$E72,AO$12&lt;=$F72,MOD(AO$12,7)&gt;1,NOT(COUNTIF(General!$U$13:$U$19,AO$12))),$I72,"")</f>
        <v/>
      </c>
      <c r="AP72" s="390" t="str">
        <f>IF(AND(AP$12&gt;=$E72,AP$12&lt;=$F72,MOD(AP$12,7)&gt;1,NOT(COUNTIF(General!$U$13:$U$19,AP$12))),$I72,"")</f>
        <v/>
      </c>
      <c r="AQ72" s="390" t="str">
        <f>IF(AND(AQ$12&gt;=$E72,AQ$12&lt;=$F72,MOD(AQ$12,7)&gt;1,NOT(COUNTIF(General!$U$13:$U$19,AQ$12))),$I72,"")</f>
        <v/>
      </c>
      <c r="AR72" s="390" t="str">
        <f>IF(AND(AR$12&gt;=$E72,AR$12&lt;=$F72,MOD(AR$12,7)&gt;1,NOT(COUNTIF(General!$U$13:$U$19,AR$12))),$I72,"")</f>
        <v/>
      </c>
      <c r="AS72" s="390" t="str">
        <f>IF(AND(AS$12&gt;=$E72,AS$12&lt;=$F72,MOD(AS$12,7)&gt;1,NOT(COUNTIF(General!$U$13:$U$19,AS$12))),$I72,"")</f>
        <v/>
      </c>
      <c r="AT72" s="390" t="str">
        <f>IF(AND(AT$12&gt;=$E72,AT$12&lt;=$F72,MOD(AT$12,7)&gt;1,NOT(COUNTIF(General!$U$13:$U$19,AT$12))),$I72,"")</f>
        <v/>
      </c>
      <c r="AU72" s="390" t="str">
        <f>IF(AND(AU$12&gt;=$E72,AU$12&lt;=$F72,MOD(AU$12,7)&gt;1,NOT(COUNTIF(General!$U$13:$U$19,AU$12))),$I72,"")</f>
        <v/>
      </c>
      <c r="AV72" s="390" t="str">
        <f>IF(AND(AV$12&gt;=$E72,AV$12&lt;=$F72,MOD(AV$12,7)&gt;1,NOT(COUNTIF(General!$U$13:$U$19,AV$12))),$I72,"")</f>
        <v/>
      </c>
      <c r="AW72" s="390" t="str">
        <f>IF(AND(AW$12&gt;=$E72,AW$12&lt;=$F72,MOD(AW$12,7)&gt;1,NOT(COUNTIF(General!$U$13:$U$19,AW$12))),$I72,"")</f>
        <v/>
      </c>
      <c r="AX72" s="390" t="str">
        <f>IF(AND(AX$12&gt;=$E72,AX$12&lt;=$F72,MOD(AX$12,7)&gt;1,NOT(COUNTIF(General!$U$13:$U$19,AX$12))),$I72,"")</f>
        <v/>
      </c>
      <c r="AY72" s="390" t="str">
        <f>IF(AND(AY$12&gt;=$E72,AY$12&lt;=$F72,MOD(AY$12,7)&gt;1,NOT(COUNTIF(General!$U$13:$U$19,AY$12))),$I72,"")</f>
        <v/>
      </c>
      <c r="AZ72" s="390" t="str">
        <f>IF(AND(AZ$12&gt;=$E72,AZ$12&lt;=$F72,MOD(AZ$12,7)&gt;1,NOT(COUNTIF(General!$U$13:$U$19,AZ$12))),$I72,"")</f>
        <v/>
      </c>
      <c r="BA72" s="390" t="str">
        <f>IF(AND(BA$12&gt;=$E72,BA$12&lt;=$F72,MOD(BA$12,7)&gt;1,NOT(COUNTIF(General!$U$13:$U$19,BA$12))),$I72,"")</f>
        <v/>
      </c>
      <c r="BB72" s="390" t="str">
        <f>IF(AND(BB$12&gt;=$E72,BB$12&lt;=$F72,MOD(BB$12,7)&gt;1,NOT(COUNTIF(General!$U$13:$U$19,BB$12))),$I72,"")</f>
        <v/>
      </c>
      <c r="BC72" s="390" t="str">
        <f>IF(AND(BC$12&gt;=$E72,BC$12&lt;=$F72,MOD(BC$12,7)&gt;1,NOT(COUNTIF(General!$U$13:$U$19,BC$12))),$I72,"")</f>
        <v/>
      </c>
      <c r="BD72" s="390" t="str">
        <f>IF(AND(BD$12&gt;=$E72,BD$12&lt;=$F72,MOD(BD$12,7)&gt;1,NOT(COUNTIF(General!$U$13:$U$19,BD$12))),$I72,"")</f>
        <v/>
      </c>
      <c r="BE72" s="390" t="str">
        <f>IF(AND(BE$12&gt;=$E72,BE$12&lt;=$F72,MOD(BE$12,7)&gt;1,NOT(COUNTIF(General!$U$13:$U$19,BE$12))),$I72,"")</f>
        <v/>
      </c>
      <c r="BF72" s="390" t="str">
        <f>IF(AND(BF$12&gt;=$E72,BF$12&lt;=$F72,MOD(BF$12,7)&gt;1,NOT(COUNTIF(General!$U$13:$U$19,BF$12))),$I72,"")</f>
        <v/>
      </c>
      <c r="BG72" s="390" t="str">
        <f>IF(AND(BG$12&gt;=$E72,BG$12&lt;=$F72,MOD(BG$12,7)&gt;1,NOT(COUNTIF(General!$U$13:$U$19,BG$12))),$I72,"")</f>
        <v/>
      </c>
      <c r="BH72" s="390" t="str">
        <f>IF(AND(BH$12&gt;=$E72,BH$12&lt;=$F72,MOD(BH$12,7)&gt;1,NOT(COUNTIF(General!$U$13:$U$19,BH$12))),$I72,"")</f>
        <v/>
      </c>
      <c r="BI72" s="390" t="str">
        <f>IF(AND(BI$12&gt;=$E72,BI$12&lt;=$F72,MOD(BI$12,7)&gt;1,NOT(COUNTIF(General!$U$13:$U$19,BI$12))),$I72,"")</f>
        <v/>
      </c>
      <c r="BJ72" s="390" t="str">
        <f>IF(AND(BJ$12&gt;=$E72,BJ$12&lt;=$F72,MOD(BJ$12,7)&gt;1,NOT(COUNTIF(General!$U$13:$U$19,BJ$12))),$I72,"")</f>
        <v/>
      </c>
      <c r="BK72" s="390" t="str">
        <f>IF(AND(BK$12&gt;=$E72,BK$12&lt;=$F72,MOD(BK$12,7)&gt;1,NOT(COUNTIF(General!$U$13:$U$19,BK$12))),$I72,"")</f>
        <v/>
      </c>
      <c r="BL72" s="390" t="str">
        <f>IF(AND(BL$12&gt;=$E72,BL$12&lt;=$F72,MOD(BL$12,7)&gt;1,NOT(COUNTIF(General!$U$13:$U$19,BL$12))),$I72,"")</f>
        <v/>
      </c>
      <c r="BM72" s="390" t="str">
        <f>IF(AND(BM$12&gt;=$E72,BM$12&lt;=$F72,MOD(BM$12,7)&gt;1,NOT(COUNTIF(General!$U$13:$U$19,BM$12))),$I72,"")</f>
        <v/>
      </c>
      <c r="BN72" s="390" t="str">
        <f>IF(AND(BN$12&gt;=$E72,BN$12&lt;=$F72,MOD(BN$12,7)&gt;1,NOT(COUNTIF(General!$U$13:$U$19,BN$12))),$I72,"")</f>
        <v/>
      </c>
      <c r="BO72" s="390" t="str">
        <f>IF(AND(BO$12&gt;=$E72,BO$12&lt;=$F72,MOD(BO$12,7)&gt;1,NOT(COUNTIF(General!$U$13:$U$19,BO$12))),$I72,"")</f>
        <v/>
      </c>
      <c r="BP72" s="390" t="str">
        <f>IF(AND(BP$12&gt;=$E72,BP$12&lt;=$F72,MOD(BP$12,7)&gt;1,NOT(COUNTIF(General!$U$13:$U$19,BP$12))),$I72,"")</f>
        <v/>
      </c>
      <c r="BQ72" s="390" t="str">
        <f>IF(AND(BQ$12&gt;=$E72,BQ$12&lt;=$F72,MOD(BQ$12,7)&gt;1,NOT(COUNTIF(General!$U$13:$U$19,BQ$12))),$I72,"")</f>
        <v/>
      </c>
      <c r="BR72" s="390" t="str">
        <f>IF(AND(BR$12&gt;=$E72,BR$12&lt;=$F72,MOD(BR$12,7)&gt;1,NOT(COUNTIF(General!$U$13:$U$19,BR$12))),$I72,"")</f>
        <v/>
      </c>
      <c r="BS72" s="390" t="str">
        <f>IF(AND(BS$12&gt;=$E72,BS$12&lt;=$F72,MOD(BS$12,7)&gt;1,NOT(COUNTIF(General!$U$13:$U$19,BS$12))),$I72,"")</f>
        <v/>
      </c>
      <c r="BT72" s="390" t="str">
        <f>IF(AND(BT$12&gt;=$E72,BT$12&lt;=$F72,MOD(BT$12,7)&gt;1,NOT(COUNTIF(General!$U$13:$U$19,BT$12))),$I72,"")</f>
        <v/>
      </c>
      <c r="BU72" s="390" t="str">
        <f>IF(AND(BU$12&gt;=$E72,BU$12&lt;=$F72,MOD(BU$12,7)&gt;1,NOT(COUNTIF(General!$U$13:$U$19,BU$12))),$I72,"")</f>
        <v/>
      </c>
      <c r="BV72" s="390" t="str">
        <f>IF(AND(BV$12&gt;=$E72,BV$12&lt;=$F72,MOD(BV$12,7)&gt;1,NOT(COUNTIF(General!$U$13:$U$19,BV$12))),$I72,"")</f>
        <v/>
      </c>
      <c r="BW72" s="390" t="str">
        <f>IF(AND(BW$12&gt;=$E72,BW$12&lt;=$F72,MOD(BW$12,7)&gt;1,NOT(COUNTIF(General!$U$13:$U$19,BW$12))),$I72,"")</f>
        <v/>
      </c>
      <c r="BX72" s="390" t="str">
        <f>IF(AND(BX$12&gt;=$E72,BX$12&lt;=$F72,MOD(BX$12,7)&gt;1,NOT(COUNTIF(General!$U$13:$U$19,BX$12))),$I72,"")</f>
        <v/>
      </c>
      <c r="BY72" s="390" t="str">
        <f>IF(AND(BY$12&gt;=$E72,BY$12&lt;=$F72,MOD(BY$12,7)&gt;1,NOT(COUNTIF(General!$U$13:$U$19,BY$12))),$I72,"")</f>
        <v/>
      </c>
      <c r="BZ72" s="390" t="str">
        <f>IF(AND(BZ$12&gt;=$E72,BZ$12&lt;=$F72,MOD(BZ$12,7)&gt;1,NOT(COUNTIF(General!$U$13:$U$19,BZ$12))),$I72,"")</f>
        <v/>
      </c>
      <c r="CA72" s="390" t="str">
        <f>IF(AND(CA$12&gt;=$E72,CA$12&lt;=$F72,MOD(CA$12,7)&gt;1,NOT(COUNTIF(General!$U$13:$U$19,CA$12))),$I72,"")</f>
        <v/>
      </c>
      <c r="CB72" s="390" t="str">
        <f>IF(AND(CB$12&gt;=$E72,CB$12&lt;=$F72,MOD(CB$12,7)&gt;1,NOT(COUNTIF(General!$U$13:$U$19,CB$12))),$I72,"")</f>
        <v/>
      </c>
      <c r="CC72" s="390" t="str">
        <f>IF(AND(CC$12&gt;=$E72,CC$12&lt;=$F72,MOD(CC$12,7)&gt;1,NOT(COUNTIF(General!$U$13:$U$19,CC$12))),$I72,"")</f>
        <v/>
      </c>
      <c r="CD72" s="390" t="str">
        <f>IF(AND(CD$12&gt;=$E72,CD$12&lt;=$F72,MOD(CD$12,7)&gt;1,NOT(COUNTIF(General!$U$13:$U$19,CD$12))),$I72,"")</f>
        <v/>
      </c>
      <c r="CE72" s="390" t="str">
        <f>IF(AND(CE$12&gt;=$E72,CE$12&lt;=$F72,MOD(CE$12,7)&gt;1,NOT(COUNTIF(General!$U$13:$U$19,CE$12))),$I72,"")</f>
        <v/>
      </c>
      <c r="CF72" s="390" t="str">
        <f>IF(AND(CF$12&gt;=$E72,CF$12&lt;=$F72,MOD(CF$12,7)&gt;1,NOT(COUNTIF(General!$U$13:$U$19,CF$12))),$I72,"")</f>
        <v/>
      </c>
      <c r="CG72" s="390" t="str">
        <f>IF(AND(CG$12&gt;=$E72,CG$12&lt;=$F72,MOD(CG$12,7)&gt;1,NOT(COUNTIF(General!$U$13:$U$19,CG$12))),$I72,"")</f>
        <v/>
      </c>
      <c r="CH72" s="390" t="str">
        <f>IF(AND(CH$12&gt;=$E72,CH$12&lt;=$F72,MOD(CH$12,7)&gt;1,NOT(COUNTIF(General!$U$13:$U$19,CH$12))),$I72,"")</f>
        <v/>
      </c>
      <c r="CI72" s="390" t="str">
        <f>IF(AND(CI$12&gt;=$E72,CI$12&lt;=$F72,MOD(CI$12,7)&gt;1,NOT(COUNTIF(General!$U$13:$U$19,CI$12))),$I72,"")</f>
        <v/>
      </c>
      <c r="CJ72" s="390" t="str">
        <f>IF(AND(CJ$12&gt;=$E72,CJ$12&lt;=$F72,MOD(CJ$12,7)&gt;1,NOT(COUNTIF(General!$U$13:$U$19,CJ$12))),$I72,"")</f>
        <v/>
      </c>
      <c r="CK72" s="390" t="str">
        <f>IF(AND(CK$12&gt;=$E72,CK$12&lt;=$F72,MOD(CK$12,7)&gt;1,NOT(COUNTIF(General!$U$13:$U$19,CK$12))),$I72,"")</f>
        <v/>
      </c>
      <c r="CL72" s="390" t="str">
        <f>IF(AND(CL$12&gt;=$E72,CL$12&lt;=$F72,MOD(CL$12,7)&gt;1,NOT(COUNTIF(General!$U$13:$U$19,CL$12))),$I72,"")</f>
        <v/>
      </c>
      <c r="CM72" s="390" t="str">
        <f>IF(AND(CM$12&gt;=$E72,CM$12&lt;=$F72,MOD(CM$12,7)&gt;1,NOT(COUNTIF(General!$U$13:$U$19,CM$12))),$I72,"")</f>
        <v/>
      </c>
      <c r="CN72" s="390" t="str">
        <f>IF(AND(CN$12&gt;=$E72,CN$12&lt;=$F72,MOD(CN$12,7)&gt;1,NOT(COUNTIF(General!$U$13:$U$19,CN$12))),$I72,"")</f>
        <v/>
      </c>
      <c r="CO72" s="390" t="str">
        <f>IF(AND(CO$12&gt;=$E72,CO$12&lt;=$F72,MOD(CO$12,7)&gt;1,NOT(COUNTIF(General!$U$13:$U$19,CO$12))),$I72,"")</f>
        <v/>
      </c>
      <c r="CP72" s="390" t="str">
        <f>IF(AND(CP$12&gt;=$E72,CP$12&lt;=$F72,MOD(CP$12,7)&gt;1,NOT(COUNTIF(General!$U$13:$U$19,CP$12))),$I72,"")</f>
        <v/>
      </c>
      <c r="CQ72" s="390" t="str">
        <f>IF(AND(CQ$12&gt;=$E72,CQ$12&lt;=$F72,MOD(CQ$12,7)&gt;1,NOT(COUNTIF(General!$U$13:$U$19,CQ$12))),$I72,"")</f>
        <v/>
      </c>
      <c r="CR72" s="390" t="str">
        <f>IF(AND(CR$12&gt;=$E72,CR$12&lt;=$F72,MOD(CR$12,7)&gt;1,NOT(COUNTIF(General!$U$13:$U$19,CR$12))),$I72,"")</f>
        <v/>
      </c>
      <c r="CS72" s="390" t="str">
        <f>IF(AND(CS$12&gt;=$E72,CS$12&lt;=$F72,MOD(CS$12,7)&gt;1,NOT(COUNTIF(General!$U$13:$U$19,CS$12))),$I72,"")</f>
        <v/>
      </c>
      <c r="CT72" s="390" t="str">
        <f>IF(AND(CT$12&gt;=$E72,CT$12&lt;=$F72,MOD(CT$12,7)&gt;1,NOT(COUNTIF(General!$U$13:$U$19,CT$12))),$I72,"")</f>
        <v/>
      </c>
      <c r="CU72" s="390" t="str">
        <f>IF(AND(CU$12&gt;=$E72,CU$12&lt;=$F72,MOD(CU$12,7)&gt;1,NOT(COUNTIF(General!$U$13:$U$19,CU$12))),$I72,"")</f>
        <v/>
      </c>
      <c r="CV72" s="390" t="str">
        <f>IF(AND(CV$12&gt;=$E72,CV$12&lt;=$F72,MOD(CV$12,7)&gt;1,NOT(COUNTIF(General!$U$13:$U$19,CV$12))),$I72,"")</f>
        <v/>
      </c>
      <c r="CW72" s="390" t="str">
        <f>IF(AND(CW$12&gt;=$E72,CW$12&lt;=$F72,MOD(CW$12,7)&gt;1,NOT(COUNTIF(General!$U$13:$U$19,CW$12))),$I72,"")</f>
        <v/>
      </c>
      <c r="CX72" s="390" t="str">
        <f>IF(AND(CX$12&gt;=$E72,CX$12&lt;=$F72,MOD(CX$12,7)&gt;1,NOT(COUNTIF(General!$U$13:$U$19,CX$12))),$I72,"")</f>
        <v/>
      </c>
      <c r="CY72" s="390" t="str">
        <f>IF(AND(CY$12&gt;=$E72,CY$12&lt;=$F72,MOD(CY$12,7)&gt;1,NOT(COUNTIF(General!$U$13:$U$19,CY$12))),$I72,"")</f>
        <v/>
      </c>
      <c r="CZ72" s="390" t="str">
        <f>IF(AND(CZ$12&gt;=$E72,CZ$12&lt;=$F72,MOD(CZ$12,7)&gt;1,NOT(COUNTIF(General!$U$13:$U$19,CZ$12))),$I72,"")</f>
        <v/>
      </c>
      <c r="DA72" s="390" t="str">
        <f>IF(AND(DA$12&gt;=$E72,DA$12&lt;=$F72,MOD(DA$12,7)&gt;1,NOT(COUNTIF(General!$U$13:$U$19,DA$12))),$I72,"")</f>
        <v/>
      </c>
      <c r="DB72" s="390" t="str">
        <f>IF(AND(DB$12&gt;=$E72,DB$12&lt;=$F72,MOD(DB$12,7)&gt;1,NOT(COUNTIF(General!$U$13:$U$19,DB$12))),$I72,"")</f>
        <v/>
      </c>
      <c r="DC72" s="390" t="str">
        <f>IF(AND(DC$12&gt;=$E72,DC$12&lt;=$F72,MOD(DC$12,7)&gt;1,NOT(COUNTIF(General!$U$13:$U$19,DC$12))),$I72,"")</f>
        <v/>
      </c>
      <c r="DD72" s="390" t="str">
        <f>IF(AND(DD$12&gt;=$E72,DD$12&lt;=$F72,MOD(DD$12,7)&gt;1,NOT(COUNTIF(General!$U$13:$U$19,DD$12))),$I72,"")</f>
        <v/>
      </c>
      <c r="DE72" s="390" t="str">
        <f>IF(AND(DE$12&gt;=$E72,DE$12&lt;=$F72,MOD(DE$12,7)&gt;1,NOT(COUNTIF(General!$U$13:$U$19,DE$12))),$I72,"")</f>
        <v/>
      </c>
      <c r="DF72" s="390" t="str">
        <f>IF(AND(DF$12&gt;=$E72,DF$12&lt;=$F72,MOD(DF$12,7)&gt;1,NOT(COUNTIF(General!$U$13:$U$19,DF$12))),$I72,"")</f>
        <v/>
      </c>
      <c r="DG72" s="390" t="str">
        <f>IF(AND(DG$12&gt;=$E72,DG$12&lt;=$F72,MOD(DG$12,7)&gt;1,NOT(COUNTIF(General!$U$13:$U$19,DG$12))),$I72,"")</f>
        <v/>
      </c>
      <c r="DH72" s="390" t="str">
        <f>IF(AND(DH$12&gt;=$E72,DH$12&lt;=$F72,MOD(DH$12,7)&gt;1,NOT(COUNTIF(General!$U$13:$U$19,DH$12))),$I72,"")</f>
        <v/>
      </c>
      <c r="DI72" s="390" t="str">
        <f>IF(AND(DI$12&gt;=$E72,DI$12&lt;=$F72,MOD(DI$12,7)&gt;1,NOT(COUNTIF(General!$U$13:$U$19,DI$12))),$I72,"")</f>
        <v/>
      </c>
      <c r="DJ72" s="390" t="str">
        <f>IF(AND(DJ$12&gt;=$E72,DJ$12&lt;=$F72,MOD(DJ$12,7)&gt;1,NOT(COUNTIF(General!$U$13:$U$19,DJ$12))),$I72,"")</f>
        <v/>
      </c>
      <c r="DK72" s="390" t="str">
        <f>IF(AND(DK$12&gt;=$E72,DK$12&lt;=$F72,MOD(DK$12,7)&gt;1,NOT(COUNTIF(General!$U$13:$U$19,DK$12))),$I72,"")</f>
        <v/>
      </c>
      <c r="DL72" s="390" t="str">
        <f>IF(AND(DL$12&gt;=$E72,DL$12&lt;=$F72,MOD(DL$12,7)&gt;1,NOT(COUNTIF(General!$U$13:$U$19,DL$12))),$I72,"")</f>
        <v/>
      </c>
      <c r="DM72" s="390" t="str">
        <f>IF(AND(DM$12&gt;=$E72,DM$12&lt;=$F72,MOD(DM$12,7)&gt;1,NOT(COUNTIF(General!$U$13:$U$19,DM$12))),$I72,"")</f>
        <v/>
      </c>
      <c r="DN72" s="390" t="str">
        <f>IF(AND(DN$12&gt;=$E72,DN$12&lt;=$F72,MOD(DN$12,7)&gt;1,NOT(COUNTIF(General!$U$13:$U$19,DN$12))),$I72,"")</f>
        <v/>
      </c>
      <c r="DO72" s="390" t="str">
        <f>IF(AND(DO$12&gt;=$E72,DO$12&lt;=$F72,MOD(DO$12,7)&gt;1,NOT(COUNTIF(General!$U$13:$U$19,DO$12))),$I72,"")</f>
        <v/>
      </c>
      <c r="DP72" s="390" t="str">
        <f>IF(AND(DP$12&gt;=$E72,DP$12&lt;=$F72,MOD(DP$12,7)&gt;1,NOT(COUNTIF(General!$U$13:$U$19,DP$12))),$I72,"")</f>
        <v/>
      </c>
      <c r="DQ72" s="390" t="str">
        <f>IF(AND(DQ$12&gt;=$E72,DQ$12&lt;=$F72,MOD(DQ$12,7)&gt;1,NOT(COUNTIF(General!$U$13:$U$19,DQ$12))),$I72,"")</f>
        <v/>
      </c>
      <c r="DR72" s="390" t="str">
        <f>IF(AND(DR$12&gt;=$E72,DR$12&lt;=$F72,MOD(DR$12,7)&gt;1,NOT(COUNTIF(General!$U$13:$U$19,DR$12))),$I72,"")</f>
        <v/>
      </c>
      <c r="DS72" s="390" t="str">
        <f>IF(AND(DS$12&gt;=$E72,DS$12&lt;=$F72,MOD(DS$12,7)&gt;1,NOT(COUNTIF(General!$U$13:$U$19,DS$12))),$I72,"")</f>
        <v/>
      </c>
      <c r="DT72" s="390" t="str">
        <f>IF(AND(DT$12&gt;=$E72,DT$12&lt;=$F72,MOD(DT$12,7)&gt;1,NOT(COUNTIF(General!$U$13:$U$19,DT$12))),$I72,"")</f>
        <v/>
      </c>
      <c r="DU72" s="390" t="str">
        <f>IF(AND(DU$12&gt;=$E72,DU$12&lt;=$F72,MOD(DU$12,7)&gt;1,NOT(COUNTIF(General!$U$13:$U$19,DU$12))),$I72,"")</f>
        <v/>
      </c>
      <c r="DV72" s="390" t="str">
        <f>IF(AND(DV$12&gt;=$E72,DV$12&lt;=$F72,MOD(DV$12,7)&gt;1,NOT(COUNTIF(General!$U$13:$U$19,DV$12))),$I72,"")</f>
        <v/>
      </c>
      <c r="DW72" s="390" t="str">
        <f>IF(AND(DW$12&gt;=$E72,DW$12&lt;=$F72,MOD(DW$12,7)&gt;1,NOT(COUNTIF(General!$U$13:$U$19,DW$12))),$I72,"")</f>
        <v/>
      </c>
      <c r="DX72" s="390" t="str">
        <f>IF(AND(DX$12&gt;=$E72,DX$12&lt;=$F72,MOD(DX$12,7)&gt;1,NOT(COUNTIF(General!$U$13:$U$19,DX$12))),$I72,"")</f>
        <v/>
      </c>
      <c r="DY72" s="390" t="str">
        <f>IF(AND(DY$12&gt;=$E72,DY$12&lt;=$F72,MOD(DY$12,7)&gt;1,NOT(COUNTIF(General!$U$13:$U$19,DY$12))),$I72,"")</f>
        <v/>
      </c>
      <c r="DZ72" s="390" t="str">
        <f>IF(AND(DZ$12&gt;=$E72,DZ$12&lt;=$F72,MOD(DZ$12,7)&gt;1,NOT(COUNTIF(General!$U$13:$U$19,DZ$12))),$I72,"")</f>
        <v/>
      </c>
      <c r="EA72" s="390" t="str">
        <f>IF(AND(EA$12&gt;=$E72,EA$12&lt;=$F72,MOD(EA$12,7)&gt;1,NOT(COUNTIF(General!$U$13:$U$19,EA$12))),$I72,"")</f>
        <v/>
      </c>
      <c r="EB72" s="390" t="str">
        <f>IF(AND(EB$12&gt;=$E72,EB$12&lt;=$F72,MOD(EB$12,7)&gt;1,NOT(COUNTIF(General!$U$13:$U$19,EB$12))),$I72,"")</f>
        <v/>
      </c>
      <c r="EC72" s="390" t="str">
        <f>IF(AND(EC$12&gt;=$E72,EC$12&lt;=$F72,MOD(EC$12,7)&gt;1,NOT(COUNTIF(General!$U$13:$U$19,EC$12))),$I72,"")</f>
        <v/>
      </c>
      <c r="ED72" s="390" t="str">
        <f>IF(AND(ED$12&gt;=$E72,ED$12&lt;=$F72,MOD(ED$12,7)&gt;1,NOT(COUNTIF(General!$U$13:$U$19,ED$12))),$I72,"")</f>
        <v/>
      </c>
      <c r="EE72" s="390" t="str">
        <f>IF(AND(EE$12&gt;=$E72,EE$12&lt;=$F72,MOD(EE$12,7)&gt;1,NOT(COUNTIF(General!$U$13:$U$19,EE$12))),$I72,"")</f>
        <v/>
      </c>
      <c r="EF72" s="390" t="str">
        <f>IF(AND(EF$12&gt;=$E72,EF$12&lt;=$F72,MOD(EF$12,7)&gt;1,NOT(COUNTIF(General!$U$13:$U$19,EF$12))),$I72,"")</f>
        <v/>
      </c>
      <c r="EG72" s="390" t="str">
        <f>IF(AND(EG$12&gt;=$E72,EG$12&lt;=$F72,MOD(EG$12,7)&gt;1,NOT(COUNTIF(General!$U$13:$U$19,EG$12))),$I72,"")</f>
        <v/>
      </c>
      <c r="EH72" s="390" t="str">
        <f>IF(AND(EH$12&gt;=$E72,EH$12&lt;=$F72,MOD(EH$12,7)&gt;1,NOT(COUNTIF(General!$U$13:$U$19,EH$12))),$I72,"")</f>
        <v/>
      </c>
      <c r="EI72" s="390" t="str">
        <f>IF(AND(EI$12&gt;=$E72,EI$12&lt;=$F72,MOD(EI$12,7)&gt;1,NOT(COUNTIF(General!$U$13:$U$19,EI$12))),$I72,"")</f>
        <v/>
      </c>
      <c r="EJ72" s="390" t="str">
        <f>IF(AND(EJ$12&gt;=$E72,EJ$12&lt;=$F72,MOD(EJ$12,7)&gt;1,NOT(COUNTIF(General!$U$13:$U$19,EJ$12))),$I72,"")</f>
        <v/>
      </c>
      <c r="EK72" s="390" t="str">
        <f>IF(AND(EK$12&gt;=$E72,EK$12&lt;=$F72,MOD(EK$12,7)&gt;1,NOT(COUNTIF(General!$U$13:$U$19,EK$12))),$I72,"")</f>
        <v/>
      </c>
      <c r="EL72" s="390" t="str">
        <f>IF(AND(EL$12&gt;=$E72,EL$12&lt;=$F72,MOD(EL$12,7)&gt;1,NOT(COUNTIF(General!$U$13:$U$19,EL$12))),$I72,"")</f>
        <v/>
      </c>
      <c r="EM72" s="390" t="str">
        <f>IF(AND(EM$12&gt;=$E72,EM$12&lt;=$F72,MOD(EM$12,7)&gt;1,NOT(COUNTIF(General!$U$13:$U$19,EM$12))),$I72,"")</f>
        <v/>
      </c>
      <c r="EN72" s="390" t="str">
        <f>IF(AND(EN$12&gt;=$E72,EN$12&lt;=$F72,MOD(EN$12,7)&gt;1,NOT(COUNTIF(General!$U$13:$U$19,EN$12))),$I72,"")</f>
        <v/>
      </c>
      <c r="EO72" s="390" t="str">
        <f>IF(AND(EO$12&gt;=$E72,EO$12&lt;=$F72,MOD(EO$12,7)&gt;1,NOT(COUNTIF(General!$U$13:$U$19,EO$12))),$I72,"")</f>
        <v/>
      </c>
      <c r="EP72" s="390" t="str">
        <f>IF(AND(EP$12&gt;=$E72,EP$12&lt;=$F72,MOD(EP$12,7)&gt;1,NOT(COUNTIF(General!$U$13:$U$19,EP$12))),$I72,"")</f>
        <v/>
      </c>
      <c r="EQ72" s="390" t="str">
        <f>IF(AND(EQ$12&gt;=$E72,EQ$12&lt;=$F72,MOD(EQ$12,7)&gt;1,NOT(COUNTIF(General!$U$13:$U$19,EQ$12))),$I72,"")</f>
        <v/>
      </c>
      <c r="ER72" s="390" t="str">
        <f>IF(AND(ER$12&gt;=$E72,ER$12&lt;=$F72,MOD(ER$12,7)&gt;1,NOT(COUNTIF(General!$U$13:$U$19,ER$12))),$I72,"")</f>
        <v/>
      </c>
      <c r="ES72" s="390" t="str">
        <f>IF(AND(ES$12&gt;=$E72,ES$12&lt;=$F72,MOD(ES$12,7)&gt;1,NOT(COUNTIF(General!$U$13:$U$19,ES$12))),$I72,"")</f>
        <v/>
      </c>
      <c r="ET72" s="390" t="str">
        <f>IF(AND(ET$12&gt;=$E72,ET$12&lt;=$F72,MOD(ET$12,7)&gt;1,NOT(COUNTIF(General!$U$13:$U$19,ET$12))),$I72,"")</f>
        <v/>
      </c>
      <c r="EU72" s="390" t="str">
        <f>IF(AND(EU$12&gt;=$E72,EU$12&lt;=$F72,MOD(EU$12,7)&gt;1,NOT(COUNTIF(General!$U$13:$U$19,EU$12))),$I72,"")</f>
        <v/>
      </c>
      <c r="EV72" s="390" t="str">
        <f>IF(AND(EV$12&gt;=$E72,EV$12&lt;=$F72,MOD(EV$12,7)&gt;1,NOT(COUNTIF(General!$U$13:$U$19,EV$12))),$I72,"")</f>
        <v/>
      </c>
      <c r="EW72" s="390" t="str">
        <f>IF(AND(EW$12&gt;=$E72,EW$12&lt;=$F72,MOD(EW$12,7)&gt;1,NOT(COUNTIF(General!$U$13:$U$19,EW$12))),$I72,"")</f>
        <v/>
      </c>
      <c r="EX72" s="390" t="str">
        <f>IF(AND(EX$12&gt;=$E72,EX$12&lt;=$F72,MOD(EX$12,7)&gt;1,NOT(COUNTIF(General!$U$13:$U$19,EX$12))),$I72,"")</f>
        <v/>
      </c>
      <c r="EY72" s="390" t="str">
        <f>IF(AND(EY$12&gt;=$E72,EY$12&lt;=$F72,MOD(EY$12,7)&gt;1,NOT(COUNTIF(General!$U$13:$U$19,EY$12))),$I72,"")</f>
        <v/>
      </c>
      <c r="EZ72" s="390" t="str">
        <f>IF(AND(EZ$12&gt;=$E72,EZ$12&lt;=$F72,MOD(EZ$12,7)&gt;1,NOT(COUNTIF(General!$U$13:$U$19,EZ$12))),$I72,"")</f>
        <v/>
      </c>
      <c r="FA72" s="390" t="str">
        <f>IF(AND(FA$12&gt;=$E72,FA$12&lt;=$F72,MOD(FA$12,7)&gt;1,NOT(COUNTIF(General!$U$13:$U$19,FA$12))),$I72,"")</f>
        <v/>
      </c>
      <c r="FB72" s="390" t="str">
        <f>IF(AND(FB$12&gt;=$E72,FB$12&lt;=$F72,MOD(FB$12,7)&gt;1,NOT(COUNTIF(General!$U$13:$U$19,FB$12))),$I72,"")</f>
        <v/>
      </c>
      <c r="FC72" s="390" t="str">
        <f>IF(AND(FC$12&gt;=$E72,FC$12&lt;=$F72,MOD(FC$12,7)&gt;1,NOT(COUNTIF(General!$U$13:$U$19,FC$12))),$I72,"")</f>
        <v/>
      </c>
      <c r="FD72" s="390" t="str">
        <f>IF(AND(FD$12&gt;=$E72,FD$12&lt;=$F72,MOD(FD$12,7)&gt;1,NOT(COUNTIF(General!$U$13:$U$19,FD$12))),$I72,"")</f>
        <v/>
      </c>
      <c r="FE72" s="390" t="str">
        <f>IF(AND(FE$12&gt;=$E72,FE$12&lt;=$F72,MOD(FE$12,7)&gt;1,NOT(COUNTIF(General!$U$13:$U$19,FE$12))),$I72,"")</f>
        <v/>
      </c>
      <c r="FF72" s="390" t="str">
        <f>IF(AND(FF$12&gt;=$E72,FF$12&lt;=$F72,MOD(FF$12,7)&gt;1,NOT(COUNTIF(General!$U$13:$U$19,FF$12))),$I72,"")</f>
        <v/>
      </c>
      <c r="FG72" s="390" t="str">
        <f>IF(AND(FG$12&gt;=$E72,FG$12&lt;=$F72,MOD(FG$12,7)&gt;1,NOT(COUNTIF(General!$U$13:$U$19,FG$12))),$I72,"")</f>
        <v/>
      </c>
      <c r="FH72" s="390" t="str">
        <f>IF(AND(FH$12&gt;=$E72,FH$12&lt;=$F72,MOD(FH$12,7)&gt;1,NOT(COUNTIF(General!$U$13:$U$19,FH$12))),$I72,"")</f>
        <v/>
      </c>
      <c r="FI72" s="390" t="str">
        <f>IF(AND(FI$12&gt;=$E72,FI$12&lt;=$F72,MOD(FI$12,7)&gt;1,NOT(COUNTIF(General!$U$13:$U$19,FI$12))),$I72,"")</f>
        <v/>
      </c>
      <c r="FJ72" s="390" t="str">
        <f>IF(AND(FJ$12&gt;=$E72,FJ$12&lt;=$F72,MOD(FJ$12,7)&gt;1,NOT(COUNTIF(General!$U$13:$U$19,FJ$12))),$I72,"")</f>
        <v/>
      </c>
      <c r="FK72" s="390" t="str">
        <f>IF(AND(FK$12&gt;=$E72,FK$12&lt;=$F72,MOD(FK$12,7)&gt;1,NOT(COUNTIF(General!$U$13:$U$19,FK$12))),$I72,"")</f>
        <v/>
      </c>
      <c r="FL72" s="390" t="str">
        <f>IF(AND(FL$12&gt;=$E72,FL$12&lt;=$F72,MOD(FL$12,7)&gt;1,NOT(COUNTIF(General!$U$13:$U$19,FL$12))),$I72,"")</f>
        <v/>
      </c>
      <c r="FM72" s="390" t="str">
        <f>IF(AND(FM$12&gt;=$E72,FM$12&lt;=$F72,MOD(FM$12,7)&gt;1,NOT(COUNTIF(General!$U$13:$U$19,FM$12))),$I72,"")</f>
        <v/>
      </c>
      <c r="FN72" s="390" t="str">
        <f>IF(AND(FN$12&gt;=$E72,FN$12&lt;=$F72,MOD(FN$12,7)&gt;1,NOT(COUNTIF(General!$U$13:$U$19,FN$12))),$I72,"")</f>
        <v/>
      </c>
      <c r="FO72" s="390" t="str">
        <f>IF(AND(FO$12&gt;=$E72,FO$12&lt;=$F72,MOD(FO$12,7)&gt;1,NOT(COUNTIF(General!$U$13:$U$19,FO$12))),$I72,"")</f>
        <v/>
      </c>
      <c r="FP72" s="390" t="str">
        <f>IF(AND(FP$12&gt;=$E72,FP$12&lt;=$F72,MOD(FP$12,7)&gt;1,NOT(COUNTIF(General!$U$13:$U$19,FP$12))),$I72,"")</f>
        <v/>
      </c>
      <c r="FQ72" s="390" t="str">
        <f>IF(AND(FQ$12&gt;=$E72,FQ$12&lt;=$F72,MOD(FQ$12,7)&gt;1,NOT(COUNTIF(General!$U$13:$U$19,FQ$12))),$I72,"")</f>
        <v/>
      </c>
      <c r="FR72" s="390" t="str">
        <f>IF(AND(FR$12&gt;=$E72,FR$12&lt;=$F72,MOD(FR$12,7)&gt;1,NOT(COUNTIF(General!$U$13:$U$19,FR$12))),$I72,"")</f>
        <v/>
      </c>
      <c r="FS72" s="390" t="str">
        <f>IF(AND(FS$12&gt;=$E72,FS$12&lt;=$F72,MOD(FS$12,7)&gt;1,NOT(COUNTIF(General!$U$13:$U$19,FS$12))),$I72,"")</f>
        <v/>
      </c>
      <c r="FT72" s="390" t="str">
        <f>IF(AND(FT$12&gt;=$E72,FT$12&lt;=$F72,MOD(FT$12,7)&gt;1,NOT(COUNTIF(General!$U$13:$U$19,FT$12))),$I72,"")</f>
        <v/>
      </c>
      <c r="FU72" s="390" t="str">
        <f>IF(AND(FU$12&gt;=$E72,FU$12&lt;=$F72,MOD(FU$12,7)&gt;1,NOT(COUNTIF(General!$U$13:$U$19,FU$12))),$I72,"")</f>
        <v/>
      </c>
      <c r="FV72" s="390" t="str">
        <f>IF(AND(FV$12&gt;=$E72,FV$12&lt;=$F72,MOD(FV$12,7)&gt;1,NOT(COUNTIF(General!$U$13:$U$19,FV$12))),$I72,"")</f>
        <v/>
      </c>
      <c r="FW72" s="390" t="str">
        <f>IF(AND(FW$12&gt;=$E72,FW$12&lt;=$F72,MOD(FW$12,7)&gt;1,NOT(COUNTIF(General!$U$13:$U$19,FW$12))),$I72,"")</f>
        <v/>
      </c>
      <c r="FX72" s="390" t="str">
        <f>IF(AND(FX$12&gt;=$E72,FX$12&lt;=$F72,MOD(FX$12,7)&gt;1,NOT(COUNTIF(General!$U$13:$U$19,FX$12))),$I72,"")</f>
        <v/>
      </c>
    </row>
    <row r="73" ht="16.5" customHeight="1">
      <c r="A73" s="613"/>
      <c r="B73" s="615"/>
      <c r="C73" s="370"/>
      <c r="D73" s="617" t="s">
        <v>571</v>
      </c>
      <c r="E73" s="635"/>
      <c r="F73" s="374"/>
      <c r="G73" s="636"/>
      <c r="H73" s="377"/>
      <c r="I73" s="379">
        <v>1.0</v>
      </c>
      <c r="J73" s="377"/>
      <c r="K73" s="381"/>
      <c r="L73" s="382"/>
      <c r="M73" s="383"/>
      <c r="N73" s="384"/>
      <c r="O73" s="386"/>
      <c r="P73" s="388"/>
      <c r="Q73" s="390" t="str">
        <f>IF(AND(Q$12&gt;=$E73,Q$12&lt;=$F73,MOD(Q$12,7)&gt;1,NOT(COUNTIF(General!$U$13:$U$19,Q$12))),$I73,"")</f>
        <v/>
      </c>
      <c r="R73" s="390" t="str">
        <f>IF(AND(R$12&gt;=$E73,R$12&lt;=$F73,MOD(R$12,7)&gt;1,NOT(COUNTIF(General!$U$13:$U$19,R$12))),$I73,"")</f>
        <v/>
      </c>
      <c r="S73" s="390" t="str">
        <f>IF(AND(S$12&gt;=$E73,S$12&lt;=$F73,MOD(S$12,7)&gt;1,NOT(COUNTIF(General!$U$13:$U$19,S$12))),$I73,"")</f>
        <v/>
      </c>
      <c r="T73" s="390" t="str">
        <f>IF(AND(T$12&gt;=$E73,T$12&lt;=$F73,MOD(T$12,7)&gt;1,NOT(COUNTIF(General!$U$13:$U$19,T$12))),$I73,"")</f>
        <v/>
      </c>
      <c r="U73" s="390" t="str">
        <f>IF(AND(U$12&gt;=$E73,U$12&lt;=$F73,MOD(U$12,7)&gt;1,NOT(COUNTIF(General!$U$13:$U$19,U$12))),$I73,"")</f>
        <v/>
      </c>
      <c r="V73" s="390" t="str">
        <f>IF(AND(V$12&gt;=$E73,V$12&lt;=$F73,MOD(V$12,7)&gt;1,NOT(COUNTIF(General!$U$13:$U$19,V$12))),$I73,"")</f>
        <v/>
      </c>
      <c r="W73" s="390" t="str">
        <f>IF(AND(W$12&gt;=$E73,W$12&lt;=$F73,MOD(W$12,7)&gt;1,NOT(COUNTIF(General!$U$13:$U$19,W$12))),$I73,"")</f>
        <v/>
      </c>
      <c r="X73" s="390" t="str">
        <f>IF(AND(X$12&gt;=$E73,X$12&lt;=$F73,MOD(X$12,7)&gt;1,NOT(COUNTIF(General!$U$13:$U$19,X$12))),$I73,"")</f>
        <v/>
      </c>
      <c r="Y73" s="390" t="str">
        <f>IF(AND(Y$12&gt;=$E73,Y$12&lt;=$F73,MOD(Y$12,7)&gt;1,NOT(COUNTIF(General!$U$13:$U$19,Y$12))),$I73,"")</f>
        <v/>
      </c>
      <c r="Z73" s="390" t="str">
        <f>IF(AND(Z$12&gt;=$E73,Z$12&lt;=$F73,MOD(Z$12,7)&gt;1,NOT(COUNTIF(General!$U$13:$U$19,Z$12))),$I73,"")</f>
        <v/>
      </c>
      <c r="AA73" s="390" t="str">
        <f>IF(AND(AA$12&gt;=$E73,AA$12&lt;=$F73,MOD(AA$12,7)&gt;1,NOT(COUNTIF(General!$U$13:$U$19,AA$12))),$I73,"")</f>
        <v/>
      </c>
      <c r="AB73" s="390" t="str">
        <f>IF(AND(AB$12&gt;=$E73,AB$12&lt;=$F73,MOD(AB$12,7)&gt;1,NOT(COUNTIF(General!$U$13:$U$19,AB$12))),$I73,"")</f>
        <v/>
      </c>
      <c r="AC73" s="390" t="str">
        <f>IF(AND(AC$12&gt;=$E73,AC$12&lt;=$F73,MOD(AC$12,7)&gt;1,NOT(COUNTIF(General!$U$13:$U$19,AC$12))),$I73,"")</f>
        <v/>
      </c>
      <c r="AD73" s="390" t="str">
        <f>IF(AND(AD$12&gt;=$E73,AD$12&lt;=$F73,MOD(AD$12,7)&gt;1,NOT(COUNTIF(General!$U$13:$U$19,AD$12))),$I73,"")</f>
        <v/>
      </c>
      <c r="AE73" s="390" t="str">
        <f>IF(AND(AE$12&gt;=$E73,AE$12&lt;=$F73,MOD(AE$12,7)&gt;1,NOT(COUNTIF(General!$U$13:$U$19,AE$12))),$I73,"")</f>
        <v/>
      </c>
      <c r="AF73" s="390" t="str">
        <f>IF(AND(AF$12&gt;=$E73,AF$12&lt;=$F73,MOD(AF$12,7)&gt;1,NOT(COUNTIF(General!$U$13:$U$19,AF$12))),$I73,"")</f>
        <v/>
      </c>
      <c r="AG73" s="390" t="str">
        <f>IF(AND(AG$12&gt;=$E73,AG$12&lt;=$F73,MOD(AG$12,7)&gt;1,NOT(COUNTIF(General!$U$13:$U$19,AG$12))),$I73,"")</f>
        <v/>
      </c>
      <c r="AH73" s="390" t="str">
        <f>IF(AND(AH$12&gt;=$E73,AH$12&lt;=$F73,MOD(AH$12,7)&gt;1,NOT(COUNTIF(General!$U$13:$U$19,AH$12))),$I73,"")</f>
        <v/>
      </c>
      <c r="AI73" s="390" t="str">
        <f>IF(AND(AI$12&gt;=$E73,AI$12&lt;=$F73,MOD(AI$12,7)&gt;1,NOT(COUNTIF(General!$U$13:$U$19,AI$12))),$I73,"")</f>
        <v/>
      </c>
      <c r="AJ73" s="390" t="str">
        <f>IF(AND(AJ$12&gt;=$E73,AJ$12&lt;=$F73,MOD(AJ$12,7)&gt;1,NOT(COUNTIF(General!$U$13:$U$19,AJ$12))),$I73,"")</f>
        <v/>
      </c>
      <c r="AK73" s="390" t="str">
        <f>IF(AND(AK$12&gt;=$E73,AK$12&lt;=$F73,MOD(AK$12,7)&gt;1,NOT(COUNTIF(General!$U$13:$U$19,AK$12))),$I73,"")</f>
        <v/>
      </c>
      <c r="AL73" s="390" t="str">
        <f>IF(AND(AL$12&gt;=$E73,AL$12&lt;=$F73,MOD(AL$12,7)&gt;1,NOT(COUNTIF(General!$U$13:$U$19,AL$12))),$I73,"")</f>
        <v/>
      </c>
      <c r="AM73" s="390" t="str">
        <f>IF(AND(AM$12&gt;=$E73,AM$12&lt;=$F73,MOD(AM$12,7)&gt;1,NOT(COUNTIF(General!$U$13:$U$19,AM$12))),$I73,"")</f>
        <v/>
      </c>
      <c r="AN73" s="390" t="str">
        <f>IF(AND(AN$12&gt;=$E73,AN$12&lt;=$F73,MOD(AN$12,7)&gt;1,NOT(COUNTIF(General!$U$13:$U$19,AN$12))),$I73,"")</f>
        <v/>
      </c>
      <c r="AO73" s="390" t="str">
        <f>IF(AND(AO$12&gt;=$E73,AO$12&lt;=$F73,MOD(AO$12,7)&gt;1,NOT(COUNTIF(General!$U$13:$U$19,AO$12))),$I73,"")</f>
        <v/>
      </c>
      <c r="AP73" s="390" t="str">
        <f>IF(AND(AP$12&gt;=$E73,AP$12&lt;=$F73,MOD(AP$12,7)&gt;1,NOT(COUNTIF(General!$U$13:$U$19,AP$12))),$I73,"")</f>
        <v/>
      </c>
      <c r="AQ73" s="390" t="str">
        <f>IF(AND(AQ$12&gt;=$E73,AQ$12&lt;=$F73,MOD(AQ$12,7)&gt;1,NOT(COUNTIF(General!$U$13:$U$19,AQ$12))),$I73,"")</f>
        <v/>
      </c>
      <c r="AR73" s="390" t="str">
        <f>IF(AND(AR$12&gt;=$E73,AR$12&lt;=$F73,MOD(AR$12,7)&gt;1,NOT(COUNTIF(General!$U$13:$U$19,AR$12))),$I73,"")</f>
        <v/>
      </c>
      <c r="AS73" s="390" t="str">
        <f>IF(AND(AS$12&gt;=$E73,AS$12&lt;=$F73,MOD(AS$12,7)&gt;1,NOT(COUNTIF(General!$U$13:$U$19,AS$12))),$I73,"")</f>
        <v/>
      </c>
      <c r="AT73" s="390" t="str">
        <f>IF(AND(AT$12&gt;=$E73,AT$12&lt;=$F73,MOD(AT$12,7)&gt;1,NOT(COUNTIF(General!$U$13:$U$19,AT$12))),$I73,"")</f>
        <v/>
      </c>
      <c r="AU73" s="390" t="str">
        <f>IF(AND(AU$12&gt;=$E73,AU$12&lt;=$F73,MOD(AU$12,7)&gt;1,NOT(COUNTIF(General!$U$13:$U$19,AU$12))),$I73,"")</f>
        <v/>
      </c>
      <c r="AV73" s="390" t="str">
        <f>IF(AND(AV$12&gt;=$E73,AV$12&lt;=$F73,MOD(AV$12,7)&gt;1,NOT(COUNTIF(General!$U$13:$U$19,AV$12))),$I73,"")</f>
        <v/>
      </c>
      <c r="AW73" s="390" t="str">
        <f>IF(AND(AW$12&gt;=$E73,AW$12&lt;=$F73,MOD(AW$12,7)&gt;1,NOT(COUNTIF(General!$U$13:$U$19,AW$12))),$I73,"")</f>
        <v/>
      </c>
      <c r="AX73" s="390" t="str">
        <f>IF(AND(AX$12&gt;=$E73,AX$12&lt;=$F73,MOD(AX$12,7)&gt;1,NOT(COUNTIF(General!$U$13:$U$19,AX$12))),$I73,"")</f>
        <v/>
      </c>
      <c r="AY73" s="390" t="str">
        <f>IF(AND(AY$12&gt;=$E73,AY$12&lt;=$F73,MOD(AY$12,7)&gt;1,NOT(COUNTIF(General!$U$13:$U$19,AY$12))),$I73,"")</f>
        <v/>
      </c>
      <c r="AZ73" s="390" t="str">
        <f>IF(AND(AZ$12&gt;=$E73,AZ$12&lt;=$F73,MOD(AZ$12,7)&gt;1,NOT(COUNTIF(General!$U$13:$U$19,AZ$12))),$I73,"")</f>
        <v/>
      </c>
      <c r="BA73" s="390" t="str">
        <f>IF(AND(BA$12&gt;=$E73,BA$12&lt;=$F73,MOD(BA$12,7)&gt;1,NOT(COUNTIF(General!$U$13:$U$19,BA$12))),$I73,"")</f>
        <v/>
      </c>
      <c r="BB73" s="390" t="str">
        <f>IF(AND(BB$12&gt;=$E73,BB$12&lt;=$F73,MOD(BB$12,7)&gt;1,NOT(COUNTIF(General!$U$13:$U$19,BB$12))),$I73,"")</f>
        <v/>
      </c>
      <c r="BC73" s="390" t="str">
        <f>IF(AND(BC$12&gt;=$E73,BC$12&lt;=$F73,MOD(BC$12,7)&gt;1,NOT(COUNTIF(General!$U$13:$U$19,BC$12))),$I73,"")</f>
        <v/>
      </c>
      <c r="BD73" s="390" t="str">
        <f>IF(AND(BD$12&gt;=$E73,BD$12&lt;=$F73,MOD(BD$12,7)&gt;1,NOT(COUNTIF(General!$U$13:$U$19,BD$12))),$I73,"")</f>
        <v/>
      </c>
      <c r="BE73" s="390" t="str">
        <f>IF(AND(BE$12&gt;=$E73,BE$12&lt;=$F73,MOD(BE$12,7)&gt;1,NOT(COUNTIF(General!$U$13:$U$19,BE$12))),$I73,"")</f>
        <v/>
      </c>
      <c r="BF73" s="390" t="str">
        <f>IF(AND(BF$12&gt;=$E73,BF$12&lt;=$F73,MOD(BF$12,7)&gt;1,NOT(COUNTIF(General!$U$13:$U$19,BF$12))),$I73,"")</f>
        <v/>
      </c>
      <c r="BG73" s="390" t="str">
        <f>IF(AND(BG$12&gt;=$E73,BG$12&lt;=$F73,MOD(BG$12,7)&gt;1,NOT(COUNTIF(General!$U$13:$U$19,BG$12))),$I73,"")</f>
        <v/>
      </c>
      <c r="BH73" s="390" t="str">
        <f>IF(AND(BH$12&gt;=$E73,BH$12&lt;=$F73,MOD(BH$12,7)&gt;1,NOT(COUNTIF(General!$U$13:$U$19,BH$12))),$I73,"")</f>
        <v/>
      </c>
      <c r="BI73" s="390" t="str">
        <f>IF(AND(BI$12&gt;=$E73,BI$12&lt;=$F73,MOD(BI$12,7)&gt;1,NOT(COUNTIF(General!$U$13:$U$19,BI$12))),$I73,"")</f>
        <v/>
      </c>
      <c r="BJ73" s="390" t="str">
        <f>IF(AND(BJ$12&gt;=$E73,BJ$12&lt;=$F73,MOD(BJ$12,7)&gt;1,NOT(COUNTIF(General!$U$13:$U$19,BJ$12))),$I73,"")</f>
        <v/>
      </c>
      <c r="BK73" s="390" t="str">
        <f>IF(AND(BK$12&gt;=$E73,BK$12&lt;=$F73,MOD(BK$12,7)&gt;1,NOT(COUNTIF(General!$U$13:$U$19,BK$12))),$I73,"")</f>
        <v/>
      </c>
      <c r="BL73" s="390" t="str">
        <f>IF(AND(BL$12&gt;=$E73,BL$12&lt;=$F73,MOD(BL$12,7)&gt;1,NOT(COUNTIF(General!$U$13:$U$19,BL$12))),$I73,"")</f>
        <v/>
      </c>
      <c r="BM73" s="390" t="str">
        <f>IF(AND(BM$12&gt;=$E73,BM$12&lt;=$F73,MOD(BM$12,7)&gt;1,NOT(COUNTIF(General!$U$13:$U$19,BM$12))),$I73,"")</f>
        <v/>
      </c>
      <c r="BN73" s="390" t="str">
        <f>IF(AND(BN$12&gt;=$E73,BN$12&lt;=$F73,MOD(BN$12,7)&gt;1,NOT(COUNTIF(General!$U$13:$U$19,BN$12))),$I73,"")</f>
        <v/>
      </c>
      <c r="BO73" s="390" t="str">
        <f>IF(AND(BO$12&gt;=$E73,BO$12&lt;=$F73,MOD(BO$12,7)&gt;1,NOT(COUNTIF(General!$U$13:$U$19,BO$12))),$I73,"")</f>
        <v/>
      </c>
      <c r="BP73" s="390" t="str">
        <f>IF(AND(BP$12&gt;=$E73,BP$12&lt;=$F73,MOD(BP$12,7)&gt;1,NOT(COUNTIF(General!$U$13:$U$19,BP$12))),$I73,"")</f>
        <v/>
      </c>
      <c r="BQ73" s="390" t="str">
        <f>IF(AND(BQ$12&gt;=$E73,BQ$12&lt;=$F73,MOD(BQ$12,7)&gt;1,NOT(COUNTIF(General!$U$13:$U$19,BQ$12))),$I73,"")</f>
        <v/>
      </c>
      <c r="BR73" s="390" t="str">
        <f>IF(AND(BR$12&gt;=$E73,BR$12&lt;=$F73,MOD(BR$12,7)&gt;1,NOT(COUNTIF(General!$U$13:$U$19,BR$12))),$I73,"")</f>
        <v/>
      </c>
      <c r="BS73" s="390" t="str">
        <f>IF(AND(BS$12&gt;=$E73,BS$12&lt;=$F73,MOD(BS$12,7)&gt;1,NOT(COUNTIF(General!$U$13:$U$19,BS$12))),$I73,"")</f>
        <v/>
      </c>
      <c r="BT73" s="390" t="str">
        <f>IF(AND(BT$12&gt;=$E73,BT$12&lt;=$F73,MOD(BT$12,7)&gt;1,NOT(COUNTIF(General!$U$13:$U$19,BT$12))),$I73,"")</f>
        <v/>
      </c>
      <c r="BU73" s="390" t="str">
        <f>IF(AND(BU$12&gt;=$E73,BU$12&lt;=$F73,MOD(BU$12,7)&gt;1,NOT(COUNTIF(General!$U$13:$U$19,BU$12))),$I73,"")</f>
        <v/>
      </c>
      <c r="BV73" s="390" t="str">
        <f>IF(AND(BV$12&gt;=$E73,BV$12&lt;=$F73,MOD(BV$12,7)&gt;1,NOT(COUNTIF(General!$U$13:$U$19,BV$12))),$I73,"")</f>
        <v/>
      </c>
      <c r="BW73" s="390" t="str">
        <f>IF(AND(BW$12&gt;=$E73,BW$12&lt;=$F73,MOD(BW$12,7)&gt;1,NOT(COUNTIF(General!$U$13:$U$19,BW$12))),$I73,"")</f>
        <v/>
      </c>
      <c r="BX73" s="390" t="str">
        <f>IF(AND(BX$12&gt;=$E73,BX$12&lt;=$F73,MOD(BX$12,7)&gt;1,NOT(COUNTIF(General!$U$13:$U$19,BX$12))),$I73,"")</f>
        <v/>
      </c>
      <c r="BY73" s="390" t="str">
        <f>IF(AND(BY$12&gt;=$E73,BY$12&lt;=$F73,MOD(BY$12,7)&gt;1,NOT(COUNTIF(General!$U$13:$U$19,BY$12))),$I73,"")</f>
        <v/>
      </c>
      <c r="BZ73" s="390" t="str">
        <f>IF(AND(BZ$12&gt;=$E73,BZ$12&lt;=$F73,MOD(BZ$12,7)&gt;1,NOT(COUNTIF(General!$U$13:$U$19,BZ$12))),$I73,"")</f>
        <v/>
      </c>
      <c r="CA73" s="390" t="str">
        <f>IF(AND(CA$12&gt;=$E73,CA$12&lt;=$F73,MOD(CA$12,7)&gt;1,NOT(COUNTIF(General!$U$13:$U$19,CA$12))),$I73,"")</f>
        <v/>
      </c>
      <c r="CB73" s="390" t="str">
        <f>IF(AND(CB$12&gt;=$E73,CB$12&lt;=$F73,MOD(CB$12,7)&gt;1,NOT(COUNTIF(General!$U$13:$U$19,CB$12))),$I73,"")</f>
        <v/>
      </c>
      <c r="CC73" s="390" t="str">
        <f>IF(AND(CC$12&gt;=$E73,CC$12&lt;=$F73,MOD(CC$12,7)&gt;1,NOT(COUNTIF(General!$U$13:$U$19,CC$12))),$I73,"")</f>
        <v/>
      </c>
      <c r="CD73" s="390" t="str">
        <f>IF(AND(CD$12&gt;=$E73,CD$12&lt;=$F73,MOD(CD$12,7)&gt;1,NOT(COUNTIF(General!$U$13:$U$19,CD$12))),$I73,"")</f>
        <v/>
      </c>
      <c r="CE73" s="390" t="str">
        <f>IF(AND(CE$12&gt;=$E73,CE$12&lt;=$F73,MOD(CE$12,7)&gt;1,NOT(COUNTIF(General!$U$13:$U$19,CE$12))),$I73,"")</f>
        <v/>
      </c>
      <c r="CF73" s="390" t="str">
        <f>IF(AND(CF$12&gt;=$E73,CF$12&lt;=$F73,MOD(CF$12,7)&gt;1,NOT(COUNTIF(General!$U$13:$U$19,CF$12))),$I73,"")</f>
        <v/>
      </c>
      <c r="CG73" s="390" t="str">
        <f>IF(AND(CG$12&gt;=$E73,CG$12&lt;=$F73,MOD(CG$12,7)&gt;1,NOT(COUNTIF(General!$U$13:$U$19,CG$12))),$I73,"")</f>
        <v/>
      </c>
      <c r="CH73" s="390" t="str">
        <f>IF(AND(CH$12&gt;=$E73,CH$12&lt;=$F73,MOD(CH$12,7)&gt;1,NOT(COUNTIF(General!$U$13:$U$19,CH$12))),$I73,"")</f>
        <v/>
      </c>
      <c r="CI73" s="390" t="str">
        <f>IF(AND(CI$12&gt;=$E73,CI$12&lt;=$F73,MOD(CI$12,7)&gt;1,NOT(COUNTIF(General!$U$13:$U$19,CI$12))),$I73,"")</f>
        <v/>
      </c>
      <c r="CJ73" s="390" t="str">
        <f>IF(AND(CJ$12&gt;=$E73,CJ$12&lt;=$F73,MOD(CJ$12,7)&gt;1,NOT(COUNTIF(General!$U$13:$U$19,CJ$12))),$I73,"")</f>
        <v/>
      </c>
      <c r="CK73" s="390" t="str">
        <f>IF(AND(CK$12&gt;=$E73,CK$12&lt;=$F73,MOD(CK$12,7)&gt;1,NOT(COUNTIF(General!$U$13:$U$19,CK$12))),$I73,"")</f>
        <v/>
      </c>
      <c r="CL73" s="390" t="str">
        <f>IF(AND(CL$12&gt;=$E73,CL$12&lt;=$F73,MOD(CL$12,7)&gt;1,NOT(COUNTIF(General!$U$13:$U$19,CL$12))),$I73,"")</f>
        <v/>
      </c>
      <c r="CM73" s="390" t="str">
        <f>IF(AND(CM$12&gt;=$E73,CM$12&lt;=$F73,MOD(CM$12,7)&gt;1,NOT(COUNTIF(General!$U$13:$U$19,CM$12))),$I73,"")</f>
        <v/>
      </c>
      <c r="CN73" s="390" t="str">
        <f>IF(AND(CN$12&gt;=$E73,CN$12&lt;=$F73,MOD(CN$12,7)&gt;1,NOT(COUNTIF(General!$U$13:$U$19,CN$12))),$I73,"")</f>
        <v/>
      </c>
      <c r="CO73" s="390" t="str">
        <f>IF(AND(CO$12&gt;=$E73,CO$12&lt;=$F73,MOD(CO$12,7)&gt;1,NOT(COUNTIF(General!$U$13:$U$19,CO$12))),$I73,"")</f>
        <v/>
      </c>
      <c r="CP73" s="390" t="str">
        <f>IF(AND(CP$12&gt;=$E73,CP$12&lt;=$F73,MOD(CP$12,7)&gt;1,NOT(COUNTIF(General!$U$13:$U$19,CP$12))),$I73,"")</f>
        <v/>
      </c>
      <c r="CQ73" s="390" t="str">
        <f>IF(AND(CQ$12&gt;=$E73,CQ$12&lt;=$F73,MOD(CQ$12,7)&gt;1,NOT(COUNTIF(General!$U$13:$U$19,CQ$12))),$I73,"")</f>
        <v/>
      </c>
      <c r="CR73" s="390" t="str">
        <f>IF(AND(CR$12&gt;=$E73,CR$12&lt;=$F73,MOD(CR$12,7)&gt;1,NOT(COUNTIF(General!$U$13:$U$19,CR$12))),$I73,"")</f>
        <v/>
      </c>
      <c r="CS73" s="390" t="str">
        <f>IF(AND(CS$12&gt;=$E73,CS$12&lt;=$F73,MOD(CS$12,7)&gt;1,NOT(COUNTIF(General!$U$13:$U$19,CS$12))),$I73,"")</f>
        <v/>
      </c>
      <c r="CT73" s="390" t="str">
        <f>IF(AND(CT$12&gt;=$E73,CT$12&lt;=$F73,MOD(CT$12,7)&gt;1,NOT(COUNTIF(General!$U$13:$U$19,CT$12))),$I73,"")</f>
        <v/>
      </c>
      <c r="CU73" s="390" t="str">
        <f>IF(AND(CU$12&gt;=$E73,CU$12&lt;=$F73,MOD(CU$12,7)&gt;1,NOT(COUNTIF(General!$U$13:$U$19,CU$12))),$I73,"")</f>
        <v/>
      </c>
      <c r="CV73" s="390" t="str">
        <f>IF(AND(CV$12&gt;=$E73,CV$12&lt;=$F73,MOD(CV$12,7)&gt;1,NOT(COUNTIF(General!$U$13:$U$19,CV$12))),$I73,"")</f>
        <v/>
      </c>
      <c r="CW73" s="390" t="str">
        <f>IF(AND(CW$12&gt;=$E73,CW$12&lt;=$F73,MOD(CW$12,7)&gt;1,NOT(COUNTIF(General!$U$13:$U$19,CW$12))),$I73,"")</f>
        <v/>
      </c>
      <c r="CX73" s="390" t="str">
        <f>IF(AND(CX$12&gt;=$E73,CX$12&lt;=$F73,MOD(CX$12,7)&gt;1,NOT(COUNTIF(General!$U$13:$U$19,CX$12))),$I73,"")</f>
        <v/>
      </c>
      <c r="CY73" s="390" t="str">
        <f>IF(AND(CY$12&gt;=$E73,CY$12&lt;=$F73,MOD(CY$12,7)&gt;1,NOT(COUNTIF(General!$U$13:$U$19,CY$12))),$I73,"")</f>
        <v/>
      </c>
      <c r="CZ73" s="390" t="str">
        <f>IF(AND(CZ$12&gt;=$E73,CZ$12&lt;=$F73,MOD(CZ$12,7)&gt;1,NOT(COUNTIF(General!$U$13:$U$19,CZ$12))),$I73,"")</f>
        <v/>
      </c>
      <c r="DA73" s="390" t="str">
        <f>IF(AND(DA$12&gt;=$E73,DA$12&lt;=$F73,MOD(DA$12,7)&gt;1,NOT(COUNTIF(General!$U$13:$U$19,DA$12))),$I73,"")</f>
        <v/>
      </c>
      <c r="DB73" s="390" t="str">
        <f>IF(AND(DB$12&gt;=$E73,DB$12&lt;=$F73,MOD(DB$12,7)&gt;1,NOT(COUNTIF(General!$U$13:$U$19,DB$12))),$I73,"")</f>
        <v/>
      </c>
      <c r="DC73" s="390" t="str">
        <f>IF(AND(DC$12&gt;=$E73,DC$12&lt;=$F73,MOD(DC$12,7)&gt;1,NOT(COUNTIF(General!$U$13:$U$19,DC$12))),$I73,"")</f>
        <v/>
      </c>
      <c r="DD73" s="390" t="str">
        <f>IF(AND(DD$12&gt;=$E73,DD$12&lt;=$F73,MOD(DD$12,7)&gt;1,NOT(COUNTIF(General!$U$13:$U$19,DD$12))),$I73,"")</f>
        <v/>
      </c>
      <c r="DE73" s="390" t="str">
        <f>IF(AND(DE$12&gt;=$E73,DE$12&lt;=$F73,MOD(DE$12,7)&gt;1,NOT(COUNTIF(General!$U$13:$U$19,DE$12))),$I73,"")</f>
        <v/>
      </c>
      <c r="DF73" s="390" t="str">
        <f>IF(AND(DF$12&gt;=$E73,DF$12&lt;=$F73,MOD(DF$12,7)&gt;1,NOT(COUNTIF(General!$U$13:$U$19,DF$12))),$I73,"")</f>
        <v/>
      </c>
      <c r="DG73" s="390" t="str">
        <f>IF(AND(DG$12&gt;=$E73,DG$12&lt;=$F73,MOD(DG$12,7)&gt;1,NOT(COUNTIF(General!$U$13:$U$19,DG$12))),$I73,"")</f>
        <v/>
      </c>
      <c r="DH73" s="390" t="str">
        <f>IF(AND(DH$12&gt;=$E73,DH$12&lt;=$F73,MOD(DH$12,7)&gt;1,NOT(COUNTIF(General!$U$13:$U$19,DH$12))),$I73,"")</f>
        <v/>
      </c>
      <c r="DI73" s="390" t="str">
        <f>IF(AND(DI$12&gt;=$E73,DI$12&lt;=$F73,MOD(DI$12,7)&gt;1,NOT(COUNTIF(General!$U$13:$U$19,DI$12))),$I73,"")</f>
        <v/>
      </c>
      <c r="DJ73" s="390" t="str">
        <f>IF(AND(DJ$12&gt;=$E73,DJ$12&lt;=$F73,MOD(DJ$12,7)&gt;1,NOT(COUNTIF(General!$U$13:$U$19,DJ$12))),$I73,"")</f>
        <v/>
      </c>
      <c r="DK73" s="390" t="str">
        <f>IF(AND(DK$12&gt;=$E73,DK$12&lt;=$F73,MOD(DK$12,7)&gt;1,NOT(COUNTIF(General!$U$13:$U$19,DK$12))),$I73,"")</f>
        <v/>
      </c>
      <c r="DL73" s="390" t="str">
        <f>IF(AND(DL$12&gt;=$E73,DL$12&lt;=$F73,MOD(DL$12,7)&gt;1,NOT(COUNTIF(General!$U$13:$U$19,DL$12))),$I73,"")</f>
        <v/>
      </c>
      <c r="DM73" s="390" t="str">
        <f>IF(AND(DM$12&gt;=$E73,DM$12&lt;=$F73,MOD(DM$12,7)&gt;1,NOT(COUNTIF(General!$U$13:$U$19,DM$12))),$I73,"")</f>
        <v/>
      </c>
      <c r="DN73" s="390" t="str">
        <f>IF(AND(DN$12&gt;=$E73,DN$12&lt;=$F73,MOD(DN$12,7)&gt;1,NOT(COUNTIF(General!$U$13:$U$19,DN$12))),$I73,"")</f>
        <v/>
      </c>
      <c r="DO73" s="390" t="str">
        <f>IF(AND(DO$12&gt;=$E73,DO$12&lt;=$F73,MOD(DO$12,7)&gt;1,NOT(COUNTIF(General!$U$13:$U$19,DO$12))),$I73,"")</f>
        <v/>
      </c>
      <c r="DP73" s="390" t="str">
        <f>IF(AND(DP$12&gt;=$E73,DP$12&lt;=$F73,MOD(DP$12,7)&gt;1,NOT(COUNTIF(General!$U$13:$U$19,DP$12))),$I73,"")</f>
        <v/>
      </c>
      <c r="DQ73" s="390" t="str">
        <f>IF(AND(DQ$12&gt;=$E73,DQ$12&lt;=$F73,MOD(DQ$12,7)&gt;1,NOT(COUNTIF(General!$U$13:$U$19,DQ$12))),$I73,"")</f>
        <v/>
      </c>
      <c r="DR73" s="390" t="str">
        <f>IF(AND(DR$12&gt;=$E73,DR$12&lt;=$F73,MOD(DR$12,7)&gt;1,NOT(COUNTIF(General!$U$13:$U$19,DR$12))),$I73,"")</f>
        <v/>
      </c>
      <c r="DS73" s="390" t="str">
        <f>IF(AND(DS$12&gt;=$E73,DS$12&lt;=$F73,MOD(DS$12,7)&gt;1,NOT(COUNTIF(General!$U$13:$U$19,DS$12))),$I73,"")</f>
        <v/>
      </c>
      <c r="DT73" s="390" t="str">
        <f>IF(AND(DT$12&gt;=$E73,DT$12&lt;=$F73,MOD(DT$12,7)&gt;1,NOT(COUNTIF(General!$U$13:$U$19,DT$12))),$I73,"")</f>
        <v/>
      </c>
      <c r="DU73" s="390" t="str">
        <f>IF(AND(DU$12&gt;=$E73,DU$12&lt;=$F73,MOD(DU$12,7)&gt;1,NOT(COUNTIF(General!$U$13:$U$19,DU$12))),$I73,"")</f>
        <v/>
      </c>
      <c r="DV73" s="390" t="str">
        <f>IF(AND(DV$12&gt;=$E73,DV$12&lt;=$F73,MOD(DV$12,7)&gt;1,NOT(COUNTIF(General!$U$13:$U$19,DV$12))),$I73,"")</f>
        <v/>
      </c>
      <c r="DW73" s="390" t="str">
        <f>IF(AND(DW$12&gt;=$E73,DW$12&lt;=$F73,MOD(DW$12,7)&gt;1,NOT(COUNTIF(General!$U$13:$U$19,DW$12))),$I73,"")</f>
        <v/>
      </c>
      <c r="DX73" s="390" t="str">
        <f>IF(AND(DX$12&gt;=$E73,DX$12&lt;=$F73,MOD(DX$12,7)&gt;1,NOT(COUNTIF(General!$U$13:$U$19,DX$12))),$I73,"")</f>
        <v/>
      </c>
      <c r="DY73" s="390" t="str">
        <f>IF(AND(DY$12&gt;=$E73,DY$12&lt;=$F73,MOD(DY$12,7)&gt;1,NOT(COUNTIF(General!$U$13:$U$19,DY$12))),$I73,"")</f>
        <v/>
      </c>
      <c r="DZ73" s="390" t="str">
        <f>IF(AND(DZ$12&gt;=$E73,DZ$12&lt;=$F73,MOD(DZ$12,7)&gt;1,NOT(COUNTIF(General!$U$13:$U$19,DZ$12))),$I73,"")</f>
        <v/>
      </c>
      <c r="EA73" s="390" t="str">
        <f>IF(AND(EA$12&gt;=$E73,EA$12&lt;=$F73,MOD(EA$12,7)&gt;1,NOT(COUNTIF(General!$U$13:$U$19,EA$12))),$I73,"")</f>
        <v/>
      </c>
      <c r="EB73" s="390" t="str">
        <f>IF(AND(EB$12&gt;=$E73,EB$12&lt;=$F73,MOD(EB$12,7)&gt;1,NOT(COUNTIF(General!$U$13:$U$19,EB$12))),$I73,"")</f>
        <v/>
      </c>
      <c r="EC73" s="390" t="str">
        <f>IF(AND(EC$12&gt;=$E73,EC$12&lt;=$F73,MOD(EC$12,7)&gt;1,NOT(COUNTIF(General!$U$13:$U$19,EC$12))),$I73,"")</f>
        <v/>
      </c>
      <c r="ED73" s="390" t="str">
        <f>IF(AND(ED$12&gt;=$E73,ED$12&lt;=$F73,MOD(ED$12,7)&gt;1,NOT(COUNTIF(General!$U$13:$U$19,ED$12))),$I73,"")</f>
        <v/>
      </c>
      <c r="EE73" s="390" t="str">
        <f>IF(AND(EE$12&gt;=$E73,EE$12&lt;=$F73,MOD(EE$12,7)&gt;1,NOT(COUNTIF(General!$U$13:$U$19,EE$12))),$I73,"")</f>
        <v/>
      </c>
      <c r="EF73" s="390" t="str">
        <f>IF(AND(EF$12&gt;=$E73,EF$12&lt;=$F73,MOD(EF$12,7)&gt;1,NOT(COUNTIF(General!$U$13:$U$19,EF$12))),$I73,"")</f>
        <v/>
      </c>
      <c r="EG73" s="390" t="str">
        <f>IF(AND(EG$12&gt;=$E73,EG$12&lt;=$F73,MOD(EG$12,7)&gt;1,NOT(COUNTIF(General!$U$13:$U$19,EG$12))),$I73,"")</f>
        <v/>
      </c>
      <c r="EH73" s="390" t="str">
        <f>IF(AND(EH$12&gt;=$E73,EH$12&lt;=$F73,MOD(EH$12,7)&gt;1,NOT(COUNTIF(General!$U$13:$U$19,EH$12))),$I73,"")</f>
        <v/>
      </c>
      <c r="EI73" s="390" t="str">
        <f>IF(AND(EI$12&gt;=$E73,EI$12&lt;=$F73,MOD(EI$12,7)&gt;1,NOT(COUNTIF(General!$U$13:$U$19,EI$12))),$I73,"")</f>
        <v/>
      </c>
      <c r="EJ73" s="390" t="str">
        <f>IF(AND(EJ$12&gt;=$E73,EJ$12&lt;=$F73,MOD(EJ$12,7)&gt;1,NOT(COUNTIF(General!$U$13:$U$19,EJ$12))),$I73,"")</f>
        <v/>
      </c>
      <c r="EK73" s="390" t="str">
        <f>IF(AND(EK$12&gt;=$E73,EK$12&lt;=$F73,MOD(EK$12,7)&gt;1,NOT(COUNTIF(General!$U$13:$U$19,EK$12))),$I73,"")</f>
        <v/>
      </c>
      <c r="EL73" s="390" t="str">
        <f>IF(AND(EL$12&gt;=$E73,EL$12&lt;=$F73,MOD(EL$12,7)&gt;1,NOT(COUNTIF(General!$U$13:$U$19,EL$12))),$I73,"")</f>
        <v/>
      </c>
      <c r="EM73" s="390" t="str">
        <f>IF(AND(EM$12&gt;=$E73,EM$12&lt;=$F73,MOD(EM$12,7)&gt;1,NOT(COUNTIF(General!$U$13:$U$19,EM$12))),$I73,"")</f>
        <v/>
      </c>
      <c r="EN73" s="390" t="str">
        <f>IF(AND(EN$12&gt;=$E73,EN$12&lt;=$F73,MOD(EN$12,7)&gt;1,NOT(COUNTIF(General!$U$13:$U$19,EN$12))),$I73,"")</f>
        <v/>
      </c>
      <c r="EO73" s="390" t="str">
        <f>IF(AND(EO$12&gt;=$E73,EO$12&lt;=$F73,MOD(EO$12,7)&gt;1,NOT(COUNTIF(General!$U$13:$U$19,EO$12))),$I73,"")</f>
        <v/>
      </c>
      <c r="EP73" s="390" t="str">
        <f>IF(AND(EP$12&gt;=$E73,EP$12&lt;=$F73,MOD(EP$12,7)&gt;1,NOT(COUNTIF(General!$U$13:$U$19,EP$12))),$I73,"")</f>
        <v/>
      </c>
      <c r="EQ73" s="390" t="str">
        <f>IF(AND(EQ$12&gt;=$E73,EQ$12&lt;=$F73,MOD(EQ$12,7)&gt;1,NOT(COUNTIF(General!$U$13:$U$19,EQ$12))),$I73,"")</f>
        <v/>
      </c>
      <c r="ER73" s="390" t="str">
        <f>IF(AND(ER$12&gt;=$E73,ER$12&lt;=$F73,MOD(ER$12,7)&gt;1,NOT(COUNTIF(General!$U$13:$U$19,ER$12))),$I73,"")</f>
        <v/>
      </c>
      <c r="ES73" s="390" t="str">
        <f>IF(AND(ES$12&gt;=$E73,ES$12&lt;=$F73,MOD(ES$12,7)&gt;1,NOT(COUNTIF(General!$U$13:$U$19,ES$12))),$I73,"")</f>
        <v/>
      </c>
      <c r="ET73" s="390" t="str">
        <f>IF(AND(ET$12&gt;=$E73,ET$12&lt;=$F73,MOD(ET$12,7)&gt;1,NOT(COUNTIF(General!$U$13:$U$19,ET$12))),$I73,"")</f>
        <v/>
      </c>
      <c r="EU73" s="390" t="str">
        <f>IF(AND(EU$12&gt;=$E73,EU$12&lt;=$F73,MOD(EU$12,7)&gt;1,NOT(COUNTIF(General!$U$13:$U$19,EU$12))),$I73,"")</f>
        <v/>
      </c>
      <c r="EV73" s="390" t="str">
        <f>IF(AND(EV$12&gt;=$E73,EV$12&lt;=$F73,MOD(EV$12,7)&gt;1,NOT(COUNTIF(General!$U$13:$U$19,EV$12))),$I73,"")</f>
        <v/>
      </c>
      <c r="EW73" s="390" t="str">
        <f>IF(AND(EW$12&gt;=$E73,EW$12&lt;=$F73,MOD(EW$12,7)&gt;1,NOT(COUNTIF(General!$U$13:$U$19,EW$12))),$I73,"")</f>
        <v/>
      </c>
      <c r="EX73" s="390" t="str">
        <f>IF(AND(EX$12&gt;=$E73,EX$12&lt;=$F73,MOD(EX$12,7)&gt;1,NOT(COUNTIF(General!$U$13:$U$19,EX$12))),$I73,"")</f>
        <v/>
      </c>
      <c r="EY73" s="390" t="str">
        <f>IF(AND(EY$12&gt;=$E73,EY$12&lt;=$F73,MOD(EY$12,7)&gt;1,NOT(COUNTIF(General!$U$13:$U$19,EY$12))),$I73,"")</f>
        <v/>
      </c>
      <c r="EZ73" s="390" t="str">
        <f>IF(AND(EZ$12&gt;=$E73,EZ$12&lt;=$F73,MOD(EZ$12,7)&gt;1,NOT(COUNTIF(General!$U$13:$U$19,EZ$12))),$I73,"")</f>
        <v/>
      </c>
      <c r="FA73" s="390" t="str">
        <f>IF(AND(FA$12&gt;=$E73,FA$12&lt;=$F73,MOD(FA$12,7)&gt;1,NOT(COUNTIF(General!$U$13:$U$19,FA$12))),$I73,"")</f>
        <v/>
      </c>
      <c r="FB73" s="390" t="str">
        <f>IF(AND(FB$12&gt;=$E73,FB$12&lt;=$F73,MOD(FB$12,7)&gt;1,NOT(COUNTIF(General!$U$13:$U$19,FB$12))),$I73,"")</f>
        <v/>
      </c>
      <c r="FC73" s="390" t="str">
        <f>IF(AND(FC$12&gt;=$E73,FC$12&lt;=$F73,MOD(FC$12,7)&gt;1,NOT(COUNTIF(General!$U$13:$U$19,FC$12))),$I73,"")</f>
        <v/>
      </c>
      <c r="FD73" s="390" t="str">
        <f>IF(AND(FD$12&gt;=$E73,FD$12&lt;=$F73,MOD(FD$12,7)&gt;1,NOT(COUNTIF(General!$U$13:$U$19,FD$12))),$I73,"")</f>
        <v/>
      </c>
      <c r="FE73" s="390" t="str">
        <f>IF(AND(FE$12&gt;=$E73,FE$12&lt;=$F73,MOD(FE$12,7)&gt;1,NOT(COUNTIF(General!$U$13:$U$19,FE$12))),$I73,"")</f>
        <v/>
      </c>
      <c r="FF73" s="390" t="str">
        <f>IF(AND(FF$12&gt;=$E73,FF$12&lt;=$F73,MOD(FF$12,7)&gt;1,NOT(COUNTIF(General!$U$13:$U$19,FF$12))),$I73,"")</f>
        <v/>
      </c>
      <c r="FG73" s="390" t="str">
        <f>IF(AND(FG$12&gt;=$E73,FG$12&lt;=$F73,MOD(FG$12,7)&gt;1,NOT(COUNTIF(General!$U$13:$U$19,FG$12))),$I73,"")</f>
        <v/>
      </c>
      <c r="FH73" s="390" t="str">
        <f>IF(AND(FH$12&gt;=$E73,FH$12&lt;=$F73,MOD(FH$12,7)&gt;1,NOT(COUNTIF(General!$U$13:$U$19,FH$12))),$I73,"")</f>
        <v/>
      </c>
      <c r="FI73" s="390" t="str">
        <f>IF(AND(FI$12&gt;=$E73,FI$12&lt;=$F73,MOD(FI$12,7)&gt;1,NOT(COUNTIF(General!$U$13:$U$19,FI$12))),$I73,"")</f>
        <v/>
      </c>
      <c r="FJ73" s="390" t="str">
        <f>IF(AND(FJ$12&gt;=$E73,FJ$12&lt;=$F73,MOD(FJ$12,7)&gt;1,NOT(COUNTIF(General!$U$13:$U$19,FJ$12))),$I73,"")</f>
        <v/>
      </c>
      <c r="FK73" s="390" t="str">
        <f>IF(AND(FK$12&gt;=$E73,FK$12&lt;=$F73,MOD(FK$12,7)&gt;1,NOT(COUNTIF(General!$U$13:$U$19,FK$12))),$I73,"")</f>
        <v/>
      </c>
      <c r="FL73" s="390" t="str">
        <f>IF(AND(FL$12&gt;=$E73,FL$12&lt;=$F73,MOD(FL$12,7)&gt;1,NOT(COUNTIF(General!$U$13:$U$19,FL$12))),$I73,"")</f>
        <v/>
      </c>
      <c r="FM73" s="390" t="str">
        <f>IF(AND(FM$12&gt;=$E73,FM$12&lt;=$F73,MOD(FM$12,7)&gt;1,NOT(COUNTIF(General!$U$13:$U$19,FM$12))),$I73,"")</f>
        <v/>
      </c>
      <c r="FN73" s="390" t="str">
        <f>IF(AND(FN$12&gt;=$E73,FN$12&lt;=$F73,MOD(FN$12,7)&gt;1,NOT(COUNTIF(General!$U$13:$U$19,FN$12))),$I73,"")</f>
        <v/>
      </c>
      <c r="FO73" s="390" t="str">
        <f>IF(AND(FO$12&gt;=$E73,FO$12&lt;=$F73,MOD(FO$12,7)&gt;1,NOT(COUNTIF(General!$U$13:$U$19,FO$12))),$I73,"")</f>
        <v/>
      </c>
      <c r="FP73" s="390" t="str">
        <f>IF(AND(FP$12&gt;=$E73,FP$12&lt;=$F73,MOD(FP$12,7)&gt;1,NOT(COUNTIF(General!$U$13:$U$19,FP$12))),$I73,"")</f>
        <v/>
      </c>
      <c r="FQ73" s="390" t="str">
        <f>IF(AND(FQ$12&gt;=$E73,FQ$12&lt;=$F73,MOD(FQ$12,7)&gt;1,NOT(COUNTIF(General!$U$13:$U$19,FQ$12))),$I73,"")</f>
        <v/>
      </c>
      <c r="FR73" s="390" t="str">
        <f>IF(AND(FR$12&gt;=$E73,FR$12&lt;=$F73,MOD(FR$12,7)&gt;1,NOT(COUNTIF(General!$U$13:$U$19,FR$12))),$I73,"")</f>
        <v/>
      </c>
      <c r="FS73" s="390" t="str">
        <f>IF(AND(FS$12&gt;=$E73,FS$12&lt;=$F73,MOD(FS$12,7)&gt;1,NOT(COUNTIF(General!$U$13:$U$19,FS$12))),$I73,"")</f>
        <v/>
      </c>
      <c r="FT73" s="390" t="str">
        <f>IF(AND(FT$12&gt;=$E73,FT$12&lt;=$F73,MOD(FT$12,7)&gt;1,NOT(COUNTIF(General!$U$13:$U$19,FT$12))),$I73,"")</f>
        <v/>
      </c>
      <c r="FU73" s="390" t="str">
        <f>IF(AND(FU$12&gt;=$E73,FU$12&lt;=$F73,MOD(FU$12,7)&gt;1,NOT(COUNTIF(General!$U$13:$U$19,FU$12))),$I73,"")</f>
        <v/>
      </c>
      <c r="FV73" s="390" t="str">
        <f>IF(AND(FV$12&gt;=$E73,FV$12&lt;=$F73,MOD(FV$12,7)&gt;1,NOT(COUNTIF(General!$U$13:$U$19,FV$12))),$I73,"")</f>
        <v/>
      </c>
      <c r="FW73" s="390" t="str">
        <f>IF(AND(FW$12&gt;=$E73,FW$12&lt;=$F73,MOD(FW$12,7)&gt;1,NOT(COUNTIF(General!$U$13:$U$19,FW$12))),$I73,"")</f>
        <v/>
      </c>
      <c r="FX73" s="390" t="str">
        <f>IF(AND(FX$12&gt;=$E73,FX$12&lt;=$F73,MOD(FX$12,7)&gt;1,NOT(COUNTIF(General!$U$13:$U$19,FX$12))),$I73,"")</f>
        <v/>
      </c>
    </row>
    <row r="74" ht="16.5" customHeight="1">
      <c r="A74" s="613"/>
      <c r="B74" s="615"/>
      <c r="C74" s="370"/>
      <c r="D74" s="619" t="s">
        <v>594</v>
      </c>
      <c r="E74" s="635"/>
      <c r="F74" s="374"/>
      <c r="G74" s="636"/>
      <c r="H74" s="377"/>
      <c r="I74" s="379">
        <v>1.0</v>
      </c>
      <c r="J74" s="377"/>
      <c r="K74" s="381"/>
      <c r="L74" s="382"/>
      <c r="M74" s="383"/>
      <c r="N74" s="384"/>
      <c r="O74" s="386"/>
      <c r="P74" s="388"/>
      <c r="Q74" s="390" t="str">
        <f>IF(AND(Q$12&gt;=$E74,Q$12&lt;=$F74,MOD(Q$12,7)&gt;1,NOT(COUNTIF(General!$U$13:$U$19,Q$12))),$I74,"")</f>
        <v/>
      </c>
      <c r="R74" s="390" t="str">
        <f>IF(AND(R$12&gt;=$E74,R$12&lt;=$F74,MOD(R$12,7)&gt;1,NOT(COUNTIF(General!$U$13:$U$19,R$12))),$I74,"")</f>
        <v/>
      </c>
      <c r="S74" s="390" t="str">
        <f>IF(AND(S$12&gt;=$E74,S$12&lt;=$F74,MOD(S$12,7)&gt;1,NOT(COUNTIF(General!$U$13:$U$19,S$12))),$I74,"")</f>
        <v/>
      </c>
      <c r="T74" s="390" t="str">
        <f>IF(AND(T$12&gt;=$E74,T$12&lt;=$F74,MOD(T$12,7)&gt;1,NOT(COUNTIF(General!$U$13:$U$19,T$12))),$I74,"")</f>
        <v/>
      </c>
      <c r="U74" s="390" t="str">
        <f>IF(AND(U$12&gt;=$E74,U$12&lt;=$F74,MOD(U$12,7)&gt;1,NOT(COUNTIF(General!$U$13:$U$19,U$12))),$I74,"")</f>
        <v/>
      </c>
      <c r="V74" s="390" t="str">
        <f>IF(AND(V$12&gt;=$E74,V$12&lt;=$F74,MOD(V$12,7)&gt;1,NOT(COUNTIF(General!$U$13:$U$19,V$12))),$I74,"")</f>
        <v/>
      </c>
      <c r="W74" s="390" t="str">
        <f>IF(AND(W$12&gt;=$E74,W$12&lt;=$F74,MOD(W$12,7)&gt;1,NOT(COUNTIF(General!$U$13:$U$19,W$12))),$I74,"")</f>
        <v/>
      </c>
      <c r="X74" s="390" t="str">
        <f>IF(AND(X$12&gt;=$E74,X$12&lt;=$F74,MOD(X$12,7)&gt;1,NOT(COUNTIF(General!$U$13:$U$19,X$12))),$I74,"")</f>
        <v/>
      </c>
      <c r="Y74" s="390" t="str">
        <f>IF(AND(Y$12&gt;=$E74,Y$12&lt;=$F74,MOD(Y$12,7)&gt;1,NOT(COUNTIF(General!$U$13:$U$19,Y$12))),$I74,"")</f>
        <v/>
      </c>
      <c r="Z74" s="390" t="str">
        <f>IF(AND(Z$12&gt;=$E74,Z$12&lt;=$F74,MOD(Z$12,7)&gt;1,NOT(COUNTIF(General!$U$13:$U$19,Z$12))),$I74,"")</f>
        <v/>
      </c>
      <c r="AA74" s="390" t="str">
        <f>IF(AND(AA$12&gt;=$E74,AA$12&lt;=$F74,MOD(AA$12,7)&gt;1,NOT(COUNTIF(General!$U$13:$U$19,AA$12))),$I74,"")</f>
        <v/>
      </c>
      <c r="AB74" s="390" t="str">
        <f>IF(AND(AB$12&gt;=$E74,AB$12&lt;=$F74,MOD(AB$12,7)&gt;1,NOT(COUNTIF(General!$U$13:$U$19,AB$12))),$I74,"")</f>
        <v/>
      </c>
      <c r="AC74" s="390" t="str">
        <f>IF(AND(AC$12&gt;=$E74,AC$12&lt;=$F74,MOD(AC$12,7)&gt;1,NOT(COUNTIF(General!$U$13:$U$19,AC$12))),$I74,"")</f>
        <v/>
      </c>
      <c r="AD74" s="390" t="str">
        <f>IF(AND(AD$12&gt;=$E74,AD$12&lt;=$F74,MOD(AD$12,7)&gt;1,NOT(COUNTIF(General!$U$13:$U$19,AD$12))),$I74,"")</f>
        <v/>
      </c>
      <c r="AE74" s="390" t="str">
        <f>IF(AND(AE$12&gt;=$E74,AE$12&lt;=$F74,MOD(AE$12,7)&gt;1,NOT(COUNTIF(General!$U$13:$U$19,AE$12))),$I74,"")</f>
        <v/>
      </c>
      <c r="AF74" s="390" t="str">
        <f>IF(AND(AF$12&gt;=$E74,AF$12&lt;=$F74,MOD(AF$12,7)&gt;1,NOT(COUNTIF(General!$U$13:$U$19,AF$12))),$I74,"")</f>
        <v/>
      </c>
      <c r="AG74" s="390" t="str">
        <f>IF(AND(AG$12&gt;=$E74,AG$12&lt;=$F74,MOD(AG$12,7)&gt;1,NOT(COUNTIF(General!$U$13:$U$19,AG$12))),$I74,"")</f>
        <v/>
      </c>
      <c r="AH74" s="390" t="str">
        <f>IF(AND(AH$12&gt;=$E74,AH$12&lt;=$F74,MOD(AH$12,7)&gt;1,NOT(COUNTIF(General!$U$13:$U$19,AH$12))),$I74,"")</f>
        <v/>
      </c>
      <c r="AI74" s="390" t="str">
        <f>IF(AND(AI$12&gt;=$E74,AI$12&lt;=$F74,MOD(AI$12,7)&gt;1,NOT(COUNTIF(General!$U$13:$U$19,AI$12))),$I74,"")</f>
        <v/>
      </c>
      <c r="AJ74" s="390" t="str">
        <f>IF(AND(AJ$12&gt;=$E74,AJ$12&lt;=$F74,MOD(AJ$12,7)&gt;1,NOT(COUNTIF(General!$U$13:$U$19,AJ$12))),$I74,"")</f>
        <v/>
      </c>
      <c r="AK74" s="390" t="str">
        <f>IF(AND(AK$12&gt;=$E74,AK$12&lt;=$F74,MOD(AK$12,7)&gt;1,NOT(COUNTIF(General!$U$13:$U$19,AK$12))),$I74,"")</f>
        <v/>
      </c>
      <c r="AL74" s="390" t="str">
        <f>IF(AND(AL$12&gt;=$E74,AL$12&lt;=$F74,MOD(AL$12,7)&gt;1,NOT(COUNTIF(General!$U$13:$U$19,AL$12))),$I74,"")</f>
        <v/>
      </c>
      <c r="AM74" s="390" t="str">
        <f>IF(AND(AM$12&gt;=$E74,AM$12&lt;=$F74,MOD(AM$12,7)&gt;1,NOT(COUNTIF(General!$U$13:$U$19,AM$12))),$I74,"")</f>
        <v/>
      </c>
      <c r="AN74" s="390" t="str">
        <f>IF(AND(AN$12&gt;=$E74,AN$12&lt;=$F74,MOD(AN$12,7)&gt;1,NOT(COUNTIF(General!$U$13:$U$19,AN$12))),$I74,"")</f>
        <v/>
      </c>
      <c r="AO74" s="390" t="str">
        <f>IF(AND(AO$12&gt;=$E74,AO$12&lt;=$F74,MOD(AO$12,7)&gt;1,NOT(COUNTIF(General!$U$13:$U$19,AO$12))),$I74,"")</f>
        <v/>
      </c>
      <c r="AP74" s="390" t="str">
        <f>IF(AND(AP$12&gt;=$E74,AP$12&lt;=$F74,MOD(AP$12,7)&gt;1,NOT(COUNTIF(General!$U$13:$U$19,AP$12))),$I74,"")</f>
        <v/>
      </c>
      <c r="AQ74" s="390" t="str">
        <f>IF(AND(AQ$12&gt;=$E74,AQ$12&lt;=$F74,MOD(AQ$12,7)&gt;1,NOT(COUNTIF(General!$U$13:$U$19,AQ$12))),$I74,"")</f>
        <v/>
      </c>
      <c r="AR74" s="390" t="str">
        <f>IF(AND(AR$12&gt;=$E74,AR$12&lt;=$F74,MOD(AR$12,7)&gt;1,NOT(COUNTIF(General!$U$13:$U$19,AR$12))),$I74,"")</f>
        <v/>
      </c>
      <c r="AS74" s="390" t="str">
        <f>IF(AND(AS$12&gt;=$E74,AS$12&lt;=$F74,MOD(AS$12,7)&gt;1,NOT(COUNTIF(General!$U$13:$U$19,AS$12))),$I74,"")</f>
        <v/>
      </c>
      <c r="AT74" s="390" t="str">
        <f>IF(AND(AT$12&gt;=$E74,AT$12&lt;=$F74,MOD(AT$12,7)&gt;1,NOT(COUNTIF(General!$U$13:$U$19,AT$12))),$I74,"")</f>
        <v/>
      </c>
      <c r="AU74" s="390" t="str">
        <f>IF(AND(AU$12&gt;=$E74,AU$12&lt;=$F74,MOD(AU$12,7)&gt;1,NOT(COUNTIF(General!$U$13:$U$19,AU$12))),$I74,"")</f>
        <v/>
      </c>
      <c r="AV74" s="390" t="str">
        <f>IF(AND(AV$12&gt;=$E74,AV$12&lt;=$F74,MOD(AV$12,7)&gt;1,NOT(COUNTIF(General!$U$13:$U$19,AV$12))),$I74,"")</f>
        <v/>
      </c>
      <c r="AW74" s="390" t="str">
        <f>IF(AND(AW$12&gt;=$E74,AW$12&lt;=$F74,MOD(AW$12,7)&gt;1,NOT(COUNTIF(General!$U$13:$U$19,AW$12))),$I74,"")</f>
        <v/>
      </c>
      <c r="AX74" s="390" t="str">
        <f>IF(AND(AX$12&gt;=$E74,AX$12&lt;=$F74,MOD(AX$12,7)&gt;1,NOT(COUNTIF(General!$U$13:$U$19,AX$12))),$I74,"")</f>
        <v/>
      </c>
      <c r="AY74" s="390" t="str">
        <f>IF(AND(AY$12&gt;=$E74,AY$12&lt;=$F74,MOD(AY$12,7)&gt;1,NOT(COUNTIF(General!$U$13:$U$19,AY$12))),$I74,"")</f>
        <v/>
      </c>
      <c r="AZ74" s="390" t="str">
        <f>IF(AND(AZ$12&gt;=$E74,AZ$12&lt;=$F74,MOD(AZ$12,7)&gt;1,NOT(COUNTIF(General!$U$13:$U$19,AZ$12))),$I74,"")</f>
        <v/>
      </c>
      <c r="BA74" s="390" t="str">
        <f>IF(AND(BA$12&gt;=$E74,BA$12&lt;=$F74,MOD(BA$12,7)&gt;1,NOT(COUNTIF(General!$U$13:$U$19,BA$12))),$I74,"")</f>
        <v/>
      </c>
      <c r="BB74" s="390" t="str">
        <f>IF(AND(BB$12&gt;=$E74,BB$12&lt;=$F74,MOD(BB$12,7)&gt;1,NOT(COUNTIF(General!$U$13:$U$19,BB$12))),$I74,"")</f>
        <v/>
      </c>
      <c r="BC74" s="390" t="str">
        <f>IF(AND(BC$12&gt;=$E74,BC$12&lt;=$F74,MOD(BC$12,7)&gt;1,NOT(COUNTIF(General!$U$13:$U$19,BC$12))),$I74,"")</f>
        <v/>
      </c>
      <c r="BD74" s="390" t="str">
        <f>IF(AND(BD$12&gt;=$E74,BD$12&lt;=$F74,MOD(BD$12,7)&gt;1,NOT(COUNTIF(General!$U$13:$U$19,BD$12))),$I74,"")</f>
        <v/>
      </c>
      <c r="BE74" s="390" t="str">
        <f>IF(AND(BE$12&gt;=$E74,BE$12&lt;=$F74,MOD(BE$12,7)&gt;1,NOT(COUNTIF(General!$U$13:$U$19,BE$12))),$I74,"")</f>
        <v/>
      </c>
      <c r="BF74" s="390" t="str">
        <f>IF(AND(BF$12&gt;=$E74,BF$12&lt;=$F74,MOD(BF$12,7)&gt;1,NOT(COUNTIF(General!$U$13:$U$19,BF$12))),$I74,"")</f>
        <v/>
      </c>
      <c r="BG74" s="390" t="str">
        <f>IF(AND(BG$12&gt;=$E74,BG$12&lt;=$F74,MOD(BG$12,7)&gt;1,NOT(COUNTIF(General!$U$13:$U$19,BG$12))),$I74,"")</f>
        <v/>
      </c>
      <c r="BH74" s="390" t="str">
        <f>IF(AND(BH$12&gt;=$E74,BH$12&lt;=$F74,MOD(BH$12,7)&gt;1,NOT(COUNTIF(General!$U$13:$U$19,BH$12))),$I74,"")</f>
        <v/>
      </c>
      <c r="BI74" s="390" t="str">
        <f>IF(AND(BI$12&gt;=$E74,BI$12&lt;=$F74,MOD(BI$12,7)&gt;1,NOT(COUNTIF(General!$U$13:$U$19,BI$12))),$I74,"")</f>
        <v/>
      </c>
      <c r="BJ74" s="390" t="str">
        <f>IF(AND(BJ$12&gt;=$E74,BJ$12&lt;=$F74,MOD(BJ$12,7)&gt;1,NOT(COUNTIF(General!$U$13:$U$19,BJ$12))),$I74,"")</f>
        <v/>
      </c>
      <c r="BK74" s="390" t="str">
        <f>IF(AND(BK$12&gt;=$E74,BK$12&lt;=$F74,MOD(BK$12,7)&gt;1,NOT(COUNTIF(General!$U$13:$U$19,BK$12))),$I74,"")</f>
        <v/>
      </c>
      <c r="BL74" s="390" t="str">
        <f>IF(AND(BL$12&gt;=$E74,BL$12&lt;=$F74,MOD(BL$12,7)&gt;1,NOT(COUNTIF(General!$U$13:$U$19,BL$12))),$I74,"")</f>
        <v/>
      </c>
      <c r="BM74" s="390" t="str">
        <f>IF(AND(BM$12&gt;=$E74,BM$12&lt;=$F74,MOD(BM$12,7)&gt;1,NOT(COUNTIF(General!$U$13:$U$19,BM$12))),$I74,"")</f>
        <v/>
      </c>
      <c r="BN74" s="390" t="str">
        <f>IF(AND(BN$12&gt;=$E74,BN$12&lt;=$F74,MOD(BN$12,7)&gt;1,NOT(COUNTIF(General!$U$13:$U$19,BN$12))),$I74,"")</f>
        <v/>
      </c>
      <c r="BO74" s="390" t="str">
        <f>IF(AND(BO$12&gt;=$E74,BO$12&lt;=$F74,MOD(BO$12,7)&gt;1,NOT(COUNTIF(General!$U$13:$U$19,BO$12))),$I74,"")</f>
        <v/>
      </c>
      <c r="BP74" s="390" t="str">
        <f>IF(AND(BP$12&gt;=$E74,BP$12&lt;=$F74,MOD(BP$12,7)&gt;1,NOT(COUNTIF(General!$U$13:$U$19,BP$12))),$I74,"")</f>
        <v/>
      </c>
      <c r="BQ74" s="390" t="str">
        <f>IF(AND(BQ$12&gt;=$E74,BQ$12&lt;=$F74,MOD(BQ$12,7)&gt;1,NOT(COUNTIF(General!$U$13:$U$19,BQ$12))),$I74,"")</f>
        <v/>
      </c>
      <c r="BR74" s="390" t="str">
        <f>IF(AND(BR$12&gt;=$E74,BR$12&lt;=$F74,MOD(BR$12,7)&gt;1,NOT(COUNTIF(General!$U$13:$U$19,BR$12))),$I74,"")</f>
        <v/>
      </c>
      <c r="BS74" s="390" t="str">
        <f>IF(AND(BS$12&gt;=$E74,BS$12&lt;=$F74,MOD(BS$12,7)&gt;1,NOT(COUNTIF(General!$U$13:$U$19,BS$12))),$I74,"")</f>
        <v/>
      </c>
      <c r="BT74" s="390" t="str">
        <f>IF(AND(BT$12&gt;=$E74,BT$12&lt;=$F74,MOD(BT$12,7)&gt;1,NOT(COUNTIF(General!$U$13:$U$19,BT$12))),$I74,"")</f>
        <v/>
      </c>
      <c r="BU74" s="390" t="str">
        <f>IF(AND(BU$12&gt;=$E74,BU$12&lt;=$F74,MOD(BU$12,7)&gt;1,NOT(COUNTIF(General!$U$13:$U$19,BU$12))),$I74,"")</f>
        <v/>
      </c>
      <c r="BV74" s="390" t="str">
        <f>IF(AND(BV$12&gt;=$E74,BV$12&lt;=$F74,MOD(BV$12,7)&gt;1,NOT(COUNTIF(General!$U$13:$U$19,BV$12))),$I74,"")</f>
        <v/>
      </c>
      <c r="BW74" s="390" t="str">
        <f>IF(AND(BW$12&gt;=$E74,BW$12&lt;=$F74,MOD(BW$12,7)&gt;1,NOT(COUNTIF(General!$U$13:$U$19,BW$12))),$I74,"")</f>
        <v/>
      </c>
      <c r="BX74" s="390" t="str">
        <f>IF(AND(BX$12&gt;=$E74,BX$12&lt;=$F74,MOD(BX$12,7)&gt;1,NOT(COUNTIF(General!$U$13:$U$19,BX$12))),$I74,"")</f>
        <v/>
      </c>
      <c r="BY74" s="390" t="str">
        <f>IF(AND(BY$12&gt;=$E74,BY$12&lt;=$F74,MOD(BY$12,7)&gt;1,NOT(COUNTIF(General!$U$13:$U$19,BY$12))),$I74,"")</f>
        <v/>
      </c>
      <c r="BZ74" s="390" t="str">
        <f>IF(AND(BZ$12&gt;=$E74,BZ$12&lt;=$F74,MOD(BZ$12,7)&gt;1,NOT(COUNTIF(General!$U$13:$U$19,BZ$12))),$I74,"")</f>
        <v/>
      </c>
      <c r="CA74" s="390" t="str">
        <f>IF(AND(CA$12&gt;=$E74,CA$12&lt;=$F74,MOD(CA$12,7)&gt;1,NOT(COUNTIF(General!$U$13:$U$19,CA$12))),$I74,"")</f>
        <v/>
      </c>
      <c r="CB74" s="390" t="str">
        <f>IF(AND(CB$12&gt;=$E74,CB$12&lt;=$F74,MOD(CB$12,7)&gt;1,NOT(COUNTIF(General!$U$13:$U$19,CB$12))),$I74,"")</f>
        <v/>
      </c>
      <c r="CC74" s="390" t="str">
        <f>IF(AND(CC$12&gt;=$E74,CC$12&lt;=$F74,MOD(CC$12,7)&gt;1,NOT(COUNTIF(General!$U$13:$U$19,CC$12))),$I74,"")</f>
        <v/>
      </c>
      <c r="CD74" s="390" t="str">
        <f>IF(AND(CD$12&gt;=$E74,CD$12&lt;=$F74,MOD(CD$12,7)&gt;1,NOT(COUNTIF(General!$U$13:$U$19,CD$12))),$I74,"")</f>
        <v/>
      </c>
      <c r="CE74" s="390" t="str">
        <f>IF(AND(CE$12&gt;=$E74,CE$12&lt;=$F74,MOD(CE$12,7)&gt;1,NOT(COUNTIF(General!$U$13:$U$19,CE$12))),$I74,"")</f>
        <v/>
      </c>
      <c r="CF74" s="390" t="str">
        <f>IF(AND(CF$12&gt;=$E74,CF$12&lt;=$F74,MOD(CF$12,7)&gt;1,NOT(COUNTIF(General!$U$13:$U$19,CF$12))),$I74,"")</f>
        <v/>
      </c>
      <c r="CG74" s="390" t="str">
        <f>IF(AND(CG$12&gt;=$E74,CG$12&lt;=$F74,MOD(CG$12,7)&gt;1,NOT(COUNTIF(General!$U$13:$U$19,CG$12))),$I74,"")</f>
        <v/>
      </c>
      <c r="CH74" s="390" t="str">
        <f>IF(AND(CH$12&gt;=$E74,CH$12&lt;=$F74,MOD(CH$12,7)&gt;1,NOT(COUNTIF(General!$U$13:$U$19,CH$12))),$I74,"")</f>
        <v/>
      </c>
      <c r="CI74" s="390" t="str">
        <f>IF(AND(CI$12&gt;=$E74,CI$12&lt;=$F74,MOD(CI$12,7)&gt;1,NOT(COUNTIF(General!$U$13:$U$19,CI$12))),$I74,"")</f>
        <v/>
      </c>
      <c r="CJ74" s="390" t="str">
        <f>IF(AND(CJ$12&gt;=$E74,CJ$12&lt;=$F74,MOD(CJ$12,7)&gt;1,NOT(COUNTIF(General!$U$13:$U$19,CJ$12))),$I74,"")</f>
        <v/>
      </c>
      <c r="CK74" s="390" t="str">
        <f>IF(AND(CK$12&gt;=$E74,CK$12&lt;=$F74,MOD(CK$12,7)&gt;1,NOT(COUNTIF(General!$U$13:$U$19,CK$12))),$I74,"")</f>
        <v/>
      </c>
      <c r="CL74" s="390" t="str">
        <f>IF(AND(CL$12&gt;=$E74,CL$12&lt;=$F74,MOD(CL$12,7)&gt;1,NOT(COUNTIF(General!$U$13:$U$19,CL$12))),$I74,"")</f>
        <v/>
      </c>
      <c r="CM74" s="390" t="str">
        <f>IF(AND(CM$12&gt;=$E74,CM$12&lt;=$F74,MOD(CM$12,7)&gt;1,NOT(COUNTIF(General!$U$13:$U$19,CM$12))),$I74,"")</f>
        <v/>
      </c>
      <c r="CN74" s="390" t="str">
        <f>IF(AND(CN$12&gt;=$E74,CN$12&lt;=$F74,MOD(CN$12,7)&gt;1,NOT(COUNTIF(General!$U$13:$U$19,CN$12))),$I74,"")</f>
        <v/>
      </c>
      <c r="CO74" s="390" t="str">
        <f>IF(AND(CO$12&gt;=$E74,CO$12&lt;=$F74,MOD(CO$12,7)&gt;1,NOT(COUNTIF(General!$U$13:$U$19,CO$12))),$I74,"")</f>
        <v/>
      </c>
      <c r="CP74" s="390" t="str">
        <f>IF(AND(CP$12&gt;=$E74,CP$12&lt;=$F74,MOD(CP$12,7)&gt;1,NOT(COUNTIF(General!$U$13:$U$19,CP$12))),$I74,"")</f>
        <v/>
      </c>
      <c r="CQ74" s="390" t="str">
        <f>IF(AND(CQ$12&gt;=$E74,CQ$12&lt;=$F74,MOD(CQ$12,7)&gt;1,NOT(COUNTIF(General!$U$13:$U$19,CQ$12))),$I74,"")</f>
        <v/>
      </c>
      <c r="CR74" s="390" t="str">
        <f>IF(AND(CR$12&gt;=$E74,CR$12&lt;=$F74,MOD(CR$12,7)&gt;1,NOT(COUNTIF(General!$U$13:$U$19,CR$12))),$I74,"")</f>
        <v/>
      </c>
      <c r="CS74" s="390" t="str">
        <f>IF(AND(CS$12&gt;=$E74,CS$12&lt;=$F74,MOD(CS$12,7)&gt;1,NOT(COUNTIF(General!$U$13:$U$19,CS$12))),$I74,"")</f>
        <v/>
      </c>
      <c r="CT74" s="390" t="str">
        <f>IF(AND(CT$12&gt;=$E74,CT$12&lt;=$F74,MOD(CT$12,7)&gt;1,NOT(COUNTIF(General!$U$13:$U$19,CT$12))),$I74,"")</f>
        <v/>
      </c>
      <c r="CU74" s="390" t="str">
        <f>IF(AND(CU$12&gt;=$E74,CU$12&lt;=$F74,MOD(CU$12,7)&gt;1,NOT(COUNTIF(General!$U$13:$U$19,CU$12))),$I74,"")</f>
        <v/>
      </c>
      <c r="CV74" s="390" t="str">
        <f>IF(AND(CV$12&gt;=$E74,CV$12&lt;=$F74,MOD(CV$12,7)&gt;1,NOT(COUNTIF(General!$U$13:$U$19,CV$12))),$I74,"")</f>
        <v/>
      </c>
      <c r="CW74" s="390" t="str">
        <f>IF(AND(CW$12&gt;=$E74,CW$12&lt;=$F74,MOD(CW$12,7)&gt;1,NOT(COUNTIF(General!$U$13:$U$19,CW$12))),$I74,"")</f>
        <v/>
      </c>
      <c r="CX74" s="390" t="str">
        <f>IF(AND(CX$12&gt;=$E74,CX$12&lt;=$F74,MOD(CX$12,7)&gt;1,NOT(COUNTIF(General!$U$13:$U$19,CX$12))),$I74,"")</f>
        <v/>
      </c>
      <c r="CY74" s="390" t="str">
        <f>IF(AND(CY$12&gt;=$E74,CY$12&lt;=$F74,MOD(CY$12,7)&gt;1,NOT(COUNTIF(General!$U$13:$U$19,CY$12))),$I74,"")</f>
        <v/>
      </c>
      <c r="CZ74" s="390" t="str">
        <f>IF(AND(CZ$12&gt;=$E74,CZ$12&lt;=$F74,MOD(CZ$12,7)&gt;1,NOT(COUNTIF(General!$U$13:$U$19,CZ$12))),$I74,"")</f>
        <v/>
      </c>
      <c r="DA74" s="390" t="str">
        <f>IF(AND(DA$12&gt;=$E74,DA$12&lt;=$F74,MOD(DA$12,7)&gt;1,NOT(COUNTIF(General!$U$13:$U$19,DA$12))),$I74,"")</f>
        <v/>
      </c>
      <c r="DB74" s="390" t="str">
        <f>IF(AND(DB$12&gt;=$E74,DB$12&lt;=$F74,MOD(DB$12,7)&gt;1,NOT(COUNTIF(General!$U$13:$U$19,DB$12))),$I74,"")</f>
        <v/>
      </c>
      <c r="DC74" s="390" t="str">
        <f>IF(AND(DC$12&gt;=$E74,DC$12&lt;=$F74,MOD(DC$12,7)&gt;1,NOT(COUNTIF(General!$U$13:$U$19,DC$12))),$I74,"")</f>
        <v/>
      </c>
      <c r="DD74" s="390" t="str">
        <f>IF(AND(DD$12&gt;=$E74,DD$12&lt;=$F74,MOD(DD$12,7)&gt;1,NOT(COUNTIF(General!$U$13:$U$19,DD$12))),$I74,"")</f>
        <v/>
      </c>
      <c r="DE74" s="390" t="str">
        <f>IF(AND(DE$12&gt;=$E74,DE$12&lt;=$F74,MOD(DE$12,7)&gt;1,NOT(COUNTIF(General!$U$13:$U$19,DE$12))),$I74,"")</f>
        <v/>
      </c>
      <c r="DF74" s="390" t="str">
        <f>IF(AND(DF$12&gt;=$E74,DF$12&lt;=$F74,MOD(DF$12,7)&gt;1,NOT(COUNTIF(General!$U$13:$U$19,DF$12))),$I74,"")</f>
        <v/>
      </c>
      <c r="DG74" s="390" t="str">
        <f>IF(AND(DG$12&gt;=$E74,DG$12&lt;=$F74,MOD(DG$12,7)&gt;1,NOT(COUNTIF(General!$U$13:$U$19,DG$12))),$I74,"")</f>
        <v/>
      </c>
      <c r="DH74" s="390" t="str">
        <f>IF(AND(DH$12&gt;=$E74,DH$12&lt;=$F74,MOD(DH$12,7)&gt;1,NOT(COUNTIF(General!$U$13:$U$19,DH$12))),$I74,"")</f>
        <v/>
      </c>
      <c r="DI74" s="390" t="str">
        <f>IF(AND(DI$12&gt;=$E74,DI$12&lt;=$F74,MOD(DI$12,7)&gt;1,NOT(COUNTIF(General!$U$13:$U$19,DI$12))),$I74,"")</f>
        <v/>
      </c>
      <c r="DJ74" s="390" t="str">
        <f>IF(AND(DJ$12&gt;=$E74,DJ$12&lt;=$F74,MOD(DJ$12,7)&gt;1,NOT(COUNTIF(General!$U$13:$U$19,DJ$12))),$I74,"")</f>
        <v/>
      </c>
      <c r="DK74" s="390" t="str">
        <f>IF(AND(DK$12&gt;=$E74,DK$12&lt;=$F74,MOD(DK$12,7)&gt;1,NOT(COUNTIF(General!$U$13:$U$19,DK$12))),$I74,"")</f>
        <v/>
      </c>
      <c r="DL74" s="390" t="str">
        <f>IF(AND(DL$12&gt;=$E74,DL$12&lt;=$F74,MOD(DL$12,7)&gt;1,NOT(COUNTIF(General!$U$13:$U$19,DL$12))),$I74,"")</f>
        <v/>
      </c>
      <c r="DM74" s="390" t="str">
        <f>IF(AND(DM$12&gt;=$E74,DM$12&lt;=$F74,MOD(DM$12,7)&gt;1,NOT(COUNTIF(General!$U$13:$U$19,DM$12))),$I74,"")</f>
        <v/>
      </c>
      <c r="DN74" s="390" t="str">
        <f>IF(AND(DN$12&gt;=$E74,DN$12&lt;=$F74,MOD(DN$12,7)&gt;1,NOT(COUNTIF(General!$U$13:$U$19,DN$12))),$I74,"")</f>
        <v/>
      </c>
      <c r="DO74" s="390" t="str">
        <f>IF(AND(DO$12&gt;=$E74,DO$12&lt;=$F74,MOD(DO$12,7)&gt;1,NOT(COUNTIF(General!$U$13:$U$19,DO$12))),$I74,"")</f>
        <v/>
      </c>
      <c r="DP74" s="390" t="str">
        <f>IF(AND(DP$12&gt;=$E74,DP$12&lt;=$F74,MOD(DP$12,7)&gt;1,NOT(COUNTIF(General!$U$13:$U$19,DP$12))),$I74,"")</f>
        <v/>
      </c>
      <c r="DQ74" s="390" t="str">
        <f>IF(AND(DQ$12&gt;=$E74,DQ$12&lt;=$F74,MOD(DQ$12,7)&gt;1,NOT(COUNTIF(General!$U$13:$U$19,DQ$12))),$I74,"")</f>
        <v/>
      </c>
      <c r="DR74" s="390" t="str">
        <f>IF(AND(DR$12&gt;=$E74,DR$12&lt;=$F74,MOD(DR$12,7)&gt;1,NOT(COUNTIF(General!$U$13:$U$19,DR$12))),$I74,"")</f>
        <v/>
      </c>
      <c r="DS74" s="390" t="str">
        <f>IF(AND(DS$12&gt;=$E74,DS$12&lt;=$F74,MOD(DS$12,7)&gt;1,NOT(COUNTIF(General!$U$13:$U$19,DS$12))),$I74,"")</f>
        <v/>
      </c>
      <c r="DT74" s="390" t="str">
        <f>IF(AND(DT$12&gt;=$E74,DT$12&lt;=$F74,MOD(DT$12,7)&gt;1,NOT(COUNTIF(General!$U$13:$U$19,DT$12))),$I74,"")</f>
        <v/>
      </c>
      <c r="DU74" s="390" t="str">
        <f>IF(AND(DU$12&gt;=$E74,DU$12&lt;=$F74,MOD(DU$12,7)&gt;1,NOT(COUNTIF(General!$U$13:$U$19,DU$12))),$I74,"")</f>
        <v/>
      </c>
      <c r="DV74" s="390" t="str">
        <f>IF(AND(DV$12&gt;=$E74,DV$12&lt;=$F74,MOD(DV$12,7)&gt;1,NOT(COUNTIF(General!$U$13:$U$19,DV$12))),$I74,"")</f>
        <v/>
      </c>
      <c r="DW74" s="390" t="str">
        <f>IF(AND(DW$12&gt;=$E74,DW$12&lt;=$F74,MOD(DW$12,7)&gt;1,NOT(COUNTIF(General!$U$13:$U$19,DW$12))),$I74,"")</f>
        <v/>
      </c>
      <c r="DX74" s="390" t="str">
        <f>IF(AND(DX$12&gt;=$E74,DX$12&lt;=$F74,MOD(DX$12,7)&gt;1,NOT(COUNTIF(General!$U$13:$U$19,DX$12))),$I74,"")</f>
        <v/>
      </c>
      <c r="DY74" s="390" t="str">
        <f>IF(AND(DY$12&gt;=$E74,DY$12&lt;=$F74,MOD(DY$12,7)&gt;1,NOT(COUNTIF(General!$U$13:$U$19,DY$12))),$I74,"")</f>
        <v/>
      </c>
      <c r="DZ74" s="390" t="str">
        <f>IF(AND(DZ$12&gt;=$E74,DZ$12&lt;=$F74,MOD(DZ$12,7)&gt;1,NOT(COUNTIF(General!$U$13:$U$19,DZ$12))),$I74,"")</f>
        <v/>
      </c>
      <c r="EA74" s="390" t="str">
        <f>IF(AND(EA$12&gt;=$E74,EA$12&lt;=$F74,MOD(EA$12,7)&gt;1,NOT(COUNTIF(General!$U$13:$U$19,EA$12))),$I74,"")</f>
        <v/>
      </c>
      <c r="EB74" s="390" t="str">
        <f>IF(AND(EB$12&gt;=$E74,EB$12&lt;=$F74,MOD(EB$12,7)&gt;1,NOT(COUNTIF(General!$U$13:$U$19,EB$12))),$I74,"")</f>
        <v/>
      </c>
      <c r="EC74" s="390" t="str">
        <f>IF(AND(EC$12&gt;=$E74,EC$12&lt;=$F74,MOD(EC$12,7)&gt;1,NOT(COUNTIF(General!$U$13:$U$19,EC$12))),$I74,"")</f>
        <v/>
      </c>
      <c r="ED74" s="390" t="str">
        <f>IF(AND(ED$12&gt;=$E74,ED$12&lt;=$F74,MOD(ED$12,7)&gt;1,NOT(COUNTIF(General!$U$13:$U$19,ED$12))),$I74,"")</f>
        <v/>
      </c>
      <c r="EE74" s="390" t="str">
        <f>IF(AND(EE$12&gt;=$E74,EE$12&lt;=$F74,MOD(EE$12,7)&gt;1,NOT(COUNTIF(General!$U$13:$U$19,EE$12))),$I74,"")</f>
        <v/>
      </c>
      <c r="EF74" s="390" t="str">
        <f>IF(AND(EF$12&gt;=$E74,EF$12&lt;=$F74,MOD(EF$12,7)&gt;1,NOT(COUNTIF(General!$U$13:$U$19,EF$12))),$I74,"")</f>
        <v/>
      </c>
      <c r="EG74" s="390" t="str">
        <f>IF(AND(EG$12&gt;=$E74,EG$12&lt;=$F74,MOD(EG$12,7)&gt;1,NOT(COUNTIF(General!$U$13:$U$19,EG$12))),$I74,"")</f>
        <v/>
      </c>
      <c r="EH74" s="390" t="str">
        <f>IF(AND(EH$12&gt;=$E74,EH$12&lt;=$F74,MOD(EH$12,7)&gt;1,NOT(COUNTIF(General!$U$13:$U$19,EH$12))),$I74,"")</f>
        <v/>
      </c>
      <c r="EI74" s="390" t="str">
        <f>IF(AND(EI$12&gt;=$E74,EI$12&lt;=$F74,MOD(EI$12,7)&gt;1,NOT(COUNTIF(General!$U$13:$U$19,EI$12))),$I74,"")</f>
        <v/>
      </c>
      <c r="EJ74" s="390" t="str">
        <f>IF(AND(EJ$12&gt;=$E74,EJ$12&lt;=$F74,MOD(EJ$12,7)&gt;1,NOT(COUNTIF(General!$U$13:$U$19,EJ$12))),$I74,"")</f>
        <v/>
      </c>
      <c r="EK74" s="390" t="str">
        <f>IF(AND(EK$12&gt;=$E74,EK$12&lt;=$F74,MOD(EK$12,7)&gt;1,NOT(COUNTIF(General!$U$13:$U$19,EK$12))),$I74,"")</f>
        <v/>
      </c>
      <c r="EL74" s="390" t="str">
        <f>IF(AND(EL$12&gt;=$E74,EL$12&lt;=$F74,MOD(EL$12,7)&gt;1,NOT(COUNTIF(General!$U$13:$U$19,EL$12))),$I74,"")</f>
        <v/>
      </c>
      <c r="EM74" s="390" t="str">
        <f>IF(AND(EM$12&gt;=$E74,EM$12&lt;=$F74,MOD(EM$12,7)&gt;1,NOT(COUNTIF(General!$U$13:$U$19,EM$12))),$I74,"")</f>
        <v/>
      </c>
      <c r="EN74" s="390" t="str">
        <f>IF(AND(EN$12&gt;=$E74,EN$12&lt;=$F74,MOD(EN$12,7)&gt;1,NOT(COUNTIF(General!$U$13:$U$19,EN$12))),$I74,"")</f>
        <v/>
      </c>
      <c r="EO74" s="390" t="str">
        <f>IF(AND(EO$12&gt;=$E74,EO$12&lt;=$F74,MOD(EO$12,7)&gt;1,NOT(COUNTIF(General!$U$13:$U$19,EO$12))),$I74,"")</f>
        <v/>
      </c>
      <c r="EP74" s="390" t="str">
        <f>IF(AND(EP$12&gt;=$E74,EP$12&lt;=$F74,MOD(EP$12,7)&gt;1,NOT(COUNTIF(General!$U$13:$U$19,EP$12))),$I74,"")</f>
        <v/>
      </c>
      <c r="EQ74" s="390" t="str">
        <f>IF(AND(EQ$12&gt;=$E74,EQ$12&lt;=$F74,MOD(EQ$12,7)&gt;1,NOT(COUNTIF(General!$U$13:$U$19,EQ$12))),$I74,"")</f>
        <v/>
      </c>
      <c r="ER74" s="390" t="str">
        <f>IF(AND(ER$12&gt;=$E74,ER$12&lt;=$F74,MOD(ER$12,7)&gt;1,NOT(COUNTIF(General!$U$13:$U$19,ER$12))),$I74,"")</f>
        <v/>
      </c>
      <c r="ES74" s="390" t="str">
        <f>IF(AND(ES$12&gt;=$E74,ES$12&lt;=$F74,MOD(ES$12,7)&gt;1,NOT(COUNTIF(General!$U$13:$U$19,ES$12))),$I74,"")</f>
        <v/>
      </c>
      <c r="ET74" s="390" t="str">
        <f>IF(AND(ET$12&gt;=$E74,ET$12&lt;=$F74,MOD(ET$12,7)&gt;1,NOT(COUNTIF(General!$U$13:$U$19,ET$12))),$I74,"")</f>
        <v/>
      </c>
      <c r="EU74" s="390" t="str">
        <f>IF(AND(EU$12&gt;=$E74,EU$12&lt;=$F74,MOD(EU$12,7)&gt;1,NOT(COUNTIF(General!$U$13:$U$19,EU$12))),$I74,"")</f>
        <v/>
      </c>
      <c r="EV74" s="390" t="str">
        <f>IF(AND(EV$12&gt;=$E74,EV$12&lt;=$F74,MOD(EV$12,7)&gt;1,NOT(COUNTIF(General!$U$13:$U$19,EV$12))),$I74,"")</f>
        <v/>
      </c>
      <c r="EW74" s="390" t="str">
        <f>IF(AND(EW$12&gt;=$E74,EW$12&lt;=$F74,MOD(EW$12,7)&gt;1,NOT(COUNTIF(General!$U$13:$U$19,EW$12))),$I74,"")</f>
        <v/>
      </c>
      <c r="EX74" s="390" t="str">
        <f>IF(AND(EX$12&gt;=$E74,EX$12&lt;=$F74,MOD(EX$12,7)&gt;1,NOT(COUNTIF(General!$U$13:$U$19,EX$12))),$I74,"")</f>
        <v/>
      </c>
      <c r="EY74" s="390" t="str">
        <f>IF(AND(EY$12&gt;=$E74,EY$12&lt;=$F74,MOD(EY$12,7)&gt;1,NOT(COUNTIF(General!$U$13:$U$19,EY$12))),$I74,"")</f>
        <v/>
      </c>
      <c r="EZ74" s="390" t="str">
        <f>IF(AND(EZ$12&gt;=$E74,EZ$12&lt;=$F74,MOD(EZ$12,7)&gt;1,NOT(COUNTIF(General!$U$13:$U$19,EZ$12))),$I74,"")</f>
        <v/>
      </c>
      <c r="FA74" s="390" t="str">
        <f>IF(AND(FA$12&gt;=$E74,FA$12&lt;=$F74,MOD(FA$12,7)&gt;1,NOT(COUNTIF(General!$U$13:$U$19,FA$12))),$I74,"")</f>
        <v/>
      </c>
      <c r="FB74" s="390" t="str">
        <f>IF(AND(FB$12&gt;=$E74,FB$12&lt;=$F74,MOD(FB$12,7)&gt;1,NOT(COUNTIF(General!$U$13:$U$19,FB$12))),$I74,"")</f>
        <v/>
      </c>
      <c r="FC74" s="390" t="str">
        <f>IF(AND(FC$12&gt;=$E74,FC$12&lt;=$F74,MOD(FC$12,7)&gt;1,NOT(COUNTIF(General!$U$13:$U$19,FC$12))),$I74,"")</f>
        <v/>
      </c>
      <c r="FD74" s="390" t="str">
        <f>IF(AND(FD$12&gt;=$E74,FD$12&lt;=$F74,MOD(FD$12,7)&gt;1,NOT(COUNTIF(General!$U$13:$U$19,FD$12))),$I74,"")</f>
        <v/>
      </c>
      <c r="FE74" s="390" t="str">
        <f>IF(AND(FE$12&gt;=$E74,FE$12&lt;=$F74,MOD(FE$12,7)&gt;1,NOT(COUNTIF(General!$U$13:$U$19,FE$12))),$I74,"")</f>
        <v/>
      </c>
      <c r="FF74" s="390" t="str">
        <f>IF(AND(FF$12&gt;=$E74,FF$12&lt;=$F74,MOD(FF$12,7)&gt;1,NOT(COUNTIF(General!$U$13:$U$19,FF$12))),$I74,"")</f>
        <v/>
      </c>
      <c r="FG74" s="390" t="str">
        <f>IF(AND(FG$12&gt;=$E74,FG$12&lt;=$F74,MOD(FG$12,7)&gt;1,NOT(COUNTIF(General!$U$13:$U$19,FG$12))),$I74,"")</f>
        <v/>
      </c>
      <c r="FH74" s="390" t="str">
        <f>IF(AND(FH$12&gt;=$E74,FH$12&lt;=$F74,MOD(FH$12,7)&gt;1,NOT(COUNTIF(General!$U$13:$U$19,FH$12))),$I74,"")</f>
        <v/>
      </c>
      <c r="FI74" s="390" t="str">
        <f>IF(AND(FI$12&gt;=$E74,FI$12&lt;=$F74,MOD(FI$12,7)&gt;1,NOT(COUNTIF(General!$U$13:$U$19,FI$12))),$I74,"")</f>
        <v/>
      </c>
      <c r="FJ74" s="390" t="str">
        <f>IF(AND(FJ$12&gt;=$E74,FJ$12&lt;=$F74,MOD(FJ$12,7)&gt;1,NOT(COUNTIF(General!$U$13:$U$19,FJ$12))),$I74,"")</f>
        <v/>
      </c>
      <c r="FK74" s="390" t="str">
        <f>IF(AND(FK$12&gt;=$E74,FK$12&lt;=$F74,MOD(FK$12,7)&gt;1,NOT(COUNTIF(General!$U$13:$U$19,FK$12))),$I74,"")</f>
        <v/>
      </c>
      <c r="FL74" s="390" t="str">
        <f>IF(AND(FL$12&gt;=$E74,FL$12&lt;=$F74,MOD(FL$12,7)&gt;1,NOT(COUNTIF(General!$U$13:$U$19,FL$12))),$I74,"")</f>
        <v/>
      </c>
      <c r="FM74" s="390" t="str">
        <f>IF(AND(FM$12&gt;=$E74,FM$12&lt;=$F74,MOD(FM$12,7)&gt;1,NOT(COUNTIF(General!$U$13:$U$19,FM$12))),$I74,"")</f>
        <v/>
      </c>
      <c r="FN74" s="390" t="str">
        <f>IF(AND(FN$12&gt;=$E74,FN$12&lt;=$F74,MOD(FN$12,7)&gt;1,NOT(COUNTIF(General!$U$13:$U$19,FN$12))),$I74,"")</f>
        <v/>
      </c>
      <c r="FO74" s="390" t="str">
        <f>IF(AND(FO$12&gt;=$E74,FO$12&lt;=$F74,MOD(FO$12,7)&gt;1,NOT(COUNTIF(General!$U$13:$U$19,FO$12))),$I74,"")</f>
        <v/>
      </c>
      <c r="FP74" s="390" t="str">
        <f>IF(AND(FP$12&gt;=$E74,FP$12&lt;=$F74,MOD(FP$12,7)&gt;1,NOT(COUNTIF(General!$U$13:$U$19,FP$12))),$I74,"")</f>
        <v/>
      </c>
      <c r="FQ74" s="390" t="str">
        <f>IF(AND(FQ$12&gt;=$E74,FQ$12&lt;=$F74,MOD(FQ$12,7)&gt;1,NOT(COUNTIF(General!$U$13:$U$19,FQ$12))),$I74,"")</f>
        <v/>
      </c>
      <c r="FR74" s="390" t="str">
        <f>IF(AND(FR$12&gt;=$E74,FR$12&lt;=$F74,MOD(FR$12,7)&gt;1,NOT(COUNTIF(General!$U$13:$U$19,FR$12))),$I74,"")</f>
        <v/>
      </c>
      <c r="FS74" s="390" t="str">
        <f>IF(AND(FS$12&gt;=$E74,FS$12&lt;=$F74,MOD(FS$12,7)&gt;1,NOT(COUNTIF(General!$U$13:$U$19,FS$12))),$I74,"")</f>
        <v/>
      </c>
      <c r="FT74" s="390" t="str">
        <f>IF(AND(FT$12&gt;=$E74,FT$12&lt;=$F74,MOD(FT$12,7)&gt;1,NOT(COUNTIF(General!$U$13:$U$19,FT$12))),$I74,"")</f>
        <v/>
      </c>
      <c r="FU74" s="390" t="str">
        <f>IF(AND(FU$12&gt;=$E74,FU$12&lt;=$F74,MOD(FU$12,7)&gt;1,NOT(COUNTIF(General!$U$13:$U$19,FU$12))),$I74,"")</f>
        <v/>
      </c>
      <c r="FV74" s="390" t="str">
        <f>IF(AND(FV$12&gt;=$E74,FV$12&lt;=$F74,MOD(FV$12,7)&gt;1,NOT(COUNTIF(General!$U$13:$U$19,FV$12))),$I74,"")</f>
        <v/>
      </c>
      <c r="FW74" s="390" t="str">
        <f>IF(AND(FW$12&gt;=$E74,FW$12&lt;=$F74,MOD(FW$12,7)&gt;1,NOT(COUNTIF(General!$U$13:$U$19,FW$12))),$I74,"")</f>
        <v/>
      </c>
      <c r="FX74" s="390" t="str">
        <f>IF(AND(FX$12&gt;=$E74,FX$12&lt;=$F74,MOD(FX$12,7)&gt;1,NOT(COUNTIF(General!$U$13:$U$19,FX$12))),$I74,"")</f>
        <v/>
      </c>
    </row>
    <row r="75">
      <c r="A75" s="638"/>
      <c r="B75" s="609"/>
      <c r="C75" s="609"/>
      <c r="D75" s="639" t="s">
        <v>571</v>
      </c>
      <c r="E75" s="640"/>
      <c r="F75" s="640"/>
      <c r="G75" s="641"/>
      <c r="H75" s="603"/>
      <c r="I75" s="379">
        <v>1.0</v>
      </c>
      <c r="J75" s="642"/>
      <c r="K75" s="605"/>
      <c r="L75" s="605"/>
      <c r="M75" s="606"/>
      <c r="N75" s="607"/>
      <c r="O75" s="608"/>
      <c r="P75" s="609"/>
      <c r="Q75" s="609" t="str">
        <f>IF(AND(Q$12&gt;=$E75,Q$12&lt;=$F75,MOD(Q$12,7)&gt;1,NOT(COUNTIF(General!$U$13:$U$19,Q$12))),$I75,"")</f>
        <v/>
      </c>
      <c r="R75" s="609" t="str">
        <f>IF(AND(R$12&gt;=$E75,R$12&lt;=$F75,MOD(R$12,7)&gt;1,NOT(COUNTIF(General!$U$13:$U$19,R$12))),$I75,"")</f>
        <v/>
      </c>
      <c r="S75" s="609" t="str">
        <f>IF(AND(S$12&gt;=$E75,S$12&lt;=$F75,MOD(S$12,7)&gt;1,NOT(COUNTIF(General!$U$13:$U$19,S$12))),$I75,"")</f>
        <v/>
      </c>
      <c r="T75" s="609" t="str">
        <f>IF(AND(T$12&gt;=$E75,T$12&lt;=$F75,MOD(T$12,7)&gt;1,NOT(COUNTIF(General!$U$13:$U$19,T$12))),$I75,"")</f>
        <v/>
      </c>
      <c r="U75" s="609" t="str">
        <f>IF(AND(U$12&gt;=$E75,U$12&lt;=$F75,MOD(U$12,7)&gt;1,NOT(COUNTIF(General!$U$13:$U$19,U$12))),$I75,"")</f>
        <v/>
      </c>
      <c r="V75" s="643" t="str">
        <f>IF(AND(V$12&gt;=$E75,V$12&lt;=$F75,MOD(V$12,7)&gt;1,NOT(COUNTIF(General!$U$13:$U$19,V$12))),$I75,"")</f>
        <v/>
      </c>
      <c r="W75" s="643" t="str">
        <f>IF(AND(W$12&gt;=$E75,W$12&lt;=$F75,MOD(W$12,7)&gt;1,NOT(COUNTIF(General!$U$13:$U$19,W$12))),$I75,"")</f>
        <v/>
      </c>
      <c r="X75" s="609" t="str">
        <f>IF(AND(X$12&gt;=$E75,X$12&lt;=$F75,MOD(X$12,7)&gt;1,NOT(COUNTIF(General!$U$13:$U$19,X$12))),$I75,"")</f>
        <v/>
      </c>
      <c r="Y75" s="609" t="str">
        <f>IF(AND(Y$12&gt;=$E75,Y$12&lt;=$F75,MOD(Y$12,7)&gt;1,NOT(COUNTIF(General!$U$13:$U$19,Y$12))),$I75,"")</f>
        <v/>
      </c>
      <c r="Z75" s="609" t="str">
        <f>IF(AND(Z$12&gt;=$E75,Z$12&lt;=$F75,MOD(Z$12,7)&gt;1,NOT(COUNTIF(General!$U$13:$U$19,Z$12))),$I75,"")</f>
        <v/>
      </c>
      <c r="AA75" s="609" t="str">
        <f>IF(AND(AA$12&gt;=$E75,AA$12&lt;=$F75,MOD(AA$12,7)&gt;1,NOT(COUNTIF(General!$U$13:$U$19,AA$12))),$I75,"")</f>
        <v/>
      </c>
      <c r="AB75" s="609" t="str">
        <f>IF(AND(AB$12&gt;=$E75,AB$12&lt;=$F75,MOD(AB$12,7)&gt;1,NOT(COUNTIF(General!$U$13:$U$19,AB$12))),$I75,"")</f>
        <v/>
      </c>
      <c r="AC75" s="643" t="str">
        <f>IF(AND(AC$12&gt;=$E75,AC$12&lt;=$F75,MOD(AC$12,7)&gt;1,NOT(COUNTIF(General!$U$13:$U$19,AC$12))),$I75,"")</f>
        <v/>
      </c>
      <c r="AD75" s="643" t="str">
        <f>IF(AND(AD$12&gt;=$E75,AD$12&lt;=$F75,MOD(AD$12,7)&gt;1,NOT(COUNTIF(General!$U$13:$U$19,AD$12))),$I75,"")</f>
        <v/>
      </c>
      <c r="AE75" s="609" t="str">
        <f>IF(AND(AE$12&gt;=$E75,AE$12&lt;=$F75,MOD(AE$12,7)&gt;1,NOT(COUNTIF(General!$U$13:$U$19,AE$12))),$I75,"")</f>
        <v/>
      </c>
      <c r="AF75" s="609" t="str">
        <f>IF(AND(AF$12&gt;=$E75,AF$12&lt;=$F75,MOD(AF$12,7)&gt;1,NOT(COUNTIF(General!$U$13:$U$19,AF$12))),$I75,"")</f>
        <v/>
      </c>
      <c r="AG75" s="609" t="str">
        <f>IF(AND(AG$12&gt;=$E75,AG$12&lt;=$F75,MOD(AG$12,7)&gt;1,NOT(COUNTIF(General!$U$13:$U$19,AG$12))),$I75,"")</f>
        <v/>
      </c>
      <c r="AH75" s="609" t="str">
        <f>IF(AND(AH$12&gt;=$E75,AH$12&lt;=$F75,MOD(AH$12,7)&gt;1,NOT(COUNTIF(General!$U$13:$U$19,AH$12))),$I75,"")</f>
        <v/>
      </c>
      <c r="AI75" s="609" t="str">
        <f>IF(AND(AI$12&gt;=$E75,AI$12&lt;=$F75,MOD(AI$12,7)&gt;1,NOT(COUNTIF(General!$U$13:$U$19,AI$12))),$I75,"")</f>
        <v/>
      </c>
      <c r="AJ75" s="643" t="str">
        <f>IF(AND(AJ$12&gt;=$E75,AJ$12&lt;=$F75,MOD(AJ$12,7)&gt;1,NOT(COUNTIF(General!$U$13:$U$19,AJ$12))),$I75,"")</f>
        <v/>
      </c>
      <c r="AK75" s="643" t="str">
        <f>IF(AND(AK$12&gt;=$E75,AK$12&lt;=$F75,MOD(AK$12,7)&gt;1,NOT(COUNTIF(General!$U$13:$U$19,AK$12))),$I75,"")</f>
        <v/>
      </c>
      <c r="AL75" s="609" t="str">
        <f>IF(AND(AL$12&gt;=$E75,AL$12&lt;=$F75,MOD(AL$12,7)&gt;1,NOT(COUNTIF(General!$U$13:$U$19,AL$12))),$I75,"")</f>
        <v/>
      </c>
      <c r="AM75" s="609" t="str">
        <f>IF(AND(AM$12&gt;=$E75,AM$12&lt;=$F75,MOD(AM$12,7)&gt;1,NOT(COUNTIF(General!$U$13:$U$19,AM$12))),$I75,"")</f>
        <v/>
      </c>
      <c r="AN75" s="609" t="str">
        <f>IF(AND(AN$12&gt;=$E75,AN$12&lt;=$F75,MOD(AN$12,7)&gt;1,NOT(COUNTIF(General!$U$13:$U$19,AN$12))),$I75,"")</f>
        <v/>
      </c>
      <c r="AO75" s="609" t="str">
        <f>IF(AND(AO$12&gt;=$E75,AO$12&lt;=$F75,MOD(AO$12,7)&gt;1,NOT(COUNTIF(General!$U$13:$U$19,AO$12))),$I75,"")</f>
        <v/>
      </c>
      <c r="AP75" s="609" t="str">
        <f>IF(AND(AP$12&gt;=$E75,AP$12&lt;=$F75,MOD(AP$12,7)&gt;1,NOT(COUNTIF(General!$U$13:$U$19,AP$12))),$I75,"")</f>
        <v/>
      </c>
      <c r="AQ75" s="643" t="str">
        <f>IF(AND(AQ$12&gt;=$E75,AQ$12&lt;=$F75,MOD(AQ$12,7)&gt;1,NOT(COUNTIF(General!$U$13:$U$19,AQ$12))),$I75,"")</f>
        <v/>
      </c>
      <c r="AR75" s="643" t="str">
        <f>IF(AND(AR$12&gt;=$E75,AR$12&lt;=$F75,MOD(AR$12,7)&gt;1,NOT(COUNTIF(General!$U$13:$U$19,AR$12))),$I75,"")</f>
        <v/>
      </c>
      <c r="AS75" s="609" t="str">
        <f>IF(AND(AS$12&gt;=$E75,AS$12&lt;=$F75,MOD(AS$12,7)&gt;1,NOT(COUNTIF(General!$U$13:$U$19,AS$12))),$I75,"")</f>
        <v/>
      </c>
      <c r="AT75" s="609" t="str">
        <f>IF(AND(AT$12&gt;=$E75,AT$12&lt;=$F75,MOD(AT$12,7)&gt;1,NOT(COUNTIF(General!$U$13:$U$19,AT$12))),$I75,"")</f>
        <v/>
      </c>
      <c r="AU75" s="609" t="str">
        <f>IF(AND(AU$12&gt;=$E75,AU$12&lt;=$F75,MOD(AU$12,7)&gt;1,NOT(COUNTIF(General!$U$13:$U$19,AU$12))),$I75,"")</f>
        <v/>
      </c>
      <c r="AV75" s="609" t="str">
        <f>IF(AND(AV$12&gt;=$E75,AV$12&lt;=$F75,MOD(AV$12,7)&gt;1,NOT(COUNTIF(General!$U$13:$U$19,AV$12))),$I75,"")</f>
        <v/>
      </c>
      <c r="AW75" s="609" t="str">
        <f>IF(AND(AW$12&gt;=$E75,AW$12&lt;=$F75,MOD(AW$12,7)&gt;1,NOT(COUNTIF(General!$U$13:$U$19,AW$12))),$I75,"")</f>
        <v/>
      </c>
      <c r="AX75" s="643" t="str">
        <f>IF(AND(AX$12&gt;=$E75,AX$12&lt;=$F75,MOD(AX$12,7)&gt;1,NOT(COUNTIF(General!$U$13:$U$19,AX$12))),$I75,"")</f>
        <v/>
      </c>
      <c r="AY75" s="643" t="str">
        <f>IF(AND(AY$12&gt;=$E75,AY$12&lt;=$F75,MOD(AY$12,7)&gt;1,NOT(COUNTIF(General!$U$13:$U$19,AY$12))),$I75,"")</f>
        <v/>
      </c>
      <c r="AZ75" s="609" t="str">
        <f>IF(AND(AZ$12&gt;=$E75,AZ$12&lt;=$F75,MOD(AZ$12,7)&gt;1,NOT(COUNTIF(General!$U$13:$U$19,AZ$12))),$I75,"")</f>
        <v/>
      </c>
      <c r="BA75" s="609" t="str">
        <f>IF(AND(BA$12&gt;=$E75,BA$12&lt;=$F75,MOD(BA$12,7)&gt;1,NOT(COUNTIF(General!$U$13:$U$19,BA$12))),$I75,"")</f>
        <v/>
      </c>
      <c r="BB75" s="609" t="str">
        <f>IF(AND(BB$12&gt;=$E75,BB$12&lt;=$F75,MOD(BB$12,7)&gt;1,NOT(COUNTIF(General!$U$13:$U$19,BB$12))),$I75,"")</f>
        <v/>
      </c>
      <c r="BC75" s="609" t="str">
        <f>IF(AND(BC$12&gt;=$E75,BC$12&lt;=$F75,MOD(BC$12,7)&gt;1,NOT(COUNTIF(General!$U$13:$U$19,BC$12))),$I75,"")</f>
        <v/>
      </c>
      <c r="BD75" s="609" t="str">
        <f>IF(AND(BD$12&gt;=$E75,BD$12&lt;=$F75,MOD(BD$12,7)&gt;1,NOT(COUNTIF(General!$U$13:$U$19,BD$12))),$I75,"")</f>
        <v/>
      </c>
      <c r="BE75" s="643" t="str">
        <f>IF(AND(BE$12&gt;=$E75,BE$12&lt;=$F75,MOD(BE$12,7)&gt;1,NOT(COUNTIF(General!$U$13:$U$19,BE$12))),$I75,"")</f>
        <v/>
      </c>
      <c r="BF75" s="643" t="str">
        <f>IF(AND(BF$12&gt;=$E75,BF$12&lt;=$F75,MOD(BF$12,7)&gt;1,NOT(COUNTIF(General!$U$13:$U$19,BF$12))),$I75,"")</f>
        <v/>
      </c>
      <c r="BG75" s="609" t="str">
        <f>IF(AND(BG$12&gt;=$E75,BG$12&lt;=$F75,MOD(BG$12,7)&gt;1,NOT(COUNTIF(General!$U$13:$U$19,BG$12))),$I75,"")</f>
        <v/>
      </c>
      <c r="BH75" s="609" t="str">
        <f>IF(AND(BH$12&gt;=$E75,BH$12&lt;=$F75,MOD(BH$12,7)&gt;1,NOT(COUNTIF(General!$U$13:$U$19,BH$12))),$I75,"")</f>
        <v/>
      </c>
      <c r="BI75" s="609" t="str">
        <f>IF(AND(BI$12&gt;=$E75,BI$12&lt;=$F75,MOD(BI$12,7)&gt;1,NOT(COUNTIF(General!$U$13:$U$19,BI$12))),$I75,"")</f>
        <v/>
      </c>
      <c r="BJ75" s="609" t="str">
        <f>IF(AND(BJ$12&gt;=$E75,BJ$12&lt;=$F75,MOD(BJ$12,7)&gt;1,NOT(COUNTIF(General!$U$13:$U$19,BJ$12))),$I75,"")</f>
        <v/>
      </c>
      <c r="BK75" s="609" t="str">
        <f>IF(AND(BK$12&gt;=$E75,BK$12&lt;=$F75,MOD(BK$12,7)&gt;1,NOT(COUNTIF(General!$U$13:$U$19,BK$12))),$I75,"")</f>
        <v/>
      </c>
      <c r="BL75" s="643" t="str">
        <f>IF(AND(BL$12&gt;=$E75,BL$12&lt;=$F75,MOD(BL$12,7)&gt;1,NOT(COUNTIF(General!$U$13:$U$19,BL$12))),$I75,"")</f>
        <v/>
      </c>
      <c r="BM75" s="643" t="str">
        <f>IF(AND(BM$12&gt;=$E75,BM$12&lt;=$F75,MOD(BM$12,7)&gt;1,NOT(COUNTIF(General!$U$13:$U$19,BM$12))),$I75,"")</f>
        <v/>
      </c>
      <c r="BN75" s="609" t="str">
        <f>IF(AND(BN$12&gt;=$E75,BN$12&lt;=$F75,MOD(BN$12,7)&gt;1,NOT(COUNTIF(General!$U$13:$U$19,BN$12))),$I75,"")</f>
        <v/>
      </c>
      <c r="BO75" s="609" t="str">
        <f>IF(AND(BO$12&gt;=$E75,BO$12&lt;=$F75,MOD(BO$12,7)&gt;1,NOT(COUNTIF(General!$U$13:$U$19,BO$12))),$I75,"")</f>
        <v/>
      </c>
      <c r="BP75" s="609" t="str">
        <f>IF(AND(BP$12&gt;=$E75,BP$12&lt;=$F75,MOD(BP$12,7)&gt;1,NOT(COUNTIF(General!$U$13:$U$19,BP$12))),$I75,"")</f>
        <v/>
      </c>
      <c r="BQ75" s="609" t="str">
        <f>IF(AND(BQ$12&gt;=$E75,BQ$12&lt;=$F75,MOD(BQ$12,7)&gt;1,NOT(COUNTIF(General!$U$13:$U$19,BQ$12))),$I75,"")</f>
        <v/>
      </c>
      <c r="BR75" s="609" t="str">
        <f>IF(AND(BR$12&gt;=$E75,BR$12&lt;=$F75,MOD(BR$12,7)&gt;1,NOT(COUNTIF(General!$U$13:$U$19,BR$12))),$I75,"")</f>
        <v/>
      </c>
      <c r="BS75" s="643" t="str">
        <f>IF(AND(BS$12&gt;=$E75,BS$12&lt;=$F75,MOD(BS$12,7)&gt;1,NOT(COUNTIF(General!$U$13:$U$19,BS$12))),$I75,"")</f>
        <v/>
      </c>
      <c r="BT75" s="643" t="str">
        <f>IF(AND(BT$12&gt;=$E75,BT$12&lt;=$F75,MOD(BT$12,7)&gt;1,NOT(COUNTIF(General!$U$13:$U$19,BT$12))),$I75,"")</f>
        <v/>
      </c>
      <c r="BU75" s="609" t="str">
        <f>IF(AND(BU$12&gt;=$E75,BU$12&lt;=$F75,MOD(BU$12,7)&gt;1,NOT(COUNTIF(General!$U$13:$U$19,BU$12))),$I75,"")</f>
        <v/>
      </c>
      <c r="BV75" s="609" t="str">
        <f>IF(AND(BV$12&gt;=$E75,BV$12&lt;=$F75,MOD(BV$12,7)&gt;1,NOT(COUNTIF(General!$U$13:$U$19,BV$12))),$I75,"")</f>
        <v/>
      </c>
      <c r="BW75" s="609" t="str">
        <f>IF(AND(BW$12&gt;=$E75,BW$12&lt;=$F75,MOD(BW$12,7)&gt;1,NOT(COUNTIF(General!$U$13:$U$19,BW$12))),$I75,"")</f>
        <v/>
      </c>
      <c r="BX75" s="609" t="str">
        <f>IF(AND(BX$12&gt;=$E75,BX$12&lt;=$F75,MOD(BX$12,7)&gt;1,NOT(COUNTIF(General!$U$13:$U$19,BX$12))),$I75,"")</f>
        <v/>
      </c>
      <c r="BY75" s="609" t="str">
        <f>IF(AND(BY$12&gt;=$E75,BY$12&lt;=$F75,MOD(BY$12,7)&gt;1,NOT(COUNTIF(General!$U$13:$U$19,BY$12))),$I75,"")</f>
        <v/>
      </c>
      <c r="BZ75" s="643" t="str">
        <f>IF(AND(BZ$12&gt;=$E75,BZ$12&lt;=$F75,MOD(BZ$12,7)&gt;1,NOT(COUNTIF(General!$U$13:$U$19,BZ$12))),$I75,"")</f>
        <v/>
      </c>
      <c r="CA75" s="643" t="str">
        <f>IF(AND(CA$12&gt;=$E75,CA$12&lt;=$F75,MOD(CA$12,7)&gt;1,NOT(COUNTIF(General!$U$13:$U$19,CA$12))),$I75,"")</f>
        <v/>
      </c>
      <c r="CB75" s="609" t="str">
        <f>IF(AND(CB$12&gt;=$E75,CB$12&lt;=$F75,MOD(CB$12,7)&gt;1,NOT(COUNTIF(General!$U$13:$U$19,CB$12))),$I75,"")</f>
        <v/>
      </c>
      <c r="CC75" s="609" t="str">
        <f>IF(AND(CC$12&gt;=$E75,CC$12&lt;=$F75,MOD(CC$12,7)&gt;1,NOT(COUNTIF(General!$U$13:$U$19,CC$12))),$I75,"")</f>
        <v/>
      </c>
      <c r="CD75" s="609" t="str">
        <f>IF(AND(CD$12&gt;=$E75,CD$12&lt;=$F75,MOD(CD$12,7)&gt;1,NOT(COUNTIF(General!$U$13:$U$19,CD$12))),$I75,"")</f>
        <v/>
      </c>
      <c r="CE75" s="609" t="str">
        <f>IF(AND(CE$12&gt;=$E75,CE$12&lt;=$F75,MOD(CE$12,7)&gt;1,NOT(COUNTIF(General!$U$13:$U$19,CE$12))),$I75,"")</f>
        <v/>
      </c>
      <c r="CF75" s="609" t="str">
        <f>IF(AND(CF$12&gt;=$E75,CF$12&lt;=$F75,MOD(CF$12,7)&gt;1,NOT(COUNTIF(General!$U$13:$U$19,CF$12))),$I75,"")</f>
        <v/>
      </c>
      <c r="CG75" s="643" t="str">
        <f>IF(AND(CG$12&gt;=$E75,CG$12&lt;=$F75,MOD(CG$12,7)&gt;1,NOT(COUNTIF(General!$U$13:$U$19,CG$12))),$I75,"")</f>
        <v/>
      </c>
      <c r="CH75" s="643" t="str">
        <f>IF(AND(CH$12&gt;=$E75,CH$12&lt;=$F75,MOD(CH$12,7)&gt;1,NOT(COUNTIF(General!$U$13:$U$19,CH$12))),$I75,"")</f>
        <v/>
      </c>
      <c r="CI75" s="609" t="str">
        <f>IF(AND(CI$12&gt;=$E75,CI$12&lt;=$F75,MOD(CI$12,7)&gt;1,NOT(COUNTIF(General!$U$13:$U$19,CI$12))),$I75,"")</f>
        <v/>
      </c>
      <c r="CJ75" s="609" t="str">
        <f>IF(AND(CJ$12&gt;=$E75,CJ$12&lt;=$F75,MOD(CJ$12,7)&gt;1,NOT(COUNTIF(General!$U$13:$U$19,CJ$12))),$I75,"")</f>
        <v/>
      </c>
      <c r="CK75" s="609" t="str">
        <f>IF(AND(CK$12&gt;=$E75,CK$12&lt;=$F75,MOD(CK$12,7)&gt;1,NOT(COUNTIF(General!$U$13:$U$19,CK$12))),$I75,"")</f>
        <v/>
      </c>
      <c r="CL75" s="609" t="str">
        <f>IF(AND(CL$12&gt;=$E75,CL$12&lt;=$F75,MOD(CL$12,7)&gt;1,NOT(COUNTIF(General!$U$13:$U$19,CL$12))),$I75,"")</f>
        <v/>
      </c>
      <c r="CM75" s="609" t="str">
        <f>IF(AND(CM$12&gt;=$E75,CM$12&lt;=$F75,MOD(CM$12,7)&gt;1,NOT(COUNTIF(General!$U$13:$U$19,CM$12))),$I75,"")</f>
        <v/>
      </c>
      <c r="CN75" s="643" t="str">
        <f>IF(AND(CN$12&gt;=$E75,CN$12&lt;=$F75,MOD(CN$12,7)&gt;1,NOT(COUNTIF(General!$U$13:$U$19,CN$12))),$I75,"")</f>
        <v/>
      </c>
      <c r="CO75" s="643" t="str">
        <f>IF(AND(CO$12&gt;=$E75,CO$12&lt;=$F75,MOD(CO$12,7)&gt;1,NOT(COUNTIF(General!$U$13:$U$19,CO$12))),$I75,"")</f>
        <v/>
      </c>
      <c r="CP75" s="609" t="str">
        <f>IF(AND(CP$12&gt;=$E75,CP$12&lt;=$F75,MOD(CP$12,7)&gt;1,NOT(COUNTIF(General!$U$13:$U$19,CP$12))),$I75,"")</f>
        <v/>
      </c>
      <c r="CQ75" s="609" t="str">
        <f>IF(AND(CQ$12&gt;=$E75,CQ$12&lt;=$F75,MOD(CQ$12,7)&gt;1,NOT(COUNTIF(General!$U$13:$U$19,CQ$12))),$I75,"")</f>
        <v/>
      </c>
      <c r="CR75" s="609" t="str">
        <f>IF(AND(CR$12&gt;=$E75,CR$12&lt;=$F75,MOD(CR$12,7)&gt;1,NOT(COUNTIF(General!$U$13:$U$19,CR$12))),$I75,"")</f>
        <v/>
      </c>
      <c r="CS75" s="609" t="str">
        <f>IF(AND(CS$12&gt;=$E75,CS$12&lt;=$F75,MOD(CS$12,7)&gt;1,NOT(COUNTIF(General!$U$13:$U$19,CS$12))),$I75,"")</f>
        <v/>
      </c>
      <c r="CT75" s="609" t="str">
        <f>IF(AND(CT$12&gt;=$E75,CT$12&lt;=$F75,MOD(CT$12,7)&gt;1,NOT(COUNTIF(General!$U$13:$U$19,CT$12))),$I75,"")</f>
        <v/>
      </c>
      <c r="CU75" s="643" t="str">
        <f>IF(AND(CU$12&gt;=$E75,CU$12&lt;=$F75,MOD(CU$12,7)&gt;1,NOT(COUNTIF(General!$U$13:$U$19,CU$12))),$I75,"")</f>
        <v/>
      </c>
      <c r="CV75" s="643" t="str">
        <f>IF(AND(CV$12&gt;=$E75,CV$12&lt;=$F75,MOD(CV$12,7)&gt;1,NOT(COUNTIF(General!$U$13:$U$19,CV$12))),$I75,"")</f>
        <v/>
      </c>
      <c r="CW75" s="609" t="str">
        <f>IF(AND(CW$12&gt;=$E75,CW$12&lt;=$F75,MOD(CW$12,7)&gt;1,NOT(COUNTIF(General!$U$13:$U$19,CW$12))),$I75,"")</f>
        <v/>
      </c>
      <c r="CX75" s="609" t="str">
        <f>IF(AND(CX$12&gt;=$E75,CX$12&lt;=$F75,MOD(CX$12,7)&gt;1,NOT(COUNTIF(General!$U$13:$U$19,CX$12))),$I75,"")</f>
        <v/>
      </c>
      <c r="CY75" s="609" t="str">
        <f>IF(AND(CY$12&gt;=$E75,CY$12&lt;=$F75,MOD(CY$12,7)&gt;1,NOT(COUNTIF(General!$U$13:$U$19,CY$12))),$I75,"")</f>
        <v/>
      </c>
      <c r="CZ75" s="609" t="str">
        <f>IF(AND(CZ$12&gt;=$E75,CZ$12&lt;=$F75,MOD(CZ$12,7)&gt;1,NOT(COUNTIF(General!$U$13:$U$19,CZ$12))),$I75,"")</f>
        <v/>
      </c>
      <c r="DA75" s="609" t="str">
        <f>IF(AND(DA$12&gt;=$E75,DA$12&lt;=$F75,MOD(DA$12,7)&gt;1,NOT(COUNTIF(General!$U$13:$U$19,DA$12))),$I75,"")</f>
        <v/>
      </c>
      <c r="DB75" s="643" t="str">
        <f>IF(AND(DB$12&gt;=$E75,DB$12&lt;=$F75,MOD(DB$12,7)&gt;1,NOT(COUNTIF(General!$U$13:$U$19,DB$12))),$I75,"")</f>
        <v/>
      </c>
      <c r="DC75" s="643" t="str">
        <f>IF(AND(DC$12&gt;=$E75,DC$12&lt;=$F75,MOD(DC$12,7)&gt;1,NOT(COUNTIF(General!$U$13:$U$19,DC$12))),$I75,"")</f>
        <v/>
      </c>
      <c r="DD75" s="609" t="str">
        <f>IF(AND(DD$12&gt;=$E75,DD$12&lt;=$F75,MOD(DD$12,7)&gt;1,NOT(COUNTIF(General!$U$13:$U$19,DD$12))),$I75,"")</f>
        <v/>
      </c>
      <c r="DE75" s="609" t="str">
        <f>IF(AND(DE$12&gt;=$E75,DE$12&lt;=$F75,MOD(DE$12,7)&gt;1,NOT(COUNTIF(General!$U$13:$U$19,DE$12))),$I75,"")</f>
        <v/>
      </c>
      <c r="DF75" s="609" t="str">
        <f>IF(AND(DF$12&gt;=$E75,DF$12&lt;=$F75,MOD(DF$12,7)&gt;1,NOT(COUNTIF(General!$U$13:$U$19,DF$12))),$I75,"")</f>
        <v/>
      </c>
      <c r="DG75" s="609" t="str">
        <f>IF(AND(DG$12&gt;=$E75,DG$12&lt;=$F75,MOD(DG$12,7)&gt;1,NOT(COUNTIF(General!$U$13:$U$19,DG$12))),$I75,"")</f>
        <v/>
      </c>
      <c r="DH75" s="609" t="str">
        <f>IF(AND(DH$12&gt;=$E75,DH$12&lt;=$F75,MOD(DH$12,7)&gt;1,NOT(COUNTIF(General!$U$13:$U$19,DH$12))),$I75,"")</f>
        <v/>
      </c>
      <c r="DI75" s="643" t="str">
        <f>IF(AND(DI$12&gt;=$E75,DI$12&lt;=$F75,MOD(DI$12,7)&gt;1,NOT(COUNTIF(General!$U$13:$U$19,DI$12))),$I75,"")</f>
        <v/>
      </c>
      <c r="DJ75" s="643" t="str">
        <f>IF(AND(DJ$12&gt;=$E75,DJ$12&lt;=$F75,MOD(DJ$12,7)&gt;1,NOT(COUNTIF(General!$U$13:$U$19,DJ$12))),$I75,"")</f>
        <v/>
      </c>
      <c r="DK75" s="609" t="str">
        <f>IF(AND(DK$12&gt;=$E75,DK$12&lt;=$F75,MOD(DK$12,7)&gt;1,NOT(COUNTIF(General!$U$13:$U$19,DK$12))),$I75,"")</f>
        <v/>
      </c>
      <c r="DL75" s="609" t="str">
        <f>IF(AND(DL$12&gt;=$E75,DL$12&lt;=$F75,MOD(DL$12,7)&gt;1,NOT(COUNTIF(General!$U$13:$U$19,DL$12))),$I75,"")</f>
        <v/>
      </c>
      <c r="DM75" s="609" t="str">
        <f>IF(AND(DM$12&gt;=$E75,DM$12&lt;=$F75,MOD(DM$12,7)&gt;1,NOT(COUNTIF(General!$U$13:$U$19,DM$12))),$I75,"")</f>
        <v/>
      </c>
      <c r="DN75" s="609" t="str">
        <f>IF(AND(DN$12&gt;=$E75,DN$12&lt;=$F75,MOD(DN$12,7)&gt;1,NOT(COUNTIF(General!$U$13:$U$19,DN$12))),$I75,"")</f>
        <v/>
      </c>
      <c r="DO75" s="609" t="str">
        <f>IF(AND(DO$12&gt;=$E75,DO$12&lt;=$F75,MOD(DO$12,7)&gt;1,NOT(COUNTIF(General!$U$13:$U$19,DO$12))),$I75,"")</f>
        <v/>
      </c>
      <c r="DP75" s="643" t="str">
        <f>IF(AND(DP$12&gt;=$E75,DP$12&lt;=$F75,MOD(DP$12,7)&gt;1,NOT(COUNTIF(General!$U$13:$U$19,DP$12))),$I75,"")</f>
        <v/>
      </c>
      <c r="DQ75" s="643" t="str">
        <f>IF(AND(DQ$12&gt;=$E75,DQ$12&lt;=$F75,MOD(DQ$12,7)&gt;1,NOT(COUNTIF(General!$U$13:$U$19,DQ$12))),$I75,"")</f>
        <v/>
      </c>
      <c r="DR75" s="609" t="str">
        <f>IF(AND(DR$12&gt;=$E75,DR$12&lt;=$F75,MOD(DR$12,7)&gt;1,NOT(COUNTIF(General!$U$13:$U$19,DR$12))),$I75,"")</f>
        <v/>
      </c>
      <c r="DS75" s="609" t="str">
        <f>IF(AND(DS$12&gt;=$E75,DS$12&lt;=$F75,MOD(DS$12,7)&gt;1,NOT(COUNTIF(General!$U$13:$U$19,DS$12))),$I75,"")</f>
        <v/>
      </c>
      <c r="DT75" s="609" t="str">
        <f>IF(AND(DT$12&gt;=$E75,DT$12&lt;=$F75,MOD(DT$12,7)&gt;1,NOT(COUNTIF(General!$U$13:$U$19,DT$12))),$I75,"")</f>
        <v/>
      </c>
      <c r="DU75" s="609" t="str">
        <f>IF(AND(DU$12&gt;=$E75,DU$12&lt;=$F75,MOD(DU$12,7)&gt;1,NOT(COUNTIF(General!$U$13:$U$19,DU$12))),$I75,"")</f>
        <v/>
      </c>
      <c r="DV75" s="609" t="str">
        <f>IF(AND(DV$12&gt;=$E75,DV$12&lt;=$F75,MOD(DV$12,7)&gt;1,NOT(COUNTIF(General!$U$13:$U$19,DV$12))),$I75,"")</f>
        <v/>
      </c>
      <c r="DW75" s="643" t="str">
        <f>IF(AND(DW$12&gt;=$E75,DW$12&lt;=$F75,MOD(DW$12,7)&gt;1,NOT(COUNTIF(General!$U$13:$U$19,DW$12))),$I75,"")</f>
        <v/>
      </c>
      <c r="DX75" s="643" t="str">
        <f>IF(AND(DX$12&gt;=$E75,DX$12&lt;=$F75,MOD(DX$12,7)&gt;1,NOT(COUNTIF(General!$U$13:$U$19,DX$12))),$I75,"")</f>
        <v/>
      </c>
      <c r="DY75" s="609" t="str">
        <f>IF(AND(DY$12&gt;=$E75,DY$12&lt;=$F75,MOD(DY$12,7)&gt;1,NOT(COUNTIF(General!$U$13:$U$19,DY$12))),$I75,"")</f>
        <v/>
      </c>
      <c r="DZ75" s="609" t="str">
        <f>IF(AND(DZ$12&gt;=$E75,DZ$12&lt;=$F75,MOD(DZ$12,7)&gt;1,NOT(COUNTIF(General!$U$13:$U$19,DZ$12))),$I75,"")</f>
        <v/>
      </c>
      <c r="EA75" s="609" t="str">
        <f>IF(AND(EA$12&gt;=$E75,EA$12&lt;=$F75,MOD(EA$12,7)&gt;1,NOT(COUNTIF(General!$U$13:$U$19,EA$12))),$I75,"")</f>
        <v/>
      </c>
      <c r="EB75" s="609" t="str">
        <f>IF(AND(EB$12&gt;=$E75,EB$12&lt;=$F75,MOD(EB$12,7)&gt;1,NOT(COUNTIF(General!$U$13:$U$19,EB$12))),$I75,"")</f>
        <v/>
      </c>
      <c r="EC75" s="609" t="str">
        <f>IF(AND(EC$12&gt;=$E75,EC$12&lt;=$F75,MOD(EC$12,7)&gt;1,NOT(COUNTIF(General!$U$13:$U$19,EC$12))),$I75,"")</f>
        <v/>
      </c>
      <c r="ED75" s="643" t="str">
        <f>IF(AND(ED$12&gt;=$E75,ED$12&lt;=$F75,MOD(ED$12,7)&gt;1,NOT(COUNTIF(General!$U$13:$U$19,ED$12))),$I75,"")</f>
        <v/>
      </c>
      <c r="EE75" s="643" t="str">
        <f>IF(AND(EE$12&gt;=$E75,EE$12&lt;=$F75,MOD(EE$12,7)&gt;1,NOT(COUNTIF(General!$U$13:$U$19,EE$12))),$I75,"")</f>
        <v/>
      </c>
      <c r="EF75" s="609" t="str">
        <f>IF(AND(EF$12&gt;=$E75,EF$12&lt;=$F75,MOD(EF$12,7)&gt;1,NOT(COUNTIF(General!$U$13:$U$19,EF$12))),$I75,"")</f>
        <v/>
      </c>
      <c r="EG75" s="609" t="str">
        <f>IF(AND(EG$12&gt;=$E75,EG$12&lt;=$F75,MOD(EG$12,7)&gt;1,NOT(COUNTIF(General!$U$13:$U$19,EG$12))),$I75,"")</f>
        <v/>
      </c>
      <c r="EH75" s="609" t="str">
        <f>IF(AND(EH$12&gt;=$E75,EH$12&lt;=$F75,MOD(EH$12,7)&gt;1,NOT(COUNTIF(General!$U$13:$U$19,EH$12))),$I75,"")</f>
        <v/>
      </c>
      <c r="EI75" s="609" t="str">
        <f>IF(AND(EI$12&gt;=$E75,EI$12&lt;=$F75,MOD(EI$12,7)&gt;1,NOT(COUNTIF(General!$U$13:$U$19,EI$12))),$I75,"")</f>
        <v/>
      </c>
      <c r="EJ75" s="609" t="str">
        <f>IF(AND(EJ$12&gt;=$E75,EJ$12&lt;=$F75,MOD(EJ$12,7)&gt;1,NOT(COUNTIF(General!$U$13:$U$19,EJ$12))),$I75,"")</f>
        <v/>
      </c>
      <c r="EK75" s="643" t="str">
        <f>IF(AND(EK$12&gt;=$E75,EK$12&lt;=$F75,MOD(EK$12,7)&gt;1,NOT(COUNTIF(General!$U$13:$U$19,EK$12))),$I75,"")</f>
        <v/>
      </c>
      <c r="EL75" s="643" t="str">
        <f>IF(AND(EL$12&gt;=$E75,EL$12&lt;=$F75,MOD(EL$12,7)&gt;1,NOT(COUNTIF(General!$U$13:$U$19,EL$12))),$I75,"")</f>
        <v/>
      </c>
      <c r="EM75" s="609" t="str">
        <f>IF(AND(EM$12&gt;=$E75,EM$12&lt;=$F75,MOD(EM$12,7)&gt;1,NOT(COUNTIF(General!$U$13:$U$19,EM$12))),$I75,"")</f>
        <v/>
      </c>
      <c r="EN75" s="609" t="str">
        <f>IF(AND(EN$12&gt;=$E75,EN$12&lt;=$F75,MOD(EN$12,7)&gt;1,NOT(COUNTIF(General!$U$13:$U$19,EN$12))),$I75,"")</f>
        <v/>
      </c>
      <c r="EO75" s="609" t="str">
        <f>IF(AND(EO$12&gt;=$E75,EO$12&lt;=$F75,MOD(EO$12,7)&gt;1,NOT(COUNTIF(General!$U$13:$U$19,EO$12))),$I75,"")</f>
        <v/>
      </c>
      <c r="EP75" s="609" t="str">
        <f>IF(AND(EP$12&gt;=$E75,EP$12&lt;=$F75,MOD(EP$12,7)&gt;1,NOT(COUNTIF(General!$U$13:$U$19,EP$12))),$I75,"")</f>
        <v/>
      </c>
      <c r="EQ75" s="609" t="str">
        <f>IF(AND(EQ$12&gt;=$E75,EQ$12&lt;=$F75,MOD(EQ$12,7)&gt;1,NOT(COUNTIF(General!$U$13:$U$19,EQ$12))),$I75,"")</f>
        <v/>
      </c>
      <c r="ER75" s="643" t="str">
        <f>IF(AND(ER$12&gt;=$E75,ER$12&lt;=$F75,MOD(ER$12,7)&gt;1,NOT(COUNTIF(General!$U$13:$U$19,ER$12))),$I75,"")</f>
        <v/>
      </c>
      <c r="ES75" s="643" t="str">
        <f>IF(AND(ES$12&gt;=$E75,ES$12&lt;=$F75,MOD(ES$12,7)&gt;1,NOT(COUNTIF(General!$U$13:$U$19,ES$12))),$I75,"")</f>
        <v/>
      </c>
      <c r="ET75" s="609" t="str">
        <f>IF(AND(ET$12&gt;=$E75,ET$12&lt;=$F75,MOD(ET$12,7)&gt;1,NOT(COUNTIF(General!$U$13:$U$19,ET$12))),$I75,"")</f>
        <v/>
      </c>
      <c r="EU75" s="609" t="str">
        <f>IF(AND(EU$12&gt;=$E75,EU$12&lt;=$F75,MOD(EU$12,7)&gt;1,NOT(COUNTIF(General!$U$13:$U$19,EU$12))),$I75,"")</f>
        <v/>
      </c>
      <c r="EV75" s="609" t="str">
        <f>IF(AND(EV$12&gt;=$E75,EV$12&lt;=$F75,MOD(EV$12,7)&gt;1,NOT(COUNTIF(General!$U$13:$U$19,EV$12))),$I75,"")</f>
        <v/>
      </c>
      <c r="EW75" s="609" t="str">
        <f>IF(AND(EW$12&gt;=$E75,EW$12&lt;=$F75,MOD(EW$12,7)&gt;1,NOT(COUNTIF(General!$U$13:$U$19,EW$12))),$I75,"")</f>
        <v/>
      </c>
      <c r="EX75" s="609" t="str">
        <f>IF(AND(EX$12&gt;=$E75,EX$12&lt;=$F75,MOD(EX$12,7)&gt;1,NOT(COUNTIF(General!$U$13:$U$19,EX$12))),$I75,"")</f>
        <v/>
      </c>
      <c r="EY75" s="643" t="str">
        <f>IF(AND(EY$12&gt;=$E75,EY$12&lt;=$F75,MOD(EY$12,7)&gt;1,NOT(COUNTIF(General!$U$13:$U$19,EY$12))),$I75,"")</f>
        <v/>
      </c>
      <c r="EZ75" s="643" t="str">
        <f>IF(AND(EZ$12&gt;=$E75,EZ$12&lt;=$F75,MOD(EZ$12,7)&gt;1,NOT(COUNTIF(General!$U$13:$U$19,EZ$12))),$I75,"")</f>
        <v/>
      </c>
      <c r="FA75" s="609" t="str">
        <f>IF(AND(FA$12&gt;=$E75,FA$12&lt;=$F75,MOD(FA$12,7)&gt;1,NOT(COUNTIF(General!$U$13:$U$19,FA$12))),$I75,"")</f>
        <v/>
      </c>
      <c r="FB75" s="609" t="str">
        <f>IF(AND(FB$12&gt;=$E75,FB$12&lt;=$F75,MOD(FB$12,7)&gt;1,NOT(COUNTIF(General!$U$13:$U$19,FB$12))),$I75,"")</f>
        <v/>
      </c>
      <c r="FC75" s="609" t="str">
        <f>IF(AND(FC$12&gt;=$E75,FC$12&lt;=$F75,MOD(FC$12,7)&gt;1,NOT(COUNTIF(General!$U$13:$U$19,FC$12))),$I75,"")</f>
        <v/>
      </c>
      <c r="FD75" s="609" t="str">
        <f>IF(AND(FD$12&gt;=$E75,FD$12&lt;=$F75,MOD(FD$12,7)&gt;1,NOT(COUNTIF(General!$U$13:$U$19,FD$12))),$I75,"")</f>
        <v/>
      </c>
      <c r="FE75" s="609" t="str">
        <f>IF(AND(FE$12&gt;=$E75,FE$12&lt;=$F75,MOD(FE$12,7)&gt;1,NOT(COUNTIF(General!$U$13:$U$19,FE$12))),$I75,"")</f>
        <v/>
      </c>
      <c r="FF75" s="643" t="str">
        <f>IF(AND(FF$12&gt;=$E75,FF$12&lt;=$F75,MOD(FF$12,7)&gt;1,NOT(COUNTIF(General!$U$13:$U$19,FF$12))),$I75,"")</f>
        <v/>
      </c>
      <c r="FG75" s="643" t="str">
        <f>IF(AND(FG$12&gt;=$E75,FG$12&lt;=$F75,MOD(FG$12,7)&gt;1,NOT(COUNTIF(General!$U$13:$U$19,FG$12))),$I75,"")</f>
        <v/>
      </c>
      <c r="FH75" s="609" t="str">
        <f>IF(AND(FH$12&gt;=$E75,FH$12&lt;=$F75,MOD(FH$12,7)&gt;1,NOT(COUNTIF(General!$U$13:$U$19,FH$12))),$I75,"")</f>
        <v/>
      </c>
      <c r="FI75" s="609" t="str">
        <f>IF(AND(FI$12&gt;=$E75,FI$12&lt;=$F75,MOD(FI$12,7)&gt;1,NOT(COUNTIF(General!$U$13:$U$19,FI$12))),$I75,"")</f>
        <v/>
      </c>
      <c r="FJ75" s="609" t="str">
        <f>IF(AND(FJ$12&gt;=$E75,FJ$12&lt;=$F75,MOD(FJ$12,7)&gt;1,NOT(COUNTIF(General!$U$13:$U$19,FJ$12))),$I75,"")</f>
        <v/>
      </c>
      <c r="FK75" s="609" t="str">
        <f>IF(AND(FK$12&gt;=$E75,FK$12&lt;=$F75,MOD(FK$12,7)&gt;1,NOT(COUNTIF(General!$U$13:$U$19,FK$12))),$I75,"")</f>
        <v/>
      </c>
      <c r="FL75" s="609" t="str">
        <f>IF(AND(FL$12&gt;=$E75,FL$12&lt;=$F75,MOD(FL$12,7)&gt;1,NOT(COUNTIF(General!$U$13:$U$19,FL$12))),$I75,"")</f>
        <v/>
      </c>
      <c r="FM75" s="643" t="str">
        <f>IF(AND(FM$12&gt;=$E75,FM$12&lt;=$F75,MOD(FM$12,7)&gt;1,NOT(COUNTIF(General!$U$13:$U$19,FM$12))),$I75,"")</f>
        <v/>
      </c>
      <c r="FN75" s="643" t="str">
        <f>IF(AND(FN$12&gt;=$E75,FN$12&lt;=$F75,MOD(FN$12,7)&gt;1,NOT(COUNTIF(General!$U$13:$U$19,FN$12))),$I75,"")</f>
        <v/>
      </c>
      <c r="FO75" s="609" t="str">
        <f>IF(AND(FO$12&gt;=$E75,FO$12&lt;=$F75,MOD(FO$12,7)&gt;1,NOT(COUNTIF(General!$U$13:$U$19,FO$12))),$I75,"")</f>
        <v/>
      </c>
      <c r="FP75" s="609" t="str">
        <f>IF(AND(FP$12&gt;=$E75,FP$12&lt;=$F75,MOD(FP$12,7)&gt;1,NOT(COUNTIF(General!$U$13:$U$19,FP$12))),$I75,"")</f>
        <v/>
      </c>
      <c r="FQ75" s="609" t="str">
        <f>IF(AND(FQ$12&gt;=$E75,FQ$12&lt;=$F75,MOD(FQ$12,7)&gt;1,NOT(COUNTIF(General!$U$13:$U$19,FQ$12))),$I75,"")</f>
        <v/>
      </c>
      <c r="FR75" s="609" t="str">
        <f>IF(AND(FR$12&gt;=$E75,FR$12&lt;=$F75,MOD(FR$12,7)&gt;1,NOT(COUNTIF(General!$U$13:$U$19,FR$12))),$I75,"")</f>
        <v/>
      </c>
      <c r="FS75" s="609" t="str">
        <f>IF(AND(FS$12&gt;=$E75,FS$12&lt;=$F75,MOD(FS$12,7)&gt;1,NOT(COUNTIF(General!$U$13:$U$19,FS$12))),$I75,"")</f>
        <v/>
      </c>
      <c r="FT75" s="643" t="str">
        <f>IF(AND(FT$12&gt;=$E75,FT$12&lt;=$F75,MOD(FT$12,7)&gt;1,NOT(COUNTIF(General!$U$13:$U$19,FT$12))),$I75,"")</f>
        <v/>
      </c>
      <c r="FU75" s="643" t="str">
        <f>IF(AND(FU$12&gt;=$E75,FU$12&lt;=$F75,MOD(FU$12,7)&gt;1,NOT(COUNTIF(General!$U$13:$U$19,FU$12))),$I75,"")</f>
        <v/>
      </c>
      <c r="FV75" s="609" t="str">
        <f>IF(AND(FV$12&gt;=$E75,FV$12&lt;=$F75,MOD(FV$12,7)&gt;1,NOT(COUNTIF(General!$U$13:$U$19,FV$12))),$I75,"")</f>
        <v/>
      </c>
      <c r="FW75" s="609" t="str">
        <f>IF(AND(FW$12&gt;=$E75,FW$12&lt;=$F75,MOD(FW$12,7)&gt;1,NOT(COUNTIF(General!$U$13:$U$19,FW$12))),$I75,"")</f>
        <v/>
      </c>
      <c r="FX75" s="609" t="str">
        <f>IF(AND(FX$12&gt;=$E75,FX$12&lt;=$F75,MOD(FX$12,7)&gt;1,NOT(COUNTIF(General!$U$13:$U$19,FX$12))),$I75,"")</f>
        <v/>
      </c>
    </row>
    <row r="76">
      <c r="A76" s="644"/>
      <c r="B76" s="592"/>
      <c r="C76" s="592"/>
      <c r="D76" s="645" t="s">
        <v>592</v>
      </c>
      <c r="E76" s="646"/>
      <c r="F76" s="646"/>
      <c r="G76" s="647"/>
      <c r="H76" s="585"/>
      <c r="I76" s="379">
        <v>1.0</v>
      </c>
      <c r="J76" s="648"/>
      <c r="K76" s="588"/>
      <c r="L76" s="588"/>
      <c r="M76" s="589"/>
      <c r="N76" s="590"/>
      <c r="O76" s="591"/>
      <c r="P76" s="592"/>
      <c r="Q76" s="592" t="str">
        <f>IF(AND(Q$12&gt;=$E76,Q$12&lt;=$F76,MOD(Q$12,7)&gt;1,NOT(COUNTIF(General!$U$13:$U$19,Q$12))),$I76,"")</f>
        <v/>
      </c>
      <c r="R76" s="592" t="str">
        <f>IF(AND(R$12&gt;=$E76,R$12&lt;=$F76,MOD(R$12,7)&gt;1,NOT(COUNTIF(General!$U$13:$U$19,R$12))),$I76,"")</f>
        <v/>
      </c>
      <c r="S76" s="592" t="str">
        <f>IF(AND(S$12&gt;=$E76,S$12&lt;=$F76,MOD(S$12,7)&gt;1,NOT(COUNTIF(General!$U$13:$U$19,S$12))),$I76,"")</f>
        <v/>
      </c>
      <c r="T76" s="592" t="str">
        <f>IF(AND(T$12&gt;=$E76,T$12&lt;=$F76,MOD(T$12,7)&gt;1,NOT(COUNTIF(General!$U$13:$U$19,T$12))),$I76,"")</f>
        <v/>
      </c>
      <c r="U76" s="592" t="str">
        <f>IF(AND(U$12&gt;=$E76,U$12&lt;=$F76,MOD(U$12,7)&gt;1,NOT(COUNTIF(General!$U$13:$U$19,U$12))),$I76,"")</f>
        <v/>
      </c>
      <c r="V76" s="649" t="str">
        <f>IF(AND(V$12&gt;=$E76,V$12&lt;=$F76,MOD(V$12,7)&gt;1,NOT(COUNTIF(General!$U$13:$U$19,V$12))),$I76,"")</f>
        <v/>
      </c>
      <c r="W76" s="649" t="str">
        <f>IF(AND(W$12&gt;=$E76,W$12&lt;=$F76,MOD(W$12,7)&gt;1,NOT(COUNTIF(General!$U$13:$U$19,W$12))),$I76,"")</f>
        <v/>
      </c>
      <c r="X76" s="592" t="str">
        <f>IF(AND(X$12&gt;=$E76,X$12&lt;=$F76,MOD(X$12,7)&gt;1,NOT(COUNTIF(General!$U$13:$U$19,X$12))),$I76,"")</f>
        <v/>
      </c>
      <c r="Y76" s="592" t="str">
        <f>IF(AND(Y$12&gt;=$E76,Y$12&lt;=$F76,MOD(Y$12,7)&gt;1,NOT(COUNTIF(General!$U$13:$U$19,Y$12))),$I76,"")</f>
        <v/>
      </c>
      <c r="Z76" s="592" t="str">
        <f>IF(AND(Z$12&gt;=$E76,Z$12&lt;=$F76,MOD(Z$12,7)&gt;1,NOT(COUNTIF(General!$U$13:$U$19,Z$12))),$I76,"")</f>
        <v/>
      </c>
      <c r="AA76" s="592" t="str">
        <f>IF(AND(AA$12&gt;=$E76,AA$12&lt;=$F76,MOD(AA$12,7)&gt;1,NOT(COUNTIF(General!$U$13:$U$19,AA$12))),$I76,"")</f>
        <v/>
      </c>
      <c r="AB76" s="592" t="str">
        <f>IF(AND(AB$12&gt;=$E76,AB$12&lt;=$F76,MOD(AB$12,7)&gt;1,NOT(COUNTIF(General!$U$13:$U$19,AB$12))),$I76,"")</f>
        <v/>
      </c>
      <c r="AC76" s="649" t="str">
        <f>IF(AND(AC$12&gt;=$E76,AC$12&lt;=$F76,MOD(AC$12,7)&gt;1,NOT(COUNTIF(General!$U$13:$U$19,AC$12))),$I76,"")</f>
        <v/>
      </c>
      <c r="AD76" s="649" t="str">
        <f>IF(AND(AD$12&gt;=$E76,AD$12&lt;=$F76,MOD(AD$12,7)&gt;1,NOT(COUNTIF(General!$U$13:$U$19,AD$12))),$I76,"")</f>
        <v/>
      </c>
      <c r="AE76" s="592" t="str">
        <f>IF(AND(AE$12&gt;=$E76,AE$12&lt;=$F76,MOD(AE$12,7)&gt;1,NOT(COUNTIF(General!$U$13:$U$19,AE$12))),$I76,"")</f>
        <v/>
      </c>
      <c r="AF76" s="592" t="str">
        <f>IF(AND(AF$12&gt;=$E76,AF$12&lt;=$F76,MOD(AF$12,7)&gt;1,NOT(COUNTIF(General!$U$13:$U$19,AF$12))),$I76,"")</f>
        <v/>
      </c>
      <c r="AG76" s="592" t="str">
        <f>IF(AND(AG$12&gt;=$E76,AG$12&lt;=$F76,MOD(AG$12,7)&gt;1,NOT(COUNTIF(General!$U$13:$U$19,AG$12))),$I76,"")</f>
        <v/>
      </c>
      <c r="AH76" s="592" t="str">
        <f>IF(AND(AH$12&gt;=$E76,AH$12&lt;=$F76,MOD(AH$12,7)&gt;1,NOT(COUNTIF(General!$U$13:$U$19,AH$12))),$I76,"")</f>
        <v/>
      </c>
      <c r="AI76" s="592" t="str">
        <f>IF(AND(AI$12&gt;=$E76,AI$12&lt;=$F76,MOD(AI$12,7)&gt;1,NOT(COUNTIF(General!$U$13:$U$19,AI$12))),$I76,"")</f>
        <v/>
      </c>
      <c r="AJ76" s="649" t="str">
        <f>IF(AND(AJ$12&gt;=$E76,AJ$12&lt;=$F76,MOD(AJ$12,7)&gt;1,NOT(COUNTIF(General!$U$13:$U$19,AJ$12))),$I76,"")</f>
        <v/>
      </c>
      <c r="AK76" s="649" t="str">
        <f>IF(AND(AK$12&gt;=$E76,AK$12&lt;=$F76,MOD(AK$12,7)&gt;1,NOT(COUNTIF(General!$U$13:$U$19,AK$12))),$I76,"")</f>
        <v/>
      </c>
      <c r="AL76" s="592" t="str">
        <f>IF(AND(AL$12&gt;=$E76,AL$12&lt;=$F76,MOD(AL$12,7)&gt;1,NOT(COUNTIF(General!$U$13:$U$19,AL$12))),$I76,"")</f>
        <v/>
      </c>
      <c r="AM76" s="592" t="str">
        <f>IF(AND(AM$12&gt;=$E76,AM$12&lt;=$F76,MOD(AM$12,7)&gt;1,NOT(COUNTIF(General!$U$13:$U$19,AM$12))),$I76,"")</f>
        <v/>
      </c>
      <c r="AN76" s="592" t="str">
        <f>IF(AND(AN$12&gt;=$E76,AN$12&lt;=$F76,MOD(AN$12,7)&gt;1,NOT(COUNTIF(General!$U$13:$U$19,AN$12))),$I76,"")</f>
        <v/>
      </c>
      <c r="AO76" s="592" t="str">
        <f>IF(AND(AO$12&gt;=$E76,AO$12&lt;=$F76,MOD(AO$12,7)&gt;1,NOT(COUNTIF(General!$U$13:$U$19,AO$12))),$I76,"")</f>
        <v/>
      </c>
      <c r="AP76" s="592" t="str">
        <f>IF(AND(AP$12&gt;=$E76,AP$12&lt;=$F76,MOD(AP$12,7)&gt;1,NOT(COUNTIF(General!$U$13:$U$19,AP$12))),$I76,"")</f>
        <v/>
      </c>
      <c r="AQ76" s="649" t="str">
        <f>IF(AND(AQ$12&gt;=$E76,AQ$12&lt;=$F76,MOD(AQ$12,7)&gt;1,NOT(COUNTIF(General!$U$13:$U$19,AQ$12))),$I76,"")</f>
        <v/>
      </c>
      <c r="AR76" s="649" t="str">
        <f>IF(AND(AR$12&gt;=$E76,AR$12&lt;=$F76,MOD(AR$12,7)&gt;1,NOT(COUNTIF(General!$U$13:$U$19,AR$12))),$I76,"")</f>
        <v/>
      </c>
      <c r="AS76" s="592" t="str">
        <f>IF(AND(AS$12&gt;=$E76,AS$12&lt;=$F76,MOD(AS$12,7)&gt;1,NOT(COUNTIF(General!$U$13:$U$19,AS$12))),$I76,"")</f>
        <v/>
      </c>
      <c r="AT76" s="592" t="str">
        <f>IF(AND(AT$12&gt;=$E76,AT$12&lt;=$F76,MOD(AT$12,7)&gt;1,NOT(COUNTIF(General!$U$13:$U$19,AT$12))),$I76,"")</f>
        <v/>
      </c>
      <c r="AU76" s="592" t="str">
        <f>IF(AND(AU$12&gt;=$E76,AU$12&lt;=$F76,MOD(AU$12,7)&gt;1,NOT(COUNTIF(General!$U$13:$U$19,AU$12))),$I76,"")</f>
        <v/>
      </c>
      <c r="AV76" s="592" t="str">
        <f>IF(AND(AV$12&gt;=$E76,AV$12&lt;=$F76,MOD(AV$12,7)&gt;1,NOT(COUNTIF(General!$U$13:$U$19,AV$12))),$I76,"")</f>
        <v/>
      </c>
      <c r="AW76" s="592" t="str">
        <f>IF(AND(AW$12&gt;=$E76,AW$12&lt;=$F76,MOD(AW$12,7)&gt;1,NOT(COUNTIF(General!$U$13:$U$19,AW$12))),$I76,"")</f>
        <v/>
      </c>
      <c r="AX76" s="649" t="str">
        <f>IF(AND(AX$12&gt;=$E76,AX$12&lt;=$F76,MOD(AX$12,7)&gt;1,NOT(COUNTIF(General!$U$13:$U$19,AX$12))),$I76,"")</f>
        <v/>
      </c>
      <c r="AY76" s="649" t="str">
        <f>IF(AND(AY$12&gt;=$E76,AY$12&lt;=$F76,MOD(AY$12,7)&gt;1,NOT(COUNTIF(General!$U$13:$U$19,AY$12))),$I76,"")</f>
        <v/>
      </c>
      <c r="AZ76" s="592" t="str">
        <f>IF(AND(AZ$12&gt;=$E76,AZ$12&lt;=$F76,MOD(AZ$12,7)&gt;1,NOT(COUNTIF(General!$U$13:$U$19,AZ$12))),$I76,"")</f>
        <v/>
      </c>
      <c r="BA76" s="592" t="str">
        <f>IF(AND(BA$12&gt;=$E76,BA$12&lt;=$F76,MOD(BA$12,7)&gt;1,NOT(COUNTIF(General!$U$13:$U$19,BA$12))),$I76,"")</f>
        <v/>
      </c>
      <c r="BB76" s="592" t="str">
        <f>IF(AND(BB$12&gt;=$E76,BB$12&lt;=$F76,MOD(BB$12,7)&gt;1,NOT(COUNTIF(General!$U$13:$U$19,BB$12))),$I76,"")</f>
        <v/>
      </c>
      <c r="BC76" s="592" t="str">
        <f>IF(AND(BC$12&gt;=$E76,BC$12&lt;=$F76,MOD(BC$12,7)&gt;1,NOT(COUNTIF(General!$U$13:$U$19,BC$12))),$I76,"")</f>
        <v/>
      </c>
      <c r="BD76" s="592" t="str">
        <f>IF(AND(BD$12&gt;=$E76,BD$12&lt;=$F76,MOD(BD$12,7)&gt;1,NOT(COUNTIF(General!$U$13:$U$19,BD$12))),$I76,"")</f>
        <v/>
      </c>
      <c r="BE76" s="649" t="str">
        <f>IF(AND(BE$12&gt;=$E76,BE$12&lt;=$F76,MOD(BE$12,7)&gt;1,NOT(COUNTIF(General!$U$13:$U$19,BE$12))),$I76,"")</f>
        <v/>
      </c>
      <c r="BF76" s="649" t="str">
        <f>IF(AND(BF$12&gt;=$E76,BF$12&lt;=$F76,MOD(BF$12,7)&gt;1,NOT(COUNTIF(General!$U$13:$U$19,BF$12))),$I76,"")</f>
        <v/>
      </c>
      <c r="BG76" s="592" t="str">
        <f>IF(AND(BG$12&gt;=$E76,BG$12&lt;=$F76,MOD(BG$12,7)&gt;1,NOT(COUNTIF(General!$U$13:$U$19,BG$12))),$I76,"")</f>
        <v/>
      </c>
      <c r="BH76" s="592" t="str">
        <f>IF(AND(BH$12&gt;=$E76,BH$12&lt;=$F76,MOD(BH$12,7)&gt;1,NOT(COUNTIF(General!$U$13:$U$19,BH$12))),$I76,"")</f>
        <v/>
      </c>
      <c r="BI76" s="592" t="str">
        <f>IF(AND(BI$12&gt;=$E76,BI$12&lt;=$F76,MOD(BI$12,7)&gt;1,NOT(COUNTIF(General!$U$13:$U$19,BI$12))),$I76,"")</f>
        <v/>
      </c>
      <c r="BJ76" s="592" t="str">
        <f>IF(AND(BJ$12&gt;=$E76,BJ$12&lt;=$F76,MOD(BJ$12,7)&gt;1,NOT(COUNTIF(General!$U$13:$U$19,BJ$12))),$I76,"")</f>
        <v/>
      </c>
      <c r="BK76" s="592" t="str">
        <f>IF(AND(BK$12&gt;=$E76,BK$12&lt;=$F76,MOD(BK$12,7)&gt;1,NOT(COUNTIF(General!$U$13:$U$19,BK$12))),$I76,"")</f>
        <v/>
      </c>
      <c r="BL76" s="649" t="str">
        <f>IF(AND(BL$12&gt;=$E76,BL$12&lt;=$F76,MOD(BL$12,7)&gt;1,NOT(COUNTIF(General!$U$13:$U$19,BL$12))),$I76,"")</f>
        <v/>
      </c>
      <c r="BM76" s="649" t="str">
        <f>IF(AND(BM$12&gt;=$E76,BM$12&lt;=$F76,MOD(BM$12,7)&gt;1,NOT(COUNTIF(General!$U$13:$U$19,BM$12))),$I76,"")</f>
        <v/>
      </c>
      <c r="BN76" s="592" t="str">
        <f>IF(AND(BN$12&gt;=$E76,BN$12&lt;=$F76,MOD(BN$12,7)&gt;1,NOT(COUNTIF(General!$U$13:$U$19,BN$12))),$I76,"")</f>
        <v/>
      </c>
      <c r="BO76" s="592" t="str">
        <f>IF(AND(BO$12&gt;=$E76,BO$12&lt;=$F76,MOD(BO$12,7)&gt;1,NOT(COUNTIF(General!$U$13:$U$19,BO$12))),$I76,"")</f>
        <v/>
      </c>
      <c r="BP76" s="592" t="str">
        <f>IF(AND(BP$12&gt;=$E76,BP$12&lt;=$F76,MOD(BP$12,7)&gt;1,NOT(COUNTIF(General!$U$13:$U$19,BP$12))),$I76,"")</f>
        <v/>
      </c>
      <c r="BQ76" s="592" t="str">
        <f>IF(AND(BQ$12&gt;=$E76,BQ$12&lt;=$F76,MOD(BQ$12,7)&gt;1,NOT(COUNTIF(General!$U$13:$U$19,BQ$12))),$I76,"")</f>
        <v/>
      </c>
      <c r="BR76" s="592" t="str">
        <f>IF(AND(BR$12&gt;=$E76,BR$12&lt;=$F76,MOD(BR$12,7)&gt;1,NOT(COUNTIF(General!$U$13:$U$19,BR$12))),$I76,"")</f>
        <v/>
      </c>
      <c r="BS76" s="649" t="str">
        <f>IF(AND(BS$12&gt;=$E76,BS$12&lt;=$F76,MOD(BS$12,7)&gt;1,NOT(COUNTIF(General!$U$13:$U$19,BS$12))),$I76,"")</f>
        <v/>
      </c>
      <c r="BT76" s="649" t="str">
        <f>IF(AND(BT$12&gt;=$E76,BT$12&lt;=$F76,MOD(BT$12,7)&gt;1,NOT(COUNTIF(General!$U$13:$U$19,BT$12))),$I76,"")</f>
        <v/>
      </c>
      <c r="BU76" s="592" t="str">
        <f>IF(AND(BU$12&gt;=$E76,BU$12&lt;=$F76,MOD(BU$12,7)&gt;1,NOT(COUNTIF(General!$U$13:$U$19,BU$12))),$I76,"")</f>
        <v/>
      </c>
      <c r="BV76" s="592" t="str">
        <f>IF(AND(BV$12&gt;=$E76,BV$12&lt;=$F76,MOD(BV$12,7)&gt;1,NOT(COUNTIF(General!$U$13:$U$19,BV$12))),$I76,"")</f>
        <v/>
      </c>
      <c r="BW76" s="592" t="str">
        <f>IF(AND(BW$12&gt;=$E76,BW$12&lt;=$F76,MOD(BW$12,7)&gt;1,NOT(COUNTIF(General!$U$13:$U$19,BW$12))),$I76,"")</f>
        <v/>
      </c>
      <c r="BX76" s="592" t="str">
        <f>IF(AND(BX$12&gt;=$E76,BX$12&lt;=$F76,MOD(BX$12,7)&gt;1,NOT(COUNTIF(General!$U$13:$U$19,BX$12))),$I76,"")</f>
        <v/>
      </c>
      <c r="BY76" s="592" t="str">
        <f>IF(AND(BY$12&gt;=$E76,BY$12&lt;=$F76,MOD(BY$12,7)&gt;1,NOT(COUNTIF(General!$U$13:$U$19,BY$12))),$I76,"")</f>
        <v/>
      </c>
      <c r="BZ76" s="649" t="str">
        <f>IF(AND(BZ$12&gt;=$E76,BZ$12&lt;=$F76,MOD(BZ$12,7)&gt;1,NOT(COUNTIF(General!$U$13:$U$19,BZ$12))),$I76,"")</f>
        <v/>
      </c>
      <c r="CA76" s="649" t="str">
        <f>IF(AND(CA$12&gt;=$E76,CA$12&lt;=$F76,MOD(CA$12,7)&gt;1,NOT(COUNTIF(General!$U$13:$U$19,CA$12))),$I76,"")</f>
        <v/>
      </c>
      <c r="CB76" s="592" t="str">
        <f>IF(AND(CB$12&gt;=$E76,CB$12&lt;=$F76,MOD(CB$12,7)&gt;1,NOT(COUNTIF(General!$U$13:$U$19,CB$12))),$I76,"")</f>
        <v/>
      </c>
      <c r="CC76" s="592" t="str">
        <f>IF(AND(CC$12&gt;=$E76,CC$12&lt;=$F76,MOD(CC$12,7)&gt;1,NOT(COUNTIF(General!$U$13:$U$19,CC$12))),$I76,"")</f>
        <v/>
      </c>
      <c r="CD76" s="592" t="str">
        <f>IF(AND(CD$12&gt;=$E76,CD$12&lt;=$F76,MOD(CD$12,7)&gt;1,NOT(COUNTIF(General!$U$13:$U$19,CD$12))),$I76,"")</f>
        <v/>
      </c>
      <c r="CE76" s="592" t="str">
        <f>IF(AND(CE$12&gt;=$E76,CE$12&lt;=$F76,MOD(CE$12,7)&gt;1,NOT(COUNTIF(General!$U$13:$U$19,CE$12))),$I76,"")</f>
        <v/>
      </c>
      <c r="CF76" s="592" t="str">
        <f>IF(AND(CF$12&gt;=$E76,CF$12&lt;=$F76,MOD(CF$12,7)&gt;1,NOT(COUNTIF(General!$U$13:$U$19,CF$12))),$I76,"")</f>
        <v/>
      </c>
      <c r="CG76" s="649" t="str">
        <f>IF(AND(CG$12&gt;=$E76,CG$12&lt;=$F76,MOD(CG$12,7)&gt;1,NOT(COUNTIF(General!$U$13:$U$19,CG$12))),$I76,"")</f>
        <v/>
      </c>
      <c r="CH76" s="649" t="str">
        <f>IF(AND(CH$12&gt;=$E76,CH$12&lt;=$F76,MOD(CH$12,7)&gt;1,NOT(COUNTIF(General!$U$13:$U$19,CH$12))),$I76,"")</f>
        <v/>
      </c>
      <c r="CI76" s="592" t="str">
        <f>IF(AND(CI$12&gt;=$E76,CI$12&lt;=$F76,MOD(CI$12,7)&gt;1,NOT(COUNTIF(General!$U$13:$U$19,CI$12))),$I76,"")</f>
        <v/>
      </c>
      <c r="CJ76" s="592" t="str">
        <f>IF(AND(CJ$12&gt;=$E76,CJ$12&lt;=$F76,MOD(CJ$12,7)&gt;1,NOT(COUNTIF(General!$U$13:$U$19,CJ$12))),$I76,"")</f>
        <v/>
      </c>
      <c r="CK76" s="592" t="str">
        <f>IF(AND(CK$12&gt;=$E76,CK$12&lt;=$F76,MOD(CK$12,7)&gt;1,NOT(COUNTIF(General!$U$13:$U$19,CK$12))),$I76,"")</f>
        <v/>
      </c>
      <c r="CL76" s="592" t="str">
        <f>IF(AND(CL$12&gt;=$E76,CL$12&lt;=$F76,MOD(CL$12,7)&gt;1,NOT(COUNTIF(General!$U$13:$U$19,CL$12))),$I76,"")</f>
        <v/>
      </c>
      <c r="CM76" s="592" t="str">
        <f>IF(AND(CM$12&gt;=$E76,CM$12&lt;=$F76,MOD(CM$12,7)&gt;1,NOT(COUNTIF(General!$U$13:$U$19,CM$12))),$I76,"")</f>
        <v/>
      </c>
      <c r="CN76" s="649" t="str">
        <f>IF(AND(CN$12&gt;=$E76,CN$12&lt;=$F76,MOD(CN$12,7)&gt;1,NOT(COUNTIF(General!$U$13:$U$19,CN$12))),$I76,"")</f>
        <v/>
      </c>
      <c r="CO76" s="649" t="str">
        <f>IF(AND(CO$12&gt;=$E76,CO$12&lt;=$F76,MOD(CO$12,7)&gt;1,NOT(COUNTIF(General!$U$13:$U$19,CO$12))),$I76,"")</f>
        <v/>
      </c>
      <c r="CP76" s="592" t="str">
        <f>IF(AND(CP$12&gt;=$E76,CP$12&lt;=$F76,MOD(CP$12,7)&gt;1,NOT(COUNTIF(General!$U$13:$U$19,CP$12))),$I76,"")</f>
        <v/>
      </c>
      <c r="CQ76" s="592" t="str">
        <f>IF(AND(CQ$12&gt;=$E76,CQ$12&lt;=$F76,MOD(CQ$12,7)&gt;1,NOT(COUNTIF(General!$U$13:$U$19,CQ$12))),$I76,"")</f>
        <v/>
      </c>
      <c r="CR76" s="592" t="str">
        <f>IF(AND(CR$12&gt;=$E76,CR$12&lt;=$F76,MOD(CR$12,7)&gt;1,NOT(COUNTIF(General!$U$13:$U$19,CR$12))),$I76,"")</f>
        <v/>
      </c>
      <c r="CS76" s="592" t="str">
        <f>IF(AND(CS$12&gt;=$E76,CS$12&lt;=$F76,MOD(CS$12,7)&gt;1,NOT(COUNTIF(General!$U$13:$U$19,CS$12))),$I76,"")</f>
        <v/>
      </c>
      <c r="CT76" s="592" t="str">
        <f>IF(AND(CT$12&gt;=$E76,CT$12&lt;=$F76,MOD(CT$12,7)&gt;1,NOT(COUNTIF(General!$U$13:$U$19,CT$12))),$I76,"")</f>
        <v/>
      </c>
      <c r="CU76" s="649" t="str">
        <f>IF(AND(CU$12&gt;=$E76,CU$12&lt;=$F76,MOD(CU$12,7)&gt;1,NOT(COUNTIF(General!$U$13:$U$19,CU$12))),$I76,"")</f>
        <v/>
      </c>
      <c r="CV76" s="649" t="str">
        <f>IF(AND(CV$12&gt;=$E76,CV$12&lt;=$F76,MOD(CV$12,7)&gt;1,NOT(COUNTIF(General!$U$13:$U$19,CV$12))),$I76,"")</f>
        <v/>
      </c>
      <c r="CW76" s="592" t="str">
        <f>IF(AND(CW$12&gt;=$E76,CW$12&lt;=$F76,MOD(CW$12,7)&gt;1,NOT(COUNTIF(General!$U$13:$U$19,CW$12))),$I76,"")</f>
        <v/>
      </c>
      <c r="CX76" s="592" t="str">
        <f>IF(AND(CX$12&gt;=$E76,CX$12&lt;=$F76,MOD(CX$12,7)&gt;1,NOT(COUNTIF(General!$U$13:$U$19,CX$12))),$I76,"")</f>
        <v/>
      </c>
      <c r="CY76" s="592" t="str">
        <f>IF(AND(CY$12&gt;=$E76,CY$12&lt;=$F76,MOD(CY$12,7)&gt;1,NOT(COUNTIF(General!$U$13:$U$19,CY$12))),$I76,"")</f>
        <v/>
      </c>
      <c r="CZ76" s="592" t="str">
        <f>IF(AND(CZ$12&gt;=$E76,CZ$12&lt;=$F76,MOD(CZ$12,7)&gt;1,NOT(COUNTIF(General!$U$13:$U$19,CZ$12))),$I76,"")</f>
        <v/>
      </c>
      <c r="DA76" s="592" t="str">
        <f>IF(AND(DA$12&gt;=$E76,DA$12&lt;=$F76,MOD(DA$12,7)&gt;1,NOT(COUNTIF(General!$U$13:$U$19,DA$12))),$I76,"")</f>
        <v/>
      </c>
      <c r="DB76" s="649" t="str">
        <f>IF(AND(DB$12&gt;=$E76,DB$12&lt;=$F76,MOD(DB$12,7)&gt;1,NOT(COUNTIF(General!$U$13:$U$19,DB$12))),$I76,"")</f>
        <v/>
      </c>
      <c r="DC76" s="649" t="str">
        <f>IF(AND(DC$12&gt;=$E76,DC$12&lt;=$F76,MOD(DC$12,7)&gt;1,NOT(COUNTIF(General!$U$13:$U$19,DC$12))),$I76,"")</f>
        <v/>
      </c>
      <c r="DD76" s="592" t="str">
        <f>IF(AND(DD$12&gt;=$E76,DD$12&lt;=$F76,MOD(DD$12,7)&gt;1,NOT(COUNTIF(General!$U$13:$U$19,DD$12))),$I76,"")</f>
        <v/>
      </c>
      <c r="DE76" s="592" t="str">
        <f>IF(AND(DE$12&gt;=$E76,DE$12&lt;=$F76,MOD(DE$12,7)&gt;1,NOT(COUNTIF(General!$U$13:$U$19,DE$12))),$I76,"")</f>
        <v/>
      </c>
      <c r="DF76" s="592" t="str">
        <f>IF(AND(DF$12&gt;=$E76,DF$12&lt;=$F76,MOD(DF$12,7)&gt;1,NOT(COUNTIF(General!$U$13:$U$19,DF$12))),$I76,"")</f>
        <v/>
      </c>
      <c r="DG76" s="592" t="str">
        <f>IF(AND(DG$12&gt;=$E76,DG$12&lt;=$F76,MOD(DG$12,7)&gt;1,NOT(COUNTIF(General!$U$13:$U$19,DG$12))),$I76,"")</f>
        <v/>
      </c>
      <c r="DH76" s="592" t="str">
        <f>IF(AND(DH$12&gt;=$E76,DH$12&lt;=$F76,MOD(DH$12,7)&gt;1,NOT(COUNTIF(General!$U$13:$U$19,DH$12))),$I76,"")</f>
        <v/>
      </c>
      <c r="DI76" s="649" t="str">
        <f>IF(AND(DI$12&gt;=$E76,DI$12&lt;=$F76,MOD(DI$12,7)&gt;1,NOT(COUNTIF(General!$U$13:$U$19,DI$12))),$I76,"")</f>
        <v/>
      </c>
      <c r="DJ76" s="649" t="str">
        <f>IF(AND(DJ$12&gt;=$E76,DJ$12&lt;=$F76,MOD(DJ$12,7)&gt;1,NOT(COUNTIF(General!$U$13:$U$19,DJ$12))),$I76,"")</f>
        <v/>
      </c>
      <c r="DK76" s="592" t="str">
        <f>IF(AND(DK$12&gt;=$E76,DK$12&lt;=$F76,MOD(DK$12,7)&gt;1,NOT(COUNTIF(General!$U$13:$U$19,DK$12))),$I76,"")</f>
        <v/>
      </c>
      <c r="DL76" s="592" t="str">
        <f>IF(AND(DL$12&gt;=$E76,DL$12&lt;=$F76,MOD(DL$12,7)&gt;1,NOT(COUNTIF(General!$U$13:$U$19,DL$12))),$I76,"")</f>
        <v/>
      </c>
      <c r="DM76" s="592" t="str">
        <f>IF(AND(DM$12&gt;=$E76,DM$12&lt;=$F76,MOD(DM$12,7)&gt;1,NOT(COUNTIF(General!$U$13:$U$19,DM$12))),$I76,"")</f>
        <v/>
      </c>
      <c r="DN76" s="592" t="str">
        <f>IF(AND(DN$12&gt;=$E76,DN$12&lt;=$F76,MOD(DN$12,7)&gt;1,NOT(COUNTIF(General!$U$13:$U$19,DN$12))),$I76,"")</f>
        <v/>
      </c>
      <c r="DO76" s="592" t="str">
        <f>IF(AND(DO$12&gt;=$E76,DO$12&lt;=$F76,MOD(DO$12,7)&gt;1,NOT(COUNTIF(General!$U$13:$U$19,DO$12))),$I76,"")</f>
        <v/>
      </c>
      <c r="DP76" s="649" t="str">
        <f>IF(AND(DP$12&gt;=$E76,DP$12&lt;=$F76,MOD(DP$12,7)&gt;1,NOT(COUNTIF(General!$U$13:$U$19,DP$12))),$I76,"")</f>
        <v/>
      </c>
      <c r="DQ76" s="649" t="str">
        <f>IF(AND(DQ$12&gt;=$E76,DQ$12&lt;=$F76,MOD(DQ$12,7)&gt;1,NOT(COUNTIF(General!$U$13:$U$19,DQ$12))),$I76,"")</f>
        <v/>
      </c>
      <c r="DR76" s="592" t="str">
        <f>IF(AND(DR$12&gt;=$E76,DR$12&lt;=$F76,MOD(DR$12,7)&gt;1,NOT(COUNTIF(General!$U$13:$U$19,DR$12))),$I76,"")</f>
        <v/>
      </c>
      <c r="DS76" s="592" t="str">
        <f>IF(AND(DS$12&gt;=$E76,DS$12&lt;=$F76,MOD(DS$12,7)&gt;1,NOT(COUNTIF(General!$U$13:$U$19,DS$12))),$I76,"")</f>
        <v/>
      </c>
      <c r="DT76" s="592" t="str">
        <f>IF(AND(DT$12&gt;=$E76,DT$12&lt;=$F76,MOD(DT$12,7)&gt;1,NOT(COUNTIF(General!$U$13:$U$19,DT$12))),$I76,"")</f>
        <v/>
      </c>
      <c r="DU76" s="592" t="str">
        <f>IF(AND(DU$12&gt;=$E76,DU$12&lt;=$F76,MOD(DU$12,7)&gt;1,NOT(COUNTIF(General!$U$13:$U$19,DU$12))),$I76,"")</f>
        <v/>
      </c>
      <c r="DV76" s="592" t="str">
        <f>IF(AND(DV$12&gt;=$E76,DV$12&lt;=$F76,MOD(DV$12,7)&gt;1,NOT(COUNTIF(General!$U$13:$U$19,DV$12))),$I76,"")</f>
        <v/>
      </c>
      <c r="DW76" s="649" t="str">
        <f>IF(AND(DW$12&gt;=$E76,DW$12&lt;=$F76,MOD(DW$12,7)&gt;1,NOT(COUNTIF(General!$U$13:$U$19,DW$12))),$I76,"")</f>
        <v/>
      </c>
      <c r="DX76" s="649" t="str">
        <f>IF(AND(DX$12&gt;=$E76,DX$12&lt;=$F76,MOD(DX$12,7)&gt;1,NOT(COUNTIF(General!$U$13:$U$19,DX$12))),$I76,"")</f>
        <v/>
      </c>
      <c r="DY76" s="592" t="str">
        <f>IF(AND(DY$12&gt;=$E76,DY$12&lt;=$F76,MOD(DY$12,7)&gt;1,NOT(COUNTIF(General!$U$13:$U$19,DY$12))),$I76,"")</f>
        <v/>
      </c>
      <c r="DZ76" s="592" t="str">
        <f>IF(AND(DZ$12&gt;=$E76,DZ$12&lt;=$F76,MOD(DZ$12,7)&gt;1,NOT(COUNTIF(General!$U$13:$U$19,DZ$12))),$I76,"")</f>
        <v/>
      </c>
      <c r="EA76" s="592" t="str">
        <f>IF(AND(EA$12&gt;=$E76,EA$12&lt;=$F76,MOD(EA$12,7)&gt;1,NOT(COUNTIF(General!$U$13:$U$19,EA$12))),$I76,"")</f>
        <v/>
      </c>
      <c r="EB76" s="592" t="str">
        <f>IF(AND(EB$12&gt;=$E76,EB$12&lt;=$F76,MOD(EB$12,7)&gt;1,NOT(COUNTIF(General!$U$13:$U$19,EB$12))),$I76,"")</f>
        <v/>
      </c>
      <c r="EC76" s="592" t="str">
        <f>IF(AND(EC$12&gt;=$E76,EC$12&lt;=$F76,MOD(EC$12,7)&gt;1,NOT(COUNTIF(General!$U$13:$U$19,EC$12))),$I76,"")</f>
        <v/>
      </c>
      <c r="ED76" s="649" t="str">
        <f>IF(AND(ED$12&gt;=$E76,ED$12&lt;=$F76,MOD(ED$12,7)&gt;1,NOT(COUNTIF(General!$U$13:$U$19,ED$12))),$I76,"")</f>
        <v/>
      </c>
      <c r="EE76" s="649" t="str">
        <f>IF(AND(EE$12&gt;=$E76,EE$12&lt;=$F76,MOD(EE$12,7)&gt;1,NOT(COUNTIF(General!$U$13:$U$19,EE$12))),$I76,"")</f>
        <v/>
      </c>
      <c r="EF76" s="592" t="str">
        <f>IF(AND(EF$12&gt;=$E76,EF$12&lt;=$F76,MOD(EF$12,7)&gt;1,NOT(COUNTIF(General!$U$13:$U$19,EF$12))),$I76,"")</f>
        <v/>
      </c>
      <c r="EG76" s="592" t="str">
        <f>IF(AND(EG$12&gt;=$E76,EG$12&lt;=$F76,MOD(EG$12,7)&gt;1,NOT(COUNTIF(General!$U$13:$U$19,EG$12))),$I76,"")</f>
        <v/>
      </c>
      <c r="EH76" s="592" t="str">
        <f>IF(AND(EH$12&gt;=$E76,EH$12&lt;=$F76,MOD(EH$12,7)&gt;1,NOT(COUNTIF(General!$U$13:$U$19,EH$12))),$I76,"")</f>
        <v/>
      </c>
      <c r="EI76" s="592" t="str">
        <f>IF(AND(EI$12&gt;=$E76,EI$12&lt;=$F76,MOD(EI$12,7)&gt;1,NOT(COUNTIF(General!$U$13:$U$19,EI$12))),$I76,"")</f>
        <v/>
      </c>
      <c r="EJ76" s="592" t="str">
        <f>IF(AND(EJ$12&gt;=$E76,EJ$12&lt;=$F76,MOD(EJ$12,7)&gt;1,NOT(COUNTIF(General!$U$13:$U$19,EJ$12))),$I76,"")</f>
        <v/>
      </c>
      <c r="EK76" s="649" t="str">
        <f>IF(AND(EK$12&gt;=$E76,EK$12&lt;=$F76,MOD(EK$12,7)&gt;1,NOT(COUNTIF(General!$U$13:$U$19,EK$12))),$I76,"")</f>
        <v/>
      </c>
      <c r="EL76" s="649" t="str">
        <f>IF(AND(EL$12&gt;=$E76,EL$12&lt;=$F76,MOD(EL$12,7)&gt;1,NOT(COUNTIF(General!$U$13:$U$19,EL$12))),$I76,"")</f>
        <v/>
      </c>
      <c r="EM76" s="592" t="str">
        <f>IF(AND(EM$12&gt;=$E76,EM$12&lt;=$F76,MOD(EM$12,7)&gt;1,NOT(COUNTIF(General!$U$13:$U$19,EM$12))),$I76,"")</f>
        <v/>
      </c>
      <c r="EN76" s="592" t="str">
        <f>IF(AND(EN$12&gt;=$E76,EN$12&lt;=$F76,MOD(EN$12,7)&gt;1,NOT(COUNTIF(General!$U$13:$U$19,EN$12))),$I76,"")</f>
        <v/>
      </c>
      <c r="EO76" s="592" t="str">
        <f>IF(AND(EO$12&gt;=$E76,EO$12&lt;=$F76,MOD(EO$12,7)&gt;1,NOT(COUNTIF(General!$U$13:$U$19,EO$12))),$I76,"")</f>
        <v/>
      </c>
      <c r="EP76" s="592" t="str">
        <f>IF(AND(EP$12&gt;=$E76,EP$12&lt;=$F76,MOD(EP$12,7)&gt;1,NOT(COUNTIF(General!$U$13:$U$19,EP$12))),$I76,"")</f>
        <v/>
      </c>
      <c r="EQ76" s="592" t="str">
        <f>IF(AND(EQ$12&gt;=$E76,EQ$12&lt;=$F76,MOD(EQ$12,7)&gt;1,NOT(COUNTIF(General!$U$13:$U$19,EQ$12))),$I76,"")</f>
        <v/>
      </c>
      <c r="ER76" s="649" t="str">
        <f>IF(AND(ER$12&gt;=$E76,ER$12&lt;=$F76,MOD(ER$12,7)&gt;1,NOT(COUNTIF(General!$U$13:$U$19,ER$12))),$I76,"")</f>
        <v/>
      </c>
      <c r="ES76" s="649" t="str">
        <f>IF(AND(ES$12&gt;=$E76,ES$12&lt;=$F76,MOD(ES$12,7)&gt;1,NOT(COUNTIF(General!$U$13:$U$19,ES$12))),$I76,"")</f>
        <v/>
      </c>
      <c r="ET76" s="592" t="str">
        <f>IF(AND(ET$12&gt;=$E76,ET$12&lt;=$F76,MOD(ET$12,7)&gt;1,NOT(COUNTIF(General!$U$13:$U$19,ET$12))),$I76,"")</f>
        <v/>
      </c>
      <c r="EU76" s="592" t="str">
        <f>IF(AND(EU$12&gt;=$E76,EU$12&lt;=$F76,MOD(EU$12,7)&gt;1,NOT(COUNTIF(General!$U$13:$U$19,EU$12))),$I76,"")</f>
        <v/>
      </c>
      <c r="EV76" s="592" t="str">
        <f>IF(AND(EV$12&gt;=$E76,EV$12&lt;=$F76,MOD(EV$12,7)&gt;1,NOT(COUNTIF(General!$U$13:$U$19,EV$12))),$I76,"")</f>
        <v/>
      </c>
      <c r="EW76" s="592" t="str">
        <f>IF(AND(EW$12&gt;=$E76,EW$12&lt;=$F76,MOD(EW$12,7)&gt;1,NOT(COUNTIF(General!$U$13:$U$19,EW$12))),$I76,"")</f>
        <v/>
      </c>
      <c r="EX76" s="592" t="str">
        <f>IF(AND(EX$12&gt;=$E76,EX$12&lt;=$F76,MOD(EX$12,7)&gt;1,NOT(COUNTIF(General!$U$13:$U$19,EX$12))),$I76,"")</f>
        <v/>
      </c>
      <c r="EY76" s="649" t="str">
        <f>IF(AND(EY$12&gt;=$E76,EY$12&lt;=$F76,MOD(EY$12,7)&gt;1,NOT(COUNTIF(General!$U$13:$U$19,EY$12))),$I76,"")</f>
        <v/>
      </c>
      <c r="EZ76" s="649" t="str">
        <f>IF(AND(EZ$12&gt;=$E76,EZ$12&lt;=$F76,MOD(EZ$12,7)&gt;1,NOT(COUNTIF(General!$U$13:$U$19,EZ$12))),$I76,"")</f>
        <v/>
      </c>
      <c r="FA76" s="592" t="str">
        <f>IF(AND(FA$12&gt;=$E76,FA$12&lt;=$F76,MOD(FA$12,7)&gt;1,NOT(COUNTIF(General!$U$13:$U$19,FA$12))),$I76,"")</f>
        <v/>
      </c>
      <c r="FB76" s="592" t="str">
        <f>IF(AND(FB$12&gt;=$E76,FB$12&lt;=$F76,MOD(FB$12,7)&gt;1,NOT(COUNTIF(General!$U$13:$U$19,FB$12))),$I76,"")</f>
        <v/>
      </c>
      <c r="FC76" s="592" t="str">
        <f>IF(AND(FC$12&gt;=$E76,FC$12&lt;=$F76,MOD(FC$12,7)&gt;1,NOT(COUNTIF(General!$U$13:$U$19,FC$12))),$I76,"")</f>
        <v/>
      </c>
      <c r="FD76" s="592" t="str">
        <f>IF(AND(FD$12&gt;=$E76,FD$12&lt;=$F76,MOD(FD$12,7)&gt;1,NOT(COUNTIF(General!$U$13:$U$19,FD$12))),$I76,"")</f>
        <v/>
      </c>
      <c r="FE76" s="592" t="str">
        <f>IF(AND(FE$12&gt;=$E76,FE$12&lt;=$F76,MOD(FE$12,7)&gt;1,NOT(COUNTIF(General!$U$13:$U$19,FE$12))),$I76,"")</f>
        <v/>
      </c>
      <c r="FF76" s="649" t="str">
        <f>IF(AND(FF$12&gt;=$E76,FF$12&lt;=$F76,MOD(FF$12,7)&gt;1,NOT(COUNTIF(General!$U$13:$U$19,FF$12))),$I76,"")</f>
        <v/>
      </c>
      <c r="FG76" s="649" t="str">
        <f>IF(AND(FG$12&gt;=$E76,FG$12&lt;=$F76,MOD(FG$12,7)&gt;1,NOT(COUNTIF(General!$U$13:$U$19,FG$12))),$I76,"")</f>
        <v/>
      </c>
      <c r="FH76" s="592" t="str">
        <f>IF(AND(FH$12&gt;=$E76,FH$12&lt;=$F76,MOD(FH$12,7)&gt;1,NOT(COUNTIF(General!$U$13:$U$19,FH$12))),$I76,"")</f>
        <v/>
      </c>
      <c r="FI76" s="592" t="str">
        <f>IF(AND(FI$12&gt;=$E76,FI$12&lt;=$F76,MOD(FI$12,7)&gt;1,NOT(COUNTIF(General!$U$13:$U$19,FI$12))),$I76,"")</f>
        <v/>
      </c>
      <c r="FJ76" s="592" t="str">
        <f>IF(AND(FJ$12&gt;=$E76,FJ$12&lt;=$F76,MOD(FJ$12,7)&gt;1,NOT(COUNTIF(General!$U$13:$U$19,FJ$12))),$I76,"")</f>
        <v/>
      </c>
      <c r="FK76" s="592" t="str">
        <f>IF(AND(FK$12&gt;=$E76,FK$12&lt;=$F76,MOD(FK$12,7)&gt;1,NOT(COUNTIF(General!$U$13:$U$19,FK$12))),$I76,"")</f>
        <v/>
      </c>
      <c r="FL76" s="592" t="str">
        <f>IF(AND(FL$12&gt;=$E76,FL$12&lt;=$F76,MOD(FL$12,7)&gt;1,NOT(COUNTIF(General!$U$13:$U$19,FL$12))),$I76,"")</f>
        <v/>
      </c>
      <c r="FM76" s="649" t="str">
        <f>IF(AND(FM$12&gt;=$E76,FM$12&lt;=$F76,MOD(FM$12,7)&gt;1,NOT(COUNTIF(General!$U$13:$U$19,FM$12))),$I76,"")</f>
        <v/>
      </c>
      <c r="FN76" s="649" t="str">
        <f>IF(AND(FN$12&gt;=$E76,FN$12&lt;=$F76,MOD(FN$12,7)&gt;1,NOT(COUNTIF(General!$U$13:$U$19,FN$12))),$I76,"")</f>
        <v/>
      </c>
      <c r="FO76" s="592" t="str">
        <f>IF(AND(FO$12&gt;=$E76,FO$12&lt;=$F76,MOD(FO$12,7)&gt;1,NOT(COUNTIF(General!$U$13:$U$19,FO$12))),$I76,"")</f>
        <v/>
      </c>
      <c r="FP76" s="592" t="str">
        <f>IF(AND(FP$12&gt;=$E76,FP$12&lt;=$F76,MOD(FP$12,7)&gt;1,NOT(COUNTIF(General!$U$13:$U$19,FP$12))),$I76,"")</f>
        <v/>
      </c>
      <c r="FQ76" s="592" t="str">
        <f>IF(AND(FQ$12&gt;=$E76,FQ$12&lt;=$F76,MOD(FQ$12,7)&gt;1,NOT(COUNTIF(General!$U$13:$U$19,FQ$12))),$I76,"")</f>
        <v/>
      </c>
      <c r="FR76" s="592" t="str">
        <f>IF(AND(FR$12&gt;=$E76,FR$12&lt;=$F76,MOD(FR$12,7)&gt;1,NOT(COUNTIF(General!$U$13:$U$19,FR$12))),$I76,"")</f>
        <v/>
      </c>
      <c r="FS76" s="592" t="str">
        <f>IF(AND(FS$12&gt;=$E76,FS$12&lt;=$F76,MOD(FS$12,7)&gt;1,NOT(COUNTIF(General!$U$13:$U$19,FS$12))),$I76,"")</f>
        <v/>
      </c>
      <c r="FT76" s="649" t="str">
        <f>IF(AND(FT$12&gt;=$E76,FT$12&lt;=$F76,MOD(FT$12,7)&gt;1,NOT(COUNTIF(General!$U$13:$U$19,FT$12))),$I76,"")</f>
        <v/>
      </c>
      <c r="FU76" s="649" t="str">
        <f>IF(AND(FU$12&gt;=$E76,FU$12&lt;=$F76,MOD(FU$12,7)&gt;1,NOT(COUNTIF(General!$U$13:$U$19,FU$12))),$I76,"")</f>
        <v/>
      </c>
      <c r="FV76" s="592" t="str">
        <f>IF(AND(FV$12&gt;=$E76,FV$12&lt;=$F76,MOD(FV$12,7)&gt;1,NOT(COUNTIF(General!$U$13:$U$19,FV$12))),$I76,"")</f>
        <v/>
      </c>
      <c r="FW76" s="592" t="str">
        <f>IF(AND(FW$12&gt;=$E76,FW$12&lt;=$F76,MOD(FW$12,7)&gt;1,NOT(COUNTIF(General!$U$13:$U$19,FW$12))),$I76,"")</f>
        <v/>
      </c>
      <c r="FX76" s="592" t="str">
        <f>IF(AND(FX$12&gt;=$E76,FX$12&lt;=$F76,MOD(FX$12,7)&gt;1,NOT(COUNTIF(General!$U$13:$U$19,FX$12))),$I76,"")</f>
        <v/>
      </c>
    </row>
    <row r="77">
      <c r="A77" s="644"/>
      <c r="B77" s="592"/>
      <c r="C77" s="592"/>
      <c r="D77" s="650" t="s">
        <v>593</v>
      </c>
      <c r="E77" s="646"/>
      <c r="F77" s="646"/>
      <c r="G77" s="647"/>
      <c r="H77" s="585"/>
      <c r="I77" s="592"/>
      <c r="J77" s="648"/>
      <c r="K77" s="588"/>
      <c r="L77" s="588"/>
      <c r="M77" s="589"/>
      <c r="N77" s="590"/>
      <c r="O77" s="591"/>
      <c r="P77" s="592"/>
      <c r="Q77" s="592" t="str">
        <f>IF(AND(Q$12&gt;=$E77,Q$12&lt;=$F77,MOD(Q$12,7)&gt;1,NOT(COUNTIF(General!$U$13:$U$19,Q$12))),$I77,"")</f>
        <v/>
      </c>
      <c r="R77" s="592" t="str">
        <f>IF(AND(R$12&gt;=$E77,R$12&lt;=$F77,MOD(R$12,7)&gt;1,NOT(COUNTIF(General!$U$13:$U$19,R$12))),$I77,"")</f>
        <v/>
      </c>
      <c r="S77" s="592" t="str">
        <f>IF(AND(S$12&gt;=$E77,S$12&lt;=$F77,MOD(S$12,7)&gt;1,NOT(COUNTIF(General!$U$13:$U$19,S$12))),$I77,"")</f>
        <v/>
      </c>
      <c r="T77" s="592" t="str">
        <f>IF(AND(T$12&gt;=$E77,T$12&lt;=$F77,MOD(T$12,7)&gt;1,NOT(COUNTIF(General!$U$13:$U$19,T$12))),$I77,"")</f>
        <v/>
      </c>
      <c r="U77" s="592" t="str">
        <f>IF(AND(U$12&gt;=$E77,U$12&lt;=$F77,MOD(U$12,7)&gt;1,NOT(COUNTIF(General!$U$13:$U$19,U$12))),$I77,"")</f>
        <v/>
      </c>
      <c r="V77" s="649" t="str">
        <f>IF(AND(V$12&gt;=$E77,V$12&lt;=$F77,MOD(V$12,7)&gt;1,NOT(COUNTIF(General!$U$13:$U$19,V$12))),$I77,"")</f>
        <v/>
      </c>
      <c r="W77" s="649" t="str">
        <f>IF(AND(W$12&gt;=$E77,W$12&lt;=$F77,MOD(W$12,7)&gt;1,NOT(COUNTIF(General!$U$13:$U$19,W$12))),$I77,"")</f>
        <v/>
      </c>
      <c r="X77" s="592" t="str">
        <f>IF(AND(X$12&gt;=$E77,X$12&lt;=$F77,MOD(X$12,7)&gt;1,NOT(COUNTIF(General!$U$13:$U$19,X$12))),$I77,"")</f>
        <v/>
      </c>
      <c r="Y77" s="592" t="str">
        <f>IF(AND(Y$12&gt;=$E77,Y$12&lt;=$F77,MOD(Y$12,7)&gt;1,NOT(COUNTIF(General!$U$13:$U$19,Y$12))),$I77,"")</f>
        <v/>
      </c>
      <c r="Z77" s="592" t="str">
        <f>IF(AND(Z$12&gt;=$E77,Z$12&lt;=$F77,MOD(Z$12,7)&gt;1,NOT(COUNTIF(General!$U$13:$U$19,Z$12))),$I77,"")</f>
        <v/>
      </c>
      <c r="AA77" s="592" t="str">
        <f>IF(AND(AA$12&gt;=$E77,AA$12&lt;=$F77,MOD(AA$12,7)&gt;1,NOT(COUNTIF(General!$U$13:$U$19,AA$12))),$I77,"")</f>
        <v/>
      </c>
      <c r="AB77" s="592" t="str">
        <f>IF(AND(AB$12&gt;=$E77,AB$12&lt;=$F77,MOD(AB$12,7)&gt;1,NOT(COUNTIF(General!$U$13:$U$19,AB$12))),$I77,"")</f>
        <v/>
      </c>
      <c r="AC77" s="649" t="str">
        <f>IF(AND(AC$12&gt;=$E77,AC$12&lt;=$F77,MOD(AC$12,7)&gt;1,NOT(COUNTIF(General!$U$13:$U$19,AC$12))),$I77,"")</f>
        <v/>
      </c>
      <c r="AD77" s="649" t="str">
        <f>IF(AND(AD$12&gt;=$E77,AD$12&lt;=$F77,MOD(AD$12,7)&gt;1,NOT(COUNTIF(General!$U$13:$U$19,AD$12))),$I77,"")</f>
        <v/>
      </c>
      <c r="AE77" s="592" t="str">
        <f>IF(AND(AE$12&gt;=$E77,AE$12&lt;=$F77,MOD(AE$12,7)&gt;1,NOT(COUNTIF(General!$U$13:$U$19,AE$12))),$I77,"")</f>
        <v/>
      </c>
      <c r="AF77" s="592" t="str">
        <f>IF(AND(AF$12&gt;=$E77,AF$12&lt;=$F77,MOD(AF$12,7)&gt;1,NOT(COUNTIF(General!$U$13:$U$19,AF$12))),$I77,"")</f>
        <v/>
      </c>
      <c r="AG77" s="592" t="str">
        <f>IF(AND(AG$12&gt;=$E77,AG$12&lt;=$F77,MOD(AG$12,7)&gt;1,NOT(COUNTIF(General!$U$13:$U$19,AG$12))),$I77,"")</f>
        <v/>
      </c>
      <c r="AH77" s="592" t="str">
        <f>IF(AND(AH$12&gt;=$E77,AH$12&lt;=$F77,MOD(AH$12,7)&gt;1,NOT(COUNTIF(General!$U$13:$U$19,AH$12))),$I77,"")</f>
        <v/>
      </c>
      <c r="AI77" s="592" t="str">
        <f>IF(AND(AI$12&gt;=$E77,AI$12&lt;=$F77,MOD(AI$12,7)&gt;1,NOT(COUNTIF(General!$U$13:$U$19,AI$12))),$I77,"")</f>
        <v/>
      </c>
      <c r="AJ77" s="649" t="str">
        <f>IF(AND(AJ$12&gt;=$E77,AJ$12&lt;=$F77,MOD(AJ$12,7)&gt;1,NOT(COUNTIF(General!$U$13:$U$19,AJ$12))),$I77,"")</f>
        <v/>
      </c>
      <c r="AK77" s="649" t="str">
        <f>IF(AND(AK$12&gt;=$E77,AK$12&lt;=$F77,MOD(AK$12,7)&gt;1,NOT(COUNTIF(General!$U$13:$U$19,AK$12))),$I77,"")</f>
        <v/>
      </c>
      <c r="AL77" s="592" t="str">
        <f>IF(AND(AL$12&gt;=$E77,AL$12&lt;=$F77,MOD(AL$12,7)&gt;1,NOT(COUNTIF(General!$U$13:$U$19,AL$12))),$I77,"")</f>
        <v/>
      </c>
      <c r="AM77" s="592" t="str">
        <f>IF(AND(AM$12&gt;=$E77,AM$12&lt;=$F77,MOD(AM$12,7)&gt;1,NOT(COUNTIF(General!$U$13:$U$19,AM$12))),$I77,"")</f>
        <v/>
      </c>
      <c r="AN77" s="592" t="str">
        <f>IF(AND(AN$12&gt;=$E77,AN$12&lt;=$F77,MOD(AN$12,7)&gt;1,NOT(COUNTIF(General!$U$13:$U$19,AN$12))),$I77,"")</f>
        <v/>
      </c>
      <c r="AO77" s="592" t="str">
        <f>IF(AND(AO$12&gt;=$E77,AO$12&lt;=$F77,MOD(AO$12,7)&gt;1,NOT(COUNTIF(General!$U$13:$U$19,AO$12))),$I77,"")</f>
        <v/>
      </c>
      <c r="AP77" s="592" t="str">
        <f>IF(AND(AP$12&gt;=$E77,AP$12&lt;=$F77,MOD(AP$12,7)&gt;1,NOT(COUNTIF(General!$U$13:$U$19,AP$12))),$I77,"")</f>
        <v/>
      </c>
      <c r="AQ77" s="649" t="str">
        <f>IF(AND(AQ$12&gt;=$E77,AQ$12&lt;=$F77,MOD(AQ$12,7)&gt;1,NOT(COUNTIF(General!$U$13:$U$19,AQ$12))),$I77,"")</f>
        <v/>
      </c>
      <c r="AR77" s="649" t="str">
        <f>IF(AND(AR$12&gt;=$E77,AR$12&lt;=$F77,MOD(AR$12,7)&gt;1,NOT(COUNTIF(General!$U$13:$U$19,AR$12))),$I77,"")</f>
        <v/>
      </c>
      <c r="AS77" s="592" t="str">
        <f>IF(AND(AS$12&gt;=$E77,AS$12&lt;=$F77,MOD(AS$12,7)&gt;1,NOT(COUNTIF(General!$U$13:$U$19,AS$12))),$I77,"")</f>
        <v/>
      </c>
      <c r="AT77" s="592" t="str">
        <f>IF(AND(AT$12&gt;=$E77,AT$12&lt;=$F77,MOD(AT$12,7)&gt;1,NOT(COUNTIF(General!$U$13:$U$19,AT$12))),$I77,"")</f>
        <v/>
      </c>
      <c r="AU77" s="592" t="str">
        <f>IF(AND(AU$12&gt;=$E77,AU$12&lt;=$F77,MOD(AU$12,7)&gt;1,NOT(COUNTIF(General!$U$13:$U$19,AU$12))),$I77,"")</f>
        <v/>
      </c>
      <c r="AV77" s="592" t="str">
        <f>IF(AND(AV$12&gt;=$E77,AV$12&lt;=$F77,MOD(AV$12,7)&gt;1,NOT(COUNTIF(General!$U$13:$U$19,AV$12))),$I77,"")</f>
        <v/>
      </c>
      <c r="AW77" s="592" t="str">
        <f>IF(AND(AW$12&gt;=$E77,AW$12&lt;=$F77,MOD(AW$12,7)&gt;1,NOT(COUNTIF(General!$U$13:$U$19,AW$12))),$I77,"")</f>
        <v/>
      </c>
      <c r="AX77" s="649" t="str">
        <f>IF(AND(AX$12&gt;=$E77,AX$12&lt;=$F77,MOD(AX$12,7)&gt;1,NOT(COUNTIF(General!$U$13:$U$19,AX$12))),$I77,"")</f>
        <v/>
      </c>
      <c r="AY77" s="649" t="str">
        <f>IF(AND(AY$12&gt;=$E77,AY$12&lt;=$F77,MOD(AY$12,7)&gt;1,NOT(COUNTIF(General!$U$13:$U$19,AY$12))),$I77,"")</f>
        <v/>
      </c>
      <c r="AZ77" s="592" t="str">
        <f>IF(AND(AZ$12&gt;=$E77,AZ$12&lt;=$F77,MOD(AZ$12,7)&gt;1,NOT(COUNTIF(General!$U$13:$U$19,AZ$12))),$I77,"")</f>
        <v/>
      </c>
      <c r="BA77" s="592" t="str">
        <f>IF(AND(BA$12&gt;=$E77,BA$12&lt;=$F77,MOD(BA$12,7)&gt;1,NOT(COUNTIF(General!$U$13:$U$19,BA$12))),$I77,"")</f>
        <v/>
      </c>
      <c r="BB77" s="592" t="str">
        <f>IF(AND(BB$12&gt;=$E77,BB$12&lt;=$F77,MOD(BB$12,7)&gt;1,NOT(COUNTIF(General!$U$13:$U$19,BB$12))),$I77,"")</f>
        <v/>
      </c>
      <c r="BC77" s="592" t="str">
        <f>IF(AND(BC$12&gt;=$E77,BC$12&lt;=$F77,MOD(BC$12,7)&gt;1,NOT(COUNTIF(General!$U$13:$U$19,BC$12))),$I77,"")</f>
        <v/>
      </c>
      <c r="BD77" s="592" t="str">
        <f>IF(AND(BD$12&gt;=$E77,BD$12&lt;=$F77,MOD(BD$12,7)&gt;1,NOT(COUNTIF(General!$U$13:$U$19,BD$12))),$I77,"")</f>
        <v/>
      </c>
      <c r="BE77" s="649" t="str">
        <f>IF(AND(BE$12&gt;=$E77,BE$12&lt;=$F77,MOD(BE$12,7)&gt;1,NOT(COUNTIF(General!$U$13:$U$19,BE$12))),$I77,"")</f>
        <v/>
      </c>
      <c r="BF77" s="649" t="str">
        <f>IF(AND(BF$12&gt;=$E77,BF$12&lt;=$F77,MOD(BF$12,7)&gt;1,NOT(COUNTIF(General!$U$13:$U$19,BF$12))),$I77,"")</f>
        <v/>
      </c>
      <c r="BG77" s="592" t="str">
        <f>IF(AND(BG$12&gt;=$E77,BG$12&lt;=$F77,MOD(BG$12,7)&gt;1,NOT(COUNTIF(General!$U$13:$U$19,BG$12))),$I77,"")</f>
        <v/>
      </c>
      <c r="BH77" s="592" t="str">
        <f>IF(AND(BH$12&gt;=$E77,BH$12&lt;=$F77,MOD(BH$12,7)&gt;1,NOT(COUNTIF(General!$U$13:$U$19,BH$12))),$I77,"")</f>
        <v/>
      </c>
      <c r="BI77" s="592" t="str">
        <f>IF(AND(BI$12&gt;=$E77,BI$12&lt;=$F77,MOD(BI$12,7)&gt;1,NOT(COUNTIF(General!$U$13:$U$19,BI$12))),$I77,"")</f>
        <v/>
      </c>
      <c r="BJ77" s="592" t="str">
        <f>IF(AND(BJ$12&gt;=$E77,BJ$12&lt;=$F77,MOD(BJ$12,7)&gt;1,NOT(COUNTIF(General!$U$13:$U$19,BJ$12))),$I77,"")</f>
        <v/>
      </c>
      <c r="BK77" s="592" t="str">
        <f>IF(AND(BK$12&gt;=$E77,BK$12&lt;=$F77,MOD(BK$12,7)&gt;1,NOT(COUNTIF(General!$U$13:$U$19,BK$12))),$I77,"")</f>
        <v/>
      </c>
      <c r="BL77" s="649" t="str">
        <f>IF(AND(BL$12&gt;=$E77,BL$12&lt;=$F77,MOD(BL$12,7)&gt;1,NOT(COUNTIF(General!$U$13:$U$19,BL$12))),$I77,"")</f>
        <v/>
      </c>
      <c r="BM77" s="649" t="str">
        <f>IF(AND(BM$12&gt;=$E77,BM$12&lt;=$F77,MOD(BM$12,7)&gt;1,NOT(COUNTIF(General!$U$13:$U$19,BM$12))),$I77,"")</f>
        <v/>
      </c>
      <c r="BN77" s="592" t="str">
        <f>IF(AND(BN$12&gt;=$E77,BN$12&lt;=$F77,MOD(BN$12,7)&gt;1,NOT(COUNTIF(General!$U$13:$U$19,BN$12))),$I77,"")</f>
        <v/>
      </c>
      <c r="BO77" s="592" t="str">
        <f>IF(AND(BO$12&gt;=$E77,BO$12&lt;=$F77,MOD(BO$12,7)&gt;1,NOT(COUNTIF(General!$U$13:$U$19,BO$12))),$I77,"")</f>
        <v/>
      </c>
      <c r="BP77" s="592" t="str">
        <f>IF(AND(BP$12&gt;=$E77,BP$12&lt;=$F77,MOD(BP$12,7)&gt;1,NOT(COUNTIF(General!$U$13:$U$19,BP$12))),$I77,"")</f>
        <v/>
      </c>
      <c r="BQ77" s="592" t="str">
        <f>IF(AND(BQ$12&gt;=$E77,BQ$12&lt;=$F77,MOD(BQ$12,7)&gt;1,NOT(COUNTIF(General!$U$13:$U$19,BQ$12))),$I77,"")</f>
        <v/>
      </c>
      <c r="BR77" s="592" t="str">
        <f>IF(AND(BR$12&gt;=$E77,BR$12&lt;=$F77,MOD(BR$12,7)&gt;1,NOT(COUNTIF(General!$U$13:$U$19,BR$12))),$I77,"")</f>
        <v/>
      </c>
      <c r="BS77" s="649" t="str">
        <f>IF(AND(BS$12&gt;=$E77,BS$12&lt;=$F77,MOD(BS$12,7)&gt;1,NOT(COUNTIF(General!$U$13:$U$19,BS$12))),$I77,"")</f>
        <v/>
      </c>
      <c r="BT77" s="649" t="str">
        <f>IF(AND(BT$12&gt;=$E77,BT$12&lt;=$F77,MOD(BT$12,7)&gt;1,NOT(COUNTIF(General!$U$13:$U$19,BT$12))),$I77,"")</f>
        <v/>
      </c>
      <c r="BU77" s="592" t="str">
        <f>IF(AND(BU$12&gt;=$E77,BU$12&lt;=$F77,MOD(BU$12,7)&gt;1,NOT(COUNTIF(General!$U$13:$U$19,BU$12))),$I77,"")</f>
        <v/>
      </c>
      <c r="BV77" s="592" t="str">
        <f>IF(AND(BV$12&gt;=$E77,BV$12&lt;=$F77,MOD(BV$12,7)&gt;1,NOT(COUNTIF(General!$U$13:$U$19,BV$12))),$I77,"")</f>
        <v/>
      </c>
      <c r="BW77" s="592" t="str">
        <f>IF(AND(BW$12&gt;=$E77,BW$12&lt;=$F77,MOD(BW$12,7)&gt;1,NOT(COUNTIF(General!$U$13:$U$19,BW$12))),$I77,"")</f>
        <v/>
      </c>
      <c r="BX77" s="592" t="str">
        <f>IF(AND(BX$12&gt;=$E77,BX$12&lt;=$F77,MOD(BX$12,7)&gt;1,NOT(COUNTIF(General!$U$13:$U$19,BX$12))),$I77,"")</f>
        <v/>
      </c>
      <c r="BY77" s="592" t="str">
        <f>IF(AND(BY$12&gt;=$E77,BY$12&lt;=$F77,MOD(BY$12,7)&gt;1,NOT(COUNTIF(General!$U$13:$U$19,BY$12))),$I77,"")</f>
        <v/>
      </c>
      <c r="BZ77" s="649" t="str">
        <f>IF(AND(BZ$12&gt;=$E77,BZ$12&lt;=$F77,MOD(BZ$12,7)&gt;1,NOT(COUNTIF(General!$U$13:$U$19,BZ$12))),$I77,"")</f>
        <v/>
      </c>
      <c r="CA77" s="649" t="str">
        <f>IF(AND(CA$12&gt;=$E77,CA$12&lt;=$F77,MOD(CA$12,7)&gt;1,NOT(COUNTIF(General!$U$13:$U$19,CA$12))),$I77,"")</f>
        <v/>
      </c>
      <c r="CB77" s="592" t="str">
        <f>IF(AND(CB$12&gt;=$E77,CB$12&lt;=$F77,MOD(CB$12,7)&gt;1,NOT(COUNTIF(General!$U$13:$U$19,CB$12))),$I77,"")</f>
        <v/>
      </c>
      <c r="CC77" s="592" t="str">
        <f>IF(AND(CC$12&gt;=$E77,CC$12&lt;=$F77,MOD(CC$12,7)&gt;1,NOT(COUNTIF(General!$U$13:$U$19,CC$12))),$I77,"")</f>
        <v/>
      </c>
      <c r="CD77" s="592" t="str">
        <f>IF(AND(CD$12&gt;=$E77,CD$12&lt;=$F77,MOD(CD$12,7)&gt;1,NOT(COUNTIF(General!$U$13:$U$19,CD$12))),$I77,"")</f>
        <v/>
      </c>
      <c r="CE77" s="592" t="str">
        <f>IF(AND(CE$12&gt;=$E77,CE$12&lt;=$F77,MOD(CE$12,7)&gt;1,NOT(COUNTIF(General!$U$13:$U$19,CE$12))),$I77,"")</f>
        <v/>
      </c>
      <c r="CF77" s="592" t="str">
        <f>IF(AND(CF$12&gt;=$E77,CF$12&lt;=$F77,MOD(CF$12,7)&gt;1,NOT(COUNTIF(General!$U$13:$U$19,CF$12))),$I77,"")</f>
        <v/>
      </c>
      <c r="CG77" s="649" t="str">
        <f>IF(AND(CG$12&gt;=$E77,CG$12&lt;=$F77,MOD(CG$12,7)&gt;1,NOT(COUNTIF(General!$U$13:$U$19,CG$12))),$I77,"")</f>
        <v/>
      </c>
      <c r="CH77" s="649" t="str">
        <f>IF(AND(CH$12&gt;=$E77,CH$12&lt;=$F77,MOD(CH$12,7)&gt;1,NOT(COUNTIF(General!$U$13:$U$19,CH$12))),$I77,"")</f>
        <v/>
      </c>
      <c r="CI77" s="592" t="str">
        <f>IF(AND(CI$12&gt;=$E77,CI$12&lt;=$F77,MOD(CI$12,7)&gt;1,NOT(COUNTIF(General!$U$13:$U$19,CI$12))),$I77,"")</f>
        <v/>
      </c>
      <c r="CJ77" s="592" t="str">
        <f>IF(AND(CJ$12&gt;=$E77,CJ$12&lt;=$F77,MOD(CJ$12,7)&gt;1,NOT(COUNTIF(General!$U$13:$U$19,CJ$12))),$I77,"")</f>
        <v/>
      </c>
      <c r="CK77" s="592" t="str">
        <f>IF(AND(CK$12&gt;=$E77,CK$12&lt;=$F77,MOD(CK$12,7)&gt;1,NOT(COUNTIF(General!$U$13:$U$19,CK$12))),$I77,"")</f>
        <v/>
      </c>
      <c r="CL77" s="592" t="str">
        <f>IF(AND(CL$12&gt;=$E77,CL$12&lt;=$F77,MOD(CL$12,7)&gt;1,NOT(COUNTIF(General!$U$13:$U$19,CL$12))),$I77,"")</f>
        <v/>
      </c>
      <c r="CM77" s="592" t="str">
        <f>IF(AND(CM$12&gt;=$E77,CM$12&lt;=$F77,MOD(CM$12,7)&gt;1,NOT(COUNTIF(General!$U$13:$U$19,CM$12))),$I77,"")</f>
        <v/>
      </c>
      <c r="CN77" s="649" t="str">
        <f>IF(AND(CN$12&gt;=$E77,CN$12&lt;=$F77,MOD(CN$12,7)&gt;1,NOT(COUNTIF(General!$U$13:$U$19,CN$12))),$I77,"")</f>
        <v/>
      </c>
      <c r="CO77" s="649" t="str">
        <f>IF(AND(CO$12&gt;=$E77,CO$12&lt;=$F77,MOD(CO$12,7)&gt;1,NOT(COUNTIF(General!$U$13:$U$19,CO$12))),$I77,"")</f>
        <v/>
      </c>
      <c r="CP77" s="592" t="str">
        <f>IF(AND(CP$12&gt;=$E77,CP$12&lt;=$F77,MOD(CP$12,7)&gt;1,NOT(COUNTIF(General!$U$13:$U$19,CP$12))),$I77,"")</f>
        <v/>
      </c>
      <c r="CQ77" s="592" t="str">
        <f>IF(AND(CQ$12&gt;=$E77,CQ$12&lt;=$F77,MOD(CQ$12,7)&gt;1,NOT(COUNTIF(General!$U$13:$U$19,CQ$12))),$I77,"")</f>
        <v/>
      </c>
      <c r="CR77" s="592" t="str">
        <f>IF(AND(CR$12&gt;=$E77,CR$12&lt;=$F77,MOD(CR$12,7)&gt;1,NOT(COUNTIF(General!$U$13:$U$19,CR$12))),$I77,"")</f>
        <v/>
      </c>
      <c r="CS77" s="592" t="str">
        <f>IF(AND(CS$12&gt;=$E77,CS$12&lt;=$F77,MOD(CS$12,7)&gt;1,NOT(COUNTIF(General!$U$13:$U$19,CS$12))),$I77,"")</f>
        <v/>
      </c>
      <c r="CT77" s="592" t="str">
        <f>IF(AND(CT$12&gt;=$E77,CT$12&lt;=$F77,MOD(CT$12,7)&gt;1,NOT(COUNTIF(General!$U$13:$U$19,CT$12))),$I77,"")</f>
        <v/>
      </c>
      <c r="CU77" s="649" t="str">
        <f>IF(AND(CU$12&gt;=$E77,CU$12&lt;=$F77,MOD(CU$12,7)&gt;1,NOT(COUNTIF(General!$U$13:$U$19,CU$12))),$I77,"")</f>
        <v/>
      </c>
      <c r="CV77" s="649" t="str">
        <f>IF(AND(CV$12&gt;=$E77,CV$12&lt;=$F77,MOD(CV$12,7)&gt;1,NOT(COUNTIF(General!$U$13:$U$19,CV$12))),$I77,"")</f>
        <v/>
      </c>
      <c r="CW77" s="592" t="str">
        <f>IF(AND(CW$12&gt;=$E77,CW$12&lt;=$F77,MOD(CW$12,7)&gt;1,NOT(COUNTIF(General!$U$13:$U$19,CW$12))),$I77,"")</f>
        <v/>
      </c>
      <c r="CX77" s="592" t="str">
        <f>IF(AND(CX$12&gt;=$E77,CX$12&lt;=$F77,MOD(CX$12,7)&gt;1,NOT(COUNTIF(General!$U$13:$U$19,CX$12))),$I77,"")</f>
        <v/>
      </c>
      <c r="CY77" s="592" t="str">
        <f>IF(AND(CY$12&gt;=$E77,CY$12&lt;=$F77,MOD(CY$12,7)&gt;1,NOT(COUNTIF(General!$U$13:$U$19,CY$12))),$I77,"")</f>
        <v/>
      </c>
      <c r="CZ77" s="592" t="str">
        <f>IF(AND(CZ$12&gt;=$E77,CZ$12&lt;=$F77,MOD(CZ$12,7)&gt;1,NOT(COUNTIF(General!$U$13:$U$19,CZ$12))),$I77,"")</f>
        <v/>
      </c>
      <c r="DA77" s="592" t="str">
        <f>IF(AND(DA$12&gt;=$E77,DA$12&lt;=$F77,MOD(DA$12,7)&gt;1,NOT(COUNTIF(General!$U$13:$U$19,DA$12))),$I77,"")</f>
        <v/>
      </c>
      <c r="DB77" s="649" t="str">
        <f>IF(AND(DB$12&gt;=$E77,DB$12&lt;=$F77,MOD(DB$12,7)&gt;1,NOT(COUNTIF(General!$U$13:$U$19,DB$12))),$I77,"")</f>
        <v/>
      </c>
      <c r="DC77" s="649" t="str">
        <f>IF(AND(DC$12&gt;=$E77,DC$12&lt;=$F77,MOD(DC$12,7)&gt;1,NOT(COUNTIF(General!$U$13:$U$19,DC$12))),$I77,"")</f>
        <v/>
      </c>
      <c r="DD77" s="592" t="str">
        <f>IF(AND(DD$12&gt;=$E77,DD$12&lt;=$F77,MOD(DD$12,7)&gt;1,NOT(COUNTIF(General!$U$13:$U$19,DD$12))),$I77,"")</f>
        <v/>
      </c>
      <c r="DE77" s="592" t="str">
        <f>IF(AND(DE$12&gt;=$E77,DE$12&lt;=$F77,MOD(DE$12,7)&gt;1,NOT(COUNTIF(General!$U$13:$U$19,DE$12))),$I77,"")</f>
        <v/>
      </c>
      <c r="DF77" s="592" t="str">
        <f>IF(AND(DF$12&gt;=$E77,DF$12&lt;=$F77,MOD(DF$12,7)&gt;1,NOT(COUNTIF(General!$U$13:$U$19,DF$12))),$I77,"")</f>
        <v/>
      </c>
      <c r="DG77" s="592" t="str">
        <f>IF(AND(DG$12&gt;=$E77,DG$12&lt;=$F77,MOD(DG$12,7)&gt;1,NOT(COUNTIF(General!$U$13:$U$19,DG$12))),$I77,"")</f>
        <v/>
      </c>
      <c r="DH77" s="592" t="str">
        <f>IF(AND(DH$12&gt;=$E77,DH$12&lt;=$F77,MOD(DH$12,7)&gt;1,NOT(COUNTIF(General!$U$13:$U$19,DH$12))),$I77,"")</f>
        <v/>
      </c>
      <c r="DI77" s="649" t="str">
        <f>IF(AND(DI$12&gt;=$E77,DI$12&lt;=$F77,MOD(DI$12,7)&gt;1,NOT(COUNTIF(General!$U$13:$U$19,DI$12))),$I77,"")</f>
        <v/>
      </c>
      <c r="DJ77" s="649" t="str">
        <f>IF(AND(DJ$12&gt;=$E77,DJ$12&lt;=$F77,MOD(DJ$12,7)&gt;1,NOT(COUNTIF(General!$U$13:$U$19,DJ$12))),$I77,"")</f>
        <v/>
      </c>
      <c r="DK77" s="592" t="str">
        <f>IF(AND(DK$12&gt;=$E77,DK$12&lt;=$F77,MOD(DK$12,7)&gt;1,NOT(COUNTIF(General!$U$13:$U$19,DK$12))),$I77,"")</f>
        <v/>
      </c>
      <c r="DL77" s="592" t="str">
        <f>IF(AND(DL$12&gt;=$E77,DL$12&lt;=$F77,MOD(DL$12,7)&gt;1,NOT(COUNTIF(General!$U$13:$U$19,DL$12))),$I77,"")</f>
        <v/>
      </c>
      <c r="DM77" s="592" t="str">
        <f>IF(AND(DM$12&gt;=$E77,DM$12&lt;=$F77,MOD(DM$12,7)&gt;1,NOT(COUNTIF(General!$U$13:$U$19,DM$12))),$I77,"")</f>
        <v/>
      </c>
      <c r="DN77" s="592" t="str">
        <f>IF(AND(DN$12&gt;=$E77,DN$12&lt;=$F77,MOD(DN$12,7)&gt;1,NOT(COUNTIF(General!$U$13:$U$19,DN$12))),$I77,"")</f>
        <v/>
      </c>
      <c r="DO77" s="592" t="str">
        <f>IF(AND(DO$12&gt;=$E77,DO$12&lt;=$F77,MOD(DO$12,7)&gt;1,NOT(COUNTIF(General!$U$13:$U$19,DO$12))),$I77,"")</f>
        <v/>
      </c>
      <c r="DP77" s="649" t="str">
        <f>IF(AND(DP$12&gt;=$E77,DP$12&lt;=$F77,MOD(DP$12,7)&gt;1,NOT(COUNTIF(General!$U$13:$U$19,DP$12))),$I77,"")</f>
        <v/>
      </c>
      <c r="DQ77" s="649" t="str">
        <f>IF(AND(DQ$12&gt;=$E77,DQ$12&lt;=$F77,MOD(DQ$12,7)&gt;1,NOT(COUNTIF(General!$U$13:$U$19,DQ$12))),$I77,"")</f>
        <v/>
      </c>
      <c r="DR77" s="592" t="str">
        <f>IF(AND(DR$12&gt;=$E77,DR$12&lt;=$F77,MOD(DR$12,7)&gt;1,NOT(COUNTIF(General!$U$13:$U$19,DR$12))),$I77,"")</f>
        <v/>
      </c>
      <c r="DS77" s="592" t="str">
        <f>IF(AND(DS$12&gt;=$E77,DS$12&lt;=$F77,MOD(DS$12,7)&gt;1,NOT(COUNTIF(General!$U$13:$U$19,DS$12))),$I77,"")</f>
        <v/>
      </c>
      <c r="DT77" s="592" t="str">
        <f>IF(AND(DT$12&gt;=$E77,DT$12&lt;=$F77,MOD(DT$12,7)&gt;1,NOT(COUNTIF(General!$U$13:$U$19,DT$12))),$I77,"")</f>
        <v/>
      </c>
      <c r="DU77" s="592" t="str">
        <f>IF(AND(DU$12&gt;=$E77,DU$12&lt;=$F77,MOD(DU$12,7)&gt;1,NOT(COUNTIF(General!$U$13:$U$19,DU$12))),$I77,"")</f>
        <v/>
      </c>
      <c r="DV77" s="592" t="str">
        <f>IF(AND(DV$12&gt;=$E77,DV$12&lt;=$F77,MOD(DV$12,7)&gt;1,NOT(COUNTIF(General!$U$13:$U$19,DV$12))),$I77,"")</f>
        <v/>
      </c>
      <c r="DW77" s="649" t="str">
        <f>IF(AND(DW$12&gt;=$E77,DW$12&lt;=$F77,MOD(DW$12,7)&gt;1,NOT(COUNTIF(General!$U$13:$U$19,DW$12))),$I77,"")</f>
        <v/>
      </c>
      <c r="DX77" s="649" t="str">
        <f>IF(AND(DX$12&gt;=$E77,DX$12&lt;=$F77,MOD(DX$12,7)&gt;1,NOT(COUNTIF(General!$U$13:$U$19,DX$12))),$I77,"")</f>
        <v/>
      </c>
      <c r="DY77" s="592" t="str">
        <f>IF(AND(DY$12&gt;=$E77,DY$12&lt;=$F77,MOD(DY$12,7)&gt;1,NOT(COUNTIF(General!$U$13:$U$19,DY$12))),$I77,"")</f>
        <v/>
      </c>
      <c r="DZ77" s="592" t="str">
        <f>IF(AND(DZ$12&gt;=$E77,DZ$12&lt;=$F77,MOD(DZ$12,7)&gt;1,NOT(COUNTIF(General!$U$13:$U$19,DZ$12))),$I77,"")</f>
        <v/>
      </c>
      <c r="EA77" s="592" t="str">
        <f>IF(AND(EA$12&gt;=$E77,EA$12&lt;=$F77,MOD(EA$12,7)&gt;1,NOT(COUNTIF(General!$U$13:$U$19,EA$12))),$I77,"")</f>
        <v/>
      </c>
      <c r="EB77" s="592" t="str">
        <f>IF(AND(EB$12&gt;=$E77,EB$12&lt;=$F77,MOD(EB$12,7)&gt;1,NOT(COUNTIF(General!$U$13:$U$19,EB$12))),$I77,"")</f>
        <v/>
      </c>
      <c r="EC77" s="592" t="str">
        <f>IF(AND(EC$12&gt;=$E77,EC$12&lt;=$F77,MOD(EC$12,7)&gt;1,NOT(COUNTIF(General!$U$13:$U$19,EC$12))),$I77,"")</f>
        <v/>
      </c>
      <c r="ED77" s="649" t="str">
        <f>IF(AND(ED$12&gt;=$E77,ED$12&lt;=$F77,MOD(ED$12,7)&gt;1,NOT(COUNTIF(General!$U$13:$U$19,ED$12))),$I77,"")</f>
        <v/>
      </c>
      <c r="EE77" s="649" t="str">
        <f>IF(AND(EE$12&gt;=$E77,EE$12&lt;=$F77,MOD(EE$12,7)&gt;1,NOT(COUNTIF(General!$U$13:$U$19,EE$12))),$I77,"")</f>
        <v/>
      </c>
      <c r="EF77" s="592" t="str">
        <f>IF(AND(EF$12&gt;=$E77,EF$12&lt;=$F77,MOD(EF$12,7)&gt;1,NOT(COUNTIF(General!$U$13:$U$19,EF$12))),$I77,"")</f>
        <v/>
      </c>
      <c r="EG77" s="592" t="str">
        <f>IF(AND(EG$12&gt;=$E77,EG$12&lt;=$F77,MOD(EG$12,7)&gt;1,NOT(COUNTIF(General!$U$13:$U$19,EG$12))),$I77,"")</f>
        <v/>
      </c>
      <c r="EH77" s="592" t="str">
        <f>IF(AND(EH$12&gt;=$E77,EH$12&lt;=$F77,MOD(EH$12,7)&gt;1,NOT(COUNTIF(General!$U$13:$U$19,EH$12))),$I77,"")</f>
        <v/>
      </c>
      <c r="EI77" s="592" t="str">
        <f>IF(AND(EI$12&gt;=$E77,EI$12&lt;=$F77,MOD(EI$12,7)&gt;1,NOT(COUNTIF(General!$U$13:$U$19,EI$12))),$I77,"")</f>
        <v/>
      </c>
      <c r="EJ77" s="592" t="str">
        <f>IF(AND(EJ$12&gt;=$E77,EJ$12&lt;=$F77,MOD(EJ$12,7)&gt;1,NOT(COUNTIF(General!$U$13:$U$19,EJ$12))),$I77,"")</f>
        <v/>
      </c>
      <c r="EK77" s="649" t="str">
        <f>IF(AND(EK$12&gt;=$E77,EK$12&lt;=$F77,MOD(EK$12,7)&gt;1,NOT(COUNTIF(General!$U$13:$U$19,EK$12))),$I77,"")</f>
        <v/>
      </c>
      <c r="EL77" s="649" t="str">
        <f>IF(AND(EL$12&gt;=$E77,EL$12&lt;=$F77,MOD(EL$12,7)&gt;1,NOT(COUNTIF(General!$U$13:$U$19,EL$12))),$I77,"")</f>
        <v/>
      </c>
      <c r="EM77" s="592" t="str">
        <f>IF(AND(EM$12&gt;=$E77,EM$12&lt;=$F77,MOD(EM$12,7)&gt;1,NOT(COUNTIF(General!$U$13:$U$19,EM$12))),$I77,"")</f>
        <v/>
      </c>
      <c r="EN77" s="592" t="str">
        <f>IF(AND(EN$12&gt;=$E77,EN$12&lt;=$F77,MOD(EN$12,7)&gt;1,NOT(COUNTIF(General!$U$13:$U$19,EN$12))),$I77,"")</f>
        <v/>
      </c>
      <c r="EO77" s="592" t="str">
        <f>IF(AND(EO$12&gt;=$E77,EO$12&lt;=$F77,MOD(EO$12,7)&gt;1,NOT(COUNTIF(General!$U$13:$U$19,EO$12))),$I77,"")</f>
        <v/>
      </c>
      <c r="EP77" s="592" t="str">
        <f>IF(AND(EP$12&gt;=$E77,EP$12&lt;=$F77,MOD(EP$12,7)&gt;1,NOT(COUNTIF(General!$U$13:$U$19,EP$12))),$I77,"")</f>
        <v/>
      </c>
      <c r="EQ77" s="592" t="str">
        <f>IF(AND(EQ$12&gt;=$E77,EQ$12&lt;=$F77,MOD(EQ$12,7)&gt;1,NOT(COUNTIF(General!$U$13:$U$19,EQ$12))),$I77,"")</f>
        <v/>
      </c>
      <c r="ER77" s="649" t="str">
        <f>IF(AND(ER$12&gt;=$E77,ER$12&lt;=$F77,MOD(ER$12,7)&gt;1,NOT(COUNTIF(General!$U$13:$U$19,ER$12))),$I77,"")</f>
        <v/>
      </c>
      <c r="ES77" s="649" t="str">
        <f>IF(AND(ES$12&gt;=$E77,ES$12&lt;=$F77,MOD(ES$12,7)&gt;1,NOT(COUNTIF(General!$U$13:$U$19,ES$12))),$I77,"")</f>
        <v/>
      </c>
      <c r="ET77" s="592" t="str">
        <f>IF(AND(ET$12&gt;=$E77,ET$12&lt;=$F77,MOD(ET$12,7)&gt;1,NOT(COUNTIF(General!$U$13:$U$19,ET$12))),$I77,"")</f>
        <v/>
      </c>
      <c r="EU77" s="592" t="str">
        <f>IF(AND(EU$12&gt;=$E77,EU$12&lt;=$F77,MOD(EU$12,7)&gt;1,NOT(COUNTIF(General!$U$13:$U$19,EU$12))),$I77,"")</f>
        <v/>
      </c>
      <c r="EV77" s="592" t="str">
        <f>IF(AND(EV$12&gt;=$E77,EV$12&lt;=$F77,MOD(EV$12,7)&gt;1,NOT(COUNTIF(General!$U$13:$U$19,EV$12))),$I77,"")</f>
        <v/>
      </c>
      <c r="EW77" s="592" t="str">
        <f>IF(AND(EW$12&gt;=$E77,EW$12&lt;=$F77,MOD(EW$12,7)&gt;1,NOT(COUNTIF(General!$U$13:$U$19,EW$12))),$I77,"")</f>
        <v/>
      </c>
      <c r="EX77" s="592" t="str">
        <f>IF(AND(EX$12&gt;=$E77,EX$12&lt;=$F77,MOD(EX$12,7)&gt;1,NOT(COUNTIF(General!$U$13:$U$19,EX$12))),$I77,"")</f>
        <v/>
      </c>
      <c r="EY77" s="649" t="str">
        <f>IF(AND(EY$12&gt;=$E77,EY$12&lt;=$F77,MOD(EY$12,7)&gt;1,NOT(COUNTIF(General!$U$13:$U$19,EY$12))),$I77,"")</f>
        <v/>
      </c>
      <c r="EZ77" s="649" t="str">
        <f>IF(AND(EZ$12&gt;=$E77,EZ$12&lt;=$F77,MOD(EZ$12,7)&gt;1,NOT(COUNTIF(General!$U$13:$U$19,EZ$12))),$I77,"")</f>
        <v/>
      </c>
      <c r="FA77" s="592" t="str">
        <f>IF(AND(FA$12&gt;=$E77,FA$12&lt;=$F77,MOD(FA$12,7)&gt;1,NOT(COUNTIF(General!$U$13:$U$19,FA$12))),$I77,"")</f>
        <v/>
      </c>
      <c r="FB77" s="592" t="str">
        <f>IF(AND(FB$12&gt;=$E77,FB$12&lt;=$F77,MOD(FB$12,7)&gt;1,NOT(COUNTIF(General!$U$13:$U$19,FB$12))),$I77,"")</f>
        <v/>
      </c>
      <c r="FC77" s="592" t="str">
        <f>IF(AND(FC$12&gt;=$E77,FC$12&lt;=$F77,MOD(FC$12,7)&gt;1,NOT(COUNTIF(General!$U$13:$U$19,FC$12))),$I77,"")</f>
        <v/>
      </c>
      <c r="FD77" s="592" t="str">
        <f>IF(AND(FD$12&gt;=$E77,FD$12&lt;=$F77,MOD(FD$12,7)&gt;1,NOT(COUNTIF(General!$U$13:$U$19,FD$12))),$I77,"")</f>
        <v/>
      </c>
      <c r="FE77" s="592" t="str">
        <f>IF(AND(FE$12&gt;=$E77,FE$12&lt;=$F77,MOD(FE$12,7)&gt;1,NOT(COUNTIF(General!$U$13:$U$19,FE$12))),$I77,"")</f>
        <v/>
      </c>
      <c r="FF77" s="649" t="str">
        <f>IF(AND(FF$12&gt;=$E77,FF$12&lt;=$F77,MOD(FF$12,7)&gt;1,NOT(COUNTIF(General!$U$13:$U$19,FF$12))),$I77,"")</f>
        <v/>
      </c>
      <c r="FG77" s="649" t="str">
        <f>IF(AND(FG$12&gt;=$E77,FG$12&lt;=$F77,MOD(FG$12,7)&gt;1,NOT(COUNTIF(General!$U$13:$U$19,FG$12))),$I77,"")</f>
        <v/>
      </c>
      <c r="FH77" s="592" t="str">
        <f>IF(AND(FH$12&gt;=$E77,FH$12&lt;=$F77,MOD(FH$12,7)&gt;1,NOT(COUNTIF(General!$U$13:$U$19,FH$12))),$I77,"")</f>
        <v/>
      </c>
      <c r="FI77" s="592" t="str">
        <f>IF(AND(FI$12&gt;=$E77,FI$12&lt;=$F77,MOD(FI$12,7)&gt;1,NOT(COUNTIF(General!$U$13:$U$19,FI$12))),$I77,"")</f>
        <v/>
      </c>
      <c r="FJ77" s="592" t="str">
        <f>IF(AND(FJ$12&gt;=$E77,FJ$12&lt;=$F77,MOD(FJ$12,7)&gt;1,NOT(COUNTIF(General!$U$13:$U$19,FJ$12))),$I77,"")</f>
        <v/>
      </c>
      <c r="FK77" s="592" t="str">
        <f>IF(AND(FK$12&gt;=$E77,FK$12&lt;=$F77,MOD(FK$12,7)&gt;1,NOT(COUNTIF(General!$U$13:$U$19,FK$12))),$I77,"")</f>
        <v/>
      </c>
      <c r="FL77" s="592" t="str">
        <f>IF(AND(FL$12&gt;=$E77,FL$12&lt;=$F77,MOD(FL$12,7)&gt;1,NOT(COUNTIF(General!$U$13:$U$19,FL$12))),$I77,"")</f>
        <v/>
      </c>
      <c r="FM77" s="649" t="str">
        <f>IF(AND(FM$12&gt;=$E77,FM$12&lt;=$F77,MOD(FM$12,7)&gt;1,NOT(COUNTIF(General!$U$13:$U$19,FM$12))),$I77,"")</f>
        <v/>
      </c>
      <c r="FN77" s="649" t="str">
        <f>IF(AND(FN$12&gt;=$E77,FN$12&lt;=$F77,MOD(FN$12,7)&gt;1,NOT(COUNTIF(General!$U$13:$U$19,FN$12))),$I77,"")</f>
        <v/>
      </c>
      <c r="FO77" s="592" t="str">
        <f>IF(AND(FO$12&gt;=$E77,FO$12&lt;=$F77,MOD(FO$12,7)&gt;1,NOT(COUNTIF(General!$U$13:$U$19,FO$12))),$I77,"")</f>
        <v/>
      </c>
      <c r="FP77" s="592" t="str">
        <f>IF(AND(FP$12&gt;=$E77,FP$12&lt;=$F77,MOD(FP$12,7)&gt;1,NOT(COUNTIF(General!$U$13:$U$19,FP$12))),$I77,"")</f>
        <v/>
      </c>
      <c r="FQ77" s="592" t="str">
        <f>IF(AND(FQ$12&gt;=$E77,FQ$12&lt;=$F77,MOD(FQ$12,7)&gt;1,NOT(COUNTIF(General!$U$13:$U$19,FQ$12))),$I77,"")</f>
        <v/>
      </c>
      <c r="FR77" s="592" t="str">
        <f>IF(AND(FR$12&gt;=$E77,FR$12&lt;=$F77,MOD(FR$12,7)&gt;1,NOT(COUNTIF(General!$U$13:$U$19,FR$12))),$I77,"")</f>
        <v/>
      </c>
      <c r="FS77" s="592" t="str">
        <f>IF(AND(FS$12&gt;=$E77,FS$12&lt;=$F77,MOD(FS$12,7)&gt;1,NOT(COUNTIF(General!$U$13:$U$19,FS$12))),$I77,"")</f>
        <v/>
      </c>
      <c r="FT77" s="649" t="str">
        <f>IF(AND(FT$12&gt;=$E77,FT$12&lt;=$F77,MOD(FT$12,7)&gt;1,NOT(COUNTIF(General!$U$13:$U$19,FT$12))),$I77,"")</f>
        <v/>
      </c>
      <c r="FU77" s="649" t="str">
        <f>IF(AND(FU$12&gt;=$E77,FU$12&lt;=$F77,MOD(FU$12,7)&gt;1,NOT(COUNTIF(General!$U$13:$U$19,FU$12))),$I77,"")</f>
        <v/>
      </c>
      <c r="FV77" s="592" t="str">
        <f>IF(AND(FV$12&gt;=$E77,FV$12&lt;=$F77,MOD(FV$12,7)&gt;1,NOT(COUNTIF(General!$U$13:$U$19,FV$12))),$I77,"")</f>
        <v/>
      </c>
      <c r="FW77" s="592" t="str">
        <f>IF(AND(FW$12&gt;=$E77,FW$12&lt;=$F77,MOD(FW$12,7)&gt;1,NOT(COUNTIF(General!$U$13:$U$19,FW$12))),$I77,"")</f>
        <v/>
      </c>
      <c r="FX77" s="592" t="str">
        <f>IF(AND(FX$12&gt;=$E77,FX$12&lt;=$F77,MOD(FX$12,7)&gt;1,NOT(COUNTIF(General!$U$13:$U$19,FX$12))),$I77,"")</f>
        <v/>
      </c>
    </row>
    <row r="78">
      <c r="A78" s="644"/>
      <c r="B78" s="592"/>
      <c r="C78" s="592"/>
      <c r="D78" s="651" t="s">
        <v>439</v>
      </c>
      <c r="E78" s="646"/>
      <c r="F78" s="646"/>
      <c r="G78" s="647"/>
      <c r="H78" s="585"/>
      <c r="I78" s="592"/>
      <c r="J78" s="648"/>
      <c r="K78" s="588"/>
      <c r="L78" s="588"/>
      <c r="M78" s="589"/>
      <c r="N78" s="590"/>
      <c r="O78" s="591"/>
      <c r="P78" s="592"/>
      <c r="Q78" s="592" t="str">
        <f>IF(AND(Q$12&gt;=$E78,Q$12&lt;=$F78,MOD(Q$12,7)&gt;1,NOT(COUNTIF(General!$U$13:$U$19,Q$12))),$I78,"")</f>
        <v/>
      </c>
      <c r="R78" s="592" t="str">
        <f>IF(AND(R$12&gt;=$E78,R$12&lt;=$F78,MOD(R$12,7)&gt;1,NOT(COUNTIF(General!$U$13:$U$19,R$12))),$I78,"")</f>
        <v/>
      </c>
      <c r="S78" s="592" t="str">
        <f>IF(AND(S$12&gt;=$E78,S$12&lt;=$F78,MOD(S$12,7)&gt;1,NOT(COUNTIF(General!$U$13:$U$19,S$12))),$I78,"")</f>
        <v/>
      </c>
      <c r="T78" s="592" t="str">
        <f>IF(AND(T$12&gt;=$E78,T$12&lt;=$F78,MOD(T$12,7)&gt;1,NOT(COUNTIF(General!$U$13:$U$19,T$12))),$I78,"")</f>
        <v/>
      </c>
      <c r="U78" s="592" t="str">
        <f>IF(AND(U$12&gt;=$E78,U$12&lt;=$F78,MOD(U$12,7)&gt;1,NOT(COUNTIF(General!$U$13:$U$19,U$12))),$I78,"")</f>
        <v/>
      </c>
      <c r="V78" s="649" t="str">
        <f>IF(AND(V$12&gt;=$E78,V$12&lt;=$F78,MOD(V$12,7)&gt;1,NOT(COUNTIF(General!$U$13:$U$19,V$12))),$I78,"")</f>
        <v/>
      </c>
      <c r="W78" s="649" t="str">
        <f>IF(AND(W$12&gt;=$E78,W$12&lt;=$F78,MOD(W$12,7)&gt;1,NOT(COUNTIF(General!$U$13:$U$19,W$12))),$I78,"")</f>
        <v/>
      </c>
      <c r="X78" s="592" t="str">
        <f>IF(AND(X$12&gt;=$E78,X$12&lt;=$F78,MOD(X$12,7)&gt;1,NOT(COUNTIF(General!$U$13:$U$19,X$12))),$I78,"")</f>
        <v/>
      </c>
      <c r="Y78" s="592" t="str">
        <f>IF(AND(Y$12&gt;=$E78,Y$12&lt;=$F78,MOD(Y$12,7)&gt;1,NOT(COUNTIF(General!$U$13:$U$19,Y$12))),$I78,"")</f>
        <v/>
      </c>
      <c r="Z78" s="592" t="str">
        <f>IF(AND(Z$12&gt;=$E78,Z$12&lt;=$F78,MOD(Z$12,7)&gt;1,NOT(COUNTIF(General!$U$13:$U$19,Z$12))),$I78,"")</f>
        <v/>
      </c>
      <c r="AA78" s="592" t="str">
        <f>IF(AND(AA$12&gt;=$E78,AA$12&lt;=$F78,MOD(AA$12,7)&gt;1,NOT(COUNTIF(General!$U$13:$U$19,AA$12))),$I78,"")</f>
        <v/>
      </c>
      <c r="AB78" s="592" t="str">
        <f>IF(AND(AB$12&gt;=$E78,AB$12&lt;=$F78,MOD(AB$12,7)&gt;1,NOT(COUNTIF(General!$U$13:$U$19,AB$12))),$I78,"")</f>
        <v/>
      </c>
      <c r="AC78" s="649" t="str">
        <f>IF(AND(AC$12&gt;=$E78,AC$12&lt;=$F78,MOD(AC$12,7)&gt;1,NOT(COUNTIF(General!$U$13:$U$19,AC$12))),$I78,"")</f>
        <v/>
      </c>
      <c r="AD78" s="649" t="str">
        <f>IF(AND(AD$12&gt;=$E78,AD$12&lt;=$F78,MOD(AD$12,7)&gt;1,NOT(COUNTIF(General!$U$13:$U$19,AD$12))),$I78,"")</f>
        <v/>
      </c>
      <c r="AE78" s="592" t="str">
        <f>IF(AND(AE$12&gt;=$E78,AE$12&lt;=$F78,MOD(AE$12,7)&gt;1,NOT(COUNTIF(General!$U$13:$U$19,AE$12))),$I78,"")</f>
        <v/>
      </c>
      <c r="AF78" s="592" t="str">
        <f>IF(AND(AF$12&gt;=$E78,AF$12&lt;=$F78,MOD(AF$12,7)&gt;1,NOT(COUNTIF(General!$U$13:$U$19,AF$12))),$I78,"")</f>
        <v/>
      </c>
      <c r="AG78" s="592" t="str">
        <f>IF(AND(AG$12&gt;=$E78,AG$12&lt;=$F78,MOD(AG$12,7)&gt;1,NOT(COUNTIF(General!$U$13:$U$19,AG$12))),$I78,"")</f>
        <v/>
      </c>
      <c r="AH78" s="592" t="str">
        <f>IF(AND(AH$12&gt;=$E78,AH$12&lt;=$F78,MOD(AH$12,7)&gt;1,NOT(COUNTIF(General!$U$13:$U$19,AH$12))),$I78,"")</f>
        <v/>
      </c>
      <c r="AI78" s="592" t="str">
        <f>IF(AND(AI$12&gt;=$E78,AI$12&lt;=$F78,MOD(AI$12,7)&gt;1,NOT(COUNTIF(General!$U$13:$U$19,AI$12))),$I78,"")</f>
        <v/>
      </c>
      <c r="AJ78" s="649" t="str">
        <f>IF(AND(AJ$12&gt;=$E78,AJ$12&lt;=$F78,MOD(AJ$12,7)&gt;1,NOT(COUNTIF(General!$U$13:$U$19,AJ$12))),$I78,"")</f>
        <v/>
      </c>
      <c r="AK78" s="649" t="str">
        <f>IF(AND(AK$12&gt;=$E78,AK$12&lt;=$F78,MOD(AK$12,7)&gt;1,NOT(COUNTIF(General!$U$13:$U$19,AK$12))),$I78,"")</f>
        <v/>
      </c>
      <c r="AL78" s="592" t="str">
        <f>IF(AND(AL$12&gt;=$E78,AL$12&lt;=$F78,MOD(AL$12,7)&gt;1,NOT(COUNTIF(General!$U$13:$U$19,AL$12))),$I78,"")</f>
        <v/>
      </c>
      <c r="AM78" s="592" t="str">
        <f>IF(AND(AM$12&gt;=$E78,AM$12&lt;=$F78,MOD(AM$12,7)&gt;1,NOT(COUNTIF(General!$U$13:$U$19,AM$12))),$I78,"")</f>
        <v/>
      </c>
      <c r="AN78" s="592" t="str">
        <f>IF(AND(AN$12&gt;=$E78,AN$12&lt;=$F78,MOD(AN$12,7)&gt;1,NOT(COUNTIF(General!$U$13:$U$19,AN$12))),$I78,"")</f>
        <v/>
      </c>
      <c r="AO78" s="592" t="str">
        <f>IF(AND(AO$12&gt;=$E78,AO$12&lt;=$F78,MOD(AO$12,7)&gt;1,NOT(COUNTIF(General!$U$13:$U$19,AO$12))),$I78,"")</f>
        <v/>
      </c>
      <c r="AP78" s="592" t="str">
        <f>IF(AND(AP$12&gt;=$E78,AP$12&lt;=$F78,MOD(AP$12,7)&gt;1,NOT(COUNTIF(General!$U$13:$U$19,AP$12))),$I78,"")</f>
        <v/>
      </c>
      <c r="AQ78" s="649" t="str">
        <f>IF(AND(AQ$12&gt;=$E78,AQ$12&lt;=$F78,MOD(AQ$12,7)&gt;1,NOT(COUNTIF(General!$U$13:$U$19,AQ$12))),$I78,"")</f>
        <v/>
      </c>
      <c r="AR78" s="649" t="str">
        <f>IF(AND(AR$12&gt;=$E78,AR$12&lt;=$F78,MOD(AR$12,7)&gt;1,NOT(COUNTIF(General!$U$13:$U$19,AR$12))),$I78,"")</f>
        <v/>
      </c>
      <c r="AS78" s="592" t="str">
        <f>IF(AND(AS$12&gt;=$E78,AS$12&lt;=$F78,MOD(AS$12,7)&gt;1,NOT(COUNTIF(General!$U$13:$U$19,AS$12))),$I78,"")</f>
        <v/>
      </c>
      <c r="AT78" s="592" t="str">
        <f>IF(AND(AT$12&gt;=$E78,AT$12&lt;=$F78,MOD(AT$12,7)&gt;1,NOT(COUNTIF(General!$U$13:$U$19,AT$12))),$I78,"")</f>
        <v/>
      </c>
      <c r="AU78" s="592" t="str">
        <f>IF(AND(AU$12&gt;=$E78,AU$12&lt;=$F78,MOD(AU$12,7)&gt;1,NOT(COUNTIF(General!$U$13:$U$19,AU$12))),$I78,"")</f>
        <v/>
      </c>
      <c r="AV78" s="592" t="str">
        <f>IF(AND(AV$12&gt;=$E78,AV$12&lt;=$F78,MOD(AV$12,7)&gt;1,NOT(COUNTIF(General!$U$13:$U$19,AV$12))),$I78,"")</f>
        <v/>
      </c>
      <c r="AW78" s="592" t="str">
        <f>IF(AND(AW$12&gt;=$E78,AW$12&lt;=$F78,MOD(AW$12,7)&gt;1,NOT(COUNTIF(General!$U$13:$U$19,AW$12))),$I78,"")</f>
        <v/>
      </c>
      <c r="AX78" s="649" t="str">
        <f>IF(AND(AX$12&gt;=$E78,AX$12&lt;=$F78,MOD(AX$12,7)&gt;1,NOT(COUNTIF(General!$U$13:$U$19,AX$12))),$I78,"")</f>
        <v/>
      </c>
      <c r="AY78" s="649" t="str">
        <f>IF(AND(AY$12&gt;=$E78,AY$12&lt;=$F78,MOD(AY$12,7)&gt;1,NOT(COUNTIF(General!$U$13:$U$19,AY$12))),$I78,"")</f>
        <v/>
      </c>
      <c r="AZ78" s="592" t="str">
        <f>IF(AND(AZ$12&gt;=$E78,AZ$12&lt;=$F78,MOD(AZ$12,7)&gt;1,NOT(COUNTIF(General!$U$13:$U$19,AZ$12))),$I78,"")</f>
        <v/>
      </c>
      <c r="BA78" s="592" t="str">
        <f>IF(AND(BA$12&gt;=$E78,BA$12&lt;=$F78,MOD(BA$12,7)&gt;1,NOT(COUNTIF(General!$U$13:$U$19,BA$12))),$I78,"")</f>
        <v/>
      </c>
      <c r="BB78" s="592" t="str">
        <f>IF(AND(BB$12&gt;=$E78,BB$12&lt;=$F78,MOD(BB$12,7)&gt;1,NOT(COUNTIF(General!$U$13:$U$19,BB$12))),$I78,"")</f>
        <v/>
      </c>
      <c r="BC78" s="592" t="str">
        <f>IF(AND(BC$12&gt;=$E78,BC$12&lt;=$F78,MOD(BC$12,7)&gt;1,NOT(COUNTIF(General!$U$13:$U$19,BC$12))),$I78,"")</f>
        <v/>
      </c>
      <c r="BD78" s="592" t="str">
        <f>IF(AND(BD$12&gt;=$E78,BD$12&lt;=$F78,MOD(BD$12,7)&gt;1,NOT(COUNTIF(General!$U$13:$U$19,BD$12))),$I78,"")</f>
        <v/>
      </c>
      <c r="BE78" s="649" t="str">
        <f>IF(AND(BE$12&gt;=$E78,BE$12&lt;=$F78,MOD(BE$12,7)&gt;1,NOT(COUNTIF(General!$U$13:$U$19,BE$12))),$I78,"")</f>
        <v/>
      </c>
      <c r="BF78" s="649" t="str">
        <f>IF(AND(BF$12&gt;=$E78,BF$12&lt;=$F78,MOD(BF$12,7)&gt;1,NOT(COUNTIF(General!$U$13:$U$19,BF$12))),$I78,"")</f>
        <v/>
      </c>
      <c r="BG78" s="592" t="str">
        <f>IF(AND(BG$12&gt;=$E78,BG$12&lt;=$F78,MOD(BG$12,7)&gt;1,NOT(COUNTIF(General!$U$13:$U$19,BG$12))),$I78,"")</f>
        <v/>
      </c>
      <c r="BH78" s="592" t="str">
        <f>IF(AND(BH$12&gt;=$E78,BH$12&lt;=$F78,MOD(BH$12,7)&gt;1,NOT(COUNTIF(General!$U$13:$U$19,BH$12))),$I78,"")</f>
        <v/>
      </c>
      <c r="BI78" s="592" t="str">
        <f>IF(AND(BI$12&gt;=$E78,BI$12&lt;=$F78,MOD(BI$12,7)&gt;1,NOT(COUNTIF(General!$U$13:$U$19,BI$12))),$I78,"")</f>
        <v/>
      </c>
      <c r="BJ78" s="592" t="str">
        <f>IF(AND(BJ$12&gt;=$E78,BJ$12&lt;=$F78,MOD(BJ$12,7)&gt;1,NOT(COUNTIF(General!$U$13:$U$19,BJ$12))),$I78,"")</f>
        <v/>
      </c>
      <c r="BK78" s="592" t="str">
        <f>IF(AND(BK$12&gt;=$E78,BK$12&lt;=$F78,MOD(BK$12,7)&gt;1,NOT(COUNTIF(General!$U$13:$U$19,BK$12))),$I78,"")</f>
        <v/>
      </c>
      <c r="BL78" s="649" t="str">
        <f>IF(AND(BL$12&gt;=$E78,BL$12&lt;=$F78,MOD(BL$12,7)&gt;1,NOT(COUNTIF(General!$U$13:$U$19,BL$12))),$I78,"")</f>
        <v/>
      </c>
      <c r="BM78" s="649" t="str">
        <f>IF(AND(BM$12&gt;=$E78,BM$12&lt;=$F78,MOD(BM$12,7)&gt;1,NOT(COUNTIF(General!$U$13:$U$19,BM$12))),$I78,"")</f>
        <v/>
      </c>
      <c r="BN78" s="592" t="str">
        <f>IF(AND(BN$12&gt;=$E78,BN$12&lt;=$F78,MOD(BN$12,7)&gt;1,NOT(COUNTIF(General!$U$13:$U$19,BN$12))),$I78,"")</f>
        <v/>
      </c>
      <c r="BO78" s="592" t="str">
        <f>IF(AND(BO$12&gt;=$E78,BO$12&lt;=$F78,MOD(BO$12,7)&gt;1,NOT(COUNTIF(General!$U$13:$U$19,BO$12))),$I78,"")</f>
        <v/>
      </c>
      <c r="BP78" s="592" t="str">
        <f>IF(AND(BP$12&gt;=$E78,BP$12&lt;=$F78,MOD(BP$12,7)&gt;1,NOT(COUNTIF(General!$U$13:$U$19,BP$12))),$I78,"")</f>
        <v/>
      </c>
      <c r="BQ78" s="592" t="str">
        <f>IF(AND(BQ$12&gt;=$E78,BQ$12&lt;=$F78,MOD(BQ$12,7)&gt;1,NOT(COUNTIF(General!$U$13:$U$19,BQ$12))),$I78,"")</f>
        <v/>
      </c>
      <c r="BR78" s="592" t="str">
        <f>IF(AND(BR$12&gt;=$E78,BR$12&lt;=$F78,MOD(BR$12,7)&gt;1,NOT(COUNTIF(General!$U$13:$U$19,BR$12))),$I78,"")</f>
        <v/>
      </c>
      <c r="BS78" s="649" t="str">
        <f>IF(AND(BS$12&gt;=$E78,BS$12&lt;=$F78,MOD(BS$12,7)&gt;1,NOT(COUNTIF(General!$U$13:$U$19,BS$12))),$I78,"")</f>
        <v/>
      </c>
      <c r="BT78" s="649" t="str">
        <f>IF(AND(BT$12&gt;=$E78,BT$12&lt;=$F78,MOD(BT$12,7)&gt;1,NOT(COUNTIF(General!$U$13:$U$19,BT$12))),$I78,"")</f>
        <v/>
      </c>
      <c r="BU78" s="592" t="str">
        <f>IF(AND(BU$12&gt;=$E78,BU$12&lt;=$F78,MOD(BU$12,7)&gt;1,NOT(COUNTIF(General!$U$13:$U$19,BU$12))),$I78,"")</f>
        <v/>
      </c>
      <c r="BV78" s="592" t="str">
        <f>IF(AND(BV$12&gt;=$E78,BV$12&lt;=$F78,MOD(BV$12,7)&gt;1,NOT(COUNTIF(General!$U$13:$U$19,BV$12))),$I78,"")</f>
        <v/>
      </c>
      <c r="BW78" s="592" t="str">
        <f>IF(AND(BW$12&gt;=$E78,BW$12&lt;=$F78,MOD(BW$12,7)&gt;1,NOT(COUNTIF(General!$U$13:$U$19,BW$12))),$I78,"")</f>
        <v/>
      </c>
      <c r="BX78" s="592" t="str">
        <f>IF(AND(BX$12&gt;=$E78,BX$12&lt;=$F78,MOD(BX$12,7)&gt;1,NOT(COUNTIF(General!$U$13:$U$19,BX$12))),$I78,"")</f>
        <v/>
      </c>
      <c r="BY78" s="592" t="str">
        <f>IF(AND(BY$12&gt;=$E78,BY$12&lt;=$F78,MOD(BY$12,7)&gt;1,NOT(COUNTIF(General!$U$13:$U$19,BY$12))),$I78,"")</f>
        <v/>
      </c>
      <c r="BZ78" s="649" t="str">
        <f>IF(AND(BZ$12&gt;=$E78,BZ$12&lt;=$F78,MOD(BZ$12,7)&gt;1,NOT(COUNTIF(General!$U$13:$U$19,BZ$12))),$I78,"")</f>
        <v/>
      </c>
      <c r="CA78" s="649" t="str">
        <f>IF(AND(CA$12&gt;=$E78,CA$12&lt;=$F78,MOD(CA$12,7)&gt;1,NOT(COUNTIF(General!$U$13:$U$19,CA$12))),$I78,"")</f>
        <v/>
      </c>
      <c r="CB78" s="592" t="str">
        <f>IF(AND(CB$12&gt;=$E78,CB$12&lt;=$F78,MOD(CB$12,7)&gt;1,NOT(COUNTIF(General!$U$13:$U$19,CB$12))),$I78,"")</f>
        <v/>
      </c>
      <c r="CC78" s="592" t="str">
        <f>IF(AND(CC$12&gt;=$E78,CC$12&lt;=$F78,MOD(CC$12,7)&gt;1,NOT(COUNTIF(General!$U$13:$U$19,CC$12))),$I78,"")</f>
        <v/>
      </c>
      <c r="CD78" s="592" t="str">
        <f>IF(AND(CD$12&gt;=$E78,CD$12&lt;=$F78,MOD(CD$12,7)&gt;1,NOT(COUNTIF(General!$U$13:$U$19,CD$12))),$I78,"")</f>
        <v/>
      </c>
      <c r="CE78" s="592" t="str">
        <f>IF(AND(CE$12&gt;=$E78,CE$12&lt;=$F78,MOD(CE$12,7)&gt;1,NOT(COUNTIF(General!$U$13:$U$19,CE$12))),$I78,"")</f>
        <v/>
      </c>
      <c r="CF78" s="592" t="str">
        <f>IF(AND(CF$12&gt;=$E78,CF$12&lt;=$F78,MOD(CF$12,7)&gt;1,NOT(COUNTIF(General!$U$13:$U$19,CF$12))),$I78,"")</f>
        <v/>
      </c>
      <c r="CG78" s="649" t="str">
        <f>IF(AND(CG$12&gt;=$E78,CG$12&lt;=$F78,MOD(CG$12,7)&gt;1,NOT(COUNTIF(General!$U$13:$U$19,CG$12))),$I78,"")</f>
        <v/>
      </c>
      <c r="CH78" s="649" t="str">
        <f>IF(AND(CH$12&gt;=$E78,CH$12&lt;=$F78,MOD(CH$12,7)&gt;1,NOT(COUNTIF(General!$U$13:$U$19,CH$12))),$I78,"")</f>
        <v/>
      </c>
      <c r="CI78" s="592" t="str">
        <f>IF(AND(CI$12&gt;=$E78,CI$12&lt;=$F78,MOD(CI$12,7)&gt;1,NOT(COUNTIF(General!$U$13:$U$19,CI$12))),$I78,"")</f>
        <v/>
      </c>
      <c r="CJ78" s="592" t="str">
        <f>IF(AND(CJ$12&gt;=$E78,CJ$12&lt;=$F78,MOD(CJ$12,7)&gt;1,NOT(COUNTIF(General!$U$13:$U$19,CJ$12))),$I78,"")</f>
        <v/>
      </c>
      <c r="CK78" s="592" t="str">
        <f>IF(AND(CK$12&gt;=$E78,CK$12&lt;=$F78,MOD(CK$12,7)&gt;1,NOT(COUNTIF(General!$U$13:$U$19,CK$12))),$I78,"")</f>
        <v/>
      </c>
      <c r="CL78" s="592" t="str">
        <f>IF(AND(CL$12&gt;=$E78,CL$12&lt;=$F78,MOD(CL$12,7)&gt;1,NOT(COUNTIF(General!$U$13:$U$19,CL$12))),$I78,"")</f>
        <v/>
      </c>
      <c r="CM78" s="592" t="str">
        <f>IF(AND(CM$12&gt;=$E78,CM$12&lt;=$F78,MOD(CM$12,7)&gt;1,NOT(COUNTIF(General!$U$13:$U$19,CM$12))),$I78,"")</f>
        <v/>
      </c>
      <c r="CN78" s="649" t="str">
        <f>IF(AND(CN$12&gt;=$E78,CN$12&lt;=$F78,MOD(CN$12,7)&gt;1,NOT(COUNTIF(General!$U$13:$U$19,CN$12))),$I78,"")</f>
        <v/>
      </c>
      <c r="CO78" s="649" t="str">
        <f>IF(AND(CO$12&gt;=$E78,CO$12&lt;=$F78,MOD(CO$12,7)&gt;1,NOT(COUNTIF(General!$U$13:$U$19,CO$12))),$I78,"")</f>
        <v/>
      </c>
      <c r="CP78" s="592" t="str">
        <f>IF(AND(CP$12&gt;=$E78,CP$12&lt;=$F78,MOD(CP$12,7)&gt;1,NOT(COUNTIF(General!$U$13:$U$19,CP$12))),$I78,"")</f>
        <v/>
      </c>
      <c r="CQ78" s="592" t="str">
        <f>IF(AND(CQ$12&gt;=$E78,CQ$12&lt;=$F78,MOD(CQ$12,7)&gt;1,NOT(COUNTIF(General!$U$13:$U$19,CQ$12))),$I78,"")</f>
        <v/>
      </c>
      <c r="CR78" s="592" t="str">
        <f>IF(AND(CR$12&gt;=$E78,CR$12&lt;=$F78,MOD(CR$12,7)&gt;1,NOT(COUNTIF(General!$U$13:$U$19,CR$12))),$I78,"")</f>
        <v/>
      </c>
      <c r="CS78" s="592" t="str">
        <f>IF(AND(CS$12&gt;=$E78,CS$12&lt;=$F78,MOD(CS$12,7)&gt;1,NOT(COUNTIF(General!$U$13:$U$19,CS$12))),$I78,"")</f>
        <v/>
      </c>
      <c r="CT78" s="592" t="str">
        <f>IF(AND(CT$12&gt;=$E78,CT$12&lt;=$F78,MOD(CT$12,7)&gt;1,NOT(COUNTIF(General!$U$13:$U$19,CT$12))),$I78,"")</f>
        <v/>
      </c>
      <c r="CU78" s="649" t="str">
        <f>IF(AND(CU$12&gt;=$E78,CU$12&lt;=$F78,MOD(CU$12,7)&gt;1,NOT(COUNTIF(General!$U$13:$U$19,CU$12))),$I78,"")</f>
        <v/>
      </c>
      <c r="CV78" s="649" t="str">
        <f>IF(AND(CV$12&gt;=$E78,CV$12&lt;=$F78,MOD(CV$12,7)&gt;1,NOT(COUNTIF(General!$U$13:$U$19,CV$12))),$I78,"")</f>
        <v/>
      </c>
      <c r="CW78" s="592" t="str">
        <f>IF(AND(CW$12&gt;=$E78,CW$12&lt;=$F78,MOD(CW$12,7)&gt;1,NOT(COUNTIF(General!$U$13:$U$19,CW$12))),$I78,"")</f>
        <v/>
      </c>
      <c r="CX78" s="592" t="str">
        <f>IF(AND(CX$12&gt;=$E78,CX$12&lt;=$F78,MOD(CX$12,7)&gt;1,NOT(COUNTIF(General!$U$13:$U$19,CX$12))),$I78,"")</f>
        <v/>
      </c>
      <c r="CY78" s="592" t="str">
        <f>IF(AND(CY$12&gt;=$E78,CY$12&lt;=$F78,MOD(CY$12,7)&gt;1,NOT(COUNTIF(General!$U$13:$U$19,CY$12))),$I78,"")</f>
        <v/>
      </c>
      <c r="CZ78" s="592" t="str">
        <f>IF(AND(CZ$12&gt;=$E78,CZ$12&lt;=$F78,MOD(CZ$12,7)&gt;1,NOT(COUNTIF(General!$U$13:$U$19,CZ$12))),$I78,"")</f>
        <v/>
      </c>
      <c r="DA78" s="592" t="str">
        <f>IF(AND(DA$12&gt;=$E78,DA$12&lt;=$F78,MOD(DA$12,7)&gt;1,NOT(COUNTIF(General!$U$13:$U$19,DA$12))),$I78,"")</f>
        <v/>
      </c>
      <c r="DB78" s="649" t="str">
        <f>IF(AND(DB$12&gt;=$E78,DB$12&lt;=$F78,MOD(DB$12,7)&gt;1,NOT(COUNTIF(General!$U$13:$U$19,DB$12))),$I78,"")</f>
        <v/>
      </c>
      <c r="DC78" s="649" t="str">
        <f>IF(AND(DC$12&gt;=$E78,DC$12&lt;=$F78,MOD(DC$12,7)&gt;1,NOT(COUNTIF(General!$U$13:$U$19,DC$12))),$I78,"")</f>
        <v/>
      </c>
      <c r="DD78" s="592" t="str">
        <f>IF(AND(DD$12&gt;=$E78,DD$12&lt;=$F78,MOD(DD$12,7)&gt;1,NOT(COUNTIF(General!$U$13:$U$19,DD$12))),$I78,"")</f>
        <v/>
      </c>
      <c r="DE78" s="592" t="str">
        <f>IF(AND(DE$12&gt;=$E78,DE$12&lt;=$F78,MOD(DE$12,7)&gt;1,NOT(COUNTIF(General!$U$13:$U$19,DE$12))),$I78,"")</f>
        <v/>
      </c>
      <c r="DF78" s="592" t="str">
        <f>IF(AND(DF$12&gt;=$E78,DF$12&lt;=$F78,MOD(DF$12,7)&gt;1,NOT(COUNTIF(General!$U$13:$U$19,DF$12))),$I78,"")</f>
        <v/>
      </c>
      <c r="DG78" s="592" t="str">
        <f>IF(AND(DG$12&gt;=$E78,DG$12&lt;=$F78,MOD(DG$12,7)&gt;1,NOT(COUNTIF(General!$U$13:$U$19,DG$12))),$I78,"")</f>
        <v/>
      </c>
      <c r="DH78" s="592" t="str">
        <f>IF(AND(DH$12&gt;=$E78,DH$12&lt;=$F78,MOD(DH$12,7)&gt;1,NOT(COUNTIF(General!$U$13:$U$19,DH$12))),$I78,"")</f>
        <v/>
      </c>
      <c r="DI78" s="649" t="str">
        <f>IF(AND(DI$12&gt;=$E78,DI$12&lt;=$F78,MOD(DI$12,7)&gt;1,NOT(COUNTIF(General!$U$13:$U$19,DI$12))),$I78,"")</f>
        <v/>
      </c>
      <c r="DJ78" s="649" t="str">
        <f>IF(AND(DJ$12&gt;=$E78,DJ$12&lt;=$F78,MOD(DJ$12,7)&gt;1,NOT(COUNTIF(General!$U$13:$U$19,DJ$12))),$I78,"")</f>
        <v/>
      </c>
      <c r="DK78" s="592" t="str">
        <f>IF(AND(DK$12&gt;=$E78,DK$12&lt;=$F78,MOD(DK$12,7)&gt;1,NOT(COUNTIF(General!$U$13:$U$19,DK$12))),$I78,"")</f>
        <v/>
      </c>
      <c r="DL78" s="592" t="str">
        <f>IF(AND(DL$12&gt;=$E78,DL$12&lt;=$F78,MOD(DL$12,7)&gt;1,NOT(COUNTIF(General!$U$13:$U$19,DL$12))),$I78,"")</f>
        <v/>
      </c>
      <c r="DM78" s="592" t="str">
        <f>IF(AND(DM$12&gt;=$E78,DM$12&lt;=$F78,MOD(DM$12,7)&gt;1,NOT(COUNTIF(General!$U$13:$U$19,DM$12))),$I78,"")</f>
        <v/>
      </c>
      <c r="DN78" s="592" t="str">
        <f>IF(AND(DN$12&gt;=$E78,DN$12&lt;=$F78,MOD(DN$12,7)&gt;1,NOT(COUNTIF(General!$U$13:$U$19,DN$12))),$I78,"")</f>
        <v/>
      </c>
      <c r="DO78" s="592" t="str">
        <f>IF(AND(DO$12&gt;=$E78,DO$12&lt;=$F78,MOD(DO$12,7)&gt;1,NOT(COUNTIF(General!$U$13:$U$19,DO$12))),$I78,"")</f>
        <v/>
      </c>
      <c r="DP78" s="649" t="str">
        <f>IF(AND(DP$12&gt;=$E78,DP$12&lt;=$F78,MOD(DP$12,7)&gt;1,NOT(COUNTIF(General!$U$13:$U$19,DP$12))),$I78,"")</f>
        <v/>
      </c>
      <c r="DQ78" s="649" t="str">
        <f>IF(AND(DQ$12&gt;=$E78,DQ$12&lt;=$F78,MOD(DQ$12,7)&gt;1,NOT(COUNTIF(General!$U$13:$U$19,DQ$12))),$I78,"")</f>
        <v/>
      </c>
      <c r="DR78" s="592" t="str">
        <f>IF(AND(DR$12&gt;=$E78,DR$12&lt;=$F78,MOD(DR$12,7)&gt;1,NOT(COUNTIF(General!$U$13:$U$19,DR$12))),$I78,"")</f>
        <v/>
      </c>
      <c r="DS78" s="592" t="str">
        <f>IF(AND(DS$12&gt;=$E78,DS$12&lt;=$F78,MOD(DS$12,7)&gt;1,NOT(COUNTIF(General!$U$13:$U$19,DS$12))),$I78,"")</f>
        <v/>
      </c>
      <c r="DT78" s="592" t="str">
        <f>IF(AND(DT$12&gt;=$E78,DT$12&lt;=$F78,MOD(DT$12,7)&gt;1,NOT(COUNTIF(General!$U$13:$U$19,DT$12))),$I78,"")</f>
        <v/>
      </c>
      <c r="DU78" s="592" t="str">
        <f>IF(AND(DU$12&gt;=$E78,DU$12&lt;=$F78,MOD(DU$12,7)&gt;1,NOT(COUNTIF(General!$U$13:$U$19,DU$12))),$I78,"")</f>
        <v/>
      </c>
      <c r="DV78" s="592" t="str">
        <f>IF(AND(DV$12&gt;=$E78,DV$12&lt;=$F78,MOD(DV$12,7)&gt;1,NOT(COUNTIF(General!$U$13:$U$19,DV$12))),$I78,"")</f>
        <v/>
      </c>
      <c r="DW78" s="649" t="str">
        <f>IF(AND(DW$12&gt;=$E78,DW$12&lt;=$F78,MOD(DW$12,7)&gt;1,NOT(COUNTIF(General!$U$13:$U$19,DW$12))),$I78,"")</f>
        <v/>
      </c>
      <c r="DX78" s="649" t="str">
        <f>IF(AND(DX$12&gt;=$E78,DX$12&lt;=$F78,MOD(DX$12,7)&gt;1,NOT(COUNTIF(General!$U$13:$U$19,DX$12))),$I78,"")</f>
        <v/>
      </c>
      <c r="DY78" s="592" t="str">
        <f>IF(AND(DY$12&gt;=$E78,DY$12&lt;=$F78,MOD(DY$12,7)&gt;1,NOT(COUNTIF(General!$U$13:$U$19,DY$12))),$I78,"")</f>
        <v/>
      </c>
      <c r="DZ78" s="592" t="str">
        <f>IF(AND(DZ$12&gt;=$E78,DZ$12&lt;=$F78,MOD(DZ$12,7)&gt;1,NOT(COUNTIF(General!$U$13:$U$19,DZ$12))),$I78,"")</f>
        <v/>
      </c>
      <c r="EA78" s="592" t="str">
        <f>IF(AND(EA$12&gt;=$E78,EA$12&lt;=$F78,MOD(EA$12,7)&gt;1,NOT(COUNTIF(General!$U$13:$U$19,EA$12))),$I78,"")</f>
        <v/>
      </c>
      <c r="EB78" s="592" t="str">
        <f>IF(AND(EB$12&gt;=$E78,EB$12&lt;=$F78,MOD(EB$12,7)&gt;1,NOT(COUNTIF(General!$U$13:$U$19,EB$12))),$I78,"")</f>
        <v/>
      </c>
      <c r="EC78" s="592" t="str">
        <f>IF(AND(EC$12&gt;=$E78,EC$12&lt;=$F78,MOD(EC$12,7)&gt;1,NOT(COUNTIF(General!$U$13:$U$19,EC$12))),$I78,"")</f>
        <v/>
      </c>
      <c r="ED78" s="649" t="str">
        <f>IF(AND(ED$12&gt;=$E78,ED$12&lt;=$F78,MOD(ED$12,7)&gt;1,NOT(COUNTIF(General!$U$13:$U$19,ED$12))),$I78,"")</f>
        <v/>
      </c>
      <c r="EE78" s="649" t="str">
        <f>IF(AND(EE$12&gt;=$E78,EE$12&lt;=$F78,MOD(EE$12,7)&gt;1,NOT(COUNTIF(General!$U$13:$U$19,EE$12))),$I78,"")</f>
        <v/>
      </c>
      <c r="EF78" s="592" t="str">
        <f>IF(AND(EF$12&gt;=$E78,EF$12&lt;=$F78,MOD(EF$12,7)&gt;1,NOT(COUNTIF(General!$U$13:$U$19,EF$12))),$I78,"")</f>
        <v/>
      </c>
      <c r="EG78" s="592" t="str">
        <f>IF(AND(EG$12&gt;=$E78,EG$12&lt;=$F78,MOD(EG$12,7)&gt;1,NOT(COUNTIF(General!$U$13:$U$19,EG$12))),$I78,"")</f>
        <v/>
      </c>
      <c r="EH78" s="592" t="str">
        <f>IF(AND(EH$12&gt;=$E78,EH$12&lt;=$F78,MOD(EH$12,7)&gt;1,NOT(COUNTIF(General!$U$13:$U$19,EH$12))),$I78,"")</f>
        <v/>
      </c>
      <c r="EI78" s="592" t="str">
        <f>IF(AND(EI$12&gt;=$E78,EI$12&lt;=$F78,MOD(EI$12,7)&gt;1,NOT(COUNTIF(General!$U$13:$U$19,EI$12))),$I78,"")</f>
        <v/>
      </c>
      <c r="EJ78" s="592" t="str">
        <f>IF(AND(EJ$12&gt;=$E78,EJ$12&lt;=$F78,MOD(EJ$12,7)&gt;1,NOT(COUNTIF(General!$U$13:$U$19,EJ$12))),$I78,"")</f>
        <v/>
      </c>
      <c r="EK78" s="649" t="str">
        <f>IF(AND(EK$12&gt;=$E78,EK$12&lt;=$F78,MOD(EK$12,7)&gt;1,NOT(COUNTIF(General!$U$13:$U$19,EK$12))),$I78,"")</f>
        <v/>
      </c>
      <c r="EL78" s="649" t="str">
        <f>IF(AND(EL$12&gt;=$E78,EL$12&lt;=$F78,MOD(EL$12,7)&gt;1,NOT(COUNTIF(General!$U$13:$U$19,EL$12))),$I78,"")</f>
        <v/>
      </c>
      <c r="EM78" s="592" t="str">
        <f>IF(AND(EM$12&gt;=$E78,EM$12&lt;=$F78,MOD(EM$12,7)&gt;1,NOT(COUNTIF(General!$U$13:$U$19,EM$12))),$I78,"")</f>
        <v/>
      </c>
      <c r="EN78" s="592" t="str">
        <f>IF(AND(EN$12&gt;=$E78,EN$12&lt;=$F78,MOD(EN$12,7)&gt;1,NOT(COUNTIF(General!$U$13:$U$19,EN$12))),$I78,"")</f>
        <v/>
      </c>
      <c r="EO78" s="592" t="str">
        <f>IF(AND(EO$12&gt;=$E78,EO$12&lt;=$F78,MOD(EO$12,7)&gt;1,NOT(COUNTIF(General!$U$13:$U$19,EO$12))),$I78,"")</f>
        <v/>
      </c>
      <c r="EP78" s="592" t="str">
        <f>IF(AND(EP$12&gt;=$E78,EP$12&lt;=$F78,MOD(EP$12,7)&gt;1,NOT(COUNTIF(General!$U$13:$U$19,EP$12))),$I78,"")</f>
        <v/>
      </c>
      <c r="EQ78" s="592" t="str">
        <f>IF(AND(EQ$12&gt;=$E78,EQ$12&lt;=$F78,MOD(EQ$12,7)&gt;1,NOT(COUNTIF(General!$U$13:$U$19,EQ$12))),$I78,"")</f>
        <v/>
      </c>
      <c r="ER78" s="649" t="str">
        <f>IF(AND(ER$12&gt;=$E78,ER$12&lt;=$F78,MOD(ER$12,7)&gt;1,NOT(COUNTIF(General!$U$13:$U$19,ER$12))),$I78,"")</f>
        <v/>
      </c>
      <c r="ES78" s="649" t="str">
        <f>IF(AND(ES$12&gt;=$E78,ES$12&lt;=$F78,MOD(ES$12,7)&gt;1,NOT(COUNTIF(General!$U$13:$U$19,ES$12))),$I78,"")</f>
        <v/>
      </c>
      <c r="ET78" s="592" t="str">
        <f>IF(AND(ET$12&gt;=$E78,ET$12&lt;=$F78,MOD(ET$12,7)&gt;1,NOT(COUNTIF(General!$U$13:$U$19,ET$12))),$I78,"")</f>
        <v/>
      </c>
      <c r="EU78" s="592" t="str">
        <f>IF(AND(EU$12&gt;=$E78,EU$12&lt;=$F78,MOD(EU$12,7)&gt;1,NOT(COUNTIF(General!$U$13:$U$19,EU$12))),$I78,"")</f>
        <v/>
      </c>
      <c r="EV78" s="592" t="str">
        <f>IF(AND(EV$12&gt;=$E78,EV$12&lt;=$F78,MOD(EV$12,7)&gt;1,NOT(COUNTIF(General!$U$13:$U$19,EV$12))),$I78,"")</f>
        <v/>
      </c>
      <c r="EW78" s="592" t="str">
        <f>IF(AND(EW$12&gt;=$E78,EW$12&lt;=$F78,MOD(EW$12,7)&gt;1,NOT(COUNTIF(General!$U$13:$U$19,EW$12))),$I78,"")</f>
        <v/>
      </c>
      <c r="EX78" s="592" t="str">
        <f>IF(AND(EX$12&gt;=$E78,EX$12&lt;=$F78,MOD(EX$12,7)&gt;1,NOT(COUNTIF(General!$U$13:$U$19,EX$12))),$I78,"")</f>
        <v/>
      </c>
      <c r="EY78" s="649" t="str">
        <f>IF(AND(EY$12&gt;=$E78,EY$12&lt;=$F78,MOD(EY$12,7)&gt;1,NOT(COUNTIF(General!$U$13:$U$19,EY$12))),$I78,"")</f>
        <v/>
      </c>
      <c r="EZ78" s="649" t="str">
        <f>IF(AND(EZ$12&gt;=$E78,EZ$12&lt;=$F78,MOD(EZ$12,7)&gt;1,NOT(COUNTIF(General!$U$13:$U$19,EZ$12))),$I78,"")</f>
        <v/>
      </c>
      <c r="FA78" s="592" t="str">
        <f>IF(AND(FA$12&gt;=$E78,FA$12&lt;=$F78,MOD(FA$12,7)&gt;1,NOT(COUNTIF(General!$U$13:$U$19,FA$12))),$I78,"")</f>
        <v/>
      </c>
      <c r="FB78" s="592" t="str">
        <f>IF(AND(FB$12&gt;=$E78,FB$12&lt;=$F78,MOD(FB$12,7)&gt;1,NOT(COUNTIF(General!$U$13:$U$19,FB$12))),$I78,"")</f>
        <v/>
      </c>
      <c r="FC78" s="592" t="str">
        <f>IF(AND(FC$12&gt;=$E78,FC$12&lt;=$F78,MOD(FC$12,7)&gt;1,NOT(COUNTIF(General!$U$13:$U$19,FC$12))),$I78,"")</f>
        <v/>
      </c>
      <c r="FD78" s="592" t="str">
        <f>IF(AND(FD$12&gt;=$E78,FD$12&lt;=$F78,MOD(FD$12,7)&gt;1,NOT(COUNTIF(General!$U$13:$U$19,FD$12))),$I78,"")</f>
        <v/>
      </c>
      <c r="FE78" s="592" t="str">
        <f>IF(AND(FE$12&gt;=$E78,FE$12&lt;=$F78,MOD(FE$12,7)&gt;1,NOT(COUNTIF(General!$U$13:$U$19,FE$12))),$I78,"")</f>
        <v/>
      </c>
      <c r="FF78" s="649" t="str">
        <f>IF(AND(FF$12&gt;=$E78,FF$12&lt;=$F78,MOD(FF$12,7)&gt;1,NOT(COUNTIF(General!$U$13:$U$19,FF$12))),$I78,"")</f>
        <v/>
      </c>
      <c r="FG78" s="649" t="str">
        <f>IF(AND(FG$12&gt;=$E78,FG$12&lt;=$F78,MOD(FG$12,7)&gt;1,NOT(COUNTIF(General!$U$13:$U$19,FG$12))),$I78,"")</f>
        <v/>
      </c>
      <c r="FH78" s="592" t="str">
        <f>IF(AND(FH$12&gt;=$E78,FH$12&lt;=$F78,MOD(FH$12,7)&gt;1,NOT(COUNTIF(General!$U$13:$U$19,FH$12))),$I78,"")</f>
        <v/>
      </c>
      <c r="FI78" s="592" t="str">
        <f>IF(AND(FI$12&gt;=$E78,FI$12&lt;=$F78,MOD(FI$12,7)&gt;1,NOT(COUNTIF(General!$U$13:$U$19,FI$12))),$I78,"")</f>
        <v/>
      </c>
      <c r="FJ78" s="592" t="str">
        <f>IF(AND(FJ$12&gt;=$E78,FJ$12&lt;=$F78,MOD(FJ$12,7)&gt;1,NOT(COUNTIF(General!$U$13:$U$19,FJ$12))),$I78,"")</f>
        <v/>
      </c>
      <c r="FK78" s="592" t="str">
        <f>IF(AND(FK$12&gt;=$E78,FK$12&lt;=$F78,MOD(FK$12,7)&gt;1,NOT(COUNTIF(General!$U$13:$U$19,FK$12))),$I78,"")</f>
        <v/>
      </c>
      <c r="FL78" s="592" t="str">
        <f>IF(AND(FL$12&gt;=$E78,FL$12&lt;=$F78,MOD(FL$12,7)&gt;1,NOT(COUNTIF(General!$U$13:$U$19,FL$12))),$I78,"")</f>
        <v/>
      </c>
      <c r="FM78" s="649" t="str">
        <f>IF(AND(FM$12&gt;=$E78,FM$12&lt;=$F78,MOD(FM$12,7)&gt;1,NOT(COUNTIF(General!$U$13:$U$19,FM$12))),$I78,"")</f>
        <v/>
      </c>
      <c r="FN78" s="649" t="str">
        <f>IF(AND(FN$12&gt;=$E78,FN$12&lt;=$F78,MOD(FN$12,7)&gt;1,NOT(COUNTIF(General!$U$13:$U$19,FN$12))),$I78,"")</f>
        <v/>
      </c>
      <c r="FO78" s="592" t="str">
        <f>IF(AND(FO$12&gt;=$E78,FO$12&lt;=$F78,MOD(FO$12,7)&gt;1,NOT(COUNTIF(General!$U$13:$U$19,FO$12))),$I78,"")</f>
        <v/>
      </c>
      <c r="FP78" s="592" t="str">
        <f>IF(AND(FP$12&gt;=$E78,FP$12&lt;=$F78,MOD(FP$12,7)&gt;1,NOT(COUNTIF(General!$U$13:$U$19,FP$12))),$I78,"")</f>
        <v/>
      </c>
      <c r="FQ78" s="592" t="str">
        <f>IF(AND(FQ$12&gt;=$E78,FQ$12&lt;=$F78,MOD(FQ$12,7)&gt;1,NOT(COUNTIF(General!$U$13:$U$19,FQ$12))),$I78,"")</f>
        <v/>
      </c>
      <c r="FR78" s="592" t="str">
        <f>IF(AND(FR$12&gt;=$E78,FR$12&lt;=$F78,MOD(FR$12,7)&gt;1,NOT(COUNTIF(General!$U$13:$U$19,FR$12))),$I78,"")</f>
        <v/>
      </c>
      <c r="FS78" s="592" t="str">
        <f>IF(AND(FS$12&gt;=$E78,FS$12&lt;=$F78,MOD(FS$12,7)&gt;1,NOT(COUNTIF(General!$U$13:$U$19,FS$12))),$I78,"")</f>
        <v/>
      </c>
      <c r="FT78" s="649" t="str">
        <f>IF(AND(FT$12&gt;=$E78,FT$12&lt;=$F78,MOD(FT$12,7)&gt;1,NOT(COUNTIF(General!$U$13:$U$19,FT$12))),$I78,"")</f>
        <v/>
      </c>
      <c r="FU78" s="649" t="str">
        <f>IF(AND(FU$12&gt;=$E78,FU$12&lt;=$F78,MOD(FU$12,7)&gt;1,NOT(COUNTIF(General!$U$13:$U$19,FU$12))),$I78,"")</f>
        <v/>
      </c>
      <c r="FV78" s="592" t="str">
        <f>IF(AND(FV$12&gt;=$E78,FV$12&lt;=$F78,MOD(FV$12,7)&gt;1,NOT(COUNTIF(General!$U$13:$U$19,FV$12))),$I78,"")</f>
        <v/>
      </c>
      <c r="FW78" s="592" t="str">
        <f>IF(AND(FW$12&gt;=$E78,FW$12&lt;=$F78,MOD(FW$12,7)&gt;1,NOT(COUNTIF(General!$U$13:$U$19,FW$12))),$I78,"")</f>
        <v/>
      </c>
      <c r="FX78" s="592" t="str">
        <f>IF(AND(FX$12&gt;=$E78,FX$12&lt;=$F78,MOD(FX$12,7)&gt;1,NOT(COUNTIF(General!$U$13:$U$19,FX$12))),$I78,"")</f>
        <v/>
      </c>
    </row>
    <row r="79">
      <c r="A79" s="644"/>
      <c r="B79" s="592"/>
      <c r="C79" s="592"/>
      <c r="D79" s="625" t="s">
        <v>571</v>
      </c>
      <c r="E79" s="646"/>
      <c r="F79" s="646"/>
      <c r="G79" s="647"/>
      <c r="H79" s="585"/>
      <c r="I79" s="592"/>
      <c r="J79" s="648"/>
      <c r="K79" s="588"/>
      <c r="L79" s="588"/>
      <c r="M79" s="589"/>
      <c r="N79" s="590"/>
      <c r="O79" s="591"/>
      <c r="P79" s="592"/>
      <c r="Q79" s="592" t="str">
        <f>IF(AND(Q$12&gt;=$E79,Q$12&lt;=$F79,MOD(Q$12,7)&gt;1,NOT(COUNTIF(General!$U$13:$U$19,Q$12))),$I79,"")</f>
        <v/>
      </c>
      <c r="R79" s="592" t="str">
        <f>IF(AND(R$12&gt;=$E79,R$12&lt;=$F79,MOD(R$12,7)&gt;1,NOT(COUNTIF(General!$U$13:$U$19,R$12))),$I79,"")</f>
        <v/>
      </c>
      <c r="S79" s="592" t="str">
        <f>IF(AND(S$12&gt;=$E79,S$12&lt;=$F79,MOD(S$12,7)&gt;1,NOT(COUNTIF(General!$U$13:$U$19,S$12))),$I79,"")</f>
        <v/>
      </c>
      <c r="T79" s="592" t="str">
        <f>IF(AND(T$12&gt;=$E79,T$12&lt;=$F79,MOD(T$12,7)&gt;1,NOT(COUNTIF(General!$U$13:$U$19,T$12))),$I79,"")</f>
        <v/>
      </c>
      <c r="U79" s="592" t="str">
        <f>IF(AND(U$12&gt;=$E79,U$12&lt;=$F79,MOD(U$12,7)&gt;1,NOT(COUNTIF(General!$U$13:$U$19,U$12))),$I79,"")</f>
        <v/>
      </c>
      <c r="V79" s="649" t="str">
        <f>IF(AND(V$12&gt;=$E79,V$12&lt;=$F79,MOD(V$12,7)&gt;1,NOT(COUNTIF(General!$U$13:$U$19,V$12))),$I79,"")</f>
        <v/>
      </c>
      <c r="W79" s="649" t="str">
        <f>IF(AND(W$12&gt;=$E79,W$12&lt;=$F79,MOD(W$12,7)&gt;1,NOT(COUNTIF(General!$U$13:$U$19,W$12))),$I79,"")</f>
        <v/>
      </c>
      <c r="X79" s="592" t="str">
        <f>IF(AND(X$12&gt;=$E79,X$12&lt;=$F79,MOD(X$12,7)&gt;1,NOT(COUNTIF(General!$U$13:$U$19,X$12))),$I79,"")</f>
        <v/>
      </c>
      <c r="Y79" s="592" t="str">
        <f>IF(AND(Y$12&gt;=$E79,Y$12&lt;=$F79,MOD(Y$12,7)&gt;1,NOT(COUNTIF(General!$U$13:$U$19,Y$12))),$I79,"")</f>
        <v/>
      </c>
      <c r="Z79" s="592" t="str">
        <f>IF(AND(Z$12&gt;=$E79,Z$12&lt;=$F79,MOD(Z$12,7)&gt;1,NOT(COUNTIF(General!$U$13:$U$19,Z$12))),$I79,"")</f>
        <v/>
      </c>
      <c r="AA79" s="592" t="str">
        <f>IF(AND(AA$12&gt;=$E79,AA$12&lt;=$F79,MOD(AA$12,7)&gt;1,NOT(COUNTIF(General!$U$13:$U$19,AA$12))),$I79,"")</f>
        <v/>
      </c>
      <c r="AB79" s="592" t="str">
        <f>IF(AND(AB$12&gt;=$E79,AB$12&lt;=$F79,MOD(AB$12,7)&gt;1,NOT(COUNTIF(General!$U$13:$U$19,AB$12))),$I79,"")</f>
        <v/>
      </c>
      <c r="AC79" s="649" t="str">
        <f>IF(AND(AC$12&gt;=$E79,AC$12&lt;=$F79,MOD(AC$12,7)&gt;1,NOT(COUNTIF(General!$U$13:$U$19,AC$12))),$I79,"")</f>
        <v/>
      </c>
      <c r="AD79" s="649" t="str">
        <f>IF(AND(AD$12&gt;=$E79,AD$12&lt;=$F79,MOD(AD$12,7)&gt;1,NOT(COUNTIF(General!$U$13:$U$19,AD$12))),$I79,"")</f>
        <v/>
      </c>
      <c r="AE79" s="592" t="str">
        <f>IF(AND(AE$12&gt;=$E79,AE$12&lt;=$F79,MOD(AE$12,7)&gt;1,NOT(COUNTIF(General!$U$13:$U$19,AE$12))),$I79,"")</f>
        <v/>
      </c>
      <c r="AF79" s="592" t="str">
        <f>IF(AND(AF$12&gt;=$E79,AF$12&lt;=$F79,MOD(AF$12,7)&gt;1,NOT(COUNTIF(General!$U$13:$U$19,AF$12))),$I79,"")</f>
        <v/>
      </c>
      <c r="AG79" s="592" t="str">
        <f>IF(AND(AG$12&gt;=$E79,AG$12&lt;=$F79,MOD(AG$12,7)&gt;1,NOT(COUNTIF(General!$U$13:$U$19,AG$12))),$I79,"")</f>
        <v/>
      </c>
      <c r="AH79" s="592" t="str">
        <f>IF(AND(AH$12&gt;=$E79,AH$12&lt;=$F79,MOD(AH$12,7)&gt;1,NOT(COUNTIF(General!$U$13:$U$19,AH$12))),$I79,"")</f>
        <v/>
      </c>
      <c r="AI79" s="592" t="str">
        <f>IF(AND(AI$12&gt;=$E79,AI$12&lt;=$F79,MOD(AI$12,7)&gt;1,NOT(COUNTIF(General!$U$13:$U$19,AI$12))),$I79,"")</f>
        <v/>
      </c>
      <c r="AJ79" s="649" t="str">
        <f>IF(AND(AJ$12&gt;=$E79,AJ$12&lt;=$F79,MOD(AJ$12,7)&gt;1,NOT(COUNTIF(General!$U$13:$U$19,AJ$12))),$I79,"")</f>
        <v/>
      </c>
      <c r="AK79" s="649" t="str">
        <f>IF(AND(AK$12&gt;=$E79,AK$12&lt;=$F79,MOD(AK$12,7)&gt;1,NOT(COUNTIF(General!$U$13:$U$19,AK$12))),$I79,"")</f>
        <v/>
      </c>
      <c r="AL79" s="592" t="str">
        <f>IF(AND(AL$12&gt;=$E79,AL$12&lt;=$F79,MOD(AL$12,7)&gt;1,NOT(COUNTIF(General!$U$13:$U$19,AL$12))),$I79,"")</f>
        <v/>
      </c>
      <c r="AM79" s="592" t="str">
        <f>IF(AND(AM$12&gt;=$E79,AM$12&lt;=$F79,MOD(AM$12,7)&gt;1,NOT(COUNTIF(General!$U$13:$U$19,AM$12))),$I79,"")</f>
        <v/>
      </c>
      <c r="AN79" s="592" t="str">
        <f>IF(AND(AN$12&gt;=$E79,AN$12&lt;=$F79,MOD(AN$12,7)&gt;1,NOT(COUNTIF(General!$U$13:$U$19,AN$12))),$I79,"")</f>
        <v/>
      </c>
      <c r="AO79" s="592" t="str">
        <f>IF(AND(AO$12&gt;=$E79,AO$12&lt;=$F79,MOD(AO$12,7)&gt;1,NOT(COUNTIF(General!$U$13:$U$19,AO$12))),$I79,"")</f>
        <v/>
      </c>
      <c r="AP79" s="592" t="str">
        <f>IF(AND(AP$12&gt;=$E79,AP$12&lt;=$F79,MOD(AP$12,7)&gt;1,NOT(COUNTIF(General!$U$13:$U$19,AP$12))),$I79,"")</f>
        <v/>
      </c>
      <c r="AQ79" s="649" t="str">
        <f>IF(AND(AQ$12&gt;=$E79,AQ$12&lt;=$F79,MOD(AQ$12,7)&gt;1,NOT(COUNTIF(General!$U$13:$U$19,AQ$12))),$I79,"")</f>
        <v/>
      </c>
      <c r="AR79" s="649" t="str">
        <f>IF(AND(AR$12&gt;=$E79,AR$12&lt;=$F79,MOD(AR$12,7)&gt;1,NOT(COUNTIF(General!$U$13:$U$19,AR$12))),$I79,"")</f>
        <v/>
      </c>
      <c r="AS79" s="592" t="str">
        <f>IF(AND(AS$12&gt;=$E79,AS$12&lt;=$F79,MOD(AS$12,7)&gt;1,NOT(COUNTIF(General!$U$13:$U$19,AS$12))),$I79,"")</f>
        <v/>
      </c>
      <c r="AT79" s="592" t="str">
        <f>IF(AND(AT$12&gt;=$E79,AT$12&lt;=$F79,MOD(AT$12,7)&gt;1,NOT(COUNTIF(General!$U$13:$U$19,AT$12))),$I79,"")</f>
        <v/>
      </c>
      <c r="AU79" s="592" t="str">
        <f>IF(AND(AU$12&gt;=$E79,AU$12&lt;=$F79,MOD(AU$12,7)&gt;1,NOT(COUNTIF(General!$U$13:$U$19,AU$12))),$I79,"")</f>
        <v/>
      </c>
      <c r="AV79" s="592" t="str">
        <f>IF(AND(AV$12&gt;=$E79,AV$12&lt;=$F79,MOD(AV$12,7)&gt;1,NOT(COUNTIF(General!$U$13:$U$19,AV$12))),$I79,"")</f>
        <v/>
      </c>
      <c r="AW79" s="592" t="str">
        <f>IF(AND(AW$12&gt;=$E79,AW$12&lt;=$F79,MOD(AW$12,7)&gt;1,NOT(COUNTIF(General!$U$13:$U$19,AW$12))),$I79,"")</f>
        <v/>
      </c>
      <c r="AX79" s="649" t="str">
        <f>IF(AND(AX$12&gt;=$E79,AX$12&lt;=$F79,MOD(AX$12,7)&gt;1,NOT(COUNTIF(General!$U$13:$U$19,AX$12))),$I79,"")</f>
        <v/>
      </c>
      <c r="AY79" s="649" t="str">
        <f>IF(AND(AY$12&gt;=$E79,AY$12&lt;=$F79,MOD(AY$12,7)&gt;1,NOT(COUNTIF(General!$U$13:$U$19,AY$12))),$I79,"")</f>
        <v/>
      </c>
      <c r="AZ79" s="592" t="str">
        <f>IF(AND(AZ$12&gt;=$E79,AZ$12&lt;=$F79,MOD(AZ$12,7)&gt;1,NOT(COUNTIF(General!$U$13:$U$19,AZ$12))),$I79,"")</f>
        <v/>
      </c>
      <c r="BA79" s="592" t="str">
        <f>IF(AND(BA$12&gt;=$E79,BA$12&lt;=$F79,MOD(BA$12,7)&gt;1,NOT(COUNTIF(General!$U$13:$U$19,BA$12))),$I79,"")</f>
        <v/>
      </c>
      <c r="BB79" s="592" t="str">
        <f>IF(AND(BB$12&gt;=$E79,BB$12&lt;=$F79,MOD(BB$12,7)&gt;1,NOT(COUNTIF(General!$U$13:$U$19,BB$12))),$I79,"")</f>
        <v/>
      </c>
      <c r="BC79" s="592" t="str">
        <f>IF(AND(BC$12&gt;=$E79,BC$12&lt;=$F79,MOD(BC$12,7)&gt;1,NOT(COUNTIF(General!$U$13:$U$19,BC$12))),$I79,"")</f>
        <v/>
      </c>
      <c r="BD79" s="592" t="str">
        <f>IF(AND(BD$12&gt;=$E79,BD$12&lt;=$F79,MOD(BD$12,7)&gt;1,NOT(COUNTIF(General!$U$13:$U$19,BD$12))),$I79,"")</f>
        <v/>
      </c>
      <c r="BE79" s="649" t="str">
        <f>IF(AND(BE$12&gt;=$E79,BE$12&lt;=$F79,MOD(BE$12,7)&gt;1,NOT(COUNTIF(General!$U$13:$U$19,BE$12))),$I79,"")</f>
        <v/>
      </c>
      <c r="BF79" s="649" t="str">
        <f>IF(AND(BF$12&gt;=$E79,BF$12&lt;=$F79,MOD(BF$12,7)&gt;1,NOT(COUNTIF(General!$U$13:$U$19,BF$12))),$I79,"")</f>
        <v/>
      </c>
      <c r="BG79" s="592" t="str">
        <f>IF(AND(BG$12&gt;=$E79,BG$12&lt;=$F79,MOD(BG$12,7)&gt;1,NOT(COUNTIF(General!$U$13:$U$19,BG$12))),$I79,"")</f>
        <v/>
      </c>
      <c r="BH79" s="592" t="str">
        <f>IF(AND(BH$12&gt;=$E79,BH$12&lt;=$F79,MOD(BH$12,7)&gt;1,NOT(COUNTIF(General!$U$13:$U$19,BH$12))),$I79,"")</f>
        <v/>
      </c>
      <c r="BI79" s="592" t="str">
        <f>IF(AND(BI$12&gt;=$E79,BI$12&lt;=$F79,MOD(BI$12,7)&gt;1,NOT(COUNTIF(General!$U$13:$U$19,BI$12))),$I79,"")</f>
        <v/>
      </c>
      <c r="BJ79" s="592" t="str">
        <f>IF(AND(BJ$12&gt;=$E79,BJ$12&lt;=$F79,MOD(BJ$12,7)&gt;1,NOT(COUNTIF(General!$U$13:$U$19,BJ$12))),$I79,"")</f>
        <v/>
      </c>
      <c r="BK79" s="592" t="str">
        <f>IF(AND(BK$12&gt;=$E79,BK$12&lt;=$F79,MOD(BK$12,7)&gt;1,NOT(COUNTIF(General!$U$13:$U$19,BK$12))),$I79,"")</f>
        <v/>
      </c>
      <c r="BL79" s="649" t="str">
        <f>IF(AND(BL$12&gt;=$E79,BL$12&lt;=$F79,MOD(BL$12,7)&gt;1,NOT(COUNTIF(General!$U$13:$U$19,BL$12))),$I79,"")</f>
        <v/>
      </c>
      <c r="BM79" s="649" t="str">
        <f>IF(AND(BM$12&gt;=$E79,BM$12&lt;=$F79,MOD(BM$12,7)&gt;1,NOT(COUNTIF(General!$U$13:$U$19,BM$12))),$I79,"")</f>
        <v/>
      </c>
      <c r="BN79" s="592" t="str">
        <f>IF(AND(BN$12&gt;=$E79,BN$12&lt;=$F79,MOD(BN$12,7)&gt;1,NOT(COUNTIF(General!$U$13:$U$19,BN$12))),$I79,"")</f>
        <v/>
      </c>
      <c r="BO79" s="592" t="str">
        <f>IF(AND(BO$12&gt;=$E79,BO$12&lt;=$F79,MOD(BO$12,7)&gt;1,NOT(COUNTIF(General!$U$13:$U$19,BO$12))),$I79,"")</f>
        <v/>
      </c>
      <c r="BP79" s="592" t="str">
        <f>IF(AND(BP$12&gt;=$E79,BP$12&lt;=$F79,MOD(BP$12,7)&gt;1,NOT(COUNTIF(General!$U$13:$U$19,BP$12))),$I79,"")</f>
        <v/>
      </c>
      <c r="BQ79" s="592" t="str">
        <f>IF(AND(BQ$12&gt;=$E79,BQ$12&lt;=$F79,MOD(BQ$12,7)&gt;1,NOT(COUNTIF(General!$U$13:$U$19,BQ$12))),$I79,"")</f>
        <v/>
      </c>
      <c r="BR79" s="592" t="str">
        <f>IF(AND(BR$12&gt;=$E79,BR$12&lt;=$F79,MOD(BR$12,7)&gt;1,NOT(COUNTIF(General!$U$13:$U$19,BR$12))),$I79,"")</f>
        <v/>
      </c>
      <c r="BS79" s="649" t="str">
        <f>IF(AND(BS$12&gt;=$E79,BS$12&lt;=$F79,MOD(BS$12,7)&gt;1,NOT(COUNTIF(General!$U$13:$U$19,BS$12))),$I79,"")</f>
        <v/>
      </c>
      <c r="BT79" s="649" t="str">
        <f>IF(AND(BT$12&gt;=$E79,BT$12&lt;=$F79,MOD(BT$12,7)&gt;1,NOT(COUNTIF(General!$U$13:$U$19,BT$12))),$I79,"")</f>
        <v/>
      </c>
      <c r="BU79" s="592" t="str">
        <f>IF(AND(BU$12&gt;=$E79,BU$12&lt;=$F79,MOD(BU$12,7)&gt;1,NOT(COUNTIF(General!$U$13:$U$19,BU$12))),$I79,"")</f>
        <v/>
      </c>
      <c r="BV79" s="592" t="str">
        <f>IF(AND(BV$12&gt;=$E79,BV$12&lt;=$F79,MOD(BV$12,7)&gt;1,NOT(COUNTIF(General!$U$13:$U$19,BV$12))),$I79,"")</f>
        <v/>
      </c>
      <c r="BW79" s="592" t="str">
        <f>IF(AND(BW$12&gt;=$E79,BW$12&lt;=$F79,MOD(BW$12,7)&gt;1,NOT(COUNTIF(General!$U$13:$U$19,BW$12))),$I79,"")</f>
        <v/>
      </c>
      <c r="BX79" s="592" t="str">
        <f>IF(AND(BX$12&gt;=$E79,BX$12&lt;=$F79,MOD(BX$12,7)&gt;1,NOT(COUNTIF(General!$U$13:$U$19,BX$12))),$I79,"")</f>
        <v/>
      </c>
      <c r="BY79" s="592" t="str">
        <f>IF(AND(BY$12&gt;=$E79,BY$12&lt;=$F79,MOD(BY$12,7)&gt;1,NOT(COUNTIF(General!$U$13:$U$19,BY$12))),$I79,"")</f>
        <v/>
      </c>
      <c r="BZ79" s="649" t="str">
        <f>IF(AND(BZ$12&gt;=$E79,BZ$12&lt;=$F79,MOD(BZ$12,7)&gt;1,NOT(COUNTIF(General!$U$13:$U$19,BZ$12))),$I79,"")</f>
        <v/>
      </c>
      <c r="CA79" s="649" t="str">
        <f>IF(AND(CA$12&gt;=$E79,CA$12&lt;=$F79,MOD(CA$12,7)&gt;1,NOT(COUNTIF(General!$U$13:$U$19,CA$12))),$I79,"")</f>
        <v/>
      </c>
      <c r="CB79" s="592" t="str">
        <f>IF(AND(CB$12&gt;=$E79,CB$12&lt;=$F79,MOD(CB$12,7)&gt;1,NOT(COUNTIF(General!$U$13:$U$19,CB$12))),$I79,"")</f>
        <v/>
      </c>
      <c r="CC79" s="592" t="str">
        <f>IF(AND(CC$12&gt;=$E79,CC$12&lt;=$F79,MOD(CC$12,7)&gt;1,NOT(COUNTIF(General!$U$13:$U$19,CC$12))),$I79,"")</f>
        <v/>
      </c>
      <c r="CD79" s="592" t="str">
        <f>IF(AND(CD$12&gt;=$E79,CD$12&lt;=$F79,MOD(CD$12,7)&gt;1,NOT(COUNTIF(General!$U$13:$U$19,CD$12))),$I79,"")</f>
        <v/>
      </c>
      <c r="CE79" s="592" t="str">
        <f>IF(AND(CE$12&gt;=$E79,CE$12&lt;=$F79,MOD(CE$12,7)&gt;1,NOT(COUNTIF(General!$U$13:$U$19,CE$12))),$I79,"")</f>
        <v/>
      </c>
      <c r="CF79" s="592" t="str">
        <f>IF(AND(CF$12&gt;=$E79,CF$12&lt;=$F79,MOD(CF$12,7)&gt;1,NOT(COUNTIF(General!$U$13:$U$19,CF$12))),$I79,"")</f>
        <v/>
      </c>
      <c r="CG79" s="649" t="str">
        <f>IF(AND(CG$12&gt;=$E79,CG$12&lt;=$F79,MOD(CG$12,7)&gt;1,NOT(COUNTIF(General!$U$13:$U$19,CG$12))),$I79,"")</f>
        <v/>
      </c>
      <c r="CH79" s="649" t="str">
        <f>IF(AND(CH$12&gt;=$E79,CH$12&lt;=$F79,MOD(CH$12,7)&gt;1,NOT(COUNTIF(General!$U$13:$U$19,CH$12))),$I79,"")</f>
        <v/>
      </c>
      <c r="CI79" s="592" t="str">
        <f>IF(AND(CI$12&gt;=$E79,CI$12&lt;=$F79,MOD(CI$12,7)&gt;1,NOT(COUNTIF(General!$U$13:$U$19,CI$12))),$I79,"")</f>
        <v/>
      </c>
      <c r="CJ79" s="592" t="str">
        <f>IF(AND(CJ$12&gt;=$E79,CJ$12&lt;=$F79,MOD(CJ$12,7)&gt;1,NOT(COUNTIF(General!$U$13:$U$19,CJ$12))),$I79,"")</f>
        <v/>
      </c>
      <c r="CK79" s="592" t="str">
        <f>IF(AND(CK$12&gt;=$E79,CK$12&lt;=$F79,MOD(CK$12,7)&gt;1,NOT(COUNTIF(General!$U$13:$U$19,CK$12))),$I79,"")</f>
        <v/>
      </c>
      <c r="CL79" s="592" t="str">
        <f>IF(AND(CL$12&gt;=$E79,CL$12&lt;=$F79,MOD(CL$12,7)&gt;1,NOT(COUNTIF(General!$U$13:$U$19,CL$12))),$I79,"")</f>
        <v/>
      </c>
      <c r="CM79" s="592" t="str">
        <f>IF(AND(CM$12&gt;=$E79,CM$12&lt;=$F79,MOD(CM$12,7)&gt;1,NOT(COUNTIF(General!$U$13:$U$19,CM$12))),$I79,"")</f>
        <v/>
      </c>
      <c r="CN79" s="649" t="str">
        <f>IF(AND(CN$12&gt;=$E79,CN$12&lt;=$F79,MOD(CN$12,7)&gt;1,NOT(COUNTIF(General!$U$13:$U$19,CN$12))),$I79,"")</f>
        <v/>
      </c>
      <c r="CO79" s="649" t="str">
        <f>IF(AND(CO$12&gt;=$E79,CO$12&lt;=$F79,MOD(CO$12,7)&gt;1,NOT(COUNTIF(General!$U$13:$U$19,CO$12))),$I79,"")</f>
        <v/>
      </c>
      <c r="CP79" s="592" t="str">
        <f>IF(AND(CP$12&gt;=$E79,CP$12&lt;=$F79,MOD(CP$12,7)&gt;1,NOT(COUNTIF(General!$U$13:$U$19,CP$12))),$I79,"")</f>
        <v/>
      </c>
      <c r="CQ79" s="592" t="str">
        <f>IF(AND(CQ$12&gt;=$E79,CQ$12&lt;=$F79,MOD(CQ$12,7)&gt;1,NOT(COUNTIF(General!$U$13:$U$19,CQ$12))),$I79,"")</f>
        <v/>
      </c>
      <c r="CR79" s="592" t="str">
        <f>IF(AND(CR$12&gt;=$E79,CR$12&lt;=$F79,MOD(CR$12,7)&gt;1,NOT(COUNTIF(General!$U$13:$U$19,CR$12))),$I79,"")</f>
        <v/>
      </c>
      <c r="CS79" s="592" t="str">
        <f>IF(AND(CS$12&gt;=$E79,CS$12&lt;=$F79,MOD(CS$12,7)&gt;1,NOT(COUNTIF(General!$U$13:$U$19,CS$12))),$I79,"")</f>
        <v/>
      </c>
      <c r="CT79" s="592" t="str">
        <f>IF(AND(CT$12&gt;=$E79,CT$12&lt;=$F79,MOD(CT$12,7)&gt;1,NOT(COUNTIF(General!$U$13:$U$19,CT$12))),$I79,"")</f>
        <v/>
      </c>
      <c r="CU79" s="649" t="str">
        <f>IF(AND(CU$12&gt;=$E79,CU$12&lt;=$F79,MOD(CU$12,7)&gt;1,NOT(COUNTIF(General!$U$13:$U$19,CU$12))),$I79,"")</f>
        <v/>
      </c>
      <c r="CV79" s="649" t="str">
        <f>IF(AND(CV$12&gt;=$E79,CV$12&lt;=$F79,MOD(CV$12,7)&gt;1,NOT(COUNTIF(General!$U$13:$U$19,CV$12))),$I79,"")</f>
        <v/>
      </c>
      <c r="CW79" s="592" t="str">
        <f>IF(AND(CW$12&gt;=$E79,CW$12&lt;=$F79,MOD(CW$12,7)&gt;1,NOT(COUNTIF(General!$U$13:$U$19,CW$12))),$I79,"")</f>
        <v/>
      </c>
      <c r="CX79" s="592" t="str">
        <f>IF(AND(CX$12&gt;=$E79,CX$12&lt;=$F79,MOD(CX$12,7)&gt;1,NOT(COUNTIF(General!$U$13:$U$19,CX$12))),$I79,"")</f>
        <v/>
      </c>
      <c r="CY79" s="592" t="str">
        <f>IF(AND(CY$12&gt;=$E79,CY$12&lt;=$F79,MOD(CY$12,7)&gt;1,NOT(COUNTIF(General!$U$13:$U$19,CY$12))),$I79,"")</f>
        <v/>
      </c>
      <c r="CZ79" s="592" t="str">
        <f>IF(AND(CZ$12&gt;=$E79,CZ$12&lt;=$F79,MOD(CZ$12,7)&gt;1,NOT(COUNTIF(General!$U$13:$U$19,CZ$12))),$I79,"")</f>
        <v/>
      </c>
      <c r="DA79" s="592" t="str">
        <f>IF(AND(DA$12&gt;=$E79,DA$12&lt;=$F79,MOD(DA$12,7)&gt;1,NOT(COUNTIF(General!$U$13:$U$19,DA$12))),$I79,"")</f>
        <v/>
      </c>
      <c r="DB79" s="649" t="str">
        <f>IF(AND(DB$12&gt;=$E79,DB$12&lt;=$F79,MOD(DB$12,7)&gt;1,NOT(COUNTIF(General!$U$13:$U$19,DB$12))),$I79,"")</f>
        <v/>
      </c>
      <c r="DC79" s="649" t="str">
        <f>IF(AND(DC$12&gt;=$E79,DC$12&lt;=$F79,MOD(DC$12,7)&gt;1,NOT(COUNTIF(General!$U$13:$U$19,DC$12))),$I79,"")</f>
        <v/>
      </c>
      <c r="DD79" s="592" t="str">
        <f>IF(AND(DD$12&gt;=$E79,DD$12&lt;=$F79,MOD(DD$12,7)&gt;1,NOT(COUNTIF(General!$U$13:$U$19,DD$12))),$I79,"")</f>
        <v/>
      </c>
      <c r="DE79" s="592" t="str">
        <f>IF(AND(DE$12&gt;=$E79,DE$12&lt;=$F79,MOD(DE$12,7)&gt;1,NOT(COUNTIF(General!$U$13:$U$19,DE$12))),$I79,"")</f>
        <v/>
      </c>
      <c r="DF79" s="592" t="str">
        <f>IF(AND(DF$12&gt;=$E79,DF$12&lt;=$F79,MOD(DF$12,7)&gt;1,NOT(COUNTIF(General!$U$13:$U$19,DF$12))),$I79,"")</f>
        <v/>
      </c>
      <c r="DG79" s="592" t="str">
        <f>IF(AND(DG$12&gt;=$E79,DG$12&lt;=$F79,MOD(DG$12,7)&gt;1,NOT(COUNTIF(General!$U$13:$U$19,DG$12))),$I79,"")</f>
        <v/>
      </c>
      <c r="DH79" s="592" t="str">
        <f>IF(AND(DH$12&gt;=$E79,DH$12&lt;=$F79,MOD(DH$12,7)&gt;1,NOT(COUNTIF(General!$U$13:$U$19,DH$12))),$I79,"")</f>
        <v/>
      </c>
      <c r="DI79" s="649" t="str">
        <f>IF(AND(DI$12&gt;=$E79,DI$12&lt;=$F79,MOD(DI$12,7)&gt;1,NOT(COUNTIF(General!$U$13:$U$19,DI$12))),$I79,"")</f>
        <v/>
      </c>
      <c r="DJ79" s="649" t="str">
        <f>IF(AND(DJ$12&gt;=$E79,DJ$12&lt;=$F79,MOD(DJ$12,7)&gt;1,NOT(COUNTIF(General!$U$13:$U$19,DJ$12))),$I79,"")</f>
        <v/>
      </c>
      <c r="DK79" s="592" t="str">
        <f>IF(AND(DK$12&gt;=$E79,DK$12&lt;=$F79,MOD(DK$12,7)&gt;1,NOT(COUNTIF(General!$U$13:$U$19,DK$12))),$I79,"")</f>
        <v/>
      </c>
      <c r="DL79" s="592" t="str">
        <f>IF(AND(DL$12&gt;=$E79,DL$12&lt;=$F79,MOD(DL$12,7)&gt;1,NOT(COUNTIF(General!$U$13:$U$19,DL$12))),$I79,"")</f>
        <v/>
      </c>
      <c r="DM79" s="592" t="str">
        <f>IF(AND(DM$12&gt;=$E79,DM$12&lt;=$F79,MOD(DM$12,7)&gt;1,NOT(COUNTIF(General!$U$13:$U$19,DM$12))),$I79,"")</f>
        <v/>
      </c>
      <c r="DN79" s="592" t="str">
        <f>IF(AND(DN$12&gt;=$E79,DN$12&lt;=$F79,MOD(DN$12,7)&gt;1,NOT(COUNTIF(General!$U$13:$U$19,DN$12))),$I79,"")</f>
        <v/>
      </c>
      <c r="DO79" s="592" t="str">
        <f>IF(AND(DO$12&gt;=$E79,DO$12&lt;=$F79,MOD(DO$12,7)&gt;1,NOT(COUNTIF(General!$U$13:$U$19,DO$12))),$I79,"")</f>
        <v/>
      </c>
      <c r="DP79" s="649" t="str">
        <f>IF(AND(DP$12&gt;=$E79,DP$12&lt;=$F79,MOD(DP$12,7)&gt;1,NOT(COUNTIF(General!$U$13:$U$19,DP$12))),$I79,"")</f>
        <v/>
      </c>
      <c r="DQ79" s="649" t="str">
        <f>IF(AND(DQ$12&gt;=$E79,DQ$12&lt;=$F79,MOD(DQ$12,7)&gt;1,NOT(COUNTIF(General!$U$13:$U$19,DQ$12))),$I79,"")</f>
        <v/>
      </c>
      <c r="DR79" s="592" t="str">
        <f>IF(AND(DR$12&gt;=$E79,DR$12&lt;=$F79,MOD(DR$12,7)&gt;1,NOT(COUNTIF(General!$U$13:$U$19,DR$12))),$I79,"")</f>
        <v/>
      </c>
      <c r="DS79" s="592" t="str">
        <f>IF(AND(DS$12&gt;=$E79,DS$12&lt;=$F79,MOD(DS$12,7)&gt;1,NOT(COUNTIF(General!$U$13:$U$19,DS$12))),$I79,"")</f>
        <v/>
      </c>
      <c r="DT79" s="592" t="str">
        <f>IF(AND(DT$12&gt;=$E79,DT$12&lt;=$F79,MOD(DT$12,7)&gt;1,NOT(COUNTIF(General!$U$13:$U$19,DT$12))),$I79,"")</f>
        <v/>
      </c>
      <c r="DU79" s="592" t="str">
        <f>IF(AND(DU$12&gt;=$E79,DU$12&lt;=$F79,MOD(DU$12,7)&gt;1,NOT(COUNTIF(General!$U$13:$U$19,DU$12))),$I79,"")</f>
        <v/>
      </c>
      <c r="DV79" s="592" t="str">
        <f>IF(AND(DV$12&gt;=$E79,DV$12&lt;=$F79,MOD(DV$12,7)&gt;1,NOT(COUNTIF(General!$U$13:$U$19,DV$12))),$I79,"")</f>
        <v/>
      </c>
      <c r="DW79" s="649" t="str">
        <f>IF(AND(DW$12&gt;=$E79,DW$12&lt;=$F79,MOD(DW$12,7)&gt;1,NOT(COUNTIF(General!$U$13:$U$19,DW$12))),$I79,"")</f>
        <v/>
      </c>
      <c r="DX79" s="649" t="str">
        <f>IF(AND(DX$12&gt;=$E79,DX$12&lt;=$F79,MOD(DX$12,7)&gt;1,NOT(COUNTIF(General!$U$13:$U$19,DX$12))),$I79,"")</f>
        <v/>
      </c>
      <c r="DY79" s="592" t="str">
        <f>IF(AND(DY$12&gt;=$E79,DY$12&lt;=$F79,MOD(DY$12,7)&gt;1,NOT(COUNTIF(General!$U$13:$U$19,DY$12))),$I79,"")</f>
        <v/>
      </c>
      <c r="DZ79" s="592" t="str">
        <f>IF(AND(DZ$12&gt;=$E79,DZ$12&lt;=$F79,MOD(DZ$12,7)&gt;1,NOT(COUNTIF(General!$U$13:$U$19,DZ$12))),$I79,"")</f>
        <v/>
      </c>
      <c r="EA79" s="592" t="str">
        <f>IF(AND(EA$12&gt;=$E79,EA$12&lt;=$F79,MOD(EA$12,7)&gt;1,NOT(COUNTIF(General!$U$13:$U$19,EA$12))),$I79,"")</f>
        <v/>
      </c>
      <c r="EB79" s="592" t="str">
        <f>IF(AND(EB$12&gt;=$E79,EB$12&lt;=$F79,MOD(EB$12,7)&gt;1,NOT(COUNTIF(General!$U$13:$U$19,EB$12))),$I79,"")</f>
        <v/>
      </c>
      <c r="EC79" s="592" t="str">
        <f>IF(AND(EC$12&gt;=$E79,EC$12&lt;=$F79,MOD(EC$12,7)&gt;1,NOT(COUNTIF(General!$U$13:$U$19,EC$12))),$I79,"")</f>
        <v/>
      </c>
      <c r="ED79" s="649" t="str">
        <f>IF(AND(ED$12&gt;=$E79,ED$12&lt;=$F79,MOD(ED$12,7)&gt;1,NOT(COUNTIF(General!$U$13:$U$19,ED$12))),$I79,"")</f>
        <v/>
      </c>
      <c r="EE79" s="649" t="str">
        <f>IF(AND(EE$12&gt;=$E79,EE$12&lt;=$F79,MOD(EE$12,7)&gt;1,NOT(COUNTIF(General!$U$13:$U$19,EE$12))),$I79,"")</f>
        <v/>
      </c>
      <c r="EF79" s="592" t="str">
        <f>IF(AND(EF$12&gt;=$E79,EF$12&lt;=$F79,MOD(EF$12,7)&gt;1,NOT(COUNTIF(General!$U$13:$U$19,EF$12))),$I79,"")</f>
        <v/>
      </c>
      <c r="EG79" s="592" t="str">
        <f>IF(AND(EG$12&gt;=$E79,EG$12&lt;=$F79,MOD(EG$12,7)&gt;1,NOT(COUNTIF(General!$U$13:$U$19,EG$12))),$I79,"")</f>
        <v/>
      </c>
      <c r="EH79" s="592" t="str">
        <f>IF(AND(EH$12&gt;=$E79,EH$12&lt;=$F79,MOD(EH$12,7)&gt;1,NOT(COUNTIF(General!$U$13:$U$19,EH$12))),$I79,"")</f>
        <v/>
      </c>
      <c r="EI79" s="592" t="str">
        <f>IF(AND(EI$12&gt;=$E79,EI$12&lt;=$F79,MOD(EI$12,7)&gt;1,NOT(COUNTIF(General!$U$13:$U$19,EI$12))),$I79,"")</f>
        <v/>
      </c>
      <c r="EJ79" s="592" t="str">
        <f>IF(AND(EJ$12&gt;=$E79,EJ$12&lt;=$F79,MOD(EJ$12,7)&gt;1,NOT(COUNTIF(General!$U$13:$U$19,EJ$12))),$I79,"")</f>
        <v/>
      </c>
      <c r="EK79" s="649" t="str">
        <f>IF(AND(EK$12&gt;=$E79,EK$12&lt;=$F79,MOD(EK$12,7)&gt;1,NOT(COUNTIF(General!$U$13:$U$19,EK$12))),$I79,"")</f>
        <v/>
      </c>
      <c r="EL79" s="649" t="str">
        <f>IF(AND(EL$12&gt;=$E79,EL$12&lt;=$F79,MOD(EL$12,7)&gt;1,NOT(COUNTIF(General!$U$13:$U$19,EL$12))),$I79,"")</f>
        <v/>
      </c>
      <c r="EM79" s="592" t="str">
        <f>IF(AND(EM$12&gt;=$E79,EM$12&lt;=$F79,MOD(EM$12,7)&gt;1,NOT(COUNTIF(General!$U$13:$U$19,EM$12))),$I79,"")</f>
        <v/>
      </c>
      <c r="EN79" s="592" t="str">
        <f>IF(AND(EN$12&gt;=$E79,EN$12&lt;=$F79,MOD(EN$12,7)&gt;1,NOT(COUNTIF(General!$U$13:$U$19,EN$12))),$I79,"")</f>
        <v/>
      </c>
      <c r="EO79" s="592" t="str">
        <f>IF(AND(EO$12&gt;=$E79,EO$12&lt;=$F79,MOD(EO$12,7)&gt;1,NOT(COUNTIF(General!$U$13:$U$19,EO$12))),$I79,"")</f>
        <v/>
      </c>
      <c r="EP79" s="592" t="str">
        <f>IF(AND(EP$12&gt;=$E79,EP$12&lt;=$F79,MOD(EP$12,7)&gt;1,NOT(COUNTIF(General!$U$13:$U$19,EP$12))),$I79,"")</f>
        <v/>
      </c>
      <c r="EQ79" s="592" t="str">
        <f>IF(AND(EQ$12&gt;=$E79,EQ$12&lt;=$F79,MOD(EQ$12,7)&gt;1,NOT(COUNTIF(General!$U$13:$U$19,EQ$12))),$I79,"")</f>
        <v/>
      </c>
      <c r="ER79" s="649" t="str">
        <f>IF(AND(ER$12&gt;=$E79,ER$12&lt;=$F79,MOD(ER$12,7)&gt;1,NOT(COUNTIF(General!$U$13:$U$19,ER$12))),$I79,"")</f>
        <v/>
      </c>
      <c r="ES79" s="649" t="str">
        <f>IF(AND(ES$12&gt;=$E79,ES$12&lt;=$F79,MOD(ES$12,7)&gt;1,NOT(COUNTIF(General!$U$13:$U$19,ES$12))),$I79,"")</f>
        <v/>
      </c>
      <c r="ET79" s="592" t="str">
        <f>IF(AND(ET$12&gt;=$E79,ET$12&lt;=$F79,MOD(ET$12,7)&gt;1,NOT(COUNTIF(General!$U$13:$U$19,ET$12))),$I79,"")</f>
        <v/>
      </c>
      <c r="EU79" s="592" t="str">
        <f>IF(AND(EU$12&gt;=$E79,EU$12&lt;=$F79,MOD(EU$12,7)&gt;1,NOT(COUNTIF(General!$U$13:$U$19,EU$12))),$I79,"")</f>
        <v/>
      </c>
      <c r="EV79" s="592" t="str">
        <f>IF(AND(EV$12&gt;=$E79,EV$12&lt;=$F79,MOD(EV$12,7)&gt;1,NOT(COUNTIF(General!$U$13:$U$19,EV$12))),$I79,"")</f>
        <v/>
      </c>
      <c r="EW79" s="592" t="str">
        <f>IF(AND(EW$12&gt;=$E79,EW$12&lt;=$F79,MOD(EW$12,7)&gt;1,NOT(COUNTIF(General!$U$13:$U$19,EW$12))),$I79,"")</f>
        <v/>
      </c>
      <c r="EX79" s="592" t="str">
        <f>IF(AND(EX$12&gt;=$E79,EX$12&lt;=$F79,MOD(EX$12,7)&gt;1,NOT(COUNTIF(General!$U$13:$U$19,EX$12))),$I79,"")</f>
        <v/>
      </c>
      <c r="EY79" s="649" t="str">
        <f>IF(AND(EY$12&gt;=$E79,EY$12&lt;=$F79,MOD(EY$12,7)&gt;1,NOT(COUNTIF(General!$U$13:$U$19,EY$12))),$I79,"")</f>
        <v/>
      </c>
      <c r="EZ79" s="649" t="str">
        <f>IF(AND(EZ$12&gt;=$E79,EZ$12&lt;=$F79,MOD(EZ$12,7)&gt;1,NOT(COUNTIF(General!$U$13:$U$19,EZ$12))),$I79,"")</f>
        <v/>
      </c>
      <c r="FA79" s="592" t="str">
        <f>IF(AND(FA$12&gt;=$E79,FA$12&lt;=$F79,MOD(FA$12,7)&gt;1,NOT(COUNTIF(General!$U$13:$U$19,FA$12))),$I79,"")</f>
        <v/>
      </c>
      <c r="FB79" s="592" t="str">
        <f>IF(AND(FB$12&gt;=$E79,FB$12&lt;=$F79,MOD(FB$12,7)&gt;1,NOT(COUNTIF(General!$U$13:$U$19,FB$12))),$I79,"")</f>
        <v/>
      </c>
      <c r="FC79" s="592" t="str">
        <f>IF(AND(FC$12&gt;=$E79,FC$12&lt;=$F79,MOD(FC$12,7)&gt;1,NOT(COUNTIF(General!$U$13:$U$19,FC$12))),$I79,"")</f>
        <v/>
      </c>
      <c r="FD79" s="592" t="str">
        <f>IF(AND(FD$12&gt;=$E79,FD$12&lt;=$F79,MOD(FD$12,7)&gt;1,NOT(COUNTIF(General!$U$13:$U$19,FD$12))),$I79,"")</f>
        <v/>
      </c>
      <c r="FE79" s="592" t="str">
        <f>IF(AND(FE$12&gt;=$E79,FE$12&lt;=$F79,MOD(FE$12,7)&gt;1,NOT(COUNTIF(General!$U$13:$U$19,FE$12))),$I79,"")</f>
        <v/>
      </c>
      <c r="FF79" s="649" t="str">
        <f>IF(AND(FF$12&gt;=$E79,FF$12&lt;=$F79,MOD(FF$12,7)&gt;1,NOT(COUNTIF(General!$U$13:$U$19,FF$12))),$I79,"")</f>
        <v/>
      </c>
      <c r="FG79" s="649" t="str">
        <f>IF(AND(FG$12&gt;=$E79,FG$12&lt;=$F79,MOD(FG$12,7)&gt;1,NOT(COUNTIF(General!$U$13:$U$19,FG$12))),$I79,"")</f>
        <v/>
      </c>
      <c r="FH79" s="592" t="str">
        <f>IF(AND(FH$12&gt;=$E79,FH$12&lt;=$F79,MOD(FH$12,7)&gt;1,NOT(COUNTIF(General!$U$13:$U$19,FH$12))),$I79,"")</f>
        <v/>
      </c>
      <c r="FI79" s="592" t="str">
        <f>IF(AND(FI$12&gt;=$E79,FI$12&lt;=$F79,MOD(FI$12,7)&gt;1,NOT(COUNTIF(General!$U$13:$U$19,FI$12))),$I79,"")</f>
        <v/>
      </c>
      <c r="FJ79" s="592" t="str">
        <f>IF(AND(FJ$12&gt;=$E79,FJ$12&lt;=$F79,MOD(FJ$12,7)&gt;1,NOT(COUNTIF(General!$U$13:$U$19,FJ$12))),$I79,"")</f>
        <v/>
      </c>
      <c r="FK79" s="592" t="str">
        <f>IF(AND(FK$12&gt;=$E79,FK$12&lt;=$F79,MOD(FK$12,7)&gt;1,NOT(COUNTIF(General!$U$13:$U$19,FK$12))),$I79,"")</f>
        <v/>
      </c>
      <c r="FL79" s="592" t="str">
        <f>IF(AND(FL$12&gt;=$E79,FL$12&lt;=$F79,MOD(FL$12,7)&gt;1,NOT(COUNTIF(General!$U$13:$U$19,FL$12))),$I79,"")</f>
        <v/>
      </c>
      <c r="FM79" s="649" t="str">
        <f>IF(AND(FM$12&gt;=$E79,FM$12&lt;=$F79,MOD(FM$12,7)&gt;1,NOT(COUNTIF(General!$U$13:$U$19,FM$12))),$I79,"")</f>
        <v/>
      </c>
      <c r="FN79" s="649" t="str">
        <f>IF(AND(FN$12&gt;=$E79,FN$12&lt;=$F79,MOD(FN$12,7)&gt;1,NOT(COUNTIF(General!$U$13:$U$19,FN$12))),$I79,"")</f>
        <v/>
      </c>
      <c r="FO79" s="592" t="str">
        <f>IF(AND(FO$12&gt;=$E79,FO$12&lt;=$F79,MOD(FO$12,7)&gt;1,NOT(COUNTIF(General!$U$13:$U$19,FO$12))),$I79,"")</f>
        <v/>
      </c>
      <c r="FP79" s="592" t="str">
        <f>IF(AND(FP$12&gt;=$E79,FP$12&lt;=$F79,MOD(FP$12,7)&gt;1,NOT(COUNTIF(General!$U$13:$U$19,FP$12))),$I79,"")</f>
        <v/>
      </c>
      <c r="FQ79" s="592" t="str">
        <f>IF(AND(FQ$12&gt;=$E79,FQ$12&lt;=$F79,MOD(FQ$12,7)&gt;1,NOT(COUNTIF(General!$U$13:$U$19,FQ$12))),$I79,"")</f>
        <v/>
      </c>
      <c r="FR79" s="592" t="str">
        <f>IF(AND(FR$12&gt;=$E79,FR$12&lt;=$F79,MOD(FR$12,7)&gt;1,NOT(COUNTIF(General!$U$13:$U$19,FR$12))),$I79,"")</f>
        <v/>
      </c>
      <c r="FS79" s="592" t="str">
        <f>IF(AND(FS$12&gt;=$E79,FS$12&lt;=$F79,MOD(FS$12,7)&gt;1,NOT(COUNTIF(General!$U$13:$U$19,FS$12))),$I79,"")</f>
        <v/>
      </c>
      <c r="FT79" s="649" t="str">
        <f>IF(AND(FT$12&gt;=$E79,FT$12&lt;=$F79,MOD(FT$12,7)&gt;1,NOT(COUNTIF(General!$U$13:$U$19,FT$12))),$I79,"")</f>
        <v/>
      </c>
      <c r="FU79" s="649" t="str">
        <f>IF(AND(FU$12&gt;=$E79,FU$12&lt;=$F79,MOD(FU$12,7)&gt;1,NOT(COUNTIF(General!$U$13:$U$19,FU$12))),$I79,"")</f>
        <v/>
      </c>
      <c r="FV79" s="592" t="str">
        <f>IF(AND(FV$12&gt;=$E79,FV$12&lt;=$F79,MOD(FV$12,7)&gt;1,NOT(COUNTIF(General!$U$13:$U$19,FV$12))),$I79,"")</f>
        <v/>
      </c>
      <c r="FW79" s="592" t="str">
        <f>IF(AND(FW$12&gt;=$E79,FW$12&lt;=$F79,MOD(FW$12,7)&gt;1,NOT(COUNTIF(General!$U$13:$U$19,FW$12))),$I79,"")</f>
        <v/>
      </c>
      <c r="FX79" s="592" t="str">
        <f>IF(AND(FX$12&gt;=$E79,FX$12&lt;=$F79,MOD(FX$12,7)&gt;1,NOT(COUNTIF(General!$U$13:$U$19,FX$12))),$I79,"")</f>
        <v/>
      </c>
    </row>
    <row r="80">
      <c r="A80" s="644"/>
      <c r="B80" s="592"/>
      <c r="C80" s="592"/>
      <c r="D80" s="652" t="s">
        <v>594</v>
      </c>
      <c r="E80" s="646"/>
      <c r="F80" s="646"/>
      <c r="G80" s="647"/>
      <c r="H80" s="585"/>
      <c r="I80" s="592"/>
      <c r="J80" s="648"/>
      <c r="K80" s="588"/>
      <c r="L80" s="588"/>
      <c r="M80" s="589"/>
      <c r="N80" s="590"/>
      <c r="O80" s="591"/>
      <c r="P80" s="592"/>
      <c r="Q80" s="592" t="str">
        <f>IF(AND(Q$12&gt;=$E80,Q$12&lt;=$F80,MOD(Q$12,7)&gt;1,NOT(COUNTIF(General!$U$13:$U$19,Q$12))),$I80,"")</f>
        <v/>
      </c>
      <c r="R80" s="592" t="str">
        <f>IF(AND(R$12&gt;=$E80,R$12&lt;=$F80,MOD(R$12,7)&gt;1,NOT(COUNTIF(General!$U$13:$U$19,R$12))),$I80,"")</f>
        <v/>
      </c>
      <c r="S80" s="592" t="str">
        <f>IF(AND(S$12&gt;=$E80,S$12&lt;=$F80,MOD(S$12,7)&gt;1,NOT(COUNTIF(General!$U$13:$U$19,S$12))),$I80,"")</f>
        <v/>
      </c>
      <c r="T80" s="592" t="str">
        <f>IF(AND(T$12&gt;=$E80,T$12&lt;=$F80,MOD(T$12,7)&gt;1,NOT(COUNTIF(General!$U$13:$U$19,T$12))),$I80,"")</f>
        <v/>
      </c>
      <c r="U80" s="592" t="str">
        <f>IF(AND(U$12&gt;=$E80,U$12&lt;=$F80,MOD(U$12,7)&gt;1,NOT(COUNTIF(General!$U$13:$U$19,U$12))),$I80,"")</f>
        <v/>
      </c>
      <c r="V80" s="649" t="str">
        <f>IF(AND(V$12&gt;=$E80,V$12&lt;=$F80,MOD(V$12,7)&gt;1,NOT(COUNTIF(General!$U$13:$U$19,V$12))),$I80,"")</f>
        <v/>
      </c>
      <c r="W80" s="649" t="str">
        <f>IF(AND(W$12&gt;=$E80,W$12&lt;=$F80,MOD(W$12,7)&gt;1,NOT(COUNTIF(General!$U$13:$U$19,W$12))),$I80,"")</f>
        <v/>
      </c>
      <c r="X80" s="592" t="str">
        <f>IF(AND(X$12&gt;=$E80,X$12&lt;=$F80,MOD(X$12,7)&gt;1,NOT(COUNTIF(General!$U$13:$U$19,X$12))),$I80,"")</f>
        <v/>
      </c>
      <c r="Y80" s="592" t="str">
        <f>IF(AND(Y$12&gt;=$E80,Y$12&lt;=$F80,MOD(Y$12,7)&gt;1,NOT(COUNTIF(General!$U$13:$U$19,Y$12))),$I80,"")</f>
        <v/>
      </c>
      <c r="Z80" s="592" t="str">
        <f>IF(AND(Z$12&gt;=$E80,Z$12&lt;=$F80,MOD(Z$12,7)&gt;1,NOT(COUNTIF(General!$U$13:$U$19,Z$12))),$I80,"")</f>
        <v/>
      </c>
      <c r="AA80" s="592" t="str">
        <f>IF(AND(AA$12&gt;=$E80,AA$12&lt;=$F80,MOD(AA$12,7)&gt;1,NOT(COUNTIF(General!$U$13:$U$19,AA$12))),$I80,"")</f>
        <v/>
      </c>
      <c r="AB80" s="592" t="str">
        <f>IF(AND(AB$12&gt;=$E80,AB$12&lt;=$F80,MOD(AB$12,7)&gt;1,NOT(COUNTIF(General!$U$13:$U$19,AB$12))),$I80,"")</f>
        <v/>
      </c>
      <c r="AC80" s="649" t="str">
        <f>IF(AND(AC$12&gt;=$E80,AC$12&lt;=$F80,MOD(AC$12,7)&gt;1,NOT(COUNTIF(General!$U$13:$U$19,AC$12))),$I80,"")</f>
        <v/>
      </c>
      <c r="AD80" s="649" t="str">
        <f>IF(AND(AD$12&gt;=$E80,AD$12&lt;=$F80,MOD(AD$12,7)&gt;1,NOT(COUNTIF(General!$U$13:$U$19,AD$12))),$I80,"")</f>
        <v/>
      </c>
      <c r="AE80" s="592" t="str">
        <f>IF(AND(AE$12&gt;=$E80,AE$12&lt;=$F80,MOD(AE$12,7)&gt;1,NOT(COUNTIF(General!$U$13:$U$19,AE$12))),$I80,"")</f>
        <v/>
      </c>
      <c r="AF80" s="592" t="str">
        <f>IF(AND(AF$12&gt;=$E80,AF$12&lt;=$F80,MOD(AF$12,7)&gt;1,NOT(COUNTIF(General!$U$13:$U$19,AF$12))),$I80,"")</f>
        <v/>
      </c>
      <c r="AG80" s="592" t="str">
        <f>IF(AND(AG$12&gt;=$E80,AG$12&lt;=$F80,MOD(AG$12,7)&gt;1,NOT(COUNTIF(General!$U$13:$U$19,AG$12))),$I80,"")</f>
        <v/>
      </c>
      <c r="AH80" s="592" t="str">
        <f>IF(AND(AH$12&gt;=$E80,AH$12&lt;=$F80,MOD(AH$12,7)&gt;1,NOT(COUNTIF(General!$U$13:$U$19,AH$12))),$I80,"")</f>
        <v/>
      </c>
      <c r="AI80" s="592" t="str">
        <f>IF(AND(AI$12&gt;=$E80,AI$12&lt;=$F80,MOD(AI$12,7)&gt;1,NOT(COUNTIF(General!$U$13:$U$19,AI$12))),$I80,"")</f>
        <v/>
      </c>
      <c r="AJ80" s="649" t="str">
        <f>IF(AND(AJ$12&gt;=$E80,AJ$12&lt;=$F80,MOD(AJ$12,7)&gt;1,NOT(COUNTIF(General!$U$13:$U$19,AJ$12))),$I80,"")</f>
        <v/>
      </c>
      <c r="AK80" s="649" t="str">
        <f>IF(AND(AK$12&gt;=$E80,AK$12&lt;=$F80,MOD(AK$12,7)&gt;1,NOT(COUNTIF(General!$U$13:$U$19,AK$12))),$I80,"")</f>
        <v/>
      </c>
      <c r="AL80" s="592" t="str">
        <f>IF(AND(AL$12&gt;=$E80,AL$12&lt;=$F80,MOD(AL$12,7)&gt;1,NOT(COUNTIF(General!$U$13:$U$19,AL$12))),$I80,"")</f>
        <v/>
      </c>
      <c r="AM80" s="592" t="str">
        <f>IF(AND(AM$12&gt;=$E80,AM$12&lt;=$F80,MOD(AM$12,7)&gt;1,NOT(COUNTIF(General!$U$13:$U$19,AM$12))),$I80,"")</f>
        <v/>
      </c>
      <c r="AN80" s="592" t="str">
        <f>IF(AND(AN$12&gt;=$E80,AN$12&lt;=$F80,MOD(AN$12,7)&gt;1,NOT(COUNTIF(General!$U$13:$U$19,AN$12))),$I80,"")</f>
        <v/>
      </c>
      <c r="AO80" s="592" t="str">
        <f>IF(AND(AO$12&gt;=$E80,AO$12&lt;=$F80,MOD(AO$12,7)&gt;1,NOT(COUNTIF(General!$U$13:$U$19,AO$12))),$I80,"")</f>
        <v/>
      </c>
      <c r="AP80" s="592" t="str">
        <f>IF(AND(AP$12&gt;=$E80,AP$12&lt;=$F80,MOD(AP$12,7)&gt;1,NOT(COUNTIF(General!$U$13:$U$19,AP$12))),$I80,"")</f>
        <v/>
      </c>
      <c r="AQ80" s="649" t="str">
        <f>IF(AND(AQ$12&gt;=$E80,AQ$12&lt;=$F80,MOD(AQ$12,7)&gt;1,NOT(COUNTIF(General!$U$13:$U$19,AQ$12))),$I80,"")</f>
        <v/>
      </c>
      <c r="AR80" s="649" t="str">
        <f>IF(AND(AR$12&gt;=$E80,AR$12&lt;=$F80,MOD(AR$12,7)&gt;1,NOT(COUNTIF(General!$U$13:$U$19,AR$12))),$I80,"")</f>
        <v/>
      </c>
      <c r="AS80" s="592" t="str">
        <f>IF(AND(AS$12&gt;=$E80,AS$12&lt;=$F80,MOD(AS$12,7)&gt;1,NOT(COUNTIF(General!$U$13:$U$19,AS$12))),$I80,"")</f>
        <v/>
      </c>
      <c r="AT80" s="592" t="str">
        <f>IF(AND(AT$12&gt;=$E80,AT$12&lt;=$F80,MOD(AT$12,7)&gt;1,NOT(COUNTIF(General!$U$13:$U$19,AT$12))),$I80,"")</f>
        <v/>
      </c>
      <c r="AU80" s="592" t="str">
        <f>IF(AND(AU$12&gt;=$E80,AU$12&lt;=$F80,MOD(AU$12,7)&gt;1,NOT(COUNTIF(General!$U$13:$U$19,AU$12))),$I80,"")</f>
        <v/>
      </c>
      <c r="AV80" s="592" t="str">
        <f>IF(AND(AV$12&gt;=$E80,AV$12&lt;=$F80,MOD(AV$12,7)&gt;1,NOT(COUNTIF(General!$U$13:$U$19,AV$12))),$I80,"")</f>
        <v/>
      </c>
      <c r="AW80" s="592" t="str">
        <f>IF(AND(AW$12&gt;=$E80,AW$12&lt;=$F80,MOD(AW$12,7)&gt;1,NOT(COUNTIF(General!$U$13:$U$19,AW$12))),$I80,"")</f>
        <v/>
      </c>
      <c r="AX80" s="649" t="str">
        <f>IF(AND(AX$12&gt;=$E80,AX$12&lt;=$F80,MOD(AX$12,7)&gt;1,NOT(COUNTIF(General!$U$13:$U$19,AX$12))),$I80,"")</f>
        <v/>
      </c>
      <c r="AY80" s="649" t="str">
        <f>IF(AND(AY$12&gt;=$E80,AY$12&lt;=$F80,MOD(AY$12,7)&gt;1,NOT(COUNTIF(General!$U$13:$U$19,AY$12))),$I80,"")</f>
        <v/>
      </c>
      <c r="AZ80" s="592" t="str">
        <f>IF(AND(AZ$12&gt;=$E80,AZ$12&lt;=$F80,MOD(AZ$12,7)&gt;1,NOT(COUNTIF(General!$U$13:$U$19,AZ$12))),$I80,"")</f>
        <v/>
      </c>
      <c r="BA80" s="592" t="str">
        <f>IF(AND(BA$12&gt;=$E80,BA$12&lt;=$F80,MOD(BA$12,7)&gt;1,NOT(COUNTIF(General!$U$13:$U$19,BA$12))),$I80,"")</f>
        <v/>
      </c>
      <c r="BB80" s="592" t="str">
        <f>IF(AND(BB$12&gt;=$E80,BB$12&lt;=$F80,MOD(BB$12,7)&gt;1,NOT(COUNTIF(General!$U$13:$U$19,BB$12))),$I80,"")</f>
        <v/>
      </c>
      <c r="BC80" s="592" t="str">
        <f>IF(AND(BC$12&gt;=$E80,BC$12&lt;=$F80,MOD(BC$12,7)&gt;1,NOT(COUNTIF(General!$U$13:$U$19,BC$12))),$I80,"")</f>
        <v/>
      </c>
      <c r="BD80" s="592" t="str">
        <f>IF(AND(BD$12&gt;=$E80,BD$12&lt;=$F80,MOD(BD$12,7)&gt;1,NOT(COUNTIF(General!$U$13:$U$19,BD$12))),$I80,"")</f>
        <v/>
      </c>
      <c r="BE80" s="649" t="str">
        <f>IF(AND(BE$12&gt;=$E80,BE$12&lt;=$F80,MOD(BE$12,7)&gt;1,NOT(COUNTIF(General!$U$13:$U$19,BE$12))),$I80,"")</f>
        <v/>
      </c>
      <c r="BF80" s="649" t="str">
        <f>IF(AND(BF$12&gt;=$E80,BF$12&lt;=$F80,MOD(BF$12,7)&gt;1,NOT(COUNTIF(General!$U$13:$U$19,BF$12))),$I80,"")</f>
        <v/>
      </c>
      <c r="BG80" s="592" t="str">
        <f>IF(AND(BG$12&gt;=$E80,BG$12&lt;=$F80,MOD(BG$12,7)&gt;1,NOT(COUNTIF(General!$U$13:$U$19,BG$12))),$I80,"")</f>
        <v/>
      </c>
      <c r="BH80" s="592" t="str">
        <f>IF(AND(BH$12&gt;=$E80,BH$12&lt;=$F80,MOD(BH$12,7)&gt;1,NOT(COUNTIF(General!$U$13:$U$19,BH$12))),$I80,"")</f>
        <v/>
      </c>
      <c r="BI80" s="592" t="str">
        <f>IF(AND(BI$12&gt;=$E80,BI$12&lt;=$F80,MOD(BI$12,7)&gt;1,NOT(COUNTIF(General!$U$13:$U$19,BI$12))),$I80,"")</f>
        <v/>
      </c>
      <c r="BJ80" s="592" t="str">
        <f>IF(AND(BJ$12&gt;=$E80,BJ$12&lt;=$F80,MOD(BJ$12,7)&gt;1,NOT(COUNTIF(General!$U$13:$U$19,BJ$12))),$I80,"")</f>
        <v/>
      </c>
      <c r="BK80" s="592" t="str">
        <f>IF(AND(BK$12&gt;=$E80,BK$12&lt;=$F80,MOD(BK$12,7)&gt;1,NOT(COUNTIF(General!$U$13:$U$19,BK$12))),$I80,"")</f>
        <v/>
      </c>
      <c r="BL80" s="649" t="str">
        <f>IF(AND(BL$12&gt;=$E80,BL$12&lt;=$F80,MOD(BL$12,7)&gt;1,NOT(COUNTIF(General!$U$13:$U$19,BL$12))),$I80,"")</f>
        <v/>
      </c>
      <c r="BM80" s="649" t="str">
        <f>IF(AND(BM$12&gt;=$E80,BM$12&lt;=$F80,MOD(BM$12,7)&gt;1,NOT(COUNTIF(General!$U$13:$U$19,BM$12))),$I80,"")</f>
        <v/>
      </c>
      <c r="BN80" s="592" t="str">
        <f>IF(AND(BN$12&gt;=$E80,BN$12&lt;=$F80,MOD(BN$12,7)&gt;1,NOT(COUNTIF(General!$U$13:$U$19,BN$12))),$I80,"")</f>
        <v/>
      </c>
      <c r="BO80" s="592" t="str">
        <f>IF(AND(BO$12&gt;=$E80,BO$12&lt;=$F80,MOD(BO$12,7)&gt;1,NOT(COUNTIF(General!$U$13:$U$19,BO$12))),$I80,"")</f>
        <v/>
      </c>
      <c r="BP80" s="592" t="str">
        <f>IF(AND(BP$12&gt;=$E80,BP$12&lt;=$F80,MOD(BP$12,7)&gt;1,NOT(COUNTIF(General!$U$13:$U$19,BP$12))),$I80,"")</f>
        <v/>
      </c>
      <c r="BQ80" s="592" t="str">
        <f>IF(AND(BQ$12&gt;=$E80,BQ$12&lt;=$F80,MOD(BQ$12,7)&gt;1,NOT(COUNTIF(General!$U$13:$U$19,BQ$12))),$I80,"")</f>
        <v/>
      </c>
      <c r="BR80" s="592" t="str">
        <f>IF(AND(BR$12&gt;=$E80,BR$12&lt;=$F80,MOD(BR$12,7)&gt;1,NOT(COUNTIF(General!$U$13:$U$19,BR$12))),$I80,"")</f>
        <v/>
      </c>
      <c r="BS80" s="649" t="str">
        <f>IF(AND(BS$12&gt;=$E80,BS$12&lt;=$F80,MOD(BS$12,7)&gt;1,NOT(COUNTIF(General!$U$13:$U$19,BS$12))),$I80,"")</f>
        <v/>
      </c>
      <c r="BT80" s="649" t="str">
        <f>IF(AND(BT$12&gt;=$E80,BT$12&lt;=$F80,MOD(BT$12,7)&gt;1,NOT(COUNTIF(General!$U$13:$U$19,BT$12))),$I80,"")</f>
        <v/>
      </c>
      <c r="BU80" s="592" t="str">
        <f>IF(AND(BU$12&gt;=$E80,BU$12&lt;=$F80,MOD(BU$12,7)&gt;1,NOT(COUNTIF(General!$U$13:$U$19,BU$12))),$I80,"")</f>
        <v/>
      </c>
      <c r="BV80" s="592" t="str">
        <f>IF(AND(BV$12&gt;=$E80,BV$12&lt;=$F80,MOD(BV$12,7)&gt;1,NOT(COUNTIF(General!$U$13:$U$19,BV$12))),$I80,"")</f>
        <v/>
      </c>
      <c r="BW80" s="592" t="str">
        <f>IF(AND(BW$12&gt;=$E80,BW$12&lt;=$F80,MOD(BW$12,7)&gt;1,NOT(COUNTIF(General!$U$13:$U$19,BW$12))),$I80,"")</f>
        <v/>
      </c>
      <c r="BX80" s="592" t="str">
        <f>IF(AND(BX$12&gt;=$E80,BX$12&lt;=$F80,MOD(BX$12,7)&gt;1,NOT(COUNTIF(General!$U$13:$U$19,BX$12))),$I80,"")</f>
        <v/>
      </c>
      <c r="BY80" s="592" t="str">
        <f>IF(AND(BY$12&gt;=$E80,BY$12&lt;=$F80,MOD(BY$12,7)&gt;1,NOT(COUNTIF(General!$U$13:$U$19,BY$12))),$I80,"")</f>
        <v/>
      </c>
      <c r="BZ80" s="649" t="str">
        <f>IF(AND(BZ$12&gt;=$E80,BZ$12&lt;=$F80,MOD(BZ$12,7)&gt;1,NOT(COUNTIF(General!$U$13:$U$19,BZ$12))),$I80,"")</f>
        <v/>
      </c>
      <c r="CA80" s="649" t="str">
        <f>IF(AND(CA$12&gt;=$E80,CA$12&lt;=$F80,MOD(CA$12,7)&gt;1,NOT(COUNTIF(General!$U$13:$U$19,CA$12))),$I80,"")</f>
        <v/>
      </c>
      <c r="CB80" s="592" t="str">
        <f>IF(AND(CB$12&gt;=$E80,CB$12&lt;=$F80,MOD(CB$12,7)&gt;1,NOT(COUNTIF(General!$U$13:$U$19,CB$12))),$I80,"")</f>
        <v/>
      </c>
      <c r="CC80" s="592" t="str">
        <f>IF(AND(CC$12&gt;=$E80,CC$12&lt;=$F80,MOD(CC$12,7)&gt;1,NOT(COUNTIF(General!$U$13:$U$19,CC$12))),$I80,"")</f>
        <v/>
      </c>
      <c r="CD80" s="592" t="str">
        <f>IF(AND(CD$12&gt;=$E80,CD$12&lt;=$F80,MOD(CD$12,7)&gt;1,NOT(COUNTIF(General!$U$13:$U$19,CD$12))),$I80,"")</f>
        <v/>
      </c>
      <c r="CE80" s="592" t="str">
        <f>IF(AND(CE$12&gt;=$E80,CE$12&lt;=$F80,MOD(CE$12,7)&gt;1,NOT(COUNTIF(General!$U$13:$U$19,CE$12))),$I80,"")</f>
        <v/>
      </c>
      <c r="CF80" s="592" t="str">
        <f>IF(AND(CF$12&gt;=$E80,CF$12&lt;=$F80,MOD(CF$12,7)&gt;1,NOT(COUNTIF(General!$U$13:$U$19,CF$12))),$I80,"")</f>
        <v/>
      </c>
      <c r="CG80" s="649" t="str">
        <f>IF(AND(CG$12&gt;=$E80,CG$12&lt;=$F80,MOD(CG$12,7)&gt;1,NOT(COUNTIF(General!$U$13:$U$19,CG$12))),$I80,"")</f>
        <v/>
      </c>
      <c r="CH80" s="649" t="str">
        <f>IF(AND(CH$12&gt;=$E80,CH$12&lt;=$F80,MOD(CH$12,7)&gt;1,NOT(COUNTIF(General!$U$13:$U$19,CH$12))),$I80,"")</f>
        <v/>
      </c>
      <c r="CI80" s="592" t="str">
        <f>IF(AND(CI$12&gt;=$E80,CI$12&lt;=$F80,MOD(CI$12,7)&gt;1,NOT(COUNTIF(General!$U$13:$U$19,CI$12))),$I80,"")</f>
        <v/>
      </c>
      <c r="CJ80" s="592" t="str">
        <f>IF(AND(CJ$12&gt;=$E80,CJ$12&lt;=$F80,MOD(CJ$12,7)&gt;1,NOT(COUNTIF(General!$U$13:$U$19,CJ$12))),$I80,"")</f>
        <v/>
      </c>
      <c r="CK80" s="592" t="str">
        <f>IF(AND(CK$12&gt;=$E80,CK$12&lt;=$F80,MOD(CK$12,7)&gt;1,NOT(COUNTIF(General!$U$13:$U$19,CK$12))),$I80,"")</f>
        <v/>
      </c>
      <c r="CL80" s="592" t="str">
        <f>IF(AND(CL$12&gt;=$E80,CL$12&lt;=$F80,MOD(CL$12,7)&gt;1,NOT(COUNTIF(General!$U$13:$U$19,CL$12))),$I80,"")</f>
        <v/>
      </c>
      <c r="CM80" s="592" t="str">
        <f>IF(AND(CM$12&gt;=$E80,CM$12&lt;=$F80,MOD(CM$12,7)&gt;1,NOT(COUNTIF(General!$U$13:$U$19,CM$12))),$I80,"")</f>
        <v/>
      </c>
      <c r="CN80" s="649" t="str">
        <f>IF(AND(CN$12&gt;=$E80,CN$12&lt;=$F80,MOD(CN$12,7)&gt;1,NOT(COUNTIF(General!$U$13:$U$19,CN$12))),$I80,"")</f>
        <v/>
      </c>
      <c r="CO80" s="649" t="str">
        <f>IF(AND(CO$12&gt;=$E80,CO$12&lt;=$F80,MOD(CO$12,7)&gt;1,NOT(COUNTIF(General!$U$13:$U$19,CO$12))),$I80,"")</f>
        <v/>
      </c>
      <c r="CP80" s="592" t="str">
        <f>IF(AND(CP$12&gt;=$E80,CP$12&lt;=$F80,MOD(CP$12,7)&gt;1,NOT(COUNTIF(General!$U$13:$U$19,CP$12))),$I80,"")</f>
        <v/>
      </c>
      <c r="CQ80" s="592" t="str">
        <f>IF(AND(CQ$12&gt;=$E80,CQ$12&lt;=$F80,MOD(CQ$12,7)&gt;1,NOT(COUNTIF(General!$U$13:$U$19,CQ$12))),$I80,"")</f>
        <v/>
      </c>
      <c r="CR80" s="592" t="str">
        <f>IF(AND(CR$12&gt;=$E80,CR$12&lt;=$F80,MOD(CR$12,7)&gt;1,NOT(COUNTIF(General!$U$13:$U$19,CR$12))),$I80,"")</f>
        <v/>
      </c>
      <c r="CS80" s="592" t="str">
        <f>IF(AND(CS$12&gt;=$E80,CS$12&lt;=$F80,MOD(CS$12,7)&gt;1,NOT(COUNTIF(General!$U$13:$U$19,CS$12))),$I80,"")</f>
        <v/>
      </c>
      <c r="CT80" s="592" t="str">
        <f>IF(AND(CT$12&gt;=$E80,CT$12&lt;=$F80,MOD(CT$12,7)&gt;1,NOT(COUNTIF(General!$U$13:$U$19,CT$12))),$I80,"")</f>
        <v/>
      </c>
      <c r="CU80" s="649" t="str">
        <f>IF(AND(CU$12&gt;=$E80,CU$12&lt;=$F80,MOD(CU$12,7)&gt;1,NOT(COUNTIF(General!$U$13:$U$19,CU$12))),$I80,"")</f>
        <v/>
      </c>
      <c r="CV80" s="649" t="str">
        <f>IF(AND(CV$12&gt;=$E80,CV$12&lt;=$F80,MOD(CV$12,7)&gt;1,NOT(COUNTIF(General!$U$13:$U$19,CV$12))),$I80,"")</f>
        <v/>
      </c>
      <c r="CW80" s="592" t="str">
        <f>IF(AND(CW$12&gt;=$E80,CW$12&lt;=$F80,MOD(CW$12,7)&gt;1,NOT(COUNTIF(General!$U$13:$U$19,CW$12))),$I80,"")</f>
        <v/>
      </c>
      <c r="CX80" s="592" t="str">
        <f>IF(AND(CX$12&gt;=$E80,CX$12&lt;=$F80,MOD(CX$12,7)&gt;1,NOT(COUNTIF(General!$U$13:$U$19,CX$12))),$I80,"")</f>
        <v/>
      </c>
      <c r="CY80" s="592" t="str">
        <f>IF(AND(CY$12&gt;=$E80,CY$12&lt;=$F80,MOD(CY$12,7)&gt;1,NOT(COUNTIF(General!$U$13:$U$19,CY$12))),$I80,"")</f>
        <v/>
      </c>
      <c r="CZ80" s="592" t="str">
        <f>IF(AND(CZ$12&gt;=$E80,CZ$12&lt;=$F80,MOD(CZ$12,7)&gt;1,NOT(COUNTIF(General!$U$13:$U$19,CZ$12))),$I80,"")</f>
        <v/>
      </c>
      <c r="DA80" s="592" t="str">
        <f>IF(AND(DA$12&gt;=$E80,DA$12&lt;=$F80,MOD(DA$12,7)&gt;1,NOT(COUNTIF(General!$U$13:$U$19,DA$12))),$I80,"")</f>
        <v/>
      </c>
      <c r="DB80" s="649" t="str">
        <f>IF(AND(DB$12&gt;=$E80,DB$12&lt;=$F80,MOD(DB$12,7)&gt;1,NOT(COUNTIF(General!$U$13:$U$19,DB$12))),$I80,"")</f>
        <v/>
      </c>
      <c r="DC80" s="649" t="str">
        <f>IF(AND(DC$12&gt;=$E80,DC$12&lt;=$F80,MOD(DC$12,7)&gt;1,NOT(COUNTIF(General!$U$13:$U$19,DC$12))),$I80,"")</f>
        <v/>
      </c>
      <c r="DD80" s="592" t="str">
        <f>IF(AND(DD$12&gt;=$E80,DD$12&lt;=$F80,MOD(DD$12,7)&gt;1,NOT(COUNTIF(General!$U$13:$U$19,DD$12))),$I80,"")</f>
        <v/>
      </c>
      <c r="DE80" s="592" t="str">
        <f>IF(AND(DE$12&gt;=$E80,DE$12&lt;=$F80,MOD(DE$12,7)&gt;1,NOT(COUNTIF(General!$U$13:$U$19,DE$12))),$I80,"")</f>
        <v/>
      </c>
      <c r="DF80" s="592" t="str">
        <f>IF(AND(DF$12&gt;=$E80,DF$12&lt;=$F80,MOD(DF$12,7)&gt;1,NOT(COUNTIF(General!$U$13:$U$19,DF$12))),$I80,"")</f>
        <v/>
      </c>
      <c r="DG80" s="592" t="str">
        <f>IF(AND(DG$12&gt;=$E80,DG$12&lt;=$F80,MOD(DG$12,7)&gt;1,NOT(COUNTIF(General!$U$13:$U$19,DG$12))),$I80,"")</f>
        <v/>
      </c>
      <c r="DH80" s="592" t="str">
        <f>IF(AND(DH$12&gt;=$E80,DH$12&lt;=$F80,MOD(DH$12,7)&gt;1,NOT(COUNTIF(General!$U$13:$U$19,DH$12))),$I80,"")</f>
        <v/>
      </c>
      <c r="DI80" s="649" t="str">
        <f>IF(AND(DI$12&gt;=$E80,DI$12&lt;=$F80,MOD(DI$12,7)&gt;1,NOT(COUNTIF(General!$U$13:$U$19,DI$12))),$I80,"")</f>
        <v/>
      </c>
      <c r="DJ80" s="649" t="str">
        <f>IF(AND(DJ$12&gt;=$E80,DJ$12&lt;=$F80,MOD(DJ$12,7)&gt;1,NOT(COUNTIF(General!$U$13:$U$19,DJ$12))),$I80,"")</f>
        <v/>
      </c>
      <c r="DK80" s="592" t="str">
        <f>IF(AND(DK$12&gt;=$E80,DK$12&lt;=$F80,MOD(DK$12,7)&gt;1,NOT(COUNTIF(General!$U$13:$U$19,DK$12))),$I80,"")</f>
        <v/>
      </c>
      <c r="DL80" s="592" t="str">
        <f>IF(AND(DL$12&gt;=$E80,DL$12&lt;=$F80,MOD(DL$12,7)&gt;1,NOT(COUNTIF(General!$U$13:$U$19,DL$12))),$I80,"")</f>
        <v/>
      </c>
      <c r="DM80" s="592" t="str">
        <f>IF(AND(DM$12&gt;=$E80,DM$12&lt;=$F80,MOD(DM$12,7)&gt;1,NOT(COUNTIF(General!$U$13:$U$19,DM$12))),$I80,"")</f>
        <v/>
      </c>
      <c r="DN80" s="592" t="str">
        <f>IF(AND(DN$12&gt;=$E80,DN$12&lt;=$F80,MOD(DN$12,7)&gt;1,NOT(COUNTIF(General!$U$13:$U$19,DN$12))),$I80,"")</f>
        <v/>
      </c>
      <c r="DO80" s="592" t="str">
        <f>IF(AND(DO$12&gt;=$E80,DO$12&lt;=$F80,MOD(DO$12,7)&gt;1,NOT(COUNTIF(General!$U$13:$U$19,DO$12))),$I80,"")</f>
        <v/>
      </c>
      <c r="DP80" s="649" t="str">
        <f>IF(AND(DP$12&gt;=$E80,DP$12&lt;=$F80,MOD(DP$12,7)&gt;1,NOT(COUNTIF(General!$U$13:$U$19,DP$12))),$I80,"")</f>
        <v/>
      </c>
      <c r="DQ80" s="649" t="str">
        <f>IF(AND(DQ$12&gt;=$E80,DQ$12&lt;=$F80,MOD(DQ$12,7)&gt;1,NOT(COUNTIF(General!$U$13:$U$19,DQ$12))),$I80,"")</f>
        <v/>
      </c>
      <c r="DR80" s="592" t="str">
        <f>IF(AND(DR$12&gt;=$E80,DR$12&lt;=$F80,MOD(DR$12,7)&gt;1,NOT(COUNTIF(General!$U$13:$U$19,DR$12))),$I80,"")</f>
        <v/>
      </c>
      <c r="DS80" s="592" t="str">
        <f>IF(AND(DS$12&gt;=$E80,DS$12&lt;=$F80,MOD(DS$12,7)&gt;1,NOT(COUNTIF(General!$U$13:$U$19,DS$12))),$I80,"")</f>
        <v/>
      </c>
      <c r="DT80" s="592" t="str">
        <f>IF(AND(DT$12&gt;=$E80,DT$12&lt;=$F80,MOD(DT$12,7)&gt;1,NOT(COUNTIF(General!$U$13:$U$19,DT$12))),$I80,"")</f>
        <v/>
      </c>
      <c r="DU80" s="592" t="str">
        <f>IF(AND(DU$12&gt;=$E80,DU$12&lt;=$F80,MOD(DU$12,7)&gt;1,NOT(COUNTIF(General!$U$13:$U$19,DU$12))),$I80,"")</f>
        <v/>
      </c>
      <c r="DV80" s="592" t="str">
        <f>IF(AND(DV$12&gt;=$E80,DV$12&lt;=$F80,MOD(DV$12,7)&gt;1,NOT(COUNTIF(General!$U$13:$U$19,DV$12))),$I80,"")</f>
        <v/>
      </c>
      <c r="DW80" s="649" t="str">
        <f>IF(AND(DW$12&gt;=$E80,DW$12&lt;=$F80,MOD(DW$12,7)&gt;1,NOT(COUNTIF(General!$U$13:$U$19,DW$12))),$I80,"")</f>
        <v/>
      </c>
      <c r="DX80" s="649" t="str">
        <f>IF(AND(DX$12&gt;=$E80,DX$12&lt;=$F80,MOD(DX$12,7)&gt;1,NOT(COUNTIF(General!$U$13:$U$19,DX$12))),$I80,"")</f>
        <v/>
      </c>
      <c r="DY80" s="592" t="str">
        <f>IF(AND(DY$12&gt;=$E80,DY$12&lt;=$F80,MOD(DY$12,7)&gt;1,NOT(COUNTIF(General!$U$13:$U$19,DY$12))),$I80,"")</f>
        <v/>
      </c>
      <c r="DZ80" s="592" t="str">
        <f>IF(AND(DZ$12&gt;=$E80,DZ$12&lt;=$F80,MOD(DZ$12,7)&gt;1,NOT(COUNTIF(General!$U$13:$U$19,DZ$12))),$I80,"")</f>
        <v/>
      </c>
      <c r="EA80" s="592" t="str">
        <f>IF(AND(EA$12&gt;=$E80,EA$12&lt;=$F80,MOD(EA$12,7)&gt;1,NOT(COUNTIF(General!$U$13:$U$19,EA$12))),$I80,"")</f>
        <v/>
      </c>
      <c r="EB80" s="592" t="str">
        <f>IF(AND(EB$12&gt;=$E80,EB$12&lt;=$F80,MOD(EB$12,7)&gt;1,NOT(COUNTIF(General!$U$13:$U$19,EB$12))),$I80,"")</f>
        <v/>
      </c>
      <c r="EC80" s="592" t="str">
        <f>IF(AND(EC$12&gt;=$E80,EC$12&lt;=$F80,MOD(EC$12,7)&gt;1,NOT(COUNTIF(General!$U$13:$U$19,EC$12))),$I80,"")</f>
        <v/>
      </c>
      <c r="ED80" s="649" t="str">
        <f>IF(AND(ED$12&gt;=$E80,ED$12&lt;=$F80,MOD(ED$12,7)&gt;1,NOT(COUNTIF(General!$U$13:$U$19,ED$12))),$I80,"")</f>
        <v/>
      </c>
      <c r="EE80" s="649" t="str">
        <f>IF(AND(EE$12&gt;=$E80,EE$12&lt;=$F80,MOD(EE$12,7)&gt;1,NOT(COUNTIF(General!$U$13:$U$19,EE$12))),$I80,"")</f>
        <v/>
      </c>
      <c r="EF80" s="592" t="str">
        <f>IF(AND(EF$12&gt;=$E80,EF$12&lt;=$F80,MOD(EF$12,7)&gt;1,NOT(COUNTIF(General!$U$13:$U$19,EF$12))),$I80,"")</f>
        <v/>
      </c>
      <c r="EG80" s="592" t="str">
        <f>IF(AND(EG$12&gt;=$E80,EG$12&lt;=$F80,MOD(EG$12,7)&gt;1,NOT(COUNTIF(General!$U$13:$U$19,EG$12))),$I80,"")</f>
        <v/>
      </c>
      <c r="EH80" s="592" t="str">
        <f>IF(AND(EH$12&gt;=$E80,EH$12&lt;=$F80,MOD(EH$12,7)&gt;1,NOT(COUNTIF(General!$U$13:$U$19,EH$12))),$I80,"")</f>
        <v/>
      </c>
      <c r="EI80" s="592" t="str">
        <f>IF(AND(EI$12&gt;=$E80,EI$12&lt;=$F80,MOD(EI$12,7)&gt;1,NOT(COUNTIF(General!$U$13:$U$19,EI$12))),$I80,"")</f>
        <v/>
      </c>
      <c r="EJ80" s="592" t="str">
        <f>IF(AND(EJ$12&gt;=$E80,EJ$12&lt;=$F80,MOD(EJ$12,7)&gt;1,NOT(COUNTIF(General!$U$13:$U$19,EJ$12))),$I80,"")</f>
        <v/>
      </c>
      <c r="EK80" s="649" t="str">
        <f>IF(AND(EK$12&gt;=$E80,EK$12&lt;=$F80,MOD(EK$12,7)&gt;1,NOT(COUNTIF(General!$U$13:$U$19,EK$12))),$I80,"")</f>
        <v/>
      </c>
      <c r="EL80" s="649" t="str">
        <f>IF(AND(EL$12&gt;=$E80,EL$12&lt;=$F80,MOD(EL$12,7)&gt;1,NOT(COUNTIF(General!$U$13:$U$19,EL$12))),$I80,"")</f>
        <v/>
      </c>
      <c r="EM80" s="592" t="str">
        <f>IF(AND(EM$12&gt;=$E80,EM$12&lt;=$F80,MOD(EM$12,7)&gt;1,NOT(COUNTIF(General!$U$13:$U$19,EM$12))),$I80,"")</f>
        <v/>
      </c>
      <c r="EN80" s="592" t="str">
        <f>IF(AND(EN$12&gt;=$E80,EN$12&lt;=$F80,MOD(EN$12,7)&gt;1,NOT(COUNTIF(General!$U$13:$U$19,EN$12))),$I80,"")</f>
        <v/>
      </c>
      <c r="EO80" s="592" t="str">
        <f>IF(AND(EO$12&gt;=$E80,EO$12&lt;=$F80,MOD(EO$12,7)&gt;1,NOT(COUNTIF(General!$U$13:$U$19,EO$12))),$I80,"")</f>
        <v/>
      </c>
      <c r="EP80" s="592" t="str">
        <f>IF(AND(EP$12&gt;=$E80,EP$12&lt;=$F80,MOD(EP$12,7)&gt;1,NOT(COUNTIF(General!$U$13:$U$19,EP$12))),$I80,"")</f>
        <v/>
      </c>
      <c r="EQ80" s="592" t="str">
        <f>IF(AND(EQ$12&gt;=$E80,EQ$12&lt;=$F80,MOD(EQ$12,7)&gt;1,NOT(COUNTIF(General!$U$13:$U$19,EQ$12))),$I80,"")</f>
        <v/>
      </c>
      <c r="ER80" s="649" t="str">
        <f>IF(AND(ER$12&gt;=$E80,ER$12&lt;=$F80,MOD(ER$12,7)&gt;1,NOT(COUNTIF(General!$U$13:$U$19,ER$12))),$I80,"")</f>
        <v/>
      </c>
      <c r="ES80" s="649" t="str">
        <f>IF(AND(ES$12&gt;=$E80,ES$12&lt;=$F80,MOD(ES$12,7)&gt;1,NOT(COUNTIF(General!$U$13:$U$19,ES$12))),$I80,"")</f>
        <v/>
      </c>
      <c r="ET80" s="592" t="str">
        <f>IF(AND(ET$12&gt;=$E80,ET$12&lt;=$F80,MOD(ET$12,7)&gt;1,NOT(COUNTIF(General!$U$13:$U$19,ET$12))),$I80,"")</f>
        <v/>
      </c>
      <c r="EU80" s="592" t="str">
        <f>IF(AND(EU$12&gt;=$E80,EU$12&lt;=$F80,MOD(EU$12,7)&gt;1,NOT(COUNTIF(General!$U$13:$U$19,EU$12))),$I80,"")</f>
        <v/>
      </c>
      <c r="EV80" s="592" t="str">
        <f>IF(AND(EV$12&gt;=$E80,EV$12&lt;=$F80,MOD(EV$12,7)&gt;1,NOT(COUNTIF(General!$U$13:$U$19,EV$12))),$I80,"")</f>
        <v/>
      </c>
      <c r="EW80" s="592" t="str">
        <f>IF(AND(EW$12&gt;=$E80,EW$12&lt;=$F80,MOD(EW$12,7)&gt;1,NOT(COUNTIF(General!$U$13:$U$19,EW$12))),$I80,"")</f>
        <v/>
      </c>
      <c r="EX80" s="592" t="str">
        <f>IF(AND(EX$12&gt;=$E80,EX$12&lt;=$F80,MOD(EX$12,7)&gt;1,NOT(COUNTIF(General!$U$13:$U$19,EX$12))),$I80,"")</f>
        <v/>
      </c>
      <c r="EY80" s="649" t="str">
        <f>IF(AND(EY$12&gt;=$E80,EY$12&lt;=$F80,MOD(EY$12,7)&gt;1,NOT(COUNTIF(General!$U$13:$U$19,EY$12))),$I80,"")</f>
        <v/>
      </c>
      <c r="EZ80" s="649" t="str">
        <f>IF(AND(EZ$12&gt;=$E80,EZ$12&lt;=$F80,MOD(EZ$12,7)&gt;1,NOT(COUNTIF(General!$U$13:$U$19,EZ$12))),$I80,"")</f>
        <v/>
      </c>
      <c r="FA80" s="592" t="str">
        <f>IF(AND(FA$12&gt;=$E80,FA$12&lt;=$F80,MOD(FA$12,7)&gt;1,NOT(COUNTIF(General!$U$13:$U$19,FA$12))),$I80,"")</f>
        <v/>
      </c>
      <c r="FB80" s="592" t="str">
        <f>IF(AND(FB$12&gt;=$E80,FB$12&lt;=$F80,MOD(FB$12,7)&gt;1,NOT(COUNTIF(General!$U$13:$U$19,FB$12))),$I80,"")</f>
        <v/>
      </c>
      <c r="FC80" s="592" t="str">
        <f>IF(AND(FC$12&gt;=$E80,FC$12&lt;=$F80,MOD(FC$12,7)&gt;1,NOT(COUNTIF(General!$U$13:$U$19,FC$12))),$I80,"")</f>
        <v/>
      </c>
      <c r="FD80" s="592" t="str">
        <f>IF(AND(FD$12&gt;=$E80,FD$12&lt;=$F80,MOD(FD$12,7)&gt;1,NOT(COUNTIF(General!$U$13:$U$19,FD$12))),$I80,"")</f>
        <v/>
      </c>
      <c r="FE80" s="592" t="str">
        <f>IF(AND(FE$12&gt;=$E80,FE$12&lt;=$F80,MOD(FE$12,7)&gt;1,NOT(COUNTIF(General!$U$13:$U$19,FE$12))),$I80,"")</f>
        <v/>
      </c>
      <c r="FF80" s="649" t="str">
        <f>IF(AND(FF$12&gt;=$E80,FF$12&lt;=$F80,MOD(FF$12,7)&gt;1,NOT(COUNTIF(General!$U$13:$U$19,FF$12))),$I80,"")</f>
        <v/>
      </c>
      <c r="FG80" s="649" t="str">
        <f>IF(AND(FG$12&gt;=$E80,FG$12&lt;=$F80,MOD(FG$12,7)&gt;1,NOT(COUNTIF(General!$U$13:$U$19,FG$12))),$I80,"")</f>
        <v/>
      </c>
      <c r="FH80" s="592" t="str">
        <f>IF(AND(FH$12&gt;=$E80,FH$12&lt;=$F80,MOD(FH$12,7)&gt;1,NOT(COUNTIF(General!$U$13:$U$19,FH$12))),$I80,"")</f>
        <v/>
      </c>
      <c r="FI80" s="592" t="str">
        <f>IF(AND(FI$12&gt;=$E80,FI$12&lt;=$F80,MOD(FI$12,7)&gt;1,NOT(COUNTIF(General!$U$13:$U$19,FI$12))),$I80,"")</f>
        <v/>
      </c>
      <c r="FJ80" s="592" t="str">
        <f>IF(AND(FJ$12&gt;=$E80,FJ$12&lt;=$F80,MOD(FJ$12,7)&gt;1,NOT(COUNTIF(General!$U$13:$U$19,FJ$12))),$I80,"")</f>
        <v/>
      </c>
      <c r="FK80" s="592" t="str">
        <f>IF(AND(FK$12&gt;=$E80,FK$12&lt;=$F80,MOD(FK$12,7)&gt;1,NOT(COUNTIF(General!$U$13:$U$19,FK$12))),$I80,"")</f>
        <v/>
      </c>
      <c r="FL80" s="592" t="str">
        <f>IF(AND(FL$12&gt;=$E80,FL$12&lt;=$F80,MOD(FL$12,7)&gt;1,NOT(COUNTIF(General!$U$13:$U$19,FL$12))),$I80,"")</f>
        <v/>
      </c>
      <c r="FM80" s="649" t="str">
        <f>IF(AND(FM$12&gt;=$E80,FM$12&lt;=$F80,MOD(FM$12,7)&gt;1,NOT(COUNTIF(General!$U$13:$U$19,FM$12))),$I80,"")</f>
        <v/>
      </c>
      <c r="FN80" s="649" t="str">
        <f>IF(AND(FN$12&gt;=$E80,FN$12&lt;=$F80,MOD(FN$12,7)&gt;1,NOT(COUNTIF(General!$U$13:$U$19,FN$12))),$I80,"")</f>
        <v/>
      </c>
      <c r="FO80" s="592" t="str">
        <f>IF(AND(FO$12&gt;=$E80,FO$12&lt;=$F80,MOD(FO$12,7)&gt;1,NOT(COUNTIF(General!$U$13:$U$19,FO$12))),$I80,"")</f>
        <v/>
      </c>
      <c r="FP80" s="592" t="str">
        <f>IF(AND(FP$12&gt;=$E80,FP$12&lt;=$F80,MOD(FP$12,7)&gt;1,NOT(COUNTIF(General!$U$13:$U$19,FP$12))),$I80,"")</f>
        <v/>
      </c>
      <c r="FQ80" s="592" t="str">
        <f>IF(AND(FQ$12&gt;=$E80,FQ$12&lt;=$F80,MOD(FQ$12,7)&gt;1,NOT(COUNTIF(General!$U$13:$U$19,FQ$12))),$I80,"")</f>
        <v/>
      </c>
      <c r="FR80" s="592" t="str">
        <f>IF(AND(FR$12&gt;=$E80,FR$12&lt;=$F80,MOD(FR$12,7)&gt;1,NOT(COUNTIF(General!$U$13:$U$19,FR$12))),$I80,"")</f>
        <v/>
      </c>
      <c r="FS80" s="592" t="str">
        <f>IF(AND(FS$12&gt;=$E80,FS$12&lt;=$F80,MOD(FS$12,7)&gt;1,NOT(COUNTIF(General!$U$13:$U$19,FS$12))),$I80,"")</f>
        <v/>
      </c>
      <c r="FT80" s="649" t="str">
        <f>IF(AND(FT$12&gt;=$E80,FT$12&lt;=$F80,MOD(FT$12,7)&gt;1,NOT(COUNTIF(General!$U$13:$U$19,FT$12))),$I80,"")</f>
        <v/>
      </c>
      <c r="FU80" s="649" t="str">
        <f>IF(AND(FU$12&gt;=$E80,FU$12&lt;=$F80,MOD(FU$12,7)&gt;1,NOT(COUNTIF(General!$U$13:$U$19,FU$12))),$I80,"")</f>
        <v/>
      </c>
      <c r="FV80" s="592" t="str">
        <f>IF(AND(FV$12&gt;=$E80,FV$12&lt;=$F80,MOD(FV$12,7)&gt;1,NOT(COUNTIF(General!$U$13:$U$19,FV$12))),$I80,"")</f>
        <v/>
      </c>
      <c r="FW80" s="592" t="str">
        <f>IF(AND(FW$12&gt;=$E80,FW$12&lt;=$F80,MOD(FW$12,7)&gt;1,NOT(COUNTIF(General!$U$13:$U$19,FW$12))),$I80,"")</f>
        <v/>
      </c>
      <c r="FX80" s="592" t="str">
        <f>IF(AND(FX$12&gt;=$E80,FX$12&lt;=$F80,MOD(FX$12,7)&gt;1,NOT(COUNTIF(General!$U$13:$U$19,FX$12))),$I80,"")</f>
        <v/>
      </c>
    </row>
    <row r="81">
      <c r="A81" s="18"/>
      <c r="B81" s="14"/>
      <c r="C81" s="14"/>
      <c r="D81" s="14"/>
      <c r="E81" s="18"/>
      <c r="F81" s="18"/>
      <c r="G81" s="18"/>
      <c r="H81" s="18"/>
      <c r="I81" s="18"/>
      <c r="J81" s="18"/>
      <c r="K81" s="18"/>
      <c r="L81" s="18"/>
      <c r="M81" s="18"/>
      <c r="N81" s="18"/>
      <c r="O81" s="18"/>
      <c r="P81" s="23"/>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60"/>
      <c r="FB81" s="60"/>
      <c r="FC81" s="60"/>
      <c r="FD81" s="60"/>
      <c r="FE81" s="60"/>
      <c r="FF81" s="60"/>
      <c r="FG81" s="60"/>
      <c r="FH81" s="60"/>
      <c r="FI81" s="60"/>
      <c r="FJ81" s="60"/>
      <c r="FK81" s="60"/>
      <c r="FL81" s="60"/>
      <c r="FM81" s="60"/>
      <c r="FN81" s="60"/>
      <c r="FO81" s="60"/>
      <c r="FP81" s="60"/>
      <c r="FQ81" s="60"/>
      <c r="FR81" s="60"/>
      <c r="FS81" s="60"/>
      <c r="FT81" s="60"/>
      <c r="FU81" s="60"/>
      <c r="FV81" s="60"/>
      <c r="FW81" s="60"/>
      <c r="FX81" s="60"/>
    </row>
    <row r="82">
      <c r="A82" s="18"/>
      <c r="B82" s="14"/>
      <c r="C82" s="14"/>
      <c r="D82" s="14"/>
      <c r="E82" s="18"/>
      <c r="F82" s="18"/>
      <c r="G82" s="18"/>
      <c r="H82" s="18"/>
      <c r="I82" s="18"/>
      <c r="J82" s="18"/>
      <c r="K82" s="18"/>
      <c r="L82" s="18"/>
      <c r="M82" s="18"/>
      <c r="N82" s="18"/>
      <c r="O82" s="18"/>
      <c r="P82" s="23"/>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60"/>
      <c r="FB82" s="60"/>
      <c r="FC82" s="60"/>
      <c r="FD82" s="60"/>
      <c r="FE82" s="60"/>
      <c r="FF82" s="60"/>
      <c r="FG82" s="60"/>
      <c r="FH82" s="60"/>
      <c r="FI82" s="60"/>
      <c r="FJ82" s="60"/>
      <c r="FK82" s="60"/>
      <c r="FL82" s="60"/>
      <c r="FM82" s="60"/>
      <c r="FN82" s="60"/>
      <c r="FO82" s="60"/>
      <c r="FP82" s="60"/>
      <c r="FQ82" s="60"/>
      <c r="FR82" s="60"/>
      <c r="FS82" s="60"/>
      <c r="FT82" s="60"/>
      <c r="FU82" s="60"/>
      <c r="FV82" s="60"/>
      <c r="FW82" s="60"/>
      <c r="FX82" s="60"/>
    </row>
    <row r="83">
      <c r="A83" s="18"/>
      <c r="B83" s="14"/>
      <c r="C83" s="14"/>
      <c r="D83" s="14"/>
      <c r="E83" s="18"/>
      <c r="F83" s="18"/>
      <c r="G83" s="18"/>
      <c r="H83" s="18"/>
      <c r="I83" s="18"/>
      <c r="J83" s="18"/>
      <c r="K83" s="18"/>
      <c r="L83" s="18"/>
      <c r="M83" s="18"/>
      <c r="N83" s="18"/>
      <c r="O83" s="18"/>
      <c r="P83" s="23"/>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60"/>
      <c r="FB83" s="60"/>
      <c r="FC83" s="60"/>
      <c r="FD83" s="60"/>
      <c r="FE83" s="60"/>
      <c r="FF83" s="60"/>
      <c r="FG83" s="60"/>
      <c r="FH83" s="60"/>
      <c r="FI83" s="60"/>
      <c r="FJ83" s="60"/>
      <c r="FK83" s="60"/>
      <c r="FL83" s="60"/>
      <c r="FM83" s="60"/>
      <c r="FN83" s="60"/>
      <c r="FO83" s="60"/>
      <c r="FP83" s="60"/>
      <c r="FQ83" s="60"/>
      <c r="FR83" s="60"/>
      <c r="FS83" s="60"/>
      <c r="FT83" s="60"/>
      <c r="FU83" s="60"/>
      <c r="FV83" s="60"/>
      <c r="FW83" s="60"/>
      <c r="FX83" s="60"/>
    </row>
    <row r="84">
      <c r="A84" s="18"/>
      <c r="B84" s="14"/>
      <c r="C84" s="14"/>
      <c r="D84" s="14"/>
      <c r="E84" s="18"/>
      <c r="F84" s="18"/>
      <c r="G84" s="18"/>
      <c r="H84" s="18"/>
      <c r="I84" s="18"/>
      <c r="J84" s="18"/>
      <c r="K84" s="18"/>
      <c r="L84" s="18"/>
      <c r="M84" s="18"/>
      <c r="N84" s="18"/>
      <c r="O84" s="18"/>
      <c r="P84" s="23"/>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60"/>
      <c r="FB84" s="60"/>
      <c r="FC84" s="60"/>
      <c r="FD84" s="60"/>
      <c r="FE84" s="60"/>
      <c r="FF84" s="60"/>
      <c r="FG84" s="60"/>
      <c r="FH84" s="60"/>
      <c r="FI84" s="60"/>
      <c r="FJ84" s="60"/>
      <c r="FK84" s="60"/>
      <c r="FL84" s="60"/>
      <c r="FM84" s="60"/>
      <c r="FN84" s="60"/>
      <c r="FO84" s="60"/>
      <c r="FP84" s="60"/>
      <c r="FQ84" s="60"/>
      <c r="FR84" s="60"/>
      <c r="FS84" s="60"/>
      <c r="FT84" s="60"/>
      <c r="FU84" s="60"/>
      <c r="FV84" s="60"/>
      <c r="FW84" s="60"/>
      <c r="FX84" s="60"/>
    </row>
    <row r="85">
      <c r="A85" s="18"/>
      <c r="B85" s="14"/>
      <c r="C85" s="14"/>
      <c r="D85" s="14"/>
      <c r="E85" s="18"/>
      <c r="F85" s="18"/>
      <c r="G85" s="18"/>
      <c r="H85" s="18"/>
      <c r="I85" s="18"/>
      <c r="J85" s="18"/>
      <c r="K85" s="18"/>
      <c r="L85" s="18"/>
      <c r="M85" s="18"/>
      <c r="N85" s="18"/>
      <c r="O85" s="18"/>
      <c r="P85" s="23"/>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60"/>
      <c r="FB85" s="60"/>
      <c r="FC85" s="60"/>
      <c r="FD85" s="60"/>
      <c r="FE85" s="60"/>
      <c r="FF85" s="60"/>
      <c r="FG85" s="60"/>
      <c r="FH85" s="60"/>
      <c r="FI85" s="60"/>
      <c r="FJ85" s="60"/>
      <c r="FK85" s="60"/>
      <c r="FL85" s="60"/>
      <c r="FM85" s="60"/>
      <c r="FN85" s="60"/>
      <c r="FO85" s="60"/>
      <c r="FP85" s="60"/>
      <c r="FQ85" s="60"/>
      <c r="FR85" s="60"/>
      <c r="FS85" s="60"/>
      <c r="FT85" s="60"/>
      <c r="FU85" s="60"/>
      <c r="FV85" s="60"/>
      <c r="FW85" s="60"/>
      <c r="FX85" s="60"/>
    </row>
    <row r="86">
      <c r="A86" s="18"/>
      <c r="B86" s="14"/>
      <c r="C86" s="14"/>
      <c r="D86" s="14"/>
      <c r="E86" s="18"/>
      <c r="F86" s="18"/>
      <c r="G86" s="18"/>
      <c r="H86" s="18"/>
      <c r="I86" s="18"/>
      <c r="J86" s="18"/>
      <c r="K86" s="18"/>
      <c r="L86" s="18"/>
      <c r="M86" s="18"/>
      <c r="N86" s="18"/>
      <c r="O86" s="18"/>
      <c r="P86" s="23"/>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60"/>
      <c r="FB86" s="60"/>
      <c r="FC86" s="60"/>
      <c r="FD86" s="60"/>
      <c r="FE86" s="60"/>
      <c r="FF86" s="60"/>
      <c r="FG86" s="60"/>
      <c r="FH86" s="60"/>
      <c r="FI86" s="60"/>
      <c r="FJ86" s="60"/>
      <c r="FK86" s="60"/>
      <c r="FL86" s="60"/>
      <c r="FM86" s="60"/>
      <c r="FN86" s="60"/>
      <c r="FO86" s="60"/>
      <c r="FP86" s="60"/>
      <c r="FQ86" s="60"/>
      <c r="FR86" s="60"/>
      <c r="FS86" s="60"/>
      <c r="FT86" s="60"/>
      <c r="FU86" s="60"/>
      <c r="FV86" s="60"/>
      <c r="FW86" s="60"/>
      <c r="FX86" s="60"/>
    </row>
    <row r="87">
      <c r="A87" s="18"/>
      <c r="B87" s="14"/>
      <c r="C87" s="14"/>
      <c r="D87" s="14"/>
      <c r="E87" s="18"/>
      <c r="F87" s="18"/>
      <c r="G87" s="18"/>
      <c r="H87" s="18"/>
      <c r="I87" s="18"/>
      <c r="J87" s="18"/>
      <c r="K87" s="18"/>
      <c r="L87" s="18"/>
      <c r="M87" s="18"/>
      <c r="N87" s="18"/>
      <c r="O87" s="18"/>
      <c r="P87" s="23"/>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60"/>
      <c r="FB87" s="60"/>
      <c r="FC87" s="60"/>
      <c r="FD87" s="60"/>
      <c r="FE87" s="60"/>
      <c r="FF87" s="60"/>
      <c r="FG87" s="60"/>
      <c r="FH87" s="60"/>
      <c r="FI87" s="60"/>
      <c r="FJ87" s="60"/>
      <c r="FK87" s="60"/>
      <c r="FL87" s="60"/>
      <c r="FM87" s="60"/>
      <c r="FN87" s="60"/>
      <c r="FO87" s="60"/>
      <c r="FP87" s="60"/>
      <c r="FQ87" s="60"/>
      <c r="FR87" s="60"/>
      <c r="FS87" s="60"/>
      <c r="FT87" s="60"/>
      <c r="FU87" s="60"/>
      <c r="FV87" s="60"/>
      <c r="FW87" s="60"/>
      <c r="FX87" s="60"/>
    </row>
    <row r="88">
      <c r="A88" s="18"/>
      <c r="B88" s="14"/>
      <c r="C88" s="14"/>
      <c r="D88" s="14"/>
      <c r="E88" s="18"/>
      <c r="F88" s="18"/>
      <c r="G88" s="18"/>
      <c r="H88" s="18"/>
      <c r="I88" s="18"/>
      <c r="J88" s="18"/>
      <c r="K88" s="18"/>
      <c r="L88" s="18"/>
      <c r="M88" s="18"/>
      <c r="N88" s="18"/>
      <c r="O88" s="18"/>
      <c r="P88" s="23"/>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60"/>
      <c r="FB88" s="60"/>
      <c r="FC88" s="60"/>
      <c r="FD88" s="60"/>
      <c r="FE88" s="60"/>
      <c r="FF88" s="60"/>
      <c r="FG88" s="60"/>
      <c r="FH88" s="60"/>
      <c r="FI88" s="60"/>
      <c r="FJ88" s="60"/>
      <c r="FK88" s="60"/>
      <c r="FL88" s="60"/>
      <c r="FM88" s="60"/>
      <c r="FN88" s="60"/>
      <c r="FO88" s="60"/>
      <c r="FP88" s="60"/>
      <c r="FQ88" s="60"/>
      <c r="FR88" s="60"/>
      <c r="FS88" s="60"/>
      <c r="FT88" s="60"/>
      <c r="FU88" s="60"/>
      <c r="FV88" s="60"/>
      <c r="FW88" s="60"/>
      <c r="FX88" s="60"/>
    </row>
    <row r="89">
      <c r="A89" s="18"/>
      <c r="B89" s="14"/>
      <c r="C89" s="14"/>
      <c r="D89" s="14"/>
      <c r="E89" s="18"/>
      <c r="F89" s="18"/>
      <c r="G89" s="18"/>
      <c r="H89" s="18"/>
      <c r="I89" s="18"/>
      <c r="J89" s="18"/>
      <c r="K89" s="18"/>
      <c r="L89" s="18"/>
      <c r="M89" s="18"/>
      <c r="N89" s="18"/>
      <c r="O89" s="18"/>
      <c r="P89" s="23"/>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60"/>
      <c r="FB89" s="60"/>
      <c r="FC89" s="60"/>
      <c r="FD89" s="60"/>
      <c r="FE89" s="60"/>
      <c r="FF89" s="60"/>
      <c r="FG89" s="60"/>
      <c r="FH89" s="60"/>
      <c r="FI89" s="60"/>
      <c r="FJ89" s="60"/>
      <c r="FK89" s="60"/>
      <c r="FL89" s="60"/>
      <c r="FM89" s="60"/>
      <c r="FN89" s="60"/>
      <c r="FO89" s="60"/>
      <c r="FP89" s="60"/>
      <c r="FQ89" s="60"/>
      <c r="FR89" s="60"/>
      <c r="FS89" s="60"/>
      <c r="FT89" s="60"/>
      <c r="FU89" s="60"/>
      <c r="FV89" s="60"/>
      <c r="FW89" s="60"/>
      <c r="FX89" s="60"/>
    </row>
    <row r="90">
      <c r="A90" s="18"/>
      <c r="B90" s="14"/>
      <c r="C90" s="14"/>
      <c r="D90" s="14"/>
      <c r="E90" s="18"/>
      <c r="F90" s="18"/>
      <c r="G90" s="18"/>
      <c r="H90" s="18"/>
      <c r="I90" s="18"/>
      <c r="J90" s="18"/>
      <c r="K90" s="18"/>
      <c r="L90" s="18"/>
      <c r="M90" s="18"/>
      <c r="N90" s="18"/>
      <c r="O90" s="18"/>
      <c r="P90" s="23"/>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60"/>
      <c r="FB90" s="60"/>
      <c r="FC90" s="60"/>
      <c r="FD90" s="60"/>
      <c r="FE90" s="60"/>
      <c r="FF90" s="60"/>
      <c r="FG90" s="60"/>
      <c r="FH90" s="60"/>
      <c r="FI90" s="60"/>
      <c r="FJ90" s="60"/>
      <c r="FK90" s="60"/>
      <c r="FL90" s="60"/>
      <c r="FM90" s="60"/>
      <c r="FN90" s="60"/>
      <c r="FO90" s="60"/>
      <c r="FP90" s="60"/>
      <c r="FQ90" s="60"/>
      <c r="FR90" s="60"/>
      <c r="FS90" s="60"/>
      <c r="FT90" s="60"/>
      <c r="FU90" s="60"/>
      <c r="FV90" s="60"/>
      <c r="FW90" s="60"/>
      <c r="FX90" s="60"/>
    </row>
    <row r="91">
      <c r="A91" s="18"/>
      <c r="B91" s="14"/>
      <c r="C91" s="14"/>
      <c r="D91" s="14"/>
      <c r="E91" s="18"/>
      <c r="F91" s="18"/>
      <c r="G91" s="18"/>
      <c r="H91" s="18"/>
      <c r="I91" s="18"/>
      <c r="J91" s="18"/>
      <c r="K91" s="18"/>
      <c r="L91" s="18"/>
      <c r="M91" s="18"/>
      <c r="N91" s="18"/>
      <c r="O91" s="18"/>
      <c r="P91" s="23"/>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60"/>
      <c r="FB91" s="60"/>
      <c r="FC91" s="60"/>
      <c r="FD91" s="60"/>
      <c r="FE91" s="60"/>
      <c r="FF91" s="60"/>
      <c r="FG91" s="60"/>
      <c r="FH91" s="60"/>
      <c r="FI91" s="60"/>
      <c r="FJ91" s="60"/>
      <c r="FK91" s="60"/>
      <c r="FL91" s="60"/>
      <c r="FM91" s="60"/>
      <c r="FN91" s="60"/>
      <c r="FO91" s="60"/>
      <c r="FP91" s="60"/>
      <c r="FQ91" s="60"/>
      <c r="FR91" s="60"/>
      <c r="FS91" s="60"/>
      <c r="FT91" s="60"/>
      <c r="FU91" s="60"/>
      <c r="FV91" s="60"/>
      <c r="FW91" s="60"/>
      <c r="FX91" s="60"/>
    </row>
    <row r="92">
      <c r="A92" s="18"/>
      <c r="B92" s="14"/>
      <c r="C92" s="14"/>
      <c r="D92" s="14"/>
      <c r="E92" s="18"/>
      <c r="F92" s="18"/>
      <c r="G92" s="18"/>
      <c r="H92" s="18"/>
      <c r="I92" s="18"/>
      <c r="J92" s="18"/>
      <c r="K92" s="18"/>
      <c r="L92" s="18"/>
      <c r="M92" s="18"/>
      <c r="N92" s="18"/>
      <c r="O92" s="18"/>
      <c r="P92" s="23"/>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60"/>
      <c r="FB92" s="60"/>
      <c r="FC92" s="60"/>
      <c r="FD92" s="60"/>
      <c r="FE92" s="60"/>
      <c r="FF92" s="60"/>
      <c r="FG92" s="60"/>
      <c r="FH92" s="60"/>
      <c r="FI92" s="60"/>
      <c r="FJ92" s="60"/>
      <c r="FK92" s="60"/>
      <c r="FL92" s="60"/>
      <c r="FM92" s="60"/>
      <c r="FN92" s="60"/>
      <c r="FO92" s="60"/>
      <c r="FP92" s="60"/>
      <c r="FQ92" s="60"/>
      <c r="FR92" s="60"/>
      <c r="FS92" s="60"/>
      <c r="FT92" s="60"/>
      <c r="FU92" s="60"/>
      <c r="FV92" s="60"/>
      <c r="FW92" s="60"/>
      <c r="FX92" s="60"/>
    </row>
    <row r="93">
      <c r="A93" s="18"/>
      <c r="B93" s="14"/>
      <c r="C93" s="14"/>
      <c r="D93" s="14"/>
      <c r="E93" s="18"/>
      <c r="F93" s="18"/>
      <c r="G93" s="18"/>
      <c r="H93" s="18"/>
      <c r="I93" s="18"/>
      <c r="J93" s="18"/>
      <c r="K93" s="18"/>
      <c r="L93" s="18"/>
      <c r="M93" s="18"/>
      <c r="N93" s="18"/>
      <c r="O93" s="18"/>
      <c r="P93" s="23"/>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60"/>
      <c r="FB93" s="60"/>
      <c r="FC93" s="60"/>
      <c r="FD93" s="60"/>
      <c r="FE93" s="60"/>
      <c r="FF93" s="60"/>
      <c r="FG93" s="60"/>
      <c r="FH93" s="60"/>
      <c r="FI93" s="60"/>
      <c r="FJ93" s="60"/>
      <c r="FK93" s="60"/>
      <c r="FL93" s="60"/>
      <c r="FM93" s="60"/>
      <c r="FN93" s="60"/>
      <c r="FO93" s="60"/>
      <c r="FP93" s="60"/>
      <c r="FQ93" s="60"/>
      <c r="FR93" s="60"/>
      <c r="FS93" s="60"/>
      <c r="FT93" s="60"/>
      <c r="FU93" s="60"/>
      <c r="FV93" s="60"/>
      <c r="FW93" s="60"/>
      <c r="FX93" s="60"/>
    </row>
    <row r="94">
      <c r="A94" s="18"/>
      <c r="B94" s="14"/>
      <c r="C94" s="14"/>
      <c r="D94" s="14"/>
      <c r="E94" s="18"/>
      <c r="F94" s="18"/>
      <c r="G94" s="18"/>
      <c r="H94" s="18"/>
      <c r="I94" s="18"/>
      <c r="J94" s="18"/>
      <c r="K94" s="18"/>
      <c r="L94" s="18"/>
      <c r="M94" s="18"/>
      <c r="N94" s="18"/>
      <c r="O94" s="18"/>
      <c r="P94" s="23"/>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60"/>
      <c r="FB94" s="60"/>
      <c r="FC94" s="60"/>
      <c r="FD94" s="60"/>
      <c r="FE94" s="60"/>
      <c r="FF94" s="60"/>
      <c r="FG94" s="60"/>
      <c r="FH94" s="60"/>
      <c r="FI94" s="60"/>
      <c r="FJ94" s="60"/>
      <c r="FK94" s="60"/>
      <c r="FL94" s="60"/>
      <c r="FM94" s="60"/>
      <c r="FN94" s="60"/>
      <c r="FO94" s="60"/>
      <c r="FP94" s="60"/>
      <c r="FQ94" s="60"/>
      <c r="FR94" s="60"/>
      <c r="FS94" s="60"/>
      <c r="FT94" s="60"/>
      <c r="FU94" s="60"/>
      <c r="FV94" s="60"/>
      <c r="FW94" s="60"/>
      <c r="FX94" s="60"/>
    </row>
    <row r="95">
      <c r="A95" s="18"/>
      <c r="B95" s="14"/>
      <c r="C95" s="14"/>
      <c r="D95" s="14"/>
      <c r="E95" s="18"/>
      <c r="F95" s="18"/>
      <c r="G95" s="18"/>
      <c r="H95" s="18"/>
      <c r="I95" s="18"/>
      <c r="J95" s="18"/>
      <c r="K95" s="18"/>
      <c r="L95" s="18"/>
      <c r="M95" s="18"/>
      <c r="N95" s="18"/>
      <c r="O95" s="18"/>
      <c r="P95" s="23"/>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60"/>
      <c r="FB95" s="60"/>
      <c r="FC95" s="60"/>
      <c r="FD95" s="60"/>
      <c r="FE95" s="60"/>
      <c r="FF95" s="60"/>
      <c r="FG95" s="60"/>
      <c r="FH95" s="60"/>
      <c r="FI95" s="60"/>
      <c r="FJ95" s="60"/>
      <c r="FK95" s="60"/>
      <c r="FL95" s="60"/>
      <c r="FM95" s="60"/>
      <c r="FN95" s="60"/>
      <c r="FO95" s="60"/>
      <c r="FP95" s="60"/>
      <c r="FQ95" s="60"/>
      <c r="FR95" s="60"/>
      <c r="FS95" s="60"/>
      <c r="FT95" s="60"/>
      <c r="FU95" s="60"/>
      <c r="FV95" s="60"/>
      <c r="FW95" s="60"/>
      <c r="FX95" s="60"/>
    </row>
    <row r="96">
      <c r="A96" s="18"/>
      <c r="B96" s="14"/>
      <c r="C96" s="14"/>
      <c r="D96" s="14"/>
      <c r="E96" s="18"/>
      <c r="F96" s="18"/>
      <c r="G96" s="18"/>
      <c r="H96" s="18"/>
      <c r="I96" s="18"/>
      <c r="J96" s="18"/>
      <c r="K96" s="18"/>
      <c r="L96" s="18"/>
      <c r="M96" s="18"/>
      <c r="N96" s="18"/>
      <c r="O96" s="18"/>
      <c r="P96" s="23"/>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60"/>
      <c r="FB96" s="60"/>
      <c r="FC96" s="60"/>
      <c r="FD96" s="60"/>
      <c r="FE96" s="60"/>
      <c r="FF96" s="60"/>
      <c r="FG96" s="60"/>
      <c r="FH96" s="60"/>
      <c r="FI96" s="60"/>
      <c r="FJ96" s="60"/>
      <c r="FK96" s="60"/>
      <c r="FL96" s="60"/>
      <c r="FM96" s="60"/>
      <c r="FN96" s="60"/>
      <c r="FO96" s="60"/>
      <c r="FP96" s="60"/>
      <c r="FQ96" s="60"/>
      <c r="FR96" s="60"/>
      <c r="FS96" s="60"/>
      <c r="FT96" s="60"/>
      <c r="FU96" s="60"/>
      <c r="FV96" s="60"/>
      <c r="FW96" s="60"/>
      <c r="FX96" s="60"/>
    </row>
    <row r="97">
      <c r="A97" s="18"/>
      <c r="B97" s="14"/>
      <c r="C97" s="14"/>
      <c r="D97" s="14"/>
      <c r="E97" s="18"/>
      <c r="F97" s="18"/>
      <c r="G97" s="18"/>
      <c r="H97" s="18"/>
      <c r="I97" s="18"/>
      <c r="J97" s="18"/>
      <c r="K97" s="18"/>
      <c r="L97" s="18"/>
      <c r="M97" s="18"/>
      <c r="N97" s="18"/>
      <c r="O97" s="18"/>
      <c r="P97" s="23"/>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60"/>
      <c r="FB97" s="60"/>
      <c r="FC97" s="60"/>
      <c r="FD97" s="60"/>
      <c r="FE97" s="60"/>
      <c r="FF97" s="60"/>
      <c r="FG97" s="60"/>
      <c r="FH97" s="60"/>
      <c r="FI97" s="60"/>
      <c r="FJ97" s="60"/>
      <c r="FK97" s="60"/>
      <c r="FL97" s="60"/>
      <c r="FM97" s="60"/>
      <c r="FN97" s="60"/>
      <c r="FO97" s="60"/>
      <c r="FP97" s="60"/>
      <c r="FQ97" s="60"/>
      <c r="FR97" s="60"/>
      <c r="FS97" s="60"/>
      <c r="FT97" s="60"/>
      <c r="FU97" s="60"/>
      <c r="FV97" s="60"/>
      <c r="FW97" s="60"/>
      <c r="FX97" s="60"/>
    </row>
    <row r="98">
      <c r="A98" s="18"/>
      <c r="B98" s="14"/>
      <c r="C98" s="14"/>
      <c r="D98" s="14"/>
      <c r="E98" s="18"/>
      <c r="F98" s="18"/>
      <c r="G98" s="18"/>
      <c r="H98" s="18"/>
      <c r="I98" s="18"/>
      <c r="J98" s="18"/>
      <c r="K98" s="18"/>
      <c r="L98" s="18"/>
      <c r="M98" s="18"/>
      <c r="N98" s="18"/>
      <c r="O98" s="18"/>
      <c r="P98" s="23"/>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60"/>
      <c r="FB98" s="60"/>
      <c r="FC98" s="60"/>
      <c r="FD98" s="60"/>
      <c r="FE98" s="60"/>
      <c r="FF98" s="60"/>
      <c r="FG98" s="60"/>
      <c r="FH98" s="60"/>
      <c r="FI98" s="60"/>
      <c r="FJ98" s="60"/>
      <c r="FK98" s="60"/>
      <c r="FL98" s="60"/>
      <c r="FM98" s="60"/>
      <c r="FN98" s="60"/>
      <c r="FO98" s="60"/>
      <c r="FP98" s="60"/>
      <c r="FQ98" s="60"/>
      <c r="FR98" s="60"/>
      <c r="FS98" s="60"/>
      <c r="FT98" s="60"/>
      <c r="FU98" s="60"/>
      <c r="FV98" s="60"/>
      <c r="FW98" s="60"/>
      <c r="FX98" s="60"/>
    </row>
    <row r="99">
      <c r="A99" s="18"/>
      <c r="B99" s="14"/>
      <c r="C99" s="14"/>
      <c r="D99" s="14"/>
      <c r="E99" s="18"/>
      <c r="F99" s="18"/>
      <c r="G99" s="18"/>
      <c r="H99" s="18"/>
      <c r="I99" s="18"/>
      <c r="J99" s="18"/>
      <c r="K99" s="18"/>
      <c r="L99" s="18"/>
      <c r="M99" s="18"/>
      <c r="N99" s="18"/>
      <c r="O99" s="18"/>
      <c r="P99" s="23"/>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60"/>
      <c r="FB99" s="60"/>
      <c r="FC99" s="60"/>
      <c r="FD99" s="60"/>
      <c r="FE99" s="60"/>
      <c r="FF99" s="60"/>
      <c r="FG99" s="60"/>
      <c r="FH99" s="60"/>
      <c r="FI99" s="60"/>
      <c r="FJ99" s="60"/>
      <c r="FK99" s="60"/>
      <c r="FL99" s="60"/>
      <c r="FM99" s="60"/>
      <c r="FN99" s="60"/>
      <c r="FO99" s="60"/>
      <c r="FP99" s="60"/>
      <c r="FQ99" s="60"/>
      <c r="FR99" s="60"/>
      <c r="FS99" s="60"/>
      <c r="FT99" s="60"/>
      <c r="FU99" s="60"/>
      <c r="FV99" s="60"/>
      <c r="FW99" s="60"/>
      <c r="FX99" s="60"/>
    </row>
    <row r="100">
      <c r="A100" s="18"/>
      <c r="B100" s="14"/>
      <c r="C100" s="14"/>
      <c r="D100" s="14"/>
      <c r="E100" s="18"/>
      <c r="F100" s="18"/>
      <c r="G100" s="18"/>
      <c r="H100" s="18"/>
      <c r="I100" s="18"/>
      <c r="J100" s="18"/>
      <c r="K100" s="18"/>
      <c r="L100" s="18"/>
      <c r="M100" s="18"/>
      <c r="N100" s="18"/>
      <c r="O100" s="18"/>
      <c r="P100" s="23"/>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60"/>
      <c r="FB100" s="60"/>
      <c r="FC100" s="60"/>
      <c r="FD100" s="60"/>
      <c r="FE100" s="60"/>
      <c r="FF100" s="60"/>
      <c r="FG100" s="60"/>
      <c r="FH100" s="60"/>
      <c r="FI100" s="60"/>
      <c r="FJ100" s="60"/>
      <c r="FK100" s="60"/>
      <c r="FL100" s="60"/>
      <c r="FM100" s="60"/>
      <c r="FN100" s="60"/>
      <c r="FO100" s="60"/>
      <c r="FP100" s="60"/>
      <c r="FQ100" s="60"/>
      <c r="FR100" s="60"/>
      <c r="FS100" s="60"/>
      <c r="FT100" s="60"/>
      <c r="FU100" s="60"/>
      <c r="FV100" s="60"/>
      <c r="FW100" s="60"/>
      <c r="FX100" s="60"/>
    </row>
    <row r="101">
      <c r="A101" s="18"/>
      <c r="B101" s="14"/>
      <c r="C101" s="14"/>
      <c r="D101" s="14"/>
      <c r="E101" s="18"/>
      <c r="F101" s="18"/>
      <c r="G101" s="18"/>
      <c r="H101" s="18"/>
      <c r="I101" s="18"/>
      <c r="J101" s="18"/>
      <c r="K101" s="18"/>
      <c r="L101" s="18"/>
      <c r="M101" s="18"/>
      <c r="N101" s="18"/>
      <c r="O101" s="18"/>
      <c r="P101" s="23"/>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60"/>
      <c r="FB101" s="60"/>
      <c r="FC101" s="60"/>
      <c r="FD101" s="60"/>
      <c r="FE101" s="60"/>
      <c r="FF101" s="60"/>
      <c r="FG101" s="60"/>
      <c r="FH101" s="60"/>
      <c r="FI101" s="60"/>
      <c r="FJ101" s="60"/>
      <c r="FK101" s="60"/>
      <c r="FL101" s="60"/>
      <c r="FM101" s="60"/>
      <c r="FN101" s="60"/>
      <c r="FO101" s="60"/>
      <c r="FP101" s="60"/>
      <c r="FQ101" s="60"/>
      <c r="FR101" s="60"/>
      <c r="FS101" s="60"/>
      <c r="FT101" s="60"/>
      <c r="FU101" s="60"/>
      <c r="FV101" s="60"/>
      <c r="FW101" s="60"/>
      <c r="FX101" s="60"/>
    </row>
    <row r="102">
      <c r="A102" s="18"/>
      <c r="B102" s="14"/>
      <c r="C102" s="14"/>
      <c r="D102" s="14"/>
      <c r="E102" s="18"/>
      <c r="F102" s="18"/>
      <c r="G102" s="18"/>
      <c r="H102" s="18"/>
      <c r="I102" s="18"/>
      <c r="J102" s="18"/>
      <c r="K102" s="18"/>
      <c r="L102" s="18"/>
      <c r="M102" s="18"/>
      <c r="N102" s="18"/>
      <c r="O102" s="18"/>
      <c r="P102" s="23"/>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60"/>
      <c r="FB102" s="60"/>
      <c r="FC102" s="60"/>
      <c r="FD102" s="60"/>
      <c r="FE102" s="60"/>
      <c r="FF102" s="60"/>
      <c r="FG102" s="60"/>
      <c r="FH102" s="60"/>
      <c r="FI102" s="60"/>
      <c r="FJ102" s="60"/>
      <c r="FK102" s="60"/>
      <c r="FL102" s="60"/>
      <c r="FM102" s="60"/>
      <c r="FN102" s="60"/>
      <c r="FO102" s="60"/>
      <c r="FP102" s="60"/>
      <c r="FQ102" s="60"/>
      <c r="FR102" s="60"/>
      <c r="FS102" s="60"/>
      <c r="FT102" s="60"/>
      <c r="FU102" s="60"/>
      <c r="FV102" s="60"/>
      <c r="FW102" s="60"/>
      <c r="FX102" s="60"/>
    </row>
    <row r="103">
      <c r="A103" s="18"/>
      <c r="B103" s="14"/>
      <c r="C103" s="14"/>
      <c r="D103" s="14"/>
      <c r="E103" s="18"/>
      <c r="F103" s="18"/>
      <c r="G103" s="18"/>
      <c r="H103" s="18"/>
      <c r="I103" s="18"/>
      <c r="J103" s="18"/>
      <c r="K103" s="18"/>
      <c r="L103" s="18"/>
      <c r="M103" s="18"/>
      <c r="N103" s="18"/>
      <c r="O103" s="18"/>
      <c r="P103" s="23"/>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60"/>
      <c r="FB103" s="60"/>
      <c r="FC103" s="60"/>
      <c r="FD103" s="60"/>
      <c r="FE103" s="60"/>
      <c r="FF103" s="60"/>
      <c r="FG103" s="60"/>
      <c r="FH103" s="60"/>
      <c r="FI103" s="60"/>
      <c r="FJ103" s="60"/>
      <c r="FK103" s="60"/>
      <c r="FL103" s="60"/>
      <c r="FM103" s="60"/>
      <c r="FN103" s="60"/>
      <c r="FO103" s="60"/>
      <c r="FP103" s="60"/>
      <c r="FQ103" s="60"/>
      <c r="FR103" s="60"/>
      <c r="FS103" s="60"/>
      <c r="FT103" s="60"/>
      <c r="FU103" s="60"/>
      <c r="FV103" s="60"/>
      <c r="FW103" s="60"/>
      <c r="FX103" s="60"/>
    </row>
    <row r="104">
      <c r="A104" s="18"/>
      <c r="B104" s="14"/>
      <c r="C104" s="14"/>
      <c r="D104" s="14"/>
      <c r="E104" s="18"/>
      <c r="F104" s="18"/>
      <c r="G104" s="18"/>
      <c r="H104" s="18"/>
      <c r="I104" s="18"/>
      <c r="J104" s="18"/>
      <c r="K104" s="18"/>
      <c r="L104" s="18"/>
      <c r="M104" s="18"/>
      <c r="N104" s="18"/>
      <c r="O104" s="18"/>
      <c r="P104" s="23"/>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60"/>
      <c r="FB104" s="60"/>
      <c r="FC104" s="60"/>
      <c r="FD104" s="60"/>
      <c r="FE104" s="60"/>
      <c r="FF104" s="60"/>
      <c r="FG104" s="60"/>
      <c r="FH104" s="60"/>
      <c r="FI104" s="60"/>
      <c r="FJ104" s="60"/>
      <c r="FK104" s="60"/>
      <c r="FL104" s="60"/>
      <c r="FM104" s="60"/>
      <c r="FN104" s="60"/>
      <c r="FO104" s="60"/>
      <c r="FP104" s="60"/>
      <c r="FQ104" s="60"/>
      <c r="FR104" s="60"/>
      <c r="FS104" s="60"/>
      <c r="FT104" s="60"/>
      <c r="FU104" s="60"/>
      <c r="FV104" s="60"/>
      <c r="FW104" s="60"/>
      <c r="FX104" s="60"/>
    </row>
    <row r="105">
      <c r="A105" s="18"/>
      <c r="B105" s="14"/>
      <c r="C105" s="14"/>
      <c r="D105" s="14"/>
      <c r="E105" s="18"/>
      <c r="F105" s="18"/>
      <c r="G105" s="18"/>
      <c r="H105" s="18"/>
      <c r="I105" s="18"/>
      <c r="J105" s="18"/>
      <c r="K105" s="18"/>
      <c r="L105" s="18"/>
      <c r="M105" s="18"/>
      <c r="N105" s="18"/>
      <c r="O105" s="18"/>
      <c r="P105" s="23"/>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60"/>
      <c r="FB105" s="60"/>
      <c r="FC105" s="60"/>
      <c r="FD105" s="60"/>
      <c r="FE105" s="60"/>
      <c r="FF105" s="60"/>
      <c r="FG105" s="60"/>
      <c r="FH105" s="60"/>
      <c r="FI105" s="60"/>
      <c r="FJ105" s="60"/>
      <c r="FK105" s="60"/>
      <c r="FL105" s="60"/>
      <c r="FM105" s="60"/>
      <c r="FN105" s="60"/>
      <c r="FO105" s="60"/>
      <c r="FP105" s="60"/>
      <c r="FQ105" s="60"/>
      <c r="FR105" s="60"/>
      <c r="FS105" s="60"/>
      <c r="FT105" s="60"/>
      <c r="FU105" s="60"/>
      <c r="FV105" s="60"/>
      <c r="FW105" s="60"/>
      <c r="FX105" s="60"/>
    </row>
    <row r="106">
      <c r="A106" s="18"/>
      <c r="B106" s="14"/>
      <c r="C106" s="14"/>
      <c r="D106" s="14"/>
      <c r="E106" s="18"/>
      <c r="F106" s="18"/>
      <c r="G106" s="18"/>
      <c r="H106" s="18"/>
      <c r="I106" s="18"/>
      <c r="J106" s="18"/>
      <c r="K106" s="18"/>
      <c r="L106" s="18"/>
      <c r="M106" s="18"/>
      <c r="N106" s="18"/>
      <c r="O106" s="18"/>
      <c r="P106" s="23"/>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60"/>
      <c r="FB106" s="60"/>
      <c r="FC106" s="60"/>
      <c r="FD106" s="60"/>
      <c r="FE106" s="60"/>
      <c r="FF106" s="60"/>
      <c r="FG106" s="60"/>
      <c r="FH106" s="60"/>
      <c r="FI106" s="60"/>
      <c r="FJ106" s="60"/>
      <c r="FK106" s="60"/>
      <c r="FL106" s="60"/>
      <c r="FM106" s="60"/>
      <c r="FN106" s="60"/>
      <c r="FO106" s="60"/>
      <c r="FP106" s="60"/>
      <c r="FQ106" s="60"/>
      <c r="FR106" s="60"/>
      <c r="FS106" s="60"/>
      <c r="FT106" s="60"/>
      <c r="FU106" s="60"/>
      <c r="FV106" s="60"/>
      <c r="FW106" s="60"/>
      <c r="FX106" s="60"/>
    </row>
    <row r="107">
      <c r="A107" s="18"/>
      <c r="B107" s="14"/>
      <c r="C107" s="14"/>
      <c r="D107" s="14"/>
      <c r="E107" s="18"/>
      <c r="F107" s="18"/>
      <c r="G107" s="18"/>
      <c r="H107" s="18"/>
      <c r="I107" s="18"/>
      <c r="J107" s="18"/>
      <c r="K107" s="18"/>
      <c r="L107" s="18"/>
      <c r="M107" s="18"/>
      <c r="N107" s="18"/>
      <c r="O107" s="18"/>
      <c r="P107" s="23"/>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60"/>
      <c r="FB107" s="60"/>
      <c r="FC107" s="60"/>
      <c r="FD107" s="60"/>
      <c r="FE107" s="60"/>
      <c r="FF107" s="60"/>
      <c r="FG107" s="60"/>
      <c r="FH107" s="60"/>
      <c r="FI107" s="60"/>
      <c r="FJ107" s="60"/>
      <c r="FK107" s="60"/>
      <c r="FL107" s="60"/>
      <c r="FM107" s="60"/>
      <c r="FN107" s="60"/>
      <c r="FO107" s="60"/>
      <c r="FP107" s="60"/>
      <c r="FQ107" s="60"/>
      <c r="FR107" s="60"/>
      <c r="FS107" s="60"/>
      <c r="FT107" s="60"/>
      <c r="FU107" s="60"/>
      <c r="FV107" s="60"/>
      <c r="FW107" s="60"/>
      <c r="FX107" s="60"/>
    </row>
    <row r="108">
      <c r="A108" s="18"/>
      <c r="B108" s="14"/>
      <c r="C108" s="14"/>
      <c r="D108" s="14"/>
      <c r="E108" s="18"/>
      <c r="F108" s="18"/>
      <c r="G108" s="18"/>
      <c r="H108" s="18"/>
      <c r="I108" s="18"/>
      <c r="J108" s="18"/>
      <c r="K108" s="18"/>
      <c r="L108" s="18"/>
      <c r="M108" s="18"/>
      <c r="N108" s="18"/>
      <c r="O108" s="18"/>
      <c r="P108" s="23"/>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60"/>
      <c r="FB108" s="60"/>
      <c r="FC108" s="60"/>
      <c r="FD108" s="60"/>
      <c r="FE108" s="60"/>
      <c r="FF108" s="60"/>
      <c r="FG108" s="60"/>
      <c r="FH108" s="60"/>
      <c r="FI108" s="60"/>
      <c r="FJ108" s="60"/>
      <c r="FK108" s="60"/>
      <c r="FL108" s="60"/>
      <c r="FM108" s="60"/>
      <c r="FN108" s="60"/>
      <c r="FO108" s="60"/>
      <c r="FP108" s="60"/>
      <c r="FQ108" s="60"/>
      <c r="FR108" s="60"/>
      <c r="FS108" s="60"/>
      <c r="FT108" s="60"/>
      <c r="FU108" s="60"/>
      <c r="FV108" s="60"/>
      <c r="FW108" s="60"/>
      <c r="FX108" s="60"/>
    </row>
    <row r="109">
      <c r="A109" s="18"/>
      <c r="B109" s="14"/>
      <c r="C109" s="14"/>
      <c r="D109" s="14"/>
      <c r="E109" s="18"/>
      <c r="F109" s="18"/>
      <c r="G109" s="18"/>
      <c r="H109" s="18"/>
      <c r="I109" s="18"/>
      <c r="J109" s="18"/>
      <c r="K109" s="18"/>
      <c r="L109" s="18"/>
      <c r="M109" s="18"/>
      <c r="N109" s="18"/>
      <c r="O109" s="18"/>
      <c r="P109" s="23"/>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60"/>
      <c r="FB109" s="60"/>
      <c r="FC109" s="60"/>
      <c r="FD109" s="60"/>
      <c r="FE109" s="60"/>
      <c r="FF109" s="60"/>
      <c r="FG109" s="60"/>
      <c r="FH109" s="60"/>
      <c r="FI109" s="60"/>
      <c r="FJ109" s="60"/>
      <c r="FK109" s="60"/>
      <c r="FL109" s="60"/>
      <c r="FM109" s="60"/>
      <c r="FN109" s="60"/>
      <c r="FO109" s="60"/>
      <c r="FP109" s="60"/>
      <c r="FQ109" s="60"/>
      <c r="FR109" s="60"/>
      <c r="FS109" s="60"/>
      <c r="FT109" s="60"/>
      <c r="FU109" s="60"/>
      <c r="FV109" s="60"/>
      <c r="FW109" s="60"/>
      <c r="FX109" s="60"/>
    </row>
    <row r="110">
      <c r="A110" s="18"/>
      <c r="B110" s="14"/>
      <c r="C110" s="14"/>
      <c r="D110" s="14"/>
      <c r="E110" s="18"/>
      <c r="F110" s="18"/>
      <c r="G110" s="18"/>
      <c r="H110" s="18"/>
      <c r="I110" s="18"/>
      <c r="J110" s="18"/>
      <c r="K110" s="18"/>
      <c r="L110" s="18"/>
      <c r="M110" s="18"/>
      <c r="N110" s="18"/>
      <c r="O110" s="18"/>
      <c r="P110" s="23"/>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60"/>
      <c r="FB110" s="60"/>
      <c r="FC110" s="60"/>
      <c r="FD110" s="60"/>
      <c r="FE110" s="60"/>
      <c r="FF110" s="60"/>
      <c r="FG110" s="60"/>
      <c r="FH110" s="60"/>
      <c r="FI110" s="60"/>
      <c r="FJ110" s="60"/>
      <c r="FK110" s="60"/>
      <c r="FL110" s="60"/>
      <c r="FM110" s="60"/>
      <c r="FN110" s="60"/>
      <c r="FO110" s="60"/>
      <c r="FP110" s="60"/>
      <c r="FQ110" s="60"/>
      <c r="FR110" s="60"/>
      <c r="FS110" s="60"/>
      <c r="FT110" s="60"/>
      <c r="FU110" s="60"/>
      <c r="FV110" s="60"/>
      <c r="FW110" s="60"/>
      <c r="FX110" s="60"/>
    </row>
    <row r="111">
      <c r="A111" s="18"/>
      <c r="B111" s="14"/>
      <c r="C111" s="14"/>
      <c r="D111" s="14"/>
      <c r="E111" s="18"/>
      <c r="F111" s="18"/>
      <c r="G111" s="18"/>
      <c r="H111" s="18"/>
      <c r="I111" s="18"/>
      <c r="J111" s="18"/>
      <c r="K111" s="18"/>
      <c r="L111" s="18"/>
      <c r="M111" s="18"/>
      <c r="N111" s="18"/>
      <c r="O111" s="18"/>
      <c r="P111" s="23"/>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60"/>
      <c r="FB111" s="60"/>
      <c r="FC111" s="60"/>
      <c r="FD111" s="60"/>
      <c r="FE111" s="60"/>
      <c r="FF111" s="60"/>
      <c r="FG111" s="60"/>
      <c r="FH111" s="60"/>
      <c r="FI111" s="60"/>
      <c r="FJ111" s="60"/>
      <c r="FK111" s="60"/>
      <c r="FL111" s="60"/>
      <c r="FM111" s="60"/>
      <c r="FN111" s="60"/>
      <c r="FO111" s="60"/>
      <c r="FP111" s="60"/>
      <c r="FQ111" s="60"/>
      <c r="FR111" s="60"/>
      <c r="FS111" s="60"/>
      <c r="FT111" s="60"/>
      <c r="FU111" s="60"/>
      <c r="FV111" s="60"/>
      <c r="FW111" s="60"/>
      <c r="FX111" s="60"/>
    </row>
    <row r="112">
      <c r="A112" s="18"/>
      <c r="B112" s="14"/>
      <c r="C112" s="14"/>
      <c r="D112" s="14"/>
      <c r="E112" s="18"/>
      <c r="F112" s="18"/>
      <c r="G112" s="18"/>
      <c r="H112" s="18"/>
      <c r="I112" s="18"/>
      <c r="J112" s="18"/>
      <c r="K112" s="18"/>
      <c r="L112" s="18"/>
      <c r="M112" s="18"/>
      <c r="N112" s="18"/>
      <c r="O112" s="18"/>
      <c r="P112" s="23"/>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60"/>
      <c r="FB112" s="60"/>
      <c r="FC112" s="60"/>
      <c r="FD112" s="60"/>
      <c r="FE112" s="60"/>
      <c r="FF112" s="60"/>
      <c r="FG112" s="60"/>
      <c r="FH112" s="60"/>
      <c r="FI112" s="60"/>
      <c r="FJ112" s="60"/>
      <c r="FK112" s="60"/>
      <c r="FL112" s="60"/>
      <c r="FM112" s="60"/>
      <c r="FN112" s="60"/>
      <c r="FO112" s="60"/>
      <c r="FP112" s="60"/>
      <c r="FQ112" s="60"/>
      <c r="FR112" s="60"/>
      <c r="FS112" s="60"/>
      <c r="FT112" s="60"/>
      <c r="FU112" s="60"/>
      <c r="FV112" s="60"/>
      <c r="FW112" s="60"/>
      <c r="FX112" s="60"/>
    </row>
    <row r="113">
      <c r="A113" s="18"/>
      <c r="B113" s="14"/>
      <c r="C113" s="14"/>
      <c r="D113" s="14"/>
      <c r="E113" s="18"/>
      <c r="F113" s="18"/>
      <c r="G113" s="18"/>
      <c r="H113" s="18"/>
      <c r="I113" s="18"/>
      <c r="J113" s="18"/>
      <c r="K113" s="18"/>
      <c r="L113" s="18"/>
      <c r="M113" s="18"/>
      <c r="N113" s="18"/>
      <c r="O113" s="18"/>
      <c r="P113" s="23"/>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60"/>
      <c r="FB113" s="60"/>
      <c r="FC113" s="60"/>
      <c r="FD113" s="60"/>
      <c r="FE113" s="60"/>
      <c r="FF113" s="60"/>
      <c r="FG113" s="60"/>
      <c r="FH113" s="60"/>
      <c r="FI113" s="60"/>
      <c r="FJ113" s="60"/>
      <c r="FK113" s="60"/>
      <c r="FL113" s="60"/>
      <c r="FM113" s="60"/>
      <c r="FN113" s="60"/>
      <c r="FO113" s="60"/>
      <c r="FP113" s="60"/>
      <c r="FQ113" s="60"/>
      <c r="FR113" s="60"/>
      <c r="FS113" s="60"/>
      <c r="FT113" s="60"/>
      <c r="FU113" s="60"/>
      <c r="FV113" s="60"/>
      <c r="FW113" s="60"/>
      <c r="FX113" s="60"/>
    </row>
    <row r="114">
      <c r="A114" s="18"/>
      <c r="B114" s="14"/>
      <c r="C114" s="14"/>
      <c r="D114" s="14"/>
      <c r="E114" s="18"/>
      <c r="F114" s="18"/>
      <c r="G114" s="18"/>
      <c r="H114" s="18"/>
      <c r="I114" s="18"/>
      <c r="J114" s="18"/>
      <c r="K114" s="18"/>
      <c r="L114" s="18"/>
      <c r="M114" s="18"/>
      <c r="N114" s="18"/>
      <c r="O114" s="18"/>
      <c r="P114" s="23"/>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60"/>
      <c r="FB114" s="60"/>
      <c r="FC114" s="60"/>
      <c r="FD114" s="60"/>
      <c r="FE114" s="60"/>
      <c r="FF114" s="60"/>
      <c r="FG114" s="60"/>
      <c r="FH114" s="60"/>
      <c r="FI114" s="60"/>
      <c r="FJ114" s="60"/>
      <c r="FK114" s="60"/>
      <c r="FL114" s="60"/>
      <c r="FM114" s="60"/>
      <c r="FN114" s="60"/>
      <c r="FO114" s="60"/>
      <c r="FP114" s="60"/>
      <c r="FQ114" s="60"/>
      <c r="FR114" s="60"/>
      <c r="FS114" s="60"/>
      <c r="FT114" s="60"/>
      <c r="FU114" s="60"/>
      <c r="FV114" s="60"/>
      <c r="FW114" s="60"/>
      <c r="FX114" s="60"/>
    </row>
    <row r="115">
      <c r="A115" s="18"/>
      <c r="B115" s="14"/>
      <c r="C115" s="14"/>
      <c r="D115" s="14"/>
      <c r="E115" s="18"/>
      <c r="F115" s="18"/>
      <c r="G115" s="18"/>
      <c r="H115" s="18"/>
      <c r="I115" s="18"/>
      <c r="J115" s="18"/>
      <c r="K115" s="18"/>
      <c r="L115" s="18"/>
      <c r="M115" s="18"/>
      <c r="N115" s="18"/>
      <c r="O115" s="18"/>
      <c r="P115" s="23"/>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60"/>
      <c r="FB115" s="60"/>
      <c r="FC115" s="60"/>
      <c r="FD115" s="60"/>
      <c r="FE115" s="60"/>
      <c r="FF115" s="60"/>
      <c r="FG115" s="60"/>
      <c r="FH115" s="60"/>
      <c r="FI115" s="60"/>
      <c r="FJ115" s="60"/>
      <c r="FK115" s="60"/>
      <c r="FL115" s="60"/>
      <c r="FM115" s="60"/>
      <c r="FN115" s="60"/>
      <c r="FO115" s="60"/>
      <c r="FP115" s="60"/>
      <c r="FQ115" s="60"/>
      <c r="FR115" s="60"/>
      <c r="FS115" s="60"/>
      <c r="FT115" s="60"/>
      <c r="FU115" s="60"/>
      <c r="FV115" s="60"/>
      <c r="FW115" s="60"/>
      <c r="FX115" s="60"/>
    </row>
    <row r="116">
      <c r="A116" s="18"/>
      <c r="B116" s="14"/>
      <c r="C116" s="14"/>
      <c r="D116" s="14"/>
      <c r="E116" s="18"/>
      <c r="F116" s="18"/>
      <c r="G116" s="18"/>
      <c r="H116" s="18"/>
      <c r="I116" s="18"/>
      <c r="J116" s="18"/>
      <c r="K116" s="18"/>
      <c r="L116" s="18"/>
      <c r="M116" s="18"/>
      <c r="N116" s="18"/>
      <c r="O116" s="18"/>
      <c r="P116" s="23"/>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60"/>
      <c r="FB116" s="60"/>
      <c r="FC116" s="60"/>
      <c r="FD116" s="60"/>
      <c r="FE116" s="60"/>
      <c r="FF116" s="60"/>
      <c r="FG116" s="60"/>
      <c r="FH116" s="60"/>
      <c r="FI116" s="60"/>
      <c r="FJ116" s="60"/>
      <c r="FK116" s="60"/>
      <c r="FL116" s="60"/>
      <c r="FM116" s="60"/>
      <c r="FN116" s="60"/>
      <c r="FO116" s="60"/>
      <c r="FP116" s="60"/>
      <c r="FQ116" s="60"/>
      <c r="FR116" s="60"/>
      <c r="FS116" s="60"/>
      <c r="FT116" s="60"/>
      <c r="FU116" s="60"/>
      <c r="FV116" s="60"/>
      <c r="FW116" s="60"/>
      <c r="FX116" s="60"/>
    </row>
    <row r="117">
      <c r="A117" s="18"/>
      <c r="B117" s="14"/>
      <c r="C117" s="14"/>
      <c r="D117" s="14"/>
      <c r="E117" s="18"/>
      <c r="F117" s="18"/>
      <c r="G117" s="18"/>
      <c r="H117" s="18"/>
      <c r="I117" s="18"/>
      <c r="J117" s="18"/>
      <c r="K117" s="18"/>
      <c r="L117" s="18"/>
      <c r="M117" s="18"/>
      <c r="N117" s="18"/>
      <c r="O117" s="18"/>
      <c r="P117" s="23"/>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60"/>
      <c r="FB117" s="60"/>
      <c r="FC117" s="60"/>
      <c r="FD117" s="60"/>
      <c r="FE117" s="60"/>
      <c r="FF117" s="60"/>
      <c r="FG117" s="60"/>
      <c r="FH117" s="60"/>
      <c r="FI117" s="60"/>
      <c r="FJ117" s="60"/>
      <c r="FK117" s="60"/>
      <c r="FL117" s="60"/>
      <c r="FM117" s="60"/>
      <c r="FN117" s="60"/>
      <c r="FO117" s="60"/>
      <c r="FP117" s="60"/>
      <c r="FQ117" s="60"/>
      <c r="FR117" s="60"/>
      <c r="FS117" s="60"/>
      <c r="FT117" s="60"/>
      <c r="FU117" s="60"/>
      <c r="FV117" s="60"/>
      <c r="FW117" s="60"/>
      <c r="FX117" s="60"/>
    </row>
    <row r="118">
      <c r="A118" s="18"/>
      <c r="B118" s="14"/>
      <c r="C118" s="14"/>
      <c r="D118" s="14"/>
      <c r="E118" s="18"/>
      <c r="F118" s="18"/>
      <c r="G118" s="18"/>
      <c r="H118" s="18"/>
      <c r="I118" s="18"/>
      <c r="J118" s="18"/>
      <c r="K118" s="18"/>
      <c r="L118" s="18"/>
      <c r="M118" s="18"/>
      <c r="N118" s="18"/>
      <c r="O118" s="18"/>
      <c r="P118" s="23"/>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60"/>
      <c r="FB118" s="60"/>
      <c r="FC118" s="60"/>
      <c r="FD118" s="60"/>
      <c r="FE118" s="60"/>
      <c r="FF118" s="60"/>
      <c r="FG118" s="60"/>
      <c r="FH118" s="60"/>
      <c r="FI118" s="60"/>
      <c r="FJ118" s="60"/>
      <c r="FK118" s="60"/>
      <c r="FL118" s="60"/>
      <c r="FM118" s="60"/>
      <c r="FN118" s="60"/>
      <c r="FO118" s="60"/>
      <c r="FP118" s="60"/>
      <c r="FQ118" s="60"/>
      <c r="FR118" s="60"/>
      <c r="FS118" s="60"/>
      <c r="FT118" s="60"/>
      <c r="FU118" s="60"/>
      <c r="FV118" s="60"/>
      <c r="FW118" s="60"/>
      <c r="FX118" s="60"/>
    </row>
    <row r="119">
      <c r="A119" s="18"/>
      <c r="B119" s="14"/>
      <c r="C119" s="14"/>
      <c r="D119" s="14"/>
      <c r="E119" s="18"/>
      <c r="F119" s="18"/>
      <c r="G119" s="18"/>
      <c r="H119" s="18"/>
      <c r="I119" s="18"/>
      <c r="J119" s="18"/>
      <c r="K119" s="18"/>
      <c r="L119" s="18"/>
      <c r="M119" s="18"/>
      <c r="N119" s="18"/>
      <c r="O119" s="18"/>
      <c r="P119" s="23"/>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60"/>
      <c r="FB119" s="60"/>
      <c r="FC119" s="60"/>
      <c r="FD119" s="60"/>
      <c r="FE119" s="60"/>
      <c r="FF119" s="60"/>
      <c r="FG119" s="60"/>
      <c r="FH119" s="60"/>
      <c r="FI119" s="60"/>
      <c r="FJ119" s="60"/>
      <c r="FK119" s="60"/>
      <c r="FL119" s="60"/>
      <c r="FM119" s="60"/>
      <c r="FN119" s="60"/>
      <c r="FO119" s="60"/>
      <c r="FP119" s="60"/>
      <c r="FQ119" s="60"/>
      <c r="FR119" s="60"/>
      <c r="FS119" s="60"/>
      <c r="FT119" s="60"/>
      <c r="FU119" s="60"/>
      <c r="FV119" s="60"/>
      <c r="FW119" s="60"/>
      <c r="FX119" s="60"/>
    </row>
    <row r="120">
      <c r="A120" s="18"/>
      <c r="B120" s="14"/>
      <c r="C120" s="14"/>
      <c r="D120" s="14"/>
      <c r="E120" s="18"/>
      <c r="F120" s="18"/>
      <c r="G120" s="18"/>
      <c r="H120" s="18"/>
      <c r="I120" s="18"/>
      <c r="J120" s="18"/>
      <c r="K120" s="18"/>
      <c r="L120" s="18"/>
      <c r="M120" s="18"/>
      <c r="N120" s="18"/>
      <c r="O120" s="18"/>
      <c r="P120" s="23"/>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60"/>
      <c r="FB120" s="60"/>
      <c r="FC120" s="60"/>
      <c r="FD120" s="60"/>
      <c r="FE120" s="60"/>
      <c r="FF120" s="60"/>
      <c r="FG120" s="60"/>
      <c r="FH120" s="60"/>
      <c r="FI120" s="60"/>
      <c r="FJ120" s="60"/>
      <c r="FK120" s="60"/>
      <c r="FL120" s="60"/>
      <c r="FM120" s="60"/>
      <c r="FN120" s="60"/>
      <c r="FO120" s="60"/>
      <c r="FP120" s="60"/>
      <c r="FQ120" s="60"/>
      <c r="FR120" s="60"/>
      <c r="FS120" s="60"/>
      <c r="FT120" s="60"/>
      <c r="FU120" s="60"/>
      <c r="FV120" s="60"/>
      <c r="FW120" s="60"/>
      <c r="FX120" s="60"/>
    </row>
    <row r="121">
      <c r="A121" s="18"/>
      <c r="B121" s="14"/>
      <c r="C121" s="14"/>
      <c r="D121" s="14"/>
      <c r="E121" s="18"/>
      <c r="F121" s="18"/>
      <c r="G121" s="18"/>
      <c r="H121" s="18"/>
      <c r="I121" s="18"/>
      <c r="J121" s="18"/>
      <c r="K121" s="18"/>
      <c r="L121" s="18"/>
      <c r="M121" s="18"/>
      <c r="N121" s="18"/>
      <c r="O121" s="18"/>
      <c r="P121" s="23"/>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60"/>
      <c r="FB121" s="60"/>
      <c r="FC121" s="60"/>
      <c r="FD121" s="60"/>
      <c r="FE121" s="60"/>
      <c r="FF121" s="60"/>
      <c r="FG121" s="60"/>
      <c r="FH121" s="60"/>
      <c r="FI121" s="60"/>
      <c r="FJ121" s="60"/>
      <c r="FK121" s="60"/>
      <c r="FL121" s="60"/>
      <c r="FM121" s="60"/>
      <c r="FN121" s="60"/>
      <c r="FO121" s="60"/>
      <c r="FP121" s="60"/>
      <c r="FQ121" s="60"/>
      <c r="FR121" s="60"/>
      <c r="FS121" s="60"/>
      <c r="FT121" s="60"/>
      <c r="FU121" s="60"/>
      <c r="FV121" s="60"/>
      <c r="FW121" s="60"/>
      <c r="FX121" s="60"/>
    </row>
    <row r="122">
      <c r="A122" s="18"/>
      <c r="B122" s="14"/>
      <c r="C122" s="14"/>
      <c r="D122" s="14"/>
      <c r="E122" s="18"/>
      <c r="F122" s="18"/>
      <c r="G122" s="18"/>
      <c r="H122" s="18"/>
      <c r="I122" s="18"/>
      <c r="J122" s="18"/>
      <c r="K122" s="18"/>
      <c r="L122" s="18"/>
      <c r="M122" s="18"/>
      <c r="N122" s="18"/>
      <c r="O122" s="18"/>
      <c r="P122" s="23"/>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60"/>
      <c r="FB122" s="60"/>
      <c r="FC122" s="60"/>
      <c r="FD122" s="60"/>
      <c r="FE122" s="60"/>
      <c r="FF122" s="60"/>
      <c r="FG122" s="60"/>
      <c r="FH122" s="60"/>
      <c r="FI122" s="60"/>
      <c r="FJ122" s="60"/>
      <c r="FK122" s="60"/>
      <c r="FL122" s="60"/>
      <c r="FM122" s="60"/>
      <c r="FN122" s="60"/>
      <c r="FO122" s="60"/>
      <c r="FP122" s="60"/>
      <c r="FQ122" s="60"/>
      <c r="FR122" s="60"/>
      <c r="FS122" s="60"/>
      <c r="FT122" s="60"/>
      <c r="FU122" s="60"/>
      <c r="FV122" s="60"/>
      <c r="FW122" s="60"/>
      <c r="FX122" s="60"/>
    </row>
    <row r="123">
      <c r="A123" s="18"/>
      <c r="B123" s="14"/>
      <c r="C123" s="14"/>
      <c r="D123" s="14"/>
      <c r="E123" s="18"/>
      <c r="F123" s="18"/>
      <c r="G123" s="18"/>
      <c r="H123" s="18"/>
      <c r="I123" s="18"/>
      <c r="J123" s="18"/>
      <c r="K123" s="18"/>
      <c r="L123" s="18"/>
      <c r="M123" s="18"/>
      <c r="N123" s="18"/>
      <c r="O123" s="18"/>
      <c r="P123" s="23"/>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60"/>
      <c r="FB123" s="60"/>
      <c r="FC123" s="60"/>
      <c r="FD123" s="60"/>
      <c r="FE123" s="60"/>
      <c r="FF123" s="60"/>
      <c r="FG123" s="60"/>
      <c r="FH123" s="60"/>
      <c r="FI123" s="60"/>
      <c r="FJ123" s="60"/>
      <c r="FK123" s="60"/>
      <c r="FL123" s="60"/>
      <c r="FM123" s="60"/>
      <c r="FN123" s="60"/>
      <c r="FO123" s="60"/>
      <c r="FP123" s="60"/>
      <c r="FQ123" s="60"/>
      <c r="FR123" s="60"/>
      <c r="FS123" s="60"/>
      <c r="FT123" s="60"/>
      <c r="FU123" s="60"/>
      <c r="FV123" s="60"/>
      <c r="FW123" s="60"/>
      <c r="FX123" s="60"/>
    </row>
    <row r="124">
      <c r="A124" s="18"/>
      <c r="B124" s="14"/>
      <c r="C124" s="14"/>
      <c r="D124" s="14"/>
      <c r="E124" s="18"/>
      <c r="F124" s="18"/>
      <c r="G124" s="18"/>
      <c r="H124" s="18"/>
      <c r="I124" s="18"/>
      <c r="J124" s="18"/>
      <c r="K124" s="18"/>
      <c r="L124" s="18"/>
      <c r="M124" s="18"/>
      <c r="N124" s="18"/>
      <c r="O124" s="18"/>
      <c r="P124" s="23"/>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60"/>
      <c r="FB124" s="60"/>
      <c r="FC124" s="60"/>
      <c r="FD124" s="60"/>
      <c r="FE124" s="60"/>
      <c r="FF124" s="60"/>
      <c r="FG124" s="60"/>
      <c r="FH124" s="60"/>
      <c r="FI124" s="60"/>
      <c r="FJ124" s="60"/>
      <c r="FK124" s="60"/>
      <c r="FL124" s="60"/>
      <c r="FM124" s="60"/>
      <c r="FN124" s="60"/>
      <c r="FO124" s="60"/>
      <c r="FP124" s="60"/>
      <c r="FQ124" s="60"/>
      <c r="FR124" s="60"/>
      <c r="FS124" s="60"/>
      <c r="FT124" s="60"/>
      <c r="FU124" s="60"/>
      <c r="FV124" s="60"/>
      <c r="FW124" s="60"/>
      <c r="FX124" s="60"/>
    </row>
    <row r="125">
      <c r="A125" s="18"/>
      <c r="B125" s="14"/>
      <c r="C125" s="14"/>
      <c r="D125" s="14"/>
      <c r="E125" s="18"/>
      <c r="F125" s="18"/>
      <c r="G125" s="18"/>
      <c r="H125" s="18"/>
      <c r="I125" s="18"/>
      <c r="J125" s="18"/>
      <c r="K125" s="18"/>
      <c r="L125" s="18"/>
      <c r="M125" s="18"/>
      <c r="N125" s="18"/>
      <c r="O125" s="18"/>
      <c r="P125" s="23"/>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60"/>
      <c r="FB125" s="60"/>
      <c r="FC125" s="60"/>
      <c r="FD125" s="60"/>
      <c r="FE125" s="60"/>
      <c r="FF125" s="60"/>
      <c r="FG125" s="60"/>
      <c r="FH125" s="60"/>
      <c r="FI125" s="60"/>
      <c r="FJ125" s="60"/>
      <c r="FK125" s="60"/>
      <c r="FL125" s="60"/>
      <c r="FM125" s="60"/>
      <c r="FN125" s="60"/>
      <c r="FO125" s="60"/>
      <c r="FP125" s="60"/>
      <c r="FQ125" s="60"/>
      <c r="FR125" s="60"/>
      <c r="FS125" s="60"/>
      <c r="FT125" s="60"/>
      <c r="FU125" s="60"/>
      <c r="FV125" s="60"/>
      <c r="FW125" s="60"/>
      <c r="FX125" s="60"/>
    </row>
    <row r="126">
      <c r="A126" s="18"/>
      <c r="B126" s="14"/>
      <c r="C126" s="14"/>
      <c r="D126" s="14"/>
      <c r="E126" s="18"/>
      <c r="F126" s="18"/>
      <c r="G126" s="18"/>
      <c r="H126" s="18"/>
      <c r="I126" s="18"/>
      <c r="J126" s="18"/>
      <c r="K126" s="18"/>
      <c r="L126" s="18"/>
      <c r="M126" s="18"/>
      <c r="N126" s="18"/>
      <c r="O126" s="18"/>
      <c r="P126" s="23"/>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60"/>
      <c r="FB126" s="60"/>
      <c r="FC126" s="60"/>
      <c r="FD126" s="60"/>
      <c r="FE126" s="60"/>
      <c r="FF126" s="60"/>
      <c r="FG126" s="60"/>
      <c r="FH126" s="60"/>
      <c r="FI126" s="60"/>
      <c r="FJ126" s="60"/>
      <c r="FK126" s="60"/>
      <c r="FL126" s="60"/>
      <c r="FM126" s="60"/>
      <c r="FN126" s="60"/>
      <c r="FO126" s="60"/>
      <c r="FP126" s="60"/>
      <c r="FQ126" s="60"/>
      <c r="FR126" s="60"/>
      <c r="FS126" s="60"/>
      <c r="FT126" s="60"/>
      <c r="FU126" s="60"/>
      <c r="FV126" s="60"/>
      <c r="FW126" s="60"/>
      <c r="FX126" s="60"/>
    </row>
    <row r="127">
      <c r="A127" s="18"/>
      <c r="B127" s="14"/>
      <c r="C127" s="14"/>
      <c r="D127" s="14"/>
      <c r="E127" s="18"/>
      <c r="F127" s="18"/>
      <c r="G127" s="18"/>
      <c r="H127" s="18"/>
      <c r="I127" s="18"/>
      <c r="J127" s="18"/>
      <c r="K127" s="18"/>
      <c r="L127" s="18"/>
      <c r="M127" s="18"/>
      <c r="N127" s="18"/>
      <c r="O127" s="18"/>
      <c r="P127" s="23"/>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60"/>
      <c r="FB127" s="60"/>
      <c r="FC127" s="60"/>
      <c r="FD127" s="60"/>
      <c r="FE127" s="60"/>
      <c r="FF127" s="60"/>
      <c r="FG127" s="60"/>
      <c r="FH127" s="60"/>
      <c r="FI127" s="60"/>
      <c r="FJ127" s="60"/>
      <c r="FK127" s="60"/>
      <c r="FL127" s="60"/>
      <c r="FM127" s="60"/>
      <c r="FN127" s="60"/>
      <c r="FO127" s="60"/>
      <c r="FP127" s="60"/>
      <c r="FQ127" s="60"/>
      <c r="FR127" s="60"/>
      <c r="FS127" s="60"/>
      <c r="FT127" s="60"/>
      <c r="FU127" s="60"/>
      <c r="FV127" s="60"/>
      <c r="FW127" s="60"/>
      <c r="FX127" s="60"/>
    </row>
    <row r="128">
      <c r="A128" s="18"/>
      <c r="B128" s="14"/>
      <c r="C128" s="14"/>
      <c r="D128" s="14"/>
      <c r="E128" s="18"/>
      <c r="F128" s="18"/>
      <c r="G128" s="18"/>
      <c r="H128" s="18"/>
      <c r="I128" s="18"/>
      <c r="J128" s="18"/>
      <c r="K128" s="18"/>
      <c r="L128" s="18"/>
      <c r="M128" s="18"/>
      <c r="N128" s="18"/>
      <c r="O128" s="18"/>
      <c r="P128" s="23"/>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60"/>
      <c r="FB128" s="60"/>
      <c r="FC128" s="60"/>
      <c r="FD128" s="60"/>
      <c r="FE128" s="60"/>
      <c r="FF128" s="60"/>
      <c r="FG128" s="60"/>
      <c r="FH128" s="60"/>
      <c r="FI128" s="60"/>
      <c r="FJ128" s="60"/>
      <c r="FK128" s="60"/>
      <c r="FL128" s="60"/>
      <c r="FM128" s="60"/>
      <c r="FN128" s="60"/>
      <c r="FO128" s="60"/>
      <c r="FP128" s="60"/>
      <c r="FQ128" s="60"/>
      <c r="FR128" s="60"/>
      <c r="FS128" s="60"/>
      <c r="FT128" s="60"/>
      <c r="FU128" s="60"/>
      <c r="FV128" s="60"/>
      <c r="FW128" s="60"/>
      <c r="FX128" s="60"/>
    </row>
    <row r="129">
      <c r="A129" s="18"/>
      <c r="B129" s="14"/>
      <c r="C129" s="14"/>
      <c r="D129" s="14"/>
      <c r="E129" s="18"/>
      <c r="F129" s="18"/>
      <c r="G129" s="18"/>
      <c r="H129" s="18"/>
      <c r="I129" s="18"/>
      <c r="J129" s="18"/>
      <c r="K129" s="18"/>
      <c r="L129" s="18"/>
      <c r="M129" s="18"/>
      <c r="N129" s="18"/>
      <c r="O129" s="18"/>
      <c r="P129" s="23"/>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60"/>
      <c r="FB129" s="60"/>
      <c r="FC129" s="60"/>
      <c r="FD129" s="60"/>
      <c r="FE129" s="60"/>
      <c r="FF129" s="60"/>
      <c r="FG129" s="60"/>
      <c r="FH129" s="60"/>
      <c r="FI129" s="60"/>
      <c r="FJ129" s="60"/>
      <c r="FK129" s="60"/>
      <c r="FL129" s="60"/>
      <c r="FM129" s="60"/>
      <c r="FN129" s="60"/>
      <c r="FO129" s="60"/>
      <c r="FP129" s="60"/>
      <c r="FQ129" s="60"/>
      <c r="FR129" s="60"/>
      <c r="FS129" s="60"/>
      <c r="FT129" s="60"/>
      <c r="FU129" s="60"/>
      <c r="FV129" s="60"/>
      <c r="FW129" s="60"/>
      <c r="FX129" s="60"/>
    </row>
    <row r="130">
      <c r="A130" s="18"/>
      <c r="B130" s="14"/>
      <c r="C130" s="14"/>
      <c r="D130" s="14"/>
      <c r="E130" s="18"/>
      <c r="F130" s="18"/>
      <c r="G130" s="18"/>
      <c r="H130" s="18"/>
      <c r="I130" s="18"/>
      <c r="J130" s="18"/>
      <c r="K130" s="18"/>
      <c r="L130" s="18"/>
      <c r="M130" s="18"/>
      <c r="N130" s="18"/>
      <c r="O130" s="18"/>
      <c r="P130" s="23"/>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60"/>
      <c r="FB130" s="60"/>
      <c r="FC130" s="60"/>
      <c r="FD130" s="60"/>
      <c r="FE130" s="60"/>
      <c r="FF130" s="60"/>
      <c r="FG130" s="60"/>
      <c r="FH130" s="60"/>
      <c r="FI130" s="60"/>
      <c r="FJ130" s="60"/>
      <c r="FK130" s="60"/>
      <c r="FL130" s="60"/>
      <c r="FM130" s="60"/>
      <c r="FN130" s="60"/>
      <c r="FO130" s="60"/>
      <c r="FP130" s="60"/>
      <c r="FQ130" s="60"/>
      <c r="FR130" s="60"/>
      <c r="FS130" s="60"/>
      <c r="FT130" s="60"/>
      <c r="FU130" s="60"/>
      <c r="FV130" s="60"/>
      <c r="FW130" s="60"/>
      <c r="FX130" s="60"/>
    </row>
    <row r="131">
      <c r="A131" s="18"/>
      <c r="B131" s="14"/>
      <c r="C131" s="14"/>
      <c r="D131" s="14"/>
      <c r="E131" s="18"/>
      <c r="F131" s="18"/>
      <c r="G131" s="18"/>
      <c r="H131" s="18"/>
      <c r="I131" s="18"/>
      <c r="J131" s="18"/>
      <c r="K131" s="18"/>
      <c r="L131" s="18"/>
      <c r="M131" s="18"/>
      <c r="N131" s="18"/>
      <c r="O131" s="18"/>
      <c r="P131" s="23"/>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60"/>
      <c r="FB131" s="60"/>
      <c r="FC131" s="60"/>
      <c r="FD131" s="60"/>
      <c r="FE131" s="60"/>
      <c r="FF131" s="60"/>
      <c r="FG131" s="60"/>
      <c r="FH131" s="60"/>
      <c r="FI131" s="60"/>
      <c r="FJ131" s="60"/>
      <c r="FK131" s="60"/>
      <c r="FL131" s="60"/>
      <c r="FM131" s="60"/>
      <c r="FN131" s="60"/>
      <c r="FO131" s="60"/>
      <c r="FP131" s="60"/>
      <c r="FQ131" s="60"/>
      <c r="FR131" s="60"/>
      <c r="FS131" s="60"/>
      <c r="FT131" s="60"/>
      <c r="FU131" s="60"/>
      <c r="FV131" s="60"/>
      <c r="FW131" s="60"/>
      <c r="FX131" s="60"/>
    </row>
    <row r="132">
      <c r="A132" s="18"/>
      <c r="B132" s="14"/>
      <c r="C132" s="14"/>
      <c r="D132" s="14"/>
      <c r="E132" s="18"/>
      <c r="F132" s="18"/>
      <c r="G132" s="18"/>
      <c r="H132" s="18"/>
      <c r="I132" s="18"/>
      <c r="J132" s="18"/>
      <c r="K132" s="18"/>
      <c r="L132" s="18"/>
      <c r="M132" s="18"/>
      <c r="N132" s="18"/>
      <c r="O132" s="18"/>
      <c r="P132" s="23"/>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60"/>
      <c r="FB132" s="60"/>
      <c r="FC132" s="60"/>
      <c r="FD132" s="60"/>
      <c r="FE132" s="60"/>
      <c r="FF132" s="60"/>
      <c r="FG132" s="60"/>
      <c r="FH132" s="60"/>
      <c r="FI132" s="60"/>
      <c r="FJ132" s="60"/>
      <c r="FK132" s="60"/>
      <c r="FL132" s="60"/>
      <c r="FM132" s="60"/>
      <c r="FN132" s="60"/>
      <c r="FO132" s="60"/>
      <c r="FP132" s="60"/>
      <c r="FQ132" s="60"/>
      <c r="FR132" s="60"/>
      <c r="FS132" s="60"/>
      <c r="FT132" s="60"/>
      <c r="FU132" s="60"/>
      <c r="FV132" s="60"/>
      <c r="FW132" s="60"/>
      <c r="FX132" s="60"/>
    </row>
    <row r="133">
      <c r="A133" s="18"/>
      <c r="B133" s="14"/>
      <c r="C133" s="14"/>
      <c r="D133" s="14"/>
      <c r="E133" s="18"/>
      <c r="F133" s="18"/>
      <c r="G133" s="18"/>
      <c r="H133" s="18"/>
      <c r="I133" s="18"/>
      <c r="J133" s="18"/>
      <c r="K133" s="18"/>
      <c r="L133" s="18"/>
      <c r="M133" s="18"/>
      <c r="N133" s="18"/>
      <c r="O133" s="18"/>
      <c r="P133" s="23"/>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60"/>
      <c r="FB133" s="60"/>
      <c r="FC133" s="60"/>
      <c r="FD133" s="60"/>
      <c r="FE133" s="60"/>
      <c r="FF133" s="60"/>
      <c r="FG133" s="60"/>
      <c r="FH133" s="60"/>
      <c r="FI133" s="60"/>
      <c r="FJ133" s="60"/>
      <c r="FK133" s="60"/>
      <c r="FL133" s="60"/>
      <c r="FM133" s="60"/>
      <c r="FN133" s="60"/>
      <c r="FO133" s="60"/>
      <c r="FP133" s="60"/>
      <c r="FQ133" s="60"/>
      <c r="FR133" s="60"/>
      <c r="FS133" s="60"/>
      <c r="FT133" s="60"/>
      <c r="FU133" s="60"/>
      <c r="FV133" s="60"/>
      <c r="FW133" s="60"/>
      <c r="FX133" s="60"/>
    </row>
    <row r="134">
      <c r="A134" s="18"/>
      <c r="B134" s="14"/>
      <c r="C134" s="14"/>
      <c r="D134" s="14"/>
      <c r="E134" s="18"/>
      <c r="F134" s="18"/>
      <c r="G134" s="18"/>
      <c r="H134" s="18"/>
      <c r="I134" s="18"/>
      <c r="J134" s="18"/>
      <c r="K134" s="18"/>
      <c r="L134" s="18"/>
      <c r="M134" s="18"/>
      <c r="N134" s="18"/>
      <c r="O134" s="18"/>
      <c r="P134" s="23"/>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60"/>
      <c r="FB134" s="60"/>
      <c r="FC134" s="60"/>
      <c r="FD134" s="60"/>
      <c r="FE134" s="60"/>
      <c r="FF134" s="60"/>
      <c r="FG134" s="60"/>
      <c r="FH134" s="60"/>
      <c r="FI134" s="60"/>
      <c r="FJ134" s="60"/>
      <c r="FK134" s="60"/>
      <c r="FL134" s="60"/>
      <c r="FM134" s="60"/>
      <c r="FN134" s="60"/>
      <c r="FO134" s="60"/>
      <c r="FP134" s="60"/>
      <c r="FQ134" s="60"/>
      <c r="FR134" s="60"/>
      <c r="FS134" s="60"/>
      <c r="FT134" s="60"/>
      <c r="FU134" s="60"/>
      <c r="FV134" s="60"/>
      <c r="FW134" s="60"/>
      <c r="FX134" s="60"/>
    </row>
    <row r="135">
      <c r="A135" s="18"/>
      <c r="B135" s="14"/>
      <c r="C135" s="14"/>
      <c r="D135" s="14"/>
      <c r="E135" s="18"/>
      <c r="F135" s="18"/>
      <c r="G135" s="18"/>
      <c r="H135" s="18"/>
      <c r="I135" s="18"/>
      <c r="J135" s="18"/>
      <c r="K135" s="18"/>
      <c r="L135" s="18"/>
      <c r="M135" s="18"/>
      <c r="N135" s="18"/>
      <c r="O135" s="18"/>
      <c r="P135" s="23"/>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60"/>
      <c r="FB135" s="60"/>
      <c r="FC135" s="60"/>
      <c r="FD135" s="60"/>
      <c r="FE135" s="60"/>
      <c r="FF135" s="60"/>
      <c r="FG135" s="60"/>
      <c r="FH135" s="60"/>
      <c r="FI135" s="60"/>
      <c r="FJ135" s="60"/>
      <c r="FK135" s="60"/>
      <c r="FL135" s="60"/>
      <c r="FM135" s="60"/>
      <c r="FN135" s="60"/>
      <c r="FO135" s="60"/>
      <c r="FP135" s="60"/>
      <c r="FQ135" s="60"/>
      <c r="FR135" s="60"/>
      <c r="FS135" s="60"/>
      <c r="FT135" s="60"/>
      <c r="FU135" s="60"/>
      <c r="FV135" s="60"/>
      <c r="FW135" s="60"/>
      <c r="FX135" s="60"/>
    </row>
    <row r="136">
      <c r="A136" s="18"/>
      <c r="B136" s="14"/>
      <c r="C136" s="14"/>
      <c r="D136" s="14"/>
      <c r="E136" s="18"/>
      <c r="F136" s="18"/>
      <c r="G136" s="18"/>
      <c r="H136" s="18"/>
      <c r="I136" s="18"/>
      <c r="J136" s="18"/>
      <c r="K136" s="18"/>
      <c r="L136" s="18"/>
      <c r="M136" s="18"/>
      <c r="N136" s="18"/>
      <c r="O136" s="18"/>
      <c r="P136" s="23"/>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60"/>
      <c r="FB136" s="60"/>
      <c r="FC136" s="60"/>
      <c r="FD136" s="60"/>
      <c r="FE136" s="60"/>
      <c r="FF136" s="60"/>
      <c r="FG136" s="60"/>
      <c r="FH136" s="60"/>
      <c r="FI136" s="60"/>
      <c r="FJ136" s="60"/>
      <c r="FK136" s="60"/>
      <c r="FL136" s="60"/>
      <c r="FM136" s="60"/>
      <c r="FN136" s="60"/>
      <c r="FO136" s="60"/>
      <c r="FP136" s="60"/>
      <c r="FQ136" s="60"/>
      <c r="FR136" s="60"/>
      <c r="FS136" s="60"/>
      <c r="FT136" s="60"/>
      <c r="FU136" s="60"/>
      <c r="FV136" s="60"/>
      <c r="FW136" s="60"/>
      <c r="FX136" s="60"/>
    </row>
    <row r="137">
      <c r="A137" s="18"/>
      <c r="B137" s="14"/>
      <c r="C137" s="14"/>
      <c r="D137" s="14"/>
      <c r="E137" s="18"/>
      <c r="F137" s="18"/>
      <c r="G137" s="18"/>
      <c r="H137" s="18"/>
      <c r="I137" s="18"/>
      <c r="J137" s="18"/>
      <c r="K137" s="18"/>
      <c r="L137" s="18"/>
      <c r="M137" s="18"/>
      <c r="N137" s="18"/>
      <c r="O137" s="18"/>
      <c r="P137" s="23"/>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60"/>
      <c r="FB137" s="60"/>
      <c r="FC137" s="60"/>
      <c r="FD137" s="60"/>
      <c r="FE137" s="60"/>
      <c r="FF137" s="60"/>
      <c r="FG137" s="60"/>
      <c r="FH137" s="60"/>
      <c r="FI137" s="60"/>
      <c r="FJ137" s="60"/>
      <c r="FK137" s="60"/>
      <c r="FL137" s="60"/>
      <c r="FM137" s="60"/>
      <c r="FN137" s="60"/>
      <c r="FO137" s="60"/>
      <c r="FP137" s="60"/>
      <c r="FQ137" s="60"/>
      <c r="FR137" s="60"/>
      <c r="FS137" s="60"/>
      <c r="FT137" s="60"/>
      <c r="FU137" s="60"/>
      <c r="FV137" s="60"/>
      <c r="FW137" s="60"/>
      <c r="FX137" s="60"/>
    </row>
    <row r="138">
      <c r="A138" s="18"/>
      <c r="B138" s="14"/>
      <c r="C138" s="14"/>
      <c r="D138" s="14"/>
      <c r="E138" s="18"/>
      <c r="F138" s="18"/>
      <c r="G138" s="18"/>
      <c r="H138" s="18"/>
      <c r="I138" s="18"/>
      <c r="J138" s="18"/>
      <c r="K138" s="18"/>
      <c r="L138" s="18"/>
      <c r="M138" s="18"/>
      <c r="N138" s="18"/>
      <c r="O138" s="18"/>
      <c r="P138" s="23"/>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60"/>
      <c r="FB138" s="60"/>
      <c r="FC138" s="60"/>
      <c r="FD138" s="60"/>
      <c r="FE138" s="60"/>
      <c r="FF138" s="60"/>
      <c r="FG138" s="60"/>
      <c r="FH138" s="60"/>
      <c r="FI138" s="60"/>
      <c r="FJ138" s="60"/>
      <c r="FK138" s="60"/>
      <c r="FL138" s="60"/>
      <c r="FM138" s="60"/>
      <c r="FN138" s="60"/>
      <c r="FO138" s="60"/>
      <c r="FP138" s="60"/>
      <c r="FQ138" s="60"/>
      <c r="FR138" s="60"/>
      <c r="FS138" s="60"/>
      <c r="FT138" s="60"/>
      <c r="FU138" s="60"/>
      <c r="FV138" s="60"/>
      <c r="FW138" s="60"/>
      <c r="FX138" s="60"/>
    </row>
    <row r="139">
      <c r="A139" s="18"/>
      <c r="B139" s="14"/>
      <c r="C139" s="14"/>
      <c r="D139" s="14"/>
      <c r="E139" s="18"/>
      <c r="F139" s="18"/>
      <c r="G139" s="18"/>
      <c r="H139" s="18"/>
      <c r="I139" s="18"/>
      <c r="J139" s="18"/>
      <c r="K139" s="18"/>
      <c r="L139" s="18"/>
      <c r="M139" s="18"/>
      <c r="N139" s="18"/>
      <c r="O139" s="18"/>
      <c r="P139" s="23"/>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60"/>
      <c r="FB139" s="60"/>
      <c r="FC139" s="60"/>
      <c r="FD139" s="60"/>
      <c r="FE139" s="60"/>
      <c r="FF139" s="60"/>
      <c r="FG139" s="60"/>
      <c r="FH139" s="60"/>
      <c r="FI139" s="60"/>
      <c r="FJ139" s="60"/>
      <c r="FK139" s="60"/>
      <c r="FL139" s="60"/>
      <c r="FM139" s="60"/>
      <c r="FN139" s="60"/>
      <c r="FO139" s="60"/>
      <c r="FP139" s="60"/>
      <c r="FQ139" s="60"/>
      <c r="FR139" s="60"/>
      <c r="FS139" s="60"/>
      <c r="FT139" s="60"/>
      <c r="FU139" s="60"/>
      <c r="FV139" s="60"/>
      <c r="FW139" s="60"/>
      <c r="FX139" s="60"/>
    </row>
    <row r="140">
      <c r="A140" s="18"/>
      <c r="B140" s="14"/>
      <c r="C140" s="14"/>
      <c r="D140" s="14"/>
      <c r="E140" s="18"/>
      <c r="F140" s="18"/>
      <c r="G140" s="18"/>
      <c r="H140" s="18"/>
      <c r="I140" s="18"/>
      <c r="J140" s="18"/>
      <c r="K140" s="18"/>
      <c r="L140" s="18"/>
      <c r="M140" s="18"/>
      <c r="N140" s="18"/>
      <c r="O140" s="18"/>
      <c r="P140" s="23"/>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60"/>
      <c r="FB140" s="60"/>
      <c r="FC140" s="60"/>
      <c r="FD140" s="60"/>
      <c r="FE140" s="60"/>
      <c r="FF140" s="60"/>
      <c r="FG140" s="60"/>
      <c r="FH140" s="60"/>
      <c r="FI140" s="60"/>
      <c r="FJ140" s="60"/>
      <c r="FK140" s="60"/>
      <c r="FL140" s="60"/>
      <c r="FM140" s="60"/>
      <c r="FN140" s="60"/>
      <c r="FO140" s="60"/>
      <c r="FP140" s="60"/>
      <c r="FQ140" s="60"/>
      <c r="FR140" s="60"/>
      <c r="FS140" s="60"/>
      <c r="FT140" s="60"/>
      <c r="FU140" s="60"/>
      <c r="FV140" s="60"/>
      <c r="FW140" s="60"/>
      <c r="FX140" s="60"/>
    </row>
    <row r="141">
      <c r="A141" s="18"/>
      <c r="B141" s="14"/>
      <c r="C141" s="14"/>
      <c r="D141" s="14"/>
      <c r="E141" s="18"/>
      <c r="F141" s="18"/>
      <c r="G141" s="18"/>
      <c r="H141" s="18"/>
      <c r="I141" s="18"/>
      <c r="J141" s="18"/>
      <c r="K141" s="18"/>
      <c r="L141" s="18"/>
      <c r="M141" s="18"/>
      <c r="N141" s="18"/>
      <c r="O141" s="18"/>
      <c r="P141" s="23"/>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60"/>
      <c r="FB141" s="60"/>
      <c r="FC141" s="60"/>
      <c r="FD141" s="60"/>
      <c r="FE141" s="60"/>
      <c r="FF141" s="60"/>
      <c r="FG141" s="60"/>
      <c r="FH141" s="60"/>
      <c r="FI141" s="60"/>
      <c r="FJ141" s="60"/>
      <c r="FK141" s="60"/>
      <c r="FL141" s="60"/>
      <c r="FM141" s="60"/>
      <c r="FN141" s="60"/>
      <c r="FO141" s="60"/>
      <c r="FP141" s="60"/>
      <c r="FQ141" s="60"/>
      <c r="FR141" s="60"/>
      <c r="FS141" s="60"/>
      <c r="FT141" s="60"/>
      <c r="FU141" s="60"/>
      <c r="FV141" s="60"/>
      <c r="FW141" s="60"/>
      <c r="FX141" s="60"/>
    </row>
    <row r="142">
      <c r="A142" s="18"/>
      <c r="B142" s="14"/>
      <c r="C142" s="14"/>
      <c r="D142" s="14"/>
      <c r="E142" s="18"/>
      <c r="F142" s="18"/>
      <c r="G142" s="18"/>
      <c r="H142" s="18"/>
      <c r="I142" s="18"/>
      <c r="J142" s="18"/>
      <c r="K142" s="18"/>
      <c r="L142" s="18"/>
      <c r="M142" s="18"/>
      <c r="N142" s="18"/>
      <c r="O142" s="18"/>
      <c r="P142" s="23"/>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60"/>
      <c r="FB142" s="60"/>
      <c r="FC142" s="60"/>
      <c r="FD142" s="60"/>
      <c r="FE142" s="60"/>
      <c r="FF142" s="60"/>
      <c r="FG142" s="60"/>
      <c r="FH142" s="60"/>
      <c r="FI142" s="60"/>
      <c r="FJ142" s="60"/>
      <c r="FK142" s="60"/>
      <c r="FL142" s="60"/>
      <c r="FM142" s="60"/>
      <c r="FN142" s="60"/>
      <c r="FO142" s="60"/>
      <c r="FP142" s="60"/>
      <c r="FQ142" s="60"/>
      <c r="FR142" s="60"/>
      <c r="FS142" s="60"/>
      <c r="FT142" s="60"/>
      <c r="FU142" s="60"/>
      <c r="FV142" s="60"/>
      <c r="FW142" s="60"/>
      <c r="FX142" s="60"/>
    </row>
    <row r="143">
      <c r="A143" s="18"/>
      <c r="B143" s="14"/>
      <c r="C143" s="14"/>
      <c r="D143" s="14"/>
      <c r="E143" s="18"/>
      <c r="F143" s="18"/>
      <c r="G143" s="18"/>
      <c r="H143" s="18"/>
      <c r="I143" s="18"/>
      <c r="J143" s="18"/>
      <c r="K143" s="18"/>
      <c r="L143" s="18"/>
      <c r="M143" s="18"/>
      <c r="N143" s="18"/>
      <c r="O143" s="18"/>
      <c r="P143" s="23"/>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60"/>
      <c r="FB143" s="60"/>
      <c r="FC143" s="60"/>
      <c r="FD143" s="60"/>
      <c r="FE143" s="60"/>
      <c r="FF143" s="60"/>
      <c r="FG143" s="60"/>
      <c r="FH143" s="60"/>
      <c r="FI143" s="60"/>
      <c r="FJ143" s="60"/>
      <c r="FK143" s="60"/>
      <c r="FL143" s="60"/>
      <c r="FM143" s="60"/>
      <c r="FN143" s="60"/>
      <c r="FO143" s="60"/>
      <c r="FP143" s="60"/>
      <c r="FQ143" s="60"/>
      <c r="FR143" s="60"/>
      <c r="FS143" s="60"/>
      <c r="FT143" s="60"/>
      <c r="FU143" s="60"/>
      <c r="FV143" s="60"/>
      <c r="FW143" s="60"/>
      <c r="FX143" s="60"/>
    </row>
    <row r="144">
      <c r="A144" s="18"/>
      <c r="B144" s="14"/>
      <c r="C144" s="14"/>
      <c r="D144" s="14"/>
      <c r="E144" s="18"/>
      <c r="F144" s="18"/>
      <c r="G144" s="18"/>
      <c r="H144" s="18"/>
      <c r="I144" s="18"/>
      <c r="J144" s="18"/>
      <c r="K144" s="18"/>
      <c r="L144" s="18"/>
      <c r="M144" s="18"/>
      <c r="N144" s="18"/>
      <c r="O144" s="18"/>
      <c r="P144" s="23"/>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60"/>
      <c r="FB144" s="60"/>
      <c r="FC144" s="60"/>
      <c r="FD144" s="60"/>
      <c r="FE144" s="60"/>
      <c r="FF144" s="60"/>
      <c r="FG144" s="60"/>
      <c r="FH144" s="60"/>
      <c r="FI144" s="60"/>
      <c r="FJ144" s="60"/>
      <c r="FK144" s="60"/>
      <c r="FL144" s="60"/>
      <c r="FM144" s="60"/>
      <c r="FN144" s="60"/>
      <c r="FO144" s="60"/>
      <c r="FP144" s="60"/>
      <c r="FQ144" s="60"/>
      <c r="FR144" s="60"/>
      <c r="FS144" s="60"/>
      <c r="FT144" s="60"/>
      <c r="FU144" s="60"/>
      <c r="FV144" s="60"/>
      <c r="FW144" s="60"/>
      <c r="FX144" s="60"/>
    </row>
    <row r="145">
      <c r="A145" s="18"/>
      <c r="B145" s="14"/>
      <c r="C145" s="14"/>
      <c r="D145" s="14"/>
      <c r="E145" s="18"/>
      <c r="F145" s="18"/>
      <c r="G145" s="18"/>
      <c r="H145" s="18"/>
      <c r="I145" s="18"/>
      <c r="J145" s="18"/>
      <c r="K145" s="18"/>
      <c r="L145" s="18"/>
      <c r="M145" s="18"/>
      <c r="N145" s="18"/>
      <c r="O145" s="18"/>
      <c r="P145" s="23"/>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c r="DD145" s="26"/>
      <c r="DE145" s="26"/>
      <c r="DF145" s="26"/>
      <c r="DG145" s="26"/>
      <c r="DH145" s="26"/>
      <c r="DI145" s="26"/>
      <c r="DJ145" s="26"/>
      <c r="DK145" s="26"/>
      <c r="DL145" s="26"/>
      <c r="DM145" s="26"/>
      <c r="DN145" s="26"/>
      <c r="DO145" s="26"/>
      <c r="DP145" s="26"/>
      <c r="DQ145" s="26"/>
      <c r="DR145" s="26"/>
      <c r="DS145" s="26"/>
      <c r="DT145" s="26"/>
      <c r="DU145" s="26"/>
      <c r="DV145" s="26"/>
      <c r="DW145" s="26"/>
      <c r="DX145" s="26"/>
      <c r="DY145" s="26"/>
      <c r="DZ145" s="26"/>
      <c r="EA145" s="26"/>
      <c r="EB145" s="26"/>
      <c r="EC145" s="26"/>
      <c r="ED145" s="26"/>
      <c r="EE145" s="26"/>
      <c r="EF145" s="26"/>
      <c r="EG145" s="26"/>
      <c r="EH145" s="26"/>
      <c r="EI145" s="26"/>
      <c r="EJ145" s="26"/>
      <c r="EK145" s="26"/>
      <c r="EL145" s="26"/>
      <c r="EM145" s="26"/>
      <c r="EN145" s="26"/>
      <c r="EO145" s="26"/>
      <c r="EP145" s="26"/>
      <c r="EQ145" s="26"/>
      <c r="ER145" s="26"/>
      <c r="ES145" s="26"/>
      <c r="ET145" s="26"/>
      <c r="EU145" s="26"/>
      <c r="EV145" s="26"/>
      <c r="EW145" s="26"/>
      <c r="EX145" s="26"/>
      <c r="EY145" s="26"/>
      <c r="EZ145" s="26"/>
      <c r="FA145" s="60"/>
      <c r="FB145" s="60"/>
      <c r="FC145" s="60"/>
      <c r="FD145" s="60"/>
      <c r="FE145" s="60"/>
      <c r="FF145" s="60"/>
      <c r="FG145" s="60"/>
      <c r="FH145" s="60"/>
      <c r="FI145" s="60"/>
      <c r="FJ145" s="60"/>
      <c r="FK145" s="60"/>
      <c r="FL145" s="60"/>
      <c r="FM145" s="60"/>
      <c r="FN145" s="60"/>
      <c r="FO145" s="60"/>
      <c r="FP145" s="60"/>
      <c r="FQ145" s="60"/>
      <c r="FR145" s="60"/>
      <c r="FS145" s="60"/>
      <c r="FT145" s="60"/>
      <c r="FU145" s="60"/>
      <c r="FV145" s="60"/>
      <c r="FW145" s="60"/>
      <c r="FX145" s="60"/>
    </row>
    <row r="146">
      <c r="A146" s="18"/>
      <c r="B146" s="14"/>
      <c r="C146" s="14"/>
      <c r="D146" s="14"/>
      <c r="E146" s="18"/>
      <c r="F146" s="18"/>
      <c r="G146" s="18"/>
      <c r="H146" s="18"/>
      <c r="I146" s="18"/>
      <c r="J146" s="18"/>
      <c r="K146" s="18"/>
      <c r="L146" s="18"/>
      <c r="M146" s="18"/>
      <c r="N146" s="18"/>
      <c r="O146" s="18"/>
      <c r="P146" s="23"/>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c r="CU146" s="26"/>
      <c r="CV146" s="26"/>
      <c r="CW146" s="26"/>
      <c r="CX146" s="26"/>
      <c r="CY146" s="26"/>
      <c r="CZ146" s="26"/>
      <c r="DA146" s="26"/>
      <c r="DB146" s="26"/>
      <c r="DC146" s="26"/>
      <c r="DD146" s="26"/>
      <c r="DE146" s="26"/>
      <c r="DF146" s="26"/>
      <c r="DG146" s="26"/>
      <c r="DH146" s="26"/>
      <c r="DI146" s="26"/>
      <c r="DJ146" s="26"/>
      <c r="DK146" s="26"/>
      <c r="DL146" s="26"/>
      <c r="DM146" s="26"/>
      <c r="DN146" s="26"/>
      <c r="DO146" s="26"/>
      <c r="DP146" s="26"/>
      <c r="DQ146" s="26"/>
      <c r="DR146" s="26"/>
      <c r="DS146" s="26"/>
      <c r="DT146" s="26"/>
      <c r="DU146" s="26"/>
      <c r="DV146" s="26"/>
      <c r="DW146" s="26"/>
      <c r="DX146" s="26"/>
      <c r="DY146" s="26"/>
      <c r="DZ146" s="26"/>
      <c r="EA146" s="26"/>
      <c r="EB146" s="26"/>
      <c r="EC146" s="26"/>
      <c r="ED146" s="26"/>
      <c r="EE146" s="26"/>
      <c r="EF146" s="26"/>
      <c r="EG146" s="26"/>
      <c r="EH146" s="26"/>
      <c r="EI146" s="26"/>
      <c r="EJ146" s="26"/>
      <c r="EK146" s="26"/>
      <c r="EL146" s="26"/>
      <c r="EM146" s="26"/>
      <c r="EN146" s="26"/>
      <c r="EO146" s="26"/>
      <c r="EP146" s="26"/>
      <c r="EQ146" s="26"/>
      <c r="ER146" s="26"/>
      <c r="ES146" s="26"/>
      <c r="ET146" s="26"/>
      <c r="EU146" s="26"/>
      <c r="EV146" s="26"/>
      <c r="EW146" s="26"/>
      <c r="EX146" s="26"/>
      <c r="EY146" s="26"/>
      <c r="EZ146" s="26"/>
      <c r="FA146" s="60"/>
      <c r="FB146" s="60"/>
      <c r="FC146" s="60"/>
      <c r="FD146" s="60"/>
      <c r="FE146" s="60"/>
      <c r="FF146" s="60"/>
      <c r="FG146" s="60"/>
      <c r="FH146" s="60"/>
      <c r="FI146" s="60"/>
      <c r="FJ146" s="60"/>
      <c r="FK146" s="60"/>
      <c r="FL146" s="60"/>
      <c r="FM146" s="60"/>
      <c r="FN146" s="60"/>
      <c r="FO146" s="60"/>
      <c r="FP146" s="60"/>
      <c r="FQ146" s="60"/>
      <c r="FR146" s="60"/>
      <c r="FS146" s="60"/>
      <c r="FT146" s="60"/>
      <c r="FU146" s="60"/>
      <c r="FV146" s="60"/>
      <c r="FW146" s="60"/>
      <c r="FX146" s="60"/>
    </row>
    <row r="147">
      <c r="A147" s="18"/>
      <c r="B147" s="14"/>
      <c r="C147" s="14"/>
      <c r="D147" s="14"/>
      <c r="E147" s="18"/>
      <c r="F147" s="18"/>
      <c r="G147" s="18"/>
      <c r="H147" s="18"/>
      <c r="I147" s="18"/>
      <c r="J147" s="18"/>
      <c r="K147" s="18"/>
      <c r="L147" s="18"/>
      <c r="M147" s="18"/>
      <c r="N147" s="18"/>
      <c r="O147" s="18"/>
      <c r="P147" s="23"/>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60"/>
      <c r="FB147" s="60"/>
      <c r="FC147" s="60"/>
      <c r="FD147" s="60"/>
      <c r="FE147" s="60"/>
      <c r="FF147" s="60"/>
      <c r="FG147" s="60"/>
      <c r="FH147" s="60"/>
      <c r="FI147" s="60"/>
      <c r="FJ147" s="60"/>
      <c r="FK147" s="60"/>
      <c r="FL147" s="60"/>
      <c r="FM147" s="60"/>
      <c r="FN147" s="60"/>
      <c r="FO147" s="60"/>
      <c r="FP147" s="60"/>
      <c r="FQ147" s="60"/>
      <c r="FR147" s="60"/>
      <c r="FS147" s="60"/>
      <c r="FT147" s="60"/>
      <c r="FU147" s="60"/>
      <c r="FV147" s="60"/>
      <c r="FW147" s="60"/>
      <c r="FX147" s="60"/>
    </row>
    <row r="148">
      <c r="A148" s="18"/>
      <c r="B148" s="14"/>
      <c r="C148" s="14"/>
      <c r="D148" s="14"/>
      <c r="E148" s="18"/>
      <c r="F148" s="18"/>
      <c r="G148" s="18"/>
      <c r="H148" s="18"/>
      <c r="I148" s="18"/>
      <c r="J148" s="18"/>
      <c r="K148" s="18"/>
      <c r="L148" s="18"/>
      <c r="M148" s="18"/>
      <c r="N148" s="18"/>
      <c r="O148" s="18"/>
      <c r="P148" s="23"/>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60"/>
      <c r="FB148" s="60"/>
      <c r="FC148" s="60"/>
      <c r="FD148" s="60"/>
      <c r="FE148" s="60"/>
      <c r="FF148" s="60"/>
      <c r="FG148" s="60"/>
      <c r="FH148" s="60"/>
      <c r="FI148" s="60"/>
      <c r="FJ148" s="60"/>
      <c r="FK148" s="60"/>
      <c r="FL148" s="60"/>
      <c r="FM148" s="60"/>
      <c r="FN148" s="60"/>
      <c r="FO148" s="60"/>
      <c r="FP148" s="60"/>
      <c r="FQ148" s="60"/>
      <c r="FR148" s="60"/>
      <c r="FS148" s="60"/>
      <c r="FT148" s="60"/>
      <c r="FU148" s="60"/>
      <c r="FV148" s="60"/>
      <c r="FW148" s="60"/>
      <c r="FX148" s="60"/>
    </row>
    <row r="149">
      <c r="A149" s="18"/>
      <c r="B149" s="14"/>
      <c r="C149" s="14"/>
      <c r="D149" s="14"/>
      <c r="E149" s="18"/>
      <c r="F149" s="18"/>
      <c r="G149" s="18"/>
      <c r="H149" s="18"/>
      <c r="I149" s="18"/>
      <c r="J149" s="18"/>
      <c r="K149" s="18"/>
      <c r="L149" s="18"/>
      <c r="M149" s="18"/>
      <c r="N149" s="18"/>
      <c r="O149" s="18"/>
      <c r="P149" s="23"/>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60"/>
      <c r="FB149" s="60"/>
      <c r="FC149" s="60"/>
      <c r="FD149" s="60"/>
      <c r="FE149" s="60"/>
      <c r="FF149" s="60"/>
      <c r="FG149" s="60"/>
      <c r="FH149" s="60"/>
      <c r="FI149" s="60"/>
      <c r="FJ149" s="60"/>
      <c r="FK149" s="60"/>
      <c r="FL149" s="60"/>
      <c r="FM149" s="60"/>
      <c r="FN149" s="60"/>
      <c r="FO149" s="60"/>
      <c r="FP149" s="60"/>
      <c r="FQ149" s="60"/>
      <c r="FR149" s="60"/>
      <c r="FS149" s="60"/>
      <c r="FT149" s="60"/>
      <c r="FU149" s="60"/>
      <c r="FV149" s="60"/>
      <c r="FW149" s="60"/>
      <c r="FX149" s="60"/>
    </row>
    <row r="150">
      <c r="A150" s="18"/>
      <c r="B150" s="14"/>
      <c r="C150" s="14"/>
      <c r="D150" s="14"/>
      <c r="E150" s="18"/>
      <c r="F150" s="18"/>
      <c r="G150" s="18"/>
      <c r="H150" s="18"/>
      <c r="I150" s="18"/>
      <c r="J150" s="18"/>
      <c r="K150" s="18"/>
      <c r="L150" s="18"/>
      <c r="M150" s="18"/>
      <c r="N150" s="18"/>
      <c r="O150" s="18"/>
      <c r="P150" s="23"/>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60"/>
      <c r="FB150" s="60"/>
      <c r="FC150" s="60"/>
      <c r="FD150" s="60"/>
      <c r="FE150" s="60"/>
      <c r="FF150" s="60"/>
      <c r="FG150" s="60"/>
      <c r="FH150" s="60"/>
      <c r="FI150" s="60"/>
      <c r="FJ150" s="60"/>
      <c r="FK150" s="60"/>
      <c r="FL150" s="60"/>
      <c r="FM150" s="60"/>
      <c r="FN150" s="60"/>
      <c r="FO150" s="60"/>
      <c r="FP150" s="60"/>
      <c r="FQ150" s="60"/>
      <c r="FR150" s="60"/>
      <c r="FS150" s="60"/>
      <c r="FT150" s="60"/>
      <c r="FU150" s="60"/>
      <c r="FV150" s="60"/>
      <c r="FW150" s="60"/>
      <c r="FX150" s="60"/>
    </row>
    <row r="151">
      <c r="A151" s="18"/>
      <c r="B151" s="14"/>
      <c r="C151" s="14"/>
      <c r="D151" s="14"/>
      <c r="E151" s="18"/>
      <c r="F151" s="18"/>
      <c r="G151" s="18"/>
      <c r="H151" s="18"/>
      <c r="I151" s="18"/>
      <c r="J151" s="18"/>
      <c r="K151" s="18"/>
      <c r="L151" s="18"/>
      <c r="M151" s="18"/>
      <c r="N151" s="18"/>
      <c r="O151" s="18"/>
      <c r="P151" s="23"/>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60"/>
      <c r="FB151" s="60"/>
      <c r="FC151" s="60"/>
      <c r="FD151" s="60"/>
      <c r="FE151" s="60"/>
      <c r="FF151" s="60"/>
      <c r="FG151" s="60"/>
      <c r="FH151" s="60"/>
      <c r="FI151" s="60"/>
      <c r="FJ151" s="60"/>
      <c r="FK151" s="60"/>
      <c r="FL151" s="60"/>
      <c r="FM151" s="60"/>
      <c r="FN151" s="60"/>
      <c r="FO151" s="60"/>
      <c r="FP151" s="60"/>
      <c r="FQ151" s="60"/>
      <c r="FR151" s="60"/>
      <c r="FS151" s="60"/>
      <c r="FT151" s="60"/>
      <c r="FU151" s="60"/>
      <c r="FV151" s="60"/>
      <c r="FW151" s="60"/>
      <c r="FX151" s="60"/>
    </row>
    <row r="152">
      <c r="A152" s="18"/>
      <c r="B152" s="14"/>
      <c r="C152" s="14"/>
      <c r="D152" s="14"/>
      <c r="E152" s="18"/>
      <c r="F152" s="18"/>
      <c r="G152" s="18"/>
      <c r="H152" s="18"/>
      <c r="I152" s="18"/>
      <c r="J152" s="18"/>
      <c r="K152" s="18"/>
      <c r="L152" s="18"/>
      <c r="M152" s="18"/>
      <c r="N152" s="18"/>
      <c r="O152" s="18"/>
      <c r="P152" s="23"/>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60"/>
      <c r="FB152" s="60"/>
      <c r="FC152" s="60"/>
      <c r="FD152" s="60"/>
      <c r="FE152" s="60"/>
      <c r="FF152" s="60"/>
      <c r="FG152" s="60"/>
      <c r="FH152" s="60"/>
      <c r="FI152" s="60"/>
      <c r="FJ152" s="60"/>
      <c r="FK152" s="60"/>
      <c r="FL152" s="60"/>
      <c r="FM152" s="60"/>
      <c r="FN152" s="60"/>
      <c r="FO152" s="60"/>
      <c r="FP152" s="60"/>
      <c r="FQ152" s="60"/>
      <c r="FR152" s="60"/>
      <c r="FS152" s="60"/>
      <c r="FT152" s="60"/>
      <c r="FU152" s="60"/>
      <c r="FV152" s="60"/>
      <c r="FW152" s="60"/>
      <c r="FX152" s="60"/>
    </row>
    <row r="153">
      <c r="A153" s="18"/>
      <c r="B153" s="14"/>
      <c r="C153" s="14"/>
      <c r="D153" s="14"/>
      <c r="E153" s="18"/>
      <c r="F153" s="18"/>
      <c r="G153" s="18"/>
      <c r="H153" s="18"/>
      <c r="I153" s="18"/>
      <c r="J153" s="18"/>
      <c r="K153" s="18"/>
      <c r="L153" s="18"/>
      <c r="M153" s="18"/>
      <c r="N153" s="18"/>
      <c r="O153" s="18"/>
      <c r="P153" s="23"/>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c r="DD153" s="26"/>
      <c r="DE153" s="26"/>
      <c r="DF153" s="26"/>
      <c r="DG153" s="26"/>
      <c r="DH153" s="26"/>
      <c r="DI153" s="26"/>
      <c r="DJ153" s="26"/>
      <c r="DK153" s="26"/>
      <c r="DL153" s="26"/>
      <c r="DM153" s="26"/>
      <c r="DN153" s="26"/>
      <c r="DO153" s="26"/>
      <c r="DP153" s="26"/>
      <c r="DQ153" s="26"/>
      <c r="DR153" s="26"/>
      <c r="DS153" s="26"/>
      <c r="DT153" s="26"/>
      <c r="DU153" s="26"/>
      <c r="DV153" s="26"/>
      <c r="DW153" s="26"/>
      <c r="DX153" s="26"/>
      <c r="DY153" s="26"/>
      <c r="DZ153" s="26"/>
      <c r="EA153" s="26"/>
      <c r="EB153" s="26"/>
      <c r="EC153" s="26"/>
      <c r="ED153" s="26"/>
      <c r="EE153" s="26"/>
      <c r="EF153" s="26"/>
      <c r="EG153" s="26"/>
      <c r="EH153" s="26"/>
      <c r="EI153" s="26"/>
      <c r="EJ153" s="26"/>
      <c r="EK153" s="26"/>
      <c r="EL153" s="26"/>
      <c r="EM153" s="26"/>
      <c r="EN153" s="26"/>
      <c r="EO153" s="26"/>
      <c r="EP153" s="26"/>
      <c r="EQ153" s="26"/>
      <c r="ER153" s="26"/>
      <c r="ES153" s="26"/>
      <c r="ET153" s="26"/>
      <c r="EU153" s="26"/>
      <c r="EV153" s="26"/>
      <c r="EW153" s="26"/>
      <c r="EX153" s="26"/>
      <c r="EY153" s="26"/>
      <c r="EZ153" s="26"/>
      <c r="FA153" s="60"/>
      <c r="FB153" s="60"/>
      <c r="FC153" s="60"/>
      <c r="FD153" s="60"/>
      <c r="FE153" s="60"/>
      <c r="FF153" s="60"/>
      <c r="FG153" s="60"/>
      <c r="FH153" s="60"/>
      <c r="FI153" s="60"/>
      <c r="FJ153" s="60"/>
      <c r="FK153" s="60"/>
      <c r="FL153" s="60"/>
      <c r="FM153" s="60"/>
      <c r="FN153" s="60"/>
      <c r="FO153" s="60"/>
      <c r="FP153" s="60"/>
      <c r="FQ153" s="60"/>
      <c r="FR153" s="60"/>
      <c r="FS153" s="60"/>
      <c r="FT153" s="60"/>
      <c r="FU153" s="60"/>
      <c r="FV153" s="60"/>
      <c r="FW153" s="60"/>
      <c r="FX153" s="60"/>
    </row>
    <row r="154">
      <c r="A154" s="18"/>
      <c r="B154" s="14"/>
      <c r="C154" s="14"/>
      <c r="D154" s="14"/>
      <c r="E154" s="18"/>
      <c r="F154" s="18"/>
      <c r="G154" s="18"/>
      <c r="H154" s="18"/>
      <c r="I154" s="18"/>
      <c r="J154" s="18"/>
      <c r="K154" s="18"/>
      <c r="L154" s="18"/>
      <c r="M154" s="18"/>
      <c r="N154" s="18"/>
      <c r="O154" s="18"/>
      <c r="P154" s="23"/>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c r="DD154" s="26"/>
      <c r="DE154" s="26"/>
      <c r="DF154" s="26"/>
      <c r="DG154" s="26"/>
      <c r="DH154" s="26"/>
      <c r="DI154" s="26"/>
      <c r="DJ154" s="26"/>
      <c r="DK154" s="26"/>
      <c r="DL154" s="26"/>
      <c r="DM154" s="26"/>
      <c r="DN154" s="26"/>
      <c r="DO154" s="26"/>
      <c r="DP154" s="26"/>
      <c r="DQ154" s="26"/>
      <c r="DR154" s="26"/>
      <c r="DS154" s="26"/>
      <c r="DT154" s="26"/>
      <c r="DU154" s="26"/>
      <c r="DV154" s="26"/>
      <c r="DW154" s="26"/>
      <c r="DX154" s="26"/>
      <c r="DY154" s="26"/>
      <c r="DZ154" s="26"/>
      <c r="EA154" s="26"/>
      <c r="EB154" s="26"/>
      <c r="EC154" s="26"/>
      <c r="ED154" s="26"/>
      <c r="EE154" s="26"/>
      <c r="EF154" s="26"/>
      <c r="EG154" s="26"/>
      <c r="EH154" s="26"/>
      <c r="EI154" s="26"/>
      <c r="EJ154" s="26"/>
      <c r="EK154" s="26"/>
      <c r="EL154" s="26"/>
      <c r="EM154" s="26"/>
      <c r="EN154" s="26"/>
      <c r="EO154" s="26"/>
      <c r="EP154" s="26"/>
      <c r="EQ154" s="26"/>
      <c r="ER154" s="26"/>
      <c r="ES154" s="26"/>
      <c r="ET154" s="26"/>
      <c r="EU154" s="26"/>
      <c r="EV154" s="26"/>
      <c r="EW154" s="26"/>
      <c r="EX154" s="26"/>
      <c r="EY154" s="26"/>
      <c r="EZ154" s="26"/>
      <c r="FA154" s="60"/>
      <c r="FB154" s="60"/>
      <c r="FC154" s="60"/>
      <c r="FD154" s="60"/>
      <c r="FE154" s="60"/>
      <c r="FF154" s="60"/>
      <c r="FG154" s="60"/>
      <c r="FH154" s="60"/>
      <c r="FI154" s="60"/>
      <c r="FJ154" s="60"/>
      <c r="FK154" s="60"/>
      <c r="FL154" s="60"/>
      <c r="FM154" s="60"/>
      <c r="FN154" s="60"/>
      <c r="FO154" s="60"/>
      <c r="FP154" s="60"/>
      <c r="FQ154" s="60"/>
      <c r="FR154" s="60"/>
      <c r="FS154" s="60"/>
      <c r="FT154" s="60"/>
      <c r="FU154" s="60"/>
      <c r="FV154" s="60"/>
      <c r="FW154" s="60"/>
      <c r="FX154" s="60"/>
    </row>
    <row r="155">
      <c r="A155" s="18"/>
      <c r="B155" s="14"/>
      <c r="C155" s="14"/>
      <c r="D155" s="14"/>
      <c r="E155" s="18"/>
      <c r="F155" s="18"/>
      <c r="G155" s="18"/>
      <c r="H155" s="18"/>
      <c r="I155" s="18"/>
      <c r="J155" s="18"/>
      <c r="K155" s="18"/>
      <c r="L155" s="18"/>
      <c r="M155" s="18"/>
      <c r="N155" s="18"/>
      <c r="O155" s="18"/>
      <c r="P155" s="23"/>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60"/>
      <c r="FB155" s="60"/>
      <c r="FC155" s="60"/>
      <c r="FD155" s="60"/>
      <c r="FE155" s="60"/>
      <c r="FF155" s="60"/>
      <c r="FG155" s="60"/>
      <c r="FH155" s="60"/>
      <c r="FI155" s="60"/>
      <c r="FJ155" s="60"/>
      <c r="FK155" s="60"/>
      <c r="FL155" s="60"/>
      <c r="FM155" s="60"/>
      <c r="FN155" s="60"/>
      <c r="FO155" s="60"/>
      <c r="FP155" s="60"/>
      <c r="FQ155" s="60"/>
      <c r="FR155" s="60"/>
      <c r="FS155" s="60"/>
      <c r="FT155" s="60"/>
      <c r="FU155" s="60"/>
      <c r="FV155" s="60"/>
      <c r="FW155" s="60"/>
      <c r="FX155" s="60"/>
    </row>
    <row r="156">
      <c r="A156" s="18"/>
      <c r="B156" s="14"/>
      <c r="C156" s="14"/>
      <c r="D156" s="14"/>
      <c r="E156" s="18"/>
      <c r="F156" s="18"/>
      <c r="G156" s="18"/>
      <c r="H156" s="18"/>
      <c r="I156" s="18"/>
      <c r="J156" s="18"/>
      <c r="K156" s="18"/>
      <c r="L156" s="18"/>
      <c r="M156" s="18"/>
      <c r="N156" s="18"/>
      <c r="O156" s="18"/>
      <c r="P156" s="23"/>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60"/>
      <c r="FB156" s="60"/>
      <c r="FC156" s="60"/>
      <c r="FD156" s="60"/>
      <c r="FE156" s="60"/>
      <c r="FF156" s="60"/>
      <c r="FG156" s="60"/>
      <c r="FH156" s="60"/>
      <c r="FI156" s="60"/>
      <c r="FJ156" s="60"/>
      <c r="FK156" s="60"/>
      <c r="FL156" s="60"/>
      <c r="FM156" s="60"/>
      <c r="FN156" s="60"/>
      <c r="FO156" s="60"/>
      <c r="FP156" s="60"/>
      <c r="FQ156" s="60"/>
      <c r="FR156" s="60"/>
      <c r="FS156" s="60"/>
      <c r="FT156" s="60"/>
      <c r="FU156" s="60"/>
      <c r="FV156" s="60"/>
      <c r="FW156" s="60"/>
      <c r="FX156" s="60"/>
    </row>
    <row r="157">
      <c r="A157" s="18"/>
      <c r="B157" s="14"/>
      <c r="C157" s="14"/>
      <c r="D157" s="14"/>
      <c r="E157" s="18"/>
      <c r="F157" s="18"/>
      <c r="G157" s="18"/>
      <c r="H157" s="18"/>
      <c r="I157" s="18"/>
      <c r="J157" s="18"/>
      <c r="K157" s="18"/>
      <c r="L157" s="18"/>
      <c r="M157" s="18"/>
      <c r="N157" s="18"/>
      <c r="O157" s="18"/>
      <c r="P157" s="23"/>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c r="ES157" s="26"/>
      <c r="ET157" s="26"/>
      <c r="EU157" s="26"/>
      <c r="EV157" s="26"/>
      <c r="EW157" s="26"/>
      <c r="EX157" s="26"/>
      <c r="EY157" s="26"/>
      <c r="EZ157" s="26"/>
      <c r="FA157" s="60"/>
      <c r="FB157" s="60"/>
      <c r="FC157" s="60"/>
      <c r="FD157" s="60"/>
      <c r="FE157" s="60"/>
      <c r="FF157" s="60"/>
      <c r="FG157" s="60"/>
      <c r="FH157" s="60"/>
      <c r="FI157" s="60"/>
      <c r="FJ157" s="60"/>
      <c r="FK157" s="60"/>
      <c r="FL157" s="60"/>
      <c r="FM157" s="60"/>
      <c r="FN157" s="60"/>
      <c r="FO157" s="60"/>
      <c r="FP157" s="60"/>
      <c r="FQ157" s="60"/>
      <c r="FR157" s="60"/>
      <c r="FS157" s="60"/>
      <c r="FT157" s="60"/>
      <c r="FU157" s="60"/>
      <c r="FV157" s="60"/>
      <c r="FW157" s="60"/>
      <c r="FX157" s="60"/>
    </row>
    <row r="158">
      <c r="A158" s="18"/>
      <c r="B158" s="14"/>
      <c r="C158" s="14"/>
      <c r="D158" s="14"/>
      <c r="E158" s="18"/>
      <c r="F158" s="18"/>
      <c r="G158" s="18"/>
      <c r="H158" s="18"/>
      <c r="I158" s="18"/>
      <c r="J158" s="18"/>
      <c r="K158" s="18"/>
      <c r="L158" s="18"/>
      <c r="M158" s="18"/>
      <c r="N158" s="18"/>
      <c r="O158" s="18"/>
      <c r="P158" s="23"/>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60"/>
      <c r="FB158" s="60"/>
      <c r="FC158" s="60"/>
      <c r="FD158" s="60"/>
      <c r="FE158" s="60"/>
      <c r="FF158" s="60"/>
      <c r="FG158" s="60"/>
      <c r="FH158" s="60"/>
      <c r="FI158" s="60"/>
      <c r="FJ158" s="60"/>
      <c r="FK158" s="60"/>
      <c r="FL158" s="60"/>
      <c r="FM158" s="60"/>
      <c r="FN158" s="60"/>
      <c r="FO158" s="60"/>
      <c r="FP158" s="60"/>
      <c r="FQ158" s="60"/>
      <c r="FR158" s="60"/>
      <c r="FS158" s="60"/>
      <c r="FT158" s="60"/>
      <c r="FU158" s="60"/>
      <c r="FV158" s="60"/>
      <c r="FW158" s="60"/>
      <c r="FX158" s="60"/>
    </row>
    <row r="159">
      <c r="A159" s="18"/>
      <c r="B159" s="14"/>
      <c r="C159" s="14"/>
      <c r="D159" s="14"/>
      <c r="E159" s="18"/>
      <c r="F159" s="18"/>
      <c r="G159" s="18"/>
      <c r="H159" s="18"/>
      <c r="I159" s="18"/>
      <c r="J159" s="18"/>
      <c r="K159" s="18"/>
      <c r="L159" s="18"/>
      <c r="M159" s="18"/>
      <c r="N159" s="18"/>
      <c r="O159" s="18"/>
      <c r="P159" s="23"/>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6"/>
      <c r="DS159" s="26"/>
      <c r="DT159" s="26"/>
      <c r="DU159" s="26"/>
      <c r="DV159" s="26"/>
      <c r="DW159" s="26"/>
      <c r="DX159" s="26"/>
      <c r="DY159" s="26"/>
      <c r="DZ159" s="26"/>
      <c r="EA159" s="26"/>
      <c r="EB159" s="26"/>
      <c r="EC159" s="26"/>
      <c r="ED159" s="26"/>
      <c r="EE159" s="26"/>
      <c r="EF159" s="26"/>
      <c r="EG159" s="26"/>
      <c r="EH159" s="26"/>
      <c r="EI159" s="26"/>
      <c r="EJ159" s="26"/>
      <c r="EK159" s="26"/>
      <c r="EL159" s="26"/>
      <c r="EM159" s="26"/>
      <c r="EN159" s="26"/>
      <c r="EO159" s="26"/>
      <c r="EP159" s="26"/>
      <c r="EQ159" s="26"/>
      <c r="ER159" s="26"/>
      <c r="ES159" s="26"/>
      <c r="ET159" s="26"/>
      <c r="EU159" s="26"/>
      <c r="EV159" s="26"/>
      <c r="EW159" s="26"/>
      <c r="EX159" s="26"/>
      <c r="EY159" s="26"/>
      <c r="EZ159" s="26"/>
      <c r="FA159" s="60"/>
      <c r="FB159" s="60"/>
      <c r="FC159" s="60"/>
      <c r="FD159" s="60"/>
      <c r="FE159" s="60"/>
      <c r="FF159" s="60"/>
      <c r="FG159" s="60"/>
      <c r="FH159" s="60"/>
      <c r="FI159" s="60"/>
      <c r="FJ159" s="60"/>
      <c r="FK159" s="60"/>
      <c r="FL159" s="60"/>
      <c r="FM159" s="60"/>
      <c r="FN159" s="60"/>
      <c r="FO159" s="60"/>
      <c r="FP159" s="60"/>
      <c r="FQ159" s="60"/>
      <c r="FR159" s="60"/>
      <c r="FS159" s="60"/>
      <c r="FT159" s="60"/>
      <c r="FU159" s="60"/>
      <c r="FV159" s="60"/>
      <c r="FW159" s="60"/>
      <c r="FX159" s="60"/>
    </row>
    <row r="160">
      <c r="A160" s="18"/>
      <c r="B160" s="14"/>
      <c r="C160" s="14"/>
      <c r="D160" s="14"/>
      <c r="E160" s="18"/>
      <c r="F160" s="18"/>
      <c r="G160" s="18"/>
      <c r="H160" s="18"/>
      <c r="I160" s="18"/>
      <c r="J160" s="18"/>
      <c r="K160" s="18"/>
      <c r="L160" s="18"/>
      <c r="M160" s="18"/>
      <c r="N160" s="18"/>
      <c r="O160" s="18"/>
      <c r="P160" s="23"/>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c r="ES160" s="26"/>
      <c r="ET160" s="26"/>
      <c r="EU160" s="26"/>
      <c r="EV160" s="26"/>
      <c r="EW160" s="26"/>
      <c r="EX160" s="26"/>
      <c r="EY160" s="26"/>
      <c r="EZ160" s="26"/>
      <c r="FA160" s="60"/>
      <c r="FB160" s="60"/>
      <c r="FC160" s="60"/>
      <c r="FD160" s="60"/>
      <c r="FE160" s="60"/>
      <c r="FF160" s="60"/>
      <c r="FG160" s="60"/>
      <c r="FH160" s="60"/>
      <c r="FI160" s="60"/>
      <c r="FJ160" s="60"/>
      <c r="FK160" s="60"/>
      <c r="FL160" s="60"/>
      <c r="FM160" s="60"/>
      <c r="FN160" s="60"/>
      <c r="FO160" s="60"/>
      <c r="FP160" s="60"/>
      <c r="FQ160" s="60"/>
      <c r="FR160" s="60"/>
      <c r="FS160" s="60"/>
      <c r="FT160" s="60"/>
      <c r="FU160" s="60"/>
      <c r="FV160" s="60"/>
      <c r="FW160" s="60"/>
      <c r="FX160" s="60"/>
    </row>
    <row r="161">
      <c r="A161" s="18"/>
      <c r="B161" s="14"/>
      <c r="C161" s="14"/>
      <c r="D161" s="14"/>
      <c r="E161" s="18"/>
      <c r="F161" s="18"/>
      <c r="G161" s="18"/>
      <c r="H161" s="18"/>
      <c r="I161" s="18"/>
      <c r="J161" s="18"/>
      <c r="K161" s="18"/>
      <c r="L161" s="18"/>
      <c r="M161" s="18"/>
      <c r="N161" s="18"/>
      <c r="O161" s="18"/>
      <c r="P161" s="23"/>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60"/>
      <c r="FB161" s="60"/>
      <c r="FC161" s="60"/>
      <c r="FD161" s="60"/>
      <c r="FE161" s="60"/>
      <c r="FF161" s="60"/>
      <c r="FG161" s="60"/>
      <c r="FH161" s="60"/>
      <c r="FI161" s="60"/>
      <c r="FJ161" s="60"/>
      <c r="FK161" s="60"/>
      <c r="FL161" s="60"/>
      <c r="FM161" s="60"/>
      <c r="FN161" s="60"/>
      <c r="FO161" s="60"/>
      <c r="FP161" s="60"/>
      <c r="FQ161" s="60"/>
      <c r="FR161" s="60"/>
      <c r="FS161" s="60"/>
      <c r="FT161" s="60"/>
      <c r="FU161" s="60"/>
      <c r="FV161" s="60"/>
      <c r="FW161" s="60"/>
      <c r="FX161" s="60"/>
    </row>
    <row r="162">
      <c r="A162" s="18"/>
      <c r="B162" s="14"/>
      <c r="C162" s="14"/>
      <c r="D162" s="14"/>
      <c r="E162" s="18"/>
      <c r="F162" s="18"/>
      <c r="G162" s="18"/>
      <c r="H162" s="18"/>
      <c r="I162" s="18"/>
      <c r="J162" s="18"/>
      <c r="K162" s="18"/>
      <c r="L162" s="18"/>
      <c r="M162" s="18"/>
      <c r="N162" s="18"/>
      <c r="O162" s="18"/>
      <c r="P162" s="23"/>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60"/>
      <c r="FB162" s="60"/>
      <c r="FC162" s="60"/>
      <c r="FD162" s="60"/>
      <c r="FE162" s="60"/>
      <c r="FF162" s="60"/>
      <c r="FG162" s="60"/>
      <c r="FH162" s="60"/>
      <c r="FI162" s="60"/>
      <c r="FJ162" s="60"/>
      <c r="FK162" s="60"/>
      <c r="FL162" s="60"/>
      <c r="FM162" s="60"/>
      <c r="FN162" s="60"/>
      <c r="FO162" s="60"/>
      <c r="FP162" s="60"/>
      <c r="FQ162" s="60"/>
      <c r="FR162" s="60"/>
      <c r="FS162" s="60"/>
      <c r="FT162" s="60"/>
      <c r="FU162" s="60"/>
      <c r="FV162" s="60"/>
      <c r="FW162" s="60"/>
      <c r="FX162" s="60"/>
    </row>
    <row r="163">
      <c r="A163" s="18"/>
      <c r="B163" s="14"/>
      <c r="C163" s="14"/>
      <c r="D163" s="14"/>
      <c r="E163" s="18"/>
      <c r="F163" s="18"/>
      <c r="G163" s="18"/>
      <c r="H163" s="18"/>
      <c r="I163" s="18"/>
      <c r="J163" s="18"/>
      <c r="K163" s="18"/>
      <c r="L163" s="18"/>
      <c r="M163" s="18"/>
      <c r="N163" s="18"/>
      <c r="O163" s="18"/>
      <c r="P163" s="23"/>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26"/>
      <c r="DS163" s="26"/>
      <c r="DT163" s="26"/>
      <c r="DU163" s="26"/>
      <c r="DV163" s="26"/>
      <c r="DW163" s="26"/>
      <c r="DX163" s="26"/>
      <c r="DY163" s="26"/>
      <c r="DZ163" s="26"/>
      <c r="EA163" s="26"/>
      <c r="EB163" s="26"/>
      <c r="EC163" s="26"/>
      <c r="ED163" s="26"/>
      <c r="EE163" s="26"/>
      <c r="EF163" s="26"/>
      <c r="EG163" s="26"/>
      <c r="EH163" s="26"/>
      <c r="EI163" s="26"/>
      <c r="EJ163" s="26"/>
      <c r="EK163" s="26"/>
      <c r="EL163" s="26"/>
      <c r="EM163" s="26"/>
      <c r="EN163" s="26"/>
      <c r="EO163" s="26"/>
      <c r="EP163" s="26"/>
      <c r="EQ163" s="26"/>
      <c r="ER163" s="26"/>
      <c r="ES163" s="26"/>
      <c r="ET163" s="26"/>
      <c r="EU163" s="26"/>
      <c r="EV163" s="26"/>
      <c r="EW163" s="26"/>
      <c r="EX163" s="26"/>
      <c r="EY163" s="26"/>
      <c r="EZ163" s="26"/>
      <c r="FA163" s="60"/>
      <c r="FB163" s="60"/>
      <c r="FC163" s="60"/>
      <c r="FD163" s="60"/>
      <c r="FE163" s="60"/>
      <c r="FF163" s="60"/>
      <c r="FG163" s="60"/>
      <c r="FH163" s="60"/>
      <c r="FI163" s="60"/>
      <c r="FJ163" s="60"/>
      <c r="FK163" s="60"/>
      <c r="FL163" s="60"/>
      <c r="FM163" s="60"/>
      <c r="FN163" s="60"/>
      <c r="FO163" s="60"/>
      <c r="FP163" s="60"/>
      <c r="FQ163" s="60"/>
      <c r="FR163" s="60"/>
      <c r="FS163" s="60"/>
      <c r="FT163" s="60"/>
      <c r="FU163" s="60"/>
      <c r="FV163" s="60"/>
      <c r="FW163" s="60"/>
      <c r="FX163" s="60"/>
    </row>
    <row r="164">
      <c r="A164" s="18"/>
      <c r="B164" s="14"/>
      <c r="C164" s="14"/>
      <c r="D164" s="14"/>
      <c r="E164" s="18"/>
      <c r="F164" s="18"/>
      <c r="G164" s="18"/>
      <c r="H164" s="18"/>
      <c r="I164" s="18"/>
      <c r="J164" s="18"/>
      <c r="K164" s="18"/>
      <c r="L164" s="18"/>
      <c r="M164" s="18"/>
      <c r="N164" s="18"/>
      <c r="O164" s="18"/>
      <c r="P164" s="23"/>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60"/>
      <c r="FB164" s="60"/>
      <c r="FC164" s="60"/>
      <c r="FD164" s="60"/>
      <c r="FE164" s="60"/>
      <c r="FF164" s="60"/>
      <c r="FG164" s="60"/>
      <c r="FH164" s="60"/>
      <c r="FI164" s="60"/>
      <c r="FJ164" s="60"/>
      <c r="FK164" s="60"/>
      <c r="FL164" s="60"/>
      <c r="FM164" s="60"/>
      <c r="FN164" s="60"/>
      <c r="FO164" s="60"/>
      <c r="FP164" s="60"/>
      <c r="FQ164" s="60"/>
      <c r="FR164" s="60"/>
      <c r="FS164" s="60"/>
      <c r="FT164" s="60"/>
      <c r="FU164" s="60"/>
      <c r="FV164" s="60"/>
      <c r="FW164" s="60"/>
      <c r="FX164" s="60"/>
    </row>
    <row r="165">
      <c r="A165" s="18"/>
      <c r="B165" s="14"/>
      <c r="C165" s="14"/>
      <c r="D165" s="14"/>
      <c r="E165" s="18"/>
      <c r="F165" s="18"/>
      <c r="G165" s="18"/>
      <c r="H165" s="18"/>
      <c r="I165" s="18"/>
      <c r="J165" s="18"/>
      <c r="K165" s="18"/>
      <c r="L165" s="18"/>
      <c r="M165" s="18"/>
      <c r="N165" s="18"/>
      <c r="O165" s="18"/>
      <c r="P165" s="23"/>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26"/>
      <c r="DS165" s="26"/>
      <c r="DT165" s="26"/>
      <c r="DU165" s="26"/>
      <c r="DV165" s="26"/>
      <c r="DW165" s="26"/>
      <c r="DX165" s="26"/>
      <c r="DY165" s="26"/>
      <c r="DZ165" s="26"/>
      <c r="EA165" s="26"/>
      <c r="EB165" s="26"/>
      <c r="EC165" s="26"/>
      <c r="ED165" s="26"/>
      <c r="EE165" s="26"/>
      <c r="EF165" s="26"/>
      <c r="EG165" s="26"/>
      <c r="EH165" s="26"/>
      <c r="EI165" s="26"/>
      <c r="EJ165" s="26"/>
      <c r="EK165" s="26"/>
      <c r="EL165" s="26"/>
      <c r="EM165" s="26"/>
      <c r="EN165" s="26"/>
      <c r="EO165" s="26"/>
      <c r="EP165" s="26"/>
      <c r="EQ165" s="26"/>
      <c r="ER165" s="26"/>
      <c r="ES165" s="26"/>
      <c r="ET165" s="26"/>
      <c r="EU165" s="26"/>
      <c r="EV165" s="26"/>
      <c r="EW165" s="26"/>
      <c r="EX165" s="26"/>
      <c r="EY165" s="26"/>
      <c r="EZ165" s="26"/>
      <c r="FA165" s="60"/>
      <c r="FB165" s="60"/>
      <c r="FC165" s="60"/>
      <c r="FD165" s="60"/>
      <c r="FE165" s="60"/>
      <c r="FF165" s="60"/>
      <c r="FG165" s="60"/>
      <c r="FH165" s="60"/>
      <c r="FI165" s="60"/>
      <c r="FJ165" s="60"/>
      <c r="FK165" s="60"/>
      <c r="FL165" s="60"/>
      <c r="FM165" s="60"/>
      <c r="FN165" s="60"/>
      <c r="FO165" s="60"/>
      <c r="FP165" s="60"/>
      <c r="FQ165" s="60"/>
      <c r="FR165" s="60"/>
      <c r="FS165" s="60"/>
      <c r="FT165" s="60"/>
      <c r="FU165" s="60"/>
      <c r="FV165" s="60"/>
      <c r="FW165" s="60"/>
      <c r="FX165" s="60"/>
    </row>
    <row r="166">
      <c r="A166" s="18"/>
      <c r="B166" s="14"/>
      <c r="C166" s="14"/>
      <c r="D166" s="14"/>
      <c r="E166" s="18"/>
      <c r="F166" s="18"/>
      <c r="G166" s="18"/>
      <c r="H166" s="18"/>
      <c r="I166" s="18"/>
      <c r="J166" s="18"/>
      <c r="K166" s="18"/>
      <c r="L166" s="18"/>
      <c r="M166" s="18"/>
      <c r="N166" s="18"/>
      <c r="O166" s="18"/>
      <c r="P166" s="23"/>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60"/>
      <c r="FB166" s="60"/>
      <c r="FC166" s="60"/>
      <c r="FD166" s="60"/>
      <c r="FE166" s="60"/>
      <c r="FF166" s="60"/>
      <c r="FG166" s="60"/>
      <c r="FH166" s="60"/>
      <c r="FI166" s="60"/>
      <c r="FJ166" s="60"/>
      <c r="FK166" s="60"/>
      <c r="FL166" s="60"/>
      <c r="FM166" s="60"/>
      <c r="FN166" s="60"/>
      <c r="FO166" s="60"/>
      <c r="FP166" s="60"/>
      <c r="FQ166" s="60"/>
      <c r="FR166" s="60"/>
      <c r="FS166" s="60"/>
      <c r="FT166" s="60"/>
      <c r="FU166" s="60"/>
      <c r="FV166" s="60"/>
      <c r="FW166" s="60"/>
      <c r="FX166" s="60"/>
    </row>
    <row r="167">
      <c r="A167" s="18"/>
      <c r="B167" s="14"/>
      <c r="C167" s="14"/>
      <c r="D167" s="14"/>
      <c r="E167" s="18"/>
      <c r="F167" s="18"/>
      <c r="G167" s="18"/>
      <c r="H167" s="18"/>
      <c r="I167" s="18"/>
      <c r="J167" s="18"/>
      <c r="K167" s="18"/>
      <c r="L167" s="18"/>
      <c r="M167" s="18"/>
      <c r="N167" s="18"/>
      <c r="O167" s="18"/>
      <c r="P167" s="23"/>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c r="DD167" s="26"/>
      <c r="DE167" s="26"/>
      <c r="DF167" s="26"/>
      <c r="DG167" s="26"/>
      <c r="DH167" s="26"/>
      <c r="DI167" s="26"/>
      <c r="DJ167" s="26"/>
      <c r="DK167" s="26"/>
      <c r="DL167" s="26"/>
      <c r="DM167" s="26"/>
      <c r="DN167" s="26"/>
      <c r="DO167" s="26"/>
      <c r="DP167" s="26"/>
      <c r="DQ167" s="26"/>
      <c r="DR167" s="26"/>
      <c r="DS167" s="26"/>
      <c r="DT167" s="26"/>
      <c r="DU167" s="26"/>
      <c r="DV167" s="26"/>
      <c r="DW167" s="26"/>
      <c r="DX167" s="26"/>
      <c r="DY167" s="26"/>
      <c r="DZ167" s="26"/>
      <c r="EA167" s="26"/>
      <c r="EB167" s="26"/>
      <c r="EC167" s="26"/>
      <c r="ED167" s="26"/>
      <c r="EE167" s="26"/>
      <c r="EF167" s="26"/>
      <c r="EG167" s="26"/>
      <c r="EH167" s="26"/>
      <c r="EI167" s="26"/>
      <c r="EJ167" s="26"/>
      <c r="EK167" s="26"/>
      <c r="EL167" s="26"/>
      <c r="EM167" s="26"/>
      <c r="EN167" s="26"/>
      <c r="EO167" s="26"/>
      <c r="EP167" s="26"/>
      <c r="EQ167" s="26"/>
      <c r="ER167" s="26"/>
      <c r="ES167" s="26"/>
      <c r="ET167" s="26"/>
      <c r="EU167" s="26"/>
      <c r="EV167" s="26"/>
      <c r="EW167" s="26"/>
      <c r="EX167" s="26"/>
      <c r="EY167" s="26"/>
      <c r="EZ167" s="26"/>
      <c r="FA167" s="60"/>
      <c r="FB167" s="60"/>
      <c r="FC167" s="60"/>
      <c r="FD167" s="60"/>
      <c r="FE167" s="60"/>
      <c r="FF167" s="60"/>
      <c r="FG167" s="60"/>
      <c r="FH167" s="60"/>
      <c r="FI167" s="60"/>
      <c r="FJ167" s="60"/>
      <c r="FK167" s="60"/>
      <c r="FL167" s="60"/>
      <c r="FM167" s="60"/>
      <c r="FN167" s="60"/>
      <c r="FO167" s="60"/>
      <c r="FP167" s="60"/>
      <c r="FQ167" s="60"/>
      <c r="FR167" s="60"/>
      <c r="FS167" s="60"/>
      <c r="FT167" s="60"/>
      <c r="FU167" s="60"/>
      <c r="FV167" s="60"/>
      <c r="FW167" s="60"/>
      <c r="FX167" s="60"/>
    </row>
    <row r="168">
      <c r="A168" s="18"/>
      <c r="B168" s="14"/>
      <c r="C168" s="14"/>
      <c r="D168" s="14"/>
      <c r="E168" s="18"/>
      <c r="F168" s="18"/>
      <c r="G168" s="18"/>
      <c r="H168" s="18"/>
      <c r="I168" s="18"/>
      <c r="J168" s="18"/>
      <c r="K168" s="18"/>
      <c r="L168" s="18"/>
      <c r="M168" s="18"/>
      <c r="N168" s="18"/>
      <c r="O168" s="18"/>
      <c r="P168" s="23"/>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c r="CV168" s="26"/>
      <c r="CW168" s="26"/>
      <c r="CX168" s="26"/>
      <c r="CY168" s="26"/>
      <c r="CZ168" s="26"/>
      <c r="DA168" s="26"/>
      <c r="DB168" s="26"/>
      <c r="DC168" s="26"/>
      <c r="DD168" s="26"/>
      <c r="DE168" s="26"/>
      <c r="DF168" s="26"/>
      <c r="DG168" s="26"/>
      <c r="DH168" s="26"/>
      <c r="DI168" s="26"/>
      <c r="DJ168" s="26"/>
      <c r="DK168" s="26"/>
      <c r="DL168" s="26"/>
      <c r="DM168" s="26"/>
      <c r="DN168" s="26"/>
      <c r="DO168" s="26"/>
      <c r="DP168" s="26"/>
      <c r="DQ168" s="26"/>
      <c r="DR168" s="26"/>
      <c r="DS168" s="26"/>
      <c r="DT168" s="26"/>
      <c r="DU168" s="26"/>
      <c r="DV168" s="26"/>
      <c r="DW168" s="26"/>
      <c r="DX168" s="26"/>
      <c r="DY168" s="26"/>
      <c r="DZ168" s="26"/>
      <c r="EA168" s="26"/>
      <c r="EB168" s="26"/>
      <c r="EC168" s="26"/>
      <c r="ED168" s="26"/>
      <c r="EE168" s="26"/>
      <c r="EF168" s="26"/>
      <c r="EG168" s="26"/>
      <c r="EH168" s="26"/>
      <c r="EI168" s="26"/>
      <c r="EJ168" s="26"/>
      <c r="EK168" s="26"/>
      <c r="EL168" s="26"/>
      <c r="EM168" s="26"/>
      <c r="EN168" s="26"/>
      <c r="EO168" s="26"/>
      <c r="EP168" s="26"/>
      <c r="EQ168" s="26"/>
      <c r="ER168" s="26"/>
      <c r="ES168" s="26"/>
      <c r="ET168" s="26"/>
      <c r="EU168" s="26"/>
      <c r="EV168" s="26"/>
      <c r="EW168" s="26"/>
      <c r="EX168" s="26"/>
      <c r="EY168" s="26"/>
      <c r="EZ168" s="26"/>
      <c r="FA168" s="60"/>
      <c r="FB168" s="60"/>
      <c r="FC168" s="60"/>
      <c r="FD168" s="60"/>
      <c r="FE168" s="60"/>
      <c r="FF168" s="60"/>
      <c r="FG168" s="60"/>
      <c r="FH168" s="60"/>
      <c r="FI168" s="60"/>
      <c r="FJ168" s="60"/>
      <c r="FK168" s="60"/>
      <c r="FL168" s="60"/>
      <c r="FM168" s="60"/>
      <c r="FN168" s="60"/>
      <c r="FO168" s="60"/>
      <c r="FP168" s="60"/>
      <c r="FQ168" s="60"/>
      <c r="FR168" s="60"/>
      <c r="FS168" s="60"/>
      <c r="FT168" s="60"/>
      <c r="FU168" s="60"/>
      <c r="FV168" s="60"/>
      <c r="FW168" s="60"/>
      <c r="FX168" s="60"/>
    </row>
    <row r="169">
      <c r="A169" s="18"/>
      <c r="B169" s="14"/>
      <c r="C169" s="14"/>
      <c r="D169" s="14"/>
      <c r="E169" s="18"/>
      <c r="F169" s="18"/>
      <c r="G169" s="18"/>
      <c r="H169" s="18"/>
      <c r="I169" s="18"/>
      <c r="J169" s="18"/>
      <c r="K169" s="18"/>
      <c r="L169" s="18"/>
      <c r="M169" s="18"/>
      <c r="N169" s="18"/>
      <c r="O169" s="18"/>
      <c r="P169" s="23"/>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6"/>
      <c r="DS169" s="26"/>
      <c r="DT169" s="26"/>
      <c r="DU169" s="26"/>
      <c r="DV169" s="26"/>
      <c r="DW169" s="26"/>
      <c r="DX169" s="26"/>
      <c r="DY169" s="26"/>
      <c r="DZ169" s="26"/>
      <c r="EA169" s="26"/>
      <c r="EB169" s="26"/>
      <c r="EC169" s="26"/>
      <c r="ED169" s="26"/>
      <c r="EE169" s="26"/>
      <c r="EF169" s="26"/>
      <c r="EG169" s="26"/>
      <c r="EH169" s="26"/>
      <c r="EI169" s="26"/>
      <c r="EJ169" s="26"/>
      <c r="EK169" s="26"/>
      <c r="EL169" s="26"/>
      <c r="EM169" s="26"/>
      <c r="EN169" s="26"/>
      <c r="EO169" s="26"/>
      <c r="EP169" s="26"/>
      <c r="EQ169" s="26"/>
      <c r="ER169" s="26"/>
      <c r="ES169" s="26"/>
      <c r="ET169" s="26"/>
      <c r="EU169" s="26"/>
      <c r="EV169" s="26"/>
      <c r="EW169" s="26"/>
      <c r="EX169" s="26"/>
      <c r="EY169" s="26"/>
      <c r="EZ169" s="26"/>
      <c r="FA169" s="60"/>
      <c r="FB169" s="60"/>
      <c r="FC169" s="60"/>
      <c r="FD169" s="60"/>
      <c r="FE169" s="60"/>
      <c r="FF169" s="60"/>
      <c r="FG169" s="60"/>
      <c r="FH169" s="60"/>
      <c r="FI169" s="60"/>
      <c r="FJ169" s="60"/>
      <c r="FK169" s="60"/>
      <c r="FL169" s="60"/>
      <c r="FM169" s="60"/>
      <c r="FN169" s="60"/>
      <c r="FO169" s="60"/>
      <c r="FP169" s="60"/>
      <c r="FQ169" s="60"/>
      <c r="FR169" s="60"/>
      <c r="FS169" s="60"/>
      <c r="FT169" s="60"/>
      <c r="FU169" s="60"/>
      <c r="FV169" s="60"/>
      <c r="FW169" s="60"/>
      <c r="FX169" s="60"/>
    </row>
    <row r="170">
      <c r="A170" s="18"/>
      <c r="B170" s="14"/>
      <c r="C170" s="14"/>
      <c r="D170" s="14"/>
      <c r="E170" s="18"/>
      <c r="F170" s="18"/>
      <c r="G170" s="18"/>
      <c r="H170" s="18"/>
      <c r="I170" s="18"/>
      <c r="J170" s="18"/>
      <c r="K170" s="18"/>
      <c r="L170" s="18"/>
      <c r="M170" s="18"/>
      <c r="N170" s="18"/>
      <c r="O170" s="18"/>
      <c r="P170" s="23"/>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c r="DD170" s="26"/>
      <c r="DE170" s="26"/>
      <c r="DF170" s="26"/>
      <c r="DG170" s="26"/>
      <c r="DH170" s="26"/>
      <c r="DI170" s="26"/>
      <c r="DJ170" s="26"/>
      <c r="DK170" s="26"/>
      <c r="DL170" s="26"/>
      <c r="DM170" s="26"/>
      <c r="DN170" s="26"/>
      <c r="DO170" s="26"/>
      <c r="DP170" s="26"/>
      <c r="DQ170" s="26"/>
      <c r="DR170" s="26"/>
      <c r="DS170" s="26"/>
      <c r="DT170" s="26"/>
      <c r="DU170" s="26"/>
      <c r="DV170" s="26"/>
      <c r="DW170" s="26"/>
      <c r="DX170" s="26"/>
      <c r="DY170" s="26"/>
      <c r="DZ170" s="26"/>
      <c r="EA170" s="26"/>
      <c r="EB170" s="26"/>
      <c r="EC170" s="26"/>
      <c r="ED170" s="26"/>
      <c r="EE170" s="26"/>
      <c r="EF170" s="26"/>
      <c r="EG170" s="26"/>
      <c r="EH170" s="26"/>
      <c r="EI170" s="26"/>
      <c r="EJ170" s="26"/>
      <c r="EK170" s="26"/>
      <c r="EL170" s="26"/>
      <c r="EM170" s="26"/>
      <c r="EN170" s="26"/>
      <c r="EO170" s="26"/>
      <c r="EP170" s="26"/>
      <c r="EQ170" s="26"/>
      <c r="ER170" s="26"/>
      <c r="ES170" s="26"/>
      <c r="ET170" s="26"/>
      <c r="EU170" s="26"/>
      <c r="EV170" s="26"/>
      <c r="EW170" s="26"/>
      <c r="EX170" s="26"/>
      <c r="EY170" s="26"/>
      <c r="EZ170" s="26"/>
      <c r="FA170" s="60"/>
      <c r="FB170" s="60"/>
      <c r="FC170" s="60"/>
      <c r="FD170" s="60"/>
      <c r="FE170" s="60"/>
      <c r="FF170" s="60"/>
      <c r="FG170" s="60"/>
      <c r="FH170" s="60"/>
      <c r="FI170" s="60"/>
      <c r="FJ170" s="60"/>
      <c r="FK170" s="60"/>
      <c r="FL170" s="60"/>
      <c r="FM170" s="60"/>
      <c r="FN170" s="60"/>
      <c r="FO170" s="60"/>
      <c r="FP170" s="60"/>
      <c r="FQ170" s="60"/>
      <c r="FR170" s="60"/>
      <c r="FS170" s="60"/>
      <c r="FT170" s="60"/>
      <c r="FU170" s="60"/>
      <c r="FV170" s="60"/>
      <c r="FW170" s="60"/>
      <c r="FX170" s="60"/>
    </row>
    <row r="171">
      <c r="A171" s="18"/>
      <c r="B171" s="14"/>
      <c r="C171" s="14"/>
      <c r="D171" s="14"/>
      <c r="E171" s="18"/>
      <c r="F171" s="18"/>
      <c r="G171" s="18"/>
      <c r="H171" s="18"/>
      <c r="I171" s="18"/>
      <c r="J171" s="18"/>
      <c r="K171" s="18"/>
      <c r="L171" s="18"/>
      <c r="M171" s="18"/>
      <c r="N171" s="18"/>
      <c r="O171" s="18"/>
      <c r="P171" s="23"/>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6"/>
      <c r="DS171" s="26"/>
      <c r="DT171" s="26"/>
      <c r="DU171" s="26"/>
      <c r="DV171" s="26"/>
      <c r="DW171" s="26"/>
      <c r="DX171" s="26"/>
      <c r="DY171" s="26"/>
      <c r="DZ171" s="26"/>
      <c r="EA171" s="26"/>
      <c r="EB171" s="26"/>
      <c r="EC171" s="26"/>
      <c r="ED171" s="26"/>
      <c r="EE171" s="26"/>
      <c r="EF171" s="26"/>
      <c r="EG171" s="26"/>
      <c r="EH171" s="26"/>
      <c r="EI171" s="26"/>
      <c r="EJ171" s="26"/>
      <c r="EK171" s="26"/>
      <c r="EL171" s="26"/>
      <c r="EM171" s="26"/>
      <c r="EN171" s="26"/>
      <c r="EO171" s="26"/>
      <c r="EP171" s="26"/>
      <c r="EQ171" s="26"/>
      <c r="ER171" s="26"/>
      <c r="ES171" s="26"/>
      <c r="ET171" s="26"/>
      <c r="EU171" s="26"/>
      <c r="EV171" s="26"/>
      <c r="EW171" s="26"/>
      <c r="EX171" s="26"/>
      <c r="EY171" s="26"/>
      <c r="EZ171" s="26"/>
      <c r="FA171" s="60"/>
      <c r="FB171" s="60"/>
      <c r="FC171" s="60"/>
      <c r="FD171" s="60"/>
      <c r="FE171" s="60"/>
      <c r="FF171" s="60"/>
      <c r="FG171" s="60"/>
      <c r="FH171" s="60"/>
      <c r="FI171" s="60"/>
      <c r="FJ171" s="60"/>
      <c r="FK171" s="60"/>
      <c r="FL171" s="60"/>
      <c r="FM171" s="60"/>
      <c r="FN171" s="60"/>
      <c r="FO171" s="60"/>
      <c r="FP171" s="60"/>
      <c r="FQ171" s="60"/>
      <c r="FR171" s="60"/>
      <c r="FS171" s="60"/>
      <c r="FT171" s="60"/>
      <c r="FU171" s="60"/>
      <c r="FV171" s="60"/>
      <c r="FW171" s="60"/>
      <c r="FX171" s="60"/>
    </row>
    <row r="172">
      <c r="A172" s="18"/>
      <c r="B172" s="14"/>
      <c r="C172" s="14"/>
      <c r="D172" s="14"/>
      <c r="E172" s="18"/>
      <c r="F172" s="18"/>
      <c r="G172" s="18"/>
      <c r="H172" s="18"/>
      <c r="I172" s="18"/>
      <c r="J172" s="18"/>
      <c r="K172" s="18"/>
      <c r="L172" s="18"/>
      <c r="M172" s="18"/>
      <c r="N172" s="18"/>
      <c r="O172" s="18"/>
      <c r="P172" s="23"/>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6"/>
      <c r="DS172" s="26"/>
      <c r="DT172" s="26"/>
      <c r="DU172" s="26"/>
      <c r="DV172" s="26"/>
      <c r="DW172" s="26"/>
      <c r="DX172" s="26"/>
      <c r="DY172" s="26"/>
      <c r="DZ172" s="26"/>
      <c r="EA172" s="26"/>
      <c r="EB172" s="26"/>
      <c r="EC172" s="26"/>
      <c r="ED172" s="26"/>
      <c r="EE172" s="26"/>
      <c r="EF172" s="26"/>
      <c r="EG172" s="26"/>
      <c r="EH172" s="26"/>
      <c r="EI172" s="26"/>
      <c r="EJ172" s="26"/>
      <c r="EK172" s="26"/>
      <c r="EL172" s="26"/>
      <c r="EM172" s="26"/>
      <c r="EN172" s="26"/>
      <c r="EO172" s="26"/>
      <c r="EP172" s="26"/>
      <c r="EQ172" s="26"/>
      <c r="ER172" s="26"/>
      <c r="ES172" s="26"/>
      <c r="ET172" s="26"/>
      <c r="EU172" s="26"/>
      <c r="EV172" s="26"/>
      <c r="EW172" s="26"/>
      <c r="EX172" s="26"/>
      <c r="EY172" s="26"/>
      <c r="EZ172" s="26"/>
      <c r="FA172" s="60"/>
      <c r="FB172" s="60"/>
      <c r="FC172" s="60"/>
      <c r="FD172" s="60"/>
      <c r="FE172" s="60"/>
      <c r="FF172" s="60"/>
      <c r="FG172" s="60"/>
      <c r="FH172" s="60"/>
      <c r="FI172" s="60"/>
      <c r="FJ172" s="60"/>
      <c r="FK172" s="60"/>
      <c r="FL172" s="60"/>
      <c r="FM172" s="60"/>
      <c r="FN172" s="60"/>
      <c r="FO172" s="60"/>
      <c r="FP172" s="60"/>
      <c r="FQ172" s="60"/>
      <c r="FR172" s="60"/>
      <c r="FS172" s="60"/>
      <c r="FT172" s="60"/>
      <c r="FU172" s="60"/>
      <c r="FV172" s="60"/>
      <c r="FW172" s="60"/>
      <c r="FX172" s="60"/>
    </row>
    <row r="173">
      <c r="A173" s="18"/>
      <c r="B173" s="14"/>
      <c r="C173" s="14"/>
      <c r="D173" s="14"/>
      <c r="E173" s="18"/>
      <c r="F173" s="18"/>
      <c r="G173" s="18"/>
      <c r="H173" s="18"/>
      <c r="I173" s="18"/>
      <c r="J173" s="18"/>
      <c r="K173" s="18"/>
      <c r="L173" s="18"/>
      <c r="M173" s="18"/>
      <c r="N173" s="18"/>
      <c r="O173" s="18"/>
      <c r="P173" s="23"/>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26"/>
      <c r="EA173" s="26"/>
      <c r="EB173" s="26"/>
      <c r="EC173" s="26"/>
      <c r="ED173" s="26"/>
      <c r="EE173" s="26"/>
      <c r="EF173" s="26"/>
      <c r="EG173" s="26"/>
      <c r="EH173" s="26"/>
      <c r="EI173" s="26"/>
      <c r="EJ173" s="26"/>
      <c r="EK173" s="26"/>
      <c r="EL173" s="26"/>
      <c r="EM173" s="26"/>
      <c r="EN173" s="26"/>
      <c r="EO173" s="26"/>
      <c r="EP173" s="26"/>
      <c r="EQ173" s="26"/>
      <c r="ER173" s="26"/>
      <c r="ES173" s="26"/>
      <c r="ET173" s="26"/>
      <c r="EU173" s="26"/>
      <c r="EV173" s="26"/>
      <c r="EW173" s="26"/>
      <c r="EX173" s="26"/>
      <c r="EY173" s="26"/>
      <c r="EZ173" s="26"/>
      <c r="FA173" s="60"/>
      <c r="FB173" s="60"/>
      <c r="FC173" s="60"/>
      <c r="FD173" s="60"/>
      <c r="FE173" s="60"/>
      <c r="FF173" s="60"/>
      <c r="FG173" s="60"/>
      <c r="FH173" s="60"/>
      <c r="FI173" s="60"/>
      <c r="FJ173" s="60"/>
      <c r="FK173" s="60"/>
      <c r="FL173" s="60"/>
      <c r="FM173" s="60"/>
      <c r="FN173" s="60"/>
      <c r="FO173" s="60"/>
      <c r="FP173" s="60"/>
      <c r="FQ173" s="60"/>
      <c r="FR173" s="60"/>
      <c r="FS173" s="60"/>
      <c r="FT173" s="60"/>
      <c r="FU173" s="60"/>
      <c r="FV173" s="60"/>
      <c r="FW173" s="60"/>
      <c r="FX173" s="60"/>
    </row>
    <row r="174">
      <c r="A174" s="18"/>
      <c r="B174" s="14"/>
      <c r="C174" s="14"/>
      <c r="D174" s="14"/>
      <c r="E174" s="18"/>
      <c r="F174" s="18"/>
      <c r="G174" s="18"/>
      <c r="H174" s="18"/>
      <c r="I174" s="18"/>
      <c r="J174" s="18"/>
      <c r="K174" s="18"/>
      <c r="L174" s="18"/>
      <c r="M174" s="18"/>
      <c r="N174" s="18"/>
      <c r="O174" s="18"/>
      <c r="P174" s="23"/>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26"/>
      <c r="EA174" s="26"/>
      <c r="EB174" s="26"/>
      <c r="EC174" s="26"/>
      <c r="ED174" s="26"/>
      <c r="EE174" s="26"/>
      <c r="EF174" s="26"/>
      <c r="EG174" s="26"/>
      <c r="EH174" s="26"/>
      <c r="EI174" s="26"/>
      <c r="EJ174" s="26"/>
      <c r="EK174" s="26"/>
      <c r="EL174" s="26"/>
      <c r="EM174" s="26"/>
      <c r="EN174" s="26"/>
      <c r="EO174" s="26"/>
      <c r="EP174" s="26"/>
      <c r="EQ174" s="26"/>
      <c r="ER174" s="26"/>
      <c r="ES174" s="26"/>
      <c r="ET174" s="26"/>
      <c r="EU174" s="26"/>
      <c r="EV174" s="26"/>
      <c r="EW174" s="26"/>
      <c r="EX174" s="26"/>
      <c r="EY174" s="26"/>
      <c r="EZ174" s="26"/>
      <c r="FA174" s="60"/>
      <c r="FB174" s="60"/>
      <c r="FC174" s="60"/>
      <c r="FD174" s="60"/>
      <c r="FE174" s="60"/>
      <c r="FF174" s="60"/>
      <c r="FG174" s="60"/>
      <c r="FH174" s="60"/>
      <c r="FI174" s="60"/>
      <c r="FJ174" s="60"/>
      <c r="FK174" s="60"/>
      <c r="FL174" s="60"/>
      <c r="FM174" s="60"/>
      <c r="FN174" s="60"/>
      <c r="FO174" s="60"/>
      <c r="FP174" s="60"/>
      <c r="FQ174" s="60"/>
      <c r="FR174" s="60"/>
      <c r="FS174" s="60"/>
      <c r="FT174" s="60"/>
      <c r="FU174" s="60"/>
      <c r="FV174" s="60"/>
      <c r="FW174" s="60"/>
      <c r="FX174" s="60"/>
    </row>
    <row r="175">
      <c r="A175" s="18"/>
      <c r="B175" s="14"/>
      <c r="C175" s="14"/>
      <c r="D175" s="14"/>
      <c r="E175" s="18"/>
      <c r="F175" s="18"/>
      <c r="G175" s="18"/>
      <c r="H175" s="18"/>
      <c r="I175" s="18"/>
      <c r="J175" s="18"/>
      <c r="K175" s="18"/>
      <c r="L175" s="18"/>
      <c r="M175" s="18"/>
      <c r="N175" s="18"/>
      <c r="O175" s="18"/>
      <c r="P175" s="23"/>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60"/>
      <c r="FB175" s="60"/>
      <c r="FC175" s="60"/>
      <c r="FD175" s="60"/>
      <c r="FE175" s="60"/>
      <c r="FF175" s="60"/>
      <c r="FG175" s="60"/>
      <c r="FH175" s="60"/>
      <c r="FI175" s="60"/>
      <c r="FJ175" s="60"/>
      <c r="FK175" s="60"/>
      <c r="FL175" s="60"/>
      <c r="FM175" s="60"/>
      <c r="FN175" s="60"/>
      <c r="FO175" s="60"/>
      <c r="FP175" s="60"/>
      <c r="FQ175" s="60"/>
      <c r="FR175" s="60"/>
      <c r="FS175" s="60"/>
      <c r="FT175" s="60"/>
      <c r="FU175" s="60"/>
      <c r="FV175" s="60"/>
      <c r="FW175" s="60"/>
      <c r="FX175" s="60"/>
    </row>
    <row r="176">
      <c r="A176" s="18"/>
      <c r="B176" s="14"/>
      <c r="C176" s="14"/>
      <c r="D176" s="14"/>
      <c r="E176" s="18"/>
      <c r="F176" s="18"/>
      <c r="G176" s="18"/>
      <c r="H176" s="18"/>
      <c r="I176" s="18"/>
      <c r="J176" s="18"/>
      <c r="K176" s="18"/>
      <c r="L176" s="18"/>
      <c r="M176" s="18"/>
      <c r="N176" s="18"/>
      <c r="O176" s="18"/>
      <c r="P176" s="23"/>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26"/>
      <c r="EA176" s="26"/>
      <c r="EB176" s="26"/>
      <c r="EC176" s="26"/>
      <c r="ED176" s="26"/>
      <c r="EE176" s="26"/>
      <c r="EF176" s="26"/>
      <c r="EG176" s="26"/>
      <c r="EH176" s="26"/>
      <c r="EI176" s="26"/>
      <c r="EJ176" s="26"/>
      <c r="EK176" s="26"/>
      <c r="EL176" s="26"/>
      <c r="EM176" s="26"/>
      <c r="EN176" s="26"/>
      <c r="EO176" s="26"/>
      <c r="EP176" s="26"/>
      <c r="EQ176" s="26"/>
      <c r="ER176" s="26"/>
      <c r="ES176" s="26"/>
      <c r="ET176" s="26"/>
      <c r="EU176" s="26"/>
      <c r="EV176" s="26"/>
      <c r="EW176" s="26"/>
      <c r="EX176" s="26"/>
      <c r="EY176" s="26"/>
      <c r="EZ176" s="26"/>
      <c r="FA176" s="60"/>
      <c r="FB176" s="60"/>
      <c r="FC176" s="60"/>
      <c r="FD176" s="60"/>
      <c r="FE176" s="60"/>
      <c r="FF176" s="60"/>
      <c r="FG176" s="60"/>
      <c r="FH176" s="60"/>
      <c r="FI176" s="60"/>
      <c r="FJ176" s="60"/>
      <c r="FK176" s="60"/>
      <c r="FL176" s="60"/>
      <c r="FM176" s="60"/>
      <c r="FN176" s="60"/>
      <c r="FO176" s="60"/>
      <c r="FP176" s="60"/>
      <c r="FQ176" s="60"/>
      <c r="FR176" s="60"/>
      <c r="FS176" s="60"/>
      <c r="FT176" s="60"/>
      <c r="FU176" s="60"/>
      <c r="FV176" s="60"/>
      <c r="FW176" s="60"/>
      <c r="FX176" s="60"/>
    </row>
    <row r="177">
      <c r="A177" s="18"/>
      <c r="B177" s="14"/>
      <c r="C177" s="14"/>
      <c r="D177" s="14"/>
      <c r="E177" s="18"/>
      <c r="F177" s="18"/>
      <c r="G177" s="18"/>
      <c r="H177" s="18"/>
      <c r="I177" s="18"/>
      <c r="J177" s="18"/>
      <c r="K177" s="18"/>
      <c r="L177" s="18"/>
      <c r="M177" s="18"/>
      <c r="N177" s="18"/>
      <c r="O177" s="18"/>
      <c r="P177" s="23"/>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60"/>
      <c r="FB177" s="60"/>
      <c r="FC177" s="60"/>
      <c r="FD177" s="60"/>
      <c r="FE177" s="60"/>
      <c r="FF177" s="60"/>
      <c r="FG177" s="60"/>
      <c r="FH177" s="60"/>
      <c r="FI177" s="60"/>
      <c r="FJ177" s="60"/>
      <c r="FK177" s="60"/>
      <c r="FL177" s="60"/>
      <c r="FM177" s="60"/>
      <c r="FN177" s="60"/>
      <c r="FO177" s="60"/>
      <c r="FP177" s="60"/>
      <c r="FQ177" s="60"/>
      <c r="FR177" s="60"/>
      <c r="FS177" s="60"/>
      <c r="FT177" s="60"/>
      <c r="FU177" s="60"/>
      <c r="FV177" s="60"/>
      <c r="FW177" s="60"/>
      <c r="FX177" s="60"/>
    </row>
    <row r="178">
      <c r="A178" s="18"/>
      <c r="B178" s="14"/>
      <c r="C178" s="14"/>
      <c r="D178" s="14"/>
      <c r="E178" s="18"/>
      <c r="F178" s="18"/>
      <c r="G178" s="18"/>
      <c r="H178" s="18"/>
      <c r="I178" s="18"/>
      <c r="J178" s="18"/>
      <c r="K178" s="18"/>
      <c r="L178" s="18"/>
      <c r="M178" s="18"/>
      <c r="N178" s="18"/>
      <c r="O178" s="18"/>
      <c r="P178" s="23"/>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60"/>
      <c r="FB178" s="60"/>
      <c r="FC178" s="60"/>
      <c r="FD178" s="60"/>
      <c r="FE178" s="60"/>
      <c r="FF178" s="60"/>
      <c r="FG178" s="60"/>
      <c r="FH178" s="60"/>
      <c r="FI178" s="60"/>
      <c r="FJ178" s="60"/>
      <c r="FK178" s="60"/>
      <c r="FL178" s="60"/>
      <c r="FM178" s="60"/>
      <c r="FN178" s="60"/>
      <c r="FO178" s="60"/>
      <c r="FP178" s="60"/>
      <c r="FQ178" s="60"/>
      <c r="FR178" s="60"/>
      <c r="FS178" s="60"/>
      <c r="FT178" s="60"/>
      <c r="FU178" s="60"/>
      <c r="FV178" s="60"/>
      <c r="FW178" s="60"/>
      <c r="FX178" s="60"/>
    </row>
    <row r="179">
      <c r="A179" s="18"/>
      <c r="B179" s="14"/>
      <c r="C179" s="14"/>
      <c r="D179" s="14"/>
      <c r="E179" s="18"/>
      <c r="F179" s="18"/>
      <c r="G179" s="18"/>
      <c r="H179" s="18"/>
      <c r="I179" s="18"/>
      <c r="J179" s="18"/>
      <c r="K179" s="18"/>
      <c r="L179" s="18"/>
      <c r="M179" s="18"/>
      <c r="N179" s="18"/>
      <c r="O179" s="18"/>
      <c r="P179" s="23"/>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60"/>
      <c r="FB179" s="60"/>
      <c r="FC179" s="60"/>
      <c r="FD179" s="60"/>
      <c r="FE179" s="60"/>
      <c r="FF179" s="60"/>
      <c r="FG179" s="60"/>
      <c r="FH179" s="60"/>
      <c r="FI179" s="60"/>
      <c r="FJ179" s="60"/>
      <c r="FK179" s="60"/>
      <c r="FL179" s="60"/>
      <c r="FM179" s="60"/>
      <c r="FN179" s="60"/>
      <c r="FO179" s="60"/>
      <c r="FP179" s="60"/>
      <c r="FQ179" s="60"/>
      <c r="FR179" s="60"/>
      <c r="FS179" s="60"/>
      <c r="FT179" s="60"/>
      <c r="FU179" s="60"/>
      <c r="FV179" s="60"/>
      <c r="FW179" s="60"/>
      <c r="FX179" s="60"/>
    </row>
    <row r="180">
      <c r="A180" s="18"/>
      <c r="B180" s="14"/>
      <c r="C180" s="14"/>
      <c r="D180" s="14"/>
      <c r="E180" s="18"/>
      <c r="F180" s="18"/>
      <c r="G180" s="18"/>
      <c r="H180" s="18"/>
      <c r="I180" s="18"/>
      <c r="J180" s="18"/>
      <c r="K180" s="18"/>
      <c r="L180" s="18"/>
      <c r="M180" s="18"/>
      <c r="N180" s="18"/>
      <c r="O180" s="18"/>
      <c r="P180" s="23"/>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60"/>
      <c r="FB180" s="60"/>
      <c r="FC180" s="60"/>
      <c r="FD180" s="60"/>
      <c r="FE180" s="60"/>
      <c r="FF180" s="60"/>
      <c r="FG180" s="60"/>
      <c r="FH180" s="60"/>
      <c r="FI180" s="60"/>
      <c r="FJ180" s="60"/>
      <c r="FK180" s="60"/>
      <c r="FL180" s="60"/>
      <c r="FM180" s="60"/>
      <c r="FN180" s="60"/>
      <c r="FO180" s="60"/>
      <c r="FP180" s="60"/>
      <c r="FQ180" s="60"/>
      <c r="FR180" s="60"/>
      <c r="FS180" s="60"/>
      <c r="FT180" s="60"/>
      <c r="FU180" s="60"/>
      <c r="FV180" s="60"/>
      <c r="FW180" s="60"/>
      <c r="FX180" s="60"/>
    </row>
    <row r="181">
      <c r="A181" s="18"/>
      <c r="B181" s="14"/>
      <c r="C181" s="14"/>
      <c r="D181" s="14"/>
      <c r="E181" s="18"/>
      <c r="F181" s="18"/>
      <c r="G181" s="18"/>
      <c r="H181" s="18"/>
      <c r="I181" s="18"/>
      <c r="J181" s="18"/>
      <c r="K181" s="18"/>
      <c r="L181" s="18"/>
      <c r="M181" s="18"/>
      <c r="N181" s="18"/>
      <c r="O181" s="18"/>
      <c r="P181" s="23"/>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60"/>
      <c r="FB181" s="60"/>
      <c r="FC181" s="60"/>
      <c r="FD181" s="60"/>
      <c r="FE181" s="60"/>
      <c r="FF181" s="60"/>
      <c r="FG181" s="60"/>
      <c r="FH181" s="60"/>
      <c r="FI181" s="60"/>
      <c r="FJ181" s="60"/>
      <c r="FK181" s="60"/>
      <c r="FL181" s="60"/>
      <c r="FM181" s="60"/>
      <c r="FN181" s="60"/>
      <c r="FO181" s="60"/>
      <c r="FP181" s="60"/>
      <c r="FQ181" s="60"/>
      <c r="FR181" s="60"/>
      <c r="FS181" s="60"/>
      <c r="FT181" s="60"/>
      <c r="FU181" s="60"/>
      <c r="FV181" s="60"/>
      <c r="FW181" s="60"/>
      <c r="FX181" s="60"/>
    </row>
    <row r="182">
      <c r="A182" s="18"/>
      <c r="B182" s="14"/>
      <c r="C182" s="14"/>
      <c r="D182" s="14"/>
      <c r="E182" s="18"/>
      <c r="F182" s="18"/>
      <c r="G182" s="18"/>
      <c r="H182" s="18"/>
      <c r="I182" s="18"/>
      <c r="J182" s="18"/>
      <c r="K182" s="18"/>
      <c r="L182" s="18"/>
      <c r="M182" s="18"/>
      <c r="N182" s="18"/>
      <c r="O182" s="18"/>
      <c r="P182" s="23"/>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60"/>
      <c r="FB182" s="60"/>
      <c r="FC182" s="60"/>
      <c r="FD182" s="60"/>
      <c r="FE182" s="60"/>
      <c r="FF182" s="60"/>
      <c r="FG182" s="60"/>
      <c r="FH182" s="60"/>
      <c r="FI182" s="60"/>
      <c r="FJ182" s="60"/>
      <c r="FK182" s="60"/>
      <c r="FL182" s="60"/>
      <c r="FM182" s="60"/>
      <c r="FN182" s="60"/>
      <c r="FO182" s="60"/>
      <c r="FP182" s="60"/>
      <c r="FQ182" s="60"/>
      <c r="FR182" s="60"/>
      <c r="FS182" s="60"/>
      <c r="FT182" s="60"/>
      <c r="FU182" s="60"/>
      <c r="FV182" s="60"/>
      <c r="FW182" s="60"/>
      <c r="FX182" s="60"/>
    </row>
    <row r="183">
      <c r="A183" s="18"/>
      <c r="B183" s="14"/>
      <c r="C183" s="14"/>
      <c r="D183" s="14"/>
      <c r="E183" s="18"/>
      <c r="F183" s="18"/>
      <c r="G183" s="18"/>
      <c r="H183" s="18"/>
      <c r="I183" s="18"/>
      <c r="J183" s="18"/>
      <c r="K183" s="18"/>
      <c r="L183" s="18"/>
      <c r="M183" s="18"/>
      <c r="N183" s="18"/>
      <c r="O183" s="18"/>
      <c r="P183" s="23"/>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60"/>
      <c r="FB183" s="60"/>
      <c r="FC183" s="60"/>
      <c r="FD183" s="60"/>
      <c r="FE183" s="60"/>
      <c r="FF183" s="60"/>
      <c r="FG183" s="60"/>
      <c r="FH183" s="60"/>
      <c r="FI183" s="60"/>
      <c r="FJ183" s="60"/>
      <c r="FK183" s="60"/>
      <c r="FL183" s="60"/>
      <c r="FM183" s="60"/>
      <c r="FN183" s="60"/>
      <c r="FO183" s="60"/>
      <c r="FP183" s="60"/>
      <c r="FQ183" s="60"/>
      <c r="FR183" s="60"/>
      <c r="FS183" s="60"/>
      <c r="FT183" s="60"/>
      <c r="FU183" s="60"/>
      <c r="FV183" s="60"/>
      <c r="FW183" s="60"/>
      <c r="FX183" s="60"/>
    </row>
    <row r="184">
      <c r="A184" s="18"/>
      <c r="B184" s="14"/>
      <c r="C184" s="14"/>
      <c r="D184" s="14"/>
      <c r="E184" s="18"/>
      <c r="F184" s="18"/>
      <c r="G184" s="18"/>
      <c r="H184" s="18"/>
      <c r="I184" s="18"/>
      <c r="J184" s="18"/>
      <c r="K184" s="18"/>
      <c r="L184" s="18"/>
      <c r="M184" s="18"/>
      <c r="N184" s="18"/>
      <c r="O184" s="18"/>
      <c r="P184" s="23"/>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60"/>
      <c r="FB184" s="60"/>
      <c r="FC184" s="60"/>
      <c r="FD184" s="60"/>
      <c r="FE184" s="60"/>
      <c r="FF184" s="60"/>
      <c r="FG184" s="60"/>
      <c r="FH184" s="60"/>
      <c r="FI184" s="60"/>
      <c r="FJ184" s="60"/>
      <c r="FK184" s="60"/>
      <c r="FL184" s="60"/>
      <c r="FM184" s="60"/>
      <c r="FN184" s="60"/>
      <c r="FO184" s="60"/>
      <c r="FP184" s="60"/>
      <c r="FQ184" s="60"/>
      <c r="FR184" s="60"/>
      <c r="FS184" s="60"/>
      <c r="FT184" s="60"/>
      <c r="FU184" s="60"/>
      <c r="FV184" s="60"/>
      <c r="FW184" s="60"/>
      <c r="FX184" s="60"/>
    </row>
    <row r="185">
      <c r="A185" s="18"/>
      <c r="B185" s="14"/>
      <c r="C185" s="14"/>
      <c r="D185" s="14"/>
      <c r="E185" s="18"/>
      <c r="F185" s="18"/>
      <c r="G185" s="18"/>
      <c r="H185" s="18"/>
      <c r="I185" s="18"/>
      <c r="J185" s="18"/>
      <c r="K185" s="18"/>
      <c r="L185" s="18"/>
      <c r="M185" s="18"/>
      <c r="N185" s="18"/>
      <c r="O185" s="18"/>
      <c r="P185" s="23"/>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60"/>
      <c r="FB185" s="60"/>
      <c r="FC185" s="60"/>
      <c r="FD185" s="60"/>
      <c r="FE185" s="60"/>
      <c r="FF185" s="60"/>
      <c r="FG185" s="60"/>
      <c r="FH185" s="60"/>
      <c r="FI185" s="60"/>
      <c r="FJ185" s="60"/>
      <c r="FK185" s="60"/>
      <c r="FL185" s="60"/>
      <c r="FM185" s="60"/>
      <c r="FN185" s="60"/>
      <c r="FO185" s="60"/>
      <c r="FP185" s="60"/>
      <c r="FQ185" s="60"/>
      <c r="FR185" s="60"/>
      <c r="FS185" s="60"/>
      <c r="FT185" s="60"/>
      <c r="FU185" s="60"/>
      <c r="FV185" s="60"/>
      <c r="FW185" s="60"/>
      <c r="FX185" s="60"/>
    </row>
    <row r="186">
      <c r="A186" s="18"/>
      <c r="B186" s="14"/>
      <c r="C186" s="14"/>
      <c r="D186" s="14"/>
      <c r="E186" s="18"/>
      <c r="F186" s="18"/>
      <c r="G186" s="18"/>
      <c r="H186" s="18"/>
      <c r="I186" s="18"/>
      <c r="J186" s="18"/>
      <c r="K186" s="18"/>
      <c r="L186" s="18"/>
      <c r="M186" s="18"/>
      <c r="N186" s="18"/>
      <c r="O186" s="18"/>
      <c r="P186" s="23"/>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60"/>
      <c r="FB186" s="60"/>
      <c r="FC186" s="60"/>
      <c r="FD186" s="60"/>
      <c r="FE186" s="60"/>
      <c r="FF186" s="60"/>
      <c r="FG186" s="60"/>
      <c r="FH186" s="60"/>
      <c r="FI186" s="60"/>
      <c r="FJ186" s="60"/>
      <c r="FK186" s="60"/>
      <c r="FL186" s="60"/>
      <c r="FM186" s="60"/>
      <c r="FN186" s="60"/>
      <c r="FO186" s="60"/>
      <c r="FP186" s="60"/>
      <c r="FQ186" s="60"/>
      <c r="FR186" s="60"/>
      <c r="FS186" s="60"/>
      <c r="FT186" s="60"/>
      <c r="FU186" s="60"/>
      <c r="FV186" s="60"/>
      <c r="FW186" s="60"/>
      <c r="FX186" s="60"/>
    </row>
    <row r="187">
      <c r="A187" s="18"/>
      <c r="B187" s="14"/>
      <c r="C187" s="14"/>
      <c r="D187" s="14"/>
      <c r="E187" s="18"/>
      <c r="F187" s="18"/>
      <c r="G187" s="18"/>
      <c r="H187" s="18"/>
      <c r="I187" s="18"/>
      <c r="J187" s="18"/>
      <c r="K187" s="18"/>
      <c r="L187" s="18"/>
      <c r="M187" s="18"/>
      <c r="N187" s="18"/>
      <c r="O187" s="18"/>
      <c r="P187" s="23"/>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60"/>
      <c r="FB187" s="60"/>
      <c r="FC187" s="60"/>
      <c r="FD187" s="60"/>
      <c r="FE187" s="60"/>
      <c r="FF187" s="60"/>
      <c r="FG187" s="60"/>
      <c r="FH187" s="60"/>
      <c r="FI187" s="60"/>
      <c r="FJ187" s="60"/>
      <c r="FK187" s="60"/>
      <c r="FL187" s="60"/>
      <c r="FM187" s="60"/>
      <c r="FN187" s="60"/>
      <c r="FO187" s="60"/>
      <c r="FP187" s="60"/>
      <c r="FQ187" s="60"/>
      <c r="FR187" s="60"/>
      <c r="FS187" s="60"/>
      <c r="FT187" s="60"/>
      <c r="FU187" s="60"/>
      <c r="FV187" s="60"/>
      <c r="FW187" s="60"/>
      <c r="FX187" s="60"/>
    </row>
    <row r="188">
      <c r="A188" s="18"/>
      <c r="B188" s="14"/>
      <c r="C188" s="14"/>
      <c r="D188" s="14"/>
      <c r="E188" s="18"/>
      <c r="F188" s="18"/>
      <c r="G188" s="18"/>
      <c r="H188" s="18"/>
      <c r="I188" s="18"/>
      <c r="J188" s="18"/>
      <c r="K188" s="18"/>
      <c r="L188" s="18"/>
      <c r="M188" s="18"/>
      <c r="N188" s="18"/>
      <c r="O188" s="18"/>
      <c r="P188" s="23"/>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60"/>
      <c r="FB188" s="60"/>
      <c r="FC188" s="60"/>
      <c r="FD188" s="60"/>
      <c r="FE188" s="60"/>
      <c r="FF188" s="60"/>
      <c r="FG188" s="60"/>
      <c r="FH188" s="60"/>
      <c r="FI188" s="60"/>
      <c r="FJ188" s="60"/>
      <c r="FK188" s="60"/>
      <c r="FL188" s="60"/>
      <c r="FM188" s="60"/>
      <c r="FN188" s="60"/>
      <c r="FO188" s="60"/>
      <c r="FP188" s="60"/>
      <c r="FQ188" s="60"/>
      <c r="FR188" s="60"/>
      <c r="FS188" s="60"/>
      <c r="FT188" s="60"/>
      <c r="FU188" s="60"/>
      <c r="FV188" s="60"/>
      <c r="FW188" s="60"/>
      <c r="FX188" s="60"/>
    </row>
    <row r="189">
      <c r="A189" s="18"/>
      <c r="B189" s="14"/>
      <c r="C189" s="14"/>
      <c r="D189" s="14"/>
      <c r="E189" s="18"/>
      <c r="F189" s="18"/>
      <c r="G189" s="18"/>
      <c r="H189" s="18"/>
      <c r="I189" s="18"/>
      <c r="J189" s="18"/>
      <c r="K189" s="18"/>
      <c r="L189" s="18"/>
      <c r="M189" s="18"/>
      <c r="N189" s="18"/>
      <c r="O189" s="18"/>
      <c r="P189" s="23"/>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60"/>
      <c r="FB189" s="60"/>
      <c r="FC189" s="60"/>
      <c r="FD189" s="60"/>
      <c r="FE189" s="60"/>
      <c r="FF189" s="60"/>
      <c r="FG189" s="60"/>
      <c r="FH189" s="60"/>
      <c r="FI189" s="60"/>
      <c r="FJ189" s="60"/>
      <c r="FK189" s="60"/>
      <c r="FL189" s="60"/>
      <c r="FM189" s="60"/>
      <c r="FN189" s="60"/>
      <c r="FO189" s="60"/>
      <c r="FP189" s="60"/>
      <c r="FQ189" s="60"/>
      <c r="FR189" s="60"/>
      <c r="FS189" s="60"/>
      <c r="FT189" s="60"/>
      <c r="FU189" s="60"/>
      <c r="FV189" s="60"/>
      <c r="FW189" s="60"/>
      <c r="FX189" s="60"/>
    </row>
    <row r="190">
      <c r="A190" s="18"/>
      <c r="B190" s="14"/>
      <c r="C190" s="14"/>
      <c r="D190" s="14"/>
      <c r="E190" s="18"/>
      <c r="F190" s="18"/>
      <c r="G190" s="18"/>
      <c r="H190" s="18"/>
      <c r="I190" s="18"/>
      <c r="J190" s="18"/>
      <c r="K190" s="18"/>
      <c r="L190" s="18"/>
      <c r="M190" s="18"/>
      <c r="N190" s="18"/>
      <c r="O190" s="18"/>
      <c r="P190" s="23"/>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60"/>
      <c r="FB190" s="60"/>
      <c r="FC190" s="60"/>
      <c r="FD190" s="60"/>
      <c r="FE190" s="60"/>
      <c r="FF190" s="60"/>
      <c r="FG190" s="60"/>
      <c r="FH190" s="60"/>
      <c r="FI190" s="60"/>
      <c r="FJ190" s="60"/>
      <c r="FK190" s="60"/>
      <c r="FL190" s="60"/>
      <c r="FM190" s="60"/>
      <c r="FN190" s="60"/>
      <c r="FO190" s="60"/>
      <c r="FP190" s="60"/>
      <c r="FQ190" s="60"/>
      <c r="FR190" s="60"/>
      <c r="FS190" s="60"/>
      <c r="FT190" s="60"/>
      <c r="FU190" s="60"/>
      <c r="FV190" s="60"/>
      <c r="FW190" s="60"/>
      <c r="FX190" s="60"/>
    </row>
    <row r="191">
      <c r="A191" s="18"/>
      <c r="B191" s="14"/>
      <c r="C191" s="14"/>
      <c r="D191" s="14"/>
      <c r="E191" s="18"/>
      <c r="F191" s="18"/>
      <c r="G191" s="18"/>
      <c r="H191" s="18"/>
      <c r="I191" s="18"/>
      <c r="J191" s="18"/>
      <c r="K191" s="18"/>
      <c r="L191" s="18"/>
      <c r="M191" s="18"/>
      <c r="N191" s="18"/>
      <c r="O191" s="18"/>
      <c r="P191" s="23"/>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60"/>
      <c r="FB191" s="60"/>
      <c r="FC191" s="60"/>
      <c r="FD191" s="60"/>
      <c r="FE191" s="60"/>
      <c r="FF191" s="60"/>
      <c r="FG191" s="60"/>
      <c r="FH191" s="60"/>
      <c r="FI191" s="60"/>
      <c r="FJ191" s="60"/>
      <c r="FK191" s="60"/>
      <c r="FL191" s="60"/>
      <c r="FM191" s="60"/>
      <c r="FN191" s="60"/>
      <c r="FO191" s="60"/>
      <c r="FP191" s="60"/>
      <c r="FQ191" s="60"/>
      <c r="FR191" s="60"/>
      <c r="FS191" s="60"/>
      <c r="FT191" s="60"/>
      <c r="FU191" s="60"/>
      <c r="FV191" s="60"/>
      <c r="FW191" s="60"/>
      <c r="FX191" s="60"/>
    </row>
    <row r="192">
      <c r="A192" s="18"/>
      <c r="B192" s="14"/>
      <c r="C192" s="14"/>
      <c r="D192" s="14"/>
      <c r="E192" s="18"/>
      <c r="F192" s="18"/>
      <c r="G192" s="18"/>
      <c r="H192" s="18"/>
      <c r="I192" s="18"/>
      <c r="J192" s="18"/>
      <c r="K192" s="18"/>
      <c r="L192" s="18"/>
      <c r="M192" s="18"/>
      <c r="N192" s="18"/>
      <c r="O192" s="18"/>
      <c r="P192" s="23"/>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60"/>
      <c r="FB192" s="60"/>
      <c r="FC192" s="60"/>
      <c r="FD192" s="60"/>
      <c r="FE192" s="60"/>
      <c r="FF192" s="60"/>
      <c r="FG192" s="60"/>
      <c r="FH192" s="60"/>
      <c r="FI192" s="60"/>
      <c r="FJ192" s="60"/>
      <c r="FK192" s="60"/>
      <c r="FL192" s="60"/>
      <c r="FM192" s="60"/>
      <c r="FN192" s="60"/>
      <c r="FO192" s="60"/>
      <c r="FP192" s="60"/>
      <c r="FQ192" s="60"/>
      <c r="FR192" s="60"/>
      <c r="FS192" s="60"/>
      <c r="FT192" s="60"/>
      <c r="FU192" s="60"/>
      <c r="FV192" s="60"/>
      <c r="FW192" s="60"/>
      <c r="FX192" s="60"/>
    </row>
    <row r="193">
      <c r="A193" s="18"/>
      <c r="B193" s="14"/>
      <c r="C193" s="14"/>
      <c r="D193" s="14"/>
      <c r="E193" s="18"/>
      <c r="F193" s="18"/>
      <c r="G193" s="18"/>
      <c r="H193" s="18"/>
      <c r="I193" s="18"/>
      <c r="J193" s="18"/>
      <c r="K193" s="18"/>
      <c r="L193" s="18"/>
      <c r="M193" s="18"/>
      <c r="N193" s="18"/>
      <c r="O193" s="18"/>
      <c r="P193" s="23"/>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60"/>
      <c r="FB193" s="60"/>
      <c r="FC193" s="60"/>
      <c r="FD193" s="60"/>
      <c r="FE193" s="60"/>
      <c r="FF193" s="60"/>
      <c r="FG193" s="60"/>
      <c r="FH193" s="60"/>
      <c r="FI193" s="60"/>
      <c r="FJ193" s="60"/>
      <c r="FK193" s="60"/>
      <c r="FL193" s="60"/>
      <c r="FM193" s="60"/>
      <c r="FN193" s="60"/>
      <c r="FO193" s="60"/>
      <c r="FP193" s="60"/>
      <c r="FQ193" s="60"/>
      <c r="FR193" s="60"/>
      <c r="FS193" s="60"/>
      <c r="FT193" s="60"/>
      <c r="FU193" s="60"/>
      <c r="FV193" s="60"/>
      <c r="FW193" s="60"/>
      <c r="FX193" s="60"/>
    </row>
    <row r="194">
      <c r="A194" s="18"/>
      <c r="B194" s="14"/>
      <c r="C194" s="14"/>
      <c r="D194" s="14"/>
      <c r="E194" s="18"/>
      <c r="F194" s="18"/>
      <c r="G194" s="18"/>
      <c r="H194" s="18"/>
      <c r="I194" s="18"/>
      <c r="J194" s="18"/>
      <c r="K194" s="18"/>
      <c r="L194" s="18"/>
      <c r="M194" s="18"/>
      <c r="N194" s="18"/>
      <c r="O194" s="18"/>
      <c r="P194" s="23"/>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60"/>
      <c r="FB194" s="60"/>
      <c r="FC194" s="60"/>
      <c r="FD194" s="60"/>
      <c r="FE194" s="60"/>
      <c r="FF194" s="60"/>
      <c r="FG194" s="60"/>
      <c r="FH194" s="60"/>
      <c r="FI194" s="60"/>
      <c r="FJ194" s="60"/>
      <c r="FK194" s="60"/>
      <c r="FL194" s="60"/>
      <c r="FM194" s="60"/>
      <c r="FN194" s="60"/>
      <c r="FO194" s="60"/>
      <c r="FP194" s="60"/>
      <c r="FQ194" s="60"/>
      <c r="FR194" s="60"/>
      <c r="FS194" s="60"/>
      <c r="FT194" s="60"/>
      <c r="FU194" s="60"/>
      <c r="FV194" s="60"/>
      <c r="FW194" s="60"/>
      <c r="FX194" s="60"/>
    </row>
    <row r="195">
      <c r="A195" s="18"/>
      <c r="B195" s="14"/>
      <c r="C195" s="14"/>
      <c r="D195" s="14"/>
      <c r="E195" s="18"/>
      <c r="F195" s="18"/>
      <c r="G195" s="18"/>
      <c r="H195" s="18"/>
      <c r="I195" s="18"/>
      <c r="J195" s="18"/>
      <c r="K195" s="18"/>
      <c r="L195" s="18"/>
      <c r="M195" s="18"/>
      <c r="N195" s="18"/>
      <c r="O195" s="18"/>
      <c r="P195" s="23"/>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60"/>
      <c r="FB195" s="60"/>
      <c r="FC195" s="60"/>
      <c r="FD195" s="60"/>
      <c r="FE195" s="60"/>
      <c r="FF195" s="60"/>
      <c r="FG195" s="60"/>
      <c r="FH195" s="60"/>
      <c r="FI195" s="60"/>
      <c r="FJ195" s="60"/>
      <c r="FK195" s="60"/>
      <c r="FL195" s="60"/>
      <c r="FM195" s="60"/>
      <c r="FN195" s="60"/>
      <c r="FO195" s="60"/>
      <c r="FP195" s="60"/>
      <c r="FQ195" s="60"/>
      <c r="FR195" s="60"/>
      <c r="FS195" s="60"/>
      <c r="FT195" s="60"/>
      <c r="FU195" s="60"/>
      <c r="FV195" s="60"/>
      <c r="FW195" s="60"/>
      <c r="FX195" s="60"/>
    </row>
    <row r="196">
      <c r="A196" s="18"/>
      <c r="B196" s="14"/>
      <c r="C196" s="14"/>
      <c r="D196" s="14"/>
      <c r="E196" s="18"/>
      <c r="F196" s="18"/>
      <c r="G196" s="18"/>
      <c r="H196" s="18"/>
      <c r="I196" s="18"/>
      <c r="J196" s="18"/>
      <c r="K196" s="18"/>
      <c r="L196" s="18"/>
      <c r="M196" s="18"/>
      <c r="N196" s="18"/>
      <c r="O196" s="18"/>
      <c r="P196" s="23"/>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60"/>
      <c r="FB196" s="60"/>
      <c r="FC196" s="60"/>
      <c r="FD196" s="60"/>
      <c r="FE196" s="60"/>
      <c r="FF196" s="60"/>
      <c r="FG196" s="60"/>
      <c r="FH196" s="60"/>
      <c r="FI196" s="60"/>
      <c r="FJ196" s="60"/>
      <c r="FK196" s="60"/>
      <c r="FL196" s="60"/>
      <c r="FM196" s="60"/>
      <c r="FN196" s="60"/>
      <c r="FO196" s="60"/>
      <c r="FP196" s="60"/>
      <c r="FQ196" s="60"/>
      <c r="FR196" s="60"/>
      <c r="FS196" s="60"/>
      <c r="FT196" s="60"/>
      <c r="FU196" s="60"/>
      <c r="FV196" s="60"/>
      <c r="FW196" s="60"/>
      <c r="FX196" s="60"/>
    </row>
    <row r="197">
      <c r="A197" s="18"/>
      <c r="B197" s="14"/>
      <c r="C197" s="14"/>
      <c r="D197" s="14"/>
      <c r="E197" s="18"/>
      <c r="F197" s="18"/>
      <c r="G197" s="18"/>
      <c r="H197" s="18"/>
      <c r="I197" s="18"/>
      <c r="J197" s="18"/>
      <c r="K197" s="18"/>
      <c r="L197" s="18"/>
      <c r="M197" s="18"/>
      <c r="N197" s="18"/>
      <c r="O197" s="18"/>
      <c r="P197" s="23"/>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60"/>
      <c r="FB197" s="60"/>
      <c r="FC197" s="60"/>
      <c r="FD197" s="60"/>
      <c r="FE197" s="60"/>
      <c r="FF197" s="60"/>
      <c r="FG197" s="60"/>
      <c r="FH197" s="60"/>
      <c r="FI197" s="60"/>
      <c r="FJ197" s="60"/>
      <c r="FK197" s="60"/>
      <c r="FL197" s="60"/>
      <c r="FM197" s="60"/>
      <c r="FN197" s="60"/>
      <c r="FO197" s="60"/>
      <c r="FP197" s="60"/>
      <c r="FQ197" s="60"/>
      <c r="FR197" s="60"/>
      <c r="FS197" s="60"/>
      <c r="FT197" s="60"/>
      <c r="FU197" s="60"/>
      <c r="FV197" s="60"/>
      <c r="FW197" s="60"/>
      <c r="FX197" s="60"/>
    </row>
    <row r="198">
      <c r="A198" s="18"/>
      <c r="B198" s="14"/>
      <c r="C198" s="14"/>
      <c r="D198" s="14"/>
      <c r="E198" s="18"/>
      <c r="F198" s="18"/>
      <c r="G198" s="18"/>
      <c r="H198" s="18"/>
      <c r="I198" s="18"/>
      <c r="J198" s="18"/>
      <c r="K198" s="18"/>
      <c r="L198" s="18"/>
      <c r="M198" s="18"/>
      <c r="N198" s="18"/>
      <c r="O198" s="18"/>
      <c r="P198" s="23"/>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60"/>
      <c r="FB198" s="60"/>
      <c r="FC198" s="60"/>
      <c r="FD198" s="60"/>
      <c r="FE198" s="60"/>
      <c r="FF198" s="60"/>
      <c r="FG198" s="60"/>
      <c r="FH198" s="60"/>
      <c r="FI198" s="60"/>
      <c r="FJ198" s="60"/>
      <c r="FK198" s="60"/>
      <c r="FL198" s="60"/>
      <c r="FM198" s="60"/>
      <c r="FN198" s="60"/>
      <c r="FO198" s="60"/>
      <c r="FP198" s="60"/>
      <c r="FQ198" s="60"/>
      <c r="FR198" s="60"/>
      <c r="FS198" s="60"/>
      <c r="FT198" s="60"/>
      <c r="FU198" s="60"/>
      <c r="FV198" s="60"/>
      <c r="FW198" s="60"/>
      <c r="FX198" s="60"/>
    </row>
    <row r="199">
      <c r="A199" s="18"/>
      <c r="B199" s="14"/>
      <c r="C199" s="14"/>
      <c r="D199" s="14"/>
      <c r="E199" s="18"/>
      <c r="F199" s="18"/>
      <c r="G199" s="18"/>
      <c r="H199" s="18"/>
      <c r="I199" s="18"/>
      <c r="J199" s="18"/>
      <c r="K199" s="18"/>
      <c r="L199" s="18"/>
      <c r="M199" s="18"/>
      <c r="N199" s="18"/>
      <c r="O199" s="18"/>
      <c r="P199" s="23"/>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60"/>
      <c r="FB199" s="60"/>
      <c r="FC199" s="60"/>
      <c r="FD199" s="60"/>
      <c r="FE199" s="60"/>
      <c r="FF199" s="60"/>
      <c r="FG199" s="60"/>
      <c r="FH199" s="60"/>
      <c r="FI199" s="60"/>
      <c r="FJ199" s="60"/>
      <c r="FK199" s="60"/>
      <c r="FL199" s="60"/>
      <c r="FM199" s="60"/>
      <c r="FN199" s="60"/>
      <c r="FO199" s="60"/>
      <c r="FP199" s="60"/>
      <c r="FQ199" s="60"/>
      <c r="FR199" s="60"/>
      <c r="FS199" s="60"/>
      <c r="FT199" s="60"/>
      <c r="FU199" s="60"/>
      <c r="FV199" s="60"/>
      <c r="FW199" s="60"/>
      <c r="FX199" s="60"/>
    </row>
    <row r="200">
      <c r="A200" s="18"/>
      <c r="B200" s="14"/>
      <c r="C200" s="14"/>
      <c r="D200" s="14"/>
      <c r="E200" s="18"/>
      <c r="F200" s="18"/>
      <c r="G200" s="18"/>
      <c r="H200" s="18"/>
      <c r="I200" s="18"/>
      <c r="J200" s="18"/>
      <c r="K200" s="18"/>
      <c r="L200" s="18"/>
      <c r="M200" s="18"/>
      <c r="N200" s="18"/>
      <c r="O200" s="18"/>
      <c r="P200" s="23"/>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60"/>
      <c r="FB200" s="60"/>
      <c r="FC200" s="60"/>
      <c r="FD200" s="60"/>
      <c r="FE200" s="60"/>
      <c r="FF200" s="60"/>
      <c r="FG200" s="60"/>
      <c r="FH200" s="60"/>
      <c r="FI200" s="60"/>
      <c r="FJ200" s="60"/>
      <c r="FK200" s="60"/>
      <c r="FL200" s="60"/>
      <c r="FM200" s="60"/>
      <c r="FN200" s="60"/>
      <c r="FO200" s="60"/>
      <c r="FP200" s="60"/>
      <c r="FQ200" s="60"/>
      <c r="FR200" s="60"/>
      <c r="FS200" s="60"/>
      <c r="FT200" s="60"/>
      <c r="FU200" s="60"/>
      <c r="FV200" s="60"/>
      <c r="FW200" s="60"/>
      <c r="FX200" s="60"/>
    </row>
    <row r="201">
      <c r="A201" s="18"/>
      <c r="B201" s="14"/>
      <c r="C201" s="14"/>
      <c r="D201" s="14"/>
      <c r="E201" s="18"/>
      <c r="F201" s="18"/>
      <c r="G201" s="18"/>
      <c r="H201" s="18"/>
      <c r="I201" s="18"/>
      <c r="J201" s="18"/>
      <c r="K201" s="18"/>
      <c r="L201" s="18"/>
      <c r="M201" s="18"/>
      <c r="N201" s="18"/>
      <c r="O201" s="18"/>
      <c r="P201" s="23"/>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60"/>
      <c r="FB201" s="60"/>
      <c r="FC201" s="60"/>
      <c r="FD201" s="60"/>
      <c r="FE201" s="60"/>
      <c r="FF201" s="60"/>
      <c r="FG201" s="60"/>
      <c r="FH201" s="60"/>
      <c r="FI201" s="60"/>
      <c r="FJ201" s="60"/>
      <c r="FK201" s="60"/>
      <c r="FL201" s="60"/>
      <c r="FM201" s="60"/>
      <c r="FN201" s="60"/>
      <c r="FO201" s="60"/>
      <c r="FP201" s="60"/>
      <c r="FQ201" s="60"/>
      <c r="FR201" s="60"/>
      <c r="FS201" s="60"/>
      <c r="FT201" s="60"/>
      <c r="FU201" s="60"/>
      <c r="FV201" s="60"/>
      <c r="FW201" s="60"/>
      <c r="FX201" s="60"/>
    </row>
    <row r="202">
      <c r="A202" s="18"/>
      <c r="B202" s="14"/>
      <c r="C202" s="14"/>
      <c r="D202" s="14"/>
      <c r="E202" s="18"/>
      <c r="F202" s="18"/>
      <c r="G202" s="18"/>
      <c r="H202" s="18"/>
      <c r="I202" s="18"/>
      <c r="J202" s="18"/>
      <c r="K202" s="18"/>
      <c r="L202" s="18"/>
      <c r="M202" s="18"/>
      <c r="N202" s="18"/>
      <c r="O202" s="18"/>
      <c r="P202" s="23"/>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60"/>
      <c r="FB202" s="60"/>
      <c r="FC202" s="60"/>
      <c r="FD202" s="60"/>
      <c r="FE202" s="60"/>
      <c r="FF202" s="60"/>
      <c r="FG202" s="60"/>
      <c r="FH202" s="60"/>
      <c r="FI202" s="60"/>
      <c r="FJ202" s="60"/>
      <c r="FK202" s="60"/>
      <c r="FL202" s="60"/>
      <c r="FM202" s="60"/>
      <c r="FN202" s="60"/>
      <c r="FO202" s="60"/>
      <c r="FP202" s="60"/>
      <c r="FQ202" s="60"/>
      <c r="FR202" s="60"/>
      <c r="FS202" s="60"/>
      <c r="FT202" s="60"/>
      <c r="FU202" s="60"/>
      <c r="FV202" s="60"/>
      <c r="FW202" s="60"/>
      <c r="FX202" s="60"/>
    </row>
    <row r="203">
      <c r="A203" s="18"/>
      <c r="B203" s="14"/>
      <c r="C203" s="14"/>
      <c r="D203" s="14"/>
      <c r="E203" s="18"/>
      <c r="F203" s="18"/>
      <c r="G203" s="18"/>
      <c r="H203" s="18"/>
      <c r="I203" s="18"/>
      <c r="J203" s="18"/>
      <c r="K203" s="18"/>
      <c r="L203" s="18"/>
      <c r="M203" s="18"/>
      <c r="N203" s="18"/>
      <c r="O203" s="18"/>
      <c r="P203" s="23"/>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60"/>
      <c r="FB203" s="60"/>
      <c r="FC203" s="60"/>
      <c r="FD203" s="60"/>
      <c r="FE203" s="60"/>
      <c r="FF203" s="60"/>
      <c r="FG203" s="60"/>
      <c r="FH203" s="60"/>
      <c r="FI203" s="60"/>
      <c r="FJ203" s="60"/>
      <c r="FK203" s="60"/>
      <c r="FL203" s="60"/>
      <c r="FM203" s="60"/>
      <c r="FN203" s="60"/>
      <c r="FO203" s="60"/>
      <c r="FP203" s="60"/>
      <c r="FQ203" s="60"/>
      <c r="FR203" s="60"/>
      <c r="FS203" s="60"/>
      <c r="FT203" s="60"/>
      <c r="FU203" s="60"/>
      <c r="FV203" s="60"/>
      <c r="FW203" s="60"/>
      <c r="FX203" s="60"/>
    </row>
    <row r="204">
      <c r="A204" s="18"/>
      <c r="B204" s="14"/>
      <c r="C204" s="14"/>
      <c r="D204" s="14"/>
      <c r="E204" s="18"/>
      <c r="F204" s="18"/>
      <c r="G204" s="18"/>
      <c r="H204" s="18"/>
      <c r="I204" s="18"/>
      <c r="J204" s="18"/>
      <c r="K204" s="18"/>
      <c r="L204" s="18"/>
      <c r="M204" s="18"/>
      <c r="N204" s="18"/>
      <c r="O204" s="18"/>
      <c r="P204" s="23"/>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60"/>
      <c r="FB204" s="60"/>
      <c r="FC204" s="60"/>
      <c r="FD204" s="60"/>
      <c r="FE204" s="60"/>
      <c r="FF204" s="60"/>
      <c r="FG204" s="60"/>
      <c r="FH204" s="60"/>
      <c r="FI204" s="60"/>
      <c r="FJ204" s="60"/>
      <c r="FK204" s="60"/>
      <c r="FL204" s="60"/>
      <c r="FM204" s="60"/>
      <c r="FN204" s="60"/>
      <c r="FO204" s="60"/>
      <c r="FP204" s="60"/>
      <c r="FQ204" s="60"/>
      <c r="FR204" s="60"/>
      <c r="FS204" s="60"/>
      <c r="FT204" s="60"/>
      <c r="FU204" s="60"/>
      <c r="FV204" s="60"/>
      <c r="FW204" s="60"/>
      <c r="FX204" s="60"/>
    </row>
    <row r="205">
      <c r="A205" s="18"/>
      <c r="B205" s="14"/>
      <c r="C205" s="14"/>
      <c r="D205" s="14"/>
      <c r="E205" s="18"/>
      <c r="F205" s="18"/>
      <c r="G205" s="18"/>
      <c r="H205" s="18"/>
      <c r="I205" s="18"/>
      <c r="J205" s="18"/>
      <c r="K205" s="18"/>
      <c r="L205" s="18"/>
      <c r="M205" s="18"/>
      <c r="N205" s="18"/>
      <c r="O205" s="18"/>
      <c r="P205" s="23"/>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60"/>
      <c r="FB205" s="60"/>
      <c r="FC205" s="60"/>
      <c r="FD205" s="60"/>
      <c r="FE205" s="60"/>
      <c r="FF205" s="60"/>
      <c r="FG205" s="60"/>
      <c r="FH205" s="60"/>
      <c r="FI205" s="60"/>
      <c r="FJ205" s="60"/>
      <c r="FK205" s="60"/>
      <c r="FL205" s="60"/>
      <c r="FM205" s="60"/>
      <c r="FN205" s="60"/>
      <c r="FO205" s="60"/>
      <c r="FP205" s="60"/>
      <c r="FQ205" s="60"/>
      <c r="FR205" s="60"/>
      <c r="FS205" s="60"/>
      <c r="FT205" s="60"/>
      <c r="FU205" s="60"/>
      <c r="FV205" s="60"/>
      <c r="FW205" s="60"/>
      <c r="FX205" s="60"/>
    </row>
    <row r="206">
      <c r="A206" s="18"/>
      <c r="B206" s="14"/>
      <c r="C206" s="14"/>
      <c r="D206" s="14"/>
      <c r="E206" s="18"/>
      <c r="F206" s="18"/>
      <c r="G206" s="18"/>
      <c r="H206" s="18"/>
      <c r="I206" s="18"/>
      <c r="J206" s="18"/>
      <c r="K206" s="18"/>
      <c r="L206" s="18"/>
      <c r="M206" s="18"/>
      <c r="N206" s="18"/>
      <c r="O206" s="18"/>
      <c r="P206" s="23"/>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60"/>
      <c r="FB206" s="60"/>
      <c r="FC206" s="60"/>
      <c r="FD206" s="60"/>
      <c r="FE206" s="60"/>
      <c r="FF206" s="60"/>
      <c r="FG206" s="60"/>
      <c r="FH206" s="60"/>
      <c r="FI206" s="60"/>
      <c r="FJ206" s="60"/>
      <c r="FK206" s="60"/>
      <c r="FL206" s="60"/>
      <c r="FM206" s="60"/>
      <c r="FN206" s="60"/>
      <c r="FO206" s="60"/>
      <c r="FP206" s="60"/>
      <c r="FQ206" s="60"/>
      <c r="FR206" s="60"/>
      <c r="FS206" s="60"/>
      <c r="FT206" s="60"/>
      <c r="FU206" s="60"/>
      <c r="FV206" s="60"/>
      <c r="FW206" s="60"/>
      <c r="FX206" s="60"/>
    </row>
    <row r="207">
      <c r="A207" s="18"/>
      <c r="B207" s="14"/>
      <c r="C207" s="14"/>
      <c r="D207" s="14"/>
      <c r="E207" s="18"/>
      <c r="F207" s="18"/>
      <c r="G207" s="18"/>
      <c r="H207" s="18"/>
      <c r="I207" s="18"/>
      <c r="J207" s="18"/>
      <c r="K207" s="18"/>
      <c r="L207" s="18"/>
      <c r="M207" s="18"/>
      <c r="N207" s="18"/>
      <c r="O207" s="18"/>
      <c r="P207" s="23"/>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60"/>
      <c r="FB207" s="60"/>
      <c r="FC207" s="60"/>
      <c r="FD207" s="60"/>
      <c r="FE207" s="60"/>
      <c r="FF207" s="60"/>
      <c r="FG207" s="60"/>
      <c r="FH207" s="60"/>
      <c r="FI207" s="60"/>
      <c r="FJ207" s="60"/>
      <c r="FK207" s="60"/>
      <c r="FL207" s="60"/>
      <c r="FM207" s="60"/>
      <c r="FN207" s="60"/>
      <c r="FO207" s="60"/>
      <c r="FP207" s="60"/>
      <c r="FQ207" s="60"/>
      <c r="FR207" s="60"/>
      <c r="FS207" s="60"/>
      <c r="FT207" s="60"/>
      <c r="FU207" s="60"/>
      <c r="FV207" s="60"/>
      <c r="FW207" s="60"/>
      <c r="FX207" s="60"/>
    </row>
    <row r="208">
      <c r="A208" s="18"/>
      <c r="B208" s="14"/>
      <c r="C208" s="14"/>
      <c r="D208" s="14"/>
      <c r="E208" s="18"/>
      <c r="F208" s="18"/>
      <c r="G208" s="18"/>
      <c r="H208" s="18"/>
      <c r="I208" s="18"/>
      <c r="J208" s="18"/>
      <c r="K208" s="18"/>
      <c r="L208" s="18"/>
      <c r="M208" s="18"/>
      <c r="N208" s="18"/>
      <c r="O208" s="18"/>
      <c r="P208" s="23"/>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60"/>
      <c r="FB208" s="60"/>
      <c r="FC208" s="60"/>
      <c r="FD208" s="60"/>
      <c r="FE208" s="60"/>
      <c r="FF208" s="60"/>
      <c r="FG208" s="60"/>
      <c r="FH208" s="60"/>
      <c r="FI208" s="60"/>
      <c r="FJ208" s="60"/>
      <c r="FK208" s="60"/>
      <c r="FL208" s="60"/>
      <c r="FM208" s="60"/>
      <c r="FN208" s="60"/>
      <c r="FO208" s="60"/>
      <c r="FP208" s="60"/>
      <c r="FQ208" s="60"/>
      <c r="FR208" s="60"/>
      <c r="FS208" s="60"/>
      <c r="FT208" s="60"/>
      <c r="FU208" s="60"/>
      <c r="FV208" s="60"/>
      <c r="FW208" s="60"/>
      <c r="FX208" s="60"/>
    </row>
    <row r="209">
      <c r="A209" s="18"/>
      <c r="B209" s="14"/>
      <c r="C209" s="14"/>
      <c r="D209" s="14"/>
      <c r="E209" s="18"/>
      <c r="F209" s="18"/>
      <c r="G209" s="18"/>
      <c r="H209" s="18"/>
      <c r="I209" s="18"/>
      <c r="J209" s="18"/>
      <c r="K209" s="18"/>
      <c r="L209" s="18"/>
      <c r="M209" s="18"/>
      <c r="N209" s="18"/>
      <c r="O209" s="18"/>
      <c r="P209" s="23"/>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60"/>
      <c r="FB209" s="60"/>
      <c r="FC209" s="60"/>
      <c r="FD209" s="60"/>
      <c r="FE209" s="60"/>
      <c r="FF209" s="60"/>
      <c r="FG209" s="60"/>
      <c r="FH209" s="60"/>
      <c r="FI209" s="60"/>
      <c r="FJ209" s="60"/>
      <c r="FK209" s="60"/>
      <c r="FL209" s="60"/>
      <c r="FM209" s="60"/>
      <c r="FN209" s="60"/>
      <c r="FO209" s="60"/>
      <c r="FP209" s="60"/>
      <c r="FQ209" s="60"/>
      <c r="FR209" s="60"/>
      <c r="FS209" s="60"/>
      <c r="FT209" s="60"/>
      <c r="FU209" s="60"/>
      <c r="FV209" s="60"/>
      <c r="FW209" s="60"/>
      <c r="FX209" s="60"/>
    </row>
    <row r="210">
      <c r="A210" s="18"/>
      <c r="B210" s="14"/>
      <c r="C210" s="14"/>
      <c r="D210" s="14"/>
      <c r="E210" s="18"/>
      <c r="F210" s="18"/>
      <c r="G210" s="18"/>
      <c r="H210" s="18"/>
      <c r="I210" s="18"/>
      <c r="J210" s="18"/>
      <c r="K210" s="18"/>
      <c r="L210" s="18"/>
      <c r="M210" s="18"/>
      <c r="N210" s="18"/>
      <c r="O210" s="18"/>
      <c r="P210" s="23"/>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60"/>
      <c r="FB210" s="60"/>
      <c r="FC210" s="60"/>
      <c r="FD210" s="60"/>
      <c r="FE210" s="60"/>
      <c r="FF210" s="60"/>
      <c r="FG210" s="60"/>
      <c r="FH210" s="60"/>
      <c r="FI210" s="60"/>
      <c r="FJ210" s="60"/>
      <c r="FK210" s="60"/>
      <c r="FL210" s="60"/>
      <c r="FM210" s="60"/>
      <c r="FN210" s="60"/>
      <c r="FO210" s="60"/>
      <c r="FP210" s="60"/>
      <c r="FQ210" s="60"/>
      <c r="FR210" s="60"/>
      <c r="FS210" s="60"/>
      <c r="FT210" s="60"/>
      <c r="FU210" s="60"/>
      <c r="FV210" s="60"/>
      <c r="FW210" s="60"/>
      <c r="FX210" s="60"/>
    </row>
    <row r="211">
      <c r="A211" s="18"/>
      <c r="B211" s="14"/>
      <c r="C211" s="14"/>
      <c r="D211" s="14"/>
      <c r="E211" s="18"/>
      <c r="F211" s="18"/>
      <c r="G211" s="18"/>
      <c r="H211" s="18"/>
      <c r="I211" s="18"/>
      <c r="J211" s="18"/>
      <c r="K211" s="18"/>
      <c r="L211" s="18"/>
      <c r="M211" s="18"/>
      <c r="N211" s="18"/>
      <c r="O211" s="18"/>
      <c r="P211" s="23"/>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60"/>
      <c r="FB211" s="60"/>
      <c r="FC211" s="60"/>
      <c r="FD211" s="60"/>
      <c r="FE211" s="60"/>
      <c r="FF211" s="60"/>
      <c r="FG211" s="60"/>
      <c r="FH211" s="60"/>
      <c r="FI211" s="60"/>
      <c r="FJ211" s="60"/>
      <c r="FK211" s="60"/>
      <c r="FL211" s="60"/>
      <c r="FM211" s="60"/>
      <c r="FN211" s="60"/>
      <c r="FO211" s="60"/>
      <c r="FP211" s="60"/>
      <c r="FQ211" s="60"/>
      <c r="FR211" s="60"/>
      <c r="FS211" s="60"/>
      <c r="FT211" s="60"/>
      <c r="FU211" s="60"/>
      <c r="FV211" s="60"/>
      <c r="FW211" s="60"/>
      <c r="FX211" s="60"/>
    </row>
    <row r="212">
      <c r="A212" s="18"/>
      <c r="B212" s="14"/>
      <c r="C212" s="14"/>
      <c r="D212" s="14"/>
      <c r="E212" s="18"/>
      <c r="F212" s="18"/>
      <c r="G212" s="18"/>
      <c r="H212" s="18"/>
      <c r="I212" s="18"/>
      <c r="J212" s="18"/>
      <c r="K212" s="18"/>
      <c r="L212" s="18"/>
      <c r="M212" s="18"/>
      <c r="N212" s="18"/>
      <c r="O212" s="18"/>
      <c r="P212" s="23"/>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60"/>
      <c r="FB212" s="60"/>
      <c r="FC212" s="60"/>
      <c r="FD212" s="60"/>
      <c r="FE212" s="60"/>
      <c r="FF212" s="60"/>
      <c r="FG212" s="60"/>
      <c r="FH212" s="60"/>
      <c r="FI212" s="60"/>
      <c r="FJ212" s="60"/>
      <c r="FK212" s="60"/>
      <c r="FL212" s="60"/>
      <c r="FM212" s="60"/>
      <c r="FN212" s="60"/>
      <c r="FO212" s="60"/>
      <c r="FP212" s="60"/>
      <c r="FQ212" s="60"/>
      <c r="FR212" s="60"/>
      <c r="FS212" s="60"/>
      <c r="FT212" s="60"/>
      <c r="FU212" s="60"/>
      <c r="FV212" s="60"/>
      <c r="FW212" s="60"/>
      <c r="FX212" s="60"/>
    </row>
    <row r="213">
      <c r="A213" s="18"/>
      <c r="B213" s="14"/>
      <c r="C213" s="14"/>
      <c r="D213" s="14"/>
      <c r="E213" s="18"/>
      <c r="F213" s="18"/>
      <c r="G213" s="18"/>
      <c r="H213" s="18"/>
      <c r="I213" s="18"/>
      <c r="J213" s="18"/>
      <c r="K213" s="18"/>
      <c r="L213" s="18"/>
      <c r="M213" s="18"/>
      <c r="N213" s="18"/>
      <c r="O213" s="18"/>
      <c r="P213" s="23"/>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60"/>
      <c r="FB213" s="60"/>
      <c r="FC213" s="60"/>
      <c r="FD213" s="60"/>
      <c r="FE213" s="60"/>
      <c r="FF213" s="60"/>
      <c r="FG213" s="60"/>
      <c r="FH213" s="60"/>
      <c r="FI213" s="60"/>
      <c r="FJ213" s="60"/>
      <c r="FK213" s="60"/>
      <c r="FL213" s="60"/>
      <c r="FM213" s="60"/>
      <c r="FN213" s="60"/>
      <c r="FO213" s="60"/>
      <c r="FP213" s="60"/>
      <c r="FQ213" s="60"/>
      <c r="FR213" s="60"/>
      <c r="FS213" s="60"/>
      <c r="FT213" s="60"/>
      <c r="FU213" s="60"/>
      <c r="FV213" s="60"/>
      <c r="FW213" s="60"/>
      <c r="FX213" s="60"/>
    </row>
    <row r="214">
      <c r="A214" s="18"/>
      <c r="B214" s="14"/>
      <c r="C214" s="14"/>
      <c r="D214" s="14"/>
      <c r="E214" s="18"/>
      <c r="F214" s="18"/>
      <c r="G214" s="18"/>
      <c r="H214" s="18"/>
      <c r="I214" s="18"/>
      <c r="J214" s="18"/>
      <c r="K214" s="18"/>
      <c r="L214" s="18"/>
      <c r="M214" s="18"/>
      <c r="N214" s="18"/>
      <c r="O214" s="18"/>
      <c r="P214" s="23"/>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60"/>
      <c r="FB214" s="60"/>
      <c r="FC214" s="60"/>
      <c r="FD214" s="60"/>
      <c r="FE214" s="60"/>
      <c r="FF214" s="60"/>
      <c r="FG214" s="60"/>
      <c r="FH214" s="60"/>
      <c r="FI214" s="60"/>
      <c r="FJ214" s="60"/>
      <c r="FK214" s="60"/>
      <c r="FL214" s="60"/>
      <c r="FM214" s="60"/>
      <c r="FN214" s="60"/>
      <c r="FO214" s="60"/>
      <c r="FP214" s="60"/>
      <c r="FQ214" s="60"/>
      <c r="FR214" s="60"/>
      <c r="FS214" s="60"/>
      <c r="FT214" s="60"/>
      <c r="FU214" s="60"/>
      <c r="FV214" s="60"/>
      <c r="FW214" s="60"/>
      <c r="FX214" s="60"/>
    </row>
    <row r="215">
      <c r="A215" s="18"/>
      <c r="B215" s="14"/>
      <c r="C215" s="14"/>
      <c r="D215" s="14"/>
      <c r="E215" s="18"/>
      <c r="F215" s="18"/>
      <c r="G215" s="18"/>
      <c r="H215" s="18"/>
      <c r="I215" s="18"/>
      <c r="J215" s="18"/>
      <c r="K215" s="18"/>
      <c r="L215" s="18"/>
      <c r="M215" s="18"/>
      <c r="N215" s="18"/>
      <c r="O215" s="18"/>
      <c r="P215" s="23"/>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60"/>
      <c r="FB215" s="60"/>
      <c r="FC215" s="60"/>
      <c r="FD215" s="60"/>
      <c r="FE215" s="60"/>
      <c r="FF215" s="60"/>
      <c r="FG215" s="60"/>
      <c r="FH215" s="60"/>
      <c r="FI215" s="60"/>
      <c r="FJ215" s="60"/>
      <c r="FK215" s="60"/>
      <c r="FL215" s="60"/>
      <c r="FM215" s="60"/>
      <c r="FN215" s="60"/>
      <c r="FO215" s="60"/>
      <c r="FP215" s="60"/>
      <c r="FQ215" s="60"/>
      <c r="FR215" s="60"/>
      <c r="FS215" s="60"/>
      <c r="FT215" s="60"/>
      <c r="FU215" s="60"/>
      <c r="FV215" s="60"/>
      <c r="FW215" s="60"/>
      <c r="FX215" s="60"/>
    </row>
    <row r="216">
      <c r="A216" s="18"/>
      <c r="B216" s="14"/>
      <c r="C216" s="14"/>
      <c r="D216" s="14"/>
      <c r="E216" s="18"/>
      <c r="F216" s="18"/>
      <c r="G216" s="18"/>
      <c r="H216" s="18"/>
      <c r="I216" s="18"/>
      <c r="J216" s="18"/>
      <c r="K216" s="18"/>
      <c r="L216" s="18"/>
      <c r="M216" s="18"/>
      <c r="N216" s="18"/>
      <c r="O216" s="18"/>
      <c r="P216" s="23"/>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60"/>
      <c r="FB216" s="60"/>
      <c r="FC216" s="60"/>
      <c r="FD216" s="60"/>
      <c r="FE216" s="60"/>
      <c r="FF216" s="60"/>
      <c r="FG216" s="60"/>
      <c r="FH216" s="60"/>
      <c r="FI216" s="60"/>
      <c r="FJ216" s="60"/>
      <c r="FK216" s="60"/>
      <c r="FL216" s="60"/>
      <c r="FM216" s="60"/>
      <c r="FN216" s="60"/>
      <c r="FO216" s="60"/>
      <c r="FP216" s="60"/>
      <c r="FQ216" s="60"/>
      <c r="FR216" s="60"/>
      <c r="FS216" s="60"/>
      <c r="FT216" s="60"/>
      <c r="FU216" s="60"/>
      <c r="FV216" s="60"/>
      <c r="FW216" s="60"/>
      <c r="FX216" s="60"/>
    </row>
    <row r="217">
      <c r="A217" s="18"/>
      <c r="B217" s="14"/>
      <c r="C217" s="14"/>
      <c r="D217" s="14"/>
      <c r="E217" s="18"/>
      <c r="F217" s="18"/>
      <c r="G217" s="18"/>
      <c r="H217" s="18"/>
      <c r="I217" s="18"/>
      <c r="J217" s="18"/>
      <c r="K217" s="18"/>
      <c r="L217" s="18"/>
      <c r="M217" s="18"/>
      <c r="N217" s="18"/>
      <c r="O217" s="18"/>
      <c r="P217" s="23"/>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60"/>
      <c r="FB217" s="60"/>
      <c r="FC217" s="60"/>
      <c r="FD217" s="60"/>
      <c r="FE217" s="60"/>
      <c r="FF217" s="60"/>
      <c r="FG217" s="60"/>
      <c r="FH217" s="60"/>
      <c r="FI217" s="60"/>
      <c r="FJ217" s="60"/>
      <c r="FK217" s="60"/>
      <c r="FL217" s="60"/>
      <c r="FM217" s="60"/>
      <c r="FN217" s="60"/>
      <c r="FO217" s="60"/>
      <c r="FP217" s="60"/>
      <c r="FQ217" s="60"/>
      <c r="FR217" s="60"/>
      <c r="FS217" s="60"/>
      <c r="FT217" s="60"/>
      <c r="FU217" s="60"/>
      <c r="FV217" s="60"/>
      <c r="FW217" s="60"/>
      <c r="FX217" s="60"/>
    </row>
    <row r="218">
      <c r="A218" s="18"/>
      <c r="B218" s="14"/>
      <c r="C218" s="14"/>
      <c r="D218" s="14"/>
      <c r="E218" s="18"/>
      <c r="F218" s="18"/>
      <c r="G218" s="18"/>
      <c r="H218" s="18"/>
      <c r="I218" s="18"/>
      <c r="J218" s="18"/>
      <c r="K218" s="18"/>
      <c r="L218" s="18"/>
      <c r="M218" s="18"/>
      <c r="N218" s="18"/>
      <c r="O218" s="18"/>
      <c r="P218" s="23"/>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60"/>
      <c r="FB218" s="60"/>
      <c r="FC218" s="60"/>
      <c r="FD218" s="60"/>
      <c r="FE218" s="60"/>
      <c r="FF218" s="60"/>
      <c r="FG218" s="60"/>
      <c r="FH218" s="60"/>
      <c r="FI218" s="60"/>
      <c r="FJ218" s="60"/>
      <c r="FK218" s="60"/>
      <c r="FL218" s="60"/>
      <c r="FM218" s="60"/>
      <c r="FN218" s="60"/>
      <c r="FO218" s="60"/>
      <c r="FP218" s="60"/>
      <c r="FQ218" s="60"/>
      <c r="FR218" s="60"/>
      <c r="FS218" s="60"/>
      <c r="FT218" s="60"/>
      <c r="FU218" s="60"/>
      <c r="FV218" s="60"/>
      <c r="FW218" s="60"/>
      <c r="FX218" s="60"/>
    </row>
    <row r="219">
      <c r="A219" s="18"/>
      <c r="B219" s="14"/>
      <c r="C219" s="14"/>
      <c r="D219" s="14"/>
      <c r="E219" s="18"/>
      <c r="F219" s="18"/>
      <c r="G219" s="18"/>
      <c r="H219" s="18"/>
      <c r="I219" s="18"/>
      <c r="J219" s="18"/>
      <c r="K219" s="18"/>
      <c r="L219" s="18"/>
      <c r="M219" s="18"/>
      <c r="N219" s="18"/>
      <c r="O219" s="18"/>
      <c r="P219" s="23"/>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60"/>
      <c r="FB219" s="60"/>
      <c r="FC219" s="60"/>
      <c r="FD219" s="60"/>
      <c r="FE219" s="60"/>
      <c r="FF219" s="60"/>
      <c r="FG219" s="60"/>
      <c r="FH219" s="60"/>
      <c r="FI219" s="60"/>
      <c r="FJ219" s="60"/>
      <c r="FK219" s="60"/>
      <c r="FL219" s="60"/>
      <c r="FM219" s="60"/>
      <c r="FN219" s="60"/>
      <c r="FO219" s="60"/>
      <c r="FP219" s="60"/>
      <c r="FQ219" s="60"/>
      <c r="FR219" s="60"/>
      <c r="FS219" s="60"/>
      <c r="FT219" s="60"/>
      <c r="FU219" s="60"/>
      <c r="FV219" s="60"/>
      <c r="FW219" s="60"/>
      <c r="FX219" s="60"/>
    </row>
    <row r="220">
      <c r="A220" s="18"/>
      <c r="B220" s="14"/>
      <c r="C220" s="14"/>
      <c r="D220" s="14"/>
      <c r="E220" s="18"/>
      <c r="F220" s="18"/>
      <c r="G220" s="18"/>
      <c r="H220" s="18"/>
      <c r="I220" s="18"/>
      <c r="J220" s="18"/>
      <c r="K220" s="18"/>
      <c r="L220" s="18"/>
      <c r="M220" s="18"/>
      <c r="N220" s="18"/>
      <c r="O220" s="18"/>
      <c r="P220" s="23"/>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60"/>
      <c r="FB220" s="60"/>
      <c r="FC220" s="60"/>
      <c r="FD220" s="60"/>
      <c r="FE220" s="60"/>
      <c r="FF220" s="60"/>
      <c r="FG220" s="60"/>
      <c r="FH220" s="60"/>
      <c r="FI220" s="60"/>
      <c r="FJ220" s="60"/>
      <c r="FK220" s="60"/>
      <c r="FL220" s="60"/>
      <c r="FM220" s="60"/>
      <c r="FN220" s="60"/>
      <c r="FO220" s="60"/>
      <c r="FP220" s="60"/>
      <c r="FQ220" s="60"/>
      <c r="FR220" s="60"/>
      <c r="FS220" s="60"/>
      <c r="FT220" s="60"/>
      <c r="FU220" s="60"/>
      <c r="FV220" s="60"/>
      <c r="FW220" s="60"/>
      <c r="FX220" s="60"/>
    </row>
    <row r="221">
      <c r="A221" s="18"/>
      <c r="B221" s="14"/>
      <c r="C221" s="14"/>
      <c r="D221" s="14"/>
      <c r="E221" s="18"/>
      <c r="F221" s="18"/>
      <c r="G221" s="18"/>
      <c r="H221" s="18"/>
      <c r="I221" s="18"/>
      <c r="J221" s="18"/>
      <c r="K221" s="18"/>
      <c r="L221" s="18"/>
      <c r="M221" s="18"/>
      <c r="N221" s="18"/>
      <c r="O221" s="18"/>
      <c r="P221" s="23"/>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26"/>
      <c r="EA221" s="26"/>
      <c r="EB221" s="26"/>
      <c r="EC221" s="26"/>
      <c r="ED221" s="26"/>
      <c r="EE221" s="26"/>
      <c r="EF221" s="26"/>
      <c r="EG221" s="26"/>
      <c r="EH221" s="26"/>
      <c r="EI221" s="26"/>
      <c r="EJ221" s="26"/>
      <c r="EK221" s="26"/>
      <c r="EL221" s="26"/>
      <c r="EM221" s="26"/>
      <c r="EN221" s="26"/>
      <c r="EO221" s="26"/>
      <c r="EP221" s="26"/>
      <c r="EQ221" s="26"/>
      <c r="ER221" s="26"/>
      <c r="ES221" s="26"/>
      <c r="ET221" s="26"/>
      <c r="EU221" s="26"/>
      <c r="EV221" s="26"/>
      <c r="EW221" s="26"/>
      <c r="EX221" s="26"/>
      <c r="EY221" s="26"/>
      <c r="EZ221" s="26"/>
      <c r="FA221" s="60"/>
      <c r="FB221" s="60"/>
      <c r="FC221" s="60"/>
      <c r="FD221" s="60"/>
      <c r="FE221" s="60"/>
      <c r="FF221" s="60"/>
      <c r="FG221" s="60"/>
      <c r="FH221" s="60"/>
      <c r="FI221" s="60"/>
      <c r="FJ221" s="60"/>
      <c r="FK221" s="60"/>
      <c r="FL221" s="60"/>
      <c r="FM221" s="60"/>
      <c r="FN221" s="60"/>
      <c r="FO221" s="60"/>
      <c r="FP221" s="60"/>
      <c r="FQ221" s="60"/>
      <c r="FR221" s="60"/>
      <c r="FS221" s="60"/>
      <c r="FT221" s="60"/>
      <c r="FU221" s="60"/>
      <c r="FV221" s="60"/>
      <c r="FW221" s="60"/>
      <c r="FX221" s="60"/>
    </row>
    <row r="222">
      <c r="A222" s="18"/>
      <c r="B222" s="14"/>
      <c r="C222" s="14"/>
      <c r="D222" s="14"/>
      <c r="E222" s="18"/>
      <c r="F222" s="18"/>
      <c r="G222" s="18"/>
      <c r="H222" s="18"/>
      <c r="I222" s="18"/>
      <c r="J222" s="18"/>
      <c r="K222" s="18"/>
      <c r="L222" s="18"/>
      <c r="M222" s="18"/>
      <c r="N222" s="18"/>
      <c r="O222" s="18"/>
      <c r="P222" s="23"/>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26"/>
      <c r="EA222" s="26"/>
      <c r="EB222" s="26"/>
      <c r="EC222" s="26"/>
      <c r="ED222" s="26"/>
      <c r="EE222" s="26"/>
      <c r="EF222" s="26"/>
      <c r="EG222" s="26"/>
      <c r="EH222" s="26"/>
      <c r="EI222" s="26"/>
      <c r="EJ222" s="26"/>
      <c r="EK222" s="26"/>
      <c r="EL222" s="26"/>
      <c r="EM222" s="26"/>
      <c r="EN222" s="26"/>
      <c r="EO222" s="26"/>
      <c r="EP222" s="26"/>
      <c r="EQ222" s="26"/>
      <c r="ER222" s="26"/>
      <c r="ES222" s="26"/>
      <c r="ET222" s="26"/>
      <c r="EU222" s="26"/>
      <c r="EV222" s="26"/>
      <c r="EW222" s="26"/>
      <c r="EX222" s="26"/>
      <c r="EY222" s="26"/>
      <c r="EZ222" s="26"/>
      <c r="FA222" s="60"/>
      <c r="FB222" s="60"/>
      <c r="FC222" s="60"/>
      <c r="FD222" s="60"/>
      <c r="FE222" s="60"/>
      <c r="FF222" s="60"/>
      <c r="FG222" s="60"/>
      <c r="FH222" s="60"/>
      <c r="FI222" s="60"/>
      <c r="FJ222" s="60"/>
      <c r="FK222" s="60"/>
      <c r="FL222" s="60"/>
      <c r="FM222" s="60"/>
      <c r="FN222" s="60"/>
      <c r="FO222" s="60"/>
      <c r="FP222" s="60"/>
      <c r="FQ222" s="60"/>
      <c r="FR222" s="60"/>
      <c r="FS222" s="60"/>
      <c r="FT222" s="60"/>
      <c r="FU222" s="60"/>
      <c r="FV222" s="60"/>
      <c r="FW222" s="60"/>
      <c r="FX222" s="60"/>
    </row>
    <row r="223">
      <c r="A223" s="18"/>
      <c r="B223" s="14"/>
      <c r="C223" s="14"/>
      <c r="D223" s="14"/>
      <c r="E223" s="18"/>
      <c r="F223" s="18"/>
      <c r="G223" s="18"/>
      <c r="H223" s="18"/>
      <c r="I223" s="18"/>
      <c r="J223" s="18"/>
      <c r="K223" s="18"/>
      <c r="L223" s="18"/>
      <c r="M223" s="18"/>
      <c r="N223" s="18"/>
      <c r="O223" s="18"/>
      <c r="P223" s="23"/>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c r="DD223" s="26"/>
      <c r="DE223" s="26"/>
      <c r="DF223" s="26"/>
      <c r="DG223" s="26"/>
      <c r="DH223" s="26"/>
      <c r="DI223" s="26"/>
      <c r="DJ223" s="26"/>
      <c r="DK223" s="26"/>
      <c r="DL223" s="26"/>
      <c r="DM223" s="26"/>
      <c r="DN223" s="26"/>
      <c r="DO223" s="26"/>
      <c r="DP223" s="26"/>
      <c r="DQ223" s="26"/>
      <c r="DR223" s="26"/>
      <c r="DS223" s="26"/>
      <c r="DT223" s="26"/>
      <c r="DU223" s="26"/>
      <c r="DV223" s="26"/>
      <c r="DW223" s="26"/>
      <c r="DX223" s="26"/>
      <c r="DY223" s="26"/>
      <c r="DZ223" s="26"/>
      <c r="EA223" s="26"/>
      <c r="EB223" s="26"/>
      <c r="EC223" s="26"/>
      <c r="ED223" s="26"/>
      <c r="EE223" s="26"/>
      <c r="EF223" s="26"/>
      <c r="EG223" s="26"/>
      <c r="EH223" s="26"/>
      <c r="EI223" s="26"/>
      <c r="EJ223" s="26"/>
      <c r="EK223" s="26"/>
      <c r="EL223" s="26"/>
      <c r="EM223" s="26"/>
      <c r="EN223" s="26"/>
      <c r="EO223" s="26"/>
      <c r="EP223" s="26"/>
      <c r="EQ223" s="26"/>
      <c r="ER223" s="26"/>
      <c r="ES223" s="26"/>
      <c r="ET223" s="26"/>
      <c r="EU223" s="26"/>
      <c r="EV223" s="26"/>
      <c r="EW223" s="26"/>
      <c r="EX223" s="26"/>
      <c r="EY223" s="26"/>
      <c r="EZ223" s="26"/>
      <c r="FA223" s="60"/>
      <c r="FB223" s="60"/>
      <c r="FC223" s="60"/>
      <c r="FD223" s="60"/>
      <c r="FE223" s="60"/>
      <c r="FF223" s="60"/>
      <c r="FG223" s="60"/>
      <c r="FH223" s="60"/>
      <c r="FI223" s="60"/>
      <c r="FJ223" s="60"/>
      <c r="FK223" s="60"/>
      <c r="FL223" s="60"/>
      <c r="FM223" s="60"/>
      <c r="FN223" s="60"/>
      <c r="FO223" s="60"/>
      <c r="FP223" s="60"/>
      <c r="FQ223" s="60"/>
      <c r="FR223" s="60"/>
      <c r="FS223" s="60"/>
      <c r="FT223" s="60"/>
      <c r="FU223" s="60"/>
      <c r="FV223" s="60"/>
      <c r="FW223" s="60"/>
      <c r="FX223" s="60"/>
    </row>
    <row r="224">
      <c r="A224" s="18"/>
      <c r="B224" s="14"/>
      <c r="C224" s="14"/>
      <c r="D224" s="14"/>
      <c r="E224" s="18"/>
      <c r="F224" s="18"/>
      <c r="G224" s="18"/>
      <c r="H224" s="18"/>
      <c r="I224" s="18"/>
      <c r="J224" s="18"/>
      <c r="K224" s="18"/>
      <c r="L224" s="18"/>
      <c r="M224" s="18"/>
      <c r="N224" s="18"/>
      <c r="O224" s="18"/>
      <c r="P224" s="23"/>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26"/>
      <c r="EA224" s="26"/>
      <c r="EB224" s="26"/>
      <c r="EC224" s="26"/>
      <c r="ED224" s="26"/>
      <c r="EE224" s="26"/>
      <c r="EF224" s="26"/>
      <c r="EG224" s="26"/>
      <c r="EH224" s="26"/>
      <c r="EI224" s="26"/>
      <c r="EJ224" s="26"/>
      <c r="EK224" s="26"/>
      <c r="EL224" s="26"/>
      <c r="EM224" s="26"/>
      <c r="EN224" s="26"/>
      <c r="EO224" s="26"/>
      <c r="EP224" s="26"/>
      <c r="EQ224" s="26"/>
      <c r="ER224" s="26"/>
      <c r="ES224" s="26"/>
      <c r="ET224" s="26"/>
      <c r="EU224" s="26"/>
      <c r="EV224" s="26"/>
      <c r="EW224" s="26"/>
      <c r="EX224" s="26"/>
      <c r="EY224" s="26"/>
      <c r="EZ224" s="26"/>
      <c r="FA224" s="60"/>
      <c r="FB224" s="60"/>
      <c r="FC224" s="60"/>
      <c r="FD224" s="60"/>
      <c r="FE224" s="60"/>
      <c r="FF224" s="60"/>
      <c r="FG224" s="60"/>
      <c r="FH224" s="60"/>
      <c r="FI224" s="60"/>
      <c r="FJ224" s="60"/>
      <c r="FK224" s="60"/>
      <c r="FL224" s="60"/>
      <c r="FM224" s="60"/>
      <c r="FN224" s="60"/>
      <c r="FO224" s="60"/>
      <c r="FP224" s="60"/>
      <c r="FQ224" s="60"/>
      <c r="FR224" s="60"/>
      <c r="FS224" s="60"/>
      <c r="FT224" s="60"/>
      <c r="FU224" s="60"/>
      <c r="FV224" s="60"/>
      <c r="FW224" s="60"/>
      <c r="FX224" s="60"/>
    </row>
    <row r="225">
      <c r="A225" s="18"/>
      <c r="B225" s="14"/>
      <c r="C225" s="14"/>
      <c r="D225" s="14"/>
      <c r="E225" s="18"/>
      <c r="F225" s="18"/>
      <c r="G225" s="18"/>
      <c r="H225" s="18"/>
      <c r="I225" s="18"/>
      <c r="J225" s="18"/>
      <c r="K225" s="18"/>
      <c r="L225" s="18"/>
      <c r="M225" s="18"/>
      <c r="N225" s="18"/>
      <c r="O225" s="18"/>
      <c r="P225" s="23"/>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26"/>
      <c r="EA225" s="26"/>
      <c r="EB225" s="26"/>
      <c r="EC225" s="26"/>
      <c r="ED225" s="26"/>
      <c r="EE225" s="26"/>
      <c r="EF225" s="26"/>
      <c r="EG225" s="26"/>
      <c r="EH225" s="26"/>
      <c r="EI225" s="26"/>
      <c r="EJ225" s="26"/>
      <c r="EK225" s="26"/>
      <c r="EL225" s="26"/>
      <c r="EM225" s="26"/>
      <c r="EN225" s="26"/>
      <c r="EO225" s="26"/>
      <c r="EP225" s="26"/>
      <c r="EQ225" s="26"/>
      <c r="ER225" s="26"/>
      <c r="ES225" s="26"/>
      <c r="ET225" s="26"/>
      <c r="EU225" s="26"/>
      <c r="EV225" s="26"/>
      <c r="EW225" s="26"/>
      <c r="EX225" s="26"/>
      <c r="EY225" s="26"/>
      <c r="EZ225" s="26"/>
      <c r="FA225" s="60"/>
      <c r="FB225" s="60"/>
      <c r="FC225" s="60"/>
      <c r="FD225" s="60"/>
      <c r="FE225" s="60"/>
      <c r="FF225" s="60"/>
      <c r="FG225" s="60"/>
      <c r="FH225" s="60"/>
      <c r="FI225" s="60"/>
      <c r="FJ225" s="60"/>
      <c r="FK225" s="60"/>
      <c r="FL225" s="60"/>
      <c r="FM225" s="60"/>
      <c r="FN225" s="60"/>
      <c r="FO225" s="60"/>
      <c r="FP225" s="60"/>
      <c r="FQ225" s="60"/>
      <c r="FR225" s="60"/>
      <c r="FS225" s="60"/>
      <c r="FT225" s="60"/>
      <c r="FU225" s="60"/>
      <c r="FV225" s="60"/>
      <c r="FW225" s="60"/>
      <c r="FX225" s="60"/>
    </row>
    <row r="226">
      <c r="A226" s="18"/>
      <c r="B226" s="14"/>
      <c r="C226" s="14"/>
      <c r="D226" s="14"/>
      <c r="E226" s="18"/>
      <c r="F226" s="18"/>
      <c r="G226" s="18"/>
      <c r="H226" s="18"/>
      <c r="I226" s="18"/>
      <c r="J226" s="18"/>
      <c r="K226" s="18"/>
      <c r="L226" s="18"/>
      <c r="M226" s="18"/>
      <c r="N226" s="18"/>
      <c r="O226" s="18"/>
      <c r="P226" s="23"/>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c r="DD226" s="26"/>
      <c r="DE226" s="26"/>
      <c r="DF226" s="26"/>
      <c r="DG226" s="26"/>
      <c r="DH226" s="26"/>
      <c r="DI226" s="26"/>
      <c r="DJ226" s="26"/>
      <c r="DK226" s="26"/>
      <c r="DL226" s="26"/>
      <c r="DM226" s="26"/>
      <c r="DN226" s="26"/>
      <c r="DO226" s="26"/>
      <c r="DP226" s="26"/>
      <c r="DQ226" s="26"/>
      <c r="DR226" s="26"/>
      <c r="DS226" s="26"/>
      <c r="DT226" s="26"/>
      <c r="DU226" s="26"/>
      <c r="DV226" s="26"/>
      <c r="DW226" s="26"/>
      <c r="DX226" s="26"/>
      <c r="DY226" s="26"/>
      <c r="DZ226" s="26"/>
      <c r="EA226" s="26"/>
      <c r="EB226" s="26"/>
      <c r="EC226" s="26"/>
      <c r="ED226" s="26"/>
      <c r="EE226" s="26"/>
      <c r="EF226" s="26"/>
      <c r="EG226" s="26"/>
      <c r="EH226" s="26"/>
      <c r="EI226" s="26"/>
      <c r="EJ226" s="26"/>
      <c r="EK226" s="26"/>
      <c r="EL226" s="26"/>
      <c r="EM226" s="26"/>
      <c r="EN226" s="26"/>
      <c r="EO226" s="26"/>
      <c r="EP226" s="26"/>
      <c r="EQ226" s="26"/>
      <c r="ER226" s="26"/>
      <c r="ES226" s="26"/>
      <c r="ET226" s="26"/>
      <c r="EU226" s="26"/>
      <c r="EV226" s="26"/>
      <c r="EW226" s="26"/>
      <c r="EX226" s="26"/>
      <c r="EY226" s="26"/>
      <c r="EZ226" s="26"/>
      <c r="FA226" s="60"/>
      <c r="FB226" s="60"/>
      <c r="FC226" s="60"/>
      <c r="FD226" s="60"/>
      <c r="FE226" s="60"/>
      <c r="FF226" s="60"/>
      <c r="FG226" s="60"/>
      <c r="FH226" s="60"/>
      <c r="FI226" s="60"/>
      <c r="FJ226" s="60"/>
      <c r="FK226" s="60"/>
      <c r="FL226" s="60"/>
      <c r="FM226" s="60"/>
      <c r="FN226" s="60"/>
      <c r="FO226" s="60"/>
      <c r="FP226" s="60"/>
      <c r="FQ226" s="60"/>
      <c r="FR226" s="60"/>
      <c r="FS226" s="60"/>
      <c r="FT226" s="60"/>
      <c r="FU226" s="60"/>
      <c r="FV226" s="60"/>
      <c r="FW226" s="60"/>
      <c r="FX226" s="60"/>
    </row>
    <row r="227">
      <c r="A227" s="18"/>
      <c r="B227" s="14"/>
      <c r="C227" s="14"/>
      <c r="D227" s="14"/>
      <c r="E227" s="18"/>
      <c r="F227" s="18"/>
      <c r="G227" s="18"/>
      <c r="H227" s="18"/>
      <c r="I227" s="18"/>
      <c r="J227" s="18"/>
      <c r="K227" s="18"/>
      <c r="L227" s="18"/>
      <c r="M227" s="18"/>
      <c r="N227" s="18"/>
      <c r="O227" s="18"/>
      <c r="P227" s="23"/>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c r="DD227" s="26"/>
      <c r="DE227" s="26"/>
      <c r="DF227" s="26"/>
      <c r="DG227" s="26"/>
      <c r="DH227" s="26"/>
      <c r="DI227" s="26"/>
      <c r="DJ227" s="26"/>
      <c r="DK227" s="26"/>
      <c r="DL227" s="26"/>
      <c r="DM227" s="26"/>
      <c r="DN227" s="26"/>
      <c r="DO227" s="26"/>
      <c r="DP227" s="26"/>
      <c r="DQ227" s="26"/>
      <c r="DR227" s="26"/>
      <c r="DS227" s="26"/>
      <c r="DT227" s="26"/>
      <c r="DU227" s="26"/>
      <c r="DV227" s="26"/>
      <c r="DW227" s="26"/>
      <c r="DX227" s="26"/>
      <c r="DY227" s="26"/>
      <c r="DZ227" s="26"/>
      <c r="EA227" s="26"/>
      <c r="EB227" s="26"/>
      <c r="EC227" s="26"/>
      <c r="ED227" s="26"/>
      <c r="EE227" s="26"/>
      <c r="EF227" s="26"/>
      <c r="EG227" s="26"/>
      <c r="EH227" s="26"/>
      <c r="EI227" s="26"/>
      <c r="EJ227" s="26"/>
      <c r="EK227" s="26"/>
      <c r="EL227" s="26"/>
      <c r="EM227" s="26"/>
      <c r="EN227" s="26"/>
      <c r="EO227" s="26"/>
      <c r="EP227" s="26"/>
      <c r="EQ227" s="26"/>
      <c r="ER227" s="26"/>
      <c r="ES227" s="26"/>
      <c r="ET227" s="26"/>
      <c r="EU227" s="26"/>
      <c r="EV227" s="26"/>
      <c r="EW227" s="26"/>
      <c r="EX227" s="26"/>
      <c r="EY227" s="26"/>
      <c r="EZ227" s="26"/>
      <c r="FA227" s="60"/>
      <c r="FB227" s="60"/>
      <c r="FC227" s="60"/>
      <c r="FD227" s="60"/>
      <c r="FE227" s="60"/>
      <c r="FF227" s="60"/>
      <c r="FG227" s="60"/>
      <c r="FH227" s="60"/>
      <c r="FI227" s="60"/>
      <c r="FJ227" s="60"/>
      <c r="FK227" s="60"/>
      <c r="FL227" s="60"/>
      <c r="FM227" s="60"/>
      <c r="FN227" s="60"/>
      <c r="FO227" s="60"/>
      <c r="FP227" s="60"/>
      <c r="FQ227" s="60"/>
      <c r="FR227" s="60"/>
      <c r="FS227" s="60"/>
      <c r="FT227" s="60"/>
      <c r="FU227" s="60"/>
      <c r="FV227" s="60"/>
      <c r="FW227" s="60"/>
      <c r="FX227" s="60"/>
    </row>
    <row r="228">
      <c r="A228" s="18"/>
      <c r="B228" s="14"/>
      <c r="C228" s="14"/>
      <c r="D228" s="14"/>
      <c r="E228" s="18"/>
      <c r="F228" s="18"/>
      <c r="G228" s="18"/>
      <c r="H228" s="18"/>
      <c r="I228" s="18"/>
      <c r="J228" s="18"/>
      <c r="K228" s="18"/>
      <c r="L228" s="18"/>
      <c r="M228" s="18"/>
      <c r="N228" s="18"/>
      <c r="O228" s="18"/>
      <c r="P228" s="23"/>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c r="DD228" s="26"/>
      <c r="DE228" s="26"/>
      <c r="DF228" s="26"/>
      <c r="DG228" s="26"/>
      <c r="DH228" s="26"/>
      <c r="DI228" s="26"/>
      <c r="DJ228" s="26"/>
      <c r="DK228" s="26"/>
      <c r="DL228" s="26"/>
      <c r="DM228" s="26"/>
      <c r="DN228" s="26"/>
      <c r="DO228" s="26"/>
      <c r="DP228" s="26"/>
      <c r="DQ228" s="26"/>
      <c r="DR228" s="26"/>
      <c r="DS228" s="26"/>
      <c r="DT228" s="26"/>
      <c r="DU228" s="26"/>
      <c r="DV228" s="26"/>
      <c r="DW228" s="26"/>
      <c r="DX228" s="26"/>
      <c r="DY228" s="26"/>
      <c r="DZ228" s="26"/>
      <c r="EA228" s="26"/>
      <c r="EB228" s="26"/>
      <c r="EC228" s="26"/>
      <c r="ED228" s="26"/>
      <c r="EE228" s="26"/>
      <c r="EF228" s="26"/>
      <c r="EG228" s="26"/>
      <c r="EH228" s="26"/>
      <c r="EI228" s="26"/>
      <c r="EJ228" s="26"/>
      <c r="EK228" s="26"/>
      <c r="EL228" s="26"/>
      <c r="EM228" s="26"/>
      <c r="EN228" s="26"/>
      <c r="EO228" s="26"/>
      <c r="EP228" s="26"/>
      <c r="EQ228" s="26"/>
      <c r="ER228" s="26"/>
      <c r="ES228" s="26"/>
      <c r="ET228" s="26"/>
      <c r="EU228" s="26"/>
      <c r="EV228" s="26"/>
      <c r="EW228" s="26"/>
      <c r="EX228" s="26"/>
      <c r="EY228" s="26"/>
      <c r="EZ228" s="26"/>
      <c r="FA228" s="60"/>
      <c r="FB228" s="60"/>
      <c r="FC228" s="60"/>
      <c r="FD228" s="60"/>
      <c r="FE228" s="60"/>
      <c r="FF228" s="60"/>
      <c r="FG228" s="60"/>
      <c r="FH228" s="60"/>
      <c r="FI228" s="60"/>
      <c r="FJ228" s="60"/>
      <c r="FK228" s="60"/>
      <c r="FL228" s="60"/>
      <c r="FM228" s="60"/>
      <c r="FN228" s="60"/>
      <c r="FO228" s="60"/>
      <c r="FP228" s="60"/>
      <c r="FQ228" s="60"/>
      <c r="FR228" s="60"/>
      <c r="FS228" s="60"/>
      <c r="FT228" s="60"/>
      <c r="FU228" s="60"/>
      <c r="FV228" s="60"/>
      <c r="FW228" s="60"/>
      <c r="FX228" s="60"/>
    </row>
    <row r="229">
      <c r="A229" s="18"/>
      <c r="B229" s="14"/>
      <c r="C229" s="14"/>
      <c r="D229" s="14"/>
      <c r="E229" s="18"/>
      <c r="F229" s="18"/>
      <c r="G229" s="18"/>
      <c r="H229" s="18"/>
      <c r="I229" s="18"/>
      <c r="J229" s="18"/>
      <c r="K229" s="18"/>
      <c r="L229" s="18"/>
      <c r="M229" s="18"/>
      <c r="N229" s="18"/>
      <c r="O229" s="18"/>
      <c r="P229" s="23"/>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26"/>
      <c r="EA229" s="26"/>
      <c r="EB229" s="26"/>
      <c r="EC229" s="26"/>
      <c r="ED229" s="26"/>
      <c r="EE229" s="26"/>
      <c r="EF229" s="26"/>
      <c r="EG229" s="26"/>
      <c r="EH229" s="26"/>
      <c r="EI229" s="26"/>
      <c r="EJ229" s="26"/>
      <c r="EK229" s="26"/>
      <c r="EL229" s="26"/>
      <c r="EM229" s="26"/>
      <c r="EN229" s="26"/>
      <c r="EO229" s="26"/>
      <c r="EP229" s="26"/>
      <c r="EQ229" s="26"/>
      <c r="ER229" s="26"/>
      <c r="ES229" s="26"/>
      <c r="ET229" s="26"/>
      <c r="EU229" s="26"/>
      <c r="EV229" s="26"/>
      <c r="EW229" s="26"/>
      <c r="EX229" s="26"/>
      <c r="EY229" s="26"/>
      <c r="EZ229" s="26"/>
      <c r="FA229" s="60"/>
      <c r="FB229" s="60"/>
      <c r="FC229" s="60"/>
      <c r="FD229" s="60"/>
      <c r="FE229" s="60"/>
      <c r="FF229" s="60"/>
      <c r="FG229" s="60"/>
      <c r="FH229" s="60"/>
      <c r="FI229" s="60"/>
      <c r="FJ229" s="60"/>
      <c r="FK229" s="60"/>
      <c r="FL229" s="60"/>
      <c r="FM229" s="60"/>
      <c r="FN229" s="60"/>
      <c r="FO229" s="60"/>
      <c r="FP229" s="60"/>
      <c r="FQ229" s="60"/>
      <c r="FR229" s="60"/>
      <c r="FS229" s="60"/>
      <c r="FT229" s="60"/>
      <c r="FU229" s="60"/>
      <c r="FV229" s="60"/>
      <c r="FW229" s="60"/>
      <c r="FX229" s="60"/>
    </row>
    <row r="230">
      <c r="A230" s="18"/>
      <c r="B230" s="14"/>
      <c r="C230" s="14"/>
      <c r="D230" s="14"/>
      <c r="E230" s="18"/>
      <c r="F230" s="18"/>
      <c r="G230" s="18"/>
      <c r="H230" s="18"/>
      <c r="I230" s="18"/>
      <c r="J230" s="18"/>
      <c r="K230" s="18"/>
      <c r="L230" s="18"/>
      <c r="M230" s="18"/>
      <c r="N230" s="18"/>
      <c r="O230" s="18"/>
      <c r="P230" s="23"/>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26"/>
      <c r="EA230" s="26"/>
      <c r="EB230" s="26"/>
      <c r="EC230" s="26"/>
      <c r="ED230" s="26"/>
      <c r="EE230" s="26"/>
      <c r="EF230" s="26"/>
      <c r="EG230" s="26"/>
      <c r="EH230" s="26"/>
      <c r="EI230" s="26"/>
      <c r="EJ230" s="26"/>
      <c r="EK230" s="26"/>
      <c r="EL230" s="26"/>
      <c r="EM230" s="26"/>
      <c r="EN230" s="26"/>
      <c r="EO230" s="26"/>
      <c r="EP230" s="26"/>
      <c r="EQ230" s="26"/>
      <c r="ER230" s="26"/>
      <c r="ES230" s="26"/>
      <c r="ET230" s="26"/>
      <c r="EU230" s="26"/>
      <c r="EV230" s="26"/>
      <c r="EW230" s="26"/>
      <c r="EX230" s="26"/>
      <c r="EY230" s="26"/>
      <c r="EZ230" s="26"/>
      <c r="FA230" s="60"/>
      <c r="FB230" s="60"/>
      <c r="FC230" s="60"/>
      <c r="FD230" s="60"/>
      <c r="FE230" s="60"/>
      <c r="FF230" s="60"/>
      <c r="FG230" s="60"/>
      <c r="FH230" s="60"/>
      <c r="FI230" s="60"/>
      <c r="FJ230" s="60"/>
      <c r="FK230" s="60"/>
      <c r="FL230" s="60"/>
      <c r="FM230" s="60"/>
      <c r="FN230" s="60"/>
      <c r="FO230" s="60"/>
      <c r="FP230" s="60"/>
      <c r="FQ230" s="60"/>
      <c r="FR230" s="60"/>
      <c r="FS230" s="60"/>
      <c r="FT230" s="60"/>
      <c r="FU230" s="60"/>
      <c r="FV230" s="60"/>
      <c r="FW230" s="60"/>
      <c r="FX230" s="60"/>
    </row>
    <row r="231">
      <c r="A231" s="18"/>
      <c r="B231" s="14"/>
      <c r="C231" s="14"/>
      <c r="D231" s="14"/>
      <c r="E231" s="18"/>
      <c r="F231" s="18"/>
      <c r="G231" s="18"/>
      <c r="H231" s="18"/>
      <c r="I231" s="18"/>
      <c r="J231" s="18"/>
      <c r="K231" s="18"/>
      <c r="L231" s="18"/>
      <c r="M231" s="18"/>
      <c r="N231" s="18"/>
      <c r="O231" s="18"/>
      <c r="P231" s="23"/>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26"/>
      <c r="EA231" s="26"/>
      <c r="EB231" s="26"/>
      <c r="EC231" s="26"/>
      <c r="ED231" s="26"/>
      <c r="EE231" s="26"/>
      <c r="EF231" s="26"/>
      <c r="EG231" s="26"/>
      <c r="EH231" s="26"/>
      <c r="EI231" s="26"/>
      <c r="EJ231" s="26"/>
      <c r="EK231" s="26"/>
      <c r="EL231" s="26"/>
      <c r="EM231" s="26"/>
      <c r="EN231" s="26"/>
      <c r="EO231" s="26"/>
      <c r="EP231" s="26"/>
      <c r="EQ231" s="26"/>
      <c r="ER231" s="26"/>
      <c r="ES231" s="26"/>
      <c r="ET231" s="26"/>
      <c r="EU231" s="26"/>
      <c r="EV231" s="26"/>
      <c r="EW231" s="26"/>
      <c r="EX231" s="26"/>
      <c r="EY231" s="26"/>
      <c r="EZ231" s="26"/>
      <c r="FA231" s="60"/>
      <c r="FB231" s="60"/>
      <c r="FC231" s="60"/>
      <c r="FD231" s="60"/>
      <c r="FE231" s="60"/>
      <c r="FF231" s="60"/>
      <c r="FG231" s="60"/>
      <c r="FH231" s="60"/>
      <c r="FI231" s="60"/>
      <c r="FJ231" s="60"/>
      <c r="FK231" s="60"/>
      <c r="FL231" s="60"/>
      <c r="FM231" s="60"/>
      <c r="FN231" s="60"/>
      <c r="FO231" s="60"/>
      <c r="FP231" s="60"/>
      <c r="FQ231" s="60"/>
      <c r="FR231" s="60"/>
      <c r="FS231" s="60"/>
      <c r="FT231" s="60"/>
      <c r="FU231" s="60"/>
      <c r="FV231" s="60"/>
      <c r="FW231" s="60"/>
      <c r="FX231" s="60"/>
    </row>
    <row r="232">
      <c r="A232" s="18"/>
      <c r="B232" s="14"/>
      <c r="C232" s="14"/>
      <c r="D232" s="14"/>
      <c r="E232" s="18"/>
      <c r="F232" s="18"/>
      <c r="G232" s="18"/>
      <c r="H232" s="18"/>
      <c r="I232" s="18"/>
      <c r="J232" s="18"/>
      <c r="K232" s="18"/>
      <c r="L232" s="18"/>
      <c r="M232" s="18"/>
      <c r="N232" s="18"/>
      <c r="O232" s="18"/>
      <c r="P232" s="23"/>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26"/>
      <c r="EA232" s="26"/>
      <c r="EB232" s="26"/>
      <c r="EC232" s="26"/>
      <c r="ED232" s="26"/>
      <c r="EE232" s="26"/>
      <c r="EF232" s="26"/>
      <c r="EG232" s="26"/>
      <c r="EH232" s="26"/>
      <c r="EI232" s="26"/>
      <c r="EJ232" s="26"/>
      <c r="EK232" s="26"/>
      <c r="EL232" s="26"/>
      <c r="EM232" s="26"/>
      <c r="EN232" s="26"/>
      <c r="EO232" s="26"/>
      <c r="EP232" s="26"/>
      <c r="EQ232" s="26"/>
      <c r="ER232" s="26"/>
      <c r="ES232" s="26"/>
      <c r="ET232" s="26"/>
      <c r="EU232" s="26"/>
      <c r="EV232" s="26"/>
      <c r="EW232" s="26"/>
      <c r="EX232" s="26"/>
      <c r="EY232" s="26"/>
      <c r="EZ232" s="26"/>
      <c r="FA232" s="60"/>
      <c r="FB232" s="60"/>
      <c r="FC232" s="60"/>
      <c r="FD232" s="60"/>
      <c r="FE232" s="60"/>
      <c r="FF232" s="60"/>
      <c r="FG232" s="60"/>
      <c r="FH232" s="60"/>
      <c r="FI232" s="60"/>
      <c r="FJ232" s="60"/>
      <c r="FK232" s="60"/>
      <c r="FL232" s="60"/>
      <c r="FM232" s="60"/>
      <c r="FN232" s="60"/>
      <c r="FO232" s="60"/>
      <c r="FP232" s="60"/>
      <c r="FQ232" s="60"/>
      <c r="FR232" s="60"/>
      <c r="FS232" s="60"/>
      <c r="FT232" s="60"/>
      <c r="FU232" s="60"/>
      <c r="FV232" s="60"/>
      <c r="FW232" s="60"/>
      <c r="FX232" s="60"/>
    </row>
    <row r="233">
      <c r="A233" s="18"/>
      <c r="B233" s="14"/>
      <c r="C233" s="14"/>
      <c r="D233" s="14"/>
      <c r="E233" s="18"/>
      <c r="F233" s="18"/>
      <c r="G233" s="18"/>
      <c r="H233" s="18"/>
      <c r="I233" s="18"/>
      <c r="J233" s="18"/>
      <c r="K233" s="18"/>
      <c r="L233" s="18"/>
      <c r="M233" s="18"/>
      <c r="N233" s="18"/>
      <c r="O233" s="18"/>
      <c r="P233" s="23"/>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26"/>
      <c r="EA233" s="26"/>
      <c r="EB233" s="26"/>
      <c r="EC233" s="26"/>
      <c r="ED233" s="26"/>
      <c r="EE233" s="26"/>
      <c r="EF233" s="26"/>
      <c r="EG233" s="26"/>
      <c r="EH233" s="26"/>
      <c r="EI233" s="26"/>
      <c r="EJ233" s="26"/>
      <c r="EK233" s="26"/>
      <c r="EL233" s="26"/>
      <c r="EM233" s="26"/>
      <c r="EN233" s="26"/>
      <c r="EO233" s="26"/>
      <c r="EP233" s="26"/>
      <c r="EQ233" s="26"/>
      <c r="ER233" s="26"/>
      <c r="ES233" s="26"/>
      <c r="ET233" s="26"/>
      <c r="EU233" s="26"/>
      <c r="EV233" s="26"/>
      <c r="EW233" s="26"/>
      <c r="EX233" s="26"/>
      <c r="EY233" s="26"/>
      <c r="EZ233" s="26"/>
      <c r="FA233" s="60"/>
      <c r="FB233" s="60"/>
      <c r="FC233" s="60"/>
      <c r="FD233" s="60"/>
      <c r="FE233" s="60"/>
      <c r="FF233" s="60"/>
      <c r="FG233" s="60"/>
      <c r="FH233" s="60"/>
      <c r="FI233" s="60"/>
      <c r="FJ233" s="60"/>
      <c r="FK233" s="60"/>
      <c r="FL233" s="60"/>
      <c r="FM233" s="60"/>
      <c r="FN233" s="60"/>
      <c r="FO233" s="60"/>
      <c r="FP233" s="60"/>
      <c r="FQ233" s="60"/>
      <c r="FR233" s="60"/>
      <c r="FS233" s="60"/>
      <c r="FT233" s="60"/>
      <c r="FU233" s="60"/>
      <c r="FV233" s="60"/>
      <c r="FW233" s="60"/>
      <c r="FX233" s="60"/>
    </row>
    <row r="234">
      <c r="A234" s="18"/>
      <c r="B234" s="14"/>
      <c r="C234" s="14"/>
      <c r="D234" s="14"/>
      <c r="E234" s="18"/>
      <c r="F234" s="18"/>
      <c r="G234" s="18"/>
      <c r="H234" s="18"/>
      <c r="I234" s="18"/>
      <c r="J234" s="18"/>
      <c r="K234" s="18"/>
      <c r="L234" s="18"/>
      <c r="M234" s="18"/>
      <c r="N234" s="18"/>
      <c r="O234" s="18"/>
      <c r="P234" s="23"/>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c r="DD234" s="26"/>
      <c r="DE234" s="26"/>
      <c r="DF234" s="26"/>
      <c r="DG234" s="26"/>
      <c r="DH234" s="26"/>
      <c r="DI234" s="26"/>
      <c r="DJ234" s="26"/>
      <c r="DK234" s="26"/>
      <c r="DL234" s="26"/>
      <c r="DM234" s="26"/>
      <c r="DN234" s="26"/>
      <c r="DO234" s="26"/>
      <c r="DP234" s="26"/>
      <c r="DQ234" s="26"/>
      <c r="DR234" s="26"/>
      <c r="DS234" s="26"/>
      <c r="DT234" s="26"/>
      <c r="DU234" s="26"/>
      <c r="DV234" s="26"/>
      <c r="DW234" s="26"/>
      <c r="DX234" s="26"/>
      <c r="DY234" s="26"/>
      <c r="DZ234" s="26"/>
      <c r="EA234" s="26"/>
      <c r="EB234" s="26"/>
      <c r="EC234" s="26"/>
      <c r="ED234" s="26"/>
      <c r="EE234" s="26"/>
      <c r="EF234" s="26"/>
      <c r="EG234" s="26"/>
      <c r="EH234" s="26"/>
      <c r="EI234" s="26"/>
      <c r="EJ234" s="26"/>
      <c r="EK234" s="26"/>
      <c r="EL234" s="26"/>
      <c r="EM234" s="26"/>
      <c r="EN234" s="26"/>
      <c r="EO234" s="26"/>
      <c r="EP234" s="26"/>
      <c r="EQ234" s="26"/>
      <c r="ER234" s="26"/>
      <c r="ES234" s="26"/>
      <c r="ET234" s="26"/>
      <c r="EU234" s="26"/>
      <c r="EV234" s="26"/>
      <c r="EW234" s="26"/>
      <c r="EX234" s="26"/>
      <c r="EY234" s="26"/>
      <c r="EZ234" s="26"/>
      <c r="FA234" s="60"/>
      <c r="FB234" s="60"/>
      <c r="FC234" s="60"/>
      <c r="FD234" s="60"/>
      <c r="FE234" s="60"/>
      <c r="FF234" s="60"/>
      <c r="FG234" s="60"/>
      <c r="FH234" s="60"/>
      <c r="FI234" s="60"/>
      <c r="FJ234" s="60"/>
      <c r="FK234" s="60"/>
      <c r="FL234" s="60"/>
      <c r="FM234" s="60"/>
      <c r="FN234" s="60"/>
      <c r="FO234" s="60"/>
      <c r="FP234" s="60"/>
      <c r="FQ234" s="60"/>
      <c r="FR234" s="60"/>
      <c r="FS234" s="60"/>
      <c r="FT234" s="60"/>
      <c r="FU234" s="60"/>
      <c r="FV234" s="60"/>
      <c r="FW234" s="60"/>
      <c r="FX234" s="60"/>
    </row>
    <row r="235">
      <c r="A235" s="18"/>
      <c r="B235" s="14"/>
      <c r="C235" s="14"/>
      <c r="D235" s="14"/>
      <c r="E235" s="18"/>
      <c r="F235" s="18"/>
      <c r="G235" s="18"/>
      <c r="H235" s="18"/>
      <c r="I235" s="18"/>
      <c r="J235" s="18"/>
      <c r="K235" s="18"/>
      <c r="L235" s="18"/>
      <c r="M235" s="18"/>
      <c r="N235" s="18"/>
      <c r="O235" s="18"/>
      <c r="P235" s="23"/>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c r="DD235" s="26"/>
      <c r="DE235" s="26"/>
      <c r="DF235" s="26"/>
      <c r="DG235" s="26"/>
      <c r="DH235" s="26"/>
      <c r="DI235" s="26"/>
      <c r="DJ235" s="26"/>
      <c r="DK235" s="26"/>
      <c r="DL235" s="26"/>
      <c r="DM235" s="26"/>
      <c r="DN235" s="26"/>
      <c r="DO235" s="26"/>
      <c r="DP235" s="26"/>
      <c r="DQ235" s="26"/>
      <c r="DR235" s="26"/>
      <c r="DS235" s="26"/>
      <c r="DT235" s="26"/>
      <c r="DU235" s="26"/>
      <c r="DV235" s="26"/>
      <c r="DW235" s="26"/>
      <c r="DX235" s="26"/>
      <c r="DY235" s="26"/>
      <c r="DZ235" s="26"/>
      <c r="EA235" s="26"/>
      <c r="EB235" s="26"/>
      <c r="EC235" s="26"/>
      <c r="ED235" s="26"/>
      <c r="EE235" s="26"/>
      <c r="EF235" s="26"/>
      <c r="EG235" s="26"/>
      <c r="EH235" s="26"/>
      <c r="EI235" s="26"/>
      <c r="EJ235" s="26"/>
      <c r="EK235" s="26"/>
      <c r="EL235" s="26"/>
      <c r="EM235" s="26"/>
      <c r="EN235" s="26"/>
      <c r="EO235" s="26"/>
      <c r="EP235" s="26"/>
      <c r="EQ235" s="26"/>
      <c r="ER235" s="26"/>
      <c r="ES235" s="26"/>
      <c r="ET235" s="26"/>
      <c r="EU235" s="26"/>
      <c r="EV235" s="26"/>
      <c r="EW235" s="26"/>
      <c r="EX235" s="26"/>
      <c r="EY235" s="26"/>
      <c r="EZ235" s="26"/>
      <c r="FA235" s="60"/>
      <c r="FB235" s="60"/>
      <c r="FC235" s="60"/>
      <c r="FD235" s="60"/>
      <c r="FE235" s="60"/>
      <c r="FF235" s="60"/>
      <c r="FG235" s="60"/>
      <c r="FH235" s="60"/>
      <c r="FI235" s="60"/>
      <c r="FJ235" s="60"/>
      <c r="FK235" s="60"/>
      <c r="FL235" s="60"/>
      <c r="FM235" s="60"/>
      <c r="FN235" s="60"/>
      <c r="FO235" s="60"/>
      <c r="FP235" s="60"/>
      <c r="FQ235" s="60"/>
      <c r="FR235" s="60"/>
      <c r="FS235" s="60"/>
      <c r="FT235" s="60"/>
      <c r="FU235" s="60"/>
      <c r="FV235" s="60"/>
      <c r="FW235" s="60"/>
      <c r="FX235" s="60"/>
    </row>
    <row r="236">
      <c r="A236" s="18"/>
      <c r="B236" s="14"/>
      <c r="C236" s="14"/>
      <c r="D236" s="14"/>
      <c r="E236" s="18"/>
      <c r="F236" s="18"/>
      <c r="G236" s="18"/>
      <c r="H236" s="18"/>
      <c r="I236" s="18"/>
      <c r="J236" s="18"/>
      <c r="K236" s="18"/>
      <c r="L236" s="18"/>
      <c r="M236" s="18"/>
      <c r="N236" s="18"/>
      <c r="O236" s="18"/>
      <c r="P236" s="23"/>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c r="DS236" s="26"/>
      <c r="DT236" s="26"/>
      <c r="DU236" s="26"/>
      <c r="DV236" s="26"/>
      <c r="DW236" s="26"/>
      <c r="DX236" s="26"/>
      <c r="DY236" s="26"/>
      <c r="DZ236" s="26"/>
      <c r="EA236" s="26"/>
      <c r="EB236" s="26"/>
      <c r="EC236" s="26"/>
      <c r="ED236" s="26"/>
      <c r="EE236" s="26"/>
      <c r="EF236" s="26"/>
      <c r="EG236" s="26"/>
      <c r="EH236" s="26"/>
      <c r="EI236" s="26"/>
      <c r="EJ236" s="26"/>
      <c r="EK236" s="26"/>
      <c r="EL236" s="26"/>
      <c r="EM236" s="26"/>
      <c r="EN236" s="26"/>
      <c r="EO236" s="26"/>
      <c r="EP236" s="26"/>
      <c r="EQ236" s="26"/>
      <c r="ER236" s="26"/>
      <c r="ES236" s="26"/>
      <c r="ET236" s="26"/>
      <c r="EU236" s="26"/>
      <c r="EV236" s="26"/>
      <c r="EW236" s="26"/>
      <c r="EX236" s="26"/>
      <c r="EY236" s="26"/>
      <c r="EZ236" s="26"/>
      <c r="FA236" s="60"/>
      <c r="FB236" s="60"/>
      <c r="FC236" s="60"/>
      <c r="FD236" s="60"/>
      <c r="FE236" s="60"/>
      <c r="FF236" s="60"/>
      <c r="FG236" s="60"/>
      <c r="FH236" s="60"/>
      <c r="FI236" s="60"/>
      <c r="FJ236" s="60"/>
      <c r="FK236" s="60"/>
      <c r="FL236" s="60"/>
      <c r="FM236" s="60"/>
      <c r="FN236" s="60"/>
      <c r="FO236" s="60"/>
      <c r="FP236" s="60"/>
      <c r="FQ236" s="60"/>
      <c r="FR236" s="60"/>
      <c r="FS236" s="60"/>
      <c r="FT236" s="60"/>
      <c r="FU236" s="60"/>
      <c r="FV236" s="60"/>
      <c r="FW236" s="60"/>
      <c r="FX236" s="60"/>
    </row>
    <row r="237">
      <c r="A237" s="18"/>
      <c r="B237" s="14"/>
      <c r="C237" s="14"/>
      <c r="D237" s="14"/>
      <c r="E237" s="18"/>
      <c r="F237" s="18"/>
      <c r="G237" s="18"/>
      <c r="H237" s="18"/>
      <c r="I237" s="18"/>
      <c r="J237" s="18"/>
      <c r="K237" s="18"/>
      <c r="L237" s="18"/>
      <c r="M237" s="18"/>
      <c r="N237" s="18"/>
      <c r="O237" s="18"/>
      <c r="P237" s="23"/>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60"/>
      <c r="FB237" s="60"/>
      <c r="FC237" s="60"/>
      <c r="FD237" s="60"/>
      <c r="FE237" s="60"/>
      <c r="FF237" s="60"/>
      <c r="FG237" s="60"/>
      <c r="FH237" s="60"/>
      <c r="FI237" s="60"/>
      <c r="FJ237" s="60"/>
      <c r="FK237" s="60"/>
      <c r="FL237" s="60"/>
      <c r="FM237" s="60"/>
      <c r="FN237" s="60"/>
      <c r="FO237" s="60"/>
      <c r="FP237" s="60"/>
      <c r="FQ237" s="60"/>
      <c r="FR237" s="60"/>
      <c r="FS237" s="60"/>
      <c r="FT237" s="60"/>
      <c r="FU237" s="60"/>
      <c r="FV237" s="60"/>
      <c r="FW237" s="60"/>
      <c r="FX237" s="60"/>
    </row>
    <row r="238">
      <c r="A238" s="18"/>
      <c r="B238" s="14"/>
      <c r="C238" s="14"/>
      <c r="D238" s="14"/>
      <c r="E238" s="18"/>
      <c r="F238" s="18"/>
      <c r="G238" s="18"/>
      <c r="H238" s="18"/>
      <c r="I238" s="18"/>
      <c r="J238" s="18"/>
      <c r="K238" s="18"/>
      <c r="L238" s="18"/>
      <c r="M238" s="18"/>
      <c r="N238" s="18"/>
      <c r="O238" s="18"/>
      <c r="P238" s="23"/>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26"/>
      <c r="EA238" s="26"/>
      <c r="EB238" s="26"/>
      <c r="EC238" s="26"/>
      <c r="ED238" s="26"/>
      <c r="EE238" s="26"/>
      <c r="EF238" s="26"/>
      <c r="EG238" s="26"/>
      <c r="EH238" s="26"/>
      <c r="EI238" s="26"/>
      <c r="EJ238" s="26"/>
      <c r="EK238" s="26"/>
      <c r="EL238" s="26"/>
      <c r="EM238" s="26"/>
      <c r="EN238" s="26"/>
      <c r="EO238" s="26"/>
      <c r="EP238" s="26"/>
      <c r="EQ238" s="26"/>
      <c r="ER238" s="26"/>
      <c r="ES238" s="26"/>
      <c r="ET238" s="26"/>
      <c r="EU238" s="26"/>
      <c r="EV238" s="26"/>
      <c r="EW238" s="26"/>
      <c r="EX238" s="26"/>
      <c r="EY238" s="26"/>
      <c r="EZ238" s="26"/>
      <c r="FA238" s="60"/>
      <c r="FB238" s="60"/>
      <c r="FC238" s="60"/>
      <c r="FD238" s="60"/>
      <c r="FE238" s="60"/>
      <c r="FF238" s="60"/>
      <c r="FG238" s="60"/>
      <c r="FH238" s="60"/>
      <c r="FI238" s="60"/>
      <c r="FJ238" s="60"/>
      <c r="FK238" s="60"/>
      <c r="FL238" s="60"/>
      <c r="FM238" s="60"/>
      <c r="FN238" s="60"/>
      <c r="FO238" s="60"/>
      <c r="FP238" s="60"/>
      <c r="FQ238" s="60"/>
      <c r="FR238" s="60"/>
      <c r="FS238" s="60"/>
      <c r="FT238" s="60"/>
      <c r="FU238" s="60"/>
      <c r="FV238" s="60"/>
      <c r="FW238" s="60"/>
      <c r="FX238" s="60"/>
    </row>
    <row r="239">
      <c r="A239" s="18"/>
      <c r="B239" s="14"/>
      <c r="C239" s="14"/>
      <c r="D239" s="14"/>
      <c r="E239" s="18"/>
      <c r="F239" s="18"/>
      <c r="G239" s="18"/>
      <c r="H239" s="18"/>
      <c r="I239" s="18"/>
      <c r="J239" s="18"/>
      <c r="K239" s="18"/>
      <c r="L239" s="18"/>
      <c r="M239" s="18"/>
      <c r="N239" s="18"/>
      <c r="O239" s="18"/>
      <c r="P239" s="23"/>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26"/>
      <c r="EA239" s="26"/>
      <c r="EB239" s="26"/>
      <c r="EC239" s="26"/>
      <c r="ED239" s="26"/>
      <c r="EE239" s="26"/>
      <c r="EF239" s="26"/>
      <c r="EG239" s="26"/>
      <c r="EH239" s="26"/>
      <c r="EI239" s="26"/>
      <c r="EJ239" s="26"/>
      <c r="EK239" s="26"/>
      <c r="EL239" s="26"/>
      <c r="EM239" s="26"/>
      <c r="EN239" s="26"/>
      <c r="EO239" s="26"/>
      <c r="EP239" s="26"/>
      <c r="EQ239" s="26"/>
      <c r="ER239" s="26"/>
      <c r="ES239" s="26"/>
      <c r="ET239" s="26"/>
      <c r="EU239" s="26"/>
      <c r="EV239" s="26"/>
      <c r="EW239" s="26"/>
      <c r="EX239" s="26"/>
      <c r="EY239" s="26"/>
      <c r="EZ239" s="26"/>
      <c r="FA239" s="60"/>
      <c r="FB239" s="60"/>
      <c r="FC239" s="60"/>
      <c r="FD239" s="60"/>
      <c r="FE239" s="60"/>
      <c r="FF239" s="60"/>
      <c r="FG239" s="60"/>
      <c r="FH239" s="60"/>
      <c r="FI239" s="60"/>
      <c r="FJ239" s="60"/>
      <c r="FK239" s="60"/>
      <c r="FL239" s="60"/>
      <c r="FM239" s="60"/>
      <c r="FN239" s="60"/>
      <c r="FO239" s="60"/>
      <c r="FP239" s="60"/>
      <c r="FQ239" s="60"/>
      <c r="FR239" s="60"/>
      <c r="FS239" s="60"/>
      <c r="FT239" s="60"/>
      <c r="FU239" s="60"/>
      <c r="FV239" s="60"/>
      <c r="FW239" s="60"/>
      <c r="FX239" s="60"/>
    </row>
    <row r="240">
      <c r="A240" s="18"/>
      <c r="B240" s="14"/>
      <c r="C240" s="14"/>
      <c r="D240" s="14"/>
      <c r="E240" s="18"/>
      <c r="F240" s="18"/>
      <c r="G240" s="18"/>
      <c r="H240" s="18"/>
      <c r="I240" s="18"/>
      <c r="J240" s="18"/>
      <c r="K240" s="18"/>
      <c r="L240" s="18"/>
      <c r="M240" s="18"/>
      <c r="N240" s="18"/>
      <c r="O240" s="18"/>
      <c r="P240" s="23"/>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26"/>
      <c r="EA240" s="26"/>
      <c r="EB240" s="26"/>
      <c r="EC240" s="26"/>
      <c r="ED240" s="26"/>
      <c r="EE240" s="26"/>
      <c r="EF240" s="26"/>
      <c r="EG240" s="26"/>
      <c r="EH240" s="26"/>
      <c r="EI240" s="26"/>
      <c r="EJ240" s="26"/>
      <c r="EK240" s="26"/>
      <c r="EL240" s="26"/>
      <c r="EM240" s="26"/>
      <c r="EN240" s="26"/>
      <c r="EO240" s="26"/>
      <c r="EP240" s="26"/>
      <c r="EQ240" s="26"/>
      <c r="ER240" s="26"/>
      <c r="ES240" s="26"/>
      <c r="ET240" s="26"/>
      <c r="EU240" s="26"/>
      <c r="EV240" s="26"/>
      <c r="EW240" s="26"/>
      <c r="EX240" s="26"/>
      <c r="EY240" s="26"/>
      <c r="EZ240" s="26"/>
      <c r="FA240" s="60"/>
      <c r="FB240" s="60"/>
      <c r="FC240" s="60"/>
      <c r="FD240" s="60"/>
      <c r="FE240" s="60"/>
      <c r="FF240" s="60"/>
      <c r="FG240" s="60"/>
      <c r="FH240" s="60"/>
      <c r="FI240" s="60"/>
      <c r="FJ240" s="60"/>
      <c r="FK240" s="60"/>
      <c r="FL240" s="60"/>
      <c r="FM240" s="60"/>
      <c r="FN240" s="60"/>
      <c r="FO240" s="60"/>
      <c r="FP240" s="60"/>
      <c r="FQ240" s="60"/>
      <c r="FR240" s="60"/>
      <c r="FS240" s="60"/>
      <c r="FT240" s="60"/>
      <c r="FU240" s="60"/>
      <c r="FV240" s="60"/>
      <c r="FW240" s="60"/>
      <c r="FX240" s="60"/>
    </row>
    <row r="241">
      <c r="A241" s="18"/>
      <c r="B241" s="14"/>
      <c r="C241" s="14"/>
      <c r="D241" s="14"/>
      <c r="E241" s="18"/>
      <c r="F241" s="18"/>
      <c r="G241" s="18"/>
      <c r="H241" s="18"/>
      <c r="I241" s="18"/>
      <c r="J241" s="18"/>
      <c r="K241" s="18"/>
      <c r="L241" s="18"/>
      <c r="M241" s="18"/>
      <c r="N241" s="18"/>
      <c r="O241" s="18"/>
      <c r="P241" s="23"/>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c r="DD241" s="26"/>
      <c r="DE241" s="26"/>
      <c r="DF241" s="26"/>
      <c r="DG241" s="26"/>
      <c r="DH241" s="26"/>
      <c r="DI241" s="26"/>
      <c r="DJ241" s="26"/>
      <c r="DK241" s="26"/>
      <c r="DL241" s="26"/>
      <c r="DM241" s="26"/>
      <c r="DN241" s="26"/>
      <c r="DO241" s="26"/>
      <c r="DP241" s="26"/>
      <c r="DQ241" s="26"/>
      <c r="DR241" s="26"/>
      <c r="DS241" s="26"/>
      <c r="DT241" s="26"/>
      <c r="DU241" s="26"/>
      <c r="DV241" s="26"/>
      <c r="DW241" s="26"/>
      <c r="DX241" s="26"/>
      <c r="DY241" s="26"/>
      <c r="DZ241" s="26"/>
      <c r="EA241" s="26"/>
      <c r="EB241" s="26"/>
      <c r="EC241" s="26"/>
      <c r="ED241" s="26"/>
      <c r="EE241" s="26"/>
      <c r="EF241" s="26"/>
      <c r="EG241" s="26"/>
      <c r="EH241" s="26"/>
      <c r="EI241" s="26"/>
      <c r="EJ241" s="26"/>
      <c r="EK241" s="26"/>
      <c r="EL241" s="26"/>
      <c r="EM241" s="26"/>
      <c r="EN241" s="26"/>
      <c r="EO241" s="26"/>
      <c r="EP241" s="26"/>
      <c r="EQ241" s="26"/>
      <c r="ER241" s="26"/>
      <c r="ES241" s="26"/>
      <c r="ET241" s="26"/>
      <c r="EU241" s="26"/>
      <c r="EV241" s="26"/>
      <c r="EW241" s="26"/>
      <c r="EX241" s="26"/>
      <c r="EY241" s="26"/>
      <c r="EZ241" s="26"/>
      <c r="FA241" s="60"/>
      <c r="FB241" s="60"/>
      <c r="FC241" s="60"/>
      <c r="FD241" s="60"/>
      <c r="FE241" s="60"/>
      <c r="FF241" s="60"/>
      <c r="FG241" s="60"/>
      <c r="FH241" s="60"/>
      <c r="FI241" s="60"/>
      <c r="FJ241" s="60"/>
      <c r="FK241" s="60"/>
      <c r="FL241" s="60"/>
      <c r="FM241" s="60"/>
      <c r="FN241" s="60"/>
      <c r="FO241" s="60"/>
      <c r="FP241" s="60"/>
      <c r="FQ241" s="60"/>
      <c r="FR241" s="60"/>
      <c r="FS241" s="60"/>
      <c r="FT241" s="60"/>
      <c r="FU241" s="60"/>
      <c r="FV241" s="60"/>
      <c r="FW241" s="60"/>
      <c r="FX241" s="60"/>
    </row>
    <row r="242">
      <c r="A242" s="18"/>
      <c r="B242" s="14"/>
      <c r="C242" s="14"/>
      <c r="D242" s="14"/>
      <c r="E242" s="18"/>
      <c r="F242" s="18"/>
      <c r="G242" s="18"/>
      <c r="H242" s="18"/>
      <c r="I242" s="18"/>
      <c r="J242" s="18"/>
      <c r="K242" s="18"/>
      <c r="L242" s="18"/>
      <c r="M242" s="18"/>
      <c r="N242" s="18"/>
      <c r="O242" s="18"/>
      <c r="P242" s="23"/>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c r="DD242" s="26"/>
      <c r="DE242" s="26"/>
      <c r="DF242" s="26"/>
      <c r="DG242" s="26"/>
      <c r="DH242" s="26"/>
      <c r="DI242" s="26"/>
      <c r="DJ242" s="26"/>
      <c r="DK242" s="26"/>
      <c r="DL242" s="26"/>
      <c r="DM242" s="26"/>
      <c r="DN242" s="26"/>
      <c r="DO242" s="26"/>
      <c r="DP242" s="26"/>
      <c r="DQ242" s="26"/>
      <c r="DR242" s="26"/>
      <c r="DS242" s="26"/>
      <c r="DT242" s="26"/>
      <c r="DU242" s="26"/>
      <c r="DV242" s="26"/>
      <c r="DW242" s="26"/>
      <c r="DX242" s="26"/>
      <c r="DY242" s="26"/>
      <c r="DZ242" s="26"/>
      <c r="EA242" s="26"/>
      <c r="EB242" s="26"/>
      <c r="EC242" s="26"/>
      <c r="ED242" s="26"/>
      <c r="EE242" s="26"/>
      <c r="EF242" s="26"/>
      <c r="EG242" s="26"/>
      <c r="EH242" s="26"/>
      <c r="EI242" s="26"/>
      <c r="EJ242" s="26"/>
      <c r="EK242" s="26"/>
      <c r="EL242" s="26"/>
      <c r="EM242" s="26"/>
      <c r="EN242" s="26"/>
      <c r="EO242" s="26"/>
      <c r="EP242" s="26"/>
      <c r="EQ242" s="26"/>
      <c r="ER242" s="26"/>
      <c r="ES242" s="26"/>
      <c r="ET242" s="26"/>
      <c r="EU242" s="26"/>
      <c r="EV242" s="26"/>
      <c r="EW242" s="26"/>
      <c r="EX242" s="26"/>
      <c r="EY242" s="26"/>
      <c r="EZ242" s="26"/>
      <c r="FA242" s="60"/>
      <c r="FB242" s="60"/>
      <c r="FC242" s="60"/>
      <c r="FD242" s="60"/>
      <c r="FE242" s="60"/>
      <c r="FF242" s="60"/>
      <c r="FG242" s="60"/>
      <c r="FH242" s="60"/>
      <c r="FI242" s="60"/>
      <c r="FJ242" s="60"/>
      <c r="FK242" s="60"/>
      <c r="FL242" s="60"/>
      <c r="FM242" s="60"/>
      <c r="FN242" s="60"/>
      <c r="FO242" s="60"/>
      <c r="FP242" s="60"/>
      <c r="FQ242" s="60"/>
      <c r="FR242" s="60"/>
      <c r="FS242" s="60"/>
      <c r="FT242" s="60"/>
      <c r="FU242" s="60"/>
      <c r="FV242" s="60"/>
      <c r="FW242" s="60"/>
      <c r="FX242" s="60"/>
    </row>
    <row r="243">
      <c r="A243" s="18"/>
      <c r="B243" s="14"/>
      <c r="C243" s="14"/>
      <c r="D243" s="14"/>
      <c r="E243" s="18"/>
      <c r="F243" s="18"/>
      <c r="G243" s="18"/>
      <c r="H243" s="18"/>
      <c r="I243" s="18"/>
      <c r="J243" s="18"/>
      <c r="K243" s="18"/>
      <c r="L243" s="18"/>
      <c r="M243" s="18"/>
      <c r="N243" s="18"/>
      <c r="O243" s="18"/>
      <c r="P243" s="23"/>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c r="DD243" s="26"/>
      <c r="DE243" s="26"/>
      <c r="DF243" s="26"/>
      <c r="DG243" s="26"/>
      <c r="DH243" s="26"/>
      <c r="DI243" s="26"/>
      <c r="DJ243" s="26"/>
      <c r="DK243" s="26"/>
      <c r="DL243" s="26"/>
      <c r="DM243" s="26"/>
      <c r="DN243" s="26"/>
      <c r="DO243" s="26"/>
      <c r="DP243" s="26"/>
      <c r="DQ243" s="26"/>
      <c r="DR243" s="26"/>
      <c r="DS243" s="26"/>
      <c r="DT243" s="26"/>
      <c r="DU243" s="26"/>
      <c r="DV243" s="26"/>
      <c r="DW243" s="26"/>
      <c r="DX243" s="26"/>
      <c r="DY243" s="26"/>
      <c r="DZ243" s="26"/>
      <c r="EA243" s="26"/>
      <c r="EB243" s="26"/>
      <c r="EC243" s="26"/>
      <c r="ED243" s="26"/>
      <c r="EE243" s="26"/>
      <c r="EF243" s="26"/>
      <c r="EG243" s="26"/>
      <c r="EH243" s="26"/>
      <c r="EI243" s="26"/>
      <c r="EJ243" s="26"/>
      <c r="EK243" s="26"/>
      <c r="EL243" s="26"/>
      <c r="EM243" s="26"/>
      <c r="EN243" s="26"/>
      <c r="EO243" s="26"/>
      <c r="EP243" s="26"/>
      <c r="EQ243" s="26"/>
      <c r="ER243" s="26"/>
      <c r="ES243" s="26"/>
      <c r="ET243" s="26"/>
      <c r="EU243" s="26"/>
      <c r="EV243" s="26"/>
      <c r="EW243" s="26"/>
      <c r="EX243" s="26"/>
      <c r="EY243" s="26"/>
      <c r="EZ243" s="26"/>
      <c r="FA243" s="60"/>
      <c r="FB243" s="60"/>
      <c r="FC243" s="60"/>
      <c r="FD243" s="60"/>
      <c r="FE243" s="60"/>
      <c r="FF243" s="60"/>
      <c r="FG243" s="60"/>
      <c r="FH243" s="60"/>
      <c r="FI243" s="60"/>
      <c r="FJ243" s="60"/>
      <c r="FK243" s="60"/>
      <c r="FL243" s="60"/>
      <c r="FM243" s="60"/>
      <c r="FN243" s="60"/>
      <c r="FO243" s="60"/>
      <c r="FP243" s="60"/>
      <c r="FQ243" s="60"/>
      <c r="FR243" s="60"/>
      <c r="FS243" s="60"/>
      <c r="FT243" s="60"/>
      <c r="FU243" s="60"/>
      <c r="FV243" s="60"/>
      <c r="FW243" s="60"/>
      <c r="FX243" s="60"/>
    </row>
    <row r="244">
      <c r="A244" s="18"/>
      <c r="B244" s="14"/>
      <c r="C244" s="14"/>
      <c r="D244" s="14"/>
      <c r="E244" s="18"/>
      <c r="F244" s="18"/>
      <c r="G244" s="18"/>
      <c r="H244" s="18"/>
      <c r="I244" s="18"/>
      <c r="J244" s="18"/>
      <c r="K244" s="18"/>
      <c r="L244" s="18"/>
      <c r="M244" s="18"/>
      <c r="N244" s="18"/>
      <c r="O244" s="18"/>
      <c r="P244" s="23"/>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c r="DD244" s="26"/>
      <c r="DE244" s="26"/>
      <c r="DF244" s="26"/>
      <c r="DG244" s="26"/>
      <c r="DH244" s="26"/>
      <c r="DI244" s="26"/>
      <c r="DJ244" s="26"/>
      <c r="DK244" s="26"/>
      <c r="DL244" s="26"/>
      <c r="DM244" s="26"/>
      <c r="DN244" s="26"/>
      <c r="DO244" s="26"/>
      <c r="DP244" s="26"/>
      <c r="DQ244" s="26"/>
      <c r="DR244" s="26"/>
      <c r="DS244" s="26"/>
      <c r="DT244" s="26"/>
      <c r="DU244" s="26"/>
      <c r="DV244" s="26"/>
      <c r="DW244" s="26"/>
      <c r="DX244" s="26"/>
      <c r="DY244" s="26"/>
      <c r="DZ244" s="26"/>
      <c r="EA244" s="26"/>
      <c r="EB244" s="26"/>
      <c r="EC244" s="26"/>
      <c r="ED244" s="26"/>
      <c r="EE244" s="26"/>
      <c r="EF244" s="26"/>
      <c r="EG244" s="26"/>
      <c r="EH244" s="26"/>
      <c r="EI244" s="26"/>
      <c r="EJ244" s="26"/>
      <c r="EK244" s="26"/>
      <c r="EL244" s="26"/>
      <c r="EM244" s="26"/>
      <c r="EN244" s="26"/>
      <c r="EO244" s="26"/>
      <c r="EP244" s="26"/>
      <c r="EQ244" s="26"/>
      <c r="ER244" s="26"/>
      <c r="ES244" s="26"/>
      <c r="ET244" s="26"/>
      <c r="EU244" s="26"/>
      <c r="EV244" s="26"/>
      <c r="EW244" s="26"/>
      <c r="EX244" s="26"/>
      <c r="EY244" s="26"/>
      <c r="EZ244" s="26"/>
      <c r="FA244" s="60"/>
      <c r="FB244" s="60"/>
      <c r="FC244" s="60"/>
      <c r="FD244" s="60"/>
      <c r="FE244" s="60"/>
      <c r="FF244" s="60"/>
      <c r="FG244" s="60"/>
      <c r="FH244" s="60"/>
      <c r="FI244" s="60"/>
      <c r="FJ244" s="60"/>
      <c r="FK244" s="60"/>
      <c r="FL244" s="60"/>
      <c r="FM244" s="60"/>
      <c r="FN244" s="60"/>
      <c r="FO244" s="60"/>
      <c r="FP244" s="60"/>
      <c r="FQ244" s="60"/>
      <c r="FR244" s="60"/>
      <c r="FS244" s="60"/>
      <c r="FT244" s="60"/>
      <c r="FU244" s="60"/>
      <c r="FV244" s="60"/>
      <c r="FW244" s="60"/>
      <c r="FX244" s="60"/>
    </row>
    <row r="245">
      <c r="A245" s="18"/>
      <c r="B245" s="14"/>
      <c r="C245" s="14"/>
      <c r="D245" s="14"/>
      <c r="E245" s="18"/>
      <c r="F245" s="18"/>
      <c r="G245" s="18"/>
      <c r="H245" s="18"/>
      <c r="I245" s="18"/>
      <c r="J245" s="18"/>
      <c r="K245" s="18"/>
      <c r="L245" s="18"/>
      <c r="M245" s="18"/>
      <c r="N245" s="18"/>
      <c r="O245" s="18"/>
      <c r="P245" s="23"/>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26"/>
      <c r="EA245" s="26"/>
      <c r="EB245" s="26"/>
      <c r="EC245" s="26"/>
      <c r="ED245" s="26"/>
      <c r="EE245" s="26"/>
      <c r="EF245" s="26"/>
      <c r="EG245" s="26"/>
      <c r="EH245" s="26"/>
      <c r="EI245" s="26"/>
      <c r="EJ245" s="26"/>
      <c r="EK245" s="26"/>
      <c r="EL245" s="26"/>
      <c r="EM245" s="26"/>
      <c r="EN245" s="26"/>
      <c r="EO245" s="26"/>
      <c r="EP245" s="26"/>
      <c r="EQ245" s="26"/>
      <c r="ER245" s="26"/>
      <c r="ES245" s="26"/>
      <c r="ET245" s="26"/>
      <c r="EU245" s="26"/>
      <c r="EV245" s="26"/>
      <c r="EW245" s="26"/>
      <c r="EX245" s="26"/>
      <c r="EY245" s="26"/>
      <c r="EZ245" s="26"/>
      <c r="FA245" s="60"/>
      <c r="FB245" s="60"/>
      <c r="FC245" s="60"/>
      <c r="FD245" s="60"/>
      <c r="FE245" s="60"/>
      <c r="FF245" s="60"/>
      <c r="FG245" s="60"/>
      <c r="FH245" s="60"/>
      <c r="FI245" s="60"/>
      <c r="FJ245" s="60"/>
      <c r="FK245" s="60"/>
      <c r="FL245" s="60"/>
      <c r="FM245" s="60"/>
      <c r="FN245" s="60"/>
      <c r="FO245" s="60"/>
      <c r="FP245" s="60"/>
      <c r="FQ245" s="60"/>
      <c r="FR245" s="60"/>
      <c r="FS245" s="60"/>
      <c r="FT245" s="60"/>
      <c r="FU245" s="60"/>
      <c r="FV245" s="60"/>
      <c r="FW245" s="60"/>
      <c r="FX245" s="60"/>
    </row>
    <row r="246">
      <c r="A246" s="18"/>
      <c r="B246" s="14"/>
      <c r="C246" s="14"/>
      <c r="D246" s="14"/>
      <c r="E246" s="18"/>
      <c r="F246" s="18"/>
      <c r="G246" s="18"/>
      <c r="H246" s="18"/>
      <c r="I246" s="18"/>
      <c r="J246" s="18"/>
      <c r="K246" s="18"/>
      <c r="L246" s="18"/>
      <c r="M246" s="18"/>
      <c r="N246" s="18"/>
      <c r="O246" s="18"/>
      <c r="P246" s="23"/>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26"/>
      <c r="EA246" s="26"/>
      <c r="EB246" s="26"/>
      <c r="EC246" s="26"/>
      <c r="ED246" s="26"/>
      <c r="EE246" s="26"/>
      <c r="EF246" s="26"/>
      <c r="EG246" s="26"/>
      <c r="EH246" s="26"/>
      <c r="EI246" s="26"/>
      <c r="EJ246" s="26"/>
      <c r="EK246" s="26"/>
      <c r="EL246" s="26"/>
      <c r="EM246" s="26"/>
      <c r="EN246" s="26"/>
      <c r="EO246" s="26"/>
      <c r="EP246" s="26"/>
      <c r="EQ246" s="26"/>
      <c r="ER246" s="26"/>
      <c r="ES246" s="26"/>
      <c r="ET246" s="26"/>
      <c r="EU246" s="26"/>
      <c r="EV246" s="26"/>
      <c r="EW246" s="26"/>
      <c r="EX246" s="26"/>
      <c r="EY246" s="26"/>
      <c r="EZ246" s="26"/>
      <c r="FA246" s="60"/>
      <c r="FB246" s="60"/>
      <c r="FC246" s="60"/>
      <c r="FD246" s="60"/>
      <c r="FE246" s="60"/>
      <c r="FF246" s="60"/>
      <c r="FG246" s="60"/>
      <c r="FH246" s="60"/>
      <c r="FI246" s="60"/>
      <c r="FJ246" s="60"/>
      <c r="FK246" s="60"/>
      <c r="FL246" s="60"/>
      <c r="FM246" s="60"/>
      <c r="FN246" s="60"/>
      <c r="FO246" s="60"/>
      <c r="FP246" s="60"/>
      <c r="FQ246" s="60"/>
      <c r="FR246" s="60"/>
      <c r="FS246" s="60"/>
      <c r="FT246" s="60"/>
      <c r="FU246" s="60"/>
      <c r="FV246" s="60"/>
      <c r="FW246" s="60"/>
      <c r="FX246" s="60"/>
    </row>
    <row r="247">
      <c r="A247" s="18"/>
      <c r="B247" s="14"/>
      <c r="C247" s="14"/>
      <c r="D247" s="14"/>
      <c r="E247" s="18"/>
      <c r="F247" s="18"/>
      <c r="G247" s="18"/>
      <c r="H247" s="18"/>
      <c r="I247" s="18"/>
      <c r="J247" s="18"/>
      <c r="K247" s="18"/>
      <c r="L247" s="18"/>
      <c r="M247" s="18"/>
      <c r="N247" s="18"/>
      <c r="O247" s="18"/>
      <c r="P247" s="23"/>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60"/>
      <c r="FB247" s="60"/>
      <c r="FC247" s="60"/>
      <c r="FD247" s="60"/>
      <c r="FE247" s="60"/>
      <c r="FF247" s="60"/>
      <c r="FG247" s="60"/>
      <c r="FH247" s="60"/>
      <c r="FI247" s="60"/>
      <c r="FJ247" s="60"/>
      <c r="FK247" s="60"/>
      <c r="FL247" s="60"/>
      <c r="FM247" s="60"/>
      <c r="FN247" s="60"/>
      <c r="FO247" s="60"/>
      <c r="FP247" s="60"/>
      <c r="FQ247" s="60"/>
      <c r="FR247" s="60"/>
      <c r="FS247" s="60"/>
      <c r="FT247" s="60"/>
      <c r="FU247" s="60"/>
      <c r="FV247" s="60"/>
      <c r="FW247" s="60"/>
      <c r="FX247" s="60"/>
    </row>
    <row r="248">
      <c r="A248" s="18"/>
      <c r="B248" s="14"/>
      <c r="C248" s="14"/>
      <c r="D248" s="14"/>
      <c r="E248" s="18"/>
      <c r="F248" s="18"/>
      <c r="G248" s="18"/>
      <c r="H248" s="18"/>
      <c r="I248" s="18"/>
      <c r="J248" s="18"/>
      <c r="K248" s="18"/>
      <c r="L248" s="18"/>
      <c r="M248" s="18"/>
      <c r="N248" s="18"/>
      <c r="O248" s="18"/>
      <c r="P248" s="23"/>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60"/>
      <c r="FB248" s="60"/>
      <c r="FC248" s="60"/>
      <c r="FD248" s="60"/>
      <c r="FE248" s="60"/>
      <c r="FF248" s="60"/>
      <c r="FG248" s="60"/>
      <c r="FH248" s="60"/>
      <c r="FI248" s="60"/>
      <c r="FJ248" s="60"/>
      <c r="FK248" s="60"/>
      <c r="FL248" s="60"/>
      <c r="FM248" s="60"/>
      <c r="FN248" s="60"/>
      <c r="FO248" s="60"/>
      <c r="FP248" s="60"/>
      <c r="FQ248" s="60"/>
      <c r="FR248" s="60"/>
      <c r="FS248" s="60"/>
      <c r="FT248" s="60"/>
      <c r="FU248" s="60"/>
      <c r="FV248" s="60"/>
      <c r="FW248" s="60"/>
      <c r="FX248" s="60"/>
    </row>
    <row r="249">
      <c r="A249" s="18"/>
      <c r="B249" s="14"/>
      <c r="C249" s="14"/>
      <c r="D249" s="14"/>
      <c r="E249" s="18"/>
      <c r="F249" s="18"/>
      <c r="G249" s="18"/>
      <c r="H249" s="18"/>
      <c r="I249" s="18"/>
      <c r="J249" s="18"/>
      <c r="K249" s="18"/>
      <c r="L249" s="18"/>
      <c r="M249" s="18"/>
      <c r="N249" s="18"/>
      <c r="O249" s="18"/>
      <c r="P249" s="23"/>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60"/>
      <c r="FB249" s="60"/>
      <c r="FC249" s="60"/>
      <c r="FD249" s="60"/>
      <c r="FE249" s="60"/>
      <c r="FF249" s="60"/>
      <c r="FG249" s="60"/>
      <c r="FH249" s="60"/>
      <c r="FI249" s="60"/>
      <c r="FJ249" s="60"/>
      <c r="FK249" s="60"/>
      <c r="FL249" s="60"/>
      <c r="FM249" s="60"/>
      <c r="FN249" s="60"/>
      <c r="FO249" s="60"/>
      <c r="FP249" s="60"/>
      <c r="FQ249" s="60"/>
      <c r="FR249" s="60"/>
      <c r="FS249" s="60"/>
      <c r="FT249" s="60"/>
      <c r="FU249" s="60"/>
      <c r="FV249" s="60"/>
      <c r="FW249" s="60"/>
      <c r="FX249" s="60"/>
    </row>
    <row r="250">
      <c r="A250" s="18"/>
      <c r="B250" s="14"/>
      <c r="C250" s="14"/>
      <c r="D250" s="14"/>
      <c r="E250" s="18"/>
      <c r="F250" s="18"/>
      <c r="G250" s="18"/>
      <c r="H250" s="18"/>
      <c r="I250" s="18"/>
      <c r="J250" s="18"/>
      <c r="K250" s="18"/>
      <c r="L250" s="18"/>
      <c r="M250" s="18"/>
      <c r="N250" s="18"/>
      <c r="O250" s="18"/>
      <c r="P250" s="23"/>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60"/>
      <c r="FB250" s="60"/>
      <c r="FC250" s="60"/>
      <c r="FD250" s="60"/>
      <c r="FE250" s="60"/>
      <c r="FF250" s="60"/>
      <c r="FG250" s="60"/>
      <c r="FH250" s="60"/>
      <c r="FI250" s="60"/>
      <c r="FJ250" s="60"/>
      <c r="FK250" s="60"/>
      <c r="FL250" s="60"/>
      <c r="FM250" s="60"/>
      <c r="FN250" s="60"/>
      <c r="FO250" s="60"/>
      <c r="FP250" s="60"/>
      <c r="FQ250" s="60"/>
      <c r="FR250" s="60"/>
      <c r="FS250" s="60"/>
      <c r="FT250" s="60"/>
      <c r="FU250" s="60"/>
      <c r="FV250" s="60"/>
      <c r="FW250" s="60"/>
      <c r="FX250" s="60"/>
    </row>
    <row r="251">
      <c r="A251" s="18"/>
      <c r="B251" s="14"/>
      <c r="C251" s="14"/>
      <c r="D251" s="14"/>
      <c r="E251" s="18"/>
      <c r="F251" s="18"/>
      <c r="G251" s="18"/>
      <c r="H251" s="18"/>
      <c r="I251" s="18"/>
      <c r="J251" s="18"/>
      <c r="K251" s="18"/>
      <c r="L251" s="18"/>
      <c r="M251" s="18"/>
      <c r="N251" s="18"/>
      <c r="O251" s="18"/>
      <c r="P251" s="23"/>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26"/>
      <c r="EA251" s="26"/>
      <c r="EB251" s="26"/>
      <c r="EC251" s="26"/>
      <c r="ED251" s="26"/>
      <c r="EE251" s="26"/>
      <c r="EF251" s="26"/>
      <c r="EG251" s="26"/>
      <c r="EH251" s="26"/>
      <c r="EI251" s="26"/>
      <c r="EJ251" s="26"/>
      <c r="EK251" s="26"/>
      <c r="EL251" s="26"/>
      <c r="EM251" s="26"/>
      <c r="EN251" s="26"/>
      <c r="EO251" s="26"/>
      <c r="EP251" s="26"/>
      <c r="EQ251" s="26"/>
      <c r="ER251" s="26"/>
      <c r="ES251" s="26"/>
      <c r="ET251" s="26"/>
      <c r="EU251" s="26"/>
      <c r="EV251" s="26"/>
      <c r="EW251" s="26"/>
      <c r="EX251" s="26"/>
      <c r="EY251" s="26"/>
      <c r="EZ251" s="26"/>
      <c r="FA251" s="60"/>
      <c r="FB251" s="60"/>
      <c r="FC251" s="60"/>
      <c r="FD251" s="60"/>
      <c r="FE251" s="60"/>
      <c r="FF251" s="60"/>
      <c r="FG251" s="60"/>
      <c r="FH251" s="60"/>
      <c r="FI251" s="60"/>
      <c r="FJ251" s="60"/>
      <c r="FK251" s="60"/>
      <c r="FL251" s="60"/>
      <c r="FM251" s="60"/>
      <c r="FN251" s="60"/>
      <c r="FO251" s="60"/>
      <c r="FP251" s="60"/>
      <c r="FQ251" s="60"/>
      <c r="FR251" s="60"/>
      <c r="FS251" s="60"/>
      <c r="FT251" s="60"/>
      <c r="FU251" s="60"/>
      <c r="FV251" s="60"/>
      <c r="FW251" s="60"/>
      <c r="FX251" s="60"/>
    </row>
    <row r="252">
      <c r="A252" s="18"/>
      <c r="B252" s="14"/>
      <c r="C252" s="14"/>
      <c r="D252" s="14"/>
      <c r="E252" s="18"/>
      <c r="F252" s="18"/>
      <c r="G252" s="18"/>
      <c r="H252" s="18"/>
      <c r="I252" s="18"/>
      <c r="J252" s="18"/>
      <c r="K252" s="18"/>
      <c r="L252" s="18"/>
      <c r="M252" s="18"/>
      <c r="N252" s="18"/>
      <c r="O252" s="18"/>
      <c r="P252" s="23"/>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26"/>
      <c r="EA252" s="26"/>
      <c r="EB252" s="26"/>
      <c r="EC252" s="26"/>
      <c r="ED252" s="26"/>
      <c r="EE252" s="26"/>
      <c r="EF252" s="26"/>
      <c r="EG252" s="26"/>
      <c r="EH252" s="26"/>
      <c r="EI252" s="26"/>
      <c r="EJ252" s="26"/>
      <c r="EK252" s="26"/>
      <c r="EL252" s="26"/>
      <c r="EM252" s="26"/>
      <c r="EN252" s="26"/>
      <c r="EO252" s="26"/>
      <c r="EP252" s="26"/>
      <c r="EQ252" s="26"/>
      <c r="ER252" s="26"/>
      <c r="ES252" s="26"/>
      <c r="ET252" s="26"/>
      <c r="EU252" s="26"/>
      <c r="EV252" s="26"/>
      <c r="EW252" s="26"/>
      <c r="EX252" s="26"/>
      <c r="EY252" s="26"/>
      <c r="EZ252" s="26"/>
      <c r="FA252" s="60"/>
      <c r="FB252" s="60"/>
      <c r="FC252" s="60"/>
      <c r="FD252" s="60"/>
      <c r="FE252" s="60"/>
      <c r="FF252" s="60"/>
      <c r="FG252" s="60"/>
      <c r="FH252" s="60"/>
      <c r="FI252" s="60"/>
      <c r="FJ252" s="60"/>
      <c r="FK252" s="60"/>
      <c r="FL252" s="60"/>
      <c r="FM252" s="60"/>
      <c r="FN252" s="60"/>
      <c r="FO252" s="60"/>
      <c r="FP252" s="60"/>
      <c r="FQ252" s="60"/>
      <c r="FR252" s="60"/>
      <c r="FS252" s="60"/>
      <c r="FT252" s="60"/>
      <c r="FU252" s="60"/>
      <c r="FV252" s="60"/>
      <c r="FW252" s="60"/>
      <c r="FX252" s="60"/>
    </row>
    <row r="253">
      <c r="A253" s="18"/>
      <c r="B253" s="14"/>
      <c r="C253" s="14"/>
      <c r="D253" s="14"/>
      <c r="E253" s="18"/>
      <c r="F253" s="18"/>
      <c r="G253" s="18"/>
      <c r="H253" s="18"/>
      <c r="I253" s="18"/>
      <c r="J253" s="18"/>
      <c r="K253" s="18"/>
      <c r="L253" s="18"/>
      <c r="M253" s="18"/>
      <c r="N253" s="18"/>
      <c r="O253" s="18"/>
      <c r="P253" s="23"/>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26"/>
      <c r="EA253" s="26"/>
      <c r="EB253" s="26"/>
      <c r="EC253" s="26"/>
      <c r="ED253" s="26"/>
      <c r="EE253" s="26"/>
      <c r="EF253" s="26"/>
      <c r="EG253" s="26"/>
      <c r="EH253" s="26"/>
      <c r="EI253" s="26"/>
      <c r="EJ253" s="26"/>
      <c r="EK253" s="26"/>
      <c r="EL253" s="26"/>
      <c r="EM253" s="26"/>
      <c r="EN253" s="26"/>
      <c r="EO253" s="26"/>
      <c r="EP253" s="26"/>
      <c r="EQ253" s="26"/>
      <c r="ER253" s="26"/>
      <c r="ES253" s="26"/>
      <c r="ET253" s="26"/>
      <c r="EU253" s="26"/>
      <c r="EV253" s="26"/>
      <c r="EW253" s="26"/>
      <c r="EX253" s="26"/>
      <c r="EY253" s="26"/>
      <c r="EZ253" s="26"/>
      <c r="FA253" s="60"/>
      <c r="FB253" s="60"/>
      <c r="FC253" s="60"/>
      <c r="FD253" s="60"/>
      <c r="FE253" s="60"/>
      <c r="FF253" s="60"/>
      <c r="FG253" s="60"/>
      <c r="FH253" s="60"/>
      <c r="FI253" s="60"/>
      <c r="FJ253" s="60"/>
      <c r="FK253" s="60"/>
      <c r="FL253" s="60"/>
      <c r="FM253" s="60"/>
      <c r="FN253" s="60"/>
      <c r="FO253" s="60"/>
      <c r="FP253" s="60"/>
      <c r="FQ253" s="60"/>
      <c r="FR253" s="60"/>
      <c r="FS253" s="60"/>
      <c r="FT253" s="60"/>
      <c r="FU253" s="60"/>
      <c r="FV253" s="60"/>
      <c r="FW253" s="60"/>
      <c r="FX253" s="60"/>
    </row>
    <row r="254">
      <c r="A254" s="18"/>
      <c r="B254" s="14"/>
      <c r="C254" s="14"/>
      <c r="D254" s="14"/>
      <c r="E254" s="18"/>
      <c r="F254" s="18"/>
      <c r="G254" s="18"/>
      <c r="H254" s="18"/>
      <c r="I254" s="18"/>
      <c r="J254" s="18"/>
      <c r="K254" s="18"/>
      <c r="L254" s="18"/>
      <c r="M254" s="18"/>
      <c r="N254" s="18"/>
      <c r="O254" s="18"/>
      <c r="P254" s="23"/>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26"/>
      <c r="EA254" s="26"/>
      <c r="EB254" s="26"/>
      <c r="EC254" s="26"/>
      <c r="ED254" s="26"/>
      <c r="EE254" s="26"/>
      <c r="EF254" s="26"/>
      <c r="EG254" s="26"/>
      <c r="EH254" s="26"/>
      <c r="EI254" s="26"/>
      <c r="EJ254" s="26"/>
      <c r="EK254" s="26"/>
      <c r="EL254" s="26"/>
      <c r="EM254" s="26"/>
      <c r="EN254" s="26"/>
      <c r="EO254" s="26"/>
      <c r="EP254" s="26"/>
      <c r="EQ254" s="26"/>
      <c r="ER254" s="26"/>
      <c r="ES254" s="26"/>
      <c r="ET254" s="26"/>
      <c r="EU254" s="26"/>
      <c r="EV254" s="26"/>
      <c r="EW254" s="26"/>
      <c r="EX254" s="26"/>
      <c r="EY254" s="26"/>
      <c r="EZ254" s="26"/>
      <c r="FA254" s="60"/>
      <c r="FB254" s="60"/>
      <c r="FC254" s="60"/>
      <c r="FD254" s="60"/>
      <c r="FE254" s="60"/>
      <c r="FF254" s="60"/>
      <c r="FG254" s="60"/>
      <c r="FH254" s="60"/>
      <c r="FI254" s="60"/>
      <c r="FJ254" s="60"/>
      <c r="FK254" s="60"/>
      <c r="FL254" s="60"/>
      <c r="FM254" s="60"/>
      <c r="FN254" s="60"/>
      <c r="FO254" s="60"/>
      <c r="FP254" s="60"/>
      <c r="FQ254" s="60"/>
      <c r="FR254" s="60"/>
      <c r="FS254" s="60"/>
      <c r="FT254" s="60"/>
      <c r="FU254" s="60"/>
      <c r="FV254" s="60"/>
      <c r="FW254" s="60"/>
      <c r="FX254" s="60"/>
    </row>
    <row r="255">
      <c r="A255" s="18"/>
      <c r="B255" s="14"/>
      <c r="C255" s="14"/>
      <c r="D255" s="14"/>
      <c r="E255" s="18"/>
      <c r="F255" s="18"/>
      <c r="G255" s="18"/>
      <c r="H255" s="18"/>
      <c r="I255" s="18"/>
      <c r="J255" s="18"/>
      <c r="K255" s="18"/>
      <c r="L255" s="18"/>
      <c r="M255" s="18"/>
      <c r="N255" s="18"/>
      <c r="O255" s="18"/>
      <c r="P255" s="23"/>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26"/>
      <c r="EA255" s="26"/>
      <c r="EB255" s="26"/>
      <c r="EC255" s="26"/>
      <c r="ED255" s="26"/>
      <c r="EE255" s="26"/>
      <c r="EF255" s="26"/>
      <c r="EG255" s="26"/>
      <c r="EH255" s="26"/>
      <c r="EI255" s="26"/>
      <c r="EJ255" s="26"/>
      <c r="EK255" s="26"/>
      <c r="EL255" s="26"/>
      <c r="EM255" s="26"/>
      <c r="EN255" s="26"/>
      <c r="EO255" s="26"/>
      <c r="EP255" s="26"/>
      <c r="EQ255" s="26"/>
      <c r="ER255" s="26"/>
      <c r="ES255" s="26"/>
      <c r="ET255" s="26"/>
      <c r="EU255" s="26"/>
      <c r="EV255" s="26"/>
      <c r="EW255" s="26"/>
      <c r="EX255" s="26"/>
      <c r="EY255" s="26"/>
      <c r="EZ255" s="26"/>
      <c r="FA255" s="60"/>
      <c r="FB255" s="60"/>
      <c r="FC255" s="60"/>
      <c r="FD255" s="60"/>
      <c r="FE255" s="60"/>
      <c r="FF255" s="60"/>
      <c r="FG255" s="60"/>
      <c r="FH255" s="60"/>
      <c r="FI255" s="60"/>
      <c r="FJ255" s="60"/>
      <c r="FK255" s="60"/>
      <c r="FL255" s="60"/>
      <c r="FM255" s="60"/>
      <c r="FN255" s="60"/>
      <c r="FO255" s="60"/>
      <c r="FP255" s="60"/>
      <c r="FQ255" s="60"/>
      <c r="FR255" s="60"/>
      <c r="FS255" s="60"/>
      <c r="FT255" s="60"/>
      <c r="FU255" s="60"/>
      <c r="FV255" s="60"/>
      <c r="FW255" s="60"/>
      <c r="FX255" s="60"/>
    </row>
    <row r="256">
      <c r="A256" s="18"/>
      <c r="B256" s="14"/>
      <c r="C256" s="14"/>
      <c r="D256" s="14"/>
      <c r="E256" s="18"/>
      <c r="F256" s="18"/>
      <c r="G256" s="18"/>
      <c r="H256" s="18"/>
      <c r="I256" s="18"/>
      <c r="J256" s="18"/>
      <c r="K256" s="18"/>
      <c r="L256" s="18"/>
      <c r="M256" s="18"/>
      <c r="N256" s="18"/>
      <c r="O256" s="18"/>
      <c r="P256" s="23"/>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26"/>
      <c r="EA256" s="26"/>
      <c r="EB256" s="26"/>
      <c r="EC256" s="26"/>
      <c r="ED256" s="26"/>
      <c r="EE256" s="26"/>
      <c r="EF256" s="26"/>
      <c r="EG256" s="26"/>
      <c r="EH256" s="26"/>
      <c r="EI256" s="26"/>
      <c r="EJ256" s="26"/>
      <c r="EK256" s="26"/>
      <c r="EL256" s="26"/>
      <c r="EM256" s="26"/>
      <c r="EN256" s="26"/>
      <c r="EO256" s="26"/>
      <c r="EP256" s="26"/>
      <c r="EQ256" s="26"/>
      <c r="ER256" s="26"/>
      <c r="ES256" s="26"/>
      <c r="ET256" s="26"/>
      <c r="EU256" s="26"/>
      <c r="EV256" s="26"/>
      <c r="EW256" s="26"/>
      <c r="EX256" s="26"/>
      <c r="EY256" s="26"/>
      <c r="EZ256" s="26"/>
      <c r="FA256" s="60"/>
      <c r="FB256" s="60"/>
      <c r="FC256" s="60"/>
      <c r="FD256" s="60"/>
      <c r="FE256" s="60"/>
      <c r="FF256" s="60"/>
      <c r="FG256" s="60"/>
      <c r="FH256" s="60"/>
      <c r="FI256" s="60"/>
      <c r="FJ256" s="60"/>
      <c r="FK256" s="60"/>
      <c r="FL256" s="60"/>
      <c r="FM256" s="60"/>
      <c r="FN256" s="60"/>
      <c r="FO256" s="60"/>
      <c r="FP256" s="60"/>
      <c r="FQ256" s="60"/>
      <c r="FR256" s="60"/>
      <c r="FS256" s="60"/>
      <c r="FT256" s="60"/>
      <c r="FU256" s="60"/>
      <c r="FV256" s="60"/>
      <c r="FW256" s="60"/>
      <c r="FX256" s="60"/>
    </row>
    <row r="257">
      <c r="A257" s="18"/>
      <c r="B257" s="14"/>
      <c r="C257" s="14"/>
      <c r="D257" s="14"/>
      <c r="E257" s="18"/>
      <c r="F257" s="18"/>
      <c r="G257" s="18"/>
      <c r="H257" s="18"/>
      <c r="I257" s="18"/>
      <c r="J257" s="18"/>
      <c r="K257" s="18"/>
      <c r="L257" s="18"/>
      <c r="M257" s="18"/>
      <c r="N257" s="18"/>
      <c r="O257" s="18"/>
      <c r="P257" s="23"/>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26"/>
      <c r="EA257" s="26"/>
      <c r="EB257" s="26"/>
      <c r="EC257" s="26"/>
      <c r="ED257" s="26"/>
      <c r="EE257" s="26"/>
      <c r="EF257" s="26"/>
      <c r="EG257" s="26"/>
      <c r="EH257" s="26"/>
      <c r="EI257" s="26"/>
      <c r="EJ257" s="26"/>
      <c r="EK257" s="26"/>
      <c r="EL257" s="26"/>
      <c r="EM257" s="26"/>
      <c r="EN257" s="26"/>
      <c r="EO257" s="26"/>
      <c r="EP257" s="26"/>
      <c r="EQ257" s="26"/>
      <c r="ER257" s="26"/>
      <c r="ES257" s="26"/>
      <c r="ET257" s="26"/>
      <c r="EU257" s="26"/>
      <c r="EV257" s="26"/>
      <c r="EW257" s="26"/>
      <c r="EX257" s="26"/>
      <c r="EY257" s="26"/>
      <c r="EZ257" s="26"/>
      <c r="FA257" s="60"/>
      <c r="FB257" s="60"/>
      <c r="FC257" s="60"/>
      <c r="FD257" s="60"/>
      <c r="FE257" s="60"/>
      <c r="FF257" s="60"/>
      <c r="FG257" s="60"/>
      <c r="FH257" s="60"/>
      <c r="FI257" s="60"/>
      <c r="FJ257" s="60"/>
      <c r="FK257" s="60"/>
      <c r="FL257" s="60"/>
      <c r="FM257" s="60"/>
      <c r="FN257" s="60"/>
      <c r="FO257" s="60"/>
      <c r="FP257" s="60"/>
      <c r="FQ257" s="60"/>
      <c r="FR257" s="60"/>
      <c r="FS257" s="60"/>
      <c r="FT257" s="60"/>
      <c r="FU257" s="60"/>
      <c r="FV257" s="60"/>
      <c r="FW257" s="60"/>
      <c r="FX257" s="60"/>
    </row>
    <row r="258">
      <c r="A258" s="18"/>
      <c r="B258" s="14"/>
      <c r="C258" s="14"/>
      <c r="D258" s="14"/>
      <c r="E258" s="18"/>
      <c r="F258" s="18"/>
      <c r="G258" s="18"/>
      <c r="H258" s="18"/>
      <c r="I258" s="18"/>
      <c r="J258" s="18"/>
      <c r="K258" s="18"/>
      <c r="L258" s="18"/>
      <c r="M258" s="18"/>
      <c r="N258" s="18"/>
      <c r="O258" s="18"/>
      <c r="P258" s="23"/>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26"/>
      <c r="EA258" s="26"/>
      <c r="EB258" s="26"/>
      <c r="EC258" s="26"/>
      <c r="ED258" s="26"/>
      <c r="EE258" s="26"/>
      <c r="EF258" s="26"/>
      <c r="EG258" s="26"/>
      <c r="EH258" s="26"/>
      <c r="EI258" s="26"/>
      <c r="EJ258" s="26"/>
      <c r="EK258" s="26"/>
      <c r="EL258" s="26"/>
      <c r="EM258" s="26"/>
      <c r="EN258" s="26"/>
      <c r="EO258" s="26"/>
      <c r="EP258" s="26"/>
      <c r="EQ258" s="26"/>
      <c r="ER258" s="26"/>
      <c r="ES258" s="26"/>
      <c r="ET258" s="26"/>
      <c r="EU258" s="26"/>
      <c r="EV258" s="26"/>
      <c r="EW258" s="26"/>
      <c r="EX258" s="26"/>
      <c r="EY258" s="26"/>
      <c r="EZ258" s="26"/>
      <c r="FA258" s="60"/>
      <c r="FB258" s="60"/>
      <c r="FC258" s="60"/>
      <c r="FD258" s="60"/>
      <c r="FE258" s="60"/>
      <c r="FF258" s="60"/>
      <c r="FG258" s="60"/>
      <c r="FH258" s="60"/>
      <c r="FI258" s="60"/>
      <c r="FJ258" s="60"/>
      <c r="FK258" s="60"/>
      <c r="FL258" s="60"/>
      <c r="FM258" s="60"/>
      <c r="FN258" s="60"/>
      <c r="FO258" s="60"/>
      <c r="FP258" s="60"/>
      <c r="FQ258" s="60"/>
      <c r="FR258" s="60"/>
      <c r="FS258" s="60"/>
      <c r="FT258" s="60"/>
      <c r="FU258" s="60"/>
      <c r="FV258" s="60"/>
      <c r="FW258" s="60"/>
      <c r="FX258" s="60"/>
    </row>
    <row r="259">
      <c r="A259" s="18"/>
      <c r="B259" s="14"/>
      <c r="C259" s="14"/>
      <c r="D259" s="14"/>
      <c r="E259" s="18"/>
      <c r="F259" s="18"/>
      <c r="G259" s="18"/>
      <c r="H259" s="18"/>
      <c r="I259" s="18"/>
      <c r="J259" s="18"/>
      <c r="K259" s="18"/>
      <c r="L259" s="18"/>
      <c r="M259" s="18"/>
      <c r="N259" s="18"/>
      <c r="O259" s="18"/>
      <c r="P259" s="23"/>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26"/>
      <c r="EA259" s="26"/>
      <c r="EB259" s="26"/>
      <c r="EC259" s="26"/>
      <c r="ED259" s="26"/>
      <c r="EE259" s="26"/>
      <c r="EF259" s="26"/>
      <c r="EG259" s="26"/>
      <c r="EH259" s="26"/>
      <c r="EI259" s="26"/>
      <c r="EJ259" s="26"/>
      <c r="EK259" s="26"/>
      <c r="EL259" s="26"/>
      <c r="EM259" s="26"/>
      <c r="EN259" s="26"/>
      <c r="EO259" s="26"/>
      <c r="EP259" s="26"/>
      <c r="EQ259" s="26"/>
      <c r="ER259" s="26"/>
      <c r="ES259" s="26"/>
      <c r="ET259" s="26"/>
      <c r="EU259" s="26"/>
      <c r="EV259" s="26"/>
      <c r="EW259" s="26"/>
      <c r="EX259" s="26"/>
      <c r="EY259" s="26"/>
      <c r="EZ259" s="26"/>
      <c r="FA259" s="60"/>
      <c r="FB259" s="60"/>
      <c r="FC259" s="60"/>
      <c r="FD259" s="60"/>
      <c r="FE259" s="60"/>
      <c r="FF259" s="60"/>
      <c r="FG259" s="60"/>
      <c r="FH259" s="60"/>
      <c r="FI259" s="60"/>
      <c r="FJ259" s="60"/>
      <c r="FK259" s="60"/>
      <c r="FL259" s="60"/>
      <c r="FM259" s="60"/>
      <c r="FN259" s="60"/>
      <c r="FO259" s="60"/>
      <c r="FP259" s="60"/>
      <c r="FQ259" s="60"/>
      <c r="FR259" s="60"/>
      <c r="FS259" s="60"/>
      <c r="FT259" s="60"/>
      <c r="FU259" s="60"/>
      <c r="FV259" s="60"/>
      <c r="FW259" s="60"/>
      <c r="FX259" s="60"/>
    </row>
    <row r="260">
      <c r="A260" s="18"/>
      <c r="B260" s="14"/>
      <c r="C260" s="14"/>
      <c r="D260" s="14"/>
      <c r="E260" s="18"/>
      <c r="F260" s="18"/>
      <c r="G260" s="18"/>
      <c r="H260" s="18"/>
      <c r="I260" s="18"/>
      <c r="J260" s="18"/>
      <c r="K260" s="18"/>
      <c r="L260" s="18"/>
      <c r="M260" s="18"/>
      <c r="N260" s="18"/>
      <c r="O260" s="18"/>
      <c r="P260" s="23"/>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6"/>
      <c r="EJ260" s="26"/>
      <c r="EK260" s="26"/>
      <c r="EL260" s="26"/>
      <c r="EM260" s="26"/>
      <c r="EN260" s="26"/>
      <c r="EO260" s="26"/>
      <c r="EP260" s="26"/>
      <c r="EQ260" s="26"/>
      <c r="ER260" s="26"/>
      <c r="ES260" s="26"/>
      <c r="ET260" s="26"/>
      <c r="EU260" s="26"/>
      <c r="EV260" s="26"/>
      <c r="EW260" s="26"/>
      <c r="EX260" s="26"/>
      <c r="EY260" s="26"/>
      <c r="EZ260" s="26"/>
      <c r="FA260" s="60"/>
      <c r="FB260" s="60"/>
      <c r="FC260" s="60"/>
      <c r="FD260" s="60"/>
      <c r="FE260" s="60"/>
      <c r="FF260" s="60"/>
      <c r="FG260" s="60"/>
      <c r="FH260" s="60"/>
      <c r="FI260" s="60"/>
      <c r="FJ260" s="60"/>
      <c r="FK260" s="60"/>
      <c r="FL260" s="60"/>
      <c r="FM260" s="60"/>
      <c r="FN260" s="60"/>
      <c r="FO260" s="60"/>
      <c r="FP260" s="60"/>
      <c r="FQ260" s="60"/>
      <c r="FR260" s="60"/>
      <c r="FS260" s="60"/>
      <c r="FT260" s="60"/>
      <c r="FU260" s="60"/>
      <c r="FV260" s="60"/>
      <c r="FW260" s="60"/>
      <c r="FX260" s="60"/>
    </row>
    <row r="261">
      <c r="A261" s="18"/>
      <c r="B261" s="14"/>
      <c r="C261" s="14"/>
      <c r="D261" s="14"/>
      <c r="E261" s="18"/>
      <c r="F261" s="18"/>
      <c r="G261" s="18"/>
      <c r="H261" s="18"/>
      <c r="I261" s="18"/>
      <c r="J261" s="18"/>
      <c r="K261" s="18"/>
      <c r="L261" s="18"/>
      <c r="M261" s="18"/>
      <c r="N261" s="18"/>
      <c r="O261" s="18"/>
      <c r="P261" s="23"/>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26"/>
      <c r="EA261" s="26"/>
      <c r="EB261" s="26"/>
      <c r="EC261" s="26"/>
      <c r="ED261" s="26"/>
      <c r="EE261" s="26"/>
      <c r="EF261" s="26"/>
      <c r="EG261" s="26"/>
      <c r="EH261" s="26"/>
      <c r="EI261" s="26"/>
      <c r="EJ261" s="26"/>
      <c r="EK261" s="26"/>
      <c r="EL261" s="26"/>
      <c r="EM261" s="26"/>
      <c r="EN261" s="26"/>
      <c r="EO261" s="26"/>
      <c r="EP261" s="26"/>
      <c r="EQ261" s="26"/>
      <c r="ER261" s="26"/>
      <c r="ES261" s="26"/>
      <c r="ET261" s="26"/>
      <c r="EU261" s="26"/>
      <c r="EV261" s="26"/>
      <c r="EW261" s="26"/>
      <c r="EX261" s="26"/>
      <c r="EY261" s="26"/>
      <c r="EZ261" s="26"/>
      <c r="FA261" s="60"/>
      <c r="FB261" s="60"/>
      <c r="FC261" s="60"/>
      <c r="FD261" s="60"/>
      <c r="FE261" s="60"/>
      <c r="FF261" s="60"/>
      <c r="FG261" s="60"/>
      <c r="FH261" s="60"/>
      <c r="FI261" s="60"/>
      <c r="FJ261" s="60"/>
      <c r="FK261" s="60"/>
      <c r="FL261" s="60"/>
      <c r="FM261" s="60"/>
      <c r="FN261" s="60"/>
      <c r="FO261" s="60"/>
      <c r="FP261" s="60"/>
      <c r="FQ261" s="60"/>
      <c r="FR261" s="60"/>
      <c r="FS261" s="60"/>
      <c r="FT261" s="60"/>
      <c r="FU261" s="60"/>
      <c r="FV261" s="60"/>
      <c r="FW261" s="60"/>
      <c r="FX261" s="60"/>
    </row>
    <row r="262">
      <c r="A262" s="18"/>
      <c r="B262" s="14"/>
      <c r="C262" s="14"/>
      <c r="D262" s="14"/>
      <c r="E262" s="18"/>
      <c r="F262" s="18"/>
      <c r="G262" s="18"/>
      <c r="H262" s="18"/>
      <c r="I262" s="18"/>
      <c r="J262" s="18"/>
      <c r="K262" s="18"/>
      <c r="L262" s="18"/>
      <c r="M262" s="18"/>
      <c r="N262" s="18"/>
      <c r="O262" s="18"/>
      <c r="P262" s="23"/>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26"/>
      <c r="EA262" s="26"/>
      <c r="EB262" s="26"/>
      <c r="EC262" s="26"/>
      <c r="ED262" s="26"/>
      <c r="EE262" s="26"/>
      <c r="EF262" s="26"/>
      <c r="EG262" s="26"/>
      <c r="EH262" s="26"/>
      <c r="EI262" s="26"/>
      <c r="EJ262" s="26"/>
      <c r="EK262" s="26"/>
      <c r="EL262" s="26"/>
      <c r="EM262" s="26"/>
      <c r="EN262" s="26"/>
      <c r="EO262" s="26"/>
      <c r="EP262" s="26"/>
      <c r="EQ262" s="26"/>
      <c r="ER262" s="26"/>
      <c r="ES262" s="26"/>
      <c r="ET262" s="26"/>
      <c r="EU262" s="26"/>
      <c r="EV262" s="26"/>
      <c r="EW262" s="26"/>
      <c r="EX262" s="26"/>
      <c r="EY262" s="26"/>
      <c r="EZ262" s="26"/>
      <c r="FA262" s="60"/>
      <c r="FB262" s="60"/>
      <c r="FC262" s="60"/>
      <c r="FD262" s="60"/>
      <c r="FE262" s="60"/>
      <c r="FF262" s="60"/>
      <c r="FG262" s="60"/>
      <c r="FH262" s="60"/>
      <c r="FI262" s="60"/>
      <c r="FJ262" s="60"/>
      <c r="FK262" s="60"/>
      <c r="FL262" s="60"/>
      <c r="FM262" s="60"/>
      <c r="FN262" s="60"/>
      <c r="FO262" s="60"/>
      <c r="FP262" s="60"/>
      <c r="FQ262" s="60"/>
      <c r="FR262" s="60"/>
      <c r="FS262" s="60"/>
      <c r="FT262" s="60"/>
      <c r="FU262" s="60"/>
      <c r="FV262" s="60"/>
      <c r="FW262" s="60"/>
      <c r="FX262" s="60"/>
    </row>
    <row r="263">
      <c r="A263" s="18"/>
      <c r="B263" s="14"/>
      <c r="C263" s="14"/>
      <c r="D263" s="14"/>
      <c r="E263" s="18"/>
      <c r="F263" s="18"/>
      <c r="G263" s="18"/>
      <c r="H263" s="18"/>
      <c r="I263" s="18"/>
      <c r="J263" s="18"/>
      <c r="K263" s="18"/>
      <c r="L263" s="18"/>
      <c r="M263" s="18"/>
      <c r="N263" s="18"/>
      <c r="O263" s="18"/>
      <c r="P263" s="23"/>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26"/>
      <c r="EA263" s="26"/>
      <c r="EB263" s="26"/>
      <c r="EC263" s="26"/>
      <c r="ED263" s="26"/>
      <c r="EE263" s="26"/>
      <c r="EF263" s="26"/>
      <c r="EG263" s="26"/>
      <c r="EH263" s="26"/>
      <c r="EI263" s="26"/>
      <c r="EJ263" s="26"/>
      <c r="EK263" s="26"/>
      <c r="EL263" s="26"/>
      <c r="EM263" s="26"/>
      <c r="EN263" s="26"/>
      <c r="EO263" s="26"/>
      <c r="EP263" s="26"/>
      <c r="EQ263" s="26"/>
      <c r="ER263" s="26"/>
      <c r="ES263" s="26"/>
      <c r="ET263" s="26"/>
      <c r="EU263" s="26"/>
      <c r="EV263" s="26"/>
      <c r="EW263" s="26"/>
      <c r="EX263" s="26"/>
      <c r="EY263" s="26"/>
      <c r="EZ263" s="26"/>
      <c r="FA263" s="60"/>
      <c r="FB263" s="60"/>
      <c r="FC263" s="60"/>
      <c r="FD263" s="60"/>
      <c r="FE263" s="60"/>
      <c r="FF263" s="60"/>
      <c r="FG263" s="60"/>
      <c r="FH263" s="60"/>
      <c r="FI263" s="60"/>
      <c r="FJ263" s="60"/>
      <c r="FK263" s="60"/>
      <c r="FL263" s="60"/>
      <c r="FM263" s="60"/>
      <c r="FN263" s="60"/>
      <c r="FO263" s="60"/>
      <c r="FP263" s="60"/>
      <c r="FQ263" s="60"/>
      <c r="FR263" s="60"/>
      <c r="FS263" s="60"/>
      <c r="FT263" s="60"/>
      <c r="FU263" s="60"/>
      <c r="FV263" s="60"/>
      <c r="FW263" s="60"/>
      <c r="FX263" s="60"/>
    </row>
    <row r="264">
      <c r="A264" s="18"/>
      <c r="B264" s="14"/>
      <c r="C264" s="14"/>
      <c r="D264" s="14"/>
      <c r="E264" s="18"/>
      <c r="F264" s="18"/>
      <c r="G264" s="18"/>
      <c r="H264" s="18"/>
      <c r="I264" s="18"/>
      <c r="J264" s="18"/>
      <c r="K264" s="18"/>
      <c r="L264" s="18"/>
      <c r="M264" s="18"/>
      <c r="N264" s="18"/>
      <c r="O264" s="18"/>
      <c r="P264" s="23"/>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26"/>
      <c r="EA264" s="26"/>
      <c r="EB264" s="26"/>
      <c r="EC264" s="26"/>
      <c r="ED264" s="26"/>
      <c r="EE264" s="26"/>
      <c r="EF264" s="26"/>
      <c r="EG264" s="26"/>
      <c r="EH264" s="26"/>
      <c r="EI264" s="26"/>
      <c r="EJ264" s="26"/>
      <c r="EK264" s="26"/>
      <c r="EL264" s="26"/>
      <c r="EM264" s="26"/>
      <c r="EN264" s="26"/>
      <c r="EO264" s="26"/>
      <c r="EP264" s="26"/>
      <c r="EQ264" s="26"/>
      <c r="ER264" s="26"/>
      <c r="ES264" s="26"/>
      <c r="ET264" s="26"/>
      <c r="EU264" s="26"/>
      <c r="EV264" s="26"/>
      <c r="EW264" s="26"/>
      <c r="EX264" s="26"/>
      <c r="EY264" s="26"/>
      <c r="EZ264" s="26"/>
      <c r="FA264" s="60"/>
      <c r="FB264" s="60"/>
      <c r="FC264" s="60"/>
      <c r="FD264" s="60"/>
      <c r="FE264" s="60"/>
      <c r="FF264" s="60"/>
      <c r="FG264" s="60"/>
      <c r="FH264" s="60"/>
      <c r="FI264" s="60"/>
      <c r="FJ264" s="60"/>
      <c r="FK264" s="60"/>
      <c r="FL264" s="60"/>
      <c r="FM264" s="60"/>
      <c r="FN264" s="60"/>
      <c r="FO264" s="60"/>
      <c r="FP264" s="60"/>
      <c r="FQ264" s="60"/>
      <c r="FR264" s="60"/>
      <c r="FS264" s="60"/>
      <c r="FT264" s="60"/>
      <c r="FU264" s="60"/>
      <c r="FV264" s="60"/>
      <c r="FW264" s="60"/>
      <c r="FX264" s="60"/>
    </row>
    <row r="265">
      <c r="A265" s="18"/>
      <c r="B265" s="14"/>
      <c r="C265" s="14"/>
      <c r="D265" s="14"/>
      <c r="E265" s="18"/>
      <c r="F265" s="18"/>
      <c r="G265" s="18"/>
      <c r="H265" s="18"/>
      <c r="I265" s="18"/>
      <c r="J265" s="18"/>
      <c r="K265" s="18"/>
      <c r="L265" s="18"/>
      <c r="M265" s="18"/>
      <c r="N265" s="18"/>
      <c r="O265" s="18"/>
      <c r="P265" s="23"/>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26"/>
      <c r="EA265" s="26"/>
      <c r="EB265" s="26"/>
      <c r="EC265" s="26"/>
      <c r="ED265" s="26"/>
      <c r="EE265" s="26"/>
      <c r="EF265" s="26"/>
      <c r="EG265" s="26"/>
      <c r="EH265" s="26"/>
      <c r="EI265" s="26"/>
      <c r="EJ265" s="26"/>
      <c r="EK265" s="26"/>
      <c r="EL265" s="26"/>
      <c r="EM265" s="26"/>
      <c r="EN265" s="26"/>
      <c r="EO265" s="26"/>
      <c r="EP265" s="26"/>
      <c r="EQ265" s="26"/>
      <c r="ER265" s="26"/>
      <c r="ES265" s="26"/>
      <c r="ET265" s="26"/>
      <c r="EU265" s="26"/>
      <c r="EV265" s="26"/>
      <c r="EW265" s="26"/>
      <c r="EX265" s="26"/>
      <c r="EY265" s="26"/>
      <c r="EZ265" s="26"/>
      <c r="FA265" s="60"/>
      <c r="FB265" s="60"/>
      <c r="FC265" s="60"/>
      <c r="FD265" s="60"/>
      <c r="FE265" s="60"/>
      <c r="FF265" s="60"/>
      <c r="FG265" s="60"/>
      <c r="FH265" s="60"/>
      <c r="FI265" s="60"/>
      <c r="FJ265" s="60"/>
      <c r="FK265" s="60"/>
      <c r="FL265" s="60"/>
      <c r="FM265" s="60"/>
      <c r="FN265" s="60"/>
      <c r="FO265" s="60"/>
      <c r="FP265" s="60"/>
      <c r="FQ265" s="60"/>
      <c r="FR265" s="60"/>
      <c r="FS265" s="60"/>
      <c r="FT265" s="60"/>
      <c r="FU265" s="60"/>
      <c r="FV265" s="60"/>
      <c r="FW265" s="60"/>
      <c r="FX265" s="60"/>
    </row>
    <row r="266">
      <c r="A266" s="18"/>
      <c r="B266" s="14"/>
      <c r="C266" s="14"/>
      <c r="D266" s="14"/>
      <c r="E266" s="18"/>
      <c r="F266" s="18"/>
      <c r="G266" s="18"/>
      <c r="H266" s="18"/>
      <c r="I266" s="18"/>
      <c r="J266" s="18"/>
      <c r="K266" s="18"/>
      <c r="L266" s="18"/>
      <c r="M266" s="18"/>
      <c r="N266" s="18"/>
      <c r="O266" s="18"/>
      <c r="P266" s="23"/>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26"/>
      <c r="EA266" s="26"/>
      <c r="EB266" s="26"/>
      <c r="EC266" s="26"/>
      <c r="ED266" s="26"/>
      <c r="EE266" s="26"/>
      <c r="EF266" s="26"/>
      <c r="EG266" s="26"/>
      <c r="EH266" s="26"/>
      <c r="EI266" s="26"/>
      <c r="EJ266" s="26"/>
      <c r="EK266" s="26"/>
      <c r="EL266" s="26"/>
      <c r="EM266" s="26"/>
      <c r="EN266" s="26"/>
      <c r="EO266" s="26"/>
      <c r="EP266" s="26"/>
      <c r="EQ266" s="26"/>
      <c r="ER266" s="26"/>
      <c r="ES266" s="26"/>
      <c r="ET266" s="26"/>
      <c r="EU266" s="26"/>
      <c r="EV266" s="26"/>
      <c r="EW266" s="26"/>
      <c r="EX266" s="26"/>
      <c r="EY266" s="26"/>
      <c r="EZ266" s="26"/>
      <c r="FA266" s="60"/>
      <c r="FB266" s="60"/>
      <c r="FC266" s="60"/>
      <c r="FD266" s="60"/>
      <c r="FE266" s="60"/>
      <c r="FF266" s="60"/>
      <c r="FG266" s="60"/>
      <c r="FH266" s="60"/>
      <c r="FI266" s="60"/>
      <c r="FJ266" s="60"/>
      <c r="FK266" s="60"/>
      <c r="FL266" s="60"/>
      <c r="FM266" s="60"/>
      <c r="FN266" s="60"/>
      <c r="FO266" s="60"/>
      <c r="FP266" s="60"/>
      <c r="FQ266" s="60"/>
      <c r="FR266" s="60"/>
      <c r="FS266" s="60"/>
      <c r="FT266" s="60"/>
      <c r="FU266" s="60"/>
      <c r="FV266" s="60"/>
      <c r="FW266" s="60"/>
      <c r="FX266" s="60"/>
    </row>
    <row r="267">
      <c r="A267" s="18"/>
      <c r="B267" s="14"/>
      <c r="C267" s="14"/>
      <c r="D267" s="14"/>
      <c r="E267" s="18"/>
      <c r="F267" s="18"/>
      <c r="G267" s="18"/>
      <c r="H267" s="18"/>
      <c r="I267" s="18"/>
      <c r="J267" s="18"/>
      <c r="K267" s="18"/>
      <c r="L267" s="18"/>
      <c r="M267" s="18"/>
      <c r="N267" s="18"/>
      <c r="O267" s="18"/>
      <c r="P267" s="23"/>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26"/>
      <c r="EA267" s="26"/>
      <c r="EB267" s="26"/>
      <c r="EC267" s="26"/>
      <c r="ED267" s="26"/>
      <c r="EE267" s="26"/>
      <c r="EF267" s="26"/>
      <c r="EG267" s="26"/>
      <c r="EH267" s="26"/>
      <c r="EI267" s="26"/>
      <c r="EJ267" s="26"/>
      <c r="EK267" s="26"/>
      <c r="EL267" s="26"/>
      <c r="EM267" s="26"/>
      <c r="EN267" s="26"/>
      <c r="EO267" s="26"/>
      <c r="EP267" s="26"/>
      <c r="EQ267" s="26"/>
      <c r="ER267" s="26"/>
      <c r="ES267" s="26"/>
      <c r="ET267" s="26"/>
      <c r="EU267" s="26"/>
      <c r="EV267" s="26"/>
      <c r="EW267" s="26"/>
      <c r="EX267" s="26"/>
      <c r="EY267" s="26"/>
      <c r="EZ267" s="26"/>
      <c r="FA267" s="60"/>
      <c r="FB267" s="60"/>
      <c r="FC267" s="60"/>
      <c r="FD267" s="60"/>
      <c r="FE267" s="60"/>
      <c r="FF267" s="60"/>
      <c r="FG267" s="60"/>
      <c r="FH267" s="60"/>
      <c r="FI267" s="60"/>
      <c r="FJ267" s="60"/>
      <c r="FK267" s="60"/>
      <c r="FL267" s="60"/>
      <c r="FM267" s="60"/>
      <c r="FN267" s="60"/>
      <c r="FO267" s="60"/>
      <c r="FP267" s="60"/>
      <c r="FQ267" s="60"/>
      <c r="FR267" s="60"/>
      <c r="FS267" s="60"/>
      <c r="FT267" s="60"/>
      <c r="FU267" s="60"/>
      <c r="FV267" s="60"/>
      <c r="FW267" s="60"/>
      <c r="FX267" s="60"/>
    </row>
    <row r="268">
      <c r="A268" s="18"/>
      <c r="B268" s="14"/>
      <c r="C268" s="14"/>
      <c r="D268" s="14"/>
      <c r="E268" s="18"/>
      <c r="F268" s="18"/>
      <c r="G268" s="18"/>
      <c r="H268" s="18"/>
      <c r="I268" s="18"/>
      <c r="J268" s="18"/>
      <c r="K268" s="18"/>
      <c r="L268" s="18"/>
      <c r="M268" s="18"/>
      <c r="N268" s="18"/>
      <c r="O268" s="18"/>
      <c r="P268" s="23"/>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26"/>
      <c r="EA268" s="26"/>
      <c r="EB268" s="26"/>
      <c r="EC268" s="26"/>
      <c r="ED268" s="26"/>
      <c r="EE268" s="26"/>
      <c r="EF268" s="26"/>
      <c r="EG268" s="26"/>
      <c r="EH268" s="26"/>
      <c r="EI268" s="26"/>
      <c r="EJ268" s="26"/>
      <c r="EK268" s="26"/>
      <c r="EL268" s="26"/>
      <c r="EM268" s="26"/>
      <c r="EN268" s="26"/>
      <c r="EO268" s="26"/>
      <c r="EP268" s="26"/>
      <c r="EQ268" s="26"/>
      <c r="ER268" s="26"/>
      <c r="ES268" s="26"/>
      <c r="ET268" s="26"/>
      <c r="EU268" s="26"/>
      <c r="EV268" s="26"/>
      <c r="EW268" s="26"/>
      <c r="EX268" s="26"/>
      <c r="EY268" s="26"/>
      <c r="EZ268" s="26"/>
      <c r="FA268" s="60"/>
      <c r="FB268" s="60"/>
      <c r="FC268" s="60"/>
      <c r="FD268" s="60"/>
      <c r="FE268" s="60"/>
      <c r="FF268" s="60"/>
      <c r="FG268" s="60"/>
      <c r="FH268" s="60"/>
      <c r="FI268" s="60"/>
      <c r="FJ268" s="60"/>
      <c r="FK268" s="60"/>
      <c r="FL268" s="60"/>
      <c r="FM268" s="60"/>
      <c r="FN268" s="60"/>
      <c r="FO268" s="60"/>
      <c r="FP268" s="60"/>
      <c r="FQ268" s="60"/>
      <c r="FR268" s="60"/>
      <c r="FS268" s="60"/>
      <c r="FT268" s="60"/>
      <c r="FU268" s="60"/>
      <c r="FV268" s="60"/>
      <c r="FW268" s="60"/>
      <c r="FX268" s="60"/>
    </row>
    <row r="269">
      <c r="A269" s="18"/>
      <c r="B269" s="14"/>
      <c r="C269" s="14"/>
      <c r="D269" s="14"/>
      <c r="E269" s="18"/>
      <c r="F269" s="18"/>
      <c r="G269" s="18"/>
      <c r="H269" s="18"/>
      <c r="I269" s="18"/>
      <c r="J269" s="18"/>
      <c r="K269" s="18"/>
      <c r="L269" s="18"/>
      <c r="M269" s="18"/>
      <c r="N269" s="18"/>
      <c r="O269" s="18"/>
      <c r="P269" s="23"/>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26"/>
      <c r="EA269" s="26"/>
      <c r="EB269" s="26"/>
      <c r="EC269" s="26"/>
      <c r="ED269" s="26"/>
      <c r="EE269" s="26"/>
      <c r="EF269" s="26"/>
      <c r="EG269" s="26"/>
      <c r="EH269" s="26"/>
      <c r="EI269" s="26"/>
      <c r="EJ269" s="26"/>
      <c r="EK269" s="26"/>
      <c r="EL269" s="26"/>
      <c r="EM269" s="26"/>
      <c r="EN269" s="26"/>
      <c r="EO269" s="26"/>
      <c r="EP269" s="26"/>
      <c r="EQ269" s="26"/>
      <c r="ER269" s="26"/>
      <c r="ES269" s="26"/>
      <c r="ET269" s="26"/>
      <c r="EU269" s="26"/>
      <c r="EV269" s="26"/>
      <c r="EW269" s="26"/>
      <c r="EX269" s="26"/>
      <c r="EY269" s="26"/>
      <c r="EZ269" s="26"/>
      <c r="FA269" s="60"/>
      <c r="FB269" s="60"/>
      <c r="FC269" s="60"/>
      <c r="FD269" s="60"/>
      <c r="FE269" s="60"/>
      <c r="FF269" s="60"/>
      <c r="FG269" s="60"/>
      <c r="FH269" s="60"/>
      <c r="FI269" s="60"/>
      <c r="FJ269" s="60"/>
      <c r="FK269" s="60"/>
      <c r="FL269" s="60"/>
      <c r="FM269" s="60"/>
      <c r="FN269" s="60"/>
      <c r="FO269" s="60"/>
      <c r="FP269" s="60"/>
      <c r="FQ269" s="60"/>
      <c r="FR269" s="60"/>
      <c r="FS269" s="60"/>
      <c r="FT269" s="60"/>
      <c r="FU269" s="60"/>
      <c r="FV269" s="60"/>
      <c r="FW269" s="60"/>
      <c r="FX269" s="60"/>
    </row>
    <row r="270">
      <c r="A270" s="18"/>
      <c r="B270" s="14"/>
      <c r="C270" s="14"/>
      <c r="D270" s="14"/>
      <c r="E270" s="18"/>
      <c r="F270" s="18"/>
      <c r="G270" s="18"/>
      <c r="H270" s="18"/>
      <c r="I270" s="18"/>
      <c r="J270" s="18"/>
      <c r="K270" s="18"/>
      <c r="L270" s="18"/>
      <c r="M270" s="18"/>
      <c r="N270" s="18"/>
      <c r="O270" s="18"/>
      <c r="P270" s="23"/>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26"/>
      <c r="EA270" s="26"/>
      <c r="EB270" s="26"/>
      <c r="EC270" s="26"/>
      <c r="ED270" s="26"/>
      <c r="EE270" s="26"/>
      <c r="EF270" s="26"/>
      <c r="EG270" s="26"/>
      <c r="EH270" s="26"/>
      <c r="EI270" s="26"/>
      <c r="EJ270" s="26"/>
      <c r="EK270" s="26"/>
      <c r="EL270" s="26"/>
      <c r="EM270" s="26"/>
      <c r="EN270" s="26"/>
      <c r="EO270" s="26"/>
      <c r="EP270" s="26"/>
      <c r="EQ270" s="26"/>
      <c r="ER270" s="26"/>
      <c r="ES270" s="26"/>
      <c r="ET270" s="26"/>
      <c r="EU270" s="26"/>
      <c r="EV270" s="26"/>
      <c r="EW270" s="26"/>
      <c r="EX270" s="26"/>
      <c r="EY270" s="26"/>
      <c r="EZ270" s="26"/>
      <c r="FA270" s="60"/>
      <c r="FB270" s="60"/>
      <c r="FC270" s="60"/>
      <c r="FD270" s="60"/>
      <c r="FE270" s="60"/>
      <c r="FF270" s="60"/>
      <c r="FG270" s="60"/>
      <c r="FH270" s="60"/>
      <c r="FI270" s="60"/>
      <c r="FJ270" s="60"/>
      <c r="FK270" s="60"/>
      <c r="FL270" s="60"/>
      <c r="FM270" s="60"/>
      <c r="FN270" s="60"/>
      <c r="FO270" s="60"/>
      <c r="FP270" s="60"/>
      <c r="FQ270" s="60"/>
      <c r="FR270" s="60"/>
      <c r="FS270" s="60"/>
      <c r="FT270" s="60"/>
      <c r="FU270" s="60"/>
      <c r="FV270" s="60"/>
      <c r="FW270" s="60"/>
      <c r="FX270" s="60"/>
    </row>
    <row r="271">
      <c r="A271" s="18"/>
      <c r="B271" s="14"/>
      <c r="C271" s="14"/>
      <c r="D271" s="14"/>
      <c r="E271" s="18"/>
      <c r="F271" s="18"/>
      <c r="G271" s="18"/>
      <c r="H271" s="18"/>
      <c r="I271" s="18"/>
      <c r="J271" s="18"/>
      <c r="K271" s="18"/>
      <c r="L271" s="18"/>
      <c r="M271" s="18"/>
      <c r="N271" s="18"/>
      <c r="O271" s="18"/>
      <c r="P271" s="23"/>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26"/>
      <c r="EA271" s="26"/>
      <c r="EB271" s="26"/>
      <c r="EC271" s="26"/>
      <c r="ED271" s="26"/>
      <c r="EE271" s="26"/>
      <c r="EF271" s="26"/>
      <c r="EG271" s="26"/>
      <c r="EH271" s="26"/>
      <c r="EI271" s="26"/>
      <c r="EJ271" s="26"/>
      <c r="EK271" s="26"/>
      <c r="EL271" s="26"/>
      <c r="EM271" s="26"/>
      <c r="EN271" s="26"/>
      <c r="EO271" s="26"/>
      <c r="EP271" s="26"/>
      <c r="EQ271" s="26"/>
      <c r="ER271" s="26"/>
      <c r="ES271" s="26"/>
      <c r="ET271" s="26"/>
      <c r="EU271" s="26"/>
      <c r="EV271" s="26"/>
      <c r="EW271" s="26"/>
      <c r="EX271" s="26"/>
      <c r="EY271" s="26"/>
      <c r="EZ271" s="26"/>
      <c r="FA271" s="60"/>
      <c r="FB271" s="60"/>
      <c r="FC271" s="60"/>
      <c r="FD271" s="60"/>
      <c r="FE271" s="60"/>
      <c r="FF271" s="60"/>
      <c r="FG271" s="60"/>
      <c r="FH271" s="60"/>
      <c r="FI271" s="60"/>
      <c r="FJ271" s="60"/>
      <c r="FK271" s="60"/>
      <c r="FL271" s="60"/>
      <c r="FM271" s="60"/>
      <c r="FN271" s="60"/>
      <c r="FO271" s="60"/>
      <c r="FP271" s="60"/>
      <c r="FQ271" s="60"/>
      <c r="FR271" s="60"/>
      <c r="FS271" s="60"/>
      <c r="FT271" s="60"/>
      <c r="FU271" s="60"/>
      <c r="FV271" s="60"/>
      <c r="FW271" s="60"/>
      <c r="FX271" s="60"/>
    </row>
    <row r="272">
      <c r="A272" s="18"/>
      <c r="B272" s="14"/>
      <c r="C272" s="14"/>
      <c r="D272" s="14"/>
      <c r="E272" s="18"/>
      <c r="F272" s="18"/>
      <c r="G272" s="18"/>
      <c r="H272" s="18"/>
      <c r="I272" s="18"/>
      <c r="J272" s="18"/>
      <c r="K272" s="18"/>
      <c r="L272" s="18"/>
      <c r="M272" s="18"/>
      <c r="N272" s="18"/>
      <c r="O272" s="18"/>
      <c r="P272" s="23"/>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26"/>
      <c r="EA272" s="26"/>
      <c r="EB272" s="26"/>
      <c r="EC272" s="26"/>
      <c r="ED272" s="26"/>
      <c r="EE272" s="26"/>
      <c r="EF272" s="26"/>
      <c r="EG272" s="26"/>
      <c r="EH272" s="26"/>
      <c r="EI272" s="26"/>
      <c r="EJ272" s="26"/>
      <c r="EK272" s="26"/>
      <c r="EL272" s="26"/>
      <c r="EM272" s="26"/>
      <c r="EN272" s="26"/>
      <c r="EO272" s="26"/>
      <c r="EP272" s="26"/>
      <c r="EQ272" s="26"/>
      <c r="ER272" s="26"/>
      <c r="ES272" s="26"/>
      <c r="ET272" s="26"/>
      <c r="EU272" s="26"/>
      <c r="EV272" s="26"/>
      <c r="EW272" s="26"/>
      <c r="EX272" s="26"/>
      <c r="EY272" s="26"/>
      <c r="EZ272" s="26"/>
      <c r="FA272" s="60"/>
      <c r="FB272" s="60"/>
      <c r="FC272" s="60"/>
      <c r="FD272" s="60"/>
      <c r="FE272" s="60"/>
      <c r="FF272" s="60"/>
      <c r="FG272" s="60"/>
      <c r="FH272" s="60"/>
      <c r="FI272" s="60"/>
      <c r="FJ272" s="60"/>
      <c r="FK272" s="60"/>
      <c r="FL272" s="60"/>
      <c r="FM272" s="60"/>
      <c r="FN272" s="60"/>
      <c r="FO272" s="60"/>
      <c r="FP272" s="60"/>
      <c r="FQ272" s="60"/>
      <c r="FR272" s="60"/>
      <c r="FS272" s="60"/>
      <c r="FT272" s="60"/>
      <c r="FU272" s="60"/>
      <c r="FV272" s="60"/>
      <c r="FW272" s="60"/>
      <c r="FX272" s="60"/>
    </row>
    <row r="273">
      <c r="A273" s="18"/>
      <c r="B273" s="14"/>
      <c r="C273" s="14"/>
      <c r="D273" s="14"/>
      <c r="E273" s="18"/>
      <c r="F273" s="18"/>
      <c r="G273" s="18"/>
      <c r="H273" s="18"/>
      <c r="I273" s="18"/>
      <c r="J273" s="18"/>
      <c r="K273" s="18"/>
      <c r="L273" s="18"/>
      <c r="M273" s="18"/>
      <c r="N273" s="18"/>
      <c r="O273" s="18"/>
      <c r="P273" s="23"/>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26"/>
      <c r="EA273" s="26"/>
      <c r="EB273" s="26"/>
      <c r="EC273" s="26"/>
      <c r="ED273" s="26"/>
      <c r="EE273" s="26"/>
      <c r="EF273" s="26"/>
      <c r="EG273" s="26"/>
      <c r="EH273" s="26"/>
      <c r="EI273" s="26"/>
      <c r="EJ273" s="26"/>
      <c r="EK273" s="26"/>
      <c r="EL273" s="26"/>
      <c r="EM273" s="26"/>
      <c r="EN273" s="26"/>
      <c r="EO273" s="26"/>
      <c r="EP273" s="26"/>
      <c r="EQ273" s="26"/>
      <c r="ER273" s="26"/>
      <c r="ES273" s="26"/>
      <c r="ET273" s="26"/>
      <c r="EU273" s="26"/>
      <c r="EV273" s="26"/>
      <c r="EW273" s="26"/>
      <c r="EX273" s="26"/>
      <c r="EY273" s="26"/>
      <c r="EZ273" s="26"/>
      <c r="FA273" s="60"/>
      <c r="FB273" s="60"/>
      <c r="FC273" s="60"/>
      <c r="FD273" s="60"/>
      <c r="FE273" s="60"/>
      <c r="FF273" s="60"/>
      <c r="FG273" s="60"/>
      <c r="FH273" s="60"/>
      <c r="FI273" s="60"/>
      <c r="FJ273" s="60"/>
      <c r="FK273" s="60"/>
      <c r="FL273" s="60"/>
      <c r="FM273" s="60"/>
      <c r="FN273" s="60"/>
      <c r="FO273" s="60"/>
      <c r="FP273" s="60"/>
      <c r="FQ273" s="60"/>
      <c r="FR273" s="60"/>
      <c r="FS273" s="60"/>
      <c r="FT273" s="60"/>
      <c r="FU273" s="60"/>
      <c r="FV273" s="60"/>
      <c r="FW273" s="60"/>
      <c r="FX273" s="60"/>
    </row>
    <row r="274">
      <c r="A274" s="18"/>
      <c r="B274" s="14"/>
      <c r="C274" s="14"/>
      <c r="D274" s="14"/>
      <c r="E274" s="18"/>
      <c r="F274" s="18"/>
      <c r="G274" s="18"/>
      <c r="H274" s="18"/>
      <c r="I274" s="18"/>
      <c r="J274" s="18"/>
      <c r="K274" s="18"/>
      <c r="L274" s="18"/>
      <c r="M274" s="18"/>
      <c r="N274" s="18"/>
      <c r="O274" s="18"/>
      <c r="P274" s="23"/>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26"/>
      <c r="EA274" s="26"/>
      <c r="EB274" s="26"/>
      <c r="EC274" s="26"/>
      <c r="ED274" s="26"/>
      <c r="EE274" s="26"/>
      <c r="EF274" s="26"/>
      <c r="EG274" s="26"/>
      <c r="EH274" s="26"/>
      <c r="EI274" s="26"/>
      <c r="EJ274" s="26"/>
      <c r="EK274" s="26"/>
      <c r="EL274" s="26"/>
      <c r="EM274" s="26"/>
      <c r="EN274" s="26"/>
      <c r="EO274" s="26"/>
      <c r="EP274" s="26"/>
      <c r="EQ274" s="26"/>
      <c r="ER274" s="26"/>
      <c r="ES274" s="26"/>
      <c r="ET274" s="26"/>
      <c r="EU274" s="26"/>
      <c r="EV274" s="26"/>
      <c r="EW274" s="26"/>
      <c r="EX274" s="26"/>
      <c r="EY274" s="26"/>
      <c r="EZ274" s="26"/>
      <c r="FA274" s="60"/>
      <c r="FB274" s="60"/>
      <c r="FC274" s="60"/>
      <c r="FD274" s="60"/>
      <c r="FE274" s="60"/>
      <c r="FF274" s="60"/>
      <c r="FG274" s="60"/>
      <c r="FH274" s="60"/>
      <c r="FI274" s="60"/>
      <c r="FJ274" s="60"/>
      <c r="FK274" s="60"/>
      <c r="FL274" s="60"/>
      <c r="FM274" s="60"/>
      <c r="FN274" s="60"/>
      <c r="FO274" s="60"/>
      <c r="FP274" s="60"/>
      <c r="FQ274" s="60"/>
      <c r="FR274" s="60"/>
      <c r="FS274" s="60"/>
      <c r="FT274" s="60"/>
      <c r="FU274" s="60"/>
      <c r="FV274" s="60"/>
      <c r="FW274" s="60"/>
      <c r="FX274" s="60"/>
    </row>
    <row r="275">
      <c r="A275" s="18"/>
      <c r="B275" s="14"/>
      <c r="C275" s="14"/>
      <c r="D275" s="14"/>
      <c r="E275" s="18"/>
      <c r="F275" s="18"/>
      <c r="G275" s="18"/>
      <c r="H275" s="18"/>
      <c r="I275" s="18"/>
      <c r="J275" s="18"/>
      <c r="K275" s="18"/>
      <c r="L275" s="18"/>
      <c r="M275" s="18"/>
      <c r="N275" s="18"/>
      <c r="O275" s="18"/>
      <c r="P275" s="23"/>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26"/>
      <c r="EA275" s="26"/>
      <c r="EB275" s="26"/>
      <c r="EC275" s="26"/>
      <c r="ED275" s="26"/>
      <c r="EE275" s="26"/>
      <c r="EF275" s="26"/>
      <c r="EG275" s="26"/>
      <c r="EH275" s="26"/>
      <c r="EI275" s="26"/>
      <c r="EJ275" s="26"/>
      <c r="EK275" s="26"/>
      <c r="EL275" s="26"/>
      <c r="EM275" s="26"/>
      <c r="EN275" s="26"/>
      <c r="EO275" s="26"/>
      <c r="EP275" s="26"/>
      <c r="EQ275" s="26"/>
      <c r="ER275" s="26"/>
      <c r="ES275" s="26"/>
      <c r="ET275" s="26"/>
      <c r="EU275" s="26"/>
      <c r="EV275" s="26"/>
      <c r="EW275" s="26"/>
      <c r="EX275" s="26"/>
      <c r="EY275" s="26"/>
      <c r="EZ275" s="26"/>
      <c r="FA275" s="60"/>
      <c r="FB275" s="60"/>
      <c r="FC275" s="60"/>
      <c r="FD275" s="60"/>
      <c r="FE275" s="60"/>
      <c r="FF275" s="60"/>
      <c r="FG275" s="60"/>
      <c r="FH275" s="60"/>
      <c r="FI275" s="60"/>
      <c r="FJ275" s="60"/>
      <c r="FK275" s="60"/>
      <c r="FL275" s="60"/>
      <c r="FM275" s="60"/>
      <c r="FN275" s="60"/>
      <c r="FO275" s="60"/>
      <c r="FP275" s="60"/>
      <c r="FQ275" s="60"/>
      <c r="FR275" s="60"/>
      <c r="FS275" s="60"/>
      <c r="FT275" s="60"/>
      <c r="FU275" s="60"/>
      <c r="FV275" s="60"/>
      <c r="FW275" s="60"/>
      <c r="FX275" s="60"/>
    </row>
    <row r="276">
      <c r="A276" s="18"/>
      <c r="B276" s="14"/>
      <c r="C276" s="14"/>
      <c r="D276" s="14"/>
      <c r="E276" s="18"/>
      <c r="F276" s="18"/>
      <c r="G276" s="18"/>
      <c r="H276" s="18"/>
      <c r="I276" s="18"/>
      <c r="J276" s="18"/>
      <c r="K276" s="18"/>
      <c r="L276" s="18"/>
      <c r="M276" s="18"/>
      <c r="N276" s="18"/>
      <c r="O276" s="18"/>
      <c r="P276" s="23"/>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26"/>
      <c r="EA276" s="26"/>
      <c r="EB276" s="26"/>
      <c r="EC276" s="26"/>
      <c r="ED276" s="26"/>
      <c r="EE276" s="26"/>
      <c r="EF276" s="26"/>
      <c r="EG276" s="26"/>
      <c r="EH276" s="26"/>
      <c r="EI276" s="26"/>
      <c r="EJ276" s="26"/>
      <c r="EK276" s="26"/>
      <c r="EL276" s="26"/>
      <c r="EM276" s="26"/>
      <c r="EN276" s="26"/>
      <c r="EO276" s="26"/>
      <c r="EP276" s="26"/>
      <c r="EQ276" s="26"/>
      <c r="ER276" s="26"/>
      <c r="ES276" s="26"/>
      <c r="ET276" s="26"/>
      <c r="EU276" s="26"/>
      <c r="EV276" s="26"/>
      <c r="EW276" s="26"/>
      <c r="EX276" s="26"/>
      <c r="EY276" s="26"/>
      <c r="EZ276" s="26"/>
      <c r="FA276" s="60"/>
      <c r="FB276" s="60"/>
      <c r="FC276" s="60"/>
      <c r="FD276" s="60"/>
      <c r="FE276" s="60"/>
      <c r="FF276" s="60"/>
      <c r="FG276" s="60"/>
      <c r="FH276" s="60"/>
      <c r="FI276" s="60"/>
      <c r="FJ276" s="60"/>
      <c r="FK276" s="60"/>
      <c r="FL276" s="60"/>
      <c r="FM276" s="60"/>
      <c r="FN276" s="60"/>
      <c r="FO276" s="60"/>
      <c r="FP276" s="60"/>
      <c r="FQ276" s="60"/>
      <c r="FR276" s="60"/>
      <c r="FS276" s="60"/>
      <c r="FT276" s="60"/>
      <c r="FU276" s="60"/>
      <c r="FV276" s="60"/>
      <c r="FW276" s="60"/>
      <c r="FX276" s="60"/>
    </row>
    <row r="277">
      <c r="A277" s="18"/>
      <c r="B277" s="14"/>
      <c r="C277" s="14"/>
      <c r="D277" s="14"/>
      <c r="E277" s="18"/>
      <c r="F277" s="18"/>
      <c r="G277" s="18"/>
      <c r="H277" s="18"/>
      <c r="I277" s="18"/>
      <c r="J277" s="18"/>
      <c r="K277" s="18"/>
      <c r="L277" s="18"/>
      <c r="M277" s="18"/>
      <c r="N277" s="18"/>
      <c r="O277" s="18"/>
      <c r="P277" s="23"/>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26"/>
      <c r="EA277" s="26"/>
      <c r="EB277" s="26"/>
      <c r="EC277" s="26"/>
      <c r="ED277" s="26"/>
      <c r="EE277" s="26"/>
      <c r="EF277" s="26"/>
      <c r="EG277" s="26"/>
      <c r="EH277" s="26"/>
      <c r="EI277" s="26"/>
      <c r="EJ277" s="26"/>
      <c r="EK277" s="26"/>
      <c r="EL277" s="26"/>
      <c r="EM277" s="26"/>
      <c r="EN277" s="26"/>
      <c r="EO277" s="26"/>
      <c r="EP277" s="26"/>
      <c r="EQ277" s="26"/>
      <c r="ER277" s="26"/>
      <c r="ES277" s="26"/>
      <c r="ET277" s="26"/>
      <c r="EU277" s="26"/>
      <c r="EV277" s="26"/>
      <c r="EW277" s="26"/>
      <c r="EX277" s="26"/>
      <c r="EY277" s="26"/>
      <c r="EZ277" s="26"/>
      <c r="FA277" s="60"/>
      <c r="FB277" s="60"/>
      <c r="FC277" s="60"/>
      <c r="FD277" s="60"/>
      <c r="FE277" s="60"/>
      <c r="FF277" s="60"/>
      <c r="FG277" s="60"/>
      <c r="FH277" s="60"/>
      <c r="FI277" s="60"/>
      <c r="FJ277" s="60"/>
      <c r="FK277" s="60"/>
      <c r="FL277" s="60"/>
      <c r="FM277" s="60"/>
      <c r="FN277" s="60"/>
      <c r="FO277" s="60"/>
      <c r="FP277" s="60"/>
      <c r="FQ277" s="60"/>
      <c r="FR277" s="60"/>
      <c r="FS277" s="60"/>
      <c r="FT277" s="60"/>
      <c r="FU277" s="60"/>
      <c r="FV277" s="60"/>
      <c r="FW277" s="60"/>
      <c r="FX277" s="60"/>
    </row>
    <row r="278">
      <c r="A278" s="18"/>
      <c r="B278" s="14"/>
      <c r="C278" s="14"/>
      <c r="D278" s="14"/>
      <c r="E278" s="18"/>
      <c r="F278" s="18"/>
      <c r="G278" s="18"/>
      <c r="H278" s="18"/>
      <c r="I278" s="18"/>
      <c r="J278" s="18"/>
      <c r="K278" s="18"/>
      <c r="L278" s="18"/>
      <c r="M278" s="18"/>
      <c r="N278" s="18"/>
      <c r="O278" s="18"/>
      <c r="P278" s="23"/>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60"/>
      <c r="FB278" s="60"/>
      <c r="FC278" s="60"/>
      <c r="FD278" s="60"/>
      <c r="FE278" s="60"/>
      <c r="FF278" s="60"/>
      <c r="FG278" s="60"/>
      <c r="FH278" s="60"/>
      <c r="FI278" s="60"/>
      <c r="FJ278" s="60"/>
      <c r="FK278" s="60"/>
      <c r="FL278" s="60"/>
      <c r="FM278" s="60"/>
      <c r="FN278" s="60"/>
      <c r="FO278" s="60"/>
      <c r="FP278" s="60"/>
      <c r="FQ278" s="60"/>
      <c r="FR278" s="60"/>
      <c r="FS278" s="60"/>
      <c r="FT278" s="60"/>
      <c r="FU278" s="60"/>
      <c r="FV278" s="60"/>
      <c r="FW278" s="60"/>
      <c r="FX278" s="60"/>
    </row>
    <row r="279">
      <c r="A279" s="18"/>
      <c r="B279" s="14"/>
      <c r="C279" s="14"/>
      <c r="D279" s="14"/>
      <c r="E279" s="18"/>
      <c r="F279" s="18"/>
      <c r="G279" s="18"/>
      <c r="H279" s="18"/>
      <c r="I279" s="18"/>
      <c r="J279" s="18"/>
      <c r="K279" s="18"/>
      <c r="L279" s="18"/>
      <c r="M279" s="18"/>
      <c r="N279" s="18"/>
      <c r="O279" s="18"/>
      <c r="P279" s="23"/>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26"/>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26"/>
      <c r="EA279" s="26"/>
      <c r="EB279" s="26"/>
      <c r="EC279" s="26"/>
      <c r="ED279" s="26"/>
      <c r="EE279" s="26"/>
      <c r="EF279" s="26"/>
      <c r="EG279" s="26"/>
      <c r="EH279" s="26"/>
      <c r="EI279" s="26"/>
      <c r="EJ279" s="26"/>
      <c r="EK279" s="26"/>
      <c r="EL279" s="26"/>
      <c r="EM279" s="26"/>
      <c r="EN279" s="26"/>
      <c r="EO279" s="26"/>
      <c r="EP279" s="26"/>
      <c r="EQ279" s="26"/>
      <c r="ER279" s="26"/>
      <c r="ES279" s="26"/>
      <c r="ET279" s="26"/>
      <c r="EU279" s="26"/>
      <c r="EV279" s="26"/>
      <c r="EW279" s="26"/>
      <c r="EX279" s="26"/>
      <c r="EY279" s="26"/>
      <c r="EZ279" s="26"/>
      <c r="FA279" s="60"/>
      <c r="FB279" s="60"/>
      <c r="FC279" s="60"/>
      <c r="FD279" s="60"/>
      <c r="FE279" s="60"/>
      <c r="FF279" s="60"/>
      <c r="FG279" s="60"/>
      <c r="FH279" s="60"/>
      <c r="FI279" s="60"/>
      <c r="FJ279" s="60"/>
      <c r="FK279" s="60"/>
      <c r="FL279" s="60"/>
      <c r="FM279" s="60"/>
      <c r="FN279" s="60"/>
      <c r="FO279" s="60"/>
      <c r="FP279" s="60"/>
      <c r="FQ279" s="60"/>
      <c r="FR279" s="60"/>
      <c r="FS279" s="60"/>
      <c r="FT279" s="60"/>
      <c r="FU279" s="60"/>
      <c r="FV279" s="60"/>
      <c r="FW279" s="60"/>
      <c r="FX279" s="60"/>
    </row>
    <row r="280">
      <c r="A280" s="18"/>
      <c r="B280" s="14"/>
      <c r="C280" s="14"/>
      <c r="D280" s="14"/>
      <c r="E280" s="18"/>
      <c r="F280" s="18"/>
      <c r="G280" s="18"/>
      <c r="H280" s="18"/>
      <c r="I280" s="18"/>
      <c r="J280" s="18"/>
      <c r="K280" s="18"/>
      <c r="L280" s="18"/>
      <c r="M280" s="18"/>
      <c r="N280" s="18"/>
      <c r="O280" s="18"/>
      <c r="P280" s="23"/>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26"/>
      <c r="EA280" s="26"/>
      <c r="EB280" s="26"/>
      <c r="EC280" s="26"/>
      <c r="ED280" s="26"/>
      <c r="EE280" s="26"/>
      <c r="EF280" s="26"/>
      <c r="EG280" s="26"/>
      <c r="EH280" s="26"/>
      <c r="EI280" s="26"/>
      <c r="EJ280" s="26"/>
      <c r="EK280" s="26"/>
      <c r="EL280" s="26"/>
      <c r="EM280" s="26"/>
      <c r="EN280" s="26"/>
      <c r="EO280" s="26"/>
      <c r="EP280" s="26"/>
      <c r="EQ280" s="26"/>
      <c r="ER280" s="26"/>
      <c r="ES280" s="26"/>
      <c r="ET280" s="26"/>
      <c r="EU280" s="26"/>
      <c r="EV280" s="26"/>
      <c r="EW280" s="26"/>
      <c r="EX280" s="26"/>
      <c r="EY280" s="26"/>
      <c r="EZ280" s="26"/>
      <c r="FA280" s="60"/>
      <c r="FB280" s="60"/>
      <c r="FC280" s="60"/>
      <c r="FD280" s="60"/>
      <c r="FE280" s="60"/>
      <c r="FF280" s="60"/>
      <c r="FG280" s="60"/>
      <c r="FH280" s="60"/>
      <c r="FI280" s="60"/>
      <c r="FJ280" s="60"/>
      <c r="FK280" s="60"/>
      <c r="FL280" s="60"/>
      <c r="FM280" s="60"/>
      <c r="FN280" s="60"/>
      <c r="FO280" s="60"/>
      <c r="FP280" s="60"/>
      <c r="FQ280" s="60"/>
      <c r="FR280" s="60"/>
      <c r="FS280" s="60"/>
      <c r="FT280" s="60"/>
      <c r="FU280" s="60"/>
      <c r="FV280" s="60"/>
      <c r="FW280" s="60"/>
      <c r="FX280" s="60"/>
    </row>
    <row r="281">
      <c r="A281" s="18"/>
      <c r="B281" s="14"/>
      <c r="C281" s="14"/>
      <c r="D281" s="14"/>
      <c r="E281" s="18"/>
      <c r="F281" s="18"/>
      <c r="G281" s="18"/>
      <c r="H281" s="18"/>
      <c r="I281" s="18"/>
      <c r="J281" s="18"/>
      <c r="K281" s="18"/>
      <c r="L281" s="18"/>
      <c r="M281" s="18"/>
      <c r="N281" s="18"/>
      <c r="O281" s="18"/>
      <c r="P281" s="23"/>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26"/>
      <c r="EA281" s="26"/>
      <c r="EB281" s="26"/>
      <c r="EC281" s="26"/>
      <c r="ED281" s="26"/>
      <c r="EE281" s="26"/>
      <c r="EF281" s="26"/>
      <c r="EG281" s="26"/>
      <c r="EH281" s="26"/>
      <c r="EI281" s="26"/>
      <c r="EJ281" s="26"/>
      <c r="EK281" s="26"/>
      <c r="EL281" s="26"/>
      <c r="EM281" s="26"/>
      <c r="EN281" s="26"/>
      <c r="EO281" s="26"/>
      <c r="EP281" s="26"/>
      <c r="EQ281" s="26"/>
      <c r="ER281" s="26"/>
      <c r="ES281" s="26"/>
      <c r="ET281" s="26"/>
      <c r="EU281" s="26"/>
      <c r="EV281" s="26"/>
      <c r="EW281" s="26"/>
      <c r="EX281" s="26"/>
      <c r="EY281" s="26"/>
      <c r="EZ281" s="26"/>
      <c r="FA281" s="60"/>
      <c r="FB281" s="60"/>
      <c r="FC281" s="60"/>
      <c r="FD281" s="60"/>
      <c r="FE281" s="60"/>
      <c r="FF281" s="60"/>
      <c r="FG281" s="60"/>
      <c r="FH281" s="60"/>
      <c r="FI281" s="60"/>
      <c r="FJ281" s="60"/>
      <c r="FK281" s="60"/>
      <c r="FL281" s="60"/>
      <c r="FM281" s="60"/>
      <c r="FN281" s="60"/>
      <c r="FO281" s="60"/>
      <c r="FP281" s="60"/>
      <c r="FQ281" s="60"/>
      <c r="FR281" s="60"/>
      <c r="FS281" s="60"/>
      <c r="FT281" s="60"/>
      <c r="FU281" s="60"/>
      <c r="FV281" s="60"/>
      <c r="FW281" s="60"/>
      <c r="FX281" s="60"/>
    </row>
    <row r="282">
      <c r="A282" s="18"/>
      <c r="B282" s="14"/>
      <c r="C282" s="14"/>
      <c r="D282" s="14"/>
      <c r="E282" s="18"/>
      <c r="F282" s="18"/>
      <c r="G282" s="18"/>
      <c r="H282" s="18"/>
      <c r="I282" s="18"/>
      <c r="J282" s="18"/>
      <c r="K282" s="18"/>
      <c r="L282" s="18"/>
      <c r="M282" s="18"/>
      <c r="N282" s="18"/>
      <c r="O282" s="18"/>
      <c r="P282" s="23"/>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26"/>
      <c r="DS282" s="26"/>
      <c r="DT282" s="26"/>
      <c r="DU282" s="26"/>
      <c r="DV282" s="26"/>
      <c r="DW282" s="26"/>
      <c r="DX282" s="26"/>
      <c r="DY282" s="26"/>
      <c r="DZ282" s="26"/>
      <c r="EA282" s="26"/>
      <c r="EB282" s="26"/>
      <c r="EC282" s="26"/>
      <c r="ED282" s="26"/>
      <c r="EE282" s="26"/>
      <c r="EF282" s="26"/>
      <c r="EG282" s="26"/>
      <c r="EH282" s="26"/>
      <c r="EI282" s="26"/>
      <c r="EJ282" s="26"/>
      <c r="EK282" s="26"/>
      <c r="EL282" s="26"/>
      <c r="EM282" s="26"/>
      <c r="EN282" s="26"/>
      <c r="EO282" s="26"/>
      <c r="EP282" s="26"/>
      <c r="EQ282" s="26"/>
      <c r="ER282" s="26"/>
      <c r="ES282" s="26"/>
      <c r="ET282" s="26"/>
      <c r="EU282" s="26"/>
      <c r="EV282" s="26"/>
      <c r="EW282" s="26"/>
      <c r="EX282" s="26"/>
      <c r="EY282" s="26"/>
      <c r="EZ282" s="26"/>
      <c r="FA282" s="60"/>
      <c r="FB282" s="60"/>
      <c r="FC282" s="60"/>
      <c r="FD282" s="60"/>
      <c r="FE282" s="60"/>
      <c r="FF282" s="60"/>
      <c r="FG282" s="60"/>
      <c r="FH282" s="60"/>
      <c r="FI282" s="60"/>
      <c r="FJ282" s="60"/>
      <c r="FK282" s="60"/>
      <c r="FL282" s="60"/>
      <c r="FM282" s="60"/>
      <c r="FN282" s="60"/>
      <c r="FO282" s="60"/>
      <c r="FP282" s="60"/>
      <c r="FQ282" s="60"/>
      <c r="FR282" s="60"/>
      <c r="FS282" s="60"/>
      <c r="FT282" s="60"/>
      <c r="FU282" s="60"/>
      <c r="FV282" s="60"/>
      <c r="FW282" s="60"/>
      <c r="FX282" s="60"/>
    </row>
    <row r="283">
      <c r="A283" s="18"/>
      <c r="B283" s="14"/>
      <c r="C283" s="14"/>
      <c r="D283" s="14"/>
      <c r="E283" s="18"/>
      <c r="F283" s="18"/>
      <c r="G283" s="18"/>
      <c r="H283" s="18"/>
      <c r="I283" s="18"/>
      <c r="J283" s="18"/>
      <c r="K283" s="18"/>
      <c r="L283" s="18"/>
      <c r="M283" s="18"/>
      <c r="N283" s="18"/>
      <c r="O283" s="18"/>
      <c r="P283" s="23"/>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26"/>
      <c r="DS283" s="26"/>
      <c r="DT283" s="26"/>
      <c r="DU283" s="26"/>
      <c r="DV283" s="26"/>
      <c r="DW283" s="26"/>
      <c r="DX283" s="26"/>
      <c r="DY283" s="26"/>
      <c r="DZ283" s="26"/>
      <c r="EA283" s="26"/>
      <c r="EB283" s="26"/>
      <c r="EC283" s="26"/>
      <c r="ED283" s="26"/>
      <c r="EE283" s="26"/>
      <c r="EF283" s="26"/>
      <c r="EG283" s="26"/>
      <c r="EH283" s="26"/>
      <c r="EI283" s="26"/>
      <c r="EJ283" s="26"/>
      <c r="EK283" s="26"/>
      <c r="EL283" s="26"/>
      <c r="EM283" s="26"/>
      <c r="EN283" s="26"/>
      <c r="EO283" s="26"/>
      <c r="EP283" s="26"/>
      <c r="EQ283" s="26"/>
      <c r="ER283" s="26"/>
      <c r="ES283" s="26"/>
      <c r="ET283" s="26"/>
      <c r="EU283" s="26"/>
      <c r="EV283" s="26"/>
      <c r="EW283" s="26"/>
      <c r="EX283" s="26"/>
      <c r="EY283" s="26"/>
      <c r="EZ283" s="26"/>
      <c r="FA283" s="60"/>
      <c r="FB283" s="60"/>
      <c r="FC283" s="60"/>
      <c r="FD283" s="60"/>
      <c r="FE283" s="60"/>
      <c r="FF283" s="60"/>
      <c r="FG283" s="60"/>
      <c r="FH283" s="60"/>
      <c r="FI283" s="60"/>
      <c r="FJ283" s="60"/>
      <c r="FK283" s="60"/>
      <c r="FL283" s="60"/>
      <c r="FM283" s="60"/>
      <c r="FN283" s="60"/>
      <c r="FO283" s="60"/>
      <c r="FP283" s="60"/>
      <c r="FQ283" s="60"/>
      <c r="FR283" s="60"/>
      <c r="FS283" s="60"/>
      <c r="FT283" s="60"/>
      <c r="FU283" s="60"/>
      <c r="FV283" s="60"/>
      <c r="FW283" s="60"/>
      <c r="FX283" s="60"/>
    </row>
    <row r="284">
      <c r="A284" s="18"/>
      <c r="B284" s="14"/>
      <c r="C284" s="14"/>
      <c r="D284" s="14"/>
      <c r="E284" s="18"/>
      <c r="F284" s="18"/>
      <c r="G284" s="18"/>
      <c r="H284" s="18"/>
      <c r="I284" s="18"/>
      <c r="J284" s="18"/>
      <c r="K284" s="18"/>
      <c r="L284" s="18"/>
      <c r="M284" s="18"/>
      <c r="N284" s="18"/>
      <c r="O284" s="18"/>
      <c r="P284" s="23"/>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26"/>
      <c r="CU284" s="26"/>
      <c r="CV284" s="26"/>
      <c r="CW284" s="26"/>
      <c r="CX284" s="26"/>
      <c r="CY284" s="26"/>
      <c r="CZ284" s="26"/>
      <c r="DA284" s="26"/>
      <c r="DB284" s="26"/>
      <c r="DC284" s="26"/>
      <c r="DD284" s="26"/>
      <c r="DE284" s="26"/>
      <c r="DF284" s="26"/>
      <c r="DG284" s="26"/>
      <c r="DH284" s="26"/>
      <c r="DI284" s="26"/>
      <c r="DJ284" s="26"/>
      <c r="DK284" s="26"/>
      <c r="DL284" s="26"/>
      <c r="DM284" s="26"/>
      <c r="DN284" s="26"/>
      <c r="DO284" s="26"/>
      <c r="DP284" s="26"/>
      <c r="DQ284" s="26"/>
      <c r="DR284" s="26"/>
      <c r="DS284" s="26"/>
      <c r="DT284" s="26"/>
      <c r="DU284" s="26"/>
      <c r="DV284" s="26"/>
      <c r="DW284" s="26"/>
      <c r="DX284" s="26"/>
      <c r="DY284" s="26"/>
      <c r="DZ284" s="26"/>
      <c r="EA284" s="26"/>
      <c r="EB284" s="26"/>
      <c r="EC284" s="26"/>
      <c r="ED284" s="26"/>
      <c r="EE284" s="26"/>
      <c r="EF284" s="26"/>
      <c r="EG284" s="26"/>
      <c r="EH284" s="26"/>
      <c r="EI284" s="26"/>
      <c r="EJ284" s="26"/>
      <c r="EK284" s="26"/>
      <c r="EL284" s="26"/>
      <c r="EM284" s="26"/>
      <c r="EN284" s="26"/>
      <c r="EO284" s="26"/>
      <c r="EP284" s="26"/>
      <c r="EQ284" s="26"/>
      <c r="ER284" s="26"/>
      <c r="ES284" s="26"/>
      <c r="ET284" s="26"/>
      <c r="EU284" s="26"/>
      <c r="EV284" s="26"/>
      <c r="EW284" s="26"/>
      <c r="EX284" s="26"/>
      <c r="EY284" s="26"/>
      <c r="EZ284" s="26"/>
      <c r="FA284" s="60"/>
      <c r="FB284" s="60"/>
      <c r="FC284" s="60"/>
      <c r="FD284" s="60"/>
      <c r="FE284" s="60"/>
      <c r="FF284" s="60"/>
      <c r="FG284" s="60"/>
      <c r="FH284" s="60"/>
      <c r="FI284" s="60"/>
      <c r="FJ284" s="60"/>
      <c r="FK284" s="60"/>
      <c r="FL284" s="60"/>
      <c r="FM284" s="60"/>
      <c r="FN284" s="60"/>
      <c r="FO284" s="60"/>
      <c r="FP284" s="60"/>
      <c r="FQ284" s="60"/>
      <c r="FR284" s="60"/>
      <c r="FS284" s="60"/>
      <c r="FT284" s="60"/>
      <c r="FU284" s="60"/>
      <c r="FV284" s="60"/>
      <c r="FW284" s="60"/>
      <c r="FX284" s="60"/>
    </row>
    <row r="285">
      <c r="A285" s="18"/>
      <c r="B285" s="14"/>
      <c r="C285" s="14"/>
      <c r="D285" s="14"/>
      <c r="E285" s="18"/>
      <c r="F285" s="18"/>
      <c r="G285" s="18"/>
      <c r="H285" s="18"/>
      <c r="I285" s="18"/>
      <c r="J285" s="18"/>
      <c r="K285" s="18"/>
      <c r="L285" s="18"/>
      <c r="M285" s="18"/>
      <c r="N285" s="18"/>
      <c r="O285" s="18"/>
      <c r="P285" s="23"/>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26"/>
      <c r="CU285" s="26"/>
      <c r="CV285" s="26"/>
      <c r="CW285" s="26"/>
      <c r="CX285" s="26"/>
      <c r="CY285" s="26"/>
      <c r="CZ285" s="26"/>
      <c r="DA285" s="26"/>
      <c r="DB285" s="26"/>
      <c r="DC285" s="26"/>
      <c r="DD285" s="26"/>
      <c r="DE285" s="26"/>
      <c r="DF285" s="26"/>
      <c r="DG285" s="26"/>
      <c r="DH285" s="26"/>
      <c r="DI285" s="26"/>
      <c r="DJ285" s="26"/>
      <c r="DK285" s="26"/>
      <c r="DL285" s="26"/>
      <c r="DM285" s="26"/>
      <c r="DN285" s="26"/>
      <c r="DO285" s="26"/>
      <c r="DP285" s="26"/>
      <c r="DQ285" s="26"/>
      <c r="DR285" s="26"/>
      <c r="DS285" s="26"/>
      <c r="DT285" s="26"/>
      <c r="DU285" s="26"/>
      <c r="DV285" s="26"/>
      <c r="DW285" s="26"/>
      <c r="DX285" s="26"/>
      <c r="DY285" s="26"/>
      <c r="DZ285" s="26"/>
      <c r="EA285" s="26"/>
      <c r="EB285" s="26"/>
      <c r="EC285" s="26"/>
      <c r="ED285" s="26"/>
      <c r="EE285" s="26"/>
      <c r="EF285" s="26"/>
      <c r="EG285" s="26"/>
      <c r="EH285" s="26"/>
      <c r="EI285" s="26"/>
      <c r="EJ285" s="26"/>
      <c r="EK285" s="26"/>
      <c r="EL285" s="26"/>
      <c r="EM285" s="26"/>
      <c r="EN285" s="26"/>
      <c r="EO285" s="26"/>
      <c r="EP285" s="26"/>
      <c r="EQ285" s="26"/>
      <c r="ER285" s="26"/>
      <c r="ES285" s="26"/>
      <c r="ET285" s="26"/>
      <c r="EU285" s="26"/>
      <c r="EV285" s="26"/>
      <c r="EW285" s="26"/>
      <c r="EX285" s="26"/>
      <c r="EY285" s="26"/>
      <c r="EZ285" s="26"/>
      <c r="FA285" s="60"/>
      <c r="FB285" s="60"/>
      <c r="FC285" s="60"/>
      <c r="FD285" s="60"/>
      <c r="FE285" s="60"/>
      <c r="FF285" s="60"/>
      <c r="FG285" s="60"/>
      <c r="FH285" s="60"/>
      <c r="FI285" s="60"/>
      <c r="FJ285" s="60"/>
      <c r="FK285" s="60"/>
      <c r="FL285" s="60"/>
      <c r="FM285" s="60"/>
      <c r="FN285" s="60"/>
      <c r="FO285" s="60"/>
      <c r="FP285" s="60"/>
      <c r="FQ285" s="60"/>
      <c r="FR285" s="60"/>
      <c r="FS285" s="60"/>
      <c r="FT285" s="60"/>
      <c r="FU285" s="60"/>
      <c r="FV285" s="60"/>
      <c r="FW285" s="60"/>
      <c r="FX285" s="60"/>
    </row>
    <row r="286">
      <c r="A286" s="18"/>
      <c r="B286" s="14"/>
      <c r="C286" s="14"/>
      <c r="D286" s="14"/>
      <c r="E286" s="18"/>
      <c r="F286" s="18"/>
      <c r="G286" s="18"/>
      <c r="H286" s="18"/>
      <c r="I286" s="18"/>
      <c r="J286" s="18"/>
      <c r="K286" s="18"/>
      <c r="L286" s="18"/>
      <c r="M286" s="18"/>
      <c r="N286" s="18"/>
      <c r="O286" s="18"/>
      <c r="P286" s="23"/>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26"/>
      <c r="EA286" s="26"/>
      <c r="EB286" s="26"/>
      <c r="EC286" s="26"/>
      <c r="ED286" s="26"/>
      <c r="EE286" s="26"/>
      <c r="EF286" s="26"/>
      <c r="EG286" s="26"/>
      <c r="EH286" s="26"/>
      <c r="EI286" s="26"/>
      <c r="EJ286" s="26"/>
      <c r="EK286" s="26"/>
      <c r="EL286" s="26"/>
      <c r="EM286" s="26"/>
      <c r="EN286" s="26"/>
      <c r="EO286" s="26"/>
      <c r="EP286" s="26"/>
      <c r="EQ286" s="26"/>
      <c r="ER286" s="26"/>
      <c r="ES286" s="26"/>
      <c r="ET286" s="26"/>
      <c r="EU286" s="26"/>
      <c r="EV286" s="26"/>
      <c r="EW286" s="26"/>
      <c r="EX286" s="26"/>
      <c r="EY286" s="26"/>
      <c r="EZ286" s="26"/>
      <c r="FA286" s="60"/>
      <c r="FB286" s="60"/>
      <c r="FC286" s="60"/>
      <c r="FD286" s="60"/>
      <c r="FE286" s="60"/>
      <c r="FF286" s="60"/>
      <c r="FG286" s="60"/>
      <c r="FH286" s="60"/>
      <c r="FI286" s="60"/>
      <c r="FJ286" s="60"/>
      <c r="FK286" s="60"/>
      <c r="FL286" s="60"/>
      <c r="FM286" s="60"/>
      <c r="FN286" s="60"/>
      <c r="FO286" s="60"/>
      <c r="FP286" s="60"/>
      <c r="FQ286" s="60"/>
      <c r="FR286" s="60"/>
      <c r="FS286" s="60"/>
      <c r="FT286" s="60"/>
      <c r="FU286" s="60"/>
      <c r="FV286" s="60"/>
      <c r="FW286" s="60"/>
      <c r="FX286" s="60"/>
    </row>
    <row r="287">
      <c r="A287" s="18"/>
      <c r="B287" s="14"/>
      <c r="C287" s="14"/>
      <c r="D287" s="14"/>
      <c r="E287" s="18"/>
      <c r="F287" s="18"/>
      <c r="G287" s="18"/>
      <c r="H287" s="18"/>
      <c r="I287" s="18"/>
      <c r="J287" s="18"/>
      <c r="K287" s="18"/>
      <c r="L287" s="18"/>
      <c r="M287" s="18"/>
      <c r="N287" s="18"/>
      <c r="O287" s="18"/>
      <c r="P287" s="23"/>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26"/>
      <c r="EA287" s="26"/>
      <c r="EB287" s="26"/>
      <c r="EC287" s="26"/>
      <c r="ED287" s="26"/>
      <c r="EE287" s="26"/>
      <c r="EF287" s="26"/>
      <c r="EG287" s="26"/>
      <c r="EH287" s="26"/>
      <c r="EI287" s="26"/>
      <c r="EJ287" s="26"/>
      <c r="EK287" s="26"/>
      <c r="EL287" s="26"/>
      <c r="EM287" s="26"/>
      <c r="EN287" s="26"/>
      <c r="EO287" s="26"/>
      <c r="EP287" s="26"/>
      <c r="EQ287" s="26"/>
      <c r="ER287" s="26"/>
      <c r="ES287" s="26"/>
      <c r="ET287" s="26"/>
      <c r="EU287" s="26"/>
      <c r="EV287" s="26"/>
      <c r="EW287" s="26"/>
      <c r="EX287" s="26"/>
      <c r="EY287" s="26"/>
      <c r="EZ287" s="26"/>
      <c r="FA287" s="60"/>
      <c r="FB287" s="60"/>
      <c r="FC287" s="60"/>
      <c r="FD287" s="60"/>
      <c r="FE287" s="60"/>
      <c r="FF287" s="60"/>
      <c r="FG287" s="60"/>
      <c r="FH287" s="60"/>
      <c r="FI287" s="60"/>
      <c r="FJ287" s="60"/>
      <c r="FK287" s="60"/>
      <c r="FL287" s="60"/>
      <c r="FM287" s="60"/>
      <c r="FN287" s="60"/>
      <c r="FO287" s="60"/>
      <c r="FP287" s="60"/>
      <c r="FQ287" s="60"/>
      <c r="FR287" s="60"/>
      <c r="FS287" s="60"/>
      <c r="FT287" s="60"/>
      <c r="FU287" s="60"/>
      <c r="FV287" s="60"/>
      <c r="FW287" s="60"/>
      <c r="FX287" s="60"/>
    </row>
    <row r="288">
      <c r="A288" s="18"/>
      <c r="B288" s="14"/>
      <c r="C288" s="14"/>
      <c r="D288" s="14"/>
      <c r="E288" s="18"/>
      <c r="F288" s="18"/>
      <c r="G288" s="18"/>
      <c r="H288" s="18"/>
      <c r="I288" s="18"/>
      <c r="J288" s="18"/>
      <c r="K288" s="18"/>
      <c r="L288" s="18"/>
      <c r="M288" s="18"/>
      <c r="N288" s="18"/>
      <c r="O288" s="18"/>
      <c r="P288" s="23"/>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26"/>
      <c r="EA288" s="26"/>
      <c r="EB288" s="26"/>
      <c r="EC288" s="26"/>
      <c r="ED288" s="26"/>
      <c r="EE288" s="26"/>
      <c r="EF288" s="26"/>
      <c r="EG288" s="26"/>
      <c r="EH288" s="26"/>
      <c r="EI288" s="26"/>
      <c r="EJ288" s="26"/>
      <c r="EK288" s="26"/>
      <c r="EL288" s="26"/>
      <c r="EM288" s="26"/>
      <c r="EN288" s="26"/>
      <c r="EO288" s="26"/>
      <c r="EP288" s="26"/>
      <c r="EQ288" s="26"/>
      <c r="ER288" s="26"/>
      <c r="ES288" s="26"/>
      <c r="ET288" s="26"/>
      <c r="EU288" s="26"/>
      <c r="EV288" s="26"/>
      <c r="EW288" s="26"/>
      <c r="EX288" s="26"/>
      <c r="EY288" s="26"/>
      <c r="EZ288" s="26"/>
      <c r="FA288" s="60"/>
      <c r="FB288" s="60"/>
      <c r="FC288" s="60"/>
      <c r="FD288" s="60"/>
      <c r="FE288" s="60"/>
      <c r="FF288" s="60"/>
      <c r="FG288" s="60"/>
      <c r="FH288" s="60"/>
      <c r="FI288" s="60"/>
      <c r="FJ288" s="60"/>
      <c r="FK288" s="60"/>
      <c r="FL288" s="60"/>
      <c r="FM288" s="60"/>
      <c r="FN288" s="60"/>
      <c r="FO288" s="60"/>
      <c r="FP288" s="60"/>
      <c r="FQ288" s="60"/>
      <c r="FR288" s="60"/>
      <c r="FS288" s="60"/>
      <c r="FT288" s="60"/>
      <c r="FU288" s="60"/>
      <c r="FV288" s="60"/>
      <c r="FW288" s="60"/>
      <c r="FX288" s="60"/>
    </row>
    <row r="289">
      <c r="A289" s="18"/>
      <c r="B289" s="14"/>
      <c r="C289" s="14"/>
      <c r="D289" s="14"/>
      <c r="E289" s="18"/>
      <c r="F289" s="18"/>
      <c r="G289" s="18"/>
      <c r="H289" s="18"/>
      <c r="I289" s="18"/>
      <c r="J289" s="18"/>
      <c r="K289" s="18"/>
      <c r="L289" s="18"/>
      <c r="M289" s="18"/>
      <c r="N289" s="18"/>
      <c r="O289" s="18"/>
      <c r="P289" s="23"/>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26"/>
      <c r="EA289" s="26"/>
      <c r="EB289" s="26"/>
      <c r="EC289" s="26"/>
      <c r="ED289" s="26"/>
      <c r="EE289" s="26"/>
      <c r="EF289" s="26"/>
      <c r="EG289" s="26"/>
      <c r="EH289" s="26"/>
      <c r="EI289" s="26"/>
      <c r="EJ289" s="26"/>
      <c r="EK289" s="26"/>
      <c r="EL289" s="26"/>
      <c r="EM289" s="26"/>
      <c r="EN289" s="26"/>
      <c r="EO289" s="26"/>
      <c r="EP289" s="26"/>
      <c r="EQ289" s="26"/>
      <c r="ER289" s="26"/>
      <c r="ES289" s="26"/>
      <c r="ET289" s="26"/>
      <c r="EU289" s="26"/>
      <c r="EV289" s="26"/>
      <c r="EW289" s="26"/>
      <c r="EX289" s="26"/>
      <c r="EY289" s="26"/>
      <c r="EZ289" s="26"/>
      <c r="FA289" s="60"/>
      <c r="FB289" s="60"/>
      <c r="FC289" s="60"/>
      <c r="FD289" s="60"/>
      <c r="FE289" s="60"/>
      <c r="FF289" s="60"/>
      <c r="FG289" s="60"/>
      <c r="FH289" s="60"/>
      <c r="FI289" s="60"/>
      <c r="FJ289" s="60"/>
      <c r="FK289" s="60"/>
      <c r="FL289" s="60"/>
      <c r="FM289" s="60"/>
      <c r="FN289" s="60"/>
      <c r="FO289" s="60"/>
      <c r="FP289" s="60"/>
      <c r="FQ289" s="60"/>
      <c r="FR289" s="60"/>
      <c r="FS289" s="60"/>
      <c r="FT289" s="60"/>
      <c r="FU289" s="60"/>
      <c r="FV289" s="60"/>
      <c r="FW289" s="60"/>
      <c r="FX289" s="60"/>
    </row>
    <row r="290">
      <c r="A290" s="18"/>
      <c r="B290" s="14"/>
      <c r="C290" s="14"/>
      <c r="D290" s="14"/>
      <c r="E290" s="18"/>
      <c r="F290" s="18"/>
      <c r="G290" s="18"/>
      <c r="H290" s="18"/>
      <c r="I290" s="18"/>
      <c r="J290" s="18"/>
      <c r="K290" s="18"/>
      <c r="L290" s="18"/>
      <c r="M290" s="18"/>
      <c r="N290" s="18"/>
      <c r="O290" s="18"/>
      <c r="P290" s="23"/>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26"/>
      <c r="EA290" s="26"/>
      <c r="EB290" s="26"/>
      <c r="EC290" s="26"/>
      <c r="ED290" s="26"/>
      <c r="EE290" s="26"/>
      <c r="EF290" s="26"/>
      <c r="EG290" s="26"/>
      <c r="EH290" s="26"/>
      <c r="EI290" s="26"/>
      <c r="EJ290" s="26"/>
      <c r="EK290" s="26"/>
      <c r="EL290" s="26"/>
      <c r="EM290" s="26"/>
      <c r="EN290" s="26"/>
      <c r="EO290" s="26"/>
      <c r="EP290" s="26"/>
      <c r="EQ290" s="26"/>
      <c r="ER290" s="26"/>
      <c r="ES290" s="26"/>
      <c r="ET290" s="26"/>
      <c r="EU290" s="26"/>
      <c r="EV290" s="26"/>
      <c r="EW290" s="26"/>
      <c r="EX290" s="26"/>
      <c r="EY290" s="26"/>
      <c r="EZ290" s="26"/>
      <c r="FA290" s="60"/>
      <c r="FB290" s="60"/>
      <c r="FC290" s="60"/>
      <c r="FD290" s="60"/>
      <c r="FE290" s="60"/>
      <c r="FF290" s="60"/>
      <c r="FG290" s="60"/>
      <c r="FH290" s="60"/>
      <c r="FI290" s="60"/>
      <c r="FJ290" s="60"/>
      <c r="FK290" s="60"/>
      <c r="FL290" s="60"/>
      <c r="FM290" s="60"/>
      <c r="FN290" s="60"/>
      <c r="FO290" s="60"/>
      <c r="FP290" s="60"/>
      <c r="FQ290" s="60"/>
      <c r="FR290" s="60"/>
      <c r="FS290" s="60"/>
      <c r="FT290" s="60"/>
      <c r="FU290" s="60"/>
      <c r="FV290" s="60"/>
      <c r="FW290" s="60"/>
      <c r="FX290" s="60"/>
    </row>
    <row r="291">
      <c r="A291" s="18"/>
      <c r="B291" s="14"/>
      <c r="C291" s="14"/>
      <c r="D291" s="14"/>
      <c r="E291" s="18"/>
      <c r="F291" s="18"/>
      <c r="G291" s="18"/>
      <c r="H291" s="18"/>
      <c r="I291" s="18"/>
      <c r="J291" s="18"/>
      <c r="K291" s="18"/>
      <c r="L291" s="18"/>
      <c r="M291" s="18"/>
      <c r="N291" s="18"/>
      <c r="O291" s="18"/>
      <c r="P291" s="23"/>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26"/>
      <c r="EA291" s="26"/>
      <c r="EB291" s="26"/>
      <c r="EC291" s="26"/>
      <c r="ED291" s="26"/>
      <c r="EE291" s="26"/>
      <c r="EF291" s="26"/>
      <c r="EG291" s="26"/>
      <c r="EH291" s="26"/>
      <c r="EI291" s="26"/>
      <c r="EJ291" s="26"/>
      <c r="EK291" s="26"/>
      <c r="EL291" s="26"/>
      <c r="EM291" s="26"/>
      <c r="EN291" s="26"/>
      <c r="EO291" s="26"/>
      <c r="EP291" s="26"/>
      <c r="EQ291" s="26"/>
      <c r="ER291" s="26"/>
      <c r="ES291" s="26"/>
      <c r="ET291" s="26"/>
      <c r="EU291" s="26"/>
      <c r="EV291" s="26"/>
      <c r="EW291" s="26"/>
      <c r="EX291" s="26"/>
      <c r="EY291" s="26"/>
      <c r="EZ291" s="26"/>
      <c r="FA291" s="60"/>
      <c r="FB291" s="60"/>
      <c r="FC291" s="60"/>
      <c r="FD291" s="60"/>
      <c r="FE291" s="60"/>
      <c r="FF291" s="60"/>
      <c r="FG291" s="60"/>
      <c r="FH291" s="60"/>
      <c r="FI291" s="60"/>
      <c r="FJ291" s="60"/>
      <c r="FK291" s="60"/>
      <c r="FL291" s="60"/>
      <c r="FM291" s="60"/>
      <c r="FN291" s="60"/>
      <c r="FO291" s="60"/>
      <c r="FP291" s="60"/>
      <c r="FQ291" s="60"/>
      <c r="FR291" s="60"/>
      <c r="FS291" s="60"/>
      <c r="FT291" s="60"/>
      <c r="FU291" s="60"/>
      <c r="FV291" s="60"/>
      <c r="FW291" s="60"/>
      <c r="FX291" s="60"/>
    </row>
    <row r="292">
      <c r="A292" s="18"/>
      <c r="B292" s="14"/>
      <c r="C292" s="14"/>
      <c r="D292" s="14"/>
      <c r="E292" s="18"/>
      <c r="F292" s="18"/>
      <c r="G292" s="18"/>
      <c r="H292" s="18"/>
      <c r="I292" s="18"/>
      <c r="J292" s="18"/>
      <c r="K292" s="18"/>
      <c r="L292" s="18"/>
      <c r="M292" s="18"/>
      <c r="N292" s="18"/>
      <c r="O292" s="18"/>
      <c r="P292" s="23"/>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26"/>
      <c r="EA292" s="26"/>
      <c r="EB292" s="26"/>
      <c r="EC292" s="26"/>
      <c r="ED292" s="26"/>
      <c r="EE292" s="26"/>
      <c r="EF292" s="26"/>
      <c r="EG292" s="26"/>
      <c r="EH292" s="26"/>
      <c r="EI292" s="26"/>
      <c r="EJ292" s="26"/>
      <c r="EK292" s="26"/>
      <c r="EL292" s="26"/>
      <c r="EM292" s="26"/>
      <c r="EN292" s="26"/>
      <c r="EO292" s="26"/>
      <c r="EP292" s="26"/>
      <c r="EQ292" s="26"/>
      <c r="ER292" s="26"/>
      <c r="ES292" s="26"/>
      <c r="ET292" s="26"/>
      <c r="EU292" s="26"/>
      <c r="EV292" s="26"/>
      <c r="EW292" s="26"/>
      <c r="EX292" s="26"/>
      <c r="EY292" s="26"/>
      <c r="EZ292" s="26"/>
      <c r="FA292" s="60"/>
      <c r="FB292" s="60"/>
      <c r="FC292" s="60"/>
      <c r="FD292" s="60"/>
      <c r="FE292" s="60"/>
      <c r="FF292" s="60"/>
      <c r="FG292" s="60"/>
      <c r="FH292" s="60"/>
      <c r="FI292" s="60"/>
      <c r="FJ292" s="60"/>
      <c r="FK292" s="60"/>
      <c r="FL292" s="60"/>
      <c r="FM292" s="60"/>
      <c r="FN292" s="60"/>
      <c r="FO292" s="60"/>
      <c r="FP292" s="60"/>
      <c r="FQ292" s="60"/>
      <c r="FR292" s="60"/>
      <c r="FS292" s="60"/>
      <c r="FT292" s="60"/>
      <c r="FU292" s="60"/>
      <c r="FV292" s="60"/>
      <c r="FW292" s="60"/>
      <c r="FX292" s="60"/>
    </row>
    <row r="293">
      <c r="A293" s="18"/>
      <c r="B293" s="14"/>
      <c r="C293" s="14"/>
      <c r="D293" s="14"/>
      <c r="E293" s="18"/>
      <c r="F293" s="18"/>
      <c r="G293" s="18"/>
      <c r="H293" s="18"/>
      <c r="I293" s="18"/>
      <c r="J293" s="18"/>
      <c r="K293" s="18"/>
      <c r="L293" s="18"/>
      <c r="M293" s="18"/>
      <c r="N293" s="18"/>
      <c r="O293" s="18"/>
      <c r="P293" s="23"/>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26"/>
      <c r="EA293" s="26"/>
      <c r="EB293" s="26"/>
      <c r="EC293" s="26"/>
      <c r="ED293" s="26"/>
      <c r="EE293" s="26"/>
      <c r="EF293" s="26"/>
      <c r="EG293" s="26"/>
      <c r="EH293" s="26"/>
      <c r="EI293" s="26"/>
      <c r="EJ293" s="26"/>
      <c r="EK293" s="26"/>
      <c r="EL293" s="26"/>
      <c r="EM293" s="26"/>
      <c r="EN293" s="26"/>
      <c r="EO293" s="26"/>
      <c r="EP293" s="26"/>
      <c r="EQ293" s="26"/>
      <c r="ER293" s="26"/>
      <c r="ES293" s="26"/>
      <c r="ET293" s="26"/>
      <c r="EU293" s="26"/>
      <c r="EV293" s="26"/>
      <c r="EW293" s="26"/>
      <c r="EX293" s="26"/>
      <c r="EY293" s="26"/>
      <c r="EZ293" s="26"/>
      <c r="FA293" s="60"/>
      <c r="FB293" s="60"/>
      <c r="FC293" s="60"/>
      <c r="FD293" s="60"/>
      <c r="FE293" s="60"/>
      <c r="FF293" s="60"/>
      <c r="FG293" s="60"/>
      <c r="FH293" s="60"/>
      <c r="FI293" s="60"/>
      <c r="FJ293" s="60"/>
      <c r="FK293" s="60"/>
      <c r="FL293" s="60"/>
      <c r="FM293" s="60"/>
      <c r="FN293" s="60"/>
      <c r="FO293" s="60"/>
      <c r="FP293" s="60"/>
      <c r="FQ293" s="60"/>
      <c r="FR293" s="60"/>
      <c r="FS293" s="60"/>
      <c r="FT293" s="60"/>
      <c r="FU293" s="60"/>
      <c r="FV293" s="60"/>
      <c r="FW293" s="60"/>
      <c r="FX293" s="60"/>
    </row>
    <row r="294">
      <c r="A294" s="18"/>
      <c r="B294" s="14"/>
      <c r="C294" s="14"/>
      <c r="D294" s="14"/>
      <c r="E294" s="18"/>
      <c r="F294" s="18"/>
      <c r="G294" s="18"/>
      <c r="H294" s="18"/>
      <c r="I294" s="18"/>
      <c r="J294" s="18"/>
      <c r="K294" s="18"/>
      <c r="L294" s="18"/>
      <c r="M294" s="18"/>
      <c r="N294" s="18"/>
      <c r="O294" s="18"/>
      <c r="P294" s="23"/>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26"/>
      <c r="EA294" s="26"/>
      <c r="EB294" s="26"/>
      <c r="EC294" s="26"/>
      <c r="ED294" s="26"/>
      <c r="EE294" s="26"/>
      <c r="EF294" s="26"/>
      <c r="EG294" s="26"/>
      <c r="EH294" s="26"/>
      <c r="EI294" s="26"/>
      <c r="EJ294" s="26"/>
      <c r="EK294" s="26"/>
      <c r="EL294" s="26"/>
      <c r="EM294" s="26"/>
      <c r="EN294" s="26"/>
      <c r="EO294" s="26"/>
      <c r="EP294" s="26"/>
      <c r="EQ294" s="26"/>
      <c r="ER294" s="26"/>
      <c r="ES294" s="26"/>
      <c r="ET294" s="26"/>
      <c r="EU294" s="26"/>
      <c r="EV294" s="26"/>
      <c r="EW294" s="26"/>
      <c r="EX294" s="26"/>
      <c r="EY294" s="26"/>
      <c r="EZ294" s="26"/>
      <c r="FA294" s="60"/>
      <c r="FB294" s="60"/>
      <c r="FC294" s="60"/>
      <c r="FD294" s="60"/>
      <c r="FE294" s="60"/>
      <c r="FF294" s="60"/>
      <c r="FG294" s="60"/>
      <c r="FH294" s="60"/>
      <c r="FI294" s="60"/>
      <c r="FJ294" s="60"/>
      <c r="FK294" s="60"/>
      <c r="FL294" s="60"/>
      <c r="FM294" s="60"/>
      <c r="FN294" s="60"/>
      <c r="FO294" s="60"/>
      <c r="FP294" s="60"/>
      <c r="FQ294" s="60"/>
      <c r="FR294" s="60"/>
      <c r="FS294" s="60"/>
      <c r="FT294" s="60"/>
      <c r="FU294" s="60"/>
      <c r="FV294" s="60"/>
      <c r="FW294" s="60"/>
      <c r="FX294" s="60"/>
    </row>
    <row r="295">
      <c r="A295" s="18"/>
      <c r="B295" s="14"/>
      <c r="C295" s="14"/>
      <c r="D295" s="14"/>
      <c r="E295" s="18"/>
      <c r="F295" s="18"/>
      <c r="G295" s="18"/>
      <c r="H295" s="18"/>
      <c r="I295" s="18"/>
      <c r="J295" s="18"/>
      <c r="K295" s="18"/>
      <c r="L295" s="18"/>
      <c r="M295" s="18"/>
      <c r="N295" s="18"/>
      <c r="O295" s="18"/>
      <c r="P295" s="23"/>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26"/>
      <c r="EA295" s="26"/>
      <c r="EB295" s="26"/>
      <c r="EC295" s="26"/>
      <c r="ED295" s="26"/>
      <c r="EE295" s="26"/>
      <c r="EF295" s="26"/>
      <c r="EG295" s="26"/>
      <c r="EH295" s="26"/>
      <c r="EI295" s="26"/>
      <c r="EJ295" s="26"/>
      <c r="EK295" s="26"/>
      <c r="EL295" s="26"/>
      <c r="EM295" s="26"/>
      <c r="EN295" s="26"/>
      <c r="EO295" s="26"/>
      <c r="EP295" s="26"/>
      <c r="EQ295" s="26"/>
      <c r="ER295" s="26"/>
      <c r="ES295" s="26"/>
      <c r="ET295" s="26"/>
      <c r="EU295" s="26"/>
      <c r="EV295" s="26"/>
      <c r="EW295" s="26"/>
      <c r="EX295" s="26"/>
      <c r="EY295" s="26"/>
      <c r="EZ295" s="26"/>
      <c r="FA295" s="60"/>
      <c r="FB295" s="60"/>
      <c r="FC295" s="60"/>
      <c r="FD295" s="60"/>
      <c r="FE295" s="60"/>
      <c r="FF295" s="60"/>
      <c r="FG295" s="60"/>
      <c r="FH295" s="60"/>
      <c r="FI295" s="60"/>
      <c r="FJ295" s="60"/>
      <c r="FK295" s="60"/>
      <c r="FL295" s="60"/>
      <c r="FM295" s="60"/>
      <c r="FN295" s="60"/>
      <c r="FO295" s="60"/>
      <c r="FP295" s="60"/>
      <c r="FQ295" s="60"/>
      <c r="FR295" s="60"/>
      <c r="FS295" s="60"/>
      <c r="FT295" s="60"/>
      <c r="FU295" s="60"/>
      <c r="FV295" s="60"/>
      <c r="FW295" s="60"/>
      <c r="FX295" s="60"/>
    </row>
    <row r="296">
      <c r="A296" s="18"/>
      <c r="B296" s="14"/>
      <c r="C296" s="14"/>
      <c r="D296" s="14"/>
      <c r="E296" s="18"/>
      <c r="F296" s="18"/>
      <c r="G296" s="18"/>
      <c r="H296" s="18"/>
      <c r="I296" s="18"/>
      <c r="J296" s="18"/>
      <c r="K296" s="18"/>
      <c r="L296" s="18"/>
      <c r="M296" s="18"/>
      <c r="N296" s="18"/>
      <c r="O296" s="18"/>
      <c r="P296" s="23"/>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26"/>
      <c r="EA296" s="26"/>
      <c r="EB296" s="26"/>
      <c r="EC296" s="26"/>
      <c r="ED296" s="26"/>
      <c r="EE296" s="26"/>
      <c r="EF296" s="26"/>
      <c r="EG296" s="26"/>
      <c r="EH296" s="26"/>
      <c r="EI296" s="26"/>
      <c r="EJ296" s="26"/>
      <c r="EK296" s="26"/>
      <c r="EL296" s="26"/>
      <c r="EM296" s="26"/>
      <c r="EN296" s="26"/>
      <c r="EO296" s="26"/>
      <c r="EP296" s="26"/>
      <c r="EQ296" s="26"/>
      <c r="ER296" s="26"/>
      <c r="ES296" s="26"/>
      <c r="ET296" s="26"/>
      <c r="EU296" s="26"/>
      <c r="EV296" s="26"/>
      <c r="EW296" s="26"/>
      <c r="EX296" s="26"/>
      <c r="EY296" s="26"/>
      <c r="EZ296" s="26"/>
      <c r="FA296" s="60"/>
      <c r="FB296" s="60"/>
      <c r="FC296" s="60"/>
      <c r="FD296" s="60"/>
      <c r="FE296" s="60"/>
      <c r="FF296" s="60"/>
      <c r="FG296" s="60"/>
      <c r="FH296" s="60"/>
      <c r="FI296" s="60"/>
      <c r="FJ296" s="60"/>
      <c r="FK296" s="60"/>
      <c r="FL296" s="60"/>
      <c r="FM296" s="60"/>
      <c r="FN296" s="60"/>
      <c r="FO296" s="60"/>
      <c r="FP296" s="60"/>
      <c r="FQ296" s="60"/>
      <c r="FR296" s="60"/>
      <c r="FS296" s="60"/>
      <c r="FT296" s="60"/>
      <c r="FU296" s="60"/>
      <c r="FV296" s="60"/>
      <c r="FW296" s="60"/>
      <c r="FX296" s="60"/>
    </row>
    <row r="297">
      <c r="A297" s="18"/>
      <c r="B297" s="14"/>
      <c r="C297" s="14"/>
      <c r="D297" s="14"/>
      <c r="E297" s="18"/>
      <c r="F297" s="18"/>
      <c r="G297" s="18"/>
      <c r="H297" s="18"/>
      <c r="I297" s="18"/>
      <c r="J297" s="18"/>
      <c r="K297" s="18"/>
      <c r="L297" s="18"/>
      <c r="M297" s="18"/>
      <c r="N297" s="18"/>
      <c r="O297" s="18"/>
      <c r="P297" s="23"/>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26"/>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26"/>
      <c r="EA297" s="26"/>
      <c r="EB297" s="26"/>
      <c r="EC297" s="26"/>
      <c r="ED297" s="26"/>
      <c r="EE297" s="26"/>
      <c r="EF297" s="26"/>
      <c r="EG297" s="26"/>
      <c r="EH297" s="26"/>
      <c r="EI297" s="26"/>
      <c r="EJ297" s="26"/>
      <c r="EK297" s="26"/>
      <c r="EL297" s="26"/>
      <c r="EM297" s="26"/>
      <c r="EN297" s="26"/>
      <c r="EO297" s="26"/>
      <c r="EP297" s="26"/>
      <c r="EQ297" s="26"/>
      <c r="ER297" s="26"/>
      <c r="ES297" s="26"/>
      <c r="ET297" s="26"/>
      <c r="EU297" s="26"/>
      <c r="EV297" s="26"/>
      <c r="EW297" s="26"/>
      <c r="EX297" s="26"/>
      <c r="EY297" s="26"/>
      <c r="EZ297" s="26"/>
      <c r="FA297" s="60"/>
      <c r="FB297" s="60"/>
      <c r="FC297" s="60"/>
      <c r="FD297" s="60"/>
      <c r="FE297" s="60"/>
      <c r="FF297" s="60"/>
      <c r="FG297" s="60"/>
      <c r="FH297" s="60"/>
      <c r="FI297" s="60"/>
      <c r="FJ297" s="60"/>
      <c r="FK297" s="60"/>
      <c r="FL297" s="60"/>
      <c r="FM297" s="60"/>
      <c r="FN297" s="60"/>
      <c r="FO297" s="60"/>
      <c r="FP297" s="60"/>
      <c r="FQ297" s="60"/>
      <c r="FR297" s="60"/>
      <c r="FS297" s="60"/>
      <c r="FT297" s="60"/>
      <c r="FU297" s="60"/>
      <c r="FV297" s="60"/>
      <c r="FW297" s="60"/>
      <c r="FX297" s="60"/>
    </row>
    <row r="298">
      <c r="A298" s="18"/>
      <c r="B298" s="14"/>
      <c r="C298" s="14"/>
      <c r="D298" s="14"/>
      <c r="E298" s="18"/>
      <c r="F298" s="18"/>
      <c r="G298" s="18"/>
      <c r="H298" s="18"/>
      <c r="I298" s="18"/>
      <c r="J298" s="18"/>
      <c r="K298" s="18"/>
      <c r="L298" s="18"/>
      <c r="M298" s="18"/>
      <c r="N298" s="18"/>
      <c r="O298" s="18"/>
      <c r="P298" s="23"/>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26"/>
      <c r="EA298" s="26"/>
      <c r="EB298" s="26"/>
      <c r="EC298" s="26"/>
      <c r="ED298" s="26"/>
      <c r="EE298" s="26"/>
      <c r="EF298" s="26"/>
      <c r="EG298" s="26"/>
      <c r="EH298" s="26"/>
      <c r="EI298" s="26"/>
      <c r="EJ298" s="26"/>
      <c r="EK298" s="26"/>
      <c r="EL298" s="26"/>
      <c r="EM298" s="26"/>
      <c r="EN298" s="26"/>
      <c r="EO298" s="26"/>
      <c r="EP298" s="26"/>
      <c r="EQ298" s="26"/>
      <c r="ER298" s="26"/>
      <c r="ES298" s="26"/>
      <c r="ET298" s="26"/>
      <c r="EU298" s="26"/>
      <c r="EV298" s="26"/>
      <c r="EW298" s="26"/>
      <c r="EX298" s="26"/>
      <c r="EY298" s="26"/>
      <c r="EZ298" s="26"/>
      <c r="FA298" s="60"/>
      <c r="FB298" s="60"/>
      <c r="FC298" s="60"/>
      <c r="FD298" s="60"/>
      <c r="FE298" s="60"/>
      <c r="FF298" s="60"/>
      <c r="FG298" s="60"/>
      <c r="FH298" s="60"/>
      <c r="FI298" s="60"/>
      <c r="FJ298" s="60"/>
      <c r="FK298" s="60"/>
      <c r="FL298" s="60"/>
      <c r="FM298" s="60"/>
      <c r="FN298" s="60"/>
      <c r="FO298" s="60"/>
      <c r="FP298" s="60"/>
      <c r="FQ298" s="60"/>
      <c r="FR298" s="60"/>
      <c r="FS298" s="60"/>
      <c r="FT298" s="60"/>
      <c r="FU298" s="60"/>
      <c r="FV298" s="60"/>
      <c r="FW298" s="60"/>
      <c r="FX298" s="60"/>
    </row>
    <row r="299">
      <c r="A299" s="18"/>
      <c r="B299" s="14"/>
      <c r="C299" s="14"/>
      <c r="D299" s="14"/>
      <c r="E299" s="18"/>
      <c r="F299" s="18"/>
      <c r="G299" s="18"/>
      <c r="H299" s="18"/>
      <c r="I299" s="18"/>
      <c r="J299" s="18"/>
      <c r="K299" s="18"/>
      <c r="L299" s="18"/>
      <c r="M299" s="18"/>
      <c r="N299" s="18"/>
      <c r="O299" s="18"/>
      <c r="P299" s="23"/>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26"/>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26"/>
      <c r="DS299" s="26"/>
      <c r="DT299" s="26"/>
      <c r="DU299" s="26"/>
      <c r="DV299" s="26"/>
      <c r="DW299" s="26"/>
      <c r="DX299" s="26"/>
      <c r="DY299" s="26"/>
      <c r="DZ299" s="26"/>
      <c r="EA299" s="26"/>
      <c r="EB299" s="26"/>
      <c r="EC299" s="26"/>
      <c r="ED299" s="26"/>
      <c r="EE299" s="26"/>
      <c r="EF299" s="26"/>
      <c r="EG299" s="26"/>
      <c r="EH299" s="26"/>
      <c r="EI299" s="26"/>
      <c r="EJ299" s="26"/>
      <c r="EK299" s="26"/>
      <c r="EL299" s="26"/>
      <c r="EM299" s="26"/>
      <c r="EN299" s="26"/>
      <c r="EO299" s="26"/>
      <c r="EP299" s="26"/>
      <c r="EQ299" s="26"/>
      <c r="ER299" s="26"/>
      <c r="ES299" s="26"/>
      <c r="ET299" s="26"/>
      <c r="EU299" s="26"/>
      <c r="EV299" s="26"/>
      <c r="EW299" s="26"/>
      <c r="EX299" s="26"/>
      <c r="EY299" s="26"/>
      <c r="EZ299" s="26"/>
      <c r="FA299" s="60"/>
      <c r="FB299" s="60"/>
      <c r="FC299" s="60"/>
      <c r="FD299" s="60"/>
      <c r="FE299" s="60"/>
      <c r="FF299" s="60"/>
      <c r="FG299" s="60"/>
      <c r="FH299" s="60"/>
      <c r="FI299" s="60"/>
      <c r="FJ299" s="60"/>
      <c r="FK299" s="60"/>
      <c r="FL299" s="60"/>
      <c r="FM299" s="60"/>
      <c r="FN299" s="60"/>
      <c r="FO299" s="60"/>
      <c r="FP299" s="60"/>
      <c r="FQ299" s="60"/>
      <c r="FR299" s="60"/>
      <c r="FS299" s="60"/>
      <c r="FT299" s="60"/>
      <c r="FU299" s="60"/>
      <c r="FV299" s="60"/>
      <c r="FW299" s="60"/>
      <c r="FX299" s="60"/>
    </row>
    <row r="300">
      <c r="A300" s="18"/>
      <c r="B300" s="14"/>
      <c r="C300" s="14"/>
      <c r="D300" s="14"/>
      <c r="E300" s="18"/>
      <c r="F300" s="18"/>
      <c r="G300" s="18"/>
      <c r="H300" s="18"/>
      <c r="I300" s="18"/>
      <c r="J300" s="18"/>
      <c r="K300" s="18"/>
      <c r="L300" s="18"/>
      <c r="M300" s="18"/>
      <c r="N300" s="18"/>
      <c r="O300" s="18"/>
      <c r="P300" s="23"/>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26"/>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26"/>
      <c r="DS300" s="26"/>
      <c r="DT300" s="26"/>
      <c r="DU300" s="26"/>
      <c r="DV300" s="26"/>
      <c r="DW300" s="26"/>
      <c r="DX300" s="26"/>
      <c r="DY300" s="26"/>
      <c r="DZ300" s="26"/>
      <c r="EA300" s="26"/>
      <c r="EB300" s="26"/>
      <c r="EC300" s="26"/>
      <c r="ED300" s="26"/>
      <c r="EE300" s="26"/>
      <c r="EF300" s="26"/>
      <c r="EG300" s="26"/>
      <c r="EH300" s="26"/>
      <c r="EI300" s="26"/>
      <c r="EJ300" s="26"/>
      <c r="EK300" s="26"/>
      <c r="EL300" s="26"/>
      <c r="EM300" s="26"/>
      <c r="EN300" s="26"/>
      <c r="EO300" s="26"/>
      <c r="EP300" s="26"/>
      <c r="EQ300" s="26"/>
      <c r="ER300" s="26"/>
      <c r="ES300" s="26"/>
      <c r="ET300" s="26"/>
      <c r="EU300" s="26"/>
      <c r="EV300" s="26"/>
      <c r="EW300" s="26"/>
      <c r="EX300" s="26"/>
      <c r="EY300" s="26"/>
      <c r="EZ300" s="26"/>
      <c r="FA300" s="60"/>
      <c r="FB300" s="60"/>
      <c r="FC300" s="60"/>
      <c r="FD300" s="60"/>
      <c r="FE300" s="60"/>
      <c r="FF300" s="60"/>
      <c r="FG300" s="60"/>
      <c r="FH300" s="60"/>
      <c r="FI300" s="60"/>
      <c r="FJ300" s="60"/>
      <c r="FK300" s="60"/>
      <c r="FL300" s="60"/>
      <c r="FM300" s="60"/>
      <c r="FN300" s="60"/>
      <c r="FO300" s="60"/>
      <c r="FP300" s="60"/>
      <c r="FQ300" s="60"/>
      <c r="FR300" s="60"/>
      <c r="FS300" s="60"/>
      <c r="FT300" s="60"/>
      <c r="FU300" s="60"/>
      <c r="FV300" s="60"/>
      <c r="FW300" s="60"/>
      <c r="FX300" s="60"/>
    </row>
    <row r="301">
      <c r="A301" s="18"/>
      <c r="B301" s="14"/>
      <c r="C301" s="14"/>
      <c r="D301" s="14"/>
      <c r="E301" s="18"/>
      <c r="F301" s="18"/>
      <c r="G301" s="18"/>
      <c r="H301" s="18"/>
      <c r="I301" s="18"/>
      <c r="J301" s="18"/>
      <c r="K301" s="18"/>
      <c r="L301" s="18"/>
      <c r="M301" s="18"/>
      <c r="N301" s="18"/>
      <c r="O301" s="18"/>
      <c r="P301" s="23"/>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26"/>
      <c r="DS301" s="26"/>
      <c r="DT301" s="26"/>
      <c r="DU301" s="26"/>
      <c r="DV301" s="26"/>
      <c r="DW301" s="26"/>
      <c r="DX301" s="26"/>
      <c r="DY301" s="26"/>
      <c r="DZ301" s="26"/>
      <c r="EA301" s="26"/>
      <c r="EB301" s="26"/>
      <c r="EC301" s="26"/>
      <c r="ED301" s="26"/>
      <c r="EE301" s="26"/>
      <c r="EF301" s="26"/>
      <c r="EG301" s="26"/>
      <c r="EH301" s="26"/>
      <c r="EI301" s="26"/>
      <c r="EJ301" s="26"/>
      <c r="EK301" s="26"/>
      <c r="EL301" s="26"/>
      <c r="EM301" s="26"/>
      <c r="EN301" s="26"/>
      <c r="EO301" s="26"/>
      <c r="EP301" s="26"/>
      <c r="EQ301" s="26"/>
      <c r="ER301" s="26"/>
      <c r="ES301" s="26"/>
      <c r="ET301" s="26"/>
      <c r="EU301" s="26"/>
      <c r="EV301" s="26"/>
      <c r="EW301" s="26"/>
      <c r="EX301" s="26"/>
      <c r="EY301" s="26"/>
      <c r="EZ301" s="26"/>
      <c r="FA301" s="60"/>
      <c r="FB301" s="60"/>
      <c r="FC301" s="60"/>
      <c r="FD301" s="60"/>
      <c r="FE301" s="60"/>
      <c r="FF301" s="60"/>
      <c r="FG301" s="60"/>
      <c r="FH301" s="60"/>
      <c r="FI301" s="60"/>
      <c r="FJ301" s="60"/>
      <c r="FK301" s="60"/>
      <c r="FL301" s="60"/>
      <c r="FM301" s="60"/>
      <c r="FN301" s="60"/>
      <c r="FO301" s="60"/>
      <c r="FP301" s="60"/>
      <c r="FQ301" s="60"/>
      <c r="FR301" s="60"/>
      <c r="FS301" s="60"/>
      <c r="FT301" s="60"/>
      <c r="FU301" s="60"/>
      <c r="FV301" s="60"/>
      <c r="FW301" s="60"/>
      <c r="FX301" s="60"/>
    </row>
    <row r="302">
      <c r="A302" s="18"/>
      <c r="B302" s="14"/>
      <c r="C302" s="14"/>
      <c r="D302" s="14"/>
      <c r="E302" s="18"/>
      <c r="F302" s="18"/>
      <c r="G302" s="18"/>
      <c r="H302" s="18"/>
      <c r="I302" s="18"/>
      <c r="J302" s="18"/>
      <c r="K302" s="18"/>
      <c r="L302" s="18"/>
      <c r="M302" s="18"/>
      <c r="N302" s="18"/>
      <c r="O302" s="18"/>
      <c r="P302" s="23"/>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26"/>
      <c r="DS302" s="26"/>
      <c r="DT302" s="26"/>
      <c r="DU302" s="26"/>
      <c r="DV302" s="26"/>
      <c r="DW302" s="26"/>
      <c r="DX302" s="26"/>
      <c r="DY302" s="26"/>
      <c r="DZ302" s="26"/>
      <c r="EA302" s="26"/>
      <c r="EB302" s="26"/>
      <c r="EC302" s="26"/>
      <c r="ED302" s="26"/>
      <c r="EE302" s="26"/>
      <c r="EF302" s="26"/>
      <c r="EG302" s="26"/>
      <c r="EH302" s="26"/>
      <c r="EI302" s="26"/>
      <c r="EJ302" s="26"/>
      <c r="EK302" s="26"/>
      <c r="EL302" s="26"/>
      <c r="EM302" s="26"/>
      <c r="EN302" s="26"/>
      <c r="EO302" s="26"/>
      <c r="EP302" s="26"/>
      <c r="EQ302" s="26"/>
      <c r="ER302" s="26"/>
      <c r="ES302" s="26"/>
      <c r="ET302" s="26"/>
      <c r="EU302" s="26"/>
      <c r="EV302" s="26"/>
      <c r="EW302" s="26"/>
      <c r="EX302" s="26"/>
      <c r="EY302" s="26"/>
      <c r="EZ302" s="26"/>
      <c r="FA302" s="60"/>
      <c r="FB302" s="60"/>
      <c r="FC302" s="60"/>
      <c r="FD302" s="60"/>
      <c r="FE302" s="60"/>
      <c r="FF302" s="60"/>
      <c r="FG302" s="60"/>
      <c r="FH302" s="60"/>
      <c r="FI302" s="60"/>
      <c r="FJ302" s="60"/>
      <c r="FK302" s="60"/>
      <c r="FL302" s="60"/>
      <c r="FM302" s="60"/>
      <c r="FN302" s="60"/>
      <c r="FO302" s="60"/>
      <c r="FP302" s="60"/>
      <c r="FQ302" s="60"/>
      <c r="FR302" s="60"/>
      <c r="FS302" s="60"/>
      <c r="FT302" s="60"/>
      <c r="FU302" s="60"/>
      <c r="FV302" s="60"/>
      <c r="FW302" s="60"/>
      <c r="FX302" s="60"/>
    </row>
    <row r="303">
      <c r="A303" s="18"/>
      <c r="B303" s="14"/>
      <c r="C303" s="14"/>
      <c r="D303" s="14"/>
      <c r="E303" s="18"/>
      <c r="F303" s="18"/>
      <c r="G303" s="18"/>
      <c r="H303" s="18"/>
      <c r="I303" s="18"/>
      <c r="J303" s="18"/>
      <c r="K303" s="18"/>
      <c r="L303" s="18"/>
      <c r="M303" s="18"/>
      <c r="N303" s="18"/>
      <c r="O303" s="18"/>
      <c r="P303" s="23"/>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26"/>
      <c r="DS303" s="26"/>
      <c r="DT303" s="26"/>
      <c r="DU303" s="26"/>
      <c r="DV303" s="26"/>
      <c r="DW303" s="26"/>
      <c r="DX303" s="26"/>
      <c r="DY303" s="26"/>
      <c r="DZ303" s="26"/>
      <c r="EA303" s="26"/>
      <c r="EB303" s="26"/>
      <c r="EC303" s="26"/>
      <c r="ED303" s="26"/>
      <c r="EE303" s="26"/>
      <c r="EF303" s="26"/>
      <c r="EG303" s="26"/>
      <c r="EH303" s="26"/>
      <c r="EI303" s="26"/>
      <c r="EJ303" s="26"/>
      <c r="EK303" s="26"/>
      <c r="EL303" s="26"/>
      <c r="EM303" s="26"/>
      <c r="EN303" s="26"/>
      <c r="EO303" s="26"/>
      <c r="EP303" s="26"/>
      <c r="EQ303" s="26"/>
      <c r="ER303" s="26"/>
      <c r="ES303" s="26"/>
      <c r="ET303" s="26"/>
      <c r="EU303" s="26"/>
      <c r="EV303" s="26"/>
      <c r="EW303" s="26"/>
      <c r="EX303" s="26"/>
      <c r="EY303" s="26"/>
      <c r="EZ303" s="26"/>
      <c r="FA303" s="60"/>
      <c r="FB303" s="60"/>
      <c r="FC303" s="60"/>
      <c r="FD303" s="60"/>
      <c r="FE303" s="60"/>
      <c r="FF303" s="60"/>
      <c r="FG303" s="60"/>
      <c r="FH303" s="60"/>
      <c r="FI303" s="60"/>
      <c r="FJ303" s="60"/>
      <c r="FK303" s="60"/>
      <c r="FL303" s="60"/>
      <c r="FM303" s="60"/>
      <c r="FN303" s="60"/>
      <c r="FO303" s="60"/>
      <c r="FP303" s="60"/>
      <c r="FQ303" s="60"/>
      <c r="FR303" s="60"/>
      <c r="FS303" s="60"/>
      <c r="FT303" s="60"/>
      <c r="FU303" s="60"/>
      <c r="FV303" s="60"/>
      <c r="FW303" s="60"/>
      <c r="FX303" s="60"/>
    </row>
    <row r="304">
      <c r="A304" s="18"/>
      <c r="B304" s="14"/>
      <c r="C304" s="14"/>
      <c r="D304" s="14"/>
      <c r="E304" s="18"/>
      <c r="F304" s="18"/>
      <c r="G304" s="18"/>
      <c r="H304" s="18"/>
      <c r="I304" s="18"/>
      <c r="J304" s="18"/>
      <c r="K304" s="18"/>
      <c r="L304" s="18"/>
      <c r="M304" s="18"/>
      <c r="N304" s="18"/>
      <c r="O304" s="18"/>
      <c r="P304" s="23"/>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26"/>
      <c r="DS304" s="26"/>
      <c r="DT304" s="26"/>
      <c r="DU304" s="26"/>
      <c r="DV304" s="26"/>
      <c r="DW304" s="26"/>
      <c r="DX304" s="26"/>
      <c r="DY304" s="26"/>
      <c r="DZ304" s="26"/>
      <c r="EA304" s="26"/>
      <c r="EB304" s="26"/>
      <c r="EC304" s="26"/>
      <c r="ED304" s="26"/>
      <c r="EE304" s="26"/>
      <c r="EF304" s="26"/>
      <c r="EG304" s="26"/>
      <c r="EH304" s="26"/>
      <c r="EI304" s="26"/>
      <c r="EJ304" s="26"/>
      <c r="EK304" s="26"/>
      <c r="EL304" s="26"/>
      <c r="EM304" s="26"/>
      <c r="EN304" s="26"/>
      <c r="EO304" s="26"/>
      <c r="EP304" s="26"/>
      <c r="EQ304" s="26"/>
      <c r="ER304" s="26"/>
      <c r="ES304" s="26"/>
      <c r="ET304" s="26"/>
      <c r="EU304" s="26"/>
      <c r="EV304" s="26"/>
      <c r="EW304" s="26"/>
      <c r="EX304" s="26"/>
      <c r="EY304" s="26"/>
      <c r="EZ304" s="26"/>
      <c r="FA304" s="60"/>
      <c r="FB304" s="60"/>
      <c r="FC304" s="60"/>
      <c r="FD304" s="60"/>
      <c r="FE304" s="60"/>
      <c r="FF304" s="60"/>
      <c r="FG304" s="60"/>
      <c r="FH304" s="60"/>
      <c r="FI304" s="60"/>
      <c r="FJ304" s="60"/>
      <c r="FK304" s="60"/>
      <c r="FL304" s="60"/>
      <c r="FM304" s="60"/>
      <c r="FN304" s="60"/>
      <c r="FO304" s="60"/>
      <c r="FP304" s="60"/>
      <c r="FQ304" s="60"/>
      <c r="FR304" s="60"/>
      <c r="FS304" s="60"/>
      <c r="FT304" s="60"/>
      <c r="FU304" s="60"/>
      <c r="FV304" s="60"/>
      <c r="FW304" s="60"/>
      <c r="FX304" s="60"/>
    </row>
    <row r="305">
      <c r="A305" s="18"/>
      <c r="B305" s="14"/>
      <c r="C305" s="14"/>
      <c r="D305" s="14"/>
      <c r="E305" s="18"/>
      <c r="F305" s="18"/>
      <c r="G305" s="18"/>
      <c r="H305" s="18"/>
      <c r="I305" s="18"/>
      <c r="J305" s="18"/>
      <c r="K305" s="18"/>
      <c r="L305" s="18"/>
      <c r="M305" s="18"/>
      <c r="N305" s="18"/>
      <c r="O305" s="18"/>
      <c r="P305" s="23"/>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26"/>
      <c r="DS305" s="26"/>
      <c r="DT305" s="26"/>
      <c r="DU305" s="26"/>
      <c r="DV305" s="26"/>
      <c r="DW305" s="26"/>
      <c r="DX305" s="26"/>
      <c r="DY305" s="26"/>
      <c r="DZ305" s="26"/>
      <c r="EA305" s="26"/>
      <c r="EB305" s="26"/>
      <c r="EC305" s="26"/>
      <c r="ED305" s="26"/>
      <c r="EE305" s="26"/>
      <c r="EF305" s="26"/>
      <c r="EG305" s="26"/>
      <c r="EH305" s="26"/>
      <c r="EI305" s="26"/>
      <c r="EJ305" s="26"/>
      <c r="EK305" s="26"/>
      <c r="EL305" s="26"/>
      <c r="EM305" s="26"/>
      <c r="EN305" s="26"/>
      <c r="EO305" s="26"/>
      <c r="EP305" s="26"/>
      <c r="EQ305" s="26"/>
      <c r="ER305" s="26"/>
      <c r="ES305" s="26"/>
      <c r="ET305" s="26"/>
      <c r="EU305" s="26"/>
      <c r="EV305" s="26"/>
      <c r="EW305" s="26"/>
      <c r="EX305" s="26"/>
      <c r="EY305" s="26"/>
      <c r="EZ305" s="26"/>
      <c r="FA305" s="60"/>
      <c r="FB305" s="60"/>
      <c r="FC305" s="60"/>
      <c r="FD305" s="60"/>
      <c r="FE305" s="60"/>
      <c r="FF305" s="60"/>
      <c r="FG305" s="60"/>
      <c r="FH305" s="60"/>
      <c r="FI305" s="60"/>
      <c r="FJ305" s="60"/>
      <c r="FK305" s="60"/>
      <c r="FL305" s="60"/>
      <c r="FM305" s="60"/>
      <c r="FN305" s="60"/>
      <c r="FO305" s="60"/>
      <c r="FP305" s="60"/>
      <c r="FQ305" s="60"/>
      <c r="FR305" s="60"/>
      <c r="FS305" s="60"/>
      <c r="FT305" s="60"/>
      <c r="FU305" s="60"/>
      <c r="FV305" s="60"/>
      <c r="FW305" s="60"/>
      <c r="FX305" s="60"/>
    </row>
    <row r="306">
      <c r="A306" s="18"/>
      <c r="B306" s="14"/>
      <c r="C306" s="14"/>
      <c r="D306" s="14"/>
      <c r="E306" s="18"/>
      <c r="F306" s="18"/>
      <c r="G306" s="18"/>
      <c r="H306" s="18"/>
      <c r="I306" s="18"/>
      <c r="J306" s="18"/>
      <c r="K306" s="18"/>
      <c r="L306" s="18"/>
      <c r="M306" s="18"/>
      <c r="N306" s="18"/>
      <c r="O306" s="18"/>
      <c r="P306" s="23"/>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26"/>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26"/>
      <c r="DS306" s="26"/>
      <c r="DT306" s="26"/>
      <c r="DU306" s="26"/>
      <c r="DV306" s="26"/>
      <c r="DW306" s="26"/>
      <c r="DX306" s="26"/>
      <c r="DY306" s="26"/>
      <c r="DZ306" s="26"/>
      <c r="EA306" s="26"/>
      <c r="EB306" s="26"/>
      <c r="EC306" s="26"/>
      <c r="ED306" s="26"/>
      <c r="EE306" s="26"/>
      <c r="EF306" s="26"/>
      <c r="EG306" s="26"/>
      <c r="EH306" s="26"/>
      <c r="EI306" s="26"/>
      <c r="EJ306" s="26"/>
      <c r="EK306" s="26"/>
      <c r="EL306" s="26"/>
      <c r="EM306" s="26"/>
      <c r="EN306" s="26"/>
      <c r="EO306" s="26"/>
      <c r="EP306" s="26"/>
      <c r="EQ306" s="26"/>
      <c r="ER306" s="26"/>
      <c r="ES306" s="26"/>
      <c r="ET306" s="26"/>
      <c r="EU306" s="26"/>
      <c r="EV306" s="26"/>
      <c r="EW306" s="26"/>
      <c r="EX306" s="26"/>
      <c r="EY306" s="26"/>
      <c r="EZ306" s="26"/>
      <c r="FA306" s="60"/>
      <c r="FB306" s="60"/>
      <c r="FC306" s="60"/>
      <c r="FD306" s="60"/>
      <c r="FE306" s="60"/>
      <c r="FF306" s="60"/>
      <c r="FG306" s="60"/>
      <c r="FH306" s="60"/>
      <c r="FI306" s="60"/>
      <c r="FJ306" s="60"/>
      <c r="FK306" s="60"/>
      <c r="FL306" s="60"/>
      <c r="FM306" s="60"/>
      <c r="FN306" s="60"/>
      <c r="FO306" s="60"/>
      <c r="FP306" s="60"/>
      <c r="FQ306" s="60"/>
      <c r="FR306" s="60"/>
      <c r="FS306" s="60"/>
      <c r="FT306" s="60"/>
      <c r="FU306" s="60"/>
      <c r="FV306" s="60"/>
      <c r="FW306" s="60"/>
      <c r="FX306" s="60"/>
    </row>
    <row r="307">
      <c r="A307" s="18"/>
      <c r="B307" s="14"/>
      <c r="C307" s="14"/>
      <c r="D307" s="14"/>
      <c r="E307" s="18"/>
      <c r="F307" s="18"/>
      <c r="G307" s="18"/>
      <c r="H307" s="18"/>
      <c r="I307" s="18"/>
      <c r="J307" s="18"/>
      <c r="K307" s="18"/>
      <c r="L307" s="18"/>
      <c r="M307" s="18"/>
      <c r="N307" s="18"/>
      <c r="O307" s="18"/>
      <c r="P307" s="23"/>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6"/>
      <c r="DS307" s="26"/>
      <c r="DT307" s="26"/>
      <c r="DU307" s="26"/>
      <c r="DV307" s="26"/>
      <c r="DW307" s="26"/>
      <c r="DX307" s="26"/>
      <c r="DY307" s="26"/>
      <c r="DZ307" s="26"/>
      <c r="EA307" s="26"/>
      <c r="EB307" s="26"/>
      <c r="EC307" s="26"/>
      <c r="ED307" s="26"/>
      <c r="EE307" s="26"/>
      <c r="EF307" s="26"/>
      <c r="EG307" s="26"/>
      <c r="EH307" s="26"/>
      <c r="EI307" s="26"/>
      <c r="EJ307" s="26"/>
      <c r="EK307" s="26"/>
      <c r="EL307" s="26"/>
      <c r="EM307" s="26"/>
      <c r="EN307" s="26"/>
      <c r="EO307" s="26"/>
      <c r="EP307" s="26"/>
      <c r="EQ307" s="26"/>
      <c r="ER307" s="26"/>
      <c r="ES307" s="26"/>
      <c r="ET307" s="26"/>
      <c r="EU307" s="26"/>
      <c r="EV307" s="26"/>
      <c r="EW307" s="26"/>
      <c r="EX307" s="26"/>
      <c r="EY307" s="26"/>
      <c r="EZ307" s="26"/>
      <c r="FA307" s="60"/>
      <c r="FB307" s="60"/>
      <c r="FC307" s="60"/>
      <c r="FD307" s="60"/>
      <c r="FE307" s="60"/>
      <c r="FF307" s="60"/>
      <c r="FG307" s="60"/>
      <c r="FH307" s="60"/>
      <c r="FI307" s="60"/>
      <c r="FJ307" s="60"/>
      <c r="FK307" s="60"/>
      <c r="FL307" s="60"/>
      <c r="FM307" s="60"/>
      <c r="FN307" s="60"/>
      <c r="FO307" s="60"/>
      <c r="FP307" s="60"/>
      <c r="FQ307" s="60"/>
      <c r="FR307" s="60"/>
      <c r="FS307" s="60"/>
      <c r="FT307" s="60"/>
      <c r="FU307" s="60"/>
      <c r="FV307" s="60"/>
      <c r="FW307" s="60"/>
      <c r="FX307" s="60"/>
    </row>
    <row r="308">
      <c r="A308" s="18"/>
      <c r="B308" s="14"/>
      <c r="C308" s="14"/>
      <c r="D308" s="14"/>
      <c r="E308" s="18"/>
      <c r="F308" s="18"/>
      <c r="G308" s="18"/>
      <c r="H308" s="18"/>
      <c r="I308" s="18"/>
      <c r="J308" s="18"/>
      <c r="K308" s="18"/>
      <c r="L308" s="18"/>
      <c r="M308" s="18"/>
      <c r="N308" s="18"/>
      <c r="O308" s="18"/>
      <c r="P308" s="23"/>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26"/>
      <c r="DS308" s="26"/>
      <c r="DT308" s="26"/>
      <c r="DU308" s="26"/>
      <c r="DV308" s="26"/>
      <c r="DW308" s="26"/>
      <c r="DX308" s="26"/>
      <c r="DY308" s="26"/>
      <c r="DZ308" s="26"/>
      <c r="EA308" s="26"/>
      <c r="EB308" s="26"/>
      <c r="EC308" s="26"/>
      <c r="ED308" s="26"/>
      <c r="EE308" s="26"/>
      <c r="EF308" s="26"/>
      <c r="EG308" s="26"/>
      <c r="EH308" s="26"/>
      <c r="EI308" s="26"/>
      <c r="EJ308" s="26"/>
      <c r="EK308" s="26"/>
      <c r="EL308" s="26"/>
      <c r="EM308" s="26"/>
      <c r="EN308" s="26"/>
      <c r="EO308" s="26"/>
      <c r="EP308" s="26"/>
      <c r="EQ308" s="26"/>
      <c r="ER308" s="26"/>
      <c r="ES308" s="26"/>
      <c r="ET308" s="26"/>
      <c r="EU308" s="26"/>
      <c r="EV308" s="26"/>
      <c r="EW308" s="26"/>
      <c r="EX308" s="26"/>
      <c r="EY308" s="26"/>
      <c r="EZ308" s="26"/>
      <c r="FA308" s="60"/>
      <c r="FB308" s="60"/>
      <c r="FC308" s="60"/>
      <c r="FD308" s="60"/>
      <c r="FE308" s="60"/>
      <c r="FF308" s="60"/>
      <c r="FG308" s="60"/>
      <c r="FH308" s="60"/>
      <c r="FI308" s="60"/>
      <c r="FJ308" s="60"/>
      <c r="FK308" s="60"/>
      <c r="FL308" s="60"/>
      <c r="FM308" s="60"/>
      <c r="FN308" s="60"/>
      <c r="FO308" s="60"/>
      <c r="FP308" s="60"/>
      <c r="FQ308" s="60"/>
      <c r="FR308" s="60"/>
      <c r="FS308" s="60"/>
      <c r="FT308" s="60"/>
      <c r="FU308" s="60"/>
      <c r="FV308" s="60"/>
      <c r="FW308" s="60"/>
      <c r="FX308" s="60"/>
    </row>
    <row r="309">
      <c r="A309" s="18"/>
      <c r="B309" s="14"/>
      <c r="C309" s="14"/>
      <c r="D309" s="14"/>
      <c r="E309" s="18"/>
      <c r="F309" s="18"/>
      <c r="G309" s="18"/>
      <c r="H309" s="18"/>
      <c r="I309" s="18"/>
      <c r="J309" s="18"/>
      <c r="K309" s="18"/>
      <c r="L309" s="18"/>
      <c r="M309" s="18"/>
      <c r="N309" s="18"/>
      <c r="O309" s="18"/>
      <c r="P309" s="23"/>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c r="CU309" s="26"/>
      <c r="CV309" s="26"/>
      <c r="CW309" s="26"/>
      <c r="CX309" s="26"/>
      <c r="CY309" s="26"/>
      <c r="CZ309" s="26"/>
      <c r="DA309" s="26"/>
      <c r="DB309" s="26"/>
      <c r="DC309" s="26"/>
      <c r="DD309" s="26"/>
      <c r="DE309" s="26"/>
      <c r="DF309" s="26"/>
      <c r="DG309" s="26"/>
      <c r="DH309" s="26"/>
      <c r="DI309" s="26"/>
      <c r="DJ309" s="26"/>
      <c r="DK309" s="26"/>
      <c r="DL309" s="26"/>
      <c r="DM309" s="26"/>
      <c r="DN309" s="26"/>
      <c r="DO309" s="26"/>
      <c r="DP309" s="26"/>
      <c r="DQ309" s="26"/>
      <c r="DR309" s="26"/>
      <c r="DS309" s="26"/>
      <c r="DT309" s="26"/>
      <c r="DU309" s="26"/>
      <c r="DV309" s="26"/>
      <c r="DW309" s="26"/>
      <c r="DX309" s="26"/>
      <c r="DY309" s="26"/>
      <c r="DZ309" s="26"/>
      <c r="EA309" s="26"/>
      <c r="EB309" s="26"/>
      <c r="EC309" s="26"/>
      <c r="ED309" s="26"/>
      <c r="EE309" s="26"/>
      <c r="EF309" s="26"/>
      <c r="EG309" s="26"/>
      <c r="EH309" s="26"/>
      <c r="EI309" s="26"/>
      <c r="EJ309" s="26"/>
      <c r="EK309" s="26"/>
      <c r="EL309" s="26"/>
      <c r="EM309" s="26"/>
      <c r="EN309" s="26"/>
      <c r="EO309" s="26"/>
      <c r="EP309" s="26"/>
      <c r="EQ309" s="26"/>
      <c r="ER309" s="26"/>
      <c r="ES309" s="26"/>
      <c r="ET309" s="26"/>
      <c r="EU309" s="26"/>
      <c r="EV309" s="26"/>
      <c r="EW309" s="26"/>
      <c r="EX309" s="26"/>
      <c r="EY309" s="26"/>
      <c r="EZ309" s="26"/>
      <c r="FA309" s="60"/>
      <c r="FB309" s="60"/>
      <c r="FC309" s="60"/>
      <c r="FD309" s="60"/>
      <c r="FE309" s="60"/>
      <c r="FF309" s="60"/>
      <c r="FG309" s="60"/>
      <c r="FH309" s="60"/>
      <c r="FI309" s="60"/>
      <c r="FJ309" s="60"/>
      <c r="FK309" s="60"/>
      <c r="FL309" s="60"/>
      <c r="FM309" s="60"/>
      <c r="FN309" s="60"/>
      <c r="FO309" s="60"/>
      <c r="FP309" s="60"/>
      <c r="FQ309" s="60"/>
      <c r="FR309" s="60"/>
      <c r="FS309" s="60"/>
      <c r="FT309" s="60"/>
      <c r="FU309" s="60"/>
      <c r="FV309" s="60"/>
      <c r="FW309" s="60"/>
      <c r="FX309" s="60"/>
    </row>
    <row r="310">
      <c r="A310" s="18"/>
      <c r="B310" s="14"/>
      <c r="C310" s="14"/>
      <c r="D310" s="14"/>
      <c r="E310" s="18"/>
      <c r="F310" s="18"/>
      <c r="G310" s="18"/>
      <c r="H310" s="18"/>
      <c r="I310" s="18"/>
      <c r="J310" s="18"/>
      <c r="K310" s="18"/>
      <c r="L310" s="18"/>
      <c r="M310" s="18"/>
      <c r="N310" s="18"/>
      <c r="O310" s="18"/>
      <c r="P310" s="23"/>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6"/>
      <c r="DS310" s="26"/>
      <c r="DT310" s="26"/>
      <c r="DU310" s="26"/>
      <c r="DV310" s="26"/>
      <c r="DW310" s="26"/>
      <c r="DX310" s="26"/>
      <c r="DY310" s="26"/>
      <c r="DZ310" s="26"/>
      <c r="EA310" s="26"/>
      <c r="EB310" s="26"/>
      <c r="EC310" s="26"/>
      <c r="ED310" s="26"/>
      <c r="EE310" s="26"/>
      <c r="EF310" s="26"/>
      <c r="EG310" s="26"/>
      <c r="EH310" s="26"/>
      <c r="EI310" s="26"/>
      <c r="EJ310" s="26"/>
      <c r="EK310" s="26"/>
      <c r="EL310" s="26"/>
      <c r="EM310" s="26"/>
      <c r="EN310" s="26"/>
      <c r="EO310" s="26"/>
      <c r="EP310" s="26"/>
      <c r="EQ310" s="26"/>
      <c r="ER310" s="26"/>
      <c r="ES310" s="26"/>
      <c r="ET310" s="26"/>
      <c r="EU310" s="26"/>
      <c r="EV310" s="26"/>
      <c r="EW310" s="26"/>
      <c r="EX310" s="26"/>
      <c r="EY310" s="26"/>
      <c r="EZ310" s="26"/>
      <c r="FA310" s="60"/>
      <c r="FB310" s="60"/>
      <c r="FC310" s="60"/>
      <c r="FD310" s="60"/>
      <c r="FE310" s="60"/>
      <c r="FF310" s="60"/>
      <c r="FG310" s="60"/>
      <c r="FH310" s="60"/>
      <c r="FI310" s="60"/>
      <c r="FJ310" s="60"/>
      <c r="FK310" s="60"/>
      <c r="FL310" s="60"/>
      <c r="FM310" s="60"/>
      <c r="FN310" s="60"/>
      <c r="FO310" s="60"/>
      <c r="FP310" s="60"/>
      <c r="FQ310" s="60"/>
      <c r="FR310" s="60"/>
      <c r="FS310" s="60"/>
      <c r="FT310" s="60"/>
      <c r="FU310" s="60"/>
      <c r="FV310" s="60"/>
      <c r="FW310" s="60"/>
      <c r="FX310" s="60"/>
    </row>
    <row r="311">
      <c r="A311" s="18"/>
      <c r="B311" s="14"/>
      <c r="C311" s="14"/>
      <c r="D311" s="14"/>
      <c r="E311" s="18"/>
      <c r="F311" s="18"/>
      <c r="G311" s="18"/>
      <c r="H311" s="18"/>
      <c r="I311" s="18"/>
      <c r="J311" s="18"/>
      <c r="K311" s="18"/>
      <c r="L311" s="18"/>
      <c r="M311" s="18"/>
      <c r="N311" s="18"/>
      <c r="O311" s="18"/>
      <c r="P311" s="23"/>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26"/>
      <c r="EA311" s="26"/>
      <c r="EB311" s="26"/>
      <c r="EC311" s="26"/>
      <c r="ED311" s="26"/>
      <c r="EE311" s="26"/>
      <c r="EF311" s="26"/>
      <c r="EG311" s="26"/>
      <c r="EH311" s="26"/>
      <c r="EI311" s="26"/>
      <c r="EJ311" s="26"/>
      <c r="EK311" s="26"/>
      <c r="EL311" s="26"/>
      <c r="EM311" s="26"/>
      <c r="EN311" s="26"/>
      <c r="EO311" s="26"/>
      <c r="EP311" s="26"/>
      <c r="EQ311" s="26"/>
      <c r="ER311" s="26"/>
      <c r="ES311" s="26"/>
      <c r="ET311" s="26"/>
      <c r="EU311" s="26"/>
      <c r="EV311" s="26"/>
      <c r="EW311" s="26"/>
      <c r="EX311" s="26"/>
      <c r="EY311" s="26"/>
      <c r="EZ311" s="26"/>
      <c r="FA311" s="60"/>
      <c r="FB311" s="60"/>
      <c r="FC311" s="60"/>
      <c r="FD311" s="60"/>
      <c r="FE311" s="60"/>
      <c r="FF311" s="60"/>
      <c r="FG311" s="60"/>
      <c r="FH311" s="60"/>
      <c r="FI311" s="60"/>
      <c r="FJ311" s="60"/>
      <c r="FK311" s="60"/>
      <c r="FL311" s="60"/>
      <c r="FM311" s="60"/>
      <c r="FN311" s="60"/>
      <c r="FO311" s="60"/>
      <c r="FP311" s="60"/>
      <c r="FQ311" s="60"/>
      <c r="FR311" s="60"/>
      <c r="FS311" s="60"/>
      <c r="FT311" s="60"/>
      <c r="FU311" s="60"/>
      <c r="FV311" s="60"/>
      <c r="FW311" s="60"/>
      <c r="FX311" s="60"/>
    </row>
    <row r="312">
      <c r="A312" s="18"/>
      <c r="B312" s="14"/>
      <c r="C312" s="14"/>
      <c r="D312" s="14"/>
      <c r="E312" s="18"/>
      <c r="F312" s="18"/>
      <c r="G312" s="18"/>
      <c r="H312" s="18"/>
      <c r="I312" s="18"/>
      <c r="J312" s="18"/>
      <c r="K312" s="18"/>
      <c r="L312" s="18"/>
      <c r="M312" s="18"/>
      <c r="N312" s="18"/>
      <c r="O312" s="18"/>
      <c r="P312" s="23"/>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26"/>
      <c r="EA312" s="26"/>
      <c r="EB312" s="26"/>
      <c r="EC312" s="26"/>
      <c r="ED312" s="26"/>
      <c r="EE312" s="26"/>
      <c r="EF312" s="26"/>
      <c r="EG312" s="26"/>
      <c r="EH312" s="26"/>
      <c r="EI312" s="26"/>
      <c r="EJ312" s="26"/>
      <c r="EK312" s="26"/>
      <c r="EL312" s="26"/>
      <c r="EM312" s="26"/>
      <c r="EN312" s="26"/>
      <c r="EO312" s="26"/>
      <c r="EP312" s="26"/>
      <c r="EQ312" s="26"/>
      <c r="ER312" s="26"/>
      <c r="ES312" s="26"/>
      <c r="ET312" s="26"/>
      <c r="EU312" s="26"/>
      <c r="EV312" s="26"/>
      <c r="EW312" s="26"/>
      <c r="EX312" s="26"/>
      <c r="EY312" s="26"/>
      <c r="EZ312" s="26"/>
      <c r="FA312" s="60"/>
      <c r="FB312" s="60"/>
      <c r="FC312" s="60"/>
      <c r="FD312" s="60"/>
      <c r="FE312" s="60"/>
      <c r="FF312" s="60"/>
      <c r="FG312" s="60"/>
      <c r="FH312" s="60"/>
      <c r="FI312" s="60"/>
      <c r="FJ312" s="60"/>
      <c r="FK312" s="60"/>
      <c r="FL312" s="60"/>
      <c r="FM312" s="60"/>
      <c r="FN312" s="60"/>
      <c r="FO312" s="60"/>
      <c r="FP312" s="60"/>
      <c r="FQ312" s="60"/>
      <c r="FR312" s="60"/>
      <c r="FS312" s="60"/>
      <c r="FT312" s="60"/>
      <c r="FU312" s="60"/>
      <c r="FV312" s="60"/>
      <c r="FW312" s="60"/>
      <c r="FX312" s="60"/>
    </row>
    <row r="313">
      <c r="A313" s="18"/>
      <c r="B313" s="14"/>
      <c r="C313" s="14"/>
      <c r="D313" s="14"/>
      <c r="E313" s="18"/>
      <c r="F313" s="18"/>
      <c r="G313" s="18"/>
      <c r="H313" s="18"/>
      <c r="I313" s="18"/>
      <c r="J313" s="18"/>
      <c r="K313" s="18"/>
      <c r="L313" s="18"/>
      <c r="M313" s="18"/>
      <c r="N313" s="18"/>
      <c r="O313" s="18"/>
      <c r="P313" s="23"/>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26"/>
      <c r="EA313" s="26"/>
      <c r="EB313" s="26"/>
      <c r="EC313" s="26"/>
      <c r="ED313" s="26"/>
      <c r="EE313" s="26"/>
      <c r="EF313" s="26"/>
      <c r="EG313" s="26"/>
      <c r="EH313" s="26"/>
      <c r="EI313" s="26"/>
      <c r="EJ313" s="26"/>
      <c r="EK313" s="26"/>
      <c r="EL313" s="26"/>
      <c r="EM313" s="26"/>
      <c r="EN313" s="26"/>
      <c r="EO313" s="26"/>
      <c r="EP313" s="26"/>
      <c r="EQ313" s="26"/>
      <c r="ER313" s="26"/>
      <c r="ES313" s="26"/>
      <c r="ET313" s="26"/>
      <c r="EU313" s="26"/>
      <c r="EV313" s="26"/>
      <c r="EW313" s="26"/>
      <c r="EX313" s="26"/>
      <c r="EY313" s="26"/>
      <c r="EZ313" s="26"/>
      <c r="FA313" s="60"/>
      <c r="FB313" s="60"/>
      <c r="FC313" s="60"/>
      <c r="FD313" s="60"/>
      <c r="FE313" s="60"/>
      <c r="FF313" s="60"/>
      <c r="FG313" s="60"/>
      <c r="FH313" s="60"/>
      <c r="FI313" s="60"/>
      <c r="FJ313" s="60"/>
      <c r="FK313" s="60"/>
      <c r="FL313" s="60"/>
      <c r="FM313" s="60"/>
      <c r="FN313" s="60"/>
      <c r="FO313" s="60"/>
      <c r="FP313" s="60"/>
      <c r="FQ313" s="60"/>
      <c r="FR313" s="60"/>
      <c r="FS313" s="60"/>
      <c r="FT313" s="60"/>
      <c r="FU313" s="60"/>
      <c r="FV313" s="60"/>
      <c r="FW313" s="60"/>
      <c r="FX313" s="60"/>
    </row>
    <row r="314">
      <c r="A314" s="18"/>
      <c r="B314" s="14"/>
      <c r="C314" s="14"/>
      <c r="D314" s="14"/>
      <c r="E314" s="18"/>
      <c r="F314" s="18"/>
      <c r="G314" s="18"/>
      <c r="H314" s="18"/>
      <c r="I314" s="18"/>
      <c r="J314" s="18"/>
      <c r="K314" s="18"/>
      <c r="L314" s="18"/>
      <c r="M314" s="18"/>
      <c r="N314" s="18"/>
      <c r="O314" s="18"/>
      <c r="P314" s="23"/>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26"/>
      <c r="EA314" s="26"/>
      <c r="EB314" s="26"/>
      <c r="EC314" s="26"/>
      <c r="ED314" s="26"/>
      <c r="EE314" s="26"/>
      <c r="EF314" s="26"/>
      <c r="EG314" s="26"/>
      <c r="EH314" s="26"/>
      <c r="EI314" s="26"/>
      <c r="EJ314" s="26"/>
      <c r="EK314" s="26"/>
      <c r="EL314" s="26"/>
      <c r="EM314" s="26"/>
      <c r="EN314" s="26"/>
      <c r="EO314" s="26"/>
      <c r="EP314" s="26"/>
      <c r="EQ314" s="26"/>
      <c r="ER314" s="26"/>
      <c r="ES314" s="26"/>
      <c r="ET314" s="26"/>
      <c r="EU314" s="26"/>
      <c r="EV314" s="26"/>
      <c r="EW314" s="26"/>
      <c r="EX314" s="26"/>
      <c r="EY314" s="26"/>
      <c r="EZ314" s="26"/>
      <c r="FA314" s="60"/>
      <c r="FB314" s="60"/>
      <c r="FC314" s="60"/>
      <c r="FD314" s="60"/>
      <c r="FE314" s="60"/>
      <c r="FF314" s="60"/>
      <c r="FG314" s="60"/>
      <c r="FH314" s="60"/>
      <c r="FI314" s="60"/>
      <c r="FJ314" s="60"/>
      <c r="FK314" s="60"/>
      <c r="FL314" s="60"/>
      <c r="FM314" s="60"/>
      <c r="FN314" s="60"/>
      <c r="FO314" s="60"/>
      <c r="FP314" s="60"/>
      <c r="FQ314" s="60"/>
      <c r="FR314" s="60"/>
      <c r="FS314" s="60"/>
      <c r="FT314" s="60"/>
      <c r="FU314" s="60"/>
      <c r="FV314" s="60"/>
      <c r="FW314" s="60"/>
      <c r="FX314" s="60"/>
    </row>
    <row r="315">
      <c r="A315" s="18"/>
      <c r="B315" s="14"/>
      <c r="C315" s="14"/>
      <c r="D315" s="14"/>
      <c r="E315" s="18"/>
      <c r="F315" s="18"/>
      <c r="G315" s="18"/>
      <c r="H315" s="18"/>
      <c r="I315" s="18"/>
      <c r="J315" s="18"/>
      <c r="K315" s="18"/>
      <c r="L315" s="18"/>
      <c r="M315" s="18"/>
      <c r="N315" s="18"/>
      <c r="O315" s="18"/>
      <c r="P315" s="23"/>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26"/>
      <c r="EA315" s="26"/>
      <c r="EB315" s="26"/>
      <c r="EC315" s="26"/>
      <c r="ED315" s="26"/>
      <c r="EE315" s="26"/>
      <c r="EF315" s="26"/>
      <c r="EG315" s="26"/>
      <c r="EH315" s="26"/>
      <c r="EI315" s="26"/>
      <c r="EJ315" s="26"/>
      <c r="EK315" s="26"/>
      <c r="EL315" s="26"/>
      <c r="EM315" s="26"/>
      <c r="EN315" s="26"/>
      <c r="EO315" s="26"/>
      <c r="EP315" s="26"/>
      <c r="EQ315" s="26"/>
      <c r="ER315" s="26"/>
      <c r="ES315" s="26"/>
      <c r="ET315" s="26"/>
      <c r="EU315" s="26"/>
      <c r="EV315" s="26"/>
      <c r="EW315" s="26"/>
      <c r="EX315" s="26"/>
      <c r="EY315" s="26"/>
      <c r="EZ315" s="26"/>
      <c r="FA315" s="60"/>
      <c r="FB315" s="60"/>
      <c r="FC315" s="60"/>
      <c r="FD315" s="60"/>
      <c r="FE315" s="60"/>
      <c r="FF315" s="60"/>
      <c r="FG315" s="60"/>
      <c r="FH315" s="60"/>
      <c r="FI315" s="60"/>
      <c r="FJ315" s="60"/>
      <c r="FK315" s="60"/>
      <c r="FL315" s="60"/>
      <c r="FM315" s="60"/>
      <c r="FN315" s="60"/>
      <c r="FO315" s="60"/>
      <c r="FP315" s="60"/>
      <c r="FQ315" s="60"/>
      <c r="FR315" s="60"/>
      <c r="FS315" s="60"/>
      <c r="FT315" s="60"/>
      <c r="FU315" s="60"/>
      <c r="FV315" s="60"/>
      <c r="FW315" s="60"/>
      <c r="FX315" s="60"/>
    </row>
    <row r="316">
      <c r="A316" s="18"/>
      <c r="B316" s="14"/>
      <c r="C316" s="14"/>
      <c r="D316" s="14"/>
      <c r="E316" s="18"/>
      <c r="F316" s="18"/>
      <c r="G316" s="18"/>
      <c r="H316" s="18"/>
      <c r="I316" s="18"/>
      <c r="J316" s="18"/>
      <c r="K316" s="18"/>
      <c r="L316" s="18"/>
      <c r="M316" s="18"/>
      <c r="N316" s="18"/>
      <c r="O316" s="18"/>
      <c r="P316" s="23"/>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26"/>
      <c r="EA316" s="26"/>
      <c r="EB316" s="26"/>
      <c r="EC316" s="26"/>
      <c r="ED316" s="26"/>
      <c r="EE316" s="26"/>
      <c r="EF316" s="26"/>
      <c r="EG316" s="26"/>
      <c r="EH316" s="26"/>
      <c r="EI316" s="26"/>
      <c r="EJ316" s="26"/>
      <c r="EK316" s="26"/>
      <c r="EL316" s="26"/>
      <c r="EM316" s="26"/>
      <c r="EN316" s="26"/>
      <c r="EO316" s="26"/>
      <c r="EP316" s="26"/>
      <c r="EQ316" s="26"/>
      <c r="ER316" s="26"/>
      <c r="ES316" s="26"/>
      <c r="ET316" s="26"/>
      <c r="EU316" s="26"/>
      <c r="EV316" s="26"/>
      <c r="EW316" s="26"/>
      <c r="EX316" s="26"/>
      <c r="EY316" s="26"/>
      <c r="EZ316" s="26"/>
      <c r="FA316" s="60"/>
      <c r="FB316" s="60"/>
      <c r="FC316" s="60"/>
      <c r="FD316" s="60"/>
      <c r="FE316" s="60"/>
      <c r="FF316" s="60"/>
      <c r="FG316" s="60"/>
      <c r="FH316" s="60"/>
      <c r="FI316" s="60"/>
      <c r="FJ316" s="60"/>
      <c r="FK316" s="60"/>
      <c r="FL316" s="60"/>
      <c r="FM316" s="60"/>
      <c r="FN316" s="60"/>
      <c r="FO316" s="60"/>
      <c r="FP316" s="60"/>
      <c r="FQ316" s="60"/>
      <c r="FR316" s="60"/>
      <c r="FS316" s="60"/>
      <c r="FT316" s="60"/>
      <c r="FU316" s="60"/>
      <c r="FV316" s="60"/>
      <c r="FW316" s="60"/>
      <c r="FX316" s="60"/>
    </row>
    <row r="317">
      <c r="A317" s="18"/>
      <c r="B317" s="14"/>
      <c r="C317" s="14"/>
      <c r="D317" s="14"/>
      <c r="E317" s="18"/>
      <c r="F317" s="18"/>
      <c r="G317" s="18"/>
      <c r="H317" s="18"/>
      <c r="I317" s="18"/>
      <c r="J317" s="18"/>
      <c r="K317" s="18"/>
      <c r="L317" s="18"/>
      <c r="M317" s="18"/>
      <c r="N317" s="18"/>
      <c r="O317" s="18"/>
      <c r="P317" s="23"/>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26"/>
      <c r="EA317" s="26"/>
      <c r="EB317" s="26"/>
      <c r="EC317" s="26"/>
      <c r="ED317" s="26"/>
      <c r="EE317" s="26"/>
      <c r="EF317" s="26"/>
      <c r="EG317" s="26"/>
      <c r="EH317" s="26"/>
      <c r="EI317" s="26"/>
      <c r="EJ317" s="26"/>
      <c r="EK317" s="26"/>
      <c r="EL317" s="26"/>
      <c r="EM317" s="26"/>
      <c r="EN317" s="26"/>
      <c r="EO317" s="26"/>
      <c r="EP317" s="26"/>
      <c r="EQ317" s="26"/>
      <c r="ER317" s="26"/>
      <c r="ES317" s="26"/>
      <c r="ET317" s="26"/>
      <c r="EU317" s="26"/>
      <c r="EV317" s="26"/>
      <c r="EW317" s="26"/>
      <c r="EX317" s="26"/>
      <c r="EY317" s="26"/>
      <c r="EZ317" s="26"/>
      <c r="FA317" s="60"/>
      <c r="FB317" s="60"/>
      <c r="FC317" s="60"/>
      <c r="FD317" s="60"/>
      <c r="FE317" s="60"/>
      <c r="FF317" s="60"/>
      <c r="FG317" s="60"/>
      <c r="FH317" s="60"/>
      <c r="FI317" s="60"/>
      <c r="FJ317" s="60"/>
      <c r="FK317" s="60"/>
      <c r="FL317" s="60"/>
      <c r="FM317" s="60"/>
      <c r="FN317" s="60"/>
      <c r="FO317" s="60"/>
      <c r="FP317" s="60"/>
      <c r="FQ317" s="60"/>
      <c r="FR317" s="60"/>
      <c r="FS317" s="60"/>
      <c r="FT317" s="60"/>
      <c r="FU317" s="60"/>
      <c r="FV317" s="60"/>
      <c r="FW317" s="60"/>
      <c r="FX317" s="60"/>
    </row>
    <row r="318">
      <c r="A318" s="18"/>
      <c r="B318" s="14"/>
      <c r="C318" s="14"/>
      <c r="D318" s="14"/>
      <c r="E318" s="18"/>
      <c r="F318" s="18"/>
      <c r="G318" s="18"/>
      <c r="H318" s="18"/>
      <c r="I318" s="18"/>
      <c r="J318" s="18"/>
      <c r="K318" s="18"/>
      <c r="L318" s="18"/>
      <c r="M318" s="18"/>
      <c r="N318" s="18"/>
      <c r="O318" s="18"/>
      <c r="P318" s="23"/>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26"/>
      <c r="EA318" s="26"/>
      <c r="EB318" s="26"/>
      <c r="EC318" s="26"/>
      <c r="ED318" s="26"/>
      <c r="EE318" s="26"/>
      <c r="EF318" s="26"/>
      <c r="EG318" s="26"/>
      <c r="EH318" s="26"/>
      <c r="EI318" s="26"/>
      <c r="EJ318" s="26"/>
      <c r="EK318" s="26"/>
      <c r="EL318" s="26"/>
      <c r="EM318" s="26"/>
      <c r="EN318" s="26"/>
      <c r="EO318" s="26"/>
      <c r="EP318" s="26"/>
      <c r="EQ318" s="26"/>
      <c r="ER318" s="26"/>
      <c r="ES318" s="26"/>
      <c r="ET318" s="26"/>
      <c r="EU318" s="26"/>
      <c r="EV318" s="26"/>
      <c r="EW318" s="26"/>
      <c r="EX318" s="26"/>
      <c r="EY318" s="26"/>
      <c r="EZ318" s="26"/>
      <c r="FA318" s="60"/>
      <c r="FB318" s="60"/>
      <c r="FC318" s="60"/>
      <c r="FD318" s="60"/>
      <c r="FE318" s="60"/>
      <c r="FF318" s="60"/>
      <c r="FG318" s="60"/>
      <c r="FH318" s="60"/>
      <c r="FI318" s="60"/>
      <c r="FJ318" s="60"/>
      <c r="FK318" s="60"/>
      <c r="FL318" s="60"/>
      <c r="FM318" s="60"/>
      <c r="FN318" s="60"/>
      <c r="FO318" s="60"/>
      <c r="FP318" s="60"/>
      <c r="FQ318" s="60"/>
      <c r="FR318" s="60"/>
      <c r="FS318" s="60"/>
      <c r="FT318" s="60"/>
      <c r="FU318" s="60"/>
      <c r="FV318" s="60"/>
      <c r="FW318" s="60"/>
      <c r="FX318" s="60"/>
    </row>
    <row r="319">
      <c r="A319" s="18"/>
      <c r="B319" s="14"/>
      <c r="C319" s="14"/>
      <c r="D319" s="14"/>
      <c r="E319" s="18"/>
      <c r="F319" s="18"/>
      <c r="G319" s="18"/>
      <c r="H319" s="18"/>
      <c r="I319" s="18"/>
      <c r="J319" s="18"/>
      <c r="K319" s="18"/>
      <c r="L319" s="18"/>
      <c r="M319" s="18"/>
      <c r="N319" s="18"/>
      <c r="O319" s="18"/>
      <c r="P319" s="23"/>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26"/>
      <c r="EA319" s="26"/>
      <c r="EB319" s="26"/>
      <c r="EC319" s="26"/>
      <c r="ED319" s="26"/>
      <c r="EE319" s="26"/>
      <c r="EF319" s="26"/>
      <c r="EG319" s="26"/>
      <c r="EH319" s="26"/>
      <c r="EI319" s="26"/>
      <c r="EJ319" s="26"/>
      <c r="EK319" s="26"/>
      <c r="EL319" s="26"/>
      <c r="EM319" s="26"/>
      <c r="EN319" s="26"/>
      <c r="EO319" s="26"/>
      <c r="EP319" s="26"/>
      <c r="EQ319" s="26"/>
      <c r="ER319" s="26"/>
      <c r="ES319" s="26"/>
      <c r="ET319" s="26"/>
      <c r="EU319" s="26"/>
      <c r="EV319" s="26"/>
      <c r="EW319" s="26"/>
      <c r="EX319" s="26"/>
      <c r="EY319" s="26"/>
      <c r="EZ319" s="26"/>
      <c r="FA319" s="60"/>
      <c r="FB319" s="60"/>
      <c r="FC319" s="60"/>
      <c r="FD319" s="60"/>
      <c r="FE319" s="60"/>
      <c r="FF319" s="60"/>
      <c r="FG319" s="60"/>
      <c r="FH319" s="60"/>
      <c r="FI319" s="60"/>
      <c r="FJ319" s="60"/>
      <c r="FK319" s="60"/>
      <c r="FL319" s="60"/>
      <c r="FM319" s="60"/>
      <c r="FN319" s="60"/>
      <c r="FO319" s="60"/>
      <c r="FP319" s="60"/>
      <c r="FQ319" s="60"/>
      <c r="FR319" s="60"/>
      <c r="FS319" s="60"/>
      <c r="FT319" s="60"/>
      <c r="FU319" s="60"/>
      <c r="FV319" s="60"/>
      <c r="FW319" s="60"/>
      <c r="FX319" s="60"/>
    </row>
    <row r="320">
      <c r="A320" s="18"/>
      <c r="B320" s="14"/>
      <c r="C320" s="14"/>
      <c r="D320" s="14"/>
      <c r="E320" s="18"/>
      <c r="F320" s="18"/>
      <c r="G320" s="18"/>
      <c r="H320" s="18"/>
      <c r="I320" s="18"/>
      <c r="J320" s="18"/>
      <c r="K320" s="18"/>
      <c r="L320" s="18"/>
      <c r="M320" s="18"/>
      <c r="N320" s="18"/>
      <c r="O320" s="18"/>
      <c r="P320" s="23"/>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26"/>
      <c r="EA320" s="26"/>
      <c r="EB320" s="26"/>
      <c r="EC320" s="26"/>
      <c r="ED320" s="26"/>
      <c r="EE320" s="26"/>
      <c r="EF320" s="26"/>
      <c r="EG320" s="26"/>
      <c r="EH320" s="26"/>
      <c r="EI320" s="26"/>
      <c r="EJ320" s="26"/>
      <c r="EK320" s="26"/>
      <c r="EL320" s="26"/>
      <c r="EM320" s="26"/>
      <c r="EN320" s="26"/>
      <c r="EO320" s="26"/>
      <c r="EP320" s="26"/>
      <c r="EQ320" s="26"/>
      <c r="ER320" s="26"/>
      <c r="ES320" s="26"/>
      <c r="ET320" s="26"/>
      <c r="EU320" s="26"/>
      <c r="EV320" s="26"/>
      <c r="EW320" s="26"/>
      <c r="EX320" s="26"/>
      <c r="EY320" s="26"/>
      <c r="EZ320" s="26"/>
      <c r="FA320" s="60"/>
      <c r="FB320" s="60"/>
      <c r="FC320" s="60"/>
      <c r="FD320" s="60"/>
      <c r="FE320" s="60"/>
      <c r="FF320" s="60"/>
      <c r="FG320" s="60"/>
      <c r="FH320" s="60"/>
      <c r="FI320" s="60"/>
      <c r="FJ320" s="60"/>
      <c r="FK320" s="60"/>
      <c r="FL320" s="60"/>
      <c r="FM320" s="60"/>
      <c r="FN320" s="60"/>
      <c r="FO320" s="60"/>
      <c r="FP320" s="60"/>
      <c r="FQ320" s="60"/>
      <c r="FR320" s="60"/>
      <c r="FS320" s="60"/>
      <c r="FT320" s="60"/>
      <c r="FU320" s="60"/>
      <c r="FV320" s="60"/>
      <c r="FW320" s="60"/>
      <c r="FX320" s="60"/>
    </row>
    <row r="321">
      <c r="A321" s="18"/>
      <c r="B321" s="14"/>
      <c r="C321" s="14"/>
      <c r="D321" s="14"/>
      <c r="E321" s="18"/>
      <c r="F321" s="18"/>
      <c r="G321" s="18"/>
      <c r="H321" s="18"/>
      <c r="I321" s="18"/>
      <c r="J321" s="18"/>
      <c r="K321" s="18"/>
      <c r="L321" s="18"/>
      <c r="M321" s="18"/>
      <c r="N321" s="18"/>
      <c r="O321" s="18"/>
      <c r="P321" s="23"/>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26"/>
      <c r="EA321" s="26"/>
      <c r="EB321" s="26"/>
      <c r="EC321" s="26"/>
      <c r="ED321" s="26"/>
      <c r="EE321" s="26"/>
      <c r="EF321" s="26"/>
      <c r="EG321" s="26"/>
      <c r="EH321" s="26"/>
      <c r="EI321" s="26"/>
      <c r="EJ321" s="26"/>
      <c r="EK321" s="26"/>
      <c r="EL321" s="26"/>
      <c r="EM321" s="26"/>
      <c r="EN321" s="26"/>
      <c r="EO321" s="26"/>
      <c r="EP321" s="26"/>
      <c r="EQ321" s="26"/>
      <c r="ER321" s="26"/>
      <c r="ES321" s="26"/>
      <c r="ET321" s="26"/>
      <c r="EU321" s="26"/>
      <c r="EV321" s="26"/>
      <c r="EW321" s="26"/>
      <c r="EX321" s="26"/>
      <c r="EY321" s="26"/>
      <c r="EZ321" s="26"/>
      <c r="FA321" s="60"/>
      <c r="FB321" s="60"/>
      <c r="FC321" s="60"/>
      <c r="FD321" s="60"/>
      <c r="FE321" s="60"/>
      <c r="FF321" s="60"/>
      <c r="FG321" s="60"/>
      <c r="FH321" s="60"/>
      <c r="FI321" s="60"/>
      <c r="FJ321" s="60"/>
      <c r="FK321" s="60"/>
      <c r="FL321" s="60"/>
      <c r="FM321" s="60"/>
      <c r="FN321" s="60"/>
      <c r="FO321" s="60"/>
      <c r="FP321" s="60"/>
      <c r="FQ321" s="60"/>
      <c r="FR321" s="60"/>
      <c r="FS321" s="60"/>
      <c r="FT321" s="60"/>
      <c r="FU321" s="60"/>
      <c r="FV321" s="60"/>
      <c r="FW321" s="60"/>
      <c r="FX321" s="60"/>
    </row>
    <row r="322">
      <c r="A322" s="18"/>
      <c r="B322" s="14"/>
      <c r="C322" s="14"/>
      <c r="D322" s="14"/>
      <c r="E322" s="18"/>
      <c r="F322" s="18"/>
      <c r="G322" s="18"/>
      <c r="H322" s="18"/>
      <c r="I322" s="18"/>
      <c r="J322" s="18"/>
      <c r="K322" s="18"/>
      <c r="L322" s="18"/>
      <c r="M322" s="18"/>
      <c r="N322" s="18"/>
      <c r="O322" s="18"/>
      <c r="P322" s="23"/>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26"/>
      <c r="EA322" s="26"/>
      <c r="EB322" s="26"/>
      <c r="EC322" s="26"/>
      <c r="ED322" s="26"/>
      <c r="EE322" s="26"/>
      <c r="EF322" s="26"/>
      <c r="EG322" s="26"/>
      <c r="EH322" s="26"/>
      <c r="EI322" s="26"/>
      <c r="EJ322" s="26"/>
      <c r="EK322" s="26"/>
      <c r="EL322" s="26"/>
      <c r="EM322" s="26"/>
      <c r="EN322" s="26"/>
      <c r="EO322" s="26"/>
      <c r="EP322" s="26"/>
      <c r="EQ322" s="26"/>
      <c r="ER322" s="26"/>
      <c r="ES322" s="26"/>
      <c r="ET322" s="26"/>
      <c r="EU322" s="26"/>
      <c r="EV322" s="26"/>
      <c r="EW322" s="26"/>
      <c r="EX322" s="26"/>
      <c r="EY322" s="26"/>
      <c r="EZ322" s="26"/>
      <c r="FA322" s="60"/>
      <c r="FB322" s="60"/>
      <c r="FC322" s="60"/>
      <c r="FD322" s="60"/>
      <c r="FE322" s="60"/>
      <c r="FF322" s="60"/>
      <c r="FG322" s="60"/>
      <c r="FH322" s="60"/>
      <c r="FI322" s="60"/>
      <c r="FJ322" s="60"/>
      <c r="FK322" s="60"/>
      <c r="FL322" s="60"/>
      <c r="FM322" s="60"/>
      <c r="FN322" s="60"/>
      <c r="FO322" s="60"/>
      <c r="FP322" s="60"/>
      <c r="FQ322" s="60"/>
      <c r="FR322" s="60"/>
      <c r="FS322" s="60"/>
      <c r="FT322" s="60"/>
      <c r="FU322" s="60"/>
      <c r="FV322" s="60"/>
      <c r="FW322" s="60"/>
      <c r="FX322" s="60"/>
    </row>
    <row r="323">
      <c r="A323" s="18"/>
      <c r="B323" s="14"/>
      <c r="C323" s="14"/>
      <c r="D323" s="14"/>
      <c r="E323" s="18"/>
      <c r="F323" s="18"/>
      <c r="G323" s="18"/>
      <c r="H323" s="18"/>
      <c r="I323" s="18"/>
      <c r="J323" s="18"/>
      <c r="K323" s="18"/>
      <c r="L323" s="18"/>
      <c r="M323" s="18"/>
      <c r="N323" s="18"/>
      <c r="O323" s="18"/>
      <c r="P323" s="23"/>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26"/>
      <c r="EA323" s="26"/>
      <c r="EB323" s="26"/>
      <c r="EC323" s="26"/>
      <c r="ED323" s="26"/>
      <c r="EE323" s="26"/>
      <c r="EF323" s="26"/>
      <c r="EG323" s="26"/>
      <c r="EH323" s="26"/>
      <c r="EI323" s="26"/>
      <c r="EJ323" s="26"/>
      <c r="EK323" s="26"/>
      <c r="EL323" s="26"/>
      <c r="EM323" s="26"/>
      <c r="EN323" s="26"/>
      <c r="EO323" s="26"/>
      <c r="EP323" s="26"/>
      <c r="EQ323" s="26"/>
      <c r="ER323" s="26"/>
      <c r="ES323" s="26"/>
      <c r="ET323" s="26"/>
      <c r="EU323" s="26"/>
      <c r="EV323" s="26"/>
      <c r="EW323" s="26"/>
      <c r="EX323" s="26"/>
      <c r="EY323" s="26"/>
      <c r="EZ323" s="26"/>
      <c r="FA323" s="60"/>
      <c r="FB323" s="60"/>
      <c r="FC323" s="60"/>
      <c r="FD323" s="60"/>
      <c r="FE323" s="60"/>
      <c r="FF323" s="60"/>
      <c r="FG323" s="60"/>
      <c r="FH323" s="60"/>
      <c r="FI323" s="60"/>
      <c r="FJ323" s="60"/>
      <c r="FK323" s="60"/>
      <c r="FL323" s="60"/>
      <c r="FM323" s="60"/>
      <c r="FN323" s="60"/>
      <c r="FO323" s="60"/>
      <c r="FP323" s="60"/>
      <c r="FQ323" s="60"/>
      <c r="FR323" s="60"/>
      <c r="FS323" s="60"/>
      <c r="FT323" s="60"/>
      <c r="FU323" s="60"/>
      <c r="FV323" s="60"/>
      <c r="FW323" s="60"/>
      <c r="FX323" s="60"/>
    </row>
    <row r="324">
      <c r="A324" s="18"/>
      <c r="B324" s="14"/>
      <c r="C324" s="14"/>
      <c r="D324" s="14"/>
      <c r="E324" s="18"/>
      <c r="F324" s="18"/>
      <c r="G324" s="18"/>
      <c r="H324" s="18"/>
      <c r="I324" s="18"/>
      <c r="J324" s="18"/>
      <c r="K324" s="18"/>
      <c r="L324" s="18"/>
      <c r="M324" s="18"/>
      <c r="N324" s="18"/>
      <c r="O324" s="18"/>
      <c r="P324" s="23"/>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26"/>
      <c r="EA324" s="26"/>
      <c r="EB324" s="26"/>
      <c r="EC324" s="26"/>
      <c r="ED324" s="26"/>
      <c r="EE324" s="26"/>
      <c r="EF324" s="26"/>
      <c r="EG324" s="26"/>
      <c r="EH324" s="26"/>
      <c r="EI324" s="26"/>
      <c r="EJ324" s="26"/>
      <c r="EK324" s="26"/>
      <c r="EL324" s="26"/>
      <c r="EM324" s="26"/>
      <c r="EN324" s="26"/>
      <c r="EO324" s="26"/>
      <c r="EP324" s="26"/>
      <c r="EQ324" s="26"/>
      <c r="ER324" s="26"/>
      <c r="ES324" s="26"/>
      <c r="ET324" s="26"/>
      <c r="EU324" s="26"/>
      <c r="EV324" s="26"/>
      <c r="EW324" s="26"/>
      <c r="EX324" s="26"/>
      <c r="EY324" s="26"/>
      <c r="EZ324" s="26"/>
      <c r="FA324" s="60"/>
      <c r="FB324" s="60"/>
      <c r="FC324" s="60"/>
      <c r="FD324" s="60"/>
      <c r="FE324" s="60"/>
      <c r="FF324" s="60"/>
      <c r="FG324" s="60"/>
      <c r="FH324" s="60"/>
      <c r="FI324" s="60"/>
      <c r="FJ324" s="60"/>
      <c r="FK324" s="60"/>
      <c r="FL324" s="60"/>
      <c r="FM324" s="60"/>
      <c r="FN324" s="60"/>
      <c r="FO324" s="60"/>
      <c r="FP324" s="60"/>
      <c r="FQ324" s="60"/>
      <c r="FR324" s="60"/>
      <c r="FS324" s="60"/>
      <c r="FT324" s="60"/>
      <c r="FU324" s="60"/>
      <c r="FV324" s="60"/>
      <c r="FW324" s="60"/>
      <c r="FX324" s="60"/>
    </row>
    <row r="325">
      <c r="A325" s="18"/>
      <c r="B325" s="14"/>
      <c r="C325" s="14"/>
      <c r="D325" s="14"/>
      <c r="E325" s="18"/>
      <c r="F325" s="18"/>
      <c r="G325" s="18"/>
      <c r="H325" s="18"/>
      <c r="I325" s="18"/>
      <c r="J325" s="18"/>
      <c r="K325" s="18"/>
      <c r="L325" s="18"/>
      <c r="M325" s="18"/>
      <c r="N325" s="18"/>
      <c r="O325" s="18"/>
      <c r="P325" s="23"/>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26"/>
      <c r="EA325" s="26"/>
      <c r="EB325" s="26"/>
      <c r="EC325" s="26"/>
      <c r="ED325" s="26"/>
      <c r="EE325" s="26"/>
      <c r="EF325" s="26"/>
      <c r="EG325" s="26"/>
      <c r="EH325" s="26"/>
      <c r="EI325" s="26"/>
      <c r="EJ325" s="26"/>
      <c r="EK325" s="26"/>
      <c r="EL325" s="26"/>
      <c r="EM325" s="26"/>
      <c r="EN325" s="26"/>
      <c r="EO325" s="26"/>
      <c r="EP325" s="26"/>
      <c r="EQ325" s="26"/>
      <c r="ER325" s="26"/>
      <c r="ES325" s="26"/>
      <c r="ET325" s="26"/>
      <c r="EU325" s="26"/>
      <c r="EV325" s="26"/>
      <c r="EW325" s="26"/>
      <c r="EX325" s="26"/>
      <c r="EY325" s="26"/>
      <c r="EZ325" s="26"/>
      <c r="FA325" s="60"/>
      <c r="FB325" s="60"/>
      <c r="FC325" s="60"/>
      <c r="FD325" s="60"/>
      <c r="FE325" s="60"/>
      <c r="FF325" s="60"/>
      <c r="FG325" s="60"/>
      <c r="FH325" s="60"/>
      <c r="FI325" s="60"/>
      <c r="FJ325" s="60"/>
      <c r="FK325" s="60"/>
      <c r="FL325" s="60"/>
      <c r="FM325" s="60"/>
      <c r="FN325" s="60"/>
      <c r="FO325" s="60"/>
      <c r="FP325" s="60"/>
      <c r="FQ325" s="60"/>
      <c r="FR325" s="60"/>
      <c r="FS325" s="60"/>
      <c r="FT325" s="60"/>
      <c r="FU325" s="60"/>
      <c r="FV325" s="60"/>
      <c r="FW325" s="60"/>
      <c r="FX325" s="60"/>
    </row>
    <row r="326">
      <c r="A326" s="18"/>
      <c r="B326" s="14"/>
      <c r="C326" s="14"/>
      <c r="D326" s="14"/>
      <c r="E326" s="18"/>
      <c r="F326" s="18"/>
      <c r="G326" s="18"/>
      <c r="H326" s="18"/>
      <c r="I326" s="18"/>
      <c r="J326" s="18"/>
      <c r="K326" s="18"/>
      <c r="L326" s="18"/>
      <c r="M326" s="18"/>
      <c r="N326" s="18"/>
      <c r="O326" s="18"/>
      <c r="P326" s="23"/>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26"/>
      <c r="EA326" s="26"/>
      <c r="EB326" s="26"/>
      <c r="EC326" s="26"/>
      <c r="ED326" s="26"/>
      <c r="EE326" s="26"/>
      <c r="EF326" s="26"/>
      <c r="EG326" s="26"/>
      <c r="EH326" s="26"/>
      <c r="EI326" s="26"/>
      <c r="EJ326" s="26"/>
      <c r="EK326" s="26"/>
      <c r="EL326" s="26"/>
      <c r="EM326" s="26"/>
      <c r="EN326" s="26"/>
      <c r="EO326" s="26"/>
      <c r="EP326" s="26"/>
      <c r="EQ326" s="26"/>
      <c r="ER326" s="26"/>
      <c r="ES326" s="26"/>
      <c r="ET326" s="26"/>
      <c r="EU326" s="26"/>
      <c r="EV326" s="26"/>
      <c r="EW326" s="26"/>
      <c r="EX326" s="26"/>
      <c r="EY326" s="26"/>
      <c r="EZ326" s="26"/>
      <c r="FA326" s="60"/>
      <c r="FB326" s="60"/>
      <c r="FC326" s="60"/>
      <c r="FD326" s="60"/>
      <c r="FE326" s="60"/>
      <c r="FF326" s="60"/>
      <c r="FG326" s="60"/>
      <c r="FH326" s="60"/>
      <c r="FI326" s="60"/>
      <c r="FJ326" s="60"/>
      <c r="FK326" s="60"/>
      <c r="FL326" s="60"/>
      <c r="FM326" s="60"/>
      <c r="FN326" s="60"/>
      <c r="FO326" s="60"/>
      <c r="FP326" s="60"/>
      <c r="FQ326" s="60"/>
      <c r="FR326" s="60"/>
      <c r="FS326" s="60"/>
      <c r="FT326" s="60"/>
      <c r="FU326" s="60"/>
      <c r="FV326" s="60"/>
      <c r="FW326" s="60"/>
      <c r="FX326" s="60"/>
    </row>
    <row r="327">
      <c r="A327" s="18"/>
      <c r="B327" s="14"/>
      <c r="C327" s="14"/>
      <c r="D327" s="14"/>
      <c r="E327" s="18"/>
      <c r="F327" s="18"/>
      <c r="G327" s="18"/>
      <c r="H327" s="18"/>
      <c r="I327" s="18"/>
      <c r="J327" s="18"/>
      <c r="K327" s="18"/>
      <c r="L327" s="18"/>
      <c r="M327" s="18"/>
      <c r="N327" s="18"/>
      <c r="O327" s="18"/>
      <c r="P327" s="23"/>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26"/>
      <c r="EA327" s="26"/>
      <c r="EB327" s="26"/>
      <c r="EC327" s="26"/>
      <c r="ED327" s="26"/>
      <c r="EE327" s="26"/>
      <c r="EF327" s="26"/>
      <c r="EG327" s="26"/>
      <c r="EH327" s="26"/>
      <c r="EI327" s="26"/>
      <c r="EJ327" s="26"/>
      <c r="EK327" s="26"/>
      <c r="EL327" s="26"/>
      <c r="EM327" s="26"/>
      <c r="EN327" s="26"/>
      <c r="EO327" s="26"/>
      <c r="EP327" s="26"/>
      <c r="EQ327" s="26"/>
      <c r="ER327" s="26"/>
      <c r="ES327" s="26"/>
      <c r="ET327" s="26"/>
      <c r="EU327" s="26"/>
      <c r="EV327" s="26"/>
      <c r="EW327" s="26"/>
      <c r="EX327" s="26"/>
      <c r="EY327" s="26"/>
      <c r="EZ327" s="26"/>
      <c r="FA327" s="60"/>
      <c r="FB327" s="60"/>
      <c r="FC327" s="60"/>
      <c r="FD327" s="60"/>
      <c r="FE327" s="60"/>
      <c r="FF327" s="60"/>
      <c r="FG327" s="60"/>
      <c r="FH327" s="60"/>
      <c r="FI327" s="60"/>
      <c r="FJ327" s="60"/>
      <c r="FK327" s="60"/>
      <c r="FL327" s="60"/>
      <c r="FM327" s="60"/>
      <c r="FN327" s="60"/>
      <c r="FO327" s="60"/>
      <c r="FP327" s="60"/>
      <c r="FQ327" s="60"/>
      <c r="FR327" s="60"/>
      <c r="FS327" s="60"/>
      <c r="FT327" s="60"/>
      <c r="FU327" s="60"/>
      <c r="FV327" s="60"/>
      <c r="FW327" s="60"/>
      <c r="FX327" s="60"/>
    </row>
    <row r="328">
      <c r="A328" s="18"/>
      <c r="B328" s="14"/>
      <c r="C328" s="14"/>
      <c r="D328" s="14"/>
      <c r="E328" s="18"/>
      <c r="F328" s="18"/>
      <c r="G328" s="18"/>
      <c r="H328" s="18"/>
      <c r="I328" s="18"/>
      <c r="J328" s="18"/>
      <c r="K328" s="18"/>
      <c r="L328" s="18"/>
      <c r="M328" s="18"/>
      <c r="N328" s="18"/>
      <c r="O328" s="18"/>
      <c r="P328" s="23"/>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26"/>
      <c r="EA328" s="26"/>
      <c r="EB328" s="26"/>
      <c r="EC328" s="26"/>
      <c r="ED328" s="26"/>
      <c r="EE328" s="26"/>
      <c r="EF328" s="26"/>
      <c r="EG328" s="26"/>
      <c r="EH328" s="26"/>
      <c r="EI328" s="26"/>
      <c r="EJ328" s="26"/>
      <c r="EK328" s="26"/>
      <c r="EL328" s="26"/>
      <c r="EM328" s="26"/>
      <c r="EN328" s="26"/>
      <c r="EO328" s="26"/>
      <c r="EP328" s="26"/>
      <c r="EQ328" s="26"/>
      <c r="ER328" s="26"/>
      <c r="ES328" s="26"/>
      <c r="ET328" s="26"/>
      <c r="EU328" s="26"/>
      <c r="EV328" s="26"/>
      <c r="EW328" s="26"/>
      <c r="EX328" s="26"/>
      <c r="EY328" s="26"/>
      <c r="EZ328" s="26"/>
      <c r="FA328" s="60"/>
      <c r="FB328" s="60"/>
      <c r="FC328" s="60"/>
      <c r="FD328" s="60"/>
      <c r="FE328" s="60"/>
      <c r="FF328" s="60"/>
      <c r="FG328" s="60"/>
      <c r="FH328" s="60"/>
      <c r="FI328" s="60"/>
      <c r="FJ328" s="60"/>
      <c r="FK328" s="60"/>
      <c r="FL328" s="60"/>
      <c r="FM328" s="60"/>
      <c r="FN328" s="60"/>
      <c r="FO328" s="60"/>
      <c r="FP328" s="60"/>
      <c r="FQ328" s="60"/>
      <c r="FR328" s="60"/>
      <c r="FS328" s="60"/>
      <c r="FT328" s="60"/>
      <c r="FU328" s="60"/>
      <c r="FV328" s="60"/>
      <c r="FW328" s="60"/>
      <c r="FX328" s="60"/>
    </row>
    <row r="329">
      <c r="A329" s="18"/>
      <c r="B329" s="14"/>
      <c r="C329" s="14"/>
      <c r="D329" s="14"/>
      <c r="E329" s="18"/>
      <c r="F329" s="18"/>
      <c r="G329" s="18"/>
      <c r="H329" s="18"/>
      <c r="I329" s="18"/>
      <c r="J329" s="18"/>
      <c r="K329" s="18"/>
      <c r="L329" s="18"/>
      <c r="M329" s="18"/>
      <c r="N329" s="18"/>
      <c r="O329" s="18"/>
      <c r="P329" s="23"/>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26"/>
      <c r="EA329" s="26"/>
      <c r="EB329" s="26"/>
      <c r="EC329" s="26"/>
      <c r="ED329" s="26"/>
      <c r="EE329" s="26"/>
      <c r="EF329" s="26"/>
      <c r="EG329" s="26"/>
      <c r="EH329" s="26"/>
      <c r="EI329" s="26"/>
      <c r="EJ329" s="26"/>
      <c r="EK329" s="26"/>
      <c r="EL329" s="26"/>
      <c r="EM329" s="26"/>
      <c r="EN329" s="26"/>
      <c r="EO329" s="26"/>
      <c r="EP329" s="26"/>
      <c r="EQ329" s="26"/>
      <c r="ER329" s="26"/>
      <c r="ES329" s="26"/>
      <c r="ET329" s="26"/>
      <c r="EU329" s="26"/>
      <c r="EV329" s="26"/>
      <c r="EW329" s="26"/>
      <c r="EX329" s="26"/>
      <c r="EY329" s="26"/>
      <c r="EZ329" s="26"/>
      <c r="FA329" s="60"/>
      <c r="FB329" s="60"/>
      <c r="FC329" s="60"/>
      <c r="FD329" s="60"/>
      <c r="FE329" s="60"/>
      <c r="FF329" s="60"/>
      <c r="FG329" s="60"/>
      <c r="FH329" s="60"/>
      <c r="FI329" s="60"/>
      <c r="FJ329" s="60"/>
      <c r="FK329" s="60"/>
      <c r="FL329" s="60"/>
      <c r="FM329" s="60"/>
      <c r="FN329" s="60"/>
      <c r="FO329" s="60"/>
      <c r="FP329" s="60"/>
      <c r="FQ329" s="60"/>
      <c r="FR329" s="60"/>
      <c r="FS329" s="60"/>
      <c r="FT329" s="60"/>
      <c r="FU329" s="60"/>
      <c r="FV329" s="60"/>
      <c r="FW329" s="60"/>
      <c r="FX329" s="60"/>
    </row>
    <row r="330">
      <c r="A330" s="18"/>
      <c r="B330" s="14"/>
      <c r="C330" s="14"/>
      <c r="D330" s="14"/>
      <c r="E330" s="18"/>
      <c r="F330" s="18"/>
      <c r="G330" s="18"/>
      <c r="H330" s="18"/>
      <c r="I330" s="18"/>
      <c r="J330" s="18"/>
      <c r="K330" s="18"/>
      <c r="L330" s="18"/>
      <c r="M330" s="18"/>
      <c r="N330" s="18"/>
      <c r="O330" s="18"/>
      <c r="P330" s="23"/>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26"/>
      <c r="EA330" s="26"/>
      <c r="EB330" s="26"/>
      <c r="EC330" s="26"/>
      <c r="ED330" s="26"/>
      <c r="EE330" s="26"/>
      <c r="EF330" s="26"/>
      <c r="EG330" s="26"/>
      <c r="EH330" s="26"/>
      <c r="EI330" s="26"/>
      <c r="EJ330" s="26"/>
      <c r="EK330" s="26"/>
      <c r="EL330" s="26"/>
      <c r="EM330" s="26"/>
      <c r="EN330" s="26"/>
      <c r="EO330" s="26"/>
      <c r="EP330" s="26"/>
      <c r="EQ330" s="26"/>
      <c r="ER330" s="26"/>
      <c r="ES330" s="26"/>
      <c r="ET330" s="26"/>
      <c r="EU330" s="26"/>
      <c r="EV330" s="26"/>
      <c r="EW330" s="26"/>
      <c r="EX330" s="26"/>
      <c r="EY330" s="26"/>
      <c r="EZ330" s="26"/>
      <c r="FA330" s="60"/>
      <c r="FB330" s="60"/>
      <c r="FC330" s="60"/>
      <c r="FD330" s="60"/>
      <c r="FE330" s="60"/>
      <c r="FF330" s="60"/>
      <c r="FG330" s="60"/>
      <c r="FH330" s="60"/>
      <c r="FI330" s="60"/>
      <c r="FJ330" s="60"/>
      <c r="FK330" s="60"/>
      <c r="FL330" s="60"/>
      <c r="FM330" s="60"/>
      <c r="FN330" s="60"/>
      <c r="FO330" s="60"/>
      <c r="FP330" s="60"/>
      <c r="FQ330" s="60"/>
      <c r="FR330" s="60"/>
      <c r="FS330" s="60"/>
      <c r="FT330" s="60"/>
      <c r="FU330" s="60"/>
      <c r="FV330" s="60"/>
      <c r="FW330" s="60"/>
      <c r="FX330" s="60"/>
    </row>
    <row r="331">
      <c r="A331" s="18"/>
      <c r="B331" s="14"/>
      <c r="C331" s="14"/>
      <c r="D331" s="14"/>
      <c r="E331" s="18"/>
      <c r="F331" s="18"/>
      <c r="G331" s="18"/>
      <c r="H331" s="18"/>
      <c r="I331" s="18"/>
      <c r="J331" s="18"/>
      <c r="K331" s="18"/>
      <c r="L331" s="18"/>
      <c r="M331" s="18"/>
      <c r="N331" s="18"/>
      <c r="O331" s="18"/>
      <c r="P331" s="23"/>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26"/>
      <c r="EA331" s="26"/>
      <c r="EB331" s="26"/>
      <c r="EC331" s="26"/>
      <c r="ED331" s="26"/>
      <c r="EE331" s="26"/>
      <c r="EF331" s="26"/>
      <c r="EG331" s="26"/>
      <c r="EH331" s="26"/>
      <c r="EI331" s="26"/>
      <c r="EJ331" s="26"/>
      <c r="EK331" s="26"/>
      <c r="EL331" s="26"/>
      <c r="EM331" s="26"/>
      <c r="EN331" s="26"/>
      <c r="EO331" s="26"/>
      <c r="EP331" s="26"/>
      <c r="EQ331" s="26"/>
      <c r="ER331" s="26"/>
      <c r="ES331" s="26"/>
      <c r="ET331" s="26"/>
      <c r="EU331" s="26"/>
      <c r="EV331" s="26"/>
      <c r="EW331" s="26"/>
      <c r="EX331" s="26"/>
      <c r="EY331" s="26"/>
      <c r="EZ331" s="26"/>
      <c r="FA331" s="60"/>
      <c r="FB331" s="60"/>
      <c r="FC331" s="60"/>
      <c r="FD331" s="60"/>
      <c r="FE331" s="60"/>
      <c r="FF331" s="60"/>
      <c r="FG331" s="60"/>
      <c r="FH331" s="60"/>
      <c r="FI331" s="60"/>
      <c r="FJ331" s="60"/>
      <c r="FK331" s="60"/>
      <c r="FL331" s="60"/>
      <c r="FM331" s="60"/>
      <c r="FN331" s="60"/>
      <c r="FO331" s="60"/>
      <c r="FP331" s="60"/>
      <c r="FQ331" s="60"/>
      <c r="FR331" s="60"/>
      <c r="FS331" s="60"/>
      <c r="FT331" s="60"/>
      <c r="FU331" s="60"/>
      <c r="FV331" s="60"/>
      <c r="FW331" s="60"/>
      <c r="FX331" s="60"/>
    </row>
    <row r="332">
      <c r="A332" s="18"/>
      <c r="B332" s="14"/>
      <c r="C332" s="14"/>
      <c r="D332" s="14"/>
      <c r="E332" s="18"/>
      <c r="F332" s="18"/>
      <c r="G332" s="18"/>
      <c r="H332" s="18"/>
      <c r="I332" s="18"/>
      <c r="J332" s="18"/>
      <c r="K332" s="18"/>
      <c r="L332" s="18"/>
      <c r="M332" s="18"/>
      <c r="N332" s="18"/>
      <c r="O332" s="18"/>
      <c r="P332" s="23"/>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26"/>
      <c r="EA332" s="26"/>
      <c r="EB332" s="26"/>
      <c r="EC332" s="26"/>
      <c r="ED332" s="26"/>
      <c r="EE332" s="26"/>
      <c r="EF332" s="26"/>
      <c r="EG332" s="26"/>
      <c r="EH332" s="26"/>
      <c r="EI332" s="26"/>
      <c r="EJ332" s="26"/>
      <c r="EK332" s="26"/>
      <c r="EL332" s="26"/>
      <c r="EM332" s="26"/>
      <c r="EN332" s="26"/>
      <c r="EO332" s="26"/>
      <c r="EP332" s="26"/>
      <c r="EQ332" s="26"/>
      <c r="ER332" s="26"/>
      <c r="ES332" s="26"/>
      <c r="ET332" s="26"/>
      <c r="EU332" s="26"/>
      <c r="EV332" s="26"/>
      <c r="EW332" s="26"/>
      <c r="EX332" s="26"/>
      <c r="EY332" s="26"/>
      <c r="EZ332" s="26"/>
      <c r="FA332" s="60"/>
      <c r="FB332" s="60"/>
      <c r="FC332" s="60"/>
      <c r="FD332" s="60"/>
      <c r="FE332" s="60"/>
      <c r="FF332" s="60"/>
      <c r="FG332" s="60"/>
      <c r="FH332" s="60"/>
      <c r="FI332" s="60"/>
      <c r="FJ332" s="60"/>
      <c r="FK332" s="60"/>
      <c r="FL332" s="60"/>
      <c r="FM332" s="60"/>
      <c r="FN332" s="60"/>
      <c r="FO332" s="60"/>
      <c r="FP332" s="60"/>
      <c r="FQ332" s="60"/>
      <c r="FR332" s="60"/>
      <c r="FS332" s="60"/>
      <c r="FT332" s="60"/>
      <c r="FU332" s="60"/>
      <c r="FV332" s="60"/>
      <c r="FW332" s="60"/>
      <c r="FX332" s="60"/>
    </row>
    <row r="333">
      <c r="A333" s="18"/>
      <c r="B333" s="14"/>
      <c r="C333" s="14"/>
      <c r="D333" s="14"/>
      <c r="E333" s="18"/>
      <c r="F333" s="18"/>
      <c r="G333" s="18"/>
      <c r="H333" s="18"/>
      <c r="I333" s="18"/>
      <c r="J333" s="18"/>
      <c r="K333" s="18"/>
      <c r="L333" s="18"/>
      <c r="M333" s="18"/>
      <c r="N333" s="18"/>
      <c r="O333" s="18"/>
      <c r="P333" s="23"/>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26"/>
      <c r="EA333" s="26"/>
      <c r="EB333" s="26"/>
      <c r="EC333" s="26"/>
      <c r="ED333" s="26"/>
      <c r="EE333" s="26"/>
      <c r="EF333" s="26"/>
      <c r="EG333" s="26"/>
      <c r="EH333" s="26"/>
      <c r="EI333" s="26"/>
      <c r="EJ333" s="26"/>
      <c r="EK333" s="26"/>
      <c r="EL333" s="26"/>
      <c r="EM333" s="26"/>
      <c r="EN333" s="26"/>
      <c r="EO333" s="26"/>
      <c r="EP333" s="26"/>
      <c r="EQ333" s="26"/>
      <c r="ER333" s="26"/>
      <c r="ES333" s="26"/>
      <c r="ET333" s="26"/>
      <c r="EU333" s="26"/>
      <c r="EV333" s="26"/>
      <c r="EW333" s="26"/>
      <c r="EX333" s="26"/>
      <c r="EY333" s="26"/>
      <c r="EZ333" s="26"/>
      <c r="FA333" s="60"/>
      <c r="FB333" s="60"/>
      <c r="FC333" s="60"/>
      <c r="FD333" s="60"/>
      <c r="FE333" s="60"/>
      <c r="FF333" s="60"/>
      <c r="FG333" s="60"/>
      <c r="FH333" s="60"/>
      <c r="FI333" s="60"/>
      <c r="FJ333" s="60"/>
      <c r="FK333" s="60"/>
      <c r="FL333" s="60"/>
      <c r="FM333" s="60"/>
      <c r="FN333" s="60"/>
      <c r="FO333" s="60"/>
      <c r="FP333" s="60"/>
      <c r="FQ333" s="60"/>
      <c r="FR333" s="60"/>
      <c r="FS333" s="60"/>
      <c r="FT333" s="60"/>
      <c r="FU333" s="60"/>
      <c r="FV333" s="60"/>
      <c r="FW333" s="60"/>
      <c r="FX333" s="60"/>
    </row>
    <row r="334">
      <c r="A334" s="18"/>
      <c r="B334" s="14"/>
      <c r="C334" s="14"/>
      <c r="D334" s="14"/>
      <c r="E334" s="18"/>
      <c r="F334" s="18"/>
      <c r="G334" s="18"/>
      <c r="H334" s="18"/>
      <c r="I334" s="18"/>
      <c r="J334" s="18"/>
      <c r="K334" s="18"/>
      <c r="L334" s="18"/>
      <c r="M334" s="18"/>
      <c r="N334" s="18"/>
      <c r="O334" s="18"/>
      <c r="P334" s="23"/>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26"/>
      <c r="EA334" s="26"/>
      <c r="EB334" s="26"/>
      <c r="EC334" s="26"/>
      <c r="ED334" s="26"/>
      <c r="EE334" s="26"/>
      <c r="EF334" s="26"/>
      <c r="EG334" s="26"/>
      <c r="EH334" s="26"/>
      <c r="EI334" s="26"/>
      <c r="EJ334" s="26"/>
      <c r="EK334" s="26"/>
      <c r="EL334" s="26"/>
      <c r="EM334" s="26"/>
      <c r="EN334" s="26"/>
      <c r="EO334" s="26"/>
      <c r="EP334" s="26"/>
      <c r="EQ334" s="26"/>
      <c r="ER334" s="26"/>
      <c r="ES334" s="26"/>
      <c r="ET334" s="26"/>
      <c r="EU334" s="26"/>
      <c r="EV334" s="26"/>
      <c r="EW334" s="26"/>
      <c r="EX334" s="26"/>
      <c r="EY334" s="26"/>
      <c r="EZ334" s="26"/>
      <c r="FA334" s="60"/>
      <c r="FB334" s="60"/>
      <c r="FC334" s="60"/>
      <c r="FD334" s="60"/>
      <c r="FE334" s="60"/>
      <c r="FF334" s="60"/>
      <c r="FG334" s="60"/>
      <c r="FH334" s="60"/>
      <c r="FI334" s="60"/>
      <c r="FJ334" s="60"/>
      <c r="FK334" s="60"/>
      <c r="FL334" s="60"/>
      <c r="FM334" s="60"/>
      <c r="FN334" s="60"/>
      <c r="FO334" s="60"/>
      <c r="FP334" s="60"/>
      <c r="FQ334" s="60"/>
      <c r="FR334" s="60"/>
      <c r="FS334" s="60"/>
      <c r="FT334" s="60"/>
      <c r="FU334" s="60"/>
      <c r="FV334" s="60"/>
      <c r="FW334" s="60"/>
      <c r="FX334" s="60"/>
    </row>
    <row r="335">
      <c r="A335" s="18"/>
      <c r="B335" s="14"/>
      <c r="C335" s="14"/>
      <c r="D335" s="14"/>
      <c r="E335" s="18"/>
      <c r="F335" s="18"/>
      <c r="G335" s="18"/>
      <c r="H335" s="18"/>
      <c r="I335" s="18"/>
      <c r="J335" s="18"/>
      <c r="K335" s="18"/>
      <c r="L335" s="18"/>
      <c r="M335" s="18"/>
      <c r="N335" s="18"/>
      <c r="O335" s="18"/>
      <c r="P335" s="23"/>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26"/>
      <c r="EA335" s="26"/>
      <c r="EB335" s="26"/>
      <c r="EC335" s="26"/>
      <c r="ED335" s="26"/>
      <c r="EE335" s="26"/>
      <c r="EF335" s="26"/>
      <c r="EG335" s="26"/>
      <c r="EH335" s="26"/>
      <c r="EI335" s="26"/>
      <c r="EJ335" s="26"/>
      <c r="EK335" s="26"/>
      <c r="EL335" s="26"/>
      <c r="EM335" s="26"/>
      <c r="EN335" s="26"/>
      <c r="EO335" s="26"/>
      <c r="EP335" s="26"/>
      <c r="EQ335" s="26"/>
      <c r="ER335" s="26"/>
      <c r="ES335" s="26"/>
      <c r="ET335" s="26"/>
      <c r="EU335" s="26"/>
      <c r="EV335" s="26"/>
      <c r="EW335" s="26"/>
      <c r="EX335" s="26"/>
      <c r="EY335" s="26"/>
      <c r="EZ335" s="26"/>
      <c r="FA335" s="60"/>
      <c r="FB335" s="60"/>
      <c r="FC335" s="60"/>
      <c r="FD335" s="60"/>
      <c r="FE335" s="60"/>
      <c r="FF335" s="60"/>
      <c r="FG335" s="60"/>
      <c r="FH335" s="60"/>
      <c r="FI335" s="60"/>
      <c r="FJ335" s="60"/>
      <c r="FK335" s="60"/>
      <c r="FL335" s="60"/>
      <c r="FM335" s="60"/>
      <c r="FN335" s="60"/>
      <c r="FO335" s="60"/>
      <c r="FP335" s="60"/>
      <c r="FQ335" s="60"/>
      <c r="FR335" s="60"/>
      <c r="FS335" s="60"/>
      <c r="FT335" s="60"/>
      <c r="FU335" s="60"/>
      <c r="FV335" s="60"/>
      <c r="FW335" s="60"/>
      <c r="FX335" s="60"/>
    </row>
    <row r="336">
      <c r="A336" s="18"/>
      <c r="B336" s="14"/>
      <c r="C336" s="14"/>
      <c r="D336" s="14"/>
      <c r="E336" s="18"/>
      <c r="F336" s="18"/>
      <c r="G336" s="18"/>
      <c r="H336" s="18"/>
      <c r="I336" s="18"/>
      <c r="J336" s="18"/>
      <c r="K336" s="18"/>
      <c r="L336" s="18"/>
      <c r="M336" s="18"/>
      <c r="N336" s="18"/>
      <c r="O336" s="18"/>
      <c r="P336" s="23"/>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26"/>
      <c r="EA336" s="26"/>
      <c r="EB336" s="26"/>
      <c r="EC336" s="26"/>
      <c r="ED336" s="26"/>
      <c r="EE336" s="26"/>
      <c r="EF336" s="26"/>
      <c r="EG336" s="26"/>
      <c r="EH336" s="26"/>
      <c r="EI336" s="26"/>
      <c r="EJ336" s="26"/>
      <c r="EK336" s="26"/>
      <c r="EL336" s="26"/>
      <c r="EM336" s="26"/>
      <c r="EN336" s="26"/>
      <c r="EO336" s="26"/>
      <c r="EP336" s="26"/>
      <c r="EQ336" s="26"/>
      <c r="ER336" s="26"/>
      <c r="ES336" s="26"/>
      <c r="ET336" s="26"/>
      <c r="EU336" s="26"/>
      <c r="EV336" s="26"/>
      <c r="EW336" s="26"/>
      <c r="EX336" s="26"/>
      <c r="EY336" s="26"/>
      <c r="EZ336" s="26"/>
      <c r="FA336" s="60"/>
      <c r="FB336" s="60"/>
      <c r="FC336" s="60"/>
      <c r="FD336" s="60"/>
      <c r="FE336" s="60"/>
      <c r="FF336" s="60"/>
      <c r="FG336" s="60"/>
      <c r="FH336" s="60"/>
      <c r="FI336" s="60"/>
      <c r="FJ336" s="60"/>
      <c r="FK336" s="60"/>
      <c r="FL336" s="60"/>
      <c r="FM336" s="60"/>
      <c r="FN336" s="60"/>
      <c r="FO336" s="60"/>
      <c r="FP336" s="60"/>
      <c r="FQ336" s="60"/>
      <c r="FR336" s="60"/>
      <c r="FS336" s="60"/>
      <c r="FT336" s="60"/>
      <c r="FU336" s="60"/>
      <c r="FV336" s="60"/>
      <c r="FW336" s="60"/>
      <c r="FX336" s="60"/>
    </row>
    <row r="337">
      <c r="A337" s="18"/>
      <c r="B337" s="14"/>
      <c r="C337" s="14"/>
      <c r="D337" s="14"/>
      <c r="E337" s="18"/>
      <c r="F337" s="18"/>
      <c r="G337" s="18"/>
      <c r="H337" s="18"/>
      <c r="I337" s="18"/>
      <c r="J337" s="18"/>
      <c r="K337" s="18"/>
      <c r="L337" s="18"/>
      <c r="M337" s="18"/>
      <c r="N337" s="18"/>
      <c r="O337" s="18"/>
      <c r="P337" s="23"/>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26"/>
      <c r="EA337" s="26"/>
      <c r="EB337" s="26"/>
      <c r="EC337" s="26"/>
      <c r="ED337" s="26"/>
      <c r="EE337" s="26"/>
      <c r="EF337" s="26"/>
      <c r="EG337" s="26"/>
      <c r="EH337" s="26"/>
      <c r="EI337" s="26"/>
      <c r="EJ337" s="26"/>
      <c r="EK337" s="26"/>
      <c r="EL337" s="26"/>
      <c r="EM337" s="26"/>
      <c r="EN337" s="26"/>
      <c r="EO337" s="26"/>
      <c r="EP337" s="26"/>
      <c r="EQ337" s="26"/>
      <c r="ER337" s="26"/>
      <c r="ES337" s="26"/>
      <c r="ET337" s="26"/>
      <c r="EU337" s="26"/>
      <c r="EV337" s="26"/>
      <c r="EW337" s="26"/>
      <c r="EX337" s="26"/>
      <c r="EY337" s="26"/>
      <c r="EZ337" s="26"/>
      <c r="FA337" s="60"/>
      <c r="FB337" s="60"/>
      <c r="FC337" s="60"/>
      <c r="FD337" s="60"/>
      <c r="FE337" s="60"/>
      <c r="FF337" s="60"/>
      <c r="FG337" s="60"/>
      <c r="FH337" s="60"/>
      <c r="FI337" s="60"/>
      <c r="FJ337" s="60"/>
      <c r="FK337" s="60"/>
      <c r="FL337" s="60"/>
      <c r="FM337" s="60"/>
      <c r="FN337" s="60"/>
      <c r="FO337" s="60"/>
      <c r="FP337" s="60"/>
      <c r="FQ337" s="60"/>
      <c r="FR337" s="60"/>
      <c r="FS337" s="60"/>
      <c r="FT337" s="60"/>
      <c r="FU337" s="60"/>
      <c r="FV337" s="60"/>
      <c r="FW337" s="60"/>
      <c r="FX337" s="60"/>
    </row>
    <row r="338">
      <c r="A338" s="18"/>
      <c r="B338" s="14"/>
      <c r="C338" s="14"/>
      <c r="D338" s="14"/>
      <c r="E338" s="18"/>
      <c r="F338" s="18"/>
      <c r="G338" s="18"/>
      <c r="H338" s="18"/>
      <c r="I338" s="18"/>
      <c r="J338" s="18"/>
      <c r="K338" s="18"/>
      <c r="L338" s="18"/>
      <c r="M338" s="18"/>
      <c r="N338" s="18"/>
      <c r="O338" s="18"/>
      <c r="P338" s="23"/>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26"/>
      <c r="EA338" s="26"/>
      <c r="EB338" s="26"/>
      <c r="EC338" s="26"/>
      <c r="ED338" s="26"/>
      <c r="EE338" s="26"/>
      <c r="EF338" s="26"/>
      <c r="EG338" s="26"/>
      <c r="EH338" s="26"/>
      <c r="EI338" s="26"/>
      <c r="EJ338" s="26"/>
      <c r="EK338" s="26"/>
      <c r="EL338" s="26"/>
      <c r="EM338" s="26"/>
      <c r="EN338" s="26"/>
      <c r="EO338" s="26"/>
      <c r="EP338" s="26"/>
      <c r="EQ338" s="26"/>
      <c r="ER338" s="26"/>
      <c r="ES338" s="26"/>
      <c r="ET338" s="26"/>
      <c r="EU338" s="26"/>
      <c r="EV338" s="26"/>
      <c r="EW338" s="26"/>
      <c r="EX338" s="26"/>
      <c r="EY338" s="26"/>
      <c r="EZ338" s="26"/>
      <c r="FA338" s="60"/>
      <c r="FB338" s="60"/>
      <c r="FC338" s="60"/>
      <c r="FD338" s="60"/>
      <c r="FE338" s="60"/>
      <c r="FF338" s="60"/>
      <c r="FG338" s="60"/>
      <c r="FH338" s="60"/>
      <c r="FI338" s="60"/>
      <c r="FJ338" s="60"/>
      <c r="FK338" s="60"/>
      <c r="FL338" s="60"/>
      <c r="FM338" s="60"/>
      <c r="FN338" s="60"/>
      <c r="FO338" s="60"/>
      <c r="FP338" s="60"/>
      <c r="FQ338" s="60"/>
      <c r="FR338" s="60"/>
      <c r="FS338" s="60"/>
      <c r="FT338" s="60"/>
      <c r="FU338" s="60"/>
      <c r="FV338" s="60"/>
      <c r="FW338" s="60"/>
      <c r="FX338" s="60"/>
    </row>
    <row r="339">
      <c r="A339" s="18"/>
      <c r="B339" s="14"/>
      <c r="C339" s="14"/>
      <c r="D339" s="14"/>
      <c r="E339" s="18"/>
      <c r="F339" s="18"/>
      <c r="G339" s="18"/>
      <c r="H339" s="18"/>
      <c r="I339" s="18"/>
      <c r="J339" s="18"/>
      <c r="K339" s="18"/>
      <c r="L339" s="18"/>
      <c r="M339" s="18"/>
      <c r="N339" s="18"/>
      <c r="O339" s="18"/>
      <c r="P339" s="23"/>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26"/>
      <c r="EA339" s="26"/>
      <c r="EB339" s="26"/>
      <c r="EC339" s="26"/>
      <c r="ED339" s="26"/>
      <c r="EE339" s="26"/>
      <c r="EF339" s="26"/>
      <c r="EG339" s="26"/>
      <c r="EH339" s="26"/>
      <c r="EI339" s="26"/>
      <c r="EJ339" s="26"/>
      <c r="EK339" s="26"/>
      <c r="EL339" s="26"/>
      <c r="EM339" s="26"/>
      <c r="EN339" s="26"/>
      <c r="EO339" s="26"/>
      <c r="EP339" s="26"/>
      <c r="EQ339" s="26"/>
      <c r="ER339" s="26"/>
      <c r="ES339" s="26"/>
      <c r="ET339" s="26"/>
      <c r="EU339" s="26"/>
      <c r="EV339" s="26"/>
      <c r="EW339" s="26"/>
      <c r="EX339" s="26"/>
      <c r="EY339" s="26"/>
      <c r="EZ339" s="26"/>
      <c r="FA339" s="60"/>
      <c r="FB339" s="60"/>
      <c r="FC339" s="60"/>
      <c r="FD339" s="60"/>
      <c r="FE339" s="60"/>
      <c r="FF339" s="60"/>
      <c r="FG339" s="60"/>
      <c r="FH339" s="60"/>
      <c r="FI339" s="60"/>
      <c r="FJ339" s="60"/>
      <c r="FK339" s="60"/>
      <c r="FL339" s="60"/>
      <c r="FM339" s="60"/>
      <c r="FN339" s="60"/>
      <c r="FO339" s="60"/>
      <c r="FP339" s="60"/>
      <c r="FQ339" s="60"/>
      <c r="FR339" s="60"/>
      <c r="FS339" s="60"/>
      <c r="FT339" s="60"/>
      <c r="FU339" s="60"/>
      <c r="FV339" s="60"/>
      <c r="FW339" s="60"/>
      <c r="FX339" s="60"/>
    </row>
    <row r="340">
      <c r="A340" s="18"/>
      <c r="B340" s="14"/>
      <c r="C340" s="14"/>
      <c r="D340" s="14"/>
      <c r="E340" s="18"/>
      <c r="F340" s="18"/>
      <c r="G340" s="18"/>
      <c r="H340" s="18"/>
      <c r="I340" s="18"/>
      <c r="J340" s="18"/>
      <c r="K340" s="18"/>
      <c r="L340" s="18"/>
      <c r="M340" s="18"/>
      <c r="N340" s="18"/>
      <c r="O340" s="18"/>
      <c r="P340" s="23"/>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26"/>
      <c r="EA340" s="26"/>
      <c r="EB340" s="26"/>
      <c r="EC340" s="26"/>
      <c r="ED340" s="26"/>
      <c r="EE340" s="26"/>
      <c r="EF340" s="26"/>
      <c r="EG340" s="26"/>
      <c r="EH340" s="26"/>
      <c r="EI340" s="26"/>
      <c r="EJ340" s="26"/>
      <c r="EK340" s="26"/>
      <c r="EL340" s="26"/>
      <c r="EM340" s="26"/>
      <c r="EN340" s="26"/>
      <c r="EO340" s="26"/>
      <c r="EP340" s="26"/>
      <c r="EQ340" s="26"/>
      <c r="ER340" s="26"/>
      <c r="ES340" s="26"/>
      <c r="ET340" s="26"/>
      <c r="EU340" s="26"/>
      <c r="EV340" s="26"/>
      <c r="EW340" s="26"/>
      <c r="EX340" s="26"/>
      <c r="EY340" s="26"/>
      <c r="EZ340" s="26"/>
      <c r="FA340" s="60"/>
      <c r="FB340" s="60"/>
      <c r="FC340" s="60"/>
      <c r="FD340" s="60"/>
      <c r="FE340" s="60"/>
      <c r="FF340" s="60"/>
      <c r="FG340" s="60"/>
      <c r="FH340" s="60"/>
      <c r="FI340" s="60"/>
      <c r="FJ340" s="60"/>
      <c r="FK340" s="60"/>
      <c r="FL340" s="60"/>
      <c r="FM340" s="60"/>
      <c r="FN340" s="60"/>
      <c r="FO340" s="60"/>
      <c r="FP340" s="60"/>
      <c r="FQ340" s="60"/>
      <c r="FR340" s="60"/>
      <c r="FS340" s="60"/>
      <c r="FT340" s="60"/>
      <c r="FU340" s="60"/>
      <c r="FV340" s="60"/>
      <c r="FW340" s="60"/>
      <c r="FX340" s="60"/>
    </row>
    <row r="341">
      <c r="A341" s="18"/>
      <c r="B341" s="14"/>
      <c r="C341" s="14"/>
      <c r="D341" s="14"/>
      <c r="E341" s="18"/>
      <c r="F341" s="18"/>
      <c r="G341" s="18"/>
      <c r="H341" s="18"/>
      <c r="I341" s="18"/>
      <c r="J341" s="18"/>
      <c r="K341" s="18"/>
      <c r="L341" s="18"/>
      <c r="M341" s="18"/>
      <c r="N341" s="18"/>
      <c r="O341" s="18"/>
      <c r="P341" s="23"/>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26"/>
      <c r="EA341" s="26"/>
      <c r="EB341" s="26"/>
      <c r="EC341" s="26"/>
      <c r="ED341" s="26"/>
      <c r="EE341" s="26"/>
      <c r="EF341" s="26"/>
      <c r="EG341" s="26"/>
      <c r="EH341" s="26"/>
      <c r="EI341" s="26"/>
      <c r="EJ341" s="26"/>
      <c r="EK341" s="26"/>
      <c r="EL341" s="26"/>
      <c r="EM341" s="26"/>
      <c r="EN341" s="26"/>
      <c r="EO341" s="26"/>
      <c r="EP341" s="26"/>
      <c r="EQ341" s="26"/>
      <c r="ER341" s="26"/>
      <c r="ES341" s="26"/>
      <c r="ET341" s="26"/>
      <c r="EU341" s="26"/>
      <c r="EV341" s="26"/>
      <c r="EW341" s="26"/>
      <c r="EX341" s="26"/>
      <c r="EY341" s="26"/>
      <c r="EZ341" s="26"/>
      <c r="FA341" s="60"/>
      <c r="FB341" s="60"/>
      <c r="FC341" s="60"/>
      <c r="FD341" s="60"/>
      <c r="FE341" s="60"/>
      <c r="FF341" s="60"/>
      <c r="FG341" s="60"/>
      <c r="FH341" s="60"/>
      <c r="FI341" s="60"/>
      <c r="FJ341" s="60"/>
      <c r="FK341" s="60"/>
      <c r="FL341" s="60"/>
      <c r="FM341" s="60"/>
      <c r="FN341" s="60"/>
      <c r="FO341" s="60"/>
      <c r="FP341" s="60"/>
      <c r="FQ341" s="60"/>
      <c r="FR341" s="60"/>
      <c r="FS341" s="60"/>
      <c r="FT341" s="60"/>
      <c r="FU341" s="60"/>
      <c r="FV341" s="60"/>
      <c r="FW341" s="60"/>
      <c r="FX341" s="60"/>
    </row>
    <row r="342">
      <c r="A342" s="18"/>
      <c r="B342" s="14"/>
      <c r="C342" s="14"/>
      <c r="D342" s="14"/>
      <c r="E342" s="18"/>
      <c r="F342" s="18"/>
      <c r="G342" s="18"/>
      <c r="H342" s="18"/>
      <c r="I342" s="18"/>
      <c r="J342" s="18"/>
      <c r="K342" s="18"/>
      <c r="L342" s="18"/>
      <c r="M342" s="18"/>
      <c r="N342" s="18"/>
      <c r="O342" s="18"/>
      <c r="P342" s="23"/>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26"/>
      <c r="CU342" s="26"/>
      <c r="CV342" s="26"/>
      <c r="CW342" s="26"/>
      <c r="CX342" s="26"/>
      <c r="CY342" s="26"/>
      <c r="CZ342" s="26"/>
      <c r="DA342" s="26"/>
      <c r="DB342" s="26"/>
      <c r="DC342" s="26"/>
      <c r="DD342" s="26"/>
      <c r="DE342" s="26"/>
      <c r="DF342" s="26"/>
      <c r="DG342" s="26"/>
      <c r="DH342" s="26"/>
      <c r="DI342" s="26"/>
      <c r="DJ342" s="26"/>
      <c r="DK342" s="26"/>
      <c r="DL342" s="26"/>
      <c r="DM342" s="26"/>
      <c r="DN342" s="26"/>
      <c r="DO342" s="26"/>
      <c r="DP342" s="26"/>
      <c r="DQ342" s="26"/>
      <c r="DR342" s="26"/>
      <c r="DS342" s="26"/>
      <c r="DT342" s="26"/>
      <c r="DU342" s="26"/>
      <c r="DV342" s="26"/>
      <c r="DW342" s="26"/>
      <c r="DX342" s="26"/>
      <c r="DY342" s="26"/>
      <c r="DZ342" s="26"/>
      <c r="EA342" s="26"/>
      <c r="EB342" s="26"/>
      <c r="EC342" s="26"/>
      <c r="ED342" s="26"/>
      <c r="EE342" s="26"/>
      <c r="EF342" s="26"/>
      <c r="EG342" s="26"/>
      <c r="EH342" s="26"/>
      <c r="EI342" s="26"/>
      <c r="EJ342" s="26"/>
      <c r="EK342" s="26"/>
      <c r="EL342" s="26"/>
      <c r="EM342" s="26"/>
      <c r="EN342" s="26"/>
      <c r="EO342" s="26"/>
      <c r="EP342" s="26"/>
      <c r="EQ342" s="26"/>
      <c r="ER342" s="26"/>
      <c r="ES342" s="26"/>
      <c r="ET342" s="26"/>
      <c r="EU342" s="26"/>
      <c r="EV342" s="26"/>
      <c r="EW342" s="26"/>
      <c r="EX342" s="26"/>
      <c r="EY342" s="26"/>
      <c r="EZ342" s="26"/>
      <c r="FA342" s="60"/>
      <c r="FB342" s="60"/>
      <c r="FC342" s="60"/>
      <c r="FD342" s="60"/>
      <c r="FE342" s="60"/>
      <c r="FF342" s="60"/>
      <c r="FG342" s="60"/>
      <c r="FH342" s="60"/>
      <c r="FI342" s="60"/>
      <c r="FJ342" s="60"/>
      <c r="FK342" s="60"/>
      <c r="FL342" s="60"/>
      <c r="FM342" s="60"/>
      <c r="FN342" s="60"/>
      <c r="FO342" s="60"/>
      <c r="FP342" s="60"/>
      <c r="FQ342" s="60"/>
      <c r="FR342" s="60"/>
      <c r="FS342" s="60"/>
      <c r="FT342" s="60"/>
      <c r="FU342" s="60"/>
      <c r="FV342" s="60"/>
      <c r="FW342" s="60"/>
      <c r="FX342" s="60"/>
    </row>
    <row r="343">
      <c r="A343" s="18"/>
      <c r="B343" s="14"/>
      <c r="C343" s="14"/>
      <c r="D343" s="14"/>
      <c r="E343" s="18"/>
      <c r="F343" s="18"/>
      <c r="G343" s="18"/>
      <c r="H343" s="18"/>
      <c r="I343" s="18"/>
      <c r="J343" s="18"/>
      <c r="K343" s="18"/>
      <c r="L343" s="18"/>
      <c r="M343" s="18"/>
      <c r="N343" s="18"/>
      <c r="O343" s="18"/>
      <c r="P343" s="23"/>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c r="CU343" s="26"/>
      <c r="CV343" s="26"/>
      <c r="CW343" s="26"/>
      <c r="CX343" s="26"/>
      <c r="CY343" s="26"/>
      <c r="CZ343" s="26"/>
      <c r="DA343" s="26"/>
      <c r="DB343" s="26"/>
      <c r="DC343" s="26"/>
      <c r="DD343" s="26"/>
      <c r="DE343" s="26"/>
      <c r="DF343" s="26"/>
      <c r="DG343" s="26"/>
      <c r="DH343" s="26"/>
      <c r="DI343" s="26"/>
      <c r="DJ343" s="26"/>
      <c r="DK343" s="26"/>
      <c r="DL343" s="26"/>
      <c r="DM343" s="26"/>
      <c r="DN343" s="26"/>
      <c r="DO343" s="26"/>
      <c r="DP343" s="26"/>
      <c r="DQ343" s="26"/>
      <c r="DR343" s="26"/>
      <c r="DS343" s="26"/>
      <c r="DT343" s="26"/>
      <c r="DU343" s="26"/>
      <c r="DV343" s="26"/>
      <c r="DW343" s="26"/>
      <c r="DX343" s="26"/>
      <c r="DY343" s="26"/>
      <c r="DZ343" s="26"/>
      <c r="EA343" s="26"/>
      <c r="EB343" s="26"/>
      <c r="EC343" s="26"/>
      <c r="ED343" s="26"/>
      <c r="EE343" s="26"/>
      <c r="EF343" s="26"/>
      <c r="EG343" s="26"/>
      <c r="EH343" s="26"/>
      <c r="EI343" s="26"/>
      <c r="EJ343" s="26"/>
      <c r="EK343" s="26"/>
      <c r="EL343" s="26"/>
      <c r="EM343" s="26"/>
      <c r="EN343" s="26"/>
      <c r="EO343" s="26"/>
      <c r="EP343" s="26"/>
      <c r="EQ343" s="26"/>
      <c r="ER343" s="26"/>
      <c r="ES343" s="26"/>
      <c r="ET343" s="26"/>
      <c r="EU343" s="26"/>
      <c r="EV343" s="26"/>
      <c r="EW343" s="26"/>
      <c r="EX343" s="26"/>
      <c r="EY343" s="26"/>
      <c r="EZ343" s="26"/>
      <c r="FA343" s="60"/>
      <c r="FB343" s="60"/>
      <c r="FC343" s="60"/>
      <c r="FD343" s="60"/>
      <c r="FE343" s="60"/>
      <c r="FF343" s="60"/>
      <c r="FG343" s="60"/>
      <c r="FH343" s="60"/>
      <c r="FI343" s="60"/>
      <c r="FJ343" s="60"/>
      <c r="FK343" s="60"/>
      <c r="FL343" s="60"/>
      <c r="FM343" s="60"/>
      <c r="FN343" s="60"/>
      <c r="FO343" s="60"/>
      <c r="FP343" s="60"/>
      <c r="FQ343" s="60"/>
      <c r="FR343" s="60"/>
      <c r="FS343" s="60"/>
      <c r="FT343" s="60"/>
      <c r="FU343" s="60"/>
      <c r="FV343" s="60"/>
      <c r="FW343" s="60"/>
      <c r="FX343" s="60"/>
    </row>
    <row r="344">
      <c r="A344" s="18"/>
      <c r="B344" s="14"/>
      <c r="C344" s="14"/>
      <c r="D344" s="14"/>
      <c r="E344" s="18"/>
      <c r="F344" s="18"/>
      <c r="G344" s="18"/>
      <c r="H344" s="18"/>
      <c r="I344" s="18"/>
      <c r="J344" s="18"/>
      <c r="K344" s="18"/>
      <c r="L344" s="18"/>
      <c r="M344" s="18"/>
      <c r="N344" s="18"/>
      <c r="O344" s="18"/>
      <c r="P344" s="23"/>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c r="CW344" s="26"/>
      <c r="CX344" s="26"/>
      <c r="CY344" s="26"/>
      <c r="CZ344" s="26"/>
      <c r="DA344" s="26"/>
      <c r="DB344" s="26"/>
      <c r="DC344" s="26"/>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26"/>
      <c r="EA344" s="26"/>
      <c r="EB344" s="26"/>
      <c r="EC344" s="26"/>
      <c r="ED344" s="26"/>
      <c r="EE344" s="26"/>
      <c r="EF344" s="26"/>
      <c r="EG344" s="26"/>
      <c r="EH344" s="26"/>
      <c r="EI344" s="26"/>
      <c r="EJ344" s="26"/>
      <c r="EK344" s="26"/>
      <c r="EL344" s="26"/>
      <c r="EM344" s="26"/>
      <c r="EN344" s="26"/>
      <c r="EO344" s="26"/>
      <c r="EP344" s="26"/>
      <c r="EQ344" s="26"/>
      <c r="ER344" s="26"/>
      <c r="ES344" s="26"/>
      <c r="ET344" s="26"/>
      <c r="EU344" s="26"/>
      <c r="EV344" s="26"/>
      <c r="EW344" s="26"/>
      <c r="EX344" s="26"/>
      <c r="EY344" s="26"/>
      <c r="EZ344" s="26"/>
      <c r="FA344" s="60"/>
      <c r="FB344" s="60"/>
      <c r="FC344" s="60"/>
      <c r="FD344" s="60"/>
      <c r="FE344" s="60"/>
      <c r="FF344" s="60"/>
      <c r="FG344" s="60"/>
      <c r="FH344" s="60"/>
      <c r="FI344" s="60"/>
      <c r="FJ344" s="60"/>
      <c r="FK344" s="60"/>
      <c r="FL344" s="60"/>
      <c r="FM344" s="60"/>
      <c r="FN344" s="60"/>
      <c r="FO344" s="60"/>
      <c r="FP344" s="60"/>
      <c r="FQ344" s="60"/>
      <c r="FR344" s="60"/>
      <c r="FS344" s="60"/>
      <c r="FT344" s="60"/>
      <c r="FU344" s="60"/>
      <c r="FV344" s="60"/>
      <c r="FW344" s="60"/>
      <c r="FX344" s="60"/>
    </row>
    <row r="345">
      <c r="A345" s="18"/>
      <c r="B345" s="14"/>
      <c r="C345" s="14"/>
      <c r="D345" s="14"/>
      <c r="E345" s="18"/>
      <c r="F345" s="18"/>
      <c r="G345" s="18"/>
      <c r="H345" s="18"/>
      <c r="I345" s="18"/>
      <c r="J345" s="18"/>
      <c r="K345" s="18"/>
      <c r="L345" s="18"/>
      <c r="M345" s="18"/>
      <c r="N345" s="18"/>
      <c r="O345" s="18"/>
      <c r="P345" s="23"/>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26"/>
      <c r="EA345" s="26"/>
      <c r="EB345" s="26"/>
      <c r="EC345" s="26"/>
      <c r="ED345" s="26"/>
      <c r="EE345" s="26"/>
      <c r="EF345" s="26"/>
      <c r="EG345" s="26"/>
      <c r="EH345" s="26"/>
      <c r="EI345" s="26"/>
      <c r="EJ345" s="26"/>
      <c r="EK345" s="26"/>
      <c r="EL345" s="26"/>
      <c r="EM345" s="26"/>
      <c r="EN345" s="26"/>
      <c r="EO345" s="26"/>
      <c r="EP345" s="26"/>
      <c r="EQ345" s="26"/>
      <c r="ER345" s="26"/>
      <c r="ES345" s="26"/>
      <c r="ET345" s="26"/>
      <c r="EU345" s="26"/>
      <c r="EV345" s="26"/>
      <c r="EW345" s="26"/>
      <c r="EX345" s="26"/>
      <c r="EY345" s="26"/>
      <c r="EZ345" s="26"/>
      <c r="FA345" s="60"/>
      <c r="FB345" s="60"/>
      <c r="FC345" s="60"/>
      <c r="FD345" s="60"/>
      <c r="FE345" s="60"/>
      <c r="FF345" s="60"/>
      <c r="FG345" s="60"/>
      <c r="FH345" s="60"/>
      <c r="FI345" s="60"/>
      <c r="FJ345" s="60"/>
      <c r="FK345" s="60"/>
      <c r="FL345" s="60"/>
      <c r="FM345" s="60"/>
      <c r="FN345" s="60"/>
      <c r="FO345" s="60"/>
      <c r="FP345" s="60"/>
      <c r="FQ345" s="60"/>
      <c r="FR345" s="60"/>
      <c r="FS345" s="60"/>
      <c r="FT345" s="60"/>
      <c r="FU345" s="60"/>
      <c r="FV345" s="60"/>
      <c r="FW345" s="60"/>
      <c r="FX345" s="60"/>
    </row>
    <row r="346">
      <c r="A346" s="18"/>
      <c r="B346" s="14"/>
      <c r="C346" s="14"/>
      <c r="D346" s="14"/>
      <c r="E346" s="18"/>
      <c r="F346" s="18"/>
      <c r="G346" s="18"/>
      <c r="H346" s="18"/>
      <c r="I346" s="18"/>
      <c r="J346" s="18"/>
      <c r="K346" s="18"/>
      <c r="L346" s="18"/>
      <c r="M346" s="18"/>
      <c r="N346" s="18"/>
      <c r="O346" s="18"/>
      <c r="P346" s="23"/>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26"/>
      <c r="EA346" s="26"/>
      <c r="EB346" s="26"/>
      <c r="EC346" s="26"/>
      <c r="ED346" s="26"/>
      <c r="EE346" s="26"/>
      <c r="EF346" s="26"/>
      <c r="EG346" s="26"/>
      <c r="EH346" s="26"/>
      <c r="EI346" s="26"/>
      <c r="EJ346" s="26"/>
      <c r="EK346" s="26"/>
      <c r="EL346" s="26"/>
      <c r="EM346" s="26"/>
      <c r="EN346" s="26"/>
      <c r="EO346" s="26"/>
      <c r="EP346" s="26"/>
      <c r="EQ346" s="26"/>
      <c r="ER346" s="26"/>
      <c r="ES346" s="26"/>
      <c r="ET346" s="26"/>
      <c r="EU346" s="26"/>
      <c r="EV346" s="26"/>
      <c r="EW346" s="26"/>
      <c r="EX346" s="26"/>
      <c r="EY346" s="26"/>
      <c r="EZ346" s="26"/>
      <c r="FA346" s="60"/>
      <c r="FB346" s="60"/>
      <c r="FC346" s="60"/>
      <c r="FD346" s="60"/>
      <c r="FE346" s="60"/>
      <c r="FF346" s="60"/>
      <c r="FG346" s="60"/>
      <c r="FH346" s="60"/>
      <c r="FI346" s="60"/>
      <c r="FJ346" s="60"/>
      <c r="FK346" s="60"/>
      <c r="FL346" s="60"/>
      <c r="FM346" s="60"/>
      <c r="FN346" s="60"/>
      <c r="FO346" s="60"/>
      <c r="FP346" s="60"/>
      <c r="FQ346" s="60"/>
      <c r="FR346" s="60"/>
      <c r="FS346" s="60"/>
      <c r="FT346" s="60"/>
      <c r="FU346" s="60"/>
      <c r="FV346" s="60"/>
      <c r="FW346" s="60"/>
      <c r="FX346" s="60"/>
    </row>
    <row r="347">
      <c r="A347" s="18"/>
      <c r="B347" s="14"/>
      <c r="C347" s="14"/>
      <c r="D347" s="14"/>
      <c r="E347" s="18"/>
      <c r="F347" s="18"/>
      <c r="G347" s="18"/>
      <c r="H347" s="18"/>
      <c r="I347" s="18"/>
      <c r="J347" s="18"/>
      <c r="K347" s="18"/>
      <c r="L347" s="18"/>
      <c r="M347" s="18"/>
      <c r="N347" s="18"/>
      <c r="O347" s="18"/>
      <c r="P347" s="23"/>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26"/>
      <c r="EA347" s="26"/>
      <c r="EB347" s="26"/>
      <c r="EC347" s="26"/>
      <c r="ED347" s="26"/>
      <c r="EE347" s="26"/>
      <c r="EF347" s="26"/>
      <c r="EG347" s="26"/>
      <c r="EH347" s="26"/>
      <c r="EI347" s="26"/>
      <c r="EJ347" s="26"/>
      <c r="EK347" s="26"/>
      <c r="EL347" s="26"/>
      <c r="EM347" s="26"/>
      <c r="EN347" s="26"/>
      <c r="EO347" s="26"/>
      <c r="EP347" s="26"/>
      <c r="EQ347" s="26"/>
      <c r="ER347" s="26"/>
      <c r="ES347" s="26"/>
      <c r="ET347" s="26"/>
      <c r="EU347" s="26"/>
      <c r="EV347" s="26"/>
      <c r="EW347" s="26"/>
      <c r="EX347" s="26"/>
      <c r="EY347" s="26"/>
      <c r="EZ347" s="26"/>
      <c r="FA347" s="60"/>
      <c r="FB347" s="60"/>
      <c r="FC347" s="60"/>
      <c r="FD347" s="60"/>
      <c r="FE347" s="60"/>
      <c r="FF347" s="60"/>
      <c r="FG347" s="60"/>
      <c r="FH347" s="60"/>
      <c r="FI347" s="60"/>
      <c r="FJ347" s="60"/>
      <c r="FK347" s="60"/>
      <c r="FL347" s="60"/>
      <c r="FM347" s="60"/>
      <c r="FN347" s="60"/>
      <c r="FO347" s="60"/>
      <c r="FP347" s="60"/>
      <c r="FQ347" s="60"/>
      <c r="FR347" s="60"/>
      <c r="FS347" s="60"/>
      <c r="FT347" s="60"/>
      <c r="FU347" s="60"/>
      <c r="FV347" s="60"/>
      <c r="FW347" s="60"/>
      <c r="FX347" s="60"/>
    </row>
    <row r="348">
      <c r="A348" s="18"/>
      <c r="B348" s="14"/>
      <c r="C348" s="14"/>
      <c r="D348" s="14"/>
      <c r="E348" s="18"/>
      <c r="F348" s="18"/>
      <c r="G348" s="18"/>
      <c r="H348" s="18"/>
      <c r="I348" s="18"/>
      <c r="J348" s="18"/>
      <c r="K348" s="18"/>
      <c r="L348" s="18"/>
      <c r="M348" s="18"/>
      <c r="N348" s="18"/>
      <c r="O348" s="18"/>
      <c r="P348" s="23"/>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26"/>
      <c r="EA348" s="26"/>
      <c r="EB348" s="26"/>
      <c r="EC348" s="26"/>
      <c r="ED348" s="26"/>
      <c r="EE348" s="26"/>
      <c r="EF348" s="26"/>
      <c r="EG348" s="26"/>
      <c r="EH348" s="26"/>
      <c r="EI348" s="26"/>
      <c r="EJ348" s="26"/>
      <c r="EK348" s="26"/>
      <c r="EL348" s="26"/>
      <c r="EM348" s="26"/>
      <c r="EN348" s="26"/>
      <c r="EO348" s="26"/>
      <c r="EP348" s="26"/>
      <c r="EQ348" s="26"/>
      <c r="ER348" s="26"/>
      <c r="ES348" s="26"/>
      <c r="ET348" s="26"/>
      <c r="EU348" s="26"/>
      <c r="EV348" s="26"/>
      <c r="EW348" s="26"/>
      <c r="EX348" s="26"/>
      <c r="EY348" s="26"/>
      <c r="EZ348" s="26"/>
      <c r="FA348" s="60"/>
      <c r="FB348" s="60"/>
      <c r="FC348" s="60"/>
      <c r="FD348" s="60"/>
      <c r="FE348" s="60"/>
      <c r="FF348" s="60"/>
      <c r="FG348" s="60"/>
      <c r="FH348" s="60"/>
      <c r="FI348" s="60"/>
      <c r="FJ348" s="60"/>
      <c r="FK348" s="60"/>
      <c r="FL348" s="60"/>
      <c r="FM348" s="60"/>
      <c r="FN348" s="60"/>
      <c r="FO348" s="60"/>
      <c r="FP348" s="60"/>
      <c r="FQ348" s="60"/>
      <c r="FR348" s="60"/>
      <c r="FS348" s="60"/>
      <c r="FT348" s="60"/>
      <c r="FU348" s="60"/>
      <c r="FV348" s="60"/>
      <c r="FW348" s="60"/>
      <c r="FX348" s="60"/>
    </row>
    <row r="349">
      <c r="A349" s="18"/>
      <c r="B349" s="14"/>
      <c r="C349" s="14"/>
      <c r="D349" s="14"/>
      <c r="E349" s="18"/>
      <c r="F349" s="18"/>
      <c r="G349" s="18"/>
      <c r="H349" s="18"/>
      <c r="I349" s="18"/>
      <c r="J349" s="18"/>
      <c r="K349" s="18"/>
      <c r="L349" s="18"/>
      <c r="M349" s="18"/>
      <c r="N349" s="18"/>
      <c r="O349" s="18"/>
      <c r="P349" s="23"/>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26"/>
      <c r="EA349" s="26"/>
      <c r="EB349" s="26"/>
      <c r="EC349" s="26"/>
      <c r="ED349" s="26"/>
      <c r="EE349" s="26"/>
      <c r="EF349" s="26"/>
      <c r="EG349" s="26"/>
      <c r="EH349" s="26"/>
      <c r="EI349" s="26"/>
      <c r="EJ349" s="26"/>
      <c r="EK349" s="26"/>
      <c r="EL349" s="26"/>
      <c r="EM349" s="26"/>
      <c r="EN349" s="26"/>
      <c r="EO349" s="26"/>
      <c r="EP349" s="26"/>
      <c r="EQ349" s="26"/>
      <c r="ER349" s="26"/>
      <c r="ES349" s="26"/>
      <c r="ET349" s="26"/>
      <c r="EU349" s="26"/>
      <c r="EV349" s="26"/>
      <c r="EW349" s="26"/>
      <c r="EX349" s="26"/>
      <c r="EY349" s="26"/>
      <c r="EZ349" s="26"/>
      <c r="FA349" s="60"/>
      <c r="FB349" s="60"/>
      <c r="FC349" s="60"/>
      <c r="FD349" s="60"/>
      <c r="FE349" s="60"/>
      <c r="FF349" s="60"/>
      <c r="FG349" s="60"/>
      <c r="FH349" s="60"/>
      <c r="FI349" s="60"/>
      <c r="FJ349" s="60"/>
      <c r="FK349" s="60"/>
      <c r="FL349" s="60"/>
      <c r="FM349" s="60"/>
      <c r="FN349" s="60"/>
      <c r="FO349" s="60"/>
      <c r="FP349" s="60"/>
      <c r="FQ349" s="60"/>
      <c r="FR349" s="60"/>
      <c r="FS349" s="60"/>
      <c r="FT349" s="60"/>
      <c r="FU349" s="60"/>
      <c r="FV349" s="60"/>
      <c r="FW349" s="60"/>
      <c r="FX349" s="60"/>
    </row>
    <row r="350">
      <c r="A350" s="18"/>
      <c r="B350" s="14"/>
      <c r="C350" s="14"/>
      <c r="D350" s="14"/>
      <c r="E350" s="18"/>
      <c r="F350" s="18"/>
      <c r="G350" s="18"/>
      <c r="H350" s="18"/>
      <c r="I350" s="18"/>
      <c r="J350" s="18"/>
      <c r="K350" s="18"/>
      <c r="L350" s="18"/>
      <c r="M350" s="18"/>
      <c r="N350" s="18"/>
      <c r="O350" s="18"/>
      <c r="P350" s="23"/>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26"/>
      <c r="EA350" s="26"/>
      <c r="EB350" s="26"/>
      <c r="EC350" s="26"/>
      <c r="ED350" s="26"/>
      <c r="EE350" s="26"/>
      <c r="EF350" s="26"/>
      <c r="EG350" s="26"/>
      <c r="EH350" s="26"/>
      <c r="EI350" s="26"/>
      <c r="EJ350" s="26"/>
      <c r="EK350" s="26"/>
      <c r="EL350" s="26"/>
      <c r="EM350" s="26"/>
      <c r="EN350" s="26"/>
      <c r="EO350" s="26"/>
      <c r="EP350" s="26"/>
      <c r="EQ350" s="26"/>
      <c r="ER350" s="26"/>
      <c r="ES350" s="26"/>
      <c r="ET350" s="26"/>
      <c r="EU350" s="26"/>
      <c r="EV350" s="26"/>
      <c r="EW350" s="26"/>
      <c r="EX350" s="26"/>
      <c r="EY350" s="26"/>
      <c r="EZ350" s="26"/>
      <c r="FA350" s="60"/>
      <c r="FB350" s="60"/>
      <c r="FC350" s="60"/>
      <c r="FD350" s="60"/>
      <c r="FE350" s="60"/>
      <c r="FF350" s="60"/>
      <c r="FG350" s="60"/>
      <c r="FH350" s="60"/>
      <c r="FI350" s="60"/>
      <c r="FJ350" s="60"/>
      <c r="FK350" s="60"/>
      <c r="FL350" s="60"/>
      <c r="FM350" s="60"/>
      <c r="FN350" s="60"/>
      <c r="FO350" s="60"/>
      <c r="FP350" s="60"/>
      <c r="FQ350" s="60"/>
      <c r="FR350" s="60"/>
      <c r="FS350" s="60"/>
      <c r="FT350" s="60"/>
      <c r="FU350" s="60"/>
      <c r="FV350" s="60"/>
      <c r="FW350" s="60"/>
      <c r="FX350" s="60"/>
    </row>
    <row r="351">
      <c r="A351" s="18"/>
      <c r="B351" s="14"/>
      <c r="C351" s="14"/>
      <c r="D351" s="14"/>
      <c r="E351" s="18"/>
      <c r="F351" s="18"/>
      <c r="G351" s="18"/>
      <c r="H351" s="18"/>
      <c r="I351" s="18"/>
      <c r="J351" s="18"/>
      <c r="K351" s="18"/>
      <c r="L351" s="18"/>
      <c r="M351" s="18"/>
      <c r="N351" s="18"/>
      <c r="O351" s="18"/>
      <c r="P351" s="23"/>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26"/>
      <c r="EA351" s="26"/>
      <c r="EB351" s="26"/>
      <c r="EC351" s="26"/>
      <c r="ED351" s="26"/>
      <c r="EE351" s="26"/>
      <c r="EF351" s="26"/>
      <c r="EG351" s="26"/>
      <c r="EH351" s="26"/>
      <c r="EI351" s="26"/>
      <c r="EJ351" s="26"/>
      <c r="EK351" s="26"/>
      <c r="EL351" s="26"/>
      <c r="EM351" s="26"/>
      <c r="EN351" s="26"/>
      <c r="EO351" s="26"/>
      <c r="EP351" s="26"/>
      <c r="EQ351" s="26"/>
      <c r="ER351" s="26"/>
      <c r="ES351" s="26"/>
      <c r="ET351" s="26"/>
      <c r="EU351" s="26"/>
      <c r="EV351" s="26"/>
      <c r="EW351" s="26"/>
      <c r="EX351" s="26"/>
      <c r="EY351" s="26"/>
      <c r="EZ351" s="26"/>
      <c r="FA351" s="60"/>
      <c r="FB351" s="60"/>
      <c r="FC351" s="60"/>
      <c r="FD351" s="60"/>
      <c r="FE351" s="60"/>
      <c r="FF351" s="60"/>
      <c r="FG351" s="60"/>
      <c r="FH351" s="60"/>
      <c r="FI351" s="60"/>
      <c r="FJ351" s="60"/>
      <c r="FK351" s="60"/>
      <c r="FL351" s="60"/>
      <c r="FM351" s="60"/>
      <c r="FN351" s="60"/>
      <c r="FO351" s="60"/>
      <c r="FP351" s="60"/>
      <c r="FQ351" s="60"/>
      <c r="FR351" s="60"/>
      <c r="FS351" s="60"/>
      <c r="FT351" s="60"/>
      <c r="FU351" s="60"/>
      <c r="FV351" s="60"/>
      <c r="FW351" s="60"/>
      <c r="FX351" s="60"/>
    </row>
    <row r="352">
      <c r="A352" s="18"/>
      <c r="B352" s="14"/>
      <c r="C352" s="14"/>
      <c r="D352" s="14"/>
      <c r="E352" s="18"/>
      <c r="F352" s="18"/>
      <c r="G352" s="18"/>
      <c r="H352" s="18"/>
      <c r="I352" s="18"/>
      <c r="J352" s="18"/>
      <c r="K352" s="18"/>
      <c r="L352" s="18"/>
      <c r="M352" s="18"/>
      <c r="N352" s="18"/>
      <c r="O352" s="18"/>
      <c r="P352" s="23"/>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26"/>
      <c r="EA352" s="26"/>
      <c r="EB352" s="26"/>
      <c r="EC352" s="26"/>
      <c r="ED352" s="26"/>
      <c r="EE352" s="26"/>
      <c r="EF352" s="26"/>
      <c r="EG352" s="26"/>
      <c r="EH352" s="26"/>
      <c r="EI352" s="26"/>
      <c r="EJ352" s="26"/>
      <c r="EK352" s="26"/>
      <c r="EL352" s="26"/>
      <c r="EM352" s="26"/>
      <c r="EN352" s="26"/>
      <c r="EO352" s="26"/>
      <c r="EP352" s="26"/>
      <c r="EQ352" s="26"/>
      <c r="ER352" s="26"/>
      <c r="ES352" s="26"/>
      <c r="ET352" s="26"/>
      <c r="EU352" s="26"/>
      <c r="EV352" s="26"/>
      <c r="EW352" s="26"/>
      <c r="EX352" s="26"/>
      <c r="EY352" s="26"/>
      <c r="EZ352" s="26"/>
      <c r="FA352" s="60"/>
      <c r="FB352" s="60"/>
      <c r="FC352" s="60"/>
      <c r="FD352" s="60"/>
      <c r="FE352" s="60"/>
      <c r="FF352" s="60"/>
      <c r="FG352" s="60"/>
      <c r="FH352" s="60"/>
      <c r="FI352" s="60"/>
      <c r="FJ352" s="60"/>
      <c r="FK352" s="60"/>
      <c r="FL352" s="60"/>
      <c r="FM352" s="60"/>
      <c r="FN352" s="60"/>
      <c r="FO352" s="60"/>
      <c r="FP352" s="60"/>
      <c r="FQ352" s="60"/>
      <c r="FR352" s="60"/>
      <c r="FS352" s="60"/>
      <c r="FT352" s="60"/>
      <c r="FU352" s="60"/>
      <c r="FV352" s="60"/>
      <c r="FW352" s="60"/>
      <c r="FX352" s="60"/>
    </row>
    <row r="353">
      <c r="A353" s="18"/>
      <c r="B353" s="14"/>
      <c r="C353" s="14"/>
      <c r="D353" s="14"/>
      <c r="E353" s="18"/>
      <c r="F353" s="18"/>
      <c r="G353" s="18"/>
      <c r="H353" s="18"/>
      <c r="I353" s="18"/>
      <c r="J353" s="18"/>
      <c r="K353" s="18"/>
      <c r="L353" s="18"/>
      <c r="M353" s="18"/>
      <c r="N353" s="18"/>
      <c r="O353" s="18"/>
      <c r="P353" s="23"/>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60"/>
      <c r="FB353" s="60"/>
      <c r="FC353" s="60"/>
      <c r="FD353" s="60"/>
      <c r="FE353" s="60"/>
      <c r="FF353" s="60"/>
      <c r="FG353" s="60"/>
      <c r="FH353" s="60"/>
      <c r="FI353" s="60"/>
      <c r="FJ353" s="60"/>
      <c r="FK353" s="60"/>
      <c r="FL353" s="60"/>
      <c r="FM353" s="60"/>
      <c r="FN353" s="60"/>
      <c r="FO353" s="60"/>
      <c r="FP353" s="60"/>
      <c r="FQ353" s="60"/>
      <c r="FR353" s="60"/>
      <c r="FS353" s="60"/>
      <c r="FT353" s="60"/>
      <c r="FU353" s="60"/>
      <c r="FV353" s="60"/>
      <c r="FW353" s="60"/>
      <c r="FX353" s="60"/>
    </row>
    <row r="354">
      <c r="A354" s="18"/>
      <c r="B354" s="14"/>
      <c r="C354" s="14"/>
      <c r="D354" s="14"/>
      <c r="E354" s="18"/>
      <c r="F354" s="18"/>
      <c r="G354" s="18"/>
      <c r="H354" s="18"/>
      <c r="I354" s="18"/>
      <c r="J354" s="18"/>
      <c r="K354" s="18"/>
      <c r="L354" s="18"/>
      <c r="M354" s="18"/>
      <c r="N354" s="18"/>
      <c r="O354" s="18"/>
      <c r="P354" s="23"/>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26"/>
      <c r="EA354" s="26"/>
      <c r="EB354" s="26"/>
      <c r="EC354" s="26"/>
      <c r="ED354" s="26"/>
      <c r="EE354" s="26"/>
      <c r="EF354" s="26"/>
      <c r="EG354" s="26"/>
      <c r="EH354" s="26"/>
      <c r="EI354" s="26"/>
      <c r="EJ354" s="26"/>
      <c r="EK354" s="26"/>
      <c r="EL354" s="26"/>
      <c r="EM354" s="26"/>
      <c r="EN354" s="26"/>
      <c r="EO354" s="26"/>
      <c r="EP354" s="26"/>
      <c r="EQ354" s="26"/>
      <c r="ER354" s="26"/>
      <c r="ES354" s="26"/>
      <c r="ET354" s="26"/>
      <c r="EU354" s="26"/>
      <c r="EV354" s="26"/>
      <c r="EW354" s="26"/>
      <c r="EX354" s="26"/>
      <c r="EY354" s="26"/>
      <c r="EZ354" s="26"/>
      <c r="FA354" s="60"/>
      <c r="FB354" s="60"/>
      <c r="FC354" s="60"/>
      <c r="FD354" s="60"/>
      <c r="FE354" s="60"/>
      <c r="FF354" s="60"/>
      <c r="FG354" s="60"/>
      <c r="FH354" s="60"/>
      <c r="FI354" s="60"/>
      <c r="FJ354" s="60"/>
      <c r="FK354" s="60"/>
      <c r="FL354" s="60"/>
      <c r="FM354" s="60"/>
      <c r="FN354" s="60"/>
      <c r="FO354" s="60"/>
      <c r="FP354" s="60"/>
      <c r="FQ354" s="60"/>
      <c r="FR354" s="60"/>
      <c r="FS354" s="60"/>
      <c r="FT354" s="60"/>
      <c r="FU354" s="60"/>
      <c r="FV354" s="60"/>
      <c r="FW354" s="60"/>
      <c r="FX354" s="60"/>
    </row>
    <row r="355">
      <c r="A355" s="18"/>
      <c r="B355" s="14"/>
      <c r="C355" s="14"/>
      <c r="D355" s="14"/>
      <c r="E355" s="18"/>
      <c r="F355" s="18"/>
      <c r="G355" s="18"/>
      <c r="H355" s="18"/>
      <c r="I355" s="18"/>
      <c r="J355" s="18"/>
      <c r="K355" s="18"/>
      <c r="L355" s="18"/>
      <c r="M355" s="18"/>
      <c r="N355" s="18"/>
      <c r="O355" s="18"/>
      <c r="P355" s="23"/>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26"/>
      <c r="EA355" s="26"/>
      <c r="EB355" s="26"/>
      <c r="EC355" s="26"/>
      <c r="ED355" s="26"/>
      <c r="EE355" s="26"/>
      <c r="EF355" s="26"/>
      <c r="EG355" s="26"/>
      <c r="EH355" s="26"/>
      <c r="EI355" s="26"/>
      <c r="EJ355" s="26"/>
      <c r="EK355" s="26"/>
      <c r="EL355" s="26"/>
      <c r="EM355" s="26"/>
      <c r="EN355" s="26"/>
      <c r="EO355" s="26"/>
      <c r="EP355" s="26"/>
      <c r="EQ355" s="26"/>
      <c r="ER355" s="26"/>
      <c r="ES355" s="26"/>
      <c r="ET355" s="26"/>
      <c r="EU355" s="26"/>
      <c r="EV355" s="26"/>
      <c r="EW355" s="26"/>
      <c r="EX355" s="26"/>
      <c r="EY355" s="26"/>
      <c r="EZ355" s="26"/>
      <c r="FA355" s="60"/>
      <c r="FB355" s="60"/>
      <c r="FC355" s="60"/>
      <c r="FD355" s="60"/>
      <c r="FE355" s="60"/>
      <c r="FF355" s="60"/>
      <c r="FG355" s="60"/>
      <c r="FH355" s="60"/>
      <c r="FI355" s="60"/>
      <c r="FJ355" s="60"/>
      <c r="FK355" s="60"/>
      <c r="FL355" s="60"/>
      <c r="FM355" s="60"/>
      <c r="FN355" s="60"/>
      <c r="FO355" s="60"/>
      <c r="FP355" s="60"/>
      <c r="FQ355" s="60"/>
      <c r="FR355" s="60"/>
      <c r="FS355" s="60"/>
      <c r="FT355" s="60"/>
      <c r="FU355" s="60"/>
      <c r="FV355" s="60"/>
      <c r="FW355" s="60"/>
      <c r="FX355" s="60"/>
    </row>
    <row r="356">
      <c r="A356" s="18"/>
      <c r="B356" s="14"/>
      <c r="C356" s="14"/>
      <c r="D356" s="14"/>
      <c r="E356" s="18"/>
      <c r="F356" s="18"/>
      <c r="G356" s="18"/>
      <c r="H356" s="18"/>
      <c r="I356" s="18"/>
      <c r="J356" s="18"/>
      <c r="K356" s="18"/>
      <c r="L356" s="18"/>
      <c r="M356" s="18"/>
      <c r="N356" s="18"/>
      <c r="O356" s="18"/>
      <c r="P356" s="23"/>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26"/>
      <c r="EA356" s="26"/>
      <c r="EB356" s="26"/>
      <c r="EC356" s="26"/>
      <c r="ED356" s="26"/>
      <c r="EE356" s="26"/>
      <c r="EF356" s="26"/>
      <c r="EG356" s="26"/>
      <c r="EH356" s="26"/>
      <c r="EI356" s="26"/>
      <c r="EJ356" s="26"/>
      <c r="EK356" s="26"/>
      <c r="EL356" s="26"/>
      <c r="EM356" s="26"/>
      <c r="EN356" s="26"/>
      <c r="EO356" s="26"/>
      <c r="EP356" s="26"/>
      <c r="EQ356" s="26"/>
      <c r="ER356" s="26"/>
      <c r="ES356" s="26"/>
      <c r="ET356" s="26"/>
      <c r="EU356" s="26"/>
      <c r="EV356" s="26"/>
      <c r="EW356" s="26"/>
      <c r="EX356" s="26"/>
      <c r="EY356" s="26"/>
      <c r="EZ356" s="26"/>
      <c r="FA356" s="60"/>
      <c r="FB356" s="60"/>
      <c r="FC356" s="60"/>
      <c r="FD356" s="60"/>
      <c r="FE356" s="60"/>
      <c r="FF356" s="60"/>
      <c r="FG356" s="60"/>
      <c r="FH356" s="60"/>
      <c r="FI356" s="60"/>
      <c r="FJ356" s="60"/>
      <c r="FK356" s="60"/>
      <c r="FL356" s="60"/>
      <c r="FM356" s="60"/>
      <c r="FN356" s="60"/>
      <c r="FO356" s="60"/>
      <c r="FP356" s="60"/>
      <c r="FQ356" s="60"/>
      <c r="FR356" s="60"/>
      <c r="FS356" s="60"/>
      <c r="FT356" s="60"/>
      <c r="FU356" s="60"/>
      <c r="FV356" s="60"/>
      <c r="FW356" s="60"/>
      <c r="FX356" s="60"/>
    </row>
    <row r="357">
      <c r="A357" s="18"/>
      <c r="B357" s="14"/>
      <c r="C357" s="14"/>
      <c r="D357" s="14"/>
      <c r="E357" s="18"/>
      <c r="F357" s="18"/>
      <c r="G357" s="18"/>
      <c r="H357" s="18"/>
      <c r="I357" s="18"/>
      <c r="J357" s="18"/>
      <c r="K357" s="18"/>
      <c r="L357" s="18"/>
      <c r="M357" s="18"/>
      <c r="N357" s="18"/>
      <c r="O357" s="18"/>
      <c r="P357" s="23"/>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26"/>
      <c r="EA357" s="26"/>
      <c r="EB357" s="26"/>
      <c r="EC357" s="26"/>
      <c r="ED357" s="26"/>
      <c r="EE357" s="26"/>
      <c r="EF357" s="26"/>
      <c r="EG357" s="26"/>
      <c r="EH357" s="26"/>
      <c r="EI357" s="26"/>
      <c r="EJ357" s="26"/>
      <c r="EK357" s="26"/>
      <c r="EL357" s="26"/>
      <c r="EM357" s="26"/>
      <c r="EN357" s="26"/>
      <c r="EO357" s="26"/>
      <c r="EP357" s="26"/>
      <c r="EQ357" s="26"/>
      <c r="ER357" s="26"/>
      <c r="ES357" s="26"/>
      <c r="ET357" s="26"/>
      <c r="EU357" s="26"/>
      <c r="EV357" s="26"/>
      <c r="EW357" s="26"/>
      <c r="EX357" s="26"/>
      <c r="EY357" s="26"/>
      <c r="EZ357" s="26"/>
      <c r="FA357" s="60"/>
      <c r="FB357" s="60"/>
      <c r="FC357" s="60"/>
      <c r="FD357" s="60"/>
      <c r="FE357" s="60"/>
      <c r="FF357" s="60"/>
      <c r="FG357" s="60"/>
      <c r="FH357" s="60"/>
      <c r="FI357" s="60"/>
      <c r="FJ357" s="60"/>
      <c r="FK357" s="60"/>
      <c r="FL357" s="60"/>
      <c r="FM357" s="60"/>
      <c r="FN357" s="60"/>
      <c r="FO357" s="60"/>
      <c r="FP357" s="60"/>
      <c r="FQ357" s="60"/>
      <c r="FR357" s="60"/>
      <c r="FS357" s="60"/>
      <c r="FT357" s="60"/>
      <c r="FU357" s="60"/>
      <c r="FV357" s="60"/>
      <c r="FW357" s="60"/>
      <c r="FX357" s="60"/>
    </row>
    <row r="358">
      <c r="A358" s="18"/>
      <c r="B358" s="14"/>
      <c r="C358" s="14"/>
      <c r="D358" s="14"/>
      <c r="E358" s="18"/>
      <c r="F358" s="18"/>
      <c r="G358" s="18"/>
      <c r="H358" s="18"/>
      <c r="I358" s="18"/>
      <c r="J358" s="18"/>
      <c r="K358" s="18"/>
      <c r="L358" s="18"/>
      <c r="M358" s="18"/>
      <c r="N358" s="18"/>
      <c r="O358" s="18"/>
      <c r="P358" s="23"/>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26"/>
      <c r="EA358" s="26"/>
      <c r="EB358" s="26"/>
      <c r="EC358" s="26"/>
      <c r="ED358" s="26"/>
      <c r="EE358" s="26"/>
      <c r="EF358" s="26"/>
      <c r="EG358" s="26"/>
      <c r="EH358" s="26"/>
      <c r="EI358" s="26"/>
      <c r="EJ358" s="26"/>
      <c r="EK358" s="26"/>
      <c r="EL358" s="26"/>
      <c r="EM358" s="26"/>
      <c r="EN358" s="26"/>
      <c r="EO358" s="26"/>
      <c r="EP358" s="26"/>
      <c r="EQ358" s="26"/>
      <c r="ER358" s="26"/>
      <c r="ES358" s="26"/>
      <c r="ET358" s="26"/>
      <c r="EU358" s="26"/>
      <c r="EV358" s="26"/>
      <c r="EW358" s="26"/>
      <c r="EX358" s="26"/>
      <c r="EY358" s="26"/>
      <c r="EZ358" s="26"/>
      <c r="FA358" s="60"/>
      <c r="FB358" s="60"/>
      <c r="FC358" s="60"/>
      <c r="FD358" s="60"/>
      <c r="FE358" s="60"/>
      <c r="FF358" s="60"/>
      <c r="FG358" s="60"/>
      <c r="FH358" s="60"/>
      <c r="FI358" s="60"/>
      <c r="FJ358" s="60"/>
      <c r="FK358" s="60"/>
      <c r="FL358" s="60"/>
      <c r="FM358" s="60"/>
      <c r="FN358" s="60"/>
      <c r="FO358" s="60"/>
      <c r="FP358" s="60"/>
      <c r="FQ358" s="60"/>
      <c r="FR358" s="60"/>
      <c r="FS358" s="60"/>
      <c r="FT358" s="60"/>
      <c r="FU358" s="60"/>
      <c r="FV358" s="60"/>
      <c r="FW358" s="60"/>
      <c r="FX358" s="60"/>
    </row>
    <row r="359">
      <c r="A359" s="18"/>
      <c r="B359" s="14"/>
      <c r="C359" s="14"/>
      <c r="D359" s="14"/>
      <c r="E359" s="18"/>
      <c r="F359" s="18"/>
      <c r="G359" s="18"/>
      <c r="H359" s="18"/>
      <c r="I359" s="18"/>
      <c r="J359" s="18"/>
      <c r="K359" s="18"/>
      <c r="L359" s="18"/>
      <c r="M359" s="18"/>
      <c r="N359" s="18"/>
      <c r="O359" s="18"/>
      <c r="P359" s="23"/>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26"/>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26"/>
      <c r="EA359" s="26"/>
      <c r="EB359" s="26"/>
      <c r="EC359" s="26"/>
      <c r="ED359" s="26"/>
      <c r="EE359" s="26"/>
      <c r="EF359" s="26"/>
      <c r="EG359" s="26"/>
      <c r="EH359" s="26"/>
      <c r="EI359" s="26"/>
      <c r="EJ359" s="26"/>
      <c r="EK359" s="26"/>
      <c r="EL359" s="26"/>
      <c r="EM359" s="26"/>
      <c r="EN359" s="26"/>
      <c r="EO359" s="26"/>
      <c r="EP359" s="26"/>
      <c r="EQ359" s="26"/>
      <c r="ER359" s="26"/>
      <c r="ES359" s="26"/>
      <c r="ET359" s="26"/>
      <c r="EU359" s="26"/>
      <c r="EV359" s="26"/>
      <c r="EW359" s="26"/>
      <c r="EX359" s="26"/>
      <c r="EY359" s="26"/>
      <c r="EZ359" s="26"/>
      <c r="FA359" s="60"/>
      <c r="FB359" s="60"/>
      <c r="FC359" s="60"/>
      <c r="FD359" s="60"/>
      <c r="FE359" s="60"/>
      <c r="FF359" s="60"/>
      <c r="FG359" s="60"/>
      <c r="FH359" s="60"/>
      <c r="FI359" s="60"/>
      <c r="FJ359" s="60"/>
      <c r="FK359" s="60"/>
      <c r="FL359" s="60"/>
      <c r="FM359" s="60"/>
      <c r="FN359" s="60"/>
      <c r="FO359" s="60"/>
      <c r="FP359" s="60"/>
      <c r="FQ359" s="60"/>
      <c r="FR359" s="60"/>
      <c r="FS359" s="60"/>
      <c r="FT359" s="60"/>
      <c r="FU359" s="60"/>
      <c r="FV359" s="60"/>
      <c r="FW359" s="60"/>
      <c r="FX359" s="60"/>
    </row>
    <row r="360">
      <c r="A360" s="18"/>
      <c r="B360" s="14"/>
      <c r="C360" s="14"/>
      <c r="D360" s="14"/>
      <c r="E360" s="18"/>
      <c r="F360" s="18"/>
      <c r="G360" s="18"/>
      <c r="H360" s="18"/>
      <c r="I360" s="18"/>
      <c r="J360" s="18"/>
      <c r="K360" s="18"/>
      <c r="L360" s="18"/>
      <c r="M360" s="18"/>
      <c r="N360" s="18"/>
      <c r="O360" s="18"/>
      <c r="P360" s="23"/>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26"/>
      <c r="EA360" s="26"/>
      <c r="EB360" s="26"/>
      <c r="EC360" s="26"/>
      <c r="ED360" s="26"/>
      <c r="EE360" s="26"/>
      <c r="EF360" s="26"/>
      <c r="EG360" s="26"/>
      <c r="EH360" s="26"/>
      <c r="EI360" s="26"/>
      <c r="EJ360" s="26"/>
      <c r="EK360" s="26"/>
      <c r="EL360" s="26"/>
      <c r="EM360" s="26"/>
      <c r="EN360" s="26"/>
      <c r="EO360" s="26"/>
      <c r="EP360" s="26"/>
      <c r="EQ360" s="26"/>
      <c r="ER360" s="26"/>
      <c r="ES360" s="26"/>
      <c r="ET360" s="26"/>
      <c r="EU360" s="26"/>
      <c r="EV360" s="26"/>
      <c r="EW360" s="26"/>
      <c r="EX360" s="26"/>
      <c r="EY360" s="26"/>
      <c r="EZ360" s="26"/>
      <c r="FA360" s="60"/>
      <c r="FB360" s="60"/>
      <c r="FC360" s="60"/>
      <c r="FD360" s="60"/>
      <c r="FE360" s="60"/>
      <c r="FF360" s="60"/>
      <c r="FG360" s="60"/>
      <c r="FH360" s="60"/>
      <c r="FI360" s="60"/>
      <c r="FJ360" s="60"/>
      <c r="FK360" s="60"/>
      <c r="FL360" s="60"/>
      <c r="FM360" s="60"/>
      <c r="FN360" s="60"/>
      <c r="FO360" s="60"/>
      <c r="FP360" s="60"/>
      <c r="FQ360" s="60"/>
      <c r="FR360" s="60"/>
      <c r="FS360" s="60"/>
      <c r="FT360" s="60"/>
      <c r="FU360" s="60"/>
      <c r="FV360" s="60"/>
      <c r="FW360" s="60"/>
      <c r="FX360" s="60"/>
    </row>
    <row r="361">
      <c r="A361" s="18"/>
      <c r="B361" s="14"/>
      <c r="C361" s="14"/>
      <c r="D361" s="14"/>
      <c r="E361" s="18"/>
      <c r="F361" s="18"/>
      <c r="G361" s="18"/>
      <c r="H361" s="18"/>
      <c r="I361" s="18"/>
      <c r="J361" s="18"/>
      <c r="K361" s="18"/>
      <c r="L361" s="18"/>
      <c r="M361" s="18"/>
      <c r="N361" s="18"/>
      <c r="O361" s="18"/>
      <c r="P361" s="23"/>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26"/>
      <c r="EA361" s="26"/>
      <c r="EB361" s="26"/>
      <c r="EC361" s="26"/>
      <c r="ED361" s="26"/>
      <c r="EE361" s="26"/>
      <c r="EF361" s="26"/>
      <c r="EG361" s="26"/>
      <c r="EH361" s="26"/>
      <c r="EI361" s="26"/>
      <c r="EJ361" s="26"/>
      <c r="EK361" s="26"/>
      <c r="EL361" s="26"/>
      <c r="EM361" s="26"/>
      <c r="EN361" s="26"/>
      <c r="EO361" s="26"/>
      <c r="EP361" s="26"/>
      <c r="EQ361" s="26"/>
      <c r="ER361" s="26"/>
      <c r="ES361" s="26"/>
      <c r="ET361" s="26"/>
      <c r="EU361" s="26"/>
      <c r="EV361" s="26"/>
      <c r="EW361" s="26"/>
      <c r="EX361" s="26"/>
      <c r="EY361" s="26"/>
      <c r="EZ361" s="26"/>
      <c r="FA361" s="60"/>
      <c r="FB361" s="60"/>
      <c r="FC361" s="60"/>
      <c r="FD361" s="60"/>
      <c r="FE361" s="60"/>
      <c r="FF361" s="60"/>
      <c r="FG361" s="60"/>
      <c r="FH361" s="60"/>
      <c r="FI361" s="60"/>
      <c r="FJ361" s="60"/>
      <c r="FK361" s="60"/>
      <c r="FL361" s="60"/>
      <c r="FM361" s="60"/>
      <c r="FN361" s="60"/>
      <c r="FO361" s="60"/>
      <c r="FP361" s="60"/>
      <c r="FQ361" s="60"/>
      <c r="FR361" s="60"/>
      <c r="FS361" s="60"/>
      <c r="FT361" s="60"/>
      <c r="FU361" s="60"/>
      <c r="FV361" s="60"/>
      <c r="FW361" s="60"/>
      <c r="FX361" s="60"/>
    </row>
    <row r="362">
      <c r="A362" s="18"/>
      <c r="B362" s="14"/>
      <c r="C362" s="14"/>
      <c r="D362" s="14"/>
      <c r="E362" s="18"/>
      <c r="F362" s="18"/>
      <c r="G362" s="18"/>
      <c r="H362" s="18"/>
      <c r="I362" s="18"/>
      <c r="J362" s="18"/>
      <c r="K362" s="18"/>
      <c r="L362" s="18"/>
      <c r="M362" s="18"/>
      <c r="N362" s="18"/>
      <c r="O362" s="18"/>
      <c r="P362" s="23"/>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26"/>
      <c r="EA362" s="26"/>
      <c r="EB362" s="26"/>
      <c r="EC362" s="26"/>
      <c r="ED362" s="26"/>
      <c r="EE362" s="26"/>
      <c r="EF362" s="26"/>
      <c r="EG362" s="26"/>
      <c r="EH362" s="26"/>
      <c r="EI362" s="26"/>
      <c r="EJ362" s="26"/>
      <c r="EK362" s="26"/>
      <c r="EL362" s="26"/>
      <c r="EM362" s="26"/>
      <c r="EN362" s="26"/>
      <c r="EO362" s="26"/>
      <c r="EP362" s="26"/>
      <c r="EQ362" s="26"/>
      <c r="ER362" s="26"/>
      <c r="ES362" s="26"/>
      <c r="ET362" s="26"/>
      <c r="EU362" s="26"/>
      <c r="EV362" s="26"/>
      <c r="EW362" s="26"/>
      <c r="EX362" s="26"/>
      <c r="EY362" s="26"/>
      <c r="EZ362" s="26"/>
      <c r="FA362" s="60"/>
      <c r="FB362" s="60"/>
      <c r="FC362" s="60"/>
      <c r="FD362" s="60"/>
      <c r="FE362" s="60"/>
      <c r="FF362" s="60"/>
      <c r="FG362" s="60"/>
      <c r="FH362" s="60"/>
      <c r="FI362" s="60"/>
      <c r="FJ362" s="60"/>
      <c r="FK362" s="60"/>
      <c r="FL362" s="60"/>
      <c r="FM362" s="60"/>
      <c r="FN362" s="60"/>
      <c r="FO362" s="60"/>
      <c r="FP362" s="60"/>
      <c r="FQ362" s="60"/>
      <c r="FR362" s="60"/>
      <c r="FS362" s="60"/>
      <c r="FT362" s="60"/>
      <c r="FU362" s="60"/>
      <c r="FV362" s="60"/>
      <c r="FW362" s="60"/>
      <c r="FX362" s="60"/>
    </row>
    <row r="363">
      <c r="A363" s="18"/>
      <c r="B363" s="14"/>
      <c r="C363" s="14"/>
      <c r="D363" s="14"/>
      <c r="E363" s="18"/>
      <c r="F363" s="18"/>
      <c r="G363" s="18"/>
      <c r="H363" s="18"/>
      <c r="I363" s="18"/>
      <c r="J363" s="18"/>
      <c r="K363" s="18"/>
      <c r="L363" s="18"/>
      <c r="M363" s="18"/>
      <c r="N363" s="18"/>
      <c r="O363" s="18"/>
      <c r="P363" s="23"/>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26"/>
      <c r="EA363" s="26"/>
      <c r="EB363" s="26"/>
      <c r="EC363" s="26"/>
      <c r="ED363" s="26"/>
      <c r="EE363" s="26"/>
      <c r="EF363" s="26"/>
      <c r="EG363" s="26"/>
      <c r="EH363" s="26"/>
      <c r="EI363" s="26"/>
      <c r="EJ363" s="26"/>
      <c r="EK363" s="26"/>
      <c r="EL363" s="26"/>
      <c r="EM363" s="26"/>
      <c r="EN363" s="26"/>
      <c r="EO363" s="26"/>
      <c r="EP363" s="26"/>
      <c r="EQ363" s="26"/>
      <c r="ER363" s="26"/>
      <c r="ES363" s="26"/>
      <c r="ET363" s="26"/>
      <c r="EU363" s="26"/>
      <c r="EV363" s="26"/>
      <c r="EW363" s="26"/>
      <c r="EX363" s="26"/>
      <c r="EY363" s="26"/>
      <c r="EZ363" s="26"/>
      <c r="FA363" s="60"/>
      <c r="FB363" s="60"/>
      <c r="FC363" s="60"/>
      <c r="FD363" s="60"/>
      <c r="FE363" s="60"/>
      <c r="FF363" s="60"/>
      <c r="FG363" s="60"/>
      <c r="FH363" s="60"/>
      <c r="FI363" s="60"/>
      <c r="FJ363" s="60"/>
      <c r="FK363" s="60"/>
      <c r="FL363" s="60"/>
      <c r="FM363" s="60"/>
      <c r="FN363" s="60"/>
      <c r="FO363" s="60"/>
      <c r="FP363" s="60"/>
      <c r="FQ363" s="60"/>
      <c r="FR363" s="60"/>
      <c r="FS363" s="60"/>
      <c r="FT363" s="60"/>
      <c r="FU363" s="60"/>
      <c r="FV363" s="60"/>
      <c r="FW363" s="60"/>
      <c r="FX363" s="60"/>
    </row>
    <row r="364">
      <c r="A364" s="18"/>
      <c r="B364" s="14"/>
      <c r="C364" s="14"/>
      <c r="D364" s="14"/>
      <c r="E364" s="18"/>
      <c r="F364" s="18"/>
      <c r="G364" s="18"/>
      <c r="H364" s="18"/>
      <c r="I364" s="18"/>
      <c r="J364" s="18"/>
      <c r="K364" s="18"/>
      <c r="L364" s="18"/>
      <c r="M364" s="18"/>
      <c r="N364" s="18"/>
      <c r="O364" s="18"/>
      <c r="P364" s="23"/>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26"/>
      <c r="EA364" s="26"/>
      <c r="EB364" s="26"/>
      <c r="EC364" s="26"/>
      <c r="ED364" s="26"/>
      <c r="EE364" s="26"/>
      <c r="EF364" s="26"/>
      <c r="EG364" s="26"/>
      <c r="EH364" s="26"/>
      <c r="EI364" s="26"/>
      <c r="EJ364" s="26"/>
      <c r="EK364" s="26"/>
      <c r="EL364" s="26"/>
      <c r="EM364" s="26"/>
      <c r="EN364" s="26"/>
      <c r="EO364" s="26"/>
      <c r="EP364" s="26"/>
      <c r="EQ364" s="26"/>
      <c r="ER364" s="26"/>
      <c r="ES364" s="26"/>
      <c r="ET364" s="26"/>
      <c r="EU364" s="26"/>
      <c r="EV364" s="26"/>
      <c r="EW364" s="26"/>
      <c r="EX364" s="26"/>
      <c r="EY364" s="26"/>
      <c r="EZ364" s="26"/>
      <c r="FA364" s="60"/>
      <c r="FB364" s="60"/>
      <c r="FC364" s="60"/>
      <c r="FD364" s="60"/>
      <c r="FE364" s="60"/>
      <c r="FF364" s="60"/>
      <c r="FG364" s="60"/>
      <c r="FH364" s="60"/>
      <c r="FI364" s="60"/>
      <c r="FJ364" s="60"/>
      <c r="FK364" s="60"/>
      <c r="FL364" s="60"/>
      <c r="FM364" s="60"/>
      <c r="FN364" s="60"/>
      <c r="FO364" s="60"/>
      <c r="FP364" s="60"/>
      <c r="FQ364" s="60"/>
      <c r="FR364" s="60"/>
      <c r="FS364" s="60"/>
      <c r="FT364" s="60"/>
      <c r="FU364" s="60"/>
      <c r="FV364" s="60"/>
      <c r="FW364" s="60"/>
      <c r="FX364" s="60"/>
    </row>
    <row r="365">
      <c r="A365" s="18"/>
      <c r="B365" s="14"/>
      <c r="C365" s="14"/>
      <c r="D365" s="14"/>
      <c r="E365" s="18"/>
      <c r="F365" s="18"/>
      <c r="G365" s="18"/>
      <c r="H365" s="18"/>
      <c r="I365" s="18"/>
      <c r="J365" s="18"/>
      <c r="K365" s="18"/>
      <c r="L365" s="18"/>
      <c r="M365" s="18"/>
      <c r="N365" s="18"/>
      <c r="O365" s="18"/>
      <c r="P365" s="23"/>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c r="CU365" s="26"/>
      <c r="CV365" s="26"/>
      <c r="CW365" s="26"/>
      <c r="CX365" s="26"/>
      <c r="CY365" s="26"/>
      <c r="CZ365" s="26"/>
      <c r="DA365" s="26"/>
      <c r="DB365" s="26"/>
      <c r="DC365" s="26"/>
      <c r="DD365" s="26"/>
      <c r="DE365" s="26"/>
      <c r="DF365" s="26"/>
      <c r="DG365" s="26"/>
      <c r="DH365" s="26"/>
      <c r="DI365" s="26"/>
      <c r="DJ365" s="26"/>
      <c r="DK365" s="26"/>
      <c r="DL365" s="26"/>
      <c r="DM365" s="26"/>
      <c r="DN365" s="26"/>
      <c r="DO365" s="26"/>
      <c r="DP365" s="26"/>
      <c r="DQ365" s="26"/>
      <c r="DR365" s="26"/>
      <c r="DS365" s="26"/>
      <c r="DT365" s="26"/>
      <c r="DU365" s="26"/>
      <c r="DV365" s="26"/>
      <c r="DW365" s="26"/>
      <c r="DX365" s="26"/>
      <c r="DY365" s="26"/>
      <c r="DZ365" s="26"/>
      <c r="EA365" s="26"/>
      <c r="EB365" s="26"/>
      <c r="EC365" s="26"/>
      <c r="ED365" s="26"/>
      <c r="EE365" s="26"/>
      <c r="EF365" s="26"/>
      <c r="EG365" s="26"/>
      <c r="EH365" s="26"/>
      <c r="EI365" s="26"/>
      <c r="EJ365" s="26"/>
      <c r="EK365" s="26"/>
      <c r="EL365" s="26"/>
      <c r="EM365" s="26"/>
      <c r="EN365" s="26"/>
      <c r="EO365" s="26"/>
      <c r="EP365" s="26"/>
      <c r="EQ365" s="26"/>
      <c r="ER365" s="26"/>
      <c r="ES365" s="26"/>
      <c r="ET365" s="26"/>
      <c r="EU365" s="26"/>
      <c r="EV365" s="26"/>
      <c r="EW365" s="26"/>
      <c r="EX365" s="26"/>
      <c r="EY365" s="26"/>
      <c r="EZ365" s="26"/>
      <c r="FA365" s="60"/>
      <c r="FB365" s="60"/>
      <c r="FC365" s="60"/>
      <c r="FD365" s="60"/>
      <c r="FE365" s="60"/>
      <c r="FF365" s="60"/>
      <c r="FG365" s="60"/>
      <c r="FH365" s="60"/>
      <c r="FI365" s="60"/>
      <c r="FJ365" s="60"/>
      <c r="FK365" s="60"/>
      <c r="FL365" s="60"/>
      <c r="FM365" s="60"/>
      <c r="FN365" s="60"/>
      <c r="FO365" s="60"/>
      <c r="FP365" s="60"/>
      <c r="FQ365" s="60"/>
      <c r="FR365" s="60"/>
      <c r="FS365" s="60"/>
      <c r="FT365" s="60"/>
      <c r="FU365" s="60"/>
      <c r="FV365" s="60"/>
      <c r="FW365" s="60"/>
      <c r="FX365" s="60"/>
    </row>
    <row r="366">
      <c r="A366" s="18"/>
      <c r="B366" s="14"/>
      <c r="C366" s="14"/>
      <c r="D366" s="14"/>
      <c r="E366" s="18"/>
      <c r="F366" s="18"/>
      <c r="G366" s="18"/>
      <c r="H366" s="18"/>
      <c r="I366" s="18"/>
      <c r="J366" s="18"/>
      <c r="K366" s="18"/>
      <c r="L366" s="18"/>
      <c r="M366" s="18"/>
      <c r="N366" s="18"/>
      <c r="O366" s="18"/>
      <c r="P366" s="23"/>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26"/>
      <c r="CU366" s="26"/>
      <c r="CV366" s="26"/>
      <c r="CW366" s="26"/>
      <c r="CX366" s="26"/>
      <c r="CY366" s="26"/>
      <c r="CZ366" s="26"/>
      <c r="DA366" s="26"/>
      <c r="DB366" s="26"/>
      <c r="DC366" s="26"/>
      <c r="DD366" s="26"/>
      <c r="DE366" s="26"/>
      <c r="DF366" s="26"/>
      <c r="DG366" s="26"/>
      <c r="DH366" s="26"/>
      <c r="DI366" s="26"/>
      <c r="DJ366" s="26"/>
      <c r="DK366" s="26"/>
      <c r="DL366" s="26"/>
      <c r="DM366" s="26"/>
      <c r="DN366" s="26"/>
      <c r="DO366" s="26"/>
      <c r="DP366" s="26"/>
      <c r="DQ366" s="26"/>
      <c r="DR366" s="26"/>
      <c r="DS366" s="26"/>
      <c r="DT366" s="26"/>
      <c r="DU366" s="26"/>
      <c r="DV366" s="26"/>
      <c r="DW366" s="26"/>
      <c r="DX366" s="26"/>
      <c r="DY366" s="26"/>
      <c r="DZ366" s="26"/>
      <c r="EA366" s="26"/>
      <c r="EB366" s="26"/>
      <c r="EC366" s="26"/>
      <c r="ED366" s="26"/>
      <c r="EE366" s="26"/>
      <c r="EF366" s="26"/>
      <c r="EG366" s="26"/>
      <c r="EH366" s="26"/>
      <c r="EI366" s="26"/>
      <c r="EJ366" s="26"/>
      <c r="EK366" s="26"/>
      <c r="EL366" s="26"/>
      <c r="EM366" s="26"/>
      <c r="EN366" s="26"/>
      <c r="EO366" s="26"/>
      <c r="EP366" s="26"/>
      <c r="EQ366" s="26"/>
      <c r="ER366" s="26"/>
      <c r="ES366" s="26"/>
      <c r="ET366" s="26"/>
      <c r="EU366" s="26"/>
      <c r="EV366" s="26"/>
      <c r="EW366" s="26"/>
      <c r="EX366" s="26"/>
      <c r="EY366" s="26"/>
      <c r="EZ366" s="26"/>
      <c r="FA366" s="60"/>
      <c r="FB366" s="60"/>
      <c r="FC366" s="60"/>
      <c r="FD366" s="60"/>
      <c r="FE366" s="60"/>
      <c r="FF366" s="60"/>
      <c r="FG366" s="60"/>
      <c r="FH366" s="60"/>
      <c r="FI366" s="60"/>
      <c r="FJ366" s="60"/>
      <c r="FK366" s="60"/>
      <c r="FL366" s="60"/>
      <c r="FM366" s="60"/>
      <c r="FN366" s="60"/>
      <c r="FO366" s="60"/>
      <c r="FP366" s="60"/>
      <c r="FQ366" s="60"/>
      <c r="FR366" s="60"/>
      <c r="FS366" s="60"/>
      <c r="FT366" s="60"/>
      <c r="FU366" s="60"/>
      <c r="FV366" s="60"/>
      <c r="FW366" s="60"/>
      <c r="FX366" s="60"/>
    </row>
    <row r="367">
      <c r="A367" s="18"/>
      <c r="B367" s="14"/>
      <c r="C367" s="14"/>
      <c r="D367" s="14"/>
      <c r="E367" s="18"/>
      <c r="F367" s="18"/>
      <c r="G367" s="18"/>
      <c r="H367" s="18"/>
      <c r="I367" s="18"/>
      <c r="J367" s="18"/>
      <c r="K367" s="18"/>
      <c r="L367" s="18"/>
      <c r="M367" s="18"/>
      <c r="N367" s="18"/>
      <c r="O367" s="18"/>
      <c r="P367" s="23"/>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c r="CU367" s="26"/>
      <c r="CV367" s="26"/>
      <c r="CW367" s="26"/>
      <c r="CX367" s="26"/>
      <c r="CY367" s="26"/>
      <c r="CZ367" s="26"/>
      <c r="DA367" s="26"/>
      <c r="DB367" s="26"/>
      <c r="DC367" s="26"/>
      <c r="DD367" s="26"/>
      <c r="DE367" s="26"/>
      <c r="DF367" s="26"/>
      <c r="DG367" s="26"/>
      <c r="DH367" s="26"/>
      <c r="DI367" s="26"/>
      <c r="DJ367" s="26"/>
      <c r="DK367" s="26"/>
      <c r="DL367" s="26"/>
      <c r="DM367" s="26"/>
      <c r="DN367" s="26"/>
      <c r="DO367" s="26"/>
      <c r="DP367" s="26"/>
      <c r="DQ367" s="26"/>
      <c r="DR367" s="26"/>
      <c r="DS367" s="26"/>
      <c r="DT367" s="26"/>
      <c r="DU367" s="26"/>
      <c r="DV367" s="26"/>
      <c r="DW367" s="26"/>
      <c r="DX367" s="26"/>
      <c r="DY367" s="26"/>
      <c r="DZ367" s="26"/>
      <c r="EA367" s="26"/>
      <c r="EB367" s="26"/>
      <c r="EC367" s="26"/>
      <c r="ED367" s="26"/>
      <c r="EE367" s="26"/>
      <c r="EF367" s="26"/>
      <c r="EG367" s="26"/>
      <c r="EH367" s="26"/>
      <c r="EI367" s="26"/>
      <c r="EJ367" s="26"/>
      <c r="EK367" s="26"/>
      <c r="EL367" s="26"/>
      <c r="EM367" s="26"/>
      <c r="EN367" s="26"/>
      <c r="EO367" s="26"/>
      <c r="EP367" s="26"/>
      <c r="EQ367" s="26"/>
      <c r="ER367" s="26"/>
      <c r="ES367" s="26"/>
      <c r="ET367" s="26"/>
      <c r="EU367" s="26"/>
      <c r="EV367" s="26"/>
      <c r="EW367" s="26"/>
      <c r="EX367" s="26"/>
      <c r="EY367" s="26"/>
      <c r="EZ367" s="26"/>
      <c r="FA367" s="60"/>
      <c r="FB367" s="60"/>
      <c r="FC367" s="60"/>
      <c r="FD367" s="60"/>
      <c r="FE367" s="60"/>
      <c r="FF367" s="60"/>
      <c r="FG367" s="60"/>
      <c r="FH367" s="60"/>
      <c r="FI367" s="60"/>
      <c r="FJ367" s="60"/>
      <c r="FK367" s="60"/>
      <c r="FL367" s="60"/>
      <c r="FM367" s="60"/>
      <c r="FN367" s="60"/>
      <c r="FO367" s="60"/>
      <c r="FP367" s="60"/>
      <c r="FQ367" s="60"/>
      <c r="FR367" s="60"/>
      <c r="FS367" s="60"/>
      <c r="FT367" s="60"/>
      <c r="FU367" s="60"/>
      <c r="FV367" s="60"/>
      <c r="FW367" s="60"/>
      <c r="FX367" s="60"/>
    </row>
    <row r="368">
      <c r="A368" s="18"/>
      <c r="B368" s="14"/>
      <c r="C368" s="14"/>
      <c r="D368" s="14"/>
      <c r="E368" s="18"/>
      <c r="F368" s="18"/>
      <c r="G368" s="18"/>
      <c r="H368" s="18"/>
      <c r="I368" s="18"/>
      <c r="J368" s="18"/>
      <c r="K368" s="18"/>
      <c r="L368" s="18"/>
      <c r="M368" s="18"/>
      <c r="N368" s="18"/>
      <c r="O368" s="18"/>
      <c r="P368" s="23"/>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26"/>
      <c r="EA368" s="26"/>
      <c r="EB368" s="26"/>
      <c r="EC368" s="26"/>
      <c r="ED368" s="26"/>
      <c r="EE368" s="26"/>
      <c r="EF368" s="26"/>
      <c r="EG368" s="26"/>
      <c r="EH368" s="26"/>
      <c r="EI368" s="26"/>
      <c r="EJ368" s="26"/>
      <c r="EK368" s="26"/>
      <c r="EL368" s="26"/>
      <c r="EM368" s="26"/>
      <c r="EN368" s="26"/>
      <c r="EO368" s="26"/>
      <c r="EP368" s="26"/>
      <c r="EQ368" s="26"/>
      <c r="ER368" s="26"/>
      <c r="ES368" s="26"/>
      <c r="ET368" s="26"/>
      <c r="EU368" s="26"/>
      <c r="EV368" s="26"/>
      <c r="EW368" s="26"/>
      <c r="EX368" s="26"/>
      <c r="EY368" s="26"/>
      <c r="EZ368" s="26"/>
      <c r="FA368" s="60"/>
      <c r="FB368" s="60"/>
      <c r="FC368" s="60"/>
      <c r="FD368" s="60"/>
      <c r="FE368" s="60"/>
      <c r="FF368" s="60"/>
      <c r="FG368" s="60"/>
      <c r="FH368" s="60"/>
      <c r="FI368" s="60"/>
      <c r="FJ368" s="60"/>
      <c r="FK368" s="60"/>
      <c r="FL368" s="60"/>
      <c r="FM368" s="60"/>
      <c r="FN368" s="60"/>
      <c r="FO368" s="60"/>
      <c r="FP368" s="60"/>
      <c r="FQ368" s="60"/>
      <c r="FR368" s="60"/>
      <c r="FS368" s="60"/>
      <c r="FT368" s="60"/>
      <c r="FU368" s="60"/>
      <c r="FV368" s="60"/>
      <c r="FW368" s="60"/>
      <c r="FX368" s="60"/>
    </row>
    <row r="369">
      <c r="A369" s="18"/>
      <c r="B369" s="14"/>
      <c r="C369" s="14"/>
      <c r="D369" s="14"/>
      <c r="E369" s="18"/>
      <c r="F369" s="18"/>
      <c r="G369" s="18"/>
      <c r="H369" s="18"/>
      <c r="I369" s="18"/>
      <c r="J369" s="18"/>
      <c r="K369" s="18"/>
      <c r="L369" s="18"/>
      <c r="M369" s="18"/>
      <c r="N369" s="18"/>
      <c r="O369" s="18"/>
      <c r="P369" s="23"/>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c r="CW369" s="26"/>
      <c r="CX369" s="26"/>
      <c r="CY369" s="26"/>
      <c r="CZ369" s="26"/>
      <c r="DA369" s="26"/>
      <c r="DB369" s="26"/>
      <c r="DC369" s="26"/>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26"/>
      <c r="EA369" s="26"/>
      <c r="EB369" s="26"/>
      <c r="EC369" s="26"/>
      <c r="ED369" s="26"/>
      <c r="EE369" s="26"/>
      <c r="EF369" s="26"/>
      <c r="EG369" s="26"/>
      <c r="EH369" s="26"/>
      <c r="EI369" s="26"/>
      <c r="EJ369" s="26"/>
      <c r="EK369" s="26"/>
      <c r="EL369" s="26"/>
      <c r="EM369" s="26"/>
      <c r="EN369" s="26"/>
      <c r="EO369" s="26"/>
      <c r="EP369" s="26"/>
      <c r="EQ369" s="26"/>
      <c r="ER369" s="26"/>
      <c r="ES369" s="26"/>
      <c r="ET369" s="26"/>
      <c r="EU369" s="26"/>
      <c r="EV369" s="26"/>
      <c r="EW369" s="26"/>
      <c r="EX369" s="26"/>
      <c r="EY369" s="26"/>
      <c r="EZ369" s="26"/>
      <c r="FA369" s="60"/>
      <c r="FB369" s="60"/>
      <c r="FC369" s="60"/>
      <c r="FD369" s="60"/>
      <c r="FE369" s="60"/>
      <c r="FF369" s="60"/>
      <c r="FG369" s="60"/>
      <c r="FH369" s="60"/>
      <c r="FI369" s="60"/>
      <c r="FJ369" s="60"/>
      <c r="FK369" s="60"/>
      <c r="FL369" s="60"/>
      <c r="FM369" s="60"/>
      <c r="FN369" s="60"/>
      <c r="FO369" s="60"/>
      <c r="FP369" s="60"/>
      <c r="FQ369" s="60"/>
      <c r="FR369" s="60"/>
      <c r="FS369" s="60"/>
      <c r="FT369" s="60"/>
      <c r="FU369" s="60"/>
      <c r="FV369" s="60"/>
      <c r="FW369" s="60"/>
      <c r="FX369" s="60"/>
    </row>
    <row r="370">
      <c r="A370" s="18"/>
      <c r="B370" s="14"/>
      <c r="C370" s="14"/>
      <c r="D370" s="14"/>
      <c r="E370" s="18"/>
      <c r="F370" s="18"/>
      <c r="G370" s="18"/>
      <c r="H370" s="18"/>
      <c r="I370" s="18"/>
      <c r="J370" s="18"/>
      <c r="K370" s="18"/>
      <c r="L370" s="18"/>
      <c r="M370" s="18"/>
      <c r="N370" s="18"/>
      <c r="O370" s="18"/>
      <c r="P370" s="23"/>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26"/>
      <c r="EA370" s="26"/>
      <c r="EB370" s="26"/>
      <c r="EC370" s="26"/>
      <c r="ED370" s="26"/>
      <c r="EE370" s="26"/>
      <c r="EF370" s="26"/>
      <c r="EG370" s="26"/>
      <c r="EH370" s="26"/>
      <c r="EI370" s="26"/>
      <c r="EJ370" s="26"/>
      <c r="EK370" s="26"/>
      <c r="EL370" s="26"/>
      <c r="EM370" s="26"/>
      <c r="EN370" s="26"/>
      <c r="EO370" s="26"/>
      <c r="EP370" s="26"/>
      <c r="EQ370" s="26"/>
      <c r="ER370" s="26"/>
      <c r="ES370" s="26"/>
      <c r="ET370" s="26"/>
      <c r="EU370" s="26"/>
      <c r="EV370" s="26"/>
      <c r="EW370" s="26"/>
      <c r="EX370" s="26"/>
      <c r="EY370" s="26"/>
      <c r="EZ370" s="26"/>
      <c r="FA370" s="60"/>
      <c r="FB370" s="60"/>
      <c r="FC370" s="60"/>
      <c r="FD370" s="60"/>
      <c r="FE370" s="60"/>
      <c r="FF370" s="60"/>
      <c r="FG370" s="60"/>
      <c r="FH370" s="60"/>
      <c r="FI370" s="60"/>
      <c r="FJ370" s="60"/>
      <c r="FK370" s="60"/>
      <c r="FL370" s="60"/>
      <c r="FM370" s="60"/>
      <c r="FN370" s="60"/>
      <c r="FO370" s="60"/>
      <c r="FP370" s="60"/>
      <c r="FQ370" s="60"/>
      <c r="FR370" s="60"/>
      <c r="FS370" s="60"/>
      <c r="FT370" s="60"/>
      <c r="FU370" s="60"/>
      <c r="FV370" s="60"/>
      <c r="FW370" s="60"/>
      <c r="FX370" s="60"/>
    </row>
    <row r="371">
      <c r="A371" s="18"/>
      <c r="B371" s="14"/>
      <c r="C371" s="14"/>
      <c r="D371" s="14"/>
      <c r="E371" s="18"/>
      <c r="F371" s="18"/>
      <c r="G371" s="18"/>
      <c r="H371" s="18"/>
      <c r="I371" s="18"/>
      <c r="J371" s="18"/>
      <c r="K371" s="18"/>
      <c r="L371" s="18"/>
      <c r="M371" s="18"/>
      <c r="N371" s="18"/>
      <c r="O371" s="18"/>
      <c r="P371" s="23"/>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c r="CW371" s="26"/>
      <c r="CX371" s="26"/>
      <c r="CY371" s="26"/>
      <c r="CZ371" s="26"/>
      <c r="DA371" s="26"/>
      <c r="DB371" s="26"/>
      <c r="DC371" s="26"/>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26"/>
      <c r="EA371" s="26"/>
      <c r="EB371" s="26"/>
      <c r="EC371" s="26"/>
      <c r="ED371" s="26"/>
      <c r="EE371" s="26"/>
      <c r="EF371" s="26"/>
      <c r="EG371" s="26"/>
      <c r="EH371" s="26"/>
      <c r="EI371" s="26"/>
      <c r="EJ371" s="26"/>
      <c r="EK371" s="26"/>
      <c r="EL371" s="26"/>
      <c r="EM371" s="26"/>
      <c r="EN371" s="26"/>
      <c r="EO371" s="26"/>
      <c r="EP371" s="26"/>
      <c r="EQ371" s="26"/>
      <c r="ER371" s="26"/>
      <c r="ES371" s="26"/>
      <c r="ET371" s="26"/>
      <c r="EU371" s="26"/>
      <c r="EV371" s="26"/>
      <c r="EW371" s="26"/>
      <c r="EX371" s="26"/>
      <c r="EY371" s="26"/>
      <c r="EZ371" s="26"/>
      <c r="FA371" s="60"/>
      <c r="FB371" s="60"/>
      <c r="FC371" s="60"/>
      <c r="FD371" s="60"/>
      <c r="FE371" s="60"/>
      <c r="FF371" s="60"/>
      <c r="FG371" s="60"/>
      <c r="FH371" s="60"/>
      <c r="FI371" s="60"/>
      <c r="FJ371" s="60"/>
      <c r="FK371" s="60"/>
      <c r="FL371" s="60"/>
      <c r="FM371" s="60"/>
      <c r="FN371" s="60"/>
      <c r="FO371" s="60"/>
      <c r="FP371" s="60"/>
      <c r="FQ371" s="60"/>
      <c r="FR371" s="60"/>
      <c r="FS371" s="60"/>
      <c r="FT371" s="60"/>
      <c r="FU371" s="60"/>
      <c r="FV371" s="60"/>
      <c r="FW371" s="60"/>
      <c r="FX371" s="60"/>
    </row>
    <row r="372">
      <c r="A372" s="18"/>
      <c r="B372" s="14"/>
      <c r="C372" s="14"/>
      <c r="D372" s="14"/>
      <c r="E372" s="18"/>
      <c r="F372" s="18"/>
      <c r="G372" s="18"/>
      <c r="H372" s="18"/>
      <c r="I372" s="18"/>
      <c r="J372" s="18"/>
      <c r="K372" s="18"/>
      <c r="L372" s="18"/>
      <c r="M372" s="18"/>
      <c r="N372" s="18"/>
      <c r="O372" s="18"/>
      <c r="P372" s="23"/>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26"/>
      <c r="CU372" s="26"/>
      <c r="CV372" s="26"/>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26"/>
      <c r="EA372" s="26"/>
      <c r="EB372" s="26"/>
      <c r="EC372" s="26"/>
      <c r="ED372" s="26"/>
      <c r="EE372" s="26"/>
      <c r="EF372" s="26"/>
      <c r="EG372" s="26"/>
      <c r="EH372" s="26"/>
      <c r="EI372" s="26"/>
      <c r="EJ372" s="26"/>
      <c r="EK372" s="26"/>
      <c r="EL372" s="26"/>
      <c r="EM372" s="26"/>
      <c r="EN372" s="26"/>
      <c r="EO372" s="26"/>
      <c r="EP372" s="26"/>
      <c r="EQ372" s="26"/>
      <c r="ER372" s="26"/>
      <c r="ES372" s="26"/>
      <c r="ET372" s="26"/>
      <c r="EU372" s="26"/>
      <c r="EV372" s="26"/>
      <c r="EW372" s="26"/>
      <c r="EX372" s="26"/>
      <c r="EY372" s="26"/>
      <c r="EZ372" s="26"/>
      <c r="FA372" s="60"/>
      <c r="FB372" s="60"/>
      <c r="FC372" s="60"/>
      <c r="FD372" s="60"/>
      <c r="FE372" s="60"/>
      <c r="FF372" s="60"/>
      <c r="FG372" s="60"/>
      <c r="FH372" s="60"/>
      <c r="FI372" s="60"/>
      <c r="FJ372" s="60"/>
      <c r="FK372" s="60"/>
      <c r="FL372" s="60"/>
      <c r="FM372" s="60"/>
      <c r="FN372" s="60"/>
      <c r="FO372" s="60"/>
      <c r="FP372" s="60"/>
      <c r="FQ372" s="60"/>
      <c r="FR372" s="60"/>
      <c r="FS372" s="60"/>
      <c r="FT372" s="60"/>
      <c r="FU372" s="60"/>
      <c r="FV372" s="60"/>
      <c r="FW372" s="60"/>
      <c r="FX372" s="60"/>
    </row>
    <row r="373">
      <c r="A373" s="18"/>
      <c r="B373" s="14"/>
      <c r="C373" s="14"/>
      <c r="D373" s="14"/>
      <c r="E373" s="18"/>
      <c r="F373" s="18"/>
      <c r="G373" s="18"/>
      <c r="H373" s="18"/>
      <c r="I373" s="18"/>
      <c r="J373" s="18"/>
      <c r="K373" s="18"/>
      <c r="L373" s="18"/>
      <c r="M373" s="18"/>
      <c r="N373" s="18"/>
      <c r="O373" s="18"/>
      <c r="P373" s="23"/>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26"/>
      <c r="CU373" s="26"/>
      <c r="CV373" s="26"/>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26"/>
      <c r="EA373" s="26"/>
      <c r="EB373" s="26"/>
      <c r="EC373" s="26"/>
      <c r="ED373" s="26"/>
      <c r="EE373" s="26"/>
      <c r="EF373" s="26"/>
      <c r="EG373" s="26"/>
      <c r="EH373" s="26"/>
      <c r="EI373" s="26"/>
      <c r="EJ373" s="26"/>
      <c r="EK373" s="26"/>
      <c r="EL373" s="26"/>
      <c r="EM373" s="26"/>
      <c r="EN373" s="26"/>
      <c r="EO373" s="26"/>
      <c r="EP373" s="26"/>
      <c r="EQ373" s="26"/>
      <c r="ER373" s="26"/>
      <c r="ES373" s="26"/>
      <c r="ET373" s="26"/>
      <c r="EU373" s="26"/>
      <c r="EV373" s="26"/>
      <c r="EW373" s="26"/>
      <c r="EX373" s="26"/>
      <c r="EY373" s="26"/>
      <c r="EZ373" s="26"/>
      <c r="FA373" s="60"/>
      <c r="FB373" s="60"/>
      <c r="FC373" s="60"/>
      <c r="FD373" s="60"/>
      <c r="FE373" s="60"/>
      <c r="FF373" s="60"/>
      <c r="FG373" s="60"/>
      <c r="FH373" s="60"/>
      <c r="FI373" s="60"/>
      <c r="FJ373" s="60"/>
      <c r="FK373" s="60"/>
      <c r="FL373" s="60"/>
      <c r="FM373" s="60"/>
      <c r="FN373" s="60"/>
      <c r="FO373" s="60"/>
      <c r="FP373" s="60"/>
      <c r="FQ373" s="60"/>
      <c r="FR373" s="60"/>
      <c r="FS373" s="60"/>
      <c r="FT373" s="60"/>
      <c r="FU373" s="60"/>
      <c r="FV373" s="60"/>
      <c r="FW373" s="60"/>
      <c r="FX373" s="60"/>
    </row>
    <row r="374">
      <c r="A374" s="18"/>
      <c r="B374" s="14"/>
      <c r="C374" s="14"/>
      <c r="D374" s="14"/>
      <c r="E374" s="18"/>
      <c r="F374" s="18"/>
      <c r="G374" s="18"/>
      <c r="H374" s="18"/>
      <c r="I374" s="18"/>
      <c r="J374" s="18"/>
      <c r="K374" s="18"/>
      <c r="L374" s="18"/>
      <c r="M374" s="18"/>
      <c r="N374" s="18"/>
      <c r="O374" s="18"/>
      <c r="P374" s="23"/>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c r="CU374" s="26"/>
      <c r="CV374" s="26"/>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26"/>
      <c r="EA374" s="26"/>
      <c r="EB374" s="26"/>
      <c r="EC374" s="26"/>
      <c r="ED374" s="26"/>
      <c r="EE374" s="26"/>
      <c r="EF374" s="26"/>
      <c r="EG374" s="26"/>
      <c r="EH374" s="26"/>
      <c r="EI374" s="26"/>
      <c r="EJ374" s="26"/>
      <c r="EK374" s="26"/>
      <c r="EL374" s="26"/>
      <c r="EM374" s="26"/>
      <c r="EN374" s="26"/>
      <c r="EO374" s="26"/>
      <c r="EP374" s="26"/>
      <c r="EQ374" s="26"/>
      <c r="ER374" s="26"/>
      <c r="ES374" s="26"/>
      <c r="ET374" s="26"/>
      <c r="EU374" s="26"/>
      <c r="EV374" s="26"/>
      <c r="EW374" s="26"/>
      <c r="EX374" s="26"/>
      <c r="EY374" s="26"/>
      <c r="EZ374" s="26"/>
      <c r="FA374" s="60"/>
      <c r="FB374" s="60"/>
      <c r="FC374" s="60"/>
      <c r="FD374" s="60"/>
      <c r="FE374" s="60"/>
      <c r="FF374" s="60"/>
      <c r="FG374" s="60"/>
      <c r="FH374" s="60"/>
      <c r="FI374" s="60"/>
      <c r="FJ374" s="60"/>
      <c r="FK374" s="60"/>
      <c r="FL374" s="60"/>
      <c r="FM374" s="60"/>
      <c r="FN374" s="60"/>
      <c r="FO374" s="60"/>
      <c r="FP374" s="60"/>
      <c r="FQ374" s="60"/>
      <c r="FR374" s="60"/>
      <c r="FS374" s="60"/>
      <c r="FT374" s="60"/>
      <c r="FU374" s="60"/>
      <c r="FV374" s="60"/>
      <c r="FW374" s="60"/>
      <c r="FX374" s="60"/>
    </row>
    <row r="375">
      <c r="A375" s="18"/>
      <c r="B375" s="14"/>
      <c r="C375" s="14"/>
      <c r="D375" s="14"/>
      <c r="E375" s="18"/>
      <c r="F375" s="18"/>
      <c r="G375" s="18"/>
      <c r="H375" s="18"/>
      <c r="I375" s="18"/>
      <c r="J375" s="18"/>
      <c r="K375" s="18"/>
      <c r="L375" s="18"/>
      <c r="M375" s="18"/>
      <c r="N375" s="18"/>
      <c r="O375" s="18"/>
      <c r="P375" s="23"/>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26"/>
      <c r="CU375" s="26"/>
      <c r="CV375" s="26"/>
      <c r="CW375" s="26"/>
      <c r="CX375" s="26"/>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26"/>
      <c r="EA375" s="26"/>
      <c r="EB375" s="26"/>
      <c r="EC375" s="26"/>
      <c r="ED375" s="26"/>
      <c r="EE375" s="26"/>
      <c r="EF375" s="26"/>
      <c r="EG375" s="26"/>
      <c r="EH375" s="26"/>
      <c r="EI375" s="26"/>
      <c r="EJ375" s="26"/>
      <c r="EK375" s="26"/>
      <c r="EL375" s="26"/>
      <c r="EM375" s="26"/>
      <c r="EN375" s="26"/>
      <c r="EO375" s="26"/>
      <c r="EP375" s="26"/>
      <c r="EQ375" s="26"/>
      <c r="ER375" s="26"/>
      <c r="ES375" s="26"/>
      <c r="ET375" s="26"/>
      <c r="EU375" s="26"/>
      <c r="EV375" s="26"/>
      <c r="EW375" s="26"/>
      <c r="EX375" s="26"/>
      <c r="EY375" s="26"/>
      <c r="EZ375" s="26"/>
      <c r="FA375" s="60"/>
      <c r="FB375" s="60"/>
      <c r="FC375" s="60"/>
      <c r="FD375" s="60"/>
      <c r="FE375" s="60"/>
      <c r="FF375" s="60"/>
      <c r="FG375" s="60"/>
      <c r="FH375" s="60"/>
      <c r="FI375" s="60"/>
      <c r="FJ375" s="60"/>
      <c r="FK375" s="60"/>
      <c r="FL375" s="60"/>
      <c r="FM375" s="60"/>
      <c r="FN375" s="60"/>
      <c r="FO375" s="60"/>
      <c r="FP375" s="60"/>
      <c r="FQ375" s="60"/>
      <c r="FR375" s="60"/>
      <c r="FS375" s="60"/>
      <c r="FT375" s="60"/>
      <c r="FU375" s="60"/>
      <c r="FV375" s="60"/>
      <c r="FW375" s="60"/>
      <c r="FX375" s="60"/>
    </row>
    <row r="376">
      <c r="A376" s="18"/>
      <c r="B376" s="14"/>
      <c r="C376" s="14"/>
      <c r="D376" s="14"/>
      <c r="E376" s="18"/>
      <c r="F376" s="18"/>
      <c r="G376" s="18"/>
      <c r="H376" s="18"/>
      <c r="I376" s="18"/>
      <c r="J376" s="18"/>
      <c r="K376" s="18"/>
      <c r="L376" s="18"/>
      <c r="M376" s="18"/>
      <c r="N376" s="18"/>
      <c r="O376" s="18"/>
      <c r="P376" s="23"/>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26"/>
      <c r="CU376" s="26"/>
      <c r="CV376" s="26"/>
      <c r="CW376" s="26"/>
      <c r="CX376" s="26"/>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26"/>
      <c r="EA376" s="26"/>
      <c r="EB376" s="26"/>
      <c r="EC376" s="26"/>
      <c r="ED376" s="26"/>
      <c r="EE376" s="26"/>
      <c r="EF376" s="26"/>
      <c r="EG376" s="26"/>
      <c r="EH376" s="26"/>
      <c r="EI376" s="26"/>
      <c r="EJ376" s="26"/>
      <c r="EK376" s="26"/>
      <c r="EL376" s="26"/>
      <c r="EM376" s="26"/>
      <c r="EN376" s="26"/>
      <c r="EO376" s="26"/>
      <c r="EP376" s="26"/>
      <c r="EQ376" s="26"/>
      <c r="ER376" s="26"/>
      <c r="ES376" s="26"/>
      <c r="ET376" s="26"/>
      <c r="EU376" s="26"/>
      <c r="EV376" s="26"/>
      <c r="EW376" s="26"/>
      <c r="EX376" s="26"/>
      <c r="EY376" s="26"/>
      <c r="EZ376" s="26"/>
      <c r="FA376" s="60"/>
      <c r="FB376" s="60"/>
      <c r="FC376" s="60"/>
      <c r="FD376" s="60"/>
      <c r="FE376" s="60"/>
      <c r="FF376" s="60"/>
      <c r="FG376" s="60"/>
      <c r="FH376" s="60"/>
      <c r="FI376" s="60"/>
      <c r="FJ376" s="60"/>
      <c r="FK376" s="60"/>
      <c r="FL376" s="60"/>
      <c r="FM376" s="60"/>
      <c r="FN376" s="60"/>
      <c r="FO376" s="60"/>
      <c r="FP376" s="60"/>
      <c r="FQ376" s="60"/>
      <c r="FR376" s="60"/>
      <c r="FS376" s="60"/>
      <c r="FT376" s="60"/>
      <c r="FU376" s="60"/>
      <c r="FV376" s="60"/>
      <c r="FW376" s="60"/>
      <c r="FX376" s="60"/>
    </row>
    <row r="377">
      <c r="A377" s="18"/>
      <c r="B377" s="14"/>
      <c r="C377" s="14"/>
      <c r="D377" s="14"/>
      <c r="E377" s="18"/>
      <c r="F377" s="18"/>
      <c r="G377" s="18"/>
      <c r="H377" s="18"/>
      <c r="I377" s="18"/>
      <c r="J377" s="18"/>
      <c r="K377" s="18"/>
      <c r="L377" s="18"/>
      <c r="M377" s="18"/>
      <c r="N377" s="18"/>
      <c r="O377" s="18"/>
      <c r="P377" s="23"/>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26"/>
      <c r="CU377" s="26"/>
      <c r="CV377" s="26"/>
      <c r="CW377" s="26"/>
      <c r="CX377" s="26"/>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26"/>
      <c r="EA377" s="26"/>
      <c r="EB377" s="26"/>
      <c r="EC377" s="26"/>
      <c r="ED377" s="26"/>
      <c r="EE377" s="26"/>
      <c r="EF377" s="26"/>
      <c r="EG377" s="26"/>
      <c r="EH377" s="26"/>
      <c r="EI377" s="26"/>
      <c r="EJ377" s="26"/>
      <c r="EK377" s="26"/>
      <c r="EL377" s="26"/>
      <c r="EM377" s="26"/>
      <c r="EN377" s="26"/>
      <c r="EO377" s="26"/>
      <c r="EP377" s="26"/>
      <c r="EQ377" s="26"/>
      <c r="ER377" s="26"/>
      <c r="ES377" s="26"/>
      <c r="ET377" s="26"/>
      <c r="EU377" s="26"/>
      <c r="EV377" s="26"/>
      <c r="EW377" s="26"/>
      <c r="EX377" s="26"/>
      <c r="EY377" s="26"/>
      <c r="EZ377" s="26"/>
      <c r="FA377" s="60"/>
      <c r="FB377" s="60"/>
      <c r="FC377" s="60"/>
      <c r="FD377" s="60"/>
      <c r="FE377" s="60"/>
      <c r="FF377" s="60"/>
      <c r="FG377" s="60"/>
      <c r="FH377" s="60"/>
      <c r="FI377" s="60"/>
      <c r="FJ377" s="60"/>
      <c r="FK377" s="60"/>
      <c r="FL377" s="60"/>
      <c r="FM377" s="60"/>
      <c r="FN377" s="60"/>
      <c r="FO377" s="60"/>
      <c r="FP377" s="60"/>
      <c r="FQ377" s="60"/>
      <c r="FR377" s="60"/>
      <c r="FS377" s="60"/>
      <c r="FT377" s="60"/>
      <c r="FU377" s="60"/>
      <c r="FV377" s="60"/>
      <c r="FW377" s="60"/>
      <c r="FX377" s="60"/>
    </row>
    <row r="378">
      <c r="A378" s="18"/>
      <c r="B378" s="14"/>
      <c r="C378" s="14"/>
      <c r="D378" s="14"/>
      <c r="E378" s="18"/>
      <c r="F378" s="18"/>
      <c r="G378" s="18"/>
      <c r="H378" s="18"/>
      <c r="I378" s="18"/>
      <c r="J378" s="18"/>
      <c r="K378" s="18"/>
      <c r="L378" s="18"/>
      <c r="M378" s="18"/>
      <c r="N378" s="18"/>
      <c r="O378" s="18"/>
      <c r="P378" s="23"/>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26"/>
      <c r="CU378" s="26"/>
      <c r="CV378" s="26"/>
      <c r="CW378" s="26"/>
      <c r="CX378" s="26"/>
      <c r="CY378" s="26"/>
      <c r="CZ378" s="26"/>
      <c r="DA378" s="26"/>
      <c r="DB378" s="26"/>
      <c r="DC378" s="26"/>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26"/>
      <c r="EA378" s="26"/>
      <c r="EB378" s="26"/>
      <c r="EC378" s="26"/>
      <c r="ED378" s="26"/>
      <c r="EE378" s="26"/>
      <c r="EF378" s="26"/>
      <c r="EG378" s="26"/>
      <c r="EH378" s="26"/>
      <c r="EI378" s="26"/>
      <c r="EJ378" s="26"/>
      <c r="EK378" s="26"/>
      <c r="EL378" s="26"/>
      <c r="EM378" s="26"/>
      <c r="EN378" s="26"/>
      <c r="EO378" s="26"/>
      <c r="EP378" s="26"/>
      <c r="EQ378" s="26"/>
      <c r="ER378" s="26"/>
      <c r="ES378" s="26"/>
      <c r="ET378" s="26"/>
      <c r="EU378" s="26"/>
      <c r="EV378" s="26"/>
      <c r="EW378" s="26"/>
      <c r="EX378" s="26"/>
      <c r="EY378" s="26"/>
      <c r="EZ378" s="26"/>
      <c r="FA378" s="60"/>
      <c r="FB378" s="60"/>
      <c r="FC378" s="60"/>
      <c r="FD378" s="60"/>
      <c r="FE378" s="60"/>
      <c r="FF378" s="60"/>
      <c r="FG378" s="60"/>
      <c r="FH378" s="60"/>
      <c r="FI378" s="60"/>
      <c r="FJ378" s="60"/>
      <c r="FK378" s="60"/>
      <c r="FL378" s="60"/>
      <c r="FM378" s="60"/>
      <c r="FN378" s="60"/>
      <c r="FO378" s="60"/>
      <c r="FP378" s="60"/>
      <c r="FQ378" s="60"/>
      <c r="FR378" s="60"/>
      <c r="FS378" s="60"/>
      <c r="FT378" s="60"/>
      <c r="FU378" s="60"/>
      <c r="FV378" s="60"/>
      <c r="FW378" s="60"/>
      <c r="FX378" s="60"/>
    </row>
    <row r="379">
      <c r="A379" s="18"/>
      <c r="B379" s="14"/>
      <c r="C379" s="14"/>
      <c r="D379" s="14"/>
      <c r="E379" s="18"/>
      <c r="F379" s="18"/>
      <c r="G379" s="18"/>
      <c r="H379" s="18"/>
      <c r="I379" s="18"/>
      <c r="J379" s="18"/>
      <c r="K379" s="18"/>
      <c r="L379" s="18"/>
      <c r="M379" s="18"/>
      <c r="N379" s="18"/>
      <c r="O379" s="18"/>
      <c r="P379" s="23"/>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26"/>
      <c r="CU379" s="26"/>
      <c r="CV379" s="26"/>
      <c r="CW379" s="26"/>
      <c r="CX379" s="26"/>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26"/>
      <c r="EA379" s="26"/>
      <c r="EB379" s="26"/>
      <c r="EC379" s="26"/>
      <c r="ED379" s="26"/>
      <c r="EE379" s="26"/>
      <c r="EF379" s="26"/>
      <c r="EG379" s="26"/>
      <c r="EH379" s="26"/>
      <c r="EI379" s="26"/>
      <c r="EJ379" s="26"/>
      <c r="EK379" s="26"/>
      <c r="EL379" s="26"/>
      <c r="EM379" s="26"/>
      <c r="EN379" s="26"/>
      <c r="EO379" s="26"/>
      <c r="EP379" s="26"/>
      <c r="EQ379" s="26"/>
      <c r="ER379" s="26"/>
      <c r="ES379" s="26"/>
      <c r="ET379" s="26"/>
      <c r="EU379" s="26"/>
      <c r="EV379" s="26"/>
      <c r="EW379" s="26"/>
      <c r="EX379" s="26"/>
      <c r="EY379" s="26"/>
      <c r="EZ379" s="26"/>
      <c r="FA379" s="60"/>
      <c r="FB379" s="60"/>
      <c r="FC379" s="60"/>
      <c r="FD379" s="60"/>
      <c r="FE379" s="60"/>
      <c r="FF379" s="60"/>
      <c r="FG379" s="60"/>
      <c r="FH379" s="60"/>
      <c r="FI379" s="60"/>
      <c r="FJ379" s="60"/>
      <c r="FK379" s="60"/>
      <c r="FL379" s="60"/>
      <c r="FM379" s="60"/>
      <c r="FN379" s="60"/>
      <c r="FO379" s="60"/>
      <c r="FP379" s="60"/>
      <c r="FQ379" s="60"/>
      <c r="FR379" s="60"/>
      <c r="FS379" s="60"/>
      <c r="FT379" s="60"/>
      <c r="FU379" s="60"/>
      <c r="FV379" s="60"/>
      <c r="FW379" s="60"/>
      <c r="FX379" s="60"/>
    </row>
    <row r="380">
      <c r="A380" s="18"/>
      <c r="B380" s="14"/>
      <c r="C380" s="14"/>
      <c r="D380" s="14"/>
      <c r="E380" s="18"/>
      <c r="F380" s="18"/>
      <c r="G380" s="18"/>
      <c r="H380" s="18"/>
      <c r="I380" s="18"/>
      <c r="J380" s="18"/>
      <c r="K380" s="18"/>
      <c r="L380" s="18"/>
      <c r="M380" s="18"/>
      <c r="N380" s="18"/>
      <c r="O380" s="18"/>
      <c r="P380" s="23"/>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c r="CU380" s="26"/>
      <c r="CV380" s="26"/>
      <c r="CW380" s="26"/>
      <c r="CX380" s="26"/>
      <c r="CY380" s="26"/>
      <c r="CZ380" s="26"/>
      <c r="DA380" s="26"/>
      <c r="DB380" s="26"/>
      <c r="DC380" s="26"/>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26"/>
      <c r="EA380" s="26"/>
      <c r="EB380" s="26"/>
      <c r="EC380" s="26"/>
      <c r="ED380" s="26"/>
      <c r="EE380" s="26"/>
      <c r="EF380" s="26"/>
      <c r="EG380" s="26"/>
      <c r="EH380" s="26"/>
      <c r="EI380" s="26"/>
      <c r="EJ380" s="26"/>
      <c r="EK380" s="26"/>
      <c r="EL380" s="26"/>
      <c r="EM380" s="26"/>
      <c r="EN380" s="26"/>
      <c r="EO380" s="26"/>
      <c r="EP380" s="26"/>
      <c r="EQ380" s="26"/>
      <c r="ER380" s="26"/>
      <c r="ES380" s="26"/>
      <c r="ET380" s="26"/>
      <c r="EU380" s="26"/>
      <c r="EV380" s="26"/>
      <c r="EW380" s="26"/>
      <c r="EX380" s="26"/>
      <c r="EY380" s="26"/>
      <c r="EZ380" s="26"/>
      <c r="FA380" s="60"/>
      <c r="FB380" s="60"/>
      <c r="FC380" s="60"/>
      <c r="FD380" s="60"/>
      <c r="FE380" s="60"/>
      <c r="FF380" s="60"/>
      <c r="FG380" s="60"/>
      <c r="FH380" s="60"/>
      <c r="FI380" s="60"/>
      <c r="FJ380" s="60"/>
      <c r="FK380" s="60"/>
      <c r="FL380" s="60"/>
      <c r="FM380" s="60"/>
      <c r="FN380" s="60"/>
      <c r="FO380" s="60"/>
      <c r="FP380" s="60"/>
      <c r="FQ380" s="60"/>
      <c r="FR380" s="60"/>
      <c r="FS380" s="60"/>
      <c r="FT380" s="60"/>
      <c r="FU380" s="60"/>
      <c r="FV380" s="60"/>
      <c r="FW380" s="60"/>
      <c r="FX380" s="60"/>
    </row>
    <row r="381">
      <c r="A381" s="18"/>
      <c r="B381" s="14"/>
      <c r="C381" s="14"/>
      <c r="D381" s="14"/>
      <c r="E381" s="18"/>
      <c r="F381" s="18"/>
      <c r="G381" s="18"/>
      <c r="H381" s="18"/>
      <c r="I381" s="18"/>
      <c r="J381" s="18"/>
      <c r="K381" s="18"/>
      <c r="L381" s="18"/>
      <c r="M381" s="18"/>
      <c r="N381" s="18"/>
      <c r="O381" s="18"/>
      <c r="P381" s="23"/>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26"/>
      <c r="CU381" s="26"/>
      <c r="CV381" s="26"/>
      <c r="CW381" s="26"/>
      <c r="CX381" s="26"/>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26"/>
      <c r="EA381" s="26"/>
      <c r="EB381" s="26"/>
      <c r="EC381" s="26"/>
      <c r="ED381" s="26"/>
      <c r="EE381" s="26"/>
      <c r="EF381" s="26"/>
      <c r="EG381" s="26"/>
      <c r="EH381" s="26"/>
      <c r="EI381" s="26"/>
      <c r="EJ381" s="26"/>
      <c r="EK381" s="26"/>
      <c r="EL381" s="26"/>
      <c r="EM381" s="26"/>
      <c r="EN381" s="26"/>
      <c r="EO381" s="26"/>
      <c r="EP381" s="26"/>
      <c r="EQ381" s="26"/>
      <c r="ER381" s="26"/>
      <c r="ES381" s="26"/>
      <c r="ET381" s="26"/>
      <c r="EU381" s="26"/>
      <c r="EV381" s="26"/>
      <c r="EW381" s="26"/>
      <c r="EX381" s="26"/>
      <c r="EY381" s="26"/>
      <c r="EZ381" s="26"/>
      <c r="FA381" s="60"/>
      <c r="FB381" s="60"/>
      <c r="FC381" s="60"/>
      <c r="FD381" s="60"/>
      <c r="FE381" s="60"/>
      <c r="FF381" s="60"/>
      <c r="FG381" s="60"/>
      <c r="FH381" s="60"/>
      <c r="FI381" s="60"/>
      <c r="FJ381" s="60"/>
      <c r="FK381" s="60"/>
      <c r="FL381" s="60"/>
      <c r="FM381" s="60"/>
      <c r="FN381" s="60"/>
      <c r="FO381" s="60"/>
      <c r="FP381" s="60"/>
      <c r="FQ381" s="60"/>
      <c r="FR381" s="60"/>
      <c r="FS381" s="60"/>
      <c r="FT381" s="60"/>
      <c r="FU381" s="60"/>
      <c r="FV381" s="60"/>
      <c r="FW381" s="60"/>
      <c r="FX381" s="60"/>
    </row>
    <row r="382">
      <c r="A382" s="18"/>
      <c r="B382" s="14"/>
      <c r="C382" s="14"/>
      <c r="D382" s="14"/>
      <c r="E382" s="18"/>
      <c r="F382" s="18"/>
      <c r="G382" s="18"/>
      <c r="H382" s="18"/>
      <c r="I382" s="18"/>
      <c r="J382" s="18"/>
      <c r="K382" s="18"/>
      <c r="L382" s="18"/>
      <c r="M382" s="18"/>
      <c r="N382" s="18"/>
      <c r="O382" s="18"/>
      <c r="P382" s="23"/>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c r="CW382" s="26"/>
      <c r="CX382" s="26"/>
      <c r="CY382" s="26"/>
      <c r="CZ382" s="26"/>
      <c r="DA382" s="26"/>
      <c r="DB382" s="26"/>
      <c r="DC382" s="26"/>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26"/>
      <c r="EA382" s="26"/>
      <c r="EB382" s="26"/>
      <c r="EC382" s="26"/>
      <c r="ED382" s="26"/>
      <c r="EE382" s="26"/>
      <c r="EF382" s="26"/>
      <c r="EG382" s="26"/>
      <c r="EH382" s="26"/>
      <c r="EI382" s="26"/>
      <c r="EJ382" s="26"/>
      <c r="EK382" s="26"/>
      <c r="EL382" s="26"/>
      <c r="EM382" s="26"/>
      <c r="EN382" s="26"/>
      <c r="EO382" s="26"/>
      <c r="EP382" s="26"/>
      <c r="EQ382" s="26"/>
      <c r="ER382" s="26"/>
      <c r="ES382" s="26"/>
      <c r="ET382" s="26"/>
      <c r="EU382" s="26"/>
      <c r="EV382" s="26"/>
      <c r="EW382" s="26"/>
      <c r="EX382" s="26"/>
      <c r="EY382" s="26"/>
      <c r="EZ382" s="26"/>
      <c r="FA382" s="60"/>
      <c r="FB382" s="60"/>
      <c r="FC382" s="60"/>
      <c r="FD382" s="60"/>
      <c r="FE382" s="60"/>
      <c r="FF382" s="60"/>
      <c r="FG382" s="60"/>
      <c r="FH382" s="60"/>
      <c r="FI382" s="60"/>
      <c r="FJ382" s="60"/>
      <c r="FK382" s="60"/>
      <c r="FL382" s="60"/>
      <c r="FM382" s="60"/>
      <c r="FN382" s="60"/>
      <c r="FO382" s="60"/>
      <c r="FP382" s="60"/>
      <c r="FQ382" s="60"/>
      <c r="FR382" s="60"/>
      <c r="FS382" s="60"/>
      <c r="FT382" s="60"/>
      <c r="FU382" s="60"/>
      <c r="FV382" s="60"/>
      <c r="FW382" s="60"/>
      <c r="FX382" s="60"/>
    </row>
    <row r="383">
      <c r="A383" s="18"/>
      <c r="B383" s="14"/>
      <c r="C383" s="14"/>
      <c r="D383" s="14"/>
      <c r="E383" s="18"/>
      <c r="F383" s="18"/>
      <c r="G383" s="18"/>
      <c r="H383" s="18"/>
      <c r="I383" s="18"/>
      <c r="J383" s="18"/>
      <c r="K383" s="18"/>
      <c r="L383" s="18"/>
      <c r="M383" s="18"/>
      <c r="N383" s="18"/>
      <c r="O383" s="18"/>
      <c r="P383" s="23"/>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c r="CU383" s="26"/>
      <c r="CV383" s="26"/>
      <c r="CW383" s="26"/>
      <c r="CX383" s="26"/>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26"/>
      <c r="EA383" s="26"/>
      <c r="EB383" s="26"/>
      <c r="EC383" s="26"/>
      <c r="ED383" s="26"/>
      <c r="EE383" s="26"/>
      <c r="EF383" s="26"/>
      <c r="EG383" s="26"/>
      <c r="EH383" s="26"/>
      <c r="EI383" s="26"/>
      <c r="EJ383" s="26"/>
      <c r="EK383" s="26"/>
      <c r="EL383" s="26"/>
      <c r="EM383" s="26"/>
      <c r="EN383" s="26"/>
      <c r="EO383" s="26"/>
      <c r="EP383" s="26"/>
      <c r="EQ383" s="26"/>
      <c r="ER383" s="26"/>
      <c r="ES383" s="26"/>
      <c r="ET383" s="26"/>
      <c r="EU383" s="26"/>
      <c r="EV383" s="26"/>
      <c r="EW383" s="26"/>
      <c r="EX383" s="26"/>
      <c r="EY383" s="26"/>
      <c r="EZ383" s="26"/>
      <c r="FA383" s="60"/>
      <c r="FB383" s="60"/>
      <c r="FC383" s="60"/>
      <c r="FD383" s="60"/>
      <c r="FE383" s="60"/>
      <c r="FF383" s="60"/>
      <c r="FG383" s="60"/>
      <c r="FH383" s="60"/>
      <c r="FI383" s="60"/>
      <c r="FJ383" s="60"/>
      <c r="FK383" s="60"/>
      <c r="FL383" s="60"/>
      <c r="FM383" s="60"/>
      <c r="FN383" s="60"/>
      <c r="FO383" s="60"/>
      <c r="FP383" s="60"/>
      <c r="FQ383" s="60"/>
      <c r="FR383" s="60"/>
      <c r="FS383" s="60"/>
      <c r="FT383" s="60"/>
      <c r="FU383" s="60"/>
      <c r="FV383" s="60"/>
      <c r="FW383" s="60"/>
      <c r="FX383" s="60"/>
    </row>
    <row r="384">
      <c r="A384" s="18"/>
      <c r="B384" s="14"/>
      <c r="C384" s="14"/>
      <c r="D384" s="14"/>
      <c r="E384" s="18"/>
      <c r="F384" s="18"/>
      <c r="G384" s="18"/>
      <c r="H384" s="18"/>
      <c r="I384" s="18"/>
      <c r="J384" s="18"/>
      <c r="K384" s="18"/>
      <c r="L384" s="18"/>
      <c r="M384" s="18"/>
      <c r="N384" s="18"/>
      <c r="O384" s="18"/>
      <c r="P384" s="23"/>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26"/>
      <c r="CU384" s="26"/>
      <c r="CV384" s="26"/>
      <c r="CW384" s="26"/>
      <c r="CX384" s="26"/>
      <c r="CY384" s="26"/>
      <c r="CZ384" s="26"/>
      <c r="DA384" s="26"/>
      <c r="DB384" s="26"/>
      <c r="DC384" s="26"/>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26"/>
      <c r="EA384" s="26"/>
      <c r="EB384" s="26"/>
      <c r="EC384" s="26"/>
      <c r="ED384" s="26"/>
      <c r="EE384" s="26"/>
      <c r="EF384" s="26"/>
      <c r="EG384" s="26"/>
      <c r="EH384" s="26"/>
      <c r="EI384" s="26"/>
      <c r="EJ384" s="26"/>
      <c r="EK384" s="26"/>
      <c r="EL384" s="26"/>
      <c r="EM384" s="26"/>
      <c r="EN384" s="26"/>
      <c r="EO384" s="26"/>
      <c r="EP384" s="26"/>
      <c r="EQ384" s="26"/>
      <c r="ER384" s="26"/>
      <c r="ES384" s="26"/>
      <c r="ET384" s="26"/>
      <c r="EU384" s="26"/>
      <c r="EV384" s="26"/>
      <c r="EW384" s="26"/>
      <c r="EX384" s="26"/>
      <c r="EY384" s="26"/>
      <c r="EZ384" s="26"/>
      <c r="FA384" s="60"/>
      <c r="FB384" s="60"/>
      <c r="FC384" s="60"/>
      <c r="FD384" s="60"/>
      <c r="FE384" s="60"/>
      <c r="FF384" s="60"/>
      <c r="FG384" s="60"/>
      <c r="FH384" s="60"/>
      <c r="FI384" s="60"/>
      <c r="FJ384" s="60"/>
      <c r="FK384" s="60"/>
      <c r="FL384" s="60"/>
      <c r="FM384" s="60"/>
      <c r="FN384" s="60"/>
      <c r="FO384" s="60"/>
      <c r="FP384" s="60"/>
      <c r="FQ384" s="60"/>
      <c r="FR384" s="60"/>
      <c r="FS384" s="60"/>
      <c r="FT384" s="60"/>
      <c r="FU384" s="60"/>
      <c r="FV384" s="60"/>
      <c r="FW384" s="60"/>
      <c r="FX384" s="60"/>
    </row>
    <row r="385">
      <c r="A385" s="18"/>
      <c r="B385" s="14"/>
      <c r="C385" s="14"/>
      <c r="D385" s="14"/>
      <c r="E385" s="18"/>
      <c r="F385" s="18"/>
      <c r="G385" s="18"/>
      <c r="H385" s="18"/>
      <c r="I385" s="18"/>
      <c r="J385" s="18"/>
      <c r="K385" s="18"/>
      <c r="L385" s="18"/>
      <c r="M385" s="18"/>
      <c r="N385" s="18"/>
      <c r="O385" s="18"/>
      <c r="P385" s="23"/>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26"/>
      <c r="CU385" s="26"/>
      <c r="CV385" s="26"/>
      <c r="CW385" s="26"/>
      <c r="CX385" s="26"/>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26"/>
      <c r="EA385" s="26"/>
      <c r="EB385" s="26"/>
      <c r="EC385" s="26"/>
      <c r="ED385" s="26"/>
      <c r="EE385" s="26"/>
      <c r="EF385" s="26"/>
      <c r="EG385" s="26"/>
      <c r="EH385" s="26"/>
      <c r="EI385" s="26"/>
      <c r="EJ385" s="26"/>
      <c r="EK385" s="26"/>
      <c r="EL385" s="26"/>
      <c r="EM385" s="26"/>
      <c r="EN385" s="26"/>
      <c r="EO385" s="26"/>
      <c r="EP385" s="26"/>
      <c r="EQ385" s="26"/>
      <c r="ER385" s="26"/>
      <c r="ES385" s="26"/>
      <c r="ET385" s="26"/>
      <c r="EU385" s="26"/>
      <c r="EV385" s="26"/>
      <c r="EW385" s="26"/>
      <c r="EX385" s="26"/>
      <c r="EY385" s="26"/>
      <c r="EZ385" s="26"/>
      <c r="FA385" s="60"/>
      <c r="FB385" s="60"/>
      <c r="FC385" s="60"/>
      <c r="FD385" s="60"/>
      <c r="FE385" s="60"/>
      <c r="FF385" s="60"/>
      <c r="FG385" s="60"/>
      <c r="FH385" s="60"/>
      <c r="FI385" s="60"/>
      <c r="FJ385" s="60"/>
      <c r="FK385" s="60"/>
      <c r="FL385" s="60"/>
      <c r="FM385" s="60"/>
      <c r="FN385" s="60"/>
      <c r="FO385" s="60"/>
      <c r="FP385" s="60"/>
      <c r="FQ385" s="60"/>
      <c r="FR385" s="60"/>
      <c r="FS385" s="60"/>
      <c r="FT385" s="60"/>
      <c r="FU385" s="60"/>
      <c r="FV385" s="60"/>
      <c r="FW385" s="60"/>
      <c r="FX385" s="60"/>
    </row>
    <row r="386">
      <c r="A386" s="18"/>
      <c r="B386" s="14"/>
      <c r="C386" s="14"/>
      <c r="D386" s="14"/>
      <c r="E386" s="18"/>
      <c r="F386" s="18"/>
      <c r="G386" s="18"/>
      <c r="H386" s="18"/>
      <c r="I386" s="18"/>
      <c r="J386" s="18"/>
      <c r="K386" s="18"/>
      <c r="L386" s="18"/>
      <c r="M386" s="18"/>
      <c r="N386" s="18"/>
      <c r="O386" s="18"/>
      <c r="P386" s="23"/>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26"/>
      <c r="CU386" s="26"/>
      <c r="CV386" s="26"/>
      <c r="CW386" s="26"/>
      <c r="CX386" s="26"/>
      <c r="CY386" s="26"/>
      <c r="CZ386" s="26"/>
      <c r="DA386" s="26"/>
      <c r="DB386" s="26"/>
      <c r="DC386" s="26"/>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26"/>
      <c r="EA386" s="26"/>
      <c r="EB386" s="26"/>
      <c r="EC386" s="26"/>
      <c r="ED386" s="26"/>
      <c r="EE386" s="26"/>
      <c r="EF386" s="26"/>
      <c r="EG386" s="26"/>
      <c r="EH386" s="26"/>
      <c r="EI386" s="26"/>
      <c r="EJ386" s="26"/>
      <c r="EK386" s="26"/>
      <c r="EL386" s="26"/>
      <c r="EM386" s="26"/>
      <c r="EN386" s="26"/>
      <c r="EO386" s="26"/>
      <c r="EP386" s="26"/>
      <c r="EQ386" s="26"/>
      <c r="ER386" s="26"/>
      <c r="ES386" s="26"/>
      <c r="ET386" s="26"/>
      <c r="EU386" s="26"/>
      <c r="EV386" s="26"/>
      <c r="EW386" s="26"/>
      <c r="EX386" s="26"/>
      <c r="EY386" s="26"/>
      <c r="EZ386" s="26"/>
      <c r="FA386" s="60"/>
      <c r="FB386" s="60"/>
      <c r="FC386" s="60"/>
      <c r="FD386" s="60"/>
      <c r="FE386" s="60"/>
      <c r="FF386" s="60"/>
      <c r="FG386" s="60"/>
      <c r="FH386" s="60"/>
      <c r="FI386" s="60"/>
      <c r="FJ386" s="60"/>
      <c r="FK386" s="60"/>
      <c r="FL386" s="60"/>
      <c r="FM386" s="60"/>
      <c r="FN386" s="60"/>
      <c r="FO386" s="60"/>
      <c r="FP386" s="60"/>
      <c r="FQ386" s="60"/>
      <c r="FR386" s="60"/>
      <c r="FS386" s="60"/>
      <c r="FT386" s="60"/>
      <c r="FU386" s="60"/>
      <c r="FV386" s="60"/>
      <c r="FW386" s="60"/>
      <c r="FX386" s="60"/>
    </row>
    <row r="387">
      <c r="A387" s="18"/>
      <c r="B387" s="14"/>
      <c r="C387" s="14"/>
      <c r="D387" s="14"/>
      <c r="E387" s="18"/>
      <c r="F387" s="18"/>
      <c r="G387" s="18"/>
      <c r="H387" s="18"/>
      <c r="I387" s="18"/>
      <c r="J387" s="18"/>
      <c r="K387" s="18"/>
      <c r="L387" s="18"/>
      <c r="M387" s="18"/>
      <c r="N387" s="18"/>
      <c r="O387" s="18"/>
      <c r="P387" s="23"/>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c r="CU387" s="26"/>
      <c r="CV387" s="26"/>
      <c r="CW387" s="26"/>
      <c r="CX387" s="26"/>
      <c r="CY387" s="26"/>
      <c r="CZ387" s="26"/>
      <c r="DA387" s="26"/>
      <c r="DB387" s="26"/>
      <c r="DC387" s="26"/>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26"/>
      <c r="EA387" s="26"/>
      <c r="EB387" s="26"/>
      <c r="EC387" s="26"/>
      <c r="ED387" s="26"/>
      <c r="EE387" s="26"/>
      <c r="EF387" s="26"/>
      <c r="EG387" s="26"/>
      <c r="EH387" s="26"/>
      <c r="EI387" s="26"/>
      <c r="EJ387" s="26"/>
      <c r="EK387" s="26"/>
      <c r="EL387" s="26"/>
      <c r="EM387" s="26"/>
      <c r="EN387" s="26"/>
      <c r="EO387" s="26"/>
      <c r="EP387" s="26"/>
      <c r="EQ387" s="26"/>
      <c r="ER387" s="26"/>
      <c r="ES387" s="26"/>
      <c r="ET387" s="26"/>
      <c r="EU387" s="26"/>
      <c r="EV387" s="26"/>
      <c r="EW387" s="26"/>
      <c r="EX387" s="26"/>
      <c r="EY387" s="26"/>
      <c r="EZ387" s="26"/>
      <c r="FA387" s="60"/>
      <c r="FB387" s="60"/>
      <c r="FC387" s="60"/>
      <c r="FD387" s="60"/>
      <c r="FE387" s="60"/>
      <c r="FF387" s="60"/>
      <c r="FG387" s="60"/>
      <c r="FH387" s="60"/>
      <c r="FI387" s="60"/>
      <c r="FJ387" s="60"/>
      <c r="FK387" s="60"/>
      <c r="FL387" s="60"/>
      <c r="FM387" s="60"/>
      <c r="FN387" s="60"/>
      <c r="FO387" s="60"/>
      <c r="FP387" s="60"/>
      <c r="FQ387" s="60"/>
      <c r="FR387" s="60"/>
      <c r="FS387" s="60"/>
      <c r="FT387" s="60"/>
      <c r="FU387" s="60"/>
      <c r="FV387" s="60"/>
      <c r="FW387" s="60"/>
      <c r="FX387" s="60"/>
    </row>
    <row r="388">
      <c r="A388" s="18"/>
      <c r="B388" s="14"/>
      <c r="C388" s="14"/>
      <c r="D388" s="14"/>
      <c r="E388" s="18"/>
      <c r="F388" s="18"/>
      <c r="G388" s="18"/>
      <c r="H388" s="18"/>
      <c r="I388" s="18"/>
      <c r="J388" s="18"/>
      <c r="K388" s="18"/>
      <c r="L388" s="18"/>
      <c r="M388" s="18"/>
      <c r="N388" s="18"/>
      <c r="O388" s="18"/>
      <c r="P388" s="23"/>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26"/>
      <c r="CU388" s="26"/>
      <c r="CV388" s="26"/>
      <c r="CW388" s="26"/>
      <c r="CX388" s="26"/>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26"/>
      <c r="DU388" s="26"/>
      <c r="DV388" s="26"/>
      <c r="DW388" s="26"/>
      <c r="DX388" s="26"/>
      <c r="DY388" s="26"/>
      <c r="DZ388" s="26"/>
      <c r="EA388" s="26"/>
      <c r="EB388" s="26"/>
      <c r="EC388" s="26"/>
      <c r="ED388" s="26"/>
      <c r="EE388" s="26"/>
      <c r="EF388" s="26"/>
      <c r="EG388" s="26"/>
      <c r="EH388" s="26"/>
      <c r="EI388" s="26"/>
      <c r="EJ388" s="26"/>
      <c r="EK388" s="26"/>
      <c r="EL388" s="26"/>
      <c r="EM388" s="26"/>
      <c r="EN388" s="26"/>
      <c r="EO388" s="26"/>
      <c r="EP388" s="26"/>
      <c r="EQ388" s="26"/>
      <c r="ER388" s="26"/>
      <c r="ES388" s="26"/>
      <c r="ET388" s="26"/>
      <c r="EU388" s="26"/>
      <c r="EV388" s="26"/>
      <c r="EW388" s="26"/>
      <c r="EX388" s="26"/>
      <c r="EY388" s="26"/>
      <c r="EZ388" s="26"/>
      <c r="FA388" s="60"/>
      <c r="FB388" s="60"/>
      <c r="FC388" s="60"/>
      <c r="FD388" s="60"/>
      <c r="FE388" s="60"/>
      <c r="FF388" s="60"/>
      <c r="FG388" s="60"/>
      <c r="FH388" s="60"/>
      <c r="FI388" s="60"/>
      <c r="FJ388" s="60"/>
      <c r="FK388" s="60"/>
      <c r="FL388" s="60"/>
      <c r="FM388" s="60"/>
      <c r="FN388" s="60"/>
      <c r="FO388" s="60"/>
      <c r="FP388" s="60"/>
      <c r="FQ388" s="60"/>
      <c r="FR388" s="60"/>
      <c r="FS388" s="60"/>
      <c r="FT388" s="60"/>
      <c r="FU388" s="60"/>
      <c r="FV388" s="60"/>
      <c r="FW388" s="60"/>
      <c r="FX388" s="60"/>
    </row>
    <row r="389">
      <c r="A389" s="18"/>
      <c r="B389" s="14"/>
      <c r="C389" s="14"/>
      <c r="D389" s="14"/>
      <c r="E389" s="18"/>
      <c r="F389" s="18"/>
      <c r="G389" s="18"/>
      <c r="H389" s="18"/>
      <c r="I389" s="18"/>
      <c r="J389" s="18"/>
      <c r="K389" s="18"/>
      <c r="L389" s="18"/>
      <c r="M389" s="18"/>
      <c r="N389" s="18"/>
      <c r="O389" s="18"/>
      <c r="P389" s="23"/>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26"/>
      <c r="CU389" s="26"/>
      <c r="CV389" s="26"/>
      <c r="CW389" s="26"/>
      <c r="CX389" s="26"/>
      <c r="CY389" s="26"/>
      <c r="CZ389" s="26"/>
      <c r="DA389" s="26"/>
      <c r="DB389" s="26"/>
      <c r="DC389" s="26"/>
      <c r="DD389" s="26"/>
      <c r="DE389" s="26"/>
      <c r="DF389" s="26"/>
      <c r="DG389" s="26"/>
      <c r="DH389" s="26"/>
      <c r="DI389" s="26"/>
      <c r="DJ389" s="26"/>
      <c r="DK389" s="26"/>
      <c r="DL389" s="26"/>
      <c r="DM389" s="26"/>
      <c r="DN389" s="26"/>
      <c r="DO389" s="26"/>
      <c r="DP389" s="26"/>
      <c r="DQ389" s="26"/>
      <c r="DR389" s="26"/>
      <c r="DS389" s="26"/>
      <c r="DT389" s="26"/>
      <c r="DU389" s="26"/>
      <c r="DV389" s="26"/>
      <c r="DW389" s="26"/>
      <c r="DX389" s="26"/>
      <c r="DY389" s="26"/>
      <c r="DZ389" s="26"/>
      <c r="EA389" s="26"/>
      <c r="EB389" s="26"/>
      <c r="EC389" s="26"/>
      <c r="ED389" s="26"/>
      <c r="EE389" s="26"/>
      <c r="EF389" s="26"/>
      <c r="EG389" s="26"/>
      <c r="EH389" s="26"/>
      <c r="EI389" s="26"/>
      <c r="EJ389" s="26"/>
      <c r="EK389" s="26"/>
      <c r="EL389" s="26"/>
      <c r="EM389" s="26"/>
      <c r="EN389" s="26"/>
      <c r="EO389" s="26"/>
      <c r="EP389" s="26"/>
      <c r="EQ389" s="26"/>
      <c r="ER389" s="26"/>
      <c r="ES389" s="26"/>
      <c r="ET389" s="26"/>
      <c r="EU389" s="26"/>
      <c r="EV389" s="26"/>
      <c r="EW389" s="26"/>
      <c r="EX389" s="26"/>
      <c r="EY389" s="26"/>
      <c r="EZ389" s="26"/>
      <c r="FA389" s="60"/>
      <c r="FB389" s="60"/>
      <c r="FC389" s="60"/>
      <c r="FD389" s="60"/>
      <c r="FE389" s="60"/>
      <c r="FF389" s="60"/>
      <c r="FG389" s="60"/>
      <c r="FH389" s="60"/>
      <c r="FI389" s="60"/>
      <c r="FJ389" s="60"/>
      <c r="FK389" s="60"/>
      <c r="FL389" s="60"/>
      <c r="FM389" s="60"/>
      <c r="FN389" s="60"/>
      <c r="FO389" s="60"/>
      <c r="FP389" s="60"/>
      <c r="FQ389" s="60"/>
      <c r="FR389" s="60"/>
      <c r="FS389" s="60"/>
      <c r="FT389" s="60"/>
      <c r="FU389" s="60"/>
      <c r="FV389" s="60"/>
      <c r="FW389" s="60"/>
      <c r="FX389" s="60"/>
    </row>
    <row r="390">
      <c r="A390" s="18"/>
      <c r="B390" s="14"/>
      <c r="C390" s="14"/>
      <c r="D390" s="14"/>
      <c r="E390" s="18"/>
      <c r="F390" s="18"/>
      <c r="G390" s="18"/>
      <c r="H390" s="18"/>
      <c r="I390" s="18"/>
      <c r="J390" s="18"/>
      <c r="K390" s="18"/>
      <c r="L390" s="18"/>
      <c r="M390" s="18"/>
      <c r="N390" s="18"/>
      <c r="O390" s="18"/>
      <c r="P390" s="23"/>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c r="CU390" s="26"/>
      <c r="CV390" s="26"/>
      <c r="CW390" s="26"/>
      <c r="CX390" s="26"/>
      <c r="CY390" s="26"/>
      <c r="CZ390" s="26"/>
      <c r="DA390" s="26"/>
      <c r="DB390" s="26"/>
      <c r="DC390" s="26"/>
      <c r="DD390" s="26"/>
      <c r="DE390" s="26"/>
      <c r="DF390" s="26"/>
      <c r="DG390" s="26"/>
      <c r="DH390" s="26"/>
      <c r="DI390" s="26"/>
      <c r="DJ390" s="26"/>
      <c r="DK390" s="26"/>
      <c r="DL390" s="26"/>
      <c r="DM390" s="26"/>
      <c r="DN390" s="26"/>
      <c r="DO390" s="26"/>
      <c r="DP390" s="26"/>
      <c r="DQ390" s="26"/>
      <c r="DR390" s="26"/>
      <c r="DS390" s="26"/>
      <c r="DT390" s="26"/>
      <c r="DU390" s="26"/>
      <c r="DV390" s="26"/>
      <c r="DW390" s="26"/>
      <c r="DX390" s="26"/>
      <c r="DY390" s="26"/>
      <c r="DZ390" s="26"/>
      <c r="EA390" s="26"/>
      <c r="EB390" s="26"/>
      <c r="EC390" s="26"/>
      <c r="ED390" s="26"/>
      <c r="EE390" s="26"/>
      <c r="EF390" s="26"/>
      <c r="EG390" s="26"/>
      <c r="EH390" s="26"/>
      <c r="EI390" s="26"/>
      <c r="EJ390" s="26"/>
      <c r="EK390" s="26"/>
      <c r="EL390" s="26"/>
      <c r="EM390" s="26"/>
      <c r="EN390" s="26"/>
      <c r="EO390" s="26"/>
      <c r="EP390" s="26"/>
      <c r="EQ390" s="26"/>
      <c r="ER390" s="26"/>
      <c r="ES390" s="26"/>
      <c r="ET390" s="26"/>
      <c r="EU390" s="26"/>
      <c r="EV390" s="26"/>
      <c r="EW390" s="26"/>
      <c r="EX390" s="26"/>
      <c r="EY390" s="26"/>
      <c r="EZ390" s="26"/>
      <c r="FA390" s="60"/>
      <c r="FB390" s="60"/>
      <c r="FC390" s="60"/>
      <c r="FD390" s="60"/>
      <c r="FE390" s="60"/>
      <c r="FF390" s="60"/>
      <c r="FG390" s="60"/>
      <c r="FH390" s="60"/>
      <c r="FI390" s="60"/>
      <c r="FJ390" s="60"/>
      <c r="FK390" s="60"/>
      <c r="FL390" s="60"/>
      <c r="FM390" s="60"/>
      <c r="FN390" s="60"/>
      <c r="FO390" s="60"/>
      <c r="FP390" s="60"/>
      <c r="FQ390" s="60"/>
      <c r="FR390" s="60"/>
      <c r="FS390" s="60"/>
      <c r="FT390" s="60"/>
      <c r="FU390" s="60"/>
      <c r="FV390" s="60"/>
      <c r="FW390" s="60"/>
      <c r="FX390" s="60"/>
    </row>
    <row r="391">
      <c r="A391" s="18"/>
      <c r="B391" s="14"/>
      <c r="C391" s="14"/>
      <c r="D391" s="14"/>
      <c r="E391" s="18"/>
      <c r="F391" s="18"/>
      <c r="G391" s="18"/>
      <c r="H391" s="18"/>
      <c r="I391" s="18"/>
      <c r="J391" s="18"/>
      <c r="K391" s="18"/>
      <c r="L391" s="18"/>
      <c r="M391" s="18"/>
      <c r="N391" s="18"/>
      <c r="O391" s="18"/>
      <c r="P391" s="23"/>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c r="CU391" s="26"/>
      <c r="CV391" s="26"/>
      <c r="CW391" s="26"/>
      <c r="CX391" s="26"/>
      <c r="CY391" s="26"/>
      <c r="CZ391" s="26"/>
      <c r="DA391" s="26"/>
      <c r="DB391" s="26"/>
      <c r="DC391" s="26"/>
      <c r="DD391" s="26"/>
      <c r="DE391" s="26"/>
      <c r="DF391" s="26"/>
      <c r="DG391" s="26"/>
      <c r="DH391" s="26"/>
      <c r="DI391" s="26"/>
      <c r="DJ391" s="26"/>
      <c r="DK391" s="26"/>
      <c r="DL391" s="26"/>
      <c r="DM391" s="26"/>
      <c r="DN391" s="26"/>
      <c r="DO391" s="26"/>
      <c r="DP391" s="26"/>
      <c r="DQ391" s="26"/>
      <c r="DR391" s="26"/>
      <c r="DS391" s="26"/>
      <c r="DT391" s="26"/>
      <c r="DU391" s="26"/>
      <c r="DV391" s="26"/>
      <c r="DW391" s="26"/>
      <c r="DX391" s="26"/>
      <c r="DY391" s="26"/>
      <c r="DZ391" s="26"/>
      <c r="EA391" s="26"/>
      <c r="EB391" s="26"/>
      <c r="EC391" s="26"/>
      <c r="ED391" s="26"/>
      <c r="EE391" s="26"/>
      <c r="EF391" s="26"/>
      <c r="EG391" s="26"/>
      <c r="EH391" s="26"/>
      <c r="EI391" s="26"/>
      <c r="EJ391" s="26"/>
      <c r="EK391" s="26"/>
      <c r="EL391" s="26"/>
      <c r="EM391" s="26"/>
      <c r="EN391" s="26"/>
      <c r="EO391" s="26"/>
      <c r="EP391" s="26"/>
      <c r="EQ391" s="26"/>
      <c r="ER391" s="26"/>
      <c r="ES391" s="26"/>
      <c r="ET391" s="26"/>
      <c r="EU391" s="26"/>
      <c r="EV391" s="26"/>
      <c r="EW391" s="26"/>
      <c r="EX391" s="26"/>
      <c r="EY391" s="26"/>
      <c r="EZ391" s="26"/>
      <c r="FA391" s="60"/>
      <c r="FB391" s="60"/>
      <c r="FC391" s="60"/>
      <c r="FD391" s="60"/>
      <c r="FE391" s="60"/>
      <c r="FF391" s="60"/>
      <c r="FG391" s="60"/>
      <c r="FH391" s="60"/>
      <c r="FI391" s="60"/>
      <c r="FJ391" s="60"/>
      <c r="FK391" s="60"/>
      <c r="FL391" s="60"/>
      <c r="FM391" s="60"/>
      <c r="FN391" s="60"/>
      <c r="FO391" s="60"/>
      <c r="FP391" s="60"/>
      <c r="FQ391" s="60"/>
      <c r="FR391" s="60"/>
      <c r="FS391" s="60"/>
      <c r="FT391" s="60"/>
      <c r="FU391" s="60"/>
      <c r="FV391" s="60"/>
      <c r="FW391" s="60"/>
      <c r="FX391" s="60"/>
    </row>
    <row r="392">
      <c r="A392" s="18"/>
      <c r="B392" s="14"/>
      <c r="C392" s="14"/>
      <c r="D392" s="14"/>
      <c r="E392" s="18"/>
      <c r="F392" s="18"/>
      <c r="G392" s="18"/>
      <c r="H392" s="18"/>
      <c r="I392" s="18"/>
      <c r="J392" s="18"/>
      <c r="K392" s="18"/>
      <c r="L392" s="18"/>
      <c r="M392" s="18"/>
      <c r="N392" s="18"/>
      <c r="O392" s="18"/>
      <c r="P392" s="23"/>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c r="CU392" s="26"/>
      <c r="CV392" s="26"/>
      <c r="CW392" s="26"/>
      <c r="CX392" s="26"/>
      <c r="CY392" s="26"/>
      <c r="CZ392" s="26"/>
      <c r="DA392" s="26"/>
      <c r="DB392" s="26"/>
      <c r="DC392" s="26"/>
      <c r="DD392" s="26"/>
      <c r="DE392" s="26"/>
      <c r="DF392" s="26"/>
      <c r="DG392" s="26"/>
      <c r="DH392" s="26"/>
      <c r="DI392" s="26"/>
      <c r="DJ392" s="26"/>
      <c r="DK392" s="26"/>
      <c r="DL392" s="26"/>
      <c r="DM392" s="26"/>
      <c r="DN392" s="26"/>
      <c r="DO392" s="26"/>
      <c r="DP392" s="26"/>
      <c r="DQ392" s="26"/>
      <c r="DR392" s="26"/>
      <c r="DS392" s="26"/>
      <c r="DT392" s="26"/>
      <c r="DU392" s="26"/>
      <c r="DV392" s="26"/>
      <c r="DW392" s="26"/>
      <c r="DX392" s="26"/>
      <c r="DY392" s="26"/>
      <c r="DZ392" s="26"/>
      <c r="EA392" s="26"/>
      <c r="EB392" s="26"/>
      <c r="EC392" s="26"/>
      <c r="ED392" s="26"/>
      <c r="EE392" s="26"/>
      <c r="EF392" s="26"/>
      <c r="EG392" s="26"/>
      <c r="EH392" s="26"/>
      <c r="EI392" s="26"/>
      <c r="EJ392" s="26"/>
      <c r="EK392" s="26"/>
      <c r="EL392" s="26"/>
      <c r="EM392" s="26"/>
      <c r="EN392" s="26"/>
      <c r="EO392" s="26"/>
      <c r="EP392" s="26"/>
      <c r="EQ392" s="26"/>
      <c r="ER392" s="26"/>
      <c r="ES392" s="26"/>
      <c r="ET392" s="26"/>
      <c r="EU392" s="26"/>
      <c r="EV392" s="26"/>
      <c r="EW392" s="26"/>
      <c r="EX392" s="26"/>
      <c r="EY392" s="26"/>
      <c r="EZ392" s="26"/>
      <c r="FA392" s="60"/>
      <c r="FB392" s="60"/>
      <c r="FC392" s="60"/>
      <c r="FD392" s="60"/>
      <c r="FE392" s="60"/>
      <c r="FF392" s="60"/>
      <c r="FG392" s="60"/>
      <c r="FH392" s="60"/>
      <c r="FI392" s="60"/>
      <c r="FJ392" s="60"/>
      <c r="FK392" s="60"/>
      <c r="FL392" s="60"/>
      <c r="FM392" s="60"/>
      <c r="FN392" s="60"/>
      <c r="FO392" s="60"/>
      <c r="FP392" s="60"/>
      <c r="FQ392" s="60"/>
      <c r="FR392" s="60"/>
      <c r="FS392" s="60"/>
      <c r="FT392" s="60"/>
      <c r="FU392" s="60"/>
      <c r="FV392" s="60"/>
      <c r="FW392" s="60"/>
      <c r="FX392" s="60"/>
    </row>
    <row r="393">
      <c r="A393" s="18"/>
      <c r="B393" s="14"/>
      <c r="C393" s="14"/>
      <c r="D393" s="14"/>
      <c r="E393" s="18"/>
      <c r="F393" s="18"/>
      <c r="G393" s="18"/>
      <c r="H393" s="18"/>
      <c r="I393" s="18"/>
      <c r="J393" s="18"/>
      <c r="K393" s="18"/>
      <c r="L393" s="18"/>
      <c r="M393" s="18"/>
      <c r="N393" s="18"/>
      <c r="O393" s="18"/>
      <c r="P393" s="23"/>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c r="CW393" s="26"/>
      <c r="CX393" s="26"/>
      <c r="CY393" s="26"/>
      <c r="CZ393" s="26"/>
      <c r="DA393" s="26"/>
      <c r="DB393" s="26"/>
      <c r="DC393" s="26"/>
      <c r="DD393" s="26"/>
      <c r="DE393" s="26"/>
      <c r="DF393" s="26"/>
      <c r="DG393" s="26"/>
      <c r="DH393" s="26"/>
      <c r="DI393" s="26"/>
      <c r="DJ393" s="26"/>
      <c r="DK393" s="26"/>
      <c r="DL393" s="26"/>
      <c r="DM393" s="26"/>
      <c r="DN393" s="26"/>
      <c r="DO393" s="26"/>
      <c r="DP393" s="26"/>
      <c r="DQ393" s="26"/>
      <c r="DR393" s="26"/>
      <c r="DS393" s="26"/>
      <c r="DT393" s="26"/>
      <c r="DU393" s="26"/>
      <c r="DV393" s="26"/>
      <c r="DW393" s="26"/>
      <c r="DX393" s="26"/>
      <c r="DY393" s="26"/>
      <c r="DZ393" s="26"/>
      <c r="EA393" s="26"/>
      <c r="EB393" s="26"/>
      <c r="EC393" s="26"/>
      <c r="ED393" s="26"/>
      <c r="EE393" s="26"/>
      <c r="EF393" s="26"/>
      <c r="EG393" s="26"/>
      <c r="EH393" s="26"/>
      <c r="EI393" s="26"/>
      <c r="EJ393" s="26"/>
      <c r="EK393" s="26"/>
      <c r="EL393" s="26"/>
      <c r="EM393" s="26"/>
      <c r="EN393" s="26"/>
      <c r="EO393" s="26"/>
      <c r="EP393" s="26"/>
      <c r="EQ393" s="26"/>
      <c r="ER393" s="26"/>
      <c r="ES393" s="26"/>
      <c r="ET393" s="26"/>
      <c r="EU393" s="26"/>
      <c r="EV393" s="26"/>
      <c r="EW393" s="26"/>
      <c r="EX393" s="26"/>
      <c r="EY393" s="26"/>
      <c r="EZ393" s="26"/>
      <c r="FA393" s="60"/>
      <c r="FB393" s="60"/>
      <c r="FC393" s="60"/>
      <c r="FD393" s="60"/>
      <c r="FE393" s="60"/>
      <c r="FF393" s="60"/>
      <c r="FG393" s="60"/>
      <c r="FH393" s="60"/>
      <c r="FI393" s="60"/>
      <c r="FJ393" s="60"/>
      <c r="FK393" s="60"/>
      <c r="FL393" s="60"/>
      <c r="FM393" s="60"/>
      <c r="FN393" s="60"/>
      <c r="FO393" s="60"/>
      <c r="FP393" s="60"/>
      <c r="FQ393" s="60"/>
      <c r="FR393" s="60"/>
      <c r="FS393" s="60"/>
      <c r="FT393" s="60"/>
      <c r="FU393" s="60"/>
      <c r="FV393" s="60"/>
      <c r="FW393" s="60"/>
      <c r="FX393" s="60"/>
    </row>
    <row r="394">
      <c r="A394" s="18"/>
      <c r="B394" s="14"/>
      <c r="C394" s="14"/>
      <c r="D394" s="14"/>
      <c r="E394" s="18"/>
      <c r="F394" s="18"/>
      <c r="G394" s="18"/>
      <c r="H394" s="18"/>
      <c r="I394" s="18"/>
      <c r="J394" s="18"/>
      <c r="K394" s="18"/>
      <c r="L394" s="18"/>
      <c r="M394" s="18"/>
      <c r="N394" s="18"/>
      <c r="O394" s="18"/>
      <c r="P394" s="23"/>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26"/>
      <c r="CU394" s="26"/>
      <c r="CV394" s="26"/>
      <c r="CW394" s="26"/>
      <c r="CX394" s="26"/>
      <c r="CY394" s="26"/>
      <c r="CZ394" s="26"/>
      <c r="DA394" s="26"/>
      <c r="DB394" s="26"/>
      <c r="DC394" s="26"/>
      <c r="DD394" s="26"/>
      <c r="DE394" s="26"/>
      <c r="DF394" s="26"/>
      <c r="DG394" s="26"/>
      <c r="DH394" s="26"/>
      <c r="DI394" s="26"/>
      <c r="DJ394" s="26"/>
      <c r="DK394" s="26"/>
      <c r="DL394" s="26"/>
      <c r="DM394" s="26"/>
      <c r="DN394" s="26"/>
      <c r="DO394" s="26"/>
      <c r="DP394" s="26"/>
      <c r="DQ394" s="26"/>
      <c r="DR394" s="26"/>
      <c r="DS394" s="26"/>
      <c r="DT394" s="26"/>
      <c r="DU394" s="26"/>
      <c r="DV394" s="26"/>
      <c r="DW394" s="26"/>
      <c r="DX394" s="26"/>
      <c r="DY394" s="26"/>
      <c r="DZ394" s="26"/>
      <c r="EA394" s="26"/>
      <c r="EB394" s="26"/>
      <c r="EC394" s="26"/>
      <c r="ED394" s="26"/>
      <c r="EE394" s="26"/>
      <c r="EF394" s="26"/>
      <c r="EG394" s="26"/>
      <c r="EH394" s="26"/>
      <c r="EI394" s="26"/>
      <c r="EJ394" s="26"/>
      <c r="EK394" s="26"/>
      <c r="EL394" s="26"/>
      <c r="EM394" s="26"/>
      <c r="EN394" s="26"/>
      <c r="EO394" s="26"/>
      <c r="EP394" s="26"/>
      <c r="EQ394" s="26"/>
      <c r="ER394" s="26"/>
      <c r="ES394" s="26"/>
      <c r="ET394" s="26"/>
      <c r="EU394" s="26"/>
      <c r="EV394" s="26"/>
      <c r="EW394" s="26"/>
      <c r="EX394" s="26"/>
      <c r="EY394" s="26"/>
      <c r="EZ394" s="26"/>
      <c r="FA394" s="60"/>
      <c r="FB394" s="60"/>
      <c r="FC394" s="60"/>
      <c r="FD394" s="60"/>
      <c r="FE394" s="60"/>
      <c r="FF394" s="60"/>
      <c r="FG394" s="60"/>
      <c r="FH394" s="60"/>
      <c r="FI394" s="60"/>
      <c r="FJ394" s="60"/>
      <c r="FK394" s="60"/>
      <c r="FL394" s="60"/>
      <c r="FM394" s="60"/>
      <c r="FN394" s="60"/>
      <c r="FO394" s="60"/>
      <c r="FP394" s="60"/>
      <c r="FQ394" s="60"/>
      <c r="FR394" s="60"/>
      <c r="FS394" s="60"/>
      <c r="FT394" s="60"/>
      <c r="FU394" s="60"/>
      <c r="FV394" s="60"/>
      <c r="FW394" s="60"/>
      <c r="FX394" s="60"/>
    </row>
    <row r="395">
      <c r="A395" s="18"/>
      <c r="B395" s="14"/>
      <c r="C395" s="14"/>
      <c r="D395" s="14"/>
      <c r="E395" s="18"/>
      <c r="F395" s="18"/>
      <c r="G395" s="18"/>
      <c r="H395" s="18"/>
      <c r="I395" s="18"/>
      <c r="J395" s="18"/>
      <c r="K395" s="18"/>
      <c r="L395" s="18"/>
      <c r="M395" s="18"/>
      <c r="N395" s="18"/>
      <c r="O395" s="18"/>
      <c r="P395" s="23"/>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26"/>
      <c r="CU395" s="26"/>
      <c r="CV395" s="26"/>
      <c r="CW395" s="26"/>
      <c r="CX395" s="26"/>
      <c r="CY395" s="26"/>
      <c r="CZ395" s="26"/>
      <c r="DA395" s="26"/>
      <c r="DB395" s="26"/>
      <c r="DC395" s="26"/>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26"/>
      <c r="EA395" s="26"/>
      <c r="EB395" s="26"/>
      <c r="EC395" s="26"/>
      <c r="ED395" s="26"/>
      <c r="EE395" s="26"/>
      <c r="EF395" s="26"/>
      <c r="EG395" s="26"/>
      <c r="EH395" s="26"/>
      <c r="EI395" s="26"/>
      <c r="EJ395" s="26"/>
      <c r="EK395" s="26"/>
      <c r="EL395" s="26"/>
      <c r="EM395" s="26"/>
      <c r="EN395" s="26"/>
      <c r="EO395" s="26"/>
      <c r="EP395" s="26"/>
      <c r="EQ395" s="26"/>
      <c r="ER395" s="26"/>
      <c r="ES395" s="26"/>
      <c r="ET395" s="26"/>
      <c r="EU395" s="26"/>
      <c r="EV395" s="26"/>
      <c r="EW395" s="26"/>
      <c r="EX395" s="26"/>
      <c r="EY395" s="26"/>
      <c r="EZ395" s="26"/>
      <c r="FA395" s="60"/>
      <c r="FB395" s="60"/>
      <c r="FC395" s="60"/>
      <c r="FD395" s="60"/>
      <c r="FE395" s="60"/>
      <c r="FF395" s="60"/>
      <c r="FG395" s="60"/>
      <c r="FH395" s="60"/>
      <c r="FI395" s="60"/>
      <c r="FJ395" s="60"/>
      <c r="FK395" s="60"/>
      <c r="FL395" s="60"/>
      <c r="FM395" s="60"/>
      <c r="FN395" s="60"/>
      <c r="FO395" s="60"/>
      <c r="FP395" s="60"/>
      <c r="FQ395" s="60"/>
      <c r="FR395" s="60"/>
      <c r="FS395" s="60"/>
      <c r="FT395" s="60"/>
      <c r="FU395" s="60"/>
      <c r="FV395" s="60"/>
      <c r="FW395" s="60"/>
      <c r="FX395" s="60"/>
    </row>
    <row r="396">
      <c r="A396" s="18"/>
      <c r="B396" s="14"/>
      <c r="C396" s="14"/>
      <c r="D396" s="14"/>
      <c r="E396" s="18"/>
      <c r="F396" s="18"/>
      <c r="G396" s="18"/>
      <c r="H396" s="18"/>
      <c r="I396" s="18"/>
      <c r="J396" s="18"/>
      <c r="K396" s="18"/>
      <c r="L396" s="18"/>
      <c r="M396" s="18"/>
      <c r="N396" s="18"/>
      <c r="O396" s="18"/>
      <c r="P396" s="23"/>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26"/>
      <c r="CU396" s="26"/>
      <c r="CV396" s="26"/>
      <c r="CW396" s="26"/>
      <c r="CX396" s="26"/>
      <c r="CY396" s="26"/>
      <c r="CZ396" s="26"/>
      <c r="DA396" s="26"/>
      <c r="DB396" s="26"/>
      <c r="DC396" s="26"/>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26"/>
      <c r="EA396" s="26"/>
      <c r="EB396" s="26"/>
      <c r="EC396" s="26"/>
      <c r="ED396" s="26"/>
      <c r="EE396" s="26"/>
      <c r="EF396" s="26"/>
      <c r="EG396" s="26"/>
      <c r="EH396" s="26"/>
      <c r="EI396" s="26"/>
      <c r="EJ396" s="26"/>
      <c r="EK396" s="26"/>
      <c r="EL396" s="26"/>
      <c r="EM396" s="26"/>
      <c r="EN396" s="26"/>
      <c r="EO396" s="26"/>
      <c r="EP396" s="26"/>
      <c r="EQ396" s="26"/>
      <c r="ER396" s="26"/>
      <c r="ES396" s="26"/>
      <c r="ET396" s="26"/>
      <c r="EU396" s="26"/>
      <c r="EV396" s="26"/>
      <c r="EW396" s="26"/>
      <c r="EX396" s="26"/>
      <c r="EY396" s="26"/>
      <c r="EZ396" s="26"/>
      <c r="FA396" s="60"/>
      <c r="FB396" s="60"/>
      <c r="FC396" s="60"/>
      <c r="FD396" s="60"/>
      <c r="FE396" s="60"/>
      <c r="FF396" s="60"/>
      <c r="FG396" s="60"/>
      <c r="FH396" s="60"/>
      <c r="FI396" s="60"/>
      <c r="FJ396" s="60"/>
      <c r="FK396" s="60"/>
      <c r="FL396" s="60"/>
      <c r="FM396" s="60"/>
      <c r="FN396" s="60"/>
      <c r="FO396" s="60"/>
      <c r="FP396" s="60"/>
      <c r="FQ396" s="60"/>
      <c r="FR396" s="60"/>
      <c r="FS396" s="60"/>
      <c r="FT396" s="60"/>
      <c r="FU396" s="60"/>
      <c r="FV396" s="60"/>
      <c r="FW396" s="60"/>
      <c r="FX396" s="60"/>
    </row>
    <row r="397">
      <c r="A397" s="18"/>
      <c r="B397" s="14"/>
      <c r="C397" s="14"/>
      <c r="D397" s="14"/>
      <c r="E397" s="18"/>
      <c r="F397" s="18"/>
      <c r="G397" s="18"/>
      <c r="H397" s="18"/>
      <c r="I397" s="18"/>
      <c r="J397" s="18"/>
      <c r="K397" s="18"/>
      <c r="L397" s="18"/>
      <c r="M397" s="18"/>
      <c r="N397" s="18"/>
      <c r="O397" s="18"/>
      <c r="P397" s="23"/>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26"/>
      <c r="CU397" s="26"/>
      <c r="CV397" s="26"/>
      <c r="CW397" s="26"/>
      <c r="CX397" s="26"/>
      <c r="CY397" s="26"/>
      <c r="CZ397" s="26"/>
      <c r="DA397" s="26"/>
      <c r="DB397" s="26"/>
      <c r="DC397" s="26"/>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26"/>
      <c r="EA397" s="26"/>
      <c r="EB397" s="26"/>
      <c r="EC397" s="26"/>
      <c r="ED397" s="26"/>
      <c r="EE397" s="26"/>
      <c r="EF397" s="26"/>
      <c r="EG397" s="26"/>
      <c r="EH397" s="26"/>
      <c r="EI397" s="26"/>
      <c r="EJ397" s="26"/>
      <c r="EK397" s="26"/>
      <c r="EL397" s="26"/>
      <c r="EM397" s="26"/>
      <c r="EN397" s="26"/>
      <c r="EO397" s="26"/>
      <c r="EP397" s="26"/>
      <c r="EQ397" s="26"/>
      <c r="ER397" s="26"/>
      <c r="ES397" s="26"/>
      <c r="ET397" s="26"/>
      <c r="EU397" s="26"/>
      <c r="EV397" s="26"/>
      <c r="EW397" s="26"/>
      <c r="EX397" s="26"/>
      <c r="EY397" s="26"/>
      <c r="EZ397" s="26"/>
      <c r="FA397" s="60"/>
      <c r="FB397" s="60"/>
      <c r="FC397" s="60"/>
      <c r="FD397" s="60"/>
      <c r="FE397" s="60"/>
      <c r="FF397" s="60"/>
      <c r="FG397" s="60"/>
      <c r="FH397" s="60"/>
      <c r="FI397" s="60"/>
      <c r="FJ397" s="60"/>
      <c r="FK397" s="60"/>
      <c r="FL397" s="60"/>
      <c r="FM397" s="60"/>
      <c r="FN397" s="60"/>
      <c r="FO397" s="60"/>
      <c r="FP397" s="60"/>
      <c r="FQ397" s="60"/>
      <c r="FR397" s="60"/>
      <c r="FS397" s="60"/>
      <c r="FT397" s="60"/>
      <c r="FU397" s="60"/>
      <c r="FV397" s="60"/>
      <c r="FW397" s="60"/>
      <c r="FX397" s="60"/>
    </row>
    <row r="398">
      <c r="A398" s="18"/>
      <c r="B398" s="14"/>
      <c r="C398" s="14"/>
      <c r="D398" s="14"/>
      <c r="E398" s="18"/>
      <c r="F398" s="18"/>
      <c r="G398" s="18"/>
      <c r="H398" s="18"/>
      <c r="I398" s="18"/>
      <c r="J398" s="18"/>
      <c r="K398" s="18"/>
      <c r="L398" s="18"/>
      <c r="M398" s="18"/>
      <c r="N398" s="18"/>
      <c r="O398" s="18"/>
      <c r="P398" s="23"/>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26"/>
      <c r="CU398" s="26"/>
      <c r="CV398" s="26"/>
      <c r="CW398" s="26"/>
      <c r="CX398" s="26"/>
      <c r="CY398" s="26"/>
      <c r="CZ398" s="26"/>
      <c r="DA398" s="26"/>
      <c r="DB398" s="26"/>
      <c r="DC398" s="26"/>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26"/>
      <c r="EA398" s="26"/>
      <c r="EB398" s="26"/>
      <c r="EC398" s="26"/>
      <c r="ED398" s="26"/>
      <c r="EE398" s="26"/>
      <c r="EF398" s="26"/>
      <c r="EG398" s="26"/>
      <c r="EH398" s="26"/>
      <c r="EI398" s="26"/>
      <c r="EJ398" s="26"/>
      <c r="EK398" s="26"/>
      <c r="EL398" s="26"/>
      <c r="EM398" s="26"/>
      <c r="EN398" s="26"/>
      <c r="EO398" s="26"/>
      <c r="EP398" s="26"/>
      <c r="EQ398" s="26"/>
      <c r="ER398" s="26"/>
      <c r="ES398" s="26"/>
      <c r="ET398" s="26"/>
      <c r="EU398" s="26"/>
      <c r="EV398" s="26"/>
      <c r="EW398" s="26"/>
      <c r="EX398" s="26"/>
      <c r="EY398" s="26"/>
      <c r="EZ398" s="26"/>
      <c r="FA398" s="60"/>
      <c r="FB398" s="60"/>
      <c r="FC398" s="60"/>
      <c r="FD398" s="60"/>
      <c r="FE398" s="60"/>
      <c r="FF398" s="60"/>
      <c r="FG398" s="60"/>
      <c r="FH398" s="60"/>
      <c r="FI398" s="60"/>
      <c r="FJ398" s="60"/>
      <c r="FK398" s="60"/>
      <c r="FL398" s="60"/>
      <c r="FM398" s="60"/>
      <c r="FN398" s="60"/>
      <c r="FO398" s="60"/>
      <c r="FP398" s="60"/>
      <c r="FQ398" s="60"/>
      <c r="FR398" s="60"/>
      <c r="FS398" s="60"/>
      <c r="FT398" s="60"/>
      <c r="FU398" s="60"/>
      <c r="FV398" s="60"/>
      <c r="FW398" s="60"/>
      <c r="FX398" s="60"/>
    </row>
    <row r="399">
      <c r="A399" s="18"/>
      <c r="B399" s="14"/>
      <c r="C399" s="14"/>
      <c r="D399" s="14"/>
      <c r="E399" s="18"/>
      <c r="F399" s="18"/>
      <c r="G399" s="18"/>
      <c r="H399" s="18"/>
      <c r="I399" s="18"/>
      <c r="J399" s="18"/>
      <c r="K399" s="18"/>
      <c r="L399" s="18"/>
      <c r="M399" s="18"/>
      <c r="N399" s="18"/>
      <c r="O399" s="18"/>
      <c r="P399" s="23"/>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26"/>
      <c r="CU399" s="26"/>
      <c r="CV399" s="26"/>
      <c r="CW399" s="26"/>
      <c r="CX399" s="26"/>
      <c r="CY399" s="26"/>
      <c r="CZ399" s="26"/>
      <c r="DA399" s="26"/>
      <c r="DB399" s="26"/>
      <c r="DC399" s="26"/>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26"/>
      <c r="EA399" s="26"/>
      <c r="EB399" s="26"/>
      <c r="EC399" s="26"/>
      <c r="ED399" s="26"/>
      <c r="EE399" s="26"/>
      <c r="EF399" s="26"/>
      <c r="EG399" s="26"/>
      <c r="EH399" s="26"/>
      <c r="EI399" s="26"/>
      <c r="EJ399" s="26"/>
      <c r="EK399" s="26"/>
      <c r="EL399" s="26"/>
      <c r="EM399" s="26"/>
      <c r="EN399" s="26"/>
      <c r="EO399" s="26"/>
      <c r="EP399" s="26"/>
      <c r="EQ399" s="26"/>
      <c r="ER399" s="26"/>
      <c r="ES399" s="26"/>
      <c r="ET399" s="26"/>
      <c r="EU399" s="26"/>
      <c r="EV399" s="26"/>
      <c r="EW399" s="26"/>
      <c r="EX399" s="26"/>
      <c r="EY399" s="26"/>
      <c r="EZ399" s="26"/>
      <c r="FA399" s="60"/>
      <c r="FB399" s="60"/>
      <c r="FC399" s="60"/>
      <c r="FD399" s="60"/>
      <c r="FE399" s="60"/>
      <c r="FF399" s="60"/>
      <c r="FG399" s="60"/>
      <c r="FH399" s="60"/>
      <c r="FI399" s="60"/>
      <c r="FJ399" s="60"/>
      <c r="FK399" s="60"/>
      <c r="FL399" s="60"/>
      <c r="FM399" s="60"/>
      <c r="FN399" s="60"/>
      <c r="FO399" s="60"/>
      <c r="FP399" s="60"/>
      <c r="FQ399" s="60"/>
      <c r="FR399" s="60"/>
      <c r="FS399" s="60"/>
      <c r="FT399" s="60"/>
      <c r="FU399" s="60"/>
      <c r="FV399" s="60"/>
      <c r="FW399" s="60"/>
      <c r="FX399" s="60"/>
    </row>
    <row r="400">
      <c r="A400" s="18"/>
      <c r="B400" s="14"/>
      <c r="C400" s="14"/>
      <c r="D400" s="14"/>
      <c r="E400" s="18"/>
      <c r="F400" s="18"/>
      <c r="G400" s="18"/>
      <c r="H400" s="18"/>
      <c r="I400" s="18"/>
      <c r="J400" s="18"/>
      <c r="K400" s="18"/>
      <c r="L400" s="18"/>
      <c r="M400" s="18"/>
      <c r="N400" s="18"/>
      <c r="O400" s="18"/>
      <c r="P400" s="23"/>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c r="CU400" s="26"/>
      <c r="CV400" s="26"/>
      <c r="CW400" s="26"/>
      <c r="CX400" s="26"/>
      <c r="CY400" s="26"/>
      <c r="CZ400" s="26"/>
      <c r="DA400" s="26"/>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60"/>
      <c r="FB400" s="60"/>
      <c r="FC400" s="60"/>
      <c r="FD400" s="60"/>
      <c r="FE400" s="60"/>
      <c r="FF400" s="60"/>
      <c r="FG400" s="60"/>
      <c r="FH400" s="60"/>
      <c r="FI400" s="60"/>
      <c r="FJ400" s="60"/>
      <c r="FK400" s="60"/>
      <c r="FL400" s="60"/>
      <c r="FM400" s="60"/>
      <c r="FN400" s="60"/>
      <c r="FO400" s="60"/>
      <c r="FP400" s="60"/>
      <c r="FQ400" s="60"/>
      <c r="FR400" s="60"/>
      <c r="FS400" s="60"/>
      <c r="FT400" s="60"/>
      <c r="FU400" s="60"/>
      <c r="FV400" s="60"/>
      <c r="FW400" s="60"/>
      <c r="FX400" s="60"/>
    </row>
    <row r="401">
      <c r="A401" s="18"/>
      <c r="B401" s="14"/>
      <c r="C401" s="14"/>
      <c r="D401" s="14"/>
      <c r="E401" s="18"/>
      <c r="F401" s="18"/>
      <c r="G401" s="18"/>
      <c r="H401" s="18"/>
      <c r="I401" s="18"/>
      <c r="J401" s="18"/>
      <c r="K401" s="18"/>
      <c r="L401" s="18"/>
      <c r="M401" s="18"/>
      <c r="N401" s="18"/>
      <c r="O401" s="18"/>
      <c r="P401" s="23"/>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60"/>
      <c r="FB401" s="60"/>
      <c r="FC401" s="60"/>
      <c r="FD401" s="60"/>
      <c r="FE401" s="60"/>
      <c r="FF401" s="60"/>
      <c r="FG401" s="60"/>
      <c r="FH401" s="60"/>
      <c r="FI401" s="60"/>
      <c r="FJ401" s="60"/>
      <c r="FK401" s="60"/>
      <c r="FL401" s="60"/>
      <c r="FM401" s="60"/>
      <c r="FN401" s="60"/>
      <c r="FO401" s="60"/>
      <c r="FP401" s="60"/>
      <c r="FQ401" s="60"/>
      <c r="FR401" s="60"/>
      <c r="FS401" s="60"/>
      <c r="FT401" s="60"/>
      <c r="FU401" s="60"/>
      <c r="FV401" s="60"/>
      <c r="FW401" s="60"/>
      <c r="FX401" s="60"/>
    </row>
    <row r="402">
      <c r="A402" s="18"/>
      <c r="B402" s="14"/>
      <c r="C402" s="14"/>
      <c r="D402" s="14"/>
      <c r="E402" s="18"/>
      <c r="F402" s="18"/>
      <c r="G402" s="18"/>
      <c r="H402" s="18"/>
      <c r="I402" s="18"/>
      <c r="J402" s="18"/>
      <c r="K402" s="18"/>
      <c r="L402" s="18"/>
      <c r="M402" s="18"/>
      <c r="N402" s="18"/>
      <c r="O402" s="18"/>
      <c r="P402" s="23"/>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c r="CW402" s="26"/>
      <c r="CX402" s="26"/>
      <c r="CY402" s="26"/>
      <c r="CZ402" s="26"/>
      <c r="DA402" s="26"/>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60"/>
      <c r="FB402" s="60"/>
      <c r="FC402" s="60"/>
      <c r="FD402" s="60"/>
      <c r="FE402" s="60"/>
      <c r="FF402" s="60"/>
      <c r="FG402" s="60"/>
      <c r="FH402" s="60"/>
      <c r="FI402" s="60"/>
      <c r="FJ402" s="60"/>
      <c r="FK402" s="60"/>
      <c r="FL402" s="60"/>
      <c r="FM402" s="60"/>
      <c r="FN402" s="60"/>
      <c r="FO402" s="60"/>
      <c r="FP402" s="60"/>
      <c r="FQ402" s="60"/>
      <c r="FR402" s="60"/>
      <c r="FS402" s="60"/>
      <c r="FT402" s="60"/>
      <c r="FU402" s="60"/>
      <c r="FV402" s="60"/>
      <c r="FW402" s="60"/>
      <c r="FX402" s="60"/>
    </row>
    <row r="403">
      <c r="A403" s="18"/>
      <c r="B403" s="14"/>
      <c r="C403" s="14"/>
      <c r="D403" s="14"/>
      <c r="E403" s="18"/>
      <c r="F403" s="18"/>
      <c r="G403" s="18"/>
      <c r="H403" s="18"/>
      <c r="I403" s="18"/>
      <c r="J403" s="18"/>
      <c r="K403" s="18"/>
      <c r="L403" s="18"/>
      <c r="M403" s="18"/>
      <c r="N403" s="18"/>
      <c r="O403" s="18"/>
      <c r="P403" s="23"/>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c r="CW403" s="26"/>
      <c r="CX403" s="26"/>
      <c r="CY403" s="26"/>
      <c r="CZ403" s="26"/>
      <c r="DA403" s="26"/>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60"/>
      <c r="FB403" s="60"/>
      <c r="FC403" s="60"/>
      <c r="FD403" s="60"/>
      <c r="FE403" s="60"/>
      <c r="FF403" s="60"/>
      <c r="FG403" s="60"/>
      <c r="FH403" s="60"/>
      <c r="FI403" s="60"/>
      <c r="FJ403" s="60"/>
      <c r="FK403" s="60"/>
      <c r="FL403" s="60"/>
      <c r="FM403" s="60"/>
      <c r="FN403" s="60"/>
      <c r="FO403" s="60"/>
      <c r="FP403" s="60"/>
      <c r="FQ403" s="60"/>
      <c r="FR403" s="60"/>
      <c r="FS403" s="60"/>
      <c r="FT403" s="60"/>
      <c r="FU403" s="60"/>
      <c r="FV403" s="60"/>
      <c r="FW403" s="60"/>
      <c r="FX403" s="60"/>
    </row>
    <row r="404">
      <c r="A404" s="18"/>
      <c r="B404" s="14"/>
      <c r="C404" s="14"/>
      <c r="D404" s="14"/>
      <c r="E404" s="18"/>
      <c r="F404" s="18"/>
      <c r="G404" s="18"/>
      <c r="H404" s="18"/>
      <c r="I404" s="18"/>
      <c r="J404" s="18"/>
      <c r="K404" s="18"/>
      <c r="L404" s="18"/>
      <c r="M404" s="18"/>
      <c r="N404" s="18"/>
      <c r="O404" s="18"/>
      <c r="P404" s="23"/>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c r="CW404" s="26"/>
      <c r="CX404" s="26"/>
      <c r="CY404" s="26"/>
      <c r="CZ404" s="26"/>
      <c r="DA404" s="26"/>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60"/>
      <c r="FB404" s="60"/>
      <c r="FC404" s="60"/>
      <c r="FD404" s="60"/>
      <c r="FE404" s="60"/>
      <c r="FF404" s="60"/>
      <c r="FG404" s="60"/>
      <c r="FH404" s="60"/>
      <c r="FI404" s="60"/>
      <c r="FJ404" s="60"/>
      <c r="FK404" s="60"/>
      <c r="FL404" s="60"/>
      <c r="FM404" s="60"/>
      <c r="FN404" s="60"/>
      <c r="FO404" s="60"/>
      <c r="FP404" s="60"/>
      <c r="FQ404" s="60"/>
      <c r="FR404" s="60"/>
      <c r="FS404" s="60"/>
      <c r="FT404" s="60"/>
      <c r="FU404" s="60"/>
      <c r="FV404" s="60"/>
      <c r="FW404" s="60"/>
      <c r="FX404" s="60"/>
    </row>
    <row r="405">
      <c r="A405" s="18"/>
      <c r="B405" s="14"/>
      <c r="C405" s="14"/>
      <c r="D405" s="14"/>
      <c r="E405" s="18"/>
      <c r="F405" s="18"/>
      <c r="G405" s="18"/>
      <c r="H405" s="18"/>
      <c r="I405" s="18"/>
      <c r="J405" s="18"/>
      <c r="K405" s="18"/>
      <c r="L405" s="18"/>
      <c r="M405" s="18"/>
      <c r="N405" s="18"/>
      <c r="O405" s="18"/>
      <c r="P405" s="23"/>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c r="CU405" s="26"/>
      <c r="CV405" s="26"/>
      <c r="CW405" s="26"/>
      <c r="CX405" s="26"/>
      <c r="CY405" s="26"/>
      <c r="CZ405" s="26"/>
      <c r="DA405" s="26"/>
      <c r="DB405" s="26"/>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60"/>
      <c r="FB405" s="60"/>
      <c r="FC405" s="60"/>
      <c r="FD405" s="60"/>
      <c r="FE405" s="60"/>
      <c r="FF405" s="60"/>
      <c r="FG405" s="60"/>
      <c r="FH405" s="60"/>
      <c r="FI405" s="60"/>
      <c r="FJ405" s="60"/>
      <c r="FK405" s="60"/>
      <c r="FL405" s="60"/>
      <c r="FM405" s="60"/>
      <c r="FN405" s="60"/>
      <c r="FO405" s="60"/>
      <c r="FP405" s="60"/>
      <c r="FQ405" s="60"/>
      <c r="FR405" s="60"/>
      <c r="FS405" s="60"/>
      <c r="FT405" s="60"/>
      <c r="FU405" s="60"/>
      <c r="FV405" s="60"/>
      <c r="FW405" s="60"/>
      <c r="FX405" s="60"/>
    </row>
    <row r="406">
      <c r="A406" s="18"/>
      <c r="B406" s="14"/>
      <c r="C406" s="14"/>
      <c r="D406" s="14"/>
      <c r="E406" s="18"/>
      <c r="F406" s="18"/>
      <c r="G406" s="18"/>
      <c r="H406" s="18"/>
      <c r="I406" s="18"/>
      <c r="J406" s="18"/>
      <c r="K406" s="18"/>
      <c r="L406" s="18"/>
      <c r="M406" s="18"/>
      <c r="N406" s="18"/>
      <c r="O406" s="18"/>
      <c r="P406" s="23"/>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c r="CU406" s="26"/>
      <c r="CV406" s="26"/>
      <c r="CW406" s="26"/>
      <c r="CX406" s="26"/>
      <c r="CY406" s="26"/>
      <c r="CZ406" s="26"/>
      <c r="DA406" s="26"/>
      <c r="DB406" s="26"/>
      <c r="DC406" s="26"/>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26"/>
      <c r="EA406" s="26"/>
      <c r="EB406" s="26"/>
      <c r="EC406" s="26"/>
      <c r="ED406" s="26"/>
      <c r="EE406" s="26"/>
      <c r="EF406" s="26"/>
      <c r="EG406" s="26"/>
      <c r="EH406" s="26"/>
      <c r="EI406" s="26"/>
      <c r="EJ406" s="26"/>
      <c r="EK406" s="26"/>
      <c r="EL406" s="26"/>
      <c r="EM406" s="26"/>
      <c r="EN406" s="26"/>
      <c r="EO406" s="26"/>
      <c r="EP406" s="26"/>
      <c r="EQ406" s="26"/>
      <c r="ER406" s="26"/>
      <c r="ES406" s="26"/>
      <c r="ET406" s="26"/>
      <c r="EU406" s="26"/>
      <c r="EV406" s="26"/>
      <c r="EW406" s="26"/>
      <c r="EX406" s="26"/>
      <c r="EY406" s="26"/>
      <c r="EZ406" s="26"/>
      <c r="FA406" s="60"/>
      <c r="FB406" s="60"/>
      <c r="FC406" s="60"/>
      <c r="FD406" s="60"/>
      <c r="FE406" s="60"/>
      <c r="FF406" s="60"/>
      <c r="FG406" s="60"/>
      <c r="FH406" s="60"/>
      <c r="FI406" s="60"/>
      <c r="FJ406" s="60"/>
      <c r="FK406" s="60"/>
      <c r="FL406" s="60"/>
      <c r="FM406" s="60"/>
      <c r="FN406" s="60"/>
      <c r="FO406" s="60"/>
      <c r="FP406" s="60"/>
      <c r="FQ406" s="60"/>
      <c r="FR406" s="60"/>
      <c r="FS406" s="60"/>
      <c r="FT406" s="60"/>
      <c r="FU406" s="60"/>
      <c r="FV406" s="60"/>
      <c r="FW406" s="60"/>
      <c r="FX406" s="60"/>
    </row>
    <row r="407">
      <c r="A407" s="18"/>
      <c r="B407" s="14"/>
      <c r="C407" s="14"/>
      <c r="D407" s="14"/>
      <c r="E407" s="18"/>
      <c r="F407" s="18"/>
      <c r="G407" s="18"/>
      <c r="H407" s="18"/>
      <c r="I407" s="18"/>
      <c r="J407" s="18"/>
      <c r="K407" s="18"/>
      <c r="L407" s="18"/>
      <c r="M407" s="18"/>
      <c r="N407" s="18"/>
      <c r="O407" s="18"/>
      <c r="P407" s="23"/>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26"/>
      <c r="CU407" s="26"/>
      <c r="CV407" s="26"/>
      <c r="CW407" s="26"/>
      <c r="CX407" s="26"/>
      <c r="CY407" s="26"/>
      <c r="CZ407" s="26"/>
      <c r="DA407" s="26"/>
      <c r="DB407" s="26"/>
      <c r="DC407" s="26"/>
      <c r="DD407" s="26"/>
      <c r="DE407" s="26"/>
      <c r="DF407" s="26"/>
      <c r="DG407" s="26"/>
      <c r="DH407" s="26"/>
      <c r="DI407" s="26"/>
      <c r="DJ407" s="26"/>
      <c r="DK407" s="26"/>
      <c r="DL407" s="26"/>
      <c r="DM407" s="26"/>
      <c r="DN407" s="26"/>
      <c r="DO407" s="26"/>
      <c r="DP407" s="26"/>
      <c r="DQ407" s="26"/>
      <c r="DR407" s="26"/>
      <c r="DS407" s="26"/>
      <c r="DT407" s="26"/>
      <c r="DU407" s="26"/>
      <c r="DV407" s="26"/>
      <c r="DW407" s="26"/>
      <c r="DX407" s="26"/>
      <c r="DY407" s="26"/>
      <c r="DZ407" s="26"/>
      <c r="EA407" s="26"/>
      <c r="EB407" s="26"/>
      <c r="EC407" s="26"/>
      <c r="ED407" s="26"/>
      <c r="EE407" s="26"/>
      <c r="EF407" s="26"/>
      <c r="EG407" s="26"/>
      <c r="EH407" s="26"/>
      <c r="EI407" s="26"/>
      <c r="EJ407" s="26"/>
      <c r="EK407" s="26"/>
      <c r="EL407" s="26"/>
      <c r="EM407" s="26"/>
      <c r="EN407" s="26"/>
      <c r="EO407" s="26"/>
      <c r="EP407" s="26"/>
      <c r="EQ407" s="26"/>
      <c r="ER407" s="26"/>
      <c r="ES407" s="26"/>
      <c r="ET407" s="26"/>
      <c r="EU407" s="26"/>
      <c r="EV407" s="26"/>
      <c r="EW407" s="26"/>
      <c r="EX407" s="26"/>
      <c r="EY407" s="26"/>
      <c r="EZ407" s="26"/>
      <c r="FA407" s="60"/>
      <c r="FB407" s="60"/>
      <c r="FC407" s="60"/>
      <c r="FD407" s="60"/>
      <c r="FE407" s="60"/>
      <c r="FF407" s="60"/>
      <c r="FG407" s="60"/>
      <c r="FH407" s="60"/>
      <c r="FI407" s="60"/>
      <c r="FJ407" s="60"/>
      <c r="FK407" s="60"/>
      <c r="FL407" s="60"/>
      <c r="FM407" s="60"/>
      <c r="FN407" s="60"/>
      <c r="FO407" s="60"/>
      <c r="FP407" s="60"/>
      <c r="FQ407" s="60"/>
      <c r="FR407" s="60"/>
      <c r="FS407" s="60"/>
      <c r="FT407" s="60"/>
      <c r="FU407" s="60"/>
      <c r="FV407" s="60"/>
      <c r="FW407" s="60"/>
      <c r="FX407" s="60"/>
    </row>
    <row r="408">
      <c r="A408" s="18"/>
      <c r="B408" s="14"/>
      <c r="C408" s="14"/>
      <c r="D408" s="14"/>
      <c r="E408" s="18"/>
      <c r="F408" s="18"/>
      <c r="G408" s="18"/>
      <c r="H408" s="18"/>
      <c r="I408" s="18"/>
      <c r="J408" s="18"/>
      <c r="K408" s="18"/>
      <c r="L408" s="18"/>
      <c r="M408" s="18"/>
      <c r="N408" s="18"/>
      <c r="O408" s="18"/>
      <c r="P408" s="23"/>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26"/>
      <c r="CU408" s="26"/>
      <c r="CV408" s="26"/>
      <c r="CW408" s="26"/>
      <c r="CX408" s="26"/>
      <c r="CY408" s="26"/>
      <c r="CZ408" s="26"/>
      <c r="DA408" s="26"/>
      <c r="DB408" s="26"/>
      <c r="DC408" s="26"/>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26"/>
      <c r="EA408" s="26"/>
      <c r="EB408" s="26"/>
      <c r="EC408" s="26"/>
      <c r="ED408" s="26"/>
      <c r="EE408" s="26"/>
      <c r="EF408" s="26"/>
      <c r="EG408" s="26"/>
      <c r="EH408" s="26"/>
      <c r="EI408" s="26"/>
      <c r="EJ408" s="26"/>
      <c r="EK408" s="26"/>
      <c r="EL408" s="26"/>
      <c r="EM408" s="26"/>
      <c r="EN408" s="26"/>
      <c r="EO408" s="26"/>
      <c r="EP408" s="26"/>
      <c r="EQ408" s="26"/>
      <c r="ER408" s="26"/>
      <c r="ES408" s="26"/>
      <c r="ET408" s="26"/>
      <c r="EU408" s="26"/>
      <c r="EV408" s="26"/>
      <c r="EW408" s="26"/>
      <c r="EX408" s="26"/>
      <c r="EY408" s="26"/>
      <c r="EZ408" s="26"/>
      <c r="FA408" s="60"/>
      <c r="FB408" s="60"/>
      <c r="FC408" s="60"/>
      <c r="FD408" s="60"/>
      <c r="FE408" s="60"/>
      <c r="FF408" s="60"/>
      <c r="FG408" s="60"/>
      <c r="FH408" s="60"/>
      <c r="FI408" s="60"/>
      <c r="FJ408" s="60"/>
      <c r="FK408" s="60"/>
      <c r="FL408" s="60"/>
      <c r="FM408" s="60"/>
      <c r="FN408" s="60"/>
      <c r="FO408" s="60"/>
      <c r="FP408" s="60"/>
      <c r="FQ408" s="60"/>
      <c r="FR408" s="60"/>
      <c r="FS408" s="60"/>
      <c r="FT408" s="60"/>
      <c r="FU408" s="60"/>
      <c r="FV408" s="60"/>
      <c r="FW408" s="60"/>
      <c r="FX408" s="60"/>
    </row>
    <row r="409">
      <c r="A409" s="18"/>
      <c r="B409" s="14"/>
      <c r="C409" s="14"/>
      <c r="D409" s="14"/>
      <c r="E409" s="18"/>
      <c r="F409" s="18"/>
      <c r="G409" s="18"/>
      <c r="H409" s="18"/>
      <c r="I409" s="18"/>
      <c r="J409" s="18"/>
      <c r="K409" s="18"/>
      <c r="L409" s="18"/>
      <c r="M409" s="18"/>
      <c r="N409" s="18"/>
      <c r="O409" s="18"/>
      <c r="P409" s="23"/>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c r="CU409" s="26"/>
      <c r="CV409" s="26"/>
      <c r="CW409" s="26"/>
      <c r="CX409" s="26"/>
      <c r="CY409" s="26"/>
      <c r="CZ409" s="26"/>
      <c r="DA409" s="26"/>
      <c r="DB409" s="26"/>
      <c r="DC409" s="26"/>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26"/>
      <c r="EA409" s="26"/>
      <c r="EB409" s="26"/>
      <c r="EC409" s="26"/>
      <c r="ED409" s="26"/>
      <c r="EE409" s="26"/>
      <c r="EF409" s="26"/>
      <c r="EG409" s="26"/>
      <c r="EH409" s="26"/>
      <c r="EI409" s="26"/>
      <c r="EJ409" s="26"/>
      <c r="EK409" s="26"/>
      <c r="EL409" s="26"/>
      <c r="EM409" s="26"/>
      <c r="EN409" s="26"/>
      <c r="EO409" s="26"/>
      <c r="EP409" s="26"/>
      <c r="EQ409" s="26"/>
      <c r="ER409" s="26"/>
      <c r="ES409" s="26"/>
      <c r="ET409" s="26"/>
      <c r="EU409" s="26"/>
      <c r="EV409" s="26"/>
      <c r="EW409" s="26"/>
      <c r="EX409" s="26"/>
      <c r="EY409" s="26"/>
      <c r="EZ409" s="26"/>
      <c r="FA409" s="60"/>
      <c r="FB409" s="60"/>
      <c r="FC409" s="60"/>
      <c r="FD409" s="60"/>
      <c r="FE409" s="60"/>
      <c r="FF409" s="60"/>
      <c r="FG409" s="60"/>
      <c r="FH409" s="60"/>
      <c r="FI409" s="60"/>
      <c r="FJ409" s="60"/>
      <c r="FK409" s="60"/>
      <c r="FL409" s="60"/>
      <c r="FM409" s="60"/>
      <c r="FN409" s="60"/>
      <c r="FO409" s="60"/>
      <c r="FP409" s="60"/>
      <c r="FQ409" s="60"/>
      <c r="FR409" s="60"/>
      <c r="FS409" s="60"/>
      <c r="FT409" s="60"/>
      <c r="FU409" s="60"/>
      <c r="FV409" s="60"/>
      <c r="FW409" s="60"/>
      <c r="FX409" s="60"/>
    </row>
    <row r="410">
      <c r="A410" s="18"/>
      <c r="B410" s="14"/>
      <c r="C410" s="14"/>
      <c r="D410" s="14"/>
      <c r="E410" s="18"/>
      <c r="F410" s="18"/>
      <c r="G410" s="18"/>
      <c r="H410" s="18"/>
      <c r="I410" s="18"/>
      <c r="J410" s="18"/>
      <c r="K410" s="18"/>
      <c r="L410" s="18"/>
      <c r="M410" s="18"/>
      <c r="N410" s="18"/>
      <c r="O410" s="18"/>
      <c r="P410" s="23"/>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c r="CU410" s="26"/>
      <c r="CV410" s="26"/>
      <c r="CW410" s="26"/>
      <c r="CX410" s="26"/>
      <c r="CY410" s="26"/>
      <c r="CZ410" s="26"/>
      <c r="DA410" s="26"/>
      <c r="DB410" s="26"/>
      <c r="DC410" s="26"/>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26"/>
      <c r="EA410" s="26"/>
      <c r="EB410" s="26"/>
      <c r="EC410" s="26"/>
      <c r="ED410" s="26"/>
      <c r="EE410" s="26"/>
      <c r="EF410" s="26"/>
      <c r="EG410" s="26"/>
      <c r="EH410" s="26"/>
      <c r="EI410" s="26"/>
      <c r="EJ410" s="26"/>
      <c r="EK410" s="26"/>
      <c r="EL410" s="26"/>
      <c r="EM410" s="26"/>
      <c r="EN410" s="26"/>
      <c r="EO410" s="26"/>
      <c r="EP410" s="26"/>
      <c r="EQ410" s="26"/>
      <c r="ER410" s="26"/>
      <c r="ES410" s="26"/>
      <c r="ET410" s="26"/>
      <c r="EU410" s="26"/>
      <c r="EV410" s="26"/>
      <c r="EW410" s="26"/>
      <c r="EX410" s="26"/>
      <c r="EY410" s="26"/>
      <c r="EZ410" s="26"/>
      <c r="FA410" s="60"/>
      <c r="FB410" s="60"/>
      <c r="FC410" s="60"/>
      <c r="FD410" s="60"/>
      <c r="FE410" s="60"/>
      <c r="FF410" s="60"/>
      <c r="FG410" s="60"/>
      <c r="FH410" s="60"/>
      <c r="FI410" s="60"/>
      <c r="FJ410" s="60"/>
      <c r="FK410" s="60"/>
      <c r="FL410" s="60"/>
      <c r="FM410" s="60"/>
      <c r="FN410" s="60"/>
      <c r="FO410" s="60"/>
      <c r="FP410" s="60"/>
      <c r="FQ410" s="60"/>
      <c r="FR410" s="60"/>
      <c r="FS410" s="60"/>
      <c r="FT410" s="60"/>
      <c r="FU410" s="60"/>
      <c r="FV410" s="60"/>
      <c r="FW410" s="60"/>
      <c r="FX410" s="60"/>
    </row>
    <row r="411">
      <c r="A411" s="18"/>
      <c r="B411" s="14"/>
      <c r="C411" s="14"/>
      <c r="D411" s="14"/>
      <c r="E411" s="18"/>
      <c r="F411" s="18"/>
      <c r="G411" s="18"/>
      <c r="H411" s="18"/>
      <c r="I411" s="18"/>
      <c r="J411" s="18"/>
      <c r="K411" s="18"/>
      <c r="L411" s="18"/>
      <c r="M411" s="18"/>
      <c r="N411" s="18"/>
      <c r="O411" s="18"/>
      <c r="P411" s="23"/>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26"/>
      <c r="CU411" s="26"/>
      <c r="CV411" s="26"/>
      <c r="CW411" s="26"/>
      <c r="CX411" s="26"/>
      <c r="CY411" s="26"/>
      <c r="CZ411" s="26"/>
      <c r="DA411" s="26"/>
      <c r="DB411" s="26"/>
      <c r="DC411" s="26"/>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26"/>
      <c r="EA411" s="26"/>
      <c r="EB411" s="26"/>
      <c r="EC411" s="26"/>
      <c r="ED411" s="26"/>
      <c r="EE411" s="26"/>
      <c r="EF411" s="26"/>
      <c r="EG411" s="26"/>
      <c r="EH411" s="26"/>
      <c r="EI411" s="26"/>
      <c r="EJ411" s="26"/>
      <c r="EK411" s="26"/>
      <c r="EL411" s="26"/>
      <c r="EM411" s="26"/>
      <c r="EN411" s="26"/>
      <c r="EO411" s="26"/>
      <c r="EP411" s="26"/>
      <c r="EQ411" s="26"/>
      <c r="ER411" s="26"/>
      <c r="ES411" s="26"/>
      <c r="ET411" s="26"/>
      <c r="EU411" s="26"/>
      <c r="EV411" s="26"/>
      <c r="EW411" s="26"/>
      <c r="EX411" s="26"/>
      <c r="EY411" s="26"/>
      <c r="EZ411" s="26"/>
      <c r="FA411" s="60"/>
      <c r="FB411" s="60"/>
      <c r="FC411" s="60"/>
      <c r="FD411" s="60"/>
      <c r="FE411" s="60"/>
      <c r="FF411" s="60"/>
      <c r="FG411" s="60"/>
      <c r="FH411" s="60"/>
      <c r="FI411" s="60"/>
      <c r="FJ411" s="60"/>
      <c r="FK411" s="60"/>
      <c r="FL411" s="60"/>
      <c r="FM411" s="60"/>
      <c r="FN411" s="60"/>
      <c r="FO411" s="60"/>
      <c r="FP411" s="60"/>
      <c r="FQ411" s="60"/>
      <c r="FR411" s="60"/>
      <c r="FS411" s="60"/>
      <c r="FT411" s="60"/>
      <c r="FU411" s="60"/>
      <c r="FV411" s="60"/>
      <c r="FW411" s="60"/>
      <c r="FX411" s="60"/>
    </row>
    <row r="412">
      <c r="A412" s="18"/>
      <c r="B412" s="14"/>
      <c r="C412" s="14"/>
      <c r="D412" s="14"/>
      <c r="E412" s="18"/>
      <c r="F412" s="18"/>
      <c r="G412" s="18"/>
      <c r="H412" s="18"/>
      <c r="I412" s="18"/>
      <c r="J412" s="18"/>
      <c r="K412" s="18"/>
      <c r="L412" s="18"/>
      <c r="M412" s="18"/>
      <c r="N412" s="18"/>
      <c r="O412" s="18"/>
      <c r="P412" s="23"/>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c r="CU412" s="26"/>
      <c r="CV412" s="26"/>
      <c r="CW412" s="26"/>
      <c r="CX412" s="26"/>
      <c r="CY412" s="26"/>
      <c r="CZ412" s="26"/>
      <c r="DA412" s="26"/>
      <c r="DB412" s="26"/>
      <c r="DC412" s="26"/>
      <c r="DD412" s="26"/>
      <c r="DE412" s="26"/>
      <c r="DF412" s="26"/>
      <c r="DG412" s="26"/>
      <c r="DH412" s="26"/>
      <c r="DI412" s="26"/>
      <c r="DJ412" s="26"/>
      <c r="DK412" s="26"/>
      <c r="DL412" s="26"/>
      <c r="DM412" s="26"/>
      <c r="DN412" s="26"/>
      <c r="DO412" s="26"/>
      <c r="DP412" s="26"/>
      <c r="DQ412" s="26"/>
      <c r="DR412" s="26"/>
      <c r="DS412" s="26"/>
      <c r="DT412" s="26"/>
      <c r="DU412" s="26"/>
      <c r="DV412" s="26"/>
      <c r="DW412" s="26"/>
      <c r="DX412" s="26"/>
      <c r="DY412" s="26"/>
      <c r="DZ412" s="26"/>
      <c r="EA412" s="26"/>
      <c r="EB412" s="26"/>
      <c r="EC412" s="26"/>
      <c r="ED412" s="26"/>
      <c r="EE412" s="26"/>
      <c r="EF412" s="26"/>
      <c r="EG412" s="26"/>
      <c r="EH412" s="26"/>
      <c r="EI412" s="26"/>
      <c r="EJ412" s="26"/>
      <c r="EK412" s="26"/>
      <c r="EL412" s="26"/>
      <c r="EM412" s="26"/>
      <c r="EN412" s="26"/>
      <c r="EO412" s="26"/>
      <c r="EP412" s="26"/>
      <c r="EQ412" s="26"/>
      <c r="ER412" s="26"/>
      <c r="ES412" s="26"/>
      <c r="ET412" s="26"/>
      <c r="EU412" s="26"/>
      <c r="EV412" s="26"/>
      <c r="EW412" s="26"/>
      <c r="EX412" s="26"/>
      <c r="EY412" s="26"/>
      <c r="EZ412" s="26"/>
      <c r="FA412" s="60"/>
      <c r="FB412" s="60"/>
      <c r="FC412" s="60"/>
      <c r="FD412" s="60"/>
      <c r="FE412" s="60"/>
      <c r="FF412" s="60"/>
      <c r="FG412" s="60"/>
      <c r="FH412" s="60"/>
      <c r="FI412" s="60"/>
      <c r="FJ412" s="60"/>
      <c r="FK412" s="60"/>
      <c r="FL412" s="60"/>
      <c r="FM412" s="60"/>
      <c r="FN412" s="60"/>
      <c r="FO412" s="60"/>
      <c r="FP412" s="60"/>
      <c r="FQ412" s="60"/>
      <c r="FR412" s="60"/>
      <c r="FS412" s="60"/>
      <c r="FT412" s="60"/>
      <c r="FU412" s="60"/>
      <c r="FV412" s="60"/>
      <c r="FW412" s="60"/>
      <c r="FX412" s="60"/>
    </row>
    <row r="413">
      <c r="A413" s="18"/>
      <c r="B413" s="14"/>
      <c r="C413" s="14"/>
      <c r="D413" s="14"/>
      <c r="E413" s="18"/>
      <c r="F413" s="18"/>
      <c r="G413" s="18"/>
      <c r="H413" s="18"/>
      <c r="I413" s="18"/>
      <c r="J413" s="18"/>
      <c r="K413" s="18"/>
      <c r="L413" s="18"/>
      <c r="M413" s="18"/>
      <c r="N413" s="18"/>
      <c r="O413" s="18"/>
      <c r="P413" s="23"/>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c r="CW413" s="26"/>
      <c r="CX413" s="26"/>
      <c r="CY413" s="26"/>
      <c r="CZ413" s="26"/>
      <c r="DA413" s="26"/>
      <c r="DB413" s="26"/>
      <c r="DC413" s="26"/>
      <c r="DD413" s="26"/>
      <c r="DE413" s="26"/>
      <c r="DF413" s="26"/>
      <c r="DG413" s="26"/>
      <c r="DH413" s="26"/>
      <c r="DI413" s="26"/>
      <c r="DJ413" s="26"/>
      <c r="DK413" s="26"/>
      <c r="DL413" s="26"/>
      <c r="DM413" s="26"/>
      <c r="DN413" s="26"/>
      <c r="DO413" s="26"/>
      <c r="DP413" s="26"/>
      <c r="DQ413" s="26"/>
      <c r="DR413" s="26"/>
      <c r="DS413" s="26"/>
      <c r="DT413" s="26"/>
      <c r="DU413" s="26"/>
      <c r="DV413" s="26"/>
      <c r="DW413" s="26"/>
      <c r="DX413" s="26"/>
      <c r="DY413" s="26"/>
      <c r="DZ413" s="26"/>
      <c r="EA413" s="26"/>
      <c r="EB413" s="26"/>
      <c r="EC413" s="26"/>
      <c r="ED413" s="26"/>
      <c r="EE413" s="26"/>
      <c r="EF413" s="26"/>
      <c r="EG413" s="26"/>
      <c r="EH413" s="26"/>
      <c r="EI413" s="26"/>
      <c r="EJ413" s="26"/>
      <c r="EK413" s="26"/>
      <c r="EL413" s="26"/>
      <c r="EM413" s="26"/>
      <c r="EN413" s="26"/>
      <c r="EO413" s="26"/>
      <c r="EP413" s="26"/>
      <c r="EQ413" s="26"/>
      <c r="ER413" s="26"/>
      <c r="ES413" s="26"/>
      <c r="ET413" s="26"/>
      <c r="EU413" s="26"/>
      <c r="EV413" s="26"/>
      <c r="EW413" s="26"/>
      <c r="EX413" s="26"/>
      <c r="EY413" s="26"/>
      <c r="EZ413" s="26"/>
      <c r="FA413" s="60"/>
      <c r="FB413" s="60"/>
      <c r="FC413" s="60"/>
      <c r="FD413" s="60"/>
      <c r="FE413" s="60"/>
      <c r="FF413" s="60"/>
      <c r="FG413" s="60"/>
      <c r="FH413" s="60"/>
      <c r="FI413" s="60"/>
      <c r="FJ413" s="60"/>
      <c r="FK413" s="60"/>
      <c r="FL413" s="60"/>
      <c r="FM413" s="60"/>
      <c r="FN413" s="60"/>
      <c r="FO413" s="60"/>
      <c r="FP413" s="60"/>
      <c r="FQ413" s="60"/>
      <c r="FR413" s="60"/>
      <c r="FS413" s="60"/>
      <c r="FT413" s="60"/>
      <c r="FU413" s="60"/>
      <c r="FV413" s="60"/>
      <c r="FW413" s="60"/>
      <c r="FX413" s="60"/>
    </row>
    <row r="414">
      <c r="A414" s="18"/>
      <c r="B414" s="14"/>
      <c r="C414" s="14"/>
      <c r="D414" s="14"/>
      <c r="E414" s="18"/>
      <c r="F414" s="18"/>
      <c r="G414" s="18"/>
      <c r="H414" s="18"/>
      <c r="I414" s="18"/>
      <c r="J414" s="18"/>
      <c r="K414" s="18"/>
      <c r="L414" s="18"/>
      <c r="M414" s="18"/>
      <c r="N414" s="18"/>
      <c r="O414" s="18"/>
      <c r="P414" s="23"/>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c r="CU414" s="26"/>
      <c r="CV414" s="26"/>
      <c r="CW414" s="26"/>
      <c r="CX414" s="26"/>
      <c r="CY414" s="26"/>
      <c r="CZ414" s="26"/>
      <c r="DA414" s="26"/>
      <c r="DB414" s="26"/>
      <c r="DC414" s="26"/>
      <c r="DD414" s="26"/>
      <c r="DE414" s="26"/>
      <c r="DF414" s="26"/>
      <c r="DG414" s="26"/>
      <c r="DH414" s="26"/>
      <c r="DI414" s="26"/>
      <c r="DJ414" s="26"/>
      <c r="DK414" s="26"/>
      <c r="DL414" s="26"/>
      <c r="DM414" s="26"/>
      <c r="DN414" s="26"/>
      <c r="DO414" s="26"/>
      <c r="DP414" s="26"/>
      <c r="DQ414" s="26"/>
      <c r="DR414" s="26"/>
      <c r="DS414" s="26"/>
      <c r="DT414" s="26"/>
      <c r="DU414" s="26"/>
      <c r="DV414" s="26"/>
      <c r="DW414" s="26"/>
      <c r="DX414" s="26"/>
      <c r="DY414" s="26"/>
      <c r="DZ414" s="26"/>
      <c r="EA414" s="26"/>
      <c r="EB414" s="26"/>
      <c r="EC414" s="26"/>
      <c r="ED414" s="26"/>
      <c r="EE414" s="26"/>
      <c r="EF414" s="26"/>
      <c r="EG414" s="26"/>
      <c r="EH414" s="26"/>
      <c r="EI414" s="26"/>
      <c r="EJ414" s="26"/>
      <c r="EK414" s="26"/>
      <c r="EL414" s="26"/>
      <c r="EM414" s="26"/>
      <c r="EN414" s="26"/>
      <c r="EO414" s="26"/>
      <c r="EP414" s="26"/>
      <c r="EQ414" s="26"/>
      <c r="ER414" s="26"/>
      <c r="ES414" s="26"/>
      <c r="ET414" s="26"/>
      <c r="EU414" s="26"/>
      <c r="EV414" s="26"/>
      <c r="EW414" s="26"/>
      <c r="EX414" s="26"/>
      <c r="EY414" s="26"/>
      <c r="EZ414" s="26"/>
      <c r="FA414" s="60"/>
      <c r="FB414" s="60"/>
      <c r="FC414" s="60"/>
      <c r="FD414" s="60"/>
      <c r="FE414" s="60"/>
      <c r="FF414" s="60"/>
      <c r="FG414" s="60"/>
      <c r="FH414" s="60"/>
      <c r="FI414" s="60"/>
      <c r="FJ414" s="60"/>
      <c r="FK414" s="60"/>
      <c r="FL414" s="60"/>
      <c r="FM414" s="60"/>
      <c r="FN414" s="60"/>
      <c r="FO414" s="60"/>
      <c r="FP414" s="60"/>
      <c r="FQ414" s="60"/>
      <c r="FR414" s="60"/>
      <c r="FS414" s="60"/>
      <c r="FT414" s="60"/>
      <c r="FU414" s="60"/>
      <c r="FV414" s="60"/>
      <c r="FW414" s="60"/>
      <c r="FX414" s="60"/>
    </row>
    <row r="415">
      <c r="A415" s="18"/>
      <c r="B415" s="14"/>
      <c r="C415" s="14"/>
      <c r="D415" s="14"/>
      <c r="E415" s="18"/>
      <c r="F415" s="18"/>
      <c r="G415" s="18"/>
      <c r="H415" s="18"/>
      <c r="I415" s="18"/>
      <c r="J415" s="18"/>
      <c r="K415" s="18"/>
      <c r="L415" s="18"/>
      <c r="M415" s="18"/>
      <c r="N415" s="18"/>
      <c r="O415" s="18"/>
      <c r="P415" s="23"/>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c r="CU415" s="26"/>
      <c r="CV415" s="26"/>
      <c r="CW415" s="26"/>
      <c r="CX415" s="26"/>
      <c r="CY415" s="26"/>
      <c r="CZ415" s="26"/>
      <c r="DA415" s="26"/>
      <c r="DB415" s="26"/>
      <c r="DC415" s="26"/>
      <c r="DD415" s="26"/>
      <c r="DE415" s="26"/>
      <c r="DF415" s="26"/>
      <c r="DG415" s="26"/>
      <c r="DH415" s="26"/>
      <c r="DI415" s="26"/>
      <c r="DJ415" s="26"/>
      <c r="DK415" s="26"/>
      <c r="DL415" s="26"/>
      <c r="DM415" s="26"/>
      <c r="DN415" s="26"/>
      <c r="DO415" s="26"/>
      <c r="DP415" s="26"/>
      <c r="DQ415" s="26"/>
      <c r="DR415" s="26"/>
      <c r="DS415" s="26"/>
      <c r="DT415" s="26"/>
      <c r="DU415" s="26"/>
      <c r="DV415" s="26"/>
      <c r="DW415" s="26"/>
      <c r="DX415" s="26"/>
      <c r="DY415" s="26"/>
      <c r="DZ415" s="26"/>
      <c r="EA415" s="26"/>
      <c r="EB415" s="26"/>
      <c r="EC415" s="26"/>
      <c r="ED415" s="26"/>
      <c r="EE415" s="26"/>
      <c r="EF415" s="26"/>
      <c r="EG415" s="26"/>
      <c r="EH415" s="26"/>
      <c r="EI415" s="26"/>
      <c r="EJ415" s="26"/>
      <c r="EK415" s="26"/>
      <c r="EL415" s="26"/>
      <c r="EM415" s="26"/>
      <c r="EN415" s="26"/>
      <c r="EO415" s="26"/>
      <c r="EP415" s="26"/>
      <c r="EQ415" s="26"/>
      <c r="ER415" s="26"/>
      <c r="ES415" s="26"/>
      <c r="ET415" s="26"/>
      <c r="EU415" s="26"/>
      <c r="EV415" s="26"/>
      <c r="EW415" s="26"/>
      <c r="EX415" s="26"/>
      <c r="EY415" s="26"/>
      <c r="EZ415" s="26"/>
      <c r="FA415" s="60"/>
      <c r="FB415" s="60"/>
      <c r="FC415" s="60"/>
      <c r="FD415" s="60"/>
      <c r="FE415" s="60"/>
      <c r="FF415" s="60"/>
      <c r="FG415" s="60"/>
      <c r="FH415" s="60"/>
      <c r="FI415" s="60"/>
      <c r="FJ415" s="60"/>
      <c r="FK415" s="60"/>
      <c r="FL415" s="60"/>
      <c r="FM415" s="60"/>
      <c r="FN415" s="60"/>
      <c r="FO415" s="60"/>
      <c r="FP415" s="60"/>
      <c r="FQ415" s="60"/>
      <c r="FR415" s="60"/>
      <c r="FS415" s="60"/>
      <c r="FT415" s="60"/>
      <c r="FU415" s="60"/>
      <c r="FV415" s="60"/>
      <c r="FW415" s="60"/>
      <c r="FX415" s="60"/>
    </row>
    <row r="416">
      <c r="A416" s="18"/>
      <c r="B416" s="14"/>
      <c r="C416" s="14"/>
      <c r="D416" s="14"/>
      <c r="E416" s="18"/>
      <c r="F416" s="18"/>
      <c r="G416" s="18"/>
      <c r="H416" s="18"/>
      <c r="I416" s="18"/>
      <c r="J416" s="18"/>
      <c r="K416" s="18"/>
      <c r="L416" s="18"/>
      <c r="M416" s="18"/>
      <c r="N416" s="18"/>
      <c r="O416" s="18"/>
      <c r="P416" s="23"/>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c r="CU416" s="26"/>
      <c r="CV416" s="26"/>
      <c r="CW416" s="26"/>
      <c r="CX416" s="26"/>
      <c r="CY416" s="26"/>
      <c r="CZ416" s="26"/>
      <c r="DA416" s="26"/>
      <c r="DB416" s="26"/>
      <c r="DC416" s="26"/>
      <c r="DD416" s="26"/>
      <c r="DE416" s="26"/>
      <c r="DF416" s="26"/>
      <c r="DG416" s="26"/>
      <c r="DH416" s="26"/>
      <c r="DI416" s="26"/>
      <c r="DJ416" s="26"/>
      <c r="DK416" s="26"/>
      <c r="DL416" s="26"/>
      <c r="DM416" s="26"/>
      <c r="DN416" s="26"/>
      <c r="DO416" s="26"/>
      <c r="DP416" s="26"/>
      <c r="DQ416" s="26"/>
      <c r="DR416" s="26"/>
      <c r="DS416" s="26"/>
      <c r="DT416" s="26"/>
      <c r="DU416" s="26"/>
      <c r="DV416" s="26"/>
      <c r="DW416" s="26"/>
      <c r="DX416" s="26"/>
      <c r="DY416" s="26"/>
      <c r="DZ416" s="26"/>
      <c r="EA416" s="26"/>
      <c r="EB416" s="26"/>
      <c r="EC416" s="26"/>
      <c r="ED416" s="26"/>
      <c r="EE416" s="26"/>
      <c r="EF416" s="26"/>
      <c r="EG416" s="26"/>
      <c r="EH416" s="26"/>
      <c r="EI416" s="26"/>
      <c r="EJ416" s="26"/>
      <c r="EK416" s="26"/>
      <c r="EL416" s="26"/>
      <c r="EM416" s="26"/>
      <c r="EN416" s="26"/>
      <c r="EO416" s="26"/>
      <c r="EP416" s="26"/>
      <c r="EQ416" s="26"/>
      <c r="ER416" s="26"/>
      <c r="ES416" s="26"/>
      <c r="ET416" s="26"/>
      <c r="EU416" s="26"/>
      <c r="EV416" s="26"/>
      <c r="EW416" s="26"/>
      <c r="EX416" s="26"/>
      <c r="EY416" s="26"/>
      <c r="EZ416" s="26"/>
      <c r="FA416" s="60"/>
      <c r="FB416" s="60"/>
      <c r="FC416" s="60"/>
      <c r="FD416" s="60"/>
      <c r="FE416" s="60"/>
      <c r="FF416" s="60"/>
      <c r="FG416" s="60"/>
      <c r="FH416" s="60"/>
      <c r="FI416" s="60"/>
      <c r="FJ416" s="60"/>
      <c r="FK416" s="60"/>
      <c r="FL416" s="60"/>
      <c r="FM416" s="60"/>
      <c r="FN416" s="60"/>
      <c r="FO416" s="60"/>
      <c r="FP416" s="60"/>
      <c r="FQ416" s="60"/>
      <c r="FR416" s="60"/>
      <c r="FS416" s="60"/>
      <c r="FT416" s="60"/>
      <c r="FU416" s="60"/>
      <c r="FV416" s="60"/>
      <c r="FW416" s="60"/>
      <c r="FX416" s="60"/>
    </row>
    <row r="417">
      <c r="A417" s="18"/>
      <c r="B417" s="14"/>
      <c r="C417" s="14"/>
      <c r="D417" s="14"/>
      <c r="E417" s="18"/>
      <c r="F417" s="18"/>
      <c r="G417" s="18"/>
      <c r="H417" s="18"/>
      <c r="I417" s="18"/>
      <c r="J417" s="18"/>
      <c r="K417" s="18"/>
      <c r="L417" s="18"/>
      <c r="M417" s="18"/>
      <c r="N417" s="18"/>
      <c r="O417" s="18"/>
      <c r="P417" s="23"/>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c r="CU417" s="26"/>
      <c r="CV417" s="26"/>
      <c r="CW417" s="26"/>
      <c r="CX417" s="26"/>
      <c r="CY417" s="26"/>
      <c r="CZ417" s="26"/>
      <c r="DA417" s="26"/>
      <c r="DB417" s="26"/>
      <c r="DC417" s="26"/>
      <c r="DD417" s="26"/>
      <c r="DE417" s="26"/>
      <c r="DF417" s="26"/>
      <c r="DG417" s="26"/>
      <c r="DH417" s="26"/>
      <c r="DI417" s="26"/>
      <c r="DJ417" s="26"/>
      <c r="DK417" s="26"/>
      <c r="DL417" s="26"/>
      <c r="DM417" s="26"/>
      <c r="DN417" s="26"/>
      <c r="DO417" s="26"/>
      <c r="DP417" s="26"/>
      <c r="DQ417" s="26"/>
      <c r="DR417" s="26"/>
      <c r="DS417" s="26"/>
      <c r="DT417" s="26"/>
      <c r="DU417" s="26"/>
      <c r="DV417" s="26"/>
      <c r="DW417" s="26"/>
      <c r="DX417" s="26"/>
      <c r="DY417" s="26"/>
      <c r="DZ417" s="26"/>
      <c r="EA417" s="26"/>
      <c r="EB417" s="26"/>
      <c r="EC417" s="26"/>
      <c r="ED417" s="26"/>
      <c r="EE417" s="26"/>
      <c r="EF417" s="26"/>
      <c r="EG417" s="26"/>
      <c r="EH417" s="26"/>
      <c r="EI417" s="26"/>
      <c r="EJ417" s="26"/>
      <c r="EK417" s="26"/>
      <c r="EL417" s="26"/>
      <c r="EM417" s="26"/>
      <c r="EN417" s="26"/>
      <c r="EO417" s="26"/>
      <c r="EP417" s="26"/>
      <c r="EQ417" s="26"/>
      <c r="ER417" s="26"/>
      <c r="ES417" s="26"/>
      <c r="ET417" s="26"/>
      <c r="EU417" s="26"/>
      <c r="EV417" s="26"/>
      <c r="EW417" s="26"/>
      <c r="EX417" s="26"/>
      <c r="EY417" s="26"/>
      <c r="EZ417" s="26"/>
      <c r="FA417" s="60"/>
      <c r="FB417" s="60"/>
      <c r="FC417" s="60"/>
      <c r="FD417" s="60"/>
      <c r="FE417" s="60"/>
      <c r="FF417" s="60"/>
      <c r="FG417" s="60"/>
      <c r="FH417" s="60"/>
      <c r="FI417" s="60"/>
      <c r="FJ417" s="60"/>
      <c r="FK417" s="60"/>
      <c r="FL417" s="60"/>
      <c r="FM417" s="60"/>
      <c r="FN417" s="60"/>
      <c r="FO417" s="60"/>
      <c r="FP417" s="60"/>
      <c r="FQ417" s="60"/>
      <c r="FR417" s="60"/>
      <c r="FS417" s="60"/>
      <c r="FT417" s="60"/>
      <c r="FU417" s="60"/>
      <c r="FV417" s="60"/>
      <c r="FW417" s="60"/>
      <c r="FX417" s="60"/>
    </row>
    <row r="418">
      <c r="A418" s="18"/>
      <c r="B418" s="14"/>
      <c r="C418" s="14"/>
      <c r="D418" s="14"/>
      <c r="E418" s="18"/>
      <c r="F418" s="18"/>
      <c r="G418" s="18"/>
      <c r="H418" s="18"/>
      <c r="I418" s="18"/>
      <c r="J418" s="18"/>
      <c r="K418" s="18"/>
      <c r="L418" s="18"/>
      <c r="M418" s="18"/>
      <c r="N418" s="18"/>
      <c r="O418" s="18"/>
      <c r="P418" s="23"/>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26"/>
      <c r="CU418" s="26"/>
      <c r="CV418" s="26"/>
      <c r="CW418" s="26"/>
      <c r="CX418" s="26"/>
      <c r="CY418" s="26"/>
      <c r="CZ418" s="26"/>
      <c r="DA418" s="26"/>
      <c r="DB418" s="26"/>
      <c r="DC418" s="26"/>
      <c r="DD418" s="26"/>
      <c r="DE418" s="26"/>
      <c r="DF418" s="26"/>
      <c r="DG418" s="26"/>
      <c r="DH418" s="26"/>
      <c r="DI418" s="26"/>
      <c r="DJ418" s="26"/>
      <c r="DK418" s="26"/>
      <c r="DL418" s="26"/>
      <c r="DM418" s="26"/>
      <c r="DN418" s="26"/>
      <c r="DO418" s="26"/>
      <c r="DP418" s="26"/>
      <c r="DQ418" s="26"/>
      <c r="DR418" s="26"/>
      <c r="DS418" s="26"/>
      <c r="DT418" s="26"/>
      <c r="DU418" s="26"/>
      <c r="DV418" s="26"/>
      <c r="DW418" s="26"/>
      <c r="DX418" s="26"/>
      <c r="DY418" s="26"/>
      <c r="DZ418" s="26"/>
      <c r="EA418" s="26"/>
      <c r="EB418" s="26"/>
      <c r="EC418" s="26"/>
      <c r="ED418" s="26"/>
      <c r="EE418" s="26"/>
      <c r="EF418" s="26"/>
      <c r="EG418" s="26"/>
      <c r="EH418" s="26"/>
      <c r="EI418" s="26"/>
      <c r="EJ418" s="26"/>
      <c r="EK418" s="26"/>
      <c r="EL418" s="26"/>
      <c r="EM418" s="26"/>
      <c r="EN418" s="26"/>
      <c r="EO418" s="26"/>
      <c r="EP418" s="26"/>
      <c r="EQ418" s="26"/>
      <c r="ER418" s="26"/>
      <c r="ES418" s="26"/>
      <c r="ET418" s="26"/>
      <c r="EU418" s="26"/>
      <c r="EV418" s="26"/>
      <c r="EW418" s="26"/>
      <c r="EX418" s="26"/>
      <c r="EY418" s="26"/>
      <c r="EZ418" s="26"/>
      <c r="FA418" s="60"/>
      <c r="FB418" s="60"/>
      <c r="FC418" s="60"/>
      <c r="FD418" s="60"/>
      <c r="FE418" s="60"/>
      <c r="FF418" s="60"/>
      <c r="FG418" s="60"/>
      <c r="FH418" s="60"/>
      <c r="FI418" s="60"/>
      <c r="FJ418" s="60"/>
      <c r="FK418" s="60"/>
      <c r="FL418" s="60"/>
      <c r="FM418" s="60"/>
      <c r="FN418" s="60"/>
      <c r="FO418" s="60"/>
      <c r="FP418" s="60"/>
      <c r="FQ418" s="60"/>
      <c r="FR418" s="60"/>
      <c r="FS418" s="60"/>
      <c r="FT418" s="60"/>
      <c r="FU418" s="60"/>
      <c r="FV418" s="60"/>
      <c r="FW418" s="60"/>
      <c r="FX418" s="60"/>
    </row>
    <row r="419">
      <c r="A419" s="18"/>
      <c r="B419" s="14"/>
      <c r="C419" s="14"/>
      <c r="D419" s="14"/>
      <c r="E419" s="18"/>
      <c r="F419" s="18"/>
      <c r="G419" s="18"/>
      <c r="H419" s="18"/>
      <c r="I419" s="18"/>
      <c r="J419" s="18"/>
      <c r="K419" s="18"/>
      <c r="L419" s="18"/>
      <c r="M419" s="18"/>
      <c r="N419" s="18"/>
      <c r="O419" s="18"/>
      <c r="P419" s="23"/>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26"/>
      <c r="CU419" s="26"/>
      <c r="CV419" s="26"/>
      <c r="CW419" s="26"/>
      <c r="CX419" s="26"/>
      <c r="CY419" s="26"/>
      <c r="CZ419" s="26"/>
      <c r="DA419" s="26"/>
      <c r="DB419" s="26"/>
      <c r="DC419" s="26"/>
      <c r="DD419" s="26"/>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26"/>
      <c r="EA419" s="26"/>
      <c r="EB419" s="26"/>
      <c r="EC419" s="26"/>
      <c r="ED419" s="26"/>
      <c r="EE419" s="26"/>
      <c r="EF419" s="26"/>
      <c r="EG419" s="26"/>
      <c r="EH419" s="26"/>
      <c r="EI419" s="26"/>
      <c r="EJ419" s="26"/>
      <c r="EK419" s="26"/>
      <c r="EL419" s="26"/>
      <c r="EM419" s="26"/>
      <c r="EN419" s="26"/>
      <c r="EO419" s="26"/>
      <c r="EP419" s="26"/>
      <c r="EQ419" s="26"/>
      <c r="ER419" s="26"/>
      <c r="ES419" s="26"/>
      <c r="ET419" s="26"/>
      <c r="EU419" s="26"/>
      <c r="EV419" s="26"/>
      <c r="EW419" s="26"/>
      <c r="EX419" s="26"/>
      <c r="EY419" s="26"/>
      <c r="EZ419" s="26"/>
      <c r="FA419" s="60"/>
      <c r="FB419" s="60"/>
      <c r="FC419" s="60"/>
      <c r="FD419" s="60"/>
      <c r="FE419" s="60"/>
      <c r="FF419" s="60"/>
      <c r="FG419" s="60"/>
      <c r="FH419" s="60"/>
      <c r="FI419" s="60"/>
      <c r="FJ419" s="60"/>
      <c r="FK419" s="60"/>
      <c r="FL419" s="60"/>
      <c r="FM419" s="60"/>
      <c r="FN419" s="60"/>
      <c r="FO419" s="60"/>
      <c r="FP419" s="60"/>
      <c r="FQ419" s="60"/>
      <c r="FR419" s="60"/>
      <c r="FS419" s="60"/>
      <c r="FT419" s="60"/>
      <c r="FU419" s="60"/>
      <c r="FV419" s="60"/>
      <c r="FW419" s="60"/>
      <c r="FX419" s="60"/>
    </row>
    <row r="420">
      <c r="A420" s="18"/>
      <c r="B420" s="14"/>
      <c r="C420" s="14"/>
      <c r="D420" s="14"/>
      <c r="E420" s="18"/>
      <c r="F420" s="18"/>
      <c r="G420" s="18"/>
      <c r="H420" s="18"/>
      <c r="I420" s="18"/>
      <c r="J420" s="18"/>
      <c r="K420" s="18"/>
      <c r="L420" s="18"/>
      <c r="M420" s="18"/>
      <c r="N420" s="18"/>
      <c r="O420" s="18"/>
      <c r="P420" s="23"/>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c r="CU420" s="26"/>
      <c r="CV420" s="26"/>
      <c r="CW420" s="26"/>
      <c r="CX420" s="26"/>
      <c r="CY420" s="26"/>
      <c r="CZ420" s="26"/>
      <c r="DA420" s="26"/>
      <c r="DB420" s="26"/>
      <c r="DC420" s="26"/>
      <c r="DD420" s="26"/>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26"/>
      <c r="EA420" s="26"/>
      <c r="EB420" s="26"/>
      <c r="EC420" s="26"/>
      <c r="ED420" s="26"/>
      <c r="EE420" s="26"/>
      <c r="EF420" s="26"/>
      <c r="EG420" s="26"/>
      <c r="EH420" s="26"/>
      <c r="EI420" s="26"/>
      <c r="EJ420" s="26"/>
      <c r="EK420" s="26"/>
      <c r="EL420" s="26"/>
      <c r="EM420" s="26"/>
      <c r="EN420" s="26"/>
      <c r="EO420" s="26"/>
      <c r="EP420" s="26"/>
      <c r="EQ420" s="26"/>
      <c r="ER420" s="26"/>
      <c r="ES420" s="26"/>
      <c r="ET420" s="26"/>
      <c r="EU420" s="26"/>
      <c r="EV420" s="26"/>
      <c r="EW420" s="26"/>
      <c r="EX420" s="26"/>
      <c r="EY420" s="26"/>
      <c r="EZ420" s="26"/>
      <c r="FA420" s="60"/>
      <c r="FB420" s="60"/>
      <c r="FC420" s="60"/>
      <c r="FD420" s="60"/>
      <c r="FE420" s="60"/>
      <c r="FF420" s="60"/>
      <c r="FG420" s="60"/>
      <c r="FH420" s="60"/>
      <c r="FI420" s="60"/>
      <c r="FJ420" s="60"/>
      <c r="FK420" s="60"/>
      <c r="FL420" s="60"/>
      <c r="FM420" s="60"/>
      <c r="FN420" s="60"/>
      <c r="FO420" s="60"/>
      <c r="FP420" s="60"/>
      <c r="FQ420" s="60"/>
      <c r="FR420" s="60"/>
      <c r="FS420" s="60"/>
      <c r="FT420" s="60"/>
      <c r="FU420" s="60"/>
      <c r="FV420" s="60"/>
      <c r="FW420" s="60"/>
      <c r="FX420" s="60"/>
    </row>
    <row r="421">
      <c r="A421" s="18"/>
      <c r="B421" s="14"/>
      <c r="C421" s="14"/>
      <c r="D421" s="14"/>
      <c r="E421" s="18"/>
      <c r="F421" s="18"/>
      <c r="G421" s="18"/>
      <c r="H421" s="18"/>
      <c r="I421" s="18"/>
      <c r="J421" s="18"/>
      <c r="K421" s="18"/>
      <c r="L421" s="18"/>
      <c r="M421" s="18"/>
      <c r="N421" s="18"/>
      <c r="O421" s="18"/>
      <c r="P421" s="23"/>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c r="DD421" s="26"/>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26"/>
      <c r="EA421" s="26"/>
      <c r="EB421" s="26"/>
      <c r="EC421" s="26"/>
      <c r="ED421" s="26"/>
      <c r="EE421" s="26"/>
      <c r="EF421" s="26"/>
      <c r="EG421" s="26"/>
      <c r="EH421" s="26"/>
      <c r="EI421" s="26"/>
      <c r="EJ421" s="26"/>
      <c r="EK421" s="26"/>
      <c r="EL421" s="26"/>
      <c r="EM421" s="26"/>
      <c r="EN421" s="26"/>
      <c r="EO421" s="26"/>
      <c r="EP421" s="26"/>
      <c r="EQ421" s="26"/>
      <c r="ER421" s="26"/>
      <c r="ES421" s="26"/>
      <c r="ET421" s="26"/>
      <c r="EU421" s="26"/>
      <c r="EV421" s="26"/>
      <c r="EW421" s="26"/>
      <c r="EX421" s="26"/>
      <c r="EY421" s="26"/>
      <c r="EZ421" s="26"/>
      <c r="FA421" s="60"/>
      <c r="FB421" s="60"/>
      <c r="FC421" s="60"/>
      <c r="FD421" s="60"/>
      <c r="FE421" s="60"/>
      <c r="FF421" s="60"/>
      <c r="FG421" s="60"/>
      <c r="FH421" s="60"/>
      <c r="FI421" s="60"/>
      <c r="FJ421" s="60"/>
      <c r="FK421" s="60"/>
      <c r="FL421" s="60"/>
      <c r="FM421" s="60"/>
      <c r="FN421" s="60"/>
      <c r="FO421" s="60"/>
      <c r="FP421" s="60"/>
      <c r="FQ421" s="60"/>
      <c r="FR421" s="60"/>
      <c r="FS421" s="60"/>
      <c r="FT421" s="60"/>
      <c r="FU421" s="60"/>
      <c r="FV421" s="60"/>
      <c r="FW421" s="60"/>
      <c r="FX421" s="60"/>
    </row>
    <row r="422">
      <c r="A422" s="18"/>
      <c r="B422" s="14"/>
      <c r="C422" s="14"/>
      <c r="D422" s="14"/>
      <c r="E422" s="18"/>
      <c r="F422" s="18"/>
      <c r="G422" s="18"/>
      <c r="H422" s="18"/>
      <c r="I422" s="18"/>
      <c r="J422" s="18"/>
      <c r="K422" s="18"/>
      <c r="L422" s="18"/>
      <c r="M422" s="18"/>
      <c r="N422" s="18"/>
      <c r="O422" s="18"/>
      <c r="P422" s="23"/>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26"/>
      <c r="CU422" s="26"/>
      <c r="CV422" s="26"/>
      <c r="CW422" s="26"/>
      <c r="CX422" s="26"/>
      <c r="CY422" s="26"/>
      <c r="CZ422" s="26"/>
      <c r="DA422" s="26"/>
      <c r="DB422" s="26"/>
      <c r="DC422" s="26"/>
      <c r="DD422" s="26"/>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26"/>
      <c r="EA422" s="26"/>
      <c r="EB422" s="26"/>
      <c r="EC422" s="26"/>
      <c r="ED422" s="26"/>
      <c r="EE422" s="26"/>
      <c r="EF422" s="26"/>
      <c r="EG422" s="26"/>
      <c r="EH422" s="26"/>
      <c r="EI422" s="26"/>
      <c r="EJ422" s="26"/>
      <c r="EK422" s="26"/>
      <c r="EL422" s="26"/>
      <c r="EM422" s="26"/>
      <c r="EN422" s="26"/>
      <c r="EO422" s="26"/>
      <c r="EP422" s="26"/>
      <c r="EQ422" s="26"/>
      <c r="ER422" s="26"/>
      <c r="ES422" s="26"/>
      <c r="ET422" s="26"/>
      <c r="EU422" s="26"/>
      <c r="EV422" s="26"/>
      <c r="EW422" s="26"/>
      <c r="EX422" s="26"/>
      <c r="EY422" s="26"/>
      <c r="EZ422" s="26"/>
      <c r="FA422" s="60"/>
      <c r="FB422" s="60"/>
      <c r="FC422" s="60"/>
      <c r="FD422" s="60"/>
      <c r="FE422" s="60"/>
      <c r="FF422" s="60"/>
      <c r="FG422" s="60"/>
      <c r="FH422" s="60"/>
      <c r="FI422" s="60"/>
      <c r="FJ422" s="60"/>
      <c r="FK422" s="60"/>
      <c r="FL422" s="60"/>
      <c r="FM422" s="60"/>
      <c r="FN422" s="60"/>
      <c r="FO422" s="60"/>
      <c r="FP422" s="60"/>
      <c r="FQ422" s="60"/>
      <c r="FR422" s="60"/>
      <c r="FS422" s="60"/>
      <c r="FT422" s="60"/>
      <c r="FU422" s="60"/>
      <c r="FV422" s="60"/>
      <c r="FW422" s="60"/>
      <c r="FX422" s="60"/>
    </row>
    <row r="423">
      <c r="A423" s="18"/>
      <c r="B423" s="14"/>
      <c r="C423" s="14"/>
      <c r="D423" s="14"/>
      <c r="E423" s="18"/>
      <c r="F423" s="18"/>
      <c r="G423" s="18"/>
      <c r="H423" s="18"/>
      <c r="I423" s="18"/>
      <c r="J423" s="18"/>
      <c r="K423" s="18"/>
      <c r="L423" s="18"/>
      <c r="M423" s="18"/>
      <c r="N423" s="18"/>
      <c r="O423" s="18"/>
      <c r="P423" s="23"/>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26"/>
      <c r="CU423" s="26"/>
      <c r="CV423" s="26"/>
      <c r="CW423" s="26"/>
      <c r="CX423" s="26"/>
      <c r="CY423" s="26"/>
      <c r="CZ423" s="26"/>
      <c r="DA423" s="26"/>
      <c r="DB423" s="26"/>
      <c r="DC423" s="26"/>
      <c r="DD423" s="26"/>
      <c r="DE423" s="26"/>
      <c r="DF423" s="26"/>
      <c r="DG423" s="26"/>
      <c r="DH423" s="26"/>
      <c r="DI423" s="26"/>
      <c r="DJ423" s="26"/>
      <c r="DK423" s="26"/>
      <c r="DL423" s="26"/>
      <c r="DM423" s="26"/>
      <c r="DN423" s="26"/>
      <c r="DO423" s="26"/>
      <c r="DP423" s="26"/>
      <c r="DQ423" s="26"/>
      <c r="DR423" s="26"/>
      <c r="DS423" s="26"/>
      <c r="DT423" s="26"/>
      <c r="DU423" s="26"/>
      <c r="DV423" s="26"/>
      <c r="DW423" s="26"/>
      <c r="DX423" s="26"/>
      <c r="DY423" s="26"/>
      <c r="DZ423" s="26"/>
      <c r="EA423" s="26"/>
      <c r="EB423" s="26"/>
      <c r="EC423" s="26"/>
      <c r="ED423" s="26"/>
      <c r="EE423" s="26"/>
      <c r="EF423" s="26"/>
      <c r="EG423" s="26"/>
      <c r="EH423" s="26"/>
      <c r="EI423" s="26"/>
      <c r="EJ423" s="26"/>
      <c r="EK423" s="26"/>
      <c r="EL423" s="26"/>
      <c r="EM423" s="26"/>
      <c r="EN423" s="26"/>
      <c r="EO423" s="26"/>
      <c r="EP423" s="26"/>
      <c r="EQ423" s="26"/>
      <c r="ER423" s="26"/>
      <c r="ES423" s="26"/>
      <c r="ET423" s="26"/>
      <c r="EU423" s="26"/>
      <c r="EV423" s="26"/>
      <c r="EW423" s="26"/>
      <c r="EX423" s="26"/>
      <c r="EY423" s="26"/>
      <c r="EZ423" s="26"/>
      <c r="FA423" s="60"/>
      <c r="FB423" s="60"/>
      <c r="FC423" s="60"/>
      <c r="FD423" s="60"/>
      <c r="FE423" s="60"/>
      <c r="FF423" s="60"/>
      <c r="FG423" s="60"/>
      <c r="FH423" s="60"/>
      <c r="FI423" s="60"/>
      <c r="FJ423" s="60"/>
      <c r="FK423" s="60"/>
      <c r="FL423" s="60"/>
      <c r="FM423" s="60"/>
      <c r="FN423" s="60"/>
      <c r="FO423" s="60"/>
      <c r="FP423" s="60"/>
      <c r="FQ423" s="60"/>
      <c r="FR423" s="60"/>
      <c r="FS423" s="60"/>
      <c r="FT423" s="60"/>
      <c r="FU423" s="60"/>
      <c r="FV423" s="60"/>
      <c r="FW423" s="60"/>
      <c r="FX423" s="60"/>
    </row>
    <row r="424">
      <c r="A424" s="18"/>
      <c r="B424" s="14"/>
      <c r="C424" s="14"/>
      <c r="D424" s="14"/>
      <c r="E424" s="18"/>
      <c r="F424" s="18"/>
      <c r="G424" s="18"/>
      <c r="H424" s="18"/>
      <c r="I424" s="18"/>
      <c r="J424" s="18"/>
      <c r="K424" s="18"/>
      <c r="L424" s="18"/>
      <c r="M424" s="18"/>
      <c r="N424" s="18"/>
      <c r="O424" s="18"/>
      <c r="P424" s="23"/>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c r="CU424" s="26"/>
      <c r="CV424" s="26"/>
      <c r="CW424" s="26"/>
      <c r="CX424" s="26"/>
      <c r="CY424" s="26"/>
      <c r="CZ424" s="26"/>
      <c r="DA424" s="26"/>
      <c r="DB424" s="26"/>
      <c r="DC424" s="26"/>
      <c r="DD424" s="26"/>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26"/>
      <c r="EA424" s="26"/>
      <c r="EB424" s="26"/>
      <c r="EC424" s="26"/>
      <c r="ED424" s="26"/>
      <c r="EE424" s="26"/>
      <c r="EF424" s="26"/>
      <c r="EG424" s="26"/>
      <c r="EH424" s="26"/>
      <c r="EI424" s="26"/>
      <c r="EJ424" s="26"/>
      <c r="EK424" s="26"/>
      <c r="EL424" s="26"/>
      <c r="EM424" s="26"/>
      <c r="EN424" s="26"/>
      <c r="EO424" s="26"/>
      <c r="EP424" s="26"/>
      <c r="EQ424" s="26"/>
      <c r="ER424" s="26"/>
      <c r="ES424" s="26"/>
      <c r="ET424" s="26"/>
      <c r="EU424" s="26"/>
      <c r="EV424" s="26"/>
      <c r="EW424" s="26"/>
      <c r="EX424" s="26"/>
      <c r="EY424" s="26"/>
      <c r="EZ424" s="26"/>
      <c r="FA424" s="60"/>
      <c r="FB424" s="60"/>
      <c r="FC424" s="60"/>
      <c r="FD424" s="60"/>
      <c r="FE424" s="60"/>
      <c r="FF424" s="60"/>
      <c r="FG424" s="60"/>
      <c r="FH424" s="60"/>
      <c r="FI424" s="60"/>
      <c r="FJ424" s="60"/>
      <c r="FK424" s="60"/>
      <c r="FL424" s="60"/>
      <c r="FM424" s="60"/>
      <c r="FN424" s="60"/>
      <c r="FO424" s="60"/>
      <c r="FP424" s="60"/>
      <c r="FQ424" s="60"/>
      <c r="FR424" s="60"/>
      <c r="FS424" s="60"/>
      <c r="FT424" s="60"/>
      <c r="FU424" s="60"/>
      <c r="FV424" s="60"/>
      <c r="FW424" s="60"/>
      <c r="FX424" s="60"/>
    </row>
    <row r="425">
      <c r="A425" s="18"/>
      <c r="B425" s="14"/>
      <c r="C425" s="14"/>
      <c r="D425" s="14"/>
      <c r="E425" s="18"/>
      <c r="F425" s="18"/>
      <c r="G425" s="18"/>
      <c r="H425" s="18"/>
      <c r="I425" s="18"/>
      <c r="J425" s="18"/>
      <c r="K425" s="18"/>
      <c r="L425" s="18"/>
      <c r="M425" s="18"/>
      <c r="N425" s="18"/>
      <c r="O425" s="18"/>
      <c r="P425" s="23"/>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26"/>
      <c r="CU425" s="26"/>
      <c r="CV425" s="26"/>
      <c r="CW425" s="26"/>
      <c r="CX425" s="26"/>
      <c r="CY425" s="26"/>
      <c r="CZ425" s="26"/>
      <c r="DA425" s="26"/>
      <c r="DB425" s="26"/>
      <c r="DC425" s="26"/>
      <c r="DD425" s="26"/>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26"/>
      <c r="EA425" s="26"/>
      <c r="EB425" s="26"/>
      <c r="EC425" s="26"/>
      <c r="ED425" s="26"/>
      <c r="EE425" s="26"/>
      <c r="EF425" s="26"/>
      <c r="EG425" s="26"/>
      <c r="EH425" s="26"/>
      <c r="EI425" s="26"/>
      <c r="EJ425" s="26"/>
      <c r="EK425" s="26"/>
      <c r="EL425" s="26"/>
      <c r="EM425" s="26"/>
      <c r="EN425" s="26"/>
      <c r="EO425" s="26"/>
      <c r="EP425" s="26"/>
      <c r="EQ425" s="26"/>
      <c r="ER425" s="26"/>
      <c r="ES425" s="26"/>
      <c r="ET425" s="26"/>
      <c r="EU425" s="26"/>
      <c r="EV425" s="26"/>
      <c r="EW425" s="26"/>
      <c r="EX425" s="26"/>
      <c r="EY425" s="26"/>
      <c r="EZ425" s="26"/>
      <c r="FA425" s="60"/>
      <c r="FB425" s="60"/>
      <c r="FC425" s="60"/>
      <c r="FD425" s="60"/>
      <c r="FE425" s="60"/>
      <c r="FF425" s="60"/>
      <c r="FG425" s="60"/>
      <c r="FH425" s="60"/>
      <c r="FI425" s="60"/>
      <c r="FJ425" s="60"/>
      <c r="FK425" s="60"/>
      <c r="FL425" s="60"/>
      <c r="FM425" s="60"/>
      <c r="FN425" s="60"/>
      <c r="FO425" s="60"/>
      <c r="FP425" s="60"/>
      <c r="FQ425" s="60"/>
      <c r="FR425" s="60"/>
      <c r="FS425" s="60"/>
      <c r="FT425" s="60"/>
      <c r="FU425" s="60"/>
      <c r="FV425" s="60"/>
      <c r="FW425" s="60"/>
      <c r="FX425" s="60"/>
    </row>
    <row r="426">
      <c r="A426" s="18"/>
      <c r="B426" s="14"/>
      <c r="C426" s="14"/>
      <c r="D426" s="14"/>
      <c r="E426" s="18"/>
      <c r="F426" s="18"/>
      <c r="G426" s="18"/>
      <c r="H426" s="18"/>
      <c r="I426" s="18"/>
      <c r="J426" s="18"/>
      <c r="K426" s="18"/>
      <c r="L426" s="18"/>
      <c r="M426" s="18"/>
      <c r="N426" s="18"/>
      <c r="O426" s="18"/>
      <c r="P426" s="23"/>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c r="CU426" s="26"/>
      <c r="CV426" s="26"/>
      <c r="CW426" s="26"/>
      <c r="CX426" s="26"/>
      <c r="CY426" s="26"/>
      <c r="CZ426" s="26"/>
      <c r="DA426" s="26"/>
      <c r="DB426" s="26"/>
      <c r="DC426" s="26"/>
      <c r="DD426" s="26"/>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26"/>
      <c r="EA426" s="26"/>
      <c r="EB426" s="26"/>
      <c r="EC426" s="26"/>
      <c r="ED426" s="26"/>
      <c r="EE426" s="26"/>
      <c r="EF426" s="26"/>
      <c r="EG426" s="26"/>
      <c r="EH426" s="26"/>
      <c r="EI426" s="26"/>
      <c r="EJ426" s="26"/>
      <c r="EK426" s="26"/>
      <c r="EL426" s="26"/>
      <c r="EM426" s="26"/>
      <c r="EN426" s="26"/>
      <c r="EO426" s="26"/>
      <c r="EP426" s="26"/>
      <c r="EQ426" s="26"/>
      <c r="ER426" s="26"/>
      <c r="ES426" s="26"/>
      <c r="ET426" s="26"/>
      <c r="EU426" s="26"/>
      <c r="EV426" s="26"/>
      <c r="EW426" s="26"/>
      <c r="EX426" s="26"/>
      <c r="EY426" s="26"/>
      <c r="EZ426" s="26"/>
      <c r="FA426" s="60"/>
      <c r="FB426" s="60"/>
      <c r="FC426" s="60"/>
      <c r="FD426" s="60"/>
      <c r="FE426" s="60"/>
      <c r="FF426" s="60"/>
      <c r="FG426" s="60"/>
      <c r="FH426" s="60"/>
      <c r="FI426" s="60"/>
      <c r="FJ426" s="60"/>
      <c r="FK426" s="60"/>
      <c r="FL426" s="60"/>
      <c r="FM426" s="60"/>
      <c r="FN426" s="60"/>
      <c r="FO426" s="60"/>
      <c r="FP426" s="60"/>
      <c r="FQ426" s="60"/>
      <c r="FR426" s="60"/>
      <c r="FS426" s="60"/>
      <c r="FT426" s="60"/>
      <c r="FU426" s="60"/>
      <c r="FV426" s="60"/>
      <c r="FW426" s="60"/>
      <c r="FX426" s="60"/>
    </row>
    <row r="427">
      <c r="A427" s="18"/>
      <c r="B427" s="14"/>
      <c r="C427" s="14"/>
      <c r="D427" s="14"/>
      <c r="E427" s="18"/>
      <c r="F427" s="18"/>
      <c r="G427" s="18"/>
      <c r="H427" s="18"/>
      <c r="I427" s="18"/>
      <c r="J427" s="18"/>
      <c r="K427" s="18"/>
      <c r="L427" s="18"/>
      <c r="M427" s="18"/>
      <c r="N427" s="18"/>
      <c r="O427" s="18"/>
      <c r="P427" s="23"/>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c r="CU427" s="26"/>
      <c r="CV427" s="26"/>
      <c r="CW427" s="26"/>
      <c r="CX427" s="26"/>
      <c r="CY427" s="26"/>
      <c r="CZ427" s="26"/>
      <c r="DA427" s="26"/>
      <c r="DB427" s="26"/>
      <c r="DC427" s="26"/>
      <c r="DD427" s="26"/>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26"/>
      <c r="EA427" s="26"/>
      <c r="EB427" s="26"/>
      <c r="EC427" s="26"/>
      <c r="ED427" s="26"/>
      <c r="EE427" s="26"/>
      <c r="EF427" s="26"/>
      <c r="EG427" s="26"/>
      <c r="EH427" s="26"/>
      <c r="EI427" s="26"/>
      <c r="EJ427" s="26"/>
      <c r="EK427" s="26"/>
      <c r="EL427" s="26"/>
      <c r="EM427" s="26"/>
      <c r="EN427" s="26"/>
      <c r="EO427" s="26"/>
      <c r="EP427" s="26"/>
      <c r="EQ427" s="26"/>
      <c r="ER427" s="26"/>
      <c r="ES427" s="26"/>
      <c r="ET427" s="26"/>
      <c r="EU427" s="26"/>
      <c r="EV427" s="26"/>
      <c r="EW427" s="26"/>
      <c r="EX427" s="26"/>
      <c r="EY427" s="26"/>
      <c r="EZ427" s="26"/>
      <c r="FA427" s="60"/>
      <c r="FB427" s="60"/>
      <c r="FC427" s="60"/>
      <c r="FD427" s="60"/>
      <c r="FE427" s="60"/>
      <c r="FF427" s="60"/>
      <c r="FG427" s="60"/>
      <c r="FH427" s="60"/>
      <c r="FI427" s="60"/>
      <c r="FJ427" s="60"/>
      <c r="FK427" s="60"/>
      <c r="FL427" s="60"/>
      <c r="FM427" s="60"/>
      <c r="FN427" s="60"/>
      <c r="FO427" s="60"/>
      <c r="FP427" s="60"/>
      <c r="FQ427" s="60"/>
      <c r="FR427" s="60"/>
      <c r="FS427" s="60"/>
      <c r="FT427" s="60"/>
      <c r="FU427" s="60"/>
      <c r="FV427" s="60"/>
      <c r="FW427" s="60"/>
      <c r="FX427" s="60"/>
    </row>
    <row r="428">
      <c r="A428" s="18"/>
      <c r="B428" s="14"/>
      <c r="C428" s="14"/>
      <c r="D428" s="14"/>
      <c r="E428" s="18"/>
      <c r="F428" s="18"/>
      <c r="G428" s="18"/>
      <c r="H428" s="18"/>
      <c r="I428" s="18"/>
      <c r="J428" s="18"/>
      <c r="K428" s="18"/>
      <c r="L428" s="18"/>
      <c r="M428" s="18"/>
      <c r="N428" s="18"/>
      <c r="O428" s="18"/>
      <c r="P428" s="23"/>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c r="CU428" s="26"/>
      <c r="CV428" s="26"/>
      <c r="CW428" s="26"/>
      <c r="CX428" s="26"/>
      <c r="CY428" s="26"/>
      <c r="CZ428" s="26"/>
      <c r="DA428" s="26"/>
      <c r="DB428" s="26"/>
      <c r="DC428" s="26"/>
      <c r="DD428" s="26"/>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26"/>
      <c r="EA428" s="26"/>
      <c r="EB428" s="26"/>
      <c r="EC428" s="26"/>
      <c r="ED428" s="26"/>
      <c r="EE428" s="26"/>
      <c r="EF428" s="26"/>
      <c r="EG428" s="26"/>
      <c r="EH428" s="26"/>
      <c r="EI428" s="26"/>
      <c r="EJ428" s="26"/>
      <c r="EK428" s="26"/>
      <c r="EL428" s="26"/>
      <c r="EM428" s="26"/>
      <c r="EN428" s="26"/>
      <c r="EO428" s="26"/>
      <c r="EP428" s="26"/>
      <c r="EQ428" s="26"/>
      <c r="ER428" s="26"/>
      <c r="ES428" s="26"/>
      <c r="ET428" s="26"/>
      <c r="EU428" s="26"/>
      <c r="EV428" s="26"/>
      <c r="EW428" s="26"/>
      <c r="EX428" s="26"/>
      <c r="EY428" s="26"/>
      <c r="EZ428" s="26"/>
      <c r="FA428" s="60"/>
      <c r="FB428" s="60"/>
      <c r="FC428" s="60"/>
      <c r="FD428" s="60"/>
      <c r="FE428" s="60"/>
      <c r="FF428" s="60"/>
      <c r="FG428" s="60"/>
      <c r="FH428" s="60"/>
      <c r="FI428" s="60"/>
      <c r="FJ428" s="60"/>
      <c r="FK428" s="60"/>
      <c r="FL428" s="60"/>
      <c r="FM428" s="60"/>
      <c r="FN428" s="60"/>
      <c r="FO428" s="60"/>
      <c r="FP428" s="60"/>
      <c r="FQ428" s="60"/>
      <c r="FR428" s="60"/>
      <c r="FS428" s="60"/>
      <c r="FT428" s="60"/>
      <c r="FU428" s="60"/>
      <c r="FV428" s="60"/>
      <c r="FW428" s="60"/>
      <c r="FX428" s="60"/>
    </row>
    <row r="429">
      <c r="A429" s="18"/>
      <c r="B429" s="14"/>
      <c r="C429" s="14"/>
      <c r="D429" s="14"/>
      <c r="E429" s="18"/>
      <c r="F429" s="18"/>
      <c r="G429" s="18"/>
      <c r="H429" s="18"/>
      <c r="I429" s="18"/>
      <c r="J429" s="18"/>
      <c r="K429" s="18"/>
      <c r="L429" s="18"/>
      <c r="M429" s="18"/>
      <c r="N429" s="18"/>
      <c r="O429" s="18"/>
      <c r="P429" s="23"/>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c r="CU429" s="26"/>
      <c r="CV429" s="26"/>
      <c r="CW429" s="26"/>
      <c r="CX429" s="26"/>
      <c r="CY429" s="26"/>
      <c r="CZ429" s="26"/>
      <c r="DA429" s="26"/>
      <c r="DB429" s="26"/>
      <c r="DC429" s="26"/>
      <c r="DD429" s="26"/>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26"/>
      <c r="EA429" s="26"/>
      <c r="EB429" s="26"/>
      <c r="EC429" s="26"/>
      <c r="ED429" s="26"/>
      <c r="EE429" s="26"/>
      <c r="EF429" s="26"/>
      <c r="EG429" s="26"/>
      <c r="EH429" s="26"/>
      <c r="EI429" s="26"/>
      <c r="EJ429" s="26"/>
      <c r="EK429" s="26"/>
      <c r="EL429" s="26"/>
      <c r="EM429" s="26"/>
      <c r="EN429" s="26"/>
      <c r="EO429" s="26"/>
      <c r="EP429" s="26"/>
      <c r="EQ429" s="26"/>
      <c r="ER429" s="26"/>
      <c r="ES429" s="26"/>
      <c r="ET429" s="26"/>
      <c r="EU429" s="26"/>
      <c r="EV429" s="26"/>
      <c r="EW429" s="26"/>
      <c r="EX429" s="26"/>
      <c r="EY429" s="26"/>
      <c r="EZ429" s="26"/>
      <c r="FA429" s="60"/>
      <c r="FB429" s="60"/>
      <c r="FC429" s="60"/>
      <c r="FD429" s="60"/>
      <c r="FE429" s="60"/>
      <c r="FF429" s="60"/>
      <c r="FG429" s="60"/>
      <c r="FH429" s="60"/>
      <c r="FI429" s="60"/>
      <c r="FJ429" s="60"/>
      <c r="FK429" s="60"/>
      <c r="FL429" s="60"/>
      <c r="FM429" s="60"/>
      <c r="FN429" s="60"/>
      <c r="FO429" s="60"/>
      <c r="FP429" s="60"/>
      <c r="FQ429" s="60"/>
      <c r="FR429" s="60"/>
      <c r="FS429" s="60"/>
      <c r="FT429" s="60"/>
      <c r="FU429" s="60"/>
      <c r="FV429" s="60"/>
      <c r="FW429" s="60"/>
      <c r="FX429" s="60"/>
    </row>
    <row r="430">
      <c r="A430" s="18"/>
      <c r="B430" s="14"/>
      <c r="C430" s="14"/>
      <c r="D430" s="14"/>
      <c r="E430" s="18"/>
      <c r="F430" s="18"/>
      <c r="G430" s="18"/>
      <c r="H430" s="18"/>
      <c r="I430" s="18"/>
      <c r="J430" s="18"/>
      <c r="K430" s="18"/>
      <c r="L430" s="18"/>
      <c r="M430" s="18"/>
      <c r="N430" s="18"/>
      <c r="O430" s="18"/>
      <c r="P430" s="23"/>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c r="CU430" s="26"/>
      <c r="CV430" s="26"/>
      <c r="CW430" s="26"/>
      <c r="CX430" s="26"/>
      <c r="CY430" s="26"/>
      <c r="CZ430" s="26"/>
      <c r="DA430" s="26"/>
      <c r="DB430" s="26"/>
      <c r="DC430" s="26"/>
      <c r="DD430" s="26"/>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26"/>
      <c r="EA430" s="26"/>
      <c r="EB430" s="26"/>
      <c r="EC430" s="26"/>
      <c r="ED430" s="26"/>
      <c r="EE430" s="26"/>
      <c r="EF430" s="26"/>
      <c r="EG430" s="26"/>
      <c r="EH430" s="26"/>
      <c r="EI430" s="26"/>
      <c r="EJ430" s="26"/>
      <c r="EK430" s="26"/>
      <c r="EL430" s="26"/>
      <c r="EM430" s="26"/>
      <c r="EN430" s="26"/>
      <c r="EO430" s="26"/>
      <c r="EP430" s="26"/>
      <c r="EQ430" s="26"/>
      <c r="ER430" s="26"/>
      <c r="ES430" s="26"/>
      <c r="ET430" s="26"/>
      <c r="EU430" s="26"/>
      <c r="EV430" s="26"/>
      <c r="EW430" s="26"/>
      <c r="EX430" s="26"/>
      <c r="EY430" s="26"/>
      <c r="EZ430" s="26"/>
      <c r="FA430" s="60"/>
      <c r="FB430" s="60"/>
      <c r="FC430" s="60"/>
      <c r="FD430" s="60"/>
      <c r="FE430" s="60"/>
      <c r="FF430" s="60"/>
      <c r="FG430" s="60"/>
      <c r="FH430" s="60"/>
      <c r="FI430" s="60"/>
      <c r="FJ430" s="60"/>
      <c r="FK430" s="60"/>
      <c r="FL430" s="60"/>
      <c r="FM430" s="60"/>
      <c r="FN430" s="60"/>
      <c r="FO430" s="60"/>
      <c r="FP430" s="60"/>
      <c r="FQ430" s="60"/>
      <c r="FR430" s="60"/>
      <c r="FS430" s="60"/>
      <c r="FT430" s="60"/>
      <c r="FU430" s="60"/>
      <c r="FV430" s="60"/>
      <c r="FW430" s="60"/>
      <c r="FX430" s="60"/>
    </row>
    <row r="431">
      <c r="A431" s="18"/>
      <c r="B431" s="14"/>
      <c r="C431" s="14"/>
      <c r="D431" s="14"/>
      <c r="E431" s="18"/>
      <c r="F431" s="18"/>
      <c r="G431" s="18"/>
      <c r="H431" s="18"/>
      <c r="I431" s="18"/>
      <c r="J431" s="18"/>
      <c r="K431" s="18"/>
      <c r="L431" s="18"/>
      <c r="M431" s="18"/>
      <c r="N431" s="18"/>
      <c r="O431" s="18"/>
      <c r="P431" s="23"/>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c r="CU431" s="26"/>
      <c r="CV431" s="26"/>
      <c r="CW431" s="26"/>
      <c r="CX431" s="26"/>
      <c r="CY431" s="26"/>
      <c r="CZ431" s="26"/>
      <c r="DA431" s="26"/>
      <c r="DB431" s="26"/>
      <c r="DC431" s="26"/>
      <c r="DD431" s="26"/>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26"/>
      <c r="EA431" s="26"/>
      <c r="EB431" s="26"/>
      <c r="EC431" s="26"/>
      <c r="ED431" s="26"/>
      <c r="EE431" s="26"/>
      <c r="EF431" s="26"/>
      <c r="EG431" s="26"/>
      <c r="EH431" s="26"/>
      <c r="EI431" s="26"/>
      <c r="EJ431" s="26"/>
      <c r="EK431" s="26"/>
      <c r="EL431" s="26"/>
      <c r="EM431" s="26"/>
      <c r="EN431" s="26"/>
      <c r="EO431" s="26"/>
      <c r="EP431" s="26"/>
      <c r="EQ431" s="26"/>
      <c r="ER431" s="26"/>
      <c r="ES431" s="26"/>
      <c r="ET431" s="26"/>
      <c r="EU431" s="26"/>
      <c r="EV431" s="26"/>
      <c r="EW431" s="26"/>
      <c r="EX431" s="26"/>
      <c r="EY431" s="26"/>
      <c r="EZ431" s="26"/>
      <c r="FA431" s="60"/>
      <c r="FB431" s="60"/>
      <c r="FC431" s="60"/>
      <c r="FD431" s="60"/>
      <c r="FE431" s="60"/>
      <c r="FF431" s="60"/>
      <c r="FG431" s="60"/>
      <c r="FH431" s="60"/>
      <c r="FI431" s="60"/>
      <c r="FJ431" s="60"/>
      <c r="FK431" s="60"/>
      <c r="FL431" s="60"/>
      <c r="FM431" s="60"/>
      <c r="FN431" s="60"/>
      <c r="FO431" s="60"/>
      <c r="FP431" s="60"/>
      <c r="FQ431" s="60"/>
      <c r="FR431" s="60"/>
      <c r="FS431" s="60"/>
      <c r="FT431" s="60"/>
      <c r="FU431" s="60"/>
      <c r="FV431" s="60"/>
      <c r="FW431" s="60"/>
      <c r="FX431" s="60"/>
    </row>
    <row r="432">
      <c r="A432" s="18"/>
      <c r="B432" s="14"/>
      <c r="C432" s="14"/>
      <c r="D432" s="14"/>
      <c r="E432" s="18"/>
      <c r="F432" s="18"/>
      <c r="G432" s="18"/>
      <c r="H432" s="18"/>
      <c r="I432" s="18"/>
      <c r="J432" s="18"/>
      <c r="K432" s="18"/>
      <c r="L432" s="18"/>
      <c r="M432" s="18"/>
      <c r="N432" s="18"/>
      <c r="O432" s="18"/>
      <c r="P432" s="23"/>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c r="CW432" s="26"/>
      <c r="CX432" s="26"/>
      <c r="CY432" s="26"/>
      <c r="CZ432" s="26"/>
      <c r="DA432" s="26"/>
      <c r="DB432" s="26"/>
      <c r="DC432" s="26"/>
      <c r="DD432" s="26"/>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26"/>
      <c r="EA432" s="26"/>
      <c r="EB432" s="26"/>
      <c r="EC432" s="26"/>
      <c r="ED432" s="26"/>
      <c r="EE432" s="26"/>
      <c r="EF432" s="26"/>
      <c r="EG432" s="26"/>
      <c r="EH432" s="26"/>
      <c r="EI432" s="26"/>
      <c r="EJ432" s="26"/>
      <c r="EK432" s="26"/>
      <c r="EL432" s="26"/>
      <c r="EM432" s="26"/>
      <c r="EN432" s="26"/>
      <c r="EO432" s="26"/>
      <c r="EP432" s="26"/>
      <c r="EQ432" s="26"/>
      <c r="ER432" s="26"/>
      <c r="ES432" s="26"/>
      <c r="ET432" s="26"/>
      <c r="EU432" s="26"/>
      <c r="EV432" s="26"/>
      <c r="EW432" s="26"/>
      <c r="EX432" s="26"/>
      <c r="EY432" s="26"/>
      <c r="EZ432" s="26"/>
      <c r="FA432" s="60"/>
      <c r="FB432" s="60"/>
      <c r="FC432" s="60"/>
      <c r="FD432" s="60"/>
      <c r="FE432" s="60"/>
      <c r="FF432" s="60"/>
      <c r="FG432" s="60"/>
      <c r="FH432" s="60"/>
      <c r="FI432" s="60"/>
      <c r="FJ432" s="60"/>
      <c r="FK432" s="60"/>
      <c r="FL432" s="60"/>
      <c r="FM432" s="60"/>
      <c r="FN432" s="60"/>
      <c r="FO432" s="60"/>
      <c r="FP432" s="60"/>
      <c r="FQ432" s="60"/>
      <c r="FR432" s="60"/>
      <c r="FS432" s="60"/>
      <c r="FT432" s="60"/>
      <c r="FU432" s="60"/>
      <c r="FV432" s="60"/>
      <c r="FW432" s="60"/>
      <c r="FX432" s="60"/>
    </row>
    <row r="433">
      <c r="A433" s="18"/>
      <c r="B433" s="14"/>
      <c r="C433" s="14"/>
      <c r="D433" s="14"/>
      <c r="E433" s="18"/>
      <c r="F433" s="18"/>
      <c r="G433" s="18"/>
      <c r="H433" s="18"/>
      <c r="I433" s="18"/>
      <c r="J433" s="18"/>
      <c r="K433" s="18"/>
      <c r="L433" s="18"/>
      <c r="M433" s="18"/>
      <c r="N433" s="18"/>
      <c r="O433" s="18"/>
      <c r="P433" s="23"/>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c r="CW433" s="26"/>
      <c r="CX433" s="26"/>
      <c r="CY433" s="26"/>
      <c r="CZ433" s="26"/>
      <c r="DA433" s="26"/>
      <c r="DB433" s="26"/>
      <c r="DC433" s="26"/>
      <c r="DD433" s="26"/>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26"/>
      <c r="EA433" s="26"/>
      <c r="EB433" s="26"/>
      <c r="EC433" s="26"/>
      <c r="ED433" s="26"/>
      <c r="EE433" s="26"/>
      <c r="EF433" s="26"/>
      <c r="EG433" s="26"/>
      <c r="EH433" s="26"/>
      <c r="EI433" s="26"/>
      <c r="EJ433" s="26"/>
      <c r="EK433" s="26"/>
      <c r="EL433" s="26"/>
      <c r="EM433" s="26"/>
      <c r="EN433" s="26"/>
      <c r="EO433" s="26"/>
      <c r="EP433" s="26"/>
      <c r="EQ433" s="26"/>
      <c r="ER433" s="26"/>
      <c r="ES433" s="26"/>
      <c r="ET433" s="26"/>
      <c r="EU433" s="26"/>
      <c r="EV433" s="26"/>
      <c r="EW433" s="26"/>
      <c r="EX433" s="26"/>
      <c r="EY433" s="26"/>
      <c r="EZ433" s="26"/>
      <c r="FA433" s="60"/>
      <c r="FB433" s="60"/>
      <c r="FC433" s="60"/>
      <c r="FD433" s="60"/>
      <c r="FE433" s="60"/>
      <c r="FF433" s="60"/>
      <c r="FG433" s="60"/>
      <c r="FH433" s="60"/>
      <c r="FI433" s="60"/>
      <c r="FJ433" s="60"/>
      <c r="FK433" s="60"/>
      <c r="FL433" s="60"/>
      <c r="FM433" s="60"/>
      <c r="FN433" s="60"/>
      <c r="FO433" s="60"/>
      <c r="FP433" s="60"/>
      <c r="FQ433" s="60"/>
      <c r="FR433" s="60"/>
      <c r="FS433" s="60"/>
      <c r="FT433" s="60"/>
      <c r="FU433" s="60"/>
      <c r="FV433" s="60"/>
      <c r="FW433" s="60"/>
      <c r="FX433" s="60"/>
    </row>
    <row r="434">
      <c r="A434" s="18"/>
      <c r="B434" s="14"/>
      <c r="C434" s="14"/>
      <c r="D434" s="14"/>
      <c r="E434" s="18"/>
      <c r="F434" s="18"/>
      <c r="G434" s="18"/>
      <c r="H434" s="18"/>
      <c r="I434" s="18"/>
      <c r="J434" s="18"/>
      <c r="K434" s="18"/>
      <c r="L434" s="18"/>
      <c r="M434" s="18"/>
      <c r="N434" s="18"/>
      <c r="O434" s="18"/>
      <c r="P434" s="23"/>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c r="CW434" s="26"/>
      <c r="CX434" s="26"/>
      <c r="CY434" s="26"/>
      <c r="CZ434" s="26"/>
      <c r="DA434" s="26"/>
      <c r="DB434" s="26"/>
      <c r="DC434" s="26"/>
      <c r="DD434" s="26"/>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26"/>
      <c r="EA434" s="26"/>
      <c r="EB434" s="26"/>
      <c r="EC434" s="26"/>
      <c r="ED434" s="26"/>
      <c r="EE434" s="26"/>
      <c r="EF434" s="26"/>
      <c r="EG434" s="26"/>
      <c r="EH434" s="26"/>
      <c r="EI434" s="26"/>
      <c r="EJ434" s="26"/>
      <c r="EK434" s="26"/>
      <c r="EL434" s="26"/>
      <c r="EM434" s="26"/>
      <c r="EN434" s="26"/>
      <c r="EO434" s="26"/>
      <c r="EP434" s="26"/>
      <c r="EQ434" s="26"/>
      <c r="ER434" s="26"/>
      <c r="ES434" s="26"/>
      <c r="ET434" s="26"/>
      <c r="EU434" s="26"/>
      <c r="EV434" s="26"/>
      <c r="EW434" s="26"/>
      <c r="EX434" s="26"/>
      <c r="EY434" s="26"/>
      <c r="EZ434" s="26"/>
      <c r="FA434" s="60"/>
      <c r="FB434" s="60"/>
      <c r="FC434" s="60"/>
      <c r="FD434" s="60"/>
      <c r="FE434" s="60"/>
      <c r="FF434" s="60"/>
      <c r="FG434" s="60"/>
      <c r="FH434" s="60"/>
      <c r="FI434" s="60"/>
      <c r="FJ434" s="60"/>
      <c r="FK434" s="60"/>
      <c r="FL434" s="60"/>
      <c r="FM434" s="60"/>
      <c r="FN434" s="60"/>
      <c r="FO434" s="60"/>
      <c r="FP434" s="60"/>
      <c r="FQ434" s="60"/>
      <c r="FR434" s="60"/>
      <c r="FS434" s="60"/>
      <c r="FT434" s="60"/>
      <c r="FU434" s="60"/>
      <c r="FV434" s="60"/>
      <c r="FW434" s="60"/>
      <c r="FX434" s="60"/>
    </row>
    <row r="435">
      <c r="A435" s="18"/>
      <c r="B435" s="14"/>
      <c r="C435" s="14"/>
      <c r="D435" s="14"/>
      <c r="E435" s="18"/>
      <c r="F435" s="18"/>
      <c r="G435" s="18"/>
      <c r="H435" s="18"/>
      <c r="I435" s="18"/>
      <c r="J435" s="18"/>
      <c r="K435" s="18"/>
      <c r="L435" s="18"/>
      <c r="M435" s="18"/>
      <c r="N435" s="18"/>
      <c r="O435" s="18"/>
      <c r="P435" s="23"/>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c r="CU435" s="26"/>
      <c r="CV435" s="26"/>
      <c r="CW435" s="26"/>
      <c r="CX435" s="26"/>
      <c r="CY435" s="26"/>
      <c r="CZ435" s="26"/>
      <c r="DA435" s="26"/>
      <c r="DB435" s="26"/>
      <c r="DC435" s="26"/>
      <c r="DD435" s="26"/>
      <c r="DE435" s="26"/>
      <c r="DF435" s="26"/>
      <c r="DG435" s="26"/>
      <c r="DH435" s="26"/>
      <c r="DI435" s="26"/>
      <c r="DJ435" s="26"/>
      <c r="DK435" s="26"/>
      <c r="DL435" s="26"/>
      <c r="DM435" s="26"/>
      <c r="DN435" s="26"/>
      <c r="DO435" s="26"/>
      <c r="DP435" s="26"/>
      <c r="DQ435" s="26"/>
      <c r="DR435" s="26"/>
      <c r="DS435" s="26"/>
      <c r="DT435" s="26"/>
      <c r="DU435" s="26"/>
      <c r="DV435" s="26"/>
      <c r="DW435" s="26"/>
      <c r="DX435" s="26"/>
      <c r="DY435" s="26"/>
      <c r="DZ435" s="26"/>
      <c r="EA435" s="26"/>
      <c r="EB435" s="26"/>
      <c r="EC435" s="26"/>
      <c r="ED435" s="26"/>
      <c r="EE435" s="26"/>
      <c r="EF435" s="26"/>
      <c r="EG435" s="26"/>
      <c r="EH435" s="26"/>
      <c r="EI435" s="26"/>
      <c r="EJ435" s="26"/>
      <c r="EK435" s="26"/>
      <c r="EL435" s="26"/>
      <c r="EM435" s="26"/>
      <c r="EN435" s="26"/>
      <c r="EO435" s="26"/>
      <c r="EP435" s="26"/>
      <c r="EQ435" s="26"/>
      <c r="ER435" s="26"/>
      <c r="ES435" s="26"/>
      <c r="ET435" s="26"/>
      <c r="EU435" s="26"/>
      <c r="EV435" s="26"/>
      <c r="EW435" s="26"/>
      <c r="EX435" s="26"/>
      <c r="EY435" s="26"/>
      <c r="EZ435" s="26"/>
      <c r="FA435" s="60"/>
      <c r="FB435" s="60"/>
      <c r="FC435" s="60"/>
      <c r="FD435" s="60"/>
      <c r="FE435" s="60"/>
      <c r="FF435" s="60"/>
      <c r="FG435" s="60"/>
      <c r="FH435" s="60"/>
      <c r="FI435" s="60"/>
      <c r="FJ435" s="60"/>
      <c r="FK435" s="60"/>
      <c r="FL435" s="60"/>
      <c r="FM435" s="60"/>
      <c r="FN435" s="60"/>
      <c r="FO435" s="60"/>
      <c r="FP435" s="60"/>
      <c r="FQ435" s="60"/>
      <c r="FR435" s="60"/>
      <c r="FS435" s="60"/>
      <c r="FT435" s="60"/>
      <c r="FU435" s="60"/>
      <c r="FV435" s="60"/>
      <c r="FW435" s="60"/>
      <c r="FX435" s="60"/>
    </row>
    <row r="436">
      <c r="A436" s="18"/>
      <c r="B436" s="14"/>
      <c r="C436" s="14"/>
      <c r="D436" s="14"/>
      <c r="E436" s="18"/>
      <c r="F436" s="18"/>
      <c r="G436" s="18"/>
      <c r="H436" s="18"/>
      <c r="I436" s="18"/>
      <c r="J436" s="18"/>
      <c r="K436" s="18"/>
      <c r="L436" s="18"/>
      <c r="M436" s="18"/>
      <c r="N436" s="18"/>
      <c r="O436" s="18"/>
      <c r="P436" s="23"/>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c r="CU436" s="26"/>
      <c r="CV436" s="26"/>
      <c r="CW436" s="26"/>
      <c r="CX436" s="26"/>
      <c r="CY436" s="26"/>
      <c r="CZ436" s="26"/>
      <c r="DA436" s="26"/>
      <c r="DB436" s="26"/>
      <c r="DC436" s="26"/>
      <c r="DD436" s="26"/>
      <c r="DE436" s="26"/>
      <c r="DF436" s="26"/>
      <c r="DG436" s="26"/>
      <c r="DH436" s="26"/>
      <c r="DI436" s="26"/>
      <c r="DJ436" s="26"/>
      <c r="DK436" s="26"/>
      <c r="DL436" s="26"/>
      <c r="DM436" s="26"/>
      <c r="DN436" s="26"/>
      <c r="DO436" s="26"/>
      <c r="DP436" s="26"/>
      <c r="DQ436" s="26"/>
      <c r="DR436" s="26"/>
      <c r="DS436" s="26"/>
      <c r="DT436" s="26"/>
      <c r="DU436" s="26"/>
      <c r="DV436" s="26"/>
      <c r="DW436" s="26"/>
      <c r="DX436" s="26"/>
      <c r="DY436" s="26"/>
      <c r="DZ436" s="26"/>
      <c r="EA436" s="26"/>
      <c r="EB436" s="26"/>
      <c r="EC436" s="26"/>
      <c r="ED436" s="26"/>
      <c r="EE436" s="26"/>
      <c r="EF436" s="26"/>
      <c r="EG436" s="26"/>
      <c r="EH436" s="26"/>
      <c r="EI436" s="26"/>
      <c r="EJ436" s="26"/>
      <c r="EK436" s="26"/>
      <c r="EL436" s="26"/>
      <c r="EM436" s="26"/>
      <c r="EN436" s="26"/>
      <c r="EO436" s="26"/>
      <c r="EP436" s="26"/>
      <c r="EQ436" s="26"/>
      <c r="ER436" s="26"/>
      <c r="ES436" s="26"/>
      <c r="ET436" s="26"/>
      <c r="EU436" s="26"/>
      <c r="EV436" s="26"/>
      <c r="EW436" s="26"/>
      <c r="EX436" s="26"/>
      <c r="EY436" s="26"/>
      <c r="EZ436" s="26"/>
      <c r="FA436" s="60"/>
      <c r="FB436" s="60"/>
      <c r="FC436" s="60"/>
      <c r="FD436" s="60"/>
      <c r="FE436" s="60"/>
      <c r="FF436" s="60"/>
      <c r="FG436" s="60"/>
      <c r="FH436" s="60"/>
      <c r="FI436" s="60"/>
      <c r="FJ436" s="60"/>
      <c r="FK436" s="60"/>
      <c r="FL436" s="60"/>
      <c r="FM436" s="60"/>
      <c r="FN436" s="60"/>
      <c r="FO436" s="60"/>
      <c r="FP436" s="60"/>
      <c r="FQ436" s="60"/>
      <c r="FR436" s="60"/>
      <c r="FS436" s="60"/>
      <c r="FT436" s="60"/>
      <c r="FU436" s="60"/>
      <c r="FV436" s="60"/>
      <c r="FW436" s="60"/>
      <c r="FX436" s="60"/>
    </row>
    <row r="437">
      <c r="A437" s="18"/>
      <c r="B437" s="14"/>
      <c r="C437" s="14"/>
      <c r="D437" s="14"/>
      <c r="E437" s="18"/>
      <c r="F437" s="18"/>
      <c r="G437" s="18"/>
      <c r="H437" s="18"/>
      <c r="I437" s="18"/>
      <c r="J437" s="18"/>
      <c r="K437" s="18"/>
      <c r="L437" s="18"/>
      <c r="M437" s="18"/>
      <c r="N437" s="18"/>
      <c r="O437" s="18"/>
      <c r="P437" s="23"/>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26"/>
      <c r="CU437" s="26"/>
      <c r="CV437" s="26"/>
      <c r="CW437" s="26"/>
      <c r="CX437" s="26"/>
      <c r="CY437" s="26"/>
      <c r="CZ437" s="26"/>
      <c r="DA437" s="26"/>
      <c r="DB437" s="26"/>
      <c r="DC437" s="26"/>
      <c r="DD437" s="26"/>
      <c r="DE437" s="26"/>
      <c r="DF437" s="26"/>
      <c r="DG437" s="26"/>
      <c r="DH437" s="26"/>
      <c r="DI437" s="26"/>
      <c r="DJ437" s="26"/>
      <c r="DK437" s="26"/>
      <c r="DL437" s="26"/>
      <c r="DM437" s="26"/>
      <c r="DN437" s="26"/>
      <c r="DO437" s="26"/>
      <c r="DP437" s="26"/>
      <c r="DQ437" s="26"/>
      <c r="DR437" s="26"/>
      <c r="DS437" s="26"/>
      <c r="DT437" s="26"/>
      <c r="DU437" s="26"/>
      <c r="DV437" s="26"/>
      <c r="DW437" s="26"/>
      <c r="DX437" s="26"/>
      <c r="DY437" s="26"/>
      <c r="DZ437" s="26"/>
      <c r="EA437" s="26"/>
      <c r="EB437" s="26"/>
      <c r="EC437" s="26"/>
      <c r="ED437" s="26"/>
      <c r="EE437" s="26"/>
      <c r="EF437" s="26"/>
      <c r="EG437" s="26"/>
      <c r="EH437" s="26"/>
      <c r="EI437" s="26"/>
      <c r="EJ437" s="26"/>
      <c r="EK437" s="26"/>
      <c r="EL437" s="26"/>
      <c r="EM437" s="26"/>
      <c r="EN437" s="26"/>
      <c r="EO437" s="26"/>
      <c r="EP437" s="26"/>
      <c r="EQ437" s="26"/>
      <c r="ER437" s="26"/>
      <c r="ES437" s="26"/>
      <c r="ET437" s="26"/>
      <c r="EU437" s="26"/>
      <c r="EV437" s="26"/>
      <c r="EW437" s="26"/>
      <c r="EX437" s="26"/>
      <c r="EY437" s="26"/>
      <c r="EZ437" s="26"/>
      <c r="FA437" s="60"/>
      <c r="FB437" s="60"/>
      <c r="FC437" s="60"/>
      <c r="FD437" s="60"/>
      <c r="FE437" s="60"/>
      <c r="FF437" s="60"/>
      <c r="FG437" s="60"/>
      <c r="FH437" s="60"/>
      <c r="FI437" s="60"/>
      <c r="FJ437" s="60"/>
      <c r="FK437" s="60"/>
      <c r="FL437" s="60"/>
      <c r="FM437" s="60"/>
      <c r="FN437" s="60"/>
      <c r="FO437" s="60"/>
      <c r="FP437" s="60"/>
      <c r="FQ437" s="60"/>
      <c r="FR437" s="60"/>
      <c r="FS437" s="60"/>
      <c r="FT437" s="60"/>
      <c r="FU437" s="60"/>
      <c r="FV437" s="60"/>
      <c r="FW437" s="60"/>
      <c r="FX437" s="60"/>
    </row>
    <row r="438">
      <c r="A438" s="18"/>
      <c r="B438" s="14"/>
      <c r="C438" s="14"/>
      <c r="D438" s="14"/>
      <c r="E438" s="18"/>
      <c r="F438" s="18"/>
      <c r="G438" s="18"/>
      <c r="H438" s="18"/>
      <c r="I438" s="18"/>
      <c r="J438" s="18"/>
      <c r="K438" s="18"/>
      <c r="L438" s="18"/>
      <c r="M438" s="18"/>
      <c r="N438" s="18"/>
      <c r="O438" s="18"/>
      <c r="P438" s="23"/>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c r="CU438" s="26"/>
      <c r="CV438" s="26"/>
      <c r="CW438" s="26"/>
      <c r="CX438" s="26"/>
      <c r="CY438" s="26"/>
      <c r="CZ438" s="26"/>
      <c r="DA438" s="26"/>
      <c r="DB438" s="26"/>
      <c r="DC438" s="26"/>
      <c r="DD438" s="26"/>
      <c r="DE438" s="26"/>
      <c r="DF438" s="26"/>
      <c r="DG438" s="26"/>
      <c r="DH438" s="26"/>
      <c r="DI438" s="26"/>
      <c r="DJ438" s="26"/>
      <c r="DK438" s="26"/>
      <c r="DL438" s="26"/>
      <c r="DM438" s="26"/>
      <c r="DN438" s="26"/>
      <c r="DO438" s="26"/>
      <c r="DP438" s="26"/>
      <c r="DQ438" s="26"/>
      <c r="DR438" s="26"/>
      <c r="DS438" s="26"/>
      <c r="DT438" s="26"/>
      <c r="DU438" s="26"/>
      <c r="DV438" s="26"/>
      <c r="DW438" s="26"/>
      <c r="DX438" s="26"/>
      <c r="DY438" s="26"/>
      <c r="DZ438" s="26"/>
      <c r="EA438" s="26"/>
      <c r="EB438" s="26"/>
      <c r="EC438" s="26"/>
      <c r="ED438" s="26"/>
      <c r="EE438" s="26"/>
      <c r="EF438" s="26"/>
      <c r="EG438" s="26"/>
      <c r="EH438" s="26"/>
      <c r="EI438" s="26"/>
      <c r="EJ438" s="26"/>
      <c r="EK438" s="26"/>
      <c r="EL438" s="26"/>
      <c r="EM438" s="26"/>
      <c r="EN438" s="26"/>
      <c r="EO438" s="26"/>
      <c r="EP438" s="26"/>
      <c r="EQ438" s="26"/>
      <c r="ER438" s="26"/>
      <c r="ES438" s="26"/>
      <c r="ET438" s="26"/>
      <c r="EU438" s="26"/>
      <c r="EV438" s="26"/>
      <c r="EW438" s="26"/>
      <c r="EX438" s="26"/>
      <c r="EY438" s="26"/>
      <c r="EZ438" s="26"/>
      <c r="FA438" s="60"/>
      <c r="FB438" s="60"/>
      <c r="FC438" s="60"/>
      <c r="FD438" s="60"/>
      <c r="FE438" s="60"/>
      <c r="FF438" s="60"/>
      <c r="FG438" s="60"/>
      <c r="FH438" s="60"/>
      <c r="FI438" s="60"/>
      <c r="FJ438" s="60"/>
      <c r="FK438" s="60"/>
      <c r="FL438" s="60"/>
      <c r="FM438" s="60"/>
      <c r="FN438" s="60"/>
      <c r="FO438" s="60"/>
      <c r="FP438" s="60"/>
      <c r="FQ438" s="60"/>
      <c r="FR438" s="60"/>
      <c r="FS438" s="60"/>
      <c r="FT438" s="60"/>
      <c r="FU438" s="60"/>
      <c r="FV438" s="60"/>
      <c r="FW438" s="60"/>
      <c r="FX438" s="60"/>
    </row>
    <row r="439">
      <c r="A439" s="18"/>
      <c r="B439" s="14"/>
      <c r="C439" s="14"/>
      <c r="D439" s="14"/>
      <c r="E439" s="18"/>
      <c r="F439" s="18"/>
      <c r="G439" s="18"/>
      <c r="H439" s="18"/>
      <c r="I439" s="18"/>
      <c r="J439" s="18"/>
      <c r="K439" s="18"/>
      <c r="L439" s="18"/>
      <c r="M439" s="18"/>
      <c r="N439" s="18"/>
      <c r="O439" s="18"/>
      <c r="P439" s="23"/>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26"/>
      <c r="CU439" s="26"/>
      <c r="CV439" s="26"/>
      <c r="CW439" s="26"/>
      <c r="CX439" s="26"/>
      <c r="CY439" s="26"/>
      <c r="CZ439" s="26"/>
      <c r="DA439" s="26"/>
      <c r="DB439" s="26"/>
      <c r="DC439" s="26"/>
      <c r="DD439" s="26"/>
      <c r="DE439" s="26"/>
      <c r="DF439" s="26"/>
      <c r="DG439" s="26"/>
      <c r="DH439" s="26"/>
      <c r="DI439" s="26"/>
      <c r="DJ439" s="26"/>
      <c r="DK439" s="26"/>
      <c r="DL439" s="26"/>
      <c r="DM439" s="26"/>
      <c r="DN439" s="26"/>
      <c r="DO439" s="26"/>
      <c r="DP439" s="26"/>
      <c r="DQ439" s="26"/>
      <c r="DR439" s="26"/>
      <c r="DS439" s="26"/>
      <c r="DT439" s="26"/>
      <c r="DU439" s="26"/>
      <c r="DV439" s="26"/>
      <c r="DW439" s="26"/>
      <c r="DX439" s="26"/>
      <c r="DY439" s="26"/>
      <c r="DZ439" s="26"/>
      <c r="EA439" s="26"/>
      <c r="EB439" s="26"/>
      <c r="EC439" s="26"/>
      <c r="ED439" s="26"/>
      <c r="EE439" s="26"/>
      <c r="EF439" s="26"/>
      <c r="EG439" s="26"/>
      <c r="EH439" s="26"/>
      <c r="EI439" s="26"/>
      <c r="EJ439" s="26"/>
      <c r="EK439" s="26"/>
      <c r="EL439" s="26"/>
      <c r="EM439" s="26"/>
      <c r="EN439" s="26"/>
      <c r="EO439" s="26"/>
      <c r="EP439" s="26"/>
      <c r="EQ439" s="26"/>
      <c r="ER439" s="26"/>
      <c r="ES439" s="26"/>
      <c r="ET439" s="26"/>
      <c r="EU439" s="26"/>
      <c r="EV439" s="26"/>
      <c r="EW439" s="26"/>
      <c r="EX439" s="26"/>
      <c r="EY439" s="26"/>
      <c r="EZ439" s="26"/>
      <c r="FA439" s="60"/>
      <c r="FB439" s="60"/>
      <c r="FC439" s="60"/>
      <c r="FD439" s="60"/>
      <c r="FE439" s="60"/>
      <c r="FF439" s="60"/>
      <c r="FG439" s="60"/>
      <c r="FH439" s="60"/>
      <c r="FI439" s="60"/>
      <c r="FJ439" s="60"/>
      <c r="FK439" s="60"/>
      <c r="FL439" s="60"/>
      <c r="FM439" s="60"/>
      <c r="FN439" s="60"/>
      <c r="FO439" s="60"/>
      <c r="FP439" s="60"/>
      <c r="FQ439" s="60"/>
      <c r="FR439" s="60"/>
      <c r="FS439" s="60"/>
      <c r="FT439" s="60"/>
      <c r="FU439" s="60"/>
      <c r="FV439" s="60"/>
      <c r="FW439" s="60"/>
      <c r="FX439" s="60"/>
    </row>
    <row r="440">
      <c r="A440" s="18"/>
      <c r="B440" s="14"/>
      <c r="C440" s="14"/>
      <c r="D440" s="14"/>
      <c r="E440" s="18"/>
      <c r="F440" s="18"/>
      <c r="G440" s="18"/>
      <c r="H440" s="18"/>
      <c r="I440" s="18"/>
      <c r="J440" s="18"/>
      <c r="K440" s="18"/>
      <c r="L440" s="18"/>
      <c r="M440" s="18"/>
      <c r="N440" s="18"/>
      <c r="O440" s="18"/>
      <c r="P440" s="23"/>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26"/>
      <c r="CU440" s="26"/>
      <c r="CV440" s="26"/>
      <c r="CW440" s="26"/>
      <c r="CX440" s="26"/>
      <c r="CY440" s="26"/>
      <c r="CZ440" s="26"/>
      <c r="DA440" s="26"/>
      <c r="DB440" s="26"/>
      <c r="DC440" s="26"/>
      <c r="DD440" s="26"/>
      <c r="DE440" s="26"/>
      <c r="DF440" s="26"/>
      <c r="DG440" s="26"/>
      <c r="DH440" s="26"/>
      <c r="DI440" s="26"/>
      <c r="DJ440" s="26"/>
      <c r="DK440" s="26"/>
      <c r="DL440" s="26"/>
      <c r="DM440" s="26"/>
      <c r="DN440" s="26"/>
      <c r="DO440" s="26"/>
      <c r="DP440" s="26"/>
      <c r="DQ440" s="26"/>
      <c r="DR440" s="26"/>
      <c r="DS440" s="26"/>
      <c r="DT440" s="26"/>
      <c r="DU440" s="26"/>
      <c r="DV440" s="26"/>
      <c r="DW440" s="26"/>
      <c r="DX440" s="26"/>
      <c r="DY440" s="26"/>
      <c r="DZ440" s="26"/>
      <c r="EA440" s="26"/>
      <c r="EB440" s="26"/>
      <c r="EC440" s="26"/>
      <c r="ED440" s="26"/>
      <c r="EE440" s="26"/>
      <c r="EF440" s="26"/>
      <c r="EG440" s="26"/>
      <c r="EH440" s="26"/>
      <c r="EI440" s="26"/>
      <c r="EJ440" s="26"/>
      <c r="EK440" s="26"/>
      <c r="EL440" s="26"/>
      <c r="EM440" s="26"/>
      <c r="EN440" s="26"/>
      <c r="EO440" s="26"/>
      <c r="EP440" s="26"/>
      <c r="EQ440" s="26"/>
      <c r="ER440" s="26"/>
      <c r="ES440" s="26"/>
      <c r="ET440" s="26"/>
      <c r="EU440" s="26"/>
      <c r="EV440" s="26"/>
      <c r="EW440" s="26"/>
      <c r="EX440" s="26"/>
      <c r="EY440" s="26"/>
      <c r="EZ440" s="26"/>
      <c r="FA440" s="60"/>
      <c r="FB440" s="60"/>
      <c r="FC440" s="60"/>
      <c r="FD440" s="60"/>
      <c r="FE440" s="60"/>
      <c r="FF440" s="60"/>
      <c r="FG440" s="60"/>
      <c r="FH440" s="60"/>
      <c r="FI440" s="60"/>
      <c r="FJ440" s="60"/>
      <c r="FK440" s="60"/>
      <c r="FL440" s="60"/>
      <c r="FM440" s="60"/>
      <c r="FN440" s="60"/>
      <c r="FO440" s="60"/>
      <c r="FP440" s="60"/>
      <c r="FQ440" s="60"/>
      <c r="FR440" s="60"/>
      <c r="FS440" s="60"/>
      <c r="FT440" s="60"/>
      <c r="FU440" s="60"/>
      <c r="FV440" s="60"/>
      <c r="FW440" s="60"/>
      <c r="FX440" s="60"/>
    </row>
    <row r="441">
      <c r="A441" s="18"/>
      <c r="B441" s="14"/>
      <c r="C441" s="14"/>
      <c r="D441" s="14"/>
      <c r="E441" s="18"/>
      <c r="F441" s="18"/>
      <c r="G441" s="18"/>
      <c r="H441" s="18"/>
      <c r="I441" s="18"/>
      <c r="J441" s="18"/>
      <c r="K441" s="18"/>
      <c r="L441" s="18"/>
      <c r="M441" s="18"/>
      <c r="N441" s="18"/>
      <c r="O441" s="18"/>
      <c r="P441" s="23"/>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26"/>
      <c r="CU441" s="26"/>
      <c r="CV441" s="26"/>
      <c r="CW441" s="26"/>
      <c r="CX441" s="26"/>
      <c r="CY441" s="26"/>
      <c r="CZ441" s="26"/>
      <c r="DA441" s="26"/>
      <c r="DB441" s="26"/>
      <c r="DC441" s="26"/>
      <c r="DD441" s="26"/>
      <c r="DE441" s="26"/>
      <c r="DF441" s="26"/>
      <c r="DG441" s="26"/>
      <c r="DH441" s="26"/>
      <c r="DI441" s="26"/>
      <c r="DJ441" s="26"/>
      <c r="DK441" s="26"/>
      <c r="DL441" s="26"/>
      <c r="DM441" s="26"/>
      <c r="DN441" s="26"/>
      <c r="DO441" s="26"/>
      <c r="DP441" s="26"/>
      <c r="DQ441" s="26"/>
      <c r="DR441" s="26"/>
      <c r="DS441" s="26"/>
      <c r="DT441" s="26"/>
      <c r="DU441" s="26"/>
      <c r="DV441" s="26"/>
      <c r="DW441" s="26"/>
      <c r="DX441" s="26"/>
      <c r="DY441" s="26"/>
      <c r="DZ441" s="26"/>
      <c r="EA441" s="26"/>
      <c r="EB441" s="26"/>
      <c r="EC441" s="26"/>
      <c r="ED441" s="26"/>
      <c r="EE441" s="26"/>
      <c r="EF441" s="26"/>
      <c r="EG441" s="26"/>
      <c r="EH441" s="26"/>
      <c r="EI441" s="26"/>
      <c r="EJ441" s="26"/>
      <c r="EK441" s="26"/>
      <c r="EL441" s="26"/>
      <c r="EM441" s="26"/>
      <c r="EN441" s="26"/>
      <c r="EO441" s="26"/>
      <c r="EP441" s="26"/>
      <c r="EQ441" s="26"/>
      <c r="ER441" s="26"/>
      <c r="ES441" s="26"/>
      <c r="ET441" s="26"/>
      <c r="EU441" s="26"/>
      <c r="EV441" s="26"/>
      <c r="EW441" s="26"/>
      <c r="EX441" s="26"/>
      <c r="EY441" s="26"/>
      <c r="EZ441" s="26"/>
      <c r="FA441" s="60"/>
      <c r="FB441" s="60"/>
      <c r="FC441" s="60"/>
      <c r="FD441" s="60"/>
      <c r="FE441" s="60"/>
      <c r="FF441" s="60"/>
      <c r="FG441" s="60"/>
      <c r="FH441" s="60"/>
      <c r="FI441" s="60"/>
      <c r="FJ441" s="60"/>
      <c r="FK441" s="60"/>
      <c r="FL441" s="60"/>
      <c r="FM441" s="60"/>
      <c r="FN441" s="60"/>
      <c r="FO441" s="60"/>
      <c r="FP441" s="60"/>
      <c r="FQ441" s="60"/>
      <c r="FR441" s="60"/>
      <c r="FS441" s="60"/>
      <c r="FT441" s="60"/>
      <c r="FU441" s="60"/>
      <c r="FV441" s="60"/>
      <c r="FW441" s="60"/>
      <c r="FX441" s="60"/>
    </row>
    <row r="442">
      <c r="A442" s="18"/>
      <c r="B442" s="14"/>
      <c r="C442" s="14"/>
      <c r="D442" s="14"/>
      <c r="E442" s="18"/>
      <c r="F442" s="18"/>
      <c r="G442" s="18"/>
      <c r="H442" s="18"/>
      <c r="I442" s="18"/>
      <c r="J442" s="18"/>
      <c r="K442" s="18"/>
      <c r="L442" s="18"/>
      <c r="M442" s="18"/>
      <c r="N442" s="18"/>
      <c r="O442" s="18"/>
      <c r="P442" s="23"/>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c r="CU442" s="26"/>
      <c r="CV442" s="26"/>
      <c r="CW442" s="26"/>
      <c r="CX442" s="26"/>
      <c r="CY442" s="26"/>
      <c r="CZ442" s="26"/>
      <c r="DA442" s="26"/>
      <c r="DB442" s="26"/>
      <c r="DC442" s="26"/>
      <c r="DD442" s="26"/>
      <c r="DE442" s="26"/>
      <c r="DF442" s="26"/>
      <c r="DG442" s="26"/>
      <c r="DH442" s="26"/>
      <c r="DI442" s="26"/>
      <c r="DJ442" s="26"/>
      <c r="DK442" s="26"/>
      <c r="DL442" s="26"/>
      <c r="DM442" s="26"/>
      <c r="DN442" s="26"/>
      <c r="DO442" s="26"/>
      <c r="DP442" s="26"/>
      <c r="DQ442" s="26"/>
      <c r="DR442" s="26"/>
      <c r="DS442" s="26"/>
      <c r="DT442" s="26"/>
      <c r="DU442" s="26"/>
      <c r="DV442" s="26"/>
      <c r="DW442" s="26"/>
      <c r="DX442" s="26"/>
      <c r="DY442" s="26"/>
      <c r="DZ442" s="26"/>
      <c r="EA442" s="26"/>
      <c r="EB442" s="26"/>
      <c r="EC442" s="26"/>
      <c r="ED442" s="26"/>
      <c r="EE442" s="26"/>
      <c r="EF442" s="26"/>
      <c r="EG442" s="26"/>
      <c r="EH442" s="26"/>
      <c r="EI442" s="26"/>
      <c r="EJ442" s="26"/>
      <c r="EK442" s="26"/>
      <c r="EL442" s="26"/>
      <c r="EM442" s="26"/>
      <c r="EN442" s="26"/>
      <c r="EO442" s="26"/>
      <c r="EP442" s="26"/>
      <c r="EQ442" s="26"/>
      <c r="ER442" s="26"/>
      <c r="ES442" s="26"/>
      <c r="ET442" s="26"/>
      <c r="EU442" s="26"/>
      <c r="EV442" s="26"/>
      <c r="EW442" s="26"/>
      <c r="EX442" s="26"/>
      <c r="EY442" s="26"/>
      <c r="EZ442" s="26"/>
      <c r="FA442" s="60"/>
      <c r="FB442" s="60"/>
      <c r="FC442" s="60"/>
      <c r="FD442" s="60"/>
      <c r="FE442" s="60"/>
      <c r="FF442" s="60"/>
      <c r="FG442" s="60"/>
      <c r="FH442" s="60"/>
      <c r="FI442" s="60"/>
      <c r="FJ442" s="60"/>
      <c r="FK442" s="60"/>
      <c r="FL442" s="60"/>
      <c r="FM442" s="60"/>
      <c r="FN442" s="60"/>
      <c r="FO442" s="60"/>
      <c r="FP442" s="60"/>
      <c r="FQ442" s="60"/>
      <c r="FR442" s="60"/>
      <c r="FS442" s="60"/>
      <c r="FT442" s="60"/>
      <c r="FU442" s="60"/>
      <c r="FV442" s="60"/>
      <c r="FW442" s="60"/>
      <c r="FX442" s="60"/>
    </row>
    <row r="443">
      <c r="A443" s="18"/>
      <c r="B443" s="14"/>
      <c r="C443" s="14"/>
      <c r="D443" s="14"/>
      <c r="E443" s="18"/>
      <c r="F443" s="18"/>
      <c r="G443" s="18"/>
      <c r="H443" s="18"/>
      <c r="I443" s="18"/>
      <c r="J443" s="18"/>
      <c r="K443" s="18"/>
      <c r="L443" s="18"/>
      <c r="M443" s="18"/>
      <c r="N443" s="18"/>
      <c r="O443" s="18"/>
      <c r="P443" s="23"/>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c r="DA443" s="26"/>
      <c r="DB443" s="26"/>
      <c r="DC443" s="26"/>
      <c r="DD443" s="26"/>
      <c r="DE443" s="26"/>
      <c r="DF443" s="26"/>
      <c r="DG443" s="26"/>
      <c r="DH443" s="26"/>
      <c r="DI443" s="26"/>
      <c r="DJ443" s="26"/>
      <c r="DK443" s="26"/>
      <c r="DL443" s="26"/>
      <c r="DM443" s="26"/>
      <c r="DN443" s="26"/>
      <c r="DO443" s="26"/>
      <c r="DP443" s="26"/>
      <c r="DQ443" s="26"/>
      <c r="DR443" s="26"/>
      <c r="DS443" s="26"/>
      <c r="DT443" s="26"/>
      <c r="DU443" s="26"/>
      <c r="DV443" s="26"/>
      <c r="DW443" s="26"/>
      <c r="DX443" s="26"/>
      <c r="DY443" s="26"/>
      <c r="DZ443" s="26"/>
      <c r="EA443" s="26"/>
      <c r="EB443" s="26"/>
      <c r="EC443" s="26"/>
      <c r="ED443" s="26"/>
      <c r="EE443" s="26"/>
      <c r="EF443" s="26"/>
      <c r="EG443" s="26"/>
      <c r="EH443" s="26"/>
      <c r="EI443" s="26"/>
      <c r="EJ443" s="26"/>
      <c r="EK443" s="26"/>
      <c r="EL443" s="26"/>
      <c r="EM443" s="26"/>
      <c r="EN443" s="26"/>
      <c r="EO443" s="26"/>
      <c r="EP443" s="26"/>
      <c r="EQ443" s="26"/>
      <c r="ER443" s="26"/>
      <c r="ES443" s="26"/>
      <c r="ET443" s="26"/>
      <c r="EU443" s="26"/>
      <c r="EV443" s="26"/>
      <c r="EW443" s="26"/>
      <c r="EX443" s="26"/>
      <c r="EY443" s="26"/>
      <c r="EZ443" s="26"/>
      <c r="FA443" s="60"/>
      <c r="FB443" s="60"/>
      <c r="FC443" s="60"/>
      <c r="FD443" s="60"/>
      <c r="FE443" s="60"/>
      <c r="FF443" s="60"/>
      <c r="FG443" s="60"/>
      <c r="FH443" s="60"/>
      <c r="FI443" s="60"/>
      <c r="FJ443" s="60"/>
      <c r="FK443" s="60"/>
      <c r="FL443" s="60"/>
      <c r="FM443" s="60"/>
      <c r="FN443" s="60"/>
      <c r="FO443" s="60"/>
      <c r="FP443" s="60"/>
      <c r="FQ443" s="60"/>
      <c r="FR443" s="60"/>
      <c r="FS443" s="60"/>
      <c r="FT443" s="60"/>
      <c r="FU443" s="60"/>
      <c r="FV443" s="60"/>
      <c r="FW443" s="60"/>
      <c r="FX443" s="60"/>
    </row>
    <row r="444">
      <c r="A444" s="18"/>
      <c r="B444" s="14"/>
      <c r="C444" s="14"/>
      <c r="D444" s="14"/>
      <c r="E444" s="18"/>
      <c r="F444" s="18"/>
      <c r="G444" s="18"/>
      <c r="H444" s="18"/>
      <c r="I444" s="18"/>
      <c r="J444" s="18"/>
      <c r="K444" s="18"/>
      <c r="L444" s="18"/>
      <c r="M444" s="18"/>
      <c r="N444" s="18"/>
      <c r="O444" s="18"/>
      <c r="P444" s="23"/>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c r="CW444" s="26"/>
      <c r="CX444" s="26"/>
      <c r="CY444" s="26"/>
      <c r="CZ444" s="26"/>
      <c r="DA444" s="26"/>
      <c r="DB444" s="26"/>
      <c r="DC444" s="26"/>
      <c r="DD444" s="26"/>
      <c r="DE444" s="26"/>
      <c r="DF444" s="26"/>
      <c r="DG444" s="26"/>
      <c r="DH444" s="26"/>
      <c r="DI444" s="26"/>
      <c r="DJ444" s="26"/>
      <c r="DK444" s="26"/>
      <c r="DL444" s="26"/>
      <c r="DM444" s="26"/>
      <c r="DN444" s="26"/>
      <c r="DO444" s="26"/>
      <c r="DP444" s="26"/>
      <c r="DQ444" s="26"/>
      <c r="DR444" s="26"/>
      <c r="DS444" s="26"/>
      <c r="DT444" s="26"/>
      <c r="DU444" s="26"/>
      <c r="DV444" s="26"/>
      <c r="DW444" s="26"/>
      <c r="DX444" s="26"/>
      <c r="DY444" s="26"/>
      <c r="DZ444" s="26"/>
      <c r="EA444" s="26"/>
      <c r="EB444" s="26"/>
      <c r="EC444" s="26"/>
      <c r="ED444" s="26"/>
      <c r="EE444" s="26"/>
      <c r="EF444" s="26"/>
      <c r="EG444" s="26"/>
      <c r="EH444" s="26"/>
      <c r="EI444" s="26"/>
      <c r="EJ444" s="26"/>
      <c r="EK444" s="26"/>
      <c r="EL444" s="26"/>
      <c r="EM444" s="26"/>
      <c r="EN444" s="26"/>
      <c r="EO444" s="26"/>
      <c r="EP444" s="26"/>
      <c r="EQ444" s="26"/>
      <c r="ER444" s="26"/>
      <c r="ES444" s="26"/>
      <c r="ET444" s="26"/>
      <c r="EU444" s="26"/>
      <c r="EV444" s="26"/>
      <c r="EW444" s="26"/>
      <c r="EX444" s="26"/>
      <c r="EY444" s="26"/>
      <c r="EZ444" s="26"/>
      <c r="FA444" s="60"/>
      <c r="FB444" s="60"/>
      <c r="FC444" s="60"/>
      <c r="FD444" s="60"/>
      <c r="FE444" s="60"/>
      <c r="FF444" s="60"/>
      <c r="FG444" s="60"/>
      <c r="FH444" s="60"/>
      <c r="FI444" s="60"/>
      <c r="FJ444" s="60"/>
      <c r="FK444" s="60"/>
      <c r="FL444" s="60"/>
      <c r="FM444" s="60"/>
      <c r="FN444" s="60"/>
      <c r="FO444" s="60"/>
      <c r="FP444" s="60"/>
      <c r="FQ444" s="60"/>
      <c r="FR444" s="60"/>
      <c r="FS444" s="60"/>
      <c r="FT444" s="60"/>
      <c r="FU444" s="60"/>
      <c r="FV444" s="60"/>
      <c r="FW444" s="60"/>
      <c r="FX444" s="60"/>
    </row>
    <row r="445">
      <c r="A445" s="18"/>
      <c r="B445" s="14"/>
      <c r="C445" s="14"/>
      <c r="D445" s="14"/>
      <c r="E445" s="18"/>
      <c r="F445" s="18"/>
      <c r="G445" s="18"/>
      <c r="H445" s="18"/>
      <c r="I445" s="18"/>
      <c r="J445" s="18"/>
      <c r="K445" s="18"/>
      <c r="L445" s="18"/>
      <c r="M445" s="18"/>
      <c r="N445" s="18"/>
      <c r="O445" s="18"/>
      <c r="P445" s="23"/>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26"/>
      <c r="CU445" s="26"/>
      <c r="CV445" s="26"/>
      <c r="CW445" s="26"/>
      <c r="CX445" s="26"/>
      <c r="CY445" s="26"/>
      <c r="CZ445" s="26"/>
      <c r="DA445" s="26"/>
      <c r="DB445" s="26"/>
      <c r="DC445" s="26"/>
      <c r="DD445" s="26"/>
      <c r="DE445" s="26"/>
      <c r="DF445" s="26"/>
      <c r="DG445" s="26"/>
      <c r="DH445" s="26"/>
      <c r="DI445" s="26"/>
      <c r="DJ445" s="26"/>
      <c r="DK445" s="26"/>
      <c r="DL445" s="26"/>
      <c r="DM445" s="26"/>
      <c r="DN445" s="26"/>
      <c r="DO445" s="26"/>
      <c r="DP445" s="26"/>
      <c r="DQ445" s="26"/>
      <c r="DR445" s="26"/>
      <c r="DS445" s="26"/>
      <c r="DT445" s="26"/>
      <c r="DU445" s="26"/>
      <c r="DV445" s="26"/>
      <c r="DW445" s="26"/>
      <c r="DX445" s="26"/>
      <c r="DY445" s="26"/>
      <c r="DZ445" s="26"/>
      <c r="EA445" s="26"/>
      <c r="EB445" s="26"/>
      <c r="EC445" s="26"/>
      <c r="ED445" s="26"/>
      <c r="EE445" s="26"/>
      <c r="EF445" s="26"/>
      <c r="EG445" s="26"/>
      <c r="EH445" s="26"/>
      <c r="EI445" s="26"/>
      <c r="EJ445" s="26"/>
      <c r="EK445" s="26"/>
      <c r="EL445" s="26"/>
      <c r="EM445" s="26"/>
      <c r="EN445" s="26"/>
      <c r="EO445" s="26"/>
      <c r="EP445" s="26"/>
      <c r="EQ445" s="26"/>
      <c r="ER445" s="26"/>
      <c r="ES445" s="26"/>
      <c r="ET445" s="26"/>
      <c r="EU445" s="26"/>
      <c r="EV445" s="26"/>
      <c r="EW445" s="26"/>
      <c r="EX445" s="26"/>
      <c r="EY445" s="26"/>
      <c r="EZ445" s="26"/>
      <c r="FA445" s="60"/>
      <c r="FB445" s="60"/>
      <c r="FC445" s="60"/>
      <c r="FD445" s="60"/>
      <c r="FE445" s="60"/>
      <c r="FF445" s="60"/>
      <c r="FG445" s="60"/>
      <c r="FH445" s="60"/>
      <c r="FI445" s="60"/>
      <c r="FJ445" s="60"/>
      <c r="FK445" s="60"/>
      <c r="FL445" s="60"/>
      <c r="FM445" s="60"/>
      <c r="FN445" s="60"/>
      <c r="FO445" s="60"/>
      <c r="FP445" s="60"/>
      <c r="FQ445" s="60"/>
      <c r="FR445" s="60"/>
      <c r="FS445" s="60"/>
      <c r="FT445" s="60"/>
      <c r="FU445" s="60"/>
      <c r="FV445" s="60"/>
      <c r="FW445" s="60"/>
      <c r="FX445" s="60"/>
    </row>
    <row r="446">
      <c r="A446" s="18"/>
      <c r="B446" s="14"/>
      <c r="C446" s="14"/>
      <c r="D446" s="14"/>
      <c r="E446" s="18"/>
      <c r="F446" s="18"/>
      <c r="G446" s="18"/>
      <c r="H446" s="18"/>
      <c r="I446" s="18"/>
      <c r="J446" s="18"/>
      <c r="K446" s="18"/>
      <c r="L446" s="18"/>
      <c r="M446" s="18"/>
      <c r="N446" s="18"/>
      <c r="O446" s="18"/>
      <c r="P446" s="23"/>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26"/>
      <c r="CU446" s="26"/>
      <c r="CV446" s="26"/>
      <c r="CW446" s="26"/>
      <c r="CX446" s="26"/>
      <c r="CY446" s="26"/>
      <c r="CZ446" s="26"/>
      <c r="DA446" s="26"/>
      <c r="DB446" s="26"/>
      <c r="DC446" s="26"/>
      <c r="DD446" s="26"/>
      <c r="DE446" s="26"/>
      <c r="DF446" s="26"/>
      <c r="DG446" s="26"/>
      <c r="DH446" s="26"/>
      <c r="DI446" s="26"/>
      <c r="DJ446" s="26"/>
      <c r="DK446" s="26"/>
      <c r="DL446" s="26"/>
      <c r="DM446" s="26"/>
      <c r="DN446" s="26"/>
      <c r="DO446" s="26"/>
      <c r="DP446" s="26"/>
      <c r="DQ446" s="26"/>
      <c r="DR446" s="26"/>
      <c r="DS446" s="26"/>
      <c r="DT446" s="26"/>
      <c r="DU446" s="26"/>
      <c r="DV446" s="26"/>
      <c r="DW446" s="26"/>
      <c r="DX446" s="26"/>
      <c r="DY446" s="26"/>
      <c r="DZ446" s="26"/>
      <c r="EA446" s="26"/>
      <c r="EB446" s="26"/>
      <c r="EC446" s="26"/>
      <c r="ED446" s="26"/>
      <c r="EE446" s="26"/>
      <c r="EF446" s="26"/>
      <c r="EG446" s="26"/>
      <c r="EH446" s="26"/>
      <c r="EI446" s="26"/>
      <c r="EJ446" s="26"/>
      <c r="EK446" s="26"/>
      <c r="EL446" s="26"/>
      <c r="EM446" s="26"/>
      <c r="EN446" s="26"/>
      <c r="EO446" s="26"/>
      <c r="EP446" s="26"/>
      <c r="EQ446" s="26"/>
      <c r="ER446" s="26"/>
      <c r="ES446" s="26"/>
      <c r="ET446" s="26"/>
      <c r="EU446" s="26"/>
      <c r="EV446" s="26"/>
      <c r="EW446" s="26"/>
      <c r="EX446" s="26"/>
      <c r="EY446" s="26"/>
      <c r="EZ446" s="26"/>
      <c r="FA446" s="60"/>
      <c r="FB446" s="60"/>
      <c r="FC446" s="60"/>
      <c r="FD446" s="60"/>
      <c r="FE446" s="60"/>
      <c r="FF446" s="60"/>
      <c r="FG446" s="60"/>
      <c r="FH446" s="60"/>
      <c r="FI446" s="60"/>
      <c r="FJ446" s="60"/>
      <c r="FK446" s="60"/>
      <c r="FL446" s="60"/>
      <c r="FM446" s="60"/>
      <c r="FN446" s="60"/>
      <c r="FO446" s="60"/>
      <c r="FP446" s="60"/>
      <c r="FQ446" s="60"/>
      <c r="FR446" s="60"/>
      <c r="FS446" s="60"/>
      <c r="FT446" s="60"/>
      <c r="FU446" s="60"/>
      <c r="FV446" s="60"/>
      <c r="FW446" s="60"/>
      <c r="FX446" s="60"/>
    </row>
    <row r="447">
      <c r="A447" s="18"/>
      <c r="B447" s="14"/>
      <c r="C447" s="14"/>
      <c r="D447" s="14"/>
      <c r="E447" s="18"/>
      <c r="F447" s="18"/>
      <c r="G447" s="18"/>
      <c r="H447" s="18"/>
      <c r="I447" s="18"/>
      <c r="J447" s="18"/>
      <c r="K447" s="18"/>
      <c r="L447" s="18"/>
      <c r="M447" s="18"/>
      <c r="N447" s="18"/>
      <c r="O447" s="18"/>
      <c r="P447" s="23"/>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26"/>
      <c r="CU447" s="26"/>
      <c r="CV447" s="26"/>
      <c r="CW447" s="26"/>
      <c r="CX447" s="26"/>
      <c r="CY447" s="26"/>
      <c r="CZ447" s="26"/>
      <c r="DA447" s="26"/>
      <c r="DB447" s="26"/>
      <c r="DC447" s="26"/>
      <c r="DD447" s="26"/>
      <c r="DE447" s="26"/>
      <c r="DF447" s="26"/>
      <c r="DG447" s="26"/>
      <c r="DH447" s="26"/>
      <c r="DI447" s="26"/>
      <c r="DJ447" s="26"/>
      <c r="DK447" s="26"/>
      <c r="DL447" s="26"/>
      <c r="DM447" s="26"/>
      <c r="DN447" s="26"/>
      <c r="DO447" s="26"/>
      <c r="DP447" s="26"/>
      <c r="DQ447" s="26"/>
      <c r="DR447" s="26"/>
      <c r="DS447" s="26"/>
      <c r="DT447" s="26"/>
      <c r="DU447" s="26"/>
      <c r="DV447" s="26"/>
      <c r="DW447" s="26"/>
      <c r="DX447" s="26"/>
      <c r="DY447" s="26"/>
      <c r="DZ447" s="26"/>
      <c r="EA447" s="26"/>
      <c r="EB447" s="26"/>
      <c r="EC447" s="26"/>
      <c r="ED447" s="26"/>
      <c r="EE447" s="26"/>
      <c r="EF447" s="26"/>
      <c r="EG447" s="26"/>
      <c r="EH447" s="26"/>
      <c r="EI447" s="26"/>
      <c r="EJ447" s="26"/>
      <c r="EK447" s="26"/>
      <c r="EL447" s="26"/>
      <c r="EM447" s="26"/>
      <c r="EN447" s="26"/>
      <c r="EO447" s="26"/>
      <c r="EP447" s="26"/>
      <c r="EQ447" s="26"/>
      <c r="ER447" s="26"/>
      <c r="ES447" s="26"/>
      <c r="ET447" s="26"/>
      <c r="EU447" s="26"/>
      <c r="EV447" s="26"/>
      <c r="EW447" s="26"/>
      <c r="EX447" s="26"/>
      <c r="EY447" s="26"/>
      <c r="EZ447" s="26"/>
      <c r="FA447" s="60"/>
      <c r="FB447" s="60"/>
      <c r="FC447" s="60"/>
      <c r="FD447" s="60"/>
      <c r="FE447" s="60"/>
      <c r="FF447" s="60"/>
      <c r="FG447" s="60"/>
      <c r="FH447" s="60"/>
      <c r="FI447" s="60"/>
      <c r="FJ447" s="60"/>
      <c r="FK447" s="60"/>
      <c r="FL447" s="60"/>
      <c r="FM447" s="60"/>
      <c r="FN447" s="60"/>
      <c r="FO447" s="60"/>
      <c r="FP447" s="60"/>
      <c r="FQ447" s="60"/>
      <c r="FR447" s="60"/>
      <c r="FS447" s="60"/>
      <c r="FT447" s="60"/>
      <c r="FU447" s="60"/>
      <c r="FV447" s="60"/>
      <c r="FW447" s="60"/>
      <c r="FX447" s="60"/>
    </row>
    <row r="448">
      <c r="A448" s="18"/>
      <c r="B448" s="14"/>
      <c r="C448" s="14"/>
      <c r="D448" s="14"/>
      <c r="E448" s="18"/>
      <c r="F448" s="18"/>
      <c r="G448" s="18"/>
      <c r="H448" s="18"/>
      <c r="I448" s="18"/>
      <c r="J448" s="18"/>
      <c r="K448" s="18"/>
      <c r="L448" s="18"/>
      <c r="M448" s="18"/>
      <c r="N448" s="18"/>
      <c r="O448" s="18"/>
      <c r="P448" s="23"/>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26"/>
      <c r="CU448" s="26"/>
      <c r="CV448" s="26"/>
      <c r="CW448" s="26"/>
      <c r="CX448" s="26"/>
      <c r="CY448" s="26"/>
      <c r="CZ448" s="26"/>
      <c r="DA448" s="26"/>
      <c r="DB448" s="26"/>
      <c r="DC448" s="26"/>
      <c r="DD448" s="26"/>
      <c r="DE448" s="26"/>
      <c r="DF448" s="26"/>
      <c r="DG448" s="26"/>
      <c r="DH448" s="26"/>
      <c r="DI448" s="26"/>
      <c r="DJ448" s="26"/>
      <c r="DK448" s="26"/>
      <c r="DL448" s="26"/>
      <c r="DM448" s="26"/>
      <c r="DN448" s="26"/>
      <c r="DO448" s="26"/>
      <c r="DP448" s="26"/>
      <c r="DQ448" s="26"/>
      <c r="DR448" s="26"/>
      <c r="DS448" s="26"/>
      <c r="DT448" s="26"/>
      <c r="DU448" s="26"/>
      <c r="DV448" s="26"/>
      <c r="DW448" s="26"/>
      <c r="DX448" s="26"/>
      <c r="DY448" s="26"/>
      <c r="DZ448" s="26"/>
      <c r="EA448" s="26"/>
      <c r="EB448" s="26"/>
      <c r="EC448" s="26"/>
      <c r="ED448" s="26"/>
      <c r="EE448" s="26"/>
      <c r="EF448" s="26"/>
      <c r="EG448" s="26"/>
      <c r="EH448" s="26"/>
      <c r="EI448" s="26"/>
      <c r="EJ448" s="26"/>
      <c r="EK448" s="26"/>
      <c r="EL448" s="26"/>
      <c r="EM448" s="26"/>
      <c r="EN448" s="26"/>
      <c r="EO448" s="26"/>
      <c r="EP448" s="26"/>
      <c r="EQ448" s="26"/>
      <c r="ER448" s="26"/>
      <c r="ES448" s="26"/>
      <c r="ET448" s="26"/>
      <c r="EU448" s="26"/>
      <c r="EV448" s="26"/>
      <c r="EW448" s="26"/>
      <c r="EX448" s="26"/>
      <c r="EY448" s="26"/>
      <c r="EZ448" s="26"/>
      <c r="FA448" s="60"/>
      <c r="FB448" s="60"/>
      <c r="FC448" s="60"/>
      <c r="FD448" s="60"/>
      <c r="FE448" s="60"/>
      <c r="FF448" s="60"/>
      <c r="FG448" s="60"/>
      <c r="FH448" s="60"/>
      <c r="FI448" s="60"/>
      <c r="FJ448" s="60"/>
      <c r="FK448" s="60"/>
      <c r="FL448" s="60"/>
      <c r="FM448" s="60"/>
      <c r="FN448" s="60"/>
      <c r="FO448" s="60"/>
      <c r="FP448" s="60"/>
      <c r="FQ448" s="60"/>
      <c r="FR448" s="60"/>
      <c r="FS448" s="60"/>
      <c r="FT448" s="60"/>
      <c r="FU448" s="60"/>
      <c r="FV448" s="60"/>
      <c r="FW448" s="60"/>
      <c r="FX448" s="60"/>
    </row>
    <row r="449">
      <c r="A449" s="18"/>
      <c r="B449" s="14"/>
      <c r="C449" s="14"/>
      <c r="D449" s="14"/>
      <c r="E449" s="18"/>
      <c r="F449" s="18"/>
      <c r="G449" s="18"/>
      <c r="H449" s="18"/>
      <c r="I449" s="18"/>
      <c r="J449" s="18"/>
      <c r="K449" s="18"/>
      <c r="L449" s="18"/>
      <c r="M449" s="18"/>
      <c r="N449" s="18"/>
      <c r="O449" s="18"/>
      <c r="P449" s="23"/>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26"/>
      <c r="CU449" s="26"/>
      <c r="CV449" s="26"/>
      <c r="CW449" s="26"/>
      <c r="CX449" s="26"/>
      <c r="CY449" s="26"/>
      <c r="CZ449" s="26"/>
      <c r="DA449" s="26"/>
      <c r="DB449" s="26"/>
      <c r="DC449" s="26"/>
      <c r="DD449" s="26"/>
      <c r="DE449" s="26"/>
      <c r="DF449" s="26"/>
      <c r="DG449" s="26"/>
      <c r="DH449" s="26"/>
      <c r="DI449" s="26"/>
      <c r="DJ449" s="26"/>
      <c r="DK449" s="26"/>
      <c r="DL449" s="26"/>
      <c r="DM449" s="26"/>
      <c r="DN449" s="26"/>
      <c r="DO449" s="26"/>
      <c r="DP449" s="26"/>
      <c r="DQ449" s="26"/>
      <c r="DR449" s="26"/>
      <c r="DS449" s="26"/>
      <c r="DT449" s="26"/>
      <c r="DU449" s="26"/>
      <c r="DV449" s="26"/>
      <c r="DW449" s="26"/>
      <c r="DX449" s="26"/>
      <c r="DY449" s="26"/>
      <c r="DZ449" s="26"/>
      <c r="EA449" s="26"/>
      <c r="EB449" s="26"/>
      <c r="EC449" s="26"/>
      <c r="ED449" s="26"/>
      <c r="EE449" s="26"/>
      <c r="EF449" s="26"/>
      <c r="EG449" s="26"/>
      <c r="EH449" s="26"/>
      <c r="EI449" s="26"/>
      <c r="EJ449" s="26"/>
      <c r="EK449" s="26"/>
      <c r="EL449" s="26"/>
      <c r="EM449" s="26"/>
      <c r="EN449" s="26"/>
      <c r="EO449" s="26"/>
      <c r="EP449" s="26"/>
      <c r="EQ449" s="26"/>
      <c r="ER449" s="26"/>
      <c r="ES449" s="26"/>
      <c r="ET449" s="26"/>
      <c r="EU449" s="26"/>
      <c r="EV449" s="26"/>
      <c r="EW449" s="26"/>
      <c r="EX449" s="26"/>
      <c r="EY449" s="26"/>
      <c r="EZ449" s="26"/>
      <c r="FA449" s="60"/>
      <c r="FB449" s="60"/>
      <c r="FC449" s="60"/>
      <c r="FD449" s="60"/>
      <c r="FE449" s="60"/>
      <c r="FF449" s="60"/>
      <c r="FG449" s="60"/>
      <c r="FH449" s="60"/>
      <c r="FI449" s="60"/>
      <c r="FJ449" s="60"/>
      <c r="FK449" s="60"/>
      <c r="FL449" s="60"/>
      <c r="FM449" s="60"/>
      <c r="FN449" s="60"/>
      <c r="FO449" s="60"/>
      <c r="FP449" s="60"/>
      <c r="FQ449" s="60"/>
      <c r="FR449" s="60"/>
      <c r="FS449" s="60"/>
      <c r="FT449" s="60"/>
      <c r="FU449" s="60"/>
      <c r="FV449" s="60"/>
      <c r="FW449" s="60"/>
      <c r="FX449" s="60"/>
    </row>
    <row r="450">
      <c r="A450" s="18"/>
      <c r="B450" s="14"/>
      <c r="C450" s="14"/>
      <c r="D450" s="14"/>
      <c r="E450" s="18"/>
      <c r="F450" s="18"/>
      <c r="G450" s="18"/>
      <c r="H450" s="18"/>
      <c r="I450" s="18"/>
      <c r="J450" s="18"/>
      <c r="K450" s="18"/>
      <c r="L450" s="18"/>
      <c r="M450" s="18"/>
      <c r="N450" s="18"/>
      <c r="O450" s="18"/>
      <c r="P450" s="23"/>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26"/>
      <c r="CU450" s="26"/>
      <c r="CV450" s="26"/>
      <c r="CW450" s="26"/>
      <c r="CX450" s="26"/>
      <c r="CY450" s="26"/>
      <c r="CZ450" s="26"/>
      <c r="DA450" s="26"/>
      <c r="DB450" s="26"/>
      <c r="DC450" s="26"/>
      <c r="DD450" s="26"/>
      <c r="DE450" s="26"/>
      <c r="DF450" s="26"/>
      <c r="DG450" s="26"/>
      <c r="DH450" s="26"/>
      <c r="DI450" s="26"/>
      <c r="DJ450" s="26"/>
      <c r="DK450" s="26"/>
      <c r="DL450" s="26"/>
      <c r="DM450" s="26"/>
      <c r="DN450" s="26"/>
      <c r="DO450" s="26"/>
      <c r="DP450" s="26"/>
      <c r="DQ450" s="26"/>
      <c r="DR450" s="26"/>
      <c r="DS450" s="26"/>
      <c r="DT450" s="26"/>
      <c r="DU450" s="26"/>
      <c r="DV450" s="26"/>
      <c r="DW450" s="26"/>
      <c r="DX450" s="26"/>
      <c r="DY450" s="26"/>
      <c r="DZ450" s="26"/>
      <c r="EA450" s="26"/>
      <c r="EB450" s="26"/>
      <c r="EC450" s="26"/>
      <c r="ED450" s="26"/>
      <c r="EE450" s="26"/>
      <c r="EF450" s="26"/>
      <c r="EG450" s="26"/>
      <c r="EH450" s="26"/>
      <c r="EI450" s="26"/>
      <c r="EJ450" s="26"/>
      <c r="EK450" s="26"/>
      <c r="EL450" s="26"/>
      <c r="EM450" s="26"/>
      <c r="EN450" s="26"/>
      <c r="EO450" s="26"/>
      <c r="EP450" s="26"/>
      <c r="EQ450" s="26"/>
      <c r="ER450" s="26"/>
      <c r="ES450" s="26"/>
      <c r="ET450" s="26"/>
      <c r="EU450" s="26"/>
      <c r="EV450" s="26"/>
      <c r="EW450" s="26"/>
      <c r="EX450" s="26"/>
      <c r="EY450" s="26"/>
      <c r="EZ450" s="26"/>
      <c r="FA450" s="60"/>
      <c r="FB450" s="60"/>
      <c r="FC450" s="60"/>
      <c r="FD450" s="60"/>
      <c r="FE450" s="60"/>
      <c r="FF450" s="60"/>
      <c r="FG450" s="60"/>
      <c r="FH450" s="60"/>
      <c r="FI450" s="60"/>
      <c r="FJ450" s="60"/>
      <c r="FK450" s="60"/>
      <c r="FL450" s="60"/>
      <c r="FM450" s="60"/>
      <c r="FN450" s="60"/>
      <c r="FO450" s="60"/>
      <c r="FP450" s="60"/>
      <c r="FQ450" s="60"/>
      <c r="FR450" s="60"/>
      <c r="FS450" s="60"/>
      <c r="FT450" s="60"/>
      <c r="FU450" s="60"/>
      <c r="FV450" s="60"/>
      <c r="FW450" s="60"/>
      <c r="FX450" s="60"/>
    </row>
    <row r="451">
      <c r="A451" s="18"/>
      <c r="B451" s="14"/>
      <c r="C451" s="14"/>
      <c r="D451" s="14"/>
      <c r="E451" s="18"/>
      <c r="F451" s="18"/>
      <c r="G451" s="18"/>
      <c r="H451" s="18"/>
      <c r="I451" s="18"/>
      <c r="J451" s="18"/>
      <c r="K451" s="18"/>
      <c r="L451" s="18"/>
      <c r="M451" s="18"/>
      <c r="N451" s="18"/>
      <c r="O451" s="18"/>
      <c r="P451" s="23"/>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26"/>
      <c r="CU451" s="26"/>
      <c r="CV451" s="26"/>
      <c r="CW451" s="26"/>
      <c r="CX451" s="26"/>
      <c r="CY451" s="26"/>
      <c r="CZ451" s="26"/>
      <c r="DA451" s="26"/>
      <c r="DB451" s="26"/>
      <c r="DC451" s="26"/>
      <c r="DD451" s="26"/>
      <c r="DE451" s="26"/>
      <c r="DF451" s="26"/>
      <c r="DG451" s="26"/>
      <c r="DH451" s="26"/>
      <c r="DI451" s="26"/>
      <c r="DJ451" s="26"/>
      <c r="DK451" s="26"/>
      <c r="DL451" s="26"/>
      <c r="DM451" s="26"/>
      <c r="DN451" s="26"/>
      <c r="DO451" s="26"/>
      <c r="DP451" s="26"/>
      <c r="DQ451" s="26"/>
      <c r="DR451" s="26"/>
      <c r="DS451" s="26"/>
      <c r="DT451" s="26"/>
      <c r="DU451" s="26"/>
      <c r="DV451" s="26"/>
      <c r="DW451" s="26"/>
      <c r="DX451" s="26"/>
      <c r="DY451" s="26"/>
      <c r="DZ451" s="26"/>
      <c r="EA451" s="26"/>
      <c r="EB451" s="26"/>
      <c r="EC451" s="26"/>
      <c r="ED451" s="26"/>
      <c r="EE451" s="26"/>
      <c r="EF451" s="26"/>
      <c r="EG451" s="26"/>
      <c r="EH451" s="26"/>
      <c r="EI451" s="26"/>
      <c r="EJ451" s="26"/>
      <c r="EK451" s="26"/>
      <c r="EL451" s="26"/>
      <c r="EM451" s="26"/>
      <c r="EN451" s="26"/>
      <c r="EO451" s="26"/>
      <c r="EP451" s="26"/>
      <c r="EQ451" s="26"/>
      <c r="ER451" s="26"/>
      <c r="ES451" s="26"/>
      <c r="ET451" s="26"/>
      <c r="EU451" s="26"/>
      <c r="EV451" s="26"/>
      <c r="EW451" s="26"/>
      <c r="EX451" s="26"/>
      <c r="EY451" s="26"/>
      <c r="EZ451" s="26"/>
      <c r="FA451" s="60"/>
      <c r="FB451" s="60"/>
      <c r="FC451" s="60"/>
      <c r="FD451" s="60"/>
      <c r="FE451" s="60"/>
      <c r="FF451" s="60"/>
      <c r="FG451" s="60"/>
      <c r="FH451" s="60"/>
      <c r="FI451" s="60"/>
      <c r="FJ451" s="60"/>
      <c r="FK451" s="60"/>
      <c r="FL451" s="60"/>
      <c r="FM451" s="60"/>
      <c r="FN451" s="60"/>
      <c r="FO451" s="60"/>
      <c r="FP451" s="60"/>
      <c r="FQ451" s="60"/>
      <c r="FR451" s="60"/>
      <c r="FS451" s="60"/>
      <c r="FT451" s="60"/>
      <c r="FU451" s="60"/>
      <c r="FV451" s="60"/>
      <c r="FW451" s="60"/>
      <c r="FX451" s="60"/>
    </row>
    <row r="452">
      <c r="A452" s="18"/>
      <c r="B452" s="14"/>
      <c r="C452" s="14"/>
      <c r="D452" s="14"/>
      <c r="E452" s="18"/>
      <c r="F452" s="18"/>
      <c r="G452" s="18"/>
      <c r="H452" s="18"/>
      <c r="I452" s="18"/>
      <c r="J452" s="18"/>
      <c r="K452" s="18"/>
      <c r="L452" s="18"/>
      <c r="M452" s="18"/>
      <c r="N452" s="18"/>
      <c r="O452" s="18"/>
      <c r="P452" s="23"/>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c r="CU452" s="26"/>
      <c r="CV452" s="26"/>
      <c r="CW452" s="26"/>
      <c r="CX452" s="26"/>
      <c r="CY452" s="26"/>
      <c r="CZ452" s="26"/>
      <c r="DA452" s="26"/>
      <c r="DB452" s="26"/>
      <c r="DC452" s="26"/>
      <c r="DD452" s="26"/>
      <c r="DE452" s="26"/>
      <c r="DF452" s="26"/>
      <c r="DG452" s="26"/>
      <c r="DH452" s="26"/>
      <c r="DI452" s="26"/>
      <c r="DJ452" s="26"/>
      <c r="DK452" s="26"/>
      <c r="DL452" s="26"/>
      <c r="DM452" s="26"/>
      <c r="DN452" s="26"/>
      <c r="DO452" s="26"/>
      <c r="DP452" s="26"/>
      <c r="DQ452" s="26"/>
      <c r="DR452" s="26"/>
      <c r="DS452" s="26"/>
      <c r="DT452" s="26"/>
      <c r="DU452" s="26"/>
      <c r="DV452" s="26"/>
      <c r="DW452" s="26"/>
      <c r="DX452" s="26"/>
      <c r="DY452" s="26"/>
      <c r="DZ452" s="26"/>
      <c r="EA452" s="26"/>
      <c r="EB452" s="26"/>
      <c r="EC452" s="26"/>
      <c r="ED452" s="26"/>
      <c r="EE452" s="26"/>
      <c r="EF452" s="26"/>
      <c r="EG452" s="26"/>
      <c r="EH452" s="26"/>
      <c r="EI452" s="26"/>
      <c r="EJ452" s="26"/>
      <c r="EK452" s="26"/>
      <c r="EL452" s="26"/>
      <c r="EM452" s="26"/>
      <c r="EN452" s="26"/>
      <c r="EO452" s="26"/>
      <c r="EP452" s="26"/>
      <c r="EQ452" s="26"/>
      <c r="ER452" s="26"/>
      <c r="ES452" s="26"/>
      <c r="ET452" s="26"/>
      <c r="EU452" s="26"/>
      <c r="EV452" s="26"/>
      <c r="EW452" s="26"/>
      <c r="EX452" s="26"/>
      <c r="EY452" s="26"/>
      <c r="EZ452" s="26"/>
      <c r="FA452" s="60"/>
      <c r="FB452" s="60"/>
      <c r="FC452" s="60"/>
      <c r="FD452" s="60"/>
      <c r="FE452" s="60"/>
      <c r="FF452" s="60"/>
      <c r="FG452" s="60"/>
      <c r="FH452" s="60"/>
      <c r="FI452" s="60"/>
      <c r="FJ452" s="60"/>
      <c r="FK452" s="60"/>
      <c r="FL452" s="60"/>
      <c r="FM452" s="60"/>
      <c r="FN452" s="60"/>
      <c r="FO452" s="60"/>
      <c r="FP452" s="60"/>
      <c r="FQ452" s="60"/>
      <c r="FR452" s="60"/>
      <c r="FS452" s="60"/>
      <c r="FT452" s="60"/>
      <c r="FU452" s="60"/>
      <c r="FV452" s="60"/>
      <c r="FW452" s="60"/>
      <c r="FX452" s="60"/>
    </row>
    <row r="453">
      <c r="A453" s="18"/>
      <c r="B453" s="14"/>
      <c r="C453" s="14"/>
      <c r="D453" s="14"/>
      <c r="E453" s="18"/>
      <c r="F453" s="18"/>
      <c r="G453" s="18"/>
      <c r="H453" s="18"/>
      <c r="I453" s="18"/>
      <c r="J453" s="18"/>
      <c r="K453" s="18"/>
      <c r="L453" s="18"/>
      <c r="M453" s="18"/>
      <c r="N453" s="18"/>
      <c r="O453" s="18"/>
      <c r="P453" s="23"/>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c r="CW453" s="26"/>
      <c r="CX453" s="26"/>
      <c r="CY453" s="26"/>
      <c r="CZ453" s="26"/>
      <c r="DA453" s="26"/>
      <c r="DB453" s="26"/>
      <c r="DC453" s="26"/>
      <c r="DD453" s="26"/>
      <c r="DE453" s="26"/>
      <c r="DF453" s="26"/>
      <c r="DG453" s="26"/>
      <c r="DH453" s="26"/>
      <c r="DI453" s="26"/>
      <c r="DJ453" s="26"/>
      <c r="DK453" s="26"/>
      <c r="DL453" s="26"/>
      <c r="DM453" s="26"/>
      <c r="DN453" s="26"/>
      <c r="DO453" s="26"/>
      <c r="DP453" s="26"/>
      <c r="DQ453" s="26"/>
      <c r="DR453" s="26"/>
      <c r="DS453" s="26"/>
      <c r="DT453" s="26"/>
      <c r="DU453" s="26"/>
      <c r="DV453" s="26"/>
      <c r="DW453" s="26"/>
      <c r="DX453" s="26"/>
      <c r="DY453" s="26"/>
      <c r="DZ453" s="26"/>
      <c r="EA453" s="26"/>
      <c r="EB453" s="26"/>
      <c r="EC453" s="26"/>
      <c r="ED453" s="26"/>
      <c r="EE453" s="26"/>
      <c r="EF453" s="26"/>
      <c r="EG453" s="26"/>
      <c r="EH453" s="26"/>
      <c r="EI453" s="26"/>
      <c r="EJ453" s="26"/>
      <c r="EK453" s="26"/>
      <c r="EL453" s="26"/>
      <c r="EM453" s="26"/>
      <c r="EN453" s="26"/>
      <c r="EO453" s="26"/>
      <c r="EP453" s="26"/>
      <c r="EQ453" s="26"/>
      <c r="ER453" s="26"/>
      <c r="ES453" s="26"/>
      <c r="ET453" s="26"/>
      <c r="EU453" s="26"/>
      <c r="EV453" s="26"/>
      <c r="EW453" s="26"/>
      <c r="EX453" s="26"/>
      <c r="EY453" s="26"/>
      <c r="EZ453" s="26"/>
      <c r="FA453" s="60"/>
      <c r="FB453" s="60"/>
      <c r="FC453" s="60"/>
      <c r="FD453" s="60"/>
      <c r="FE453" s="60"/>
      <c r="FF453" s="60"/>
      <c r="FG453" s="60"/>
      <c r="FH453" s="60"/>
      <c r="FI453" s="60"/>
      <c r="FJ453" s="60"/>
      <c r="FK453" s="60"/>
      <c r="FL453" s="60"/>
      <c r="FM453" s="60"/>
      <c r="FN453" s="60"/>
      <c r="FO453" s="60"/>
      <c r="FP453" s="60"/>
      <c r="FQ453" s="60"/>
      <c r="FR453" s="60"/>
      <c r="FS453" s="60"/>
      <c r="FT453" s="60"/>
      <c r="FU453" s="60"/>
      <c r="FV453" s="60"/>
      <c r="FW453" s="60"/>
      <c r="FX453" s="60"/>
    </row>
    <row r="454">
      <c r="A454" s="18"/>
      <c r="B454" s="14"/>
      <c r="C454" s="14"/>
      <c r="D454" s="14"/>
      <c r="E454" s="18"/>
      <c r="F454" s="18"/>
      <c r="G454" s="18"/>
      <c r="H454" s="18"/>
      <c r="I454" s="18"/>
      <c r="J454" s="18"/>
      <c r="K454" s="18"/>
      <c r="L454" s="18"/>
      <c r="M454" s="18"/>
      <c r="N454" s="18"/>
      <c r="O454" s="18"/>
      <c r="P454" s="23"/>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c r="DD454" s="26"/>
      <c r="DE454" s="26"/>
      <c r="DF454" s="26"/>
      <c r="DG454" s="26"/>
      <c r="DH454" s="26"/>
      <c r="DI454" s="26"/>
      <c r="DJ454" s="26"/>
      <c r="DK454" s="26"/>
      <c r="DL454" s="26"/>
      <c r="DM454" s="26"/>
      <c r="DN454" s="26"/>
      <c r="DO454" s="26"/>
      <c r="DP454" s="26"/>
      <c r="DQ454" s="26"/>
      <c r="DR454" s="26"/>
      <c r="DS454" s="26"/>
      <c r="DT454" s="26"/>
      <c r="DU454" s="26"/>
      <c r="DV454" s="26"/>
      <c r="DW454" s="26"/>
      <c r="DX454" s="26"/>
      <c r="DY454" s="26"/>
      <c r="DZ454" s="26"/>
      <c r="EA454" s="26"/>
      <c r="EB454" s="26"/>
      <c r="EC454" s="26"/>
      <c r="ED454" s="26"/>
      <c r="EE454" s="26"/>
      <c r="EF454" s="26"/>
      <c r="EG454" s="26"/>
      <c r="EH454" s="26"/>
      <c r="EI454" s="26"/>
      <c r="EJ454" s="26"/>
      <c r="EK454" s="26"/>
      <c r="EL454" s="26"/>
      <c r="EM454" s="26"/>
      <c r="EN454" s="26"/>
      <c r="EO454" s="26"/>
      <c r="EP454" s="26"/>
      <c r="EQ454" s="26"/>
      <c r="ER454" s="26"/>
      <c r="ES454" s="26"/>
      <c r="ET454" s="26"/>
      <c r="EU454" s="26"/>
      <c r="EV454" s="26"/>
      <c r="EW454" s="26"/>
      <c r="EX454" s="26"/>
      <c r="EY454" s="26"/>
      <c r="EZ454" s="26"/>
      <c r="FA454" s="60"/>
      <c r="FB454" s="60"/>
      <c r="FC454" s="60"/>
      <c r="FD454" s="60"/>
      <c r="FE454" s="60"/>
      <c r="FF454" s="60"/>
      <c r="FG454" s="60"/>
      <c r="FH454" s="60"/>
      <c r="FI454" s="60"/>
      <c r="FJ454" s="60"/>
      <c r="FK454" s="60"/>
      <c r="FL454" s="60"/>
      <c r="FM454" s="60"/>
      <c r="FN454" s="60"/>
      <c r="FO454" s="60"/>
      <c r="FP454" s="60"/>
      <c r="FQ454" s="60"/>
      <c r="FR454" s="60"/>
      <c r="FS454" s="60"/>
      <c r="FT454" s="60"/>
      <c r="FU454" s="60"/>
      <c r="FV454" s="60"/>
      <c r="FW454" s="60"/>
      <c r="FX454" s="60"/>
    </row>
    <row r="455">
      <c r="A455" s="18"/>
      <c r="B455" s="14"/>
      <c r="C455" s="14"/>
      <c r="D455" s="14"/>
      <c r="E455" s="18"/>
      <c r="F455" s="18"/>
      <c r="G455" s="18"/>
      <c r="H455" s="18"/>
      <c r="I455" s="18"/>
      <c r="J455" s="18"/>
      <c r="K455" s="18"/>
      <c r="L455" s="18"/>
      <c r="M455" s="18"/>
      <c r="N455" s="18"/>
      <c r="O455" s="18"/>
      <c r="P455" s="23"/>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c r="CW455" s="26"/>
      <c r="CX455" s="26"/>
      <c r="CY455" s="26"/>
      <c r="CZ455" s="26"/>
      <c r="DA455" s="26"/>
      <c r="DB455" s="26"/>
      <c r="DC455" s="26"/>
      <c r="DD455" s="26"/>
      <c r="DE455" s="26"/>
      <c r="DF455" s="26"/>
      <c r="DG455" s="26"/>
      <c r="DH455" s="26"/>
      <c r="DI455" s="26"/>
      <c r="DJ455" s="26"/>
      <c r="DK455" s="26"/>
      <c r="DL455" s="26"/>
      <c r="DM455" s="26"/>
      <c r="DN455" s="26"/>
      <c r="DO455" s="26"/>
      <c r="DP455" s="26"/>
      <c r="DQ455" s="26"/>
      <c r="DR455" s="26"/>
      <c r="DS455" s="26"/>
      <c r="DT455" s="26"/>
      <c r="DU455" s="26"/>
      <c r="DV455" s="26"/>
      <c r="DW455" s="26"/>
      <c r="DX455" s="26"/>
      <c r="DY455" s="26"/>
      <c r="DZ455" s="26"/>
      <c r="EA455" s="26"/>
      <c r="EB455" s="26"/>
      <c r="EC455" s="26"/>
      <c r="ED455" s="26"/>
      <c r="EE455" s="26"/>
      <c r="EF455" s="26"/>
      <c r="EG455" s="26"/>
      <c r="EH455" s="26"/>
      <c r="EI455" s="26"/>
      <c r="EJ455" s="26"/>
      <c r="EK455" s="26"/>
      <c r="EL455" s="26"/>
      <c r="EM455" s="26"/>
      <c r="EN455" s="26"/>
      <c r="EO455" s="26"/>
      <c r="EP455" s="26"/>
      <c r="EQ455" s="26"/>
      <c r="ER455" s="26"/>
      <c r="ES455" s="26"/>
      <c r="ET455" s="26"/>
      <c r="EU455" s="26"/>
      <c r="EV455" s="26"/>
      <c r="EW455" s="26"/>
      <c r="EX455" s="26"/>
      <c r="EY455" s="26"/>
      <c r="EZ455" s="26"/>
      <c r="FA455" s="60"/>
      <c r="FB455" s="60"/>
      <c r="FC455" s="60"/>
      <c r="FD455" s="60"/>
      <c r="FE455" s="60"/>
      <c r="FF455" s="60"/>
      <c r="FG455" s="60"/>
      <c r="FH455" s="60"/>
      <c r="FI455" s="60"/>
      <c r="FJ455" s="60"/>
      <c r="FK455" s="60"/>
      <c r="FL455" s="60"/>
      <c r="FM455" s="60"/>
      <c r="FN455" s="60"/>
      <c r="FO455" s="60"/>
      <c r="FP455" s="60"/>
      <c r="FQ455" s="60"/>
      <c r="FR455" s="60"/>
      <c r="FS455" s="60"/>
      <c r="FT455" s="60"/>
      <c r="FU455" s="60"/>
      <c r="FV455" s="60"/>
      <c r="FW455" s="60"/>
      <c r="FX455" s="60"/>
    </row>
    <row r="456">
      <c r="A456" s="18"/>
      <c r="B456" s="14"/>
      <c r="C456" s="14"/>
      <c r="D456" s="14"/>
      <c r="E456" s="18"/>
      <c r="F456" s="18"/>
      <c r="G456" s="18"/>
      <c r="H456" s="18"/>
      <c r="I456" s="18"/>
      <c r="J456" s="18"/>
      <c r="K456" s="18"/>
      <c r="L456" s="18"/>
      <c r="M456" s="18"/>
      <c r="N456" s="18"/>
      <c r="O456" s="18"/>
      <c r="P456" s="23"/>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c r="CW456" s="26"/>
      <c r="CX456" s="26"/>
      <c r="CY456" s="26"/>
      <c r="CZ456" s="26"/>
      <c r="DA456" s="26"/>
      <c r="DB456" s="26"/>
      <c r="DC456" s="26"/>
      <c r="DD456" s="26"/>
      <c r="DE456" s="26"/>
      <c r="DF456" s="26"/>
      <c r="DG456" s="26"/>
      <c r="DH456" s="26"/>
      <c r="DI456" s="26"/>
      <c r="DJ456" s="26"/>
      <c r="DK456" s="26"/>
      <c r="DL456" s="26"/>
      <c r="DM456" s="26"/>
      <c r="DN456" s="26"/>
      <c r="DO456" s="26"/>
      <c r="DP456" s="26"/>
      <c r="DQ456" s="26"/>
      <c r="DR456" s="26"/>
      <c r="DS456" s="26"/>
      <c r="DT456" s="26"/>
      <c r="DU456" s="26"/>
      <c r="DV456" s="26"/>
      <c r="DW456" s="26"/>
      <c r="DX456" s="26"/>
      <c r="DY456" s="26"/>
      <c r="DZ456" s="26"/>
      <c r="EA456" s="26"/>
      <c r="EB456" s="26"/>
      <c r="EC456" s="26"/>
      <c r="ED456" s="26"/>
      <c r="EE456" s="26"/>
      <c r="EF456" s="26"/>
      <c r="EG456" s="26"/>
      <c r="EH456" s="26"/>
      <c r="EI456" s="26"/>
      <c r="EJ456" s="26"/>
      <c r="EK456" s="26"/>
      <c r="EL456" s="26"/>
      <c r="EM456" s="26"/>
      <c r="EN456" s="26"/>
      <c r="EO456" s="26"/>
      <c r="EP456" s="26"/>
      <c r="EQ456" s="26"/>
      <c r="ER456" s="26"/>
      <c r="ES456" s="26"/>
      <c r="ET456" s="26"/>
      <c r="EU456" s="26"/>
      <c r="EV456" s="26"/>
      <c r="EW456" s="26"/>
      <c r="EX456" s="26"/>
      <c r="EY456" s="26"/>
      <c r="EZ456" s="26"/>
      <c r="FA456" s="60"/>
      <c r="FB456" s="60"/>
      <c r="FC456" s="60"/>
      <c r="FD456" s="60"/>
      <c r="FE456" s="60"/>
      <c r="FF456" s="60"/>
      <c r="FG456" s="60"/>
      <c r="FH456" s="60"/>
      <c r="FI456" s="60"/>
      <c r="FJ456" s="60"/>
      <c r="FK456" s="60"/>
      <c r="FL456" s="60"/>
      <c r="FM456" s="60"/>
      <c r="FN456" s="60"/>
      <c r="FO456" s="60"/>
      <c r="FP456" s="60"/>
      <c r="FQ456" s="60"/>
      <c r="FR456" s="60"/>
      <c r="FS456" s="60"/>
      <c r="FT456" s="60"/>
      <c r="FU456" s="60"/>
      <c r="FV456" s="60"/>
      <c r="FW456" s="60"/>
      <c r="FX456" s="60"/>
    </row>
    <row r="457">
      <c r="A457" s="18"/>
      <c r="B457" s="14"/>
      <c r="C457" s="14"/>
      <c r="D457" s="14"/>
      <c r="E457" s="18"/>
      <c r="F457" s="18"/>
      <c r="G457" s="18"/>
      <c r="H457" s="18"/>
      <c r="I457" s="18"/>
      <c r="J457" s="18"/>
      <c r="K457" s="18"/>
      <c r="L457" s="18"/>
      <c r="M457" s="18"/>
      <c r="N457" s="18"/>
      <c r="O457" s="18"/>
      <c r="P457" s="23"/>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c r="CU457" s="26"/>
      <c r="CV457" s="26"/>
      <c r="CW457" s="26"/>
      <c r="CX457" s="26"/>
      <c r="CY457" s="26"/>
      <c r="CZ457" s="26"/>
      <c r="DA457" s="26"/>
      <c r="DB457" s="26"/>
      <c r="DC457" s="26"/>
      <c r="DD457" s="26"/>
      <c r="DE457" s="26"/>
      <c r="DF457" s="26"/>
      <c r="DG457" s="26"/>
      <c r="DH457" s="26"/>
      <c r="DI457" s="26"/>
      <c r="DJ457" s="26"/>
      <c r="DK457" s="26"/>
      <c r="DL457" s="26"/>
      <c r="DM457" s="26"/>
      <c r="DN457" s="26"/>
      <c r="DO457" s="26"/>
      <c r="DP457" s="26"/>
      <c r="DQ457" s="26"/>
      <c r="DR457" s="26"/>
      <c r="DS457" s="26"/>
      <c r="DT457" s="26"/>
      <c r="DU457" s="26"/>
      <c r="DV457" s="26"/>
      <c r="DW457" s="26"/>
      <c r="DX457" s="26"/>
      <c r="DY457" s="26"/>
      <c r="DZ457" s="26"/>
      <c r="EA457" s="26"/>
      <c r="EB457" s="26"/>
      <c r="EC457" s="26"/>
      <c r="ED457" s="26"/>
      <c r="EE457" s="26"/>
      <c r="EF457" s="26"/>
      <c r="EG457" s="26"/>
      <c r="EH457" s="26"/>
      <c r="EI457" s="26"/>
      <c r="EJ457" s="26"/>
      <c r="EK457" s="26"/>
      <c r="EL457" s="26"/>
      <c r="EM457" s="26"/>
      <c r="EN457" s="26"/>
      <c r="EO457" s="26"/>
      <c r="EP457" s="26"/>
      <c r="EQ457" s="26"/>
      <c r="ER457" s="26"/>
      <c r="ES457" s="26"/>
      <c r="ET457" s="26"/>
      <c r="EU457" s="26"/>
      <c r="EV457" s="26"/>
      <c r="EW457" s="26"/>
      <c r="EX457" s="26"/>
      <c r="EY457" s="26"/>
      <c r="EZ457" s="26"/>
      <c r="FA457" s="60"/>
      <c r="FB457" s="60"/>
      <c r="FC457" s="60"/>
      <c r="FD457" s="60"/>
      <c r="FE457" s="60"/>
      <c r="FF457" s="60"/>
      <c r="FG457" s="60"/>
      <c r="FH457" s="60"/>
      <c r="FI457" s="60"/>
      <c r="FJ457" s="60"/>
      <c r="FK457" s="60"/>
      <c r="FL457" s="60"/>
      <c r="FM457" s="60"/>
      <c r="FN457" s="60"/>
      <c r="FO457" s="60"/>
      <c r="FP457" s="60"/>
      <c r="FQ457" s="60"/>
      <c r="FR457" s="60"/>
      <c r="FS457" s="60"/>
      <c r="FT457" s="60"/>
      <c r="FU457" s="60"/>
      <c r="FV457" s="60"/>
      <c r="FW457" s="60"/>
      <c r="FX457" s="60"/>
    </row>
    <row r="458">
      <c r="A458" s="18"/>
      <c r="B458" s="14"/>
      <c r="C458" s="14"/>
      <c r="D458" s="14"/>
      <c r="E458" s="18"/>
      <c r="F458" s="18"/>
      <c r="G458" s="18"/>
      <c r="H458" s="18"/>
      <c r="I458" s="18"/>
      <c r="J458" s="18"/>
      <c r="K458" s="18"/>
      <c r="L458" s="18"/>
      <c r="M458" s="18"/>
      <c r="N458" s="18"/>
      <c r="O458" s="18"/>
      <c r="P458" s="23"/>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c r="CW458" s="26"/>
      <c r="CX458" s="26"/>
      <c r="CY458" s="26"/>
      <c r="CZ458" s="26"/>
      <c r="DA458" s="26"/>
      <c r="DB458" s="26"/>
      <c r="DC458" s="26"/>
      <c r="DD458" s="26"/>
      <c r="DE458" s="26"/>
      <c r="DF458" s="26"/>
      <c r="DG458" s="26"/>
      <c r="DH458" s="26"/>
      <c r="DI458" s="26"/>
      <c r="DJ458" s="26"/>
      <c r="DK458" s="26"/>
      <c r="DL458" s="26"/>
      <c r="DM458" s="26"/>
      <c r="DN458" s="26"/>
      <c r="DO458" s="26"/>
      <c r="DP458" s="26"/>
      <c r="DQ458" s="26"/>
      <c r="DR458" s="26"/>
      <c r="DS458" s="26"/>
      <c r="DT458" s="26"/>
      <c r="DU458" s="26"/>
      <c r="DV458" s="26"/>
      <c r="DW458" s="26"/>
      <c r="DX458" s="26"/>
      <c r="DY458" s="26"/>
      <c r="DZ458" s="26"/>
      <c r="EA458" s="26"/>
      <c r="EB458" s="26"/>
      <c r="EC458" s="26"/>
      <c r="ED458" s="26"/>
      <c r="EE458" s="26"/>
      <c r="EF458" s="26"/>
      <c r="EG458" s="26"/>
      <c r="EH458" s="26"/>
      <c r="EI458" s="26"/>
      <c r="EJ458" s="26"/>
      <c r="EK458" s="26"/>
      <c r="EL458" s="26"/>
      <c r="EM458" s="26"/>
      <c r="EN458" s="26"/>
      <c r="EO458" s="26"/>
      <c r="EP458" s="26"/>
      <c r="EQ458" s="26"/>
      <c r="ER458" s="26"/>
      <c r="ES458" s="26"/>
      <c r="ET458" s="26"/>
      <c r="EU458" s="26"/>
      <c r="EV458" s="26"/>
      <c r="EW458" s="26"/>
      <c r="EX458" s="26"/>
      <c r="EY458" s="26"/>
      <c r="EZ458" s="26"/>
      <c r="FA458" s="60"/>
      <c r="FB458" s="60"/>
      <c r="FC458" s="60"/>
      <c r="FD458" s="60"/>
      <c r="FE458" s="60"/>
      <c r="FF458" s="60"/>
      <c r="FG458" s="60"/>
      <c r="FH458" s="60"/>
      <c r="FI458" s="60"/>
      <c r="FJ458" s="60"/>
      <c r="FK458" s="60"/>
      <c r="FL458" s="60"/>
      <c r="FM458" s="60"/>
      <c r="FN458" s="60"/>
      <c r="FO458" s="60"/>
      <c r="FP458" s="60"/>
      <c r="FQ458" s="60"/>
      <c r="FR458" s="60"/>
      <c r="FS458" s="60"/>
      <c r="FT458" s="60"/>
      <c r="FU458" s="60"/>
      <c r="FV458" s="60"/>
      <c r="FW458" s="60"/>
      <c r="FX458" s="60"/>
    </row>
    <row r="459">
      <c r="A459" s="18"/>
      <c r="B459" s="14"/>
      <c r="C459" s="14"/>
      <c r="D459" s="14"/>
      <c r="E459" s="18"/>
      <c r="F459" s="18"/>
      <c r="G459" s="18"/>
      <c r="H459" s="18"/>
      <c r="I459" s="18"/>
      <c r="J459" s="18"/>
      <c r="K459" s="18"/>
      <c r="L459" s="18"/>
      <c r="M459" s="18"/>
      <c r="N459" s="18"/>
      <c r="O459" s="18"/>
      <c r="P459" s="23"/>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c r="DD459" s="26"/>
      <c r="DE459" s="26"/>
      <c r="DF459" s="26"/>
      <c r="DG459" s="26"/>
      <c r="DH459" s="26"/>
      <c r="DI459" s="26"/>
      <c r="DJ459" s="26"/>
      <c r="DK459" s="26"/>
      <c r="DL459" s="26"/>
      <c r="DM459" s="26"/>
      <c r="DN459" s="26"/>
      <c r="DO459" s="26"/>
      <c r="DP459" s="26"/>
      <c r="DQ459" s="26"/>
      <c r="DR459" s="26"/>
      <c r="DS459" s="26"/>
      <c r="DT459" s="26"/>
      <c r="DU459" s="26"/>
      <c r="DV459" s="26"/>
      <c r="DW459" s="26"/>
      <c r="DX459" s="26"/>
      <c r="DY459" s="26"/>
      <c r="DZ459" s="26"/>
      <c r="EA459" s="26"/>
      <c r="EB459" s="26"/>
      <c r="EC459" s="26"/>
      <c r="ED459" s="26"/>
      <c r="EE459" s="26"/>
      <c r="EF459" s="26"/>
      <c r="EG459" s="26"/>
      <c r="EH459" s="26"/>
      <c r="EI459" s="26"/>
      <c r="EJ459" s="26"/>
      <c r="EK459" s="26"/>
      <c r="EL459" s="26"/>
      <c r="EM459" s="26"/>
      <c r="EN459" s="26"/>
      <c r="EO459" s="26"/>
      <c r="EP459" s="26"/>
      <c r="EQ459" s="26"/>
      <c r="ER459" s="26"/>
      <c r="ES459" s="26"/>
      <c r="ET459" s="26"/>
      <c r="EU459" s="26"/>
      <c r="EV459" s="26"/>
      <c r="EW459" s="26"/>
      <c r="EX459" s="26"/>
      <c r="EY459" s="26"/>
      <c r="EZ459" s="26"/>
      <c r="FA459" s="60"/>
      <c r="FB459" s="60"/>
      <c r="FC459" s="60"/>
      <c r="FD459" s="60"/>
      <c r="FE459" s="60"/>
      <c r="FF459" s="60"/>
      <c r="FG459" s="60"/>
      <c r="FH459" s="60"/>
      <c r="FI459" s="60"/>
      <c r="FJ459" s="60"/>
      <c r="FK459" s="60"/>
      <c r="FL459" s="60"/>
      <c r="FM459" s="60"/>
      <c r="FN459" s="60"/>
      <c r="FO459" s="60"/>
      <c r="FP459" s="60"/>
      <c r="FQ459" s="60"/>
      <c r="FR459" s="60"/>
      <c r="FS459" s="60"/>
      <c r="FT459" s="60"/>
      <c r="FU459" s="60"/>
      <c r="FV459" s="60"/>
      <c r="FW459" s="60"/>
      <c r="FX459" s="60"/>
    </row>
    <row r="460">
      <c r="A460" s="18"/>
      <c r="B460" s="14"/>
      <c r="C460" s="14"/>
      <c r="D460" s="14"/>
      <c r="E460" s="18"/>
      <c r="F460" s="18"/>
      <c r="G460" s="18"/>
      <c r="H460" s="18"/>
      <c r="I460" s="18"/>
      <c r="J460" s="18"/>
      <c r="K460" s="18"/>
      <c r="L460" s="18"/>
      <c r="M460" s="18"/>
      <c r="N460" s="18"/>
      <c r="O460" s="18"/>
      <c r="P460" s="23"/>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c r="DD460" s="26"/>
      <c r="DE460" s="26"/>
      <c r="DF460" s="26"/>
      <c r="DG460" s="26"/>
      <c r="DH460" s="26"/>
      <c r="DI460" s="26"/>
      <c r="DJ460" s="26"/>
      <c r="DK460" s="26"/>
      <c r="DL460" s="26"/>
      <c r="DM460" s="26"/>
      <c r="DN460" s="26"/>
      <c r="DO460" s="26"/>
      <c r="DP460" s="26"/>
      <c r="DQ460" s="26"/>
      <c r="DR460" s="26"/>
      <c r="DS460" s="26"/>
      <c r="DT460" s="26"/>
      <c r="DU460" s="26"/>
      <c r="DV460" s="26"/>
      <c r="DW460" s="26"/>
      <c r="DX460" s="26"/>
      <c r="DY460" s="26"/>
      <c r="DZ460" s="26"/>
      <c r="EA460" s="26"/>
      <c r="EB460" s="26"/>
      <c r="EC460" s="26"/>
      <c r="ED460" s="26"/>
      <c r="EE460" s="26"/>
      <c r="EF460" s="26"/>
      <c r="EG460" s="26"/>
      <c r="EH460" s="26"/>
      <c r="EI460" s="26"/>
      <c r="EJ460" s="26"/>
      <c r="EK460" s="26"/>
      <c r="EL460" s="26"/>
      <c r="EM460" s="26"/>
      <c r="EN460" s="26"/>
      <c r="EO460" s="26"/>
      <c r="EP460" s="26"/>
      <c r="EQ460" s="26"/>
      <c r="ER460" s="26"/>
      <c r="ES460" s="26"/>
      <c r="ET460" s="26"/>
      <c r="EU460" s="26"/>
      <c r="EV460" s="26"/>
      <c r="EW460" s="26"/>
      <c r="EX460" s="26"/>
      <c r="EY460" s="26"/>
      <c r="EZ460" s="26"/>
      <c r="FA460" s="60"/>
      <c r="FB460" s="60"/>
      <c r="FC460" s="60"/>
      <c r="FD460" s="60"/>
      <c r="FE460" s="60"/>
      <c r="FF460" s="60"/>
      <c r="FG460" s="60"/>
      <c r="FH460" s="60"/>
      <c r="FI460" s="60"/>
      <c r="FJ460" s="60"/>
      <c r="FK460" s="60"/>
      <c r="FL460" s="60"/>
      <c r="FM460" s="60"/>
      <c r="FN460" s="60"/>
      <c r="FO460" s="60"/>
      <c r="FP460" s="60"/>
      <c r="FQ460" s="60"/>
      <c r="FR460" s="60"/>
      <c r="FS460" s="60"/>
      <c r="FT460" s="60"/>
      <c r="FU460" s="60"/>
      <c r="FV460" s="60"/>
      <c r="FW460" s="60"/>
      <c r="FX460" s="60"/>
    </row>
    <row r="461">
      <c r="A461" s="18"/>
      <c r="B461" s="14"/>
      <c r="C461" s="14"/>
      <c r="D461" s="14"/>
      <c r="E461" s="18"/>
      <c r="F461" s="18"/>
      <c r="G461" s="18"/>
      <c r="H461" s="18"/>
      <c r="I461" s="18"/>
      <c r="J461" s="18"/>
      <c r="K461" s="18"/>
      <c r="L461" s="18"/>
      <c r="M461" s="18"/>
      <c r="N461" s="18"/>
      <c r="O461" s="18"/>
      <c r="P461" s="23"/>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c r="CW461" s="26"/>
      <c r="CX461" s="26"/>
      <c r="CY461" s="26"/>
      <c r="CZ461" s="26"/>
      <c r="DA461" s="26"/>
      <c r="DB461" s="26"/>
      <c r="DC461" s="26"/>
      <c r="DD461" s="26"/>
      <c r="DE461" s="26"/>
      <c r="DF461" s="26"/>
      <c r="DG461" s="26"/>
      <c r="DH461" s="26"/>
      <c r="DI461" s="26"/>
      <c r="DJ461" s="26"/>
      <c r="DK461" s="26"/>
      <c r="DL461" s="26"/>
      <c r="DM461" s="26"/>
      <c r="DN461" s="26"/>
      <c r="DO461" s="26"/>
      <c r="DP461" s="26"/>
      <c r="DQ461" s="26"/>
      <c r="DR461" s="26"/>
      <c r="DS461" s="26"/>
      <c r="DT461" s="26"/>
      <c r="DU461" s="26"/>
      <c r="DV461" s="26"/>
      <c r="DW461" s="26"/>
      <c r="DX461" s="26"/>
      <c r="DY461" s="26"/>
      <c r="DZ461" s="26"/>
      <c r="EA461" s="26"/>
      <c r="EB461" s="26"/>
      <c r="EC461" s="26"/>
      <c r="ED461" s="26"/>
      <c r="EE461" s="26"/>
      <c r="EF461" s="26"/>
      <c r="EG461" s="26"/>
      <c r="EH461" s="26"/>
      <c r="EI461" s="26"/>
      <c r="EJ461" s="26"/>
      <c r="EK461" s="26"/>
      <c r="EL461" s="26"/>
      <c r="EM461" s="26"/>
      <c r="EN461" s="26"/>
      <c r="EO461" s="26"/>
      <c r="EP461" s="26"/>
      <c r="EQ461" s="26"/>
      <c r="ER461" s="26"/>
      <c r="ES461" s="26"/>
      <c r="ET461" s="26"/>
      <c r="EU461" s="26"/>
      <c r="EV461" s="26"/>
      <c r="EW461" s="26"/>
      <c r="EX461" s="26"/>
      <c r="EY461" s="26"/>
      <c r="EZ461" s="26"/>
      <c r="FA461" s="60"/>
      <c r="FB461" s="60"/>
      <c r="FC461" s="60"/>
      <c r="FD461" s="60"/>
      <c r="FE461" s="60"/>
      <c r="FF461" s="60"/>
      <c r="FG461" s="60"/>
      <c r="FH461" s="60"/>
      <c r="FI461" s="60"/>
      <c r="FJ461" s="60"/>
      <c r="FK461" s="60"/>
      <c r="FL461" s="60"/>
      <c r="FM461" s="60"/>
      <c r="FN461" s="60"/>
      <c r="FO461" s="60"/>
      <c r="FP461" s="60"/>
      <c r="FQ461" s="60"/>
      <c r="FR461" s="60"/>
      <c r="FS461" s="60"/>
      <c r="FT461" s="60"/>
      <c r="FU461" s="60"/>
      <c r="FV461" s="60"/>
      <c r="FW461" s="60"/>
      <c r="FX461" s="60"/>
    </row>
    <row r="462">
      <c r="A462" s="18"/>
      <c r="B462" s="14"/>
      <c r="C462" s="14"/>
      <c r="D462" s="14"/>
      <c r="E462" s="18"/>
      <c r="F462" s="18"/>
      <c r="G462" s="18"/>
      <c r="H462" s="18"/>
      <c r="I462" s="18"/>
      <c r="J462" s="18"/>
      <c r="K462" s="18"/>
      <c r="L462" s="18"/>
      <c r="M462" s="18"/>
      <c r="N462" s="18"/>
      <c r="O462" s="18"/>
      <c r="P462" s="23"/>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c r="CW462" s="26"/>
      <c r="CX462" s="26"/>
      <c r="CY462" s="26"/>
      <c r="CZ462" s="26"/>
      <c r="DA462" s="26"/>
      <c r="DB462" s="26"/>
      <c r="DC462" s="26"/>
      <c r="DD462" s="26"/>
      <c r="DE462" s="26"/>
      <c r="DF462" s="26"/>
      <c r="DG462" s="26"/>
      <c r="DH462" s="26"/>
      <c r="DI462" s="26"/>
      <c r="DJ462" s="26"/>
      <c r="DK462" s="26"/>
      <c r="DL462" s="26"/>
      <c r="DM462" s="26"/>
      <c r="DN462" s="26"/>
      <c r="DO462" s="26"/>
      <c r="DP462" s="26"/>
      <c r="DQ462" s="26"/>
      <c r="DR462" s="26"/>
      <c r="DS462" s="26"/>
      <c r="DT462" s="26"/>
      <c r="DU462" s="26"/>
      <c r="DV462" s="26"/>
      <c r="DW462" s="26"/>
      <c r="DX462" s="26"/>
      <c r="DY462" s="26"/>
      <c r="DZ462" s="26"/>
      <c r="EA462" s="26"/>
      <c r="EB462" s="26"/>
      <c r="EC462" s="26"/>
      <c r="ED462" s="26"/>
      <c r="EE462" s="26"/>
      <c r="EF462" s="26"/>
      <c r="EG462" s="26"/>
      <c r="EH462" s="26"/>
      <c r="EI462" s="26"/>
      <c r="EJ462" s="26"/>
      <c r="EK462" s="26"/>
      <c r="EL462" s="26"/>
      <c r="EM462" s="26"/>
      <c r="EN462" s="26"/>
      <c r="EO462" s="26"/>
      <c r="EP462" s="26"/>
      <c r="EQ462" s="26"/>
      <c r="ER462" s="26"/>
      <c r="ES462" s="26"/>
      <c r="ET462" s="26"/>
      <c r="EU462" s="26"/>
      <c r="EV462" s="26"/>
      <c r="EW462" s="26"/>
      <c r="EX462" s="26"/>
      <c r="EY462" s="26"/>
      <c r="EZ462" s="26"/>
      <c r="FA462" s="60"/>
      <c r="FB462" s="60"/>
      <c r="FC462" s="60"/>
      <c r="FD462" s="60"/>
      <c r="FE462" s="60"/>
      <c r="FF462" s="60"/>
      <c r="FG462" s="60"/>
      <c r="FH462" s="60"/>
      <c r="FI462" s="60"/>
      <c r="FJ462" s="60"/>
      <c r="FK462" s="60"/>
      <c r="FL462" s="60"/>
      <c r="FM462" s="60"/>
      <c r="FN462" s="60"/>
      <c r="FO462" s="60"/>
      <c r="FP462" s="60"/>
      <c r="FQ462" s="60"/>
      <c r="FR462" s="60"/>
      <c r="FS462" s="60"/>
      <c r="FT462" s="60"/>
      <c r="FU462" s="60"/>
      <c r="FV462" s="60"/>
      <c r="FW462" s="60"/>
      <c r="FX462" s="60"/>
    </row>
    <row r="463">
      <c r="A463" s="18"/>
      <c r="B463" s="14"/>
      <c r="C463" s="14"/>
      <c r="D463" s="14"/>
      <c r="E463" s="18"/>
      <c r="F463" s="18"/>
      <c r="G463" s="18"/>
      <c r="H463" s="18"/>
      <c r="I463" s="18"/>
      <c r="J463" s="18"/>
      <c r="K463" s="18"/>
      <c r="L463" s="18"/>
      <c r="M463" s="18"/>
      <c r="N463" s="18"/>
      <c r="O463" s="18"/>
      <c r="P463" s="23"/>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c r="CW463" s="26"/>
      <c r="CX463" s="26"/>
      <c r="CY463" s="26"/>
      <c r="CZ463" s="26"/>
      <c r="DA463" s="26"/>
      <c r="DB463" s="26"/>
      <c r="DC463" s="26"/>
      <c r="DD463" s="26"/>
      <c r="DE463" s="26"/>
      <c r="DF463" s="26"/>
      <c r="DG463" s="26"/>
      <c r="DH463" s="26"/>
      <c r="DI463" s="26"/>
      <c r="DJ463" s="26"/>
      <c r="DK463" s="26"/>
      <c r="DL463" s="26"/>
      <c r="DM463" s="26"/>
      <c r="DN463" s="26"/>
      <c r="DO463" s="26"/>
      <c r="DP463" s="26"/>
      <c r="DQ463" s="26"/>
      <c r="DR463" s="26"/>
      <c r="DS463" s="26"/>
      <c r="DT463" s="26"/>
      <c r="DU463" s="26"/>
      <c r="DV463" s="26"/>
      <c r="DW463" s="26"/>
      <c r="DX463" s="26"/>
      <c r="DY463" s="26"/>
      <c r="DZ463" s="26"/>
      <c r="EA463" s="26"/>
      <c r="EB463" s="26"/>
      <c r="EC463" s="26"/>
      <c r="ED463" s="26"/>
      <c r="EE463" s="26"/>
      <c r="EF463" s="26"/>
      <c r="EG463" s="26"/>
      <c r="EH463" s="26"/>
      <c r="EI463" s="26"/>
      <c r="EJ463" s="26"/>
      <c r="EK463" s="26"/>
      <c r="EL463" s="26"/>
      <c r="EM463" s="26"/>
      <c r="EN463" s="26"/>
      <c r="EO463" s="26"/>
      <c r="EP463" s="26"/>
      <c r="EQ463" s="26"/>
      <c r="ER463" s="26"/>
      <c r="ES463" s="26"/>
      <c r="ET463" s="26"/>
      <c r="EU463" s="26"/>
      <c r="EV463" s="26"/>
      <c r="EW463" s="26"/>
      <c r="EX463" s="26"/>
      <c r="EY463" s="26"/>
      <c r="EZ463" s="26"/>
      <c r="FA463" s="60"/>
      <c r="FB463" s="60"/>
      <c r="FC463" s="60"/>
      <c r="FD463" s="60"/>
      <c r="FE463" s="60"/>
      <c r="FF463" s="60"/>
      <c r="FG463" s="60"/>
      <c r="FH463" s="60"/>
      <c r="FI463" s="60"/>
      <c r="FJ463" s="60"/>
      <c r="FK463" s="60"/>
      <c r="FL463" s="60"/>
      <c r="FM463" s="60"/>
      <c r="FN463" s="60"/>
      <c r="FO463" s="60"/>
      <c r="FP463" s="60"/>
      <c r="FQ463" s="60"/>
      <c r="FR463" s="60"/>
      <c r="FS463" s="60"/>
      <c r="FT463" s="60"/>
      <c r="FU463" s="60"/>
      <c r="FV463" s="60"/>
      <c r="FW463" s="60"/>
      <c r="FX463" s="60"/>
    </row>
    <row r="464">
      <c r="A464" s="18"/>
      <c r="B464" s="14"/>
      <c r="C464" s="14"/>
      <c r="D464" s="14"/>
      <c r="E464" s="18"/>
      <c r="F464" s="18"/>
      <c r="G464" s="18"/>
      <c r="H464" s="18"/>
      <c r="I464" s="18"/>
      <c r="J464" s="18"/>
      <c r="K464" s="18"/>
      <c r="L464" s="18"/>
      <c r="M464" s="18"/>
      <c r="N464" s="18"/>
      <c r="O464" s="18"/>
      <c r="P464" s="23"/>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c r="CW464" s="26"/>
      <c r="CX464" s="26"/>
      <c r="CY464" s="26"/>
      <c r="CZ464" s="26"/>
      <c r="DA464" s="26"/>
      <c r="DB464" s="26"/>
      <c r="DC464" s="26"/>
      <c r="DD464" s="26"/>
      <c r="DE464" s="26"/>
      <c r="DF464" s="26"/>
      <c r="DG464" s="26"/>
      <c r="DH464" s="26"/>
      <c r="DI464" s="26"/>
      <c r="DJ464" s="26"/>
      <c r="DK464" s="26"/>
      <c r="DL464" s="26"/>
      <c r="DM464" s="26"/>
      <c r="DN464" s="26"/>
      <c r="DO464" s="26"/>
      <c r="DP464" s="26"/>
      <c r="DQ464" s="26"/>
      <c r="DR464" s="26"/>
      <c r="DS464" s="26"/>
      <c r="DT464" s="26"/>
      <c r="DU464" s="26"/>
      <c r="DV464" s="26"/>
      <c r="DW464" s="26"/>
      <c r="DX464" s="26"/>
      <c r="DY464" s="26"/>
      <c r="DZ464" s="26"/>
      <c r="EA464" s="26"/>
      <c r="EB464" s="26"/>
      <c r="EC464" s="26"/>
      <c r="ED464" s="26"/>
      <c r="EE464" s="26"/>
      <c r="EF464" s="26"/>
      <c r="EG464" s="26"/>
      <c r="EH464" s="26"/>
      <c r="EI464" s="26"/>
      <c r="EJ464" s="26"/>
      <c r="EK464" s="26"/>
      <c r="EL464" s="26"/>
      <c r="EM464" s="26"/>
      <c r="EN464" s="26"/>
      <c r="EO464" s="26"/>
      <c r="EP464" s="26"/>
      <c r="EQ464" s="26"/>
      <c r="ER464" s="26"/>
      <c r="ES464" s="26"/>
      <c r="ET464" s="26"/>
      <c r="EU464" s="26"/>
      <c r="EV464" s="26"/>
      <c r="EW464" s="26"/>
      <c r="EX464" s="26"/>
      <c r="EY464" s="26"/>
      <c r="EZ464" s="26"/>
      <c r="FA464" s="60"/>
      <c r="FB464" s="60"/>
      <c r="FC464" s="60"/>
      <c r="FD464" s="60"/>
      <c r="FE464" s="60"/>
      <c r="FF464" s="60"/>
      <c r="FG464" s="60"/>
      <c r="FH464" s="60"/>
      <c r="FI464" s="60"/>
      <c r="FJ464" s="60"/>
      <c r="FK464" s="60"/>
      <c r="FL464" s="60"/>
      <c r="FM464" s="60"/>
      <c r="FN464" s="60"/>
      <c r="FO464" s="60"/>
      <c r="FP464" s="60"/>
      <c r="FQ464" s="60"/>
      <c r="FR464" s="60"/>
      <c r="FS464" s="60"/>
      <c r="FT464" s="60"/>
      <c r="FU464" s="60"/>
      <c r="FV464" s="60"/>
      <c r="FW464" s="60"/>
      <c r="FX464" s="60"/>
    </row>
    <row r="465">
      <c r="A465" s="18"/>
      <c r="B465" s="14"/>
      <c r="C465" s="14"/>
      <c r="D465" s="14"/>
      <c r="E465" s="18"/>
      <c r="F465" s="18"/>
      <c r="G465" s="18"/>
      <c r="H465" s="18"/>
      <c r="I465" s="18"/>
      <c r="J465" s="18"/>
      <c r="K465" s="18"/>
      <c r="L465" s="18"/>
      <c r="M465" s="18"/>
      <c r="N465" s="18"/>
      <c r="O465" s="18"/>
      <c r="P465" s="23"/>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c r="CW465" s="26"/>
      <c r="CX465" s="26"/>
      <c r="CY465" s="26"/>
      <c r="CZ465" s="26"/>
      <c r="DA465" s="26"/>
      <c r="DB465" s="26"/>
      <c r="DC465" s="26"/>
      <c r="DD465" s="26"/>
      <c r="DE465" s="26"/>
      <c r="DF465" s="26"/>
      <c r="DG465" s="26"/>
      <c r="DH465" s="26"/>
      <c r="DI465" s="26"/>
      <c r="DJ465" s="26"/>
      <c r="DK465" s="26"/>
      <c r="DL465" s="26"/>
      <c r="DM465" s="26"/>
      <c r="DN465" s="26"/>
      <c r="DO465" s="26"/>
      <c r="DP465" s="26"/>
      <c r="DQ465" s="26"/>
      <c r="DR465" s="26"/>
      <c r="DS465" s="26"/>
      <c r="DT465" s="26"/>
      <c r="DU465" s="26"/>
      <c r="DV465" s="26"/>
      <c r="DW465" s="26"/>
      <c r="DX465" s="26"/>
      <c r="DY465" s="26"/>
      <c r="DZ465" s="26"/>
      <c r="EA465" s="26"/>
      <c r="EB465" s="26"/>
      <c r="EC465" s="26"/>
      <c r="ED465" s="26"/>
      <c r="EE465" s="26"/>
      <c r="EF465" s="26"/>
      <c r="EG465" s="26"/>
      <c r="EH465" s="26"/>
      <c r="EI465" s="26"/>
      <c r="EJ465" s="26"/>
      <c r="EK465" s="26"/>
      <c r="EL465" s="26"/>
      <c r="EM465" s="26"/>
      <c r="EN465" s="26"/>
      <c r="EO465" s="26"/>
      <c r="EP465" s="26"/>
      <c r="EQ465" s="26"/>
      <c r="ER465" s="26"/>
      <c r="ES465" s="26"/>
      <c r="ET465" s="26"/>
      <c r="EU465" s="26"/>
      <c r="EV465" s="26"/>
      <c r="EW465" s="26"/>
      <c r="EX465" s="26"/>
      <c r="EY465" s="26"/>
      <c r="EZ465" s="26"/>
      <c r="FA465" s="60"/>
      <c r="FB465" s="60"/>
      <c r="FC465" s="60"/>
      <c r="FD465" s="60"/>
      <c r="FE465" s="60"/>
      <c r="FF465" s="60"/>
      <c r="FG465" s="60"/>
      <c r="FH465" s="60"/>
      <c r="FI465" s="60"/>
      <c r="FJ465" s="60"/>
      <c r="FK465" s="60"/>
      <c r="FL465" s="60"/>
      <c r="FM465" s="60"/>
      <c r="FN465" s="60"/>
      <c r="FO465" s="60"/>
      <c r="FP465" s="60"/>
      <c r="FQ465" s="60"/>
      <c r="FR465" s="60"/>
      <c r="FS465" s="60"/>
      <c r="FT465" s="60"/>
      <c r="FU465" s="60"/>
      <c r="FV465" s="60"/>
      <c r="FW465" s="60"/>
      <c r="FX465" s="60"/>
    </row>
    <row r="466">
      <c r="A466" s="18"/>
      <c r="B466" s="14"/>
      <c r="C466" s="14"/>
      <c r="D466" s="14"/>
      <c r="E466" s="18"/>
      <c r="F466" s="18"/>
      <c r="G466" s="18"/>
      <c r="H466" s="18"/>
      <c r="I466" s="18"/>
      <c r="J466" s="18"/>
      <c r="K466" s="18"/>
      <c r="L466" s="18"/>
      <c r="M466" s="18"/>
      <c r="N466" s="18"/>
      <c r="O466" s="18"/>
      <c r="P466" s="23"/>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c r="DD466" s="26"/>
      <c r="DE466" s="26"/>
      <c r="DF466" s="26"/>
      <c r="DG466" s="26"/>
      <c r="DH466" s="26"/>
      <c r="DI466" s="26"/>
      <c r="DJ466" s="26"/>
      <c r="DK466" s="26"/>
      <c r="DL466" s="26"/>
      <c r="DM466" s="26"/>
      <c r="DN466" s="26"/>
      <c r="DO466" s="26"/>
      <c r="DP466" s="26"/>
      <c r="DQ466" s="26"/>
      <c r="DR466" s="26"/>
      <c r="DS466" s="26"/>
      <c r="DT466" s="26"/>
      <c r="DU466" s="26"/>
      <c r="DV466" s="26"/>
      <c r="DW466" s="26"/>
      <c r="DX466" s="26"/>
      <c r="DY466" s="26"/>
      <c r="DZ466" s="26"/>
      <c r="EA466" s="26"/>
      <c r="EB466" s="26"/>
      <c r="EC466" s="26"/>
      <c r="ED466" s="26"/>
      <c r="EE466" s="26"/>
      <c r="EF466" s="26"/>
      <c r="EG466" s="26"/>
      <c r="EH466" s="26"/>
      <c r="EI466" s="26"/>
      <c r="EJ466" s="26"/>
      <c r="EK466" s="26"/>
      <c r="EL466" s="26"/>
      <c r="EM466" s="26"/>
      <c r="EN466" s="26"/>
      <c r="EO466" s="26"/>
      <c r="EP466" s="26"/>
      <c r="EQ466" s="26"/>
      <c r="ER466" s="26"/>
      <c r="ES466" s="26"/>
      <c r="ET466" s="26"/>
      <c r="EU466" s="26"/>
      <c r="EV466" s="26"/>
      <c r="EW466" s="26"/>
      <c r="EX466" s="26"/>
      <c r="EY466" s="26"/>
      <c r="EZ466" s="26"/>
      <c r="FA466" s="60"/>
      <c r="FB466" s="60"/>
      <c r="FC466" s="60"/>
      <c r="FD466" s="60"/>
      <c r="FE466" s="60"/>
      <c r="FF466" s="60"/>
      <c r="FG466" s="60"/>
      <c r="FH466" s="60"/>
      <c r="FI466" s="60"/>
      <c r="FJ466" s="60"/>
      <c r="FK466" s="60"/>
      <c r="FL466" s="60"/>
      <c r="FM466" s="60"/>
      <c r="FN466" s="60"/>
      <c r="FO466" s="60"/>
      <c r="FP466" s="60"/>
      <c r="FQ466" s="60"/>
      <c r="FR466" s="60"/>
      <c r="FS466" s="60"/>
      <c r="FT466" s="60"/>
      <c r="FU466" s="60"/>
      <c r="FV466" s="60"/>
      <c r="FW466" s="60"/>
      <c r="FX466" s="60"/>
    </row>
    <row r="467">
      <c r="A467" s="18"/>
      <c r="B467" s="14"/>
      <c r="C467" s="14"/>
      <c r="D467" s="14"/>
      <c r="E467" s="18"/>
      <c r="F467" s="18"/>
      <c r="G467" s="18"/>
      <c r="H467" s="18"/>
      <c r="I467" s="18"/>
      <c r="J467" s="18"/>
      <c r="K467" s="18"/>
      <c r="L467" s="18"/>
      <c r="M467" s="18"/>
      <c r="N467" s="18"/>
      <c r="O467" s="18"/>
      <c r="P467" s="23"/>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c r="CW467" s="26"/>
      <c r="CX467" s="26"/>
      <c r="CY467" s="26"/>
      <c r="CZ467" s="26"/>
      <c r="DA467" s="26"/>
      <c r="DB467" s="26"/>
      <c r="DC467" s="26"/>
      <c r="DD467" s="26"/>
      <c r="DE467" s="26"/>
      <c r="DF467" s="26"/>
      <c r="DG467" s="26"/>
      <c r="DH467" s="26"/>
      <c r="DI467" s="26"/>
      <c r="DJ467" s="26"/>
      <c r="DK467" s="26"/>
      <c r="DL467" s="26"/>
      <c r="DM467" s="26"/>
      <c r="DN467" s="26"/>
      <c r="DO467" s="26"/>
      <c r="DP467" s="26"/>
      <c r="DQ467" s="26"/>
      <c r="DR467" s="26"/>
      <c r="DS467" s="26"/>
      <c r="DT467" s="26"/>
      <c r="DU467" s="26"/>
      <c r="DV467" s="26"/>
      <c r="DW467" s="26"/>
      <c r="DX467" s="26"/>
      <c r="DY467" s="26"/>
      <c r="DZ467" s="26"/>
      <c r="EA467" s="26"/>
      <c r="EB467" s="26"/>
      <c r="EC467" s="26"/>
      <c r="ED467" s="26"/>
      <c r="EE467" s="26"/>
      <c r="EF467" s="26"/>
      <c r="EG467" s="26"/>
      <c r="EH467" s="26"/>
      <c r="EI467" s="26"/>
      <c r="EJ467" s="26"/>
      <c r="EK467" s="26"/>
      <c r="EL467" s="26"/>
      <c r="EM467" s="26"/>
      <c r="EN467" s="26"/>
      <c r="EO467" s="26"/>
      <c r="EP467" s="26"/>
      <c r="EQ467" s="26"/>
      <c r="ER467" s="26"/>
      <c r="ES467" s="26"/>
      <c r="ET467" s="26"/>
      <c r="EU467" s="26"/>
      <c r="EV467" s="26"/>
      <c r="EW467" s="26"/>
      <c r="EX467" s="26"/>
      <c r="EY467" s="26"/>
      <c r="EZ467" s="26"/>
      <c r="FA467" s="60"/>
      <c r="FB467" s="60"/>
      <c r="FC467" s="60"/>
      <c r="FD467" s="60"/>
      <c r="FE467" s="60"/>
      <c r="FF467" s="60"/>
      <c r="FG467" s="60"/>
      <c r="FH467" s="60"/>
      <c r="FI467" s="60"/>
      <c r="FJ467" s="60"/>
      <c r="FK467" s="60"/>
      <c r="FL467" s="60"/>
      <c r="FM467" s="60"/>
      <c r="FN467" s="60"/>
      <c r="FO467" s="60"/>
      <c r="FP467" s="60"/>
      <c r="FQ467" s="60"/>
      <c r="FR467" s="60"/>
      <c r="FS467" s="60"/>
      <c r="FT467" s="60"/>
      <c r="FU467" s="60"/>
      <c r="FV467" s="60"/>
      <c r="FW467" s="60"/>
      <c r="FX467" s="60"/>
    </row>
    <row r="468">
      <c r="A468" s="18"/>
      <c r="B468" s="14"/>
      <c r="C468" s="14"/>
      <c r="D468" s="14"/>
      <c r="E468" s="18"/>
      <c r="F468" s="18"/>
      <c r="G468" s="18"/>
      <c r="H468" s="18"/>
      <c r="I468" s="18"/>
      <c r="J468" s="18"/>
      <c r="K468" s="18"/>
      <c r="L468" s="18"/>
      <c r="M468" s="18"/>
      <c r="N468" s="18"/>
      <c r="O468" s="18"/>
      <c r="P468" s="23"/>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c r="CU468" s="26"/>
      <c r="CV468" s="26"/>
      <c r="CW468" s="26"/>
      <c r="CX468" s="26"/>
      <c r="CY468" s="26"/>
      <c r="CZ468" s="26"/>
      <c r="DA468" s="26"/>
      <c r="DB468" s="26"/>
      <c r="DC468" s="26"/>
      <c r="DD468" s="26"/>
      <c r="DE468" s="26"/>
      <c r="DF468" s="26"/>
      <c r="DG468" s="26"/>
      <c r="DH468" s="26"/>
      <c r="DI468" s="26"/>
      <c r="DJ468" s="26"/>
      <c r="DK468" s="26"/>
      <c r="DL468" s="26"/>
      <c r="DM468" s="26"/>
      <c r="DN468" s="26"/>
      <c r="DO468" s="26"/>
      <c r="DP468" s="26"/>
      <c r="DQ468" s="26"/>
      <c r="DR468" s="26"/>
      <c r="DS468" s="26"/>
      <c r="DT468" s="26"/>
      <c r="DU468" s="26"/>
      <c r="DV468" s="26"/>
      <c r="DW468" s="26"/>
      <c r="DX468" s="26"/>
      <c r="DY468" s="26"/>
      <c r="DZ468" s="26"/>
      <c r="EA468" s="26"/>
      <c r="EB468" s="26"/>
      <c r="EC468" s="26"/>
      <c r="ED468" s="26"/>
      <c r="EE468" s="26"/>
      <c r="EF468" s="26"/>
      <c r="EG468" s="26"/>
      <c r="EH468" s="26"/>
      <c r="EI468" s="26"/>
      <c r="EJ468" s="26"/>
      <c r="EK468" s="26"/>
      <c r="EL468" s="26"/>
      <c r="EM468" s="26"/>
      <c r="EN468" s="26"/>
      <c r="EO468" s="26"/>
      <c r="EP468" s="26"/>
      <c r="EQ468" s="26"/>
      <c r="ER468" s="26"/>
      <c r="ES468" s="26"/>
      <c r="ET468" s="26"/>
      <c r="EU468" s="26"/>
      <c r="EV468" s="26"/>
      <c r="EW468" s="26"/>
      <c r="EX468" s="26"/>
      <c r="EY468" s="26"/>
      <c r="EZ468" s="26"/>
      <c r="FA468" s="60"/>
      <c r="FB468" s="60"/>
      <c r="FC468" s="60"/>
      <c r="FD468" s="60"/>
      <c r="FE468" s="60"/>
      <c r="FF468" s="60"/>
      <c r="FG468" s="60"/>
      <c r="FH468" s="60"/>
      <c r="FI468" s="60"/>
      <c r="FJ468" s="60"/>
      <c r="FK468" s="60"/>
      <c r="FL468" s="60"/>
      <c r="FM468" s="60"/>
      <c r="FN468" s="60"/>
      <c r="FO468" s="60"/>
      <c r="FP468" s="60"/>
      <c r="FQ468" s="60"/>
      <c r="FR468" s="60"/>
      <c r="FS468" s="60"/>
      <c r="FT468" s="60"/>
      <c r="FU468" s="60"/>
      <c r="FV468" s="60"/>
      <c r="FW468" s="60"/>
      <c r="FX468" s="60"/>
    </row>
    <row r="469">
      <c r="A469" s="18"/>
      <c r="B469" s="14"/>
      <c r="C469" s="14"/>
      <c r="D469" s="14"/>
      <c r="E469" s="18"/>
      <c r="F469" s="18"/>
      <c r="G469" s="18"/>
      <c r="H469" s="18"/>
      <c r="I469" s="18"/>
      <c r="J469" s="18"/>
      <c r="K469" s="18"/>
      <c r="L469" s="18"/>
      <c r="M469" s="18"/>
      <c r="N469" s="18"/>
      <c r="O469" s="18"/>
      <c r="P469" s="23"/>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c r="CU469" s="26"/>
      <c r="CV469" s="26"/>
      <c r="CW469" s="26"/>
      <c r="CX469" s="26"/>
      <c r="CY469" s="26"/>
      <c r="CZ469" s="26"/>
      <c r="DA469" s="26"/>
      <c r="DB469" s="26"/>
      <c r="DC469" s="26"/>
      <c r="DD469" s="26"/>
      <c r="DE469" s="26"/>
      <c r="DF469" s="26"/>
      <c r="DG469" s="26"/>
      <c r="DH469" s="26"/>
      <c r="DI469" s="26"/>
      <c r="DJ469" s="26"/>
      <c r="DK469" s="26"/>
      <c r="DL469" s="26"/>
      <c r="DM469" s="26"/>
      <c r="DN469" s="26"/>
      <c r="DO469" s="26"/>
      <c r="DP469" s="26"/>
      <c r="DQ469" s="26"/>
      <c r="DR469" s="26"/>
      <c r="DS469" s="26"/>
      <c r="DT469" s="26"/>
      <c r="DU469" s="26"/>
      <c r="DV469" s="26"/>
      <c r="DW469" s="26"/>
      <c r="DX469" s="26"/>
      <c r="DY469" s="26"/>
      <c r="DZ469" s="26"/>
      <c r="EA469" s="26"/>
      <c r="EB469" s="26"/>
      <c r="EC469" s="26"/>
      <c r="ED469" s="26"/>
      <c r="EE469" s="26"/>
      <c r="EF469" s="26"/>
      <c r="EG469" s="26"/>
      <c r="EH469" s="26"/>
      <c r="EI469" s="26"/>
      <c r="EJ469" s="26"/>
      <c r="EK469" s="26"/>
      <c r="EL469" s="26"/>
      <c r="EM469" s="26"/>
      <c r="EN469" s="26"/>
      <c r="EO469" s="26"/>
      <c r="EP469" s="26"/>
      <c r="EQ469" s="26"/>
      <c r="ER469" s="26"/>
      <c r="ES469" s="26"/>
      <c r="ET469" s="26"/>
      <c r="EU469" s="26"/>
      <c r="EV469" s="26"/>
      <c r="EW469" s="26"/>
      <c r="EX469" s="26"/>
      <c r="EY469" s="26"/>
      <c r="EZ469" s="26"/>
      <c r="FA469" s="60"/>
      <c r="FB469" s="60"/>
      <c r="FC469" s="60"/>
      <c r="FD469" s="60"/>
      <c r="FE469" s="60"/>
      <c r="FF469" s="60"/>
      <c r="FG469" s="60"/>
      <c r="FH469" s="60"/>
      <c r="FI469" s="60"/>
      <c r="FJ469" s="60"/>
      <c r="FK469" s="60"/>
      <c r="FL469" s="60"/>
      <c r="FM469" s="60"/>
      <c r="FN469" s="60"/>
      <c r="FO469" s="60"/>
      <c r="FP469" s="60"/>
      <c r="FQ469" s="60"/>
      <c r="FR469" s="60"/>
      <c r="FS469" s="60"/>
      <c r="FT469" s="60"/>
      <c r="FU469" s="60"/>
      <c r="FV469" s="60"/>
      <c r="FW469" s="60"/>
      <c r="FX469" s="60"/>
    </row>
    <row r="470">
      <c r="A470" s="18"/>
      <c r="B470" s="14"/>
      <c r="C470" s="14"/>
      <c r="D470" s="14"/>
      <c r="E470" s="18"/>
      <c r="F470" s="18"/>
      <c r="G470" s="18"/>
      <c r="H470" s="18"/>
      <c r="I470" s="18"/>
      <c r="J470" s="18"/>
      <c r="K470" s="18"/>
      <c r="L470" s="18"/>
      <c r="M470" s="18"/>
      <c r="N470" s="18"/>
      <c r="O470" s="18"/>
      <c r="P470" s="23"/>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26"/>
      <c r="CU470" s="26"/>
      <c r="CV470" s="26"/>
      <c r="CW470" s="26"/>
      <c r="CX470" s="26"/>
      <c r="CY470" s="26"/>
      <c r="CZ470" s="26"/>
      <c r="DA470" s="26"/>
      <c r="DB470" s="26"/>
      <c r="DC470" s="26"/>
      <c r="DD470" s="26"/>
      <c r="DE470" s="26"/>
      <c r="DF470" s="26"/>
      <c r="DG470" s="26"/>
      <c r="DH470" s="26"/>
      <c r="DI470" s="26"/>
      <c r="DJ470" s="26"/>
      <c r="DK470" s="26"/>
      <c r="DL470" s="26"/>
      <c r="DM470" s="26"/>
      <c r="DN470" s="26"/>
      <c r="DO470" s="26"/>
      <c r="DP470" s="26"/>
      <c r="DQ470" s="26"/>
      <c r="DR470" s="26"/>
      <c r="DS470" s="26"/>
      <c r="DT470" s="26"/>
      <c r="DU470" s="26"/>
      <c r="DV470" s="26"/>
      <c r="DW470" s="26"/>
      <c r="DX470" s="26"/>
      <c r="DY470" s="26"/>
      <c r="DZ470" s="26"/>
      <c r="EA470" s="26"/>
      <c r="EB470" s="26"/>
      <c r="EC470" s="26"/>
      <c r="ED470" s="26"/>
      <c r="EE470" s="26"/>
      <c r="EF470" s="26"/>
      <c r="EG470" s="26"/>
      <c r="EH470" s="26"/>
      <c r="EI470" s="26"/>
      <c r="EJ470" s="26"/>
      <c r="EK470" s="26"/>
      <c r="EL470" s="26"/>
      <c r="EM470" s="26"/>
      <c r="EN470" s="26"/>
      <c r="EO470" s="26"/>
      <c r="EP470" s="26"/>
      <c r="EQ470" s="26"/>
      <c r="ER470" s="26"/>
      <c r="ES470" s="26"/>
      <c r="ET470" s="26"/>
      <c r="EU470" s="26"/>
      <c r="EV470" s="26"/>
      <c r="EW470" s="26"/>
      <c r="EX470" s="26"/>
      <c r="EY470" s="26"/>
      <c r="EZ470" s="26"/>
      <c r="FA470" s="60"/>
      <c r="FB470" s="60"/>
      <c r="FC470" s="60"/>
      <c r="FD470" s="60"/>
      <c r="FE470" s="60"/>
      <c r="FF470" s="60"/>
      <c r="FG470" s="60"/>
      <c r="FH470" s="60"/>
      <c r="FI470" s="60"/>
      <c r="FJ470" s="60"/>
      <c r="FK470" s="60"/>
      <c r="FL470" s="60"/>
      <c r="FM470" s="60"/>
      <c r="FN470" s="60"/>
      <c r="FO470" s="60"/>
      <c r="FP470" s="60"/>
      <c r="FQ470" s="60"/>
      <c r="FR470" s="60"/>
      <c r="FS470" s="60"/>
      <c r="FT470" s="60"/>
      <c r="FU470" s="60"/>
      <c r="FV470" s="60"/>
      <c r="FW470" s="60"/>
      <c r="FX470" s="60"/>
    </row>
    <row r="471">
      <c r="A471" s="18"/>
      <c r="B471" s="14"/>
      <c r="C471" s="14"/>
      <c r="D471" s="14"/>
      <c r="E471" s="18"/>
      <c r="F471" s="18"/>
      <c r="G471" s="18"/>
      <c r="H471" s="18"/>
      <c r="I471" s="18"/>
      <c r="J471" s="18"/>
      <c r="K471" s="18"/>
      <c r="L471" s="18"/>
      <c r="M471" s="18"/>
      <c r="N471" s="18"/>
      <c r="O471" s="18"/>
      <c r="P471" s="23"/>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26"/>
      <c r="CU471" s="26"/>
      <c r="CV471" s="26"/>
      <c r="CW471" s="26"/>
      <c r="CX471" s="26"/>
      <c r="CY471" s="26"/>
      <c r="CZ471" s="26"/>
      <c r="DA471" s="26"/>
      <c r="DB471" s="26"/>
      <c r="DC471" s="26"/>
      <c r="DD471" s="26"/>
      <c r="DE471" s="26"/>
      <c r="DF471" s="26"/>
      <c r="DG471" s="26"/>
      <c r="DH471" s="26"/>
      <c r="DI471" s="26"/>
      <c r="DJ471" s="26"/>
      <c r="DK471" s="26"/>
      <c r="DL471" s="26"/>
      <c r="DM471" s="26"/>
      <c r="DN471" s="26"/>
      <c r="DO471" s="26"/>
      <c r="DP471" s="26"/>
      <c r="DQ471" s="26"/>
      <c r="DR471" s="26"/>
      <c r="DS471" s="26"/>
      <c r="DT471" s="26"/>
      <c r="DU471" s="26"/>
      <c r="DV471" s="26"/>
      <c r="DW471" s="26"/>
      <c r="DX471" s="26"/>
      <c r="DY471" s="26"/>
      <c r="DZ471" s="26"/>
      <c r="EA471" s="26"/>
      <c r="EB471" s="26"/>
      <c r="EC471" s="26"/>
      <c r="ED471" s="26"/>
      <c r="EE471" s="26"/>
      <c r="EF471" s="26"/>
      <c r="EG471" s="26"/>
      <c r="EH471" s="26"/>
      <c r="EI471" s="26"/>
      <c r="EJ471" s="26"/>
      <c r="EK471" s="26"/>
      <c r="EL471" s="26"/>
      <c r="EM471" s="26"/>
      <c r="EN471" s="26"/>
      <c r="EO471" s="26"/>
      <c r="EP471" s="26"/>
      <c r="EQ471" s="26"/>
      <c r="ER471" s="26"/>
      <c r="ES471" s="26"/>
      <c r="ET471" s="26"/>
      <c r="EU471" s="26"/>
      <c r="EV471" s="26"/>
      <c r="EW471" s="26"/>
      <c r="EX471" s="26"/>
      <c r="EY471" s="26"/>
      <c r="EZ471" s="26"/>
      <c r="FA471" s="60"/>
      <c r="FB471" s="60"/>
      <c r="FC471" s="60"/>
      <c r="FD471" s="60"/>
      <c r="FE471" s="60"/>
      <c r="FF471" s="60"/>
      <c r="FG471" s="60"/>
      <c r="FH471" s="60"/>
      <c r="FI471" s="60"/>
      <c r="FJ471" s="60"/>
      <c r="FK471" s="60"/>
      <c r="FL471" s="60"/>
      <c r="FM471" s="60"/>
      <c r="FN471" s="60"/>
      <c r="FO471" s="60"/>
      <c r="FP471" s="60"/>
      <c r="FQ471" s="60"/>
      <c r="FR471" s="60"/>
      <c r="FS471" s="60"/>
      <c r="FT471" s="60"/>
      <c r="FU471" s="60"/>
      <c r="FV471" s="60"/>
      <c r="FW471" s="60"/>
      <c r="FX471" s="60"/>
    </row>
    <row r="472">
      <c r="A472" s="18"/>
      <c r="B472" s="14"/>
      <c r="C472" s="14"/>
      <c r="D472" s="14"/>
      <c r="E472" s="18"/>
      <c r="F472" s="18"/>
      <c r="G472" s="18"/>
      <c r="H472" s="18"/>
      <c r="I472" s="18"/>
      <c r="J472" s="18"/>
      <c r="K472" s="18"/>
      <c r="L472" s="18"/>
      <c r="M472" s="18"/>
      <c r="N472" s="18"/>
      <c r="O472" s="18"/>
      <c r="P472" s="23"/>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26"/>
      <c r="CU472" s="26"/>
      <c r="CV472" s="26"/>
      <c r="CW472" s="26"/>
      <c r="CX472" s="26"/>
      <c r="CY472" s="26"/>
      <c r="CZ472" s="26"/>
      <c r="DA472" s="26"/>
      <c r="DB472" s="26"/>
      <c r="DC472" s="26"/>
      <c r="DD472" s="26"/>
      <c r="DE472" s="26"/>
      <c r="DF472" s="26"/>
      <c r="DG472" s="26"/>
      <c r="DH472" s="26"/>
      <c r="DI472" s="26"/>
      <c r="DJ472" s="26"/>
      <c r="DK472" s="26"/>
      <c r="DL472" s="26"/>
      <c r="DM472" s="26"/>
      <c r="DN472" s="26"/>
      <c r="DO472" s="26"/>
      <c r="DP472" s="26"/>
      <c r="DQ472" s="26"/>
      <c r="DR472" s="26"/>
      <c r="DS472" s="26"/>
      <c r="DT472" s="26"/>
      <c r="DU472" s="26"/>
      <c r="DV472" s="26"/>
      <c r="DW472" s="26"/>
      <c r="DX472" s="26"/>
      <c r="DY472" s="26"/>
      <c r="DZ472" s="26"/>
      <c r="EA472" s="26"/>
      <c r="EB472" s="26"/>
      <c r="EC472" s="26"/>
      <c r="ED472" s="26"/>
      <c r="EE472" s="26"/>
      <c r="EF472" s="26"/>
      <c r="EG472" s="26"/>
      <c r="EH472" s="26"/>
      <c r="EI472" s="26"/>
      <c r="EJ472" s="26"/>
      <c r="EK472" s="26"/>
      <c r="EL472" s="26"/>
      <c r="EM472" s="26"/>
      <c r="EN472" s="26"/>
      <c r="EO472" s="26"/>
      <c r="EP472" s="26"/>
      <c r="EQ472" s="26"/>
      <c r="ER472" s="26"/>
      <c r="ES472" s="26"/>
      <c r="ET472" s="26"/>
      <c r="EU472" s="26"/>
      <c r="EV472" s="26"/>
      <c r="EW472" s="26"/>
      <c r="EX472" s="26"/>
      <c r="EY472" s="26"/>
      <c r="EZ472" s="26"/>
      <c r="FA472" s="60"/>
      <c r="FB472" s="60"/>
      <c r="FC472" s="60"/>
      <c r="FD472" s="60"/>
      <c r="FE472" s="60"/>
      <c r="FF472" s="60"/>
      <c r="FG472" s="60"/>
      <c r="FH472" s="60"/>
      <c r="FI472" s="60"/>
      <c r="FJ472" s="60"/>
      <c r="FK472" s="60"/>
      <c r="FL472" s="60"/>
      <c r="FM472" s="60"/>
      <c r="FN472" s="60"/>
      <c r="FO472" s="60"/>
      <c r="FP472" s="60"/>
      <c r="FQ472" s="60"/>
      <c r="FR472" s="60"/>
      <c r="FS472" s="60"/>
      <c r="FT472" s="60"/>
      <c r="FU472" s="60"/>
      <c r="FV472" s="60"/>
      <c r="FW472" s="60"/>
      <c r="FX472" s="60"/>
    </row>
    <row r="473">
      <c r="A473" s="18"/>
      <c r="B473" s="14"/>
      <c r="C473" s="14"/>
      <c r="D473" s="14"/>
      <c r="E473" s="18"/>
      <c r="F473" s="18"/>
      <c r="G473" s="18"/>
      <c r="H473" s="18"/>
      <c r="I473" s="18"/>
      <c r="J473" s="18"/>
      <c r="K473" s="18"/>
      <c r="L473" s="18"/>
      <c r="M473" s="18"/>
      <c r="N473" s="18"/>
      <c r="O473" s="18"/>
      <c r="P473" s="23"/>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26"/>
      <c r="CU473" s="26"/>
      <c r="CV473" s="26"/>
      <c r="CW473" s="26"/>
      <c r="CX473" s="26"/>
      <c r="CY473" s="26"/>
      <c r="CZ473" s="26"/>
      <c r="DA473" s="26"/>
      <c r="DB473" s="26"/>
      <c r="DC473" s="26"/>
      <c r="DD473" s="26"/>
      <c r="DE473" s="26"/>
      <c r="DF473" s="26"/>
      <c r="DG473" s="26"/>
      <c r="DH473" s="26"/>
      <c r="DI473" s="26"/>
      <c r="DJ473" s="26"/>
      <c r="DK473" s="26"/>
      <c r="DL473" s="26"/>
      <c r="DM473" s="26"/>
      <c r="DN473" s="26"/>
      <c r="DO473" s="26"/>
      <c r="DP473" s="26"/>
      <c r="DQ473" s="26"/>
      <c r="DR473" s="26"/>
      <c r="DS473" s="26"/>
      <c r="DT473" s="26"/>
      <c r="DU473" s="26"/>
      <c r="DV473" s="26"/>
      <c r="DW473" s="26"/>
      <c r="DX473" s="26"/>
      <c r="DY473" s="26"/>
      <c r="DZ473" s="26"/>
      <c r="EA473" s="26"/>
      <c r="EB473" s="26"/>
      <c r="EC473" s="26"/>
      <c r="ED473" s="26"/>
      <c r="EE473" s="26"/>
      <c r="EF473" s="26"/>
      <c r="EG473" s="26"/>
      <c r="EH473" s="26"/>
      <c r="EI473" s="26"/>
      <c r="EJ473" s="26"/>
      <c r="EK473" s="26"/>
      <c r="EL473" s="26"/>
      <c r="EM473" s="26"/>
      <c r="EN473" s="26"/>
      <c r="EO473" s="26"/>
      <c r="EP473" s="26"/>
      <c r="EQ473" s="26"/>
      <c r="ER473" s="26"/>
      <c r="ES473" s="26"/>
      <c r="ET473" s="26"/>
      <c r="EU473" s="26"/>
      <c r="EV473" s="26"/>
      <c r="EW473" s="26"/>
      <c r="EX473" s="26"/>
      <c r="EY473" s="26"/>
      <c r="EZ473" s="26"/>
      <c r="FA473" s="60"/>
      <c r="FB473" s="60"/>
      <c r="FC473" s="60"/>
      <c r="FD473" s="60"/>
      <c r="FE473" s="60"/>
      <c r="FF473" s="60"/>
      <c r="FG473" s="60"/>
      <c r="FH473" s="60"/>
      <c r="FI473" s="60"/>
      <c r="FJ473" s="60"/>
      <c r="FK473" s="60"/>
      <c r="FL473" s="60"/>
      <c r="FM473" s="60"/>
      <c r="FN473" s="60"/>
      <c r="FO473" s="60"/>
      <c r="FP473" s="60"/>
      <c r="FQ473" s="60"/>
      <c r="FR473" s="60"/>
      <c r="FS473" s="60"/>
      <c r="FT473" s="60"/>
      <c r="FU473" s="60"/>
      <c r="FV473" s="60"/>
      <c r="FW473" s="60"/>
      <c r="FX473" s="60"/>
    </row>
    <row r="474">
      <c r="A474" s="18"/>
      <c r="B474" s="14"/>
      <c r="C474" s="14"/>
      <c r="D474" s="14"/>
      <c r="E474" s="18"/>
      <c r="F474" s="18"/>
      <c r="G474" s="18"/>
      <c r="H474" s="18"/>
      <c r="I474" s="18"/>
      <c r="J474" s="18"/>
      <c r="K474" s="18"/>
      <c r="L474" s="18"/>
      <c r="M474" s="18"/>
      <c r="N474" s="18"/>
      <c r="O474" s="18"/>
      <c r="P474" s="23"/>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26"/>
      <c r="CU474" s="26"/>
      <c r="CV474" s="26"/>
      <c r="CW474" s="26"/>
      <c r="CX474" s="26"/>
      <c r="CY474" s="26"/>
      <c r="CZ474" s="26"/>
      <c r="DA474" s="26"/>
      <c r="DB474" s="26"/>
      <c r="DC474" s="26"/>
      <c r="DD474" s="26"/>
      <c r="DE474" s="26"/>
      <c r="DF474" s="26"/>
      <c r="DG474" s="26"/>
      <c r="DH474" s="26"/>
      <c r="DI474" s="26"/>
      <c r="DJ474" s="26"/>
      <c r="DK474" s="26"/>
      <c r="DL474" s="26"/>
      <c r="DM474" s="26"/>
      <c r="DN474" s="26"/>
      <c r="DO474" s="26"/>
      <c r="DP474" s="26"/>
      <c r="DQ474" s="26"/>
      <c r="DR474" s="26"/>
      <c r="DS474" s="26"/>
      <c r="DT474" s="26"/>
      <c r="DU474" s="26"/>
      <c r="DV474" s="26"/>
      <c r="DW474" s="26"/>
      <c r="DX474" s="26"/>
      <c r="DY474" s="26"/>
      <c r="DZ474" s="26"/>
      <c r="EA474" s="26"/>
      <c r="EB474" s="26"/>
      <c r="EC474" s="26"/>
      <c r="ED474" s="26"/>
      <c r="EE474" s="26"/>
      <c r="EF474" s="26"/>
      <c r="EG474" s="26"/>
      <c r="EH474" s="26"/>
      <c r="EI474" s="26"/>
      <c r="EJ474" s="26"/>
      <c r="EK474" s="26"/>
      <c r="EL474" s="26"/>
      <c r="EM474" s="26"/>
      <c r="EN474" s="26"/>
      <c r="EO474" s="26"/>
      <c r="EP474" s="26"/>
      <c r="EQ474" s="26"/>
      <c r="ER474" s="26"/>
      <c r="ES474" s="26"/>
      <c r="ET474" s="26"/>
      <c r="EU474" s="26"/>
      <c r="EV474" s="26"/>
      <c r="EW474" s="26"/>
      <c r="EX474" s="26"/>
      <c r="EY474" s="26"/>
      <c r="EZ474" s="26"/>
      <c r="FA474" s="60"/>
      <c r="FB474" s="60"/>
      <c r="FC474" s="60"/>
      <c r="FD474" s="60"/>
      <c r="FE474" s="60"/>
      <c r="FF474" s="60"/>
      <c r="FG474" s="60"/>
      <c r="FH474" s="60"/>
      <c r="FI474" s="60"/>
      <c r="FJ474" s="60"/>
      <c r="FK474" s="60"/>
      <c r="FL474" s="60"/>
      <c r="FM474" s="60"/>
      <c r="FN474" s="60"/>
      <c r="FO474" s="60"/>
      <c r="FP474" s="60"/>
      <c r="FQ474" s="60"/>
      <c r="FR474" s="60"/>
      <c r="FS474" s="60"/>
      <c r="FT474" s="60"/>
      <c r="FU474" s="60"/>
      <c r="FV474" s="60"/>
      <c r="FW474" s="60"/>
      <c r="FX474" s="60"/>
    </row>
    <row r="475">
      <c r="A475" s="18"/>
      <c r="B475" s="14"/>
      <c r="C475" s="14"/>
      <c r="D475" s="14"/>
      <c r="E475" s="18"/>
      <c r="F475" s="18"/>
      <c r="G475" s="18"/>
      <c r="H475" s="18"/>
      <c r="I475" s="18"/>
      <c r="J475" s="18"/>
      <c r="K475" s="18"/>
      <c r="L475" s="18"/>
      <c r="M475" s="18"/>
      <c r="N475" s="18"/>
      <c r="O475" s="18"/>
      <c r="P475" s="23"/>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26"/>
      <c r="CU475" s="26"/>
      <c r="CV475" s="26"/>
      <c r="CW475" s="26"/>
      <c r="CX475" s="26"/>
      <c r="CY475" s="26"/>
      <c r="CZ475" s="26"/>
      <c r="DA475" s="26"/>
      <c r="DB475" s="26"/>
      <c r="DC475" s="26"/>
      <c r="DD475" s="26"/>
      <c r="DE475" s="26"/>
      <c r="DF475" s="26"/>
      <c r="DG475" s="26"/>
      <c r="DH475" s="26"/>
      <c r="DI475" s="26"/>
      <c r="DJ475" s="26"/>
      <c r="DK475" s="26"/>
      <c r="DL475" s="26"/>
      <c r="DM475" s="26"/>
      <c r="DN475" s="26"/>
      <c r="DO475" s="26"/>
      <c r="DP475" s="26"/>
      <c r="DQ475" s="26"/>
      <c r="DR475" s="26"/>
      <c r="DS475" s="26"/>
      <c r="DT475" s="26"/>
      <c r="DU475" s="26"/>
      <c r="DV475" s="26"/>
      <c r="DW475" s="26"/>
      <c r="DX475" s="26"/>
      <c r="DY475" s="26"/>
      <c r="DZ475" s="26"/>
      <c r="EA475" s="26"/>
      <c r="EB475" s="26"/>
      <c r="EC475" s="26"/>
      <c r="ED475" s="26"/>
      <c r="EE475" s="26"/>
      <c r="EF475" s="26"/>
      <c r="EG475" s="26"/>
      <c r="EH475" s="26"/>
      <c r="EI475" s="26"/>
      <c r="EJ475" s="26"/>
      <c r="EK475" s="26"/>
      <c r="EL475" s="26"/>
      <c r="EM475" s="26"/>
      <c r="EN475" s="26"/>
      <c r="EO475" s="26"/>
      <c r="EP475" s="26"/>
      <c r="EQ475" s="26"/>
      <c r="ER475" s="26"/>
      <c r="ES475" s="26"/>
      <c r="ET475" s="26"/>
      <c r="EU475" s="26"/>
      <c r="EV475" s="26"/>
      <c r="EW475" s="26"/>
      <c r="EX475" s="26"/>
      <c r="EY475" s="26"/>
      <c r="EZ475" s="26"/>
      <c r="FA475" s="60"/>
      <c r="FB475" s="60"/>
      <c r="FC475" s="60"/>
      <c r="FD475" s="60"/>
      <c r="FE475" s="60"/>
      <c r="FF475" s="60"/>
      <c r="FG475" s="60"/>
      <c r="FH475" s="60"/>
      <c r="FI475" s="60"/>
      <c r="FJ475" s="60"/>
      <c r="FK475" s="60"/>
      <c r="FL475" s="60"/>
      <c r="FM475" s="60"/>
      <c r="FN475" s="60"/>
      <c r="FO475" s="60"/>
      <c r="FP475" s="60"/>
      <c r="FQ475" s="60"/>
      <c r="FR475" s="60"/>
      <c r="FS475" s="60"/>
      <c r="FT475" s="60"/>
      <c r="FU475" s="60"/>
      <c r="FV475" s="60"/>
      <c r="FW475" s="60"/>
      <c r="FX475" s="60"/>
    </row>
    <row r="476">
      <c r="A476" s="18"/>
      <c r="B476" s="14"/>
      <c r="C476" s="14"/>
      <c r="D476" s="14"/>
      <c r="E476" s="18"/>
      <c r="F476" s="18"/>
      <c r="G476" s="18"/>
      <c r="H476" s="18"/>
      <c r="I476" s="18"/>
      <c r="J476" s="18"/>
      <c r="K476" s="18"/>
      <c r="L476" s="18"/>
      <c r="M476" s="18"/>
      <c r="N476" s="18"/>
      <c r="O476" s="18"/>
      <c r="P476" s="23"/>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26"/>
      <c r="CU476" s="26"/>
      <c r="CV476" s="26"/>
      <c r="CW476" s="26"/>
      <c r="CX476" s="26"/>
      <c r="CY476" s="26"/>
      <c r="CZ476" s="26"/>
      <c r="DA476" s="26"/>
      <c r="DB476" s="26"/>
      <c r="DC476" s="26"/>
      <c r="DD476" s="26"/>
      <c r="DE476" s="26"/>
      <c r="DF476" s="26"/>
      <c r="DG476" s="26"/>
      <c r="DH476" s="26"/>
      <c r="DI476" s="26"/>
      <c r="DJ476" s="26"/>
      <c r="DK476" s="26"/>
      <c r="DL476" s="26"/>
      <c r="DM476" s="26"/>
      <c r="DN476" s="26"/>
      <c r="DO476" s="26"/>
      <c r="DP476" s="26"/>
      <c r="DQ476" s="26"/>
      <c r="DR476" s="26"/>
      <c r="DS476" s="26"/>
      <c r="DT476" s="26"/>
      <c r="DU476" s="26"/>
      <c r="DV476" s="26"/>
      <c r="DW476" s="26"/>
      <c r="DX476" s="26"/>
      <c r="DY476" s="26"/>
      <c r="DZ476" s="26"/>
      <c r="EA476" s="26"/>
      <c r="EB476" s="26"/>
      <c r="EC476" s="26"/>
      <c r="ED476" s="26"/>
      <c r="EE476" s="26"/>
      <c r="EF476" s="26"/>
      <c r="EG476" s="26"/>
      <c r="EH476" s="26"/>
      <c r="EI476" s="26"/>
      <c r="EJ476" s="26"/>
      <c r="EK476" s="26"/>
      <c r="EL476" s="26"/>
      <c r="EM476" s="26"/>
      <c r="EN476" s="26"/>
      <c r="EO476" s="26"/>
      <c r="EP476" s="26"/>
      <c r="EQ476" s="26"/>
      <c r="ER476" s="26"/>
      <c r="ES476" s="26"/>
      <c r="ET476" s="26"/>
      <c r="EU476" s="26"/>
      <c r="EV476" s="26"/>
      <c r="EW476" s="26"/>
      <c r="EX476" s="26"/>
      <c r="EY476" s="26"/>
      <c r="EZ476" s="26"/>
      <c r="FA476" s="60"/>
      <c r="FB476" s="60"/>
      <c r="FC476" s="60"/>
      <c r="FD476" s="60"/>
      <c r="FE476" s="60"/>
      <c r="FF476" s="60"/>
      <c r="FG476" s="60"/>
      <c r="FH476" s="60"/>
      <c r="FI476" s="60"/>
      <c r="FJ476" s="60"/>
      <c r="FK476" s="60"/>
      <c r="FL476" s="60"/>
      <c r="FM476" s="60"/>
      <c r="FN476" s="60"/>
      <c r="FO476" s="60"/>
      <c r="FP476" s="60"/>
      <c r="FQ476" s="60"/>
      <c r="FR476" s="60"/>
      <c r="FS476" s="60"/>
      <c r="FT476" s="60"/>
      <c r="FU476" s="60"/>
      <c r="FV476" s="60"/>
      <c r="FW476" s="60"/>
      <c r="FX476" s="60"/>
    </row>
    <row r="477">
      <c r="A477" s="18"/>
      <c r="B477" s="14"/>
      <c r="C477" s="14"/>
      <c r="D477" s="14"/>
      <c r="E477" s="18"/>
      <c r="F477" s="18"/>
      <c r="G477" s="18"/>
      <c r="H477" s="18"/>
      <c r="I477" s="18"/>
      <c r="J477" s="18"/>
      <c r="K477" s="18"/>
      <c r="L477" s="18"/>
      <c r="M477" s="18"/>
      <c r="N477" s="18"/>
      <c r="O477" s="18"/>
      <c r="P477" s="23"/>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26"/>
      <c r="CU477" s="26"/>
      <c r="CV477" s="26"/>
      <c r="CW477" s="26"/>
      <c r="CX477" s="26"/>
      <c r="CY477" s="26"/>
      <c r="CZ477" s="26"/>
      <c r="DA477" s="26"/>
      <c r="DB477" s="26"/>
      <c r="DC477" s="26"/>
      <c r="DD477" s="26"/>
      <c r="DE477" s="26"/>
      <c r="DF477" s="26"/>
      <c r="DG477" s="26"/>
      <c r="DH477" s="26"/>
      <c r="DI477" s="26"/>
      <c r="DJ477" s="26"/>
      <c r="DK477" s="26"/>
      <c r="DL477" s="26"/>
      <c r="DM477" s="26"/>
      <c r="DN477" s="26"/>
      <c r="DO477" s="26"/>
      <c r="DP477" s="26"/>
      <c r="DQ477" s="26"/>
      <c r="DR477" s="26"/>
      <c r="DS477" s="26"/>
      <c r="DT477" s="26"/>
      <c r="DU477" s="26"/>
      <c r="DV477" s="26"/>
      <c r="DW477" s="26"/>
      <c r="DX477" s="26"/>
      <c r="DY477" s="26"/>
      <c r="DZ477" s="26"/>
      <c r="EA477" s="26"/>
      <c r="EB477" s="26"/>
      <c r="EC477" s="26"/>
      <c r="ED477" s="26"/>
      <c r="EE477" s="26"/>
      <c r="EF477" s="26"/>
      <c r="EG477" s="26"/>
      <c r="EH477" s="26"/>
      <c r="EI477" s="26"/>
      <c r="EJ477" s="26"/>
      <c r="EK477" s="26"/>
      <c r="EL477" s="26"/>
      <c r="EM477" s="26"/>
      <c r="EN477" s="26"/>
      <c r="EO477" s="26"/>
      <c r="EP477" s="26"/>
      <c r="EQ477" s="26"/>
      <c r="ER477" s="26"/>
      <c r="ES477" s="26"/>
      <c r="ET477" s="26"/>
      <c r="EU477" s="26"/>
      <c r="EV477" s="26"/>
      <c r="EW477" s="26"/>
      <c r="EX477" s="26"/>
      <c r="EY477" s="26"/>
      <c r="EZ477" s="26"/>
      <c r="FA477" s="60"/>
      <c r="FB477" s="60"/>
      <c r="FC477" s="60"/>
      <c r="FD477" s="60"/>
      <c r="FE477" s="60"/>
      <c r="FF477" s="60"/>
      <c r="FG477" s="60"/>
      <c r="FH477" s="60"/>
      <c r="FI477" s="60"/>
      <c r="FJ477" s="60"/>
      <c r="FK477" s="60"/>
      <c r="FL477" s="60"/>
      <c r="FM477" s="60"/>
      <c r="FN477" s="60"/>
      <c r="FO477" s="60"/>
      <c r="FP477" s="60"/>
      <c r="FQ477" s="60"/>
      <c r="FR477" s="60"/>
      <c r="FS477" s="60"/>
      <c r="FT477" s="60"/>
      <c r="FU477" s="60"/>
      <c r="FV477" s="60"/>
      <c r="FW477" s="60"/>
      <c r="FX477" s="60"/>
    </row>
    <row r="478">
      <c r="A478" s="18"/>
      <c r="B478" s="14"/>
      <c r="C478" s="14"/>
      <c r="D478" s="14"/>
      <c r="E478" s="18"/>
      <c r="F478" s="18"/>
      <c r="G478" s="18"/>
      <c r="H478" s="18"/>
      <c r="I478" s="18"/>
      <c r="J478" s="18"/>
      <c r="K478" s="18"/>
      <c r="L478" s="18"/>
      <c r="M478" s="18"/>
      <c r="N478" s="18"/>
      <c r="O478" s="18"/>
      <c r="P478" s="23"/>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26"/>
      <c r="CU478" s="26"/>
      <c r="CV478" s="26"/>
      <c r="CW478" s="26"/>
      <c r="CX478" s="26"/>
      <c r="CY478" s="26"/>
      <c r="CZ478" s="26"/>
      <c r="DA478" s="26"/>
      <c r="DB478" s="26"/>
      <c r="DC478" s="26"/>
      <c r="DD478" s="26"/>
      <c r="DE478" s="26"/>
      <c r="DF478" s="26"/>
      <c r="DG478" s="26"/>
      <c r="DH478" s="26"/>
      <c r="DI478" s="26"/>
      <c r="DJ478" s="26"/>
      <c r="DK478" s="26"/>
      <c r="DL478" s="26"/>
      <c r="DM478" s="26"/>
      <c r="DN478" s="26"/>
      <c r="DO478" s="26"/>
      <c r="DP478" s="26"/>
      <c r="DQ478" s="26"/>
      <c r="DR478" s="26"/>
      <c r="DS478" s="26"/>
      <c r="DT478" s="26"/>
      <c r="DU478" s="26"/>
      <c r="DV478" s="26"/>
      <c r="DW478" s="26"/>
      <c r="DX478" s="26"/>
      <c r="DY478" s="26"/>
      <c r="DZ478" s="26"/>
      <c r="EA478" s="26"/>
      <c r="EB478" s="26"/>
      <c r="EC478" s="26"/>
      <c r="ED478" s="26"/>
      <c r="EE478" s="26"/>
      <c r="EF478" s="26"/>
      <c r="EG478" s="26"/>
      <c r="EH478" s="26"/>
      <c r="EI478" s="26"/>
      <c r="EJ478" s="26"/>
      <c r="EK478" s="26"/>
      <c r="EL478" s="26"/>
      <c r="EM478" s="26"/>
      <c r="EN478" s="26"/>
      <c r="EO478" s="26"/>
      <c r="EP478" s="26"/>
      <c r="EQ478" s="26"/>
      <c r="ER478" s="26"/>
      <c r="ES478" s="26"/>
      <c r="ET478" s="26"/>
      <c r="EU478" s="26"/>
      <c r="EV478" s="26"/>
      <c r="EW478" s="26"/>
      <c r="EX478" s="26"/>
      <c r="EY478" s="26"/>
      <c r="EZ478" s="26"/>
      <c r="FA478" s="60"/>
      <c r="FB478" s="60"/>
      <c r="FC478" s="60"/>
      <c r="FD478" s="60"/>
      <c r="FE478" s="60"/>
      <c r="FF478" s="60"/>
      <c r="FG478" s="60"/>
      <c r="FH478" s="60"/>
      <c r="FI478" s="60"/>
      <c r="FJ478" s="60"/>
      <c r="FK478" s="60"/>
      <c r="FL478" s="60"/>
      <c r="FM478" s="60"/>
      <c r="FN478" s="60"/>
      <c r="FO478" s="60"/>
      <c r="FP478" s="60"/>
      <c r="FQ478" s="60"/>
      <c r="FR478" s="60"/>
      <c r="FS478" s="60"/>
      <c r="FT478" s="60"/>
      <c r="FU478" s="60"/>
      <c r="FV478" s="60"/>
      <c r="FW478" s="60"/>
      <c r="FX478" s="60"/>
    </row>
    <row r="479">
      <c r="A479" s="18"/>
      <c r="B479" s="14"/>
      <c r="C479" s="14"/>
      <c r="D479" s="14"/>
      <c r="E479" s="18"/>
      <c r="F479" s="18"/>
      <c r="G479" s="18"/>
      <c r="H479" s="18"/>
      <c r="I479" s="18"/>
      <c r="J479" s="18"/>
      <c r="K479" s="18"/>
      <c r="L479" s="18"/>
      <c r="M479" s="18"/>
      <c r="N479" s="18"/>
      <c r="O479" s="18"/>
      <c r="P479" s="23"/>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26"/>
      <c r="CU479" s="26"/>
      <c r="CV479" s="26"/>
      <c r="CW479" s="26"/>
      <c r="CX479" s="26"/>
      <c r="CY479" s="26"/>
      <c r="CZ479" s="26"/>
      <c r="DA479" s="26"/>
      <c r="DB479" s="26"/>
      <c r="DC479" s="26"/>
      <c r="DD479" s="26"/>
      <c r="DE479" s="26"/>
      <c r="DF479" s="26"/>
      <c r="DG479" s="26"/>
      <c r="DH479" s="26"/>
      <c r="DI479" s="26"/>
      <c r="DJ479" s="26"/>
      <c r="DK479" s="26"/>
      <c r="DL479" s="26"/>
      <c r="DM479" s="26"/>
      <c r="DN479" s="26"/>
      <c r="DO479" s="26"/>
      <c r="DP479" s="26"/>
      <c r="DQ479" s="26"/>
      <c r="DR479" s="26"/>
      <c r="DS479" s="26"/>
      <c r="DT479" s="26"/>
      <c r="DU479" s="26"/>
      <c r="DV479" s="26"/>
      <c r="DW479" s="26"/>
      <c r="DX479" s="26"/>
      <c r="DY479" s="26"/>
      <c r="DZ479" s="26"/>
      <c r="EA479" s="26"/>
      <c r="EB479" s="26"/>
      <c r="EC479" s="26"/>
      <c r="ED479" s="26"/>
      <c r="EE479" s="26"/>
      <c r="EF479" s="26"/>
      <c r="EG479" s="26"/>
      <c r="EH479" s="26"/>
      <c r="EI479" s="26"/>
      <c r="EJ479" s="26"/>
      <c r="EK479" s="26"/>
      <c r="EL479" s="26"/>
      <c r="EM479" s="26"/>
      <c r="EN479" s="26"/>
      <c r="EO479" s="26"/>
      <c r="EP479" s="26"/>
      <c r="EQ479" s="26"/>
      <c r="ER479" s="26"/>
      <c r="ES479" s="26"/>
      <c r="ET479" s="26"/>
      <c r="EU479" s="26"/>
      <c r="EV479" s="26"/>
      <c r="EW479" s="26"/>
      <c r="EX479" s="26"/>
      <c r="EY479" s="26"/>
      <c r="EZ479" s="26"/>
      <c r="FA479" s="60"/>
      <c r="FB479" s="60"/>
      <c r="FC479" s="60"/>
      <c r="FD479" s="60"/>
      <c r="FE479" s="60"/>
      <c r="FF479" s="60"/>
      <c r="FG479" s="60"/>
      <c r="FH479" s="60"/>
      <c r="FI479" s="60"/>
      <c r="FJ479" s="60"/>
      <c r="FK479" s="60"/>
      <c r="FL479" s="60"/>
      <c r="FM479" s="60"/>
      <c r="FN479" s="60"/>
      <c r="FO479" s="60"/>
      <c r="FP479" s="60"/>
      <c r="FQ479" s="60"/>
      <c r="FR479" s="60"/>
      <c r="FS479" s="60"/>
      <c r="FT479" s="60"/>
      <c r="FU479" s="60"/>
      <c r="FV479" s="60"/>
      <c r="FW479" s="60"/>
      <c r="FX479" s="60"/>
    </row>
    <row r="480">
      <c r="A480" s="18"/>
      <c r="B480" s="14"/>
      <c r="C480" s="14"/>
      <c r="D480" s="14"/>
      <c r="E480" s="18"/>
      <c r="F480" s="18"/>
      <c r="G480" s="18"/>
      <c r="H480" s="18"/>
      <c r="I480" s="18"/>
      <c r="J480" s="18"/>
      <c r="K480" s="18"/>
      <c r="L480" s="18"/>
      <c r="M480" s="18"/>
      <c r="N480" s="18"/>
      <c r="O480" s="18"/>
      <c r="P480" s="23"/>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26"/>
      <c r="CU480" s="26"/>
      <c r="CV480" s="26"/>
      <c r="CW480" s="26"/>
      <c r="CX480" s="26"/>
      <c r="CY480" s="26"/>
      <c r="CZ480" s="26"/>
      <c r="DA480" s="26"/>
      <c r="DB480" s="26"/>
      <c r="DC480" s="26"/>
      <c r="DD480" s="26"/>
      <c r="DE480" s="26"/>
      <c r="DF480" s="26"/>
      <c r="DG480" s="26"/>
      <c r="DH480" s="26"/>
      <c r="DI480" s="26"/>
      <c r="DJ480" s="26"/>
      <c r="DK480" s="26"/>
      <c r="DL480" s="26"/>
      <c r="DM480" s="26"/>
      <c r="DN480" s="26"/>
      <c r="DO480" s="26"/>
      <c r="DP480" s="26"/>
      <c r="DQ480" s="26"/>
      <c r="DR480" s="26"/>
      <c r="DS480" s="26"/>
      <c r="DT480" s="26"/>
      <c r="DU480" s="26"/>
      <c r="DV480" s="26"/>
      <c r="DW480" s="26"/>
      <c r="DX480" s="26"/>
      <c r="DY480" s="26"/>
      <c r="DZ480" s="26"/>
      <c r="EA480" s="26"/>
      <c r="EB480" s="26"/>
      <c r="EC480" s="26"/>
      <c r="ED480" s="26"/>
      <c r="EE480" s="26"/>
      <c r="EF480" s="26"/>
      <c r="EG480" s="26"/>
      <c r="EH480" s="26"/>
      <c r="EI480" s="26"/>
      <c r="EJ480" s="26"/>
      <c r="EK480" s="26"/>
      <c r="EL480" s="26"/>
      <c r="EM480" s="26"/>
      <c r="EN480" s="26"/>
      <c r="EO480" s="26"/>
      <c r="EP480" s="26"/>
      <c r="EQ480" s="26"/>
      <c r="ER480" s="26"/>
      <c r="ES480" s="26"/>
      <c r="ET480" s="26"/>
      <c r="EU480" s="26"/>
      <c r="EV480" s="26"/>
      <c r="EW480" s="26"/>
      <c r="EX480" s="26"/>
      <c r="EY480" s="26"/>
      <c r="EZ480" s="26"/>
      <c r="FA480" s="60"/>
      <c r="FB480" s="60"/>
      <c r="FC480" s="60"/>
      <c r="FD480" s="60"/>
      <c r="FE480" s="60"/>
      <c r="FF480" s="60"/>
      <c r="FG480" s="60"/>
      <c r="FH480" s="60"/>
      <c r="FI480" s="60"/>
      <c r="FJ480" s="60"/>
      <c r="FK480" s="60"/>
      <c r="FL480" s="60"/>
      <c r="FM480" s="60"/>
      <c r="FN480" s="60"/>
      <c r="FO480" s="60"/>
      <c r="FP480" s="60"/>
      <c r="FQ480" s="60"/>
      <c r="FR480" s="60"/>
      <c r="FS480" s="60"/>
      <c r="FT480" s="60"/>
      <c r="FU480" s="60"/>
      <c r="FV480" s="60"/>
      <c r="FW480" s="60"/>
      <c r="FX480" s="60"/>
    </row>
    <row r="481">
      <c r="A481" s="18"/>
      <c r="B481" s="14"/>
      <c r="C481" s="14"/>
      <c r="D481" s="14"/>
      <c r="E481" s="18"/>
      <c r="F481" s="18"/>
      <c r="G481" s="18"/>
      <c r="H481" s="18"/>
      <c r="I481" s="18"/>
      <c r="J481" s="18"/>
      <c r="K481" s="18"/>
      <c r="L481" s="18"/>
      <c r="M481" s="18"/>
      <c r="N481" s="18"/>
      <c r="O481" s="18"/>
      <c r="P481" s="23"/>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26"/>
      <c r="CU481" s="26"/>
      <c r="CV481" s="26"/>
      <c r="CW481" s="26"/>
      <c r="CX481" s="26"/>
      <c r="CY481" s="26"/>
      <c r="CZ481" s="26"/>
      <c r="DA481" s="26"/>
      <c r="DB481" s="26"/>
      <c r="DC481" s="26"/>
      <c r="DD481" s="26"/>
      <c r="DE481" s="26"/>
      <c r="DF481" s="26"/>
      <c r="DG481" s="26"/>
      <c r="DH481" s="26"/>
      <c r="DI481" s="26"/>
      <c r="DJ481" s="26"/>
      <c r="DK481" s="26"/>
      <c r="DL481" s="26"/>
      <c r="DM481" s="26"/>
      <c r="DN481" s="26"/>
      <c r="DO481" s="26"/>
      <c r="DP481" s="26"/>
      <c r="DQ481" s="26"/>
      <c r="DR481" s="26"/>
      <c r="DS481" s="26"/>
      <c r="DT481" s="26"/>
      <c r="DU481" s="26"/>
      <c r="DV481" s="26"/>
      <c r="DW481" s="26"/>
      <c r="DX481" s="26"/>
      <c r="DY481" s="26"/>
      <c r="DZ481" s="26"/>
      <c r="EA481" s="26"/>
      <c r="EB481" s="26"/>
      <c r="EC481" s="26"/>
      <c r="ED481" s="26"/>
      <c r="EE481" s="26"/>
      <c r="EF481" s="26"/>
      <c r="EG481" s="26"/>
      <c r="EH481" s="26"/>
      <c r="EI481" s="26"/>
      <c r="EJ481" s="26"/>
      <c r="EK481" s="26"/>
      <c r="EL481" s="26"/>
      <c r="EM481" s="26"/>
      <c r="EN481" s="26"/>
      <c r="EO481" s="26"/>
      <c r="EP481" s="26"/>
      <c r="EQ481" s="26"/>
      <c r="ER481" s="26"/>
      <c r="ES481" s="26"/>
      <c r="ET481" s="26"/>
      <c r="EU481" s="26"/>
      <c r="EV481" s="26"/>
      <c r="EW481" s="26"/>
      <c r="EX481" s="26"/>
      <c r="EY481" s="26"/>
      <c r="EZ481" s="26"/>
      <c r="FA481" s="60"/>
      <c r="FB481" s="60"/>
      <c r="FC481" s="60"/>
      <c r="FD481" s="60"/>
      <c r="FE481" s="60"/>
      <c r="FF481" s="60"/>
      <c r="FG481" s="60"/>
      <c r="FH481" s="60"/>
      <c r="FI481" s="60"/>
      <c r="FJ481" s="60"/>
      <c r="FK481" s="60"/>
      <c r="FL481" s="60"/>
      <c r="FM481" s="60"/>
      <c r="FN481" s="60"/>
      <c r="FO481" s="60"/>
      <c r="FP481" s="60"/>
      <c r="FQ481" s="60"/>
      <c r="FR481" s="60"/>
      <c r="FS481" s="60"/>
      <c r="FT481" s="60"/>
      <c r="FU481" s="60"/>
      <c r="FV481" s="60"/>
      <c r="FW481" s="60"/>
      <c r="FX481" s="60"/>
    </row>
    <row r="482">
      <c r="A482" s="18"/>
      <c r="B482" s="14"/>
      <c r="C482" s="14"/>
      <c r="D482" s="14"/>
      <c r="E482" s="18"/>
      <c r="F482" s="18"/>
      <c r="G482" s="18"/>
      <c r="H482" s="18"/>
      <c r="I482" s="18"/>
      <c r="J482" s="18"/>
      <c r="K482" s="18"/>
      <c r="L482" s="18"/>
      <c r="M482" s="18"/>
      <c r="N482" s="18"/>
      <c r="O482" s="18"/>
      <c r="P482" s="23"/>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26"/>
      <c r="CU482" s="26"/>
      <c r="CV482" s="26"/>
      <c r="CW482" s="26"/>
      <c r="CX482" s="26"/>
      <c r="CY482" s="26"/>
      <c r="CZ482" s="26"/>
      <c r="DA482" s="26"/>
      <c r="DB482" s="26"/>
      <c r="DC482" s="26"/>
      <c r="DD482" s="26"/>
      <c r="DE482" s="26"/>
      <c r="DF482" s="26"/>
      <c r="DG482" s="26"/>
      <c r="DH482" s="26"/>
      <c r="DI482" s="26"/>
      <c r="DJ482" s="26"/>
      <c r="DK482" s="26"/>
      <c r="DL482" s="26"/>
      <c r="DM482" s="26"/>
      <c r="DN482" s="26"/>
      <c r="DO482" s="26"/>
      <c r="DP482" s="26"/>
      <c r="DQ482" s="26"/>
      <c r="DR482" s="26"/>
      <c r="DS482" s="26"/>
      <c r="DT482" s="26"/>
      <c r="DU482" s="26"/>
      <c r="DV482" s="26"/>
      <c r="DW482" s="26"/>
      <c r="DX482" s="26"/>
      <c r="DY482" s="26"/>
      <c r="DZ482" s="26"/>
      <c r="EA482" s="26"/>
      <c r="EB482" s="26"/>
      <c r="EC482" s="26"/>
      <c r="ED482" s="26"/>
      <c r="EE482" s="26"/>
      <c r="EF482" s="26"/>
      <c r="EG482" s="26"/>
      <c r="EH482" s="26"/>
      <c r="EI482" s="26"/>
      <c r="EJ482" s="26"/>
      <c r="EK482" s="26"/>
      <c r="EL482" s="26"/>
      <c r="EM482" s="26"/>
      <c r="EN482" s="26"/>
      <c r="EO482" s="26"/>
      <c r="EP482" s="26"/>
      <c r="EQ482" s="26"/>
      <c r="ER482" s="26"/>
      <c r="ES482" s="26"/>
      <c r="ET482" s="26"/>
      <c r="EU482" s="26"/>
      <c r="EV482" s="26"/>
      <c r="EW482" s="26"/>
      <c r="EX482" s="26"/>
      <c r="EY482" s="26"/>
      <c r="EZ482" s="26"/>
      <c r="FA482" s="60"/>
      <c r="FB482" s="60"/>
      <c r="FC482" s="60"/>
      <c r="FD482" s="60"/>
      <c r="FE482" s="60"/>
      <c r="FF482" s="60"/>
      <c r="FG482" s="60"/>
      <c r="FH482" s="60"/>
      <c r="FI482" s="60"/>
      <c r="FJ482" s="60"/>
      <c r="FK482" s="60"/>
      <c r="FL482" s="60"/>
      <c r="FM482" s="60"/>
      <c r="FN482" s="60"/>
      <c r="FO482" s="60"/>
      <c r="FP482" s="60"/>
      <c r="FQ482" s="60"/>
      <c r="FR482" s="60"/>
      <c r="FS482" s="60"/>
      <c r="FT482" s="60"/>
      <c r="FU482" s="60"/>
      <c r="FV482" s="60"/>
      <c r="FW482" s="60"/>
      <c r="FX482" s="60"/>
    </row>
    <row r="483">
      <c r="A483" s="18"/>
      <c r="B483" s="14"/>
      <c r="C483" s="14"/>
      <c r="D483" s="14"/>
      <c r="E483" s="18"/>
      <c r="F483" s="18"/>
      <c r="G483" s="18"/>
      <c r="H483" s="18"/>
      <c r="I483" s="18"/>
      <c r="J483" s="18"/>
      <c r="K483" s="18"/>
      <c r="L483" s="18"/>
      <c r="M483" s="18"/>
      <c r="N483" s="18"/>
      <c r="O483" s="18"/>
      <c r="P483" s="23"/>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26"/>
      <c r="CU483" s="26"/>
      <c r="CV483" s="26"/>
      <c r="CW483" s="26"/>
      <c r="CX483" s="26"/>
      <c r="CY483" s="26"/>
      <c r="CZ483" s="26"/>
      <c r="DA483" s="26"/>
      <c r="DB483" s="26"/>
      <c r="DC483" s="26"/>
      <c r="DD483" s="26"/>
      <c r="DE483" s="26"/>
      <c r="DF483" s="26"/>
      <c r="DG483" s="26"/>
      <c r="DH483" s="26"/>
      <c r="DI483" s="26"/>
      <c r="DJ483" s="26"/>
      <c r="DK483" s="26"/>
      <c r="DL483" s="26"/>
      <c r="DM483" s="26"/>
      <c r="DN483" s="26"/>
      <c r="DO483" s="26"/>
      <c r="DP483" s="26"/>
      <c r="DQ483" s="26"/>
      <c r="DR483" s="26"/>
      <c r="DS483" s="26"/>
      <c r="DT483" s="26"/>
      <c r="DU483" s="26"/>
      <c r="DV483" s="26"/>
      <c r="DW483" s="26"/>
      <c r="DX483" s="26"/>
      <c r="DY483" s="26"/>
      <c r="DZ483" s="26"/>
      <c r="EA483" s="26"/>
      <c r="EB483" s="26"/>
      <c r="EC483" s="26"/>
      <c r="ED483" s="26"/>
      <c r="EE483" s="26"/>
      <c r="EF483" s="26"/>
      <c r="EG483" s="26"/>
      <c r="EH483" s="26"/>
      <c r="EI483" s="26"/>
      <c r="EJ483" s="26"/>
      <c r="EK483" s="26"/>
      <c r="EL483" s="26"/>
      <c r="EM483" s="26"/>
      <c r="EN483" s="26"/>
      <c r="EO483" s="26"/>
      <c r="EP483" s="26"/>
      <c r="EQ483" s="26"/>
      <c r="ER483" s="26"/>
      <c r="ES483" s="26"/>
      <c r="ET483" s="26"/>
      <c r="EU483" s="26"/>
      <c r="EV483" s="26"/>
      <c r="EW483" s="26"/>
      <c r="EX483" s="26"/>
      <c r="EY483" s="26"/>
      <c r="EZ483" s="26"/>
      <c r="FA483" s="60"/>
      <c r="FB483" s="60"/>
      <c r="FC483" s="60"/>
      <c r="FD483" s="60"/>
      <c r="FE483" s="60"/>
      <c r="FF483" s="60"/>
      <c r="FG483" s="60"/>
      <c r="FH483" s="60"/>
      <c r="FI483" s="60"/>
      <c r="FJ483" s="60"/>
      <c r="FK483" s="60"/>
      <c r="FL483" s="60"/>
      <c r="FM483" s="60"/>
      <c r="FN483" s="60"/>
      <c r="FO483" s="60"/>
      <c r="FP483" s="60"/>
      <c r="FQ483" s="60"/>
      <c r="FR483" s="60"/>
      <c r="FS483" s="60"/>
      <c r="FT483" s="60"/>
      <c r="FU483" s="60"/>
      <c r="FV483" s="60"/>
      <c r="FW483" s="60"/>
      <c r="FX483" s="60"/>
    </row>
    <row r="484">
      <c r="A484" s="18"/>
      <c r="B484" s="14"/>
      <c r="C484" s="14"/>
      <c r="D484" s="14"/>
      <c r="E484" s="18"/>
      <c r="F484" s="18"/>
      <c r="G484" s="18"/>
      <c r="H484" s="18"/>
      <c r="I484" s="18"/>
      <c r="J484" s="18"/>
      <c r="K484" s="18"/>
      <c r="L484" s="18"/>
      <c r="M484" s="18"/>
      <c r="N484" s="18"/>
      <c r="O484" s="18"/>
      <c r="P484" s="23"/>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26"/>
      <c r="CU484" s="26"/>
      <c r="CV484" s="26"/>
      <c r="CW484" s="26"/>
      <c r="CX484" s="26"/>
      <c r="CY484" s="26"/>
      <c r="CZ484" s="26"/>
      <c r="DA484" s="26"/>
      <c r="DB484" s="26"/>
      <c r="DC484" s="26"/>
      <c r="DD484" s="26"/>
      <c r="DE484" s="26"/>
      <c r="DF484" s="26"/>
      <c r="DG484" s="26"/>
      <c r="DH484" s="26"/>
      <c r="DI484" s="26"/>
      <c r="DJ484" s="26"/>
      <c r="DK484" s="26"/>
      <c r="DL484" s="26"/>
      <c r="DM484" s="26"/>
      <c r="DN484" s="26"/>
      <c r="DO484" s="26"/>
      <c r="DP484" s="26"/>
      <c r="DQ484" s="26"/>
      <c r="DR484" s="26"/>
      <c r="DS484" s="26"/>
      <c r="DT484" s="26"/>
      <c r="DU484" s="26"/>
      <c r="DV484" s="26"/>
      <c r="DW484" s="26"/>
      <c r="DX484" s="26"/>
      <c r="DY484" s="26"/>
      <c r="DZ484" s="26"/>
      <c r="EA484" s="26"/>
      <c r="EB484" s="26"/>
      <c r="EC484" s="26"/>
      <c r="ED484" s="26"/>
      <c r="EE484" s="26"/>
      <c r="EF484" s="26"/>
      <c r="EG484" s="26"/>
      <c r="EH484" s="26"/>
      <c r="EI484" s="26"/>
      <c r="EJ484" s="26"/>
      <c r="EK484" s="26"/>
      <c r="EL484" s="26"/>
      <c r="EM484" s="26"/>
      <c r="EN484" s="26"/>
      <c r="EO484" s="26"/>
      <c r="EP484" s="26"/>
      <c r="EQ484" s="26"/>
      <c r="ER484" s="26"/>
      <c r="ES484" s="26"/>
      <c r="ET484" s="26"/>
      <c r="EU484" s="26"/>
      <c r="EV484" s="26"/>
      <c r="EW484" s="26"/>
      <c r="EX484" s="26"/>
      <c r="EY484" s="26"/>
      <c r="EZ484" s="26"/>
      <c r="FA484" s="60"/>
      <c r="FB484" s="60"/>
      <c r="FC484" s="60"/>
      <c r="FD484" s="60"/>
      <c r="FE484" s="60"/>
      <c r="FF484" s="60"/>
      <c r="FG484" s="60"/>
      <c r="FH484" s="60"/>
      <c r="FI484" s="60"/>
      <c r="FJ484" s="60"/>
      <c r="FK484" s="60"/>
      <c r="FL484" s="60"/>
      <c r="FM484" s="60"/>
      <c r="FN484" s="60"/>
      <c r="FO484" s="60"/>
      <c r="FP484" s="60"/>
      <c r="FQ484" s="60"/>
      <c r="FR484" s="60"/>
      <c r="FS484" s="60"/>
      <c r="FT484" s="60"/>
      <c r="FU484" s="60"/>
      <c r="FV484" s="60"/>
      <c r="FW484" s="60"/>
      <c r="FX484" s="60"/>
    </row>
    <row r="485">
      <c r="A485" s="18"/>
      <c r="B485" s="14"/>
      <c r="C485" s="14"/>
      <c r="D485" s="14"/>
      <c r="E485" s="18"/>
      <c r="F485" s="18"/>
      <c r="G485" s="18"/>
      <c r="H485" s="18"/>
      <c r="I485" s="18"/>
      <c r="J485" s="18"/>
      <c r="K485" s="18"/>
      <c r="L485" s="18"/>
      <c r="M485" s="18"/>
      <c r="N485" s="18"/>
      <c r="O485" s="18"/>
      <c r="P485" s="23"/>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26"/>
      <c r="CU485" s="26"/>
      <c r="CV485" s="26"/>
      <c r="CW485" s="26"/>
      <c r="CX485" s="26"/>
      <c r="CY485" s="26"/>
      <c r="CZ485" s="26"/>
      <c r="DA485" s="26"/>
      <c r="DB485" s="26"/>
      <c r="DC485" s="26"/>
      <c r="DD485" s="26"/>
      <c r="DE485" s="26"/>
      <c r="DF485" s="26"/>
      <c r="DG485" s="26"/>
      <c r="DH485" s="26"/>
      <c r="DI485" s="26"/>
      <c r="DJ485" s="26"/>
      <c r="DK485" s="26"/>
      <c r="DL485" s="26"/>
      <c r="DM485" s="26"/>
      <c r="DN485" s="26"/>
      <c r="DO485" s="26"/>
      <c r="DP485" s="26"/>
      <c r="DQ485" s="26"/>
      <c r="DR485" s="26"/>
      <c r="DS485" s="26"/>
      <c r="DT485" s="26"/>
      <c r="DU485" s="26"/>
      <c r="DV485" s="26"/>
      <c r="DW485" s="26"/>
      <c r="DX485" s="26"/>
      <c r="DY485" s="26"/>
      <c r="DZ485" s="26"/>
      <c r="EA485" s="26"/>
      <c r="EB485" s="26"/>
      <c r="EC485" s="26"/>
      <c r="ED485" s="26"/>
      <c r="EE485" s="26"/>
      <c r="EF485" s="26"/>
      <c r="EG485" s="26"/>
      <c r="EH485" s="26"/>
      <c r="EI485" s="26"/>
      <c r="EJ485" s="26"/>
      <c r="EK485" s="26"/>
      <c r="EL485" s="26"/>
      <c r="EM485" s="26"/>
      <c r="EN485" s="26"/>
      <c r="EO485" s="26"/>
      <c r="EP485" s="26"/>
      <c r="EQ485" s="26"/>
      <c r="ER485" s="26"/>
      <c r="ES485" s="26"/>
      <c r="ET485" s="26"/>
      <c r="EU485" s="26"/>
      <c r="EV485" s="26"/>
      <c r="EW485" s="26"/>
      <c r="EX485" s="26"/>
      <c r="EY485" s="26"/>
      <c r="EZ485" s="26"/>
      <c r="FA485" s="60"/>
      <c r="FB485" s="60"/>
      <c r="FC485" s="60"/>
      <c r="FD485" s="60"/>
      <c r="FE485" s="60"/>
      <c r="FF485" s="60"/>
      <c r="FG485" s="60"/>
      <c r="FH485" s="60"/>
      <c r="FI485" s="60"/>
      <c r="FJ485" s="60"/>
      <c r="FK485" s="60"/>
      <c r="FL485" s="60"/>
      <c r="FM485" s="60"/>
      <c r="FN485" s="60"/>
      <c r="FO485" s="60"/>
      <c r="FP485" s="60"/>
      <c r="FQ485" s="60"/>
      <c r="FR485" s="60"/>
      <c r="FS485" s="60"/>
      <c r="FT485" s="60"/>
      <c r="FU485" s="60"/>
      <c r="FV485" s="60"/>
      <c r="FW485" s="60"/>
      <c r="FX485" s="60"/>
    </row>
    <row r="486">
      <c r="A486" s="18"/>
      <c r="B486" s="14"/>
      <c r="C486" s="14"/>
      <c r="D486" s="14"/>
      <c r="E486" s="18"/>
      <c r="F486" s="18"/>
      <c r="G486" s="18"/>
      <c r="H486" s="18"/>
      <c r="I486" s="18"/>
      <c r="J486" s="18"/>
      <c r="K486" s="18"/>
      <c r="L486" s="18"/>
      <c r="M486" s="18"/>
      <c r="N486" s="18"/>
      <c r="O486" s="18"/>
      <c r="P486" s="23"/>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26"/>
      <c r="CU486" s="26"/>
      <c r="CV486" s="26"/>
      <c r="CW486" s="26"/>
      <c r="CX486" s="26"/>
      <c r="CY486" s="26"/>
      <c r="CZ486" s="26"/>
      <c r="DA486" s="26"/>
      <c r="DB486" s="26"/>
      <c r="DC486" s="26"/>
      <c r="DD486" s="26"/>
      <c r="DE486" s="26"/>
      <c r="DF486" s="26"/>
      <c r="DG486" s="26"/>
      <c r="DH486" s="26"/>
      <c r="DI486" s="26"/>
      <c r="DJ486" s="26"/>
      <c r="DK486" s="26"/>
      <c r="DL486" s="26"/>
      <c r="DM486" s="26"/>
      <c r="DN486" s="26"/>
      <c r="DO486" s="26"/>
      <c r="DP486" s="26"/>
      <c r="DQ486" s="26"/>
      <c r="DR486" s="26"/>
      <c r="DS486" s="26"/>
      <c r="DT486" s="26"/>
      <c r="DU486" s="26"/>
      <c r="DV486" s="26"/>
      <c r="DW486" s="26"/>
      <c r="DX486" s="26"/>
      <c r="DY486" s="26"/>
      <c r="DZ486" s="26"/>
      <c r="EA486" s="26"/>
      <c r="EB486" s="26"/>
      <c r="EC486" s="26"/>
      <c r="ED486" s="26"/>
      <c r="EE486" s="26"/>
      <c r="EF486" s="26"/>
      <c r="EG486" s="26"/>
      <c r="EH486" s="26"/>
      <c r="EI486" s="26"/>
      <c r="EJ486" s="26"/>
      <c r="EK486" s="26"/>
      <c r="EL486" s="26"/>
      <c r="EM486" s="26"/>
      <c r="EN486" s="26"/>
      <c r="EO486" s="26"/>
      <c r="EP486" s="26"/>
      <c r="EQ486" s="26"/>
      <c r="ER486" s="26"/>
      <c r="ES486" s="26"/>
      <c r="ET486" s="26"/>
      <c r="EU486" s="26"/>
      <c r="EV486" s="26"/>
      <c r="EW486" s="26"/>
      <c r="EX486" s="26"/>
      <c r="EY486" s="26"/>
      <c r="EZ486" s="26"/>
      <c r="FA486" s="60"/>
      <c r="FB486" s="60"/>
      <c r="FC486" s="60"/>
      <c r="FD486" s="60"/>
      <c r="FE486" s="60"/>
      <c r="FF486" s="60"/>
      <c r="FG486" s="60"/>
      <c r="FH486" s="60"/>
      <c r="FI486" s="60"/>
      <c r="FJ486" s="60"/>
      <c r="FK486" s="60"/>
      <c r="FL486" s="60"/>
      <c r="FM486" s="60"/>
      <c r="FN486" s="60"/>
      <c r="FO486" s="60"/>
      <c r="FP486" s="60"/>
      <c r="FQ486" s="60"/>
      <c r="FR486" s="60"/>
      <c r="FS486" s="60"/>
      <c r="FT486" s="60"/>
      <c r="FU486" s="60"/>
      <c r="FV486" s="60"/>
      <c r="FW486" s="60"/>
      <c r="FX486" s="60"/>
    </row>
    <row r="487">
      <c r="A487" s="18"/>
      <c r="B487" s="14"/>
      <c r="C487" s="14"/>
      <c r="D487" s="14"/>
      <c r="E487" s="18"/>
      <c r="F487" s="18"/>
      <c r="G487" s="18"/>
      <c r="H487" s="18"/>
      <c r="I487" s="18"/>
      <c r="J487" s="18"/>
      <c r="K487" s="18"/>
      <c r="L487" s="18"/>
      <c r="M487" s="18"/>
      <c r="N487" s="18"/>
      <c r="O487" s="18"/>
      <c r="P487" s="23"/>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26"/>
      <c r="CU487" s="26"/>
      <c r="CV487" s="26"/>
      <c r="CW487" s="26"/>
      <c r="CX487" s="26"/>
      <c r="CY487" s="26"/>
      <c r="CZ487" s="26"/>
      <c r="DA487" s="26"/>
      <c r="DB487" s="26"/>
      <c r="DC487" s="26"/>
      <c r="DD487" s="26"/>
      <c r="DE487" s="26"/>
      <c r="DF487" s="26"/>
      <c r="DG487" s="26"/>
      <c r="DH487" s="26"/>
      <c r="DI487" s="26"/>
      <c r="DJ487" s="26"/>
      <c r="DK487" s="26"/>
      <c r="DL487" s="26"/>
      <c r="DM487" s="26"/>
      <c r="DN487" s="26"/>
      <c r="DO487" s="26"/>
      <c r="DP487" s="26"/>
      <c r="DQ487" s="26"/>
      <c r="DR487" s="26"/>
      <c r="DS487" s="26"/>
      <c r="DT487" s="26"/>
      <c r="DU487" s="26"/>
      <c r="DV487" s="26"/>
      <c r="DW487" s="26"/>
      <c r="DX487" s="26"/>
      <c r="DY487" s="26"/>
      <c r="DZ487" s="26"/>
      <c r="EA487" s="26"/>
      <c r="EB487" s="26"/>
      <c r="EC487" s="26"/>
      <c r="ED487" s="26"/>
      <c r="EE487" s="26"/>
      <c r="EF487" s="26"/>
      <c r="EG487" s="26"/>
      <c r="EH487" s="26"/>
      <c r="EI487" s="26"/>
      <c r="EJ487" s="26"/>
      <c r="EK487" s="26"/>
      <c r="EL487" s="26"/>
      <c r="EM487" s="26"/>
      <c r="EN487" s="26"/>
      <c r="EO487" s="26"/>
      <c r="EP487" s="26"/>
      <c r="EQ487" s="26"/>
      <c r="ER487" s="26"/>
      <c r="ES487" s="26"/>
      <c r="ET487" s="26"/>
      <c r="EU487" s="26"/>
      <c r="EV487" s="26"/>
      <c r="EW487" s="26"/>
      <c r="EX487" s="26"/>
      <c r="EY487" s="26"/>
      <c r="EZ487" s="26"/>
      <c r="FA487" s="60"/>
      <c r="FB487" s="60"/>
      <c r="FC487" s="60"/>
      <c r="FD487" s="60"/>
      <c r="FE487" s="60"/>
      <c r="FF487" s="60"/>
      <c r="FG487" s="60"/>
      <c r="FH487" s="60"/>
      <c r="FI487" s="60"/>
      <c r="FJ487" s="60"/>
      <c r="FK487" s="60"/>
      <c r="FL487" s="60"/>
      <c r="FM487" s="60"/>
      <c r="FN487" s="60"/>
      <c r="FO487" s="60"/>
      <c r="FP487" s="60"/>
      <c r="FQ487" s="60"/>
      <c r="FR487" s="60"/>
      <c r="FS487" s="60"/>
      <c r="FT487" s="60"/>
      <c r="FU487" s="60"/>
      <c r="FV487" s="60"/>
      <c r="FW487" s="60"/>
      <c r="FX487" s="60"/>
    </row>
    <row r="488">
      <c r="A488" s="18"/>
      <c r="B488" s="14"/>
      <c r="C488" s="14"/>
      <c r="D488" s="14"/>
      <c r="E488" s="18"/>
      <c r="F488" s="18"/>
      <c r="G488" s="18"/>
      <c r="H488" s="18"/>
      <c r="I488" s="18"/>
      <c r="J488" s="18"/>
      <c r="K488" s="18"/>
      <c r="L488" s="18"/>
      <c r="M488" s="18"/>
      <c r="N488" s="18"/>
      <c r="O488" s="18"/>
      <c r="P488" s="23"/>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26"/>
      <c r="CU488" s="26"/>
      <c r="CV488" s="26"/>
      <c r="CW488" s="26"/>
      <c r="CX488" s="26"/>
      <c r="CY488" s="26"/>
      <c r="CZ488" s="26"/>
      <c r="DA488" s="26"/>
      <c r="DB488" s="26"/>
      <c r="DC488" s="26"/>
      <c r="DD488" s="26"/>
      <c r="DE488" s="26"/>
      <c r="DF488" s="26"/>
      <c r="DG488" s="26"/>
      <c r="DH488" s="26"/>
      <c r="DI488" s="26"/>
      <c r="DJ488" s="26"/>
      <c r="DK488" s="26"/>
      <c r="DL488" s="26"/>
      <c r="DM488" s="26"/>
      <c r="DN488" s="26"/>
      <c r="DO488" s="26"/>
      <c r="DP488" s="26"/>
      <c r="DQ488" s="26"/>
      <c r="DR488" s="26"/>
      <c r="DS488" s="26"/>
      <c r="DT488" s="26"/>
      <c r="DU488" s="26"/>
      <c r="DV488" s="26"/>
      <c r="DW488" s="26"/>
      <c r="DX488" s="26"/>
      <c r="DY488" s="26"/>
      <c r="DZ488" s="26"/>
      <c r="EA488" s="26"/>
      <c r="EB488" s="26"/>
      <c r="EC488" s="26"/>
      <c r="ED488" s="26"/>
      <c r="EE488" s="26"/>
      <c r="EF488" s="26"/>
      <c r="EG488" s="26"/>
      <c r="EH488" s="26"/>
      <c r="EI488" s="26"/>
      <c r="EJ488" s="26"/>
      <c r="EK488" s="26"/>
      <c r="EL488" s="26"/>
      <c r="EM488" s="26"/>
      <c r="EN488" s="26"/>
      <c r="EO488" s="26"/>
      <c r="EP488" s="26"/>
      <c r="EQ488" s="26"/>
      <c r="ER488" s="26"/>
      <c r="ES488" s="26"/>
      <c r="ET488" s="26"/>
      <c r="EU488" s="26"/>
      <c r="EV488" s="26"/>
      <c r="EW488" s="26"/>
      <c r="EX488" s="26"/>
      <c r="EY488" s="26"/>
      <c r="EZ488" s="26"/>
      <c r="FA488" s="60"/>
      <c r="FB488" s="60"/>
      <c r="FC488" s="60"/>
      <c r="FD488" s="60"/>
      <c r="FE488" s="60"/>
      <c r="FF488" s="60"/>
      <c r="FG488" s="60"/>
      <c r="FH488" s="60"/>
      <c r="FI488" s="60"/>
      <c r="FJ488" s="60"/>
      <c r="FK488" s="60"/>
      <c r="FL488" s="60"/>
      <c r="FM488" s="60"/>
      <c r="FN488" s="60"/>
      <c r="FO488" s="60"/>
      <c r="FP488" s="60"/>
      <c r="FQ488" s="60"/>
      <c r="FR488" s="60"/>
      <c r="FS488" s="60"/>
      <c r="FT488" s="60"/>
      <c r="FU488" s="60"/>
      <c r="FV488" s="60"/>
      <c r="FW488" s="60"/>
      <c r="FX488" s="60"/>
    </row>
    <row r="489">
      <c r="A489" s="18"/>
      <c r="B489" s="14"/>
      <c r="C489" s="14"/>
      <c r="D489" s="14"/>
      <c r="E489" s="18"/>
      <c r="F489" s="18"/>
      <c r="G489" s="18"/>
      <c r="H489" s="18"/>
      <c r="I489" s="18"/>
      <c r="J489" s="18"/>
      <c r="K489" s="18"/>
      <c r="L489" s="18"/>
      <c r="M489" s="18"/>
      <c r="N489" s="18"/>
      <c r="O489" s="18"/>
      <c r="P489" s="23"/>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26"/>
      <c r="CU489" s="26"/>
      <c r="CV489" s="26"/>
      <c r="CW489" s="26"/>
      <c r="CX489" s="26"/>
      <c r="CY489" s="26"/>
      <c r="CZ489" s="26"/>
      <c r="DA489" s="26"/>
      <c r="DB489" s="26"/>
      <c r="DC489" s="26"/>
      <c r="DD489" s="26"/>
      <c r="DE489" s="26"/>
      <c r="DF489" s="26"/>
      <c r="DG489" s="26"/>
      <c r="DH489" s="26"/>
      <c r="DI489" s="26"/>
      <c r="DJ489" s="26"/>
      <c r="DK489" s="26"/>
      <c r="DL489" s="26"/>
      <c r="DM489" s="26"/>
      <c r="DN489" s="26"/>
      <c r="DO489" s="26"/>
      <c r="DP489" s="26"/>
      <c r="DQ489" s="26"/>
      <c r="DR489" s="26"/>
      <c r="DS489" s="26"/>
      <c r="DT489" s="26"/>
      <c r="DU489" s="26"/>
      <c r="DV489" s="26"/>
      <c r="DW489" s="26"/>
      <c r="DX489" s="26"/>
      <c r="DY489" s="26"/>
      <c r="DZ489" s="26"/>
      <c r="EA489" s="26"/>
      <c r="EB489" s="26"/>
      <c r="EC489" s="26"/>
      <c r="ED489" s="26"/>
      <c r="EE489" s="26"/>
      <c r="EF489" s="26"/>
      <c r="EG489" s="26"/>
      <c r="EH489" s="26"/>
      <c r="EI489" s="26"/>
      <c r="EJ489" s="26"/>
      <c r="EK489" s="26"/>
      <c r="EL489" s="26"/>
      <c r="EM489" s="26"/>
      <c r="EN489" s="26"/>
      <c r="EO489" s="26"/>
      <c r="EP489" s="26"/>
      <c r="EQ489" s="26"/>
      <c r="ER489" s="26"/>
      <c r="ES489" s="26"/>
      <c r="ET489" s="26"/>
      <c r="EU489" s="26"/>
      <c r="EV489" s="26"/>
      <c r="EW489" s="26"/>
      <c r="EX489" s="26"/>
      <c r="EY489" s="26"/>
      <c r="EZ489" s="26"/>
      <c r="FA489" s="60"/>
      <c r="FB489" s="60"/>
      <c r="FC489" s="60"/>
      <c r="FD489" s="60"/>
      <c r="FE489" s="60"/>
      <c r="FF489" s="60"/>
      <c r="FG489" s="60"/>
      <c r="FH489" s="60"/>
      <c r="FI489" s="60"/>
      <c r="FJ489" s="60"/>
      <c r="FK489" s="60"/>
      <c r="FL489" s="60"/>
      <c r="FM489" s="60"/>
      <c r="FN489" s="60"/>
      <c r="FO489" s="60"/>
      <c r="FP489" s="60"/>
      <c r="FQ489" s="60"/>
      <c r="FR489" s="60"/>
      <c r="FS489" s="60"/>
      <c r="FT489" s="60"/>
      <c r="FU489" s="60"/>
      <c r="FV489" s="60"/>
      <c r="FW489" s="60"/>
      <c r="FX489" s="60"/>
    </row>
    <row r="490">
      <c r="A490" s="18"/>
      <c r="B490" s="14"/>
      <c r="C490" s="14"/>
      <c r="D490" s="14"/>
      <c r="E490" s="18"/>
      <c r="F490" s="18"/>
      <c r="G490" s="18"/>
      <c r="H490" s="18"/>
      <c r="I490" s="18"/>
      <c r="J490" s="18"/>
      <c r="K490" s="18"/>
      <c r="L490" s="18"/>
      <c r="M490" s="18"/>
      <c r="N490" s="18"/>
      <c r="O490" s="18"/>
      <c r="P490" s="23"/>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26"/>
      <c r="CU490" s="26"/>
      <c r="CV490" s="26"/>
      <c r="CW490" s="26"/>
      <c r="CX490" s="26"/>
      <c r="CY490" s="26"/>
      <c r="CZ490" s="26"/>
      <c r="DA490" s="26"/>
      <c r="DB490" s="26"/>
      <c r="DC490" s="26"/>
      <c r="DD490" s="26"/>
      <c r="DE490" s="26"/>
      <c r="DF490" s="26"/>
      <c r="DG490" s="26"/>
      <c r="DH490" s="26"/>
      <c r="DI490" s="26"/>
      <c r="DJ490" s="26"/>
      <c r="DK490" s="26"/>
      <c r="DL490" s="26"/>
      <c r="DM490" s="26"/>
      <c r="DN490" s="26"/>
      <c r="DO490" s="26"/>
      <c r="DP490" s="26"/>
      <c r="DQ490" s="26"/>
      <c r="DR490" s="26"/>
      <c r="DS490" s="26"/>
      <c r="DT490" s="26"/>
      <c r="DU490" s="26"/>
      <c r="DV490" s="26"/>
      <c r="DW490" s="26"/>
      <c r="DX490" s="26"/>
      <c r="DY490" s="26"/>
      <c r="DZ490" s="26"/>
      <c r="EA490" s="26"/>
      <c r="EB490" s="26"/>
      <c r="EC490" s="26"/>
      <c r="ED490" s="26"/>
      <c r="EE490" s="26"/>
      <c r="EF490" s="26"/>
      <c r="EG490" s="26"/>
      <c r="EH490" s="26"/>
      <c r="EI490" s="26"/>
      <c r="EJ490" s="26"/>
      <c r="EK490" s="26"/>
      <c r="EL490" s="26"/>
      <c r="EM490" s="26"/>
      <c r="EN490" s="26"/>
      <c r="EO490" s="26"/>
      <c r="EP490" s="26"/>
      <c r="EQ490" s="26"/>
      <c r="ER490" s="26"/>
      <c r="ES490" s="26"/>
      <c r="ET490" s="26"/>
      <c r="EU490" s="26"/>
      <c r="EV490" s="26"/>
      <c r="EW490" s="26"/>
      <c r="EX490" s="26"/>
      <c r="EY490" s="26"/>
      <c r="EZ490" s="26"/>
      <c r="FA490" s="60"/>
      <c r="FB490" s="60"/>
      <c r="FC490" s="60"/>
      <c r="FD490" s="60"/>
      <c r="FE490" s="60"/>
      <c r="FF490" s="60"/>
      <c r="FG490" s="60"/>
      <c r="FH490" s="60"/>
      <c r="FI490" s="60"/>
      <c r="FJ490" s="60"/>
      <c r="FK490" s="60"/>
      <c r="FL490" s="60"/>
      <c r="FM490" s="60"/>
      <c r="FN490" s="60"/>
      <c r="FO490" s="60"/>
      <c r="FP490" s="60"/>
      <c r="FQ490" s="60"/>
      <c r="FR490" s="60"/>
      <c r="FS490" s="60"/>
      <c r="FT490" s="60"/>
      <c r="FU490" s="60"/>
      <c r="FV490" s="60"/>
      <c r="FW490" s="60"/>
      <c r="FX490" s="60"/>
    </row>
    <row r="491">
      <c r="A491" s="18"/>
      <c r="B491" s="14"/>
      <c r="C491" s="14"/>
      <c r="D491" s="14"/>
      <c r="E491" s="18"/>
      <c r="F491" s="18"/>
      <c r="G491" s="18"/>
      <c r="H491" s="18"/>
      <c r="I491" s="18"/>
      <c r="J491" s="18"/>
      <c r="K491" s="18"/>
      <c r="L491" s="18"/>
      <c r="M491" s="18"/>
      <c r="N491" s="18"/>
      <c r="O491" s="18"/>
      <c r="P491" s="23"/>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26"/>
      <c r="CU491" s="26"/>
      <c r="CV491" s="26"/>
      <c r="CW491" s="26"/>
      <c r="CX491" s="26"/>
      <c r="CY491" s="26"/>
      <c r="CZ491" s="26"/>
      <c r="DA491" s="26"/>
      <c r="DB491" s="26"/>
      <c r="DC491" s="26"/>
      <c r="DD491" s="26"/>
      <c r="DE491" s="26"/>
      <c r="DF491" s="26"/>
      <c r="DG491" s="26"/>
      <c r="DH491" s="26"/>
      <c r="DI491" s="26"/>
      <c r="DJ491" s="26"/>
      <c r="DK491" s="26"/>
      <c r="DL491" s="26"/>
      <c r="DM491" s="26"/>
      <c r="DN491" s="26"/>
      <c r="DO491" s="26"/>
      <c r="DP491" s="26"/>
      <c r="DQ491" s="26"/>
      <c r="DR491" s="26"/>
      <c r="DS491" s="26"/>
      <c r="DT491" s="26"/>
      <c r="DU491" s="26"/>
      <c r="DV491" s="26"/>
      <c r="DW491" s="26"/>
      <c r="DX491" s="26"/>
      <c r="DY491" s="26"/>
      <c r="DZ491" s="26"/>
      <c r="EA491" s="26"/>
      <c r="EB491" s="26"/>
      <c r="EC491" s="26"/>
      <c r="ED491" s="26"/>
      <c r="EE491" s="26"/>
      <c r="EF491" s="26"/>
      <c r="EG491" s="26"/>
      <c r="EH491" s="26"/>
      <c r="EI491" s="26"/>
      <c r="EJ491" s="26"/>
      <c r="EK491" s="26"/>
      <c r="EL491" s="26"/>
      <c r="EM491" s="26"/>
      <c r="EN491" s="26"/>
      <c r="EO491" s="26"/>
      <c r="EP491" s="26"/>
      <c r="EQ491" s="26"/>
      <c r="ER491" s="26"/>
      <c r="ES491" s="26"/>
      <c r="ET491" s="26"/>
      <c r="EU491" s="26"/>
      <c r="EV491" s="26"/>
      <c r="EW491" s="26"/>
      <c r="EX491" s="26"/>
      <c r="EY491" s="26"/>
      <c r="EZ491" s="26"/>
      <c r="FA491" s="60"/>
      <c r="FB491" s="60"/>
      <c r="FC491" s="60"/>
      <c r="FD491" s="60"/>
      <c r="FE491" s="60"/>
      <c r="FF491" s="60"/>
      <c r="FG491" s="60"/>
      <c r="FH491" s="60"/>
      <c r="FI491" s="60"/>
      <c r="FJ491" s="60"/>
      <c r="FK491" s="60"/>
      <c r="FL491" s="60"/>
      <c r="FM491" s="60"/>
      <c r="FN491" s="60"/>
      <c r="FO491" s="60"/>
      <c r="FP491" s="60"/>
      <c r="FQ491" s="60"/>
      <c r="FR491" s="60"/>
      <c r="FS491" s="60"/>
      <c r="FT491" s="60"/>
      <c r="FU491" s="60"/>
      <c r="FV491" s="60"/>
      <c r="FW491" s="60"/>
      <c r="FX491" s="60"/>
    </row>
    <row r="492">
      <c r="A492" s="18"/>
      <c r="B492" s="14"/>
      <c r="C492" s="14"/>
      <c r="D492" s="14"/>
      <c r="E492" s="18"/>
      <c r="F492" s="18"/>
      <c r="G492" s="18"/>
      <c r="H492" s="18"/>
      <c r="I492" s="18"/>
      <c r="J492" s="18"/>
      <c r="K492" s="18"/>
      <c r="L492" s="18"/>
      <c r="M492" s="18"/>
      <c r="N492" s="18"/>
      <c r="O492" s="18"/>
      <c r="P492" s="23"/>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26"/>
      <c r="CU492" s="26"/>
      <c r="CV492" s="26"/>
      <c r="CW492" s="26"/>
      <c r="CX492" s="26"/>
      <c r="CY492" s="26"/>
      <c r="CZ492" s="26"/>
      <c r="DA492" s="26"/>
      <c r="DB492" s="26"/>
      <c r="DC492" s="26"/>
      <c r="DD492" s="26"/>
      <c r="DE492" s="26"/>
      <c r="DF492" s="26"/>
      <c r="DG492" s="26"/>
      <c r="DH492" s="26"/>
      <c r="DI492" s="26"/>
      <c r="DJ492" s="26"/>
      <c r="DK492" s="26"/>
      <c r="DL492" s="26"/>
      <c r="DM492" s="26"/>
      <c r="DN492" s="26"/>
      <c r="DO492" s="26"/>
      <c r="DP492" s="26"/>
      <c r="DQ492" s="26"/>
      <c r="DR492" s="26"/>
      <c r="DS492" s="26"/>
      <c r="DT492" s="26"/>
      <c r="DU492" s="26"/>
      <c r="DV492" s="26"/>
      <c r="DW492" s="26"/>
      <c r="DX492" s="26"/>
      <c r="DY492" s="26"/>
      <c r="DZ492" s="26"/>
      <c r="EA492" s="26"/>
      <c r="EB492" s="26"/>
      <c r="EC492" s="26"/>
      <c r="ED492" s="26"/>
      <c r="EE492" s="26"/>
      <c r="EF492" s="26"/>
      <c r="EG492" s="26"/>
      <c r="EH492" s="26"/>
      <c r="EI492" s="26"/>
      <c r="EJ492" s="26"/>
      <c r="EK492" s="26"/>
      <c r="EL492" s="26"/>
      <c r="EM492" s="26"/>
      <c r="EN492" s="26"/>
      <c r="EO492" s="26"/>
      <c r="EP492" s="26"/>
      <c r="EQ492" s="26"/>
      <c r="ER492" s="26"/>
      <c r="ES492" s="26"/>
      <c r="ET492" s="26"/>
      <c r="EU492" s="26"/>
      <c r="EV492" s="26"/>
      <c r="EW492" s="26"/>
      <c r="EX492" s="26"/>
      <c r="EY492" s="26"/>
      <c r="EZ492" s="26"/>
      <c r="FA492" s="60"/>
      <c r="FB492" s="60"/>
      <c r="FC492" s="60"/>
      <c r="FD492" s="60"/>
      <c r="FE492" s="60"/>
      <c r="FF492" s="60"/>
      <c r="FG492" s="60"/>
      <c r="FH492" s="60"/>
      <c r="FI492" s="60"/>
      <c r="FJ492" s="60"/>
      <c r="FK492" s="60"/>
      <c r="FL492" s="60"/>
      <c r="FM492" s="60"/>
      <c r="FN492" s="60"/>
      <c r="FO492" s="60"/>
      <c r="FP492" s="60"/>
      <c r="FQ492" s="60"/>
      <c r="FR492" s="60"/>
      <c r="FS492" s="60"/>
      <c r="FT492" s="60"/>
      <c r="FU492" s="60"/>
      <c r="FV492" s="60"/>
      <c r="FW492" s="60"/>
      <c r="FX492" s="60"/>
    </row>
    <row r="493">
      <c r="A493" s="18"/>
      <c r="B493" s="14"/>
      <c r="C493" s="14"/>
      <c r="D493" s="14"/>
      <c r="E493" s="18"/>
      <c r="F493" s="18"/>
      <c r="G493" s="18"/>
      <c r="H493" s="18"/>
      <c r="I493" s="18"/>
      <c r="J493" s="18"/>
      <c r="K493" s="18"/>
      <c r="L493" s="18"/>
      <c r="M493" s="18"/>
      <c r="N493" s="18"/>
      <c r="O493" s="18"/>
      <c r="P493" s="23"/>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26"/>
      <c r="CU493" s="26"/>
      <c r="CV493" s="26"/>
      <c r="CW493" s="26"/>
      <c r="CX493" s="26"/>
      <c r="CY493" s="26"/>
      <c r="CZ493" s="26"/>
      <c r="DA493" s="26"/>
      <c r="DB493" s="26"/>
      <c r="DC493" s="26"/>
      <c r="DD493" s="26"/>
      <c r="DE493" s="26"/>
      <c r="DF493" s="26"/>
      <c r="DG493" s="26"/>
      <c r="DH493" s="26"/>
      <c r="DI493" s="26"/>
      <c r="DJ493" s="26"/>
      <c r="DK493" s="26"/>
      <c r="DL493" s="26"/>
      <c r="DM493" s="26"/>
      <c r="DN493" s="26"/>
      <c r="DO493" s="26"/>
      <c r="DP493" s="26"/>
      <c r="DQ493" s="26"/>
      <c r="DR493" s="26"/>
      <c r="DS493" s="26"/>
      <c r="DT493" s="26"/>
      <c r="DU493" s="26"/>
      <c r="DV493" s="26"/>
      <c r="DW493" s="26"/>
      <c r="DX493" s="26"/>
      <c r="DY493" s="26"/>
      <c r="DZ493" s="26"/>
      <c r="EA493" s="26"/>
      <c r="EB493" s="26"/>
      <c r="EC493" s="26"/>
      <c r="ED493" s="26"/>
      <c r="EE493" s="26"/>
      <c r="EF493" s="26"/>
      <c r="EG493" s="26"/>
      <c r="EH493" s="26"/>
      <c r="EI493" s="26"/>
      <c r="EJ493" s="26"/>
      <c r="EK493" s="26"/>
      <c r="EL493" s="26"/>
      <c r="EM493" s="26"/>
      <c r="EN493" s="26"/>
      <c r="EO493" s="26"/>
      <c r="EP493" s="26"/>
      <c r="EQ493" s="26"/>
      <c r="ER493" s="26"/>
      <c r="ES493" s="26"/>
      <c r="ET493" s="26"/>
      <c r="EU493" s="26"/>
      <c r="EV493" s="26"/>
      <c r="EW493" s="26"/>
      <c r="EX493" s="26"/>
      <c r="EY493" s="26"/>
      <c r="EZ493" s="26"/>
      <c r="FA493" s="60"/>
      <c r="FB493" s="60"/>
      <c r="FC493" s="60"/>
      <c r="FD493" s="60"/>
      <c r="FE493" s="60"/>
      <c r="FF493" s="60"/>
      <c r="FG493" s="60"/>
      <c r="FH493" s="60"/>
      <c r="FI493" s="60"/>
      <c r="FJ493" s="60"/>
      <c r="FK493" s="60"/>
      <c r="FL493" s="60"/>
      <c r="FM493" s="60"/>
      <c r="FN493" s="60"/>
      <c r="FO493" s="60"/>
      <c r="FP493" s="60"/>
      <c r="FQ493" s="60"/>
      <c r="FR493" s="60"/>
      <c r="FS493" s="60"/>
      <c r="FT493" s="60"/>
      <c r="FU493" s="60"/>
      <c r="FV493" s="60"/>
      <c r="FW493" s="60"/>
      <c r="FX493" s="60"/>
    </row>
    <row r="494">
      <c r="A494" s="18"/>
      <c r="B494" s="14"/>
      <c r="C494" s="14"/>
      <c r="D494" s="14"/>
      <c r="E494" s="18"/>
      <c r="F494" s="18"/>
      <c r="G494" s="18"/>
      <c r="H494" s="18"/>
      <c r="I494" s="18"/>
      <c r="J494" s="18"/>
      <c r="K494" s="18"/>
      <c r="L494" s="18"/>
      <c r="M494" s="18"/>
      <c r="N494" s="18"/>
      <c r="O494" s="18"/>
      <c r="P494" s="23"/>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26"/>
      <c r="CU494" s="26"/>
      <c r="CV494" s="26"/>
      <c r="CW494" s="26"/>
      <c r="CX494" s="26"/>
      <c r="CY494" s="26"/>
      <c r="CZ494" s="26"/>
      <c r="DA494" s="26"/>
      <c r="DB494" s="26"/>
      <c r="DC494" s="26"/>
      <c r="DD494" s="26"/>
      <c r="DE494" s="26"/>
      <c r="DF494" s="26"/>
      <c r="DG494" s="26"/>
      <c r="DH494" s="26"/>
      <c r="DI494" s="26"/>
      <c r="DJ494" s="26"/>
      <c r="DK494" s="26"/>
      <c r="DL494" s="26"/>
      <c r="DM494" s="26"/>
      <c r="DN494" s="26"/>
      <c r="DO494" s="26"/>
      <c r="DP494" s="26"/>
      <c r="DQ494" s="26"/>
      <c r="DR494" s="26"/>
      <c r="DS494" s="26"/>
      <c r="DT494" s="26"/>
      <c r="DU494" s="26"/>
      <c r="DV494" s="26"/>
      <c r="DW494" s="26"/>
      <c r="DX494" s="26"/>
      <c r="DY494" s="26"/>
      <c r="DZ494" s="26"/>
      <c r="EA494" s="26"/>
      <c r="EB494" s="26"/>
      <c r="EC494" s="26"/>
      <c r="ED494" s="26"/>
      <c r="EE494" s="26"/>
      <c r="EF494" s="26"/>
      <c r="EG494" s="26"/>
      <c r="EH494" s="26"/>
      <c r="EI494" s="26"/>
      <c r="EJ494" s="26"/>
      <c r="EK494" s="26"/>
      <c r="EL494" s="26"/>
      <c r="EM494" s="26"/>
      <c r="EN494" s="26"/>
      <c r="EO494" s="26"/>
      <c r="EP494" s="26"/>
      <c r="EQ494" s="26"/>
      <c r="ER494" s="26"/>
      <c r="ES494" s="26"/>
      <c r="ET494" s="26"/>
      <c r="EU494" s="26"/>
      <c r="EV494" s="26"/>
      <c r="EW494" s="26"/>
      <c r="EX494" s="26"/>
      <c r="EY494" s="26"/>
      <c r="EZ494" s="26"/>
      <c r="FA494" s="60"/>
      <c r="FB494" s="60"/>
      <c r="FC494" s="60"/>
      <c r="FD494" s="60"/>
      <c r="FE494" s="60"/>
      <c r="FF494" s="60"/>
      <c r="FG494" s="60"/>
      <c r="FH494" s="60"/>
      <c r="FI494" s="60"/>
      <c r="FJ494" s="60"/>
      <c r="FK494" s="60"/>
      <c r="FL494" s="60"/>
      <c r="FM494" s="60"/>
      <c r="FN494" s="60"/>
      <c r="FO494" s="60"/>
      <c r="FP494" s="60"/>
      <c r="FQ494" s="60"/>
      <c r="FR494" s="60"/>
      <c r="FS494" s="60"/>
      <c r="FT494" s="60"/>
      <c r="FU494" s="60"/>
      <c r="FV494" s="60"/>
      <c r="FW494" s="60"/>
      <c r="FX494" s="60"/>
    </row>
    <row r="495">
      <c r="A495" s="18"/>
      <c r="B495" s="14"/>
      <c r="C495" s="14"/>
      <c r="D495" s="14"/>
      <c r="E495" s="18"/>
      <c r="F495" s="18"/>
      <c r="G495" s="18"/>
      <c r="H495" s="18"/>
      <c r="I495" s="18"/>
      <c r="J495" s="18"/>
      <c r="K495" s="18"/>
      <c r="L495" s="18"/>
      <c r="M495" s="18"/>
      <c r="N495" s="18"/>
      <c r="O495" s="18"/>
      <c r="P495" s="23"/>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26"/>
      <c r="CU495" s="26"/>
      <c r="CV495" s="26"/>
      <c r="CW495" s="26"/>
      <c r="CX495" s="26"/>
      <c r="CY495" s="26"/>
      <c r="CZ495" s="26"/>
      <c r="DA495" s="26"/>
      <c r="DB495" s="26"/>
      <c r="DC495" s="26"/>
      <c r="DD495" s="26"/>
      <c r="DE495" s="26"/>
      <c r="DF495" s="26"/>
      <c r="DG495" s="26"/>
      <c r="DH495" s="26"/>
      <c r="DI495" s="26"/>
      <c r="DJ495" s="26"/>
      <c r="DK495" s="26"/>
      <c r="DL495" s="26"/>
      <c r="DM495" s="26"/>
      <c r="DN495" s="26"/>
      <c r="DO495" s="26"/>
      <c r="DP495" s="26"/>
      <c r="DQ495" s="26"/>
      <c r="DR495" s="26"/>
      <c r="DS495" s="26"/>
      <c r="DT495" s="26"/>
      <c r="DU495" s="26"/>
      <c r="DV495" s="26"/>
      <c r="DW495" s="26"/>
      <c r="DX495" s="26"/>
      <c r="DY495" s="26"/>
      <c r="DZ495" s="26"/>
      <c r="EA495" s="26"/>
      <c r="EB495" s="26"/>
      <c r="EC495" s="26"/>
      <c r="ED495" s="26"/>
      <c r="EE495" s="26"/>
      <c r="EF495" s="26"/>
      <c r="EG495" s="26"/>
      <c r="EH495" s="26"/>
      <c r="EI495" s="26"/>
      <c r="EJ495" s="26"/>
      <c r="EK495" s="26"/>
      <c r="EL495" s="26"/>
      <c r="EM495" s="26"/>
      <c r="EN495" s="26"/>
      <c r="EO495" s="26"/>
      <c r="EP495" s="26"/>
      <c r="EQ495" s="26"/>
      <c r="ER495" s="26"/>
      <c r="ES495" s="26"/>
      <c r="ET495" s="26"/>
      <c r="EU495" s="26"/>
      <c r="EV495" s="26"/>
      <c r="EW495" s="26"/>
      <c r="EX495" s="26"/>
      <c r="EY495" s="26"/>
      <c r="EZ495" s="26"/>
      <c r="FA495" s="60"/>
      <c r="FB495" s="60"/>
      <c r="FC495" s="60"/>
      <c r="FD495" s="60"/>
      <c r="FE495" s="60"/>
      <c r="FF495" s="60"/>
      <c r="FG495" s="60"/>
      <c r="FH495" s="60"/>
      <c r="FI495" s="60"/>
      <c r="FJ495" s="60"/>
      <c r="FK495" s="60"/>
      <c r="FL495" s="60"/>
      <c r="FM495" s="60"/>
      <c r="FN495" s="60"/>
      <c r="FO495" s="60"/>
      <c r="FP495" s="60"/>
      <c r="FQ495" s="60"/>
      <c r="FR495" s="60"/>
      <c r="FS495" s="60"/>
      <c r="FT495" s="60"/>
      <c r="FU495" s="60"/>
      <c r="FV495" s="60"/>
      <c r="FW495" s="60"/>
      <c r="FX495" s="60"/>
    </row>
    <row r="496">
      <c r="A496" s="18"/>
      <c r="B496" s="14"/>
      <c r="C496" s="14"/>
      <c r="D496" s="14"/>
      <c r="E496" s="18"/>
      <c r="F496" s="18"/>
      <c r="G496" s="18"/>
      <c r="H496" s="18"/>
      <c r="I496" s="18"/>
      <c r="J496" s="18"/>
      <c r="K496" s="18"/>
      <c r="L496" s="18"/>
      <c r="M496" s="18"/>
      <c r="N496" s="18"/>
      <c r="O496" s="18"/>
      <c r="P496" s="23"/>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26"/>
      <c r="CU496" s="26"/>
      <c r="CV496" s="26"/>
      <c r="CW496" s="26"/>
      <c r="CX496" s="26"/>
      <c r="CY496" s="26"/>
      <c r="CZ496" s="26"/>
      <c r="DA496" s="26"/>
      <c r="DB496" s="26"/>
      <c r="DC496" s="26"/>
      <c r="DD496" s="26"/>
      <c r="DE496" s="26"/>
      <c r="DF496" s="26"/>
      <c r="DG496" s="26"/>
      <c r="DH496" s="26"/>
      <c r="DI496" s="26"/>
      <c r="DJ496" s="26"/>
      <c r="DK496" s="26"/>
      <c r="DL496" s="26"/>
      <c r="DM496" s="26"/>
      <c r="DN496" s="26"/>
      <c r="DO496" s="26"/>
      <c r="DP496" s="26"/>
      <c r="DQ496" s="26"/>
      <c r="DR496" s="26"/>
      <c r="DS496" s="26"/>
      <c r="DT496" s="26"/>
      <c r="DU496" s="26"/>
      <c r="DV496" s="26"/>
      <c r="DW496" s="26"/>
      <c r="DX496" s="26"/>
      <c r="DY496" s="26"/>
      <c r="DZ496" s="26"/>
      <c r="EA496" s="26"/>
      <c r="EB496" s="26"/>
      <c r="EC496" s="26"/>
      <c r="ED496" s="26"/>
      <c r="EE496" s="26"/>
      <c r="EF496" s="26"/>
      <c r="EG496" s="26"/>
      <c r="EH496" s="26"/>
      <c r="EI496" s="26"/>
      <c r="EJ496" s="26"/>
      <c r="EK496" s="26"/>
      <c r="EL496" s="26"/>
      <c r="EM496" s="26"/>
      <c r="EN496" s="26"/>
      <c r="EO496" s="26"/>
      <c r="EP496" s="26"/>
      <c r="EQ496" s="26"/>
      <c r="ER496" s="26"/>
      <c r="ES496" s="26"/>
      <c r="ET496" s="26"/>
      <c r="EU496" s="26"/>
      <c r="EV496" s="26"/>
      <c r="EW496" s="26"/>
      <c r="EX496" s="26"/>
      <c r="EY496" s="26"/>
      <c r="EZ496" s="26"/>
      <c r="FA496" s="60"/>
      <c r="FB496" s="60"/>
      <c r="FC496" s="60"/>
      <c r="FD496" s="60"/>
      <c r="FE496" s="60"/>
      <c r="FF496" s="60"/>
      <c r="FG496" s="60"/>
      <c r="FH496" s="60"/>
      <c r="FI496" s="60"/>
      <c r="FJ496" s="60"/>
      <c r="FK496" s="60"/>
      <c r="FL496" s="60"/>
      <c r="FM496" s="60"/>
      <c r="FN496" s="60"/>
      <c r="FO496" s="60"/>
      <c r="FP496" s="60"/>
      <c r="FQ496" s="60"/>
      <c r="FR496" s="60"/>
      <c r="FS496" s="60"/>
      <c r="FT496" s="60"/>
      <c r="FU496" s="60"/>
      <c r="FV496" s="60"/>
      <c r="FW496" s="60"/>
      <c r="FX496" s="60"/>
    </row>
    <row r="497">
      <c r="A497" s="18"/>
      <c r="B497" s="14"/>
      <c r="C497" s="14"/>
      <c r="D497" s="14"/>
      <c r="E497" s="18"/>
      <c r="F497" s="18"/>
      <c r="G497" s="18"/>
      <c r="H497" s="18"/>
      <c r="I497" s="18"/>
      <c r="J497" s="18"/>
      <c r="K497" s="18"/>
      <c r="L497" s="18"/>
      <c r="M497" s="18"/>
      <c r="N497" s="18"/>
      <c r="O497" s="18"/>
      <c r="P497" s="23"/>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26"/>
      <c r="CU497" s="26"/>
      <c r="CV497" s="26"/>
      <c r="CW497" s="26"/>
      <c r="CX497" s="26"/>
      <c r="CY497" s="26"/>
      <c r="CZ497" s="26"/>
      <c r="DA497" s="26"/>
      <c r="DB497" s="26"/>
      <c r="DC497" s="26"/>
      <c r="DD497" s="26"/>
      <c r="DE497" s="26"/>
      <c r="DF497" s="26"/>
      <c r="DG497" s="26"/>
      <c r="DH497" s="26"/>
      <c r="DI497" s="26"/>
      <c r="DJ497" s="26"/>
      <c r="DK497" s="26"/>
      <c r="DL497" s="26"/>
      <c r="DM497" s="26"/>
      <c r="DN497" s="26"/>
      <c r="DO497" s="26"/>
      <c r="DP497" s="26"/>
      <c r="DQ497" s="26"/>
      <c r="DR497" s="26"/>
      <c r="DS497" s="26"/>
      <c r="DT497" s="26"/>
      <c r="DU497" s="26"/>
      <c r="DV497" s="26"/>
      <c r="DW497" s="26"/>
      <c r="DX497" s="26"/>
      <c r="DY497" s="26"/>
      <c r="DZ497" s="26"/>
      <c r="EA497" s="26"/>
      <c r="EB497" s="26"/>
      <c r="EC497" s="26"/>
      <c r="ED497" s="26"/>
      <c r="EE497" s="26"/>
      <c r="EF497" s="26"/>
      <c r="EG497" s="26"/>
      <c r="EH497" s="26"/>
      <c r="EI497" s="26"/>
      <c r="EJ497" s="26"/>
      <c r="EK497" s="26"/>
      <c r="EL497" s="26"/>
      <c r="EM497" s="26"/>
      <c r="EN497" s="26"/>
      <c r="EO497" s="26"/>
      <c r="EP497" s="26"/>
      <c r="EQ497" s="26"/>
      <c r="ER497" s="26"/>
      <c r="ES497" s="26"/>
      <c r="ET497" s="26"/>
      <c r="EU497" s="26"/>
      <c r="EV497" s="26"/>
      <c r="EW497" s="26"/>
      <c r="EX497" s="26"/>
      <c r="EY497" s="26"/>
      <c r="EZ497" s="26"/>
      <c r="FA497" s="60"/>
      <c r="FB497" s="60"/>
      <c r="FC497" s="60"/>
      <c r="FD497" s="60"/>
      <c r="FE497" s="60"/>
      <c r="FF497" s="60"/>
      <c r="FG497" s="60"/>
      <c r="FH497" s="60"/>
      <c r="FI497" s="60"/>
      <c r="FJ497" s="60"/>
      <c r="FK497" s="60"/>
      <c r="FL497" s="60"/>
      <c r="FM497" s="60"/>
      <c r="FN497" s="60"/>
      <c r="FO497" s="60"/>
      <c r="FP497" s="60"/>
      <c r="FQ497" s="60"/>
      <c r="FR497" s="60"/>
      <c r="FS497" s="60"/>
      <c r="FT497" s="60"/>
      <c r="FU497" s="60"/>
      <c r="FV497" s="60"/>
      <c r="FW497" s="60"/>
      <c r="FX497" s="60"/>
    </row>
    <row r="498">
      <c r="A498" s="18"/>
      <c r="B498" s="14"/>
      <c r="C498" s="14"/>
      <c r="D498" s="14"/>
      <c r="E498" s="18"/>
      <c r="F498" s="18"/>
      <c r="G498" s="18"/>
      <c r="H498" s="18"/>
      <c r="I498" s="18"/>
      <c r="J498" s="18"/>
      <c r="K498" s="18"/>
      <c r="L498" s="18"/>
      <c r="M498" s="18"/>
      <c r="N498" s="18"/>
      <c r="O498" s="18"/>
      <c r="P498" s="23"/>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26"/>
      <c r="CU498" s="26"/>
      <c r="CV498" s="26"/>
      <c r="CW498" s="26"/>
      <c r="CX498" s="26"/>
      <c r="CY498" s="26"/>
      <c r="CZ498" s="26"/>
      <c r="DA498" s="26"/>
      <c r="DB498" s="26"/>
      <c r="DC498" s="26"/>
      <c r="DD498" s="26"/>
      <c r="DE498" s="26"/>
      <c r="DF498" s="26"/>
      <c r="DG498" s="26"/>
      <c r="DH498" s="26"/>
      <c r="DI498" s="26"/>
      <c r="DJ498" s="26"/>
      <c r="DK498" s="26"/>
      <c r="DL498" s="26"/>
      <c r="DM498" s="26"/>
      <c r="DN498" s="26"/>
      <c r="DO498" s="26"/>
      <c r="DP498" s="26"/>
      <c r="DQ498" s="26"/>
      <c r="DR498" s="26"/>
      <c r="DS498" s="26"/>
      <c r="DT498" s="26"/>
      <c r="DU498" s="26"/>
      <c r="DV498" s="26"/>
      <c r="DW498" s="26"/>
      <c r="DX498" s="26"/>
      <c r="DY498" s="26"/>
      <c r="DZ498" s="26"/>
      <c r="EA498" s="26"/>
      <c r="EB498" s="26"/>
      <c r="EC498" s="26"/>
      <c r="ED498" s="26"/>
      <c r="EE498" s="26"/>
      <c r="EF498" s="26"/>
      <c r="EG498" s="26"/>
      <c r="EH498" s="26"/>
      <c r="EI498" s="26"/>
      <c r="EJ498" s="26"/>
      <c r="EK498" s="26"/>
      <c r="EL498" s="26"/>
      <c r="EM498" s="26"/>
      <c r="EN498" s="26"/>
      <c r="EO498" s="26"/>
      <c r="EP498" s="26"/>
      <c r="EQ498" s="26"/>
      <c r="ER498" s="26"/>
      <c r="ES498" s="26"/>
      <c r="ET498" s="26"/>
      <c r="EU498" s="26"/>
      <c r="EV498" s="26"/>
      <c r="EW498" s="26"/>
      <c r="EX498" s="26"/>
      <c r="EY498" s="26"/>
      <c r="EZ498" s="26"/>
      <c r="FA498" s="60"/>
      <c r="FB498" s="60"/>
      <c r="FC498" s="60"/>
      <c r="FD498" s="60"/>
      <c r="FE498" s="60"/>
      <c r="FF498" s="60"/>
      <c r="FG498" s="60"/>
      <c r="FH498" s="60"/>
      <c r="FI498" s="60"/>
      <c r="FJ498" s="60"/>
      <c r="FK498" s="60"/>
      <c r="FL498" s="60"/>
      <c r="FM498" s="60"/>
      <c r="FN498" s="60"/>
      <c r="FO498" s="60"/>
      <c r="FP498" s="60"/>
      <c r="FQ498" s="60"/>
      <c r="FR498" s="60"/>
      <c r="FS498" s="60"/>
      <c r="FT498" s="60"/>
      <c r="FU498" s="60"/>
      <c r="FV498" s="60"/>
      <c r="FW498" s="60"/>
      <c r="FX498" s="60"/>
    </row>
    <row r="499">
      <c r="A499" s="18"/>
      <c r="B499" s="14"/>
      <c r="C499" s="14"/>
      <c r="D499" s="14"/>
      <c r="E499" s="18"/>
      <c r="F499" s="18"/>
      <c r="G499" s="18"/>
      <c r="H499" s="18"/>
      <c r="I499" s="18"/>
      <c r="J499" s="18"/>
      <c r="K499" s="18"/>
      <c r="L499" s="18"/>
      <c r="M499" s="18"/>
      <c r="N499" s="18"/>
      <c r="O499" s="18"/>
      <c r="P499" s="23"/>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26"/>
      <c r="CU499" s="26"/>
      <c r="CV499" s="26"/>
      <c r="CW499" s="26"/>
      <c r="CX499" s="26"/>
      <c r="CY499" s="26"/>
      <c r="CZ499" s="26"/>
      <c r="DA499" s="26"/>
      <c r="DB499" s="26"/>
      <c r="DC499" s="26"/>
      <c r="DD499" s="26"/>
      <c r="DE499" s="26"/>
      <c r="DF499" s="26"/>
      <c r="DG499" s="26"/>
      <c r="DH499" s="26"/>
      <c r="DI499" s="26"/>
      <c r="DJ499" s="26"/>
      <c r="DK499" s="26"/>
      <c r="DL499" s="26"/>
      <c r="DM499" s="26"/>
      <c r="DN499" s="26"/>
      <c r="DO499" s="26"/>
      <c r="DP499" s="26"/>
      <c r="DQ499" s="26"/>
      <c r="DR499" s="26"/>
      <c r="DS499" s="26"/>
      <c r="DT499" s="26"/>
      <c r="DU499" s="26"/>
      <c r="DV499" s="26"/>
      <c r="DW499" s="26"/>
      <c r="DX499" s="26"/>
      <c r="DY499" s="26"/>
      <c r="DZ499" s="26"/>
      <c r="EA499" s="26"/>
      <c r="EB499" s="26"/>
      <c r="EC499" s="26"/>
      <c r="ED499" s="26"/>
      <c r="EE499" s="26"/>
      <c r="EF499" s="26"/>
      <c r="EG499" s="26"/>
      <c r="EH499" s="26"/>
      <c r="EI499" s="26"/>
      <c r="EJ499" s="26"/>
      <c r="EK499" s="26"/>
      <c r="EL499" s="26"/>
      <c r="EM499" s="26"/>
      <c r="EN499" s="26"/>
      <c r="EO499" s="26"/>
      <c r="EP499" s="26"/>
      <c r="EQ499" s="26"/>
      <c r="ER499" s="26"/>
      <c r="ES499" s="26"/>
      <c r="ET499" s="26"/>
      <c r="EU499" s="26"/>
      <c r="EV499" s="26"/>
      <c r="EW499" s="26"/>
      <c r="EX499" s="26"/>
      <c r="EY499" s="26"/>
      <c r="EZ499" s="26"/>
      <c r="FA499" s="60"/>
      <c r="FB499" s="60"/>
      <c r="FC499" s="60"/>
      <c r="FD499" s="60"/>
      <c r="FE499" s="60"/>
      <c r="FF499" s="60"/>
      <c r="FG499" s="60"/>
      <c r="FH499" s="60"/>
      <c r="FI499" s="60"/>
      <c r="FJ499" s="60"/>
      <c r="FK499" s="60"/>
      <c r="FL499" s="60"/>
      <c r="FM499" s="60"/>
      <c r="FN499" s="60"/>
      <c r="FO499" s="60"/>
      <c r="FP499" s="60"/>
      <c r="FQ499" s="60"/>
      <c r="FR499" s="60"/>
      <c r="FS499" s="60"/>
      <c r="FT499" s="60"/>
      <c r="FU499" s="60"/>
      <c r="FV499" s="60"/>
      <c r="FW499" s="60"/>
      <c r="FX499" s="60"/>
    </row>
    <row r="500">
      <c r="A500" s="18"/>
      <c r="B500" s="14"/>
      <c r="C500" s="14"/>
      <c r="D500" s="14"/>
      <c r="E500" s="18"/>
      <c r="F500" s="18"/>
      <c r="G500" s="18"/>
      <c r="H500" s="18"/>
      <c r="I500" s="18"/>
      <c r="J500" s="18"/>
      <c r="K500" s="18"/>
      <c r="L500" s="18"/>
      <c r="M500" s="18"/>
      <c r="N500" s="18"/>
      <c r="O500" s="18"/>
      <c r="P500" s="23"/>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26"/>
      <c r="CU500" s="26"/>
      <c r="CV500" s="26"/>
      <c r="CW500" s="26"/>
      <c r="CX500" s="26"/>
      <c r="CY500" s="26"/>
      <c r="CZ500" s="26"/>
      <c r="DA500" s="26"/>
      <c r="DB500" s="26"/>
      <c r="DC500" s="26"/>
      <c r="DD500" s="26"/>
      <c r="DE500" s="26"/>
      <c r="DF500" s="26"/>
      <c r="DG500" s="26"/>
      <c r="DH500" s="26"/>
      <c r="DI500" s="26"/>
      <c r="DJ500" s="26"/>
      <c r="DK500" s="26"/>
      <c r="DL500" s="26"/>
      <c r="DM500" s="26"/>
      <c r="DN500" s="26"/>
      <c r="DO500" s="26"/>
      <c r="DP500" s="26"/>
      <c r="DQ500" s="26"/>
      <c r="DR500" s="26"/>
      <c r="DS500" s="26"/>
      <c r="DT500" s="26"/>
      <c r="DU500" s="26"/>
      <c r="DV500" s="26"/>
      <c r="DW500" s="26"/>
      <c r="DX500" s="26"/>
      <c r="DY500" s="26"/>
      <c r="DZ500" s="26"/>
      <c r="EA500" s="26"/>
      <c r="EB500" s="26"/>
      <c r="EC500" s="26"/>
      <c r="ED500" s="26"/>
      <c r="EE500" s="26"/>
      <c r="EF500" s="26"/>
      <c r="EG500" s="26"/>
      <c r="EH500" s="26"/>
      <c r="EI500" s="26"/>
      <c r="EJ500" s="26"/>
      <c r="EK500" s="26"/>
      <c r="EL500" s="26"/>
      <c r="EM500" s="26"/>
      <c r="EN500" s="26"/>
      <c r="EO500" s="26"/>
      <c r="EP500" s="26"/>
      <c r="EQ500" s="26"/>
      <c r="ER500" s="26"/>
      <c r="ES500" s="26"/>
      <c r="ET500" s="26"/>
      <c r="EU500" s="26"/>
      <c r="EV500" s="26"/>
      <c r="EW500" s="26"/>
      <c r="EX500" s="26"/>
      <c r="EY500" s="26"/>
      <c r="EZ500" s="26"/>
      <c r="FA500" s="60"/>
      <c r="FB500" s="60"/>
      <c r="FC500" s="60"/>
      <c r="FD500" s="60"/>
      <c r="FE500" s="60"/>
      <c r="FF500" s="60"/>
      <c r="FG500" s="60"/>
      <c r="FH500" s="60"/>
      <c r="FI500" s="60"/>
      <c r="FJ500" s="60"/>
      <c r="FK500" s="60"/>
      <c r="FL500" s="60"/>
      <c r="FM500" s="60"/>
      <c r="FN500" s="60"/>
      <c r="FO500" s="60"/>
      <c r="FP500" s="60"/>
      <c r="FQ500" s="60"/>
      <c r="FR500" s="60"/>
      <c r="FS500" s="60"/>
      <c r="FT500" s="60"/>
      <c r="FU500" s="60"/>
      <c r="FV500" s="60"/>
      <c r="FW500" s="60"/>
      <c r="FX500" s="60"/>
    </row>
    <row r="501">
      <c r="A501" s="18"/>
      <c r="B501" s="14"/>
      <c r="C501" s="14"/>
      <c r="D501" s="14"/>
      <c r="E501" s="18"/>
      <c r="F501" s="18"/>
      <c r="G501" s="18"/>
      <c r="H501" s="18"/>
      <c r="I501" s="18"/>
      <c r="J501" s="18"/>
      <c r="K501" s="18"/>
      <c r="L501" s="18"/>
      <c r="M501" s="18"/>
      <c r="N501" s="18"/>
      <c r="O501" s="18"/>
      <c r="P501" s="23"/>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26"/>
      <c r="CU501" s="26"/>
      <c r="CV501" s="26"/>
      <c r="CW501" s="26"/>
      <c r="CX501" s="26"/>
      <c r="CY501" s="26"/>
      <c r="CZ501" s="26"/>
      <c r="DA501" s="26"/>
      <c r="DB501" s="26"/>
      <c r="DC501" s="26"/>
      <c r="DD501" s="26"/>
      <c r="DE501" s="26"/>
      <c r="DF501" s="26"/>
      <c r="DG501" s="26"/>
      <c r="DH501" s="26"/>
      <c r="DI501" s="26"/>
      <c r="DJ501" s="26"/>
      <c r="DK501" s="26"/>
      <c r="DL501" s="26"/>
      <c r="DM501" s="26"/>
      <c r="DN501" s="26"/>
      <c r="DO501" s="26"/>
      <c r="DP501" s="26"/>
      <c r="DQ501" s="26"/>
      <c r="DR501" s="26"/>
      <c r="DS501" s="26"/>
      <c r="DT501" s="26"/>
      <c r="DU501" s="26"/>
      <c r="DV501" s="26"/>
      <c r="DW501" s="26"/>
      <c r="DX501" s="26"/>
      <c r="DY501" s="26"/>
      <c r="DZ501" s="26"/>
      <c r="EA501" s="26"/>
      <c r="EB501" s="26"/>
      <c r="EC501" s="26"/>
      <c r="ED501" s="26"/>
      <c r="EE501" s="26"/>
      <c r="EF501" s="26"/>
      <c r="EG501" s="26"/>
      <c r="EH501" s="26"/>
      <c r="EI501" s="26"/>
      <c r="EJ501" s="26"/>
      <c r="EK501" s="26"/>
      <c r="EL501" s="26"/>
      <c r="EM501" s="26"/>
      <c r="EN501" s="26"/>
      <c r="EO501" s="26"/>
      <c r="EP501" s="26"/>
      <c r="EQ501" s="26"/>
      <c r="ER501" s="26"/>
      <c r="ES501" s="26"/>
      <c r="ET501" s="26"/>
      <c r="EU501" s="26"/>
      <c r="EV501" s="26"/>
      <c r="EW501" s="26"/>
      <c r="EX501" s="26"/>
      <c r="EY501" s="26"/>
      <c r="EZ501" s="26"/>
      <c r="FA501" s="60"/>
      <c r="FB501" s="60"/>
      <c r="FC501" s="60"/>
      <c r="FD501" s="60"/>
      <c r="FE501" s="60"/>
      <c r="FF501" s="60"/>
      <c r="FG501" s="60"/>
      <c r="FH501" s="60"/>
      <c r="FI501" s="60"/>
      <c r="FJ501" s="60"/>
      <c r="FK501" s="60"/>
      <c r="FL501" s="60"/>
      <c r="FM501" s="60"/>
      <c r="FN501" s="60"/>
      <c r="FO501" s="60"/>
      <c r="FP501" s="60"/>
      <c r="FQ501" s="60"/>
      <c r="FR501" s="60"/>
      <c r="FS501" s="60"/>
      <c r="FT501" s="60"/>
      <c r="FU501" s="60"/>
      <c r="FV501" s="60"/>
      <c r="FW501" s="60"/>
      <c r="FX501" s="60"/>
    </row>
    <row r="502">
      <c r="A502" s="18"/>
      <c r="B502" s="14"/>
      <c r="C502" s="14"/>
      <c r="D502" s="14"/>
      <c r="E502" s="18"/>
      <c r="F502" s="18"/>
      <c r="G502" s="18"/>
      <c r="H502" s="18"/>
      <c r="I502" s="18"/>
      <c r="J502" s="18"/>
      <c r="K502" s="18"/>
      <c r="L502" s="18"/>
      <c r="M502" s="18"/>
      <c r="N502" s="18"/>
      <c r="O502" s="18"/>
      <c r="P502" s="23"/>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26"/>
      <c r="CU502" s="26"/>
      <c r="CV502" s="26"/>
      <c r="CW502" s="26"/>
      <c r="CX502" s="26"/>
      <c r="CY502" s="26"/>
      <c r="CZ502" s="26"/>
      <c r="DA502" s="26"/>
      <c r="DB502" s="26"/>
      <c r="DC502" s="26"/>
      <c r="DD502" s="26"/>
      <c r="DE502" s="26"/>
      <c r="DF502" s="26"/>
      <c r="DG502" s="26"/>
      <c r="DH502" s="26"/>
      <c r="DI502" s="26"/>
      <c r="DJ502" s="26"/>
      <c r="DK502" s="26"/>
      <c r="DL502" s="26"/>
      <c r="DM502" s="26"/>
      <c r="DN502" s="26"/>
      <c r="DO502" s="26"/>
      <c r="DP502" s="26"/>
      <c r="DQ502" s="26"/>
      <c r="DR502" s="26"/>
      <c r="DS502" s="26"/>
      <c r="DT502" s="26"/>
      <c r="DU502" s="26"/>
      <c r="DV502" s="26"/>
      <c r="DW502" s="26"/>
      <c r="DX502" s="26"/>
      <c r="DY502" s="26"/>
      <c r="DZ502" s="26"/>
      <c r="EA502" s="26"/>
      <c r="EB502" s="26"/>
      <c r="EC502" s="26"/>
      <c r="ED502" s="26"/>
      <c r="EE502" s="26"/>
      <c r="EF502" s="26"/>
      <c r="EG502" s="26"/>
      <c r="EH502" s="26"/>
      <c r="EI502" s="26"/>
      <c r="EJ502" s="26"/>
      <c r="EK502" s="26"/>
      <c r="EL502" s="26"/>
      <c r="EM502" s="26"/>
      <c r="EN502" s="26"/>
      <c r="EO502" s="26"/>
      <c r="EP502" s="26"/>
      <c r="EQ502" s="26"/>
      <c r="ER502" s="26"/>
      <c r="ES502" s="26"/>
      <c r="ET502" s="26"/>
      <c r="EU502" s="26"/>
      <c r="EV502" s="26"/>
      <c r="EW502" s="26"/>
      <c r="EX502" s="26"/>
      <c r="EY502" s="26"/>
      <c r="EZ502" s="26"/>
      <c r="FA502" s="60"/>
      <c r="FB502" s="60"/>
      <c r="FC502" s="60"/>
      <c r="FD502" s="60"/>
      <c r="FE502" s="60"/>
      <c r="FF502" s="60"/>
      <c r="FG502" s="60"/>
      <c r="FH502" s="60"/>
      <c r="FI502" s="60"/>
      <c r="FJ502" s="60"/>
      <c r="FK502" s="60"/>
      <c r="FL502" s="60"/>
      <c r="FM502" s="60"/>
      <c r="FN502" s="60"/>
      <c r="FO502" s="60"/>
      <c r="FP502" s="60"/>
      <c r="FQ502" s="60"/>
      <c r="FR502" s="60"/>
      <c r="FS502" s="60"/>
      <c r="FT502" s="60"/>
      <c r="FU502" s="60"/>
      <c r="FV502" s="60"/>
      <c r="FW502" s="60"/>
      <c r="FX502" s="60"/>
    </row>
    <row r="503">
      <c r="A503" s="18"/>
      <c r="B503" s="14"/>
      <c r="C503" s="14"/>
      <c r="D503" s="14"/>
      <c r="E503" s="18"/>
      <c r="F503" s="18"/>
      <c r="G503" s="18"/>
      <c r="H503" s="18"/>
      <c r="I503" s="18"/>
      <c r="J503" s="18"/>
      <c r="K503" s="18"/>
      <c r="L503" s="18"/>
      <c r="M503" s="18"/>
      <c r="N503" s="18"/>
      <c r="O503" s="18"/>
      <c r="P503" s="23"/>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26"/>
      <c r="CU503" s="26"/>
      <c r="CV503" s="26"/>
      <c r="CW503" s="26"/>
      <c r="CX503" s="26"/>
      <c r="CY503" s="26"/>
      <c r="CZ503" s="26"/>
      <c r="DA503" s="26"/>
      <c r="DB503" s="26"/>
      <c r="DC503" s="26"/>
      <c r="DD503" s="26"/>
      <c r="DE503" s="26"/>
      <c r="DF503" s="26"/>
      <c r="DG503" s="26"/>
      <c r="DH503" s="26"/>
      <c r="DI503" s="26"/>
      <c r="DJ503" s="26"/>
      <c r="DK503" s="26"/>
      <c r="DL503" s="26"/>
      <c r="DM503" s="26"/>
      <c r="DN503" s="26"/>
      <c r="DO503" s="26"/>
      <c r="DP503" s="26"/>
      <c r="DQ503" s="26"/>
      <c r="DR503" s="26"/>
      <c r="DS503" s="26"/>
      <c r="DT503" s="26"/>
      <c r="DU503" s="26"/>
      <c r="DV503" s="26"/>
      <c r="DW503" s="26"/>
      <c r="DX503" s="26"/>
      <c r="DY503" s="26"/>
      <c r="DZ503" s="26"/>
      <c r="EA503" s="26"/>
      <c r="EB503" s="26"/>
      <c r="EC503" s="26"/>
      <c r="ED503" s="26"/>
      <c r="EE503" s="26"/>
      <c r="EF503" s="26"/>
      <c r="EG503" s="26"/>
      <c r="EH503" s="26"/>
      <c r="EI503" s="26"/>
      <c r="EJ503" s="26"/>
      <c r="EK503" s="26"/>
      <c r="EL503" s="26"/>
      <c r="EM503" s="26"/>
      <c r="EN503" s="26"/>
      <c r="EO503" s="26"/>
      <c r="EP503" s="26"/>
      <c r="EQ503" s="26"/>
      <c r="ER503" s="26"/>
      <c r="ES503" s="26"/>
      <c r="ET503" s="26"/>
      <c r="EU503" s="26"/>
      <c r="EV503" s="26"/>
      <c r="EW503" s="26"/>
      <c r="EX503" s="26"/>
      <c r="EY503" s="26"/>
      <c r="EZ503" s="26"/>
      <c r="FA503" s="60"/>
      <c r="FB503" s="60"/>
      <c r="FC503" s="60"/>
      <c r="FD503" s="60"/>
      <c r="FE503" s="60"/>
      <c r="FF503" s="60"/>
      <c r="FG503" s="60"/>
      <c r="FH503" s="60"/>
      <c r="FI503" s="60"/>
      <c r="FJ503" s="60"/>
      <c r="FK503" s="60"/>
      <c r="FL503" s="60"/>
      <c r="FM503" s="60"/>
      <c r="FN503" s="60"/>
      <c r="FO503" s="60"/>
      <c r="FP503" s="60"/>
      <c r="FQ503" s="60"/>
      <c r="FR503" s="60"/>
      <c r="FS503" s="60"/>
      <c r="FT503" s="60"/>
      <c r="FU503" s="60"/>
      <c r="FV503" s="60"/>
      <c r="FW503" s="60"/>
      <c r="FX503" s="60"/>
    </row>
    <row r="504">
      <c r="A504" s="18"/>
      <c r="B504" s="14"/>
      <c r="C504" s="14"/>
      <c r="D504" s="14"/>
      <c r="E504" s="18"/>
      <c r="F504" s="18"/>
      <c r="G504" s="18"/>
      <c r="H504" s="18"/>
      <c r="I504" s="18"/>
      <c r="J504" s="18"/>
      <c r="K504" s="18"/>
      <c r="L504" s="18"/>
      <c r="M504" s="18"/>
      <c r="N504" s="18"/>
      <c r="O504" s="18"/>
      <c r="P504" s="23"/>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26"/>
      <c r="CU504" s="26"/>
      <c r="CV504" s="26"/>
      <c r="CW504" s="26"/>
      <c r="CX504" s="26"/>
      <c r="CY504" s="26"/>
      <c r="CZ504" s="26"/>
      <c r="DA504" s="26"/>
      <c r="DB504" s="26"/>
      <c r="DC504" s="26"/>
      <c r="DD504" s="26"/>
      <c r="DE504" s="26"/>
      <c r="DF504" s="26"/>
      <c r="DG504" s="26"/>
      <c r="DH504" s="26"/>
      <c r="DI504" s="26"/>
      <c r="DJ504" s="26"/>
      <c r="DK504" s="26"/>
      <c r="DL504" s="26"/>
      <c r="DM504" s="26"/>
      <c r="DN504" s="26"/>
      <c r="DO504" s="26"/>
      <c r="DP504" s="26"/>
      <c r="DQ504" s="26"/>
      <c r="DR504" s="26"/>
      <c r="DS504" s="26"/>
      <c r="DT504" s="26"/>
      <c r="DU504" s="26"/>
      <c r="DV504" s="26"/>
      <c r="DW504" s="26"/>
      <c r="DX504" s="26"/>
      <c r="DY504" s="26"/>
      <c r="DZ504" s="26"/>
      <c r="EA504" s="26"/>
      <c r="EB504" s="26"/>
      <c r="EC504" s="26"/>
      <c r="ED504" s="26"/>
      <c r="EE504" s="26"/>
      <c r="EF504" s="26"/>
      <c r="EG504" s="26"/>
      <c r="EH504" s="26"/>
      <c r="EI504" s="26"/>
      <c r="EJ504" s="26"/>
      <c r="EK504" s="26"/>
      <c r="EL504" s="26"/>
      <c r="EM504" s="26"/>
      <c r="EN504" s="26"/>
      <c r="EO504" s="26"/>
      <c r="EP504" s="26"/>
      <c r="EQ504" s="26"/>
      <c r="ER504" s="26"/>
      <c r="ES504" s="26"/>
      <c r="ET504" s="26"/>
      <c r="EU504" s="26"/>
      <c r="EV504" s="26"/>
      <c r="EW504" s="26"/>
      <c r="EX504" s="26"/>
      <c r="EY504" s="26"/>
      <c r="EZ504" s="26"/>
      <c r="FA504" s="60"/>
      <c r="FB504" s="60"/>
      <c r="FC504" s="60"/>
      <c r="FD504" s="60"/>
      <c r="FE504" s="60"/>
      <c r="FF504" s="60"/>
      <c r="FG504" s="60"/>
      <c r="FH504" s="60"/>
      <c r="FI504" s="60"/>
      <c r="FJ504" s="60"/>
      <c r="FK504" s="60"/>
      <c r="FL504" s="60"/>
      <c r="FM504" s="60"/>
      <c r="FN504" s="60"/>
      <c r="FO504" s="60"/>
      <c r="FP504" s="60"/>
      <c r="FQ504" s="60"/>
      <c r="FR504" s="60"/>
      <c r="FS504" s="60"/>
      <c r="FT504" s="60"/>
      <c r="FU504" s="60"/>
      <c r="FV504" s="60"/>
      <c r="FW504" s="60"/>
      <c r="FX504" s="60"/>
    </row>
    <row r="505">
      <c r="A505" s="18"/>
      <c r="B505" s="14"/>
      <c r="C505" s="14"/>
      <c r="D505" s="14"/>
      <c r="E505" s="18"/>
      <c r="F505" s="18"/>
      <c r="G505" s="18"/>
      <c r="H505" s="18"/>
      <c r="I505" s="18"/>
      <c r="J505" s="18"/>
      <c r="K505" s="18"/>
      <c r="L505" s="18"/>
      <c r="M505" s="18"/>
      <c r="N505" s="18"/>
      <c r="O505" s="18"/>
      <c r="P505" s="23"/>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26"/>
      <c r="CU505" s="26"/>
      <c r="CV505" s="26"/>
      <c r="CW505" s="26"/>
      <c r="CX505" s="26"/>
      <c r="CY505" s="26"/>
      <c r="CZ505" s="26"/>
      <c r="DA505" s="26"/>
      <c r="DB505" s="26"/>
      <c r="DC505" s="26"/>
      <c r="DD505" s="26"/>
      <c r="DE505" s="26"/>
      <c r="DF505" s="26"/>
      <c r="DG505" s="26"/>
      <c r="DH505" s="26"/>
      <c r="DI505" s="26"/>
      <c r="DJ505" s="26"/>
      <c r="DK505" s="26"/>
      <c r="DL505" s="26"/>
      <c r="DM505" s="26"/>
      <c r="DN505" s="26"/>
      <c r="DO505" s="26"/>
      <c r="DP505" s="26"/>
      <c r="DQ505" s="26"/>
      <c r="DR505" s="26"/>
      <c r="DS505" s="26"/>
      <c r="DT505" s="26"/>
      <c r="DU505" s="26"/>
      <c r="DV505" s="26"/>
      <c r="DW505" s="26"/>
      <c r="DX505" s="26"/>
      <c r="DY505" s="26"/>
      <c r="DZ505" s="26"/>
      <c r="EA505" s="26"/>
      <c r="EB505" s="26"/>
      <c r="EC505" s="26"/>
      <c r="ED505" s="26"/>
      <c r="EE505" s="26"/>
      <c r="EF505" s="26"/>
      <c r="EG505" s="26"/>
      <c r="EH505" s="26"/>
      <c r="EI505" s="26"/>
      <c r="EJ505" s="26"/>
      <c r="EK505" s="26"/>
      <c r="EL505" s="26"/>
      <c r="EM505" s="26"/>
      <c r="EN505" s="26"/>
      <c r="EO505" s="26"/>
      <c r="EP505" s="26"/>
      <c r="EQ505" s="26"/>
      <c r="ER505" s="26"/>
      <c r="ES505" s="26"/>
      <c r="ET505" s="26"/>
      <c r="EU505" s="26"/>
      <c r="EV505" s="26"/>
      <c r="EW505" s="26"/>
      <c r="EX505" s="26"/>
      <c r="EY505" s="26"/>
      <c r="EZ505" s="26"/>
      <c r="FA505" s="60"/>
      <c r="FB505" s="60"/>
      <c r="FC505" s="60"/>
      <c r="FD505" s="60"/>
      <c r="FE505" s="60"/>
      <c r="FF505" s="60"/>
      <c r="FG505" s="60"/>
      <c r="FH505" s="60"/>
      <c r="FI505" s="60"/>
      <c r="FJ505" s="60"/>
      <c r="FK505" s="60"/>
      <c r="FL505" s="60"/>
      <c r="FM505" s="60"/>
      <c r="FN505" s="60"/>
      <c r="FO505" s="60"/>
      <c r="FP505" s="60"/>
      <c r="FQ505" s="60"/>
      <c r="FR505" s="60"/>
      <c r="FS505" s="60"/>
      <c r="FT505" s="60"/>
      <c r="FU505" s="60"/>
      <c r="FV505" s="60"/>
      <c r="FW505" s="60"/>
      <c r="FX505" s="60"/>
    </row>
    <row r="506">
      <c r="A506" s="18"/>
      <c r="B506" s="14"/>
      <c r="C506" s="14"/>
      <c r="D506" s="14"/>
      <c r="E506" s="18"/>
      <c r="F506" s="18"/>
      <c r="G506" s="18"/>
      <c r="H506" s="18"/>
      <c r="I506" s="18"/>
      <c r="J506" s="18"/>
      <c r="K506" s="18"/>
      <c r="L506" s="18"/>
      <c r="M506" s="18"/>
      <c r="N506" s="18"/>
      <c r="O506" s="18"/>
      <c r="P506" s="23"/>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26"/>
      <c r="CU506" s="26"/>
      <c r="CV506" s="26"/>
      <c r="CW506" s="26"/>
      <c r="CX506" s="26"/>
      <c r="CY506" s="26"/>
      <c r="CZ506" s="26"/>
      <c r="DA506" s="26"/>
      <c r="DB506" s="26"/>
      <c r="DC506" s="26"/>
      <c r="DD506" s="26"/>
      <c r="DE506" s="26"/>
      <c r="DF506" s="26"/>
      <c r="DG506" s="26"/>
      <c r="DH506" s="26"/>
      <c r="DI506" s="26"/>
      <c r="DJ506" s="26"/>
      <c r="DK506" s="26"/>
      <c r="DL506" s="26"/>
      <c r="DM506" s="26"/>
      <c r="DN506" s="26"/>
      <c r="DO506" s="26"/>
      <c r="DP506" s="26"/>
      <c r="DQ506" s="26"/>
      <c r="DR506" s="26"/>
      <c r="DS506" s="26"/>
      <c r="DT506" s="26"/>
      <c r="DU506" s="26"/>
      <c r="DV506" s="26"/>
      <c r="DW506" s="26"/>
      <c r="DX506" s="26"/>
      <c r="DY506" s="26"/>
      <c r="DZ506" s="26"/>
      <c r="EA506" s="26"/>
      <c r="EB506" s="26"/>
      <c r="EC506" s="26"/>
      <c r="ED506" s="26"/>
      <c r="EE506" s="26"/>
      <c r="EF506" s="26"/>
      <c r="EG506" s="26"/>
      <c r="EH506" s="26"/>
      <c r="EI506" s="26"/>
      <c r="EJ506" s="26"/>
      <c r="EK506" s="26"/>
      <c r="EL506" s="26"/>
      <c r="EM506" s="26"/>
      <c r="EN506" s="26"/>
      <c r="EO506" s="26"/>
      <c r="EP506" s="26"/>
      <c r="EQ506" s="26"/>
      <c r="ER506" s="26"/>
      <c r="ES506" s="26"/>
      <c r="ET506" s="26"/>
      <c r="EU506" s="26"/>
      <c r="EV506" s="26"/>
      <c r="EW506" s="26"/>
      <c r="EX506" s="26"/>
      <c r="EY506" s="26"/>
      <c r="EZ506" s="26"/>
      <c r="FA506" s="60"/>
      <c r="FB506" s="60"/>
      <c r="FC506" s="60"/>
      <c r="FD506" s="60"/>
      <c r="FE506" s="60"/>
      <c r="FF506" s="60"/>
      <c r="FG506" s="60"/>
      <c r="FH506" s="60"/>
      <c r="FI506" s="60"/>
      <c r="FJ506" s="60"/>
      <c r="FK506" s="60"/>
      <c r="FL506" s="60"/>
      <c r="FM506" s="60"/>
      <c r="FN506" s="60"/>
      <c r="FO506" s="60"/>
      <c r="FP506" s="60"/>
      <c r="FQ506" s="60"/>
      <c r="FR506" s="60"/>
      <c r="FS506" s="60"/>
      <c r="FT506" s="60"/>
      <c r="FU506" s="60"/>
      <c r="FV506" s="60"/>
      <c r="FW506" s="60"/>
      <c r="FX506" s="60"/>
    </row>
    <row r="507">
      <c r="A507" s="18"/>
      <c r="B507" s="14"/>
      <c r="C507" s="14"/>
      <c r="D507" s="14"/>
      <c r="E507" s="18"/>
      <c r="F507" s="18"/>
      <c r="G507" s="18"/>
      <c r="H507" s="18"/>
      <c r="I507" s="18"/>
      <c r="J507" s="18"/>
      <c r="K507" s="18"/>
      <c r="L507" s="18"/>
      <c r="M507" s="18"/>
      <c r="N507" s="18"/>
      <c r="O507" s="18"/>
      <c r="P507" s="23"/>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26"/>
      <c r="CU507" s="26"/>
      <c r="CV507" s="26"/>
      <c r="CW507" s="26"/>
      <c r="CX507" s="26"/>
      <c r="CY507" s="26"/>
      <c r="CZ507" s="26"/>
      <c r="DA507" s="26"/>
      <c r="DB507" s="26"/>
      <c r="DC507" s="26"/>
      <c r="DD507" s="26"/>
      <c r="DE507" s="26"/>
      <c r="DF507" s="26"/>
      <c r="DG507" s="26"/>
      <c r="DH507" s="26"/>
      <c r="DI507" s="26"/>
      <c r="DJ507" s="26"/>
      <c r="DK507" s="26"/>
      <c r="DL507" s="26"/>
      <c r="DM507" s="26"/>
      <c r="DN507" s="26"/>
      <c r="DO507" s="26"/>
      <c r="DP507" s="26"/>
      <c r="DQ507" s="26"/>
      <c r="DR507" s="26"/>
      <c r="DS507" s="26"/>
      <c r="DT507" s="26"/>
      <c r="DU507" s="26"/>
      <c r="DV507" s="26"/>
      <c r="DW507" s="26"/>
      <c r="DX507" s="26"/>
      <c r="DY507" s="26"/>
      <c r="DZ507" s="26"/>
      <c r="EA507" s="26"/>
      <c r="EB507" s="26"/>
      <c r="EC507" s="26"/>
      <c r="ED507" s="26"/>
      <c r="EE507" s="26"/>
      <c r="EF507" s="26"/>
      <c r="EG507" s="26"/>
      <c r="EH507" s="26"/>
      <c r="EI507" s="26"/>
      <c r="EJ507" s="26"/>
      <c r="EK507" s="26"/>
      <c r="EL507" s="26"/>
      <c r="EM507" s="26"/>
      <c r="EN507" s="26"/>
      <c r="EO507" s="26"/>
      <c r="EP507" s="26"/>
      <c r="EQ507" s="26"/>
      <c r="ER507" s="26"/>
      <c r="ES507" s="26"/>
      <c r="ET507" s="26"/>
      <c r="EU507" s="26"/>
      <c r="EV507" s="26"/>
      <c r="EW507" s="26"/>
      <c r="EX507" s="26"/>
      <c r="EY507" s="26"/>
      <c r="EZ507" s="26"/>
      <c r="FA507" s="60"/>
      <c r="FB507" s="60"/>
      <c r="FC507" s="60"/>
      <c r="FD507" s="60"/>
      <c r="FE507" s="60"/>
      <c r="FF507" s="60"/>
      <c r="FG507" s="60"/>
      <c r="FH507" s="60"/>
      <c r="FI507" s="60"/>
      <c r="FJ507" s="60"/>
      <c r="FK507" s="60"/>
      <c r="FL507" s="60"/>
      <c r="FM507" s="60"/>
      <c r="FN507" s="60"/>
      <c r="FO507" s="60"/>
      <c r="FP507" s="60"/>
      <c r="FQ507" s="60"/>
      <c r="FR507" s="60"/>
      <c r="FS507" s="60"/>
      <c r="FT507" s="60"/>
      <c r="FU507" s="60"/>
      <c r="FV507" s="60"/>
      <c r="FW507" s="60"/>
      <c r="FX507" s="60"/>
    </row>
    <row r="508">
      <c r="A508" s="18"/>
      <c r="B508" s="14"/>
      <c r="C508" s="14"/>
      <c r="D508" s="14"/>
      <c r="E508" s="18"/>
      <c r="F508" s="18"/>
      <c r="G508" s="18"/>
      <c r="H508" s="18"/>
      <c r="I508" s="18"/>
      <c r="J508" s="18"/>
      <c r="K508" s="18"/>
      <c r="L508" s="18"/>
      <c r="M508" s="18"/>
      <c r="N508" s="18"/>
      <c r="O508" s="18"/>
      <c r="P508" s="23"/>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26"/>
      <c r="CU508" s="26"/>
      <c r="CV508" s="26"/>
      <c r="CW508" s="26"/>
      <c r="CX508" s="26"/>
      <c r="CY508" s="26"/>
      <c r="CZ508" s="26"/>
      <c r="DA508" s="26"/>
      <c r="DB508" s="26"/>
      <c r="DC508" s="26"/>
      <c r="DD508" s="26"/>
      <c r="DE508" s="26"/>
      <c r="DF508" s="26"/>
      <c r="DG508" s="26"/>
      <c r="DH508" s="26"/>
      <c r="DI508" s="26"/>
      <c r="DJ508" s="26"/>
      <c r="DK508" s="26"/>
      <c r="DL508" s="26"/>
      <c r="DM508" s="26"/>
      <c r="DN508" s="26"/>
      <c r="DO508" s="26"/>
      <c r="DP508" s="26"/>
      <c r="DQ508" s="26"/>
      <c r="DR508" s="26"/>
      <c r="DS508" s="26"/>
      <c r="DT508" s="26"/>
      <c r="DU508" s="26"/>
      <c r="DV508" s="26"/>
      <c r="DW508" s="26"/>
      <c r="DX508" s="26"/>
      <c r="DY508" s="26"/>
      <c r="DZ508" s="26"/>
      <c r="EA508" s="26"/>
      <c r="EB508" s="26"/>
      <c r="EC508" s="26"/>
      <c r="ED508" s="26"/>
      <c r="EE508" s="26"/>
      <c r="EF508" s="26"/>
      <c r="EG508" s="26"/>
      <c r="EH508" s="26"/>
      <c r="EI508" s="26"/>
      <c r="EJ508" s="26"/>
      <c r="EK508" s="26"/>
      <c r="EL508" s="26"/>
      <c r="EM508" s="26"/>
      <c r="EN508" s="26"/>
      <c r="EO508" s="26"/>
      <c r="EP508" s="26"/>
      <c r="EQ508" s="26"/>
      <c r="ER508" s="26"/>
      <c r="ES508" s="26"/>
      <c r="ET508" s="26"/>
      <c r="EU508" s="26"/>
      <c r="EV508" s="26"/>
      <c r="EW508" s="26"/>
      <c r="EX508" s="26"/>
      <c r="EY508" s="26"/>
      <c r="EZ508" s="26"/>
      <c r="FA508" s="60"/>
      <c r="FB508" s="60"/>
      <c r="FC508" s="60"/>
      <c r="FD508" s="60"/>
      <c r="FE508" s="60"/>
      <c r="FF508" s="60"/>
      <c r="FG508" s="60"/>
      <c r="FH508" s="60"/>
      <c r="FI508" s="60"/>
      <c r="FJ508" s="60"/>
      <c r="FK508" s="60"/>
      <c r="FL508" s="60"/>
      <c r="FM508" s="60"/>
      <c r="FN508" s="60"/>
      <c r="FO508" s="60"/>
      <c r="FP508" s="60"/>
      <c r="FQ508" s="60"/>
      <c r="FR508" s="60"/>
      <c r="FS508" s="60"/>
      <c r="FT508" s="60"/>
      <c r="FU508" s="60"/>
      <c r="FV508" s="60"/>
      <c r="FW508" s="60"/>
      <c r="FX508" s="60"/>
    </row>
    <row r="509">
      <c r="A509" s="18"/>
      <c r="B509" s="14"/>
      <c r="C509" s="14"/>
      <c r="D509" s="14"/>
      <c r="E509" s="18"/>
      <c r="F509" s="18"/>
      <c r="G509" s="18"/>
      <c r="H509" s="18"/>
      <c r="I509" s="18"/>
      <c r="J509" s="18"/>
      <c r="K509" s="18"/>
      <c r="L509" s="18"/>
      <c r="M509" s="18"/>
      <c r="N509" s="18"/>
      <c r="O509" s="18"/>
      <c r="P509" s="23"/>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26"/>
      <c r="CU509" s="26"/>
      <c r="CV509" s="26"/>
      <c r="CW509" s="26"/>
      <c r="CX509" s="26"/>
      <c r="CY509" s="26"/>
      <c r="CZ509" s="26"/>
      <c r="DA509" s="26"/>
      <c r="DB509" s="26"/>
      <c r="DC509" s="26"/>
      <c r="DD509" s="26"/>
      <c r="DE509" s="26"/>
      <c r="DF509" s="26"/>
      <c r="DG509" s="26"/>
      <c r="DH509" s="26"/>
      <c r="DI509" s="26"/>
      <c r="DJ509" s="26"/>
      <c r="DK509" s="26"/>
      <c r="DL509" s="26"/>
      <c r="DM509" s="26"/>
      <c r="DN509" s="26"/>
      <c r="DO509" s="26"/>
      <c r="DP509" s="26"/>
      <c r="DQ509" s="26"/>
      <c r="DR509" s="26"/>
      <c r="DS509" s="26"/>
      <c r="DT509" s="26"/>
      <c r="DU509" s="26"/>
      <c r="DV509" s="26"/>
      <c r="DW509" s="26"/>
      <c r="DX509" s="26"/>
      <c r="DY509" s="26"/>
      <c r="DZ509" s="26"/>
      <c r="EA509" s="26"/>
      <c r="EB509" s="26"/>
      <c r="EC509" s="26"/>
      <c r="ED509" s="26"/>
      <c r="EE509" s="26"/>
      <c r="EF509" s="26"/>
      <c r="EG509" s="26"/>
      <c r="EH509" s="26"/>
      <c r="EI509" s="26"/>
      <c r="EJ509" s="26"/>
      <c r="EK509" s="26"/>
      <c r="EL509" s="26"/>
      <c r="EM509" s="26"/>
      <c r="EN509" s="26"/>
      <c r="EO509" s="26"/>
      <c r="EP509" s="26"/>
      <c r="EQ509" s="26"/>
      <c r="ER509" s="26"/>
      <c r="ES509" s="26"/>
      <c r="ET509" s="26"/>
      <c r="EU509" s="26"/>
      <c r="EV509" s="26"/>
      <c r="EW509" s="26"/>
      <c r="EX509" s="26"/>
      <c r="EY509" s="26"/>
      <c r="EZ509" s="26"/>
      <c r="FA509" s="60"/>
      <c r="FB509" s="60"/>
      <c r="FC509" s="60"/>
      <c r="FD509" s="60"/>
      <c r="FE509" s="60"/>
      <c r="FF509" s="60"/>
      <c r="FG509" s="60"/>
      <c r="FH509" s="60"/>
      <c r="FI509" s="60"/>
      <c r="FJ509" s="60"/>
      <c r="FK509" s="60"/>
      <c r="FL509" s="60"/>
      <c r="FM509" s="60"/>
      <c r="FN509" s="60"/>
      <c r="FO509" s="60"/>
      <c r="FP509" s="60"/>
      <c r="FQ509" s="60"/>
      <c r="FR509" s="60"/>
      <c r="FS509" s="60"/>
      <c r="FT509" s="60"/>
      <c r="FU509" s="60"/>
      <c r="FV509" s="60"/>
      <c r="FW509" s="60"/>
      <c r="FX509" s="60"/>
    </row>
    <row r="510">
      <c r="A510" s="18"/>
      <c r="B510" s="14"/>
      <c r="C510" s="14"/>
      <c r="D510" s="14"/>
      <c r="E510" s="18"/>
      <c r="F510" s="18"/>
      <c r="G510" s="18"/>
      <c r="H510" s="18"/>
      <c r="I510" s="18"/>
      <c r="J510" s="18"/>
      <c r="K510" s="18"/>
      <c r="L510" s="18"/>
      <c r="M510" s="18"/>
      <c r="N510" s="18"/>
      <c r="O510" s="18"/>
      <c r="P510" s="23"/>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26"/>
      <c r="CU510" s="26"/>
      <c r="CV510" s="26"/>
      <c r="CW510" s="26"/>
      <c r="CX510" s="26"/>
      <c r="CY510" s="26"/>
      <c r="CZ510" s="26"/>
      <c r="DA510" s="26"/>
      <c r="DB510" s="26"/>
      <c r="DC510" s="26"/>
      <c r="DD510" s="26"/>
      <c r="DE510" s="26"/>
      <c r="DF510" s="26"/>
      <c r="DG510" s="26"/>
      <c r="DH510" s="26"/>
      <c r="DI510" s="26"/>
      <c r="DJ510" s="26"/>
      <c r="DK510" s="26"/>
      <c r="DL510" s="26"/>
      <c r="DM510" s="26"/>
      <c r="DN510" s="26"/>
      <c r="DO510" s="26"/>
      <c r="DP510" s="26"/>
      <c r="DQ510" s="26"/>
      <c r="DR510" s="26"/>
      <c r="DS510" s="26"/>
      <c r="DT510" s="26"/>
      <c r="DU510" s="26"/>
      <c r="DV510" s="26"/>
      <c r="DW510" s="26"/>
      <c r="DX510" s="26"/>
      <c r="DY510" s="26"/>
      <c r="DZ510" s="26"/>
      <c r="EA510" s="26"/>
      <c r="EB510" s="26"/>
      <c r="EC510" s="26"/>
      <c r="ED510" s="26"/>
      <c r="EE510" s="26"/>
      <c r="EF510" s="26"/>
      <c r="EG510" s="26"/>
      <c r="EH510" s="26"/>
      <c r="EI510" s="26"/>
      <c r="EJ510" s="26"/>
      <c r="EK510" s="26"/>
      <c r="EL510" s="26"/>
      <c r="EM510" s="26"/>
      <c r="EN510" s="26"/>
      <c r="EO510" s="26"/>
      <c r="EP510" s="26"/>
      <c r="EQ510" s="26"/>
      <c r="ER510" s="26"/>
      <c r="ES510" s="26"/>
      <c r="ET510" s="26"/>
      <c r="EU510" s="26"/>
      <c r="EV510" s="26"/>
      <c r="EW510" s="26"/>
      <c r="EX510" s="26"/>
      <c r="EY510" s="26"/>
      <c r="EZ510" s="26"/>
      <c r="FA510" s="60"/>
      <c r="FB510" s="60"/>
      <c r="FC510" s="60"/>
      <c r="FD510" s="60"/>
      <c r="FE510" s="60"/>
      <c r="FF510" s="60"/>
      <c r="FG510" s="60"/>
      <c r="FH510" s="60"/>
      <c r="FI510" s="60"/>
      <c r="FJ510" s="60"/>
      <c r="FK510" s="60"/>
      <c r="FL510" s="60"/>
      <c r="FM510" s="60"/>
      <c r="FN510" s="60"/>
      <c r="FO510" s="60"/>
      <c r="FP510" s="60"/>
      <c r="FQ510" s="60"/>
      <c r="FR510" s="60"/>
      <c r="FS510" s="60"/>
      <c r="FT510" s="60"/>
      <c r="FU510" s="60"/>
      <c r="FV510" s="60"/>
      <c r="FW510" s="60"/>
      <c r="FX510" s="60"/>
    </row>
    <row r="511">
      <c r="A511" s="18"/>
      <c r="B511" s="14"/>
      <c r="C511" s="14"/>
      <c r="D511" s="14"/>
      <c r="E511" s="18"/>
      <c r="F511" s="18"/>
      <c r="G511" s="18"/>
      <c r="H511" s="18"/>
      <c r="I511" s="18"/>
      <c r="J511" s="18"/>
      <c r="K511" s="18"/>
      <c r="L511" s="18"/>
      <c r="M511" s="18"/>
      <c r="N511" s="18"/>
      <c r="O511" s="18"/>
      <c r="P511" s="23"/>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26"/>
      <c r="CU511" s="26"/>
      <c r="CV511" s="26"/>
      <c r="CW511" s="26"/>
      <c r="CX511" s="26"/>
      <c r="CY511" s="26"/>
      <c r="CZ511" s="26"/>
      <c r="DA511" s="26"/>
      <c r="DB511" s="26"/>
      <c r="DC511" s="26"/>
      <c r="DD511" s="26"/>
      <c r="DE511" s="26"/>
      <c r="DF511" s="26"/>
      <c r="DG511" s="26"/>
      <c r="DH511" s="26"/>
      <c r="DI511" s="26"/>
      <c r="DJ511" s="26"/>
      <c r="DK511" s="26"/>
      <c r="DL511" s="26"/>
      <c r="DM511" s="26"/>
      <c r="DN511" s="26"/>
      <c r="DO511" s="26"/>
      <c r="DP511" s="26"/>
      <c r="DQ511" s="26"/>
      <c r="DR511" s="26"/>
      <c r="DS511" s="26"/>
      <c r="DT511" s="26"/>
      <c r="DU511" s="26"/>
      <c r="DV511" s="26"/>
      <c r="DW511" s="26"/>
      <c r="DX511" s="26"/>
      <c r="DY511" s="26"/>
      <c r="DZ511" s="26"/>
      <c r="EA511" s="26"/>
      <c r="EB511" s="26"/>
      <c r="EC511" s="26"/>
      <c r="ED511" s="26"/>
      <c r="EE511" s="26"/>
      <c r="EF511" s="26"/>
      <c r="EG511" s="26"/>
      <c r="EH511" s="26"/>
      <c r="EI511" s="26"/>
      <c r="EJ511" s="26"/>
      <c r="EK511" s="26"/>
      <c r="EL511" s="26"/>
      <c r="EM511" s="26"/>
      <c r="EN511" s="26"/>
      <c r="EO511" s="26"/>
      <c r="EP511" s="26"/>
      <c r="EQ511" s="26"/>
      <c r="ER511" s="26"/>
      <c r="ES511" s="26"/>
      <c r="ET511" s="26"/>
      <c r="EU511" s="26"/>
      <c r="EV511" s="26"/>
      <c r="EW511" s="26"/>
      <c r="EX511" s="26"/>
      <c r="EY511" s="26"/>
      <c r="EZ511" s="26"/>
      <c r="FA511" s="60"/>
      <c r="FB511" s="60"/>
      <c r="FC511" s="60"/>
      <c r="FD511" s="60"/>
      <c r="FE511" s="60"/>
      <c r="FF511" s="60"/>
      <c r="FG511" s="60"/>
      <c r="FH511" s="60"/>
      <c r="FI511" s="60"/>
      <c r="FJ511" s="60"/>
      <c r="FK511" s="60"/>
      <c r="FL511" s="60"/>
      <c r="FM511" s="60"/>
      <c r="FN511" s="60"/>
      <c r="FO511" s="60"/>
      <c r="FP511" s="60"/>
      <c r="FQ511" s="60"/>
      <c r="FR511" s="60"/>
      <c r="FS511" s="60"/>
      <c r="FT511" s="60"/>
      <c r="FU511" s="60"/>
      <c r="FV511" s="60"/>
      <c r="FW511" s="60"/>
      <c r="FX511" s="60"/>
    </row>
    <row r="512">
      <c r="A512" s="18"/>
      <c r="B512" s="14"/>
      <c r="C512" s="14"/>
      <c r="D512" s="14"/>
      <c r="E512" s="18"/>
      <c r="F512" s="18"/>
      <c r="G512" s="18"/>
      <c r="H512" s="18"/>
      <c r="I512" s="18"/>
      <c r="J512" s="18"/>
      <c r="K512" s="18"/>
      <c r="L512" s="18"/>
      <c r="M512" s="18"/>
      <c r="N512" s="18"/>
      <c r="O512" s="18"/>
      <c r="P512" s="23"/>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26"/>
      <c r="CU512" s="26"/>
      <c r="CV512" s="26"/>
      <c r="CW512" s="26"/>
      <c r="CX512" s="26"/>
      <c r="CY512" s="26"/>
      <c r="CZ512" s="26"/>
      <c r="DA512" s="26"/>
      <c r="DB512" s="26"/>
      <c r="DC512" s="26"/>
      <c r="DD512" s="26"/>
      <c r="DE512" s="26"/>
      <c r="DF512" s="26"/>
      <c r="DG512" s="26"/>
      <c r="DH512" s="26"/>
      <c r="DI512" s="26"/>
      <c r="DJ512" s="26"/>
      <c r="DK512" s="26"/>
      <c r="DL512" s="26"/>
      <c r="DM512" s="26"/>
      <c r="DN512" s="26"/>
      <c r="DO512" s="26"/>
      <c r="DP512" s="26"/>
      <c r="DQ512" s="26"/>
      <c r="DR512" s="26"/>
      <c r="DS512" s="26"/>
      <c r="DT512" s="26"/>
      <c r="DU512" s="26"/>
      <c r="DV512" s="26"/>
      <c r="DW512" s="26"/>
      <c r="DX512" s="26"/>
      <c r="DY512" s="26"/>
      <c r="DZ512" s="26"/>
      <c r="EA512" s="26"/>
      <c r="EB512" s="26"/>
      <c r="EC512" s="26"/>
      <c r="ED512" s="26"/>
      <c r="EE512" s="26"/>
      <c r="EF512" s="26"/>
      <c r="EG512" s="26"/>
      <c r="EH512" s="26"/>
      <c r="EI512" s="26"/>
      <c r="EJ512" s="26"/>
      <c r="EK512" s="26"/>
      <c r="EL512" s="26"/>
      <c r="EM512" s="26"/>
      <c r="EN512" s="26"/>
      <c r="EO512" s="26"/>
      <c r="EP512" s="26"/>
      <c r="EQ512" s="26"/>
      <c r="ER512" s="26"/>
      <c r="ES512" s="26"/>
      <c r="ET512" s="26"/>
      <c r="EU512" s="26"/>
      <c r="EV512" s="26"/>
      <c r="EW512" s="26"/>
      <c r="EX512" s="26"/>
      <c r="EY512" s="26"/>
      <c r="EZ512" s="26"/>
      <c r="FA512" s="60"/>
      <c r="FB512" s="60"/>
      <c r="FC512" s="60"/>
      <c r="FD512" s="60"/>
      <c r="FE512" s="60"/>
      <c r="FF512" s="60"/>
      <c r="FG512" s="60"/>
      <c r="FH512" s="60"/>
      <c r="FI512" s="60"/>
      <c r="FJ512" s="60"/>
      <c r="FK512" s="60"/>
      <c r="FL512" s="60"/>
      <c r="FM512" s="60"/>
      <c r="FN512" s="60"/>
      <c r="FO512" s="60"/>
      <c r="FP512" s="60"/>
      <c r="FQ512" s="60"/>
      <c r="FR512" s="60"/>
      <c r="FS512" s="60"/>
      <c r="FT512" s="60"/>
      <c r="FU512" s="60"/>
      <c r="FV512" s="60"/>
      <c r="FW512" s="60"/>
      <c r="FX512" s="60"/>
    </row>
    <row r="513">
      <c r="A513" s="18"/>
      <c r="B513" s="14"/>
      <c r="C513" s="14"/>
      <c r="D513" s="14"/>
      <c r="E513" s="18"/>
      <c r="F513" s="18"/>
      <c r="G513" s="18"/>
      <c r="H513" s="18"/>
      <c r="I513" s="18"/>
      <c r="J513" s="18"/>
      <c r="K513" s="18"/>
      <c r="L513" s="18"/>
      <c r="M513" s="18"/>
      <c r="N513" s="18"/>
      <c r="O513" s="18"/>
      <c r="P513" s="23"/>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26"/>
      <c r="CU513" s="26"/>
      <c r="CV513" s="26"/>
      <c r="CW513" s="26"/>
      <c r="CX513" s="26"/>
      <c r="CY513" s="26"/>
      <c r="CZ513" s="26"/>
      <c r="DA513" s="26"/>
      <c r="DB513" s="26"/>
      <c r="DC513" s="26"/>
      <c r="DD513" s="26"/>
      <c r="DE513" s="26"/>
      <c r="DF513" s="26"/>
      <c r="DG513" s="26"/>
      <c r="DH513" s="26"/>
      <c r="DI513" s="26"/>
      <c r="DJ513" s="26"/>
      <c r="DK513" s="26"/>
      <c r="DL513" s="26"/>
      <c r="DM513" s="26"/>
      <c r="DN513" s="26"/>
      <c r="DO513" s="26"/>
      <c r="DP513" s="26"/>
      <c r="DQ513" s="26"/>
      <c r="DR513" s="26"/>
      <c r="DS513" s="26"/>
      <c r="DT513" s="26"/>
      <c r="DU513" s="26"/>
      <c r="DV513" s="26"/>
      <c r="DW513" s="26"/>
      <c r="DX513" s="26"/>
      <c r="DY513" s="26"/>
      <c r="DZ513" s="26"/>
      <c r="EA513" s="26"/>
      <c r="EB513" s="26"/>
      <c r="EC513" s="26"/>
      <c r="ED513" s="26"/>
      <c r="EE513" s="26"/>
      <c r="EF513" s="26"/>
      <c r="EG513" s="26"/>
      <c r="EH513" s="26"/>
      <c r="EI513" s="26"/>
      <c r="EJ513" s="26"/>
      <c r="EK513" s="26"/>
      <c r="EL513" s="26"/>
      <c r="EM513" s="26"/>
      <c r="EN513" s="26"/>
      <c r="EO513" s="26"/>
      <c r="EP513" s="26"/>
      <c r="EQ513" s="26"/>
      <c r="ER513" s="26"/>
      <c r="ES513" s="26"/>
      <c r="ET513" s="26"/>
      <c r="EU513" s="26"/>
      <c r="EV513" s="26"/>
      <c r="EW513" s="26"/>
      <c r="EX513" s="26"/>
      <c r="EY513" s="26"/>
      <c r="EZ513" s="26"/>
      <c r="FA513" s="60"/>
      <c r="FB513" s="60"/>
      <c r="FC513" s="60"/>
      <c r="FD513" s="60"/>
      <c r="FE513" s="60"/>
      <c r="FF513" s="60"/>
      <c r="FG513" s="60"/>
      <c r="FH513" s="60"/>
      <c r="FI513" s="60"/>
      <c r="FJ513" s="60"/>
      <c r="FK513" s="60"/>
      <c r="FL513" s="60"/>
      <c r="FM513" s="60"/>
      <c r="FN513" s="60"/>
      <c r="FO513" s="60"/>
      <c r="FP513" s="60"/>
      <c r="FQ513" s="60"/>
      <c r="FR513" s="60"/>
      <c r="FS513" s="60"/>
      <c r="FT513" s="60"/>
      <c r="FU513" s="60"/>
      <c r="FV513" s="60"/>
      <c r="FW513" s="60"/>
      <c r="FX513" s="60"/>
    </row>
    <row r="514">
      <c r="A514" s="18"/>
      <c r="B514" s="14"/>
      <c r="C514" s="14"/>
      <c r="D514" s="14"/>
      <c r="E514" s="18"/>
      <c r="F514" s="18"/>
      <c r="G514" s="18"/>
      <c r="H514" s="18"/>
      <c r="I514" s="18"/>
      <c r="J514" s="18"/>
      <c r="K514" s="18"/>
      <c r="L514" s="18"/>
      <c r="M514" s="18"/>
      <c r="N514" s="18"/>
      <c r="O514" s="18"/>
      <c r="P514" s="23"/>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26"/>
      <c r="CU514" s="26"/>
      <c r="CV514" s="26"/>
      <c r="CW514" s="26"/>
      <c r="CX514" s="26"/>
      <c r="CY514" s="26"/>
      <c r="CZ514" s="26"/>
      <c r="DA514" s="26"/>
      <c r="DB514" s="26"/>
      <c r="DC514" s="26"/>
      <c r="DD514" s="26"/>
      <c r="DE514" s="26"/>
      <c r="DF514" s="26"/>
      <c r="DG514" s="26"/>
      <c r="DH514" s="26"/>
      <c r="DI514" s="26"/>
      <c r="DJ514" s="26"/>
      <c r="DK514" s="26"/>
      <c r="DL514" s="26"/>
      <c r="DM514" s="26"/>
      <c r="DN514" s="26"/>
      <c r="DO514" s="26"/>
      <c r="DP514" s="26"/>
      <c r="DQ514" s="26"/>
      <c r="DR514" s="26"/>
      <c r="DS514" s="26"/>
      <c r="DT514" s="26"/>
      <c r="DU514" s="26"/>
      <c r="DV514" s="26"/>
      <c r="DW514" s="26"/>
      <c r="DX514" s="26"/>
      <c r="DY514" s="26"/>
      <c r="DZ514" s="26"/>
      <c r="EA514" s="26"/>
      <c r="EB514" s="26"/>
      <c r="EC514" s="26"/>
      <c r="ED514" s="26"/>
      <c r="EE514" s="26"/>
      <c r="EF514" s="26"/>
      <c r="EG514" s="26"/>
      <c r="EH514" s="26"/>
      <c r="EI514" s="26"/>
      <c r="EJ514" s="26"/>
      <c r="EK514" s="26"/>
      <c r="EL514" s="26"/>
      <c r="EM514" s="26"/>
      <c r="EN514" s="26"/>
      <c r="EO514" s="26"/>
      <c r="EP514" s="26"/>
      <c r="EQ514" s="26"/>
      <c r="ER514" s="26"/>
      <c r="ES514" s="26"/>
      <c r="ET514" s="26"/>
      <c r="EU514" s="26"/>
      <c r="EV514" s="26"/>
      <c r="EW514" s="26"/>
      <c r="EX514" s="26"/>
      <c r="EY514" s="26"/>
      <c r="EZ514" s="26"/>
      <c r="FA514" s="60"/>
      <c r="FB514" s="60"/>
      <c r="FC514" s="60"/>
      <c r="FD514" s="60"/>
      <c r="FE514" s="60"/>
      <c r="FF514" s="60"/>
      <c r="FG514" s="60"/>
      <c r="FH514" s="60"/>
      <c r="FI514" s="60"/>
      <c r="FJ514" s="60"/>
      <c r="FK514" s="60"/>
      <c r="FL514" s="60"/>
      <c r="FM514" s="60"/>
      <c r="FN514" s="60"/>
      <c r="FO514" s="60"/>
      <c r="FP514" s="60"/>
      <c r="FQ514" s="60"/>
      <c r="FR514" s="60"/>
      <c r="FS514" s="60"/>
      <c r="FT514" s="60"/>
      <c r="FU514" s="60"/>
      <c r="FV514" s="60"/>
      <c r="FW514" s="60"/>
      <c r="FX514" s="60"/>
    </row>
    <row r="515">
      <c r="A515" s="18"/>
      <c r="B515" s="14"/>
      <c r="C515" s="14"/>
      <c r="D515" s="14"/>
      <c r="E515" s="18"/>
      <c r="F515" s="18"/>
      <c r="G515" s="18"/>
      <c r="H515" s="18"/>
      <c r="I515" s="18"/>
      <c r="J515" s="18"/>
      <c r="K515" s="18"/>
      <c r="L515" s="18"/>
      <c r="M515" s="18"/>
      <c r="N515" s="18"/>
      <c r="O515" s="18"/>
      <c r="P515" s="23"/>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26"/>
      <c r="CU515" s="26"/>
      <c r="CV515" s="26"/>
      <c r="CW515" s="26"/>
      <c r="CX515" s="26"/>
      <c r="CY515" s="26"/>
      <c r="CZ515" s="26"/>
      <c r="DA515" s="26"/>
      <c r="DB515" s="26"/>
      <c r="DC515" s="26"/>
      <c r="DD515" s="26"/>
      <c r="DE515" s="26"/>
      <c r="DF515" s="26"/>
      <c r="DG515" s="26"/>
      <c r="DH515" s="26"/>
      <c r="DI515" s="26"/>
      <c r="DJ515" s="26"/>
      <c r="DK515" s="26"/>
      <c r="DL515" s="26"/>
      <c r="DM515" s="26"/>
      <c r="DN515" s="26"/>
      <c r="DO515" s="26"/>
      <c r="DP515" s="26"/>
      <c r="DQ515" s="26"/>
      <c r="DR515" s="26"/>
      <c r="DS515" s="26"/>
      <c r="DT515" s="26"/>
      <c r="DU515" s="26"/>
      <c r="DV515" s="26"/>
      <c r="DW515" s="26"/>
      <c r="DX515" s="26"/>
      <c r="DY515" s="26"/>
      <c r="DZ515" s="26"/>
      <c r="EA515" s="26"/>
      <c r="EB515" s="26"/>
      <c r="EC515" s="26"/>
      <c r="ED515" s="26"/>
      <c r="EE515" s="26"/>
      <c r="EF515" s="26"/>
      <c r="EG515" s="26"/>
      <c r="EH515" s="26"/>
      <c r="EI515" s="26"/>
      <c r="EJ515" s="26"/>
      <c r="EK515" s="26"/>
      <c r="EL515" s="26"/>
      <c r="EM515" s="26"/>
      <c r="EN515" s="26"/>
      <c r="EO515" s="26"/>
      <c r="EP515" s="26"/>
      <c r="EQ515" s="26"/>
      <c r="ER515" s="26"/>
      <c r="ES515" s="26"/>
      <c r="ET515" s="26"/>
      <c r="EU515" s="26"/>
      <c r="EV515" s="26"/>
      <c r="EW515" s="26"/>
      <c r="EX515" s="26"/>
      <c r="EY515" s="26"/>
      <c r="EZ515" s="26"/>
      <c r="FA515" s="60"/>
      <c r="FB515" s="60"/>
      <c r="FC515" s="60"/>
      <c r="FD515" s="60"/>
      <c r="FE515" s="60"/>
      <c r="FF515" s="60"/>
      <c r="FG515" s="60"/>
      <c r="FH515" s="60"/>
      <c r="FI515" s="60"/>
      <c r="FJ515" s="60"/>
      <c r="FK515" s="60"/>
      <c r="FL515" s="60"/>
      <c r="FM515" s="60"/>
      <c r="FN515" s="60"/>
      <c r="FO515" s="60"/>
      <c r="FP515" s="60"/>
      <c r="FQ515" s="60"/>
      <c r="FR515" s="60"/>
      <c r="FS515" s="60"/>
      <c r="FT515" s="60"/>
      <c r="FU515" s="60"/>
      <c r="FV515" s="60"/>
      <c r="FW515" s="60"/>
      <c r="FX515" s="60"/>
    </row>
    <row r="516">
      <c r="A516" s="18"/>
      <c r="B516" s="14"/>
      <c r="C516" s="14"/>
      <c r="D516" s="14"/>
      <c r="E516" s="18"/>
      <c r="F516" s="18"/>
      <c r="G516" s="18"/>
      <c r="H516" s="18"/>
      <c r="I516" s="18"/>
      <c r="J516" s="18"/>
      <c r="K516" s="18"/>
      <c r="L516" s="18"/>
      <c r="M516" s="18"/>
      <c r="N516" s="18"/>
      <c r="O516" s="18"/>
      <c r="P516" s="23"/>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26"/>
      <c r="CU516" s="26"/>
      <c r="CV516" s="26"/>
      <c r="CW516" s="26"/>
      <c r="CX516" s="26"/>
      <c r="CY516" s="26"/>
      <c r="CZ516" s="26"/>
      <c r="DA516" s="26"/>
      <c r="DB516" s="26"/>
      <c r="DC516" s="26"/>
      <c r="DD516" s="26"/>
      <c r="DE516" s="26"/>
      <c r="DF516" s="26"/>
      <c r="DG516" s="26"/>
      <c r="DH516" s="26"/>
      <c r="DI516" s="26"/>
      <c r="DJ516" s="26"/>
      <c r="DK516" s="26"/>
      <c r="DL516" s="26"/>
      <c r="DM516" s="26"/>
      <c r="DN516" s="26"/>
      <c r="DO516" s="26"/>
      <c r="DP516" s="26"/>
      <c r="DQ516" s="26"/>
      <c r="DR516" s="26"/>
      <c r="DS516" s="26"/>
      <c r="DT516" s="26"/>
      <c r="DU516" s="26"/>
      <c r="DV516" s="26"/>
      <c r="DW516" s="26"/>
      <c r="DX516" s="26"/>
      <c r="DY516" s="26"/>
      <c r="DZ516" s="26"/>
      <c r="EA516" s="26"/>
      <c r="EB516" s="26"/>
      <c r="EC516" s="26"/>
      <c r="ED516" s="26"/>
      <c r="EE516" s="26"/>
      <c r="EF516" s="26"/>
      <c r="EG516" s="26"/>
      <c r="EH516" s="26"/>
      <c r="EI516" s="26"/>
      <c r="EJ516" s="26"/>
      <c r="EK516" s="26"/>
      <c r="EL516" s="26"/>
      <c r="EM516" s="26"/>
      <c r="EN516" s="26"/>
      <c r="EO516" s="26"/>
      <c r="EP516" s="26"/>
      <c r="EQ516" s="26"/>
      <c r="ER516" s="26"/>
      <c r="ES516" s="26"/>
      <c r="ET516" s="26"/>
      <c r="EU516" s="26"/>
      <c r="EV516" s="26"/>
      <c r="EW516" s="26"/>
      <c r="EX516" s="26"/>
      <c r="EY516" s="26"/>
      <c r="EZ516" s="26"/>
      <c r="FA516" s="60"/>
      <c r="FB516" s="60"/>
      <c r="FC516" s="60"/>
      <c r="FD516" s="60"/>
      <c r="FE516" s="60"/>
      <c r="FF516" s="60"/>
      <c r="FG516" s="60"/>
      <c r="FH516" s="60"/>
      <c r="FI516" s="60"/>
      <c r="FJ516" s="60"/>
      <c r="FK516" s="60"/>
      <c r="FL516" s="60"/>
      <c r="FM516" s="60"/>
      <c r="FN516" s="60"/>
      <c r="FO516" s="60"/>
      <c r="FP516" s="60"/>
      <c r="FQ516" s="60"/>
      <c r="FR516" s="60"/>
      <c r="FS516" s="60"/>
      <c r="FT516" s="60"/>
      <c r="FU516" s="60"/>
      <c r="FV516" s="60"/>
      <c r="FW516" s="60"/>
      <c r="FX516" s="60"/>
    </row>
    <row r="517">
      <c r="A517" s="18"/>
      <c r="B517" s="14"/>
      <c r="C517" s="14"/>
      <c r="D517" s="14"/>
      <c r="E517" s="18"/>
      <c r="F517" s="18"/>
      <c r="G517" s="18"/>
      <c r="H517" s="18"/>
      <c r="I517" s="18"/>
      <c r="J517" s="18"/>
      <c r="K517" s="18"/>
      <c r="L517" s="18"/>
      <c r="M517" s="18"/>
      <c r="N517" s="18"/>
      <c r="O517" s="18"/>
      <c r="P517" s="23"/>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26"/>
      <c r="CU517" s="26"/>
      <c r="CV517" s="26"/>
      <c r="CW517" s="26"/>
      <c r="CX517" s="26"/>
      <c r="CY517" s="26"/>
      <c r="CZ517" s="26"/>
      <c r="DA517" s="26"/>
      <c r="DB517" s="26"/>
      <c r="DC517" s="26"/>
      <c r="DD517" s="26"/>
      <c r="DE517" s="26"/>
      <c r="DF517" s="26"/>
      <c r="DG517" s="26"/>
      <c r="DH517" s="26"/>
      <c r="DI517" s="26"/>
      <c r="DJ517" s="26"/>
      <c r="DK517" s="26"/>
      <c r="DL517" s="26"/>
      <c r="DM517" s="26"/>
      <c r="DN517" s="26"/>
      <c r="DO517" s="26"/>
      <c r="DP517" s="26"/>
      <c r="DQ517" s="26"/>
      <c r="DR517" s="26"/>
      <c r="DS517" s="26"/>
      <c r="DT517" s="26"/>
      <c r="DU517" s="26"/>
      <c r="DV517" s="26"/>
      <c r="DW517" s="26"/>
      <c r="DX517" s="26"/>
      <c r="DY517" s="26"/>
      <c r="DZ517" s="26"/>
      <c r="EA517" s="26"/>
      <c r="EB517" s="26"/>
      <c r="EC517" s="26"/>
      <c r="ED517" s="26"/>
      <c r="EE517" s="26"/>
      <c r="EF517" s="26"/>
      <c r="EG517" s="26"/>
      <c r="EH517" s="26"/>
      <c r="EI517" s="26"/>
      <c r="EJ517" s="26"/>
      <c r="EK517" s="26"/>
      <c r="EL517" s="26"/>
      <c r="EM517" s="26"/>
      <c r="EN517" s="26"/>
      <c r="EO517" s="26"/>
      <c r="EP517" s="26"/>
      <c r="EQ517" s="26"/>
      <c r="ER517" s="26"/>
      <c r="ES517" s="26"/>
      <c r="ET517" s="26"/>
      <c r="EU517" s="26"/>
      <c r="EV517" s="26"/>
      <c r="EW517" s="26"/>
      <c r="EX517" s="26"/>
      <c r="EY517" s="26"/>
      <c r="EZ517" s="26"/>
      <c r="FA517" s="60"/>
      <c r="FB517" s="60"/>
      <c r="FC517" s="60"/>
      <c r="FD517" s="60"/>
      <c r="FE517" s="60"/>
      <c r="FF517" s="60"/>
      <c r="FG517" s="60"/>
      <c r="FH517" s="60"/>
      <c r="FI517" s="60"/>
      <c r="FJ517" s="60"/>
      <c r="FK517" s="60"/>
      <c r="FL517" s="60"/>
      <c r="FM517" s="60"/>
      <c r="FN517" s="60"/>
      <c r="FO517" s="60"/>
      <c r="FP517" s="60"/>
      <c r="FQ517" s="60"/>
      <c r="FR517" s="60"/>
      <c r="FS517" s="60"/>
      <c r="FT517" s="60"/>
      <c r="FU517" s="60"/>
      <c r="FV517" s="60"/>
      <c r="FW517" s="60"/>
      <c r="FX517" s="60"/>
    </row>
    <row r="518">
      <c r="A518" s="18"/>
      <c r="B518" s="14"/>
      <c r="C518" s="14"/>
      <c r="D518" s="14"/>
      <c r="E518" s="18"/>
      <c r="F518" s="18"/>
      <c r="G518" s="18"/>
      <c r="H518" s="18"/>
      <c r="I518" s="18"/>
      <c r="J518" s="18"/>
      <c r="K518" s="18"/>
      <c r="L518" s="18"/>
      <c r="M518" s="18"/>
      <c r="N518" s="18"/>
      <c r="O518" s="18"/>
      <c r="P518" s="23"/>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26"/>
      <c r="CU518" s="26"/>
      <c r="CV518" s="26"/>
      <c r="CW518" s="26"/>
      <c r="CX518" s="26"/>
      <c r="CY518" s="26"/>
      <c r="CZ518" s="26"/>
      <c r="DA518" s="26"/>
      <c r="DB518" s="26"/>
      <c r="DC518" s="26"/>
      <c r="DD518" s="26"/>
      <c r="DE518" s="26"/>
      <c r="DF518" s="26"/>
      <c r="DG518" s="26"/>
      <c r="DH518" s="26"/>
      <c r="DI518" s="26"/>
      <c r="DJ518" s="26"/>
      <c r="DK518" s="26"/>
      <c r="DL518" s="26"/>
      <c r="DM518" s="26"/>
      <c r="DN518" s="26"/>
      <c r="DO518" s="26"/>
      <c r="DP518" s="26"/>
      <c r="DQ518" s="26"/>
      <c r="DR518" s="26"/>
      <c r="DS518" s="26"/>
      <c r="DT518" s="26"/>
      <c r="DU518" s="26"/>
      <c r="DV518" s="26"/>
      <c r="DW518" s="26"/>
      <c r="DX518" s="26"/>
      <c r="DY518" s="26"/>
      <c r="DZ518" s="26"/>
      <c r="EA518" s="26"/>
      <c r="EB518" s="26"/>
      <c r="EC518" s="26"/>
      <c r="ED518" s="26"/>
      <c r="EE518" s="26"/>
      <c r="EF518" s="26"/>
      <c r="EG518" s="26"/>
      <c r="EH518" s="26"/>
      <c r="EI518" s="26"/>
      <c r="EJ518" s="26"/>
      <c r="EK518" s="26"/>
      <c r="EL518" s="26"/>
      <c r="EM518" s="26"/>
      <c r="EN518" s="26"/>
      <c r="EO518" s="26"/>
      <c r="EP518" s="26"/>
      <c r="EQ518" s="26"/>
      <c r="ER518" s="26"/>
      <c r="ES518" s="26"/>
      <c r="ET518" s="26"/>
      <c r="EU518" s="26"/>
      <c r="EV518" s="26"/>
      <c r="EW518" s="26"/>
      <c r="EX518" s="26"/>
      <c r="EY518" s="26"/>
      <c r="EZ518" s="26"/>
      <c r="FA518" s="60"/>
      <c r="FB518" s="60"/>
      <c r="FC518" s="60"/>
      <c r="FD518" s="60"/>
      <c r="FE518" s="60"/>
      <c r="FF518" s="60"/>
      <c r="FG518" s="60"/>
      <c r="FH518" s="60"/>
      <c r="FI518" s="60"/>
      <c r="FJ518" s="60"/>
      <c r="FK518" s="60"/>
      <c r="FL518" s="60"/>
      <c r="FM518" s="60"/>
      <c r="FN518" s="60"/>
      <c r="FO518" s="60"/>
      <c r="FP518" s="60"/>
      <c r="FQ518" s="60"/>
      <c r="FR518" s="60"/>
      <c r="FS518" s="60"/>
      <c r="FT518" s="60"/>
      <c r="FU518" s="60"/>
      <c r="FV518" s="60"/>
      <c r="FW518" s="60"/>
      <c r="FX518" s="60"/>
    </row>
    <row r="519">
      <c r="A519" s="18"/>
      <c r="B519" s="14"/>
      <c r="C519" s="14"/>
      <c r="D519" s="14"/>
      <c r="E519" s="18"/>
      <c r="F519" s="18"/>
      <c r="G519" s="18"/>
      <c r="H519" s="18"/>
      <c r="I519" s="18"/>
      <c r="J519" s="18"/>
      <c r="K519" s="18"/>
      <c r="L519" s="18"/>
      <c r="M519" s="18"/>
      <c r="N519" s="18"/>
      <c r="O519" s="18"/>
      <c r="P519" s="23"/>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26"/>
      <c r="CU519" s="26"/>
      <c r="CV519" s="26"/>
      <c r="CW519" s="26"/>
      <c r="CX519" s="26"/>
      <c r="CY519" s="26"/>
      <c r="CZ519" s="26"/>
      <c r="DA519" s="26"/>
      <c r="DB519" s="26"/>
      <c r="DC519" s="26"/>
      <c r="DD519" s="26"/>
      <c r="DE519" s="26"/>
      <c r="DF519" s="26"/>
      <c r="DG519" s="26"/>
      <c r="DH519" s="26"/>
      <c r="DI519" s="26"/>
      <c r="DJ519" s="26"/>
      <c r="DK519" s="26"/>
      <c r="DL519" s="26"/>
      <c r="DM519" s="26"/>
      <c r="DN519" s="26"/>
      <c r="DO519" s="26"/>
      <c r="DP519" s="26"/>
      <c r="DQ519" s="26"/>
      <c r="DR519" s="26"/>
      <c r="DS519" s="26"/>
      <c r="DT519" s="26"/>
      <c r="DU519" s="26"/>
      <c r="DV519" s="26"/>
      <c r="DW519" s="26"/>
      <c r="DX519" s="26"/>
      <c r="DY519" s="26"/>
      <c r="DZ519" s="26"/>
      <c r="EA519" s="26"/>
      <c r="EB519" s="26"/>
      <c r="EC519" s="26"/>
      <c r="ED519" s="26"/>
      <c r="EE519" s="26"/>
      <c r="EF519" s="26"/>
      <c r="EG519" s="26"/>
      <c r="EH519" s="26"/>
      <c r="EI519" s="26"/>
      <c r="EJ519" s="26"/>
      <c r="EK519" s="26"/>
      <c r="EL519" s="26"/>
      <c r="EM519" s="26"/>
      <c r="EN519" s="26"/>
      <c r="EO519" s="26"/>
      <c r="EP519" s="26"/>
      <c r="EQ519" s="26"/>
      <c r="ER519" s="26"/>
      <c r="ES519" s="26"/>
      <c r="ET519" s="26"/>
      <c r="EU519" s="26"/>
      <c r="EV519" s="26"/>
      <c r="EW519" s="26"/>
      <c r="EX519" s="26"/>
      <c r="EY519" s="26"/>
      <c r="EZ519" s="26"/>
      <c r="FA519" s="60"/>
      <c r="FB519" s="60"/>
      <c r="FC519" s="60"/>
      <c r="FD519" s="60"/>
      <c r="FE519" s="60"/>
      <c r="FF519" s="60"/>
      <c r="FG519" s="60"/>
      <c r="FH519" s="60"/>
      <c r="FI519" s="60"/>
      <c r="FJ519" s="60"/>
      <c r="FK519" s="60"/>
      <c r="FL519" s="60"/>
      <c r="FM519" s="60"/>
      <c r="FN519" s="60"/>
      <c r="FO519" s="60"/>
      <c r="FP519" s="60"/>
      <c r="FQ519" s="60"/>
      <c r="FR519" s="60"/>
      <c r="FS519" s="60"/>
      <c r="FT519" s="60"/>
      <c r="FU519" s="60"/>
      <c r="FV519" s="60"/>
      <c r="FW519" s="60"/>
      <c r="FX519" s="60"/>
    </row>
    <row r="520">
      <c r="A520" s="18"/>
      <c r="B520" s="14"/>
      <c r="C520" s="14"/>
      <c r="D520" s="14"/>
      <c r="E520" s="18"/>
      <c r="F520" s="18"/>
      <c r="G520" s="18"/>
      <c r="H520" s="18"/>
      <c r="I520" s="18"/>
      <c r="J520" s="18"/>
      <c r="K520" s="18"/>
      <c r="L520" s="18"/>
      <c r="M520" s="18"/>
      <c r="N520" s="18"/>
      <c r="O520" s="18"/>
      <c r="P520" s="23"/>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26"/>
      <c r="CU520" s="26"/>
      <c r="CV520" s="26"/>
      <c r="CW520" s="26"/>
      <c r="CX520" s="26"/>
      <c r="CY520" s="26"/>
      <c r="CZ520" s="26"/>
      <c r="DA520" s="26"/>
      <c r="DB520" s="26"/>
      <c r="DC520" s="26"/>
      <c r="DD520" s="26"/>
      <c r="DE520" s="26"/>
      <c r="DF520" s="26"/>
      <c r="DG520" s="26"/>
      <c r="DH520" s="26"/>
      <c r="DI520" s="26"/>
      <c r="DJ520" s="26"/>
      <c r="DK520" s="26"/>
      <c r="DL520" s="26"/>
      <c r="DM520" s="26"/>
      <c r="DN520" s="26"/>
      <c r="DO520" s="26"/>
      <c r="DP520" s="26"/>
      <c r="DQ520" s="26"/>
      <c r="DR520" s="26"/>
      <c r="DS520" s="26"/>
      <c r="DT520" s="26"/>
      <c r="DU520" s="26"/>
      <c r="DV520" s="26"/>
      <c r="DW520" s="26"/>
      <c r="DX520" s="26"/>
      <c r="DY520" s="26"/>
      <c r="DZ520" s="26"/>
      <c r="EA520" s="26"/>
      <c r="EB520" s="26"/>
      <c r="EC520" s="26"/>
      <c r="ED520" s="26"/>
      <c r="EE520" s="26"/>
      <c r="EF520" s="26"/>
      <c r="EG520" s="26"/>
      <c r="EH520" s="26"/>
      <c r="EI520" s="26"/>
      <c r="EJ520" s="26"/>
      <c r="EK520" s="26"/>
      <c r="EL520" s="26"/>
      <c r="EM520" s="26"/>
      <c r="EN520" s="26"/>
      <c r="EO520" s="26"/>
      <c r="EP520" s="26"/>
      <c r="EQ520" s="26"/>
      <c r="ER520" s="26"/>
      <c r="ES520" s="26"/>
      <c r="ET520" s="26"/>
      <c r="EU520" s="26"/>
      <c r="EV520" s="26"/>
      <c r="EW520" s="26"/>
      <c r="EX520" s="26"/>
      <c r="EY520" s="26"/>
      <c r="EZ520" s="26"/>
      <c r="FA520" s="60"/>
      <c r="FB520" s="60"/>
      <c r="FC520" s="60"/>
      <c r="FD520" s="60"/>
      <c r="FE520" s="60"/>
      <c r="FF520" s="60"/>
      <c r="FG520" s="60"/>
      <c r="FH520" s="60"/>
      <c r="FI520" s="60"/>
      <c r="FJ520" s="60"/>
      <c r="FK520" s="60"/>
      <c r="FL520" s="60"/>
      <c r="FM520" s="60"/>
      <c r="FN520" s="60"/>
      <c r="FO520" s="60"/>
      <c r="FP520" s="60"/>
      <c r="FQ520" s="60"/>
      <c r="FR520" s="60"/>
      <c r="FS520" s="60"/>
      <c r="FT520" s="60"/>
      <c r="FU520" s="60"/>
      <c r="FV520" s="60"/>
      <c r="FW520" s="60"/>
      <c r="FX520" s="60"/>
    </row>
    <row r="521">
      <c r="A521" s="18"/>
      <c r="B521" s="14"/>
      <c r="C521" s="14"/>
      <c r="D521" s="14"/>
      <c r="E521" s="18"/>
      <c r="F521" s="18"/>
      <c r="G521" s="18"/>
      <c r="H521" s="18"/>
      <c r="I521" s="18"/>
      <c r="J521" s="18"/>
      <c r="K521" s="18"/>
      <c r="L521" s="18"/>
      <c r="M521" s="18"/>
      <c r="N521" s="18"/>
      <c r="O521" s="18"/>
      <c r="P521" s="23"/>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26"/>
      <c r="CU521" s="26"/>
      <c r="CV521" s="26"/>
      <c r="CW521" s="26"/>
      <c r="CX521" s="26"/>
      <c r="CY521" s="26"/>
      <c r="CZ521" s="26"/>
      <c r="DA521" s="26"/>
      <c r="DB521" s="26"/>
      <c r="DC521" s="26"/>
      <c r="DD521" s="26"/>
      <c r="DE521" s="26"/>
      <c r="DF521" s="26"/>
      <c r="DG521" s="26"/>
      <c r="DH521" s="26"/>
      <c r="DI521" s="26"/>
      <c r="DJ521" s="26"/>
      <c r="DK521" s="26"/>
      <c r="DL521" s="26"/>
      <c r="DM521" s="26"/>
      <c r="DN521" s="26"/>
      <c r="DO521" s="26"/>
      <c r="DP521" s="26"/>
      <c r="DQ521" s="26"/>
      <c r="DR521" s="26"/>
      <c r="DS521" s="26"/>
      <c r="DT521" s="26"/>
      <c r="DU521" s="26"/>
      <c r="DV521" s="26"/>
      <c r="DW521" s="26"/>
      <c r="DX521" s="26"/>
      <c r="DY521" s="26"/>
      <c r="DZ521" s="26"/>
      <c r="EA521" s="26"/>
      <c r="EB521" s="26"/>
      <c r="EC521" s="26"/>
      <c r="ED521" s="26"/>
      <c r="EE521" s="26"/>
      <c r="EF521" s="26"/>
      <c r="EG521" s="26"/>
      <c r="EH521" s="26"/>
      <c r="EI521" s="26"/>
      <c r="EJ521" s="26"/>
      <c r="EK521" s="26"/>
      <c r="EL521" s="26"/>
      <c r="EM521" s="26"/>
      <c r="EN521" s="26"/>
      <c r="EO521" s="26"/>
      <c r="EP521" s="26"/>
      <c r="EQ521" s="26"/>
      <c r="ER521" s="26"/>
      <c r="ES521" s="26"/>
      <c r="ET521" s="26"/>
      <c r="EU521" s="26"/>
      <c r="EV521" s="26"/>
      <c r="EW521" s="26"/>
      <c r="EX521" s="26"/>
      <c r="EY521" s="26"/>
      <c r="EZ521" s="26"/>
      <c r="FA521" s="60"/>
      <c r="FB521" s="60"/>
      <c r="FC521" s="60"/>
      <c r="FD521" s="60"/>
      <c r="FE521" s="60"/>
      <c r="FF521" s="60"/>
      <c r="FG521" s="60"/>
      <c r="FH521" s="60"/>
      <c r="FI521" s="60"/>
      <c r="FJ521" s="60"/>
      <c r="FK521" s="60"/>
      <c r="FL521" s="60"/>
      <c r="FM521" s="60"/>
      <c r="FN521" s="60"/>
      <c r="FO521" s="60"/>
      <c r="FP521" s="60"/>
      <c r="FQ521" s="60"/>
      <c r="FR521" s="60"/>
      <c r="FS521" s="60"/>
      <c r="FT521" s="60"/>
      <c r="FU521" s="60"/>
      <c r="FV521" s="60"/>
      <c r="FW521" s="60"/>
      <c r="FX521" s="60"/>
    </row>
    <row r="522">
      <c r="A522" s="18"/>
      <c r="B522" s="14"/>
      <c r="C522" s="14"/>
      <c r="D522" s="14"/>
      <c r="E522" s="18"/>
      <c r="F522" s="18"/>
      <c r="G522" s="18"/>
      <c r="H522" s="18"/>
      <c r="I522" s="18"/>
      <c r="J522" s="18"/>
      <c r="K522" s="18"/>
      <c r="L522" s="18"/>
      <c r="M522" s="18"/>
      <c r="N522" s="18"/>
      <c r="O522" s="18"/>
      <c r="P522" s="23"/>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26"/>
      <c r="CU522" s="26"/>
      <c r="CV522" s="26"/>
      <c r="CW522" s="26"/>
      <c r="CX522" s="26"/>
      <c r="CY522" s="26"/>
      <c r="CZ522" s="26"/>
      <c r="DA522" s="26"/>
      <c r="DB522" s="26"/>
      <c r="DC522" s="26"/>
      <c r="DD522" s="26"/>
      <c r="DE522" s="26"/>
      <c r="DF522" s="26"/>
      <c r="DG522" s="26"/>
      <c r="DH522" s="26"/>
      <c r="DI522" s="26"/>
      <c r="DJ522" s="26"/>
      <c r="DK522" s="26"/>
      <c r="DL522" s="26"/>
      <c r="DM522" s="26"/>
      <c r="DN522" s="26"/>
      <c r="DO522" s="26"/>
      <c r="DP522" s="26"/>
      <c r="DQ522" s="26"/>
      <c r="DR522" s="26"/>
      <c r="DS522" s="26"/>
      <c r="DT522" s="26"/>
      <c r="DU522" s="26"/>
      <c r="DV522" s="26"/>
      <c r="DW522" s="26"/>
      <c r="DX522" s="26"/>
      <c r="DY522" s="26"/>
      <c r="DZ522" s="26"/>
      <c r="EA522" s="26"/>
      <c r="EB522" s="26"/>
      <c r="EC522" s="26"/>
      <c r="ED522" s="26"/>
      <c r="EE522" s="26"/>
      <c r="EF522" s="26"/>
      <c r="EG522" s="26"/>
      <c r="EH522" s="26"/>
      <c r="EI522" s="26"/>
      <c r="EJ522" s="26"/>
      <c r="EK522" s="26"/>
      <c r="EL522" s="26"/>
      <c r="EM522" s="26"/>
      <c r="EN522" s="26"/>
      <c r="EO522" s="26"/>
      <c r="EP522" s="26"/>
      <c r="EQ522" s="26"/>
      <c r="ER522" s="26"/>
      <c r="ES522" s="26"/>
      <c r="ET522" s="26"/>
      <c r="EU522" s="26"/>
      <c r="EV522" s="26"/>
      <c r="EW522" s="26"/>
      <c r="EX522" s="26"/>
      <c r="EY522" s="26"/>
      <c r="EZ522" s="26"/>
      <c r="FA522" s="60"/>
      <c r="FB522" s="60"/>
      <c r="FC522" s="60"/>
      <c r="FD522" s="60"/>
      <c r="FE522" s="60"/>
      <c r="FF522" s="60"/>
      <c r="FG522" s="60"/>
      <c r="FH522" s="60"/>
      <c r="FI522" s="60"/>
      <c r="FJ522" s="60"/>
      <c r="FK522" s="60"/>
      <c r="FL522" s="60"/>
      <c r="FM522" s="60"/>
      <c r="FN522" s="60"/>
      <c r="FO522" s="60"/>
      <c r="FP522" s="60"/>
      <c r="FQ522" s="60"/>
      <c r="FR522" s="60"/>
      <c r="FS522" s="60"/>
      <c r="FT522" s="60"/>
      <c r="FU522" s="60"/>
      <c r="FV522" s="60"/>
      <c r="FW522" s="60"/>
      <c r="FX522" s="60"/>
    </row>
    <row r="523">
      <c r="A523" s="18"/>
      <c r="B523" s="14"/>
      <c r="C523" s="14"/>
      <c r="D523" s="14"/>
      <c r="E523" s="18"/>
      <c r="F523" s="18"/>
      <c r="G523" s="18"/>
      <c r="H523" s="18"/>
      <c r="I523" s="18"/>
      <c r="J523" s="18"/>
      <c r="K523" s="18"/>
      <c r="L523" s="18"/>
      <c r="M523" s="18"/>
      <c r="N523" s="18"/>
      <c r="O523" s="18"/>
      <c r="P523" s="23"/>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26"/>
      <c r="CU523" s="26"/>
      <c r="CV523" s="26"/>
      <c r="CW523" s="26"/>
      <c r="CX523" s="26"/>
      <c r="CY523" s="26"/>
      <c r="CZ523" s="26"/>
      <c r="DA523" s="26"/>
      <c r="DB523" s="26"/>
      <c r="DC523" s="26"/>
      <c r="DD523" s="26"/>
      <c r="DE523" s="26"/>
      <c r="DF523" s="26"/>
      <c r="DG523" s="26"/>
      <c r="DH523" s="26"/>
      <c r="DI523" s="26"/>
      <c r="DJ523" s="26"/>
      <c r="DK523" s="26"/>
      <c r="DL523" s="26"/>
      <c r="DM523" s="26"/>
      <c r="DN523" s="26"/>
      <c r="DO523" s="26"/>
      <c r="DP523" s="26"/>
      <c r="DQ523" s="26"/>
      <c r="DR523" s="26"/>
      <c r="DS523" s="26"/>
      <c r="DT523" s="26"/>
      <c r="DU523" s="26"/>
      <c r="DV523" s="26"/>
      <c r="DW523" s="26"/>
      <c r="DX523" s="26"/>
      <c r="DY523" s="26"/>
      <c r="DZ523" s="26"/>
      <c r="EA523" s="26"/>
      <c r="EB523" s="26"/>
      <c r="EC523" s="26"/>
      <c r="ED523" s="26"/>
      <c r="EE523" s="26"/>
      <c r="EF523" s="26"/>
      <c r="EG523" s="26"/>
      <c r="EH523" s="26"/>
      <c r="EI523" s="26"/>
      <c r="EJ523" s="26"/>
      <c r="EK523" s="26"/>
      <c r="EL523" s="26"/>
      <c r="EM523" s="26"/>
      <c r="EN523" s="26"/>
      <c r="EO523" s="26"/>
      <c r="EP523" s="26"/>
      <c r="EQ523" s="26"/>
      <c r="ER523" s="26"/>
      <c r="ES523" s="26"/>
      <c r="ET523" s="26"/>
      <c r="EU523" s="26"/>
      <c r="EV523" s="26"/>
      <c r="EW523" s="26"/>
      <c r="EX523" s="26"/>
      <c r="EY523" s="26"/>
      <c r="EZ523" s="26"/>
      <c r="FA523" s="60"/>
      <c r="FB523" s="60"/>
      <c r="FC523" s="60"/>
      <c r="FD523" s="60"/>
      <c r="FE523" s="60"/>
      <c r="FF523" s="60"/>
      <c r="FG523" s="60"/>
      <c r="FH523" s="60"/>
      <c r="FI523" s="60"/>
      <c r="FJ523" s="60"/>
      <c r="FK523" s="60"/>
      <c r="FL523" s="60"/>
      <c r="FM523" s="60"/>
      <c r="FN523" s="60"/>
      <c r="FO523" s="60"/>
      <c r="FP523" s="60"/>
      <c r="FQ523" s="60"/>
      <c r="FR523" s="60"/>
      <c r="FS523" s="60"/>
      <c r="FT523" s="60"/>
      <c r="FU523" s="60"/>
      <c r="FV523" s="60"/>
      <c r="FW523" s="60"/>
      <c r="FX523" s="60"/>
    </row>
    <row r="524">
      <c r="A524" s="18"/>
      <c r="B524" s="14"/>
      <c r="C524" s="14"/>
      <c r="D524" s="14"/>
      <c r="E524" s="18"/>
      <c r="F524" s="18"/>
      <c r="G524" s="18"/>
      <c r="H524" s="18"/>
      <c r="I524" s="18"/>
      <c r="J524" s="18"/>
      <c r="K524" s="18"/>
      <c r="L524" s="18"/>
      <c r="M524" s="18"/>
      <c r="N524" s="18"/>
      <c r="O524" s="18"/>
      <c r="P524" s="23"/>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26"/>
      <c r="CU524" s="26"/>
      <c r="CV524" s="26"/>
      <c r="CW524" s="26"/>
      <c r="CX524" s="26"/>
      <c r="CY524" s="26"/>
      <c r="CZ524" s="26"/>
      <c r="DA524" s="26"/>
      <c r="DB524" s="26"/>
      <c r="DC524" s="26"/>
      <c r="DD524" s="26"/>
      <c r="DE524" s="26"/>
      <c r="DF524" s="26"/>
      <c r="DG524" s="26"/>
      <c r="DH524" s="26"/>
      <c r="DI524" s="26"/>
      <c r="DJ524" s="26"/>
      <c r="DK524" s="26"/>
      <c r="DL524" s="26"/>
      <c r="DM524" s="26"/>
      <c r="DN524" s="26"/>
      <c r="DO524" s="26"/>
      <c r="DP524" s="26"/>
      <c r="DQ524" s="26"/>
      <c r="DR524" s="26"/>
      <c r="DS524" s="26"/>
      <c r="DT524" s="26"/>
      <c r="DU524" s="26"/>
      <c r="DV524" s="26"/>
      <c r="DW524" s="26"/>
      <c r="DX524" s="26"/>
      <c r="DY524" s="26"/>
      <c r="DZ524" s="26"/>
      <c r="EA524" s="26"/>
      <c r="EB524" s="26"/>
      <c r="EC524" s="26"/>
      <c r="ED524" s="26"/>
      <c r="EE524" s="26"/>
      <c r="EF524" s="26"/>
      <c r="EG524" s="26"/>
      <c r="EH524" s="26"/>
      <c r="EI524" s="26"/>
      <c r="EJ524" s="26"/>
      <c r="EK524" s="26"/>
      <c r="EL524" s="26"/>
      <c r="EM524" s="26"/>
      <c r="EN524" s="26"/>
      <c r="EO524" s="26"/>
      <c r="EP524" s="26"/>
      <c r="EQ524" s="26"/>
      <c r="ER524" s="26"/>
      <c r="ES524" s="26"/>
      <c r="ET524" s="26"/>
      <c r="EU524" s="26"/>
      <c r="EV524" s="26"/>
      <c r="EW524" s="26"/>
      <c r="EX524" s="26"/>
      <c r="EY524" s="26"/>
      <c r="EZ524" s="26"/>
      <c r="FA524" s="60"/>
      <c r="FB524" s="60"/>
      <c r="FC524" s="60"/>
      <c r="FD524" s="60"/>
      <c r="FE524" s="60"/>
      <c r="FF524" s="60"/>
      <c r="FG524" s="60"/>
      <c r="FH524" s="60"/>
      <c r="FI524" s="60"/>
      <c r="FJ524" s="60"/>
      <c r="FK524" s="60"/>
      <c r="FL524" s="60"/>
      <c r="FM524" s="60"/>
      <c r="FN524" s="60"/>
      <c r="FO524" s="60"/>
      <c r="FP524" s="60"/>
      <c r="FQ524" s="60"/>
      <c r="FR524" s="60"/>
      <c r="FS524" s="60"/>
      <c r="FT524" s="60"/>
      <c r="FU524" s="60"/>
      <c r="FV524" s="60"/>
      <c r="FW524" s="60"/>
      <c r="FX524" s="60"/>
    </row>
    <row r="525">
      <c r="A525" s="18"/>
      <c r="B525" s="14"/>
      <c r="C525" s="14"/>
      <c r="D525" s="14"/>
      <c r="E525" s="18"/>
      <c r="F525" s="18"/>
      <c r="G525" s="18"/>
      <c r="H525" s="18"/>
      <c r="I525" s="18"/>
      <c r="J525" s="18"/>
      <c r="K525" s="18"/>
      <c r="L525" s="18"/>
      <c r="M525" s="18"/>
      <c r="N525" s="18"/>
      <c r="O525" s="18"/>
      <c r="P525" s="23"/>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26"/>
      <c r="CU525" s="26"/>
      <c r="CV525" s="26"/>
      <c r="CW525" s="26"/>
      <c r="CX525" s="26"/>
      <c r="CY525" s="26"/>
      <c r="CZ525" s="26"/>
      <c r="DA525" s="26"/>
      <c r="DB525" s="26"/>
      <c r="DC525" s="26"/>
      <c r="DD525" s="26"/>
      <c r="DE525" s="26"/>
      <c r="DF525" s="26"/>
      <c r="DG525" s="26"/>
      <c r="DH525" s="26"/>
      <c r="DI525" s="26"/>
      <c r="DJ525" s="26"/>
      <c r="DK525" s="26"/>
      <c r="DL525" s="26"/>
      <c r="DM525" s="26"/>
      <c r="DN525" s="26"/>
      <c r="DO525" s="26"/>
      <c r="DP525" s="26"/>
      <c r="DQ525" s="26"/>
      <c r="DR525" s="26"/>
      <c r="DS525" s="26"/>
      <c r="DT525" s="26"/>
      <c r="DU525" s="26"/>
      <c r="DV525" s="26"/>
      <c r="DW525" s="26"/>
      <c r="DX525" s="26"/>
      <c r="DY525" s="26"/>
      <c r="DZ525" s="26"/>
      <c r="EA525" s="26"/>
      <c r="EB525" s="26"/>
      <c r="EC525" s="26"/>
      <c r="ED525" s="26"/>
      <c r="EE525" s="26"/>
      <c r="EF525" s="26"/>
      <c r="EG525" s="26"/>
      <c r="EH525" s="26"/>
      <c r="EI525" s="26"/>
      <c r="EJ525" s="26"/>
      <c r="EK525" s="26"/>
      <c r="EL525" s="26"/>
      <c r="EM525" s="26"/>
      <c r="EN525" s="26"/>
      <c r="EO525" s="26"/>
      <c r="EP525" s="26"/>
      <c r="EQ525" s="26"/>
      <c r="ER525" s="26"/>
      <c r="ES525" s="26"/>
      <c r="ET525" s="26"/>
      <c r="EU525" s="26"/>
      <c r="EV525" s="26"/>
      <c r="EW525" s="26"/>
      <c r="EX525" s="26"/>
      <c r="EY525" s="26"/>
      <c r="EZ525" s="26"/>
      <c r="FA525" s="60"/>
      <c r="FB525" s="60"/>
      <c r="FC525" s="60"/>
      <c r="FD525" s="60"/>
      <c r="FE525" s="60"/>
      <c r="FF525" s="60"/>
      <c r="FG525" s="60"/>
      <c r="FH525" s="60"/>
      <c r="FI525" s="60"/>
      <c r="FJ525" s="60"/>
      <c r="FK525" s="60"/>
      <c r="FL525" s="60"/>
      <c r="FM525" s="60"/>
      <c r="FN525" s="60"/>
      <c r="FO525" s="60"/>
      <c r="FP525" s="60"/>
      <c r="FQ525" s="60"/>
      <c r="FR525" s="60"/>
      <c r="FS525" s="60"/>
      <c r="FT525" s="60"/>
      <c r="FU525" s="60"/>
      <c r="FV525" s="60"/>
      <c r="FW525" s="60"/>
      <c r="FX525" s="60"/>
    </row>
    <row r="526">
      <c r="A526" s="18"/>
      <c r="B526" s="14"/>
      <c r="C526" s="14"/>
      <c r="D526" s="14"/>
      <c r="E526" s="18"/>
      <c r="F526" s="18"/>
      <c r="G526" s="18"/>
      <c r="H526" s="18"/>
      <c r="I526" s="18"/>
      <c r="J526" s="18"/>
      <c r="K526" s="18"/>
      <c r="L526" s="18"/>
      <c r="M526" s="18"/>
      <c r="N526" s="18"/>
      <c r="O526" s="18"/>
      <c r="P526" s="23"/>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26"/>
      <c r="CU526" s="26"/>
      <c r="CV526" s="26"/>
      <c r="CW526" s="26"/>
      <c r="CX526" s="26"/>
      <c r="CY526" s="26"/>
      <c r="CZ526" s="26"/>
      <c r="DA526" s="26"/>
      <c r="DB526" s="26"/>
      <c r="DC526" s="26"/>
      <c r="DD526" s="26"/>
      <c r="DE526" s="26"/>
      <c r="DF526" s="26"/>
      <c r="DG526" s="26"/>
      <c r="DH526" s="26"/>
      <c r="DI526" s="26"/>
      <c r="DJ526" s="26"/>
      <c r="DK526" s="26"/>
      <c r="DL526" s="26"/>
      <c r="DM526" s="26"/>
      <c r="DN526" s="26"/>
      <c r="DO526" s="26"/>
      <c r="DP526" s="26"/>
      <c r="DQ526" s="26"/>
      <c r="DR526" s="26"/>
      <c r="DS526" s="26"/>
      <c r="DT526" s="26"/>
      <c r="DU526" s="26"/>
      <c r="DV526" s="26"/>
      <c r="DW526" s="26"/>
      <c r="DX526" s="26"/>
      <c r="DY526" s="26"/>
      <c r="DZ526" s="26"/>
      <c r="EA526" s="26"/>
      <c r="EB526" s="26"/>
      <c r="EC526" s="26"/>
      <c r="ED526" s="26"/>
      <c r="EE526" s="26"/>
      <c r="EF526" s="26"/>
      <c r="EG526" s="26"/>
      <c r="EH526" s="26"/>
      <c r="EI526" s="26"/>
      <c r="EJ526" s="26"/>
      <c r="EK526" s="26"/>
      <c r="EL526" s="26"/>
      <c r="EM526" s="26"/>
      <c r="EN526" s="26"/>
      <c r="EO526" s="26"/>
      <c r="EP526" s="26"/>
      <c r="EQ526" s="26"/>
      <c r="ER526" s="26"/>
      <c r="ES526" s="26"/>
      <c r="ET526" s="26"/>
      <c r="EU526" s="26"/>
      <c r="EV526" s="26"/>
      <c r="EW526" s="26"/>
      <c r="EX526" s="26"/>
      <c r="EY526" s="26"/>
      <c r="EZ526" s="26"/>
      <c r="FA526" s="60"/>
      <c r="FB526" s="60"/>
      <c r="FC526" s="60"/>
      <c r="FD526" s="60"/>
      <c r="FE526" s="60"/>
      <c r="FF526" s="60"/>
      <c r="FG526" s="60"/>
      <c r="FH526" s="60"/>
      <c r="FI526" s="60"/>
      <c r="FJ526" s="60"/>
      <c r="FK526" s="60"/>
      <c r="FL526" s="60"/>
      <c r="FM526" s="60"/>
      <c r="FN526" s="60"/>
      <c r="FO526" s="60"/>
      <c r="FP526" s="60"/>
      <c r="FQ526" s="60"/>
      <c r="FR526" s="60"/>
      <c r="FS526" s="60"/>
      <c r="FT526" s="60"/>
      <c r="FU526" s="60"/>
      <c r="FV526" s="60"/>
      <c r="FW526" s="60"/>
      <c r="FX526" s="60"/>
    </row>
    <row r="527">
      <c r="A527" s="18"/>
      <c r="B527" s="14"/>
      <c r="C527" s="14"/>
      <c r="D527" s="14"/>
      <c r="E527" s="18"/>
      <c r="F527" s="18"/>
      <c r="G527" s="18"/>
      <c r="H527" s="18"/>
      <c r="I527" s="18"/>
      <c r="J527" s="18"/>
      <c r="K527" s="18"/>
      <c r="L527" s="18"/>
      <c r="M527" s="18"/>
      <c r="N527" s="18"/>
      <c r="O527" s="18"/>
      <c r="P527" s="23"/>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26"/>
      <c r="CU527" s="26"/>
      <c r="CV527" s="26"/>
      <c r="CW527" s="26"/>
      <c r="CX527" s="26"/>
      <c r="CY527" s="26"/>
      <c r="CZ527" s="26"/>
      <c r="DA527" s="26"/>
      <c r="DB527" s="26"/>
      <c r="DC527" s="26"/>
      <c r="DD527" s="26"/>
      <c r="DE527" s="26"/>
      <c r="DF527" s="26"/>
      <c r="DG527" s="26"/>
      <c r="DH527" s="26"/>
      <c r="DI527" s="26"/>
      <c r="DJ527" s="26"/>
      <c r="DK527" s="26"/>
      <c r="DL527" s="26"/>
      <c r="DM527" s="26"/>
      <c r="DN527" s="26"/>
      <c r="DO527" s="26"/>
      <c r="DP527" s="26"/>
      <c r="DQ527" s="26"/>
      <c r="DR527" s="26"/>
      <c r="DS527" s="26"/>
      <c r="DT527" s="26"/>
      <c r="DU527" s="26"/>
      <c r="DV527" s="26"/>
      <c r="DW527" s="26"/>
      <c r="DX527" s="26"/>
      <c r="DY527" s="26"/>
      <c r="DZ527" s="26"/>
      <c r="EA527" s="26"/>
      <c r="EB527" s="26"/>
      <c r="EC527" s="26"/>
      <c r="ED527" s="26"/>
      <c r="EE527" s="26"/>
      <c r="EF527" s="26"/>
      <c r="EG527" s="26"/>
      <c r="EH527" s="26"/>
      <c r="EI527" s="26"/>
      <c r="EJ527" s="26"/>
      <c r="EK527" s="26"/>
      <c r="EL527" s="26"/>
      <c r="EM527" s="26"/>
      <c r="EN527" s="26"/>
      <c r="EO527" s="26"/>
      <c r="EP527" s="26"/>
      <c r="EQ527" s="26"/>
      <c r="ER527" s="26"/>
      <c r="ES527" s="26"/>
      <c r="ET527" s="26"/>
      <c r="EU527" s="26"/>
      <c r="EV527" s="26"/>
      <c r="EW527" s="26"/>
      <c r="EX527" s="26"/>
      <c r="EY527" s="26"/>
      <c r="EZ527" s="26"/>
      <c r="FA527" s="60"/>
      <c r="FB527" s="60"/>
      <c r="FC527" s="60"/>
      <c r="FD527" s="60"/>
      <c r="FE527" s="60"/>
      <c r="FF527" s="60"/>
      <c r="FG527" s="60"/>
      <c r="FH527" s="60"/>
      <c r="FI527" s="60"/>
      <c r="FJ527" s="60"/>
      <c r="FK527" s="60"/>
      <c r="FL527" s="60"/>
      <c r="FM527" s="60"/>
      <c r="FN527" s="60"/>
      <c r="FO527" s="60"/>
      <c r="FP527" s="60"/>
      <c r="FQ527" s="60"/>
      <c r="FR527" s="60"/>
      <c r="FS527" s="60"/>
      <c r="FT527" s="60"/>
      <c r="FU527" s="60"/>
      <c r="FV527" s="60"/>
      <c r="FW527" s="60"/>
      <c r="FX527" s="60"/>
    </row>
    <row r="528">
      <c r="A528" s="18"/>
      <c r="B528" s="14"/>
      <c r="C528" s="14"/>
      <c r="D528" s="14"/>
      <c r="E528" s="18"/>
      <c r="F528" s="18"/>
      <c r="G528" s="18"/>
      <c r="H528" s="18"/>
      <c r="I528" s="18"/>
      <c r="J528" s="18"/>
      <c r="K528" s="18"/>
      <c r="L528" s="18"/>
      <c r="M528" s="18"/>
      <c r="N528" s="18"/>
      <c r="O528" s="18"/>
      <c r="P528" s="23"/>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26"/>
      <c r="CU528" s="26"/>
      <c r="CV528" s="26"/>
      <c r="CW528" s="26"/>
      <c r="CX528" s="26"/>
      <c r="CY528" s="26"/>
      <c r="CZ528" s="26"/>
      <c r="DA528" s="26"/>
      <c r="DB528" s="26"/>
      <c r="DC528" s="26"/>
      <c r="DD528" s="26"/>
      <c r="DE528" s="26"/>
      <c r="DF528" s="26"/>
      <c r="DG528" s="26"/>
      <c r="DH528" s="26"/>
      <c r="DI528" s="26"/>
      <c r="DJ528" s="26"/>
      <c r="DK528" s="26"/>
      <c r="DL528" s="26"/>
      <c r="DM528" s="26"/>
      <c r="DN528" s="26"/>
      <c r="DO528" s="26"/>
      <c r="DP528" s="26"/>
      <c r="DQ528" s="26"/>
      <c r="DR528" s="26"/>
      <c r="DS528" s="26"/>
      <c r="DT528" s="26"/>
      <c r="DU528" s="26"/>
      <c r="DV528" s="26"/>
      <c r="DW528" s="26"/>
      <c r="DX528" s="26"/>
      <c r="DY528" s="26"/>
      <c r="DZ528" s="26"/>
      <c r="EA528" s="26"/>
      <c r="EB528" s="26"/>
      <c r="EC528" s="26"/>
      <c r="ED528" s="26"/>
      <c r="EE528" s="26"/>
      <c r="EF528" s="26"/>
      <c r="EG528" s="26"/>
      <c r="EH528" s="26"/>
      <c r="EI528" s="26"/>
      <c r="EJ528" s="26"/>
      <c r="EK528" s="26"/>
      <c r="EL528" s="26"/>
      <c r="EM528" s="26"/>
      <c r="EN528" s="26"/>
      <c r="EO528" s="26"/>
      <c r="EP528" s="26"/>
      <c r="EQ528" s="26"/>
      <c r="ER528" s="26"/>
      <c r="ES528" s="26"/>
      <c r="ET528" s="26"/>
      <c r="EU528" s="26"/>
      <c r="EV528" s="26"/>
      <c r="EW528" s="26"/>
      <c r="EX528" s="26"/>
      <c r="EY528" s="26"/>
      <c r="EZ528" s="26"/>
      <c r="FA528" s="60"/>
      <c r="FB528" s="60"/>
      <c r="FC528" s="60"/>
      <c r="FD528" s="60"/>
      <c r="FE528" s="60"/>
      <c r="FF528" s="60"/>
      <c r="FG528" s="60"/>
      <c r="FH528" s="60"/>
      <c r="FI528" s="60"/>
      <c r="FJ528" s="60"/>
      <c r="FK528" s="60"/>
      <c r="FL528" s="60"/>
      <c r="FM528" s="60"/>
      <c r="FN528" s="60"/>
      <c r="FO528" s="60"/>
      <c r="FP528" s="60"/>
      <c r="FQ528" s="60"/>
      <c r="FR528" s="60"/>
      <c r="FS528" s="60"/>
      <c r="FT528" s="60"/>
      <c r="FU528" s="60"/>
      <c r="FV528" s="60"/>
      <c r="FW528" s="60"/>
      <c r="FX528" s="60"/>
    </row>
    <row r="529">
      <c r="A529" s="18"/>
      <c r="B529" s="14"/>
      <c r="C529" s="14"/>
      <c r="D529" s="14"/>
      <c r="E529" s="18"/>
      <c r="F529" s="18"/>
      <c r="G529" s="18"/>
      <c r="H529" s="18"/>
      <c r="I529" s="18"/>
      <c r="J529" s="18"/>
      <c r="K529" s="18"/>
      <c r="L529" s="18"/>
      <c r="M529" s="18"/>
      <c r="N529" s="18"/>
      <c r="O529" s="18"/>
      <c r="P529" s="23"/>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26"/>
      <c r="CU529" s="26"/>
      <c r="CV529" s="26"/>
      <c r="CW529" s="26"/>
      <c r="CX529" s="26"/>
      <c r="CY529" s="26"/>
      <c r="CZ529" s="26"/>
      <c r="DA529" s="26"/>
      <c r="DB529" s="26"/>
      <c r="DC529" s="26"/>
      <c r="DD529" s="26"/>
      <c r="DE529" s="26"/>
      <c r="DF529" s="26"/>
      <c r="DG529" s="26"/>
      <c r="DH529" s="26"/>
      <c r="DI529" s="26"/>
      <c r="DJ529" s="26"/>
      <c r="DK529" s="26"/>
      <c r="DL529" s="26"/>
      <c r="DM529" s="26"/>
      <c r="DN529" s="26"/>
      <c r="DO529" s="26"/>
      <c r="DP529" s="26"/>
      <c r="DQ529" s="26"/>
      <c r="DR529" s="26"/>
      <c r="DS529" s="26"/>
      <c r="DT529" s="26"/>
      <c r="DU529" s="26"/>
      <c r="DV529" s="26"/>
      <c r="DW529" s="26"/>
      <c r="DX529" s="26"/>
      <c r="DY529" s="26"/>
      <c r="DZ529" s="26"/>
      <c r="EA529" s="26"/>
      <c r="EB529" s="26"/>
      <c r="EC529" s="26"/>
      <c r="ED529" s="26"/>
      <c r="EE529" s="26"/>
      <c r="EF529" s="26"/>
      <c r="EG529" s="26"/>
      <c r="EH529" s="26"/>
      <c r="EI529" s="26"/>
      <c r="EJ529" s="26"/>
      <c r="EK529" s="26"/>
      <c r="EL529" s="26"/>
      <c r="EM529" s="26"/>
      <c r="EN529" s="26"/>
      <c r="EO529" s="26"/>
      <c r="EP529" s="26"/>
      <c r="EQ529" s="26"/>
      <c r="ER529" s="26"/>
      <c r="ES529" s="26"/>
      <c r="ET529" s="26"/>
      <c r="EU529" s="26"/>
      <c r="EV529" s="26"/>
      <c r="EW529" s="26"/>
      <c r="EX529" s="26"/>
      <c r="EY529" s="26"/>
      <c r="EZ529" s="26"/>
      <c r="FA529" s="60"/>
      <c r="FB529" s="60"/>
      <c r="FC529" s="60"/>
      <c r="FD529" s="60"/>
      <c r="FE529" s="60"/>
      <c r="FF529" s="60"/>
      <c r="FG529" s="60"/>
      <c r="FH529" s="60"/>
      <c r="FI529" s="60"/>
      <c r="FJ529" s="60"/>
      <c r="FK529" s="60"/>
      <c r="FL529" s="60"/>
      <c r="FM529" s="60"/>
      <c r="FN529" s="60"/>
      <c r="FO529" s="60"/>
      <c r="FP529" s="60"/>
      <c r="FQ529" s="60"/>
      <c r="FR529" s="60"/>
      <c r="FS529" s="60"/>
      <c r="FT529" s="60"/>
      <c r="FU529" s="60"/>
      <c r="FV529" s="60"/>
      <c r="FW529" s="60"/>
      <c r="FX529" s="60"/>
    </row>
    <row r="530">
      <c r="A530" s="18"/>
      <c r="B530" s="14"/>
      <c r="C530" s="14"/>
      <c r="D530" s="14"/>
      <c r="E530" s="18"/>
      <c r="F530" s="18"/>
      <c r="G530" s="18"/>
      <c r="H530" s="18"/>
      <c r="I530" s="18"/>
      <c r="J530" s="18"/>
      <c r="K530" s="18"/>
      <c r="L530" s="18"/>
      <c r="M530" s="18"/>
      <c r="N530" s="18"/>
      <c r="O530" s="18"/>
      <c r="P530" s="23"/>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26"/>
      <c r="CU530" s="26"/>
      <c r="CV530" s="26"/>
      <c r="CW530" s="26"/>
      <c r="CX530" s="26"/>
      <c r="CY530" s="26"/>
      <c r="CZ530" s="26"/>
      <c r="DA530" s="26"/>
      <c r="DB530" s="26"/>
      <c r="DC530" s="26"/>
      <c r="DD530" s="26"/>
      <c r="DE530" s="26"/>
      <c r="DF530" s="26"/>
      <c r="DG530" s="26"/>
      <c r="DH530" s="26"/>
      <c r="DI530" s="26"/>
      <c r="DJ530" s="26"/>
      <c r="DK530" s="26"/>
      <c r="DL530" s="26"/>
      <c r="DM530" s="26"/>
      <c r="DN530" s="26"/>
      <c r="DO530" s="26"/>
      <c r="DP530" s="26"/>
      <c r="DQ530" s="26"/>
      <c r="DR530" s="26"/>
      <c r="DS530" s="26"/>
      <c r="DT530" s="26"/>
      <c r="DU530" s="26"/>
      <c r="DV530" s="26"/>
      <c r="DW530" s="26"/>
      <c r="DX530" s="26"/>
      <c r="DY530" s="26"/>
      <c r="DZ530" s="26"/>
      <c r="EA530" s="26"/>
      <c r="EB530" s="26"/>
      <c r="EC530" s="26"/>
      <c r="ED530" s="26"/>
      <c r="EE530" s="26"/>
      <c r="EF530" s="26"/>
      <c r="EG530" s="26"/>
      <c r="EH530" s="26"/>
      <c r="EI530" s="26"/>
      <c r="EJ530" s="26"/>
      <c r="EK530" s="26"/>
      <c r="EL530" s="26"/>
      <c r="EM530" s="26"/>
      <c r="EN530" s="26"/>
      <c r="EO530" s="26"/>
      <c r="EP530" s="26"/>
      <c r="EQ530" s="26"/>
      <c r="ER530" s="26"/>
      <c r="ES530" s="26"/>
      <c r="ET530" s="26"/>
      <c r="EU530" s="26"/>
      <c r="EV530" s="26"/>
      <c r="EW530" s="26"/>
      <c r="EX530" s="26"/>
      <c r="EY530" s="26"/>
      <c r="EZ530" s="26"/>
      <c r="FA530" s="60"/>
      <c r="FB530" s="60"/>
      <c r="FC530" s="60"/>
      <c r="FD530" s="60"/>
      <c r="FE530" s="60"/>
      <c r="FF530" s="60"/>
      <c r="FG530" s="60"/>
      <c r="FH530" s="60"/>
      <c r="FI530" s="60"/>
      <c r="FJ530" s="60"/>
      <c r="FK530" s="60"/>
      <c r="FL530" s="60"/>
      <c r="FM530" s="60"/>
      <c r="FN530" s="60"/>
      <c r="FO530" s="60"/>
      <c r="FP530" s="60"/>
      <c r="FQ530" s="60"/>
      <c r="FR530" s="60"/>
      <c r="FS530" s="60"/>
      <c r="FT530" s="60"/>
      <c r="FU530" s="60"/>
      <c r="FV530" s="60"/>
      <c r="FW530" s="60"/>
      <c r="FX530" s="60"/>
    </row>
    <row r="531">
      <c r="A531" s="18"/>
      <c r="B531" s="14"/>
      <c r="C531" s="14"/>
      <c r="D531" s="14"/>
      <c r="E531" s="18"/>
      <c r="F531" s="18"/>
      <c r="G531" s="18"/>
      <c r="H531" s="18"/>
      <c r="I531" s="18"/>
      <c r="J531" s="18"/>
      <c r="K531" s="18"/>
      <c r="L531" s="18"/>
      <c r="M531" s="18"/>
      <c r="N531" s="18"/>
      <c r="O531" s="18"/>
      <c r="P531" s="23"/>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26"/>
      <c r="CU531" s="26"/>
      <c r="CV531" s="26"/>
      <c r="CW531" s="26"/>
      <c r="CX531" s="26"/>
      <c r="CY531" s="26"/>
      <c r="CZ531" s="26"/>
      <c r="DA531" s="26"/>
      <c r="DB531" s="26"/>
      <c r="DC531" s="26"/>
      <c r="DD531" s="26"/>
      <c r="DE531" s="26"/>
      <c r="DF531" s="26"/>
      <c r="DG531" s="26"/>
      <c r="DH531" s="26"/>
      <c r="DI531" s="26"/>
      <c r="DJ531" s="26"/>
      <c r="DK531" s="26"/>
      <c r="DL531" s="26"/>
      <c r="DM531" s="26"/>
      <c r="DN531" s="26"/>
      <c r="DO531" s="26"/>
      <c r="DP531" s="26"/>
      <c r="DQ531" s="26"/>
      <c r="DR531" s="26"/>
      <c r="DS531" s="26"/>
      <c r="DT531" s="26"/>
      <c r="DU531" s="26"/>
      <c r="DV531" s="26"/>
      <c r="DW531" s="26"/>
      <c r="DX531" s="26"/>
      <c r="DY531" s="26"/>
      <c r="DZ531" s="26"/>
      <c r="EA531" s="26"/>
      <c r="EB531" s="26"/>
      <c r="EC531" s="26"/>
      <c r="ED531" s="26"/>
      <c r="EE531" s="26"/>
      <c r="EF531" s="26"/>
      <c r="EG531" s="26"/>
      <c r="EH531" s="26"/>
      <c r="EI531" s="26"/>
      <c r="EJ531" s="26"/>
      <c r="EK531" s="26"/>
      <c r="EL531" s="26"/>
      <c r="EM531" s="26"/>
      <c r="EN531" s="26"/>
      <c r="EO531" s="26"/>
      <c r="EP531" s="26"/>
      <c r="EQ531" s="26"/>
      <c r="ER531" s="26"/>
      <c r="ES531" s="26"/>
      <c r="ET531" s="26"/>
      <c r="EU531" s="26"/>
      <c r="EV531" s="26"/>
      <c r="EW531" s="26"/>
      <c r="EX531" s="26"/>
      <c r="EY531" s="26"/>
      <c r="EZ531" s="26"/>
      <c r="FA531" s="60"/>
      <c r="FB531" s="60"/>
      <c r="FC531" s="60"/>
      <c r="FD531" s="60"/>
      <c r="FE531" s="60"/>
      <c r="FF531" s="60"/>
      <c r="FG531" s="60"/>
      <c r="FH531" s="60"/>
      <c r="FI531" s="60"/>
      <c r="FJ531" s="60"/>
      <c r="FK531" s="60"/>
      <c r="FL531" s="60"/>
      <c r="FM531" s="60"/>
      <c r="FN531" s="60"/>
      <c r="FO531" s="60"/>
      <c r="FP531" s="60"/>
      <c r="FQ531" s="60"/>
      <c r="FR531" s="60"/>
      <c r="FS531" s="60"/>
      <c r="FT531" s="60"/>
      <c r="FU531" s="60"/>
      <c r="FV531" s="60"/>
      <c r="FW531" s="60"/>
      <c r="FX531" s="60"/>
    </row>
    <row r="532">
      <c r="A532" s="18"/>
      <c r="B532" s="14"/>
      <c r="C532" s="14"/>
      <c r="D532" s="14"/>
      <c r="E532" s="18"/>
      <c r="F532" s="18"/>
      <c r="G532" s="18"/>
      <c r="H532" s="18"/>
      <c r="I532" s="18"/>
      <c r="J532" s="18"/>
      <c r="K532" s="18"/>
      <c r="L532" s="18"/>
      <c r="M532" s="18"/>
      <c r="N532" s="18"/>
      <c r="O532" s="18"/>
      <c r="P532" s="23"/>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26"/>
      <c r="CU532" s="26"/>
      <c r="CV532" s="26"/>
      <c r="CW532" s="26"/>
      <c r="CX532" s="26"/>
      <c r="CY532" s="26"/>
      <c r="CZ532" s="26"/>
      <c r="DA532" s="26"/>
      <c r="DB532" s="26"/>
      <c r="DC532" s="26"/>
      <c r="DD532" s="26"/>
      <c r="DE532" s="26"/>
      <c r="DF532" s="26"/>
      <c r="DG532" s="26"/>
      <c r="DH532" s="26"/>
      <c r="DI532" s="26"/>
      <c r="DJ532" s="26"/>
      <c r="DK532" s="26"/>
      <c r="DL532" s="26"/>
      <c r="DM532" s="26"/>
      <c r="DN532" s="26"/>
      <c r="DO532" s="26"/>
      <c r="DP532" s="26"/>
      <c r="DQ532" s="26"/>
      <c r="DR532" s="26"/>
      <c r="DS532" s="26"/>
      <c r="DT532" s="26"/>
      <c r="DU532" s="26"/>
      <c r="DV532" s="26"/>
      <c r="DW532" s="26"/>
      <c r="DX532" s="26"/>
      <c r="DY532" s="26"/>
      <c r="DZ532" s="26"/>
      <c r="EA532" s="26"/>
      <c r="EB532" s="26"/>
      <c r="EC532" s="26"/>
      <c r="ED532" s="26"/>
      <c r="EE532" s="26"/>
      <c r="EF532" s="26"/>
      <c r="EG532" s="26"/>
      <c r="EH532" s="26"/>
      <c r="EI532" s="26"/>
      <c r="EJ532" s="26"/>
      <c r="EK532" s="26"/>
      <c r="EL532" s="26"/>
      <c r="EM532" s="26"/>
      <c r="EN532" s="26"/>
      <c r="EO532" s="26"/>
      <c r="EP532" s="26"/>
      <c r="EQ532" s="26"/>
      <c r="ER532" s="26"/>
      <c r="ES532" s="26"/>
      <c r="ET532" s="26"/>
      <c r="EU532" s="26"/>
      <c r="EV532" s="26"/>
      <c r="EW532" s="26"/>
      <c r="EX532" s="26"/>
      <c r="EY532" s="26"/>
      <c r="EZ532" s="26"/>
      <c r="FA532" s="60"/>
      <c r="FB532" s="60"/>
      <c r="FC532" s="60"/>
      <c r="FD532" s="60"/>
      <c r="FE532" s="60"/>
      <c r="FF532" s="60"/>
      <c r="FG532" s="60"/>
      <c r="FH532" s="60"/>
      <c r="FI532" s="60"/>
      <c r="FJ532" s="60"/>
      <c r="FK532" s="60"/>
      <c r="FL532" s="60"/>
      <c r="FM532" s="60"/>
      <c r="FN532" s="60"/>
      <c r="FO532" s="60"/>
      <c r="FP532" s="60"/>
      <c r="FQ532" s="60"/>
      <c r="FR532" s="60"/>
      <c r="FS532" s="60"/>
      <c r="FT532" s="60"/>
      <c r="FU532" s="60"/>
      <c r="FV532" s="60"/>
      <c r="FW532" s="60"/>
      <c r="FX532" s="60"/>
    </row>
    <row r="533">
      <c r="A533" s="18"/>
      <c r="B533" s="14"/>
      <c r="C533" s="14"/>
      <c r="D533" s="14"/>
      <c r="E533" s="18"/>
      <c r="F533" s="18"/>
      <c r="G533" s="18"/>
      <c r="H533" s="18"/>
      <c r="I533" s="18"/>
      <c r="J533" s="18"/>
      <c r="K533" s="18"/>
      <c r="L533" s="18"/>
      <c r="M533" s="18"/>
      <c r="N533" s="18"/>
      <c r="O533" s="18"/>
      <c r="P533" s="23"/>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26"/>
      <c r="CU533" s="26"/>
      <c r="CV533" s="26"/>
      <c r="CW533" s="26"/>
      <c r="CX533" s="26"/>
      <c r="CY533" s="26"/>
      <c r="CZ533" s="26"/>
      <c r="DA533" s="26"/>
      <c r="DB533" s="26"/>
      <c r="DC533" s="26"/>
      <c r="DD533" s="26"/>
      <c r="DE533" s="26"/>
      <c r="DF533" s="26"/>
      <c r="DG533" s="26"/>
      <c r="DH533" s="26"/>
      <c r="DI533" s="26"/>
      <c r="DJ533" s="26"/>
      <c r="DK533" s="26"/>
      <c r="DL533" s="26"/>
      <c r="DM533" s="26"/>
      <c r="DN533" s="26"/>
      <c r="DO533" s="26"/>
      <c r="DP533" s="26"/>
      <c r="DQ533" s="26"/>
      <c r="DR533" s="26"/>
      <c r="DS533" s="26"/>
      <c r="DT533" s="26"/>
      <c r="DU533" s="26"/>
      <c r="DV533" s="26"/>
      <c r="DW533" s="26"/>
      <c r="DX533" s="26"/>
      <c r="DY533" s="26"/>
      <c r="DZ533" s="26"/>
      <c r="EA533" s="26"/>
      <c r="EB533" s="26"/>
      <c r="EC533" s="26"/>
      <c r="ED533" s="26"/>
      <c r="EE533" s="26"/>
      <c r="EF533" s="26"/>
      <c r="EG533" s="26"/>
      <c r="EH533" s="26"/>
      <c r="EI533" s="26"/>
      <c r="EJ533" s="26"/>
      <c r="EK533" s="26"/>
      <c r="EL533" s="26"/>
      <c r="EM533" s="26"/>
      <c r="EN533" s="26"/>
      <c r="EO533" s="26"/>
      <c r="EP533" s="26"/>
      <c r="EQ533" s="26"/>
      <c r="ER533" s="26"/>
      <c r="ES533" s="26"/>
      <c r="ET533" s="26"/>
      <c r="EU533" s="26"/>
      <c r="EV533" s="26"/>
      <c r="EW533" s="26"/>
      <c r="EX533" s="26"/>
      <c r="EY533" s="26"/>
      <c r="EZ533" s="26"/>
      <c r="FA533" s="60"/>
      <c r="FB533" s="60"/>
      <c r="FC533" s="60"/>
      <c r="FD533" s="60"/>
      <c r="FE533" s="60"/>
      <c r="FF533" s="60"/>
      <c r="FG533" s="60"/>
      <c r="FH533" s="60"/>
      <c r="FI533" s="60"/>
      <c r="FJ533" s="60"/>
      <c r="FK533" s="60"/>
      <c r="FL533" s="60"/>
      <c r="FM533" s="60"/>
      <c r="FN533" s="60"/>
      <c r="FO533" s="60"/>
      <c r="FP533" s="60"/>
      <c r="FQ533" s="60"/>
      <c r="FR533" s="60"/>
      <c r="FS533" s="60"/>
      <c r="FT533" s="60"/>
      <c r="FU533" s="60"/>
      <c r="FV533" s="60"/>
      <c r="FW533" s="60"/>
      <c r="FX533" s="60"/>
    </row>
    <row r="534">
      <c r="A534" s="18"/>
      <c r="B534" s="14"/>
      <c r="C534" s="14"/>
      <c r="D534" s="14"/>
      <c r="E534" s="18"/>
      <c r="F534" s="18"/>
      <c r="G534" s="18"/>
      <c r="H534" s="18"/>
      <c r="I534" s="18"/>
      <c r="J534" s="18"/>
      <c r="K534" s="18"/>
      <c r="L534" s="18"/>
      <c r="M534" s="18"/>
      <c r="N534" s="18"/>
      <c r="O534" s="18"/>
      <c r="P534" s="23"/>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26"/>
      <c r="CU534" s="26"/>
      <c r="CV534" s="26"/>
      <c r="CW534" s="26"/>
      <c r="CX534" s="26"/>
      <c r="CY534" s="26"/>
      <c r="CZ534" s="26"/>
      <c r="DA534" s="26"/>
      <c r="DB534" s="26"/>
      <c r="DC534" s="26"/>
      <c r="DD534" s="26"/>
      <c r="DE534" s="26"/>
      <c r="DF534" s="26"/>
      <c r="DG534" s="26"/>
      <c r="DH534" s="26"/>
      <c r="DI534" s="26"/>
      <c r="DJ534" s="26"/>
      <c r="DK534" s="26"/>
      <c r="DL534" s="26"/>
      <c r="DM534" s="26"/>
      <c r="DN534" s="26"/>
      <c r="DO534" s="26"/>
      <c r="DP534" s="26"/>
      <c r="DQ534" s="26"/>
      <c r="DR534" s="26"/>
      <c r="DS534" s="26"/>
      <c r="DT534" s="26"/>
      <c r="DU534" s="26"/>
      <c r="DV534" s="26"/>
      <c r="DW534" s="26"/>
      <c r="DX534" s="26"/>
      <c r="DY534" s="26"/>
      <c r="DZ534" s="26"/>
      <c r="EA534" s="26"/>
      <c r="EB534" s="26"/>
      <c r="EC534" s="26"/>
      <c r="ED534" s="26"/>
      <c r="EE534" s="26"/>
      <c r="EF534" s="26"/>
      <c r="EG534" s="26"/>
      <c r="EH534" s="26"/>
      <c r="EI534" s="26"/>
      <c r="EJ534" s="26"/>
      <c r="EK534" s="26"/>
      <c r="EL534" s="26"/>
      <c r="EM534" s="26"/>
      <c r="EN534" s="26"/>
      <c r="EO534" s="26"/>
      <c r="EP534" s="26"/>
      <c r="EQ534" s="26"/>
      <c r="ER534" s="26"/>
      <c r="ES534" s="26"/>
      <c r="ET534" s="26"/>
      <c r="EU534" s="26"/>
      <c r="EV534" s="26"/>
      <c r="EW534" s="26"/>
      <c r="EX534" s="26"/>
      <c r="EY534" s="26"/>
      <c r="EZ534" s="26"/>
      <c r="FA534" s="60"/>
      <c r="FB534" s="60"/>
      <c r="FC534" s="60"/>
      <c r="FD534" s="60"/>
      <c r="FE534" s="60"/>
      <c r="FF534" s="60"/>
      <c r="FG534" s="60"/>
      <c r="FH534" s="60"/>
      <c r="FI534" s="60"/>
      <c r="FJ534" s="60"/>
      <c r="FK534" s="60"/>
      <c r="FL534" s="60"/>
      <c r="FM534" s="60"/>
      <c r="FN534" s="60"/>
      <c r="FO534" s="60"/>
      <c r="FP534" s="60"/>
      <c r="FQ534" s="60"/>
      <c r="FR534" s="60"/>
      <c r="FS534" s="60"/>
      <c r="FT534" s="60"/>
      <c r="FU534" s="60"/>
      <c r="FV534" s="60"/>
      <c r="FW534" s="60"/>
      <c r="FX534" s="60"/>
    </row>
    <row r="535">
      <c r="A535" s="18"/>
      <c r="B535" s="14"/>
      <c r="C535" s="14"/>
      <c r="D535" s="14"/>
      <c r="E535" s="18"/>
      <c r="F535" s="18"/>
      <c r="G535" s="18"/>
      <c r="H535" s="18"/>
      <c r="I535" s="18"/>
      <c r="J535" s="18"/>
      <c r="K535" s="18"/>
      <c r="L535" s="18"/>
      <c r="M535" s="18"/>
      <c r="N535" s="18"/>
      <c r="O535" s="18"/>
      <c r="P535" s="23"/>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26"/>
      <c r="CU535" s="26"/>
      <c r="CV535" s="26"/>
      <c r="CW535" s="26"/>
      <c r="CX535" s="26"/>
      <c r="CY535" s="26"/>
      <c r="CZ535" s="26"/>
      <c r="DA535" s="26"/>
      <c r="DB535" s="26"/>
      <c r="DC535" s="26"/>
      <c r="DD535" s="26"/>
      <c r="DE535" s="26"/>
      <c r="DF535" s="26"/>
      <c r="DG535" s="26"/>
      <c r="DH535" s="26"/>
      <c r="DI535" s="26"/>
      <c r="DJ535" s="26"/>
      <c r="DK535" s="26"/>
      <c r="DL535" s="26"/>
      <c r="DM535" s="26"/>
      <c r="DN535" s="26"/>
      <c r="DO535" s="26"/>
      <c r="DP535" s="26"/>
      <c r="DQ535" s="26"/>
      <c r="DR535" s="26"/>
      <c r="DS535" s="26"/>
      <c r="DT535" s="26"/>
      <c r="DU535" s="26"/>
      <c r="DV535" s="26"/>
      <c r="DW535" s="26"/>
      <c r="DX535" s="26"/>
      <c r="DY535" s="26"/>
      <c r="DZ535" s="26"/>
      <c r="EA535" s="26"/>
      <c r="EB535" s="26"/>
      <c r="EC535" s="26"/>
      <c r="ED535" s="26"/>
      <c r="EE535" s="26"/>
      <c r="EF535" s="26"/>
      <c r="EG535" s="26"/>
      <c r="EH535" s="26"/>
      <c r="EI535" s="26"/>
      <c r="EJ535" s="26"/>
      <c r="EK535" s="26"/>
      <c r="EL535" s="26"/>
      <c r="EM535" s="26"/>
      <c r="EN535" s="26"/>
      <c r="EO535" s="26"/>
      <c r="EP535" s="26"/>
      <c r="EQ535" s="26"/>
      <c r="ER535" s="26"/>
      <c r="ES535" s="26"/>
      <c r="ET535" s="26"/>
      <c r="EU535" s="26"/>
      <c r="EV535" s="26"/>
      <c r="EW535" s="26"/>
      <c r="EX535" s="26"/>
      <c r="EY535" s="26"/>
      <c r="EZ535" s="26"/>
      <c r="FA535" s="60"/>
      <c r="FB535" s="60"/>
      <c r="FC535" s="60"/>
      <c r="FD535" s="60"/>
      <c r="FE535" s="60"/>
      <c r="FF535" s="60"/>
      <c r="FG535" s="60"/>
      <c r="FH535" s="60"/>
      <c r="FI535" s="60"/>
      <c r="FJ535" s="60"/>
      <c r="FK535" s="60"/>
      <c r="FL535" s="60"/>
      <c r="FM535" s="60"/>
      <c r="FN535" s="60"/>
      <c r="FO535" s="60"/>
      <c r="FP535" s="60"/>
      <c r="FQ535" s="60"/>
      <c r="FR535" s="60"/>
      <c r="FS535" s="60"/>
      <c r="FT535" s="60"/>
      <c r="FU535" s="60"/>
      <c r="FV535" s="60"/>
      <c r="FW535" s="60"/>
      <c r="FX535" s="60"/>
    </row>
    <row r="536">
      <c r="A536" s="18"/>
      <c r="B536" s="14"/>
      <c r="C536" s="14"/>
      <c r="D536" s="14"/>
      <c r="E536" s="18"/>
      <c r="F536" s="18"/>
      <c r="G536" s="18"/>
      <c r="H536" s="18"/>
      <c r="I536" s="18"/>
      <c r="J536" s="18"/>
      <c r="K536" s="18"/>
      <c r="L536" s="18"/>
      <c r="M536" s="18"/>
      <c r="N536" s="18"/>
      <c r="O536" s="18"/>
      <c r="P536" s="23"/>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26"/>
      <c r="CU536" s="26"/>
      <c r="CV536" s="26"/>
      <c r="CW536" s="26"/>
      <c r="CX536" s="26"/>
      <c r="CY536" s="26"/>
      <c r="CZ536" s="26"/>
      <c r="DA536" s="26"/>
      <c r="DB536" s="26"/>
      <c r="DC536" s="26"/>
      <c r="DD536" s="26"/>
      <c r="DE536" s="26"/>
      <c r="DF536" s="26"/>
      <c r="DG536" s="26"/>
      <c r="DH536" s="26"/>
      <c r="DI536" s="26"/>
      <c r="DJ536" s="26"/>
      <c r="DK536" s="26"/>
      <c r="DL536" s="26"/>
      <c r="DM536" s="26"/>
      <c r="DN536" s="26"/>
      <c r="DO536" s="26"/>
      <c r="DP536" s="26"/>
      <c r="DQ536" s="26"/>
      <c r="DR536" s="26"/>
      <c r="DS536" s="26"/>
      <c r="DT536" s="26"/>
      <c r="DU536" s="26"/>
      <c r="DV536" s="26"/>
      <c r="DW536" s="26"/>
      <c r="DX536" s="26"/>
      <c r="DY536" s="26"/>
      <c r="DZ536" s="26"/>
      <c r="EA536" s="26"/>
      <c r="EB536" s="26"/>
      <c r="EC536" s="26"/>
      <c r="ED536" s="26"/>
      <c r="EE536" s="26"/>
      <c r="EF536" s="26"/>
      <c r="EG536" s="26"/>
      <c r="EH536" s="26"/>
      <c r="EI536" s="26"/>
      <c r="EJ536" s="26"/>
      <c r="EK536" s="26"/>
      <c r="EL536" s="26"/>
      <c r="EM536" s="26"/>
      <c r="EN536" s="26"/>
      <c r="EO536" s="26"/>
      <c r="EP536" s="26"/>
      <c r="EQ536" s="26"/>
      <c r="ER536" s="26"/>
      <c r="ES536" s="26"/>
      <c r="ET536" s="26"/>
      <c r="EU536" s="26"/>
      <c r="EV536" s="26"/>
      <c r="EW536" s="26"/>
      <c r="EX536" s="26"/>
      <c r="EY536" s="26"/>
      <c r="EZ536" s="26"/>
      <c r="FA536" s="60"/>
      <c r="FB536" s="60"/>
      <c r="FC536" s="60"/>
      <c r="FD536" s="60"/>
      <c r="FE536" s="60"/>
      <c r="FF536" s="60"/>
      <c r="FG536" s="60"/>
      <c r="FH536" s="60"/>
      <c r="FI536" s="60"/>
      <c r="FJ536" s="60"/>
      <c r="FK536" s="60"/>
      <c r="FL536" s="60"/>
      <c r="FM536" s="60"/>
      <c r="FN536" s="60"/>
      <c r="FO536" s="60"/>
      <c r="FP536" s="60"/>
      <c r="FQ536" s="60"/>
      <c r="FR536" s="60"/>
      <c r="FS536" s="60"/>
      <c r="FT536" s="60"/>
      <c r="FU536" s="60"/>
      <c r="FV536" s="60"/>
      <c r="FW536" s="60"/>
      <c r="FX536" s="60"/>
    </row>
    <row r="537">
      <c r="A537" s="18"/>
      <c r="B537" s="14"/>
      <c r="C537" s="14"/>
      <c r="D537" s="14"/>
      <c r="E537" s="18"/>
      <c r="F537" s="18"/>
      <c r="G537" s="18"/>
      <c r="H537" s="18"/>
      <c r="I537" s="18"/>
      <c r="J537" s="18"/>
      <c r="K537" s="18"/>
      <c r="L537" s="18"/>
      <c r="M537" s="18"/>
      <c r="N537" s="18"/>
      <c r="O537" s="18"/>
      <c r="P537" s="23"/>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26"/>
      <c r="CU537" s="26"/>
      <c r="CV537" s="26"/>
      <c r="CW537" s="26"/>
      <c r="CX537" s="26"/>
      <c r="CY537" s="26"/>
      <c r="CZ537" s="26"/>
      <c r="DA537" s="26"/>
      <c r="DB537" s="26"/>
      <c r="DC537" s="26"/>
      <c r="DD537" s="26"/>
      <c r="DE537" s="26"/>
      <c r="DF537" s="26"/>
      <c r="DG537" s="26"/>
      <c r="DH537" s="26"/>
      <c r="DI537" s="26"/>
      <c r="DJ537" s="26"/>
      <c r="DK537" s="26"/>
      <c r="DL537" s="26"/>
      <c r="DM537" s="26"/>
      <c r="DN537" s="26"/>
      <c r="DO537" s="26"/>
      <c r="DP537" s="26"/>
      <c r="DQ537" s="26"/>
      <c r="DR537" s="26"/>
      <c r="DS537" s="26"/>
      <c r="DT537" s="26"/>
      <c r="DU537" s="26"/>
      <c r="DV537" s="26"/>
      <c r="DW537" s="26"/>
      <c r="DX537" s="26"/>
      <c r="DY537" s="26"/>
      <c r="DZ537" s="26"/>
      <c r="EA537" s="26"/>
      <c r="EB537" s="26"/>
      <c r="EC537" s="26"/>
      <c r="ED537" s="26"/>
      <c r="EE537" s="26"/>
      <c r="EF537" s="26"/>
      <c r="EG537" s="26"/>
      <c r="EH537" s="26"/>
      <c r="EI537" s="26"/>
      <c r="EJ537" s="26"/>
      <c r="EK537" s="26"/>
      <c r="EL537" s="26"/>
      <c r="EM537" s="26"/>
      <c r="EN537" s="26"/>
      <c r="EO537" s="26"/>
      <c r="EP537" s="26"/>
      <c r="EQ537" s="26"/>
      <c r="ER537" s="26"/>
      <c r="ES537" s="26"/>
      <c r="ET537" s="26"/>
      <c r="EU537" s="26"/>
      <c r="EV537" s="26"/>
      <c r="EW537" s="26"/>
      <c r="EX537" s="26"/>
      <c r="EY537" s="26"/>
      <c r="EZ537" s="26"/>
      <c r="FA537" s="60"/>
      <c r="FB537" s="60"/>
      <c r="FC537" s="60"/>
      <c r="FD537" s="60"/>
      <c r="FE537" s="60"/>
      <c r="FF537" s="60"/>
      <c r="FG537" s="60"/>
      <c r="FH537" s="60"/>
      <c r="FI537" s="60"/>
      <c r="FJ537" s="60"/>
      <c r="FK537" s="60"/>
      <c r="FL537" s="60"/>
      <c r="FM537" s="60"/>
      <c r="FN537" s="60"/>
      <c r="FO537" s="60"/>
      <c r="FP537" s="60"/>
      <c r="FQ537" s="60"/>
      <c r="FR537" s="60"/>
      <c r="FS537" s="60"/>
      <c r="FT537" s="60"/>
      <c r="FU537" s="60"/>
      <c r="FV537" s="60"/>
      <c r="FW537" s="60"/>
      <c r="FX537" s="60"/>
    </row>
    <row r="538">
      <c r="A538" s="18"/>
      <c r="B538" s="14"/>
      <c r="C538" s="14"/>
      <c r="D538" s="14"/>
      <c r="E538" s="18"/>
      <c r="F538" s="18"/>
      <c r="G538" s="18"/>
      <c r="H538" s="18"/>
      <c r="I538" s="18"/>
      <c r="J538" s="18"/>
      <c r="K538" s="18"/>
      <c r="L538" s="18"/>
      <c r="M538" s="18"/>
      <c r="N538" s="18"/>
      <c r="O538" s="18"/>
      <c r="P538" s="23"/>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26"/>
      <c r="CU538" s="26"/>
      <c r="CV538" s="26"/>
      <c r="CW538" s="26"/>
      <c r="CX538" s="26"/>
      <c r="CY538" s="26"/>
      <c r="CZ538" s="26"/>
      <c r="DA538" s="26"/>
      <c r="DB538" s="26"/>
      <c r="DC538" s="26"/>
      <c r="DD538" s="26"/>
      <c r="DE538" s="26"/>
      <c r="DF538" s="26"/>
      <c r="DG538" s="26"/>
      <c r="DH538" s="26"/>
      <c r="DI538" s="26"/>
      <c r="DJ538" s="26"/>
      <c r="DK538" s="26"/>
      <c r="DL538" s="26"/>
      <c r="DM538" s="26"/>
      <c r="DN538" s="26"/>
      <c r="DO538" s="26"/>
      <c r="DP538" s="26"/>
      <c r="DQ538" s="26"/>
      <c r="DR538" s="26"/>
      <c r="DS538" s="26"/>
      <c r="DT538" s="26"/>
      <c r="DU538" s="26"/>
      <c r="DV538" s="26"/>
      <c r="DW538" s="26"/>
      <c r="DX538" s="26"/>
      <c r="DY538" s="26"/>
      <c r="DZ538" s="26"/>
      <c r="EA538" s="26"/>
      <c r="EB538" s="26"/>
      <c r="EC538" s="26"/>
      <c r="ED538" s="26"/>
      <c r="EE538" s="26"/>
      <c r="EF538" s="26"/>
      <c r="EG538" s="26"/>
      <c r="EH538" s="26"/>
      <c r="EI538" s="26"/>
      <c r="EJ538" s="26"/>
      <c r="EK538" s="26"/>
      <c r="EL538" s="26"/>
      <c r="EM538" s="26"/>
      <c r="EN538" s="26"/>
      <c r="EO538" s="26"/>
      <c r="EP538" s="26"/>
      <c r="EQ538" s="26"/>
      <c r="ER538" s="26"/>
      <c r="ES538" s="26"/>
      <c r="ET538" s="26"/>
      <c r="EU538" s="26"/>
      <c r="EV538" s="26"/>
      <c r="EW538" s="26"/>
      <c r="EX538" s="26"/>
      <c r="EY538" s="26"/>
      <c r="EZ538" s="26"/>
      <c r="FA538" s="60"/>
      <c r="FB538" s="60"/>
      <c r="FC538" s="60"/>
      <c r="FD538" s="60"/>
      <c r="FE538" s="60"/>
      <c r="FF538" s="60"/>
      <c r="FG538" s="60"/>
      <c r="FH538" s="60"/>
      <c r="FI538" s="60"/>
      <c r="FJ538" s="60"/>
      <c r="FK538" s="60"/>
      <c r="FL538" s="60"/>
      <c r="FM538" s="60"/>
      <c r="FN538" s="60"/>
      <c r="FO538" s="60"/>
      <c r="FP538" s="60"/>
      <c r="FQ538" s="60"/>
      <c r="FR538" s="60"/>
      <c r="FS538" s="60"/>
      <c r="FT538" s="60"/>
      <c r="FU538" s="60"/>
      <c r="FV538" s="60"/>
      <c r="FW538" s="60"/>
      <c r="FX538" s="60"/>
    </row>
    <row r="539">
      <c r="A539" s="18"/>
      <c r="B539" s="14"/>
      <c r="C539" s="14"/>
      <c r="D539" s="14"/>
      <c r="E539" s="18"/>
      <c r="F539" s="18"/>
      <c r="G539" s="18"/>
      <c r="H539" s="18"/>
      <c r="I539" s="18"/>
      <c r="J539" s="18"/>
      <c r="K539" s="18"/>
      <c r="L539" s="18"/>
      <c r="M539" s="18"/>
      <c r="N539" s="18"/>
      <c r="O539" s="18"/>
      <c r="P539" s="23"/>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26"/>
      <c r="CU539" s="26"/>
      <c r="CV539" s="26"/>
      <c r="CW539" s="26"/>
      <c r="CX539" s="26"/>
      <c r="CY539" s="26"/>
      <c r="CZ539" s="26"/>
      <c r="DA539" s="26"/>
      <c r="DB539" s="26"/>
      <c r="DC539" s="26"/>
      <c r="DD539" s="26"/>
      <c r="DE539" s="26"/>
      <c r="DF539" s="26"/>
      <c r="DG539" s="26"/>
      <c r="DH539" s="26"/>
      <c r="DI539" s="26"/>
      <c r="DJ539" s="26"/>
      <c r="DK539" s="26"/>
      <c r="DL539" s="26"/>
      <c r="DM539" s="26"/>
      <c r="DN539" s="26"/>
      <c r="DO539" s="26"/>
      <c r="DP539" s="26"/>
      <c r="DQ539" s="26"/>
      <c r="DR539" s="26"/>
      <c r="DS539" s="26"/>
      <c r="DT539" s="26"/>
      <c r="DU539" s="26"/>
      <c r="DV539" s="26"/>
      <c r="DW539" s="26"/>
      <c r="DX539" s="26"/>
      <c r="DY539" s="26"/>
      <c r="DZ539" s="26"/>
      <c r="EA539" s="26"/>
      <c r="EB539" s="26"/>
      <c r="EC539" s="26"/>
      <c r="ED539" s="26"/>
      <c r="EE539" s="26"/>
      <c r="EF539" s="26"/>
      <c r="EG539" s="26"/>
      <c r="EH539" s="26"/>
      <c r="EI539" s="26"/>
      <c r="EJ539" s="26"/>
      <c r="EK539" s="26"/>
      <c r="EL539" s="26"/>
      <c r="EM539" s="26"/>
      <c r="EN539" s="26"/>
      <c r="EO539" s="26"/>
      <c r="EP539" s="26"/>
      <c r="EQ539" s="26"/>
      <c r="ER539" s="26"/>
      <c r="ES539" s="26"/>
      <c r="ET539" s="26"/>
      <c r="EU539" s="26"/>
      <c r="EV539" s="26"/>
      <c r="EW539" s="26"/>
      <c r="EX539" s="26"/>
      <c r="EY539" s="26"/>
      <c r="EZ539" s="26"/>
      <c r="FA539" s="60"/>
      <c r="FB539" s="60"/>
      <c r="FC539" s="60"/>
      <c r="FD539" s="60"/>
      <c r="FE539" s="60"/>
      <c r="FF539" s="60"/>
      <c r="FG539" s="60"/>
      <c r="FH539" s="60"/>
      <c r="FI539" s="60"/>
      <c r="FJ539" s="60"/>
      <c r="FK539" s="60"/>
      <c r="FL539" s="60"/>
      <c r="FM539" s="60"/>
      <c r="FN539" s="60"/>
      <c r="FO539" s="60"/>
      <c r="FP539" s="60"/>
      <c r="FQ539" s="60"/>
      <c r="FR539" s="60"/>
      <c r="FS539" s="60"/>
      <c r="FT539" s="60"/>
      <c r="FU539" s="60"/>
      <c r="FV539" s="60"/>
      <c r="FW539" s="60"/>
      <c r="FX539" s="60"/>
    </row>
    <row r="540">
      <c r="A540" s="18"/>
      <c r="B540" s="14"/>
      <c r="C540" s="14"/>
      <c r="D540" s="14"/>
      <c r="E540" s="18"/>
      <c r="F540" s="18"/>
      <c r="G540" s="18"/>
      <c r="H540" s="18"/>
      <c r="I540" s="18"/>
      <c r="J540" s="18"/>
      <c r="K540" s="18"/>
      <c r="L540" s="18"/>
      <c r="M540" s="18"/>
      <c r="N540" s="18"/>
      <c r="O540" s="18"/>
      <c r="P540" s="23"/>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26"/>
      <c r="CU540" s="26"/>
      <c r="CV540" s="26"/>
      <c r="CW540" s="26"/>
      <c r="CX540" s="26"/>
      <c r="CY540" s="26"/>
      <c r="CZ540" s="26"/>
      <c r="DA540" s="26"/>
      <c r="DB540" s="26"/>
      <c r="DC540" s="26"/>
      <c r="DD540" s="26"/>
      <c r="DE540" s="26"/>
      <c r="DF540" s="26"/>
      <c r="DG540" s="26"/>
      <c r="DH540" s="26"/>
      <c r="DI540" s="26"/>
      <c r="DJ540" s="26"/>
      <c r="DK540" s="26"/>
      <c r="DL540" s="26"/>
      <c r="DM540" s="26"/>
      <c r="DN540" s="26"/>
      <c r="DO540" s="26"/>
      <c r="DP540" s="26"/>
      <c r="DQ540" s="26"/>
      <c r="DR540" s="26"/>
      <c r="DS540" s="26"/>
      <c r="DT540" s="26"/>
      <c r="DU540" s="26"/>
      <c r="DV540" s="26"/>
      <c r="DW540" s="26"/>
      <c r="DX540" s="26"/>
      <c r="DY540" s="26"/>
      <c r="DZ540" s="26"/>
      <c r="EA540" s="26"/>
      <c r="EB540" s="26"/>
      <c r="EC540" s="26"/>
      <c r="ED540" s="26"/>
      <c r="EE540" s="26"/>
      <c r="EF540" s="26"/>
      <c r="EG540" s="26"/>
      <c r="EH540" s="26"/>
      <c r="EI540" s="26"/>
      <c r="EJ540" s="26"/>
      <c r="EK540" s="26"/>
      <c r="EL540" s="26"/>
      <c r="EM540" s="26"/>
      <c r="EN540" s="26"/>
      <c r="EO540" s="26"/>
      <c r="EP540" s="26"/>
      <c r="EQ540" s="26"/>
      <c r="ER540" s="26"/>
      <c r="ES540" s="26"/>
      <c r="ET540" s="26"/>
      <c r="EU540" s="26"/>
      <c r="EV540" s="26"/>
      <c r="EW540" s="26"/>
      <c r="EX540" s="26"/>
      <c r="EY540" s="26"/>
      <c r="EZ540" s="26"/>
      <c r="FA540" s="60"/>
      <c r="FB540" s="60"/>
      <c r="FC540" s="60"/>
      <c r="FD540" s="60"/>
      <c r="FE540" s="60"/>
      <c r="FF540" s="60"/>
      <c r="FG540" s="60"/>
      <c r="FH540" s="60"/>
      <c r="FI540" s="60"/>
      <c r="FJ540" s="60"/>
      <c r="FK540" s="60"/>
      <c r="FL540" s="60"/>
      <c r="FM540" s="60"/>
      <c r="FN540" s="60"/>
      <c r="FO540" s="60"/>
      <c r="FP540" s="60"/>
      <c r="FQ540" s="60"/>
      <c r="FR540" s="60"/>
      <c r="FS540" s="60"/>
      <c r="FT540" s="60"/>
      <c r="FU540" s="60"/>
      <c r="FV540" s="60"/>
      <c r="FW540" s="60"/>
      <c r="FX540" s="60"/>
    </row>
    <row r="541">
      <c r="A541" s="18"/>
      <c r="B541" s="14"/>
      <c r="C541" s="14"/>
      <c r="D541" s="14"/>
      <c r="E541" s="18"/>
      <c r="F541" s="18"/>
      <c r="G541" s="18"/>
      <c r="H541" s="18"/>
      <c r="I541" s="18"/>
      <c r="J541" s="18"/>
      <c r="K541" s="18"/>
      <c r="L541" s="18"/>
      <c r="M541" s="18"/>
      <c r="N541" s="18"/>
      <c r="O541" s="18"/>
      <c r="P541" s="23"/>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26"/>
      <c r="CU541" s="26"/>
      <c r="CV541" s="26"/>
      <c r="CW541" s="26"/>
      <c r="CX541" s="26"/>
      <c r="CY541" s="26"/>
      <c r="CZ541" s="26"/>
      <c r="DA541" s="26"/>
      <c r="DB541" s="26"/>
      <c r="DC541" s="26"/>
      <c r="DD541" s="26"/>
      <c r="DE541" s="26"/>
      <c r="DF541" s="26"/>
      <c r="DG541" s="26"/>
      <c r="DH541" s="26"/>
      <c r="DI541" s="26"/>
      <c r="DJ541" s="26"/>
      <c r="DK541" s="26"/>
      <c r="DL541" s="26"/>
      <c r="DM541" s="26"/>
      <c r="DN541" s="26"/>
      <c r="DO541" s="26"/>
      <c r="DP541" s="26"/>
      <c r="DQ541" s="26"/>
      <c r="DR541" s="26"/>
      <c r="DS541" s="26"/>
      <c r="DT541" s="26"/>
      <c r="DU541" s="26"/>
      <c r="DV541" s="26"/>
      <c r="DW541" s="26"/>
      <c r="DX541" s="26"/>
      <c r="DY541" s="26"/>
      <c r="DZ541" s="26"/>
      <c r="EA541" s="26"/>
      <c r="EB541" s="26"/>
      <c r="EC541" s="26"/>
      <c r="ED541" s="26"/>
      <c r="EE541" s="26"/>
      <c r="EF541" s="26"/>
      <c r="EG541" s="26"/>
      <c r="EH541" s="26"/>
      <c r="EI541" s="26"/>
      <c r="EJ541" s="26"/>
      <c r="EK541" s="26"/>
      <c r="EL541" s="26"/>
      <c r="EM541" s="26"/>
      <c r="EN541" s="26"/>
      <c r="EO541" s="26"/>
      <c r="EP541" s="26"/>
      <c r="EQ541" s="26"/>
      <c r="ER541" s="26"/>
      <c r="ES541" s="26"/>
      <c r="ET541" s="26"/>
      <c r="EU541" s="26"/>
      <c r="EV541" s="26"/>
      <c r="EW541" s="26"/>
      <c r="EX541" s="26"/>
      <c r="EY541" s="26"/>
      <c r="EZ541" s="26"/>
      <c r="FA541" s="60"/>
      <c r="FB541" s="60"/>
      <c r="FC541" s="60"/>
      <c r="FD541" s="60"/>
      <c r="FE541" s="60"/>
      <c r="FF541" s="60"/>
      <c r="FG541" s="60"/>
      <c r="FH541" s="60"/>
      <c r="FI541" s="60"/>
      <c r="FJ541" s="60"/>
      <c r="FK541" s="60"/>
      <c r="FL541" s="60"/>
      <c r="FM541" s="60"/>
      <c r="FN541" s="60"/>
      <c r="FO541" s="60"/>
      <c r="FP541" s="60"/>
      <c r="FQ541" s="60"/>
      <c r="FR541" s="60"/>
      <c r="FS541" s="60"/>
      <c r="FT541" s="60"/>
      <c r="FU541" s="60"/>
      <c r="FV541" s="60"/>
      <c r="FW541" s="60"/>
      <c r="FX541" s="60"/>
    </row>
    <row r="542">
      <c r="A542" s="18"/>
      <c r="B542" s="14"/>
      <c r="C542" s="14"/>
      <c r="D542" s="14"/>
      <c r="E542" s="18"/>
      <c r="F542" s="18"/>
      <c r="G542" s="18"/>
      <c r="H542" s="18"/>
      <c r="I542" s="18"/>
      <c r="J542" s="18"/>
      <c r="K542" s="18"/>
      <c r="L542" s="18"/>
      <c r="M542" s="18"/>
      <c r="N542" s="18"/>
      <c r="O542" s="18"/>
      <c r="P542" s="23"/>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26"/>
      <c r="CU542" s="26"/>
      <c r="CV542" s="26"/>
      <c r="CW542" s="26"/>
      <c r="CX542" s="26"/>
      <c r="CY542" s="26"/>
      <c r="CZ542" s="26"/>
      <c r="DA542" s="26"/>
      <c r="DB542" s="26"/>
      <c r="DC542" s="26"/>
      <c r="DD542" s="26"/>
      <c r="DE542" s="26"/>
      <c r="DF542" s="26"/>
      <c r="DG542" s="26"/>
      <c r="DH542" s="26"/>
      <c r="DI542" s="26"/>
      <c r="DJ542" s="26"/>
      <c r="DK542" s="26"/>
      <c r="DL542" s="26"/>
      <c r="DM542" s="26"/>
      <c r="DN542" s="26"/>
      <c r="DO542" s="26"/>
      <c r="DP542" s="26"/>
      <c r="DQ542" s="26"/>
      <c r="DR542" s="26"/>
      <c r="DS542" s="26"/>
      <c r="DT542" s="26"/>
      <c r="DU542" s="26"/>
      <c r="DV542" s="26"/>
      <c r="DW542" s="26"/>
      <c r="DX542" s="26"/>
      <c r="DY542" s="26"/>
      <c r="DZ542" s="26"/>
      <c r="EA542" s="26"/>
      <c r="EB542" s="26"/>
      <c r="EC542" s="26"/>
      <c r="ED542" s="26"/>
      <c r="EE542" s="26"/>
      <c r="EF542" s="26"/>
      <c r="EG542" s="26"/>
      <c r="EH542" s="26"/>
      <c r="EI542" s="26"/>
      <c r="EJ542" s="26"/>
      <c r="EK542" s="26"/>
      <c r="EL542" s="26"/>
      <c r="EM542" s="26"/>
      <c r="EN542" s="26"/>
      <c r="EO542" s="26"/>
      <c r="EP542" s="26"/>
      <c r="EQ542" s="26"/>
      <c r="ER542" s="26"/>
      <c r="ES542" s="26"/>
      <c r="ET542" s="26"/>
      <c r="EU542" s="26"/>
      <c r="EV542" s="26"/>
      <c r="EW542" s="26"/>
      <c r="EX542" s="26"/>
      <c r="EY542" s="26"/>
      <c r="EZ542" s="26"/>
      <c r="FA542" s="60"/>
      <c r="FB542" s="60"/>
      <c r="FC542" s="60"/>
      <c r="FD542" s="60"/>
      <c r="FE542" s="60"/>
      <c r="FF542" s="60"/>
      <c r="FG542" s="60"/>
      <c r="FH542" s="60"/>
      <c r="FI542" s="60"/>
      <c r="FJ542" s="60"/>
      <c r="FK542" s="60"/>
      <c r="FL542" s="60"/>
      <c r="FM542" s="60"/>
      <c r="FN542" s="60"/>
      <c r="FO542" s="60"/>
      <c r="FP542" s="60"/>
      <c r="FQ542" s="60"/>
      <c r="FR542" s="60"/>
      <c r="FS542" s="60"/>
      <c r="FT542" s="60"/>
      <c r="FU542" s="60"/>
      <c r="FV542" s="60"/>
      <c r="FW542" s="60"/>
      <c r="FX542" s="60"/>
    </row>
    <row r="543">
      <c r="A543" s="18"/>
      <c r="B543" s="14"/>
      <c r="C543" s="14"/>
      <c r="D543" s="14"/>
      <c r="E543" s="18"/>
      <c r="F543" s="18"/>
      <c r="G543" s="18"/>
      <c r="H543" s="18"/>
      <c r="I543" s="18"/>
      <c r="J543" s="18"/>
      <c r="K543" s="18"/>
      <c r="L543" s="18"/>
      <c r="M543" s="18"/>
      <c r="N543" s="18"/>
      <c r="O543" s="18"/>
      <c r="P543" s="23"/>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26"/>
      <c r="CU543" s="26"/>
      <c r="CV543" s="26"/>
      <c r="CW543" s="26"/>
      <c r="CX543" s="26"/>
      <c r="CY543" s="26"/>
      <c r="CZ543" s="26"/>
      <c r="DA543" s="26"/>
      <c r="DB543" s="26"/>
      <c r="DC543" s="26"/>
      <c r="DD543" s="26"/>
      <c r="DE543" s="26"/>
      <c r="DF543" s="26"/>
      <c r="DG543" s="26"/>
      <c r="DH543" s="26"/>
      <c r="DI543" s="26"/>
      <c r="DJ543" s="26"/>
      <c r="DK543" s="26"/>
      <c r="DL543" s="26"/>
      <c r="DM543" s="26"/>
      <c r="DN543" s="26"/>
      <c r="DO543" s="26"/>
      <c r="DP543" s="26"/>
      <c r="DQ543" s="26"/>
      <c r="DR543" s="26"/>
      <c r="DS543" s="26"/>
      <c r="DT543" s="26"/>
      <c r="DU543" s="26"/>
      <c r="DV543" s="26"/>
      <c r="DW543" s="26"/>
      <c r="DX543" s="26"/>
      <c r="DY543" s="26"/>
      <c r="DZ543" s="26"/>
      <c r="EA543" s="26"/>
      <c r="EB543" s="26"/>
      <c r="EC543" s="26"/>
      <c r="ED543" s="26"/>
      <c r="EE543" s="26"/>
      <c r="EF543" s="26"/>
      <c r="EG543" s="26"/>
      <c r="EH543" s="26"/>
      <c r="EI543" s="26"/>
      <c r="EJ543" s="26"/>
      <c r="EK543" s="26"/>
      <c r="EL543" s="26"/>
      <c r="EM543" s="26"/>
      <c r="EN543" s="26"/>
      <c r="EO543" s="26"/>
      <c r="EP543" s="26"/>
      <c r="EQ543" s="26"/>
      <c r="ER543" s="26"/>
      <c r="ES543" s="26"/>
      <c r="ET543" s="26"/>
      <c r="EU543" s="26"/>
      <c r="EV543" s="26"/>
      <c r="EW543" s="26"/>
      <c r="EX543" s="26"/>
      <c r="EY543" s="26"/>
      <c r="EZ543" s="26"/>
      <c r="FA543" s="60"/>
      <c r="FB543" s="60"/>
      <c r="FC543" s="60"/>
      <c r="FD543" s="60"/>
      <c r="FE543" s="60"/>
      <c r="FF543" s="60"/>
      <c r="FG543" s="60"/>
      <c r="FH543" s="60"/>
      <c r="FI543" s="60"/>
      <c r="FJ543" s="60"/>
      <c r="FK543" s="60"/>
      <c r="FL543" s="60"/>
      <c r="FM543" s="60"/>
      <c r="FN543" s="60"/>
      <c r="FO543" s="60"/>
      <c r="FP543" s="60"/>
      <c r="FQ543" s="60"/>
      <c r="FR543" s="60"/>
      <c r="FS543" s="60"/>
      <c r="FT543" s="60"/>
      <c r="FU543" s="60"/>
      <c r="FV543" s="60"/>
      <c r="FW543" s="60"/>
      <c r="FX543" s="60"/>
    </row>
    <row r="544">
      <c r="A544" s="18"/>
      <c r="B544" s="14"/>
      <c r="C544" s="14"/>
      <c r="D544" s="14"/>
      <c r="E544" s="18"/>
      <c r="F544" s="18"/>
      <c r="G544" s="18"/>
      <c r="H544" s="18"/>
      <c r="I544" s="18"/>
      <c r="J544" s="18"/>
      <c r="K544" s="18"/>
      <c r="L544" s="18"/>
      <c r="M544" s="18"/>
      <c r="N544" s="18"/>
      <c r="O544" s="18"/>
      <c r="P544" s="23"/>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26"/>
      <c r="CU544" s="26"/>
      <c r="CV544" s="26"/>
      <c r="CW544" s="26"/>
      <c r="CX544" s="26"/>
      <c r="CY544" s="26"/>
      <c r="CZ544" s="26"/>
      <c r="DA544" s="26"/>
      <c r="DB544" s="26"/>
      <c r="DC544" s="26"/>
      <c r="DD544" s="26"/>
      <c r="DE544" s="26"/>
      <c r="DF544" s="26"/>
      <c r="DG544" s="26"/>
      <c r="DH544" s="26"/>
      <c r="DI544" s="26"/>
      <c r="DJ544" s="26"/>
      <c r="DK544" s="26"/>
      <c r="DL544" s="26"/>
      <c r="DM544" s="26"/>
      <c r="DN544" s="26"/>
      <c r="DO544" s="26"/>
      <c r="DP544" s="26"/>
      <c r="DQ544" s="26"/>
      <c r="DR544" s="26"/>
      <c r="DS544" s="26"/>
      <c r="DT544" s="26"/>
      <c r="DU544" s="26"/>
      <c r="DV544" s="26"/>
      <c r="DW544" s="26"/>
      <c r="DX544" s="26"/>
      <c r="DY544" s="26"/>
      <c r="DZ544" s="26"/>
      <c r="EA544" s="26"/>
      <c r="EB544" s="26"/>
      <c r="EC544" s="26"/>
      <c r="ED544" s="26"/>
      <c r="EE544" s="26"/>
      <c r="EF544" s="26"/>
      <c r="EG544" s="26"/>
      <c r="EH544" s="26"/>
      <c r="EI544" s="26"/>
      <c r="EJ544" s="26"/>
      <c r="EK544" s="26"/>
      <c r="EL544" s="26"/>
      <c r="EM544" s="26"/>
      <c r="EN544" s="26"/>
      <c r="EO544" s="26"/>
      <c r="EP544" s="26"/>
      <c r="EQ544" s="26"/>
      <c r="ER544" s="26"/>
      <c r="ES544" s="26"/>
      <c r="ET544" s="26"/>
      <c r="EU544" s="26"/>
      <c r="EV544" s="26"/>
      <c r="EW544" s="26"/>
      <c r="EX544" s="26"/>
      <c r="EY544" s="26"/>
      <c r="EZ544" s="26"/>
      <c r="FA544" s="60"/>
      <c r="FB544" s="60"/>
      <c r="FC544" s="60"/>
      <c r="FD544" s="60"/>
      <c r="FE544" s="60"/>
      <c r="FF544" s="60"/>
      <c r="FG544" s="60"/>
      <c r="FH544" s="60"/>
      <c r="FI544" s="60"/>
      <c r="FJ544" s="60"/>
      <c r="FK544" s="60"/>
      <c r="FL544" s="60"/>
      <c r="FM544" s="60"/>
      <c r="FN544" s="60"/>
      <c r="FO544" s="60"/>
      <c r="FP544" s="60"/>
      <c r="FQ544" s="60"/>
      <c r="FR544" s="60"/>
      <c r="FS544" s="60"/>
      <c r="FT544" s="60"/>
      <c r="FU544" s="60"/>
      <c r="FV544" s="60"/>
      <c r="FW544" s="60"/>
      <c r="FX544" s="60"/>
    </row>
    <row r="545">
      <c r="A545" s="18"/>
      <c r="B545" s="14"/>
      <c r="C545" s="14"/>
      <c r="D545" s="14"/>
      <c r="E545" s="18"/>
      <c r="F545" s="18"/>
      <c r="G545" s="18"/>
      <c r="H545" s="18"/>
      <c r="I545" s="18"/>
      <c r="J545" s="18"/>
      <c r="K545" s="18"/>
      <c r="L545" s="18"/>
      <c r="M545" s="18"/>
      <c r="N545" s="18"/>
      <c r="O545" s="18"/>
      <c r="P545" s="23"/>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26"/>
      <c r="CU545" s="26"/>
      <c r="CV545" s="26"/>
      <c r="CW545" s="26"/>
      <c r="CX545" s="26"/>
      <c r="CY545" s="26"/>
      <c r="CZ545" s="26"/>
      <c r="DA545" s="26"/>
      <c r="DB545" s="26"/>
      <c r="DC545" s="26"/>
      <c r="DD545" s="26"/>
      <c r="DE545" s="26"/>
      <c r="DF545" s="26"/>
      <c r="DG545" s="26"/>
      <c r="DH545" s="26"/>
      <c r="DI545" s="26"/>
      <c r="DJ545" s="26"/>
      <c r="DK545" s="26"/>
      <c r="DL545" s="26"/>
      <c r="DM545" s="26"/>
      <c r="DN545" s="26"/>
      <c r="DO545" s="26"/>
      <c r="DP545" s="26"/>
      <c r="DQ545" s="26"/>
      <c r="DR545" s="26"/>
      <c r="DS545" s="26"/>
      <c r="DT545" s="26"/>
      <c r="DU545" s="26"/>
      <c r="DV545" s="26"/>
      <c r="DW545" s="26"/>
      <c r="DX545" s="26"/>
      <c r="DY545" s="26"/>
      <c r="DZ545" s="26"/>
      <c r="EA545" s="26"/>
      <c r="EB545" s="26"/>
      <c r="EC545" s="26"/>
      <c r="ED545" s="26"/>
      <c r="EE545" s="26"/>
      <c r="EF545" s="26"/>
      <c r="EG545" s="26"/>
      <c r="EH545" s="26"/>
      <c r="EI545" s="26"/>
      <c r="EJ545" s="26"/>
      <c r="EK545" s="26"/>
      <c r="EL545" s="26"/>
      <c r="EM545" s="26"/>
      <c r="EN545" s="26"/>
      <c r="EO545" s="26"/>
      <c r="EP545" s="26"/>
      <c r="EQ545" s="26"/>
      <c r="ER545" s="26"/>
      <c r="ES545" s="26"/>
      <c r="ET545" s="26"/>
      <c r="EU545" s="26"/>
      <c r="EV545" s="26"/>
      <c r="EW545" s="26"/>
      <c r="EX545" s="26"/>
      <c r="EY545" s="26"/>
      <c r="EZ545" s="26"/>
      <c r="FA545" s="60"/>
      <c r="FB545" s="60"/>
      <c r="FC545" s="60"/>
      <c r="FD545" s="60"/>
      <c r="FE545" s="60"/>
      <c r="FF545" s="60"/>
      <c r="FG545" s="60"/>
      <c r="FH545" s="60"/>
      <c r="FI545" s="60"/>
      <c r="FJ545" s="60"/>
      <c r="FK545" s="60"/>
      <c r="FL545" s="60"/>
      <c r="FM545" s="60"/>
      <c r="FN545" s="60"/>
      <c r="FO545" s="60"/>
      <c r="FP545" s="60"/>
      <c r="FQ545" s="60"/>
      <c r="FR545" s="60"/>
      <c r="FS545" s="60"/>
      <c r="FT545" s="60"/>
      <c r="FU545" s="60"/>
      <c r="FV545" s="60"/>
      <c r="FW545" s="60"/>
      <c r="FX545" s="60"/>
    </row>
    <row r="546">
      <c r="A546" s="18"/>
      <c r="B546" s="14"/>
      <c r="C546" s="14"/>
      <c r="D546" s="14"/>
      <c r="E546" s="18"/>
      <c r="F546" s="18"/>
      <c r="G546" s="18"/>
      <c r="H546" s="18"/>
      <c r="I546" s="18"/>
      <c r="J546" s="18"/>
      <c r="K546" s="18"/>
      <c r="L546" s="18"/>
      <c r="M546" s="18"/>
      <c r="N546" s="18"/>
      <c r="O546" s="18"/>
      <c r="P546" s="23"/>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26"/>
      <c r="CU546" s="26"/>
      <c r="CV546" s="26"/>
      <c r="CW546" s="26"/>
      <c r="CX546" s="26"/>
      <c r="CY546" s="26"/>
      <c r="CZ546" s="26"/>
      <c r="DA546" s="26"/>
      <c r="DB546" s="26"/>
      <c r="DC546" s="26"/>
      <c r="DD546" s="26"/>
      <c r="DE546" s="26"/>
      <c r="DF546" s="26"/>
      <c r="DG546" s="26"/>
      <c r="DH546" s="26"/>
      <c r="DI546" s="26"/>
      <c r="DJ546" s="26"/>
      <c r="DK546" s="26"/>
      <c r="DL546" s="26"/>
      <c r="DM546" s="26"/>
      <c r="DN546" s="26"/>
      <c r="DO546" s="26"/>
      <c r="DP546" s="26"/>
      <c r="DQ546" s="26"/>
      <c r="DR546" s="26"/>
      <c r="DS546" s="26"/>
      <c r="DT546" s="26"/>
      <c r="DU546" s="26"/>
      <c r="DV546" s="26"/>
      <c r="DW546" s="26"/>
      <c r="DX546" s="26"/>
      <c r="DY546" s="26"/>
      <c r="DZ546" s="26"/>
      <c r="EA546" s="26"/>
      <c r="EB546" s="26"/>
      <c r="EC546" s="26"/>
      <c r="ED546" s="26"/>
      <c r="EE546" s="26"/>
      <c r="EF546" s="26"/>
      <c r="EG546" s="26"/>
      <c r="EH546" s="26"/>
      <c r="EI546" s="26"/>
      <c r="EJ546" s="26"/>
      <c r="EK546" s="26"/>
      <c r="EL546" s="26"/>
      <c r="EM546" s="26"/>
      <c r="EN546" s="26"/>
      <c r="EO546" s="26"/>
      <c r="EP546" s="26"/>
      <c r="EQ546" s="26"/>
      <c r="ER546" s="26"/>
      <c r="ES546" s="26"/>
      <c r="ET546" s="26"/>
      <c r="EU546" s="26"/>
      <c r="EV546" s="26"/>
      <c r="EW546" s="26"/>
      <c r="EX546" s="26"/>
      <c r="EY546" s="26"/>
      <c r="EZ546" s="26"/>
      <c r="FA546" s="60"/>
      <c r="FB546" s="60"/>
      <c r="FC546" s="60"/>
      <c r="FD546" s="60"/>
      <c r="FE546" s="60"/>
      <c r="FF546" s="60"/>
      <c r="FG546" s="60"/>
      <c r="FH546" s="60"/>
      <c r="FI546" s="60"/>
      <c r="FJ546" s="60"/>
      <c r="FK546" s="60"/>
      <c r="FL546" s="60"/>
      <c r="FM546" s="60"/>
      <c r="FN546" s="60"/>
      <c r="FO546" s="60"/>
      <c r="FP546" s="60"/>
      <c r="FQ546" s="60"/>
      <c r="FR546" s="60"/>
      <c r="FS546" s="60"/>
      <c r="FT546" s="60"/>
      <c r="FU546" s="60"/>
      <c r="FV546" s="60"/>
      <c r="FW546" s="60"/>
      <c r="FX546" s="60"/>
    </row>
    <row r="547">
      <c r="A547" s="18"/>
      <c r="B547" s="14"/>
      <c r="C547" s="14"/>
      <c r="D547" s="14"/>
      <c r="E547" s="18"/>
      <c r="F547" s="18"/>
      <c r="G547" s="18"/>
      <c r="H547" s="18"/>
      <c r="I547" s="18"/>
      <c r="J547" s="18"/>
      <c r="K547" s="18"/>
      <c r="L547" s="18"/>
      <c r="M547" s="18"/>
      <c r="N547" s="18"/>
      <c r="O547" s="18"/>
      <c r="P547" s="23"/>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26"/>
      <c r="CU547" s="26"/>
      <c r="CV547" s="26"/>
      <c r="CW547" s="26"/>
      <c r="CX547" s="26"/>
      <c r="CY547" s="26"/>
      <c r="CZ547" s="26"/>
      <c r="DA547" s="26"/>
      <c r="DB547" s="26"/>
      <c r="DC547" s="26"/>
      <c r="DD547" s="26"/>
      <c r="DE547" s="26"/>
      <c r="DF547" s="26"/>
      <c r="DG547" s="26"/>
      <c r="DH547" s="26"/>
      <c r="DI547" s="26"/>
      <c r="DJ547" s="26"/>
      <c r="DK547" s="26"/>
      <c r="DL547" s="26"/>
      <c r="DM547" s="26"/>
      <c r="DN547" s="26"/>
      <c r="DO547" s="26"/>
      <c r="DP547" s="26"/>
      <c r="DQ547" s="26"/>
      <c r="DR547" s="26"/>
      <c r="DS547" s="26"/>
      <c r="DT547" s="26"/>
      <c r="DU547" s="26"/>
      <c r="DV547" s="26"/>
      <c r="DW547" s="26"/>
      <c r="DX547" s="26"/>
      <c r="DY547" s="26"/>
      <c r="DZ547" s="26"/>
      <c r="EA547" s="26"/>
      <c r="EB547" s="26"/>
      <c r="EC547" s="26"/>
      <c r="ED547" s="26"/>
      <c r="EE547" s="26"/>
      <c r="EF547" s="26"/>
      <c r="EG547" s="26"/>
      <c r="EH547" s="26"/>
      <c r="EI547" s="26"/>
      <c r="EJ547" s="26"/>
      <c r="EK547" s="26"/>
      <c r="EL547" s="26"/>
      <c r="EM547" s="26"/>
      <c r="EN547" s="26"/>
      <c r="EO547" s="26"/>
      <c r="EP547" s="26"/>
      <c r="EQ547" s="26"/>
      <c r="ER547" s="26"/>
      <c r="ES547" s="26"/>
      <c r="ET547" s="26"/>
      <c r="EU547" s="26"/>
      <c r="EV547" s="26"/>
      <c r="EW547" s="26"/>
      <c r="EX547" s="26"/>
      <c r="EY547" s="26"/>
      <c r="EZ547" s="26"/>
      <c r="FA547" s="60"/>
      <c r="FB547" s="60"/>
      <c r="FC547" s="60"/>
      <c r="FD547" s="60"/>
      <c r="FE547" s="60"/>
      <c r="FF547" s="60"/>
      <c r="FG547" s="60"/>
      <c r="FH547" s="60"/>
      <c r="FI547" s="60"/>
      <c r="FJ547" s="60"/>
      <c r="FK547" s="60"/>
      <c r="FL547" s="60"/>
      <c r="FM547" s="60"/>
      <c r="FN547" s="60"/>
      <c r="FO547" s="60"/>
      <c r="FP547" s="60"/>
      <c r="FQ547" s="60"/>
      <c r="FR547" s="60"/>
      <c r="FS547" s="60"/>
      <c r="FT547" s="60"/>
      <c r="FU547" s="60"/>
      <c r="FV547" s="60"/>
      <c r="FW547" s="60"/>
      <c r="FX547" s="60"/>
    </row>
    <row r="548">
      <c r="A548" s="18"/>
      <c r="B548" s="14"/>
      <c r="C548" s="14"/>
      <c r="D548" s="14"/>
      <c r="E548" s="18"/>
      <c r="F548" s="18"/>
      <c r="G548" s="18"/>
      <c r="H548" s="18"/>
      <c r="I548" s="18"/>
      <c r="J548" s="18"/>
      <c r="K548" s="18"/>
      <c r="L548" s="18"/>
      <c r="M548" s="18"/>
      <c r="N548" s="18"/>
      <c r="O548" s="18"/>
      <c r="P548" s="23"/>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c r="CW548" s="26"/>
      <c r="CX548" s="26"/>
      <c r="CY548" s="26"/>
      <c r="CZ548" s="26"/>
      <c r="DA548" s="26"/>
      <c r="DB548" s="26"/>
      <c r="DC548" s="26"/>
      <c r="DD548" s="26"/>
      <c r="DE548" s="26"/>
      <c r="DF548" s="26"/>
      <c r="DG548" s="26"/>
      <c r="DH548" s="26"/>
      <c r="DI548" s="26"/>
      <c r="DJ548" s="26"/>
      <c r="DK548" s="26"/>
      <c r="DL548" s="26"/>
      <c r="DM548" s="26"/>
      <c r="DN548" s="26"/>
      <c r="DO548" s="26"/>
      <c r="DP548" s="26"/>
      <c r="DQ548" s="26"/>
      <c r="DR548" s="26"/>
      <c r="DS548" s="26"/>
      <c r="DT548" s="26"/>
      <c r="DU548" s="26"/>
      <c r="DV548" s="26"/>
      <c r="DW548" s="26"/>
      <c r="DX548" s="26"/>
      <c r="DY548" s="26"/>
      <c r="DZ548" s="26"/>
      <c r="EA548" s="26"/>
      <c r="EB548" s="26"/>
      <c r="EC548" s="26"/>
      <c r="ED548" s="26"/>
      <c r="EE548" s="26"/>
      <c r="EF548" s="26"/>
      <c r="EG548" s="26"/>
      <c r="EH548" s="26"/>
      <c r="EI548" s="26"/>
      <c r="EJ548" s="26"/>
      <c r="EK548" s="26"/>
      <c r="EL548" s="26"/>
      <c r="EM548" s="26"/>
      <c r="EN548" s="26"/>
      <c r="EO548" s="26"/>
      <c r="EP548" s="26"/>
      <c r="EQ548" s="26"/>
      <c r="ER548" s="26"/>
      <c r="ES548" s="26"/>
      <c r="ET548" s="26"/>
      <c r="EU548" s="26"/>
      <c r="EV548" s="26"/>
      <c r="EW548" s="26"/>
      <c r="EX548" s="26"/>
      <c r="EY548" s="26"/>
      <c r="EZ548" s="26"/>
      <c r="FA548" s="60"/>
      <c r="FB548" s="60"/>
      <c r="FC548" s="60"/>
      <c r="FD548" s="60"/>
      <c r="FE548" s="60"/>
      <c r="FF548" s="60"/>
      <c r="FG548" s="60"/>
      <c r="FH548" s="60"/>
      <c r="FI548" s="60"/>
      <c r="FJ548" s="60"/>
      <c r="FK548" s="60"/>
      <c r="FL548" s="60"/>
      <c r="FM548" s="60"/>
      <c r="FN548" s="60"/>
      <c r="FO548" s="60"/>
      <c r="FP548" s="60"/>
      <c r="FQ548" s="60"/>
      <c r="FR548" s="60"/>
      <c r="FS548" s="60"/>
      <c r="FT548" s="60"/>
      <c r="FU548" s="60"/>
      <c r="FV548" s="60"/>
      <c r="FW548" s="60"/>
      <c r="FX548" s="60"/>
    </row>
    <row r="549">
      <c r="A549" s="18"/>
      <c r="B549" s="14"/>
      <c r="C549" s="14"/>
      <c r="D549" s="14"/>
      <c r="E549" s="18"/>
      <c r="F549" s="18"/>
      <c r="G549" s="18"/>
      <c r="H549" s="18"/>
      <c r="I549" s="18"/>
      <c r="J549" s="18"/>
      <c r="K549" s="18"/>
      <c r="L549" s="18"/>
      <c r="M549" s="18"/>
      <c r="N549" s="18"/>
      <c r="O549" s="18"/>
      <c r="P549" s="23"/>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26"/>
      <c r="CU549" s="26"/>
      <c r="CV549" s="26"/>
      <c r="CW549" s="26"/>
      <c r="CX549" s="26"/>
      <c r="CY549" s="26"/>
      <c r="CZ549" s="26"/>
      <c r="DA549" s="26"/>
      <c r="DB549" s="26"/>
      <c r="DC549" s="26"/>
      <c r="DD549" s="26"/>
      <c r="DE549" s="26"/>
      <c r="DF549" s="26"/>
      <c r="DG549" s="26"/>
      <c r="DH549" s="26"/>
      <c r="DI549" s="26"/>
      <c r="DJ549" s="26"/>
      <c r="DK549" s="26"/>
      <c r="DL549" s="26"/>
      <c r="DM549" s="26"/>
      <c r="DN549" s="26"/>
      <c r="DO549" s="26"/>
      <c r="DP549" s="26"/>
      <c r="DQ549" s="26"/>
      <c r="DR549" s="26"/>
      <c r="DS549" s="26"/>
      <c r="DT549" s="26"/>
      <c r="DU549" s="26"/>
      <c r="DV549" s="26"/>
      <c r="DW549" s="26"/>
      <c r="DX549" s="26"/>
      <c r="DY549" s="26"/>
      <c r="DZ549" s="26"/>
      <c r="EA549" s="26"/>
      <c r="EB549" s="26"/>
      <c r="EC549" s="26"/>
      <c r="ED549" s="26"/>
      <c r="EE549" s="26"/>
      <c r="EF549" s="26"/>
      <c r="EG549" s="26"/>
      <c r="EH549" s="26"/>
      <c r="EI549" s="26"/>
      <c r="EJ549" s="26"/>
      <c r="EK549" s="26"/>
      <c r="EL549" s="26"/>
      <c r="EM549" s="26"/>
      <c r="EN549" s="26"/>
      <c r="EO549" s="26"/>
      <c r="EP549" s="26"/>
      <c r="EQ549" s="26"/>
      <c r="ER549" s="26"/>
      <c r="ES549" s="26"/>
      <c r="ET549" s="26"/>
      <c r="EU549" s="26"/>
      <c r="EV549" s="26"/>
      <c r="EW549" s="26"/>
      <c r="EX549" s="26"/>
      <c r="EY549" s="26"/>
      <c r="EZ549" s="26"/>
      <c r="FA549" s="60"/>
      <c r="FB549" s="60"/>
      <c r="FC549" s="60"/>
      <c r="FD549" s="60"/>
      <c r="FE549" s="60"/>
      <c r="FF549" s="60"/>
      <c r="FG549" s="60"/>
      <c r="FH549" s="60"/>
      <c r="FI549" s="60"/>
      <c r="FJ549" s="60"/>
      <c r="FK549" s="60"/>
      <c r="FL549" s="60"/>
      <c r="FM549" s="60"/>
      <c r="FN549" s="60"/>
      <c r="FO549" s="60"/>
      <c r="FP549" s="60"/>
      <c r="FQ549" s="60"/>
      <c r="FR549" s="60"/>
      <c r="FS549" s="60"/>
      <c r="FT549" s="60"/>
      <c r="FU549" s="60"/>
      <c r="FV549" s="60"/>
      <c r="FW549" s="60"/>
      <c r="FX549" s="60"/>
    </row>
    <row r="550">
      <c r="A550" s="18"/>
      <c r="B550" s="14"/>
      <c r="C550" s="14"/>
      <c r="D550" s="14"/>
      <c r="E550" s="18"/>
      <c r="F550" s="18"/>
      <c r="G550" s="18"/>
      <c r="H550" s="18"/>
      <c r="I550" s="18"/>
      <c r="J550" s="18"/>
      <c r="K550" s="18"/>
      <c r="L550" s="18"/>
      <c r="M550" s="18"/>
      <c r="N550" s="18"/>
      <c r="O550" s="18"/>
      <c r="P550" s="23"/>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26"/>
      <c r="CU550" s="26"/>
      <c r="CV550" s="26"/>
      <c r="CW550" s="26"/>
      <c r="CX550" s="26"/>
      <c r="CY550" s="26"/>
      <c r="CZ550" s="26"/>
      <c r="DA550" s="26"/>
      <c r="DB550" s="26"/>
      <c r="DC550" s="26"/>
      <c r="DD550" s="26"/>
      <c r="DE550" s="26"/>
      <c r="DF550" s="26"/>
      <c r="DG550" s="26"/>
      <c r="DH550" s="26"/>
      <c r="DI550" s="26"/>
      <c r="DJ550" s="26"/>
      <c r="DK550" s="26"/>
      <c r="DL550" s="26"/>
      <c r="DM550" s="26"/>
      <c r="DN550" s="26"/>
      <c r="DO550" s="26"/>
      <c r="DP550" s="26"/>
      <c r="DQ550" s="26"/>
      <c r="DR550" s="26"/>
      <c r="DS550" s="26"/>
      <c r="DT550" s="26"/>
      <c r="DU550" s="26"/>
      <c r="DV550" s="26"/>
      <c r="DW550" s="26"/>
      <c r="DX550" s="26"/>
      <c r="DY550" s="26"/>
      <c r="DZ550" s="26"/>
      <c r="EA550" s="26"/>
      <c r="EB550" s="26"/>
      <c r="EC550" s="26"/>
      <c r="ED550" s="26"/>
      <c r="EE550" s="26"/>
      <c r="EF550" s="26"/>
      <c r="EG550" s="26"/>
      <c r="EH550" s="26"/>
      <c r="EI550" s="26"/>
      <c r="EJ550" s="26"/>
      <c r="EK550" s="26"/>
      <c r="EL550" s="26"/>
      <c r="EM550" s="26"/>
      <c r="EN550" s="26"/>
      <c r="EO550" s="26"/>
      <c r="EP550" s="26"/>
      <c r="EQ550" s="26"/>
      <c r="ER550" s="26"/>
      <c r="ES550" s="26"/>
      <c r="ET550" s="26"/>
      <c r="EU550" s="26"/>
      <c r="EV550" s="26"/>
      <c r="EW550" s="26"/>
      <c r="EX550" s="26"/>
      <c r="EY550" s="26"/>
      <c r="EZ550" s="26"/>
      <c r="FA550" s="60"/>
      <c r="FB550" s="60"/>
      <c r="FC550" s="60"/>
      <c r="FD550" s="60"/>
      <c r="FE550" s="60"/>
      <c r="FF550" s="60"/>
      <c r="FG550" s="60"/>
      <c r="FH550" s="60"/>
      <c r="FI550" s="60"/>
      <c r="FJ550" s="60"/>
      <c r="FK550" s="60"/>
      <c r="FL550" s="60"/>
      <c r="FM550" s="60"/>
      <c r="FN550" s="60"/>
      <c r="FO550" s="60"/>
      <c r="FP550" s="60"/>
      <c r="FQ550" s="60"/>
      <c r="FR550" s="60"/>
      <c r="FS550" s="60"/>
      <c r="FT550" s="60"/>
      <c r="FU550" s="60"/>
      <c r="FV550" s="60"/>
      <c r="FW550" s="60"/>
      <c r="FX550" s="60"/>
    </row>
    <row r="551">
      <c r="A551" s="18"/>
      <c r="B551" s="14"/>
      <c r="C551" s="14"/>
      <c r="D551" s="14"/>
      <c r="E551" s="18"/>
      <c r="F551" s="18"/>
      <c r="G551" s="18"/>
      <c r="H551" s="18"/>
      <c r="I551" s="18"/>
      <c r="J551" s="18"/>
      <c r="K551" s="18"/>
      <c r="L551" s="18"/>
      <c r="M551" s="18"/>
      <c r="N551" s="18"/>
      <c r="O551" s="18"/>
      <c r="P551" s="23"/>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26"/>
      <c r="CU551" s="26"/>
      <c r="CV551" s="26"/>
      <c r="CW551" s="26"/>
      <c r="CX551" s="26"/>
      <c r="CY551" s="26"/>
      <c r="CZ551" s="26"/>
      <c r="DA551" s="26"/>
      <c r="DB551" s="26"/>
      <c r="DC551" s="26"/>
      <c r="DD551" s="26"/>
      <c r="DE551" s="26"/>
      <c r="DF551" s="26"/>
      <c r="DG551" s="26"/>
      <c r="DH551" s="26"/>
      <c r="DI551" s="26"/>
      <c r="DJ551" s="26"/>
      <c r="DK551" s="26"/>
      <c r="DL551" s="26"/>
      <c r="DM551" s="26"/>
      <c r="DN551" s="26"/>
      <c r="DO551" s="26"/>
      <c r="DP551" s="26"/>
      <c r="DQ551" s="26"/>
      <c r="DR551" s="26"/>
      <c r="DS551" s="26"/>
      <c r="DT551" s="26"/>
      <c r="DU551" s="26"/>
      <c r="DV551" s="26"/>
      <c r="DW551" s="26"/>
      <c r="DX551" s="26"/>
      <c r="DY551" s="26"/>
      <c r="DZ551" s="26"/>
      <c r="EA551" s="26"/>
      <c r="EB551" s="26"/>
      <c r="EC551" s="26"/>
      <c r="ED551" s="26"/>
      <c r="EE551" s="26"/>
      <c r="EF551" s="26"/>
      <c r="EG551" s="26"/>
      <c r="EH551" s="26"/>
      <c r="EI551" s="26"/>
      <c r="EJ551" s="26"/>
      <c r="EK551" s="26"/>
      <c r="EL551" s="26"/>
      <c r="EM551" s="26"/>
      <c r="EN551" s="26"/>
      <c r="EO551" s="26"/>
      <c r="EP551" s="26"/>
      <c r="EQ551" s="26"/>
      <c r="ER551" s="26"/>
      <c r="ES551" s="26"/>
      <c r="ET551" s="26"/>
      <c r="EU551" s="26"/>
      <c r="EV551" s="26"/>
      <c r="EW551" s="26"/>
      <c r="EX551" s="26"/>
      <c r="EY551" s="26"/>
      <c r="EZ551" s="26"/>
      <c r="FA551" s="60"/>
      <c r="FB551" s="60"/>
      <c r="FC551" s="60"/>
      <c r="FD551" s="60"/>
      <c r="FE551" s="60"/>
      <c r="FF551" s="60"/>
      <c r="FG551" s="60"/>
      <c r="FH551" s="60"/>
      <c r="FI551" s="60"/>
      <c r="FJ551" s="60"/>
      <c r="FK551" s="60"/>
      <c r="FL551" s="60"/>
      <c r="FM551" s="60"/>
      <c r="FN551" s="60"/>
      <c r="FO551" s="60"/>
      <c r="FP551" s="60"/>
      <c r="FQ551" s="60"/>
      <c r="FR551" s="60"/>
      <c r="FS551" s="60"/>
      <c r="FT551" s="60"/>
      <c r="FU551" s="60"/>
      <c r="FV551" s="60"/>
      <c r="FW551" s="60"/>
      <c r="FX551" s="60"/>
    </row>
    <row r="552">
      <c r="A552" s="18"/>
      <c r="B552" s="14"/>
      <c r="C552" s="14"/>
      <c r="D552" s="14"/>
      <c r="E552" s="18"/>
      <c r="F552" s="18"/>
      <c r="G552" s="18"/>
      <c r="H552" s="18"/>
      <c r="I552" s="18"/>
      <c r="J552" s="18"/>
      <c r="K552" s="18"/>
      <c r="L552" s="18"/>
      <c r="M552" s="18"/>
      <c r="N552" s="18"/>
      <c r="O552" s="18"/>
      <c r="P552" s="23"/>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26"/>
      <c r="CU552" s="26"/>
      <c r="CV552" s="26"/>
      <c r="CW552" s="26"/>
      <c r="CX552" s="26"/>
      <c r="CY552" s="26"/>
      <c r="CZ552" s="26"/>
      <c r="DA552" s="26"/>
      <c r="DB552" s="26"/>
      <c r="DC552" s="26"/>
      <c r="DD552" s="26"/>
      <c r="DE552" s="26"/>
      <c r="DF552" s="26"/>
      <c r="DG552" s="26"/>
      <c r="DH552" s="26"/>
      <c r="DI552" s="26"/>
      <c r="DJ552" s="26"/>
      <c r="DK552" s="26"/>
      <c r="DL552" s="26"/>
      <c r="DM552" s="26"/>
      <c r="DN552" s="26"/>
      <c r="DO552" s="26"/>
      <c r="DP552" s="26"/>
      <c r="DQ552" s="26"/>
      <c r="DR552" s="26"/>
      <c r="DS552" s="26"/>
      <c r="DT552" s="26"/>
      <c r="DU552" s="26"/>
      <c r="DV552" s="26"/>
      <c r="DW552" s="26"/>
      <c r="DX552" s="26"/>
      <c r="DY552" s="26"/>
      <c r="DZ552" s="26"/>
      <c r="EA552" s="26"/>
      <c r="EB552" s="26"/>
      <c r="EC552" s="26"/>
      <c r="ED552" s="26"/>
      <c r="EE552" s="26"/>
      <c r="EF552" s="26"/>
      <c r="EG552" s="26"/>
      <c r="EH552" s="26"/>
      <c r="EI552" s="26"/>
      <c r="EJ552" s="26"/>
      <c r="EK552" s="26"/>
      <c r="EL552" s="26"/>
      <c r="EM552" s="26"/>
      <c r="EN552" s="26"/>
      <c r="EO552" s="26"/>
      <c r="EP552" s="26"/>
      <c r="EQ552" s="26"/>
      <c r="ER552" s="26"/>
      <c r="ES552" s="26"/>
      <c r="ET552" s="26"/>
      <c r="EU552" s="26"/>
      <c r="EV552" s="26"/>
      <c r="EW552" s="26"/>
      <c r="EX552" s="26"/>
      <c r="EY552" s="26"/>
      <c r="EZ552" s="26"/>
      <c r="FA552" s="60"/>
      <c r="FB552" s="60"/>
      <c r="FC552" s="60"/>
      <c r="FD552" s="60"/>
      <c r="FE552" s="60"/>
      <c r="FF552" s="60"/>
      <c r="FG552" s="60"/>
      <c r="FH552" s="60"/>
      <c r="FI552" s="60"/>
      <c r="FJ552" s="60"/>
      <c r="FK552" s="60"/>
      <c r="FL552" s="60"/>
      <c r="FM552" s="60"/>
      <c r="FN552" s="60"/>
      <c r="FO552" s="60"/>
      <c r="FP552" s="60"/>
      <c r="FQ552" s="60"/>
      <c r="FR552" s="60"/>
      <c r="FS552" s="60"/>
      <c r="FT552" s="60"/>
      <c r="FU552" s="60"/>
      <c r="FV552" s="60"/>
      <c r="FW552" s="60"/>
      <c r="FX552" s="60"/>
    </row>
    <row r="553">
      <c r="A553" s="18"/>
      <c r="B553" s="14"/>
      <c r="C553" s="14"/>
      <c r="D553" s="14"/>
      <c r="E553" s="18"/>
      <c r="F553" s="18"/>
      <c r="G553" s="18"/>
      <c r="H553" s="18"/>
      <c r="I553" s="18"/>
      <c r="J553" s="18"/>
      <c r="K553" s="18"/>
      <c r="L553" s="18"/>
      <c r="M553" s="18"/>
      <c r="N553" s="18"/>
      <c r="O553" s="18"/>
      <c r="P553" s="23"/>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26"/>
      <c r="CU553" s="26"/>
      <c r="CV553" s="26"/>
      <c r="CW553" s="26"/>
      <c r="CX553" s="26"/>
      <c r="CY553" s="26"/>
      <c r="CZ553" s="26"/>
      <c r="DA553" s="26"/>
      <c r="DB553" s="26"/>
      <c r="DC553" s="26"/>
      <c r="DD553" s="26"/>
      <c r="DE553" s="26"/>
      <c r="DF553" s="26"/>
      <c r="DG553" s="26"/>
      <c r="DH553" s="26"/>
      <c r="DI553" s="26"/>
      <c r="DJ553" s="26"/>
      <c r="DK553" s="26"/>
      <c r="DL553" s="26"/>
      <c r="DM553" s="26"/>
      <c r="DN553" s="26"/>
      <c r="DO553" s="26"/>
      <c r="DP553" s="26"/>
      <c r="DQ553" s="26"/>
      <c r="DR553" s="26"/>
      <c r="DS553" s="26"/>
      <c r="DT553" s="26"/>
      <c r="DU553" s="26"/>
      <c r="DV553" s="26"/>
      <c r="DW553" s="26"/>
      <c r="DX553" s="26"/>
      <c r="DY553" s="26"/>
      <c r="DZ553" s="26"/>
      <c r="EA553" s="26"/>
      <c r="EB553" s="26"/>
      <c r="EC553" s="26"/>
      <c r="ED553" s="26"/>
      <c r="EE553" s="26"/>
      <c r="EF553" s="26"/>
      <c r="EG553" s="26"/>
      <c r="EH553" s="26"/>
      <c r="EI553" s="26"/>
      <c r="EJ553" s="26"/>
      <c r="EK553" s="26"/>
      <c r="EL553" s="26"/>
      <c r="EM553" s="26"/>
      <c r="EN553" s="26"/>
      <c r="EO553" s="26"/>
      <c r="EP553" s="26"/>
      <c r="EQ553" s="26"/>
      <c r="ER553" s="26"/>
      <c r="ES553" s="26"/>
      <c r="ET553" s="26"/>
      <c r="EU553" s="26"/>
      <c r="EV553" s="26"/>
      <c r="EW553" s="26"/>
      <c r="EX553" s="26"/>
      <c r="EY553" s="26"/>
      <c r="EZ553" s="26"/>
      <c r="FA553" s="60"/>
      <c r="FB553" s="60"/>
      <c r="FC553" s="60"/>
      <c r="FD553" s="60"/>
      <c r="FE553" s="60"/>
      <c r="FF553" s="60"/>
      <c r="FG553" s="60"/>
      <c r="FH553" s="60"/>
      <c r="FI553" s="60"/>
      <c r="FJ553" s="60"/>
      <c r="FK553" s="60"/>
      <c r="FL553" s="60"/>
      <c r="FM553" s="60"/>
      <c r="FN553" s="60"/>
      <c r="FO553" s="60"/>
      <c r="FP553" s="60"/>
      <c r="FQ553" s="60"/>
      <c r="FR553" s="60"/>
      <c r="FS553" s="60"/>
      <c r="FT553" s="60"/>
      <c r="FU553" s="60"/>
      <c r="FV553" s="60"/>
      <c r="FW553" s="60"/>
      <c r="FX553" s="60"/>
    </row>
    <row r="554">
      <c r="A554" s="18"/>
      <c r="B554" s="14"/>
      <c r="C554" s="14"/>
      <c r="D554" s="14"/>
      <c r="E554" s="18"/>
      <c r="F554" s="18"/>
      <c r="G554" s="18"/>
      <c r="H554" s="18"/>
      <c r="I554" s="18"/>
      <c r="J554" s="18"/>
      <c r="K554" s="18"/>
      <c r="L554" s="18"/>
      <c r="M554" s="18"/>
      <c r="N554" s="18"/>
      <c r="O554" s="18"/>
      <c r="P554" s="23"/>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26"/>
      <c r="CU554" s="26"/>
      <c r="CV554" s="26"/>
      <c r="CW554" s="26"/>
      <c r="CX554" s="26"/>
      <c r="CY554" s="26"/>
      <c r="CZ554" s="26"/>
      <c r="DA554" s="26"/>
      <c r="DB554" s="26"/>
      <c r="DC554" s="26"/>
      <c r="DD554" s="26"/>
      <c r="DE554" s="26"/>
      <c r="DF554" s="26"/>
      <c r="DG554" s="26"/>
      <c r="DH554" s="26"/>
      <c r="DI554" s="26"/>
      <c r="DJ554" s="26"/>
      <c r="DK554" s="26"/>
      <c r="DL554" s="26"/>
      <c r="DM554" s="26"/>
      <c r="DN554" s="26"/>
      <c r="DO554" s="26"/>
      <c r="DP554" s="26"/>
      <c r="DQ554" s="26"/>
      <c r="DR554" s="26"/>
      <c r="DS554" s="26"/>
      <c r="DT554" s="26"/>
      <c r="DU554" s="26"/>
      <c r="DV554" s="26"/>
      <c r="DW554" s="26"/>
      <c r="DX554" s="26"/>
      <c r="DY554" s="26"/>
      <c r="DZ554" s="26"/>
      <c r="EA554" s="26"/>
      <c r="EB554" s="26"/>
      <c r="EC554" s="26"/>
      <c r="ED554" s="26"/>
      <c r="EE554" s="26"/>
      <c r="EF554" s="26"/>
      <c r="EG554" s="26"/>
      <c r="EH554" s="26"/>
      <c r="EI554" s="26"/>
      <c r="EJ554" s="26"/>
      <c r="EK554" s="26"/>
      <c r="EL554" s="26"/>
      <c r="EM554" s="26"/>
      <c r="EN554" s="26"/>
      <c r="EO554" s="26"/>
      <c r="EP554" s="26"/>
      <c r="EQ554" s="26"/>
      <c r="ER554" s="26"/>
      <c r="ES554" s="26"/>
      <c r="ET554" s="26"/>
      <c r="EU554" s="26"/>
      <c r="EV554" s="26"/>
      <c r="EW554" s="26"/>
      <c r="EX554" s="26"/>
      <c r="EY554" s="26"/>
      <c r="EZ554" s="26"/>
      <c r="FA554" s="60"/>
      <c r="FB554" s="60"/>
      <c r="FC554" s="60"/>
      <c r="FD554" s="60"/>
      <c r="FE554" s="60"/>
      <c r="FF554" s="60"/>
      <c r="FG554" s="60"/>
      <c r="FH554" s="60"/>
      <c r="FI554" s="60"/>
      <c r="FJ554" s="60"/>
      <c r="FK554" s="60"/>
      <c r="FL554" s="60"/>
      <c r="FM554" s="60"/>
      <c r="FN554" s="60"/>
      <c r="FO554" s="60"/>
      <c r="FP554" s="60"/>
      <c r="FQ554" s="60"/>
      <c r="FR554" s="60"/>
      <c r="FS554" s="60"/>
      <c r="FT554" s="60"/>
      <c r="FU554" s="60"/>
      <c r="FV554" s="60"/>
      <c r="FW554" s="60"/>
      <c r="FX554" s="60"/>
    </row>
    <row r="555">
      <c r="A555" s="18"/>
      <c r="B555" s="14"/>
      <c r="C555" s="14"/>
      <c r="D555" s="14"/>
      <c r="E555" s="18"/>
      <c r="F555" s="18"/>
      <c r="G555" s="18"/>
      <c r="H555" s="18"/>
      <c r="I555" s="18"/>
      <c r="J555" s="18"/>
      <c r="K555" s="18"/>
      <c r="L555" s="18"/>
      <c r="M555" s="18"/>
      <c r="N555" s="18"/>
      <c r="O555" s="18"/>
      <c r="P555" s="23"/>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26"/>
      <c r="CU555" s="26"/>
      <c r="CV555" s="26"/>
      <c r="CW555" s="26"/>
      <c r="CX555" s="26"/>
      <c r="CY555" s="26"/>
      <c r="CZ555" s="26"/>
      <c r="DA555" s="26"/>
      <c r="DB555" s="26"/>
      <c r="DC555" s="26"/>
      <c r="DD555" s="26"/>
      <c r="DE555" s="26"/>
      <c r="DF555" s="26"/>
      <c r="DG555" s="26"/>
      <c r="DH555" s="26"/>
      <c r="DI555" s="26"/>
      <c r="DJ555" s="26"/>
      <c r="DK555" s="26"/>
      <c r="DL555" s="26"/>
      <c r="DM555" s="26"/>
      <c r="DN555" s="26"/>
      <c r="DO555" s="26"/>
      <c r="DP555" s="26"/>
      <c r="DQ555" s="26"/>
      <c r="DR555" s="26"/>
      <c r="DS555" s="26"/>
      <c r="DT555" s="26"/>
      <c r="DU555" s="26"/>
      <c r="DV555" s="26"/>
      <c r="DW555" s="26"/>
      <c r="DX555" s="26"/>
      <c r="DY555" s="26"/>
      <c r="DZ555" s="26"/>
      <c r="EA555" s="26"/>
      <c r="EB555" s="26"/>
      <c r="EC555" s="26"/>
      <c r="ED555" s="26"/>
      <c r="EE555" s="26"/>
      <c r="EF555" s="26"/>
      <c r="EG555" s="26"/>
      <c r="EH555" s="26"/>
      <c r="EI555" s="26"/>
      <c r="EJ555" s="26"/>
      <c r="EK555" s="26"/>
      <c r="EL555" s="26"/>
      <c r="EM555" s="26"/>
      <c r="EN555" s="26"/>
      <c r="EO555" s="26"/>
      <c r="EP555" s="26"/>
      <c r="EQ555" s="26"/>
      <c r="ER555" s="26"/>
      <c r="ES555" s="26"/>
      <c r="ET555" s="26"/>
      <c r="EU555" s="26"/>
      <c r="EV555" s="26"/>
      <c r="EW555" s="26"/>
      <c r="EX555" s="26"/>
      <c r="EY555" s="26"/>
      <c r="EZ555" s="26"/>
      <c r="FA555" s="60"/>
      <c r="FB555" s="60"/>
      <c r="FC555" s="60"/>
      <c r="FD555" s="60"/>
      <c r="FE555" s="60"/>
      <c r="FF555" s="60"/>
      <c r="FG555" s="60"/>
      <c r="FH555" s="60"/>
      <c r="FI555" s="60"/>
      <c r="FJ555" s="60"/>
      <c r="FK555" s="60"/>
      <c r="FL555" s="60"/>
      <c r="FM555" s="60"/>
      <c r="FN555" s="60"/>
      <c r="FO555" s="60"/>
      <c r="FP555" s="60"/>
      <c r="FQ555" s="60"/>
      <c r="FR555" s="60"/>
      <c r="FS555" s="60"/>
      <c r="FT555" s="60"/>
      <c r="FU555" s="60"/>
      <c r="FV555" s="60"/>
      <c r="FW555" s="60"/>
      <c r="FX555" s="60"/>
    </row>
    <row r="556">
      <c r="A556" s="18"/>
      <c r="B556" s="14"/>
      <c r="C556" s="14"/>
      <c r="D556" s="14"/>
      <c r="E556" s="18"/>
      <c r="F556" s="18"/>
      <c r="G556" s="18"/>
      <c r="H556" s="18"/>
      <c r="I556" s="18"/>
      <c r="J556" s="18"/>
      <c r="K556" s="18"/>
      <c r="L556" s="18"/>
      <c r="M556" s="18"/>
      <c r="N556" s="18"/>
      <c r="O556" s="18"/>
      <c r="P556" s="23"/>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26"/>
      <c r="CU556" s="26"/>
      <c r="CV556" s="26"/>
      <c r="CW556" s="26"/>
      <c r="CX556" s="26"/>
      <c r="CY556" s="26"/>
      <c r="CZ556" s="26"/>
      <c r="DA556" s="26"/>
      <c r="DB556" s="26"/>
      <c r="DC556" s="26"/>
      <c r="DD556" s="26"/>
      <c r="DE556" s="26"/>
      <c r="DF556" s="26"/>
      <c r="DG556" s="26"/>
      <c r="DH556" s="26"/>
      <c r="DI556" s="26"/>
      <c r="DJ556" s="26"/>
      <c r="DK556" s="26"/>
      <c r="DL556" s="26"/>
      <c r="DM556" s="26"/>
      <c r="DN556" s="26"/>
      <c r="DO556" s="26"/>
      <c r="DP556" s="26"/>
      <c r="DQ556" s="26"/>
      <c r="DR556" s="26"/>
      <c r="DS556" s="26"/>
      <c r="DT556" s="26"/>
      <c r="DU556" s="26"/>
      <c r="DV556" s="26"/>
      <c r="DW556" s="26"/>
      <c r="DX556" s="26"/>
      <c r="DY556" s="26"/>
      <c r="DZ556" s="26"/>
      <c r="EA556" s="26"/>
      <c r="EB556" s="26"/>
      <c r="EC556" s="26"/>
      <c r="ED556" s="26"/>
      <c r="EE556" s="26"/>
      <c r="EF556" s="26"/>
      <c r="EG556" s="26"/>
      <c r="EH556" s="26"/>
      <c r="EI556" s="26"/>
      <c r="EJ556" s="26"/>
      <c r="EK556" s="26"/>
      <c r="EL556" s="26"/>
      <c r="EM556" s="26"/>
      <c r="EN556" s="26"/>
      <c r="EO556" s="26"/>
      <c r="EP556" s="26"/>
      <c r="EQ556" s="26"/>
      <c r="ER556" s="26"/>
      <c r="ES556" s="26"/>
      <c r="ET556" s="26"/>
      <c r="EU556" s="26"/>
      <c r="EV556" s="26"/>
      <c r="EW556" s="26"/>
      <c r="EX556" s="26"/>
      <c r="EY556" s="26"/>
      <c r="EZ556" s="26"/>
      <c r="FA556" s="60"/>
      <c r="FB556" s="60"/>
      <c r="FC556" s="60"/>
      <c r="FD556" s="60"/>
      <c r="FE556" s="60"/>
      <c r="FF556" s="60"/>
      <c r="FG556" s="60"/>
      <c r="FH556" s="60"/>
      <c r="FI556" s="60"/>
      <c r="FJ556" s="60"/>
      <c r="FK556" s="60"/>
      <c r="FL556" s="60"/>
      <c r="FM556" s="60"/>
      <c r="FN556" s="60"/>
      <c r="FO556" s="60"/>
      <c r="FP556" s="60"/>
      <c r="FQ556" s="60"/>
      <c r="FR556" s="60"/>
      <c r="FS556" s="60"/>
      <c r="FT556" s="60"/>
      <c r="FU556" s="60"/>
      <c r="FV556" s="60"/>
      <c r="FW556" s="60"/>
      <c r="FX556" s="60"/>
    </row>
    <row r="557">
      <c r="A557" s="18"/>
      <c r="B557" s="14"/>
      <c r="C557" s="14"/>
      <c r="D557" s="14"/>
      <c r="E557" s="18"/>
      <c r="F557" s="18"/>
      <c r="G557" s="18"/>
      <c r="H557" s="18"/>
      <c r="I557" s="18"/>
      <c r="J557" s="18"/>
      <c r="K557" s="18"/>
      <c r="L557" s="18"/>
      <c r="M557" s="18"/>
      <c r="N557" s="18"/>
      <c r="O557" s="18"/>
      <c r="P557" s="23"/>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26"/>
      <c r="CU557" s="26"/>
      <c r="CV557" s="26"/>
      <c r="CW557" s="26"/>
      <c r="CX557" s="26"/>
      <c r="CY557" s="26"/>
      <c r="CZ557" s="26"/>
      <c r="DA557" s="26"/>
      <c r="DB557" s="26"/>
      <c r="DC557" s="26"/>
      <c r="DD557" s="26"/>
      <c r="DE557" s="26"/>
      <c r="DF557" s="26"/>
      <c r="DG557" s="26"/>
      <c r="DH557" s="26"/>
      <c r="DI557" s="26"/>
      <c r="DJ557" s="26"/>
      <c r="DK557" s="26"/>
      <c r="DL557" s="26"/>
      <c r="DM557" s="26"/>
      <c r="DN557" s="26"/>
      <c r="DO557" s="26"/>
      <c r="DP557" s="26"/>
      <c r="DQ557" s="26"/>
      <c r="DR557" s="26"/>
      <c r="DS557" s="26"/>
      <c r="DT557" s="26"/>
      <c r="DU557" s="26"/>
      <c r="DV557" s="26"/>
      <c r="DW557" s="26"/>
      <c r="DX557" s="26"/>
      <c r="DY557" s="26"/>
      <c r="DZ557" s="26"/>
      <c r="EA557" s="26"/>
      <c r="EB557" s="26"/>
      <c r="EC557" s="26"/>
      <c r="ED557" s="26"/>
      <c r="EE557" s="26"/>
      <c r="EF557" s="26"/>
      <c r="EG557" s="26"/>
      <c r="EH557" s="26"/>
      <c r="EI557" s="26"/>
      <c r="EJ557" s="26"/>
      <c r="EK557" s="26"/>
      <c r="EL557" s="26"/>
      <c r="EM557" s="26"/>
      <c r="EN557" s="26"/>
      <c r="EO557" s="26"/>
      <c r="EP557" s="26"/>
      <c r="EQ557" s="26"/>
      <c r="ER557" s="26"/>
      <c r="ES557" s="26"/>
      <c r="ET557" s="26"/>
      <c r="EU557" s="26"/>
      <c r="EV557" s="26"/>
      <c r="EW557" s="26"/>
      <c r="EX557" s="26"/>
      <c r="EY557" s="26"/>
      <c r="EZ557" s="26"/>
      <c r="FA557" s="60"/>
      <c r="FB557" s="60"/>
      <c r="FC557" s="60"/>
      <c r="FD557" s="60"/>
      <c r="FE557" s="60"/>
      <c r="FF557" s="60"/>
      <c r="FG557" s="60"/>
      <c r="FH557" s="60"/>
      <c r="FI557" s="60"/>
      <c r="FJ557" s="60"/>
      <c r="FK557" s="60"/>
      <c r="FL557" s="60"/>
      <c r="FM557" s="60"/>
      <c r="FN557" s="60"/>
      <c r="FO557" s="60"/>
      <c r="FP557" s="60"/>
      <c r="FQ557" s="60"/>
      <c r="FR557" s="60"/>
      <c r="FS557" s="60"/>
      <c r="FT557" s="60"/>
      <c r="FU557" s="60"/>
      <c r="FV557" s="60"/>
      <c r="FW557" s="60"/>
      <c r="FX557" s="60"/>
    </row>
    <row r="558">
      <c r="A558" s="18"/>
      <c r="B558" s="14"/>
      <c r="C558" s="14"/>
      <c r="D558" s="14"/>
      <c r="E558" s="18"/>
      <c r="F558" s="18"/>
      <c r="G558" s="18"/>
      <c r="H558" s="18"/>
      <c r="I558" s="18"/>
      <c r="J558" s="18"/>
      <c r="K558" s="18"/>
      <c r="L558" s="18"/>
      <c r="M558" s="18"/>
      <c r="N558" s="18"/>
      <c r="O558" s="18"/>
      <c r="P558" s="23"/>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26"/>
      <c r="CU558" s="26"/>
      <c r="CV558" s="26"/>
      <c r="CW558" s="26"/>
      <c r="CX558" s="26"/>
      <c r="CY558" s="26"/>
      <c r="CZ558" s="26"/>
      <c r="DA558" s="26"/>
      <c r="DB558" s="26"/>
      <c r="DC558" s="26"/>
      <c r="DD558" s="26"/>
      <c r="DE558" s="26"/>
      <c r="DF558" s="26"/>
      <c r="DG558" s="26"/>
      <c r="DH558" s="26"/>
      <c r="DI558" s="26"/>
      <c r="DJ558" s="26"/>
      <c r="DK558" s="26"/>
      <c r="DL558" s="26"/>
      <c r="DM558" s="26"/>
      <c r="DN558" s="26"/>
      <c r="DO558" s="26"/>
      <c r="DP558" s="26"/>
      <c r="DQ558" s="26"/>
      <c r="DR558" s="26"/>
      <c r="DS558" s="26"/>
      <c r="DT558" s="26"/>
      <c r="DU558" s="26"/>
      <c r="DV558" s="26"/>
      <c r="DW558" s="26"/>
      <c r="DX558" s="26"/>
      <c r="DY558" s="26"/>
      <c r="DZ558" s="26"/>
      <c r="EA558" s="26"/>
      <c r="EB558" s="26"/>
      <c r="EC558" s="26"/>
      <c r="ED558" s="26"/>
      <c r="EE558" s="26"/>
      <c r="EF558" s="26"/>
      <c r="EG558" s="26"/>
      <c r="EH558" s="26"/>
      <c r="EI558" s="26"/>
      <c r="EJ558" s="26"/>
      <c r="EK558" s="26"/>
      <c r="EL558" s="26"/>
      <c r="EM558" s="26"/>
      <c r="EN558" s="26"/>
      <c r="EO558" s="26"/>
      <c r="EP558" s="26"/>
      <c r="EQ558" s="26"/>
      <c r="ER558" s="26"/>
      <c r="ES558" s="26"/>
      <c r="ET558" s="26"/>
      <c r="EU558" s="26"/>
      <c r="EV558" s="26"/>
      <c r="EW558" s="26"/>
      <c r="EX558" s="26"/>
      <c r="EY558" s="26"/>
      <c r="EZ558" s="26"/>
      <c r="FA558" s="60"/>
      <c r="FB558" s="60"/>
      <c r="FC558" s="60"/>
      <c r="FD558" s="60"/>
      <c r="FE558" s="60"/>
      <c r="FF558" s="60"/>
      <c r="FG558" s="60"/>
      <c r="FH558" s="60"/>
      <c r="FI558" s="60"/>
      <c r="FJ558" s="60"/>
      <c r="FK558" s="60"/>
      <c r="FL558" s="60"/>
      <c r="FM558" s="60"/>
      <c r="FN558" s="60"/>
      <c r="FO558" s="60"/>
      <c r="FP558" s="60"/>
      <c r="FQ558" s="60"/>
      <c r="FR558" s="60"/>
      <c r="FS558" s="60"/>
      <c r="FT558" s="60"/>
      <c r="FU558" s="60"/>
      <c r="FV558" s="60"/>
      <c r="FW558" s="60"/>
      <c r="FX558" s="60"/>
    </row>
    <row r="559">
      <c r="A559" s="18"/>
      <c r="B559" s="14"/>
      <c r="C559" s="14"/>
      <c r="D559" s="14"/>
      <c r="E559" s="18"/>
      <c r="F559" s="18"/>
      <c r="G559" s="18"/>
      <c r="H559" s="18"/>
      <c r="I559" s="18"/>
      <c r="J559" s="18"/>
      <c r="K559" s="18"/>
      <c r="L559" s="18"/>
      <c r="M559" s="18"/>
      <c r="N559" s="18"/>
      <c r="O559" s="18"/>
      <c r="P559" s="23"/>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26"/>
      <c r="CU559" s="26"/>
      <c r="CV559" s="26"/>
      <c r="CW559" s="26"/>
      <c r="CX559" s="26"/>
      <c r="CY559" s="26"/>
      <c r="CZ559" s="26"/>
      <c r="DA559" s="26"/>
      <c r="DB559" s="26"/>
      <c r="DC559" s="26"/>
      <c r="DD559" s="26"/>
      <c r="DE559" s="26"/>
      <c r="DF559" s="26"/>
      <c r="DG559" s="26"/>
      <c r="DH559" s="26"/>
      <c r="DI559" s="26"/>
      <c r="DJ559" s="26"/>
      <c r="DK559" s="26"/>
      <c r="DL559" s="26"/>
      <c r="DM559" s="26"/>
      <c r="DN559" s="26"/>
      <c r="DO559" s="26"/>
      <c r="DP559" s="26"/>
      <c r="DQ559" s="26"/>
      <c r="DR559" s="26"/>
      <c r="DS559" s="26"/>
      <c r="DT559" s="26"/>
      <c r="DU559" s="26"/>
      <c r="DV559" s="26"/>
      <c r="DW559" s="26"/>
      <c r="DX559" s="26"/>
      <c r="DY559" s="26"/>
      <c r="DZ559" s="26"/>
      <c r="EA559" s="26"/>
      <c r="EB559" s="26"/>
      <c r="EC559" s="26"/>
      <c r="ED559" s="26"/>
      <c r="EE559" s="26"/>
      <c r="EF559" s="26"/>
      <c r="EG559" s="26"/>
      <c r="EH559" s="26"/>
      <c r="EI559" s="26"/>
      <c r="EJ559" s="26"/>
      <c r="EK559" s="26"/>
      <c r="EL559" s="26"/>
      <c r="EM559" s="26"/>
      <c r="EN559" s="26"/>
      <c r="EO559" s="26"/>
      <c r="EP559" s="26"/>
      <c r="EQ559" s="26"/>
      <c r="ER559" s="26"/>
      <c r="ES559" s="26"/>
      <c r="ET559" s="26"/>
      <c r="EU559" s="26"/>
      <c r="EV559" s="26"/>
      <c r="EW559" s="26"/>
      <c r="EX559" s="26"/>
      <c r="EY559" s="26"/>
      <c r="EZ559" s="26"/>
      <c r="FA559" s="60"/>
      <c r="FB559" s="60"/>
      <c r="FC559" s="60"/>
      <c r="FD559" s="60"/>
      <c r="FE559" s="60"/>
      <c r="FF559" s="60"/>
      <c r="FG559" s="60"/>
      <c r="FH559" s="60"/>
      <c r="FI559" s="60"/>
      <c r="FJ559" s="60"/>
      <c r="FK559" s="60"/>
      <c r="FL559" s="60"/>
      <c r="FM559" s="60"/>
      <c r="FN559" s="60"/>
      <c r="FO559" s="60"/>
      <c r="FP559" s="60"/>
      <c r="FQ559" s="60"/>
      <c r="FR559" s="60"/>
      <c r="FS559" s="60"/>
      <c r="FT559" s="60"/>
      <c r="FU559" s="60"/>
      <c r="FV559" s="60"/>
      <c r="FW559" s="60"/>
      <c r="FX559" s="60"/>
    </row>
    <row r="560">
      <c r="A560" s="18"/>
      <c r="B560" s="14"/>
      <c r="C560" s="14"/>
      <c r="D560" s="14"/>
      <c r="E560" s="18"/>
      <c r="F560" s="18"/>
      <c r="G560" s="18"/>
      <c r="H560" s="18"/>
      <c r="I560" s="18"/>
      <c r="J560" s="18"/>
      <c r="K560" s="18"/>
      <c r="L560" s="18"/>
      <c r="M560" s="18"/>
      <c r="N560" s="18"/>
      <c r="O560" s="18"/>
      <c r="P560" s="23"/>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26"/>
      <c r="CU560" s="26"/>
      <c r="CV560" s="26"/>
      <c r="CW560" s="26"/>
      <c r="CX560" s="26"/>
      <c r="CY560" s="26"/>
      <c r="CZ560" s="26"/>
      <c r="DA560" s="26"/>
      <c r="DB560" s="26"/>
      <c r="DC560" s="26"/>
      <c r="DD560" s="26"/>
      <c r="DE560" s="26"/>
      <c r="DF560" s="26"/>
      <c r="DG560" s="26"/>
      <c r="DH560" s="26"/>
      <c r="DI560" s="26"/>
      <c r="DJ560" s="26"/>
      <c r="DK560" s="26"/>
      <c r="DL560" s="26"/>
      <c r="DM560" s="26"/>
      <c r="DN560" s="26"/>
      <c r="DO560" s="26"/>
      <c r="DP560" s="26"/>
      <c r="DQ560" s="26"/>
      <c r="DR560" s="26"/>
      <c r="DS560" s="26"/>
      <c r="DT560" s="26"/>
      <c r="DU560" s="26"/>
      <c r="DV560" s="26"/>
      <c r="DW560" s="26"/>
      <c r="DX560" s="26"/>
      <c r="DY560" s="26"/>
      <c r="DZ560" s="26"/>
      <c r="EA560" s="26"/>
      <c r="EB560" s="26"/>
      <c r="EC560" s="26"/>
      <c r="ED560" s="26"/>
      <c r="EE560" s="26"/>
      <c r="EF560" s="26"/>
      <c r="EG560" s="26"/>
      <c r="EH560" s="26"/>
      <c r="EI560" s="26"/>
      <c r="EJ560" s="26"/>
      <c r="EK560" s="26"/>
      <c r="EL560" s="26"/>
      <c r="EM560" s="26"/>
      <c r="EN560" s="26"/>
      <c r="EO560" s="26"/>
      <c r="EP560" s="26"/>
      <c r="EQ560" s="26"/>
      <c r="ER560" s="26"/>
      <c r="ES560" s="26"/>
      <c r="ET560" s="26"/>
      <c r="EU560" s="26"/>
      <c r="EV560" s="26"/>
      <c r="EW560" s="26"/>
      <c r="EX560" s="26"/>
      <c r="EY560" s="26"/>
      <c r="EZ560" s="26"/>
      <c r="FA560" s="60"/>
      <c r="FB560" s="60"/>
      <c r="FC560" s="60"/>
      <c r="FD560" s="60"/>
      <c r="FE560" s="60"/>
      <c r="FF560" s="60"/>
      <c r="FG560" s="60"/>
      <c r="FH560" s="60"/>
      <c r="FI560" s="60"/>
      <c r="FJ560" s="60"/>
      <c r="FK560" s="60"/>
      <c r="FL560" s="60"/>
      <c r="FM560" s="60"/>
      <c r="FN560" s="60"/>
      <c r="FO560" s="60"/>
      <c r="FP560" s="60"/>
      <c r="FQ560" s="60"/>
      <c r="FR560" s="60"/>
      <c r="FS560" s="60"/>
      <c r="FT560" s="60"/>
      <c r="FU560" s="60"/>
      <c r="FV560" s="60"/>
      <c r="FW560" s="60"/>
      <c r="FX560" s="60"/>
    </row>
    <row r="561">
      <c r="A561" s="18"/>
      <c r="B561" s="14"/>
      <c r="C561" s="14"/>
      <c r="D561" s="14"/>
      <c r="E561" s="18"/>
      <c r="F561" s="18"/>
      <c r="G561" s="18"/>
      <c r="H561" s="18"/>
      <c r="I561" s="18"/>
      <c r="J561" s="18"/>
      <c r="K561" s="18"/>
      <c r="L561" s="18"/>
      <c r="M561" s="18"/>
      <c r="N561" s="18"/>
      <c r="O561" s="18"/>
      <c r="P561" s="23"/>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26"/>
      <c r="CU561" s="26"/>
      <c r="CV561" s="26"/>
      <c r="CW561" s="26"/>
      <c r="CX561" s="26"/>
      <c r="CY561" s="26"/>
      <c r="CZ561" s="26"/>
      <c r="DA561" s="26"/>
      <c r="DB561" s="26"/>
      <c r="DC561" s="26"/>
      <c r="DD561" s="26"/>
      <c r="DE561" s="26"/>
      <c r="DF561" s="26"/>
      <c r="DG561" s="26"/>
      <c r="DH561" s="26"/>
      <c r="DI561" s="26"/>
      <c r="DJ561" s="26"/>
      <c r="DK561" s="26"/>
      <c r="DL561" s="26"/>
      <c r="DM561" s="26"/>
      <c r="DN561" s="26"/>
      <c r="DO561" s="26"/>
      <c r="DP561" s="26"/>
      <c r="DQ561" s="26"/>
      <c r="DR561" s="26"/>
      <c r="DS561" s="26"/>
      <c r="DT561" s="26"/>
      <c r="DU561" s="26"/>
      <c r="DV561" s="26"/>
      <c r="DW561" s="26"/>
      <c r="DX561" s="26"/>
      <c r="DY561" s="26"/>
      <c r="DZ561" s="26"/>
      <c r="EA561" s="26"/>
      <c r="EB561" s="26"/>
      <c r="EC561" s="26"/>
      <c r="ED561" s="26"/>
      <c r="EE561" s="26"/>
      <c r="EF561" s="26"/>
      <c r="EG561" s="26"/>
      <c r="EH561" s="26"/>
      <c r="EI561" s="26"/>
      <c r="EJ561" s="26"/>
      <c r="EK561" s="26"/>
      <c r="EL561" s="26"/>
      <c r="EM561" s="26"/>
      <c r="EN561" s="26"/>
      <c r="EO561" s="26"/>
      <c r="EP561" s="26"/>
      <c r="EQ561" s="26"/>
      <c r="ER561" s="26"/>
      <c r="ES561" s="26"/>
      <c r="ET561" s="26"/>
      <c r="EU561" s="26"/>
      <c r="EV561" s="26"/>
      <c r="EW561" s="26"/>
      <c r="EX561" s="26"/>
      <c r="EY561" s="26"/>
      <c r="EZ561" s="26"/>
      <c r="FA561" s="60"/>
      <c r="FB561" s="60"/>
      <c r="FC561" s="60"/>
      <c r="FD561" s="60"/>
      <c r="FE561" s="60"/>
      <c r="FF561" s="60"/>
      <c r="FG561" s="60"/>
      <c r="FH561" s="60"/>
      <c r="FI561" s="60"/>
      <c r="FJ561" s="60"/>
      <c r="FK561" s="60"/>
      <c r="FL561" s="60"/>
      <c r="FM561" s="60"/>
      <c r="FN561" s="60"/>
      <c r="FO561" s="60"/>
      <c r="FP561" s="60"/>
      <c r="FQ561" s="60"/>
      <c r="FR561" s="60"/>
      <c r="FS561" s="60"/>
      <c r="FT561" s="60"/>
      <c r="FU561" s="60"/>
      <c r="FV561" s="60"/>
      <c r="FW561" s="60"/>
      <c r="FX561" s="60"/>
    </row>
    <row r="562">
      <c r="A562" s="18"/>
      <c r="B562" s="14"/>
      <c r="C562" s="14"/>
      <c r="D562" s="14"/>
      <c r="E562" s="18"/>
      <c r="F562" s="18"/>
      <c r="G562" s="18"/>
      <c r="H562" s="18"/>
      <c r="I562" s="18"/>
      <c r="J562" s="18"/>
      <c r="K562" s="18"/>
      <c r="L562" s="18"/>
      <c r="M562" s="18"/>
      <c r="N562" s="18"/>
      <c r="O562" s="18"/>
      <c r="P562" s="23"/>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26"/>
      <c r="CU562" s="26"/>
      <c r="CV562" s="26"/>
      <c r="CW562" s="26"/>
      <c r="CX562" s="26"/>
      <c r="CY562" s="26"/>
      <c r="CZ562" s="26"/>
      <c r="DA562" s="26"/>
      <c r="DB562" s="26"/>
      <c r="DC562" s="26"/>
      <c r="DD562" s="26"/>
      <c r="DE562" s="26"/>
      <c r="DF562" s="26"/>
      <c r="DG562" s="26"/>
      <c r="DH562" s="26"/>
      <c r="DI562" s="26"/>
      <c r="DJ562" s="26"/>
      <c r="DK562" s="26"/>
      <c r="DL562" s="26"/>
      <c r="DM562" s="26"/>
      <c r="DN562" s="26"/>
      <c r="DO562" s="26"/>
      <c r="DP562" s="26"/>
      <c r="DQ562" s="26"/>
      <c r="DR562" s="26"/>
      <c r="DS562" s="26"/>
      <c r="DT562" s="26"/>
      <c r="DU562" s="26"/>
      <c r="DV562" s="26"/>
      <c r="DW562" s="26"/>
      <c r="DX562" s="26"/>
      <c r="DY562" s="26"/>
      <c r="DZ562" s="26"/>
      <c r="EA562" s="26"/>
      <c r="EB562" s="26"/>
      <c r="EC562" s="26"/>
      <c r="ED562" s="26"/>
      <c r="EE562" s="26"/>
      <c r="EF562" s="26"/>
      <c r="EG562" s="26"/>
      <c r="EH562" s="26"/>
      <c r="EI562" s="26"/>
      <c r="EJ562" s="26"/>
      <c r="EK562" s="26"/>
      <c r="EL562" s="26"/>
      <c r="EM562" s="26"/>
      <c r="EN562" s="26"/>
      <c r="EO562" s="26"/>
      <c r="EP562" s="26"/>
      <c r="EQ562" s="26"/>
      <c r="ER562" s="26"/>
      <c r="ES562" s="26"/>
      <c r="ET562" s="26"/>
      <c r="EU562" s="26"/>
      <c r="EV562" s="26"/>
      <c r="EW562" s="26"/>
      <c r="EX562" s="26"/>
      <c r="EY562" s="26"/>
      <c r="EZ562" s="26"/>
      <c r="FA562" s="60"/>
      <c r="FB562" s="60"/>
      <c r="FC562" s="60"/>
      <c r="FD562" s="60"/>
      <c r="FE562" s="60"/>
      <c r="FF562" s="60"/>
      <c r="FG562" s="60"/>
      <c r="FH562" s="60"/>
      <c r="FI562" s="60"/>
      <c r="FJ562" s="60"/>
      <c r="FK562" s="60"/>
      <c r="FL562" s="60"/>
      <c r="FM562" s="60"/>
      <c r="FN562" s="60"/>
      <c r="FO562" s="60"/>
      <c r="FP562" s="60"/>
      <c r="FQ562" s="60"/>
      <c r="FR562" s="60"/>
      <c r="FS562" s="60"/>
      <c r="FT562" s="60"/>
      <c r="FU562" s="60"/>
      <c r="FV562" s="60"/>
      <c r="FW562" s="60"/>
      <c r="FX562" s="60"/>
    </row>
    <row r="563">
      <c r="A563" s="18"/>
      <c r="B563" s="14"/>
      <c r="C563" s="14"/>
      <c r="D563" s="14"/>
      <c r="E563" s="18"/>
      <c r="F563" s="18"/>
      <c r="G563" s="18"/>
      <c r="H563" s="18"/>
      <c r="I563" s="18"/>
      <c r="J563" s="18"/>
      <c r="K563" s="18"/>
      <c r="L563" s="18"/>
      <c r="M563" s="18"/>
      <c r="N563" s="18"/>
      <c r="O563" s="18"/>
      <c r="P563" s="23"/>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26"/>
      <c r="CU563" s="26"/>
      <c r="CV563" s="26"/>
      <c r="CW563" s="26"/>
      <c r="CX563" s="26"/>
      <c r="CY563" s="26"/>
      <c r="CZ563" s="26"/>
      <c r="DA563" s="26"/>
      <c r="DB563" s="26"/>
      <c r="DC563" s="26"/>
      <c r="DD563" s="26"/>
      <c r="DE563" s="26"/>
      <c r="DF563" s="26"/>
      <c r="DG563" s="26"/>
      <c r="DH563" s="26"/>
      <c r="DI563" s="26"/>
      <c r="DJ563" s="26"/>
      <c r="DK563" s="26"/>
      <c r="DL563" s="26"/>
      <c r="DM563" s="26"/>
      <c r="DN563" s="26"/>
      <c r="DO563" s="26"/>
      <c r="DP563" s="26"/>
      <c r="DQ563" s="26"/>
      <c r="DR563" s="26"/>
      <c r="DS563" s="26"/>
      <c r="DT563" s="26"/>
      <c r="DU563" s="26"/>
      <c r="DV563" s="26"/>
      <c r="DW563" s="26"/>
      <c r="DX563" s="26"/>
      <c r="DY563" s="26"/>
      <c r="DZ563" s="26"/>
      <c r="EA563" s="26"/>
      <c r="EB563" s="26"/>
      <c r="EC563" s="26"/>
      <c r="ED563" s="26"/>
      <c r="EE563" s="26"/>
      <c r="EF563" s="26"/>
      <c r="EG563" s="26"/>
      <c r="EH563" s="26"/>
      <c r="EI563" s="26"/>
      <c r="EJ563" s="26"/>
      <c r="EK563" s="26"/>
      <c r="EL563" s="26"/>
      <c r="EM563" s="26"/>
      <c r="EN563" s="26"/>
      <c r="EO563" s="26"/>
      <c r="EP563" s="26"/>
      <c r="EQ563" s="26"/>
      <c r="ER563" s="26"/>
      <c r="ES563" s="26"/>
      <c r="ET563" s="26"/>
      <c r="EU563" s="26"/>
      <c r="EV563" s="26"/>
      <c r="EW563" s="26"/>
      <c r="EX563" s="26"/>
      <c r="EY563" s="26"/>
      <c r="EZ563" s="26"/>
      <c r="FA563" s="60"/>
      <c r="FB563" s="60"/>
      <c r="FC563" s="60"/>
      <c r="FD563" s="60"/>
      <c r="FE563" s="60"/>
      <c r="FF563" s="60"/>
      <c r="FG563" s="60"/>
      <c r="FH563" s="60"/>
      <c r="FI563" s="60"/>
      <c r="FJ563" s="60"/>
      <c r="FK563" s="60"/>
      <c r="FL563" s="60"/>
      <c r="FM563" s="60"/>
      <c r="FN563" s="60"/>
      <c r="FO563" s="60"/>
      <c r="FP563" s="60"/>
      <c r="FQ563" s="60"/>
      <c r="FR563" s="60"/>
      <c r="FS563" s="60"/>
      <c r="FT563" s="60"/>
      <c r="FU563" s="60"/>
      <c r="FV563" s="60"/>
      <c r="FW563" s="60"/>
      <c r="FX563" s="60"/>
    </row>
    <row r="564">
      <c r="A564" s="18"/>
      <c r="B564" s="14"/>
      <c r="C564" s="14"/>
      <c r="D564" s="14"/>
      <c r="E564" s="18"/>
      <c r="F564" s="18"/>
      <c r="G564" s="18"/>
      <c r="H564" s="18"/>
      <c r="I564" s="18"/>
      <c r="J564" s="18"/>
      <c r="K564" s="18"/>
      <c r="L564" s="18"/>
      <c r="M564" s="18"/>
      <c r="N564" s="18"/>
      <c r="O564" s="18"/>
      <c r="P564" s="23"/>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26"/>
      <c r="CU564" s="26"/>
      <c r="CV564" s="26"/>
      <c r="CW564" s="26"/>
      <c r="CX564" s="26"/>
      <c r="CY564" s="26"/>
      <c r="CZ564" s="26"/>
      <c r="DA564" s="26"/>
      <c r="DB564" s="26"/>
      <c r="DC564" s="26"/>
      <c r="DD564" s="26"/>
      <c r="DE564" s="26"/>
      <c r="DF564" s="26"/>
      <c r="DG564" s="26"/>
      <c r="DH564" s="26"/>
      <c r="DI564" s="26"/>
      <c r="DJ564" s="26"/>
      <c r="DK564" s="26"/>
      <c r="DL564" s="26"/>
      <c r="DM564" s="26"/>
      <c r="DN564" s="26"/>
      <c r="DO564" s="26"/>
      <c r="DP564" s="26"/>
      <c r="DQ564" s="26"/>
      <c r="DR564" s="26"/>
      <c r="DS564" s="26"/>
      <c r="DT564" s="26"/>
      <c r="DU564" s="26"/>
      <c r="DV564" s="26"/>
      <c r="DW564" s="26"/>
      <c r="DX564" s="26"/>
      <c r="DY564" s="26"/>
      <c r="DZ564" s="26"/>
      <c r="EA564" s="26"/>
      <c r="EB564" s="26"/>
      <c r="EC564" s="26"/>
      <c r="ED564" s="26"/>
      <c r="EE564" s="26"/>
      <c r="EF564" s="26"/>
      <c r="EG564" s="26"/>
      <c r="EH564" s="26"/>
      <c r="EI564" s="26"/>
      <c r="EJ564" s="26"/>
      <c r="EK564" s="26"/>
      <c r="EL564" s="26"/>
      <c r="EM564" s="26"/>
      <c r="EN564" s="26"/>
      <c r="EO564" s="26"/>
      <c r="EP564" s="26"/>
      <c r="EQ564" s="26"/>
      <c r="ER564" s="26"/>
      <c r="ES564" s="26"/>
      <c r="ET564" s="26"/>
      <c r="EU564" s="26"/>
      <c r="EV564" s="26"/>
      <c r="EW564" s="26"/>
      <c r="EX564" s="26"/>
      <c r="EY564" s="26"/>
      <c r="EZ564" s="26"/>
      <c r="FA564" s="60"/>
      <c r="FB564" s="60"/>
      <c r="FC564" s="60"/>
      <c r="FD564" s="60"/>
      <c r="FE564" s="60"/>
      <c r="FF564" s="60"/>
      <c r="FG564" s="60"/>
      <c r="FH564" s="60"/>
      <c r="FI564" s="60"/>
      <c r="FJ564" s="60"/>
      <c r="FK564" s="60"/>
      <c r="FL564" s="60"/>
      <c r="FM564" s="60"/>
      <c r="FN564" s="60"/>
      <c r="FO564" s="60"/>
      <c r="FP564" s="60"/>
      <c r="FQ564" s="60"/>
      <c r="FR564" s="60"/>
      <c r="FS564" s="60"/>
      <c r="FT564" s="60"/>
      <c r="FU564" s="60"/>
      <c r="FV564" s="60"/>
      <c r="FW564" s="60"/>
      <c r="FX564" s="60"/>
    </row>
    <row r="565">
      <c r="A565" s="18"/>
      <c r="B565" s="14"/>
      <c r="C565" s="14"/>
      <c r="D565" s="14"/>
      <c r="E565" s="18"/>
      <c r="F565" s="18"/>
      <c r="G565" s="18"/>
      <c r="H565" s="18"/>
      <c r="I565" s="18"/>
      <c r="J565" s="18"/>
      <c r="K565" s="18"/>
      <c r="L565" s="18"/>
      <c r="M565" s="18"/>
      <c r="N565" s="18"/>
      <c r="O565" s="18"/>
      <c r="P565" s="23"/>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26"/>
      <c r="CU565" s="26"/>
      <c r="CV565" s="26"/>
      <c r="CW565" s="26"/>
      <c r="CX565" s="26"/>
      <c r="CY565" s="26"/>
      <c r="CZ565" s="26"/>
      <c r="DA565" s="26"/>
      <c r="DB565" s="26"/>
      <c r="DC565" s="26"/>
      <c r="DD565" s="26"/>
      <c r="DE565" s="26"/>
      <c r="DF565" s="26"/>
      <c r="DG565" s="26"/>
      <c r="DH565" s="26"/>
      <c r="DI565" s="26"/>
      <c r="DJ565" s="26"/>
      <c r="DK565" s="26"/>
      <c r="DL565" s="26"/>
      <c r="DM565" s="26"/>
      <c r="DN565" s="26"/>
      <c r="DO565" s="26"/>
      <c r="DP565" s="26"/>
      <c r="DQ565" s="26"/>
      <c r="DR565" s="26"/>
      <c r="DS565" s="26"/>
      <c r="DT565" s="26"/>
      <c r="DU565" s="26"/>
      <c r="DV565" s="26"/>
      <c r="DW565" s="26"/>
      <c r="DX565" s="26"/>
      <c r="DY565" s="26"/>
      <c r="DZ565" s="26"/>
      <c r="EA565" s="26"/>
      <c r="EB565" s="26"/>
      <c r="EC565" s="26"/>
      <c r="ED565" s="26"/>
      <c r="EE565" s="26"/>
      <c r="EF565" s="26"/>
      <c r="EG565" s="26"/>
      <c r="EH565" s="26"/>
      <c r="EI565" s="26"/>
      <c r="EJ565" s="26"/>
      <c r="EK565" s="26"/>
      <c r="EL565" s="26"/>
      <c r="EM565" s="26"/>
      <c r="EN565" s="26"/>
      <c r="EO565" s="26"/>
      <c r="EP565" s="26"/>
      <c r="EQ565" s="26"/>
      <c r="ER565" s="26"/>
      <c r="ES565" s="26"/>
      <c r="ET565" s="26"/>
      <c r="EU565" s="26"/>
      <c r="EV565" s="26"/>
      <c r="EW565" s="26"/>
      <c r="EX565" s="26"/>
      <c r="EY565" s="26"/>
      <c r="EZ565" s="26"/>
      <c r="FA565" s="60"/>
      <c r="FB565" s="60"/>
      <c r="FC565" s="60"/>
      <c r="FD565" s="60"/>
      <c r="FE565" s="60"/>
      <c r="FF565" s="60"/>
      <c r="FG565" s="60"/>
      <c r="FH565" s="60"/>
      <c r="FI565" s="60"/>
      <c r="FJ565" s="60"/>
      <c r="FK565" s="60"/>
      <c r="FL565" s="60"/>
      <c r="FM565" s="60"/>
      <c r="FN565" s="60"/>
      <c r="FO565" s="60"/>
      <c r="FP565" s="60"/>
      <c r="FQ565" s="60"/>
      <c r="FR565" s="60"/>
      <c r="FS565" s="60"/>
      <c r="FT565" s="60"/>
      <c r="FU565" s="60"/>
      <c r="FV565" s="60"/>
      <c r="FW565" s="60"/>
      <c r="FX565" s="60"/>
    </row>
    <row r="566">
      <c r="A566" s="18"/>
      <c r="B566" s="14"/>
      <c r="C566" s="14"/>
      <c r="D566" s="14"/>
      <c r="E566" s="18"/>
      <c r="F566" s="18"/>
      <c r="G566" s="18"/>
      <c r="H566" s="18"/>
      <c r="I566" s="18"/>
      <c r="J566" s="18"/>
      <c r="K566" s="18"/>
      <c r="L566" s="18"/>
      <c r="M566" s="18"/>
      <c r="N566" s="18"/>
      <c r="O566" s="18"/>
      <c r="P566" s="23"/>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26"/>
      <c r="CU566" s="26"/>
      <c r="CV566" s="26"/>
      <c r="CW566" s="26"/>
      <c r="CX566" s="26"/>
      <c r="CY566" s="26"/>
      <c r="CZ566" s="26"/>
      <c r="DA566" s="26"/>
      <c r="DB566" s="26"/>
      <c r="DC566" s="26"/>
      <c r="DD566" s="26"/>
      <c r="DE566" s="26"/>
      <c r="DF566" s="26"/>
      <c r="DG566" s="26"/>
      <c r="DH566" s="26"/>
      <c r="DI566" s="26"/>
      <c r="DJ566" s="26"/>
      <c r="DK566" s="26"/>
      <c r="DL566" s="26"/>
      <c r="DM566" s="26"/>
      <c r="DN566" s="26"/>
      <c r="DO566" s="26"/>
      <c r="DP566" s="26"/>
      <c r="DQ566" s="26"/>
      <c r="DR566" s="26"/>
      <c r="DS566" s="26"/>
      <c r="DT566" s="26"/>
      <c r="DU566" s="26"/>
      <c r="DV566" s="26"/>
      <c r="DW566" s="26"/>
      <c r="DX566" s="26"/>
      <c r="DY566" s="26"/>
      <c r="DZ566" s="26"/>
      <c r="EA566" s="26"/>
      <c r="EB566" s="26"/>
      <c r="EC566" s="26"/>
      <c r="ED566" s="26"/>
      <c r="EE566" s="26"/>
      <c r="EF566" s="26"/>
      <c r="EG566" s="26"/>
      <c r="EH566" s="26"/>
      <c r="EI566" s="26"/>
      <c r="EJ566" s="26"/>
      <c r="EK566" s="26"/>
      <c r="EL566" s="26"/>
      <c r="EM566" s="26"/>
      <c r="EN566" s="26"/>
      <c r="EO566" s="26"/>
      <c r="EP566" s="26"/>
      <c r="EQ566" s="26"/>
      <c r="ER566" s="26"/>
      <c r="ES566" s="26"/>
      <c r="ET566" s="26"/>
      <c r="EU566" s="26"/>
      <c r="EV566" s="26"/>
      <c r="EW566" s="26"/>
      <c r="EX566" s="26"/>
      <c r="EY566" s="26"/>
      <c r="EZ566" s="26"/>
      <c r="FA566" s="60"/>
      <c r="FB566" s="60"/>
      <c r="FC566" s="60"/>
      <c r="FD566" s="60"/>
      <c r="FE566" s="60"/>
      <c r="FF566" s="60"/>
      <c r="FG566" s="60"/>
      <c r="FH566" s="60"/>
      <c r="FI566" s="60"/>
      <c r="FJ566" s="60"/>
      <c r="FK566" s="60"/>
      <c r="FL566" s="60"/>
      <c r="FM566" s="60"/>
      <c r="FN566" s="60"/>
      <c r="FO566" s="60"/>
      <c r="FP566" s="60"/>
      <c r="FQ566" s="60"/>
      <c r="FR566" s="60"/>
      <c r="FS566" s="60"/>
      <c r="FT566" s="60"/>
      <c r="FU566" s="60"/>
      <c r="FV566" s="60"/>
      <c r="FW566" s="60"/>
      <c r="FX566" s="60"/>
    </row>
    <row r="567">
      <c r="A567" s="18"/>
      <c r="B567" s="14"/>
      <c r="C567" s="14"/>
      <c r="D567" s="14"/>
      <c r="E567" s="18"/>
      <c r="F567" s="18"/>
      <c r="G567" s="18"/>
      <c r="H567" s="18"/>
      <c r="I567" s="18"/>
      <c r="J567" s="18"/>
      <c r="K567" s="18"/>
      <c r="L567" s="18"/>
      <c r="M567" s="18"/>
      <c r="N567" s="18"/>
      <c r="O567" s="18"/>
      <c r="P567" s="23"/>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26"/>
      <c r="CU567" s="26"/>
      <c r="CV567" s="26"/>
      <c r="CW567" s="26"/>
      <c r="CX567" s="26"/>
      <c r="CY567" s="26"/>
      <c r="CZ567" s="26"/>
      <c r="DA567" s="26"/>
      <c r="DB567" s="26"/>
      <c r="DC567" s="26"/>
      <c r="DD567" s="26"/>
      <c r="DE567" s="26"/>
      <c r="DF567" s="26"/>
      <c r="DG567" s="26"/>
      <c r="DH567" s="26"/>
      <c r="DI567" s="26"/>
      <c r="DJ567" s="26"/>
      <c r="DK567" s="26"/>
      <c r="DL567" s="26"/>
      <c r="DM567" s="26"/>
      <c r="DN567" s="26"/>
      <c r="DO567" s="26"/>
      <c r="DP567" s="26"/>
      <c r="DQ567" s="26"/>
      <c r="DR567" s="26"/>
      <c r="DS567" s="26"/>
      <c r="DT567" s="26"/>
      <c r="DU567" s="26"/>
      <c r="DV567" s="26"/>
      <c r="DW567" s="26"/>
      <c r="DX567" s="26"/>
      <c r="DY567" s="26"/>
      <c r="DZ567" s="26"/>
      <c r="EA567" s="26"/>
      <c r="EB567" s="26"/>
      <c r="EC567" s="26"/>
      <c r="ED567" s="26"/>
      <c r="EE567" s="26"/>
      <c r="EF567" s="26"/>
      <c r="EG567" s="26"/>
      <c r="EH567" s="26"/>
      <c r="EI567" s="26"/>
      <c r="EJ567" s="26"/>
      <c r="EK567" s="26"/>
      <c r="EL567" s="26"/>
      <c r="EM567" s="26"/>
      <c r="EN567" s="26"/>
      <c r="EO567" s="26"/>
      <c r="EP567" s="26"/>
      <c r="EQ567" s="26"/>
      <c r="ER567" s="26"/>
      <c r="ES567" s="26"/>
      <c r="ET567" s="26"/>
      <c r="EU567" s="26"/>
      <c r="EV567" s="26"/>
      <c r="EW567" s="26"/>
      <c r="EX567" s="26"/>
      <c r="EY567" s="26"/>
      <c r="EZ567" s="26"/>
      <c r="FA567" s="60"/>
      <c r="FB567" s="60"/>
      <c r="FC567" s="60"/>
      <c r="FD567" s="60"/>
      <c r="FE567" s="60"/>
      <c r="FF567" s="60"/>
      <c r="FG567" s="60"/>
      <c r="FH567" s="60"/>
      <c r="FI567" s="60"/>
      <c r="FJ567" s="60"/>
      <c r="FK567" s="60"/>
      <c r="FL567" s="60"/>
      <c r="FM567" s="60"/>
      <c r="FN567" s="60"/>
      <c r="FO567" s="60"/>
      <c r="FP567" s="60"/>
      <c r="FQ567" s="60"/>
      <c r="FR567" s="60"/>
      <c r="FS567" s="60"/>
      <c r="FT567" s="60"/>
      <c r="FU567" s="60"/>
      <c r="FV567" s="60"/>
      <c r="FW567" s="60"/>
      <c r="FX567" s="60"/>
    </row>
    <row r="568">
      <c r="A568" s="18"/>
      <c r="B568" s="14"/>
      <c r="C568" s="14"/>
      <c r="D568" s="14"/>
      <c r="E568" s="18"/>
      <c r="F568" s="18"/>
      <c r="G568" s="18"/>
      <c r="H568" s="18"/>
      <c r="I568" s="18"/>
      <c r="J568" s="18"/>
      <c r="K568" s="18"/>
      <c r="L568" s="18"/>
      <c r="M568" s="18"/>
      <c r="N568" s="18"/>
      <c r="O568" s="18"/>
      <c r="P568" s="23"/>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26"/>
      <c r="CU568" s="26"/>
      <c r="CV568" s="26"/>
      <c r="CW568" s="26"/>
      <c r="CX568" s="26"/>
      <c r="CY568" s="26"/>
      <c r="CZ568" s="26"/>
      <c r="DA568" s="26"/>
      <c r="DB568" s="26"/>
      <c r="DC568" s="26"/>
      <c r="DD568" s="26"/>
      <c r="DE568" s="26"/>
      <c r="DF568" s="26"/>
      <c r="DG568" s="26"/>
      <c r="DH568" s="26"/>
      <c r="DI568" s="26"/>
      <c r="DJ568" s="26"/>
      <c r="DK568" s="26"/>
      <c r="DL568" s="26"/>
      <c r="DM568" s="26"/>
      <c r="DN568" s="26"/>
      <c r="DO568" s="26"/>
      <c r="DP568" s="26"/>
      <c r="DQ568" s="26"/>
      <c r="DR568" s="26"/>
      <c r="DS568" s="26"/>
      <c r="DT568" s="26"/>
      <c r="DU568" s="26"/>
      <c r="DV568" s="26"/>
      <c r="DW568" s="26"/>
      <c r="DX568" s="26"/>
      <c r="DY568" s="26"/>
      <c r="DZ568" s="26"/>
      <c r="EA568" s="26"/>
      <c r="EB568" s="26"/>
      <c r="EC568" s="26"/>
      <c r="ED568" s="26"/>
      <c r="EE568" s="26"/>
      <c r="EF568" s="26"/>
      <c r="EG568" s="26"/>
      <c r="EH568" s="26"/>
      <c r="EI568" s="26"/>
      <c r="EJ568" s="26"/>
      <c r="EK568" s="26"/>
      <c r="EL568" s="26"/>
      <c r="EM568" s="26"/>
      <c r="EN568" s="26"/>
      <c r="EO568" s="26"/>
      <c r="EP568" s="26"/>
      <c r="EQ568" s="26"/>
      <c r="ER568" s="26"/>
      <c r="ES568" s="26"/>
      <c r="ET568" s="26"/>
      <c r="EU568" s="26"/>
      <c r="EV568" s="26"/>
      <c r="EW568" s="26"/>
      <c r="EX568" s="26"/>
      <c r="EY568" s="26"/>
      <c r="EZ568" s="26"/>
      <c r="FA568" s="60"/>
      <c r="FB568" s="60"/>
      <c r="FC568" s="60"/>
      <c r="FD568" s="60"/>
      <c r="FE568" s="60"/>
      <c r="FF568" s="60"/>
      <c r="FG568" s="60"/>
      <c r="FH568" s="60"/>
      <c r="FI568" s="60"/>
      <c r="FJ568" s="60"/>
      <c r="FK568" s="60"/>
      <c r="FL568" s="60"/>
      <c r="FM568" s="60"/>
      <c r="FN568" s="60"/>
      <c r="FO568" s="60"/>
      <c r="FP568" s="60"/>
      <c r="FQ568" s="60"/>
      <c r="FR568" s="60"/>
      <c r="FS568" s="60"/>
      <c r="FT568" s="60"/>
      <c r="FU568" s="60"/>
      <c r="FV568" s="60"/>
      <c r="FW568" s="60"/>
      <c r="FX568" s="60"/>
    </row>
    <row r="569">
      <c r="A569" s="18"/>
      <c r="B569" s="14"/>
      <c r="C569" s="14"/>
      <c r="D569" s="14"/>
      <c r="E569" s="18"/>
      <c r="F569" s="18"/>
      <c r="G569" s="18"/>
      <c r="H569" s="18"/>
      <c r="I569" s="18"/>
      <c r="J569" s="18"/>
      <c r="K569" s="18"/>
      <c r="L569" s="18"/>
      <c r="M569" s="18"/>
      <c r="N569" s="18"/>
      <c r="O569" s="18"/>
      <c r="P569" s="23"/>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26"/>
      <c r="CU569" s="26"/>
      <c r="CV569" s="26"/>
      <c r="CW569" s="26"/>
      <c r="CX569" s="26"/>
      <c r="CY569" s="26"/>
      <c r="CZ569" s="26"/>
      <c r="DA569" s="26"/>
      <c r="DB569" s="26"/>
      <c r="DC569" s="26"/>
      <c r="DD569" s="26"/>
      <c r="DE569" s="26"/>
      <c r="DF569" s="26"/>
      <c r="DG569" s="26"/>
      <c r="DH569" s="26"/>
      <c r="DI569" s="26"/>
      <c r="DJ569" s="26"/>
      <c r="DK569" s="26"/>
      <c r="DL569" s="26"/>
      <c r="DM569" s="26"/>
      <c r="DN569" s="26"/>
      <c r="DO569" s="26"/>
      <c r="DP569" s="26"/>
      <c r="DQ569" s="26"/>
      <c r="DR569" s="26"/>
      <c r="DS569" s="26"/>
      <c r="DT569" s="26"/>
      <c r="DU569" s="26"/>
      <c r="DV569" s="26"/>
      <c r="DW569" s="26"/>
      <c r="DX569" s="26"/>
      <c r="DY569" s="26"/>
      <c r="DZ569" s="26"/>
      <c r="EA569" s="26"/>
      <c r="EB569" s="26"/>
      <c r="EC569" s="26"/>
      <c r="ED569" s="26"/>
      <c r="EE569" s="26"/>
      <c r="EF569" s="26"/>
      <c r="EG569" s="26"/>
      <c r="EH569" s="26"/>
      <c r="EI569" s="26"/>
      <c r="EJ569" s="26"/>
      <c r="EK569" s="26"/>
      <c r="EL569" s="26"/>
      <c r="EM569" s="26"/>
      <c r="EN569" s="26"/>
      <c r="EO569" s="26"/>
      <c r="EP569" s="26"/>
      <c r="EQ569" s="26"/>
      <c r="ER569" s="26"/>
      <c r="ES569" s="26"/>
      <c r="ET569" s="26"/>
      <c r="EU569" s="26"/>
      <c r="EV569" s="26"/>
      <c r="EW569" s="26"/>
      <c r="EX569" s="26"/>
      <c r="EY569" s="26"/>
      <c r="EZ569" s="26"/>
      <c r="FA569" s="60"/>
      <c r="FB569" s="60"/>
      <c r="FC569" s="60"/>
      <c r="FD569" s="60"/>
      <c r="FE569" s="60"/>
      <c r="FF569" s="60"/>
      <c r="FG569" s="60"/>
      <c r="FH569" s="60"/>
      <c r="FI569" s="60"/>
      <c r="FJ569" s="60"/>
      <c r="FK569" s="60"/>
      <c r="FL569" s="60"/>
      <c r="FM569" s="60"/>
      <c r="FN569" s="60"/>
      <c r="FO569" s="60"/>
      <c r="FP569" s="60"/>
      <c r="FQ569" s="60"/>
      <c r="FR569" s="60"/>
      <c r="FS569" s="60"/>
      <c r="FT569" s="60"/>
      <c r="FU569" s="60"/>
      <c r="FV569" s="60"/>
      <c r="FW569" s="60"/>
      <c r="FX569" s="60"/>
    </row>
    <row r="570">
      <c r="A570" s="18"/>
      <c r="B570" s="14"/>
      <c r="C570" s="14"/>
      <c r="D570" s="14"/>
      <c r="E570" s="18"/>
      <c r="F570" s="18"/>
      <c r="G570" s="18"/>
      <c r="H570" s="18"/>
      <c r="I570" s="18"/>
      <c r="J570" s="18"/>
      <c r="K570" s="18"/>
      <c r="L570" s="18"/>
      <c r="M570" s="18"/>
      <c r="N570" s="18"/>
      <c r="O570" s="18"/>
      <c r="P570" s="23"/>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26"/>
      <c r="CU570" s="26"/>
      <c r="CV570" s="26"/>
      <c r="CW570" s="26"/>
      <c r="CX570" s="26"/>
      <c r="CY570" s="26"/>
      <c r="CZ570" s="26"/>
      <c r="DA570" s="26"/>
      <c r="DB570" s="26"/>
      <c r="DC570" s="26"/>
      <c r="DD570" s="26"/>
      <c r="DE570" s="26"/>
      <c r="DF570" s="26"/>
      <c r="DG570" s="26"/>
      <c r="DH570" s="26"/>
      <c r="DI570" s="26"/>
      <c r="DJ570" s="26"/>
      <c r="DK570" s="26"/>
      <c r="DL570" s="26"/>
      <c r="DM570" s="26"/>
      <c r="DN570" s="26"/>
      <c r="DO570" s="26"/>
      <c r="DP570" s="26"/>
      <c r="DQ570" s="26"/>
      <c r="DR570" s="26"/>
      <c r="DS570" s="26"/>
      <c r="DT570" s="26"/>
      <c r="DU570" s="26"/>
      <c r="DV570" s="26"/>
      <c r="DW570" s="26"/>
      <c r="DX570" s="26"/>
      <c r="DY570" s="26"/>
      <c r="DZ570" s="26"/>
      <c r="EA570" s="26"/>
      <c r="EB570" s="26"/>
      <c r="EC570" s="26"/>
      <c r="ED570" s="26"/>
      <c r="EE570" s="26"/>
      <c r="EF570" s="26"/>
      <c r="EG570" s="26"/>
      <c r="EH570" s="26"/>
      <c r="EI570" s="26"/>
      <c r="EJ570" s="26"/>
      <c r="EK570" s="26"/>
      <c r="EL570" s="26"/>
      <c r="EM570" s="26"/>
      <c r="EN570" s="26"/>
      <c r="EO570" s="26"/>
      <c r="EP570" s="26"/>
      <c r="EQ570" s="26"/>
      <c r="ER570" s="26"/>
      <c r="ES570" s="26"/>
      <c r="ET570" s="26"/>
      <c r="EU570" s="26"/>
      <c r="EV570" s="26"/>
      <c r="EW570" s="26"/>
      <c r="EX570" s="26"/>
      <c r="EY570" s="26"/>
      <c r="EZ570" s="26"/>
      <c r="FA570" s="60"/>
      <c r="FB570" s="60"/>
      <c r="FC570" s="60"/>
      <c r="FD570" s="60"/>
      <c r="FE570" s="60"/>
      <c r="FF570" s="60"/>
      <c r="FG570" s="60"/>
      <c r="FH570" s="60"/>
      <c r="FI570" s="60"/>
      <c r="FJ570" s="60"/>
      <c r="FK570" s="60"/>
      <c r="FL570" s="60"/>
      <c r="FM570" s="60"/>
      <c r="FN570" s="60"/>
      <c r="FO570" s="60"/>
      <c r="FP570" s="60"/>
      <c r="FQ570" s="60"/>
      <c r="FR570" s="60"/>
      <c r="FS570" s="60"/>
      <c r="FT570" s="60"/>
      <c r="FU570" s="60"/>
      <c r="FV570" s="60"/>
      <c r="FW570" s="60"/>
      <c r="FX570" s="60"/>
    </row>
    <row r="571">
      <c r="A571" s="18"/>
      <c r="B571" s="14"/>
      <c r="C571" s="14"/>
      <c r="D571" s="14"/>
      <c r="E571" s="18"/>
      <c r="F571" s="18"/>
      <c r="G571" s="18"/>
      <c r="H571" s="18"/>
      <c r="I571" s="18"/>
      <c r="J571" s="18"/>
      <c r="K571" s="18"/>
      <c r="L571" s="18"/>
      <c r="M571" s="18"/>
      <c r="N571" s="18"/>
      <c r="O571" s="18"/>
      <c r="P571" s="23"/>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26"/>
      <c r="CU571" s="26"/>
      <c r="CV571" s="26"/>
      <c r="CW571" s="26"/>
      <c r="CX571" s="26"/>
      <c r="CY571" s="26"/>
      <c r="CZ571" s="26"/>
      <c r="DA571" s="26"/>
      <c r="DB571" s="26"/>
      <c r="DC571" s="26"/>
      <c r="DD571" s="26"/>
      <c r="DE571" s="26"/>
      <c r="DF571" s="26"/>
      <c r="DG571" s="26"/>
      <c r="DH571" s="26"/>
      <c r="DI571" s="26"/>
      <c r="DJ571" s="26"/>
      <c r="DK571" s="26"/>
      <c r="DL571" s="26"/>
      <c r="DM571" s="26"/>
      <c r="DN571" s="26"/>
      <c r="DO571" s="26"/>
      <c r="DP571" s="26"/>
      <c r="DQ571" s="26"/>
      <c r="DR571" s="26"/>
      <c r="DS571" s="26"/>
      <c r="DT571" s="26"/>
      <c r="DU571" s="26"/>
      <c r="DV571" s="26"/>
      <c r="DW571" s="26"/>
      <c r="DX571" s="26"/>
      <c r="DY571" s="26"/>
      <c r="DZ571" s="26"/>
      <c r="EA571" s="26"/>
      <c r="EB571" s="26"/>
      <c r="EC571" s="26"/>
      <c r="ED571" s="26"/>
      <c r="EE571" s="26"/>
      <c r="EF571" s="26"/>
      <c r="EG571" s="26"/>
      <c r="EH571" s="26"/>
      <c r="EI571" s="26"/>
      <c r="EJ571" s="26"/>
      <c r="EK571" s="26"/>
      <c r="EL571" s="26"/>
      <c r="EM571" s="26"/>
      <c r="EN571" s="26"/>
      <c r="EO571" s="26"/>
      <c r="EP571" s="26"/>
      <c r="EQ571" s="26"/>
      <c r="ER571" s="26"/>
      <c r="ES571" s="26"/>
      <c r="ET571" s="26"/>
      <c r="EU571" s="26"/>
      <c r="EV571" s="26"/>
      <c r="EW571" s="26"/>
      <c r="EX571" s="26"/>
      <c r="EY571" s="26"/>
      <c r="EZ571" s="26"/>
      <c r="FA571" s="60"/>
      <c r="FB571" s="60"/>
      <c r="FC571" s="60"/>
      <c r="FD571" s="60"/>
      <c r="FE571" s="60"/>
      <c r="FF571" s="60"/>
      <c r="FG571" s="60"/>
      <c r="FH571" s="60"/>
      <c r="FI571" s="60"/>
      <c r="FJ571" s="60"/>
      <c r="FK571" s="60"/>
      <c r="FL571" s="60"/>
      <c r="FM571" s="60"/>
      <c r="FN571" s="60"/>
      <c r="FO571" s="60"/>
      <c r="FP571" s="60"/>
      <c r="FQ571" s="60"/>
      <c r="FR571" s="60"/>
      <c r="FS571" s="60"/>
      <c r="FT571" s="60"/>
      <c r="FU571" s="60"/>
      <c r="FV571" s="60"/>
      <c r="FW571" s="60"/>
      <c r="FX571" s="60"/>
    </row>
    <row r="572">
      <c r="A572" s="18"/>
      <c r="B572" s="14"/>
      <c r="C572" s="14"/>
      <c r="D572" s="14"/>
      <c r="E572" s="18"/>
      <c r="F572" s="18"/>
      <c r="G572" s="18"/>
      <c r="H572" s="18"/>
      <c r="I572" s="18"/>
      <c r="J572" s="18"/>
      <c r="K572" s="18"/>
      <c r="L572" s="18"/>
      <c r="M572" s="18"/>
      <c r="N572" s="18"/>
      <c r="O572" s="18"/>
      <c r="P572" s="23"/>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26"/>
      <c r="CU572" s="26"/>
      <c r="CV572" s="26"/>
      <c r="CW572" s="26"/>
      <c r="CX572" s="26"/>
      <c r="CY572" s="26"/>
      <c r="CZ572" s="26"/>
      <c r="DA572" s="26"/>
      <c r="DB572" s="26"/>
      <c r="DC572" s="26"/>
      <c r="DD572" s="26"/>
      <c r="DE572" s="26"/>
      <c r="DF572" s="26"/>
      <c r="DG572" s="26"/>
      <c r="DH572" s="26"/>
      <c r="DI572" s="26"/>
      <c r="DJ572" s="26"/>
      <c r="DK572" s="26"/>
      <c r="DL572" s="26"/>
      <c r="DM572" s="26"/>
      <c r="DN572" s="26"/>
      <c r="DO572" s="26"/>
      <c r="DP572" s="26"/>
      <c r="DQ572" s="26"/>
      <c r="DR572" s="26"/>
      <c r="DS572" s="26"/>
      <c r="DT572" s="26"/>
      <c r="DU572" s="26"/>
      <c r="DV572" s="26"/>
      <c r="DW572" s="26"/>
      <c r="DX572" s="26"/>
      <c r="DY572" s="26"/>
      <c r="DZ572" s="26"/>
      <c r="EA572" s="26"/>
      <c r="EB572" s="26"/>
      <c r="EC572" s="26"/>
      <c r="ED572" s="26"/>
      <c r="EE572" s="26"/>
      <c r="EF572" s="26"/>
      <c r="EG572" s="26"/>
      <c r="EH572" s="26"/>
      <c r="EI572" s="26"/>
      <c r="EJ572" s="26"/>
      <c r="EK572" s="26"/>
      <c r="EL572" s="26"/>
      <c r="EM572" s="26"/>
      <c r="EN572" s="26"/>
      <c r="EO572" s="26"/>
      <c r="EP572" s="26"/>
      <c r="EQ572" s="26"/>
      <c r="ER572" s="26"/>
      <c r="ES572" s="26"/>
      <c r="ET572" s="26"/>
      <c r="EU572" s="26"/>
      <c r="EV572" s="26"/>
      <c r="EW572" s="26"/>
      <c r="EX572" s="26"/>
      <c r="EY572" s="26"/>
      <c r="EZ572" s="26"/>
      <c r="FA572" s="60"/>
      <c r="FB572" s="60"/>
      <c r="FC572" s="60"/>
      <c r="FD572" s="60"/>
      <c r="FE572" s="60"/>
      <c r="FF572" s="60"/>
      <c r="FG572" s="60"/>
      <c r="FH572" s="60"/>
      <c r="FI572" s="60"/>
      <c r="FJ572" s="60"/>
      <c r="FK572" s="60"/>
      <c r="FL572" s="60"/>
      <c r="FM572" s="60"/>
      <c r="FN572" s="60"/>
      <c r="FO572" s="60"/>
      <c r="FP572" s="60"/>
      <c r="FQ572" s="60"/>
      <c r="FR572" s="60"/>
      <c r="FS572" s="60"/>
      <c r="FT572" s="60"/>
      <c r="FU572" s="60"/>
      <c r="FV572" s="60"/>
      <c r="FW572" s="60"/>
      <c r="FX572" s="60"/>
    </row>
    <row r="573">
      <c r="A573" s="18"/>
      <c r="B573" s="14"/>
      <c r="C573" s="14"/>
      <c r="D573" s="14"/>
      <c r="E573" s="18"/>
      <c r="F573" s="18"/>
      <c r="G573" s="18"/>
      <c r="H573" s="18"/>
      <c r="I573" s="18"/>
      <c r="J573" s="18"/>
      <c r="K573" s="18"/>
      <c r="L573" s="18"/>
      <c r="M573" s="18"/>
      <c r="N573" s="18"/>
      <c r="O573" s="18"/>
      <c r="P573" s="23"/>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26"/>
      <c r="CU573" s="26"/>
      <c r="CV573" s="26"/>
      <c r="CW573" s="26"/>
      <c r="CX573" s="26"/>
      <c r="CY573" s="26"/>
      <c r="CZ573" s="26"/>
      <c r="DA573" s="26"/>
      <c r="DB573" s="26"/>
      <c r="DC573" s="26"/>
      <c r="DD573" s="26"/>
      <c r="DE573" s="26"/>
      <c r="DF573" s="26"/>
      <c r="DG573" s="26"/>
      <c r="DH573" s="26"/>
      <c r="DI573" s="26"/>
      <c r="DJ573" s="26"/>
      <c r="DK573" s="26"/>
      <c r="DL573" s="26"/>
      <c r="DM573" s="26"/>
      <c r="DN573" s="26"/>
      <c r="DO573" s="26"/>
      <c r="DP573" s="26"/>
      <c r="DQ573" s="26"/>
      <c r="DR573" s="26"/>
      <c r="DS573" s="26"/>
      <c r="DT573" s="26"/>
      <c r="DU573" s="26"/>
      <c r="DV573" s="26"/>
      <c r="DW573" s="26"/>
      <c r="DX573" s="26"/>
      <c r="DY573" s="26"/>
      <c r="DZ573" s="26"/>
      <c r="EA573" s="26"/>
      <c r="EB573" s="26"/>
      <c r="EC573" s="26"/>
      <c r="ED573" s="26"/>
      <c r="EE573" s="26"/>
      <c r="EF573" s="26"/>
      <c r="EG573" s="26"/>
      <c r="EH573" s="26"/>
      <c r="EI573" s="26"/>
      <c r="EJ573" s="26"/>
      <c r="EK573" s="26"/>
      <c r="EL573" s="26"/>
      <c r="EM573" s="26"/>
      <c r="EN573" s="26"/>
      <c r="EO573" s="26"/>
      <c r="EP573" s="26"/>
      <c r="EQ573" s="26"/>
      <c r="ER573" s="26"/>
      <c r="ES573" s="26"/>
      <c r="ET573" s="26"/>
      <c r="EU573" s="26"/>
      <c r="EV573" s="26"/>
      <c r="EW573" s="26"/>
      <c r="EX573" s="26"/>
      <c r="EY573" s="26"/>
      <c r="EZ573" s="26"/>
      <c r="FA573" s="60"/>
      <c r="FB573" s="60"/>
      <c r="FC573" s="60"/>
      <c r="FD573" s="60"/>
      <c r="FE573" s="60"/>
      <c r="FF573" s="60"/>
      <c r="FG573" s="60"/>
      <c r="FH573" s="60"/>
      <c r="FI573" s="60"/>
      <c r="FJ573" s="60"/>
      <c r="FK573" s="60"/>
      <c r="FL573" s="60"/>
      <c r="FM573" s="60"/>
      <c r="FN573" s="60"/>
      <c r="FO573" s="60"/>
      <c r="FP573" s="60"/>
      <c r="FQ573" s="60"/>
      <c r="FR573" s="60"/>
      <c r="FS573" s="60"/>
      <c r="FT573" s="60"/>
      <c r="FU573" s="60"/>
      <c r="FV573" s="60"/>
      <c r="FW573" s="60"/>
      <c r="FX573" s="60"/>
    </row>
    <row r="574">
      <c r="A574" s="18"/>
      <c r="B574" s="14"/>
      <c r="C574" s="14"/>
      <c r="D574" s="14"/>
      <c r="E574" s="18"/>
      <c r="F574" s="18"/>
      <c r="G574" s="18"/>
      <c r="H574" s="18"/>
      <c r="I574" s="18"/>
      <c r="J574" s="18"/>
      <c r="K574" s="18"/>
      <c r="L574" s="18"/>
      <c r="M574" s="18"/>
      <c r="N574" s="18"/>
      <c r="O574" s="18"/>
      <c r="P574" s="23"/>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26"/>
      <c r="CU574" s="26"/>
      <c r="CV574" s="26"/>
      <c r="CW574" s="26"/>
      <c r="CX574" s="26"/>
      <c r="CY574" s="26"/>
      <c r="CZ574" s="26"/>
      <c r="DA574" s="26"/>
      <c r="DB574" s="26"/>
      <c r="DC574" s="26"/>
      <c r="DD574" s="26"/>
      <c r="DE574" s="26"/>
      <c r="DF574" s="26"/>
      <c r="DG574" s="26"/>
      <c r="DH574" s="26"/>
      <c r="DI574" s="26"/>
      <c r="DJ574" s="26"/>
      <c r="DK574" s="26"/>
      <c r="DL574" s="26"/>
      <c r="DM574" s="26"/>
      <c r="DN574" s="26"/>
      <c r="DO574" s="26"/>
      <c r="DP574" s="26"/>
      <c r="DQ574" s="26"/>
      <c r="DR574" s="26"/>
      <c r="DS574" s="26"/>
      <c r="DT574" s="26"/>
      <c r="DU574" s="26"/>
      <c r="DV574" s="26"/>
      <c r="DW574" s="26"/>
      <c r="DX574" s="26"/>
      <c r="DY574" s="26"/>
      <c r="DZ574" s="26"/>
      <c r="EA574" s="26"/>
      <c r="EB574" s="26"/>
      <c r="EC574" s="26"/>
      <c r="ED574" s="26"/>
      <c r="EE574" s="26"/>
      <c r="EF574" s="26"/>
      <c r="EG574" s="26"/>
      <c r="EH574" s="26"/>
      <c r="EI574" s="26"/>
      <c r="EJ574" s="26"/>
      <c r="EK574" s="26"/>
      <c r="EL574" s="26"/>
      <c r="EM574" s="26"/>
      <c r="EN574" s="26"/>
      <c r="EO574" s="26"/>
      <c r="EP574" s="26"/>
      <c r="EQ574" s="26"/>
      <c r="ER574" s="26"/>
      <c r="ES574" s="26"/>
      <c r="ET574" s="26"/>
      <c r="EU574" s="26"/>
      <c r="EV574" s="26"/>
      <c r="EW574" s="26"/>
      <c r="EX574" s="26"/>
      <c r="EY574" s="26"/>
      <c r="EZ574" s="26"/>
      <c r="FA574" s="60"/>
      <c r="FB574" s="60"/>
      <c r="FC574" s="60"/>
      <c r="FD574" s="60"/>
      <c r="FE574" s="60"/>
      <c r="FF574" s="60"/>
      <c r="FG574" s="60"/>
      <c r="FH574" s="60"/>
      <c r="FI574" s="60"/>
      <c r="FJ574" s="60"/>
      <c r="FK574" s="60"/>
      <c r="FL574" s="60"/>
      <c r="FM574" s="60"/>
      <c r="FN574" s="60"/>
      <c r="FO574" s="60"/>
      <c r="FP574" s="60"/>
      <c r="FQ574" s="60"/>
      <c r="FR574" s="60"/>
      <c r="FS574" s="60"/>
      <c r="FT574" s="60"/>
      <c r="FU574" s="60"/>
      <c r="FV574" s="60"/>
      <c r="FW574" s="60"/>
      <c r="FX574" s="60"/>
    </row>
    <row r="575">
      <c r="A575" s="18"/>
      <c r="B575" s="14"/>
      <c r="C575" s="14"/>
      <c r="D575" s="14"/>
      <c r="E575" s="18"/>
      <c r="F575" s="18"/>
      <c r="G575" s="18"/>
      <c r="H575" s="18"/>
      <c r="I575" s="18"/>
      <c r="J575" s="18"/>
      <c r="K575" s="18"/>
      <c r="L575" s="18"/>
      <c r="M575" s="18"/>
      <c r="N575" s="18"/>
      <c r="O575" s="18"/>
      <c r="P575" s="23"/>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c r="CW575" s="26"/>
      <c r="CX575" s="26"/>
      <c r="CY575" s="26"/>
      <c r="CZ575" s="26"/>
      <c r="DA575" s="26"/>
      <c r="DB575" s="26"/>
      <c r="DC575" s="26"/>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26"/>
      <c r="EJ575" s="26"/>
      <c r="EK575" s="26"/>
      <c r="EL575" s="26"/>
      <c r="EM575" s="26"/>
      <c r="EN575" s="26"/>
      <c r="EO575" s="26"/>
      <c r="EP575" s="26"/>
      <c r="EQ575" s="26"/>
      <c r="ER575" s="26"/>
      <c r="ES575" s="26"/>
      <c r="ET575" s="26"/>
      <c r="EU575" s="26"/>
      <c r="EV575" s="26"/>
      <c r="EW575" s="26"/>
      <c r="EX575" s="26"/>
      <c r="EY575" s="26"/>
      <c r="EZ575" s="26"/>
      <c r="FA575" s="60"/>
      <c r="FB575" s="60"/>
      <c r="FC575" s="60"/>
      <c r="FD575" s="60"/>
      <c r="FE575" s="60"/>
      <c r="FF575" s="60"/>
      <c r="FG575" s="60"/>
      <c r="FH575" s="60"/>
      <c r="FI575" s="60"/>
      <c r="FJ575" s="60"/>
      <c r="FK575" s="60"/>
      <c r="FL575" s="60"/>
      <c r="FM575" s="60"/>
      <c r="FN575" s="60"/>
      <c r="FO575" s="60"/>
      <c r="FP575" s="60"/>
      <c r="FQ575" s="60"/>
      <c r="FR575" s="60"/>
      <c r="FS575" s="60"/>
      <c r="FT575" s="60"/>
      <c r="FU575" s="60"/>
      <c r="FV575" s="60"/>
      <c r="FW575" s="60"/>
      <c r="FX575" s="60"/>
    </row>
    <row r="576">
      <c r="A576" s="18"/>
      <c r="B576" s="14"/>
      <c r="C576" s="14"/>
      <c r="D576" s="14"/>
      <c r="E576" s="18"/>
      <c r="F576" s="18"/>
      <c r="G576" s="18"/>
      <c r="H576" s="18"/>
      <c r="I576" s="18"/>
      <c r="J576" s="18"/>
      <c r="K576" s="18"/>
      <c r="L576" s="18"/>
      <c r="M576" s="18"/>
      <c r="N576" s="18"/>
      <c r="O576" s="18"/>
      <c r="P576" s="23"/>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26"/>
      <c r="CU576" s="26"/>
      <c r="CV576" s="26"/>
      <c r="CW576" s="26"/>
      <c r="CX576" s="26"/>
      <c r="CY576" s="26"/>
      <c r="CZ576" s="26"/>
      <c r="DA576" s="26"/>
      <c r="DB576" s="26"/>
      <c r="DC576" s="26"/>
      <c r="DD576" s="26"/>
      <c r="DE576" s="26"/>
      <c r="DF576" s="26"/>
      <c r="DG576" s="26"/>
      <c r="DH576" s="26"/>
      <c r="DI576" s="26"/>
      <c r="DJ576" s="26"/>
      <c r="DK576" s="26"/>
      <c r="DL576" s="26"/>
      <c r="DM576" s="26"/>
      <c r="DN576" s="26"/>
      <c r="DO576" s="26"/>
      <c r="DP576" s="26"/>
      <c r="DQ576" s="26"/>
      <c r="DR576" s="26"/>
      <c r="DS576" s="26"/>
      <c r="DT576" s="26"/>
      <c r="DU576" s="26"/>
      <c r="DV576" s="26"/>
      <c r="DW576" s="26"/>
      <c r="DX576" s="26"/>
      <c r="DY576" s="26"/>
      <c r="DZ576" s="26"/>
      <c r="EA576" s="26"/>
      <c r="EB576" s="26"/>
      <c r="EC576" s="26"/>
      <c r="ED576" s="26"/>
      <c r="EE576" s="26"/>
      <c r="EF576" s="26"/>
      <c r="EG576" s="26"/>
      <c r="EH576" s="26"/>
      <c r="EI576" s="26"/>
      <c r="EJ576" s="26"/>
      <c r="EK576" s="26"/>
      <c r="EL576" s="26"/>
      <c r="EM576" s="26"/>
      <c r="EN576" s="26"/>
      <c r="EO576" s="26"/>
      <c r="EP576" s="26"/>
      <c r="EQ576" s="26"/>
      <c r="ER576" s="26"/>
      <c r="ES576" s="26"/>
      <c r="ET576" s="26"/>
      <c r="EU576" s="26"/>
      <c r="EV576" s="26"/>
      <c r="EW576" s="26"/>
      <c r="EX576" s="26"/>
      <c r="EY576" s="26"/>
      <c r="EZ576" s="26"/>
      <c r="FA576" s="60"/>
      <c r="FB576" s="60"/>
      <c r="FC576" s="60"/>
      <c r="FD576" s="60"/>
      <c r="FE576" s="60"/>
      <c r="FF576" s="60"/>
      <c r="FG576" s="60"/>
      <c r="FH576" s="60"/>
      <c r="FI576" s="60"/>
      <c r="FJ576" s="60"/>
      <c r="FK576" s="60"/>
      <c r="FL576" s="60"/>
      <c r="FM576" s="60"/>
      <c r="FN576" s="60"/>
      <c r="FO576" s="60"/>
      <c r="FP576" s="60"/>
      <c r="FQ576" s="60"/>
      <c r="FR576" s="60"/>
      <c r="FS576" s="60"/>
      <c r="FT576" s="60"/>
      <c r="FU576" s="60"/>
      <c r="FV576" s="60"/>
      <c r="FW576" s="60"/>
      <c r="FX576" s="60"/>
    </row>
    <row r="577">
      <c r="A577" s="18"/>
      <c r="B577" s="14"/>
      <c r="C577" s="14"/>
      <c r="D577" s="14"/>
      <c r="E577" s="18"/>
      <c r="F577" s="18"/>
      <c r="G577" s="18"/>
      <c r="H577" s="18"/>
      <c r="I577" s="18"/>
      <c r="J577" s="18"/>
      <c r="K577" s="18"/>
      <c r="L577" s="18"/>
      <c r="M577" s="18"/>
      <c r="N577" s="18"/>
      <c r="O577" s="18"/>
      <c r="P577" s="23"/>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6"/>
      <c r="BG577" s="26"/>
      <c r="BH577" s="26"/>
      <c r="BI577" s="26"/>
      <c r="BJ577" s="26"/>
      <c r="BK577" s="26"/>
      <c r="BL577" s="26"/>
      <c r="BM577" s="26"/>
      <c r="BN577" s="26"/>
      <c r="BO577" s="26"/>
      <c r="BP577" s="26"/>
      <c r="BQ577" s="26"/>
      <c r="BR577" s="26"/>
      <c r="BS577" s="26"/>
      <c r="BT577" s="26"/>
      <c r="BU577" s="26"/>
      <c r="BV577" s="26"/>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26"/>
      <c r="CU577" s="26"/>
      <c r="CV577" s="26"/>
      <c r="CW577" s="26"/>
      <c r="CX577" s="26"/>
      <c r="CY577" s="26"/>
      <c r="CZ577" s="26"/>
      <c r="DA577" s="26"/>
      <c r="DB577" s="26"/>
      <c r="DC577" s="26"/>
      <c r="DD577" s="26"/>
      <c r="DE577" s="26"/>
      <c r="DF577" s="26"/>
      <c r="DG577" s="26"/>
      <c r="DH577" s="26"/>
      <c r="DI577" s="26"/>
      <c r="DJ577" s="26"/>
      <c r="DK577" s="26"/>
      <c r="DL577" s="26"/>
      <c r="DM577" s="26"/>
      <c r="DN577" s="26"/>
      <c r="DO577" s="26"/>
      <c r="DP577" s="26"/>
      <c r="DQ577" s="26"/>
      <c r="DR577" s="26"/>
      <c r="DS577" s="26"/>
      <c r="DT577" s="26"/>
      <c r="DU577" s="26"/>
      <c r="DV577" s="26"/>
      <c r="DW577" s="26"/>
      <c r="DX577" s="26"/>
      <c r="DY577" s="26"/>
      <c r="DZ577" s="26"/>
      <c r="EA577" s="26"/>
      <c r="EB577" s="26"/>
      <c r="EC577" s="26"/>
      <c r="ED577" s="26"/>
      <c r="EE577" s="26"/>
      <c r="EF577" s="26"/>
      <c r="EG577" s="26"/>
      <c r="EH577" s="26"/>
      <c r="EI577" s="26"/>
      <c r="EJ577" s="26"/>
      <c r="EK577" s="26"/>
      <c r="EL577" s="26"/>
      <c r="EM577" s="26"/>
      <c r="EN577" s="26"/>
      <c r="EO577" s="26"/>
      <c r="EP577" s="26"/>
      <c r="EQ577" s="26"/>
      <c r="ER577" s="26"/>
      <c r="ES577" s="26"/>
      <c r="ET577" s="26"/>
      <c r="EU577" s="26"/>
      <c r="EV577" s="26"/>
      <c r="EW577" s="26"/>
      <c r="EX577" s="26"/>
      <c r="EY577" s="26"/>
      <c r="EZ577" s="26"/>
      <c r="FA577" s="60"/>
      <c r="FB577" s="60"/>
      <c r="FC577" s="60"/>
      <c r="FD577" s="60"/>
      <c r="FE577" s="60"/>
      <c r="FF577" s="60"/>
      <c r="FG577" s="60"/>
      <c r="FH577" s="60"/>
      <c r="FI577" s="60"/>
      <c r="FJ577" s="60"/>
      <c r="FK577" s="60"/>
      <c r="FL577" s="60"/>
      <c r="FM577" s="60"/>
      <c r="FN577" s="60"/>
      <c r="FO577" s="60"/>
      <c r="FP577" s="60"/>
      <c r="FQ577" s="60"/>
      <c r="FR577" s="60"/>
      <c r="FS577" s="60"/>
      <c r="FT577" s="60"/>
      <c r="FU577" s="60"/>
      <c r="FV577" s="60"/>
      <c r="FW577" s="60"/>
      <c r="FX577" s="60"/>
    </row>
    <row r="578">
      <c r="A578" s="18"/>
      <c r="B578" s="14"/>
      <c r="C578" s="14"/>
      <c r="D578" s="14"/>
      <c r="E578" s="18"/>
      <c r="F578" s="18"/>
      <c r="G578" s="18"/>
      <c r="H578" s="18"/>
      <c r="I578" s="18"/>
      <c r="J578" s="18"/>
      <c r="K578" s="18"/>
      <c r="L578" s="18"/>
      <c r="M578" s="18"/>
      <c r="N578" s="18"/>
      <c r="O578" s="18"/>
      <c r="P578" s="23"/>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6"/>
      <c r="BS578" s="26"/>
      <c r="BT578" s="26"/>
      <c r="BU578" s="26"/>
      <c r="BV578" s="26"/>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26"/>
      <c r="CU578" s="26"/>
      <c r="CV578" s="26"/>
      <c r="CW578" s="26"/>
      <c r="CX578" s="26"/>
      <c r="CY578" s="26"/>
      <c r="CZ578" s="26"/>
      <c r="DA578" s="26"/>
      <c r="DB578" s="26"/>
      <c r="DC578" s="26"/>
      <c r="DD578" s="26"/>
      <c r="DE578" s="26"/>
      <c r="DF578" s="26"/>
      <c r="DG578" s="26"/>
      <c r="DH578" s="26"/>
      <c r="DI578" s="26"/>
      <c r="DJ578" s="26"/>
      <c r="DK578" s="26"/>
      <c r="DL578" s="26"/>
      <c r="DM578" s="26"/>
      <c r="DN578" s="26"/>
      <c r="DO578" s="26"/>
      <c r="DP578" s="26"/>
      <c r="DQ578" s="26"/>
      <c r="DR578" s="26"/>
      <c r="DS578" s="26"/>
      <c r="DT578" s="26"/>
      <c r="DU578" s="26"/>
      <c r="DV578" s="26"/>
      <c r="DW578" s="26"/>
      <c r="DX578" s="26"/>
      <c r="DY578" s="26"/>
      <c r="DZ578" s="26"/>
      <c r="EA578" s="26"/>
      <c r="EB578" s="26"/>
      <c r="EC578" s="26"/>
      <c r="ED578" s="26"/>
      <c r="EE578" s="26"/>
      <c r="EF578" s="26"/>
      <c r="EG578" s="26"/>
      <c r="EH578" s="26"/>
      <c r="EI578" s="26"/>
      <c r="EJ578" s="26"/>
      <c r="EK578" s="26"/>
      <c r="EL578" s="26"/>
      <c r="EM578" s="26"/>
      <c r="EN578" s="26"/>
      <c r="EO578" s="26"/>
      <c r="EP578" s="26"/>
      <c r="EQ578" s="26"/>
      <c r="ER578" s="26"/>
      <c r="ES578" s="26"/>
      <c r="ET578" s="26"/>
      <c r="EU578" s="26"/>
      <c r="EV578" s="26"/>
      <c r="EW578" s="26"/>
      <c r="EX578" s="26"/>
      <c r="EY578" s="26"/>
      <c r="EZ578" s="26"/>
      <c r="FA578" s="60"/>
      <c r="FB578" s="60"/>
      <c r="FC578" s="60"/>
      <c r="FD578" s="60"/>
      <c r="FE578" s="60"/>
      <c r="FF578" s="60"/>
      <c r="FG578" s="60"/>
      <c r="FH578" s="60"/>
      <c r="FI578" s="60"/>
      <c r="FJ578" s="60"/>
      <c r="FK578" s="60"/>
      <c r="FL578" s="60"/>
      <c r="FM578" s="60"/>
      <c r="FN578" s="60"/>
      <c r="FO578" s="60"/>
      <c r="FP578" s="60"/>
      <c r="FQ578" s="60"/>
      <c r="FR578" s="60"/>
      <c r="FS578" s="60"/>
      <c r="FT578" s="60"/>
      <c r="FU578" s="60"/>
      <c r="FV578" s="60"/>
      <c r="FW578" s="60"/>
      <c r="FX578" s="60"/>
    </row>
    <row r="579">
      <c r="A579" s="18"/>
      <c r="B579" s="14"/>
      <c r="C579" s="14"/>
      <c r="D579" s="14"/>
      <c r="E579" s="18"/>
      <c r="F579" s="18"/>
      <c r="G579" s="18"/>
      <c r="H579" s="18"/>
      <c r="I579" s="18"/>
      <c r="J579" s="18"/>
      <c r="K579" s="18"/>
      <c r="L579" s="18"/>
      <c r="M579" s="18"/>
      <c r="N579" s="18"/>
      <c r="O579" s="18"/>
      <c r="P579" s="23"/>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6"/>
      <c r="BG579" s="26"/>
      <c r="BH579" s="26"/>
      <c r="BI579" s="26"/>
      <c r="BJ579" s="26"/>
      <c r="BK579" s="26"/>
      <c r="BL579" s="26"/>
      <c r="BM579" s="26"/>
      <c r="BN579" s="26"/>
      <c r="BO579" s="26"/>
      <c r="BP579" s="26"/>
      <c r="BQ579" s="26"/>
      <c r="BR579" s="26"/>
      <c r="BS579" s="26"/>
      <c r="BT579" s="26"/>
      <c r="BU579" s="26"/>
      <c r="BV579" s="26"/>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26"/>
      <c r="CU579" s="26"/>
      <c r="CV579" s="26"/>
      <c r="CW579" s="26"/>
      <c r="CX579" s="26"/>
      <c r="CY579" s="26"/>
      <c r="CZ579" s="26"/>
      <c r="DA579" s="26"/>
      <c r="DB579" s="26"/>
      <c r="DC579" s="26"/>
      <c r="DD579" s="26"/>
      <c r="DE579" s="26"/>
      <c r="DF579" s="26"/>
      <c r="DG579" s="26"/>
      <c r="DH579" s="26"/>
      <c r="DI579" s="26"/>
      <c r="DJ579" s="26"/>
      <c r="DK579" s="26"/>
      <c r="DL579" s="26"/>
      <c r="DM579" s="26"/>
      <c r="DN579" s="26"/>
      <c r="DO579" s="26"/>
      <c r="DP579" s="26"/>
      <c r="DQ579" s="26"/>
      <c r="DR579" s="26"/>
      <c r="DS579" s="26"/>
      <c r="DT579" s="26"/>
      <c r="DU579" s="26"/>
      <c r="DV579" s="26"/>
      <c r="DW579" s="26"/>
      <c r="DX579" s="26"/>
      <c r="DY579" s="26"/>
      <c r="DZ579" s="26"/>
      <c r="EA579" s="26"/>
      <c r="EB579" s="26"/>
      <c r="EC579" s="26"/>
      <c r="ED579" s="26"/>
      <c r="EE579" s="26"/>
      <c r="EF579" s="26"/>
      <c r="EG579" s="26"/>
      <c r="EH579" s="26"/>
      <c r="EI579" s="26"/>
      <c r="EJ579" s="26"/>
      <c r="EK579" s="26"/>
      <c r="EL579" s="26"/>
      <c r="EM579" s="26"/>
      <c r="EN579" s="26"/>
      <c r="EO579" s="26"/>
      <c r="EP579" s="26"/>
      <c r="EQ579" s="26"/>
      <c r="ER579" s="26"/>
      <c r="ES579" s="26"/>
      <c r="ET579" s="26"/>
      <c r="EU579" s="26"/>
      <c r="EV579" s="26"/>
      <c r="EW579" s="26"/>
      <c r="EX579" s="26"/>
      <c r="EY579" s="26"/>
      <c r="EZ579" s="26"/>
      <c r="FA579" s="60"/>
      <c r="FB579" s="60"/>
      <c r="FC579" s="60"/>
      <c r="FD579" s="60"/>
      <c r="FE579" s="60"/>
      <c r="FF579" s="60"/>
      <c r="FG579" s="60"/>
      <c r="FH579" s="60"/>
      <c r="FI579" s="60"/>
      <c r="FJ579" s="60"/>
      <c r="FK579" s="60"/>
      <c r="FL579" s="60"/>
      <c r="FM579" s="60"/>
      <c r="FN579" s="60"/>
      <c r="FO579" s="60"/>
      <c r="FP579" s="60"/>
      <c r="FQ579" s="60"/>
      <c r="FR579" s="60"/>
      <c r="FS579" s="60"/>
      <c r="FT579" s="60"/>
      <c r="FU579" s="60"/>
      <c r="FV579" s="60"/>
      <c r="FW579" s="60"/>
      <c r="FX579" s="60"/>
    </row>
    <row r="580">
      <c r="A580" s="18"/>
      <c r="B580" s="14"/>
      <c r="C580" s="14"/>
      <c r="D580" s="14"/>
      <c r="E580" s="18"/>
      <c r="F580" s="18"/>
      <c r="G580" s="18"/>
      <c r="H580" s="18"/>
      <c r="I580" s="18"/>
      <c r="J580" s="18"/>
      <c r="K580" s="18"/>
      <c r="L580" s="18"/>
      <c r="M580" s="18"/>
      <c r="N580" s="18"/>
      <c r="O580" s="18"/>
      <c r="P580" s="23"/>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c r="CW580" s="26"/>
      <c r="CX580" s="26"/>
      <c r="CY580" s="26"/>
      <c r="CZ580" s="26"/>
      <c r="DA580" s="26"/>
      <c r="DB580" s="26"/>
      <c r="DC580" s="26"/>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26"/>
      <c r="EJ580" s="26"/>
      <c r="EK580" s="26"/>
      <c r="EL580" s="26"/>
      <c r="EM580" s="26"/>
      <c r="EN580" s="26"/>
      <c r="EO580" s="26"/>
      <c r="EP580" s="26"/>
      <c r="EQ580" s="26"/>
      <c r="ER580" s="26"/>
      <c r="ES580" s="26"/>
      <c r="ET580" s="26"/>
      <c r="EU580" s="26"/>
      <c r="EV580" s="26"/>
      <c r="EW580" s="26"/>
      <c r="EX580" s="26"/>
      <c r="EY580" s="26"/>
      <c r="EZ580" s="26"/>
      <c r="FA580" s="60"/>
      <c r="FB580" s="60"/>
      <c r="FC580" s="60"/>
      <c r="FD580" s="60"/>
      <c r="FE580" s="60"/>
      <c r="FF580" s="60"/>
      <c r="FG580" s="60"/>
      <c r="FH580" s="60"/>
      <c r="FI580" s="60"/>
      <c r="FJ580" s="60"/>
      <c r="FK580" s="60"/>
      <c r="FL580" s="60"/>
      <c r="FM580" s="60"/>
      <c r="FN580" s="60"/>
      <c r="FO580" s="60"/>
      <c r="FP580" s="60"/>
      <c r="FQ580" s="60"/>
      <c r="FR580" s="60"/>
      <c r="FS580" s="60"/>
      <c r="FT580" s="60"/>
      <c r="FU580" s="60"/>
      <c r="FV580" s="60"/>
      <c r="FW580" s="60"/>
      <c r="FX580" s="60"/>
    </row>
    <row r="581">
      <c r="A581" s="18"/>
      <c r="B581" s="14"/>
      <c r="C581" s="14"/>
      <c r="D581" s="14"/>
      <c r="E581" s="18"/>
      <c r="F581" s="18"/>
      <c r="G581" s="18"/>
      <c r="H581" s="18"/>
      <c r="I581" s="18"/>
      <c r="J581" s="18"/>
      <c r="K581" s="18"/>
      <c r="L581" s="18"/>
      <c r="M581" s="18"/>
      <c r="N581" s="18"/>
      <c r="O581" s="18"/>
      <c r="P581" s="23"/>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6"/>
      <c r="BG581" s="26"/>
      <c r="BH581" s="26"/>
      <c r="BI581" s="26"/>
      <c r="BJ581" s="26"/>
      <c r="BK581" s="26"/>
      <c r="BL581" s="26"/>
      <c r="BM581" s="26"/>
      <c r="BN581" s="26"/>
      <c r="BO581" s="26"/>
      <c r="BP581" s="26"/>
      <c r="BQ581" s="26"/>
      <c r="BR581" s="26"/>
      <c r="BS581" s="26"/>
      <c r="BT581" s="26"/>
      <c r="BU581" s="26"/>
      <c r="BV581" s="26"/>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26"/>
      <c r="CU581" s="26"/>
      <c r="CV581" s="26"/>
      <c r="CW581" s="26"/>
      <c r="CX581" s="26"/>
      <c r="CY581" s="26"/>
      <c r="CZ581" s="26"/>
      <c r="DA581" s="26"/>
      <c r="DB581" s="26"/>
      <c r="DC581" s="26"/>
      <c r="DD581" s="26"/>
      <c r="DE581" s="26"/>
      <c r="DF581" s="26"/>
      <c r="DG581" s="26"/>
      <c r="DH581" s="26"/>
      <c r="DI581" s="26"/>
      <c r="DJ581" s="26"/>
      <c r="DK581" s="26"/>
      <c r="DL581" s="26"/>
      <c r="DM581" s="26"/>
      <c r="DN581" s="26"/>
      <c r="DO581" s="26"/>
      <c r="DP581" s="26"/>
      <c r="DQ581" s="26"/>
      <c r="DR581" s="26"/>
      <c r="DS581" s="26"/>
      <c r="DT581" s="26"/>
      <c r="DU581" s="26"/>
      <c r="DV581" s="26"/>
      <c r="DW581" s="26"/>
      <c r="DX581" s="26"/>
      <c r="DY581" s="26"/>
      <c r="DZ581" s="26"/>
      <c r="EA581" s="26"/>
      <c r="EB581" s="26"/>
      <c r="EC581" s="26"/>
      <c r="ED581" s="26"/>
      <c r="EE581" s="26"/>
      <c r="EF581" s="26"/>
      <c r="EG581" s="26"/>
      <c r="EH581" s="26"/>
      <c r="EI581" s="26"/>
      <c r="EJ581" s="26"/>
      <c r="EK581" s="26"/>
      <c r="EL581" s="26"/>
      <c r="EM581" s="26"/>
      <c r="EN581" s="26"/>
      <c r="EO581" s="26"/>
      <c r="EP581" s="26"/>
      <c r="EQ581" s="26"/>
      <c r="ER581" s="26"/>
      <c r="ES581" s="26"/>
      <c r="ET581" s="26"/>
      <c r="EU581" s="26"/>
      <c r="EV581" s="26"/>
      <c r="EW581" s="26"/>
      <c r="EX581" s="26"/>
      <c r="EY581" s="26"/>
      <c r="EZ581" s="26"/>
      <c r="FA581" s="60"/>
      <c r="FB581" s="60"/>
      <c r="FC581" s="60"/>
      <c r="FD581" s="60"/>
      <c r="FE581" s="60"/>
      <c r="FF581" s="60"/>
      <c r="FG581" s="60"/>
      <c r="FH581" s="60"/>
      <c r="FI581" s="60"/>
      <c r="FJ581" s="60"/>
      <c r="FK581" s="60"/>
      <c r="FL581" s="60"/>
      <c r="FM581" s="60"/>
      <c r="FN581" s="60"/>
      <c r="FO581" s="60"/>
      <c r="FP581" s="60"/>
      <c r="FQ581" s="60"/>
      <c r="FR581" s="60"/>
      <c r="FS581" s="60"/>
      <c r="FT581" s="60"/>
      <c r="FU581" s="60"/>
      <c r="FV581" s="60"/>
      <c r="FW581" s="60"/>
      <c r="FX581" s="60"/>
    </row>
    <row r="582">
      <c r="A582" s="18"/>
      <c r="B582" s="14"/>
      <c r="C582" s="14"/>
      <c r="D582" s="14"/>
      <c r="E582" s="18"/>
      <c r="F582" s="18"/>
      <c r="G582" s="18"/>
      <c r="H582" s="18"/>
      <c r="I582" s="18"/>
      <c r="J582" s="18"/>
      <c r="K582" s="18"/>
      <c r="L582" s="18"/>
      <c r="M582" s="18"/>
      <c r="N582" s="18"/>
      <c r="O582" s="18"/>
      <c r="P582" s="23"/>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26"/>
      <c r="CU582" s="26"/>
      <c r="CV582" s="26"/>
      <c r="CW582" s="26"/>
      <c r="CX582" s="26"/>
      <c r="CY582" s="26"/>
      <c r="CZ582" s="26"/>
      <c r="DA582" s="26"/>
      <c r="DB582" s="26"/>
      <c r="DC582" s="26"/>
      <c r="DD582" s="26"/>
      <c r="DE582" s="26"/>
      <c r="DF582" s="26"/>
      <c r="DG582" s="26"/>
      <c r="DH582" s="26"/>
      <c r="DI582" s="26"/>
      <c r="DJ582" s="26"/>
      <c r="DK582" s="26"/>
      <c r="DL582" s="26"/>
      <c r="DM582" s="26"/>
      <c r="DN582" s="26"/>
      <c r="DO582" s="26"/>
      <c r="DP582" s="26"/>
      <c r="DQ582" s="26"/>
      <c r="DR582" s="26"/>
      <c r="DS582" s="26"/>
      <c r="DT582" s="26"/>
      <c r="DU582" s="26"/>
      <c r="DV582" s="26"/>
      <c r="DW582" s="26"/>
      <c r="DX582" s="26"/>
      <c r="DY582" s="26"/>
      <c r="DZ582" s="26"/>
      <c r="EA582" s="26"/>
      <c r="EB582" s="26"/>
      <c r="EC582" s="26"/>
      <c r="ED582" s="26"/>
      <c r="EE582" s="26"/>
      <c r="EF582" s="26"/>
      <c r="EG582" s="26"/>
      <c r="EH582" s="26"/>
      <c r="EI582" s="26"/>
      <c r="EJ582" s="26"/>
      <c r="EK582" s="26"/>
      <c r="EL582" s="26"/>
      <c r="EM582" s="26"/>
      <c r="EN582" s="26"/>
      <c r="EO582" s="26"/>
      <c r="EP582" s="26"/>
      <c r="EQ582" s="26"/>
      <c r="ER582" s="26"/>
      <c r="ES582" s="26"/>
      <c r="ET582" s="26"/>
      <c r="EU582" s="26"/>
      <c r="EV582" s="26"/>
      <c r="EW582" s="26"/>
      <c r="EX582" s="26"/>
      <c r="EY582" s="26"/>
      <c r="EZ582" s="26"/>
      <c r="FA582" s="60"/>
      <c r="FB582" s="60"/>
      <c r="FC582" s="60"/>
      <c r="FD582" s="60"/>
      <c r="FE582" s="60"/>
      <c r="FF582" s="60"/>
      <c r="FG582" s="60"/>
      <c r="FH582" s="60"/>
      <c r="FI582" s="60"/>
      <c r="FJ582" s="60"/>
      <c r="FK582" s="60"/>
      <c r="FL582" s="60"/>
      <c r="FM582" s="60"/>
      <c r="FN582" s="60"/>
      <c r="FO582" s="60"/>
      <c r="FP582" s="60"/>
      <c r="FQ582" s="60"/>
      <c r="FR582" s="60"/>
      <c r="FS582" s="60"/>
      <c r="FT582" s="60"/>
      <c r="FU582" s="60"/>
      <c r="FV582" s="60"/>
      <c r="FW582" s="60"/>
      <c r="FX582" s="60"/>
    </row>
    <row r="583">
      <c r="A583" s="18"/>
      <c r="B583" s="14"/>
      <c r="C583" s="14"/>
      <c r="D583" s="14"/>
      <c r="E583" s="18"/>
      <c r="F583" s="18"/>
      <c r="G583" s="18"/>
      <c r="H583" s="18"/>
      <c r="I583" s="18"/>
      <c r="J583" s="18"/>
      <c r="K583" s="18"/>
      <c r="L583" s="18"/>
      <c r="M583" s="18"/>
      <c r="N583" s="18"/>
      <c r="O583" s="18"/>
      <c r="P583" s="23"/>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6"/>
      <c r="BG583" s="26"/>
      <c r="BH583" s="26"/>
      <c r="BI583" s="26"/>
      <c r="BJ583" s="26"/>
      <c r="BK583" s="26"/>
      <c r="BL583" s="26"/>
      <c r="BM583" s="26"/>
      <c r="BN583" s="26"/>
      <c r="BO583" s="26"/>
      <c r="BP583" s="26"/>
      <c r="BQ583" s="26"/>
      <c r="BR583" s="26"/>
      <c r="BS583" s="26"/>
      <c r="BT583" s="26"/>
      <c r="BU583" s="26"/>
      <c r="BV583" s="26"/>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26"/>
      <c r="CU583" s="26"/>
      <c r="CV583" s="26"/>
      <c r="CW583" s="26"/>
      <c r="CX583" s="26"/>
      <c r="CY583" s="26"/>
      <c r="CZ583" s="26"/>
      <c r="DA583" s="26"/>
      <c r="DB583" s="26"/>
      <c r="DC583" s="26"/>
      <c r="DD583" s="26"/>
      <c r="DE583" s="26"/>
      <c r="DF583" s="26"/>
      <c r="DG583" s="26"/>
      <c r="DH583" s="26"/>
      <c r="DI583" s="26"/>
      <c r="DJ583" s="26"/>
      <c r="DK583" s="26"/>
      <c r="DL583" s="26"/>
      <c r="DM583" s="26"/>
      <c r="DN583" s="26"/>
      <c r="DO583" s="26"/>
      <c r="DP583" s="26"/>
      <c r="DQ583" s="26"/>
      <c r="DR583" s="26"/>
      <c r="DS583" s="26"/>
      <c r="DT583" s="26"/>
      <c r="DU583" s="26"/>
      <c r="DV583" s="26"/>
      <c r="DW583" s="26"/>
      <c r="DX583" s="26"/>
      <c r="DY583" s="26"/>
      <c r="DZ583" s="26"/>
      <c r="EA583" s="26"/>
      <c r="EB583" s="26"/>
      <c r="EC583" s="26"/>
      <c r="ED583" s="26"/>
      <c r="EE583" s="26"/>
      <c r="EF583" s="26"/>
      <c r="EG583" s="26"/>
      <c r="EH583" s="26"/>
      <c r="EI583" s="26"/>
      <c r="EJ583" s="26"/>
      <c r="EK583" s="26"/>
      <c r="EL583" s="26"/>
      <c r="EM583" s="26"/>
      <c r="EN583" s="26"/>
      <c r="EO583" s="26"/>
      <c r="EP583" s="26"/>
      <c r="EQ583" s="26"/>
      <c r="ER583" s="26"/>
      <c r="ES583" s="26"/>
      <c r="ET583" s="26"/>
      <c r="EU583" s="26"/>
      <c r="EV583" s="26"/>
      <c r="EW583" s="26"/>
      <c r="EX583" s="26"/>
      <c r="EY583" s="26"/>
      <c r="EZ583" s="26"/>
      <c r="FA583" s="60"/>
      <c r="FB583" s="60"/>
      <c r="FC583" s="60"/>
      <c r="FD583" s="60"/>
      <c r="FE583" s="60"/>
      <c r="FF583" s="60"/>
      <c r="FG583" s="60"/>
      <c r="FH583" s="60"/>
      <c r="FI583" s="60"/>
      <c r="FJ583" s="60"/>
      <c r="FK583" s="60"/>
      <c r="FL583" s="60"/>
      <c r="FM583" s="60"/>
      <c r="FN583" s="60"/>
      <c r="FO583" s="60"/>
      <c r="FP583" s="60"/>
      <c r="FQ583" s="60"/>
      <c r="FR583" s="60"/>
      <c r="FS583" s="60"/>
      <c r="FT583" s="60"/>
      <c r="FU583" s="60"/>
      <c r="FV583" s="60"/>
      <c r="FW583" s="60"/>
      <c r="FX583" s="60"/>
    </row>
    <row r="584">
      <c r="A584" s="18"/>
      <c r="B584" s="14"/>
      <c r="C584" s="14"/>
      <c r="D584" s="14"/>
      <c r="E584" s="18"/>
      <c r="F584" s="18"/>
      <c r="G584" s="18"/>
      <c r="H584" s="18"/>
      <c r="I584" s="18"/>
      <c r="J584" s="18"/>
      <c r="K584" s="18"/>
      <c r="L584" s="18"/>
      <c r="M584" s="18"/>
      <c r="N584" s="18"/>
      <c r="O584" s="18"/>
      <c r="P584" s="23"/>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c r="BO584" s="26"/>
      <c r="BP584" s="26"/>
      <c r="BQ584" s="26"/>
      <c r="BR584" s="26"/>
      <c r="BS584" s="26"/>
      <c r="BT584" s="26"/>
      <c r="BU584" s="26"/>
      <c r="BV584" s="26"/>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26"/>
      <c r="CU584" s="26"/>
      <c r="CV584" s="26"/>
      <c r="CW584" s="26"/>
      <c r="CX584" s="26"/>
      <c r="CY584" s="26"/>
      <c r="CZ584" s="26"/>
      <c r="DA584" s="26"/>
      <c r="DB584" s="26"/>
      <c r="DC584" s="26"/>
      <c r="DD584" s="26"/>
      <c r="DE584" s="26"/>
      <c r="DF584" s="26"/>
      <c r="DG584" s="26"/>
      <c r="DH584" s="26"/>
      <c r="DI584" s="26"/>
      <c r="DJ584" s="26"/>
      <c r="DK584" s="26"/>
      <c r="DL584" s="26"/>
      <c r="DM584" s="26"/>
      <c r="DN584" s="26"/>
      <c r="DO584" s="26"/>
      <c r="DP584" s="26"/>
      <c r="DQ584" s="26"/>
      <c r="DR584" s="26"/>
      <c r="DS584" s="26"/>
      <c r="DT584" s="26"/>
      <c r="DU584" s="26"/>
      <c r="DV584" s="26"/>
      <c r="DW584" s="26"/>
      <c r="DX584" s="26"/>
      <c r="DY584" s="26"/>
      <c r="DZ584" s="26"/>
      <c r="EA584" s="26"/>
      <c r="EB584" s="26"/>
      <c r="EC584" s="26"/>
      <c r="ED584" s="26"/>
      <c r="EE584" s="26"/>
      <c r="EF584" s="26"/>
      <c r="EG584" s="26"/>
      <c r="EH584" s="26"/>
      <c r="EI584" s="26"/>
      <c r="EJ584" s="26"/>
      <c r="EK584" s="26"/>
      <c r="EL584" s="26"/>
      <c r="EM584" s="26"/>
      <c r="EN584" s="26"/>
      <c r="EO584" s="26"/>
      <c r="EP584" s="26"/>
      <c r="EQ584" s="26"/>
      <c r="ER584" s="26"/>
      <c r="ES584" s="26"/>
      <c r="ET584" s="26"/>
      <c r="EU584" s="26"/>
      <c r="EV584" s="26"/>
      <c r="EW584" s="26"/>
      <c r="EX584" s="26"/>
      <c r="EY584" s="26"/>
      <c r="EZ584" s="26"/>
      <c r="FA584" s="60"/>
      <c r="FB584" s="60"/>
      <c r="FC584" s="60"/>
      <c r="FD584" s="60"/>
      <c r="FE584" s="60"/>
      <c r="FF584" s="60"/>
      <c r="FG584" s="60"/>
      <c r="FH584" s="60"/>
      <c r="FI584" s="60"/>
      <c r="FJ584" s="60"/>
      <c r="FK584" s="60"/>
      <c r="FL584" s="60"/>
      <c r="FM584" s="60"/>
      <c r="FN584" s="60"/>
      <c r="FO584" s="60"/>
      <c r="FP584" s="60"/>
      <c r="FQ584" s="60"/>
      <c r="FR584" s="60"/>
      <c r="FS584" s="60"/>
      <c r="FT584" s="60"/>
      <c r="FU584" s="60"/>
      <c r="FV584" s="60"/>
      <c r="FW584" s="60"/>
      <c r="FX584" s="60"/>
    </row>
    <row r="585">
      <c r="A585" s="18"/>
      <c r="B585" s="14"/>
      <c r="C585" s="14"/>
      <c r="D585" s="14"/>
      <c r="E585" s="18"/>
      <c r="F585" s="18"/>
      <c r="G585" s="18"/>
      <c r="H585" s="18"/>
      <c r="I585" s="18"/>
      <c r="J585" s="18"/>
      <c r="K585" s="18"/>
      <c r="L585" s="18"/>
      <c r="M585" s="18"/>
      <c r="N585" s="18"/>
      <c r="O585" s="18"/>
      <c r="P585" s="23"/>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6"/>
      <c r="BG585" s="26"/>
      <c r="BH585" s="26"/>
      <c r="BI585" s="26"/>
      <c r="BJ585" s="26"/>
      <c r="BK585" s="26"/>
      <c r="BL585" s="26"/>
      <c r="BM585" s="26"/>
      <c r="BN585" s="26"/>
      <c r="BO585" s="26"/>
      <c r="BP585" s="26"/>
      <c r="BQ585" s="26"/>
      <c r="BR585" s="26"/>
      <c r="BS585" s="26"/>
      <c r="BT585" s="26"/>
      <c r="BU585" s="26"/>
      <c r="BV585" s="26"/>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26"/>
      <c r="CU585" s="26"/>
      <c r="CV585" s="26"/>
      <c r="CW585" s="26"/>
      <c r="CX585" s="26"/>
      <c r="CY585" s="26"/>
      <c r="CZ585" s="26"/>
      <c r="DA585" s="26"/>
      <c r="DB585" s="26"/>
      <c r="DC585" s="26"/>
      <c r="DD585" s="26"/>
      <c r="DE585" s="26"/>
      <c r="DF585" s="26"/>
      <c r="DG585" s="26"/>
      <c r="DH585" s="26"/>
      <c r="DI585" s="26"/>
      <c r="DJ585" s="26"/>
      <c r="DK585" s="26"/>
      <c r="DL585" s="26"/>
      <c r="DM585" s="26"/>
      <c r="DN585" s="26"/>
      <c r="DO585" s="26"/>
      <c r="DP585" s="26"/>
      <c r="DQ585" s="26"/>
      <c r="DR585" s="26"/>
      <c r="DS585" s="26"/>
      <c r="DT585" s="26"/>
      <c r="DU585" s="26"/>
      <c r="DV585" s="26"/>
      <c r="DW585" s="26"/>
      <c r="DX585" s="26"/>
      <c r="DY585" s="26"/>
      <c r="DZ585" s="26"/>
      <c r="EA585" s="26"/>
      <c r="EB585" s="26"/>
      <c r="EC585" s="26"/>
      <c r="ED585" s="26"/>
      <c r="EE585" s="26"/>
      <c r="EF585" s="26"/>
      <c r="EG585" s="26"/>
      <c r="EH585" s="26"/>
      <c r="EI585" s="26"/>
      <c r="EJ585" s="26"/>
      <c r="EK585" s="26"/>
      <c r="EL585" s="26"/>
      <c r="EM585" s="26"/>
      <c r="EN585" s="26"/>
      <c r="EO585" s="26"/>
      <c r="EP585" s="26"/>
      <c r="EQ585" s="26"/>
      <c r="ER585" s="26"/>
      <c r="ES585" s="26"/>
      <c r="ET585" s="26"/>
      <c r="EU585" s="26"/>
      <c r="EV585" s="26"/>
      <c r="EW585" s="26"/>
      <c r="EX585" s="26"/>
      <c r="EY585" s="26"/>
      <c r="EZ585" s="26"/>
      <c r="FA585" s="60"/>
      <c r="FB585" s="60"/>
      <c r="FC585" s="60"/>
      <c r="FD585" s="60"/>
      <c r="FE585" s="60"/>
      <c r="FF585" s="60"/>
      <c r="FG585" s="60"/>
      <c r="FH585" s="60"/>
      <c r="FI585" s="60"/>
      <c r="FJ585" s="60"/>
      <c r="FK585" s="60"/>
      <c r="FL585" s="60"/>
      <c r="FM585" s="60"/>
      <c r="FN585" s="60"/>
      <c r="FO585" s="60"/>
      <c r="FP585" s="60"/>
      <c r="FQ585" s="60"/>
      <c r="FR585" s="60"/>
      <c r="FS585" s="60"/>
      <c r="FT585" s="60"/>
      <c r="FU585" s="60"/>
      <c r="FV585" s="60"/>
      <c r="FW585" s="60"/>
      <c r="FX585" s="60"/>
    </row>
    <row r="586">
      <c r="A586" s="18"/>
      <c r="B586" s="14"/>
      <c r="C586" s="14"/>
      <c r="D586" s="14"/>
      <c r="E586" s="18"/>
      <c r="F586" s="18"/>
      <c r="G586" s="18"/>
      <c r="H586" s="18"/>
      <c r="I586" s="18"/>
      <c r="J586" s="18"/>
      <c r="K586" s="18"/>
      <c r="L586" s="18"/>
      <c r="M586" s="18"/>
      <c r="N586" s="18"/>
      <c r="O586" s="18"/>
      <c r="P586" s="23"/>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6"/>
      <c r="BU586" s="26"/>
      <c r="BV586" s="26"/>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26"/>
      <c r="CU586" s="26"/>
      <c r="CV586" s="26"/>
      <c r="CW586" s="26"/>
      <c r="CX586" s="26"/>
      <c r="CY586" s="26"/>
      <c r="CZ586" s="26"/>
      <c r="DA586" s="26"/>
      <c r="DB586" s="26"/>
      <c r="DC586" s="26"/>
      <c r="DD586" s="26"/>
      <c r="DE586" s="26"/>
      <c r="DF586" s="26"/>
      <c r="DG586" s="26"/>
      <c r="DH586" s="26"/>
      <c r="DI586" s="26"/>
      <c r="DJ586" s="26"/>
      <c r="DK586" s="26"/>
      <c r="DL586" s="26"/>
      <c r="DM586" s="26"/>
      <c r="DN586" s="26"/>
      <c r="DO586" s="26"/>
      <c r="DP586" s="26"/>
      <c r="DQ586" s="26"/>
      <c r="DR586" s="26"/>
      <c r="DS586" s="26"/>
      <c r="DT586" s="26"/>
      <c r="DU586" s="26"/>
      <c r="DV586" s="26"/>
      <c r="DW586" s="26"/>
      <c r="DX586" s="26"/>
      <c r="DY586" s="26"/>
      <c r="DZ586" s="26"/>
      <c r="EA586" s="26"/>
      <c r="EB586" s="26"/>
      <c r="EC586" s="26"/>
      <c r="ED586" s="26"/>
      <c r="EE586" s="26"/>
      <c r="EF586" s="26"/>
      <c r="EG586" s="26"/>
      <c r="EH586" s="26"/>
      <c r="EI586" s="26"/>
      <c r="EJ586" s="26"/>
      <c r="EK586" s="26"/>
      <c r="EL586" s="26"/>
      <c r="EM586" s="26"/>
      <c r="EN586" s="26"/>
      <c r="EO586" s="26"/>
      <c r="EP586" s="26"/>
      <c r="EQ586" s="26"/>
      <c r="ER586" s="26"/>
      <c r="ES586" s="26"/>
      <c r="ET586" s="26"/>
      <c r="EU586" s="26"/>
      <c r="EV586" s="26"/>
      <c r="EW586" s="26"/>
      <c r="EX586" s="26"/>
      <c r="EY586" s="26"/>
      <c r="EZ586" s="26"/>
      <c r="FA586" s="60"/>
      <c r="FB586" s="60"/>
      <c r="FC586" s="60"/>
      <c r="FD586" s="60"/>
      <c r="FE586" s="60"/>
      <c r="FF586" s="60"/>
      <c r="FG586" s="60"/>
      <c r="FH586" s="60"/>
      <c r="FI586" s="60"/>
      <c r="FJ586" s="60"/>
      <c r="FK586" s="60"/>
      <c r="FL586" s="60"/>
      <c r="FM586" s="60"/>
      <c r="FN586" s="60"/>
      <c r="FO586" s="60"/>
      <c r="FP586" s="60"/>
      <c r="FQ586" s="60"/>
      <c r="FR586" s="60"/>
      <c r="FS586" s="60"/>
      <c r="FT586" s="60"/>
      <c r="FU586" s="60"/>
      <c r="FV586" s="60"/>
      <c r="FW586" s="60"/>
      <c r="FX586" s="60"/>
    </row>
    <row r="587">
      <c r="A587" s="18"/>
      <c r="B587" s="14"/>
      <c r="C587" s="14"/>
      <c r="D587" s="14"/>
      <c r="E587" s="18"/>
      <c r="F587" s="18"/>
      <c r="G587" s="18"/>
      <c r="H587" s="18"/>
      <c r="I587" s="18"/>
      <c r="J587" s="18"/>
      <c r="K587" s="18"/>
      <c r="L587" s="18"/>
      <c r="M587" s="18"/>
      <c r="N587" s="18"/>
      <c r="O587" s="18"/>
      <c r="P587" s="23"/>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6"/>
      <c r="BG587" s="26"/>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26"/>
      <c r="CU587" s="26"/>
      <c r="CV587" s="26"/>
      <c r="CW587" s="26"/>
      <c r="CX587" s="26"/>
      <c r="CY587" s="26"/>
      <c r="CZ587" s="26"/>
      <c r="DA587" s="26"/>
      <c r="DB587" s="26"/>
      <c r="DC587" s="26"/>
      <c r="DD587" s="26"/>
      <c r="DE587" s="26"/>
      <c r="DF587" s="26"/>
      <c r="DG587" s="26"/>
      <c r="DH587" s="26"/>
      <c r="DI587" s="26"/>
      <c r="DJ587" s="26"/>
      <c r="DK587" s="26"/>
      <c r="DL587" s="26"/>
      <c r="DM587" s="26"/>
      <c r="DN587" s="26"/>
      <c r="DO587" s="26"/>
      <c r="DP587" s="26"/>
      <c r="DQ587" s="26"/>
      <c r="DR587" s="26"/>
      <c r="DS587" s="26"/>
      <c r="DT587" s="26"/>
      <c r="DU587" s="26"/>
      <c r="DV587" s="26"/>
      <c r="DW587" s="26"/>
      <c r="DX587" s="26"/>
      <c r="DY587" s="26"/>
      <c r="DZ587" s="26"/>
      <c r="EA587" s="26"/>
      <c r="EB587" s="26"/>
      <c r="EC587" s="26"/>
      <c r="ED587" s="26"/>
      <c r="EE587" s="26"/>
      <c r="EF587" s="26"/>
      <c r="EG587" s="26"/>
      <c r="EH587" s="26"/>
      <c r="EI587" s="26"/>
      <c r="EJ587" s="26"/>
      <c r="EK587" s="26"/>
      <c r="EL587" s="26"/>
      <c r="EM587" s="26"/>
      <c r="EN587" s="26"/>
      <c r="EO587" s="26"/>
      <c r="EP587" s="26"/>
      <c r="EQ587" s="26"/>
      <c r="ER587" s="26"/>
      <c r="ES587" s="26"/>
      <c r="ET587" s="26"/>
      <c r="EU587" s="26"/>
      <c r="EV587" s="26"/>
      <c r="EW587" s="26"/>
      <c r="EX587" s="26"/>
      <c r="EY587" s="26"/>
      <c r="EZ587" s="26"/>
      <c r="FA587" s="60"/>
      <c r="FB587" s="60"/>
      <c r="FC587" s="60"/>
      <c r="FD587" s="60"/>
      <c r="FE587" s="60"/>
      <c r="FF587" s="60"/>
      <c r="FG587" s="60"/>
      <c r="FH587" s="60"/>
      <c r="FI587" s="60"/>
      <c r="FJ587" s="60"/>
      <c r="FK587" s="60"/>
      <c r="FL587" s="60"/>
      <c r="FM587" s="60"/>
      <c r="FN587" s="60"/>
      <c r="FO587" s="60"/>
      <c r="FP587" s="60"/>
      <c r="FQ587" s="60"/>
      <c r="FR587" s="60"/>
      <c r="FS587" s="60"/>
      <c r="FT587" s="60"/>
      <c r="FU587" s="60"/>
      <c r="FV587" s="60"/>
      <c r="FW587" s="60"/>
      <c r="FX587" s="60"/>
    </row>
    <row r="588">
      <c r="A588" s="18"/>
      <c r="B588" s="14"/>
      <c r="C588" s="14"/>
      <c r="D588" s="14"/>
      <c r="E588" s="18"/>
      <c r="F588" s="18"/>
      <c r="G588" s="18"/>
      <c r="H588" s="18"/>
      <c r="I588" s="18"/>
      <c r="J588" s="18"/>
      <c r="K588" s="18"/>
      <c r="L588" s="18"/>
      <c r="M588" s="18"/>
      <c r="N588" s="18"/>
      <c r="O588" s="18"/>
      <c r="P588" s="23"/>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6"/>
      <c r="BR588" s="26"/>
      <c r="BS588" s="26"/>
      <c r="BT588" s="26"/>
      <c r="BU588" s="26"/>
      <c r="BV588" s="26"/>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26"/>
      <c r="CU588" s="26"/>
      <c r="CV588" s="26"/>
      <c r="CW588" s="26"/>
      <c r="CX588" s="26"/>
      <c r="CY588" s="26"/>
      <c r="CZ588" s="26"/>
      <c r="DA588" s="26"/>
      <c r="DB588" s="26"/>
      <c r="DC588" s="26"/>
      <c r="DD588" s="26"/>
      <c r="DE588" s="26"/>
      <c r="DF588" s="26"/>
      <c r="DG588" s="26"/>
      <c r="DH588" s="26"/>
      <c r="DI588" s="26"/>
      <c r="DJ588" s="26"/>
      <c r="DK588" s="26"/>
      <c r="DL588" s="26"/>
      <c r="DM588" s="26"/>
      <c r="DN588" s="26"/>
      <c r="DO588" s="26"/>
      <c r="DP588" s="26"/>
      <c r="DQ588" s="26"/>
      <c r="DR588" s="26"/>
      <c r="DS588" s="26"/>
      <c r="DT588" s="26"/>
      <c r="DU588" s="26"/>
      <c r="DV588" s="26"/>
      <c r="DW588" s="26"/>
      <c r="DX588" s="26"/>
      <c r="DY588" s="26"/>
      <c r="DZ588" s="26"/>
      <c r="EA588" s="26"/>
      <c r="EB588" s="26"/>
      <c r="EC588" s="26"/>
      <c r="ED588" s="26"/>
      <c r="EE588" s="26"/>
      <c r="EF588" s="26"/>
      <c r="EG588" s="26"/>
      <c r="EH588" s="26"/>
      <c r="EI588" s="26"/>
      <c r="EJ588" s="26"/>
      <c r="EK588" s="26"/>
      <c r="EL588" s="26"/>
      <c r="EM588" s="26"/>
      <c r="EN588" s="26"/>
      <c r="EO588" s="26"/>
      <c r="EP588" s="26"/>
      <c r="EQ588" s="26"/>
      <c r="ER588" s="26"/>
      <c r="ES588" s="26"/>
      <c r="ET588" s="26"/>
      <c r="EU588" s="26"/>
      <c r="EV588" s="26"/>
      <c r="EW588" s="26"/>
      <c r="EX588" s="26"/>
      <c r="EY588" s="26"/>
      <c r="EZ588" s="26"/>
      <c r="FA588" s="60"/>
      <c r="FB588" s="60"/>
      <c r="FC588" s="60"/>
      <c r="FD588" s="60"/>
      <c r="FE588" s="60"/>
      <c r="FF588" s="60"/>
      <c r="FG588" s="60"/>
      <c r="FH588" s="60"/>
      <c r="FI588" s="60"/>
      <c r="FJ588" s="60"/>
      <c r="FK588" s="60"/>
      <c r="FL588" s="60"/>
      <c r="FM588" s="60"/>
      <c r="FN588" s="60"/>
      <c r="FO588" s="60"/>
      <c r="FP588" s="60"/>
      <c r="FQ588" s="60"/>
      <c r="FR588" s="60"/>
      <c r="FS588" s="60"/>
      <c r="FT588" s="60"/>
      <c r="FU588" s="60"/>
      <c r="FV588" s="60"/>
      <c r="FW588" s="60"/>
      <c r="FX588" s="60"/>
    </row>
    <row r="589">
      <c r="A589" s="18"/>
      <c r="B589" s="14"/>
      <c r="C589" s="14"/>
      <c r="D589" s="14"/>
      <c r="E589" s="18"/>
      <c r="F589" s="18"/>
      <c r="G589" s="18"/>
      <c r="H589" s="18"/>
      <c r="I589" s="18"/>
      <c r="J589" s="18"/>
      <c r="K589" s="18"/>
      <c r="L589" s="18"/>
      <c r="M589" s="18"/>
      <c r="N589" s="18"/>
      <c r="O589" s="18"/>
      <c r="P589" s="23"/>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c r="BM589" s="26"/>
      <c r="BN589" s="26"/>
      <c r="BO589" s="26"/>
      <c r="BP589" s="26"/>
      <c r="BQ589" s="26"/>
      <c r="BR589" s="26"/>
      <c r="BS589" s="26"/>
      <c r="BT589" s="26"/>
      <c r="BU589" s="26"/>
      <c r="BV589" s="26"/>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26"/>
      <c r="CU589" s="26"/>
      <c r="CV589" s="26"/>
      <c r="CW589" s="26"/>
      <c r="CX589" s="26"/>
      <c r="CY589" s="26"/>
      <c r="CZ589" s="26"/>
      <c r="DA589" s="26"/>
      <c r="DB589" s="26"/>
      <c r="DC589" s="26"/>
      <c r="DD589" s="26"/>
      <c r="DE589" s="26"/>
      <c r="DF589" s="26"/>
      <c r="DG589" s="26"/>
      <c r="DH589" s="26"/>
      <c r="DI589" s="26"/>
      <c r="DJ589" s="26"/>
      <c r="DK589" s="26"/>
      <c r="DL589" s="26"/>
      <c r="DM589" s="26"/>
      <c r="DN589" s="26"/>
      <c r="DO589" s="26"/>
      <c r="DP589" s="26"/>
      <c r="DQ589" s="26"/>
      <c r="DR589" s="26"/>
      <c r="DS589" s="26"/>
      <c r="DT589" s="26"/>
      <c r="DU589" s="26"/>
      <c r="DV589" s="26"/>
      <c r="DW589" s="26"/>
      <c r="DX589" s="26"/>
      <c r="DY589" s="26"/>
      <c r="DZ589" s="26"/>
      <c r="EA589" s="26"/>
      <c r="EB589" s="26"/>
      <c r="EC589" s="26"/>
      <c r="ED589" s="26"/>
      <c r="EE589" s="26"/>
      <c r="EF589" s="26"/>
      <c r="EG589" s="26"/>
      <c r="EH589" s="26"/>
      <c r="EI589" s="26"/>
      <c r="EJ589" s="26"/>
      <c r="EK589" s="26"/>
      <c r="EL589" s="26"/>
      <c r="EM589" s="26"/>
      <c r="EN589" s="26"/>
      <c r="EO589" s="26"/>
      <c r="EP589" s="26"/>
      <c r="EQ589" s="26"/>
      <c r="ER589" s="26"/>
      <c r="ES589" s="26"/>
      <c r="ET589" s="26"/>
      <c r="EU589" s="26"/>
      <c r="EV589" s="26"/>
      <c r="EW589" s="26"/>
      <c r="EX589" s="26"/>
      <c r="EY589" s="26"/>
      <c r="EZ589" s="26"/>
      <c r="FA589" s="60"/>
      <c r="FB589" s="60"/>
      <c r="FC589" s="60"/>
      <c r="FD589" s="60"/>
      <c r="FE589" s="60"/>
      <c r="FF589" s="60"/>
      <c r="FG589" s="60"/>
      <c r="FH589" s="60"/>
      <c r="FI589" s="60"/>
      <c r="FJ589" s="60"/>
      <c r="FK589" s="60"/>
      <c r="FL589" s="60"/>
      <c r="FM589" s="60"/>
      <c r="FN589" s="60"/>
      <c r="FO589" s="60"/>
      <c r="FP589" s="60"/>
      <c r="FQ589" s="60"/>
      <c r="FR589" s="60"/>
      <c r="FS589" s="60"/>
      <c r="FT589" s="60"/>
      <c r="FU589" s="60"/>
      <c r="FV589" s="60"/>
      <c r="FW589" s="60"/>
      <c r="FX589" s="60"/>
    </row>
    <row r="590">
      <c r="A590" s="18"/>
      <c r="B590" s="14"/>
      <c r="C590" s="14"/>
      <c r="D590" s="14"/>
      <c r="E590" s="18"/>
      <c r="F590" s="18"/>
      <c r="G590" s="18"/>
      <c r="H590" s="18"/>
      <c r="I590" s="18"/>
      <c r="J590" s="18"/>
      <c r="K590" s="18"/>
      <c r="L590" s="18"/>
      <c r="M590" s="18"/>
      <c r="N590" s="18"/>
      <c r="O590" s="18"/>
      <c r="P590" s="23"/>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6"/>
      <c r="BS590" s="26"/>
      <c r="BT590" s="26"/>
      <c r="BU590" s="26"/>
      <c r="BV590" s="26"/>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26"/>
      <c r="CU590" s="26"/>
      <c r="CV590" s="26"/>
      <c r="CW590" s="26"/>
      <c r="CX590" s="26"/>
      <c r="CY590" s="26"/>
      <c r="CZ590" s="26"/>
      <c r="DA590" s="26"/>
      <c r="DB590" s="26"/>
      <c r="DC590" s="26"/>
      <c r="DD590" s="26"/>
      <c r="DE590" s="26"/>
      <c r="DF590" s="26"/>
      <c r="DG590" s="26"/>
      <c r="DH590" s="26"/>
      <c r="DI590" s="26"/>
      <c r="DJ590" s="26"/>
      <c r="DK590" s="26"/>
      <c r="DL590" s="26"/>
      <c r="DM590" s="26"/>
      <c r="DN590" s="26"/>
      <c r="DO590" s="26"/>
      <c r="DP590" s="26"/>
      <c r="DQ590" s="26"/>
      <c r="DR590" s="26"/>
      <c r="DS590" s="26"/>
      <c r="DT590" s="26"/>
      <c r="DU590" s="26"/>
      <c r="DV590" s="26"/>
      <c r="DW590" s="26"/>
      <c r="DX590" s="26"/>
      <c r="DY590" s="26"/>
      <c r="DZ590" s="26"/>
      <c r="EA590" s="26"/>
      <c r="EB590" s="26"/>
      <c r="EC590" s="26"/>
      <c r="ED590" s="26"/>
      <c r="EE590" s="26"/>
      <c r="EF590" s="26"/>
      <c r="EG590" s="26"/>
      <c r="EH590" s="26"/>
      <c r="EI590" s="26"/>
      <c r="EJ590" s="26"/>
      <c r="EK590" s="26"/>
      <c r="EL590" s="26"/>
      <c r="EM590" s="26"/>
      <c r="EN590" s="26"/>
      <c r="EO590" s="26"/>
      <c r="EP590" s="26"/>
      <c r="EQ590" s="26"/>
      <c r="ER590" s="26"/>
      <c r="ES590" s="26"/>
      <c r="ET590" s="26"/>
      <c r="EU590" s="26"/>
      <c r="EV590" s="26"/>
      <c r="EW590" s="26"/>
      <c r="EX590" s="26"/>
      <c r="EY590" s="26"/>
      <c r="EZ590" s="26"/>
      <c r="FA590" s="60"/>
      <c r="FB590" s="60"/>
      <c r="FC590" s="60"/>
      <c r="FD590" s="60"/>
      <c r="FE590" s="60"/>
      <c r="FF590" s="60"/>
      <c r="FG590" s="60"/>
      <c r="FH590" s="60"/>
      <c r="FI590" s="60"/>
      <c r="FJ590" s="60"/>
      <c r="FK590" s="60"/>
      <c r="FL590" s="60"/>
      <c r="FM590" s="60"/>
      <c r="FN590" s="60"/>
      <c r="FO590" s="60"/>
      <c r="FP590" s="60"/>
      <c r="FQ590" s="60"/>
      <c r="FR590" s="60"/>
      <c r="FS590" s="60"/>
      <c r="FT590" s="60"/>
      <c r="FU590" s="60"/>
      <c r="FV590" s="60"/>
      <c r="FW590" s="60"/>
      <c r="FX590" s="60"/>
    </row>
    <row r="591">
      <c r="A591" s="18"/>
      <c r="B591" s="14"/>
      <c r="C591" s="14"/>
      <c r="D591" s="14"/>
      <c r="E591" s="18"/>
      <c r="F591" s="18"/>
      <c r="G591" s="18"/>
      <c r="H591" s="18"/>
      <c r="I591" s="18"/>
      <c r="J591" s="18"/>
      <c r="K591" s="18"/>
      <c r="L591" s="18"/>
      <c r="M591" s="18"/>
      <c r="N591" s="18"/>
      <c r="O591" s="18"/>
      <c r="P591" s="23"/>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c r="BM591" s="26"/>
      <c r="BN591" s="26"/>
      <c r="BO591" s="26"/>
      <c r="BP591" s="26"/>
      <c r="BQ591" s="26"/>
      <c r="BR591" s="26"/>
      <c r="BS591" s="26"/>
      <c r="BT591" s="26"/>
      <c r="BU591" s="26"/>
      <c r="BV591" s="26"/>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26"/>
      <c r="CU591" s="26"/>
      <c r="CV591" s="26"/>
      <c r="CW591" s="26"/>
      <c r="CX591" s="26"/>
      <c r="CY591" s="26"/>
      <c r="CZ591" s="26"/>
      <c r="DA591" s="26"/>
      <c r="DB591" s="26"/>
      <c r="DC591" s="26"/>
      <c r="DD591" s="26"/>
      <c r="DE591" s="26"/>
      <c r="DF591" s="26"/>
      <c r="DG591" s="26"/>
      <c r="DH591" s="26"/>
      <c r="DI591" s="26"/>
      <c r="DJ591" s="26"/>
      <c r="DK591" s="26"/>
      <c r="DL591" s="26"/>
      <c r="DM591" s="26"/>
      <c r="DN591" s="26"/>
      <c r="DO591" s="26"/>
      <c r="DP591" s="26"/>
      <c r="DQ591" s="26"/>
      <c r="DR591" s="26"/>
      <c r="DS591" s="26"/>
      <c r="DT591" s="26"/>
      <c r="DU591" s="26"/>
      <c r="DV591" s="26"/>
      <c r="DW591" s="26"/>
      <c r="DX591" s="26"/>
      <c r="DY591" s="26"/>
      <c r="DZ591" s="26"/>
      <c r="EA591" s="26"/>
      <c r="EB591" s="26"/>
      <c r="EC591" s="26"/>
      <c r="ED591" s="26"/>
      <c r="EE591" s="26"/>
      <c r="EF591" s="26"/>
      <c r="EG591" s="26"/>
      <c r="EH591" s="26"/>
      <c r="EI591" s="26"/>
      <c r="EJ591" s="26"/>
      <c r="EK591" s="26"/>
      <c r="EL591" s="26"/>
      <c r="EM591" s="26"/>
      <c r="EN591" s="26"/>
      <c r="EO591" s="26"/>
      <c r="EP591" s="26"/>
      <c r="EQ591" s="26"/>
      <c r="ER591" s="26"/>
      <c r="ES591" s="26"/>
      <c r="ET591" s="26"/>
      <c r="EU591" s="26"/>
      <c r="EV591" s="26"/>
      <c r="EW591" s="26"/>
      <c r="EX591" s="26"/>
      <c r="EY591" s="26"/>
      <c r="EZ591" s="26"/>
      <c r="FA591" s="60"/>
      <c r="FB591" s="60"/>
      <c r="FC591" s="60"/>
      <c r="FD591" s="60"/>
      <c r="FE591" s="60"/>
      <c r="FF591" s="60"/>
      <c r="FG591" s="60"/>
      <c r="FH591" s="60"/>
      <c r="FI591" s="60"/>
      <c r="FJ591" s="60"/>
      <c r="FK591" s="60"/>
      <c r="FL591" s="60"/>
      <c r="FM591" s="60"/>
      <c r="FN591" s="60"/>
      <c r="FO591" s="60"/>
      <c r="FP591" s="60"/>
      <c r="FQ591" s="60"/>
      <c r="FR591" s="60"/>
      <c r="FS591" s="60"/>
      <c r="FT591" s="60"/>
      <c r="FU591" s="60"/>
      <c r="FV591" s="60"/>
      <c r="FW591" s="60"/>
      <c r="FX591" s="60"/>
    </row>
    <row r="592">
      <c r="A592" s="18"/>
      <c r="B592" s="14"/>
      <c r="C592" s="14"/>
      <c r="D592" s="14"/>
      <c r="E592" s="18"/>
      <c r="F592" s="18"/>
      <c r="G592" s="18"/>
      <c r="H592" s="18"/>
      <c r="I592" s="18"/>
      <c r="J592" s="18"/>
      <c r="K592" s="18"/>
      <c r="L592" s="18"/>
      <c r="M592" s="18"/>
      <c r="N592" s="18"/>
      <c r="O592" s="18"/>
      <c r="P592" s="23"/>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c r="BO592" s="26"/>
      <c r="BP592" s="26"/>
      <c r="BQ592" s="26"/>
      <c r="BR592" s="26"/>
      <c r="BS592" s="26"/>
      <c r="BT592" s="26"/>
      <c r="BU592" s="26"/>
      <c r="BV592" s="26"/>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26"/>
      <c r="CU592" s="26"/>
      <c r="CV592" s="26"/>
      <c r="CW592" s="26"/>
      <c r="CX592" s="26"/>
      <c r="CY592" s="26"/>
      <c r="CZ592" s="26"/>
      <c r="DA592" s="26"/>
      <c r="DB592" s="26"/>
      <c r="DC592" s="26"/>
      <c r="DD592" s="26"/>
      <c r="DE592" s="26"/>
      <c r="DF592" s="26"/>
      <c r="DG592" s="26"/>
      <c r="DH592" s="26"/>
      <c r="DI592" s="26"/>
      <c r="DJ592" s="26"/>
      <c r="DK592" s="26"/>
      <c r="DL592" s="26"/>
      <c r="DM592" s="26"/>
      <c r="DN592" s="26"/>
      <c r="DO592" s="26"/>
      <c r="DP592" s="26"/>
      <c r="DQ592" s="26"/>
      <c r="DR592" s="26"/>
      <c r="DS592" s="26"/>
      <c r="DT592" s="26"/>
      <c r="DU592" s="26"/>
      <c r="DV592" s="26"/>
      <c r="DW592" s="26"/>
      <c r="DX592" s="26"/>
      <c r="DY592" s="26"/>
      <c r="DZ592" s="26"/>
      <c r="EA592" s="26"/>
      <c r="EB592" s="26"/>
      <c r="EC592" s="26"/>
      <c r="ED592" s="26"/>
      <c r="EE592" s="26"/>
      <c r="EF592" s="26"/>
      <c r="EG592" s="26"/>
      <c r="EH592" s="26"/>
      <c r="EI592" s="26"/>
      <c r="EJ592" s="26"/>
      <c r="EK592" s="26"/>
      <c r="EL592" s="26"/>
      <c r="EM592" s="26"/>
      <c r="EN592" s="26"/>
      <c r="EO592" s="26"/>
      <c r="EP592" s="26"/>
      <c r="EQ592" s="26"/>
      <c r="ER592" s="26"/>
      <c r="ES592" s="26"/>
      <c r="ET592" s="26"/>
      <c r="EU592" s="26"/>
      <c r="EV592" s="26"/>
      <c r="EW592" s="26"/>
      <c r="EX592" s="26"/>
      <c r="EY592" s="26"/>
      <c r="EZ592" s="26"/>
      <c r="FA592" s="60"/>
      <c r="FB592" s="60"/>
      <c r="FC592" s="60"/>
      <c r="FD592" s="60"/>
      <c r="FE592" s="60"/>
      <c r="FF592" s="60"/>
      <c r="FG592" s="60"/>
      <c r="FH592" s="60"/>
      <c r="FI592" s="60"/>
      <c r="FJ592" s="60"/>
      <c r="FK592" s="60"/>
      <c r="FL592" s="60"/>
      <c r="FM592" s="60"/>
      <c r="FN592" s="60"/>
      <c r="FO592" s="60"/>
      <c r="FP592" s="60"/>
      <c r="FQ592" s="60"/>
      <c r="FR592" s="60"/>
      <c r="FS592" s="60"/>
      <c r="FT592" s="60"/>
      <c r="FU592" s="60"/>
      <c r="FV592" s="60"/>
      <c r="FW592" s="60"/>
      <c r="FX592" s="60"/>
    </row>
    <row r="593">
      <c r="A593" s="18"/>
      <c r="B593" s="14"/>
      <c r="C593" s="14"/>
      <c r="D593" s="14"/>
      <c r="E593" s="18"/>
      <c r="F593" s="18"/>
      <c r="G593" s="18"/>
      <c r="H593" s="18"/>
      <c r="I593" s="18"/>
      <c r="J593" s="18"/>
      <c r="K593" s="18"/>
      <c r="L593" s="18"/>
      <c r="M593" s="18"/>
      <c r="N593" s="18"/>
      <c r="O593" s="18"/>
      <c r="P593" s="23"/>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6"/>
      <c r="BG593" s="26"/>
      <c r="BH593" s="26"/>
      <c r="BI593" s="26"/>
      <c r="BJ593" s="26"/>
      <c r="BK593" s="26"/>
      <c r="BL593" s="26"/>
      <c r="BM593" s="26"/>
      <c r="BN593" s="26"/>
      <c r="BO593" s="26"/>
      <c r="BP593" s="26"/>
      <c r="BQ593" s="26"/>
      <c r="BR593" s="26"/>
      <c r="BS593" s="26"/>
      <c r="BT593" s="26"/>
      <c r="BU593" s="26"/>
      <c r="BV593" s="26"/>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26"/>
      <c r="CU593" s="26"/>
      <c r="CV593" s="26"/>
      <c r="CW593" s="26"/>
      <c r="CX593" s="26"/>
      <c r="CY593" s="26"/>
      <c r="CZ593" s="26"/>
      <c r="DA593" s="26"/>
      <c r="DB593" s="26"/>
      <c r="DC593" s="26"/>
      <c r="DD593" s="26"/>
      <c r="DE593" s="26"/>
      <c r="DF593" s="26"/>
      <c r="DG593" s="26"/>
      <c r="DH593" s="26"/>
      <c r="DI593" s="26"/>
      <c r="DJ593" s="26"/>
      <c r="DK593" s="26"/>
      <c r="DL593" s="26"/>
      <c r="DM593" s="26"/>
      <c r="DN593" s="26"/>
      <c r="DO593" s="26"/>
      <c r="DP593" s="26"/>
      <c r="DQ593" s="26"/>
      <c r="DR593" s="26"/>
      <c r="DS593" s="26"/>
      <c r="DT593" s="26"/>
      <c r="DU593" s="26"/>
      <c r="DV593" s="26"/>
      <c r="DW593" s="26"/>
      <c r="DX593" s="26"/>
      <c r="DY593" s="26"/>
      <c r="DZ593" s="26"/>
      <c r="EA593" s="26"/>
      <c r="EB593" s="26"/>
      <c r="EC593" s="26"/>
      <c r="ED593" s="26"/>
      <c r="EE593" s="26"/>
      <c r="EF593" s="26"/>
      <c r="EG593" s="26"/>
      <c r="EH593" s="26"/>
      <c r="EI593" s="26"/>
      <c r="EJ593" s="26"/>
      <c r="EK593" s="26"/>
      <c r="EL593" s="26"/>
      <c r="EM593" s="26"/>
      <c r="EN593" s="26"/>
      <c r="EO593" s="26"/>
      <c r="EP593" s="26"/>
      <c r="EQ593" s="26"/>
      <c r="ER593" s="26"/>
      <c r="ES593" s="26"/>
      <c r="ET593" s="26"/>
      <c r="EU593" s="26"/>
      <c r="EV593" s="26"/>
      <c r="EW593" s="26"/>
      <c r="EX593" s="26"/>
      <c r="EY593" s="26"/>
      <c r="EZ593" s="26"/>
      <c r="FA593" s="60"/>
      <c r="FB593" s="60"/>
      <c r="FC593" s="60"/>
      <c r="FD593" s="60"/>
      <c r="FE593" s="60"/>
      <c r="FF593" s="60"/>
      <c r="FG593" s="60"/>
      <c r="FH593" s="60"/>
      <c r="FI593" s="60"/>
      <c r="FJ593" s="60"/>
      <c r="FK593" s="60"/>
      <c r="FL593" s="60"/>
      <c r="FM593" s="60"/>
      <c r="FN593" s="60"/>
      <c r="FO593" s="60"/>
      <c r="FP593" s="60"/>
      <c r="FQ593" s="60"/>
      <c r="FR593" s="60"/>
      <c r="FS593" s="60"/>
      <c r="FT593" s="60"/>
      <c r="FU593" s="60"/>
      <c r="FV593" s="60"/>
      <c r="FW593" s="60"/>
      <c r="FX593" s="60"/>
    </row>
    <row r="594">
      <c r="A594" s="18"/>
      <c r="B594" s="14"/>
      <c r="C594" s="14"/>
      <c r="D594" s="14"/>
      <c r="E594" s="18"/>
      <c r="F594" s="18"/>
      <c r="G594" s="18"/>
      <c r="H594" s="18"/>
      <c r="I594" s="18"/>
      <c r="J594" s="18"/>
      <c r="K594" s="18"/>
      <c r="L594" s="18"/>
      <c r="M594" s="18"/>
      <c r="N594" s="18"/>
      <c r="O594" s="18"/>
      <c r="P594" s="23"/>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6"/>
      <c r="BU594" s="26"/>
      <c r="BV594" s="26"/>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26"/>
      <c r="CU594" s="26"/>
      <c r="CV594" s="26"/>
      <c r="CW594" s="26"/>
      <c r="CX594" s="26"/>
      <c r="CY594" s="26"/>
      <c r="CZ594" s="26"/>
      <c r="DA594" s="26"/>
      <c r="DB594" s="26"/>
      <c r="DC594" s="26"/>
      <c r="DD594" s="26"/>
      <c r="DE594" s="26"/>
      <c r="DF594" s="26"/>
      <c r="DG594" s="26"/>
      <c r="DH594" s="26"/>
      <c r="DI594" s="26"/>
      <c r="DJ594" s="26"/>
      <c r="DK594" s="26"/>
      <c r="DL594" s="26"/>
      <c r="DM594" s="26"/>
      <c r="DN594" s="26"/>
      <c r="DO594" s="26"/>
      <c r="DP594" s="26"/>
      <c r="DQ594" s="26"/>
      <c r="DR594" s="26"/>
      <c r="DS594" s="26"/>
      <c r="DT594" s="26"/>
      <c r="DU594" s="26"/>
      <c r="DV594" s="26"/>
      <c r="DW594" s="26"/>
      <c r="DX594" s="26"/>
      <c r="DY594" s="26"/>
      <c r="DZ594" s="26"/>
      <c r="EA594" s="26"/>
      <c r="EB594" s="26"/>
      <c r="EC594" s="26"/>
      <c r="ED594" s="26"/>
      <c r="EE594" s="26"/>
      <c r="EF594" s="26"/>
      <c r="EG594" s="26"/>
      <c r="EH594" s="26"/>
      <c r="EI594" s="26"/>
      <c r="EJ594" s="26"/>
      <c r="EK594" s="26"/>
      <c r="EL594" s="26"/>
      <c r="EM594" s="26"/>
      <c r="EN594" s="26"/>
      <c r="EO594" s="26"/>
      <c r="EP594" s="26"/>
      <c r="EQ594" s="26"/>
      <c r="ER594" s="26"/>
      <c r="ES594" s="26"/>
      <c r="ET594" s="26"/>
      <c r="EU594" s="26"/>
      <c r="EV594" s="26"/>
      <c r="EW594" s="26"/>
      <c r="EX594" s="26"/>
      <c r="EY594" s="26"/>
      <c r="EZ594" s="26"/>
      <c r="FA594" s="60"/>
      <c r="FB594" s="60"/>
      <c r="FC594" s="60"/>
      <c r="FD594" s="60"/>
      <c r="FE594" s="60"/>
      <c r="FF594" s="60"/>
      <c r="FG594" s="60"/>
      <c r="FH594" s="60"/>
      <c r="FI594" s="60"/>
      <c r="FJ594" s="60"/>
      <c r="FK594" s="60"/>
      <c r="FL594" s="60"/>
      <c r="FM594" s="60"/>
      <c r="FN594" s="60"/>
      <c r="FO594" s="60"/>
      <c r="FP594" s="60"/>
      <c r="FQ594" s="60"/>
      <c r="FR594" s="60"/>
      <c r="FS594" s="60"/>
      <c r="FT594" s="60"/>
      <c r="FU594" s="60"/>
      <c r="FV594" s="60"/>
      <c r="FW594" s="60"/>
      <c r="FX594" s="60"/>
    </row>
    <row r="595">
      <c r="A595" s="18"/>
      <c r="B595" s="14"/>
      <c r="C595" s="14"/>
      <c r="D595" s="14"/>
      <c r="E595" s="18"/>
      <c r="F595" s="18"/>
      <c r="G595" s="18"/>
      <c r="H595" s="18"/>
      <c r="I595" s="18"/>
      <c r="J595" s="18"/>
      <c r="K595" s="18"/>
      <c r="L595" s="18"/>
      <c r="M595" s="18"/>
      <c r="N595" s="18"/>
      <c r="O595" s="18"/>
      <c r="P595" s="23"/>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c r="BM595" s="26"/>
      <c r="BN595" s="26"/>
      <c r="BO595" s="26"/>
      <c r="BP595" s="26"/>
      <c r="BQ595" s="26"/>
      <c r="BR595" s="26"/>
      <c r="BS595" s="26"/>
      <c r="BT595" s="26"/>
      <c r="BU595" s="26"/>
      <c r="BV595" s="26"/>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26"/>
      <c r="CU595" s="26"/>
      <c r="CV595" s="26"/>
      <c r="CW595" s="26"/>
      <c r="CX595" s="26"/>
      <c r="CY595" s="26"/>
      <c r="CZ595" s="26"/>
      <c r="DA595" s="26"/>
      <c r="DB595" s="26"/>
      <c r="DC595" s="26"/>
      <c r="DD595" s="26"/>
      <c r="DE595" s="26"/>
      <c r="DF595" s="26"/>
      <c r="DG595" s="26"/>
      <c r="DH595" s="26"/>
      <c r="DI595" s="26"/>
      <c r="DJ595" s="26"/>
      <c r="DK595" s="26"/>
      <c r="DL595" s="26"/>
      <c r="DM595" s="26"/>
      <c r="DN595" s="26"/>
      <c r="DO595" s="26"/>
      <c r="DP595" s="26"/>
      <c r="DQ595" s="26"/>
      <c r="DR595" s="26"/>
      <c r="DS595" s="26"/>
      <c r="DT595" s="26"/>
      <c r="DU595" s="26"/>
      <c r="DV595" s="26"/>
      <c r="DW595" s="26"/>
      <c r="DX595" s="26"/>
      <c r="DY595" s="26"/>
      <c r="DZ595" s="26"/>
      <c r="EA595" s="26"/>
      <c r="EB595" s="26"/>
      <c r="EC595" s="26"/>
      <c r="ED595" s="26"/>
      <c r="EE595" s="26"/>
      <c r="EF595" s="26"/>
      <c r="EG595" s="26"/>
      <c r="EH595" s="26"/>
      <c r="EI595" s="26"/>
      <c r="EJ595" s="26"/>
      <c r="EK595" s="26"/>
      <c r="EL595" s="26"/>
      <c r="EM595" s="26"/>
      <c r="EN595" s="26"/>
      <c r="EO595" s="26"/>
      <c r="EP595" s="26"/>
      <c r="EQ595" s="26"/>
      <c r="ER595" s="26"/>
      <c r="ES595" s="26"/>
      <c r="ET595" s="26"/>
      <c r="EU595" s="26"/>
      <c r="EV595" s="26"/>
      <c r="EW595" s="26"/>
      <c r="EX595" s="26"/>
      <c r="EY595" s="26"/>
      <c r="EZ595" s="26"/>
      <c r="FA595" s="60"/>
      <c r="FB595" s="60"/>
      <c r="FC595" s="60"/>
      <c r="FD595" s="60"/>
      <c r="FE595" s="60"/>
      <c r="FF595" s="60"/>
      <c r="FG595" s="60"/>
      <c r="FH595" s="60"/>
      <c r="FI595" s="60"/>
      <c r="FJ595" s="60"/>
      <c r="FK595" s="60"/>
      <c r="FL595" s="60"/>
      <c r="FM595" s="60"/>
      <c r="FN595" s="60"/>
      <c r="FO595" s="60"/>
      <c r="FP595" s="60"/>
      <c r="FQ595" s="60"/>
      <c r="FR595" s="60"/>
      <c r="FS595" s="60"/>
      <c r="FT595" s="60"/>
      <c r="FU595" s="60"/>
      <c r="FV595" s="60"/>
      <c r="FW595" s="60"/>
      <c r="FX595" s="60"/>
    </row>
    <row r="596">
      <c r="A596" s="18"/>
      <c r="B596" s="14"/>
      <c r="C596" s="14"/>
      <c r="D596" s="14"/>
      <c r="E596" s="18"/>
      <c r="F596" s="18"/>
      <c r="G596" s="18"/>
      <c r="H596" s="18"/>
      <c r="I596" s="18"/>
      <c r="J596" s="18"/>
      <c r="K596" s="18"/>
      <c r="L596" s="18"/>
      <c r="M596" s="18"/>
      <c r="N596" s="18"/>
      <c r="O596" s="18"/>
      <c r="P596" s="23"/>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c r="BO596" s="26"/>
      <c r="BP596" s="26"/>
      <c r="BQ596" s="26"/>
      <c r="BR596" s="26"/>
      <c r="BS596" s="26"/>
      <c r="BT596" s="26"/>
      <c r="BU596" s="26"/>
      <c r="BV596" s="26"/>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26"/>
      <c r="CU596" s="26"/>
      <c r="CV596" s="26"/>
      <c r="CW596" s="26"/>
      <c r="CX596" s="26"/>
      <c r="CY596" s="26"/>
      <c r="CZ596" s="26"/>
      <c r="DA596" s="26"/>
      <c r="DB596" s="26"/>
      <c r="DC596" s="26"/>
      <c r="DD596" s="26"/>
      <c r="DE596" s="26"/>
      <c r="DF596" s="26"/>
      <c r="DG596" s="26"/>
      <c r="DH596" s="26"/>
      <c r="DI596" s="26"/>
      <c r="DJ596" s="26"/>
      <c r="DK596" s="26"/>
      <c r="DL596" s="26"/>
      <c r="DM596" s="26"/>
      <c r="DN596" s="26"/>
      <c r="DO596" s="26"/>
      <c r="DP596" s="26"/>
      <c r="DQ596" s="26"/>
      <c r="DR596" s="26"/>
      <c r="DS596" s="26"/>
      <c r="DT596" s="26"/>
      <c r="DU596" s="26"/>
      <c r="DV596" s="26"/>
      <c r="DW596" s="26"/>
      <c r="DX596" s="26"/>
      <c r="DY596" s="26"/>
      <c r="DZ596" s="26"/>
      <c r="EA596" s="26"/>
      <c r="EB596" s="26"/>
      <c r="EC596" s="26"/>
      <c r="ED596" s="26"/>
      <c r="EE596" s="26"/>
      <c r="EF596" s="26"/>
      <c r="EG596" s="26"/>
      <c r="EH596" s="26"/>
      <c r="EI596" s="26"/>
      <c r="EJ596" s="26"/>
      <c r="EK596" s="26"/>
      <c r="EL596" s="26"/>
      <c r="EM596" s="26"/>
      <c r="EN596" s="26"/>
      <c r="EO596" s="26"/>
      <c r="EP596" s="26"/>
      <c r="EQ596" s="26"/>
      <c r="ER596" s="26"/>
      <c r="ES596" s="26"/>
      <c r="ET596" s="26"/>
      <c r="EU596" s="26"/>
      <c r="EV596" s="26"/>
      <c r="EW596" s="26"/>
      <c r="EX596" s="26"/>
      <c r="EY596" s="26"/>
      <c r="EZ596" s="26"/>
      <c r="FA596" s="60"/>
      <c r="FB596" s="60"/>
      <c r="FC596" s="60"/>
      <c r="FD596" s="60"/>
      <c r="FE596" s="60"/>
      <c r="FF596" s="60"/>
      <c r="FG596" s="60"/>
      <c r="FH596" s="60"/>
      <c r="FI596" s="60"/>
      <c r="FJ596" s="60"/>
      <c r="FK596" s="60"/>
      <c r="FL596" s="60"/>
      <c r="FM596" s="60"/>
      <c r="FN596" s="60"/>
      <c r="FO596" s="60"/>
      <c r="FP596" s="60"/>
      <c r="FQ596" s="60"/>
      <c r="FR596" s="60"/>
      <c r="FS596" s="60"/>
      <c r="FT596" s="60"/>
      <c r="FU596" s="60"/>
      <c r="FV596" s="60"/>
      <c r="FW596" s="60"/>
      <c r="FX596" s="60"/>
    </row>
    <row r="597">
      <c r="A597" s="18"/>
      <c r="B597" s="14"/>
      <c r="C597" s="14"/>
      <c r="D597" s="14"/>
      <c r="E597" s="18"/>
      <c r="F597" s="18"/>
      <c r="G597" s="18"/>
      <c r="H597" s="18"/>
      <c r="I597" s="18"/>
      <c r="J597" s="18"/>
      <c r="K597" s="18"/>
      <c r="L597" s="18"/>
      <c r="M597" s="18"/>
      <c r="N597" s="18"/>
      <c r="O597" s="18"/>
      <c r="P597" s="23"/>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6"/>
      <c r="BG597" s="26"/>
      <c r="BH597" s="26"/>
      <c r="BI597" s="26"/>
      <c r="BJ597" s="26"/>
      <c r="BK597" s="26"/>
      <c r="BL597" s="26"/>
      <c r="BM597" s="26"/>
      <c r="BN597" s="26"/>
      <c r="BO597" s="26"/>
      <c r="BP597" s="26"/>
      <c r="BQ597" s="26"/>
      <c r="BR597" s="26"/>
      <c r="BS597" s="26"/>
      <c r="BT597" s="26"/>
      <c r="BU597" s="26"/>
      <c r="BV597" s="26"/>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26"/>
      <c r="CU597" s="26"/>
      <c r="CV597" s="26"/>
      <c r="CW597" s="26"/>
      <c r="CX597" s="26"/>
      <c r="CY597" s="26"/>
      <c r="CZ597" s="26"/>
      <c r="DA597" s="26"/>
      <c r="DB597" s="26"/>
      <c r="DC597" s="26"/>
      <c r="DD597" s="26"/>
      <c r="DE597" s="26"/>
      <c r="DF597" s="26"/>
      <c r="DG597" s="26"/>
      <c r="DH597" s="26"/>
      <c r="DI597" s="26"/>
      <c r="DJ597" s="26"/>
      <c r="DK597" s="26"/>
      <c r="DL597" s="26"/>
      <c r="DM597" s="26"/>
      <c r="DN597" s="26"/>
      <c r="DO597" s="26"/>
      <c r="DP597" s="26"/>
      <c r="DQ597" s="26"/>
      <c r="DR597" s="26"/>
      <c r="DS597" s="26"/>
      <c r="DT597" s="26"/>
      <c r="DU597" s="26"/>
      <c r="DV597" s="26"/>
      <c r="DW597" s="26"/>
      <c r="DX597" s="26"/>
      <c r="DY597" s="26"/>
      <c r="DZ597" s="26"/>
      <c r="EA597" s="26"/>
      <c r="EB597" s="26"/>
      <c r="EC597" s="26"/>
      <c r="ED597" s="26"/>
      <c r="EE597" s="26"/>
      <c r="EF597" s="26"/>
      <c r="EG597" s="26"/>
      <c r="EH597" s="26"/>
      <c r="EI597" s="26"/>
      <c r="EJ597" s="26"/>
      <c r="EK597" s="26"/>
      <c r="EL597" s="26"/>
      <c r="EM597" s="26"/>
      <c r="EN597" s="26"/>
      <c r="EO597" s="26"/>
      <c r="EP597" s="26"/>
      <c r="EQ597" s="26"/>
      <c r="ER597" s="26"/>
      <c r="ES597" s="26"/>
      <c r="ET597" s="26"/>
      <c r="EU597" s="26"/>
      <c r="EV597" s="26"/>
      <c r="EW597" s="26"/>
      <c r="EX597" s="26"/>
      <c r="EY597" s="26"/>
      <c r="EZ597" s="26"/>
      <c r="FA597" s="60"/>
      <c r="FB597" s="60"/>
      <c r="FC597" s="60"/>
      <c r="FD597" s="60"/>
      <c r="FE597" s="60"/>
      <c r="FF597" s="60"/>
      <c r="FG597" s="60"/>
      <c r="FH597" s="60"/>
      <c r="FI597" s="60"/>
      <c r="FJ597" s="60"/>
      <c r="FK597" s="60"/>
      <c r="FL597" s="60"/>
      <c r="FM597" s="60"/>
      <c r="FN597" s="60"/>
      <c r="FO597" s="60"/>
      <c r="FP597" s="60"/>
      <c r="FQ597" s="60"/>
      <c r="FR597" s="60"/>
      <c r="FS597" s="60"/>
      <c r="FT597" s="60"/>
      <c r="FU597" s="60"/>
      <c r="FV597" s="60"/>
      <c r="FW597" s="60"/>
      <c r="FX597" s="60"/>
    </row>
    <row r="598">
      <c r="A598" s="18"/>
      <c r="B598" s="14"/>
      <c r="C598" s="14"/>
      <c r="D598" s="14"/>
      <c r="E598" s="18"/>
      <c r="F598" s="18"/>
      <c r="G598" s="18"/>
      <c r="H598" s="18"/>
      <c r="I598" s="18"/>
      <c r="J598" s="18"/>
      <c r="K598" s="18"/>
      <c r="L598" s="18"/>
      <c r="M598" s="18"/>
      <c r="N598" s="18"/>
      <c r="O598" s="18"/>
      <c r="P598" s="23"/>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6"/>
      <c r="BU598" s="26"/>
      <c r="BV598" s="26"/>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26"/>
      <c r="CU598" s="26"/>
      <c r="CV598" s="26"/>
      <c r="CW598" s="26"/>
      <c r="CX598" s="26"/>
      <c r="CY598" s="26"/>
      <c r="CZ598" s="26"/>
      <c r="DA598" s="26"/>
      <c r="DB598" s="26"/>
      <c r="DC598" s="26"/>
      <c r="DD598" s="26"/>
      <c r="DE598" s="26"/>
      <c r="DF598" s="26"/>
      <c r="DG598" s="26"/>
      <c r="DH598" s="26"/>
      <c r="DI598" s="26"/>
      <c r="DJ598" s="26"/>
      <c r="DK598" s="26"/>
      <c r="DL598" s="26"/>
      <c r="DM598" s="26"/>
      <c r="DN598" s="26"/>
      <c r="DO598" s="26"/>
      <c r="DP598" s="26"/>
      <c r="DQ598" s="26"/>
      <c r="DR598" s="26"/>
      <c r="DS598" s="26"/>
      <c r="DT598" s="26"/>
      <c r="DU598" s="26"/>
      <c r="DV598" s="26"/>
      <c r="DW598" s="26"/>
      <c r="DX598" s="26"/>
      <c r="DY598" s="26"/>
      <c r="DZ598" s="26"/>
      <c r="EA598" s="26"/>
      <c r="EB598" s="26"/>
      <c r="EC598" s="26"/>
      <c r="ED598" s="26"/>
      <c r="EE598" s="26"/>
      <c r="EF598" s="26"/>
      <c r="EG598" s="26"/>
      <c r="EH598" s="26"/>
      <c r="EI598" s="26"/>
      <c r="EJ598" s="26"/>
      <c r="EK598" s="26"/>
      <c r="EL598" s="26"/>
      <c r="EM598" s="26"/>
      <c r="EN598" s="26"/>
      <c r="EO598" s="26"/>
      <c r="EP598" s="26"/>
      <c r="EQ598" s="26"/>
      <c r="ER598" s="26"/>
      <c r="ES598" s="26"/>
      <c r="ET598" s="26"/>
      <c r="EU598" s="26"/>
      <c r="EV598" s="26"/>
      <c r="EW598" s="26"/>
      <c r="EX598" s="26"/>
      <c r="EY598" s="26"/>
      <c r="EZ598" s="26"/>
      <c r="FA598" s="60"/>
      <c r="FB598" s="60"/>
      <c r="FC598" s="60"/>
      <c r="FD598" s="60"/>
      <c r="FE598" s="60"/>
      <c r="FF598" s="60"/>
      <c r="FG598" s="60"/>
      <c r="FH598" s="60"/>
      <c r="FI598" s="60"/>
      <c r="FJ598" s="60"/>
      <c r="FK598" s="60"/>
      <c r="FL598" s="60"/>
      <c r="FM598" s="60"/>
      <c r="FN598" s="60"/>
      <c r="FO598" s="60"/>
      <c r="FP598" s="60"/>
      <c r="FQ598" s="60"/>
      <c r="FR598" s="60"/>
      <c r="FS598" s="60"/>
      <c r="FT598" s="60"/>
      <c r="FU598" s="60"/>
      <c r="FV598" s="60"/>
      <c r="FW598" s="60"/>
      <c r="FX598" s="60"/>
    </row>
    <row r="599">
      <c r="A599" s="18"/>
      <c r="B599" s="14"/>
      <c r="C599" s="14"/>
      <c r="D599" s="14"/>
      <c r="E599" s="18"/>
      <c r="F599" s="18"/>
      <c r="G599" s="18"/>
      <c r="H599" s="18"/>
      <c r="I599" s="18"/>
      <c r="J599" s="18"/>
      <c r="K599" s="18"/>
      <c r="L599" s="18"/>
      <c r="M599" s="18"/>
      <c r="N599" s="18"/>
      <c r="O599" s="18"/>
      <c r="P599" s="23"/>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c r="BM599" s="26"/>
      <c r="BN599" s="26"/>
      <c r="BO599" s="26"/>
      <c r="BP599" s="26"/>
      <c r="BQ599" s="26"/>
      <c r="BR599" s="26"/>
      <c r="BS599" s="26"/>
      <c r="BT599" s="26"/>
      <c r="BU599" s="26"/>
      <c r="BV599" s="26"/>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26"/>
      <c r="CU599" s="26"/>
      <c r="CV599" s="26"/>
      <c r="CW599" s="26"/>
      <c r="CX599" s="26"/>
      <c r="CY599" s="26"/>
      <c r="CZ599" s="26"/>
      <c r="DA599" s="26"/>
      <c r="DB599" s="26"/>
      <c r="DC599" s="26"/>
      <c r="DD599" s="26"/>
      <c r="DE599" s="26"/>
      <c r="DF599" s="26"/>
      <c r="DG599" s="26"/>
      <c r="DH599" s="26"/>
      <c r="DI599" s="26"/>
      <c r="DJ599" s="26"/>
      <c r="DK599" s="26"/>
      <c r="DL599" s="26"/>
      <c r="DM599" s="26"/>
      <c r="DN599" s="26"/>
      <c r="DO599" s="26"/>
      <c r="DP599" s="26"/>
      <c r="DQ599" s="26"/>
      <c r="DR599" s="26"/>
      <c r="DS599" s="26"/>
      <c r="DT599" s="26"/>
      <c r="DU599" s="26"/>
      <c r="DV599" s="26"/>
      <c r="DW599" s="26"/>
      <c r="DX599" s="26"/>
      <c r="DY599" s="26"/>
      <c r="DZ599" s="26"/>
      <c r="EA599" s="26"/>
      <c r="EB599" s="26"/>
      <c r="EC599" s="26"/>
      <c r="ED599" s="26"/>
      <c r="EE599" s="26"/>
      <c r="EF599" s="26"/>
      <c r="EG599" s="26"/>
      <c r="EH599" s="26"/>
      <c r="EI599" s="26"/>
      <c r="EJ599" s="26"/>
      <c r="EK599" s="26"/>
      <c r="EL599" s="26"/>
      <c r="EM599" s="26"/>
      <c r="EN599" s="26"/>
      <c r="EO599" s="26"/>
      <c r="EP599" s="26"/>
      <c r="EQ599" s="26"/>
      <c r="ER599" s="26"/>
      <c r="ES599" s="26"/>
      <c r="ET599" s="26"/>
      <c r="EU599" s="26"/>
      <c r="EV599" s="26"/>
      <c r="EW599" s="26"/>
      <c r="EX599" s="26"/>
      <c r="EY599" s="26"/>
      <c r="EZ599" s="26"/>
      <c r="FA599" s="60"/>
      <c r="FB599" s="60"/>
      <c r="FC599" s="60"/>
      <c r="FD599" s="60"/>
      <c r="FE599" s="60"/>
      <c r="FF599" s="60"/>
      <c r="FG599" s="60"/>
      <c r="FH599" s="60"/>
      <c r="FI599" s="60"/>
      <c r="FJ599" s="60"/>
      <c r="FK599" s="60"/>
      <c r="FL599" s="60"/>
      <c r="FM599" s="60"/>
      <c r="FN599" s="60"/>
      <c r="FO599" s="60"/>
      <c r="FP599" s="60"/>
      <c r="FQ599" s="60"/>
      <c r="FR599" s="60"/>
      <c r="FS599" s="60"/>
      <c r="FT599" s="60"/>
      <c r="FU599" s="60"/>
      <c r="FV599" s="60"/>
      <c r="FW599" s="60"/>
      <c r="FX599" s="60"/>
    </row>
    <row r="600">
      <c r="A600" s="18"/>
      <c r="B600" s="14"/>
      <c r="C600" s="14"/>
      <c r="D600" s="14"/>
      <c r="E600" s="18"/>
      <c r="F600" s="18"/>
      <c r="G600" s="18"/>
      <c r="H600" s="18"/>
      <c r="I600" s="18"/>
      <c r="J600" s="18"/>
      <c r="K600" s="18"/>
      <c r="L600" s="18"/>
      <c r="M600" s="18"/>
      <c r="N600" s="18"/>
      <c r="O600" s="18"/>
      <c r="P600" s="23"/>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26"/>
      <c r="CU600" s="26"/>
      <c r="CV600" s="26"/>
      <c r="CW600" s="26"/>
      <c r="CX600" s="26"/>
      <c r="CY600" s="26"/>
      <c r="CZ600" s="26"/>
      <c r="DA600" s="26"/>
      <c r="DB600" s="26"/>
      <c r="DC600" s="26"/>
      <c r="DD600" s="26"/>
      <c r="DE600" s="26"/>
      <c r="DF600" s="26"/>
      <c r="DG600" s="26"/>
      <c r="DH600" s="26"/>
      <c r="DI600" s="26"/>
      <c r="DJ600" s="26"/>
      <c r="DK600" s="26"/>
      <c r="DL600" s="26"/>
      <c r="DM600" s="26"/>
      <c r="DN600" s="26"/>
      <c r="DO600" s="26"/>
      <c r="DP600" s="26"/>
      <c r="DQ600" s="26"/>
      <c r="DR600" s="26"/>
      <c r="DS600" s="26"/>
      <c r="DT600" s="26"/>
      <c r="DU600" s="26"/>
      <c r="DV600" s="26"/>
      <c r="DW600" s="26"/>
      <c r="DX600" s="26"/>
      <c r="DY600" s="26"/>
      <c r="DZ600" s="26"/>
      <c r="EA600" s="26"/>
      <c r="EB600" s="26"/>
      <c r="EC600" s="26"/>
      <c r="ED600" s="26"/>
      <c r="EE600" s="26"/>
      <c r="EF600" s="26"/>
      <c r="EG600" s="26"/>
      <c r="EH600" s="26"/>
      <c r="EI600" s="26"/>
      <c r="EJ600" s="26"/>
      <c r="EK600" s="26"/>
      <c r="EL600" s="26"/>
      <c r="EM600" s="26"/>
      <c r="EN600" s="26"/>
      <c r="EO600" s="26"/>
      <c r="EP600" s="26"/>
      <c r="EQ600" s="26"/>
      <c r="ER600" s="26"/>
      <c r="ES600" s="26"/>
      <c r="ET600" s="26"/>
      <c r="EU600" s="26"/>
      <c r="EV600" s="26"/>
      <c r="EW600" s="26"/>
      <c r="EX600" s="26"/>
      <c r="EY600" s="26"/>
      <c r="EZ600" s="26"/>
      <c r="FA600" s="60"/>
      <c r="FB600" s="60"/>
      <c r="FC600" s="60"/>
      <c r="FD600" s="60"/>
      <c r="FE600" s="60"/>
      <c r="FF600" s="60"/>
      <c r="FG600" s="60"/>
      <c r="FH600" s="60"/>
      <c r="FI600" s="60"/>
      <c r="FJ600" s="60"/>
      <c r="FK600" s="60"/>
      <c r="FL600" s="60"/>
      <c r="FM600" s="60"/>
      <c r="FN600" s="60"/>
      <c r="FO600" s="60"/>
      <c r="FP600" s="60"/>
      <c r="FQ600" s="60"/>
      <c r="FR600" s="60"/>
      <c r="FS600" s="60"/>
      <c r="FT600" s="60"/>
      <c r="FU600" s="60"/>
      <c r="FV600" s="60"/>
      <c r="FW600" s="60"/>
      <c r="FX600" s="60"/>
    </row>
    <row r="601">
      <c r="A601" s="18"/>
      <c r="B601" s="14"/>
      <c r="C601" s="14"/>
      <c r="D601" s="14"/>
      <c r="E601" s="18"/>
      <c r="F601" s="18"/>
      <c r="G601" s="18"/>
      <c r="H601" s="18"/>
      <c r="I601" s="18"/>
      <c r="J601" s="18"/>
      <c r="K601" s="18"/>
      <c r="L601" s="18"/>
      <c r="M601" s="18"/>
      <c r="N601" s="18"/>
      <c r="O601" s="18"/>
      <c r="P601" s="23"/>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6"/>
      <c r="BG601" s="26"/>
      <c r="BH601" s="26"/>
      <c r="BI601" s="26"/>
      <c r="BJ601" s="26"/>
      <c r="BK601" s="26"/>
      <c r="BL601" s="26"/>
      <c r="BM601" s="26"/>
      <c r="BN601" s="26"/>
      <c r="BO601" s="26"/>
      <c r="BP601" s="26"/>
      <c r="BQ601" s="26"/>
      <c r="BR601" s="26"/>
      <c r="BS601" s="26"/>
      <c r="BT601" s="26"/>
      <c r="BU601" s="26"/>
      <c r="BV601" s="26"/>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26"/>
      <c r="CU601" s="26"/>
      <c r="CV601" s="26"/>
      <c r="CW601" s="26"/>
      <c r="CX601" s="26"/>
      <c r="CY601" s="26"/>
      <c r="CZ601" s="26"/>
      <c r="DA601" s="26"/>
      <c r="DB601" s="26"/>
      <c r="DC601" s="26"/>
      <c r="DD601" s="26"/>
      <c r="DE601" s="26"/>
      <c r="DF601" s="26"/>
      <c r="DG601" s="26"/>
      <c r="DH601" s="26"/>
      <c r="DI601" s="26"/>
      <c r="DJ601" s="26"/>
      <c r="DK601" s="26"/>
      <c r="DL601" s="26"/>
      <c r="DM601" s="26"/>
      <c r="DN601" s="26"/>
      <c r="DO601" s="26"/>
      <c r="DP601" s="26"/>
      <c r="DQ601" s="26"/>
      <c r="DR601" s="26"/>
      <c r="DS601" s="26"/>
      <c r="DT601" s="26"/>
      <c r="DU601" s="26"/>
      <c r="DV601" s="26"/>
      <c r="DW601" s="26"/>
      <c r="DX601" s="26"/>
      <c r="DY601" s="26"/>
      <c r="DZ601" s="26"/>
      <c r="EA601" s="26"/>
      <c r="EB601" s="26"/>
      <c r="EC601" s="26"/>
      <c r="ED601" s="26"/>
      <c r="EE601" s="26"/>
      <c r="EF601" s="26"/>
      <c r="EG601" s="26"/>
      <c r="EH601" s="26"/>
      <c r="EI601" s="26"/>
      <c r="EJ601" s="26"/>
      <c r="EK601" s="26"/>
      <c r="EL601" s="26"/>
      <c r="EM601" s="26"/>
      <c r="EN601" s="26"/>
      <c r="EO601" s="26"/>
      <c r="EP601" s="26"/>
      <c r="EQ601" s="26"/>
      <c r="ER601" s="26"/>
      <c r="ES601" s="26"/>
      <c r="ET601" s="26"/>
      <c r="EU601" s="26"/>
      <c r="EV601" s="26"/>
      <c r="EW601" s="26"/>
      <c r="EX601" s="26"/>
      <c r="EY601" s="26"/>
      <c r="EZ601" s="26"/>
      <c r="FA601" s="60"/>
      <c r="FB601" s="60"/>
      <c r="FC601" s="60"/>
      <c r="FD601" s="60"/>
      <c r="FE601" s="60"/>
      <c r="FF601" s="60"/>
      <c r="FG601" s="60"/>
      <c r="FH601" s="60"/>
      <c r="FI601" s="60"/>
      <c r="FJ601" s="60"/>
      <c r="FK601" s="60"/>
      <c r="FL601" s="60"/>
      <c r="FM601" s="60"/>
      <c r="FN601" s="60"/>
      <c r="FO601" s="60"/>
      <c r="FP601" s="60"/>
      <c r="FQ601" s="60"/>
      <c r="FR601" s="60"/>
      <c r="FS601" s="60"/>
      <c r="FT601" s="60"/>
      <c r="FU601" s="60"/>
      <c r="FV601" s="60"/>
      <c r="FW601" s="60"/>
      <c r="FX601" s="60"/>
    </row>
    <row r="602">
      <c r="A602" s="18"/>
      <c r="B602" s="14"/>
      <c r="C602" s="14"/>
      <c r="D602" s="14"/>
      <c r="E602" s="18"/>
      <c r="F602" s="18"/>
      <c r="G602" s="18"/>
      <c r="H602" s="18"/>
      <c r="I602" s="18"/>
      <c r="J602" s="18"/>
      <c r="K602" s="18"/>
      <c r="L602" s="18"/>
      <c r="M602" s="18"/>
      <c r="N602" s="18"/>
      <c r="O602" s="18"/>
      <c r="P602" s="23"/>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c r="BO602" s="26"/>
      <c r="BP602" s="26"/>
      <c r="BQ602" s="26"/>
      <c r="BR602" s="26"/>
      <c r="BS602" s="26"/>
      <c r="BT602" s="26"/>
      <c r="BU602" s="26"/>
      <c r="BV602" s="26"/>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26"/>
      <c r="CU602" s="26"/>
      <c r="CV602" s="26"/>
      <c r="CW602" s="26"/>
      <c r="CX602" s="26"/>
      <c r="CY602" s="26"/>
      <c r="CZ602" s="26"/>
      <c r="DA602" s="26"/>
      <c r="DB602" s="26"/>
      <c r="DC602" s="26"/>
      <c r="DD602" s="26"/>
      <c r="DE602" s="26"/>
      <c r="DF602" s="26"/>
      <c r="DG602" s="26"/>
      <c r="DH602" s="26"/>
      <c r="DI602" s="26"/>
      <c r="DJ602" s="26"/>
      <c r="DK602" s="26"/>
      <c r="DL602" s="26"/>
      <c r="DM602" s="26"/>
      <c r="DN602" s="26"/>
      <c r="DO602" s="26"/>
      <c r="DP602" s="26"/>
      <c r="DQ602" s="26"/>
      <c r="DR602" s="26"/>
      <c r="DS602" s="26"/>
      <c r="DT602" s="26"/>
      <c r="DU602" s="26"/>
      <c r="DV602" s="26"/>
      <c r="DW602" s="26"/>
      <c r="DX602" s="26"/>
      <c r="DY602" s="26"/>
      <c r="DZ602" s="26"/>
      <c r="EA602" s="26"/>
      <c r="EB602" s="26"/>
      <c r="EC602" s="26"/>
      <c r="ED602" s="26"/>
      <c r="EE602" s="26"/>
      <c r="EF602" s="26"/>
      <c r="EG602" s="26"/>
      <c r="EH602" s="26"/>
      <c r="EI602" s="26"/>
      <c r="EJ602" s="26"/>
      <c r="EK602" s="26"/>
      <c r="EL602" s="26"/>
      <c r="EM602" s="26"/>
      <c r="EN602" s="26"/>
      <c r="EO602" s="26"/>
      <c r="EP602" s="26"/>
      <c r="EQ602" s="26"/>
      <c r="ER602" s="26"/>
      <c r="ES602" s="26"/>
      <c r="ET602" s="26"/>
      <c r="EU602" s="26"/>
      <c r="EV602" s="26"/>
      <c r="EW602" s="26"/>
      <c r="EX602" s="26"/>
      <c r="EY602" s="26"/>
      <c r="EZ602" s="26"/>
      <c r="FA602" s="60"/>
      <c r="FB602" s="60"/>
      <c r="FC602" s="60"/>
      <c r="FD602" s="60"/>
      <c r="FE602" s="60"/>
      <c r="FF602" s="60"/>
      <c r="FG602" s="60"/>
      <c r="FH602" s="60"/>
      <c r="FI602" s="60"/>
      <c r="FJ602" s="60"/>
      <c r="FK602" s="60"/>
      <c r="FL602" s="60"/>
      <c r="FM602" s="60"/>
      <c r="FN602" s="60"/>
      <c r="FO602" s="60"/>
      <c r="FP602" s="60"/>
      <c r="FQ602" s="60"/>
      <c r="FR602" s="60"/>
      <c r="FS602" s="60"/>
      <c r="FT602" s="60"/>
      <c r="FU602" s="60"/>
      <c r="FV602" s="60"/>
      <c r="FW602" s="60"/>
      <c r="FX602" s="60"/>
    </row>
    <row r="603">
      <c r="A603" s="18"/>
      <c r="B603" s="14"/>
      <c r="C603" s="14"/>
      <c r="D603" s="14"/>
      <c r="E603" s="18"/>
      <c r="F603" s="18"/>
      <c r="G603" s="18"/>
      <c r="H603" s="18"/>
      <c r="I603" s="18"/>
      <c r="J603" s="18"/>
      <c r="K603" s="18"/>
      <c r="L603" s="18"/>
      <c r="M603" s="18"/>
      <c r="N603" s="18"/>
      <c r="O603" s="18"/>
      <c r="P603" s="23"/>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6"/>
      <c r="BG603" s="26"/>
      <c r="BH603" s="26"/>
      <c r="BI603" s="26"/>
      <c r="BJ603" s="26"/>
      <c r="BK603" s="26"/>
      <c r="BL603" s="26"/>
      <c r="BM603" s="26"/>
      <c r="BN603" s="26"/>
      <c r="BO603" s="26"/>
      <c r="BP603" s="26"/>
      <c r="BQ603" s="26"/>
      <c r="BR603" s="26"/>
      <c r="BS603" s="26"/>
      <c r="BT603" s="26"/>
      <c r="BU603" s="26"/>
      <c r="BV603" s="26"/>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26"/>
      <c r="CU603" s="26"/>
      <c r="CV603" s="26"/>
      <c r="CW603" s="26"/>
      <c r="CX603" s="26"/>
      <c r="CY603" s="26"/>
      <c r="CZ603" s="26"/>
      <c r="DA603" s="26"/>
      <c r="DB603" s="26"/>
      <c r="DC603" s="26"/>
      <c r="DD603" s="26"/>
      <c r="DE603" s="26"/>
      <c r="DF603" s="26"/>
      <c r="DG603" s="26"/>
      <c r="DH603" s="26"/>
      <c r="DI603" s="26"/>
      <c r="DJ603" s="26"/>
      <c r="DK603" s="26"/>
      <c r="DL603" s="26"/>
      <c r="DM603" s="26"/>
      <c r="DN603" s="26"/>
      <c r="DO603" s="26"/>
      <c r="DP603" s="26"/>
      <c r="DQ603" s="26"/>
      <c r="DR603" s="26"/>
      <c r="DS603" s="26"/>
      <c r="DT603" s="26"/>
      <c r="DU603" s="26"/>
      <c r="DV603" s="26"/>
      <c r="DW603" s="26"/>
      <c r="DX603" s="26"/>
      <c r="DY603" s="26"/>
      <c r="DZ603" s="26"/>
      <c r="EA603" s="26"/>
      <c r="EB603" s="26"/>
      <c r="EC603" s="26"/>
      <c r="ED603" s="26"/>
      <c r="EE603" s="26"/>
      <c r="EF603" s="26"/>
      <c r="EG603" s="26"/>
      <c r="EH603" s="26"/>
      <c r="EI603" s="26"/>
      <c r="EJ603" s="26"/>
      <c r="EK603" s="26"/>
      <c r="EL603" s="26"/>
      <c r="EM603" s="26"/>
      <c r="EN603" s="26"/>
      <c r="EO603" s="26"/>
      <c r="EP603" s="26"/>
      <c r="EQ603" s="26"/>
      <c r="ER603" s="26"/>
      <c r="ES603" s="26"/>
      <c r="ET603" s="26"/>
      <c r="EU603" s="26"/>
      <c r="EV603" s="26"/>
      <c r="EW603" s="26"/>
      <c r="EX603" s="26"/>
      <c r="EY603" s="26"/>
      <c r="EZ603" s="26"/>
      <c r="FA603" s="60"/>
      <c r="FB603" s="60"/>
      <c r="FC603" s="60"/>
      <c r="FD603" s="60"/>
      <c r="FE603" s="60"/>
      <c r="FF603" s="60"/>
      <c r="FG603" s="60"/>
      <c r="FH603" s="60"/>
      <c r="FI603" s="60"/>
      <c r="FJ603" s="60"/>
      <c r="FK603" s="60"/>
      <c r="FL603" s="60"/>
      <c r="FM603" s="60"/>
      <c r="FN603" s="60"/>
      <c r="FO603" s="60"/>
      <c r="FP603" s="60"/>
      <c r="FQ603" s="60"/>
      <c r="FR603" s="60"/>
      <c r="FS603" s="60"/>
      <c r="FT603" s="60"/>
      <c r="FU603" s="60"/>
      <c r="FV603" s="60"/>
      <c r="FW603" s="60"/>
      <c r="FX603" s="60"/>
    </row>
    <row r="604">
      <c r="A604" s="18"/>
      <c r="B604" s="14"/>
      <c r="C604" s="14"/>
      <c r="D604" s="14"/>
      <c r="E604" s="18"/>
      <c r="F604" s="18"/>
      <c r="G604" s="18"/>
      <c r="H604" s="18"/>
      <c r="I604" s="18"/>
      <c r="J604" s="18"/>
      <c r="K604" s="18"/>
      <c r="L604" s="18"/>
      <c r="M604" s="18"/>
      <c r="N604" s="18"/>
      <c r="O604" s="18"/>
      <c r="P604" s="23"/>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6"/>
      <c r="BU604" s="26"/>
      <c r="BV604" s="26"/>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26"/>
      <c r="CU604" s="26"/>
      <c r="CV604" s="26"/>
      <c r="CW604" s="26"/>
      <c r="CX604" s="26"/>
      <c r="CY604" s="26"/>
      <c r="CZ604" s="26"/>
      <c r="DA604" s="26"/>
      <c r="DB604" s="26"/>
      <c r="DC604" s="26"/>
      <c r="DD604" s="26"/>
      <c r="DE604" s="26"/>
      <c r="DF604" s="26"/>
      <c r="DG604" s="26"/>
      <c r="DH604" s="26"/>
      <c r="DI604" s="26"/>
      <c r="DJ604" s="26"/>
      <c r="DK604" s="26"/>
      <c r="DL604" s="26"/>
      <c r="DM604" s="26"/>
      <c r="DN604" s="26"/>
      <c r="DO604" s="26"/>
      <c r="DP604" s="26"/>
      <c r="DQ604" s="26"/>
      <c r="DR604" s="26"/>
      <c r="DS604" s="26"/>
      <c r="DT604" s="26"/>
      <c r="DU604" s="26"/>
      <c r="DV604" s="26"/>
      <c r="DW604" s="26"/>
      <c r="DX604" s="26"/>
      <c r="DY604" s="26"/>
      <c r="DZ604" s="26"/>
      <c r="EA604" s="26"/>
      <c r="EB604" s="26"/>
      <c r="EC604" s="26"/>
      <c r="ED604" s="26"/>
      <c r="EE604" s="26"/>
      <c r="EF604" s="26"/>
      <c r="EG604" s="26"/>
      <c r="EH604" s="26"/>
      <c r="EI604" s="26"/>
      <c r="EJ604" s="26"/>
      <c r="EK604" s="26"/>
      <c r="EL604" s="26"/>
      <c r="EM604" s="26"/>
      <c r="EN604" s="26"/>
      <c r="EO604" s="26"/>
      <c r="EP604" s="26"/>
      <c r="EQ604" s="26"/>
      <c r="ER604" s="26"/>
      <c r="ES604" s="26"/>
      <c r="ET604" s="26"/>
      <c r="EU604" s="26"/>
      <c r="EV604" s="26"/>
      <c r="EW604" s="26"/>
      <c r="EX604" s="26"/>
      <c r="EY604" s="26"/>
      <c r="EZ604" s="26"/>
      <c r="FA604" s="60"/>
      <c r="FB604" s="60"/>
      <c r="FC604" s="60"/>
      <c r="FD604" s="60"/>
      <c r="FE604" s="60"/>
      <c r="FF604" s="60"/>
      <c r="FG604" s="60"/>
      <c r="FH604" s="60"/>
      <c r="FI604" s="60"/>
      <c r="FJ604" s="60"/>
      <c r="FK604" s="60"/>
      <c r="FL604" s="60"/>
      <c r="FM604" s="60"/>
      <c r="FN604" s="60"/>
      <c r="FO604" s="60"/>
      <c r="FP604" s="60"/>
      <c r="FQ604" s="60"/>
      <c r="FR604" s="60"/>
      <c r="FS604" s="60"/>
      <c r="FT604" s="60"/>
      <c r="FU604" s="60"/>
      <c r="FV604" s="60"/>
      <c r="FW604" s="60"/>
      <c r="FX604" s="60"/>
    </row>
    <row r="605">
      <c r="A605" s="18"/>
      <c r="B605" s="14"/>
      <c r="C605" s="14"/>
      <c r="D605" s="14"/>
      <c r="E605" s="18"/>
      <c r="F605" s="18"/>
      <c r="G605" s="18"/>
      <c r="H605" s="18"/>
      <c r="I605" s="18"/>
      <c r="J605" s="18"/>
      <c r="K605" s="18"/>
      <c r="L605" s="18"/>
      <c r="M605" s="18"/>
      <c r="N605" s="18"/>
      <c r="O605" s="18"/>
      <c r="P605" s="23"/>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6"/>
      <c r="BG605" s="26"/>
      <c r="BH605" s="26"/>
      <c r="BI605" s="26"/>
      <c r="BJ605" s="26"/>
      <c r="BK605" s="26"/>
      <c r="BL605" s="26"/>
      <c r="BM605" s="26"/>
      <c r="BN605" s="26"/>
      <c r="BO605" s="26"/>
      <c r="BP605" s="26"/>
      <c r="BQ605" s="26"/>
      <c r="BR605" s="26"/>
      <c r="BS605" s="26"/>
      <c r="BT605" s="26"/>
      <c r="BU605" s="26"/>
      <c r="BV605" s="26"/>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26"/>
      <c r="CU605" s="26"/>
      <c r="CV605" s="26"/>
      <c r="CW605" s="26"/>
      <c r="CX605" s="26"/>
      <c r="CY605" s="26"/>
      <c r="CZ605" s="26"/>
      <c r="DA605" s="26"/>
      <c r="DB605" s="26"/>
      <c r="DC605" s="26"/>
      <c r="DD605" s="26"/>
      <c r="DE605" s="26"/>
      <c r="DF605" s="26"/>
      <c r="DG605" s="26"/>
      <c r="DH605" s="26"/>
      <c r="DI605" s="26"/>
      <c r="DJ605" s="26"/>
      <c r="DK605" s="26"/>
      <c r="DL605" s="26"/>
      <c r="DM605" s="26"/>
      <c r="DN605" s="26"/>
      <c r="DO605" s="26"/>
      <c r="DP605" s="26"/>
      <c r="DQ605" s="26"/>
      <c r="DR605" s="26"/>
      <c r="DS605" s="26"/>
      <c r="DT605" s="26"/>
      <c r="DU605" s="26"/>
      <c r="DV605" s="26"/>
      <c r="DW605" s="26"/>
      <c r="DX605" s="26"/>
      <c r="DY605" s="26"/>
      <c r="DZ605" s="26"/>
      <c r="EA605" s="26"/>
      <c r="EB605" s="26"/>
      <c r="EC605" s="26"/>
      <c r="ED605" s="26"/>
      <c r="EE605" s="26"/>
      <c r="EF605" s="26"/>
      <c r="EG605" s="26"/>
      <c r="EH605" s="26"/>
      <c r="EI605" s="26"/>
      <c r="EJ605" s="26"/>
      <c r="EK605" s="26"/>
      <c r="EL605" s="26"/>
      <c r="EM605" s="26"/>
      <c r="EN605" s="26"/>
      <c r="EO605" s="26"/>
      <c r="EP605" s="26"/>
      <c r="EQ605" s="26"/>
      <c r="ER605" s="26"/>
      <c r="ES605" s="26"/>
      <c r="ET605" s="26"/>
      <c r="EU605" s="26"/>
      <c r="EV605" s="26"/>
      <c r="EW605" s="26"/>
      <c r="EX605" s="26"/>
      <c r="EY605" s="26"/>
      <c r="EZ605" s="26"/>
      <c r="FA605" s="60"/>
      <c r="FB605" s="60"/>
      <c r="FC605" s="60"/>
      <c r="FD605" s="60"/>
      <c r="FE605" s="60"/>
      <c r="FF605" s="60"/>
      <c r="FG605" s="60"/>
      <c r="FH605" s="60"/>
      <c r="FI605" s="60"/>
      <c r="FJ605" s="60"/>
      <c r="FK605" s="60"/>
      <c r="FL605" s="60"/>
      <c r="FM605" s="60"/>
      <c r="FN605" s="60"/>
      <c r="FO605" s="60"/>
      <c r="FP605" s="60"/>
      <c r="FQ605" s="60"/>
      <c r="FR605" s="60"/>
      <c r="FS605" s="60"/>
      <c r="FT605" s="60"/>
      <c r="FU605" s="60"/>
      <c r="FV605" s="60"/>
      <c r="FW605" s="60"/>
      <c r="FX605" s="60"/>
    </row>
    <row r="606">
      <c r="A606" s="18"/>
      <c r="B606" s="14"/>
      <c r="C606" s="14"/>
      <c r="D606" s="14"/>
      <c r="E606" s="18"/>
      <c r="F606" s="18"/>
      <c r="G606" s="18"/>
      <c r="H606" s="18"/>
      <c r="I606" s="18"/>
      <c r="J606" s="18"/>
      <c r="K606" s="18"/>
      <c r="L606" s="18"/>
      <c r="M606" s="18"/>
      <c r="N606" s="18"/>
      <c r="O606" s="18"/>
      <c r="P606" s="23"/>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c r="BO606" s="26"/>
      <c r="BP606" s="26"/>
      <c r="BQ606" s="26"/>
      <c r="BR606" s="26"/>
      <c r="BS606" s="26"/>
      <c r="BT606" s="26"/>
      <c r="BU606" s="26"/>
      <c r="BV606" s="26"/>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26"/>
      <c r="CU606" s="26"/>
      <c r="CV606" s="26"/>
      <c r="CW606" s="26"/>
      <c r="CX606" s="26"/>
      <c r="CY606" s="26"/>
      <c r="CZ606" s="26"/>
      <c r="DA606" s="26"/>
      <c r="DB606" s="26"/>
      <c r="DC606" s="26"/>
      <c r="DD606" s="26"/>
      <c r="DE606" s="26"/>
      <c r="DF606" s="26"/>
      <c r="DG606" s="26"/>
      <c r="DH606" s="26"/>
      <c r="DI606" s="26"/>
      <c r="DJ606" s="26"/>
      <c r="DK606" s="26"/>
      <c r="DL606" s="26"/>
      <c r="DM606" s="26"/>
      <c r="DN606" s="26"/>
      <c r="DO606" s="26"/>
      <c r="DP606" s="26"/>
      <c r="DQ606" s="26"/>
      <c r="DR606" s="26"/>
      <c r="DS606" s="26"/>
      <c r="DT606" s="26"/>
      <c r="DU606" s="26"/>
      <c r="DV606" s="26"/>
      <c r="DW606" s="26"/>
      <c r="DX606" s="26"/>
      <c r="DY606" s="26"/>
      <c r="DZ606" s="26"/>
      <c r="EA606" s="26"/>
      <c r="EB606" s="26"/>
      <c r="EC606" s="26"/>
      <c r="ED606" s="26"/>
      <c r="EE606" s="26"/>
      <c r="EF606" s="26"/>
      <c r="EG606" s="26"/>
      <c r="EH606" s="26"/>
      <c r="EI606" s="26"/>
      <c r="EJ606" s="26"/>
      <c r="EK606" s="26"/>
      <c r="EL606" s="26"/>
      <c r="EM606" s="26"/>
      <c r="EN606" s="26"/>
      <c r="EO606" s="26"/>
      <c r="EP606" s="26"/>
      <c r="EQ606" s="26"/>
      <c r="ER606" s="26"/>
      <c r="ES606" s="26"/>
      <c r="ET606" s="26"/>
      <c r="EU606" s="26"/>
      <c r="EV606" s="26"/>
      <c r="EW606" s="26"/>
      <c r="EX606" s="26"/>
      <c r="EY606" s="26"/>
      <c r="EZ606" s="26"/>
      <c r="FA606" s="60"/>
      <c r="FB606" s="60"/>
      <c r="FC606" s="60"/>
      <c r="FD606" s="60"/>
      <c r="FE606" s="60"/>
      <c r="FF606" s="60"/>
      <c r="FG606" s="60"/>
      <c r="FH606" s="60"/>
      <c r="FI606" s="60"/>
      <c r="FJ606" s="60"/>
      <c r="FK606" s="60"/>
      <c r="FL606" s="60"/>
      <c r="FM606" s="60"/>
      <c r="FN606" s="60"/>
      <c r="FO606" s="60"/>
      <c r="FP606" s="60"/>
      <c r="FQ606" s="60"/>
      <c r="FR606" s="60"/>
      <c r="FS606" s="60"/>
      <c r="FT606" s="60"/>
      <c r="FU606" s="60"/>
      <c r="FV606" s="60"/>
      <c r="FW606" s="60"/>
      <c r="FX606" s="60"/>
    </row>
    <row r="607">
      <c r="A607" s="18"/>
      <c r="B607" s="14"/>
      <c r="C607" s="14"/>
      <c r="D607" s="14"/>
      <c r="E607" s="18"/>
      <c r="F607" s="18"/>
      <c r="G607" s="18"/>
      <c r="H607" s="18"/>
      <c r="I607" s="18"/>
      <c r="J607" s="18"/>
      <c r="K607" s="18"/>
      <c r="L607" s="18"/>
      <c r="M607" s="18"/>
      <c r="N607" s="18"/>
      <c r="O607" s="18"/>
      <c r="P607" s="23"/>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c r="BM607" s="26"/>
      <c r="BN607" s="26"/>
      <c r="BO607" s="26"/>
      <c r="BP607" s="26"/>
      <c r="BQ607" s="26"/>
      <c r="BR607" s="26"/>
      <c r="BS607" s="26"/>
      <c r="BT607" s="26"/>
      <c r="BU607" s="26"/>
      <c r="BV607" s="26"/>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26"/>
      <c r="CU607" s="26"/>
      <c r="CV607" s="26"/>
      <c r="CW607" s="26"/>
      <c r="CX607" s="26"/>
      <c r="CY607" s="26"/>
      <c r="CZ607" s="26"/>
      <c r="DA607" s="26"/>
      <c r="DB607" s="26"/>
      <c r="DC607" s="26"/>
      <c r="DD607" s="26"/>
      <c r="DE607" s="26"/>
      <c r="DF607" s="26"/>
      <c r="DG607" s="26"/>
      <c r="DH607" s="26"/>
      <c r="DI607" s="26"/>
      <c r="DJ607" s="26"/>
      <c r="DK607" s="26"/>
      <c r="DL607" s="26"/>
      <c r="DM607" s="26"/>
      <c r="DN607" s="26"/>
      <c r="DO607" s="26"/>
      <c r="DP607" s="26"/>
      <c r="DQ607" s="26"/>
      <c r="DR607" s="26"/>
      <c r="DS607" s="26"/>
      <c r="DT607" s="26"/>
      <c r="DU607" s="26"/>
      <c r="DV607" s="26"/>
      <c r="DW607" s="26"/>
      <c r="DX607" s="26"/>
      <c r="DY607" s="26"/>
      <c r="DZ607" s="26"/>
      <c r="EA607" s="26"/>
      <c r="EB607" s="26"/>
      <c r="EC607" s="26"/>
      <c r="ED607" s="26"/>
      <c r="EE607" s="26"/>
      <c r="EF607" s="26"/>
      <c r="EG607" s="26"/>
      <c r="EH607" s="26"/>
      <c r="EI607" s="26"/>
      <c r="EJ607" s="26"/>
      <c r="EK607" s="26"/>
      <c r="EL607" s="26"/>
      <c r="EM607" s="26"/>
      <c r="EN607" s="26"/>
      <c r="EO607" s="26"/>
      <c r="EP607" s="26"/>
      <c r="EQ607" s="26"/>
      <c r="ER607" s="26"/>
      <c r="ES607" s="26"/>
      <c r="ET607" s="26"/>
      <c r="EU607" s="26"/>
      <c r="EV607" s="26"/>
      <c r="EW607" s="26"/>
      <c r="EX607" s="26"/>
      <c r="EY607" s="26"/>
      <c r="EZ607" s="26"/>
      <c r="FA607" s="60"/>
      <c r="FB607" s="60"/>
      <c r="FC607" s="60"/>
      <c r="FD607" s="60"/>
      <c r="FE607" s="60"/>
      <c r="FF607" s="60"/>
      <c r="FG607" s="60"/>
      <c r="FH607" s="60"/>
      <c r="FI607" s="60"/>
      <c r="FJ607" s="60"/>
      <c r="FK607" s="60"/>
      <c r="FL607" s="60"/>
      <c r="FM607" s="60"/>
      <c r="FN607" s="60"/>
      <c r="FO607" s="60"/>
      <c r="FP607" s="60"/>
      <c r="FQ607" s="60"/>
      <c r="FR607" s="60"/>
      <c r="FS607" s="60"/>
      <c r="FT607" s="60"/>
      <c r="FU607" s="60"/>
      <c r="FV607" s="60"/>
      <c r="FW607" s="60"/>
      <c r="FX607" s="60"/>
    </row>
    <row r="608">
      <c r="A608" s="18"/>
      <c r="B608" s="14"/>
      <c r="C608" s="14"/>
      <c r="D608" s="14"/>
      <c r="E608" s="18"/>
      <c r="F608" s="18"/>
      <c r="G608" s="18"/>
      <c r="H608" s="18"/>
      <c r="I608" s="18"/>
      <c r="J608" s="18"/>
      <c r="K608" s="18"/>
      <c r="L608" s="18"/>
      <c r="M608" s="18"/>
      <c r="N608" s="18"/>
      <c r="O608" s="18"/>
      <c r="P608" s="23"/>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6"/>
      <c r="BS608" s="26"/>
      <c r="BT608" s="26"/>
      <c r="BU608" s="26"/>
      <c r="BV608" s="26"/>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26"/>
      <c r="CU608" s="26"/>
      <c r="CV608" s="26"/>
      <c r="CW608" s="26"/>
      <c r="CX608" s="26"/>
      <c r="CY608" s="26"/>
      <c r="CZ608" s="26"/>
      <c r="DA608" s="26"/>
      <c r="DB608" s="26"/>
      <c r="DC608" s="26"/>
      <c r="DD608" s="26"/>
      <c r="DE608" s="26"/>
      <c r="DF608" s="26"/>
      <c r="DG608" s="26"/>
      <c r="DH608" s="26"/>
      <c r="DI608" s="26"/>
      <c r="DJ608" s="26"/>
      <c r="DK608" s="26"/>
      <c r="DL608" s="26"/>
      <c r="DM608" s="26"/>
      <c r="DN608" s="26"/>
      <c r="DO608" s="26"/>
      <c r="DP608" s="26"/>
      <c r="DQ608" s="26"/>
      <c r="DR608" s="26"/>
      <c r="DS608" s="26"/>
      <c r="DT608" s="26"/>
      <c r="DU608" s="26"/>
      <c r="DV608" s="26"/>
      <c r="DW608" s="26"/>
      <c r="DX608" s="26"/>
      <c r="DY608" s="26"/>
      <c r="DZ608" s="26"/>
      <c r="EA608" s="26"/>
      <c r="EB608" s="26"/>
      <c r="EC608" s="26"/>
      <c r="ED608" s="26"/>
      <c r="EE608" s="26"/>
      <c r="EF608" s="26"/>
      <c r="EG608" s="26"/>
      <c r="EH608" s="26"/>
      <c r="EI608" s="26"/>
      <c r="EJ608" s="26"/>
      <c r="EK608" s="26"/>
      <c r="EL608" s="26"/>
      <c r="EM608" s="26"/>
      <c r="EN608" s="26"/>
      <c r="EO608" s="26"/>
      <c r="EP608" s="26"/>
      <c r="EQ608" s="26"/>
      <c r="ER608" s="26"/>
      <c r="ES608" s="26"/>
      <c r="ET608" s="26"/>
      <c r="EU608" s="26"/>
      <c r="EV608" s="26"/>
      <c r="EW608" s="26"/>
      <c r="EX608" s="26"/>
      <c r="EY608" s="26"/>
      <c r="EZ608" s="26"/>
      <c r="FA608" s="60"/>
      <c r="FB608" s="60"/>
      <c r="FC608" s="60"/>
      <c r="FD608" s="60"/>
      <c r="FE608" s="60"/>
      <c r="FF608" s="60"/>
      <c r="FG608" s="60"/>
      <c r="FH608" s="60"/>
      <c r="FI608" s="60"/>
      <c r="FJ608" s="60"/>
      <c r="FK608" s="60"/>
      <c r="FL608" s="60"/>
      <c r="FM608" s="60"/>
      <c r="FN608" s="60"/>
      <c r="FO608" s="60"/>
      <c r="FP608" s="60"/>
      <c r="FQ608" s="60"/>
      <c r="FR608" s="60"/>
      <c r="FS608" s="60"/>
      <c r="FT608" s="60"/>
      <c r="FU608" s="60"/>
      <c r="FV608" s="60"/>
      <c r="FW608" s="60"/>
      <c r="FX608" s="60"/>
    </row>
    <row r="609">
      <c r="A609" s="18"/>
      <c r="B609" s="14"/>
      <c r="C609" s="14"/>
      <c r="D609" s="14"/>
      <c r="E609" s="18"/>
      <c r="F609" s="18"/>
      <c r="G609" s="18"/>
      <c r="H609" s="18"/>
      <c r="I609" s="18"/>
      <c r="J609" s="18"/>
      <c r="K609" s="18"/>
      <c r="L609" s="18"/>
      <c r="M609" s="18"/>
      <c r="N609" s="18"/>
      <c r="O609" s="18"/>
      <c r="P609" s="23"/>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c r="BM609" s="26"/>
      <c r="BN609" s="26"/>
      <c r="BO609" s="26"/>
      <c r="BP609" s="26"/>
      <c r="BQ609" s="26"/>
      <c r="BR609" s="26"/>
      <c r="BS609" s="26"/>
      <c r="BT609" s="26"/>
      <c r="BU609" s="26"/>
      <c r="BV609" s="26"/>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26"/>
      <c r="CU609" s="26"/>
      <c r="CV609" s="26"/>
      <c r="CW609" s="26"/>
      <c r="CX609" s="26"/>
      <c r="CY609" s="26"/>
      <c r="CZ609" s="26"/>
      <c r="DA609" s="26"/>
      <c r="DB609" s="26"/>
      <c r="DC609" s="26"/>
      <c r="DD609" s="26"/>
      <c r="DE609" s="26"/>
      <c r="DF609" s="26"/>
      <c r="DG609" s="26"/>
      <c r="DH609" s="26"/>
      <c r="DI609" s="26"/>
      <c r="DJ609" s="26"/>
      <c r="DK609" s="26"/>
      <c r="DL609" s="26"/>
      <c r="DM609" s="26"/>
      <c r="DN609" s="26"/>
      <c r="DO609" s="26"/>
      <c r="DP609" s="26"/>
      <c r="DQ609" s="26"/>
      <c r="DR609" s="26"/>
      <c r="DS609" s="26"/>
      <c r="DT609" s="26"/>
      <c r="DU609" s="26"/>
      <c r="DV609" s="26"/>
      <c r="DW609" s="26"/>
      <c r="DX609" s="26"/>
      <c r="DY609" s="26"/>
      <c r="DZ609" s="26"/>
      <c r="EA609" s="26"/>
      <c r="EB609" s="26"/>
      <c r="EC609" s="26"/>
      <c r="ED609" s="26"/>
      <c r="EE609" s="26"/>
      <c r="EF609" s="26"/>
      <c r="EG609" s="26"/>
      <c r="EH609" s="26"/>
      <c r="EI609" s="26"/>
      <c r="EJ609" s="26"/>
      <c r="EK609" s="26"/>
      <c r="EL609" s="26"/>
      <c r="EM609" s="26"/>
      <c r="EN609" s="26"/>
      <c r="EO609" s="26"/>
      <c r="EP609" s="26"/>
      <c r="EQ609" s="26"/>
      <c r="ER609" s="26"/>
      <c r="ES609" s="26"/>
      <c r="ET609" s="26"/>
      <c r="EU609" s="26"/>
      <c r="EV609" s="26"/>
      <c r="EW609" s="26"/>
      <c r="EX609" s="26"/>
      <c r="EY609" s="26"/>
      <c r="EZ609" s="26"/>
      <c r="FA609" s="60"/>
      <c r="FB609" s="60"/>
      <c r="FC609" s="60"/>
      <c r="FD609" s="60"/>
      <c r="FE609" s="60"/>
      <c r="FF609" s="60"/>
      <c r="FG609" s="60"/>
      <c r="FH609" s="60"/>
      <c r="FI609" s="60"/>
      <c r="FJ609" s="60"/>
      <c r="FK609" s="60"/>
      <c r="FL609" s="60"/>
      <c r="FM609" s="60"/>
      <c r="FN609" s="60"/>
      <c r="FO609" s="60"/>
      <c r="FP609" s="60"/>
      <c r="FQ609" s="60"/>
      <c r="FR609" s="60"/>
      <c r="FS609" s="60"/>
      <c r="FT609" s="60"/>
      <c r="FU609" s="60"/>
      <c r="FV609" s="60"/>
      <c r="FW609" s="60"/>
      <c r="FX609" s="60"/>
    </row>
    <row r="610">
      <c r="A610" s="18"/>
      <c r="B610" s="14"/>
      <c r="C610" s="14"/>
      <c r="D610" s="14"/>
      <c r="E610" s="18"/>
      <c r="F610" s="18"/>
      <c r="G610" s="18"/>
      <c r="H610" s="18"/>
      <c r="I610" s="18"/>
      <c r="J610" s="18"/>
      <c r="K610" s="18"/>
      <c r="L610" s="18"/>
      <c r="M610" s="18"/>
      <c r="N610" s="18"/>
      <c r="O610" s="18"/>
      <c r="P610" s="23"/>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c r="BO610" s="26"/>
      <c r="BP610" s="26"/>
      <c r="BQ610" s="26"/>
      <c r="BR610" s="26"/>
      <c r="BS610" s="26"/>
      <c r="BT610" s="26"/>
      <c r="BU610" s="26"/>
      <c r="BV610" s="26"/>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26"/>
      <c r="CU610" s="26"/>
      <c r="CV610" s="26"/>
      <c r="CW610" s="26"/>
      <c r="CX610" s="26"/>
      <c r="CY610" s="26"/>
      <c r="CZ610" s="26"/>
      <c r="DA610" s="26"/>
      <c r="DB610" s="26"/>
      <c r="DC610" s="26"/>
      <c r="DD610" s="26"/>
      <c r="DE610" s="26"/>
      <c r="DF610" s="26"/>
      <c r="DG610" s="26"/>
      <c r="DH610" s="26"/>
      <c r="DI610" s="26"/>
      <c r="DJ610" s="26"/>
      <c r="DK610" s="26"/>
      <c r="DL610" s="26"/>
      <c r="DM610" s="26"/>
      <c r="DN610" s="26"/>
      <c r="DO610" s="26"/>
      <c r="DP610" s="26"/>
      <c r="DQ610" s="26"/>
      <c r="DR610" s="26"/>
      <c r="DS610" s="26"/>
      <c r="DT610" s="26"/>
      <c r="DU610" s="26"/>
      <c r="DV610" s="26"/>
      <c r="DW610" s="26"/>
      <c r="DX610" s="26"/>
      <c r="DY610" s="26"/>
      <c r="DZ610" s="26"/>
      <c r="EA610" s="26"/>
      <c r="EB610" s="26"/>
      <c r="EC610" s="26"/>
      <c r="ED610" s="26"/>
      <c r="EE610" s="26"/>
      <c r="EF610" s="26"/>
      <c r="EG610" s="26"/>
      <c r="EH610" s="26"/>
      <c r="EI610" s="26"/>
      <c r="EJ610" s="26"/>
      <c r="EK610" s="26"/>
      <c r="EL610" s="26"/>
      <c r="EM610" s="26"/>
      <c r="EN610" s="26"/>
      <c r="EO610" s="26"/>
      <c r="EP610" s="26"/>
      <c r="EQ610" s="26"/>
      <c r="ER610" s="26"/>
      <c r="ES610" s="26"/>
      <c r="ET610" s="26"/>
      <c r="EU610" s="26"/>
      <c r="EV610" s="26"/>
      <c r="EW610" s="26"/>
      <c r="EX610" s="26"/>
      <c r="EY610" s="26"/>
      <c r="EZ610" s="26"/>
      <c r="FA610" s="60"/>
      <c r="FB610" s="60"/>
      <c r="FC610" s="60"/>
      <c r="FD610" s="60"/>
      <c r="FE610" s="60"/>
      <c r="FF610" s="60"/>
      <c r="FG610" s="60"/>
      <c r="FH610" s="60"/>
      <c r="FI610" s="60"/>
      <c r="FJ610" s="60"/>
      <c r="FK610" s="60"/>
      <c r="FL610" s="60"/>
      <c r="FM610" s="60"/>
      <c r="FN610" s="60"/>
      <c r="FO610" s="60"/>
      <c r="FP610" s="60"/>
      <c r="FQ610" s="60"/>
      <c r="FR610" s="60"/>
      <c r="FS610" s="60"/>
      <c r="FT610" s="60"/>
      <c r="FU610" s="60"/>
      <c r="FV610" s="60"/>
      <c r="FW610" s="60"/>
      <c r="FX610" s="60"/>
    </row>
    <row r="611">
      <c r="A611" s="18"/>
      <c r="B611" s="14"/>
      <c r="C611" s="14"/>
      <c r="D611" s="14"/>
      <c r="E611" s="18"/>
      <c r="F611" s="18"/>
      <c r="G611" s="18"/>
      <c r="H611" s="18"/>
      <c r="I611" s="18"/>
      <c r="J611" s="18"/>
      <c r="K611" s="18"/>
      <c r="L611" s="18"/>
      <c r="M611" s="18"/>
      <c r="N611" s="18"/>
      <c r="O611" s="18"/>
      <c r="P611" s="23"/>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6"/>
      <c r="BG611" s="26"/>
      <c r="BH611" s="26"/>
      <c r="BI611" s="26"/>
      <c r="BJ611" s="26"/>
      <c r="BK611" s="26"/>
      <c r="BL611" s="26"/>
      <c r="BM611" s="26"/>
      <c r="BN611" s="26"/>
      <c r="BO611" s="26"/>
      <c r="BP611" s="26"/>
      <c r="BQ611" s="26"/>
      <c r="BR611" s="26"/>
      <c r="BS611" s="26"/>
      <c r="BT611" s="26"/>
      <c r="BU611" s="26"/>
      <c r="BV611" s="26"/>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26"/>
      <c r="CU611" s="26"/>
      <c r="CV611" s="26"/>
      <c r="CW611" s="26"/>
      <c r="CX611" s="26"/>
      <c r="CY611" s="26"/>
      <c r="CZ611" s="26"/>
      <c r="DA611" s="26"/>
      <c r="DB611" s="26"/>
      <c r="DC611" s="26"/>
      <c r="DD611" s="26"/>
      <c r="DE611" s="26"/>
      <c r="DF611" s="26"/>
      <c r="DG611" s="26"/>
      <c r="DH611" s="26"/>
      <c r="DI611" s="26"/>
      <c r="DJ611" s="26"/>
      <c r="DK611" s="26"/>
      <c r="DL611" s="26"/>
      <c r="DM611" s="26"/>
      <c r="DN611" s="26"/>
      <c r="DO611" s="26"/>
      <c r="DP611" s="26"/>
      <c r="DQ611" s="26"/>
      <c r="DR611" s="26"/>
      <c r="DS611" s="26"/>
      <c r="DT611" s="26"/>
      <c r="DU611" s="26"/>
      <c r="DV611" s="26"/>
      <c r="DW611" s="26"/>
      <c r="DX611" s="26"/>
      <c r="DY611" s="26"/>
      <c r="DZ611" s="26"/>
      <c r="EA611" s="26"/>
      <c r="EB611" s="26"/>
      <c r="EC611" s="26"/>
      <c r="ED611" s="26"/>
      <c r="EE611" s="26"/>
      <c r="EF611" s="26"/>
      <c r="EG611" s="26"/>
      <c r="EH611" s="26"/>
      <c r="EI611" s="26"/>
      <c r="EJ611" s="26"/>
      <c r="EK611" s="26"/>
      <c r="EL611" s="26"/>
      <c r="EM611" s="26"/>
      <c r="EN611" s="26"/>
      <c r="EO611" s="26"/>
      <c r="EP611" s="26"/>
      <c r="EQ611" s="26"/>
      <c r="ER611" s="26"/>
      <c r="ES611" s="26"/>
      <c r="ET611" s="26"/>
      <c r="EU611" s="26"/>
      <c r="EV611" s="26"/>
      <c r="EW611" s="26"/>
      <c r="EX611" s="26"/>
      <c r="EY611" s="26"/>
      <c r="EZ611" s="26"/>
      <c r="FA611" s="60"/>
      <c r="FB611" s="60"/>
      <c r="FC611" s="60"/>
      <c r="FD611" s="60"/>
      <c r="FE611" s="60"/>
      <c r="FF611" s="60"/>
      <c r="FG611" s="60"/>
      <c r="FH611" s="60"/>
      <c r="FI611" s="60"/>
      <c r="FJ611" s="60"/>
      <c r="FK611" s="60"/>
      <c r="FL611" s="60"/>
      <c r="FM611" s="60"/>
      <c r="FN611" s="60"/>
      <c r="FO611" s="60"/>
      <c r="FP611" s="60"/>
      <c r="FQ611" s="60"/>
      <c r="FR611" s="60"/>
      <c r="FS611" s="60"/>
      <c r="FT611" s="60"/>
      <c r="FU611" s="60"/>
      <c r="FV611" s="60"/>
      <c r="FW611" s="60"/>
      <c r="FX611" s="60"/>
    </row>
    <row r="612">
      <c r="A612" s="18"/>
      <c r="B612" s="14"/>
      <c r="C612" s="14"/>
      <c r="D612" s="14"/>
      <c r="E612" s="18"/>
      <c r="F612" s="18"/>
      <c r="G612" s="18"/>
      <c r="H612" s="18"/>
      <c r="I612" s="18"/>
      <c r="J612" s="18"/>
      <c r="K612" s="18"/>
      <c r="L612" s="18"/>
      <c r="M612" s="18"/>
      <c r="N612" s="18"/>
      <c r="O612" s="18"/>
      <c r="P612" s="23"/>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c r="BO612" s="26"/>
      <c r="BP612" s="26"/>
      <c r="BQ612" s="26"/>
      <c r="BR612" s="26"/>
      <c r="BS612" s="26"/>
      <c r="BT612" s="26"/>
      <c r="BU612" s="26"/>
      <c r="BV612" s="26"/>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26"/>
      <c r="CU612" s="26"/>
      <c r="CV612" s="26"/>
      <c r="CW612" s="26"/>
      <c r="CX612" s="26"/>
      <c r="CY612" s="26"/>
      <c r="CZ612" s="26"/>
      <c r="DA612" s="26"/>
      <c r="DB612" s="26"/>
      <c r="DC612" s="26"/>
      <c r="DD612" s="26"/>
      <c r="DE612" s="26"/>
      <c r="DF612" s="26"/>
      <c r="DG612" s="26"/>
      <c r="DH612" s="26"/>
      <c r="DI612" s="26"/>
      <c r="DJ612" s="26"/>
      <c r="DK612" s="26"/>
      <c r="DL612" s="26"/>
      <c r="DM612" s="26"/>
      <c r="DN612" s="26"/>
      <c r="DO612" s="26"/>
      <c r="DP612" s="26"/>
      <c r="DQ612" s="26"/>
      <c r="DR612" s="26"/>
      <c r="DS612" s="26"/>
      <c r="DT612" s="26"/>
      <c r="DU612" s="26"/>
      <c r="DV612" s="26"/>
      <c r="DW612" s="26"/>
      <c r="DX612" s="26"/>
      <c r="DY612" s="26"/>
      <c r="DZ612" s="26"/>
      <c r="EA612" s="26"/>
      <c r="EB612" s="26"/>
      <c r="EC612" s="26"/>
      <c r="ED612" s="26"/>
      <c r="EE612" s="26"/>
      <c r="EF612" s="26"/>
      <c r="EG612" s="26"/>
      <c r="EH612" s="26"/>
      <c r="EI612" s="26"/>
      <c r="EJ612" s="26"/>
      <c r="EK612" s="26"/>
      <c r="EL612" s="26"/>
      <c r="EM612" s="26"/>
      <c r="EN612" s="26"/>
      <c r="EO612" s="26"/>
      <c r="EP612" s="26"/>
      <c r="EQ612" s="26"/>
      <c r="ER612" s="26"/>
      <c r="ES612" s="26"/>
      <c r="ET612" s="26"/>
      <c r="EU612" s="26"/>
      <c r="EV612" s="26"/>
      <c r="EW612" s="26"/>
      <c r="EX612" s="26"/>
      <c r="EY612" s="26"/>
      <c r="EZ612" s="26"/>
      <c r="FA612" s="60"/>
      <c r="FB612" s="60"/>
      <c r="FC612" s="60"/>
      <c r="FD612" s="60"/>
      <c r="FE612" s="60"/>
      <c r="FF612" s="60"/>
      <c r="FG612" s="60"/>
      <c r="FH612" s="60"/>
      <c r="FI612" s="60"/>
      <c r="FJ612" s="60"/>
      <c r="FK612" s="60"/>
      <c r="FL612" s="60"/>
      <c r="FM612" s="60"/>
      <c r="FN612" s="60"/>
      <c r="FO612" s="60"/>
      <c r="FP612" s="60"/>
      <c r="FQ612" s="60"/>
      <c r="FR612" s="60"/>
      <c r="FS612" s="60"/>
      <c r="FT612" s="60"/>
      <c r="FU612" s="60"/>
      <c r="FV612" s="60"/>
      <c r="FW612" s="60"/>
      <c r="FX612" s="60"/>
    </row>
    <row r="613">
      <c r="A613" s="18"/>
      <c r="B613" s="14"/>
      <c r="C613" s="14"/>
      <c r="D613" s="14"/>
      <c r="E613" s="18"/>
      <c r="F613" s="18"/>
      <c r="G613" s="18"/>
      <c r="H613" s="18"/>
      <c r="I613" s="18"/>
      <c r="J613" s="18"/>
      <c r="K613" s="18"/>
      <c r="L613" s="18"/>
      <c r="M613" s="18"/>
      <c r="N613" s="18"/>
      <c r="O613" s="18"/>
      <c r="P613" s="23"/>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c r="BM613" s="26"/>
      <c r="BN613" s="26"/>
      <c r="BO613" s="26"/>
      <c r="BP613" s="26"/>
      <c r="BQ613" s="26"/>
      <c r="BR613" s="26"/>
      <c r="BS613" s="26"/>
      <c r="BT613" s="26"/>
      <c r="BU613" s="26"/>
      <c r="BV613" s="26"/>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26"/>
      <c r="CU613" s="26"/>
      <c r="CV613" s="26"/>
      <c r="CW613" s="26"/>
      <c r="CX613" s="26"/>
      <c r="CY613" s="26"/>
      <c r="CZ613" s="26"/>
      <c r="DA613" s="26"/>
      <c r="DB613" s="26"/>
      <c r="DC613" s="26"/>
      <c r="DD613" s="26"/>
      <c r="DE613" s="26"/>
      <c r="DF613" s="26"/>
      <c r="DG613" s="26"/>
      <c r="DH613" s="26"/>
      <c r="DI613" s="26"/>
      <c r="DJ613" s="26"/>
      <c r="DK613" s="26"/>
      <c r="DL613" s="26"/>
      <c r="DM613" s="26"/>
      <c r="DN613" s="26"/>
      <c r="DO613" s="26"/>
      <c r="DP613" s="26"/>
      <c r="DQ613" s="26"/>
      <c r="DR613" s="26"/>
      <c r="DS613" s="26"/>
      <c r="DT613" s="26"/>
      <c r="DU613" s="26"/>
      <c r="DV613" s="26"/>
      <c r="DW613" s="26"/>
      <c r="DX613" s="26"/>
      <c r="DY613" s="26"/>
      <c r="DZ613" s="26"/>
      <c r="EA613" s="26"/>
      <c r="EB613" s="26"/>
      <c r="EC613" s="26"/>
      <c r="ED613" s="26"/>
      <c r="EE613" s="26"/>
      <c r="EF613" s="26"/>
      <c r="EG613" s="26"/>
      <c r="EH613" s="26"/>
      <c r="EI613" s="26"/>
      <c r="EJ613" s="26"/>
      <c r="EK613" s="26"/>
      <c r="EL613" s="26"/>
      <c r="EM613" s="26"/>
      <c r="EN613" s="26"/>
      <c r="EO613" s="26"/>
      <c r="EP613" s="26"/>
      <c r="EQ613" s="26"/>
      <c r="ER613" s="26"/>
      <c r="ES613" s="26"/>
      <c r="ET613" s="26"/>
      <c r="EU613" s="26"/>
      <c r="EV613" s="26"/>
      <c r="EW613" s="26"/>
      <c r="EX613" s="26"/>
      <c r="EY613" s="26"/>
      <c r="EZ613" s="26"/>
      <c r="FA613" s="60"/>
      <c r="FB613" s="60"/>
      <c r="FC613" s="60"/>
      <c r="FD613" s="60"/>
      <c r="FE613" s="60"/>
      <c r="FF613" s="60"/>
      <c r="FG613" s="60"/>
      <c r="FH613" s="60"/>
      <c r="FI613" s="60"/>
      <c r="FJ613" s="60"/>
      <c r="FK613" s="60"/>
      <c r="FL613" s="60"/>
      <c r="FM613" s="60"/>
      <c r="FN613" s="60"/>
      <c r="FO613" s="60"/>
      <c r="FP613" s="60"/>
      <c r="FQ613" s="60"/>
      <c r="FR613" s="60"/>
      <c r="FS613" s="60"/>
      <c r="FT613" s="60"/>
      <c r="FU613" s="60"/>
      <c r="FV613" s="60"/>
      <c r="FW613" s="60"/>
      <c r="FX613" s="60"/>
    </row>
    <row r="614">
      <c r="A614" s="18"/>
      <c r="B614" s="14"/>
      <c r="C614" s="14"/>
      <c r="D614" s="14"/>
      <c r="E614" s="18"/>
      <c r="F614" s="18"/>
      <c r="G614" s="18"/>
      <c r="H614" s="18"/>
      <c r="I614" s="18"/>
      <c r="J614" s="18"/>
      <c r="K614" s="18"/>
      <c r="L614" s="18"/>
      <c r="M614" s="18"/>
      <c r="N614" s="18"/>
      <c r="O614" s="18"/>
      <c r="P614" s="23"/>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c r="BO614" s="26"/>
      <c r="BP614" s="26"/>
      <c r="BQ614" s="26"/>
      <c r="BR614" s="26"/>
      <c r="BS614" s="26"/>
      <c r="BT614" s="26"/>
      <c r="BU614" s="26"/>
      <c r="BV614" s="26"/>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26"/>
      <c r="CU614" s="26"/>
      <c r="CV614" s="26"/>
      <c r="CW614" s="26"/>
      <c r="CX614" s="26"/>
      <c r="CY614" s="26"/>
      <c r="CZ614" s="26"/>
      <c r="DA614" s="26"/>
      <c r="DB614" s="26"/>
      <c r="DC614" s="26"/>
      <c r="DD614" s="26"/>
      <c r="DE614" s="26"/>
      <c r="DF614" s="26"/>
      <c r="DG614" s="26"/>
      <c r="DH614" s="26"/>
      <c r="DI614" s="26"/>
      <c r="DJ614" s="26"/>
      <c r="DK614" s="26"/>
      <c r="DL614" s="26"/>
      <c r="DM614" s="26"/>
      <c r="DN614" s="26"/>
      <c r="DO614" s="26"/>
      <c r="DP614" s="26"/>
      <c r="DQ614" s="26"/>
      <c r="DR614" s="26"/>
      <c r="DS614" s="26"/>
      <c r="DT614" s="26"/>
      <c r="DU614" s="26"/>
      <c r="DV614" s="26"/>
      <c r="DW614" s="26"/>
      <c r="DX614" s="26"/>
      <c r="DY614" s="26"/>
      <c r="DZ614" s="26"/>
      <c r="EA614" s="26"/>
      <c r="EB614" s="26"/>
      <c r="EC614" s="26"/>
      <c r="ED614" s="26"/>
      <c r="EE614" s="26"/>
      <c r="EF614" s="26"/>
      <c r="EG614" s="26"/>
      <c r="EH614" s="26"/>
      <c r="EI614" s="26"/>
      <c r="EJ614" s="26"/>
      <c r="EK614" s="26"/>
      <c r="EL614" s="26"/>
      <c r="EM614" s="26"/>
      <c r="EN614" s="26"/>
      <c r="EO614" s="26"/>
      <c r="EP614" s="26"/>
      <c r="EQ614" s="26"/>
      <c r="ER614" s="26"/>
      <c r="ES614" s="26"/>
      <c r="ET614" s="26"/>
      <c r="EU614" s="26"/>
      <c r="EV614" s="26"/>
      <c r="EW614" s="26"/>
      <c r="EX614" s="26"/>
      <c r="EY614" s="26"/>
      <c r="EZ614" s="26"/>
      <c r="FA614" s="60"/>
      <c r="FB614" s="60"/>
      <c r="FC614" s="60"/>
      <c r="FD614" s="60"/>
      <c r="FE614" s="60"/>
      <c r="FF614" s="60"/>
      <c r="FG614" s="60"/>
      <c r="FH614" s="60"/>
      <c r="FI614" s="60"/>
      <c r="FJ614" s="60"/>
      <c r="FK614" s="60"/>
      <c r="FL614" s="60"/>
      <c r="FM614" s="60"/>
      <c r="FN614" s="60"/>
      <c r="FO614" s="60"/>
      <c r="FP614" s="60"/>
      <c r="FQ614" s="60"/>
      <c r="FR614" s="60"/>
      <c r="FS614" s="60"/>
      <c r="FT614" s="60"/>
      <c r="FU614" s="60"/>
      <c r="FV614" s="60"/>
      <c r="FW614" s="60"/>
      <c r="FX614" s="60"/>
    </row>
    <row r="615">
      <c r="A615" s="18"/>
      <c r="B615" s="14"/>
      <c r="C615" s="14"/>
      <c r="D615" s="14"/>
      <c r="E615" s="18"/>
      <c r="F615" s="18"/>
      <c r="G615" s="18"/>
      <c r="H615" s="18"/>
      <c r="I615" s="18"/>
      <c r="J615" s="18"/>
      <c r="K615" s="18"/>
      <c r="L615" s="18"/>
      <c r="M615" s="18"/>
      <c r="N615" s="18"/>
      <c r="O615" s="18"/>
      <c r="P615" s="23"/>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6"/>
      <c r="BG615" s="26"/>
      <c r="BH615" s="26"/>
      <c r="BI615" s="26"/>
      <c r="BJ615" s="26"/>
      <c r="BK615" s="26"/>
      <c r="BL615" s="26"/>
      <c r="BM615" s="26"/>
      <c r="BN615" s="26"/>
      <c r="BO615" s="26"/>
      <c r="BP615" s="26"/>
      <c r="BQ615" s="26"/>
      <c r="BR615" s="26"/>
      <c r="BS615" s="26"/>
      <c r="BT615" s="26"/>
      <c r="BU615" s="26"/>
      <c r="BV615" s="26"/>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26"/>
      <c r="CU615" s="26"/>
      <c r="CV615" s="26"/>
      <c r="CW615" s="26"/>
      <c r="CX615" s="26"/>
      <c r="CY615" s="26"/>
      <c r="CZ615" s="26"/>
      <c r="DA615" s="26"/>
      <c r="DB615" s="26"/>
      <c r="DC615" s="26"/>
      <c r="DD615" s="26"/>
      <c r="DE615" s="26"/>
      <c r="DF615" s="26"/>
      <c r="DG615" s="26"/>
      <c r="DH615" s="26"/>
      <c r="DI615" s="26"/>
      <c r="DJ615" s="26"/>
      <c r="DK615" s="26"/>
      <c r="DL615" s="26"/>
      <c r="DM615" s="26"/>
      <c r="DN615" s="26"/>
      <c r="DO615" s="26"/>
      <c r="DP615" s="26"/>
      <c r="DQ615" s="26"/>
      <c r="DR615" s="26"/>
      <c r="DS615" s="26"/>
      <c r="DT615" s="26"/>
      <c r="DU615" s="26"/>
      <c r="DV615" s="26"/>
      <c r="DW615" s="26"/>
      <c r="DX615" s="26"/>
      <c r="DY615" s="26"/>
      <c r="DZ615" s="26"/>
      <c r="EA615" s="26"/>
      <c r="EB615" s="26"/>
      <c r="EC615" s="26"/>
      <c r="ED615" s="26"/>
      <c r="EE615" s="26"/>
      <c r="EF615" s="26"/>
      <c r="EG615" s="26"/>
      <c r="EH615" s="26"/>
      <c r="EI615" s="26"/>
      <c r="EJ615" s="26"/>
      <c r="EK615" s="26"/>
      <c r="EL615" s="26"/>
      <c r="EM615" s="26"/>
      <c r="EN615" s="26"/>
      <c r="EO615" s="26"/>
      <c r="EP615" s="26"/>
      <c r="EQ615" s="26"/>
      <c r="ER615" s="26"/>
      <c r="ES615" s="26"/>
      <c r="ET615" s="26"/>
      <c r="EU615" s="26"/>
      <c r="EV615" s="26"/>
      <c r="EW615" s="26"/>
      <c r="EX615" s="26"/>
      <c r="EY615" s="26"/>
      <c r="EZ615" s="26"/>
      <c r="FA615" s="60"/>
      <c r="FB615" s="60"/>
      <c r="FC615" s="60"/>
      <c r="FD615" s="60"/>
      <c r="FE615" s="60"/>
      <c r="FF615" s="60"/>
      <c r="FG615" s="60"/>
      <c r="FH615" s="60"/>
      <c r="FI615" s="60"/>
      <c r="FJ615" s="60"/>
      <c r="FK615" s="60"/>
      <c r="FL615" s="60"/>
      <c r="FM615" s="60"/>
      <c r="FN615" s="60"/>
      <c r="FO615" s="60"/>
      <c r="FP615" s="60"/>
      <c r="FQ615" s="60"/>
      <c r="FR615" s="60"/>
      <c r="FS615" s="60"/>
      <c r="FT615" s="60"/>
      <c r="FU615" s="60"/>
      <c r="FV615" s="60"/>
      <c r="FW615" s="60"/>
      <c r="FX615" s="60"/>
    </row>
    <row r="616">
      <c r="A616" s="18"/>
      <c r="B616" s="14"/>
      <c r="C616" s="14"/>
      <c r="D616" s="14"/>
      <c r="E616" s="18"/>
      <c r="F616" s="18"/>
      <c r="G616" s="18"/>
      <c r="H616" s="18"/>
      <c r="I616" s="18"/>
      <c r="J616" s="18"/>
      <c r="K616" s="18"/>
      <c r="L616" s="18"/>
      <c r="M616" s="18"/>
      <c r="N616" s="18"/>
      <c r="O616" s="18"/>
      <c r="P616" s="23"/>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c r="BO616" s="26"/>
      <c r="BP616" s="26"/>
      <c r="BQ616" s="26"/>
      <c r="BR616" s="26"/>
      <c r="BS616" s="26"/>
      <c r="BT616" s="26"/>
      <c r="BU616" s="26"/>
      <c r="BV616" s="26"/>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26"/>
      <c r="CU616" s="26"/>
      <c r="CV616" s="26"/>
      <c r="CW616" s="26"/>
      <c r="CX616" s="26"/>
      <c r="CY616" s="26"/>
      <c r="CZ616" s="26"/>
      <c r="DA616" s="26"/>
      <c r="DB616" s="26"/>
      <c r="DC616" s="26"/>
      <c r="DD616" s="26"/>
      <c r="DE616" s="26"/>
      <c r="DF616" s="26"/>
      <c r="DG616" s="26"/>
      <c r="DH616" s="26"/>
      <c r="DI616" s="26"/>
      <c r="DJ616" s="26"/>
      <c r="DK616" s="26"/>
      <c r="DL616" s="26"/>
      <c r="DM616" s="26"/>
      <c r="DN616" s="26"/>
      <c r="DO616" s="26"/>
      <c r="DP616" s="26"/>
      <c r="DQ616" s="26"/>
      <c r="DR616" s="26"/>
      <c r="DS616" s="26"/>
      <c r="DT616" s="26"/>
      <c r="DU616" s="26"/>
      <c r="DV616" s="26"/>
      <c r="DW616" s="26"/>
      <c r="DX616" s="26"/>
      <c r="DY616" s="26"/>
      <c r="DZ616" s="26"/>
      <c r="EA616" s="26"/>
      <c r="EB616" s="26"/>
      <c r="EC616" s="26"/>
      <c r="ED616" s="26"/>
      <c r="EE616" s="26"/>
      <c r="EF616" s="26"/>
      <c r="EG616" s="26"/>
      <c r="EH616" s="26"/>
      <c r="EI616" s="26"/>
      <c r="EJ616" s="26"/>
      <c r="EK616" s="26"/>
      <c r="EL616" s="26"/>
      <c r="EM616" s="26"/>
      <c r="EN616" s="26"/>
      <c r="EO616" s="26"/>
      <c r="EP616" s="26"/>
      <c r="EQ616" s="26"/>
      <c r="ER616" s="26"/>
      <c r="ES616" s="26"/>
      <c r="ET616" s="26"/>
      <c r="EU616" s="26"/>
      <c r="EV616" s="26"/>
      <c r="EW616" s="26"/>
      <c r="EX616" s="26"/>
      <c r="EY616" s="26"/>
      <c r="EZ616" s="26"/>
      <c r="FA616" s="60"/>
      <c r="FB616" s="60"/>
      <c r="FC616" s="60"/>
      <c r="FD616" s="60"/>
      <c r="FE616" s="60"/>
      <c r="FF616" s="60"/>
      <c r="FG616" s="60"/>
      <c r="FH616" s="60"/>
      <c r="FI616" s="60"/>
      <c r="FJ616" s="60"/>
      <c r="FK616" s="60"/>
      <c r="FL616" s="60"/>
      <c r="FM616" s="60"/>
      <c r="FN616" s="60"/>
      <c r="FO616" s="60"/>
      <c r="FP616" s="60"/>
      <c r="FQ616" s="60"/>
      <c r="FR616" s="60"/>
      <c r="FS616" s="60"/>
      <c r="FT616" s="60"/>
      <c r="FU616" s="60"/>
      <c r="FV616" s="60"/>
      <c r="FW616" s="60"/>
      <c r="FX616" s="60"/>
    </row>
    <row r="617">
      <c r="A617" s="18"/>
      <c r="B617" s="14"/>
      <c r="C617" s="14"/>
      <c r="D617" s="14"/>
      <c r="E617" s="18"/>
      <c r="F617" s="18"/>
      <c r="G617" s="18"/>
      <c r="H617" s="18"/>
      <c r="I617" s="18"/>
      <c r="J617" s="18"/>
      <c r="K617" s="18"/>
      <c r="L617" s="18"/>
      <c r="M617" s="18"/>
      <c r="N617" s="18"/>
      <c r="O617" s="18"/>
      <c r="P617" s="23"/>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6"/>
      <c r="BG617" s="26"/>
      <c r="BH617" s="26"/>
      <c r="BI617" s="26"/>
      <c r="BJ617" s="26"/>
      <c r="BK617" s="26"/>
      <c r="BL617" s="26"/>
      <c r="BM617" s="26"/>
      <c r="BN617" s="26"/>
      <c r="BO617" s="26"/>
      <c r="BP617" s="26"/>
      <c r="BQ617" s="26"/>
      <c r="BR617" s="26"/>
      <c r="BS617" s="26"/>
      <c r="BT617" s="26"/>
      <c r="BU617" s="26"/>
      <c r="BV617" s="26"/>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26"/>
      <c r="CU617" s="26"/>
      <c r="CV617" s="26"/>
      <c r="CW617" s="26"/>
      <c r="CX617" s="26"/>
      <c r="CY617" s="26"/>
      <c r="CZ617" s="26"/>
      <c r="DA617" s="26"/>
      <c r="DB617" s="26"/>
      <c r="DC617" s="26"/>
      <c r="DD617" s="26"/>
      <c r="DE617" s="26"/>
      <c r="DF617" s="26"/>
      <c r="DG617" s="26"/>
      <c r="DH617" s="26"/>
      <c r="DI617" s="26"/>
      <c r="DJ617" s="26"/>
      <c r="DK617" s="26"/>
      <c r="DL617" s="26"/>
      <c r="DM617" s="26"/>
      <c r="DN617" s="26"/>
      <c r="DO617" s="26"/>
      <c r="DP617" s="26"/>
      <c r="DQ617" s="26"/>
      <c r="DR617" s="26"/>
      <c r="DS617" s="26"/>
      <c r="DT617" s="26"/>
      <c r="DU617" s="26"/>
      <c r="DV617" s="26"/>
      <c r="DW617" s="26"/>
      <c r="DX617" s="26"/>
      <c r="DY617" s="26"/>
      <c r="DZ617" s="26"/>
      <c r="EA617" s="26"/>
      <c r="EB617" s="26"/>
      <c r="EC617" s="26"/>
      <c r="ED617" s="26"/>
      <c r="EE617" s="26"/>
      <c r="EF617" s="26"/>
      <c r="EG617" s="26"/>
      <c r="EH617" s="26"/>
      <c r="EI617" s="26"/>
      <c r="EJ617" s="26"/>
      <c r="EK617" s="26"/>
      <c r="EL617" s="26"/>
      <c r="EM617" s="26"/>
      <c r="EN617" s="26"/>
      <c r="EO617" s="26"/>
      <c r="EP617" s="26"/>
      <c r="EQ617" s="26"/>
      <c r="ER617" s="26"/>
      <c r="ES617" s="26"/>
      <c r="ET617" s="26"/>
      <c r="EU617" s="26"/>
      <c r="EV617" s="26"/>
      <c r="EW617" s="26"/>
      <c r="EX617" s="26"/>
      <c r="EY617" s="26"/>
      <c r="EZ617" s="26"/>
      <c r="FA617" s="60"/>
      <c r="FB617" s="60"/>
      <c r="FC617" s="60"/>
      <c r="FD617" s="60"/>
      <c r="FE617" s="60"/>
      <c r="FF617" s="60"/>
      <c r="FG617" s="60"/>
      <c r="FH617" s="60"/>
      <c r="FI617" s="60"/>
      <c r="FJ617" s="60"/>
      <c r="FK617" s="60"/>
      <c r="FL617" s="60"/>
      <c r="FM617" s="60"/>
      <c r="FN617" s="60"/>
      <c r="FO617" s="60"/>
      <c r="FP617" s="60"/>
      <c r="FQ617" s="60"/>
      <c r="FR617" s="60"/>
      <c r="FS617" s="60"/>
      <c r="FT617" s="60"/>
      <c r="FU617" s="60"/>
      <c r="FV617" s="60"/>
      <c r="FW617" s="60"/>
      <c r="FX617" s="60"/>
    </row>
    <row r="618">
      <c r="A618" s="18"/>
      <c r="B618" s="14"/>
      <c r="C618" s="14"/>
      <c r="D618" s="14"/>
      <c r="E618" s="18"/>
      <c r="F618" s="18"/>
      <c r="G618" s="18"/>
      <c r="H618" s="18"/>
      <c r="I618" s="18"/>
      <c r="J618" s="18"/>
      <c r="K618" s="18"/>
      <c r="L618" s="18"/>
      <c r="M618" s="18"/>
      <c r="N618" s="18"/>
      <c r="O618" s="18"/>
      <c r="P618" s="23"/>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6"/>
      <c r="BU618" s="26"/>
      <c r="BV618" s="26"/>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26"/>
      <c r="CU618" s="26"/>
      <c r="CV618" s="26"/>
      <c r="CW618" s="26"/>
      <c r="CX618" s="26"/>
      <c r="CY618" s="26"/>
      <c r="CZ618" s="26"/>
      <c r="DA618" s="26"/>
      <c r="DB618" s="26"/>
      <c r="DC618" s="26"/>
      <c r="DD618" s="26"/>
      <c r="DE618" s="26"/>
      <c r="DF618" s="26"/>
      <c r="DG618" s="26"/>
      <c r="DH618" s="26"/>
      <c r="DI618" s="26"/>
      <c r="DJ618" s="26"/>
      <c r="DK618" s="26"/>
      <c r="DL618" s="26"/>
      <c r="DM618" s="26"/>
      <c r="DN618" s="26"/>
      <c r="DO618" s="26"/>
      <c r="DP618" s="26"/>
      <c r="DQ618" s="26"/>
      <c r="DR618" s="26"/>
      <c r="DS618" s="26"/>
      <c r="DT618" s="26"/>
      <c r="DU618" s="26"/>
      <c r="DV618" s="26"/>
      <c r="DW618" s="26"/>
      <c r="DX618" s="26"/>
      <c r="DY618" s="26"/>
      <c r="DZ618" s="26"/>
      <c r="EA618" s="26"/>
      <c r="EB618" s="26"/>
      <c r="EC618" s="26"/>
      <c r="ED618" s="26"/>
      <c r="EE618" s="26"/>
      <c r="EF618" s="26"/>
      <c r="EG618" s="26"/>
      <c r="EH618" s="26"/>
      <c r="EI618" s="26"/>
      <c r="EJ618" s="26"/>
      <c r="EK618" s="26"/>
      <c r="EL618" s="26"/>
      <c r="EM618" s="26"/>
      <c r="EN618" s="26"/>
      <c r="EO618" s="26"/>
      <c r="EP618" s="26"/>
      <c r="EQ618" s="26"/>
      <c r="ER618" s="26"/>
      <c r="ES618" s="26"/>
      <c r="ET618" s="26"/>
      <c r="EU618" s="26"/>
      <c r="EV618" s="26"/>
      <c r="EW618" s="26"/>
      <c r="EX618" s="26"/>
      <c r="EY618" s="26"/>
      <c r="EZ618" s="26"/>
      <c r="FA618" s="60"/>
      <c r="FB618" s="60"/>
      <c r="FC618" s="60"/>
      <c r="FD618" s="60"/>
      <c r="FE618" s="60"/>
      <c r="FF618" s="60"/>
      <c r="FG618" s="60"/>
      <c r="FH618" s="60"/>
      <c r="FI618" s="60"/>
      <c r="FJ618" s="60"/>
      <c r="FK618" s="60"/>
      <c r="FL618" s="60"/>
      <c r="FM618" s="60"/>
      <c r="FN618" s="60"/>
      <c r="FO618" s="60"/>
      <c r="FP618" s="60"/>
      <c r="FQ618" s="60"/>
      <c r="FR618" s="60"/>
      <c r="FS618" s="60"/>
      <c r="FT618" s="60"/>
      <c r="FU618" s="60"/>
      <c r="FV618" s="60"/>
      <c r="FW618" s="60"/>
      <c r="FX618" s="60"/>
    </row>
    <row r="619">
      <c r="A619" s="18"/>
      <c r="B619" s="14"/>
      <c r="C619" s="14"/>
      <c r="D619" s="14"/>
      <c r="E619" s="18"/>
      <c r="F619" s="18"/>
      <c r="G619" s="18"/>
      <c r="H619" s="18"/>
      <c r="I619" s="18"/>
      <c r="J619" s="18"/>
      <c r="K619" s="18"/>
      <c r="L619" s="18"/>
      <c r="M619" s="18"/>
      <c r="N619" s="18"/>
      <c r="O619" s="18"/>
      <c r="P619" s="23"/>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c r="BM619" s="26"/>
      <c r="BN619" s="26"/>
      <c r="BO619" s="26"/>
      <c r="BP619" s="26"/>
      <c r="BQ619" s="26"/>
      <c r="BR619" s="26"/>
      <c r="BS619" s="26"/>
      <c r="BT619" s="26"/>
      <c r="BU619" s="26"/>
      <c r="BV619" s="26"/>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26"/>
      <c r="CU619" s="26"/>
      <c r="CV619" s="26"/>
      <c r="CW619" s="26"/>
      <c r="CX619" s="26"/>
      <c r="CY619" s="26"/>
      <c r="CZ619" s="26"/>
      <c r="DA619" s="26"/>
      <c r="DB619" s="26"/>
      <c r="DC619" s="26"/>
      <c r="DD619" s="26"/>
      <c r="DE619" s="26"/>
      <c r="DF619" s="26"/>
      <c r="DG619" s="26"/>
      <c r="DH619" s="26"/>
      <c r="DI619" s="26"/>
      <c r="DJ619" s="26"/>
      <c r="DK619" s="26"/>
      <c r="DL619" s="26"/>
      <c r="DM619" s="26"/>
      <c r="DN619" s="26"/>
      <c r="DO619" s="26"/>
      <c r="DP619" s="26"/>
      <c r="DQ619" s="26"/>
      <c r="DR619" s="26"/>
      <c r="DS619" s="26"/>
      <c r="DT619" s="26"/>
      <c r="DU619" s="26"/>
      <c r="DV619" s="26"/>
      <c r="DW619" s="26"/>
      <c r="DX619" s="26"/>
      <c r="DY619" s="26"/>
      <c r="DZ619" s="26"/>
      <c r="EA619" s="26"/>
      <c r="EB619" s="26"/>
      <c r="EC619" s="26"/>
      <c r="ED619" s="26"/>
      <c r="EE619" s="26"/>
      <c r="EF619" s="26"/>
      <c r="EG619" s="26"/>
      <c r="EH619" s="26"/>
      <c r="EI619" s="26"/>
      <c r="EJ619" s="26"/>
      <c r="EK619" s="26"/>
      <c r="EL619" s="26"/>
      <c r="EM619" s="26"/>
      <c r="EN619" s="26"/>
      <c r="EO619" s="26"/>
      <c r="EP619" s="26"/>
      <c r="EQ619" s="26"/>
      <c r="ER619" s="26"/>
      <c r="ES619" s="26"/>
      <c r="ET619" s="26"/>
      <c r="EU619" s="26"/>
      <c r="EV619" s="26"/>
      <c r="EW619" s="26"/>
      <c r="EX619" s="26"/>
      <c r="EY619" s="26"/>
      <c r="EZ619" s="26"/>
      <c r="FA619" s="60"/>
      <c r="FB619" s="60"/>
      <c r="FC619" s="60"/>
      <c r="FD619" s="60"/>
      <c r="FE619" s="60"/>
      <c r="FF619" s="60"/>
      <c r="FG619" s="60"/>
      <c r="FH619" s="60"/>
      <c r="FI619" s="60"/>
      <c r="FJ619" s="60"/>
      <c r="FK619" s="60"/>
      <c r="FL619" s="60"/>
      <c r="FM619" s="60"/>
      <c r="FN619" s="60"/>
      <c r="FO619" s="60"/>
      <c r="FP619" s="60"/>
      <c r="FQ619" s="60"/>
      <c r="FR619" s="60"/>
      <c r="FS619" s="60"/>
      <c r="FT619" s="60"/>
      <c r="FU619" s="60"/>
      <c r="FV619" s="60"/>
      <c r="FW619" s="60"/>
      <c r="FX619" s="60"/>
    </row>
    <row r="620">
      <c r="A620" s="18"/>
      <c r="B620" s="14"/>
      <c r="C620" s="14"/>
      <c r="D620" s="14"/>
      <c r="E620" s="18"/>
      <c r="F620" s="18"/>
      <c r="G620" s="18"/>
      <c r="H620" s="18"/>
      <c r="I620" s="18"/>
      <c r="J620" s="18"/>
      <c r="K620" s="18"/>
      <c r="L620" s="18"/>
      <c r="M620" s="18"/>
      <c r="N620" s="18"/>
      <c r="O620" s="18"/>
      <c r="P620" s="23"/>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6"/>
      <c r="BU620" s="26"/>
      <c r="BV620" s="26"/>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26"/>
      <c r="CU620" s="26"/>
      <c r="CV620" s="26"/>
      <c r="CW620" s="26"/>
      <c r="CX620" s="26"/>
      <c r="CY620" s="26"/>
      <c r="CZ620" s="26"/>
      <c r="DA620" s="26"/>
      <c r="DB620" s="26"/>
      <c r="DC620" s="26"/>
      <c r="DD620" s="26"/>
      <c r="DE620" s="26"/>
      <c r="DF620" s="26"/>
      <c r="DG620" s="26"/>
      <c r="DH620" s="26"/>
      <c r="DI620" s="26"/>
      <c r="DJ620" s="26"/>
      <c r="DK620" s="26"/>
      <c r="DL620" s="26"/>
      <c r="DM620" s="26"/>
      <c r="DN620" s="26"/>
      <c r="DO620" s="26"/>
      <c r="DP620" s="26"/>
      <c r="DQ620" s="26"/>
      <c r="DR620" s="26"/>
      <c r="DS620" s="26"/>
      <c r="DT620" s="26"/>
      <c r="DU620" s="26"/>
      <c r="DV620" s="26"/>
      <c r="DW620" s="26"/>
      <c r="DX620" s="26"/>
      <c r="DY620" s="26"/>
      <c r="DZ620" s="26"/>
      <c r="EA620" s="26"/>
      <c r="EB620" s="26"/>
      <c r="EC620" s="26"/>
      <c r="ED620" s="26"/>
      <c r="EE620" s="26"/>
      <c r="EF620" s="26"/>
      <c r="EG620" s="26"/>
      <c r="EH620" s="26"/>
      <c r="EI620" s="26"/>
      <c r="EJ620" s="26"/>
      <c r="EK620" s="26"/>
      <c r="EL620" s="26"/>
      <c r="EM620" s="26"/>
      <c r="EN620" s="26"/>
      <c r="EO620" s="26"/>
      <c r="EP620" s="26"/>
      <c r="EQ620" s="26"/>
      <c r="ER620" s="26"/>
      <c r="ES620" s="26"/>
      <c r="ET620" s="26"/>
      <c r="EU620" s="26"/>
      <c r="EV620" s="26"/>
      <c r="EW620" s="26"/>
      <c r="EX620" s="26"/>
      <c r="EY620" s="26"/>
      <c r="EZ620" s="26"/>
      <c r="FA620" s="60"/>
      <c r="FB620" s="60"/>
      <c r="FC620" s="60"/>
      <c r="FD620" s="60"/>
      <c r="FE620" s="60"/>
      <c r="FF620" s="60"/>
      <c r="FG620" s="60"/>
      <c r="FH620" s="60"/>
      <c r="FI620" s="60"/>
      <c r="FJ620" s="60"/>
      <c r="FK620" s="60"/>
      <c r="FL620" s="60"/>
      <c r="FM620" s="60"/>
      <c r="FN620" s="60"/>
      <c r="FO620" s="60"/>
      <c r="FP620" s="60"/>
      <c r="FQ620" s="60"/>
      <c r="FR620" s="60"/>
      <c r="FS620" s="60"/>
      <c r="FT620" s="60"/>
      <c r="FU620" s="60"/>
      <c r="FV620" s="60"/>
      <c r="FW620" s="60"/>
      <c r="FX620" s="60"/>
    </row>
    <row r="621">
      <c r="A621" s="18"/>
      <c r="B621" s="14"/>
      <c r="C621" s="14"/>
      <c r="D621" s="14"/>
      <c r="E621" s="18"/>
      <c r="F621" s="18"/>
      <c r="G621" s="18"/>
      <c r="H621" s="18"/>
      <c r="I621" s="18"/>
      <c r="J621" s="18"/>
      <c r="K621" s="18"/>
      <c r="L621" s="18"/>
      <c r="M621" s="18"/>
      <c r="N621" s="18"/>
      <c r="O621" s="18"/>
      <c r="P621" s="23"/>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c r="BM621" s="26"/>
      <c r="BN621" s="26"/>
      <c r="BO621" s="26"/>
      <c r="BP621" s="26"/>
      <c r="BQ621" s="26"/>
      <c r="BR621" s="26"/>
      <c r="BS621" s="26"/>
      <c r="BT621" s="26"/>
      <c r="BU621" s="26"/>
      <c r="BV621" s="26"/>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26"/>
      <c r="CU621" s="26"/>
      <c r="CV621" s="26"/>
      <c r="CW621" s="26"/>
      <c r="CX621" s="26"/>
      <c r="CY621" s="26"/>
      <c r="CZ621" s="26"/>
      <c r="DA621" s="26"/>
      <c r="DB621" s="26"/>
      <c r="DC621" s="26"/>
      <c r="DD621" s="26"/>
      <c r="DE621" s="26"/>
      <c r="DF621" s="26"/>
      <c r="DG621" s="26"/>
      <c r="DH621" s="26"/>
      <c r="DI621" s="26"/>
      <c r="DJ621" s="26"/>
      <c r="DK621" s="26"/>
      <c r="DL621" s="26"/>
      <c r="DM621" s="26"/>
      <c r="DN621" s="26"/>
      <c r="DO621" s="26"/>
      <c r="DP621" s="26"/>
      <c r="DQ621" s="26"/>
      <c r="DR621" s="26"/>
      <c r="DS621" s="26"/>
      <c r="DT621" s="26"/>
      <c r="DU621" s="26"/>
      <c r="DV621" s="26"/>
      <c r="DW621" s="26"/>
      <c r="DX621" s="26"/>
      <c r="DY621" s="26"/>
      <c r="DZ621" s="26"/>
      <c r="EA621" s="26"/>
      <c r="EB621" s="26"/>
      <c r="EC621" s="26"/>
      <c r="ED621" s="26"/>
      <c r="EE621" s="26"/>
      <c r="EF621" s="26"/>
      <c r="EG621" s="26"/>
      <c r="EH621" s="26"/>
      <c r="EI621" s="26"/>
      <c r="EJ621" s="26"/>
      <c r="EK621" s="26"/>
      <c r="EL621" s="26"/>
      <c r="EM621" s="26"/>
      <c r="EN621" s="26"/>
      <c r="EO621" s="26"/>
      <c r="EP621" s="26"/>
      <c r="EQ621" s="26"/>
      <c r="ER621" s="26"/>
      <c r="ES621" s="26"/>
      <c r="ET621" s="26"/>
      <c r="EU621" s="26"/>
      <c r="EV621" s="26"/>
      <c r="EW621" s="26"/>
      <c r="EX621" s="26"/>
      <c r="EY621" s="26"/>
      <c r="EZ621" s="26"/>
      <c r="FA621" s="60"/>
      <c r="FB621" s="60"/>
      <c r="FC621" s="60"/>
      <c r="FD621" s="60"/>
      <c r="FE621" s="60"/>
      <c r="FF621" s="60"/>
      <c r="FG621" s="60"/>
      <c r="FH621" s="60"/>
      <c r="FI621" s="60"/>
      <c r="FJ621" s="60"/>
      <c r="FK621" s="60"/>
      <c r="FL621" s="60"/>
      <c r="FM621" s="60"/>
      <c r="FN621" s="60"/>
      <c r="FO621" s="60"/>
      <c r="FP621" s="60"/>
      <c r="FQ621" s="60"/>
      <c r="FR621" s="60"/>
      <c r="FS621" s="60"/>
      <c r="FT621" s="60"/>
      <c r="FU621" s="60"/>
      <c r="FV621" s="60"/>
      <c r="FW621" s="60"/>
      <c r="FX621" s="60"/>
    </row>
    <row r="622">
      <c r="A622" s="18"/>
      <c r="B622" s="14"/>
      <c r="C622" s="14"/>
      <c r="D622" s="14"/>
      <c r="E622" s="18"/>
      <c r="F622" s="18"/>
      <c r="G622" s="18"/>
      <c r="H622" s="18"/>
      <c r="I622" s="18"/>
      <c r="J622" s="18"/>
      <c r="K622" s="18"/>
      <c r="L622" s="18"/>
      <c r="M622" s="18"/>
      <c r="N622" s="18"/>
      <c r="O622" s="18"/>
      <c r="P622" s="23"/>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c r="BO622" s="26"/>
      <c r="BP622" s="26"/>
      <c r="BQ622" s="26"/>
      <c r="BR622" s="26"/>
      <c r="BS622" s="26"/>
      <c r="BT622" s="26"/>
      <c r="BU622" s="26"/>
      <c r="BV622" s="26"/>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26"/>
      <c r="CU622" s="26"/>
      <c r="CV622" s="26"/>
      <c r="CW622" s="26"/>
      <c r="CX622" s="26"/>
      <c r="CY622" s="26"/>
      <c r="CZ622" s="26"/>
      <c r="DA622" s="26"/>
      <c r="DB622" s="26"/>
      <c r="DC622" s="26"/>
      <c r="DD622" s="26"/>
      <c r="DE622" s="26"/>
      <c r="DF622" s="26"/>
      <c r="DG622" s="26"/>
      <c r="DH622" s="26"/>
      <c r="DI622" s="26"/>
      <c r="DJ622" s="26"/>
      <c r="DK622" s="26"/>
      <c r="DL622" s="26"/>
      <c r="DM622" s="26"/>
      <c r="DN622" s="26"/>
      <c r="DO622" s="26"/>
      <c r="DP622" s="26"/>
      <c r="DQ622" s="26"/>
      <c r="DR622" s="26"/>
      <c r="DS622" s="26"/>
      <c r="DT622" s="26"/>
      <c r="DU622" s="26"/>
      <c r="DV622" s="26"/>
      <c r="DW622" s="26"/>
      <c r="DX622" s="26"/>
      <c r="DY622" s="26"/>
      <c r="DZ622" s="26"/>
      <c r="EA622" s="26"/>
      <c r="EB622" s="26"/>
      <c r="EC622" s="26"/>
      <c r="ED622" s="26"/>
      <c r="EE622" s="26"/>
      <c r="EF622" s="26"/>
      <c r="EG622" s="26"/>
      <c r="EH622" s="26"/>
      <c r="EI622" s="26"/>
      <c r="EJ622" s="26"/>
      <c r="EK622" s="26"/>
      <c r="EL622" s="26"/>
      <c r="EM622" s="26"/>
      <c r="EN622" s="26"/>
      <c r="EO622" s="26"/>
      <c r="EP622" s="26"/>
      <c r="EQ622" s="26"/>
      <c r="ER622" s="26"/>
      <c r="ES622" s="26"/>
      <c r="ET622" s="26"/>
      <c r="EU622" s="26"/>
      <c r="EV622" s="26"/>
      <c r="EW622" s="26"/>
      <c r="EX622" s="26"/>
      <c r="EY622" s="26"/>
      <c r="EZ622" s="26"/>
      <c r="FA622" s="60"/>
      <c r="FB622" s="60"/>
      <c r="FC622" s="60"/>
      <c r="FD622" s="60"/>
      <c r="FE622" s="60"/>
      <c r="FF622" s="60"/>
      <c r="FG622" s="60"/>
      <c r="FH622" s="60"/>
      <c r="FI622" s="60"/>
      <c r="FJ622" s="60"/>
      <c r="FK622" s="60"/>
      <c r="FL622" s="60"/>
      <c r="FM622" s="60"/>
      <c r="FN622" s="60"/>
      <c r="FO622" s="60"/>
      <c r="FP622" s="60"/>
      <c r="FQ622" s="60"/>
      <c r="FR622" s="60"/>
      <c r="FS622" s="60"/>
      <c r="FT622" s="60"/>
      <c r="FU622" s="60"/>
      <c r="FV622" s="60"/>
      <c r="FW622" s="60"/>
      <c r="FX622" s="60"/>
    </row>
    <row r="623">
      <c r="A623" s="18"/>
      <c r="B623" s="14"/>
      <c r="C623" s="14"/>
      <c r="D623" s="14"/>
      <c r="E623" s="18"/>
      <c r="F623" s="18"/>
      <c r="G623" s="18"/>
      <c r="H623" s="18"/>
      <c r="I623" s="18"/>
      <c r="J623" s="18"/>
      <c r="K623" s="18"/>
      <c r="L623" s="18"/>
      <c r="M623" s="18"/>
      <c r="N623" s="18"/>
      <c r="O623" s="18"/>
      <c r="P623" s="23"/>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6"/>
      <c r="BG623" s="26"/>
      <c r="BH623" s="26"/>
      <c r="BI623" s="26"/>
      <c r="BJ623" s="26"/>
      <c r="BK623" s="26"/>
      <c r="BL623" s="26"/>
      <c r="BM623" s="26"/>
      <c r="BN623" s="26"/>
      <c r="BO623" s="26"/>
      <c r="BP623" s="26"/>
      <c r="BQ623" s="26"/>
      <c r="BR623" s="26"/>
      <c r="BS623" s="26"/>
      <c r="BT623" s="26"/>
      <c r="BU623" s="26"/>
      <c r="BV623" s="26"/>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26"/>
      <c r="CU623" s="26"/>
      <c r="CV623" s="26"/>
      <c r="CW623" s="26"/>
      <c r="CX623" s="26"/>
      <c r="CY623" s="26"/>
      <c r="CZ623" s="26"/>
      <c r="DA623" s="26"/>
      <c r="DB623" s="26"/>
      <c r="DC623" s="26"/>
      <c r="DD623" s="26"/>
      <c r="DE623" s="26"/>
      <c r="DF623" s="26"/>
      <c r="DG623" s="26"/>
      <c r="DH623" s="26"/>
      <c r="DI623" s="26"/>
      <c r="DJ623" s="26"/>
      <c r="DK623" s="26"/>
      <c r="DL623" s="26"/>
      <c r="DM623" s="26"/>
      <c r="DN623" s="26"/>
      <c r="DO623" s="26"/>
      <c r="DP623" s="26"/>
      <c r="DQ623" s="26"/>
      <c r="DR623" s="26"/>
      <c r="DS623" s="26"/>
      <c r="DT623" s="26"/>
      <c r="DU623" s="26"/>
      <c r="DV623" s="26"/>
      <c r="DW623" s="26"/>
      <c r="DX623" s="26"/>
      <c r="DY623" s="26"/>
      <c r="DZ623" s="26"/>
      <c r="EA623" s="26"/>
      <c r="EB623" s="26"/>
      <c r="EC623" s="26"/>
      <c r="ED623" s="26"/>
      <c r="EE623" s="26"/>
      <c r="EF623" s="26"/>
      <c r="EG623" s="26"/>
      <c r="EH623" s="26"/>
      <c r="EI623" s="26"/>
      <c r="EJ623" s="26"/>
      <c r="EK623" s="26"/>
      <c r="EL623" s="26"/>
      <c r="EM623" s="26"/>
      <c r="EN623" s="26"/>
      <c r="EO623" s="26"/>
      <c r="EP623" s="26"/>
      <c r="EQ623" s="26"/>
      <c r="ER623" s="26"/>
      <c r="ES623" s="26"/>
      <c r="ET623" s="26"/>
      <c r="EU623" s="26"/>
      <c r="EV623" s="26"/>
      <c r="EW623" s="26"/>
      <c r="EX623" s="26"/>
      <c r="EY623" s="26"/>
      <c r="EZ623" s="26"/>
      <c r="FA623" s="60"/>
      <c r="FB623" s="60"/>
      <c r="FC623" s="60"/>
      <c r="FD623" s="60"/>
      <c r="FE623" s="60"/>
      <c r="FF623" s="60"/>
      <c r="FG623" s="60"/>
      <c r="FH623" s="60"/>
      <c r="FI623" s="60"/>
      <c r="FJ623" s="60"/>
      <c r="FK623" s="60"/>
      <c r="FL623" s="60"/>
      <c r="FM623" s="60"/>
      <c r="FN623" s="60"/>
      <c r="FO623" s="60"/>
      <c r="FP623" s="60"/>
      <c r="FQ623" s="60"/>
      <c r="FR623" s="60"/>
      <c r="FS623" s="60"/>
      <c r="FT623" s="60"/>
      <c r="FU623" s="60"/>
      <c r="FV623" s="60"/>
      <c r="FW623" s="60"/>
      <c r="FX623" s="60"/>
    </row>
    <row r="624">
      <c r="A624" s="18"/>
      <c r="B624" s="14"/>
      <c r="C624" s="14"/>
      <c r="D624" s="14"/>
      <c r="E624" s="18"/>
      <c r="F624" s="18"/>
      <c r="G624" s="18"/>
      <c r="H624" s="18"/>
      <c r="I624" s="18"/>
      <c r="J624" s="18"/>
      <c r="K624" s="18"/>
      <c r="L624" s="18"/>
      <c r="M624" s="18"/>
      <c r="N624" s="18"/>
      <c r="O624" s="18"/>
      <c r="P624" s="23"/>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c r="BO624" s="26"/>
      <c r="BP624" s="26"/>
      <c r="BQ624" s="26"/>
      <c r="BR624" s="26"/>
      <c r="BS624" s="26"/>
      <c r="BT624" s="26"/>
      <c r="BU624" s="26"/>
      <c r="BV624" s="26"/>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26"/>
      <c r="CU624" s="26"/>
      <c r="CV624" s="26"/>
      <c r="CW624" s="26"/>
      <c r="CX624" s="26"/>
      <c r="CY624" s="26"/>
      <c r="CZ624" s="26"/>
      <c r="DA624" s="26"/>
      <c r="DB624" s="26"/>
      <c r="DC624" s="26"/>
      <c r="DD624" s="26"/>
      <c r="DE624" s="26"/>
      <c r="DF624" s="26"/>
      <c r="DG624" s="26"/>
      <c r="DH624" s="26"/>
      <c r="DI624" s="26"/>
      <c r="DJ624" s="26"/>
      <c r="DK624" s="26"/>
      <c r="DL624" s="26"/>
      <c r="DM624" s="26"/>
      <c r="DN624" s="26"/>
      <c r="DO624" s="26"/>
      <c r="DP624" s="26"/>
      <c r="DQ624" s="26"/>
      <c r="DR624" s="26"/>
      <c r="DS624" s="26"/>
      <c r="DT624" s="26"/>
      <c r="DU624" s="26"/>
      <c r="DV624" s="26"/>
      <c r="DW624" s="26"/>
      <c r="DX624" s="26"/>
      <c r="DY624" s="26"/>
      <c r="DZ624" s="26"/>
      <c r="EA624" s="26"/>
      <c r="EB624" s="26"/>
      <c r="EC624" s="26"/>
      <c r="ED624" s="26"/>
      <c r="EE624" s="26"/>
      <c r="EF624" s="26"/>
      <c r="EG624" s="26"/>
      <c r="EH624" s="26"/>
      <c r="EI624" s="26"/>
      <c r="EJ624" s="26"/>
      <c r="EK624" s="26"/>
      <c r="EL624" s="26"/>
      <c r="EM624" s="26"/>
      <c r="EN624" s="26"/>
      <c r="EO624" s="26"/>
      <c r="EP624" s="26"/>
      <c r="EQ624" s="26"/>
      <c r="ER624" s="26"/>
      <c r="ES624" s="26"/>
      <c r="ET624" s="26"/>
      <c r="EU624" s="26"/>
      <c r="EV624" s="26"/>
      <c r="EW624" s="26"/>
      <c r="EX624" s="26"/>
      <c r="EY624" s="26"/>
      <c r="EZ624" s="26"/>
      <c r="FA624" s="60"/>
      <c r="FB624" s="60"/>
      <c r="FC624" s="60"/>
      <c r="FD624" s="60"/>
      <c r="FE624" s="60"/>
      <c r="FF624" s="60"/>
      <c r="FG624" s="60"/>
      <c r="FH624" s="60"/>
      <c r="FI624" s="60"/>
      <c r="FJ624" s="60"/>
      <c r="FK624" s="60"/>
      <c r="FL624" s="60"/>
      <c r="FM624" s="60"/>
      <c r="FN624" s="60"/>
      <c r="FO624" s="60"/>
      <c r="FP624" s="60"/>
      <c r="FQ624" s="60"/>
      <c r="FR624" s="60"/>
      <c r="FS624" s="60"/>
      <c r="FT624" s="60"/>
      <c r="FU624" s="60"/>
      <c r="FV624" s="60"/>
      <c r="FW624" s="60"/>
      <c r="FX624" s="60"/>
    </row>
    <row r="625">
      <c r="A625" s="18"/>
      <c r="B625" s="14"/>
      <c r="C625" s="14"/>
      <c r="D625" s="14"/>
      <c r="E625" s="18"/>
      <c r="F625" s="18"/>
      <c r="G625" s="18"/>
      <c r="H625" s="18"/>
      <c r="I625" s="18"/>
      <c r="J625" s="18"/>
      <c r="K625" s="18"/>
      <c r="L625" s="18"/>
      <c r="M625" s="18"/>
      <c r="N625" s="18"/>
      <c r="O625" s="18"/>
      <c r="P625" s="23"/>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6"/>
      <c r="BG625" s="26"/>
      <c r="BH625" s="26"/>
      <c r="BI625" s="26"/>
      <c r="BJ625" s="26"/>
      <c r="BK625" s="26"/>
      <c r="BL625" s="26"/>
      <c r="BM625" s="26"/>
      <c r="BN625" s="26"/>
      <c r="BO625" s="26"/>
      <c r="BP625" s="26"/>
      <c r="BQ625" s="26"/>
      <c r="BR625" s="26"/>
      <c r="BS625" s="26"/>
      <c r="BT625" s="26"/>
      <c r="BU625" s="26"/>
      <c r="BV625" s="26"/>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26"/>
      <c r="CU625" s="26"/>
      <c r="CV625" s="26"/>
      <c r="CW625" s="26"/>
      <c r="CX625" s="26"/>
      <c r="CY625" s="26"/>
      <c r="CZ625" s="26"/>
      <c r="DA625" s="26"/>
      <c r="DB625" s="26"/>
      <c r="DC625" s="26"/>
      <c r="DD625" s="26"/>
      <c r="DE625" s="26"/>
      <c r="DF625" s="26"/>
      <c r="DG625" s="26"/>
      <c r="DH625" s="26"/>
      <c r="DI625" s="26"/>
      <c r="DJ625" s="26"/>
      <c r="DK625" s="26"/>
      <c r="DL625" s="26"/>
      <c r="DM625" s="26"/>
      <c r="DN625" s="26"/>
      <c r="DO625" s="26"/>
      <c r="DP625" s="26"/>
      <c r="DQ625" s="26"/>
      <c r="DR625" s="26"/>
      <c r="DS625" s="26"/>
      <c r="DT625" s="26"/>
      <c r="DU625" s="26"/>
      <c r="DV625" s="26"/>
      <c r="DW625" s="26"/>
      <c r="DX625" s="26"/>
      <c r="DY625" s="26"/>
      <c r="DZ625" s="26"/>
      <c r="EA625" s="26"/>
      <c r="EB625" s="26"/>
      <c r="EC625" s="26"/>
      <c r="ED625" s="26"/>
      <c r="EE625" s="26"/>
      <c r="EF625" s="26"/>
      <c r="EG625" s="26"/>
      <c r="EH625" s="26"/>
      <c r="EI625" s="26"/>
      <c r="EJ625" s="26"/>
      <c r="EK625" s="26"/>
      <c r="EL625" s="26"/>
      <c r="EM625" s="26"/>
      <c r="EN625" s="26"/>
      <c r="EO625" s="26"/>
      <c r="EP625" s="26"/>
      <c r="EQ625" s="26"/>
      <c r="ER625" s="26"/>
      <c r="ES625" s="26"/>
      <c r="ET625" s="26"/>
      <c r="EU625" s="26"/>
      <c r="EV625" s="26"/>
      <c r="EW625" s="26"/>
      <c r="EX625" s="26"/>
      <c r="EY625" s="26"/>
      <c r="EZ625" s="26"/>
      <c r="FA625" s="60"/>
      <c r="FB625" s="60"/>
      <c r="FC625" s="60"/>
      <c r="FD625" s="60"/>
      <c r="FE625" s="60"/>
      <c r="FF625" s="60"/>
      <c r="FG625" s="60"/>
      <c r="FH625" s="60"/>
      <c r="FI625" s="60"/>
      <c r="FJ625" s="60"/>
      <c r="FK625" s="60"/>
      <c r="FL625" s="60"/>
      <c r="FM625" s="60"/>
      <c r="FN625" s="60"/>
      <c r="FO625" s="60"/>
      <c r="FP625" s="60"/>
      <c r="FQ625" s="60"/>
      <c r="FR625" s="60"/>
      <c r="FS625" s="60"/>
      <c r="FT625" s="60"/>
      <c r="FU625" s="60"/>
      <c r="FV625" s="60"/>
      <c r="FW625" s="60"/>
      <c r="FX625" s="60"/>
    </row>
    <row r="626">
      <c r="A626" s="18"/>
      <c r="B626" s="14"/>
      <c r="C626" s="14"/>
      <c r="D626" s="14"/>
      <c r="E626" s="18"/>
      <c r="F626" s="18"/>
      <c r="G626" s="18"/>
      <c r="H626" s="18"/>
      <c r="I626" s="18"/>
      <c r="J626" s="18"/>
      <c r="K626" s="18"/>
      <c r="L626" s="18"/>
      <c r="M626" s="18"/>
      <c r="N626" s="18"/>
      <c r="O626" s="18"/>
      <c r="P626" s="23"/>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c r="BO626" s="26"/>
      <c r="BP626" s="26"/>
      <c r="BQ626" s="26"/>
      <c r="BR626" s="26"/>
      <c r="BS626" s="26"/>
      <c r="BT626" s="26"/>
      <c r="BU626" s="26"/>
      <c r="BV626" s="26"/>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26"/>
      <c r="CU626" s="26"/>
      <c r="CV626" s="26"/>
      <c r="CW626" s="26"/>
      <c r="CX626" s="26"/>
      <c r="CY626" s="26"/>
      <c r="CZ626" s="26"/>
      <c r="DA626" s="26"/>
      <c r="DB626" s="26"/>
      <c r="DC626" s="26"/>
      <c r="DD626" s="26"/>
      <c r="DE626" s="26"/>
      <c r="DF626" s="26"/>
      <c r="DG626" s="26"/>
      <c r="DH626" s="26"/>
      <c r="DI626" s="26"/>
      <c r="DJ626" s="26"/>
      <c r="DK626" s="26"/>
      <c r="DL626" s="26"/>
      <c r="DM626" s="26"/>
      <c r="DN626" s="26"/>
      <c r="DO626" s="26"/>
      <c r="DP626" s="26"/>
      <c r="DQ626" s="26"/>
      <c r="DR626" s="26"/>
      <c r="DS626" s="26"/>
      <c r="DT626" s="26"/>
      <c r="DU626" s="26"/>
      <c r="DV626" s="26"/>
      <c r="DW626" s="26"/>
      <c r="DX626" s="26"/>
      <c r="DY626" s="26"/>
      <c r="DZ626" s="26"/>
      <c r="EA626" s="26"/>
      <c r="EB626" s="26"/>
      <c r="EC626" s="26"/>
      <c r="ED626" s="26"/>
      <c r="EE626" s="26"/>
      <c r="EF626" s="26"/>
      <c r="EG626" s="26"/>
      <c r="EH626" s="26"/>
      <c r="EI626" s="26"/>
      <c r="EJ626" s="26"/>
      <c r="EK626" s="26"/>
      <c r="EL626" s="26"/>
      <c r="EM626" s="26"/>
      <c r="EN626" s="26"/>
      <c r="EO626" s="26"/>
      <c r="EP626" s="26"/>
      <c r="EQ626" s="26"/>
      <c r="ER626" s="26"/>
      <c r="ES626" s="26"/>
      <c r="ET626" s="26"/>
      <c r="EU626" s="26"/>
      <c r="EV626" s="26"/>
      <c r="EW626" s="26"/>
      <c r="EX626" s="26"/>
      <c r="EY626" s="26"/>
      <c r="EZ626" s="26"/>
      <c r="FA626" s="60"/>
      <c r="FB626" s="60"/>
      <c r="FC626" s="60"/>
      <c r="FD626" s="60"/>
      <c r="FE626" s="60"/>
      <c r="FF626" s="60"/>
      <c r="FG626" s="60"/>
      <c r="FH626" s="60"/>
      <c r="FI626" s="60"/>
      <c r="FJ626" s="60"/>
      <c r="FK626" s="60"/>
      <c r="FL626" s="60"/>
      <c r="FM626" s="60"/>
      <c r="FN626" s="60"/>
      <c r="FO626" s="60"/>
      <c r="FP626" s="60"/>
      <c r="FQ626" s="60"/>
      <c r="FR626" s="60"/>
      <c r="FS626" s="60"/>
      <c r="FT626" s="60"/>
      <c r="FU626" s="60"/>
      <c r="FV626" s="60"/>
      <c r="FW626" s="60"/>
      <c r="FX626" s="60"/>
    </row>
    <row r="627">
      <c r="A627" s="18"/>
      <c r="B627" s="14"/>
      <c r="C627" s="14"/>
      <c r="D627" s="14"/>
      <c r="E627" s="18"/>
      <c r="F627" s="18"/>
      <c r="G627" s="18"/>
      <c r="H627" s="18"/>
      <c r="I627" s="18"/>
      <c r="J627" s="18"/>
      <c r="K627" s="18"/>
      <c r="L627" s="18"/>
      <c r="M627" s="18"/>
      <c r="N627" s="18"/>
      <c r="O627" s="18"/>
      <c r="P627" s="23"/>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6"/>
      <c r="BG627" s="26"/>
      <c r="BH627" s="26"/>
      <c r="BI627" s="26"/>
      <c r="BJ627" s="26"/>
      <c r="BK627" s="26"/>
      <c r="BL627" s="26"/>
      <c r="BM627" s="26"/>
      <c r="BN627" s="26"/>
      <c r="BO627" s="26"/>
      <c r="BP627" s="26"/>
      <c r="BQ627" s="26"/>
      <c r="BR627" s="26"/>
      <c r="BS627" s="26"/>
      <c r="BT627" s="26"/>
      <c r="BU627" s="26"/>
      <c r="BV627" s="26"/>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26"/>
      <c r="CU627" s="26"/>
      <c r="CV627" s="26"/>
      <c r="CW627" s="26"/>
      <c r="CX627" s="26"/>
      <c r="CY627" s="26"/>
      <c r="CZ627" s="26"/>
      <c r="DA627" s="26"/>
      <c r="DB627" s="26"/>
      <c r="DC627" s="26"/>
      <c r="DD627" s="26"/>
      <c r="DE627" s="26"/>
      <c r="DF627" s="26"/>
      <c r="DG627" s="26"/>
      <c r="DH627" s="26"/>
      <c r="DI627" s="26"/>
      <c r="DJ627" s="26"/>
      <c r="DK627" s="26"/>
      <c r="DL627" s="26"/>
      <c r="DM627" s="26"/>
      <c r="DN627" s="26"/>
      <c r="DO627" s="26"/>
      <c r="DP627" s="26"/>
      <c r="DQ627" s="26"/>
      <c r="DR627" s="26"/>
      <c r="DS627" s="26"/>
      <c r="DT627" s="26"/>
      <c r="DU627" s="26"/>
      <c r="DV627" s="26"/>
      <c r="DW627" s="26"/>
      <c r="DX627" s="26"/>
      <c r="DY627" s="26"/>
      <c r="DZ627" s="26"/>
      <c r="EA627" s="26"/>
      <c r="EB627" s="26"/>
      <c r="EC627" s="26"/>
      <c r="ED627" s="26"/>
      <c r="EE627" s="26"/>
      <c r="EF627" s="26"/>
      <c r="EG627" s="26"/>
      <c r="EH627" s="26"/>
      <c r="EI627" s="26"/>
      <c r="EJ627" s="26"/>
      <c r="EK627" s="26"/>
      <c r="EL627" s="26"/>
      <c r="EM627" s="26"/>
      <c r="EN627" s="26"/>
      <c r="EO627" s="26"/>
      <c r="EP627" s="26"/>
      <c r="EQ627" s="26"/>
      <c r="ER627" s="26"/>
      <c r="ES627" s="26"/>
      <c r="ET627" s="26"/>
      <c r="EU627" s="26"/>
      <c r="EV627" s="26"/>
      <c r="EW627" s="26"/>
      <c r="EX627" s="26"/>
      <c r="EY627" s="26"/>
      <c r="EZ627" s="26"/>
      <c r="FA627" s="60"/>
      <c r="FB627" s="60"/>
      <c r="FC627" s="60"/>
      <c r="FD627" s="60"/>
      <c r="FE627" s="60"/>
      <c r="FF627" s="60"/>
      <c r="FG627" s="60"/>
      <c r="FH627" s="60"/>
      <c r="FI627" s="60"/>
      <c r="FJ627" s="60"/>
      <c r="FK627" s="60"/>
      <c r="FL627" s="60"/>
      <c r="FM627" s="60"/>
      <c r="FN627" s="60"/>
      <c r="FO627" s="60"/>
      <c r="FP627" s="60"/>
      <c r="FQ627" s="60"/>
      <c r="FR627" s="60"/>
      <c r="FS627" s="60"/>
      <c r="FT627" s="60"/>
      <c r="FU627" s="60"/>
      <c r="FV627" s="60"/>
      <c r="FW627" s="60"/>
      <c r="FX627" s="60"/>
    </row>
    <row r="628">
      <c r="A628" s="18"/>
      <c r="B628" s="14"/>
      <c r="C628" s="14"/>
      <c r="D628" s="14"/>
      <c r="E628" s="18"/>
      <c r="F628" s="18"/>
      <c r="G628" s="18"/>
      <c r="H628" s="18"/>
      <c r="I628" s="18"/>
      <c r="J628" s="18"/>
      <c r="K628" s="18"/>
      <c r="L628" s="18"/>
      <c r="M628" s="18"/>
      <c r="N628" s="18"/>
      <c r="O628" s="18"/>
      <c r="P628" s="23"/>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c r="BO628" s="26"/>
      <c r="BP628" s="26"/>
      <c r="BQ628" s="26"/>
      <c r="BR628" s="26"/>
      <c r="BS628" s="26"/>
      <c r="BT628" s="26"/>
      <c r="BU628" s="26"/>
      <c r="BV628" s="26"/>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26"/>
      <c r="CU628" s="26"/>
      <c r="CV628" s="26"/>
      <c r="CW628" s="26"/>
      <c r="CX628" s="26"/>
      <c r="CY628" s="26"/>
      <c r="CZ628" s="26"/>
      <c r="DA628" s="26"/>
      <c r="DB628" s="26"/>
      <c r="DC628" s="26"/>
      <c r="DD628" s="26"/>
      <c r="DE628" s="26"/>
      <c r="DF628" s="26"/>
      <c r="DG628" s="26"/>
      <c r="DH628" s="26"/>
      <c r="DI628" s="26"/>
      <c r="DJ628" s="26"/>
      <c r="DK628" s="26"/>
      <c r="DL628" s="26"/>
      <c r="DM628" s="26"/>
      <c r="DN628" s="26"/>
      <c r="DO628" s="26"/>
      <c r="DP628" s="26"/>
      <c r="DQ628" s="26"/>
      <c r="DR628" s="26"/>
      <c r="DS628" s="26"/>
      <c r="DT628" s="26"/>
      <c r="DU628" s="26"/>
      <c r="DV628" s="26"/>
      <c r="DW628" s="26"/>
      <c r="DX628" s="26"/>
      <c r="DY628" s="26"/>
      <c r="DZ628" s="26"/>
      <c r="EA628" s="26"/>
      <c r="EB628" s="26"/>
      <c r="EC628" s="26"/>
      <c r="ED628" s="26"/>
      <c r="EE628" s="26"/>
      <c r="EF628" s="26"/>
      <c r="EG628" s="26"/>
      <c r="EH628" s="26"/>
      <c r="EI628" s="26"/>
      <c r="EJ628" s="26"/>
      <c r="EK628" s="26"/>
      <c r="EL628" s="26"/>
      <c r="EM628" s="26"/>
      <c r="EN628" s="26"/>
      <c r="EO628" s="26"/>
      <c r="EP628" s="26"/>
      <c r="EQ628" s="26"/>
      <c r="ER628" s="26"/>
      <c r="ES628" s="26"/>
      <c r="ET628" s="26"/>
      <c r="EU628" s="26"/>
      <c r="EV628" s="26"/>
      <c r="EW628" s="26"/>
      <c r="EX628" s="26"/>
      <c r="EY628" s="26"/>
      <c r="EZ628" s="26"/>
      <c r="FA628" s="60"/>
      <c r="FB628" s="60"/>
      <c r="FC628" s="60"/>
      <c r="FD628" s="60"/>
      <c r="FE628" s="60"/>
      <c r="FF628" s="60"/>
      <c r="FG628" s="60"/>
      <c r="FH628" s="60"/>
      <c r="FI628" s="60"/>
      <c r="FJ628" s="60"/>
      <c r="FK628" s="60"/>
      <c r="FL628" s="60"/>
      <c r="FM628" s="60"/>
      <c r="FN628" s="60"/>
      <c r="FO628" s="60"/>
      <c r="FP628" s="60"/>
      <c r="FQ628" s="60"/>
      <c r="FR628" s="60"/>
      <c r="FS628" s="60"/>
      <c r="FT628" s="60"/>
      <c r="FU628" s="60"/>
      <c r="FV628" s="60"/>
      <c r="FW628" s="60"/>
      <c r="FX628" s="60"/>
    </row>
    <row r="629">
      <c r="A629" s="18"/>
      <c r="B629" s="14"/>
      <c r="C629" s="14"/>
      <c r="D629" s="14"/>
      <c r="E629" s="18"/>
      <c r="F629" s="18"/>
      <c r="G629" s="18"/>
      <c r="H629" s="18"/>
      <c r="I629" s="18"/>
      <c r="J629" s="18"/>
      <c r="K629" s="18"/>
      <c r="L629" s="18"/>
      <c r="M629" s="18"/>
      <c r="N629" s="18"/>
      <c r="O629" s="18"/>
      <c r="P629" s="23"/>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6"/>
      <c r="BG629" s="26"/>
      <c r="BH629" s="26"/>
      <c r="BI629" s="26"/>
      <c r="BJ629" s="26"/>
      <c r="BK629" s="26"/>
      <c r="BL629" s="26"/>
      <c r="BM629" s="26"/>
      <c r="BN629" s="26"/>
      <c r="BO629" s="26"/>
      <c r="BP629" s="26"/>
      <c r="BQ629" s="26"/>
      <c r="BR629" s="26"/>
      <c r="BS629" s="26"/>
      <c r="BT629" s="26"/>
      <c r="BU629" s="26"/>
      <c r="BV629" s="26"/>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26"/>
      <c r="CU629" s="26"/>
      <c r="CV629" s="26"/>
      <c r="CW629" s="26"/>
      <c r="CX629" s="26"/>
      <c r="CY629" s="26"/>
      <c r="CZ629" s="26"/>
      <c r="DA629" s="26"/>
      <c r="DB629" s="26"/>
      <c r="DC629" s="26"/>
      <c r="DD629" s="26"/>
      <c r="DE629" s="26"/>
      <c r="DF629" s="26"/>
      <c r="DG629" s="26"/>
      <c r="DH629" s="26"/>
      <c r="DI629" s="26"/>
      <c r="DJ629" s="26"/>
      <c r="DK629" s="26"/>
      <c r="DL629" s="26"/>
      <c r="DM629" s="26"/>
      <c r="DN629" s="26"/>
      <c r="DO629" s="26"/>
      <c r="DP629" s="26"/>
      <c r="DQ629" s="26"/>
      <c r="DR629" s="26"/>
      <c r="DS629" s="26"/>
      <c r="DT629" s="26"/>
      <c r="DU629" s="26"/>
      <c r="DV629" s="26"/>
      <c r="DW629" s="26"/>
      <c r="DX629" s="26"/>
      <c r="DY629" s="26"/>
      <c r="DZ629" s="26"/>
      <c r="EA629" s="26"/>
      <c r="EB629" s="26"/>
      <c r="EC629" s="26"/>
      <c r="ED629" s="26"/>
      <c r="EE629" s="26"/>
      <c r="EF629" s="26"/>
      <c r="EG629" s="26"/>
      <c r="EH629" s="26"/>
      <c r="EI629" s="26"/>
      <c r="EJ629" s="26"/>
      <c r="EK629" s="26"/>
      <c r="EL629" s="26"/>
      <c r="EM629" s="26"/>
      <c r="EN629" s="26"/>
      <c r="EO629" s="26"/>
      <c r="EP629" s="26"/>
      <c r="EQ629" s="26"/>
      <c r="ER629" s="26"/>
      <c r="ES629" s="26"/>
      <c r="ET629" s="26"/>
      <c r="EU629" s="26"/>
      <c r="EV629" s="26"/>
      <c r="EW629" s="26"/>
      <c r="EX629" s="26"/>
      <c r="EY629" s="26"/>
      <c r="EZ629" s="26"/>
      <c r="FA629" s="60"/>
      <c r="FB629" s="60"/>
      <c r="FC629" s="60"/>
      <c r="FD629" s="60"/>
      <c r="FE629" s="60"/>
      <c r="FF629" s="60"/>
      <c r="FG629" s="60"/>
      <c r="FH629" s="60"/>
      <c r="FI629" s="60"/>
      <c r="FJ629" s="60"/>
      <c r="FK629" s="60"/>
      <c r="FL629" s="60"/>
      <c r="FM629" s="60"/>
      <c r="FN629" s="60"/>
      <c r="FO629" s="60"/>
      <c r="FP629" s="60"/>
      <c r="FQ629" s="60"/>
      <c r="FR629" s="60"/>
      <c r="FS629" s="60"/>
      <c r="FT629" s="60"/>
      <c r="FU629" s="60"/>
      <c r="FV629" s="60"/>
      <c r="FW629" s="60"/>
      <c r="FX629" s="60"/>
    </row>
    <row r="630">
      <c r="A630" s="18"/>
      <c r="B630" s="14"/>
      <c r="C630" s="14"/>
      <c r="D630" s="14"/>
      <c r="E630" s="18"/>
      <c r="F630" s="18"/>
      <c r="G630" s="18"/>
      <c r="H630" s="18"/>
      <c r="I630" s="18"/>
      <c r="J630" s="18"/>
      <c r="K630" s="18"/>
      <c r="L630" s="18"/>
      <c r="M630" s="18"/>
      <c r="N630" s="18"/>
      <c r="O630" s="18"/>
      <c r="P630" s="23"/>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c r="BO630" s="26"/>
      <c r="BP630" s="26"/>
      <c r="BQ630" s="26"/>
      <c r="BR630" s="26"/>
      <c r="BS630" s="26"/>
      <c r="BT630" s="26"/>
      <c r="BU630" s="26"/>
      <c r="BV630" s="26"/>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26"/>
      <c r="CU630" s="26"/>
      <c r="CV630" s="26"/>
      <c r="CW630" s="26"/>
      <c r="CX630" s="26"/>
      <c r="CY630" s="26"/>
      <c r="CZ630" s="26"/>
      <c r="DA630" s="26"/>
      <c r="DB630" s="26"/>
      <c r="DC630" s="26"/>
      <c r="DD630" s="26"/>
      <c r="DE630" s="26"/>
      <c r="DF630" s="26"/>
      <c r="DG630" s="26"/>
      <c r="DH630" s="26"/>
      <c r="DI630" s="26"/>
      <c r="DJ630" s="26"/>
      <c r="DK630" s="26"/>
      <c r="DL630" s="26"/>
      <c r="DM630" s="26"/>
      <c r="DN630" s="26"/>
      <c r="DO630" s="26"/>
      <c r="DP630" s="26"/>
      <c r="DQ630" s="26"/>
      <c r="DR630" s="26"/>
      <c r="DS630" s="26"/>
      <c r="DT630" s="26"/>
      <c r="DU630" s="26"/>
      <c r="DV630" s="26"/>
      <c r="DW630" s="26"/>
      <c r="DX630" s="26"/>
      <c r="DY630" s="26"/>
      <c r="DZ630" s="26"/>
      <c r="EA630" s="26"/>
      <c r="EB630" s="26"/>
      <c r="EC630" s="26"/>
      <c r="ED630" s="26"/>
      <c r="EE630" s="26"/>
      <c r="EF630" s="26"/>
      <c r="EG630" s="26"/>
      <c r="EH630" s="26"/>
      <c r="EI630" s="26"/>
      <c r="EJ630" s="26"/>
      <c r="EK630" s="26"/>
      <c r="EL630" s="26"/>
      <c r="EM630" s="26"/>
      <c r="EN630" s="26"/>
      <c r="EO630" s="26"/>
      <c r="EP630" s="26"/>
      <c r="EQ630" s="26"/>
      <c r="ER630" s="26"/>
      <c r="ES630" s="26"/>
      <c r="ET630" s="26"/>
      <c r="EU630" s="26"/>
      <c r="EV630" s="26"/>
      <c r="EW630" s="26"/>
      <c r="EX630" s="26"/>
      <c r="EY630" s="26"/>
      <c r="EZ630" s="26"/>
      <c r="FA630" s="60"/>
      <c r="FB630" s="60"/>
      <c r="FC630" s="60"/>
      <c r="FD630" s="60"/>
      <c r="FE630" s="60"/>
      <c r="FF630" s="60"/>
      <c r="FG630" s="60"/>
      <c r="FH630" s="60"/>
      <c r="FI630" s="60"/>
      <c r="FJ630" s="60"/>
      <c r="FK630" s="60"/>
      <c r="FL630" s="60"/>
      <c r="FM630" s="60"/>
      <c r="FN630" s="60"/>
      <c r="FO630" s="60"/>
      <c r="FP630" s="60"/>
      <c r="FQ630" s="60"/>
      <c r="FR630" s="60"/>
      <c r="FS630" s="60"/>
      <c r="FT630" s="60"/>
      <c r="FU630" s="60"/>
      <c r="FV630" s="60"/>
      <c r="FW630" s="60"/>
      <c r="FX630" s="60"/>
    </row>
    <row r="631">
      <c r="A631" s="18"/>
      <c r="B631" s="14"/>
      <c r="C631" s="14"/>
      <c r="D631" s="14"/>
      <c r="E631" s="18"/>
      <c r="F631" s="18"/>
      <c r="G631" s="18"/>
      <c r="H631" s="18"/>
      <c r="I631" s="18"/>
      <c r="J631" s="18"/>
      <c r="K631" s="18"/>
      <c r="L631" s="18"/>
      <c r="M631" s="18"/>
      <c r="N631" s="18"/>
      <c r="O631" s="18"/>
      <c r="P631" s="23"/>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26"/>
      <c r="CU631" s="26"/>
      <c r="CV631" s="26"/>
      <c r="CW631" s="26"/>
      <c r="CX631" s="26"/>
      <c r="CY631" s="26"/>
      <c r="CZ631" s="26"/>
      <c r="DA631" s="26"/>
      <c r="DB631" s="26"/>
      <c r="DC631" s="26"/>
      <c r="DD631" s="26"/>
      <c r="DE631" s="26"/>
      <c r="DF631" s="26"/>
      <c r="DG631" s="26"/>
      <c r="DH631" s="26"/>
      <c r="DI631" s="26"/>
      <c r="DJ631" s="26"/>
      <c r="DK631" s="26"/>
      <c r="DL631" s="26"/>
      <c r="DM631" s="26"/>
      <c r="DN631" s="26"/>
      <c r="DO631" s="26"/>
      <c r="DP631" s="26"/>
      <c r="DQ631" s="26"/>
      <c r="DR631" s="26"/>
      <c r="DS631" s="26"/>
      <c r="DT631" s="26"/>
      <c r="DU631" s="26"/>
      <c r="DV631" s="26"/>
      <c r="DW631" s="26"/>
      <c r="DX631" s="26"/>
      <c r="DY631" s="26"/>
      <c r="DZ631" s="26"/>
      <c r="EA631" s="26"/>
      <c r="EB631" s="26"/>
      <c r="EC631" s="26"/>
      <c r="ED631" s="26"/>
      <c r="EE631" s="26"/>
      <c r="EF631" s="26"/>
      <c r="EG631" s="26"/>
      <c r="EH631" s="26"/>
      <c r="EI631" s="26"/>
      <c r="EJ631" s="26"/>
      <c r="EK631" s="26"/>
      <c r="EL631" s="26"/>
      <c r="EM631" s="26"/>
      <c r="EN631" s="26"/>
      <c r="EO631" s="26"/>
      <c r="EP631" s="26"/>
      <c r="EQ631" s="26"/>
      <c r="ER631" s="26"/>
      <c r="ES631" s="26"/>
      <c r="ET631" s="26"/>
      <c r="EU631" s="26"/>
      <c r="EV631" s="26"/>
      <c r="EW631" s="26"/>
      <c r="EX631" s="26"/>
      <c r="EY631" s="26"/>
      <c r="EZ631" s="26"/>
      <c r="FA631" s="60"/>
      <c r="FB631" s="60"/>
      <c r="FC631" s="60"/>
      <c r="FD631" s="60"/>
      <c r="FE631" s="60"/>
      <c r="FF631" s="60"/>
      <c r="FG631" s="60"/>
      <c r="FH631" s="60"/>
      <c r="FI631" s="60"/>
      <c r="FJ631" s="60"/>
      <c r="FK631" s="60"/>
      <c r="FL631" s="60"/>
      <c r="FM631" s="60"/>
      <c r="FN631" s="60"/>
      <c r="FO631" s="60"/>
      <c r="FP631" s="60"/>
      <c r="FQ631" s="60"/>
      <c r="FR631" s="60"/>
      <c r="FS631" s="60"/>
      <c r="FT631" s="60"/>
      <c r="FU631" s="60"/>
      <c r="FV631" s="60"/>
      <c r="FW631" s="60"/>
      <c r="FX631" s="60"/>
    </row>
    <row r="632">
      <c r="A632" s="18"/>
      <c r="B632" s="14"/>
      <c r="C632" s="14"/>
      <c r="D632" s="14"/>
      <c r="E632" s="18"/>
      <c r="F632" s="18"/>
      <c r="G632" s="18"/>
      <c r="H632" s="18"/>
      <c r="I632" s="18"/>
      <c r="J632" s="18"/>
      <c r="K632" s="18"/>
      <c r="L632" s="18"/>
      <c r="M632" s="18"/>
      <c r="N632" s="18"/>
      <c r="O632" s="18"/>
      <c r="P632" s="23"/>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26"/>
      <c r="CU632" s="26"/>
      <c r="CV632" s="26"/>
      <c r="CW632" s="26"/>
      <c r="CX632" s="26"/>
      <c r="CY632" s="26"/>
      <c r="CZ632" s="26"/>
      <c r="DA632" s="26"/>
      <c r="DB632" s="26"/>
      <c r="DC632" s="26"/>
      <c r="DD632" s="26"/>
      <c r="DE632" s="26"/>
      <c r="DF632" s="26"/>
      <c r="DG632" s="26"/>
      <c r="DH632" s="26"/>
      <c r="DI632" s="26"/>
      <c r="DJ632" s="26"/>
      <c r="DK632" s="26"/>
      <c r="DL632" s="26"/>
      <c r="DM632" s="26"/>
      <c r="DN632" s="26"/>
      <c r="DO632" s="26"/>
      <c r="DP632" s="26"/>
      <c r="DQ632" s="26"/>
      <c r="DR632" s="26"/>
      <c r="DS632" s="26"/>
      <c r="DT632" s="26"/>
      <c r="DU632" s="26"/>
      <c r="DV632" s="26"/>
      <c r="DW632" s="26"/>
      <c r="DX632" s="26"/>
      <c r="DY632" s="26"/>
      <c r="DZ632" s="26"/>
      <c r="EA632" s="26"/>
      <c r="EB632" s="26"/>
      <c r="EC632" s="26"/>
      <c r="ED632" s="26"/>
      <c r="EE632" s="26"/>
      <c r="EF632" s="26"/>
      <c r="EG632" s="26"/>
      <c r="EH632" s="26"/>
      <c r="EI632" s="26"/>
      <c r="EJ632" s="26"/>
      <c r="EK632" s="26"/>
      <c r="EL632" s="26"/>
      <c r="EM632" s="26"/>
      <c r="EN632" s="26"/>
      <c r="EO632" s="26"/>
      <c r="EP632" s="26"/>
      <c r="EQ632" s="26"/>
      <c r="ER632" s="26"/>
      <c r="ES632" s="26"/>
      <c r="ET632" s="26"/>
      <c r="EU632" s="26"/>
      <c r="EV632" s="26"/>
      <c r="EW632" s="26"/>
      <c r="EX632" s="26"/>
      <c r="EY632" s="26"/>
      <c r="EZ632" s="26"/>
      <c r="FA632" s="60"/>
      <c r="FB632" s="60"/>
      <c r="FC632" s="60"/>
      <c r="FD632" s="60"/>
      <c r="FE632" s="60"/>
      <c r="FF632" s="60"/>
      <c r="FG632" s="60"/>
      <c r="FH632" s="60"/>
      <c r="FI632" s="60"/>
      <c r="FJ632" s="60"/>
      <c r="FK632" s="60"/>
      <c r="FL632" s="60"/>
      <c r="FM632" s="60"/>
      <c r="FN632" s="60"/>
      <c r="FO632" s="60"/>
      <c r="FP632" s="60"/>
      <c r="FQ632" s="60"/>
      <c r="FR632" s="60"/>
      <c r="FS632" s="60"/>
      <c r="FT632" s="60"/>
      <c r="FU632" s="60"/>
      <c r="FV632" s="60"/>
      <c r="FW632" s="60"/>
      <c r="FX632" s="60"/>
    </row>
    <row r="633">
      <c r="A633" s="18"/>
      <c r="B633" s="14"/>
      <c r="C633" s="14"/>
      <c r="D633" s="14"/>
      <c r="E633" s="18"/>
      <c r="F633" s="18"/>
      <c r="G633" s="18"/>
      <c r="H633" s="18"/>
      <c r="I633" s="18"/>
      <c r="J633" s="18"/>
      <c r="K633" s="18"/>
      <c r="L633" s="18"/>
      <c r="M633" s="18"/>
      <c r="N633" s="18"/>
      <c r="O633" s="18"/>
      <c r="P633" s="23"/>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6"/>
      <c r="BG633" s="26"/>
      <c r="BH633" s="26"/>
      <c r="BI633" s="26"/>
      <c r="BJ633" s="26"/>
      <c r="BK633" s="26"/>
      <c r="BL633" s="26"/>
      <c r="BM633" s="26"/>
      <c r="BN633" s="26"/>
      <c r="BO633" s="26"/>
      <c r="BP633" s="26"/>
      <c r="BQ633" s="26"/>
      <c r="BR633" s="26"/>
      <c r="BS633" s="26"/>
      <c r="BT633" s="26"/>
      <c r="BU633" s="26"/>
      <c r="BV633" s="26"/>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26"/>
      <c r="CU633" s="26"/>
      <c r="CV633" s="26"/>
      <c r="CW633" s="26"/>
      <c r="CX633" s="26"/>
      <c r="CY633" s="26"/>
      <c r="CZ633" s="26"/>
      <c r="DA633" s="26"/>
      <c r="DB633" s="26"/>
      <c r="DC633" s="26"/>
      <c r="DD633" s="26"/>
      <c r="DE633" s="26"/>
      <c r="DF633" s="26"/>
      <c r="DG633" s="26"/>
      <c r="DH633" s="26"/>
      <c r="DI633" s="26"/>
      <c r="DJ633" s="26"/>
      <c r="DK633" s="26"/>
      <c r="DL633" s="26"/>
      <c r="DM633" s="26"/>
      <c r="DN633" s="26"/>
      <c r="DO633" s="26"/>
      <c r="DP633" s="26"/>
      <c r="DQ633" s="26"/>
      <c r="DR633" s="26"/>
      <c r="DS633" s="26"/>
      <c r="DT633" s="26"/>
      <c r="DU633" s="26"/>
      <c r="DV633" s="26"/>
      <c r="DW633" s="26"/>
      <c r="DX633" s="26"/>
      <c r="DY633" s="26"/>
      <c r="DZ633" s="26"/>
      <c r="EA633" s="26"/>
      <c r="EB633" s="26"/>
      <c r="EC633" s="26"/>
      <c r="ED633" s="26"/>
      <c r="EE633" s="26"/>
      <c r="EF633" s="26"/>
      <c r="EG633" s="26"/>
      <c r="EH633" s="26"/>
      <c r="EI633" s="26"/>
      <c r="EJ633" s="26"/>
      <c r="EK633" s="26"/>
      <c r="EL633" s="26"/>
      <c r="EM633" s="26"/>
      <c r="EN633" s="26"/>
      <c r="EO633" s="26"/>
      <c r="EP633" s="26"/>
      <c r="EQ633" s="26"/>
      <c r="ER633" s="26"/>
      <c r="ES633" s="26"/>
      <c r="ET633" s="26"/>
      <c r="EU633" s="26"/>
      <c r="EV633" s="26"/>
      <c r="EW633" s="26"/>
      <c r="EX633" s="26"/>
      <c r="EY633" s="26"/>
      <c r="EZ633" s="26"/>
      <c r="FA633" s="60"/>
      <c r="FB633" s="60"/>
      <c r="FC633" s="60"/>
      <c r="FD633" s="60"/>
      <c r="FE633" s="60"/>
      <c r="FF633" s="60"/>
      <c r="FG633" s="60"/>
      <c r="FH633" s="60"/>
      <c r="FI633" s="60"/>
      <c r="FJ633" s="60"/>
      <c r="FK633" s="60"/>
      <c r="FL633" s="60"/>
      <c r="FM633" s="60"/>
      <c r="FN633" s="60"/>
      <c r="FO633" s="60"/>
      <c r="FP633" s="60"/>
      <c r="FQ633" s="60"/>
      <c r="FR633" s="60"/>
      <c r="FS633" s="60"/>
      <c r="FT633" s="60"/>
      <c r="FU633" s="60"/>
      <c r="FV633" s="60"/>
      <c r="FW633" s="60"/>
      <c r="FX633" s="60"/>
    </row>
    <row r="634">
      <c r="A634" s="18"/>
      <c r="B634" s="14"/>
      <c r="C634" s="14"/>
      <c r="D634" s="14"/>
      <c r="E634" s="18"/>
      <c r="F634" s="18"/>
      <c r="G634" s="18"/>
      <c r="H634" s="18"/>
      <c r="I634" s="18"/>
      <c r="J634" s="18"/>
      <c r="K634" s="18"/>
      <c r="L634" s="18"/>
      <c r="M634" s="18"/>
      <c r="N634" s="18"/>
      <c r="O634" s="18"/>
      <c r="P634" s="23"/>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c r="BO634" s="26"/>
      <c r="BP634" s="26"/>
      <c r="BQ634" s="26"/>
      <c r="BR634" s="26"/>
      <c r="BS634" s="26"/>
      <c r="BT634" s="26"/>
      <c r="BU634" s="26"/>
      <c r="BV634" s="26"/>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26"/>
      <c r="CU634" s="26"/>
      <c r="CV634" s="26"/>
      <c r="CW634" s="26"/>
      <c r="CX634" s="26"/>
      <c r="CY634" s="26"/>
      <c r="CZ634" s="26"/>
      <c r="DA634" s="26"/>
      <c r="DB634" s="26"/>
      <c r="DC634" s="26"/>
      <c r="DD634" s="26"/>
      <c r="DE634" s="26"/>
      <c r="DF634" s="26"/>
      <c r="DG634" s="26"/>
      <c r="DH634" s="26"/>
      <c r="DI634" s="26"/>
      <c r="DJ634" s="26"/>
      <c r="DK634" s="26"/>
      <c r="DL634" s="26"/>
      <c r="DM634" s="26"/>
      <c r="DN634" s="26"/>
      <c r="DO634" s="26"/>
      <c r="DP634" s="26"/>
      <c r="DQ634" s="26"/>
      <c r="DR634" s="26"/>
      <c r="DS634" s="26"/>
      <c r="DT634" s="26"/>
      <c r="DU634" s="26"/>
      <c r="DV634" s="26"/>
      <c r="DW634" s="26"/>
      <c r="DX634" s="26"/>
      <c r="DY634" s="26"/>
      <c r="DZ634" s="26"/>
      <c r="EA634" s="26"/>
      <c r="EB634" s="26"/>
      <c r="EC634" s="26"/>
      <c r="ED634" s="26"/>
      <c r="EE634" s="26"/>
      <c r="EF634" s="26"/>
      <c r="EG634" s="26"/>
      <c r="EH634" s="26"/>
      <c r="EI634" s="26"/>
      <c r="EJ634" s="26"/>
      <c r="EK634" s="26"/>
      <c r="EL634" s="26"/>
      <c r="EM634" s="26"/>
      <c r="EN634" s="26"/>
      <c r="EO634" s="26"/>
      <c r="EP634" s="26"/>
      <c r="EQ634" s="26"/>
      <c r="ER634" s="26"/>
      <c r="ES634" s="26"/>
      <c r="ET634" s="26"/>
      <c r="EU634" s="26"/>
      <c r="EV634" s="26"/>
      <c r="EW634" s="26"/>
      <c r="EX634" s="26"/>
      <c r="EY634" s="26"/>
      <c r="EZ634" s="26"/>
      <c r="FA634" s="60"/>
      <c r="FB634" s="60"/>
      <c r="FC634" s="60"/>
      <c r="FD634" s="60"/>
      <c r="FE634" s="60"/>
      <c r="FF634" s="60"/>
      <c r="FG634" s="60"/>
      <c r="FH634" s="60"/>
      <c r="FI634" s="60"/>
      <c r="FJ634" s="60"/>
      <c r="FK634" s="60"/>
      <c r="FL634" s="60"/>
      <c r="FM634" s="60"/>
      <c r="FN634" s="60"/>
      <c r="FO634" s="60"/>
      <c r="FP634" s="60"/>
      <c r="FQ634" s="60"/>
      <c r="FR634" s="60"/>
      <c r="FS634" s="60"/>
      <c r="FT634" s="60"/>
      <c r="FU634" s="60"/>
      <c r="FV634" s="60"/>
      <c r="FW634" s="60"/>
      <c r="FX634" s="60"/>
    </row>
    <row r="635">
      <c r="A635" s="18"/>
      <c r="B635" s="14"/>
      <c r="C635" s="14"/>
      <c r="D635" s="14"/>
      <c r="E635" s="18"/>
      <c r="F635" s="18"/>
      <c r="G635" s="18"/>
      <c r="H635" s="18"/>
      <c r="I635" s="18"/>
      <c r="J635" s="18"/>
      <c r="K635" s="18"/>
      <c r="L635" s="18"/>
      <c r="M635" s="18"/>
      <c r="N635" s="18"/>
      <c r="O635" s="18"/>
      <c r="P635" s="23"/>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6"/>
      <c r="BG635" s="26"/>
      <c r="BH635" s="26"/>
      <c r="BI635" s="26"/>
      <c r="BJ635" s="26"/>
      <c r="BK635" s="26"/>
      <c r="BL635" s="26"/>
      <c r="BM635" s="26"/>
      <c r="BN635" s="26"/>
      <c r="BO635" s="26"/>
      <c r="BP635" s="26"/>
      <c r="BQ635" s="26"/>
      <c r="BR635" s="26"/>
      <c r="BS635" s="26"/>
      <c r="BT635" s="26"/>
      <c r="BU635" s="26"/>
      <c r="BV635" s="26"/>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26"/>
      <c r="CU635" s="26"/>
      <c r="CV635" s="26"/>
      <c r="CW635" s="26"/>
      <c r="CX635" s="26"/>
      <c r="CY635" s="26"/>
      <c r="CZ635" s="26"/>
      <c r="DA635" s="26"/>
      <c r="DB635" s="26"/>
      <c r="DC635" s="26"/>
      <c r="DD635" s="26"/>
      <c r="DE635" s="26"/>
      <c r="DF635" s="26"/>
      <c r="DG635" s="26"/>
      <c r="DH635" s="26"/>
      <c r="DI635" s="26"/>
      <c r="DJ635" s="26"/>
      <c r="DK635" s="26"/>
      <c r="DL635" s="26"/>
      <c r="DM635" s="26"/>
      <c r="DN635" s="26"/>
      <c r="DO635" s="26"/>
      <c r="DP635" s="26"/>
      <c r="DQ635" s="26"/>
      <c r="DR635" s="26"/>
      <c r="DS635" s="26"/>
      <c r="DT635" s="26"/>
      <c r="DU635" s="26"/>
      <c r="DV635" s="26"/>
      <c r="DW635" s="26"/>
      <c r="DX635" s="26"/>
      <c r="DY635" s="26"/>
      <c r="DZ635" s="26"/>
      <c r="EA635" s="26"/>
      <c r="EB635" s="26"/>
      <c r="EC635" s="26"/>
      <c r="ED635" s="26"/>
      <c r="EE635" s="26"/>
      <c r="EF635" s="26"/>
      <c r="EG635" s="26"/>
      <c r="EH635" s="26"/>
      <c r="EI635" s="26"/>
      <c r="EJ635" s="26"/>
      <c r="EK635" s="26"/>
      <c r="EL635" s="26"/>
      <c r="EM635" s="26"/>
      <c r="EN635" s="26"/>
      <c r="EO635" s="26"/>
      <c r="EP635" s="26"/>
      <c r="EQ635" s="26"/>
      <c r="ER635" s="26"/>
      <c r="ES635" s="26"/>
      <c r="ET635" s="26"/>
      <c r="EU635" s="26"/>
      <c r="EV635" s="26"/>
      <c r="EW635" s="26"/>
      <c r="EX635" s="26"/>
      <c r="EY635" s="26"/>
      <c r="EZ635" s="26"/>
      <c r="FA635" s="60"/>
      <c r="FB635" s="60"/>
      <c r="FC635" s="60"/>
      <c r="FD635" s="60"/>
      <c r="FE635" s="60"/>
      <c r="FF635" s="60"/>
      <c r="FG635" s="60"/>
      <c r="FH635" s="60"/>
      <c r="FI635" s="60"/>
      <c r="FJ635" s="60"/>
      <c r="FK635" s="60"/>
      <c r="FL635" s="60"/>
      <c r="FM635" s="60"/>
      <c r="FN635" s="60"/>
      <c r="FO635" s="60"/>
      <c r="FP635" s="60"/>
      <c r="FQ635" s="60"/>
      <c r="FR635" s="60"/>
      <c r="FS635" s="60"/>
      <c r="FT635" s="60"/>
      <c r="FU635" s="60"/>
      <c r="FV635" s="60"/>
      <c r="FW635" s="60"/>
      <c r="FX635" s="60"/>
    </row>
    <row r="636">
      <c r="A636" s="18"/>
      <c r="B636" s="14"/>
      <c r="C636" s="14"/>
      <c r="D636" s="14"/>
      <c r="E636" s="18"/>
      <c r="F636" s="18"/>
      <c r="G636" s="18"/>
      <c r="H636" s="18"/>
      <c r="I636" s="18"/>
      <c r="J636" s="18"/>
      <c r="K636" s="18"/>
      <c r="L636" s="18"/>
      <c r="M636" s="18"/>
      <c r="N636" s="18"/>
      <c r="O636" s="18"/>
      <c r="P636" s="23"/>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c r="BO636" s="26"/>
      <c r="BP636" s="26"/>
      <c r="BQ636" s="26"/>
      <c r="BR636" s="26"/>
      <c r="BS636" s="26"/>
      <c r="BT636" s="26"/>
      <c r="BU636" s="26"/>
      <c r="BV636" s="26"/>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26"/>
      <c r="CU636" s="26"/>
      <c r="CV636" s="26"/>
      <c r="CW636" s="26"/>
      <c r="CX636" s="26"/>
      <c r="CY636" s="26"/>
      <c r="CZ636" s="26"/>
      <c r="DA636" s="26"/>
      <c r="DB636" s="26"/>
      <c r="DC636" s="26"/>
      <c r="DD636" s="26"/>
      <c r="DE636" s="26"/>
      <c r="DF636" s="26"/>
      <c r="DG636" s="26"/>
      <c r="DH636" s="26"/>
      <c r="DI636" s="26"/>
      <c r="DJ636" s="26"/>
      <c r="DK636" s="26"/>
      <c r="DL636" s="26"/>
      <c r="DM636" s="26"/>
      <c r="DN636" s="26"/>
      <c r="DO636" s="26"/>
      <c r="DP636" s="26"/>
      <c r="DQ636" s="26"/>
      <c r="DR636" s="26"/>
      <c r="DS636" s="26"/>
      <c r="DT636" s="26"/>
      <c r="DU636" s="26"/>
      <c r="DV636" s="26"/>
      <c r="DW636" s="26"/>
      <c r="DX636" s="26"/>
      <c r="DY636" s="26"/>
      <c r="DZ636" s="26"/>
      <c r="EA636" s="26"/>
      <c r="EB636" s="26"/>
      <c r="EC636" s="26"/>
      <c r="ED636" s="26"/>
      <c r="EE636" s="26"/>
      <c r="EF636" s="26"/>
      <c r="EG636" s="26"/>
      <c r="EH636" s="26"/>
      <c r="EI636" s="26"/>
      <c r="EJ636" s="26"/>
      <c r="EK636" s="26"/>
      <c r="EL636" s="26"/>
      <c r="EM636" s="26"/>
      <c r="EN636" s="26"/>
      <c r="EO636" s="26"/>
      <c r="EP636" s="26"/>
      <c r="EQ636" s="26"/>
      <c r="ER636" s="26"/>
      <c r="ES636" s="26"/>
      <c r="ET636" s="26"/>
      <c r="EU636" s="26"/>
      <c r="EV636" s="26"/>
      <c r="EW636" s="26"/>
      <c r="EX636" s="26"/>
      <c r="EY636" s="26"/>
      <c r="EZ636" s="26"/>
      <c r="FA636" s="60"/>
      <c r="FB636" s="60"/>
      <c r="FC636" s="60"/>
      <c r="FD636" s="60"/>
      <c r="FE636" s="60"/>
      <c r="FF636" s="60"/>
      <c r="FG636" s="60"/>
      <c r="FH636" s="60"/>
      <c r="FI636" s="60"/>
      <c r="FJ636" s="60"/>
      <c r="FK636" s="60"/>
      <c r="FL636" s="60"/>
      <c r="FM636" s="60"/>
      <c r="FN636" s="60"/>
      <c r="FO636" s="60"/>
      <c r="FP636" s="60"/>
      <c r="FQ636" s="60"/>
      <c r="FR636" s="60"/>
      <c r="FS636" s="60"/>
      <c r="FT636" s="60"/>
      <c r="FU636" s="60"/>
      <c r="FV636" s="60"/>
      <c r="FW636" s="60"/>
      <c r="FX636" s="60"/>
    </row>
    <row r="637">
      <c r="A637" s="18"/>
      <c r="B637" s="14"/>
      <c r="C637" s="14"/>
      <c r="D637" s="14"/>
      <c r="E637" s="18"/>
      <c r="F637" s="18"/>
      <c r="G637" s="18"/>
      <c r="H637" s="18"/>
      <c r="I637" s="18"/>
      <c r="J637" s="18"/>
      <c r="K637" s="18"/>
      <c r="L637" s="18"/>
      <c r="M637" s="18"/>
      <c r="N637" s="18"/>
      <c r="O637" s="18"/>
      <c r="P637" s="23"/>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6"/>
      <c r="BG637" s="26"/>
      <c r="BH637" s="26"/>
      <c r="BI637" s="26"/>
      <c r="BJ637" s="26"/>
      <c r="BK637" s="26"/>
      <c r="BL637" s="26"/>
      <c r="BM637" s="26"/>
      <c r="BN637" s="26"/>
      <c r="BO637" s="26"/>
      <c r="BP637" s="26"/>
      <c r="BQ637" s="26"/>
      <c r="BR637" s="26"/>
      <c r="BS637" s="26"/>
      <c r="BT637" s="26"/>
      <c r="BU637" s="26"/>
      <c r="BV637" s="26"/>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26"/>
      <c r="CU637" s="26"/>
      <c r="CV637" s="26"/>
      <c r="CW637" s="26"/>
      <c r="CX637" s="26"/>
      <c r="CY637" s="26"/>
      <c r="CZ637" s="26"/>
      <c r="DA637" s="26"/>
      <c r="DB637" s="26"/>
      <c r="DC637" s="26"/>
      <c r="DD637" s="26"/>
      <c r="DE637" s="26"/>
      <c r="DF637" s="26"/>
      <c r="DG637" s="26"/>
      <c r="DH637" s="26"/>
      <c r="DI637" s="26"/>
      <c r="DJ637" s="26"/>
      <c r="DK637" s="26"/>
      <c r="DL637" s="26"/>
      <c r="DM637" s="26"/>
      <c r="DN637" s="26"/>
      <c r="DO637" s="26"/>
      <c r="DP637" s="26"/>
      <c r="DQ637" s="26"/>
      <c r="DR637" s="26"/>
      <c r="DS637" s="26"/>
      <c r="DT637" s="26"/>
      <c r="DU637" s="26"/>
      <c r="DV637" s="26"/>
      <c r="DW637" s="26"/>
      <c r="DX637" s="26"/>
      <c r="DY637" s="26"/>
      <c r="DZ637" s="26"/>
      <c r="EA637" s="26"/>
      <c r="EB637" s="26"/>
      <c r="EC637" s="26"/>
      <c r="ED637" s="26"/>
      <c r="EE637" s="26"/>
      <c r="EF637" s="26"/>
      <c r="EG637" s="26"/>
      <c r="EH637" s="26"/>
      <c r="EI637" s="26"/>
      <c r="EJ637" s="26"/>
      <c r="EK637" s="26"/>
      <c r="EL637" s="26"/>
      <c r="EM637" s="26"/>
      <c r="EN637" s="26"/>
      <c r="EO637" s="26"/>
      <c r="EP637" s="26"/>
      <c r="EQ637" s="26"/>
      <c r="ER637" s="26"/>
      <c r="ES637" s="26"/>
      <c r="ET637" s="26"/>
      <c r="EU637" s="26"/>
      <c r="EV637" s="26"/>
      <c r="EW637" s="26"/>
      <c r="EX637" s="26"/>
      <c r="EY637" s="26"/>
      <c r="EZ637" s="26"/>
      <c r="FA637" s="60"/>
      <c r="FB637" s="60"/>
      <c r="FC637" s="60"/>
      <c r="FD637" s="60"/>
      <c r="FE637" s="60"/>
      <c r="FF637" s="60"/>
      <c r="FG637" s="60"/>
      <c r="FH637" s="60"/>
      <c r="FI637" s="60"/>
      <c r="FJ637" s="60"/>
      <c r="FK637" s="60"/>
      <c r="FL637" s="60"/>
      <c r="FM637" s="60"/>
      <c r="FN637" s="60"/>
      <c r="FO637" s="60"/>
      <c r="FP637" s="60"/>
      <c r="FQ637" s="60"/>
      <c r="FR637" s="60"/>
      <c r="FS637" s="60"/>
      <c r="FT637" s="60"/>
      <c r="FU637" s="60"/>
      <c r="FV637" s="60"/>
      <c r="FW637" s="60"/>
      <c r="FX637" s="60"/>
    </row>
    <row r="638">
      <c r="A638" s="18"/>
      <c r="B638" s="14"/>
      <c r="C638" s="14"/>
      <c r="D638" s="14"/>
      <c r="E638" s="18"/>
      <c r="F638" s="18"/>
      <c r="G638" s="18"/>
      <c r="H638" s="18"/>
      <c r="I638" s="18"/>
      <c r="J638" s="18"/>
      <c r="K638" s="18"/>
      <c r="L638" s="18"/>
      <c r="M638" s="18"/>
      <c r="N638" s="18"/>
      <c r="O638" s="18"/>
      <c r="P638" s="23"/>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c r="BO638" s="26"/>
      <c r="BP638" s="26"/>
      <c r="BQ638" s="26"/>
      <c r="BR638" s="26"/>
      <c r="BS638" s="26"/>
      <c r="BT638" s="26"/>
      <c r="BU638" s="26"/>
      <c r="BV638" s="26"/>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26"/>
      <c r="CU638" s="26"/>
      <c r="CV638" s="26"/>
      <c r="CW638" s="26"/>
      <c r="CX638" s="26"/>
      <c r="CY638" s="26"/>
      <c r="CZ638" s="26"/>
      <c r="DA638" s="26"/>
      <c r="DB638" s="26"/>
      <c r="DC638" s="26"/>
      <c r="DD638" s="26"/>
      <c r="DE638" s="26"/>
      <c r="DF638" s="26"/>
      <c r="DG638" s="26"/>
      <c r="DH638" s="26"/>
      <c r="DI638" s="26"/>
      <c r="DJ638" s="26"/>
      <c r="DK638" s="26"/>
      <c r="DL638" s="26"/>
      <c r="DM638" s="26"/>
      <c r="DN638" s="26"/>
      <c r="DO638" s="26"/>
      <c r="DP638" s="26"/>
      <c r="DQ638" s="26"/>
      <c r="DR638" s="26"/>
      <c r="DS638" s="26"/>
      <c r="DT638" s="26"/>
      <c r="DU638" s="26"/>
      <c r="DV638" s="26"/>
      <c r="DW638" s="26"/>
      <c r="DX638" s="26"/>
      <c r="DY638" s="26"/>
      <c r="DZ638" s="26"/>
      <c r="EA638" s="26"/>
      <c r="EB638" s="26"/>
      <c r="EC638" s="26"/>
      <c r="ED638" s="26"/>
      <c r="EE638" s="26"/>
      <c r="EF638" s="26"/>
      <c r="EG638" s="26"/>
      <c r="EH638" s="26"/>
      <c r="EI638" s="26"/>
      <c r="EJ638" s="26"/>
      <c r="EK638" s="26"/>
      <c r="EL638" s="26"/>
      <c r="EM638" s="26"/>
      <c r="EN638" s="26"/>
      <c r="EO638" s="26"/>
      <c r="EP638" s="26"/>
      <c r="EQ638" s="26"/>
      <c r="ER638" s="26"/>
      <c r="ES638" s="26"/>
      <c r="ET638" s="26"/>
      <c r="EU638" s="26"/>
      <c r="EV638" s="26"/>
      <c r="EW638" s="26"/>
      <c r="EX638" s="26"/>
      <c r="EY638" s="26"/>
      <c r="EZ638" s="26"/>
      <c r="FA638" s="60"/>
      <c r="FB638" s="60"/>
      <c r="FC638" s="60"/>
      <c r="FD638" s="60"/>
      <c r="FE638" s="60"/>
      <c r="FF638" s="60"/>
      <c r="FG638" s="60"/>
      <c r="FH638" s="60"/>
      <c r="FI638" s="60"/>
      <c r="FJ638" s="60"/>
      <c r="FK638" s="60"/>
      <c r="FL638" s="60"/>
      <c r="FM638" s="60"/>
      <c r="FN638" s="60"/>
      <c r="FO638" s="60"/>
      <c r="FP638" s="60"/>
      <c r="FQ638" s="60"/>
      <c r="FR638" s="60"/>
      <c r="FS638" s="60"/>
      <c r="FT638" s="60"/>
      <c r="FU638" s="60"/>
      <c r="FV638" s="60"/>
      <c r="FW638" s="60"/>
      <c r="FX638" s="60"/>
    </row>
    <row r="639">
      <c r="A639" s="18"/>
      <c r="B639" s="14"/>
      <c r="C639" s="14"/>
      <c r="D639" s="14"/>
      <c r="E639" s="18"/>
      <c r="F639" s="18"/>
      <c r="G639" s="18"/>
      <c r="H639" s="18"/>
      <c r="I639" s="18"/>
      <c r="J639" s="18"/>
      <c r="K639" s="18"/>
      <c r="L639" s="18"/>
      <c r="M639" s="18"/>
      <c r="N639" s="18"/>
      <c r="O639" s="18"/>
      <c r="P639" s="23"/>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6"/>
      <c r="BG639" s="26"/>
      <c r="BH639" s="26"/>
      <c r="BI639" s="26"/>
      <c r="BJ639" s="26"/>
      <c r="BK639" s="26"/>
      <c r="BL639" s="26"/>
      <c r="BM639" s="26"/>
      <c r="BN639" s="26"/>
      <c r="BO639" s="26"/>
      <c r="BP639" s="26"/>
      <c r="BQ639" s="26"/>
      <c r="BR639" s="26"/>
      <c r="BS639" s="26"/>
      <c r="BT639" s="26"/>
      <c r="BU639" s="26"/>
      <c r="BV639" s="26"/>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26"/>
      <c r="CU639" s="26"/>
      <c r="CV639" s="26"/>
      <c r="CW639" s="26"/>
      <c r="CX639" s="26"/>
      <c r="CY639" s="26"/>
      <c r="CZ639" s="26"/>
      <c r="DA639" s="26"/>
      <c r="DB639" s="26"/>
      <c r="DC639" s="26"/>
      <c r="DD639" s="26"/>
      <c r="DE639" s="26"/>
      <c r="DF639" s="26"/>
      <c r="DG639" s="26"/>
      <c r="DH639" s="26"/>
      <c r="DI639" s="26"/>
      <c r="DJ639" s="26"/>
      <c r="DK639" s="26"/>
      <c r="DL639" s="26"/>
      <c r="DM639" s="26"/>
      <c r="DN639" s="26"/>
      <c r="DO639" s="26"/>
      <c r="DP639" s="26"/>
      <c r="DQ639" s="26"/>
      <c r="DR639" s="26"/>
      <c r="DS639" s="26"/>
      <c r="DT639" s="26"/>
      <c r="DU639" s="26"/>
      <c r="DV639" s="26"/>
      <c r="DW639" s="26"/>
      <c r="DX639" s="26"/>
      <c r="DY639" s="26"/>
      <c r="DZ639" s="26"/>
      <c r="EA639" s="26"/>
      <c r="EB639" s="26"/>
      <c r="EC639" s="26"/>
      <c r="ED639" s="26"/>
      <c r="EE639" s="26"/>
      <c r="EF639" s="26"/>
      <c r="EG639" s="26"/>
      <c r="EH639" s="26"/>
      <c r="EI639" s="26"/>
      <c r="EJ639" s="26"/>
      <c r="EK639" s="26"/>
      <c r="EL639" s="26"/>
      <c r="EM639" s="26"/>
      <c r="EN639" s="26"/>
      <c r="EO639" s="26"/>
      <c r="EP639" s="26"/>
      <c r="EQ639" s="26"/>
      <c r="ER639" s="26"/>
      <c r="ES639" s="26"/>
      <c r="ET639" s="26"/>
      <c r="EU639" s="26"/>
      <c r="EV639" s="26"/>
      <c r="EW639" s="26"/>
      <c r="EX639" s="26"/>
      <c r="EY639" s="26"/>
      <c r="EZ639" s="26"/>
      <c r="FA639" s="60"/>
      <c r="FB639" s="60"/>
      <c r="FC639" s="60"/>
      <c r="FD639" s="60"/>
      <c r="FE639" s="60"/>
      <c r="FF639" s="60"/>
      <c r="FG639" s="60"/>
      <c r="FH639" s="60"/>
      <c r="FI639" s="60"/>
      <c r="FJ639" s="60"/>
      <c r="FK639" s="60"/>
      <c r="FL639" s="60"/>
      <c r="FM639" s="60"/>
      <c r="FN639" s="60"/>
      <c r="FO639" s="60"/>
      <c r="FP639" s="60"/>
      <c r="FQ639" s="60"/>
      <c r="FR639" s="60"/>
      <c r="FS639" s="60"/>
      <c r="FT639" s="60"/>
      <c r="FU639" s="60"/>
      <c r="FV639" s="60"/>
      <c r="FW639" s="60"/>
      <c r="FX639" s="60"/>
    </row>
    <row r="640">
      <c r="A640" s="18"/>
      <c r="B640" s="14"/>
      <c r="C640" s="14"/>
      <c r="D640" s="14"/>
      <c r="E640" s="18"/>
      <c r="F640" s="18"/>
      <c r="G640" s="18"/>
      <c r="H640" s="18"/>
      <c r="I640" s="18"/>
      <c r="J640" s="18"/>
      <c r="K640" s="18"/>
      <c r="L640" s="18"/>
      <c r="M640" s="18"/>
      <c r="N640" s="18"/>
      <c r="O640" s="18"/>
      <c r="P640" s="23"/>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c r="BO640" s="26"/>
      <c r="BP640" s="26"/>
      <c r="BQ640" s="26"/>
      <c r="BR640" s="26"/>
      <c r="BS640" s="26"/>
      <c r="BT640" s="26"/>
      <c r="BU640" s="26"/>
      <c r="BV640" s="26"/>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26"/>
      <c r="CU640" s="26"/>
      <c r="CV640" s="26"/>
      <c r="CW640" s="26"/>
      <c r="CX640" s="26"/>
      <c r="CY640" s="26"/>
      <c r="CZ640" s="26"/>
      <c r="DA640" s="26"/>
      <c r="DB640" s="26"/>
      <c r="DC640" s="26"/>
      <c r="DD640" s="26"/>
      <c r="DE640" s="26"/>
      <c r="DF640" s="26"/>
      <c r="DG640" s="26"/>
      <c r="DH640" s="26"/>
      <c r="DI640" s="26"/>
      <c r="DJ640" s="26"/>
      <c r="DK640" s="26"/>
      <c r="DL640" s="26"/>
      <c r="DM640" s="26"/>
      <c r="DN640" s="26"/>
      <c r="DO640" s="26"/>
      <c r="DP640" s="26"/>
      <c r="DQ640" s="26"/>
      <c r="DR640" s="26"/>
      <c r="DS640" s="26"/>
      <c r="DT640" s="26"/>
      <c r="DU640" s="26"/>
      <c r="DV640" s="26"/>
      <c r="DW640" s="26"/>
      <c r="DX640" s="26"/>
      <c r="DY640" s="26"/>
      <c r="DZ640" s="26"/>
      <c r="EA640" s="26"/>
      <c r="EB640" s="26"/>
      <c r="EC640" s="26"/>
      <c r="ED640" s="26"/>
      <c r="EE640" s="26"/>
      <c r="EF640" s="26"/>
      <c r="EG640" s="26"/>
      <c r="EH640" s="26"/>
      <c r="EI640" s="26"/>
      <c r="EJ640" s="26"/>
      <c r="EK640" s="26"/>
      <c r="EL640" s="26"/>
      <c r="EM640" s="26"/>
      <c r="EN640" s="26"/>
      <c r="EO640" s="26"/>
      <c r="EP640" s="26"/>
      <c r="EQ640" s="26"/>
      <c r="ER640" s="26"/>
      <c r="ES640" s="26"/>
      <c r="ET640" s="26"/>
      <c r="EU640" s="26"/>
      <c r="EV640" s="26"/>
      <c r="EW640" s="26"/>
      <c r="EX640" s="26"/>
      <c r="EY640" s="26"/>
      <c r="EZ640" s="26"/>
      <c r="FA640" s="60"/>
      <c r="FB640" s="60"/>
      <c r="FC640" s="60"/>
      <c r="FD640" s="60"/>
      <c r="FE640" s="60"/>
      <c r="FF640" s="60"/>
      <c r="FG640" s="60"/>
      <c r="FH640" s="60"/>
      <c r="FI640" s="60"/>
      <c r="FJ640" s="60"/>
      <c r="FK640" s="60"/>
      <c r="FL640" s="60"/>
      <c r="FM640" s="60"/>
      <c r="FN640" s="60"/>
      <c r="FO640" s="60"/>
      <c r="FP640" s="60"/>
      <c r="FQ640" s="60"/>
      <c r="FR640" s="60"/>
      <c r="FS640" s="60"/>
      <c r="FT640" s="60"/>
      <c r="FU640" s="60"/>
      <c r="FV640" s="60"/>
      <c r="FW640" s="60"/>
      <c r="FX640" s="60"/>
    </row>
    <row r="641">
      <c r="A641" s="18"/>
      <c r="B641" s="14"/>
      <c r="C641" s="14"/>
      <c r="D641" s="14"/>
      <c r="E641" s="18"/>
      <c r="F641" s="18"/>
      <c r="G641" s="18"/>
      <c r="H641" s="18"/>
      <c r="I641" s="18"/>
      <c r="J641" s="18"/>
      <c r="K641" s="18"/>
      <c r="L641" s="18"/>
      <c r="M641" s="18"/>
      <c r="N641" s="18"/>
      <c r="O641" s="18"/>
      <c r="P641" s="23"/>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6"/>
      <c r="BG641" s="26"/>
      <c r="BH641" s="26"/>
      <c r="BI641" s="26"/>
      <c r="BJ641" s="26"/>
      <c r="BK641" s="26"/>
      <c r="BL641" s="26"/>
      <c r="BM641" s="26"/>
      <c r="BN641" s="26"/>
      <c r="BO641" s="26"/>
      <c r="BP641" s="26"/>
      <c r="BQ641" s="26"/>
      <c r="BR641" s="26"/>
      <c r="BS641" s="26"/>
      <c r="BT641" s="26"/>
      <c r="BU641" s="26"/>
      <c r="BV641" s="26"/>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26"/>
      <c r="CU641" s="26"/>
      <c r="CV641" s="26"/>
      <c r="CW641" s="26"/>
      <c r="CX641" s="26"/>
      <c r="CY641" s="26"/>
      <c r="CZ641" s="26"/>
      <c r="DA641" s="26"/>
      <c r="DB641" s="26"/>
      <c r="DC641" s="26"/>
      <c r="DD641" s="26"/>
      <c r="DE641" s="26"/>
      <c r="DF641" s="26"/>
      <c r="DG641" s="26"/>
      <c r="DH641" s="26"/>
      <c r="DI641" s="26"/>
      <c r="DJ641" s="26"/>
      <c r="DK641" s="26"/>
      <c r="DL641" s="26"/>
      <c r="DM641" s="26"/>
      <c r="DN641" s="26"/>
      <c r="DO641" s="26"/>
      <c r="DP641" s="26"/>
      <c r="DQ641" s="26"/>
      <c r="DR641" s="26"/>
      <c r="DS641" s="26"/>
      <c r="DT641" s="26"/>
      <c r="DU641" s="26"/>
      <c r="DV641" s="26"/>
      <c r="DW641" s="26"/>
      <c r="DX641" s="26"/>
      <c r="DY641" s="26"/>
      <c r="DZ641" s="26"/>
      <c r="EA641" s="26"/>
      <c r="EB641" s="26"/>
      <c r="EC641" s="26"/>
      <c r="ED641" s="26"/>
      <c r="EE641" s="26"/>
      <c r="EF641" s="26"/>
      <c r="EG641" s="26"/>
      <c r="EH641" s="26"/>
      <c r="EI641" s="26"/>
      <c r="EJ641" s="26"/>
      <c r="EK641" s="26"/>
      <c r="EL641" s="26"/>
      <c r="EM641" s="26"/>
      <c r="EN641" s="26"/>
      <c r="EO641" s="26"/>
      <c r="EP641" s="26"/>
      <c r="EQ641" s="26"/>
      <c r="ER641" s="26"/>
      <c r="ES641" s="26"/>
      <c r="ET641" s="26"/>
      <c r="EU641" s="26"/>
      <c r="EV641" s="26"/>
      <c r="EW641" s="26"/>
      <c r="EX641" s="26"/>
      <c r="EY641" s="26"/>
      <c r="EZ641" s="26"/>
      <c r="FA641" s="60"/>
      <c r="FB641" s="60"/>
      <c r="FC641" s="60"/>
      <c r="FD641" s="60"/>
      <c r="FE641" s="60"/>
      <c r="FF641" s="60"/>
      <c r="FG641" s="60"/>
      <c r="FH641" s="60"/>
      <c r="FI641" s="60"/>
      <c r="FJ641" s="60"/>
      <c r="FK641" s="60"/>
      <c r="FL641" s="60"/>
      <c r="FM641" s="60"/>
      <c r="FN641" s="60"/>
      <c r="FO641" s="60"/>
      <c r="FP641" s="60"/>
      <c r="FQ641" s="60"/>
      <c r="FR641" s="60"/>
      <c r="FS641" s="60"/>
      <c r="FT641" s="60"/>
      <c r="FU641" s="60"/>
      <c r="FV641" s="60"/>
      <c r="FW641" s="60"/>
      <c r="FX641" s="60"/>
    </row>
    <row r="642">
      <c r="A642" s="18"/>
      <c r="B642" s="14"/>
      <c r="C642" s="14"/>
      <c r="D642" s="14"/>
      <c r="E642" s="18"/>
      <c r="F642" s="18"/>
      <c r="G642" s="18"/>
      <c r="H642" s="18"/>
      <c r="I642" s="18"/>
      <c r="J642" s="18"/>
      <c r="K642" s="18"/>
      <c r="L642" s="18"/>
      <c r="M642" s="18"/>
      <c r="N642" s="18"/>
      <c r="O642" s="18"/>
      <c r="P642" s="23"/>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26"/>
      <c r="CU642" s="26"/>
      <c r="CV642" s="26"/>
      <c r="CW642" s="26"/>
      <c r="CX642" s="26"/>
      <c r="CY642" s="26"/>
      <c r="CZ642" s="26"/>
      <c r="DA642" s="26"/>
      <c r="DB642" s="26"/>
      <c r="DC642" s="26"/>
      <c r="DD642" s="26"/>
      <c r="DE642" s="26"/>
      <c r="DF642" s="26"/>
      <c r="DG642" s="26"/>
      <c r="DH642" s="26"/>
      <c r="DI642" s="26"/>
      <c r="DJ642" s="26"/>
      <c r="DK642" s="26"/>
      <c r="DL642" s="26"/>
      <c r="DM642" s="26"/>
      <c r="DN642" s="26"/>
      <c r="DO642" s="26"/>
      <c r="DP642" s="26"/>
      <c r="DQ642" s="26"/>
      <c r="DR642" s="26"/>
      <c r="DS642" s="26"/>
      <c r="DT642" s="26"/>
      <c r="DU642" s="26"/>
      <c r="DV642" s="26"/>
      <c r="DW642" s="26"/>
      <c r="DX642" s="26"/>
      <c r="DY642" s="26"/>
      <c r="DZ642" s="26"/>
      <c r="EA642" s="26"/>
      <c r="EB642" s="26"/>
      <c r="EC642" s="26"/>
      <c r="ED642" s="26"/>
      <c r="EE642" s="26"/>
      <c r="EF642" s="26"/>
      <c r="EG642" s="26"/>
      <c r="EH642" s="26"/>
      <c r="EI642" s="26"/>
      <c r="EJ642" s="26"/>
      <c r="EK642" s="26"/>
      <c r="EL642" s="26"/>
      <c r="EM642" s="26"/>
      <c r="EN642" s="26"/>
      <c r="EO642" s="26"/>
      <c r="EP642" s="26"/>
      <c r="EQ642" s="26"/>
      <c r="ER642" s="26"/>
      <c r="ES642" s="26"/>
      <c r="ET642" s="26"/>
      <c r="EU642" s="26"/>
      <c r="EV642" s="26"/>
      <c r="EW642" s="26"/>
      <c r="EX642" s="26"/>
      <c r="EY642" s="26"/>
      <c r="EZ642" s="26"/>
      <c r="FA642" s="60"/>
      <c r="FB642" s="60"/>
      <c r="FC642" s="60"/>
      <c r="FD642" s="60"/>
      <c r="FE642" s="60"/>
      <c r="FF642" s="60"/>
      <c r="FG642" s="60"/>
      <c r="FH642" s="60"/>
      <c r="FI642" s="60"/>
      <c r="FJ642" s="60"/>
      <c r="FK642" s="60"/>
      <c r="FL642" s="60"/>
      <c r="FM642" s="60"/>
      <c r="FN642" s="60"/>
      <c r="FO642" s="60"/>
      <c r="FP642" s="60"/>
      <c r="FQ642" s="60"/>
      <c r="FR642" s="60"/>
      <c r="FS642" s="60"/>
      <c r="FT642" s="60"/>
      <c r="FU642" s="60"/>
      <c r="FV642" s="60"/>
      <c r="FW642" s="60"/>
      <c r="FX642" s="60"/>
    </row>
    <row r="643">
      <c r="A643" s="18"/>
      <c r="B643" s="14"/>
      <c r="C643" s="14"/>
      <c r="D643" s="14"/>
      <c r="E643" s="18"/>
      <c r="F643" s="18"/>
      <c r="G643" s="18"/>
      <c r="H643" s="18"/>
      <c r="I643" s="18"/>
      <c r="J643" s="18"/>
      <c r="K643" s="18"/>
      <c r="L643" s="18"/>
      <c r="M643" s="18"/>
      <c r="N643" s="18"/>
      <c r="O643" s="18"/>
      <c r="P643" s="23"/>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26"/>
      <c r="CU643" s="26"/>
      <c r="CV643" s="26"/>
      <c r="CW643" s="26"/>
      <c r="CX643" s="26"/>
      <c r="CY643" s="26"/>
      <c r="CZ643" s="26"/>
      <c r="DA643" s="26"/>
      <c r="DB643" s="26"/>
      <c r="DC643" s="26"/>
      <c r="DD643" s="26"/>
      <c r="DE643" s="26"/>
      <c r="DF643" s="26"/>
      <c r="DG643" s="26"/>
      <c r="DH643" s="26"/>
      <c r="DI643" s="26"/>
      <c r="DJ643" s="26"/>
      <c r="DK643" s="26"/>
      <c r="DL643" s="26"/>
      <c r="DM643" s="26"/>
      <c r="DN643" s="26"/>
      <c r="DO643" s="26"/>
      <c r="DP643" s="26"/>
      <c r="DQ643" s="26"/>
      <c r="DR643" s="26"/>
      <c r="DS643" s="26"/>
      <c r="DT643" s="26"/>
      <c r="DU643" s="26"/>
      <c r="DV643" s="26"/>
      <c r="DW643" s="26"/>
      <c r="DX643" s="26"/>
      <c r="DY643" s="26"/>
      <c r="DZ643" s="26"/>
      <c r="EA643" s="26"/>
      <c r="EB643" s="26"/>
      <c r="EC643" s="26"/>
      <c r="ED643" s="26"/>
      <c r="EE643" s="26"/>
      <c r="EF643" s="26"/>
      <c r="EG643" s="26"/>
      <c r="EH643" s="26"/>
      <c r="EI643" s="26"/>
      <c r="EJ643" s="26"/>
      <c r="EK643" s="26"/>
      <c r="EL643" s="26"/>
      <c r="EM643" s="26"/>
      <c r="EN643" s="26"/>
      <c r="EO643" s="26"/>
      <c r="EP643" s="26"/>
      <c r="EQ643" s="26"/>
      <c r="ER643" s="26"/>
      <c r="ES643" s="26"/>
      <c r="ET643" s="26"/>
      <c r="EU643" s="26"/>
      <c r="EV643" s="26"/>
      <c r="EW643" s="26"/>
      <c r="EX643" s="26"/>
      <c r="EY643" s="26"/>
      <c r="EZ643" s="26"/>
      <c r="FA643" s="60"/>
      <c r="FB643" s="60"/>
      <c r="FC643" s="60"/>
      <c r="FD643" s="60"/>
      <c r="FE643" s="60"/>
      <c r="FF643" s="60"/>
      <c r="FG643" s="60"/>
      <c r="FH643" s="60"/>
      <c r="FI643" s="60"/>
      <c r="FJ643" s="60"/>
      <c r="FK643" s="60"/>
      <c r="FL643" s="60"/>
      <c r="FM643" s="60"/>
      <c r="FN643" s="60"/>
      <c r="FO643" s="60"/>
      <c r="FP643" s="60"/>
      <c r="FQ643" s="60"/>
      <c r="FR643" s="60"/>
      <c r="FS643" s="60"/>
      <c r="FT643" s="60"/>
      <c r="FU643" s="60"/>
      <c r="FV643" s="60"/>
      <c r="FW643" s="60"/>
      <c r="FX643" s="60"/>
    </row>
    <row r="644">
      <c r="A644" s="18"/>
      <c r="B644" s="14"/>
      <c r="C644" s="14"/>
      <c r="D644" s="14"/>
      <c r="E644" s="18"/>
      <c r="F644" s="18"/>
      <c r="G644" s="18"/>
      <c r="H644" s="18"/>
      <c r="I644" s="18"/>
      <c r="J644" s="18"/>
      <c r="K644" s="18"/>
      <c r="L644" s="18"/>
      <c r="M644" s="18"/>
      <c r="N644" s="18"/>
      <c r="O644" s="18"/>
      <c r="P644" s="23"/>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26"/>
      <c r="CU644" s="26"/>
      <c r="CV644" s="26"/>
      <c r="CW644" s="26"/>
      <c r="CX644" s="26"/>
      <c r="CY644" s="26"/>
      <c r="CZ644" s="26"/>
      <c r="DA644" s="26"/>
      <c r="DB644" s="26"/>
      <c r="DC644" s="26"/>
      <c r="DD644" s="26"/>
      <c r="DE644" s="26"/>
      <c r="DF644" s="26"/>
      <c r="DG644" s="26"/>
      <c r="DH644" s="26"/>
      <c r="DI644" s="26"/>
      <c r="DJ644" s="26"/>
      <c r="DK644" s="26"/>
      <c r="DL644" s="26"/>
      <c r="DM644" s="26"/>
      <c r="DN644" s="26"/>
      <c r="DO644" s="26"/>
      <c r="DP644" s="26"/>
      <c r="DQ644" s="26"/>
      <c r="DR644" s="26"/>
      <c r="DS644" s="26"/>
      <c r="DT644" s="26"/>
      <c r="DU644" s="26"/>
      <c r="DV644" s="26"/>
      <c r="DW644" s="26"/>
      <c r="DX644" s="26"/>
      <c r="DY644" s="26"/>
      <c r="DZ644" s="26"/>
      <c r="EA644" s="26"/>
      <c r="EB644" s="26"/>
      <c r="EC644" s="26"/>
      <c r="ED644" s="26"/>
      <c r="EE644" s="26"/>
      <c r="EF644" s="26"/>
      <c r="EG644" s="26"/>
      <c r="EH644" s="26"/>
      <c r="EI644" s="26"/>
      <c r="EJ644" s="26"/>
      <c r="EK644" s="26"/>
      <c r="EL644" s="26"/>
      <c r="EM644" s="26"/>
      <c r="EN644" s="26"/>
      <c r="EO644" s="26"/>
      <c r="EP644" s="26"/>
      <c r="EQ644" s="26"/>
      <c r="ER644" s="26"/>
      <c r="ES644" s="26"/>
      <c r="ET644" s="26"/>
      <c r="EU644" s="26"/>
      <c r="EV644" s="26"/>
      <c r="EW644" s="26"/>
      <c r="EX644" s="26"/>
      <c r="EY644" s="26"/>
      <c r="EZ644" s="26"/>
      <c r="FA644" s="60"/>
      <c r="FB644" s="60"/>
      <c r="FC644" s="60"/>
      <c r="FD644" s="60"/>
      <c r="FE644" s="60"/>
      <c r="FF644" s="60"/>
      <c r="FG644" s="60"/>
      <c r="FH644" s="60"/>
      <c r="FI644" s="60"/>
      <c r="FJ644" s="60"/>
      <c r="FK644" s="60"/>
      <c r="FL644" s="60"/>
      <c r="FM644" s="60"/>
      <c r="FN644" s="60"/>
      <c r="FO644" s="60"/>
      <c r="FP644" s="60"/>
      <c r="FQ644" s="60"/>
      <c r="FR644" s="60"/>
      <c r="FS644" s="60"/>
      <c r="FT644" s="60"/>
      <c r="FU644" s="60"/>
      <c r="FV644" s="60"/>
      <c r="FW644" s="60"/>
      <c r="FX644" s="60"/>
    </row>
    <row r="645">
      <c r="A645" s="18"/>
      <c r="B645" s="14"/>
      <c r="C645" s="14"/>
      <c r="D645" s="14"/>
      <c r="E645" s="18"/>
      <c r="F645" s="18"/>
      <c r="G645" s="18"/>
      <c r="H645" s="18"/>
      <c r="I645" s="18"/>
      <c r="J645" s="18"/>
      <c r="K645" s="18"/>
      <c r="L645" s="18"/>
      <c r="M645" s="18"/>
      <c r="N645" s="18"/>
      <c r="O645" s="18"/>
      <c r="P645" s="23"/>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26"/>
      <c r="CU645" s="26"/>
      <c r="CV645" s="26"/>
      <c r="CW645" s="26"/>
      <c r="CX645" s="26"/>
      <c r="CY645" s="26"/>
      <c r="CZ645" s="26"/>
      <c r="DA645" s="26"/>
      <c r="DB645" s="26"/>
      <c r="DC645" s="26"/>
      <c r="DD645" s="26"/>
      <c r="DE645" s="26"/>
      <c r="DF645" s="26"/>
      <c r="DG645" s="26"/>
      <c r="DH645" s="26"/>
      <c r="DI645" s="26"/>
      <c r="DJ645" s="26"/>
      <c r="DK645" s="26"/>
      <c r="DL645" s="26"/>
      <c r="DM645" s="26"/>
      <c r="DN645" s="26"/>
      <c r="DO645" s="26"/>
      <c r="DP645" s="26"/>
      <c r="DQ645" s="26"/>
      <c r="DR645" s="26"/>
      <c r="DS645" s="26"/>
      <c r="DT645" s="26"/>
      <c r="DU645" s="26"/>
      <c r="DV645" s="26"/>
      <c r="DW645" s="26"/>
      <c r="DX645" s="26"/>
      <c r="DY645" s="26"/>
      <c r="DZ645" s="26"/>
      <c r="EA645" s="26"/>
      <c r="EB645" s="26"/>
      <c r="EC645" s="26"/>
      <c r="ED645" s="26"/>
      <c r="EE645" s="26"/>
      <c r="EF645" s="26"/>
      <c r="EG645" s="26"/>
      <c r="EH645" s="26"/>
      <c r="EI645" s="26"/>
      <c r="EJ645" s="26"/>
      <c r="EK645" s="26"/>
      <c r="EL645" s="26"/>
      <c r="EM645" s="26"/>
      <c r="EN645" s="26"/>
      <c r="EO645" s="26"/>
      <c r="EP645" s="26"/>
      <c r="EQ645" s="26"/>
      <c r="ER645" s="26"/>
      <c r="ES645" s="26"/>
      <c r="ET645" s="26"/>
      <c r="EU645" s="26"/>
      <c r="EV645" s="26"/>
      <c r="EW645" s="26"/>
      <c r="EX645" s="26"/>
      <c r="EY645" s="26"/>
      <c r="EZ645" s="26"/>
      <c r="FA645" s="60"/>
      <c r="FB645" s="60"/>
      <c r="FC645" s="60"/>
      <c r="FD645" s="60"/>
      <c r="FE645" s="60"/>
      <c r="FF645" s="60"/>
      <c r="FG645" s="60"/>
      <c r="FH645" s="60"/>
      <c r="FI645" s="60"/>
      <c r="FJ645" s="60"/>
      <c r="FK645" s="60"/>
      <c r="FL645" s="60"/>
      <c r="FM645" s="60"/>
      <c r="FN645" s="60"/>
      <c r="FO645" s="60"/>
      <c r="FP645" s="60"/>
      <c r="FQ645" s="60"/>
      <c r="FR645" s="60"/>
      <c r="FS645" s="60"/>
      <c r="FT645" s="60"/>
      <c r="FU645" s="60"/>
      <c r="FV645" s="60"/>
      <c r="FW645" s="60"/>
      <c r="FX645" s="60"/>
    </row>
    <row r="646">
      <c r="A646" s="18"/>
      <c r="B646" s="14"/>
      <c r="C646" s="14"/>
      <c r="D646" s="14"/>
      <c r="E646" s="18"/>
      <c r="F646" s="18"/>
      <c r="G646" s="18"/>
      <c r="H646" s="18"/>
      <c r="I646" s="18"/>
      <c r="J646" s="18"/>
      <c r="K646" s="18"/>
      <c r="L646" s="18"/>
      <c r="M646" s="18"/>
      <c r="N646" s="18"/>
      <c r="O646" s="18"/>
      <c r="P646" s="23"/>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26"/>
      <c r="CU646" s="26"/>
      <c r="CV646" s="26"/>
      <c r="CW646" s="26"/>
      <c r="CX646" s="26"/>
      <c r="CY646" s="26"/>
      <c r="CZ646" s="26"/>
      <c r="DA646" s="26"/>
      <c r="DB646" s="26"/>
      <c r="DC646" s="26"/>
      <c r="DD646" s="26"/>
      <c r="DE646" s="26"/>
      <c r="DF646" s="26"/>
      <c r="DG646" s="26"/>
      <c r="DH646" s="26"/>
      <c r="DI646" s="26"/>
      <c r="DJ646" s="26"/>
      <c r="DK646" s="26"/>
      <c r="DL646" s="26"/>
      <c r="DM646" s="26"/>
      <c r="DN646" s="26"/>
      <c r="DO646" s="26"/>
      <c r="DP646" s="26"/>
      <c r="DQ646" s="26"/>
      <c r="DR646" s="26"/>
      <c r="DS646" s="26"/>
      <c r="DT646" s="26"/>
      <c r="DU646" s="26"/>
      <c r="DV646" s="26"/>
      <c r="DW646" s="26"/>
      <c r="DX646" s="26"/>
      <c r="DY646" s="26"/>
      <c r="DZ646" s="26"/>
      <c r="EA646" s="26"/>
      <c r="EB646" s="26"/>
      <c r="EC646" s="26"/>
      <c r="ED646" s="26"/>
      <c r="EE646" s="26"/>
      <c r="EF646" s="26"/>
      <c r="EG646" s="26"/>
      <c r="EH646" s="26"/>
      <c r="EI646" s="26"/>
      <c r="EJ646" s="26"/>
      <c r="EK646" s="26"/>
      <c r="EL646" s="26"/>
      <c r="EM646" s="26"/>
      <c r="EN646" s="26"/>
      <c r="EO646" s="26"/>
      <c r="EP646" s="26"/>
      <c r="EQ646" s="26"/>
      <c r="ER646" s="26"/>
      <c r="ES646" s="26"/>
      <c r="ET646" s="26"/>
      <c r="EU646" s="26"/>
      <c r="EV646" s="26"/>
      <c r="EW646" s="26"/>
      <c r="EX646" s="26"/>
      <c r="EY646" s="26"/>
      <c r="EZ646" s="26"/>
      <c r="FA646" s="60"/>
      <c r="FB646" s="60"/>
      <c r="FC646" s="60"/>
      <c r="FD646" s="60"/>
      <c r="FE646" s="60"/>
      <c r="FF646" s="60"/>
      <c r="FG646" s="60"/>
      <c r="FH646" s="60"/>
      <c r="FI646" s="60"/>
      <c r="FJ646" s="60"/>
      <c r="FK646" s="60"/>
      <c r="FL646" s="60"/>
      <c r="FM646" s="60"/>
      <c r="FN646" s="60"/>
      <c r="FO646" s="60"/>
      <c r="FP646" s="60"/>
      <c r="FQ646" s="60"/>
      <c r="FR646" s="60"/>
      <c r="FS646" s="60"/>
      <c r="FT646" s="60"/>
      <c r="FU646" s="60"/>
      <c r="FV646" s="60"/>
      <c r="FW646" s="60"/>
      <c r="FX646" s="60"/>
    </row>
    <row r="647">
      <c r="A647" s="18"/>
      <c r="B647" s="14"/>
      <c r="C647" s="14"/>
      <c r="D647" s="14"/>
      <c r="E647" s="18"/>
      <c r="F647" s="18"/>
      <c r="G647" s="18"/>
      <c r="H647" s="18"/>
      <c r="I647" s="18"/>
      <c r="J647" s="18"/>
      <c r="K647" s="18"/>
      <c r="L647" s="18"/>
      <c r="M647" s="18"/>
      <c r="N647" s="18"/>
      <c r="O647" s="18"/>
      <c r="P647" s="23"/>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26"/>
      <c r="CU647" s="26"/>
      <c r="CV647" s="26"/>
      <c r="CW647" s="26"/>
      <c r="CX647" s="26"/>
      <c r="CY647" s="26"/>
      <c r="CZ647" s="26"/>
      <c r="DA647" s="26"/>
      <c r="DB647" s="26"/>
      <c r="DC647" s="26"/>
      <c r="DD647" s="26"/>
      <c r="DE647" s="26"/>
      <c r="DF647" s="26"/>
      <c r="DG647" s="26"/>
      <c r="DH647" s="26"/>
      <c r="DI647" s="26"/>
      <c r="DJ647" s="26"/>
      <c r="DK647" s="26"/>
      <c r="DL647" s="26"/>
      <c r="DM647" s="26"/>
      <c r="DN647" s="26"/>
      <c r="DO647" s="26"/>
      <c r="DP647" s="26"/>
      <c r="DQ647" s="26"/>
      <c r="DR647" s="26"/>
      <c r="DS647" s="26"/>
      <c r="DT647" s="26"/>
      <c r="DU647" s="26"/>
      <c r="DV647" s="26"/>
      <c r="DW647" s="26"/>
      <c r="DX647" s="26"/>
      <c r="DY647" s="26"/>
      <c r="DZ647" s="26"/>
      <c r="EA647" s="26"/>
      <c r="EB647" s="26"/>
      <c r="EC647" s="26"/>
      <c r="ED647" s="26"/>
      <c r="EE647" s="26"/>
      <c r="EF647" s="26"/>
      <c r="EG647" s="26"/>
      <c r="EH647" s="26"/>
      <c r="EI647" s="26"/>
      <c r="EJ647" s="26"/>
      <c r="EK647" s="26"/>
      <c r="EL647" s="26"/>
      <c r="EM647" s="26"/>
      <c r="EN647" s="26"/>
      <c r="EO647" s="26"/>
      <c r="EP647" s="26"/>
      <c r="EQ647" s="26"/>
      <c r="ER647" s="26"/>
      <c r="ES647" s="26"/>
      <c r="ET647" s="26"/>
      <c r="EU647" s="26"/>
      <c r="EV647" s="26"/>
      <c r="EW647" s="26"/>
      <c r="EX647" s="26"/>
      <c r="EY647" s="26"/>
      <c r="EZ647" s="26"/>
      <c r="FA647" s="60"/>
      <c r="FB647" s="60"/>
      <c r="FC647" s="60"/>
      <c r="FD647" s="60"/>
      <c r="FE647" s="60"/>
      <c r="FF647" s="60"/>
      <c r="FG647" s="60"/>
      <c r="FH647" s="60"/>
      <c r="FI647" s="60"/>
      <c r="FJ647" s="60"/>
      <c r="FK647" s="60"/>
      <c r="FL647" s="60"/>
      <c r="FM647" s="60"/>
      <c r="FN647" s="60"/>
      <c r="FO647" s="60"/>
      <c r="FP647" s="60"/>
      <c r="FQ647" s="60"/>
      <c r="FR647" s="60"/>
      <c r="FS647" s="60"/>
      <c r="FT647" s="60"/>
      <c r="FU647" s="60"/>
      <c r="FV647" s="60"/>
      <c r="FW647" s="60"/>
      <c r="FX647" s="60"/>
    </row>
    <row r="648">
      <c r="A648" s="18"/>
      <c r="B648" s="14"/>
      <c r="C648" s="14"/>
      <c r="D648" s="14"/>
      <c r="E648" s="18"/>
      <c r="F648" s="18"/>
      <c r="G648" s="18"/>
      <c r="H648" s="18"/>
      <c r="I648" s="18"/>
      <c r="J648" s="18"/>
      <c r="K648" s="18"/>
      <c r="L648" s="18"/>
      <c r="M648" s="18"/>
      <c r="N648" s="18"/>
      <c r="O648" s="18"/>
      <c r="P648" s="23"/>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26"/>
      <c r="CU648" s="26"/>
      <c r="CV648" s="26"/>
      <c r="CW648" s="26"/>
      <c r="CX648" s="26"/>
      <c r="CY648" s="26"/>
      <c r="CZ648" s="26"/>
      <c r="DA648" s="26"/>
      <c r="DB648" s="26"/>
      <c r="DC648" s="26"/>
      <c r="DD648" s="26"/>
      <c r="DE648" s="26"/>
      <c r="DF648" s="26"/>
      <c r="DG648" s="26"/>
      <c r="DH648" s="26"/>
      <c r="DI648" s="26"/>
      <c r="DJ648" s="26"/>
      <c r="DK648" s="26"/>
      <c r="DL648" s="26"/>
      <c r="DM648" s="26"/>
      <c r="DN648" s="26"/>
      <c r="DO648" s="26"/>
      <c r="DP648" s="26"/>
      <c r="DQ648" s="26"/>
      <c r="DR648" s="26"/>
      <c r="DS648" s="26"/>
      <c r="DT648" s="26"/>
      <c r="DU648" s="26"/>
      <c r="DV648" s="26"/>
      <c r="DW648" s="26"/>
      <c r="DX648" s="26"/>
      <c r="DY648" s="26"/>
      <c r="DZ648" s="26"/>
      <c r="EA648" s="26"/>
      <c r="EB648" s="26"/>
      <c r="EC648" s="26"/>
      <c r="ED648" s="26"/>
      <c r="EE648" s="26"/>
      <c r="EF648" s="26"/>
      <c r="EG648" s="26"/>
      <c r="EH648" s="26"/>
      <c r="EI648" s="26"/>
      <c r="EJ648" s="26"/>
      <c r="EK648" s="26"/>
      <c r="EL648" s="26"/>
      <c r="EM648" s="26"/>
      <c r="EN648" s="26"/>
      <c r="EO648" s="26"/>
      <c r="EP648" s="26"/>
      <c r="EQ648" s="26"/>
      <c r="ER648" s="26"/>
      <c r="ES648" s="26"/>
      <c r="ET648" s="26"/>
      <c r="EU648" s="26"/>
      <c r="EV648" s="26"/>
      <c r="EW648" s="26"/>
      <c r="EX648" s="26"/>
      <c r="EY648" s="26"/>
      <c r="EZ648" s="26"/>
      <c r="FA648" s="60"/>
      <c r="FB648" s="60"/>
      <c r="FC648" s="60"/>
      <c r="FD648" s="60"/>
      <c r="FE648" s="60"/>
      <c r="FF648" s="60"/>
      <c r="FG648" s="60"/>
      <c r="FH648" s="60"/>
      <c r="FI648" s="60"/>
      <c r="FJ648" s="60"/>
      <c r="FK648" s="60"/>
      <c r="FL648" s="60"/>
      <c r="FM648" s="60"/>
      <c r="FN648" s="60"/>
      <c r="FO648" s="60"/>
      <c r="FP648" s="60"/>
      <c r="FQ648" s="60"/>
      <c r="FR648" s="60"/>
      <c r="FS648" s="60"/>
      <c r="FT648" s="60"/>
      <c r="FU648" s="60"/>
      <c r="FV648" s="60"/>
      <c r="FW648" s="60"/>
      <c r="FX648" s="60"/>
    </row>
    <row r="649">
      <c r="A649" s="18"/>
      <c r="B649" s="14"/>
      <c r="C649" s="14"/>
      <c r="D649" s="14"/>
      <c r="E649" s="18"/>
      <c r="F649" s="18"/>
      <c r="G649" s="18"/>
      <c r="H649" s="18"/>
      <c r="I649" s="18"/>
      <c r="J649" s="18"/>
      <c r="K649" s="18"/>
      <c r="L649" s="18"/>
      <c r="M649" s="18"/>
      <c r="N649" s="18"/>
      <c r="O649" s="18"/>
      <c r="P649" s="23"/>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26"/>
      <c r="CU649" s="26"/>
      <c r="CV649" s="26"/>
      <c r="CW649" s="26"/>
      <c r="CX649" s="26"/>
      <c r="CY649" s="26"/>
      <c r="CZ649" s="26"/>
      <c r="DA649" s="26"/>
      <c r="DB649" s="26"/>
      <c r="DC649" s="26"/>
      <c r="DD649" s="26"/>
      <c r="DE649" s="26"/>
      <c r="DF649" s="26"/>
      <c r="DG649" s="26"/>
      <c r="DH649" s="26"/>
      <c r="DI649" s="26"/>
      <c r="DJ649" s="26"/>
      <c r="DK649" s="26"/>
      <c r="DL649" s="26"/>
      <c r="DM649" s="26"/>
      <c r="DN649" s="26"/>
      <c r="DO649" s="26"/>
      <c r="DP649" s="26"/>
      <c r="DQ649" s="26"/>
      <c r="DR649" s="26"/>
      <c r="DS649" s="26"/>
      <c r="DT649" s="26"/>
      <c r="DU649" s="26"/>
      <c r="DV649" s="26"/>
      <c r="DW649" s="26"/>
      <c r="DX649" s="26"/>
      <c r="DY649" s="26"/>
      <c r="DZ649" s="26"/>
      <c r="EA649" s="26"/>
      <c r="EB649" s="26"/>
      <c r="EC649" s="26"/>
      <c r="ED649" s="26"/>
      <c r="EE649" s="26"/>
      <c r="EF649" s="26"/>
      <c r="EG649" s="26"/>
      <c r="EH649" s="26"/>
      <c r="EI649" s="26"/>
      <c r="EJ649" s="26"/>
      <c r="EK649" s="26"/>
      <c r="EL649" s="26"/>
      <c r="EM649" s="26"/>
      <c r="EN649" s="26"/>
      <c r="EO649" s="26"/>
      <c r="EP649" s="26"/>
      <c r="EQ649" s="26"/>
      <c r="ER649" s="26"/>
      <c r="ES649" s="26"/>
      <c r="ET649" s="26"/>
      <c r="EU649" s="26"/>
      <c r="EV649" s="26"/>
      <c r="EW649" s="26"/>
      <c r="EX649" s="26"/>
      <c r="EY649" s="26"/>
      <c r="EZ649" s="26"/>
      <c r="FA649" s="60"/>
      <c r="FB649" s="60"/>
      <c r="FC649" s="60"/>
      <c r="FD649" s="60"/>
      <c r="FE649" s="60"/>
      <c r="FF649" s="60"/>
      <c r="FG649" s="60"/>
      <c r="FH649" s="60"/>
      <c r="FI649" s="60"/>
      <c r="FJ649" s="60"/>
      <c r="FK649" s="60"/>
      <c r="FL649" s="60"/>
      <c r="FM649" s="60"/>
      <c r="FN649" s="60"/>
      <c r="FO649" s="60"/>
      <c r="FP649" s="60"/>
      <c r="FQ649" s="60"/>
      <c r="FR649" s="60"/>
      <c r="FS649" s="60"/>
      <c r="FT649" s="60"/>
      <c r="FU649" s="60"/>
      <c r="FV649" s="60"/>
      <c r="FW649" s="60"/>
      <c r="FX649" s="60"/>
    </row>
    <row r="650">
      <c r="A650" s="18"/>
      <c r="B650" s="14"/>
      <c r="C650" s="14"/>
      <c r="D650" s="14"/>
      <c r="E650" s="18"/>
      <c r="F650" s="18"/>
      <c r="G650" s="18"/>
      <c r="H650" s="18"/>
      <c r="I650" s="18"/>
      <c r="J650" s="18"/>
      <c r="K650" s="18"/>
      <c r="L650" s="18"/>
      <c r="M650" s="18"/>
      <c r="N650" s="18"/>
      <c r="O650" s="18"/>
      <c r="P650" s="23"/>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26"/>
      <c r="CU650" s="26"/>
      <c r="CV650" s="26"/>
      <c r="CW650" s="26"/>
      <c r="CX650" s="26"/>
      <c r="CY650" s="26"/>
      <c r="CZ650" s="26"/>
      <c r="DA650" s="26"/>
      <c r="DB650" s="26"/>
      <c r="DC650" s="26"/>
      <c r="DD650" s="26"/>
      <c r="DE650" s="26"/>
      <c r="DF650" s="26"/>
      <c r="DG650" s="26"/>
      <c r="DH650" s="26"/>
      <c r="DI650" s="26"/>
      <c r="DJ650" s="26"/>
      <c r="DK650" s="26"/>
      <c r="DL650" s="26"/>
      <c r="DM650" s="26"/>
      <c r="DN650" s="26"/>
      <c r="DO650" s="26"/>
      <c r="DP650" s="26"/>
      <c r="DQ650" s="26"/>
      <c r="DR650" s="26"/>
      <c r="DS650" s="26"/>
      <c r="DT650" s="26"/>
      <c r="DU650" s="26"/>
      <c r="DV650" s="26"/>
      <c r="DW650" s="26"/>
      <c r="DX650" s="26"/>
      <c r="DY650" s="26"/>
      <c r="DZ650" s="26"/>
      <c r="EA650" s="26"/>
      <c r="EB650" s="26"/>
      <c r="EC650" s="26"/>
      <c r="ED650" s="26"/>
      <c r="EE650" s="26"/>
      <c r="EF650" s="26"/>
      <c r="EG650" s="26"/>
      <c r="EH650" s="26"/>
      <c r="EI650" s="26"/>
      <c r="EJ650" s="26"/>
      <c r="EK650" s="26"/>
      <c r="EL650" s="26"/>
      <c r="EM650" s="26"/>
      <c r="EN650" s="26"/>
      <c r="EO650" s="26"/>
      <c r="EP650" s="26"/>
      <c r="EQ650" s="26"/>
      <c r="ER650" s="26"/>
      <c r="ES650" s="26"/>
      <c r="ET650" s="26"/>
      <c r="EU650" s="26"/>
      <c r="EV650" s="26"/>
      <c r="EW650" s="26"/>
      <c r="EX650" s="26"/>
      <c r="EY650" s="26"/>
      <c r="EZ650" s="26"/>
      <c r="FA650" s="60"/>
      <c r="FB650" s="60"/>
      <c r="FC650" s="60"/>
      <c r="FD650" s="60"/>
      <c r="FE650" s="60"/>
      <c r="FF650" s="60"/>
      <c r="FG650" s="60"/>
      <c r="FH650" s="60"/>
      <c r="FI650" s="60"/>
      <c r="FJ650" s="60"/>
      <c r="FK650" s="60"/>
      <c r="FL650" s="60"/>
      <c r="FM650" s="60"/>
      <c r="FN650" s="60"/>
      <c r="FO650" s="60"/>
      <c r="FP650" s="60"/>
      <c r="FQ650" s="60"/>
      <c r="FR650" s="60"/>
      <c r="FS650" s="60"/>
      <c r="FT650" s="60"/>
      <c r="FU650" s="60"/>
      <c r="FV650" s="60"/>
      <c r="FW650" s="60"/>
      <c r="FX650" s="60"/>
    </row>
    <row r="651">
      <c r="A651" s="18"/>
      <c r="B651" s="14"/>
      <c r="C651" s="14"/>
      <c r="D651" s="14"/>
      <c r="E651" s="18"/>
      <c r="F651" s="18"/>
      <c r="G651" s="18"/>
      <c r="H651" s="18"/>
      <c r="I651" s="18"/>
      <c r="J651" s="18"/>
      <c r="K651" s="18"/>
      <c r="L651" s="18"/>
      <c r="M651" s="18"/>
      <c r="N651" s="18"/>
      <c r="O651" s="18"/>
      <c r="P651" s="23"/>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26"/>
      <c r="CU651" s="26"/>
      <c r="CV651" s="26"/>
      <c r="CW651" s="26"/>
      <c r="CX651" s="26"/>
      <c r="CY651" s="26"/>
      <c r="CZ651" s="26"/>
      <c r="DA651" s="26"/>
      <c r="DB651" s="26"/>
      <c r="DC651" s="26"/>
      <c r="DD651" s="26"/>
      <c r="DE651" s="26"/>
      <c r="DF651" s="26"/>
      <c r="DG651" s="26"/>
      <c r="DH651" s="26"/>
      <c r="DI651" s="26"/>
      <c r="DJ651" s="26"/>
      <c r="DK651" s="26"/>
      <c r="DL651" s="26"/>
      <c r="DM651" s="26"/>
      <c r="DN651" s="26"/>
      <c r="DO651" s="26"/>
      <c r="DP651" s="26"/>
      <c r="DQ651" s="26"/>
      <c r="DR651" s="26"/>
      <c r="DS651" s="26"/>
      <c r="DT651" s="26"/>
      <c r="DU651" s="26"/>
      <c r="DV651" s="26"/>
      <c r="DW651" s="26"/>
      <c r="DX651" s="26"/>
      <c r="DY651" s="26"/>
      <c r="DZ651" s="26"/>
      <c r="EA651" s="26"/>
      <c r="EB651" s="26"/>
      <c r="EC651" s="26"/>
      <c r="ED651" s="26"/>
      <c r="EE651" s="26"/>
      <c r="EF651" s="26"/>
      <c r="EG651" s="26"/>
      <c r="EH651" s="26"/>
      <c r="EI651" s="26"/>
      <c r="EJ651" s="26"/>
      <c r="EK651" s="26"/>
      <c r="EL651" s="26"/>
      <c r="EM651" s="26"/>
      <c r="EN651" s="26"/>
      <c r="EO651" s="26"/>
      <c r="EP651" s="26"/>
      <c r="EQ651" s="26"/>
      <c r="ER651" s="26"/>
      <c r="ES651" s="26"/>
      <c r="ET651" s="26"/>
      <c r="EU651" s="26"/>
      <c r="EV651" s="26"/>
      <c r="EW651" s="26"/>
      <c r="EX651" s="26"/>
      <c r="EY651" s="26"/>
      <c r="EZ651" s="26"/>
      <c r="FA651" s="60"/>
      <c r="FB651" s="60"/>
      <c r="FC651" s="60"/>
      <c r="FD651" s="60"/>
      <c r="FE651" s="60"/>
      <c r="FF651" s="60"/>
      <c r="FG651" s="60"/>
      <c r="FH651" s="60"/>
      <c r="FI651" s="60"/>
      <c r="FJ651" s="60"/>
      <c r="FK651" s="60"/>
      <c r="FL651" s="60"/>
      <c r="FM651" s="60"/>
      <c r="FN651" s="60"/>
      <c r="FO651" s="60"/>
      <c r="FP651" s="60"/>
      <c r="FQ651" s="60"/>
      <c r="FR651" s="60"/>
      <c r="FS651" s="60"/>
      <c r="FT651" s="60"/>
      <c r="FU651" s="60"/>
      <c r="FV651" s="60"/>
      <c r="FW651" s="60"/>
      <c r="FX651" s="60"/>
    </row>
    <row r="652">
      <c r="A652" s="18"/>
      <c r="B652" s="14"/>
      <c r="C652" s="14"/>
      <c r="D652" s="14"/>
      <c r="E652" s="18"/>
      <c r="F652" s="18"/>
      <c r="G652" s="18"/>
      <c r="H652" s="18"/>
      <c r="I652" s="18"/>
      <c r="J652" s="18"/>
      <c r="K652" s="18"/>
      <c r="L652" s="18"/>
      <c r="M652" s="18"/>
      <c r="N652" s="18"/>
      <c r="O652" s="18"/>
      <c r="P652" s="23"/>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26"/>
      <c r="CU652" s="26"/>
      <c r="CV652" s="26"/>
      <c r="CW652" s="26"/>
      <c r="CX652" s="26"/>
      <c r="CY652" s="26"/>
      <c r="CZ652" s="26"/>
      <c r="DA652" s="26"/>
      <c r="DB652" s="26"/>
      <c r="DC652" s="26"/>
      <c r="DD652" s="26"/>
      <c r="DE652" s="26"/>
      <c r="DF652" s="26"/>
      <c r="DG652" s="26"/>
      <c r="DH652" s="26"/>
      <c r="DI652" s="26"/>
      <c r="DJ652" s="26"/>
      <c r="DK652" s="26"/>
      <c r="DL652" s="26"/>
      <c r="DM652" s="26"/>
      <c r="DN652" s="26"/>
      <c r="DO652" s="26"/>
      <c r="DP652" s="26"/>
      <c r="DQ652" s="26"/>
      <c r="DR652" s="26"/>
      <c r="DS652" s="26"/>
      <c r="DT652" s="26"/>
      <c r="DU652" s="26"/>
      <c r="DV652" s="26"/>
      <c r="DW652" s="26"/>
      <c r="DX652" s="26"/>
      <c r="DY652" s="26"/>
      <c r="DZ652" s="26"/>
      <c r="EA652" s="26"/>
      <c r="EB652" s="26"/>
      <c r="EC652" s="26"/>
      <c r="ED652" s="26"/>
      <c r="EE652" s="26"/>
      <c r="EF652" s="26"/>
      <c r="EG652" s="26"/>
      <c r="EH652" s="26"/>
      <c r="EI652" s="26"/>
      <c r="EJ652" s="26"/>
      <c r="EK652" s="26"/>
      <c r="EL652" s="26"/>
      <c r="EM652" s="26"/>
      <c r="EN652" s="26"/>
      <c r="EO652" s="26"/>
      <c r="EP652" s="26"/>
      <c r="EQ652" s="26"/>
      <c r="ER652" s="26"/>
      <c r="ES652" s="26"/>
      <c r="ET652" s="26"/>
      <c r="EU652" s="26"/>
      <c r="EV652" s="26"/>
      <c r="EW652" s="26"/>
      <c r="EX652" s="26"/>
      <c r="EY652" s="26"/>
      <c r="EZ652" s="26"/>
      <c r="FA652" s="60"/>
      <c r="FB652" s="60"/>
      <c r="FC652" s="60"/>
      <c r="FD652" s="60"/>
      <c r="FE652" s="60"/>
      <c r="FF652" s="60"/>
      <c r="FG652" s="60"/>
      <c r="FH652" s="60"/>
      <c r="FI652" s="60"/>
      <c r="FJ652" s="60"/>
      <c r="FK652" s="60"/>
      <c r="FL652" s="60"/>
      <c r="FM652" s="60"/>
      <c r="FN652" s="60"/>
      <c r="FO652" s="60"/>
      <c r="FP652" s="60"/>
      <c r="FQ652" s="60"/>
      <c r="FR652" s="60"/>
      <c r="FS652" s="60"/>
      <c r="FT652" s="60"/>
      <c r="FU652" s="60"/>
      <c r="FV652" s="60"/>
      <c r="FW652" s="60"/>
      <c r="FX652" s="60"/>
    </row>
    <row r="653">
      <c r="A653" s="18"/>
      <c r="B653" s="14"/>
      <c r="C653" s="14"/>
      <c r="D653" s="14"/>
      <c r="E653" s="18"/>
      <c r="F653" s="18"/>
      <c r="G653" s="18"/>
      <c r="H653" s="18"/>
      <c r="I653" s="18"/>
      <c r="J653" s="18"/>
      <c r="K653" s="18"/>
      <c r="L653" s="18"/>
      <c r="M653" s="18"/>
      <c r="N653" s="18"/>
      <c r="O653" s="18"/>
      <c r="P653" s="23"/>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26"/>
      <c r="CU653" s="26"/>
      <c r="CV653" s="26"/>
      <c r="CW653" s="26"/>
      <c r="CX653" s="26"/>
      <c r="CY653" s="26"/>
      <c r="CZ653" s="26"/>
      <c r="DA653" s="26"/>
      <c r="DB653" s="26"/>
      <c r="DC653" s="26"/>
      <c r="DD653" s="26"/>
      <c r="DE653" s="26"/>
      <c r="DF653" s="26"/>
      <c r="DG653" s="26"/>
      <c r="DH653" s="26"/>
      <c r="DI653" s="26"/>
      <c r="DJ653" s="26"/>
      <c r="DK653" s="26"/>
      <c r="DL653" s="26"/>
      <c r="DM653" s="26"/>
      <c r="DN653" s="26"/>
      <c r="DO653" s="26"/>
      <c r="DP653" s="26"/>
      <c r="DQ653" s="26"/>
      <c r="DR653" s="26"/>
      <c r="DS653" s="26"/>
      <c r="DT653" s="26"/>
      <c r="DU653" s="26"/>
      <c r="DV653" s="26"/>
      <c r="DW653" s="26"/>
      <c r="DX653" s="26"/>
      <c r="DY653" s="26"/>
      <c r="DZ653" s="26"/>
      <c r="EA653" s="26"/>
      <c r="EB653" s="26"/>
      <c r="EC653" s="26"/>
      <c r="ED653" s="26"/>
      <c r="EE653" s="26"/>
      <c r="EF653" s="26"/>
      <c r="EG653" s="26"/>
      <c r="EH653" s="26"/>
      <c r="EI653" s="26"/>
      <c r="EJ653" s="26"/>
      <c r="EK653" s="26"/>
      <c r="EL653" s="26"/>
      <c r="EM653" s="26"/>
      <c r="EN653" s="26"/>
      <c r="EO653" s="26"/>
      <c r="EP653" s="26"/>
      <c r="EQ653" s="26"/>
      <c r="ER653" s="26"/>
      <c r="ES653" s="26"/>
      <c r="ET653" s="26"/>
      <c r="EU653" s="26"/>
      <c r="EV653" s="26"/>
      <c r="EW653" s="26"/>
      <c r="EX653" s="26"/>
      <c r="EY653" s="26"/>
      <c r="EZ653" s="26"/>
      <c r="FA653" s="60"/>
      <c r="FB653" s="60"/>
      <c r="FC653" s="60"/>
      <c r="FD653" s="60"/>
      <c r="FE653" s="60"/>
      <c r="FF653" s="60"/>
      <c r="FG653" s="60"/>
      <c r="FH653" s="60"/>
      <c r="FI653" s="60"/>
      <c r="FJ653" s="60"/>
      <c r="FK653" s="60"/>
      <c r="FL653" s="60"/>
      <c r="FM653" s="60"/>
      <c r="FN653" s="60"/>
      <c r="FO653" s="60"/>
      <c r="FP653" s="60"/>
      <c r="FQ653" s="60"/>
      <c r="FR653" s="60"/>
      <c r="FS653" s="60"/>
      <c r="FT653" s="60"/>
      <c r="FU653" s="60"/>
      <c r="FV653" s="60"/>
      <c r="FW653" s="60"/>
      <c r="FX653" s="60"/>
    </row>
    <row r="654">
      <c r="A654" s="18"/>
      <c r="B654" s="14"/>
      <c r="C654" s="14"/>
      <c r="D654" s="14"/>
      <c r="E654" s="18"/>
      <c r="F654" s="18"/>
      <c r="G654" s="18"/>
      <c r="H654" s="18"/>
      <c r="I654" s="18"/>
      <c r="J654" s="18"/>
      <c r="K654" s="18"/>
      <c r="L654" s="18"/>
      <c r="M654" s="18"/>
      <c r="N654" s="18"/>
      <c r="O654" s="18"/>
      <c r="P654" s="23"/>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26"/>
      <c r="CU654" s="26"/>
      <c r="CV654" s="26"/>
      <c r="CW654" s="26"/>
      <c r="CX654" s="26"/>
      <c r="CY654" s="26"/>
      <c r="CZ654" s="26"/>
      <c r="DA654" s="26"/>
      <c r="DB654" s="26"/>
      <c r="DC654" s="26"/>
      <c r="DD654" s="26"/>
      <c r="DE654" s="26"/>
      <c r="DF654" s="26"/>
      <c r="DG654" s="26"/>
      <c r="DH654" s="26"/>
      <c r="DI654" s="26"/>
      <c r="DJ654" s="26"/>
      <c r="DK654" s="26"/>
      <c r="DL654" s="26"/>
      <c r="DM654" s="26"/>
      <c r="DN654" s="26"/>
      <c r="DO654" s="26"/>
      <c r="DP654" s="26"/>
      <c r="DQ654" s="26"/>
      <c r="DR654" s="26"/>
      <c r="DS654" s="26"/>
      <c r="DT654" s="26"/>
      <c r="DU654" s="26"/>
      <c r="DV654" s="26"/>
      <c r="DW654" s="26"/>
      <c r="DX654" s="26"/>
      <c r="DY654" s="26"/>
      <c r="DZ654" s="26"/>
      <c r="EA654" s="26"/>
      <c r="EB654" s="26"/>
      <c r="EC654" s="26"/>
      <c r="ED654" s="26"/>
      <c r="EE654" s="26"/>
      <c r="EF654" s="26"/>
      <c r="EG654" s="26"/>
      <c r="EH654" s="26"/>
      <c r="EI654" s="26"/>
      <c r="EJ654" s="26"/>
      <c r="EK654" s="26"/>
      <c r="EL654" s="26"/>
      <c r="EM654" s="26"/>
      <c r="EN654" s="26"/>
      <c r="EO654" s="26"/>
      <c r="EP654" s="26"/>
      <c r="EQ654" s="26"/>
      <c r="ER654" s="26"/>
      <c r="ES654" s="26"/>
      <c r="ET654" s="26"/>
      <c r="EU654" s="26"/>
      <c r="EV654" s="26"/>
      <c r="EW654" s="26"/>
      <c r="EX654" s="26"/>
      <c r="EY654" s="26"/>
      <c r="EZ654" s="26"/>
      <c r="FA654" s="60"/>
      <c r="FB654" s="60"/>
      <c r="FC654" s="60"/>
      <c r="FD654" s="60"/>
      <c r="FE654" s="60"/>
      <c r="FF654" s="60"/>
      <c r="FG654" s="60"/>
      <c r="FH654" s="60"/>
      <c r="FI654" s="60"/>
      <c r="FJ654" s="60"/>
      <c r="FK654" s="60"/>
      <c r="FL654" s="60"/>
      <c r="FM654" s="60"/>
      <c r="FN654" s="60"/>
      <c r="FO654" s="60"/>
      <c r="FP654" s="60"/>
      <c r="FQ654" s="60"/>
      <c r="FR654" s="60"/>
      <c r="FS654" s="60"/>
      <c r="FT654" s="60"/>
      <c r="FU654" s="60"/>
      <c r="FV654" s="60"/>
      <c r="FW654" s="60"/>
      <c r="FX654" s="60"/>
    </row>
    <row r="655">
      <c r="A655" s="18"/>
      <c r="B655" s="14"/>
      <c r="C655" s="14"/>
      <c r="D655" s="14"/>
      <c r="E655" s="18"/>
      <c r="F655" s="18"/>
      <c r="G655" s="18"/>
      <c r="H655" s="18"/>
      <c r="I655" s="18"/>
      <c r="J655" s="18"/>
      <c r="K655" s="18"/>
      <c r="L655" s="18"/>
      <c r="M655" s="18"/>
      <c r="N655" s="18"/>
      <c r="O655" s="18"/>
      <c r="P655" s="23"/>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26"/>
      <c r="CU655" s="26"/>
      <c r="CV655" s="26"/>
      <c r="CW655" s="26"/>
      <c r="CX655" s="26"/>
      <c r="CY655" s="26"/>
      <c r="CZ655" s="26"/>
      <c r="DA655" s="26"/>
      <c r="DB655" s="26"/>
      <c r="DC655" s="26"/>
      <c r="DD655" s="26"/>
      <c r="DE655" s="26"/>
      <c r="DF655" s="26"/>
      <c r="DG655" s="26"/>
      <c r="DH655" s="26"/>
      <c r="DI655" s="26"/>
      <c r="DJ655" s="26"/>
      <c r="DK655" s="26"/>
      <c r="DL655" s="26"/>
      <c r="DM655" s="26"/>
      <c r="DN655" s="26"/>
      <c r="DO655" s="26"/>
      <c r="DP655" s="26"/>
      <c r="DQ655" s="26"/>
      <c r="DR655" s="26"/>
      <c r="DS655" s="26"/>
      <c r="DT655" s="26"/>
      <c r="DU655" s="26"/>
      <c r="DV655" s="26"/>
      <c r="DW655" s="26"/>
      <c r="DX655" s="26"/>
      <c r="DY655" s="26"/>
      <c r="DZ655" s="26"/>
      <c r="EA655" s="26"/>
      <c r="EB655" s="26"/>
      <c r="EC655" s="26"/>
      <c r="ED655" s="26"/>
      <c r="EE655" s="26"/>
      <c r="EF655" s="26"/>
      <c r="EG655" s="26"/>
      <c r="EH655" s="26"/>
      <c r="EI655" s="26"/>
      <c r="EJ655" s="26"/>
      <c r="EK655" s="26"/>
      <c r="EL655" s="26"/>
      <c r="EM655" s="26"/>
      <c r="EN655" s="26"/>
      <c r="EO655" s="26"/>
      <c r="EP655" s="26"/>
      <c r="EQ655" s="26"/>
      <c r="ER655" s="26"/>
      <c r="ES655" s="26"/>
      <c r="ET655" s="26"/>
      <c r="EU655" s="26"/>
      <c r="EV655" s="26"/>
      <c r="EW655" s="26"/>
      <c r="EX655" s="26"/>
      <c r="EY655" s="26"/>
      <c r="EZ655" s="26"/>
      <c r="FA655" s="60"/>
      <c r="FB655" s="60"/>
      <c r="FC655" s="60"/>
      <c r="FD655" s="60"/>
      <c r="FE655" s="60"/>
      <c r="FF655" s="60"/>
      <c r="FG655" s="60"/>
      <c r="FH655" s="60"/>
      <c r="FI655" s="60"/>
      <c r="FJ655" s="60"/>
      <c r="FK655" s="60"/>
      <c r="FL655" s="60"/>
      <c r="FM655" s="60"/>
      <c r="FN655" s="60"/>
      <c r="FO655" s="60"/>
      <c r="FP655" s="60"/>
      <c r="FQ655" s="60"/>
      <c r="FR655" s="60"/>
      <c r="FS655" s="60"/>
      <c r="FT655" s="60"/>
      <c r="FU655" s="60"/>
      <c r="FV655" s="60"/>
      <c r="FW655" s="60"/>
      <c r="FX655" s="60"/>
    </row>
    <row r="656">
      <c r="A656" s="18"/>
      <c r="B656" s="14"/>
      <c r="C656" s="14"/>
      <c r="D656" s="14"/>
      <c r="E656" s="18"/>
      <c r="F656" s="18"/>
      <c r="G656" s="18"/>
      <c r="H656" s="18"/>
      <c r="I656" s="18"/>
      <c r="J656" s="18"/>
      <c r="K656" s="18"/>
      <c r="L656" s="18"/>
      <c r="M656" s="18"/>
      <c r="N656" s="18"/>
      <c r="O656" s="18"/>
      <c r="P656" s="23"/>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26"/>
      <c r="CU656" s="26"/>
      <c r="CV656" s="26"/>
      <c r="CW656" s="26"/>
      <c r="CX656" s="26"/>
      <c r="CY656" s="26"/>
      <c r="CZ656" s="26"/>
      <c r="DA656" s="26"/>
      <c r="DB656" s="26"/>
      <c r="DC656" s="26"/>
      <c r="DD656" s="26"/>
      <c r="DE656" s="26"/>
      <c r="DF656" s="26"/>
      <c r="DG656" s="26"/>
      <c r="DH656" s="26"/>
      <c r="DI656" s="26"/>
      <c r="DJ656" s="26"/>
      <c r="DK656" s="26"/>
      <c r="DL656" s="26"/>
      <c r="DM656" s="26"/>
      <c r="DN656" s="26"/>
      <c r="DO656" s="26"/>
      <c r="DP656" s="26"/>
      <c r="DQ656" s="26"/>
      <c r="DR656" s="26"/>
      <c r="DS656" s="26"/>
      <c r="DT656" s="26"/>
      <c r="DU656" s="26"/>
      <c r="DV656" s="26"/>
      <c r="DW656" s="26"/>
      <c r="DX656" s="26"/>
      <c r="DY656" s="26"/>
      <c r="DZ656" s="26"/>
      <c r="EA656" s="26"/>
      <c r="EB656" s="26"/>
      <c r="EC656" s="26"/>
      <c r="ED656" s="26"/>
      <c r="EE656" s="26"/>
      <c r="EF656" s="26"/>
      <c r="EG656" s="26"/>
      <c r="EH656" s="26"/>
      <c r="EI656" s="26"/>
      <c r="EJ656" s="26"/>
      <c r="EK656" s="26"/>
      <c r="EL656" s="26"/>
      <c r="EM656" s="26"/>
      <c r="EN656" s="26"/>
      <c r="EO656" s="26"/>
      <c r="EP656" s="26"/>
      <c r="EQ656" s="26"/>
      <c r="ER656" s="26"/>
      <c r="ES656" s="26"/>
      <c r="ET656" s="26"/>
      <c r="EU656" s="26"/>
      <c r="EV656" s="26"/>
      <c r="EW656" s="26"/>
      <c r="EX656" s="26"/>
      <c r="EY656" s="26"/>
      <c r="EZ656" s="26"/>
      <c r="FA656" s="60"/>
      <c r="FB656" s="60"/>
      <c r="FC656" s="60"/>
      <c r="FD656" s="60"/>
      <c r="FE656" s="60"/>
      <c r="FF656" s="60"/>
      <c r="FG656" s="60"/>
      <c r="FH656" s="60"/>
      <c r="FI656" s="60"/>
      <c r="FJ656" s="60"/>
      <c r="FK656" s="60"/>
      <c r="FL656" s="60"/>
      <c r="FM656" s="60"/>
      <c r="FN656" s="60"/>
      <c r="FO656" s="60"/>
      <c r="FP656" s="60"/>
      <c r="FQ656" s="60"/>
      <c r="FR656" s="60"/>
      <c r="FS656" s="60"/>
      <c r="FT656" s="60"/>
      <c r="FU656" s="60"/>
      <c r="FV656" s="60"/>
      <c r="FW656" s="60"/>
      <c r="FX656" s="60"/>
    </row>
    <row r="657">
      <c r="A657" s="18"/>
      <c r="B657" s="14"/>
      <c r="C657" s="14"/>
      <c r="D657" s="14"/>
      <c r="E657" s="18"/>
      <c r="F657" s="18"/>
      <c r="G657" s="18"/>
      <c r="H657" s="18"/>
      <c r="I657" s="18"/>
      <c r="J657" s="18"/>
      <c r="K657" s="18"/>
      <c r="L657" s="18"/>
      <c r="M657" s="18"/>
      <c r="N657" s="18"/>
      <c r="O657" s="18"/>
      <c r="P657" s="23"/>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26"/>
      <c r="CU657" s="26"/>
      <c r="CV657" s="26"/>
      <c r="CW657" s="26"/>
      <c r="CX657" s="26"/>
      <c r="CY657" s="26"/>
      <c r="CZ657" s="26"/>
      <c r="DA657" s="26"/>
      <c r="DB657" s="26"/>
      <c r="DC657" s="26"/>
      <c r="DD657" s="26"/>
      <c r="DE657" s="26"/>
      <c r="DF657" s="26"/>
      <c r="DG657" s="26"/>
      <c r="DH657" s="26"/>
      <c r="DI657" s="26"/>
      <c r="DJ657" s="26"/>
      <c r="DK657" s="26"/>
      <c r="DL657" s="26"/>
      <c r="DM657" s="26"/>
      <c r="DN657" s="26"/>
      <c r="DO657" s="26"/>
      <c r="DP657" s="26"/>
      <c r="DQ657" s="26"/>
      <c r="DR657" s="26"/>
      <c r="DS657" s="26"/>
      <c r="DT657" s="26"/>
      <c r="DU657" s="26"/>
      <c r="DV657" s="26"/>
      <c r="DW657" s="26"/>
      <c r="DX657" s="26"/>
      <c r="DY657" s="26"/>
      <c r="DZ657" s="26"/>
      <c r="EA657" s="26"/>
      <c r="EB657" s="26"/>
      <c r="EC657" s="26"/>
      <c r="ED657" s="26"/>
      <c r="EE657" s="26"/>
      <c r="EF657" s="26"/>
      <c r="EG657" s="26"/>
      <c r="EH657" s="26"/>
      <c r="EI657" s="26"/>
      <c r="EJ657" s="26"/>
      <c r="EK657" s="26"/>
      <c r="EL657" s="26"/>
      <c r="EM657" s="26"/>
      <c r="EN657" s="26"/>
      <c r="EO657" s="26"/>
      <c r="EP657" s="26"/>
      <c r="EQ657" s="26"/>
      <c r="ER657" s="26"/>
      <c r="ES657" s="26"/>
      <c r="ET657" s="26"/>
      <c r="EU657" s="26"/>
      <c r="EV657" s="26"/>
      <c r="EW657" s="26"/>
      <c r="EX657" s="26"/>
      <c r="EY657" s="26"/>
      <c r="EZ657" s="26"/>
      <c r="FA657" s="60"/>
      <c r="FB657" s="60"/>
      <c r="FC657" s="60"/>
      <c r="FD657" s="60"/>
      <c r="FE657" s="60"/>
      <c r="FF657" s="60"/>
      <c r="FG657" s="60"/>
      <c r="FH657" s="60"/>
      <c r="FI657" s="60"/>
      <c r="FJ657" s="60"/>
      <c r="FK657" s="60"/>
      <c r="FL657" s="60"/>
      <c r="FM657" s="60"/>
      <c r="FN657" s="60"/>
      <c r="FO657" s="60"/>
      <c r="FP657" s="60"/>
      <c r="FQ657" s="60"/>
      <c r="FR657" s="60"/>
      <c r="FS657" s="60"/>
      <c r="FT657" s="60"/>
      <c r="FU657" s="60"/>
      <c r="FV657" s="60"/>
      <c r="FW657" s="60"/>
      <c r="FX657" s="60"/>
    </row>
    <row r="658">
      <c r="A658" s="18"/>
      <c r="B658" s="14"/>
      <c r="C658" s="14"/>
      <c r="D658" s="14"/>
      <c r="E658" s="18"/>
      <c r="F658" s="18"/>
      <c r="G658" s="18"/>
      <c r="H658" s="18"/>
      <c r="I658" s="18"/>
      <c r="J658" s="18"/>
      <c r="K658" s="18"/>
      <c r="L658" s="18"/>
      <c r="M658" s="18"/>
      <c r="N658" s="18"/>
      <c r="O658" s="18"/>
      <c r="P658" s="23"/>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26"/>
      <c r="CU658" s="26"/>
      <c r="CV658" s="26"/>
      <c r="CW658" s="26"/>
      <c r="CX658" s="26"/>
      <c r="CY658" s="26"/>
      <c r="CZ658" s="26"/>
      <c r="DA658" s="26"/>
      <c r="DB658" s="26"/>
      <c r="DC658" s="26"/>
      <c r="DD658" s="26"/>
      <c r="DE658" s="26"/>
      <c r="DF658" s="26"/>
      <c r="DG658" s="26"/>
      <c r="DH658" s="26"/>
      <c r="DI658" s="26"/>
      <c r="DJ658" s="26"/>
      <c r="DK658" s="26"/>
      <c r="DL658" s="26"/>
      <c r="DM658" s="26"/>
      <c r="DN658" s="26"/>
      <c r="DO658" s="26"/>
      <c r="DP658" s="26"/>
      <c r="DQ658" s="26"/>
      <c r="DR658" s="26"/>
      <c r="DS658" s="26"/>
      <c r="DT658" s="26"/>
      <c r="DU658" s="26"/>
      <c r="DV658" s="26"/>
      <c r="DW658" s="26"/>
      <c r="DX658" s="26"/>
      <c r="DY658" s="26"/>
      <c r="DZ658" s="26"/>
      <c r="EA658" s="26"/>
      <c r="EB658" s="26"/>
      <c r="EC658" s="26"/>
      <c r="ED658" s="26"/>
      <c r="EE658" s="26"/>
      <c r="EF658" s="26"/>
      <c r="EG658" s="26"/>
      <c r="EH658" s="26"/>
      <c r="EI658" s="26"/>
      <c r="EJ658" s="26"/>
      <c r="EK658" s="26"/>
      <c r="EL658" s="26"/>
      <c r="EM658" s="26"/>
      <c r="EN658" s="26"/>
      <c r="EO658" s="26"/>
      <c r="EP658" s="26"/>
      <c r="EQ658" s="26"/>
      <c r="ER658" s="26"/>
      <c r="ES658" s="26"/>
      <c r="ET658" s="26"/>
      <c r="EU658" s="26"/>
      <c r="EV658" s="26"/>
      <c r="EW658" s="26"/>
      <c r="EX658" s="26"/>
      <c r="EY658" s="26"/>
      <c r="EZ658" s="26"/>
      <c r="FA658" s="60"/>
      <c r="FB658" s="60"/>
      <c r="FC658" s="60"/>
      <c r="FD658" s="60"/>
      <c r="FE658" s="60"/>
      <c r="FF658" s="60"/>
      <c r="FG658" s="60"/>
      <c r="FH658" s="60"/>
      <c r="FI658" s="60"/>
      <c r="FJ658" s="60"/>
      <c r="FK658" s="60"/>
      <c r="FL658" s="60"/>
      <c r="FM658" s="60"/>
      <c r="FN658" s="60"/>
      <c r="FO658" s="60"/>
      <c r="FP658" s="60"/>
      <c r="FQ658" s="60"/>
      <c r="FR658" s="60"/>
      <c r="FS658" s="60"/>
      <c r="FT658" s="60"/>
      <c r="FU658" s="60"/>
      <c r="FV658" s="60"/>
      <c r="FW658" s="60"/>
      <c r="FX658" s="60"/>
    </row>
    <row r="659">
      <c r="A659" s="18"/>
      <c r="B659" s="14"/>
      <c r="C659" s="14"/>
      <c r="D659" s="14"/>
      <c r="E659" s="18"/>
      <c r="F659" s="18"/>
      <c r="G659" s="18"/>
      <c r="H659" s="18"/>
      <c r="I659" s="18"/>
      <c r="J659" s="18"/>
      <c r="K659" s="18"/>
      <c r="L659" s="18"/>
      <c r="M659" s="18"/>
      <c r="N659" s="18"/>
      <c r="O659" s="18"/>
      <c r="P659" s="23"/>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26"/>
      <c r="CU659" s="26"/>
      <c r="CV659" s="26"/>
      <c r="CW659" s="26"/>
      <c r="CX659" s="26"/>
      <c r="CY659" s="26"/>
      <c r="CZ659" s="26"/>
      <c r="DA659" s="26"/>
      <c r="DB659" s="26"/>
      <c r="DC659" s="26"/>
      <c r="DD659" s="26"/>
      <c r="DE659" s="26"/>
      <c r="DF659" s="26"/>
      <c r="DG659" s="26"/>
      <c r="DH659" s="26"/>
      <c r="DI659" s="26"/>
      <c r="DJ659" s="26"/>
      <c r="DK659" s="26"/>
      <c r="DL659" s="26"/>
      <c r="DM659" s="26"/>
      <c r="DN659" s="26"/>
      <c r="DO659" s="26"/>
      <c r="DP659" s="26"/>
      <c r="DQ659" s="26"/>
      <c r="DR659" s="26"/>
      <c r="DS659" s="26"/>
      <c r="DT659" s="26"/>
      <c r="DU659" s="26"/>
      <c r="DV659" s="26"/>
      <c r="DW659" s="26"/>
      <c r="DX659" s="26"/>
      <c r="DY659" s="26"/>
      <c r="DZ659" s="26"/>
      <c r="EA659" s="26"/>
      <c r="EB659" s="26"/>
      <c r="EC659" s="26"/>
      <c r="ED659" s="26"/>
      <c r="EE659" s="26"/>
      <c r="EF659" s="26"/>
      <c r="EG659" s="26"/>
      <c r="EH659" s="26"/>
      <c r="EI659" s="26"/>
      <c r="EJ659" s="26"/>
      <c r="EK659" s="26"/>
      <c r="EL659" s="26"/>
      <c r="EM659" s="26"/>
      <c r="EN659" s="26"/>
      <c r="EO659" s="26"/>
      <c r="EP659" s="26"/>
      <c r="EQ659" s="26"/>
      <c r="ER659" s="26"/>
      <c r="ES659" s="26"/>
      <c r="ET659" s="26"/>
      <c r="EU659" s="26"/>
      <c r="EV659" s="26"/>
      <c r="EW659" s="26"/>
      <c r="EX659" s="26"/>
      <c r="EY659" s="26"/>
      <c r="EZ659" s="26"/>
      <c r="FA659" s="60"/>
      <c r="FB659" s="60"/>
      <c r="FC659" s="60"/>
      <c r="FD659" s="60"/>
      <c r="FE659" s="60"/>
      <c r="FF659" s="60"/>
      <c r="FG659" s="60"/>
      <c r="FH659" s="60"/>
      <c r="FI659" s="60"/>
      <c r="FJ659" s="60"/>
      <c r="FK659" s="60"/>
      <c r="FL659" s="60"/>
      <c r="FM659" s="60"/>
      <c r="FN659" s="60"/>
      <c r="FO659" s="60"/>
      <c r="FP659" s="60"/>
      <c r="FQ659" s="60"/>
      <c r="FR659" s="60"/>
      <c r="FS659" s="60"/>
      <c r="FT659" s="60"/>
      <c r="FU659" s="60"/>
      <c r="FV659" s="60"/>
      <c r="FW659" s="60"/>
      <c r="FX659" s="60"/>
    </row>
    <row r="660">
      <c r="A660" s="18"/>
      <c r="B660" s="14"/>
      <c r="C660" s="14"/>
      <c r="D660" s="14"/>
      <c r="E660" s="18"/>
      <c r="F660" s="18"/>
      <c r="G660" s="18"/>
      <c r="H660" s="18"/>
      <c r="I660" s="18"/>
      <c r="J660" s="18"/>
      <c r="K660" s="18"/>
      <c r="L660" s="18"/>
      <c r="M660" s="18"/>
      <c r="N660" s="18"/>
      <c r="O660" s="18"/>
      <c r="P660" s="23"/>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26"/>
      <c r="CU660" s="26"/>
      <c r="CV660" s="26"/>
      <c r="CW660" s="26"/>
      <c r="CX660" s="26"/>
      <c r="CY660" s="26"/>
      <c r="CZ660" s="26"/>
      <c r="DA660" s="26"/>
      <c r="DB660" s="26"/>
      <c r="DC660" s="26"/>
      <c r="DD660" s="26"/>
      <c r="DE660" s="26"/>
      <c r="DF660" s="26"/>
      <c r="DG660" s="26"/>
      <c r="DH660" s="26"/>
      <c r="DI660" s="26"/>
      <c r="DJ660" s="26"/>
      <c r="DK660" s="26"/>
      <c r="DL660" s="26"/>
      <c r="DM660" s="26"/>
      <c r="DN660" s="26"/>
      <c r="DO660" s="26"/>
      <c r="DP660" s="26"/>
      <c r="DQ660" s="26"/>
      <c r="DR660" s="26"/>
      <c r="DS660" s="26"/>
      <c r="DT660" s="26"/>
      <c r="DU660" s="26"/>
      <c r="DV660" s="26"/>
      <c r="DW660" s="26"/>
      <c r="DX660" s="26"/>
      <c r="DY660" s="26"/>
      <c r="DZ660" s="26"/>
      <c r="EA660" s="26"/>
      <c r="EB660" s="26"/>
      <c r="EC660" s="26"/>
      <c r="ED660" s="26"/>
      <c r="EE660" s="26"/>
      <c r="EF660" s="26"/>
      <c r="EG660" s="26"/>
      <c r="EH660" s="26"/>
      <c r="EI660" s="26"/>
      <c r="EJ660" s="26"/>
      <c r="EK660" s="26"/>
      <c r="EL660" s="26"/>
      <c r="EM660" s="26"/>
      <c r="EN660" s="26"/>
      <c r="EO660" s="26"/>
      <c r="EP660" s="26"/>
      <c r="EQ660" s="26"/>
      <c r="ER660" s="26"/>
      <c r="ES660" s="26"/>
      <c r="ET660" s="26"/>
      <c r="EU660" s="26"/>
      <c r="EV660" s="26"/>
      <c r="EW660" s="26"/>
      <c r="EX660" s="26"/>
      <c r="EY660" s="26"/>
      <c r="EZ660" s="26"/>
      <c r="FA660" s="60"/>
      <c r="FB660" s="60"/>
      <c r="FC660" s="60"/>
      <c r="FD660" s="60"/>
      <c r="FE660" s="60"/>
      <c r="FF660" s="60"/>
      <c r="FG660" s="60"/>
      <c r="FH660" s="60"/>
      <c r="FI660" s="60"/>
      <c r="FJ660" s="60"/>
      <c r="FK660" s="60"/>
      <c r="FL660" s="60"/>
      <c r="FM660" s="60"/>
      <c r="FN660" s="60"/>
      <c r="FO660" s="60"/>
      <c r="FP660" s="60"/>
      <c r="FQ660" s="60"/>
      <c r="FR660" s="60"/>
      <c r="FS660" s="60"/>
      <c r="FT660" s="60"/>
      <c r="FU660" s="60"/>
      <c r="FV660" s="60"/>
      <c r="FW660" s="60"/>
      <c r="FX660" s="60"/>
    </row>
    <row r="661">
      <c r="A661" s="18"/>
      <c r="B661" s="14"/>
      <c r="C661" s="14"/>
      <c r="D661" s="14"/>
      <c r="E661" s="18"/>
      <c r="F661" s="18"/>
      <c r="G661" s="18"/>
      <c r="H661" s="18"/>
      <c r="I661" s="18"/>
      <c r="J661" s="18"/>
      <c r="K661" s="18"/>
      <c r="L661" s="18"/>
      <c r="M661" s="18"/>
      <c r="N661" s="18"/>
      <c r="O661" s="18"/>
      <c r="P661" s="23"/>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26"/>
      <c r="CU661" s="26"/>
      <c r="CV661" s="26"/>
      <c r="CW661" s="26"/>
      <c r="CX661" s="26"/>
      <c r="CY661" s="26"/>
      <c r="CZ661" s="26"/>
      <c r="DA661" s="26"/>
      <c r="DB661" s="26"/>
      <c r="DC661" s="26"/>
      <c r="DD661" s="26"/>
      <c r="DE661" s="26"/>
      <c r="DF661" s="26"/>
      <c r="DG661" s="26"/>
      <c r="DH661" s="26"/>
      <c r="DI661" s="26"/>
      <c r="DJ661" s="26"/>
      <c r="DK661" s="26"/>
      <c r="DL661" s="26"/>
      <c r="DM661" s="26"/>
      <c r="DN661" s="26"/>
      <c r="DO661" s="26"/>
      <c r="DP661" s="26"/>
      <c r="DQ661" s="26"/>
      <c r="DR661" s="26"/>
      <c r="DS661" s="26"/>
      <c r="DT661" s="26"/>
      <c r="DU661" s="26"/>
      <c r="DV661" s="26"/>
      <c r="DW661" s="26"/>
      <c r="DX661" s="26"/>
      <c r="DY661" s="26"/>
      <c r="DZ661" s="26"/>
      <c r="EA661" s="26"/>
      <c r="EB661" s="26"/>
      <c r="EC661" s="26"/>
      <c r="ED661" s="26"/>
      <c r="EE661" s="26"/>
      <c r="EF661" s="26"/>
      <c r="EG661" s="26"/>
      <c r="EH661" s="26"/>
      <c r="EI661" s="26"/>
      <c r="EJ661" s="26"/>
      <c r="EK661" s="26"/>
      <c r="EL661" s="26"/>
      <c r="EM661" s="26"/>
      <c r="EN661" s="26"/>
      <c r="EO661" s="26"/>
      <c r="EP661" s="26"/>
      <c r="EQ661" s="26"/>
      <c r="ER661" s="26"/>
      <c r="ES661" s="26"/>
      <c r="ET661" s="26"/>
      <c r="EU661" s="26"/>
      <c r="EV661" s="26"/>
      <c r="EW661" s="26"/>
      <c r="EX661" s="26"/>
      <c r="EY661" s="26"/>
      <c r="EZ661" s="26"/>
      <c r="FA661" s="60"/>
      <c r="FB661" s="60"/>
      <c r="FC661" s="60"/>
      <c r="FD661" s="60"/>
      <c r="FE661" s="60"/>
      <c r="FF661" s="60"/>
      <c r="FG661" s="60"/>
      <c r="FH661" s="60"/>
      <c r="FI661" s="60"/>
      <c r="FJ661" s="60"/>
      <c r="FK661" s="60"/>
      <c r="FL661" s="60"/>
      <c r="FM661" s="60"/>
      <c r="FN661" s="60"/>
      <c r="FO661" s="60"/>
      <c r="FP661" s="60"/>
      <c r="FQ661" s="60"/>
      <c r="FR661" s="60"/>
      <c r="FS661" s="60"/>
      <c r="FT661" s="60"/>
      <c r="FU661" s="60"/>
      <c r="FV661" s="60"/>
      <c r="FW661" s="60"/>
      <c r="FX661" s="60"/>
    </row>
    <row r="662">
      <c r="A662" s="18"/>
      <c r="B662" s="14"/>
      <c r="C662" s="14"/>
      <c r="D662" s="14"/>
      <c r="E662" s="18"/>
      <c r="F662" s="18"/>
      <c r="G662" s="18"/>
      <c r="H662" s="18"/>
      <c r="I662" s="18"/>
      <c r="J662" s="18"/>
      <c r="K662" s="18"/>
      <c r="L662" s="18"/>
      <c r="M662" s="18"/>
      <c r="N662" s="18"/>
      <c r="O662" s="18"/>
      <c r="P662" s="23"/>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26"/>
      <c r="CU662" s="26"/>
      <c r="CV662" s="26"/>
      <c r="CW662" s="26"/>
      <c r="CX662" s="26"/>
      <c r="CY662" s="26"/>
      <c r="CZ662" s="26"/>
      <c r="DA662" s="26"/>
      <c r="DB662" s="26"/>
      <c r="DC662" s="26"/>
      <c r="DD662" s="26"/>
      <c r="DE662" s="26"/>
      <c r="DF662" s="26"/>
      <c r="DG662" s="26"/>
      <c r="DH662" s="26"/>
      <c r="DI662" s="26"/>
      <c r="DJ662" s="26"/>
      <c r="DK662" s="26"/>
      <c r="DL662" s="26"/>
      <c r="DM662" s="26"/>
      <c r="DN662" s="26"/>
      <c r="DO662" s="26"/>
      <c r="DP662" s="26"/>
      <c r="DQ662" s="26"/>
      <c r="DR662" s="26"/>
      <c r="DS662" s="26"/>
      <c r="DT662" s="26"/>
      <c r="DU662" s="26"/>
      <c r="DV662" s="26"/>
      <c r="DW662" s="26"/>
      <c r="DX662" s="26"/>
      <c r="DY662" s="26"/>
      <c r="DZ662" s="26"/>
      <c r="EA662" s="26"/>
      <c r="EB662" s="26"/>
      <c r="EC662" s="26"/>
      <c r="ED662" s="26"/>
      <c r="EE662" s="26"/>
      <c r="EF662" s="26"/>
      <c r="EG662" s="26"/>
      <c r="EH662" s="26"/>
      <c r="EI662" s="26"/>
      <c r="EJ662" s="26"/>
      <c r="EK662" s="26"/>
      <c r="EL662" s="26"/>
      <c r="EM662" s="26"/>
      <c r="EN662" s="26"/>
      <c r="EO662" s="26"/>
      <c r="EP662" s="26"/>
      <c r="EQ662" s="26"/>
      <c r="ER662" s="26"/>
      <c r="ES662" s="26"/>
      <c r="ET662" s="26"/>
      <c r="EU662" s="26"/>
      <c r="EV662" s="26"/>
      <c r="EW662" s="26"/>
      <c r="EX662" s="26"/>
      <c r="EY662" s="26"/>
      <c r="EZ662" s="26"/>
      <c r="FA662" s="60"/>
      <c r="FB662" s="60"/>
      <c r="FC662" s="60"/>
      <c r="FD662" s="60"/>
      <c r="FE662" s="60"/>
      <c r="FF662" s="60"/>
      <c r="FG662" s="60"/>
      <c r="FH662" s="60"/>
      <c r="FI662" s="60"/>
      <c r="FJ662" s="60"/>
      <c r="FK662" s="60"/>
      <c r="FL662" s="60"/>
      <c r="FM662" s="60"/>
      <c r="FN662" s="60"/>
      <c r="FO662" s="60"/>
      <c r="FP662" s="60"/>
      <c r="FQ662" s="60"/>
      <c r="FR662" s="60"/>
      <c r="FS662" s="60"/>
      <c r="FT662" s="60"/>
      <c r="FU662" s="60"/>
      <c r="FV662" s="60"/>
      <c r="FW662" s="60"/>
      <c r="FX662" s="60"/>
    </row>
    <row r="663">
      <c r="A663" s="18"/>
      <c r="B663" s="14"/>
      <c r="C663" s="14"/>
      <c r="D663" s="14"/>
      <c r="E663" s="18"/>
      <c r="F663" s="18"/>
      <c r="G663" s="18"/>
      <c r="H663" s="18"/>
      <c r="I663" s="18"/>
      <c r="J663" s="18"/>
      <c r="K663" s="18"/>
      <c r="L663" s="18"/>
      <c r="M663" s="18"/>
      <c r="N663" s="18"/>
      <c r="O663" s="18"/>
      <c r="P663" s="23"/>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26"/>
      <c r="CU663" s="26"/>
      <c r="CV663" s="26"/>
      <c r="CW663" s="26"/>
      <c r="CX663" s="26"/>
      <c r="CY663" s="26"/>
      <c r="CZ663" s="26"/>
      <c r="DA663" s="26"/>
      <c r="DB663" s="26"/>
      <c r="DC663" s="26"/>
      <c r="DD663" s="26"/>
      <c r="DE663" s="26"/>
      <c r="DF663" s="26"/>
      <c r="DG663" s="26"/>
      <c r="DH663" s="26"/>
      <c r="DI663" s="26"/>
      <c r="DJ663" s="26"/>
      <c r="DK663" s="26"/>
      <c r="DL663" s="26"/>
      <c r="DM663" s="26"/>
      <c r="DN663" s="26"/>
      <c r="DO663" s="26"/>
      <c r="DP663" s="26"/>
      <c r="DQ663" s="26"/>
      <c r="DR663" s="26"/>
      <c r="DS663" s="26"/>
      <c r="DT663" s="26"/>
      <c r="DU663" s="26"/>
      <c r="DV663" s="26"/>
      <c r="DW663" s="26"/>
      <c r="DX663" s="26"/>
      <c r="DY663" s="26"/>
      <c r="DZ663" s="26"/>
      <c r="EA663" s="26"/>
      <c r="EB663" s="26"/>
      <c r="EC663" s="26"/>
      <c r="ED663" s="26"/>
      <c r="EE663" s="26"/>
      <c r="EF663" s="26"/>
      <c r="EG663" s="26"/>
      <c r="EH663" s="26"/>
      <c r="EI663" s="26"/>
      <c r="EJ663" s="26"/>
      <c r="EK663" s="26"/>
      <c r="EL663" s="26"/>
      <c r="EM663" s="26"/>
      <c r="EN663" s="26"/>
      <c r="EO663" s="26"/>
      <c r="EP663" s="26"/>
      <c r="EQ663" s="26"/>
      <c r="ER663" s="26"/>
      <c r="ES663" s="26"/>
      <c r="ET663" s="26"/>
      <c r="EU663" s="26"/>
      <c r="EV663" s="26"/>
      <c r="EW663" s="26"/>
      <c r="EX663" s="26"/>
      <c r="EY663" s="26"/>
      <c r="EZ663" s="26"/>
      <c r="FA663" s="60"/>
      <c r="FB663" s="60"/>
      <c r="FC663" s="60"/>
      <c r="FD663" s="60"/>
      <c r="FE663" s="60"/>
      <c r="FF663" s="60"/>
      <c r="FG663" s="60"/>
      <c r="FH663" s="60"/>
      <c r="FI663" s="60"/>
      <c r="FJ663" s="60"/>
      <c r="FK663" s="60"/>
      <c r="FL663" s="60"/>
      <c r="FM663" s="60"/>
      <c r="FN663" s="60"/>
      <c r="FO663" s="60"/>
      <c r="FP663" s="60"/>
      <c r="FQ663" s="60"/>
      <c r="FR663" s="60"/>
      <c r="FS663" s="60"/>
      <c r="FT663" s="60"/>
      <c r="FU663" s="60"/>
      <c r="FV663" s="60"/>
      <c r="FW663" s="60"/>
      <c r="FX663" s="60"/>
    </row>
    <row r="664">
      <c r="A664" s="18"/>
      <c r="B664" s="14"/>
      <c r="C664" s="14"/>
      <c r="D664" s="14"/>
      <c r="E664" s="18"/>
      <c r="F664" s="18"/>
      <c r="G664" s="18"/>
      <c r="H664" s="18"/>
      <c r="I664" s="18"/>
      <c r="J664" s="18"/>
      <c r="K664" s="18"/>
      <c r="L664" s="18"/>
      <c r="M664" s="18"/>
      <c r="N664" s="18"/>
      <c r="O664" s="18"/>
      <c r="P664" s="23"/>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26"/>
      <c r="CU664" s="26"/>
      <c r="CV664" s="26"/>
      <c r="CW664" s="26"/>
      <c r="CX664" s="26"/>
      <c r="CY664" s="26"/>
      <c r="CZ664" s="26"/>
      <c r="DA664" s="26"/>
      <c r="DB664" s="26"/>
      <c r="DC664" s="26"/>
      <c r="DD664" s="26"/>
      <c r="DE664" s="26"/>
      <c r="DF664" s="26"/>
      <c r="DG664" s="26"/>
      <c r="DH664" s="26"/>
      <c r="DI664" s="26"/>
      <c r="DJ664" s="26"/>
      <c r="DK664" s="26"/>
      <c r="DL664" s="26"/>
      <c r="DM664" s="26"/>
      <c r="DN664" s="26"/>
      <c r="DO664" s="26"/>
      <c r="DP664" s="26"/>
      <c r="DQ664" s="26"/>
      <c r="DR664" s="26"/>
      <c r="DS664" s="26"/>
      <c r="DT664" s="26"/>
      <c r="DU664" s="26"/>
      <c r="DV664" s="26"/>
      <c r="DW664" s="26"/>
      <c r="DX664" s="26"/>
      <c r="DY664" s="26"/>
      <c r="DZ664" s="26"/>
      <c r="EA664" s="26"/>
      <c r="EB664" s="26"/>
      <c r="EC664" s="26"/>
      <c r="ED664" s="26"/>
      <c r="EE664" s="26"/>
      <c r="EF664" s="26"/>
      <c r="EG664" s="26"/>
      <c r="EH664" s="26"/>
      <c r="EI664" s="26"/>
      <c r="EJ664" s="26"/>
      <c r="EK664" s="26"/>
      <c r="EL664" s="26"/>
      <c r="EM664" s="26"/>
      <c r="EN664" s="26"/>
      <c r="EO664" s="26"/>
      <c r="EP664" s="26"/>
      <c r="EQ664" s="26"/>
      <c r="ER664" s="26"/>
      <c r="ES664" s="26"/>
      <c r="ET664" s="26"/>
      <c r="EU664" s="26"/>
      <c r="EV664" s="26"/>
      <c r="EW664" s="26"/>
      <c r="EX664" s="26"/>
      <c r="EY664" s="26"/>
      <c r="EZ664" s="26"/>
      <c r="FA664" s="60"/>
      <c r="FB664" s="60"/>
      <c r="FC664" s="60"/>
      <c r="FD664" s="60"/>
      <c r="FE664" s="60"/>
      <c r="FF664" s="60"/>
      <c r="FG664" s="60"/>
      <c r="FH664" s="60"/>
      <c r="FI664" s="60"/>
      <c r="FJ664" s="60"/>
      <c r="FK664" s="60"/>
      <c r="FL664" s="60"/>
      <c r="FM664" s="60"/>
      <c r="FN664" s="60"/>
      <c r="FO664" s="60"/>
      <c r="FP664" s="60"/>
      <c r="FQ664" s="60"/>
      <c r="FR664" s="60"/>
      <c r="FS664" s="60"/>
      <c r="FT664" s="60"/>
      <c r="FU664" s="60"/>
      <c r="FV664" s="60"/>
      <c r="FW664" s="60"/>
      <c r="FX664" s="60"/>
    </row>
    <row r="665">
      <c r="A665" s="18"/>
      <c r="B665" s="14"/>
      <c r="C665" s="14"/>
      <c r="D665" s="14"/>
      <c r="E665" s="18"/>
      <c r="F665" s="18"/>
      <c r="G665" s="18"/>
      <c r="H665" s="18"/>
      <c r="I665" s="18"/>
      <c r="J665" s="18"/>
      <c r="K665" s="18"/>
      <c r="L665" s="18"/>
      <c r="M665" s="18"/>
      <c r="N665" s="18"/>
      <c r="O665" s="18"/>
      <c r="P665" s="23"/>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26"/>
      <c r="CU665" s="26"/>
      <c r="CV665" s="26"/>
      <c r="CW665" s="26"/>
      <c r="CX665" s="26"/>
      <c r="CY665" s="26"/>
      <c r="CZ665" s="26"/>
      <c r="DA665" s="26"/>
      <c r="DB665" s="26"/>
      <c r="DC665" s="26"/>
      <c r="DD665" s="26"/>
      <c r="DE665" s="26"/>
      <c r="DF665" s="26"/>
      <c r="DG665" s="26"/>
      <c r="DH665" s="26"/>
      <c r="DI665" s="26"/>
      <c r="DJ665" s="26"/>
      <c r="DK665" s="26"/>
      <c r="DL665" s="26"/>
      <c r="DM665" s="26"/>
      <c r="DN665" s="26"/>
      <c r="DO665" s="26"/>
      <c r="DP665" s="26"/>
      <c r="DQ665" s="26"/>
      <c r="DR665" s="26"/>
      <c r="DS665" s="26"/>
      <c r="DT665" s="26"/>
      <c r="DU665" s="26"/>
      <c r="DV665" s="26"/>
      <c r="DW665" s="26"/>
      <c r="DX665" s="26"/>
      <c r="DY665" s="26"/>
      <c r="DZ665" s="26"/>
      <c r="EA665" s="26"/>
      <c r="EB665" s="26"/>
      <c r="EC665" s="26"/>
      <c r="ED665" s="26"/>
      <c r="EE665" s="26"/>
      <c r="EF665" s="26"/>
      <c r="EG665" s="26"/>
      <c r="EH665" s="26"/>
      <c r="EI665" s="26"/>
      <c r="EJ665" s="26"/>
      <c r="EK665" s="26"/>
      <c r="EL665" s="26"/>
      <c r="EM665" s="26"/>
      <c r="EN665" s="26"/>
      <c r="EO665" s="26"/>
      <c r="EP665" s="26"/>
      <c r="EQ665" s="26"/>
      <c r="ER665" s="26"/>
      <c r="ES665" s="26"/>
      <c r="ET665" s="26"/>
      <c r="EU665" s="26"/>
      <c r="EV665" s="26"/>
      <c r="EW665" s="26"/>
      <c r="EX665" s="26"/>
      <c r="EY665" s="26"/>
      <c r="EZ665" s="26"/>
      <c r="FA665" s="60"/>
      <c r="FB665" s="60"/>
      <c r="FC665" s="60"/>
      <c r="FD665" s="60"/>
      <c r="FE665" s="60"/>
      <c r="FF665" s="60"/>
      <c r="FG665" s="60"/>
      <c r="FH665" s="60"/>
      <c r="FI665" s="60"/>
      <c r="FJ665" s="60"/>
      <c r="FK665" s="60"/>
      <c r="FL665" s="60"/>
      <c r="FM665" s="60"/>
      <c r="FN665" s="60"/>
      <c r="FO665" s="60"/>
      <c r="FP665" s="60"/>
      <c r="FQ665" s="60"/>
      <c r="FR665" s="60"/>
      <c r="FS665" s="60"/>
      <c r="FT665" s="60"/>
      <c r="FU665" s="60"/>
      <c r="FV665" s="60"/>
      <c r="FW665" s="60"/>
      <c r="FX665" s="60"/>
    </row>
    <row r="666">
      <c r="A666" s="18"/>
      <c r="B666" s="14"/>
      <c r="C666" s="14"/>
      <c r="D666" s="14"/>
      <c r="E666" s="18"/>
      <c r="F666" s="18"/>
      <c r="G666" s="18"/>
      <c r="H666" s="18"/>
      <c r="I666" s="18"/>
      <c r="J666" s="18"/>
      <c r="K666" s="18"/>
      <c r="L666" s="18"/>
      <c r="M666" s="18"/>
      <c r="N666" s="18"/>
      <c r="O666" s="18"/>
      <c r="P666" s="23"/>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26"/>
      <c r="CU666" s="26"/>
      <c r="CV666" s="26"/>
      <c r="CW666" s="26"/>
      <c r="CX666" s="26"/>
      <c r="CY666" s="26"/>
      <c r="CZ666" s="26"/>
      <c r="DA666" s="26"/>
      <c r="DB666" s="26"/>
      <c r="DC666" s="26"/>
      <c r="DD666" s="26"/>
      <c r="DE666" s="26"/>
      <c r="DF666" s="26"/>
      <c r="DG666" s="26"/>
      <c r="DH666" s="26"/>
      <c r="DI666" s="26"/>
      <c r="DJ666" s="26"/>
      <c r="DK666" s="26"/>
      <c r="DL666" s="26"/>
      <c r="DM666" s="26"/>
      <c r="DN666" s="26"/>
      <c r="DO666" s="26"/>
      <c r="DP666" s="26"/>
      <c r="DQ666" s="26"/>
      <c r="DR666" s="26"/>
      <c r="DS666" s="26"/>
      <c r="DT666" s="26"/>
      <c r="DU666" s="26"/>
      <c r="DV666" s="26"/>
      <c r="DW666" s="26"/>
      <c r="DX666" s="26"/>
      <c r="DY666" s="26"/>
      <c r="DZ666" s="26"/>
      <c r="EA666" s="26"/>
      <c r="EB666" s="26"/>
      <c r="EC666" s="26"/>
      <c r="ED666" s="26"/>
      <c r="EE666" s="26"/>
      <c r="EF666" s="26"/>
      <c r="EG666" s="26"/>
      <c r="EH666" s="26"/>
      <c r="EI666" s="26"/>
      <c r="EJ666" s="26"/>
      <c r="EK666" s="26"/>
      <c r="EL666" s="26"/>
      <c r="EM666" s="26"/>
      <c r="EN666" s="26"/>
      <c r="EO666" s="26"/>
      <c r="EP666" s="26"/>
      <c r="EQ666" s="26"/>
      <c r="ER666" s="26"/>
      <c r="ES666" s="26"/>
      <c r="ET666" s="26"/>
      <c r="EU666" s="26"/>
      <c r="EV666" s="26"/>
      <c r="EW666" s="26"/>
      <c r="EX666" s="26"/>
      <c r="EY666" s="26"/>
      <c r="EZ666" s="26"/>
      <c r="FA666" s="60"/>
      <c r="FB666" s="60"/>
      <c r="FC666" s="60"/>
      <c r="FD666" s="60"/>
      <c r="FE666" s="60"/>
      <c r="FF666" s="60"/>
      <c r="FG666" s="60"/>
      <c r="FH666" s="60"/>
      <c r="FI666" s="60"/>
      <c r="FJ666" s="60"/>
      <c r="FK666" s="60"/>
      <c r="FL666" s="60"/>
      <c r="FM666" s="60"/>
      <c r="FN666" s="60"/>
      <c r="FO666" s="60"/>
      <c r="FP666" s="60"/>
      <c r="FQ666" s="60"/>
      <c r="FR666" s="60"/>
      <c r="FS666" s="60"/>
      <c r="FT666" s="60"/>
      <c r="FU666" s="60"/>
      <c r="FV666" s="60"/>
      <c r="FW666" s="60"/>
      <c r="FX666" s="60"/>
    </row>
    <row r="667">
      <c r="A667" s="18"/>
      <c r="B667" s="14"/>
      <c r="C667" s="14"/>
      <c r="D667" s="14"/>
      <c r="E667" s="18"/>
      <c r="F667" s="18"/>
      <c r="G667" s="18"/>
      <c r="H667" s="18"/>
      <c r="I667" s="18"/>
      <c r="J667" s="18"/>
      <c r="K667" s="18"/>
      <c r="L667" s="18"/>
      <c r="M667" s="18"/>
      <c r="N667" s="18"/>
      <c r="O667" s="18"/>
      <c r="P667" s="23"/>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26"/>
      <c r="CU667" s="26"/>
      <c r="CV667" s="26"/>
      <c r="CW667" s="26"/>
      <c r="CX667" s="26"/>
      <c r="CY667" s="26"/>
      <c r="CZ667" s="26"/>
      <c r="DA667" s="26"/>
      <c r="DB667" s="26"/>
      <c r="DC667" s="26"/>
      <c r="DD667" s="26"/>
      <c r="DE667" s="26"/>
      <c r="DF667" s="26"/>
      <c r="DG667" s="26"/>
      <c r="DH667" s="26"/>
      <c r="DI667" s="26"/>
      <c r="DJ667" s="26"/>
      <c r="DK667" s="26"/>
      <c r="DL667" s="26"/>
      <c r="DM667" s="26"/>
      <c r="DN667" s="26"/>
      <c r="DO667" s="26"/>
      <c r="DP667" s="26"/>
      <c r="DQ667" s="26"/>
      <c r="DR667" s="26"/>
      <c r="DS667" s="26"/>
      <c r="DT667" s="26"/>
      <c r="DU667" s="26"/>
      <c r="DV667" s="26"/>
      <c r="DW667" s="26"/>
      <c r="DX667" s="26"/>
      <c r="DY667" s="26"/>
      <c r="DZ667" s="26"/>
      <c r="EA667" s="26"/>
      <c r="EB667" s="26"/>
      <c r="EC667" s="26"/>
      <c r="ED667" s="26"/>
      <c r="EE667" s="26"/>
      <c r="EF667" s="26"/>
      <c r="EG667" s="26"/>
      <c r="EH667" s="26"/>
      <c r="EI667" s="26"/>
      <c r="EJ667" s="26"/>
      <c r="EK667" s="26"/>
      <c r="EL667" s="26"/>
      <c r="EM667" s="26"/>
      <c r="EN667" s="26"/>
      <c r="EO667" s="26"/>
      <c r="EP667" s="26"/>
      <c r="EQ667" s="26"/>
      <c r="ER667" s="26"/>
      <c r="ES667" s="26"/>
      <c r="ET667" s="26"/>
      <c r="EU667" s="26"/>
      <c r="EV667" s="26"/>
      <c r="EW667" s="26"/>
      <c r="EX667" s="26"/>
      <c r="EY667" s="26"/>
      <c r="EZ667" s="26"/>
      <c r="FA667" s="60"/>
      <c r="FB667" s="60"/>
      <c r="FC667" s="60"/>
      <c r="FD667" s="60"/>
      <c r="FE667" s="60"/>
      <c r="FF667" s="60"/>
      <c r="FG667" s="60"/>
      <c r="FH667" s="60"/>
      <c r="FI667" s="60"/>
      <c r="FJ667" s="60"/>
      <c r="FK667" s="60"/>
      <c r="FL667" s="60"/>
      <c r="FM667" s="60"/>
      <c r="FN667" s="60"/>
      <c r="FO667" s="60"/>
      <c r="FP667" s="60"/>
      <c r="FQ667" s="60"/>
      <c r="FR667" s="60"/>
      <c r="FS667" s="60"/>
      <c r="FT667" s="60"/>
      <c r="FU667" s="60"/>
      <c r="FV667" s="60"/>
      <c r="FW667" s="60"/>
      <c r="FX667" s="60"/>
    </row>
    <row r="668">
      <c r="A668" s="18"/>
      <c r="B668" s="14"/>
      <c r="C668" s="14"/>
      <c r="D668" s="14"/>
      <c r="E668" s="18"/>
      <c r="F668" s="18"/>
      <c r="G668" s="18"/>
      <c r="H668" s="18"/>
      <c r="I668" s="18"/>
      <c r="J668" s="18"/>
      <c r="K668" s="18"/>
      <c r="L668" s="18"/>
      <c r="M668" s="18"/>
      <c r="N668" s="18"/>
      <c r="O668" s="18"/>
      <c r="P668" s="23"/>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26"/>
      <c r="CU668" s="26"/>
      <c r="CV668" s="26"/>
      <c r="CW668" s="26"/>
      <c r="CX668" s="26"/>
      <c r="CY668" s="26"/>
      <c r="CZ668" s="26"/>
      <c r="DA668" s="26"/>
      <c r="DB668" s="26"/>
      <c r="DC668" s="26"/>
      <c r="DD668" s="26"/>
      <c r="DE668" s="26"/>
      <c r="DF668" s="26"/>
      <c r="DG668" s="26"/>
      <c r="DH668" s="26"/>
      <c r="DI668" s="26"/>
      <c r="DJ668" s="26"/>
      <c r="DK668" s="26"/>
      <c r="DL668" s="26"/>
      <c r="DM668" s="26"/>
      <c r="DN668" s="26"/>
      <c r="DO668" s="26"/>
      <c r="DP668" s="26"/>
      <c r="DQ668" s="26"/>
      <c r="DR668" s="26"/>
      <c r="DS668" s="26"/>
      <c r="DT668" s="26"/>
      <c r="DU668" s="26"/>
      <c r="DV668" s="26"/>
      <c r="DW668" s="26"/>
      <c r="DX668" s="26"/>
      <c r="DY668" s="26"/>
      <c r="DZ668" s="26"/>
      <c r="EA668" s="26"/>
      <c r="EB668" s="26"/>
      <c r="EC668" s="26"/>
      <c r="ED668" s="26"/>
      <c r="EE668" s="26"/>
      <c r="EF668" s="26"/>
      <c r="EG668" s="26"/>
      <c r="EH668" s="26"/>
      <c r="EI668" s="26"/>
      <c r="EJ668" s="26"/>
      <c r="EK668" s="26"/>
      <c r="EL668" s="26"/>
      <c r="EM668" s="26"/>
      <c r="EN668" s="26"/>
      <c r="EO668" s="26"/>
      <c r="EP668" s="26"/>
      <c r="EQ668" s="26"/>
      <c r="ER668" s="26"/>
      <c r="ES668" s="26"/>
      <c r="ET668" s="26"/>
      <c r="EU668" s="26"/>
      <c r="EV668" s="26"/>
      <c r="EW668" s="26"/>
      <c r="EX668" s="26"/>
      <c r="EY668" s="26"/>
      <c r="EZ668" s="26"/>
      <c r="FA668" s="60"/>
      <c r="FB668" s="60"/>
      <c r="FC668" s="60"/>
      <c r="FD668" s="60"/>
      <c r="FE668" s="60"/>
      <c r="FF668" s="60"/>
      <c r="FG668" s="60"/>
      <c r="FH668" s="60"/>
      <c r="FI668" s="60"/>
      <c r="FJ668" s="60"/>
      <c r="FK668" s="60"/>
      <c r="FL668" s="60"/>
      <c r="FM668" s="60"/>
      <c r="FN668" s="60"/>
      <c r="FO668" s="60"/>
      <c r="FP668" s="60"/>
      <c r="FQ668" s="60"/>
      <c r="FR668" s="60"/>
      <c r="FS668" s="60"/>
      <c r="FT668" s="60"/>
      <c r="FU668" s="60"/>
      <c r="FV668" s="60"/>
      <c r="FW668" s="60"/>
      <c r="FX668" s="60"/>
    </row>
    <row r="669">
      <c r="A669" s="18"/>
      <c r="B669" s="14"/>
      <c r="C669" s="14"/>
      <c r="D669" s="14"/>
      <c r="E669" s="18"/>
      <c r="F669" s="18"/>
      <c r="G669" s="18"/>
      <c r="H669" s="18"/>
      <c r="I669" s="18"/>
      <c r="J669" s="18"/>
      <c r="K669" s="18"/>
      <c r="L669" s="18"/>
      <c r="M669" s="18"/>
      <c r="N669" s="18"/>
      <c r="O669" s="18"/>
      <c r="P669" s="23"/>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26"/>
      <c r="CU669" s="26"/>
      <c r="CV669" s="26"/>
      <c r="CW669" s="26"/>
      <c r="CX669" s="26"/>
      <c r="CY669" s="26"/>
      <c r="CZ669" s="26"/>
      <c r="DA669" s="26"/>
      <c r="DB669" s="26"/>
      <c r="DC669" s="26"/>
      <c r="DD669" s="26"/>
      <c r="DE669" s="26"/>
      <c r="DF669" s="26"/>
      <c r="DG669" s="26"/>
      <c r="DH669" s="26"/>
      <c r="DI669" s="26"/>
      <c r="DJ669" s="26"/>
      <c r="DK669" s="26"/>
      <c r="DL669" s="26"/>
      <c r="DM669" s="26"/>
      <c r="DN669" s="26"/>
      <c r="DO669" s="26"/>
      <c r="DP669" s="26"/>
      <c r="DQ669" s="26"/>
      <c r="DR669" s="26"/>
      <c r="DS669" s="26"/>
      <c r="DT669" s="26"/>
      <c r="DU669" s="26"/>
      <c r="DV669" s="26"/>
      <c r="DW669" s="26"/>
      <c r="DX669" s="26"/>
      <c r="DY669" s="26"/>
      <c r="DZ669" s="26"/>
      <c r="EA669" s="26"/>
      <c r="EB669" s="26"/>
      <c r="EC669" s="26"/>
      <c r="ED669" s="26"/>
      <c r="EE669" s="26"/>
      <c r="EF669" s="26"/>
      <c r="EG669" s="26"/>
      <c r="EH669" s="26"/>
      <c r="EI669" s="26"/>
      <c r="EJ669" s="26"/>
      <c r="EK669" s="26"/>
      <c r="EL669" s="26"/>
      <c r="EM669" s="26"/>
      <c r="EN669" s="26"/>
      <c r="EO669" s="26"/>
      <c r="EP669" s="26"/>
      <c r="EQ669" s="26"/>
      <c r="ER669" s="26"/>
      <c r="ES669" s="26"/>
      <c r="ET669" s="26"/>
      <c r="EU669" s="26"/>
      <c r="EV669" s="26"/>
      <c r="EW669" s="26"/>
      <c r="EX669" s="26"/>
      <c r="EY669" s="26"/>
      <c r="EZ669" s="26"/>
      <c r="FA669" s="60"/>
      <c r="FB669" s="60"/>
      <c r="FC669" s="60"/>
      <c r="FD669" s="60"/>
      <c r="FE669" s="60"/>
      <c r="FF669" s="60"/>
      <c r="FG669" s="60"/>
      <c r="FH669" s="60"/>
      <c r="FI669" s="60"/>
      <c r="FJ669" s="60"/>
      <c r="FK669" s="60"/>
      <c r="FL669" s="60"/>
      <c r="FM669" s="60"/>
      <c r="FN669" s="60"/>
      <c r="FO669" s="60"/>
      <c r="FP669" s="60"/>
      <c r="FQ669" s="60"/>
      <c r="FR669" s="60"/>
      <c r="FS669" s="60"/>
      <c r="FT669" s="60"/>
      <c r="FU669" s="60"/>
      <c r="FV669" s="60"/>
      <c r="FW669" s="60"/>
      <c r="FX669" s="60"/>
    </row>
    <row r="670">
      <c r="A670" s="18"/>
      <c r="B670" s="14"/>
      <c r="C670" s="14"/>
      <c r="D670" s="14"/>
      <c r="E670" s="18"/>
      <c r="F670" s="18"/>
      <c r="G670" s="18"/>
      <c r="H670" s="18"/>
      <c r="I670" s="18"/>
      <c r="J670" s="18"/>
      <c r="K670" s="18"/>
      <c r="L670" s="18"/>
      <c r="M670" s="18"/>
      <c r="N670" s="18"/>
      <c r="O670" s="18"/>
      <c r="P670" s="23"/>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26"/>
      <c r="CU670" s="26"/>
      <c r="CV670" s="26"/>
      <c r="CW670" s="26"/>
      <c r="CX670" s="26"/>
      <c r="CY670" s="26"/>
      <c r="CZ670" s="26"/>
      <c r="DA670" s="26"/>
      <c r="DB670" s="26"/>
      <c r="DC670" s="26"/>
      <c r="DD670" s="26"/>
      <c r="DE670" s="26"/>
      <c r="DF670" s="26"/>
      <c r="DG670" s="26"/>
      <c r="DH670" s="26"/>
      <c r="DI670" s="26"/>
      <c r="DJ670" s="26"/>
      <c r="DK670" s="26"/>
      <c r="DL670" s="26"/>
      <c r="DM670" s="26"/>
      <c r="DN670" s="26"/>
      <c r="DO670" s="26"/>
      <c r="DP670" s="26"/>
      <c r="DQ670" s="26"/>
      <c r="DR670" s="26"/>
      <c r="DS670" s="26"/>
      <c r="DT670" s="26"/>
      <c r="DU670" s="26"/>
      <c r="DV670" s="26"/>
      <c r="DW670" s="26"/>
      <c r="DX670" s="26"/>
      <c r="DY670" s="26"/>
      <c r="DZ670" s="26"/>
      <c r="EA670" s="26"/>
      <c r="EB670" s="26"/>
      <c r="EC670" s="26"/>
      <c r="ED670" s="26"/>
      <c r="EE670" s="26"/>
      <c r="EF670" s="26"/>
      <c r="EG670" s="26"/>
      <c r="EH670" s="26"/>
      <c r="EI670" s="26"/>
      <c r="EJ670" s="26"/>
      <c r="EK670" s="26"/>
      <c r="EL670" s="26"/>
      <c r="EM670" s="26"/>
      <c r="EN670" s="26"/>
      <c r="EO670" s="26"/>
      <c r="EP670" s="26"/>
      <c r="EQ670" s="26"/>
      <c r="ER670" s="26"/>
      <c r="ES670" s="26"/>
      <c r="ET670" s="26"/>
      <c r="EU670" s="26"/>
      <c r="EV670" s="26"/>
      <c r="EW670" s="26"/>
      <c r="EX670" s="26"/>
      <c r="EY670" s="26"/>
      <c r="EZ670" s="26"/>
      <c r="FA670" s="60"/>
      <c r="FB670" s="60"/>
      <c r="FC670" s="60"/>
      <c r="FD670" s="60"/>
      <c r="FE670" s="60"/>
      <c r="FF670" s="60"/>
      <c r="FG670" s="60"/>
      <c r="FH670" s="60"/>
      <c r="FI670" s="60"/>
      <c r="FJ670" s="60"/>
      <c r="FK670" s="60"/>
      <c r="FL670" s="60"/>
      <c r="FM670" s="60"/>
      <c r="FN670" s="60"/>
      <c r="FO670" s="60"/>
      <c r="FP670" s="60"/>
      <c r="FQ670" s="60"/>
      <c r="FR670" s="60"/>
      <c r="FS670" s="60"/>
      <c r="FT670" s="60"/>
      <c r="FU670" s="60"/>
      <c r="FV670" s="60"/>
      <c r="FW670" s="60"/>
      <c r="FX670" s="60"/>
    </row>
    <row r="671">
      <c r="A671" s="18"/>
      <c r="B671" s="14"/>
      <c r="C671" s="14"/>
      <c r="D671" s="14"/>
      <c r="E671" s="18"/>
      <c r="F671" s="18"/>
      <c r="G671" s="18"/>
      <c r="H671" s="18"/>
      <c r="I671" s="18"/>
      <c r="J671" s="18"/>
      <c r="K671" s="18"/>
      <c r="L671" s="18"/>
      <c r="M671" s="18"/>
      <c r="N671" s="18"/>
      <c r="O671" s="18"/>
      <c r="P671" s="23"/>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26"/>
      <c r="CU671" s="26"/>
      <c r="CV671" s="26"/>
      <c r="CW671" s="26"/>
      <c r="CX671" s="26"/>
      <c r="CY671" s="26"/>
      <c r="CZ671" s="26"/>
      <c r="DA671" s="26"/>
      <c r="DB671" s="26"/>
      <c r="DC671" s="26"/>
      <c r="DD671" s="26"/>
      <c r="DE671" s="26"/>
      <c r="DF671" s="26"/>
      <c r="DG671" s="26"/>
      <c r="DH671" s="26"/>
      <c r="DI671" s="26"/>
      <c r="DJ671" s="26"/>
      <c r="DK671" s="26"/>
      <c r="DL671" s="26"/>
      <c r="DM671" s="26"/>
      <c r="DN671" s="26"/>
      <c r="DO671" s="26"/>
      <c r="DP671" s="26"/>
      <c r="DQ671" s="26"/>
      <c r="DR671" s="26"/>
      <c r="DS671" s="26"/>
      <c r="DT671" s="26"/>
      <c r="DU671" s="26"/>
      <c r="DV671" s="26"/>
      <c r="DW671" s="26"/>
      <c r="DX671" s="26"/>
      <c r="DY671" s="26"/>
      <c r="DZ671" s="26"/>
      <c r="EA671" s="26"/>
      <c r="EB671" s="26"/>
      <c r="EC671" s="26"/>
      <c r="ED671" s="26"/>
      <c r="EE671" s="26"/>
      <c r="EF671" s="26"/>
      <c r="EG671" s="26"/>
      <c r="EH671" s="26"/>
      <c r="EI671" s="26"/>
      <c r="EJ671" s="26"/>
      <c r="EK671" s="26"/>
      <c r="EL671" s="26"/>
      <c r="EM671" s="26"/>
      <c r="EN671" s="26"/>
      <c r="EO671" s="26"/>
      <c r="EP671" s="26"/>
      <c r="EQ671" s="26"/>
      <c r="ER671" s="26"/>
      <c r="ES671" s="26"/>
      <c r="ET671" s="26"/>
      <c r="EU671" s="26"/>
      <c r="EV671" s="26"/>
      <c r="EW671" s="26"/>
      <c r="EX671" s="26"/>
      <c r="EY671" s="26"/>
      <c r="EZ671" s="26"/>
      <c r="FA671" s="60"/>
      <c r="FB671" s="60"/>
      <c r="FC671" s="60"/>
      <c r="FD671" s="60"/>
      <c r="FE671" s="60"/>
      <c r="FF671" s="60"/>
      <c r="FG671" s="60"/>
      <c r="FH671" s="60"/>
      <c r="FI671" s="60"/>
      <c r="FJ671" s="60"/>
      <c r="FK671" s="60"/>
      <c r="FL671" s="60"/>
      <c r="FM671" s="60"/>
      <c r="FN671" s="60"/>
      <c r="FO671" s="60"/>
      <c r="FP671" s="60"/>
      <c r="FQ671" s="60"/>
      <c r="FR671" s="60"/>
      <c r="FS671" s="60"/>
      <c r="FT671" s="60"/>
      <c r="FU671" s="60"/>
      <c r="FV671" s="60"/>
      <c r="FW671" s="60"/>
      <c r="FX671" s="60"/>
    </row>
    <row r="672">
      <c r="A672" s="18"/>
      <c r="B672" s="14"/>
      <c r="C672" s="14"/>
      <c r="D672" s="14"/>
      <c r="E672" s="18"/>
      <c r="F672" s="18"/>
      <c r="G672" s="18"/>
      <c r="H672" s="18"/>
      <c r="I672" s="18"/>
      <c r="J672" s="18"/>
      <c r="K672" s="18"/>
      <c r="L672" s="18"/>
      <c r="M672" s="18"/>
      <c r="N672" s="18"/>
      <c r="O672" s="18"/>
      <c r="P672" s="23"/>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26"/>
      <c r="CU672" s="26"/>
      <c r="CV672" s="26"/>
      <c r="CW672" s="26"/>
      <c r="CX672" s="26"/>
      <c r="CY672" s="26"/>
      <c r="CZ672" s="26"/>
      <c r="DA672" s="26"/>
      <c r="DB672" s="26"/>
      <c r="DC672" s="26"/>
      <c r="DD672" s="26"/>
      <c r="DE672" s="26"/>
      <c r="DF672" s="26"/>
      <c r="DG672" s="26"/>
      <c r="DH672" s="26"/>
      <c r="DI672" s="26"/>
      <c r="DJ672" s="26"/>
      <c r="DK672" s="26"/>
      <c r="DL672" s="26"/>
      <c r="DM672" s="26"/>
      <c r="DN672" s="26"/>
      <c r="DO672" s="26"/>
      <c r="DP672" s="26"/>
      <c r="DQ672" s="26"/>
      <c r="DR672" s="26"/>
      <c r="DS672" s="26"/>
      <c r="DT672" s="26"/>
      <c r="DU672" s="26"/>
      <c r="DV672" s="26"/>
      <c r="DW672" s="26"/>
      <c r="DX672" s="26"/>
      <c r="DY672" s="26"/>
      <c r="DZ672" s="26"/>
      <c r="EA672" s="26"/>
      <c r="EB672" s="26"/>
      <c r="EC672" s="26"/>
      <c r="ED672" s="26"/>
      <c r="EE672" s="26"/>
      <c r="EF672" s="26"/>
      <c r="EG672" s="26"/>
      <c r="EH672" s="26"/>
      <c r="EI672" s="26"/>
      <c r="EJ672" s="26"/>
      <c r="EK672" s="26"/>
      <c r="EL672" s="26"/>
      <c r="EM672" s="26"/>
      <c r="EN672" s="26"/>
      <c r="EO672" s="26"/>
      <c r="EP672" s="26"/>
      <c r="EQ672" s="26"/>
      <c r="ER672" s="26"/>
      <c r="ES672" s="26"/>
      <c r="ET672" s="26"/>
      <c r="EU672" s="26"/>
      <c r="EV672" s="26"/>
      <c r="EW672" s="26"/>
      <c r="EX672" s="26"/>
      <c r="EY672" s="26"/>
      <c r="EZ672" s="26"/>
      <c r="FA672" s="60"/>
      <c r="FB672" s="60"/>
      <c r="FC672" s="60"/>
      <c r="FD672" s="60"/>
      <c r="FE672" s="60"/>
      <c r="FF672" s="60"/>
      <c r="FG672" s="60"/>
      <c r="FH672" s="60"/>
      <c r="FI672" s="60"/>
      <c r="FJ672" s="60"/>
      <c r="FK672" s="60"/>
      <c r="FL672" s="60"/>
      <c r="FM672" s="60"/>
      <c r="FN672" s="60"/>
      <c r="FO672" s="60"/>
      <c r="FP672" s="60"/>
      <c r="FQ672" s="60"/>
      <c r="FR672" s="60"/>
      <c r="FS672" s="60"/>
      <c r="FT672" s="60"/>
      <c r="FU672" s="60"/>
      <c r="FV672" s="60"/>
      <c r="FW672" s="60"/>
      <c r="FX672" s="60"/>
    </row>
    <row r="673">
      <c r="A673" s="18"/>
      <c r="B673" s="14"/>
      <c r="C673" s="14"/>
      <c r="D673" s="14"/>
      <c r="E673" s="18"/>
      <c r="F673" s="18"/>
      <c r="G673" s="18"/>
      <c r="H673" s="18"/>
      <c r="I673" s="18"/>
      <c r="J673" s="18"/>
      <c r="K673" s="18"/>
      <c r="L673" s="18"/>
      <c r="M673" s="18"/>
      <c r="N673" s="18"/>
      <c r="O673" s="18"/>
      <c r="P673" s="23"/>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26"/>
      <c r="CU673" s="26"/>
      <c r="CV673" s="26"/>
      <c r="CW673" s="26"/>
      <c r="CX673" s="26"/>
      <c r="CY673" s="26"/>
      <c r="CZ673" s="26"/>
      <c r="DA673" s="26"/>
      <c r="DB673" s="26"/>
      <c r="DC673" s="26"/>
      <c r="DD673" s="26"/>
      <c r="DE673" s="26"/>
      <c r="DF673" s="26"/>
      <c r="DG673" s="26"/>
      <c r="DH673" s="26"/>
      <c r="DI673" s="26"/>
      <c r="DJ673" s="26"/>
      <c r="DK673" s="26"/>
      <c r="DL673" s="26"/>
      <c r="DM673" s="26"/>
      <c r="DN673" s="26"/>
      <c r="DO673" s="26"/>
      <c r="DP673" s="26"/>
      <c r="DQ673" s="26"/>
      <c r="DR673" s="26"/>
      <c r="DS673" s="26"/>
      <c r="DT673" s="26"/>
      <c r="DU673" s="26"/>
      <c r="DV673" s="26"/>
      <c r="DW673" s="26"/>
      <c r="DX673" s="26"/>
      <c r="DY673" s="26"/>
      <c r="DZ673" s="26"/>
      <c r="EA673" s="26"/>
      <c r="EB673" s="26"/>
      <c r="EC673" s="26"/>
      <c r="ED673" s="26"/>
      <c r="EE673" s="26"/>
      <c r="EF673" s="26"/>
      <c r="EG673" s="26"/>
      <c r="EH673" s="26"/>
      <c r="EI673" s="26"/>
      <c r="EJ673" s="26"/>
      <c r="EK673" s="26"/>
      <c r="EL673" s="26"/>
      <c r="EM673" s="26"/>
      <c r="EN673" s="26"/>
      <c r="EO673" s="26"/>
      <c r="EP673" s="26"/>
      <c r="EQ673" s="26"/>
      <c r="ER673" s="26"/>
      <c r="ES673" s="26"/>
      <c r="ET673" s="26"/>
      <c r="EU673" s="26"/>
      <c r="EV673" s="26"/>
      <c r="EW673" s="26"/>
      <c r="EX673" s="26"/>
      <c r="EY673" s="26"/>
      <c r="EZ673" s="26"/>
      <c r="FA673" s="60"/>
      <c r="FB673" s="60"/>
      <c r="FC673" s="60"/>
      <c r="FD673" s="60"/>
      <c r="FE673" s="60"/>
      <c r="FF673" s="60"/>
      <c r="FG673" s="60"/>
      <c r="FH673" s="60"/>
      <c r="FI673" s="60"/>
      <c r="FJ673" s="60"/>
      <c r="FK673" s="60"/>
      <c r="FL673" s="60"/>
      <c r="FM673" s="60"/>
      <c r="FN673" s="60"/>
      <c r="FO673" s="60"/>
      <c r="FP673" s="60"/>
      <c r="FQ673" s="60"/>
      <c r="FR673" s="60"/>
      <c r="FS673" s="60"/>
      <c r="FT673" s="60"/>
      <c r="FU673" s="60"/>
      <c r="FV673" s="60"/>
      <c r="FW673" s="60"/>
      <c r="FX673" s="60"/>
    </row>
    <row r="674">
      <c r="A674" s="18"/>
      <c r="B674" s="14"/>
      <c r="C674" s="14"/>
      <c r="D674" s="14"/>
      <c r="E674" s="18"/>
      <c r="F674" s="18"/>
      <c r="G674" s="18"/>
      <c r="H674" s="18"/>
      <c r="I674" s="18"/>
      <c r="J674" s="18"/>
      <c r="K674" s="18"/>
      <c r="L674" s="18"/>
      <c r="M674" s="18"/>
      <c r="N674" s="18"/>
      <c r="O674" s="18"/>
      <c r="P674" s="23"/>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26"/>
      <c r="CU674" s="26"/>
      <c r="CV674" s="26"/>
      <c r="CW674" s="26"/>
      <c r="CX674" s="26"/>
      <c r="CY674" s="26"/>
      <c r="CZ674" s="26"/>
      <c r="DA674" s="26"/>
      <c r="DB674" s="26"/>
      <c r="DC674" s="26"/>
      <c r="DD674" s="26"/>
      <c r="DE674" s="26"/>
      <c r="DF674" s="26"/>
      <c r="DG674" s="26"/>
      <c r="DH674" s="26"/>
      <c r="DI674" s="26"/>
      <c r="DJ674" s="26"/>
      <c r="DK674" s="26"/>
      <c r="DL674" s="26"/>
      <c r="DM674" s="26"/>
      <c r="DN674" s="26"/>
      <c r="DO674" s="26"/>
      <c r="DP674" s="26"/>
      <c r="DQ674" s="26"/>
      <c r="DR674" s="26"/>
      <c r="DS674" s="26"/>
      <c r="DT674" s="26"/>
      <c r="DU674" s="26"/>
      <c r="DV674" s="26"/>
      <c r="DW674" s="26"/>
      <c r="DX674" s="26"/>
      <c r="DY674" s="26"/>
      <c r="DZ674" s="26"/>
      <c r="EA674" s="26"/>
      <c r="EB674" s="26"/>
      <c r="EC674" s="26"/>
      <c r="ED674" s="26"/>
      <c r="EE674" s="26"/>
      <c r="EF674" s="26"/>
      <c r="EG674" s="26"/>
      <c r="EH674" s="26"/>
      <c r="EI674" s="26"/>
      <c r="EJ674" s="26"/>
      <c r="EK674" s="26"/>
      <c r="EL674" s="26"/>
      <c r="EM674" s="26"/>
      <c r="EN674" s="26"/>
      <c r="EO674" s="26"/>
      <c r="EP674" s="26"/>
      <c r="EQ674" s="26"/>
      <c r="ER674" s="26"/>
      <c r="ES674" s="26"/>
      <c r="ET674" s="26"/>
      <c r="EU674" s="26"/>
      <c r="EV674" s="26"/>
      <c r="EW674" s="26"/>
      <c r="EX674" s="26"/>
      <c r="EY674" s="26"/>
      <c r="EZ674" s="26"/>
      <c r="FA674" s="60"/>
      <c r="FB674" s="60"/>
      <c r="FC674" s="60"/>
      <c r="FD674" s="60"/>
      <c r="FE674" s="60"/>
      <c r="FF674" s="60"/>
      <c r="FG674" s="60"/>
      <c r="FH674" s="60"/>
      <c r="FI674" s="60"/>
      <c r="FJ674" s="60"/>
      <c r="FK674" s="60"/>
      <c r="FL674" s="60"/>
      <c r="FM674" s="60"/>
      <c r="FN674" s="60"/>
      <c r="FO674" s="60"/>
      <c r="FP674" s="60"/>
      <c r="FQ674" s="60"/>
      <c r="FR674" s="60"/>
      <c r="FS674" s="60"/>
      <c r="FT674" s="60"/>
      <c r="FU674" s="60"/>
      <c r="FV674" s="60"/>
      <c r="FW674" s="60"/>
      <c r="FX674" s="60"/>
    </row>
    <row r="675">
      <c r="A675" s="18"/>
      <c r="B675" s="14"/>
      <c r="C675" s="14"/>
      <c r="D675" s="14"/>
      <c r="E675" s="18"/>
      <c r="F675" s="18"/>
      <c r="G675" s="18"/>
      <c r="H675" s="18"/>
      <c r="I675" s="18"/>
      <c r="J675" s="18"/>
      <c r="K675" s="18"/>
      <c r="L675" s="18"/>
      <c r="M675" s="18"/>
      <c r="N675" s="18"/>
      <c r="O675" s="18"/>
      <c r="P675" s="23"/>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26"/>
      <c r="CU675" s="26"/>
      <c r="CV675" s="26"/>
      <c r="CW675" s="26"/>
      <c r="CX675" s="26"/>
      <c r="CY675" s="26"/>
      <c r="CZ675" s="26"/>
      <c r="DA675" s="26"/>
      <c r="DB675" s="26"/>
      <c r="DC675" s="26"/>
      <c r="DD675" s="26"/>
      <c r="DE675" s="26"/>
      <c r="DF675" s="26"/>
      <c r="DG675" s="26"/>
      <c r="DH675" s="26"/>
      <c r="DI675" s="26"/>
      <c r="DJ675" s="26"/>
      <c r="DK675" s="26"/>
      <c r="DL675" s="26"/>
      <c r="DM675" s="26"/>
      <c r="DN675" s="26"/>
      <c r="DO675" s="26"/>
      <c r="DP675" s="26"/>
      <c r="DQ675" s="26"/>
      <c r="DR675" s="26"/>
      <c r="DS675" s="26"/>
      <c r="DT675" s="26"/>
      <c r="DU675" s="26"/>
      <c r="DV675" s="26"/>
      <c r="DW675" s="26"/>
      <c r="DX675" s="26"/>
      <c r="DY675" s="26"/>
      <c r="DZ675" s="26"/>
      <c r="EA675" s="26"/>
      <c r="EB675" s="26"/>
      <c r="EC675" s="26"/>
      <c r="ED675" s="26"/>
      <c r="EE675" s="26"/>
      <c r="EF675" s="26"/>
      <c r="EG675" s="26"/>
      <c r="EH675" s="26"/>
      <c r="EI675" s="26"/>
      <c r="EJ675" s="26"/>
      <c r="EK675" s="26"/>
      <c r="EL675" s="26"/>
      <c r="EM675" s="26"/>
      <c r="EN675" s="26"/>
      <c r="EO675" s="26"/>
      <c r="EP675" s="26"/>
      <c r="EQ675" s="26"/>
      <c r="ER675" s="26"/>
      <c r="ES675" s="26"/>
      <c r="ET675" s="26"/>
      <c r="EU675" s="26"/>
      <c r="EV675" s="26"/>
      <c r="EW675" s="26"/>
      <c r="EX675" s="26"/>
      <c r="EY675" s="26"/>
      <c r="EZ675" s="26"/>
      <c r="FA675" s="60"/>
      <c r="FB675" s="60"/>
      <c r="FC675" s="60"/>
      <c r="FD675" s="60"/>
      <c r="FE675" s="60"/>
      <c r="FF675" s="60"/>
      <c r="FG675" s="60"/>
      <c r="FH675" s="60"/>
      <c r="FI675" s="60"/>
      <c r="FJ675" s="60"/>
      <c r="FK675" s="60"/>
      <c r="FL675" s="60"/>
      <c r="FM675" s="60"/>
      <c r="FN675" s="60"/>
      <c r="FO675" s="60"/>
      <c r="FP675" s="60"/>
      <c r="FQ675" s="60"/>
      <c r="FR675" s="60"/>
      <c r="FS675" s="60"/>
      <c r="FT675" s="60"/>
      <c r="FU675" s="60"/>
      <c r="FV675" s="60"/>
      <c r="FW675" s="60"/>
      <c r="FX675" s="60"/>
    </row>
    <row r="676">
      <c r="A676" s="18"/>
      <c r="B676" s="14"/>
      <c r="C676" s="14"/>
      <c r="D676" s="14"/>
      <c r="E676" s="18"/>
      <c r="F676" s="18"/>
      <c r="G676" s="18"/>
      <c r="H676" s="18"/>
      <c r="I676" s="18"/>
      <c r="J676" s="18"/>
      <c r="K676" s="18"/>
      <c r="L676" s="18"/>
      <c r="M676" s="18"/>
      <c r="N676" s="18"/>
      <c r="O676" s="18"/>
      <c r="P676" s="23"/>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26"/>
      <c r="CU676" s="26"/>
      <c r="CV676" s="26"/>
      <c r="CW676" s="26"/>
      <c r="CX676" s="26"/>
      <c r="CY676" s="26"/>
      <c r="CZ676" s="26"/>
      <c r="DA676" s="26"/>
      <c r="DB676" s="26"/>
      <c r="DC676" s="26"/>
      <c r="DD676" s="26"/>
      <c r="DE676" s="26"/>
      <c r="DF676" s="26"/>
      <c r="DG676" s="26"/>
      <c r="DH676" s="26"/>
      <c r="DI676" s="26"/>
      <c r="DJ676" s="26"/>
      <c r="DK676" s="26"/>
      <c r="DL676" s="26"/>
      <c r="DM676" s="26"/>
      <c r="DN676" s="26"/>
      <c r="DO676" s="26"/>
      <c r="DP676" s="26"/>
      <c r="DQ676" s="26"/>
      <c r="DR676" s="26"/>
      <c r="DS676" s="26"/>
      <c r="DT676" s="26"/>
      <c r="DU676" s="26"/>
      <c r="DV676" s="26"/>
      <c r="DW676" s="26"/>
      <c r="DX676" s="26"/>
      <c r="DY676" s="26"/>
      <c r="DZ676" s="26"/>
      <c r="EA676" s="26"/>
      <c r="EB676" s="26"/>
      <c r="EC676" s="26"/>
      <c r="ED676" s="26"/>
      <c r="EE676" s="26"/>
      <c r="EF676" s="26"/>
      <c r="EG676" s="26"/>
      <c r="EH676" s="26"/>
      <c r="EI676" s="26"/>
      <c r="EJ676" s="26"/>
      <c r="EK676" s="26"/>
      <c r="EL676" s="26"/>
      <c r="EM676" s="26"/>
      <c r="EN676" s="26"/>
      <c r="EO676" s="26"/>
      <c r="EP676" s="26"/>
      <c r="EQ676" s="26"/>
      <c r="ER676" s="26"/>
      <c r="ES676" s="26"/>
      <c r="ET676" s="26"/>
      <c r="EU676" s="26"/>
      <c r="EV676" s="26"/>
      <c r="EW676" s="26"/>
      <c r="EX676" s="26"/>
      <c r="EY676" s="26"/>
      <c r="EZ676" s="26"/>
      <c r="FA676" s="60"/>
      <c r="FB676" s="60"/>
      <c r="FC676" s="60"/>
      <c r="FD676" s="60"/>
      <c r="FE676" s="60"/>
      <c r="FF676" s="60"/>
      <c r="FG676" s="60"/>
      <c r="FH676" s="60"/>
      <c r="FI676" s="60"/>
      <c r="FJ676" s="60"/>
      <c r="FK676" s="60"/>
      <c r="FL676" s="60"/>
      <c r="FM676" s="60"/>
      <c r="FN676" s="60"/>
      <c r="FO676" s="60"/>
      <c r="FP676" s="60"/>
      <c r="FQ676" s="60"/>
      <c r="FR676" s="60"/>
      <c r="FS676" s="60"/>
      <c r="FT676" s="60"/>
      <c r="FU676" s="60"/>
      <c r="FV676" s="60"/>
      <c r="FW676" s="60"/>
      <c r="FX676" s="60"/>
    </row>
    <row r="677">
      <c r="A677" s="18"/>
      <c r="B677" s="14"/>
      <c r="C677" s="14"/>
      <c r="D677" s="14"/>
      <c r="E677" s="18"/>
      <c r="F677" s="18"/>
      <c r="G677" s="18"/>
      <c r="H677" s="18"/>
      <c r="I677" s="18"/>
      <c r="J677" s="18"/>
      <c r="K677" s="18"/>
      <c r="L677" s="18"/>
      <c r="M677" s="18"/>
      <c r="N677" s="18"/>
      <c r="O677" s="18"/>
      <c r="P677" s="23"/>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26"/>
      <c r="CU677" s="26"/>
      <c r="CV677" s="26"/>
      <c r="CW677" s="26"/>
      <c r="CX677" s="26"/>
      <c r="CY677" s="26"/>
      <c r="CZ677" s="26"/>
      <c r="DA677" s="26"/>
      <c r="DB677" s="26"/>
      <c r="DC677" s="26"/>
      <c r="DD677" s="26"/>
      <c r="DE677" s="26"/>
      <c r="DF677" s="26"/>
      <c r="DG677" s="26"/>
      <c r="DH677" s="26"/>
      <c r="DI677" s="26"/>
      <c r="DJ677" s="26"/>
      <c r="DK677" s="26"/>
      <c r="DL677" s="26"/>
      <c r="DM677" s="26"/>
      <c r="DN677" s="26"/>
      <c r="DO677" s="26"/>
      <c r="DP677" s="26"/>
      <c r="DQ677" s="26"/>
      <c r="DR677" s="26"/>
      <c r="DS677" s="26"/>
      <c r="DT677" s="26"/>
      <c r="DU677" s="26"/>
      <c r="DV677" s="26"/>
      <c r="DW677" s="26"/>
      <c r="DX677" s="26"/>
      <c r="DY677" s="26"/>
      <c r="DZ677" s="26"/>
      <c r="EA677" s="26"/>
      <c r="EB677" s="26"/>
      <c r="EC677" s="26"/>
      <c r="ED677" s="26"/>
      <c r="EE677" s="26"/>
      <c r="EF677" s="26"/>
      <c r="EG677" s="26"/>
      <c r="EH677" s="26"/>
      <c r="EI677" s="26"/>
      <c r="EJ677" s="26"/>
      <c r="EK677" s="26"/>
      <c r="EL677" s="26"/>
      <c r="EM677" s="26"/>
      <c r="EN677" s="26"/>
      <c r="EO677" s="26"/>
      <c r="EP677" s="26"/>
      <c r="EQ677" s="26"/>
      <c r="ER677" s="26"/>
      <c r="ES677" s="26"/>
      <c r="ET677" s="26"/>
      <c r="EU677" s="26"/>
      <c r="EV677" s="26"/>
      <c r="EW677" s="26"/>
      <c r="EX677" s="26"/>
      <c r="EY677" s="26"/>
      <c r="EZ677" s="26"/>
      <c r="FA677" s="60"/>
      <c r="FB677" s="60"/>
      <c r="FC677" s="60"/>
      <c r="FD677" s="60"/>
      <c r="FE677" s="60"/>
      <c r="FF677" s="60"/>
      <c r="FG677" s="60"/>
      <c r="FH677" s="60"/>
      <c r="FI677" s="60"/>
      <c r="FJ677" s="60"/>
      <c r="FK677" s="60"/>
      <c r="FL677" s="60"/>
      <c r="FM677" s="60"/>
      <c r="FN677" s="60"/>
      <c r="FO677" s="60"/>
      <c r="FP677" s="60"/>
      <c r="FQ677" s="60"/>
      <c r="FR677" s="60"/>
      <c r="FS677" s="60"/>
      <c r="FT677" s="60"/>
      <c r="FU677" s="60"/>
      <c r="FV677" s="60"/>
      <c r="FW677" s="60"/>
      <c r="FX677" s="60"/>
    </row>
    <row r="678">
      <c r="A678" s="18"/>
      <c r="B678" s="14"/>
      <c r="C678" s="14"/>
      <c r="D678" s="14"/>
      <c r="E678" s="18"/>
      <c r="F678" s="18"/>
      <c r="G678" s="18"/>
      <c r="H678" s="18"/>
      <c r="I678" s="18"/>
      <c r="J678" s="18"/>
      <c r="K678" s="18"/>
      <c r="L678" s="18"/>
      <c r="M678" s="18"/>
      <c r="N678" s="18"/>
      <c r="O678" s="18"/>
      <c r="P678" s="23"/>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26"/>
      <c r="CU678" s="26"/>
      <c r="CV678" s="26"/>
      <c r="CW678" s="26"/>
      <c r="CX678" s="26"/>
      <c r="CY678" s="26"/>
      <c r="CZ678" s="26"/>
      <c r="DA678" s="26"/>
      <c r="DB678" s="26"/>
      <c r="DC678" s="26"/>
      <c r="DD678" s="26"/>
      <c r="DE678" s="26"/>
      <c r="DF678" s="26"/>
      <c r="DG678" s="26"/>
      <c r="DH678" s="26"/>
      <c r="DI678" s="26"/>
      <c r="DJ678" s="26"/>
      <c r="DK678" s="26"/>
      <c r="DL678" s="26"/>
      <c r="DM678" s="26"/>
      <c r="DN678" s="26"/>
      <c r="DO678" s="26"/>
      <c r="DP678" s="26"/>
      <c r="DQ678" s="26"/>
      <c r="DR678" s="26"/>
      <c r="DS678" s="26"/>
      <c r="DT678" s="26"/>
      <c r="DU678" s="26"/>
      <c r="DV678" s="26"/>
      <c r="DW678" s="26"/>
      <c r="DX678" s="26"/>
      <c r="DY678" s="26"/>
      <c r="DZ678" s="26"/>
      <c r="EA678" s="26"/>
      <c r="EB678" s="26"/>
      <c r="EC678" s="26"/>
      <c r="ED678" s="26"/>
      <c r="EE678" s="26"/>
      <c r="EF678" s="26"/>
      <c r="EG678" s="26"/>
      <c r="EH678" s="26"/>
      <c r="EI678" s="26"/>
      <c r="EJ678" s="26"/>
      <c r="EK678" s="26"/>
      <c r="EL678" s="26"/>
      <c r="EM678" s="26"/>
      <c r="EN678" s="26"/>
      <c r="EO678" s="26"/>
      <c r="EP678" s="26"/>
      <c r="EQ678" s="26"/>
      <c r="ER678" s="26"/>
      <c r="ES678" s="26"/>
      <c r="ET678" s="26"/>
      <c r="EU678" s="26"/>
      <c r="EV678" s="26"/>
      <c r="EW678" s="26"/>
      <c r="EX678" s="26"/>
      <c r="EY678" s="26"/>
      <c r="EZ678" s="26"/>
      <c r="FA678" s="60"/>
      <c r="FB678" s="60"/>
      <c r="FC678" s="60"/>
      <c r="FD678" s="60"/>
      <c r="FE678" s="60"/>
      <c r="FF678" s="60"/>
      <c r="FG678" s="60"/>
      <c r="FH678" s="60"/>
      <c r="FI678" s="60"/>
      <c r="FJ678" s="60"/>
      <c r="FK678" s="60"/>
      <c r="FL678" s="60"/>
      <c r="FM678" s="60"/>
      <c r="FN678" s="60"/>
      <c r="FO678" s="60"/>
      <c r="FP678" s="60"/>
      <c r="FQ678" s="60"/>
      <c r="FR678" s="60"/>
      <c r="FS678" s="60"/>
      <c r="FT678" s="60"/>
      <c r="FU678" s="60"/>
      <c r="FV678" s="60"/>
      <c r="FW678" s="60"/>
      <c r="FX678" s="60"/>
    </row>
    <row r="679">
      <c r="A679" s="18"/>
      <c r="B679" s="14"/>
      <c r="C679" s="14"/>
      <c r="D679" s="14"/>
      <c r="E679" s="18"/>
      <c r="F679" s="18"/>
      <c r="G679" s="18"/>
      <c r="H679" s="18"/>
      <c r="I679" s="18"/>
      <c r="J679" s="18"/>
      <c r="K679" s="18"/>
      <c r="L679" s="18"/>
      <c r="M679" s="18"/>
      <c r="N679" s="18"/>
      <c r="O679" s="18"/>
      <c r="P679" s="23"/>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26"/>
      <c r="CU679" s="26"/>
      <c r="CV679" s="26"/>
      <c r="CW679" s="26"/>
      <c r="CX679" s="26"/>
      <c r="CY679" s="26"/>
      <c r="CZ679" s="26"/>
      <c r="DA679" s="26"/>
      <c r="DB679" s="26"/>
      <c r="DC679" s="26"/>
      <c r="DD679" s="26"/>
      <c r="DE679" s="26"/>
      <c r="DF679" s="26"/>
      <c r="DG679" s="26"/>
      <c r="DH679" s="26"/>
      <c r="DI679" s="26"/>
      <c r="DJ679" s="26"/>
      <c r="DK679" s="26"/>
      <c r="DL679" s="26"/>
      <c r="DM679" s="26"/>
      <c r="DN679" s="26"/>
      <c r="DO679" s="26"/>
      <c r="DP679" s="26"/>
      <c r="DQ679" s="26"/>
      <c r="DR679" s="26"/>
      <c r="DS679" s="26"/>
      <c r="DT679" s="26"/>
      <c r="DU679" s="26"/>
      <c r="DV679" s="26"/>
      <c r="DW679" s="26"/>
      <c r="DX679" s="26"/>
      <c r="DY679" s="26"/>
      <c r="DZ679" s="26"/>
      <c r="EA679" s="26"/>
      <c r="EB679" s="26"/>
      <c r="EC679" s="26"/>
      <c r="ED679" s="26"/>
      <c r="EE679" s="26"/>
      <c r="EF679" s="26"/>
      <c r="EG679" s="26"/>
      <c r="EH679" s="26"/>
      <c r="EI679" s="26"/>
      <c r="EJ679" s="26"/>
      <c r="EK679" s="26"/>
      <c r="EL679" s="26"/>
      <c r="EM679" s="26"/>
      <c r="EN679" s="26"/>
      <c r="EO679" s="26"/>
      <c r="EP679" s="26"/>
      <c r="EQ679" s="26"/>
      <c r="ER679" s="26"/>
      <c r="ES679" s="26"/>
      <c r="ET679" s="26"/>
      <c r="EU679" s="26"/>
      <c r="EV679" s="26"/>
      <c r="EW679" s="26"/>
      <c r="EX679" s="26"/>
      <c r="EY679" s="26"/>
      <c r="EZ679" s="26"/>
      <c r="FA679" s="60"/>
      <c r="FB679" s="60"/>
      <c r="FC679" s="60"/>
      <c r="FD679" s="60"/>
      <c r="FE679" s="60"/>
      <c r="FF679" s="60"/>
      <c r="FG679" s="60"/>
      <c r="FH679" s="60"/>
      <c r="FI679" s="60"/>
      <c r="FJ679" s="60"/>
      <c r="FK679" s="60"/>
      <c r="FL679" s="60"/>
      <c r="FM679" s="60"/>
      <c r="FN679" s="60"/>
      <c r="FO679" s="60"/>
      <c r="FP679" s="60"/>
      <c r="FQ679" s="60"/>
      <c r="FR679" s="60"/>
      <c r="FS679" s="60"/>
      <c r="FT679" s="60"/>
      <c r="FU679" s="60"/>
      <c r="FV679" s="60"/>
      <c r="FW679" s="60"/>
      <c r="FX679" s="60"/>
    </row>
    <row r="680">
      <c r="A680" s="18"/>
      <c r="B680" s="14"/>
      <c r="C680" s="14"/>
      <c r="D680" s="14"/>
      <c r="E680" s="18"/>
      <c r="F680" s="18"/>
      <c r="G680" s="18"/>
      <c r="H680" s="18"/>
      <c r="I680" s="18"/>
      <c r="J680" s="18"/>
      <c r="K680" s="18"/>
      <c r="L680" s="18"/>
      <c r="M680" s="18"/>
      <c r="N680" s="18"/>
      <c r="O680" s="18"/>
      <c r="P680" s="23"/>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26"/>
      <c r="CU680" s="26"/>
      <c r="CV680" s="26"/>
      <c r="CW680" s="26"/>
      <c r="CX680" s="26"/>
      <c r="CY680" s="26"/>
      <c r="CZ680" s="26"/>
      <c r="DA680" s="26"/>
      <c r="DB680" s="26"/>
      <c r="DC680" s="26"/>
      <c r="DD680" s="26"/>
      <c r="DE680" s="26"/>
      <c r="DF680" s="26"/>
      <c r="DG680" s="26"/>
      <c r="DH680" s="26"/>
      <c r="DI680" s="26"/>
      <c r="DJ680" s="26"/>
      <c r="DK680" s="26"/>
      <c r="DL680" s="26"/>
      <c r="DM680" s="26"/>
      <c r="DN680" s="26"/>
      <c r="DO680" s="26"/>
      <c r="DP680" s="26"/>
      <c r="DQ680" s="26"/>
      <c r="DR680" s="26"/>
      <c r="DS680" s="26"/>
      <c r="DT680" s="26"/>
      <c r="DU680" s="26"/>
      <c r="DV680" s="26"/>
      <c r="DW680" s="26"/>
      <c r="DX680" s="26"/>
      <c r="DY680" s="26"/>
      <c r="DZ680" s="26"/>
      <c r="EA680" s="26"/>
      <c r="EB680" s="26"/>
      <c r="EC680" s="26"/>
      <c r="ED680" s="26"/>
      <c r="EE680" s="26"/>
      <c r="EF680" s="26"/>
      <c r="EG680" s="26"/>
      <c r="EH680" s="26"/>
      <c r="EI680" s="26"/>
      <c r="EJ680" s="26"/>
      <c r="EK680" s="26"/>
      <c r="EL680" s="26"/>
      <c r="EM680" s="26"/>
      <c r="EN680" s="26"/>
      <c r="EO680" s="26"/>
      <c r="EP680" s="26"/>
      <c r="EQ680" s="26"/>
      <c r="ER680" s="26"/>
      <c r="ES680" s="26"/>
      <c r="ET680" s="26"/>
      <c r="EU680" s="26"/>
      <c r="EV680" s="26"/>
      <c r="EW680" s="26"/>
      <c r="EX680" s="26"/>
      <c r="EY680" s="26"/>
      <c r="EZ680" s="26"/>
      <c r="FA680" s="60"/>
      <c r="FB680" s="60"/>
      <c r="FC680" s="60"/>
      <c r="FD680" s="60"/>
      <c r="FE680" s="60"/>
      <c r="FF680" s="60"/>
      <c r="FG680" s="60"/>
      <c r="FH680" s="60"/>
      <c r="FI680" s="60"/>
      <c r="FJ680" s="60"/>
      <c r="FK680" s="60"/>
      <c r="FL680" s="60"/>
      <c r="FM680" s="60"/>
      <c r="FN680" s="60"/>
      <c r="FO680" s="60"/>
      <c r="FP680" s="60"/>
      <c r="FQ680" s="60"/>
      <c r="FR680" s="60"/>
      <c r="FS680" s="60"/>
      <c r="FT680" s="60"/>
      <c r="FU680" s="60"/>
      <c r="FV680" s="60"/>
      <c r="FW680" s="60"/>
      <c r="FX680" s="60"/>
    </row>
    <row r="681">
      <c r="A681" s="18"/>
      <c r="B681" s="14"/>
      <c r="C681" s="14"/>
      <c r="D681" s="14"/>
      <c r="E681" s="18"/>
      <c r="F681" s="18"/>
      <c r="G681" s="18"/>
      <c r="H681" s="18"/>
      <c r="I681" s="18"/>
      <c r="J681" s="18"/>
      <c r="K681" s="18"/>
      <c r="L681" s="18"/>
      <c r="M681" s="18"/>
      <c r="N681" s="18"/>
      <c r="O681" s="18"/>
      <c r="P681" s="23"/>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26"/>
      <c r="CU681" s="26"/>
      <c r="CV681" s="26"/>
      <c r="CW681" s="26"/>
      <c r="CX681" s="26"/>
      <c r="CY681" s="26"/>
      <c r="CZ681" s="26"/>
      <c r="DA681" s="26"/>
      <c r="DB681" s="26"/>
      <c r="DC681" s="26"/>
      <c r="DD681" s="26"/>
      <c r="DE681" s="26"/>
      <c r="DF681" s="26"/>
      <c r="DG681" s="26"/>
      <c r="DH681" s="26"/>
      <c r="DI681" s="26"/>
      <c r="DJ681" s="26"/>
      <c r="DK681" s="26"/>
      <c r="DL681" s="26"/>
      <c r="DM681" s="26"/>
      <c r="DN681" s="26"/>
      <c r="DO681" s="26"/>
      <c r="DP681" s="26"/>
      <c r="DQ681" s="26"/>
      <c r="DR681" s="26"/>
      <c r="DS681" s="26"/>
      <c r="DT681" s="26"/>
      <c r="DU681" s="26"/>
      <c r="DV681" s="26"/>
      <c r="DW681" s="26"/>
      <c r="DX681" s="26"/>
      <c r="DY681" s="26"/>
      <c r="DZ681" s="26"/>
      <c r="EA681" s="26"/>
      <c r="EB681" s="26"/>
      <c r="EC681" s="26"/>
      <c r="ED681" s="26"/>
      <c r="EE681" s="26"/>
      <c r="EF681" s="26"/>
      <c r="EG681" s="26"/>
      <c r="EH681" s="26"/>
      <c r="EI681" s="26"/>
      <c r="EJ681" s="26"/>
      <c r="EK681" s="26"/>
      <c r="EL681" s="26"/>
      <c r="EM681" s="26"/>
      <c r="EN681" s="26"/>
      <c r="EO681" s="26"/>
      <c r="EP681" s="26"/>
      <c r="EQ681" s="26"/>
      <c r="ER681" s="26"/>
      <c r="ES681" s="26"/>
      <c r="ET681" s="26"/>
      <c r="EU681" s="26"/>
      <c r="EV681" s="26"/>
      <c r="EW681" s="26"/>
      <c r="EX681" s="26"/>
      <c r="EY681" s="26"/>
      <c r="EZ681" s="26"/>
      <c r="FA681" s="60"/>
      <c r="FB681" s="60"/>
      <c r="FC681" s="60"/>
      <c r="FD681" s="60"/>
      <c r="FE681" s="60"/>
      <c r="FF681" s="60"/>
      <c r="FG681" s="60"/>
      <c r="FH681" s="60"/>
      <c r="FI681" s="60"/>
      <c r="FJ681" s="60"/>
      <c r="FK681" s="60"/>
      <c r="FL681" s="60"/>
      <c r="FM681" s="60"/>
      <c r="FN681" s="60"/>
      <c r="FO681" s="60"/>
      <c r="FP681" s="60"/>
      <c r="FQ681" s="60"/>
      <c r="FR681" s="60"/>
      <c r="FS681" s="60"/>
      <c r="FT681" s="60"/>
      <c r="FU681" s="60"/>
      <c r="FV681" s="60"/>
      <c r="FW681" s="60"/>
      <c r="FX681" s="60"/>
    </row>
    <row r="682">
      <c r="A682" s="18"/>
      <c r="B682" s="14"/>
      <c r="C682" s="14"/>
      <c r="D682" s="14"/>
      <c r="E682" s="18"/>
      <c r="F682" s="18"/>
      <c r="G682" s="18"/>
      <c r="H682" s="18"/>
      <c r="I682" s="18"/>
      <c r="J682" s="18"/>
      <c r="K682" s="18"/>
      <c r="L682" s="18"/>
      <c r="M682" s="18"/>
      <c r="N682" s="18"/>
      <c r="O682" s="18"/>
      <c r="P682" s="23"/>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26"/>
      <c r="CU682" s="26"/>
      <c r="CV682" s="26"/>
      <c r="CW682" s="26"/>
      <c r="CX682" s="26"/>
      <c r="CY682" s="26"/>
      <c r="CZ682" s="26"/>
      <c r="DA682" s="26"/>
      <c r="DB682" s="26"/>
      <c r="DC682" s="26"/>
      <c r="DD682" s="26"/>
      <c r="DE682" s="26"/>
      <c r="DF682" s="26"/>
      <c r="DG682" s="26"/>
      <c r="DH682" s="26"/>
      <c r="DI682" s="26"/>
      <c r="DJ682" s="26"/>
      <c r="DK682" s="26"/>
      <c r="DL682" s="26"/>
      <c r="DM682" s="26"/>
      <c r="DN682" s="26"/>
      <c r="DO682" s="26"/>
      <c r="DP682" s="26"/>
      <c r="DQ682" s="26"/>
      <c r="DR682" s="26"/>
      <c r="DS682" s="26"/>
      <c r="DT682" s="26"/>
      <c r="DU682" s="26"/>
      <c r="DV682" s="26"/>
      <c r="DW682" s="26"/>
      <c r="DX682" s="26"/>
      <c r="DY682" s="26"/>
      <c r="DZ682" s="26"/>
      <c r="EA682" s="26"/>
      <c r="EB682" s="26"/>
      <c r="EC682" s="26"/>
      <c r="ED682" s="26"/>
      <c r="EE682" s="26"/>
      <c r="EF682" s="26"/>
      <c r="EG682" s="26"/>
      <c r="EH682" s="26"/>
      <c r="EI682" s="26"/>
      <c r="EJ682" s="26"/>
      <c r="EK682" s="26"/>
      <c r="EL682" s="26"/>
      <c r="EM682" s="26"/>
      <c r="EN682" s="26"/>
      <c r="EO682" s="26"/>
      <c r="EP682" s="26"/>
      <c r="EQ682" s="26"/>
      <c r="ER682" s="26"/>
      <c r="ES682" s="26"/>
      <c r="ET682" s="26"/>
      <c r="EU682" s="26"/>
      <c r="EV682" s="26"/>
      <c r="EW682" s="26"/>
      <c r="EX682" s="26"/>
      <c r="EY682" s="26"/>
      <c r="EZ682" s="26"/>
      <c r="FA682" s="60"/>
      <c r="FB682" s="60"/>
      <c r="FC682" s="60"/>
      <c r="FD682" s="60"/>
      <c r="FE682" s="60"/>
      <c r="FF682" s="60"/>
      <c r="FG682" s="60"/>
      <c r="FH682" s="60"/>
      <c r="FI682" s="60"/>
      <c r="FJ682" s="60"/>
      <c r="FK682" s="60"/>
      <c r="FL682" s="60"/>
      <c r="FM682" s="60"/>
      <c r="FN682" s="60"/>
      <c r="FO682" s="60"/>
      <c r="FP682" s="60"/>
      <c r="FQ682" s="60"/>
      <c r="FR682" s="60"/>
      <c r="FS682" s="60"/>
      <c r="FT682" s="60"/>
      <c r="FU682" s="60"/>
      <c r="FV682" s="60"/>
      <c r="FW682" s="60"/>
      <c r="FX682" s="60"/>
    </row>
    <row r="683">
      <c r="A683" s="18"/>
      <c r="B683" s="14"/>
      <c r="C683" s="14"/>
      <c r="D683" s="14"/>
      <c r="E683" s="18"/>
      <c r="F683" s="18"/>
      <c r="G683" s="18"/>
      <c r="H683" s="18"/>
      <c r="I683" s="18"/>
      <c r="J683" s="18"/>
      <c r="K683" s="18"/>
      <c r="L683" s="18"/>
      <c r="M683" s="18"/>
      <c r="N683" s="18"/>
      <c r="O683" s="18"/>
      <c r="P683" s="23"/>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26"/>
      <c r="CU683" s="26"/>
      <c r="CV683" s="26"/>
      <c r="CW683" s="26"/>
      <c r="CX683" s="26"/>
      <c r="CY683" s="26"/>
      <c r="CZ683" s="26"/>
      <c r="DA683" s="26"/>
      <c r="DB683" s="26"/>
      <c r="DC683" s="26"/>
      <c r="DD683" s="26"/>
      <c r="DE683" s="26"/>
      <c r="DF683" s="26"/>
      <c r="DG683" s="26"/>
      <c r="DH683" s="26"/>
      <c r="DI683" s="26"/>
      <c r="DJ683" s="26"/>
      <c r="DK683" s="26"/>
      <c r="DL683" s="26"/>
      <c r="DM683" s="26"/>
      <c r="DN683" s="26"/>
      <c r="DO683" s="26"/>
      <c r="DP683" s="26"/>
      <c r="DQ683" s="26"/>
      <c r="DR683" s="26"/>
      <c r="DS683" s="26"/>
      <c r="DT683" s="26"/>
      <c r="DU683" s="26"/>
      <c r="DV683" s="26"/>
      <c r="DW683" s="26"/>
      <c r="DX683" s="26"/>
      <c r="DY683" s="26"/>
      <c r="DZ683" s="26"/>
      <c r="EA683" s="26"/>
      <c r="EB683" s="26"/>
      <c r="EC683" s="26"/>
      <c r="ED683" s="26"/>
      <c r="EE683" s="26"/>
      <c r="EF683" s="26"/>
      <c r="EG683" s="26"/>
      <c r="EH683" s="26"/>
      <c r="EI683" s="26"/>
      <c r="EJ683" s="26"/>
      <c r="EK683" s="26"/>
      <c r="EL683" s="26"/>
      <c r="EM683" s="26"/>
      <c r="EN683" s="26"/>
      <c r="EO683" s="26"/>
      <c r="EP683" s="26"/>
      <c r="EQ683" s="26"/>
      <c r="ER683" s="26"/>
      <c r="ES683" s="26"/>
      <c r="ET683" s="26"/>
      <c r="EU683" s="26"/>
      <c r="EV683" s="26"/>
      <c r="EW683" s="26"/>
      <c r="EX683" s="26"/>
      <c r="EY683" s="26"/>
      <c r="EZ683" s="26"/>
      <c r="FA683" s="60"/>
      <c r="FB683" s="60"/>
      <c r="FC683" s="60"/>
      <c r="FD683" s="60"/>
      <c r="FE683" s="60"/>
      <c r="FF683" s="60"/>
      <c r="FG683" s="60"/>
      <c r="FH683" s="60"/>
      <c r="FI683" s="60"/>
      <c r="FJ683" s="60"/>
      <c r="FK683" s="60"/>
      <c r="FL683" s="60"/>
      <c r="FM683" s="60"/>
      <c r="FN683" s="60"/>
      <c r="FO683" s="60"/>
      <c r="FP683" s="60"/>
      <c r="FQ683" s="60"/>
      <c r="FR683" s="60"/>
      <c r="FS683" s="60"/>
      <c r="FT683" s="60"/>
      <c r="FU683" s="60"/>
      <c r="FV683" s="60"/>
      <c r="FW683" s="60"/>
      <c r="FX683" s="60"/>
    </row>
    <row r="684">
      <c r="A684" s="18"/>
      <c r="B684" s="14"/>
      <c r="C684" s="14"/>
      <c r="D684" s="14"/>
      <c r="E684" s="18"/>
      <c r="F684" s="18"/>
      <c r="G684" s="18"/>
      <c r="H684" s="18"/>
      <c r="I684" s="18"/>
      <c r="J684" s="18"/>
      <c r="K684" s="18"/>
      <c r="L684" s="18"/>
      <c r="M684" s="18"/>
      <c r="N684" s="18"/>
      <c r="O684" s="18"/>
      <c r="P684" s="23"/>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26"/>
      <c r="CU684" s="26"/>
      <c r="CV684" s="26"/>
      <c r="CW684" s="26"/>
      <c r="CX684" s="26"/>
      <c r="CY684" s="26"/>
      <c r="CZ684" s="26"/>
      <c r="DA684" s="26"/>
      <c r="DB684" s="26"/>
      <c r="DC684" s="26"/>
      <c r="DD684" s="26"/>
      <c r="DE684" s="26"/>
      <c r="DF684" s="26"/>
      <c r="DG684" s="26"/>
      <c r="DH684" s="26"/>
      <c r="DI684" s="26"/>
      <c r="DJ684" s="26"/>
      <c r="DK684" s="26"/>
      <c r="DL684" s="26"/>
      <c r="DM684" s="26"/>
      <c r="DN684" s="26"/>
      <c r="DO684" s="26"/>
      <c r="DP684" s="26"/>
      <c r="DQ684" s="26"/>
      <c r="DR684" s="26"/>
      <c r="DS684" s="26"/>
      <c r="DT684" s="26"/>
      <c r="DU684" s="26"/>
      <c r="DV684" s="26"/>
      <c r="DW684" s="26"/>
      <c r="DX684" s="26"/>
      <c r="DY684" s="26"/>
      <c r="DZ684" s="26"/>
      <c r="EA684" s="26"/>
      <c r="EB684" s="26"/>
      <c r="EC684" s="26"/>
      <c r="ED684" s="26"/>
      <c r="EE684" s="26"/>
      <c r="EF684" s="26"/>
      <c r="EG684" s="26"/>
      <c r="EH684" s="26"/>
      <c r="EI684" s="26"/>
      <c r="EJ684" s="26"/>
      <c r="EK684" s="26"/>
      <c r="EL684" s="26"/>
      <c r="EM684" s="26"/>
      <c r="EN684" s="26"/>
      <c r="EO684" s="26"/>
      <c r="EP684" s="26"/>
      <c r="EQ684" s="26"/>
      <c r="ER684" s="26"/>
      <c r="ES684" s="26"/>
      <c r="ET684" s="26"/>
      <c r="EU684" s="26"/>
      <c r="EV684" s="26"/>
      <c r="EW684" s="26"/>
      <c r="EX684" s="26"/>
      <c r="EY684" s="26"/>
      <c r="EZ684" s="26"/>
      <c r="FA684" s="60"/>
      <c r="FB684" s="60"/>
      <c r="FC684" s="60"/>
      <c r="FD684" s="60"/>
      <c r="FE684" s="60"/>
      <c r="FF684" s="60"/>
      <c r="FG684" s="60"/>
      <c r="FH684" s="60"/>
      <c r="FI684" s="60"/>
      <c r="FJ684" s="60"/>
      <c r="FK684" s="60"/>
      <c r="FL684" s="60"/>
      <c r="FM684" s="60"/>
      <c r="FN684" s="60"/>
      <c r="FO684" s="60"/>
      <c r="FP684" s="60"/>
      <c r="FQ684" s="60"/>
      <c r="FR684" s="60"/>
      <c r="FS684" s="60"/>
      <c r="FT684" s="60"/>
      <c r="FU684" s="60"/>
      <c r="FV684" s="60"/>
      <c r="FW684" s="60"/>
      <c r="FX684" s="60"/>
    </row>
    <row r="685">
      <c r="A685" s="18"/>
      <c r="B685" s="14"/>
      <c r="C685" s="14"/>
      <c r="D685" s="14"/>
      <c r="E685" s="18"/>
      <c r="F685" s="18"/>
      <c r="G685" s="18"/>
      <c r="H685" s="18"/>
      <c r="I685" s="18"/>
      <c r="J685" s="18"/>
      <c r="K685" s="18"/>
      <c r="L685" s="18"/>
      <c r="M685" s="18"/>
      <c r="N685" s="18"/>
      <c r="O685" s="18"/>
      <c r="P685" s="23"/>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26"/>
      <c r="CU685" s="26"/>
      <c r="CV685" s="26"/>
      <c r="CW685" s="26"/>
      <c r="CX685" s="26"/>
      <c r="CY685" s="26"/>
      <c r="CZ685" s="26"/>
      <c r="DA685" s="26"/>
      <c r="DB685" s="26"/>
      <c r="DC685" s="26"/>
      <c r="DD685" s="26"/>
      <c r="DE685" s="26"/>
      <c r="DF685" s="26"/>
      <c r="DG685" s="26"/>
      <c r="DH685" s="26"/>
      <c r="DI685" s="26"/>
      <c r="DJ685" s="26"/>
      <c r="DK685" s="26"/>
      <c r="DL685" s="26"/>
      <c r="DM685" s="26"/>
      <c r="DN685" s="26"/>
      <c r="DO685" s="26"/>
      <c r="DP685" s="26"/>
      <c r="DQ685" s="26"/>
      <c r="DR685" s="26"/>
      <c r="DS685" s="26"/>
      <c r="DT685" s="26"/>
      <c r="DU685" s="26"/>
      <c r="DV685" s="26"/>
      <c r="DW685" s="26"/>
      <c r="DX685" s="26"/>
      <c r="DY685" s="26"/>
      <c r="DZ685" s="26"/>
      <c r="EA685" s="26"/>
      <c r="EB685" s="26"/>
      <c r="EC685" s="26"/>
      <c r="ED685" s="26"/>
      <c r="EE685" s="26"/>
      <c r="EF685" s="26"/>
      <c r="EG685" s="26"/>
      <c r="EH685" s="26"/>
      <c r="EI685" s="26"/>
      <c r="EJ685" s="26"/>
      <c r="EK685" s="26"/>
      <c r="EL685" s="26"/>
      <c r="EM685" s="26"/>
      <c r="EN685" s="26"/>
      <c r="EO685" s="26"/>
      <c r="EP685" s="26"/>
      <c r="EQ685" s="26"/>
      <c r="ER685" s="26"/>
      <c r="ES685" s="26"/>
      <c r="ET685" s="26"/>
      <c r="EU685" s="26"/>
      <c r="EV685" s="26"/>
      <c r="EW685" s="26"/>
      <c r="EX685" s="26"/>
      <c r="EY685" s="26"/>
      <c r="EZ685" s="26"/>
      <c r="FA685" s="60"/>
      <c r="FB685" s="60"/>
      <c r="FC685" s="60"/>
      <c r="FD685" s="60"/>
      <c r="FE685" s="60"/>
      <c r="FF685" s="60"/>
      <c r="FG685" s="60"/>
      <c r="FH685" s="60"/>
      <c r="FI685" s="60"/>
      <c r="FJ685" s="60"/>
      <c r="FK685" s="60"/>
      <c r="FL685" s="60"/>
      <c r="FM685" s="60"/>
      <c r="FN685" s="60"/>
      <c r="FO685" s="60"/>
      <c r="FP685" s="60"/>
      <c r="FQ685" s="60"/>
      <c r="FR685" s="60"/>
      <c r="FS685" s="60"/>
      <c r="FT685" s="60"/>
      <c r="FU685" s="60"/>
      <c r="FV685" s="60"/>
      <c r="FW685" s="60"/>
      <c r="FX685" s="60"/>
    </row>
    <row r="686">
      <c r="A686" s="18"/>
      <c r="B686" s="14"/>
      <c r="C686" s="14"/>
      <c r="D686" s="14"/>
      <c r="E686" s="18"/>
      <c r="F686" s="18"/>
      <c r="G686" s="18"/>
      <c r="H686" s="18"/>
      <c r="I686" s="18"/>
      <c r="J686" s="18"/>
      <c r="K686" s="18"/>
      <c r="L686" s="18"/>
      <c r="M686" s="18"/>
      <c r="N686" s="18"/>
      <c r="O686" s="18"/>
      <c r="P686" s="23"/>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26"/>
      <c r="CU686" s="26"/>
      <c r="CV686" s="26"/>
      <c r="CW686" s="26"/>
      <c r="CX686" s="26"/>
      <c r="CY686" s="26"/>
      <c r="CZ686" s="26"/>
      <c r="DA686" s="26"/>
      <c r="DB686" s="26"/>
      <c r="DC686" s="26"/>
      <c r="DD686" s="26"/>
      <c r="DE686" s="26"/>
      <c r="DF686" s="26"/>
      <c r="DG686" s="26"/>
      <c r="DH686" s="26"/>
      <c r="DI686" s="26"/>
      <c r="DJ686" s="26"/>
      <c r="DK686" s="26"/>
      <c r="DL686" s="26"/>
      <c r="DM686" s="26"/>
      <c r="DN686" s="26"/>
      <c r="DO686" s="26"/>
      <c r="DP686" s="26"/>
      <c r="DQ686" s="26"/>
      <c r="DR686" s="26"/>
      <c r="DS686" s="26"/>
      <c r="DT686" s="26"/>
      <c r="DU686" s="26"/>
      <c r="DV686" s="26"/>
      <c r="DW686" s="26"/>
      <c r="DX686" s="26"/>
      <c r="DY686" s="26"/>
      <c r="DZ686" s="26"/>
      <c r="EA686" s="26"/>
      <c r="EB686" s="26"/>
      <c r="EC686" s="26"/>
      <c r="ED686" s="26"/>
      <c r="EE686" s="26"/>
      <c r="EF686" s="26"/>
      <c r="EG686" s="26"/>
      <c r="EH686" s="26"/>
      <c r="EI686" s="26"/>
      <c r="EJ686" s="26"/>
      <c r="EK686" s="26"/>
      <c r="EL686" s="26"/>
      <c r="EM686" s="26"/>
      <c r="EN686" s="26"/>
      <c r="EO686" s="26"/>
      <c r="EP686" s="26"/>
      <c r="EQ686" s="26"/>
      <c r="ER686" s="26"/>
      <c r="ES686" s="26"/>
      <c r="ET686" s="26"/>
      <c r="EU686" s="26"/>
      <c r="EV686" s="26"/>
      <c r="EW686" s="26"/>
      <c r="EX686" s="26"/>
      <c r="EY686" s="26"/>
      <c r="EZ686" s="26"/>
      <c r="FA686" s="60"/>
      <c r="FB686" s="60"/>
      <c r="FC686" s="60"/>
      <c r="FD686" s="60"/>
      <c r="FE686" s="60"/>
      <c r="FF686" s="60"/>
      <c r="FG686" s="60"/>
      <c r="FH686" s="60"/>
      <c r="FI686" s="60"/>
      <c r="FJ686" s="60"/>
      <c r="FK686" s="60"/>
      <c r="FL686" s="60"/>
      <c r="FM686" s="60"/>
      <c r="FN686" s="60"/>
      <c r="FO686" s="60"/>
      <c r="FP686" s="60"/>
      <c r="FQ686" s="60"/>
      <c r="FR686" s="60"/>
      <c r="FS686" s="60"/>
      <c r="FT686" s="60"/>
      <c r="FU686" s="60"/>
      <c r="FV686" s="60"/>
      <c r="FW686" s="60"/>
      <c r="FX686" s="60"/>
    </row>
    <row r="687">
      <c r="A687" s="18"/>
      <c r="B687" s="14"/>
      <c r="C687" s="14"/>
      <c r="D687" s="14"/>
      <c r="E687" s="18"/>
      <c r="F687" s="18"/>
      <c r="G687" s="18"/>
      <c r="H687" s="18"/>
      <c r="I687" s="18"/>
      <c r="J687" s="18"/>
      <c r="K687" s="18"/>
      <c r="L687" s="18"/>
      <c r="M687" s="18"/>
      <c r="N687" s="18"/>
      <c r="O687" s="18"/>
      <c r="P687" s="23"/>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26"/>
      <c r="CU687" s="26"/>
      <c r="CV687" s="26"/>
      <c r="CW687" s="26"/>
      <c r="CX687" s="26"/>
      <c r="CY687" s="26"/>
      <c r="CZ687" s="26"/>
      <c r="DA687" s="26"/>
      <c r="DB687" s="26"/>
      <c r="DC687" s="26"/>
      <c r="DD687" s="26"/>
      <c r="DE687" s="26"/>
      <c r="DF687" s="26"/>
      <c r="DG687" s="26"/>
      <c r="DH687" s="26"/>
      <c r="DI687" s="26"/>
      <c r="DJ687" s="26"/>
      <c r="DK687" s="26"/>
      <c r="DL687" s="26"/>
      <c r="DM687" s="26"/>
      <c r="DN687" s="26"/>
      <c r="DO687" s="26"/>
      <c r="DP687" s="26"/>
      <c r="DQ687" s="26"/>
      <c r="DR687" s="26"/>
      <c r="DS687" s="26"/>
      <c r="DT687" s="26"/>
      <c r="DU687" s="26"/>
      <c r="DV687" s="26"/>
      <c r="DW687" s="26"/>
      <c r="DX687" s="26"/>
      <c r="DY687" s="26"/>
      <c r="DZ687" s="26"/>
      <c r="EA687" s="26"/>
      <c r="EB687" s="26"/>
      <c r="EC687" s="26"/>
      <c r="ED687" s="26"/>
      <c r="EE687" s="26"/>
      <c r="EF687" s="26"/>
      <c r="EG687" s="26"/>
      <c r="EH687" s="26"/>
      <c r="EI687" s="26"/>
      <c r="EJ687" s="26"/>
      <c r="EK687" s="26"/>
      <c r="EL687" s="26"/>
      <c r="EM687" s="26"/>
      <c r="EN687" s="26"/>
      <c r="EO687" s="26"/>
      <c r="EP687" s="26"/>
      <c r="EQ687" s="26"/>
      <c r="ER687" s="26"/>
      <c r="ES687" s="26"/>
      <c r="ET687" s="26"/>
      <c r="EU687" s="26"/>
      <c r="EV687" s="26"/>
      <c r="EW687" s="26"/>
      <c r="EX687" s="26"/>
      <c r="EY687" s="26"/>
      <c r="EZ687" s="26"/>
      <c r="FA687" s="60"/>
      <c r="FB687" s="60"/>
      <c r="FC687" s="60"/>
      <c r="FD687" s="60"/>
      <c r="FE687" s="60"/>
      <c r="FF687" s="60"/>
      <c r="FG687" s="60"/>
      <c r="FH687" s="60"/>
      <c r="FI687" s="60"/>
      <c r="FJ687" s="60"/>
      <c r="FK687" s="60"/>
      <c r="FL687" s="60"/>
      <c r="FM687" s="60"/>
      <c r="FN687" s="60"/>
      <c r="FO687" s="60"/>
      <c r="FP687" s="60"/>
      <c r="FQ687" s="60"/>
      <c r="FR687" s="60"/>
      <c r="FS687" s="60"/>
      <c r="FT687" s="60"/>
      <c r="FU687" s="60"/>
      <c r="FV687" s="60"/>
      <c r="FW687" s="60"/>
      <c r="FX687" s="60"/>
    </row>
    <row r="688">
      <c r="A688" s="18"/>
      <c r="B688" s="14"/>
      <c r="C688" s="14"/>
      <c r="D688" s="14"/>
      <c r="E688" s="18"/>
      <c r="F688" s="18"/>
      <c r="G688" s="18"/>
      <c r="H688" s="18"/>
      <c r="I688" s="18"/>
      <c r="J688" s="18"/>
      <c r="K688" s="18"/>
      <c r="L688" s="18"/>
      <c r="M688" s="18"/>
      <c r="N688" s="18"/>
      <c r="O688" s="18"/>
      <c r="P688" s="23"/>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26"/>
      <c r="CU688" s="26"/>
      <c r="CV688" s="26"/>
      <c r="CW688" s="26"/>
      <c r="CX688" s="26"/>
      <c r="CY688" s="26"/>
      <c r="CZ688" s="26"/>
      <c r="DA688" s="26"/>
      <c r="DB688" s="26"/>
      <c r="DC688" s="26"/>
      <c r="DD688" s="26"/>
      <c r="DE688" s="26"/>
      <c r="DF688" s="26"/>
      <c r="DG688" s="26"/>
      <c r="DH688" s="26"/>
      <c r="DI688" s="26"/>
      <c r="DJ688" s="26"/>
      <c r="DK688" s="26"/>
      <c r="DL688" s="26"/>
      <c r="DM688" s="26"/>
      <c r="DN688" s="26"/>
      <c r="DO688" s="26"/>
      <c r="DP688" s="26"/>
      <c r="DQ688" s="26"/>
      <c r="DR688" s="26"/>
      <c r="DS688" s="26"/>
      <c r="DT688" s="26"/>
      <c r="DU688" s="26"/>
      <c r="DV688" s="26"/>
      <c r="DW688" s="26"/>
      <c r="DX688" s="26"/>
      <c r="DY688" s="26"/>
      <c r="DZ688" s="26"/>
      <c r="EA688" s="26"/>
      <c r="EB688" s="26"/>
      <c r="EC688" s="26"/>
      <c r="ED688" s="26"/>
      <c r="EE688" s="26"/>
      <c r="EF688" s="26"/>
      <c r="EG688" s="26"/>
      <c r="EH688" s="26"/>
      <c r="EI688" s="26"/>
      <c r="EJ688" s="26"/>
      <c r="EK688" s="26"/>
      <c r="EL688" s="26"/>
      <c r="EM688" s="26"/>
      <c r="EN688" s="26"/>
      <c r="EO688" s="26"/>
      <c r="EP688" s="26"/>
      <c r="EQ688" s="26"/>
      <c r="ER688" s="26"/>
      <c r="ES688" s="26"/>
      <c r="ET688" s="26"/>
      <c r="EU688" s="26"/>
      <c r="EV688" s="26"/>
      <c r="EW688" s="26"/>
      <c r="EX688" s="26"/>
      <c r="EY688" s="26"/>
      <c r="EZ688" s="26"/>
      <c r="FA688" s="60"/>
      <c r="FB688" s="60"/>
      <c r="FC688" s="60"/>
      <c r="FD688" s="60"/>
      <c r="FE688" s="60"/>
      <c r="FF688" s="60"/>
      <c r="FG688" s="60"/>
      <c r="FH688" s="60"/>
      <c r="FI688" s="60"/>
      <c r="FJ688" s="60"/>
      <c r="FK688" s="60"/>
      <c r="FL688" s="60"/>
      <c r="FM688" s="60"/>
      <c r="FN688" s="60"/>
      <c r="FO688" s="60"/>
      <c r="FP688" s="60"/>
      <c r="FQ688" s="60"/>
      <c r="FR688" s="60"/>
      <c r="FS688" s="60"/>
      <c r="FT688" s="60"/>
      <c r="FU688" s="60"/>
      <c r="FV688" s="60"/>
      <c r="FW688" s="60"/>
      <c r="FX688" s="60"/>
    </row>
    <row r="689">
      <c r="A689" s="18"/>
      <c r="B689" s="14"/>
      <c r="C689" s="14"/>
      <c r="D689" s="14"/>
      <c r="E689" s="18"/>
      <c r="F689" s="18"/>
      <c r="G689" s="18"/>
      <c r="H689" s="18"/>
      <c r="I689" s="18"/>
      <c r="J689" s="18"/>
      <c r="K689" s="18"/>
      <c r="L689" s="18"/>
      <c r="M689" s="18"/>
      <c r="N689" s="18"/>
      <c r="O689" s="18"/>
      <c r="P689" s="23"/>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26"/>
      <c r="CU689" s="26"/>
      <c r="CV689" s="26"/>
      <c r="CW689" s="26"/>
      <c r="CX689" s="26"/>
      <c r="CY689" s="26"/>
      <c r="CZ689" s="26"/>
      <c r="DA689" s="26"/>
      <c r="DB689" s="26"/>
      <c r="DC689" s="26"/>
      <c r="DD689" s="26"/>
      <c r="DE689" s="26"/>
      <c r="DF689" s="26"/>
      <c r="DG689" s="26"/>
      <c r="DH689" s="26"/>
      <c r="DI689" s="26"/>
      <c r="DJ689" s="26"/>
      <c r="DK689" s="26"/>
      <c r="DL689" s="26"/>
      <c r="DM689" s="26"/>
      <c r="DN689" s="26"/>
      <c r="DO689" s="26"/>
      <c r="DP689" s="26"/>
      <c r="DQ689" s="26"/>
      <c r="DR689" s="26"/>
      <c r="DS689" s="26"/>
      <c r="DT689" s="26"/>
      <c r="DU689" s="26"/>
      <c r="DV689" s="26"/>
      <c r="DW689" s="26"/>
      <c r="DX689" s="26"/>
      <c r="DY689" s="26"/>
      <c r="DZ689" s="26"/>
      <c r="EA689" s="26"/>
      <c r="EB689" s="26"/>
      <c r="EC689" s="26"/>
      <c r="ED689" s="26"/>
      <c r="EE689" s="26"/>
      <c r="EF689" s="26"/>
      <c r="EG689" s="26"/>
      <c r="EH689" s="26"/>
      <c r="EI689" s="26"/>
      <c r="EJ689" s="26"/>
      <c r="EK689" s="26"/>
      <c r="EL689" s="26"/>
      <c r="EM689" s="26"/>
      <c r="EN689" s="26"/>
      <c r="EO689" s="26"/>
      <c r="EP689" s="26"/>
      <c r="EQ689" s="26"/>
      <c r="ER689" s="26"/>
      <c r="ES689" s="26"/>
      <c r="ET689" s="26"/>
      <c r="EU689" s="26"/>
      <c r="EV689" s="26"/>
      <c r="EW689" s="26"/>
      <c r="EX689" s="26"/>
      <c r="EY689" s="26"/>
      <c r="EZ689" s="26"/>
      <c r="FA689" s="60"/>
      <c r="FB689" s="60"/>
      <c r="FC689" s="60"/>
      <c r="FD689" s="60"/>
      <c r="FE689" s="60"/>
      <c r="FF689" s="60"/>
      <c r="FG689" s="60"/>
      <c r="FH689" s="60"/>
      <c r="FI689" s="60"/>
      <c r="FJ689" s="60"/>
      <c r="FK689" s="60"/>
      <c r="FL689" s="60"/>
      <c r="FM689" s="60"/>
      <c r="FN689" s="60"/>
      <c r="FO689" s="60"/>
      <c r="FP689" s="60"/>
      <c r="FQ689" s="60"/>
      <c r="FR689" s="60"/>
      <c r="FS689" s="60"/>
      <c r="FT689" s="60"/>
      <c r="FU689" s="60"/>
      <c r="FV689" s="60"/>
      <c r="FW689" s="60"/>
      <c r="FX689" s="60"/>
    </row>
    <row r="690">
      <c r="A690" s="18"/>
      <c r="B690" s="14"/>
      <c r="C690" s="14"/>
      <c r="D690" s="14"/>
      <c r="E690" s="18"/>
      <c r="F690" s="18"/>
      <c r="G690" s="18"/>
      <c r="H690" s="18"/>
      <c r="I690" s="18"/>
      <c r="J690" s="18"/>
      <c r="K690" s="18"/>
      <c r="L690" s="18"/>
      <c r="M690" s="18"/>
      <c r="N690" s="18"/>
      <c r="O690" s="18"/>
      <c r="P690" s="23"/>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26"/>
      <c r="CU690" s="26"/>
      <c r="CV690" s="26"/>
      <c r="CW690" s="26"/>
      <c r="CX690" s="26"/>
      <c r="CY690" s="26"/>
      <c r="CZ690" s="26"/>
      <c r="DA690" s="26"/>
      <c r="DB690" s="26"/>
      <c r="DC690" s="26"/>
      <c r="DD690" s="26"/>
      <c r="DE690" s="26"/>
      <c r="DF690" s="26"/>
      <c r="DG690" s="26"/>
      <c r="DH690" s="26"/>
      <c r="DI690" s="26"/>
      <c r="DJ690" s="26"/>
      <c r="DK690" s="26"/>
      <c r="DL690" s="26"/>
      <c r="DM690" s="26"/>
      <c r="DN690" s="26"/>
      <c r="DO690" s="26"/>
      <c r="DP690" s="26"/>
      <c r="DQ690" s="26"/>
      <c r="DR690" s="26"/>
      <c r="DS690" s="26"/>
      <c r="DT690" s="26"/>
      <c r="DU690" s="26"/>
      <c r="DV690" s="26"/>
      <c r="DW690" s="26"/>
      <c r="DX690" s="26"/>
      <c r="DY690" s="26"/>
      <c r="DZ690" s="26"/>
      <c r="EA690" s="26"/>
      <c r="EB690" s="26"/>
      <c r="EC690" s="26"/>
      <c r="ED690" s="26"/>
      <c r="EE690" s="26"/>
      <c r="EF690" s="26"/>
      <c r="EG690" s="26"/>
      <c r="EH690" s="26"/>
      <c r="EI690" s="26"/>
      <c r="EJ690" s="26"/>
      <c r="EK690" s="26"/>
      <c r="EL690" s="26"/>
      <c r="EM690" s="26"/>
      <c r="EN690" s="26"/>
      <c r="EO690" s="26"/>
      <c r="EP690" s="26"/>
      <c r="EQ690" s="26"/>
      <c r="ER690" s="26"/>
      <c r="ES690" s="26"/>
      <c r="ET690" s="26"/>
      <c r="EU690" s="26"/>
      <c r="EV690" s="26"/>
      <c r="EW690" s="26"/>
      <c r="EX690" s="26"/>
      <c r="EY690" s="26"/>
      <c r="EZ690" s="26"/>
      <c r="FA690" s="60"/>
      <c r="FB690" s="60"/>
      <c r="FC690" s="60"/>
      <c r="FD690" s="60"/>
      <c r="FE690" s="60"/>
      <c r="FF690" s="60"/>
      <c r="FG690" s="60"/>
      <c r="FH690" s="60"/>
      <c r="FI690" s="60"/>
      <c r="FJ690" s="60"/>
      <c r="FK690" s="60"/>
      <c r="FL690" s="60"/>
      <c r="FM690" s="60"/>
      <c r="FN690" s="60"/>
      <c r="FO690" s="60"/>
      <c r="FP690" s="60"/>
      <c r="FQ690" s="60"/>
      <c r="FR690" s="60"/>
      <c r="FS690" s="60"/>
      <c r="FT690" s="60"/>
      <c r="FU690" s="60"/>
      <c r="FV690" s="60"/>
      <c r="FW690" s="60"/>
      <c r="FX690" s="60"/>
    </row>
    <row r="691">
      <c r="A691" s="18"/>
      <c r="B691" s="14"/>
      <c r="C691" s="14"/>
      <c r="D691" s="14"/>
      <c r="E691" s="18"/>
      <c r="F691" s="18"/>
      <c r="G691" s="18"/>
      <c r="H691" s="18"/>
      <c r="I691" s="18"/>
      <c r="J691" s="18"/>
      <c r="K691" s="18"/>
      <c r="L691" s="18"/>
      <c r="M691" s="18"/>
      <c r="N691" s="18"/>
      <c r="O691" s="18"/>
      <c r="P691" s="23"/>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26"/>
      <c r="CU691" s="26"/>
      <c r="CV691" s="26"/>
      <c r="CW691" s="26"/>
      <c r="CX691" s="26"/>
      <c r="CY691" s="26"/>
      <c r="CZ691" s="26"/>
      <c r="DA691" s="26"/>
      <c r="DB691" s="26"/>
      <c r="DC691" s="26"/>
      <c r="DD691" s="26"/>
      <c r="DE691" s="26"/>
      <c r="DF691" s="26"/>
      <c r="DG691" s="26"/>
      <c r="DH691" s="26"/>
      <c r="DI691" s="26"/>
      <c r="DJ691" s="26"/>
      <c r="DK691" s="26"/>
      <c r="DL691" s="26"/>
      <c r="DM691" s="26"/>
      <c r="DN691" s="26"/>
      <c r="DO691" s="26"/>
      <c r="DP691" s="26"/>
      <c r="DQ691" s="26"/>
      <c r="DR691" s="26"/>
      <c r="DS691" s="26"/>
      <c r="DT691" s="26"/>
      <c r="DU691" s="26"/>
      <c r="DV691" s="26"/>
      <c r="DW691" s="26"/>
      <c r="DX691" s="26"/>
      <c r="DY691" s="26"/>
      <c r="DZ691" s="26"/>
      <c r="EA691" s="26"/>
      <c r="EB691" s="26"/>
      <c r="EC691" s="26"/>
      <c r="ED691" s="26"/>
      <c r="EE691" s="26"/>
      <c r="EF691" s="26"/>
      <c r="EG691" s="26"/>
      <c r="EH691" s="26"/>
      <c r="EI691" s="26"/>
      <c r="EJ691" s="26"/>
      <c r="EK691" s="26"/>
      <c r="EL691" s="26"/>
      <c r="EM691" s="26"/>
      <c r="EN691" s="26"/>
      <c r="EO691" s="26"/>
      <c r="EP691" s="26"/>
      <c r="EQ691" s="26"/>
      <c r="ER691" s="26"/>
      <c r="ES691" s="26"/>
      <c r="ET691" s="26"/>
      <c r="EU691" s="26"/>
      <c r="EV691" s="26"/>
      <c r="EW691" s="26"/>
      <c r="EX691" s="26"/>
      <c r="EY691" s="26"/>
      <c r="EZ691" s="26"/>
      <c r="FA691" s="60"/>
      <c r="FB691" s="60"/>
      <c r="FC691" s="60"/>
      <c r="FD691" s="60"/>
      <c r="FE691" s="60"/>
      <c r="FF691" s="60"/>
      <c r="FG691" s="60"/>
      <c r="FH691" s="60"/>
      <c r="FI691" s="60"/>
      <c r="FJ691" s="60"/>
      <c r="FK691" s="60"/>
      <c r="FL691" s="60"/>
      <c r="FM691" s="60"/>
      <c r="FN691" s="60"/>
      <c r="FO691" s="60"/>
      <c r="FP691" s="60"/>
      <c r="FQ691" s="60"/>
      <c r="FR691" s="60"/>
      <c r="FS691" s="60"/>
      <c r="FT691" s="60"/>
      <c r="FU691" s="60"/>
      <c r="FV691" s="60"/>
      <c r="FW691" s="60"/>
      <c r="FX691" s="60"/>
    </row>
    <row r="692">
      <c r="A692" s="18"/>
      <c r="B692" s="14"/>
      <c r="C692" s="14"/>
      <c r="D692" s="14"/>
      <c r="E692" s="18"/>
      <c r="F692" s="18"/>
      <c r="G692" s="18"/>
      <c r="H692" s="18"/>
      <c r="I692" s="18"/>
      <c r="J692" s="18"/>
      <c r="K692" s="18"/>
      <c r="L692" s="18"/>
      <c r="M692" s="18"/>
      <c r="N692" s="18"/>
      <c r="O692" s="18"/>
      <c r="P692" s="23"/>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26"/>
      <c r="CU692" s="26"/>
      <c r="CV692" s="26"/>
      <c r="CW692" s="26"/>
      <c r="CX692" s="26"/>
      <c r="CY692" s="26"/>
      <c r="CZ692" s="26"/>
      <c r="DA692" s="26"/>
      <c r="DB692" s="26"/>
      <c r="DC692" s="26"/>
      <c r="DD692" s="26"/>
      <c r="DE692" s="26"/>
      <c r="DF692" s="26"/>
      <c r="DG692" s="26"/>
      <c r="DH692" s="26"/>
      <c r="DI692" s="26"/>
      <c r="DJ692" s="26"/>
      <c r="DK692" s="26"/>
      <c r="DL692" s="26"/>
      <c r="DM692" s="26"/>
      <c r="DN692" s="26"/>
      <c r="DO692" s="26"/>
      <c r="DP692" s="26"/>
      <c r="DQ692" s="26"/>
      <c r="DR692" s="26"/>
      <c r="DS692" s="26"/>
      <c r="DT692" s="26"/>
      <c r="DU692" s="26"/>
      <c r="DV692" s="26"/>
      <c r="DW692" s="26"/>
      <c r="DX692" s="26"/>
      <c r="DY692" s="26"/>
      <c r="DZ692" s="26"/>
      <c r="EA692" s="26"/>
      <c r="EB692" s="26"/>
      <c r="EC692" s="26"/>
      <c r="ED692" s="26"/>
      <c r="EE692" s="26"/>
      <c r="EF692" s="26"/>
      <c r="EG692" s="26"/>
      <c r="EH692" s="26"/>
      <c r="EI692" s="26"/>
      <c r="EJ692" s="26"/>
      <c r="EK692" s="26"/>
      <c r="EL692" s="26"/>
      <c r="EM692" s="26"/>
      <c r="EN692" s="26"/>
      <c r="EO692" s="26"/>
      <c r="EP692" s="26"/>
      <c r="EQ692" s="26"/>
      <c r="ER692" s="26"/>
      <c r="ES692" s="26"/>
      <c r="ET692" s="26"/>
      <c r="EU692" s="26"/>
      <c r="EV692" s="26"/>
      <c r="EW692" s="26"/>
      <c r="EX692" s="26"/>
      <c r="EY692" s="26"/>
      <c r="EZ692" s="26"/>
      <c r="FA692" s="60"/>
      <c r="FB692" s="60"/>
      <c r="FC692" s="60"/>
      <c r="FD692" s="60"/>
      <c r="FE692" s="60"/>
      <c r="FF692" s="60"/>
      <c r="FG692" s="60"/>
      <c r="FH692" s="60"/>
      <c r="FI692" s="60"/>
      <c r="FJ692" s="60"/>
      <c r="FK692" s="60"/>
      <c r="FL692" s="60"/>
      <c r="FM692" s="60"/>
      <c r="FN692" s="60"/>
      <c r="FO692" s="60"/>
      <c r="FP692" s="60"/>
      <c r="FQ692" s="60"/>
      <c r="FR692" s="60"/>
      <c r="FS692" s="60"/>
      <c r="FT692" s="60"/>
      <c r="FU692" s="60"/>
      <c r="FV692" s="60"/>
      <c r="FW692" s="60"/>
      <c r="FX692" s="60"/>
    </row>
    <row r="693">
      <c r="A693" s="18"/>
      <c r="B693" s="14"/>
      <c r="C693" s="14"/>
      <c r="D693" s="14"/>
      <c r="E693" s="18"/>
      <c r="F693" s="18"/>
      <c r="G693" s="18"/>
      <c r="H693" s="18"/>
      <c r="I693" s="18"/>
      <c r="J693" s="18"/>
      <c r="K693" s="18"/>
      <c r="L693" s="18"/>
      <c r="M693" s="18"/>
      <c r="N693" s="18"/>
      <c r="O693" s="18"/>
      <c r="P693" s="23"/>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26"/>
      <c r="CU693" s="26"/>
      <c r="CV693" s="26"/>
      <c r="CW693" s="26"/>
      <c r="CX693" s="26"/>
      <c r="CY693" s="26"/>
      <c r="CZ693" s="26"/>
      <c r="DA693" s="26"/>
      <c r="DB693" s="26"/>
      <c r="DC693" s="26"/>
      <c r="DD693" s="26"/>
      <c r="DE693" s="26"/>
      <c r="DF693" s="26"/>
      <c r="DG693" s="26"/>
      <c r="DH693" s="26"/>
      <c r="DI693" s="26"/>
      <c r="DJ693" s="26"/>
      <c r="DK693" s="26"/>
      <c r="DL693" s="26"/>
      <c r="DM693" s="26"/>
      <c r="DN693" s="26"/>
      <c r="DO693" s="26"/>
      <c r="DP693" s="26"/>
      <c r="DQ693" s="26"/>
      <c r="DR693" s="26"/>
      <c r="DS693" s="26"/>
      <c r="DT693" s="26"/>
      <c r="DU693" s="26"/>
      <c r="DV693" s="26"/>
      <c r="DW693" s="26"/>
      <c r="DX693" s="26"/>
      <c r="DY693" s="26"/>
      <c r="DZ693" s="26"/>
      <c r="EA693" s="26"/>
      <c r="EB693" s="26"/>
      <c r="EC693" s="26"/>
      <c r="ED693" s="26"/>
      <c r="EE693" s="26"/>
      <c r="EF693" s="26"/>
      <c r="EG693" s="26"/>
      <c r="EH693" s="26"/>
      <c r="EI693" s="26"/>
      <c r="EJ693" s="26"/>
      <c r="EK693" s="26"/>
      <c r="EL693" s="26"/>
      <c r="EM693" s="26"/>
      <c r="EN693" s="26"/>
      <c r="EO693" s="26"/>
      <c r="EP693" s="26"/>
      <c r="EQ693" s="26"/>
      <c r="ER693" s="26"/>
      <c r="ES693" s="26"/>
      <c r="ET693" s="26"/>
      <c r="EU693" s="26"/>
      <c r="EV693" s="26"/>
      <c r="EW693" s="26"/>
      <c r="EX693" s="26"/>
      <c r="EY693" s="26"/>
      <c r="EZ693" s="26"/>
      <c r="FA693" s="60"/>
      <c r="FB693" s="60"/>
      <c r="FC693" s="60"/>
      <c r="FD693" s="60"/>
      <c r="FE693" s="60"/>
      <c r="FF693" s="60"/>
      <c r="FG693" s="60"/>
      <c r="FH693" s="60"/>
      <c r="FI693" s="60"/>
      <c r="FJ693" s="60"/>
      <c r="FK693" s="60"/>
      <c r="FL693" s="60"/>
      <c r="FM693" s="60"/>
      <c r="FN693" s="60"/>
      <c r="FO693" s="60"/>
      <c r="FP693" s="60"/>
      <c r="FQ693" s="60"/>
      <c r="FR693" s="60"/>
      <c r="FS693" s="60"/>
      <c r="FT693" s="60"/>
      <c r="FU693" s="60"/>
      <c r="FV693" s="60"/>
      <c r="FW693" s="60"/>
      <c r="FX693" s="60"/>
    </row>
    <row r="694">
      <c r="A694" s="18"/>
      <c r="B694" s="14"/>
      <c r="C694" s="14"/>
      <c r="D694" s="14"/>
      <c r="E694" s="18"/>
      <c r="F694" s="18"/>
      <c r="G694" s="18"/>
      <c r="H694" s="18"/>
      <c r="I694" s="18"/>
      <c r="J694" s="18"/>
      <c r="K694" s="18"/>
      <c r="L694" s="18"/>
      <c r="M694" s="18"/>
      <c r="N694" s="18"/>
      <c r="O694" s="18"/>
      <c r="P694" s="23"/>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26"/>
      <c r="CU694" s="26"/>
      <c r="CV694" s="26"/>
      <c r="CW694" s="26"/>
      <c r="CX694" s="26"/>
      <c r="CY694" s="26"/>
      <c r="CZ694" s="26"/>
      <c r="DA694" s="26"/>
      <c r="DB694" s="26"/>
      <c r="DC694" s="26"/>
      <c r="DD694" s="26"/>
      <c r="DE694" s="26"/>
      <c r="DF694" s="26"/>
      <c r="DG694" s="26"/>
      <c r="DH694" s="26"/>
      <c r="DI694" s="26"/>
      <c r="DJ694" s="26"/>
      <c r="DK694" s="26"/>
      <c r="DL694" s="26"/>
      <c r="DM694" s="26"/>
      <c r="DN694" s="26"/>
      <c r="DO694" s="26"/>
      <c r="DP694" s="26"/>
      <c r="DQ694" s="26"/>
      <c r="DR694" s="26"/>
      <c r="DS694" s="26"/>
      <c r="DT694" s="26"/>
      <c r="DU694" s="26"/>
      <c r="DV694" s="26"/>
      <c r="DW694" s="26"/>
      <c r="DX694" s="26"/>
      <c r="DY694" s="26"/>
      <c r="DZ694" s="26"/>
      <c r="EA694" s="26"/>
      <c r="EB694" s="26"/>
      <c r="EC694" s="26"/>
      <c r="ED694" s="26"/>
      <c r="EE694" s="26"/>
      <c r="EF694" s="26"/>
      <c r="EG694" s="26"/>
      <c r="EH694" s="26"/>
      <c r="EI694" s="26"/>
      <c r="EJ694" s="26"/>
      <c r="EK694" s="26"/>
      <c r="EL694" s="26"/>
      <c r="EM694" s="26"/>
      <c r="EN694" s="26"/>
      <c r="EO694" s="26"/>
      <c r="EP694" s="26"/>
      <c r="EQ694" s="26"/>
      <c r="ER694" s="26"/>
      <c r="ES694" s="26"/>
      <c r="ET694" s="26"/>
      <c r="EU694" s="26"/>
      <c r="EV694" s="26"/>
      <c r="EW694" s="26"/>
      <c r="EX694" s="26"/>
      <c r="EY694" s="26"/>
      <c r="EZ694" s="26"/>
      <c r="FA694" s="60"/>
      <c r="FB694" s="60"/>
      <c r="FC694" s="60"/>
      <c r="FD694" s="60"/>
      <c r="FE694" s="60"/>
      <c r="FF694" s="60"/>
      <c r="FG694" s="60"/>
      <c r="FH694" s="60"/>
      <c r="FI694" s="60"/>
      <c r="FJ694" s="60"/>
      <c r="FK694" s="60"/>
      <c r="FL694" s="60"/>
      <c r="FM694" s="60"/>
      <c r="FN694" s="60"/>
      <c r="FO694" s="60"/>
      <c r="FP694" s="60"/>
      <c r="FQ694" s="60"/>
      <c r="FR694" s="60"/>
      <c r="FS694" s="60"/>
      <c r="FT694" s="60"/>
      <c r="FU694" s="60"/>
      <c r="FV694" s="60"/>
      <c r="FW694" s="60"/>
      <c r="FX694" s="60"/>
    </row>
    <row r="695">
      <c r="A695" s="18"/>
      <c r="B695" s="14"/>
      <c r="C695" s="14"/>
      <c r="D695" s="14"/>
      <c r="E695" s="18"/>
      <c r="F695" s="18"/>
      <c r="G695" s="18"/>
      <c r="H695" s="18"/>
      <c r="I695" s="18"/>
      <c r="J695" s="18"/>
      <c r="K695" s="18"/>
      <c r="L695" s="18"/>
      <c r="M695" s="18"/>
      <c r="N695" s="18"/>
      <c r="O695" s="18"/>
      <c r="P695" s="23"/>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26"/>
      <c r="CU695" s="26"/>
      <c r="CV695" s="26"/>
      <c r="CW695" s="26"/>
      <c r="CX695" s="26"/>
      <c r="CY695" s="26"/>
      <c r="CZ695" s="26"/>
      <c r="DA695" s="26"/>
      <c r="DB695" s="26"/>
      <c r="DC695" s="26"/>
      <c r="DD695" s="26"/>
      <c r="DE695" s="26"/>
      <c r="DF695" s="26"/>
      <c r="DG695" s="26"/>
      <c r="DH695" s="26"/>
      <c r="DI695" s="26"/>
      <c r="DJ695" s="26"/>
      <c r="DK695" s="26"/>
      <c r="DL695" s="26"/>
      <c r="DM695" s="26"/>
      <c r="DN695" s="26"/>
      <c r="DO695" s="26"/>
      <c r="DP695" s="26"/>
      <c r="DQ695" s="26"/>
      <c r="DR695" s="26"/>
      <c r="DS695" s="26"/>
      <c r="DT695" s="26"/>
      <c r="DU695" s="26"/>
      <c r="DV695" s="26"/>
      <c r="DW695" s="26"/>
      <c r="DX695" s="26"/>
      <c r="DY695" s="26"/>
      <c r="DZ695" s="26"/>
      <c r="EA695" s="26"/>
      <c r="EB695" s="26"/>
      <c r="EC695" s="26"/>
      <c r="ED695" s="26"/>
      <c r="EE695" s="26"/>
      <c r="EF695" s="26"/>
      <c r="EG695" s="26"/>
      <c r="EH695" s="26"/>
      <c r="EI695" s="26"/>
      <c r="EJ695" s="26"/>
      <c r="EK695" s="26"/>
      <c r="EL695" s="26"/>
      <c r="EM695" s="26"/>
      <c r="EN695" s="26"/>
      <c r="EO695" s="26"/>
      <c r="EP695" s="26"/>
      <c r="EQ695" s="26"/>
      <c r="ER695" s="26"/>
      <c r="ES695" s="26"/>
      <c r="ET695" s="26"/>
      <c r="EU695" s="26"/>
      <c r="EV695" s="26"/>
      <c r="EW695" s="26"/>
      <c r="EX695" s="26"/>
      <c r="EY695" s="26"/>
      <c r="EZ695" s="26"/>
      <c r="FA695" s="60"/>
      <c r="FB695" s="60"/>
      <c r="FC695" s="60"/>
      <c r="FD695" s="60"/>
      <c r="FE695" s="60"/>
      <c r="FF695" s="60"/>
      <c r="FG695" s="60"/>
      <c r="FH695" s="60"/>
      <c r="FI695" s="60"/>
      <c r="FJ695" s="60"/>
      <c r="FK695" s="60"/>
      <c r="FL695" s="60"/>
      <c r="FM695" s="60"/>
      <c r="FN695" s="60"/>
      <c r="FO695" s="60"/>
      <c r="FP695" s="60"/>
      <c r="FQ695" s="60"/>
      <c r="FR695" s="60"/>
      <c r="FS695" s="60"/>
      <c r="FT695" s="60"/>
      <c r="FU695" s="60"/>
      <c r="FV695" s="60"/>
      <c r="FW695" s="60"/>
      <c r="FX695" s="60"/>
    </row>
    <row r="696">
      <c r="A696" s="18"/>
      <c r="B696" s="14"/>
      <c r="C696" s="14"/>
      <c r="D696" s="14"/>
      <c r="E696" s="18"/>
      <c r="F696" s="18"/>
      <c r="G696" s="18"/>
      <c r="H696" s="18"/>
      <c r="I696" s="18"/>
      <c r="J696" s="18"/>
      <c r="K696" s="18"/>
      <c r="L696" s="18"/>
      <c r="M696" s="18"/>
      <c r="N696" s="18"/>
      <c r="O696" s="18"/>
      <c r="P696" s="23"/>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26"/>
      <c r="CU696" s="26"/>
      <c r="CV696" s="26"/>
      <c r="CW696" s="26"/>
      <c r="CX696" s="26"/>
      <c r="CY696" s="26"/>
      <c r="CZ696" s="26"/>
      <c r="DA696" s="26"/>
      <c r="DB696" s="26"/>
      <c r="DC696" s="26"/>
      <c r="DD696" s="26"/>
      <c r="DE696" s="26"/>
      <c r="DF696" s="26"/>
      <c r="DG696" s="26"/>
      <c r="DH696" s="26"/>
      <c r="DI696" s="26"/>
      <c r="DJ696" s="26"/>
      <c r="DK696" s="26"/>
      <c r="DL696" s="26"/>
      <c r="DM696" s="26"/>
      <c r="DN696" s="26"/>
      <c r="DO696" s="26"/>
      <c r="DP696" s="26"/>
      <c r="DQ696" s="26"/>
      <c r="DR696" s="26"/>
      <c r="DS696" s="26"/>
      <c r="DT696" s="26"/>
      <c r="DU696" s="26"/>
      <c r="DV696" s="26"/>
      <c r="DW696" s="26"/>
      <c r="DX696" s="26"/>
      <c r="DY696" s="26"/>
      <c r="DZ696" s="26"/>
      <c r="EA696" s="26"/>
      <c r="EB696" s="26"/>
      <c r="EC696" s="26"/>
      <c r="ED696" s="26"/>
      <c r="EE696" s="26"/>
      <c r="EF696" s="26"/>
      <c r="EG696" s="26"/>
      <c r="EH696" s="26"/>
      <c r="EI696" s="26"/>
      <c r="EJ696" s="26"/>
      <c r="EK696" s="26"/>
      <c r="EL696" s="26"/>
      <c r="EM696" s="26"/>
      <c r="EN696" s="26"/>
      <c r="EO696" s="26"/>
      <c r="EP696" s="26"/>
      <c r="EQ696" s="26"/>
      <c r="ER696" s="26"/>
      <c r="ES696" s="26"/>
      <c r="ET696" s="26"/>
      <c r="EU696" s="26"/>
      <c r="EV696" s="26"/>
      <c r="EW696" s="26"/>
      <c r="EX696" s="26"/>
      <c r="EY696" s="26"/>
      <c r="EZ696" s="26"/>
      <c r="FA696" s="60"/>
      <c r="FB696" s="60"/>
      <c r="FC696" s="60"/>
      <c r="FD696" s="60"/>
      <c r="FE696" s="60"/>
      <c r="FF696" s="60"/>
      <c r="FG696" s="60"/>
      <c r="FH696" s="60"/>
      <c r="FI696" s="60"/>
      <c r="FJ696" s="60"/>
      <c r="FK696" s="60"/>
      <c r="FL696" s="60"/>
      <c r="FM696" s="60"/>
      <c r="FN696" s="60"/>
      <c r="FO696" s="60"/>
      <c r="FP696" s="60"/>
      <c r="FQ696" s="60"/>
      <c r="FR696" s="60"/>
      <c r="FS696" s="60"/>
      <c r="FT696" s="60"/>
      <c r="FU696" s="60"/>
      <c r="FV696" s="60"/>
      <c r="FW696" s="60"/>
      <c r="FX696" s="60"/>
    </row>
    <row r="697">
      <c r="A697" s="18"/>
      <c r="B697" s="14"/>
      <c r="C697" s="14"/>
      <c r="D697" s="14"/>
      <c r="E697" s="18"/>
      <c r="F697" s="18"/>
      <c r="G697" s="18"/>
      <c r="H697" s="18"/>
      <c r="I697" s="18"/>
      <c r="J697" s="18"/>
      <c r="K697" s="18"/>
      <c r="L697" s="18"/>
      <c r="M697" s="18"/>
      <c r="N697" s="18"/>
      <c r="O697" s="18"/>
      <c r="P697" s="23"/>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26"/>
      <c r="CU697" s="26"/>
      <c r="CV697" s="26"/>
      <c r="CW697" s="26"/>
      <c r="CX697" s="26"/>
      <c r="CY697" s="26"/>
      <c r="CZ697" s="26"/>
      <c r="DA697" s="26"/>
      <c r="DB697" s="26"/>
      <c r="DC697" s="26"/>
      <c r="DD697" s="26"/>
      <c r="DE697" s="26"/>
      <c r="DF697" s="26"/>
      <c r="DG697" s="26"/>
      <c r="DH697" s="26"/>
      <c r="DI697" s="26"/>
      <c r="DJ697" s="26"/>
      <c r="DK697" s="26"/>
      <c r="DL697" s="26"/>
      <c r="DM697" s="26"/>
      <c r="DN697" s="26"/>
      <c r="DO697" s="26"/>
      <c r="DP697" s="26"/>
      <c r="DQ697" s="26"/>
      <c r="DR697" s="26"/>
      <c r="DS697" s="26"/>
      <c r="DT697" s="26"/>
      <c r="DU697" s="26"/>
      <c r="DV697" s="26"/>
      <c r="DW697" s="26"/>
      <c r="DX697" s="26"/>
      <c r="DY697" s="26"/>
      <c r="DZ697" s="26"/>
      <c r="EA697" s="26"/>
      <c r="EB697" s="26"/>
      <c r="EC697" s="26"/>
      <c r="ED697" s="26"/>
      <c r="EE697" s="26"/>
      <c r="EF697" s="26"/>
      <c r="EG697" s="26"/>
      <c r="EH697" s="26"/>
      <c r="EI697" s="26"/>
      <c r="EJ697" s="26"/>
      <c r="EK697" s="26"/>
      <c r="EL697" s="26"/>
      <c r="EM697" s="26"/>
      <c r="EN697" s="26"/>
      <c r="EO697" s="26"/>
      <c r="EP697" s="26"/>
      <c r="EQ697" s="26"/>
      <c r="ER697" s="26"/>
      <c r="ES697" s="26"/>
      <c r="ET697" s="26"/>
      <c r="EU697" s="26"/>
      <c r="EV697" s="26"/>
      <c r="EW697" s="26"/>
      <c r="EX697" s="26"/>
      <c r="EY697" s="26"/>
      <c r="EZ697" s="26"/>
      <c r="FA697" s="60"/>
      <c r="FB697" s="60"/>
      <c r="FC697" s="60"/>
      <c r="FD697" s="60"/>
      <c r="FE697" s="60"/>
      <c r="FF697" s="60"/>
      <c r="FG697" s="60"/>
      <c r="FH697" s="60"/>
      <c r="FI697" s="60"/>
      <c r="FJ697" s="60"/>
      <c r="FK697" s="60"/>
      <c r="FL697" s="60"/>
      <c r="FM697" s="60"/>
      <c r="FN697" s="60"/>
      <c r="FO697" s="60"/>
      <c r="FP697" s="60"/>
      <c r="FQ697" s="60"/>
      <c r="FR697" s="60"/>
      <c r="FS697" s="60"/>
      <c r="FT697" s="60"/>
      <c r="FU697" s="60"/>
      <c r="FV697" s="60"/>
      <c r="FW697" s="60"/>
      <c r="FX697" s="60"/>
    </row>
    <row r="698">
      <c r="A698" s="18"/>
      <c r="B698" s="14"/>
      <c r="C698" s="14"/>
      <c r="D698" s="14"/>
      <c r="E698" s="18"/>
      <c r="F698" s="18"/>
      <c r="G698" s="18"/>
      <c r="H698" s="18"/>
      <c r="I698" s="18"/>
      <c r="J698" s="18"/>
      <c r="K698" s="18"/>
      <c r="L698" s="18"/>
      <c r="M698" s="18"/>
      <c r="N698" s="18"/>
      <c r="O698" s="18"/>
      <c r="P698" s="23"/>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26"/>
      <c r="CU698" s="26"/>
      <c r="CV698" s="26"/>
      <c r="CW698" s="26"/>
      <c r="CX698" s="26"/>
      <c r="CY698" s="26"/>
      <c r="CZ698" s="26"/>
      <c r="DA698" s="26"/>
      <c r="DB698" s="26"/>
      <c r="DC698" s="26"/>
      <c r="DD698" s="26"/>
      <c r="DE698" s="26"/>
      <c r="DF698" s="26"/>
      <c r="DG698" s="26"/>
      <c r="DH698" s="26"/>
      <c r="DI698" s="26"/>
      <c r="DJ698" s="26"/>
      <c r="DK698" s="26"/>
      <c r="DL698" s="26"/>
      <c r="DM698" s="26"/>
      <c r="DN698" s="26"/>
      <c r="DO698" s="26"/>
      <c r="DP698" s="26"/>
      <c r="DQ698" s="26"/>
      <c r="DR698" s="26"/>
      <c r="DS698" s="26"/>
      <c r="DT698" s="26"/>
      <c r="DU698" s="26"/>
      <c r="DV698" s="26"/>
      <c r="DW698" s="26"/>
      <c r="DX698" s="26"/>
      <c r="DY698" s="26"/>
      <c r="DZ698" s="26"/>
      <c r="EA698" s="26"/>
      <c r="EB698" s="26"/>
      <c r="EC698" s="26"/>
      <c r="ED698" s="26"/>
      <c r="EE698" s="26"/>
      <c r="EF698" s="26"/>
      <c r="EG698" s="26"/>
      <c r="EH698" s="26"/>
      <c r="EI698" s="26"/>
      <c r="EJ698" s="26"/>
      <c r="EK698" s="26"/>
      <c r="EL698" s="26"/>
      <c r="EM698" s="26"/>
      <c r="EN698" s="26"/>
      <c r="EO698" s="26"/>
      <c r="EP698" s="26"/>
      <c r="EQ698" s="26"/>
      <c r="ER698" s="26"/>
      <c r="ES698" s="26"/>
      <c r="ET698" s="26"/>
      <c r="EU698" s="26"/>
      <c r="EV698" s="26"/>
      <c r="EW698" s="26"/>
      <c r="EX698" s="26"/>
      <c r="EY698" s="26"/>
      <c r="EZ698" s="26"/>
      <c r="FA698" s="60"/>
      <c r="FB698" s="60"/>
      <c r="FC698" s="60"/>
      <c r="FD698" s="60"/>
      <c r="FE698" s="60"/>
      <c r="FF698" s="60"/>
      <c r="FG698" s="60"/>
      <c r="FH698" s="60"/>
      <c r="FI698" s="60"/>
      <c r="FJ698" s="60"/>
      <c r="FK698" s="60"/>
      <c r="FL698" s="60"/>
      <c r="FM698" s="60"/>
      <c r="FN698" s="60"/>
      <c r="FO698" s="60"/>
      <c r="FP698" s="60"/>
      <c r="FQ698" s="60"/>
      <c r="FR698" s="60"/>
      <c r="FS698" s="60"/>
      <c r="FT698" s="60"/>
      <c r="FU698" s="60"/>
      <c r="FV698" s="60"/>
      <c r="FW698" s="60"/>
      <c r="FX698" s="60"/>
    </row>
    <row r="699">
      <c r="A699" s="18"/>
      <c r="B699" s="14"/>
      <c r="C699" s="14"/>
      <c r="D699" s="14"/>
      <c r="E699" s="18"/>
      <c r="F699" s="18"/>
      <c r="G699" s="18"/>
      <c r="H699" s="18"/>
      <c r="I699" s="18"/>
      <c r="J699" s="18"/>
      <c r="K699" s="18"/>
      <c r="L699" s="18"/>
      <c r="M699" s="18"/>
      <c r="N699" s="18"/>
      <c r="O699" s="18"/>
      <c r="P699" s="23"/>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26"/>
      <c r="CU699" s="26"/>
      <c r="CV699" s="26"/>
      <c r="CW699" s="26"/>
      <c r="CX699" s="26"/>
      <c r="CY699" s="26"/>
      <c r="CZ699" s="26"/>
      <c r="DA699" s="26"/>
      <c r="DB699" s="26"/>
      <c r="DC699" s="26"/>
      <c r="DD699" s="26"/>
      <c r="DE699" s="26"/>
      <c r="DF699" s="26"/>
      <c r="DG699" s="26"/>
      <c r="DH699" s="26"/>
      <c r="DI699" s="26"/>
      <c r="DJ699" s="26"/>
      <c r="DK699" s="26"/>
      <c r="DL699" s="26"/>
      <c r="DM699" s="26"/>
      <c r="DN699" s="26"/>
      <c r="DO699" s="26"/>
      <c r="DP699" s="26"/>
      <c r="DQ699" s="26"/>
      <c r="DR699" s="26"/>
      <c r="DS699" s="26"/>
      <c r="DT699" s="26"/>
      <c r="DU699" s="26"/>
      <c r="DV699" s="26"/>
      <c r="DW699" s="26"/>
      <c r="DX699" s="26"/>
      <c r="DY699" s="26"/>
      <c r="DZ699" s="26"/>
      <c r="EA699" s="26"/>
      <c r="EB699" s="26"/>
      <c r="EC699" s="26"/>
      <c r="ED699" s="26"/>
      <c r="EE699" s="26"/>
      <c r="EF699" s="26"/>
      <c r="EG699" s="26"/>
      <c r="EH699" s="26"/>
      <c r="EI699" s="26"/>
      <c r="EJ699" s="26"/>
      <c r="EK699" s="26"/>
      <c r="EL699" s="26"/>
      <c r="EM699" s="26"/>
      <c r="EN699" s="26"/>
      <c r="EO699" s="26"/>
      <c r="EP699" s="26"/>
      <c r="EQ699" s="26"/>
      <c r="ER699" s="26"/>
      <c r="ES699" s="26"/>
      <c r="ET699" s="26"/>
      <c r="EU699" s="26"/>
      <c r="EV699" s="26"/>
      <c r="EW699" s="26"/>
      <c r="EX699" s="26"/>
      <c r="EY699" s="26"/>
      <c r="EZ699" s="26"/>
      <c r="FA699" s="60"/>
      <c r="FB699" s="60"/>
      <c r="FC699" s="60"/>
      <c r="FD699" s="60"/>
      <c r="FE699" s="60"/>
      <c r="FF699" s="60"/>
      <c r="FG699" s="60"/>
      <c r="FH699" s="60"/>
      <c r="FI699" s="60"/>
      <c r="FJ699" s="60"/>
      <c r="FK699" s="60"/>
      <c r="FL699" s="60"/>
      <c r="FM699" s="60"/>
      <c r="FN699" s="60"/>
      <c r="FO699" s="60"/>
      <c r="FP699" s="60"/>
      <c r="FQ699" s="60"/>
      <c r="FR699" s="60"/>
      <c r="FS699" s="60"/>
      <c r="FT699" s="60"/>
      <c r="FU699" s="60"/>
      <c r="FV699" s="60"/>
      <c r="FW699" s="60"/>
      <c r="FX699" s="60"/>
    </row>
    <row r="700">
      <c r="A700" s="18"/>
      <c r="B700" s="14"/>
      <c r="C700" s="14"/>
      <c r="D700" s="14"/>
      <c r="E700" s="18"/>
      <c r="F700" s="18"/>
      <c r="G700" s="18"/>
      <c r="H700" s="18"/>
      <c r="I700" s="18"/>
      <c r="J700" s="18"/>
      <c r="K700" s="18"/>
      <c r="L700" s="18"/>
      <c r="M700" s="18"/>
      <c r="N700" s="18"/>
      <c r="O700" s="18"/>
      <c r="P700" s="23"/>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26"/>
      <c r="CU700" s="26"/>
      <c r="CV700" s="26"/>
      <c r="CW700" s="26"/>
      <c r="CX700" s="26"/>
      <c r="CY700" s="26"/>
      <c r="CZ700" s="26"/>
      <c r="DA700" s="26"/>
      <c r="DB700" s="26"/>
      <c r="DC700" s="26"/>
      <c r="DD700" s="26"/>
      <c r="DE700" s="26"/>
      <c r="DF700" s="26"/>
      <c r="DG700" s="26"/>
      <c r="DH700" s="26"/>
      <c r="DI700" s="26"/>
      <c r="DJ700" s="26"/>
      <c r="DK700" s="26"/>
      <c r="DL700" s="26"/>
      <c r="DM700" s="26"/>
      <c r="DN700" s="26"/>
      <c r="DO700" s="26"/>
      <c r="DP700" s="26"/>
      <c r="DQ700" s="26"/>
      <c r="DR700" s="26"/>
      <c r="DS700" s="26"/>
      <c r="DT700" s="26"/>
      <c r="DU700" s="26"/>
      <c r="DV700" s="26"/>
      <c r="DW700" s="26"/>
      <c r="DX700" s="26"/>
      <c r="DY700" s="26"/>
      <c r="DZ700" s="26"/>
      <c r="EA700" s="26"/>
      <c r="EB700" s="26"/>
      <c r="EC700" s="26"/>
      <c r="ED700" s="26"/>
      <c r="EE700" s="26"/>
      <c r="EF700" s="26"/>
      <c r="EG700" s="26"/>
      <c r="EH700" s="26"/>
      <c r="EI700" s="26"/>
      <c r="EJ700" s="26"/>
      <c r="EK700" s="26"/>
      <c r="EL700" s="26"/>
      <c r="EM700" s="26"/>
      <c r="EN700" s="26"/>
      <c r="EO700" s="26"/>
      <c r="EP700" s="26"/>
      <c r="EQ700" s="26"/>
      <c r="ER700" s="26"/>
      <c r="ES700" s="26"/>
      <c r="ET700" s="26"/>
      <c r="EU700" s="26"/>
      <c r="EV700" s="26"/>
      <c r="EW700" s="26"/>
      <c r="EX700" s="26"/>
      <c r="EY700" s="26"/>
      <c r="EZ700" s="26"/>
      <c r="FA700" s="60"/>
      <c r="FB700" s="60"/>
      <c r="FC700" s="60"/>
      <c r="FD700" s="60"/>
      <c r="FE700" s="60"/>
      <c r="FF700" s="60"/>
      <c r="FG700" s="60"/>
      <c r="FH700" s="60"/>
      <c r="FI700" s="60"/>
      <c r="FJ700" s="60"/>
      <c r="FK700" s="60"/>
      <c r="FL700" s="60"/>
      <c r="FM700" s="60"/>
      <c r="FN700" s="60"/>
      <c r="FO700" s="60"/>
      <c r="FP700" s="60"/>
      <c r="FQ700" s="60"/>
      <c r="FR700" s="60"/>
      <c r="FS700" s="60"/>
      <c r="FT700" s="60"/>
      <c r="FU700" s="60"/>
      <c r="FV700" s="60"/>
      <c r="FW700" s="60"/>
      <c r="FX700" s="60"/>
    </row>
    <row r="701">
      <c r="A701" s="18"/>
      <c r="B701" s="14"/>
      <c r="C701" s="14"/>
      <c r="D701" s="14"/>
      <c r="E701" s="18"/>
      <c r="F701" s="18"/>
      <c r="G701" s="18"/>
      <c r="H701" s="18"/>
      <c r="I701" s="18"/>
      <c r="J701" s="18"/>
      <c r="K701" s="18"/>
      <c r="L701" s="18"/>
      <c r="M701" s="18"/>
      <c r="N701" s="18"/>
      <c r="O701" s="18"/>
      <c r="P701" s="23"/>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26"/>
      <c r="CU701" s="26"/>
      <c r="CV701" s="26"/>
      <c r="CW701" s="26"/>
      <c r="CX701" s="26"/>
      <c r="CY701" s="26"/>
      <c r="CZ701" s="26"/>
      <c r="DA701" s="26"/>
      <c r="DB701" s="26"/>
      <c r="DC701" s="26"/>
      <c r="DD701" s="26"/>
      <c r="DE701" s="26"/>
      <c r="DF701" s="26"/>
      <c r="DG701" s="26"/>
      <c r="DH701" s="26"/>
      <c r="DI701" s="26"/>
      <c r="DJ701" s="26"/>
      <c r="DK701" s="26"/>
      <c r="DL701" s="26"/>
      <c r="DM701" s="26"/>
      <c r="DN701" s="26"/>
      <c r="DO701" s="26"/>
      <c r="DP701" s="26"/>
      <c r="DQ701" s="26"/>
      <c r="DR701" s="26"/>
      <c r="DS701" s="26"/>
      <c r="DT701" s="26"/>
      <c r="DU701" s="26"/>
      <c r="DV701" s="26"/>
      <c r="DW701" s="26"/>
      <c r="DX701" s="26"/>
      <c r="DY701" s="26"/>
      <c r="DZ701" s="26"/>
      <c r="EA701" s="26"/>
      <c r="EB701" s="26"/>
      <c r="EC701" s="26"/>
      <c r="ED701" s="26"/>
      <c r="EE701" s="26"/>
      <c r="EF701" s="26"/>
      <c r="EG701" s="26"/>
      <c r="EH701" s="26"/>
      <c r="EI701" s="26"/>
      <c r="EJ701" s="26"/>
      <c r="EK701" s="26"/>
      <c r="EL701" s="26"/>
      <c r="EM701" s="26"/>
      <c r="EN701" s="26"/>
      <c r="EO701" s="26"/>
      <c r="EP701" s="26"/>
      <c r="EQ701" s="26"/>
      <c r="ER701" s="26"/>
      <c r="ES701" s="26"/>
      <c r="ET701" s="26"/>
      <c r="EU701" s="26"/>
      <c r="EV701" s="26"/>
      <c r="EW701" s="26"/>
      <c r="EX701" s="26"/>
      <c r="EY701" s="26"/>
      <c r="EZ701" s="26"/>
      <c r="FA701" s="60"/>
      <c r="FB701" s="60"/>
      <c r="FC701" s="60"/>
      <c r="FD701" s="60"/>
      <c r="FE701" s="60"/>
      <c r="FF701" s="60"/>
      <c r="FG701" s="60"/>
      <c r="FH701" s="60"/>
      <c r="FI701" s="60"/>
      <c r="FJ701" s="60"/>
      <c r="FK701" s="60"/>
      <c r="FL701" s="60"/>
      <c r="FM701" s="60"/>
      <c r="FN701" s="60"/>
      <c r="FO701" s="60"/>
      <c r="FP701" s="60"/>
      <c r="FQ701" s="60"/>
      <c r="FR701" s="60"/>
      <c r="FS701" s="60"/>
      <c r="FT701" s="60"/>
      <c r="FU701" s="60"/>
      <c r="FV701" s="60"/>
      <c r="FW701" s="60"/>
      <c r="FX701" s="60"/>
    </row>
    <row r="702">
      <c r="A702" s="18"/>
      <c r="B702" s="14"/>
      <c r="C702" s="14"/>
      <c r="D702" s="14"/>
      <c r="E702" s="18"/>
      <c r="F702" s="18"/>
      <c r="G702" s="18"/>
      <c r="H702" s="18"/>
      <c r="I702" s="18"/>
      <c r="J702" s="18"/>
      <c r="K702" s="18"/>
      <c r="L702" s="18"/>
      <c r="M702" s="18"/>
      <c r="N702" s="18"/>
      <c r="O702" s="18"/>
      <c r="P702" s="23"/>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26"/>
      <c r="CU702" s="26"/>
      <c r="CV702" s="26"/>
      <c r="CW702" s="26"/>
      <c r="CX702" s="26"/>
      <c r="CY702" s="26"/>
      <c r="CZ702" s="26"/>
      <c r="DA702" s="26"/>
      <c r="DB702" s="26"/>
      <c r="DC702" s="26"/>
      <c r="DD702" s="26"/>
      <c r="DE702" s="26"/>
      <c r="DF702" s="26"/>
      <c r="DG702" s="26"/>
      <c r="DH702" s="26"/>
      <c r="DI702" s="26"/>
      <c r="DJ702" s="26"/>
      <c r="DK702" s="26"/>
      <c r="DL702" s="26"/>
      <c r="DM702" s="26"/>
      <c r="DN702" s="26"/>
      <c r="DO702" s="26"/>
      <c r="DP702" s="26"/>
      <c r="DQ702" s="26"/>
      <c r="DR702" s="26"/>
      <c r="DS702" s="26"/>
      <c r="DT702" s="26"/>
      <c r="DU702" s="26"/>
      <c r="DV702" s="26"/>
      <c r="DW702" s="26"/>
      <c r="DX702" s="26"/>
      <c r="DY702" s="26"/>
      <c r="DZ702" s="26"/>
      <c r="EA702" s="26"/>
      <c r="EB702" s="26"/>
      <c r="EC702" s="26"/>
      <c r="ED702" s="26"/>
      <c r="EE702" s="26"/>
      <c r="EF702" s="26"/>
      <c r="EG702" s="26"/>
      <c r="EH702" s="26"/>
      <c r="EI702" s="26"/>
      <c r="EJ702" s="26"/>
      <c r="EK702" s="26"/>
      <c r="EL702" s="26"/>
      <c r="EM702" s="26"/>
      <c r="EN702" s="26"/>
      <c r="EO702" s="26"/>
      <c r="EP702" s="26"/>
      <c r="EQ702" s="26"/>
      <c r="ER702" s="26"/>
      <c r="ES702" s="26"/>
      <c r="ET702" s="26"/>
      <c r="EU702" s="26"/>
      <c r="EV702" s="26"/>
      <c r="EW702" s="26"/>
      <c r="EX702" s="26"/>
      <c r="EY702" s="26"/>
      <c r="EZ702" s="26"/>
      <c r="FA702" s="60"/>
      <c r="FB702" s="60"/>
      <c r="FC702" s="60"/>
      <c r="FD702" s="60"/>
      <c r="FE702" s="60"/>
      <c r="FF702" s="60"/>
      <c r="FG702" s="60"/>
      <c r="FH702" s="60"/>
      <c r="FI702" s="60"/>
      <c r="FJ702" s="60"/>
      <c r="FK702" s="60"/>
      <c r="FL702" s="60"/>
      <c r="FM702" s="60"/>
      <c r="FN702" s="60"/>
      <c r="FO702" s="60"/>
      <c r="FP702" s="60"/>
      <c r="FQ702" s="60"/>
      <c r="FR702" s="60"/>
      <c r="FS702" s="60"/>
      <c r="FT702" s="60"/>
      <c r="FU702" s="60"/>
      <c r="FV702" s="60"/>
      <c r="FW702" s="60"/>
      <c r="FX702" s="60"/>
    </row>
    <row r="703">
      <c r="A703" s="18"/>
      <c r="B703" s="14"/>
      <c r="C703" s="14"/>
      <c r="D703" s="14"/>
      <c r="E703" s="18"/>
      <c r="F703" s="18"/>
      <c r="G703" s="18"/>
      <c r="H703" s="18"/>
      <c r="I703" s="18"/>
      <c r="J703" s="18"/>
      <c r="K703" s="18"/>
      <c r="L703" s="18"/>
      <c r="M703" s="18"/>
      <c r="N703" s="18"/>
      <c r="O703" s="18"/>
      <c r="P703" s="23"/>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26"/>
      <c r="CU703" s="26"/>
      <c r="CV703" s="26"/>
      <c r="CW703" s="26"/>
      <c r="CX703" s="26"/>
      <c r="CY703" s="26"/>
      <c r="CZ703" s="26"/>
      <c r="DA703" s="26"/>
      <c r="DB703" s="26"/>
      <c r="DC703" s="26"/>
      <c r="DD703" s="26"/>
      <c r="DE703" s="26"/>
      <c r="DF703" s="26"/>
      <c r="DG703" s="26"/>
      <c r="DH703" s="26"/>
      <c r="DI703" s="26"/>
      <c r="DJ703" s="26"/>
      <c r="DK703" s="26"/>
      <c r="DL703" s="26"/>
      <c r="DM703" s="26"/>
      <c r="DN703" s="26"/>
      <c r="DO703" s="26"/>
      <c r="DP703" s="26"/>
      <c r="DQ703" s="26"/>
      <c r="DR703" s="26"/>
      <c r="DS703" s="26"/>
      <c r="DT703" s="26"/>
      <c r="DU703" s="26"/>
      <c r="DV703" s="26"/>
      <c r="DW703" s="26"/>
      <c r="DX703" s="26"/>
      <c r="DY703" s="26"/>
      <c r="DZ703" s="26"/>
      <c r="EA703" s="26"/>
      <c r="EB703" s="26"/>
      <c r="EC703" s="26"/>
      <c r="ED703" s="26"/>
      <c r="EE703" s="26"/>
      <c r="EF703" s="26"/>
      <c r="EG703" s="26"/>
      <c r="EH703" s="26"/>
      <c r="EI703" s="26"/>
      <c r="EJ703" s="26"/>
      <c r="EK703" s="26"/>
      <c r="EL703" s="26"/>
      <c r="EM703" s="26"/>
      <c r="EN703" s="26"/>
      <c r="EO703" s="26"/>
      <c r="EP703" s="26"/>
      <c r="EQ703" s="26"/>
      <c r="ER703" s="26"/>
      <c r="ES703" s="26"/>
      <c r="ET703" s="26"/>
      <c r="EU703" s="26"/>
      <c r="EV703" s="26"/>
      <c r="EW703" s="26"/>
      <c r="EX703" s="26"/>
      <c r="EY703" s="26"/>
      <c r="EZ703" s="26"/>
      <c r="FA703" s="60"/>
      <c r="FB703" s="60"/>
      <c r="FC703" s="60"/>
      <c r="FD703" s="60"/>
      <c r="FE703" s="60"/>
      <c r="FF703" s="60"/>
      <c r="FG703" s="60"/>
      <c r="FH703" s="60"/>
      <c r="FI703" s="60"/>
      <c r="FJ703" s="60"/>
      <c r="FK703" s="60"/>
      <c r="FL703" s="60"/>
      <c r="FM703" s="60"/>
      <c r="FN703" s="60"/>
      <c r="FO703" s="60"/>
      <c r="FP703" s="60"/>
      <c r="FQ703" s="60"/>
      <c r="FR703" s="60"/>
      <c r="FS703" s="60"/>
      <c r="FT703" s="60"/>
      <c r="FU703" s="60"/>
      <c r="FV703" s="60"/>
      <c r="FW703" s="60"/>
      <c r="FX703" s="60"/>
    </row>
    <row r="704">
      <c r="A704" s="18"/>
      <c r="B704" s="14"/>
      <c r="C704" s="14"/>
      <c r="D704" s="14"/>
      <c r="E704" s="18"/>
      <c r="F704" s="18"/>
      <c r="G704" s="18"/>
      <c r="H704" s="18"/>
      <c r="I704" s="18"/>
      <c r="J704" s="18"/>
      <c r="K704" s="18"/>
      <c r="L704" s="18"/>
      <c r="M704" s="18"/>
      <c r="N704" s="18"/>
      <c r="O704" s="18"/>
      <c r="P704" s="23"/>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26"/>
      <c r="CU704" s="26"/>
      <c r="CV704" s="26"/>
      <c r="CW704" s="26"/>
      <c r="CX704" s="26"/>
      <c r="CY704" s="26"/>
      <c r="CZ704" s="26"/>
      <c r="DA704" s="26"/>
      <c r="DB704" s="26"/>
      <c r="DC704" s="26"/>
      <c r="DD704" s="26"/>
      <c r="DE704" s="26"/>
      <c r="DF704" s="26"/>
      <c r="DG704" s="26"/>
      <c r="DH704" s="26"/>
      <c r="DI704" s="26"/>
      <c r="DJ704" s="26"/>
      <c r="DK704" s="26"/>
      <c r="DL704" s="26"/>
      <c r="DM704" s="26"/>
      <c r="DN704" s="26"/>
      <c r="DO704" s="26"/>
      <c r="DP704" s="26"/>
      <c r="DQ704" s="26"/>
      <c r="DR704" s="26"/>
      <c r="DS704" s="26"/>
      <c r="DT704" s="26"/>
      <c r="DU704" s="26"/>
      <c r="DV704" s="26"/>
      <c r="DW704" s="26"/>
      <c r="DX704" s="26"/>
      <c r="DY704" s="26"/>
      <c r="DZ704" s="26"/>
      <c r="EA704" s="26"/>
      <c r="EB704" s="26"/>
      <c r="EC704" s="26"/>
      <c r="ED704" s="26"/>
      <c r="EE704" s="26"/>
      <c r="EF704" s="26"/>
      <c r="EG704" s="26"/>
      <c r="EH704" s="26"/>
      <c r="EI704" s="26"/>
      <c r="EJ704" s="26"/>
      <c r="EK704" s="26"/>
      <c r="EL704" s="26"/>
      <c r="EM704" s="26"/>
      <c r="EN704" s="26"/>
      <c r="EO704" s="26"/>
      <c r="EP704" s="26"/>
      <c r="EQ704" s="26"/>
      <c r="ER704" s="26"/>
      <c r="ES704" s="26"/>
      <c r="ET704" s="26"/>
      <c r="EU704" s="26"/>
      <c r="EV704" s="26"/>
      <c r="EW704" s="26"/>
      <c r="EX704" s="26"/>
      <c r="EY704" s="26"/>
      <c r="EZ704" s="26"/>
      <c r="FA704" s="60"/>
      <c r="FB704" s="60"/>
      <c r="FC704" s="60"/>
      <c r="FD704" s="60"/>
      <c r="FE704" s="60"/>
      <c r="FF704" s="60"/>
      <c r="FG704" s="60"/>
      <c r="FH704" s="60"/>
      <c r="FI704" s="60"/>
      <c r="FJ704" s="60"/>
      <c r="FK704" s="60"/>
      <c r="FL704" s="60"/>
      <c r="FM704" s="60"/>
      <c r="FN704" s="60"/>
      <c r="FO704" s="60"/>
      <c r="FP704" s="60"/>
      <c r="FQ704" s="60"/>
      <c r="FR704" s="60"/>
      <c r="FS704" s="60"/>
      <c r="FT704" s="60"/>
      <c r="FU704" s="60"/>
      <c r="FV704" s="60"/>
      <c r="FW704" s="60"/>
      <c r="FX704" s="60"/>
    </row>
    <row r="705">
      <c r="A705" s="18"/>
      <c r="B705" s="14"/>
      <c r="C705" s="14"/>
      <c r="D705" s="14"/>
      <c r="E705" s="18"/>
      <c r="F705" s="18"/>
      <c r="G705" s="18"/>
      <c r="H705" s="18"/>
      <c r="I705" s="18"/>
      <c r="J705" s="18"/>
      <c r="K705" s="18"/>
      <c r="L705" s="18"/>
      <c r="M705" s="18"/>
      <c r="N705" s="18"/>
      <c r="O705" s="18"/>
      <c r="P705" s="23"/>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26"/>
      <c r="CU705" s="26"/>
      <c r="CV705" s="26"/>
      <c r="CW705" s="26"/>
      <c r="CX705" s="26"/>
      <c r="CY705" s="26"/>
      <c r="CZ705" s="26"/>
      <c r="DA705" s="26"/>
      <c r="DB705" s="26"/>
      <c r="DC705" s="26"/>
      <c r="DD705" s="26"/>
      <c r="DE705" s="26"/>
      <c r="DF705" s="26"/>
      <c r="DG705" s="26"/>
      <c r="DH705" s="26"/>
      <c r="DI705" s="26"/>
      <c r="DJ705" s="26"/>
      <c r="DK705" s="26"/>
      <c r="DL705" s="26"/>
      <c r="DM705" s="26"/>
      <c r="DN705" s="26"/>
      <c r="DO705" s="26"/>
      <c r="DP705" s="26"/>
      <c r="DQ705" s="26"/>
      <c r="DR705" s="26"/>
      <c r="DS705" s="26"/>
      <c r="DT705" s="26"/>
      <c r="DU705" s="26"/>
      <c r="DV705" s="26"/>
      <c r="DW705" s="26"/>
      <c r="DX705" s="26"/>
      <c r="DY705" s="26"/>
      <c r="DZ705" s="26"/>
      <c r="EA705" s="26"/>
      <c r="EB705" s="26"/>
      <c r="EC705" s="26"/>
      <c r="ED705" s="26"/>
      <c r="EE705" s="26"/>
      <c r="EF705" s="26"/>
      <c r="EG705" s="26"/>
      <c r="EH705" s="26"/>
      <c r="EI705" s="26"/>
      <c r="EJ705" s="26"/>
      <c r="EK705" s="26"/>
      <c r="EL705" s="26"/>
      <c r="EM705" s="26"/>
      <c r="EN705" s="26"/>
      <c r="EO705" s="26"/>
      <c r="EP705" s="26"/>
      <c r="EQ705" s="26"/>
      <c r="ER705" s="26"/>
      <c r="ES705" s="26"/>
      <c r="ET705" s="26"/>
      <c r="EU705" s="26"/>
      <c r="EV705" s="26"/>
      <c r="EW705" s="26"/>
      <c r="EX705" s="26"/>
      <c r="EY705" s="26"/>
      <c r="EZ705" s="26"/>
      <c r="FA705" s="60"/>
      <c r="FB705" s="60"/>
      <c r="FC705" s="60"/>
      <c r="FD705" s="60"/>
      <c r="FE705" s="60"/>
      <c r="FF705" s="60"/>
      <c r="FG705" s="60"/>
      <c r="FH705" s="60"/>
      <c r="FI705" s="60"/>
      <c r="FJ705" s="60"/>
      <c r="FK705" s="60"/>
      <c r="FL705" s="60"/>
      <c r="FM705" s="60"/>
      <c r="FN705" s="60"/>
      <c r="FO705" s="60"/>
      <c r="FP705" s="60"/>
      <c r="FQ705" s="60"/>
      <c r="FR705" s="60"/>
      <c r="FS705" s="60"/>
      <c r="FT705" s="60"/>
      <c r="FU705" s="60"/>
      <c r="FV705" s="60"/>
      <c r="FW705" s="60"/>
      <c r="FX705" s="60"/>
    </row>
    <row r="706">
      <c r="A706" s="18"/>
      <c r="B706" s="14"/>
      <c r="C706" s="14"/>
      <c r="D706" s="14"/>
      <c r="E706" s="18"/>
      <c r="F706" s="18"/>
      <c r="G706" s="18"/>
      <c r="H706" s="18"/>
      <c r="I706" s="18"/>
      <c r="J706" s="18"/>
      <c r="K706" s="18"/>
      <c r="L706" s="18"/>
      <c r="M706" s="18"/>
      <c r="N706" s="18"/>
      <c r="O706" s="18"/>
      <c r="P706" s="23"/>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26"/>
      <c r="CU706" s="26"/>
      <c r="CV706" s="26"/>
      <c r="CW706" s="26"/>
      <c r="CX706" s="26"/>
      <c r="CY706" s="26"/>
      <c r="CZ706" s="26"/>
      <c r="DA706" s="26"/>
      <c r="DB706" s="26"/>
      <c r="DC706" s="26"/>
      <c r="DD706" s="26"/>
      <c r="DE706" s="26"/>
      <c r="DF706" s="26"/>
      <c r="DG706" s="26"/>
      <c r="DH706" s="26"/>
      <c r="DI706" s="26"/>
      <c r="DJ706" s="26"/>
      <c r="DK706" s="26"/>
      <c r="DL706" s="26"/>
      <c r="DM706" s="26"/>
      <c r="DN706" s="26"/>
      <c r="DO706" s="26"/>
      <c r="DP706" s="26"/>
      <c r="DQ706" s="26"/>
      <c r="DR706" s="26"/>
      <c r="DS706" s="26"/>
      <c r="DT706" s="26"/>
      <c r="DU706" s="26"/>
      <c r="DV706" s="26"/>
      <c r="DW706" s="26"/>
      <c r="DX706" s="26"/>
      <c r="DY706" s="26"/>
      <c r="DZ706" s="26"/>
      <c r="EA706" s="26"/>
      <c r="EB706" s="26"/>
      <c r="EC706" s="26"/>
      <c r="ED706" s="26"/>
      <c r="EE706" s="26"/>
      <c r="EF706" s="26"/>
      <c r="EG706" s="26"/>
      <c r="EH706" s="26"/>
      <c r="EI706" s="26"/>
      <c r="EJ706" s="26"/>
      <c r="EK706" s="26"/>
      <c r="EL706" s="26"/>
      <c r="EM706" s="26"/>
      <c r="EN706" s="26"/>
      <c r="EO706" s="26"/>
      <c r="EP706" s="26"/>
      <c r="EQ706" s="26"/>
      <c r="ER706" s="26"/>
      <c r="ES706" s="26"/>
      <c r="ET706" s="26"/>
      <c r="EU706" s="26"/>
      <c r="EV706" s="26"/>
      <c r="EW706" s="26"/>
      <c r="EX706" s="26"/>
      <c r="EY706" s="26"/>
      <c r="EZ706" s="26"/>
      <c r="FA706" s="60"/>
      <c r="FB706" s="60"/>
      <c r="FC706" s="60"/>
      <c r="FD706" s="60"/>
      <c r="FE706" s="60"/>
      <c r="FF706" s="60"/>
      <c r="FG706" s="60"/>
      <c r="FH706" s="60"/>
      <c r="FI706" s="60"/>
      <c r="FJ706" s="60"/>
      <c r="FK706" s="60"/>
      <c r="FL706" s="60"/>
      <c r="FM706" s="60"/>
      <c r="FN706" s="60"/>
      <c r="FO706" s="60"/>
      <c r="FP706" s="60"/>
      <c r="FQ706" s="60"/>
      <c r="FR706" s="60"/>
      <c r="FS706" s="60"/>
      <c r="FT706" s="60"/>
      <c r="FU706" s="60"/>
      <c r="FV706" s="60"/>
      <c r="FW706" s="60"/>
      <c r="FX706" s="60"/>
    </row>
    <row r="707">
      <c r="A707" s="18"/>
      <c r="B707" s="14"/>
      <c r="C707" s="14"/>
      <c r="D707" s="14"/>
      <c r="E707" s="18"/>
      <c r="F707" s="18"/>
      <c r="G707" s="18"/>
      <c r="H707" s="18"/>
      <c r="I707" s="18"/>
      <c r="J707" s="18"/>
      <c r="K707" s="18"/>
      <c r="L707" s="18"/>
      <c r="M707" s="18"/>
      <c r="N707" s="18"/>
      <c r="O707" s="18"/>
      <c r="P707" s="23"/>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26"/>
      <c r="CU707" s="26"/>
      <c r="CV707" s="26"/>
      <c r="CW707" s="26"/>
      <c r="CX707" s="26"/>
      <c r="CY707" s="26"/>
      <c r="CZ707" s="26"/>
      <c r="DA707" s="26"/>
      <c r="DB707" s="26"/>
      <c r="DC707" s="26"/>
      <c r="DD707" s="26"/>
      <c r="DE707" s="26"/>
      <c r="DF707" s="26"/>
      <c r="DG707" s="26"/>
      <c r="DH707" s="26"/>
      <c r="DI707" s="26"/>
      <c r="DJ707" s="26"/>
      <c r="DK707" s="26"/>
      <c r="DL707" s="26"/>
      <c r="DM707" s="26"/>
      <c r="DN707" s="26"/>
      <c r="DO707" s="26"/>
      <c r="DP707" s="26"/>
      <c r="DQ707" s="26"/>
      <c r="DR707" s="26"/>
      <c r="DS707" s="26"/>
      <c r="DT707" s="26"/>
      <c r="DU707" s="26"/>
      <c r="DV707" s="26"/>
      <c r="DW707" s="26"/>
      <c r="DX707" s="26"/>
      <c r="DY707" s="26"/>
      <c r="DZ707" s="26"/>
      <c r="EA707" s="26"/>
      <c r="EB707" s="26"/>
      <c r="EC707" s="26"/>
      <c r="ED707" s="26"/>
      <c r="EE707" s="26"/>
      <c r="EF707" s="26"/>
      <c r="EG707" s="26"/>
      <c r="EH707" s="26"/>
      <c r="EI707" s="26"/>
      <c r="EJ707" s="26"/>
      <c r="EK707" s="26"/>
      <c r="EL707" s="26"/>
      <c r="EM707" s="26"/>
      <c r="EN707" s="26"/>
      <c r="EO707" s="26"/>
      <c r="EP707" s="26"/>
      <c r="EQ707" s="26"/>
      <c r="ER707" s="26"/>
      <c r="ES707" s="26"/>
      <c r="ET707" s="26"/>
      <c r="EU707" s="26"/>
      <c r="EV707" s="26"/>
      <c r="EW707" s="26"/>
      <c r="EX707" s="26"/>
      <c r="EY707" s="26"/>
      <c r="EZ707" s="26"/>
      <c r="FA707" s="60"/>
      <c r="FB707" s="60"/>
      <c r="FC707" s="60"/>
      <c r="FD707" s="60"/>
      <c r="FE707" s="60"/>
      <c r="FF707" s="60"/>
      <c r="FG707" s="60"/>
      <c r="FH707" s="60"/>
      <c r="FI707" s="60"/>
      <c r="FJ707" s="60"/>
      <c r="FK707" s="60"/>
      <c r="FL707" s="60"/>
      <c r="FM707" s="60"/>
      <c r="FN707" s="60"/>
      <c r="FO707" s="60"/>
      <c r="FP707" s="60"/>
      <c r="FQ707" s="60"/>
      <c r="FR707" s="60"/>
      <c r="FS707" s="60"/>
      <c r="FT707" s="60"/>
      <c r="FU707" s="60"/>
      <c r="FV707" s="60"/>
      <c r="FW707" s="60"/>
      <c r="FX707" s="60"/>
    </row>
    <row r="708">
      <c r="A708" s="18"/>
      <c r="B708" s="14"/>
      <c r="C708" s="14"/>
      <c r="D708" s="14"/>
      <c r="E708" s="18"/>
      <c r="F708" s="18"/>
      <c r="G708" s="18"/>
      <c r="H708" s="18"/>
      <c r="I708" s="18"/>
      <c r="J708" s="18"/>
      <c r="K708" s="18"/>
      <c r="L708" s="18"/>
      <c r="M708" s="18"/>
      <c r="N708" s="18"/>
      <c r="O708" s="18"/>
      <c r="P708" s="23"/>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26"/>
      <c r="CU708" s="26"/>
      <c r="CV708" s="26"/>
      <c r="CW708" s="26"/>
      <c r="CX708" s="26"/>
      <c r="CY708" s="26"/>
      <c r="CZ708" s="26"/>
      <c r="DA708" s="26"/>
      <c r="DB708" s="26"/>
      <c r="DC708" s="26"/>
      <c r="DD708" s="26"/>
      <c r="DE708" s="26"/>
      <c r="DF708" s="26"/>
      <c r="DG708" s="26"/>
      <c r="DH708" s="26"/>
      <c r="DI708" s="26"/>
      <c r="DJ708" s="26"/>
      <c r="DK708" s="26"/>
      <c r="DL708" s="26"/>
      <c r="DM708" s="26"/>
      <c r="DN708" s="26"/>
      <c r="DO708" s="26"/>
      <c r="DP708" s="26"/>
      <c r="DQ708" s="26"/>
      <c r="DR708" s="26"/>
      <c r="DS708" s="26"/>
      <c r="DT708" s="26"/>
      <c r="DU708" s="26"/>
      <c r="DV708" s="26"/>
      <c r="DW708" s="26"/>
      <c r="DX708" s="26"/>
      <c r="DY708" s="26"/>
      <c r="DZ708" s="26"/>
      <c r="EA708" s="26"/>
      <c r="EB708" s="26"/>
      <c r="EC708" s="26"/>
      <c r="ED708" s="26"/>
      <c r="EE708" s="26"/>
      <c r="EF708" s="26"/>
      <c r="EG708" s="26"/>
      <c r="EH708" s="26"/>
      <c r="EI708" s="26"/>
      <c r="EJ708" s="26"/>
      <c r="EK708" s="26"/>
      <c r="EL708" s="26"/>
      <c r="EM708" s="26"/>
      <c r="EN708" s="26"/>
      <c r="EO708" s="26"/>
      <c r="EP708" s="26"/>
      <c r="EQ708" s="26"/>
      <c r="ER708" s="26"/>
      <c r="ES708" s="26"/>
      <c r="ET708" s="26"/>
      <c r="EU708" s="26"/>
      <c r="EV708" s="26"/>
      <c r="EW708" s="26"/>
      <c r="EX708" s="26"/>
      <c r="EY708" s="26"/>
      <c r="EZ708" s="26"/>
      <c r="FA708" s="60"/>
      <c r="FB708" s="60"/>
      <c r="FC708" s="60"/>
      <c r="FD708" s="60"/>
      <c r="FE708" s="60"/>
      <c r="FF708" s="60"/>
      <c r="FG708" s="60"/>
      <c r="FH708" s="60"/>
      <c r="FI708" s="60"/>
      <c r="FJ708" s="60"/>
      <c r="FK708" s="60"/>
      <c r="FL708" s="60"/>
      <c r="FM708" s="60"/>
      <c r="FN708" s="60"/>
      <c r="FO708" s="60"/>
      <c r="FP708" s="60"/>
      <c r="FQ708" s="60"/>
      <c r="FR708" s="60"/>
      <c r="FS708" s="60"/>
      <c r="FT708" s="60"/>
      <c r="FU708" s="60"/>
      <c r="FV708" s="60"/>
      <c r="FW708" s="60"/>
      <c r="FX708" s="60"/>
    </row>
    <row r="709">
      <c r="A709" s="18"/>
      <c r="B709" s="14"/>
      <c r="C709" s="14"/>
      <c r="D709" s="14"/>
      <c r="E709" s="18"/>
      <c r="F709" s="18"/>
      <c r="G709" s="18"/>
      <c r="H709" s="18"/>
      <c r="I709" s="18"/>
      <c r="J709" s="18"/>
      <c r="K709" s="18"/>
      <c r="L709" s="18"/>
      <c r="M709" s="18"/>
      <c r="N709" s="18"/>
      <c r="O709" s="18"/>
      <c r="P709" s="23"/>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26"/>
      <c r="CU709" s="26"/>
      <c r="CV709" s="26"/>
      <c r="CW709" s="26"/>
      <c r="CX709" s="26"/>
      <c r="CY709" s="26"/>
      <c r="CZ709" s="26"/>
      <c r="DA709" s="26"/>
      <c r="DB709" s="26"/>
      <c r="DC709" s="26"/>
      <c r="DD709" s="26"/>
      <c r="DE709" s="26"/>
      <c r="DF709" s="26"/>
      <c r="DG709" s="26"/>
      <c r="DH709" s="26"/>
      <c r="DI709" s="26"/>
      <c r="DJ709" s="26"/>
      <c r="DK709" s="26"/>
      <c r="DL709" s="26"/>
      <c r="DM709" s="26"/>
      <c r="DN709" s="26"/>
      <c r="DO709" s="26"/>
      <c r="DP709" s="26"/>
      <c r="DQ709" s="26"/>
      <c r="DR709" s="26"/>
      <c r="DS709" s="26"/>
      <c r="DT709" s="26"/>
      <c r="DU709" s="26"/>
      <c r="DV709" s="26"/>
      <c r="DW709" s="26"/>
      <c r="DX709" s="26"/>
      <c r="DY709" s="26"/>
      <c r="DZ709" s="26"/>
      <c r="EA709" s="26"/>
      <c r="EB709" s="26"/>
      <c r="EC709" s="26"/>
      <c r="ED709" s="26"/>
      <c r="EE709" s="26"/>
      <c r="EF709" s="26"/>
      <c r="EG709" s="26"/>
      <c r="EH709" s="26"/>
      <c r="EI709" s="26"/>
      <c r="EJ709" s="26"/>
      <c r="EK709" s="26"/>
      <c r="EL709" s="26"/>
      <c r="EM709" s="26"/>
      <c r="EN709" s="26"/>
      <c r="EO709" s="26"/>
      <c r="EP709" s="26"/>
      <c r="EQ709" s="26"/>
      <c r="ER709" s="26"/>
      <c r="ES709" s="26"/>
      <c r="ET709" s="26"/>
      <c r="EU709" s="26"/>
      <c r="EV709" s="26"/>
      <c r="EW709" s="26"/>
      <c r="EX709" s="26"/>
      <c r="EY709" s="26"/>
      <c r="EZ709" s="26"/>
      <c r="FA709" s="60"/>
      <c r="FB709" s="60"/>
      <c r="FC709" s="60"/>
      <c r="FD709" s="60"/>
      <c r="FE709" s="60"/>
      <c r="FF709" s="60"/>
      <c r="FG709" s="60"/>
      <c r="FH709" s="60"/>
      <c r="FI709" s="60"/>
      <c r="FJ709" s="60"/>
      <c r="FK709" s="60"/>
      <c r="FL709" s="60"/>
      <c r="FM709" s="60"/>
      <c r="FN709" s="60"/>
      <c r="FO709" s="60"/>
      <c r="FP709" s="60"/>
      <c r="FQ709" s="60"/>
      <c r="FR709" s="60"/>
      <c r="FS709" s="60"/>
      <c r="FT709" s="60"/>
      <c r="FU709" s="60"/>
      <c r="FV709" s="60"/>
      <c r="FW709" s="60"/>
      <c r="FX709" s="60"/>
    </row>
    <row r="710">
      <c r="A710" s="18"/>
      <c r="B710" s="14"/>
      <c r="C710" s="14"/>
      <c r="D710" s="14"/>
      <c r="E710" s="18"/>
      <c r="F710" s="18"/>
      <c r="G710" s="18"/>
      <c r="H710" s="18"/>
      <c r="I710" s="18"/>
      <c r="J710" s="18"/>
      <c r="K710" s="18"/>
      <c r="L710" s="18"/>
      <c r="M710" s="18"/>
      <c r="N710" s="18"/>
      <c r="O710" s="18"/>
      <c r="P710" s="23"/>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26"/>
      <c r="CU710" s="26"/>
      <c r="CV710" s="26"/>
      <c r="CW710" s="26"/>
      <c r="CX710" s="26"/>
      <c r="CY710" s="26"/>
      <c r="CZ710" s="26"/>
      <c r="DA710" s="26"/>
      <c r="DB710" s="26"/>
      <c r="DC710" s="26"/>
      <c r="DD710" s="26"/>
      <c r="DE710" s="26"/>
      <c r="DF710" s="26"/>
      <c r="DG710" s="26"/>
      <c r="DH710" s="26"/>
      <c r="DI710" s="26"/>
      <c r="DJ710" s="26"/>
      <c r="DK710" s="26"/>
      <c r="DL710" s="26"/>
      <c r="DM710" s="26"/>
      <c r="DN710" s="26"/>
      <c r="DO710" s="26"/>
      <c r="DP710" s="26"/>
      <c r="DQ710" s="26"/>
      <c r="DR710" s="26"/>
      <c r="DS710" s="26"/>
      <c r="DT710" s="26"/>
      <c r="DU710" s="26"/>
      <c r="DV710" s="26"/>
      <c r="DW710" s="26"/>
      <c r="DX710" s="26"/>
      <c r="DY710" s="26"/>
      <c r="DZ710" s="26"/>
      <c r="EA710" s="26"/>
      <c r="EB710" s="26"/>
      <c r="EC710" s="26"/>
      <c r="ED710" s="26"/>
      <c r="EE710" s="26"/>
      <c r="EF710" s="26"/>
      <c r="EG710" s="26"/>
      <c r="EH710" s="26"/>
      <c r="EI710" s="26"/>
      <c r="EJ710" s="26"/>
      <c r="EK710" s="26"/>
      <c r="EL710" s="26"/>
      <c r="EM710" s="26"/>
      <c r="EN710" s="26"/>
      <c r="EO710" s="26"/>
      <c r="EP710" s="26"/>
      <c r="EQ710" s="26"/>
      <c r="ER710" s="26"/>
      <c r="ES710" s="26"/>
      <c r="ET710" s="26"/>
      <c r="EU710" s="26"/>
      <c r="EV710" s="26"/>
      <c r="EW710" s="26"/>
      <c r="EX710" s="26"/>
      <c r="EY710" s="26"/>
      <c r="EZ710" s="26"/>
      <c r="FA710" s="60"/>
      <c r="FB710" s="60"/>
      <c r="FC710" s="60"/>
      <c r="FD710" s="60"/>
      <c r="FE710" s="60"/>
      <c r="FF710" s="60"/>
      <c r="FG710" s="60"/>
      <c r="FH710" s="60"/>
      <c r="FI710" s="60"/>
      <c r="FJ710" s="60"/>
      <c r="FK710" s="60"/>
      <c r="FL710" s="60"/>
      <c r="FM710" s="60"/>
      <c r="FN710" s="60"/>
      <c r="FO710" s="60"/>
      <c r="FP710" s="60"/>
      <c r="FQ710" s="60"/>
      <c r="FR710" s="60"/>
      <c r="FS710" s="60"/>
      <c r="FT710" s="60"/>
      <c r="FU710" s="60"/>
      <c r="FV710" s="60"/>
      <c r="FW710" s="60"/>
      <c r="FX710" s="60"/>
    </row>
    <row r="711">
      <c r="A711" s="18"/>
      <c r="B711" s="14"/>
      <c r="C711" s="14"/>
      <c r="D711" s="14"/>
      <c r="E711" s="18"/>
      <c r="F711" s="18"/>
      <c r="G711" s="18"/>
      <c r="H711" s="18"/>
      <c r="I711" s="18"/>
      <c r="J711" s="18"/>
      <c r="K711" s="18"/>
      <c r="L711" s="18"/>
      <c r="M711" s="18"/>
      <c r="N711" s="18"/>
      <c r="O711" s="18"/>
      <c r="P711" s="23"/>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26"/>
      <c r="CU711" s="26"/>
      <c r="CV711" s="26"/>
      <c r="CW711" s="26"/>
      <c r="CX711" s="26"/>
      <c r="CY711" s="26"/>
      <c r="CZ711" s="26"/>
      <c r="DA711" s="26"/>
      <c r="DB711" s="26"/>
      <c r="DC711" s="26"/>
      <c r="DD711" s="26"/>
      <c r="DE711" s="26"/>
      <c r="DF711" s="26"/>
      <c r="DG711" s="26"/>
      <c r="DH711" s="26"/>
      <c r="DI711" s="26"/>
      <c r="DJ711" s="26"/>
      <c r="DK711" s="26"/>
      <c r="DL711" s="26"/>
      <c r="DM711" s="26"/>
      <c r="DN711" s="26"/>
      <c r="DO711" s="26"/>
      <c r="DP711" s="26"/>
      <c r="DQ711" s="26"/>
      <c r="DR711" s="26"/>
      <c r="DS711" s="26"/>
      <c r="DT711" s="26"/>
      <c r="DU711" s="26"/>
      <c r="DV711" s="26"/>
      <c r="DW711" s="26"/>
      <c r="DX711" s="26"/>
      <c r="DY711" s="26"/>
      <c r="DZ711" s="26"/>
      <c r="EA711" s="26"/>
      <c r="EB711" s="26"/>
      <c r="EC711" s="26"/>
      <c r="ED711" s="26"/>
      <c r="EE711" s="26"/>
      <c r="EF711" s="26"/>
      <c r="EG711" s="26"/>
      <c r="EH711" s="26"/>
      <c r="EI711" s="26"/>
      <c r="EJ711" s="26"/>
      <c r="EK711" s="26"/>
      <c r="EL711" s="26"/>
      <c r="EM711" s="26"/>
      <c r="EN711" s="26"/>
      <c r="EO711" s="26"/>
      <c r="EP711" s="26"/>
      <c r="EQ711" s="26"/>
      <c r="ER711" s="26"/>
      <c r="ES711" s="26"/>
      <c r="ET711" s="26"/>
      <c r="EU711" s="26"/>
      <c r="EV711" s="26"/>
      <c r="EW711" s="26"/>
      <c r="EX711" s="26"/>
      <c r="EY711" s="26"/>
      <c r="EZ711" s="26"/>
      <c r="FA711" s="60"/>
      <c r="FB711" s="60"/>
      <c r="FC711" s="60"/>
      <c r="FD711" s="60"/>
      <c r="FE711" s="60"/>
      <c r="FF711" s="60"/>
      <c r="FG711" s="60"/>
      <c r="FH711" s="60"/>
      <c r="FI711" s="60"/>
      <c r="FJ711" s="60"/>
      <c r="FK711" s="60"/>
      <c r="FL711" s="60"/>
      <c r="FM711" s="60"/>
      <c r="FN711" s="60"/>
      <c r="FO711" s="60"/>
      <c r="FP711" s="60"/>
      <c r="FQ711" s="60"/>
      <c r="FR711" s="60"/>
      <c r="FS711" s="60"/>
      <c r="FT711" s="60"/>
      <c r="FU711" s="60"/>
      <c r="FV711" s="60"/>
      <c r="FW711" s="60"/>
      <c r="FX711" s="60"/>
    </row>
    <row r="712">
      <c r="A712" s="18"/>
      <c r="B712" s="14"/>
      <c r="C712" s="14"/>
      <c r="D712" s="14"/>
      <c r="E712" s="18"/>
      <c r="F712" s="18"/>
      <c r="G712" s="18"/>
      <c r="H712" s="18"/>
      <c r="I712" s="18"/>
      <c r="J712" s="18"/>
      <c r="K712" s="18"/>
      <c r="L712" s="18"/>
      <c r="M712" s="18"/>
      <c r="N712" s="18"/>
      <c r="O712" s="18"/>
      <c r="P712" s="23"/>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26"/>
      <c r="CU712" s="26"/>
      <c r="CV712" s="26"/>
      <c r="CW712" s="26"/>
      <c r="CX712" s="26"/>
      <c r="CY712" s="26"/>
      <c r="CZ712" s="26"/>
      <c r="DA712" s="26"/>
      <c r="DB712" s="26"/>
      <c r="DC712" s="26"/>
      <c r="DD712" s="26"/>
      <c r="DE712" s="26"/>
      <c r="DF712" s="26"/>
      <c r="DG712" s="26"/>
      <c r="DH712" s="26"/>
      <c r="DI712" s="26"/>
      <c r="DJ712" s="26"/>
      <c r="DK712" s="26"/>
      <c r="DL712" s="26"/>
      <c r="DM712" s="26"/>
      <c r="DN712" s="26"/>
      <c r="DO712" s="26"/>
      <c r="DP712" s="26"/>
      <c r="DQ712" s="26"/>
      <c r="DR712" s="26"/>
      <c r="DS712" s="26"/>
      <c r="DT712" s="26"/>
      <c r="DU712" s="26"/>
      <c r="DV712" s="26"/>
      <c r="DW712" s="26"/>
      <c r="DX712" s="26"/>
      <c r="DY712" s="26"/>
      <c r="DZ712" s="26"/>
      <c r="EA712" s="26"/>
      <c r="EB712" s="26"/>
      <c r="EC712" s="26"/>
      <c r="ED712" s="26"/>
      <c r="EE712" s="26"/>
      <c r="EF712" s="26"/>
      <c r="EG712" s="26"/>
      <c r="EH712" s="26"/>
      <c r="EI712" s="26"/>
      <c r="EJ712" s="26"/>
      <c r="EK712" s="26"/>
      <c r="EL712" s="26"/>
      <c r="EM712" s="26"/>
      <c r="EN712" s="26"/>
      <c r="EO712" s="26"/>
      <c r="EP712" s="26"/>
      <c r="EQ712" s="26"/>
      <c r="ER712" s="26"/>
      <c r="ES712" s="26"/>
      <c r="ET712" s="26"/>
      <c r="EU712" s="26"/>
      <c r="EV712" s="26"/>
      <c r="EW712" s="26"/>
      <c r="EX712" s="26"/>
      <c r="EY712" s="26"/>
      <c r="EZ712" s="26"/>
      <c r="FA712" s="60"/>
      <c r="FB712" s="60"/>
      <c r="FC712" s="60"/>
      <c r="FD712" s="60"/>
      <c r="FE712" s="60"/>
      <c r="FF712" s="60"/>
      <c r="FG712" s="60"/>
      <c r="FH712" s="60"/>
      <c r="FI712" s="60"/>
      <c r="FJ712" s="60"/>
      <c r="FK712" s="60"/>
      <c r="FL712" s="60"/>
      <c r="FM712" s="60"/>
      <c r="FN712" s="60"/>
      <c r="FO712" s="60"/>
      <c r="FP712" s="60"/>
      <c r="FQ712" s="60"/>
      <c r="FR712" s="60"/>
      <c r="FS712" s="60"/>
      <c r="FT712" s="60"/>
      <c r="FU712" s="60"/>
      <c r="FV712" s="60"/>
      <c r="FW712" s="60"/>
      <c r="FX712" s="60"/>
    </row>
    <row r="713">
      <c r="A713" s="18"/>
      <c r="B713" s="14"/>
      <c r="C713" s="14"/>
      <c r="D713" s="14"/>
      <c r="E713" s="18"/>
      <c r="F713" s="18"/>
      <c r="G713" s="18"/>
      <c r="H713" s="18"/>
      <c r="I713" s="18"/>
      <c r="J713" s="18"/>
      <c r="K713" s="18"/>
      <c r="L713" s="18"/>
      <c r="M713" s="18"/>
      <c r="N713" s="18"/>
      <c r="O713" s="18"/>
      <c r="P713" s="23"/>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26"/>
      <c r="CU713" s="26"/>
      <c r="CV713" s="26"/>
      <c r="CW713" s="26"/>
      <c r="CX713" s="26"/>
      <c r="CY713" s="26"/>
      <c r="CZ713" s="26"/>
      <c r="DA713" s="26"/>
      <c r="DB713" s="26"/>
      <c r="DC713" s="26"/>
      <c r="DD713" s="26"/>
      <c r="DE713" s="26"/>
      <c r="DF713" s="26"/>
      <c r="DG713" s="26"/>
      <c r="DH713" s="26"/>
      <c r="DI713" s="26"/>
      <c r="DJ713" s="26"/>
      <c r="DK713" s="26"/>
      <c r="DL713" s="26"/>
      <c r="DM713" s="26"/>
      <c r="DN713" s="26"/>
      <c r="DO713" s="26"/>
      <c r="DP713" s="26"/>
      <c r="DQ713" s="26"/>
      <c r="DR713" s="26"/>
      <c r="DS713" s="26"/>
      <c r="DT713" s="26"/>
      <c r="DU713" s="26"/>
      <c r="DV713" s="26"/>
      <c r="DW713" s="26"/>
      <c r="DX713" s="26"/>
      <c r="DY713" s="26"/>
      <c r="DZ713" s="26"/>
      <c r="EA713" s="26"/>
      <c r="EB713" s="26"/>
      <c r="EC713" s="26"/>
      <c r="ED713" s="26"/>
      <c r="EE713" s="26"/>
      <c r="EF713" s="26"/>
      <c r="EG713" s="26"/>
      <c r="EH713" s="26"/>
      <c r="EI713" s="26"/>
      <c r="EJ713" s="26"/>
      <c r="EK713" s="26"/>
      <c r="EL713" s="26"/>
      <c r="EM713" s="26"/>
      <c r="EN713" s="26"/>
      <c r="EO713" s="26"/>
      <c r="EP713" s="26"/>
      <c r="EQ713" s="26"/>
      <c r="ER713" s="26"/>
      <c r="ES713" s="26"/>
      <c r="ET713" s="26"/>
      <c r="EU713" s="26"/>
      <c r="EV713" s="26"/>
      <c r="EW713" s="26"/>
      <c r="EX713" s="26"/>
      <c r="EY713" s="26"/>
      <c r="EZ713" s="26"/>
      <c r="FA713" s="60"/>
      <c r="FB713" s="60"/>
      <c r="FC713" s="60"/>
      <c r="FD713" s="60"/>
      <c r="FE713" s="60"/>
      <c r="FF713" s="60"/>
      <c r="FG713" s="60"/>
      <c r="FH713" s="60"/>
      <c r="FI713" s="60"/>
      <c r="FJ713" s="60"/>
      <c r="FK713" s="60"/>
      <c r="FL713" s="60"/>
      <c r="FM713" s="60"/>
      <c r="FN713" s="60"/>
      <c r="FO713" s="60"/>
      <c r="FP713" s="60"/>
      <c r="FQ713" s="60"/>
      <c r="FR713" s="60"/>
      <c r="FS713" s="60"/>
      <c r="FT713" s="60"/>
      <c r="FU713" s="60"/>
      <c r="FV713" s="60"/>
      <c r="FW713" s="60"/>
      <c r="FX713" s="60"/>
    </row>
    <row r="714">
      <c r="A714" s="18"/>
      <c r="B714" s="14"/>
      <c r="C714" s="14"/>
      <c r="D714" s="14"/>
      <c r="E714" s="18"/>
      <c r="F714" s="18"/>
      <c r="G714" s="18"/>
      <c r="H714" s="18"/>
      <c r="I714" s="18"/>
      <c r="J714" s="18"/>
      <c r="K714" s="18"/>
      <c r="L714" s="18"/>
      <c r="M714" s="18"/>
      <c r="N714" s="18"/>
      <c r="O714" s="18"/>
      <c r="P714" s="23"/>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26"/>
      <c r="CU714" s="26"/>
      <c r="CV714" s="26"/>
      <c r="CW714" s="26"/>
      <c r="CX714" s="26"/>
      <c r="CY714" s="26"/>
      <c r="CZ714" s="26"/>
      <c r="DA714" s="26"/>
      <c r="DB714" s="26"/>
      <c r="DC714" s="26"/>
      <c r="DD714" s="26"/>
      <c r="DE714" s="26"/>
      <c r="DF714" s="26"/>
      <c r="DG714" s="26"/>
      <c r="DH714" s="26"/>
      <c r="DI714" s="26"/>
      <c r="DJ714" s="26"/>
      <c r="DK714" s="26"/>
      <c r="DL714" s="26"/>
      <c r="DM714" s="26"/>
      <c r="DN714" s="26"/>
      <c r="DO714" s="26"/>
      <c r="DP714" s="26"/>
      <c r="DQ714" s="26"/>
      <c r="DR714" s="26"/>
      <c r="DS714" s="26"/>
      <c r="DT714" s="26"/>
      <c r="DU714" s="26"/>
      <c r="DV714" s="26"/>
      <c r="DW714" s="26"/>
      <c r="DX714" s="26"/>
      <c r="DY714" s="26"/>
      <c r="DZ714" s="26"/>
      <c r="EA714" s="26"/>
      <c r="EB714" s="26"/>
      <c r="EC714" s="26"/>
      <c r="ED714" s="26"/>
      <c r="EE714" s="26"/>
      <c r="EF714" s="26"/>
      <c r="EG714" s="26"/>
      <c r="EH714" s="26"/>
      <c r="EI714" s="26"/>
      <c r="EJ714" s="26"/>
      <c r="EK714" s="26"/>
      <c r="EL714" s="26"/>
      <c r="EM714" s="26"/>
      <c r="EN714" s="26"/>
      <c r="EO714" s="26"/>
      <c r="EP714" s="26"/>
      <c r="EQ714" s="26"/>
      <c r="ER714" s="26"/>
      <c r="ES714" s="26"/>
      <c r="ET714" s="26"/>
      <c r="EU714" s="26"/>
      <c r="EV714" s="26"/>
      <c r="EW714" s="26"/>
      <c r="EX714" s="26"/>
      <c r="EY714" s="26"/>
      <c r="EZ714" s="26"/>
      <c r="FA714" s="60"/>
      <c r="FB714" s="60"/>
      <c r="FC714" s="60"/>
      <c r="FD714" s="60"/>
      <c r="FE714" s="60"/>
      <c r="FF714" s="60"/>
      <c r="FG714" s="60"/>
      <c r="FH714" s="60"/>
      <c r="FI714" s="60"/>
      <c r="FJ714" s="60"/>
      <c r="FK714" s="60"/>
      <c r="FL714" s="60"/>
      <c r="FM714" s="60"/>
      <c r="FN714" s="60"/>
      <c r="FO714" s="60"/>
      <c r="FP714" s="60"/>
      <c r="FQ714" s="60"/>
      <c r="FR714" s="60"/>
      <c r="FS714" s="60"/>
      <c r="FT714" s="60"/>
      <c r="FU714" s="60"/>
      <c r="FV714" s="60"/>
      <c r="FW714" s="60"/>
      <c r="FX714" s="60"/>
    </row>
    <row r="715">
      <c r="A715" s="18"/>
      <c r="B715" s="14"/>
      <c r="C715" s="14"/>
      <c r="D715" s="14"/>
      <c r="E715" s="18"/>
      <c r="F715" s="18"/>
      <c r="G715" s="18"/>
      <c r="H715" s="18"/>
      <c r="I715" s="18"/>
      <c r="J715" s="18"/>
      <c r="K715" s="18"/>
      <c r="L715" s="18"/>
      <c r="M715" s="18"/>
      <c r="N715" s="18"/>
      <c r="O715" s="18"/>
      <c r="P715" s="23"/>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26"/>
      <c r="CU715" s="26"/>
      <c r="CV715" s="26"/>
      <c r="CW715" s="26"/>
      <c r="CX715" s="26"/>
      <c r="CY715" s="26"/>
      <c r="CZ715" s="26"/>
      <c r="DA715" s="26"/>
      <c r="DB715" s="26"/>
      <c r="DC715" s="26"/>
      <c r="DD715" s="26"/>
      <c r="DE715" s="26"/>
      <c r="DF715" s="26"/>
      <c r="DG715" s="26"/>
      <c r="DH715" s="26"/>
      <c r="DI715" s="26"/>
      <c r="DJ715" s="26"/>
      <c r="DK715" s="26"/>
      <c r="DL715" s="26"/>
      <c r="DM715" s="26"/>
      <c r="DN715" s="26"/>
      <c r="DO715" s="26"/>
      <c r="DP715" s="26"/>
      <c r="DQ715" s="26"/>
      <c r="DR715" s="26"/>
      <c r="DS715" s="26"/>
      <c r="DT715" s="26"/>
      <c r="DU715" s="26"/>
      <c r="DV715" s="26"/>
      <c r="DW715" s="26"/>
      <c r="DX715" s="26"/>
      <c r="DY715" s="26"/>
      <c r="DZ715" s="26"/>
      <c r="EA715" s="26"/>
      <c r="EB715" s="26"/>
      <c r="EC715" s="26"/>
      <c r="ED715" s="26"/>
      <c r="EE715" s="26"/>
      <c r="EF715" s="26"/>
      <c r="EG715" s="26"/>
      <c r="EH715" s="26"/>
      <c r="EI715" s="26"/>
      <c r="EJ715" s="26"/>
      <c r="EK715" s="26"/>
      <c r="EL715" s="26"/>
      <c r="EM715" s="26"/>
      <c r="EN715" s="26"/>
      <c r="EO715" s="26"/>
      <c r="EP715" s="26"/>
      <c r="EQ715" s="26"/>
      <c r="ER715" s="26"/>
      <c r="ES715" s="26"/>
      <c r="ET715" s="26"/>
      <c r="EU715" s="26"/>
      <c r="EV715" s="26"/>
      <c r="EW715" s="26"/>
      <c r="EX715" s="26"/>
      <c r="EY715" s="26"/>
      <c r="EZ715" s="26"/>
      <c r="FA715" s="60"/>
      <c r="FB715" s="60"/>
      <c r="FC715" s="60"/>
      <c r="FD715" s="60"/>
      <c r="FE715" s="60"/>
      <c r="FF715" s="60"/>
      <c r="FG715" s="60"/>
      <c r="FH715" s="60"/>
      <c r="FI715" s="60"/>
      <c r="FJ715" s="60"/>
      <c r="FK715" s="60"/>
      <c r="FL715" s="60"/>
      <c r="FM715" s="60"/>
      <c r="FN715" s="60"/>
      <c r="FO715" s="60"/>
      <c r="FP715" s="60"/>
      <c r="FQ715" s="60"/>
      <c r="FR715" s="60"/>
      <c r="FS715" s="60"/>
      <c r="FT715" s="60"/>
      <c r="FU715" s="60"/>
      <c r="FV715" s="60"/>
      <c r="FW715" s="60"/>
      <c r="FX715" s="60"/>
    </row>
    <row r="716">
      <c r="A716" s="18"/>
      <c r="B716" s="14"/>
      <c r="C716" s="14"/>
      <c r="D716" s="14"/>
      <c r="E716" s="18"/>
      <c r="F716" s="18"/>
      <c r="G716" s="18"/>
      <c r="H716" s="18"/>
      <c r="I716" s="18"/>
      <c r="J716" s="18"/>
      <c r="K716" s="18"/>
      <c r="L716" s="18"/>
      <c r="M716" s="18"/>
      <c r="N716" s="18"/>
      <c r="O716" s="18"/>
      <c r="P716" s="23"/>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26"/>
      <c r="CU716" s="26"/>
      <c r="CV716" s="26"/>
      <c r="CW716" s="26"/>
      <c r="CX716" s="26"/>
      <c r="CY716" s="26"/>
      <c r="CZ716" s="26"/>
      <c r="DA716" s="26"/>
      <c r="DB716" s="26"/>
      <c r="DC716" s="26"/>
      <c r="DD716" s="26"/>
      <c r="DE716" s="26"/>
      <c r="DF716" s="26"/>
      <c r="DG716" s="26"/>
      <c r="DH716" s="26"/>
      <c r="DI716" s="26"/>
      <c r="DJ716" s="26"/>
      <c r="DK716" s="26"/>
      <c r="DL716" s="26"/>
      <c r="DM716" s="26"/>
      <c r="DN716" s="26"/>
      <c r="DO716" s="26"/>
      <c r="DP716" s="26"/>
      <c r="DQ716" s="26"/>
      <c r="DR716" s="26"/>
      <c r="DS716" s="26"/>
      <c r="DT716" s="26"/>
      <c r="DU716" s="26"/>
      <c r="DV716" s="26"/>
      <c r="DW716" s="26"/>
      <c r="DX716" s="26"/>
      <c r="DY716" s="26"/>
      <c r="DZ716" s="26"/>
      <c r="EA716" s="26"/>
      <c r="EB716" s="26"/>
      <c r="EC716" s="26"/>
      <c r="ED716" s="26"/>
      <c r="EE716" s="26"/>
      <c r="EF716" s="26"/>
      <c r="EG716" s="26"/>
      <c r="EH716" s="26"/>
      <c r="EI716" s="26"/>
      <c r="EJ716" s="26"/>
      <c r="EK716" s="26"/>
      <c r="EL716" s="26"/>
      <c r="EM716" s="26"/>
      <c r="EN716" s="26"/>
      <c r="EO716" s="26"/>
      <c r="EP716" s="26"/>
      <c r="EQ716" s="26"/>
      <c r="ER716" s="26"/>
      <c r="ES716" s="26"/>
      <c r="ET716" s="26"/>
      <c r="EU716" s="26"/>
      <c r="EV716" s="26"/>
      <c r="EW716" s="26"/>
      <c r="EX716" s="26"/>
      <c r="EY716" s="26"/>
      <c r="EZ716" s="26"/>
      <c r="FA716" s="60"/>
      <c r="FB716" s="60"/>
      <c r="FC716" s="60"/>
      <c r="FD716" s="60"/>
      <c r="FE716" s="60"/>
      <c r="FF716" s="60"/>
      <c r="FG716" s="60"/>
      <c r="FH716" s="60"/>
      <c r="FI716" s="60"/>
      <c r="FJ716" s="60"/>
      <c r="FK716" s="60"/>
      <c r="FL716" s="60"/>
      <c r="FM716" s="60"/>
      <c r="FN716" s="60"/>
      <c r="FO716" s="60"/>
      <c r="FP716" s="60"/>
      <c r="FQ716" s="60"/>
      <c r="FR716" s="60"/>
      <c r="FS716" s="60"/>
      <c r="FT716" s="60"/>
      <c r="FU716" s="60"/>
      <c r="FV716" s="60"/>
      <c r="FW716" s="60"/>
      <c r="FX716" s="60"/>
    </row>
    <row r="717">
      <c r="A717" s="18"/>
      <c r="B717" s="14"/>
      <c r="C717" s="14"/>
      <c r="D717" s="14"/>
      <c r="E717" s="18"/>
      <c r="F717" s="18"/>
      <c r="G717" s="18"/>
      <c r="H717" s="18"/>
      <c r="I717" s="18"/>
      <c r="J717" s="18"/>
      <c r="K717" s="18"/>
      <c r="L717" s="18"/>
      <c r="M717" s="18"/>
      <c r="N717" s="18"/>
      <c r="O717" s="18"/>
      <c r="P717" s="23"/>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26"/>
      <c r="CU717" s="26"/>
      <c r="CV717" s="26"/>
      <c r="CW717" s="26"/>
      <c r="CX717" s="26"/>
      <c r="CY717" s="26"/>
      <c r="CZ717" s="26"/>
      <c r="DA717" s="26"/>
      <c r="DB717" s="26"/>
      <c r="DC717" s="26"/>
      <c r="DD717" s="26"/>
      <c r="DE717" s="26"/>
      <c r="DF717" s="26"/>
      <c r="DG717" s="26"/>
      <c r="DH717" s="26"/>
      <c r="DI717" s="26"/>
      <c r="DJ717" s="26"/>
      <c r="DK717" s="26"/>
      <c r="DL717" s="26"/>
      <c r="DM717" s="26"/>
      <c r="DN717" s="26"/>
      <c r="DO717" s="26"/>
      <c r="DP717" s="26"/>
      <c r="DQ717" s="26"/>
      <c r="DR717" s="26"/>
      <c r="DS717" s="26"/>
      <c r="DT717" s="26"/>
      <c r="DU717" s="26"/>
      <c r="DV717" s="26"/>
      <c r="DW717" s="26"/>
      <c r="DX717" s="26"/>
      <c r="DY717" s="26"/>
      <c r="DZ717" s="26"/>
      <c r="EA717" s="26"/>
      <c r="EB717" s="26"/>
      <c r="EC717" s="26"/>
      <c r="ED717" s="26"/>
      <c r="EE717" s="26"/>
      <c r="EF717" s="26"/>
      <c r="EG717" s="26"/>
      <c r="EH717" s="26"/>
      <c r="EI717" s="26"/>
      <c r="EJ717" s="26"/>
      <c r="EK717" s="26"/>
      <c r="EL717" s="26"/>
      <c r="EM717" s="26"/>
      <c r="EN717" s="26"/>
      <c r="EO717" s="26"/>
      <c r="EP717" s="26"/>
      <c r="EQ717" s="26"/>
      <c r="ER717" s="26"/>
      <c r="ES717" s="26"/>
      <c r="ET717" s="26"/>
      <c r="EU717" s="26"/>
      <c r="EV717" s="26"/>
      <c r="EW717" s="26"/>
      <c r="EX717" s="26"/>
      <c r="EY717" s="26"/>
      <c r="EZ717" s="26"/>
      <c r="FA717" s="60"/>
      <c r="FB717" s="60"/>
      <c r="FC717" s="60"/>
      <c r="FD717" s="60"/>
      <c r="FE717" s="60"/>
      <c r="FF717" s="60"/>
      <c r="FG717" s="60"/>
      <c r="FH717" s="60"/>
      <c r="FI717" s="60"/>
      <c r="FJ717" s="60"/>
      <c r="FK717" s="60"/>
      <c r="FL717" s="60"/>
      <c r="FM717" s="60"/>
      <c r="FN717" s="60"/>
      <c r="FO717" s="60"/>
      <c r="FP717" s="60"/>
      <c r="FQ717" s="60"/>
      <c r="FR717" s="60"/>
      <c r="FS717" s="60"/>
      <c r="FT717" s="60"/>
      <c r="FU717" s="60"/>
      <c r="FV717" s="60"/>
      <c r="FW717" s="60"/>
      <c r="FX717" s="60"/>
    </row>
    <row r="718">
      <c r="A718" s="18"/>
      <c r="B718" s="14"/>
      <c r="C718" s="14"/>
      <c r="D718" s="14"/>
      <c r="E718" s="18"/>
      <c r="F718" s="18"/>
      <c r="G718" s="18"/>
      <c r="H718" s="18"/>
      <c r="I718" s="18"/>
      <c r="J718" s="18"/>
      <c r="K718" s="18"/>
      <c r="L718" s="18"/>
      <c r="M718" s="18"/>
      <c r="N718" s="18"/>
      <c r="O718" s="18"/>
      <c r="P718" s="23"/>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26"/>
      <c r="CU718" s="26"/>
      <c r="CV718" s="26"/>
      <c r="CW718" s="26"/>
      <c r="CX718" s="26"/>
      <c r="CY718" s="26"/>
      <c r="CZ718" s="26"/>
      <c r="DA718" s="26"/>
      <c r="DB718" s="26"/>
      <c r="DC718" s="26"/>
      <c r="DD718" s="26"/>
      <c r="DE718" s="26"/>
      <c r="DF718" s="26"/>
      <c r="DG718" s="26"/>
      <c r="DH718" s="26"/>
      <c r="DI718" s="26"/>
      <c r="DJ718" s="26"/>
      <c r="DK718" s="26"/>
      <c r="DL718" s="26"/>
      <c r="DM718" s="26"/>
      <c r="DN718" s="26"/>
      <c r="DO718" s="26"/>
      <c r="DP718" s="26"/>
      <c r="DQ718" s="26"/>
      <c r="DR718" s="26"/>
      <c r="DS718" s="26"/>
      <c r="DT718" s="26"/>
      <c r="DU718" s="26"/>
      <c r="DV718" s="26"/>
      <c r="DW718" s="26"/>
      <c r="DX718" s="26"/>
      <c r="DY718" s="26"/>
      <c r="DZ718" s="26"/>
      <c r="EA718" s="26"/>
      <c r="EB718" s="26"/>
      <c r="EC718" s="26"/>
      <c r="ED718" s="26"/>
      <c r="EE718" s="26"/>
      <c r="EF718" s="26"/>
      <c r="EG718" s="26"/>
      <c r="EH718" s="26"/>
      <c r="EI718" s="26"/>
      <c r="EJ718" s="26"/>
      <c r="EK718" s="26"/>
      <c r="EL718" s="26"/>
      <c r="EM718" s="26"/>
      <c r="EN718" s="26"/>
      <c r="EO718" s="26"/>
      <c r="EP718" s="26"/>
      <c r="EQ718" s="26"/>
      <c r="ER718" s="26"/>
      <c r="ES718" s="26"/>
      <c r="ET718" s="26"/>
      <c r="EU718" s="26"/>
      <c r="EV718" s="26"/>
      <c r="EW718" s="26"/>
      <c r="EX718" s="26"/>
      <c r="EY718" s="26"/>
      <c r="EZ718" s="26"/>
      <c r="FA718" s="60"/>
      <c r="FB718" s="60"/>
      <c r="FC718" s="60"/>
      <c r="FD718" s="60"/>
      <c r="FE718" s="60"/>
      <c r="FF718" s="60"/>
      <c r="FG718" s="60"/>
      <c r="FH718" s="60"/>
      <c r="FI718" s="60"/>
      <c r="FJ718" s="60"/>
      <c r="FK718" s="60"/>
      <c r="FL718" s="60"/>
      <c r="FM718" s="60"/>
      <c r="FN718" s="60"/>
      <c r="FO718" s="60"/>
      <c r="FP718" s="60"/>
      <c r="FQ718" s="60"/>
      <c r="FR718" s="60"/>
      <c r="FS718" s="60"/>
      <c r="FT718" s="60"/>
      <c r="FU718" s="60"/>
      <c r="FV718" s="60"/>
      <c r="FW718" s="60"/>
      <c r="FX718" s="60"/>
    </row>
    <row r="719">
      <c r="A719" s="18"/>
      <c r="B719" s="14"/>
      <c r="C719" s="14"/>
      <c r="D719" s="14"/>
      <c r="E719" s="18"/>
      <c r="F719" s="18"/>
      <c r="G719" s="18"/>
      <c r="H719" s="18"/>
      <c r="I719" s="18"/>
      <c r="J719" s="18"/>
      <c r="K719" s="18"/>
      <c r="L719" s="18"/>
      <c r="M719" s="18"/>
      <c r="N719" s="18"/>
      <c r="O719" s="18"/>
      <c r="P719" s="23"/>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26"/>
      <c r="CU719" s="26"/>
      <c r="CV719" s="26"/>
      <c r="CW719" s="26"/>
      <c r="CX719" s="26"/>
      <c r="CY719" s="26"/>
      <c r="CZ719" s="26"/>
      <c r="DA719" s="26"/>
      <c r="DB719" s="26"/>
      <c r="DC719" s="26"/>
      <c r="DD719" s="26"/>
      <c r="DE719" s="26"/>
      <c r="DF719" s="26"/>
      <c r="DG719" s="26"/>
      <c r="DH719" s="26"/>
      <c r="DI719" s="26"/>
      <c r="DJ719" s="26"/>
      <c r="DK719" s="26"/>
      <c r="DL719" s="26"/>
      <c r="DM719" s="26"/>
      <c r="DN719" s="26"/>
      <c r="DO719" s="26"/>
      <c r="DP719" s="26"/>
      <c r="DQ719" s="26"/>
      <c r="DR719" s="26"/>
      <c r="DS719" s="26"/>
      <c r="DT719" s="26"/>
      <c r="DU719" s="26"/>
      <c r="DV719" s="26"/>
      <c r="DW719" s="26"/>
      <c r="DX719" s="26"/>
      <c r="DY719" s="26"/>
      <c r="DZ719" s="26"/>
      <c r="EA719" s="26"/>
      <c r="EB719" s="26"/>
      <c r="EC719" s="26"/>
      <c r="ED719" s="26"/>
      <c r="EE719" s="26"/>
      <c r="EF719" s="26"/>
      <c r="EG719" s="26"/>
      <c r="EH719" s="26"/>
      <c r="EI719" s="26"/>
      <c r="EJ719" s="26"/>
      <c r="EK719" s="26"/>
      <c r="EL719" s="26"/>
      <c r="EM719" s="26"/>
      <c r="EN719" s="26"/>
      <c r="EO719" s="26"/>
      <c r="EP719" s="26"/>
      <c r="EQ719" s="26"/>
      <c r="ER719" s="26"/>
      <c r="ES719" s="26"/>
      <c r="ET719" s="26"/>
      <c r="EU719" s="26"/>
      <c r="EV719" s="26"/>
      <c r="EW719" s="26"/>
      <c r="EX719" s="26"/>
      <c r="EY719" s="26"/>
      <c r="EZ719" s="26"/>
      <c r="FA719" s="60"/>
      <c r="FB719" s="60"/>
      <c r="FC719" s="60"/>
      <c r="FD719" s="60"/>
      <c r="FE719" s="60"/>
      <c r="FF719" s="60"/>
      <c r="FG719" s="60"/>
      <c r="FH719" s="60"/>
      <c r="FI719" s="60"/>
      <c r="FJ719" s="60"/>
      <c r="FK719" s="60"/>
      <c r="FL719" s="60"/>
      <c r="FM719" s="60"/>
      <c r="FN719" s="60"/>
      <c r="FO719" s="60"/>
      <c r="FP719" s="60"/>
      <c r="FQ719" s="60"/>
      <c r="FR719" s="60"/>
      <c r="FS719" s="60"/>
      <c r="FT719" s="60"/>
      <c r="FU719" s="60"/>
      <c r="FV719" s="60"/>
      <c r="FW719" s="60"/>
      <c r="FX719" s="60"/>
    </row>
    <row r="720">
      <c r="A720" s="18"/>
      <c r="B720" s="14"/>
      <c r="C720" s="14"/>
      <c r="D720" s="14"/>
      <c r="E720" s="18"/>
      <c r="F720" s="18"/>
      <c r="G720" s="18"/>
      <c r="H720" s="18"/>
      <c r="I720" s="18"/>
      <c r="J720" s="18"/>
      <c r="K720" s="18"/>
      <c r="L720" s="18"/>
      <c r="M720" s="18"/>
      <c r="N720" s="18"/>
      <c r="O720" s="18"/>
      <c r="P720" s="23"/>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26"/>
      <c r="CU720" s="26"/>
      <c r="CV720" s="26"/>
      <c r="CW720" s="26"/>
      <c r="CX720" s="26"/>
      <c r="CY720" s="26"/>
      <c r="CZ720" s="26"/>
      <c r="DA720" s="26"/>
      <c r="DB720" s="26"/>
      <c r="DC720" s="26"/>
      <c r="DD720" s="26"/>
      <c r="DE720" s="26"/>
      <c r="DF720" s="26"/>
      <c r="DG720" s="26"/>
      <c r="DH720" s="26"/>
      <c r="DI720" s="26"/>
      <c r="DJ720" s="26"/>
      <c r="DK720" s="26"/>
      <c r="DL720" s="26"/>
      <c r="DM720" s="26"/>
      <c r="DN720" s="26"/>
      <c r="DO720" s="26"/>
      <c r="DP720" s="26"/>
      <c r="DQ720" s="26"/>
      <c r="DR720" s="26"/>
      <c r="DS720" s="26"/>
      <c r="DT720" s="26"/>
      <c r="DU720" s="26"/>
      <c r="DV720" s="26"/>
      <c r="DW720" s="26"/>
      <c r="DX720" s="26"/>
      <c r="DY720" s="26"/>
      <c r="DZ720" s="26"/>
      <c r="EA720" s="26"/>
      <c r="EB720" s="26"/>
      <c r="EC720" s="26"/>
      <c r="ED720" s="26"/>
      <c r="EE720" s="26"/>
      <c r="EF720" s="26"/>
      <c r="EG720" s="26"/>
      <c r="EH720" s="26"/>
      <c r="EI720" s="26"/>
      <c r="EJ720" s="26"/>
      <c r="EK720" s="26"/>
      <c r="EL720" s="26"/>
      <c r="EM720" s="26"/>
      <c r="EN720" s="26"/>
      <c r="EO720" s="26"/>
      <c r="EP720" s="26"/>
      <c r="EQ720" s="26"/>
      <c r="ER720" s="26"/>
      <c r="ES720" s="26"/>
      <c r="ET720" s="26"/>
      <c r="EU720" s="26"/>
      <c r="EV720" s="26"/>
      <c r="EW720" s="26"/>
      <c r="EX720" s="26"/>
      <c r="EY720" s="26"/>
      <c r="EZ720" s="26"/>
      <c r="FA720" s="60"/>
      <c r="FB720" s="60"/>
      <c r="FC720" s="60"/>
      <c r="FD720" s="60"/>
      <c r="FE720" s="60"/>
      <c r="FF720" s="60"/>
      <c r="FG720" s="60"/>
      <c r="FH720" s="60"/>
      <c r="FI720" s="60"/>
      <c r="FJ720" s="60"/>
      <c r="FK720" s="60"/>
      <c r="FL720" s="60"/>
      <c r="FM720" s="60"/>
      <c r="FN720" s="60"/>
      <c r="FO720" s="60"/>
      <c r="FP720" s="60"/>
      <c r="FQ720" s="60"/>
      <c r="FR720" s="60"/>
      <c r="FS720" s="60"/>
      <c r="FT720" s="60"/>
      <c r="FU720" s="60"/>
      <c r="FV720" s="60"/>
      <c r="FW720" s="60"/>
      <c r="FX720" s="60"/>
    </row>
    <row r="721">
      <c r="A721" s="18"/>
      <c r="B721" s="14"/>
      <c r="C721" s="14"/>
      <c r="D721" s="14"/>
      <c r="E721" s="18"/>
      <c r="F721" s="18"/>
      <c r="G721" s="18"/>
      <c r="H721" s="18"/>
      <c r="I721" s="18"/>
      <c r="J721" s="18"/>
      <c r="K721" s="18"/>
      <c r="L721" s="18"/>
      <c r="M721" s="18"/>
      <c r="N721" s="18"/>
      <c r="O721" s="18"/>
      <c r="P721" s="23"/>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26"/>
      <c r="CU721" s="26"/>
      <c r="CV721" s="26"/>
      <c r="CW721" s="26"/>
      <c r="CX721" s="26"/>
      <c r="CY721" s="26"/>
      <c r="CZ721" s="26"/>
      <c r="DA721" s="26"/>
      <c r="DB721" s="26"/>
      <c r="DC721" s="26"/>
      <c r="DD721" s="26"/>
      <c r="DE721" s="26"/>
      <c r="DF721" s="26"/>
      <c r="DG721" s="26"/>
      <c r="DH721" s="26"/>
      <c r="DI721" s="26"/>
      <c r="DJ721" s="26"/>
      <c r="DK721" s="26"/>
      <c r="DL721" s="26"/>
      <c r="DM721" s="26"/>
      <c r="DN721" s="26"/>
      <c r="DO721" s="26"/>
      <c r="DP721" s="26"/>
      <c r="DQ721" s="26"/>
      <c r="DR721" s="26"/>
      <c r="DS721" s="26"/>
      <c r="DT721" s="26"/>
      <c r="DU721" s="26"/>
      <c r="DV721" s="26"/>
      <c r="DW721" s="26"/>
      <c r="DX721" s="26"/>
      <c r="DY721" s="26"/>
      <c r="DZ721" s="26"/>
      <c r="EA721" s="26"/>
      <c r="EB721" s="26"/>
      <c r="EC721" s="26"/>
      <c r="ED721" s="26"/>
      <c r="EE721" s="26"/>
      <c r="EF721" s="26"/>
      <c r="EG721" s="26"/>
      <c r="EH721" s="26"/>
      <c r="EI721" s="26"/>
      <c r="EJ721" s="26"/>
      <c r="EK721" s="26"/>
      <c r="EL721" s="26"/>
      <c r="EM721" s="26"/>
      <c r="EN721" s="26"/>
      <c r="EO721" s="26"/>
      <c r="EP721" s="26"/>
      <c r="EQ721" s="26"/>
      <c r="ER721" s="26"/>
      <c r="ES721" s="26"/>
      <c r="ET721" s="26"/>
      <c r="EU721" s="26"/>
      <c r="EV721" s="26"/>
      <c r="EW721" s="26"/>
      <c r="EX721" s="26"/>
      <c r="EY721" s="26"/>
      <c r="EZ721" s="26"/>
      <c r="FA721" s="60"/>
      <c r="FB721" s="60"/>
      <c r="FC721" s="60"/>
      <c r="FD721" s="60"/>
      <c r="FE721" s="60"/>
      <c r="FF721" s="60"/>
      <c r="FG721" s="60"/>
      <c r="FH721" s="60"/>
      <c r="FI721" s="60"/>
      <c r="FJ721" s="60"/>
      <c r="FK721" s="60"/>
      <c r="FL721" s="60"/>
      <c r="FM721" s="60"/>
      <c r="FN721" s="60"/>
      <c r="FO721" s="60"/>
      <c r="FP721" s="60"/>
      <c r="FQ721" s="60"/>
      <c r="FR721" s="60"/>
      <c r="FS721" s="60"/>
      <c r="FT721" s="60"/>
      <c r="FU721" s="60"/>
      <c r="FV721" s="60"/>
      <c r="FW721" s="60"/>
      <c r="FX721" s="60"/>
    </row>
    <row r="722">
      <c r="A722" s="18"/>
      <c r="B722" s="14"/>
      <c r="C722" s="14"/>
      <c r="D722" s="14"/>
      <c r="E722" s="18"/>
      <c r="F722" s="18"/>
      <c r="G722" s="18"/>
      <c r="H722" s="18"/>
      <c r="I722" s="18"/>
      <c r="J722" s="18"/>
      <c r="K722" s="18"/>
      <c r="L722" s="18"/>
      <c r="M722" s="18"/>
      <c r="N722" s="18"/>
      <c r="O722" s="18"/>
      <c r="P722" s="23"/>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26"/>
      <c r="CU722" s="26"/>
      <c r="CV722" s="26"/>
      <c r="CW722" s="26"/>
      <c r="CX722" s="26"/>
      <c r="CY722" s="26"/>
      <c r="CZ722" s="26"/>
      <c r="DA722" s="26"/>
      <c r="DB722" s="26"/>
      <c r="DC722" s="26"/>
      <c r="DD722" s="26"/>
      <c r="DE722" s="26"/>
      <c r="DF722" s="26"/>
      <c r="DG722" s="26"/>
      <c r="DH722" s="26"/>
      <c r="DI722" s="26"/>
      <c r="DJ722" s="26"/>
      <c r="DK722" s="26"/>
      <c r="DL722" s="26"/>
      <c r="DM722" s="26"/>
      <c r="DN722" s="26"/>
      <c r="DO722" s="26"/>
      <c r="DP722" s="26"/>
      <c r="DQ722" s="26"/>
      <c r="DR722" s="26"/>
      <c r="DS722" s="26"/>
      <c r="DT722" s="26"/>
      <c r="DU722" s="26"/>
      <c r="DV722" s="26"/>
      <c r="DW722" s="26"/>
      <c r="DX722" s="26"/>
      <c r="DY722" s="26"/>
      <c r="DZ722" s="26"/>
      <c r="EA722" s="26"/>
      <c r="EB722" s="26"/>
      <c r="EC722" s="26"/>
      <c r="ED722" s="26"/>
      <c r="EE722" s="26"/>
      <c r="EF722" s="26"/>
      <c r="EG722" s="26"/>
      <c r="EH722" s="26"/>
      <c r="EI722" s="26"/>
      <c r="EJ722" s="26"/>
      <c r="EK722" s="26"/>
      <c r="EL722" s="26"/>
      <c r="EM722" s="26"/>
      <c r="EN722" s="26"/>
      <c r="EO722" s="26"/>
      <c r="EP722" s="26"/>
      <c r="EQ722" s="26"/>
      <c r="ER722" s="26"/>
      <c r="ES722" s="26"/>
      <c r="ET722" s="26"/>
      <c r="EU722" s="26"/>
      <c r="EV722" s="26"/>
      <c r="EW722" s="26"/>
      <c r="EX722" s="26"/>
      <c r="EY722" s="26"/>
      <c r="EZ722" s="26"/>
      <c r="FA722" s="60"/>
      <c r="FB722" s="60"/>
      <c r="FC722" s="60"/>
      <c r="FD722" s="60"/>
      <c r="FE722" s="60"/>
      <c r="FF722" s="60"/>
      <c r="FG722" s="60"/>
      <c r="FH722" s="60"/>
      <c r="FI722" s="60"/>
      <c r="FJ722" s="60"/>
      <c r="FK722" s="60"/>
      <c r="FL722" s="60"/>
      <c r="FM722" s="60"/>
      <c r="FN722" s="60"/>
      <c r="FO722" s="60"/>
      <c r="FP722" s="60"/>
      <c r="FQ722" s="60"/>
      <c r="FR722" s="60"/>
      <c r="FS722" s="60"/>
      <c r="FT722" s="60"/>
      <c r="FU722" s="60"/>
      <c r="FV722" s="60"/>
      <c r="FW722" s="60"/>
      <c r="FX722" s="60"/>
    </row>
    <row r="723">
      <c r="A723" s="18"/>
      <c r="B723" s="14"/>
      <c r="C723" s="14"/>
      <c r="D723" s="14"/>
      <c r="E723" s="18"/>
      <c r="F723" s="18"/>
      <c r="G723" s="18"/>
      <c r="H723" s="18"/>
      <c r="I723" s="18"/>
      <c r="J723" s="18"/>
      <c r="K723" s="18"/>
      <c r="L723" s="18"/>
      <c r="M723" s="18"/>
      <c r="N723" s="18"/>
      <c r="O723" s="18"/>
      <c r="P723" s="23"/>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26"/>
      <c r="CU723" s="26"/>
      <c r="CV723" s="26"/>
      <c r="CW723" s="26"/>
      <c r="CX723" s="26"/>
      <c r="CY723" s="26"/>
      <c r="CZ723" s="26"/>
      <c r="DA723" s="26"/>
      <c r="DB723" s="26"/>
      <c r="DC723" s="26"/>
      <c r="DD723" s="26"/>
      <c r="DE723" s="26"/>
      <c r="DF723" s="26"/>
      <c r="DG723" s="26"/>
      <c r="DH723" s="26"/>
      <c r="DI723" s="26"/>
      <c r="DJ723" s="26"/>
      <c r="DK723" s="26"/>
      <c r="DL723" s="26"/>
      <c r="DM723" s="26"/>
      <c r="DN723" s="26"/>
      <c r="DO723" s="26"/>
      <c r="DP723" s="26"/>
      <c r="DQ723" s="26"/>
      <c r="DR723" s="26"/>
      <c r="DS723" s="26"/>
      <c r="DT723" s="26"/>
      <c r="DU723" s="26"/>
      <c r="DV723" s="26"/>
      <c r="DW723" s="26"/>
      <c r="DX723" s="26"/>
      <c r="DY723" s="26"/>
      <c r="DZ723" s="26"/>
      <c r="EA723" s="26"/>
      <c r="EB723" s="26"/>
      <c r="EC723" s="26"/>
      <c r="ED723" s="26"/>
      <c r="EE723" s="26"/>
      <c r="EF723" s="26"/>
      <c r="EG723" s="26"/>
      <c r="EH723" s="26"/>
      <c r="EI723" s="26"/>
      <c r="EJ723" s="26"/>
      <c r="EK723" s="26"/>
      <c r="EL723" s="26"/>
      <c r="EM723" s="26"/>
      <c r="EN723" s="26"/>
      <c r="EO723" s="26"/>
      <c r="EP723" s="26"/>
      <c r="EQ723" s="26"/>
      <c r="ER723" s="26"/>
      <c r="ES723" s="26"/>
      <c r="ET723" s="26"/>
      <c r="EU723" s="26"/>
      <c r="EV723" s="26"/>
      <c r="EW723" s="26"/>
      <c r="EX723" s="26"/>
      <c r="EY723" s="26"/>
      <c r="EZ723" s="26"/>
      <c r="FA723" s="60"/>
      <c r="FB723" s="60"/>
      <c r="FC723" s="60"/>
      <c r="FD723" s="60"/>
      <c r="FE723" s="60"/>
      <c r="FF723" s="60"/>
      <c r="FG723" s="60"/>
      <c r="FH723" s="60"/>
      <c r="FI723" s="60"/>
      <c r="FJ723" s="60"/>
      <c r="FK723" s="60"/>
      <c r="FL723" s="60"/>
      <c r="FM723" s="60"/>
      <c r="FN723" s="60"/>
      <c r="FO723" s="60"/>
      <c r="FP723" s="60"/>
      <c r="FQ723" s="60"/>
      <c r="FR723" s="60"/>
      <c r="FS723" s="60"/>
      <c r="FT723" s="60"/>
      <c r="FU723" s="60"/>
      <c r="FV723" s="60"/>
      <c r="FW723" s="60"/>
      <c r="FX723" s="60"/>
    </row>
    <row r="724">
      <c r="A724" s="18"/>
      <c r="B724" s="14"/>
      <c r="C724" s="14"/>
      <c r="D724" s="14"/>
      <c r="E724" s="18"/>
      <c r="F724" s="18"/>
      <c r="G724" s="18"/>
      <c r="H724" s="18"/>
      <c r="I724" s="18"/>
      <c r="J724" s="18"/>
      <c r="K724" s="18"/>
      <c r="L724" s="18"/>
      <c r="M724" s="18"/>
      <c r="N724" s="18"/>
      <c r="O724" s="18"/>
      <c r="P724" s="23"/>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26"/>
      <c r="CU724" s="26"/>
      <c r="CV724" s="26"/>
      <c r="CW724" s="26"/>
      <c r="CX724" s="26"/>
      <c r="CY724" s="26"/>
      <c r="CZ724" s="26"/>
      <c r="DA724" s="26"/>
      <c r="DB724" s="26"/>
      <c r="DC724" s="26"/>
      <c r="DD724" s="26"/>
      <c r="DE724" s="26"/>
      <c r="DF724" s="26"/>
      <c r="DG724" s="26"/>
      <c r="DH724" s="26"/>
      <c r="DI724" s="26"/>
      <c r="DJ724" s="26"/>
      <c r="DK724" s="26"/>
      <c r="DL724" s="26"/>
      <c r="DM724" s="26"/>
      <c r="DN724" s="26"/>
      <c r="DO724" s="26"/>
      <c r="DP724" s="26"/>
      <c r="DQ724" s="26"/>
      <c r="DR724" s="26"/>
      <c r="DS724" s="26"/>
      <c r="DT724" s="26"/>
      <c r="DU724" s="26"/>
      <c r="DV724" s="26"/>
      <c r="DW724" s="26"/>
      <c r="DX724" s="26"/>
      <c r="DY724" s="26"/>
      <c r="DZ724" s="26"/>
      <c r="EA724" s="26"/>
      <c r="EB724" s="26"/>
      <c r="EC724" s="26"/>
      <c r="ED724" s="26"/>
      <c r="EE724" s="26"/>
      <c r="EF724" s="26"/>
      <c r="EG724" s="26"/>
      <c r="EH724" s="26"/>
      <c r="EI724" s="26"/>
      <c r="EJ724" s="26"/>
      <c r="EK724" s="26"/>
      <c r="EL724" s="26"/>
      <c r="EM724" s="26"/>
      <c r="EN724" s="26"/>
      <c r="EO724" s="26"/>
      <c r="EP724" s="26"/>
      <c r="EQ724" s="26"/>
      <c r="ER724" s="26"/>
      <c r="ES724" s="26"/>
      <c r="ET724" s="26"/>
      <c r="EU724" s="26"/>
      <c r="EV724" s="26"/>
      <c r="EW724" s="26"/>
      <c r="EX724" s="26"/>
      <c r="EY724" s="26"/>
      <c r="EZ724" s="26"/>
      <c r="FA724" s="60"/>
      <c r="FB724" s="60"/>
      <c r="FC724" s="60"/>
      <c r="FD724" s="60"/>
      <c r="FE724" s="60"/>
      <c r="FF724" s="60"/>
      <c r="FG724" s="60"/>
      <c r="FH724" s="60"/>
      <c r="FI724" s="60"/>
      <c r="FJ724" s="60"/>
      <c r="FK724" s="60"/>
      <c r="FL724" s="60"/>
      <c r="FM724" s="60"/>
      <c r="FN724" s="60"/>
      <c r="FO724" s="60"/>
      <c r="FP724" s="60"/>
      <c r="FQ724" s="60"/>
      <c r="FR724" s="60"/>
      <c r="FS724" s="60"/>
      <c r="FT724" s="60"/>
      <c r="FU724" s="60"/>
      <c r="FV724" s="60"/>
      <c r="FW724" s="60"/>
      <c r="FX724" s="60"/>
    </row>
    <row r="725">
      <c r="A725" s="18"/>
      <c r="B725" s="14"/>
      <c r="C725" s="14"/>
      <c r="D725" s="14"/>
      <c r="E725" s="18"/>
      <c r="F725" s="18"/>
      <c r="G725" s="18"/>
      <c r="H725" s="18"/>
      <c r="I725" s="18"/>
      <c r="J725" s="18"/>
      <c r="K725" s="18"/>
      <c r="L725" s="18"/>
      <c r="M725" s="18"/>
      <c r="N725" s="18"/>
      <c r="O725" s="18"/>
      <c r="P725" s="23"/>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26"/>
      <c r="CU725" s="26"/>
      <c r="CV725" s="26"/>
      <c r="CW725" s="26"/>
      <c r="CX725" s="26"/>
      <c r="CY725" s="26"/>
      <c r="CZ725" s="26"/>
      <c r="DA725" s="26"/>
      <c r="DB725" s="26"/>
      <c r="DC725" s="26"/>
      <c r="DD725" s="26"/>
      <c r="DE725" s="26"/>
      <c r="DF725" s="26"/>
      <c r="DG725" s="26"/>
      <c r="DH725" s="26"/>
      <c r="DI725" s="26"/>
      <c r="DJ725" s="26"/>
      <c r="DK725" s="26"/>
      <c r="DL725" s="26"/>
      <c r="DM725" s="26"/>
      <c r="DN725" s="26"/>
      <c r="DO725" s="26"/>
      <c r="DP725" s="26"/>
      <c r="DQ725" s="26"/>
      <c r="DR725" s="26"/>
      <c r="DS725" s="26"/>
      <c r="DT725" s="26"/>
      <c r="DU725" s="26"/>
      <c r="DV725" s="26"/>
      <c r="DW725" s="26"/>
      <c r="DX725" s="26"/>
      <c r="DY725" s="26"/>
      <c r="DZ725" s="26"/>
      <c r="EA725" s="26"/>
      <c r="EB725" s="26"/>
      <c r="EC725" s="26"/>
      <c r="ED725" s="26"/>
      <c r="EE725" s="26"/>
      <c r="EF725" s="26"/>
      <c r="EG725" s="26"/>
      <c r="EH725" s="26"/>
      <c r="EI725" s="26"/>
      <c r="EJ725" s="26"/>
      <c r="EK725" s="26"/>
      <c r="EL725" s="26"/>
      <c r="EM725" s="26"/>
      <c r="EN725" s="26"/>
      <c r="EO725" s="26"/>
      <c r="EP725" s="26"/>
      <c r="EQ725" s="26"/>
      <c r="ER725" s="26"/>
      <c r="ES725" s="26"/>
      <c r="ET725" s="26"/>
      <c r="EU725" s="26"/>
      <c r="EV725" s="26"/>
      <c r="EW725" s="26"/>
      <c r="EX725" s="26"/>
      <c r="EY725" s="26"/>
      <c r="EZ725" s="26"/>
      <c r="FA725" s="60"/>
      <c r="FB725" s="60"/>
      <c r="FC725" s="60"/>
      <c r="FD725" s="60"/>
      <c r="FE725" s="60"/>
      <c r="FF725" s="60"/>
      <c r="FG725" s="60"/>
      <c r="FH725" s="60"/>
      <c r="FI725" s="60"/>
      <c r="FJ725" s="60"/>
      <c r="FK725" s="60"/>
      <c r="FL725" s="60"/>
      <c r="FM725" s="60"/>
      <c r="FN725" s="60"/>
      <c r="FO725" s="60"/>
      <c r="FP725" s="60"/>
      <c r="FQ725" s="60"/>
      <c r="FR725" s="60"/>
      <c r="FS725" s="60"/>
      <c r="FT725" s="60"/>
      <c r="FU725" s="60"/>
      <c r="FV725" s="60"/>
      <c r="FW725" s="60"/>
      <c r="FX725" s="60"/>
    </row>
    <row r="726">
      <c r="A726" s="18"/>
      <c r="B726" s="14"/>
      <c r="C726" s="14"/>
      <c r="D726" s="14"/>
      <c r="E726" s="18"/>
      <c r="F726" s="18"/>
      <c r="G726" s="18"/>
      <c r="H726" s="18"/>
      <c r="I726" s="18"/>
      <c r="J726" s="18"/>
      <c r="K726" s="18"/>
      <c r="L726" s="18"/>
      <c r="M726" s="18"/>
      <c r="N726" s="18"/>
      <c r="O726" s="18"/>
      <c r="P726" s="23"/>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26"/>
      <c r="CU726" s="26"/>
      <c r="CV726" s="26"/>
      <c r="CW726" s="26"/>
      <c r="CX726" s="26"/>
      <c r="CY726" s="26"/>
      <c r="CZ726" s="26"/>
      <c r="DA726" s="26"/>
      <c r="DB726" s="26"/>
      <c r="DC726" s="26"/>
      <c r="DD726" s="26"/>
      <c r="DE726" s="26"/>
      <c r="DF726" s="26"/>
      <c r="DG726" s="26"/>
      <c r="DH726" s="26"/>
      <c r="DI726" s="26"/>
      <c r="DJ726" s="26"/>
      <c r="DK726" s="26"/>
      <c r="DL726" s="26"/>
      <c r="DM726" s="26"/>
      <c r="DN726" s="26"/>
      <c r="DO726" s="26"/>
      <c r="DP726" s="26"/>
      <c r="DQ726" s="26"/>
      <c r="DR726" s="26"/>
      <c r="DS726" s="26"/>
      <c r="DT726" s="26"/>
      <c r="DU726" s="26"/>
      <c r="DV726" s="26"/>
      <c r="DW726" s="26"/>
      <c r="DX726" s="26"/>
      <c r="DY726" s="26"/>
      <c r="DZ726" s="26"/>
      <c r="EA726" s="26"/>
      <c r="EB726" s="26"/>
      <c r="EC726" s="26"/>
      <c r="ED726" s="26"/>
      <c r="EE726" s="26"/>
      <c r="EF726" s="26"/>
      <c r="EG726" s="26"/>
      <c r="EH726" s="26"/>
      <c r="EI726" s="26"/>
      <c r="EJ726" s="26"/>
      <c r="EK726" s="26"/>
      <c r="EL726" s="26"/>
      <c r="EM726" s="26"/>
      <c r="EN726" s="26"/>
      <c r="EO726" s="26"/>
      <c r="EP726" s="26"/>
      <c r="EQ726" s="26"/>
      <c r="ER726" s="26"/>
      <c r="ES726" s="26"/>
      <c r="ET726" s="26"/>
      <c r="EU726" s="26"/>
      <c r="EV726" s="26"/>
      <c r="EW726" s="26"/>
      <c r="EX726" s="26"/>
      <c r="EY726" s="26"/>
      <c r="EZ726" s="26"/>
      <c r="FA726" s="60"/>
      <c r="FB726" s="60"/>
      <c r="FC726" s="60"/>
      <c r="FD726" s="60"/>
      <c r="FE726" s="60"/>
      <c r="FF726" s="60"/>
      <c r="FG726" s="60"/>
      <c r="FH726" s="60"/>
      <c r="FI726" s="60"/>
      <c r="FJ726" s="60"/>
      <c r="FK726" s="60"/>
      <c r="FL726" s="60"/>
      <c r="FM726" s="60"/>
      <c r="FN726" s="60"/>
      <c r="FO726" s="60"/>
      <c r="FP726" s="60"/>
      <c r="FQ726" s="60"/>
      <c r="FR726" s="60"/>
      <c r="FS726" s="60"/>
      <c r="FT726" s="60"/>
      <c r="FU726" s="60"/>
      <c r="FV726" s="60"/>
      <c r="FW726" s="60"/>
      <c r="FX726" s="60"/>
    </row>
    <row r="727">
      <c r="A727" s="18"/>
      <c r="B727" s="14"/>
      <c r="C727" s="14"/>
      <c r="D727" s="14"/>
      <c r="E727" s="18"/>
      <c r="F727" s="18"/>
      <c r="G727" s="18"/>
      <c r="H727" s="18"/>
      <c r="I727" s="18"/>
      <c r="J727" s="18"/>
      <c r="K727" s="18"/>
      <c r="L727" s="18"/>
      <c r="M727" s="18"/>
      <c r="N727" s="18"/>
      <c r="O727" s="18"/>
      <c r="P727" s="23"/>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26"/>
      <c r="CU727" s="26"/>
      <c r="CV727" s="26"/>
      <c r="CW727" s="26"/>
      <c r="CX727" s="26"/>
      <c r="CY727" s="26"/>
      <c r="CZ727" s="26"/>
      <c r="DA727" s="26"/>
      <c r="DB727" s="26"/>
      <c r="DC727" s="26"/>
      <c r="DD727" s="26"/>
      <c r="DE727" s="26"/>
      <c r="DF727" s="26"/>
      <c r="DG727" s="26"/>
      <c r="DH727" s="26"/>
      <c r="DI727" s="26"/>
      <c r="DJ727" s="26"/>
      <c r="DK727" s="26"/>
      <c r="DL727" s="26"/>
      <c r="DM727" s="26"/>
      <c r="DN727" s="26"/>
      <c r="DO727" s="26"/>
      <c r="DP727" s="26"/>
      <c r="DQ727" s="26"/>
      <c r="DR727" s="26"/>
      <c r="DS727" s="26"/>
      <c r="DT727" s="26"/>
      <c r="DU727" s="26"/>
      <c r="DV727" s="26"/>
      <c r="DW727" s="26"/>
      <c r="DX727" s="26"/>
      <c r="DY727" s="26"/>
      <c r="DZ727" s="26"/>
      <c r="EA727" s="26"/>
      <c r="EB727" s="26"/>
      <c r="EC727" s="26"/>
      <c r="ED727" s="26"/>
      <c r="EE727" s="26"/>
      <c r="EF727" s="26"/>
      <c r="EG727" s="26"/>
      <c r="EH727" s="26"/>
      <c r="EI727" s="26"/>
      <c r="EJ727" s="26"/>
      <c r="EK727" s="26"/>
      <c r="EL727" s="26"/>
      <c r="EM727" s="26"/>
      <c r="EN727" s="26"/>
      <c r="EO727" s="26"/>
      <c r="EP727" s="26"/>
      <c r="EQ727" s="26"/>
      <c r="ER727" s="26"/>
      <c r="ES727" s="26"/>
      <c r="ET727" s="26"/>
      <c r="EU727" s="26"/>
      <c r="EV727" s="26"/>
      <c r="EW727" s="26"/>
      <c r="EX727" s="26"/>
      <c r="EY727" s="26"/>
      <c r="EZ727" s="26"/>
      <c r="FA727" s="60"/>
      <c r="FB727" s="60"/>
      <c r="FC727" s="60"/>
      <c r="FD727" s="60"/>
      <c r="FE727" s="60"/>
      <c r="FF727" s="60"/>
      <c r="FG727" s="60"/>
      <c r="FH727" s="60"/>
      <c r="FI727" s="60"/>
      <c r="FJ727" s="60"/>
      <c r="FK727" s="60"/>
      <c r="FL727" s="60"/>
      <c r="FM727" s="60"/>
      <c r="FN727" s="60"/>
      <c r="FO727" s="60"/>
      <c r="FP727" s="60"/>
      <c r="FQ727" s="60"/>
      <c r="FR727" s="60"/>
      <c r="FS727" s="60"/>
      <c r="FT727" s="60"/>
      <c r="FU727" s="60"/>
      <c r="FV727" s="60"/>
      <c r="FW727" s="60"/>
      <c r="FX727" s="60"/>
    </row>
    <row r="728">
      <c r="A728" s="18"/>
      <c r="B728" s="14"/>
      <c r="C728" s="14"/>
      <c r="D728" s="14"/>
      <c r="E728" s="18"/>
      <c r="F728" s="18"/>
      <c r="G728" s="18"/>
      <c r="H728" s="18"/>
      <c r="I728" s="18"/>
      <c r="J728" s="18"/>
      <c r="K728" s="18"/>
      <c r="L728" s="18"/>
      <c r="M728" s="18"/>
      <c r="N728" s="18"/>
      <c r="O728" s="18"/>
      <c r="P728" s="23"/>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26"/>
      <c r="CU728" s="26"/>
      <c r="CV728" s="26"/>
      <c r="CW728" s="26"/>
      <c r="CX728" s="26"/>
      <c r="CY728" s="26"/>
      <c r="CZ728" s="26"/>
      <c r="DA728" s="26"/>
      <c r="DB728" s="26"/>
      <c r="DC728" s="26"/>
      <c r="DD728" s="26"/>
      <c r="DE728" s="26"/>
      <c r="DF728" s="26"/>
      <c r="DG728" s="26"/>
      <c r="DH728" s="26"/>
      <c r="DI728" s="26"/>
      <c r="DJ728" s="26"/>
      <c r="DK728" s="26"/>
      <c r="DL728" s="26"/>
      <c r="DM728" s="26"/>
      <c r="DN728" s="26"/>
      <c r="DO728" s="26"/>
      <c r="DP728" s="26"/>
      <c r="DQ728" s="26"/>
      <c r="DR728" s="26"/>
      <c r="DS728" s="26"/>
      <c r="DT728" s="26"/>
      <c r="DU728" s="26"/>
      <c r="DV728" s="26"/>
      <c r="DW728" s="26"/>
      <c r="DX728" s="26"/>
      <c r="DY728" s="26"/>
      <c r="DZ728" s="26"/>
      <c r="EA728" s="26"/>
      <c r="EB728" s="26"/>
      <c r="EC728" s="26"/>
      <c r="ED728" s="26"/>
      <c r="EE728" s="26"/>
      <c r="EF728" s="26"/>
      <c r="EG728" s="26"/>
      <c r="EH728" s="26"/>
      <c r="EI728" s="26"/>
      <c r="EJ728" s="26"/>
      <c r="EK728" s="26"/>
      <c r="EL728" s="26"/>
      <c r="EM728" s="26"/>
      <c r="EN728" s="26"/>
      <c r="EO728" s="26"/>
      <c r="EP728" s="26"/>
      <c r="EQ728" s="26"/>
      <c r="ER728" s="26"/>
      <c r="ES728" s="26"/>
      <c r="ET728" s="26"/>
      <c r="EU728" s="26"/>
      <c r="EV728" s="26"/>
      <c r="EW728" s="26"/>
      <c r="EX728" s="26"/>
      <c r="EY728" s="26"/>
      <c r="EZ728" s="26"/>
      <c r="FA728" s="60"/>
      <c r="FB728" s="60"/>
      <c r="FC728" s="60"/>
      <c r="FD728" s="60"/>
      <c r="FE728" s="60"/>
      <c r="FF728" s="60"/>
      <c r="FG728" s="60"/>
      <c r="FH728" s="60"/>
      <c r="FI728" s="60"/>
      <c r="FJ728" s="60"/>
      <c r="FK728" s="60"/>
      <c r="FL728" s="60"/>
      <c r="FM728" s="60"/>
      <c r="FN728" s="60"/>
      <c r="FO728" s="60"/>
      <c r="FP728" s="60"/>
      <c r="FQ728" s="60"/>
      <c r="FR728" s="60"/>
      <c r="FS728" s="60"/>
      <c r="FT728" s="60"/>
      <c r="FU728" s="60"/>
      <c r="FV728" s="60"/>
      <c r="FW728" s="60"/>
      <c r="FX728" s="60"/>
    </row>
    <row r="729">
      <c r="A729" s="18"/>
      <c r="B729" s="14"/>
      <c r="C729" s="14"/>
      <c r="D729" s="14"/>
      <c r="E729" s="18"/>
      <c r="F729" s="18"/>
      <c r="G729" s="18"/>
      <c r="H729" s="18"/>
      <c r="I729" s="18"/>
      <c r="J729" s="18"/>
      <c r="K729" s="18"/>
      <c r="L729" s="18"/>
      <c r="M729" s="18"/>
      <c r="N729" s="18"/>
      <c r="O729" s="18"/>
      <c r="P729" s="23"/>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26"/>
      <c r="CU729" s="26"/>
      <c r="CV729" s="26"/>
      <c r="CW729" s="26"/>
      <c r="CX729" s="26"/>
      <c r="CY729" s="26"/>
      <c r="CZ729" s="26"/>
      <c r="DA729" s="26"/>
      <c r="DB729" s="26"/>
      <c r="DC729" s="26"/>
      <c r="DD729" s="26"/>
      <c r="DE729" s="26"/>
      <c r="DF729" s="26"/>
      <c r="DG729" s="26"/>
      <c r="DH729" s="26"/>
      <c r="DI729" s="26"/>
      <c r="DJ729" s="26"/>
      <c r="DK729" s="26"/>
      <c r="DL729" s="26"/>
      <c r="DM729" s="26"/>
      <c r="DN729" s="26"/>
      <c r="DO729" s="26"/>
      <c r="DP729" s="26"/>
      <c r="DQ729" s="26"/>
      <c r="DR729" s="26"/>
      <c r="DS729" s="26"/>
      <c r="DT729" s="26"/>
      <c r="DU729" s="26"/>
      <c r="DV729" s="26"/>
      <c r="DW729" s="26"/>
      <c r="DX729" s="26"/>
      <c r="DY729" s="26"/>
      <c r="DZ729" s="26"/>
      <c r="EA729" s="26"/>
      <c r="EB729" s="26"/>
      <c r="EC729" s="26"/>
      <c r="ED729" s="26"/>
      <c r="EE729" s="26"/>
      <c r="EF729" s="26"/>
      <c r="EG729" s="26"/>
      <c r="EH729" s="26"/>
      <c r="EI729" s="26"/>
      <c r="EJ729" s="26"/>
      <c r="EK729" s="26"/>
      <c r="EL729" s="26"/>
      <c r="EM729" s="26"/>
      <c r="EN729" s="26"/>
      <c r="EO729" s="26"/>
      <c r="EP729" s="26"/>
      <c r="EQ729" s="26"/>
      <c r="ER729" s="26"/>
      <c r="ES729" s="26"/>
      <c r="ET729" s="26"/>
      <c r="EU729" s="26"/>
      <c r="EV729" s="26"/>
      <c r="EW729" s="26"/>
      <c r="EX729" s="26"/>
      <c r="EY729" s="26"/>
      <c r="EZ729" s="26"/>
      <c r="FA729" s="60"/>
      <c r="FB729" s="60"/>
      <c r="FC729" s="60"/>
      <c r="FD729" s="60"/>
      <c r="FE729" s="60"/>
      <c r="FF729" s="60"/>
      <c r="FG729" s="60"/>
      <c r="FH729" s="60"/>
      <c r="FI729" s="60"/>
      <c r="FJ729" s="60"/>
      <c r="FK729" s="60"/>
      <c r="FL729" s="60"/>
      <c r="FM729" s="60"/>
      <c r="FN729" s="60"/>
      <c r="FO729" s="60"/>
      <c r="FP729" s="60"/>
      <c r="FQ729" s="60"/>
      <c r="FR729" s="60"/>
      <c r="FS729" s="60"/>
      <c r="FT729" s="60"/>
      <c r="FU729" s="60"/>
      <c r="FV729" s="60"/>
      <c r="FW729" s="60"/>
      <c r="FX729" s="60"/>
    </row>
    <row r="730">
      <c r="A730" s="18"/>
      <c r="B730" s="14"/>
      <c r="C730" s="14"/>
      <c r="D730" s="14"/>
      <c r="E730" s="18"/>
      <c r="F730" s="18"/>
      <c r="G730" s="18"/>
      <c r="H730" s="18"/>
      <c r="I730" s="18"/>
      <c r="J730" s="18"/>
      <c r="K730" s="18"/>
      <c r="L730" s="18"/>
      <c r="M730" s="18"/>
      <c r="N730" s="18"/>
      <c r="O730" s="18"/>
      <c r="P730" s="23"/>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26"/>
      <c r="CU730" s="26"/>
      <c r="CV730" s="26"/>
      <c r="CW730" s="26"/>
      <c r="CX730" s="26"/>
      <c r="CY730" s="26"/>
      <c r="CZ730" s="26"/>
      <c r="DA730" s="26"/>
      <c r="DB730" s="26"/>
      <c r="DC730" s="26"/>
      <c r="DD730" s="26"/>
      <c r="DE730" s="26"/>
      <c r="DF730" s="26"/>
      <c r="DG730" s="26"/>
      <c r="DH730" s="26"/>
      <c r="DI730" s="26"/>
      <c r="DJ730" s="26"/>
      <c r="DK730" s="26"/>
      <c r="DL730" s="26"/>
      <c r="DM730" s="26"/>
      <c r="DN730" s="26"/>
      <c r="DO730" s="26"/>
      <c r="DP730" s="26"/>
      <c r="DQ730" s="26"/>
      <c r="DR730" s="26"/>
      <c r="DS730" s="26"/>
      <c r="DT730" s="26"/>
      <c r="DU730" s="26"/>
      <c r="DV730" s="26"/>
      <c r="DW730" s="26"/>
      <c r="DX730" s="26"/>
      <c r="DY730" s="26"/>
      <c r="DZ730" s="26"/>
      <c r="EA730" s="26"/>
      <c r="EB730" s="26"/>
      <c r="EC730" s="26"/>
      <c r="ED730" s="26"/>
      <c r="EE730" s="26"/>
      <c r="EF730" s="26"/>
      <c r="EG730" s="26"/>
      <c r="EH730" s="26"/>
      <c r="EI730" s="26"/>
      <c r="EJ730" s="26"/>
      <c r="EK730" s="26"/>
      <c r="EL730" s="26"/>
      <c r="EM730" s="26"/>
      <c r="EN730" s="26"/>
      <c r="EO730" s="26"/>
      <c r="EP730" s="26"/>
      <c r="EQ730" s="26"/>
      <c r="ER730" s="26"/>
      <c r="ES730" s="26"/>
      <c r="ET730" s="26"/>
      <c r="EU730" s="26"/>
      <c r="EV730" s="26"/>
      <c r="EW730" s="26"/>
      <c r="EX730" s="26"/>
      <c r="EY730" s="26"/>
      <c r="EZ730" s="26"/>
      <c r="FA730" s="60"/>
      <c r="FB730" s="60"/>
      <c r="FC730" s="60"/>
      <c r="FD730" s="60"/>
      <c r="FE730" s="60"/>
      <c r="FF730" s="60"/>
      <c r="FG730" s="60"/>
      <c r="FH730" s="60"/>
      <c r="FI730" s="60"/>
      <c r="FJ730" s="60"/>
      <c r="FK730" s="60"/>
      <c r="FL730" s="60"/>
      <c r="FM730" s="60"/>
      <c r="FN730" s="60"/>
      <c r="FO730" s="60"/>
      <c r="FP730" s="60"/>
      <c r="FQ730" s="60"/>
      <c r="FR730" s="60"/>
      <c r="FS730" s="60"/>
      <c r="FT730" s="60"/>
      <c r="FU730" s="60"/>
      <c r="FV730" s="60"/>
      <c r="FW730" s="60"/>
      <c r="FX730" s="60"/>
    </row>
    <row r="731">
      <c r="A731" s="18"/>
      <c r="B731" s="14"/>
      <c r="C731" s="14"/>
      <c r="D731" s="14"/>
      <c r="E731" s="18"/>
      <c r="F731" s="18"/>
      <c r="G731" s="18"/>
      <c r="H731" s="18"/>
      <c r="I731" s="18"/>
      <c r="J731" s="18"/>
      <c r="K731" s="18"/>
      <c r="L731" s="18"/>
      <c r="M731" s="18"/>
      <c r="N731" s="18"/>
      <c r="O731" s="18"/>
      <c r="P731" s="23"/>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26"/>
      <c r="CU731" s="26"/>
      <c r="CV731" s="26"/>
      <c r="CW731" s="26"/>
      <c r="CX731" s="26"/>
      <c r="CY731" s="26"/>
      <c r="CZ731" s="26"/>
      <c r="DA731" s="26"/>
      <c r="DB731" s="26"/>
      <c r="DC731" s="26"/>
      <c r="DD731" s="26"/>
      <c r="DE731" s="26"/>
      <c r="DF731" s="26"/>
      <c r="DG731" s="26"/>
      <c r="DH731" s="26"/>
      <c r="DI731" s="26"/>
      <c r="DJ731" s="26"/>
      <c r="DK731" s="26"/>
      <c r="DL731" s="26"/>
      <c r="DM731" s="26"/>
      <c r="DN731" s="26"/>
      <c r="DO731" s="26"/>
      <c r="DP731" s="26"/>
      <c r="DQ731" s="26"/>
      <c r="DR731" s="26"/>
      <c r="DS731" s="26"/>
      <c r="DT731" s="26"/>
      <c r="DU731" s="26"/>
      <c r="DV731" s="26"/>
      <c r="DW731" s="26"/>
      <c r="DX731" s="26"/>
      <c r="DY731" s="26"/>
      <c r="DZ731" s="26"/>
      <c r="EA731" s="26"/>
      <c r="EB731" s="26"/>
      <c r="EC731" s="26"/>
      <c r="ED731" s="26"/>
      <c r="EE731" s="26"/>
      <c r="EF731" s="26"/>
      <c r="EG731" s="26"/>
      <c r="EH731" s="26"/>
      <c r="EI731" s="26"/>
      <c r="EJ731" s="26"/>
      <c r="EK731" s="26"/>
      <c r="EL731" s="26"/>
      <c r="EM731" s="26"/>
      <c r="EN731" s="26"/>
      <c r="EO731" s="26"/>
      <c r="EP731" s="26"/>
      <c r="EQ731" s="26"/>
      <c r="ER731" s="26"/>
      <c r="ES731" s="26"/>
      <c r="ET731" s="26"/>
      <c r="EU731" s="26"/>
      <c r="EV731" s="26"/>
      <c r="EW731" s="26"/>
      <c r="EX731" s="26"/>
      <c r="EY731" s="26"/>
      <c r="EZ731" s="26"/>
      <c r="FA731" s="60"/>
      <c r="FB731" s="60"/>
      <c r="FC731" s="60"/>
      <c r="FD731" s="60"/>
      <c r="FE731" s="60"/>
      <c r="FF731" s="60"/>
      <c r="FG731" s="60"/>
      <c r="FH731" s="60"/>
      <c r="FI731" s="60"/>
      <c r="FJ731" s="60"/>
      <c r="FK731" s="60"/>
      <c r="FL731" s="60"/>
      <c r="FM731" s="60"/>
      <c r="FN731" s="60"/>
      <c r="FO731" s="60"/>
      <c r="FP731" s="60"/>
      <c r="FQ731" s="60"/>
      <c r="FR731" s="60"/>
      <c r="FS731" s="60"/>
      <c r="FT731" s="60"/>
      <c r="FU731" s="60"/>
      <c r="FV731" s="60"/>
      <c r="FW731" s="60"/>
      <c r="FX731" s="60"/>
    </row>
    <row r="732">
      <c r="A732" s="18"/>
      <c r="B732" s="14"/>
      <c r="C732" s="14"/>
      <c r="D732" s="14"/>
      <c r="E732" s="18"/>
      <c r="F732" s="18"/>
      <c r="G732" s="18"/>
      <c r="H732" s="18"/>
      <c r="I732" s="18"/>
      <c r="J732" s="18"/>
      <c r="K732" s="18"/>
      <c r="L732" s="18"/>
      <c r="M732" s="18"/>
      <c r="N732" s="18"/>
      <c r="O732" s="18"/>
      <c r="P732" s="23"/>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26"/>
      <c r="CU732" s="26"/>
      <c r="CV732" s="26"/>
      <c r="CW732" s="26"/>
      <c r="CX732" s="26"/>
      <c r="CY732" s="26"/>
      <c r="CZ732" s="26"/>
      <c r="DA732" s="26"/>
      <c r="DB732" s="26"/>
      <c r="DC732" s="26"/>
      <c r="DD732" s="26"/>
      <c r="DE732" s="26"/>
      <c r="DF732" s="26"/>
      <c r="DG732" s="26"/>
      <c r="DH732" s="26"/>
      <c r="DI732" s="26"/>
      <c r="DJ732" s="26"/>
      <c r="DK732" s="26"/>
      <c r="DL732" s="26"/>
      <c r="DM732" s="26"/>
      <c r="DN732" s="26"/>
      <c r="DO732" s="26"/>
      <c r="DP732" s="26"/>
      <c r="DQ732" s="26"/>
      <c r="DR732" s="26"/>
      <c r="DS732" s="26"/>
      <c r="DT732" s="26"/>
      <c r="DU732" s="26"/>
      <c r="DV732" s="26"/>
      <c r="DW732" s="26"/>
      <c r="DX732" s="26"/>
      <c r="DY732" s="26"/>
      <c r="DZ732" s="26"/>
      <c r="EA732" s="26"/>
      <c r="EB732" s="26"/>
      <c r="EC732" s="26"/>
      <c r="ED732" s="26"/>
      <c r="EE732" s="26"/>
      <c r="EF732" s="26"/>
      <c r="EG732" s="26"/>
      <c r="EH732" s="26"/>
      <c r="EI732" s="26"/>
      <c r="EJ732" s="26"/>
      <c r="EK732" s="26"/>
      <c r="EL732" s="26"/>
      <c r="EM732" s="26"/>
      <c r="EN732" s="26"/>
      <c r="EO732" s="26"/>
      <c r="EP732" s="26"/>
      <c r="EQ732" s="26"/>
      <c r="ER732" s="26"/>
      <c r="ES732" s="26"/>
      <c r="ET732" s="26"/>
      <c r="EU732" s="26"/>
      <c r="EV732" s="26"/>
      <c r="EW732" s="26"/>
      <c r="EX732" s="26"/>
      <c r="EY732" s="26"/>
      <c r="EZ732" s="26"/>
      <c r="FA732" s="60"/>
      <c r="FB732" s="60"/>
      <c r="FC732" s="60"/>
      <c r="FD732" s="60"/>
      <c r="FE732" s="60"/>
      <c r="FF732" s="60"/>
      <c r="FG732" s="60"/>
      <c r="FH732" s="60"/>
      <c r="FI732" s="60"/>
      <c r="FJ732" s="60"/>
      <c r="FK732" s="60"/>
      <c r="FL732" s="60"/>
      <c r="FM732" s="60"/>
      <c r="FN732" s="60"/>
      <c r="FO732" s="60"/>
      <c r="FP732" s="60"/>
      <c r="FQ732" s="60"/>
      <c r="FR732" s="60"/>
      <c r="FS732" s="60"/>
      <c r="FT732" s="60"/>
      <c r="FU732" s="60"/>
      <c r="FV732" s="60"/>
      <c r="FW732" s="60"/>
      <c r="FX732" s="60"/>
    </row>
    <row r="733">
      <c r="A733" s="18"/>
      <c r="B733" s="14"/>
      <c r="C733" s="14"/>
      <c r="D733" s="14"/>
      <c r="E733" s="18"/>
      <c r="F733" s="18"/>
      <c r="G733" s="18"/>
      <c r="H733" s="18"/>
      <c r="I733" s="18"/>
      <c r="J733" s="18"/>
      <c r="K733" s="18"/>
      <c r="L733" s="18"/>
      <c r="M733" s="18"/>
      <c r="N733" s="18"/>
      <c r="O733" s="18"/>
      <c r="P733" s="23"/>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26"/>
      <c r="CU733" s="26"/>
      <c r="CV733" s="26"/>
      <c r="CW733" s="26"/>
      <c r="CX733" s="26"/>
      <c r="CY733" s="26"/>
      <c r="CZ733" s="26"/>
      <c r="DA733" s="26"/>
      <c r="DB733" s="26"/>
      <c r="DC733" s="26"/>
      <c r="DD733" s="26"/>
      <c r="DE733" s="26"/>
      <c r="DF733" s="26"/>
      <c r="DG733" s="26"/>
      <c r="DH733" s="26"/>
      <c r="DI733" s="26"/>
      <c r="DJ733" s="26"/>
      <c r="DK733" s="26"/>
      <c r="DL733" s="26"/>
      <c r="DM733" s="26"/>
      <c r="DN733" s="26"/>
      <c r="DO733" s="26"/>
      <c r="DP733" s="26"/>
      <c r="DQ733" s="26"/>
      <c r="DR733" s="26"/>
      <c r="DS733" s="26"/>
      <c r="DT733" s="26"/>
      <c r="DU733" s="26"/>
      <c r="DV733" s="26"/>
      <c r="DW733" s="26"/>
      <c r="DX733" s="26"/>
      <c r="DY733" s="26"/>
      <c r="DZ733" s="26"/>
      <c r="EA733" s="26"/>
      <c r="EB733" s="26"/>
      <c r="EC733" s="26"/>
      <c r="ED733" s="26"/>
      <c r="EE733" s="26"/>
      <c r="EF733" s="26"/>
      <c r="EG733" s="26"/>
      <c r="EH733" s="26"/>
      <c r="EI733" s="26"/>
      <c r="EJ733" s="26"/>
      <c r="EK733" s="26"/>
      <c r="EL733" s="26"/>
      <c r="EM733" s="26"/>
      <c r="EN733" s="26"/>
      <c r="EO733" s="26"/>
      <c r="EP733" s="26"/>
      <c r="EQ733" s="26"/>
      <c r="ER733" s="26"/>
      <c r="ES733" s="26"/>
      <c r="ET733" s="26"/>
      <c r="EU733" s="26"/>
      <c r="EV733" s="26"/>
      <c r="EW733" s="26"/>
      <c r="EX733" s="26"/>
      <c r="EY733" s="26"/>
      <c r="EZ733" s="26"/>
      <c r="FA733" s="60"/>
      <c r="FB733" s="60"/>
      <c r="FC733" s="60"/>
      <c r="FD733" s="60"/>
      <c r="FE733" s="60"/>
      <c r="FF733" s="60"/>
      <c r="FG733" s="60"/>
      <c r="FH733" s="60"/>
      <c r="FI733" s="60"/>
      <c r="FJ733" s="60"/>
      <c r="FK733" s="60"/>
      <c r="FL733" s="60"/>
      <c r="FM733" s="60"/>
      <c r="FN733" s="60"/>
      <c r="FO733" s="60"/>
      <c r="FP733" s="60"/>
      <c r="FQ733" s="60"/>
      <c r="FR733" s="60"/>
      <c r="FS733" s="60"/>
      <c r="FT733" s="60"/>
      <c r="FU733" s="60"/>
      <c r="FV733" s="60"/>
      <c r="FW733" s="60"/>
      <c r="FX733" s="60"/>
    </row>
    <row r="734">
      <c r="A734" s="18"/>
      <c r="B734" s="14"/>
      <c r="C734" s="14"/>
      <c r="D734" s="14"/>
      <c r="E734" s="18"/>
      <c r="F734" s="18"/>
      <c r="G734" s="18"/>
      <c r="H734" s="18"/>
      <c r="I734" s="18"/>
      <c r="J734" s="18"/>
      <c r="K734" s="18"/>
      <c r="L734" s="18"/>
      <c r="M734" s="18"/>
      <c r="N734" s="18"/>
      <c r="O734" s="18"/>
      <c r="P734" s="23"/>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26"/>
      <c r="CU734" s="26"/>
      <c r="CV734" s="26"/>
      <c r="CW734" s="26"/>
      <c r="CX734" s="26"/>
      <c r="CY734" s="26"/>
      <c r="CZ734" s="26"/>
      <c r="DA734" s="26"/>
      <c r="DB734" s="26"/>
      <c r="DC734" s="26"/>
      <c r="DD734" s="26"/>
      <c r="DE734" s="26"/>
      <c r="DF734" s="26"/>
      <c r="DG734" s="26"/>
      <c r="DH734" s="26"/>
      <c r="DI734" s="26"/>
      <c r="DJ734" s="26"/>
      <c r="DK734" s="26"/>
      <c r="DL734" s="26"/>
      <c r="DM734" s="26"/>
      <c r="DN734" s="26"/>
      <c r="DO734" s="26"/>
      <c r="DP734" s="26"/>
      <c r="DQ734" s="26"/>
      <c r="DR734" s="26"/>
      <c r="DS734" s="26"/>
      <c r="DT734" s="26"/>
      <c r="DU734" s="26"/>
      <c r="DV734" s="26"/>
      <c r="DW734" s="26"/>
      <c r="DX734" s="26"/>
      <c r="DY734" s="26"/>
      <c r="DZ734" s="26"/>
      <c r="EA734" s="26"/>
      <c r="EB734" s="26"/>
      <c r="EC734" s="26"/>
      <c r="ED734" s="26"/>
      <c r="EE734" s="26"/>
      <c r="EF734" s="26"/>
      <c r="EG734" s="26"/>
      <c r="EH734" s="26"/>
      <c r="EI734" s="26"/>
      <c r="EJ734" s="26"/>
      <c r="EK734" s="26"/>
      <c r="EL734" s="26"/>
      <c r="EM734" s="26"/>
      <c r="EN734" s="26"/>
      <c r="EO734" s="26"/>
      <c r="EP734" s="26"/>
      <c r="EQ734" s="26"/>
      <c r="ER734" s="26"/>
      <c r="ES734" s="26"/>
      <c r="ET734" s="26"/>
      <c r="EU734" s="26"/>
      <c r="EV734" s="26"/>
      <c r="EW734" s="26"/>
      <c r="EX734" s="26"/>
      <c r="EY734" s="26"/>
      <c r="EZ734" s="26"/>
      <c r="FA734" s="60"/>
      <c r="FB734" s="60"/>
      <c r="FC734" s="60"/>
      <c r="FD734" s="60"/>
      <c r="FE734" s="60"/>
      <c r="FF734" s="60"/>
      <c r="FG734" s="60"/>
      <c r="FH734" s="60"/>
      <c r="FI734" s="60"/>
      <c r="FJ734" s="60"/>
      <c r="FK734" s="60"/>
      <c r="FL734" s="60"/>
      <c r="FM734" s="60"/>
      <c r="FN734" s="60"/>
      <c r="FO734" s="60"/>
      <c r="FP734" s="60"/>
      <c r="FQ734" s="60"/>
      <c r="FR734" s="60"/>
      <c r="FS734" s="60"/>
      <c r="FT734" s="60"/>
      <c r="FU734" s="60"/>
      <c r="FV734" s="60"/>
      <c r="FW734" s="60"/>
      <c r="FX734" s="60"/>
    </row>
    <row r="735">
      <c r="A735" s="18"/>
      <c r="B735" s="14"/>
      <c r="C735" s="14"/>
      <c r="D735" s="14"/>
      <c r="E735" s="18"/>
      <c r="F735" s="18"/>
      <c r="G735" s="18"/>
      <c r="H735" s="18"/>
      <c r="I735" s="18"/>
      <c r="J735" s="18"/>
      <c r="K735" s="18"/>
      <c r="L735" s="18"/>
      <c r="M735" s="18"/>
      <c r="N735" s="18"/>
      <c r="O735" s="18"/>
      <c r="P735" s="23"/>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26"/>
      <c r="CU735" s="26"/>
      <c r="CV735" s="26"/>
      <c r="CW735" s="26"/>
      <c r="CX735" s="26"/>
      <c r="CY735" s="26"/>
      <c r="CZ735" s="26"/>
      <c r="DA735" s="26"/>
      <c r="DB735" s="26"/>
      <c r="DC735" s="26"/>
      <c r="DD735" s="26"/>
      <c r="DE735" s="26"/>
      <c r="DF735" s="26"/>
      <c r="DG735" s="26"/>
      <c r="DH735" s="26"/>
      <c r="DI735" s="26"/>
      <c r="DJ735" s="26"/>
      <c r="DK735" s="26"/>
      <c r="DL735" s="26"/>
      <c r="DM735" s="26"/>
      <c r="DN735" s="26"/>
      <c r="DO735" s="26"/>
      <c r="DP735" s="26"/>
      <c r="DQ735" s="26"/>
      <c r="DR735" s="26"/>
      <c r="DS735" s="26"/>
      <c r="DT735" s="26"/>
      <c r="DU735" s="26"/>
      <c r="DV735" s="26"/>
      <c r="DW735" s="26"/>
      <c r="DX735" s="26"/>
      <c r="DY735" s="26"/>
      <c r="DZ735" s="26"/>
      <c r="EA735" s="26"/>
      <c r="EB735" s="26"/>
      <c r="EC735" s="26"/>
      <c r="ED735" s="26"/>
      <c r="EE735" s="26"/>
      <c r="EF735" s="26"/>
      <c r="EG735" s="26"/>
      <c r="EH735" s="26"/>
      <c r="EI735" s="26"/>
      <c r="EJ735" s="26"/>
      <c r="EK735" s="26"/>
      <c r="EL735" s="26"/>
      <c r="EM735" s="26"/>
      <c r="EN735" s="26"/>
      <c r="EO735" s="26"/>
      <c r="EP735" s="26"/>
      <c r="EQ735" s="26"/>
      <c r="ER735" s="26"/>
      <c r="ES735" s="26"/>
      <c r="ET735" s="26"/>
      <c r="EU735" s="26"/>
      <c r="EV735" s="26"/>
      <c r="EW735" s="26"/>
      <c r="EX735" s="26"/>
      <c r="EY735" s="26"/>
      <c r="EZ735" s="26"/>
      <c r="FA735" s="60"/>
      <c r="FB735" s="60"/>
      <c r="FC735" s="60"/>
      <c r="FD735" s="60"/>
      <c r="FE735" s="60"/>
      <c r="FF735" s="60"/>
      <c r="FG735" s="60"/>
      <c r="FH735" s="60"/>
      <c r="FI735" s="60"/>
      <c r="FJ735" s="60"/>
      <c r="FK735" s="60"/>
      <c r="FL735" s="60"/>
      <c r="FM735" s="60"/>
      <c r="FN735" s="60"/>
      <c r="FO735" s="60"/>
      <c r="FP735" s="60"/>
      <c r="FQ735" s="60"/>
      <c r="FR735" s="60"/>
      <c r="FS735" s="60"/>
      <c r="FT735" s="60"/>
      <c r="FU735" s="60"/>
      <c r="FV735" s="60"/>
      <c r="FW735" s="60"/>
      <c r="FX735" s="60"/>
    </row>
    <row r="736">
      <c r="A736" s="18"/>
      <c r="B736" s="14"/>
      <c r="C736" s="14"/>
      <c r="D736" s="14"/>
      <c r="E736" s="18"/>
      <c r="F736" s="18"/>
      <c r="G736" s="18"/>
      <c r="H736" s="18"/>
      <c r="I736" s="18"/>
      <c r="J736" s="18"/>
      <c r="K736" s="18"/>
      <c r="L736" s="18"/>
      <c r="M736" s="18"/>
      <c r="N736" s="18"/>
      <c r="O736" s="18"/>
      <c r="P736" s="23"/>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26"/>
      <c r="CU736" s="26"/>
      <c r="CV736" s="26"/>
      <c r="CW736" s="26"/>
      <c r="CX736" s="26"/>
      <c r="CY736" s="26"/>
      <c r="CZ736" s="26"/>
      <c r="DA736" s="26"/>
      <c r="DB736" s="26"/>
      <c r="DC736" s="26"/>
      <c r="DD736" s="26"/>
      <c r="DE736" s="26"/>
      <c r="DF736" s="26"/>
      <c r="DG736" s="26"/>
      <c r="DH736" s="26"/>
      <c r="DI736" s="26"/>
      <c r="DJ736" s="26"/>
      <c r="DK736" s="26"/>
      <c r="DL736" s="26"/>
      <c r="DM736" s="26"/>
      <c r="DN736" s="26"/>
      <c r="DO736" s="26"/>
      <c r="DP736" s="26"/>
      <c r="DQ736" s="26"/>
      <c r="DR736" s="26"/>
      <c r="DS736" s="26"/>
      <c r="DT736" s="26"/>
      <c r="DU736" s="26"/>
      <c r="DV736" s="26"/>
      <c r="DW736" s="26"/>
      <c r="DX736" s="26"/>
      <c r="DY736" s="26"/>
      <c r="DZ736" s="26"/>
      <c r="EA736" s="26"/>
      <c r="EB736" s="26"/>
      <c r="EC736" s="26"/>
      <c r="ED736" s="26"/>
      <c r="EE736" s="26"/>
      <c r="EF736" s="26"/>
      <c r="EG736" s="26"/>
      <c r="EH736" s="26"/>
      <c r="EI736" s="26"/>
      <c r="EJ736" s="26"/>
      <c r="EK736" s="26"/>
      <c r="EL736" s="26"/>
      <c r="EM736" s="26"/>
      <c r="EN736" s="26"/>
      <c r="EO736" s="26"/>
      <c r="EP736" s="26"/>
      <c r="EQ736" s="26"/>
      <c r="ER736" s="26"/>
      <c r="ES736" s="26"/>
      <c r="ET736" s="26"/>
      <c r="EU736" s="26"/>
      <c r="EV736" s="26"/>
      <c r="EW736" s="26"/>
      <c r="EX736" s="26"/>
      <c r="EY736" s="26"/>
      <c r="EZ736" s="26"/>
      <c r="FA736" s="60"/>
      <c r="FB736" s="60"/>
      <c r="FC736" s="60"/>
      <c r="FD736" s="60"/>
      <c r="FE736" s="60"/>
      <c r="FF736" s="60"/>
      <c r="FG736" s="60"/>
      <c r="FH736" s="60"/>
      <c r="FI736" s="60"/>
      <c r="FJ736" s="60"/>
      <c r="FK736" s="60"/>
      <c r="FL736" s="60"/>
      <c r="FM736" s="60"/>
      <c r="FN736" s="60"/>
      <c r="FO736" s="60"/>
      <c r="FP736" s="60"/>
      <c r="FQ736" s="60"/>
      <c r="FR736" s="60"/>
      <c r="FS736" s="60"/>
      <c r="FT736" s="60"/>
      <c r="FU736" s="60"/>
      <c r="FV736" s="60"/>
      <c r="FW736" s="60"/>
      <c r="FX736" s="60"/>
    </row>
    <row r="737">
      <c r="A737" s="18"/>
      <c r="B737" s="14"/>
      <c r="C737" s="14"/>
      <c r="D737" s="14"/>
      <c r="E737" s="18"/>
      <c r="F737" s="18"/>
      <c r="G737" s="18"/>
      <c r="H737" s="18"/>
      <c r="I737" s="18"/>
      <c r="J737" s="18"/>
      <c r="K737" s="18"/>
      <c r="L737" s="18"/>
      <c r="M737" s="18"/>
      <c r="N737" s="18"/>
      <c r="O737" s="18"/>
      <c r="P737" s="23"/>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26"/>
      <c r="CU737" s="26"/>
      <c r="CV737" s="26"/>
      <c r="CW737" s="26"/>
      <c r="CX737" s="26"/>
      <c r="CY737" s="26"/>
      <c r="CZ737" s="26"/>
      <c r="DA737" s="26"/>
      <c r="DB737" s="26"/>
      <c r="DC737" s="26"/>
      <c r="DD737" s="26"/>
      <c r="DE737" s="26"/>
      <c r="DF737" s="26"/>
      <c r="DG737" s="26"/>
      <c r="DH737" s="26"/>
      <c r="DI737" s="26"/>
      <c r="DJ737" s="26"/>
      <c r="DK737" s="26"/>
      <c r="DL737" s="26"/>
      <c r="DM737" s="26"/>
      <c r="DN737" s="26"/>
      <c r="DO737" s="26"/>
      <c r="DP737" s="26"/>
      <c r="DQ737" s="26"/>
      <c r="DR737" s="26"/>
      <c r="DS737" s="26"/>
      <c r="DT737" s="26"/>
      <c r="DU737" s="26"/>
      <c r="DV737" s="26"/>
      <c r="DW737" s="26"/>
      <c r="DX737" s="26"/>
      <c r="DY737" s="26"/>
      <c r="DZ737" s="26"/>
      <c r="EA737" s="26"/>
      <c r="EB737" s="26"/>
      <c r="EC737" s="26"/>
      <c r="ED737" s="26"/>
      <c r="EE737" s="26"/>
      <c r="EF737" s="26"/>
      <c r="EG737" s="26"/>
      <c r="EH737" s="26"/>
      <c r="EI737" s="26"/>
      <c r="EJ737" s="26"/>
      <c r="EK737" s="26"/>
      <c r="EL737" s="26"/>
      <c r="EM737" s="26"/>
      <c r="EN737" s="26"/>
      <c r="EO737" s="26"/>
      <c r="EP737" s="26"/>
      <c r="EQ737" s="26"/>
      <c r="ER737" s="26"/>
      <c r="ES737" s="26"/>
      <c r="ET737" s="26"/>
      <c r="EU737" s="26"/>
      <c r="EV737" s="26"/>
      <c r="EW737" s="26"/>
      <c r="EX737" s="26"/>
      <c r="EY737" s="26"/>
      <c r="EZ737" s="26"/>
      <c r="FA737" s="60"/>
      <c r="FB737" s="60"/>
      <c r="FC737" s="60"/>
      <c r="FD737" s="60"/>
      <c r="FE737" s="60"/>
      <c r="FF737" s="60"/>
      <c r="FG737" s="60"/>
      <c r="FH737" s="60"/>
      <c r="FI737" s="60"/>
      <c r="FJ737" s="60"/>
      <c r="FK737" s="60"/>
      <c r="FL737" s="60"/>
      <c r="FM737" s="60"/>
      <c r="FN737" s="60"/>
      <c r="FO737" s="60"/>
      <c r="FP737" s="60"/>
      <c r="FQ737" s="60"/>
      <c r="FR737" s="60"/>
      <c r="FS737" s="60"/>
      <c r="FT737" s="60"/>
      <c r="FU737" s="60"/>
      <c r="FV737" s="60"/>
      <c r="FW737" s="60"/>
      <c r="FX737" s="60"/>
    </row>
    <row r="738">
      <c r="A738" s="18"/>
      <c r="B738" s="14"/>
      <c r="C738" s="14"/>
      <c r="D738" s="14"/>
      <c r="E738" s="18"/>
      <c r="F738" s="18"/>
      <c r="G738" s="18"/>
      <c r="H738" s="18"/>
      <c r="I738" s="18"/>
      <c r="J738" s="18"/>
      <c r="K738" s="18"/>
      <c r="L738" s="18"/>
      <c r="M738" s="18"/>
      <c r="N738" s="18"/>
      <c r="O738" s="18"/>
      <c r="P738" s="23"/>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26"/>
      <c r="CU738" s="26"/>
      <c r="CV738" s="26"/>
      <c r="CW738" s="26"/>
      <c r="CX738" s="26"/>
      <c r="CY738" s="26"/>
      <c r="CZ738" s="26"/>
      <c r="DA738" s="26"/>
      <c r="DB738" s="26"/>
      <c r="DC738" s="26"/>
      <c r="DD738" s="26"/>
      <c r="DE738" s="26"/>
      <c r="DF738" s="26"/>
      <c r="DG738" s="26"/>
      <c r="DH738" s="26"/>
      <c r="DI738" s="26"/>
      <c r="DJ738" s="26"/>
      <c r="DK738" s="26"/>
      <c r="DL738" s="26"/>
      <c r="DM738" s="26"/>
      <c r="DN738" s="26"/>
      <c r="DO738" s="26"/>
      <c r="DP738" s="26"/>
      <c r="DQ738" s="26"/>
      <c r="DR738" s="26"/>
      <c r="DS738" s="26"/>
      <c r="DT738" s="26"/>
      <c r="DU738" s="26"/>
      <c r="DV738" s="26"/>
      <c r="DW738" s="26"/>
      <c r="DX738" s="26"/>
      <c r="DY738" s="26"/>
      <c r="DZ738" s="26"/>
      <c r="EA738" s="26"/>
      <c r="EB738" s="26"/>
      <c r="EC738" s="26"/>
      <c r="ED738" s="26"/>
      <c r="EE738" s="26"/>
      <c r="EF738" s="26"/>
      <c r="EG738" s="26"/>
      <c r="EH738" s="26"/>
      <c r="EI738" s="26"/>
      <c r="EJ738" s="26"/>
      <c r="EK738" s="26"/>
      <c r="EL738" s="26"/>
      <c r="EM738" s="26"/>
      <c r="EN738" s="26"/>
      <c r="EO738" s="26"/>
      <c r="EP738" s="26"/>
      <c r="EQ738" s="26"/>
      <c r="ER738" s="26"/>
      <c r="ES738" s="26"/>
      <c r="ET738" s="26"/>
      <c r="EU738" s="26"/>
      <c r="EV738" s="26"/>
      <c r="EW738" s="26"/>
      <c r="EX738" s="26"/>
      <c r="EY738" s="26"/>
      <c r="EZ738" s="26"/>
      <c r="FA738" s="60"/>
      <c r="FB738" s="60"/>
      <c r="FC738" s="60"/>
      <c r="FD738" s="60"/>
      <c r="FE738" s="60"/>
      <c r="FF738" s="60"/>
      <c r="FG738" s="60"/>
      <c r="FH738" s="60"/>
      <c r="FI738" s="60"/>
      <c r="FJ738" s="60"/>
      <c r="FK738" s="60"/>
      <c r="FL738" s="60"/>
      <c r="FM738" s="60"/>
      <c r="FN738" s="60"/>
      <c r="FO738" s="60"/>
      <c r="FP738" s="60"/>
      <c r="FQ738" s="60"/>
      <c r="FR738" s="60"/>
      <c r="FS738" s="60"/>
      <c r="FT738" s="60"/>
      <c r="FU738" s="60"/>
      <c r="FV738" s="60"/>
      <c r="FW738" s="60"/>
      <c r="FX738" s="60"/>
    </row>
    <row r="739">
      <c r="A739" s="18"/>
      <c r="B739" s="14"/>
      <c r="C739" s="14"/>
      <c r="D739" s="14"/>
      <c r="E739" s="18"/>
      <c r="F739" s="18"/>
      <c r="G739" s="18"/>
      <c r="H739" s="18"/>
      <c r="I739" s="18"/>
      <c r="J739" s="18"/>
      <c r="K739" s="18"/>
      <c r="L739" s="18"/>
      <c r="M739" s="18"/>
      <c r="N739" s="18"/>
      <c r="O739" s="18"/>
      <c r="P739" s="23"/>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26"/>
      <c r="CU739" s="26"/>
      <c r="CV739" s="26"/>
      <c r="CW739" s="26"/>
      <c r="CX739" s="26"/>
      <c r="CY739" s="26"/>
      <c r="CZ739" s="26"/>
      <c r="DA739" s="26"/>
      <c r="DB739" s="26"/>
      <c r="DC739" s="26"/>
      <c r="DD739" s="26"/>
      <c r="DE739" s="26"/>
      <c r="DF739" s="26"/>
      <c r="DG739" s="26"/>
      <c r="DH739" s="26"/>
      <c r="DI739" s="26"/>
      <c r="DJ739" s="26"/>
      <c r="DK739" s="26"/>
      <c r="DL739" s="26"/>
      <c r="DM739" s="26"/>
      <c r="DN739" s="26"/>
      <c r="DO739" s="26"/>
      <c r="DP739" s="26"/>
      <c r="DQ739" s="26"/>
      <c r="DR739" s="26"/>
      <c r="DS739" s="26"/>
      <c r="DT739" s="26"/>
      <c r="DU739" s="26"/>
      <c r="DV739" s="26"/>
      <c r="DW739" s="26"/>
      <c r="DX739" s="26"/>
      <c r="DY739" s="26"/>
      <c r="DZ739" s="26"/>
      <c r="EA739" s="26"/>
      <c r="EB739" s="26"/>
      <c r="EC739" s="26"/>
      <c r="ED739" s="26"/>
      <c r="EE739" s="26"/>
      <c r="EF739" s="26"/>
      <c r="EG739" s="26"/>
      <c r="EH739" s="26"/>
      <c r="EI739" s="26"/>
      <c r="EJ739" s="26"/>
      <c r="EK739" s="26"/>
      <c r="EL739" s="26"/>
      <c r="EM739" s="26"/>
      <c r="EN739" s="26"/>
      <c r="EO739" s="26"/>
      <c r="EP739" s="26"/>
      <c r="EQ739" s="26"/>
      <c r="ER739" s="26"/>
      <c r="ES739" s="26"/>
      <c r="ET739" s="26"/>
      <c r="EU739" s="26"/>
      <c r="EV739" s="26"/>
      <c r="EW739" s="26"/>
      <c r="EX739" s="26"/>
      <c r="EY739" s="26"/>
      <c r="EZ739" s="26"/>
      <c r="FA739" s="60"/>
      <c r="FB739" s="60"/>
      <c r="FC739" s="60"/>
      <c r="FD739" s="60"/>
      <c r="FE739" s="60"/>
      <c r="FF739" s="60"/>
      <c r="FG739" s="60"/>
      <c r="FH739" s="60"/>
      <c r="FI739" s="60"/>
      <c r="FJ739" s="60"/>
      <c r="FK739" s="60"/>
      <c r="FL739" s="60"/>
      <c r="FM739" s="60"/>
      <c r="FN739" s="60"/>
      <c r="FO739" s="60"/>
      <c r="FP739" s="60"/>
      <c r="FQ739" s="60"/>
      <c r="FR739" s="60"/>
      <c r="FS739" s="60"/>
      <c r="FT739" s="60"/>
      <c r="FU739" s="60"/>
      <c r="FV739" s="60"/>
      <c r="FW739" s="60"/>
      <c r="FX739" s="60"/>
    </row>
    <row r="740">
      <c r="A740" s="18"/>
      <c r="B740" s="14"/>
      <c r="C740" s="14"/>
      <c r="D740" s="14"/>
      <c r="E740" s="18"/>
      <c r="F740" s="18"/>
      <c r="G740" s="18"/>
      <c r="H740" s="18"/>
      <c r="I740" s="18"/>
      <c r="J740" s="18"/>
      <c r="K740" s="18"/>
      <c r="L740" s="18"/>
      <c r="M740" s="18"/>
      <c r="N740" s="18"/>
      <c r="O740" s="18"/>
      <c r="P740" s="23"/>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26"/>
      <c r="CU740" s="26"/>
      <c r="CV740" s="26"/>
      <c r="CW740" s="26"/>
      <c r="CX740" s="26"/>
      <c r="CY740" s="26"/>
      <c r="CZ740" s="26"/>
      <c r="DA740" s="26"/>
      <c r="DB740" s="26"/>
      <c r="DC740" s="26"/>
      <c r="DD740" s="26"/>
      <c r="DE740" s="26"/>
      <c r="DF740" s="26"/>
      <c r="DG740" s="26"/>
      <c r="DH740" s="26"/>
      <c r="DI740" s="26"/>
      <c r="DJ740" s="26"/>
      <c r="DK740" s="26"/>
      <c r="DL740" s="26"/>
      <c r="DM740" s="26"/>
      <c r="DN740" s="26"/>
      <c r="DO740" s="26"/>
      <c r="DP740" s="26"/>
      <c r="DQ740" s="26"/>
      <c r="DR740" s="26"/>
      <c r="DS740" s="26"/>
      <c r="DT740" s="26"/>
      <c r="DU740" s="26"/>
      <c r="DV740" s="26"/>
      <c r="DW740" s="26"/>
      <c r="DX740" s="26"/>
      <c r="DY740" s="26"/>
      <c r="DZ740" s="26"/>
      <c r="EA740" s="26"/>
      <c r="EB740" s="26"/>
      <c r="EC740" s="26"/>
      <c r="ED740" s="26"/>
      <c r="EE740" s="26"/>
      <c r="EF740" s="26"/>
      <c r="EG740" s="26"/>
      <c r="EH740" s="26"/>
      <c r="EI740" s="26"/>
      <c r="EJ740" s="26"/>
      <c r="EK740" s="26"/>
      <c r="EL740" s="26"/>
      <c r="EM740" s="26"/>
      <c r="EN740" s="26"/>
      <c r="EO740" s="26"/>
      <c r="EP740" s="26"/>
      <c r="EQ740" s="26"/>
      <c r="ER740" s="26"/>
      <c r="ES740" s="26"/>
      <c r="ET740" s="26"/>
      <c r="EU740" s="26"/>
      <c r="EV740" s="26"/>
      <c r="EW740" s="26"/>
      <c r="EX740" s="26"/>
      <c r="EY740" s="26"/>
      <c r="EZ740" s="26"/>
      <c r="FA740" s="60"/>
      <c r="FB740" s="60"/>
      <c r="FC740" s="60"/>
      <c r="FD740" s="60"/>
      <c r="FE740" s="60"/>
      <c r="FF740" s="60"/>
      <c r="FG740" s="60"/>
      <c r="FH740" s="60"/>
      <c r="FI740" s="60"/>
      <c r="FJ740" s="60"/>
      <c r="FK740" s="60"/>
      <c r="FL740" s="60"/>
      <c r="FM740" s="60"/>
      <c r="FN740" s="60"/>
      <c r="FO740" s="60"/>
      <c r="FP740" s="60"/>
      <c r="FQ740" s="60"/>
      <c r="FR740" s="60"/>
      <c r="FS740" s="60"/>
      <c r="FT740" s="60"/>
      <c r="FU740" s="60"/>
      <c r="FV740" s="60"/>
      <c r="FW740" s="60"/>
      <c r="FX740" s="60"/>
    </row>
    <row r="741">
      <c r="A741" s="18"/>
      <c r="B741" s="14"/>
      <c r="C741" s="14"/>
      <c r="D741" s="14"/>
      <c r="E741" s="18"/>
      <c r="F741" s="18"/>
      <c r="G741" s="18"/>
      <c r="H741" s="18"/>
      <c r="I741" s="18"/>
      <c r="J741" s="18"/>
      <c r="K741" s="18"/>
      <c r="L741" s="18"/>
      <c r="M741" s="18"/>
      <c r="N741" s="18"/>
      <c r="O741" s="18"/>
      <c r="P741" s="23"/>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26"/>
      <c r="CU741" s="26"/>
      <c r="CV741" s="26"/>
      <c r="CW741" s="26"/>
      <c r="CX741" s="26"/>
      <c r="CY741" s="26"/>
      <c r="CZ741" s="26"/>
      <c r="DA741" s="26"/>
      <c r="DB741" s="26"/>
      <c r="DC741" s="26"/>
      <c r="DD741" s="26"/>
      <c r="DE741" s="26"/>
      <c r="DF741" s="26"/>
      <c r="DG741" s="26"/>
      <c r="DH741" s="26"/>
      <c r="DI741" s="26"/>
      <c r="DJ741" s="26"/>
      <c r="DK741" s="26"/>
      <c r="DL741" s="26"/>
      <c r="DM741" s="26"/>
      <c r="DN741" s="26"/>
      <c r="DO741" s="26"/>
      <c r="DP741" s="26"/>
      <c r="DQ741" s="26"/>
      <c r="DR741" s="26"/>
      <c r="DS741" s="26"/>
      <c r="DT741" s="26"/>
      <c r="DU741" s="26"/>
      <c r="DV741" s="26"/>
      <c r="DW741" s="26"/>
      <c r="DX741" s="26"/>
      <c r="DY741" s="26"/>
      <c r="DZ741" s="26"/>
      <c r="EA741" s="26"/>
      <c r="EB741" s="26"/>
      <c r="EC741" s="26"/>
      <c r="ED741" s="26"/>
      <c r="EE741" s="26"/>
      <c r="EF741" s="26"/>
      <c r="EG741" s="26"/>
      <c r="EH741" s="26"/>
      <c r="EI741" s="26"/>
      <c r="EJ741" s="26"/>
      <c r="EK741" s="26"/>
      <c r="EL741" s="26"/>
      <c r="EM741" s="26"/>
      <c r="EN741" s="26"/>
      <c r="EO741" s="26"/>
      <c r="EP741" s="26"/>
      <c r="EQ741" s="26"/>
      <c r="ER741" s="26"/>
      <c r="ES741" s="26"/>
      <c r="ET741" s="26"/>
      <c r="EU741" s="26"/>
      <c r="EV741" s="26"/>
      <c r="EW741" s="26"/>
      <c r="EX741" s="26"/>
      <c r="EY741" s="26"/>
      <c r="EZ741" s="26"/>
      <c r="FA741" s="60"/>
      <c r="FB741" s="60"/>
      <c r="FC741" s="60"/>
      <c r="FD741" s="60"/>
      <c r="FE741" s="60"/>
      <c r="FF741" s="60"/>
      <c r="FG741" s="60"/>
      <c r="FH741" s="60"/>
      <c r="FI741" s="60"/>
      <c r="FJ741" s="60"/>
      <c r="FK741" s="60"/>
      <c r="FL741" s="60"/>
      <c r="FM741" s="60"/>
      <c r="FN741" s="60"/>
      <c r="FO741" s="60"/>
      <c r="FP741" s="60"/>
      <c r="FQ741" s="60"/>
      <c r="FR741" s="60"/>
      <c r="FS741" s="60"/>
      <c r="FT741" s="60"/>
      <c r="FU741" s="60"/>
      <c r="FV741" s="60"/>
      <c r="FW741" s="60"/>
      <c r="FX741" s="60"/>
    </row>
    <row r="742">
      <c r="A742" s="18"/>
      <c r="B742" s="14"/>
      <c r="C742" s="14"/>
      <c r="D742" s="14"/>
      <c r="E742" s="18"/>
      <c r="F742" s="18"/>
      <c r="G742" s="18"/>
      <c r="H742" s="18"/>
      <c r="I742" s="18"/>
      <c r="J742" s="18"/>
      <c r="K742" s="18"/>
      <c r="L742" s="18"/>
      <c r="M742" s="18"/>
      <c r="N742" s="18"/>
      <c r="O742" s="18"/>
      <c r="P742" s="23"/>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26"/>
      <c r="CU742" s="26"/>
      <c r="CV742" s="26"/>
      <c r="CW742" s="26"/>
      <c r="CX742" s="26"/>
      <c r="CY742" s="26"/>
      <c r="CZ742" s="26"/>
      <c r="DA742" s="26"/>
      <c r="DB742" s="26"/>
      <c r="DC742" s="26"/>
      <c r="DD742" s="26"/>
      <c r="DE742" s="26"/>
      <c r="DF742" s="26"/>
      <c r="DG742" s="26"/>
      <c r="DH742" s="26"/>
      <c r="DI742" s="26"/>
      <c r="DJ742" s="26"/>
      <c r="DK742" s="26"/>
      <c r="DL742" s="26"/>
      <c r="DM742" s="26"/>
      <c r="DN742" s="26"/>
      <c r="DO742" s="26"/>
      <c r="DP742" s="26"/>
      <c r="DQ742" s="26"/>
      <c r="DR742" s="26"/>
      <c r="DS742" s="26"/>
      <c r="DT742" s="26"/>
      <c r="DU742" s="26"/>
      <c r="DV742" s="26"/>
      <c r="DW742" s="26"/>
      <c r="DX742" s="26"/>
      <c r="DY742" s="26"/>
      <c r="DZ742" s="26"/>
      <c r="EA742" s="26"/>
      <c r="EB742" s="26"/>
      <c r="EC742" s="26"/>
      <c r="ED742" s="26"/>
      <c r="EE742" s="26"/>
      <c r="EF742" s="26"/>
      <c r="EG742" s="26"/>
      <c r="EH742" s="26"/>
      <c r="EI742" s="26"/>
      <c r="EJ742" s="26"/>
      <c r="EK742" s="26"/>
      <c r="EL742" s="26"/>
      <c r="EM742" s="26"/>
      <c r="EN742" s="26"/>
      <c r="EO742" s="26"/>
      <c r="EP742" s="26"/>
      <c r="EQ742" s="26"/>
      <c r="ER742" s="26"/>
      <c r="ES742" s="26"/>
      <c r="ET742" s="26"/>
      <c r="EU742" s="26"/>
      <c r="EV742" s="26"/>
      <c r="EW742" s="26"/>
      <c r="EX742" s="26"/>
      <c r="EY742" s="26"/>
      <c r="EZ742" s="26"/>
      <c r="FA742" s="60"/>
      <c r="FB742" s="60"/>
      <c r="FC742" s="60"/>
      <c r="FD742" s="60"/>
      <c r="FE742" s="60"/>
      <c r="FF742" s="60"/>
      <c r="FG742" s="60"/>
      <c r="FH742" s="60"/>
      <c r="FI742" s="60"/>
      <c r="FJ742" s="60"/>
      <c r="FK742" s="60"/>
      <c r="FL742" s="60"/>
      <c r="FM742" s="60"/>
      <c r="FN742" s="60"/>
      <c r="FO742" s="60"/>
      <c r="FP742" s="60"/>
      <c r="FQ742" s="60"/>
      <c r="FR742" s="60"/>
      <c r="FS742" s="60"/>
      <c r="FT742" s="60"/>
      <c r="FU742" s="60"/>
      <c r="FV742" s="60"/>
      <c r="FW742" s="60"/>
      <c r="FX742" s="60"/>
    </row>
    <row r="743">
      <c r="A743" s="18"/>
      <c r="B743" s="14"/>
      <c r="C743" s="14"/>
      <c r="D743" s="14"/>
      <c r="E743" s="18"/>
      <c r="F743" s="18"/>
      <c r="G743" s="18"/>
      <c r="H743" s="18"/>
      <c r="I743" s="18"/>
      <c r="J743" s="18"/>
      <c r="K743" s="18"/>
      <c r="L743" s="18"/>
      <c r="M743" s="18"/>
      <c r="N743" s="18"/>
      <c r="O743" s="18"/>
      <c r="P743" s="23"/>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26"/>
      <c r="CU743" s="26"/>
      <c r="CV743" s="26"/>
      <c r="CW743" s="26"/>
      <c r="CX743" s="26"/>
      <c r="CY743" s="26"/>
      <c r="CZ743" s="26"/>
      <c r="DA743" s="26"/>
      <c r="DB743" s="26"/>
      <c r="DC743" s="26"/>
      <c r="DD743" s="26"/>
      <c r="DE743" s="26"/>
      <c r="DF743" s="26"/>
      <c r="DG743" s="26"/>
      <c r="DH743" s="26"/>
      <c r="DI743" s="26"/>
      <c r="DJ743" s="26"/>
      <c r="DK743" s="26"/>
      <c r="DL743" s="26"/>
      <c r="DM743" s="26"/>
      <c r="DN743" s="26"/>
      <c r="DO743" s="26"/>
      <c r="DP743" s="26"/>
      <c r="DQ743" s="26"/>
      <c r="DR743" s="26"/>
      <c r="DS743" s="26"/>
      <c r="DT743" s="26"/>
      <c r="DU743" s="26"/>
      <c r="DV743" s="26"/>
      <c r="DW743" s="26"/>
      <c r="DX743" s="26"/>
      <c r="DY743" s="26"/>
      <c r="DZ743" s="26"/>
      <c r="EA743" s="26"/>
      <c r="EB743" s="26"/>
      <c r="EC743" s="26"/>
      <c r="ED743" s="26"/>
      <c r="EE743" s="26"/>
      <c r="EF743" s="26"/>
      <c r="EG743" s="26"/>
      <c r="EH743" s="26"/>
      <c r="EI743" s="26"/>
      <c r="EJ743" s="26"/>
      <c r="EK743" s="26"/>
      <c r="EL743" s="26"/>
      <c r="EM743" s="26"/>
      <c r="EN743" s="26"/>
      <c r="EO743" s="26"/>
      <c r="EP743" s="26"/>
      <c r="EQ743" s="26"/>
      <c r="ER743" s="26"/>
      <c r="ES743" s="26"/>
      <c r="ET743" s="26"/>
      <c r="EU743" s="26"/>
      <c r="EV743" s="26"/>
      <c r="EW743" s="26"/>
      <c r="EX743" s="26"/>
      <c r="EY743" s="26"/>
      <c r="EZ743" s="26"/>
      <c r="FA743" s="60"/>
      <c r="FB743" s="60"/>
      <c r="FC743" s="60"/>
      <c r="FD743" s="60"/>
      <c r="FE743" s="60"/>
      <c r="FF743" s="60"/>
      <c r="FG743" s="60"/>
      <c r="FH743" s="60"/>
      <c r="FI743" s="60"/>
      <c r="FJ743" s="60"/>
      <c r="FK743" s="60"/>
      <c r="FL743" s="60"/>
      <c r="FM743" s="60"/>
      <c r="FN743" s="60"/>
      <c r="FO743" s="60"/>
      <c r="FP743" s="60"/>
      <c r="FQ743" s="60"/>
      <c r="FR743" s="60"/>
      <c r="FS743" s="60"/>
      <c r="FT743" s="60"/>
      <c r="FU743" s="60"/>
      <c r="FV743" s="60"/>
      <c r="FW743" s="60"/>
      <c r="FX743" s="60"/>
    </row>
    <row r="744">
      <c r="A744" s="18"/>
      <c r="B744" s="14"/>
      <c r="C744" s="14"/>
      <c r="D744" s="14"/>
      <c r="E744" s="18"/>
      <c r="F744" s="18"/>
      <c r="G744" s="18"/>
      <c r="H744" s="18"/>
      <c r="I744" s="18"/>
      <c r="J744" s="18"/>
      <c r="K744" s="18"/>
      <c r="L744" s="18"/>
      <c r="M744" s="18"/>
      <c r="N744" s="18"/>
      <c r="O744" s="18"/>
      <c r="P744" s="23"/>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26"/>
      <c r="CU744" s="26"/>
      <c r="CV744" s="26"/>
      <c r="CW744" s="26"/>
      <c r="CX744" s="26"/>
      <c r="CY744" s="26"/>
      <c r="CZ744" s="26"/>
      <c r="DA744" s="26"/>
      <c r="DB744" s="26"/>
      <c r="DC744" s="26"/>
      <c r="DD744" s="26"/>
      <c r="DE744" s="26"/>
      <c r="DF744" s="26"/>
      <c r="DG744" s="26"/>
      <c r="DH744" s="26"/>
      <c r="DI744" s="26"/>
      <c r="DJ744" s="26"/>
      <c r="DK744" s="26"/>
      <c r="DL744" s="26"/>
      <c r="DM744" s="26"/>
      <c r="DN744" s="26"/>
      <c r="DO744" s="26"/>
      <c r="DP744" s="26"/>
      <c r="DQ744" s="26"/>
      <c r="DR744" s="26"/>
      <c r="DS744" s="26"/>
      <c r="DT744" s="26"/>
      <c r="DU744" s="26"/>
      <c r="DV744" s="26"/>
      <c r="DW744" s="26"/>
      <c r="DX744" s="26"/>
      <c r="DY744" s="26"/>
      <c r="DZ744" s="26"/>
      <c r="EA744" s="26"/>
      <c r="EB744" s="26"/>
      <c r="EC744" s="26"/>
      <c r="ED744" s="26"/>
      <c r="EE744" s="26"/>
      <c r="EF744" s="26"/>
      <c r="EG744" s="26"/>
      <c r="EH744" s="26"/>
      <c r="EI744" s="26"/>
      <c r="EJ744" s="26"/>
      <c r="EK744" s="26"/>
      <c r="EL744" s="26"/>
      <c r="EM744" s="26"/>
      <c r="EN744" s="26"/>
      <c r="EO744" s="26"/>
      <c r="EP744" s="26"/>
      <c r="EQ744" s="26"/>
      <c r="ER744" s="26"/>
      <c r="ES744" s="26"/>
      <c r="ET744" s="26"/>
      <c r="EU744" s="26"/>
      <c r="EV744" s="26"/>
      <c r="EW744" s="26"/>
      <c r="EX744" s="26"/>
      <c r="EY744" s="26"/>
      <c r="EZ744" s="26"/>
      <c r="FA744" s="60"/>
      <c r="FB744" s="60"/>
      <c r="FC744" s="60"/>
      <c r="FD744" s="60"/>
      <c r="FE744" s="60"/>
      <c r="FF744" s="60"/>
      <c r="FG744" s="60"/>
      <c r="FH744" s="60"/>
      <c r="FI744" s="60"/>
      <c r="FJ744" s="60"/>
      <c r="FK744" s="60"/>
      <c r="FL744" s="60"/>
      <c r="FM744" s="60"/>
      <c r="FN744" s="60"/>
      <c r="FO744" s="60"/>
      <c r="FP744" s="60"/>
      <c r="FQ744" s="60"/>
      <c r="FR744" s="60"/>
      <c r="FS744" s="60"/>
      <c r="FT744" s="60"/>
      <c r="FU744" s="60"/>
      <c r="FV744" s="60"/>
      <c r="FW744" s="60"/>
      <c r="FX744" s="60"/>
    </row>
    <row r="745">
      <c r="A745" s="18"/>
      <c r="B745" s="14"/>
      <c r="C745" s="14"/>
      <c r="D745" s="14"/>
      <c r="E745" s="18"/>
      <c r="F745" s="18"/>
      <c r="G745" s="18"/>
      <c r="H745" s="18"/>
      <c r="I745" s="18"/>
      <c r="J745" s="18"/>
      <c r="K745" s="18"/>
      <c r="L745" s="18"/>
      <c r="M745" s="18"/>
      <c r="N745" s="18"/>
      <c r="O745" s="18"/>
      <c r="P745" s="23"/>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26"/>
      <c r="CU745" s="26"/>
      <c r="CV745" s="26"/>
      <c r="CW745" s="26"/>
      <c r="CX745" s="26"/>
      <c r="CY745" s="26"/>
      <c r="CZ745" s="26"/>
      <c r="DA745" s="26"/>
      <c r="DB745" s="26"/>
      <c r="DC745" s="26"/>
      <c r="DD745" s="26"/>
      <c r="DE745" s="26"/>
      <c r="DF745" s="26"/>
      <c r="DG745" s="26"/>
      <c r="DH745" s="26"/>
      <c r="DI745" s="26"/>
      <c r="DJ745" s="26"/>
      <c r="DK745" s="26"/>
      <c r="DL745" s="26"/>
      <c r="DM745" s="26"/>
      <c r="DN745" s="26"/>
      <c r="DO745" s="26"/>
      <c r="DP745" s="26"/>
      <c r="DQ745" s="26"/>
      <c r="DR745" s="26"/>
      <c r="DS745" s="26"/>
      <c r="DT745" s="26"/>
      <c r="DU745" s="26"/>
      <c r="DV745" s="26"/>
      <c r="DW745" s="26"/>
      <c r="DX745" s="26"/>
      <c r="DY745" s="26"/>
      <c r="DZ745" s="26"/>
      <c r="EA745" s="26"/>
      <c r="EB745" s="26"/>
      <c r="EC745" s="26"/>
      <c r="ED745" s="26"/>
      <c r="EE745" s="26"/>
      <c r="EF745" s="26"/>
      <c r="EG745" s="26"/>
      <c r="EH745" s="26"/>
      <c r="EI745" s="26"/>
      <c r="EJ745" s="26"/>
      <c r="EK745" s="26"/>
      <c r="EL745" s="26"/>
      <c r="EM745" s="26"/>
      <c r="EN745" s="26"/>
      <c r="EO745" s="26"/>
      <c r="EP745" s="26"/>
      <c r="EQ745" s="26"/>
      <c r="ER745" s="26"/>
      <c r="ES745" s="26"/>
      <c r="ET745" s="26"/>
      <c r="EU745" s="26"/>
      <c r="EV745" s="26"/>
      <c r="EW745" s="26"/>
      <c r="EX745" s="26"/>
      <c r="EY745" s="26"/>
      <c r="EZ745" s="26"/>
      <c r="FA745" s="60"/>
      <c r="FB745" s="60"/>
      <c r="FC745" s="60"/>
      <c r="FD745" s="60"/>
      <c r="FE745" s="60"/>
      <c r="FF745" s="60"/>
      <c r="FG745" s="60"/>
      <c r="FH745" s="60"/>
      <c r="FI745" s="60"/>
      <c r="FJ745" s="60"/>
      <c r="FK745" s="60"/>
      <c r="FL745" s="60"/>
      <c r="FM745" s="60"/>
      <c r="FN745" s="60"/>
      <c r="FO745" s="60"/>
      <c r="FP745" s="60"/>
      <c r="FQ745" s="60"/>
      <c r="FR745" s="60"/>
      <c r="FS745" s="60"/>
      <c r="FT745" s="60"/>
      <c r="FU745" s="60"/>
      <c r="FV745" s="60"/>
      <c r="FW745" s="60"/>
      <c r="FX745" s="60"/>
    </row>
    <row r="746">
      <c r="A746" s="18"/>
      <c r="B746" s="14"/>
      <c r="C746" s="14"/>
      <c r="D746" s="14"/>
      <c r="E746" s="18"/>
      <c r="F746" s="18"/>
      <c r="G746" s="18"/>
      <c r="H746" s="18"/>
      <c r="I746" s="18"/>
      <c r="J746" s="18"/>
      <c r="K746" s="18"/>
      <c r="L746" s="18"/>
      <c r="M746" s="18"/>
      <c r="N746" s="18"/>
      <c r="O746" s="18"/>
      <c r="P746" s="23"/>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26"/>
      <c r="CU746" s="26"/>
      <c r="CV746" s="26"/>
      <c r="CW746" s="26"/>
      <c r="CX746" s="26"/>
      <c r="CY746" s="26"/>
      <c r="CZ746" s="26"/>
      <c r="DA746" s="26"/>
      <c r="DB746" s="26"/>
      <c r="DC746" s="26"/>
      <c r="DD746" s="26"/>
      <c r="DE746" s="26"/>
      <c r="DF746" s="26"/>
      <c r="DG746" s="26"/>
      <c r="DH746" s="26"/>
      <c r="DI746" s="26"/>
      <c r="DJ746" s="26"/>
      <c r="DK746" s="26"/>
      <c r="DL746" s="26"/>
      <c r="DM746" s="26"/>
      <c r="DN746" s="26"/>
      <c r="DO746" s="26"/>
      <c r="DP746" s="26"/>
      <c r="DQ746" s="26"/>
      <c r="DR746" s="26"/>
      <c r="DS746" s="26"/>
      <c r="DT746" s="26"/>
      <c r="DU746" s="26"/>
      <c r="DV746" s="26"/>
      <c r="DW746" s="26"/>
      <c r="DX746" s="26"/>
      <c r="DY746" s="26"/>
      <c r="DZ746" s="26"/>
      <c r="EA746" s="26"/>
      <c r="EB746" s="26"/>
      <c r="EC746" s="26"/>
      <c r="ED746" s="26"/>
      <c r="EE746" s="26"/>
      <c r="EF746" s="26"/>
      <c r="EG746" s="26"/>
      <c r="EH746" s="26"/>
      <c r="EI746" s="26"/>
      <c r="EJ746" s="26"/>
      <c r="EK746" s="26"/>
      <c r="EL746" s="26"/>
      <c r="EM746" s="26"/>
      <c r="EN746" s="26"/>
      <c r="EO746" s="26"/>
      <c r="EP746" s="26"/>
      <c r="EQ746" s="26"/>
      <c r="ER746" s="26"/>
      <c r="ES746" s="26"/>
      <c r="ET746" s="26"/>
      <c r="EU746" s="26"/>
      <c r="EV746" s="26"/>
      <c r="EW746" s="26"/>
      <c r="EX746" s="26"/>
      <c r="EY746" s="26"/>
      <c r="EZ746" s="26"/>
      <c r="FA746" s="60"/>
      <c r="FB746" s="60"/>
      <c r="FC746" s="60"/>
      <c r="FD746" s="60"/>
      <c r="FE746" s="60"/>
      <c r="FF746" s="60"/>
      <c r="FG746" s="60"/>
      <c r="FH746" s="60"/>
      <c r="FI746" s="60"/>
      <c r="FJ746" s="60"/>
      <c r="FK746" s="60"/>
      <c r="FL746" s="60"/>
      <c r="FM746" s="60"/>
      <c r="FN746" s="60"/>
      <c r="FO746" s="60"/>
      <c r="FP746" s="60"/>
      <c r="FQ746" s="60"/>
      <c r="FR746" s="60"/>
      <c r="FS746" s="60"/>
      <c r="FT746" s="60"/>
      <c r="FU746" s="60"/>
      <c r="FV746" s="60"/>
      <c r="FW746" s="60"/>
      <c r="FX746" s="60"/>
    </row>
    <row r="747">
      <c r="A747" s="18"/>
      <c r="B747" s="14"/>
      <c r="C747" s="14"/>
      <c r="D747" s="14"/>
      <c r="E747" s="18"/>
      <c r="F747" s="18"/>
      <c r="G747" s="18"/>
      <c r="H747" s="18"/>
      <c r="I747" s="18"/>
      <c r="J747" s="18"/>
      <c r="K747" s="18"/>
      <c r="L747" s="18"/>
      <c r="M747" s="18"/>
      <c r="N747" s="18"/>
      <c r="O747" s="18"/>
      <c r="P747" s="23"/>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26"/>
      <c r="CU747" s="26"/>
      <c r="CV747" s="26"/>
      <c r="CW747" s="26"/>
      <c r="CX747" s="26"/>
      <c r="CY747" s="26"/>
      <c r="CZ747" s="26"/>
      <c r="DA747" s="26"/>
      <c r="DB747" s="26"/>
      <c r="DC747" s="26"/>
      <c r="DD747" s="26"/>
      <c r="DE747" s="26"/>
      <c r="DF747" s="26"/>
      <c r="DG747" s="26"/>
      <c r="DH747" s="26"/>
      <c r="DI747" s="26"/>
      <c r="DJ747" s="26"/>
      <c r="DK747" s="26"/>
      <c r="DL747" s="26"/>
      <c r="DM747" s="26"/>
      <c r="DN747" s="26"/>
      <c r="DO747" s="26"/>
      <c r="DP747" s="26"/>
      <c r="DQ747" s="26"/>
      <c r="DR747" s="26"/>
      <c r="DS747" s="26"/>
      <c r="DT747" s="26"/>
      <c r="DU747" s="26"/>
      <c r="DV747" s="26"/>
      <c r="DW747" s="26"/>
      <c r="DX747" s="26"/>
      <c r="DY747" s="26"/>
      <c r="DZ747" s="26"/>
      <c r="EA747" s="26"/>
      <c r="EB747" s="26"/>
      <c r="EC747" s="26"/>
      <c r="ED747" s="26"/>
      <c r="EE747" s="26"/>
      <c r="EF747" s="26"/>
      <c r="EG747" s="26"/>
      <c r="EH747" s="26"/>
      <c r="EI747" s="26"/>
      <c r="EJ747" s="26"/>
      <c r="EK747" s="26"/>
      <c r="EL747" s="26"/>
      <c r="EM747" s="26"/>
      <c r="EN747" s="26"/>
      <c r="EO747" s="26"/>
      <c r="EP747" s="26"/>
      <c r="EQ747" s="26"/>
      <c r="ER747" s="26"/>
      <c r="ES747" s="26"/>
      <c r="ET747" s="26"/>
      <c r="EU747" s="26"/>
      <c r="EV747" s="26"/>
      <c r="EW747" s="26"/>
      <c r="EX747" s="26"/>
      <c r="EY747" s="26"/>
      <c r="EZ747" s="26"/>
      <c r="FA747" s="60"/>
      <c r="FB747" s="60"/>
      <c r="FC747" s="60"/>
      <c r="FD747" s="60"/>
      <c r="FE747" s="60"/>
      <c r="FF747" s="60"/>
      <c r="FG747" s="60"/>
      <c r="FH747" s="60"/>
      <c r="FI747" s="60"/>
      <c r="FJ747" s="60"/>
      <c r="FK747" s="60"/>
      <c r="FL747" s="60"/>
      <c r="FM747" s="60"/>
      <c r="FN747" s="60"/>
      <c r="FO747" s="60"/>
      <c r="FP747" s="60"/>
      <c r="FQ747" s="60"/>
      <c r="FR747" s="60"/>
      <c r="FS747" s="60"/>
      <c r="FT747" s="60"/>
      <c r="FU747" s="60"/>
      <c r="FV747" s="60"/>
      <c r="FW747" s="60"/>
      <c r="FX747" s="60"/>
    </row>
    <row r="748">
      <c r="A748" s="18"/>
      <c r="B748" s="14"/>
      <c r="C748" s="14"/>
      <c r="D748" s="14"/>
      <c r="E748" s="18"/>
      <c r="F748" s="18"/>
      <c r="G748" s="18"/>
      <c r="H748" s="18"/>
      <c r="I748" s="18"/>
      <c r="J748" s="18"/>
      <c r="K748" s="18"/>
      <c r="L748" s="18"/>
      <c r="M748" s="18"/>
      <c r="N748" s="18"/>
      <c r="O748" s="18"/>
      <c r="P748" s="23"/>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26"/>
      <c r="CU748" s="26"/>
      <c r="CV748" s="26"/>
      <c r="CW748" s="26"/>
      <c r="CX748" s="26"/>
      <c r="CY748" s="26"/>
      <c r="CZ748" s="26"/>
      <c r="DA748" s="26"/>
      <c r="DB748" s="26"/>
      <c r="DC748" s="26"/>
      <c r="DD748" s="26"/>
      <c r="DE748" s="26"/>
      <c r="DF748" s="26"/>
      <c r="DG748" s="26"/>
      <c r="DH748" s="26"/>
      <c r="DI748" s="26"/>
      <c r="DJ748" s="26"/>
      <c r="DK748" s="26"/>
      <c r="DL748" s="26"/>
      <c r="DM748" s="26"/>
      <c r="DN748" s="26"/>
      <c r="DO748" s="26"/>
      <c r="DP748" s="26"/>
      <c r="DQ748" s="26"/>
      <c r="DR748" s="26"/>
      <c r="DS748" s="26"/>
      <c r="DT748" s="26"/>
      <c r="DU748" s="26"/>
      <c r="DV748" s="26"/>
      <c r="DW748" s="26"/>
      <c r="DX748" s="26"/>
      <c r="DY748" s="26"/>
      <c r="DZ748" s="26"/>
      <c r="EA748" s="26"/>
      <c r="EB748" s="26"/>
      <c r="EC748" s="26"/>
      <c r="ED748" s="26"/>
      <c r="EE748" s="26"/>
      <c r="EF748" s="26"/>
      <c r="EG748" s="26"/>
      <c r="EH748" s="26"/>
      <c r="EI748" s="26"/>
      <c r="EJ748" s="26"/>
      <c r="EK748" s="26"/>
      <c r="EL748" s="26"/>
      <c r="EM748" s="26"/>
      <c r="EN748" s="26"/>
      <c r="EO748" s="26"/>
      <c r="EP748" s="26"/>
      <c r="EQ748" s="26"/>
      <c r="ER748" s="26"/>
      <c r="ES748" s="26"/>
      <c r="ET748" s="26"/>
      <c r="EU748" s="26"/>
      <c r="EV748" s="26"/>
      <c r="EW748" s="26"/>
      <c r="EX748" s="26"/>
      <c r="EY748" s="26"/>
      <c r="EZ748" s="26"/>
      <c r="FA748" s="60"/>
      <c r="FB748" s="60"/>
      <c r="FC748" s="60"/>
      <c r="FD748" s="60"/>
      <c r="FE748" s="60"/>
      <c r="FF748" s="60"/>
      <c r="FG748" s="60"/>
      <c r="FH748" s="60"/>
      <c r="FI748" s="60"/>
      <c r="FJ748" s="60"/>
      <c r="FK748" s="60"/>
      <c r="FL748" s="60"/>
      <c r="FM748" s="60"/>
      <c r="FN748" s="60"/>
      <c r="FO748" s="60"/>
      <c r="FP748" s="60"/>
      <c r="FQ748" s="60"/>
      <c r="FR748" s="60"/>
      <c r="FS748" s="60"/>
      <c r="FT748" s="60"/>
      <c r="FU748" s="60"/>
      <c r="FV748" s="60"/>
      <c r="FW748" s="60"/>
      <c r="FX748" s="60"/>
    </row>
    <row r="749">
      <c r="A749" s="18"/>
      <c r="B749" s="14"/>
      <c r="C749" s="14"/>
      <c r="D749" s="14"/>
      <c r="E749" s="18"/>
      <c r="F749" s="18"/>
      <c r="G749" s="18"/>
      <c r="H749" s="18"/>
      <c r="I749" s="18"/>
      <c r="J749" s="18"/>
      <c r="K749" s="18"/>
      <c r="L749" s="18"/>
      <c r="M749" s="18"/>
      <c r="N749" s="18"/>
      <c r="O749" s="18"/>
      <c r="P749" s="23"/>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26"/>
      <c r="CU749" s="26"/>
      <c r="CV749" s="26"/>
      <c r="CW749" s="26"/>
      <c r="CX749" s="26"/>
      <c r="CY749" s="26"/>
      <c r="CZ749" s="26"/>
      <c r="DA749" s="26"/>
      <c r="DB749" s="26"/>
      <c r="DC749" s="26"/>
      <c r="DD749" s="26"/>
      <c r="DE749" s="26"/>
      <c r="DF749" s="26"/>
      <c r="DG749" s="26"/>
      <c r="DH749" s="26"/>
      <c r="DI749" s="26"/>
      <c r="DJ749" s="26"/>
      <c r="DK749" s="26"/>
      <c r="DL749" s="26"/>
      <c r="DM749" s="26"/>
      <c r="DN749" s="26"/>
      <c r="DO749" s="26"/>
      <c r="DP749" s="26"/>
      <c r="DQ749" s="26"/>
      <c r="DR749" s="26"/>
      <c r="DS749" s="26"/>
      <c r="DT749" s="26"/>
      <c r="DU749" s="26"/>
      <c r="DV749" s="26"/>
      <c r="DW749" s="26"/>
      <c r="DX749" s="26"/>
      <c r="DY749" s="26"/>
      <c r="DZ749" s="26"/>
      <c r="EA749" s="26"/>
      <c r="EB749" s="26"/>
      <c r="EC749" s="26"/>
      <c r="ED749" s="26"/>
      <c r="EE749" s="26"/>
      <c r="EF749" s="26"/>
      <c r="EG749" s="26"/>
      <c r="EH749" s="26"/>
      <c r="EI749" s="26"/>
      <c r="EJ749" s="26"/>
      <c r="EK749" s="26"/>
      <c r="EL749" s="26"/>
      <c r="EM749" s="26"/>
      <c r="EN749" s="26"/>
      <c r="EO749" s="26"/>
      <c r="EP749" s="26"/>
      <c r="EQ749" s="26"/>
      <c r="ER749" s="26"/>
      <c r="ES749" s="26"/>
      <c r="ET749" s="26"/>
      <c r="EU749" s="26"/>
      <c r="EV749" s="26"/>
      <c r="EW749" s="26"/>
      <c r="EX749" s="26"/>
      <c r="EY749" s="26"/>
      <c r="EZ749" s="26"/>
      <c r="FA749" s="60"/>
      <c r="FB749" s="60"/>
      <c r="FC749" s="60"/>
      <c r="FD749" s="60"/>
      <c r="FE749" s="60"/>
      <c r="FF749" s="60"/>
      <c r="FG749" s="60"/>
      <c r="FH749" s="60"/>
      <c r="FI749" s="60"/>
      <c r="FJ749" s="60"/>
      <c r="FK749" s="60"/>
      <c r="FL749" s="60"/>
      <c r="FM749" s="60"/>
      <c r="FN749" s="60"/>
      <c r="FO749" s="60"/>
      <c r="FP749" s="60"/>
      <c r="FQ749" s="60"/>
      <c r="FR749" s="60"/>
      <c r="FS749" s="60"/>
      <c r="FT749" s="60"/>
      <c r="FU749" s="60"/>
      <c r="FV749" s="60"/>
      <c r="FW749" s="60"/>
      <c r="FX749" s="60"/>
    </row>
    <row r="750">
      <c r="A750" s="18"/>
      <c r="B750" s="14"/>
      <c r="C750" s="14"/>
      <c r="D750" s="14"/>
      <c r="E750" s="18"/>
      <c r="F750" s="18"/>
      <c r="G750" s="18"/>
      <c r="H750" s="18"/>
      <c r="I750" s="18"/>
      <c r="J750" s="18"/>
      <c r="K750" s="18"/>
      <c r="L750" s="18"/>
      <c r="M750" s="18"/>
      <c r="N750" s="18"/>
      <c r="O750" s="18"/>
      <c r="P750" s="23"/>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26"/>
      <c r="CU750" s="26"/>
      <c r="CV750" s="26"/>
      <c r="CW750" s="26"/>
      <c r="CX750" s="26"/>
      <c r="CY750" s="26"/>
      <c r="CZ750" s="26"/>
      <c r="DA750" s="26"/>
      <c r="DB750" s="26"/>
      <c r="DC750" s="26"/>
      <c r="DD750" s="26"/>
      <c r="DE750" s="26"/>
      <c r="DF750" s="26"/>
      <c r="DG750" s="26"/>
      <c r="DH750" s="26"/>
      <c r="DI750" s="26"/>
      <c r="DJ750" s="26"/>
      <c r="DK750" s="26"/>
      <c r="DL750" s="26"/>
      <c r="DM750" s="26"/>
      <c r="DN750" s="26"/>
      <c r="DO750" s="26"/>
      <c r="DP750" s="26"/>
      <c r="DQ750" s="26"/>
      <c r="DR750" s="26"/>
      <c r="DS750" s="26"/>
      <c r="DT750" s="26"/>
      <c r="DU750" s="26"/>
      <c r="DV750" s="26"/>
      <c r="DW750" s="26"/>
      <c r="DX750" s="26"/>
      <c r="DY750" s="26"/>
      <c r="DZ750" s="26"/>
      <c r="EA750" s="26"/>
      <c r="EB750" s="26"/>
      <c r="EC750" s="26"/>
      <c r="ED750" s="26"/>
      <c r="EE750" s="26"/>
      <c r="EF750" s="26"/>
      <c r="EG750" s="26"/>
      <c r="EH750" s="26"/>
      <c r="EI750" s="26"/>
      <c r="EJ750" s="26"/>
      <c r="EK750" s="26"/>
      <c r="EL750" s="26"/>
      <c r="EM750" s="26"/>
      <c r="EN750" s="26"/>
      <c r="EO750" s="26"/>
      <c r="EP750" s="26"/>
      <c r="EQ750" s="26"/>
      <c r="ER750" s="26"/>
      <c r="ES750" s="26"/>
      <c r="ET750" s="26"/>
      <c r="EU750" s="26"/>
      <c r="EV750" s="26"/>
      <c r="EW750" s="26"/>
      <c r="EX750" s="26"/>
      <c r="EY750" s="26"/>
      <c r="EZ750" s="26"/>
      <c r="FA750" s="60"/>
      <c r="FB750" s="60"/>
      <c r="FC750" s="60"/>
      <c r="FD750" s="60"/>
      <c r="FE750" s="60"/>
      <c r="FF750" s="60"/>
      <c r="FG750" s="60"/>
      <c r="FH750" s="60"/>
      <c r="FI750" s="60"/>
      <c r="FJ750" s="60"/>
      <c r="FK750" s="60"/>
      <c r="FL750" s="60"/>
      <c r="FM750" s="60"/>
      <c r="FN750" s="60"/>
      <c r="FO750" s="60"/>
      <c r="FP750" s="60"/>
      <c r="FQ750" s="60"/>
      <c r="FR750" s="60"/>
      <c r="FS750" s="60"/>
      <c r="FT750" s="60"/>
      <c r="FU750" s="60"/>
      <c r="FV750" s="60"/>
      <c r="FW750" s="60"/>
      <c r="FX750" s="60"/>
    </row>
    <row r="751">
      <c r="A751" s="18"/>
      <c r="B751" s="14"/>
      <c r="C751" s="14"/>
      <c r="D751" s="14"/>
      <c r="E751" s="18"/>
      <c r="F751" s="18"/>
      <c r="G751" s="18"/>
      <c r="H751" s="18"/>
      <c r="I751" s="18"/>
      <c r="J751" s="18"/>
      <c r="K751" s="18"/>
      <c r="L751" s="18"/>
      <c r="M751" s="18"/>
      <c r="N751" s="18"/>
      <c r="O751" s="18"/>
      <c r="P751" s="23"/>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26"/>
      <c r="CU751" s="26"/>
      <c r="CV751" s="26"/>
      <c r="CW751" s="26"/>
      <c r="CX751" s="26"/>
      <c r="CY751" s="26"/>
      <c r="CZ751" s="26"/>
      <c r="DA751" s="26"/>
      <c r="DB751" s="26"/>
      <c r="DC751" s="26"/>
      <c r="DD751" s="26"/>
      <c r="DE751" s="26"/>
      <c r="DF751" s="26"/>
      <c r="DG751" s="26"/>
      <c r="DH751" s="26"/>
      <c r="DI751" s="26"/>
      <c r="DJ751" s="26"/>
      <c r="DK751" s="26"/>
      <c r="DL751" s="26"/>
      <c r="DM751" s="26"/>
      <c r="DN751" s="26"/>
      <c r="DO751" s="26"/>
      <c r="DP751" s="26"/>
      <c r="DQ751" s="26"/>
      <c r="DR751" s="26"/>
      <c r="DS751" s="26"/>
      <c r="DT751" s="26"/>
      <c r="DU751" s="26"/>
      <c r="DV751" s="26"/>
      <c r="DW751" s="26"/>
      <c r="DX751" s="26"/>
      <c r="DY751" s="26"/>
      <c r="DZ751" s="26"/>
      <c r="EA751" s="26"/>
      <c r="EB751" s="26"/>
      <c r="EC751" s="26"/>
      <c r="ED751" s="26"/>
      <c r="EE751" s="26"/>
      <c r="EF751" s="26"/>
      <c r="EG751" s="26"/>
      <c r="EH751" s="26"/>
      <c r="EI751" s="26"/>
      <c r="EJ751" s="26"/>
      <c r="EK751" s="26"/>
      <c r="EL751" s="26"/>
      <c r="EM751" s="26"/>
      <c r="EN751" s="26"/>
      <c r="EO751" s="26"/>
      <c r="EP751" s="26"/>
      <c r="EQ751" s="26"/>
      <c r="ER751" s="26"/>
      <c r="ES751" s="26"/>
      <c r="ET751" s="26"/>
      <c r="EU751" s="26"/>
      <c r="EV751" s="26"/>
      <c r="EW751" s="26"/>
      <c r="EX751" s="26"/>
      <c r="EY751" s="26"/>
      <c r="EZ751" s="26"/>
      <c r="FA751" s="60"/>
      <c r="FB751" s="60"/>
      <c r="FC751" s="60"/>
      <c r="FD751" s="60"/>
      <c r="FE751" s="60"/>
      <c r="FF751" s="60"/>
      <c r="FG751" s="60"/>
      <c r="FH751" s="60"/>
      <c r="FI751" s="60"/>
      <c r="FJ751" s="60"/>
      <c r="FK751" s="60"/>
      <c r="FL751" s="60"/>
      <c r="FM751" s="60"/>
      <c r="FN751" s="60"/>
      <c r="FO751" s="60"/>
      <c r="FP751" s="60"/>
      <c r="FQ751" s="60"/>
      <c r="FR751" s="60"/>
      <c r="FS751" s="60"/>
      <c r="FT751" s="60"/>
      <c r="FU751" s="60"/>
      <c r="FV751" s="60"/>
      <c r="FW751" s="60"/>
      <c r="FX751" s="60"/>
    </row>
    <row r="752">
      <c r="A752" s="18"/>
      <c r="B752" s="14"/>
      <c r="C752" s="14"/>
      <c r="D752" s="14"/>
      <c r="E752" s="18"/>
      <c r="F752" s="18"/>
      <c r="G752" s="18"/>
      <c r="H752" s="18"/>
      <c r="I752" s="18"/>
      <c r="J752" s="18"/>
      <c r="K752" s="18"/>
      <c r="L752" s="18"/>
      <c r="M752" s="18"/>
      <c r="N752" s="18"/>
      <c r="O752" s="18"/>
      <c r="P752" s="23"/>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26"/>
      <c r="CU752" s="26"/>
      <c r="CV752" s="26"/>
      <c r="CW752" s="26"/>
      <c r="CX752" s="26"/>
      <c r="CY752" s="26"/>
      <c r="CZ752" s="26"/>
      <c r="DA752" s="26"/>
      <c r="DB752" s="26"/>
      <c r="DC752" s="26"/>
      <c r="DD752" s="26"/>
      <c r="DE752" s="26"/>
      <c r="DF752" s="26"/>
      <c r="DG752" s="26"/>
      <c r="DH752" s="26"/>
      <c r="DI752" s="26"/>
      <c r="DJ752" s="26"/>
      <c r="DK752" s="26"/>
      <c r="DL752" s="26"/>
      <c r="DM752" s="26"/>
      <c r="DN752" s="26"/>
      <c r="DO752" s="26"/>
      <c r="DP752" s="26"/>
      <c r="DQ752" s="26"/>
      <c r="DR752" s="26"/>
      <c r="DS752" s="26"/>
      <c r="DT752" s="26"/>
      <c r="DU752" s="26"/>
      <c r="DV752" s="26"/>
      <c r="DW752" s="26"/>
      <c r="DX752" s="26"/>
      <c r="DY752" s="26"/>
      <c r="DZ752" s="26"/>
      <c r="EA752" s="26"/>
      <c r="EB752" s="26"/>
      <c r="EC752" s="26"/>
      <c r="ED752" s="26"/>
      <c r="EE752" s="26"/>
      <c r="EF752" s="26"/>
      <c r="EG752" s="26"/>
      <c r="EH752" s="26"/>
      <c r="EI752" s="26"/>
      <c r="EJ752" s="26"/>
      <c r="EK752" s="26"/>
      <c r="EL752" s="26"/>
      <c r="EM752" s="26"/>
      <c r="EN752" s="26"/>
      <c r="EO752" s="26"/>
      <c r="EP752" s="26"/>
      <c r="EQ752" s="26"/>
      <c r="ER752" s="26"/>
      <c r="ES752" s="26"/>
      <c r="ET752" s="26"/>
      <c r="EU752" s="26"/>
      <c r="EV752" s="26"/>
      <c r="EW752" s="26"/>
      <c r="EX752" s="26"/>
      <c r="EY752" s="26"/>
      <c r="EZ752" s="26"/>
      <c r="FA752" s="60"/>
      <c r="FB752" s="60"/>
      <c r="FC752" s="60"/>
      <c r="FD752" s="60"/>
      <c r="FE752" s="60"/>
      <c r="FF752" s="60"/>
      <c r="FG752" s="60"/>
      <c r="FH752" s="60"/>
      <c r="FI752" s="60"/>
      <c r="FJ752" s="60"/>
      <c r="FK752" s="60"/>
      <c r="FL752" s="60"/>
      <c r="FM752" s="60"/>
      <c r="FN752" s="60"/>
      <c r="FO752" s="60"/>
      <c r="FP752" s="60"/>
      <c r="FQ752" s="60"/>
      <c r="FR752" s="60"/>
      <c r="FS752" s="60"/>
      <c r="FT752" s="60"/>
      <c r="FU752" s="60"/>
      <c r="FV752" s="60"/>
      <c r="FW752" s="60"/>
      <c r="FX752" s="60"/>
    </row>
    <row r="753">
      <c r="A753" s="18"/>
      <c r="B753" s="14"/>
      <c r="C753" s="14"/>
      <c r="D753" s="14"/>
      <c r="E753" s="18"/>
      <c r="F753" s="18"/>
      <c r="G753" s="18"/>
      <c r="H753" s="18"/>
      <c r="I753" s="18"/>
      <c r="J753" s="18"/>
      <c r="K753" s="18"/>
      <c r="L753" s="18"/>
      <c r="M753" s="18"/>
      <c r="N753" s="18"/>
      <c r="O753" s="18"/>
      <c r="P753" s="23"/>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26"/>
      <c r="CU753" s="26"/>
      <c r="CV753" s="26"/>
      <c r="CW753" s="26"/>
      <c r="CX753" s="26"/>
      <c r="CY753" s="26"/>
      <c r="CZ753" s="26"/>
      <c r="DA753" s="26"/>
      <c r="DB753" s="26"/>
      <c r="DC753" s="26"/>
      <c r="DD753" s="26"/>
      <c r="DE753" s="26"/>
      <c r="DF753" s="26"/>
      <c r="DG753" s="26"/>
      <c r="DH753" s="26"/>
      <c r="DI753" s="26"/>
      <c r="DJ753" s="26"/>
      <c r="DK753" s="26"/>
      <c r="DL753" s="26"/>
      <c r="DM753" s="26"/>
      <c r="DN753" s="26"/>
      <c r="DO753" s="26"/>
      <c r="DP753" s="26"/>
      <c r="DQ753" s="26"/>
      <c r="DR753" s="26"/>
      <c r="DS753" s="26"/>
      <c r="DT753" s="26"/>
      <c r="DU753" s="26"/>
      <c r="DV753" s="26"/>
      <c r="DW753" s="26"/>
      <c r="DX753" s="26"/>
      <c r="DY753" s="26"/>
      <c r="DZ753" s="26"/>
      <c r="EA753" s="26"/>
      <c r="EB753" s="26"/>
      <c r="EC753" s="26"/>
      <c r="ED753" s="26"/>
      <c r="EE753" s="26"/>
      <c r="EF753" s="26"/>
      <c r="EG753" s="26"/>
      <c r="EH753" s="26"/>
      <c r="EI753" s="26"/>
      <c r="EJ753" s="26"/>
      <c r="EK753" s="26"/>
      <c r="EL753" s="26"/>
      <c r="EM753" s="26"/>
      <c r="EN753" s="26"/>
      <c r="EO753" s="26"/>
      <c r="EP753" s="26"/>
      <c r="EQ753" s="26"/>
      <c r="ER753" s="26"/>
      <c r="ES753" s="26"/>
      <c r="ET753" s="26"/>
      <c r="EU753" s="26"/>
      <c r="EV753" s="26"/>
      <c r="EW753" s="26"/>
      <c r="EX753" s="26"/>
      <c r="EY753" s="26"/>
      <c r="EZ753" s="26"/>
      <c r="FA753" s="60"/>
      <c r="FB753" s="60"/>
      <c r="FC753" s="60"/>
      <c r="FD753" s="60"/>
      <c r="FE753" s="60"/>
      <c r="FF753" s="60"/>
      <c r="FG753" s="60"/>
      <c r="FH753" s="60"/>
      <c r="FI753" s="60"/>
      <c r="FJ753" s="60"/>
      <c r="FK753" s="60"/>
      <c r="FL753" s="60"/>
      <c r="FM753" s="60"/>
      <c r="FN753" s="60"/>
      <c r="FO753" s="60"/>
      <c r="FP753" s="60"/>
      <c r="FQ753" s="60"/>
      <c r="FR753" s="60"/>
      <c r="FS753" s="60"/>
      <c r="FT753" s="60"/>
      <c r="FU753" s="60"/>
      <c r="FV753" s="60"/>
      <c r="FW753" s="60"/>
      <c r="FX753" s="60"/>
    </row>
    <row r="754">
      <c r="A754" s="18"/>
      <c r="B754" s="14"/>
      <c r="C754" s="14"/>
      <c r="D754" s="14"/>
      <c r="E754" s="18"/>
      <c r="F754" s="18"/>
      <c r="G754" s="18"/>
      <c r="H754" s="18"/>
      <c r="I754" s="18"/>
      <c r="J754" s="18"/>
      <c r="K754" s="18"/>
      <c r="L754" s="18"/>
      <c r="M754" s="18"/>
      <c r="N754" s="18"/>
      <c r="O754" s="18"/>
      <c r="P754" s="23"/>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26"/>
      <c r="CU754" s="26"/>
      <c r="CV754" s="26"/>
      <c r="CW754" s="26"/>
      <c r="CX754" s="26"/>
      <c r="CY754" s="26"/>
      <c r="CZ754" s="26"/>
      <c r="DA754" s="26"/>
      <c r="DB754" s="26"/>
      <c r="DC754" s="26"/>
      <c r="DD754" s="26"/>
      <c r="DE754" s="26"/>
      <c r="DF754" s="26"/>
      <c r="DG754" s="26"/>
      <c r="DH754" s="26"/>
      <c r="DI754" s="26"/>
      <c r="DJ754" s="26"/>
      <c r="DK754" s="26"/>
      <c r="DL754" s="26"/>
      <c r="DM754" s="26"/>
      <c r="DN754" s="26"/>
      <c r="DO754" s="26"/>
      <c r="DP754" s="26"/>
      <c r="DQ754" s="26"/>
      <c r="DR754" s="26"/>
      <c r="DS754" s="26"/>
      <c r="DT754" s="26"/>
      <c r="DU754" s="26"/>
      <c r="DV754" s="26"/>
      <c r="DW754" s="26"/>
      <c r="DX754" s="26"/>
      <c r="DY754" s="26"/>
      <c r="DZ754" s="26"/>
      <c r="EA754" s="26"/>
      <c r="EB754" s="26"/>
      <c r="EC754" s="26"/>
      <c r="ED754" s="26"/>
      <c r="EE754" s="26"/>
      <c r="EF754" s="26"/>
      <c r="EG754" s="26"/>
      <c r="EH754" s="26"/>
      <c r="EI754" s="26"/>
      <c r="EJ754" s="26"/>
      <c r="EK754" s="26"/>
      <c r="EL754" s="26"/>
      <c r="EM754" s="26"/>
      <c r="EN754" s="26"/>
      <c r="EO754" s="26"/>
      <c r="EP754" s="26"/>
      <c r="EQ754" s="26"/>
      <c r="ER754" s="26"/>
      <c r="ES754" s="26"/>
      <c r="ET754" s="26"/>
      <c r="EU754" s="26"/>
      <c r="EV754" s="26"/>
      <c r="EW754" s="26"/>
      <c r="EX754" s="26"/>
      <c r="EY754" s="26"/>
      <c r="EZ754" s="26"/>
      <c r="FA754" s="60"/>
      <c r="FB754" s="60"/>
      <c r="FC754" s="60"/>
      <c r="FD754" s="60"/>
      <c r="FE754" s="60"/>
      <c r="FF754" s="60"/>
      <c r="FG754" s="60"/>
      <c r="FH754" s="60"/>
      <c r="FI754" s="60"/>
      <c r="FJ754" s="60"/>
      <c r="FK754" s="60"/>
      <c r="FL754" s="60"/>
      <c r="FM754" s="60"/>
      <c r="FN754" s="60"/>
      <c r="FO754" s="60"/>
      <c r="FP754" s="60"/>
      <c r="FQ754" s="60"/>
      <c r="FR754" s="60"/>
      <c r="FS754" s="60"/>
      <c r="FT754" s="60"/>
      <c r="FU754" s="60"/>
      <c r="FV754" s="60"/>
      <c r="FW754" s="60"/>
      <c r="FX754" s="60"/>
    </row>
    <row r="755">
      <c r="A755" s="18"/>
      <c r="B755" s="14"/>
      <c r="C755" s="14"/>
      <c r="D755" s="14"/>
      <c r="E755" s="18"/>
      <c r="F755" s="18"/>
      <c r="G755" s="18"/>
      <c r="H755" s="18"/>
      <c r="I755" s="18"/>
      <c r="J755" s="18"/>
      <c r="K755" s="18"/>
      <c r="L755" s="18"/>
      <c r="M755" s="18"/>
      <c r="N755" s="18"/>
      <c r="O755" s="18"/>
      <c r="P755" s="23"/>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26"/>
      <c r="CU755" s="26"/>
      <c r="CV755" s="26"/>
      <c r="CW755" s="26"/>
      <c r="CX755" s="26"/>
      <c r="CY755" s="26"/>
      <c r="CZ755" s="26"/>
      <c r="DA755" s="26"/>
      <c r="DB755" s="26"/>
      <c r="DC755" s="26"/>
      <c r="DD755" s="26"/>
      <c r="DE755" s="26"/>
      <c r="DF755" s="26"/>
      <c r="DG755" s="26"/>
      <c r="DH755" s="26"/>
      <c r="DI755" s="26"/>
      <c r="DJ755" s="26"/>
      <c r="DK755" s="26"/>
      <c r="DL755" s="26"/>
      <c r="DM755" s="26"/>
      <c r="DN755" s="26"/>
      <c r="DO755" s="26"/>
      <c r="DP755" s="26"/>
      <c r="DQ755" s="26"/>
      <c r="DR755" s="26"/>
      <c r="DS755" s="26"/>
      <c r="DT755" s="26"/>
      <c r="DU755" s="26"/>
      <c r="DV755" s="26"/>
      <c r="DW755" s="26"/>
      <c r="DX755" s="26"/>
      <c r="DY755" s="26"/>
      <c r="DZ755" s="26"/>
      <c r="EA755" s="26"/>
      <c r="EB755" s="26"/>
      <c r="EC755" s="26"/>
      <c r="ED755" s="26"/>
      <c r="EE755" s="26"/>
      <c r="EF755" s="26"/>
      <c r="EG755" s="26"/>
      <c r="EH755" s="26"/>
      <c r="EI755" s="26"/>
      <c r="EJ755" s="26"/>
      <c r="EK755" s="26"/>
      <c r="EL755" s="26"/>
      <c r="EM755" s="26"/>
      <c r="EN755" s="26"/>
      <c r="EO755" s="26"/>
      <c r="EP755" s="26"/>
      <c r="EQ755" s="26"/>
      <c r="ER755" s="26"/>
      <c r="ES755" s="26"/>
      <c r="ET755" s="26"/>
      <c r="EU755" s="26"/>
      <c r="EV755" s="26"/>
      <c r="EW755" s="26"/>
      <c r="EX755" s="26"/>
      <c r="EY755" s="26"/>
      <c r="EZ755" s="26"/>
      <c r="FA755" s="60"/>
      <c r="FB755" s="60"/>
      <c r="FC755" s="60"/>
      <c r="FD755" s="60"/>
      <c r="FE755" s="60"/>
      <c r="FF755" s="60"/>
      <c r="FG755" s="60"/>
      <c r="FH755" s="60"/>
      <c r="FI755" s="60"/>
      <c r="FJ755" s="60"/>
      <c r="FK755" s="60"/>
      <c r="FL755" s="60"/>
      <c r="FM755" s="60"/>
      <c r="FN755" s="60"/>
      <c r="FO755" s="60"/>
      <c r="FP755" s="60"/>
      <c r="FQ755" s="60"/>
      <c r="FR755" s="60"/>
      <c r="FS755" s="60"/>
      <c r="FT755" s="60"/>
      <c r="FU755" s="60"/>
      <c r="FV755" s="60"/>
      <c r="FW755" s="60"/>
      <c r="FX755" s="60"/>
    </row>
    <row r="756">
      <c r="A756" s="18"/>
      <c r="B756" s="14"/>
      <c r="C756" s="14"/>
      <c r="D756" s="14"/>
      <c r="E756" s="18"/>
      <c r="F756" s="18"/>
      <c r="G756" s="18"/>
      <c r="H756" s="18"/>
      <c r="I756" s="18"/>
      <c r="J756" s="18"/>
      <c r="K756" s="18"/>
      <c r="L756" s="18"/>
      <c r="M756" s="18"/>
      <c r="N756" s="18"/>
      <c r="O756" s="18"/>
      <c r="P756" s="23"/>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26"/>
      <c r="CU756" s="26"/>
      <c r="CV756" s="26"/>
      <c r="CW756" s="26"/>
      <c r="CX756" s="26"/>
      <c r="CY756" s="26"/>
      <c r="CZ756" s="26"/>
      <c r="DA756" s="26"/>
      <c r="DB756" s="26"/>
      <c r="DC756" s="26"/>
      <c r="DD756" s="26"/>
      <c r="DE756" s="26"/>
      <c r="DF756" s="26"/>
      <c r="DG756" s="26"/>
      <c r="DH756" s="26"/>
      <c r="DI756" s="26"/>
      <c r="DJ756" s="26"/>
      <c r="DK756" s="26"/>
      <c r="DL756" s="26"/>
      <c r="DM756" s="26"/>
      <c r="DN756" s="26"/>
      <c r="DO756" s="26"/>
      <c r="DP756" s="26"/>
      <c r="DQ756" s="26"/>
      <c r="DR756" s="26"/>
      <c r="DS756" s="26"/>
      <c r="DT756" s="26"/>
      <c r="DU756" s="26"/>
      <c r="DV756" s="26"/>
      <c r="DW756" s="26"/>
      <c r="DX756" s="26"/>
      <c r="DY756" s="26"/>
      <c r="DZ756" s="26"/>
      <c r="EA756" s="26"/>
      <c r="EB756" s="26"/>
      <c r="EC756" s="26"/>
      <c r="ED756" s="26"/>
      <c r="EE756" s="26"/>
      <c r="EF756" s="26"/>
      <c r="EG756" s="26"/>
      <c r="EH756" s="26"/>
      <c r="EI756" s="26"/>
      <c r="EJ756" s="26"/>
      <c r="EK756" s="26"/>
      <c r="EL756" s="26"/>
      <c r="EM756" s="26"/>
      <c r="EN756" s="26"/>
      <c r="EO756" s="26"/>
      <c r="EP756" s="26"/>
      <c r="EQ756" s="26"/>
      <c r="ER756" s="26"/>
      <c r="ES756" s="26"/>
      <c r="ET756" s="26"/>
      <c r="EU756" s="26"/>
      <c r="EV756" s="26"/>
      <c r="EW756" s="26"/>
      <c r="EX756" s="26"/>
      <c r="EY756" s="26"/>
      <c r="EZ756" s="26"/>
      <c r="FA756" s="60"/>
      <c r="FB756" s="60"/>
      <c r="FC756" s="60"/>
      <c r="FD756" s="60"/>
      <c r="FE756" s="60"/>
      <c r="FF756" s="60"/>
      <c r="FG756" s="60"/>
      <c r="FH756" s="60"/>
      <c r="FI756" s="60"/>
      <c r="FJ756" s="60"/>
      <c r="FK756" s="60"/>
      <c r="FL756" s="60"/>
      <c r="FM756" s="60"/>
      <c r="FN756" s="60"/>
      <c r="FO756" s="60"/>
      <c r="FP756" s="60"/>
      <c r="FQ756" s="60"/>
      <c r="FR756" s="60"/>
      <c r="FS756" s="60"/>
      <c r="FT756" s="60"/>
      <c r="FU756" s="60"/>
      <c r="FV756" s="60"/>
      <c r="FW756" s="60"/>
      <c r="FX756" s="60"/>
    </row>
    <row r="757">
      <c r="A757" s="18"/>
      <c r="B757" s="14"/>
      <c r="C757" s="14"/>
      <c r="D757" s="14"/>
      <c r="E757" s="18"/>
      <c r="F757" s="18"/>
      <c r="G757" s="18"/>
      <c r="H757" s="18"/>
      <c r="I757" s="18"/>
      <c r="J757" s="18"/>
      <c r="K757" s="18"/>
      <c r="L757" s="18"/>
      <c r="M757" s="18"/>
      <c r="N757" s="18"/>
      <c r="O757" s="18"/>
      <c r="P757" s="23"/>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26"/>
      <c r="CU757" s="26"/>
      <c r="CV757" s="26"/>
      <c r="CW757" s="26"/>
      <c r="CX757" s="26"/>
      <c r="CY757" s="26"/>
      <c r="CZ757" s="26"/>
      <c r="DA757" s="26"/>
      <c r="DB757" s="26"/>
      <c r="DC757" s="26"/>
      <c r="DD757" s="26"/>
      <c r="DE757" s="26"/>
      <c r="DF757" s="26"/>
      <c r="DG757" s="26"/>
      <c r="DH757" s="26"/>
      <c r="DI757" s="26"/>
      <c r="DJ757" s="26"/>
      <c r="DK757" s="26"/>
      <c r="DL757" s="26"/>
      <c r="DM757" s="26"/>
      <c r="DN757" s="26"/>
      <c r="DO757" s="26"/>
      <c r="DP757" s="26"/>
      <c r="DQ757" s="26"/>
      <c r="DR757" s="26"/>
      <c r="DS757" s="26"/>
      <c r="DT757" s="26"/>
      <c r="DU757" s="26"/>
      <c r="DV757" s="26"/>
      <c r="DW757" s="26"/>
      <c r="DX757" s="26"/>
      <c r="DY757" s="26"/>
      <c r="DZ757" s="26"/>
      <c r="EA757" s="26"/>
      <c r="EB757" s="26"/>
      <c r="EC757" s="26"/>
      <c r="ED757" s="26"/>
      <c r="EE757" s="26"/>
      <c r="EF757" s="26"/>
      <c r="EG757" s="26"/>
      <c r="EH757" s="26"/>
      <c r="EI757" s="26"/>
      <c r="EJ757" s="26"/>
      <c r="EK757" s="26"/>
      <c r="EL757" s="26"/>
      <c r="EM757" s="26"/>
      <c r="EN757" s="26"/>
      <c r="EO757" s="26"/>
      <c r="EP757" s="26"/>
      <c r="EQ757" s="26"/>
      <c r="ER757" s="26"/>
      <c r="ES757" s="26"/>
      <c r="ET757" s="26"/>
      <c r="EU757" s="26"/>
      <c r="EV757" s="26"/>
      <c r="EW757" s="26"/>
      <c r="EX757" s="26"/>
      <c r="EY757" s="26"/>
      <c r="EZ757" s="26"/>
      <c r="FA757" s="60"/>
      <c r="FB757" s="60"/>
      <c r="FC757" s="60"/>
      <c r="FD757" s="60"/>
      <c r="FE757" s="60"/>
      <c r="FF757" s="60"/>
      <c r="FG757" s="60"/>
      <c r="FH757" s="60"/>
      <c r="FI757" s="60"/>
      <c r="FJ757" s="60"/>
      <c r="FK757" s="60"/>
      <c r="FL757" s="60"/>
      <c r="FM757" s="60"/>
      <c r="FN757" s="60"/>
      <c r="FO757" s="60"/>
      <c r="FP757" s="60"/>
      <c r="FQ757" s="60"/>
      <c r="FR757" s="60"/>
      <c r="FS757" s="60"/>
      <c r="FT757" s="60"/>
      <c r="FU757" s="60"/>
      <c r="FV757" s="60"/>
      <c r="FW757" s="60"/>
      <c r="FX757" s="60"/>
    </row>
    <row r="758">
      <c r="A758" s="18"/>
      <c r="B758" s="14"/>
      <c r="C758" s="14"/>
      <c r="D758" s="14"/>
      <c r="E758" s="18"/>
      <c r="F758" s="18"/>
      <c r="G758" s="18"/>
      <c r="H758" s="18"/>
      <c r="I758" s="18"/>
      <c r="J758" s="18"/>
      <c r="K758" s="18"/>
      <c r="L758" s="18"/>
      <c r="M758" s="18"/>
      <c r="N758" s="18"/>
      <c r="O758" s="18"/>
      <c r="P758" s="23"/>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26"/>
      <c r="CU758" s="26"/>
      <c r="CV758" s="26"/>
      <c r="CW758" s="26"/>
      <c r="CX758" s="26"/>
      <c r="CY758" s="26"/>
      <c r="CZ758" s="26"/>
      <c r="DA758" s="26"/>
      <c r="DB758" s="26"/>
      <c r="DC758" s="26"/>
      <c r="DD758" s="26"/>
      <c r="DE758" s="26"/>
      <c r="DF758" s="26"/>
      <c r="DG758" s="26"/>
      <c r="DH758" s="26"/>
      <c r="DI758" s="26"/>
      <c r="DJ758" s="26"/>
      <c r="DK758" s="26"/>
      <c r="DL758" s="26"/>
      <c r="DM758" s="26"/>
      <c r="DN758" s="26"/>
      <c r="DO758" s="26"/>
      <c r="DP758" s="26"/>
      <c r="DQ758" s="26"/>
      <c r="DR758" s="26"/>
      <c r="DS758" s="26"/>
      <c r="DT758" s="26"/>
      <c r="DU758" s="26"/>
      <c r="DV758" s="26"/>
      <c r="DW758" s="26"/>
      <c r="DX758" s="26"/>
      <c r="DY758" s="26"/>
      <c r="DZ758" s="26"/>
      <c r="EA758" s="26"/>
      <c r="EB758" s="26"/>
      <c r="EC758" s="26"/>
      <c r="ED758" s="26"/>
      <c r="EE758" s="26"/>
      <c r="EF758" s="26"/>
      <c r="EG758" s="26"/>
      <c r="EH758" s="26"/>
      <c r="EI758" s="26"/>
      <c r="EJ758" s="26"/>
      <c r="EK758" s="26"/>
      <c r="EL758" s="26"/>
      <c r="EM758" s="26"/>
      <c r="EN758" s="26"/>
      <c r="EO758" s="26"/>
      <c r="EP758" s="26"/>
      <c r="EQ758" s="26"/>
      <c r="ER758" s="26"/>
      <c r="ES758" s="26"/>
      <c r="ET758" s="26"/>
      <c r="EU758" s="26"/>
      <c r="EV758" s="26"/>
      <c r="EW758" s="26"/>
      <c r="EX758" s="26"/>
      <c r="EY758" s="26"/>
      <c r="EZ758" s="26"/>
      <c r="FA758" s="60"/>
      <c r="FB758" s="60"/>
      <c r="FC758" s="60"/>
      <c r="FD758" s="60"/>
      <c r="FE758" s="60"/>
      <c r="FF758" s="60"/>
      <c r="FG758" s="60"/>
      <c r="FH758" s="60"/>
      <c r="FI758" s="60"/>
      <c r="FJ758" s="60"/>
      <c r="FK758" s="60"/>
      <c r="FL758" s="60"/>
      <c r="FM758" s="60"/>
      <c r="FN758" s="60"/>
      <c r="FO758" s="60"/>
      <c r="FP758" s="60"/>
      <c r="FQ758" s="60"/>
      <c r="FR758" s="60"/>
      <c r="FS758" s="60"/>
      <c r="FT758" s="60"/>
      <c r="FU758" s="60"/>
      <c r="FV758" s="60"/>
      <c r="FW758" s="60"/>
      <c r="FX758" s="60"/>
    </row>
    <row r="759">
      <c r="A759" s="18"/>
      <c r="B759" s="14"/>
      <c r="C759" s="14"/>
      <c r="D759" s="14"/>
      <c r="E759" s="18"/>
      <c r="F759" s="18"/>
      <c r="G759" s="18"/>
      <c r="H759" s="18"/>
      <c r="I759" s="18"/>
      <c r="J759" s="18"/>
      <c r="K759" s="18"/>
      <c r="L759" s="18"/>
      <c r="M759" s="18"/>
      <c r="N759" s="18"/>
      <c r="O759" s="18"/>
      <c r="P759" s="23"/>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26"/>
      <c r="CU759" s="26"/>
      <c r="CV759" s="26"/>
      <c r="CW759" s="26"/>
      <c r="CX759" s="26"/>
      <c r="CY759" s="26"/>
      <c r="CZ759" s="26"/>
      <c r="DA759" s="26"/>
      <c r="DB759" s="26"/>
      <c r="DC759" s="26"/>
      <c r="DD759" s="26"/>
      <c r="DE759" s="26"/>
      <c r="DF759" s="26"/>
      <c r="DG759" s="26"/>
      <c r="DH759" s="26"/>
      <c r="DI759" s="26"/>
      <c r="DJ759" s="26"/>
      <c r="DK759" s="26"/>
      <c r="DL759" s="26"/>
      <c r="DM759" s="26"/>
      <c r="DN759" s="26"/>
      <c r="DO759" s="26"/>
      <c r="DP759" s="26"/>
      <c r="DQ759" s="26"/>
      <c r="DR759" s="26"/>
      <c r="DS759" s="26"/>
      <c r="DT759" s="26"/>
      <c r="DU759" s="26"/>
      <c r="DV759" s="26"/>
      <c r="DW759" s="26"/>
      <c r="DX759" s="26"/>
      <c r="DY759" s="26"/>
      <c r="DZ759" s="26"/>
      <c r="EA759" s="26"/>
      <c r="EB759" s="26"/>
      <c r="EC759" s="26"/>
      <c r="ED759" s="26"/>
      <c r="EE759" s="26"/>
      <c r="EF759" s="26"/>
      <c r="EG759" s="26"/>
      <c r="EH759" s="26"/>
      <c r="EI759" s="26"/>
      <c r="EJ759" s="26"/>
      <c r="EK759" s="26"/>
      <c r="EL759" s="26"/>
      <c r="EM759" s="26"/>
      <c r="EN759" s="26"/>
      <c r="EO759" s="26"/>
      <c r="EP759" s="26"/>
      <c r="EQ759" s="26"/>
      <c r="ER759" s="26"/>
      <c r="ES759" s="26"/>
      <c r="ET759" s="26"/>
      <c r="EU759" s="26"/>
      <c r="EV759" s="26"/>
      <c r="EW759" s="26"/>
      <c r="EX759" s="26"/>
      <c r="EY759" s="26"/>
      <c r="EZ759" s="26"/>
      <c r="FA759" s="60"/>
      <c r="FB759" s="60"/>
      <c r="FC759" s="60"/>
      <c r="FD759" s="60"/>
      <c r="FE759" s="60"/>
      <c r="FF759" s="60"/>
      <c r="FG759" s="60"/>
      <c r="FH759" s="60"/>
      <c r="FI759" s="60"/>
      <c r="FJ759" s="60"/>
      <c r="FK759" s="60"/>
      <c r="FL759" s="60"/>
      <c r="FM759" s="60"/>
      <c r="FN759" s="60"/>
      <c r="FO759" s="60"/>
      <c r="FP759" s="60"/>
      <c r="FQ759" s="60"/>
      <c r="FR759" s="60"/>
      <c r="FS759" s="60"/>
      <c r="FT759" s="60"/>
      <c r="FU759" s="60"/>
      <c r="FV759" s="60"/>
      <c r="FW759" s="60"/>
      <c r="FX759" s="60"/>
    </row>
    <row r="760">
      <c r="A760" s="18"/>
      <c r="B760" s="14"/>
      <c r="C760" s="14"/>
      <c r="D760" s="14"/>
      <c r="E760" s="18"/>
      <c r="F760" s="18"/>
      <c r="G760" s="18"/>
      <c r="H760" s="18"/>
      <c r="I760" s="18"/>
      <c r="J760" s="18"/>
      <c r="K760" s="18"/>
      <c r="L760" s="18"/>
      <c r="M760" s="18"/>
      <c r="N760" s="18"/>
      <c r="O760" s="18"/>
      <c r="P760" s="23"/>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26"/>
      <c r="CU760" s="26"/>
      <c r="CV760" s="26"/>
      <c r="CW760" s="26"/>
      <c r="CX760" s="26"/>
      <c r="CY760" s="26"/>
      <c r="CZ760" s="26"/>
      <c r="DA760" s="26"/>
      <c r="DB760" s="26"/>
      <c r="DC760" s="26"/>
      <c r="DD760" s="26"/>
      <c r="DE760" s="26"/>
      <c r="DF760" s="26"/>
      <c r="DG760" s="26"/>
      <c r="DH760" s="26"/>
      <c r="DI760" s="26"/>
      <c r="DJ760" s="26"/>
      <c r="DK760" s="26"/>
      <c r="DL760" s="26"/>
      <c r="DM760" s="26"/>
      <c r="DN760" s="26"/>
      <c r="DO760" s="26"/>
      <c r="DP760" s="26"/>
      <c r="DQ760" s="26"/>
      <c r="DR760" s="26"/>
      <c r="DS760" s="26"/>
      <c r="DT760" s="26"/>
      <c r="DU760" s="26"/>
      <c r="DV760" s="26"/>
      <c r="DW760" s="26"/>
      <c r="DX760" s="26"/>
      <c r="DY760" s="26"/>
      <c r="DZ760" s="26"/>
      <c r="EA760" s="26"/>
      <c r="EB760" s="26"/>
      <c r="EC760" s="26"/>
      <c r="ED760" s="26"/>
      <c r="EE760" s="26"/>
      <c r="EF760" s="26"/>
      <c r="EG760" s="26"/>
      <c r="EH760" s="26"/>
      <c r="EI760" s="26"/>
      <c r="EJ760" s="26"/>
      <c r="EK760" s="26"/>
      <c r="EL760" s="26"/>
      <c r="EM760" s="26"/>
      <c r="EN760" s="26"/>
      <c r="EO760" s="26"/>
      <c r="EP760" s="26"/>
      <c r="EQ760" s="26"/>
      <c r="ER760" s="26"/>
      <c r="ES760" s="26"/>
      <c r="ET760" s="26"/>
      <c r="EU760" s="26"/>
      <c r="EV760" s="26"/>
      <c r="EW760" s="26"/>
      <c r="EX760" s="26"/>
      <c r="EY760" s="26"/>
      <c r="EZ760" s="26"/>
      <c r="FA760" s="60"/>
      <c r="FB760" s="60"/>
      <c r="FC760" s="60"/>
      <c r="FD760" s="60"/>
      <c r="FE760" s="60"/>
      <c r="FF760" s="60"/>
      <c r="FG760" s="60"/>
      <c r="FH760" s="60"/>
      <c r="FI760" s="60"/>
      <c r="FJ760" s="60"/>
      <c r="FK760" s="60"/>
      <c r="FL760" s="60"/>
      <c r="FM760" s="60"/>
      <c r="FN760" s="60"/>
      <c r="FO760" s="60"/>
      <c r="FP760" s="60"/>
      <c r="FQ760" s="60"/>
      <c r="FR760" s="60"/>
      <c r="FS760" s="60"/>
      <c r="FT760" s="60"/>
      <c r="FU760" s="60"/>
      <c r="FV760" s="60"/>
      <c r="FW760" s="60"/>
      <c r="FX760" s="60"/>
    </row>
    <row r="761">
      <c r="A761" s="18"/>
      <c r="B761" s="14"/>
      <c r="C761" s="14"/>
      <c r="D761" s="14"/>
      <c r="E761" s="18"/>
      <c r="F761" s="18"/>
      <c r="G761" s="18"/>
      <c r="H761" s="18"/>
      <c r="I761" s="18"/>
      <c r="J761" s="18"/>
      <c r="K761" s="18"/>
      <c r="L761" s="18"/>
      <c r="M761" s="18"/>
      <c r="N761" s="18"/>
      <c r="O761" s="18"/>
      <c r="P761" s="23"/>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26"/>
      <c r="CU761" s="26"/>
      <c r="CV761" s="26"/>
      <c r="CW761" s="26"/>
      <c r="CX761" s="26"/>
      <c r="CY761" s="26"/>
      <c r="CZ761" s="26"/>
      <c r="DA761" s="26"/>
      <c r="DB761" s="26"/>
      <c r="DC761" s="26"/>
      <c r="DD761" s="26"/>
      <c r="DE761" s="26"/>
      <c r="DF761" s="26"/>
      <c r="DG761" s="26"/>
      <c r="DH761" s="26"/>
      <c r="DI761" s="26"/>
      <c r="DJ761" s="26"/>
      <c r="DK761" s="26"/>
      <c r="DL761" s="26"/>
      <c r="DM761" s="26"/>
      <c r="DN761" s="26"/>
      <c r="DO761" s="26"/>
      <c r="DP761" s="26"/>
      <c r="DQ761" s="26"/>
      <c r="DR761" s="26"/>
      <c r="DS761" s="26"/>
      <c r="DT761" s="26"/>
      <c r="DU761" s="26"/>
      <c r="DV761" s="26"/>
      <c r="DW761" s="26"/>
      <c r="DX761" s="26"/>
      <c r="DY761" s="26"/>
      <c r="DZ761" s="26"/>
      <c r="EA761" s="26"/>
      <c r="EB761" s="26"/>
      <c r="EC761" s="26"/>
      <c r="ED761" s="26"/>
      <c r="EE761" s="26"/>
      <c r="EF761" s="26"/>
      <c r="EG761" s="26"/>
      <c r="EH761" s="26"/>
      <c r="EI761" s="26"/>
      <c r="EJ761" s="26"/>
      <c r="EK761" s="26"/>
      <c r="EL761" s="26"/>
      <c r="EM761" s="26"/>
      <c r="EN761" s="26"/>
      <c r="EO761" s="26"/>
      <c r="EP761" s="26"/>
      <c r="EQ761" s="26"/>
      <c r="ER761" s="26"/>
      <c r="ES761" s="26"/>
      <c r="ET761" s="26"/>
      <c r="EU761" s="26"/>
      <c r="EV761" s="26"/>
      <c r="EW761" s="26"/>
      <c r="EX761" s="26"/>
      <c r="EY761" s="26"/>
      <c r="EZ761" s="26"/>
      <c r="FA761" s="60"/>
      <c r="FB761" s="60"/>
      <c r="FC761" s="60"/>
      <c r="FD761" s="60"/>
      <c r="FE761" s="60"/>
      <c r="FF761" s="60"/>
      <c r="FG761" s="60"/>
      <c r="FH761" s="60"/>
      <c r="FI761" s="60"/>
      <c r="FJ761" s="60"/>
      <c r="FK761" s="60"/>
      <c r="FL761" s="60"/>
      <c r="FM761" s="60"/>
      <c r="FN761" s="60"/>
      <c r="FO761" s="60"/>
      <c r="FP761" s="60"/>
      <c r="FQ761" s="60"/>
      <c r="FR761" s="60"/>
      <c r="FS761" s="60"/>
      <c r="FT761" s="60"/>
      <c r="FU761" s="60"/>
      <c r="FV761" s="60"/>
      <c r="FW761" s="60"/>
      <c r="FX761" s="60"/>
    </row>
    <row r="762">
      <c r="A762" s="18"/>
      <c r="B762" s="14"/>
      <c r="C762" s="14"/>
      <c r="D762" s="14"/>
      <c r="E762" s="18"/>
      <c r="F762" s="18"/>
      <c r="G762" s="18"/>
      <c r="H762" s="18"/>
      <c r="I762" s="18"/>
      <c r="J762" s="18"/>
      <c r="K762" s="18"/>
      <c r="L762" s="18"/>
      <c r="M762" s="18"/>
      <c r="N762" s="18"/>
      <c r="O762" s="18"/>
      <c r="P762" s="23"/>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26"/>
      <c r="CU762" s="26"/>
      <c r="CV762" s="26"/>
      <c r="CW762" s="26"/>
      <c r="CX762" s="26"/>
      <c r="CY762" s="26"/>
      <c r="CZ762" s="26"/>
      <c r="DA762" s="26"/>
      <c r="DB762" s="26"/>
      <c r="DC762" s="26"/>
      <c r="DD762" s="26"/>
      <c r="DE762" s="26"/>
      <c r="DF762" s="26"/>
      <c r="DG762" s="26"/>
      <c r="DH762" s="26"/>
      <c r="DI762" s="26"/>
      <c r="DJ762" s="26"/>
      <c r="DK762" s="26"/>
      <c r="DL762" s="26"/>
      <c r="DM762" s="26"/>
      <c r="DN762" s="26"/>
      <c r="DO762" s="26"/>
      <c r="DP762" s="26"/>
      <c r="DQ762" s="26"/>
      <c r="DR762" s="26"/>
      <c r="DS762" s="26"/>
      <c r="DT762" s="26"/>
      <c r="DU762" s="26"/>
      <c r="DV762" s="26"/>
      <c r="DW762" s="26"/>
      <c r="DX762" s="26"/>
      <c r="DY762" s="26"/>
      <c r="DZ762" s="26"/>
      <c r="EA762" s="26"/>
      <c r="EB762" s="26"/>
      <c r="EC762" s="26"/>
      <c r="ED762" s="26"/>
      <c r="EE762" s="26"/>
      <c r="EF762" s="26"/>
      <c r="EG762" s="26"/>
      <c r="EH762" s="26"/>
      <c r="EI762" s="26"/>
      <c r="EJ762" s="26"/>
      <c r="EK762" s="26"/>
      <c r="EL762" s="26"/>
      <c r="EM762" s="26"/>
      <c r="EN762" s="26"/>
      <c r="EO762" s="26"/>
      <c r="EP762" s="26"/>
      <c r="EQ762" s="26"/>
      <c r="ER762" s="26"/>
      <c r="ES762" s="26"/>
      <c r="ET762" s="26"/>
      <c r="EU762" s="26"/>
      <c r="EV762" s="26"/>
      <c r="EW762" s="26"/>
      <c r="EX762" s="26"/>
      <c r="EY762" s="26"/>
      <c r="EZ762" s="26"/>
      <c r="FA762" s="60"/>
      <c r="FB762" s="60"/>
      <c r="FC762" s="60"/>
      <c r="FD762" s="60"/>
      <c r="FE762" s="60"/>
      <c r="FF762" s="60"/>
      <c r="FG762" s="60"/>
      <c r="FH762" s="60"/>
      <c r="FI762" s="60"/>
      <c r="FJ762" s="60"/>
      <c r="FK762" s="60"/>
      <c r="FL762" s="60"/>
      <c r="FM762" s="60"/>
      <c r="FN762" s="60"/>
      <c r="FO762" s="60"/>
      <c r="FP762" s="60"/>
      <c r="FQ762" s="60"/>
      <c r="FR762" s="60"/>
      <c r="FS762" s="60"/>
      <c r="FT762" s="60"/>
      <c r="FU762" s="60"/>
      <c r="FV762" s="60"/>
      <c r="FW762" s="60"/>
      <c r="FX762" s="60"/>
    </row>
    <row r="763">
      <c r="A763" s="18"/>
      <c r="B763" s="14"/>
      <c r="C763" s="14"/>
      <c r="D763" s="14"/>
      <c r="E763" s="18"/>
      <c r="F763" s="18"/>
      <c r="G763" s="18"/>
      <c r="H763" s="18"/>
      <c r="I763" s="18"/>
      <c r="J763" s="18"/>
      <c r="K763" s="18"/>
      <c r="L763" s="18"/>
      <c r="M763" s="18"/>
      <c r="N763" s="18"/>
      <c r="O763" s="18"/>
      <c r="P763" s="23"/>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26"/>
      <c r="CU763" s="26"/>
      <c r="CV763" s="26"/>
      <c r="CW763" s="26"/>
      <c r="CX763" s="26"/>
      <c r="CY763" s="26"/>
      <c r="CZ763" s="26"/>
      <c r="DA763" s="26"/>
      <c r="DB763" s="26"/>
      <c r="DC763" s="26"/>
      <c r="DD763" s="26"/>
      <c r="DE763" s="26"/>
      <c r="DF763" s="26"/>
      <c r="DG763" s="26"/>
      <c r="DH763" s="26"/>
      <c r="DI763" s="26"/>
      <c r="DJ763" s="26"/>
      <c r="DK763" s="26"/>
      <c r="DL763" s="26"/>
      <c r="DM763" s="26"/>
      <c r="DN763" s="26"/>
      <c r="DO763" s="26"/>
      <c r="DP763" s="26"/>
      <c r="DQ763" s="26"/>
      <c r="DR763" s="26"/>
      <c r="DS763" s="26"/>
      <c r="DT763" s="26"/>
      <c r="DU763" s="26"/>
      <c r="DV763" s="26"/>
      <c r="DW763" s="26"/>
      <c r="DX763" s="26"/>
      <c r="DY763" s="26"/>
      <c r="DZ763" s="26"/>
      <c r="EA763" s="26"/>
      <c r="EB763" s="26"/>
      <c r="EC763" s="26"/>
      <c r="ED763" s="26"/>
      <c r="EE763" s="26"/>
      <c r="EF763" s="26"/>
      <c r="EG763" s="26"/>
      <c r="EH763" s="26"/>
      <c r="EI763" s="26"/>
      <c r="EJ763" s="26"/>
      <c r="EK763" s="26"/>
      <c r="EL763" s="26"/>
      <c r="EM763" s="26"/>
      <c r="EN763" s="26"/>
      <c r="EO763" s="26"/>
      <c r="EP763" s="26"/>
      <c r="EQ763" s="26"/>
      <c r="ER763" s="26"/>
      <c r="ES763" s="26"/>
      <c r="ET763" s="26"/>
      <c r="EU763" s="26"/>
      <c r="EV763" s="26"/>
      <c r="EW763" s="26"/>
      <c r="EX763" s="26"/>
      <c r="EY763" s="26"/>
      <c r="EZ763" s="26"/>
      <c r="FA763" s="60"/>
      <c r="FB763" s="60"/>
      <c r="FC763" s="60"/>
      <c r="FD763" s="60"/>
      <c r="FE763" s="60"/>
      <c r="FF763" s="60"/>
      <c r="FG763" s="60"/>
      <c r="FH763" s="60"/>
      <c r="FI763" s="60"/>
      <c r="FJ763" s="60"/>
      <c r="FK763" s="60"/>
      <c r="FL763" s="60"/>
      <c r="FM763" s="60"/>
      <c r="FN763" s="60"/>
      <c r="FO763" s="60"/>
      <c r="FP763" s="60"/>
      <c r="FQ763" s="60"/>
      <c r="FR763" s="60"/>
      <c r="FS763" s="60"/>
      <c r="FT763" s="60"/>
      <c r="FU763" s="60"/>
      <c r="FV763" s="60"/>
      <c r="FW763" s="60"/>
      <c r="FX763" s="60"/>
    </row>
    <row r="764">
      <c r="A764" s="18"/>
      <c r="B764" s="14"/>
      <c r="C764" s="14"/>
      <c r="D764" s="14"/>
      <c r="E764" s="18"/>
      <c r="F764" s="18"/>
      <c r="G764" s="18"/>
      <c r="H764" s="18"/>
      <c r="I764" s="18"/>
      <c r="J764" s="18"/>
      <c r="K764" s="18"/>
      <c r="L764" s="18"/>
      <c r="M764" s="18"/>
      <c r="N764" s="18"/>
      <c r="O764" s="18"/>
      <c r="P764" s="23"/>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c r="BO764" s="26"/>
      <c r="BP764" s="26"/>
      <c r="BQ764" s="26"/>
      <c r="BR764" s="26"/>
      <c r="BS764" s="26"/>
      <c r="BT764" s="26"/>
      <c r="BU764" s="26"/>
      <c r="BV764" s="26"/>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26"/>
      <c r="CU764" s="26"/>
      <c r="CV764" s="26"/>
      <c r="CW764" s="26"/>
      <c r="CX764" s="26"/>
      <c r="CY764" s="26"/>
      <c r="CZ764" s="26"/>
      <c r="DA764" s="26"/>
      <c r="DB764" s="26"/>
      <c r="DC764" s="26"/>
      <c r="DD764" s="26"/>
      <c r="DE764" s="26"/>
      <c r="DF764" s="26"/>
      <c r="DG764" s="26"/>
      <c r="DH764" s="26"/>
      <c r="DI764" s="26"/>
      <c r="DJ764" s="26"/>
      <c r="DK764" s="26"/>
      <c r="DL764" s="26"/>
      <c r="DM764" s="26"/>
      <c r="DN764" s="26"/>
      <c r="DO764" s="26"/>
      <c r="DP764" s="26"/>
      <c r="DQ764" s="26"/>
      <c r="DR764" s="26"/>
      <c r="DS764" s="26"/>
      <c r="DT764" s="26"/>
      <c r="DU764" s="26"/>
      <c r="DV764" s="26"/>
      <c r="DW764" s="26"/>
      <c r="DX764" s="26"/>
      <c r="DY764" s="26"/>
      <c r="DZ764" s="26"/>
      <c r="EA764" s="26"/>
      <c r="EB764" s="26"/>
      <c r="EC764" s="26"/>
      <c r="ED764" s="26"/>
      <c r="EE764" s="26"/>
      <c r="EF764" s="26"/>
      <c r="EG764" s="26"/>
      <c r="EH764" s="26"/>
      <c r="EI764" s="26"/>
      <c r="EJ764" s="26"/>
      <c r="EK764" s="26"/>
      <c r="EL764" s="26"/>
      <c r="EM764" s="26"/>
      <c r="EN764" s="26"/>
      <c r="EO764" s="26"/>
      <c r="EP764" s="26"/>
      <c r="EQ764" s="26"/>
      <c r="ER764" s="26"/>
      <c r="ES764" s="26"/>
      <c r="ET764" s="26"/>
      <c r="EU764" s="26"/>
      <c r="EV764" s="26"/>
      <c r="EW764" s="26"/>
      <c r="EX764" s="26"/>
      <c r="EY764" s="26"/>
      <c r="EZ764" s="26"/>
      <c r="FA764" s="60"/>
      <c r="FB764" s="60"/>
      <c r="FC764" s="60"/>
      <c r="FD764" s="60"/>
      <c r="FE764" s="60"/>
      <c r="FF764" s="60"/>
      <c r="FG764" s="60"/>
      <c r="FH764" s="60"/>
      <c r="FI764" s="60"/>
      <c r="FJ764" s="60"/>
      <c r="FK764" s="60"/>
      <c r="FL764" s="60"/>
      <c r="FM764" s="60"/>
      <c r="FN764" s="60"/>
      <c r="FO764" s="60"/>
      <c r="FP764" s="60"/>
      <c r="FQ764" s="60"/>
      <c r="FR764" s="60"/>
      <c r="FS764" s="60"/>
      <c r="FT764" s="60"/>
      <c r="FU764" s="60"/>
      <c r="FV764" s="60"/>
      <c r="FW764" s="60"/>
      <c r="FX764" s="60"/>
    </row>
    <row r="765">
      <c r="A765" s="18"/>
      <c r="B765" s="14"/>
      <c r="C765" s="14"/>
      <c r="D765" s="14"/>
      <c r="E765" s="18"/>
      <c r="F765" s="18"/>
      <c r="G765" s="18"/>
      <c r="H765" s="18"/>
      <c r="I765" s="18"/>
      <c r="J765" s="18"/>
      <c r="K765" s="18"/>
      <c r="L765" s="18"/>
      <c r="M765" s="18"/>
      <c r="N765" s="18"/>
      <c r="O765" s="18"/>
      <c r="P765" s="23"/>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6"/>
      <c r="BG765" s="26"/>
      <c r="BH765" s="26"/>
      <c r="BI765" s="26"/>
      <c r="BJ765" s="26"/>
      <c r="BK765" s="26"/>
      <c r="BL765" s="26"/>
      <c r="BM765" s="26"/>
      <c r="BN765" s="26"/>
      <c r="BO765" s="26"/>
      <c r="BP765" s="26"/>
      <c r="BQ765" s="26"/>
      <c r="BR765" s="26"/>
      <c r="BS765" s="26"/>
      <c r="BT765" s="26"/>
      <c r="BU765" s="26"/>
      <c r="BV765" s="26"/>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26"/>
      <c r="CU765" s="26"/>
      <c r="CV765" s="26"/>
      <c r="CW765" s="26"/>
      <c r="CX765" s="26"/>
      <c r="CY765" s="26"/>
      <c r="CZ765" s="26"/>
      <c r="DA765" s="26"/>
      <c r="DB765" s="26"/>
      <c r="DC765" s="26"/>
      <c r="DD765" s="26"/>
      <c r="DE765" s="26"/>
      <c r="DF765" s="26"/>
      <c r="DG765" s="26"/>
      <c r="DH765" s="26"/>
      <c r="DI765" s="26"/>
      <c r="DJ765" s="26"/>
      <c r="DK765" s="26"/>
      <c r="DL765" s="26"/>
      <c r="DM765" s="26"/>
      <c r="DN765" s="26"/>
      <c r="DO765" s="26"/>
      <c r="DP765" s="26"/>
      <c r="DQ765" s="26"/>
      <c r="DR765" s="26"/>
      <c r="DS765" s="26"/>
      <c r="DT765" s="26"/>
      <c r="DU765" s="26"/>
      <c r="DV765" s="26"/>
      <c r="DW765" s="26"/>
      <c r="DX765" s="26"/>
      <c r="DY765" s="26"/>
      <c r="DZ765" s="26"/>
      <c r="EA765" s="26"/>
      <c r="EB765" s="26"/>
      <c r="EC765" s="26"/>
      <c r="ED765" s="26"/>
      <c r="EE765" s="26"/>
      <c r="EF765" s="26"/>
      <c r="EG765" s="26"/>
      <c r="EH765" s="26"/>
      <c r="EI765" s="26"/>
      <c r="EJ765" s="26"/>
      <c r="EK765" s="26"/>
      <c r="EL765" s="26"/>
      <c r="EM765" s="26"/>
      <c r="EN765" s="26"/>
      <c r="EO765" s="26"/>
      <c r="EP765" s="26"/>
      <c r="EQ765" s="26"/>
      <c r="ER765" s="26"/>
      <c r="ES765" s="26"/>
      <c r="ET765" s="26"/>
      <c r="EU765" s="26"/>
      <c r="EV765" s="26"/>
      <c r="EW765" s="26"/>
      <c r="EX765" s="26"/>
      <c r="EY765" s="26"/>
      <c r="EZ765" s="26"/>
      <c r="FA765" s="60"/>
      <c r="FB765" s="60"/>
      <c r="FC765" s="60"/>
      <c r="FD765" s="60"/>
      <c r="FE765" s="60"/>
      <c r="FF765" s="60"/>
      <c r="FG765" s="60"/>
      <c r="FH765" s="60"/>
      <c r="FI765" s="60"/>
      <c r="FJ765" s="60"/>
      <c r="FK765" s="60"/>
      <c r="FL765" s="60"/>
      <c r="FM765" s="60"/>
      <c r="FN765" s="60"/>
      <c r="FO765" s="60"/>
      <c r="FP765" s="60"/>
      <c r="FQ765" s="60"/>
      <c r="FR765" s="60"/>
      <c r="FS765" s="60"/>
      <c r="FT765" s="60"/>
      <c r="FU765" s="60"/>
      <c r="FV765" s="60"/>
      <c r="FW765" s="60"/>
      <c r="FX765" s="60"/>
    </row>
    <row r="766">
      <c r="A766" s="18"/>
      <c r="B766" s="14"/>
      <c r="C766" s="14"/>
      <c r="D766" s="14"/>
      <c r="E766" s="18"/>
      <c r="F766" s="18"/>
      <c r="G766" s="18"/>
      <c r="H766" s="18"/>
      <c r="I766" s="18"/>
      <c r="J766" s="18"/>
      <c r="K766" s="18"/>
      <c r="L766" s="18"/>
      <c r="M766" s="18"/>
      <c r="N766" s="18"/>
      <c r="O766" s="18"/>
      <c r="P766" s="23"/>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c r="BO766" s="26"/>
      <c r="BP766" s="26"/>
      <c r="BQ766" s="26"/>
      <c r="BR766" s="26"/>
      <c r="BS766" s="26"/>
      <c r="BT766" s="26"/>
      <c r="BU766" s="26"/>
      <c r="BV766" s="26"/>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26"/>
      <c r="CU766" s="26"/>
      <c r="CV766" s="26"/>
      <c r="CW766" s="26"/>
      <c r="CX766" s="26"/>
      <c r="CY766" s="26"/>
      <c r="CZ766" s="26"/>
      <c r="DA766" s="26"/>
      <c r="DB766" s="26"/>
      <c r="DC766" s="26"/>
      <c r="DD766" s="26"/>
      <c r="DE766" s="26"/>
      <c r="DF766" s="26"/>
      <c r="DG766" s="26"/>
      <c r="DH766" s="26"/>
      <c r="DI766" s="26"/>
      <c r="DJ766" s="26"/>
      <c r="DK766" s="26"/>
      <c r="DL766" s="26"/>
      <c r="DM766" s="26"/>
      <c r="DN766" s="26"/>
      <c r="DO766" s="26"/>
      <c r="DP766" s="26"/>
      <c r="DQ766" s="26"/>
      <c r="DR766" s="26"/>
      <c r="DS766" s="26"/>
      <c r="DT766" s="26"/>
      <c r="DU766" s="26"/>
      <c r="DV766" s="26"/>
      <c r="DW766" s="26"/>
      <c r="DX766" s="26"/>
      <c r="DY766" s="26"/>
      <c r="DZ766" s="26"/>
      <c r="EA766" s="26"/>
      <c r="EB766" s="26"/>
      <c r="EC766" s="26"/>
      <c r="ED766" s="26"/>
      <c r="EE766" s="26"/>
      <c r="EF766" s="26"/>
      <c r="EG766" s="26"/>
      <c r="EH766" s="26"/>
      <c r="EI766" s="26"/>
      <c r="EJ766" s="26"/>
      <c r="EK766" s="26"/>
      <c r="EL766" s="26"/>
      <c r="EM766" s="26"/>
      <c r="EN766" s="26"/>
      <c r="EO766" s="26"/>
      <c r="EP766" s="26"/>
      <c r="EQ766" s="26"/>
      <c r="ER766" s="26"/>
      <c r="ES766" s="26"/>
      <c r="ET766" s="26"/>
      <c r="EU766" s="26"/>
      <c r="EV766" s="26"/>
      <c r="EW766" s="26"/>
      <c r="EX766" s="26"/>
      <c r="EY766" s="26"/>
      <c r="EZ766" s="26"/>
      <c r="FA766" s="60"/>
      <c r="FB766" s="60"/>
      <c r="FC766" s="60"/>
      <c r="FD766" s="60"/>
      <c r="FE766" s="60"/>
      <c r="FF766" s="60"/>
      <c r="FG766" s="60"/>
      <c r="FH766" s="60"/>
      <c r="FI766" s="60"/>
      <c r="FJ766" s="60"/>
      <c r="FK766" s="60"/>
      <c r="FL766" s="60"/>
      <c r="FM766" s="60"/>
      <c r="FN766" s="60"/>
      <c r="FO766" s="60"/>
      <c r="FP766" s="60"/>
      <c r="FQ766" s="60"/>
      <c r="FR766" s="60"/>
      <c r="FS766" s="60"/>
      <c r="FT766" s="60"/>
      <c r="FU766" s="60"/>
      <c r="FV766" s="60"/>
      <c r="FW766" s="60"/>
      <c r="FX766" s="60"/>
    </row>
    <row r="767">
      <c r="A767" s="18"/>
      <c r="B767" s="14"/>
      <c r="C767" s="14"/>
      <c r="D767" s="14"/>
      <c r="E767" s="18"/>
      <c r="F767" s="18"/>
      <c r="G767" s="18"/>
      <c r="H767" s="18"/>
      <c r="I767" s="18"/>
      <c r="J767" s="18"/>
      <c r="K767" s="18"/>
      <c r="L767" s="18"/>
      <c r="M767" s="18"/>
      <c r="N767" s="18"/>
      <c r="O767" s="18"/>
      <c r="P767" s="23"/>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6"/>
      <c r="BG767" s="26"/>
      <c r="BH767" s="26"/>
      <c r="BI767" s="26"/>
      <c r="BJ767" s="26"/>
      <c r="BK767" s="26"/>
      <c r="BL767" s="26"/>
      <c r="BM767" s="26"/>
      <c r="BN767" s="26"/>
      <c r="BO767" s="26"/>
      <c r="BP767" s="26"/>
      <c r="BQ767" s="26"/>
      <c r="BR767" s="26"/>
      <c r="BS767" s="26"/>
      <c r="BT767" s="26"/>
      <c r="BU767" s="26"/>
      <c r="BV767" s="26"/>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26"/>
      <c r="CU767" s="26"/>
      <c r="CV767" s="26"/>
      <c r="CW767" s="26"/>
      <c r="CX767" s="26"/>
      <c r="CY767" s="26"/>
      <c r="CZ767" s="26"/>
      <c r="DA767" s="26"/>
      <c r="DB767" s="26"/>
      <c r="DC767" s="26"/>
      <c r="DD767" s="26"/>
      <c r="DE767" s="26"/>
      <c r="DF767" s="26"/>
      <c r="DG767" s="26"/>
      <c r="DH767" s="26"/>
      <c r="DI767" s="26"/>
      <c r="DJ767" s="26"/>
      <c r="DK767" s="26"/>
      <c r="DL767" s="26"/>
      <c r="DM767" s="26"/>
      <c r="DN767" s="26"/>
      <c r="DO767" s="26"/>
      <c r="DP767" s="26"/>
      <c r="DQ767" s="26"/>
      <c r="DR767" s="26"/>
      <c r="DS767" s="26"/>
      <c r="DT767" s="26"/>
      <c r="DU767" s="26"/>
      <c r="DV767" s="26"/>
      <c r="DW767" s="26"/>
      <c r="DX767" s="26"/>
      <c r="DY767" s="26"/>
      <c r="DZ767" s="26"/>
      <c r="EA767" s="26"/>
      <c r="EB767" s="26"/>
      <c r="EC767" s="26"/>
      <c r="ED767" s="26"/>
      <c r="EE767" s="26"/>
      <c r="EF767" s="26"/>
      <c r="EG767" s="26"/>
      <c r="EH767" s="26"/>
      <c r="EI767" s="26"/>
      <c r="EJ767" s="26"/>
      <c r="EK767" s="26"/>
      <c r="EL767" s="26"/>
      <c r="EM767" s="26"/>
      <c r="EN767" s="26"/>
      <c r="EO767" s="26"/>
      <c r="EP767" s="26"/>
      <c r="EQ767" s="26"/>
      <c r="ER767" s="26"/>
      <c r="ES767" s="26"/>
      <c r="ET767" s="26"/>
      <c r="EU767" s="26"/>
      <c r="EV767" s="26"/>
      <c r="EW767" s="26"/>
      <c r="EX767" s="26"/>
      <c r="EY767" s="26"/>
      <c r="EZ767" s="26"/>
      <c r="FA767" s="60"/>
      <c r="FB767" s="60"/>
      <c r="FC767" s="60"/>
      <c r="FD767" s="60"/>
      <c r="FE767" s="60"/>
      <c r="FF767" s="60"/>
      <c r="FG767" s="60"/>
      <c r="FH767" s="60"/>
      <c r="FI767" s="60"/>
      <c r="FJ767" s="60"/>
      <c r="FK767" s="60"/>
      <c r="FL767" s="60"/>
      <c r="FM767" s="60"/>
      <c r="FN767" s="60"/>
      <c r="FO767" s="60"/>
      <c r="FP767" s="60"/>
      <c r="FQ767" s="60"/>
      <c r="FR767" s="60"/>
      <c r="FS767" s="60"/>
      <c r="FT767" s="60"/>
      <c r="FU767" s="60"/>
      <c r="FV767" s="60"/>
      <c r="FW767" s="60"/>
      <c r="FX767" s="60"/>
    </row>
    <row r="768">
      <c r="A768" s="18"/>
      <c r="B768" s="14"/>
      <c r="C768" s="14"/>
      <c r="D768" s="14"/>
      <c r="E768" s="18"/>
      <c r="F768" s="18"/>
      <c r="G768" s="18"/>
      <c r="H768" s="18"/>
      <c r="I768" s="18"/>
      <c r="J768" s="18"/>
      <c r="K768" s="18"/>
      <c r="L768" s="18"/>
      <c r="M768" s="18"/>
      <c r="N768" s="18"/>
      <c r="O768" s="18"/>
      <c r="P768" s="23"/>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c r="BO768" s="26"/>
      <c r="BP768" s="26"/>
      <c r="BQ768" s="26"/>
      <c r="BR768" s="26"/>
      <c r="BS768" s="26"/>
      <c r="BT768" s="26"/>
      <c r="BU768" s="26"/>
      <c r="BV768" s="26"/>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26"/>
      <c r="CU768" s="26"/>
      <c r="CV768" s="26"/>
      <c r="CW768" s="26"/>
      <c r="CX768" s="26"/>
      <c r="CY768" s="26"/>
      <c r="CZ768" s="26"/>
      <c r="DA768" s="26"/>
      <c r="DB768" s="26"/>
      <c r="DC768" s="26"/>
      <c r="DD768" s="26"/>
      <c r="DE768" s="26"/>
      <c r="DF768" s="26"/>
      <c r="DG768" s="26"/>
      <c r="DH768" s="26"/>
      <c r="DI768" s="26"/>
      <c r="DJ768" s="26"/>
      <c r="DK768" s="26"/>
      <c r="DL768" s="26"/>
      <c r="DM768" s="26"/>
      <c r="DN768" s="26"/>
      <c r="DO768" s="26"/>
      <c r="DP768" s="26"/>
      <c r="DQ768" s="26"/>
      <c r="DR768" s="26"/>
      <c r="DS768" s="26"/>
      <c r="DT768" s="26"/>
      <c r="DU768" s="26"/>
      <c r="DV768" s="26"/>
      <c r="DW768" s="26"/>
      <c r="DX768" s="26"/>
      <c r="DY768" s="26"/>
      <c r="DZ768" s="26"/>
      <c r="EA768" s="26"/>
      <c r="EB768" s="26"/>
      <c r="EC768" s="26"/>
      <c r="ED768" s="26"/>
      <c r="EE768" s="26"/>
      <c r="EF768" s="26"/>
      <c r="EG768" s="26"/>
      <c r="EH768" s="26"/>
      <c r="EI768" s="26"/>
      <c r="EJ768" s="26"/>
      <c r="EK768" s="26"/>
      <c r="EL768" s="26"/>
      <c r="EM768" s="26"/>
      <c r="EN768" s="26"/>
      <c r="EO768" s="26"/>
      <c r="EP768" s="26"/>
      <c r="EQ768" s="26"/>
      <c r="ER768" s="26"/>
      <c r="ES768" s="26"/>
      <c r="ET768" s="26"/>
      <c r="EU768" s="26"/>
      <c r="EV768" s="26"/>
      <c r="EW768" s="26"/>
      <c r="EX768" s="26"/>
      <c r="EY768" s="26"/>
      <c r="EZ768" s="26"/>
      <c r="FA768" s="60"/>
      <c r="FB768" s="60"/>
      <c r="FC768" s="60"/>
      <c r="FD768" s="60"/>
      <c r="FE768" s="60"/>
      <c r="FF768" s="60"/>
      <c r="FG768" s="60"/>
      <c r="FH768" s="60"/>
      <c r="FI768" s="60"/>
      <c r="FJ768" s="60"/>
      <c r="FK768" s="60"/>
      <c r="FL768" s="60"/>
      <c r="FM768" s="60"/>
      <c r="FN768" s="60"/>
      <c r="FO768" s="60"/>
      <c r="FP768" s="60"/>
      <c r="FQ768" s="60"/>
      <c r="FR768" s="60"/>
      <c r="FS768" s="60"/>
      <c r="FT768" s="60"/>
      <c r="FU768" s="60"/>
      <c r="FV768" s="60"/>
      <c r="FW768" s="60"/>
      <c r="FX768" s="60"/>
    </row>
    <row r="769">
      <c r="A769" s="18"/>
      <c r="B769" s="14"/>
      <c r="C769" s="14"/>
      <c r="D769" s="14"/>
      <c r="E769" s="18"/>
      <c r="F769" s="18"/>
      <c r="G769" s="18"/>
      <c r="H769" s="18"/>
      <c r="I769" s="18"/>
      <c r="J769" s="18"/>
      <c r="K769" s="18"/>
      <c r="L769" s="18"/>
      <c r="M769" s="18"/>
      <c r="N769" s="18"/>
      <c r="O769" s="18"/>
      <c r="P769" s="23"/>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6"/>
      <c r="BG769" s="26"/>
      <c r="BH769" s="26"/>
      <c r="BI769" s="26"/>
      <c r="BJ769" s="26"/>
      <c r="BK769" s="26"/>
      <c r="BL769" s="26"/>
      <c r="BM769" s="26"/>
      <c r="BN769" s="26"/>
      <c r="BO769" s="26"/>
      <c r="BP769" s="26"/>
      <c r="BQ769" s="26"/>
      <c r="BR769" s="26"/>
      <c r="BS769" s="26"/>
      <c r="BT769" s="26"/>
      <c r="BU769" s="26"/>
      <c r="BV769" s="26"/>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26"/>
      <c r="CU769" s="26"/>
      <c r="CV769" s="26"/>
      <c r="CW769" s="26"/>
      <c r="CX769" s="26"/>
      <c r="CY769" s="26"/>
      <c r="CZ769" s="26"/>
      <c r="DA769" s="26"/>
      <c r="DB769" s="26"/>
      <c r="DC769" s="26"/>
      <c r="DD769" s="26"/>
      <c r="DE769" s="26"/>
      <c r="DF769" s="26"/>
      <c r="DG769" s="26"/>
      <c r="DH769" s="26"/>
      <c r="DI769" s="26"/>
      <c r="DJ769" s="26"/>
      <c r="DK769" s="26"/>
      <c r="DL769" s="26"/>
      <c r="DM769" s="26"/>
      <c r="DN769" s="26"/>
      <c r="DO769" s="26"/>
      <c r="DP769" s="26"/>
      <c r="DQ769" s="26"/>
      <c r="DR769" s="26"/>
      <c r="DS769" s="26"/>
      <c r="DT769" s="26"/>
      <c r="DU769" s="26"/>
      <c r="DV769" s="26"/>
      <c r="DW769" s="26"/>
      <c r="DX769" s="26"/>
      <c r="DY769" s="26"/>
      <c r="DZ769" s="26"/>
      <c r="EA769" s="26"/>
      <c r="EB769" s="26"/>
      <c r="EC769" s="26"/>
      <c r="ED769" s="26"/>
      <c r="EE769" s="26"/>
      <c r="EF769" s="26"/>
      <c r="EG769" s="26"/>
      <c r="EH769" s="26"/>
      <c r="EI769" s="26"/>
      <c r="EJ769" s="26"/>
      <c r="EK769" s="26"/>
      <c r="EL769" s="26"/>
      <c r="EM769" s="26"/>
      <c r="EN769" s="26"/>
      <c r="EO769" s="26"/>
      <c r="EP769" s="26"/>
      <c r="EQ769" s="26"/>
      <c r="ER769" s="26"/>
      <c r="ES769" s="26"/>
      <c r="ET769" s="26"/>
      <c r="EU769" s="26"/>
      <c r="EV769" s="26"/>
      <c r="EW769" s="26"/>
      <c r="EX769" s="26"/>
      <c r="EY769" s="26"/>
      <c r="EZ769" s="26"/>
      <c r="FA769" s="60"/>
      <c r="FB769" s="60"/>
      <c r="FC769" s="60"/>
      <c r="FD769" s="60"/>
      <c r="FE769" s="60"/>
      <c r="FF769" s="60"/>
      <c r="FG769" s="60"/>
      <c r="FH769" s="60"/>
      <c r="FI769" s="60"/>
      <c r="FJ769" s="60"/>
      <c r="FK769" s="60"/>
      <c r="FL769" s="60"/>
      <c r="FM769" s="60"/>
      <c r="FN769" s="60"/>
      <c r="FO769" s="60"/>
      <c r="FP769" s="60"/>
      <c r="FQ769" s="60"/>
      <c r="FR769" s="60"/>
      <c r="FS769" s="60"/>
      <c r="FT769" s="60"/>
      <c r="FU769" s="60"/>
      <c r="FV769" s="60"/>
      <c r="FW769" s="60"/>
      <c r="FX769" s="60"/>
    </row>
    <row r="770">
      <c r="A770" s="18"/>
      <c r="B770" s="14"/>
      <c r="C770" s="14"/>
      <c r="D770" s="14"/>
      <c r="E770" s="18"/>
      <c r="F770" s="18"/>
      <c r="G770" s="18"/>
      <c r="H770" s="18"/>
      <c r="I770" s="18"/>
      <c r="J770" s="18"/>
      <c r="K770" s="18"/>
      <c r="L770" s="18"/>
      <c r="M770" s="18"/>
      <c r="N770" s="18"/>
      <c r="O770" s="18"/>
      <c r="P770" s="23"/>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c r="BO770" s="26"/>
      <c r="BP770" s="26"/>
      <c r="BQ770" s="26"/>
      <c r="BR770" s="26"/>
      <c r="BS770" s="26"/>
      <c r="BT770" s="26"/>
      <c r="BU770" s="26"/>
      <c r="BV770" s="26"/>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26"/>
      <c r="CU770" s="26"/>
      <c r="CV770" s="26"/>
      <c r="CW770" s="26"/>
      <c r="CX770" s="26"/>
      <c r="CY770" s="26"/>
      <c r="CZ770" s="26"/>
      <c r="DA770" s="26"/>
      <c r="DB770" s="26"/>
      <c r="DC770" s="26"/>
      <c r="DD770" s="26"/>
      <c r="DE770" s="26"/>
      <c r="DF770" s="26"/>
      <c r="DG770" s="26"/>
      <c r="DH770" s="26"/>
      <c r="DI770" s="26"/>
      <c r="DJ770" s="26"/>
      <c r="DK770" s="26"/>
      <c r="DL770" s="26"/>
      <c r="DM770" s="26"/>
      <c r="DN770" s="26"/>
      <c r="DO770" s="26"/>
      <c r="DP770" s="26"/>
      <c r="DQ770" s="26"/>
      <c r="DR770" s="26"/>
      <c r="DS770" s="26"/>
      <c r="DT770" s="26"/>
      <c r="DU770" s="26"/>
      <c r="DV770" s="26"/>
      <c r="DW770" s="26"/>
      <c r="DX770" s="26"/>
      <c r="DY770" s="26"/>
      <c r="DZ770" s="26"/>
      <c r="EA770" s="26"/>
      <c r="EB770" s="26"/>
      <c r="EC770" s="26"/>
      <c r="ED770" s="26"/>
      <c r="EE770" s="26"/>
      <c r="EF770" s="26"/>
      <c r="EG770" s="26"/>
      <c r="EH770" s="26"/>
      <c r="EI770" s="26"/>
      <c r="EJ770" s="26"/>
      <c r="EK770" s="26"/>
      <c r="EL770" s="26"/>
      <c r="EM770" s="26"/>
      <c r="EN770" s="26"/>
      <c r="EO770" s="26"/>
      <c r="EP770" s="26"/>
      <c r="EQ770" s="26"/>
      <c r="ER770" s="26"/>
      <c r="ES770" s="26"/>
      <c r="ET770" s="26"/>
      <c r="EU770" s="26"/>
      <c r="EV770" s="26"/>
      <c r="EW770" s="26"/>
      <c r="EX770" s="26"/>
      <c r="EY770" s="26"/>
      <c r="EZ770" s="26"/>
      <c r="FA770" s="60"/>
      <c r="FB770" s="60"/>
      <c r="FC770" s="60"/>
      <c r="FD770" s="60"/>
      <c r="FE770" s="60"/>
      <c r="FF770" s="60"/>
      <c r="FG770" s="60"/>
      <c r="FH770" s="60"/>
      <c r="FI770" s="60"/>
      <c r="FJ770" s="60"/>
      <c r="FK770" s="60"/>
      <c r="FL770" s="60"/>
      <c r="FM770" s="60"/>
      <c r="FN770" s="60"/>
      <c r="FO770" s="60"/>
      <c r="FP770" s="60"/>
      <c r="FQ770" s="60"/>
      <c r="FR770" s="60"/>
      <c r="FS770" s="60"/>
      <c r="FT770" s="60"/>
      <c r="FU770" s="60"/>
      <c r="FV770" s="60"/>
      <c r="FW770" s="60"/>
      <c r="FX770" s="60"/>
    </row>
    <row r="771">
      <c r="A771" s="18"/>
      <c r="B771" s="14"/>
      <c r="C771" s="14"/>
      <c r="D771" s="14"/>
      <c r="E771" s="18"/>
      <c r="F771" s="18"/>
      <c r="G771" s="18"/>
      <c r="H771" s="18"/>
      <c r="I771" s="18"/>
      <c r="J771" s="18"/>
      <c r="K771" s="18"/>
      <c r="L771" s="18"/>
      <c r="M771" s="18"/>
      <c r="N771" s="18"/>
      <c r="O771" s="18"/>
      <c r="P771" s="23"/>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6"/>
      <c r="BG771" s="26"/>
      <c r="BH771" s="26"/>
      <c r="BI771" s="26"/>
      <c r="BJ771" s="26"/>
      <c r="BK771" s="26"/>
      <c r="BL771" s="26"/>
      <c r="BM771" s="26"/>
      <c r="BN771" s="26"/>
      <c r="BO771" s="26"/>
      <c r="BP771" s="26"/>
      <c r="BQ771" s="26"/>
      <c r="BR771" s="26"/>
      <c r="BS771" s="26"/>
      <c r="BT771" s="26"/>
      <c r="BU771" s="26"/>
      <c r="BV771" s="26"/>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26"/>
      <c r="CU771" s="26"/>
      <c r="CV771" s="26"/>
      <c r="CW771" s="26"/>
      <c r="CX771" s="26"/>
      <c r="CY771" s="26"/>
      <c r="CZ771" s="26"/>
      <c r="DA771" s="26"/>
      <c r="DB771" s="26"/>
      <c r="DC771" s="26"/>
      <c r="DD771" s="26"/>
      <c r="DE771" s="26"/>
      <c r="DF771" s="26"/>
      <c r="DG771" s="26"/>
      <c r="DH771" s="26"/>
      <c r="DI771" s="26"/>
      <c r="DJ771" s="26"/>
      <c r="DK771" s="26"/>
      <c r="DL771" s="26"/>
      <c r="DM771" s="26"/>
      <c r="DN771" s="26"/>
      <c r="DO771" s="26"/>
      <c r="DP771" s="26"/>
      <c r="DQ771" s="26"/>
      <c r="DR771" s="26"/>
      <c r="DS771" s="26"/>
      <c r="DT771" s="26"/>
      <c r="DU771" s="26"/>
      <c r="DV771" s="26"/>
      <c r="DW771" s="26"/>
      <c r="DX771" s="26"/>
      <c r="DY771" s="26"/>
      <c r="DZ771" s="26"/>
      <c r="EA771" s="26"/>
      <c r="EB771" s="26"/>
      <c r="EC771" s="26"/>
      <c r="ED771" s="26"/>
      <c r="EE771" s="26"/>
      <c r="EF771" s="26"/>
      <c r="EG771" s="26"/>
      <c r="EH771" s="26"/>
      <c r="EI771" s="26"/>
      <c r="EJ771" s="26"/>
      <c r="EK771" s="26"/>
      <c r="EL771" s="26"/>
      <c r="EM771" s="26"/>
      <c r="EN771" s="26"/>
      <c r="EO771" s="26"/>
      <c r="EP771" s="26"/>
      <c r="EQ771" s="26"/>
      <c r="ER771" s="26"/>
      <c r="ES771" s="26"/>
      <c r="ET771" s="26"/>
      <c r="EU771" s="26"/>
      <c r="EV771" s="26"/>
      <c r="EW771" s="26"/>
      <c r="EX771" s="26"/>
      <c r="EY771" s="26"/>
      <c r="EZ771" s="26"/>
      <c r="FA771" s="60"/>
      <c r="FB771" s="60"/>
      <c r="FC771" s="60"/>
      <c r="FD771" s="60"/>
      <c r="FE771" s="60"/>
      <c r="FF771" s="60"/>
      <c r="FG771" s="60"/>
      <c r="FH771" s="60"/>
      <c r="FI771" s="60"/>
      <c r="FJ771" s="60"/>
      <c r="FK771" s="60"/>
      <c r="FL771" s="60"/>
      <c r="FM771" s="60"/>
      <c r="FN771" s="60"/>
      <c r="FO771" s="60"/>
      <c r="FP771" s="60"/>
      <c r="FQ771" s="60"/>
      <c r="FR771" s="60"/>
      <c r="FS771" s="60"/>
      <c r="FT771" s="60"/>
      <c r="FU771" s="60"/>
      <c r="FV771" s="60"/>
      <c r="FW771" s="60"/>
      <c r="FX771" s="60"/>
    </row>
    <row r="772">
      <c r="A772" s="18"/>
      <c r="B772" s="14"/>
      <c r="C772" s="14"/>
      <c r="D772" s="14"/>
      <c r="E772" s="18"/>
      <c r="F772" s="18"/>
      <c r="G772" s="18"/>
      <c r="H772" s="18"/>
      <c r="I772" s="18"/>
      <c r="J772" s="18"/>
      <c r="K772" s="18"/>
      <c r="L772" s="18"/>
      <c r="M772" s="18"/>
      <c r="N772" s="18"/>
      <c r="O772" s="18"/>
      <c r="P772" s="23"/>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c r="BO772" s="26"/>
      <c r="BP772" s="26"/>
      <c r="BQ772" s="26"/>
      <c r="BR772" s="26"/>
      <c r="BS772" s="26"/>
      <c r="BT772" s="26"/>
      <c r="BU772" s="26"/>
      <c r="BV772" s="26"/>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26"/>
      <c r="CU772" s="26"/>
      <c r="CV772" s="26"/>
      <c r="CW772" s="26"/>
      <c r="CX772" s="26"/>
      <c r="CY772" s="26"/>
      <c r="CZ772" s="26"/>
      <c r="DA772" s="26"/>
      <c r="DB772" s="26"/>
      <c r="DC772" s="26"/>
      <c r="DD772" s="26"/>
      <c r="DE772" s="26"/>
      <c r="DF772" s="26"/>
      <c r="DG772" s="26"/>
      <c r="DH772" s="26"/>
      <c r="DI772" s="26"/>
      <c r="DJ772" s="26"/>
      <c r="DK772" s="26"/>
      <c r="DL772" s="26"/>
      <c r="DM772" s="26"/>
      <c r="DN772" s="26"/>
      <c r="DO772" s="26"/>
      <c r="DP772" s="26"/>
      <c r="DQ772" s="26"/>
      <c r="DR772" s="26"/>
      <c r="DS772" s="26"/>
      <c r="DT772" s="26"/>
      <c r="DU772" s="26"/>
      <c r="DV772" s="26"/>
      <c r="DW772" s="26"/>
      <c r="DX772" s="26"/>
      <c r="DY772" s="26"/>
      <c r="DZ772" s="26"/>
      <c r="EA772" s="26"/>
      <c r="EB772" s="26"/>
      <c r="EC772" s="26"/>
      <c r="ED772" s="26"/>
      <c r="EE772" s="26"/>
      <c r="EF772" s="26"/>
      <c r="EG772" s="26"/>
      <c r="EH772" s="26"/>
      <c r="EI772" s="26"/>
      <c r="EJ772" s="26"/>
      <c r="EK772" s="26"/>
      <c r="EL772" s="26"/>
      <c r="EM772" s="26"/>
      <c r="EN772" s="26"/>
      <c r="EO772" s="26"/>
      <c r="EP772" s="26"/>
      <c r="EQ772" s="26"/>
      <c r="ER772" s="26"/>
      <c r="ES772" s="26"/>
      <c r="ET772" s="26"/>
      <c r="EU772" s="26"/>
      <c r="EV772" s="26"/>
      <c r="EW772" s="26"/>
      <c r="EX772" s="26"/>
      <c r="EY772" s="26"/>
      <c r="EZ772" s="26"/>
      <c r="FA772" s="60"/>
      <c r="FB772" s="60"/>
      <c r="FC772" s="60"/>
      <c r="FD772" s="60"/>
      <c r="FE772" s="60"/>
      <c r="FF772" s="60"/>
      <c r="FG772" s="60"/>
      <c r="FH772" s="60"/>
      <c r="FI772" s="60"/>
      <c r="FJ772" s="60"/>
      <c r="FK772" s="60"/>
      <c r="FL772" s="60"/>
      <c r="FM772" s="60"/>
      <c r="FN772" s="60"/>
      <c r="FO772" s="60"/>
      <c r="FP772" s="60"/>
      <c r="FQ772" s="60"/>
      <c r="FR772" s="60"/>
      <c r="FS772" s="60"/>
      <c r="FT772" s="60"/>
      <c r="FU772" s="60"/>
      <c r="FV772" s="60"/>
      <c r="FW772" s="60"/>
      <c r="FX772" s="60"/>
    </row>
    <row r="773">
      <c r="A773" s="18"/>
      <c r="B773" s="14"/>
      <c r="C773" s="14"/>
      <c r="D773" s="14"/>
      <c r="E773" s="18"/>
      <c r="F773" s="18"/>
      <c r="G773" s="18"/>
      <c r="H773" s="18"/>
      <c r="I773" s="18"/>
      <c r="J773" s="18"/>
      <c r="K773" s="18"/>
      <c r="L773" s="18"/>
      <c r="M773" s="18"/>
      <c r="N773" s="18"/>
      <c r="O773" s="18"/>
      <c r="P773" s="23"/>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c r="BM773" s="26"/>
      <c r="BN773" s="26"/>
      <c r="BO773" s="26"/>
      <c r="BP773" s="26"/>
      <c r="BQ773" s="26"/>
      <c r="BR773" s="26"/>
      <c r="BS773" s="26"/>
      <c r="BT773" s="26"/>
      <c r="BU773" s="26"/>
      <c r="BV773" s="26"/>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26"/>
      <c r="CU773" s="26"/>
      <c r="CV773" s="26"/>
      <c r="CW773" s="26"/>
      <c r="CX773" s="26"/>
      <c r="CY773" s="26"/>
      <c r="CZ773" s="26"/>
      <c r="DA773" s="26"/>
      <c r="DB773" s="26"/>
      <c r="DC773" s="26"/>
      <c r="DD773" s="26"/>
      <c r="DE773" s="26"/>
      <c r="DF773" s="26"/>
      <c r="DG773" s="26"/>
      <c r="DH773" s="26"/>
      <c r="DI773" s="26"/>
      <c r="DJ773" s="26"/>
      <c r="DK773" s="26"/>
      <c r="DL773" s="26"/>
      <c r="DM773" s="26"/>
      <c r="DN773" s="26"/>
      <c r="DO773" s="26"/>
      <c r="DP773" s="26"/>
      <c r="DQ773" s="26"/>
      <c r="DR773" s="26"/>
      <c r="DS773" s="26"/>
      <c r="DT773" s="26"/>
      <c r="DU773" s="26"/>
      <c r="DV773" s="26"/>
      <c r="DW773" s="26"/>
      <c r="DX773" s="26"/>
      <c r="DY773" s="26"/>
      <c r="DZ773" s="26"/>
      <c r="EA773" s="26"/>
      <c r="EB773" s="26"/>
      <c r="EC773" s="26"/>
      <c r="ED773" s="26"/>
      <c r="EE773" s="26"/>
      <c r="EF773" s="26"/>
      <c r="EG773" s="26"/>
      <c r="EH773" s="26"/>
      <c r="EI773" s="26"/>
      <c r="EJ773" s="26"/>
      <c r="EK773" s="26"/>
      <c r="EL773" s="26"/>
      <c r="EM773" s="26"/>
      <c r="EN773" s="26"/>
      <c r="EO773" s="26"/>
      <c r="EP773" s="26"/>
      <c r="EQ773" s="26"/>
      <c r="ER773" s="26"/>
      <c r="ES773" s="26"/>
      <c r="ET773" s="26"/>
      <c r="EU773" s="26"/>
      <c r="EV773" s="26"/>
      <c r="EW773" s="26"/>
      <c r="EX773" s="26"/>
      <c r="EY773" s="26"/>
      <c r="EZ773" s="26"/>
      <c r="FA773" s="60"/>
      <c r="FB773" s="60"/>
      <c r="FC773" s="60"/>
      <c r="FD773" s="60"/>
      <c r="FE773" s="60"/>
      <c r="FF773" s="60"/>
      <c r="FG773" s="60"/>
      <c r="FH773" s="60"/>
      <c r="FI773" s="60"/>
      <c r="FJ773" s="60"/>
      <c r="FK773" s="60"/>
      <c r="FL773" s="60"/>
      <c r="FM773" s="60"/>
      <c r="FN773" s="60"/>
      <c r="FO773" s="60"/>
      <c r="FP773" s="60"/>
      <c r="FQ773" s="60"/>
      <c r="FR773" s="60"/>
      <c r="FS773" s="60"/>
      <c r="FT773" s="60"/>
      <c r="FU773" s="60"/>
      <c r="FV773" s="60"/>
      <c r="FW773" s="60"/>
      <c r="FX773" s="60"/>
    </row>
    <row r="774">
      <c r="A774" s="18"/>
      <c r="B774" s="14"/>
      <c r="C774" s="14"/>
      <c r="D774" s="14"/>
      <c r="E774" s="18"/>
      <c r="F774" s="18"/>
      <c r="G774" s="18"/>
      <c r="H774" s="18"/>
      <c r="I774" s="18"/>
      <c r="J774" s="18"/>
      <c r="K774" s="18"/>
      <c r="L774" s="18"/>
      <c r="M774" s="18"/>
      <c r="N774" s="18"/>
      <c r="O774" s="18"/>
      <c r="P774" s="23"/>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c r="BO774" s="26"/>
      <c r="BP774" s="26"/>
      <c r="BQ774" s="26"/>
      <c r="BR774" s="26"/>
      <c r="BS774" s="26"/>
      <c r="BT774" s="26"/>
      <c r="BU774" s="26"/>
      <c r="BV774" s="26"/>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26"/>
      <c r="CU774" s="26"/>
      <c r="CV774" s="26"/>
      <c r="CW774" s="26"/>
      <c r="CX774" s="26"/>
      <c r="CY774" s="26"/>
      <c r="CZ774" s="26"/>
      <c r="DA774" s="26"/>
      <c r="DB774" s="26"/>
      <c r="DC774" s="26"/>
      <c r="DD774" s="26"/>
      <c r="DE774" s="26"/>
      <c r="DF774" s="26"/>
      <c r="DG774" s="26"/>
      <c r="DH774" s="26"/>
      <c r="DI774" s="26"/>
      <c r="DJ774" s="26"/>
      <c r="DK774" s="26"/>
      <c r="DL774" s="26"/>
      <c r="DM774" s="26"/>
      <c r="DN774" s="26"/>
      <c r="DO774" s="26"/>
      <c r="DP774" s="26"/>
      <c r="DQ774" s="26"/>
      <c r="DR774" s="26"/>
      <c r="DS774" s="26"/>
      <c r="DT774" s="26"/>
      <c r="DU774" s="26"/>
      <c r="DV774" s="26"/>
      <c r="DW774" s="26"/>
      <c r="DX774" s="26"/>
      <c r="DY774" s="26"/>
      <c r="DZ774" s="26"/>
      <c r="EA774" s="26"/>
      <c r="EB774" s="26"/>
      <c r="EC774" s="26"/>
      <c r="ED774" s="26"/>
      <c r="EE774" s="26"/>
      <c r="EF774" s="26"/>
      <c r="EG774" s="26"/>
      <c r="EH774" s="26"/>
      <c r="EI774" s="26"/>
      <c r="EJ774" s="26"/>
      <c r="EK774" s="26"/>
      <c r="EL774" s="26"/>
      <c r="EM774" s="26"/>
      <c r="EN774" s="26"/>
      <c r="EO774" s="26"/>
      <c r="EP774" s="26"/>
      <c r="EQ774" s="26"/>
      <c r="ER774" s="26"/>
      <c r="ES774" s="26"/>
      <c r="ET774" s="26"/>
      <c r="EU774" s="26"/>
      <c r="EV774" s="26"/>
      <c r="EW774" s="26"/>
      <c r="EX774" s="26"/>
      <c r="EY774" s="26"/>
      <c r="EZ774" s="26"/>
      <c r="FA774" s="60"/>
      <c r="FB774" s="60"/>
      <c r="FC774" s="60"/>
      <c r="FD774" s="60"/>
      <c r="FE774" s="60"/>
      <c r="FF774" s="60"/>
      <c r="FG774" s="60"/>
      <c r="FH774" s="60"/>
      <c r="FI774" s="60"/>
      <c r="FJ774" s="60"/>
      <c r="FK774" s="60"/>
      <c r="FL774" s="60"/>
      <c r="FM774" s="60"/>
      <c r="FN774" s="60"/>
      <c r="FO774" s="60"/>
      <c r="FP774" s="60"/>
      <c r="FQ774" s="60"/>
      <c r="FR774" s="60"/>
      <c r="FS774" s="60"/>
      <c r="FT774" s="60"/>
      <c r="FU774" s="60"/>
      <c r="FV774" s="60"/>
      <c r="FW774" s="60"/>
      <c r="FX774" s="60"/>
    </row>
    <row r="775">
      <c r="A775" s="18"/>
      <c r="B775" s="14"/>
      <c r="C775" s="14"/>
      <c r="D775" s="14"/>
      <c r="E775" s="18"/>
      <c r="F775" s="18"/>
      <c r="G775" s="18"/>
      <c r="H775" s="18"/>
      <c r="I775" s="18"/>
      <c r="J775" s="18"/>
      <c r="K775" s="18"/>
      <c r="L775" s="18"/>
      <c r="M775" s="18"/>
      <c r="N775" s="18"/>
      <c r="O775" s="18"/>
      <c r="P775" s="23"/>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c r="BM775" s="26"/>
      <c r="BN775" s="26"/>
      <c r="BO775" s="26"/>
      <c r="BP775" s="26"/>
      <c r="BQ775" s="26"/>
      <c r="BR775" s="26"/>
      <c r="BS775" s="26"/>
      <c r="BT775" s="26"/>
      <c r="BU775" s="26"/>
      <c r="BV775" s="26"/>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26"/>
      <c r="CU775" s="26"/>
      <c r="CV775" s="26"/>
      <c r="CW775" s="26"/>
      <c r="CX775" s="26"/>
      <c r="CY775" s="26"/>
      <c r="CZ775" s="26"/>
      <c r="DA775" s="26"/>
      <c r="DB775" s="26"/>
      <c r="DC775" s="26"/>
      <c r="DD775" s="26"/>
      <c r="DE775" s="26"/>
      <c r="DF775" s="26"/>
      <c r="DG775" s="26"/>
      <c r="DH775" s="26"/>
      <c r="DI775" s="26"/>
      <c r="DJ775" s="26"/>
      <c r="DK775" s="26"/>
      <c r="DL775" s="26"/>
      <c r="DM775" s="26"/>
      <c r="DN775" s="26"/>
      <c r="DO775" s="26"/>
      <c r="DP775" s="26"/>
      <c r="DQ775" s="26"/>
      <c r="DR775" s="26"/>
      <c r="DS775" s="26"/>
      <c r="DT775" s="26"/>
      <c r="DU775" s="26"/>
      <c r="DV775" s="26"/>
      <c r="DW775" s="26"/>
      <c r="DX775" s="26"/>
      <c r="DY775" s="26"/>
      <c r="DZ775" s="26"/>
      <c r="EA775" s="26"/>
      <c r="EB775" s="26"/>
      <c r="EC775" s="26"/>
      <c r="ED775" s="26"/>
      <c r="EE775" s="26"/>
      <c r="EF775" s="26"/>
      <c r="EG775" s="26"/>
      <c r="EH775" s="26"/>
      <c r="EI775" s="26"/>
      <c r="EJ775" s="26"/>
      <c r="EK775" s="26"/>
      <c r="EL775" s="26"/>
      <c r="EM775" s="26"/>
      <c r="EN775" s="26"/>
      <c r="EO775" s="26"/>
      <c r="EP775" s="26"/>
      <c r="EQ775" s="26"/>
      <c r="ER775" s="26"/>
      <c r="ES775" s="26"/>
      <c r="ET775" s="26"/>
      <c r="EU775" s="26"/>
      <c r="EV775" s="26"/>
      <c r="EW775" s="26"/>
      <c r="EX775" s="26"/>
      <c r="EY775" s="26"/>
      <c r="EZ775" s="26"/>
      <c r="FA775" s="60"/>
      <c r="FB775" s="60"/>
      <c r="FC775" s="60"/>
      <c r="FD775" s="60"/>
      <c r="FE775" s="60"/>
      <c r="FF775" s="60"/>
      <c r="FG775" s="60"/>
      <c r="FH775" s="60"/>
      <c r="FI775" s="60"/>
      <c r="FJ775" s="60"/>
      <c r="FK775" s="60"/>
      <c r="FL775" s="60"/>
      <c r="FM775" s="60"/>
      <c r="FN775" s="60"/>
      <c r="FO775" s="60"/>
      <c r="FP775" s="60"/>
      <c r="FQ775" s="60"/>
      <c r="FR775" s="60"/>
      <c r="FS775" s="60"/>
      <c r="FT775" s="60"/>
      <c r="FU775" s="60"/>
      <c r="FV775" s="60"/>
      <c r="FW775" s="60"/>
      <c r="FX775" s="60"/>
    </row>
    <row r="776">
      <c r="A776" s="18"/>
      <c r="B776" s="14"/>
      <c r="C776" s="14"/>
      <c r="D776" s="14"/>
      <c r="E776" s="18"/>
      <c r="F776" s="18"/>
      <c r="G776" s="18"/>
      <c r="H776" s="18"/>
      <c r="I776" s="18"/>
      <c r="J776" s="18"/>
      <c r="K776" s="18"/>
      <c r="L776" s="18"/>
      <c r="M776" s="18"/>
      <c r="N776" s="18"/>
      <c r="O776" s="18"/>
      <c r="P776" s="23"/>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c r="BO776" s="26"/>
      <c r="BP776" s="26"/>
      <c r="BQ776" s="26"/>
      <c r="BR776" s="26"/>
      <c r="BS776" s="26"/>
      <c r="BT776" s="26"/>
      <c r="BU776" s="26"/>
      <c r="BV776" s="26"/>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26"/>
      <c r="CU776" s="26"/>
      <c r="CV776" s="26"/>
      <c r="CW776" s="26"/>
      <c r="CX776" s="26"/>
      <c r="CY776" s="26"/>
      <c r="CZ776" s="26"/>
      <c r="DA776" s="26"/>
      <c r="DB776" s="26"/>
      <c r="DC776" s="26"/>
      <c r="DD776" s="26"/>
      <c r="DE776" s="26"/>
      <c r="DF776" s="26"/>
      <c r="DG776" s="26"/>
      <c r="DH776" s="26"/>
      <c r="DI776" s="26"/>
      <c r="DJ776" s="26"/>
      <c r="DK776" s="26"/>
      <c r="DL776" s="26"/>
      <c r="DM776" s="26"/>
      <c r="DN776" s="26"/>
      <c r="DO776" s="26"/>
      <c r="DP776" s="26"/>
      <c r="DQ776" s="26"/>
      <c r="DR776" s="26"/>
      <c r="DS776" s="26"/>
      <c r="DT776" s="26"/>
      <c r="DU776" s="26"/>
      <c r="DV776" s="26"/>
      <c r="DW776" s="26"/>
      <c r="DX776" s="26"/>
      <c r="DY776" s="26"/>
      <c r="DZ776" s="26"/>
      <c r="EA776" s="26"/>
      <c r="EB776" s="26"/>
      <c r="EC776" s="26"/>
      <c r="ED776" s="26"/>
      <c r="EE776" s="26"/>
      <c r="EF776" s="26"/>
      <c r="EG776" s="26"/>
      <c r="EH776" s="26"/>
      <c r="EI776" s="26"/>
      <c r="EJ776" s="26"/>
      <c r="EK776" s="26"/>
      <c r="EL776" s="26"/>
      <c r="EM776" s="26"/>
      <c r="EN776" s="26"/>
      <c r="EO776" s="26"/>
      <c r="EP776" s="26"/>
      <c r="EQ776" s="26"/>
      <c r="ER776" s="26"/>
      <c r="ES776" s="26"/>
      <c r="ET776" s="26"/>
      <c r="EU776" s="26"/>
      <c r="EV776" s="26"/>
      <c r="EW776" s="26"/>
      <c r="EX776" s="26"/>
      <c r="EY776" s="26"/>
      <c r="EZ776" s="26"/>
      <c r="FA776" s="60"/>
      <c r="FB776" s="60"/>
      <c r="FC776" s="60"/>
      <c r="FD776" s="60"/>
      <c r="FE776" s="60"/>
      <c r="FF776" s="60"/>
      <c r="FG776" s="60"/>
      <c r="FH776" s="60"/>
      <c r="FI776" s="60"/>
      <c r="FJ776" s="60"/>
      <c r="FK776" s="60"/>
      <c r="FL776" s="60"/>
      <c r="FM776" s="60"/>
      <c r="FN776" s="60"/>
      <c r="FO776" s="60"/>
      <c r="FP776" s="60"/>
      <c r="FQ776" s="60"/>
      <c r="FR776" s="60"/>
      <c r="FS776" s="60"/>
      <c r="FT776" s="60"/>
      <c r="FU776" s="60"/>
      <c r="FV776" s="60"/>
      <c r="FW776" s="60"/>
      <c r="FX776" s="60"/>
    </row>
    <row r="777">
      <c r="A777" s="18"/>
      <c r="B777" s="14"/>
      <c r="C777" s="14"/>
      <c r="D777" s="14"/>
      <c r="E777" s="18"/>
      <c r="F777" s="18"/>
      <c r="G777" s="18"/>
      <c r="H777" s="18"/>
      <c r="I777" s="18"/>
      <c r="J777" s="18"/>
      <c r="K777" s="18"/>
      <c r="L777" s="18"/>
      <c r="M777" s="18"/>
      <c r="N777" s="18"/>
      <c r="O777" s="18"/>
      <c r="P777" s="23"/>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6"/>
      <c r="BM777" s="26"/>
      <c r="BN777" s="26"/>
      <c r="BO777" s="26"/>
      <c r="BP777" s="26"/>
      <c r="BQ777" s="26"/>
      <c r="BR777" s="26"/>
      <c r="BS777" s="26"/>
      <c r="BT777" s="26"/>
      <c r="BU777" s="26"/>
      <c r="BV777" s="26"/>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26"/>
      <c r="CU777" s="26"/>
      <c r="CV777" s="26"/>
      <c r="CW777" s="26"/>
      <c r="CX777" s="26"/>
      <c r="CY777" s="26"/>
      <c r="CZ777" s="26"/>
      <c r="DA777" s="26"/>
      <c r="DB777" s="26"/>
      <c r="DC777" s="26"/>
      <c r="DD777" s="26"/>
      <c r="DE777" s="26"/>
      <c r="DF777" s="26"/>
      <c r="DG777" s="26"/>
      <c r="DH777" s="26"/>
      <c r="DI777" s="26"/>
      <c r="DJ777" s="26"/>
      <c r="DK777" s="26"/>
      <c r="DL777" s="26"/>
      <c r="DM777" s="26"/>
      <c r="DN777" s="26"/>
      <c r="DO777" s="26"/>
      <c r="DP777" s="26"/>
      <c r="DQ777" s="26"/>
      <c r="DR777" s="26"/>
      <c r="DS777" s="26"/>
      <c r="DT777" s="26"/>
      <c r="DU777" s="26"/>
      <c r="DV777" s="26"/>
      <c r="DW777" s="26"/>
      <c r="DX777" s="26"/>
      <c r="DY777" s="26"/>
      <c r="DZ777" s="26"/>
      <c r="EA777" s="26"/>
      <c r="EB777" s="26"/>
      <c r="EC777" s="26"/>
      <c r="ED777" s="26"/>
      <c r="EE777" s="26"/>
      <c r="EF777" s="26"/>
      <c r="EG777" s="26"/>
      <c r="EH777" s="26"/>
      <c r="EI777" s="26"/>
      <c r="EJ777" s="26"/>
      <c r="EK777" s="26"/>
      <c r="EL777" s="26"/>
      <c r="EM777" s="26"/>
      <c r="EN777" s="26"/>
      <c r="EO777" s="26"/>
      <c r="EP777" s="26"/>
      <c r="EQ777" s="26"/>
      <c r="ER777" s="26"/>
      <c r="ES777" s="26"/>
      <c r="ET777" s="26"/>
      <c r="EU777" s="26"/>
      <c r="EV777" s="26"/>
      <c r="EW777" s="26"/>
      <c r="EX777" s="26"/>
      <c r="EY777" s="26"/>
      <c r="EZ777" s="26"/>
      <c r="FA777" s="60"/>
      <c r="FB777" s="60"/>
      <c r="FC777" s="60"/>
      <c r="FD777" s="60"/>
      <c r="FE777" s="60"/>
      <c r="FF777" s="60"/>
      <c r="FG777" s="60"/>
      <c r="FH777" s="60"/>
      <c r="FI777" s="60"/>
      <c r="FJ777" s="60"/>
      <c r="FK777" s="60"/>
      <c r="FL777" s="60"/>
      <c r="FM777" s="60"/>
      <c r="FN777" s="60"/>
      <c r="FO777" s="60"/>
      <c r="FP777" s="60"/>
      <c r="FQ777" s="60"/>
      <c r="FR777" s="60"/>
      <c r="FS777" s="60"/>
      <c r="FT777" s="60"/>
      <c r="FU777" s="60"/>
      <c r="FV777" s="60"/>
      <c r="FW777" s="60"/>
      <c r="FX777" s="60"/>
    </row>
    <row r="778">
      <c r="A778" s="18"/>
      <c r="B778" s="14"/>
      <c r="C778" s="14"/>
      <c r="D778" s="14"/>
      <c r="E778" s="18"/>
      <c r="F778" s="18"/>
      <c r="G778" s="18"/>
      <c r="H778" s="18"/>
      <c r="I778" s="18"/>
      <c r="J778" s="18"/>
      <c r="K778" s="18"/>
      <c r="L778" s="18"/>
      <c r="M778" s="18"/>
      <c r="N778" s="18"/>
      <c r="O778" s="18"/>
      <c r="P778" s="23"/>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c r="BO778" s="26"/>
      <c r="BP778" s="26"/>
      <c r="BQ778" s="26"/>
      <c r="BR778" s="26"/>
      <c r="BS778" s="26"/>
      <c r="BT778" s="26"/>
      <c r="BU778" s="26"/>
      <c r="BV778" s="26"/>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26"/>
      <c r="CU778" s="26"/>
      <c r="CV778" s="26"/>
      <c r="CW778" s="26"/>
      <c r="CX778" s="26"/>
      <c r="CY778" s="26"/>
      <c r="CZ778" s="26"/>
      <c r="DA778" s="26"/>
      <c r="DB778" s="26"/>
      <c r="DC778" s="26"/>
      <c r="DD778" s="26"/>
      <c r="DE778" s="26"/>
      <c r="DF778" s="26"/>
      <c r="DG778" s="26"/>
      <c r="DH778" s="26"/>
      <c r="DI778" s="26"/>
      <c r="DJ778" s="26"/>
      <c r="DK778" s="26"/>
      <c r="DL778" s="26"/>
      <c r="DM778" s="26"/>
      <c r="DN778" s="26"/>
      <c r="DO778" s="26"/>
      <c r="DP778" s="26"/>
      <c r="DQ778" s="26"/>
      <c r="DR778" s="26"/>
      <c r="DS778" s="26"/>
      <c r="DT778" s="26"/>
      <c r="DU778" s="26"/>
      <c r="DV778" s="26"/>
      <c r="DW778" s="26"/>
      <c r="DX778" s="26"/>
      <c r="DY778" s="26"/>
      <c r="DZ778" s="26"/>
      <c r="EA778" s="26"/>
      <c r="EB778" s="26"/>
      <c r="EC778" s="26"/>
      <c r="ED778" s="26"/>
      <c r="EE778" s="26"/>
      <c r="EF778" s="26"/>
      <c r="EG778" s="26"/>
      <c r="EH778" s="26"/>
      <c r="EI778" s="26"/>
      <c r="EJ778" s="26"/>
      <c r="EK778" s="26"/>
      <c r="EL778" s="26"/>
      <c r="EM778" s="26"/>
      <c r="EN778" s="26"/>
      <c r="EO778" s="26"/>
      <c r="EP778" s="26"/>
      <c r="EQ778" s="26"/>
      <c r="ER778" s="26"/>
      <c r="ES778" s="26"/>
      <c r="ET778" s="26"/>
      <c r="EU778" s="26"/>
      <c r="EV778" s="26"/>
      <c r="EW778" s="26"/>
      <c r="EX778" s="26"/>
      <c r="EY778" s="26"/>
      <c r="EZ778" s="26"/>
      <c r="FA778" s="60"/>
      <c r="FB778" s="60"/>
      <c r="FC778" s="60"/>
      <c r="FD778" s="60"/>
      <c r="FE778" s="60"/>
      <c r="FF778" s="60"/>
      <c r="FG778" s="60"/>
      <c r="FH778" s="60"/>
      <c r="FI778" s="60"/>
      <c r="FJ778" s="60"/>
      <c r="FK778" s="60"/>
      <c r="FL778" s="60"/>
      <c r="FM778" s="60"/>
      <c r="FN778" s="60"/>
      <c r="FO778" s="60"/>
      <c r="FP778" s="60"/>
      <c r="FQ778" s="60"/>
      <c r="FR778" s="60"/>
      <c r="FS778" s="60"/>
      <c r="FT778" s="60"/>
      <c r="FU778" s="60"/>
      <c r="FV778" s="60"/>
      <c r="FW778" s="60"/>
      <c r="FX778" s="60"/>
    </row>
    <row r="779">
      <c r="A779" s="18"/>
      <c r="B779" s="14"/>
      <c r="C779" s="14"/>
      <c r="D779" s="14"/>
      <c r="E779" s="18"/>
      <c r="F779" s="18"/>
      <c r="G779" s="18"/>
      <c r="H779" s="18"/>
      <c r="I779" s="18"/>
      <c r="J779" s="18"/>
      <c r="K779" s="18"/>
      <c r="L779" s="18"/>
      <c r="M779" s="18"/>
      <c r="N779" s="18"/>
      <c r="O779" s="18"/>
      <c r="P779" s="23"/>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6"/>
      <c r="BG779" s="26"/>
      <c r="BH779" s="26"/>
      <c r="BI779" s="26"/>
      <c r="BJ779" s="26"/>
      <c r="BK779" s="26"/>
      <c r="BL779" s="26"/>
      <c r="BM779" s="26"/>
      <c r="BN779" s="26"/>
      <c r="BO779" s="26"/>
      <c r="BP779" s="26"/>
      <c r="BQ779" s="26"/>
      <c r="BR779" s="26"/>
      <c r="BS779" s="26"/>
      <c r="BT779" s="26"/>
      <c r="BU779" s="26"/>
      <c r="BV779" s="26"/>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26"/>
      <c r="CU779" s="26"/>
      <c r="CV779" s="26"/>
      <c r="CW779" s="26"/>
      <c r="CX779" s="26"/>
      <c r="CY779" s="26"/>
      <c r="CZ779" s="26"/>
      <c r="DA779" s="26"/>
      <c r="DB779" s="26"/>
      <c r="DC779" s="26"/>
      <c r="DD779" s="26"/>
      <c r="DE779" s="26"/>
      <c r="DF779" s="26"/>
      <c r="DG779" s="26"/>
      <c r="DH779" s="26"/>
      <c r="DI779" s="26"/>
      <c r="DJ779" s="26"/>
      <c r="DK779" s="26"/>
      <c r="DL779" s="26"/>
      <c r="DM779" s="26"/>
      <c r="DN779" s="26"/>
      <c r="DO779" s="26"/>
      <c r="DP779" s="26"/>
      <c r="DQ779" s="26"/>
      <c r="DR779" s="26"/>
      <c r="DS779" s="26"/>
      <c r="DT779" s="26"/>
      <c r="DU779" s="26"/>
      <c r="DV779" s="26"/>
      <c r="DW779" s="26"/>
      <c r="DX779" s="26"/>
      <c r="DY779" s="26"/>
      <c r="DZ779" s="26"/>
      <c r="EA779" s="26"/>
      <c r="EB779" s="26"/>
      <c r="EC779" s="26"/>
      <c r="ED779" s="26"/>
      <c r="EE779" s="26"/>
      <c r="EF779" s="26"/>
      <c r="EG779" s="26"/>
      <c r="EH779" s="26"/>
      <c r="EI779" s="26"/>
      <c r="EJ779" s="26"/>
      <c r="EK779" s="26"/>
      <c r="EL779" s="26"/>
      <c r="EM779" s="26"/>
      <c r="EN779" s="26"/>
      <c r="EO779" s="26"/>
      <c r="EP779" s="26"/>
      <c r="EQ779" s="26"/>
      <c r="ER779" s="26"/>
      <c r="ES779" s="26"/>
      <c r="ET779" s="26"/>
      <c r="EU779" s="26"/>
      <c r="EV779" s="26"/>
      <c r="EW779" s="26"/>
      <c r="EX779" s="26"/>
      <c r="EY779" s="26"/>
      <c r="EZ779" s="26"/>
      <c r="FA779" s="60"/>
      <c r="FB779" s="60"/>
      <c r="FC779" s="60"/>
      <c r="FD779" s="60"/>
      <c r="FE779" s="60"/>
      <c r="FF779" s="60"/>
      <c r="FG779" s="60"/>
      <c r="FH779" s="60"/>
      <c r="FI779" s="60"/>
      <c r="FJ779" s="60"/>
      <c r="FK779" s="60"/>
      <c r="FL779" s="60"/>
      <c r="FM779" s="60"/>
      <c r="FN779" s="60"/>
      <c r="FO779" s="60"/>
      <c r="FP779" s="60"/>
      <c r="FQ779" s="60"/>
      <c r="FR779" s="60"/>
      <c r="FS779" s="60"/>
      <c r="FT779" s="60"/>
      <c r="FU779" s="60"/>
      <c r="FV779" s="60"/>
      <c r="FW779" s="60"/>
      <c r="FX779" s="60"/>
    </row>
    <row r="780">
      <c r="A780" s="18"/>
      <c r="B780" s="14"/>
      <c r="C780" s="14"/>
      <c r="D780" s="14"/>
      <c r="E780" s="18"/>
      <c r="F780" s="18"/>
      <c r="G780" s="18"/>
      <c r="H780" s="18"/>
      <c r="I780" s="18"/>
      <c r="J780" s="18"/>
      <c r="K780" s="18"/>
      <c r="L780" s="18"/>
      <c r="M780" s="18"/>
      <c r="N780" s="18"/>
      <c r="O780" s="18"/>
      <c r="P780" s="23"/>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26"/>
      <c r="BS780" s="26"/>
      <c r="BT780" s="26"/>
      <c r="BU780" s="26"/>
      <c r="BV780" s="26"/>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26"/>
      <c r="CU780" s="26"/>
      <c r="CV780" s="26"/>
      <c r="CW780" s="26"/>
      <c r="CX780" s="26"/>
      <c r="CY780" s="26"/>
      <c r="CZ780" s="26"/>
      <c r="DA780" s="26"/>
      <c r="DB780" s="26"/>
      <c r="DC780" s="26"/>
      <c r="DD780" s="26"/>
      <c r="DE780" s="26"/>
      <c r="DF780" s="26"/>
      <c r="DG780" s="26"/>
      <c r="DH780" s="26"/>
      <c r="DI780" s="26"/>
      <c r="DJ780" s="26"/>
      <c r="DK780" s="26"/>
      <c r="DL780" s="26"/>
      <c r="DM780" s="26"/>
      <c r="DN780" s="26"/>
      <c r="DO780" s="26"/>
      <c r="DP780" s="26"/>
      <c r="DQ780" s="26"/>
      <c r="DR780" s="26"/>
      <c r="DS780" s="26"/>
      <c r="DT780" s="26"/>
      <c r="DU780" s="26"/>
      <c r="DV780" s="26"/>
      <c r="DW780" s="26"/>
      <c r="DX780" s="26"/>
      <c r="DY780" s="26"/>
      <c r="DZ780" s="26"/>
      <c r="EA780" s="26"/>
      <c r="EB780" s="26"/>
      <c r="EC780" s="26"/>
      <c r="ED780" s="26"/>
      <c r="EE780" s="26"/>
      <c r="EF780" s="26"/>
      <c r="EG780" s="26"/>
      <c r="EH780" s="26"/>
      <c r="EI780" s="26"/>
      <c r="EJ780" s="26"/>
      <c r="EK780" s="26"/>
      <c r="EL780" s="26"/>
      <c r="EM780" s="26"/>
      <c r="EN780" s="26"/>
      <c r="EO780" s="26"/>
      <c r="EP780" s="26"/>
      <c r="EQ780" s="26"/>
      <c r="ER780" s="26"/>
      <c r="ES780" s="26"/>
      <c r="ET780" s="26"/>
      <c r="EU780" s="26"/>
      <c r="EV780" s="26"/>
      <c r="EW780" s="26"/>
      <c r="EX780" s="26"/>
      <c r="EY780" s="26"/>
      <c r="EZ780" s="26"/>
      <c r="FA780" s="60"/>
      <c r="FB780" s="60"/>
      <c r="FC780" s="60"/>
      <c r="FD780" s="60"/>
      <c r="FE780" s="60"/>
      <c r="FF780" s="60"/>
      <c r="FG780" s="60"/>
      <c r="FH780" s="60"/>
      <c r="FI780" s="60"/>
      <c r="FJ780" s="60"/>
      <c r="FK780" s="60"/>
      <c r="FL780" s="60"/>
      <c r="FM780" s="60"/>
      <c r="FN780" s="60"/>
      <c r="FO780" s="60"/>
      <c r="FP780" s="60"/>
      <c r="FQ780" s="60"/>
      <c r="FR780" s="60"/>
      <c r="FS780" s="60"/>
      <c r="FT780" s="60"/>
      <c r="FU780" s="60"/>
      <c r="FV780" s="60"/>
      <c r="FW780" s="60"/>
      <c r="FX780" s="60"/>
    </row>
    <row r="781">
      <c r="A781" s="18"/>
      <c r="B781" s="14"/>
      <c r="C781" s="14"/>
      <c r="D781" s="14"/>
      <c r="E781" s="18"/>
      <c r="F781" s="18"/>
      <c r="G781" s="18"/>
      <c r="H781" s="18"/>
      <c r="I781" s="18"/>
      <c r="J781" s="18"/>
      <c r="K781" s="18"/>
      <c r="L781" s="18"/>
      <c r="M781" s="18"/>
      <c r="N781" s="18"/>
      <c r="O781" s="18"/>
      <c r="P781" s="23"/>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6"/>
      <c r="BG781" s="26"/>
      <c r="BH781" s="26"/>
      <c r="BI781" s="26"/>
      <c r="BJ781" s="26"/>
      <c r="BK781" s="26"/>
      <c r="BL781" s="26"/>
      <c r="BM781" s="26"/>
      <c r="BN781" s="26"/>
      <c r="BO781" s="26"/>
      <c r="BP781" s="26"/>
      <c r="BQ781" s="26"/>
      <c r="BR781" s="26"/>
      <c r="BS781" s="26"/>
      <c r="BT781" s="26"/>
      <c r="BU781" s="26"/>
      <c r="BV781" s="26"/>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26"/>
      <c r="CU781" s="26"/>
      <c r="CV781" s="26"/>
      <c r="CW781" s="26"/>
      <c r="CX781" s="26"/>
      <c r="CY781" s="26"/>
      <c r="CZ781" s="26"/>
      <c r="DA781" s="26"/>
      <c r="DB781" s="26"/>
      <c r="DC781" s="26"/>
      <c r="DD781" s="26"/>
      <c r="DE781" s="26"/>
      <c r="DF781" s="26"/>
      <c r="DG781" s="26"/>
      <c r="DH781" s="26"/>
      <c r="DI781" s="26"/>
      <c r="DJ781" s="26"/>
      <c r="DK781" s="26"/>
      <c r="DL781" s="26"/>
      <c r="DM781" s="26"/>
      <c r="DN781" s="26"/>
      <c r="DO781" s="26"/>
      <c r="DP781" s="26"/>
      <c r="DQ781" s="26"/>
      <c r="DR781" s="26"/>
      <c r="DS781" s="26"/>
      <c r="DT781" s="26"/>
      <c r="DU781" s="26"/>
      <c r="DV781" s="26"/>
      <c r="DW781" s="26"/>
      <c r="DX781" s="26"/>
      <c r="DY781" s="26"/>
      <c r="DZ781" s="26"/>
      <c r="EA781" s="26"/>
      <c r="EB781" s="26"/>
      <c r="EC781" s="26"/>
      <c r="ED781" s="26"/>
      <c r="EE781" s="26"/>
      <c r="EF781" s="26"/>
      <c r="EG781" s="26"/>
      <c r="EH781" s="26"/>
      <c r="EI781" s="26"/>
      <c r="EJ781" s="26"/>
      <c r="EK781" s="26"/>
      <c r="EL781" s="26"/>
      <c r="EM781" s="26"/>
      <c r="EN781" s="26"/>
      <c r="EO781" s="26"/>
      <c r="EP781" s="26"/>
      <c r="EQ781" s="26"/>
      <c r="ER781" s="26"/>
      <c r="ES781" s="26"/>
      <c r="ET781" s="26"/>
      <c r="EU781" s="26"/>
      <c r="EV781" s="26"/>
      <c r="EW781" s="26"/>
      <c r="EX781" s="26"/>
      <c r="EY781" s="26"/>
      <c r="EZ781" s="26"/>
      <c r="FA781" s="60"/>
      <c r="FB781" s="60"/>
      <c r="FC781" s="60"/>
      <c r="FD781" s="60"/>
      <c r="FE781" s="60"/>
      <c r="FF781" s="60"/>
      <c r="FG781" s="60"/>
      <c r="FH781" s="60"/>
      <c r="FI781" s="60"/>
      <c r="FJ781" s="60"/>
      <c r="FK781" s="60"/>
      <c r="FL781" s="60"/>
      <c r="FM781" s="60"/>
      <c r="FN781" s="60"/>
      <c r="FO781" s="60"/>
      <c r="FP781" s="60"/>
      <c r="FQ781" s="60"/>
      <c r="FR781" s="60"/>
      <c r="FS781" s="60"/>
      <c r="FT781" s="60"/>
      <c r="FU781" s="60"/>
      <c r="FV781" s="60"/>
      <c r="FW781" s="60"/>
      <c r="FX781" s="60"/>
    </row>
    <row r="782">
      <c r="A782" s="18"/>
      <c r="B782" s="14"/>
      <c r="C782" s="14"/>
      <c r="D782" s="14"/>
      <c r="E782" s="18"/>
      <c r="F782" s="18"/>
      <c r="G782" s="18"/>
      <c r="H782" s="18"/>
      <c r="I782" s="18"/>
      <c r="J782" s="18"/>
      <c r="K782" s="18"/>
      <c r="L782" s="18"/>
      <c r="M782" s="18"/>
      <c r="N782" s="18"/>
      <c r="O782" s="18"/>
      <c r="P782" s="23"/>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c r="BO782" s="26"/>
      <c r="BP782" s="26"/>
      <c r="BQ782" s="26"/>
      <c r="BR782" s="26"/>
      <c r="BS782" s="26"/>
      <c r="BT782" s="26"/>
      <c r="BU782" s="26"/>
      <c r="BV782" s="26"/>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26"/>
      <c r="CU782" s="26"/>
      <c r="CV782" s="26"/>
      <c r="CW782" s="26"/>
      <c r="CX782" s="26"/>
      <c r="CY782" s="26"/>
      <c r="CZ782" s="26"/>
      <c r="DA782" s="26"/>
      <c r="DB782" s="26"/>
      <c r="DC782" s="26"/>
      <c r="DD782" s="26"/>
      <c r="DE782" s="26"/>
      <c r="DF782" s="26"/>
      <c r="DG782" s="26"/>
      <c r="DH782" s="26"/>
      <c r="DI782" s="26"/>
      <c r="DJ782" s="26"/>
      <c r="DK782" s="26"/>
      <c r="DL782" s="26"/>
      <c r="DM782" s="26"/>
      <c r="DN782" s="26"/>
      <c r="DO782" s="26"/>
      <c r="DP782" s="26"/>
      <c r="DQ782" s="26"/>
      <c r="DR782" s="26"/>
      <c r="DS782" s="26"/>
      <c r="DT782" s="26"/>
      <c r="DU782" s="26"/>
      <c r="DV782" s="26"/>
      <c r="DW782" s="26"/>
      <c r="DX782" s="26"/>
      <c r="DY782" s="26"/>
      <c r="DZ782" s="26"/>
      <c r="EA782" s="26"/>
      <c r="EB782" s="26"/>
      <c r="EC782" s="26"/>
      <c r="ED782" s="26"/>
      <c r="EE782" s="26"/>
      <c r="EF782" s="26"/>
      <c r="EG782" s="26"/>
      <c r="EH782" s="26"/>
      <c r="EI782" s="26"/>
      <c r="EJ782" s="26"/>
      <c r="EK782" s="26"/>
      <c r="EL782" s="26"/>
      <c r="EM782" s="26"/>
      <c r="EN782" s="26"/>
      <c r="EO782" s="26"/>
      <c r="EP782" s="26"/>
      <c r="EQ782" s="26"/>
      <c r="ER782" s="26"/>
      <c r="ES782" s="26"/>
      <c r="ET782" s="26"/>
      <c r="EU782" s="26"/>
      <c r="EV782" s="26"/>
      <c r="EW782" s="26"/>
      <c r="EX782" s="26"/>
      <c r="EY782" s="26"/>
      <c r="EZ782" s="26"/>
      <c r="FA782" s="60"/>
      <c r="FB782" s="60"/>
      <c r="FC782" s="60"/>
      <c r="FD782" s="60"/>
      <c r="FE782" s="60"/>
      <c r="FF782" s="60"/>
      <c r="FG782" s="60"/>
      <c r="FH782" s="60"/>
      <c r="FI782" s="60"/>
      <c r="FJ782" s="60"/>
      <c r="FK782" s="60"/>
      <c r="FL782" s="60"/>
      <c r="FM782" s="60"/>
      <c r="FN782" s="60"/>
      <c r="FO782" s="60"/>
      <c r="FP782" s="60"/>
      <c r="FQ782" s="60"/>
      <c r="FR782" s="60"/>
      <c r="FS782" s="60"/>
      <c r="FT782" s="60"/>
      <c r="FU782" s="60"/>
      <c r="FV782" s="60"/>
      <c r="FW782" s="60"/>
      <c r="FX782" s="60"/>
    </row>
    <row r="783">
      <c r="A783" s="18"/>
      <c r="B783" s="14"/>
      <c r="C783" s="14"/>
      <c r="D783" s="14"/>
      <c r="E783" s="18"/>
      <c r="F783" s="18"/>
      <c r="G783" s="18"/>
      <c r="H783" s="18"/>
      <c r="I783" s="18"/>
      <c r="J783" s="18"/>
      <c r="K783" s="18"/>
      <c r="L783" s="18"/>
      <c r="M783" s="18"/>
      <c r="N783" s="18"/>
      <c r="O783" s="18"/>
      <c r="P783" s="23"/>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6"/>
      <c r="BG783" s="26"/>
      <c r="BH783" s="26"/>
      <c r="BI783" s="26"/>
      <c r="BJ783" s="26"/>
      <c r="BK783" s="26"/>
      <c r="BL783" s="26"/>
      <c r="BM783" s="26"/>
      <c r="BN783" s="26"/>
      <c r="BO783" s="26"/>
      <c r="BP783" s="26"/>
      <c r="BQ783" s="26"/>
      <c r="BR783" s="26"/>
      <c r="BS783" s="26"/>
      <c r="BT783" s="26"/>
      <c r="BU783" s="26"/>
      <c r="BV783" s="26"/>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26"/>
      <c r="CU783" s="26"/>
      <c r="CV783" s="26"/>
      <c r="CW783" s="26"/>
      <c r="CX783" s="26"/>
      <c r="CY783" s="26"/>
      <c r="CZ783" s="26"/>
      <c r="DA783" s="26"/>
      <c r="DB783" s="26"/>
      <c r="DC783" s="26"/>
      <c r="DD783" s="26"/>
      <c r="DE783" s="26"/>
      <c r="DF783" s="26"/>
      <c r="DG783" s="26"/>
      <c r="DH783" s="26"/>
      <c r="DI783" s="26"/>
      <c r="DJ783" s="26"/>
      <c r="DK783" s="26"/>
      <c r="DL783" s="26"/>
      <c r="DM783" s="26"/>
      <c r="DN783" s="26"/>
      <c r="DO783" s="26"/>
      <c r="DP783" s="26"/>
      <c r="DQ783" s="26"/>
      <c r="DR783" s="26"/>
      <c r="DS783" s="26"/>
      <c r="DT783" s="26"/>
      <c r="DU783" s="26"/>
      <c r="DV783" s="26"/>
      <c r="DW783" s="26"/>
      <c r="DX783" s="26"/>
      <c r="DY783" s="26"/>
      <c r="DZ783" s="26"/>
      <c r="EA783" s="26"/>
      <c r="EB783" s="26"/>
      <c r="EC783" s="26"/>
      <c r="ED783" s="26"/>
      <c r="EE783" s="26"/>
      <c r="EF783" s="26"/>
      <c r="EG783" s="26"/>
      <c r="EH783" s="26"/>
      <c r="EI783" s="26"/>
      <c r="EJ783" s="26"/>
      <c r="EK783" s="26"/>
      <c r="EL783" s="26"/>
      <c r="EM783" s="26"/>
      <c r="EN783" s="26"/>
      <c r="EO783" s="26"/>
      <c r="EP783" s="26"/>
      <c r="EQ783" s="26"/>
      <c r="ER783" s="26"/>
      <c r="ES783" s="26"/>
      <c r="ET783" s="26"/>
      <c r="EU783" s="26"/>
      <c r="EV783" s="26"/>
      <c r="EW783" s="26"/>
      <c r="EX783" s="26"/>
      <c r="EY783" s="26"/>
      <c r="EZ783" s="26"/>
      <c r="FA783" s="60"/>
      <c r="FB783" s="60"/>
      <c r="FC783" s="60"/>
      <c r="FD783" s="60"/>
      <c r="FE783" s="60"/>
      <c r="FF783" s="60"/>
      <c r="FG783" s="60"/>
      <c r="FH783" s="60"/>
      <c r="FI783" s="60"/>
      <c r="FJ783" s="60"/>
      <c r="FK783" s="60"/>
      <c r="FL783" s="60"/>
      <c r="FM783" s="60"/>
      <c r="FN783" s="60"/>
      <c r="FO783" s="60"/>
      <c r="FP783" s="60"/>
      <c r="FQ783" s="60"/>
      <c r="FR783" s="60"/>
      <c r="FS783" s="60"/>
      <c r="FT783" s="60"/>
      <c r="FU783" s="60"/>
      <c r="FV783" s="60"/>
      <c r="FW783" s="60"/>
      <c r="FX783" s="60"/>
    </row>
    <row r="784">
      <c r="A784" s="18"/>
      <c r="B784" s="14"/>
      <c r="C784" s="14"/>
      <c r="D784" s="14"/>
      <c r="E784" s="18"/>
      <c r="F784" s="18"/>
      <c r="G784" s="18"/>
      <c r="H784" s="18"/>
      <c r="I784" s="18"/>
      <c r="J784" s="18"/>
      <c r="K784" s="18"/>
      <c r="L784" s="18"/>
      <c r="M784" s="18"/>
      <c r="N784" s="18"/>
      <c r="O784" s="18"/>
      <c r="P784" s="23"/>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c r="BO784" s="26"/>
      <c r="BP784" s="26"/>
      <c r="BQ784" s="26"/>
      <c r="BR784" s="26"/>
      <c r="BS784" s="26"/>
      <c r="BT784" s="26"/>
      <c r="BU784" s="26"/>
      <c r="BV784" s="26"/>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26"/>
      <c r="CU784" s="26"/>
      <c r="CV784" s="26"/>
      <c r="CW784" s="26"/>
      <c r="CX784" s="26"/>
      <c r="CY784" s="26"/>
      <c r="CZ784" s="26"/>
      <c r="DA784" s="26"/>
      <c r="DB784" s="26"/>
      <c r="DC784" s="26"/>
      <c r="DD784" s="26"/>
      <c r="DE784" s="26"/>
      <c r="DF784" s="26"/>
      <c r="DG784" s="26"/>
      <c r="DH784" s="26"/>
      <c r="DI784" s="26"/>
      <c r="DJ784" s="26"/>
      <c r="DK784" s="26"/>
      <c r="DL784" s="26"/>
      <c r="DM784" s="26"/>
      <c r="DN784" s="26"/>
      <c r="DO784" s="26"/>
      <c r="DP784" s="26"/>
      <c r="DQ784" s="26"/>
      <c r="DR784" s="26"/>
      <c r="DS784" s="26"/>
      <c r="DT784" s="26"/>
      <c r="DU784" s="26"/>
      <c r="DV784" s="26"/>
      <c r="DW784" s="26"/>
      <c r="DX784" s="26"/>
      <c r="DY784" s="26"/>
      <c r="DZ784" s="26"/>
      <c r="EA784" s="26"/>
      <c r="EB784" s="26"/>
      <c r="EC784" s="26"/>
      <c r="ED784" s="26"/>
      <c r="EE784" s="26"/>
      <c r="EF784" s="26"/>
      <c r="EG784" s="26"/>
      <c r="EH784" s="26"/>
      <c r="EI784" s="26"/>
      <c r="EJ784" s="26"/>
      <c r="EK784" s="26"/>
      <c r="EL784" s="26"/>
      <c r="EM784" s="26"/>
      <c r="EN784" s="26"/>
      <c r="EO784" s="26"/>
      <c r="EP784" s="26"/>
      <c r="EQ784" s="26"/>
      <c r="ER784" s="26"/>
      <c r="ES784" s="26"/>
      <c r="ET784" s="26"/>
      <c r="EU784" s="26"/>
      <c r="EV784" s="26"/>
      <c r="EW784" s="26"/>
      <c r="EX784" s="26"/>
      <c r="EY784" s="26"/>
      <c r="EZ784" s="26"/>
      <c r="FA784" s="60"/>
      <c r="FB784" s="60"/>
      <c r="FC784" s="60"/>
      <c r="FD784" s="60"/>
      <c r="FE784" s="60"/>
      <c r="FF784" s="60"/>
      <c r="FG784" s="60"/>
      <c r="FH784" s="60"/>
      <c r="FI784" s="60"/>
      <c r="FJ784" s="60"/>
      <c r="FK784" s="60"/>
      <c r="FL784" s="60"/>
      <c r="FM784" s="60"/>
      <c r="FN784" s="60"/>
      <c r="FO784" s="60"/>
      <c r="FP784" s="60"/>
      <c r="FQ784" s="60"/>
      <c r="FR784" s="60"/>
      <c r="FS784" s="60"/>
      <c r="FT784" s="60"/>
      <c r="FU784" s="60"/>
      <c r="FV784" s="60"/>
      <c r="FW784" s="60"/>
      <c r="FX784" s="60"/>
    </row>
    <row r="785">
      <c r="A785" s="18"/>
      <c r="B785" s="14"/>
      <c r="C785" s="14"/>
      <c r="D785" s="14"/>
      <c r="E785" s="18"/>
      <c r="F785" s="18"/>
      <c r="G785" s="18"/>
      <c r="H785" s="18"/>
      <c r="I785" s="18"/>
      <c r="J785" s="18"/>
      <c r="K785" s="18"/>
      <c r="L785" s="18"/>
      <c r="M785" s="18"/>
      <c r="N785" s="18"/>
      <c r="O785" s="18"/>
      <c r="P785" s="23"/>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6"/>
      <c r="BG785" s="26"/>
      <c r="BH785" s="26"/>
      <c r="BI785" s="26"/>
      <c r="BJ785" s="26"/>
      <c r="BK785" s="26"/>
      <c r="BL785" s="26"/>
      <c r="BM785" s="26"/>
      <c r="BN785" s="26"/>
      <c r="BO785" s="26"/>
      <c r="BP785" s="26"/>
      <c r="BQ785" s="26"/>
      <c r="BR785" s="26"/>
      <c r="BS785" s="26"/>
      <c r="BT785" s="26"/>
      <c r="BU785" s="26"/>
      <c r="BV785" s="26"/>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26"/>
      <c r="CU785" s="26"/>
      <c r="CV785" s="26"/>
      <c r="CW785" s="26"/>
      <c r="CX785" s="26"/>
      <c r="CY785" s="26"/>
      <c r="CZ785" s="26"/>
      <c r="DA785" s="26"/>
      <c r="DB785" s="26"/>
      <c r="DC785" s="26"/>
      <c r="DD785" s="26"/>
      <c r="DE785" s="26"/>
      <c r="DF785" s="26"/>
      <c r="DG785" s="26"/>
      <c r="DH785" s="26"/>
      <c r="DI785" s="26"/>
      <c r="DJ785" s="26"/>
      <c r="DK785" s="26"/>
      <c r="DL785" s="26"/>
      <c r="DM785" s="26"/>
      <c r="DN785" s="26"/>
      <c r="DO785" s="26"/>
      <c r="DP785" s="26"/>
      <c r="DQ785" s="26"/>
      <c r="DR785" s="26"/>
      <c r="DS785" s="26"/>
      <c r="DT785" s="26"/>
      <c r="DU785" s="26"/>
      <c r="DV785" s="26"/>
      <c r="DW785" s="26"/>
      <c r="DX785" s="26"/>
      <c r="DY785" s="26"/>
      <c r="DZ785" s="26"/>
      <c r="EA785" s="26"/>
      <c r="EB785" s="26"/>
      <c r="EC785" s="26"/>
      <c r="ED785" s="26"/>
      <c r="EE785" s="26"/>
      <c r="EF785" s="26"/>
      <c r="EG785" s="26"/>
      <c r="EH785" s="26"/>
      <c r="EI785" s="26"/>
      <c r="EJ785" s="26"/>
      <c r="EK785" s="26"/>
      <c r="EL785" s="26"/>
      <c r="EM785" s="26"/>
      <c r="EN785" s="26"/>
      <c r="EO785" s="26"/>
      <c r="EP785" s="26"/>
      <c r="EQ785" s="26"/>
      <c r="ER785" s="26"/>
      <c r="ES785" s="26"/>
      <c r="ET785" s="26"/>
      <c r="EU785" s="26"/>
      <c r="EV785" s="26"/>
      <c r="EW785" s="26"/>
      <c r="EX785" s="26"/>
      <c r="EY785" s="26"/>
      <c r="EZ785" s="26"/>
      <c r="FA785" s="60"/>
      <c r="FB785" s="60"/>
      <c r="FC785" s="60"/>
      <c r="FD785" s="60"/>
      <c r="FE785" s="60"/>
      <c r="FF785" s="60"/>
      <c r="FG785" s="60"/>
      <c r="FH785" s="60"/>
      <c r="FI785" s="60"/>
      <c r="FJ785" s="60"/>
      <c r="FK785" s="60"/>
      <c r="FL785" s="60"/>
      <c r="FM785" s="60"/>
      <c r="FN785" s="60"/>
      <c r="FO785" s="60"/>
      <c r="FP785" s="60"/>
      <c r="FQ785" s="60"/>
      <c r="FR785" s="60"/>
      <c r="FS785" s="60"/>
      <c r="FT785" s="60"/>
      <c r="FU785" s="60"/>
      <c r="FV785" s="60"/>
      <c r="FW785" s="60"/>
      <c r="FX785" s="60"/>
    </row>
    <row r="786">
      <c r="A786" s="18"/>
      <c r="B786" s="14"/>
      <c r="C786" s="14"/>
      <c r="D786" s="14"/>
      <c r="E786" s="18"/>
      <c r="F786" s="18"/>
      <c r="G786" s="18"/>
      <c r="H786" s="18"/>
      <c r="I786" s="18"/>
      <c r="J786" s="18"/>
      <c r="K786" s="18"/>
      <c r="L786" s="18"/>
      <c r="M786" s="18"/>
      <c r="N786" s="18"/>
      <c r="O786" s="18"/>
      <c r="P786" s="23"/>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c r="BO786" s="26"/>
      <c r="BP786" s="26"/>
      <c r="BQ786" s="26"/>
      <c r="BR786" s="26"/>
      <c r="BS786" s="26"/>
      <c r="BT786" s="26"/>
      <c r="BU786" s="26"/>
      <c r="BV786" s="26"/>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26"/>
      <c r="CU786" s="26"/>
      <c r="CV786" s="26"/>
      <c r="CW786" s="26"/>
      <c r="CX786" s="26"/>
      <c r="CY786" s="26"/>
      <c r="CZ786" s="26"/>
      <c r="DA786" s="26"/>
      <c r="DB786" s="26"/>
      <c r="DC786" s="26"/>
      <c r="DD786" s="26"/>
      <c r="DE786" s="26"/>
      <c r="DF786" s="26"/>
      <c r="DG786" s="26"/>
      <c r="DH786" s="26"/>
      <c r="DI786" s="26"/>
      <c r="DJ786" s="26"/>
      <c r="DK786" s="26"/>
      <c r="DL786" s="26"/>
      <c r="DM786" s="26"/>
      <c r="DN786" s="26"/>
      <c r="DO786" s="26"/>
      <c r="DP786" s="26"/>
      <c r="DQ786" s="26"/>
      <c r="DR786" s="26"/>
      <c r="DS786" s="26"/>
      <c r="DT786" s="26"/>
      <c r="DU786" s="26"/>
      <c r="DV786" s="26"/>
      <c r="DW786" s="26"/>
      <c r="DX786" s="26"/>
      <c r="DY786" s="26"/>
      <c r="DZ786" s="26"/>
      <c r="EA786" s="26"/>
      <c r="EB786" s="26"/>
      <c r="EC786" s="26"/>
      <c r="ED786" s="26"/>
      <c r="EE786" s="26"/>
      <c r="EF786" s="26"/>
      <c r="EG786" s="26"/>
      <c r="EH786" s="26"/>
      <c r="EI786" s="26"/>
      <c r="EJ786" s="26"/>
      <c r="EK786" s="26"/>
      <c r="EL786" s="26"/>
      <c r="EM786" s="26"/>
      <c r="EN786" s="26"/>
      <c r="EO786" s="26"/>
      <c r="EP786" s="26"/>
      <c r="EQ786" s="26"/>
      <c r="ER786" s="26"/>
      <c r="ES786" s="26"/>
      <c r="ET786" s="26"/>
      <c r="EU786" s="26"/>
      <c r="EV786" s="26"/>
      <c r="EW786" s="26"/>
      <c r="EX786" s="26"/>
      <c r="EY786" s="26"/>
      <c r="EZ786" s="26"/>
      <c r="FA786" s="60"/>
      <c r="FB786" s="60"/>
      <c r="FC786" s="60"/>
      <c r="FD786" s="60"/>
      <c r="FE786" s="60"/>
      <c r="FF786" s="60"/>
      <c r="FG786" s="60"/>
      <c r="FH786" s="60"/>
      <c r="FI786" s="60"/>
      <c r="FJ786" s="60"/>
      <c r="FK786" s="60"/>
      <c r="FL786" s="60"/>
      <c r="FM786" s="60"/>
      <c r="FN786" s="60"/>
      <c r="FO786" s="60"/>
      <c r="FP786" s="60"/>
      <c r="FQ786" s="60"/>
      <c r="FR786" s="60"/>
      <c r="FS786" s="60"/>
      <c r="FT786" s="60"/>
      <c r="FU786" s="60"/>
      <c r="FV786" s="60"/>
      <c r="FW786" s="60"/>
      <c r="FX786" s="60"/>
    </row>
    <row r="787">
      <c r="A787" s="18"/>
      <c r="B787" s="14"/>
      <c r="C787" s="14"/>
      <c r="D787" s="14"/>
      <c r="E787" s="18"/>
      <c r="F787" s="18"/>
      <c r="G787" s="18"/>
      <c r="H787" s="18"/>
      <c r="I787" s="18"/>
      <c r="J787" s="18"/>
      <c r="K787" s="18"/>
      <c r="L787" s="18"/>
      <c r="M787" s="18"/>
      <c r="N787" s="18"/>
      <c r="O787" s="18"/>
      <c r="P787" s="23"/>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6"/>
      <c r="BG787" s="26"/>
      <c r="BH787" s="26"/>
      <c r="BI787" s="26"/>
      <c r="BJ787" s="26"/>
      <c r="BK787" s="26"/>
      <c r="BL787" s="26"/>
      <c r="BM787" s="26"/>
      <c r="BN787" s="26"/>
      <c r="BO787" s="26"/>
      <c r="BP787" s="26"/>
      <c r="BQ787" s="26"/>
      <c r="BR787" s="26"/>
      <c r="BS787" s="26"/>
      <c r="BT787" s="26"/>
      <c r="BU787" s="26"/>
      <c r="BV787" s="26"/>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26"/>
      <c r="CU787" s="26"/>
      <c r="CV787" s="26"/>
      <c r="CW787" s="26"/>
      <c r="CX787" s="26"/>
      <c r="CY787" s="26"/>
      <c r="CZ787" s="26"/>
      <c r="DA787" s="26"/>
      <c r="DB787" s="26"/>
      <c r="DC787" s="26"/>
      <c r="DD787" s="26"/>
      <c r="DE787" s="26"/>
      <c r="DF787" s="26"/>
      <c r="DG787" s="26"/>
      <c r="DH787" s="26"/>
      <c r="DI787" s="26"/>
      <c r="DJ787" s="26"/>
      <c r="DK787" s="26"/>
      <c r="DL787" s="26"/>
      <c r="DM787" s="26"/>
      <c r="DN787" s="26"/>
      <c r="DO787" s="26"/>
      <c r="DP787" s="26"/>
      <c r="DQ787" s="26"/>
      <c r="DR787" s="26"/>
      <c r="DS787" s="26"/>
      <c r="DT787" s="26"/>
      <c r="DU787" s="26"/>
      <c r="DV787" s="26"/>
      <c r="DW787" s="26"/>
      <c r="DX787" s="26"/>
      <c r="DY787" s="26"/>
      <c r="DZ787" s="26"/>
      <c r="EA787" s="26"/>
      <c r="EB787" s="26"/>
      <c r="EC787" s="26"/>
      <c r="ED787" s="26"/>
      <c r="EE787" s="26"/>
      <c r="EF787" s="26"/>
      <c r="EG787" s="26"/>
      <c r="EH787" s="26"/>
      <c r="EI787" s="26"/>
      <c r="EJ787" s="26"/>
      <c r="EK787" s="26"/>
      <c r="EL787" s="26"/>
      <c r="EM787" s="26"/>
      <c r="EN787" s="26"/>
      <c r="EO787" s="26"/>
      <c r="EP787" s="26"/>
      <c r="EQ787" s="26"/>
      <c r="ER787" s="26"/>
      <c r="ES787" s="26"/>
      <c r="ET787" s="26"/>
      <c r="EU787" s="26"/>
      <c r="EV787" s="26"/>
      <c r="EW787" s="26"/>
      <c r="EX787" s="26"/>
      <c r="EY787" s="26"/>
      <c r="EZ787" s="26"/>
      <c r="FA787" s="60"/>
      <c r="FB787" s="60"/>
      <c r="FC787" s="60"/>
      <c r="FD787" s="60"/>
      <c r="FE787" s="60"/>
      <c r="FF787" s="60"/>
      <c r="FG787" s="60"/>
      <c r="FH787" s="60"/>
      <c r="FI787" s="60"/>
      <c r="FJ787" s="60"/>
      <c r="FK787" s="60"/>
      <c r="FL787" s="60"/>
      <c r="FM787" s="60"/>
      <c r="FN787" s="60"/>
      <c r="FO787" s="60"/>
      <c r="FP787" s="60"/>
      <c r="FQ787" s="60"/>
      <c r="FR787" s="60"/>
      <c r="FS787" s="60"/>
      <c r="FT787" s="60"/>
      <c r="FU787" s="60"/>
      <c r="FV787" s="60"/>
      <c r="FW787" s="60"/>
      <c r="FX787" s="60"/>
    </row>
    <row r="788">
      <c r="A788" s="18"/>
      <c r="B788" s="14"/>
      <c r="C788" s="14"/>
      <c r="D788" s="14"/>
      <c r="E788" s="18"/>
      <c r="F788" s="18"/>
      <c r="G788" s="18"/>
      <c r="H788" s="18"/>
      <c r="I788" s="18"/>
      <c r="J788" s="18"/>
      <c r="K788" s="18"/>
      <c r="L788" s="18"/>
      <c r="M788" s="18"/>
      <c r="N788" s="18"/>
      <c r="O788" s="18"/>
      <c r="P788" s="23"/>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c r="BO788" s="26"/>
      <c r="BP788" s="26"/>
      <c r="BQ788" s="26"/>
      <c r="BR788" s="26"/>
      <c r="BS788" s="26"/>
      <c r="BT788" s="26"/>
      <c r="BU788" s="26"/>
      <c r="BV788" s="26"/>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26"/>
      <c r="CU788" s="26"/>
      <c r="CV788" s="26"/>
      <c r="CW788" s="26"/>
      <c r="CX788" s="26"/>
      <c r="CY788" s="26"/>
      <c r="CZ788" s="26"/>
      <c r="DA788" s="26"/>
      <c r="DB788" s="26"/>
      <c r="DC788" s="26"/>
      <c r="DD788" s="26"/>
      <c r="DE788" s="26"/>
      <c r="DF788" s="26"/>
      <c r="DG788" s="26"/>
      <c r="DH788" s="26"/>
      <c r="DI788" s="26"/>
      <c r="DJ788" s="26"/>
      <c r="DK788" s="26"/>
      <c r="DL788" s="26"/>
      <c r="DM788" s="26"/>
      <c r="DN788" s="26"/>
      <c r="DO788" s="26"/>
      <c r="DP788" s="26"/>
      <c r="DQ788" s="26"/>
      <c r="DR788" s="26"/>
      <c r="DS788" s="26"/>
      <c r="DT788" s="26"/>
      <c r="DU788" s="26"/>
      <c r="DV788" s="26"/>
      <c r="DW788" s="26"/>
      <c r="DX788" s="26"/>
      <c r="DY788" s="26"/>
      <c r="DZ788" s="26"/>
      <c r="EA788" s="26"/>
      <c r="EB788" s="26"/>
      <c r="EC788" s="26"/>
      <c r="ED788" s="26"/>
      <c r="EE788" s="26"/>
      <c r="EF788" s="26"/>
      <c r="EG788" s="26"/>
      <c r="EH788" s="26"/>
      <c r="EI788" s="26"/>
      <c r="EJ788" s="26"/>
      <c r="EK788" s="26"/>
      <c r="EL788" s="26"/>
      <c r="EM788" s="26"/>
      <c r="EN788" s="26"/>
      <c r="EO788" s="26"/>
      <c r="EP788" s="26"/>
      <c r="EQ788" s="26"/>
      <c r="ER788" s="26"/>
      <c r="ES788" s="26"/>
      <c r="ET788" s="26"/>
      <c r="EU788" s="26"/>
      <c r="EV788" s="26"/>
      <c r="EW788" s="26"/>
      <c r="EX788" s="26"/>
      <c r="EY788" s="26"/>
      <c r="EZ788" s="26"/>
      <c r="FA788" s="60"/>
      <c r="FB788" s="60"/>
      <c r="FC788" s="60"/>
      <c r="FD788" s="60"/>
      <c r="FE788" s="60"/>
      <c r="FF788" s="60"/>
      <c r="FG788" s="60"/>
      <c r="FH788" s="60"/>
      <c r="FI788" s="60"/>
      <c r="FJ788" s="60"/>
      <c r="FK788" s="60"/>
      <c r="FL788" s="60"/>
      <c r="FM788" s="60"/>
      <c r="FN788" s="60"/>
      <c r="FO788" s="60"/>
      <c r="FP788" s="60"/>
      <c r="FQ788" s="60"/>
      <c r="FR788" s="60"/>
      <c r="FS788" s="60"/>
      <c r="FT788" s="60"/>
      <c r="FU788" s="60"/>
      <c r="FV788" s="60"/>
      <c r="FW788" s="60"/>
      <c r="FX788" s="60"/>
    </row>
    <row r="789">
      <c r="A789" s="18"/>
      <c r="B789" s="14"/>
      <c r="C789" s="14"/>
      <c r="D789" s="14"/>
      <c r="E789" s="18"/>
      <c r="F789" s="18"/>
      <c r="G789" s="18"/>
      <c r="H789" s="18"/>
      <c r="I789" s="18"/>
      <c r="J789" s="18"/>
      <c r="K789" s="18"/>
      <c r="L789" s="18"/>
      <c r="M789" s="18"/>
      <c r="N789" s="18"/>
      <c r="O789" s="18"/>
      <c r="P789" s="23"/>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6"/>
      <c r="BG789" s="26"/>
      <c r="BH789" s="26"/>
      <c r="BI789" s="26"/>
      <c r="BJ789" s="26"/>
      <c r="BK789" s="26"/>
      <c r="BL789" s="26"/>
      <c r="BM789" s="26"/>
      <c r="BN789" s="26"/>
      <c r="BO789" s="26"/>
      <c r="BP789" s="26"/>
      <c r="BQ789" s="26"/>
      <c r="BR789" s="26"/>
      <c r="BS789" s="26"/>
      <c r="BT789" s="26"/>
      <c r="BU789" s="26"/>
      <c r="BV789" s="26"/>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26"/>
      <c r="CU789" s="26"/>
      <c r="CV789" s="26"/>
      <c r="CW789" s="26"/>
      <c r="CX789" s="26"/>
      <c r="CY789" s="26"/>
      <c r="CZ789" s="26"/>
      <c r="DA789" s="26"/>
      <c r="DB789" s="26"/>
      <c r="DC789" s="26"/>
      <c r="DD789" s="26"/>
      <c r="DE789" s="26"/>
      <c r="DF789" s="26"/>
      <c r="DG789" s="26"/>
      <c r="DH789" s="26"/>
      <c r="DI789" s="26"/>
      <c r="DJ789" s="26"/>
      <c r="DK789" s="26"/>
      <c r="DL789" s="26"/>
      <c r="DM789" s="26"/>
      <c r="DN789" s="26"/>
      <c r="DO789" s="26"/>
      <c r="DP789" s="26"/>
      <c r="DQ789" s="26"/>
      <c r="DR789" s="26"/>
      <c r="DS789" s="26"/>
      <c r="DT789" s="26"/>
      <c r="DU789" s="26"/>
      <c r="DV789" s="26"/>
      <c r="DW789" s="26"/>
      <c r="DX789" s="26"/>
      <c r="DY789" s="26"/>
      <c r="DZ789" s="26"/>
      <c r="EA789" s="26"/>
      <c r="EB789" s="26"/>
      <c r="EC789" s="26"/>
      <c r="ED789" s="26"/>
      <c r="EE789" s="26"/>
      <c r="EF789" s="26"/>
      <c r="EG789" s="26"/>
      <c r="EH789" s="26"/>
      <c r="EI789" s="26"/>
      <c r="EJ789" s="26"/>
      <c r="EK789" s="26"/>
      <c r="EL789" s="26"/>
      <c r="EM789" s="26"/>
      <c r="EN789" s="26"/>
      <c r="EO789" s="26"/>
      <c r="EP789" s="26"/>
      <c r="EQ789" s="26"/>
      <c r="ER789" s="26"/>
      <c r="ES789" s="26"/>
      <c r="ET789" s="26"/>
      <c r="EU789" s="26"/>
      <c r="EV789" s="26"/>
      <c r="EW789" s="26"/>
      <c r="EX789" s="26"/>
      <c r="EY789" s="26"/>
      <c r="EZ789" s="26"/>
      <c r="FA789" s="60"/>
      <c r="FB789" s="60"/>
      <c r="FC789" s="60"/>
      <c r="FD789" s="60"/>
      <c r="FE789" s="60"/>
      <c r="FF789" s="60"/>
      <c r="FG789" s="60"/>
      <c r="FH789" s="60"/>
      <c r="FI789" s="60"/>
      <c r="FJ789" s="60"/>
      <c r="FK789" s="60"/>
      <c r="FL789" s="60"/>
      <c r="FM789" s="60"/>
      <c r="FN789" s="60"/>
      <c r="FO789" s="60"/>
      <c r="FP789" s="60"/>
      <c r="FQ789" s="60"/>
      <c r="FR789" s="60"/>
      <c r="FS789" s="60"/>
      <c r="FT789" s="60"/>
      <c r="FU789" s="60"/>
      <c r="FV789" s="60"/>
      <c r="FW789" s="60"/>
      <c r="FX789" s="60"/>
    </row>
    <row r="790">
      <c r="A790" s="18"/>
      <c r="B790" s="14"/>
      <c r="C790" s="14"/>
      <c r="D790" s="14"/>
      <c r="E790" s="18"/>
      <c r="F790" s="18"/>
      <c r="G790" s="18"/>
      <c r="H790" s="18"/>
      <c r="I790" s="18"/>
      <c r="J790" s="18"/>
      <c r="K790" s="18"/>
      <c r="L790" s="18"/>
      <c r="M790" s="18"/>
      <c r="N790" s="18"/>
      <c r="O790" s="18"/>
      <c r="P790" s="23"/>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c r="BO790" s="26"/>
      <c r="BP790" s="26"/>
      <c r="BQ790" s="26"/>
      <c r="BR790" s="26"/>
      <c r="BS790" s="26"/>
      <c r="BT790" s="26"/>
      <c r="BU790" s="26"/>
      <c r="BV790" s="26"/>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26"/>
      <c r="CU790" s="26"/>
      <c r="CV790" s="26"/>
      <c r="CW790" s="26"/>
      <c r="CX790" s="26"/>
      <c r="CY790" s="26"/>
      <c r="CZ790" s="26"/>
      <c r="DA790" s="26"/>
      <c r="DB790" s="26"/>
      <c r="DC790" s="26"/>
      <c r="DD790" s="26"/>
      <c r="DE790" s="26"/>
      <c r="DF790" s="26"/>
      <c r="DG790" s="26"/>
      <c r="DH790" s="26"/>
      <c r="DI790" s="26"/>
      <c r="DJ790" s="26"/>
      <c r="DK790" s="26"/>
      <c r="DL790" s="26"/>
      <c r="DM790" s="26"/>
      <c r="DN790" s="26"/>
      <c r="DO790" s="26"/>
      <c r="DP790" s="26"/>
      <c r="DQ790" s="26"/>
      <c r="DR790" s="26"/>
      <c r="DS790" s="26"/>
      <c r="DT790" s="26"/>
      <c r="DU790" s="26"/>
      <c r="DV790" s="26"/>
      <c r="DW790" s="26"/>
      <c r="DX790" s="26"/>
      <c r="DY790" s="26"/>
      <c r="DZ790" s="26"/>
      <c r="EA790" s="26"/>
      <c r="EB790" s="26"/>
      <c r="EC790" s="26"/>
      <c r="ED790" s="26"/>
      <c r="EE790" s="26"/>
      <c r="EF790" s="26"/>
      <c r="EG790" s="26"/>
      <c r="EH790" s="26"/>
      <c r="EI790" s="26"/>
      <c r="EJ790" s="26"/>
      <c r="EK790" s="26"/>
      <c r="EL790" s="26"/>
      <c r="EM790" s="26"/>
      <c r="EN790" s="26"/>
      <c r="EO790" s="26"/>
      <c r="EP790" s="26"/>
      <c r="EQ790" s="26"/>
      <c r="ER790" s="26"/>
      <c r="ES790" s="26"/>
      <c r="ET790" s="26"/>
      <c r="EU790" s="26"/>
      <c r="EV790" s="26"/>
      <c r="EW790" s="26"/>
      <c r="EX790" s="26"/>
      <c r="EY790" s="26"/>
      <c r="EZ790" s="26"/>
      <c r="FA790" s="60"/>
      <c r="FB790" s="60"/>
      <c r="FC790" s="60"/>
      <c r="FD790" s="60"/>
      <c r="FE790" s="60"/>
      <c r="FF790" s="60"/>
      <c r="FG790" s="60"/>
      <c r="FH790" s="60"/>
      <c r="FI790" s="60"/>
      <c r="FJ790" s="60"/>
      <c r="FK790" s="60"/>
      <c r="FL790" s="60"/>
      <c r="FM790" s="60"/>
      <c r="FN790" s="60"/>
      <c r="FO790" s="60"/>
      <c r="FP790" s="60"/>
      <c r="FQ790" s="60"/>
      <c r="FR790" s="60"/>
      <c r="FS790" s="60"/>
      <c r="FT790" s="60"/>
      <c r="FU790" s="60"/>
      <c r="FV790" s="60"/>
      <c r="FW790" s="60"/>
      <c r="FX790" s="60"/>
    </row>
    <row r="791">
      <c r="A791" s="18"/>
      <c r="B791" s="14"/>
      <c r="C791" s="14"/>
      <c r="D791" s="14"/>
      <c r="E791" s="18"/>
      <c r="F791" s="18"/>
      <c r="G791" s="18"/>
      <c r="H791" s="18"/>
      <c r="I791" s="18"/>
      <c r="J791" s="18"/>
      <c r="K791" s="18"/>
      <c r="L791" s="18"/>
      <c r="M791" s="18"/>
      <c r="N791" s="18"/>
      <c r="O791" s="18"/>
      <c r="P791" s="23"/>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6"/>
      <c r="BG791" s="26"/>
      <c r="BH791" s="26"/>
      <c r="BI791" s="26"/>
      <c r="BJ791" s="26"/>
      <c r="BK791" s="26"/>
      <c r="BL791" s="26"/>
      <c r="BM791" s="26"/>
      <c r="BN791" s="26"/>
      <c r="BO791" s="26"/>
      <c r="BP791" s="26"/>
      <c r="BQ791" s="26"/>
      <c r="BR791" s="26"/>
      <c r="BS791" s="26"/>
      <c r="BT791" s="26"/>
      <c r="BU791" s="26"/>
      <c r="BV791" s="26"/>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26"/>
      <c r="CU791" s="26"/>
      <c r="CV791" s="26"/>
      <c r="CW791" s="26"/>
      <c r="CX791" s="26"/>
      <c r="CY791" s="26"/>
      <c r="CZ791" s="26"/>
      <c r="DA791" s="26"/>
      <c r="DB791" s="26"/>
      <c r="DC791" s="26"/>
      <c r="DD791" s="26"/>
      <c r="DE791" s="26"/>
      <c r="DF791" s="26"/>
      <c r="DG791" s="26"/>
      <c r="DH791" s="26"/>
      <c r="DI791" s="26"/>
      <c r="DJ791" s="26"/>
      <c r="DK791" s="26"/>
      <c r="DL791" s="26"/>
      <c r="DM791" s="26"/>
      <c r="DN791" s="26"/>
      <c r="DO791" s="26"/>
      <c r="DP791" s="26"/>
      <c r="DQ791" s="26"/>
      <c r="DR791" s="26"/>
      <c r="DS791" s="26"/>
      <c r="DT791" s="26"/>
      <c r="DU791" s="26"/>
      <c r="DV791" s="26"/>
      <c r="DW791" s="26"/>
      <c r="DX791" s="26"/>
      <c r="DY791" s="26"/>
      <c r="DZ791" s="26"/>
      <c r="EA791" s="26"/>
      <c r="EB791" s="26"/>
      <c r="EC791" s="26"/>
      <c r="ED791" s="26"/>
      <c r="EE791" s="26"/>
      <c r="EF791" s="26"/>
      <c r="EG791" s="26"/>
      <c r="EH791" s="26"/>
      <c r="EI791" s="26"/>
      <c r="EJ791" s="26"/>
      <c r="EK791" s="26"/>
      <c r="EL791" s="26"/>
      <c r="EM791" s="26"/>
      <c r="EN791" s="26"/>
      <c r="EO791" s="26"/>
      <c r="EP791" s="26"/>
      <c r="EQ791" s="26"/>
      <c r="ER791" s="26"/>
      <c r="ES791" s="26"/>
      <c r="ET791" s="26"/>
      <c r="EU791" s="26"/>
      <c r="EV791" s="26"/>
      <c r="EW791" s="26"/>
      <c r="EX791" s="26"/>
      <c r="EY791" s="26"/>
      <c r="EZ791" s="26"/>
      <c r="FA791" s="60"/>
      <c r="FB791" s="60"/>
      <c r="FC791" s="60"/>
      <c r="FD791" s="60"/>
      <c r="FE791" s="60"/>
      <c r="FF791" s="60"/>
      <c r="FG791" s="60"/>
      <c r="FH791" s="60"/>
      <c r="FI791" s="60"/>
      <c r="FJ791" s="60"/>
      <c r="FK791" s="60"/>
      <c r="FL791" s="60"/>
      <c r="FM791" s="60"/>
      <c r="FN791" s="60"/>
      <c r="FO791" s="60"/>
      <c r="FP791" s="60"/>
      <c r="FQ791" s="60"/>
      <c r="FR791" s="60"/>
      <c r="FS791" s="60"/>
      <c r="FT791" s="60"/>
      <c r="FU791" s="60"/>
      <c r="FV791" s="60"/>
      <c r="FW791" s="60"/>
      <c r="FX791" s="60"/>
    </row>
    <row r="792">
      <c r="A792" s="18"/>
      <c r="B792" s="14"/>
      <c r="C792" s="14"/>
      <c r="D792" s="14"/>
      <c r="E792" s="18"/>
      <c r="F792" s="18"/>
      <c r="G792" s="18"/>
      <c r="H792" s="18"/>
      <c r="I792" s="18"/>
      <c r="J792" s="18"/>
      <c r="K792" s="18"/>
      <c r="L792" s="18"/>
      <c r="M792" s="18"/>
      <c r="N792" s="18"/>
      <c r="O792" s="18"/>
      <c r="P792" s="23"/>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c r="BO792" s="26"/>
      <c r="BP792" s="26"/>
      <c r="BQ792" s="26"/>
      <c r="BR792" s="26"/>
      <c r="BS792" s="26"/>
      <c r="BT792" s="26"/>
      <c r="BU792" s="26"/>
      <c r="BV792" s="26"/>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26"/>
      <c r="CU792" s="26"/>
      <c r="CV792" s="26"/>
      <c r="CW792" s="26"/>
      <c r="CX792" s="26"/>
      <c r="CY792" s="26"/>
      <c r="CZ792" s="26"/>
      <c r="DA792" s="26"/>
      <c r="DB792" s="26"/>
      <c r="DC792" s="26"/>
      <c r="DD792" s="26"/>
      <c r="DE792" s="26"/>
      <c r="DF792" s="26"/>
      <c r="DG792" s="26"/>
      <c r="DH792" s="26"/>
      <c r="DI792" s="26"/>
      <c r="DJ792" s="26"/>
      <c r="DK792" s="26"/>
      <c r="DL792" s="26"/>
      <c r="DM792" s="26"/>
      <c r="DN792" s="26"/>
      <c r="DO792" s="26"/>
      <c r="DP792" s="26"/>
      <c r="DQ792" s="26"/>
      <c r="DR792" s="26"/>
      <c r="DS792" s="26"/>
      <c r="DT792" s="26"/>
      <c r="DU792" s="26"/>
      <c r="DV792" s="26"/>
      <c r="DW792" s="26"/>
      <c r="DX792" s="26"/>
      <c r="DY792" s="26"/>
      <c r="DZ792" s="26"/>
      <c r="EA792" s="26"/>
      <c r="EB792" s="26"/>
      <c r="EC792" s="26"/>
      <c r="ED792" s="26"/>
      <c r="EE792" s="26"/>
      <c r="EF792" s="26"/>
      <c r="EG792" s="26"/>
      <c r="EH792" s="26"/>
      <c r="EI792" s="26"/>
      <c r="EJ792" s="26"/>
      <c r="EK792" s="26"/>
      <c r="EL792" s="26"/>
      <c r="EM792" s="26"/>
      <c r="EN792" s="26"/>
      <c r="EO792" s="26"/>
      <c r="EP792" s="26"/>
      <c r="EQ792" s="26"/>
      <c r="ER792" s="26"/>
      <c r="ES792" s="26"/>
      <c r="ET792" s="26"/>
      <c r="EU792" s="26"/>
      <c r="EV792" s="26"/>
      <c r="EW792" s="26"/>
      <c r="EX792" s="26"/>
      <c r="EY792" s="26"/>
      <c r="EZ792" s="26"/>
      <c r="FA792" s="60"/>
      <c r="FB792" s="60"/>
      <c r="FC792" s="60"/>
      <c r="FD792" s="60"/>
      <c r="FE792" s="60"/>
      <c r="FF792" s="60"/>
      <c r="FG792" s="60"/>
      <c r="FH792" s="60"/>
      <c r="FI792" s="60"/>
      <c r="FJ792" s="60"/>
      <c r="FK792" s="60"/>
      <c r="FL792" s="60"/>
      <c r="FM792" s="60"/>
      <c r="FN792" s="60"/>
      <c r="FO792" s="60"/>
      <c r="FP792" s="60"/>
      <c r="FQ792" s="60"/>
      <c r="FR792" s="60"/>
      <c r="FS792" s="60"/>
      <c r="FT792" s="60"/>
      <c r="FU792" s="60"/>
      <c r="FV792" s="60"/>
      <c r="FW792" s="60"/>
      <c r="FX792" s="60"/>
    </row>
    <row r="793">
      <c r="A793" s="18"/>
      <c r="B793" s="14"/>
      <c r="C793" s="14"/>
      <c r="D793" s="14"/>
      <c r="E793" s="18"/>
      <c r="F793" s="18"/>
      <c r="G793" s="18"/>
      <c r="H793" s="18"/>
      <c r="I793" s="18"/>
      <c r="J793" s="18"/>
      <c r="K793" s="18"/>
      <c r="L793" s="18"/>
      <c r="M793" s="18"/>
      <c r="N793" s="18"/>
      <c r="O793" s="18"/>
      <c r="P793" s="23"/>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6"/>
      <c r="BG793" s="26"/>
      <c r="BH793" s="26"/>
      <c r="BI793" s="26"/>
      <c r="BJ793" s="26"/>
      <c r="BK793" s="26"/>
      <c r="BL793" s="26"/>
      <c r="BM793" s="26"/>
      <c r="BN793" s="26"/>
      <c r="BO793" s="26"/>
      <c r="BP793" s="26"/>
      <c r="BQ793" s="26"/>
      <c r="BR793" s="26"/>
      <c r="BS793" s="26"/>
      <c r="BT793" s="26"/>
      <c r="BU793" s="26"/>
      <c r="BV793" s="26"/>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26"/>
      <c r="CU793" s="26"/>
      <c r="CV793" s="26"/>
      <c r="CW793" s="26"/>
      <c r="CX793" s="26"/>
      <c r="CY793" s="26"/>
      <c r="CZ793" s="26"/>
      <c r="DA793" s="26"/>
      <c r="DB793" s="26"/>
      <c r="DC793" s="26"/>
      <c r="DD793" s="26"/>
      <c r="DE793" s="26"/>
      <c r="DF793" s="26"/>
      <c r="DG793" s="26"/>
      <c r="DH793" s="26"/>
      <c r="DI793" s="26"/>
      <c r="DJ793" s="26"/>
      <c r="DK793" s="26"/>
      <c r="DL793" s="26"/>
      <c r="DM793" s="26"/>
      <c r="DN793" s="26"/>
      <c r="DO793" s="26"/>
      <c r="DP793" s="26"/>
      <c r="DQ793" s="26"/>
      <c r="DR793" s="26"/>
      <c r="DS793" s="26"/>
      <c r="DT793" s="26"/>
      <c r="DU793" s="26"/>
      <c r="DV793" s="26"/>
      <c r="DW793" s="26"/>
      <c r="DX793" s="26"/>
      <c r="DY793" s="26"/>
      <c r="DZ793" s="26"/>
      <c r="EA793" s="26"/>
      <c r="EB793" s="26"/>
      <c r="EC793" s="26"/>
      <c r="ED793" s="26"/>
      <c r="EE793" s="26"/>
      <c r="EF793" s="26"/>
      <c r="EG793" s="26"/>
      <c r="EH793" s="26"/>
      <c r="EI793" s="26"/>
      <c r="EJ793" s="26"/>
      <c r="EK793" s="26"/>
      <c r="EL793" s="26"/>
      <c r="EM793" s="26"/>
      <c r="EN793" s="26"/>
      <c r="EO793" s="26"/>
      <c r="EP793" s="26"/>
      <c r="EQ793" s="26"/>
      <c r="ER793" s="26"/>
      <c r="ES793" s="26"/>
      <c r="ET793" s="26"/>
      <c r="EU793" s="26"/>
      <c r="EV793" s="26"/>
      <c r="EW793" s="26"/>
      <c r="EX793" s="26"/>
      <c r="EY793" s="26"/>
      <c r="EZ793" s="26"/>
      <c r="FA793" s="60"/>
      <c r="FB793" s="60"/>
      <c r="FC793" s="60"/>
      <c r="FD793" s="60"/>
      <c r="FE793" s="60"/>
      <c r="FF793" s="60"/>
      <c r="FG793" s="60"/>
      <c r="FH793" s="60"/>
      <c r="FI793" s="60"/>
      <c r="FJ793" s="60"/>
      <c r="FK793" s="60"/>
      <c r="FL793" s="60"/>
      <c r="FM793" s="60"/>
      <c r="FN793" s="60"/>
      <c r="FO793" s="60"/>
      <c r="FP793" s="60"/>
      <c r="FQ793" s="60"/>
      <c r="FR793" s="60"/>
      <c r="FS793" s="60"/>
      <c r="FT793" s="60"/>
      <c r="FU793" s="60"/>
      <c r="FV793" s="60"/>
      <c r="FW793" s="60"/>
      <c r="FX793" s="60"/>
    </row>
    <row r="794">
      <c r="A794" s="18"/>
      <c r="B794" s="14"/>
      <c r="C794" s="14"/>
      <c r="D794" s="14"/>
      <c r="E794" s="18"/>
      <c r="F794" s="18"/>
      <c r="G794" s="18"/>
      <c r="H794" s="18"/>
      <c r="I794" s="18"/>
      <c r="J794" s="18"/>
      <c r="K794" s="18"/>
      <c r="L794" s="18"/>
      <c r="M794" s="18"/>
      <c r="N794" s="18"/>
      <c r="O794" s="18"/>
      <c r="P794" s="23"/>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c r="BO794" s="26"/>
      <c r="BP794" s="26"/>
      <c r="BQ794" s="26"/>
      <c r="BR794" s="26"/>
      <c r="BS794" s="26"/>
      <c r="BT794" s="26"/>
      <c r="BU794" s="26"/>
      <c r="BV794" s="26"/>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26"/>
      <c r="CU794" s="26"/>
      <c r="CV794" s="26"/>
      <c r="CW794" s="26"/>
      <c r="CX794" s="26"/>
      <c r="CY794" s="26"/>
      <c r="CZ794" s="26"/>
      <c r="DA794" s="26"/>
      <c r="DB794" s="26"/>
      <c r="DC794" s="26"/>
      <c r="DD794" s="26"/>
      <c r="DE794" s="26"/>
      <c r="DF794" s="26"/>
      <c r="DG794" s="26"/>
      <c r="DH794" s="26"/>
      <c r="DI794" s="26"/>
      <c r="DJ794" s="26"/>
      <c r="DK794" s="26"/>
      <c r="DL794" s="26"/>
      <c r="DM794" s="26"/>
      <c r="DN794" s="26"/>
      <c r="DO794" s="26"/>
      <c r="DP794" s="26"/>
      <c r="DQ794" s="26"/>
      <c r="DR794" s="26"/>
      <c r="DS794" s="26"/>
      <c r="DT794" s="26"/>
      <c r="DU794" s="26"/>
      <c r="DV794" s="26"/>
      <c r="DW794" s="26"/>
      <c r="DX794" s="26"/>
      <c r="DY794" s="26"/>
      <c r="DZ794" s="26"/>
      <c r="EA794" s="26"/>
      <c r="EB794" s="26"/>
      <c r="EC794" s="26"/>
      <c r="ED794" s="26"/>
      <c r="EE794" s="26"/>
      <c r="EF794" s="26"/>
      <c r="EG794" s="26"/>
      <c r="EH794" s="26"/>
      <c r="EI794" s="26"/>
      <c r="EJ794" s="26"/>
      <c r="EK794" s="26"/>
      <c r="EL794" s="26"/>
      <c r="EM794" s="26"/>
      <c r="EN794" s="26"/>
      <c r="EO794" s="26"/>
      <c r="EP794" s="26"/>
      <c r="EQ794" s="26"/>
      <c r="ER794" s="26"/>
      <c r="ES794" s="26"/>
      <c r="ET794" s="26"/>
      <c r="EU794" s="26"/>
      <c r="EV794" s="26"/>
      <c r="EW794" s="26"/>
      <c r="EX794" s="26"/>
      <c r="EY794" s="26"/>
      <c r="EZ794" s="26"/>
      <c r="FA794" s="60"/>
      <c r="FB794" s="60"/>
      <c r="FC794" s="60"/>
      <c r="FD794" s="60"/>
      <c r="FE794" s="60"/>
      <c r="FF794" s="60"/>
      <c r="FG794" s="60"/>
      <c r="FH794" s="60"/>
      <c r="FI794" s="60"/>
      <c r="FJ794" s="60"/>
      <c r="FK794" s="60"/>
      <c r="FL794" s="60"/>
      <c r="FM794" s="60"/>
      <c r="FN794" s="60"/>
      <c r="FO794" s="60"/>
      <c r="FP794" s="60"/>
      <c r="FQ794" s="60"/>
      <c r="FR794" s="60"/>
      <c r="FS794" s="60"/>
      <c r="FT794" s="60"/>
      <c r="FU794" s="60"/>
      <c r="FV794" s="60"/>
      <c r="FW794" s="60"/>
      <c r="FX794" s="60"/>
    </row>
    <row r="795">
      <c r="A795" s="18"/>
      <c r="B795" s="14"/>
      <c r="C795" s="14"/>
      <c r="D795" s="14"/>
      <c r="E795" s="18"/>
      <c r="F795" s="18"/>
      <c r="G795" s="18"/>
      <c r="H795" s="18"/>
      <c r="I795" s="18"/>
      <c r="J795" s="18"/>
      <c r="K795" s="18"/>
      <c r="L795" s="18"/>
      <c r="M795" s="18"/>
      <c r="N795" s="18"/>
      <c r="O795" s="18"/>
      <c r="P795" s="23"/>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6"/>
      <c r="BG795" s="26"/>
      <c r="BH795" s="26"/>
      <c r="BI795" s="26"/>
      <c r="BJ795" s="26"/>
      <c r="BK795" s="26"/>
      <c r="BL795" s="26"/>
      <c r="BM795" s="26"/>
      <c r="BN795" s="26"/>
      <c r="BO795" s="26"/>
      <c r="BP795" s="26"/>
      <c r="BQ795" s="26"/>
      <c r="BR795" s="26"/>
      <c r="BS795" s="26"/>
      <c r="BT795" s="26"/>
      <c r="BU795" s="26"/>
      <c r="BV795" s="26"/>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26"/>
      <c r="CU795" s="26"/>
      <c r="CV795" s="26"/>
      <c r="CW795" s="26"/>
      <c r="CX795" s="26"/>
      <c r="CY795" s="26"/>
      <c r="CZ795" s="26"/>
      <c r="DA795" s="26"/>
      <c r="DB795" s="26"/>
      <c r="DC795" s="26"/>
      <c r="DD795" s="26"/>
      <c r="DE795" s="26"/>
      <c r="DF795" s="26"/>
      <c r="DG795" s="26"/>
      <c r="DH795" s="26"/>
      <c r="DI795" s="26"/>
      <c r="DJ795" s="26"/>
      <c r="DK795" s="26"/>
      <c r="DL795" s="26"/>
      <c r="DM795" s="26"/>
      <c r="DN795" s="26"/>
      <c r="DO795" s="26"/>
      <c r="DP795" s="26"/>
      <c r="DQ795" s="26"/>
      <c r="DR795" s="26"/>
      <c r="DS795" s="26"/>
      <c r="DT795" s="26"/>
      <c r="DU795" s="26"/>
      <c r="DV795" s="26"/>
      <c r="DW795" s="26"/>
      <c r="DX795" s="26"/>
      <c r="DY795" s="26"/>
      <c r="DZ795" s="26"/>
      <c r="EA795" s="26"/>
      <c r="EB795" s="26"/>
      <c r="EC795" s="26"/>
      <c r="ED795" s="26"/>
      <c r="EE795" s="26"/>
      <c r="EF795" s="26"/>
      <c r="EG795" s="26"/>
      <c r="EH795" s="26"/>
      <c r="EI795" s="26"/>
      <c r="EJ795" s="26"/>
      <c r="EK795" s="26"/>
      <c r="EL795" s="26"/>
      <c r="EM795" s="26"/>
      <c r="EN795" s="26"/>
      <c r="EO795" s="26"/>
      <c r="EP795" s="26"/>
      <c r="EQ795" s="26"/>
      <c r="ER795" s="26"/>
      <c r="ES795" s="26"/>
      <c r="ET795" s="26"/>
      <c r="EU795" s="26"/>
      <c r="EV795" s="26"/>
      <c r="EW795" s="26"/>
      <c r="EX795" s="26"/>
      <c r="EY795" s="26"/>
      <c r="EZ795" s="26"/>
      <c r="FA795" s="60"/>
      <c r="FB795" s="60"/>
      <c r="FC795" s="60"/>
      <c r="FD795" s="60"/>
      <c r="FE795" s="60"/>
      <c r="FF795" s="60"/>
      <c r="FG795" s="60"/>
      <c r="FH795" s="60"/>
      <c r="FI795" s="60"/>
      <c r="FJ795" s="60"/>
      <c r="FK795" s="60"/>
      <c r="FL795" s="60"/>
      <c r="FM795" s="60"/>
      <c r="FN795" s="60"/>
      <c r="FO795" s="60"/>
      <c r="FP795" s="60"/>
      <c r="FQ795" s="60"/>
      <c r="FR795" s="60"/>
      <c r="FS795" s="60"/>
      <c r="FT795" s="60"/>
      <c r="FU795" s="60"/>
      <c r="FV795" s="60"/>
      <c r="FW795" s="60"/>
      <c r="FX795" s="60"/>
    </row>
    <row r="796">
      <c r="A796" s="18"/>
      <c r="B796" s="14"/>
      <c r="C796" s="14"/>
      <c r="D796" s="14"/>
      <c r="E796" s="18"/>
      <c r="F796" s="18"/>
      <c r="G796" s="18"/>
      <c r="H796" s="18"/>
      <c r="I796" s="18"/>
      <c r="J796" s="18"/>
      <c r="K796" s="18"/>
      <c r="L796" s="18"/>
      <c r="M796" s="18"/>
      <c r="N796" s="18"/>
      <c r="O796" s="18"/>
      <c r="P796" s="23"/>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c r="BO796" s="26"/>
      <c r="BP796" s="26"/>
      <c r="BQ796" s="26"/>
      <c r="BR796" s="26"/>
      <c r="BS796" s="26"/>
      <c r="BT796" s="26"/>
      <c r="BU796" s="26"/>
      <c r="BV796" s="26"/>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26"/>
      <c r="CU796" s="26"/>
      <c r="CV796" s="26"/>
      <c r="CW796" s="26"/>
      <c r="CX796" s="26"/>
      <c r="CY796" s="26"/>
      <c r="CZ796" s="26"/>
      <c r="DA796" s="26"/>
      <c r="DB796" s="26"/>
      <c r="DC796" s="26"/>
      <c r="DD796" s="26"/>
      <c r="DE796" s="26"/>
      <c r="DF796" s="26"/>
      <c r="DG796" s="26"/>
      <c r="DH796" s="26"/>
      <c r="DI796" s="26"/>
      <c r="DJ796" s="26"/>
      <c r="DK796" s="26"/>
      <c r="DL796" s="26"/>
      <c r="DM796" s="26"/>
      <c r="DN796" s="26"/>
      <c r="DO796" s="26"/>
      <c r="DP796" s="26"/>
      <c r="DQ796" s="26"/>
      <c r="DR796" s="26"/>
      <c r="DS796" s="26"/>
      <c r="DT796" s="26"/>
      <c r="DU796" s="26"/>
      <c r="DV796" s="26"/>
      <c r="DW796" s="26"/>
      <c r="DX796" s="26"/>
      <c r="DY796" s="26"/>
      <c r="DZ796" s="26"/>
      <c r="EA796" s="26"/>
      <c r="EB796" s="26"/>
      <c r="EC796" s="26"/>
      <c r="ED796" s="26"/>
      <c r="EE796" s="26"/>
      <c r="EF796" s="26"/>
      <c r="EG796" s="26"/>
      <c r="EH796" s="26"/>
      <c r="EI796" s="26"/>
      <c r="EJ796" s="26"/>
      <c r="EK796" s="26"/>
      <c r="EL796" s="26"/>
      <c r="EM796" s="26"/>
      <c r="EN796" s="26"/>
      <c r="EO796" s="26"/>
      <c r="EP796" s="26"/>
      <c r="EQ796" s="26"/>
      <c r="ER796" s="26"/>
      <c r="ES796" s="26"/>
      <c r="ET796" s="26"/>
      <c r="EU796" s="26"/>
      <c r="EV796" s="26"/>
      <c r="EW796" s="26"/>
      <c r="EX796" s="26"/>
      <c r="EY796" s="26"/>
      <c r="EZ796" s="26"/>
      <c r="FA796" s="60"/>
      <c r="FB796" s="60"/>
      <c r="FC796" s="60"/>
      <c r="FD796" s="60"/>
      <c r="FE796" s="60"/>
      <c r="FF796" s="60"/>
      <c r="FG796" s="60"/>
      <c r="FH796" s="60"/>
      <c r="FI796" s="60"/>
      <c r="FJ796" s="60"/>
      <c r="FK796" s="60"/>
      <c r="FL796" s="60"/>
      <c r="FM796" s="60"/>
      <c r="FN796" s="60"/>
      <c r="FO796" s="60"/>
      <c r="FP796" s="60"/>
      <c r="FQ796" s="60"/>
      <c r="FR796" s="60"/>
      <c r="FS796" s="60"/>
      <c r="FT796" s="60"/>
      <c r="FU796" s="60"/>
      <c r="FV796" s="60"/>
      <c r="FW796" s="60"/>
      <c r="FX796" s="60"/>
    </row>
    <row r="797">
      <c r="A797" s="18"/>
      <c r="B797" s="14"/>
      <c r="C797" s="14"/>
      <c r="D797" s="14"/>
      <c r="E797" s="18"/>
      <c r="F797" s="18"/>
      <c r="G797" s="18"/>
      <c r="H797" s="18"/>
      <c r="I797" s="18"/>
      <c r="J797" s="18"/>
      <c r="K797" s="18"/>
      <c r="L797" s="18"/>
      <c r="M797" s="18"/>
      <c r="N797" s="18"/>
      <c r="O797" s="18"/>
      <c r="P797" s="23"/>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6"/>
      <c r="BG797" s="26"/>
      <c r="BH797" s="26"/>
      <c r="BI797" s="26"/>
      <c r="BJ797" s="26"/>
      <c r="BK797" s="26"/>
      <c r="BL797" s="26"/>
      <c r="BM797" s="26"/>
      <c r="BN797" s="26"/>
      <c r="BO797" s="26"/>
      <c r="BP797" s="26"/>
      <c r="BQ797" s="26"/>
      <c r="BR797" s="26"/>
      <c r="BS797" s="26"/>
      <c r="BT797" s="26"/>
      <c r="BU797" s="26"/>
      <c r="BV797" s="26"/>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26"/>
      <c r="CU797" s="26"/>
      <c r="CV797" s="26"/>
      <c r="CW797" s="26"/>
      <c r="CX797" s="26"/>
      <c r="CY797" s="26"/>
      <c r="CZ797" s="26"/>
      <c r="DA797" s="26"/>
      <c r="DB797" s="26"/>
      <c r="DC797" s="26"/>
      <c r="DD797" s="26"/>
      <c r="DE797" s="26"/>
      <c r="DF797" s="26"/>
      <c r="DG797" s="26"/>
      <c r="DH797" s="26"/>
      <c r="DI797" s="26"/>
      <c r="DJ797" s="26"/>
      <c r="DK797" s="26"/>
      <c r="DL797" s="26"/>
      <c r="DM797" s="26"/>
      <c r="DN797" s="26"/>
      <c r="DO797" s="26"/>
      <c r="DP797" s="26"/>
      <c r="DQ797" s="26"/>
      <c r="DR797" s="26"/>
      <c r="DS797" s="26"/>
      <c r="DT797" s="26"/>
      <c r="DU797" s="26"/>
      <c r="DV797" s="26"/>
      <c r="DW797" s="26"/>
      <c r="DX797" s="26"/>
      <c r="DY797" s="26"/>
      <c r="DZ797" s="26"/>
      <c r="EA797" s="26"/>
      <c r="EB797" s="26"/>
      <c r="EC797" s="26"/>
      <c r="ED797" s="26"/>
      <c r="EE797" s="26"/>
      <c r="EF797" s="26"/>
      <c r="EG797" s="26"/>
      <c r="EH797" s="26"/>
      <c r="EI797" s="26"/>
      <c r="EJ797" s="26"/>
      <c r="EK797" s="26"/>
      <c r="EL797" s="26"/>
      <c r="EM797" s="26"/>
      <c r="EN797" s="26"/>
      <c r="EO797" s="26"/>
      <c r="EP797" s="26"/>
      <c r="EQ797" s="26"/>
      <c r="ER797" s="26"/>
      <c r="ES797" s="26"/>
      <c r="ET797" s="26"/>
      <c r="EU797" s="26"/>
      <c r="EV797" s="26"/>
      <c r="EW797" s="26"/>
      <c r="EX797" s="26"/>
      <c r="EY797" s="26"/>
      <c r="EZ797" s="26"/>
      <c r="FA797" s="60"/>
      <c r="FB797" s="60"/>
      <c r="FC797" s="60"/>
      <c r="FD797" s="60"/>
      <c r="FE797" s="60"/>
      <c r="FF797" s="60"/>
      <c r="FG797" s="60"/>
      <c r="FH797" s="60"/>
      <c r="FI797" s="60"/>
      <c r="FJ797" s="60"/>
      <c r="FK797" s="60"/>
      <c r="FL797" s="60"/>
      <c r="FM797" s="60"/>
      <c r="FN797" s="60"/>
      <c r="FO797" s="60"/>
      <c r="FP797" s="60"/>
      <c r="FQ797" s="60"/>
      <c r="FR797" s="60"/>
      <c r="FS797" s="60"/>
      <c r="FT797" s="60"/>
      <c r="FU797" s="60"/>
      <c r="FV797" s="60"/>
      <c r="FW797" s="60"/>
      <c r="FX797" s="60"/>
    </row>
    <row r="798">
      <c r="A798" s="18"/>
      <c r="B798" s="14"/>
      <c r="C798" s="14"/>
      <c r="D798" s="14"/>
      <c r="E798" s="18"/>
      <c r="F798" s="18"/>
      <c r="G798" s="18"/>
      <c r="H798" s="18"/>
      <c r="I798" s="18"/>
      <c r="J798" s="18"/>
      <c r="K798" s="18"/>
      <c r="L798" s="18"/>
      <c r="M798" s="18"/>
      <c r="N798" s="18"/>
      <c r="O798" s="18"/>
      <c r="P798" s="23"/>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c r="BO798" s="26"/>
      <c r="BP798" s="26"/>
      <c r="BQ798" s="26"/>
      <c r="BR798" s="26"/>
      <c r="BS798" s="26"/>
      <c r="BT798" s="26"/>
      <c r="BU798" s="26"/>
      <c r="BV798" s="26"/>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26"/>
      <c r="CU798" s="26"/>
      <c r="CV798" s="26"/>
      <c r="CW798" s="26"/>
      <c r="CX798" s="26"/>
      <c r="CY798" s="26"/>
      <c r="CZ798" s="26"/>
      <c r="DA798" s="26"/>
      <c r="DB798" s="26"/>
      <c r="DC798" s="26"/>
      <c r="DD798" s="26"/>
      <c r="DE798" s="26"/>
      <c r="DF798" s="26"/>
      <c r="DG798" s="26"/>
      <c r="DH798" s="26"/>
      <c r="DI798" s="26"/>
      <c r="DJ798" s="26"/>
      <c r="DK798" s="26"/>
      <c r="DL798" s="26"/>
      <c r="DM798" s="26"/>
      <c r="DN798" s="26"/>
      <c r="DO798" s="26"/>
      <c r="DP798" s="26"/>
      <c r="DQ798" s="26"/>
      <c r="DR798" s="26"/>
      <c r="DS798" s="26"/>
      <c r="DT798" s="26"/>
      <c r="DU798" s="26"/>
      <c r="DV798" s="26"/>
      <c r="DW798" s="26"/>
      <c r="DX798" s="26"/>
      <c r="DY798" s="26"/>
      <c r="DZ798" s="26"/>
      <c r="EA798" s="26"/>
      <c r="EB798" s="26"/>
      <c r="EC798" s="26"/>
      <c r="ED798" s="26"/>
      <c r="EE798" s="26"/>
      <c r="EF798" s="26"/>
      <c r="EG798" s="26"/>
      <c r="EH798" s="26"/>
      <c r="EI798" s="26"/>
      <c r="EJ798" s="26"/>
      <c r="EK798" s="26"/>
      <c r="EL798" s="26"/>
      <c r="EM798" s="26"/>
      <c r="EN798" s="26"/>
      <c r="EO798" s="26"/>
      <c r="EP798" s="26"/>
      <c r="EQ798" s="26"/>
      <c r="ER798" s="26"/>
      <c r="ES798" s="26"/>
      <c r="ET798" s="26"/>
      <c r="EU798" s="26"/>
      <c r="EV798" s="26"/>
      <c r="EW798" s="26"/>
      <c r="EX798" s="26"/>
      <c r="EY798" s="26"/>
      <c r="EZ798" s="26"/>
      <c r="FA798" s="60"/>
      <c r="FB798" s="60"/>
      <c r="FC798" s="60"/>
      <c r="FD798" s="60"/>
      <c r="FE798" s="60"/>
      <c r="FF798" s="60"/>
      <c r="FG798" s="60"/>
      <c r="FH798" s="60"/>
      <c r="FI798" s="60"/>
      <c r="FJ798" s="60"/>
      <c r="FK798" s="60"/>
      <c r="FL798" s="60"/>
      <c r="FM798" s="60"/>
      <c r="FN798" s="60"/>
      <c r="FO798" s="60"/>
      <c r="FP798" s="60"/>
      <c r="FQ798" s="60"/>
      <c r="FR798" s="60"/>
      <c r="FS798" s="60"/>
      <c r="FT798" s="60"/>
      <c r="FU798" s="60"/>
      <c r="FV798" s="60"/>
      <c r="FW798" s="60"/>
      <c r="FX798" s="60"/>
    </row>
    <row r="799">
      <c r="A799" s="18"/>
      <c r="B799" s="14"/>
      <c r="C799" s="14"/>
      <c r="D799" s="14"/>
      <c r="E799" s="18"/>
      <c r="F799" s="18"/>
      <c r="G799" s="18"/>
      <c r="H799" s="18"/>
      <c r="I799" s="18"/>
      <c r="J799" s="18"/>
      <c r="K799" s="18"/>
      <c r="L799" s="18"/>
      <c r="M799" s="18"/>
      <c r="N799" s="18"/>
      <c r="O799" s="18"/>
      <c r="P799" s="23"/>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c r="BM799" s="26"/>
      <c r="BN799" s="26"/>
      <c r="BO799" s="26"/>
      <c r="BP799" s="26"/>
      <c r="BQ799" s="26"/>
      <c r="BR799" s="26"/>
      <c r="BS799" s="26"/>
      <c r="BT799" s="26"/>
      <c r="BU799" s="26"/>
      <c r="BV799" s="26"/>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26"/>
      <c r="CU799" s="26"/>
      <c r="CV799" s="26"/>
      <c r="CW799" s="26"/>
      <c r="CX799" s="26"/>
      <c r="CY799" s="26"/>
      <c r="CZ799" s="26"/>
      <c r="DA799" s="26"/>
      <c r="DB799" s="26"/>
      <c r="DC799" s="26"/>
      <c r="DD799" s="26"/>
      <c r="DE799" s="26"/>
      <c r="DF799" s="26"/>
      <c r="DG799" s="26"/>
      <c r="DH799" s="26"/>
      <c r="DI799" s="26"/>
      <c r="DJ799" s="26"/>
      <c r="DK799" s="26"/>
      <c r="DL799" s="26"/>
      <c r="DM799" s="26"/>
      <c r="DN799" s="26"/>
      <c r="DO799" s="26"/>
      <c r="DP799" s="26"/>
      <c r="DQ799" s="26"/>
      <c r="DR799" s="26"/>
      <c r="DS799" s="26"/>
      <c r="DT799" s="26"/>
      <c r="DU799" s="26"/>
      <c r="DV799" s="26"/>
      <c r="DW799" s="26"/>
      <c r="DX799" s="26"/>
      <c r="DY799" s="26"/>
      <c r="DZ799" s="26"/>
      <c r="EA799" s="26"/>
      <c r="EB799" s="26"/>
      <c r="EC799" s="26"/>
      <c r="ED799" s="26"/>
      <c r="EE799" s="26"/>
      <c r="EF799" s="26"/>
      <c r="EG799" s="26"/>
      <c r="EH799" s="26"/>
      <c r="EI799" s="26"/>
      <c r="EJ799" s="26"/>
      <c r="EK799" s="26"/>
      <c r="EL799" s="26"/>
      <c r="EM799" s="26"/>
      <c r="EN799" s="26"/>
      <c r="EO799" s="26"/>
      <c r="EP799" s="26"/>
      <c r="EQ799" s="26"/>
      <c r="ER799" s="26"/>
      <c r="ES799" s="26"/>
      <c r="ET799" s="26"/>
      <c r="EU799" s="26"/>
      <c r="EV799" s="26"/>
      <c r="EW799" s="26"/>
      <c r="EX799" s="26"/>
      <c r="EY799" s="26"/>
      <c r="EZ799" s="26"/>
      <c r="FA799" s="60"/>
      <c r="FB799" s="60"/>
      <c r="FC799" s="60"/>
      <c r="FD799" s="60"/>
      <c r="FE799" s="60"/>
      <c r="FF799" s="60"/>
      <c r="FG799" s="60"/>
      <c r="FH799" s="60"/>
      <c r="FI799" s="60"/>
      <c r="FJ799" s="60"/>
      <c r="FK799" s="60"/>
      <c r="FL799" s="60"/>
      <c r="FM799" s="60"/>
      <c r="FN799" s="60"/>
      <c r="FO799" s="60"/>
      <c r="FP799" s="60"/>
      <c r="FQ799" s="60"/>
      <c r="FR799" s="60"/>
      <c r="FS799" s="60"/>
      <c r="FT799" s="60"/>
      <c r="FU799" s="60"/>
      <c r="FV799" s="60"/>
      <c r="FW799" s="60"/>
      <c r="FX799" s="60"/>
    </row>
    <row r="800">
      <c r="A800" s="18"/>
      <c r="B800" s="14"/>
      <c r="C800" s="14"/>
      <c r="D800" s="14"/>
      <c r="E800" s="18"/>
      <c r="F800" s="18"/>
      <c r="G800" s="18"/>
      <c r="H800" s="18"/>
      <c r="I800" s="18"/>
      <c r="J800" s="18"/>
      <c r="K800" s="18"/>
      <c r="L800" s="18"/>
      <c r="M800" s="18"/>
      <c r="N800" s="18"/>
      <c r="O800" s="18"/>
      <c r="P800" s="23"/>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c r="BO800" s="26"/>
      <c r="BP800" s="26"/>
      <c r="BQ800" s="26"/>
      <c r="BR800" s="26"/>
      <c r="BS800" s="26"/>
      <c r="BT800" s="26"/>
      <c r="BU800" s="26"/>
      <c r="BV800" s="26"/>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26"/>
      <c r="CU800" s="26"/>
      <c r="CV800" s="26"/>
      <c r="CW800" s="26"/>
      <c r="CX800" s="26"/>
      <c r="CY800" s="26"/>
      <c r="CZ800" s="26"/>
      <c r="DA800" s="26"/>
      <c r="DB800" s="26"/>
      <c r="DC800" s="26"/>
      <c r="DD800" s="26"/>
      <c r="DE800" s="26"/>
      <c r="DF800" s="26"/>
      <c r="DG800" s="26"/>
      <c r="DH800" s="26"/>
      <c r="DI800" s="26"/>
      <c r="DJ800" s="26"/>
      <c r="DK800" s="26"/>
      <c r="DL800" s="26"/>
      <c r="DM800" s="26"/>
      <c r="DN800" s="26"/>
      <c r="DO800" s="26"/>
      <c r="DP800" s="26"/>
      <c r="DQ800" s="26"/>
      <c r="DR800" s="26"/>
      <c r="DS800" s="26"/>
      <c r="DT800" s="26"/>
      <c r="DU800" s="26"/>
      <c r="DV800" s="26"/>
      <c r="DW800" s="26"/>
      <c r="DX800" s="26"/>
      <c r="DY800" s="26"/>
      <c r="DZ800" s="26"/>
      <c r="EA800" s="26"/>
      <c r="EB800" s="26"/>
      <c r="EC800" s="26"/>
      <c r="ED800" s="26"/>
      <c r="EE800" s="26"/>
      <c r="EF800" s="26"/>
      <c r="EG800" s="26"/>
      <c r="EH800" s="26"/>
      <c r="EI800" s="26"/>
      <c r="EJ800" s="26"/>
      <c r="EK800" s="26"/>
      <c r="EL800" s="26"/>
      <c r="EM800" s="26"/>
      <c r="EN800" s="26"/>
      <c r="EO800" s="26"/>
      <c r="EP800" s="26"/>
      <c r="EQ800" s="26"/>
      <c r="ER800" s="26"/>
      <c r="ES800" s="26"/>
      <c r="ET800" s="26"/>
      <c r="EU800" s="26"/>
      <c r="EV800" s="26"/>
      <c r="EW800" s="26"/>
      <c r="EX800" s="26"/>
      <c r="EY800" s="26"/>
      <c r="EZ800" s="26"/>
      <c r="FA800" s="60"/>
      <c r="FB800" s="60"/>
      <c r="FC800" s="60"/>
      <c r="FD800" s="60"/>
      <c r="FE800" s="60"/>
      <c r="FF800" s="60"/>
      <c r="FG800" s="60"/>
      <c r="FH800" s="60"/>
      <c r="FI800" s="60"/>
      <c r="FJ800" s="60"/>
      <c r="FK800" s="60"/>
      <c r="FL800" s="60"/>
      <c r="FM800" s="60"/>
      <c r="FN800" s="60"/>
      <c r="FO800" s="60"/>
      <c r="FP800" s="60"/>
      <c r="FQ800" s="60"/>
      <c r="FR800" s="60"/>
      <c r="FS800" s="60"/>
      <c r="FT800" s="60"/>
      <c r="FU800" s="60"/>
      <c r="FV800" s="60"/>
      <c r="FW800" s="60"/>
      <c r="FX800" s="60"/>
    </row>
    <row r="801">
      <c r="A801" s="18"/>
      <c r="B801" s="14"/>
      <c r="C801" s="14"/>
      <c r="D801" s="14"/>
      <c r="E801" s="18"/>
      <c r="F801" s="18"/>
      <c r="G801" s="18"/>
      <c r="H801" s="18"/>
      <c r="I801" s="18"/>
      <c r="J801" s="18"/>
      <c r="K801" s="18"/>
      <c r="L801" s="18"/>
      <c r="M801" s="18"/>
      <c r="N801" s="18"/>
      <c r="O801" s="18"/>
      <c r="P801" s="23"/>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6"/>
      <c r="BG801" s="26"/>
      <c r="BH801" s="26"/>
      <c r="BI801" s="26"/>
      <c r="BJ801" s="26"/>
      <c r="BK801" s="26"/>
      <c r="BL801" s="26"/>
      <c r="BM801" s="26"/>
      <c r="BN801" s="26"/>
      <c r="BO801" s="26"/>
      <c r="BP801" s="26"/>
      <c r="BQ801" s="26"/>
      <c r="BR801" s="26"/>
      <c r="BS801" s="26"/>
      <c r="BT801" s="26"/>
      <c r="BU801" s="26"/>
      <c r="BV801" s="26"/>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26"/>
      <c r="CU801" s="26"/>
      <c r="CV801" s="26"/>
      <c r="CW801" s="26"/>
      <c r="CX801" s="26"/>
      <c r="CY801" s="26"/>
      <c r="CZ801" s="26"/>
      <c r="DA801" s="26"/>
      <c r="DB801" s="26"/>
      <c r="DC801" s="26"/>
      <c r="DD801" s="26"/>
      <c r="DE801" s="26"/>
      <c r="DF801" s="26"/>
      <c r="DG801" s="26"/>
      <c r="DH801" s="26"/>
      <c r="DI801" s="26"/>
      <c r="DJ801" s="26"/>
      <c r="DK801" s="26"/>
      <c r="DL801" s="26"/>
      <c r="DM801" s="26"/>
      <c r="DN801" s="26"/>
      <c r="DO801" s="26"/>
      <c r="DP801" s="26"/>
      <c r="DQ801" s="26"/>
      <c r="DR801" s="26"/>
      <c r="DS801" s="26"/>
      <c r="DT801" s="26"/>
      <c r="DU801" s="26"/>
      <c r="DV801" s="26"/>
      <c r="DW801" s="26"/>
      <c r="DX801" s="26"/>
      <c r="DY801" s="26"/>
      <c r="DZ801" s="26"/>
      <c r="EA801" s="26"/>
      <c r="EB801" s="26"/>
      <c r="EC801" s="26"/>
      <c r="ED801" s="26"/>
      <c r="EE801" s="26"/>
      <c r="EF801" s="26"/>
      <c r="EG801" s="26"/>
      <c r="EH801" s="26"/>
      <c r="EI801" s="26"/>
      <c r="EJ801" s="26"/>
      <c r="EK801" s="26"/>
      <c r="EL801" s="26"/>
      <c r="EM801" s="26"/>
      <c r="EN801" s="26"/>
      <c r="EO801" s="26"/>
      <c r="EP801" s="26"/>
      <c r="EQ801" s="26"/>
      <c r="ER801" s="26"/>
      <c r="ES801" s="26"/>
      <c r="ET801" s="26"/>
      <c r="EU801" s="26"/>
      <c r="EV801" s="26"/>
      <c r="EW801" s="26"/>
      <c r="EX801" s="26"/>
      <c r="EY801" s="26"/>
      <c r="EZ801" s="26"/>
      <c r="FA801" s="60"/>
      <c r="FB801" s="60"/>
      <c r="FC801" s="60"/>
      <c r="FD801" s="60"/>
      <c r="FE801" s="60"/>
      <c r="FF801" s="60"/>
      <c r="FG801" s="60"/>
      <c r="FH801" s="60"/>
      <c r="FI801" s="60"/>
      <c r="FJ801" s="60"/>
      <c r="FK801" s="60"/>
      <c r="FL801" s="60"/>
      <c r="FM801" s="60"/>
      <c r="FN801" s="60"/>
      <c r="FO801" s="60"/>
      <c r="FP801" s="60"/>
      <c r="FQ801" s="60"/>
      <c r="FR801" s="60"/>
      <c r="FS801" s="60"/>
      <c r="FT801" s="60"/>
      <c r="FU801" s="60"/>
      <c r="FV801" s="60"/>
      <c r="FW801" s="60"/>
      <c r="FX801" s="60"/>
    </row>
    <row r="802">
      <c r="A802" s="18"/>
      <c r="B802" s="14"/>
      <c r="C802" s="14"/>
      <c r="D802" s="14"/>
      <c r="E802" s="18"/>
      <c r="F802" s="18"/>
      <c r="G802" s="18"/>
      <c r="H802" s="18"/>
      <c r="I802" s="18"/>
      <c r="J802" s="18"/>
      <c r="K802" s="18"/>
      <c r="L802" s="18"/>
      <c r="M802" s="18"/>
      <c r="N802" s="18"/>
      <c r="O802" s="18"/>
      <c r="P802" s="23"/>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c r="BO802" s="26"/>
      <c r="BP802" s="26"/>
      <c r="BQ802" s="26"/>
      <c r="BR802" s="26"/>
      <c r="BS802" s="26"/>
      <c r="BT802" s="26"/>
      <c r="BU802" s="26"/>
      <c r="BV802" s="26"/>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26"/>
      <c r="CU802" s="26"/>
      <c r="CV802" s="26"/>
      <c r="CW802" s="26"/>
      <c r="CX802" s="26"/>
      <c r="CY802" s="26"/>
      <c r="CZ802" s="26"/>
      <c r="DA802" s="26"/>
      <c r="DB802" s="26"/>
      <c r="DC802" s="26"/>
      <c r="DD802" s="26"/>
      <c r="DE802" s="26"/>
      <c r="DF802" s="26"/>
      <c r="DG802" s="26"/>
      <c r="DH802" s="26"/>
      <c r="DI802" s="26"/>
      <c r="DJ802" s="26"/>
      <c r="DK802" s="26"/>
      <c r="DL802" s="26"/>
      <c r="DM802" s="26"/>
      <c r="DN802" s="26"/>
      <c r="DO802" s="26"/>
      <c r="DP802" s="26"/>
      <c r="DQ802" s="26"/>
      <c r="DR802" s="26"/>
      <c r="DS802" s="26"/>
      <c r="DT802" s="26"/>
      <c r="DU802" s="26"/>
      <c r="DV802" s="26"/>
      <c r="DW802" s="26"/>
      <c r="DX802" s="26"/>
      <c r="DY802" s="26"/>
      <c r="DZ802" s="26"/>
      <c r="EA802" s="26"/>
      <c r="EB802" s="26"/>
      <c r="EC802" s="26"/>
      <c r="ED802" s="26"/>
      <c r="EE802" s="26"/>
      <c r="EF802" s="26"/>
      <c r="EG802" s="26"/>
      <c r="EH802" s="26"/>
      <c r="EI802" s="26"/>
      <c r="EJ802" s="26"/>
      <c r="EK802" s="26"/>
      <c r="EL802" s="26"/>
      <c r="EM802" s="26"/>
      <c r="EN802" s="26"/>
      <c r="EO802" s="26"/>
      <c r="EP802" s="26"/>
      <c r="EQ802" s="26"/>
      <c r="ER802" s="26"/>
      <c r="ES802" s="26"/>
      <c r="ET802" s="26"/>
      <c r="EU802" s="26"/>
      <c r="EV802" s="26"/>
      <c r="EW802" s="26"/>
      <c r="EX802" s="26"/>
      <c r="EY802" s="26"/>
      <c r="EZ802" s="26"/>
      <c r="FA802" s="60"/>
      <c r="FB802" s="60"/>
      <c r="FC802" s="60"/>
      <c r="FD802" s="60"/>
      <c r="FE802" s="60"/>
      <c r="FF802" s="60"/>
      <c r="FG802" s="60"/>
      <c r="FH802" s="60"/>
      <c r="FI802" s="60"/>
      <c r="FJ802" s="60"/>
      <c r="FK802" s="60"/>
      <c r="FL802" s="60"/>
      <c r="FM802" s="60"/>
      <c r="FN802" s="60"/>
      <c r="FO802" s="60"/>
      <c r="FP802" s="60"/>
      <c r="FQ802" s="60"/>
      <c r="FR802" s="60"/>
      <c r="FS802" s="60"/>
      <c r="FT802" s="60"/>
      <c r="FU802" s="60"/>
      <c r="FV802" s="60"/>
      <c r="FW802" s="60"/>
      <c r="FX802" s="60"/>
    </row>
    <row r="803">
      <c r="A803" s="18"/>
      <c r="B803" s="14"/>
      <c r="C803" s="14"/>
      <c r="D803" s="14"/>
      <c r="E803" s="18"/>
      <c r="F803" s="18"/>
      <c r="G803" s="18"/>
      <c r="H803" s="18"/>
      <c r="I803" s="18"/>
      <c r="J803" s="18"/>
      <c r="K803" s="18"/>
      <c r="L803" s="18"/>
      <c r="M803" s="18"/>
      <c r="N803" s="18"/>
      <c r="O803" s="18"/>
      <c r="P803" s="23"/>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6"/>
      <c r="BG803" s="26"/>
      <c r="BH803" s="26"/>
      <c r="BI803" s="26"/>
      <c r="BJ803" s="26"/>
      <c r="BK803" s="26"/>
      <c r="BL803" s="26"/>
      <c r="BM803" s="26"/>
      <c r="BN803" s="26"/>
      <c r="BO803" s="26"/>
      <c r="BP803" s="26"/>
      <c r="BQ803" s="26"/>
      <c r="BR803" s="26"/>
      <c r="BS803" s="26"/>
      <c r="BT803" s="26"/>
      <c r="BU803" s="26"/>
      <c r="BV803" s="26"/>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26"/>
      <c r="CU803" s="26"/>
      <c r="CV803" s="26"/>
      <c r="CW803" s="26"/>
      <c r="CX803" s="26"/>
      <c r="CY803" s="26"/>
      <c r="CZ803" s="26"/>
      <c r="DA803" s="26"/>
      <c r="DB803" s="26"/>
      <c r="DC803" s="26"/>
      <c r="DD803" s="26"/>
      <c r="DE803" s="26"/>
      <c r="DF803" s="26"/>
      <c r="DG803" s="26"/>
      <c r="DH803" s="26"/>
      <c r="DI803" s="26"/>
      <c r="DJ803" s="26"/>
      <c r="DK803" s="26"/>
      <c r="DL803" s="26"/>
      <c r="DM803" s="26"/>
      <c r="DN803" s="26"/>
      <c r="DO803" s="26"/>
      <c r="DP803" s="26"/>
      <c r="DQ803" s="26"/>
      <c r="DR803" s="26"/>
      <c r="DS803" s="26"/>
      <c r="DT803" s="26"/>
      <c r="DU803" s="26"/>
      <c r="DV803" s="26"/>
      <c r="DW803" s="26"/>
      <c r="DX803" s="26"/>
      <c r="DY803" s="26"/>
      <c r="DZ803" s="26"/>
      <c r="EA803" s="26"/>
      <c r="EB803" s="26"/>
      <c r="EC803" s="26"/>
      <c r="ED803" s="26"/>
      <c r="EE803" s="26"/>
      <c r="EF803" s="26"/>
      <c r="EG803" s="26"/>
      <c r="EH803" s="26"/>
      <c r="EI803" s="26"/>
      <c r="EJ803" s="26"/>
      <c r="EK803" s="26"/>
      <c r="EL803" s="26"/>
      <c r="EM803" s="26"/>
      <c r="EN803" s="26"/>
      <c r="EO803" s="26"/>
      <c r="EP803" s="26"/>
      <c r="EQ803" s="26"/>
      <c r="ER803" s="26"/>
      <c r="ES803" s="26"/>
      <c r="ET803" s="26"/>
      <c r="EU803" s="26"/>
      <c r="EV803" s="26"/>
      <c r="EW803" s="26"/>
      <c r="EX803" s="26"/>
      <c r="EY803" s="26"/>
      <c r="EZ803" s="26"/>
      <c r="FA803" s="60"/>
      <c r="FB803" s="60"/>
      <c r="FC803" s="60"/>
      <c r="FD803" s="60"/>
      <c r="FE803" s="60"/>
      <c r="FF803" s="60"/>
      <c r="FG803" s="60"/>
      <c r="FH803" s="60"/>
      <c r="FI803" s="60"/>
      <c r="FJ803" s="60"/>
      <c r="FK803" s="60"/>
      <c r="FL803" s="60"/>
      <c r="FM803" s="60"/>
      <c r="FN803" s="60"/>
      <c r="FO803" s="60"/>
      <c r="FP803" s="60"/>
      <c r="FQ803" s="60"/>
      <c r="FR803" s="60"/>
      <c r="FS803" s="60"/>
      <c r="FT803" s="60"/>
      <c r="FU803" s="60"/>
      <c r="FV803" s="60"/>
      <c r="FW803" s="60"/>
      <c r="FX803" s="60"/>
    </row>
    <row r="804">
      <c r="A804" s="18"/>
      <c r="B804" s="14"/>
      <c r="C804" s="14"/>
      <c r="D804" s="14"/>
      <c r="E804" s="18"/>
      <c r="F804" s="18"/>
      <c r="G804" s="18"/>
      <c r="H804" s="18"/>
      <c r="I804" s="18"/>
      <c r="J804" s="18"/>
      <c r="K804" s="18"/>
      <c r="L804" s="18"/>
      <c r="M804" s="18"/>
      <c r="N804" s="18"/>
      <c r="O804" s="18"/>
      <c r="P804" s="23"/>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c r="BO804" s="26"/>
      <c r="BP804" s="26"/>
      <c r="BQ804" s="26"/>
      <c r="BR804" s="26"/>
      <c r="BS804" s="26"/>
      <c r="BT804" s="26"/>
      <c r="BU804" s="26"/>
      <c r="BV804" s="26"/>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26"/>
      <c r="CU804" s="26"/>
      <c r="CV804" s="26"/>
      <c r="CW804" s="26"/>
      <c r="CX804" s="26"/>
      <c r="CY804" s="26"/>
      <c r="CZ804" s="26"/>
      <c r="DA804" s="26"/>
      <c r="DB804" s="26"/>
      <c r="DC804" s="26"/>
      <c r="DD804" s="26"/>
      <c r="DE804" s="26"/>
      <c r="DF804" s="26"/>
      <c r="DG804" s="26"/>
      <c r="DH804" s="26"/>
      <c r="DI804" s="26"/>
      <c r="DJ804" s="26"/>
      <c r="DK804" s="26"/>
      <c r="DL804" s="26"/>
      <c r="DM804" s="26"/>
      <c r="DN804" s="26"/>
      <c r="DO804" s="26"/>
      <c r="DP804" s="26"/>
      <c r="DQ804" s="26"/>
      <c r="DR804" s="26"/>
      <c r="DS804" s="26"/>
      <c r="DT804" s="26"/>
      <c r="DU804" s="26"/>
      <c r="DV804" s="26"/>
      <c r="DW804" s="26"/>
      <c r="DX804" s="26"/>
      <c r="DY804" s="26"/>
      <c r="DZ804" s="26"/>
      <c r="EA804" s="26"/>
      <c r="EB804" s="26"/>
      <c r="EC804" s="26"/>
      <c r="ED804" s="26"/>
      <c r="EE804" s="26"/>
      <c r="EF804" s="26"/>
      <c r="EG804" s="26"/>
      <c r="EH804" s="26"/>
      <c r="EI804" s="26"/>
      <c r="EJ804" s="26"/>
      <c r="EK804" s="26"/>
      <c r="EL804" s="26"/>
      <c r="EM804" s="26"/>
      <c r="EN804" s="26"/>
      <c r="EO804" s="26"/>
      <c r="EP804" s="26"/>
      <c r="EQ804" s="26"/>
      <c r="ER804" s="26"/>
      <c r="ES804" s="26"/>
      <c r="ET804" s="26"/>
      <c r="EU804" s="26"/>
      <c r="EV804" s="26"/>
      <c r="EW804" s="26"/>
      <c r="EX804" s="26"/>
      <c r="EY804" s="26"/>
      <c r="EZ804" s="26"/>
      <c r="FA804" s="60"/>
      <c r="FB804" s="60"/>
      <c r="FC804" s="60"/>
      <c r="FD804" s="60"/>
      <c r="FE804" s="60"/>
      <c r="FF804" s="60"/>
      <c r="FG804" s="60"/>
      <c r="FH804" s="60"/>
      <c r="FI804" s="60"/>
      <c r="FJ804" s="60"/>
      <c r="FK804" s="60"/>
      <c r="FL804" s="60"/>
      <c r="FM804" s="60"/>
      <c r="FN804" s="60"/>
      <c r="FO804" s="60"/>
      <c r="FP804" s="60"/>
      <c r="FQ804" s="60"/>
      <c r="FR804" s="60"/>
      <c r="FS804" s="60"/>
      <c r="FT804" s="60"/>
      <c r="FU804" s="60"/>
      <c r="FV804" s="60"/>
      <c r="FW804" s="60"/>
      <c r="FX804" s="60"/>
    </row>
    <row r="805">
      <c r="A805" s="18"/>
      <c r="B805" s="14"/>
      <c r="C805" s="14"/>
      <c r="D805" s="14"/>
      <c r="E805" s="18"/>
      <c r="F805" s="18"/>
      <c r="G805" s="18"/>
      <c r="H805" s="18"/>
      <c r="I805" s="18"/>
      <c r="J805" s="18"/>
      <c r="K805" s="18"/>
      <c r="L805" s="18"/>
      <c r="M805" s="18"/>
      <c r="N805" s="18"/>
      <c r="O805" s="18"/>
      <c r="P805" s="23"/>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c r="BM805" s="26"/>
      <c r="BN805" s="26"/>
      <c r="BO805" s="26"/>
      <c r="BP805" s="26"/>
      <c r="BQ805" s="26"/>
      <c r="BR805" s="26"/>
      <c r="BS805" s="26"/>
      <c r="BT805" s="26"/>
      <c r="BU805" s="26"/>
      <c r="BV805" s="26"/>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26"/>
      <c r="CU805" s="26"/>
      <c r="CV805" s="26"/>
      <c r="CW805" s="26"/>
      <c r="CX805" s="26"/>
      <c r="CY805" s="26"/>
      <c r="CZ805" s="26"/>
      <c r="DA805" s="26"/>
      <c r="DB805" s="26"/>
      <c r="DC805" s="26"/>
      <c r="DD805" s="26"/>
      <c r="DE805" s="26"/>
      <c r="DF805" s="26"/>
      <c r="DG805" s="26"/>
      <c r="DH805" s="26"/>
      <c r="DI805" s="26"/>
      <c r="DJ805" s="26"/>
      <c r="DK805" s="26"/>
      <c r="DL805" s="26"/>
      <c r="DM805" s="26"/>
      <c r="DN805" s="26"/>
      <c r="DO805" s="26"/>
      <c r="DP805" s="26"/>
      <c r="DQ805" s="26"/>
      <c r="DR805" s="26"/>
      <c r="DS805" s="26"/>
      <c r="DT805" s="26"/>
      <c r="DU805" s="26"/>
      <c r="DV805" s="26"/>
      <c r="DW805" s="26"/>
      <c r="DX805" s="26"/>
      <c r="DY805" s="26"/>
      <c r="DZ805" s="26"/>
      <c r="EA805" s="26"/>
      <c r="EB805" s="26"/>
      <c r="EC805" s="26"/>
      <c r="ED805" s="26"/>
      <c r="EE805" s="26"/>
      <c r="EF805" s="26"/>
      <c r="EG805" s="26"/>
      <c r="EH805" s="26"/>
      <c r="EI805" s="26"/>
      <c r="EJ805" s="26"/>
      <c r="EK805" s="26"/>
      <c r="EL805" s="26"/>
      <c r="EM805" s="26"/>
      <c r="EN805" s="26"/>
      <c r="EO805" s="26"/>
      <c r="EP805" s="26"/>
      <c r="EQ805" s="26"/>
      <c r="ER805" s="26"/>
      <c r="ES805" s="26"/>
      <c r="ET805" s="26"/>
      <c r="EU805" s="26"/>
      <c r="EV805" s="26"/>
      <c r="EW805" s="26"/>
      <c r="EX805" s="26"/>
      <c r="EY805" s="26"/>
      <c r="EZ805" s="26"/>
      <c r="FA805" s="60"/>
      <c r="FB805" s="60"/>
      <c r="FC805" s="60"/>
      <c r="FD805" s="60"/>
      <c r="FE805" s="60"/>
      <c r="FF805" s="60"/>
      <c r="FG805" s="60"/>
      <c r="FH805" s="60"/>
      <c r="FI805" s="60"/>
      <c r="FJ805" s="60"/>
      <c r="FK805" s="60"/>
      <c r="FL805" s="60"/>
      <c r="FM805" s="60"/>
      <c r="FN805" s="60"/>
      <c r="FO805" s="60"/>
      <c r="FP805" s="60"/>
      <c r="FQ805" s="60"/>
      <c r="FR805" s="60"/>
      <c r="FS805" s="60"/>
      <c r="FT805" s="60"/>
      <c r="FU805" s="60"/>
      <c r="FV805" s="60"/>
      <c r="FW805" s="60"/>
      <c r="FX805" s="60"/>
    </row>
    <row r="806">
      <c r="A806" s="18"/>
      <c r="B806" s="14"/>
      <c r="C806" s="14"/>
      <c r="D806" s="14"/>
      <c r="E806" s="18"/>
      <c r="F806" s="18"/>
      <c r="G806" s="18"/>
      <c r="H806" s="18"/>
      <c r="I806" s="18"/>
      <c r="J806" s="18"/>
      <c r="K806" s="18"/>
      <c r="L806" s="18"/>
      <c r="M806" s="18"/>
      <c r="N806" s="18"/>
      <c r="O806" s="18"/>
      <c r="P806" s="23"/>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c r="BO806" s="26"/>
      <c r="BP806" s="26"/>
      <c r="BQ806" s="26"/>
      <c r="BR806" s="26"/>
      <c r="BS806" s="26"/>
      <c r="BT806" s="26"/>
      <c r="BU806" s="26"/>
      <c r="BV806" s="26"/>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26"/>
      <c r="CU806" s="26"/>
      <c r="CV806" s="26"/>
      <c r="CW806" s="26"/>
      <c r="CX806" s="26"/>
      <c r="CY806" s="26"/>
      <c r="CZ806" s="26"/>
      <c r="DA806" s="26"/>
      <c r="DB806" s="26"/>
      <c r="DC806" s="26"/>
      <c r="DD806" s="26"/>
      <c r="DE806" s="26"/>
      <c r="DF806" s="26"/>
      <c r="DG806" s="26"/>
      <c r="DH806" s="26"/>
      <c r="DI806" s="26"/>
      <c r="DJ806" s="26"/>
      <c r="DK806" s="26"/>
      <c r="DL806" s="26"/>
      <c r="DM806" s="26"/>
      <c r="DN806" s="26"/>
      <c r="DO806" s="26"/>
      <c r="DP806" s="26"/>
      <c r="DQ806" s="26"/>
      <c r="DR806" s="26"/>
      <c r="DS806" s="26"/>
      <c r="DT806" s="26"/>
      <c r="DU806" s="26"/>
      <c r="DV806" s="26"/>
      <c r="DW806" s="26"/>
      <c r="DX806" s="26"/>
      <c r="DY806" s="26"/>
      <c r="DZ806" s="26"/>
      <c r="EA806" s="26"/>
      <c r="EB806" s="26"/>
      <c r="EC806" s="26"/>
      <c r="ED806" s="26"/>
      <c r="EE806" s="26"/>
      <c r="EF806" s="26"/>
      <c r="EG806" s="26"/>
      <c r="EH806" s="26"/>
      <c r="EI806" s="26"/>
      <c r="EJ806" s="26"/>
      <c r="EK806" s="26"/>
      <c r="EL806" s="26"/>
      <c r="EM806" s="26"/>
      <c r="EN806" s="26"/>
      <c r="EO806" s="26"/>
      <c r="EP806" s="26"/>
      <c r="EQ806" s="26"/>
      <c r="ER806" s="26"/>
      <c r="ES806" s="26"/>
      <c r="ET806" s="26"/>
      <c r="EU806" s="26"/>
      <c r="EV806" s="26"/>
      <c r="EW806" s="26"/>
      <c r="EX806" s="26"/>
      <c r="EY806" s="26"/>
      <c r="EZ806" s="26"/>
      <c r="FA806" s="60"/>
      <c r="FB806" s="60"/>
      <c r="FC806" s="60"/>
      <c r="FD806" s="60"/>
      <c r="FE806" s="60"/>
      <c r="FF806" s="60"/>
      <c r="FG806" s="60"/>
      <c r="FH806" s="60"/>
      <c r="FI806" s="60"/>
      <c r="FJ806" s="60"/>
      <c r="FK806" s="60"/>
      <c r="FL806" s="60"/>
      <c r="FM806" s="60"/>
      <c r="FN806" s="60"/>
      <c r="FO806" s="60"/>
      <c r="FP806" s="60"/>
      <c r="FQ806" s="60"/>
      <c r="FR806" s="60"/>
      <c r="FS806" s="60"/>
      <c r="FT806" s="60"/>
      <c r="FU806" s="60"/>
      <c r="FV806" s="60"/>
      <c r="FW806" s="60"/>
      <c r="FX806" s="60"/>
    </row>
    <row r="807">
      <c r="A807" s="18"/>
      <c r="B807" s="14"/>
      <c r="C807" s="14"/>
      <c r="D807" s="14"/>
      <c r="E807" s="18"/>
      <c r="F807" s="18"/>
      <c r="G807" s="18"/>
      <c r="H807" s="18"/>
      <c r="I807" s="18"/>
      <c r="J807" s="18"/>
      <c r="K807" s="18"/>
      <c r="L807" s="18"/>
      <c r="M807" s="18"/>
      <c r="N807" s="18"/>
      <c r="O807" s="18"/>
      <c r="P807" s="23"/>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6"/>
      <c r="BM807" s="26"/>
      <c r="BN807" s="26"/>
      <c r="BO807" s="26"/>
      <c r="BP807" s="26"/>
      <c r="BQ807" s="26"/>
      <c r="BR807" s="26"/>
      <c r="BS807" s="26"/>
      <c r="BT807" s="26"/>
      <c r="BU807" s="26"/>
      <c r="BV807" s="26"/>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26"/>
      <c r="CU807" s="26"/>
      <c r="CV807" s="26"/>
      <c r="CW807" s="26"/>
      <c r="CX807" s="26"/>
      <c r="CY807" s="26"/>
      <c r="CZ807" s="26"/>
      <c r="DA807" s="26"/>
      <c r="DB807" s="26"/>
      <c r="DC807" s="26"/>
      <c r="DD807" s="26"/>
      <c r="DE807" s="26"/>
      <c r="DF807" s="26"/>
      <c r="DG807" s="26"/>
      <c r="DH807" s="26"/>
      <c r="DI807" s="26"/>
      <c r="DJ807" s="26"/>
      <c r="DK807" s="26"/>
      <c r="DL807" s="26"/>
      <c r="DM807" s="26"/>
      <c r="DN807" s="26"/>
      <c r="DO807" s="26"/>
      <c r="DP807" s="26"/>
      <c r="DQ807" s="26"/>
      <c r="DR807" s="26"/>
      <c r="DS807" s="26"/>
      <c r="DT807" s="26"/>
      <c r="DU807" s="26"/>
      <c r="DV807" s="26"/>
      <c r="DW807" s="26"/>
      <c r="DX807" s="26"/>
      <c r="DY807" s="26"/>
      <c r="DZ807" s="26"/>
      <c r="EA807" s="26"/>
      <c r="EB807" s="26"/>
      <c r="EC807" s="26"/>
      <c r="ED807" s="26"/>
      <c r="EE807" s="26"/>
      <c r="EF807" s="26"/>
      <c r="EG807" s="26"/>
      <c r="EH807" s="26"/>
      <c r="EI807" s="26"/>
      <c r="EJ807" s="26"/>
      <c r="EK807" s="26"/>
      <c r="EL807" s="26"/>
      <c r="EM807" s="26"/>
      <c r="EN807" s="26"/>
      <c r="EO807" s="26"/>
      <c r="EP807" s="26"/>
      <c r="EQ807" s="26"/>
      <c r="ER807" s="26"/>
      <c r="ES807" s="26"/>
      <c r="ET807" s="26"/>
      <c r="EU807" s="26"/>
      <c r="EV807" s="26"/>
      <c r="EW807" s="26"/>
      <c r="EX807" s="26"/>
      <c r="EY807" s="26"/>
      <c r="EZ807" s="26"/>
      <c r="FA807" s="60"/>
      <c r="FB807" s="60"/>
      <c r="FC807" s="60"/>
      <c r="FD807" s="60"/>
      <c r="FE807" s="60"/>
      <c r="FF807" s="60"/>
      <c r="FG807" s="60"/>
      <c r="FH807" s="60"/>
      <c r="FI807" s="60"/>
      <c r="FJ807" s="60"/>
      <c r="FK807" s="60"/>
      <c r="FL807" s="60"/>
      <c r="FM807" s="60"/>
      <c r="FN807" s="60"/>
      <c r="FO807" s="60"/>
      <c r="FP807" s="60"/>
      <c r="FQ807" s="60"/>
      <c r="FR807" s="60"/>
      <c r="FS807" s="60"/>
      <c r="FT807" s="60"/>
      <c r="FU807" s="60"/>
      <c r="FV807" s="60"/>
      <c r="FW807" s="60"/>
      <c r="FX807" s="60"/>
    </row>
    <row r="808">
      <c r="A808" s="18"/>
      <c r="B808" s="14"/>
      <c r="C808" s="14"/>
      <c r="D808" s="14"/>
      <c r="E808" s="18"/>
      <c r="F808" s="18"/>
      <c r="G808" s="18"/>
      <c r="H808" s="18"/>
      <c r="I808" s="18"/>
      <c r="J808" s="18"/>
      <c r="K808" s="18"/>
      <c r="L808" s="18"/>
      <c r="M808" s="18"/>
      <c r="N808" s="18"/>
      <c r="O808" s="18"/>
      <c r="P808" s="23"/>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c r="BO808" s="26"/>
      <c r="BP808" s="26"/>
      <c r="BQ808" s="26"/>
      <c r="BR808" s="26"/>
      <c r="BS808" s="26"/>
      <c r="BT808" s="26"/>
      <c r="BU808" s="26"/>
      <c r="BV808" s="26"/>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26"/>
      <c r="CU808" s="26"/>
      <c r="CV808" s="26"/>
      <c r="CW808" s="26"/>
      <c r="CX808" s="26"/>
      <c r="CY808" s="26"/>
      <c r="CZ808" s="26"/>
      <c r="DA808" s="26"/>
      <c r="DB808" s="26"/>
      <c r="DC808" s="26"/>
      <c r="DD808" s="26"/>
      <c r="DE808" s="26"/>
      <c r="DF808" s="26"/>
      <c r="DG808" s="26"/>
      <c r="DH808" s="26"/>
      <c r="DI808" s="26"/>
      <c r="DJ808" s="26"/>
      <c r="DK808" s="26"/>
      <c r="DL808" s="26"/>
      <c r="DM808" s="26"/>
      <c r="DN808" s="26"/>
      <c r="DO808" s="26"/>
      <c r="DP808" s="26"/>
      <c r="DQ808" s="26"/>
      <c r="DR808" s="26"/>
      <c r="DS808" s="26"/>
      <c r="DT808" s="26"/>
      <c r="DU808" s="26"/>
      <c r="DV808" s="26"/>
      <c r="DW808" s="26"/>
      <c r="DX808" s="26"/>
      <c r="DY808" s="26"/>
      <c r="DZ808" s="26"/>
      <c r="EA808" s="26"/>
      <c r="EB808" s="26"/>
      <c r="EC808" s="26"/>
      <c r="ED808" s="26"/>
      <c r="EE808" s="26"/>
      <c r="EF808" s="26"/>
      <c r="EG808" s="26"/>
      <c r="EH808" s="26"/>
      <c r="EI808" s="26"/>
      <c r="EJ808" s="26"/>
      <c r="EK808" s="26"/>
      <c r="EL808" s="26"/>
      <c r="EM808" s="26"/>
      <c r="EN808" s="26"/>
      <c r="EO808" s="26"/>
      <c r="EP808" s="26"/>
      <c r="EQ808" s="26"/>
      <c r="ER808" s="26"/>
      <c r="ES808" s="26"/>
      <c r="ET808" s="26"/>
      <c r="EU808" s="26"/>
      <c r="EV808" s="26"/>
      <c r="EW808" s="26"/>
      <c r="EX808" s="26"/>
      <c r="EY808" s="26"/>
      <c r="EZ808" s="26"/>
      <c r="FA808" s="60"/>
      <c r="FB808" s="60"/>
      <c r="FC808" s="60"/>
      <c r="FD808" s="60"/>
      <c r="FE808" s="60"/>
      <c r="FF808" s="60"/>
      <c r="FG808" s="60"/>
      <c r="FH808" s="60"/>
      <c r="FI808" s="60"/>
      <c r="FJ808" s="60"/>
      <c r="FK808" s="60"/>
      <c r="FL808" s="60"/>
      <c r="FM808" s="60"/>
      <c r="FN808" s="60"/>
      <c r="FO808" s="60"/>
      <c r="FP808" s="60"/>
      <c r="FQ808" s="60"/>
      <c r="FR808" s="60"/>
      <c r="FS808" s="60"/>
      <c r="FT808" s="60"/>
      <c r="FU808" s="60"/>
      <c r="FV808" s="60"/>
      <c r="FW808" s="60"/>
      <c r="FX808" s="60"/>
    </row>
    <row r="809">
      <c r="A809" s="18"/>
      <c r="B809" s="14"/>
      <c r="C809" s="14"/>
      <c r="D809" s="14"/>
      <c r="E809" s="18"/>
      <c r="F809" s="18"/>
      <c r="G809" s="18"/>
      <c r="H809" s="18"/>
      <c r="I809" s="18"/>
      <c r="J809" s="18"/>
      <c r="K809" s="18"/>
      <c r="L809" s="18"/>
      <c r="M809" s="18"/>
      <c r="N809" s="18"/>
      <c r="O809" s="18"/>
      <c r="P809" s="23"/>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c r="BM809" s="26"/>
      <c r="BN809" s="26"/>
      <c r="BO809" s="26"/>
      <c r="BP809" s="26"/>
      <c r="BQ809" s="26"/>
      <c r="BR809" s="26"/>
      <c r="BS809" s="26"/>
      <c r="BT809" s="26"/>
      <c r="BU809" s="26"/>
      <c r="BV809" s="26"/>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26"/>
      <c r="CU809" s="26"/>
      <c r="CV809" s="26"/>
      <c r="CW809" s="26"/>
      <c r="CX809" s="26"/>
      <c r="CY809" s="26"/>
      <c r="CZ809" s="26"/>
      <c r="DA809" s="26"/>
      <c r="DB809" s="26"/>
      <c r="DC809" s="26"/>
      <c r="DD809" s="26"/>
      <c r="DE809" s="26"/>
      <c r="DF809" s="26"/>
      <c r="DG809" s="26"/>
      <c r="DH809" s="26"/>
      <c r="DI809" s="26"/>
      <c r="DJ809" s="26"/>
      <c r="DK809" s="26"/>
      <c r="DL809" s="26"/>
      <c r="DM809" s="26"/>
      <c r="DN809" s="26"/>
      <c r="DO809" s="26"/>
      <c r="DP809" s="26"/>
      <c r="DQ809" s="26"/>
      <c r="DR809" s="26"/>
      <c r="DS809" s="26"/>
      <c r="DT809" s="26"/>
      <c r="DU809" s="26"/>
      <c r="DV809" s="26"/>
      <c r="DW809" s="26"/>
      <c r="DX809" s="26"/>
      <c r="DY809" s="26"/>
      <c r="DZ809" s="26"/>
      <c r="EA809" s="26"/>
      <c r="EB809" s="26"/>
      <c r="EC809" s="26"/>
      <c r="ED809" s="26"/>
      <c r="EE809" s="26"/>
      <c r="EF809" s="26"/>
      <c r="EG809" s="26"/>
      <c r="EH809" s="26"/>
      <c r="EI809" s="26"/>
      <c r="EJ809" s="26"/>
      <c r="EK809" s="26"/>
      <c r="EL809" s="26"/>
      <c r="EM809" s="26"/>
      <c r="EN809" s="26"/>
      <c r="EO809" s="26"/>
      <c r="EP809" s="26"/>
      <c r="EQ809" s="26"/>
      <c r="ER809" s="26"/>
      <c r="ES809" s="26"/>
      <c r="ET809" s="26"/>
      <c r="EU809" s="26"/>
      <c r="EV809" s="26"/>
      <c r="EW809" s="26"/>
      <c r="EX809" s="26"/>
      <c r="EY809" s="26"/>
      <c r="EZ809" s="26"/>
      <c r="FA809" s="60"/>
      <c r="FB809" s="60"/>
      <c r="FC809" s="60"/>
      <c r="FD809" s="60"/>
      <c r="FE809" s="60"/>
      <c r="FF809" s="60"/>
      <c r="FG809" s="60"/>
      <c r="FH809" s="60"/>
      <c r="FI809" s="60"/>
      <c r="FJ809" s="60"/>
      <c r="FK809" s="60"/>
      <c r="FL809" s="60"/>
      <c r="FM809" s="60"/>
      <c r="FN809" s="60"/>
      <c r="FO809" s="60"/>
      <c r="FP809" s="60"/>
      <c r="FQ809" s="60"/>
      <c r="FR809" s="60"/>
      <c r="FS809" s="60"/>
      <c r="FT809" s="60"/>
      <c r="FU809" s="60"/>
      <c r="FV809" s="60"/>
      <c r="FW809" s="60"/>
      <c r="FX809" s="60"/>
    </row>
    <row r="810">
      <c r="A810" s="18"/>
      <c r="B810" s="14"/>
      <c r="C810" s="14"/>
      <c r="D810" s="14"/>
      <c r="E810" s="18"/>
      <c r="F810" s="18"/>
      <c r="G810" s="18"/>
      <c r="H810" s="18"/>
      <c r="I810" s="18"/>
      <c r="J810" s="18"/>
      <c r="K810" s="18"/>
      <c r="L810" s="18"/>
      <c r="M810" s="18"/>
      <c r="N810" s="18"/>
      <c r="O810" s="18"/>
      <c r="P810" s="23"/>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c r="BO810" s="26"/>
      <c r="BP810" s="26"/>
      <c r="BQ810" s="26"/>
      <c r="BR810" s="26"/>
      <c r="BS810" s="26"/>
      <c r="BT810" s="26"/>
      <c r="BU810" s="26"/>
      <c r="BV810" s="26"/>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26"/>
      <c r="CU810" s="26"/>
      <c r="CV810" s="26"/>
      <c r="CW810" s="26"/>
      <c r="CX810" s="26"/>
      <c r="CY810" s="26"/>
      <c r="CZ810" s="26"/>
      <c r="DA810" s="26"/>
      <c r="DB810" s="26"/>
      <c r="DC810" s="26"/>
      <c r="DD810" s="26"/>
      <c r="DE810" s="26"/>
      <c r="DF810" s="26"/>
      <c r="DG810" s="26"/>
      <c r="DH810" s="26"/>
      <c r="DI810" s="26"/>
      <c r="DJ810" s="26"/>
      <c r="DK810" s="26"/>
      <c r="DL810" s="26"/>
      <c r="DM810" s="26"/>
      <c r="DN810" s="26"/>
      <c r="DO810" s="26"/>
      <c r="DP810" s="26"/>
      <c r="DQ810" s="26"/>
      <c r="DR810" s="26"/>
      <c r="DS810" s="26"/>
      <c r="DT810" s="26"/>
      <c r="DU810" s="26"/>
      <c r="DV810" s="26"/>
      <c r="DW810" s="26"/>
      <c r="DX810" s="26"/>
      <c r="DY810" s="26"/>
      <c r="DZ810" s="26"/>
      <c r="EA810" s="26"/>
      <c r="EB810" s="26"/>
      <c r="EC810" s="26"/>
      <c r="ED810" s="26"/>
      <c r="EE810" s="26"/>
      <c r="EF810" s="26"/>
      <c r="EG810" s="26"/>
      <c r="EH810" s="26"/>
      <c r="EI810" s="26"/>
      <c r="EJ810" s="26"/>
      <c r="EK810" s="26"/>
      <c r="EL810" s="26"/>
      <c r="EM810" s="26"/>
      <c r="EN810" s="26"/>
      <c r="EO810" s="26"/>
      <c r="EP810" s="26"/>
      <c r="EQ810" s="26"/>
      <c r="ER810" s="26"/>
      <c r="ES810" s="26"/>
      <c r="ET810" s="26"/>
      <c r="EU810" s="26"/>
      <c r="EV810" s="26"/>
      <c r="EW810" s="26"/>
      <c r="EX810" s="26"/>
      <c r="EY810" s="26"/>
      <c r="EZ810" s="26"/>
      <c r="FA810" s="60"/>
      <c r="FB810" s="60"/>
      <c r="FC810" s="60"/>
      <c r="FD810" s="60"/>
      <c r="FE810" s="60"/>
      <c r="FF810" s="60"/>
      <c r="FG810" s="60"/>
      <c r="FH810" s="60"/>
      <c r="FI810" s="60"/>
      <c r="FJ810" s="60"/>
      <c r="FK810" s="60"/>
      <c r="FL810" s="60"/>
      <c r="FM810" s="60"/>
      <c r="FN810" s="60"/>
      <c r="FO810" s="60"/>
      <c r="FP810" s="60"/>
      <c r="FQ810" s="60"/>
      <c r="FR810" s="60"/>
      <c r="FS810" s="60"/>
      <c r="FT810" s="60"/>
      <c r="FU810" s="60"/>
      <c r="FV810" s="60"/>
      <c r="FW810" s="60"/>
      <c r="FX810" s="60"/>
    </row>
    <row r="811">
      <c r="A811" s="18"/>
      <c r="B811" s="14"/>
      <c r="C811" s="14"/>
      <c r="D811" s="14"/>
      <c r="E811" s="18"/>
      <c r="F811" s="18"/>
      <c r="G811" s="18"/>
      <c r="H811" s="18"/>
      <c r="I811" s="18"/>
      <c r="J811" s="18"/>
      <c r="K811" s="18"/>
      <c r="L811" s="18"/>
      <c r="M811" s="18"/>
      <c r="N811" s="18"/>
      <c r="O811" s="18"/>
      <c r="P811" s="23"/>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6"/>
      <c r="BL811" s="26"/>
      <c r="BM811" s="26"/>
      <c r="BN811" s="26"/>
      <c r="BO811" s="26"/>
      <c r="BP811" s="26"/>
      <c r="BQ811" s="26"/>
      <c r="BR811" s="26"/>
      <c r="BS811" s="26"/>
      <c r="BT811" s="26"/>
      <c r="BU811" s="26"/>
      <c r="BV811" s="26"/>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26"/>
      <c r="CU811" s="26"/>
      <c r="CV811" s="26"/>
      <c r="CW811" s="26"/>
      <c r="CX811" s="26"/>
      <c r="CY811" s="26"/>
      <c r="CZ811" s="26"/>
      <c r="DA811" s="26"/>
      <c r="DB811" s="26"/>
      <c r="DC811" s="26"/>
      <c r="DD811" s="26"/>
      <c r="DE811" s="26"/>
      <c r="DF811" s="26"/>
      <c r="DG811" s="26"/>
      <c r="DH811" s="26"/>
      <c r="DI811" s="26"/>
      <c r="DJ811" s="26"/>
      <c r="DK811" s="26"/>
      <c r="DL811" s="26"/>
      <c r="DM811" s="26"/>
      <c r="DN811" s="26"/>
      <c r="DO811" s="26"/>
      <c r="DP811" s="26"/>
      <c r="DQ811" s="26"/>
      <c r="DR811" s="26"/>
      <c r="DS811" s="26"/>
      <c r="DT811" s="26"/>
      <c r="DU811" s="26"/>
      <c r="DV811" s="26"/>
      <c r="DW811" s="26"/>
      <c r="DX811" s="26"/>
      <c r="DY811" s="26"/>
      <c r="DZ811" s="26"/>
      <c r="EA811" s="26"/>
      <c r="EB811" s="26"/>
      <c r="EC811" s="26"/>
      <c r="ED811" s="26"/>
      <c r="EE811" s="26"/>
      <c r="EF811" s="26"/>
      <c r="EG811" s="26"/>
      <c r="EH811" s="26"/>
      <c r="EI811" s="26"/>
      <c r="EJ811" s="26"/>
      <c r="EK811" s="26"/>
      <c r="EL811" s="26"/>
      <c r="EM811" s="26"/>
      <c r="EN811" s="26"/>
      <c r="EO811" s="26"/>
      <c r="EP811" s="26"/>
      <c r="EQ811" s="26"/>
      <c r="ER811" s="26"/>
      <c r="ES811" s="26"/>
      <c r="ET811" s="26"/>
      <c r="EU811" s="26"/>
      <c r="EV811" s="26"/>
      <c r="EW811" s="26"/>
      <c r="EX811" s="26"/>
      <c r="EY811" s="26"/>
      <c r="EZ811" s="26"/>
      <c r="FA811" s="60"/>
      <c r="FB811" s="60"/>
      <c r="FC811" s="60"/>
      <c r="FD811" s="60"/>
      <c r="FE811" s="60"/>
      <c r="FF811" s="60"/>
      <c r="FG811" s="60"/>
      <c r="FH811" s="60"/>
      <c r="FI811" s="60"/>
      <c r="FJ811" s="60"/>
      <c r="FK811" s="60"/>
      <c r="FL811" s="60"/>
      <c r="FM811" s="60"/>
      <c r="FN811" s="60"/>
      <c r="FO811" s="60"/>
      <c r="FP811" s="60"/>
      <c r="FQ811" s="60"/>
      <c r="FR811" s="60"/>
      <c r="FS811" s="60"/>
      <c r="FT811" s="60"/>
      <c r="FU811" s="60"/>
      <c r="FV811" s="60"/>
      <c r="FW811" s="60"/>
      <c r="FX811" s="60"/>
    </row>
    <row r="812">
      <c r="A812" s="18"/>
      <c r="B812" s="14"/>
      <c r="C812" s="14"/>
      <c r="D812" s="14"/>
      <c r="E812" s="18"/>
      <c r="F812" s="18"/>
      <c r="G812" s="18"/>
      <c r="H812" s="18"/>
      <c r="I812" s="18"/>
      <c r="J812" s="18"/>
      <c r="K812" s="18"/>
      <c r="L812" s="18"/>
      <c r="M812" s="18"/>
      <c r="N812" s="18"/>
      <c r="O812" s="18"/>
      <c r="P812" s="23"/>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c r="BO812" s="26"/>
      <c r="BP812" s="26"/>
      <c r="BQ812" s="26"/>
      <c r="BR812" s="26"/>
      <c r="BS812" s="26"/>
      <c r="BT812" s="26"/>
      <c r="BU812" s="26"/>
      <c r="BV812" s="26"/>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26"/>
      <c r="CU812" s="26"/>
      <c r="CV812" s="26"/>
      <c r="CW812" s="26"/>
      <c r="CX812" s="26"/>
      <c r="CY812" s="26"/>
      <c r="CZ812" s="26"/>
      <c r="DA812" s="26"/>
      <c r="DB812" s="26"/>
      <c r="DC812" s="26"/>
      <c r="DD812" s="26"/>
      <c r="DE812" s="26"/>
      <c r="DF812" s="26"/>
      <c r="DG812" s="26"/>
      <c r="DH812" s="26"/>
      <c r="DI812" s="26"/>
      <c r="DJ812" s="26"/>
      <c r="DK812" s="26"/>
      <c r="DL812" s="26"/>
      <c r="DM812" s="26"/>
      <c r="DN812" s="26"/>
      <c r="DO812" s="26"/>
      <c r="DP812" s="26"/>
      <c r="DQ812" s="26"/>
      <c r="DR812" s="26"/>
      <c r="DS812" s="26"/>
      <c r="DT812" s="26"/>
      <c r="DU812" s="26"/>
      <c r="DV812" s="26"/>
      <c r="DW812" s="26"/>
      <c r="DX812" s="26"/>
      <c r="DY812" s="26"/>
      <c r="DZ812" s="26"/>
      <c r="EA812" s="26"/>
      <c r="EB812" s="26"/>
      <c r="EC812" s="26"/>
      <c r="ED812" s="26"/>
      <c r="EE812" s="26"/>
      <c r="EF812" s="26"/>
      <c r="EG812" s="26"/>
      <c r="EH812" s="26"/>
      <c r="EI812" s="26"/>
      <c r="EJ812" s="26"/>
      <c r="EK812" s="26"/>
      <c r="EL812" s="26"/>
      <c r="EM812" s="26"/>
      <c r="EN812" s="26"/>
      <c r="EO812" s="26"/>
      <c r="EP812" s="26"/>
      <c r="EQ812" s="26"/>
      <c r="ER812" s="26"/>
      <c r="ES812" s="26"/>
      <c r="ET812" s="26"/>
      <c r="EU812" s="26"/>
      <c r="EV812" s="26"/>
      <c r="EW812" s="26"/>
      <c r="EX812" s="26"/>
      <c r="EY812" s="26"/>
      <c r="EZ812" s="26"/>
      <c r="FA812" s="60"/>
      <c r="FB812" s="60"/>
      <c r="FC812" s="60"/>
      <c r="FD812" s="60"/>
      <c r="FE812" s="60"/>
      <c r="FF812" s="60"/>
      <c r="FG812" s="60"/>
      <c r="FH812" s="60"/>
      <c r="FI812" s="60"/>
      <c r="FJ812" s="60"/>
      <c r="FK812" s="60"/>
      <c r="FL812" s="60"/>
      <c r="FM812" s="60"/>
      <c r="FN812" s="60"/>
      <c r="FO812" s="60"/>
      <c r="FP812" s="60"/>
      <c r="FQ812" s="60"/>
      <c r="FR812" s="60"/>
      <c r="FS812" s="60"/>
      <c r="FT812" s="60"/>
      <c r="FU812" s="60"/>
      <c r="FV812" s="60"/>
      <c r="FW812" s="60"/>
      <c r="FX812" s="60"/>
    </row>
    <row r="813">
      <c r="A813" s="18"/>
      <c r="B813" s="14"/>
      <c r="C813" s="14"/>
      <c r="D813" s="14"/>
      <c r="E813" s="18"/>
      <c r="F813" s="18"/>
      <c r="G813" s="18"/>
      <c r="H813" s="18"/>
      <c r="I813" s="18"/>
      <c r="J813" s="18"/>
      <c r="K813" s="18"/>
      <c r="L813" s="18"/>
      <c r="M813" s="18"/>
      <c r="N813" s="18"/>
      <c r="O813" s="18"/>
      <c r="P813" s="23"/>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6"/>
      <c r="BG813" s="26"/>
      <c r="BH813" s="26"/>
      <c r="BI813" s="26"/>
      <c r="BJ813" s="26"/>
      <c r="BK813" s="26"/>
      <c r="BL813" s="26"/>
      <c r="BM813" s="26"/>
      <c r="BN813" s="26"/>
      <c r="BO813" s="26"/>
      <c r="BP813" s="26"/>
      <c r="BQ813" s="26"/>
      <c r="BR813" s="26"/>
      <c r="BS813" s="26"/>
      <c r="BT813" s="26"/>
      <c r="BU813" s="26"/>
      <c r="BV813" s="26"/>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26"/>
      <c r="CU813" s="26"/>
      <c r="CV813" s="26"/>
      <c r="CW813" s="26"/>
      <c r="CX813" s="26"/>
      <c r="CY813" s="26"/>
      <c r="CZ813" s="26"/>
      <c r="DA813" s="26"/>
      <c r="DB813" s="26"/>
      <c r="DC813" s="26"/>
      <c r="DD813" s="26"/>
      <c r="DE813" s="26"/>
      <c r="DF813" s="26"/>
      <c r="DG813" s="26"/>
      <c r="DH813" s="26"/>
      <c r="DI813" s="26"/>
      <c r="DJ813" s="26"/>
      <c r="DK813" s="26"/>
      <c r="DL813" s="26"/>
      <c r="DM813" s="26"/>
      <c r="DN813" s="26"/>
      <c r="DO813" s="26"/>
      <c r="DP813" s="26"/>
      <c r="DQ813" s="26"/>
      <c r="DR813" s="26"/>
      <c r="DS813" s="26"/>
      <c r="DT813" s="26"/>
      <c r="DU813" s="26"/>
      <c r="DV813" s="26"/>
      <c r="DW813" s="26"/>
      <c r="DX813" s="26"/>
      <c r="DY813" s="26"/>
      <c r="DZ813" s="26"/>
      <c r="EA813" s="26"/>
      <c r="EB813" s="26"/>
      <c r="EC813" s="26"/>
      <c r="ED813" s="26"/>
      <c r="EE813" s="26"/>
      <c r="EF813" s="26"/>
      <c r="EG813" s="26"/>
      <c r="EH813" s="26"/>
      <c r="EI813" s="26"/>
      <c r="EJ813" s="26"/>
      <c r="EK813" s="26"/>
      <c r="EL813" s="26"/>
      <c r="EM813" s="26"/>
      <c r="EN813" s="26"/>
      <c r="EO813" s="26"/>
      <c r="EP813" s="26"/>
      <c r="EQ813" s="26"/>
      <c r="ER813" s="26"/>
      <c r="ES813" s="26"/>
      <c r="ET813" s="26"/>
      <c r="EU813" s="26"/>
      <c r="EV813" s="26"/>
      <c r="EW813" s="26"/>
      <c r="EX813" s="26"/>
      <c r="EY813" s="26"/>
      <c r="EZ813" s="26"/>
      <c r="FA813" s="60"/>
      <c r="FB813" s="60"/>
      <c r="FC813" s="60"/>
      <c r="FD813" s="60"/>
      <c r="FE813" s="60"/>
      <c r="FF813" s="60"/>
      <c r="FG813" s="60"/>
      <c r="FH813" s="60"/>
      <c r="FI813" s="60"/>
      <c r="FJ813" s="60"/>
      <c r="FK813" s="60"/>
      <c r="FL813" s="60"/>
      <c r="FM813" s="60"/>
      <c r="FN813" s="60"/>
      <c r="FO813" s="60"/>
      <c r="FP813" s="60"/>
      <c r="FQ813" s="60"/>
      <c r="FR813" s="60"/>
      <c r="FS813" s="60"/>
      <c r="FT813" s="60"/>
      <c r="FU813" s="60"/>
      <c r="FV813" s="60"/>
      <c r="FW813" s="60"/>
      <c r="FX813" s="60"/>
    </row>
    <row r="814">
      <c r="A814" s="18"/>
      <c r="B814" s="14"/>
      <c r="C814" s="14"/>
      <c r="D814" s="14"/>
      <c r="E814" s="18"/>
      <c r="F814" s="18"/>
      <c r="G814" s="18"/>
      <c r="H814" s="18"/>
      <c r="I814" s="18"/>
      <c r="J814" s="18"/>
      <c r="K814" s="18"/>
      <c r="L814" s="18"/>
      <c r="M814" s="18"/>
      <c r="N814" s="18"/>
      <c r="O814" s="18"/>
      <c r="P814" s="23"/>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c r="BO814" s="26"/>
      <c r="BP814" s="26"/>
      <c r="BQ814" s="26"/>
      <c r="BR814" s="26"/>
      <c r="BS814" s="26"/>
      <c r="BT814" s="26"/>
      <c r="BU814" s="26"/>
      <c r="BV814" s="26"/>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26"/>
      <c r="CU814" s="26"/>
      <c r="CV814" s="26"/>
      <c r="CW814" s="26"/>
      <c r="CX814" s="26"/>
      <c r="CY814" s="26"/>
      <c r="CZ814" s="26"/>
      <c r="DA814" s="26"/>
      <c r="DB814" s="26"/>
      <c r="DC814" s="26"/>
      <c r="DD814" s="26"/>
      <c r="DE814" s="26"/>
      <c r="DF814" s="26"/>
      <c r="DG814" s="26"/>
      <c r="DH814" s="26"/>
      <c r="DI814" s="26"/>
      <c r="DJ814" s="26"/>
      <c r="DK814" s="26"/>
      <c r="DL814" s="26"/>
      <c r="DM814" s="26"/>
      <c r="DN814" s="26"/>
      <c r="DO814" s="26"/>
      <c r="DP814" s="26"/>
      <c r="DQ814" s="26"/>
      <c r="DR814" s="26"/>
      <c r="DS814" s="26"/>
      <c r="DT814" s="26"/>
      <c r="DU814" s="26"/>
      <c r="DV814" s="26"/>
      <c r="DW814" s="26"/>
      <c r="DX814" s="26"/>
      <c r="DY814" s="26"/>
      <c r="DZ814" s="26"/>
      <c r="EA814" s="26"/>
      <c r="EB814" s="26"/>
      <c r="EC814" s="26"/>
      <c r="ED814" s="26"/>
      <c r="EE814" s="26"/>
      <c r="EF814" s="26"/>
      <c r="EG814" s="26"/>
      <c r="EH814" s="26"/>
      <c r="EI814" s="26"/>
      <c r="EJ814" s="26"/>
      <c r="EK814" s="26"/>
      <c r="EL814" s="26"/>
      <c r="EM814" s="26"/>
      <c r="EN814" s="26"/>
      <c r="EO814" s="26"/>
      <c r="EP814" s="26"/>
      <c r="EQ814" s="26"/>
      <c r="ER814" s="26"/>
      <c r="ES814" s="26"/>
      <c r="ET814" s="26"/>
      <c r="EU814" s="26"/>
      <c r="EV814" s="26"/>
      <c r="EW814" s="26"/>
      <c r="EX814" s="26"/>
      <c r="EY814" s="26"/>
      <c r="EZ814" s="26"/>
      <c r="FA814" s="60"/>
      <c r="FB814" s="60"/>
      <c r="FC814" s="60"/>
      <c r="FD814" s="60"/>
      <c r="FE814" s="60"/>
      <c r="FF814" s="60"/>
      <c r="FG814" s="60"/>
      <c r="FH814" s="60"/>
      <c r="FI814" s="60"/>
      <c r="FJ814" s="60"/>
      <c r="FK814" s="60"/>
      <c r="FL814" s="60"/>
      <c r="FM814" s="60"/>
      <c r="FN814" s="60"/>
      <c r="FO814" s="60"/>
      <c r="FP814" s="60"/>
      <c r="FQ814" s="60"/>
      <c r="FR814" s="60"/>
      <c r="FS814" s="60"/>
      <c r="FT814" s="60"/>
      <c r="FU814" s="60"/>
      <c r="FV814" s="60"/>
      <c r="FW814" s="60"/>
      <c r="FX814" s="60"/>
    </row>
    <row r="815">
      <c r="A815" s="18"/>
      <c r="B815" s="14"/>
      <c r="C815" s="14"/>
      <c r="D815" s="14"/>
      <c r="E815" s="18"/>
      <c r="F815" s="18"/>
      <c r="G815" s="18"/>
      <c r="H815" s="18"/>
      <c r="I815" s="18"/>
      <c r="J815" s="18"/>
      <c r="K815" s="18"/>
      <c r="L815" s="18"/>
      <c r="M815" s="18"/>
      <c r="N815" s="18"/>
      <c r="O815" s="18"/>
      <c r="P815" s="23"/>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c r="BM815" s="26"/>
      <c r="BN815" s="26"/>
      <c r="BO815" s="26"/>
      <c r="BP815" s="26"/>
      <c r="BQ815" s="26"/>
      <c r="BR815" s="26"/>
      <c r="BS815" s="26"/>
      <c r="BT815" s="26"/>
      <c r="BU815" s="26"/>
      <c r="BV815" s="26"/>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26"/>
      <c r="CU815" s="26"/>
      <c r="CV815" s="26"/>
      <c r="CW815" s="26"/>
      <c r="CX815" s="26"/>
      <c r="CY815" s="26"/>
      <c r="CZ815" s="26"/>
      <c r="DA815" s="26"/>
      <c r="DB815" s="26"/>
      <c r="DC815" s="26"/>
      <c r="DD815" s="26"/>
      <c r="DE815" s="26"/>
      <c r="DF815" s="26"/>
      <c r="DG815" s="26"/>
      <c r="DH815" s="26"/>
      <c r="DI815" s="26"/>
      <c r="DJ815" s="26"/>
      <c r="DK815" s="26"/>
      <c r="DL815" s="26"/>
      <c r="DM815" s="26"/>
      <c r="DN815" s="26"/>
      <c r="DO815" s="26"/>
      <c r="DP815" s="26"/>
      <c r="DQ815" s="26"/>
      <c r="DR815" s="26"/>
      <c r="DS815" s="26"/>
      <c r="DT815" s="26"/>
      <c r="DU815" s="26"/>
      <c r="DV815" s="26"/>
      <c r="DW815" s="26"/>
      <c r="DX815" s="26"/>
      <c r="DY815" s="26"/>
      <c r="DZ815" s="26"/>
      <c r="EA815" s="26"/>
      <c r="EB815" s="26"/>
      <c r="EC815" s="26"/>
      <c r="ED815" s="26"/>
      <c r="EE815" s="26"/>
      <c r="EF815" s="26"/>
      <c r="EG815" s="26"/>
      <c r="EH815" s="26"/>
      <c r="EI815" s="26"/>
      <c r="EJ815" s="26"/>
      <c r="EK815" s="26"/>
      <c r="EL815" s="26"/>
      <c r="EM815" s="26"/>
      <c r="EN815" s="26"/>
      <c r="EO815" s="26"/>
      <c r="EP815" s="26"/>
      <c r="EQ815" s="26"/>
      <c r="ER815" s="26"/>
      <c r="ES815" s="26"/>
      <c r="ET815" s="26"/>
      <c r="EU815" s="26"/>
      <c r="EV815" s="26"/>
      <c r="EW815" s="26"/>
      <c r="EX815" s="26"/>
      <c r="EY815" s="26"/>
      <c r="EZ815" s="26"/>
      <c r="FA815" s="60"/>
      <c r="FB815" s="60"/>
      <c r="FC815" s="60"/>
      <c r="FD815" s="60"/>
      <c r="FE815" s="60"/>
      <c r="FF815" s="60"/>
      <c r="FG815" s="60"/>
      <c r="FH815" s="60"/>
      <c r="FI815" s="60"/>
      <c r="FJ815" s="60"/>
      <c r="FK815" s="60"/>
      <c r="FL815" s="60"/>
      <c r="FM815" s="60"/>
      <c r="FN815" s="60"/>
      <c r="FO815" s="60"/>
      <c r="FP815" s="60"/>
      <c r="FQ815" s="60"/>
      <c r="FR815" s="60"/>
      <c r="FS815" s="60"/>
      <c r="FT815" s="60"/>
      <c r="FU815" s="60"/>
      <c r="FV815" s="60"/>
      <c r="FW815" s="60"/>
      <c r="FX815" s="60"/>
    </row>
    <row r="816">
      <c r="A816" s="18"/>
      <c r="B816" s="14"/>
      <c r="C816" s="14"/>
      <c r="D816" s="14"/>
      <c r="E816" s="18"/>
      <c r="F816" s="18"/>
      <c r="G816" s="18"/>
      <c r="H816" s="18"/>
      <c r="I816" s="18"/>
      <c r="J816" s="18"/>
      <c r="K816" s="18"/>
      <c r="L816" s="18"/>
      <c r="M816" s="18"/>
      <c r="N816" s="18"/>
      <c r="O816" s="18"/>
      <c r="P816" s="23"/>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6"/>
      <c r="BR816" s="26"/>
      <c r="BS816" s="26"/>
      <c r="BT816" s="26"/>
      <c r="BU816" s="26"/>
      <c r="BV816" s="26"/>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26"/>
      <c r="CU816" s="26"/>
      <c r="CV816" s="26"/>
      <c r="CW816" s="26"/>
      <c r="CX816" s="26"/>
      <c r="CY816" s="26"/>
      <c r="CZ816" s="26"/>
      <c r="DA816" s="26"/>
      <c r="DB816" s="26"/>
      <c r="DC816" s="26"/>
      <c r="DD816" s="26"/>
      <c r="DE816" s="26"/>
      <c r="DF816" s="26"/>
      <c r="DG816" s="26"/>
      <c r="DH816" s="26"/>
      <c r="DI816" s="26"/>
      <c r="DJ816" s="26"/>
      <c r="DK816" s="26"/>
      <c r="DL816" s="26"/>
      <c r="DM816" s="26"/>
      <c r="DN816" s="26"/>
      <c r="DO816" s="26"/>
      <c r="DP816" s="26"/>
      <c r="DQ816" s="26"/>
      <c r="DR816" s="26"/>
      <c r="DS816" s="26"/>
      <c r="DT816" s="26"/>
      <c r="DU816" s="26"/>
      <c r="DV816" s="26"/>
      <c r="DW816" s="26"/>
      <c r="DX816" s="26"/>
      <c r="DY816" s="26"/>
      <c r="DZ816" s="26"/>
      <c r="EA816" s="26"/>
      <c r="EB816" s="26"/>
      <c r="EC816" s="26"/>
      <c r="ED816" s="26"/>
      <c r="EE816" s="26"/>
      <c r="EF816" s="26"/>
      <c r="EG816" s="26"/>
      <c r="EH816" s="26"/>
      <c r="EI816" s="26"/>
      <c r="EJ816" s="26"/>
      <c r="EK816" s="26"/>
      <c r="EL816" s="26"/>
      <c r="EM816" s="26"/>
      <c r="EN816" s="26"/>
      <c r="EO816" s="26"/>
      <c r="EP816" s="26"/>
      <c r="EQ816" s="26"/>
      <c r="ER816" s="26"/>
      <c r="ES816" s="26"/>
      <c r="ET816" s="26"/>
      <c r="EU816" s="26"/>
      <c r="EV816" s="26"/>
      <c r="EW816" s="26"/>
      <c r="EX816" s="26"/>
      <c r="EY816" s="26"/>
      <c r="EZ816" s="26"/>
      <c r="FA816" s="60"/>
      <c r="FB816" s="60"/>
      <c r="FC816" s="60"/>
      <c r="FD816" s="60"/>
      <c r="FE816" s="60"/>
      <c r="FF816" s="60"/>
      <c r="FG816" s="60"/>
      <c r="FH816" s="60"/>
      <c r="FI816" s="60"/>
      <c r="FJ816" s="60"/>
      <c r="FK816" s="60"/>
      <c r="FL816" s="60"/>
      <c r="FM816" s="60"/>
      <c r="FN816" s="60"/>
      <c r="FO816" s="60"/>
      <c r="FP816" s="60"/>
      <c r="FQ816" s="60"/>
      <c r="FR816" s="60"/>
      <c r="FS816" s="60"/>
      <c r="FT816" s="60"/>
      <c r="FU816" s="60"/>
      <c r="FV816" s="60"/>
      <c r="FW816" s="60"/>
      <c r="FX816" s="60"/>
    </row>
    <row r="817">
      <c r="A817" s="18"/>
      <c r="B817" s="14"/>
      <c r="C817" s="14"/>
      <c r="D817" s="14"/>
      <c r="E817" s="18"/>
      <c r="F817" s="18"/>
      <c r="G817" s="18"/>
      <c r="H817" s="18"/>
      <c r="I817" s="18"/>
      <c r="J817" s="18"/>
      <c r="K817" s="18"/>
      <c r="L817" s="18"/>
      <c r="M817" s="18"/>
      <c r="N817" s="18"/>
      <c r="O817" s="18"/>
      <c r="P817" s="23"/>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26"/>
      <c r="CU817" s="26"/>
      <c r="CV817" s="26"/>
      <c r="CW817" s="26"/>
      <c r="CX817" s="26"/>
      <c r="CY817" s="26"/>
      <c r="CZ817" s="26"/>
      <c r="DA817" s="26"/>
      <c r="DB817" s="26"/>
      <c r="DC817" s="26"/>
      <c r="DD817" s="26"/>
      <c r="DE817" s="26"/>
      <c r="DF817" s="26"/>
      <c r="DG817" s="26"/>
      <c r="DH817" s="26"/>
      <c r="DI817" s="26"/>
      <c r="DJ817" s="26"/>
      <c r="DK817" s="26"/>
      <c r="DL817" s="26"/>
      <c r="DM817" s="26"/>
      <c r="DN817" s="26"/>
      <c r="DO817" s="26"/>
      <c r="DP817" s="26"/>
      <c r="DQ817" s="26"/>
      <c r="DR817" s="26"/>
      <c r="DS817" s="26"/>
      <c r="DT817" s="26"/>
      <c r="DU817" s="26"/>
      <c r="DV817" s="26"/>
      <c r="DW817" s="26"/>
      <c r="DX817" s="26"/>
      <c r="DY817" s="26"/>
      <c r="DZ817" s="26"/>
      <c r="EA817" s="26"/>
      <c r="EB817" s="26"/>
      <c r="EC817" s="26"/>
      <c r="ED817" s="26"/>
      <c r="EE817" s="26"/>
      <c r="EF817" s="26"/>
      <c r="EG817" s="26"/>
      <c r="EH817" s="26"/>
      <c r="EI817" s="26"/>
      <c r="EJ817" s="26"/>
      <c r="EK817" s="26"/>
      <c r="EL817" s="26"/>
      <c r="EM817" s="26"/>
      <c r="EN817" s="26"/>
      <c r="EO817" s="26"/>
      <c r="EP817" s="26"/>
      <c r="EQ817" s="26"/>
      <c r="ER817" s="26"/>
      <c r="ES817" s="26"/>
      <c r="ET817" s="26"/>
      <c r="EU817" s="26"/>
      <c r="EV817" s="26"/>
      <c r="EW817" s="26"/>
      <c r="EX817" s="26"/>
      <c r="EY817" s="26"/>
      <c r="EZ817" s="26"/>
      <c r="FA817" s="60"/>
      <c r="FB817" s="60"/>
      <c r="FC817" s="60"/>
      <c r="FD817" s="60"/>
      <c r="FE817" s="60"/>
      <c r="FF817" s="60"/>
      <c r="FG817" s="60"/>
      <c r="FH817" s="60"/>
      <c r="FI817" s="60"/>
      <c r="FJ817" s="60"/>
      <c r="FK817" s="60"/>
      <c r="FL817" s="60"/>
      <c r="FM817" s="60"/>
      <c r="FN817" s="60"/>
      <c r="FO817" s="60"/>
      <c r="FP817" s="60"/>
      <c r="FQ817" s="60"/>
      <c r="FR817" s="60"/>
      <c r="FS817" s="60"/>
      <c r="FT817" s="60"/>
      <c r="FU817" s="60"/>
      <c r="FV817" s="60"/>
      <c r="FW817" s="60"/>
      <c r="FX817" s="60"/>
    </row>
    <row r="818">
      <c r="A818" s="18"/>
      <c r="B818" s="14"/>
      <c r="C818" s="14"/>
      <c r="D818" s="14"/>
      <c r="E818" s="18"/>
      <c r="F818" s="18"/>
      <c r="G818" s="18"/>
      <c r="H818" s="18"/>
      <c r="I818" s="18"/>
      <c r="J818" s="18"/>
      <c r="K818" s="18"/>
      <c r="L818" s="18"/>
      <c r="M818" s="18"/>
      <c r="N818" s="18"/>
      <c r="O818" s="18"/>
      <c r="P818" s="23"/>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26"/>
      <c r="CU818" s="26"/>
      <c r="CV818" s="26"/>
      <c r="CW818" s="26"/>
      <c r="CX818" s="26"/>
      <c r="CY818" s="26"/>
      <c r="CZ818" s="26"/>
      <c r="DA818" s="26"/>
      <c r="DB818" s="26"/>
      <c r="DC818" s="26"/>
      <c r="DD818" s="26"/>
      <c r="DE818" s="26"/>
      <c r="DF818" s="26"/>
      <c r="DG818" s="26"/>
      <c r="DH818" s="26"/>
      <c r="DI818" s="26"/>
      <c r="DJ818" s="26"/>
      <c r="DK818" s="26"/>
      <c r="DL818" s="26"/>
      <c r="DM818" s="26"/>
      <c r="DN818" s="26"/>
      <c r="DO818" s="26"/>
      <c r="DP818" s="26"/>
      <c r="DQ818" s="26"/>
      <c r="DR818" s="26"/>
      <c r="DS818" s="26"/>
      <c r="DT818" s="26"/>
      <c r="DU818" s="26"/>
      <c r="DV818" s="26"/>
      <c r="DW818" s="26"/>
      <c r="DX818" s="26"/>
      <c r="DY818" s="26"/>
      <c r="DZ818" s="26"/>
      <c r="EA818" s="26"/>
      <c r="EB818" s="26"/>
      <c r="EC818" s="26"/>
      <c r="ED818" s="26"/>
      <c r="EE818" s="26"/>
      <c r="EF818" s="26"/>
      <c r="EG818" s="26"/>
      <c r="EH818" s="26"/>
      <c r="EI818" s="26"/>
      <c r="EJ818" s="26"/>
      <c r="EK818" s="26"/>
      <c r="EL818" s="26"/>
      <c r="EM818" s="26"/>
      <c r="EN818" s="26"/>
      <c r="EO818" s="26"/>
      <c r="EP818" s="26"/>
      <c r="EQ818" s="26"/>
      <c r="ER818" s="26"/>
      <c r="ES818" s="26"/>
      <c r="ET818" s="26"/>
      <c r="EU818" s="26"/>
      <c r="EV818" s="26"/>
      <c r="EW818" s="26"/>
      <c r="EX818" s="26"/>
      <c r="EY818" s="26"/>
      <c r="EZ818" s="26"/>
      <c r="FA818" s="60"/>
      <c r="FB818" s="60"/>
      <c r="FC818" s="60"/>
      <c r="FD818" s="60"/>
      <c r="FE818" s="60"/>
      <c r="FF818" s="60"/>
      <c r="FG818" s="60"/>
      <c r="FH818" s="60"/>
      <c r="FI818" s="60"/>
      <c r="FJ818" s="60"/>
      <c r="FK818" s="60"/>
      <c r="FL818" s="60"/>
      <c r="FM818" s="60"/>
      <c r="FN818" s="60"/>
      <c r="FO818" s="60"/>
      <c r="FP818" s="60"/>
      <c r="FQ818" s="60"/>
      <c r="FR818" s="60"/>
      <c r="FS818" s="60"/>
      <c r="FT818" s="60"/>
      <c r="FU818" s="60"/>
      <c r="FV818" s="60"/>
      <c r="FW818" s="60"/>
      <c r="FX818" s="60"/>
    </row>
    <row r="819">
      <c r="A819" s="18"/>
      <c r="B819" s="14"/>
      <c r="C819" s="14"/>
      <c r="D819" s="14"/>
      <c r="E819" s="18"/>
      <c r="F819" s="18"/>
      <c r="G819" s="18"/>
      <c r="H819" s="18"/>
      <c r="I819" s="18"/>
      <c r="J819" s="18"/>
      <c r="K819" s="18"/>
      <c r="L819" s="18"/>
      <c r="M819" s="18"/>
      <c r="N819" s="18"/>
      <c r="O819" s="18"/>
      <c r="P819" s="23"/>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c r="BM819" s="26"/>
      <c r="BN819" s="26"/>
      <c r="BO819" s="26"/>
      <c r="BP819" s="26"/>
      <c r="BQ819" s="26"/>
      <c r="BR819" s="26"/>
      <c r="BS819" s="26"/>
      <c r="BT819" s="26"/>
      <c r="BU819" s="26"/>
      <c r="BV819" s="26"/>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26"/>
      <c r="CU819" s="26"/>
      <c r="CV819" s="26"/>
      <c r="CW819" s="26"/>
      <c r="CX819" s="26"/>
      <c r="CY819" s="26"/>
      <c r="CZ819" s="26"/>
      <c r="DA819" s="26"/>
      <c r="DB819" s="26"/>
      <c r="DC819" s="26"/>
      <c r="DD819" s="26"/>
      <c r="DE819" s="26"/>
      <c r="DF819" s="26"/>
      <c r="DG819" s="26"/>
      <c r="DH819" s="26"/>
      <c r="DI819" s="26"/>
      <c r="DJ819" s="26"/>
      <c r="DK819" s="26"/>
      <c r="DL819" s="26"/>
      <c r="DM819" s="26"/>
      <c r="DN819" s="26"/>
      <c r="DO819" s="26"/>
      <c r="DP819" s="26"/>
      <c r="DQ819" s="26"/>
      <c r="DR819" s="26"/>
      <c r="DS819" s="26"/>
      <c r="DT819" s="26"/>
      <c r="DU819" s="26"/>
      <c r="DV819" s="26"/>
      <c r="DW819" s="26"/>
      <c r="DX819" s="26"/>
      <c r="DY819" s="26"/>
      <c r="DZ819" s="26"/>
      <c r="EA819" s="26"/>
      <c r="EB819" s="26"/>
      <c r="EC819" s="26"/>
      <c r="ED819" s="26"/>
      <c r="EE819" s="26"/>
      <c r="EF819" s="26"/>
      <c r="EG819" s="26"/>
      <c r="EH819" s="26"/>
      <c r="EI819" s="26"/>
      <c r="EJ819" s="26"/>
      <c r="EK819" s="26"/>
      <c r="EL819" s="26"/>
      <c r="EM819" s="26"/>
      <c r="EN819" s="26"/>
      <c r="EO819" s="26"/>
      <c r="EP819" s="26"/>
      <c r="EQ819" s="26"/>
      <c r="ER819" s="26"/>
      <c r="ES819" s="26"/>
      <c r="ET819" s="26"/>
      <c r="EU819" s="26"/>
      <c r="EV819" s="26"/>
      <c r="EW819" s="26"/>
      <c r="EX819" s="26"/>
      <c r="EY819" s="26"/>
      <c r="EZ819" s="26"/>
      <c r="FA819" s="60"/>
      <c r="FB819" s="60"/>
      <c r="FC819" s="60"/>
      <c r="FD819" s="60"/>
      <c r="FE819" s="60"/>
      <c r="FF819" s="60"/>
      <c r="FG819" s="60"/>
      <c r="FH819" s="60"/>
      <c r="FI819" s="60"/>
      <c r="FJ819" s="60"/>
      <c r="FK819" s="60"/>
      <c r="FL819" s="60"/>
      <c r="FM819" s="60"/>
      <c r="FN819" s="60"/>
      <c r="FO819" s="60"/>
      <c r="FP819" s="60"/>
      <c r="FQ819" s="60"/>
      <c r="FR819" s="60"/>
      <c r="FS819" s="60"/>
      <c r="FT819" s="60"/>
      <c r="FU819" s="60"/>
      <c r="FV819" s="60"/>
      <c r="FW819" s="60"/>
      <c r="FX819" s="60"/>
    </row>
    <row r="820">
      <c r="A820" s="18"/>
      <c r="B820" s="14"/>
      <c r="C820" s="14"/>
      <c r="D820" s="14"/>
      <c r="E820" s="18"/>
      <c r="F820" s="18"/>
      <c r="G820" s="18"/>
      <c r="H820" s="18"/>
      <c r="I820" s="18"/>
      <c r="J820" s="18"/>
      <c r="K820" s="18"/>
      <c r="L820" s="18"/>
      <c r="M820" s="18"/>
      <c r="N820" s="18"/>
      <c r="O820" s="18"/>
      <c r="P820" s="23"/>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c r="BO820" s="26"/>
      <c r="BP820" s="26"/>
      <c r="BQ820" s="26"/>
      <c r="BR820" s="26"/>
      <c r="BS820" s="26"/>
      <c r="BT820" s="26"/>
      <c r="BU820" s="26"/>
      <c r="BV820" s="26"/>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26"/>
      <c r="CU820" s="26"/>
      <c r="CV820" s="26"/>
      <c r="CW820" s="26"/>
      <c r="CX820" s="26"/>
      <c r="CY820" s="26"/>
      <c r="CZ820" s="26"/>
      <c r="DA820" s="26"/>
      <c r="DB820" s="26"/>
      <c r="DC820" s="26"/>
      <c r="DD820" s="26"/>
      <c r="DE820" s="26"/>
      <c r="DF820" s="26"/>
      <c r="DG820" s="26"/>
      <c r="DH820" s="26"/>
      <c r="DI820" s="26"/>
      <c r="DJ820" s="26"/>
      <c r="DK820" s="26"/>
      <c r="DL820" s="26"/>
      <c r="DM820" s="26"/>
      <c r="DN820" s="26"/>
      <c r="DO820" s="26"/>
      <c r="DP820" s="26"/>
      <c r="DQ820" s="26"/>
      <c r="DR820" s="26"/>
      <c r="DS820" s="26"/>
      <c r="DT820" s="26"/>
      <c r="DU820" s="26"/>
      <c r="DV820" s="26"/>
      <c r="DW820" s="26"/>
      <c r="DX820" s="26"/>
      <c r="DY820" s="26"/>
      <c r="DZ820" s="26"/>
      <c r="EA820" s="26"/>
      <c r="EB820" s="26"/>
      <c r="EC820" s="26"/>
      <c r="ED820" s="26"/>
      <c r="EE820" s="26"/>
      <c r="EF820" s="26"/>
      <c r="EG820" s="26"/>
      <c r="EH820" s="26"/>
      <c r="EI820" s="26"/>
      <c r="EJ820" s="26"/>
      <c r="EK820" s="26"/>
      <c r="EL820" s="26"/>
      <c r="EM820" s="26"/>
      <c r="EN820" s="26"/>
      <c r="EO820" s="26"/>
      <c r="EP820" s="26"/>
      <c r="EQ820" s="26"/>
      <c r="ER820" s="26"/>
      <c r="ES820" s="26"/>
      <c r="ET820" s="26"/>
      <c r="EU820" s="26"/>
      <c r="EV820" s="26"/>
      <c r="EW820" s="26"/>
      <c r="EX820" s="26"/>
      <c r="EY820" s="26"/>
      <c r="EZ820" s="26"/>
      <c r="FA820" s="60"/>
      <c r="FB820" s="60"/>
      <c r="FC820" s="60"/>
      <c r="FD820" s="60"/>
      <c r="FE820" s="60"/>
      <c r="FF820" s="60"/>
      <c r="FG820" s="60"/>
      <c r="FH820" s="60"/>
      <c r="FI820" s="60"/>
      <c r="FJ820" s="60"/>
      <c r="FK820" s="60"/>
      <c r="FL820" s="60"/>
      <c r="FM820" s="60"/>
      <c r="FN820" s="60"/>
      <c r="FO820" s="60"/>
      <c r="FP820" s="60"/>
      <c r="FQ820" s="60"/>
      <c r="FR820" s="60"/>
      <c r="FS820" s="60"/>
      <c r="FT820" s="60"/>
      <c r="FU820" s="60"/>
      <c r="FV820" s="60"/>
      <c r="FW820" s="60"/>
      <c r="FX820" s="60"/>
    </row>
    <row r="821">
      <c r="A821" s="18"/>
      <c r="B821" s="14"/>
      <c r="C821" s="14"/>
      <c r="D821" s="14"/>
      <c r="E821" s="18"/>
      <c r="F821" s="18"/>
      <c r="G821" s="18"/>
      <c r="H821" s="18"/>
      <c r="I821" s="18"/>
      <c r="J821" s="18"/>
      <c r="K821" s="18"/>
      <c r="L821" s="18"/>
      <c r="M821" s="18"/>
      <c r="N821" s="18"/>
      <c r="O821" s="18"/>
      <c r="P821" s="23"/>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c r="BL821" s="26"/>
      <c r="BM821" s="26"/>
      <c r="BN821" s="26"/>
      <c r="BO821" s="26"/>
      <c r="BP821" s="26"/>
      <c r="BQ821" s="26"/>
      <c r="BR821" s="26"/>
      <c r="BS821" s="26"/>
      <c r="BT821" s="26"/>
      <c r="BU821" s="26"/>
      <c r="BV821" s="26"/>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26"/>
      <c r="CU821" s="26"/>
      <c r="CV821" s="26"/>
      <c r="CW821" s="26"/>
      <c r="CX821" s="26"/>
      <c r="CY821" s="26"/>
      <c r="CZ821" s="26"/>
      <c r="DA821" s="26"/>
      <c r="DB821" s="26"/>
      <c r="DC821" s="26"/>
      <c r="DD821" s="26"/>
      <c r="DE821" s="26"/>
      <c r="DF821" s="26"/>
      <c r="DG821" s="26"/>
      <c r="DH821" s="26"/>
      <c r="DI821" s="26"/>
      <c r="DJ821" s="26"/>
      <c r="DK821" s="26"/>
      <c r="DL821" s="26"/>
      <c r="DM821" s="26"/>
      <c r="DN821" s="26"/>
      <c r="DO821" s="26"/>
      <c r="DP821" s="26"/>
      <c r="DQ821" s="26"/>
      <c r="DR821" s="26"/>
      <c r="DS821" s="26"/>
      <c r="DT821" s="26"/>
      <c r="DU821" s="26"/>
      <c r="DV821" s="26"/>
      <c r="DW821" s="26"/>
      <c r="DX821" s="26"/>
      <c r="DY821" s="26"/>
      <c r="DZ821" s="26"/>
      <c r="EA821" s="26"/>
      <c r="EB821" s="26"/>
      <c r="EC821" s="26"/>
      <c r="ED821" s="26"/>
      <c r="EE821" s="26"/>
      <c r="EF821" s="26"/>
      <c r="EG821" s="26"/>
      <c r="EH821" s="26"/>
      <c r="EI821" s="26"/>
      <c r="EJ821" s="26"/>
      <c r="EK821" s="26"/>
      <c r="EL821" s="26"/>
      <c r="EM821" s="26"/>
      <c r="EN821" s="26"/>
      <c r="EO821" s="26"/>
      <c r="EP821" s="26"/>
      <c r="EQ821" s="26"/>
      <c r="ER821" s="26"/>
      <c r="ES821" s="26"/>
      <c r="ET821" s="26"/>
      <c r="EU821" s="26"/>
      <c r="EV821" s="26"/>
      <c r="EW821" s="26"/>
      <c r="EX821" s="26"/>
      <c r="EY821" s="26"/>
      <c r="EZ821" s="26"/>
      <c r="FA821" s="60"/>
      <c r="FB821" s="60"/>
      <c r="FC821" s="60"/>
      <c r="FD821" s="60"/>
      <c r="FE821" s="60"/>
      <c r="FF821" s="60"/>
      <c r="FG821" s="60"/>
      <c r="FH821" s="60"/>
      <c r="FI821" s="60"/>
      <c r="FJ821" s="60"/>
      <c r="FK821" s="60"/>
      <c r="FL821" s="60"/>
      <c r="FM821" s="60"/>
      <c r="FN821" s="60"/>
      <c r="FO821" s="60"/>
      <c r="FP821" s="60"/>
      <c r="FQ821" s="60"/>
      <c r="FR821" s="60"/>
      <c r="FS821" s="60"/>
      <c r="FT821" s="60"/>
      <c r="FU821" s="60"/>
      <c r="FV821" s="60"/>
      <c r="FW821" s="60"/>
      <c r="FX821" s="60"/>
    </row>
    <row r="822">
      <c r="A822" s="18"/>
      <c r="B822" s="14"/>
      <c r="C822" s="14"/>
      <c r="D822" s="14"/>
      <c r="E822" s="18"/>
      <c r="F822" s="18"/>
      <c r="G822" s="18"/>
      <c r="H822" s="18"/>
      <c r="I822" s="18"/>
      <c r="J822" s="18"/>
      <c r="K822" s="18"/>
      <c r="L822" s="18"/>
      <c r="M822" s="18"/>
      <c r="N822" s="18"/>
      <c r="O822" s="18"/>
      <c r="P822" s="23"/>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c r="BO822" s="26"/>
      <c r="BP822" s="26"/>
      <c r="BQ822" s="26"/>
      <c r="BR822" s="26"/>
      <c r="BS822" s="26"/>
      <c r="BT822" s="26"/>
      <c r="BU822" s="26"/>
      <c r="BV822" s="26"/>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26"/>
      <c r="CU822" s="26"/>
      <c r="CV822" s="26"/>
      <c r="CW822" s="26"/>
      <c r="CX822" s="26"/>
      <c r="CY822" s="26"/>
      <c r="CZ822" s="26"/>
      <c r="DA822" s="26"/>
      <c r="DB822" s="26"/>
      <c r="DC822" s="26"/>
      <c r="DD822" s="26"/>
      <c r="DE822" s="26"/>
      <c r="DF822" s="26"/>
      <c r="DG822" s="26"/>
      <c r="DH822" s="26"/>
      <c r="DI822" s="26"/>
      <c r="DJ822" s="26"/>
      <c r="DK822" s="26"/>
      <c r="DL822" s="26"/>
      <c r="DM822" s="26"/>
      <c r="DN822" s="26"/>
      <c r="DO822" s="26"/>
      <c r="DP822" s="26"/>
      <c r="DQ822" s="26"/>
      <c r="DR822" s="26"/>
      <c r="DS822" s="26"/>
      <c r="DT822" s="26"/>
      <c r="DU822" s="26"/>
      <c r="DV822" s="26"/>
      <c r="DW822" s="26"/>
      <c r="DX822" s="26"/>
      <c r="DY822" s="26"/>
      <c r="DZ822" s="26"/>
      <c r="EA822" s="26"/>
      <c r="EB822" s="26"/>
      <c r="EC822" s="26"/>
      <c r="ED822" s="26"/>
      <c r="EE822" s="26"/>
      <c r="EF822" s="26"/>
      <c r="EG822" s="26"/>
      <c r="EH822" s="26"/>
      <c r="EI822" s="26"/>
      <c r="EJ822" s="26"/>
      <c r="EK822" s="26"/>
      <c r="EL822" s="26"/>
      <c r="EM822" s="26"/>
      <c r="EN822" s="26"/>
      <c r="EO822" s="26"/>
      <c r="EP822" s="26"/>
      <c r="EQ822" s="26"/>
      <c r="ER822" s="26"/>
      <c r="ES822" s="26"/>
      <c r="ET822" s="26"/>
      <c r="EU822" s="26"/>
      <c r="EV822" s="26"/>
      <c r="EW822" s="26"/>
      <c r="EX822" s="26"/>
      <c r="EY822" s="26"/>
      <c r="EZ822" s="26"/>
      <c r="FA822" s="60"/>
      <c r="FB822" s="60"/>
      <c r="FC822" s="60"/>
      <c r="FD822" s="60"/>
      <c r="FE822" s="60"/>
      <c r="FF822" s="60"/>
      <c r="FG822" s="60"/>
      <c r="FH822" s="60"/>
      <c r="FI822" s="60"/>
      <c r="FJ822" s="60"/>
      <c r="FK822" s="60"/>
      <c r="FL822" s="60"/>
      <c r="FM822" s="60"/>
      <c r="FN822" s="60"/>
      <c r="FO822" s="60"/>
      <c r="FP822" s="60"/>
      <c r="FQ822" s="60"/>
      <c r="FR822" s="60"/>
      <c r="FS822" s="60"/>
      <c r="FT822" s="60"/>
      <c r="FU822" s="60"/>
      <c r="FV822" s="60"/>
      <c r="FW822" s="60"/>
      <c r="FX822" s="60"/>
    </row>
    <row r="823">
      <c r="A823" s="18"/>
      <c r="B823" s="14"/>
      <c r="C823" s="14"/>
      <c r="D823" s="14"/>
      <c r="E823" s="18"/>
      <c r="F823" s="18"/>
      <c r="G823" s="18"/>
      <c r="H823" s="18"/>
      <c r="I823" s="18"/>
      <c r="J823" s="18"/>
      <c r="K823" s="18"/>
      <c r="L823" s="18"/>
      <c r="M823" s="18"/>
      <c r="N823" s="18"/>
      <c r="O823" s="18"/>
      <c r="P823" s="23"/>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c r="BM823" s="26"/>
      <c r="BN823" s="26"/>
      <c r="BO823" s="26"/>
      <c r="BP823" s="26"/>
      <c r="BQ823" s="26"/>
      <c r="BR823" s="26"/>
      <c r="BS823" s="26"/>
      <c r="BT823" s="26"/>
      <c r="BU823" s="26"/>
      <c r="BV823" s="26"/>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26"/>
      <c r="CU823" s="26"/>
      <c r="CV823" s="26"/>
      <c r="CW823" s="26"/>
      <c r="CX823" s="26"/>
      <c r="CY823" s="26"/>
      <c r="CZ823" s="26"/>
      <c r="DA823" s="26"/>
      <c r="DB823" s="26"/>
      <c r="DC823" s="26"/>
      <c r="DD823" s="26"/>
      <c r="DE823" s="26"/>
      <c r="DF823" s="26"/>
      <c r="DG823" s="26"/>
      <c r="DH823" s="26"/>
      <c r="DI823" s="26"/>
      <c r="DJ823" s="26"/>
      <c r="DK823" s="26"/>
      <c r="DL823" s="26"/>
      <c r="DM823" s="26"/>
      <c r="DN823" s="26"/>
      <c r="DO823" s="26"/>
      <c r="DP823" s="26"/>
      <c r="DQ823" s="26"/>
      <c r="DR823" s="26"/>
      <c r="DS823" s="26"/>
      <c r="DT823" s="26"/>
      <c r="DU823" s="26"/>
      <c r="DV823" s="26"/>
      <c r="DW823" s="26"/>
      <c r="DX823" s="26"/>
      <c r="DY823" s="26"/>
      <c r="DZ823" s="26"/>
      <c r="EA823" s="26"/>
      <c r="EB823" s="26"/>
      <c r="EC823" s="26"/>
      <c r="ED823" s="26"/>
      <c r="EE823" s="26"/>
      <c r="EF823" s="26"/>
      <c r="EG823" s="26"/>
      <c r="EH823" s="26"/>
      <c r="EI823" s="26"/>
      <c r="EJ823" s="26"/>
      <c r="EK823" s="26"/>
      <c r="EL823" s="26"/>
      <c r="EM823" s="26"/>
      <c r="EN823" s="26"/>
      <c r="EO823" s="26"/>
      <c r="EP823" s="26"/>
      <c r="EQ823" s="26"/>
      <c r="ER823" s="26"/>
      <c r="ES823" s="26"/>
      <c r="ET823" s="26"/>
      <c r="EU823" s="26"/>
      <c r="EV823" s="26"/>
      <c r="EW823" s="26"/>
      <c r="EX823" s="26"/>
      <c r="EY823" s="26"/>
      <c r="EZ823" s="26"/>
      <c r="FA823" s="60"/>
      <c r="FB823" s="60"/>
      <c r="FC823" s="60"/>
      <c r="FD823" s="60"/>
      <c r="FE823" s="60"/>
      <c r="FF823" s="60"/>
      <c r="FG823" s="60"/>
      <c r="FH823" s="60"/>
      <c r="FI823" s="60"/>
      <c r="FJ823" s="60"/>
      <c r="FK823" s="60"/>
      <c r="FL823" s="60"/>
      <c r="FM823" s="60"/>
      <c r="FN823" s="60"/>
      <c r="FO823" s="60"/>
      <c r="FP823" s="60"/>
      <c r="FQ823" s="60"/>
      <c r="FR823" s="60"/>
      <c r="FS823" s="60"/>
      <c r="FT823" s="60"/>
      <c r="FU823" s="60"/>
      <c r="FV823" s="60"/>
      <c r="FW823" s="60"/>
      <c r="FX823" s="60"/>
    </row>
    <row r="824">
      <c r="A824" s="18"/>
      <c r="B824" s="14"/>
      <c r="C824" s="14"/>
      <c r="D824" s="14"/>
      <c r="E824" s="18"/>
      <c r="F824" s="18"/>
      <c r="G824" s="18"/>
      <c r="H824" s="18"/>
      <c r="I824" s="18"/>
      <c r="J824" s="18"/>
      <c r="K824" s="18"/>
      <c r="L824" s="18"/>
      <c r="M824" s="18"/>
      <c r="N824" s="18"/>
      <c r="O824" s="18"/>
      <c r="P824" s="23"/>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c r="BO824" s="26"/>
      <c r="BP824" s="26"/>
      <c r="BQ824" s="26"/>
      <c r="BR824" s="26"/>
      <c r="BS824" s="26"/>
      <c r="BT824" s="26"/>
      <c r="BU824" s="26"/>
      <c r="BV824" s="26"/>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26"/>
      <c r="CU824" s="26"/>
      <c r="CV824" s="26"/>
      <c r="CW824" s="26"/>
      <c r="CX824" s="26"/>
      <c r="CY824" s="26"/>
      <c r="CZ824" s="26"/>
      <c r="DA824" s="26"/>
      <c r="DB824" s="26"/>
      <c r="DC824" s="26"/>
      <c r="DD824" s="26"/>
      <c r="DE824" s="26"/>
      <c r="DF824" s="26"/>
      <c r="DG824" s="26"/>
      <c r="DH824" s="26"/>
      <c r="DI824" s="26"/>
      <c r="DJ824" s="26"/>
      <c r="DK824" s="26"/>
      <c r="DL824" s="26"/>
      <c r="DM824" s="26"/>
      <c r="DN824" s="26"/>
      <c r="DO824" s="26"/>
      <c r="DP824" s="26"/>
      <c r="DQ824" s="26"/>
      <c r="DR824" s="26"/>
      <c r="DS824" s="26"/>
      <c r="DT824" s="26"/>
      <c r="DU824" s="26"/>
      <c r="DV824" s="26"/>
      <c r="DW824" s="26"/>
      <c r="DX824" s="26"/>
      <c r="DY824" s="26"/>
      <c r="DZ824" s="26"/>
      <c r="EA824" s="26"/>
      <c r="EB824" s="26"/>
      <c r="EC824" s="26"/>
      <c r="ED824" s="26"/>
      <c r="EE824" s="26"/>
      <c r="EF824" s="26"/>
      <c r="EG824" s="26"/>
      <c r="EH824" s="26"/>
      <c r="EI824" s="26"/>
      <c r="EJ824" s="26"/>
      <c r="EK824" s="26"/>
      <c r="EL824" s="26"/>
      <c r="EM824" s="26"/>
      <c r="EN824" s="26"/>
      <c r="EO824" s="26"/>
      <c r="EP824" s="26"/>
      <c r="EQ824" s="26"/>
      <c r="ER824" s="26"/>
      <c r="ES824" s="26"/>
      <c r="ET824" s="26"/>
      <c r="EU824" s="26"/>
      <c r="EV824" s="26"/>
      <c r="EW824" s="26"/>
      <c r="EX824" s="26"/>
      <c r="EY824" s="26"/>
      <c r="EZ824" s="26"/>
      <c r="FA824" s="60"/>
      <c r="FB824" s="60"/>
      <c r="FC824" s="60"/>
      <c r="FD824" s="60"/>
      <c r="FE824" s="60"/>
      <c r="FF824" s="60"/>
      <c r="FG824" s="60"/>
      <c r="FH824" s="60"/>
      <c r="FI824" s="60"/>
      <c r="FJ824" s="60"/>
      <c r="FK824" s="60"/>
      <c r="FL824" s="60"/>
      <c r="FM824" s="60"/>
      <c r="FN824" s="60"/>
      <c r="FO824" s="60"/>
      <c r="FP824" s="60"/>
      <c r="FQ824" s="60"/>
      <c r="FR824" s="60"/>
      <c r="FS824" s="60"/>
      <c r="FT824" s="60"/>
      <c r="FU824" s="60"/>
      <c r="FV824" s="60"/>
      <c r="FW824" s="60"/>
      <c r="FX824" s="60"/>
    </row>
    <row r="825">
      <c r="A825" s="18"/>
      <c r="B825" s="14"/>
      <c r="C825" s="14"/>
      <c r="D825" s="14"/>
      <c r="E825" s="18"/>
      <c r="F825" s="18"/>
      <c r="G825" s="18"/>
      <c r="H825" s="18"/>
      <c r="I825" s="18"/>
      <c r="J825" s="18"/>
      <c r="K825" s="18"/>
      <c r="L825" s="18"/>
      <c r="M825" s="18"/>
      <c r="N825" s="18"/>
      <c r="O825" s="18"/>
      <c r="P825" s="23"/>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c r="BL825" s="26"/>
      <c r="BM825" s="26"/>
      <c r="BN825" s="26"/>
      <c r="BO825" s="26"/>
      <c r="BP825" s="26"/>
      <c r="BQ825" s="26"/>
      <c r="BR825" s="26"/>
      <c r="BS825" s="26"/>
      <c r="BT825" s="26"/>
      <c r="BU825" s="26"/>
      <c r="BV825" s="26"/>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26"/>
      <c r="CU825" s="26"/>
      <c r="CV825" s="26"/>
      <c r="CW825" s="26"/>
      <c r="CX825" s="26"/>
      <c r="CY825" s="26"/>
      <c r="CZ825" s="26"/>
      <c r="DA825" s="26"/>
      <c r="DB825" s="26"/>
      <c r="DC825" s="26"/>
      <c r="DD825" s="26"/>
      <c r="DE825" s="26"/>
      <c r="DF825" s="26"/>
      <c r="DG825" s="26"/>
      <c r="DH825" s="26"/>
      <c r="DI825" s="26"/>
      <c r="DJ825" s="26"/>
      <c r="DK825" s="26"/>
      <c r="DL825" s="26"/>
      <c r="DM825" s="26"/>
      <c r="DN825" s="26"/>
      <c r="DO825" s="26"/>
      <c r="DP825" s="26"/>
      <c r="DQ825" s="26"/>
      <c r="DR825" s="26"/>
      <c r="DS825" s="26"/>
      <c r="DT825" s="26"/>
      <c r="DU825" s="26"/>
      <c r="DV825" s="26"/>
      <c r="DW825" s="26"/>
      <c r="DX825" s="26"/>
      <c r="DY825" s="26"/>
      <c r="DZ825" s="26"/>
      <c r="EA825" s="26"/>
      <c r="EB825" s="26"/>
      <c r="EC825" s="26"/>
      <c r="ED825" s="26"/>
      <c r="EE825" s="26"/>
      <c r="EF825" s="26"/>
      <c r="EG825" s="26"/>
      <c r="EH825" s="26"/>
      <c r="EI825" s="26"/>
      <c r="EJ825" s="26"/>
      <c r="EK825" s="26"/>
      <c r="EL825" s="26"/>
      <c r="EM825" s="26"/>
      <c r="EN825" s="26"/>
      <c r="EO825" s="26"/>
      <c r="EP825" s="26"/>
      <c r="EQ825" s="26"/>
      <c r="ER825" s="26"/>
      <c r="ES825" s="26"/>
      <c r="ET825" s="26"/>
      <c r="EU825" s="26"/>
      <c r="EV825" s="26"/>
      <c r="EW825" s="26"/>
      <c r="EX825" s="26"/>
      <c r="EY825" s="26"/>
      <c r="EZ825" s="26"/>
      <c r="FA825" s="60"/>
      <c r="FB825" s="60"/>
      <c r="FC825" s="60"/>
      <c r="FD825" s="60"/>
      <c r="FE825" s="60"/>
      <c r="FF825" s="60"/>
      <c r="FG825" s="60"/>
      <c r="FH825" s="60"/>
      <c r="FI825" s="60"/>
      <c r="FJ825" s="60"/>
      <c r="FK825" s="60"/>
      <c r="FL825" s="60"/>
      <c r="FM825" s="60"/>
      <c r="FN825" s="60"/>
      <c r="FO825" s="60"/>
      <c r="FP825" s="60"/>
      <c r="FQ825" s="60"/>
      <c r="FR825" s="60"/>
      <c r="FS825" s="60"/>
      <c r="FT825" s="60"/>
      <c r="FU825" s="60"/>
      <c r="FV825" s="60"/>
      <c r="FW825" s="60"/>
      <c r="FX825" s="60"/>
    </row>
    <row r="826">
      <c r="A826" s="18"/>
      <c r="B826" s="14"/>
      <c r="C826" s="14"/>
      <c r="D826" s="14"/>
      <c r="E826" s="18"/>
      <c r="F826" s="18"/>
      <c r="G826" s="18"/>
      <c r="H826" s="18"/>
      <c r="I826" s="18"/>
      <c r="J826" s="18"/>
      <c r="K826" s="18"/>
      <c r="L826" s="18"/>
      <c r="M826" s="18"/>
      <c r="N826" s="18"/>
      <c r="O826" s="18"/>
      <c r="P826" s="23"/>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c r="BO826" s="26"/>
      <c r="BP826" s="26"/>
      <c r="BQ826" s="26"/>
      <c r="BR826" s="26"/>
      <c r="BS826" s="26"/>
      <c r="BT826" s="26"/>
      <c r="BU826" s="26"/>
      <c r="BV826" s="26"/>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26"/>
      <c r="CU826" s="26"/>
      <c r="CV826" s="26"/>
      <c r="CW826" s="26"/>
      <c r="CX826" s="26"/>
      <c r="CY826" s="26"/>
      <c r="CZ826" s="26"/>
      <c r="DA826" s="26"/>
      <c r="DB826" s="26"/>
      <c r="DC826" s="26"/>
      <c r="DD826" s="26"/>
      <c r="DE826" s="26"/>
      <c r="DF826" s="26"/>
      <c r="DG826" s="26"/>
      <c r="DH826" s="26"/>
      <c r="DI826" s="26"/>
      <c r="DJ826" s="26"/>
      <c r="DK826" s="26"/>
      <c r="DL826" s="26"/>
      <c r="DM826" s="26"/>
      <c r="DN826" s="26"/>
      <c r="DO826" s="26"/>
      <c r="DP826" s="26"/>
      <c r="DQ826" s="26"/>
      <c r="DR826" s="26"/>
      <c r="DS826" s="26"/>
      <c r="DT826" s="26"/>
      <c r="DU826" s="26"/>
      <c r="DV826" s="26"/>
      <c r="DW826" s="26"/>
      <c r="DX826" s="26"/>
      <c r="DY826" s="26"/>
      <c r="DZ826" s="26"/>
      <c r="EA826" s="26"/>
      <c r="EB826" s="26"/>
      <c r="EC826" s="26"/>
      <c r="ED826" s="26"/>
      <c r="EE826" s="26"/>
      <c r="EF826" s="26"/>
      <c r="EG826" s="26"/>
      <c r="EH826" s="26"/>
      <c r="EI826" s="26"/>
      <c r="EJ826" s="26"/>
      <c r="EK826" s="26"/>
      <c r="EL826" s="26"/>
      <c r="EM826" s="26"/>
      <c r="EN826" s="26"/>
      <c r="EO826" s="26"/>
      <c r="EP826" s="26"/>
      <c r="EQ826" s="26"/>
      <c r="ER826" s="26"/>
      <c r="ES826" s="26"/>
      <c r="ET826" s="26"/>
      <c r="EU826" s="26"/>
      <c r="EV826" s="26"/>
      <c r="EW826" s="26"/>
      <c r="EX826" s="26"/>
      <c r="EY826" s="26"/>
      <c r="EZ826" s="26"/>
      <c r="FA826" s="60"/>
      <c r="FB826" s="60"/>
      <c r="FC826" s="60"/>
      <c r="FD826" s="60"/>
      <c r="FE826" s="60"/>
      <c r="FF826" s="60"/>
      <c r="FG826" s="60"/>
      <c r="FH826" s="60"/>
      <c r="FI826" s="60"/>
      <c r="FJ826" s="60"/>
      <c r="FK826" s="60"/>
      <c r="FL826" s="60"/>
      <c r="FM826" s="60"/>
      <c r="FN826" s="60"/>
      <c r="FO826" s="60"/>
      <c r="FP826" s="60"/>
      <c r="FQ826" s="60"/>
      <c r="FR826" s="60"/>
      <c r="FS826" s="60"/>
      <c r="FT826" s="60"/>
      <c r="FU826" s="60"/>
      <c r="FV826" s="60"/>
      <c r="FW826" s="60"/>
      <c r="FX826" s="60"/>
    </row>
    <row r="827">
      <c r="A827" s="18"/>
      <c r="B827" s="14"/>
      <c r="C827" s="14"/>
      <c r="D827" s="14"/>
      <c r="E827" s="18"/>
      <c r="F827" s="18"/>
      <c r="G827" s="18"/>
      <c r="H827" s="18"/>
      <c r="I827" s="18"/>
      <c r="J827" s="18"/>
      <c r="K827" s="18"/>
      <c r="L827" s="18"/>
      <c r="M827" s="18"/>
      <c r="N827" s="18"/>
      <c r="O827" s="18"/>
      <c r="P827" s="23"/>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c r="BL827" s="26"/>
      <c r="BM827" s="26"/>
      <c r="BN827" s="26"/>
      <c r="BO827" s="26"/>
      <c r="BP827" s="26"/>
      <c r="BQ827" s="26"/>
      <c r="BR827" s="26"/>
      <c r="BS827" s="26"/>
      <c r="BT827" s="26"/>
      <c r="BU827" s="26"/>
      <c r="BV827" s="26"/>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26"/>
      <c r="CU827" s="26"/>
      <c r="CV827" s="26"/>
      <c r="CW827" s="26"/>
      <c r="CX827" s="26"/>
      <c r="CY827" s="26"/>
      <c r="CZ827" s="26"/>
      <c r="DA827" s="26"/>
      <c r="DB827" s="26"/>
      <c r="DC827" s="26"/>
      <c r="DD827" s="26"/>
      <c r="DE827" s="26"/>
      <c r="DF827" s="26"/>
      <c r="DG827" s="26"/>
      <c r="DH827" s="26"/>
      <c r="DI827" s="26"/>
      <c r="DJ827" s="26"/>
      <c r="DK827" s="26"/>
      <c r="DL827" s="26"/>
      <c r="DM827" s="26"/>
      <c r="DN827" s="26"/>
      <c r="DO827" s="26"/>
      <c r="DP827" s="26"/>
      <c r="DQ827" s="26"/>
      <c r="DR827" s="26"/>
      <c r="DS827" s="26"/>
      <c r="DT827" s="26"/>
      <c r="DU827" s="26"/>
      <c r="DV827" s="26"/>
      <c r="DW827" s="26"/>
      <c r="DX827" s="26"/>
      <c r="DY827" s="26"/>
      <c r="DZ827" s="26"/>
      <c r="EA827" s="26"/>
      <c r="EB827" s="26"/>
      <c r="EC827" s="26"/>
      <c r="ED827" s="26"/>
      <c r="EE827" s="26"/>
      <c r="EF827" s="26"/>
      <c r="EG827" s="26"/>
      <c r="EH827" s="26"/>
      <c r="EI827" s="26"/>
      <c r="EJ827" s="26"/>
      <c r="EK827" s="26"/>
      <c r="EL827" s="26"/>
      <c r="EM827" s="26"/>
      <c r="EN827" s="26"/>
      <c r="EO827" s="26"/>
      <c r="EP827" s="26"/>
      <c r="EQ827" s="26"/>
      <c r="ER827" s="26"/>
      <c r="ES827" s="26"/>
      <c r="ET827" s="26"/>
      <c r="EU827" s="26"/>
      <c r="EV827" s="26"/>
      <c r="EW827" s="26"/>
      <c r="EX827" s="26"/>
      <c r="EY827" s="26"/>
      <c r="EZ827" s="26"/>
      <c r="FA827" s="60"/>
      <c r="FB827" s="60"/>
      <c r="FC827" s="60"/>
      <c r="FD827" s="60"/>
      <c r="FE827" s="60"/>
      <c r="FF827" s="60"/>
      <c r="FG827" s="60"/>
      <c r="FH827" s="60"/>
      <c r="FI827" s="60"/>
      <c r="FJ827" s="60"/>
      <c r="FK827" s="60"/>
      <c r="FL827" s="60"/>
      <c r="FM827" s="60"/>
      <c r="FN827" s="60"/>
      <c r="FO827" s="60"/>
      <c r="FP827" s="60"/>
      <c r="FQ827" s="60"/>
      <c r="FR827" s="60"/>
      <c r="FS827" s="60"/>
      <c r="FT827" s="60"/>
      <c r="FU827" s="60"/>
      <c r="FV827" s="60"/>
      <c r="FW827" s="60"/>
      <c r="FX827" s="60"/>
    </row>
    <row r="828">
      <c r="A828" s="18"/>
      <c r="B828" s="14"/>
      <c r="C828" s="14"/>
      <c r="D828" s="14"/>
      <c r="E828" s="18"/>
      <c r="F828" s="18"/>
      <c r="G828" s="18"/>
      <c r="H828" s="18"/>
      <c r="I828" s="18"/>
      <c r="J828" s="18"/>
      <c r="K828" s="18"/>
      <c r="L828" s="18"/>
      <c r="M828" s="18"/>
      <c r="N828" s="18"/>
      <c r="O828" s="18"/>
      <c r="P828" s="23"/>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c r="BO828" s="26"/>
      <c r="BP828" s="26"/>
      <c r="BQ828" s="26"/>
      <c r="BR828" s="26"/>
      <c r="BS828" s="26"/>
      <c r="BT828" s="26"/>
      <c r="BU828" s="26"/>
      <c r="BV828" s="26"/>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26"/>
      <c r="CU828" s="26"/>
      <c r="CV828" s="26"/>
      <c r="CW828" s="26"/>
      <c r="CX828" s="26"/>
      <c r="CY828" s="26"/>
      <c r="CZ828" s="26"/>
      <c r="DA828" s="26"/>
      <c r="DB828" s="26"/>
      <c r="DC828" s="26"/>
      <c r="DD828" s="26"/>
      <c r="DE828" s="26"/>
      <c r="DF828" s="26"/>
      <c r="DG828" s="26"/>
      <c r="DH828" s="26"/>
      <c r="DI828" s="26"/>
      <c r="DJ828" s="26"/>
      <c r="DK828" s="26"/>
      <c r="DL828" s="26"/>
      <c r="DM828" s="26"/>
      <c r="DN828" s="26"/>
      <c r="DO828" s="26"/>
      <c r="DP828" s="26"/>
      <c r="DQ828" s="26"/>
      <c r="DR828" s="26"/>
      <c r="DS828" s="26"/>
      <c r="DT828" s="26"/>
      <c r="DU828" s="26"/>
      <c r="DV828" s="26"/>
      <c r="DW828" s="26"/>
      <c r="DX828" s="26"/>
      <c r="DY828" s="26"/>
      <c r="DZ828" s="26"/>
      <c r="EA828" s="26"/>
      <c r="EB828" s="26"/>
      <c r="EC828" s="26"/>
      <c r="ED828" s="26"/>
      <c r="EE828" s="26"/>
      <c r="EF828" s="26"/>
      <c r="EG828" s="26"/>
      <c r="EH828" s="26"/>
      <c r="EI828" s="26"/>
      <c r="EJ828" s="26"/>
      <c r="EK828" s="26"/>
      <c r="EL828" s="26"/>
      <c r="EM828" s="26"/>
      <c r="EN828" s="26"/>
      <c r="EO828" s="26"/>
      <c r="EP828" s="26"/>
      <c r="EQ828" s="26"/>
      <c r="ER828" s="26"/>
      <c r="ES828" s="26"/>
      <c r="ET828" s="26"/>
      <c r="EU828" s="26"/>
      <c r="EV828" s="26"/>
      <c r="EW828" s="26"/>
      <c r="EX828" s="26"/>
      <c r="EY828" s="26"/>
      <c r="EZ828" s="26"/>
      <c r="FA828" s="60"/>
      <c r="FB828" s="60"/>
      <c r="FC828" s="60"/>
      <c r="FD828" s="60"/>
      <c r="FE828" s="60"/>
      <c r="FF828" s="60"/>
      <c r="FG828" s="60"/>
      <c r="FH828" s="60"/>
      <c r="FI828" s="60"/>
      <c r="FJ828" s="60"/>
      <c r="FK828" s="60"/>
      <c r="FL828" s="60"/>
      <c r="FM828" s="60"/>
      <c r="FN828" s="60"/>
      <c r="FO828" s="60"/>
      <c r="FP828" s="60"/>
      <c r="FQ828" s="60"/>
      <c r="FR828" s="60"/>
      <c r="FS828" s="60"/>
      <c r="FT828" s="60"/>
      <c r="FU828" s="60"/>
      <c r="FV828" s="60"/>
      <c r="FW828" s="60"/>
      <c r="FX828" s="60"/>
    </row>
    <row r="829">
      <c r="A829" s="18"/>
      <c r="B829" s="14"/>
      <c r="C829" s="14"/>
      <c r="D829" s="14"/>
      <c r="E829" s="18"/>
      <c r="F829" s="18"/>
      <c r="G829" s="18"/>
      <c r="H829" s="18"/>
      <c r="I829" s="18"/>
      <c r="J829" s="18"/>
      <c r="K829" s="18"/>
      <c r="L829" s="18"/>
      <c r="M829" s="18"/>
      <c r="N829" s="18"/>
      <c r="O829" s="18"/>
      <c r="P829" s="23"/>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c r="BL829" s="26"/>
      <c r="BM829" s="26"/>
      <c r="BN829" s="26"/>
      <c r="BO829" s="26"/>
      <c r="BP829" s="26"/>
      <c r="BQ829" s="26"/>
      <c r="BR829" s="26"/>
      <c r="BS829" s="26"/>
      <c r="BT829" s="26"/>
      <c r="BU829" s="26"/>
      <c r="BV829" s="26"/>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26"/>
      <c r="CU829" s="26"/>
      <c r="CV829" s="26"/>
      <c r="CW829" s="26"/>
      <c r="CX829" s="26"/>
      <c r="CY829" s="26"/>
      <c r="CZ829" s="26"/>
      <c r="DA829" s="26"/>
      <c r="DB829" s="26"/>
      <c r="DC829" s="26"/>
      <c r="DD829" s="26"/>
      <c r="DE829" s="26"/>
      <c r="DF829" s="26"/>
      <c r="DG829" s="26"/>
      <c r="DH829" s="26"/>
      <c r="DI829" s="26"/>
      <c r="DJ829" s="26"/>
      <c r="DK829" s="26"/>
      <c r="DL829" s="26"/>
      <c r="DM829" s="26"/>
      <c r="DN829" s="26"/>
      <c r="DO829" s="26"/>
      <c r="DP829" s="26"/>
      <c r="DQ829" s="26"/>
      <c r="DR829" s="26"/>
      <c r="DS829" s="26"/>
      <c r="DT829" s="26"/>
      <c r="DU829" s="26"/>
      <c r="DV829" s="26"/>
      <c r="DW829" s="26"/>
      <c r="DX829" s="26"/>
      <c r="DY829" s="26"/>
      <c r="DZ829" s="26"/>
      <c r="EA829" s="26"/>
      <c r="EB829" s="26"/>
      <c r="EC829" s="26"/>
      <c r="ED829" s="26"/>
      <c r="EE829" s="26"/>
      <c r="EF829" s="26"/>
      <c r="EG829" s="26"/>
      <c r="EH829" s="26"/>
      <c r="EI829" s="26"/>
      <c r="EJ829" s="26"/>
      <c r="EK829" s="26"/>
      <c r="EL829" s="26"/>
      <c r="EM829" s="26"/>
      <c r="EN829" s="26"/>
      <c r="EO829" s="26"/>
      <c r="EP829" s="26"/>
      <c r="EQ829" s="26"/>
      <c r="ER829" s="26"/>
      <c r="ES829" s="26"/>
      <c r="ET829" s="26"/>
      <c r="EU829" s="26"/>
      <c r="EV829" s="26"/>
      <c r="EW829" s="26"/>
      <c r="EX829" s="26"/>
      <c r="EY829" s="26"/>
      <c r="EZ829" s="26"/>
      <c r="FA829" s="60"/>
      <c r="FB829" s="60"/>
      <c r="FC829" s="60"/>
      <c r="FD829" s="60"/>
      <c r="FE829" s="60"/>
      <c r="FF829" s="60"/>
      <c r="FG829" s="60"/>
      <c r="FH829" s="60"/>
      <c r="FI829" s="60"/>
      <c r="FJ829" s="60"/>
      <c r="FK829" s="60"/>
      <c r="FL829" s="60"/>
      <c r="FM829" s="60"/>
      <c r="FN829" s="60"/>
      <c r="FO829" s="60"/>
      <c r="FP829" s="60"/>
      <c r="FQ829" s="60"/>
      <c r="FR829" s="60"/>
      <c r="FS829" s="60"/>
      <c r="FT829" s="60"/>
      <c r="FU829" s="60"/>
      <c r="FV829" s="60"/>
      <c r="FW829" s="60"/>
      <c r="FX829" s="60"/>
    </row>
    <row r="830">
      <c r="A830" s="18"/>
      <c r="B830" s="14"/>
      <c r="C830" s="14"/>
      <c r="D830" s="14"/>
      <c r="E830" s="18"/>
      <c r="F830" s="18"/>
      <c r="G830" s="18"/>
      <c r="H830" s="18"/>
      <c r="I830" s="18"/>
      <c r="J830" s="18"/>
      <c r="K830" s="18"/>
      <c r="L830" s="18"/>
      <c r="M830" s="18"/>
      <c r="N830" s="18"/>
      <c r="O830" s="18"/>
      <c r="P830" s="23"/>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c r="BO830" s="26"/>
      <c r="BP830" s="26"/>
      <c r="BQ830" s="26"/>
      <c r="BR830" s="26"/>
      <c r="BS830" s="26"/>
      <c r="BT830" s="26"/>
      <c r="BU830" s="26"/>
      <c r="BV830" s="26"/>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26"/>
      <c r="CU830" s="26"/>
      <c r="CV830" s="26"/>
      <c r="CW830" s="26"/>
      <c r="CX830" s="26"/>
      <c r="CY830" s="26"/>
      <c r="CZ830" s="26"/>
      <c r="DA830" s="26"/>
      <c r="DB830" s="26"/>
      <c r="DC830" s="26"/>
      <c r="DD830" s="26"/>
      <c r="DE830" s="26"/>
      <c r="DF830" s="26"/>
      <c r="DG830" s="26"/>
      <c r="DH830" s="26"/>
      <c r="DI830" s="26"/>
      <c r="DJ830" s="26"/>
      <c r="DK830" s="26"/>
      <c r="DL830" s="26"/>
      <c r="DM830" s="26"/>
      <c r="DN830" s="26"/>
      <c r="DO830" s="26"/>
      <c r="DP830" s="26"/>
      <c r="DQ830" s="26"/>
      <c r="DR830" s="26"/>
      <c r="DS830" s="26"/>
      <c r="DT830" s="26"/>
      <c r="DU830" s="26"/>
      <c r="DV830" s="26"/>
      <c r="DW830" s="26"/>
      <c r="DX830" s="26"/>
      <c r="DY830" s="26"/>
      <c r="DZ830" s="26"/>
      <c r="EA830" s="26"/>
      <c r="EB830" s="26"/>
      <c r="EC830" s="26"/>
      <c r="ED830" s="26"/>
      <c r="EE830" s="26"/>
      <c r="EF830" s="26"/>
      <c r="EG830" s="26"/>
      <c r="EH830" s="26"/>
      <c r="EI830" s="26"/>
      <c r="EJ830" s="26"/>
      <c r="EK830" s="26"/>
      <c r="EL830" s="26"/>
      <c r="EM830" s="26"/>
      <c r="EN830" s="26"/>
      <c r="EO830" s="26"/>
      <c r="EP830" s="26"/>
      <c r="EQ830" s="26"/>
      <c r="ER830" s="26"/>
      <c r="ES830" s="26"/>
      <c r="ET830" s="26"/>
      <c r="EU830" s="26"/>
      <c r="EV830" s="26"/>
      <c r="EW830" s="26"/>
      <c r="EX830" s="26"/>
      <c r="EY830" s="26"/>
      <c r="EZ830" s="26"/>
      <c r="FA830" s="60"/>
      <c r="FB830" s="60"/>
      <c r="FC830" s="60"/>
      <c r="FD830" s="60"/>
      <c r="FE830" s="60"/>
      <c r="FF830" s="60"/>
      <c r="FG830" s="60"/>
      <c r="FH830" s="60"/>
      <c r="FI830" s="60"/>
      <c r="FJ830" s="60"/>
      <c r="FK830" s="60"/>
      <c r="FL830" s="60"/>
      <c r="FM830" s="60"/>
      <c r="FN830" s="60"/>
      <c r="FO830" s="60"/>
      <c r="FP830" s="60"/>
      <c r="FQ830" s="60"/>
      <c r="FR830" s="60"/>
      <c r="FS830" s="60"/>
      <c r="FT830" s="60"/>
      <c r="FU830" s="60"/>
      <c r="FV830" s="60"/>
      <c r="FW830" s="60"/>
      <c r="FX830" s="60"/>
    </row>
    <row r="831">
      <c r="A831" s="18"/>
      <c r="B831" s="14"/>
      <c r="C831" s="14"/>
      <c r="D831" s="14"/>
      <c r="E831" s="18"/>
      <c r="F831" s="18"/>
      <c r="G831" s="18"/>
      <c r="H831" s="18"/>
      <c r="I831" s="18"/>
      <c r="J831" s="18"/>
      <c r="K831" s="18"/>
      <c r="L831" s="18"/>
      <c r="M831" s="18"/>
      <c r="N831" s="18"/>
      <c r="O831" s="18"/>
      <c r="P831" s="23"/>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c r="BM831" s="26"/>
      <c r="BN831" s="26"/>
      <c r="BO831" s="26"/>
      <c r="BP831" s="26"/>
      <c r="BQ831" s="26"/>
      <c r="BR831" s="26"/>
      <c r="BS831" s="26"/>
      <c r="BT831" s="26"/>
      <c r="BU831" s="26"/>
      <c r="BV831" s="26"/>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26"/>
      <c r="CU831" s="26"/>
      <c r="CV831" s="26"/>
      <c r="CW831" s="26"/>
      <c r="CX831" s="26"/>
      <c r="CY831" s="26"/>
      <c r="CZ831" s="26"/>
      <c r="DA831" s="26"/>
      <c r="DB831" s="26"/>
      <c r="DC831" s="26"/>
      <c r="DD831" s="26"/>
      <c r="DE831" s="26"/>
      <c r="DF831" s="26"/>
      <c r="DG831" s="26"/>
      <c r="DH831" s="26"/>
      <c r="DI831" s="26"/>
      <c r="DJ831" s="26"/>
      <c r="DK831" s="26"/>
      <c r="DL831" s="26"/>
      <c r="DM831" s="26"/>
      <c r="DN831" s="26"/>
      <c r="DO831" s="26"/>
      <c r="DP831" s="26"/>
      <c r="DQ831" s="26"/>
      <c r="DR831" s="26"/>
      <c r="DS831" s="26"/>
      <c r="DT831" s="26"/>
      <c r="DU831" s="26"/>
      <c r="DV831" s="26"/>
      <c r="DW831" s="26"/>
      <c r="DX831" s="26"/>
      <c r="DY831" s="26"/>
      <c r="DZ831" s="26"/>
      <c r="EA831" s="26"/>
      <c r="EB831" s="26"/>
      <c r="EC831" s="26"/>
      <c r="ED831" s="26"/>
      <c r="EE831" s="26"/>
      <c r="EF831" s="26"/>
      <c r="EG831" s="26"/>
      <c r="EH831" s="26"/>
      <c r="EI831" s="26"/>
      <c r="EJ831" s="26"/>
      <c r="EK831" s="26"/>
      <c r="EL831" s="26"/>
      <c r="EM831" s="26"/>
      <c r="EN831" s="26"/>
      <c r="EO831" s="26"/>
      <c r="EP831" s="26"/>
      <c r="EQ831" s="26"/>
      <c r="ER831" s="26"/>
      <c r="ES831" s="26"/>
      <c r="ET831" s="26"/>
      <c r="EU831" s="26"/>
      <c r="EV831" s="26"/>
      <c r="EW831" s="26"/>
      <c r="EX831" s="26"/>
      <c r="EY831" s="26"/>
      <c r="EZ831" s="26"/>
      <c r="FA831" s="60"/>
      <c r="FB831" s="60"/>
      <c r="FC831" s="60"/>
      <c r="FD831" s="60"/>
      <c r="FE831" s="60"/>
      <c r="FF831" s="60"/>
      <c r="FG831" s="60"/>
      <c r="FH831" s="60"/>
      <c r="FI831" s="60"/>
      <c r="FJ831" s="60"/>
      <c r="FK831" s="60"/>
      <c r="FL831" s="60"/>
      <c r="FM831" s="60"/>
      <c r="FN831" s="60"/>
      <c r="FO831" s="60"/>
      <c r="FP831" s="60"/>
      <c r="FQ831" s="60"/>
      <c r="FR831" s="60"/>
      <c r="FS831" s="60"/>
      <c r="FT831" s="60"/>
      <c r="FU831" s="60"/>
      <c r="FV831" s="60"/>
      <c r="FW831" s="60"/>
      <c r="FX831" s="60"/>
    </row>
    <row r="832">
      <c r="A832" s="18"/>
      <c r="B832" s="14"/>
      <c r="C832" s="14"/>
      <c r="D832" s="14"/>
      <c r="E832" s="18"/>
      <c r="F832" s="18"/>
      <c r="G832" s="18"/>
      <c r="H832" s="18"/>
      <c r="I832" s="18"/>
      <c r="J832" s="18"/>
      <c r="K832" s="18"/>
      <c r="L832" s="18"/>
      <c r="M832" s="18"/>
      <c r="N832" s="18"/>
      <c r="O832" s="18"/>
      <c r="P832" s="23"/>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c r="BO832" s="26"/>
      <c r="BP832" s="26"/>
      <c r="BQ832" s="26"/>
      <c r="BR832" s="26"/>
      <c r="BS832" s="26"/>
      <c r="BT832" s="26"/>
      <c r="BU832" s="26"/>
      <c r="BV832" s="26"/>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26"/>
      <c r="CU832" s="26"/>
      <c r="CV832" s="26"/>
      <c r="CW832" s="26"/>
      <c r="CX832" s="26"/>
      <c r="CY832" s="26"/>
      <c r="CZ832" s="26"/>
      <c r="DA832" s="26"/>
      <c r="DB832" s="26"/>
      <c r="DC832" s="26"/>
      <c r="DD832" s="26"/>
      <c r="DE832" s="26"/>
      <c r="DF832" s="26"/>
      <c r="DG832" s="26"/>
      <c r="DH832" s="26"/>
      <c r="DI832" s="26"/>
      <c r="DJ832" s="26"/>
      <c r="DK832" s="26"/>
      <c r="DL832" s="26"/>
      <c r="DM832" s="26"/>
      <c r="DN832" s="26"/>
      <c r="DO832" s="26"/>
      <c r="DP832" s="26"/>
      <c r="DQ832" s="26"/>
      <c r="DR832" s="26"/>
      <c r="DS832" s="26"/>
      <c r="DT832" s="26"/>
      <c r="DU832" s="26"/>
      <c r="DV832" s="26"/>
      <c r="DW832" s="26"/>
      <c r="DX832" s="26"/>
      <c r="DY832" s="26"/>
      <c r="DZ832" s="26"/>
      <c r="EA832" s="26"/>
      <c r="EB832" s="26"/>
      <c r="EC832" s="26"/>
      <c r="ED832" s="26"/>
      <c r="EE832" s="26"/>
      <c r="EF832" s="26"/>
      <c r="EG832" s="26"/>
      <c r="EH832" s="26"/>
      <c r="EI832" s="26"/>
      <c r="EJ832" s="26"/>
      <c r="EK832" s="26"/>
      <c r="EL832" s="26"/>
      <c r="EM832" s="26"/>
      <c r="EN832" s="26"/>
      <c r="EO832" s="26"/>
      <c r="EP832" s="26"/>
      <c r="EQ832" s="26"/>
      <c r="ER832" s="26"/>
      <c r="ES832" s="26"/>
      <c r="ET832" s="26"/>
      <c r="EU832" s="26"/>
      <c r="EV832" s="26"/>
      <c r="EW832" s="26"/>
      <c r="EX832" s="26"/>
      <c r="EY832" s="26"/>
      <c r="EZ832" s="26"/>
      <c r="FA832" s="60"/>
      <c r="FB832" s="60"/>
      <c r="FC832" s="60"/>
      <c r="FD832" s="60"/>
      <c r="FE832" s="60"/>
      <c r="FF832" s="60"/>
      <c r="FG832" s="60"/>
      <c r="FH832" s="60"/>
      <c r="FI832" s="60"/>
      <c r="FJ832" s="60"/>
      <c r="FK832" s="60"/>
      <c r="FL832" s="60"/>
      <c r="FM832" s="60"/>
      <c r="FN832" s="60"/>
      <c r="FO832" s="60"/>
      <c r="FP832" s="60"/>
      <c r="FQ832" s="60"/>
      <c r="FR832" s="60"/>
      <c r="FS832" s="60"/>
      <c r="FT832" s="60"/>
      <c r="FU832" s="60"/>
      <c r="FV832" s="60"/>
      <c r="FW832" s="60"/>
      <c r="FX832" s="60"/>
    </row>
    <row r="833">
      <c r="A833" s="18"/>
      <c r="B833" s="14"/>
      <c r="C833" s="14"/>
      <c r="D833" s="14"/>
      <c r="E833" s="18"/>
      <c r="F833" s="18"/>
      <c r="G833" s="18"/>
      <c r="H833" s="18"/>
      <c r="I833" s="18"/>
      <c r="J833" s="18"/>
      <c r="K833" s="18"/>
      <c r="L833" s="18"/>
      <c r="M833" s="18"/>
      <c r="N833" s="18"/>
      <c r="O833" s="18"/>
      <c r="P833" s="23"/>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c r="BL833" s="26"/>
      <c r="BM833" s="26"/>
      <c r="BN833" s="26"/>
      <c r="BO833" s="26"/>
      <c r="BP833" s="26"/>
      <c r="BQ833" s="26"/>
      <c r="BR833" s="26"/>
      <c r="BS833" s="26"/>
      <c r="BT833" s="26"/>
      <c r="BU833" s="26"/>
      <c r="BV833" s="26"/>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26"/>
      <c r="CU833" s="26"/>
      <c r="CV833" s="26"/>
      <c r="CW833" s="26"/>
      <c r="CX833" s="26"/>
      <c r="CY833" s="26"/>
      <c r="CZ833" s="26"/>
      <c r="DA833" s="26"/>
      <c r="DB833" s="26"/>
      <c r="DC833" s="26"/>
      <c r="DD833" s="26"/>
      <c r="DE833" s="26"/>
      <c r="DF833" s="26"/>
      <c r="DG833" s="26"/>
      <c r="DH833" s="26"/>
      <c r="DI833" s="26"/>
      <c r="DJ833" s="26"/>
      <c r="DK833" s="26"/>
      <c r="DL833" s="26"/>
      <c r="DM833" s="26"/>
      <c r="DN833" s="26"/>
      <c r="DO833" s="26"/>
      <c r="DP833" s="26"/>
      <c r="DQ833" s="26"/>
      <c r="DR833" s="26"/>
      <c r="DS833" s="26"/>
      <c r="DT833" s="26"/>
      <c r="DU833" s="26"/>
      <c r="DV833" s="26"/>
      <c r="DW833" s="26"/>
      <c r="DX833" s="26"/>
      <c r="DY833" s="26"/>
      <c r="DZ833" s="26"/>
      <c r="EA833" s="26"/>
      <c r="EB833" s="26"/>
      <c r="EC833" s="26"/>
      <c r="ED833" s="26"/>
      <c r="EE833" s="26"/>
      <c r="EF833" s="26"/>
      <c r="EG833" s="26"/>
      <c r="EH833" s="26"/>
      <c r="EI833" s="26"/>
      <c r="EJ833" s="26"/>
      <c r="EK833" s="26"/>
      <c r="EL833" s="26"/>
      <c r="EM833" s="26"/>
      <c r="EN833" s="26"/>
      <c r="EO833" s="26"/>
      <c r="EP833" s="26"/>
      <c r="EQ833" s="26"/>
      <c r="ER833" s="26"/>
      <c r="ES833" s="26"/>
      <c r="ET833" s="26"/>
      <c r="EU833" s="26"/>
      <c r="EV833" s="26"/>
      <c r="EW833" s="26"/>
      <c r="EX833" s="26"/>
      <c r="EY833" s="26"/>
      <c r="EZ833" s="26"/>
      <c r="FA833" s="60"/>
      <c r="FB833" s="60"/>
      <c r="FC833" s="60"/>
      <c r="FD833" s="60"/>
      <c r="FE833" s="60"/>
      <c r="FF833" s="60"/>
      <c r="FG833" s="60"/>
      <c r="FH833" s="60"/>
      <c r="FI833" s="60"/>
      <c r="FJ833" s="60"/>
      <c r="FK833" s="60"/>
      <c r="FL833" s="60"/>
      <c r="FM833" s="60"/>
      <c r="FN833" s="60"/>
      <c r="FO833" s="60"/>
      <c r="FP833" s="60"/>
      <c r="FQ833" s="60"/>
      <c r="FR833" s="60"/>
      <c r="FS833" s="60"/>
      <c r="FT833" s="60"/>
      <c r="FU833" s="60"/>
      <c r="FV833" s="60"/>
      <c r="FW833" s="60"/>
      <c r="FX833" s="60"/>
    </row>
    <row r="834">
      <c r="A834" s="18"/>
      <c r="B834" s="14"/>
      <c r="C834" s="14"/>
      <c r="D834" s="14"/>
      <c r="E834" s="18"/>
      <c r="F834" s="18"/>
      <c r="G834" s="18"/>
      <c r="H834" s="18"/>
      <c r="I834" s="18"/>
      <c r="J834" s="18"/>
      <c r="K834" s="18"/>
      <c r="L834" s="18"/>
      <c r="M834" s="18"/>
      <c r="N834" s="18"/>
      <c r="O834" s="18"/>
      <c r="P834" s="23"/>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c r="BO834" s="26"/>
      <c r="BP834" s="26"/>
      <c r="BQ834" s="26"/>
      <c r="BR834" s="26"/>
      <c r="BS834" s="26"/>
      <c r="BT834" s="26"/>
      <c r="BU834" s="26"/>
      <c r="BV834" s="26"/>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26"/>
      <c r="CU834" s="26"/>
      <c r="CV834" s="26"/>
      <c r="CW834" s="26"/>
      <c r="CX834" s="26"/>
      <c r="CY834" s="26"/>
      <c r="CZ834" s="26"/>
      <c r="DA834" s="26"/>
      <c r="DB834" s="26"/>
      <c r="DC834" s="26"/>
      <c r="DD834" s="26"/>
      <c r="DE834" s="26"/>
      <c r="DF834" s="26"/>
      <c r="DG834" s="26"/>
      <c r="DH834" s="26"/>
      <c r="DI834" s="26"/>
      <c r="DJ834" s="26"/>
      <c r="DK834" s="26"/>
      <c r="DL834" s="26"/>
      <c r="DM834" s="26"/>
      <c r="DN834" s="26"/>
      <c r="DO834" s="26"/>
      <c r="DP834" s="26"/>
      <c r="DQ834" s="26"/>
      <c r="DR834" s="26"/>
      <c r="DS834" s="26"/>
      <c r="DT834" s="26"/>
      <c r="DU834" s="26"/>
      <c r="DV834" s="26"/>
      <c r="DW834" s="26"/>
      <c r="DX834" s="26"/>
      <c r="DY834" s="26"/>
      <c r="DZ834" s="26"/>
      <c r="EA834" s="26"/>
      <c r="EB834" s="26"/>
      <c r="EC834" s="26"/>
      <c r="ED834" s="26"/>
      <c r="EE834" s="26"/>
      <c r="EF834" s="26"/>
      <c r="EG834" s="26"/>
      <c r="EH834" s="26"/>
      <c r="EI834" s="26"/>
      <c r="EJ834" s="26"/>
      <c r="EK834" s="26"/>
      <c r="EL834" s="26"/>
      <c r="EM834" s="26"/>
      <c r="EN834" s="26"/>
      <c r="EO834" s="26"/>
      <c r="EP834" s="26"/>
      <c r="EQ834" s="26"/>
      <c r="ER834" s="26"/>
      <c r="ES834" s="26"/>
      <c r="ET834" s="26"/>
      <c r="EU834" s="26"/>
      <c r="EV834" s="26"/>
      <c r="EW834" s="26"/>
      <c r="EX834" s="26"/>
      <c r="EY834" s="26"/>
      <c r="EZ834" s="26"/>
      <c r="FA834" s="60"/>
      <c r="FB834" s="60"/>
      <c r="FC834" s="60"/>
      <c r="FD834" s="60"/>
      <c r="FE834" s="60"/>
      <c r="FF834" s="60"/>
      <c r="FG834" s="60"/>
      <c r="FH834" s="60"/>
      <c r="FI834" s="60"/>
      <c r="FJ834" s="60"/>
      <c r="FK834" s="60"/>
      <c r="FL834" s="60"/>
      <c r="FM834" s="60"/>
      <c r="FN834" s="60"/>
      <c r="FO834" s="60"/>
      <c r="FP834" s="60"/>
      <c r="FQ834" s="60"/>
      <c r="FR834" s="60"/>
      <c r="FS834" s="60"/>
      <c r="FT834" s="60"/>
      <c r="FU834" s="60"/>
      <c r="FV834" s="60"/>
      <c r="FW834" s="60"/>
      <c r="FX834" s="60"/>
    </row>
    <row r="835">
      <c r="A835" s="18"/>
      <c r="B835" s="14"/>
      <c r="C835" s="14"/>
      <c r="D835" s="14"/>
      <c r="E835" s="18"/>
      <c r="F835" s="18"/>
      <c r="G835" s="18"/>
      <c r="H835" s="18"/>
      <c r="I835" s="18"/>
      <c r="J835" s="18"/>
      <c r="K835" s="18"/>
      <c r="L835" s="18"/>
      <c r="M835" s="18"/>
      <c r="N835" s="18"/>
      <c r="O835" s="18"/>
      <c r="P835" s="23"/>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c r="BL835" s="26"/>
      <c r="BM835" s="26"/>
      <c r="BN835" s="26"/>
      <c r="BO835" s="26"/>
      <c r="BP835" s="26"/>
      <c r="BQ835" s="26"/>
      <c r="BR835" s="26"/>
      <c r="BS835" s="26"/>
      <c r="BT835" s="26"/>
      <c r="BU835" s="26"/>
      <c r="BV835" s="26"/>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26"/>
      <c r="CU835" s="26"/>
      <c r="CV835" s="26"/>
      <c r="CW835" s="26"/>
      <c r="CX835" s="26"/>
      <c r="CY835" s="26"/>
      <c r="CZ835" s="26"/>
      <c r="DA835" s="26"/>
      <c r="DB835" s="26"/>
      <c r="DC835" s="26"/>
      <c r="DD835" s="26"/>
      <c r="DE835" s="26"/>
      <c r="DF835" s="26"/>
      <c r="DG835" s="26"/>
      <c r="DH835" s="26"/>
      <c r="DI835" s="26"/>
      <c r="DJ835" s="26"/>
      <c r="DK835" s="26"/>
      <c r="DL835" s="26"/>
      <c r="DM835" s="26"/>
      <c r="DN835" s="26"/>
      <c r="DO835" s="26"/>
      <c r="DP835" s="26"/>
      <c r="DQ835" s="26"/>
      <c r="DR835" s="26"/>
      <c r="DS835" s="26"/>
      <c r="DT835" s="26"/>
      <c r="DU835" s="26"/>
      <c r="DV835" s="26"/>
      <c r="DW835" s="26"/>
      <c r="DX835" s="26"/>
      <c r="DY835" s="26"/>
      <c r="DZ835" s="26"/>
      <c r="EA835" s="26"/>
      <c r="EB835" s="26"/>
      <c r="EC835" s="26"/>
      <c r="ED835" s="26"/>
      <c r="EE835" s="26"/>
      <c r="EF835" s="26"/>
      <c r="EG835" s="26"/>
      <c r="EH835" s="26"/>
      <c r="EI835" s="26"/>
      <c r="EJ835" s="26"/>
      <c r="EK835" s="26"/>
      <c r="EL835" s="26"/>
      <c r="EM835" s="26"/>
      <c r="EN835" s="26"/>
      <c r="EO835" s="26"/>
      <c r="EP835" s="26"/>
      <c r="EQ835" s="26"/>
      <c r="ER835" s="26"/>
      <c r="ES835" s="26"/>
      <c r="ET835" s="26"/>
      <c r="EU835" s="26"/>
      <c r="EV835" s="26"/>
      <c r="EW835" s="26"/>
      <c r="EX835" s="26"/>
      <c r="EY835" s="26"/>
      <c r="EZ835" s="26"/>
      <c r="FA835" s="60"/>
      <c r="FB835" s="60"/>
      <c r="FC835" s="60"/>
      <c r="FD835" s="60"/>
      <c r="FE835" s="60"/>
      <c r="FF835" s="60"/>
      <c r="FG835" s="60"/>
      <c r="FH835" s="60"/>
      <c r="FI835" s="60"/>
      <c r="FJ835" s="60"/>
      <c r="FK835" s="60"/>
      <c r="FL835" s="60"/>
      <c r="FM835" s="60"/>
      <c r="FN835" s="60"/>
      <c r="FO835" s="60"/>
      <c r="FP835" s="60"/>
      <c r="FQ835" s="60"/>
      <c r="FR835" s="60"/>
      <c r="FS835" s="60"/>
      <c r="FT835" s="60"/>
      <c r="FU835" s="60"/>
      <c r="FV835" s="60"/>
      <c r="FW835" s="60"/>
      <c r="FX835" s="60"/>
    </row>
    <row r="836">
      <c r="A836" s="18"/>
      <c r="B836" s="14"/>
      <c r="C836" s="14"/>
      <c r="D836" s="14"/>
      <c r="E836" s="18"/>
      <c r="F836" s="18"/>
      <c r="G836" s="18"/>
      <c r="H836" s="18"/>
      <c r="I836" s="18"/>
      <c r="J836" s="18"/>
      <c r="K836" s="18"/>
      <c r="L836" s="18"/>
      <c r="M836" s="18"/>
      <c r="N836" s="18"/>
      <c r="O836" s="18"/>
      <c r="P836" s="23"/>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c r="BO836" s="26"/>
      <c r="BP836" s="26"/>
      <c r="BQ836" s="26"/>
      <c r="BR836" s="26"/>
      <c r="BS836" s="26"/>
      <c r="BT836" s="26"/>
      <c r="BU836" s="26"/>
      <c r="BV836" s="26"/>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26"/>
      <c r="CU836" s="26"/>
      <c r="CV836" s="26"/>
      <c r="CW836" s="26"/>
      <c r="CX836" s="26"/>
      <c r="CY836" s="26"/>
      <c r="CZ836" s="26"/>
      <c r="DA836" s="26"/>
      <c r="DB836" s="26"/>
      <c r="DC836" s="26"/>
      <c r="DD836" s="26"/>
      <c r="DE836" s="26"/>
      <c r="DF836" s="26"/>
      <c r="DG836" s="26"/>
      <c r="DH836" s="26"/>
      <c r="DI836" s="26"/>
      <c r="DJ836" s="26"/>
      <c r="DK836" s="26"/>
      <c r="DL836" s="26"/>
      <c r="DM836" s="26"/>
      <c r="DN836" s="26"/>
      <c r="DO836" s="26"/>
      <c r="DP836" s="26"/>
      <c r="DQ836" s="26"/>
      <c r="DR836" s="26"/>
      <c r="DS836" s="26"/>
      <c r="DT836" s="26"/>
      <c r="DU836" s="26"/>
      <c r="DV836" s="26"/>
      <c r="DW836" s="26"/>
      <c r="DX836" s="26"/>
      <c r="DY836" s="26"/>
      <c r="DZ836" s="26"/>
      <c r="EA836" s="26"/>
      <c r="EB836" s="26"/>
      <c r="EC836" s="26"/>
      <c r="ED836" s="26"/>
      <c r="EE836" s="26"/>
      <c r="EF836" s="26"/>
      <c r="EG836" s="26"/>
      <c r="EH836" s="26"/>
      <c r="EI836" s="26"/>
      <c r="EJ836" s="26"/>
      <c r="EK836" s="26"/>
      <c r="EL836" s="26"/>
      <c r="EM836" s="26"/>
      <c r="EN836" s="26"/>
      <c r="EO836" s="26"/>
      <c r="EP836" s="26"/>
      <c r="EQ836" s="26"/>
      <c r="ER836" s="26"/>
      <c r="ES836" s="26"/>
      <c r="ET836" s="26"/>
      <c r="EU836" s="26"/>
      <c r="EV836" s="26"/>
      <c r="EW836" s="26"/>
      <c r="EX836" s="26"/>
      <c r="EY836" s="26"/>
      <c r="EZ836" s="26"/>
      <c r="FA836" s="60"/>
      <c r="FB836" s="60"/>
      <c r="FC836" s="60"/>
      <c r="FD836" s="60"/>
      <c r="FE836" s="60"/>
      <c r="FF836" s="60"/>
      <c r="FG836" s="60"/>
      <c r="FH836" s="60"/>
      <c r="FI836" s="60"/>
      <c r="FJ836" s="60"/>
      <c r="FK836" s="60"/>
      <c r="FL836" s="60"/>
      <c r="FM836" s="60"/>
      <c r="FN836" s="60"/>
      <c r="FO836" s="60"/>
      <c r="FP836" s="60"/>
      <c r="FQ836" s="60"/>
      <c r="FR836" s="60"/>
      <c r="FS836" s="60"/>
      <c r="FT836" s="60"/>
      <c r="FU836" s="60"/>
      <c r="FV836" s="60"/>
      <c r="FW836" s="60"/>
      <c r="FX836" s="60"/>
    </row>
    <row r="837">
      <c r="A837" s="18"/>
      <c r="B837" s="14"/>
      <c r="C837" s="14"/>
      <c r="D837" s="14"/>
      <c r="E837" s="18"/>
      <c r="F837" s="18"/>
      <c r="G837" s="18"/>
      <c r="H837" s="18"/>
      <c r="I837" s="18"/>
      <c r="J837" s="18"/>
      <c r="K837" s="18"/>
      <c r="L837" s="18"/>
      <c r="M837" s="18"/>
      <c r="N837" s="18"/>
      <c r="O837" s="18"/>
      <c r="P837" s="23"/>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c r="BL837" s="26"/>
      <c r="BM837" s="26"/>
      <c r="BN837" s="26"/>
      <c r="BO837" s="26"/>
      <c r="BP837" s="26"/>
      <c r="BQ837" s="26"/>
      <c r="BR837" s="26"/>
      <c r="BS837" s="26"/>
      <c r="BT837" s="26"/>
      <c r="BU837" s="26"/>
      <c r="BV837" s="26"/>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26"/>
      <c r="CU837" s="26"/>
      <c r="CV837" s="26"/>
      <c r="CW837" s="26"/>
      <c r="CX837" s="26"/>
      <c r="CY837" s="26"/>
      <c r="CZ837" s="26"/>
      <c r="DA837" s="26"/>
      <c r="DB837" s="26"/>
      <c r="DC837" s="26"/>
      <c r="DD837" s="26"/>
      <c r="DE837" s="26"/>
      <c r="DF837" s="26"/>
      <c r="DG837" s="26"/>
      <c r="DH837" s="26"/>
      <c r="DI837" s="26"/>
      <c r="DJ837" s="26"/>
      <c r="DK837" s="26"/>
      <c r="DL837" s="26"/>
      <c r="DM837" s="26"/>
      <c r="DN837" s="26"/>
      <c r="DO837" s="26"/>
      <c r="DP837" s="26"/>
      <c r="DQ837" s="26"/>
      <c r="DR837" s="26"/>
      <c r="DS837" s="26"/>
      <c r="DT837" s="26"/>
      <c r="DU837" s="26"/>
      <c r="DV837" s="26"/>
      <c r="DW837" s="26"/>
      <c r="DX837" s="26"/>
      <c r="DY837" s="26"/>
      <c r="DZ837" s="26"/>
      <c r="EA837" s="26"/>
      <c r="EB837" s="26"/>
      <c r="EC837" s="26"/>
      <c r="ED837" s="26"/>
      <c r="EE837" s="26"/>
      <c r="EF837" s="26"/>
      <c r="EG837" s="26"/>
      <c r="EH837" s="26"/>
      <c r="EI837" s="26"/>
      <c r="EJ837" s="26"/>
      <c r="EK837" s="26"/>
      <c r="EL837" s="26"/>
      <c r="EM837" s="26"/>
      <c r="EN837" s="26"/>
      <c r="EO837" s="26"/>
      <c r="EP837" s="26"/>
      <c r="EQ837" s="26"/>
      <c r="ER837" s="26"/>
      <c r="ES837" s="26"/>
      <c r="ET837" s="26"/>
      <c r="EU837" s="26"/>
      <c r="EV837" s="26"/>
      <c r="EW837" s="26"/>
      <c r="EX837" s="26"/>
      <c r="EY837" s="26"/>
      <c r="EZ837" s="26"/>
      <c r="FA837" s="60"/>
      <c r="FB837" s="60"/>
      <c r="FC837" s="60"/>
      <c r="FD837" s="60"/>
      <c r="FE837" s="60"/>
      <c r="FF837" s="60"/>
      <c r="FG837" s="60"/>
      <c r="FH837" s="60"/>
      <c r="FI837" s="60"/>
      <c r="FJ837" s="60"/>
      <c r="FK837" s="60"/>
      <c r="FL837" s="60"/>
      <c r="FM837" s="60"/>
      <c r="FN837" s="60"/>
      <c r="FO837" s="60"/>
      <c r="FP837" s="60"/>
      <c r="FQ837" s="60"/>
      <c r="FR837" s="60"/>
      <c r="FS837" s="60"/>
      <c r="FT837" s="60"/>
      <c r="FU837" s="60"/>
      <c r="FV837" s="60"/>
      <c r="FW837" s="60"/>
      <c r="FX837" s="60"/>
    </row>
    <row r="838">
      <c r="A838" s="18"/>
      <c r="B838" s="14"/>
      <c r="C838" s="14"/>
      <c r="D838" s="14"/>
      <c r="E838" s="18"/>
      <c r="F838" s="18"/>
      <c r="G838" s="18"/>
      <c r="H838" s="18"/>
      <c r="I838" s="18"/>
      <c r="J838" s="18"/>
      <c r="K838" s="18"/>
      <c r="L838" s="18"/>
      <c r="M838" s="18"/>
      <c r="N838" s="18"/>
      <c r="O838" s="18"/>
      <c r="P838" s="23"/>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26"/>
      <c r="CU838" s="26"/>
      <c r="CV838" s="26"/>
      <c r="CW838" s="26"/>
      <c r="CX838" s="26"/>
      <c r="CY838" s="26"/>
      <c r="CZ838" s="26"/>
      <c r="DA838" s="26"/>
      <c r="DB838" s="26"/>
      <c r="DC838" s="26"/>
      <c r="DD838" s="26"/>
      <c r="DE838" s="26"/>
      <c r="DF838" s="26"/>
      <c r="DG838" s="26"/>
      <c r="DH838" s="26"/>
      <c r="DI838" s="26"/>
      <c r="DJ838" s="26"/>
      <c r="DK838" s="26"/>
      <c r="DL838" s="26"/>
      <c r="DM838" s="26"/>
      <c r="DN838" s="26"/>
      <c r="DO838" s="26"/>
      <c r="DP838" s="26"/>
      <c r="DQ838" s="26"/>
      <c r="DR838" s="26"/>
      <c r="DS838" s="26"/>
      <c r="DT838" s="26"/>
      <c r="DU838" s="26"/>
      <c r="DV838" s="26"/>
      <c r="DW838" s="26"/>
      <c r="DX838" s="26"/>
      <c r="DY838" s="26"/>
      <c r="DZ838" s="26"/>
      <c r="EA838" s="26"/>
      <c r="EB838" s="26"/>
      <c r="EC838" s="26"/>
      <c r="ED838" s="26"/>
      <c r="EE838" s="26"/>
      <c r="EF838" s="26"/>
      <c r="EG838" s="26"/>
      <c r="EH838" s="26"/>
      <c r="EI838" s="26"/>
      <c r="EJ838" s="26"/>
      <c r="EK838" s="26"/>
      <c r="EL838" s="26"/>
      <c r="EM838" s="26"/>
      <c r="EN838" s="26"/>
      <c r="EO838" s="26"/>
      <c r="EP838" s="26"/>
      <c r="EQ838" s="26"/>
      <c r="ER838" s="26"/>
      <c r="ES838" s="26"/>
      <c r="ET838" s="26"/>
      <c r="EU838" s="26"/>
      <c r="EV838" s="26"/>
      <c r="EW838" s="26"/>
      <c r="EX838" s="26"/>
      <c r="EY838" s="26"/>
      <c r="EZ838" s="26"/>
      <c r="FA838" s="60"/>
      <c r="FB838" s="60"/>
      <c r="FC838" s="60"/>
      <c r="FD838" s="60"/>
      <c r="FE838" s="60"/>
      <c r="FF838" s="60"/>
      <c r="FG838" s="60"/>
      <c r="FH838" s="60"/>
      <c r="FI838" s="60"/>
      <c r="FJ838" s="60"/>
      <c r="FK838" s="60"/>
      <c r="FL838" s="60"/>
      <c r="FM838" s="60"/>
      <c r="FN838" s="60"/>
      <c r="FO838" s="60"/>
      <c r="FP838" s="60"/>
      <c r="FQ838" s="60"/>
      <c r="FR838" s="60"/>
      <c r="FS838" s="60"/>
      <c r="FT838" s="60"/>
      <c r="FU838" s="60"/>
      <c r="FV838" s="60"/>
      <c r="FW838" s="60"/>
      <c r="FX838" s="60"/>
    </row>
    <row r="839">
      <c r="A839" s="18"/>
      <c r="B839" s="14"/>
      <c r="C839" s="14"/>
      <c r="D839" s="14"/>
      <c r="E839" s="18"/>
      <c r="F839" s="18"/>
      <c r="G839" s="18"/>
      <c r="H839" s="18"/>
      <c r="I839" s="18"/>
      <c r="J839" s="18"/>
      <c r="K839" s="18"/>
      <c r="L839" s="18"/>
      <c r="M839" s="18"/>
      <c r="N839" s="18"/>
      <c r="O839" s="18"/>
      <c r="P839" s="23"/>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c r="BM839" s="26"/>
      <c r="BN839" s="26"/>
      <c r="BO839" s="26"/>
      <c r="BP839" s="26"/>
      <c r="BQ839" s="26"/>
      <c r="BR839" s="26"/>
      <c r="BS839" s="26"/>
      <c r="BT839" s="26"/>
      <c r="BU839" s="26"/>
      <c r="BV839" s="26"/>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26"/>
      <c r="CU839" s="26"/>
      <c r="CV839" s="26"/>
      <c r="CW839" s="26"/>
      <c r="CX839" s="26"/>
      <c r="CY839" s="26"/>
      <c r="CZ839" s="26"/>
      <c r="DA839" s="26"/>
      <c r="DB839" s="26"/>
      <c r="DC839" s="26"/>
      <c r="DD839" s="26"/>
      <c r="DE839" s="26"/>
      <c r="DF839" s="26"/>
      <c r="DG839" s="26"/>
      <c r="DH839" s="26"/>
      <c r="DI839" s="26"/>
      <c r="DJ839" s="26"/>
      <c r="DK839" s="26"/>
      <c r="DL839" s="26"/>
      <c r="DM839" s="26"/>
      <c r="DN839" s="26"/>
      <c r="DO839" s="26"/>
      <c r="DP839" s="26"/>
      <c r="DQ839" s="26"/>
      <c r="DR839" s="26"/>
      <c r="DS839" s="26"/>
      <c r="DT839" s="26"/>
      <c r="DU839" s="26"/>
      <c r="DV839" s="26"/>
      <c r="DW839" s="26"/>
      <c r="DX839" s="26"/>
      <c r="DY839" s="26"/>
      <c r="DZ839" s="26"/>
      <c r="EA839" s="26"/>
      <c r="EB839" s="26"/>
      <c r="EC839" s="26"/>
      <c r="ED839" s="26"/>
      <c r="EE839" s="26"/>
      <c r="EF839" s="26"/>
      <c r="EG839" s="26"/>
      <c r="EH839" s="26"/>
      <c r="EI839" s="26"/>
      <c r="EJ839" s="26"/>
      <c r="EK839" s="26"/>
      <c r="EL839" s="26"/>
      <c r="EM839" s="26"/>
      <c r="EN839" s="26"/>
      <c r="EO839" s="26"/>
      <c r="EP839" s="26"/>
      <c r="EQ839" s="26"/>
      <c r="ER839" s="26"/>
      <c r="ES839" s="26"/>
      <c r="ET839" s="26"/>
      <c r="EU839" s="26"/>
      <c r="EV839" s="26"/>
      <c r="EW839" s="26"/>
      <c r="EX839" s="26"/>
      <c r="EY839" s="26"/>
      <c r="EZ839" s="26"/>
      <c r="FA839" s="60"/>
      <c r="FB839" s="60"/>
      <c r="FC839" s="60"/>
      <c r="FD839" s="60"/>
      <c r="FE839" s="60"/>
      <c r="FF839" s="60"/>
      <c r="FG839" s="60"/>
      <c r="FH839" s="60"/>
      <c r="FI839" s="60"/>
      <c r="FJ839" s="60"/>
      <c r="FK839" s="60"/>
      <c r="FL839" s="60"/>
      <c r="FM839" s="60"/>
      <c r="FN839" s="60"/>
      <c r="FO839" s="60"/>
      <c r="FP839" s="60"/>
      <c r="FQ839" s="60"/>
      <c r="FR839" s="60"/>
      <c r="FS839" s="60"/>
      <c r="FT839" s="60"/>
      <c r="FU839" s="60"/>
      <c r="FV839" s="60"/>
      <c r="FW839" s="60"/>
      <c r="FX839" s="60"/>
    </row>
    <row r="840">
      <c r="A840" s="18"/>
      <c r="B840" s="14"/>
      <c r="C840" s="14"/>
      <c r="D840" s="14"/>
      <c r="E840" s="18"/>
      <c r="F840" s="18"/>
      <c r="G840" s="18"/>
      <c r="H840" s="18"/>
      <c r="I840" s="18"/>
      <c r="J840" s="18"/>
      <c r="K840" s="18"/>
      <c r="L840" s="18"/>
      <c r="M840" s="18"/>
      <c r="N840" s="18"/>
      <c r="O840" s="18"/>
      <c r="P840" s="23"/>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c r="BO840" s="26"/>
      <c r="BP840" s="26"/>
      <c r="BQ840" s="26"/>
      <c r="BR840" s="26"/>
      <c r="BS840" s="26"/>
      <c r="BT840" s="26"/>
      <c r="BU840" s="26"/>
      <c r="BV840" s="26"/>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26"/>
      <c r="CU840" s="26"/>
      <c r="CV840" s="26"/>
      <c r="CW840" s="26"/>
      <c r="CX840" s="26"/>
      <c r="CY840" s="26"/>
      <c r="CZ840" s="26"/>
      <c r="DA840" s="26"/>
      <c r="DB840" s="26"/>
      <c r="DC840" s="26"/>
      <c r="DD840" s="26"/>
      <c r="DE840" s="26"/>
      <c r="DF840" s="26"/>
      <c r="DG840" s="26"/>
      <c r="DH840" s="26"/>
      <c r="DI840" s="26"/>
      <c r="DJ840" s="26"/>
      <c r="DK840" s="26"/>
      <c r="DL840" s="26"/>
      <c r="DM840" s="26"/>
      <c r="DN840" s="26"/>
      <c r="DO840" s="26"/>
      <c r="DP840" s="26"/>
      <c r="DQ840" s="26"/>
      <c r="DR840" s="26"/>
      <c r="DS840" s="26"/>
      <c r="DT840" s="26"/>
      <c r="DU840" s="26"/>
      <c r="DV840" s="26"/>
      <c r="DW840" s="26"/>
      <c r="DX840" s="26"/>
      <c r="DY840" s="26"/>
      <c r="DZ840" s="26"/>
      <c r="EA840" s="26"/>
      <c r="EB840" s="26"/>
      <c r="EC840" s="26"/>
      <c r="ED840" s="26"/>
      <c r="EE840" s="26"/>
      <c r="EF840" s="26"/>
      <c r="EG840" s="26"/>
      <c r="EH840" s="26"/>
      <c r="EI840" s="26"/>
      <c r="EJ840" s="26"/>
      <c r="EK840" s="26"/>
      <c r="EL840" s="26"/>
      <c r="EM840" s="26"/>
      <c r="EN840" s="26"/>
      <c r="EO840" s="26"/>
      <c r="EP840" s="26"/>
      <c r="EQ840" s="26"/>
      <c r="ER840" s="26"/>
      <c r="ES840" s="26"/>
      <c r="ET840" s="26"/>
      <c r="EU840" s="26"/>
      <c r="EV840" s="26"/>
      <c r="EW840" s="26"/>
      <c r="EX840" s="26"/>
      <c r="EY840" s="26"/>
      <c r="EZ840" s="26"/>
      <c r="FA840" s="60"/>
      <c r="FB840" s="60"/>
      <c r="FC840" s="60"/>
      <c r="FD840" s="60"/>
      <c r="FE840" s="60"/>
      <c r="FF840" s="60"/>
      <c r="FG840" s="60"/>
      <c r="FH840" s="60"/>
      <c r="FI840" s="60"/>
      <c r="FJ840" s="60"/>
      <c r="FK840" s="60"/>
      <c r="FL840" s="60"/>
      <c r="FM840" s="60"/>
      <c r="FN840" s="60"/>
      <c r="FO840" s="60"/>
      <c r="FP840" s="60"/>
      <c r="FQ840" s="60"/>
      <c r="FR840" s="60"/>
      <c r="FS840" s="60"/>
      <c r="FT840" s="60"/>
      <c r="FU840" s="60"/>
      <c r="FV840" s="60"/>
      <c r="FW840" s="60"/>
      <c r="FX840" s="60"/>
    </row>
    <row r="841">
      <c r="A841" s="18"/>
      <c r="B841" s="14"/>
      <c r="C841" s="14"/>
      <c r="D841" s="14"/>
      <c r="E841" s="18"/>
      <c r="F841" s="18"/>
      <c r="G841" s="18"/>
      <c r="H841" s="18"/>
      <c r="I841" s="18"/>
      <c r="J841" s="18"/>
      <c r="K841" s="18"/>
      <c r="L841" s="18"/>
      <c r="M841" s="18"/>
      <c r="N841" s="18"/>
      <c r="O841" s="18"/>
      <c r="P841" s="23"/>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c r="BM841" s="26"/>
      <c r="BN841" s="26"/>
      <c r="BO841" s="26"/>
      <c r="BP841" s="26"/>
      <c r="BQ841" s="26"/>
      <c r="BR841" s="26"/>
      <c r="BS841" s="26"/>
      <c r="BT841" s="26"/>
      <c r="BU841" s="26"/>
      <c r="BV841" s="26"/>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26"/>
      <c r="CU841" s="26"/>
      <c r="CV841" s="26"/>
      <c r="CW841" s="26"/>
      <c r="CX841" s="26"/>
      <c r="CY841" s="26"/>
      <c r="CZ841" s="26"/>
      <c r="DA841" s="26"/>
      <c r="DB841" s="26"/>
      <c r="DC841" s="26"/>
      <c r="DD841" s="26"/>
      <c r="DE841" s="26"/>
      <c r="DF841" s="26"/>
      <c r="DG841" s="26"/>
      <c r="DH841" s="26"/>
      <c r="DI841" s="26"/>
      <c r="DJ841" s="26"/>
      <c r="DK841" s="26"/>
      <c r="DL841" s="26"/>
      <c r="DM841" s="26"/>
      <c r="DN841" s="26"/>
      <c r="DO841" s="26"/>
      <c r="DP841" s="26"/>
      <c r="DQ841" s="26"/>
      <c r="DR841" s="26"/>
      <c r="DS841" s="26"/>
      <c r="DT841" s="26"/>
      <c r="DU841" s="26"/>
      <c r="DV841" s="26"/>
      <c r="DW841" s="26"/>
      <c r="DX841" s="26"/>
      <c r="DY841" s="26"/>
      <c r="DZ841" s="26"/>
      <c r="EA841" s="26"/>
      <c r="EB841" s="26"/>
      <c r="EC841" s="26"/>
      <c r="ED841" s="26"/>
      <c r="EE841" s="26"/>
      <c r="EF841" s="26"/>
      <c r="EG841" s="26"/>
      <c r="EH841" s="26"/>
      <c r="EI841" s="26"/>
      <c r="EJ841" s="26"/>
      <c r="EK841" s="26"/>
      <c r="EL841" s="26"/>
      <c r="EM841" s="26"/>
      <c r="EN841" s="26"/>
      <c r="EO841" s="26"/>
      <c r="EP841" s="26"/>
      <c r="EQ841" s="26"/>
      <c r="ER841" s="26"/>
      <c r="ES841" s="26"/>
      <c r="ET841" s="26"/>
      <c r="EU841" s="26"/>
      <c r="EV841" s="26"/>
      <c r="EW841" s="26"/>
      <c r="EX841" s="26"/>
      <c r="EY841" s="26"/>
      <c r="EZ841" s="26"/>
      <c r="FA841" s="60"/>
      <c r="FB841" s="60"/>
      <c r="FC841" s="60"/>
      <c r="FD841" s="60"/>
      <c r="FE841" s="60"/>
      <c r="FF841" s="60"/>
      <c r="FG841" s="60"/>
      <c r="FH841" s="60"/>
      <c r="FI841" s="60"/>
      <c r="FJ841" s="60"/>
      <c r="FK841" s="60"/>
      <c r="FL841" s="60"/>
      <c r="FM841" s="60"/>
      <c r="FN841" s="60"/>
      <c r="FO841" s="60"/>
      <c r="FP841" s="60"/>
      <c r="FQ841" s="60"/>
      <c r="FR841" s="60"/>
      <c r="FS841" s="60"/>
      <c r="FT841" s="60"/>
      <c r="FU841" s="60"/>
      <c r="FV841" s="60"/>
      <c r="FW841" s="60"/>
      <c r="FX841" s="60"/>
    </row>
    <row r="842">
      <c r="A842" s="18"/>
      <c r="B842" s="14"/>
      <c r="C842" s="14"/>
      <c r="D842" s="14"/>
      <c r="E842" s="18"/>
      <c r="F842" s="18"/>
      <c r="G842" s="18"/>
      <c r="H842" s="18"/>
      <c r="I842" s="18"/>
      <c r="J842" s="18"/>
      <c r="K842" s="18"/>
      <c r="L842" s="18"/>
      <c r="M842" s="18"/>
      <c r="N842" s="18"/>
      <c r="O842" s="18"/>
      <c r="P842" s="23"/>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c r="BO842" s="26"/>
      <c r="BP842" s="26"/>
      <c r="BQ842" s="26"/>
      <c r="BR842" s="26"/>
      <c r="BS842" s="26"/>
      <c r="BT842" s="26"/>
      <c r="BU842" s="26"/>
      <c r="BV842" s="26"/>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26"/>
      <c r="CU842" s="26"/>
      <c r="CV842" s="26"/>
      <c r="CW842" s="26"/>
      <c r="CX842" s="26"/>
      <c r="CY842" s="26"/>
      <c r="CZ842" s="26"/>
      <c r="DA842" s="26"/>
      <c r="DB842" s="26"/>
      <c r="DC842" s="26"/>
      <c r="DD842" s="26"/>
      <c r="DE842" s="26"/>
      <c r="DF842" s="26"/>
      <c r="DG842" s="26"/>
      <c r="DH842" s="26"/>
      <c r="DI842" s="26"/>
      <c r="DJ842" s="26"/>
      <c r="DK842" s="26"/>
      <c r="DL842" s="26"/>
      <c r="DM842" s="26"/>
      <c r="DN842" s="26"/>
      <c r="DO842" s="26"/>
      <c r="DP842" s="26"/>
      <c r="DQ842" s="26"/>
      <c r="DR842" s="26"/>
      <c r="DS842" s="26"/>
      <c r="DT842" s="26"/>
      <c r="DU842" s="26"/>
      <c r="DV842" s="26"/>
      <c r="DW842" s="26"/>
      <c r="DX842" s="26"/>
      <c r="DY842" s="26"/>
      <c r="DZ842" s="26"/>
      <c r="EA842" s="26"/>
      <c r="EB842" s="26"/>
      <c r="EC842" s="26"/>
      <c r="ED842" s="26"/>
      <c r="EE842" s="26"/>
      <c r="EF842" s="26"/>
      <c r="EG842" s="26"/>
      <c r="EH842" s="26"/>
      <c r="EI842" s="26"/>
      <c r="EJ842" s="26"/>
      <c r="EK842" s="26"/>
      <c r="EL842" s="26"/>
      <c r="EM842" s="26"/>
      <c r="EN842" s="26"/>
      <c r="EO842" s="26"/>
      <c r="EP842" s="26"/>
      <c r="EQ842" s="26"/>
      <c r="ER842" s="26"/>
      <c r="ES842" s="26"/>
      <c r="ET842" s="26"/>
      <c r="EU842" s="26"/>
      <c r="EV842" s="26"/>
      <c r="EW842" s="26"/>
      <c r="EX842" s="26"/>
      <c r="EY842" s="26"/>
      <c r="EZ842" s="26"/>
      <c r="FA842" s="60"/>
      <c r="FB842" s="60"/>
      <c r="FC842" s="60"/>
      <c r="FD842" s="60"/>
      <c r="FE842" s="60"/>
      <c r="FF842" s="60"/>
      <c r="FG842" s="60"/>
      <c r="FH842" s="60"/>
      <c r="FI842" s="60"/>
      <c r="FJ842" s="60"/>
      <c r="FK842" s="60"/>
      <c r="FL842" s="60"/>
      <c r="FM842" s="60"/>
      <c r="FN842" s="60"/>
      <c r="FO842" s="60"/>
      <c r="FP842" s="60"/>
      <c r="FQ842" s="60"/>
      <c r="FR842" s="60"/>
      <c r="FS842" s="60"/>
      <c r="FT842" s="60"/>
      <c r="FU842" s="60"/>
      <c r="FV842" s="60"/>
      <c r="FW842" s="60"/>
      <c r="FX842" s="60"/>
    </row>
    <row r="843">
      <c r="A843" s="18"/>
      <c r="B843" s="14"/>
      <c r="C843" s="14"/>
      <c r="D843" s="14"/>
      <c r="E843" s="18"/>
      <c r="F843" s="18"/>
      <c r="G843" s="18"/>
      <c r="H843" s="18"/>
      <c r="I843" s="18"/>
      <c r="J843" s="18"/>
      <c r="K843" s="18"/>
      <c r="L843" s="18"/>
      <c r="M843" s="18"/>
      <c r="N843" s="18"/>
      <c r="O843" s="18"/>
      <c r="P843" s="23"/>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c r="BL843" s="26"/>
      <c r="BM843" s="26"/>
      <c r="BN843" s="26"/>
      <c r="BO843" s="26"/>
      <c r="BP843" s="26"/>
      <c r="BQ843" s="26"/>
      <c r="BR843" s="26"/>
      <c r="BS843" s="26"/>
      <c r="BT843" s="26"/>
      <c r="BU843" s="26"/>
      <c r="BV843" s="26"/>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26"/>
      <c r="CU843" s="26"/>
      <c r="CV843" s="26"/>
      <c r="CW843" s="26"/>
      <c r="CX843" s="26"/>
      <c r="CY843" s="26"/>
      <c r="CZ843" s="26"/>
      <c r="DA843" s="26"/>
      <c r="DB843" s="26"/>
      <c r="DC843" s="26"/>
      <c r="DD843" s="26"/>
      <c r="DE843" s="26"/>
      <c r="DF843" s="26"/>
      <c r="DG843" s="26"/>
      <c r="DH843" s="26"/>
      <c r="DI843" s="26"/>
      <c r="DJ843" s="26"/>
      <c r="DK843" s="26"/>
      <c r="DL843" s="26"/>
      <c r="DM843" s="26"/>
      <c r="DN843" s="26"/>
      <c r="DO843" s="26"/>
      <c r="DP843" s="26"/>
      <c r="DQ843" s="26"/>
      <c r="DR843" s="26"/>
      <c r="DS843" s="26"/>
      <c r="DT843" s="26"/>
      <c r="DU843" s="26"/>
      <c r="DV843" s="26"/>
      <c r="DW843" s="26"/>
      <c r="DX843" s="26"/>
      <c r="DY843" s="26"/>
      <c r="DZ843" s="26"/>
      <c r="EA843" s="26"/>
      <c r="EB843" s="26"/>
      <c r="EC843" s="26"/>
      <c r="ED843" s="26"/>
      <c r="EE843" s="26"/>
      <c r="EF843" s="26"/>
      <c r="EG843" s="26"/>
      <c r="EH843" s="26"/>
      <c r="EI843" s="26"/>
      <c r="EJ843" s="26"/>
      <c r="EK843" s="26"/>
      <c r="EL843" s="26"/>
      <c r="EM843" s="26"/>
      <c r="EN843" s="26"/>
      <c r="EO843" s="26"/>
      <c r="EP843" s="26"/>
      <c r="EQ843" s="26"/>
      <c r="ER843" s="26"/>
      <c r="ES843" s="26"/>
      <c r="ET843" s="26"/>
      <c r="EU843" s="26"/>
      <c r="EV843" s="26"/>
      <c r="EW843" s="26"/>
      <c r="EX843" s="26"/>
      <c r="EY843" s="26"/>
      <c r="EZ843" s="26"/>
      <c r="FA843" s="60"/>
      <c r="FB843" s="60"/>
      <c r="FC843" s="60"/>
      <c r="FD843" s="60"/>
      <c r="FE843" s="60"/>
      <c r="FF843" s="60"/>
      <c r="FG843" s="60"/>
      <c r="FH843" s="60"/>
      <c r="FI843" s="60"/>
      <c r="FJ843" s="60"/>
      <c r="FK843" s="60"/>
      <c r="FL843" s="60"/>
      <c r="FM843" s="60"/>
      <c r="FN843" s="60"/>
      <c r="FO843" s="60"/>
      <c r="FP843" s="60"/>
      <c r="FQ843" s="60"/>
      <c r="FR843" s="60"/>
      <c r="FS843" s="60"/>
      <c r="FT843" s="60"/>
      <c r="FU843" s="60"/>
      <c r="FV843" s="60"/>
      <c r="FW843" s="60"/>
      <c r="FX843" s="60"/>
    </row>
    <row r="844">
      <c r="A844" s="18"/>
      <c r="B844" s="14"/>
      <c r="C844" s="14"/>
      <c r="D844" s="14"/>
      <c r="E844" s="18"/>
      <c r="F844" s="18"/>
      <c r="G844" s="18"/>
      <c r="H844" s="18"/>
      <c r="I844" s="18"/>
      <c r="J844" s="18"/>
      <c r="K844" s="18"/>
      <c r="L844" s="18"/>
      <c r="M844" s="18"/>
      <c r="N844" s="18"/>
      <c r="O844" s="18"/>
      <c r="P844" s="23"/>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c r="BO844" s="26"/>
      <c r="BP844" s="26"/>
      <c r="BQ844" s="26"/>
      <c r="BR844" s="26"/>
      <c r="BS844" s="26"/>
      <c r="BT844" s="26"/>
      <c r="BU844" s="26"/>
      <c r="BV844" s="26"/>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26"/>
      <c r="CU844" s="26"/>
      <c r="CV844" s="26"/>
      <c r="CW844" s="26"/>
      <c r="CX844" s="26"/>
      <c r="CY844" s="26"/>
      <c r="CZ844" s="26"/>
      <c r="DA844" s="26"/>
      <c r="DB844" s="26"/>
      <c r="DC844" s="26"/>
      <c r="DD844" s="26"/>
      <c r="DE844" s="26"/>
      <c r="DF844" s="26"/>
      <c r="DG844" s="26"/>
      <c r="DH844" s="26"/>
      <c r="DI844" s="26"/>
      <c r="DJ844" s="26"/>
      <c r="DK844" s="26"/>
      <c r="DL844" s="26"/>
      <c r="DM844" s="26"/>
      <c r="DN844" s="26"/>
      <c r="DO844" s="26"/>
      <c r="DP844" s="26"/>
      <c r="DQ844" s="26"/>
      <c r="DR844" s="26"/>
      <c r="DS844" s="26"/>
      <c r="DT844" s="26"/>
      <c r="DU844" s="26"/>
      <c r="DV844" s="26"/>
      <c r="DW844" s="26"/>
      <c r="DX844" s="26"/>
      <c r="DY844" s="26"/>
      <c r="DZ844" s="26"/>
      <c r="EA844" s="26"/>
      <c r="EB844" s="26"/>
      <c r="EC844" s="26"/>
      <c r="ED844" s="26"/>
      <c r="EE844" s="26"/>
      <c r="EF844" s="26"/>
      <c r="EG844" s="26"/>
      <c r="EH844" s="26"/>
      <c r="EI844" s="26"/>
      <c r="EJ844" s="26"/>
      <c r="EK844" s="26"/>
      <c r="EL844" s="26"/>
      <c r="EM844" s="26"/>
      <c r="EN844" s="26"/>
      <c r="EO844" s="26"/>
      <c r="EP844" s="26"/>
      <c r="EQ844" s="26"/>
      <c r="ER844" s="26"/>
      <c r="ES844" s="26"/>
      <c r="ET844" s="26"/>
      <c r="EU844" s="26"/>
      <c r="EV844" s="26"/>
      <c r="EW844" s="26"/>
      <c r="EX844" s="26"/>
      <c r="EY844" s="26"/>
      <c r="EZ844" s="26"/>
      <c r="FA844" s="60"/>
      <c r="FB844" s="60"/>
      <c r="FC844" s="60"/>
      <c r="FD844" s="60"/>
      <c r="FE844" s="60"/>
      <c r="FF844" s="60"/>
      <c r="FG844" s="60"/>
      <c r="FH844" s="60"/>
      <c r="FI844" s="60"/>
      <c r="FJ844" s="60"/>
      <c r="FK844" s="60"/>
      <c r="FL844" s="60"/>
      <c r="FM844" s="60"/>
      <c r="FN844" s="60"/>
      <c r="FO844" s="60"/>
      <c r="FP844" s="60"/>
      <c r="FQ844" s="60"/>
      <c r="FR844" s="60"/>
      <c r="FS844" s="60"/>
      <c r="FT844" s="60"/>
      <c r="FU844" s="60"/>
      <c r="FV844" s="60"/>
      <c r="FW844" s="60"/>
      <c r="FX844" s="60"/>
    </row>
    <row r="845">
      <c r="A845" s="18"/>
      <c r="B845" s="14"/>
      <c r="C845" s="14"/>
      <c r="D845" s="14"/>
      <c r="E845" s="18"/>
      <c r="F845" s="18"/>
      <c r="G845" s="18"/>
      <c r="H845" s="18"/>
      <c r="I845" s="18"/>
      <c r="J845" s="18"/>
      <c r="K845" s="18"/>
      <c r="L845" s="18"/>
      <c r="M845" s="18"/>
      <c r="N845" s="18"/>
      <c r="O845" s="18"/>
      <c r="P845" s="23"/>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c r="BL845" s="26"/>
      <c r="BM845" s="26"/>
      <c r="BN845" s="26"/>
      <c r="BO845" s="26"/>
      <c r="BP845" s="26"/>
      <c r="BQ845" s="26"/>
      <c r="BR845" s="26"/>
      <c r="BS845" s="26"/>
      <c r="BT845" s="26"/>
      <c r="BU845" s="26"/>
      <c r="BV845" s="26"/>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26"/>
      <c r="CU845" s="26"/>
      <c r="CV845" s="26"/>
      <c r="CW845" s="26"/>
      <c r="CX845" s="26"/>
      <c r="CY845" s="26"/>
      <c r="CZ845" s="26"/>
      <c r="DA845" s="26"/>
      <c r="DB845" s="26"/>
      <c r="DC845" s="26"/>
      <c r="DD845" s="26"/>
      <c r="DE845" s="26"/>
      <c r="DF845" s="26"/>
      <c r="DG845" s="26"/>
      <c r="DH845" s="26"/>
      <c r="DI845" s="26"/>
      <c r="DJ845" s="26"/>
      <c r="DK845" s="26"/>
      <c r="DL845" s="26"/>
      <c r="DM845" s="26"/>
      <c r="DN845" s="26"/>
      <c r="DO845" s="26"/>
      <c r="DP845" s="26"/>
      <c r="DQ845" s="26"/>
      <c r="DR845" s="26"/>
      <c r="DS845" s="26"/>
      <c r="DT845" s="26"/>
      <c r="DU845" s="26"/>
      <c r="DV845" s="26"/>
      <c r="DW845" s="26"/>
      <c r="DX845" s="26"/>
      <c r="DY845" s="26"/>
      <c r="DZ845" s="26"/>
      <c r="EA845" s="26"/>
      <c r="EB845" s="26"/>
      <c r="EC845" s="26"/>
      <c r="ED845" s="26"/>
      <c r="EE845" s="26"/>
      <c r="EF845" s="26"/>
      <c r="EG845" s="26"/>
      <c r="EH845" s="26"/>
      <c r="EI845" s="26"/>
      <c r="EJ845" s="26"/>
      <c r="EK845" s="26"/>
      <c r="EL845" s="26"/>
      <c r="EM845" s="26"/>
      <c r="EN845" s="26"/>
      <c r="EO845" s="26"/>
      <c r="EP845" s="26"/>
      <c r="EQ845" s="26"/>
      <c r="ER845" s="26"/>
      <c r="ES845" s="26"/>
      <c r="ET845" s="26"/>
      <c r="EU845" s="26"/>
      <c r="EV845" s="26"/>
      <c r="EW845" s="26"/>
      <c r="EX845" s="26"/>
      <c r="EY845" s="26"/>
      <c r="EZ845" s="26"/>
      <c r="FA845" s="60"/>
      <c r="FB845" s="60"/>
      <c r="FC845" s="60"/>
      <c r="FD845" s="60"/>
      <c r="FE845" s="60"/>
      <c r="FF845" s="60"/>
      <c r="FG845" s="60"/>
      <c r="FH845" s="60"/>
      <c r="FI845" s="60"/>
      <c r="FJ845" s="60"/>
      <c r="FK845" s="60"/>
      <c r="FL845" s="60"/>
      <c r="FM845" s="60"/>
      <c r="FN845" s="60"/>
      <c r="FO845" s="60"/>
      <c r="FP845" s="60"/>
      <c r="FQ845" s="60"/>
      <c r="FR845" s="60"/>
      <c r="FS845" s="60"/>
      <c r="FT845" s="60"/>
      <c r="FU845" s="60"/>
      <c r="FV845" s="60"/>
      <c r="FW845" s="60"/>
      <c r="FX845" s="60"/>
    </row>
    <row r="846">
      <c r="A846" s="18"/>
      <c r="B846" s="14"/>
      <c r="C846" s="14"/>
      <c r="D846" s="14"/>
      <c r="E846" s="18"/>
      <c r="F846" s="18"/>
      <c r="G846" s="18"/>
      <c r="H846" s="18"/>
      <c r="I846" s="18"/>
      <c r="J846" s="18"/>
      <c r="K846" s="18"/>
      <c r="L846" s="18"/>
      <c r="M846" s="18"/>
      <c r="N846" s="18"/>
      <c r="O846" s="18"/>
      <c r="P846" s="23"/>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c r="BO846" s="26"/>
      <c r="BP846" s="26"/>
      <c r="BQ846" s="26"/>
      <c r="BR846" s="26"/>
      <c r="BS846" s="26"/>
      <c r="BT846" s="26"/>
      <c r="BU846" s="26"/>
      <c r="BV846" s="26"/>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26"/>
      <c r="CU846" s="26"/>
      <c r="CV846" s="26"/>
      <c r="CW846" s="26"/>
      <c r="CX846" s="26"/>
      <c r="CY846" s="26"/>
      <c r="CZ846" s="26"/>
      <c r="DA846" s="26"/>
      <c r="DB846" s="26"/>
      <c r="DC846" s="26"/>
      <c r="DD846" s="26"/>
      <c r="DE846" s="26"/>
      <c r="DF846" s="26"/>
      <c r="DG846" s="26"/>
      <c r="DH846" s="26"/>
      <c r="DI846" s="26"/>
      <c r="DJ846" s="26"/>
      <c r="DK846" s="26"/>
      <c r="DL846" s="26"/>
      <c r="DM846" s="26"/>
      <c r="DN846" s="26"/>
      <c r="DO846" s="26"/>
      <c r="DP846" s="26"/>
      <c r="DQ846" s="26"/>
      <c r="DR846" s="26"/>
      <c r="DS846" s="26"/>
      <c r="DT846" s="26"/>
      <c r="DU846" s="26"/>
      <c r="DV846" s="26"/>
      <c r="DW846" s="26"/>
      <c r="DX846" s="26"/>
      <c r="DY846" s="26"/>
      <c r="DZ846" s="26"/>
      <c r="EA846" s="26"/>
      <c r="EB846" s="26"/>
      <c r="EC846" s="26"/>
      <c r="ED846" s="26"/>
      <c r="EE846" s="26"/>
      <c r="EF846" s="26"/>
      <c r="EG846" s="26"/>
      <c r="EH846" s="26"/>
      <c r="EI846" s="26"/>
      <c r="EJ846" s="26"/>
      <c r="EK846" s="26"/>
      <c r="EL846" s="26"/>
      <c r="EM846" s="26"/>
      <c r="EN846" s="26"/>
      <c r="EO846" s="26"/>
      <c r="EP846" s="26"/>
      <c r="EQ846" s="26"/>
      <c r="ER846" s="26"/>
      <c r="ES846" s="26"/>
      <c r="ET846" s="26"/>
      <c r="EU846" s="26"/>
      <c r="EV846" s="26"/>
      <c r="EW846" s="26"/>
      <c r="EX846" s="26"/>
      <c r="EY846" s="26"/>
      <c r="EZ846" s="26"/>
      <c r="FA846" s="60"/>
      <c r="FB846" s="60"/>
      <c r="FC846" s="60"/>
      <c r="FD846" s="60"/>
      <c r="FE846" s="60"/>
      <c r="FF846" s="60"/>
      <c r="FG846" s="60"/>
      <c r="FH846" s="60"/>
      <c r="FI846" s="60"/>
      <c r="FJ846" s="60"/>
      <c r="FK846" s="60"/>
      <c r="FL846" s="60"/>
      <c r="FM846" s="60"/>
      <c r="FN846" s="60"/>
      <c r="FO846" s="60"/>
      <c r="FP846" s="60"/>
      <c r="FQ846" s="60"/>
      <c r="FR846" s="60"/>
      <c r="FS846" s="60"/>
      <c r="FT846" s="60"/>
      <c r="FU846" s="60"/>
      <c r="FV846" s="60"/>
      <c r="FW846" s="60"/>
      <c r="FX846" s="60"/>
    </row>
    <row r="847">
      <c r="A847" s="18"/>
      <c r="B847" s="14"/>
      <c r="C847" s="14"/>
      <c r="D847" s="14"/>
      <c r="E847" s="18"/>
      <c r="F847" s="18"/>
      <c r="G847" s="18"/>
      <c r="H847" s="18"/>
      <c r="I847" s="18"/>
      <c r="J847" s="18"/>
      <c r="K847" s="18"/>
      <c r="L847" s="18"/>
      <c r="M847" s="18"/>
      <c r="N847" s="18"/>
      <c r="O847" s="18"/>
      <c r="P847" s="23"/>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c r="BM847" s="26"/>
      <c r="BN847" s="26"/>
      <c r="BO847" s="26"/>
      <c r="BP847" s="26"/>
      <c r="BQ847" s="26"/>
      <c r="BR847" s="26"/>
      <c r="BS847" s="26"/>
      <c r="BT847" s="26"/>
      <c r="BU847" s="26"/>
      <c r="BV847" s="26"/>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26"/>
      <c r="CU847" s="26"/>
      <c r="CV847" s="26"/>
      <c r="CW847" s="26"/>
      <c r="CX847" s="26"/>
      <c r="CY847" s="26"/>
      <c r="CZ847" s="26"/>
      <c r="DA847" s="26"/>
      <c r="DB847" s="26"/>
      <c r="DC847" s="26"/>
      <c r="DD847" s="26"/>
      <c r="DE847" s="26"/>
      <c r="DF847" s="26"/>
      <c r="DG847" s="26"/>
      <c r="DH847" s="26"/>
      <c r="DI847" s="26"/>
      <c r="DJ847" s="26"/>
      <c r="DK847" s="26"/>
      <c r="DL847" s="26"/>
      <c r="DM847" s="26"/>
      <c r="DN847" s="26"/>
      <c r="DO847" s="26"/>
      <c r="DP847" s="26"/>
      <c r="DQ847" s="26"/>
      <c r="DR847" s="26"/>
      <c r="DS847" s="26"/>
      <c r="DT847" s="26"/>
      <c r="DU847" s="26"/>
      <c r="DV847" s="26"/>
      <c r="DW847" s="26"/>
      <c r="DX847" s="26"/>
      <c r="DY847" s="26"/>
      <c r="DZ847" s="26"/>
      <c r="EA847" s="26"/>
      <c r="EB847" s="26"/>
      <c r="EC847" s="26"/>
      <c r="ED847" s="26"/>
      <c r="EE847" s="26"/>
      <c r="EF847" s="26"/>
      <c r="EG847" s="26"/>
      <c r="EH847" s="26"/>
      <c r="EI847" s="26"/>
      <c r="EJ847" s="26"/>
      <c r="EK847" s="26"/>
      <c r="EL847" s="26"/>
      <c r="EM847" s="26"/>
      <c r="EN847" s="26"/>
      <c r="EO847" s="26"/>
      <c r="EP847" s="26"/>
      <c r="EQ847" s="26"/>
      <c r="ER847" s="26"/>
      <c r="ES847" s="26"/>
      <c r="ET847" s="26"/>
      <c r="EU847" s="26"/>
      <c r="EV847" s="26"/>
      <c r="EW847" s="26"/>
      <c r="EX847" s="26"/>
      <c r="EY847" s="26"/>
      <c r="EZ847" s="26"/>
      <c r="FA847" s="60"/>
      <c r="FB847" s="60"/>
      <c r="FC847" s="60"/>
      <c r="FD847" s="60"/>
      <c r="FE847" s="60"/>
      <c r="FF847" s="60"/>
      <c r="FG847" s="60"/>
      <c r="FH847" s="60"/>
      <c r="FI847" s="60"/>
      <c r="FJ847" s="60"/>
      <c r="FK847" s="60"/>
      <c r="FL847" s="60"/>
      <c r="FM847" s="60"/>
      <c r="FN847" s="60"/>
      <c r="FO847" s="60"/>
      <c r="FP847" s="60"/>
      <c r="FQ847" s="60"/>
      <c r="FR847" s="60"/>
      <c r="FS847" s="60"/>
      <c r="FT847" s="60"/>
      <c r="FU847" s="60"/>
      <c r="FV847" s="60"/>
      <c r="FW847" s="60"/>
      <c r="FX847" s="60"/>
    </row>
    <row r="848">
      <c r="A848" s="18"/>
      <c r="B848" s="14"/>
      <c r="C848" s="14"/>
      <c r="D848" s="14"/>
      <c r="E848" s="18"/>
      <c r="F848" s="18"/>
      <c r="G848" s="18"/>
      <c r="H848" s="18"/>
      <c r="I848" s="18"/>
      <c r="J848" s="18"/>
      <c r="K848" s="18"/>
      <c r="L848" s="18"/>
      <c r="M848" s="18"/>
      <c r="N848" s="18"/>
      <c r="O848" s="18"/>
      <c r="P848" s="23"/>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c r="BO848" s="26"/>
      <c r="BP848" s="26"/>
      <c r="BQ848" s="26"/>
      <c r="BR848" s="26"/>
      <c r="BS848" s="26"/>
      <c r="BT848" s="26"/>
      <c r="BU848" s="26"/>
      <c r="BV848" s="26"/>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26"/>
      <c r="CU848" s="26"/>
      <c r="CV848" s="26"/>
      <c r="CW848" s="26"/>
      <c r="CX848" s="26"/>
      <c r="CY848" s="26"/>
      <c r="CZ848" s="26"/>
      <c r="DA848" s="26"/>
      <c r="DB848" s="26"/>
      <c r="DC848" s="26"/>
      <c r="DD848" s="26"/>
      <c r="DE848" s="26"/>
      <c r="DF848" s="26"/>
      <c r="DG848" s="26"/>
      <c r="DH848" s="26"/>
      <c r="DI848" s="26"/>
      <c r="DJ848" s="26"/>
      <c r="DK848" s="26"/>
      <c r="DL848" s="26"/>
      <c r="DM848" s="26"/>
      <c r="DN848" s="26"/>
      <c r="DO848" s="26"/>
      <c r="DP848" s="26"/>
      <c r="DQ848" s="26"/>
      <c r="DR848" s="26"/>
      <c r="DS848" s="26"/>
      <c r="DT848" s="26"/>
      <c r="DU848" s="26"/>
      <c r="DV848" s="26"/>
      <c r="DW848" s="26"/>
      <c r="DX848" s="26"/>
      <c r="DY848" s="26"/>
      <c r="DZ848" s="26"/>
      <c r="EA848" s="26"/>
      <c r="EB848" s="26"/>
      <c r="EC848" s="26"/>
      <c r="ED848" s="26"/>
      <c r="EE848" s="26"/>
      <c r="EF848" s="26"/>
      <c r="EG848" s="26"/>
      <c r="EH848" s="26"/>
      <c r="EI848" s="26"/>
      <c r="EJ848" s="26"/>
      <c r="EK848" s="26"/>
      <c r="EL848" s="26"/>
      <c r="EM848" s="26"/>
      <c r="EN848" s="26"/>
      <c r="EO848" s="26"/>
      <c r="EP848" s="26"/>
      <c r="EQ848" s="26"/>
      <c r="ER848" s="26"/>
      <c r="ES848" s="26"/>
      <c r="ET848" s="26"/>
      <c r="EU848" s="26"/>
      <c r="EV848" s="26"/>
      <c r="EW848" s="26"/>
      <c r="EX848" s="26"/>
      <c r="EY848" s="26"/>
      <c r="EZ848" s="26"/>
      <c r="FA848" s="60"/>
      <c r="FB848" s="60"/>
      <c r="FC848" s="60"/>
      <c r="FD848" s="60"/>
      <c r="FE848" s="60"/>
      <c r="FF848" s="60"/>
      <c r="FG848" s="60"/>
      <c r="FH848" s="60"/>
      <c r="FI848" s="60"/>
      <c r="FJ848" s="60"/>
      <c r="FK848" s="60"/>
      <c r="FL848" s="60"/>
      <c r="FM848" s="60"/>
      <c r="FN848" s="60"/>
      <c r="FO848" s="60"/>
      <c r="FP848" s="60"/>
      <c r="FQ848" s="60"/>
      <c r="FR848" s="60"/>
      <c r="FS848" s="60"/>
      <c r="FT848" s="60"/>
      <c r="FU848" s="60"/>
      <c r="FV848" s="60"/>
      <c r="FW848" s="60"/>
      <c r="FX848" s="60"/>
    </row>
    <row r="849">
      <c r="A849" s="18"/>
      <c r="B849" s="14"/>
      <c r="C849" s="14"/>
      <c r="D849" s="14"/>
      <c r="E849" s="18"/>
      <c r="F849" s="18"/>
      <c r="G849" s="18"/>
      <c r="H849" s="18"/>
      <c r="I849" s="18"/>
      <c r="J849" s="18"/>
      <c r="K849" s="18"/>
      <c r="L849" s="18"/>
      <c r="M849" s="18"/>
      <c r="N849" s="18"/>
      <c r="O849" s="18"/>
      <c r="P849" s="23"/>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c r="BL849" s="26"/>
      <c r="BM849" s="26"/>
      <c r="BN849" s="26"/>
      <c r="BO849" s="26"/>
      <c r="BP849" s="26"/>
      <c r="BQ849" s="26"/>
      <c r="BR849" s="26"/>
      <c r="BS849" s="26"/>
      <c r="BT849" s="26"/>
      <c r="BU849" s="26"/>
      <c r="BV849" s="26"/>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26"/>
      <c r="CU849" s="26"/>
      <c r="CV849" s="26"/>
      <c r="CW849" s="26"/>
      <c r="CX849" s="26"/>
      <c r="CY849" s="26"/>
      <c r="CZ849" s="26"/>
      <c r="DA849" s="26"/>
      <c r="DB849" s="26"/>
      <c r="DC849" s="26"/>
      <c r="DD849" s="26"/>
      <c r="DE849" s="26"/>
      <c r="DF849" s="26"/>
      <c r="DG849" s="26"/>
      <c r="DH849" s="26"/>
      <c r="DI849" s="26"/>
      <c r="DJ849" s="26"/>
      <c r="DK849" s="26"/>
      <c r="DL849" s="26"/>
      <c r="DM849" s="26"/>
      <c r="DN849" s="26"/>
      <c r="DO849" s="26"/>
      <c r="DP849" s="26"/>
      <c r="DQ849" s="26"/>
      <c r="DR849" s="26"/>
      <c r="DS849" s="26"/>
      <c r="DT849" s="26"/>
      <c r="DU849" s="26"/>
      <c r="DV849" s="26"/>
      <c r="DW849" s="26"/>
      <c r="DX849" s="26"/>
      <c r="DY849" s="26"/>
      <c r="DZ849" s="26"/>
      <c r="EA849" s="26"/>
      <c r="EB849" s="26"/>
      <c r="EC849" s="26"/>
      <c r="ED849" s="26"/>
      <c r="EE849" s="26"/>
      <c r="EF849" s="26"/>
      <c r="EG849" s="26"/>
      <c r="EH849" s="26"/>
      <c r="EI849" s="26"/>
      <c r="EJ849" s="26"/>
      <c r="EK849" s="26"/>
      <c r="EL849" s="26"/>
      <c r="EM849" s="26"/>
      <c r="EN849" s="26"/>
      <c r="EO849" s="26"/>
      <c r="EP849" s="26"/>
      <c r="EQ849" s="26"/>
      <c r="ER849" s="26"/>
      <c r="ES849" s="26"/>
      <c r="ET849" s="26"/>
      <c r="EU849" s="26"/>
      <c r="EV849" s="26"/>
      <c r="EW849" s="26"/>
      <c r="EX849" s="26"/>
      <c r="EY849" s="26"/>
      <c r="EZ849" s="26"/>
      <c r="FA849" s="60"/>
      <c r="FB849" s="60"/>
      <c r="FC849" s="60"/>
      <c r="FD849" s="60"/>
      <c r="FE849" s="60"/>
      <c r="FF849" s="60"/>
      <c r="FG849" s="60"/>
      <c r="FH849" s="60"/>
      <c r="FI849" s="60"/>
      <c r="FJ849" s="60"/>
      <c r="FK849" s="60"/>
      <c r="FL849" s="60"/>
      <c r="FM849" s="60"/>
      <c r="FN849" s="60"/>
      <c r="FO849" s="60"/>
      <c r="FP849" s="60"/>
      <c r="FQ849" s="60"/>
      <c r="FR849" s="60"/>
      <c r="FS849" s="60"/>
      <c r="FT849" s="60"/>
      <c r="FU849" s="60"/>
      <c r="FV849" s="60"/>
      <c r="FW849" s="60"/>
      <c r="FX849" s="60"/>
    </row>
    <row r="850">
      <c r="A850" s="18"/>
      <c r="B850" s="14"/>
      <c r="C850" s="14"/>
      <c r="D850" s="14"/>
      <c r="E850" s="18"/>
      <c r="F850" s="18"/>
      <c r="G850" s="18"/>
      <c r="H850" s="18"/>
      <c r="I850" s="18"/>
      <c r="J850" s="18"/>
      <c r="K850" s="18"/>
      <c r="L850" s="18"/>
      <c r="M850" s="18"/>
      <c r="N850" s="18"/>
      <c r="O850" s="18"/>
      <c r="P850" s="23"/>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c r="BO850" s="26"/>
      <c r="BP850" s="26"/>
      <c r="BQ850" s="26"/>
      <c r="BR850" s="26"/>
      <c r="BS850" s="26"/>
      <c r="BT850" s="26"/>
      <c r="BU850" s="26"/>
      <c r="BV850" s="26"/>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26"/>
      <c r="CU850" s="26"/>
      <c r="CV850" s="26"/>
      <c r="CW850" s="26"/>
      <c r="CX850" s="26"/>
      <c r="CY850" s="26"/>
      <c r="CZ850" s="26"/>
      <c r="DA850" s="26"/>
      <c r="DB850" s="26"/>
      <c r="DC850" s="26"/>
      <c r="DD850" s="26"/>
      <c r="DE850" s="26"/>
      <c r="DF850" s="26"/>
      <c r="DG850" s="26"/>
      <c r="DH850" s="26"/>
      <c r="DI850" s="26"/>
      <c r="DJ850" s="26"/>
      <c r="DK850" s="26"/>
      <c r="DL850" s="26"/>
      <c r="DM850" s="26"/>
      <c r="DN850" s="26"/>
      <c r="DO850" s="26"/>
      <c r="DP850" s="26"/>
      <c r="DQ850" s="26"/>
      <c r="DR850" s="26"/>
      <c r="DS850" s="26"/>
      <c r="DT850" s="26"/>
      <c r="DU850" s="26"/>
      <c r="DV850" s="26"/>
      <c r="DW850" s="26"/>
      <c r="DX850" s="26"/>
      <c r="DY850" s="26"/>
      <c r="DZ850" s="26"/>
      <c r="EA850" s="26"/>
      <c r="EB850" s="26"/>
      <c r="EC850" s="26"/>
      <c r="ED850" s="26"/>
      <c r="EE850" s="26"/>
      <c r="EF850" s="26"/>
      <c r="EG850" s="26"/>
      <c r="EH850" s="26"/>
      <c r="EI850" s="26"/>
      <c r="EJ850" s="26"/>
      <c r="EK850" s="26"/>
      <c r="EL850" s="26"/>
      <c r="EM850" s="26"/>
      <c r="EN850" s="26"/>
      <c r="EO850" s="26"/>
      <c r="EP850" s="26"/>
      <c r="EQ850" s="26"/>
      <c r="ER850" s="26"/>
      <c r="ES850" s="26"/>
      <c r="ET850" s="26"/>
      <c r="EU850" s="26"/>
      <c r="EV850" s="26"/>
      <c r="EW850" s="26"/>
      <c r="EX850" s="26"/>
      <c r="EY850" s="26"/>
      <c r="EZ850" s="26"/>
      <c r="FA850" s="60"/>
      <c r="FB850" s="60"/>
      <c r="FC850" s="60"/>
      <c r="FD850" s="60"/>
      <c r="FE850" s="60"/>
      <c r="FF850" s="60"/>
      <c r="FG850" s="60"/>
      <c r="FH850" s="60"/>
      <c r="FI850" s="60"/>
      <c r="FJ850" s="60"/>
      <c r="FK850" s="60"/>
      <c r="FL850" s="60"/>
      <c r="FM850" s="60"/>
      <c r="FN850" s="60"/>
      <c r="FO850" s="60"/>
      <c r="FP850" s="60"/>
      <c r="FQ850" s="60"/>
      <c r="FR850" s="60"/>
      <c r="FS850" s="60"/>
      <c r="FT850" s="60"/>
      <c r="FU850" s="60"/>
      <c r="FV850" s="60"/>
      <c r="FW850" s="60"/>
      <c r="FX850" s="60"/>
    </row>
    <row r="851">
      <c r="A851" s="18"/>
      <c r="B851" s="14"/>
      <c r="C851" s="14"/>
      <c r="D851" s="14"/>
      <c r="E851" s="18"/>
      <c r="F851" s="18"/>
      <c r="G851" s="18"/>
      <c r="H851" s="18"/>
      <c r="I851" s="18"/>
      <c r="J851" s="18"/>
      <c r="K851" s="18"/>
      <c r="L851" s="18"/>
      <c r="M851" s="18"/>
      <c r="N851" s="18"/>
      <c r="O851" s="18"/>
      <c r="P851" s="23"/>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c r="BL851" s="26"/>
      <c r="BM851" s="26"/>
      <c r="BN851" s="26"/>
      <c r="BO851" s="26"/>
      <c r="BP851" s="26"/>
      <c r="BQ851" s="26"/>
      <c r="BR851" s="26"/>
      <c r="BS851" s="26"/>
      <c r="BT851" s="26"/>
      <c r="BU851" s="26"/>
      <c r="BV851" s="26"/>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26"/>
      <c r="CU851" s="26"/>
      <c r="CV851" s="26"/>
      <c r="CW851" s="26"/>
      <c r="CX851" s="26"/>
      <c r="CY851" s="26"/>
      <c r="CZ851" s="26"/>
      <c r="DA851" s="26"/>
      <c r="DB851" s="26"/>
      <c r="DC851" s="26"/>
      <c r="DD851" s="26"/>
      <c r="DE851" s="26"/>
      <c r="DF851" s="26"/>
      <c r="DG851" s="26"/>
      <c r="DH851" s="26"/>
      <c r="DI851" s="26"/>
      <c r="DJ851" s="26"/>
      <c r="DK851" s="26"/>
      <c r="DL851" s="26"/>
      <c r="DM851" s="26"/>
      <c r="DN851" s="26"/>
      <c r="DO851" s="26"/>
      <c r="DP851" s="26"/>
      <c r="DQ851" s="26"/>
      <c r="DR851" s="26"/>
      <c r="DS851" s="26"/>
      <c r="DT851" s="26"/>
      <c r="DU851" s="26"/>
      <c r="DV851" s="26"/>
      <c r="DW851" s="26"/>
      <c r="DX851" s="26"/>
      <c r="DY851" s="26"/>
      <c r="DZ851" s="26"/>
      <c r="EA851" s="26"/>
      <c r="EB851" s="26"/>
      <c r="EC851" s="26"/>
      <c r="ED851" s="26"/>
      <c r="EE851" s="26"/>
      <c r="EF851" s="26"/>
      <c r="EG851" s="26"/>
      <c r="EH851" s="26"/>
      <c r="EI851" s="26"/>
      <c r="EJ851" s="26"/>
      <c r="EK851" s="26"/>
      <c r="EL851" s="26"/>
      <c r="EM851" s="26"/>
      <c r="EN851" s="26"/>
      <c r="EO851" s="26"/>
      <c r="EP851" s="26"/>
      <c r="EQ851" s="26"/>
      <c r="ER851" s="26"/>
      <c r="ES851" s="26"/>
      <c r="ET851" s="26"/>
      <c r="EU851" s="26"/>
      <c r="EV851" s="26"/>
      <c r="EW851" s="26"/>
      <c r="EX851" s="26"/>
      <c r="EY851" s="26"/>
      <c r="EZ851" s="26"/>
      <c r="FA851" s="60"/>
      <c r="FB851" s="60"/>
      <c r="FC851" s="60"/>
      <c r="FD851" s="60"/>
      <c r="FE851" s="60"/>
      <c r="FF851" s="60"/>
      <c r="FG851" s="60"/>
      <c r="FH851" s="60"/>
      <c r="FI851" s="60"/>
      <c r="FJ851" s="60"/>
      <c r="FK851" s="60"/>
      <c r="FL851" s="60"/>
      <c r="FM851" s="60"/>
      <c r="FN851" s="60"/>
      <c r="FO851" s="60"/>
      <c r="FP851" s="60"/>
      <c r="FQ851" s="60"/>
      <c r="FR851" s="60"/>
      <c r="FS851" s="60"/>
      <c r="FT851" s="60"/>
      <c r="FU851" s="60"/>
      <c r="FV851" s="60"/>
      <c r="FW851" s="60"/>
      <c r="FX851" s="60"/>
    </row>
    <row r="852">
      <c r="A852" s="18"/>
      <c r="B852" s="14"/>
      <c r="C852" s="14"/>
      <c r="D852" s="14"/>
      <c r="E852" s="18"/>
      <c r="F852" s="18"/>
      <c r="G852" s="18"/>
      <c r="H852" s="18"/>
      <c r="I852" s="18"/>
      <c r="J852" s="18"/>
      <c r="K852" s="18"/>
      <c r="L852" s="18"/>
      <c r="M852" s="18"/>
      <c r="N852" s="18"/>
      <c r="O852" s="18"/>
      <c r="P852" s="23"/>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c r="BO852" s="26"/>
      <c r="BP852" s="26"/>
      <c r="BQ852" s="26"/>
      <c r="BR852" s="26"/>
      <c r="BS852" s="26"/>
      <c r="BT852" s="26"/>
      <c r="BU852" s="26"/>
      <c r="BV852" s="26"/>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26"/>
      <c r="CU852" s="26"/>
      <c r="CV852" s="26"/>
      <c r="CW852" s="26"/>
      <c r="CX852" s="26"/>
      <c r="CY852" s="26"/>
      <c r="CZ852" s="26"/>
      <c r="DA852" s="26"/>
      <c r="DB852" s="26"/>
      <c r="DC852" s="26"/>
      <c r="DD852" s="26"/>
      <c r="DE852" s="26"/>
      <c r="DF852" s="26"/>
      <c r="DG852" s="26"/>
      <c r="DH852" s="26"/>
      <c r="DI852" s="26"/>
      <c r="DJ852" s="26"/>
      <c r="DK852" s="26"/>
      <c r="DL852" s="26"/>
      <c r="DM852" s="26"/>
      <c r="DN852" s="26"/>
      <c r="DO852" s="26"/>
      <c r="DP852" s="26"/>
      <c r="DQ852" s="26"/>
      <c r="DR852" s="26"/>
      <c r="DS852" s="26"/>
      <c r="DT852" s="26"/>
      <c r="DU852" s="26"/>
      <c r="DV852" s="26"/>
      <c r="DW852" s="26"/>
      <c r="DX852" s="26"/>
      <c r="DY852" s="26"/>
      <c r="DZ852" s="26"/>
      <c r="EA852" s="26"/>
      <c r="EB852" s="26"/>
      <c r="EC852" s="26"/>
      <c r="ED852" s="26"/>
      <c r="EE852" s="26"/>
      <c r="EF852" s="26"/>
      <c r="EG852" s="26"/>
      <c r="EH852" s="26"/>
      <c r="EI852" s="26"/>
      <c r="EJ852" s="26"/>
      <c r="EK852" s="26"/>
      <c r="EL852" s="26"/>
      <c r="EM852" s="26"/>
      <c r="EN852" s="26"/>
      <c r="EO852" s="26"/>
      <c r="EP852" s="26"/>
      <c r="EQ852" s="26"/>
      <c r="ER852" s="26"/>
      <c r="ES852" s="26"/>
      <c r="ET852" s="26"/>
      <c r="EU852" s="26"/>
      <c r="EV852" s="26"/>
      <c r="EW852" s="26"/>
      <c r="EX852" s="26"/>
      <c r="EY852" s="26"/>
      <c r="EZ852" s="26"/>
      <c r="FA852" s="60"/>
      <c r="FB852" s="60"/>
      <c r="FC852" s="60"/>
      <c r="FD852" s="60"/>
      <c r="FE852" s="60"/>
      <c r="FF852" s="60"/>
      <c r="FG852" s="60"/>
      <c r="FH852" s="60"/>
      <c r="FI852" s="60"/>
      <c r="FJ852" s="60"/>
      <c r="FK852" s="60"/>
      <c r="FL852" s="60"/>
      <c r="FM852" s="60"/>
      <c r="FN852" s="60"/>
      <c r="FO852" s="60"/>
      <c r="FP852" s="60"/>
      <c r="FQ852" s="60"/>
      <c r="FR852" s="60"/>
      <c r="FS852" s="60"/>
      <c r="FT852" s="60"/>
      <c r="FU852" s="60"/>
      <c r="FV852" s="60"/>
      <c r="FW852" s="60"/>
      <c r="FX852" s="60"/>
    </row>
    <row r="853">
      <c r="A853" s="18"/>
      <c r="B853" s="14"/>
      <c r="C853" s="14"/>
      <c r="D853" s="14"/>
      <c r="E853" s="18"/>
      <c r="F853" s="18"/>
      <c r="G853" s="18"/>
      <c r="H853" s="18"/>
      <c r="I853" s="18"/>
      <c r="J853" s="18"/>
      <c r="K853" s="18"/>
      <c r="L853" s="18"/>
      <c r="M853" s="18"/>
      <c r="N853" s="18"/>
      <c r="O853" s="18"/>
      <c r="P853" s="23"/>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c r="BM853" s="26"/>
      <c r="BN853" s="26"/>
      <c r="BO853" s="26"/>
      <c r="BP853" s="26"/>
      <c r="BQ853" s="26"/>
      <c r="BR853" s="26"/>
      <c r="BS853" s="26"/>
      <c r="BT853" s="26"/>
      <c r="BU853" s="26"/>
      <c r="BV853" s="26"/>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26"/>
      <c r="CU853" s="26"/>
      <c r="CV853" s="26"/>
      <c r="CW853" s="26"/>
      <c r="CX853" s="26"/>
      <c r="CY853" s="26"/>
      <c r="CZ853" s="26"/>
      <c r="DA853" s="26"/>
      <c r="DB853" s="26"/>
      <c r="DC853" s="26"/>
      <c r="DD853" s="26"/>
      <c r="DE853" s="26"/>
      <c r="DF853" s="26"/>
      <c r="DG853" s="26"/>
      <c r="DH853" s="26"/>
      <c r="DI853" s="26"/>
      <c r="DJ853" s="26"/>
      <c r="DK853" s="26"/>
      <c r="DL853" s="26"/>
      <c r="DM853" s="26"/>
      <c r="DN853" s="26"/>
      <c r="DO853" s="26"/>
      <c r="DP853" s="26"/>
      <c r="DQ853" s="26"/>
      <c r="DR853" s="26"/>
      <c r="DS853" s="26"/>
      <c r="DT853" s="26"/>
      <c r="DU853" s="26"/>
      <c r="DV853" s="26"/>
      <c r="DW853" s="26"/>
      <c r="DX853" s="26"/>
      <c r="DY853" s="26"/>
      <c r="DZ853" s="26"/>
      <c r="EA853" s="26"/>
      <c r="EB853" s="26"/>
      <c r="EC853" s="26"/>
      <c r="ED853" s="26"/>
      <c r="EE853" s="26"/>
      <c r="EF853" s="26"/>
      <c r="EG853" s="26"/>
      <c r="EH853" s="26"/>
      <c r="EI853" s="26"/>
      <c r="EJ853" s="26"/>
      <c r="EK853" s="26"/>
      <c r="EL853" s="26"/>
      <c r="EM853" s="26"/>
      <c r="EN853" s="26"/>
      <c r="EO853" s="26"/>
      <c r="EP853" s="26"/>
      <c r="EQ853" s="26"/>
      <c r="ER853" s="26"/>
      <c r="ES853" s="26"/>
      <c r="ET853" s="26"/>
      <c r="EU853" s="26"/>
      <c r="EV853" s="26"/>
      <c r="EW853" s="26"/>
      <c r="EX853" s="26"/>
      <c r="EY853" s="26"/>
      <c r="EZ853" s="26"/>
      <c r="FA853" s="60"/>
      <c r="FB853" s="60"/>
      <c r="FC853" s="60"/>
      <c r="FD853" s="60"/>
      <c r="FE853" s="60"/>
      <c r="FF853" s="60"/>
      <c r="FG853" s="60"/>
      <c r="FH853" s="60"/>
      <c r="FI853" s="60"/>
      <c r="FJ853" s="60"/>
      <c r="FK853" s="60"/>
      <c r="FL853" s="60"/>
      <c r="FM853" s="60"/>
      <c r="FN853" s="60"/>
      <c r="FO853" s="60"/>
      <c r="FP853" s="60"/>
      <c r="FQ853" s="60"/>
      <c r="FR853" s="60"/>
      <c r="FS853" s="60"/>
      <c r="FT853" s="60"/>
      <c r="FU853" s="60"/>
      <c r="FV853" s="60"/>
      <c r="FW853" s="60"/>
      <c r="FX853" s="60"/>
    </row>
    <row r="854">
      <c r="A854" s="18"/>
      <c r="B854" s="14"/>
      <c r="C854" s="14"/>
      <c r="D854" s="14"/>
      <c r="E854" s="18"/>
      <c r="F854" s="18"/>
      <c r="G854" s="18"/>
      <c r="H854" s="18"/>
      <c r="I854" s="18"/>
      <c r="J854" s="18"/>
      <c r="K854" s="18"/>
      <c r="L854" s="18"/>
      <c r="M854" s="18"/>
      <c r="N854" s="18"/>
      <c r="O854" s="18"/>
      <c r="P854" s="23"/>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c r="BO854" s="26"/>
      <c r="BP854" s="26"/>
      <c r="BQ854" s="26"/>
      <c r="BR854" s="26"/>
      <c r="BS854" s="26"/>
      <c r="BT854" s="26"/>
      <c r="BU854" s="26"/>
      <c r="BV854" s="26"/>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26"/>
      <c r="CU854" s="26"/>
      <c r="CV854" s="26"/>
      <c r="CW854" s="26"/>
      <c r="CX854" s="26"/>
      <c r="CY854" s="26"/>
      <c r="CZ854" s="26"/>
      <c r="DA854" s="26"/>
      <c r="DB854" s="26"/>
      <c r="DC854" s="26"/>
      <c r="DD854" s="26"/>
      <c r="DE854" s="26"/>
      <c r="DF854" s="26"/>
      <c r="DG854" s="26"/>
      <c r="DH854" s="26"/>
      <c r="DI854" s="26"/>
      <c r="DJ854" s="26"/>
      <c r="DK854" s="26"/>
      <c r="DL854" s="26"/>
      <c r="DM854" s="26"/>
      <c r="DN854" s="26"/>
      <c r="DO854" s="26"/>
      <c r="DP854" s="26"/>
      <c r="DQ854" s="26"/>
      <c r="DR854" s="26"/>
      <c r="DS854" s="26"/>
      <c r="DT854" s="26"/>
      <c r="DU854" s="26"/>
      <c r="DV854" s="26"/>
      <c r="DW854" s="26"/>
      <c r="DX854" s="26"/>
      <c r="DY854" s="26"/>
      <c r="DZ854" s="26"/>
      <c r="EA854" s="26"/>
      <c r="EB854" s="26"/>
      <c r="EC854" s="26"/>
      <c r="ED854" s="26"/>
      <c r="EE854" s="26"/>
      <c r="EF854" s="26"/>
      <c r="EG854" s="26"/>
      <c r="EH854" s="26"/>
      <c r="EI854" s="26"/>
      <c r="EJ854" s="26"/>
      <c r="EK854" s="26"/>
      <c r="EL854" s="26"/>
      <c r="EM854" s="26"/>
      <c r="EN854" s="26"/>
      <c r="EO854" s="26"/>
      <c r="EP854" s="26"/>
      <c r="EQ854" s="26"/>
      <c r="ER854" s="26"/>
      <c r="ES854" s="26"/>
      <c r="ET854" s="26"/>
      <c r="EU854" s="26"/>
      <c r="EV854" s="26"/>
      <c r="EW854" s="26"/>
      <c r="EX854" s="26"/>
      <c r="EY854" s="26"/>
      <c r="EZ854" s="26"/>
      <c r="FA854" s="60"/>
      <c r="FB854" s="60"/>
      <c r="FC854" s="60"/>
      <c r="FD854" s="60"/>
      <c r="FE854" s="60"/>
      <c r="FF854" s="60"/>
      <c r="FG854" s="60"/>
      <c r="FH854" s="60"/>
      <c r="FI854" s="60"/>
      <c r="FJ854" s="60"/>
      <c r="FK854" s="60"/>
      <c r="FL854" s="60"/>
      <c r="FM854" s="60"/>
      <c r="FN854" s="60"/>
      <c r="FO854" s="60"/>
      <c r="FP854" s="60"/>
      <c r="FQ854" s="60"/>
      <c r="FR854" s="60"/>
      <c r="FS854" s="60"/>
      <c r="FT854" s="60"/>
      <c r="FU854" s="60"/>
      <c r="FV854" s="60"/>
      <c r="FW854" s="60"/>
      <c r="FX854" s="60"/>
    </row>
    <row r="855">
      <c r="A855" s="18"/>
      <c r="B855" s="14"/>
      <c r="C855" s="14"/>
      <c r="D855" s="14"/>
      <c r="E855" s="18"/>
      <c r="F855" s="18"/>
      <c r="G855" s="18"/>
      <c r="H855" s="18"/>
      <c r="I855" s="18"/>
      <c r="J855" s="18"/>
      <c r="K855" s="18"/>
      <c r="L855" s="18"/>
      <c r="M855" s="18"/>
      <c r="N855" s="18"/>
      <c r="O855" s="18"/>
      <c r="P855" s="23"/>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c r="BM855" s="26"/>
      <c r="BN855" s="26"/>
      <c r="BO855" s="26"/>
      <c r="BP855" s="26"/>
      <c r="BQ855" s="26"/>
      <c r="BR855" s="26"/>
      <c r="BS855" s="26"/>
      <c r="BT855" s="26"/>
      <c r="BU855" s="26"/>
      <c r="BV855" s="26"/>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26"/>
      <c r="CU855" s="26"/>
      <c r="CV855" s="26"/>
      <c r="CW855" s="26"/>
      <c r="CX855" s="26"/>
      <c r="CY855" s="26"/>
      <c r="CZ855" s="26"/>
      <c r="DA855" s="26"/>
      <c r="DB855" s="26"/>
      <c r="DC855" s="26"/>
      <c r="DD855" s="26"/>
      <c r="DE855" s="26"/>
      <c r="DF855" s="26"/>
      <c r="DG855" s="26"/>
      <c r="DH855" s="26"/>
      <c r="DI855" s="26"/>
      <c r="DJ855" s="26"/>
      <c r="DK855" s="26"/>
      <c r="DL855" s="26"/>
      <c r="DM855" s="26"/>
      <c r="DN855" s="26"/>
      <c r="DO855" s="26"/>
      <c r="DP855" s="26"/>
      <c r="DQ855" s="26"/>
      <c r="DR855" s="26"/>
      <c r="DS855" s="26"/>
      <c r="DT855" s="26"/>
      <c r="DU855" s="26"/>
      <c r="DV855" s="26"/>
      <c r="DW855" s="26"/>
      <c r="DX855" s="26"/>
      <c r="DY855" s="26"/>
      <c r="DZ855" s="26"/>
      <c r="EA855" s="26"/>
      <c r="EB855" s="26"/>
      <c r="EC855" s="26"/>
      <c r="ED855" s="26"/>
      <c r="EE855" s="26"/>
      <c r="EF855" s="26"/>
      <c r="EG855" s="26"/>
      <c r="EH855" s="26"/>
      <c r="EI855" s="26"/>
      <c r="EJ855" s="26"/>
      <c r="EK855" s="26"/>
      <c r="EL855" s="26"/>
      <c r="EM855" s="26"/>
      <c r="EN855" s="26"/>
      <c r="EO855" s="26"/>
      <c r="EP855" s="26"/>
      <c r="EQ855" s="26"/>
      <c r="ER855" s="26"/>
      <c r="ES855" s="26"/>
      <c r="ET855" s="26"/>
      <c r="EU855" s="26"/>
      <c r="EV855" s="26"/>
      <c r="EW855" s="26"/>
      <c r="EX855" s="26"/>
      <c r="EY855" s="26"/>
      <c r="EZ855" s="26"/>
      <c r="FA855" s="60"/>
      <c r="FB855" s="60"/>
      <c r="FC855" s="60"/>
      <c r="FD855" s="60"/>
      <c r="FE855" s="60"/>
      <c r="FF855" s="60"/>
      <c r="FG855" s="60"/>
      <c r="FH855" s="60"/>
      <c r="FI855" s="60"/>
      <c r="FJ855" s="60"/>
      <c r="FK855" s="60"/>
      <c r="FL855" s="60"/>
      <c r="FM855" s="60"/>
      <c r="FN855" s="60"/>
      <c r="FO855" s="60"/>
      <c r="FP855" s="60"/>
      <c r="FQ855" s="60"/>
      <c r="FR855" s="60"/>
      <c r="FS855" s="60"/>
      <c r="FT855" s="60"/>
      <c r="FU855" s="60"/>
      <c r="FV855" s="60"/>
      <c r="FW855" s="60"/>
      <c r="FX855" s="60"/>
    </row>
    <row r="856">
      <c r="A856" s="18"/>
      <c r="B856" s="14"/>
      <c r="C856" s="14"/>
      <c r="D856" s="14"/>
      <c r="E856" s="18"/>
      <c r="F856" s="18"/>
      <c r="G856" s="18"/>
      <c r="H856" s="18"/>
      <c r="I856" s="18"/>
      <c r="J856" s="18"/>
      <c r="K856" s="18"/>
      <c r="L856" s="18"/>
      <c r="M856" s="18"/>
      <c r="N856" s="18"/>
      <c r="O856" s="18"/>
      <c r="P856" s="23"/>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c r="BO856" s="26"/>
      <c r="BP856" s="26"/>
      <c r="BQ856" s="26"/>
      <c r="BR856" s="26"/>
      <c r="BS856" s="26"/>
      <c r="BT856" s="26"/>
      <c r="BU856" s="26"/>
      <c r="BV856" s="26"/>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26"/>
      <c r="CU856" s="26"/>
      <c r="CV856" s="26"/>
      <c r="CW856" s="26"/>
      <c r="CX856" s="26"/>
      <c r="CY856" s="26"/>
      <c r="CZ856" s="26"/>
      <c r="DA856" s="26"/>
      <c r="DB856" s="26"/>
      <c r="DC856" s="26"/>
      <c r="DD856" s="26"/>
      <c r="DE856" s="26"/>
      <c r="DF856" s="26"/>
      <c r="DG856" s="26"/>
      <c r="DH856" s="26"/>
      <c r="DI856" s="26"/>
      <c r="DJ856" s="26"/>
      <c r="DK856" s="26"/>
      <c r="DL856" s="26"/>
      <c r="DM856" s="26"/>
      <c r="DN856" s="26"/>
      <c r="DO856" s="26"/>
      <c r="DP856" s="26"/>
      <c r="DQ856" s="26"/>
      <c r="DR856" s="26"/>
      <c r="DS856" s="26"/>
      <c r="DT856" s="26"/>
      <c r="DU856" s="26"/>
      <c r="DV856" s="26"/>
      <c r="DW856" s="26"/>
      <c r="DX856" s="26"/>
      <c r="DY856" s="26"/>
      <c r="DZ856" s="26"/>
      <c r="EA856" s="26"/>
      <c r="EB856" s="26"/>
      <c r="EC856" s="26"/>
      <c r="ED856" s="26"/>
      <c r="EE856" s="26"/>
      <c r="EF856" s="26"/>
      <c r="EG856" s="26"/>
      <c r="EH856" s="26"/>
      <c r="EI856" s="26"/>
      <c r="EJ856" s="26"/>
      <c r="EK856" s="26"/>
      <c r="EL856" s="26"/>
      <c r="EM856" s="26"/>
      <c r="EN856" s="26"/>
      <c r="EO856" s="26"/>
      <c r="EP856" s="26"/>
      <c r="EQ856" s="26"/>
      <c r="ER856" s="26"/>
      <c r="ES856" s="26"/>
      <c r="ET856" s="26"/>
      <c r="EU856" s="26"/>
      <c r="EV856" s="26"/>
      <c r="EW856" s="26"/>
      <c r="EX856" s="26"/>
      <c r="EY856" s="26"/>
      <c r="EZ856" s="26"/>
      <c r="FA856" s="60"/>
      <c r="FB856" s="60"/>
      <c r="FC856" s="60"/>
      <c r="FD856" s="60"/>
      <c r="FE856" s="60"/>
      <c r="FF856" s="60"/>
      <c r="FG856" s="60"/>
      <c r="FH856" s="60"/>
      <c r="FI856" s="60"/>
      <c r="FJ856" s="60"/>
      <c r="FK856" s="60"/>
      <c r="FL856" s="60"/>
      <c r="FM856" s="60"/>
      <c r="FN856" s="60"/>
      <c r="FO856" s="60"/>
      <c r="FP856" s="60"/>
      <c r="FQ856" s="60"/>
      <c r="FR856" s="60"/>
      <c r="FS856" s="60"/>
      <c r="FT856" s="60"/>
      <c r="FU856" s="60"/>
      <c r="FV856" s="60"/>
      <c r="FW856" s="60"/>
      <c r="FX856" s="60"/>
    </row>
    <row r="857">
      <c r="A857" s="18"/>
      <c r="B857" s="14"/>
      <c r="C857" s="14"/>
      <c r="D857" s="14"/>
      <c r="E857" s="18"/>
      <c r="F857" s="18"/>
      <c r="G857" s="18"/>
      <c r="H857" s="18"/>
      <c r="I857" s="18"/>
      <c r="J857" s="18"/>
      <c r="K857" s="18"/>
      <c r="L857" s="18"/>
      <c r="M857" s="18"/>
      <c r="N857" s="18"/>
      <c r="O857" s="18"/>
      <c r="P857" s="23"/>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c r="BM857" s="26"/>
      <c r="BN857" s="26"/>
      <c r="BO857" s="26"/>
      <c r="BP857" s="26"/>
      <c r="BQ857" s="26"/>
      <c r="BR857" s="26"/>
      <c r="BS857" s="26"/>
      <c r="BT857" s="26"/>
      <c r="BU857" s="26"/>
      <c r="BV857" s="26"/>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26"/>
      <c r="CU857" s="26"/>
      <c r="CV857" s="26"/>
      <c r="CW857" s="26"/>
      <c r="CX857" s="26"/>
      <c r="CY857" s="26"/>
      <c r="CZ857" s="26"/>
      <c r="DA857" s="26"/>
      <c r="DB857" s="26"/>
      <c r="DC857" s="26"/>
      <c r="DD857" s="26"/>
      <c r="DE857" s="26"/>
      <c r="DF857" s="26"/>
      <c r="DG857" s="26"/>
      <c r="DH857" s="26"/>
      <c r="DI857" s="26"/>
      <c r="DJ857" s="26"/>
      <c r="DK857" s="26"/>
      <c r="DL857" s="26"/>
      <c r="DM857" s="26"/>
      <c r="DN857" s="26"/>
      <c r="DO857" s="26"/>
      <c r="DP857" s="26"/>
      <c r="DQ857" s="26"/>
      <c r="DR857" s="26"/>
      <c r="DS857" s="26"/>
      <c r="DT857" s="26"/>
      <c r="DU857" s="26"/>
      <c r="DV857" s="26"/>
      <c r="DW857" s="26"/>
      <c r="DX857" s="26"/>
      <c r="DY857" s="26"/>
      <c r="DZ857" s="26"/>
      <c r="EA857" s="26"/>
      <c r="EB857" s="26"/>
      <c r="EC857" s="26"/>
      <c r="ED857" s="26"/>
      <c r="EE857" s="26"/>
      <c r="EF857" s="26"/>
      <c r="EG857" s="26"/>
      <c r="EH857" s="26"/>
      <c r="EI857" s="26"/>
      <c r="EJ857" s="26"/>
      <c r="EK857" s="26"/>
      <c r="EL857" s="26"/>
      <c r="EM857" s="26"/>
      <c r="EN857" s="26"/>
      <c r="EO857" s="26"/>
      <c r="EP857" s="26"/>
      <c r="EQ857" s="26"/>
      <c r="ER857" s="26"/>
      <c r="ES857" s="26"/>
      <c r="ET857" s="26"/>
      <c r="EU857" s="26"/>
      <c r="EV857" s="26"/>
      <c r="EW857" s="26"/>
      <c r="EX857" s="26"/>
      <c r="EY857" s="26"/>
      <c r="EZ857" s="26"/>
      <c r="FA857" s="60"/>
      <c r="FB857" s="60"/>
      <c r="FC857" s="60"/>
      <c r="FD857" s="60"/>
      <c r="FE857" s="60"/>
      <c r="FF857" s="60"/>
      <c r="FG857" s="60"/>
      <c r="FH857" s="60"/>
      <c r="FI857" s="60"/>
      <c r="FJ857" s="60"/>
      <c r="FK857" s="60"/>
      <c r="FL857" s="60"/>
      <c r="FM857" s="60"/>
      <c r="FN857" s="60"/>
      <c r="FO857" s="60"/>
      <c r="FP857" s="60"/>
      <c r="FQ857" s="60"/>
      <c r="FR857" s="60"/>
      <c r="FS857" s="60"/>
      <c r="FT857" s="60"/>
      <c r="FU857" s="60"/>
      <c r="FV857" s="60"/>
      <c r="FW857" s="60"/>
      <c r="FX857" s="60"/>
    </row>
    <row r="858">
      <c r="A858" s="18"/>
      <c r="B858" s="14"/>
      <c r="C858" s="14"/>
      <c r="D858" s="14"/>
      <c r="E858" s="18"/>
      <c r="F858" s="18"/>
      <c r="G858" s="18"/>
      <c r="H858" s="18"/>
      <c r="I858" s="18"/>
      <c r="J858" s="18"/>
      <c r="K858" s="18"/>
      <c r="L858" s="18"/>
      <c r="M858" s="18"/>
      <c r="N858" s="18"/>
      <c r="O858" s="18"/>
      <c r="P858" s="23"/>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c r="BO858" s="26"/>
      <c r="BP858" s="26"/>
      <c r="BQ858" s="26"/>
      <c r="BR858" s="26"/>
      <c r="BS858" s="26"/>
      <c r="BT858" s="26"/>
      <c r="BU858" s="26"/>
      <c r="BV858" s="26"/>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26"/>
      <c r="CU858" s="26"/>
      <c r="CV858" s="26"/>
      <c r="CW858" s="26"/>
      <c r="CX858" s="26"/>
      <c r="CY858" s="26"/>
      <c r="CZ858" s="26"/>
      <c r="DA858" s="26"/>
      <c r="DB858" s="26"/>
      <c r="DC858" s="26"/>
      <c r="DD858" s="26"/>
      <c r="DE858" s="26"/>
      <c r="DF858" s="26"/>
      <c r="DG858" s="26"/>
      <c r="DH858" s="26"/>
      <c r="DI858" s="26"/>
      <c r="DJ858" s="26"/>
      <c r="DK858" s="26"/>
      <c r="DL858" s="26"/>
      <c r="DM858" s="26"/>
      <c r="DN858" s="26"/>
      <c r="DO858" s="26"/>
      <c r="DP858" s="26"/>
      <c r="DQ858" s="26"/>
      <c r="DR858" s="26"/>
      <c r="DS858" s="26"/>
      <c r="DT858" s="26"/>
      <c r="DU858" s="26"/>
      <c r="DV858" s="26"/>
      <c r="DW858" s="26"/>
      <c r="DX858" s="26"/>
      <c r="DY858" s="26"/>
      <c r="DZ858" s="26"/>
      <c r="EA858" s="26"/>
      <c r="EB858" s="26"/>
      <c r="EC858" s="26"/>
      <c r="ED858" s="26"/>
      <c r="EE858" s="26"/>
      <c r="EF858" s="26"/>
      <c r="EG858" s="26"/>
      <c r="EH858" s="26"/>
      <c r="EI858" s="26"/>
      <c r="EJ858" s="26"/>
      <c r="EK858" s="26"/>
      <c r="EL858" s="26"/>
      <c r="EM858" s="26"/>
      <c r="EN858" s="26"/>
      <c r="EO858" s="26"/>
      <c r="EP858" s="26"/>
      <c r="EQ858" s="26"/>
      <c r="ER858" s="26"/>
      <c r="ES858" s="26"/>
      <c r="ET858" s="26"/>
      <c r="EU858" s="26"/>
      <c r="EV858" s="26"/>
      <c r="EW858" s="26"/>
      <c r="EX858" s="26"/>
      <c r="EY858" s="26"/>
      <c r="EZ858" s="26"/>
      <c r="FA858" s="60"/>
      <c r="FB858" s="60"/>
      <c r="FC858" s="60"/>
      <c r="FD858" s="60"/>
      <c r="FE858" s="60"/>
      <c r="FF858" s="60"/>
      <c r="FG858" s="60"/>
      <c r="FH858" s="60"/>
      <c r="FI858" s="60"/>
      <c r="FJ858" s="60"/>
      <c r="FK858" s="60"/>
      <c r="FL858" s="60"/>
      <c r="FM858" s="60"/>
      <c r="FN858" s="60"/>
      <c r="FO858" s="60"/>
      <c r="FP858" s="60"/>
      <c r="FQ858" s="60"/>
      <c r="FR858" s="60"/>
      <c r="FS858" s="60"/>
      <c r="FT858" s="60"/>
      <c r="FU858" s="60"/>
      <c r="FV858" s="60"/>
      <c r="FW858" s="60"/>
      <c r="FX858" s="60"/>
    </row>
    <row r="859">
      <c r="A859" s="18"/>
      <c r="B859" s="14"/>
      <c r="C859" s="14"/>
      <c r="D859" s="14"/>
      <c r="E859" s="18"/>
      <c r="F859" s="18"/>
      <c r="G859" s="18"/>
      <c r="H859" s="18"/>
      <c r="I859" s="18"/>
      <c r="J859" s="18"/>
      <c r="K859" s="18"/>
      <c r="L859" s="18"/>
      <c r="M859" s="18"/>
      <c r="N859" s="18"/>
      <c r="O859" s="18"/>
      <c r="P859" s="23"/>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c r="BL859" s="26"/>
      <c r="BM859" s="26"/>
      <c r="BN859" s="26"/>
      <c r="BO859" s="26"/>
      <c r="BP859" s="26"/>
      <c r="BQ859" s="26"/>
      <c r="BR859" s="26"/>
      <c r="BS859" s="26"/>
      <c r="BT859" s="26"/>
      <c r="BU859" s="26"/>
      <c r="BV859" s="26"/>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26"/>
      <c r="CU859" s="26"/>
      <c r="CV859" s="26"/>
      <c r="CW859" s="26"/>
      <c r="CX859" s="26"/>
      <c r="CY859" s="26"/>
      <c r="CZ859" s="26"/>
      <c r="DA859" s="26"/>
      <c r="DB859" s="26"/>
      <c r="DC859" s="26"/>
      <c r="DD859" s="26"/>
      <c r="DE859" s="26"/>
      <c r="DF859" s="26"/>
      <c r="DG859" s="26"/>
      <c r="DH859" s="26"/>
      <c r="DI859" s="26"/>
      <c r="DJ859" s="26"/>
      <c r="DK859" s="26"/>
      <c r="DL859" s="26"/>
      <c r="DM859" s="26"/>
      <c r="DN859" s="26"/>
      <c r="DO859" s="26"/>
      <c r="DP859" s="26"/>
      <c r="DQ859" s="26"/>
      <c r="DR859" s="26"/>
      <c r="DS859" s="26"/>
      <c r="DT859" s="26"/>
      <c r="DU859" s="26"/>
      <c r="DV859" s="26"/>
      <c r="DW859" s="26"/>
      <c r="DX859" s="26"/>
      <c r="DY859" s="26"/>
      <c r="DZ859" s="26"/>
      <c r="EA859" s="26"/>
      <c r="EB859" s="26"/>
      <c r="EC859" s="26"/>
      <c r="ED859" s="26"/>
      <c r="EE859" s="26"/>
      <c r="EF859" s="26"/>
      <c r="EG859" s="26"/>
      <c r="EH859" s="26"/>
      <c r="EI859" s="26"/>
      <c r="EJ859" s="26"/>
      <c r="EK859" s="26"/>
      <c r="EL859" s="26"/>
      <c r="EM859" s="26"/>
      <c r="EN859" s="26"/>
      <c r="EO859" s="26"/>
      <c r="EP859" s="26"/>
      <c r="EQ859" s="26"/>
      <c r="ER859" s="26"/>
      <c r="ES859" s="26"/>
      <c r="ET859" s="26"/>
      <c r="EU859" s="26"/>
      <c r="EV859" s="26"/>
      <c r="EW859" s="26"/>
      <c r="EX859" s="26"/>
      <c r="EY859" s="26"/>
      <c r="EZ859" s="26"/>
      <c r="FA859" s="60"/>
      <c r="FB859" s="60"/>
      <c r="FC859" s="60"/>
      <c r="FD859" s="60"/>
      <c r="FE859" s="60"/>
      <c r="FF859" s="60"/>
      <c r="FG859" s="60"/>
      <c r="FH859" s="60"/>
      <c r="FI859" s="60"/>
      <c r="FJ859" s="60"/>
      <c r="FK859" s="60"/>
      <c r="FL859" s="60"/>
      <c r="FM859" s="60"/>
      <c r="FN859" s="60"/>
      <c r="FO859" s="60"/>
      <c r="FP859" s="60"/>
      <c r="FQ859" s="60"/>
      <c r="FR859" s="60"/>
      <c r="FS859" s="60"/>
      <c r="FT859" s="60"/>
      <c r="FU859" s="60"/>
      <c r="FV859" s="60"/>
      <c r="FW859" s="60"/>
      <c r="FX859" s="60"/>
    </row>
    <row r="860">
      <c r="A860" s="18"/>
      <c r="B860" s="14"/>
      <c r="C860" s="14"/>
      <c r="D860" s="14"/>
      <c r="E860" s="18"/>
      <c r="F860" s="18"/>
      <c r="G860" s="18"/>
      <c r="H860" s="18"/>
      <c r="I860" s="18"/>
      <c r="J860" s="18"/>
      <c r="K860" s="18"/>
      <c r="L860" s="18"/>
      <c r="M860" s="18"/>
      <c r="N860" s="18"/>
      <c r="O860" s="18"/>
      <c r="P860" s="23"/>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c r="BO860" s="26"/>
      <c r="BP860" s="26"/>
      <c r="BQ860" s="26"/>
      <c r="BR860" s="26"/>
      <c r="BS860" s="26"/>
      <c r="BT860" s="26"/>
      <c r="BU860" s="26"/>
      <c r="BV860" s="26"/>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26"/>
      <c r="CU860" s="26"/>
      <c r="CV860" s="26"/>
      <c r="CW860" s="26"/>
      <c r="CX860" s="26"/>
      <c r="CY860" s="26"/>
      <c r="CZ860" s="26"/>
      <c r="DA860" s="26"/>
      <c r="DB860" s="26"/>
      <c r="DC860" s="26"/>
      <c r="DD860" s="26"/>
      <c r="DE860" s="26"/>
      <c r="DF860" s="26"/>
      <c r="DG860" s="26"/>
      <c r="DH860" s="26"/>
      <c r="DI860" s="26"/>
      <c r="DJ860" s="26"/>
      <c r="DK860" s="26"/>
      <c r="DL860" s="26"/>
      <c r="DM860" s="26"/>
      <c r="DN860" s="26"/>
      <c r="DO860" s="26"/>
      <c r="DP860" s="26"/>
      <c r="DQ860" s="26"/>
      <c r="DR860" s="26"/>
      <c r="DS860" s="26"/>
      <c r="DT860" s="26"/>
      <c r="DU860" s="26"/>
      <c r="DV860" s="26"/>
      <c r="DW860" s="26"/>
      <c r="DX860" s="26"/>
      <c r="DY860" s="26"/>
      <c r="DZ860" s="26"/>
      <c r="EA860" s="26"/>
      <c r="EB860" s="26"/>
      <c r="EC860" s="26"/>
      <c r="ED860" s="26"/>
      <c r="EE860" s="26"/>
      <c r="EF860" s="26"/>
      <c r="EG860" s="26"/>
      <c r="EH860" s="26"/>
      <c r="EI860" s="26"/>
      <c r="EJ860" s="26"/>
      <c r="EK860" s="26"/>
      <c r="EL860" s="26"/>
      <c r="EM860" s="26"/>
      <c r="EN860" s="26"/>
      <c r="EO860" s="26"/>
      <c r="EP860" s="26"/>
      <c r="EQ860" s="26"/>
      <c r="ER860" s="26"/>
      <c r="ES860" s="26"/>
      <c r="ET860" s="26"/>
      <c r="EU860" s="26"/>
      <c r="EV860" s="26"/>
      <c r="EW860" s="26"/>
      <c r="EX860" s="26"/>
      <c r="EY860" s="26"/>
      <c r="EZ860" s="26"/>
      <c r="FA860" s="60"/>
      <c r="FB860" s="60"/>
      <c r="FC860" s="60"/>
      <c r="FD860" s="60"/>
      <c r="FE860" s="60"/>
      <c r="FF860" s="60"/>
      <c r="FG860" s="60"/>
      <c r="FH860" s="60"/>
      <c r="FI860" s="60"/>
      <c r="FJ860" s="60"/>
      <c r="FK860" s="60"/>
      <c r="FL860" s="60"/>
      <c r="FM860" s="60"/>
      <c r="FN860" s="60"/>
      <c r="FO860" s="60"/>
      <c r="FP860" s="60"/>
      <c r="FQ860" s="60"/>
      <c r="FR860" s="60"/>
      <c r="FS860" s="60"/>
      <c r="FT860" s="60"/>
      <c r="FU860" s="60"/>
      <c r="FV860" s="60"/>
      <c r="FW860" s="60"/>
      <c r="FX860" s="60"/>
    </row>
    <row r="861">
      <c r="A861" s="18"/>
      <c r="B861" s="14"/>
      <c r="C861" s="14"/>
      <c r="D861" s="14"/>
      <c r="E861" s="18"/>
      <c r="F861" s="18"/>
      <c r="G861" s="18"/>
      <c r="H861" s="18"/>
      <c r="I861" s="18"/>
      <c r="J861" s="18"/>
      <c r="K861" s="18"/>
      <c r="L861" s="18"/>
      <c r="M861" s="18"/>
      <c r="N861" s="18"/>
      <c r="O861" s="18"/>
      <c r="P861" s="23"/>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c r="BL861" s="26"/>
      <c r="BM861" s="26"/>
      <c r="BN861" s="26"/>
      <c r="BO861" s="26"/>
      <c r="BP861" s="26"/>
      <c r="BQ861" s="26"/>
      <c r="BR861" s="26"/>
      <c r="BS861" s="26"/>
      <c r="BT861" s="26"/>
      <c r="BU861" s="26"/>
      <c r="BV861" s="26"/>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26"/>
      <c r="CU861" s="26"/>
      <c r="CV861" s="26"/>
      <c r="CW861" s="26"/>
      <c r="CX861" s="26"/>
      <c r="CY861" s="26"/>
      <c r="CZ861" s="26"/>
      <c r="DA861" s="26"/>
      <c r="DB861" s="26"/>
      <c r="DC861" s="26"/>
      <c r="DD861" s="26"/>
      <c r="DE861" s="26"/>
      <c r="DF861" s="26"/>
      <c r="DG861" s="26"/>
      <c r="DH861" s="26"/>
      <c r="DI861" s="26"/>
      <c r="DJ861" s="26"/>
      <c r="DK861" s="26"/>
      <c r="DL861" s="26"/>
      <c r="DM861" s="26"/>
      <c r="DN861" s="26"/>
      <c r="DO861" s="26"/>
      <c r="DP861" s="26"/>
      <c r="DQ861" s="26"/>
      <c r="DR861" s="26"/>
      <c r="DS861" s="26"/>
      <c r="DT861" s="26"/>
      <c r="DU861" s="26"/>
      <c r="DV861" s="26"/>
      <c r="DW861" s="26"/>
      <c r="DX861" s="26"/>
      <c r="DY861" s="26"/>
      <c r="DZ861" s="26"/>
      <c r="EA861" s="26"/>
      <c r="EB861" s="26"/>
      <c r="EC861" s="26"/>
      <c r="ED861" s="26"/>
      <c r="EE861" s="26"/>
      <c r="EF861" s="26"/>
      <c r="EG861" s="26"/>
      <c r="EH861" s="26"/>
      <c r="EI861" s="26"/>
      <c r="EJ861" s="26"/>
      <c r="EK861" s="26"/>
      <c r="EL861" s="26"/>
      <c r="EM861" s="26"/>
      <c r="EN861" s="26"/>
      <c r="EO861" s="26"/>
      <c r="EP861" s="26"/>
      <c r="EQ861" s="26"/>
      <c r="ER861" s="26"/>
      <c r="ES861" s="26"/>
      <c r="ET861" s="26"/>
      <c r="EU861" s="26"/>
      <c r="EV861" s="26"/>
      <c r="EW861" s="26"/>
      <c r="EX861" s="26"/>
      <c r="EY861" s="26"/>
      <c r="EZ861" s="26"/>
      <c r="FA861" s="60"/>
      <c r="FB861" s="60"/>
      <c r="FC861" s="60"/>
      <c r="FD861" s="60"/>
      <c r="FE861" s="60"/>
      <c r="FF861" s="60"/>
      <c r="FG861" s="60"/>
      <c r="FH861" s="60"/>
      <c r="FI861" s="60"/>
      <c r="FJ861" s="60"/>
      <c r="FK861" s="60"/>
      <c r="FL861" s="60"/>
      <c r="FM861" s="60"/>
      <c r="FN861" s="60"/>
      <c r="FO861" s="60"/>
      <c r="FP861" s="60"/>
      <c r="FQ861" s="60"/>
      <c r="FR861" s="60"/>
      <c r="FS861" s="60"/>
      <c r="FT861" s="60"/>
      <c r="FU861" s="60"/>
      <c r="FV861" s="60"/>
      <c r="FW861" s="60"/>
      <c r="FX861" s="60"/>
    </row>
    <row r="862">
      <c r="A862" s="18"/>
      <c r="B862" s="14"/>
      <c r="C862" s="14"/>
      <c r="D862" s="14"/>
      <c r="E862" s="18"/>
      <c r="F862" s="18"/>
      <c r="G862" s="18"/>
      <c r="H862" s="18"/>
      <c r="I862" s="18"/>
      <c r="J862" s="18"/>
      <c r="K862" s="18"/>
      <c r="L862" s="18"/>
      <c r="M862" s="18"/>
      <c r="N862" s="18"/>
      <c r="O862" s="18"/>
      <c r="P862" s="23"/>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c r="BO862" s="26"/>
      <c r="BP862" s="26"/>
      <c r="BQ862" s="26"/>
      <c r="BR862" s="26"/>
      <c r="BS862" s="26"/>
      <c r="BT862" s="26"/>
      <c r="BU862" s="26"/>
      <c r="BV862" s="26"/>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26"/>
      <c r="CU862" s="26"/>
      <c r="CV862" s="26"/>
      <c r="CW862" s="26"/>
      <c r="CX862" s="26"/>
      <c r="CY862" s="26"/>
      <c r="CZ862" s="26"/>
      <c r="DA862" s="26"/>
      <c r="DB862" s="26"/>
      <c r="DC862" s="26"/>
      <c r="DD862" s="26"/>
      <c r="DE862" s="26"/>
      <c r="DF862" s="26"/>
      <c r="DG862" s="26"/>
      <c r="DH862" s="26"/>
      <c r="DI862" s="26"/>
      <c r="DJ862" s="26"/>
      <c r="DK862" s="26"/>
      <c r="DL862" s="26"/>
      <c r="DM862" s="26"/>
      <c r="DN862" s="26"/>
      <c r="DO862" s="26"/>
      <c r="DP862" s="26"/>
      <c r="DQ862" s="26"/>
      <c r="DR862" s="26"/>
      <c r="DS862" s="26"/>
      <c r="DT862" s="26"/>
      <c r="DU862" s="26"/>
      <c r="DV862" s="26"/>
      <c r="DW862" s="26"/>
      <c r="DX862" s="26"/>
      <c r="DY862" s="26"/>
      <c r="DZ862" s="26"/>
      <c r="EA862" s="26"/>
      <c r="EB862" s="26"/>
      <c r="EC862" s="26"/>
      <c r="ED862" s="26"/>
      <c r="EE862" s="26"/>
      <c r="EF862" s="26"/>
      <c r="EG862" s="26"/>
      <c r="EH862" s="26"/>
      <c r="EI862" s="26"/>
      <c r="EJ862" s="26"/>
      <c r="EK862" s="26"/>
      <c r="EL862" s="26"/>
      <c r="EM862" s="26"/>
      <c r="EN862" s="26"/>
      <c r="EO862" s="26"/>
      <c r="EP862" s="26"/>
      <c r="EQ862" s="26"/>
      <c r="ER862" s="26"/>
      <c r="ES862" s="26"/>
      <c r="ET862" s="26"/>
      <c r="EU862" s="26"/>
      <c r="EV862" s="26"/>
      <c r="EW862" s="26"/>
      <c r="EX862" s="26"/>
      <c r="EY862" s="26"/>
      <c r="EZ862" s="26"/>
      <c r="FA862" s="60"/>
      <c r="FB862" s="60"/>
      <c r="FC862" s="60"/>
      <c r="FD862" s="60"/>
      <c r="FE862" s="60"/>
      <c r="FF862" s="60"/>
      <c r="FG862" s="60"/>
      <c r="FH862" s="60"/>
      <c r="FI862" s="60"/>
      <c r="FJ862" s="60"/>
      <c r="FK862" s="60"/>
      <c r="FL862" s="60"/>
      <c r="FM862" s="60"/>
      <c r="FN862" s="60"/>
      <c r="FO862" s="60"/>
      <c r="FP862" s="60"/>
      <c r="FQ862" s="60"/>
      <c r="FR862" s="60"/>
      <c r="FS862" s="60"/>
      <c r="FT862" s="60"/>
      <c r="FU862" s="60"/>
      <c r="FV862" s="60"/>
      <c r="FW862" s="60"/>
      <c r="FX862" s="60"/>
    </row>
    <row r="863">
      <c r="A863" s="18"/>
      <c r="B863" s="14"/>
      <c r="C863" s="14"/>
      <c r="D863" s="14"/>
      <c r="E863" s="18"/>
      <c r="F863" s="18"/>
      <c r="G863" s="18"/>
      <c r="H863" s="18"/>
      <c r="I863" s="18"/>
      <c r="J863" s="18"/>
      <c r="K863" s="18"/>
      <c r="L863" s="18"/>
      <c r="M863" s="18"/>
      <c r="N863" s="18"/>
      <c r="O863" s="18"/>
      <c r="P863" s="23"/>
      <c r="Q863" s="26"/>
      <c r="R863" s="26"/>
      <c r="S863" s="26"/>
      <c r="T863" s="26"/>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c r="BL863" s="26"/>
      <c r="BM863" s="26"/>
      <c r="BN863" s="26"/>
      <c r="BO863" s="26"/>
      <c r="BP863" s="26"/>
      <c r="BQ863" s="26"/>
      <c r="BR863" s="26"/>
      <c r="BS863" s="26"/>
      <c r="BT863" s="26"/>
      <c r="BU863" s="26"/>
      <c r="BV863" s="26"/>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26"/>
      <c r="CU863" s="26"/>
      <c r="CV863" s="26"/>
      <c r="CW863" s="26"/>
      <c r="CX863" s="26"/>
      <c r="CY863" s="26"/>
      <c r="CZ863" s="26"/>
      <c r="DA863" s="26"/>
      <c r="DB863" s="26"/>
      <c r="DC863" s="26"/>
      <c r="DD863" s="26"/>
      <c r="DE863" s="26"/>
      <c r="DF863" s="26"/>
      <c r="DG863" s="26"/>
      <c r="DH863" s="26"/>
      <c r="DI863" s="26"/>
      <c r="DJ863" s="26"/>
      <c r="DK863" s="26"/>
      <c r="DL863" s="26"/>
      <c r="DM863" s="26"/>
      <c r="DN863" s="26"/>
      <c r="DO863" s="26"/>
      <c r="DP863" s="26"/>
      <c r="DQ863" s="26"/>
      <c r="DR863" s="26"/>
      <c r="DS863" s="26"/>
      <c r="DT863" s="26"/>
      <c r="DU863" s="26"/>
      <c r="DV863" s="26"/>
      <c r="DW863" s="26"/>
      <c r="DX863" s="26"/>
      <c r="DY863" s="26"/>
      <c r="DZ863" s="26"/>
      <c r="EA863" s="26"/>
      <c r="EB863" s="26"/>
      <c r="EC863" s="26"/>
      <c r="ED863" s="26"/>
      <c r="EE863" s="26"/>
      <c r="EF863" s="26"/>
      <c r="EG863" s="26"/>
      <c r="EH863" s="26"/>
      <c r="EI863" s="26"/>
      <c r="EJ863" s="26"/>
      <c r="EK863" s="26"/>
      <c r="EL863" s="26"/>
      <c r="EM863" s="26"/>
      <c r="EN863" s="26"/>
      <c r="EO863" s="26"/>
      <c r="EP863" s="26"/>
      <c r="EQ863" s="26"/>
      <c r="ER863" s="26"/>
      <c r="ES863" s="26"/>
      <c r="ET863" s="26"/>
      <c r="EU863" s="26"/>
      <c r="EV863" s="26"/>
      <c r="EW863" s="26"/>
      <c r="EX863" s="26"/>
      <c r="EY863" s="26"/>
      <c r="EZ863" s="26"/>
      <c r="FA863" s="60"/>
      <c r="FB863" s="60"/>
      <c r="FC863" s="60"/>
      <c r="FD863" s="60"/>
      <c r="FE863" s="60"/>
      <c r="FF863" s="60"/>
      <c r="FG863" s="60"/>
      <c r="FH863" s="60"/>
      <c r="FI863" s="60"/>
      <c r="FJ863" s="60"/>
      <c r="FK863" s="60"/>
      <c r="FL863" s="60"/>
      <c r="FM863" s="60"/>
      <c r="FN863" s="60"/>
      <c r="FO863" s="60"/>
      <c r="FP863" s="60"/>
      <c r="FQ863" s="60"/>
      <c r="FR863" s="60"/>
      <c r="FS863" s="60"/>
      <c r="FT863" s="60"/>
      <c r="FU863" s="60"/>
      <c r="FV863" s="60"/>
      <c r="FW863" s="60"/>
      <c r="FX863" s="60"/>
    </row>
    <row r="864">
      <c r="A864" s="18"/>
      <c r="B864" s="14"/>
      <c r="C864" s="14"/>
      <c r="D864" s="14"/>
      <c r="E864" s="18"/>
      <c r="F864" s="18"/>
      <c r="G864" s="18"/>
      <c r="H864" s="18"/>
      <c r="I864" s="18"/>
      <c r="J864" s="18"/>
      <c r="K864" s="18"/>
      <c r="L864" s="18"/>
      <c r="M864" s="18"/>
      <c r="N864" s="18"/>
      <c r="O864" s="18"/>
      <c r="P864" s="23"/>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c r="BO864" s="26"/>
      <c r="BP864" s="26"/>
      <c r="BQ864" s="26"/>
      <c r="BR864" s="26"/>
      <c r="BS864" s="26"/>
      <c r="BT864" s="26"/>
      <c r="BU864" s="26"/>
      <c r="BV864" s="26"/>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26"/>
      <c r="CU864" s="26"/>
      <c r="CV864" s="26"/>
      <c r="CW864" s="26"/>
      <c r="CX864" s="26"/>
      <c r="CY864" s="26"/>
      <c r="CZ864" s="26"/>
      <c r="DA864" s="26"/>
      <c r="DB864" s="26"/>
      <c r="DC864" s="26"/>
      <c r="DD864" s="26"/>
      <c r="DE864" s="26"/>
      <c r="DF864" s="26"/>
      <c r="DG864" s="26"/>
      <c r="DH864" s="26"/>
      <c r="DI864" s="26"/>
      <c r="DJ864" s="26"/>
      <c r="DK864" s="26"/>
      <c r="DL864" s="26"/>
      <c r="DM864" s="26"/>
      <c r="DN864" s="26"/>
      <c r="DO864" s="26"/>
      <c r="DP864" s="26"/>
      <c r="DQ864" s="26"/>
      <c r="DR864" s="26"/>
      <c r="DS864" s="26"/>
      <c r="DT864" s="26"/>
      <c r="DU864" s="26"/>
      <c r="DV864" s="26"/>
      <c r="DW864" s="26"/>
      <c r="DX864" s="26"/>
      <c r="DY864" s="26"/>
      <c r="DZ864" s="26"/>
      <c r="EA864" s="26"/>
      <c r="EB864" s="26"/>
      <c r="EC864" s="26"/>
      <c r="ED864" s="26"/>
      <c r="EE864" s="26"/>
      <c r="EF864" s="26"/>
      <c r="EG864" s="26"/>
      <c r="EH864" s="26"/>
      <c r="EI864" s="26"/>
      <c r="EJ864" s="26"/>
      <c r="EK864" s="26"/>
      <c r="EL864" s="26"/>
      <c r="EM864" s="26"/>
      <c r="EN864" s="26"/>
      <c r="EO864" s="26"/>
      <c r="EP864" s="26"/>
      <c r="EQ864" s="26"/>
      <c r="ER864" s="26"/>
      <c r="ES864" s="26"/>
      <c r="ET864" s="26"/>
      <c r="EU864" s="26"/>
      <c r="EV864" s="26"/>
      <c r="EW864" s="26"/>
      <c r="EX864" s="26"/>
      <c r="EY864" s="26"/>
      <c r="EZ864" s="26"/>
      <c r="FA864" s="60"/>
      <c r="FB864" s="60"/>
      <c r="FC864" s="60"/>
      <c r="FD864" s="60"/>
      <c r="FE864" s="60"/>
      <c r="FF864" s="60"/>
      <c r="FG864" s="60"/>
      <c r="FH864" s="60"/>
      <c r="FI864" s="60"/>
      <c r="FJ864" s="60"/>
      <c r="FK864" s="60"/>
      <c r="FL864" s="60"/>
      <c r="FM864" s="60"/>
      <c r="FN864" s="60"/>
      <c r="FO864" s="60"/>
      <c r="FP864" s="60"/>
      <c r="FQ864" s="60"/>
      <c r="FR864" s="60"/>
      <c r="FS864" s="60"/>
      <c r="FT864" s="60"/>
      <c r="FU864" s="60"/>
      <c r="FV864" s="60"/>
      <c r="FW864" s="60"/>
      <c r="FX864" s="60"/>
    </row>
    <row r="865">
      <c r="A865" s="18"/>
      <c r="B865" s="14"/>
      <c r="C865" s="14"/>
      <c r="D865" s="14"/>
      <c r="E865" s="18"/>
      <c r="F865" s="18"/>
      <c r="G865" s="18"/>
      <c r="H865" s="18"/>
      <c r="I865" s="18"/>
      <c r="J865" s="18"/>
      <c r="K865" s="18"/>
      <c r="L865" s="18"/>
      <c r="M865" s="18"/>
      <c r="N865" s="18"/>
      <c r="O865" s="18"/>
      <c r="P865" s="23"/>
      <c r="Q865" s="26"/>
      <c r="R865" s="26"/>
      <c r="S865" s="26"/>
      <c r="T865" s="26"/>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c r="BL865" s="26"/>
      <c r="BM865" s="26"/>
      <c r="BN865" s="26"/>
      <c r="BO865" s="26"/>
      <c r="BP865" s="26"/>
      <c r="BQ865" s="26"/>
      <c r="BR865" s="26"/>
      <c r="BS865" s="26"/>
      <c r="BT865" s="26"/>
      <c r="BU865" s="26"/>
      <c r="BV865" s="26"/>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26"/>
      <c r="CU865" s="26"/>
      <c r="CV865" s="26"/>
      <c r="CW865" s="26"/>
      <c r="CX865" s="26"/>
      <c r="CY865" s="26"/>
      <c r="CZ865" s="26"/>
      <c r="DA865" s="26"/>
      <c r="DB865" s="26"/>
      <c r="DC865" s="26"/>
      <c r="DD865" s="26"/>
      <c r="DE865" s="26"/>
      <c r="DF865" s="26"/>
      <c r="DG865" s="26"/>
      <c r="DH865" s="26"/>
      <c r="DI865" s="26"/>
      <c r="DJ865" s="26"/>
      <c r="DK865" s="26"/>
      <c r="DL865" s="26"/>
      <c r="DM865" s="26"/>
      <c r="DN865" s="26"/>
      <c r="DO865" s="26"/>
      <c r="DP865" s="26"/>
      <c r="DQ865" s="26"/>
      <c r="DR865" s="26"/>
      <c r="DS865" s="26"/>
      <c r="DT865" s="26"/>
      <c r="DU865" s="26"/>
      <c r="DV865" s="26"/>
      <c r="DW865" s="26"/>
      <c r="DX865" s="26"/>
      <c r="DY865" s="26"/>
      <c r="DZ865" s="26"/>
      <c r="EA865" s="26"/>
      <c r="EB865" s="26"/>
      <c r="EC865" s="26"/>
      <c r="ED865" s="26"/>
      <c r="EE865" s="26"/>
      <c r="EF865" s="26"/>
      <c r="EG865" s="26"/>
      <c r="EH865" s="26"/>
      <c r="EI865" s="26"/>
      <c r="EJ865" s="26"/>
      <c r="EK865" s="26"/>
      <c r="EL865" s="26"/>
      <c r="EM865" s="26"/>
      <c r="EN865" s="26"/>
      <c r="EO865" s="26"/>
      <c r="EP865" s="26"/>
      <c r="EQ865" s="26"/>
      <c r="ER865" s="26"/>
      <c r="ES865" s="26"/>
      <c r="ET865" s="26"/>
      <c r="EU865" s="26"/>
      <c r="EV865" s="26"/>
      <c r="EW865" s="26"/>
      <c r="EX865" s="26"/>
      <c r="EY865" s="26"/>
      <c r="EZ865" s="26"/>
      <c r="FA865" s="60"/>
      <c r="FB865" s="60"/>
      <c r="FC865" s="60"/>
      <c r="FD865" s="60"/>
      <c r="FE865" s="60"/>
      <c r="FF865" s="60"/>
      <c r="FG865" s="60"/>
      <c r="FH865" s="60"/>
      <c r="FI865" s="60"/>
      <c r="FJ865" s="60"/>
      <c r="FK865" s="60"/>
      <c r="FL865" s="60"/>
      <c r="FM865" s="60"/>
      <c r="FN865" s="60"/>
      <c r="FO865" s="60"/>
      <c r="FP865" s="60"/>
      <c r="FQ865" s="60"/>
      <c r="FR865" s="60"/>
      <c r="FS865" s="60"/>
      <c r="FT865" s="60"/>
      <c r="FU865" s="60"/>
      <c r="FV865" s="60"/>
      <c r="FW865" s="60"/>
      <c r="FX865" s="60"/>
    </row>
    <row r="866">
      <c r="A866" s="18"/>
      <c r="B866" s="14"/>
      <c r="C866" s="14"/>
      <c r="D866" s="14"/>
      <c r="E866" s="18"/>
      <c r="F866" s="18"/>
      <c r="G866" s="18"/>
      <c r="H866" s="18"/>
      <c r="I866" s="18"/>
      <c r="J866" s="18"/>
      <c r="K866" s="18"/>
      <c r="L866" s="18"/>
      <c r="M866" s="18"/>
      <c r="N866" s="18"/>
      <c r="O866" s="18"/>
      <c r="P866" s="23"/>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c r="BO866" s="26"/>
      <c r="BP866" s="26"/>
      <c r="BQ866" s="26"/>
      <c r="BR866" s="26"/>
      <c r="BS866" s="26"/>
      <c r="BT866" s="26"/>
      <c r="BU866" s="26"/>
      <c r="BV866" s="26"/>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26"/>
      <c r="CU866" s="26"/>
      <c r="CV866" s="26"/>
      <c r="CW866" s="26"/>
      <c r="CX866" s="26"/>
      <c r="CY866" s="26"/>
      <c r="CZ866" s="26"/>
      <c r="DA866" s="26"/>
      <c r="DB866" s="26"/>
      <c r="DC866" s="26"/>
      <c r="DD866" s="26"/>
      <c r="DE866" s="26"/>
      <c r="DF866" s="26"/>
      <c r="DG866" s="26"/>
      <c r="DH866" s="26"/>
      <c r="DI866" s="26"/>
      <c r="DJ866" s="26"/>
      <c r="DK866" s="26"/>
      <c r="DL866" s="26"/>
      <c r="DM866" s="26"/>
      <c r="DN866" s="26"/>
      <c r="DO866" s="26"/>
      <c r="DP866" s="26"/>
      <c r="DQ866" s="26"/>
      <c r="DR866" s="26"/>
      <c r="DS866" s="26"/>
      <c r="DT866" s="26"/>
      <c r="DU866" s="26"/>
      <c r="DV866" s="26"/>
      <c r="DW866" s="26"/>
      <c r="DX866" s="26"/>
      <c r="DY866" s="26"/>
      <c r="DZ866" s="26"/>
      <c r="EA866" s="26"/>
      <c r="EB866" s="26"/>
      <c r="EC866" s="26"/>
      <c r="ED866" s="26"/>
      <c r="EE866" s="26"/>
      <c r="EF866" s="26"/>
      <c r="EG866" s="26"/>
      <c r="EH866" s="26"/>
      <c r="EI866" s="26"/>
      <c r="EJ866" s="26"/>
      <c r="EK866" s="26"/>
      <c r="EL866" s="26"/>
      <c r="EM866" s="26"/>
      <c r="EN866" s="26"/>
      <c r="EO866" s="26"/>
      <c r="EP866" s="26"/>
      <c r="EQ866" s="26"/>
      <c r="ER866" s="26"/>
      <c r="ES866" s="26"/>
      <c r="ET866" s="26"/>
      <c r="EU866" s="26"/>
      <c r="EV866" s="26"/>
      <c r="EW866" s="26"/>
      <c r="EX866" s="26"/>
      <c r="EY866" s="26"/>
      <c r="EZ866" s="26"/>
      <c r="FA866" s="60"/>
      <c r="FB866" s="60"/>
      <c r="FC866" s="60"/>
      <c r="FD866" s="60"/>
      <c r="FE866" s="60"/>
      <c r="FF866" s="60"/>
      <c r="FG866" s="60"/>
      <c r="FH866" s="60"/>
      <c r="FI866" s="60"/>
      <c r="FJ866" s="60"/>
      <c r="FK866" s="60"/>
      <c r="FL866" s="60"/>
      <c r="FM866" s="60"/>
      <c r="FN866" s="60"/>
      <c r="FO866" s="60"/>
      <c r="FP866" s="60"/>
      <c r="FQ866" s="60"/>
      <c r="FR866" s="60"/>
      <c r="FS866" s="60"/>
      <c r="FT866" s="60"/>
      <c r="FU866" s="60"/>
      <c r="FV866" s="60"/>
      <c r="FW866" s="60"/>
      <c r="FX866" s="60"/>
    </row>
    <row r="867">
      <c r="A867" s="18"/>
      <c r="B867" s="14"/>
      <c r="C867" s="14"/>
      <c r="D867" s="14"/>
      <c r="E867" s="18"/>
      <c r="F867" s="18"/>
      <c r="G867" s="18"/>
      <c r="H867" s="18"/>
      <c r="I867" s="18"/>
      <c r="J867" s="18"/>
      <c r="K867" s="18"/>
      <c r="L867" s="18"/>
      <c r="M867" s="18"/>
      <c r="N867" s="18"/>
      <c r="O867" s="18"/>
      <c r="P867" s="23"/>
      <c r="Q867" s="26"/>
      <c r="R867" s="26"/>
      <c r="S867" s="26"/>
      <c r="T867" s="26"/>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c r="BL867" s="26"/>
      <c r="BM867" s="26"/>
      <c r="BN867" s="26"/>
      <c r="BO867" s="26"/>
      <c r="BP867" s="26"/>
      <c r="BQ867" s="26"/>
      <c r="BR867" s="26"/>
      <c r="BS867" s="26"/>
      <c r="BT867" s="26"/>
      <c r="BU867" s="26"/>
      <c r="BV867" s="26"/>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26"/>
      <c r="CU867" s="26"/>
      <c r="CV867" s="26"/>
      <c r="CW867" s="26"/>
      <c r="CX867" s="26"/>
      <c r="CY867" s="26"/>
      <c r="CZ867" s="26"/>
      <c r="DA867" s="26"/>
      <c r="DB867" s="26"/>
      <c r="DC867" s="26"/>
      <c r="DD867" s="26"/>
      <c r="DE867" s="26"/>
      <c r="DF867" s="26"/>
      <c r="DG867" s="26"/>
      <c r="DH867" s="26"/>
      <c r="DI867" s="26"/>
      <c r="DJ867" s="26"/>
      <c r="DK867" s="26"/>
      <c r="DL867" s="26"/>
      <c r="DM867" s="26"/>
      <c r="DN867" s="26"/>
      <c r="DO867" s="26"/>
      <c r="DP867" s="26"/>
      <c r="DQ867" s="26"/>
      <c r="DR867" s="26"/>
      <c r="DS867" s="26"/>
      <c r="DT867" s="26"/>
      <c r="DU867" s="26"/>
      <c r="DV867" s="26"/>
      <c r="DW867" s="26"/>
      <c r="DX867" s="26"/>
      <c r="DY867" s="26"/>
      <c r="DZ867" s="26"/>
      <c r="EA867" s="26"/>
      <c r="EB867" s="26"/>
      <c r="EC867" s="26"/>
      <c r="ED867" s="26"/>
      <c r="EE867" s="26"/>
      <c r="EF867" s="26"/>
      <c r="EG867" s="26"/>
      <c r="EH867" s="26"/>
      <c r="EI867" s="26"/>
      <c r="EJ867" s="26"/>
      <c r="EK867" s="26"/>
      <c r="EL867" s="26"/>
      <c r="EM867" s="26"/>
      <c r="EN867" s="26"/>
      <c r="EO867" s="26"/>
      <c r="EP867" s="26"/>
      <c r="EQ867" s="26"/>
      <c r="ER867" s="26"/>
      <c r="ES867" s="26"/>
      <c r="ET867" s="26"/>
      <c r="EU867" s="26"/>
      <c r="EV867" s="26"/>
      <c r="EW867" s="26"/>
      <c r="EX867" s="26"/>
      <c r="EY867" s="26"/>
      <c r="EZ867" s="26"/>
      <c r="FA867" s="60"/>
      <c r="FB867" s="60"/>
      <c r="FC867" s="60"/>
      <c r="FD867" s="60"/>
      <c r="FE867" s="60"/>
      <c r="FF867" s="60"/>
      <c r="FG867" s="60"/>
      <c r="FH867" s="60"/>
      <c r="FI867" s="60"/>
      <c r="FJ867" s="60"/>
      <c r="FK867" s="60"/>
      <c r="FL867" s="60"/>
      <c r="FM867" s="60"/>
      <c r="FN867" s="60"/>
      <c r="FO867" s="60"/>
      <c r="FP867" s="60"/>
      <c r="FQ867" s="60"/>
      <c r="FR867" s="60"/>
      <c r="FS867" s="60"/>
      <c r="FT867" s="60"/>
      <c r="FU867" s="60"/>
      <c r="FV867" s="60"/>
      <c r="FW867" s="60"/>
      <c r="FX867" s="60"/>
    </row>
    <row r="868">
      <c r="A868" s="18"/>
      <c r="B868" s="14"/>
      <c r="C868" s="14"/>
      <c r="D868" s="14"/>
      <c r="E868" s="18"/>
      <c r="F868" s="18"/>
      <c r="G868" s="18"/>
      <c r="H868" s="18"/>
      <c r="I868" s="18"/>
      <c r="J868" s="18"/>
      <c r="K868" s="18"/>
      <c r="L868" s="18"/>
      <c r="M868" s="18"/>
      <c r="N868" s="18"/>
      <c r="O868" s="18"/>
      <c r="P868" s="23"/>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c r="BO868" s="26"/>
      <c r="BP868" s="26"/>
      <c r="BQ868" s="26"/>
      <c r="BR868" s="26"/>
      <c r="BS868" s="26"/>
      <c r="BT868" s="26"/>
      <c r="BU868" s="26"/>
      <c r="BV868" s="26"/>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26"/>
      <c r="CU868" s="26"/>
      <c r="CV868" s="26"/>
      <c r="CW868" s="26"/>
      <c r="CX868" s="26"/>
      <c r="CY868" s="26"/>
      <c r="CZ868" s="26"/>
      <c r="DA868" s="26"/>
      <c r="DB868" s="26"/>
      <c r="DC868" s="26"/>
      <c r="DD868" s="26"/>
      <c r="DE868" s="26"/>
      <c r="DF868" s="26"/>
      <c r="DG868" s="26"/>
      <c r="DH868" s="26"/>
      <c r="DI868" s="26"/>
      <c r="DJ868" s="26"/>
      <c r="DK868" s="26"/>
      <c r="DL868" s="26"/>
      <c r="DM868" s="26"/>
      <c r="DN868" s="26"/>
      <c r="DO868" s="26"/>
      <c r="DP868" s="26"/>
      <c r="DQ868" s="26"/>
      <c r="DR868" s="26"/>
      <c r="DS868" s="26"/>
      <c r="DT868" s="26"/>
      <c r="DU868" s="26"/>
      <c r="DV868" s="26"/>
      <c r="DW868" s="26"/>
      <c r="DX868" s="26"/>
      <c r="DY868" s="26"/>
      <c r="DZ868" s="26"/>
      <c r="EA868" s="26"/>
      <c r="EB868" s="26"/>
      <c r="EC868" s="26"/>
      <c r="ED868" s="26"/>
      <c r="EE868" s="26"/>
      <c r="EF868" s="26"/>
      <c r="EG868" s="26"/>
      <c r="EH868" s="26"/>
      <c r="EI868" s="26"/>
      <c r="EJ868" s="26"/>
      <c r="EK868" s="26"/>
      <c r="EL868" s="26"/>
      <c r="EM868" s="26"/>
      <c r="EN868" s="26"/>
      <c r="EO868" s="26"/>
      <c r="EP868" s="26"/>
      <c r="EQ868" s="26"/>
      <c r="ER868" s="26"/>
      <c r="ES868" s="26"/>
      <c r="ET868" s="26"/>
      <c r="EU868" s="26"/>
      <c r="EV868" s="26"/>
      <c r="EW868" s="26"/>
      <c r="EX868" s="26"/>
      <c r="EY868" s="26"/>
      <c r="EZ868" s="26"/>
      <c r="FA868" s="60"/>
      <c r="FB868" s="60"/>
      <c r="FC868" s="60"/>
      <c r="FD868" s="60"/>
      <c r="FE868" s="60"/>
      <c r="FF868" s="60"/>
      <c r="FG868" s="60"/>
      <c r="FH868" s="60"/>
      <c r="FI868" s="60"/>
      <c r="FJ868" s="60"/>
      <c r="FK868" s="60"/>
      <c r="FL868" s="60"/>
      <c r="FM868" s="60"/>
      <c r="FN868" s="60"/>
      <c r="FO868" s="60"/>
      <c r="FP868" s="60"/>
      <c r="FQ868" s="60"/>
      <c r="FR868" s="60"/>
      <c r="FS868" s="60"/>
      <c r="FT868" s="60"/>
      <c r="FU868" s="60"/>
      <c r="FV868" s="60"/>
      <c r="FW868" s="60"/>
      <c r="FX868" s="60"/>
    </row>
    <row r="869">
      <c r="A869" s="18"/>
      <c r="B869" s="14"/>
      <c r="C869" s="14"/>
      <c r="D869" s="14"/>
      <c r="E869" s="18"/>
      <c r="F869" s="18"/>
      <c r="G869" s="18"/>
      <c r="H869" s="18"/>
      <c r="I869" s="18"/>
      <c r="J869" s="18"/>
      <c r="K869" s="18"/>
      <c r="L869" s="18"/>
      <c r="M869" s="18"/>
      <c r="N869" s="18"/>
      <c r="O869" s="18"/>
      <c r="P869" s="23"/>
      <c r="Q869" s="26"/>
      <c r="R869" s="26"/>
      <c r="S869" s="26"/>
      <c r="T869" s="26"/>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c r="BL869" s="26"/>
      <c r="BM869" s="26"/>
      <c r="BN869" s="26"/>
      <c r="BO869" s="26"/>
      <c r="BP869" s="26"/>
      <c r="BQ869" s="26"/>
      <c r="BR869" s="26"/>
      <c r="BS869" s="26"/>
      <c r="BT869" s="26"/>
      <c r="BU869" s="26"/>
      <c r="BV869" s="26"/>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26"/>
      <c r="CU869" s="26"/>
      <c r="CV869" s="26"/>
      <c r="CW869" s="26"/>
      <c r="CX869" s="26"/>
      <c r="CY869" s="26"/>
      <c r="CZ869" s="26"/>
      <c r="DA869" s="26"/>
      <c r="DB869" s="26"/>
      <c r="DC869" s="26"/>
      <c r="DD869" s="26"/>
      <c r="DE869" s="26"/>
      <c r="DF869" s="26"/>
      <c r="DG869" s="26"/>
      <c r="DH869" s="26"/>
      <c r="DI869" s="26"/>
      <c r="DJ869" s="26"/>
      <c r="DK869" s="26"/>
      <c r="DL869" s="26"/>
      <c r="DM869" s="26"/>
      <c r="DN869" s="26"/>
      <c r="DO869" s="26"/>
      <c r="DP869" s="26"/>
      <c r="DQ869" s="26"/>
      <c r="DR869" s="26"/>
      <c r="DS869" s="26"/>
      <c r="DT869" s="26"/>
      <c r="DU869" s="26"/>
      <c r="DV869" s="26"/>
      <c r="DW869" s="26"/>
      <c r="DX869" s="26"/>
      <c r="DY869" s="26"/>
      <c r="DZ869" s="26"/>
      <c r="EA869" s="26"/>
      <c r="EB869" s="26"/>
      <c r="EC869" s="26"/>
      <c r="ED869" s="26"/>
      <c r="EE869" s="26"/>
      <c r="EF869" s="26"/>
      <c r="EG869" s="26"/>
      <c r="EH869" s="26"/>
      <c r="EI869" s="26"/>
      <c r="EJ869" s="26"/>
      <c r="EK869" s="26"/>
      <c r="EL869" s="26"/>
      <c r="EM869" s="26"/>
      <c r="EN869" s="26"/>
      <c r="EO869" s="26"/>
      <c r="EP869" s="26"/>
      <c r="EQ869" s="26"/>
      <c r="ER869" s="26"/>
      <c r="ES869" s="26"/>
      <c r="ET869" s="26"/>
      <c r="EU869" s="26"/>
      <c r="EV869" s="26"/>
      <c r="EW869" s="26"/>
      <c r="EX869" s="26"/>
      <c r="EY869" s="26"/>
      <c r="EZ869" s="26"/>
      <c r="FA869" s="60"/>
      <c r="FB869" s="60"/>
      <c r="FC869" s="60"/>
      <c r="FD869" s="60"/>
      <c r="FE869" s="60"/>
      <c r="FF869" s="60"/>
      <c r="FG869" s="60"/>
      <c r="FH869" s="60"/>
      <c r="FI869" s="60"/>
      <c r="FJ869" s="60"/>
      <c r="FK869" s="60"/>
      <c r="FL869" s="60"/>
      <c r="FM869" s="60"/>
      <c r="FN869" s="60"/>
      <c r="FO869" s="60"/>
      <c r="FP869" s="60"/>
      <c r="FQ869" s="60"/>
      <c r="FR869" s="60"/>
      <c r="FS869" s="60"/>
      <c r="FT869" s="60"/>
      <c r="FU869" s="60"/>
      <c r="FV869" s="60"/>
      <c r="FW869" s="60"/>
      <c r="FX869" s="60"/>
    </row>
    <row r="870">
      <c r="A870" s="18"/>
      <c r="B870" s="14"/>
      <c r="C870" s="14"/>
      <c r="D870" s="14"/>
      <c r="E870" s="18"/>
      <c r="F870" s="18"/>
      <c r="G870" s="18"/>
      <c r="H870" s="18"/>
      <c r="I870" s="18"/>
      <c r="J870" s="18"/>
      <c r="K870" s="18"/>
      <c r="L870" s="18"/>
      <c r="M870" s="18"/>
      <c r="N870" s="18"/>
      <c r="O870" s="18"/>
      <c r="P870" s="23"/>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c r="BO870" s="26"/>
      <c r="BP870" s="26"/>
      <c r="BQ870" s="26"/>
      <c r="BR870" s="26"/>
      <c r="BS870" s="26"/>
      <c r="BT870" s="26"/>
      <c r="BU870" s="26"/>
      <c r="BV870" s="26"/>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26"/>
      <c r="CU870" s="26"/>
      <c r="CV870" s="26"/>
      <c r="CW870" s="26"/>
      <c r="CX870" s="26"/>
      <c r="CY870" s="26"/>
      <c r="CZ870" s="26"/>
      <c r="DA870" s="26"/>
      <c r="DB870" s="26"/>
      <c r="DC870" s="26"/>
      <c r="DD870" s="26"/>
      <c r="DE870" s="26"/>
      <c r="DF870" s="26"/>
      <c r="DG870" s="26"/>
      <c r="DH870" s="26"/>
      <c r="DI870" s="26"/>
      <c r="DJ870" s="26"/>
      <c r="DK870" s="26"/>
      <c r="DL870" s="26"/>
      <c r="DM870" s="26"/>
      <c r="DN870" s="26"/>
      <c r="DO870" s="26"/>
      <c r="DP870" s="26"/>
      <c r="DQ870" s="26"/>
      <c r="DR870" s="26"/>
      <c r="DS870" s="26"/>
      <c r="DT870" s="26"/>
      <c r="DU870" s="26"/>
      <c r="DV870" s="26"/>
      <c r="DW870" s="26"/>
      <c r="DX870" s="26"/>
      <c r="DY870" s="26"/>
      <c r="DZ870" s="26"/>
      <c r="EA870" s="26"/>
      <c r="EB870" s="26"/>
      <c r="EC870" s="26"/>
      <c r="ED870" s="26"/>
      <c r="EE870" s="26"/>
      <c r="EF870" s="26"/>
      <c r="EG870" s="26"/>
      <c r="EH870" s="26"/>
      <c r="EI870" s="26"/>
      <c r="EJ870" s="26"/>
      <c r="EK870" s="26"/>
      <c r="EL870" s="26"/>
      <c r="EM870" s="26"/>
      <c r="EN870" s="26"/>
      <c r="EO870" s="26"/>
      <c r="EP870" s="26"/>
      <c r="EQ870" s="26"/>
      <c r="ER870" s="26"/>
      <c r="ES870" s="26"/>
      <c r="ET870" s="26"/>
      <c r="EU870" s="26"/>
      <c r="EV870" s="26"/>
      <c r="EW870" s="26"/>
      <c r="EX870" s="26"/>
      <c r="EY870" s="26"/>
      <c r="EZ870" s="26"/>
      <c r="FA870" s="60"/>
      <c r="FB870" s="60"/>
      <c r="FC870" s="60"/>
      <c r="FD870" s="60"/>
      <c r="FE870" s="60"/>
      <c r="FF870" s="60"/>
      <c r="FG870" s="60"/>
      <c r="FH870" s="60"/>
      <c r="FI870" s="60"/>
      <c r="FJ870" s="60"/>
      <c r="FK870" s="60"/>
      <c r="FL870" s="60"/>
      <c r="FM870" s="60"/>
      <c r="FN870" s="60"/>
      <c r="FO870" s="60"/>
      <c r="FP870" s="60"/>
      <c r="FQ870" s="60"/>
      <c r="FR870" s="60"/>
      <c r="FS870" s="60"/>
      <c r="FT870" s="60"/>
      <c r="FU870" s="60"/>
      <c r="FV870" s="60"/>
      <c r="FW870" s="60"/>
      <c r="FX870" s="60"/>
    </row>
    <row r="871">
      <c r="A871" s="18"/>
      <c r="B871" s="14"/>
      <c r="C871" s="14"/>
      <c r="D871" s="14"/>
      <c r="E871" s="18"/>
      <c r="F871" s="18"/>
      <c r="G871" s="18"/>
      <c r="H871" s="18"/>
      <c r="I871" s="18"/>
      <c r="J871" s="18"/>
      <c r="K871" s="18"/>
      <c r="L871" s="18"/>
      <c r="M871" s="18"/>
      <c r="N871" s="18"/>
      <c r="O871" s="18"/>
      <c r="P871" s="23"/>
      <c r="Q871" s="26"/>
      <c r="R871" s="26"/>
      <c r="S871" s="26"/>
      <c r="T871" s="26"/>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c r="BL871" s="26"/>
      <c r="BM871" s="26"/>
      <c r="BN871" s="26"/>
      <c r="BO871" s="26"/>
      <c r="BP871" s="26"/>
      <c r="BQ871" s="26"/>
      <c r="BR871" s="26"/>
      <c r="BS871" s="26"/>
      <c r="BT871" s="26"/>
      <c r="BU871" s="26"/>
      <c r="BV871" s="26"/>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26"/>
      <c r="CU871" s="26"/>
      <c r="CV871" s="26"/>
      <c r="CW871" s="26"/>
      <c r="CX871" s="26"/>
      <c r="CY871" s="26"/>
      <c r="CZ871" s="26"/>
      <c r="DA871" s="26"/>
      <c r="DB871" s="26"/>
      <c r="DC871" s="26"/>
      <c r="DD871" s="26"/>
      <c r="DE871" s="26"/>
      <c r="DF871" s="26"/>
      <c r="DG871" s="26"/>
      <c r="DH871" s="26"/>
      <c r="DI871" s="26"/>
      <c r="DJ871" s="26"/>
      <c r="DK871" s="26"/>
      <c r="DL871" s="26"/>
      <c r="DM871" s="26"/>
      <c r="DN871" s="26"/>
      <c r="DO871" s="26"/>
      <c r="DP871" s="26"/>
      <c r="DQ871" s="26"/>
      <c r="DR871" s="26"/>
      <c r="DS871" s="26"/>
      <c r="DT871" s="26"/>
      <c r="DU871" s="26"/>
      <c r="DV871" s="26"/>
      <c r="DW871" s="26"/>
      <c r="DX871" s="26"/>
      <c r="DY871" s="26"/>
      <c r="DZ871" s="26"/>
      <c r="EA871" s="26"/>
      <c r="EB871" s="26"/>
      <c r="EC871" s="26"/>
      <c r="ED871" s="26"/>
      <c r="EE871" s="26"/>
      <c r="EF871" s="26"/>
      <c r="EG871" s="26"/>
      <c r="EH871" s="26"/>
      <c r="EI871" s="26"/>
      <c r="EJ871" s="26"/>
      <c r="EK871" s="26"/>
      <c r="EL871" s="26"/>
      <c r="EM871" s="26"/>
      <c r="EN871" s="26"/>
      <c r="EO871" s="26"/>
      <c r="EP871" s="26"/>
      <c r="EQ871" s="26"/>
      <c r="ER871" s="26"/>
      <c r="ES871" s="26"/>
      <c r="ET871" s="26"/>
      <c r="EU871" s="26"/>
      <c r="EV871" s="26"/>
      <c r="EW871" s="26"/>
      <c r="EX871" s="26"/>
      <c r="EY871" s="26"/>
      <c r="EZ871" s="26"/>
      <c r="FA871" s="60"/>
      <c r="FB871" s="60"/>
      <c r="FC871" s="60"/>
      <c r="FD871" s="60"/>
      <c r="FE871" s="60"/>
      <c r="FF871" s="60"/>
      <c r="FG871" s="60"/>
      <c r="FH871" s="60"/>
      <c r="FI871" s="60"/>
      <c r="FJ871" s="60"/>
      <c r="FK871" s="60"/>
      <c r="FL871" s="60"/>
      <c r="FM871" s="60"/>
      <c r="FN871" s="60"/>
      <c r="FO871" s="60"/>
      <c r="FP871" s="60"/>
      <c r="FQ871" s="60"/>
      <c r="FR871" s="60"/>
      <c r="FS871" s="60"/>
      <c r="FT871" s="60"/>
      <c r="FU871" s="60"/>
      <c r="FV871" s="60"/>
      <c r="FW871" s="60"/>
      <c r="FX871" s="60"/>
    </row>
    <row r="872">
      <c r="A872" s="18"/>
      <c r="B872" s="14"/>
      <c r="C872" s="14"/>
      <c r="D872" s="14"/>
      <c r="E872" s="18"/>
      <c r="F872" s="18"/>
      <c r="G872" s="18"/>
      <c r="H872" s="18"/>
      <c r="I872" s="18"/>
      <c r="J872" s="18"/>
      <c r="K872" s="18"/>
      <c r="L872" s="18"/>
      <c r="M872" s="18"/>
      <c r="N872" s="18"/>
      <c r="O872" s="18"/>
      <c r="P872" s="23"/>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c r="BO872" s="26"/>
      <c r="BP872" s="26"/>
      <c r="BQ872" s="26"/>
      <c r="BR872" s="26"/>
      <c r="BS872" s="26"/>
      <c r="BT872" s="26"/>
      <c r="BU872" s="26"/>
      <c r="BV872" s="26"/>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26"/>
      <c r="CU872" s="26"/>
      <c r="CV872" s="26"/>
      <c r="CW872" s="26"/>
      <c r="CX872" s="26"/>
      <c r="CY872" s="26"/>
      <c r="CZ872" s="26"/>
      <c r="DA872" s="26"/>
      <c r="DB872" s="26"/>
      <c r="DC872" s="26"/>
      <c r="DD872" s="26"/>
      <c r="DE872" s="26"/>
      <c r="DF872" s="26"/>
      <c r="DG872" s="26"/>
      <c r="DH872" s="26"/>
      <c r="DI872" s="26"/>
      <c r="DJ872" s="26"/>
      <c r="DK872" s="26"/>
      <c r="DL872" s="26"/>
      <c r="DM872" s="26"/>
      <c r="DN872" s="26"/>
      <c r="DO872" s="26"/>
      <c r="DP872" s="26"/>
      <c r="DQ872" s="26"/>
      <c r="DR872" s="26"/>
      <c r="DS872" s="26"/>
      <c r="DT872" s="26"/>
      <c r="DU872" s="26"/>
      <c r="DV872" s="26"/>
      <c r="DW872" s="26"/>
      <c r="DX872" s="26"/>
      <c r="DY872" s="26"/>
      <c r="DZ872" s="26"/>
      <c r="EA872" s="26"/>
      <c r="EB872" s="26"/>
      <c r="EC872" s="26"/>
      <c r="ED872" s="26"/>
      <c r="EE872" s="26"/>
      <c r="EF872" s="26"/>
      <c r="EG872" s="26"/>
      <c r="EH872" s="26"/>
      <c r="EI872" s="26"/>
      <c r="EJ872" s="26"/>
      <c r="EK872" s="26"/>
      <c r="EL872" s="26"/>
      <c r="EM872" s="26"/>
      <c r="EN872" s="26"/>
      <c r="EO872" s="26"/>
      <c r="EP872" s="26"/>
      <c r="EQ872" s="26"/>
      <c r="ER872" s="26"/>
      <c r="ES872" s="26"/>
      <c r="ET872" s="26"/>
      <c r="EU872" s="26"/>
      <c r="EV872" s="26"/>
      <c r="EW872" s="26"/>
      <c r="EX872" s="26"/>
      <c r="EY872" s="26"/>
      <c r="EZ872" s="26"/>
      <c r="FA872" s="60"/>
      <c r="FB872" s="60"/>
      <c r="FC872" s="60"/>
      <c r="FD872" s="60"/>
      <c r="FE872" s="60"/>
      <c r="FF872" s="60"/>
      <c r="FG872" s="60"/>
      <c r="FH872" s="60"/>
      <c r="FI872" s="60"/>
      <c r="FJ872" s="60"/>
      <c r="FK872" s="60"/>
      <c r="FL872" s="60"/>
      <c r="FM872" s="60"/>
      <c r="FN872" s="60"/>
      <c r="FO872" s="60"/>
      <c r="FP872" s="60"/>
      <c r="FQ872" s="60"/>
      <c r="FR872" s="60"/>
      <c r="FS872" s="60"/>
      <c r="FT872" s="60"/>
      <c r="FU872" s="60"/>
      <c r="FV872" s="60"/>
      <c r="FW872" s="60"/>
      <c r="FX872" s="60"/>
    </row>
    <row r="873">
      <c r="A873" s="18"/>
      <c r="B873" s="14"/>
      <c r="C873" s="14"/>
      <c r="D873" s="14"/>
      <c r="E873" s="18"/>
      <c r="F873" s="18"/>
      <c r="G873" s="18"/>
      <c r="H873" s="18"/>
      <c r="I873" s="18"/>
      <c r="J873" s="18"/>
      <c r="K873" s="18"/>
      <c r="L873" s="18"/>
      <c r="M873" s="18"/>
      <c r="N873" s="18"/>
      <c r="O873" s="18"/>
      <c r="P873" s="23"/>
      <c r="Q873" s="26"/>
      <c r="R873" s="26"/>
      <c r="S873" s="26"/>
      <c r="T873" s="26"/>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c r="BM873" s="26"/>
      <c r="BN873" s="26"/>
      <c r="BO873" s="26"/>
      <c r="BP873" s="26"/>
      <c r="BQ873" s="26"/>
      <c r="BR873" s="26"/>
      <c r="BS873" s="26"/>
      <c r="BT873" s="26"/>
      <c r="BU873" s="26"/>
      <c r="BV873" s="26"/>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26"/>
      <c r="CU873" s="26"/>
      <c r="CV873" s="26"/>
      <c r="CW873" s="26"/>
      <c r="CX873" s="26"/>
      <c r="CY873" s="26"/>
      <c r="CZ873" s="26"/>
      <c r="DA873" s="26"/>
      <c r="DB873" s="26"/>
      <c r="DC873" s="26"/>
      <c r="DD873" s="26"/>
      <c r="DE873" s="26"/>
      <c r="DF873" s="26"/>
      <c r="DG873" s="26"/>
      <c r="DH873" s="26"/>
      <c r="DI873" s="26"/>
      <c r="DJ873" s="26"/>
      <c r="DK873" s="26"/>
      <c r="DL873" s="26"/>
      <c r="DM873" s="26"/>
      <c r="DN873" s="26"/>
      <c r="DO873" s="26"/>
      <c r="DP873" s="26"/>
      <c r="DQ873" s="26"/>
      <c r="DR873" s="26"/>
      <c r="DS873" s="26"/>
      <c r="DT873" s="26"/>
      <c r="DU873" s="26"/>
      <c r="DV873" s="26"/>
      <c r="DW873" s="26"/>
      <c r="DX873" s="26"/>
      <c r="DY873" s="26"/>
      <c r="DZ873" s="26"/>
      <c r="EA873" s="26"/>
      <c r="EB873" s="26"/>
      <c r="EC873" s="26"/>
      <c r="ED873" s="26"/>
      <c r="EE873" s="26"/>
      <c r="EF873" s="26"/>
      <c r="EG873" s="26"/>
      <c r="EH873" s="26"/>
      <c r="EI873" s="26"/>
      <c r="EJ873" s="26"/>
      <c r="EK873" s="26"/>
      <c r="EL873" s="26"/>
      <c r="EM873" s="26"/>
      <c r="EN873" s="26"/>
      <c r="EO873" s="26"/>
      <c r="EP873" s="26"/>
      <c r="EQ873" s="26"/>
      <c r="ER873" s="26"/>
      <c r="ES873" s="26"/>
      <c r="ET873" s="26"/>
      <c r="EU873" s="26"/>
      <c r="EV873" s="26"/>
      <c r="EW873" s="26"/>
      <c r="EX873" s="26"/>
      <c r="EY873" s="26"/>
      <c r="EZ873" s="26"/>
      <c r="FA873" s="60"/>
      <c r="FB873" s="60"/>
      <c r="FC873" s="60"/>
      <c r="FD873" s="60"/>
      <c r="FE873" s="60"/>
      <c r="FF873" s="60"/>
      <c r="FG873" s="60"/>
      <c r="FH873" s="60"/>
      <c r="FI873" s="60"/>
      <c r="FJ873" s="60"/>
      <c r="FK873" s="60"/>
      <c r="FL873" s="60"/>
      <c r="FM873" s="60"/>
      <c r="FN873" s="60"/>
      <c r="FO873" s="60"/>
      <c r="FP873" s="60"/>
      <c r="FQ873" s="60"/>
      <c r="FR873" s="60"/>
      <c r="FS873" s="60"/>
      <c r="FT873" s="60"/>
      <c r="FU873" s="60"/>
      <c r="FV873" s="60"/>
      <c r="FW873" s="60"/>
      <c r="FX873" s="60"/>
    </row>
    <row r="874">
      <c r="A874" s="18"/>
      <c r="B874" s="14"/>
      <c r="C874" s="14"/>
      <c r="D874" s="14"/>
      <c r="E874" s="18"/>
      <c r="F874" s="18"/>
      <c r="G874" s="18"/>
      <c r="H874" s="18"/>
      <c r="I874" s="18"/>
      <c r="J874" s="18"/>
      <c r="K874" s="18"/>
      <c r="L874" s="18"/>
      <c r="M874" s="18"/>
      <c r="N874" s="18"/>
      <c r="O874" s="18"/>
      <c r="P874" s="23"/>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26"/>
      <c r="CU874" s="26"/>
      <c r="CV874" s="26"/>
      <c r="CW874" s="26"/>
      <c r="CX874" s="26"/>
      <c r="CY874" s="26"/>
      <c r="CZ874" s="26"/>
      <c r="DA874" s="26"/>
      <c r="DB874" s="26"/>
      <c r="DC874" s="26"/>
      <c r="DD874" s="26"/>
      <c r="DE874" s="26"/>
      <c r="DF874" s="26"/>
      <c r="DG874" s="26"/>
      <c r="DH874" s="26"/>
      <c r="DI874" s="26"/>
      <c r="DJ874" s="26"/>
      <c r="DK874" s="26"/>
      <c r="DL874" s="26"/>
      <c r="DM874" s="26"/>
      <c r="DN874" s="26"/>
      <c r="DO874" s="26"/>
      <c r="DP874" s="26"/>
      <c r="DQ874" s="26"/>
      <c r="DR874" s="26"/>
      <c r="DS874" s="26"/>
      <c r="DT874" s="26"/>
      <c r="DU874" s="26"/>
      <c r="DV874" s="26"/>
      <c r="DW874" s="26"/>
      <c r="DX874" s="26"/>
      <c r="DY874" s="26"/>
      <c r="DZ874" s="26"/>
      <c r="EA874" s="26"/>
      <c r="EB874" s="26"/>
      <c r="EC874" s="26"/>
      <c r="ED874" s="26"/>
      <c r="EE874" s="26"/>
      <c r="EF874" s="26"/>
      <c r="EG874" s="26"/>
      <c r="EH874" s="26"/>
      <c r="EI874" s="26"/>
      <c r="EJ874" s="26"/>
      <c r="EK874" s="26"/>
      <c r="EL874" s="26"/>
      <c r="EM874" s="26"/>
      <c r="EN874" s="26"/>
      <c r="EO874" s="26"/>
      <c r="EP874" s="26"/>
      <c r="EQ874" s="26"/>
      <c r="ER874" s="26"/>
      <c r="ES874" s="26"/>
      <c r="ET874" s="26"/>
      <c r="EU874" s="26"/>
      <c r="EV874" s="26"/>
      <c r="EW874" s="26"/>
      <c r="EX874" s="26"/>
      <c r="EY874" s="26"/>
      <c r="EZ874" s="26"/>
      <c r="FA874" s="60"/>
      <c r="FB874" s="60"/>
      <c r="FC874" s="60"/>
      <c r="FD874" s="60"/>
      <c r="FE874" s="60"/>
      <c r="FF874" s="60"/>
      <c r="FG874" s="60"/>
      <c r="FH874" s="60"/>
      <c r="FI874" s="60"/>
      <c r="FJ874" s="60"/>
      <c r="FK874" s="60"/>
      <c r="FL874" s="60"/>
      <c r="FM874" s="60"/>
      <c r="FN874" s="60"/>
      <c r="FO874" s="60"/>
      <c r="FP874" s="60"/>
      <c r="FQ874" s="60"/>
      <c r="FR874" s="60"/>
      <c r="FS874" s="60"/>
      <c r="FT874" s="60"/>
      <c r="FU874" s="60"/>
      <c r="FV874" s="60"/>
      <c r="FW874" s="60"/>
      <c r="FX874" s="60"/>
    </row>
    <row r="875">
      <c r="A875" s="18"/>
      <c r="B875" s="14"/>
      <c r="C875" s="14"/>
      <c r="D875" s="14"/>
      <c r="E875" s="18"/>
      <c r="F875" s="18"/>
      <c r="G875" s="18"/>
      <c r="H875" s="18"/>
      <c r="I875" s="18"/>
      <c r="J875" s="18"/>
      <c r="K875" s="18"/>
      <c r="L875" s="18"/>
      <c r="M875" s="18"/>
      <c r="N875" s="18"/>
      <c r="O875" s="18"/>
      <c r="P875" s="23"/>
      <c r="Q875" s="26"/>
      <c r="R875" s="26"/>
      <c r="S875" s="26"/>
      <c r="T875" s="26"/>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c r="BM875" s="26"/>
      <c r="BN875" s="26"/>
      <c r="BO875" s="26"/>
      <c r="BP875" s="26"/>
      <c r="BQ875" s="26"/>
      <c r="BR875" s="26"/>
      <c r="BS875" s="26"/>
      <c r="BT875" s="26"/>
      <c r="BU875" s="26"/>
      <c r="BV875" s="26"/>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26"/>
      <c r="CU875" s="26"/>
      <c r="CV875" s="26"/>
      <c r="CW875" s="26"/>
      <c r="CX875" s="26"/>
      <c r="CY875" s="26"/>
      <c r="CZ875" s="26"/>
      <c r="DA875" s="26"/>
      <c r="DB875" s="26"/>
      <c r="DC875" s="26"/>
      <c r="DD875" s="26"/>
      <c r="DE875" s="26"/>
      <c r="DF875" s="26"/>
      <c r="DG875" s="26"/>
      <c r="DH875" s="26"/>
      <c r="DI875" s="26"/>
      <c r="DJ875" s="26"/>
      <c r="DK875" s="26"/>
      <c r="DL875" s="26"/>
      <c r="DM875" s="26"/>
      <c r="DN875" s="26"/>
      <c r="DO875" s="26"/>
      <c r="DP875" s="26"/>
      <c r="DQ875" s="26"/>
      <c r="DR875" s="26"/>
      <c r="DS875" s="26"/>
      <c r="DT875" s="26"/>
      <c r="DU875" s="26"/>
      <c r="DV875" s="26"/>
      <c r="DW875" s="26"/>
      <c r="DX875" s="26"/>
      <c r="DY875" s="26"/>
      <c r="DZ875" s="26"/>
      <c r="EA875" s="26"/>
      <c r="EB875" s="26"/>
      <c r="EC875" s="26"/>
      <c r="ED875" s="26"/>
      <c r="EE875" s="26"/>
      <c r="EF875" s="26"/>
      <c r="EG875" s="26"/>
      <c r="EH875" s="26"/>
      <c r="EI875" s="26"/>
      <c r="EJ875" s="26"/>
      <c r="EK875" s="26"/>
      <c r="EL875" s="26"/>
      <c r="EM875" s="26"/>
      <c r="EN875" s="26"/>
      <c r="EO875" s="26"/>
      <c r="EP875" s="26"/>
      <c r="EQ875" s="26"/>
      <c r="ER875" s="26"/>
      <c r="ES875" s="26"/>
      <c r="ET875" s="26"/>
      <c r="EU875" s="26"/>
      <c r="EV875" s="26"/>
      <c r="EW875" s="26"/>
      <c r="EX875" s="26"/>
      <c r="EY875" s="26"/>
      <c r="EZ875" s="26"/>
      <c r="FA875" s="60"/>
      <c r="FB875" s="60"/>
      <c r="FC875" s="60"/>
      <c r="FD875" s="60"/>
      <c r="FE875" s="60"/>
      <c r="FF875" s="60"/>
      <c r="FG875" s="60"/>
      <c r="FH875" s="60"/>
      <c r="FI875" s="60"/>
      <c r="FJ875" s="60"/>
      <c r="FK875" s="60"/>
      <c r="FL875" s="60"/>
      <c r="FM875" s="60"/>
      <c r="FN875" s="60"/>
      <c r="FO875" s="60"/>
      <c r="FP875" s="60"/>
      <c r="FQ875" s="60"/>
      <c r="FR875" s="60"/>
      <c r="FS875" s="60"/>
      <c r="FT875" s="60"/>
      <c r="FU875" s="60"/>
      <c r="FV875" s="60"/>
      <c r="FW875" s="60"/>
      <c r="FX875" s="60"/>
    </row>
    <row r="876">
      <c r="A876" s="18"/>
      <c r="B876" s="14"/>
      <c r="C876" s="14"/>
      <c r="D876" s="14"/>
      <c r="E876" s="18"/>
      <c r="F876" s="18"/>
      <c r="G876" s="18"/>
      <c r="H876" s="18"/>
      <c r="I876" s="18"/>
      <c r="J876" s="18"/>
      <c r="K876" s="18"/>
      <c r="L876" s="18"/>
      <c r="M876" s="18"/>
      <c r="N876" s="18"/>
      <c r="O876" s="18"/>
      <c r="P876" s="23"/>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26"/>
      <c r="CU876" s="26"/>
      <c r="CV876" s="26"/>
      <c r="CW876" s="26"/>
      <c r="CX876" s="26"/>
      <c r="CY876" s="26"/>
      <c r="CZ876" s="26"/>
      <c r="DA876" s="26"/>
      <c r="DB876" s="26"/>
      <c r="DC876" s="26"/>
      <c r="DD876" s="26"/>
      <c r="DE876" s="26"/>
      <c r="DF876" s="26"/>
      <c r="DG876" s="26"/>
      <c r="DH876" s="26"/>
      <c r="DI876" s="26"/>
      <c r="DJ876" s="26"/>
      <c r="DK876" s="26"/>
      <c r="DL876" s="26"/>
      <c r="DM876" s="26"/>
      <c r="DN876" s="26"/>
      <c r="DO876" s="26"/>
      <c r="DP876" s="26"/>
      <c r="DQ876" s="26"/>
      <c r="DR876" s="26"/>
      <c r="DS876" s="26"/>
      <c r="DT876" s="26"/>
      <c r="DU876" s="26"/>
      <c r="DV876" s="26"/>
      <c r="DW876" s="26"/>
      <c r="DX876" s="26"/>
      <c r="DY876" s="26"/>
      <c r="DZ876" s="26"/>
      <c r="EA876" s="26"/>
      <c r="EB876" s="26"/>
      <c r="EC876" s="26"/>
      <c r="ED876" s="26"/>
      <c r="EE876" s="26"/>
      <c r="EF876" s="26"/>
      <c r="EG876" s="26"/>
      <c r="EH876" s="26"/>
      <c r="EI876" s="26"/>
      <c r="EJ876" s="26"/>
      <c r="EK876" s="26"/>
      <c r="EL876" s="26"/>
      <c r="EM876" s="26"/>
      <c r="EN876" s="26"/>
      <c r="EO876" s="26"/>
      <c r="EP876" s="26"/>
      <c r="EQ876" s="26"/>
      <c r="ER876" s="26"/>
      <c r="ES876" s="26"/>
      <c r="ET876" s="26"/>
      <c r="EU876" s="26"/>
      <c r="EV876" s="26"/>
      <c r="EW876" s="26"/>
      <c r="EX876" s="26"/>
      <c r="EY876" s="26"/>
      <c r="EZ876" s="26"/>
      <c r="FA876" s="60"/>
      <c r="FB876" s="60"/>
      <c r="FC876" s="60"/>
      <c r="FD876" s="60"/>
      <c r="FE876" s="60"/>
      <c r="FF876" s="60"/>
      <c r="FG876" s="60"/>
      <c r="FH876" s="60"/>
      <c r="FI876" s="60"/>
      <c r="FJ876" s="60"/>
      <c r="FK876" s="60"/>
      <c r="FL876" s="60"/>
      <c r="FM876" s="60"/>
      <c r="FN876" s="60"/>
      <c r="FO876" s="60"/>
      <c r="FP876" s="60"/>
      <c r="FQ876" s="60"/>
      <c r="FR876" s="60"/>
      <c r="FS876" s="60"/>
      <c r="FT876" s="60"/>
      <c r="FU876" s="60"/>
      <c r="FV876" s="60"/>
      <c r="FW876" s="60"/>
      <c r="FX876" s="60"/>
    </row>
    <row r="877">
      <c r="A877" s="18"/>
      <c r="B877" s="14"/>
      <c r="C877" s="14"/>
      <c r="D877" s="14"/>
      <c r="E877" s="18"/>
      <c r="F877" s="18"/>
      <c r="G877" s="18"/>
      <c r="H877" s="18"/>
      <c r="I877" s="18"/>
      <c r="J877" s="18"/>
      <c r="K877" s="18"/>
      <c r="L877" s="18"/>
      <c r="M877" s="18"/>
      <c r="N877" s="18"/>
      <c r="O877" s="18"/>
      <c r="P877" s="23"/>
      <c r="Q877" s="26"/>
      <c r="R877" s="26"/>
      <c r="S877" s="26"/>
      <c r="T877" s="26"/>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c r="BL877" s="26"/>
      <c r="BM877" s="26"/>
      <c r="BN877" s="26"/>
      <c r="BO877" s="26"/>
      <c r="BP877" s="26"/>
      <c r="BQ877" s="26"/>
      <c r="BR877" s="26"/>
      <c r="BS877" s="26"/>
      <c r="BT877" s="26"/>
      <c r="BU877" s="26"/>
      <c r="BV877" s="26"/>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26"/>
      <c r="CU877" s="26"/>
      <c r="CV877" s="26"/>
      <c r="CW877" s="26"/>
      <c r="CX877" s="26"/>
      <c r="CY877" s="26"/>
      <c r="CZ877" s="26"/>
      <c r="DA877" s="26"/>
      <c r="DB877" s="26"/>
      <c r="DC877" s="26"/>
      <c r="DD877" s="26"/>
      <c r="DE877" s="26"/>
      <c r="DF877" s="26"/>
      <c r="DG877" s="26"/>
      <c r="DH877" s="26"/>
      <c r="DI877" s="26"/>
      <c r="DJ877" s="26"/>
      <c r="DK877" s="26"/>
      <c r="DL877" s="26"/>
      <c r="DM877" s="26"/>
      <c r="DN877" s="26"/>
      <c r="DO877" s="26"/>
      <c r="DP877" s="26"/>
      <c r="DQ877" s="26"/>
      <c r="DR877" s="26"/>
      <c r="DS877" s="26"/>
      <c r="DT877" s="26"/>
      <c r="DU877" s="26"/>
      <c r="DV877" s="26"/>
      <c r="DW877" s="26"/>
      <c r="DX877" s="26"/>
      <c r="DY877" s="26"/>
      <c r="DZ877" s="26"/>
      <c r="EA877" s="26"/>
      <c r="EB877" s="26"/>
      <c r="EC877" s="26"/>
      <c r="ED877" s="26"/>
      <c r="EE877" s="26"/>
      <c r="EF877" s="26"/>
      <c r="EG877" s="26"/>
      <c r="EH877" s="26"/>
      <c r="EI877" s="26"/>
      <c r="EJ877" s="26"/>
      <c r="EK877" s="26"/>
      <c r="EL877" s="26"/>
      <c r="EM877" s="26"/>
      <c r="EN877" s="26"/>
      <c r="EO877" s="26"/>
      <c r="EP877" s="26"/>
      <c r="EQ877" s="26"/>
      <c r="ER877" s="26"/>
      <c r="ES877" s="26"/>
      <c r="ET877" s="26"/>
      <c r="EU877" s="26"/>
      <c r="EV877" s="26"/>
      <c r="EW877" s="26"/>
      <c r="EX877" s="26"/>
      <c r="EY877" s="26"/>
      <c r="EZ877" s="26"/>
      <c r="FA877" s="60"/>
      <c r="FB877" s="60"/>
      <c r="FC877" s="60"/>
      <c r="FD877" s="60"/>
      <c r="FE877" s="60"/>
      <c r="FF877" s="60"/>
      <c r="FG877" s="60"/>
      <c r="FH877" s="60"/>
      <c r="FI877" s="60"/>
      <c r="FJ877" s="60"/>
      <c r="FK877" s="60"/>
      <c r="FL877" s="60"/>
      <c r="FM877" s="60"/>
      <c r="FN877" s="60"/>
      <c r="FO877" s="60"/>
      <c r="FP877" s="60"/>
      <c r="FQ877" s="60"/>
      <c r="FR877" s="60"/>
      <c r="FS877" s="60"/>
      <c r="FT877" s="60"/>
      <c r="FU877" s="60"/>
      <c r="FV877" s="60"/>
      <c r="FW877" s="60"/>
      <c r="FX877" s="60"/>
    </row>
    <row r="878">
      <c r="A878" s="18"/>
      <c r="B878" s="14"/>
      <c r="C878" s="14"/>
      <c r="D878" s="14"/>
      <c r="E878" s="18"/>
      <c r="F878" s="18"/>
      <c r="G878" s="18"/>
      <c r="H878" s="18"/>
      <c r="I878" s="18"/>
      <c r="J878" s="18"/>
      <c r="K878" s="18"/>
      <c r="L878" s="18"/>
      <c r="M878" s="18"/>
      <c r="N878" s="18"/>
      <c r="O878" s="18"/>
      <c r="P878" s="23"/>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c r="BO878" s="26"/>
      <c r="BP878" s="26"/>
      <c r="BQ878" s="26"/>
      <c r="BR878" s="26"/>
      <c r="BS878" s="26"/>
      <c r="BT878" s="26"/>
      <c r="BU878" s="26"/>
      <c r="BV878" s="26"/>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26"/>
      <c r="CU878" s="26"/>
      <c r="CV878" s="26"/>
      <c r="CW878" s="26"/>
      <c r="CX878" s="26"/>
      <c r="CY878" s="26"/>
      <c r="CZ878" s="26"/>
      <c r="DA878" s="26"/>
      <c r="DB878" s="26"/>
      <c r="DC878" s="26"/>
      <c r="DD878" s="26"/>
      <c r="DE878" s="26"/>
      <c r="DF878" s="26"/>
      <c r="DG878" s="26"/>
      <c r="DH878" s="26"/>
      <c r="DI878" s="26"/>
      <c r="DJ878" s="26"/>
      <c r="DK878" s="26"/>
      <c r="DL878" s="26"/>
      <c r="DM878" s="26"/>
      <c r="DN878" s="26"/>
      <c r="DO878" s="26"/>
      <c r="DP878" s="26"/>
      <c r="DQ878" s="26"/>
      <c r="DR878" s="26"/>
      <c r="DS878" s="26"/>
      <c r="DT878" s="26"/>
      <c r="DU878" s="26"/>
      <c r="DV878" s="26"/>
      <c r="DW878" s="26"/>
      <c r="DX878" s="26"/>
      <c r="DY878" s="26"/>
      <c r="DZ878" s="26"/>
      <c r="EA878" s="26"/>
      <c r="EB878" s="26"/>
      <c r="EC878" s="26"/>
      <c r="ED878" s="26"/>
      <c r="EE878" s="26"/>
      <c r="EF878" s="26"/>
      <c r="EG878" s="26"/>
      <c r="EH878" s="26"/>
      <c r="EI878" s="26"/>
      <c r="EJ878" s="26"/>
      <c r="EK878" s="26"/>
      <c r="EL878" s="26"/>
      <c r="EM878" s="26"/>
      <c r="EN878" s="26"/>
      <c r="EO878" s="26"/>
      <c r="EP878" s="26"/>
      <c r="EQ878" s="26"/>
      <c r="ER878" s="26"/>
      <c r="ES878" s="26"/>
      <c r="ET878" s="26"/>
      <c r="EU878" s="26"/>
      <c r="EV878" s="26"/>
      <c r="EW878" s="26"/>
      <c r="EX878" s="26"/>
      <c r="EY878" s="26"/>
      <c r="EZ878" s="26"/>
      <c r="FA878" s="60"/>
      <c r="FB878" s="60"/>
      <c r="FC878" s="60"/>
      <c r="FD878" s="60"/>
      <c r="FE878" s="60"/>
      <c r="FF878" s="60"/>
      <c r="FG878" s="60"/>
      <c r="FH878" s="60"/>
      <c r="FI878" s="60"/>
      <c r="FJ878" s="60"/>
      <c r="FK878" s="60"/>
      <c r="FL878" s="60"/>
      <c r="FM878" s="60"/>
      <c r="FN878" s="60"/>
      <c r="FO878" s="60"/>
      <c r="FP878" s="60"/>
      <c r="FQ878" s="60"/>
      <c r="FR878" s="60"/>
      <c r="FS878" s="60"/>
      <c r="FT878" s="60"/>
      <c r="FU878" s="60"/>
      <c r="FV878" s="60"/>
      <c r="FW878" s="60"/>
      <c r="FX878" s="60"/>
    </row>
    <row r="879">
      <c r="A879" s="18"/>
      <c r="B879" s="14"/>
      <c r="C879" s="14"/>
      <c r="D879" s="14"/>
      <c r="E879" s="18"/>
      <c r="F879" s="18"/>
      <c r="G879" s="18"/>
      <c r="H879" s="18"/>
      <c r="I879" s="18"/>
      <c r="J879" s="18"/>
      <c r="K879" s="18"/>
      <c r="L879" s="18"/>
      <c r="M879" s="18"/>
      <c r="N879" s="18"/>
      <c r="O879" s="18"/>
      <c r="P879" s="23"/>
      <c r="Q879" s="26"/>
      <c r="R879" s="26"/>
      <c r="S879" s="26"/>
      <c r="T879" s="26"/>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c r="BM879" s="26"/>
      <c r="BN879" s="26"/>
      <c r="BO879" s="26"/>
      <c r="BP879" s="26"/>
      <c r="BQ879" s="26"/>
      <c r="BR879" s="26"/>
      <c r="BS879" s="26"/>
      <c r="BT879" s="26"/>
      <c r="BU879" s="26"/>
      <c r="BV879" s="26"/>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26"/>
      <c r="CU879" s="26"/>
      <c r="CV879" s="26"/>
      <c r="CW879" s="26"/>
      <c r="CX879" s="26"/>
      <c r="CY879" s="26"/>
      <c r="CZ879" s="26"/>
      <c r="DA879" s="26"/>
      <c r="DB879" s="26"/>
      <c r="DC879" s="26"/>
      <c r="DD879" s="26"/>
      <c r="DE879" s="26"/>
      <c r="DF879" s="26"/>
      <c r="DG879" s="26"/>
      <c r="DH879" s="26"/>
      <c r="DI879" s="26"/>
      <c r="DJ879" s="26"/>
      <c r="DK879" s="26"/>
      <c r="DL879" s="26"/>
      <c r="DM879" s="26"/>
      <c r="DN879" s="26"/>
      <c r="DO879" s="26"/>
      <c r="DP879" s="26"/>
      <c r="DQ879" s="26"/>
      <c r="DR879" s="26"/>
      <c r="DS879" s="26"/>
      <c r="DT879" s="26"/>
      <c r="DU879" s="26"/>
      <c r="DV879" s="26"/>
      <c r="DW879" s="26"/>
      <c r="DX879" s="26"/>
      <c r="DY879" s="26"/>
      <c r="DZ879" s="26"/>
      <c r="EA879" s="26"/>
      <c r="EB879" s="26"/>
      <c r="EC879" s="26"/>
      <c r="ED879" s="26"/>
      <c r="EE879" s="26"/>
      <c r="EF879" s="26"/>
      <c r="EG879" s="26"/>
      <c r="EH879" s="26"/>
      <c r="EI879" s="26"/>
      <c r="EJ879" s="26"/>
      <c r="EK879" s="26"/>
      <c r="EL879" s="26"/>
      <c r="EM879" s="26"/>
      <c r="EN879" s="26"/>
      <c r="EO879" s="26"/>
      <c r="EP879" s="26"/>
      <c r="EQ879" s="26"/>
      <c r="ER879" s="26"/>
      <c r="ES879" s="26"/>
      <c r="ET879" s="26"/>
      <c r="EU879" s="26"/>
      <c r="EV879" s="26"/>
      <c r="EW879" s="26"/>
      <c r="EX879" s="26"/>
      <c r="EY879" s="26"/>
      <c r="EZ879" s="26"/>
      <c r="FA879" s="60"/>
      <c r="FB879" s="60"/>
      <c r="FC879" s="60"/>
      <c r="FD879" s="60"/>
      <c r="FE879" s="60"/>
      <c r="FF879" s="60"/>
      <c r="FG879" s="60"/>
      <c r="FH879" s="60"/>
      <c r="FI879" s="60"/>
      <c r="FJ879" s="60"/>
      <c r="FK879" s="60"/>
      <c r="FL879" s="60"/>
      <c r="FM879" s="60"/>
      <c r="FN879" s="60"/>
      <c r="FO879" s="60"/>
      <c r="FP879" s="60"/>
      <c r="FQ879" s="60"/>
      <c r="FR879" s="60"/>
      <c r="FS879" s="60"/>
      <c r="FT879" s="60"/>
      <c r="FU879" s="60"/>
      <c r="FV879" s="60"/>
      <c r="FW879" s="60"/>
      <c r="FX879" s="60"/>
    </row>
    <row r="880">
      <c r="A880" s="18"/>
      <c r="B880" s="14"/>
      <c r="C880" s="14"/>
      <c r="D880" s="14"/>
      <c r="E880" s="18"/>
      <c r="F880" s="18"/>
      <c r="G880" s="18"/>
      <c r="H880" s="18"/>
      <c r="I880" s="18"/>
      <c r="J880" s="18"/>
      <c r="K880" s="18"/>
      <c r="L880" s="18"/>
      <c r="M880" s="18"/>
      <c r="N880" s="18"/>
      <c r="O880" s="18"/>
      <c r="P880" s="23"/>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c r="BO880" s="26"/>
      <c r="BP880" s="26"/>
      <c r="BQ880" s="26"/>
      <c r="BR880" s="26"/>
      <c r="BS880" s="26"/>
      <c r="BT880" s="26"/>
      <c r="BU880" s="26"/>
      <c r="BV880" s="26"/>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26"/>
      <c r="CU880" s="26"/>
      <c r="CV880" s="26"/>
      <c r="CW880" s="26"/>
      <c r="CX880" s="26"/>
      <c r="CY880" s="26"/>
      <c r="CZ880" s="26"/>
      <c r="DA880" s="26"/>
      <c r="DB880" s="26"/>
      <c r="DC880" s="26"/>
      <c r="DD880" s="26"/>
      <c r="DE880" s="26"/>
      <c r="DF880" s="26"/>
      <c r="DG880" s="26"/>
      <c r="DH880" s="26"/>
      <c r="DI880" s="26"/>
      <c r="DJ880" s="26"/>
      <c r="DK880" s="26"/>
      <c r="DL880" s="26"/>
      <c r="DM880" s="26"/>
      <c r="DN880" s="26"/>
      <c r="DO880" s="26"/>
      <c r="DP880" s="26"/>
      <c r="DQ880" s="26"/>
      <c r="DR880" s="26"/>
      <c r="DS880" s="26"/>
      <c r="DT880" s="26"/>
      <c r="DU880" s="26"/>
      <c r="DV880" s="26"/>
      <c r="DW880" s="26"/>
      <c r="DX880" s="26"/>
      <c r="DY880" s="26"/>
      <c r="DZ880" s="26"/>
      <c r="EA880" s="26"/>
      <c r="EB880" s="26"/>
      <c r="EC880" s="26"/>
      <c r="ED880" s="26"/>
      <c r="EE880" s="26"/>
      <c r="EF880" s="26"/>
      <c r="EG880" s="26"/>
      <c r="EH880" s="26"/>
      <c r="EI880" s="26"/>
      <c r="EJ880" s="26"/>
      <c r="EK880" s="26"/>
      <c r="EL880" s="26"/>
      <c r="EM880" s="26"/>
      <c r="EN880" s="26"/>
      <c r="EO880" s="26"/>
      <c r="EP880" s="26"/>
      <c r="EQ880" s="26"/>
      <c r="ER880" s="26"/>
      <c r="ES880" s="26"/>
      <c r="ET880" s="26"/>
      <c r="EU880" s="26"/>
      <c r="EV880" s="26"/>
      <c r="EW880" s="26"/>
      <c r="EX880" s="26"/>
      <c r="EY880" s="26"/>
      <c r="EZ880" s="26"/>
      <c r="FA880" s="60"/>
      <c r="FB880" s="60"/>
      <c r="FC880" s="60"/>
      <c r="FD880" s="60"/>
      <c r="FE880" s="60"/>
      <c r="FF880" s="60"/>
      <c r="FG880" s="60"/>
      <c r="FH880" s="60"/>
      <c r="FI880" s="60"/>
      <c r="FJ880" s="60"/>
      <c r="FK880" s="60"/>
      <c r="FL880" s="60"/>
      <c r="FM880" s="60"/>
      <c r="FN880" s="60"/>
      <c r="FO880" s="60"/>
      <c r="FP880" s="60"/>
      <c r="FQ880" s="60"/>
      <c r="FR880" s="60"/>
      <c r="FS880" s="60"/>
      <c r="FT880" s="60"/>
      <c r="FU880" s="60"/>
      <c r="FV880" s="60"/>
      <c r="FW880" s="60"/>
      <c r="FX880" s="60"/>
    </row>
    <row r="881">
      <c r="A881" s="18"/>
      <c r="B881" s="14"/>
      <c r="C881" s="14"/>
      <c r="D881" s="14"/>
      <c r="E881" s="18"/>
      <c r="F881" s="18"/>
      <c r="G881" s="18"/>
      <c r="H881" s="18"/>
      <c r="I881" s="18"/>
      <c r="J881" s="18"/>
      <c r="K881" s="18"/>
      <c r="L881" s="18"/>
      <c r="M881" s="18"/>
      <c r="N881" s="18"/>
      <c r="O881" s="18"/>
      <c r="P881" s="23"/>
      <c r="Q881" s="26"/>
      <c r="R881" s="26"/>
      <c r="S881" s="26"/>
      <c r="T881" s="26"/>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c r="BL881" s="26"/>
      <c r="BM881" s="26"/>
      <c r="BN881" s="26"/>
      <c r="BO881" s="26"/>
      <c r="BP881" s="26"/>
      <c r="BQ881" s="26"/>
      <c r="BR881" s="26"/>
      <c r="BS881" s="26"/>
      <c r="BT881" s="26"/>
      <c r="BU881" s="26"/>
      <c r="BV881" s="26"/>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26"/>
      <c r="CU881" s="26"/>
      <c r="CV881" s="26"/>
      <c r="CW881" s="26"/>
      <c r="CX881" s="26"/>
      <c r="CY881" s="26"/>
      <c r="CZ881" s="26"/>
      <c r="DA881" s="26"/>
      <c r="DB881" s="26"/>
      <c r="DC881" s="26"/>
      <c r="DD881" s="26"/>
      <c r="DE881" s="26"/>
      <c r="DF881" s="26"/>
      <c r="DG881" s="26"/>
      <c r="DH881" s="26"/>
      <c r="DI881" s="26"/>
      <c r="DJ881" s="26"/>
      <c r="DK881" s="26"/>
      <c r="DL881" s="26"/>
      <c r="DM881" s="26"/>
      <c r="DN881" s="26"/>
      <c r="DO881" s="26"/>
      <c r="DP881" s="26"/>
      <c r="DQ881" s="26"/>
      <c r="DR881" s="26"/>
      <c r="DS881" s="26"/>
      <c r="DT881" s="26"/>
      <c r="DU881" s="26"/>
      <c r="DV881" s="26"/>
      <c r="DW881" s="26"/>
      <c r="DX881" s="26"/>
      <c r="DY881" s="26"/>
      <c r="DZ881" s="26"/>
      <c r="EA881" s="26"/>
      <c r="EB881" s="26"/>
      <c r="EC881" s="26"/>
      <c r="ED881" s="26"/>
      <c r="EE881" s="26"/>
      <c r="EF881" s="26"/>
      <c r="EG881" s="26"/>
      <c r="EH881" s="26"/>
      <c r="EI881" s="26"/>
      <c r="EJ881" s="26"/>
      <c r="EK881" s="26"/>
      <c r="EL881" s="26"/>
      <c r="EM881" s="26"/>
      <c r="EN881" s="26"/>
      <c r="EO881" s="26"/>
      <c r="EP881" s="26"/>
      <c r="EQ881" s="26"/>
      <c r="ER881" s="26"/>
      <c r="ES881" s="26"/>
      <c r="ET881" s="26"/>
      <c r="EU881" s="26"/>
      <c r="EV881" s="26"/>
      <c r="EW881" s="26"/>
      <c r="EX881" s="26"/>
      <c r="EY881" s="26"/>
      <c r="EZ881" s="26"/>
      <c r="FA881" s="60"/>
      <c r="FB881" s="60"/>
      <c r="FC881" s="60"/>
      <c r="FD881" s="60"/>
      <c r="FE881" s="60"/>
      <c r="FF881" s="60"/>
      <c r="FG881" s="60"/>
      <c r="FH881" s="60"/>
      <c r="FI881" s="60"/>
      <c r="FJ881" s="60"/>
      <c r="FK881" s="60"/>
      <c r="FL881" s="60"/>
      <c r="FM881" s="60"/>
      <c r="FN881" s="60"/>
      <c r="FO881" s="60"/>
      <c r="FP881" s="60"/>
      <c r="FQ881" s="60"/>
      <c r="FR881" s="60"/>
      <c r="FS881" s="60"/>
      <c r="FT881" s="60"/>
      <c r="FU881" s="60"/>
      <c r="FV881" s="60"/>
      <c r="FW881" s="60"/>
      <c r="FX881" s="60"/>
    </row>
    <row r="882">
      <c r="A882" s="18"/>
      <c r="B882" s="14"/>
      <c r="C882" s="14"/>
      <c r="D882" s="14"/>
      <c r="E882" s="18"/>
      <c r="F882" s="18"/>
      <c r="G882" s="18"/>
      <c r="H882" s="18"/>
      <c r="I882" s="18"/>
      <c r="J882" s="18"/>
      <c r="K882" s="18"/>
      <c r="L882" s="18"/>
      <c r="M882" s="18"/>
      <c r="N882" s="18"/>
      <c r="O882" s="18"/>
      <c r="P882" s="23"/>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c r="BO882" s="26"/>
      <c r="BP882" s="26"/>
      <c r="BQ882" s="26"/>
      <c r="BR882" s="26"/>
      <c r="BS882" s="26"/>
      <c r="BT882" s="26"/>
      <c r="BU882" s="26"/>
      <c r="BV882" s="26"/>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26"/>
      <c r="CU882" s="26"/>
      <c r="CV882" s="26"/>
      <c r="CW882" s="26"/>
      <c r="CX882" s="26"/>
      <c r="CY882" s="26"/>
      <c r="CZ882" s="26"/>
      <c r="DA882" s="26"/>
      <c r="DB882" s="26"/>
      <c r="DC882" s="26"/>
      <c r="DD882" s="26"/>
      <c r="DE882" s="26"/>
      <c r="DF882" s="26"/>
      <c r="DG882" s="26"/>
      <c r="DH882" s="26"/>
      <c r="DI882" s="26"/>
      <c r="DJ882" s="26"/>
      <c r="DK882" s="26"/>
      <c r="DL882" s="26"/>
      <c r="DM882" s="26"/>
      <c r="DN882" s="26"/>
      <c r="DO882" s="26"/>
      <c r="DP882" s="26"/>
      <c r="DQ882" s="26"/>
      <c r="DR882" s="26"/>
      <c r="DS882" s="26"/>
      <c r="DT882" s="26"/>
      <c r="DU882" s="26"/>
      <c r="DV882" s="26"/>
      <c r="DW882" s="26"/>
      <c r="DX882" s="26"/>
      <c r="DY882" s="26"/>
      <c r="DZ882" s="26"/>
      <c r="EA882" s="26"/>
      <c r="EB882" s="26"/>
      <c r="EC882" s="26"/>
      <c r="ED882" s="26"/>
      <c r="EE882" s="26"/>
      <c r="EF882" s="26"/>
      <c r="EG882" s="26"/>
      <c r="EH882" s="26"/>
      <c r="EI882" s="26"/>
      <c r="EJ882" s="26"/>
      <c r="EK882" s="26"/>
      <c r="EL882" s="26"/>
      <c r="EM882" s="26"/>
      <c r="EN882" s="26"/>
      <c r="EO882" s="26"/>
      <c r="EP882" s="26"/>
      <c r="EQ882" s="26"/>
      <c r="ER882" s="26"/>
      <c r="ES882" s="26"/>
      <c r="ET882" s="26"/>
      <c r="EU882" s="26"/>
      <c r="EV882" s="26"/>
      <c r="EW882" s="26"/>
      <c r="EX882" s="26"/>
      <c r="EY882" s="26"/>
      <c r="EZ882" s="26"/>
      <c r="FA882" s="60"/>
      <c r="FB882" s="60"/>
      <c r="FC882" s="60"/>
      <c r="FD882" s="60"/>
      <c r="FE882" s="60"/>
      <c r="FF882" s="60"/>
      <c r="FG882" s="60"/>
      <c r="FH882" s="60"/>
      <c r="FI882" s="60"/>
      <c r="FJ882" s="60"/>
      <c r="FK882" s="60"/>
      <c r="FL882" s="60"/>
      <c r="FM882" s="60"/>
      <c r="FN882" s="60"/>
      <c r="FO882" s="60"/>
      <c r="FP882" s="60"/>
      <c r="FQ882" s="60"/>
      <c r="FR882" s="60"/>
      <c r="FS882" s="60"/>
      <c r="FT882" s="60"/>
      <c r="FU882" s="60"/>
      <c r="FV882" s="60"/>
      <c r="FW882" s="60"/>
      <c r="FX882" s="60"/>
    </row>
    <row r="883">
      <c r="A883" s="18"/>
      <c r="B883" s="14"/>
      <c r="C883" s="14"/>
      <c r="D883" s="14"/>
      <c r="E883" s="18"/>
      <c r="F883" s="18"/>
      <c r="G883" s="18"/>
      <c r="H883" s="18"/>
      <c r="I883" s="18"/>
      <c r="J883" s="18"/>
      <c r="K883" s="18"/>
      <c r="L883" s="18"/>
      <c r="M883" s="18"/>
      <c r="N883" s="18"/>
      <c r="O883" s="18"/>
      <c r="P883" s="23"/>
      <c r="Q883" s="26"/>
      <c r="R883" s="26"/>
      <c r="S883" s="26"/>
      <c r="T883" s="26"/>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c r="BL883" s="26"/>
      <c r="BM883" s="26"/>
      <c r="BN883" s="26"/>
      <c r="BO883" s="26"/>
      <c r="BP883" s="26"/>
      <c r="BQ883" s="26"/>
      <c r="BR883" s="26"/>
      <c r="BS883" s="26"/>
      <c r="BT883" s="26"/>
      <c r="BU883" s="26"/>
      <c r="BV883" s="26"/>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26"/>
      <c r="CU883" s="26"/>
      <c r="CV883" s="26"/>
      <c r="CW883" s="26"/>
      <c r="CX883" s="26"/>
      <c r="CY883" s="26"/>
      <c r="CZ883" s="26"/>
      <c r="DA883" s="26"/>
      <c r="DB883" s="26"/>
      <c r="DC883" s="26"/>
      <c r="DD883" s="26"/>
      <c r="DE883" s="26"/>
      <c r="DF883" s="26"/>
      <c r="DG883" s="26"/>
      <c r="DH883" s="26"/>
      <c r="DI883" s="26"/>
      <c r="DJ883" s="26"/>
      <c r="DK883" s="26"/>
      <c r="DL883" s="26"/>
      <c r="DM883" s="26"/>
      <c r="DN883" s="26"/>
      <c r="DO883" s="26"/>
      <c r="DP883" s="26"/>
      <c r="DQ883" s="26"/>
      <c r="DR883" s="26"/>
      <c r="DS883" s="26"/>
      <c r="DT883" s="26"/>
      <c r="DU883" s="26"/>
      <c r="DV883" s="26"/>
      <c r="DW883" s="26"/>
      <c r="DX883" s="26"/>
      <c r="DY883" s="26"/>
      <c r="DZ883" s="26"/>
      <c r="EA883" s="26"/>
      <c r="EB883" s="26"/>
      <c r="EC883" s="26"/>
      <c r="ED883" s="26"/>
      <c r="EE883" s="26"/>
      <c r="EF883" s="26"/>
      <c r="EG883" s="26"/>
      <c r="EH883" s="26"/>
      <c r="EI883" s="26"/>
      <c r="EJ883" s="26"/>
      <c r="EK883" s="26"/>
      <c r="EL883" s="26"/>
      <c r="EM883" s="26"/>
      <c r="EN883" s="26"/>
      <c r="EO883" s="26"/>
      <c r="EP883" s="26"/>
      <c r="EQ883" s="26"/>
      <c r="ER883" s="26"/>
      <c r="ES883" s="26"/>
      <c r="ET883" s="26"/>
      <c r="EU883" s="26"/>
      <c r="EV883" s="26"/>
      <c r="EW883" s="26"/>
      <c r="EX883" s="26"/>
      <c r="EY883" s="26"/>
      <c r="EZ883" s="26"/>
      <c r="FA883" s="60"/>
      <c r="FB883" s="60"/>
      <c r="FC883" s="60"/>
      <c r="FD883" s="60"/>
      <c r="FE883" s="60"/>
      <c r="FF883" s="60"/>
      <c r="FG883" s="60"/>
      <c r="FH883" s="60"/>
      <c r="FI883" s="60"/>
      <c r="FJ883" s="60"/>
      <c r="FK883" s="60"/>
      <c r="FL883" s="60"/>
      <c r="FM883" s="60"/>
      <c r="FN883" s="60"/>
      <c r="FO883" s="60"/>
      <c r="FP883" s="60"/>
      <c r="FQ883" s="60"/>
      <c r="FR883" s="60"/>
      <c r="FS883" s="60"/>
      <c r="FT883" s="60"/>
      <c r="FU883" s="60"/>
      <c r="FV883" s="60"/>
      <c r="FW883" s="60"/>
      <c r="FX883" s="60"/>
    </row>
    <row r="884">
      <c r="A884" s="18"/>
      <c r="B884" s="14"/>
      <c r="C884" s="14"/>
      <c r="D884" s="14"/>
      <c r="E884" s="18"/>
      <c r="F884" s="18"/>
      <c r="G884" s="18"/>
      <c r="H884" s="18"/>
      <c r="I884" s="18"/>
      <c r="J884" s="18"/>
      <c r="K884" s="18"/>
      <c r="L884" s="18"/>
      <c r="M884" s="18"/>
      <c r="N884" s="18"/>
      <c r="O884" s="18"/>
      <c r="P884" s="23"/>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c r="BO884" s="26"/>
      <c r="BP884" s="26"/>
      <c r="BQ884" s="26"/>
      <c r="BR884" s="26"/>
      <c r="BS884" s="26"/>
      <c r="BT884" s="26"/>
      <c r="BU884" s="26"/>
      <c r="BV884" s="26"/>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26"/>
      <c r="CU884" s="26"/>
      <c r="CV884" s="26"/>
      <c r="CW884" s="26"/>
      <c r="CX884" s="26"/>
      <c r="CY884" s="26"/>
      <c r="CZ884" s="26"/>
      <c r="DA884" s="26"/>
      <c r="DB884" s="26"/>
      <c r="DC884" s="26"/>
      <c r="DD884" s="26"/>
      <c r="DE884" s="26"/>
      <c r="DF884" s="26"/>
      <c r="DG884" s="26"/>
      <c r="DH884" s="26"/>
      <c r="DI884" s="26"/>
      <c r="DJ884" s="26"/>
      <c r="DK884" s="26"/>
      <c r="DL884" s="26"/>
      <c r="DM884" s="26"/>
      <c r="DN884" s="26"/>
      <c r="DO884" s="26"/>
      <c r="DP884" s="26"/>
      <c r="DQ884" s="26"/>
      <c r="DR884" s="26"/>
      <c r="DS884" s="26"/>
      <c r="DT884" s="26"/>
      <c r="DU884" s="26"/>
      <c r="DV884" s="26"/>
      <c r="DW884" s="26"/>
      <c r="DX884" s="26"/>
      <c r="DY884" s="26"/>
      <c r="DZ884" s="26"/>
      <c r="EA884" s="26"/>
      <c r="EB884" s="26"/>
      <c r="EC884" s="26"/>
      <c r="ED884" s="26"/>
      <c r="EE884" s="26"/>
      <c r="EF884" s="26"/>
      <c r="EG884" s="26"/>
      <c r="EH884" s="26"/>
      <c r="EI884" s="26"/>
      <c r="EJ884" s="26"/>
      <c r="EK884" s="26"/>
      <c r="EL884" s="26"/>
      <c r="EM884" s="26"/>
      <c r="EN884" s="26"/>
      <c r="EO884" s="26"/>
      <c r="EP884" s="26"/>
      <c r="EQ884" s="26"/>
      <c r="ER884" s="26"/>
      <c r="ES884" s="26"/>
      <c r="ET884" s="26"/>
      <c r="EU884" s="26"/>
      <c r="EV884" s="26"/>
      <c r="EW884" s="26"/>
      <c r="EX884" s="26"/>
      <c r="EY884" s="26"/>
      <c r="EZ884" s="26"/>
      <c r="FA884" s="60"/>
      <c r="FB884" s="60"/>
      <c r="FC884" s="60"/>
      <c r="FD884" s="60"/>
      <c r="FE884" s="60"/>
      <c r="FF884" s="60"/>
      <c r="FG884" s="60"/>
      <c r="FH884" s="60"/>
      <c r="FI884" s="60"/>
      <c r="FJ884" s="60"/>
      <c r="FK884" s="60"/>
      <c r="FL884" s="60"/>
      <c r="FM884" s="60"/>
      <c r="FN884" s="60"/>
      <c r="FO884" s="60"/>
      <c r="FP884" s="60"/>
      <c r="FQ884" s="60"/>
      <c r="FR884" s="60"/>
      <c r="FS884" s="60"/>
      <c r="FT884" s="60"/>
      <c r="FU884" s="60"/>
      <c r="FV884" s="60"/>
      <c r="FW884" s="60"/>
      <c r="FX884" s="60"/>
    </row>
    <row r="885">
      <c r="A885" s="18"/>
      <c r="B885" s="14"/>
      <c r="C885" s="14"/>
      <c r="D885" s="14"/>
      <c r="E885" s="18"/>
      <c r="F885" s="18"/>
      <c r="G885" s="18"/>
      <c r="H885" s="18"/>
      <c r="I885" s="18"/>
      <c r="J885" s="18"/>
      <c r="K885" s="18"/>
      <c r="L885" s="18"/>
      <c r="M885" s="18"/>
      <c r="N885" s="18"/>
      <c r="O885" s="18"/>
      <c r="P885" s="23"/>
      <c r="Q885" s="26"/>
      <c r="R885" s="26"/>
      <c r="S885" s="26"/>
      <c r="T885" s="26"/>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c r="BL885" s="26"/>
      <c r="BM885" s="26"/>
      <c r="BN885" s="26"/>
      <c r="BO885" s="26"/>
      <c r="BP885" s="26"/>
      <c r="BQ885" s="26"/>
      <c r="BR885" s="26"/>
      <c r="BS885" s="26"/>
      <c r="BT885" s="26"/>
      <c r="BU885" s="26"/>
      <c r="BV885" s="26"/>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26"/>
      <c r="CU885" s="26"/>
      <c r="CV885" s="26"/>
      <c r="CW885" s="26"/>
      <c r="CX885" s="26"/>
      <c r="CY885" s="26"/>
      <c r="CZ885" s="26"/>
      <c r="DA885" s="26"/>
      <c r="DB885" s="26"/>
      <c r="DC885" s="26"/>
      <c r="DD885" s="26"/>
      <c r="DE885" s="26"/>
      <c r="DF885" s="26"/>
      <c r="DG885" s="26"/>
      <c r="DH885" s="26"/>
      <c r="DI885" s="26"/>
      <c r="DJ885" s="26"/>
      <c r="DK885" s="26"/>
      <c r="DL885" s="26"/>
      <c r="DM885" s="26"/>
      <c r="DN885" s="26"/>
      <c r="DO885" s="26"/>
      <c r="DP885" s="26"/>
      <c r="DQ885" s="26"/>
      <c r="DR885" s="26"/>
      <c r="DS885" s="26"/>
      <c r="DT885" s="26"/>
      <c r="DU885" s="26"/>
      <c r="DV885" s="26"/>
      <c r="DW885" s="26"/>
      <c r="DX885" s="26"/>
      <c r="DY885" s="26"/>
      <c r="DZ885" s="26"/>
      <c r="EA885" s="26"/>
      <c r="EB885" s="26"/>
      <c r="EC885" s="26"/>
      <c r="ED885" s="26"/>
      <c r="EE885" s="26"/>
      <c r="EF885" s="26"/>
      <c r="EG885" s="26"/>
      <c r="EH885" s="26"/>
      <c r="EI885" s="26"/>
      <c r="EJ885" s="26"/>
      <c r="EK885" s="26"/>
      <c r="EL885" s="26"/>
      <c r="EM885" s="26"/>
      <c r="EN885" s="26"/>
      <c r="EO885" s="26"/>
      <c r="EP885" s="26"/>
      <c r="EQ885" s="26"/>
      <c r="ER885" s="26"/>
      <c r="ES885" s="26"/>
      <c r="ET885" s="26"/>
      <c r="EU885" s="26"/>
      <c r="EV885" s="26"/>
      <c r="EW885" s="26"/>
      <c r="EX885" s="26"/>
      <c r="EY885" s="26"/>
      <c r="EZ885" s="26"/>
      <c r="FA885" s="60"/>
      <c r="FB885" s="60"/>
      <c r="FC885" s="60"/>
      <c r="FD885" s="60"/>
      <c r="FE885" s="60"/>
      <c r="FF885" s="60"/>
      <c r="FG885" s="60"/>
      <c r="FH885" s="60"/>
      <c r="FI885" s="60"/>
      <c r="FJ885" s="60"/>
      <c r="FK885" s="60"/>
      <c r="FL885" s="60"/>
      <c r="FM885" s="60"/>
      <c r="FN885" s="60"/>
      <c r="FO885" s="60"/>
      <c r="FP885" s="60"/>
      <c r="FQ885" s="60"/>
      <c r="FR885" s="60"/>
      <c r="FS885" s="60"/>
      <c r="FT885" s="60"/>
      <c r="FU885" s="60"/>
      <c r="FV885" s="60"/>
      <c r="FW885" s="60"/>
      <c r="FX885" s="60"/>
    </row>
    <row r="886">
      <c r="A886" s="18"/>
      <c r="B886" s="14"/>
      <c r="C886" s="14"/>
      <c r="D886" s="14"/>
      <c r="E886" s="18"/>
      <c r="F886" s="18"/>
      <c r="G886" s="18"/>
      <c r="H886" s="18"/>
      <c r="I886" s="18"/>
      <c r="J886" s="18"/>
      <c r="K886" s="18"/>
      <c r="L886" s="18"/>
      <c r="M886" s="18"/>
      <c r="N886" s="18"/>
      <c r="O886" s="18"/>
      <c r="P886" s="23"/>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c r="BO886" s="26"/>
      <c r="BP886" s="26"/>
      <c r="BQ886" s="26"/>
      <c r="BR886" s="26"/>
      <c r="BS886" s="26"/>
      <c r="BT886" s="26"/>
      <c r="BU886" s="26"/>
      <c r="BV886" s="26"/>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26"/>
      <c r="CU886" s="26"/>
      <c r="CV886" s="26"/>
      <c r="CW886" s="26"/>
      <c r="CX886" s="26"/>
      <c r="CY886" s="26"/>
      <c r="CZ886" s="26"/>
      <c r="DA886" s="26"/>
      <c r="DB886" s="26"/>
      <c r="DC886" s="26"/>
      <c r="DD886" s="26"/>
      <c r="DE886" s="26"/>
      <c r="DF886" s="26"/>
      <c r="DG886" s="26"/>
      <c r="DH886" s="26"/>
      <c r="DI886" s="26"/>
      <c r="DJ886" s="26"/>
      <c r="DK886" s="26"/>
      <c r="DL886" s="26"/>
      <c r="DM886" s="26"/>
      <c r="DN886" s="26"/>
      <c r="DO886" s="26"/>
      <c r="DP886" s="26"/>
      <c r="DQ886" s="26"/>
      <c r="DR886" s="26"/>
      <c r="DS886" s="26"/>
      <c r="DT886" s="26"/>
      <c r="DU886" s="26"/>
      <c r="DV886" s="26"/>
      <c r="DW886" s="26"/>
      <c r="DX886" s="26"/>
      <c r="DY886" s="26"/>
      <c r="DZ886" s="26"/>
      <c r="EA886" s="26"/>
      <c r="EB886" s="26"/>
      <c r="EC886" s="26"/>
      <c r="ED886" s="26"/>
      <c r="EE886" s="26"/>
      <c r="EF886" s="26"/>
      <c r="EG886" s="26"/>
      <c r="EH886" s="26"/>
      <c r="EI886" s="26"/>
      <c r="EJ886" s="26"/>
      <c r="EK886" s="26"/>
      <c r="EL886" s="26"/>
      <c r="EM886" s="26"/>
      <c r="EN886" s="26"/>
      <c r="EO886" s="26"/>
      <c r="EP886" s="26"/>
      <c r="EQ886" s="26"/>
      <c r="ER886" s="26"/>
      <c r="ES886" s="26"/>
      <c r="ET886" s="26"/>
      <c r="EU886" s="26"/>
      <c r="EV886" s="26"/>
      <c r="EW886" s="26"/>
      <c r="EX886" s="26"/>
      <c r="EY886" s="26"/>
      <c r="EZ886" s="26"/>
      <c r="FA886" s="60"/>
      <c r="FB886" s="60"/>
      <c r="FC886" s="60"/>
      <c r="FD886" s="60"/>
      <c r="FE886" s="60"/>
      <c r="FF886" s="60"/>
      <c r="FG886" s="60"/>
      <c r="FH886" s="60"/>
      <c r="FI886" s="60"/>
      <c r="FJ886" s="60"/>
      <c r="FK886" s="60"/>
      <c r="FL886" s="60"/>
      <c r="FM886" s="60"/>
      <c r="FN886" s="60"/>
      <c r="FO886" s="60"/>
      <c r="FP886" s="60"/>
      <c r="FQ886" s="60"/>
      <c r="FR886" s="60"/>
      <c r="FS886" s="60"/>
      <c r="FT886" s="60"/>
      <c r="FU886" s="60"/>
      <c r="FV886" s="60"/>
      <c r="FW886" s="60"/>
      <c r="FX886" s="60"/>
    </row>
    <row r="887">
      <c r="A887" s="18"/>
      <c r="B887" s="14"/>
      <c r="C887" s="14"/>
      <c r="D887" s="14"/>
      <c r="E887" s="18"/>
      <c r="F887" s="18"/>
      <c r="G887" s="18"/>
      <c r="H887" s="18"/>
      <c r="I887" s="18"/>
      <c r="J887" s="18"/>
      <c r="K887" s="18"/>
      <c r="L887" s="18"/>
      <c r="M887" s="18"/>
      <c r="N887" s="18"/>
      <c r="O887" s="18"/>
      <c r="P887" s="23"/>
      <c r="Q887" s="26"/>
      <c r="R887" s="26"/>
      <c r="S887" s="26"/>
      <c r="T887" s="26"/>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c r="BL887" s="26"/>
      <c r="BM887" s="26"/>
      <c r="BN887" s="26"/>
      <c r="BO887" s="26"/>
      <c r="BP887" s="26"/>
      <c r="BQ887" s="26"/>
      <c r="BR887" s="26"/>
      <c r="BS887" s="26"/>
      <c r="BT887" s="26"/>
      <c r="BU887" s="26"/>
      <c r="BV887" s="26"/>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26"/>
      <c r="CU887" s="26"/>
      <c r="CV887" s="26"/>
      <c r="CW887" s="26"/>
      <c r="CX887" s="26"/>
      <c r="CY887" s="26"/>
      <c r="CZ887" s="26"/>
      <c r="DA887" s="26"/>
      <c r="DB887" s="26"/>
      <c r="DC887" s="26"/>
      <c r="DD887" s="26"/>
      <c r="DE887" s="26"/>
      <c r="DF887" s="26"/>
      <c r="DG887" s="26"/>
      <c r="DH887" s="26"/>
      <c r="DI887" s="26"/>
      <c r="DJ887" s="26"/>
      <c r="DK887" s="26"/>
      <c r="DL887" s="26"/>
      <c r="DM887" s="26"/>
      <c r="DN887" s="26"/>
      <c r="DO887" s="26"/>
      <c r="DP887" s="26"/>
      <c r="DQ887" s="26"/>
      <c r="DR887" s="26"/>
      <c r="DS887" s="26"/>
      <c r="DT887" s="26"/>
      <c r="DU887" s="26"/>
      <c r="DV887" s="26"/>
      <c r="DW887" s="26"/>
      <c r="DX887" s="26"/>
      <c r="DY887" s="26"/>
      <c r="DZ887" s="26"/>
      <c r="EA887" s="26"/>
      <c r="EB887" s="26"/>
      <c r="EC887" s="26"/>
      <c r="ED887" s="26"/>
      <c r="EE887" s="26"/>
      <c r="EF887" s="26"/>
      <c r="EG887" s="26"/>
      <c r="EH887" s="26"/>
      <c r="EI887" s="26"/>
      <c r="EJ887" s="26"/>
      <c r="EK887" s="26"/>
      <c r="EL887" s="26"/>
      <c r="EM887" s="26"/>
      <c r="EN887" s="26"/>
      <c r="EO887" s="26"/>
      <c r="EP887" s="26"/>
      <c r="EQ887" s="26"/>
      <c r="ER887" s="26"/>
      <c r="ES887" s="26"/>
      <c r="ET887" s="26"/>
      <c r="EU887" s="26"/>
      <c r="EV887" s="26"/>
      <c r="EW887" s="26"/>
      <c r="EX887" s="26"/>
      <c r="EY887" s="26"/>
      <c r="EZ887" s="26"/>
      <c r="FA887" s="60"/>
      <c r="FB887" s="60"/>
      <c r="FC887" s="60"/>
      <c r="FD887" s="60"/>
      <c r="FE887" s="60"/>
      <c r="FF887" s="60"/>
      <c r="FG887" s="60"/>
      <c r="FH887" s="60"/>
      <c r="FI887" s="60"/>
      <c r="FJ887" s="60"/>
      <c r="FK887" s="60"/>
      <c r="FL887" s="60"/>
      <c r="FM887" s="60"/>
      <c r="FN887" s="60"/>
      <c r="FO887" s="60"/>
      <c r="FP887" s="60"/>
      <c r="FQ887" s="60"/>
      <c r="FR887" s="60"/>
      <c r="FS887" s="60"/>
      <c r="FT887" s="60"/>
      <c r="FU887" s="60"/>
      <c r="FV887" s="60"/>
      <c r="FW887" s="60"/>
      <c r="FX887" s="60"/>
    </row>
    <row r="888">
      <c r="A888" s="18"/>
      <c r="B888" s="14"/>
      <c r="C888" s="14"/>
      <c r="D888" s="14"/>
      <c r="E888" s="18"/>
      <c r="F888" s="18"/>
      <c r="G888" s="18"/>
      <c r="H888" s="18"/>
      <c r="I888" s="18"/>
      <c r="J888" s="18"/>
      <c r="K888" s="18"/>
      <c r="L888" s="18"/>
      <c r="M888" s="18"/>
      <c r="N888" s="18"/>
      <c r="O888" s="18"/>
      <c r="P888" s="23"/>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c r="BO888" s="26"/>
      <c r="BP888" s="26"/>
      <c r="BQ888" s="26"/>
      <c r="BR888" s="26"/>
      <c r="BS888" s="26"/>
      <c r="BT888" s="26"/>
      <c r="BU888" s="26"/>
      <c r="BV888" s="26"/>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26"/>
      <c r="CU888" s="26"/>
      <c r="CV888" s="26"/>
      <c r="CW888" s="26"/>
      <c r="CX888" s="26"/>
      <c r="CY888" s="26"/>
      <c r="CZ888" s="26"/>
      <c r="DA888" s="26"/>
      <c r="DB888" s="26"/>
      <c r="DC888" s="26"/>
      <c r="DD888" s="26"/>
      <c r="DE888" s="26"/>
      <c r="DF888" s="26"/>
      <c r="DG888" s="26"/>
      <c r="DH888" s="26"/>
      <c r="DI888" s="26"/>
      <c r="DJ888" s="26"/>
      <c r="DK888" s="26"/>
      <c r="DL888" s="26"/>
      <c r="DM888" s="26"/>
      <c r="DN888" s="26"/>
      <c r="DO888" s="26"/>
      <c r="DP888" s="26"/>
      <c r="DQ888" s="26"/>
      <c r="DR888" s="26"/>
      <c r="DS888" s="26"/>
      <c r="DT888" s="26"/>
      <c r="DU888" s="26"/>
      <c r="DV888" s="26"/>
      <c r="DW888" s="26"/>
      <c r="DX888" s="26"/>
      <c r="DY888" s="26"/>
      <c r="DZ888" s="26"/>
      <c r="EA888" s="26"/>
      <c r="EB888" s="26"/>
      <c r="EC888" s="26"/>
      <c r="ED888" s="26"/>
      <c r="EE888" s="26"/>
      <c r="EF888" s="26"/>
      <c r="EG888" s="26"/>
      <c r="EH888" s="26"/>
      <c r="EI888" s="26"/>
      <c r="EJ888" s="26"/>
      <c r="EK888" s="26"/>
      <c r="EL888" s="26"/>
      <c r="EM888" s="26"/>
      <c r="EN888" s="26"/>
      <c r="EO888" s="26"/>
      <c r="EP888" s="26"/>
      <c r="EQ888" s="26"/>
      <c r="ER888" s="26"/>
      <c r="ES888" s="26"/>
      <c r="ET888" s="26"/>
      <c r="EU888" s="26"/>
      <c r="EV888" s="26"/>
      <c r="EW888" s="26"/>
      <c r="EX888" s="26"/>
      <c r="EY888" s="26"/>
      <c r="EZ888" s="26"/>
      <c r="FA888" s="60"/>
      <c r="FB888" s="60"/>
      <c r="FC888" s="60"/>
      <c r="FD888" s="60"/>
      <c r="FE888" s="60"/>
      <c r="FF888" s="60"/>
      <c r="FG888" s="60"/>
      <c r="FH888" s="60"/>
      <c r="FI888" s="60"/>
      <c r="FJ888" s="60"/>
      <c r="FK888" s="60"/>
      <c r="FL888" s="60"/>
      <c r="FM888" s="60"/>
      <c r="FN888" s="60"/>
      <c r="FO888" s="60"/>
      <c r="FP888" s="60"/>
      <c r="FQ888" s="60"/>
      <c r="FR888" s="60"/>
      <c r="FS888" s="60"/>
      <c r="FT888" s="60"/>
      <c r="FU888" s="60"/>
      <c r="FV888" s="60"/>
      <c r="FW888" s="60"/>
      <c r="FX888" s="60"/>
    </row>
    <row r="889">
      <c r="A889" s="18"/>
      <c r="B889" s="14"/>
      <c r="C889" s="14"/>
      <c r="D889" s="14"/>
      <c r="E889" s="18"/>
      <c r="F889" s="18"/>
      <c r="G889" s="18"/>
      <c r="H889" s="18"/>
      <c r="I889" s="18"/>
      <c r="J889" s="18"/>
      <c r="K889" s="18"/>
      <c r="L889" s="18"/>
      <c r="M889" s="18"/>
      <c r="N889" s="18"/>
      <c r="O889" s="18"/>
      <c r="P889" s="23"/>
      <c r="Q889" s="26"/>
      <c r="R889" s="26"/>
      <c r="S889" s="26"/>
      <c r="T889" s="26"/>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c r="BL889" s="26"/>
      <c r="BM889" s="26"/>
      <c r="BN889" s="26"/>
      <c r="BO889" s="26"/>
      <c r="BP889" s="26"/>
      <c r="BQ889" s="26"/>
      <c r="BR889" s="26"/>
      <c r="BS889" s="26"/>
      <c r="BT889" s="26"/>
      <c r="BU889" s="26"/>
      <c r="BV889" s="26"/>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26"/>
      <c r="CU889" s="26"/>
      <c r="CV889" s="26"/>
      <c r="CW889" s="26"/>
      <c r="CX889" s="26"/>
      <c r="CY889" s="26"/>
      <c r="CZ889" s="26"/>
      <c r="DA889" s="26"/>
      <c r="DB889" s="26"/>
      <c r="DC889" s="26"/>
      <c r="DD889" s="26"/>
      <c r="DE889" s="26"/>
      <c r="DF889" s="26"/>
      <c r="DG889" s="26"/>
      <c r="DH889" s="26"/>
      <c r="DI889" s="26"/>
      <c r="DJ889" s="26"/>
      <c r="DK889" s="26"/>
      <c r="DL889" s="26"/>
      <c r="DM889" s="26"/>
      <c r="DN889" s="26"/>
      <c r="DO889" s="26"/>
      <c r="DP889" s="26"/>
      <c r="DQ889" s="26"/>
      <c r="DR889" s="26"/>
      <c r="DS889" s="26"/>
      <c r="DT889" s="26"/>
      <c r="DU889" s="26"/>
      <c r="DV889" s="26"/>
      <c r="DW889" s="26"/>
      <c r="DX889" s="26"/>
      <c r="DY889" s="26"/>
      <c r="DZ889" s="26"/>
      <c r="EA889" s="26"/>
      <c r="EB889" s="26"/>
      <c r="EC889" s="26"/>
      <c r="ED889" s="26"/>
      <c r="EE889" s="26"/>
      <c r="EF889" s="26"/>
      <c r="EG889" s="26"/>
      <c r="EH889" s="26"/>
      <c r="EI889" s="26"/>
      <c r="EJ889" s="26"/>
      <c r="EK889" s="26"/>
      <c r="EL889" s="26"/>
      <c r="EM889" s="26"/>
      <c r="EN889" s="26"/>
      <c r="EO889" s="26"/>
      <c r="EP889" s="26"/>
      <c r="EQ889" s="26"/>
      <c r="ER889" s="26"/>
      <c r="ES889" s="26"/>
      <c r="ET889" s="26"/>
      <c r="EU889" s="26"/>
      <c r="EV889" s="26"/>
      <c r="EW889" s="26"/>
      <c r="EX889" s="26"/>
      <c r="EY889" s="26"/>
      <c r="EZ889" s="26"/>
      <c r="FA889" s="60"/>
      <c r="FB889" s="60"/>
      <c r="FC889" s="60"/>
      <c r="FD889" s="60"/>
      <c r="FE889" s="60"/>
      <c r="FF889" s="60"/>
      <c r="FG889" s="60"/>
      <c r="FH889" s="60"/>
      <c r="FI889" s="60"/>
      <c r="FJ889" s="60"/>
      <c r="FK889" s="60"/>
      <c r="FL889" s="60"/>
      <c r="FM889" s="60"/>
      <c r="FN889" s="60"/>
      <c r="FO889" s="60"/>
      <c r="FP889" s="60"/>
      <c r="FQ889" s="60"/>
      <c r="FR889" s="60"/>
      <c r="FS889" s="60"/>
      <c r="FT889" s="60"/>
      <c r="FU889" s="60"/>
      <c r="FV889" s="60"/>
      <c r="FW889" s="60"/>
      <c r="FX889" s="60"/>
    </row>
    <row r="890">
      <c r="A890" s="18"/>
      <c r="B890" s="14"/>
      <c r="C890" s="14"/>
      <c r="D890" s="14"/>
      <c r="E890" s="18"/>
      <c r="F890" s="18"/>
      <c r="G890" s="18"/>
      <c r="H890" s="18"/>
      <c r="I890" s="18"/>
      <c r="J890" s="18"/>
      <c r="K890" s="18"/>
      <c r="L890" s="18"/>
      <c r="M890" s="18"/>
      <c r="N890" s="18"/>
      <c r="O890" s="18"/>
      <c r="P890" s="23"/>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c r="BO890" s="26"/>
      <c r="BP890" s="26"/>
      <c r="BQ890" s="26"/>
      <c r="BR890" s="26"/>
      <c r="BS890" s="26"/>
      <c r="BT890" s="26"/>
      <c r="BU890" s="26"/>
      <c r="BV890" s="26"/>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26"/>
      <c r="CU890" s="26"/>
      <c r="CV890" s="26"/>
      <c r="CW890" s="26"/>
      <c r="CX890" s="26"/>
      <c r="CY890" s="26"/>
      <c r="CZ890" s="26"/>
      <c r="DA890" s="26"/>
      <c r="DB890" s="26"/>
      <c r="DC890" s="26"/>
      <c r="DD890" s="26"/>
      <c r="DE890" s="26"/>
      <c r="DF890" s="26"/>
      <c r="DG890" s="26"/>
      <c r="DH890" s="26"/>
      <c r="DI890" s="26"/>
      <c r="DJ890" s="26"/>
      <c r="DK890" s="26"/>
      <c r="DL890" s="26"/>
      <c r="DM890" s="26"/>
      <c r="DN890" s="26"/>
      <c r="DO890" s="26"/>
      <c r="DP890" s="26"/>
      <c r="DQ890" s="26"/>
      <c r="DR890" s="26"/>
      <c r="DS890" s="26"/>
      <c r="DT890" s="26"/>
      <c r="DU890" s="26"/>
      <c r="DV890" s="26"/>
      <c r="DW890" s="26"/>
      <c r="DX890" s="26"/>
      <c r="DY890" s="26"/>
      <c r="DZ890" s="26"/>
      <c r="EA890" s="26"/>
      <c r="EB890" s="26"/>
      <c r="EC890" s="26"/>
      <c r="ED890" s="26"/>
      <c r="EE890" s="26"/>
      <c r="EF890" s="26"/>
      <c r="EG890" s="26"/>
      <c r="EH890" s="26"/>
      <c r="EI890" s="26"/>
      <c r="EJ890" s="26"/>
      <c r="EK890" s="26"/>
      <c r="EL890" s="26"/>
      <c r="EM890" s="26"/>
      <c r="EN890" s="26"/>
      <c r="EO890" s="26"/>
      <c r="EP890" s="26"/>
      <c r="EQ890" s="26"/>
      <c r="ER890" s="26"/>
      <c r="ES890" s="26"/>
      <c r="ET890" s="26"/>
      <c r="EU890" s="26"/>
      <c r="EV890" s="26"/>
      <c r="EW890" s="26"/>
      <c r="EX890" s="26"/>
      <c r="EY890" s="26"/>
      <c r="EZ890" s="26"/>
      <c r="FA890" s="60"/>
      <c r="FB890" s="60"/>
      <c r="FC890" s="60"/>
      <c r="FD890" s="60"/>
      <c r="FE890" s="60"/>
      <c r="FF890" s="60"/>
      <c r="FG890" s="60"/>
      <c r="FH890" s="60"/>
      <c r="FI890" s="60"/>
      <c r="FJ890" s="60"/>
      <c r="FK890" s="60"/>
      <c r="FL890" s="60"/>
      <c r="FM890" s="60"/>
      <c r="FN890" s="60"/>
      <c r="FO890" s="60"/>
      <c r="FP890" s="60"/>
      <c r="FQ890" s="60"/>
      <c r="FR890" s="60"/>
      <c r="FS890" s="60"/>
      <c r="FT890" s="60"/>
      <c r="FU890" s="60"/>
      <c r="FV890" s="60"/>
      <c r="FW890" s="60"/>
      <c r="FX890" s="60"/>
    </row>
    <row r="891">
      <c r="A891" s="18"/>
      <c r="B891" s="14"/>
      <c r="C891" s="14"/>
      <c r="D891" s="14"/>
      <c r="E891" s="18"/>
      <c r="F891" s="18"/>
      <c r="G891" s="18"/>
      <c r="H891" s="18"/>
      <c r="I891" s="18"/>
      <c r="J891" s="18"/>
      <c r="K891" s="18"/>
      <c r="L891" s="18"/>
      <c r="M891" s="18"/>
      <c r="N891" s="18"/>
      <c r="O891" s="18"/>
      <c r="P891" s="23"/>
      <c r="Q891" s="26"/>
      <c r="R891" s="26"/>
      <c r="S891" s="26"/>
      <c r="T891" s="26"/>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c r="BM891" s="26"/>
      <c r="BN891" s="26"/>
      <c r="BO891" s="26"/>
      <c r="BP891" s="26"/>
      <c r="BQ891" s="26"/>
      <c r="BR891" s="26"/>
      <c r="BS891" s="26"/>
      <c r="BT891" s="26"/>
      <c r="BU891" s="26"/>
      <c r="BV891" s="26"/>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26"/>
      <c r="CU891" s="26"/>
      <c r="CV891" s="26"/>
      <c r="CW891" s="26"/>
      <c r="CX891" s="26"/>
      <c r="CY891" s="26"/>
      <c r="CZ891" s="26"/>
      <c r="DA891" s="26"/>
      <c r="DB891" s="26"/>
      <c r="DC891" s="26"/>
      <c r="DD891" s="26"/>
      <c r="DE891" s="26"/>
      <c r="DF891" s="26"/>
      <c r="DG891" s="26"/>
      <c r="DH891" s="26"/>
      <c r="DI891" s="26"/>
      <c r="DJ891" s="26"/>
      <c r="DK891" s="26"/>
      <c r="DL891" s="26"/>
      <c r="DM891" s="26"/>
      <c r="DN891" s="26"/>
      <c r="DO891" s="26"/>
      <c r="DP891" s="26"/>
      <c r="DQ891" s="26"/>
      <c r="DR891" s="26"/>
      <c r="DS891" s="26"/>
      <c r="DT891" s="26"/>
      <c r="DU891" s="26"/>
      <c r="DV891" s="26"/>
      <c r="DW891" s="26"/>
      <c r="DX891" s="26"/>
      <c r="DY891" s="26"/>
      <c r="DZ891" s="26"/>
      <c r="EA891" s="26"/>
      <c r="EB891" s="26"/>
      <c r="EC891" s="26"/>
      <c r="ED891" s="26"/>
      <c r="EE891" s="26"/>
      <c r="EF891" s="26"/>
      <c r="EG891" s="26"/>
      <c r="EH891" s="26"/>
      <c r="EI891" s="26"/>
      <c r="EJ891" s="26"/>
      <c r="EK891" s="26"/>
      <c r="EL891" s="26"/>
      <c r="EM891" s="26"/>
      <c r="EN891" s="26"/>
      <c r="EO891" s="26"/>
      <c r="EP891" s="26"/>
      <c r="EQ891" s="26"/>
      <c r="ER891" s="26"/>
      <c r="ES891" s="26"/>
      <c r="ET891" s="26"/>
      <c r="EU891" s="26"/>
      <c r="EV891" s="26"/>
      <c r="EW891" s="26"/>
      <c r="EX891" s="26"/>
      <c r="EY891" s="26"/>
      <c r="EZ891" s="26"/>
      <c r="FA891" s="60"/>
      <c r="FB891" s="60"/>
      <c r="FC891" s="60"/>
      <c r="FD891" s="60"/>
      <c r="FE891" s="60"/>
      <c r="FF891" s="60"/>
      <c r="FG891" s="60"/>
      <c r="FH891" s="60"/>
      <c r="FI891" s="60"/>
      <c r="FJ891" s="60"/>
      <c r="FK891" s="60"/>
      <c r="FL891" s="60"/>
      <c r="FM891" s="60"/>
      <c r="FN891" s="60"/>
      <c r="FO891" s="60"/>
      <c r="FP891" s="60"/>
      <c r="FQ891" s="60"/>
      <c r="FR891" s="60"/>
      <c r="FS891" s="60"/>
      <c r="FT891" s="60"/>
      <c r="FU891" s="60"/>
      <c r="FV891" s="60"/>
      <c r="FW891" s="60"/>
      <c r="FX891" s="60"/>
    </row>
    <row r="892">
      <c r="A892" s="18"/>
      <c r="B892" s="14"/>
      <c r="C892" s="14"/>
      <c r="D892" s="14"/>
      <c r="E892" s="18"/>
      <c r="F892" s="18"/>
      <c r="G892" s="18"/>
      <c r="H892" s="18"/>
      <c r="I892" s="18"/>
      <c r="J892" s="18"/>
      <c r="K892" s="18"/>
      <c r="L892" s="18"/>
      <c r="M892" s="18"/>
      <c r="N892" s="18"/>
      <c r="O892" s="18"/>
      <c r="P892" s="23"/>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c r="BO892" s="26"/>
      <c r="BP892" s="26"/>
      <c r="BQ892" s="26"/>
      <c r="BR892" s="26"/>
      <c r="BS892" s="26"/>
      <c r="BT892" s="26"/>
      <c r="BU892" s="26"/>
      <c r="BV892" s="26"/>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26"/>
      <c r="CU892" s="26"/>
      <c r="CV892" s="26"/>
      <c r="CW892" s="26"/>
      <c r="CX892" s="26"/>
      <c r="CY892" s="26"/>
      <c r="CZ892" s="26"/>
      <c r="DA892" s="26"/>
      <c r="DB892" s="26"/>
      <c r="DC892" s="26"/>
      <c r="DD892" s="26"/>
      <c r="DE892" s="26"/>
      <c r="DF892" s="26"/>
      <c r="DG892" s="26"/>
      <c r="DH892" s="26"/>
      <c r="DI892" s="26"/>
      <c r="DJ892" s="26"/>
      <c r="DK892" s="26"/>
      <c r="DL892" s="26"/>
      <c r="DM892" s="26"/>
      <c r="DN892" s="26"/>
      <c r="DO892" s="26"/>
      <c r="DP892" s="26"/>
      <c r="DQ892" s="26"/>
      <c r="DR892" s="26"/>
      <c r="DS892" s="26"/>
      <c r="DT892" s="26"/>
      <c r="DU892" s="26"/>
      <c r="DV892" s="26"/>
      <c r="DW892" s="26"/>
      <c r="DX892" s="26"/>
      <c r="DY892" s="26"/>
      <c r="DZ892" s="26"/>
      <c r="EA892" s="26"/>
      <c r="EB892" s="26"/>
      <c r="EC892" s="26"/>
      <c r="ED892" s="26"/>
      <c r="EE892" s="26"/>
      <c r="EF892" s="26"/>
      <c r="EG892" s="26"/>
      <c r="EH892" s="26"/>
      <c r="EI892" s="26"/>
      <c r="EJ892" s="26"/>
      <c r="EK892" s="26"/>
      <c r="EL892" s="26"/>
      <c r="EM892" s="26"/>
      <c r="EN892" s="26"/>
      <c r="EO892" s="26"/>
      <c r="EP892" s="26"/>
      <c r="EQ892" s="26"/>
      <c r="ER892" s="26"/>
      <c r="ES892" s="26"/>
      <c r="ET892" s="26"/>
      <c r="EU892" s="26"/>
      <c r="EV892" s="26"/>
      <c r="EW892" s="26"/>
      <c r="EX892" s="26"/>
      <c r="EY892" s="26"/>
      <c r="EZ892" s="26"/>
      <c r="FA892" s="60"/>
      <c r="FB892" s="60"/>
      <c r="FC892" s="60"/>
      <c r="FD892" s="60"/>
      <c r="FE892" s="60"/>
      <c r="FF892" s="60"/>
      <c r="FG892" s="60"/>
      <c r="FH892" s="60"/>
      <c r="FI892" s="60"/>
      <c r="FJ892" s="60"/>
      <c r="FK892" s="60"/>
      <c r="FL892" s="60"/>
      <c r="FM892" s="60"/>
      <c r="FN892" s="60"/>
      <c r="FO892" s="60"/>
      <c r="FP892" s="60"/>
      <c r="FQ892" s="60"/>
      <c r="FR892" s="60"/>
      <c r="FS892" s="60"/>
      <c r="FT892" s="60"/>
      <c r="FU892" s="60"/>
      <c r="FV892" s="60"/>
      <c r="FW892" s="60"/>
      <c r="FX892" s="60"/>
    </row>
    <row r="893">
      <c r="A893" s="18"/>
      <c r="B893" s="14"/>
      <c r="C893" s="14"/>
      <c r="D893" s="14"/>
      <c r="E893" s="18"/>
      <c r="F893" s="18"/>
      <c r="G893" s="18"/>
      <c r="H893" s="18"/>
      <c r="I893" s="18"/>
      <c r="J893" s="18"/>
      <c r="K893" s="18"/>
      <c r="L893" s="18"/>
      <c r="M893" s="18"/>
      <c r="N893" s="18"/>
      <c r="O893" s="18"/>
      <c r="P893" s="23"/>
      <c r="Q893" s="26"/>
      <c r="R893" s="26"/>
      <c r="S893" s="26"/>
      <c r="T893" s="26"/>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c r="BM893" s="26"/>
      <c r="BN893" s="26"/>
      <c r="BO893" s="26"/>
      <c r="BP893" s="26"/>
      <c r="BQ893" s="26"/>
      <c r="BR893" s="26"/>
      <c r="BS893" s="26"/>
      <c r="BT893" s="26"/>
      <c r="BU893" s="26"/>
      <c r="BV893" s="26"/>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26"/>
      <c r="CU893" s="26"/>
      <c r="CV893" s="26"/>
      <c r="CW893" s="26"/>
      <c r="CX893" s="26"/>
      <c r="CY893" s="26"/>
      <c r="CZ893" s="26"/>
      <c r="DA893" s="26"/>
      <c r="DB893" s="26"/>
      <c r="DC893" s="26"/>
      <c r="DD893" s="26"/>
      <c r="DE893" s="26"/>
      <c r="DF893" s="26"/>
      <c r="DG893" s="26"/>
      <c r="DH893" s="26"/>
      <c r="DI893" s="26"/>
      <c r="DJ893" s="26"/>
      <c r="DK893" s="26"/>
      <c r="DL893" s="26"/>
      <c r="DM893" s="26"/>
      <c r="DN893" s="26"/>
      <c r="DO893" s="26"/>
      <c r="DP893" s="26"/>
      <c r="DQ893" s="26"/>
      <c r="DR893" s="26"/>
      <c r="DS893" s="26"/>
      <c r="DT893" s="26"/>
      <c r="DU893" s="26"/>
      <c r="DV893" s="26"/>
      <c r="DW893" s="26"/>
      <c r="DX893" s="26"/>
      <c r="DY893" s="26"/>
      <c r="DZ893" s="26"/>
      <c r="EA893" s="26"/>
      <c r="EB893" s="26"/>
      <c r="EC893" s="26"/>
      <c r="ED893" s="26"/>
      <c r="EE893" s="26"/>
      <c r="EF893" s="26"/>
      <c r="EG893" s="26"/>
      <c r="EH893" s="26"/>
      <c r="EI893" s="26"/>
      <c r="EJ893" s="26"/>
      <c r="EK893" s="26"/>
      <c r="EL893" s="26"/>
      <c r="EM893" s="26"/>
      <c r="EN893" s="26"/>
      <c r="EO893" s="26"/>
      <c r="EP893" s="26"/>
      <c r="EQ893" s="26"/>
      <c r="ER893" s="26"/>
      <c r="ES893" s="26"/>
      <c r="ET893" s="26"/>
      <c r="EU893" s="26"/>
      <c r="EV893" s="26"/>
      <c r="EW893" s="26"/>
      <c r="EX893" s="26"/>
      <c r="EY893" s="26"/>
      <c r="EZ893" s="26"/>
      <c r="FA893" s="60"/>
      <c r="FB893" s="60"/>
      <c r="FC893" s="60"/>
      <c r="FD893" s="60"/>
      <c r="FE893" s="60"/>
      <c r="FF893" s="60"/>
      <c r="FG893" s="60"/>
      <c r="FH893" s="60"/>
      <c r="FI893" s="60"/>
      <c r="FJ893" s="60"/>
      <c r="FK893" s="60"/>
      <c r="FL893" s="60"/>
      <c r="FM893" s="60"/>
      <c r="FN893" s="60"/>
      <c r="FO893" s="60"/>
      <c r="FP893" s="60"/>
      <c r="FQ893" s="60"/>
      <c r="FR893" s="60"/>
      <c r="FS893" s="60"/>
      <c r="FT893" s="60"/>
      <c r="FU893" s="60"/>
      <c r="FV893" s="60"/>
      <c r="FW893" s="60"/>
      <c r="FX893" s="60"/>
    </row>
    <row r="894">
      <c r="A894" s="18"/>
      <c r="B894" s="14"/>
      <c r="C894" s="14"/>
      <c r="D894" s="14"/>
      <c r="E894" s="18"/>
      <c r="F894" s="18"/>
      <c r="G894" s="18"/>
      <c r="H894" s="18"/>
      <c r="I894" s="18"/>
      <c r="J894" s="18"/>
      <c r="K894" s="18"/>
      <c r="L894" s="18"/>
      <c r="M894" s="18"/>
      <c r="N894" s="18"/>
      <c r="O894" s="18"/>
      <c r="P894" s="23"/>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c r="BO894" s="26"/>
      <c r="BP894" s="26"/>
      <c r="BQ894" s="26"/>
      <c r="BR894" s="26"/>
      <c r="BS894" s="26"/>
      <c r="BT894" s="26"/>
      <c r="BU894" s="26"/>
      <c r="BV894" s="26"/>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26"/>
      <c r="CU894" s="26"/>
      <c r="CV894" s="26"/>
      <c r="CW894" s="26"/>
      <c r="CX894" s="26"/>
      <c r="CY894" s="26"/>
      <c r="CZ894" s="26"/>
      <c r="DA894" s="26"/>
      <c r="DB894" s="26"/>
      <c r="DC894" s="26"/>
      <c r="DD894" s="26"/>
      <c r="DE894" s="26"/>
      <c r="DF894" s="26"/>
      <c r="DG894" s="26"/>
      <c r="DH894" s="26"/>
      <c r="DI894" s="26"/>
      <c r="DJ894" s="26"/>
      <c r="DK894" s="26"/>
      <c r="DL894" s="26"/>
      <c r="DM894" s="26"/>
      <c r="DN894" s="26"/>
      <c r="DO894" s="26"/>
      <c r="DP894" s="26"/>
      <c r="DQ894" s="26"/>
      <c r="DR894" s="26"/>
      <c r="DS894" s="26"/>
      <c r="DT894" s="26"/>
      <c r="DU894" s="26"/>
      <c r="DV894" s="26"/>
      <c r="DW894" s="26"/>
      <c r="DX894" s="26"/>
      <c r="DY894" s="26"/>
      <c r="DZ894" s="26"/>
      <c r="EA894" s="26"/>
      <c r="EB894" s="26"/>
      <c r="EC894" s="26"/>
      <c r="ED894" s="26"/>
      <c r="EE894" s="26"/>
      <c r="EF894" s="26"/>
      <c r="EG894" s="26"/>
      <c r="EH894" s="26"/>
      <c r="EI894" s="26"/>
      <c r="EJ894" s="26"/>
      <c r="EK894" s="26"/>
      <c r="EL894" s="26"/>
      <c r="EM894" s="26"/>
      <c r="EN894" s="26"/>
      <c r="EO894" s="26"/>
      <c r="EP894" s="26"/>
      <c r="EQ894" s="26"/>
      <c r="ER894" s="26"/>
      <c r="ES894" s="26"/>
      <c r="ET894" s="26"/>
      <c r="EU894" s="26"/>
      <c r="EV894" s="26"/>
      <c r="EW894" s="26"/>
      <c r="EX894" s="26"/>
      <c r="EY894" s="26"/>
      <c r="EZ894" s="26"/>
      <c r="FA894" s="60"/>
      <c r="FB894" s="60"/>
      <c r="FC894" s="60"/>
      <c r="FD894" s="60"/>
      <c r="FE894" s="60"/>
      <c r="FF894" s="60"/>
      <c r="FG894" s="60"/>
      <c r="FH894" s="60"/>
      <c r="FI894" s="60"/>
      <c r="FJ894" s="60"/>
      <c r="FK894" s="60"/>
      <c r="FL894" s="60"/>
      <c r="FM894" s="60"/>
      <c r="FN894" s="60"/>
      <c r="FO894" s="60"/>
      <c r="FP894" s="60"/>
      <c r="FQ894" s="60"/>
      <c r="FR894" s="60"/>
      <c r="FS894" s="60"/>
      <c r="FT894" s="60"/>
      <c r="FU894" s="60"/>
      <c r="FV894" s="60"/>
      <c r="FW894" s="60"/>
      <c r="FX894" s="60"/>
    </row>
    <row r="895">
      <c r="A895" s="18"/>
      <c r="B895" s="14"/>
      <c r="C895" s="14"/>
      <c r="D895" s="14"/>
      <c r="E895" s="18"/>
      <c r="F895" s="18"/>
      <c r="G895" s="18"/>
      <c r="H895" s="18"/>
      <c r="I895" s="18"/>
      <c r="J895" s="18"/>
      <c r="K895" s="18"/>
      <c r="L895" s="18"/>
      <c r="M895" s="18"/>
      <c r="N895" s="18"/>
      <c r="O895" s="18"/>
      <c r="P895" s="23"/>
      <c r="Q895" s="26"/>
      <c r="R895" s="26"/>
      <c r="S895" s="26"/>
      <c r="T895" s="26"/>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c r="BL895" s="26"/>
      <c r="BM895" s="26"/>
      <c r="BN895" s="26"/>
      <c r="BO895" s="26"/>
      <c r="BP895" s="26"/>
      <c r="BQ895" s="26"/>
      <c r="BR895" s="26"/>
      <c r="BS895" s="26"/>
      <c r="BT895" s="26"/>
      <c r="BU895" s="26"/>
      <c r="BV895" s="26"/>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26"/>
      <c r="CU895" s="26"/>
      <c r="CV895" s="26"/>
      <c r="CW895" s="26"/>
      <c r="CX895" s="26"/>
      <c r="CY895" s="26"/>
      <c r="CZ895" s="26"/>
      <c r="DA895" s="26"/>
      <c r="DB895" s="26"/>
      <c r="DC895" s="26"/>
      <c r="DD895" s="26"/>
      <c r="DE895" s="26"/>
      <c r="DF895" s="26"/>
      <c r="DG895" s="26"/>
      <c r="DH895" s="26"/>
      <c r="DI895" s="26"/>
      <c r="DJ895" s="26"/>
      <c r="DK895" s="26"/>
      <c r="DL895" s="26"/>
      <c r="DM895" s="26"/>
      <c r="DN895" s="26"/>
      <c r="DO895" s="26"/>
      <c r="DP895" s="26"/>
      <c r="DQ895" s="26"/>
      <c r="DR895" s="26"/>
      <c r="DS895" s="26"/>
      <c r="DT895" s="26"/>
      <c r="DU895" s="26"/>
      <c r="DV895" s="26"/>
      <c r="DW895" s="26"/>
      <c r="DX895" s="26"/>
      <c r="DY895" s="26"/>
      <c r="DZ895" s="26"/>
      <c r="EA895" s="26"/>
      <c r="EB895" s="26"/>
      <c r="EC895" s="26"/>
      <c r="ED895" s="26"/>
      <c r="EE895" s="26"/>
      <c r="EF895" s="26"/>
      <c r="EG895" s="26"/>
      <c r="EH895" s="26"/>
      <c r="EI895" s="26"/>
      <c r="EJ895" s="26"/>
      <c r="EK895" s="26"/>
      <c r="EL895" s="26"/>
      <c r="EM895" s="26"/>
      <c r="EN895" s="26"/>
      <c r="EO895" s="26"/>
      <c r="EP895" s="26"/>
      <c r="EQ895" s="26"/>
      <c r="ER895" s="26"/>
      <c r="ES895" s="26"/>
      <c r="ET895" s="26"/>
      <c r="EU895" s="26"/>
      <c r="EV895" s="26"/>
      <c r="EW895" s="26"/>
      <c r="EX895" s="26"/>
      <c r="EY895" s="26"/>
      <c r="EZ895" s="26"/>
      <c r="FA895" s="60"/>
      <c r="FB895" s="60"/>
      <c r="FC895" s="60"/>
      <c r="FD895" s="60"/>
      <c r="FE895" s="60"/>
      <c r="FF895" s="60"/>
      <c r="FG895" s="60"/>
      <c r="FH895" s="60"/>
      <c r="FI895" s="60"/>
      <c r="FJ895" s="60"/>
      <c r="FK895" s="60"/>
      <c r="FL895" s="60"/>
      <c r="FM895" s="60"/>
      <c r="FN895" s="60"/>
      <c r="FO895" s="60"/>
      <c r="FP895" s="60"/>
      <c r="FQ895" s="60"/>
      <c r="FR895" s="60"/>
      <c r="FS895" s="60"/>
      <c r="FT895" s="60"/>
      <c r="FU895" s="60"/>
      <c r="FV895" s="60"/>
      <c r="FW895" s="60"/>
      <c r="FX895" s="60"/>
    </row>
    <row r="896">
      <c r="A896" s="18"/>
      <c r="B896" s="14"/>
      <c r="C896" s="14"/>
      <c r="D896" s="14"/>
      <c r="E896" s="18"/>
      <c r="F896" s="18"/>
      <c r="G896" s="18"/>
      <c r="H896" s="18"/>
      <c r="I896" s="18"/>
      <c r="J896" s="18"/>
      <c r="K896" s="18"/>
      <c r="L896" s="18"/>
      <c r="M896" s="18"/>
      <c r="N896" s="18"/>
      <c r="O896" s="18"/>
      <c r="P896" s="23"/>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c r="BO896" s="26"/>
      <c r="BP896" s="26"/>
      <c r="BQ896" s="26"/>
      <c r="BR896" s="26"/>
      <c r="BS896" s="26"/>
      <c r="BT896" s="26"/>
      <c r="BU896" s="26"/>
      <c r="BV896" s="26"/>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26"/>
      <c r="CU896" s="26"/>
      <c r="CV896" s="26"/>
      <c r="CW896" s="26"/>
      <c r="CX896" s="26"/>
      <c r="CY896" s="26"/>
      <c r="CZ896" s="26"/>
      <c r="DA896" s="26"/>
      <c r="DB896" s="26"/>
      <c r="DC896" s="26"/>
      <c r="DD896" s="26"/>
      <c r="DE896" s="26"/>
      <c r="DF896" s="26"/>
      <c r="DG896" s="26"/>
      <c r="DH896" s="26"/>
      <c r="DI896" s="26"/>
      <c r="DJ896" s="26"/>
      <c r="DK896" s="26"/>
      <c r="DL896" s="26"/>
      <c r="DM896" s="26"/>
      <c r="DN896" s="26"/>
      <c r="DO896" s="26"/>
      <c r="DP896" s="26"/>
      <c r="DQ896" s="26"/>
      <c r="DR896" s="26"/>
      <c r="DS896" s="26"/>
      <c r="DT896" s="26"/>
      <c r="DU896" s="26"/>
      <c r="DV896" s="26"/>
      <c r="DW896" s="26"/>
      <c r="DX896" s="26"/>
      <c r="DY896" s="26"/>
      <c r="DZ896" s="26"/>
      <c r="EA896" s="26"/>
      <c r="EB896" s="26"/>
      <c r="EC896" s="26"/>
      <c r="ED896" s="26"/>
      <c r="EE896" s="26"/>
      <c r="EF896" s="26"/>
      <c r="EG896" s="26"/>
      <c r="EH896" s="26"/>
      <c r="EI896" s="26"/>
      <c r="EJ896" s="26"/>
      <c r="EK896" s="26"/>
      <c r="EL896" s="26"/>
      <c r="EM896" s="26"/>
      <c r="EN896" s="26"/>
      <c r="EO896" s="26"/>
      <c r="EP896" s="26"/>
      <c r="EQ896" s="26"/>
      <c r="ER896" s="26"/>
      <c r="ES896" s="26"/>
      <c r="ET896" s="26"/>
      <c r="EU896" s="26"/>
      <c r="EV896" s="26"/>
      <c r="EW896" s="26"/>
      <c r="EX896" s="26"/>
      <c r="EY896" s="26"/>
      <c r="EZ896" s="26"/>
      <c r="FA896" s="60"/>
      <c r="FB896" s="60"/>
      <c r="FC896" s="60"/>
      <c r="FD896" s="60"/>
      <c r="FE896" s="60"/>
      <c r="FF896" s="60"/>
      <c r="FG896" s="60"/>
      <c r="FH896" s="60"/>
      <c r="FI896" s="60"/>
      <c r="FJ896" s="60"/>
      <c r="FK896" s="60"/>
      <c r="FL896" s="60"/>
      <c r="FM896" s="60"/>
      <c r="FN896" s="60"/>
      <c r="FO896" s="60"/>
      <c r="FP896" s="60"/>
      <c r="FQ896" s="60"/>
      <c r="FR896" s="60"/>
      <c r="FS896" s="60"/>
      <c r="FT896" s="60"/>
      <c r="FU896" s="60"/>
      <c r="FV896" s="60"/>
      <c r="FW896" s="60"/>
      <c r="FX896" s="60"/>
    </row>
    <row r="897">
      <c r="A897" s="18"/>
      <c r="B897" s="14"/>
      <c r="C897" s="14"/>
      <c r="D897" s="14"/>
      <c r="E897" s="18"/>
      <c r="F897" s="18"/>
      <c r="G897" s="18"/>
      <c r="H897" s="18"/>
      <c r="I897" s="18"/>
      <c r="J897" s="18"/>
      <c r="K897" s="18"/>
      <c r="L897" s="18"/>
      <c r="M897" s="18"/>
      <c r="N897" s="18"/>
      <c r="O897" s="18"/>
      <c r="P897" s="23"/>
      <c r="Q897" s="26"/>
      <c r="R897" s="26"/>
      <c r="S897" s="26"/>
      <c r="T897" s="26"/>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c r="BM897" s="26"/>
      <c r="BN897" s="26"/>
      <c r="BO897" s="26"/>
      <c r="BP897" s="26"/>
      <c r="BQ897" s="26"/>
      <c r="BR897" s="26"/>
      <c r="BS897" s="26"/>
      <c r="BT897" s="26"/>
      <c r="BU897" s="26"/>
      <c r="BV897" s="26"/>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26"/>
      <c r="CU897" s="26"/>
      <c r="CV897" s="26"/>
      <c r="CW897" s="26"/>
      <c r="CX897" s="26"/>
      <c r="CY897" s="26"/>
      <c r="CZ897" s="26"/>
      <c r="DA897" s="26"/>
      <c r="DB897" s="26"/>
      <c r="DC897" s="26"/>
      <c r="DD897" s="26"/>
      <c r="DE897" s="26"/>
      <c r="DF897" s="26"/>
      <c r="DG897" s="26"/>
      <c r="DH897" s="26"/>
      <c r="DI897" s="26"/>
      <c r="DJ897" s="26"/>
      <c r="DK897" s="26"/>
      <c r="DL897" s="26"/>
      <c r="DM897" s="26"/>
      <c r="DN897" s="26"/>
      <c r="DO897" s="26"/>
      <c r="DP897" s="26"/>
      <c r="DQ897" s="26"/>
      <c r="DR897" s="26"/>
      <c r="DS897" s="26"/>
      <c r="DT897" s="26"/>
      <c r="DU897" s="26"/>
      <c r="DV897" s="26"/>
      <c r="DW897" s="26"/>
      <c r="DX897" s="26"/>
      <c r="DY897" s="26"/>
      <c r="DZ897" s="26"/>
      <c r="EA897" s="26"/>
      <c r="EB897" s="26"/>
      <c r="EC897" s="26"/>
      <c r="ED897" s="26"/>
      <c r="EE897" s="26"/>
      <c r="EF897" s="26"/>
      <c r="EG897" s="26"/>
      <c r="EH897" s="26"/>
      <c r="EI897" s="26"/>
      <c r="EJ897" s="26"/>
      <c r="EK897" s="26"/>
      <c r="EL897" s="26"/>
      <c r="EM897" s="26"/>
      <c r="EN897" s="26"/>
      <c r="EO897" s="26"/>
      <c r="EP897" s="26"/>
      <c r="EQ897" s="26"/>
      <c r="ER897" s="26"/>
      <c r="ES897" s="26"/>
      <c r="ET897" s="26"/>
      <c r="EU897" s="26"/>
      <c r="EV897" s="26"/>
      <c r="EW897" s="26"/>
      <c r="EX897" s="26"/>
      <c r="EY897" s="26"/>
      <c r="EZ897" s="26"/>
      <c r="FA897" s="60"/>
      <c r="FB897" s="60"/>
      <c r="FC897" s="60"/>
      <c r="FD897" s="60"/>
      <c r="FE897" s="60"/>
      <c r="FF897" s="60"/>
      <c r="FG897" s="60"/>
      <c r="FH897" s="60"/>
      <c r="FI897" s="60"/>
      <c r="FJ897" s="60"/>
      <c r="FK897" s="60"/>
      <c r="FL897" s="60"/>
      <c r="FM897" s="60"/>
      <c r="FN897" s="60"/>
      <c r="FO897" s="60"/>
      <c r="FP897" s="60"/>
      <c r="FQ897" s="60"/>
      <c r="FR897" s="60"/>
      <c r="FS897" s="60"/>
      <c r="FT897" s="60"/>
      <c r="FU897" s="60"/>
      <c r="FV897" s="60"/>
      <c r="FW897" s="60"/>
      <c r="FX897" s="60"/>
    </row>
    <row r="898">
      <c r="A898" s="18"/>
      <c r="B898" s="14"/>
      <c r="C898" s="14"/>
      <c r="D898" s="14"/>
      <c r="E898" s="18"/>
      <c r="F898" s="18"/>
      <c r="G898" s="18"/>
      <c r="H898" s="18"/>
      <c r="I898" s="18"/>
      <c r="J898" s="18"/>
      <c r="K898" s="18"/>
      <c r="L898" s="18"/>
      <c r="M898" s="18"/>
      <c r="N898" s="18"/>
      <c r="O898" s="18"/>
      <c r="P898" s="23"/>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c r="BO898" s="26"/>
      <c r="BP898" s="26"/>
      <c r="BQ898" s="26"/>
      <c r="BR898" s="26"/>
      <c r="BS898" s="26"/>
      <c r="BT898" s="26"/>
      <c r="BU898" s="26"/>
      <c r="BV898" s="26"/>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26"/>
      <c r="CU898" s="26"/>
      <c r="CV898" s="26"/>
      <c r="CW898" s="26"/>
      <c r="CX898" s="26"/>
      <c r="CY898" s="26"/>
      <c r="CZ898" s="26"/>
      <c r="DA898" s="26"/>
      <c r="DB898" s="26"/>
      <c r="DC898" s="26"/>
      <c r="DD898" s="26"/>
      <c r="DE898" s="26"/>
      <c r="DF898" s="26"/>
      <c r="DG898" s="26"/>
      <c r="DH898" s="26"/>
      <c r="DI898" s="26"/>
      <c r="DJ898" s="26"/>
      <c r="DK898" s="26"/>
      <c r="DL898" s="26"/>
      <c r="DM898" s="26"/>
      <c r="DN898" s="26"/>
      <c r="DO898" s="26"/>
      <c r="DP898" s="26"/>
      <c r="DQ898" s="26"/>
      <c r="DR898" s="26"/>
      <c r="DS898" s="26"/>
      <c r="DT898" s="26"/>
      <c r="DU898" s="26"/>
      <c r="DV898" s="26"/>
      <c r="DW898" s="26"/>
      <c r="DX898" s="26"/>
      <c r="DY898" s="26"/>
      <c r="DZ898" s="26"/>
      <c r="EA898" s="26"/>
      <c r="EB898" s="26"/>
      <c r="EC898" s="26"/>
      <c r="ED898" s="26"/>
      <c r="EE898" s="26"/>
      <c r="EF898" s="26"/>
      <c r="EG898" s="26"/>
      <c r="EH898" s="26"/>
      <c r="EI898" s="26"/>
      <c r="EJ898" s="26"/>
      <c r="EK898" s="26"/>
      <c r="EL898" s="26"/>
      <c r="EM898" s="26"/>
      <c r="EN898" s="26"/>
      <c r="EO898" s="26"/>
      <c r="EP898" s="26"/>
      <c r="EQ898" s="26"/>
      <c r="ER898" s="26"/>
      <c r="ES898" s="26"/>
      <c r="ET898" s="26"/>
      <c r="EU898" s="26"/>
      <c r="EV898" s="26"/>
      <c r="EW898" s="26"/>
      <c r="EX898" s="26"/>
      <c r="EY898" s="26"/>
      <c r="EZ898" s="26"/>
      <c r="FA898" s="60"/>
      <c r="FB898" s="60"/>
      <c r="FC898" s="60"/>
      <c r="FD898" s="60"/>
      <c r="FE898" s="60"/>
      <c r="FF898" s="60"/>
      <c r="FG898" s="60"/>
      <c r="FH898" s="60"/>
      <c r="FI898" s="60"/>
      <c r="FJ898" s="60"/>
      <c r="FK898" s="60"/>
      <c r="FL898" s="60"/>
      <c r="FM898" s="60"/>
      <c r="FN898" s="60"/>
      <c r="FO898" s="60"/>
      <c r="FP898" s="60"/>
      <c r="FQ898" s="60"/>
      <c r="FR898" s="60"/>
      <c r="FS898" s="60"/>
      <c r="FT898" s="60"/>
      <c r="FU898" s="60"/>
      <c r="FV898" s="60"/>
      <c r="FW898" s="60"/>
      <c r="FX898" s="60"/>
    </row>
    <row r="899">
      <c r="A899" s="18"/>
      <c r="B899" s="14"/>
      <c r="C899" s="14"/>
      <c r="D899" s="14"/>
      <c r="E899" s="18"/>
      <c r="F899" s="18"/>
      <c r="G899" s="18"/>
      <c r="H899" s="18"/>
      <c r="I899" s="18"/>
      <c r="J899" s="18"/>
      <c r="K899" s="18"/>
      <c r="L899" s="18"/>
      <c r="M899" s="18"/>
      <c r="N899" s="18"/>
      <c r="O899" s="18"/>
      <c r="P899" s="23"/>
      <c r="Q899" s="26"/>
      <c r="R899" s="26"/>
      <c r="S899" s="26"/>
      <c r="T899" s="26"/>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26"/>
      <c r="CU899" s="26"/>
      <c r="CV899" s="26"/>
      <c r="CW899" s="26"/>
      <c r="CX899" s="26"/>
      <c r="CY899" s="26"/>
      <c r="CZ899" s="26"/>
      <c r="DA899" s="26"/>
      <c r="DB899" s="26"/>
      <c r="DC899" s="26"/>
      <c r="DD899" s="26"/>
      <c r="DE899" s="26"/>
      <c r="DF899" s="26"/>
      <c r="DG899" s="26"/>
      <c r="DH899" s="26"/>
      <c r="DI899" s="26"/>
      <c r="DJ899" s="26"/>
      <c r="DK899" s="26"/>
      <c r="DL899" s="26"/>
      <c r="DM899" s="26"/>
      <c r="DN899" s="26"/>
      <c r="DO899" s="26"/>
      <c r="DP899" s="26"/>
      <c r="DQ899" s="26"/>
      <c r="DR899" s="26"/>
      <c r="DS899" s="26"/>
      <c r="DT899" s="26"/>
      <c r="DU899" s="26"/>
      <c r="DV899" s="26"/>
      <c r="DW899" s="26"/>
      <c r="DX899" s="26"/>
      <c r="DY899" s="26"/>
      <c r="DZ899" s="26"/>
      <c r="EA899" s="26"/>
      <c r="EB899" s="26"/>
      <c r="EC899" s="26"/>
      <c r="ED899" s="26"/>
      <c r="EE899" s="26"/>
      <c r="EF899" s="26"/>
      <c r="EG899" s="26"/>
      <c r="EH899" s="26"/>
      <c r="EI899" s="26"/>
      <c r="EJ899" s="26"/>
      <c r="EK899" s="26"/>
      <c r="EL899" s="26"/>
      <c r="EM899" s="26"/>
      <c r="EN899" s="26"/>
      <c r="EO899" s="26"/>
      <c r="EP899" s="26"/>
      <c r="EQ899" s="26"/>
      <c r="ER899" s="26"/>
      <c r="ES899" s="26"/>
      <c r="ET899" s="26"/>
      <c r="EU899" s="26"/>
      <c r="EV899" s="26"/>
      <c r="EW899" s="26"/>
      <c r="EX899" s="26"/>
      <c r="EY899" s="26"/>
      <c r="EZ899" s="26"/>
      <c r="FA899" s="60"/>
      <c r="FB899" s="60"/>
      <c r="FC899" s="60"/>
      <c r="FD899" s="60"/>
      <c r="FE899" s="60"/>
      <c r="FF899" s="60"/>
      <c r="FG899" s="60"/>
      <c r="FH899" s="60"/>
      <c r="FI899" s="60"/>
      <c r="FJ899" s="60"/>
      <c r="FK899" s="60"/>
      <c r="FL899" s="60"/>
      <c r="FM899" s="60"/>
      <c r="FN899" s="60"/>
      <c r="FO899" s="60"/>
      <c r="FP899" s="60"/>
      <c r="FQ899" s="60"/>
      <c r="FR899" s="60"/>
      <c r="FS899" s="60"/>
      <c r="FT899" s="60"/>
      <c r="FU899" s="60"/>
      <c r="FV899" s="60"/>
      <c r="FW899" s="60"/>
      <c r="FX899" s="60"/>
    </row>
    <row r="900">
      <c r="A900" s="18"/>
      <c r="B900" s="14"/>
      <c r="C900" s="14"/>
      <c r="D900" s="14"/>
      <c r="E900" s="18"/>
      <c r="F900" s="18"/>
      <c r="G900" s="18"/>
      <c r="H900" s="18"/>
      <c r="I900" s="18"/>
      <c r="J900" s="18"/>
      <c r="K900" s="18"/>
      <c r="L900" s="18"/>
      <c r="M900" s="18"/>
      <c r="N900" s="18"/>
      <c r="O900" s="18"/>
      <c r="P900" s="23"/>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c r="BO900" s="26"/>
      <c r="BP900" s="26"/>
      <c r="BQ900" s="26"/>
      <c r="BR900" s="26"/>
      <c r="BS900" s="26"/>
      <c r="BT900" s="26"/>
      <c r="BU900" s="26"/>
      <c r="BV900" s="26"/>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26"/>
      <c r="CU900" s="26"/>
      <c r="CV900" s="26"/>
      <c r="CW900" s="26"/>
      <c r="CX900" s="26"/>
      <c r="CY900" s="26"/>
      <c r="CZ900" s="26"/>
      <c r="DA900" s="26"/>
      <c r="DB900" s="26"/>
      <c r="DC900" s="26"/>
      <c r="DD900" s="26"/>
      <c r="DE900" s="26"/>
      <c r="DF900" s="26"/>
      <c r="DG900" s="26"/>
      <c r="DH900" s="26"/>
      <c r="DI900" s="26"/>
      <c r="DJ900" s="26"/>
      <c r="DK900" s="26"/>
      <c r="DL900" s="26"/>
      <c r="DM900" s="26"/>
      <c r="DN900" s="26"/>
      <c r="DO900" s="26"/>
      <c r="DP900" s="26"/>
      <c r="DQ900" s="26"/>
      <c r="DR900" s="26"/>
      <c r="DS900" s="26"/>
      <c r="DT900" s="26"/>
      <c r="DU900" s="26"/>
      <c r="DV900" s="26"/>
      <c r="DW900" s="26"/>
      <c r="DX900" s="26"/>
      <c r="DY900" s="26"/>
      <c r="DZ900" s="26"/>
      <c r="EA900" s="26"/>
      <c r="EB900" s="26"/>
      <c r="EC900" s="26"/>
      <c r="ED900" s="26"/>
      <c r="EE900" s="26"/>
      <c r="EF900" s="26"/>
      <c r="EG900" s="26"/>
      <c r="EH900" s="26"/>
      <c r="EI900" s="26"/>
      <c r="EJ900" s="26"/>
      <c r="EK900" s="26"/>
      <c r="EL900" s="26"/>
      <c r="EM900" s="26"/>
      <c r="EN900" s="26"/>
      <c r="EO900" s="26"/>
      <c r="EP900" s="26"/>
      <c r="EQ900" s="26"/>
      <c r="ER900" s="26"/>
      <c r="ES900" s="26"/>
      <c r="ET900" s="26"/>
      <c r="EU900" s="26"/>
      <c r="EV900" s="26"/>
      <c r="EW900" s="26"/>
      <c r="EX900" s="26"/>
      <c r="EY900" s="26"/>
      <c r="EZ900" s="26"/>
      <c r="FA900" s="60"/>
      <c r="FB900" s="60"/>
      <c r="FC900" s="60"/>
      <c r="FD900" s="60"/>
      <c r="FE900" s="60"/>
      <c r="FF900" s="60"/>
      <c r="FG900" s="60"/>
      <c r="FH900" s="60"/>
      <c r="FI900" s="60"/>
      <c r="FJ900" s="60"/>
      <c r="FK900" s="60"/>
      <c r="FL900" s="60"/>
      <c r="FM900" s="60"/>
      <c r="FN900" s="60"/>
      <c r="FO900" s="60"/>
      <c r="FP900" s="60"/>
      <c r="FQ900" s="60"/>
      <c r="FR900" s="60"/>
      <c r="FS900" s="60"/>
      <c r="FT900" s="60"/>
      <c r="FU900" s="60"/>
      <c r="FV900" s="60"/>
      <c r="FW900" s="60"/>
      <c r="FX900" s="60"/>
    </row>
    <row r="901">
      <c r="A901" s="18"/>
      <c r="B901" s="14"/>
      <c r="C901" s="14"/>
      <c r="D901" s="14"/>
      <c r="E901" s="18"/>
      <c r="F901" s="18"/>
      <c r="G901" s="18"/>
      <c r="H901" s="18"/>
      <c r="I901" s="18"/>
      <c r="J901" s="18"/>
      <c r="K901" s="18"/>
      <c r="L901" s="18"/>
      <c r="M901" s="18"/>
      <c r="N901" s="18"/>
      <c r="O901" s="18"/>
      <c r="P901" s="23"/>
      <c r="Q901" s="26"/>
      <c r="R901" s="26"/>
      <c r="S901" s="26"/>
      <c r="T901" s="26"/>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26"/>
      <c r="BS901" s="26"/>
      <c r="BT901" s="26"/>
      <c r="BU901" s="26"/>
      <c r="BV901" s="26"/>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26"/>
      <c r="CU901" s="26"/>
      <c r="CV901" s="26"/>
      <c r="CW901" s="26"/>
      <c r="CX901" s="26"/>
      <c r="CY901" s="26"/>
      <c r="CZ901" s="26"/>
      <c r="DA901" s="26"/>
      <c r="DB901" s="26"/>
      <c r="DC901" s="26"/>
      <c r="DD901" s="26"/>
      <c r="DE901" s="26"/>
      <c r="DF901" s="26"/>
      <c r="DG901" s="26"/>
      <c r="DH901" s="26"/>
      <c r="DI901" s="26"/>
      <c r="DJ901" s="26"/>
      <c r="DK901" s="26"/>
      <c r="DL901" s="26"/>
      <c r="DM901" s="26"/>
      <c r="DN901" s="26"/>
      <c r="DO901" s="26"/>
      <c r="DP901" s="26"/>
      <c r="DQ901" s="26"/>
      <c r="DR901" s="26"/>
      <c r="DS901" s="26"/>
      <c r="DT901" s="26"/>
      <c r="DU901" s="26"/>
      <c r="DV901" s="26"/>
      <c r="DW901" s="26"/>
      <c r="DX901" s="26"/>
      <c r="DY901" s="26"/>
      <c r="DZ901" s="26"/>
      <c r="EA901" s="26"/>
      <c r="EB901" s="26"/>
      <c r="EC901" s="26"/>
      <c r="ED901" s="26"/>
      <c r="EE901" s="26"/>
      <c r="EF901" s="26"/>
      <c r="EG901" s="26"/>
      <c r="EH901" s="26"/>
      <c r="EI901" s="26"/>
      <c r="EJ901" s="26"/>
      <c r="EK901" s="26"/>
      <c r="EL901" s="26"/>
      <c r="EM901" s="26"/>
      <c r="EN901" s="26"/>
      <c r="EO901" s="26"/>
      <c r="EP901" s="26"/>
      <c r="EQ901" s="26"/>
      <c r="ER901" s="26"/>
      <c r="ES901" s="26"/>
      <c r="ET901" s="26"/>
      <c r="EU901" s="26"/>
      <c r="EV901" s="26"/>
      <c r="EW901" s="26"/>
      <c r="EX901" s="26"/>
      <c r="EY901" s="26"/>
      <c r="EZ901" s="26"/>
      <c r="FA901" s="60"/>
      <c r="FB901" s="60"/>
      <c r="FC901" s="60"/>
      <c r="FD901" s="60"/>
      <c r="FE901" s="60"/>
      <c r="FF901" s="60"/>
      <c r="FG901" s="60"/>
      <c r="FH901" s="60"/>
      <c r="FI901" s="60"/>
      <c r="FJ901" s="60"/>
      <c r="FK901" s="60"/>
      <c r="FL901" s="60"/>
      <c r="FM901" s="60"/>
      <c r="FN901" s="60"/>
      <c r="FO901" s="60"/>
      <c r="FP901" s="60"/>
      <c r="FQ901" s="60"/>
      <c r="FR901" s="60"/>
      <c r="FS901" s="60"/>
      <c r="FT901" s="60"/>
      <c r="FU901" s="60"/>
      <c r="FV901" s="60"/>
      <c r="FW901" s="60"/>
      <c r="FX901" s="60"/>
    </row>
    <row r="902">
      <c r="A902" s="18"/>
      <c r="B902" s="14"/>
      <c r="C902" s="14"/>
      <c r="D902" s="14"/>
      <c r="E902" s="18"/>
      <c r="F902" s="18"/>
      <c r="G902" s="18"/>
      <c r="H902" s="18"/>
      <c r="I902" s="18"/>
      <c r="J902" s="18"/>
      <c r="K902" s="18"/>
      <c r="L902" s="18"/>
      <c r="M902" s="18"/>
      <c r="N902" s="18"/>
      <c r="O902" s="18"/>
      <c r="P902" s="23"/>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26"/>
      <c r="CU902" s="26"/>
      <c r="CV902" s="26"/>
      <c r="CW902" s="26"/>
      <c r="CX902" s="26"/>
      <c r="CY902" s="26"/>
      <c r="CZ902" s="26"/>
      <c r="DA902" s="26"/>
      <c r="DB902" s="26"/>
      <c r="DC902" s="26"/>
      <c r="DD902" s="26"/>
      <c r="DE902" s="26"/>
      <c r="DF902" s="26"/>
      <c r="DG902" s="26"/>
      <c r="DH902" s="26"/>
      <c r="DI902" s="26"/>
      <c r="DJ902" s="26"/>
      <c r="DK902" s="26"/>
      <c r="DL902" s="26"/>
      <c r="DM902" s="26"/>
      <c r="DN902" s="26"/>
      <c r="DO902" s="26"/>
      <c r="DP902" s="26"/>
      <c r="DQ902" s="26"/>
      <c r="DR902" s="26"/>
      <c r="DS902" s="26"/>
      <c r="DT902" s="26"/>
      <c r="DU902" s="26"/>
      <c r="DV902" s="26"/>
      <c r="DW902" s="26"/>
      <c r="DX902" s="26"/>
      <c r="DY902" s="26"/>
      <c r="DZ902" s="26"/>
      <c r="EA902" s="26"/>
      <c r="EB902" s="26"/>
      <c r="EC902" s="26"/>
      <c r="ED902" s="26"/>
      <c r="EE902" s="26"/>
      <c r="EF902" s="26"/>
      <c r="EG902" s="26"/>
      <c r="EH902" s="26"/>
      <c r="EI902" s="26"/>
      <c r="EJ902" s="26"/>
      <c r="EK902" s="26"/>
      <c r="EL902" s="26"/>
      <c r="EM902" s="26"/>
      <c r="EN902" s="26"/>
      <c r="EO902" s="26"/>
      <c r="EP902" s="26"/>
      <c r="EQ902" s="26"/>
      <c r="ER902" s="26"/>
      <c r="ES902" s="26"/>
      <c r="ET902" s="26"/>
      <c r="EU902" s="26"/>
      <c r="EV902" s="26"/>
      <c r="EW902" s="26"/>
      <c r="EX902" s="26"/>
      <c r="EY902" s="26"/>
      <c r="EZ902" s="26"/>
      <c r="FA902" s="60"/>
      <c r="FB902" s="60"/>
      <c r="FC902" s="60"/>
      <c r="FD902" s="60"/>
      <c r="FE902" s="60"/>
      <c r="FF902" s="60"/>
      <c r="FG902" s="60"/>
      <c r="FH902" s="60"/>
      <c r="FI902" s="60"/>
      <c r="FJ902" s="60"/>
      <c r="FK902" s="60"/>
      <c r="FL902" s="60"/>
      <c r="FM902" s="60"/>
      <c r="FN902" s="60"/>
      <c r="FO902" s="60"/>
      <c r="FP902" s="60"/>
      <c r="FQ902" s="60"/>
      <c r="FR902" s="60"/>
      <c r="FS902" s="60"/>
      <c r="FT902" s="60"/>
      <c r="FU902" s="60"/>
      <c r="FV902" s="60"/>
      <c r="FW902" s="60"/>
      <c r="FX902" s="60"/>
    </row>
    <row r="903">
      <c r="A903" s="18"/>
      <c r="B903" s="14"/>
      <c r="C903" s="14"/>
      <c r="D903" s="14"/>
      <c r="E903" s="18"/>
      <c r="F903" s="18"/>
      <c r="G903" s="18"/>
      <c r="H903" s="18"/>
      <c r="I903" s="18"/>
      <c r="J903" s="18"/>
      <c r="K903" s="18"/>
      <c r="L903" s="18"/>
      <c r="M903" s="18"/>
      <c r="N903" s="18"/>
      <c r="O903" s="18"/>
      <c r="P903" s="23"/>
      <c r="Q903" s="26"/>
      <c r="R903" s="26"/>
      <c r="S903" s="26"/>
      <c r="T903" s="26"/>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26"/>
      <c r="CU903" s="26"/>
      <c r="CV903" s="26"/>
      <c r="CW903" s="26"/>
      <c r="CX903" s="26"/>
      <c r="CY903" s="26"/>
      <c r="CZ903" s="26"/>
      <c r="DA903" s="26"/>
      <c r="DB903" s="26"/>
      <c r="DC903" s="26"/>
      <c r="DD903" s="26"/>
      <c r="DE903" s="26"/>
      <c r="DF903" s="26"/>
      <c r="DG903" s="26"/>
      <c r="DH903" s="26"/>
      <c r="DI903" s="26"/>
      <c r="DJ903" s="26"/>
      <c r="DK903" s="26"/>
      <c r="DL903" s="26"/>
      <c r="DM903" s="26"/>
      <c r="DN903" s="26"/>
      <c r="DO903" s="26"/>
      <c r="DP903" s="26"/>
      <c r="DQ903" s="26"/>
      <c r="DR903" s="26"/>
      <c r="DS903" s="26"/>
      <c r="DT903" s="26"/>
      <c r="DU903" s="26"/>
      <c r="DV903" s="26"/>
      <c r="DW903" s="26"/>
      <c r="DX903" s="26"/>
      <c r="DY903" s="26"/>
      <c r="DZ903" s="26"/>
      <c r="EA903" s="26"/>
      <c r="EB903" s="26"/>
      <c r="EC903" s="26"/>
      <c r="ED903" s="26"/>
      <c r="EE903" s="26"/>
      <c r="EF903" s="26"/>
      <c r="EG903" s="26"/>
      <c r="EH903" s="26"/>
      <c r="EI903" s="26"/>
      <c r="EJ903" s="26"/>
      <c r="EK903" s="26"/>
      <c r="EL903" s="26"/>
      <c r="EM903" s="26"/>
      <c r="EN903" s="26"/>
      <c r="EO903" s="26"/>
      <c r="EP903" s="26"/>
      <c r="EQ903" s="26"/>
      <c r="ER903" s="26"/>
      <c r="ES903" s="26"/>
      <c r="ET903" s="26"/>
      <c r="EU903" s="26"/>
      <c r="EV903" s="26"/>
      <c r="EW903" s="26"/>
      <c r="EX903" s="26"/>
      <c r="EY903" s="26"/>
      <c r="EZ903" s="26"/>
      <c r="FA903" s="60"/>
      <c r="FB903" s="60"/>
      <c r="FC903" s="60"/>
      <c r="FD903" s="60"/>
      <c r="FE903" s="60"/>
      <c r="FF903" s="60"/>
      <c r="FG903" s="60"/>
      <c r="FH903" s="60"/>
      <c r="FI903" s="60"/>
      <c r="FJ903" s="60"/>
      <c r="FK903" s="60"/>
      <c r="FL903" s="60"/>
      <c r="FM903" s="60"/>
      <c r="FN903" s="60"/>
      <c r="FO903" s="60"/>
      <c r="FP903" s="60"/>
      <c r="FQ903" s="60"/>
      <c r="FR903" s="60"/>
      <c r="FS903" s="60"/>
      <c r="FT903" s="60"/>
      <c r="FU903" s="60"/>
      <c r="FV903" s="60"/>
      <c r="FW903" s="60"/>
      <c r="FX903" s="60"/>
    </row>
    <row r="904">
      <c r="A904" s="18"/>
      <c r="B904" s="14"/>
      <c r="C904" s="14"/>
      <c r="D904" s="14"/>
      <c r="E904" s="18"/>
      <c r="F904" s="18"/>
      <c r="G904" s="18"/>
      <c r="H904" s="18"/>
      <c r="I904" s="18"/>
      <c r="J904" s="18"/>
      <c r="K904" s="18"/>
      <c r="L904" s="18"/>
      <c r="M904" s="18"/>
      <c r="N904" s="18"/>
      <c r="O904" s="18"/>
      <c r="P904" s="23"/>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c r="BO904" s="26"/>
      <c r="BP904" s="26"/>
      <c r="BQ904" s="26"/>
      <c r="BR904" s="26"/>
      <c r="BS904" s="26"/>
      <c r="BT904" s="26"/>
      <c r="BU904" s="26"/>
      <c r="BV904" s="26"/>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26"/>
      <c r="CU904" s="26"/>
      <c r="CV904" s="26"/>
      <c r="CW904" s="26"/>
      <c r="CX904" s="26"/>
      <c r="CY904" s="26"/>
      <c r="CZ904" s="26"/>
      <c r="DA904" s="26"/>
      <c r="DB904" s="26"/>
      <c r="DC904" s="26"/>
      <c r="DD904" s="26"/>
      <c r="DE904" s="26"/>
      <c r="DF904" s="26"/>
      <c r="DG904" s="26"/>
      <c r="DH904" s="26"/>
      <c r="DI904" s="26"/>
      <c r="DJ904" s="26"/>
      <c r="DK904" s="26"/>
      <c r="DL904" s="26"/>
      <c r="DM904" s="26"/>
      <c r="DN904" s="26"/>
      <c r="DO904" s="26"/>
      <c r="DP904" s="26"/>
      <c r="DQ904" s="26"/>
      <c r="DR904" s="26"/>
      <c r="DS904" s="26"/>
      <c r="DT904" s="26"/>
      <c r="DU904" s="26"/>
      <c r="DV904" s="26"/>
      <c r="DW904" s="26"/>
      <c r="DX904" s="26"/>
      <c r="DY904" s="26"/>
      <c r="DZ904" s="26"/>
      <c r="EA904" s="26"/>
      <c r="EB904" s="26"/>
      <c r="EC904" s="26"/>
      <c r="ED904" s="26"/>
      <c r="EE904" s="26"/>
      <c r="EF904" s="26"/>
      <c r="EG904" s="26"/>
      <c r="EH904" s="26"/>
      <c r="EI904" s="26"/>
      <c r="EJ904" s="26"/>
      <c r="EK904" s="26"/>
      <c r="EL904" s="26"/>
      <c r="EM904" s="26"/>
      <c r="EN904" s="26"/>
      <c r="EO904" s="26"/>
      <c r="EP904" s="26"/>
      <c r="EQ904" s="26"/>
      <c r="ER904" s="26"/>
      <c r="ES904" s="26"/>
      <c r="ET904" s="26"/>
      <c r="EU904" s="26"/>
      <c r="EV904" s="26"/>
      <c r="EW904" s="26"/>
      <c r="EX904" s="26"/>
      <c r="EY904" s="26"/>
      <c r="EZ904" s="26"/>
      <c r="FA904" s="60"/>
      <c r="FB904" s="60"/>
      <c r="FC904" s="60"/>
      <c r="FD904" s="60"/>
      <c r="FE904" s="60"/>
      <c r="FF904" s="60"/>
      <c r="FG904" s="60"/>
      <c r="FH904" s="60"/>
      <c r="FI904" s="60"/>
      <c r="FJ904" s="60"/>
      <c r="FK904" s="60"/>
      <c r="FL904" s="60"/>
      <c r="FM904" s="60"/>
      <c r="FN904" s="60"/>
      <c r="FO904" s="60"/>
      <c r="FP904" s="60"/>
      <c r="FQ904" s="60"/>
      <c r="FR904" s="60"/>
      <c r="FS904" s="60"/>
      <c r="FT904" s="60"/>
      <c r="FU904" s="60"/>
      <c r="FV904" s="60"/>
      <c r="FW904" s="60"/>
      <c r="FX904" s="60"/>
    </row>
    <row r="905">
      <c r="A905" s="18"/>
      <c r="B905" s="14"/>
      <c r="C905" s="14"/>
      <c r="D905" s="14"/>
      <c r="E905" s="18"/>
      <c r="F905" s="18"/>
      <c r="G905" s="18"/>
      <c r="H905" s="18"/>
      <c r="I905" s="18"/>
      <c r="J905" s="18"/>
      <c r="K905" s="18"/>
      <c r="L905" s="18"/>
      <c r="M905" s="18"/>
      <c r="N905" s="18"/>
      <c r="O905" s="18"/>
      <c r="P905" s="23"/>
      <c r="Q905" s="26"/>
      <c r="R905" s="26"/>
      <c r="S905" s="26"/>
      <c r="T905" s="26"/>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26"/>
      <c r="CU905" s="26"/>
      <c r="CV905" s="26"/>
      <c r="CW905" s="26"/>
      <c r="CX905" s="26"/>
      <c r="CY905" s="26"/>
      <c r="CZ905" s="26"/>
      <c r="DA905" s="26"/>
      <c r="DB905" s="26"/>
      <c r="DC905" s="26"/>
      <c r="DD905" s="26"/>
      <c r="DE905" s="26"/>
      <c r="DF905" s="26"/>
      <c r="DG905" s="26"/>
      <c r="DH905" s="26"/>
      <c r="DI905" s="26"/>
      <c r="DJ905" s="26"/>
      <c r="DK905" s="26"/>
      <c r="DL905" s="26"/>
      <c r="DM905" s="26"/>
      <c r="DN905" s="26"/>
      <c r="DO905" s="26"/>
      <c r="DP905" s="26"/>
      <c r="DQ905" s="26"/>
      <c r="DR905" s="26"/>
      <c r="DS905" s="26"/>
      <c r="DT905" s="26"/>
      <c r="DU905" s="26"/>
      <c r="DV905" s="26"/>
      <c r="DW905" s="26"/>
      <c r="DX905" s="26"/>
      <c r="DY905" s="26"/>
      <c r="DZ905" s="26"/>
      <c r="EA905" s="26"/>
      <c r="EB905" s="26"/>
      <c r="EC905" s="26"/>
      <c r="ED905" s="26"/>
      <c r="EE905" s="26"/>
      <c r="EF905" s="26"/>
      <c r="EG905" s="26"/>
      <c r="EH905" s="26"/>
      <c r="EI905" s="26"/>
      <c r="EJ905" s="26"/>
      <c r="EK905" s="26"/>
      <c r="EL905" s="26"/>
      <c r="EM905" s="26"/>
      <c r="EN905" s="26"/>
      <c r="EO905" s="26"/>
      <c r="EP905" s="26"/>
      <c r="EQ905" s="26"/>
      <c r="ER905" s="26"/>
      <c r="ES905" s="26"/>
      <c r="ET905" s="26"/>
      <c r="EU905" s="26"/>
      <c r="EV905" s="26"/>
      <c r="EW905" s="26"/>
      <c r="EX905" s="26"/>
      <c r="EY905" s="26"/>
      <c r="EZ905" s="26"/>
      <c r="FA905" s="60"/>
      <c r="FB905" s="60"/>
      <c r="FC905" s="60"/>
      <c r="FD905" s="60"/>
      <c r="FE905" s="60"/>
      <c r="FF905" s="60"/>
      <c r="FG905" s="60"/>
      <c r="FH905" s="60"/>
      <c r="FI905" s="60"/>
      <c r="FJ905" s="60"/>
      <c r="FK905" s="60"/>
      <c r="FL905" s="60"/>
      <c r="FM905" s="60"/>
      <c r="FN905" s="60"/>
      <c r="FO905" s="60"/>
      <c r="FP905" s="60"/>
      <c r="FQ905" s="60"/>
      <c r="FR905" s="60"/>
      <c r="FS905" s="60"/>
      <c r="FT905" s="60"/>
      <c r="FU905" s="60"/>
      <c r="FV905" s="60"/>
      <c r="FW905" s="60"/>
      <c r="FX905" s="60"/>
    </row>
    <row r="906">
      <c r="A906" s="18"/>
      <c r="B906" s="14"/>
      <c r="C906" s="14"/>
      <c r="D906" s="14"/>
      <c r="E906" s="18"/>
      <c r="F906" s="18"/>
      <c r="G906" s="18"/>
      <c r="H906" s="18"/>
      <c r="I906" s="18"/>
      <c r="J906" s="18"/>
      <c r="K906" s="18"/>
      <c r="L906" s="18"/>
      <c r="M906" s="18"/>
      <c r="N906" s="18"/>
      <c r="O906" s="18"/>
      <c r="P906" s="23"/>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6"/>
      <c r="BR906" s="26"/>
      <c r="BS906" s="26"/>
      <c r="BT906" s="26"/>
      <c r="BU906" s="26"/>
      <c r="BV906" s="26"/>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26"/>
      <c r="CU906" s="26"/>
      <c r="CV906" s="26"/>
      <c r="CW906" s="26"/>
      <c r="CX906" s="26"/>
      <c r="CY906" s="26"/>
      <c r="CZ906" s="26"/>
      <c r="DA906" s="26"/>
      <c r="DB906" s="26"/>
      <c r="DC906" s="26"/>
      <c r="DD906" s="26"/>
      <c r="DE906" s="26"/>
      <c r="DF906" s="26"/>
      <c r="DG906" s="26"/>
      <c r="DH906" s="26"/>
      <c r="DI906" s="26"/>
      <c r="DJ906" s="26"/>
      <c r="DK906" s="26"/>
      <c r="DL906" s="26"/>
      <c r="DM906" s="26"/>
      <c r="DN906" s="26"/>
      <c r="DO906" s="26"/>
      <c r="DP906" s="26"/>
      <c r="DQ906" s="26"/>
      <c r="DR906" s="26"/>
      <c r="DS906" s="26"/>
      <c r="DT906" s="26"/>
      <c r="DU906" s="26"/>
      <c r="DV906" s="26"/>
      <c r="DW906" s="26"/>
      <c r="DX906" s="26"/>
      <c r="DY906" s="26"/>
      <c r="DZ906" s="26"/>
      <c r="EA906" s="26"/>
      <c r="EB906" s="26"/>
      <c r="EC906" s="26"/>
      <c r="ED906" s="26"/>
      <c r="EE906" s="26"/>
      <c r="EF906" s="26"/>
      <c r="EG906" s="26"/>
      <c r="EH906" s="26"/>
      <c r="EI906" s="26"/>
      <c r="EJ906" s="26"/>
      <c r="EK906" s="26"/>
      <c r="EL906" s="26"/>
      <c r="EM906" s="26"/>
      <c r="EN906" s="26"/>
      <c r="EO906" s="26"/>
      <c r="EP906" s="26"/>
      <c r="EQ906" s="26"/>
      <c r="ER906" s="26"/>
      <c r="ES906" s="26"/>
      <c r="ET906" s="26"/>
      <c r="EU906" s="26"/>
      <c r="EV906" s="26"/>
      <c r="EW906" s="26"/>
      <c r="EX906" s="26"/>
      <c r="EY906" s="26"/>
      <c r="EZ906" s="26"/>
      <c r="FA906" s="60"/>
      <c r="FB906" s="60"/>
      <c r="FC906" s="60"/>
      <c r="FD906" s="60"/>
      <c r="FE906" s="60"/>
      <c r="FF906" s="60"/>
      <c r="FG906" s="60"/>
      <c r="FH906" s="60"/>
      <c r="FI906" s="60"/>
      <c r="FJ906" s="60"/>
      <c r="FK906" s="60"/>
      <c r="FL906" s="60"/>
      <c r="FM906" s="60"/>
      <c r="FN906" s="60"/>
      <c r="FO906" s="60"/>
      <c r="FP906" s="60"/>
      <c r="FQ906" s="60"/>
      <c r="FR906" s="60"/>
      <c r="FS906" s="60"/>
      <c r="FT906" s="60"/>
      <c r="FU906" s="60"/>
      <c r="FV906" s="60"/>
      <c r="FW906" s="60"/>
      <c r="FX906" s="60"/>
    </row>
    <row r="907">
      <c r="A907" s="18"/>
      <c r="B907" s="14"/>
      <c r="C907" s="14"/>
      <c r="D907" s="14"/>
      <c r="E907" s="18"/>
      <c r="F907" s="18"/>
      <c r="G907" s="18"/>
      <c r="H907" s="18"/>
      <c r="I907" s="18"/>
      <c r="J907" s="18"/>
      <c r="K907" s="18"/>
      <c r="L907" s="18"/>
      <c r="M907" s="18"/>
      <c r="N907" s="18"/>
      <c r="O907" s="18"/>
      <c r="P907" s="23"/>
      <c r="Q907" s="26"/>
      <c r="R907" s="26"/>
      <c r="S907" s="26"/>
      <c r="T907" s="26"/>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6"/>
      <c r="BS907" s="26"/>
      <c r="BT907" s="26"/>
      <c r="BU907" s="26"/>
      <c r="BV907" s="26"/>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26"/>
      <c r="CU907" s="26"/>
      <c r="CV907" s="26"/>
      <c r="CW907" s="26"/>
      <c r="CX907" s="26"/>
      <c r="CY907" s="26"/>
      <c r="CZ907" s="26"/>
      <c r="DA907" s="26"/>
      <c r="DB907" s="26"/>
      <c r="DC907" s="26"/>
      <c r="DD907" s="26"/>
      <c r="DE907" s="26"/>
      <c r="DF907" s="26"/>
      <c r="DG907" s="26"/>
      <c r="DH907" s="26"/>
      <c r="DI907" s="26"/>
      <c r="DJ907" s="26"/>
      <c r="DK907" s="26"/>
      <c r="DL907" s="26"/>
      <c r="DM907" s="26"/>
      <c r="DN907" s="26"/>
      <c r="DO907" s="26"/>
      <c r="DP907" s="26"/>
      <c r="DQ907" s="26"/>
      <c r="DR907" s="26"/>
      <c r="DS907" s="26"/>
      <c r="DT907" s="26"/>
      <c r="DU907" s="26"/>
      <c r="DV907" s="26"/>
      <c r="DW907" s="26"/>
      <c r="DX907" s="26"/>
      <c r="DY907" s="26"/>
      <c r="DZ907" s="26"/>
      <c r="EA907" s="26"/>
      <c r="EB907" s="26"/>
      <c r="EC907" s="26"/>
      <c r="ED907" s="26"/>
      <c r="EE907" s="26"/>
      <c r="EF907" s="26"/>
      <c r="EG907" s="26"/>
      <c r="EH907" s="26"/>
      <c r="EI907" s="26"/>
      <c r="EJ907" s="26"/>
      <c r="EK907" s="26"/>
      <c r="EL907" s="26"/>
      <c r="EM907" s="26"/>
      <c r="EN907" s="26"/>
      <c r="EO907" s="26"/>
      <c r="EP907" s="26"/>
      <c r="EQ907" s="26"/>
      <c r="ER907" s="26"/>
      <c r="ES907" s="26"/>
      <c r="ET907" s="26"/>
      <c r="EU907" s="26"/>
      <c r="EV907" s="26"/>
      <c r="EW907" s="26"/>
      <c r="EX907" s="26"/>
      <c r="EY907" s="26"/>
      <c r="EZ907" s="26"/>
      <c r="FA907" s="60"/>
      <c r="FB907" s="60"/>
      <c r="FC907" s="60"/>
      <c r="FD907" s="60"/>
      <c r="FE907" s="60"/>
      <c r="FF907" s="60"/>
      <c r="FG907" s="60"/>
      <c r="FH907" s="60"/>
      <c r="FI907" s="60"/>
      <c r="FJ907" s="60"/>
      <c r="FK907" s="60"/>
      <c r="FL907" s="60"/>
      <c r="FM907" s="60"/>
      <c r="FN907" s="60"/>
      <c r="FO907" s="60"/>
      <c r="FP907" s="60"/>
      <c r="FQ907" s="60"/>
      <c r="FR907" s="60"/>
      <c r="FS907" s="60"/>
      <c r="FT907" s="60"/>
      <c r="FU907" s="60"/>
      <c r="FV907" s="60"/>
      <c r="FW907" s="60"/>
      <c r="FX907" s="60"/>
    </row>
    <row r="908">
      <c r="A908" s="18"/>
      <c r="B908" s="14"/>
      <c r="C908" s="14"/>
      <c r="D908" s="14"/>
      <c r="E908" s="18"/>
      <c r="F908" s="18"/>
      <c r="G908" s="18"/>
      <c r="H908" s="18"/>
      <c r="I908" s="18"/>
      <c r="J908" s="18"/>
      <c r="K908" s="18"/>
      <c r="L908" s="18"/>
      <c r="M908" s="18"/>
      <c r="N908" s="18"/>
      <c r="O908" s="18"/>
      <c r="P908" s="23"/>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c r="BO908" s="26"/>
      <c r="BP908" s="26"/>
      <c r="BQ908" s="26"/>
      <c r="BR908" s="26"/>
      <c r="BS908" s="26"/>
      <c r="BT908" s="26"/>
      <c r="BU908" s="26"/>
      <c r="BV908" s="26"/>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26"/>
      <c r="CU908" s="26"/>
      <c r="CV908" s="26"/>
      <c r="CW908" s="26"/>
      <c r="CX908" s="26"/>
      <c r="CY908" s="26"/>
      <c r="CZ908" s="26"/>
      <c r="DA908" s="26"/>
      <c r="DB908" s="26"/>
      <c r="DC908" s="26"/>
      <c r="DD908" s="26"/>
      <c r="DE908" s="26"/>
      <c r="DF908" s="26"/>
      <c r="DG908" s="26"/>
      <c r="DH908" s="26"/>
      <c r="DI908" s="26"/>
      <c r="DJ908" s="26"/>
      <c r="DK908" s="26"/>
      <c r="DL908" s="26"/>
      <c r="DM908" s="26"/>
      <c r="DN908" s="26"/>
      <c r="DO908" s="26"/>
      <c r="DP908" s="26"/>
      <c r="DQ908" s="26"/>
      <c r="DR908" s="26"/>
      <c r="DS908" s="26"/>
      <c r="DT908" s="26"/>
      <c r="DU908" s="26"/>
      <c r="DV908" s="26"/>
      <c r="DW908" s="26"/>
      <c r="DX908" s="26"/>
      <c r="DY908" s="26"/>
      <c r="DZ908" s="26"/>
      <c r="EA908" s="26"/>
      <c r="EB908" s="26"/>
      <c r="EC908" s="26"/>
      <c r="ED908" s="26"/>
      <c r="EE908" s="26"/>
      <c r="EF908" s="26"/>
      <c r="EG908" s="26"/>
      <c r="EH908" s="26"/>
      <c r="EI908" s="26"/>
      <c r="EJ908" s="26"/>
      <c r="EK908" s="26"/>
      <c r="EL908" s="26"/>
      <c r="EM908" s="26"/>
      <c r="EN908" s="26"/>
      <c r="EO908" s="26"/>
      <c r="EP908" s="26"/>
      <c r="EQ908" s="26"/>
      <c r="ER908" s="26"/>
      <c r="ES908" s="26"/>
      <c r="ET908" s="26"/>
      <c r="EU908" s="26"/>
      <c r="EV908" s="26"/>
      <c r="EW908" s="26"/>
      <c r="EX908" s="26"/>
      <c r="EY908" s="26"/>
      <c r="EZ908" s="26"/>
      <c r="FA908" s="60"/>
      <c r="FB908" s="60"/>
      <c r="FC908" s="60"/>
      <c r="FD908" s="60"/>
      <c r="FE908" s="60"/>
      <c r="FF908" s="60"/>
      <c r="FG908" s="60"/>
      <c r="FH908" s="60"/>
      <c r="FI908" s="60"/>
      <c r="FJ908" s="60"/>
      <c r="FK908" s="60"/>
      <c r="FL908" s="60"/>
      <c r="FM908" s="60"/>
      <c r="FN908" s="60"/>
      <c r="FO908" s="60"/>
      <c r="FP908" s="60"/>
      <c r="FQ908" s="60"/>
      <c r="FR908" s="60"/>
      <c r="FS908" s="60"/>
      <c r="FT908" s="60"/>
      <c r="FU908" s="60"/>
      <c r="FV908" s="60"/>
      <c r="FW908" s="60"/>
      <c r="FX908" s="60"/>
    </row>
    <row r="909">
      <c r="A909" s="18"/>
      <c r="B909" s="14"/>
      <c r="C909" s="14"/>
      <c r="D909" s="14"/>
      <c r="E909" s="18"/>
      <c r="F909" s="18"/>
      <c r="G909" s="18"/>
      <c r="H909" s="18"/>
      <c r="I909" s="18"/>
      <c r="J909" s="18"/>
      <c r="K909" s="18"/>
      <c r="L909" s="18"/>
      <c r="M909" s="18"/>
      <c r="N909" s="18"/>
      <c r="O909" s="18"/>
      <c r="P909" s="23"/>
      <c r="Q909" s="26"/>
      <c r="R909" s="26"/>
      <c r="S909" s="26"/>
      <c r="T909" s="26"/>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c r="BM909" s="26"/>
      <c r="BN909" s="26"/>
      <c r="BO909" s="26"/>
      <c r="BP909" s="26"/>
      <c r="BQ909" s="26"/>
      <c r="BR909" s="26"/>
      <c r="BS909" s="26"/>
      <c r="BT909" s="26"/>
      <c r="BU909" s="26"/>
      <c r="BV909" s="26"/>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26"/>
      <c r="CU909" s="26"/>
      <c r="CV909" s="26"/>
      <c r="CW909" s="26"/>
      <c r="CX909" s="26"/>
      <c r="CY909" s="26"/>
      <c r="CZ909" s="26"/>
      <c r="DA909" s="26"/>
      <c r="DB909" s="26"/>
      <c r="DC909" s="26"/>
      <c r="DD909" s="26"/>
      <c r="DE909" s="26"/>
      <c r="DF909" s="26"/>
      <c r="DG909" s="26"/>
      <c r="DH909" s="26"/>
      <c r="DI909" s="26"/>
      <c r="DJ909" s="26"/>
      <c r="DK909" s="26"/>
      <c r="DL909" s="26"/>
      <c r="DM909" s="26"/>
      <c r="DN909" s="26"/>
      <c r="DO909" s="26"/>
      <c r="DP909" s="26"/>
      <c r="DQ909" s="26"/>
      <c r="DR909" s="26"/>
      <c r="DS909" s="26"/>
      <c r="DT909" s="26"/>
      <c r="DU909" s="26"/>
      <c r="DV909" s="26"/>
      <c r="DW909" s="26"/>
      <c r="DX909" s="26"/>
      <c r="DY909" s="26"/>
      <c r="DZ909" s="26"/>
      <c r="EA909" s="26"/>
      <c r="EB909" s="26"/>
      <c r="EC909" s="26"/>
      <c r="ED909" s="26"/>
      <c r="EE909" s="26"/>
      <c r="EF909" s="26"/>
      <c r="EG909" s="26"/>
      <c r="EH909" s="26"/>
      <c r="EI909" s="26"/>
      <c r="EJ909" s="26"/>
      <c r="EK909" s="26"/>
      <c r="EL909" s="26"/>
      <c r="EM909" s="26"/>
      <c r="EN909" s="26"/>
      <c r="EO909" s="26"/>
      <c r="EP909" s="26"/>
      <c r="EQ909" s="26"/>
      <c r="ER909" s="26"/>
      <c r="ES909" s="26"/>
      <c r="ET909" s="26"/>
      <c r="EU909" s="26"/>
      <c r="EV909" s="26"/>
      <c r="EW909" s="26"/>
      <c r="EX909" s="26"/>
      <c r="EY909" s="26"/>
      <c r="EZ909" s="26"/>
      <c r="FA909" s="60"/>
      <c r="FB909" s="60"/>
      <c r="FC909" s="60"/>
      <c r="FD909" s="60"/>
      <c r="FE909" s="60"/>
      <c r="FF909" s="60"/>
      <c r="FG909" s="60"/>
      <c r="FH909" s="60"/>
      <c r="FI909" s="60"/>
      <c r="FJ909" s="60"/>
      <c r="FK909" s="60"/>
      <c r="FL909" s="60"/>
      <c r="FM909" s="60"/>
      <c r="FN909" s="60"/>
      <c r="FO909" s="60"/>
      <c r="FP909" s="60"/>
      <c r="FQ909" s="60"/>
      <c r="FR909" s="60"/>
      <c r="FS909" s="60"/>
      <c r="FT909" s="60"/>
      <c r="FU909" s="60"/>
      <c r="FV909" s="60"/>
      <c r="FW909" s="60"/>
      <c r="FX909" s="60"/>
    </row>
    <row r="910">
      <c r="A910" s="18"/>
      <c r="B910" s="14"/>
      <c r="C910" s="14"/>
      <c r="D910" s="14"/>
      <c r="E910" s="18"/>
      <c r="F910" s="18"/>
      <c r="G910" s="18"/>
      <c r="H910" s="18"/>
      <c r="I910" s="18"/>
      <c r="J910" s="18"/>
      <c r="K910" s="18"/>
      <c r="L910" s="18"/>
      <c r="M910" s="18"/>
      <c r="N910" s="18"/>
      <c r="O910" s="18"/>
      <c r="P910" s="23"/>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c r="BO910" s="26"/>
      <c r="BP910" s="26"/>
      <c r="BQ910" s="26"/>
      <c r="BR910" s="26"/>
      <c r="BS910" s="26"/>
      <c r="BT910" s="26"/>
      <c r="BU910" s="26"/>
      <c r="BV910" s="26"/>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26"/>
      <c r="CU910" s="26"/>
      <c r="CV910" s="26"/>
      <c r="CW910" s="26"/>
      <c r="CX910" s="26"/>
      <c r="CY910" s="26"/>
      <c r="CZ910" s="26"/>
      <c r="DA910" s="26"/>
      <c r="DB910" s="26"/>
      <c r="DC910" s="26"/>
      <c r="DD910" s="26"/>
      <c r="DE910" s="26"/>
      <c r="DF910" s="26"/>
      <c r="DG910" s="26"/>
      <c r="DH910" s="26"/>
      <c r="DI910" s="26"/>
      <c r="DJ910" s="26"/>
      <c r="DK910" s="26"/>
      <c r="DL910" s="26"/>
      <c r="DM910" s="26"/>
      <c r="DN910" s="26"/>
      <c r="DO910" s="26"/>
      <c r="DP910" s="26"/>
      <c r="DQ910" s="26"/>
      <c r="DR910" s="26"/>
      <c r="DS910" s="26"/>
      <c r="DT910" s="26"/>
      <c r="DU910" s="26"/>
      <c r="DV910" s="26"/>
      <c r="DW910" s="26"/>
      <c r="DX910" s="26"/>
      <c r="DY910" s="26"/>
      <c r="DZ910" s="26"/>
      <c r="EA910" s="26"/>
      <c r="EB910" s="26"/>
      <c r="EC910" s="26"/>
      <c r="ED910" s="26"/>
      <c r="EE910" s="26"/>
      <c r="EF910" s="26"/>
      <c r="EG910" s="26"/>
      <c r="EH910" s="26"/>
      <c r="EI910" s="26"/>
      <c r="EJ910" s="26"/>
      <c r="EK910" s="26"/>
      <c r="EL910" s="26"/>
      <c r="EM910" s="26"/>
      <c r="EN910" s="26"/>
      <c r="EO910" s="26"/>
      <c r="EP910" s="26"/>
      <c r="EQ910" s="26"/>
      <c r="ER910" s="26"/>
      <c r="ES910" s="26"/>
      <c r="ET910" s="26"/>
      <c r="EU910" s="26"/>
      <c r="EV910" s="26"/>
      <c r="EW910" s="26"/>
      <c r="EX910" s="26"/>
      <c r="EY910" s="26"/>
      <c r="EZ910" s="26"/>
      <c r="FA910" s="60"/>
      <c r="FB910" s="60"/>
      <c r="FC910" s="60"/>
      <c r="FD910" s="60"/>
      <c r="FE910" s="60"/>
      <c r="FF910" s="60"/>
      <c r="FG910" s="60"/>
      <c r="FH910" s="60"/>
      <c r="FI910" s="60"/>
      <c r="FJ910" s="60"/>
      <c r="FK910" s="60"/>
      <c r="FL910" s="60"/>
      <c r="FM910" s="60"/>
      <c r="FN910" s="60"/>
      <c r="FO910" s="60"/>
      <c r="FP910" s="60"/>
      <c r="FQ910" s="60"/>
      <c r="FR910" s="60"/>
      <c r="FS910" s="60"/>
      <c r="FT910" s="60"/>
      <c r="FU910" s="60"/>
      <c r="FV910" s="60"/>
      <c r="FW910" s="60"/>
      <c r="FX910" s="60"/>
    </row>
    <row r="911">
      <c r="A911" s="18"/>
      <c r="B911" s="14"/>
      <c r="C911" s="14"/>
      <c r="D911" s="14"/>
      <c r="E911" s="18"/>
      <c r="F911" s="18"/>
      <c r="G911" s="18"/>
      <c r="H911" s="18"/>
      <c r="I911" s="18"/>
      <c r="J911" s="18"/>
      <c r="K911" s="18"/>
      <c r="L911" s="18"/>
      <c r="M911" s="18"/>
      <c r="N911" s="18"/>
      <c r="O911" s="18"/>
      <c r="P911" s="23"/>
      <c r="Q911" s="26"/>
      <c r="R911" s="26"/>
      <c r="S911" s="26"/>
      <c r="T911" s="26"/>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c r="BM911" s="26"/>
      <c r="BN911" s="26"/>
      <c r="BO911" s="26"/>
      <c r="BP911" s="26"/>
      <c r="BQ911" s="26"/>
      <c r="BR911" s="26"/>
      <c r="BS911" s="26"/>
      <c r="BT911" s="26"/>
      <c r="BU911" s="26"/>
      <c r="BV911" s="26"/>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26"/>
      <c r="CU911" s="26"/>
      <c r="CV911" s="26"/>
      <c r="CW911" s="26"/>
      <c r="CX911" s="26"/>
      <c r="CY911" s="26"/>
      <c r="CZ911" s="26"/>
      <c r="DA911" s="26"/>
      <c r="DB911" s="26"/>
      <c r="DC911" s="26"/>
      <c r="DD911" s="26"/>
      <c r="DE911" s="26"/>
      <c r="DF911" s="26"/>
      <c r="DG911" s="26"/>
      <c r="DH911" s="26"/>
      <c r="DI911" s="26"/>
      <c r="DJ911" s="26"/>
      <c r="DK911" s="26"/>
      <c r="DL911" s="26"/>
      <c r="DM911" s="26"/>
      <c r="DN911" s="26"/>
      <c r="DO911" s="26"/>
      <c r="DP911" s="26"/>
      <c r="DQ911" s="26"/>
      <c r="DR911" s="26"/>
      <c r="DS911" s="26"/>
      <c r="DT911" s="26"/>
      <c r="DU911" s="26"/>
      <c r="DV911" s="26"/>
      <c r="DW911" s="26"/>
      <c r="DX911" s="26"/>
      <c r="DY911" s="26"/>
      <c r="DZ911" s="26"/>
      <c r="EA911" s="26"/>
      <c r="EB911" s="26"/>
      <c r="EC911" s="26"/>
      <c r="ED911" s="26"/>
      <c r="EE911" s="26"/>
      <c r="EF911" s="26"/>
      <c r="EG911" s="26"/>
      <c r="EH911" s="26"/>
      <c r="EI911" s="26"/>
      <c r="EJ911" s="26"/>
      <c r="EK911" s="26"/>
      <c r="EL911" s="26"/>
      <c r="EM911" s="26"/>
      <c r="EN911" s="26"/>
      <c r="EO911" s="26"/>
      <c r="EP911" s="26"/>
      <c r="EQ911" s="26"/>
      <c r="ER911" s="26"/>
      <c r="ES911" s="26"/>
      <c r="ET911" s="26"/>
      <c r="EU911" s="26"/>
      <c r="EV911" s="26"/>
      <c r="EW911" s="26"/>
      <c r="EX911" s="26"/>
      <c r="EY911" s="26"/>
      <c r="EZ911" s="26"/>
      <c r="FA911" s="60"/>
      <c r="FB911" s="60"/>
      <c r="FC911" s="60"/>
      <c r="FD911" s="60"/>
      <c r="FE911" s="60"/>
      <c r="FF911" s="60"/>
      <c r="FG911" s="60"/>
      <c r="FH911" s="60"/>
      <c r="FI911" s="60"/>
      <c r="FJ911" s="60"/>
      <c r="FK911" s="60"/>
      <c r="FL911" s="60"/>
      <c r="FM911" s="60"/>
      <c r="FN911" s="60"/>
      <c r="FO911" s="60"/>
      <c r="FP911" s="60"/>
      <c r="FQ911" s="60"/>
      <c r="FR911" s="60"/>
      <c r="FS911" s="60"/>
      <c r="FT911" s="60"/>
      <c r="FU911" s="60"/>
      <c r="FV911" s="60"/>
      <c r="FW911" s="60"/>
      <c r="FX911" s="60"/>
    </row>
    <row r="912">
      <c r="A912" s="18"/>
      <c r="B912" s="14"/>
      <c r="C912" s="14"/>
      <c r="D912" s="14"/>
      <c r="E912" s="18"/>
      <c r="F912" s="18"/>
      <c r="G912" s="18"/>
      <c r="H912" s="18"/>
      <c r="I912" s="18"/>
      <c r="J912" s="18"/>
      <c r="K912" s="18"/>
      <c r="L912" s="18"/>
      <c r="M912" s="18"/>
      <c r="N912" s="18"/>
      <c r="O912" s="18"/>
      <c r="P912" s="23"/>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c r="BO912" s="26"/>
      <c r="BP912" s="26"/>
      <c r="BQ912" s="26"/>
      <c r="BR912" s="26"/>
      <c r="BS912" s="26"/>
      <c r="BT912" s="26"/>
      <c r="BU912" s="26"/>
      <c r="BV912" s="26"/>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26"/>
      <c r="CU912" s="26"/>
      <c r="CV912" s="26"/>
      <c r="CW912" s="26"/>
      <c r="CX912" s="26"/>
      <c r="CY912" s="26"/>
      <c r="CZ912" s="26"/>
      <c r="DA912" s="26"/>
      <c r="DB912" s="26"/>
      <c r="DC912" s="26"/>
      <c r="DD912" s="26"/>
      <c r="DE912" s="26"/>
      <c r="DF912" s="26"/>
      <c r="DG912" s="26"/>
      <c r="DH912" s="26"/>
      <c r="DI912" s="26"/>
      <c r="DJ912" s="26"/>
      <c r="DK912" s="26"/>
      <c r="DL912" s="26"/>
      <c r="DM912" s="26"/>
      <c r="DN912" s="26"/>
      <c r="DO912" s="26"/>
      <c r="DP912" s="26"/>
      <c r="DQ912" s="26"/>
      <c r="DR912" s="26"/>
      <c r="DS912" s="26"/>
      <c r="DT912" s="26"/>
      <c r="DU912" s="26"/>
      <c r="DV912" s="26"/>
      <c r="DW912" s="26"/>
      <c r="DX912" s="26"/>
      <c r="DY912" s="26"/>
      <c r="DZ912" s="26"/>
      <c r="EA912" s="26"/>
      <c r="EB912" s="26"/>
      <c r="EC912" s="26"/>
      <c r="ED912" s="26"/>
      <c r="EE912" s="26"/>
      <c r="EF912" s="26"/>
      <c r="EG912" s="26"/>
      <c r="EH912" s="26"/>
      <c r="EI912" s="26"/>
      <c r="EJ912" s="26"/>
      <c r="EK912" s="26"/>
      <c r="EL912" s="26"/>
      <c r="EM912" s="26"/>
      <c r="EN912" s="26"/>
      <c r="EO912" s="26"/>
      <c r="EP912" s="26"/>
      <c r="EQ912" s="26"/>
      <c r="ER912" s="26"/>
      <c r="ES912" s="26"/>
      <c r="ET912" s="26"/>
      <c r="EU912" s="26"/>
      <c r="EV912" s="26"/>
      <c r="EW912" s="26"/>
      <c r="EX912" s="26"/>
      <c r="EY912" s="26"/>
      <c r="EZ912" s="26"/>
      <c r="FA912" s="60"/>
      <c r="FB912" s="60"/>
      <c r="FC912" s="60"/>
      <c r="FD912" s="60"/>
      <c r="FE912" s="60"/>
      <c r="FF912" s="60"/>
      <c r="FG912" s="60"/>
      <c r="FH912" s="60"/>
      <c r="FI912" s="60"/>
      <c r="FJ912" s="60"/>
      <c r="FK912" s="60"/>
      <c r="FL912" s="60"/>
      <c r="FM912" s="60"/>
      <c r="FN912" s="60"/>
      <c r="FO912" s="60"/>
      <c r="FP912" s="60"/>
      <c r="FQ912" s="60"/>
      <c r="FR912" s="60"/>
      <c r="FS912" s="60"/>
      <c r="FT912" s="60"/>
      <c r="FU912" s="60"/>
      <c r="FV912" s="60"/>
      <c r="FW912" s="60"/>
      <c r="FX912" s="60"/>
    </row>
    <row r="913">
      <c r="A913" s="18"/>
      <c r="B913" s="14"/>
      <c r="C913" s="14"/>
      <c r="D913" s="14"/>
      <c r="E913" s="18"/>
      <c r="F913" s="18"/>
      <c r="G913" s="18"/>
      <c r="H913" s="18"/>
      <c r="I913" s="18"/>
      <c r="J913" s="18"/>
      <c r="K913" s="18"/>
      <c r="L913" s="18"/>
      <c r="M913" s="18"/>
      <c r="N913" s="18"/>
      <c r="O913" s="18"/>
      <c r="P913" s="23"/>
      <c r="Q913" s="26"/>
      <c r="R913" s="26"/>
      <c r="S913" s="26"/>
      <c r="T913" s="26"/>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c r="BM913" s="26"/>
      <c r="BN913" s="26"/>
      <c r="BO913" s="26"/>
      <c r="BP913" s="26"/>
      <c r="BQ913" s="26"/>
      <c r="BR913" s="26"/>
      <c r="BS913" s="26"/>
      <c r="BT913" s="26"/>
      <c r="BU913" s="26"/>
      <c r="BV913" s="26"/>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26"/>
      <c r="CU913" s="26"/>
      <c r="CV913" s="26"/>
      <c r="CW913" s="26"/>
      <c r="CX913" s="26"/>
      <c r="CY913" s="26"/>
      <c r="CZ913" s="26"/>
      <c r="DA913" s="26"/>
      <c r="DB913" s="26"/>
      <c r="DC913" s="26"/>
      <c r="DD913" s="26"/>
      <c r="DE913" s="26"/>
      <c r="DF913" s="26"/>
      <c r="DG913" s="26"/>
      <c r="DH913" s="26"/>
      <c r="DI913" s="26"/>
      <c r="DJ913" s="26"/>
      <c r="DK913" s="26"/>
      <c r="DL913" s="26"/>
      <c r="DM913" s="26"/>
      <c r="DN913" s="26"/>
      <c r="DO913" s="26"/>
      <c r="DP913" s="26"/>
      <c r="DQ913" s="26"/>
      <c r="DR913" s="26"/>
      <c r="DS913" s="26"/>
      <c r="DT913" s="26"/>
      <c r="DU913" s="26"/>
      <c r="DV913" s="26"/>
      <c r="DW913" s="26"/>
      <c r="DX913" s="26"/>
      <c r="DY913" s="26"/>
      <c r="DZ913" s="26"/>
      <c r="EA913" s="26"/>
      <c r="EB913" s="26"/>
      <c r="EC913" s="26"/>
      <c r="ED913" s="26"/>
      <c r="EE913" s="26"/>
      <c r="EF913" s="26"/>
      <c r="EG913" s="26"/>
      <c r="EH913" s="26"/>
      <c r="EI913" s="26"/>
      <c r="EJ913" s="26"/>
      <c r="EK913" s="26"/>
      <c r="EL913" s="26"/>
      <c r="EM913" s="26"/>
      <c r="EN913" s="26"/>
      <c r="EO913" s="26"/>
      <c r="EP913" s="26"/>
      <c r="EQ913" s="26"/>
      <c r="ER913" s="26"/>
      <c r="ES913" s="26"/>
      <c r="ET913" s="26"/>
      <c r="EU913" s="26"/>
      <c r="EV913" s="26"/>
      <c r="EW913" s="26"/>
      <c r="EX913" s="26"/>
      <c r="EY913" s="26"/>
      <c r="EZ913" s="26"/>
      <c r="FA913" s="60"/>
      <c r="FB913" s="60"/>
      <c r="FC913" s="60"/>
      <c r="FD913" s="60"/>
      <c r="FE913" s="60"/>
      <c r="FF913" s="60"/>
      <c r="FG913" s="60"/>
      <c r="FH913" s="60"/>
      <c r="FI913" s="60"/>
      <c r="FJ913" s="60"/>
      <c r="FK913" s="60"/>
      <c r="FL913" s="60"/>
      <c r="FM913" s="60"/>
      <c r="FN913" s="60"/>
      <c r="FO913" s="60"/>
      <c r="FP913" s="60"/>
      <c r="FQ913" s="60"/>
      <c r="FR913" s="60"/>
      <c r="FS913" s="60"/>
      <c r="FT913" s="60"/>
      <c r="FU913" s="60"/>
      <c r="FV913" s="60"/>
      <c r="FW913" s="60"/>
      <c r="FX913" s="60"/>
    </row>
    <row r="914">
      <c r="A914" s="18"/>
      <c r="B914" s="14"/>
      <c r="C914" s="14"/>
      <c r="D914" s="14"/>
      <c r="E914" s="18"/>
      <c r="F914" s="18"/>
      <c r="G914" s="18"/>
      <c r="H914" s="18"/>
      <c r="I914" s="18"/>
      <c r="J914" s="18"/>
      <c r="K914" s="18"/>
      <c r="L914" s="18"/>
      <c r="M914" s="18"/>
      <c r="N914" s="18"/>
      <c r="O914" s="18"/>
      <c r="P914" s="23"/>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c r="BO914" s="26"/>
      <c r="BP914" s="26"/>
      <c r="BQ914" s="26"/>
      <c r="BR914" s="26"/>
      <c r="BS914" s="26"/>
      <c r="BT914" s="26"/>
      <c r="BU914" s="26"/>
      <c r="BV914" s="26"/>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26"/>
      <c r="CU914" s="26"/>
      <c r="CV914" s="26"/>
      <c r="CW914" s="26"/>
      <c r="CX914" s="26"/>
      <c r="CY914" s="26"/>
      <c r="CZ914" s="26"/>
      <c r="DA914" s="26"/>
      <c r="DB914" s="26"/>
      <c r="DC914" s="26"/>
      <c r="DD914" s="26"/>
      <c r="DE914" s="26"/>
      <c r="DF914" s="26"/>
      <c r="DG914" s="26"/>
      <c r="DH914" s="26"/>
      <c r="DI914" s="26"/>
      <c r="DJ914" s="26"/>
      <c r="DK914" s="26"/>
      <c r="DL914" s="26"/>
      <c r="DM914" s="26"/>
      <c r="DN914" s="26"/>
      <c r="DO914" s="26"/>
      <c r="DP914" s="26"/>
      <c r="DQ914" s="26"/>
      <c r="DR914" s="26"/>
      <c r="DS914" s="26"/>
      <c r="DT914" s="26"/>
      <c r="DU914" s="26"/>
      <c r="DV914" s="26"/>
      <c r="DW914" s="26"/>
      <c r="DX914" s="26"/>
      <c r="DY914" s="26"/>
      <c r="DZ914" s="26"/>
      <c r="EA914" s="26"/>
      <c r="EB914" s="26"/>
      <c r="EC914" s="26"/>
      <c r="ED914" s="26"/>
      <c r="EE914" s="26"/>
      <c r="EF914" s="26"/>
      <c r="EG914" s="26"/>
      <c r="EH914" s="26"/>
      <c r="EI914" s="26"/>
      <c r="EJ914" s="26"/>
      <c r="EK914" s="26"/>
      <c r="EL914" s="26"/>
      <c r="EM914" s="26"/>
      <c r="EN914" s="26"/>
      <c r="EO914" s="26"/>
      <c r="EP914" s="26"/>
      <c r="EQ914" s="26"/>
      <c r="ER914" s="26"/>
      <c r="ES914" s="26"/>
      <c r="ET914" s="26"/>
      <c r="EU914" s="26"/>
      <c r="EV914" s="26"/>
      <c r="EW914" s="26"/>
      <c r="EX914" s="26"/>
      <c r="EY914" s="26"/>
      <c r="EZ914" s="26"/>
      <c r="FA914" s="60"/>
      <c r="FB914" s="60"/>
      <c r="FC914" s="60"/>
      <c r="FD914" s="60"/>
      <c r="FE914" s="60"/>
      <c r="FF914" s="60"/>
      <c r="FG914" s="60"/>
      <c r="FH914" s="60"/>
      <c r="FI914" s="60"/>
      <c r="FJ914" s="60"/>
      <c r="FK914" s="60"/>
      <c r="FL914" s="60"/>
      <c r="FM914" s="60"/>
      <c r="FN914" s="60"/>
      <c r="FO914" s="60"/>
      <c r="FP914" s="60"/>
      <c r="FQ914" s="60"/>
      <c r="FR914" s="60"/>
      <c r="FS914" s="60"/>
      <c r="FT914" s="60"/>
      <c r="FU914" s="60"/>
      <c r="FV914" s="60"/>
      <c r="FW914" s="60"/>
      <c r="FX914" s="60"/>
    </row>
    <row r="915">
      <c r="A915" s="18"/>
      <c r="B915" s="14"/>
      <c r="C915" s="14"/>
      <c r="D915" s="14"/>
      <c r="E915" s="18"/>
      <c r="F915" s="18"/>
      <c r="G915" s="18"/>
      <c r="H915" s="18"/>
      <c r="I915" s="18"/>
      <c r="J915" s="18"/>
      <c r="K915" s="18"/>
      <c r="L915" s="18"/>
      <c r="M915" s="18"/>
      <c r="N915" s="18"/>
      <c r="O915" s="18"/>
      <c r="P915" s="23"/>
      <c r="Q915" s="26"/>
      <c r="R915" s="26"/>
      <c r="S915" s="26"/>
      <c r="T915" s="26"/>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c r="BM915" s="26"/>
      <c r="BN915" s="26"/>
      <c r="BO915" s="26"/>
      <c r="BP915" s="26"/>
      <c r="BQ915" s="26"/>
      <c r="BR915" s="26"/>
      <c r="BS915" s="26"/>
      <c r="BT915" s="26"/>
      <c r="BU915" s="26"/>
      <c r="BV915" s="26"/>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26"/>
      <c r="CU915" s="26"/>
      <c r="CV915" s="26"/>
      <c r="CW915" s="26"/>
      <c r="CX915" s="26"/>
      <c r="CY915" s="26"/>
      <c r="CZ915" s="26"/>
      <c r="DA915" s="26"/>
      <c r="DB915" s="26"/>
      <c r="DC915" s="26"/>
      <c r="DD915" s="26"/>
      <c r="DE915" s="26"/>
      <c r="DF915" s="26"/>
      <c r="DG915" s="26"/>
      <c r="DH915" s="26"/>
      <c r="DI915" s="26"/>
      <c r="DJ915" s="26"/>
      <c r="DK915" s="26"/>
      <c r="DL915" s="26"/>
      <c r="DM915" s="26"/>
      <c r="DN915" s="26"/>
      <c r="DO915" s="26"/>
      <c r="DP915" s="26"/>
      <c r="DQ915" s="26"/>
      <c r="DR915" s="26"/>
      <c r="DS915" s="26"/>
      <c r="DT915" s="26"/>
      <c r="DU915" s="26"/>
      <c r="DV915" s="26"/>
      <c r="DW915" s="26"/>
      <c r="DX915" s="26"/>
      <c r="DY915" s="26"/>
      <c r="DZ915" s="26"/>
      <c r="EA915" s="26"/>
      <c r="EB915" s="26"/>
      <c r="EC915" s="26"/>
      <c r="ED915" s="26"/>
      <c r="EE915" s="26"/>
      <c r="EF915" s="26"/>
      <c r="EG915" s="26"/>
      <c r="EH915" s="26"/>
      <c r="EI915" s="26"/>
      <c r="EJ915" s="26"/>
      <c r="EK915" s="26"/>
      <c r="EL915" s="26"/>
      <c r="EM915" s="26"/>
      <c r="EN915" s="26"/>
      <c r="EO915" s="26"/>
      <c r="EP915" s="26"/>
      <c r="EQ915" s="26"/>
      <c r="ER915" s="26"/>
      <c r="ES915" s="26"/>
      <c r="ET915" s="26"/>
      <c r="EU915" s="26"/>
      <c r="EV915" s="26"/>
      <c r="EW915" s="26"/>
      <c r="EX915" s="26"/>
      <c r="EY915" s="26"/>
      <c r="EZ915" s="26"/>
      <c r="FA915" s="60"/>
      <c r="FB915" s="60"/>
      <c r="FC915" s="60"/>
      <c r="FD915" s="60"/>
      <c r="FE915" s="60"/>
      <c r="FF915" s="60"/>
      <c r="FG915" s="60"/>
      <c r="FH915" s="60"/>
      <c r="FI915" s="60"/>
      <c r="FJ915" s="60"/>
      <c r="FK915" s="60"/>
      <c r="FL915" s="60"/>
      <c r="FM915" s="60"/>
      <c r="FN915" s="60"/>
      <c r="FO915" s="60"/>
      <c r="FP915" s="60"/>
      <c r="FQ915" s="60"/>
      <c r="FR915" s="60"/>
      <c r="FS915" s="60"/>
      <c r="FT915" s="60"/>
      <c r="FU915" s="60"/>
      <c r="FV915" s="60"/>
      <c r="FW915" s="60"/>
      <c r="FX915" s="60"/>
    </row>
    <row r="916">
      <c r="A916" s="18"/>
      <c r="B916" s="14"/>
      <c r="C916" s="14"/>
      <c r="D916" s="14"/>
      <c r="E916" s="18"/>
      <c r="F916" s="18"/>
      <c r="G916" s="18"/>
      <c r="H916" s="18"/>
      <c r="I916" s="18"/>
      <c r="J916" s="18"/>
      <c r="K916" s="18"/>
      <c r="L916" s="18"/>
      <c r="M916" s="18"/>
      <c r="N916" s="18"/>
      <c r="O916" s="18"/>
      <c r="P916" s="23"/>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6"/>
      <c r="BR916" s="26"/>
      <c r="BS916" s="26"/>
      <c r="BT916" s="26"/>
      <c r="BU916" s="26"/>
      <c r="BV916" s="26"/>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26"/>
      <c r="CU916" s="26"/>
      <c r="CV916" s="26"/>
      <c r="CW916" s="26"/>
      <c r="CX916" s="26"/>
      <c r="CY916" s="26"/>
      <c r="CZ916" s="26"/>
      <c r="DA916" s="26"/>
      <c r="DB916" s="26"/>
      <c r="DC916" s="26"/>
      <c r="DD916" s="26"/>
      <c r="DE916" s="26"/>
      <c r="DF916" s="26"/>
      <c r="DG916" s="26"/>
      <c r="DH916" s="26"/>
      <c r="DI916" s="26"/>
      <c r="DJ916" s="26"/>
      <c r="DK916" s="26"/>
      <c r="DL916" s="26"/>
      <c r="DM916" s="26"/>
      <c r="DN916" s="26"/>
      <c r="DO916" s="26"/>
      <c r="DP916" s="26"/>
      <c r="DQ916" s="26"/>
      <c r="DR916" s="26"/>
      <c r="DS916" s="26"/>
      <c r="DT916" s="26"/>
      <c r="DU916" s="26"/>
      <c r="DV916" s="26"/>
      <c r="DW916" s="26"/>
      <c r="DX916" s="26"/>
      <c r="DY916" s="26"/>
      <c r="DZ916" s="26"/>
      <c r="EA916" s="26"/>
      <c r="EB916" s="26"/>
      <c r="EC916" s="26"/>
      <c r="ED916" s="26"/>
      <c r="EE916" s="26"/>
      <c r="EF916" s="26"/>
      <c r="EG916" s="26"/>
      <c r="EH916" s="26"/>
      <c r="EI916" s="26"/>
      <c r="EJ916" s="26"/>
      <c r="EK916" s="26"/>
      <c r="EL916" s="26"/>
      <c r="EM916" s="26"/>
      <c r="EN916" s="26"/>
      <c r="EO916" s="26"/>
      <c r="EP916" s="26"/>
      <c r="EQ916" s="26"/>
      <c r="ER916" s="26"/>
      <c r="ES916" s="26"/>
      <c r="ET916" s="26"/>
      <c r="EU916" s="26"/>
      <c r="EV916" s="26"/>
      <c r="EW916" s="26"/>
      <c r="EX916" s="26"/>
      <c r="EY916" s="26"/>
      <c r="EZ916" s="26"/>
      <c r="FA916" s="60"/>
      <c r="FB916" s="60"/>
      <c r="FC916" s="60"/>
      <c r="FD916" s="60"/>
      <c r="FE916" s="60"/>
      <c r="FF916" s="60"/>
      <c r="FG916" s="60"/>
      <c r="FH916" s="60"/>
      <c r="FI916" s="60"/>
      <c r="FJ916" s="60"/>
      <c r="FK916" s="60"/>
      <c r="FL916" s="60"/>
      <c r="FM916" s="60"/>
      <c r="FN916" s="60"/>
      <c r="FO916" s="60"/>
      <c r="FP916" s="60"/>
      <c r="FQ916" s="60"/>
      <c r="FR916" s="60"/>
      <c r="FS916" s="60"/>
      <c r="FT916" s="60"/>
      <c r="FU916" s="60"/>
      <c r="FV916" s="60"/>
      <c r="FW916" s="60"/>
      <c r="FX916" s="60"/>
    </row>
    <row r="917">
      <c r="A917" s="18"/>
      <c r="B917" s="14"/>
      <c r="C917" s="14"/>
      <c r="D917" s="14"/>
      <c r="E917" s="18"/>
      <c r="F917" s="18"/>
      <c r="G917" s="18"/>
      <c r="H917" s="18"/>
      <c r="I917" s="18"/>
      <c r="J917" s="18"/>
      <c r="K917" s="18"/>
      <c r="L917" s="18"/>
      <c r="M917" s="18"/>
      <c r="N917" s="18"/>
      <c r="O917" s="18"/>
      <c r="P917" s="23"/>
      <c r="Q917" s="26"/>
      <c r="R917" s="26"/>
      <c r="S917" s="26"/>
      <c r="T917" s="26"/>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c r="BM917" s="26"/>
      <c r="BN917" s="26"/>
      <c r="BO917" s="26"/>
      <c r="BP917" s="26"/>
      <c r="BQ917" s="26"/>
      <c r="BR917" s="26"/>
      <c r="BS917" s="26"/>
      <c r="BT917" s="26"/>
      <c r="BU917" s="26"/>
      <c r="BV917" s="26"/>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26"/>
      <c r="CU917" s="26"/>
      <c r="CV917" s="26"/>
      <c r="CW917" s="26"/>
      <c r="CX917" s="26"/>
      <c r="CY917" s="26"/>
      <c r="CZ917" s="26"/>
      <c r="DA917" s="26"/>
      <c r="DB917" s="26"/>
      <c r="DC917" s="26"/>
      <c r="DD917" s="26"/>
      <c r="DE917" s="26"/>
      <c r="DF917" s="26"/>
      <c r="DG917" s="26"/>
      <c r="DH917" s="26"/>
      <c r="DI917" s="26"/>
      <c r="DJ917" s="26"/>
      <c r="DK917" s="26"/>
      <c r="DL917" s="26"/>
      <c r="DM917" s="26"/>
      <c r="DN917" s="26"/>
      <c r="DO917" s="26"/>
      <c r="DP917" s="26"/>
      <c r="DQ917" s="26"/>
      <c r="DR917" s="26"/>
      <c r="DS917" s="26"/>
      <c r="DT917" s="26"/>
      <c r="DU917" s="26"/>
      <c r="DV917" s="26"/>
      <c r="DW917" s="26"/>
      <c r="DX917" s="26"/>
      <c r="DY917" s="26"/>
      <c r="DZ917" s="26"/>
      <c r="EA917" s="26"/>
      <c r="EB917" s="26"/>
      <c r="EC917" s="26"/>
      <c r="ED917" s="26"/>
      <c r="EE917" s="26"/>
      <c r="EF917" s="26"/>
      <c r="EG917" s="26"/>
      <c r="EH917" s="26"/>
      <c r="EI917" s="26"/>
      <c r="EJ917" s="26"/>
      <c r="EK917" s="26"/>
      <c r="EL917" s="26"/>
      <c r="EM917" s="26"/>
      <c r="EN917" s="26"/>
      <c r="EO917" s="26"/>
      <c r="EP917" s="26"/>
      <c r="EQ917" s="26"/>
      <c r="ER917" s="26"/>
      <c r="ES917" s="26"/>
      <c r="ET917" s="26"/>
      <c r="EU917" s="26"/>
      <c r="EV917" s="26"/>
      <c r="EW917" s="26"/>
      <c r="EX917" s="26"/>
      <c r="EY917" s="26"/>
      <c r="EZ917" s="26"/>
      <c r="FA917" s="60"/>
      <c r="FB917" s="60"/>
      <c r="FC917" s="60"/>
      <c r="FD917" s="60"/>
      <c r="FE917" s="60"/>
      <c r="FF917" s="60"/>
      <c r="FG917" s="60"/>
      <c r="FH917" s="60"/>
      <c r="FI917" s="60"/>
      <c r="FJ917" s="60"/>
      <c r="FK917" s="60"/>
      <c r="FL917" s="60"/>
      <c r="FM917" s="60"/>
      <c r="FN917" s="60"/>
      <c r="FO917" s="60"/>
      <c r="FP917" s="60"/>
      <c r="FQ917" s="60"/>
      <c r="FR917" s="60"/>
      <c r="FS917" s="60"/>
      <c r="FT917" s="60"/>
      <c r="FU917" s="60"/>
      <c r="FV917" s="60"/>
      <c r="FW917" s="60"/>
      <c r="FX917" s="60"/>
    </row>
    <row r="918">
      <c r="A918" s="18"/>
      <c r="B918" s="14"/>
      <c r="C918" s="14"/>
      <c r="D918" s="14"/>
      <c r="E918" s="18"/>
      <c r="F918" s="18"/>
      <c r="G918" s="18"/>
      <c r="H918" s="18"/>
      <c r="I918" s="18"/>
      <c r="J918" s="18"/>
      <c r="K918" s="18"/>
      <c r="L918" s="18"/>
      <c r="M918" s="18"/>
      <c r="N918" s="18"/>
      <c r="O918" s="18"/>
      <c r="P918" s="23"/>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26"/>
      <c r="CU918" s="26"/>
      <c r="CV918" s="26"/>
      <c r="CW918" s="26"/>
      <c r="CX918" s="26"/>
      <c r="CY918" s="26"/>
      <c r="CZ918" s="26"/>
      <c r="DA918" s="26"/>
      <c r="DB918" s="26"/>
      <c r="DC918" s="26"/>
      <c r="DD918" s="26"/>
      <c r="DE918" s="26"/>
      <c r="DF918" s="26"/>
      <c r="DG918" s="26"/>
      <c r="DH918" s="26"/>
      <c r="DI918" s="26"/>
      <c r="DJ918" s="26"/>
      <c r="DK918" s="26"/>
      <c r="DL918" s="26"/>
      <c r="DM918" s="26"/>
      <c r="DN918" s="26"/>
      <c r="DO918" s="26"/>
      <c r="DP918" s="26"/>
      <c r="DQ918" s="26"/>
      <c r="DR918" s="26"/>
      <c r="DS918" s="26"/>
      <c r="DT918" s="26"/>
      <c r="DU918" s="26"/>
      <c r="DV918" s="26"/>
      <c r="DW918" s="26"/>
      <c r="DX918" s="26"/>
      <c r="DY918" s="26"/>
      <c r="DZ918" s="26"/>
      <c r="EA918" s="26"/>
      <c r="EB918" s="26"/>
      <c r="EC918" s="26"/>
      <c r="ED918" s="26"/>
      <c r="EE918" s="26"/>
      <c r="EF918" s="26"/>
      <c r="EG918" s="26"/>
      <c r="EH918" s="26"/>
      <c r="EI918" s="26"/>
      <c r="EJ918" s="26"/>
      <c r="EK918" s="26"/>
      <c r="EL918" s="26"/>
      <c r="EM918" s="26"/>
      <c r="EN918" s="26"/>
      <c r="EO918" s="26"/>
      <c r="EP918" s="26"/>
      <c r="EQ918" s="26"/>
      <c r="ER918" s="26"/>
      <c r="ES918" s="26"/>
      <c r="ET918" s="26"/>
      <c r="EU918" s="26"/>
      <c r="EV918" s="26"/>
      <c r="EW918" s="26"/>
      <c r="EX918" s="26"/>
      <c r="EY918" s="26"/>
      <c r="EZ918" s="26"/>
      <c r="FA918" s="60"/>
      <c r="FB918" s="60"/>
      <c r="FC918" s="60"/>
      <c r="FD918" s="60"/>
      <c r="FE918" s="60"/>
      <c r="FF918" s="60"/>
      <c r="FG918" s="60"/>
      <c r="FH918" s="60"/>
      <c r="FI918" s="60"/>
      <c r="FJ918" s="60"/>
      <c r="FK918" s="60"/>
      <c r="FL918" s="60"/>
      <c r="FM918" s="60"/>
      <c r="FN918" s="60"/>
      <c r="FO918" s="60"/>
      <c r="FP918" s="60"/>
      <c r="FQ918" s="60"/>
      <c r="FR918" s="60"/>
      <c r="FS918" s="60"/>
      <c r="FT918" s="60"/>
      <c r="FU918" s="60"/>
      <c r="FV918" s="60"/>
      <c r="FW918" s="60"/>
      <c r="FX918" s="60"/>
    </row>
    <row r="919">
      <c r="A919" s="18"/>
      <c r="B919" s="14"/>
      <c r="C919" s="14"/>
      <c r="D919" s="14"/>
      <c r="E919" s="18"/>
      <c r="F919" s="18"/>
      <c r="G919" s="18"/>
      <c r="H919" s="18"/>
      <c r="I919" s="18"/>
      <c r="J919" s="18"/>
      <c r="K919" s="18"/>
      <c r="L919" s="18"/>
      <c r="M919" s="18"/>
      <c r="N919" s="18"/>
      <c r="O919" s="18"/>
      <c r="P919" s="23"/>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26"/>
      <c r="CU919" s="26"/>
      <c r="CV919" s="26"/>
      <c r="CW919" s="26"/>
      <c r="CX919" s="26"/>
      <c r="CY919" s="26"/>
      <c r="CZ919" s="26"/>
      <c r="DA919" s="26"/>
      <c r="DB919" s="26"/>
      <c r="DC919" s="26"/>
      <c r="DD919" s="26"/>
      <c r="DE919" s="26"/>
      <c r="DF919" s="26"/>
      <c r="DG919" s="26"/>
      <c r="DH919" s="26"/>
      <c r="DI919" s="26"/>
      <c r="DJ919" s="26"/>
      <c r="DK919" s="26"/>
      <c r="DL919" s="26"/>
      <c r="DM919" s="26"/>
      <c r="DN919" s="26"/>
      <c r="DO919" s="26"/>
      <c r="DP919" s="26"/>
      <c r="DQ919" s="26"/>
      <c r="DR919" s="26"/>
      <c r="DS919" s="26"/>
      <c r="DT919" s="26"/>
      <c r="DU919" s="26"/>
      <c r="DV919" s="26"/>
      <c r="DW919" s="26"/>
      <c r="DX919" s="26"/>
      <c r="DY919" s="26"/>
      <c r="DZ919" s="26"/>
      <c r="EA919" s="26"/>
      <c r="EB919" s="26"/>
      <c r="EC919" s="26"/>
      <c r="ED919" s="26"/>
      <c r="EE919" s="26"/>
      <c r="EF919" s="26"/>
      <c r="EG919" s="26"/>
      <c r="EH919" s="26"/>
      <c r="EI919" s="26"/>
      <c r="EJ919" s="26"/>
      <c r="EK919" s="26"/>
      <c r="EL919" s="26"/>
      <c r="EM919" s="26"/>
      <c r="EN919" s="26"/>
      <c r="EO919" s="26"/>
      <c r="EP919" s="26"/>
      <c r="EQ919" s="26"/>
      <c r="ER919" s="26"/>
      <c r="ES919" s="26"/>
      <c r="ET919" s="26"/>
      <c r="EU919" s="26"/>
      <c r="EV919" s="26"/>
      <c r="EW919" s="26"/>
      <c r="EX919" s="26"/>
      <c r="EY919" s="26"/>
      <c r="EZ919" s="26"/>
      <c r="FA919" s="60"/>
      <c r="FB919" s="60"/>
      <c r="FC919" s="60"/>
      <c r="FD919" s="60"/>
      <c r="FE919" s="60"/>
      <c r="FF919" s="60"/>
      <c r="FG919" s="60"/>
      <c r="FH919" s="60"/>
      <c r="FI919" s="60"/>
      <c r="FJ919" s="60"/>
      <c r="FK919" s="60"/>
      <c r="FL919" s="60"/>
      <c r="FM919" s="60"/>
      <c r="FN919" s="60"/>
      <c r="FO919" s="60"/>
      <c r="FP919" s="60"/>
      <c r="FQ919" s="60"/>
      <c r="FR919" s="60"/>
      <c r="FS919" s="60"/>
      <c r="FT919" s="60"/>
      <c r="FU919" s="60"/>
      <c r="FV919" s="60"/>
      <c r="FW919" s="60"/>
      <c r="FX919" s="60"/>
    </row>
    <row r="920">
      <c r="A920" s="18"/>
      <c r="B920" s="14"/>
      <c r="C920" s="14"/>
      <c r="D920" s="14"/>
      <c r="E920" s="18"/>
      <c r="F920" s="18"/>
      <c r="G920" s="18"/>
      <c r="H920" s="18"/>
      <c r="I920" s="18"/>
      <c r="J920" s="18"/>
      <c r="K920" s="18"/>
      <c r="L920" s="18"/>
      <c r="M920" s="18"/>
      <c r="N920" s="18"/>
      <c r="O920" s="18"/>
      <c r="P920" s="23"/>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26"/>
      <c r="CU920" s="26"/>
      <c r="CV920" s="26"/>
      <c r="CW920" s="26"/>
      <c r="CX920" s="26"/>
      <c r="CY920" s="26"/>
      <c r="CZ920" s="26"/>
      <c r="DA920" s="26"/>
      <c r="DB920" s="26"/>
      <c r="DC920" s="26"/>
      <c r="DD920" s="26"/>
      <c r="DE920" s="26"/>
      <c r="DF920" s="26"/>
      <c r="DG920" s="26"/>
      <c r="DH920" s="26"/>
      <c r="DI920" s="26"/>
      <c r="DJ920" s="26"/>
      <c r="DK920" s="26"/>
      <c r="DL920" s="26"/>
      <c r="DM920" s="26"/>
      <c r="DN920" s="26"/>
      <c r="DO920" s="26"/>
      <c r="DP920" s="26"/>
      <c r="DQ920" s="26"/>
      <c r="DR920" s="26"/>
      <c r="DS920" s="26"/>
      <c r="DT920" s="26"/>
      <c r="DU920" s="26"/>
      <c r="DV920" s="26"/>
      <c r="DW920" s="26"/>
      <c r="DX920" s="26"/>
      <c r="DY920" s="26"/>
      <c r="DZ920" s="26"/>
      <c r="EA920" s="26"/>
      <c r="EB920" s="26"/>
      <c r="EC920" s="26"/>
      <c r="ED920" s="26"/>
      <c r="EE920" s="26"/>
      <c r="EF920" s="26"/>
      <c r="EG920" s="26"/>
      <c r="EH920" s="26"/>
      <c r="EI920" s="26"/>
      <c r="EJ920" s="26"/>
      <c r="EK920" s="26"/>
      <c r="EL920" s="26"/>
      <c r="EM920" s="26"/>
      <c r="EN920" s="26"/>
      <c r="EO920" s="26"/>
      <c r="EP920" s="26"/>
      <c r="EQ920" s="26"/>
      <c r="ER920" s="26"/>
      <c r="ES920" s="26"/>
      <c r="ET920" s="26"/>
      <c r="EU920" s="26"/>
      <c r="EV920" s="26"/>
      <c r="EW920" s="26"/>
      <c r="EX920" s="26"/>
      <c r="EY920" s="26"/>
      <c r="EZ920" s="26"/>
      <c r="FA920" s="60"/>
      <c r="FB920" s="60"/>
      <c r="FC920" s="60"/>
      <c r="FD920" s="60"/>
      <c r="FE920" s="60"/>
      <c r="FF920" s="60"/>
      <c r="FG920" s="60"/>
      <c r="FH920" s="60"/>
      <c r="FI920" s="60"/>
      <c r="FJ920" s="60"/>
      <c r="FK920" s="60"/>
      <c r="FL920" s="60"/>
      <c r="FM920" s="60"/>
      <c r="FN920" s="60"/>
      <c r="FO920" s="60"/>
      <c r="FP920" s="60"/>
      <c r="FQ920" s="60"/>
      <c r="FR920" s="60"/>
      <c r="FS920" s="60"/>
      <c r="FT920" s="60"/>
      <c r="FU920" s="60"/>
      <c r="FV920" s="60"/>
      <c r="FW920" s="60"/>
      <c r="FX920" s="60"/>
    </row>
    <row r="921">
      <c r="A921" s="18"/>
      <c r="B921" s="14"/>
      <c r="C921" s="14"/>
      <c r="D921" s="14"/>
      <c r="E921" s="18"/>
      <c r="F921" s="18"/>
      <c r="G921" s="18"/>
      <c r="H921" s="18"/>
      <c r="I921" s="18"/>
      <c r="J921" s="18"/>
      <c r="K921" s="18"/>
      <c r="L921" s="18"/>
      <c r="M921" s="18"/>
      <c r="N921" s="18"/>
      <c r="O921" s="18"/>
      <c r="P921" s="23"/>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26"/>
      <c r="CU921" s="26"/>
      <c r="CV921" s="26"/>
      <c r="CW921" s="26"/>
      <c r="CX921" s="26"/>
      <c r="CY921" s="26"/>
      <c r="CZ921" s="26"/>
      <c r="DA921" s="26"/>
      <c r="DB921" s="26"/>
      <c r="DC921" s="26"/>
      <c r="DD921" s="26"/>
      <c r="DE921" s="26"/>
      <c r="DF921" s="26"/>
      <c r="DG921" s="26"/>
      <c r="DH921" s="26"/>
      <c r="DI921" s="26"/>
      <c r="DJ921" s="26"/>
      <c r="DK921" s="26"/>
      <c r="DL921" s="26"/>
      <c r="DM921" s="26"/>
      <c r="DN921" s="26"/>
      <c r="DO921" s="26"/>
      <c r="DP921" s="26"/>
      <c r="DQ921" s="26"/>
      <c r="DR921" s="26"/>
      <c r="DS921" s="26"/>
      <c r="DT921" s="26"/>
      <c r="DU921" s="26"/>
      <c r="DV921" s="26"/>
      <c r="DW921" s="26"/>
      <c r="DX921" s="26"/>
      <c r="DY921" s="26"/>
      <c r="DZ921" s="26"/>
      <c r="EA921" s="26"/>
      <c r="EB921" s="26"/>
      <c r="EC921" s="26"/>
      <c r="ED921" s="26"/>
      <c r="EE921" s="26"/>
      <c r="EF921" s="26"/>
      <c r="EG921" s="26"/>
      <c r="EH921" s="26"/>
      <c r="EI921" s="26"/>
      <c r="EJ921" s="26"/>
      <c r="EK921" s="26"/>
      <c r="EL921" s="26"/>
      <c r="EM921" s="26"/>
      <c r="EN921" s="26"/>
      <c r="EO921" s="26"/>
      <c r="EP921" s="26"/>
      <c r="EQ921" s="26"/>
      <c r="ER921" s="26"/>
      <c r="ES921" s="26"/>
      <c r="ET921" s="26"/>
      <c r="EU921" s="26"/>
      <c r="EV921" s="26"/>
      <c r="EW921" s="26"/>
      <c r="EX921" s="26"/>
      <c r="EY921" s="26"/>
      <c r="EZ921" s="26"/>
      <c r="FA921" s="60"/>
      <c r="FB921" s="60"/>
      <c r="FC921" s="60"/>
      <c r="FD921" s="60"/>
      <c r="FE921" s="60"/>
      <c r="FF921" s="60"/>
      <c r="FG921" s="60"/>
      <c r="FH921" s="60"/>
      <c r="FI921" s="60"/>
      <c r="FJ921" s="60"/>
      <c r="FK921" s="60"/>
      <c r="FL921" s="60"/>
      <c r="FM921" s="60"/>
      <c r="FN921" s="60"/>
      <c r="FO921" s="60"/>
      <c r="FP921" s="60"/>
      <c r="FQ921" s="60"/>
      <c r="FR921" s="60"/>
      <c r="FS921" s="60"/>
      <c r="FT921" s="60"/>
      <c r="FU921" s="60"/>
      <c r="FV921" s="60"/>
      <c r="FW921" s="60"/>
      <c r="FX921" s="60"/>
    </row>
    <row r="922">
      <c r="A922" s="18"/>
      <c r="B922" s="14"/>
      <c r="C922" s="14"/>
      <c r="D922" s="14"/>
      <c r="E922" s="18"/>
      <c r="F922" s="18"/>
      <c r="G922" s="18"/>
      <c r="H922" s="18"/>
      <c r="I922" s="18"/>
      <c r="J922" s="18"/>
      <c r="K922" s="18"/>
      <c r="L922" s="18"/>
      <c r="M922" s="18"/>
      <c r="N922" s="18"/>
      <c r="O922" s="18"/>
      <c r="P922" s="23"/>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6"/>
      <c r="BT922" s="26"/>
      <c r="BU922" s="26"/>
      <c r="BV922" s="26"/>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26"/>
      <c r="CU922" s="26"/>
      <c r="CV922" s="26"/>
      <c r="CW922" s="26"/>
      <c r="CX922" s="26"/>
      <c r="CY922" s="26"/>
      <c r="CZ922" s="26"/>
      <c r="DA922" s="26"/>
      <c r="DB922" s="26"/>
      <c r="DC922" s="26"/>
      <c r="DD922" s="26"/>
      <c r="DE922" s="26"/>
      <c r="DF922" s="26"/>
      <c r="DG922" s="26"/>
      <c r="DH922" s="26"/>
      <c r="DI922" s="26"/>
      <c r="DJ922" s="26"/>
      <c r="DK922" s="26"/>
      <c r="DL922" s="26"/>
      <c r="DM922" s="26"/>
      <c r="DN922" s="26"/>
      <c r="DO922" s="26"/>
      <c r="DP922" s="26"/>
      <c r="DQ922" s="26"/>
      <c r="DR922" s="26"/>
      <c r="DS922" s="26"/>
      <c r="DT922" s="26"/>
      <c r="DU922" s="26"/>
      <c r="DV922" s="26"/>
      <c r="DW922" s="26"/>
      <c r="DX922" s="26"/>
      <c r="DY922" s="26"/>
      <c r="DZ922" s="26"/>
      <c r="EA922" s="26"/>
      <c r="EB922" s="26"/>
      <c r="EC922" s="26"/>
      <c r="ED922" s="26"/>
      <c r="EE922" s="26"/>
      <c r="EF922" s="26"/>
      <c r="EG922" s="26"/>
      <c r="EH922" s="26"/>
      <c r="EI922" s="26"/>
      <c r="EJ922" s="26"/>
      <c r="EK922" s="26"/>
      <c r="EL922" s="26"/>
      <c r="EM922" s="26"/>
      <c r="EN922" s="26"/>
      <c r="EO922" s="26"/>
      <c r="EP922" s="26"/>
      <c r="EQ922" s="26"/>
      <c r="ER922" s="26"/>
      <c r="ES922" s="26"/>
      <c r="ET922" s="26"/>
      <c r="EU922" s="26"/>
      <c r="EV922" s="26"/>
      <c r="EW922" s="26"/>
      <c r="EX922" s="26"/>
      <c r="EY922" s="26"/>
      <c r="EZ922" s="26"/>
      <c r="FA922" s="60"/>
      <c r="FB922" s="60"/>
      <c r="FC922" s="60"/>
      <c r="FD922" s="60"/>
      <c r="FE922" s="60"/>
      <c r="FF922" s="60"/>
      <c r="FG922" s="60"/>
      <c r="FH922" s="60"/>
      <c r="FI922" s="60"/>
      <c r="FJ922" s="60"/>
      <c r="FK922" s="60"/>
      <c r="FL922" s="60"/>
      <c r="FM922" s="60"/>
      <c r="FN922" s="60"/>
      <c r="FO922" s="60"/>
      <c r="FP922" s="60"/>
      <c r="FQ922" s="60"/>
      <c r="FR922" s="60"/>
      <c r="FS922" s="60"/>
      <c r="FT922" s="60"/>
      <c r="FU922" s="60"/>
      <c r="FV922" s="60"/>
      <c r="FW922" s="60"/>
      <c r="FX922" s="60"/>
    </row>
    <row r="923">
      <c r="A923" s="18"/>
      <c r="B923" s="14"/>
      <c r="C923" s="14"/>
      <c r="D923" s="14"/>
      <c r="E923" s="18"/>
      <c r="F923" s="18"/>
      <c r="G923" s="18"/>
      <c r="H923" s="18"/>
      <c r="I923" s="18"/>
      <c r="J923" s="18"/>
      <c r="K923" s="18"/>
      <c r="L923" s="18"/>
      <c r="M923" s="18"/>
      <c r="N923" s="18"/>
      <c r="O923" s="18"/>
      <c r="P923" s="23"/>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c r="BM923" s="26"/>
      <c r="BN923" s="26"/>
      <c r="BO923" s="26"/>
      <c r="BP923" s="26"/>
      <c r="BQ923" s="26"/>
      <c r="BR923" s="26"/>
      <c r="BS923" s="26"/>
      <c r="BT923" s="26"/>
      <c r="BU923" s="26"/>
      <c r="BV923" s="26"/>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26"/>
      <c r="CU923" s="26"/>
      <c r="CV923" s="26"/>
      <c r="CW923" s="26"/>
      <c r="CX923" s="26"/>
      <c r="CY923" s="26"/>
      <c r="CZ923" s="26"/>
      <c r="DA923" s="26"/>
      <c r="DB923" s="26"/>
      <c r="DC923" s="26"/>
      <c r="DD923" s="26"/>
      <c r="DE923" s="26"/>
      <c r="DF923" s="26"/>
      <c r="DG923" s="26"/>
      <c r="DH923" s="26"/>
      <c r="DI923" s="26"/>
      <c r="DJ923" s="26"/>
      <c r="DK923" s="26"/>
      <c r="DL923" s="26"/>
      <c r="DM923" s="26"/>
      <c r="DN923" s="26"/>
      <c r="DO923" s="26"/>
      <c r="DP923" s="26"/>
      <c r="DQ923" s="26"/>
      <c r="DR923" s="26"/>
      <c r="DS923" s="26"/>
      <c r="DT923" s="26"/>
      <c r="DU923" s="26"/>
      <c r="DV923" s="26"/>
      <c r="DW923" s="26"/>
      <c r="DX923" s="26"/>
      <c r="DY923" s="26"/>
      <c r="DZ923" s="26"/>
      <c r="EA923" s="26"/>
      <c r="EB923" s="26"/>
      <c r="EC923" s="26"/>
      <c r="ED923" s="26"/>
      <c r="EE923" s="26"/>
      <c r="EF923" s="26"/>
      <c r="EG923" s="26"/>
      <c r="EH923" s="26"/>
      <c r="EI923" s="26"/>
      <c r="EJ923" s="26"/>
      <c r="EK923" s="26"/>
      <c r="EL923" s="26"/>
      <c r="EM923" s="26"/>
      <c r="EN923" s="26"/>
      <c r="EO923" s="26"/>
      <c r="EP923" s="26"/>
      <c r="EQ923" s="26"/>
      <c r="ER923" s="26"/>
      <c r="ES923" s="26"/>
      <c r="ET923" s="26"/>
      <c r="EU923" s="26"/>
      <c r="EV923" s="26"/>
      <c r="EW923" s="26"/>
      <c r="EX923" s="26"/>
      <c r="EY923" s="26"/>
      <c r="EZ923" s="26"/>
      <c r="FA923" s="60"/>
      <c r="FB923" s="60"/>
      <c r="FC923" s="60"/>
      <c r="FD923" s="60"/>
      <c r="FE923" s="60"/>
      <c r="FF923" s="60"/>
      <c r="FG923" s="60"/>
      <c r="FH923" s="60"/>
      <c r="FI923" s="60"/>
      <c r="FJ923" s="60"/>
      <c r="FK923" s="60"/>
      <c r="FL923" s="60"/>
      <c r="FM923" s="60"/>
      <c r="FN923" s="60"/>
      <c r="FO923" s="60"/>
      <c r="FP923" s="60"/>
      <c r="FQ923" s="60"/>
      <c r="FR923" s="60"/>
      <c r="FS923" s="60"/>
      <c r="FT923" s="60"/>
      <c r="FU923" s="60"/>
      <c r="FV923" s="60"/>
      <c r="FW923" s="60"/>
      <c r="FX923" s="60"/>
    </row>
    <row r="924">
      <c r="A924" s="18"/>
      <c r="B924" s="14"/>
      <c r="C924" s="14"/>
      <c r="D924" s="14"/>
      <c r="E924" s="18"/>
      <c r="F924" s="18"/>
      <c r="G924" s="18"/>
      <c r="H924" s="18"/>
      <c r="I924" s="18"/>
      <c r="J924" s="18"/>
      <c r="K924" s="18"/>
      <c r="L924" s="18"/>
      <c r="M924" s="18"/>
      <c r="N924" s="18"/>
      <c r="O924" s="18"/>
      <c r="P924" s="23"/>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6"/>
      <c r="BT924" s="26"/>
      <c r="BU924" s="26"/>
      <c r="BV924" s="26"/>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26"/>
      <c r="CU924" s="26"/>
      <c r="CV924" s="26"/>
      <c r="CW924" s="26"/>
      <c r="CX924" s="26"/>
      <c r="CY924" s="26"/>
      <c r="CZ924" s="26"/>
      <c r="DA924" s="26"/>
      <c r="DB924" s="26"/>
      <c r="DC924" s="26"/>
      <c r="DD924" s="26"/>
      <c r="DE924" s="26"/>
      <c r="DF924" s="26"/>
      <c r="DG924" s="26"/>
      <c r="DH924" s="26"/>
      <c r="DI924" s="26"/>
      <c r="DJ924" s="26"/>
      <c r="DK924" s="26"/>
      <c r="DL924" s="26"/>
      <c r="DM924" s="26"/>
      <c r="DN924" s="26"/>
      <c r="DO924" s="26"/>
      <c r="DP924" s="26"/>
      <c r="DQ924" s="26"/>
      <c r="DR924" s="26"/>
      <c r="DS924" s="26"/>
      <c r="DT924" s="26"/>
      <c r="DU924" s="26"/>
      <c r="DV924" s="26"/>
      <c r="DW924" s="26"/>
      <c r="DX924" s="26"/>
      <c r="DY924" s="26"/>
      <c r="DZ924" s="26"/>
      <c r="EA924" s="26"/>
      <c r="EB924" s="26"/>
      <c r="EC924" s="26"/>
      <c r="ED924" s="26"/>
      <c r="EE924" s="26"/>
      <c r="EF924" s="26"/>
      <c r="EG924" s="26"/>
      <c r="EH924" s="26"/>
      <c r="EI924" s="26"/>
      <c r="EJ924" s="26"/>
      <c r="EK924" s="26"/>
      <c r="EL924" s="26"/>
      <c r="EM924" s="26"/>
      <c r="EN924" s="26"/>
      <c r="EO924" s="26"/>
      <c r="EP924" s="26"/>
      <c r="EQ924" s="26"/>
      <c r="ER924" s="26"/>
      <c r="ES924" s="26"/>
      <c r="ET924" s="26"/>
      <c r="EU924" s="26"/>
      <c r="EV924" s="26"/>
      <c r="EW924" s="26"/>
      <c r="EX924" s="26"/>
      <c r="EY924" s="26"/>
      <c r="EZ924" s="26"/>
      <c r="FA924" s="60"/>
      <c r="FB924" s="60"/>
      <c r="FC924" s="60"/>
      <c r="FD924" s="60"/>
      <c r="FE924" s="60"/>
      <c r="FF924" s="60"/>
      <c r="FG924" s="60"/>
      <c r="FH924" s="60"/>
      <c r="FI924" s="60"/>
      <c r="FJ924" s="60"/>
      <c r="FK924" s="60"/>
      <c r="FL924" s="60"/>
      <c r="FM924" s="60"/>
      <c r="FN924" s="60"/>
      <c r="FO924" s="60"/>
      <c r="FP924" s="60"/>
      <c r="FQ924" s="60"/>
      <c r="FR924" s="60"/>
      <c r="FS924" s="60"/>
      <c r="FT924" s="60"/>
      <c r="FU924" s="60"/>
      <c r="FV924" s="60"/>
      <c r="FW924" s="60"/>
      <c r="FX924" s="60"/>
    </row>
    <row r="925">
      <c r="A925" s="18"/>
      <c r="B925" s="14"/>
      <c r="C925" s="14"/>
      <c r="D925" s="14"/>
      <c r="E925" s="18"/>
      <c r="F925" s="18"/>
      <c r="G925" s="18"/>
      <c r="H925" s="18"/>
      <c r="I925" s="18"/>
      <c r="J925" s="18"/>
      <c r="K925" s="18"/>
      <c r="L925" s="18"/>
      <c r="M925" s="18"/>
      <c r="N925" s="18"/>
      <c r="O925" s="18"/>
      <c r="P925" s="23"/>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c r="BM925" s="26"/>
      <c r="BN925" s="26"/>
      <c r="BO925" s="26"/>
      <c r="BP925" s="26"/>
      <c r="BQ925" s="26"/>
      <c r="BR925" s="26"/>
      <c r="BS925" s="26"/>
      <c r="BT925" s="26"/>
      <c r="BU925" s="26"/>
      <c r="BV925" s="26"/>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26"/>
      <c r="CU925" s="26"/>
      <c r="CV925" s="26"/>
      <c r="CW925" s="26"/>
      <c r="CX925" s="26"/>
      <c r="CY925" s="26"/>
      <c r="CZ925" s="26"/>
      <c r="DA925" s="26"/>
      <c r="DB925" s="26"/>
      <c r="DC925" s="26"/>
      <c r="DD925" s="26"/>
      <c r="DE925" s="26"/>
      <c r="DF925" s="26"/>
      <c r="DG925" s="26"/>
      <c r="DH925" s="26"/>
      <c r="DI925" s="26"/>
      <c r="DJ925" s="26"/>
      <c r="DK925" s="26"/>
      <c r="DL925" s="26"/>
      <c r="DM925" s="26"/>
      <c r="DN925" s="26"/>
      <c r="DO925" s="26"/>
      <c r="DP925" s="26"/>
      <c r="DQ925" s="26"/>
      <c r="DR925" s="26"/>
      <c r="DS925" s="26"/>
      <c r="DT925" s="26"/>
      <c r="DU925" s="26"/>
      <c r="DV925" s="26"/>
      <c r="DW925" s="26"/>
      <c r="DX925" s="26"/>
      <c r="DY925" s="26"/>
      <c r="DZ925" s="26"/>
      <c r="EA925" s="26"/>
      <c r="EB925" s="26"/>
      <c r="EC925" s="26"/>
      <c r="ED925" s="26"/>
      <c r="EE925" s="26"/>
      <c r="EF925" s="26"/>
      <c r="EG925" s="26"/>
      <c r="EH925" s="26"/>
      <c r="EI925" s="26"/>
      <c r="EJ925" s="26"/>
      <c r="EK925" s="26"/>
      <c r="EL925" s="26"/>
      <c r="EM925" s="26"/>
      <c r="EN925" s="26"/>
      <c r="EO925" s="26"/>
      <c r="EP925" s="26"/>
      <c r="EQ925" s="26"/>
      <c r="ER925" s="26"/>
      <c r="ES925" s="26"/>
      <c r="ET925" s="26"/>
      <c r="EU925" s="26"/>
      <c r="EV925" s="26"/>
      <c r="EW925" s="26"/>
      <c r="EX925" s="26"/>
      <c r="EY925" s="26"/>
      <c r="EZ925" s="26"/>
      <c r="FA925" s="60"/>
      <c r="FB925" s="60"/>
      <c r="FC925" s="60"/>
      <c r="FD925" s="60"/>
      <c r="FE925" s="60"/>
      <c r="FF925" s="60"/>
      <c r="FG925" s="60"/>
      <c r="FH925" s="60"/>
      <c r="FI925" s="60"/>
      <c r="FJ925" s="60"/>
      <c r="FK925" s="60"/>
      <c r="FL925" s="60"/>
      <c r="FM925" s="60"/>
      <c r="FN925" s="60"/>
      <c r="FO925" s="60"/>
      <c r="FP925" s="60"/>
      <c r="FQ925" s="60"/>
      <c r="FR925" s="60"/>
      <c r="FS925" s="60"/>
      <c r="FT925" s="60"/>
      <c r="FU925" s="60"/>
      <c r="FV925" s="60"/>
      <c r="FW925" s="60"/>
      <c r="FX925" s="60"/>
    </row>
    <row r="926">
      <c r="A926" s="18"/>
      <c r="B926" s="14"/>
      <c r="C926" s="14"/>
      <c r="D926" s="14"/>
      <c r="E926" s="18"/>
      <c r="F926" s="18"/>
      <c r="G926" s="18"/>
      <c r="H926" s="18"/>
      <c r="I926" s="18"/>
      <c r="J926" s="18"/>
      <c r="K926" s="18"/>
      <c r="L926" s="18"/>
      <c r="M926" s="18"/>
      <c r="N926" s="18"/>
      <c r="O926" s="18"/>
      <c r="P926" s="23"/>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c r="BO926" s="26"/>
      <c r="BP926" s="26"/>
      <c r="BQ926" s="26"/>
      <c r="BR926" s="26"/>
      <c r="BS926" s="26"/>
      <c r="BT926" s="26"/>
      <c r="BU926" s="26"/>
      <c r="BV926" s="26"/>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26"/>
      <c r="CU926" s="26"/>
      <c r="CV926" s="26"/>
      <c r="CW926" s="26"/>
      <c r="CX926" s="26"/>
      <c r="CY926" s="26"/>
      <c r="CZ926" s="26"/>
      <c r="DA926" s="26"/>
      <c r="DB926" s="26"/>
      <c r="DC926" s="26"/>
      <c r="DD926" s="26"/>
      <c r="DE926" s="26"/>
      <c r="DF926" s="26"/>
      <c r="DG926" s="26"/>
      <c r="DH926" s="26"/>
      <c r="DI926" s="26"/>
      <c r="DJ926" s="26"/>
      <c r="DK926" s="26"/>
      <c r="DL926" s="26"/>
      <c r="DM926" s="26"/>
      <c r="DN926" s="26"/>
      <c r="DO926" s="26"/>
      <c r="DP926" s="26"/>
      <c r="DQ926" s="26"/>
      <c r="DR926" s="26"/>
      <c r="DS926" s="26"/>
      <c r="DT926" s="26"/>
      <c r="DU926" s="26"/>
      <c r="DV926" s="26"/>
      <c r="DW926" s="26"/>
      <c r="DX926" s="26"/>
      <c r="DY926" s="26"/>
      <c r="DZ926" s="26"/>
      <c r="EA926" s="26"/>
      <c r="EB926" s="26"/>
      <c r="EC926" s="26"/>
      <c r="ED926" s="26"/>
      <c r="EE926" s="26"/>
      <c r="EF926" s="26"/>
      <c r="EG926" s="26"/>
      <c r="EH926" s="26"/>
      <c r="EI926" s="26"/>
      <c r="EJ926" s="26"/>
      <c r="EK926" s="26"/>
      <c r="EL926" s="26"/>
      <c r="EM926" s="26"/>
      <c r="EN926" s="26"/>
      <c r="EO926" s="26"/>
      <c r="EP926" s="26"/>
      <c r="EQ926" s="26"/>
      <c r="ER926" s="26"/>
      <c r="ES926" s="26"/>
      <c r="ET926" s="26"/>
      <c r="EU926" s="26"/>
      <c r="EV926" s="26"/>
      <c r="EW926" s="26"/>
      <c r="EX926" s="26"/>
      <c r="EY926" s="26"/>
      <c r="EZ926" s="26"/>
      <c r="FA926" s="60"/>
      <c r="FB926" s="60"/>
      <c r="FC926" s="60"/>
      <c r="FD926" s="60"/>
      <c r="FE926" s="60"/>
      <c r="FF926" s="60"/>
      <c r="FG926" s="60"/>
      <c r="FH926" s="60"/>
      <c r="FI926" s="60"/>
      <c r="FJ926" s="60"/>
      <c r="FK926" s="60"/>
      <c r="FL926" s="60"/>
      <c r="FM926" s="60"/>
      <c r="FN926" s="60"/>
      <c r="FO926" s="60"/>
      <c r="FP926" s="60"/>
      <c r="FQ926" s="60"/>
      <c r="FR926" s="60"/>
      <c r="FS926" s="60"/>
      <c r="FT926" s="60"/>
      <c r="FU926" s="60"/>
      <c r="FV926" s="60"/>
      <c r="FW926" s="60"/>
      <c r="FX926" s="60"/>
    </row>
    <row r="927">
      <c r="A927" s="18"/>
      <c r="B927" s="14"/>
      <c r="C927" s="14"/>
      <c r="D927" s="14"/>
      <c r="E927" s="18"/>
      <c r="F927" s="18"/>
      <c r="G927" s="18"/>
      <c r="H927" s="18"/>
      <c r="I927" s="18"/>
      <c r="J927" s="18"/>
      <c r="K927" s="18"/>
      <c r="L927" s="18"/>
      <c r="M927" s="18"/>
      <c r="N927" s="18"/>
      <c r="O927" s="18"/>
      <c r="P927" s="23"/>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c r="BM927" s="26"/>
      <c r="BN927" s="26"/>
      <c r="BO927" s="26"/>
      <c r="BP927" s="26"/>
      <c r="BQ927" s="26"/>
      <c r="BR927" s="26"/>
      <c r="BS927" s="26"/>
      <c r="BT927" s="26"/>
      <c r="BU927" s="26"/>
      <c r="BV927" s="26"/>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26"/>
      <c r="CU927" s="26"/>
      <c r="CV927" s="26"/>
      <c r="CW927" s="26"/>
      <c r="CX927" s="26"/>
      <c r="CY927" s="26"/>
      <c r="CZ927" s="26"/>
      <c r="DA927" s="26"/>
      <c r="DB927" s="26"/>
      <c r="DC927" s="26"/>
      <c r="DD927" s="26"/>
      <c r="DE927" s="26"/>
      <c r="DF927" s="26"/>
      <c r="DG927" s="26"/>
      <c r="DH927" s="26"/>
      <c r="DI927" s="26"/>
      <c r="DJ927" s="26"/>
      <c r="DK927" s="26"/>
      <c r="DL927" s="26"/>
      <c r="DM927" s="26"/>
      <c r="DN927" s="26"/>
      <c r="DO927" s="26"/>
      <c r="DP927" s="26"/>
      <c r="DQ927" s="26"/>
      <c r="DR927" s="26"/>
      <c r="DS927" s="26"/>
      <c r="DT927" s="26"/>
      <c r="DU927" s="26"/>
      <c r="DV927" s="26"/>
      <c r="DW927" s="26"/>
      <c r="DX927" s="26"/>
      <c r="DY927" s="26"/>
      <c r="DZ927" s="26"/>
      <c r="EA927" s="26"/>
      <c r="EB927" s="26"/>
      <c r="EC927" s="26"/>
      <c r="ED927" s="26"/>
      <c r="EE927" s="26"/>
      <c r="EF927" s="26"/>
      <c r="EG927" s="26"/>
      <c r="EH927" s="26"/>
      <c r="EI927" s="26"/>
      <c r="EJ927" s="26"/>
      <c r="EK927" s="26"/>
      <c r="EL927" s="26"/>
      <c r="EM927" s="26"/>
      <c r="EN927" s="26"/>
      <c r="EO927" s="26"/>
      <c r="EP927" s="26"/>
      <c r="EQ927" s="26"/>
      <c r="ER927" s="26"/>
      <c r="ES927" s="26"/>
      <c r="ET927" s="26"/>
      <c r="EU927" s="26"/>
      <c r="EV927" s="26"/>
      <c r="EW927" s="26"/>
      <c r="EX927" s="26"/>
      <c r="EY927" s="26"/>
      <c r="EZ927" s="26"/>
      <c r="FA927" s="60"/>
      <c r="FB927" s="60"/>
      <c r="FC927" s="60"/>
      <c r="FD927" s="60"/>
      <c r="FE927" s="60"/>
      <c r="FF927" s="60"/>
      <c r="FG927" s="60"/>
      <c r="FH927" s="60"/>
      <c r="FI927" s="60"/>
      <c r="FJ927" s="60"/>
      <c r="FK927" s="60"/>
      <c r="FL927" s="60"/>
      <c r="FM927" s="60"/>
      <c r="FN927" s="60"/>
      <c r="FO927" s="60"/>
      <c r="FP927" s="60"/>
      <c r="FQ927" s="60"/>
      <c r="FR927" s="60"/>
      <c r="FS927" s="60"/>
      <c r="FT927" s="60"/>
      <c r="FU927" s="60"/>
      <c r="FV927" s="60"/>
      <c r="FW927" s="60"/>
      <c r="FX927" s="60"/>
    </row>
    <row r="928">
      <c r="A928" s="18"/>
      <c r="B928" s="14"/>
      <c r="C928" s="14"/>
      <c r="D928" s="14"/>
      <c r="E928" s="18"/>
      <c r="F928" s="18"/>
      <c r="G928" s="18"/>
      <c r="H928" s="18"/>
      <c r="I928" s="18"/>
      <c r="J928" s="18"/>
      <c r="K928" s="18"/>
      <c r="L928" s="18"/>
      <c r="M928" s="18"/>
      <c r="N928" s="18"/>
      <c r="O928" s="18"/>
      <c r="P928" s="23"/>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26"/>
      <c r="CU928" s="26"/>
      <c r="CV928" s="26"/>
      <c r="CW928" s="26"/>
      <c r="CX928" s="26"/>
      <c r="CY928" s="26"/>
      <c r="CZ928" s="26"/>
      <c r="DA928" s="26"/>
      <c r="DB928" s="26"/>
      <c r="DC928" s="26"/>
      <c r="DD928" s="26"/>
      <c r="DE928" s="26"/>
      <c r="DF928" s="26"/>
      <c r="DG928" s="26"/>
      <c r="DH928" s="26"/>
      <c r="DI928" s="26"/>
      <c r="DJ928" s="26"/>
      <c r="DK928" s="26"/>
      <c r="DL928" s="26"/>
      <c r="DM928" s="26"/>
      <c r="DN928" s="26"/>
      <c r="DO928" s="26"/>
      <c r="DP928" s="26"/>
      <c r="DQ928" s="26"/>
      <c r="DR928" s="26"/>
      <c r="DS928" s="26"/>
      <c r="DT928" s="26"/>
      <c r="DU928" s="26"/>
      <c r="DV928" s="26"/>
      <c r="DW928" s="26"/>
      <c r="DX928" s="26"/>
      <c r="DY928" s="26"/>
      <c r="DZ928" s="26"/>
      <c r="EA928" s="26"/>
      <c r="EB928" s="26"/>
      <c r="EC928" s="26"/>
      <c r="ED928" s="26"/>
      <c r="EE928" s="26"/>
      <c r="EF928" s="26"/>
      <c r="EG928" s="26"/>
      <c r="EH928" s="26"/>
      <c r="EI928" s="26"/>
      <c r="EJ928" s="26"/>
      <c r="EK928" s="26"/>
      <c r="EL928" s="26"/>
      <c r="EM928" s="26"/>
      <c r="EN928" s="26"/>
      <c r="EO928" s="26"/>
      <c r="EP928" s="26"/>
      <c r="EQ928" s="26"/>
      <c r="ER928" s="26"/>
      <c r="ES928" s="26"/>
      <c r="ET928" s="26"/>
      <c r="EU928" s="26"/>
      <c r="EV928" s="26"/>
      <c r="EW928" s="26"/>
      <c r="EX928" s="26"/>
      <c r="EY928" s="26"/>
      <c r="EZ928" s="26"/>
      <c r="FA928" s="60"/>
      <c r="FB928" s="60"/>
      <c r="FC928" s="60"/>
      <c r="FD928" s="60"/>
      <c r="FE928" s="60"/>
      <c r="FF928" s="60"/>
      <c r="FG928" s="60"/>
      <c r="FH928" s="60"/>
      <c r="FI928" s="60"/>
      <c r="FJ928" s="60"/>
      <c r="FK928" s="60"/>
      <c r="FL928" s="60"/>
      <c r="FM928" s="60"/>
      <c r="FN928" s="60"/>
      <c r="FO928" s="60"/>
      <c r="FP928" s="60"/>
      <c r="FQ928" s="60"/>
      <c r="FR928" s="60"/>
      <c r="FS928" s="60"/>
      <c r="FT928" s="60"/>
      <c r="FU928" s="60"/>
      <c r="FV928" s="60"/>
      <c r="FW928" s="60"/>
      <c r="FX928" s="60"/>
    </row>
    <row r="929">
      <c r="A929" s="18"/>
      <c r="B929" s="14"/>
      <c r="C929" s="14"/>
      <c r="D929" s="14"/>
      <c r="E929" s="18"/>
      <c r="F929" s="18"/>
      <c r="G929" s="18"/>
      <c r="H929" s="18"/>
      <c r="I929" s="18"/>
      <c r="J929" s="18"/>
      <c r="K929" s="18"/>
      <c r="L929" s="18"/>
      <c r="M929" s="18"/>
      <c r="N929" s="18"/>
      <c r="O929" s="18"/>
      <c r="P929" s="23"/>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c r="BM929" s="26"/>
      <c r="BN929" s="26"/>
      <c r="BO929" s="26"/>
      <c r="BP929" s="26"/>
      <c r="BQ929" s="26"/>
      <c r="BR929" s="26"/>
      <c r="BS929" s="26"/>
      <c r="BT929" s="26"/>
      <c r="BU929" s="26"/>
      <c r="BV929" s="26"/>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26"/>
      <c r="CU929" s="26"/>
      <c r="CV929" s="26"/>
      <c r="CW929" s="26"/>
      <c r="CX929" s="26"/>
      <c r="CY929" s="26"/>
      <c r="CZ929" s="26"/>
      <c r="DA929" s="26"/>
      <c r="DB929" s="26"/>
      <c r="DC929" s="26"/>
      <c r="DD929" s="26"/>
      <c r="DE929" s="26"/>
      <c r="DF929" s="26"/>
      <c r="DG929" s="26"/>
      <c r="DH929" s="26"/>
      <c r="DI929" s="26"/>
      <c r="DJ929" s="26"/>
      <c r="DK929" s="26"/>
      <c r="DL929" s="26"/>
      <c r="DM929" s="26"/>
      <c r="DN929" s="26"/>
      <c r="DO929" s="26"/>
      <c r="DP929" s="26"/>
      <c r="DQ929" s="26"/>
      <c r="DR929" s="26"/>
      <c r="DS929" s="26"/>
      <c r="DT929" s="26"/>
      <c r="DU929" s="26"/>
      <c r="DV929" s="26"/>
      <c r="DW929" s="26"/>
      <c r="DX929" s="26"/>
      <c r="DY929" s="26"/>
      <c r="DZ929" s="26"/>
      <c r="EA929" s="26"/>
      <c r="EB929" s="26"/>
      <c r="EC929" s="26"/>
      <c r="ED929" s="26"/>
      <c r="EE929" s="26"/>
      <c r="EF929" s="26"/>
      <c r="EG929" s="26"/>
      <c r="EH929" s="26"/>
      <c r="EI929" s="26"/>
      <c r="EJ929" s="26"/>
      <c r="EK929" s="26"/>
      <c r="EL929" s="26"/>
      <c r="EM929" s="26"/>
      <c r="EN929" s="26"/>
      <c r="EO929" s="26"/>
      <c r="EP929" s="26"/>
      <c r="EQ929" s="26"/>
      <c r="ER929" s="26"/>
      <c r="ES929" s="26"/>
      <c r="ET929" s="26"/>
      <c r="EU929" s="26"/>
      <c r="EV929" s="26"/>
      <c r="EW929" s="26"/>
      <c r="EX929" s="26"/>
      <c r="EY929" s="26"/>
      <c r="EZ929" s="26"/>
      <c r="FA929" s="60"/>
      <c r="FB929" s="60"/>
      <c r="FC929" s="60"/>
      <c r="FD929" s="60"/>
      <c r="FE929" s="60"/>
      <c r="FF929" s="60"/>
      <c r="FG929" s="60"/>
      <c r="FH929" s="60"/>
      <c r="FI929" s="60"/>
      <c r="FJ929" s="60"/>
      <c r="FK929" s="60"/>
      <c r="FL929" s="60"/>
      <c r="FM929" s="60"/>
      <c r="FN929" s="60"/>
      <c r="FO929" s="60"/>
      <c r="FP929" s="60"/>
      <c r="FQ929" s="60"/>
      <c r="FR929" s="60"/>
      <c r="FS929" s="60"/>
      <c r="FT929" s="60"/>
      <c r="FU929" s="60"/>
      <c r="FV929" s="60"/>
      <c r="FW929" s="60"/>
      <c r="FX929" s="60"/>
    </row>
    <row r="930">
      <c r="A930" s="18"/>
      <c r="B930" s="14"/>
      <c r="C930" s="14"/>
      <c r="D930" s="14"/>
      <c r="E930" s="18"/>
      <c r="F930" s="18"/>
      <c r="G930" s="18"/>
      <c r="H930" s="18"/>
      <c r="I930" s="18"/>
      <c r="J930" s="18"/>
      <c r="K930" s="18"/>
      <c r="L930" s="18"/>
      <c r="M930" s="18"/>
      <c r="N930" s="18"/>
      <c r="O930" s="18"/>
      <c r="P930" s="23"/>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26"/>
      <c r="CU930" s="26"/>
      <c r="CV930" s="26"/>
      <c r="CW930" s="26"/>
      <c r="CX930" s="26"/>
      <c r="CY930" s="26"/>
      <c r="CZ930" s="26"/>
      <c r="DA930" s="26"/>
      <c r="DB930" s="26"/>
      <c r="DC930" s="26"/>
      <c r="DD930" s="26"/>
      <c r="DE930" s="26"/>
      <c r="DF930" s="26"/>
      <c r="DG930" s="26"/>
      <c r="DH930" s="26"/>
      <c r="DI930" s="26"/>
      <c r="DJ930" s="26"/>
      <c r="DK930" s="26"/>
      <c r="DL930" s="26"/>
      <c r="DM930" s="26"/>
      <c r="DN930" s="26"/>
      <c r="DO930" s="26"/>
      <c r="DP930" s="26"/>
      <c r="DQ930" s="26"/>
      <c r="DR930" s="26"/>
      <c r="DS930" s="26"/>
      <c r="DT930" s="26"/>
      <c r="DU930" s="26"/>
      <c r="DV930" s="26"/>
      <c r="DW930" s="26"/>
      <c r="DX930" s="26"/>
      <c r="DY930" s="26"/>
      <c r="DZ930" s="26"/>
      <c r="EA930" s="26"/>
      <c r="EB930" s="26"/>
      <c r="EC930" s="26"/>
      <c r="ED930" s="26"/>
      <c r="EE930" s="26"/>
      <c r="EF930" s="26"/>
      <c r="EG930" s="26"/>
      <c r="EH930" s="26"/>
      <c r="EI930" s="26"/>
      <c r="EJ930" s="26"/>
      <c r="EK930" s="26"/>
      <c r="EL930" s="26"/>
      <c r="EM930" s="26"/>
      <c r="EN930" s="26"/>
      <c r="EO930" s="26"/>
      <c r="EP930" s="26"/>
      <c r="EQ930" s="26"/>
      <c r="ER930" s="26"/>
      <c r="ES930" s="26"/>
      <c r="ET930" s="26"/>
      <c r="EU930" s="26"/>
      <c r="EV930" s="26"/>
      <c r="EW930" s="26"/>
      <c r="EX930" s="26"/>
      <c r="EY930" s="26"/>
      <c r="EZ930" s="26"/>
      <c r="FA930" s="60"/>
      <c r="FB930" s="60"/>
      <c r="FC930" s="60"/>
      <c r="FD930" s="60"/>
      <c r="FE930" s="60"/>
      <c r="FF930" s="60"/>
      <c r="FG930" s="60"/>
      <c r="FH930" s="60"/>
      <c r="FI930" s="60"/>
      <c r="FJ930" s="60"/>
      <c r="FK930" s="60"/>
      <c r="FL930" s="60"/>
      <c r="FM930" s="60"/>
      <c r="FN930" s="60"/>
      <c r="FO930" s="60"/>
      <c r="FP930" s="60"/>
      <c r="FQ930" s="60"/>
      <c r="FR930" s="60"/>
      <c r="FS930" s="60"/>
      <c r="FT930" s="60"/>
      <c r="FU930" s="60"/>
      <c r="FV930" s="60"/>
      <c r="FW930" s="60"/>
      <c r="FX930" s="60"/>
    </row>
    <row r="931">
      <c r="A931" s="18"/>
      <c r="B931" s="14"/>
      <c r="C931" s="14"/>
      <c r="D931" s="14"/>
      <c r="E931" s="18"/>
      <c r="F931" s="18"/>
      <c r="G931" s="18"/>
      <c r="H931" s="18"/>
      <c r="I931" s="18"/>
      <c r="J931" s="18"/>
      <c r="K931" s="18"/>
      <c r="L931" s="18"/>
      <c r="M931" s="18"/>
      <c r="N931" s="18"/>
      <c r="O931" s="18"/>
      <c r="P931" s="23"/>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c r="BM931" s="26"/>
      <c r="BN931" s="26"/>
      <c r="BO931" s="26"/>
      <c r="BP931" s="26"/>
      <c r="BQ931" s="26"/>
      <c r="BR931" s="26"/>
      <c r="BS931" s="26"/>
      <c r="BT931" s="26"/>
      <c r="BU931" s="26"/>
      <c r="BV931" s="26"/>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26"/>
      <c r="CU931" s="26"/>
      <c r="CV931" s="26"/>
      <c r="CW931" s="26"/>
      <c r="CX931" s="26"/>
      <c r="CY931" s="26"/>
      <c r="CZ931" s="26"/>
      <c r="DA931" s="26"/>
      <c r="DB931" s="26"/>
      <c r="DC931" s="26"/>
      <c r="DD931" s="26"/>
      <c r="DE931" s="26"/>
      <c r="DF931" s="26"/>
      <c r="DG931" s="26"/>
      <c r="DH931" s="26"/>
      <c r="DI931" s="26"/>
      <c r="DJ931" s="26"/>
      <c r="DK931" s="26"/>
      <c r="DL931" s="26"/>
      <c r="DM931" s="26"/>
      <c r="DN931" s="26"/>
      <c r="DO931" s="26"/>
      <c r="DP931" s="26"/>
      <c r="DQ931" s="26"/>
      <c r="DR931" s="26"/>
      <c r="DS931" s="26"/>
      <c r="DT931" s="26"/>
      <c r="DU931" s="26"/>
      <c r="DV931" s="26"/>
      <c r="DW931" s="26"/>
      <c r="DX931" s="26"/>
      <c r="DY931" s="26"/>
      <c r="DZ931" s="26"/>
      <c r="EA931" s="26"/>
      <c r="EB931" s="26"/>
      <c r="EC931" s="26"/>
      <c r="ED931" s="26"/>
      <c r="EE931" s="26"/>
      <c r="EF931" s="26"/>
      <c r="EG931" s="26"/>
      <c r="EH931" s="26"/>
      <c r="EI931" s="26"/>
      <c r="EJ931" s="26"/>
      <c r="EK931" s="26"/>
      <c r="EL931" s="26"/>
      <c r="EM931" s="26"/>
      <c r="EN931" s="26"/>
      <c r="EO931" s="26"/>
      <c r="EP931" s="26"/>
      <c r="EQ931" s="26"/>
      <c r="ER931" s="26"/>
      <c r="ES931" s="26"/>
      <c r="ET931" s="26"/>
      <c r="EU931" s="26"/>
      <c r="EV931" s="26"/>
      <c r="EW931" s="26"/>
      <c r="EX931" s="26"/>
      <c r="EY931" s="26"/>
      <c r="EZ931" s="26"/>
      <c r="FA931" s="60"/>
      <c r="FB931" s="60"/>
      <c r="FC931" s="60"/>
      <c r="FD931" s="60"/>
      <c r="FE931" s="60"/>
      <c r="FF931" s="60"/>
      <c r="FG931" s="60"/>
      <c r="FH931" s="60"/>
      <c r="FI931" s="60"/>
      <c r="FJ931" s="60"/>
      <c r="FK931" s="60"/>
      <c r="FL931" s="60"/>
      <c r="FM931" s="60"/>
      <c r="FN931" s="60"/>
      <c r="FO931" s="60"/>
      <c r="FP931" s="60"/>
      <c r="FQ931" s="60"/>
      <c r="FR931" s="60"/>
      <c r="FS931" s="60"/>
      <c r="FT931" s="60"/>
      <c r="FU931" s="60"/>
      <c r="FV931" s="60"/>
      <c r="FW931" s="60"/>
      <c r="FX931" s="60"/>
    </row>
    <row r="932">
      <c r="A932" s="18"/>
      <c r="B932" s="14"/>
      <c r="C932" s="14"/>
      <c r="D932" s="14"/>
      <c r="E932" s="18"/>
      <c r="F932" s="18"/>
      <c r="G932" s="18"/>
      <c r="H932" s="18"/>
      <c r="I932" s="18"/>
      <c r="J932" s="18"/>
      <c r="K932" s="18"/>
      <c r="L932" s="18"/>
      <c r="M932" s="18"/>
      <c r="N932" s="18"/>
      <c r="O932" s="18"/>
      <c r="P932" s="23"/>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26"/>
      <c r="CU932" s="26"/>
      <c r="CV932" s="26"/>
      <c r="CW932" s="26"/>
      <c r="CX932" s="26"/>
      <c r="CY932" s="26"/>
      <c r="CZ932" s="26"/>
      <c r="DA932" s="26"/>
      <c r="DB932" s="26"/>
      <c r="DC932" s="26"/>
      <c r="DD932" s="26"/>
      <c r="DE932" s="26"/>
      <c r="DF932" s="26"/>
      <c r="DG932" s="26"/>
      <c r="DH932" s="26"/>
      <c r="DI932" s="26"/>
      <c r="DJ932" s="26"/>
      <c r="DK932" s="26"/>
      <c r="DL932" s="26"/>
      <c r="DM932" s="26"/>
      <c r="DN932" s="26"/>
      <c r="DO932" s="26"/>
      <c r="DP932" s="26"/>
      <c r="DQ932" s="26"/>
      <c r="DR932" s="26"/>
      <c r="DS932" s="26"/>
      <c r="DT932" s="26"/>
      <c r="DU932" s="26"/>
      <c r="DV932" s="26"/>
      <c r="DW932" s="26"/>
      <c r="DX932" s="26"/>
      <c r="DY932" s="26"/>
      <c r="DZ932" s="26"/>
      <c r="EA932" s="26"/>
      <c r="EB932" s="26"/>
      <c r="EC932" s="26"/>
      <c r="ED932" s="26"/>
      <c r="EE932" s="26"/>
      <c r="EF932" s="26"/>
      <c r="EG932" s="26"/>
      <c r="EH932" s="26"/>
      <c r="EI932" s="26"/>
      <c r="EJ932" s="26"/>
      <c r="EK932" s="26"/>
      <c r="EL932" s="26"/>
      <c r="EM932" s="26"/>
      <c r="EN932" s="26"/>
      <c r="EO932" s="26"/>
      <c r="EP932" s="26"/>
      <c r="EQ932" s="26"/>
      <c r="ER932" s="26"/>
      <c r="ES932" s="26"/>
      <c r="ET932" s="26"/>
      <c r="EU932" s="26"/>
      <c r="EV932" s="26"/>
      <c r="EW932" s="26"/>
      <c r="EX932" s="26"/>
      <c r="EY932" s="26"/>
      <c r="EZ932" s="26"/>
      <c r="FA932" s="60"/>
      <c r="FB932" s="60"/>
      <c r="FC932" s="60"/>
      <c r="FD932" s="60"/>
      <c r="FE932" s="60"/>
      <c r="FF932" s="60"/>
      <c r="FG932" s="60"/>
      <c r="FH932" s="60"/>
      <c r="FI932" s="60"/>
      <c r="FJ932" s="60"/>
      <c r="FK932" s="60"/>
      <c r="FL932" s="60"/>
      <c r="FM932" s="60"/>
      <c r="FN932" s="60"/>
      <c r="FO932" s="60"/>
      <c r="FP932" s="60"/>
      <c r="FQ932" s="60"/>
      <c r="FR932" s="60"/>
      <c r="FS932" s="60"/>
      <c r="FT932" s="60"/>
      <c r="FU932" s="60"/>
      <c r="FV932" s="60"/>
      <c r="FW932" s="60"/>
      <c r="FX932" s="60"/>
    </row>
    <row r="933">
      <c r="A933" s="18"/>
      <c r="B933" s="14"/>
      <c r="C933" s="14"/>
      <c r="D933" s="14"/>
      <c r="E933" s="18"/>
      <c r="F933" s="18"/>
      <c r="G933" s="18"/>
      <c r="H933" s="18"/>
      <c r="I933" s="18"/>
      <c r="J933" s="18"/>
      <c r="K933" s="18"/>
      <c r="L933" s="18"/>
      <c r="M933" s="18"/>
      <c r="N933" s="18"/>
      <c r="O933" s="18"/>
      <c r="P933" s="23"/>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c r="BM933" s="26"/>
      <c r="BN933" s="26"/>
      <c r="BO933" s="26"/>
      <c r="BP933" s="26"/>
      <c r="BQ933" s="26"/>
      <c r="BR933" s="26"/>
      <c r="BS933" s="26"/>
      <c r="BT933" s="26"/>
      <c r="BU933" s="26"/>
      <c r="BV933" s="26"/>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26"/>
      <c r="CU933" s="26"/>
      <c r="CV933" s="26"/>
      <c r="CW933" s="26"/>
      <c r="CX933" s="26"/>
      <c r="CY933" s="26"/>
      <c r="CZ933" s="26"/>
      <c r="DA933" s="26"/>
      <c r="DB933" s="26"/>
      <c r="DC933" s="26"/>
      <c r="DD933" s="26"/>
      <c r="DE933" s="26"/>
      <c r="DF933" s="26"/>
      <c r="DG933" s="26"/>
      <c r="DH933" s="26"/>
      <c r="DI933" s="26"/>
      <c r="DJ933" s="26"/>
      <c r="DK933" s="26"/>
      <c r="DL933" s="26"/>
      <c r="DM933" s="26"/>
      <c r="DN933" s="26"/>
      <c r="DO933" s="26"/>
      <c r="DP933" s="26"/>
      <c r="DQ933" s="26"/>
      <c r="DR933" s="26"/>
      <c r="DS933" s="26"/>
      <c r="DT933" s="26"/>
      <c r="DU933" s="26"/>
      <c r="DV933" s="26"/>
      <c r="DW933" s="26"/>
      <c r="DX933" s="26"/>
      <c r="DY933" s="26"/>
      <c r="DZ933" s="26"/>
      <c r="EA933" s="26"/>
      <c r="EB933" s="26"/>
      <c r="EC933" s="26"/>
      <c r="ED933" s="26"/>
      <c r="EE933" s="26"/>
      <c r="EF933" s="26"/>
      <c r="EG933" s="26"/>
      <c r="EH933" s="26"/>
      <c r="EI933" s="26"/>
      <c r="EJ933" s="26"/>
      <c r="EK933" s="26"/>
      <c r="EL933" s="26"/>
      <c r="EM933" s="26"/>
      <c r="EN933" s="26"/>
      <c r="EO933" s="26"/>
      <c r="EP933" s="26"/>
      <c r="EQ933" s="26"/>
      <c r="ER933" s="26"/>
      <c r="ES933" s="26"/>
      <c r="ET933" s="26"/>
      <c r="EU933" s="26"/>
      <c r="EV933" s="26"/>
      <c r="EW933" s="26"/>
      <c r="EX933" s="26"/>
      <c r="EY933" s="26"/>
      <c r="EZ933" s="26"/>
      <c r="FA933" s="60"/>
      <c r="FB933" s="60"/>
      <c r="FC933" s="60"/>
      <c r="FD933" s="60"/>
      <c r="FE933" s="60"/>
      <c r="FF933" s="60"/>
      <c r="FG933" s="60"/>
      <c r="FH933" s="60"/>
      <c r="FI933" s="60"/>
      <c r="FJ933" s="60"/>
      <c r="FK933" s="60"/>
      <c r="FL933" s="60"/>
      <c r="FM933" s="60"/>
      <c r="FN933" s="60"/>
      <c r="FO933" s="60"/>
      <c r="FP933" s="60"/>
      <c r="FQ933" s="60"/>
      <c r="FR933" s="60"/>
      <c r="FS933" s="60"/>
      <c r="FT933" s="60"/>
      <c r="FU933" s="60"/>
      <c r="FV933" s="60"/>
      <c r="FW933" s="60"/>
      <c r="FX933" s="60"/>
    </row>
    <row r="934">
      <c r="A934" s="18"/>
      <c r="B934" s="14"/>
      <c r="C934" s="14"/>
      <c r="D934" s="14"/>
      <c r="E934" s="18"/>
      <c r="F934" s="18"/>
      <c r="G934" s="18"/>
      <c r="H934" s="18"/>
      <c r="I934" s="18"/>
      <c r="J934" s="18"/>
      <c r="K934" s="18"/>
      <c r="L934" s="18"/>
      <c r="M934" s="18"/>
      <c r="N934" s="18"/>
      <c r="O934" s="18"/>
      <c r="P934" s="23"/>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c r="BO934" s="26"/>
      <c r="BP934" s="26"/>
      <c r="BQ934" s="26"/>
      <c r="BR934" s="26"/>
      <c r="BS934" s="26"/>
      <c r="BT934" s="26"/>
      <c r="BU934" s="26"/>
      <c r="BV934" s="26"/>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26"/>
      <c r="CU934" s="26"/>
      <c r="CV934" s="26"/>
      <c r="CW934" s="26"/>
      <c r="CX934" s="26"/>
      <c r="CY934" s="26"/>
      <c r="CZ934" s="26"/>
      <c r="DA934" s="26"/>
      <c r="DB934" s="26"/>
      <c r="DC934" s="26"/>
      <c r="DD934" s="26"/>
      <c r="DE934" s="26"/>
      <c r="DF934" s="26"/>
      <c r="DG934" s="26"/>
      <c r="DH934" s="26"/>
      <c r="DI934" s="26"/>
      <c r="DJ934" s="26"/>
      <c r="DK934" s="26"/>
      <c r="DL934" s="26"/>
      <c r="DM934" s="26"/>
      <c r="DN934" s="26"/>
      <c r="DO934" s="26"/>
      <c r="DP934" s="26"/>
      <c r="DQ934" s="26"/>
      <c r="DR934" s="26"/>
      <c r="DS934" s="26"/>
      <c r="DT934" s="26"/>
      <c r="DU934" s="26"/>
      <c r="DV934" s="26"/>
      <c r="DW934" s="26"/>
      <c r="DX934" s="26"/>
      <c r="DY934" s="26"/>
      <c r="DZ934" s="26"/>
      <c r="EA934" s="26"/>
      <c r="EB934" s="26"/>
      <c r="EC934" s="26"/>
      <c r="ED934" s="26"/>
      <c r="EE934" s="26"/>
      <c r="EF934" s="26"/>
      <c r="EG934" s="26"/>
      <c r="EH934" s="26"/>
      <c r="EI934" s="26"/>
      <c r="EJ934" s="26"/>
      <c r="EK934" s="26"/>
      <c r="EL934" s="26"/>
      <c r="EM934" s="26"/>
      <c r="EN934" s="26"/>
      <c r="EO934" s="26"/>
      <c r="EP934" s="26"/>
      <c r="EQ934" s="26"/>
      <c r="ER934" s="26"/>
      <c r="ES934" s="26"/>
      <c r="ET934" s="26"/>
      <c r="EU934" s="26"/>
      <c r="EV934" s="26"/>
      <c r="EW934" s="26"/>
      <c r="EX934" s="26"/>
      <c r="EY934" s="26"/>
      <c r="EZ934" s="26"/>
      <c r="FA934" s="60"/>
      <c r="FB934" s="60"/>
      <c r="FC934" s="60"/>
      <c r="FD934" s="60"/>
      <c r="FE934" s="60"/>
      <c r="FF934" s="60"/>
      <c r="FG934" s="60"/>
      <c r="FH934" s="60"/>
      <c r="FI934" s="60"/>
      <c r="FJ934" s="60"/>
      <c r="FK934" s="60"/>
      <c r="FL934" s="60"/>
      <c r="FM934" s="60"/>
      <c r="FN934" s="60"/>
      <c r="FO934" s="60"/>
      <c r="FP934" s="60"/>
      <c r="FQ934" s="60"/>
      <c r="FR934" s="60"/>
      <c r="FS934" s="60"/>
      <c r="FT934" s="60"/>
      <c r="FU934" s="60"/>
      <c r="FV934" s="60"/>
      <c r="FW934" s="60"/>
      <c r="FX934" s="60"/>
    </row>
    <row r="935">
      <c r="A935" s="18"/>
      <c r="B935" s="14"/>
      <c r="C935" s="14"/>
      <c r="D935" s="14"/>
      <c r="E935" s="18"/>
      <c r="F935" s="18"/>
      <c r="G935" s="18"/>
      <c r="H935" s="18"/>
      <c r="I935" s="18"/>
      <c r="J935" s="18"/>
      <c r="K935" s="18"/>
      <c r="L935" s="18"/>
      <c r="M935" s="18"/>
      <c r="N935" s="18"/>
      <c r="O935" s="18"/>
      <c r="P935" s="23"/>
      <c r="Q935" s="26"/>
      <c r="R935" s="26"/>
      <c r="S935" s="26"/>
      <c r="T935" s="26"/>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c r="BS935" s="26"/>
      <c r="BT935" s="26"/>
      <c r="BU935" s="26"/>
      <c r="BV935" s="26"/>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26"/>
      <c r="CU935" s="26"/>
      <c r="CV935" s="26"/>
      <c r="CW935" s="26"/>
      <c r="CX935" s="26"/>
      <c r="CY935" s="26"/>
      <c r="CZ935" s="26"/>
      <c r="DA935" s="26"/>
      <c r="DB935" s="26"/>
      <c r="DC935" s="26"/>
      <c r="DD935" s="26"/>
      <c r="DE935" s="26"/>
      <c r="DF935" s="26"/>
      <c r="DG935" s="26"/>
      <c r="DH935" s="26"/>
      <c r="DI935" s="26"/>
      <c r="DJ935" s="26"/>
      <c r="DK935" s="26"/>
      <c r="DL935" s="26"/>
      <c r="DM935" s="26"/>
      <c r="DN935" s="26"/>
      <c r="DO935" s="26"/>
      <c r="DP935" s="26"/>
      <c r="DQ935" s="26"/>
      <c r="DR935" s="26"/>
      <c r="DS935" s="26"/>
      <c r="DT935" s="26"/>
      <c r="DU935" s="26"/>
      <c r="DV935" s="26"/>
      <c r="DW935" s="26"/>
      <c r="DX935" s="26"/>
      <c r="DY935" s="26"/>
      <c r="DZ935" s="26"/>
      <c r="EA935" s="26"/>
      <c r="EB935" s="26"/>
      <c r="EC935" s="26"/>
      <c r="ED935" s="26"/>
      <c r="EE935" s="26"/>
      <c r="EF935" s="26"/>
      <c r="EG935" s="26"/>
      <c r="EH935" s="26"/>
      <c r="EI935" s="26"/>
      <c r="EJ935" s="26"/>
      <c r="EK935" s="26"/>
      <c r="EL935" s="26"/>
      <c r="EM935" s="26"/>
      <c r="EN935" s="26"/>
      <c r="EO935" s="26"/>
      <c r="EP935" s="26"/>
      <c r="EQ935" s="26"/>
      <c r="ER935" s="26"/>
      <c r="ES935" s="26"/>
      <c r="ET935" s="26"/>
      <c r="EU935" s="26"/>
      <c r="EV935" s="26"/>
      <c r="EW935" s="26"/>
      <c r="EX935" s="26"/>
      <c r="EY935" s="26"/>
      <c r="EZ935" s="26"/>
      <c r="FA935" s="60"/>
      <c r="FB935" s="60"/>
      <c r="FC935" s="60"/>
      <c r="FD935" s="60"/>
      <c r="FE935" s="60"/>
      <c r="FF935" s="60"/>
      <c r="FG935" s="60"/>
      <c r="FH935" s="60"/>
      <c r="FI935" s="60"/>
      <c r="FJ935" s="60"/>
      <c r="FK935" s="60"/>
      <c r="FL935" s="60"/>
      <c r="FM935" s="60"/>
      <c r="FN935" s="60"/>
      <c r="FO935" s="60"/>
      <c r="FP935" s="60"/>
      <c r="FQ935" s="60"/>
      <c r="FR935" s="60"/>
      <c r="FS935" s="60"/>
      <c r="FT935" s="60"/>
      <c r="FU935" s="60"/>
      <c r="FV935" s="60"/>
      <c r="FW935" s="60"/>
      <c r="FX935" s="60"/>
    </row>
    <row r="936">
      <c r="A936" s="18"/>
      <c r="B936" s="14"/>
      <c r="C936" s="14"/>
      <c r="D936" s="14"/>
      <c r="E936" s="18"/>
      <c r="F936" s="18"/>
      <c r="G936" s="18"/>
      <c r="H936" s="18"/>
      <c r="I936" s="18"/>
      <c r="J936" s="18"/>
      <c r="K936" s="18"/>
      <c r="L936" s="18"/>
      <c r="M936" s="18"/>
      <c r="N936" s="18"/>
      <c r="O936" s="18"/>
      <c r="P936" s="23"/>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c r="BO936" s="26"/>
      <c r="BP936" s="26"/>
      <c r="BQ936" s="26"/>
      <c r="BR936" s="26"/>
      <c r="BS936" s="26"/>
      <c r="BT936" s="26"/>
      <c r="BU936" s="26"/>
      <c r="BV936" s="26"/>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26"/>
      <c r="CU936" s="26"/>
      <c r="CV936" s="26"/>
      <c r="CW936" s="26"/>
      <c r="CX936" s="26"/>
      <c r="CY936" s="26"/>
      <c r="CZ936" s="26"/>
      <c r="DA936" s="26"/>
      <c r="DB936" s="26"/>
      <c r="DC936" s="26"/>
      <c r="DD936" s="26"/>
      <c r="DE936" s="26"/>
      <c r="DF936" s="26"/>
      <c r="DG936" s="26"/>
      <c r="DH936" s="26"/>
      <c r="DI936" s="26"/>
      <c r="DJ936" s="26"/>
      <c r="DK936" s="26"/>
      <c r="DL936" s="26"/>
      <c r="DM936" s="26"/>
      <c r="DN936" s="26"/>
      <c r="DO936" s="26"/>
      <c r="DP936" s="26"/>
      <c r="DQ936" s="26"/>
      <c r="DR936" s="26"/>
      <c r="DS936" s="26"/>
      <c r="DT936" s="26"/>
      <c r="DU936" s="26"/>
      <c r="DV936" s="26"/>
      <c r="DW936" s="26"/>
      <c r="DX936" s="26"/>
      <c r="DY936" s="26"/>
      <c r="DZ936" s="26"/>
      <c r="EA936" s="26"/>
      <c r="EB936" s="26"/>
      <c r="EC936" s="26"/>
      <c r="ED936" s="26"/>
      <c r="EE936" s="26"/>
      <c r="EF936" s="26"/>
      <c r="EG936" s="26"/>
      <c r="EH936" s="26"/>
      <c r="EI936" s="26"/>
      <c r="EJ936" s="26"/>
      <c r="EK936" s="26"/>
      <c r="EL936" s="26"/>
      <c r="EM936" s="26"/>
      <c r="EN936" s="26"/>
      <c r="EO936" s="26"/>
      <c r="EP936" s="26"/>
      <c r="EQ936" s="26"/>
      <c r="ER936" s="26"/>
      <c r="ES936" s="26"/>
      <c r="ET936" s="26"/>
      <c r="EU936" s="26"/>
      <c r="EV936" s="26"/>
      <c r="EW936" s="26"/>
      <c r="EX936" s="26"/>
      <c r="EY936" s="26"/>
      <c r="EZ936" s="26"/>
      <c r="FA936" s="60"/>
      <c r="FB936" s="60"/>
      <c r="FC936" s="60"/>
      <c r="FD936" s="60"/>
      <c r="FE936" s="60"/>
      <c r="FF936" s="60"/>
      <c r="FG936" s="60"/>
      <c r="FH936" s="60"/>
      <c r="FI936" s="60"/>
      <c r="FJ936" s="60"/>
      <c r="FK936" s="60"/>
      <c r="FL936" s="60"/>
      <c r="FM936" s="60"/>
      <c r="FN936" s="60"/>
      <c r="FO936" s="60"/>
      <c r="FP936" s="60"/>
      <c r="FQ936" s="60"/>
      <c r="FR936" s="60"/>
      <c r="FS936" s="60"/>
      <c r="FT936" s="60"/>
      <c r="FU936" s="60"/>
      <c r="FV936" s="60"/>
      <c r="FW936" s="60"/>
      <c r="FX936" s="60"/>
    </row>
    <row r="937">
      <c r="A937" s="18"/>
      <c r="B937" s="14"/>
      <c r="C937" s="14"/>
      <c r="D937" s="14"/>
      <c r="E937" s="18"/>
      <c r="F937" s="18"/>
      <c r="G937" s="18"/>
      <c r="H937" s="18"/>
      <c r="I937" s="18"/>
      <c r="J937" s="18"/>
      <c r="K937" s="18"/>
      <c r="L937" s="18"/>
      <c r="M937" s="18"/>
      <c r="N937" s="18"/>
      <c r="O937" s="18"/>
      <c r="P937" s="23"/>
      <c r="Q937" s="26"/>
      <c r="R937" s="26"/>
      <c r="S937" s="26"/>
      <c r="T937" s="26"/>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c r="BM937" s="26"/>
      <c r="BN937" s="26"/>
      <c r="BO937" s="26"/>
      <c r="BP937" s="26"/>
      <c r="BQ937" s="26"/>
      <c r="BR937" s="26"/>
      <c r="BS937" s="26"/>
      <c r="BT937" s="26"/>
      <c r="BU937" s="26"/>
      <c r="BV937" s="26"/>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26"/>
      <c r="CU937" s="26"/>
      <c r="CV937" s="26"/>
      <c r="CW937" s="26"/>
      <c r="CX937" s="26"/>
      <c r="CY937" s="26"/>
      <c r="CZ937" s="26"/>
      <c r="DA937" s="26"/>
      <c r="DB937" s="26"/>
      <c r="DC937" s="26"/>
      <c r="DD937" s="26"/>
      <c r="DE937" s="26"/>
      <c r="DF937" s="26"/>
      <c r="DG937" s="26"/>
      <c r="DH937" s="26"/>
      <c r="DI937" s="26"/>
      <c r="DJ937" s="26"/>
      <c r="DK937" s="26"/>
      <c r="DL937" s="26"/>
      <c r="DM937" s="26"/>
      <c r="DN937" s="26"/>
      <c r="DO937" s="26"/>
      <c r="DP937" s="26"/>
      <c r="DQ937" s="26"/>
      <c r="DR937" s="26"/>
      <c r="DS937" s="26"/>
      <c r="DT937" s="26"/>
      <c r="DU937" s="26"/>
      <c r="DV937" s="26"/>
      <c r="DW937" s="26"/>
      <c r="DX937" s="26"/>
      <c r="DY937" s="26"/>
      <c r="DZ937" s="26"/>
      <c r="EA937" s="26"/>
      <c r="EB937" s="26"/>
      <c r="EC937" s="26"/>
      <c r="ED937" s="26"/>
      <c r="EE937" s="26"/>
      <c r="EF937" s="26"/>
      <c r="EG937" s="26"/>
      <c r="EH937" s="26"/>
      <c r="EI937" s="26"/>
      <c r="EJ937" s="26"/>
      <c r="EK937" s="26"/>
      <c r="EL937" s="26"/>
      <c r="EM937" s="26"/>
      <c r="EN937" s="26"/>
      <c r="EO937" s="26"/>
      <c r="EP937" s="26"/>
      <c r="EQ937" s="26"/>
      <c r="ER937" s="26"/>
      <c r="ES937" s="26"/>
      <c r="ET937" s="26"/>
      <c r="EU937" s="26"/>
      <c r="EV937" s="26"/>
      <c r="EW937" s="26"/>
      <c r="EX937" s="26"/>
      <c r="EY937" s="26"/>
      <c r="EZ937" s="26"/>
      <c r="FA937" s="60"/>
      <c r="FB937" s="60"/>
      <c r="FC937" s="60"/>
      <c r="FD937" s="60"/>
      <c r="FE937" s="60"/>
      <c r="FF937" s="60"/>
      <c r="FG937" s="60"/>
      <c r="FH937" s="60"/>
      <c r="FI937" s="60"/>
      <c r="FJ937" s="60"/>
      <c r="FK937" s="60"/>
      <c r="FL937" s="60"/>
      <c r="FM937" s="60"/>
      <c r="FN937" s="60"/>
      <c r="FO937" s="60"/>
      <c r="FP937" s="60"/>
      <c r="FQ937" s="60"/>
      <c r="FR937" s="60"/>
      <c r="FS937" s="60"/>
      <c r="FT937" s="60"/>
      <c r="FU937" s="60"/>
      <c r="FV937" s="60"/>
      <c r="FW937" s="60"/>
      <c r="FX937" s="60"/>
    </row>
    <row r="938">
      <c r="A938" s="18"/>
      <c r="B938" s="14"/>
      <c r="C938" s="14"/>
      <c r="D938" s="14"/>
      <c r="E938" s="18"/>
      <c r="F938" s="18"/>
      <c r="G938" s="18"/>
      <c r="H938" s="18"/>
      <c r="I938" s="18"/>
      <c r="J938" s="18"/>
      <c r="K938" s="18"/>
      <c r="L938" s="18"/>
      <c r="M938" s="18"/>
      <c r="N938" s="18"/>
      <c r="O938" s="18"/>
      <c r="P938" s="23"/>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c r="BO938" s="26"/>
      <c r="BP938" s="26"/>
      <c r="BQ938" s="26"/>
      <c r="BR938" s="26"/>
      <c r="BS938" s="26"/>
      <c r="BT938" s="26"/>
      <c r="BU938" s="26"/>
      <c r="BV938" s="26"/>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26"/>
      <c r="CU938" s="26"/>
      <c r="CV938" s="26"/>
      <c r="CW938" s="26"/>
      <c r="CX938" s="26"/>
      <c r="CY938" s="26"/>
      <c r="CZ938" s="26"/>
      <c r="DA938" s="26"/>
      <c r="DB938" s="26"/>
      <c r="DC938" s="26"/>
      <c r="DD938" s="26"/>
      <c r="DE938" s="26"/>
      <c r="DF938" s="26"/>
      <c r="DG938" s="26"/>
      <c r="DH938" s="26"/>
      <c r="DI938" s="26"/>
      <c r="DJ938" s="26"/>
      <c r="DK938" s="26"/>
      <c r="DL938" s="26"/>
      <c r="DM938" s="26"/>
      <c r="DN938" s="26"/>
      <c r="DO938" s="26"/>
      <c r="DP938" s="26"/>
      <c r="DQ938" s="26"/>
      <c r="DR938" s="26"/>
      <c r="DS938" s="26"/>
      <c r="DT938" s="26"/>
      <c r="DU938" s="26"/>
      <c r="DV938" s="26"/>
      <c r="DW938" s="26"/>
      <c r="DX938" s="26"/>
      <c r="DY938" s="26"/>
      <c r="DZ938" s="26"/>
      <c r="EA938" s="26"/>
      <c r="EB938" s="26"/>
      <c r="EC938" s="26"/>
      <c r="ED938" s="26"/>
      <c r="EE938" s="26"/>
      <c r="EF938" s="26"/>
      <c r="EG938" s="26"/>
      <c r="EH938" s="26"/>
      <c r="EI938" s="26"/>
      <c r="EJ938" s="26"/>
      <c r="EK938" s="26"/>
      <c r="EL938" s="26"/>
      <c r="EM938" s="26"/>
      <c r="EN938" s="26"/>
      <c r="EO938" s="26"/>
      <c r="EP938" s="26"/>
      <c r="EQ938" s="26"/>
      <c r="ER938" s="26"/>
      <c r="ES938" s="26"/>
      <c r="ET938" s="26"/>
      <c r="EU938" s="26"/>
      <c r="EV938" s="26"/>
      <c r="EW938" s="26"/>
      <c r="EX938" s="26"/>
      <c r="EY938" s="26"/>
      <c r="EZ938" s="26"/>
      <c r="FA938" s="60"/>
      <c r="FB938" s="60"/>
      <c r="FC938" s="60"/>
      <c r="FD938" s="60"/>
      <c r="FE938" s="60"/>
      <c r="FF938" s="60"/>
      <c r="FG938" s="60"/>
      <c r="FH938" s="60"/>
      <c r="FI938" s="60"/>
      <c r="FJ938" s="60"/>
      <c r="FK938" s="60"/>
      <c r="FL938" s="60"/>
      <c r="FM938" s="60"/>
      <c r="FN938" s="60"/>
      <c r="FO938" s="60"/>
      <c r="FP938" s="60"/>
      <c r="FQ938" s="60"/>
      <c r="FR938" s="60"/>
      <c r="FS938" s="60"/>
      <c r="FT938" s="60"/>
      <c r="FU938" s="60"/>
      <c r="FV938" s="60"/>
      <c r="FW938" s="60"/>
      <c r="FX938" s="60"/>
    </row>
    <row r="939">
      <c r="A939" s="18"/>
      <c r="B939" s="14"/>
      <c r="C939" s="14"/>
      <c r="D939" s="14"/>
      <c r="E939" s="18"/>
      <c r="F939" s="18"/>
      <c r="G939" s="18"/>
      <c r="H939" s="18"/>
      <c r="I939" s="18"/>
      <c r="J939" s="18"/>
      <c r="K939" s="18"/>
      <c r="L939" s="18"/>
      <c r="M939" s="18"/>
      <c r="N939" s="18"/>
      <c r="O939" s="18"/>
      <c r="P939" s="23"/>
      <c r="Q939" s="26"/>
      <c r="R939" s="26"/>
      <c r="S939" s="26"/>
      <c r="T939" s="26"/>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c r="BM939" s="26"/>
      <c r="BN939" s="26"/>
      <c r="BO939" s="26"/>
      <c r="BP939" s="26"/>
      <c r="BQ939" s="26"/>
      <c r="BR939" s="26"/>
      <c r="BS939" s="26"/>
      <c r="BT939" s="26"/>
      <c r="BU939" s="26"/>
      <c r="BV939" s="26"/>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26"/>
      <c r="CU939" s="26"/>
      <c r="CV939" s="26"/>
      <c r="CW939" s="26"/>
      <c r="CX939" s="26"/>
      <c r="CY939" s="26"/>
      <c r="CZ939" s="26"/>
      <c r="DA939" s="26"/>
      <c r="DB939" s="26"/>
      <c r="DC939" s="26"/>
      <c r="DD939" s="26"/>
      <c r="DE939" s="26"/>
      <c r="DF939" s="26"/>
      <c r="DG939" s="26"/>
      <c r="DH939" s="26"/>
      <c r="DI939" s="26"/>
      <c r="DJ939" s="26"/>
      <c r="DK939" s="26"/>
      <c r="DL939" s="26"/>
      <c r="DM939" s="26"/>
      <c r="DN939" s="26"/>
      <c r="DO939" s="26"/>
      <c r="DP939" s="26"/>
      <c r="DQ939" s="26"/>
      <c r="DR939" s="26"/>
      <c r="DS939" s="26"/>
      <c r="DT939" s="26"/>
      <c r="DU939" s="26"/>
      <c r="DV939" s="26"/>
      <c r="DW939" s="26"/>
      <c r="DX939" s="26"/>
      <c r="DY939" s="26"/>
      <c r="DZ939" s="26"/>
      <c r="EA939" s="26"/>
      <c r="EB939" s="26"/>
      <c r="EC939" s="26"/>
      <c r="ED939" s="26"/>
      <c r="EE939" s="26"/>
      <c r="EF939" s="26"/>
      <c r="EG939" s="26"/>
      <c r="EH939" s="26"/>
      <c r="EI939" s="26"/>
      <c r="EJ939" s="26"/>
      <c r="EK939" s="26"/>
      <c r="EL939" s="26"/>
      <c r="EM939" s="26"/>
      <c r="EN939" s="26"/>
      <c r="EO939" s="26"/>
      <c r="EP939" s="26"/>
      <c r="EQ939" s="26"/>
      <c r="ER939" s="26"/>
      <c r="ES939" s="26"/>
      <c r="ET939" s="26"/>
      <c r="EU939" s="26"/>
      <c r="EV939" s="26"/>
      <c r="EW939" s="26"/>
      <c r="EX939" s="26"/>
      <c r="EY939" s="26"/>
      <c r="EZ939" s="26"/>
      <c r="FA939" s="60"/>
      <c r="FB939" s="60"/>
      <c r="FC939" s="60"/>
      <c r="FD939" s="60"/>
      <c r="FE939" s="60"/>
      <c r="FF939" s="60"/>
      <c r="FG939" s="60"/>
      <c r="FH939" s="60"/>
      <c r="FI939" s="60"/>
      <c r="FJ939" s="60"/>
      <c r="FK939" s="60"/>
      <c r="FL939" s="60"/>
      <c r="FM939" s="60"/>
      <c r="FN939" s="60"/>
      <c r="FO939" s="60"/>
      <c r="FP939" s="60"/>
      <c r="FQ939" s="60"/>
      <c r="FR939" s="60"/>
      <c r="FS939" s="60"/>
      <c r="FT939" s="60"/>
      <c r="FU939" s="60"/>
      <c r="FV939" s="60"/>
      <c r="FW939" s="60"/>
      <c r="FX939" s="60"/>
    </row>
    <row r="940">
      <c r="A940" s="18"/>
      <c r="B940" s="14"/>
      <c r="C940" s="14"/>
      <c r="D940" s="14"/>
      <c r="E940" s="18"/>
      <c r="F940" s="18"/>
      <c r="G940" s="18"/>
      <c r="H940" s="18"/>
      <c r="I940" s="18"/>
      <c r="J940" s="18"/>
      <c r="K940" s="18"/>
      <c r="L940" s="18"/>
      <c r="M940" s="18"/>
      <c r="N940" s="18"/>
      <c r="O940" s="18"/>
      <c r="P940" s="23"/>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26"/>
      <c r="BS940" s="26"/>
      <c r="BT940" s="26"/>
      <c r="BU940" s="26"/>
      <c r="BV940" s="26"/>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26"/>
      <c r="CU940" s="26"/>
      <c r="CV940" s="26"/>
      <c r="CW940" s="26"/>
      <c r="CX940" s="26"/>
      <c r="CY940" s="26"/>
      <c r="CZ940" s="26"/>
      <c r="DA940" s="26"/>
      <c r="DB940" s="26"/>
      <c r="DC940" s="26"/>
      <c r="DD940" s="26"/>
      <c r="DE940" s="26"/>
      <c r="DF940" s="26"/>
      <c r="DG940" s="26"/>
      <c r="DH940" s="26"/>
      <c r="DI940" s="26"/>
      <c r="DJ940" s="26"/>
      <c r="DK940" s="26"/>
      <c r="DL940" s="26"/>
      <c r="DM940" s="26"/>
      <c r="DN940" s="26"/>
      <c r="DO940" s="26"/>
      <c r="DP940" s="26"/>
      <c r="DQ940" s="26"/>
      <c r="DR940" s="26"/>
      <c r="DS940" s="26"/>
      <c r="DT940" s="26"/>
      <c r="DU940" s="26"/>
      <c r="DV940" s="26"/>
      <c r="DW940" s="26"/>
      <c r="DX940" s="26"/>
      <c r="DY940" s="26"/>
      <c r="DZ940" s="26"/>
      <c r="EA940" s="26"/>
      <c r="EB940" s="26"/>
      <c r="EC940" s="26"/>
      <c r="ED940" s="26"/>
      <c r="EE940" s="26"/>
      <c r="EF940" s="26"/>
      <c r="EG940" s="26"/>
      <c r="EH940" s="26"/>
      <c r="EI940" s="26"/>
      <c r="EJ940" s="26"/>
      <c r="EK940" s="26"/>
      <c r="EL940" s="26"/>
      <c r="EM940" s="26"/>
      <c r="EN940" s="26"/>
      <c r="EO940" s="26"/>
      <c r="EP940" s="26"/>
      <c r="EQ940" s="26"/>
      <c r="ER940" s="26"/>
      <c r="ES940" s="26"/>
      <c r="ET940" s="26"/>
      <c r="EU940" s="26"/>
      <c r="EV940" s="26"/>
      <c r="EW940" s="26"/>
      <c r="EX940" s="26"/>
      <c r="EY940" s="26"/>
      <c r="EZ940" s="26"/>
      <c r="FA940" s="60"/>
      <c r="FB940" s="60"/>
      <c r="FC940" s="60"/>
      <c r="FD940" s="60"/>
      <c r="FE940" s="60"/>
      <c r="FF940" s="60"/>
      <c r="FG940" s="60"/>
      <c r="FH940" s="60"/>
      <c r="FI940" s="60"/>
      <c r="FJ940" s="60"/>
      <c r="FK940" s="60"/>
      <c r="FL940" s="60"/>
      <c r="FM940" s="60"/>
      <c r="FN940" s="60"/>
      <c r="FO940" s="60"/>
      <c r="FP940" s="60"/>
      <c r="FQ940" s="60"/>
      <c r="FR940" s="60"/>
      <c r="FS940" s="60"/>
      <c r="FT940" s="60"/>
      <c r="FU940" s="60"/>
      <c r="FV940" s="60"/>
      <c r="FW940" s="60"/>
      <c r="FX940" s="60"/>
    </row>
    <row r="941">
      <c r="A941" s="18"/>
      <c r="B941" s="14"/>
      <c r="C941" s="14"/>
      <c r="D941" s="14"/>
      <c r="E941" s="18"/>
      <c r="F941" s="18"/>
      <c r="G941" s="18"/>
      <c r="H941" s="18"/>
      <c r="I941" s="18"/>
      <c r="J941" s="18"/>
      <c r="K941" s="18"/>
      <c r="L941" s="18"/>
      <c r="M941" s="18"/>
      <c r="N941" s="18"/>
      <c r="O941" s="18"/>
      <c r="P941" s="23"/>
      <c r="Q941" s="26"/>
      <c r="R941" s="26"/>
      <c r="S941" s="26"/>
      <c r="T941" s="26"/>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6"/>
      <c r="BR941" s="26"/>
      <c r="BS941" s="26"/>
      <c r="BT941" s="26"/>
      <c r="BU941" s="26"/>
      <c r="BV941" s="26"/>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26"/>
      <c r="CU941" s="26"/>
      <c r="CV941" s="26"/>
      <c r="CW941" s="26"/>
      <c r="CX941" s="26"/>
      <c r="CY941" s="26"/>
      <c r="CZ941" s="26"/>
      <c r="DA941" s="26"/>
      <c r="DB941" s="26"/>
      <c r="DC941" s="26"/>
      <c r="DD941" s="26"/>
      <c r="DE941" s="26"/>
      <c r="DF941" s="26"/>
      <c r="DG941" s="26"/>
      <c r="DH941" s="26"/>
      <c r="DI941" s="26"/>
      <c r="DJ941" s="26"/>
      <c r="DK941" s="26"/>
      <c r="DL941" s="26"/>
      <c r="DM941" s="26"/>
      <c r="DN941" s="26"/>
      <c r="DO941" s="26"/>
      <c r="DP941" s="26"/>
      <c r="DQ941" s="26"/>
      <c r="DR941" s="26"/>
      <c r="DS941" s="26"/>
      <c r="DT941" s="26"/>
      <c r="DU941" s="26"/>
      <c r="DV941" s="26"/>
      <c r="DW941" s="26"/>
      <c r="DX941" s="26"/>
      <c r="DY941" s="26"/>
      <c r="DZ941" s="26"/>
      <c r="EA941" s="26"/>
      <c r="EB941" s="26"/>
      <c r="EC941" s="26"/>
      <c r="ED941" s="26"/>
      <c r="EE941" s="26"/>
      <c r="EF941" s="26"/>
      <c r="EG941" s="26"/>
      <c r="EH941" s="26"/>
      <c r="EI941" s="26"/>
      <c r="EJ941" s="26"/>
      <c r="EK941" s="26"/>
      <c r="EL941" s="26"/>
      <c r="EM941" s="26"/>
      <c r="EN941" s="26"/>
      <c r="EO941" s="26"/>
      <c r="EP941" s="26"/>
      <c r="EQ941" s="26"/>
      <c r="ER941" s="26"/>
      <c r="ES941" s="26"/>
      <c r="ET941" s="26"/>
      <c r="EU941" s="26"/>
      <c r="EV941" s="26"/>
      <c r="EW941" s="26"/>
      <c r="EX941" s="26"/>
      <c r="EY941" s="26"/>
      <c r="EZ941" s="26"/>
      <c r="FA941" s="60"/>
      <c r="FB941" s="60"/>
      <c r="FC941" s="60"/>
      <c r="FD941" s="60"/>
      <c r="FE941" s="60"/>
      <c r="FF941" s="60"/>
      <c r="FG941" s="60"/>
      <c r="FH941" s="60"/>
      <c r="FI941" s="60"/>
      <c r="FJ941" s="60"/>
      <c r="FK941" s="60"/>
      <c r="FL941" s="60"/>
      <c r="FM941" s="60"/>
      <c r="FN941" s="60"/>
      <c r="FO941" s="60"/>
      <c r="FP941" s="60"/>
      <c r="FQ941" s="60"/>
      <c r="FR941" s="60"/>
      <c r="FS941" s="60"/>
      <c r="FT941" s="60"/>
      <c r="FU941" s="60"/>
      <c r="FV941" s="60"/>
      <c r="FW941" s="60"/>
      <c r="FX941" s="60"/>
    </row>
    <row r="942">
      <c r="A942" s="18"/>
      <c r="B942" s="14"/>
      <c r="C942" s="14"/>
      <c r="D942" s="14"/>
      <c r="E942" s="18"/>
      <c r="F942" s="18"/>
      <c r="G942" s="18"/>
      <c r="H942" s="18"/>
      <c r="I942" s="18"/>
      <c r="J942" s="18"/>
      <c r="K942" s="18"/>
      <c r="L942" s="18"/>
      <c r="M942" s="18"/>
      <c r="N942" s="18"/>
      <c r="O942" s="18"/>
      <c r="P942" s="23"/>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26"/>
      <c r="CU942" s="26"/>
      <c r="CV942" s="26"/>
      <c r="CW942" s="26"/>
      <c r="CX942" s="26"/>
      <c r="CY942" s="26"/>
      <c r="CZ942" s="26"/>
      <c r="DA942" s="26"/>
      <c r="DB942" s="26"/>
      <c r="DC942" s="26"/>
      <c r="DD942" s="26"/>
      <c r="DE942" s="26"/>
      <c r="DF942" s="26"/>
      <c r="DG942" s="26"/>
      <c r="DH942" s="26"/>
      <c r="DI942" s="26"/>
      <c r="DJ942" s="26"/>
      <c r="DK942" s="26"/>
      <c r="DL942" s="26"/>
      <c r="DM942" s="26"/>
      <c r="DN942" s="26"/>
      <c r="DO942" s="26"/>
      <c r="DP942" s="26"/>
      <c r="DQ942" s="26"/>
      <c r="DR942" s="26"/>
      <c r="DS942" s="26"/>
      <c r="DT942" s="26"/>
      <c r="DU942" s="26"/>
      <c r="DV942" s="26"/>
      <c r="DW942" s="26"/>
      <c r="DX942" s="26"/>
      <c r="DY942" s="26"/>
      <c r="DZ942" s="26"/>
      <c r="EA942" s="26"/>
      <c r="EB942" s="26"/>
      <c r="EC942" s="26"/>
      <c r="ED942" s="26"/>
      <c r="EE942" s="26"/>
      <c r="EF942" s="26"/>
      <c r="EG942" s="26"/>
      <c r="EH942" s="26"/>
      <c r="EI942" s="26"/>
      <c r="EJ942" s="26"/>
      <c r="EK942" s="26"/>
      <c r="EL942" s="26"/>
      <c r="EM942" s="26"/>
      <c r="EN942" s="26"/>
      <c r="EO942" s="26"/>
      <c r="EP942" s="26"/>
      <c r="EQ942" s="26"/>
      <c r="ER942" s="26"/>
      <c r="ES942" s="26"/>
      <c r="ET942" s="26"/>
      <c r="EU942" s="26"/>
      <c r="EV942" s="26"/>
      <c r="EW942" s="26"/>
      <c r="EX942" s="26"/>
      <c r="EY942" s="26"/>
      <c r="EZ942" s="26"/>
      <c r="FA942" s="60"/>
      <c r="FB942" s="60"/>
      <c r="FC942" s="60"/>
      <c r="FD942" s="60"/>
      <c r="FE942" s="60"/>
      <c r="FF942" s="60"/>
      <c r="FG942" s="60"/>
      <c r="FH942" s="60"/>
      <c r="FI942" s="60"/>
      <c r="FJ942" s="60"/>
      <c r="FK942" s="60"/>
      <c r="FL942" s="60"/>
      <c r="FM942" s="60"/>
      <c r="FN942" s="60"/>
      <c r="FO942" s="60"/>
      <c r="FP942" s="60"/>
      <c r="FQ942" s="60"/>
      <c r="FR942" s="60"/>
      <c r="FS942" s="60"/>
      <c r="FT942" s="60"/>
      <c r="FU942" s="60"/>
      <c r="FV942" s="60"/>
      <c r="FW942" s="60"/>
      <c r="FX942" s="60"/>
    </row>
    <row r="943">
      <c r="A943" s="18"/>
      <c r="B943" s="14"/>
      <c r="C943" s="14"/>
      <c r="D943" s="14"/>
      <c r="E943" s="18"/>
      <c r="F943" s="18"/>
      <c r="G943" s="18"/>
      <c r="H943" s="18"/>
      <c r="I943" s="18"/>
      <c r="J943" s="18"/>
      <c r="K943" s="18"/>
      <c r="L943" s="18"/>
      <c r="M943" s="18"/>
      <c r="N943" s="18"/>
      <c r="O943" s="18"/>
      <c r="P943" s="23"/>
      <c r="Q943" s="26"/>
      <c r="R943" s="26"/>
      <c r="S943" s="26"/>
      <c r="T943" s="26"/>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c r="BM943" s="26"/>
      <c r="BN943" s="26"/>
      <c r="BO943" s="26"/>
      <c r="BP943" s="26"/>
      <c r="BQ943" s="26"/>
      <c r="BR943" s="26"/>
      <c r="BS943" s="26"/>
      <c r="BT943" s="26"/>
      <c r="BU943" s="26"/>
      <c r="BV943" s="26"/>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26"/>
      <c r="CU943" s="26"/>
      <c r="CV943" s="26"/>
      <c r="CW943" s="26"/>
      <c r="CX943" s="26"/>
      <c r="CY943" s="26"/>
      <c r="CZ943" s="26"/>
      <c r="DA943" s="26"/>
      <c r="DB943" s="26"/>
      <c r="DC943" s="26"/>
      <c r="DD943" s="26"/>
      <c r="DE943" s="26"/>
      <c r="DF943" s="26"/>
      <c r="DG943" s="26"/>
      <c r="DH943" s="26"/>
      <c r="DI943" s="26"/>
      <c r="DJ943" s="26"/>
      <c r="DK943" s="26"/>
      <c r="DL943" s="26"/>
      <c r="DM943" s="26"/>
      <c r="DN943" s="26"/>
      <c r="DO943" s="26"/>
      <c r="DP943" s="26"/>
      <c r="DQ943" s="26"/>
      <c r="DR943" s="26"/>
      <c r="DS943" s="26"/>
      <c r="DT943" s="26"/>
      <c r="DU943" s="26"/>
      <c r="DV943" s="26"/>
      <c r="DW943" s="26"/>
      <c r="DX943" s="26"/>
      <c r="DY943" s="26"/>
      <c r="DZ943" s="26"/>
      <c r="EA943" s="26"/>
      <c r="EB943" s="26"/>
      <c r="EC943" s="26"/>
      <c r="ED943" s="26"/>
      <c r="EE943" s="26"/>
      <c r="EF943" s="26"/>
      <c r="EG943" s="26"/>
      <c r="EH943" s="26"/>
      <c r="EI943" s="26"/>
      <c r="EJ943" s="26"/>
      <c r="EK943" s="26"/>
      <c r="EL943" s="26"/>
      <c r="EM943" s="26"/>
      <c r="EN943" s="26"/>
      <c r="EO943" s="26"/>
      <c r="EP943" s="26"/>
      <c r="EQ943" s="26"/>
      <c r="ER943" s="26"/>
      <c r="ES943" s="26"/>
      <c r="ET943" s="26"/>
      <c r="EU943" s="26"/>
      <c r="EV943" s="26"/>
      <c r="EW943" s="26"/>
      <c r="EX943" s="26"/>
      <c r="EY943" s="26"/>
      <c r="EZ943" s="26"/>
      <c r="FA943" s="60"/>
      <c r="FB943" s="60"/>
      <c r="FC943" s="60"/>
      <c r="FD943" s="60"/>
      <c r="FE943" s="60"/>
      <c r="FF943" s="60"/>
      <c r="FG943" s="60"/>
      <c r="FH943" s="60"/>
      <c r="FI943" s="60"/>
      <c r="FJ943" s="60"/>
      <c r="FK943" s="60"/>
      <c r="FL943" s="60"/>
      <c r="FM943" s="60"/>
      <c r="FN943" s="60"/>
      <c r="FO943" s="60"/>
      <c r="FP943" s="60"/>
      <c r="FQ943" s="60"/>
      <c r="FR943" s="60"/>
      <c r="FS943" s="60"/>
      <c r="FT943" s="60"/>
      <c r="FU943" s="60"/>
      <c r="FV943" s="60"/>
      <c r="FW943" s="60"/>
      <c r="FX943" s="60"/>
    </row>
    <row r="944">
      <c r="A944" s="18"/>
      <c r="B944" s="14"/>
      <c r="C944" s="14"/>
      <c r="D944" s="14"/>
      <c r="E944" s="18"/>
      <c r="F944" s="18"/>
      <c r="G944" s="18"/>
      <c r="H944" s="18"/>
      <c r="I944" s="18"/>
      <c r="J944" s="18"/>
      <c r="K944" s="18"/>
      <c r="L944" s="18"/>
      <c r="M944" s="18"/>
      <c r="N944" s="18"/>
      <c r="O944" s="18"/>
      <c r="P944" s="23"/>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26"/>
      <c r="CU944" s="26"/>
      <c r="CV944" s="26"/>
      <c r="CW944" s="26"/>
      <c r="CX944" s="26"/>
      <c r="CY944" s="26"/>
      <c r="CZ944" s="26"/>
      <c r="DA944" s="26"/>
      <c r="DB944" s="26"/>
      <c r="DC944" s="26"/>
      <c r="DD944" s="26"/>
      <c r="DE944" s="26"/>
      <c r="DF944" s="26"/>
      <c r="DG944" s="26"/>
      <c r="DH944" s="26"/>
      <c r="DI944" s="26"/>
      <c r="DJ944" s="26"/>
      <c r="DK944" s="26"/>
      <c r="DL944" s="26"/>
      <c r="DM944" s="26"/>
      <c r="DN944" s="26"/>
      <c r="DO944" s="26"/>
      <c r="DP944" s="26"/>
      <c r="DQ944" s="26"/>
      <c r="DR944" s="26"/>
      <c r="DS944" s="26"/>
      <c r="DT944" s="26"/>
      <c r="DU944" s="26"/>
      <c r="DV944" s="26"/>
      <c r="DW944" s="26"/>
      <c r="DX944" s="26"/>
      <c r="DY944" s="26"/>
      <c r="DZ944" s="26"/>
      <c r="EA944" s="26"/>
      <c r="EB944" s="26"/>
      <c r="EC944" s="26"/>
      <c r="ED944" s="26"/>
      <c r="EE944" s="26"/>
      <c r="EF944" s="26"/>
      <c r="EG944" s="26"/>
      <c r="EH944" s="26"/>
      <c r="EI944" s="26"/>
      <c r="EJ944" s="26"/>
      <c r="EK944" s="26"/>
      <c r="EL944" s="26"/>
      <c r="EM944" s="26"/>
      <c r="EN944" s="26"/>
      <c r="EO944" s="26"/>
      <c r="EP944" s="26"/>
      <c r="EQ944" s="26"/>
      <c r="ER944" s="26"/>
      <c r="ES944" s="26"/>
      <c r="ET944" s="26"/>
      <c r="EU944" s="26"/>
      <c r="EV944" s="26"/>
      <c r="EW944" s="26"/>
      <c r="EX944" s="26"/>
      <c r="EY944" s="26"/>
      <c r="EZ944" s="26"/>
      <c r="FA944" s="60"/>
      <c r="FB944" s="60"/>
      <c r="FC944" s="60"/>
      <c r="FD944" s="60"/>
      <c r="FE944" s="60"/>
      <c r="FF944" s="60"/>
      <c r="FG944" s="60"/>
      <c r="FH944" s="60"/>
      <c r="FI944" s="60"/>
      <c r="FJ944" s="60"/>
      <c r="FK944" s="60"/>
      <c r="FL944" s="60"/>
      <c r="FM944" s="60"/>
      <c r="FN944" s="60"/>
      <c r="FO944" s="60"/>
      <c r="FP944" s="60"/>
      <c r="FQ944" s="60"/>
      <c r="FR944" s="60"/>
      <c r="FS944" s="60"/>
      <c r="FT944" s="60"/>
      <c r="FU944" s="60"/>
      <c r="FV944" s="60"/>
      <c r="FW944" s="60"/>
      <c r="FX944" s="60"/>
    </row>
    <row r="945">
      <c r="A945" s="18"/>
      <c r="B945" s="14"/>
      <c r="C945" s="14"/>
      <c r="D945" s="14"/>
      <c r="E945" s="18"/>
      <c r="F945" s="18"/>
      <c r="G945" s="18"/>
      <c r="H945" s="18"/>
      <c r="I945" s="18"/>
      <c r="J945" s="18"/>
      <c r="K945" s="18"/>
      <c r="L945" s="18"/>
      <c r="M945" s="18"/>
      <c r="N945" s="18"/>
      <c r="O945" s="18"/>
      <c r="P945" s="23"/>
      <c r="Q945" s="26"/>
      <c r="R945" s="26"/>
      <c r="S945" s="26"/>
      <c r="T945" s="26"/>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c r="BM945" s="26"/>
      <c r="BN945" s="26"/>
      <c r="BO945" s="26"/>
      <c r="BP945" s="26"/>
      <c r="BQ945" s="26"/>
      <c r="BR945" s="26"/>
      <c r="BS945" s="26"/>
      <c r="BT945" s="26"/>
      <c r="BU945" s="26"/>
      <c r="BV945" s="26"/>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26"/>
      <c r="CU945" s="26"/>
      <c r="CV945" s="26"/>
      <c r="CW945" s="26"/>
      <c r="CX945" s="26"/>
      <c r="CY945" s="26"/>
      <c r="CZ945" s="26"/>
      <c r="DA945" s="26"/>
      <c r="DB945" s="26"/>
      <c r="DC945" s="26"/>
      <c r="DD945" s="26"/>
      <c r="DE945" s="26"/>
      <c r="DF945" s="26"/>
      <c r="DG945" s="26"/>
      <c r="DH945" s="26"/>
      <c r="DI945" s="26"/>
      <c r="DJ945" s="26"/>
      <c r="DK945" s="26"/>
      <c r="DL945" s="26"/>
      <c r="DM945" s="26"/>
      <c r="DN945" s="26"/>
      <c r="DO945" s="26"/>
      <c r="DP945" s="26"/>
      <c r="DQ945" s="26"/>
      <c r="DR945" s="26"/>
      <c r="DS945" s="26"/>
      <c r="DT945" s="26"/>
      <c r="DU945" s="26"/>
      <c r="DV945" s="26"/>
      <c r="DW945" s="26"/>
      <c r="DX945" s="26"/>
      <c r="DY945" s="26"/>
      <c r="DZ945" s="26"/>
      <c r="EA945" s="26"/>
      <c r="EB945" s="26"/>
      <c r="EC945" s="26"/>
      <c r="ED945" s="26"/>
      <c r="EE945" s="26"/>
      <c r="EF945" s="26"/>
      <c r="EG945" s="26"/>
      <c r="EH945" s="26"/>
      <c r="EI945" s="26"/>
      <c r="EJ945" s="26"/>
      <c r="EK945" s="26"/>
      <c r="EL945" s="26"/>
      <c r="EM945" s="26"/>
      <c r="EN945" s="26"/>
      <c r="EO945" s="26"/>
      <c r="EP945" s="26"/>
      <c r="EQ945" s="26"/>
      <c r="ER945" s="26"/>
      <c r="ES945" s="26"/>
      <c r="ET945" s="26"/>
      <c r="EU945" s="26"/>
      <c r="EV945" s="26"/>
      <c r="EW945" s="26"/>
      <c r="EX945" s="26"/>
      <c r="EY945" s="26"/>
      <c r="EZ945" s="26"/>
      <c r="FA945" s="60"/>
      <c r="FB945" s="60"/>
      <c r="FC945" s="60"/>
      <c r="FD945" s="60"/>
      <c r="FE945" s="60"/>
      <c r="FF945" s="60"/>
      <c r="FG945" s="60"/>
      <c r="FH945" s="60"/>
      <c r="FI945" s="60"/>
      <c r="FJ945" s="60"/>
      <c r="FK945" s="60"/>
      <c r="FL945" s="60"/>
      <c r="FM945" s="60"/>
      <c r="FN945" s="60"/>
      <c r="FO945" s="60"/>
      <c r="FP945" s="60"/>
      <c r="FQ945" s="60"/>
      <c r="FR945" s="60"/>
      <c r="FS945" s="60"/>
      <c r="FT945" s="60"/>
      <c r="FU945" s="60"/>
      <c r="FV945" s="60"/>
      <c r="FW945" s="60"/>
      <c r="FX945" s="60"/>
    </row>
    <row r="946">
      <c r="A946" s="18"/>
      <c r="B946" s="14"/>
      <c r="C946" s="14"/>
      <c r="D946" s="14"/>
      <c r="E946" s="18"/>
      <c r="F946" s="18"/>
      <c r="G946" s="18"/>
      <c r="H946" s="18"/>
      <c r="I946" s="18"/>
      <c r="J946" s="18"/>
      <c r="K946" s="18"/>
      <c r="L946" s="18"/>
      <c r="M946" s="18"/>
      <c r="N946" s="18"/>
      <c r="O946" s="18"/>
      <c r="P946" s="23"/>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26"/>
      <c r="CU946" s="26"/>
      <c r="CV946" s="26"/>
      <c r="CW946" s="26"/>
      <c r="CX946" s="26"/>
      <c r="CY946" s="26"/>
      <c r="CZ946" s="26"/>
      <c r="DA946" s="26"/>
      <c r="DB946" s="26"/>
      <c r="DC946" s="26"/>
      <c r="DD946" s="26"/>
      <c r="DE946" s="26"/>
      <c r="DF946" s="26"/>
      <c r="DG946" s="26"/>
      <c r="DH946" s="26"/>
      <c r="DI946" s="26"/>
      <c r="DJ946" s="26"/>
      <c r="DK946" s="26"/>
      <c r="DL946" s="26"/>
      <c r="DM946" s="26"/>
      <c r="DN946" s="26"/>
      <c r="DO946" s="26"/>
      <c r="DP946" s="26"/>
      <c r="DQ946" s="26"/>
      <c r="DR946" s="26"/>
      <c r="DS946" s="26"/>
      <c r="DT946" s="26"/>
      <c r="DU946" s="26"/>
      <c r="DV946" s="26"/>
      <c r="DW946" s="26"/>
      <c r="DX946" s="26"/>
      <c r="DY946" s="26"/>
      <c r="DZ946" s="26"/>
      <c r="EA946" s="26"/>
      <c r="EB946" s="26"/>
      <c r="EC946" s="26"/>
      <c r="ED946" s="26"/>
      <c r="EE946" s="26"/>
      <c r="EF946" s="26"/>
      <c r="EG946" s="26"/>
      <c r="EH946" s="26"/>
      <c r="EI946" s="26"/>
      <c r="EJ946" s="26"/>
      <c r="EK946" s="26"/>
      <c r="EL946" s="26"/>
      <c r="EM946" s="26"/>
      <c r="EN946" s="26"/>
      <c r="EO946" s="26"/>
      <c r="EP946" s="26"/>
      <c r="EQ946" s="26"/>
      <c r="ER946" s="26"/>
      <c r="ES946" s="26"/>
      <c r="ET946" s="26"/>
      <c r="EU946" s="26"/>
      <c r="EV946" s="26"/>
      <c r="EW946" s="26"/>
      <c r="EX946" s="26"/>
      <c r="EY946" s="26"/>
      <c r="EZ946" s="26"/>
      <c r="FA946" s="60"/>
      <c r="FB946" s="60"/>
      <c r="FC946" s="60"/>
      <c r="FD946" s="60"/>
      <c r="FE946" s="60"/>
      <c r="FF946" s="60"/>
      <c r="FG946" s="60"/>
      <c r="FH946" s="60"/>
      <c r="FI946" s="60"/>
      <c r="FJ946" s="60"/>
      <c r="FK946" s="60"/>
      <c r="FL946" s="60"/>
      <c r="FM946" s="60"/>
      <c r="FN946" s="60"/>
      <c r="FO946" s="60"/>
      <c r="FP946" s="60"/>
      <c r="FQ946" s="60"/>
      <c r="FR946" s="60"/>
      <c r="FS946" s="60"/>
      <c r="FT946" s="60"/>
      <c r="FU946" s="60"/>
      <c r="FV946" s="60"/>
      <c r="FW946" s="60"/>
      <c r="FX946" s="60"/>
    </row>
    <row r="947">
      <c r="A947" s="18"/>
      <c r="B947" s="14"/>
      <c r="C947" s="14"/>
      <c r="D947" s="14"/>
      <c r="E947" s="18"/>
      <c r="F947" s="18"/>
      <c r="G947" s="18"/>
      <c r="H947" s="18"/>
      <c r="I947" s="18"/>
      <c r="J947" s="18"/>
      <c r="K947" s="18"/>
      <c r="L947" s="18"/>
      <c r="M947" s="18"/>
      <c r="N947" s="18"/>
      <c r="O947" s="18"/>
      <c r="P947" s="23"/>
      <c r="Q947" s="26"/>
      <c r="R947" s="26"/>
      <c r="S947" s="26"/>
      <c r="T947" s="26"/>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c r="BM947" s="26"/>
      <c r="BN947" s="26"/>
      <c r="BO947" s="26"/>
      <c r="BP947" s="26"/>
      <c r="BQ947" s="26"/>
      <c r="BR947" s="26"/>
      <c r="BS947" s="26"/>
      <c r="BT947" s="26"/>
      <c r="BU947" s="26"/>
      <c r="BV947" s="26"/>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26"/>
      <c r="CU947" s="26"/>
      <c r="CV947" s="26"/>
      <c r="CW947" s="26"/>
      <c r="CX947" s="26"/>
      <c r="CY947" s="26"/>
      <c r="CZ947" s="26"/>
      <c r="DA947" s="26"/>
      <c r="DB947" s="26"/>
      <c r="DC947" s="26"/>
      <c r="DD947" s="26"/>
      <c r="DE947" s="26"/>
      <c r="DF947" s="26"/>
      <c r="DG947" s="26"/>
      <c r="DH947" s="26"/>
      <c r="DI947" s="26"/>
      <c r="DJ947" s="26"/>
      <c r="DK947" s="26"/>
      <c r="DL947" s="26"/>
      <c r="DM947" s="26"/>
      <c r="DN947" s="26"/>
      <c r="DO947" s="26"/>
      <c r="DP947" s="26"/>
      <c r="DQ947" s="26"/>
      <c r="DR947" s="26"/>
      <c r="DS947" s="26"/>
      <c r="DT947" s="26"/>
      <c r="DU947" s="26"/>
      <c r="DV947" s="26"/>
      <c r="DW947" s="26"/>
      <c r="DX947" s="26"/>
      <c r="DY947" s="26"/>
      <c r="DZ947" s="26"/>
      <c r="EA947" s="26"/>
      <c r="EB947" s="26"/>
      <c r="EC947" s="26"/>
      <c r="ED947" s="26"/>
      <c r="EE947" s="26"/>
      <c r="EF947" s="26"/>
      <c r="EG947" s="26"/>
      <c r="EH947" s="26"/>
      <c r="EI947" s="26"/>
      <c r="EJ947" s="26"/>
      <c r="EK947" s="26"/>
      <c r="EL947" s="26"/>
      <c r="EM947" s="26"/>
      <c r="EN947" s="26"/>
      <c r="EO947" s="26"/>
      <c r="EP947" s="26"/>
      <c r="EQ947" s="26"/>
      <c r="ER947" s="26"/>
      <c r="ES947" s="26"/>
      <c r="ET947" s="26"/>
      <c r="EU947" s="26"/>
      <c r="EV947" s="26"/>
      <c r="EW947" s="26"/>
      <c r="EX947" s="26"/>
      <c r="EY947" s="26"/>
      <c r="EZ947" s="26"/>
      <c r="FA947" s="60"/>
      <c r="FB947" s="60"/>
      <c r="FC947" s="60"/>
      <c r="FD947" s="60"/>
      <c r="FE947" s="60"/>
      <c r="FF947" s="60"/>
      <c r="FG947" s="60"/>
      <c r="FH947" s="60"/>
      <c r="FI947" s="60"/>
      <c r="FJ947" s="60"/>
      <c r="FK947" s="60"/>
      <c r="FL947" s="60"/>
      <c r="FM947" s="60"/>
      <c r="FN947" s="60"/>
      <c r="FO947" s="60"/>
      <c r="FP947" s="60"/>
      <c r="FQ947" s="60"/>
      <c r="FR947" s="60"/>
      <c r="FS947" s="60"/>
      <c r="FT947" s="60"/>
      <c r="FU947" s="60"/>
      <c r="FV947" s="60"/>
      <c r="FW947" s="60"/>
      <c r="FX947" s="60"/>
    </row>
    <row r="948">
      <c r="A948" s="18"/>
      <c r="B948" s="14"/>
      <c r="C948" s="14"/>
      <c r="D948" s="14"/>
      <c r="E948" s="18"/>
      <c r="F948" s="18"/>
      <c r="G948" s="18"/>
      <c r="H948" s="18"/>
      <c r="I948" s="18"/>
      <c r="J948" s="18"/>
      <c r="K948" s="18"/>
      <c r="L948" s="18"/>
      <c r="M948" s="18"/>
      <c r="N948" s="18"/>
      <c r="O948" s="18"/>
      <c r="P948" s="23"/>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26"/>
      <c r="CU948" s="26"/>
      <c r="CV948" s="26"/>
      <c r="CW948" s="26"/>
      <c r="CX948" s="26"/>
      <c r="CY948" s="26"/>
      <c r="CZ948" s="26"/>
      <c r="DA948" s="26"/>
      <c r="DB948" s="26"/>
      <c r="DC948" s="26"/>
      <c r="DD948" s="26"/>
      <c r="DE948" s="26"/>
      <c r="DF948" s="26"/>
      <c r="DG948" s="26"/>
      <c r="DH948" s="26"/>
      <c r="DI948" s="26"/>
      <c r="DJ948" s="26"/>
      <c r="DK948" s="26"/>
      <c r="DL948" s="26"/>
      <c r="DM948" s="26"/>
      <c r="DN948" s="26"/>
      <c r="DO948" s="26"/>
      <c r="DP948" s="26"/>
      <c r="DQ948" s="26"/>
      <c r="DR948" s="26"/>
      <c r="DS948" s="26"/>
      <c r="DT948" s="26"/>
      <c r="DU948" s="26"/>
      <c r="DV948" s="26"/>
      <c r="DW948" s="26"/>
      <c r="DX948" s="26"/>
      <c r="DY948" s="26"/>
      <c r="DZ948" s="26"/>
      <c r="EA948" s="26"/>
      <c r="EB948" s="26"/>
      <c r="EC948" s="26"/>
      <c r="ED948" s="26"/>
      <c r="EE948" s="26"/>
      <c r="EF948" s="26"/>
      <c r="EG948" s="26"/>
      <c r="EH948" s="26"/>
      <c r="EI948" s="26"/>
      <c r="EJ948" s="26"/>
      <c r="EK948" s="26"/>
      <c r="EL948" s="26"/>
      <c r="EM948" s="26"/>
      <c r="EN948" s="26"/>
      <c r="EO948" s="26"/>
      <c r="EP948" s="26"/>
      <c r="EQ948" s="26"/>
      <c r="ER948" s="26"/>
      <c r="ES948" s="26"/>
      <c r="ET948" s="26"/>
      <c r="EU948" s="26"/>
      <c r="EV948" s="26"/>
      <c r="EW948" s="26"/>
      <c r="EX948" s="26"/>
      <c r="EY948" s="26"/>
      <c r="EZ948" s="26"/>
      <c r="FA948" s="60"/>
      <c r="FB948" s="60"/>
      <c r="FC948" s="60"/>
      <c r="FD948" s="60"/>
      <c r="FE948" s="60"/>
      <c r="FF948" s="60"/>
      <c r="FG948" s="60"/>
      <c r="FH948" s="60"/>
      <c r="FI948" s="60"/>
      <c r="FJ948" s="60"/>
      <c r="FK948" s="60"/>
      <c r="FL948" s="60"/>
      <c r="FM948" s="60"/>
      <c r="FN948" s="60"/>
      <c r="FO948" s="60"/>
      <c r="FP948" s="60"/>
      <c r="FQ948" s="60"/>
      <c r="FR948" s="60"/>
      <c r="FS948" s="60"/>
      <c r="FT948" s="60"/>
      <c r="FU948" s="60"/>
      <c r="FV948" s="60"/>
      <c r="FW948" s="60"/>
      <c r="FX948" s="60"/>
    </row>
    <row r="949">
      <c r="A949" s="18"/>
      <c r="B949" s="14"/>
      <c r="C949" s="14"/>
      <c r="D949" s="14"/>
      <c r="E949" s="18"/>
      <c r="F949" s="18"/>
      <c r="G949" s="18"/>
      <c r="H949" s="18"/>
      <c r="I949" s="18"/>
      <c r="J949" s="18"/>
      <c r="K949" s="18"/>
      <c r="L949" s="18"/>
      <c r="M949" s="18"/>
      <c r="N949" s="18"/>
      <c r="O949" s="18"/>
      <c r="P949" s="23"/>
      <c r="Q949" s="26"/>
      <c r="R949" s="26"/>
      <c r="S949" s="26"/>
      <c r="T949" s="26"/>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c r="BM949" s="26"/>
      <c r="BN949" s="26"/>
      <c r="BO949" s="26"/>
      <c r="BP949" s="26"/>
      <c r="BQ949" s="26"/>
      <c r="BR949" s="26"/>
      <c r="BS949" s="26"/>
      <c r="BT949" s="26"/>
      <c r="BU949" s="26"/>
      <c r="BV949" s="26"/>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26"/>
      <c r="CU949" s="26"/>
      <c r="CV949" s="26"/>
      <c r="CW949" s="26"/>
      <c r="CX949" s="26"/>
      <c r="CY949" s="26"/>
      <c r="CZ949" s="26"/>
      <c r="DA949" s="26"/>
      <c r="DB949" s="26"/>
      <c r="DC949" s="26"/>
      <c r="DD949" s="26"/>
      <c r="DE949" s="26"/>
      <c r="DF949" s="26"/>
      <c r="DG949" s="26"/>
      <c r="DH949" s="26"/>
      <c r="DI949" s="26"/>
      <c r="DJ949" s="26"/>
      <c r="DK949" s="26"/>
      <c r="DL949" s="26"/>
      <c r="DM949" s="26"/>
      <c r="DN949" s="26"/>
      <c r="DO949" s="26"/>
      <c r="DP949" s="26"/>
      <c r="DQ949" s="26"/>
      <c r="DR949" s="26"/>
      <c r="DS949" s="26"/>
      <c r="DT949" s="26"/>
      <c r="DU949" s="26"/>
      <c r="DV949" s="26"/>
      <c r="DW949" s="26"/>
      <c r="DX949" s="26"/>
      <c r="DY949" s="26"/>
      <c r="DZ949" s="26"/>
      <c r="EA949" s="26"/>
      <c r="EB949" s="26"/>
      <c r="EC949" s="26"/>
      <c r="ED949" s="26"/>
      <c r="EE949" s="26"/>
      <c r="EF949" s="26"/>
      <c r="EG949" s="26"/>
      <c r="EH949" s="26"/>
      <c r="EI949" s="26"/>
      <c r="EJ949" s="26"/>
      <c r="EK949" s="26"/>
      <c r="EL949" s="26"/>
      <c r="EM949" s="26"/>
      <c r="EN949" s="26"/>
      <c r="EO949" s="26"/>
      <c r="EP949" s="26"/>
      <c r="EQ949" s="26"/>
      <c r="ER949" s="26"/>
      <c r="ES949" s="26"/>
      <c r="ET949" s="26"/>
      <c r="EU949" s="26"/>
      <c r="EV949" s="26"/>
      <c r="EW949" s="26"/>
      <c r="EX949" s="26"/>
      <c r="EY949" s="26"/>
      <c r="EZ949" s="26"/>
      <c r="FA949" s="60"/>
      <c r="FB949" s="60"/>
      <c r="FC949" s="60"/>
      <c r="FD949" s="60"/>
      <c r="FE949" s="60"/>
      <c r="FF949" s="60"/>
      <c r="FG949" s="60"/>
      <c r="FH949" s="60"/>
      <c r="FI949" s="60"/>
      <c r="FJ949" s="60"/>
      <c r="FK949" s="60"/>
      <c r="FL949" s="60"/>
      <c r="FM949" s="60"/>
      <c r="FN949" s="60"/>
      <c r="FO949" s="60"/>
      <c r="FP949" s="60"/>
      <c r="FQ949" s="60"/>
      <c r="FR949" s="60"/>
      <c r="FS949" s="60"/>
      <c r="FT949" s="60"/>
      <c r="FU949" s="60"/>
      <c r="FV949" s="60"/>
      <c r="FW949" s="60"/>
      <c r="FX949" s="60"/>
    </row>
    <row r="950">
      <c r="A950" s="18"/>
      <c r="B950" s="14"/>
      <c r="C950" s="14"/>
      <c r="D950" s="14"/>
      <c r="E950" s="18"/>
      <c r="F950" s="18"/>
      <c r="G950" s="18"/>
      <c r="H950" s="18"/>
      <c r="I950" s="18"/>
      <c r="J950" s="18"/>
      <c r="K950" s="18"/>
      <c r="L950" s="18"/>
      <c r="M950" s="18"/>
      <c r="N950" s="18"/>
      <c r="O950" s="18"/>
      <c r="P950" s="23"/>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c r="BO950" s="26"/>
      <c r="BP950" s="26"/>
      <c r="BQ950" s="26"/>
      <c r="BR950" s="26"/>
      <c r="BS950" s="26"/>
      <c r="BT950" s="26"/>
      <c r="BU950" s="26"/>
      <c r="BV950" s="26"/>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26"/>
      <c r="CU950" s="26"/>
      <c r="CV950" s="26"/>
      <c r="CW950" s="26"/>
      <c r="CX950" s="26"/>
      <c r="CY950" s="26"/>
      <c r="CZ950" s="26"/>
      <c r="DA950" s="26"/>
      <c r="DB950" s="26"/>
      <c r="DC950" s="26"/>
      <c r="DD950" s="26"/>
      <c r="DE950" s="26"/>
      <c r="DF950" s="26"/>
      <c r="DG950" s="26"/>
      <c r="DH950" s="26"/>
      <c r="DI950" s="26"/>
      <c r="DJ950" s="26"/>
      <c r="DK950" s="26"/>
      <c r="DL950" s="26"/>
      <c r="DM950" s="26"/>
      <c r="DN950" s="26"/>
      <c r="DO950" s="26"/>
      <c r="DP950" s="26"/>
      <c r="DQ950" s="26"/>
      <c r="DR950" s="26"/>
      <c r="DS950" s="26"/>
      <c r="DT950" s="26"/>
      <c r="DU950" s="26"/>
      <c r="DV950" s="26"/>
      <c r="DW950" s="26"/>
      <c r="DX950" s="26"/>
      <c r="DY950" s="26"/>
      <c r="DZ950" s="26"/>
      <c r="EA950" s="26"/>
      <c r="EB950" s="26"/>
      <c r="EC950" s="26"/>
      <c r="ED950" s="26"/>
      <c r="EE950" s="26"/>
      <c r="EF950" s="26"/>
      <c r="EG950" s="26"/>
      <c r="EH950" s="26"/>
      <c r="EI950" s="26"/>
      <c r="EJ950" s="26"/>
      <c r="EK950" s="26"/>
      <c r="EL950" s="26"/>
      <c r="EM950" s="26"/>
      <c r="EN950" s="26"/>
      <c r="EO950" s="26"/>
      <c r="EP950" s="26"/>
      <c r="EQ950" s="26"/>
      <c r="ER950" s="26"/>
      <c r="ES950" s="26"/>
      <c r="ET950" s="26"/>
      <c r="EU950" s="26"/>
      <c r="EV950" s="26"/>
      <c r="EW950" s="26"/>
      <c r="EX950" s="26"/>
      <c r="EY950" s="26"/>
      <c r="EZ950" s="26"/>
      <c r="FA950" s="60"/>
      <c r="FB950" s="60"/>
      <c r="FC950" s="60"/>
      <c r="FD950" s="60"/>
      <c r="FE950" s="60"/>
      <c r="FF950" s="60"/>
      <c r="FG950" s="60"/>
      <c r="FH950" s="60"/>
      <c r="FI950" s="60"/>
      <c r="FJ950" s="60"/>
      <c r="FK950" s="60"/>
      <c r="FL950" s="60"/>
      <c r="FM950" s="60"/>
      <c r="FN950" s="60"/>
      <c r="FO950" s="60"/>
      <c r="FP950" s="60"/>
      <c r="FQ950" s="60"/>
      <c r="FR950" s="60"/>
      <c r="FS950" s="60"/>
      <c r="FT950" s="60"/>
      <c r="FU950" s="60"/>
      <c r="FV950" s="60"/>
      <c r="FW950" s="60"/>
      <c r="FX950" s="60"/>
    </row>
    <row r="951">
      <c r="A951" s="18"/>
      <c r="B951" s="14"/>
      <c r="C951" s="14"/>
      <c r="D951" s="14"/>
      <c r="E951" s="18"/>
      <c r="F951" s="18"/>
      <c r="G951" s="18"/>
      <c r="H951" s="18"/>
      <c r="I951" s="18"/>
      <c r="J951" s="18"/>
      <c r="K951" s="18"/>
      <c r="L951" s="18"/>
      <c r="M951" s="18"/>
      <c r="N951" s="18"/>
      <c r="O951" s="18"/>
      <c r="P951" s="23"/>
      <c r="Q951" s="26"/>
      <c r="R951" s="26"/>
      <c r="S951" s="26"/>
      <c r="T951" s="26"/>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6"/>
      <c r="BR951" s="26"/>
      <c r="BS951" s="26"/>
      <c r="BT951" s="26"/>
      <c r="BU951" s="26"/>
      <c r="BV951" s="26"/>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26"/>
      <c r="CU951" s="26"/>
      <c r="CV951" s="26"/>
      <c r="CW951" s="26"/>
      <c r="CX951" s="26"/>
      <c r="CY951" s="26"/>
      <c r="CZ951" s="26"/>
      <c r="DA951" s="26"/>
      <c r="DB951" s="26"/>
      <c r="DC951" s="26"/>
      <c r="DD951" s="26"/>
      <c r="DE951" s="26"/>
      <c r="DF951" s="26"/>
      <c r="DG951" s="26"/>
      <c r="DH951" s="26"/>
      <c r="DI951" s="26"/>
      <c r="DJ951" s="26"/>
      <c r="DK951" s="26"/>
      <c r="DL951" s="26"/>
      <c r="DM951" s="26"/>
      <c r="DN951" s="26"/>
      <c r="DO951" s="26"/>
      <c r="DP951" s="26"/>
      <c r="DQ951" s="26"/>
      <c r="DR951" s="26"/>
      <c r="DS951" s="26"/>
      <c r="DT951" s="26"/>
      <c r="DU951" s="26"/>
      <c r="DV951" s="26"/>
      <c r="DW951" s="26"/>
      <c r="DX951" s="26"/>
      <c r="DY951" s="26"/>
      <c r="DZ951" s="26"/>
      <c r="EA951" s="26"/>
      <c r="EB951" s="26"/>
      <c r="EC951" s="26"/>
      <c r="ED951" s="26"/>
      <c r="EE951" s="26"/>
      <c r="EF951" s="26"/>
      <c r="EG951" s="26"/>
      <c r="EH951" s="26"/>
      <c r="EI951" s="26"/>
      <c r="EJ951" s="26"/>
      <c r="EK951" s="26"/>
      <c r="EL951" s="26"/>
      <c r="EM951" s="26"/>
      <c r="EN951" s="26"/>
      <c r="EO951" s="26"/>
      <c r="EP951" s="26"/>
      <c r="EQ951" s="26"/>
      <c r="ER951" s="26"/>
      <c r="ES951" s="26"/>
      <c r="ET951" s="26"/>
      <c r="EU951" s="26"/>
      <c r="EV951" s="26"/>
      <c r="EW951" s="26"/>
      <c r="EX951" s="26"/>
      <c r="EY951" s="26"/>
      <c r="EZ951" s="26"/>
      <c r="FA951" s="60"/>
      <c r="FB951" s="60"/>
      <c r="FC951" s="60"/>
      <c r="FD951" s="60"/>
      <c r="FE951" s="60"/>
      <c r="FF951" s="60"/>
      <c r="FG951" s="60"/>
      <c r="FH951" s="60"/>
      <c r="FI951" s="60"/>
      <c r="FJ951" s="60"/>
      <c r="FK951" s="60"/>
      <c r="FL951" s="60"/>
      <c r="FM951" s="60"/>
      <c r="FN951" s="60"/>
      <c r="FO951" s="60"/>
      <c r="FP951" s="60"/>
      <c r="FQ951" s="60"/>
      <c r="FR951" s="60"/>
      <c r="FS951" s="60"/>
      <c r="FT951" s="60"/>
      <c r="FU951" s="60"/>
      <c r="FV951" s="60"/>
      <c r="FW951" s="60"/>
      <c r="FX951" s="60"/>
    </row>
    <row r="952">
      <c r="A952" s="18"/>
      <c r="B952" s="14"/>
      <c r="C952" s="14"/>
      <c r="D952" s="14"/>
      <c r="E952" s="18"/>
      <c r="F952" s="18"/>
      <c r="G952" s="18"/>
      <c r="H952" s="18"/>
      <c r="I952" s="18"/>
      <c r="J952" s="18"/>
      <c r="K952" s="18"/>
      <c r="L952" s="18"/>
      <c r="M952" s="18"/>
      <c r="N952" s="18"/>
      <c r="O952" s="18"/>
      <c r="P952" s="23"/>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6"/>
      <c r="BS952" s="26"/>
      <c r="BT952" s="26"/>
      <c r="BU952" s="26"/>
      <c r="BV952" s="26"/>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26"/>
      <c r="CU952" s="26"/>
      <c r="CV952" s="26"/>
      <c r="CW952" s="26"/>
      <c r="CX952" s="26"/>
      <c r="CY952" s="26"/>
      <c r="CZ952" s="26"/>
      <c r="DA952" s="26"/>
      <c r="DB952" s="26"/>
      <c r="DC952" s="26"/>
      <c r="DD952" s="26"/>
      <c r="DE952" s="26"/>
      <c r="DF952" s="26"/>
      <c r="DG952" s="26"/>
      <c r="DH952" s="26"/>
      <c r="DI952" s="26"/>
      <c r="DJ952" s="26"/>
      <c r="DK952" s="26"/>
      <c r="DL952" s="26"/>
      <c r="DM952" s="26"/>
      <c r="DN952" s="26"/>
      <c r="DO952" s="26"/>
      <c r="DP952" s="26"/>
      <c r="DQ952" s="26"/>
      <c r="DR952" s="26"/>
      <c r="DS952" s="26"/>
      <c r="DT952" s="26"/>
      <c r="DU952" s="26"/>
      <c r="DV952" s="26"/>
      <c r="DW952" s="26"/>
      <c r="DX952" s="26"/>
      <c r="DY952" s="26"/>
      <c r="DZ952" s="26"/>
      <c r="EA952" s="26"/>
      <c r="EB952" s="26"/>
      <c r="EC952" s="26"/>
      <c r="ED952" s="26"/>
      <c r="EE952" s="26"/>
      <c r="EF952" s="26"/>
      <c r="EG952" s="26"/>
      <c r="EH952" s="26"/>
      <c r="EI952" s="26"/>
      <c r="EJ952" s="26"/>
      <c r="EK952" s="26"/>
      <c r="EL952" s="26"/>
      <c r="EM952" s="26"/>
      <c r="EN952" s="26"/>
      <c r="EO952" s="26"/>
      <c r="EP952" s="26"/>
      <c r="EQ952" s="26"/>
      <c r="ER952" s="26"/>
      <c r="ES952" s="26"/>
      <c r="ET952" s="26"/>
      <c r="EU952" s="26"/>
      <c r="EV952" s="26"/>
      <c r="EW952" s="26"/>
      <c r="EX952" s="26"/>
      <c r="EY952" s="26"/>
      <c r="EZ952" s="26"/>
      <c r="FA952" s="60"/>
      <c r="FB952" s="60"/>
      <c r="FC952" s="60"/>
      <c r="FD952" s="60"/>
      <c r="FE952" s="60"/>
      <c r="FF952" s="60"/>
      <c r="FG952" s="60"/>
      <c r="FH952" s="60"/>
      <c r="FI952" s="60"/>
      <c r="FJ952" s="60"/>
      <c r="FK952" s="60"/>
      <c r="FL952" s="60"/>
      <c r="FM952" s="60"/>
      <c r="FN952" s="60"/>
      <c r="FO952" s="60"/>
      <c r="FP952" s="60"/>
      <c r="FQ952" s="60"/>
      <c r="FR952" s="60"/>
      <c r="FS952" s="60"/>
      <c r="FT952" s="60"/>
      <c r="FU952" s="60"/>
      <c r="FV952" s="60"/>
      <c r="FW952" s="60"/>
      <c r="FX952" s="60"/>
    </row>
    <row r="953">
      <c r="A953" s="18"/>
      <c r="B953" s="14"/>
      <c r="C953" s="14"/>
      <c r="D953" s="14"/>
      <c r="E953" s="18"/>
      <c r="F953" s="18"/>
      <c r="G953" s="18"/>
      <c r="H953" s="18"/>
      <c r="I953" s="18"/>
      <c r="J953" s="18"/>
      <c r="K953" s="18"/>
      <c r="L953" s="18"/>
      <c r="M953" s="18"/>
      <c r="N953" s="18"/>
      <c r="O953" s="18"/>
      <c r="P953" s="23"/>
      <c r="Q953" s="26"/>
      <c r="R953" s="26"/>
      <c r="S953" s="26"/>
      <c r="T953" s="26"/>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c r="BM953" s="26"/>
      <c r="BN953" s="26"/>
      <c r="BO953" s="26"/>
      <c r="BP953" s="26"/>
      <c r="BQ953" s="26"/>
      <c r="BR953" s="26"/>
      <c r="BS953" s="26"/>
      <c r="BT953" s="26"/>
      <c r="BU953" s="26"/>
      <c r="BV953" s="26"/>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26"/>
      <c r="CU953" s="26"/>
      <c r="CV953" s="26"/>
      <c r="CW953" s="26"/>
      <c r="CX953" s="26"/>
      <c r="CY953" s="26"/>
      <c r="CZ953" s="26"/>
      <c r="DA953" s="26"/>
      <c r="DB953" s="26"/>
      <c r="DC953" s="26"/>
      <c r="DD953" s="26"/>
      <c r="DE953" s="26"/>
      <c r="DF953" s="26"/>
      <c r="DG953" s="26"/>
      <c r="DH953" s="26"/>
      <c r="DI953" s="26"/>
      <c r="DJ953" s="26"/>
      <c r="DK953" s="26"/>
      <c r="DL953" s="26"/>
      <c r="DM953" s="26"/>
      <c r="DN953" s="26"/>
      <c r="DO953" s="26"/>
      <c r="DP953" s="26"/>
      <c r="DQ953" s="26"/>
      <c r="DR953" s="26"/>
      <c r="DS953" s="26"/>
      <c r="DT953" s="26"/>
      <c r="DU953" s="26"/>
      <c r="DV953" s="26"/>
      <c r="DW953" s="26"/>
      <c r="DX953" s="26"/>
      <c r="DY953" s="26"/>
      <c r="DZ953" s="26"/>
      <c r="EA953" s="26"/>
      <c r="EB953" s="26"/>
      <c r="EC953" s="26"/>
      <c r="ED953" s="26"/>
      <c r="EE953" s="26"/>
      <c r="EF953" s="26"/>
      <c r="EG953" s="26"/>
      <c r="EH953" s="26"/>
      <c r="EI953" s="26"/>
      <c r="EJ953" s="26"/>
      <c r="EK953" s="26"/>
      <c r="EL953" s="26"/>
      <c r="EM953" s="26"/>
      <c r="EN953" s="26"/>
      <c r="EO953" s="26"/>
      <c r="EP953" s="26"/>
      <c r="EQ953" s="26"/>
      <c r="ER953" s="26"/>
      <c r="ES953" s="26"/>
      <c r="ET953" s="26"/>
      <c r="EU953" s="26"/>
      <c r="EV953" s="26"/>
      <c r="EW953" s="26"/>
      <c r="EX953" s="26"/>
      <c r="EY953" s="26"/>
      <c r="EZ953" s="26"/>
      <c r="FA953" s="60"/>
      <c r="FB953" s="60"/>
      <c r="FC953" s="60"/>
      <c r="FD953" s="60"/>
      <c r="FE953" s="60"/>
      <c r="FF953" s="60"/>
      <c r="FG953" s="60"/>
      <c r="FH953" s="60"/>
      <c r="FI953" s="60"/>
      <c r="FJ953" s="60"/>
      <c r="FK953" s="60"/>
      <c r="FL953" s="60"/>
      <c r="FM953" s="60"/>
      <c r="FN953" s="60"/>
      <c r="FO953" s="60"/>
      <c r="FP953" s="60"/>
      <c r="FQ953" s="60"/>
      <c r="FR953" s="60"/>
      <c r="FS953" s="60"/>
      <c r="FT953" s="60"/>
      <c r="FU953" s="60"/>
      <c r="FV953" s="60"/>
      <c r="FW953" s="60"/>
      <c r="FX953" s="60"/>
    </row>
    <row r="954">
      <c r="A954" s="18"/>
      <c r="B954" s="14"/>
      <c r="C954" s="14"/>
      <c r="D954" s="14"/>
      <c r="E954" s="18"/>
      <c r="F954" s="18"/>
      <c r="G954" s="18"/>
      <c r="H954" s="18"/>
      <c r="I954" s="18"/>
      <c r="J954" s="18"/>
      <c r="K954" s="18"/>
      <c r="L954" s="18"/>
      <c r="M954" s="18"/>
      <c r="N954" s="18"/>
      <c r="O954" s="18"/>
      <c r="P954" s="23"/>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c r="BO954" s="26"/>
      <c r="BP954" s="26"/>
      <c r="BQ954" s="26"/>
      <c r="BR954" s="26"/>
      <c r="BS954" s="26"/>
      <c r="BT954" s="26"/>
      <c r="BU954" s="26"/>
      <c r="BV954" s="26"/>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26"/>
      <c r="CU954" s="26"/>
      <c r="CV954" s="26"/>
      <c r="CW954" s="26"/>
      <c r="CX954" s="26"/>
      <c r="CY954" s="26"/>
      <c r="CZ954" s="26"/>
      <c r="DA954" s="26"/>
      <c r="DB954" s="26"/>
      <c r="DC954" s="26"/>
      <c r="DD954" s="26"/>
      <c r="DE954" s="26"/>
      <c r="DF954" s="26"/>
      <c r="DG954" s="26"/>
      <c r="DH954" s="26"/>
      <c r="DI954" s="26"/>
      <c r="DJ954" s="26"/>
      <c r="DK954" s="26"/>
      <c r="DL954" s="26"/>
      <c r="DM954" s="26"/>
      <c r="DN954" s="26"/>
      <c r="DO954" s="26"/>
      <c r="DP954" s="26"/>
      <c r="DQ954" s="26"/>
      <c r="DR954" s="26"/>
      <c r="DS954" s="26"/>
      <c r="DT954" s="26"/>
      <c r="DU954" s="26"/>
      <c r="DV954" s="26"/>
      <c r="DW954" s="26"/>
      <c r="DX954" s="26"/>
      <c r="DY954" s="26"/>
      <c r="DZ954" s="26"/>
      <c r="EA954" s="26"/>
      <c r="EB954" s="26"/>
      <c r="EC954" s="26"/>
      <c r="ED954" s="26"/>
      <c r="EE954" s="26"/>
      <c r="EF954" s="26"/>
      <c r="EG954" s="26"/>
      <c r="EH954" s="26"/>
      <c r="EI954" s="26"/>
      <c r="EJ954" s="26"/>
      <c r="EK954" s="26"/>
      <c r="EL954" s="26"/>
      <c r="EM954" s="26"/>
      <c r="EN954" s="26"/>
      <c r="EO954" s="26"/>
      <c r="EP954" s="26"/>
      <c r="EQ954" s="26"/>
      <c r="ER954" s="26"/>
      <c r="ES954" s="26"/>
      <c r="ET954" s="26"/>
      <c r="EU954" s="26"/>
      <c r="EV954" s="26"/>
      <c r="EW954" s="26"/>
      <c r="EX954" s="26"/>
      <c r="EY954" s="26"/>
      <c r="EZ954" s="26"/>
      <c r="FA954" s="60"/>
      <c r="FB954" s="60"/>
      <c r="FC954" s="60"/>
      <c r="FD954" s="60"/>
      <c r="FE954" s="60"/>
      <c r="FF954" s="60"/>
      <c r="FG954" s="60"/>
      <c r="FH954" s="60"/>
      <c r="FI954" s="60"/>
      <c r="FJ954" s="60"/>
      <c r="FK954" s="60"/>
      <c r="FL954" s="60"/>
      <c r="FM954" s="60"/>
      <c r="FN954" s="60"/>
      <c r="FO954" s="60"/>
      <c r="FP954" s="60"/>
      <c r="FQ954" s="60"/>
      <c r="FR954" s="60"/>
      <c r="FS954" s="60"/>
      <c r="FT954" s="60"/>
      <c r="FU954" s="60"/>
      <c r="FV954" s="60"/>
      <c r="FW954" s="60"/>
      <c r="FX954" s="60"/>
    </row>
    <row r="955">
      <c r="A955" s="18"/>
      <c r="B955" s="14"/>
      <c r="C955" s="14"/>
      <c r="D955" s="14"/>
      <c r="E955" s="18"/>
      <c r="F955" s="18"/>
      <c r="G955" s="18"/>
      <c r="H955" s="18"/>
      <c r="I955" s="18"/>
      <c r="J955" s="18"/>
      <c r="K955" s="18"/>
      <c r="L955" s="18"/>
      <c r="M955" s="18"/>
      <c r="N955" s="18"/>
      <c r="O955" s="18"/>
      <c r="P955" s="23"/>
      <c r="Q955" s="26"/>
      <c r="R955" s="26"/>
      <c r="S955" s="26"/>
      <c r="T955" s="26"/>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c r="BM955" s="26"/>
      <c r="BN955" s="26"/>
      <c r="BO955" s="26"/>
      <c r="BP955" s="26"/>
      <c r="BQ955" s="26"/>
      <c r="BR955" s="26"/>
      <c r="BS955" s="26"/>
      <c r="BT955" s="26"/>
      <c r="BU955" s="26"/>
      <c r="BV955" s="26"/>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26"/>
      <c r="CU955" s="26"/>
      <c r="CV955" s="26"/>
      <c r="CW955" s="26"/>
      <c r="CX955" s="26"/>
      <c r="CY955" s="26"/>
      <c r="CZ955" s="26"/>
      <c r="DA955" s="26"/>
      <c r="DB955" s="26"/>
      <c r="DC955" s="26"/>
      <c r="DD955" s="26"/>
      <c r="DE955" s="26"/>
      <c r="DF955" s="26"/>
      <c r="DG955" s="26"/>
      <c r="DH955" s="26"/>
      <c r="DI955" s="26"/>
      <c r="DJ955" s="26"/>
      <c r="DK955" s="26"/>
      <c r="DL955" s="26"/>
      <c r="DM955" s="26"/>
      <c r="DN955" s="26"/>
      <c r="DO955" s="26"/>
      <c r="DP955" s="26"/>
      <c r="DQ955" s="26"/>
      <c r="DR955" s="26"/>
      <c r="DS955" s="26"/>
      <c r="DT955" s="26"/>
      <c r="DU955" s="26"/>
      <c r="DV955" s="26"/>
      <c r="DW955" s="26"/>
      <c r="DX955" s="26"/>
      <c r="DY955" s="26"/>
      <c r="DZ955" s="26"/>
      <c r="EA955" s="26"/>
      <c r="EB955" s="26"/>
      <c r="EC955" s="26"/>
      <c r="ED955" s="26"/>
      <c r="EE955" s="26"/>
      <c r="EF955" s="26"/>
      <c r="EG955" s="26"/>
      <c r="EH955" s="26"/>
      <c r="EI955" s="26"/>
      <c r="EJ955" s="26"/>
      <c r="EK955" s="26"/>
      <c r="EL955" s="26"/>
      <c r="EM955" s="26"/>
      <c r="EN955" s="26"/>
      <c r="EO955" s="26"/>
      <c r="EP955" s="26"/>
      <c r="EQ955" s="26"/>
      <c r="ER955" s="26"/>
      <c r="ES955" s="26"/>
      <c r="ET955" s="26"/>
      <c r="EU955" s="26"/>
      <c r="EV955" s="26"/>
      <c r="EW955" s="26"/>
      <c r="EX955" s="26"/>
      <c r="EY955" s="26"/>
      <c r="EZ955" s="26"/>
      <c r="FA955" s="60"/>
      <c r="FB955" s="60"/>
      <c r="FC955" s="60"/>
      <c r="FD955" s="60"/>
      <c r="FE955" s="60"/>
      <c r="FF955" s="60"/>
      <c r="FG955" s="60"/>
      <c r="FH955" s="60"/>
      <c r="FI955" s="60"/>
      <c r="FJ955" s="60"/>
      <c r="FK955" s="60"/>
      <c r="FL955" s="60"/>
      <c r="FM955" s="60"/>
      <c r="FN955" s="60"/>
      <c r="FO955" s="60"/>
      <c r="FP955" s="60"/>
      <c r="FQ955" s="60"/>
      <c r="FR955" s="60"/>
      <c r="FS955" s="60"/>
      <c r="FT955" s="60"/>
      <c r="FU955" s="60"/>
      <c r="FV955" s="60"/>
      <c r="FW955" s="60"/>
      <c r="FX955" s="60"/>
    </row>
    <row r="956">
      <c r="A956" s="18"/>
      <c r="B956" s="14"/>
      <c r="C956" s="14"/>
      <c r="D956" s="14"/>
      <c r="E956" s="18"/>
      <c r="F956" s="18"/>
      <c r="G956" s="18"/>
      <c r="H956" s="18"/>
      <c r="I956" s="18"/>
      <c r="J956" s="18"/>
      <c r="K956" s="18"/>
      <c r="L956" s="18"/>
      <c r="M956" s="18"/>
      <c r="N956" s="18"/>
      <c r="O956" s="18"/>
      <c r="P956" s="23"/>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c r="BO956" s="26"/>
      <c r="BP956" s="26"/>
      <c r="BQ956" s="26"/>
      <c r="BR956" s="26"/>
      <c r="BS956" s="26"/>
      <c r="BT956" s="26"/>
      <c r="BU956" s="26"/>
      <c r="BV956" s="26"/>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26"/>
      <c r="CU956" s="26"/>
      <c r="CV956" s="26"/>
      <c r="CW956" s="26"/>
      <c r="CX956" s="26"/>
      <c r="CY956" s="26"/>
      <c r="CZ956" s="26"/>
      <c r="DA956" s="26"/>
      <c r="DB956" s="26"/>
      <c r="DC956" s="26"/>
      <c r="DD956" s="26"/>
      <c r="DE956" s="26"/>
      <c r="DF956" s="26"/>
      <c r="DG956" s="26"/>
      <c r="DH956" s="26"/>
      <c r="DI956" s="26"/>
      <c r="DJ956" s="26"/>
      <c r="DK956" s="26"/>
      <c r="DL956" s="26"/>
      <c r="DM956" s="26"/>
      <c r="DN956" s="26"/>
      <c r="DO956" s="26"/>
      <c r="DP956" s="26"/>
      <c r="DQ956" s="26"/>
      <c r="DR956" s="26"/>
      <c r="DS956" s="26"/>
      <c r="DT956" s="26"/>
      <c r="DU956" s="26"/>
      <c r="DV956" s="26"/>
      <c r="DW956" s="26"/>
      <c r="DX956" s="26"/>
      <c r="DY956" s="26"/>
      <c r="DZ956" s="26"/>
      <c r="EA956" s="26"/>
      <c r="EB956" s="26"/>
      <c r="EC956" s="26"/>
      <c r="ED956" s="26"/>
      <c r="EE956" s="26"/>
      <c r="EF956" s="26"/>
      <c r="EG956" s="26"/>
      <c r="EH956" s="26"/>
      <c r="EI956" s="26"/>
      <c r="EJ956" s="26"/>
      <c r="EK956" s="26"/>
      <c r="EL956" s="26"/>
      <c r="EM956" s="26"/>
      <c r="EN956" s="26"/>
      <c r="EO956" s="26"/>
      <c r="EP956" s="26"/>
      <c r="EQ956" s="26"/>
      <c r="ER956" s="26"/>
      <c r="ES956" s="26"/>
      <c r="ET956" s="26"/>
      <c r="EU956" s="26"/>
      <c r="EV956" s="26"/>
      <c r="EW956" s="26"/>
      <c r="EX956" s="26"/>
      <c r="EY956" s="26"/>
      <c r="EZ956" s="26"/>
      <c r="FA956" s="60"/>
      <c r="FB956" s="60"/>
      <c r="FC956" s="60"/>
      <c r="FD956" s="60"/>
      <c r="FE956" s="60"/>
      <c r="FF956" s="60"/>
      <c r="FG956" s="60"/>
      <c r="FH956" s="60"/>
      <c r="FI956" s="60"/>
      <c r="FJ956" s="60"/>
      <c r="FK956" s="60"/>
      <c r="FL956" s="60"/>
      <c r="FM956" s="60"/>
      <c r="FN956" s="60"/>
      <c r="FO956" s="60"/>
      <c r="FP956" s="60"/>
      <c r="FQ956" s="60"/>
      <c r="FR956" s="60"/>
      <c r="FS956" s="60"/>
      <c r="FT956" s="60"/>
      <c r="FU956" s="60"/>
      <c r="FV956" s="60"/>
      <c r="FW956" s="60"/>
      <c r="FX956" s="60"/>
    </row>
    <row r="957">
      <c r="A957" s="18"/>
      <c r="B957" s="14"/>
      <c r="C957" s="14"/>
      <c r="D957" s="14"/>
      <c r="E957" s="18"/>
      <c r="F957" s="18"/>
      <c r="G957" s="18"/>
      <c r="H957" s="18"/>
      <c r="I957" s="18"/>
      <c r="J957" s="18"/>
      <c r="K957" s="18"/>
      <c r="L957" s="18"/>
      <c r="M957" s="18"/>
      <c r="N957" s="18"/>
      <c r="O957" s="18"/>
      <c r="P957" s="23"/>
      <c r="Q957" s="26"/>
      <c r="R957" s="26"/>
      <c r="S957" s="26"/>
      <c r="T957" s="26"/>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c r="BM957" s="26"/>
      <c r="BN957" s="26"/>
      <c r="BO957" s="26"/>
      <c r="BP957" s="26"/>
      <c r="BQ957" s="26"/>
      <c r="BR957" s="26"/>
      <c r="BS957" s="26"/>
      <c r="BT957" s="26"/>
      <c r="BU957" s="26"/>
      <c r="BV957" s="26"/>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26"/>
      <c r="CU957" s="26"/>
      <c r="CV957" s="26"/>
      <c r="CW957" s="26"/>
      <c r="CX957" s="26"/>
      <c r="CY957" s="26"/>
      <c r="CZ957" s="26"/>
      <c r="DA957" s="26"/>
      <c r="DB957" s="26"/>
      <c r="DC957" s="26"/>
      <c r="DD957" s="26"/>
      <c r="DE957" s="26"/>
      <c r="DF957" s="26"/>
      <c r="DG957" s="26"/>
      <c r="DH957" s="26"/>
      <c r="DI957" s="26"/>
      <c r="DJ957" s="26"/>
      <c r="DK957" s="26"/>
      <c r="DL957" s="26"/>
      <c r="DM957" s="26"/>
      <c r="DN957" s="26"/>
      <c r="DO957" s="26"/>
      <c r="DP957" s="26"/>
      <c r="DQ957" s="26"/>
      <c r="DR957" s="26"/>
      <c r="DS957" s="26"/>
      <c r="DT957" s="26"/>
      <c r="DU957" s="26"/>
      <c r="DV957" s="26"/>
      <c r="DW957" s="26"/>
      <c r="DX957" s="26"/>
      <c r="DY957" s="26"/>
      <c r="DZ957" s="26"/>
      <c r="EA957" s="26"/>
      <c r="EB957" s="26"/>
      <c r="EC957" s="26"/>
      <c r="ED957" s="26"/>
      <c r="EE957" s="26"/>
      <c r="EF957" s="26"/>
      <c r="EG957" s="26"/>
      <c r="EH957" s="26"/>
      <c r="EI957" s="26"/>
      <c r="EJ957" s="26"/>
      <c r="EK957" s="26"/>
      <c r="EL957" s="26"/>
      <c r="EM957" s="26"/>
      <c r="EN957" s="26"/>
      <c r="EO957" s="26"/>
      <c r="EP957" s="26"/>
      <c r="EQ957" s="26"/>
      <c r="ER957" s="26"/>
      <c r="ES957" s="26"/>
      <c r="ET957" s="26"/>
      <c r="EU957" s="26"/>
      <c r="EV957" s="26"/>
      <c r="EW957" s="26"/>
      <c r="EX957" s="26"/>
      <c r="EY957" s="26"/>
      <c r="EZ957" s="26"/>
      <c r="FA957" s="60"/>
      <c r="FB957" s="60"/>
      <c r="FC957" s="60"/>
      <c r="FD957" s="60"/>
      <c r="FE957" s="60"/>
      <c r="FF957" s="60"/>
      <c r="FG957" s="60"/>
      <c r="FH957" s="60"/>
      <c r="FI957" s="60"/>
      <c r="FJ957" s="60"/>
      <c r="FK957" s="60"/>
      <c r="FL957" s="60"/>
      <c r="FM957" s="60"/>
      <c r="FN957" s="60"/>
      <c r="FO957" s="60"/>
      <c r="FP957" s="60"/>
      <c r="FQ957" s="60"/>
      <c r="FR957" s="60"/>
      <c r="FS957" s="60"/>
      <c r="FT957" s="60"/>
      <c r="FU957" s="60"/>
      <c r="FV957" s="60"/>
      <c r="FW957" s="60"/>
      <c r="FX957" s="60"/>
    </row>
    <row r="958">
      <c r="A958" s="18"/>
      <c r="B958" s="14"/>
      <c r="C958" s="14"/>
      <c r="D958" s="14"/>
      <c r="E958" s="18"/>
      <c r="F958" s="18"/>
      <c r="G958" s="18"/>
      <c r="H958" s="18"/>
      <c r="I958" s="18"/>
      <c r="J958" s="18"/>
      <c r="K958" s="18"/>
      <c r="L958" s="18"/>
      <c r="M958" s="18"/>
      <c r="N958" s="18"/>
      <c r="O958" s="18"/>
      <c r="P958" s="23"/>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c r="BO958" s="26"/>
      <c r="BP958" s="26"/>
      <c r="BQ958" s="26"/>
      <c r="BR958" s="26"/>
      <c r="BS958" s="26"/>
      <c r="BT958" s="26"/>
      <c r="BU958" s="26"/>
      <c r="BV958" s="26"/>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26"/>
      <c r="CU958" s="26"/>
      <c r="CV958" s="26"/>
      <c r="CW958" s="26"/>
      <c r="CX958" s="26"/>
      <c r="CY958" s="26"/>
      <c r="CZ958" s="26"/>
      <c r="DA958" s="26"/>
      <c r="DB958" s="26"/>
      <c r="DC958" s="26"/>
      <c r="DD958" s="26"/>
      <c r="DE958" s="26"/>
      <c r="DF958" s="26"/>
      <c r="DG958" s="26"/>
      <c r="DH958" s="26"/>
      <c r="DI958" s="26"/>
      <c r="DJ958" s="26"/>
      <c r="DK958" s="26"/>
      <c r="DL958" s="26"/>
      <c r="DM958" s="26"/>
      <c r="DN958" s="26"/>
      <c r="DO958" s="26"/>
      <c r="DP958" s="26"/>
      <c r="DQ958" s="26"/>
      <c r="DR958" s="26"/>
      <c r="DS958" s="26"/>
      <c r="DT958" s="26"/>
      <c r="DU958" s="26"/>
      <c r="DV958" s="26"/>
      <c r="DW958" s="26"/>
      <c r="DX958" s="26"/>
      <c r="DY958" s="26"/>
      <c r="DZ958" s="26"/>
      <c r="EA958" s="26"/>
      <c r="EB958" s="26"/>
      <c r="EC958" s="26"/>
      <c r="ED958" s="26"/>
      <c r="EE958" s="26"/>
      <c r="EF958" s="26"/>
      <c r="EG958" s="26"/>
      <c r="EH958" s="26"/>
      <c r="EI958" s="26"/>
      <c r="EJ958" s="26"/>
      <c r="EK958" s="26"/>
      <c r="EL958" s="26"/>
      <c r="EM958" s="26"/>
      <c r="EN958" s="26"/>
      <c r="EO958" s="26"/>
      <c r="EP958" s="26"/>
      <c r="EQ958" s="26"/>
      <c r="ER958" s="26"/>
      <c r="ES958" s="26"/>
      <c r="ET958" s="26"/>
      <c r="EU958" s="26"/>
      <c r="EV958" s="26"/>
      <c r="EW958" s="26"/>
      <c r="EX958" s="26"/>
      <c r="EY958" s="26"/>
      <c r="EZ958" s="26"/>
      <c r="FA958" s="60"/>
      <c r="FB958" s="60"/>
      <c r="FC958" s="60"/>
      <c r="FD958" s="60"/>
      <c r="FE958" s="60"/>
      <c r="FF958" s="60"/>
      <c r="FG958" s="60"/>
      <c r="FH958" s="60"/>
      <c r="FI958" s="60"/>
      <c r="FJ958" s="60"/>
      <c r="FK958" s="60"/>
      <c r="FL958" s="60"/>
      <c r="FM958" s="60"/>
      <c r="FN958" s="60"/>
      <c r="FO958" s="60"/>
      <c r="FP958" s="60"/>
      <c r="FQ958" s="60"/>
      <c r="FR958" s="60"/>
      <c r="FS958" s="60"/>
      <c r="FT958" s="60"/>
      <c r="FU958" s="60"/>
      <c r="FV958" s="60"/>
      <c r="FW958" s="60"/>
      <c r="FX958" s="60"/>
    </row>
    <row r="959">
      <c r="A959" s="18"/>
      <c r="B959" s="14"/>
      <c r="C959" s="14"/>
      <c r="D959" s="14"/>
      <c r="E959" s="18"/>
      <c r="F959" s="18"/>
      <c r="G959" s="18"/>
      <c r="H959" s="18"/>
      <c r="I959" s="18"/>
      <c r="J959" s="18"/>
      <c r="K959" s="18"/>
      <c r="L959" s="18"/>
      <c r="M959" s="18"/>
      <c r="N959" s="18"/>
      <c r="O959" s="18"/>
      <c r="P959" s="23"/>
      <c r="Q959" s="26"/>
      <c r="R959" s="26"/>
      <c r="S959" s="26"/>
      <c r="T959" s="26"/>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c r="BM959" s="26"/>
      <c r="BN959" s="26"/>
      <c r="BO959" s="26"/>
      <c r="BP959" s="26"/>
      <c r="BQ959" s="26"/>
      <c r="BR959" s="26"/>
      <c r="BS959" s="26"/>
      <c r="BT959" s="26"/>
      <c r="BU959" s="26"/>
      <c r="BV959" s="26"/>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26"/>
      <c r="CU959" s="26"/>
      <c r="CV959" s="26"/>
      <c r="CW959" s="26"/>
      <c r="CX959" s="26"/>
      <c r="CY959" s="26"/>
      <c r="CZ959" s="26"/>
      <c r="DA959" s="26"/>
      <c r="DB959" s="26"/>
      <c r="DC959" s="26"/>
      <c r="DD959" s="26"/>
      <c r="DE959" s="26"/>
      <c r="DF959" s="26"/>
      <c r="DG959" s="26"/>
      <c r="DH959" s="26"/>
      <c r="DI959" s="26"/>
      <c r="DJ959" s="26"/>
      <c r="DK959" s="26"/>
      <c r="DL959" s="26"/>
      <c r="DM959" s="26"/>
      <c r="DN959" s="26"/>
      <c r="DO959" s="26"/>
      <c r="DP959" s="26"/>
      <c r="DQ959" s="26"/>
      <c r="DR959" s="26"/>
      <c r="DS959" s="26"/>
      <c r="DT959" s="26"/>
      <c r="DU959" s="26"/>
      <c r="DV959" s="26"/>
      <c r="DW959" s="26"/>
      <c r="DX959" s="26"/>
      <c r="DY959" s="26"/>
      <c r="DZ959" s="26"/>
      <c r="EA959" s="26"/>
      <c r="EB959" s="26"/>
      <c r="EC959" s="26"/>
      <c r="ED959" s="26"/>
      <c r="EE959" s="26"/>
      <c r="EF959" s="26"/>
      <c r="EG959" s="26"/>
      <c r="EH959" s="26"/>
      <c r="EI959" s="26"/>
      <c r="EJ959" s="26"/>
      <c r="EK959" s="26"/>
      <c r="EL959" s="26"/>
      <c r="EM959" s="26"/>
      <c r="EN959" s="26"/>
      <c r="EO959" s="26"/>
      <c r="EP959" s="26"/>
      <c r="EQ959" s="26"/>
      <c r="ER959" s="26"/>
      <c r="ES959" s="26"/>
      <c r="ET959" s="26"/>
      <c r="EU959" s="26"/>
      <c r="EV959" s="26"/>
      <c r="EW959" s="26"/>
      <c r="EX959" s="26"/>
      <c r="EY959" s="26"/>
      <c r="EZ959" s="26"/>
      <c r="FA959" s="60"/>
      <c r="FB959" s="60"/>
      <c r="FC959" s="60"/>
      <c r="FD959" s="60"/>
      <c r="FE959" s="60"/>
      <c r="FF959" s="60"/>
      <c r="FG959" s="60"/>
      <c r="FH959" s="60"/>
      <c r="FI959" s="60"/>
      <c r="FJ959" s="60"/>
      <c r="FK959" s="60"/>
      <c r="FL959" s="60"/>
      <c r="FM959" s="60"/>
      <c r="FN959" s="60"/>
      <c r="FO959" s="60"/>
      <c r="FP959" s="60"/>
      <c r="FQ959" s="60"/>
      <c r="FR959" s="60"/>
      <c r="FS959" s="60"/>
      <c r="FT959" s="60"/>
      <c r="FU959" s="60"/>
      <c r="FV959" s="60"/>
      <c r="FW959" s="60"/>
      <c r="FX959" s="60"/>
    </row>
    <row r="960">
      <c r="A960" s="18"/>
      <c r="B960" s="14"/>
      <c r="C960" s="14"/>
      <c r="D960" s="14"/>
      <c r="E960" s="18"/>
      <c r="F960" s="18"/>
      <c r="G960" s="18"/>
      <c r="H960" s="18"/>
      <c r="I960" s="18"/>
      <c r="J960" s="18"/>
      <c r="K960" s="18"/>
      <c r="L960" s="18"/>
      <c r="M960" s="18"/>
      <c r="N960" s="18"/>
      <c r="O960" s="18"/>
      <c r="P960" s="23"/>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c r="BS960" s="26"/>
      <c r="BT960" s="26"/>
      <c r="BU960" s="26"/>
      <c r="BV960" s="26"/>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26"/>
      <c r="CU960" s="26"/>
      <c r="CV960" s="26"/>
      <c r="CW960" s="26"/>
      <c r="CX960" s="26"/>
      <c r="CY960" s="26"/>
      <c r="CZ960" s="26"/>
      <c r="DA960" s="26"/>
      <c r="DB960" s="26"/>
      <c r="DC960" s="26"/>
      <c r="DD960" s="26"/>
      <c r="DE960" s="26"/>
      <c r="DF960" s="26"/>
      <c r="DG960" s="26"/>
      <c r="DH960" s="26"/>
      <c r="DI960" s="26"/>
      <c r="DJ960" s="26"/>
      <c r="DK960" s="26"/>
      <c r="DL960" s="26"/>
      <c r="DM960" s="26"/>
      <c r="DN960" s="26"/>
      <c r="DO960" s="26"/>
      <c r="DP960" s="26"/>
      <c r="DQ960" s="26"/>
      <c r="DR960" s="26"/>
      <c r="DS960" s="26"/>
      <c r="DT960" s="26"/>
      <c r="DU960" s="26"/>
      <c r="DV960" s="26"/>
      <c r="DW960" s="26"/>
      <c r="DX960" s="26"/>
      <c r="DY960" s="26"/>
      <c r="DZ960" s="26"/>
      <c r="EA960" s="26"/>
      <c r="EB960" s="26"/>
      <c r="EC960" s="26"/>
      <c r="ED960" s="26"/>
      <c r="EE960" s="26"/>
      <c r="EF960" s="26"/>
      <c r="EG960" s="26"/>
      <c r="EH960" s="26"/>
      <c r="EI960" s="26"/>
      <c r="EJ960" s="26"/>
      <c r="EK960" s="26"/>
      <c r="EL960" s="26"/>
      <c r="EM960" s="26"/>
      <c r="EN960" s="26"/>
      <c r="EO960" s="26"/>
      <c r="EP960" s="26"/>
      <c r="EQ960" s="26"/>
      <c r="ER960" s="26"/>
      <c r="ES960" s="26"/>
      <c r="ET960" s="26"/>
      <c r="EU960" s="26"/>
      <c r="EV960" s="26"/>
      <c r="EW960" s="26"/>
      <c r="EX960" s="26"/>
      <c r="EY960" s="26"/>
      <c r="EZ960" s="26"/>
      <c r="FA960" s="60"/>
      <c r="FB960" s="60"/>
      <c r="FC960" s="60"/>
      <c r="FD960" s="60"/>
      <c r="FE960" s="60"/>
      <c r="FF960" s="60"/>
      <c r="FG960" s="60"/>
      <c r="FH960" s="60"/>
      <c r="FI960" s="60"/>
      <c r="FJ960" s="60"/>
      <c r="FK960" s="60"/>
      <c r="FL960" s="60"/>
      <c r="FM960" s="60"/>
      <c r="FN960" s="60"/>
      <c r="FO960" s="60"/>
      <c r="FP960" s="60"/>
      <c r="FQ960" s="60"/>
      <c r="FR960" s="60"/>
      <c r="FS960" s="60"/>
      <c r="FT960" s="60"/>
      <c r="FU960" s="60"/>
      <c r="FV960" s="60"/>
      <c r="FW960" s="60"/>
      <c r="FX960" s="60"/>
    </row>
    <row r="961">
      <c r="A961" s="18"/>
      <c r="B961" s="14"/>
      <c r="C961" s="14"/>
      <c r="D961" s="14"/>
      <c r="E961" s="18"/>
      <c r="F961" s="18"/>
      <c r="G961" s="18"/>
      <c r="H961" s="18"/>
      <c r="I961" s="18"/>
      <c r="J961" s="18"/>
      <c r="K961" s="18"/>
      <c r="L961" s="18"/>
      <c r="M961" s="18"/>
      <c r="N961" s="18"/>
      <c r="O961" s="18"/>
      <c r="P961" s="23"/>
      <c r="Q961" s="26"/>
      <c r="R961" s="26"/>
      <c r="S961" s="26"/>
      <c r="T961" s="26"/>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c r="BM961" s="26"/>
      <c r="BN961" s="26"/>
      <c r="BO961" s="26"/>
      <c r="BP961" s="26"/>
      <c r="BQ961" s="26"/>
      <c r="BR961" s="26"/>
      <c r="BS961" s="26"/>
      <c r="BT961" s="26"/>
      <c r="BU961" s="26"/>
      <c r="BV961" s="26"/>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26"/>
      <c r="CU961" s="26"/>
      <c r="CV961" s="26"/>
      <c r="CW961" s="26"/>
      <c r="CX961" s="26"/>
      <c r="CY961" s="26"/>
      <c r="CZ961" s="26"/>
      <c r="DA961" s="26"/>
      <c r="DB961" s="26"/>
      <c r="DC961" s="26"/>
      <c r="DD961" s="26"/>
      <c r="DE961" s="26"/>
      <c r="DF961" s="26"/>
      <c r="DG961" s="26"/>
      <c r="DH961" s="26"/>
      <c r="DI961" s="26"/>
      <c r="DJ961" s="26"/>
      <c r="DK961" s="26"/>
      <c r="DL961" s="26"/>
      <c r="DM961" s="26"/>
      <c r="DN961" s="26"/>
      <c r="DO961" s="26"/>
      <c r="DP961" s="26"/>
      <c r="DQ961" s="26"/>
      <c r="DR961" s="26"/>
      <c r="DS961" s="26"/>
      <c r="DT961" s="26"/>
      <c r="DU961" s="26"/>
      <c r="DV961" s="26"/>
      <c r="DW961" s="26"/>
      <c r="DX961" s="26"/>
      <c r="DY961" s="26"/>
      <c r="DZ961" s="26"/>
      <c r="EA961" s="26"/>
      <c r="EB961" s="26"/>
      <c r="EC961" s="26"/>
      <c r="ED961" s="26"/>
      <c r="EE961" s="26"/>
      <c r="EF961" s="26"/>
      <c r="EG961" s="26"/>
      <c r="EH961" s="26"/>
      <c r="EI961" s="26"/>
      <c r="EJ961" s="26"/>
      <c r="EK961" s="26"/>
      <c r="EL961" s="26"/>
      <c r="EM961" s="26"/>
      <c r="EN961" s="26"/>
      <c r="EO961" s="26"/>
      <c r="EP961" s="26"/>
      <c r="EQ961" s="26"/>
      <c r="ER961" s="26"/>
      <c r="ES961" s="26"/>
      <c r="ET961" s="26"/>
      <c r="EU961" s="26"/>
      <c r="EV961" s="26"/>
      <c r="EW961" s="26"/>
      <c r="EX961" s="26"/>
      <c r="EY961" s="26"/>
      <c r="EZ961" s="26"/>
      <c r="FA961" s="60"/>
      <c r="FB961" s="60"/>
      <c r="FC961" s="60"/>
      <c r="FD961" s="60"/>
      <c r="FE961" s="60"/>
      <c r="FF961" s="60"/>
      <c r="FG961" s="60"/>
      <c r="FH961" s="60"/>
      <c r="FI961" s="60"/>
      <c r="FJ961" s="60"/>
      <c r="FK961" s="60"/>
      <c r="FL961" s="60"/>
      <c r="FM961" s="60"/>
      <c r="FN961" s="60"/>
      <c r="FO961" s="60"/>
      <c r="FP961" s="60"/>
      <c r="FQ961" s="60"/>
      <c r="FR961" s="60"/>
      <c r="FS961" s="60"/>
      <c r="FT961" s="60"/>
      <c r="FU961" s="60"/>
      <c r="FV961" s="60"/>
      <c r="FW961" s="60"/>
      <c r="FX961" s="60"/>
    </row>
    <row r="962">
      <c r="A962" s="18"/>
      <c r="B962" s="14"/>
      <c r="C962" s="14"/>
      <c r="D962" s="14"/>
      <c r="E962" s="18"/>
      <c r="F962" s="18"/>
      <c r="G962" s="18"/>
      <c r="H962" s="18"/>
      <c r="I962" s="18"/>
      <c r="J962" s="18"/>
      <c r="K962" s="18"/>
      <c r="L962" s="18"/>
      <c r="M962" s="18"/>
      <c r="N962" s="18"/>
      <c r="O962" s="18"/>
      <c r="P962" s="23"/>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c r="BO962" s="26"/>
      <c r="BP962" s="26"/>
      <c r="BQ962" s="26"/>
      <c r="BR962" s="26"/>
      <c r="BS962" s="26"/>
      <c r="BT962" s="26"/>
      <c r="BU962" s="26"/>
      <c r="BV962" s="26"/>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26"/>
      <c r="CU962" s="26"/>
      <c r="CV962" s="26"/>
      <c r="CW962" s="26"/>
      <c r="CX962" s="26"/>
      <c r="CY962" s="26"/>
      <c r="CZ962" s="26"/>
      <c r="DA962" s="26"/>
      <c r="DB962" s="26"/>
      <c r="DC962" s="26"/>
      <c r="DD962" s="26"/>
      <c r="DE962" s="26"/>
      <c r="DF962" s="26"/>
      <c r="DG962" s="26"/>
      <c r="DH962" s="26"/>
      <c r="DI962" s="26"/>
      <c r="DJ962" s="26"/>
      <c r="DK962" s="26"/>
      <c r="DL962" s="26"/>
      <c r="DM962" s="26"/>
      <c r="DN962" s="26"/>
      <c r="DO962" s="26"/>
      <c r="DP962" s="26"/>
      <c r="DQ962" s="26"/>
      <c r="DR962" s="26"/>
      <c r="DS962" s="26"/>
      <c r="DT962" s="26"/>
      <c r="DU962" s="26"/>
      <c r="DV962" s="26"/>
      <c r="DW962" s="26"/>
      <c r="DX962" s="26"/>
      <c r="DY962" s="26"/>
      <c r="DZ962" s="26"/>
      <c r="EA962" s="26"/>
      <c r="EB962" s="26"/>
      <c r="EC962" s="26"/>
      <c r="ED962" s="26"/>
      <c r="EE962" s="26"/>
      <c r="EF962" s="26"/>
      <c r="EG962" s="26"/>
      <c r="EH962" s="26"/>
      <c r="EI962" s="26"/>
      <c r="EJ962" s="26"/>
      <c r="EK962" s="26"/>
      <c r="EL962" s="26"/>
      <c r="EM962" s="26"/>
      <c r="EN962" s="26"/>
      <c r="EO962" s="26"/>
      <c r="EP962" s="26"/>
      <c r="EQ962" s="26"/>
      <c r="ER962" s="26"/>
      <c r="ES962" s="26"/>
      <c r="ET962" s="26"/>
      <c r="EU962" s="26"/>
      <c r="EV962" s="26"/>
      <c r="EW962" s="26"/>
      <c r="EX962" s="26"/>
      <c r="EY962" s="26"/>
      <c r="EZ962" s="26"/>
      <c r="FA962" s="60"/>
      <c r="FB962" s="60"/>
      <c r="FC962" s="60"/>
      <c r="FD962" s="60"/>
      <c r="FE962" s="60"/>
      <c r="FF962" s="60"/>
      <c r="FG962" s="60"/>
      <c r="FH962" s="60"/>
      <c r="FI962" s="60"/>
      <c r="FJ962" s="60"/>
      <c r="FK962" s="60"/>
      <c r="FL962" s="60"/>
      <c r="FM962" s="60"/>
      <c r="FN962" s="60"/>
      <c r="FO962" s="60"/>
      <c r="FP962" s="60"/>
      <c r="FQ962" s="60"/>
      <c r="FR962" s="60"/>
      <c r="FS962" s="60"/>
      <c r="FT962" s="60"/>
      <c r="FU962" s="60"/>
      <c r="FV962" s="60"/>
      <c r="FW962" s="60"/>
      <c r="FX962" s="60"/>
    </row>
    <row r="963">
      <c r="A963" s="18"/>
      <c r="B963" s="14"/>
      <c r="C963" s="14"/>
      <c r="D963" s="14"/>
      <c r="E963" s="18"/>
      <c r="F963" s="18"/>
      <c r="G963" s="18"/>
      <c r="H963" s="18"/>
      <c r="I963" s="18"/>
      <c r="J963" s="18"/>
      <c r="K963" s="18"/>
      <c r="L963" s="18"/>
      <c r="M963" s="18"/>
      <c r="N963" s="18"/>
      <c r="O963" s="18"/>
      <c r="P963" s="23"/>
      <c r="Q963" s="26"/>
      <c r="R963" s="26"/>
      <c r="S963" s="26"/>
      <c r="T963" s="26"/>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c r="BM963" s="26"/>
      <c r="BN963" s="26"/>
      <c r="BO963" s="26"/>
      <c r="BP963" s="26"/>
      <c r="BQ963" s="26"/>
      <c r="BR963" s="26"/>
      <c r="BS963" s="26"/>
      <c r="BT963" s="26"/>
      <c r="BU963" s="26"/>
      <c r="BV963" s="26"/>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26"/>
      <c r="CU963" s="26"/>
      <c r="CV963" s="26"/>
      <c r="CW963" s="26"/>
      <c r="CX963" s="26"/>
      <c r="CY963" s="26"/>
      <c r="CZ963" s="26"/>
      <c r="DA963" s="26"/>
      <c r="DB963" s="26"/>
      <c r="DC963" s="26"/>
      <c r="DD963" s="26"/>
      <c r="DE963" s="26"/>
      <c r="DF963" s="26"/>
      <c r="DG963" s="26"/>
      <c r="DH963" s="26"/>
      <c r="DI963" s="26"/>
      <c r="DJ963" s="26"/>
      <c r="DK963" s="26"/>
      <c r="DL963" s="26"/>
      <c r="DM963" s="26"/>
      <c r="DN963" s="26"/>
      <c r="DO963" s="26"/>
      <c r="DP963" s="26"/>
      <c r="DQ963" s="26"/>
      <c r="DR963" s="26"/>
      <c r="DS963" s="26"/>
      <c r="DT963" s="26"/>
      <c r="DU963" s="26"/>
      <c r="DV963" s="26"/>
      <c r="DW963" s="26"/>
      <c r="DX963" s="26"/>
      <c r="DY963" s="26"/>
      <c r="DZ963" s="26"/>
      <c r="EA963" s="26"/>
      <c r="EB963" s="26"/>
      <c r="EC963" s="26"/>
      <c r="ED963" s="26"/>
      <c r="EE963" s="26"/>
      <c r="EF963" s="26"/>
      <c r="EG963" s="26"/>
      <c r="EH963" s="26"/>
      <c r="EI963" s="26"/>
      <c r="EJ963" s="26"/>
      <c r="EK963" s="26"/>
      <c r="EL963" s="26"/>
      <c r="EM963" s="26"/>
      <c r="EN963" s="26"/>
      <c r="EO963" s="26"/>
      <c r="EP963" s="26"/>
      <c r="EQ963" s="26"/>
      <c r="ER963" s="26"/>
      <c r="ES963" s="26"/>
      <c r="ET963" s="26"/>
      <c r="EU963" s="26"/>
      <c r="EV963" s="26"/>
      <c r="EW963" s="26"/>
      <c r="EX963" s="26"/>
      <c r="EY963" s="26"/>
      <c r="EZ963" s="26"/>
      <c r="FA963" s="60"/>
      <c r="FB963" s="60"/>
      <c r="FC963" s="60"/>
      <c r="FD963" s="60"/>
      <c r="FE963" s="60"/>
      <c r="FF963" s="60"/>
      <c r="FG963" s="60"/>
      <c r="FH963" s="60"/>
      <c r="FI963" s="60"/>
      <c r="FJ963" s="60"/>
      <c r="FK963" s="60"/>
      <c r="FL963" s="60"/>
      <c r="FM963" s="60"/>
      <c r="FN963" s="60"/>
      <c r="FO963" s="60"/>
      <c r="FP963" s="60"/>
      <c r="FQ963" s="60"/>
      <c r="FR963" s="60"/>
      <c r="FS963" s="60"/>
      <c r="FT963" s="60"/>
      <c r="FU963" s="60"/>
      <c r="FV963" s="60"/>
      <c r="FW963" s="60"/>
      <c r="FX963" s="60"/>
    </row>
    <row r="964">
      <c r="A964" s="18"/>
      <c r="B964" s="14"/>
      <c r="C964" s="14"/>
      <c r="D964" s="14"/>
      <c r="E964" s="18"/>
      <c r="F964" s="18"/>
      <c r="G964" s="18"/>
      <c r="H964" s="18"/>
      <c r="I964" s="18"/>
      <c r="J964" s="18"/>
      <c r="K964" s="18"/>
      <c r="L964" s="18"/>
      <c r="M964" s="18"/>
      <c r="N964" s="18"/>
      <c r="O964" s="18"/>
      <c r="P964" s="23"/>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c r="BO964" s="26"/>
      <c r="BP964" s="26"/>
      <c r="BQ964" s="26"/>
      <c r="BR964" s="26"/>
      <c r="BS964" s="26"/>
      <c r="BT964" s="26"/>
      <c r="BU964" s="26"/>
      <c r="BV964" s="26"/>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26"/>
      <c r="CU964" s="26"/>
      <c r="CV964" s="26"/>
      <c r="CW964" s="26"/>
      <c r="CX964" s="26"/>
      <c r="CY964" s="26"/>
      <c r="CZ964" s="26"/>
      <c r="DA964" s="26"/>
      <c r="DB964" s="26"/>
      <c r="DC964" s="26"/>
      <c r="DD964" s="26"/>
      <c r="DE964" s="26"/>
      <c r="DF964" s="26"/>
      <c r="DG964" s="26"/>
      <c r="DH964" s="26"/>
      <c r="DI964" s="26"/>
      <c r="DJ964" s="26"/>
      <c r="DK964" s="26"/>
      <c r="DL964" s="26"/>
      <c r="DM964" s="26"/>
      <c r="DN964" s="26"/>
      <c r="DO964" s="26"/>
      <c r="DP964" s="26"/>
      <c r="DQ964" s="26"/>
      <c r="DR964" s="26"/>
      <c r="DS964" s="26"/>
      <c r="DT964" s="26"/>
      <c r="DU964" s="26"/>
      <c r="DV964" s="26"/>
      <c r="DW964" s="26"/>
      <c r="DX964" s="26"/>
      <c r="DY964" s="26"/>
      <c r="DZ964" s="26"/>
      <c r="EA964" s="26"/>
      <c r="EB964" s="26"/>
      <c r="EC964" s="26"/>
      <c r="ED964" s="26"/>
      <c r="EE964" s="26"/>
      <c r="EF964" s="26"/>
      <c r="EG964" s="26"/>
      <c r="EH964" s="26"/>
      <c r="EI964" s="26"/>
      <c r="EJ964" s="26"/>
      <c r="EK964" s="26"/>
      <c r="EL964" s="26"/>
      <c r="EM964" s="26"/>
      <c r="EN964" s="26"/>
      <c r="EO964" s="26"/>
      <c r="EP964" s="26"/>
      <c r="EQ964" s="26"/>
      <c r="ER964" s="26"/>
      <c r="ES964" s="26"/>
      <c r="ET964" s="26"/>
      <c r="EU964" s="26"/>
      <c r="EV964" s="26"/>
      <c r="EW964" s="26"/>
      <c r="EX964" s="26"/>
      <c r="EY964" s="26"/>
      <c r="EZ964" s="26"/>
      <c r="FA964" s="60"/>
      <c r="FB964" s="60"/>
      <c r="FC964" s="60"/>
      <c r="FD964" s="60"/>
      <c r="FE964" s="60"/>
      <c r="FF964" s="60"/>
      <c r="FG964" s="60"/>
      <c r="FH964" s="60"/>
      <c r="FI964" s="60"/>
      <c r="FJ964" s="60"/>
      <c r="FK964" s="60"/>
      <c r="FL964" s="60"/>
      <c r="FM964" s="60"/>
      <c r="FN964" s="60"/>
      <c r="FO964" s="60"/>
      <c r="FP964" s="60"/>
      <c r="FQ964" s="60"/>
      <c r="FR964" s="60"/>
      <c r="FS964" s="60"/>
      <c r="FT964" s="60"/>
      <c r="FU964" s="60"/>
      <c r="FV964" s="60"/>
      <c r="FW964" s="60"/>
      <c r="FX964" s="60"/>
    </row>
    <row r="965">
      <c r="A965" s="18"/>
      <c r="B965" s="14"/>
      <c r="C965" s="14"/>
      <c r="D965" s="14"/>
      <c r="E965" s="18"/>
      <c r="F965" s="18"/>
      <c r="G965" s="18"/>
      <c r="H965" s="18"/>
      <c r="I965" s="18"/>
      <c r="J965" s="18"/>
      <c r="K965" s="18"/>
      <c r="L965" s="18"/>
      <c r="M965" s="18"/>
      <c r="N965" s="18"/>
      <c r="O965" s="18"/>
      <c r="P965" s="23"/>
      <c r="Q965" s="26"/>
      <c r="R965" s="26"/>
      <c r="S965" s="26"/>
      <c r="T965" s="26"/>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26"/>
      <c r="BS965" s="26"/>
      <c r="BT965" s="26"/>
      <c r="BU965" s="26"/>
      <c r="BV965" s="26"/>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26"/>
      <c r="CU965" s="26"/>
      <c r="CV965" s="26"/>
      <c r="CW965" s="26"/>
      <c r="CX965" s="26"/>
      <c r="CY965" s="26"/>
      <c r="CZ965" s="26"/>
      <c r="DA965" s="26"/>
      <c r="DB965" s="26"/>
      <c r="DC965" s="26"/>
      <c r="DD965" s="26"/>
      <c r="DE965" s="26"/>
      <c r="DF965" s="26"/>
      <c r="DG965" s="26"/>
      <c r="DH965" s="26"/>
      <c r="DI965" s="26"/>
      <c r="DJ965" s="26"/>
      <c r="DK965" s="26"/>
      <c r="DL965" s="26"/>
      <c r="DM965" s="26"/>
      <c r="DN965" s="26"/>
      <c r="DO965" s="26"/>
      <c r="DP965" s="26"/>
      <c r="DQ965" s="26"/>
      <c r="DR965" s="26"/>
      <c r="DS965" s="26"/>
      <c r="DT965" s="26"/>
      <c r="DU965" s="26"/>
      <c r="DV965" s="26"/>
      <c r="DW965" s="26"/>
      <c r="DX965" s="26"/>
      <c r="DY965" s="26"/>
      <c r="DZ965" s="26"/>
      <c r="EA965" s="26"/>
      <c r="EB965" s="26"/>
      <c r="EC965" s="26"/>
      <c r="ED965" s="26"/>
      <c r="EE965" s="26"/>
      <c r="EF965" s="26"/>
      <c r="EG965" s="26"/>
      <c r="EH965" s="26"/>
      <c r="EI965" s="26"/>
      <c r="EJ965" s="26"/>
      <c r="EK965" s="26"/>
      <c r="EL965" s="26"/>
      <c r="EM965" s="26"/>
      <c r="EN965" s="26"/>
      <c r="EO965" s="26"/>
      <c r="EP965" s="26"/>
      <c r="EQ965" s="26"/>
      <c r="ER965" s="26"/>
      <c r="ES965" s="26"/>
      <c r="ET965" s="26"/>
      <c r="EU965" s="26"/>
      <c r="EV965" s="26"/>
      <c r="EW965" s="26"/>
      <c r="EX965" s="26"/>
      <c r="EY965" s="26"/>
      <c r="EZ965" s="26"/>
      <c r="FA965" s="60"/>
      <c r="FB965" s="60"/>
      <c r="FC965" s="60"/>
      <c r="FD965" s="60"/>
      <c r="FE965" s="60"/>
      <c r="FF965" s="60"/>
      <c r="FG965" s="60"/>
      <c r="FH965" s="60"/>
      <c r="FI965" s="60"/>
      <c r="FJ965" s="60"/>
      <c r="FK965" s="60"/>
      <c r="FL965" s="60"/>
      <c r="FM965" s="60"/>
      <c r="FN965" s="60"/>
      <c r="FO965" s="60"/>
      <c r="FP965" s="60"/>
      <c r="FQ965" s="60"/>
      <c r="FR965" s="60"/>
      <c r="FS965" s="60"/>
      <c r="FT965" s="60"/>
      <c r="FU965" s="60"/>
      <c r="FV965" s="60"/>
      <c r="FW965" s="60"/>
      <c r="FX965" s="60"/>
    </row>
    <row r="966">
      <c r="A966" s="18"/>
      <c r="B966" s="14"/>
      <c r="C966" s="14"/>
      <c r="D966" s="14"/>
      <c r="E966" s="18"/>
      <c r="F966" s="18"/>
      <c r="G966" s="18"/>
      <c r="H966" s="18"/>
      <c r="I966" s="18"/>
      <c r="J966" s="18"/>
      <c r="K966" s="18"/>
      <c r="L966" s="18"/>
      <c r="M966" s="18"/>
      <c r="N966" s="18"/>
      <c r="O966" s="18"/>
      <c r="P966" s="23"/>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26"/>
      <c r="CU966" s="26"/>
      <c r="CV966" s="26"/>
      <c r="CW966" s="26"/>
      <c r="CX966" s="26"/>
      <c r="CY966" s="26"/>
      <c r="CZ966" s="26"/>
      <c r="DA966" s="26"/>
      <c r="DB966" s="26"/>
      <c r="DC966" s="26"/>
      <c r="DD966" s="26"/>
      <c r="DE966" s="26"/>
      <c r="DF966" s="26"/>
      <c r="DG966" s="26"/>
      <c r="DH966" s="26"/>
      <c r="DI966" s="26"/>
      <c r="DJ966" s="26"/>
      <c r="DK966" s="26"/>
      <c r="DL966" s="26"/>
      <c r="DM966" s="26"/>
      <c r="DN966" s="26"/>
      <c r="DO966" s="26"/>
      <c r="DP966" s="26"/>
      <c r="DQ966" s="26"/>
      <c r="DR966" s="26"/>
      <c r="DS966" s="26"/>
      <c r="DT966" s="26"/>
      <c r="DU966" s="26"/>
      <c r="DV966" s="26"/>
      <c r="DW966" s="26"/>
      <c r="DX966" s="26"/>
      <c r="DY966" s="26"/>
      <c r="DZ966" s="26"/>
      <c r="EA966" s="26"/>
      <c r="EB966" s="26"/>
      <c r="EC966" s="26"/>
      <c r="ED966" s="26"/>
      <c r="EE966" s="26"/>
      <c r="EF966" s="26"/>
      <c r="EG966" s="26"/>
      <c r="EH966" s="26"/>
      <c r="EI966" s="26"/>
      <c r="EJ966" s="26"/>
      <c r="EK966" s="26"/>
      <c r="EL966" s="26"/>
      <c r="EM966" s="26"/>
      <c r="EN966" s="26"/>
      <c r="EO966" s="26"/>
      <c r="EP966" s="26"/>
      <c r="EQ966" s="26"/>
      <c r="ER966" s="26"/>
      <c r="ES966" s="26"/>
      <c r="ET966" s="26"/>
      <c r="EU966" s="26"/>
      <c r="EV966" s="26"/>
      <c r="EW966" s="26"/>
      <c r="EX966" s="26"/>
      <c r="EY966" s="26"/>
      <c r="EZ966" s="26"/>
      <c r="FA966" s="60"/>
      <c r="FB966" s="60"/>
      <c r="FC966" s="60"/>
      <c r="FD966" s="60"/>
      <c r="FE966" s="60"/>
      <c r="FF966" s="60"/>
      <c r="FG966" s="60"/>
      <c r="FH966" s="60"/>
      <c r="FI966" s="60"/>
      <c r="FJ966" s="60"/>
      <c r="FK966" s="60"/>
      <c r="FL966" s="60"/>
      <c r="FM966" s="60"/>
      <c r="FN966" s="60"/>
      <c r="FO966" s="60"/>
      <c r="FP966" s="60"/>
      <c r="FQ966" s="60"/>
      <c r="FR966" s="60"/>
      <c r="FS966" s="60"/>
      <c r="FT966" s="60"/>
      <c r="FU966" s="60"/>
      <c r="FV966" s="60"/>
      <c r="FW966" s="60"/>
      <c r="FX966" s="60"/>
    </row>
    <row r="967">
      <c r="A967" s="18"/>
      <c r="B967" s="14"/>
      <c r="C967" s="14"/>
      <c r="D967" s="14"/>
      <c r="E967" s="18"/>
      <c r="F967" s="18"/>
      <c r="G967" s="18"/>
      <c r="H967" s="18"/>
      <c r="I967" s="18"/>
      <c r="J967" s="18"/>
      <c r="K967" s="18"/>
      <c r="L967" s="18"/>
      <c r="M967" s="18"/>
      <c r="N967" s="18"/>
      <c r="O967" s="18"/>
      <c r="P967" s="23"/>
      <c r="Q967" s="26"/>
      <c r="R967" s="26"/>
      <c r="S967" s="26"/>
      <c r="T967" s="26"/>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c r="BM967" s="26"/>
      <c r="BN967" s="26"/>
      <c r="BO967" s="26"/>
      <c r="BP967" s="26"/>
      <c r="BQ967" s="26"/>
      <c r="BR967" s="26"/>
      <c r="BS967" s="26"/>
      <c r="BT967" s="26"/>
      <c r="BU967" s="26"/>
      <c r="BV967" s="26"/>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26"/>
      <c r="CU967" s="26"/>
      <c r="CV967" s="26"/>
      <c r="CW967" s="26"/>
      <c r="CX967" s="26"/>
      <c r="CY967" s="26"/>
      <c r="CZ967" s="26"/>
      <c r="DA967" s="26"/>
      <c r="DB967" s="26"/>
      <c r="DC967" s="26"/>
      <c r="DD967" s="26"/>
      <c r="DE967" s="26"/>
      <c r="DF967" s="26"/>
      <c r="DG967" s="26"/>
      <c r="DH967" s="26"/>
      <c r="DI967" s="26"/>
      <c r="DJ967" s="26"/>
      <c r="DK967" s="26"/>
      <c r="DL967" s="26"/>
      <c r="DM967" s="26"/>
      <c r="DN967" s="26"/>
      <c r="DO967" s="26"/>
      <c r="DP967" s="26"/>
      <c r="DQ967" s="26"/>
      <c r="DR967" s="26"/>
      <c r="DS967" s="26"/>
      <c r="DT967" s="26"/>
      <c r="DU967" s="26"/>
      <c r="DV967" s="26"/>
      <c r="DW967" s="26"/>
      <c r="DX967" s="26"/>
      <c r="DY967" s="26"/>
      <c r="DZ967" s="26"/>
      <c r="EA967" s="26"/>
      <c r="EB967" s="26"/>
      <c r="EC967" s="26"/>
      <c r="ED967" s="26"/>
      <c r="EE967" s="26"/>
      <c r="EF967" s="26"/>
      <c r="EG967" s="26"/>
      <c r="EH967" s="26"/>
      <c r="EI967" s="26"/>
      <c r="EJ967" s="26"/>
      <c r="EK967" s="26"/>
      <c r="EL967" s="26"/>
      <c r="EM967" s="26"/>
      <c r="EN967" s="26"/>
      <c r="EO967" s="26"/>
      <c r="EP967" s="26"/>
      <c r="EQ967" s="26"/>
      <c r="ER967" s="26"/>
      <c r="ES967" s="26"/>
      <c r="ET967" s="26"/>
      <c r="EU967" s="26"/>
      <c r="EV967" s="26"/>
      <c r="EW967" s="26"/>
      <c r="EX967" s="26"/>
      <c r="EY967" s="26"/>
      <c r="EZ967" s="26"/>
      <c r="FA967" s="60"/>
      <c r="FB967" s="60"/>
      <c r="FC967" s="60"/>
      <c r="FD967" s="60"/>
      <c r="FE967" s="60"/>
      <c r="FF967" s="60"/>
      <c r="FG967" s="60"/>
      <c r="FH967" s="60"/>
      <c r="FI967" s="60"/>
      <c r="FJ967" s="60"/>
      <c r="FK967" s="60"/>
      <c r="FL967" s="60"/>
      <c r="FM967" s="60"/>
      <c r="FN967" s="60"/>
      <c r="FO967" s="60"/>
      <c r="FP967" s="60"/>
      <c r="FQ967" s="60"/>
      <c r="FR967" s="60"/>
      <c r="FS967" s="60"/>
      <c r="FT967" s="60"/>
      <c r="FU967" s="60"/>
      <c r="FV967" s="60"/>
      <c r="FW967" s="60"/>
      <c r="FX967" s="60"/>
    </row>
    <row r="968">
      <c r="A968" s="18"/>
      <c r="B968" s="14"/>
      <c r="C968" s="14"/>
      <c r="D968" s="14"/>
      <c r="E968" s="18"/>
      <c r="F968" s="18"/>
      <c r="G968" s="18"/>
      <c r="H968" s="18"/>
      <c r="I968" s="18"/>
      <c r="J968" s="18"/>
      <c r="K968" s="18"/>
      <c r="L968" s="18"/>
      <c r="M968" s="18"/>
      <c r="N968" s="18"/>
      <c r="O968" s="18"/>
      <c r="P968" s="23"/>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c r="BO968" s="26"/>
      <c r="BP968" s="26"/>
      <c r="BQ968" s="26"/>
      <c r="BR968" s="26"/>
      <c r="BS968" s="26"/>
      <c r="BT968" s="26"/>
      <c r="BU968" s="26"/>
      <c r="BV968" s="26"/>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26"/>
      <c r="CU968" s="26"/>
      <c r="CV968" s="26"/>
      <c r="CW968" s="26"/>
      <c r="CX968" s="26"/>
      <c r="CY968" s="26"/>
      <c r="CZ968" s="26"/>
      <c r="DA968" s="26"/>
      <c r="DB968" s="26"/>
      <c r="DC968" s="26"/>
      <c r="DD968" s="26"/>
      <c r="DE968" s="26"/>
      <c r="DF968" s="26"/>
      <c r="DG968" s="26"/>
      <c r="DH968" s="26"/>
      <c r="DI968" s="26"/>
      <c r="DJ968" s="26"/>
      <c r="DK968" s="26"/>
      <c r="DL968" s="26"/>
      <c r="DM968" s="26"/>
      <c r="DN968" s="26"/>
      <c r="DO968" s="26"/>
      <c r="DP968" s="26"/>
      <c r="DQ968" s="26"/>
      <c r="DR968" s="26"/>
      <c r="DS968" s="26"/>
      <c r="DT968" s="26"/>
      <c r="DU968" s="26"/>
      <c r="DV968" s="26"/>
      <c r="DW968" s="26"/>
      <c r="DX968" s="26"/>
      <c r="DY968" s="26"/>
      <c r="DZ968" s="26"/>
      <c r="EA968" s="26"/>
      <c r="EB968" s="26"/>
      <c r="EC968" s="26"/>
      <c r="ED968" s="26"/>
      <c r="EE968" s="26"/>
      <c r="EF968" s="26"/>
      <c r="EG968" s="26"/>
      <c r="EH968" s="26"/>
      <c r="EI968" s="26"/>
      <c r="EJ968" s="26"/>
      <c r="EK968" s="26"/>
      <c r="EL968" s="26"/>
      <c r="EM968" s="26"/>
      <c r="EN968" s="26"/>
      <c r="EO968" s="26"/>
      <c r="EP968" s="26"/>
      <c r="EQ968" s="26"/>
      <c r="ER968" s="26"/>
      <c r="ES968" s="26"/>
      <c r="ET968" s="26"/>
      <c r="EU968" s="26"/>
      <c r="EV968" s="26"/>
      <c r="EW968" s="26"/>
      <c r="EX968" s="26"/>
      <c r="EY968" s="26"/>
      <c r="EZ968" s="26"/>
      <c r="FA968" s="60"/>
      <c r="FB968" s="60"/>
      <c r="FC968" s="60"/>
      <c r="FD968" s="60"/>
      <c r="FE968" s="60"/>
      <c r="FF968" s="60"/>
      <c r="FG968" s="60"/>
      <c r="FH968" s="60"/>
      <c r="FI968" s="60"/>
      <c r="FJ968" s="60"/>
      <c r="FK968" s="60"/>
      <c r="FL968" s="60"/>
      <c r="FM968" s="60"/>
      <c r="FN968" s="60"/>
      <c r="FO968" s="60"/>
      <c r="FP968" s="60"/>
      <c r="FQ968" s="60"/>
      <c r="FR968" s="60"/>
      <c r="FS968" s="60"/>
      <c r="FT968" s="60"/>
      <c r="FU968" s="60"/>
      <c r="FV968" s="60"/>
      <c r="FW968" s="60"/>
      <c r="FX968" s="60"/>
    </row>
    <row r="969">
      <c r="A969" s="18"/>
      <c r="B969" s="14"/>
      <c r="C969" s="14"/>
      <c r="D969" s="14"/>
      <c r="E969" s="18"/>
      <c r="F969" s="18"/>
      <c r="G969" s="18"/>
      <c r="H969" s="18"/>
      <c r="I969" s="18"/>
      <c r="J969" s="18"/>
      <c r="K969" s="18"/>
      <c r="L969" s="18"/>
      <c r="M969" s="18"/>
      <c r="N969" s="18"/>
      <c r="O969" s="18"/>
      <c r="P969" s="23"/>
      <c r="Q969" s="26"/>
      <c r="R969" s="26"/>
      <c r="S969" s="26"/>
      <c r="T969" s="26"/>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6"/>
      <c r="BU969" s="26"/>
      <c r="BV969" s="26"/>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26"/>
      <c r="CU969" s="26"/>
      <c r="CV969" s="26"/>
      <c r="CW969" s="26"/>
      <c r="CX969" s="26"/>
      <c r="CY969" s="26"/>
      <c r="CZ969" s="26"/>
      <c r="DA969" s="26"/>
      <c r="DB969" s="26"/>
      <c r="DC969" s="26"/>
      <c r="DD969" s="26"/>
      <c r="DE969" s="26"/>
      <c r="DF969" s="26"/>
      <c r="DG969" s="26"/>
      <c r="DH969" s="26"/>
      <c r="DI969" s="26"/>
      <c r="DJ969" s="26"/>
      <c r="DK969" s="26"/>
      <c r="DL969" s="26"/>
      <c r="DM969" s="26"/>
      <c r="DN969" s="26"/>
      <c r="DO969" s="26"/>
      <c r="DP969" s="26"/>
      <c r="DQ969" s="26"/>
      <c r="DR969" s="26"/>
      <c r="DS969" s="26"/>
      <c r="DT969" s="26"/>
      <c r="DU969" s="26"/>
      <c r="DV969" s="26"/>
      <c r="DW969" s="26"/>
      <c r="DX969" s="26"/>
      <c r="DY969" s="26"/>
      <c r="DZ969" s="26"/>
      <c r="EA969" s="26"/>
      <c r="EB969" s="26"/>
      <c r="EC969" s="26"/>
      <c r="ED969" s="26"/>
      <c r="EE969" s="26"/>
      <c r="EF969" s="26"/>
      <c r="EG969" s="26"/>
      <c r="EH969" s="26"/>
      <c r="EI969" s="26"/>
      <c r="EJ969" s="26"/>
      <c r="EK969" s="26"/>
      <c r="EL969" s="26"/>
      <c r="EM969" s="26"/>
      <c r="EN969" s="26"/>
      <c r="EO969" s="26"/>
      <c r="EP969" s="26"/>
      <c r="EQ969" s="26"/>
      <c r="ER969" s="26"/>
      <c r="ES969" s="26"/>
      <c r="ET969" s="26"/>
      <c r="EU969" s="26"/>
      <c r="EV969" s="26"/>
      <c r="EW969" s="26"/>
      <c r="EX969" s="26"/>
      <c r="EY969" s="26"/>
      <c r="EZ969" s="26"/>
      <c r="FA969" s="60"/>
      <c r="FB969" s="60"/>
      <c r="FC969" s="60"/>
      <c r="FD969" s="60"/>
      <c r="FE969" s="60"/>
      <c r="FF969" s="60"/>
      <c r="FG969" s="60"/>
      <c r="FH969" s="60"/>
      <c r="FI969" s="60"/>
      <c r="FJ969" s="60"/>
      <c r="FK969" s="60"/>
      <c r="FL969" s="60"/>
      <c r="FM969" s="60"/>
      <c r="FN969" s="60"/>
      <c r="FO969" s="60"/>
      <c r="FP969" s="60"/>
      <c r="FQ969" s="60"/>
      <c r="FR969" s="60"/>
      <c r="FS969" s="60"/>
      <c r="FT969" s="60"/>
      <c r="FU969" s="60"/>
      <c r="FV969" s="60"/>
      <c r="FW969" s="60"/>
      <c r="FX969" s="60"/>
    </row>
    <row r="970">
      <c r="A970" s="18"/>
      <c r="B970" s="14"/>
      <c r="C970" s="14"/>
      <c r="D970" s="14"/>
      <c r="E970" s="18"/>
      <c r="F970" s="18"/>
      <c r="G970" s="18"/>
      <c r="H970" s="18"/>
      <c r="I970" s="18"/>
      <c r="J970" s="18"/>
      <c r="K970" s="18"/>
      <c r="L970" s="18"/>
      <c r="M970" s="18"/>
      <c r="N970" s="18"/>
      <c r="O970" s="18"/>
      <c r="P970" s="23"/>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26"/>
      <c r="CU970" s="26"/>
      <c r="CV970" s="26"/>
      <c r="CW970" s="26"/>
      <c r="CX970" s="26"/>
      <c r="CY970" s="26"/>
      <c r="CZ970" s="26"/>
      <c r="DA970" s="26"/>
      <c r="DB970" s="26"/>
      <c r="DC970" s="26"/>
      <c r="DD970" s="26"/>
      <c r="DE970" s="26"/>
      <c r="DF970" s="26"/>
      <c r="DG970" s="26"/>
      <c r="DH970" s="26"/>
      <c r="DI970" s="26"/>
      <c r="DJ970" s="26"/>
      <c r="DK970" s="26"/>
      <c r="DL970" s="26"/>
      <c r="DM970" s="26"/>
      <c r="DN970" s="26"/>
      <c r="DO970" s="26"/>
      <c r="DP970" s="26"/>
      <c r="DQ970" s="26"/>
      <c r="DR970" s="26"/>
      <c r="DS970" s="26"/>
      <c r="DT970" s="26"/>
      <c r="DU970" s="26"/>
      <c r="DV970" s="26"/>
      <c r="DW970" s="26"/>
      <c r="DX970" s="26"/>
      <c r="DY970" s="26"/>
      <c r="DZ970" s="26"/>
      <c r="EA970" s="26"/>
      <c r="EB970" s="26"/>
      <c r="EC970" s="26"/>
      <c r="ED970" s="26"/>
      <c r="EE970" s="26"/>
      <c r="EF970" s="26"/>
      <c r="EG970" s="26"/>
      <c r="EH970" s="26"/>
      <c r="EI970" s="26"/>
      <c r="EJ970" s="26"/>
      <c r="EK970" s="26"/>
      <c r="EL970" s="26"/>
      <c r="EM970" s="26"/>
      <c r="EN970" s="26"/>
      <c r="EO970" s="26"/>
      <c r="EP970" s="26"/>
      <c r="EQ970" s="26"/>
      <c r="ER970" s="26"/>
      <c r="ES970" s="26"/>
      <c r="ET970" s="26"/>
      <c r="EU970" s="26"/>
      <c r="EV970" s="26"/>
      <c r="EW970" s="26"/>
      <c r="EX970" s="26"/>
      <c r="EY970" s="26"/>
      <c r="EZ970" s="26"/>
      <c r="FA970" s="60"/>
      <c r="FB970" s="60"/>
      <c r="FC970" s="60"/>
      <c r="FD970" s="60"/>
      <c r="FE970" s="60"/>
      <c r="FF970" s="60"/>
      <c r="FG970" s="60"/>
      <c r="FH970" s="60"/>
      <c r="FI970" s="60"/>
      <c r="FJ970" s="60"/>
      <c r="FK970" s="60"/>
      <c r="FL970" s="60"/>
      <c r="FM970" s="60"/>
      <c r="FN970" s="60"/>
      <c r="FO970" s="60"/>
      <c r="FP970" s="60"/>
      <c r="FQ970" s="60"/>
      <c r="FR970" s="60"/>
      <c r="FS970" s="60"/>
      <c r="FT970" s="60"/>
      <c r="FU970" s="60"/>
      <c r="FV970" s="60"/>
      <c r="FW970" s="60"/>
      <c r="FX970" s="60"/>
    </row>
    <row r="971">
      <c r="A971" s="18"/>
      <c r="B971" s="14"/>
      <c r="C971" s="14"/>
      <c r="D971" s="14"/>
      <c r="E971" s="18"/>
      <c r="F971" s="18"/>
      <c r="G971" s="18"/>
      <c r="H971" s="18"/>
      <c r="I971" s="18"/>
      <c r="J971" s="18"/>
      <c r="K971" s="18"/>
      <c r="L971" s="18"/>
      <c r="M971" s="18"/>
      <c r="N971" s="18"/>
      <c r="O971" s="18"/>
      <c r="P971" s="23"/>
      <c r="Q971" s="26"/>
      <c r="R971" s="26"/>
      <c r="S971" s="26"/>
      <c r="T971" s="26"/>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c r="BM971" s="26"/>
      <c r="BN971" s="26"/>
      <c r="BO971" s="26"/>
      <c r="BP971" s="26"/>
      <c r="BQ971" s="26"/>
      <c r="BR971" s="26"/>
      <c r="BS971" s="26"/>
      <c r="BT971" s="26"/>
      <c r="BU971" s="26"/>
      <c r="BV971" s="26"/>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26"/>
      <c r="CU971" s="26"/>
      <c r="CV971" s="26"/>
      <c r="CW971" s="26"/>
      <c r="CX971" s="26"/>
      <c r="CY971" s="26"/>
      <c r="CZ971" s="26"/>
      <c r="DA971" s="26"/>
      <c r="DB971" s="26"/>
      <c r="DC971" s="26"/>
      <c r="DD971" s="26"/>
      <c r="DE971" s="26"/>
      <c r="DF971" s="26"/>
      <c r="DG971" s="26"/>
      <c r="DH971" s="26"/>
      <c r="DI971" s="26"/>
      <c r="DJ971" s="26"/>
      <c r="DK971" s="26"/>
      <c r="DL971" s="26"/>
      <c r="DM971" s="26"/>
      <c r="DN971" s="26"/>
      <c r="DO971" s="26"/>
      <c r="DP971" s="26"/>
      <c r="DQ971" s="26"/>
      <c r="DR971" s="26"/>
      <c r="DS971" s="26"/>
      <c r="DT971" s="26"/>
      <c r="DU971" s="26"/>
      <c r="DV971" s="26"/>
      <c r="DW971" s="26"/>
      <c r="DX971" s="26"/>
      <c r="DY971" s="26"/>
      <c r="DZ971" s="26"/>
      <c r="EA971" s="26"/>
      <c r="EB971" s="26"/>
      <c r="EC971" s="26"/>
      <c r="ED971" s="26"/>
      <c r="EE971" s="26"/>
      <c r="EF971" s="26"/>
      <c r="EG971" s="26"/>
      <c r="EH971" s="26"/>
      <c r="EI971" s="26"/>
      <c r="EJ971" s="26"/>
      <c r="EK971" s="26"/>
      <c r="EL971" s="26"/>
      <c r="EM971" s="26"/>
      <c r="EN971" s="26"/>
      <c r="EO971" s="26"/>
      <c r="EP971" s="26"/>
      <c r="EQ971" s="26"/>
      <c r="ER971" s="26"/>
      <c r="ES971" s="26"/>
      <c r="ET971" s="26"/>
      <c r="EU971" s="26"/>
      <c r="EV971" s="26"/>
      <c r="EW971" s="26"/>
      <c r="EX971" s="26"/>
      <c r="EY971" s="26"/>
      <c r="EZ971" s="26"/>
      <c r="FA971" s="60"/>
      <c r="FB971" s="60"/>
      <c r="FC971" s="60"/>
      <c r="FD971" s="60"/>
      <c r="FE971" s="60"/>
      <c r="FF971" s="60"/>
      <c r="FG971" s="60"/>
      <c r="FH971" s="60"/>
      <c r="FI971" s="60"/>
      <c r="FJ971" s="60"/>
      <c r="FK971" s="60"/>
      <c r="FL971" s="60"/>
      <c r="FM971" s="60"/>
      <c r="FN971" s="60"/>
      <c r="FO971" s="60"/>
      <c r="FP971" s="60"/>
      <c r="FQ971" s="60"/>
      <c r="FR971" s="60"/>
      <c r="FS971" s="60"/>
      <c r="FT971" s="60"/>
      <c r="FU971" s="60"/>
      <c r="FV971" s="60"/>
      <c r="FW971" s="60"/>
      <c r="FX971" s="60"/>
    </row>
    <row r="972">
      <c r="A972" s="18"/>
      <c r="B972" s="14"/>
      <c r="C972" s="14"/>
      <c r="D972" s="14"/>
      <c r="E972" s="18"/>
      <c r="F972" s="18"/>
      <c r="G972" s="18"/>
      <c r="H972" s="18"/>
      <c r="I972" s="18"/>
      <c r="J972" s="18"/>
      <c r="K972" s="18"/>
      <c r="L972" s="18"/>
      <c r="M972" s="18"/>
      <c r="N972" s="18"/>
      <c r="O972" s="18"/>
      <c r="P972" s="23"/>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c r="BO972" s="26"/>
      <c r="BP972" s="26"/>
      <c r="BQ972" s="26"/>
      <c r="BR972" s="26"/>
      <c r="BS972" s="26"/>
      <c r="BT972" s="26"/>
      <c r="BU972" s="26"/>
      <c r="BV972" s="26"/>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26"/>
      <c r="CU972" s="26"/>
      <c r="CV972" s="26"/>
      <c r="CW972" s="26"/>
      <c r="CX972" s="26"/>
      <c r="CY972" s="26"/>
      <c r="CZ972" s="26"/>
      <c r="DA972" s="26"/>
      <c r="DB972" s="26"/>
      <c r="DC972" s="26"/>
      <c r="DD972" s="26"/>
      <c r="DE972" s="26"/>
      <c r="DF972" s="26"/>
      <c r="DG972" s="26"/>
      <c r="DH972" s="26"/>
      <c r="DI972" s="26"/>
      <c r="DJ972" s="26"/>
      <c r="DK972" s="26"/>
      <c r="DL972" s="26"/>
      <c r="DM972" s="26"/>
      <c r="DN972" s="26"/>
      <c r="DO972" s="26"/>
      <c r="DP972" s="26"/>
      <c r="DQ972" s="26"/>
      <c r="DR972" s="26"/>
      <c r="DS972" s="26"/>
      <c r="DT972" s="26"/>
      <c r="DU972" s="26"/>
      <c r="DV972" s="26"/>
      <c r="DW972" s="26"/>
      <c r="DX972" s="26"/>
      <c r="DY972" s="26"/>
      <c r="DZ972" s="26"/>
      <c r="EA972" s="26"/>
      <c r="EB972" s="26"/>
      <c r="EC972" s="26"/>
      <c r="ED972" s="26"/>
      <c r="EE972" s="26"/>
      <c r="EF972" s="26"/>
      <c r="EG972" s="26"/>
      <c r="EH972" s="26"/>
      <c r="EI972" s="26"/>
      <c r="EJ972" s="26"/>
      <c r="EK972" s="26"/>
      <c r="EL972" s="26"/>
      <c r="EM972" s="26"/>
      <c r="EN972" s="26"/>
      <c r="EO972" s="26"/>
      <c r="EP972" s="26"/>
      <c r="EQ972" s="26"/>
      <c r="ER972" s="26"/>
      <c r="ES972" s="26"/>
      <c r="ET972" s="26"/>
      <c r="EU972" s="26"/>
      <c r="EV972" s="26"/>
      <c r="EW972" s="26"/>
      <c r="EX972" s="26"/>
      <c r="EY972" s="26"/>
      <c r="EZ972" s="26"/>
      <c r="FA972" s="60"/>
      <c r="FB972" s="60"/>
      <c r="FC972" s="60"/>
      <c r="FD972" s="60"/>
      <c r="FE972" s="60"/>
      <c r="FF972" s="60"/>
      <c r="FG972" s="60"/>
      <c r="FH972" s="60"/>
      <c r="FI972" s="60"/>
      <c r="FJ972" s="60"/>
      <c r="FK972" s="60"/>
      <c r="FL972" s="60"/>
      <c r="FM972" s="60"/>
      <c r="FN972" s="60"/>
      <c r="FO972" s="60"/>
      <c r="FP972" s="60"/>
      <c r="FQ972" s="60"/>
      <c r="FR972" s="60"/>
      <c r="FS972" s="60"/>
      <c r="FT972" s="60"/>
      <c r="FU972" s="60"/>
      <c r="FV972" s="60"/>
      <c r="FW972" s="60"/>
      <c r="FX972" s="60"/>
    </row>
    <row r="973">
      <c r="A973" s="18"/>
      <c r="B973" s="14"/>
      <c r="C973" s="14"/>
      <c r="D973" s="14"/>
      <c r="E973" s="18"/>
      <c r="F973" s="18"/>
      <c r="G973" s="18"/>
      <c r="H973" s="18"/>
      <c r="I973" s="18"/>
      <c r="J973" s="18"/>
      <c r="K973" s="18"/>
      <c r="L973" s="18"/>
      <c r="M973" s="18"/>
      <c r="N973" s="18"/>
      <c r="O973" s="18"/>
      <c r="P973" s="23"/>
      <c r="Q973" s="26"/>
      <c r="R973" s="26"/>
      <c r="S973" s="26"/>
      <c r="T973" s="26"/>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c r="BM973" s="26"/>
      <c r="BN973" s="26"/>
      <c r="BO973" s="26"/>
      <c r="BP973" s="26"/>
      <c r="BQ973" s="26"/>
      <c r="BR973" s="26"/>
      <c r="BS973" s="26"/>
      <c r="BT973" s="26"/>
      <c r="BU973" s="26"/>
      <c r="BV973" s="26"/>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26"/>
      <c r="CU973" s="26"/>
      <c r="CV973" s="26"/>
      <c r="CW973" s="26"/>
      <c r="CX973" s="26"/>
      <c r="CY973" s="26"/>
      <c r="CZ973" s="26"/>
      <c r="DA973" s="26"/>
      <c r="DB973" s="26"/>
      <c r="DC973" s="26"/>
      <c r="DD973" s="26"/>
      <c r="DE973" s="26"/>
      <c r="DF973" s="26"/>
      <c r="DG973" s="26"/>
      <c r="DH973" s="26"/>
      <c r="DI973" s="26"/>
      <c r="DJ973" s="26"/>
      <c r="DK973" s="26"/>
      <c r="DL973" s="26"/>
      <c r="DM973" s="26"/>
      <c r="DN973" s="26"/>
      <c r="DO973" s="26"/>
      <c r="DP973" s="26"/>
      <c r="DQ973" s="26"/>
      <c r="DR973" s="26"/>
      <c r="DS973" s="26"/>
      <c r="DT973" s="26"/>
      <c r="DU973" s="26"/>
      <c r="DV973" s="26"/>
      <c r="DW973" s="26"/>
      <c r="DX973" s="26"/>
      <c r="DY973" s="26"/>
      <c r="DZ973" s="26"/>
      <c r="EA973" s="26"/>
      <c r="EB973" s="26"/>
      <c r="EC973" s="26"/>
      <c r="ED973" s="26"/>
      <c r="EE973" s="26"/>
      <c r="EF973" s="26"/>
      <c r="EG973" s="26"/>
      <c r="EH973" s="26"/>
      <c r="EI973" s="26"/>
      <c r="EJ973" s="26"/>
      <c r="EK973" s="26"/>
      <c r="EL973" s="26"/>
      <c r="EM973" s="26"/>
      <c r="EN973" s="26"/>
      <c r="EO973" s="26"/>
      <c r="EP973" s="26"/>
      <c r="EQ973" s="26"/>
      <c r="ER973" s="26"/>
      <c r="ES973" s="26"/>
      <c r="ET973" s="26"/>
      <c r="EU973" s="26"/>
      <c r="EV973" s="26"/>
      <c r="EW973" s="26"/>
      <c r="EX973" s="26"/>
      <c r="EY973" s="26"/>
      <c r="EZ973" s="26"/>
      <c r="FA973" s="60"/>
      <c r="FB973" s="60"/>
      <c r="FC973" s="60"/>
      <c r="FD973" s="60"/>
      <c r="FE973" s="60"/>
      <c r="FF973" s="60"/>
      <c r="FG973" s="60"/>
      <c r="FH973" s="60"/>
      <c r="FI973" s="60"/>
      <c r="FJ973" s="60"/>
      <c r="FK973" s="60"/>
      <c r="FL973" s="60"/>
      <c r="FM973" s="60"/>
      <c r="FN973" s="60"/>
      <c r="FO973" s="60"/>
      <c r="FP973" s="60"/>
      <c r="FQ973" s="60"/>
      <c r="FR973" s="60"/>
      <c r="FS973" s="60"/>
      <c r="FT973" s="60"/>
      <c r="FU973" s="60"/>
      <c r="FV973" s="60"/>
      <c r="FW973" s="60"/>
      <c r="FX973" s="60"/>
    </row>
    <row r="974">
      <c r="A974" s="18"/>
      <c r="B974" s="14"/>
      <c r="C974" s="14"/>
      <c r="D974" s="14"/>
      <c r="E974" s="18"/>
      <c r="F974" s="18"/>
      <c r="G974" s="18"/>
      <c r="H974" s="18"/>
      <c r="I974" s="18"/>
      <c r="J974" s="18"/>
      <c r="K974" s="18"/>
      <c r="L974" s="18"/>
      <c r="M974" s="18"/>
      <c r="N974" s="18"/>
      <c r="O974" s="18"/>
      <c r="P974" s="23"/>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c r="BO974" s="26"/>
      <c r="BP974" s="26"/>
      <c r="BQ974" s="26"/>
      <c r="BR974" s="26"/>
      <c r="BS974" s="26"/>
      <c r="BT974" s="26"/>
      <c r="BU974" s="26"/>
      <c r="BV974" s="26"/>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26"/>
      <c r="CU974" s="26"/>
      <c r="CV974" s="26"/>
      <c r="CW974" s="26"/>
      <c r="CX974" s="26"/>
      <c r="CY974" s="26"/>
      <c r="CZ974" s="26"/>
      <c r="DA974" s="26"/>
      <c r="DB974" s="26"/>
      <c r="DC974" s="26"/>
      <c r="DD974" s="26"/>
      <c r="DE974" s="26"/>
      <c r="DF974" s="26"/>
      <c r="DG974" s="26"/>
      <c r="DH974" s="26"/>
      <c r="DI974" s="26"/>
      <c r="DJ974" s="26"/>
      <c r="DK974" s="26"/>
      <c r="DL974" s="26"/>
      <c r="DM974" s="26"/>
      <c r="DN974" s="26"/>
      <c r="DO974" s="26"/>
      <c r="DP974" s="26"/>
      <c r="DQ974" s="26"/>
      <c r="DR974" s="26"/>
      <c r="DS974" s="26"/>
      <c r="DT974" s="26"/>
      <c r="DU974" s="26"/>
      <c r="DV974" s="26"/>
      <c r="DW974" s="26"/>
      <c r="DX974" s="26"/>
      <c r="DY974" s="26"/>
      <c r="DZ974" s="26"/>
      <c r="EA974" s="26"/>
      <c r="EB974" s="26"/>
      <c r="EC974" s="26"/>
      <c r="ED974" s="26"/>
      <c r="EE974" s="26"/>
      <c r="EF974" s="26"/>
      <c r="EG974" s="26"/>
      <c r="EH974" s="26"/>
      <c r="EI974" s="26"/>
      <c r="EJ974" s="26"/>
      <c r="EK974" s="26"/>
      <c r="EL974" s="26"/>
      <c r="EM974" s="26"/>
      <c r="EN974" s="26"/>
      <c r="EO974" s="26"/>
      <c r="EP974" s="26"/>
      <c r="EQ974" s="26"/>
      <c r="ER974" s="26"/>
      <c r="ES974" s="26"/>
      <c r="ET974" s="26"/>
      <c r="EU974" s="26"/>
      <c r="EV974" s="26"/>
      <c r="EW974" s="26"/>
      <c r="EX974" s="26"/>
      <c r="EY974" s="26"/>
      <c r="EZ974" s="26"/>
      <c r="FA974" s="60"/>
      <c r="FB974" s="60"/>
      <c r="FC974" s="60"/>
      <c r="FD974" s="60"/>
      <c r="FE974" s="60"/>
      <c r="FF974" s="60"/>
      <c r="FG974" s="60"/>
      <c r="FH974" s="60"/>
      <c r="FI974" s="60"/>
      <c r="FJ974" s="60"/>
      <c r="FK974" s="60"/>
      <c r="FL974" s="60"/>
      <c r="FM974" s="60"/>
      <c r="FN974" s="60"/>
      <c r="FO974" s="60"/>
      <c r="FP974" s="60"/>
      <c r="FQ974" s="60"/>
      <c r="FR974" s="60"/>
      <c r="FS974" s="60"/>
      <c r="FT974" s="60"/>
      <c r="FU974" s="60"/>
      <c r="FV974" s="60"/>
      <c r="FW974" s="60"/>
      <c r="FX974" s="60"/>
    </row>
    <row r="975">
      <c r="A975" s="18"/>
      <c r="B975" s="14"/>
      <c r="C975" s="14"/>
      <c r="D975" s="14"/>
      <c r="E975" s="18"/>
      <c r="F975" s="18"/>
      <c r="G975" s="18"/>
      <c r="H975" s="18"/>
      <c r="I975" s="18"/>
      <c r="J975" s="18"/>
      <c r="K975" s="18"/>
      <c r="L975" s="18"/>
      <c r="M975" s="18"/>
      <c r="N975" s="18"/>
      <c r="O975" s="18"/>
      <c r="P975" s="23"/>
      <c r="Q975" s="26"/>
      <c r="R975" s="26"/>
      <c r="S975" s="26"/>
      <c r="T975" s="26"/>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26"/>
      <c r="CU975" s="26"/>
      <c r="CV975" s="26"/>
      <c r="CW975" s="26"/>
      <c r="CX975" s="26"/>
      <c r="CY975" s="26"/>
      <c r="CZ975" s="26"/>
      <c r="DA975" s="26"/>
      <c r="DB975" s="26"/>
      <c r="DC975" s="26"/>
      <c r="DD975" s="26"/>
      <c r="DE975" s="26"/>
      <c r="DF975" s="26"/>
      <c r="DG975" s="26"/>
      <c r="DH975" s="26"/>
      <c r="DI975" s="26"/>
      <c r="DJ975" s="26"/>
      <c r="DK975" s="26"/>
      <c r="DL975" s="26"/>
      <c r="DM975" s="26"/>
      <c r="DN975" s="26"/>
      <c r="DO975" s="26"/>
      <c r="DP975" s="26"/>
      <c r="DQ975" s="26"/>
      <c r="DR975" s="26"/>
      <c r="DS975" s="26"/>
      <c r="DT975" s="26"/>
      <c r="DU975" s="26"/>
      <c r="DV975" s="26"/>
      <c r="DW975" s="26"/>
      <c r="DX975" s="26"/>
      <c r="DY975" s="26"/>
      <c r="DZ975" s="26"/>
      <c r="EA975" s="26"/>
      <c r="EB975" s="26"/>
      <c r="EC975" s="26"/>
      <c r="ED975" s="26"/>
      <c r="EE975" s="26"/>
      <c r="EF975" s="26"/>
      <c r="EG975" s="26"/>
      <c r="EH975" s="26"/>
      <c r="EI975" s="26"/>
      <c r="EJ975" s="26"/>
      <c r="EK975" s="26"/>
      <c r="EL975" s="26"/>
      <c r="EM975" s="26"/>
      <c r="EN975" s="26"/>
      <c r="EO975" s="26"/>
      <c r="EP975" s="26"/>
      <c r="EQ975" s="26"/>
      <c r="ER975" s="26"/>
      <c r="ES975" s="26"/>
      <c r="ET975" s="26"/>
      <c r="EU975" s="26"/>
      <c r="EV975" s="26"/>
      <c r="EW975" s="26"/>
      <c r="EX975" s="26"/>
      <c r="EY975" s="26"/>
      <c r="EZ975" s="26"/>
      <c r="FA975" s="60"/>
      <c r="FB975" s="60"/>
      <c r="FC975" s="60"/>
      <c r="FD975" s="60"/>
      <c r="FE975" s="60"/>
      <c r="FF975" s="60"/>
      <c r="FG975" s="60"/>
      <c r="FH975" s="60"/>
      <c r="FI975" s="60"/>
      <c r="FJ975" s="60"/>
      <c r="FK975" s="60"/>
      <c r="FL975" s="60"/>
      <c r="FM975" s="60"/>
      <c r="FN975" s="60"/>
      <c r="FO975" s="60"/>
      <c r="FP975" s="60"/>
      <c r="FQ975" s="60"/>
      <c r="FR975" s="60"/>
      <c r="FS975" s="60"/>
      <c r="FT975" s="60"/>
      <c r="FU975" s="60"/>
      <c r="FV975" s="60"/>
      <c r="FW975" s="60"/>
      <c r="FX975" s="60"/>
    </row>
    <row r="976">
      <c r="A976" s="18"/>
      <c r="B976" s="14"/>
      <c r="C976" s="14"/>
      <c r="D976" s="14"/>
      <c r="E976" s="18"/>
      <c r="F976" s="18"/>
      <c r="G976" s="18"/>
      <c r="H976" s="18"/>
      <c r="I976" s="18"/>
      <c r="J976" s="18"/>
      <c r="K976" s="18"/>
      <c r="L976" s="18"/>
      <c r="M976" s="18"/>
      <c r="N976" s="18"/>
      <c r="O976" s="18"/>
      <c r="P976" s="23"/>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26"/>
      <c r="CU976" s="26"/>
      <c r="CV976" s="26"/>
      <c r="CW976" s="26"/>
      <c r="CX976" s="26"/>
      <c r="CY976" s="26"/>
      <c r="CZ976" s="26"/>
      <c r="DA976" s="26"/>
      <c r="DB976" s="26"/>
      <c r="DC976" s="26"/>
      <c r="DD976" s="26"/>
      <c r="DE976" s="26"/>
      <c r="DF976" s="26"/>
      <c r="DG976" s="26"/>
      <c r="DH976" s="26"/>
      <c r="DI976" s="26"/>
      <c r="DJ976" s="26"/>
      <c r="DK976" s="26"/>
      <c r="DL976" s="26"/>
      <c r="DM976" s="26"/>
      <c r="DN976" s="26"/>
      <c r="DO976" s="26"/>
      <c r="DP976" s="26"/>
      <c r="DQ976" s="26"/>
      <c r="DR976" s="26"/>
      <c r="DS976" s="26"/>
      <c r="DT976" s="26"/>
      <c r="DU976" s="26"/>
      <c r="DV976" s="26"/>
      <c r="DW976" s="26"/>
      <c r="DX976" s="26"/>
      <c r="DY976" s="26"/>
      <c r="DZ976" s="26"/>
      <c r="EA976" s="26"/>
      <c r="EB976" s="26"/>
      <c r="EC976" s="26"/>
      <c r="ED976" s="26"/>
      <c r="EE976" s="26"/>
      <c r="EF976" s="26"/>
      <c r="EG976" s="26"/>
      <c r="EH976" s="26"/>
      <c r="EI976" s="26"/>
      <c r="EJ976" s="26"/>
      <c r="EK976" s="26"/>
      <c r="EL976" s="26"/>
      <c r="EM976" s="26"/>
      <c r="EN976" s="26"/>
      <c r="EO976" s="26"/>
      <c r="EP976" s="26"/>
      <c r="EQ976" s="26"/>
      <c r="ER976" s="26"/>
      <c r="ES976" s="26"/>
      <c r="ET976" s="26"/>
      <c r="EU976" s="26"/>
      <c r="EV976" s="26"/>
      <c r="EW976" s="26"/>
      <c r="EX976" s="26"/>
      <c r="EY976" s="26"/>
      <c r="EZ976" s="26"/>
      <c r="FA976" s="60"/>
      <c r="FB976" s="60"/>
      <c r="FC976" s="60"/>
      <c r="FD976" s="60"/>
      <c r="FE976" s="60"/>
      <c r="FF976" s="60"/>
      <c r="FG976" s="60"/>
      <c r="FH976" s="60"/>
      <c r="FI976" s="60"/>
      <c r="FJ976" s="60"/>
      <c r="FK976" s="60"/>
      <c r="FL976" s="60"/>
      <c r="FM976" s="60"/>
      <c r="FN976" s="60"/>
      <c r="FO976" s="60"/>
      <c r="FP976" s="60"/>
      <c r="FQ976" s="60"/>
      <c r="FR976" s="60"/>
      <c r="FS976" s="60"/>
      <c r="FT976" s="60"/>
      <c r="FU976" s="60"/>
      <c r="FV976" s="60"/>
      <c r="FW976" s="60"/>
      <c r="FX976" s="60"/>
    </row>
    <row r="977">
      <c r="A977" s="18"/>
      <c r="B977" s="14"/>
      <c r="C977" s="14"/>
      <c r="D977" s="14"/>
      <c r="E977" s="18"/>
      <c r="F977" s="18"/>
      <c r="G977" s="18"/>
      <c r="H977" s="18"/>
      <c r="I977" s="18"/>
      <c r="J977" s="18"/>
      <c r="K977" s="18"/>
      <c r="L977" s="18"/>
      <c r="M977" s="18"/>
      <c r="N977" s="18"/>
      <c r="O977" s="18"/>
      <c r="P977" s="23"/>
      <c r="Q977" s="26"/>
      <c r="R977" s="26"/>
      <c r="S977" s="26"/>
      <c r="T977" s="26"/>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c r="BM977" s="26"/>
      <c r="BN977" s="26"/>
      <c r="BO977" s="26"/>
      <c r="BP977" s="26"/>
      <c r="BQ977" s="26"/>
      <c r="BR977" s="26"/>
      <c r="BS977" s="26"/>
      <c r="BT977" s="26"/>
      <c r="BU977" s="26"/>
      <c r="BV977" s="26"/>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26"/>
      <c r="CU977" s="26"/>
      <c r="CV977" s="26"/>
      <c r="CW977" s="26"/>
      <c r="CX977" s="26"/>
      <c r="CY977" s="26"/>
      <c r="CZ977" s="26"/>
      <c r="DA977" s="26"/>
      <c r="DB977" s="26"/>
      <c r="DC977" s="26"/>
      <c r="DD977" s="26"/>
      <c r="DE977" s="26"/>
      <c r="DF977" s="26"/>
      <c r="DG977" s="26"/>
      <c r="DH977" s="26"/>
      <c r="DI977" s="26"/>
      <c r="DJ977" s="26"/>
      <c r="DK977" s="26"/>
      <c r="DL977" s="26"/>
      <c r="DM977" s="26"/>
      <c r="DN977" s="26"/>
      <c r="DO977" s="26"/>
      <c r="DP977" s="26"/>
      <c r="DQ977" s="26"/>
      <c r="DR977" s="26"/>
      <c r="DS977" s="26"/>
      <c r="DT977" s="26"/>
      <c r="DU977" s="26"/>
      <c r="DV977" s="26"/>
      <c r="DW977" s="26"/>
      <c r="DX977" s="26"/>
      <c r="DY977" s="26"/>
      <c r="DZ977" s="26"/>
      <c r="EA977" s="26"/>
      <c r="EB977" s="26"/>
      <c r="EC977" s="26"/>
      <c r="ED977" s="26"/>
      <c r="EE977" s="26"/>
      <c r="EF977" s="26"/>
      <c r="EG977" s="26"/>
      <c r="EH977" s="26"/>
      <c r="EI977" s="26"/>
      <c r="EJ977" s="26"/>
      <c r="EK977" s="26"/>
      <c r="EL977" s="26"/>
      <c r="EM977" s="26"/>
      <c r="EN977" s="26"/>
      <c r="EO977" s="26"/>
      <c r="EP977" s="26"/>
      <c r="EQ977" s="26"/>
      <c r="ER977" s="26"/>
      <c r="ES977" s="26"/>
      <c r="ET977" s="26"/>
      <c r="EU977" s="26"/>
      <c r="EV977" s="26"/>
      <c r="EW977" s="26"/>
      <c r="EX977" s="26"/>
      <c r="EY977" s="26"/>
      <c r="EZ977" s="26"/>
      <c r="FA977" s="60"/>
      <c r="FB977" s="60"/>
      <c r="FC977" s="60"/>
      <c r="FD977" s="60"/>
      <c r="FE977" s="60"/>
      <c r="FF977" s="60"/>
      <c r="FG977" s="60"/>
      <c r="FH977" s="60"/>
      <c r="FI977" s="60"/>
      <c r="FJ977" s="60"/>
      <c r="FK977" s="60"/>
      <c r="FL977" s="60"/>
      <c r="FM977" s="60"/>
      <c r="FN977" s="60"/>
      <c r="FO977" s="60"/>
      <c r="FP977" s="60"/>
      <c r="FQ977" s="60"/>
      <c r="FR977" s="60"/>
      <c r="FS977" s="60"/>
      <c r="FT977" s="60"/>
      <c r="FU977" s="60"/>
      <c r="FV977" s="60"/>
      <c r="FW977" s="60"/>
      <c r="FX977" s="60"/>
    </row>
    <row r="978">
      <c r="A978" s="18"/>
      <c r="B978" s="14"/>
      <c r="C978" s="14"/>
      <c r="D978" s="14"/>
      <c r="E978" s="18"/>
      <c r="F978" s="18"/>
      <c r="G978" s="18"/>
      <c r="H978" s="18"/>
      <c r="I978" s="18"/>
      <c r="J978" s="18"/>
      <c r="K978" s="18"/>
      <c r="L978" s="18"/>
      <c r="M978" s="18"/>
      <c r="N978" s="18"/>
      <c r="O978" s="18"/>
      <c r="P978" s="23"/>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6"/>
      <c r="BT978" s="26"/>
      <c r="BU978" s="26"/>
      <c r="BV978" s="26"/>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26"/>
      <c r="CU978" s="26"/>
      <c r="CV978" s="26"/>
      <c r="CW978" s="26"/>
      <c r="CX978" s="26"/>
      <c r="CY978" s="26"/>
      <c r="CZ978" s="26"/>
      <c r="DA978" s="26"/>
      <c r="DB978" s="26"/>
      <c r="DC978" s="26"/>
      <c r="DD978" s="26"/>
      <c r="DE978" s="26"/>
      <c r="DF978" s="26"/>
      <c r="DG978" s="26"/>
      <c r="DH978" s="26"/>
      <c r="DI978" s="26"/>
      <c r="DJ978" s="26"/>
      <c r="DK978" s="26"/>
      <c r="DL978" s="26"/>
      <c r="DM978" s="26"/>
      <c r="DN978" s="26"/>
      <c r="DO978" s="26"/>
      <c r="DP978" s="26"/>
      <c r="DQ978" s="26"/>
      <c r="DR978" s="26"/>
      <c r="DS978" s="26"/>
      <c r="DT978" s="26"/>
      <c r="DU978" s="26"/>
      <c r="DV978" s="26"/>
      <c r="DW978" s="26"/>
      <c r="DX978" s="26"/>
      <c r="DY978" s="26"/>
      <c r="DZ978" s="26"/>
      <c r="EA978" s="26"/>
      <c r="EB978" s="26"/>
      <c r="EC978" s="26"/>
      <c r="ED978" s="26"/>
      <c r="EE978" s="26"/>
      <c r="EF978" s="26"/>
      <c r="EG978" s="26"/>
      <c r="EH978" s="26"/>
      <c r="EI978" s="26"/>
      <c r="EJ978" s="26"/>
      <c r="EK978" s="26"/>
      <c r="EL978" s="26"/>
      <c r="EM978" s="26"/>
      <c r="EN978" s="26"/>
      <c r="EO978" s="26"/>
      <c r="EP978" s="26"/>
      <c r="EQ978" s="26"/>
      <c r="ER978" s="26"/>
      <c r="ES978" s="26"/>
      <c r="ET978" s="26"/>
      <c r="EU978" s="26"/>
      <c r="EV978" s="26"/>
      <c r="EW978" s="26"/>
      <c r="EX978" s="26"/>
      <c r="EY978" s="26"/>
      <c r="EZ978" s="26"/>
      <c r="FA978" s="60"/>
      <c r="FB978" s="60"/>
      <c r="FC978" s="60"/>
      <c r="FD978" s="60"/>
      <c r="FE978" s="60"/>
      <c r="FF978" s="60"/>
      <c r="FG978" s="60"/>
      <c r="FH978" s="60"/>
      <c r="FI978" s="60"/>
      <c r="FJ978" s="60"/>
      <c r="FK978" s="60"/>
      <c r="FL978" s="60"/>
      <c r="FM978" s="60"/>
      <c r="FN978" s="60"/>
      <c r="FO978" s="60"/>
      <c r="FP978" s="60"/>
      <c r="FQ978" s="60"/>
      <c r="FR978" s="60"/>
      <c r="FS978" s="60"/>
      <c r="FT978" s="60"/>
      <c r="FU978" s="60"/>
      <c r="FV978" s="60"/>
      <c r="FW978" s="60"/>
      <c r="FX978" s="60"/>
    </row>
    <row r="979">
      <c r="A979" s="18"/>
      <c r="B979" s="14"/>
      <c r="C979" s="14"/>
      <c r="D979" s="14"/>
      <c r="E979" s="18"/>
      <c r="F979" s="18"/>
      <c r="G979" s="18"/>
      <c r="H979" s="18"/>
      <c r="I979" s="18"/>
      <c r="J979" s="18"/>
      <c r="K979" s="18"/>
      <c r="L979" s="18"/>
      <c r="M979" s="18"/>
      <c r="N979" s="18"/>
      <c r="O979" s="18"/>
      <c r="P979" s="23"/>
      <c r="Q979" s="26"/>
      <c r="R979" s="26"/>
      <c r="S979" s="26"/>
      <c r="T979" s="26"/>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c r="BM979" s="26"/>
      <c r="BN979" s="26"/>
      <c r="BO979" s="26"/>
      <c r="BP979" s="26"/>
      <c r="BQ979" s="26"/>
      <c r="BR979" s="26"/>
      <c r="BS979" s="26"/>
      <c r="BT979" s="26"/>
      <c r="BU979" s="26"/>
      <c r="BV979" s="26"/>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26"/>
      <c r="CU979" s="26"/>
      <c r="CV979" s="26"/>
      <c r="CW979" s="26"/>
      <c r="CX979" s="26"/>
      <c r="CY979" s="26"/>
      <c r="CZ979" s="26"/>
      <c r="DA979" s="26"/>
      <c r="DB979" s="26"/>
      <c r="DC979" s="26"/>
      <c r="DD979" s="26"/>
      <c r="DE979" s="26"/>
      <c r="DF979" s="26"/>
      <c r="DG979" s="26"/>
      <c r="DH979" s="26"/>
      <c r="DI979" s="26"/>
      <c r="DJ979" s="26"/>
      <c r="DK979" s="26"/>
      <c r="DL979" s="26"/>
      <c r="DM979" s="26"/>
      <c r="DN979" s="26"/>
      <c r="DO979" s="26"/>
      <c r="DP979" s="26"/>
      <c r="DQ979" s="26"/>
      <c r="DR979" s="26"/>
      <c r="DS979" s="26"/>
      <c r="DT979" s="26"/>
      <c r="DU979" s="26"/>
      <c r="DV979" s="26"/>
      <c r="DW979" s="26"/>
      <c r="DX979" s="26"/>
      <c r="DY979" s="26"/>
      <c r="DZ979" s="26"/>
      <c r="EA979" s="26"/>
      <c r="EB979" s="26"/>
      <c r="EC979" s="26"/>
      <c r="ED979" s="26"/>
      <c r="EE979" s="26"/>
      <c r="EF979" s="26"/>
      <c r="EG979" s="26"/>
      <c r="EH979" s="26"/>
      <c r="EI979" s="26"/>
      <c r="EJ979" s="26"/>
      <c r="EK979" s="26"/>
      <c r="EL979" s="26"/>
      <c r="EM979" s="26"/>
      <c r="EN979" s="26"/>
      <c r="EO979" s="26"/>
      <c r="EP979" s="26"/>
      <c r="EQ979" s="26"/>
      <c r="ER979" s="26"/>
      <c r="ES979" s="26"/>
      <c r="ET979" s="26"/>
      <c r="EU979" s="26"/>
      <c r="EV979" s="26"/>
      <c r="EW979" s="26"/>
      <c r="EX979" s="26"/>
      <c r="EY979" s="26"/>
      <c r="EZ979" s="26"/>
      <c r="FA979" s="60"/>
      <c r="FB979" s="60"/>
      <c r="FC979" s="60"/>
      <c r="FD979" s="60"/>
      <c r="FE979" s="60"/>
      <c r="FF979" s="60"/>
      <c r="FG979" s="60"/>
      <c r="FH979" s="60"/>
      <c r="FI979" s="60"/>
      <c r="FJ979" s="60"/>
      <c r="FK979" s="60"/>
      <c r="FL979" s="60"/>
      <c r="FM979" s="60"/>
      <c r="FN979" s="60"/>
      <c r="FO979" s="60"/>
      <c r="FP979" s="60"/>
      <c r="FQ979" s="60"/>
      <c r="FR979" s="60"/>
      <c r="FS979" s="60"/>
      <c r="FT979" s="60"/>
      <c r="FU979" s="60"/>
      <c r="FV979" s="60"/>
      <c r="FW979" s="60"/>
      <c r="FX979" s="60"/>
    </row>
    <row r="980">
      <c r="A980" s="18"/>
      <c r="B980" s="14"/>
      <c r="C980" s="14"/>
      <c r="D980" s="14"/>
      <c r="E980" s="18"/>
      <c r="F980" s="18"/>
      <c r="G980" s="18"/>
      <c r="H980" s="18"/>
      <c r="I980" s="18"/>
      <c r="J980" s="18"/>
      <c r="K980" s="18"/>
      <c r="L980" s="18"/>
      <c r="M980" s="18"/>
      <c r="N980" s="18"/>
      <c r="O980" s="18"/>
      <c r="P980" s="23"/>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c r="BO980" s="26"/>
      <c r="BP980" s="26"/>
      <c r="BQ980" s="26"/>
      <c r="BR980" s="26"/>
      <c r="BS980" s="26"/>
      <c r="BT980" s="26"/>
      <c r="BU980" s="26"/>
      <c r="BV980" s="26"/>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26"/>
      <c r="CU980" s="26"/>
      <c r="CV980" s="26"/>
      <c r="CW980" s="26"/>
      <c r="CX980" s="26"/>
      <c r="CY980" s="26"/>
      <c r="CZ980" s="26"/>
      <c r="DA980" s="26"/>
      <c r="DB980" s="26"/>
      <c r="DC980" s="26"/>
      <c r="DD980" s="26"/>
      <c r="DE980" s="26"/>
      <c r="DF980" s="26"/>
      <c r="DG980" s="26"/>
      <c r="DH980" s="26"/>
      <c r="DI980" s="26"/>
      <c r="DJ980" s="26"/>
      <c r="DK980" s="26"/>
      <c r="DL980" s="26"/>
      <c r="DM980" s="26"/>
      <c r="DN980" s="26"/>
      <c r="DO980" s="26"/>
      <c r="DP980" s="26"/>
      <c r="DQ980" s="26"/>
      <c r="DR980" s="26"/>
      <c r="DS980" s="26"/>
      <c r="DT980" s="26"/>
      <c r="DU980" s="26"/>
      <c r="DV980" s="26"/>
      <c r="DW980" s="26"/>
      <c r="DX980" s="26"/>
      <c r="DY980" s="26"/>
      <c r="DZ980" s="26"/>
      <c r="EA980" s="26"/>
      <c r="EB980" s="26"/>
      <c r="EC980" s="26"/>
      <c r="ED980" s="26"/>
      <c r="EE980" s="26"/>
      <c r="EF980" s="26"/>
      <c r="EG980" s="26"/>
      <c r="EH980" s="26"/>
      <c r="EI980" s="26"/>
      <c r="EJ980" s="26"/>
      <c r="EK980" s="26"/>
      <c r="EL980" s="26"/>
      <c r="EM980" s="26"/>
      <c r="EN980" s="26"/>
      <c r="EO980" s="26"/>
      <c r="EP980" s="26"/>
      <c r="EQ980" s="26"/>
      <c r="ER980" s="26"/>
      <c r="ES980" s="26"/>
      <c r="ET980" s="26"/>
      <c r="EU980" s="26"/>
      <c r="EV980" s="26"/>
      <c r="EW980" s="26"/>
      <c r="EX980" s="26"/>
      <c r="EY980" s="26"/>
      <c r="EZ980" s="26"/>
      <c r="FA980" s="60"/>
      <c r="FB980" s="60"/>
      <c r="FC980" s="60"/>
      <c r="FD980" s="60"/>
      <c r="FE980" s="60"/>
      <c r="FF980" s="60"/>
      <c r="FG980" s="60"/>
      <c r="FH980" s="60"/>
      <c r="FI980" s="60"/>
      <c r="FJ980" s="60"/>
      <c r="FK980" s="60"/>
      <c r="FL980" s="60"/>
      <c r="FM980" s="60"/>
      <c r="FN980" s="60"/>
      <c r="FO980" s="60"/>
      <c r="FP980" s="60"/>
      <c r="FQ980" s="60"/>
      <c r="FR980" s="60"/>
      <c r="FS980" s="60"/>
      <c r="FT980" s="60"/>
      <c r="FU980" s="60"/>
      <c r="FV980" s="60"/>
      <c r="FW980" s="60"/>
      <c r="FX980" s="60"/>
    </row>
    <row r="981">
      <c r="A981" s="18"/>
      <c r="B981" s="14"/>
      <c r="C981" s="14"/>
      <c r="D981" s="14"/>
      <c r="E981" s="18"/>
      <c r="F981" s="18"/>
      <c r="G981" s="18"/>
      <c r="H981" s="18"/>
      <c r="I981" s="18"/>
      <c r="J981" s="18"/>
      <c r="K981" s="18"/>
      <c r="L981" s="18"/>
      <c r="M981" s="18"/>
      <c r="N981" s="18"/>
      <c r="O981" s="18"/>
      <c r="P981" s="23"/>
      <c r="Q981" s="26"/>
      <c r="R981" s="26"/>
      <c r="S981" s="26"/>
      <c r="T981" s="26"/>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c r="BS981" s="26"/>
      <c r="BT981" s="26"/>
      <c r="BU981" s="26"/>
      <c r="BV981" s="26"/>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26"/>
      <c r="CU981" s="26"/>
      <c r="CV981" s="26"/>
      <c r="CW981" s="26"/>
      <c r="CX981" s="26"/>
      <c r="CY981" s="26"/>
      <c r="CZ981" s="26"/>
      <c r="DA981" s="26"/>
      <c r="DB981" s="26"/>
      <c r="DC981" s="26"/>
      <c r="DD981" s="26"/>
      <c r="DE981" s="26"/>
      <c r="DF981" s="26"/>
      <c r="DG981" s="26"/>
      <c r="DH981" s="26"/>
      <c r="DI981" s="26"/>
      <c r="DJ981" s="26"/>
      <c r="DK981" s="26"/>
      <c r="DL981" s="26"/>
      <c r="DM981" s="26"/>
      <c r="DN981" s="26"/>
      <c r="DO981" s="26"/>
      <c r="DP981" s="26"/>
      <c r="DQ981" s="26"/>
      <c r="DR981" s="26"/>
      <c r="DS981" s="26"/>
      <c r="DT981" s="26"/>
      <c r="DU981" s="26"/>
      <c r="DV981" s="26"/>
      <c r="DW981" s="26"/>
      <c r="DX981" s="26"/>
      <c r="DY981" s="26"/>
      <c r="DZ981" s="26"/>
      <c r="EA981" s="26"/>
      <c r="EB981" s="26"/>
      <c r="EC981" s="26"/>
      <c r="ED981" s="26"/>
      <c r="EE981" s="26"/>
      <c r="EF981" s="26"/>
      <c r="EG981" s="26"/>
      <c r="EH981" s="26"/>
      <c r="EI981" s="26"/>
      <c r="EJ981" s="26"/>
      <c r="EK981" s="26"/>
      <c r="EL981" s="26"/>
      <c r="EM981" s="26"/>
      <c r="EN981" s="26"/>
      <c r="EO981" s="26"/>
      <c r="EP981" s="26"/>
      <c r="EQ981" s="26"/>
      <c r="ER981" s="26"/>
      <c r="ES981" s="26"/>
      <c r="ET981" s="26"/>
      <c r="EU981" s="26"/>
      <c r="EV981" s="26"/>
      <c r="EW981" s="26"/>
      <c r="EX981" s="26"/>
      <c r="EY981" s="26"/>
      <c r="EZ981" s="26"/>
      <c r="FA981" s="60"/>
      <c r="FB981" s="60"/>
      <c r="FC981" s="60"/>
      <c r="FD981" s="60"/>
      <c r="FE981" s="60"/>
      <c r="FF981" s="60"/>
      <c r="FG981" s="60"/>
      <c r="FH981" s="60"/>
      <c r="FI981" s="60"/>
      <c r="FJ981" s="60"/>
      <c r="FK981" s="60"/>
      <c r="FL981" s="60"/>
      <c r="FM981" s="60"/>
      <c r="FN981" s="60"/>
      <c r="FO981" s="60"/>
      <c r="FP981" s="60"/>
      <c r="FQ981" s="60"/>
      <c r="FR981" s="60"/>
      <c r="FS981" s="60"/>
      <c r="FT981" s="60"/>
      <c r="FU981" s="60"/>
      <c r="FV981" s="60"/>
      <c r="FW981" s="60"/>
      <c r="FX981" s="60"/>
    </row>
    <row r="982">
      <c r="A982" s="18"/>
      <c r="B982" s="14"/>
      <c r="C982" s="14"/>
      <c r="D982" s="14"/>
      <c r="E982" s="18"/>
      <c r="F982" s="18"/>
      <c r="G982" s="18"/>
      <c r="H982" s="18"/>
      <c r="I982" s="18"/>
      <c r="J982" s="18"/>
      <c r="K982" s="18"/>
      <c r="L982" s="18"/>
      <c r="M982" s="18"/>
      <c r="N982" s="18"/>
      <c r="O982" s="18"/>
      <c r="P982" s="23"/>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c r="BO982" s="26"/>
      <c r="BP982" s="26"/>
      <c r="BQ982" s="26"/>
      <c r="BR982" s="26"/>
      <c r="BS982" s="26"/>
      <c r="BT982" s="26"/>
      <c r="BU982" s="26"/>
      <c r="BV982" s="26"/>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26"/>
      <c r="CU982" s="26"/>
      <c r="CV982" s="26"/>
      <c r="CW982" s="26"/>
      <c r="CX982" s="26"/>
      <c r="CY982" s="26"/>
      <c r="CZ982" s="26"/>
      <c r="DA982" s="26"/>
      <c r="DB982" s="26"/>
      <c r="DC982" s="26"/>
      <c r="DD982" s="26"/>
      <c r="DE982" s="26"/>
      <c r="DF982" s="26"/>
      <c r="DG982" s="26"/>
      <c r="DH982" s="26"/>
      <c r="DI982" s="26"/>
      <c r="DJ982" s="26"/>
      <c r="DK982" s="26"/>
      <c r="DL982" s="26"/>
      <c r="DM982" s="26"/>
      <c r="DN982" s="26"/>
      <c r="DO982" s="26"/>
      <c r="DP982" s="26"/>
      <c r="DQ982" s="26"/>
      <c r="DR982" s="26"/>
      <c r="DS982" s="26"/>
      <c r="DT982" s="26"/>
      <c r="DU982" s="26"/>
      <c r="DV982" s="26"/>
      <c r="DW982" s="26"/>
      <c r="DX982" s="26"/>
      <c r="DY982" s="26"/>
      <c r="DZ982" s="26"/>
      <c r="EA982" s="26"/>
      <c r="EB982" s="26"/>
      <c r="EC982" s="26"/>
      <c r="ED982" s="26"/>
      <c r="EE982" s="26"/>
      <c r="EF982" s="26"/>
      <c r="EG982" s="26"/>
      <c r="EH982" s="26"/>
      <c r="EI982" s="26"/>
      <c r="EJ982" s="26"/>
      <c r="EK982" s="26"/>
      <c r="EL982" s="26"/>
      <c r="EM982" s="26"/>
      <c r="EN982" s="26"/>
      <c r="EO982" s="26"/>
      <c r="EP982" s="26"/>
      <c r="EQ982" s="26"/>
      <c r="ER982" s="26"/>
      <c r="ES982" s="26"/>
      <c r="ET982" s="26"/>
      <c r="EU982" s="26"/>
      <c r="EV982" s="26"/>
      <c r="EW982" s="26"/>
      <c r="EX982" s="26"/>
      <c r="EY982" s="26"/>
      <c r="EZ982" s="26"/>
      <c r="FA982" s="60"/>
      <c r="FB982" s="60"/>
      <c r="FC982" s="60"/>
      <c r="FD982" s="60"/>
      <c r="FE982" s="60"/>
      <c r="FF982" s="60"/>
      <c r="FG982" s="60"/>
      <c r="FH982" s="60"/>
      <c r="FI982" s="60"/>
      <c r="FJ982" s="60"/>
      <c r="FK982" s="60"/>
      <c r="FL982" s="60"/>
      <c r="FM982" s="60"/>
      <c r="FN982" s="60"/>
      <c r="FO982" s="60"/>
      <c r="FP982" s="60"/>
      <c r="FQ982" s="60"/>
      <c r="FR982" s="60"/>
      <c r="FS982" s="60"/>
      <c r="FT982" s="60"/>
      <c r="FU982" s="60"/>
      <c r="FV982" s="60"/>
      <c r="FW982" s="60"/>
      <c r="FX982" s="60"/>
    </row>
    <row r="983">
      <c r="A983" s="18"/>
      <c r="B983" s="14"/>
      <c r="C983" s="14"/>
      <c r="D983" s="14"/>
      <c r="E983" s="18"/>
      <c r="F983" s="18"/>
      <c r="G983" s="18"/>
      <c r="H983" s="18"/>
      <c r="I983" s="18"/>
      <c r="J983" s="18"/>
      <c r="K983" s="18"/>
      <c r="L983" s="18"/>
      <c r="M983" s="18"/>
      <c r="N983" s="18"/>
      <c r="O983" s="18"/>
      <c r="P983" s="23"/>
      <c r="Q983" s="26"/>
      <c r="R983" s="26"/>
      <c r="S983" s="26"/>
      <c r="T983" s="26"/>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26"/>
      <c r="CU983" s="26"/>
      <c r="CV983" s="26"/>
      <c r="CW983" s="26"/>
      <c r="CX983" s="26"/>
      <c r="CY983" s="26"/>
      <c r="CZ983" s="26"/>
      <c r="DA983" s="26"/>
      <c r="DB983" s="26"/>
      <c r="DC983" s="26"/>
      <c r="DD983" s="26"/>
      <c r="DE983" s="26"/>
      <c r="DF983" s="26"/>
      <c r="DG983" s="26"/>
      <c r="DH983" s="26"/>
      <c r="DI983" s="26"/>
      <c r="DJ983" s="26"/>
      <c r="DK983" s="26"/>
      <c r="DL983" s="26"/>
      <c r="DM983" s="26"/>
      <c r="DN983" s="26"/>
      <c r="DO983" s="26"/>
      <c r="DP983" s="26"/>
      <c r="DQ983" s="26"/>
      <c r="DR983" s="26"/>
      <c r="DS983" s="26"/>
      <c r="DT983" s="26"/>
      <c r="DU983" s="26"/>
      <c r="DV983" s="26"/>
      <c r="DW983" s="26"/>
      <c r="DX983" s="26"/>
      <c r="DY983" s="26"/>
      <c r="DZ983" s="26"/>
      <c r="EA983" s="26"/>
      <c r="EB983" s="26"/>
      <c r="EC983" s="26"/>
      <c r="ED983" s="26"/>
      <c r="EE983" s="26"/>
      <c r="EF983" s="26"/>
      <c r="EG983" s="26"/>
      <c r="EH983" s="26"/>
      <c r="EI983" s="26"/>
      <c r="EJ983" s="26"/>
      <c r="EK983" s="26"/>
      <c r="EL983" s="26"/>
      <c r="EM983" s="26"/>
      <c r="EN983" s="26"/>
      <c r="EO983" s="26"/>
      <c r="EP983" s="26"/>
      <c r="EQ983" s="26"/>
      <c r="ER983" s="26"/>
      <c r="ES983" s="26"/>
      <c r="ET983" s="26"/>
      <c r="EU983" s="26"/>
      <c r="EV983" s="26"/>
      <c r="EW983" s="26"/>
      <c r="EX983" s="26"/>
      <c r="EY983" s="26"/>
      <c r="EZ983" s="26"/>
      <c r="FA983" s="60"/>
      <c r="FB983" s="60"/>
      <c r="FC983" s="60"/>
      <c r="FD983" s="60"/>
      <c r="FE983" s="60"/>
      <c r="FF983" s="60"/>
      <c r="FG983" s="60"/>
      <c r="FH983" s="60"/>
      <c r="FI983" s="60"/>
      <c r="FJ983" s="60"/>
      <c r="FK983" s="60"/>
      <c r="FL983" s="60"/>
      <c r="FM983" s="60"/>
      <c r="FN983" s="60"/>
      <c r="FO983" s="60"/>
      <c r="FP983" s="60"/>
      <c r="FQ983" s="60"/>
      <c r="FR983" s="60"/>
      <c r="FS983" s="60"/>
      <c r="FT983" s="60"/>
      <c r="FU983" s="60"/>
      <c r="FV983" s="60"/>
      <c r="FW983" s="60"/>
      <c r="FX983" s="60"/>
    </row>
    <row r="984">
      <c r="A984" s="18"/>
      <c r="B984" s="14"/>
      <c r="C984" s="14"/>
      <c r="D984" s="14"/>
      <c r="E984" s="18"/>
      <c r="F984" s="18"/>
      <c r="G984" s="18"/>
      <c r="H984" s="18"/>
      <c r="I984" s="18"/>
      <c r="J984" s="18"/>
      <c r="K984" s="18"/>
      <c r="L984" s="18"/>
      <c r="M984" s="18"/>
      <c r="N984" s="18"/>
      <c r="O984" s="18"/>
      <c r="P984" s="23"/>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c r="BO984" s="26"/>
      <c r="BP984" s="26"/>
      <c r="BQ984" s="26"/>
      <c r="BR984" s="26"/>
      <c r="BS984" s="26"/>
      <c r="BT984" s="26"/>
      <c r="BU984" s="26"/>
      <c r="BV984" s="26"/>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26"/>
      <c r="CU984" s="26"/>
      <c r="CV984" s="26"/>
      <c r="CW984" s="26"/>
      <c r="CX984" s="26"/>
      <c r="CY984" s="26"/>
      <c r="CZ984" s="26"/>
      <c r="DA984" s="26"/>
      <c r="DB984" s="26"/>
      <c r="DC984" s="26"/>
      <c r="DD984" s="26"/>
      <c r="DE984" s="26"/>
      <c r="DF984" s="26"/>
      <c r="DG984" s="26"/>
      <c r="DH984" s="26"/>
      <c r="DI984" s="26"/>
      <c r="DJ984" s="26"/>
      <c r="DK984" s="26"/>
      <c r="DL984" s="26"/>
      <c r="DM984" s="26"/>
      <c r="DN984" s="26"/>
      <c r="DO984" s="26"/>
      <c r="DP984" s="26"/>
      <c r="DQ984" s="26"/>
      <c r="DR984" s="26"/>
      <c r="DS984" s="26"/>
      <c r="DT984" s="26"/>
      <c r="DU984" s="26"/>
      <c r="DV984" s="26"/>
      <c r="DW984" s="26"/>
      <c r="DX984" s="26"/>
      <c r="DY984" s="26"/>
      <c r="DZ984" s="26"/>
      <c r="EA984" s="26"/>
      <c r="EB984" s="26"/>
      <c r="EC984" s="26"/>
      <c r="ED984" s="26"/>
      <c r="EE984" s="26"/>
      <c r="EF984" s="26"/>
      <c r="EG984" s="26"/>
      <c r="EH984" s="26"/>
      <c r="EI984" s="26"/>
      <c r="EJ984" s="26"/>
      <c r="EK984" s="26"/>
      <c r="EL984" s="26"/>
      <c r="EM984" s="26"/>
      <c r="EN984" s="26"/>
      <c r="EO984" s="26"/>
      <c r="EP984" s="26"/>
      <c r="EQ984" s="26"/>
      <c r="ER984" s="26"/>
      <c r="ES984" s="26"/>
      <c r="ET984" s="26"/>
      <c r="EU984" s="26"/>
      <c r="EV984" s="26"/>
      <c r="EW984" s="26"/>
      <c r="EX984" s="26"/>
      <c r="EY984" s="26"/>
      <c r="EZ984" s="26"/>
      <c r="FA984" s="60"/>
      <c r="FB984" s="60"/>
      <c r="FC984" s="60"/>
      <c r="FD984" s="60"/>
      <c r="FE984" s="60"/>
      <c r="FF984" s="60"/>
      <c r="FG984" s="60"/>
      <c r="FH984" s="60"/>
      <c r="FI984" s="60"/>
      <c r="FJ984" s="60"/>
      <c r="FK984" s="60"/>
      <c r="FL984" s="60"/>
      <c r="FM984" s="60"/>
      <c r="FN984" s="60"/>
      <c r="FO984" s="60"/>
      <c r="FP984" s="60"/>
      <c r="FQ984" s="60"/>
      <c r="FR984" s="60"/>
      <c r="FS984" s="60"/>
      <c r="FT984" s="60"/>
      <c r="FU984" s="60"/>
      <c r="FV984" s="60"/>
      <c r="FW984" s="60"/>
      <c r="FX984" s="60"/>
    </row>
    <row r="985">
      <c r="A985" s="18"/>
      <c r="B985" s="14"/>
      <c r="C985" s="14"/>
      <c r="D985" s="14"/>
      <c r="E985" s="18"/>
      <c r="F985" s="18"/>
      <c r="G985" s="18"/>
      <c r="H985" s="18"/>
      <c r="I985" s="18"/>
      <c r="J985" s="18"/>
      <c r="K985" s="18"/>
      <c r="L985" s="18"/>
      <c r="M985" s="18"/>
      <c r="N985" s="18"/>
      <c r="O985" s="18"/>
      <c r="P985" s="23"/>
      <c r="Q985" s="26"/>
      <c r="R985" s="26"/>
      <c r="S985" s="26"/>
      <c r="T985" s="26"/>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c r="BM985" s="26"/>
      <c r="BN985" s="26"/>
      <c r="BO985" s="26"/>
      <c r="BP985" s="26"/>
      <c r="BQ985" s="26"/>
      <c r="BR985" s="26"/>
      <c r="BS985" s="26"/>
      <c r="BT985" s="26"/>
      <c r="BU985" s="26"/>
      <c r="BV985" s="26"/>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26"/>
      <c r="CU985" s="26"/>
      <c r="CV985" s="26"/>
      <c r="CW985" s="26"/>
      <c r="CX985" s="26"/>
      <c r="CY985" s="26"/>
      <c r="CZ985" s="26"/>
      <c r="DA985" s="26"/>
      <c r="DB985" s="26"/>
      <c r="DC985" s="26"/>
      <c r="DD985" s="26"/>
      <c r="DE985" s="26"/>
      <c r="DF985" s="26"/>
      <c r="DG985" s="26"/>
      <c r="DH985" s="26"/>
      <c r="DI985" s="26"/>
      <c r="DJ985" s="26"/>
      <c r="DK985" s="26"/>
      <c r="DL985" s="26"/>
      <c r="DM985" s="26"/>
      <c r="DN985" s="26"/>
      <c r="DO985" s="26"/>
      <c r="DP985" s="26"/>
      <c r="DQ985" s="26"/>
      <c r="DR985" s="26"/>
      <c r="DS985" s="26"/>
      <c r="DT985" s="26"/>
      <c r="DU985" s="26"/>
      <c r="DV985" s="26"/>
      <c r="DW985" s="26"/>
      <c r="DX985" s="26"/>
      <c r="DY985" s="26"/>
      <c r="DZ985" s="26"/>
      <c r="EA985" s="26"/>
      <c r="EB985" s="26"/>
      <c r="EC985" s="26"/>
      <c r="ED985" s="26"/>
      <c r="EE985" s="26"/>
      <c r="EF985" s="26"/>
      <c r="EG985" s="26"/>
      <c r="EH985" s="26"/>
      <c r="EI985" s="26"/>
      <c r="EJ985" s="26"/>
      <c r="EK985" s="26"/>
      <c r="EL985" s="26"/>
      <c r="EM985" s="26"/>
      <c r="EN985" s="26"/>
      <c r="EO985" s="26"/>
      <c r="EP985" s="26"/>
      <c r="EQ985" s="26"/>
      <c r="ER985" s="26"/>
      <c r="ES985" s="26"/>
      <c r="ET985" s="26"/>
      <c r="EU985" s="26"/>
      <c r="EV985" s="26"/>
      <c r="EW985" s="26"/>
      <c r="EX985" s="26"/>
      <c r="EY985" s="26"/>
      <c r="EZ985" s="26"/>
      <c r="FA985" s="60"/>
      <c r="FB985" s="60"/>
      <c r="FC985" s="60"/>
      <c r="FD985" s="60"/>
      <c r="FE985" s="60"/>
      <c r="FF985" s="60"/>
      <c r="FG985" s="60"/>
      <c r="FH985" s="60"/>
      <c r="FI985" s="60"/>
      <c r="FJ985" s="60"/>
      <c r="FK985" s="60"/>
      <c r="FL985" s="60"/>
      <c r="FM985" s="60"/>
      <c r="FN985" s="60"/>
      <c r="FO985" s="60"/>
      <c r="FP985" s="60"/>
      <c r="FQ985" s="60"/>
      <c r="FR985" s="60"/>
      <c r="FS985" s="60"/>
      <c r="FT985" s="60"/>
      <c r="FU985" s="60"/>
      <c r="FV985" s="60"/>
      <c r="FW985" s="60"/>
      <c r="FX985" s="60"/>
    </row>
    <row r="986">
      <c r="A986" s="18"/>
      <c r="B986" s="14"/>
      <c r="C986" s="14"/>
      <c r="D986" s="14"/>
      <c r="E986" s="18"/>
      <c r="F986" s="18"/>
      <c r="G986" s="18"/>
      <c r="H986" s="18"/>
      <c r="I986" s="18"/>
      <c r="J986" s="18"/>
      <c r="K986" s="18"/>
      <c r="L986" s="18"/>
      <c r="M986" s="18"/>
      <c r="N986" s="18"/>
      <c r="O986" s="18"/>
      <c r="P986" s="23"/>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c r="BO986" s="26"/>
      <c r="BP986" s="26"/>
      <c r="BQ986" s="26"/>
      <c r="BR986" s="26"/>
      <c r="BS986" s="26"/>
      <c r="BT986" s="26"/>
      <c r="BU986" s="26"/>
      <c r="BV986" s="26"/>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26"/>
      <c r="CU986" s="26"/>
      <c r="CV986" s="26"/>
      <c r="CW986" s="26"/>
      <c r="CX986" s="26"/>
      <c r="CY986" s="26"/>
      <c r="CZ986" s="26"/>
      <c r="DA986" s="26"/>
      <c r="DB986" s="26"/>
      <c r="DC986" s="26"/>
      <c r="DD986" s="26"/>
      <c r="DE986" s="26"/>
      <c r="DF986" s="26"/>
      <c r="DG986" s="26"/>
      <c r="DH986" s="26"/>
      <c r="DI986" s="26"/>
      <c r="DJ986" s="26"/>
      <c r="DK986" s="26"/>
      <c r="DL986" s="26"/>
      <c r="DM986" s="26"/>
      <c r="DN986" s="26"/>
      <c r="DO986" s="26"/>
      <c r="DP986" s="26"/>
      <c r="DQ986" s="26"/>
      <c r="DR986" s="26"/>
      <c r="DS986" s="26"/>
      <c r="DT986" s="26"/>
      <c r="DU986" s="26"/>
      <c r="DV986" s="26"/>
      <c r="DW986" s="26"/>
      <c r="DX986" s="26"/>
      <c r="DY986" s="26"/>
      <c r="DZ986" s="26"/>
      <c r="EA986" s="26"/>
      <c r="EB986" s="26"/>
      <c r="EC986" s="26"/>
      <c r="ED986" s="26"/>
      <c r="EE986" s="26"/>
      <c r="EF986" s="26"/>
      <c r="EG986" s="26"/>
      <c r="EH986" s="26"/>
      <c r="EI986" s="26"/>
      <c r="EJ986" s="26"/>
      <c r="EK986" s="26"/>
      <c r="EL986" s="26"/>
      <c r="EM986" s="26"/>
      <c r="EN986" s="26"/>
      <c r="EO986" s="26"/>
      <c r="EP986" s="26"/>
      <c r="EQ986" s="26"/>
      <c r="ER986" s="26"/>
      <c r="ES986" s="26"/>
      <c r="ET986" s="26"/>
      <c r="EU986" s="26"/>
      <c r="EV986" s="26"/>
      <c r="EW986" s="26"/>
      <c r="EX986" s="26"/>
      <c r="EY986" s="26"/>
      <c r="EZ986" s="26"/>
      <c r="FA986" s="60"/>
      <c r="FB986" s="60"/>
      <c r="FC986" s="60"/>
      <c r="FD986" s="60"/>
      <c r="FE986" s="60"/>
      <c r="FF986" s="60"/>
      <c r="FG986" s="60"/>
      <c r="FH986" s="60"/>
      <c r="FI986" s="60"/>
      <c r="FJ986" s="60"/>
      <c r="FK986" s="60"/>
      <c r="FL986" s="60"/>
      <c r="FM986" s="60"/>
      <c r="FN986" s="60"/>
      <c r="FO986" s="60"/>
      <c r="FP986" s="60"/>
      <c r="FQ986" s="60"/>
      <c r="FR986" s="60"/>
      <c r="FS986" s="60"/>
      <c r="FT986" s="60"/>
      <c r="FU986" s="60"/>
      <c r="FV986" s="60"/>
      <c r="FW986" s="60"/>
      <c r="FX986" s="60"/>
    </row>
    <row r="987">
      <c r="A987" s="18"/>
      <c r="B987" s="14"/>
      <c r="C987" s="14"/>
      <c r="D987" s="14"/>
      <c r="E987" s="18"/>
      <c r="F987" s="18"/>
      <c r="G987" s="18"/>
      <c r="H987" s="18"/>
      <c r="I987" s="18"/>
      <c r="J987" s="18"/>
      <c r="K987" s="18"/>
      <c r="L987" s="18"/>
      <c r="M987" s="18"/>
      <c r="N987" s="18"/>
      <c r="O987" s="18"/>
      <c r="P987" s="23"/>
      <c r="Q987" s="26"/>
      <c r="R987" s="26"/>
      <c r="S987" s="26"/>
      <c r="T987" s="26"/>
      <c r="U987" s="26"/>
      <c r="V987" s="26"/>
      <c r="W987" s="26"/>
      <c r="X987" s="26"/>
      <c r="Y987" s="26"/>
      <c r="Z987" s="26"/>
      <c r="AA987" s="26"/>
      <c r="AB987" s="26"/>
      <c r="AC987" s="26"/>
      <c r="AD987" s="26"/>
      <c r="AE987" s="26"/>
      <c r="AF987" s="26"/>
      <c r="AG987" s="26"/>
      <c r="AH987" s="26"/>
      <c r="AI987" s="26"/>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c r="BM987" s="26"/>
      <c r="BN987" s="26"/>
      <c r="BO987" s="26"/>
      <c r="BP987" s="26"/>
      <c r="BQ987" s="26"/>
      <c r="BR987" s="26"/>
      <c r="BS987" s="26"/>
      <c r="BT987" s="26"/>
      <c r="BU987" s="26"/>
      <c r="BV987" s="26"/>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26"/>
      <c r="CU987" s="26"/>
      <c r="CV987" s="26"/>
      <c r="CW987" s="26"/>
      <c r="CX987" s="26"/>
      <c r="CY987" s="26"/>
      <c r="CZ987" s="26"/>
      <c r="DA987" s="26"/>
      <c r="DB987" s="26"/>
      <c r="DC987" s="26"/>
      <c r="DD987" s="26"/>
      <c r="DE987" s="26"/>
      <c r="DF987" s="26"/>
      <c r="DG987" s="26"/>
      <c r="DH987" s="26"/>
      <c r="DI987" s="26"/>
      <c r="DJ987" s="26"/>
      <c r="DK987" s="26"/>
      <c r="DL987" s="26"/>
      <c r="DM987" s="26"/>
      <c r="DN987" s="26"/>
      <c r="DO987" s="26"/>
      <c r="DP987" s="26"/>
      <c r="DQ987" s="26"/>
      <c r="DR987" s="26"/>
      <c r="DS987" s="26"/>
      <c r="DT987" s="26"/>
      <c r="DU987" s="26"/>
      <c r="DV987" s="26"/>
      <c r="DW987" s="26"/>
      <c r="DX987" s="26"/>
      <c r="DY987" s="26"/>
      <c r="DZ987" s="26"/>
      <c r="EA987" s="26"/>
      <c r="EB987" s="26"/>
      <c r="EC987" s="26"/>
      <c r="ED987" s="26"/>
      <c r="EE987" s="26"/>
      <c r="EF987" s="26"/>
      <c r="EG987" s="26"/>
      <c r="EH987" s="26"/>
      <c r="EI987" s="26"/>
      <c r="EJ987" s="26"/>
      <c r="EK987" s="26"/>
      <c r="EL987" s="26"/>
      <c r="EM987" s="26"/>
      <c r="EN987" s="26"/>
      <c r="EO987" s="26"/>
      <c r="EP987" s="26"/>
      <c r="EQ987" s="26"/>
      <c r="ER987" s="26"/>
      <c r="ES987" s="26"/>
      <c r="ET987" s="26"/>
      <c r="EU987" s="26"/>
      <c r="EV987" s="26"/>
      <c r="EW987" s="26"/>
      <c r="EX987" s="26"/>
      <c r="EY987" s="26"/>
      <c r="EZ987" s="26"/>
      <c r="FA987" s="60"/>
      <c r="FB987" s="60"/>
      <c r="FC987" s="60"/>
      <c r="FD987" s="60"/>
      <c r="FE987" s="60"/>
      <c r="FF987" s="60"/>
      <c r="FG987" s="60"/>
      <c r="FH987" s="60"/>
      <c r="FI987" s="60"/>
      <c r="FJ987" s="60"/>
      <c r="FK987" s="60"/>
      <c r="FL987" s="60"/>
      <c r="FM987" s="60"/>
      <c r="FN987" s="60"/>
      <c r="FO987" s="60"/>
      <c r="FP987" s="60"/>
      <c r="FQ987" s="60"/>
      <c r="FR987" s="60"/>
      <c r="FS987" s="60"/>
      <c r="FT987" s="60"/>
      <c r="FU987" s="60"/>
      <c r="FV987" s="60"/>
      <c r="FW987" s="60"/>
      <c r="FX987" s="60"/>
    </row>
    <row r="988">
      <c r="A988" s="18"/>
      <c r="B988" s="14"/>
      <c r="C988" s="14"/>
      <c r="D988" s="14"/>
      <c r="E988" s="18"/>
      <c r="F988" s="18"/>
      <c r="G988" s="18"/>
      <c r="H988" s="18"/>
      <c r="I988" s="18"/>
      <c r="J988" s="18"/>
      <c r="K988" s="18"/>
      <c r="L988" s="18"/>
      <c r="M988" s="18"/>
      <c r="N988" s="18"/>
      <c r="O988" s="18"/>
      <c r="P988" s="23"/>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c r="BO988" s="26"/>
      <c r="BP988" s="26"/>
      <c r="BQ988" s="26"/>
      <c r="BR988" s="26"/>
      <c r="BS988" s="26"/>
      <c r="BT988" s="26"/>
      <c r="BU988" s="26"/>
      <c r="BV988" s="26"/>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26"/>
      <c r="CU988" s="26"/>
      <c r="CV988" s="26"/>
      <c r="CW988" s="26"/>
      <c r="CX988" s="26"/>
      <c r="CY988" s="26"/>
      <c r="CZ988" s="26"/>
      <c r="DA988" s="26"/>
      <c r="DB988" s="26"/>
      <c r="DC988" s="26"/>
      <c r="DD988" s="26"/>
      <c r="DE988" s="26"/>
      <c r="DF988" s="26"/>
      <c r="DG988" s="26"/>
      <c r="DH988" s="26"/>
      <c r="DI988" s="26"/>
      <c r="DJ988" s="26"/>
      <c r="DK988" s="26"/>
      <c r="DL988" s="26"/>
      <c r="DM988" s="26"/>
      <c r="DN988" s="26"/>
      <c r="DO988" s="26"/>
      <c r="DP988" s="26"/>
      <c r="DQ988" s="26"/>
      <c r="DR988" s="26"/>
      <c r="DS988" s="26"/>
      <c r="DT988" s="26"/>
      <c r="DU988" s="26"/>
      <c r="DV988" s="26"/>
      <c r="DW988" s="26"/>
      <c r="DX988" s="26"/>
      <c r="DY988" s="26"/>
      <c r="DZ988" s="26"/>
      <c r="EA988" s="26"/>
      <c r="EB988" s="26"/>
      <c r="EC988" s="26"/>
      <c r="ED988" s="26"/>
      <c r="EE988" s="26"/>
      <c r="EF988" s="26"/>
      <c r="EG988" s="26"/>
      <c r="EH988" s="26"/>
      <c r="EI988" s="26"/>
      <c r="EJ988" s="26"/>
      <c r="EK988" s="26"/>
      <c r="EL988" s="26"/>
      <c r="EM988" s="26"/>
      <c r="EN988" s="26"/>
      <c r="EO988" s="26"/>
      <c r="EP988" s="26"/>
      <c r="EQ988" s="26"/>
      <c r="ER988" s="26"/>
      <c r="ES988" s="26"/>
      <c r="ET988" s="26"/>
      <c r="EU988" s="26"/>
      <c r="EV988" s="26"/>
      <c r="EW988" s="26"/>
      <c r="EX988" s="26"/>
      <c r="EY988" s="26"/>
      <c r="EZ988" s="26"/>
      <c r="FA988" s="60"/>
      <c r="FB988" s="60"/>
      <c r="FC988" s="60"/>
      <c r="FD988" s="60"/>
      <c r="FE988" s="60"/>
      <c r="FF988" s="60"/>
      <c r="FG988" s="60"/>
      <c r="FH988" s="60"/>
      <c r="FI988" s="60"/>
      <c r="FJ988" s="60"/>
      <c r="FK988" s="60"/>
      <c r="FL988" s="60"/>
      <c r="FM988" s="60"/>
      <c r="FN988" s="60"/>
      <c r="FO988" s="60"/>
      <c r="FP988" s="60"/>
      <c r="FQ988" s="60"/>
      <c r="FR988" s="60"/>
      <c r="FS988" s="60"/>
      <c r="FT988" s="60"/>
      <c r="FU988" s="60"/>
      <c r="FV988" s="60"/>
      <c r="FW988" s="60"/>
      <c r="FX988" s="60"/>
    </row>
    <row r="989">
      <c r="A989" s="18"/>
      <c r="B989" s="14"/>
      <c r="C989" s="14"/>
      <c r="D989" s="14"/>
      <c r="E989" s="18"/>
      <c r="F989" s="18"/>
      <c r="G989" s="18"/>
      <c r="H989" s="18"/>
      <c r="I989" s="18"/>
      <c r="J989" s="18"/>
      <c r="K989" s="18"/>
      <c r="L989" s="18"/>
      <c r="M989" s="18"/>
      <c r="N989" s="18"/>
      <c r="O989" s="18"/>
      <c r="P989" s="23"/>
      <c r="Q989" s="26"/>
      <c r="R989" s="26"/>
      <c r="S989" s="26"/>
      <c r="T989" s="26"/>
      <c r="U989" s="26"/>
      <c r="V989" s="26"/>
      <c r="W989" s="26"/>
      <c r="X989" s="26"/>
      <c r="Y989" s="26"/>
      <c r="Z989" s="26"/>
      <c r="AA989" s="26"/>
      <c r="AB989" s="26"/>
      <c r="AC989" s="26"/>
      <c r="AD989" s="26"/>
      <c r="AE989" s="26"/>
      <c r="AF989" s="26"/>
      <c r="AG989" s="26"/>
      <c r="AH989" s="26"/>
      <c r="AI989" s="26"/>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6"/>
      <c r="BG989" s="26"/>
      <c r="BH989" s="26"/>
      <c r="BI989" s="26"/>
      <c r="BJ989" s="26"/>
      <c r="BK989" s="26"/>
      <c r="BL989" s="26"/>
      <c r="BM989" s="26"/>
      <c r="BN989" s="26"/>
      <c r="BO989" s="26"/>
      <c r="BP989" s="26"/>
      <c r="BQ989" s="26"/>
      <c r="BR989" s="26"/>
      <c r="BS989" s="26"/>
      <c r="BT989" s="26"/>
      <c r="BU989" s="26"/>
      <c r="BV989" s="26"/>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26"/>
      <c r="CU989" s="26"/>
      <c r="CV989" s="26"/>
      <c r="CW989" s="26"/>
      <c r="CX989" s="26"/>
      <c r="CY989" s="26"/>
      <c r="CZ989" s="26"/>
      <c r="DA989" s="26"/>
      <c r="DB989" s="26"/>
      <c r="DC989" s="26"/>
      <c r="DD989" s="26"/>
      <c r="DE989" s="26"/>
      <c r="DF989" s="26"/>
      <c r="DG989" s="26"/>
      <c r="DH989" s="26"/>
      <c r="DI989" s="26"/>
      <c r="DJ989" s="26"/>
      <c r="DK989" s="26"/>
      <c r="DL989" s="26"/>
      <c r="DM989" s="26"/>
      <c r="DN989" s="26"/>
      <c r="DO989" s="26"/>
      <c r="DP989" s="26"/>
      <c r="DQ989" s="26"/>
      <c r="DR989" s="26"/>
      <c r="DS989" s="26"/>
      <c r="DT989" s="26"/>
      <c r="DU989" s="26"/>
      <c r="DV989" s="26"/>
      <c r="DW989" s="26"/>
      <c r="DX989" s="26"/>
      <c r="DY989" s="26"/>
      <c r="DZ989" s="26"/>
      <c r="EA989" s="26"/>
      <c r="EB989" s="26"/>
      <c r="EC989" s="26"/>
      <c r="ED989" s="26"/>
      <c r="EE989" s="26"/>
      <c r="EF989" s="26"/>
      <c r="EG989" s="26"/>
      <c r="EH989" s="26"/>
      <c r="EI989" s="26"/>
      <c r="EJ989" s="26"/>
      <c r="EK989" s="26"/>
      <c r="EL989" s="26"/>
      <c r="EM989" s="26"/>
      <c r="EN989" s="26"/>
      <c r="EO989" s="26"/>
      <c r="EP989" s="26"/>
      <c r="EQ989" s="26"/>
      <c r="ER989" s="26"/>
      <c r="ES989" s="26"/>
      <c r="ET989" s="26"/>
      <c r="EU989" s="26"/>
      <c r="EV989" s="26"/>
      <c r="EW989" s="26"/>
      <c r="EX989" s="26"/>
      <c r="EY989" s="26"/>
      <c r="EZ989" s="26"/>
      <c r="FA989" s="60"/>
      <c r="FB989" s="60"/>
      <c r="FC989" s="60"/>
      <c r="FD989" s="60"/>
      <c r="FE989" s="60"/>
      <c r="FF989" s="60"/>
      <c r="FG989" s="60"/>
      <c r="FH989" s="60"/>
      <c r="FI989" s="60"/>
      <c r="FJ989" s="60"/>
      <c r="FK989" s="60"/>
      <c r="FL989" s="60"/>
      <c r="FM989" s="60"/>
      <c r="FN989" s="60"/>
      <c r="FO989" s="60"/>
      <c r="FP989" s="60"/>
      <c r="FQ989" s="60"/>
      <c r="FR989" s="60"/>
      <c r="FS989" s="60"/>
      <c r="FT989" s="60"/>
      <c r="FU989" s="60"/>
      <c r="FV989" s="60"/>
      <c r="FW989" s="60"/>
      <c r="FX989" s="60"/>
    </row>
    <row r="990">
      <c r="A990" s="18"/>
      <c r="B990" s="14"/>
      <c r="C990" s="14"/>
      <c r="D990" s="14"/>
      <c r="E990" s="18"/>
      <c r="F990" s="18"/>
      <c r="G990" s="18"/>
      <c r="H990" s="18"/>
      <c r="I990" s="18"/>
      <c r="J990" s="18"/>
      <c r="K990" s="18"/>
      <c r="L990" s="18"/>
      <c r="M990" s="18"/>
      <c r="N990" s="18"/>
      <c r="O990" s="18"/>
      <c r="P990" s="23"/>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c r="BO990" s="26"/>
      <c r="BP990" s="26"/>
      <c r="BQ990" s="26"/>
      <c r="BR990" s="26"/>
      <c r="BS990" s="26"/>
      <c r="BT990" s="26"/>
      <c r="BU990" s="26"/>
      <c r="BV990" s="26"/>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26"/>
      <c r="CU990" s="26"/>
      <c r="CV990" s="26"/>
      <c r="CW990" s="26"/>
      <c r="CX990" s="26"/>
      <c r="CY990" s="26"/>
      <c r="CZ990" s="26"/>
      <c r="DA990" s="26"/>
      <c r="DB990" s="26"/>
      <c r="DC990" s="26"/>
      <c r="DD990" s="26"/>
      <c r="DE990" s="26"/>
      <c r="DF990" s="26"/>
      <c r="DG990" s="26"/>
      <c r="DH990" s="26"/>
      <c r="DI990" s="26"/>
      <c r="DJ990" s="26"/>
      <c r="DK990" s="26"/>
      <c r="DL990" s="26"/>
      <c r="DM990" s="26"/>
      <c r="DN990" s="26"/>
      <c r="DO990" s="26"/>
      <c r="DP990" s="26"/>
      <c r="DQ990" s="26"/>
      <c r="DR990" s="26"/>
      <c r="DS990" s="26"/>
      <c r="DT990" s="26"/>
      <c r="DU990" s="26"/>
      <c r="DV990" s="26"/>
      <c r="DW990" s="26"/>
      <c r="DX990" s="26"/>
      <c r="DY990" s="26"/>
      <c r="DZ990" s="26"/>
      <c r="EA990" s="26"/>
      <c r="EB990" s="26"/>
      <c r="EC990" s="26"/>
      <c r="ED990" s="26"/>
      <c r="EE990" s="26"/>
      <c r="EF990" s="26"/>
      <c r="EG990" s="26"/>
      <c r="EH990" s="26"/>
      <c r="EI990" s="26"/>
      <c r="EJ990" s="26"/>
      <c r="EK990" s="26"/>
      <c r="EL990" s="26"/>
      <c r="EM990" s="26"/>
      <c r="EN990" s="26"/>
      <c r="EO990" s="26"/>
      <c r="EP990" s="26"/>
      <c r="EQ990" s="26"/>
      <c r="ER990" s="26"/>
      <c r="ES990" s="26"/>
      <c r="ET990" s="26"/>
      <c r="EU990" s="26"/>
      <c r="EV990" s="26"/>
      <c r="EW990" s="26"/>
      <c r="EX990" s="26"/>
      <c r="EY990" s="26"/>
      <c r="EZ990" s="26"/>
      <c r="FA990" s="60"/>
      <c r="FB990" s="60"/>
      <c r="FC990" s="60"/>
      <c r="FD990" s="60"/>
      <c r="FE990" s="60"/>
      <c r="FF990" s="60"/>
      <c r="FG990" s="60"/>
      <c r="FH990" s="60"/>
      <c r="FI990" s="60"/>
      <c r="FJ990" s="60"/>
      <c r="FK990" s="60"/>
      <c r="FL990" s="60"/>
      <c r="FM990" s="60"/>
      <c r="FN990" s="60"/>
      <c r="FO990" s="60"/>
      <c r="FP990" s="60"/>
      <c r="FQ990" s="60"/>
      <c r="FR990" s="60"/>
      <c r="FS990" s="60"/>
      <c r="FT990" s="60"/>
      <c r="FU990" s="60"/>
      <c r="FV990" s="60"/>
      <c r="FW990" s="60"/>
      <c r="FX990" s="60"/>
    </row>
    <row r="991">
      <c r="A991" s="18"/>
      <c r="B991" s="14"/>
      <c r="C991" s="14"/>
      <c r="D991" s="14"/>
      <c r="E991" s="18"/>
      <c r="F991" s="18"/>
      <c r="G991" s="18"/>
      <c r="H991" s="18"/>
      <c r="I991" s="18"/>
      <c r="J991" s="18"/>
      <c r="K991" s="18"/>
      <c r="L991" s="18"/>
      <c r="M991" s="18"/>
      <c r="N991" s="18"/>
      <c r="O991" s="18"/>
      <c r="P991" s="23"/>
      <c r="Q991" s="26"/>
      <c r="R991" s="26"/>
      <c r="S991" s="26"/>
      <c r="T991" s="26"/>
      <c r="U991" s="26"/>
      <c r="V991" s="26"/>
      <c r="W991" s="26"/>
      <c r="X991" s="26"/>
      <c r="Y991" s="26"/>
      <c r="Z991" s="26"/>
      <c r="AA991" s="26"/>
      <c r="AB991" s="26"/>
      <c r="AC991" s="26"/>
      <c r="AD991" s="26"/>
      <c r="AE991" s="26"/>
      <c r="AF991" s="26"/>
      <c r="AG991" s="26"/>
      <c r="AH991" s="26"/>
      <c r="AI991" s="26"/>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6"/>
      <c r="BG991" s="26"/>
      <c r="BH991" s="26"/>
      <c r="BI991" s="26"/>
      <c r="BJ991" s="26"/>
      <c r="BK991" s="26"/>
      <c r="BL991" s="26"/>
      <c r="BM991" s="26"/>
      <c r="BN991" s="26"/>
      <c r="BO991" s="26"/>
      <c r="BP991" s="26"/>
      <c r="BQ991" s="26"/>
      <c r="BR991" s="26"/>
      <c r="BS991" s="26"/>
      <c r="BT991" s="26"/>
      <c r="BU991" s="26"/>
      <c r="BV991" s="26"/>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26"/>
      <c r="CU991" s="26"/>
      <c r="CV991" s="26"/>
      <c r="CW991" s="26"/>
      <c r="CX991" s="26"/>
      <c r="CY991" s="26"/>
      <c r="CZ991" s="26"/>
      <c r="DA991" s="26"/>
      <c r="DB991" s="26"/>
      <c r="DC991" s="26"/>
      <c r="DD991" s="26"/>
      <c r="DE991" s="26"/>
      <c r="DF991" s="26"/>
      <c r="DG991" s="26"/>
      <c r="DH991" s="26"/>
      <c r="DI991" s="26"/>
      <c r="DJ991" s="26"/>
      <c r="DK991" s="26"/>
      <c r="DL991" s="26"/>
      <c r="DM991" s="26"/>
      <c r="DN991" s="26"/>
      <c r="DO991" s="26"/>
      <c r="DP991" s="26"/>
      <c r="DQ991" s="26"/>
      <c r="DR991" s="26"/>
      <c r="DS991" s="26"/>
      <c r="DT991" s="26"/>
      <c r="DU991" s="26"/>
      <c r="DV991" s="26"/>
      <c r="DW991" s="26"/>
      <c r="DX991" s="26"/>
      <c r="DY991" s="26"/>
      <c r="DZ991" s="26"/>
      <c r="EA991" s="26"/>
      <c r="EB991" s="26"/>
      <c r="EC991" s="26"/>
      <c r="ED991" s="26"/>
      <c r="EE991" s="26"/>
      <c r="EF991" s="26"/>
      <c r="EG991" s="26"/>
      <c r="EH991" s="26"/>
      <c r="EI991" s="26"/>
      <c r="EJ991" s="26"/>
      <c r="EK991" s="26"/>
      <c r="EL991" s="26"/>
      <c r="EM991" s="26"/>
      <c r="EN991" s="26"/>
      <c r="EO991" s="26"/>
      <c r="EP991" s="26"/>
      <c r="EQ991" s="26"/>
      <c r="ER991" s="26"/>
      <c r="ES991" s="26"/>
      <c r="ET991" s="26"/>
      <c r="EU991" s="26"/>
      <c r="EV991" s="26"/>
      <c r="EW991" s="26"/>
      <c r="EX991" s="26"/>
      <c r="EY991" s="26"/>
      <c r="EZ991" s="26"/>
      <c r="FA991" s="60"/>
      <c r="FB991" s="60"/>
      <c r="FC991" s="60"/>
      <c r="FD991" s="60"/>
      <c r="FE991" s="60"/>
      <c r="FF991" s="60"/>
      <c r="FG991" s="60"/>
      <c r="FH991" s="60"/>
      <c r="FI991" s="60"/>
      <c r="FJ991" s="60"/>
      <c r="FK991" s="60"/>
      <c r="FL991" s="60"/>
      <c r="FM991" s="60"/>
      <c r="FN991" s="60"/>
      <c r="FO991" s="60"/>
      <c r="FP991" s="60"/>
      <c r="FQ991" s="60"/>
      <c r="FR991" s="60"/>
      <c r="FS991" s="60"/>
      <c r="FT991" s="60"/>
      <c r="FU991" s="60"/>
      <c r="FV991" s="60"/>
      <c r="FW991" s="60"/>
      <c r="FX991" s="60"/>
    </row>
    <row r="992">
      <c r="A992" s="18"/>
      <c r="B992" s="14"/>
      <c r="C992" s="14"/>
      <c r="D992" s="14"/>
      <c r="E992" s="18"/>
      <c r="F992" s="18"/>
      <c r="G992" s="18"/>
      <c r="H992" s="18"/>
      <c r="I992" s="18"/>
      <c r="J992" s="18"/>
      <c r="K992" s="18"/>
      <c r="L992" s="18"/>
      <c r="M992" s="18"/>
      <c r="N992" s="18"/>
      <c r="O992" s="18"/>
      <c r="P992" s="23"/>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c r="BO992" s="26"/>
      <c r="BP992" s="26"/>
      <c r="BQ992" s="26"/>
      <c r="BR992" s="26"/>
      <c r="BS992" s="26"/>
      <c r="BT992" s="26"/>
      <c r="BU992" s="26"/>
      <c r="BV992" s="26"/>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26"/>
      <c r="CU992" s="26"/>
      <c r="CV992" s="26"/>
      <c r="CW992" s="26"/>
      <c r="CX992" s="26"/>
      <c r="CY992" s="26"/>
      <c r="CZ992" s="26"/>
      <c r="DA992" s="26"/>
      <c r="DB992" s="26"/>
      <c r="DC992" s="26"/>
      <c r="DD992" s="26"/>
      <c r="DE992" s="26"/>
      <c r="DF992" s="26"/>
      <c r="DG992" s="26"/>
      <c r="DH992" s="26"/>
      <c r="DI992" s="26"/>
      <c r="DJ992" s="26"/>
      <c r="DK992" s="26"/>
      <c r="DL992" s="26"/>
      <c r="DM992" s="26"/>
      <c r="DN992" s="26"/>
      <c r="DO992" s="26"/>
      <c r="DP992" s="26"/>
      <c r="DQ992" s="26"/>
      <c r="DR992" s="26"/>
      <c r="DS992" s="26"/>
      <c r="DT992" s="26"/>
      <c r="DU992" s="26"/>
      <c r="DV992" s="26"/>
      <c r="DW992" s="26"/>
      <c r="DX992" s="26"/>
      <c r="DY992" s="26"/>
      <c r="DZ992" s="26"/>
      <c r="EA992" s="26"/>
      <c r="EB992" s="26"/>
      <c r="EC992" s="26"/>
      <c r="ED992" s="26"/>
      <c r="EE992" s="26"/>
      <c r="EF992" s="26"/>
      <c r="EG992" s="26"/>
      <c r="EH992" s="26"/>
      <c r="EI992" s="26"/>
      <c r="EJ992" s="26"/>
      <c r="EK992" s="26"/>
      <c r="EL992" s="26"/>
      <c r="EM992" s="26"/>
      <c r="EN992" s="26"/>
      <c r="EO992" s="26"/>
      <c r="EP992" s="26"/>
      <c r="EQ992" s="26"/>
      <c r="ER992" s="26"/>
      <c r="ES992" s="26"/>
      <c r="ET992" s="26"/>
      <c r="EU992" s="26"/>
      <c r="EV992" s="26"/>
      <c r="EW992" s="26"/>
      <c r="EX992" s="26"/>
      <c r="EY992" s="26"/>
      <c r="EZ992" s="26"/>
      <c r="FA992" s="60"/>
      <c r="FB992" s="60"/>
      <c r="FC992" s="60"/>
      <c r="FD992" s="60"/>
      <c r="FE992" s="60"/>
      <c r="FF992" s="60"/>
      <c r="FG992" s="60"/>
      <c r="FH992" s="60"/>
      <c r="FI992" s="60"/>
      <c r="FJ992" s="60"/>
      <c r="FK992" s="60"/>
      <c r="FL992" s="60"/>
      <c r="FM992" s="60"/>
      <c r="FN992" s="60"/>
      <c r="FO992" s="60"/>
      <c r="FP992" s="60"/>
      <c r="FQ992" s="60"/>
      <c r="FR992" s="60"/>
      <c r="FS992" s="60"/>
      <c r="FT992" s="60"/>
      <c r="FU992" s="60"/>
      <c r="FV992" s="60"/>
      <c r="FW992" s="60"/>
      <c r="FX992" s="60"/>
    </row>
    <row r="993">
      <c r="A993" s="18"/>
      <c r="B993" s="14"/>
      <c r="C993" s="14"/>
      <c r="D993" s="14"/>
      <c r="E993" s="18"/>
      <c r="F993" s="18"/>
      <c r="G993" s="18"/>
      <c r="H993" s="18"/>
      <c r="I993" s="18"/>
      <c r="J993" s="18"/>
      <c r="K993" s="18"/>
      <c r="L993" s="18"/>
      <c r="M993" s="18"/>
      <c r="N993" s="18"/>
      <c r="O993" s="18"/>
      <c r="P993" s="23"/>
      <c r="Q993" s="26"/>
      <c r="R993" s="26"/>
      <c r="S993" s="26"/>
      <c r="T993" s="26"/>
      <c r="U993" s="26"/>
      <c r="V993" s="26"/>
      <c r="W993" s="26"/>
      <c r="X993" s="26"/>
      <c r="Y993" s="26"/>
      <c r="Z993" s="26"/>
      <c r="AA993" s="26"/>
      <c r="AB993" s="26"/>
      <c r="AC993" s="26"/>
      <c r="AD993" s="26"/>
      <c r="AE993" s="26"/>
      <c r="AF993" s="26"/>
      <c r="AG993" s="26"/>
      <c r="AH993" s="26"/>
      <c r="AI993" s="26"/>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c r="BM993" s="26"/>
      <c r="BN993" s="26"/>
      <c r="BO993" s="26"/>
      <c r="BP993" s="26"/>
      <c r="BQ993" s="26"/>
      <c r="BR993" s="26"/>
      <c r="BS993" s="26"/>
      <c r="BT993" s="26"/>
      <c r="BU993" s="26"/>
      <c r="BV993" s="26"/>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26"/>
      <c r="CU993" s="26"/>
      <c r="CV993" s="26"/>
      <c r="CW993" s="26"/>
      <c r="CX993" s="26"/>
      <c r="CY993" s="26"/>
      <c r="CZ993" s="26"/>
      <c r="DA993" s="26"/>
      <c r="DB993" s="26"/>
      <c r="DC993" s="26"/>
      <c r="DD993" s="26"/>
      <c r="DE993" s="26"/>
      <c r="DF993" s="26"/>
      <c r="DG993" s="26"/>
      <c r="DH993" s="26"/>
      <c r="DI993" s="26"/>
      <c r="DJ993" s="26"/>
      <c r="DK993" s="26"/>
      <c r="DL993" s="26"/>
      <c r="DM993" s="26"/>
      <c r="DN993" s="26"/>
      <c r="DO993" s="26"/>
      <c r="DP993" s="26"/>
      <c r="DQ993" s="26"/>
      <c r="DR993" s="26"/>
      <c r="DS993" s="26"/>
      <c r="DT993" s="26"/>
      <c r="DU993" s="26"/>
      <c r="DV993" s="26"/>
      <c r="DW993" s="26"/>
      <c r="DX993" s="26"/>
      <c r="DY993" s="26"/>
      <c r="DZ993" s="26"/>
      <c r="EA993" s="26"/>
      <c r="EB993" s="26"/>
      <c r="EC993" s="26"/>
      <c r="ED993" s="26"/>
      <c r="EE993" s="26"/>
      <c r="EF993" s="26"/>
      <c r="EG993" s="26"/>
      <c r="EH993" s="26"/>
      <c r="EI993" s="26"/>
      <c r="EJ993" s="26"/>
      <c r="EK993" s="26"/>
      <c r="EL993" s="26"/>
      <c r="EM993" s="26"/>
      <c r="EN993" s="26"/>
      <c r="EO993" s="26"/>
      <c r="EP993" s="26"/>
      <c r="EQ993" s="26"/>
      <c r="ER993" s="26"/>
      <c r="ES993" s="26"/>
      <c r="ET993" s="26"/>
      <c r="EU993" s="26"/>
      <c r="EV993" s="26"/>
      <c r="EW993" s="26"/>
      <c r="EX993" s="26"/>
      <c r="EY993" s="26"/>
      <c r="EZ993" s="26"/>
      <c r="FA993" s="60"/>
      <c r="FB993" s="60"/>
      <c r="FC993" s="60"/>
      <c r="FD993" s="60"/>
      <c r="FE993" s="60"/>
      <c r="FF993" s="60"/>
      <c r="FG993" s="60"/>
      <c r="FH993" s="60"/>
      <c r="FI993" s="60"/>
      <c r="FJ993" s="60"/>
      <c r="FK993" s="60"/>
      <c r="FL993" s="60"/>
      <c r="FM993" s="60"/>
      <c r="FN993" s="60"/>
      <c r="FO993" s="60"/>
      <c r="FP993" s="60"/>
      <c r="FQ993" s="60"/>
      <c r="FR993" s="60"/>
      <c r="FS993" s="60"/>
      <c r="FT993" s="60"/>
      <c r="FU993" s="60"/>
      <c r="FV993" s="60"/>
      <c r="FW993" s="60"/>
      <c r="FX993" s="60"/>
    </row>
    <row r="994">
      <c r="A994" s="18"/>
      <c r="B994" s="14"/>
      <c r="C994" s="14"/>
      <c r="D994" s="14"/>
      <c r="E994" s="18"/>
      <c r="F994" s="18"/>
      <c r="G994" s="18"/>
      <c r="H994" s="18"/>
      <c r="I994" s="18"/>
      <c r="J994" s="18"/>
      <c r="K994" s="18"/>
      <c r="L994" s="18"/>
      <c r="M994" s="18"/>
      <c r="N994" s="18"/>
      <c r="O994" s="18"/>
      <c r="P994" s="23"/>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c r="BO994" s="26"/>
      <c r="BP994" s="26"/>
      <c r="BQ994" s="26"/>
      <c r="BR994" s="26"/>
      <c r="BS994" s="26"/>
      <c r="BT994" s="26"/>
      <c r="BU994" s="26"/>
      <c r="BV994" s="26"/>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26"/>
      <c r="CU994" s="26"/>
      <c r="CV994" s="26"/>
      <c r="CW994" s="26"/>
      <c r="CX994" s="26"/>
      <c r="CY994" s="26"/>
      <c r="CZ994" s="26"/>
      <c r="DA994" s="26"/>
      <c r="DB994" s="26"/>
      <c r="DC994" s="26"/>
      <c r="DD994" s="26"/>
      <c r="DE994" s="26"/>
      <c r="DF994" s="26"/>
      <c r="DG994" s="26"/>
      <c r="DH994" s="26"/>
      <c r="DI994" s="26"/>
      <c r="DJ994" s="26"/>
      <c r="DK994" s="26"/>
      <c r="DL994" s="26"/>
      <c r="DM994" s="26"/>
      <c r="DN994" s="26"/>
      <c r="DO994" s="26"/>
      <c r="DP994" s="26"/>
      <c r="DQ994" s="26"/>
      <c r="DR994" s="26"/>
      <c r="DS994" s="26"/>
      <c r="DT994" s="26"/>
      <c r="DU994" s="26"/>
      <c r="DV994" s="26"/>
      <c r="DW994" s="26"/>
      <c r="DX994" s="26"/>
      <c r="DY994" s="26"/>
      <c r="DZ994" s="26"/>
      <c r="EA994" s="26"/>
      <c r="EB994" s="26"/>
      <c r="EC994" s="26"/>
      <c r="ED994" s="26"/>
      <c r="EE994" s="26"/>
      <c r="EF994" s="26"/>
      <c r="EG994" s="26"/>
      <c r="EH994" s="26"/>
      <c r="EI994" s="26"/>
      <c r="EJ994" s="26"/>
      <c r="EK994" s="26"/>
      <c r="EL994" s="26"/>
      <c r="EM994" s="26"/>
      <c r="EN994" s="26"/>
      <c r="EO994" s="26"/>
      <c r="EP994" s="26"/>
      <c r="EQ994" s="26"/>
      <c r="ER994" s="26"/>
      <c r="ES994" s="26"/>
      <c r="ET994" s="26"/>
      <c r="EU994" s="26"/>
      <c r="EV994" s="26"/>
      <c r="EW994" s="26"/>
      <c r="EX994" s="26"/>
      <c r="EY994" s="26"/>
      <c r="EZ994" s="26"/>
      <c r="FA994" s="60"/>
      <c r="FB994" s="60"/>
      <c r="FC994" s="60"/>
      <c r="FD994" s="60"/>
      <c r="FE994" s="60"/>
      <c r="FF994" s="60"/>
      <c r="FG994" s="60"/>
      <c r="FH994" s="60"/>
      <c r="FI994" s="60"/>
      <c r="FJ994" s="60"/>
      <c r="FK994" s="60"/>
      <c r="FL994" s="60"/>
      <c r="FM994" s="60"/>
      <c r="FN994" s="60"/>
      <c r="FO994" s="60"/>
      <c r="FP994" s="60"/>
      <c r="FQ994" s="60"/>
      <c r="FR994" s="60"/>
      <c r="FS994" s="60"/>
      <c r="FT994" s="60"/>
      <c r="FU994" s="60"/>
      <c r="FV994" s="60"/>
      <c r="FW994" s="60"/>
      <c r="FX994" s="60"/>
    </row>
    <row r="995">
      <c r="A995" s="18"/>
      <c r="B995" s="14"/>
      <c r="C995" s="14"/>
      <c r="D995" s="14"/>
      <c r="E995" s="18"/>
      <c r="F995" s="18"/>
      <c r="G995" s="18"/>
      <c r="H995" s="18"/>
      <c r="I995" s="18"/>
      <c r="J995" s="18"/>
      <c r="K995" s="18"/>
      <c r="L995" s="18"/>
      <c r="M995" s="18"/>
      <c r="N995" s="18"/>
      <c r="O995" s="18"/>
      <c r="P995" s="23"/>
      <c r="Q995" s="26"/>
      <c r="R995" s="26"/>
      <c r="S995" s="26"/>
      <c r="T995" s="26"/>
      <c r="U995" s="26"/>
      <c r="V995" s="26"/>
      <c r="W995" s="26"/>
      <c r="X995" s="26"/>
      <c r="Y995" s="26"/>
      <c r="Z995" s="26"/>
      <c r="AA995" s="26"/>
      <c r="AB995" s="26"/>
      <c r="AC995" s="26"/>
      <c r="AD995" s="26"/>
      <c r="AE995" s="26"/>
      <c r="AF995" s="26"/>
      <c r="AG995" s="26"/>
      <c r="AH995" s="26"/>
      <c r="AI995" s="26"/>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6"/>
      <c r="BM995" s="26"/>
      <c r="BN995" s="26"/>
      <c r="BO995" s="26"/>
      <c r="BP995" s="26"/>
      <c r="BQ995" s="26"/>
      <c r="BR995" s="26"/>
      <c r="BS995" s="26"/>
      <c r="BT995" s="26"/>
      <c r="BU995" s="26"/>
      <c r="BV995" s="26"/>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26"/>
      <c r="CU995" s="26"/>
      <c r="CV995" s="26"/>
      <c r="CW995" s="26"/>
      <c r="CX995" s="26"/>
      <c r="CY995" s="26"/>
      <c r="CZ995" s="26"/>
      <c r="DA995" s="26"/>
      <c r="DB995" s="26"/>
      <c r="DC995" s="26"/>
      <c r="DD995" s="26"/>
      <c r="DE995" s="26"/>
      <c r="DF995" s="26"/>
      <c r="DG995" s="26"/>
      <c r="DH995" s="26"/>
      <c r="DI995" s="26"/>
      <c r="DJ995" s="26"/>
      <c r="DK995" s="26"/>
      <c r="DL995" s="26"/>
      <c r="DM995" s="26"/>
      <c r="DN995" s="26"/>
      <c r="DO995" s="26"/>
      <c r="DP995" s="26"/>
      <c r="DQ995" s="26"/>
      <c r="DR995" s="26"/>
      <c r="DS995" s="26"/>
      <c r="DT995" s="26"/>
      <c r="DU995" s="26"/>
      <c r="DV995" s="26"/>
      <c r="DW995" s="26"/>
      <c r="DX995" s="26"/>
      <c r="DY995" s="26"/>
      <c r="DZ995" s="26"/>
      <c r="EA995" s="26"/>
      <c r="EB995" s="26"/>
      <c r="EC995" s="26"/>
      <c r="ED995" s="26"/>
      <c r="EE995" s="26"/>
      <c r="EF995" s="26"/>
      <c r="EG995" s="26"/>
      <c r="EH995" s="26"/>
      <c r="EI995" s="26"/>
      <c r="EJ995" s="26"/>
      <c r="EK995" s="26"/>
      <c r="EL995" s="26"/>
      <c r="EM995" s="26"/>
      <c r="EN995" s="26"/>
      <c r="EO995" s="26"/>
      <c r="EP995" s="26"/>
      <c r="EQ995" s="26"/>
      <c r="ER995" s="26"/>
      <c r="ES995" s="26"/>
      <c r="ET995" s="26"/>
      <c r="EU995" s="26"/>
      <c r="EV995" s="26"/>
      <c r="EW995" s="26"/>
      <c r="EX995" s="26"/>
      <c r="EY995" s="26"/>
      <c r="EZ995" s="26"/>
      <c r="FA995" s="60"/>
      <c r="FB995" s="60"/>
      <c r="FC995" s="60"/>
      <c r="FD995" s="60"/>
      <c r="FE995" s="60"/>
      <c r="FF995" s="60"/>
      <c r="FG995" s="60"/>
      <c r="FH995" s="60"/>
      <c r="FI995" s="60"/>
      <c r="FJ995" s="60"/>
      <c r="FK995" s="60"/>
      <c r="FL995" s="60"/>
      <c r="FM995" s="60"/>
      <c r="FN995" s="60"/>
      <c r="FO995" s="60"/>
      <c r="FP995" s="60"/>
      <c r="FQ995" s="60"/>
      <c r="FR995" s="60"/>
      <c r="FS995" s="60"/>
      <c r="FT995" s="60"/>
      <c r="FU995" s="60"/>
      <c r="FV995" s="60"/>
      <c r="FW995" s="60"/>
      <c r="FX995" s="60"/>
    </row>
    <row r="996">
      <c r="A996" s="18"/>
      <c r="B996" s="14"/>
      <c r="C996" s="14"/>
      <c r="D996" s="14"/>
      <c r="E996" s="18"/>
      <c r="F996" s="18"/>
      <c r="G996" s="18"/>
      <c r="H996" s="18"/>
      <c r="I996" s="18"/>
      <c r="J996" s="18"/>
      <c r="K996" s="18"/>
      <c r="L996" s="18"/>
      <c r="M996" s="18"/>
      <c r="N996" s="18"/>
      <c r="O996" s="18"/>
      <c r="P996" s="23"/>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c r="BO996" s="26"/>
      <c r="BP996" s="26"/>
      <c r="BQ996" s="26"/>
      <c r="BR996" s="26"/>
      <c r="BS996" s="26"/>
      <c r="BT996" s="26"/>
      <c r="BU996" s="26"/>
      <c r="BV996" s="26"/>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26"/>
      <c r="CU996" s="26"/>
      <c r="CV996" s="26"/>
      <c r="CW996" s="26"/>
      <c r="CX996" s="26"/>
      <c r="CY996" s="26"/>
      <c r="CZ996" s="26"/>
      <c r="DA996" s="26"/>
      <c r="DB996" s="26"/>
      <c r="DC996" s="26"/>
      <c r="DD996" s="26"/>
      <c r="DE996" s="26"/>
      <c r="DF996" s="26"/>
      <c r="DG996" s="26"/>
      <c r="DH996" s="26"/>
      <c r="DI996" s="26"/>
      <c r="DJ996" s="26"/>
      <c r="DK996" s="26"/>
      <c r="DL996" s="26"/>
      <c r="DM996" s="26"/>
      <c r="DN996" s="26"/>
      <c r="DO996" s="26"/>
      <c r="DP996" s="26"/>
      <c r="DQ996" s="26"/>
      <c r="DR996" s="26"/>
      <c r="DS996" s="26"/>
      <c r="DT996" s="26"/>
      <c r="DU996" s="26"/>
      <c r="DV996" s="26"/>
      <c r="DW996" s="26"/>
      <c r="DX996" s="26"/>
      <c r="DY996" s="26"/>
      <c r="DZ996" s="26"/>
      <c r="EA996" s="26"/>
      <c r="EB996" s="26"/>
      <c r="EC996" s="26"/>
      <c r="ED996" s="26"/>
      <c r="EE996" s="26"/>
      <c r="EF996" s="26"/>
      <c r="EG996" s="26"/>
      <c r="EH996" s="26"/>
      <c r="EI996" s="26"/>
      <c r="EJ996" s="26"/>
      <c r="EK996" s="26"/>
      <c r="EL996" s="26"/>
      <c r="EM996" s="26"/>
      <c r="EN996" s="26"/>
      <c r="EO996" s="26"/>
      <c r="EP996" s="26"/>
      <c r="EQ996" s="26"/>
      <c r="ER996" s="26"/>
      <c r="ES996" s="26"/>
      <c r="ET996" s="26"/>
      <c r="EU996" s="26"/>
      <c r="EV996" s="26"/>
      <c r="EW996" s="26"/>
      <c r="EX996" s="26"/>
      <c r="EY996" s="26"/>
      <c r="EZ996" s="26"/>
      <c r="FA996" s="60"/>
      <c r="FB996" s="60"/>
      <c r="FC996" s="60"/>
      <c r="FD996" s="60"/>
      <c r="FE996" s="60"/>
      <c r="FF996" s="60"/>
      <c r="FG996" s="60"/>
      <c r="FH996" s="60"/>
      <c r="FI996" s="60"/>
      <c r="FJ996" s="60"/>
      <c r="FK996" s="60"/>
      <c r="FL996" s="60"/>
      <c r="FM996" s="60"/>
      <c r="FN996" s="60"/>
      <c r="FO996" s="60"/>
      <c r="FP996" s="60"/>
      <c r="FQ996" s="60"/>
      <c r="FR996" s="60"/>
      <c r="FS996" s="60"/>
      <c r="FT996" s="60"/>
      <c r="FU996" s="60"/>
      <c r="FV996" s="60"/>
      <c r="FW996" s="60"/>
      <c r="FX996" s="60"/>
    </row>
  </sheetData>
  <autoFilter ref="$D$1:$D$996"/>
  <customSheetViews>
    <customSheetView guid="{402F93E8-2940-4EC7-9ED6-390B4858E4F9}" filter="1" showAutoFilter="1">
      <autoFilter ref="$D$1:$D$996"/>
    </customSheetView>
  </customSheetViews>
  <mergeCells count="165">
    <mergeCell ref="P4:P7"/>
    <mergeCell ref="Q4:Q7"/>
    <mergeCell ref="R4:R7"/>
    <mergeCell ref="S4:S7"/>
    <mergeCell ref="T4:T7"/>
    <mergeCell ref="U4:U7"/>
    <mergeCell ref="V4:V7"/>
    <mergeCell ref="W4:W7"/>
    <mergeCell ref="X4:X7"/>
    <mergeCell ref="Y4:Y7"/>
    <mergeCell ref="Z4:Z7"/>
    <mergeCell ref="AA4:AA7"/>
    <mergeCell ref="AB4:AB7"/>
    <mergeCell ref="AC4:AC7"/>
    <mergeCell ref="AD4:AD7"/>
    <mergeCell ref="AE4:AE7"/>
    <mergeCell ref="AF4:AF7"/>
    <mergeCell ref="AG4:AG7"/>
    <mergeCell ref="AH4:AH7"/>
    <mergeCell ref="AI4:AI7"/>
    <mergeCell ref="AJ4:AJ7"/>
    <mergeCell ref="AK4:AK7"/>
    <mergeCell ref="AL4:AL7"/>
    <mergeCell ref="AM4:AM7"/>
    <mergeCell ref="AN4:AN7"/>
    <mergeCell ref="AO4:AO7"/>
    <mergeCell ref="AP4:AP7"/>
    <mergeCell ref="AQ4:AQ7"/>
    <mergeCell ref="AR4:AR7"/>
    <mergeCell ref="AS4:AS7"/>
    <mergeCell ref="AT4:AT7"/>
    <mergeCell ref="AU4:AU7"/>
    <mergeCell ref="AV4:AV7"/>
    <mergeCell ref="AW4:AW7"/>
    <mergeCell ref="AX4:AX7"/>
    <mergeCell ref="AY4:AY7"/>
    <mergeCell ref="AZ4:AZ7"/>
    <mergeCell ref="BA4:BA7"/>
    <mergeCell ref="BB4:BB7"/>
    <mergeCell ref="BC4:BC7"/>
    <mergeCell ref="BD4:BD7"/>
    <mergeCell ref="BE4:BE7"/>
    <mergeCell ref="BF4:BF7"/>
    <mergeCell ref="BG4:BG7"/>
    <mergeCell ref="BH4:BH7"/>
    <mergeCell ref="BI4:BI7"/>
    <mergeCell ref="BJ4:BJ7"/>
    <mergeCell ref="BK4:BK7"/>
    <mergeCell ref="BL4:BL7"/>
    <mergeCell ref="BM4:BM7"/>
    <mergeCell ref="BN4:BN7"/>
    <mergeCell ref="BO4:BO7"/>
    <mergeCell ref="BP4:BP7"/>
    <mergeCell ref="BQ4:BQ7"/>
    <mergeCell ref="BR4:BR7"/>
    <mergeCell ref="BS4:BS7"/>
    <mergeCell ref="BT4:BT7"/>
    <mergeCell ref="BU4:BU7"/>
    <mergeCell ref="BV4:BV7"/>
    <mergeCell ref="BW4:BW7"/>
    <mergeCell ref="BX4:BX7"/>
    <mergeCell ref="BY4:BY7"/>
    <mergeCell ref="BZ4:BZ7"/>
    <mergeCell ref="CA4:CA7"/>
    <mergeCell ref="CB4:CB7"/>
    <mergeCell ref="CC4:CC7"/>
    <mergeCell ref="CD4:CD7"/>
    <mergeCell ref="CE4:CE7"/>
    <mergeCell ref="CF4:CF7"/>
    <mergeCell ref="CG4:CG7"/>
    <mergeCell ref="CH4:CH7"/>
    <mergeCell ref="CI4:CI7"/>
    <mergeCell ref="CJ4:CJ7"/>
    <mergeCell ref="CK4:CK7"/>
    <mergeCell ref="CL4:CL7"/>
    <mergeCell ref="CM4:CM7"/>
    <mergeCell ref="CN4:CN7"/>
    <mergeCell ref="CO4:CO7"/>
    <mergeCell ref="CP4:CP7"/>
    <mergeCell ref="CQ4:CQ7"/>
    <mergeCell ref="CR4:CR7"/>
    <mergeCell ref="CS4:CS7"/>
    <mergeCell ref="CT4:CT7"/>
    <mergeCell ref="CU4:CU7"/>
    <mergeCell ref="CV4:CV7"/>
    <mergeCell ref="CW4:CW7"/>
    <mergeCell ref="CX4:CX7"/>
    <mergeCell ref="CY4:CY7"/>
    <mergeCell ref="CZ4:CZ7"/>
    <mergeCell ref="DA4:DA7"/>
    <mergeCell ref="DB4:DB7"/>
    <mergeCell ref="DC4:DC7"/>
    <mergeCell ref="DD4:DD7"/>
    <mergeCell ref="DE4:DE7"/>
    <mergeCell ref="DF4:DF7"/>
    <mergeCell ref="DG4:DG7"/>
    <mergeCell ref="DH4:DH7"/>
    <mergeCell ref="DI4:DI7"/>
    <mergeCell ref="FG4:FG7"/>
    <mergeCell ref="FH4:FH7"/>
    <mergeCell ref="FI4:FI7"/>
    <mergeCell ref="FJ4:FJ7"/>
    <mergeCell ref="FK4:FK7"/>
    <mergeCell ref="FL4:FL7"/>
    <mergeCell ref="FM4:FM7"/>
    <mergeCell ref="FU4:FU7"/>
    <mergeCell ref="FV4:FV7"/>
    <mergeCell ref="FW4:FW7"/>
    <mergeCell ref="FX4:FX7"/>
    <mergeCell ref="FN4:FN7"/>
    <mergeCell ref="FO4:FO7"/>
    <mergeCell ref="FP4:FP7"/>
    <mergeCell ref="FQ4:FQ7"/>
    <mergeCell ref="FR4:FR7"/>
    <mergeCell ref="FS4:FS7"/>
    <mergeCell ref="FT4:FT7"/>
    <mergeCell ref="DJ4:DJ7"/>
    <mergeCell ref="DK4:DK7"/>
    <mergeCell ref="DL4:DL7"/>
    <mergeCell ref="DM4:DM7"/>
    <mergeCell ref="DN4:DN7"/>
    <mergeCell ref="DO4:DO7"/>
    <mergeCell ref="DP4:DP7"/>
    <mergeCell ref="DQ4:DQ7"/>
    <mergeCell ref="DR4:DR7"/>
    <mergeCell ref="DS4:DS7"/>
    <mergeCell ref="DT4:DT7"/>
    <mergeCell ref="DU4:DU7"/>
    <mergeCell ref="DV4:DV7"/>
    <mergeCell ref="DW4:DW7"/>
    <mergeCell ref="DX4:DX7"/>
    <mergeCell ref="DY4:DY7"/>
    <mergeCell ref="DZ4:DZ7"/>
    <mergeCell ref="EA4:EA7"/>
    <mergeCell ref="EB4:EB7"/>
    <mergeCell ref="EC4:EC7"/>
    <mergeCell ref="ED4:ED7"/>
    <mergeCell ref="EE4:EE7"/>
    <mergeCell ref="EF4:EF7"/>
    <mergeCell ref="EG4:EG7"/>
    <mergeCell ref="EH4:EH7"/>
    <mergeCell ref="EI4:EI7"/>
    <mergeCell ref="EJ4:EJ7"/>
    <mergeCell ref="EK4:EK7"/>
    <mergeCell ref="EL4:EL7"/>
    <mergeCell ref="EM4:EM7"/>
    <mergeCell ref="EN4:EN7"/>
    <mergeCell ref="EO4:EO7"/>
    <mergeCell ref="EP4:EP7"/>
    <mergeCell ref="EQ4:EQ7"/>
    <mergeCell ref="ER4:ER7"/>
    <mergeCell ref="ES4:ES7"/>
    <mergeCell ref="ET4:ET7"/>
    <mergeCell ref="EU4:EU7"/>
    <mergeCell ref="EV4:EV7"/>
    <mergeCell ref="EW4:EW7"/>
    <mergeCell ref="EX4:EX7"/>
    <mergeCell ref="EY4:EY7"/>
    <mergeCell ref="EZ4:EZ7"/>
    <mergeCell ref="FA4:FA7"/>
    <mergeCell ref="FB4:FB7"/>
    <mergeCell ref="FC4:FC7"/>
    <mergeCell ref="FD4:FD7"/>
    <mergeCell ref="FE4:FE7"/>
    <mergeCell ref="FF4:FF7"/>
  </mergeCells>
  <conditionalFormatting sqref="Q12:FX12">
    <cfRule type="expression" dxfId="2" priority="1">
      <formula>MOD(Q$12,7)=0</formula>
    </cfRule>
  </conditionalFormatting>
  <conditionalFormatting sqref="Q12:FX12">
    <cfRule type="expression" dxfId="2" priority="2">
      <formula>MOD(Q$12,7)=1</formula>
    </cfRule>
  </conditionalFormatting>
  <conditionalFormatting sqref="Q13:FX100">
    <cfRule type="expression" dxfId="3" priority="3">
      <formula>AND(Q13&lt;&gt;"",INDIRECT("General!$P$13")=$D13)</formula>
    </cfRule>
  </conditionalFormatting>
  <conditionalFormatting sqref="Q13:FX74">
    <cfRule type="expression" dxfId="4" priority="4">
      <formula>AND(Q13&lt;&gt;"",INDIRECT("General!$P$11")=$D13)</formula>
    </cfRule>
  </conditionalFormatting>
  <conditionalFormatting sqref="Q13:FX74">
    <cfRule type="expression" dxfId="5" priority="5">
      <formula>AND(Q13&lt;&gt;"",INDIRECT("General!$P$8")=$D13)</formula>
    </cfRule>
  </conditionalFormatting>
  <conditionalFormatting sqref="Q13:FX74">
    <cfRule type="expression" dxfId="6" priority="6">
      <formula>AND(Q13&lt;&gt;"",INDIRECT("General!$P$9")=$D13)</formula>
    </cfRule>
  </conditionalFormatting>
  <conditionalFormatting sqref="Q13:FX74">
    <cfRule type="expression" dxfId="7" priority="7">
      <formula>AND(Q13&lt;&gt;"",INDIRECT("General!$P$10")=$D13)</formula>
    </cfRule>
  </conditionalFormatting>
  <conditionalFormatting sqref="J13:J74">
    <cfRule type="expression" dxfId="8" priority="8">
      <formula>INDIRECT("General!$C$8")=J13</formula>
    </cfRule>
  </conditionalFormatting>
  <conditionalFormatting sqref="J13:J74">
    <cfRule type="expression" dxfId="9" priority="9">
      <formula>INDIRECT("General!$C$9")=J13</formula>
    </cfRule>
  </conditionalFormatting>
  <conditionalFormatting sqref="P13:P74">
    <cfRule type="notContainsBlanks" dxfId="1" priority="10">
      <formula>LEN(TRIM(P13))&gt;0</formula>
    </cfRule>
  </conditionalFormatting>
  <conditionalFormatting sqref="J13:J74">
    <cfRule type="expression" dxfId="10" priority="11">
      <formula>INDIRECT("General!$C$10")=J13</formula>
    </cfRule>
  </conditionalFormatting>
  <conditionalFormatting sqref="J13:J74">
    <cfRule type="expression" dxfId="11" priority="12">
      <formula>INDIRECT("General!$C$12")=J13</formula>
    </cfRule>
  </conditionalFormatting>
  <conditionalFormatting sqref="Q13:FX74">
    <cfRule type="expression" dxfId="12" priority="13">
      <formula>AND(Q13&lt;&gt;"",INDIRECT("General!$P$12")=$D13)</formula>
    </cfRule>
  </conditionalFormatting>
  <conditionalFormatting sqref="Q8:FX8">
    <cfRule type="notContainsBlanks" dxfId="26" priority="14">
      <formula>LEN(TRIM(Q8))&gt;0</formula>
    </cfRule>
  </conditionalFormatting>
  <conditionalFormatting sqref="Q8:FX74">
    <cfRule type="expression" dxfId="13" priority="15">
      <formula>Q$12=TODAY()</formula>
    </cfRule>
  </conditionalFormatting>
  <conditionalFormatting sqref="Q13:FX74">
    <cfRule type="expression" dxfId="14" priority="16">
      <formula>MOD(Q$12,7)=1</formula>
    </cfRule>
  </conditionalFormatting>
  <conditionalFormatting sqref="Q13:FX74">
    <cfRule type="expression" dxfId="14" priority="17">
      <formula>MOD(Q$12,7)=0</formula>
    </cfRule>
  </conditionalFormatting>
  <conditionalFormatting sqref="Q11:FX11">
    <cfRule type="notContainsBlanks" dxfId="15" priority="18">
      <formula>LEN(TRIM(Q11))&gt;0</formula>
    </cfRule>
  </conditionalFormatting>
  <conditionalFormatting sqref="I8:I10 D13:D74">
    <cfRule type="expression" dxfId="5" priority="19">
      <formula>INDIRECT("General!$P$8")=I8</formula>
    </cfRule>
  </conditionalFormatting>
  <conditionalFormatting sqref="I8:I10 D13:D74">
    <cfRule type="expression" dxfId="6" priority="20">
      <formula>INDIRECT("General!$P$9")=I8</formula>
    </cfRule>
  </conditionalFormatting>
  <conditionalFormatting sqref="I8:I10 D13:D74">
    <cfRule type="expression" dxfId="16" priority="21">
      <formula>INDIRECT("General!$P$10")=I8</formula>
    </cfRule>
  </conditionalFormatting>
  <conditionalFormatting sqref="I8:I10 D13:D74">
    <cfRule type="expression" dxfId="4" priority="22">
      <formula>INDIRECT("General!$P$11")=I8</formula>
    </cfRule>
  </conditionalFormatting>
  <conditionalFormatting sqref="J13:J74">
    <cfRule type="expression" dxfId="17" priority="23">
      <formula>INDIRECT("General!$C$11")=J13</formula>
    </cfRule>
  </conditionalFormatting>
  <conditionalFormatting sqref="I8:I10 D13:D74">
    <cfRule type="expression" dxfId="3" priority="24">
      <formula>INDIRECT("General!$P$13")=I8</formula>
    </cfRule>
  </conditionalFormatting>
  <conditionalFormatting sqref="I8:I10 D13:D74">
    <cfRule type="expression" dxfId="12" priority="25">
      <formula>INDIRECT("General!$P$12")=I8</formula>
    </cfRule>
  </conditionalFormatting>
  <conditionalFormatting sqref="Q9:FX9">
    <cfRule type="notContainsBlanks" dxfId="27" priority="26">
      <formula>LEN(TRIM(Q9))&gt;0</formula>
    </cfRule>
  </conditionalFormatting>
  <conditionalFormatting sqref="J13:J74">
    <cfRule type="expression" dxfId="18" priority="27">
      <formula>INDIRECT("General!$C$14")=J13</formula>
    </cfRule>
  </conditionalFormatting>
  <conditionalFormatting sqref="J13:J74">
    <cfRule type="expression" dxfId="19" priority="28">
      <formula>INDIRECT("General!$C$16")=J13</formula>
    </cfRule>
  </conditionalFormatting>
  <conditionalFormatting sqref="J11">
    <cfRule type="notContainsBlanks" dxfId="1" priority="29">
      <formula>LEN(TRIM(J11))&gt;0</formula>
    </cfRule>
  </conditionalFormatting>
  <conditionalFormatting sqref="FB10">
    <cfRule type="notContainsBlanks" dxfId="1" priority="30">
      <formula>LEN(TRIM(FB10))&gt;0</formula>
    </cfRule>
  </conditionalFormatting>
  <conditionalFormatting sqref="Q10:FX10">
    <cfRule type="notContainsBlanks" dxfId="28" priority="31">
      <formula>LEN(TRIM(Q10))&gt;0</formula>
    </cfRule>
  </conditionalFormatting>
  <dataValidations>
    <dataValidation type="list" allowBlank="1" sqref="J39 J67">
      <formula1>General!$C$13:$C$23</formula1>
    </dataValidation>
    <dataValidation type="list" allowBlank="1" sqref="J18">
      <formula1>General!$C$13:$C$23</formula1>
    </dataValidation>
    <dataValidation type="list" allowBlank="1" sqref="J44">
      <formula1>General!$C$13:$C$23</formula1>
    </dataValidation>
    <dataValidation type="list" allowBlank="1" sqref="J52">
      <formula1>General!$C$13:$C$23</formula1>
    </dataValidation>
    <dataValidation type="list" allowBlank="1" sqref="J69">
      <formula1>General!$C$13:$C$23</formula1>
    </dataValidation>
    <dataValidation type="list" allowBlank="1" sqref="J70">
      <formula1>General!$C$13:$C$23</formula1>
    </dataValidation>
    <dataValidation type="custom" allowBlank="1" showDropDown="1" sqref="E14:E30 E35:E69">
      <formula1>OR(NOT(ISERROR(DATEVALUE(E14))), AND(ISNUMBER(E14), LEFT(CELL("format", E14))="D"))</formula1>
    </dataValidation>
    <dataValidation type="list" allowBlank="1" sqref="J13 J17 J19:J34 J36:J38 J41:J43 J47 J50:J51 J54:J62 J64 J66">
      <formula1>General!$C$13:$C$23</formula1>
    </dataValidation>
    <dataValidation type="list" allowBlank="1" sqref="K25:K30 K34 K38 K50:K51 K58:K60 M13:M74">
      <formula1>"0%,10%,20%,30%,40%,50%,60%,70%,80%,90%,100%"</formula1>
    </dataValidation>
    <dataValidation type="list" allowBlank="1" sqref="J14:J16 J40 J45 J49 J53 J63 J65 J71:J74">
      <formula1>General!$C$13:$C$23</formula1>
    </dataValidation>
    <dataValidation type="list" allowBlank="1" sqref="J48">
      <formula1>General!$C$13:$C$23</formula1>
    </dataValidation>
    <dataValidation type="list" allowBlank="1" sqref="J46">
      <formula1>General!$C$13:$C$23</formula1>
    </dataValidation>
    <dataValidation type="list" allowBlank="1" sqref="D13:D74">
      <formula1>General!$P$13:$P$23</formula1>
    </dataValidation>
    <dataValidation type="list" allowBlank="1" sqref="H13:H74">
      <formula1>General!$H$13:$H$44</formula1>
    </dataValidation>
    <dataValidation type="list" allowBlank="1" sqref="J35">
      <formula1>General!$C$13:$C$23</formula1>
    </dataValidation>
    <dataValidation type="list" allowBlank="1" sqref="J68">
      <formula1>General!$C$13:$C$23</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outlineLevelRow="1"/>
  <cols>
    <col customWidth="1" min="1" max="1" width="5.75"/>
    <col customWidth="1" min="2" max="2" width="4.63"/>
    <col customWidth="1" min="3" max="3" width="6.38"/>
    <col customWidth="1" min="4" max="4" width="3.5"/>
    <col customWidth="1" min="5" max="9" width="9.75"/>
    <col customWidth="1" min="10" max="10" width="13.75"/>
    <col customWidth="1" min="11" max="11" width="16.38"/>
  </cols>
  <sheetData>
    <row r="1" ht="22.5" customHeight="1">
      <c r="A1" s="8"/>
      <c r="B1" s="10"/>
      <c r="C1" s="10"/>
      <c r="D1" s="10"/>
      <c r="E1" s="13" t="s">
        <v>4</v>
      </c>
      <c r="F1" s="10"/>
      <c r="G1" s="10"/>
      <c r="H1" s="10"/>
      <c r="I1" s="10"/>
      <c r="J1" s="17" t="s">
        <v>5</v>
      </c>
      <c r="K1" s="19"/>
    </row>
    <row r="2" ht="22.5" customHeight="1">
      <c r="A2" s="21"/>
      <c r="E2" s="21"/>
      <c r="J2" s="25" t="s">
        <v>7</v>
      </c>
      <c r="K2" s="27"/>
    </row>
    <row r="3" ht="22.5" customHeight="1">
      <c r="A3" s="21"/>
      <c r="E3" s="21"/>
      <c r="J3" s="29" t="s">
        <v>9</v>
      </c>
      <c r="K3" s="30"/>
    </row>
    <row r="4" ht="22.5" customHeight="1">
      <c r="A4" s="34" t="s">
        <v>10</v>
      </c>
      <c r="B4" s="35"/>
      <c r="C4" s="35"/>
      <c r="D4" s="35"/>
      <c r="E4" s="35"/>
      <c r="F4" s="35"/>
      <c r="G4" s="35"/>
      <c r="H4" s="35"/>
      <c r="I4" s="36"/>
      <c r="J4" s="38" t="s">
        <v>14</v>
      </c>
      <c r="K4" s="30"/>
    </row>
    <row r="5" ht="16.5" customHeight="1">
      <c r="A5" s="39"/>
      <c r="K5" s="40"/>
    </row>
    <row r="6" ht="31.5" customHeight="1">
      <c r="A6" s="42" t="s">
        <v>15</v>
      </c>
      <c r="K6" s="40"/>
    </row>
    <row r="7" ht="20.25" customHeight="1">
      <c r="A7" s="43" t="s">
        <v>18</v>
      </c>
      <c r="B7" s="44" t="s">
        <v>19</v>
      </c>
      <c r="C7" s="35"/>
      <c r="D7" s="36"/>
      <c r="E7" s="44" t="s">
        <v>22</v>
      </c>
      <c r="F7" s="35"/>
      <c r="G7" s="35"/>
      <c r="H7" s="35"/>
      <c r="I7" s="36"/>
      <c r="J7" s="44" t="s">
        <v>23</v>
      </c>
      <c r="K7" s="36"/>
    </row>
    <row r="8" ht="22.5" customHeight="1">
      <c r="A8" s="48">
        <v>1.0</v>
      </c>
      <c r="B8" s="50"/>
      <c r="C8" s="35"/>
      <c r="D8" s="36"/>
      <c r="E8" s="50" t="s">
        <v>24</v>
      </c>
      <c r="F8" s="35"/>
      <c r="G8" s="35"/>
      <c r="H8" s="35"/>
      <c r="I8" s="36"/>
      <c r="J8" s="54">
        <v>44320.0</v>
      </c>
      <c r="K8" s="36"/>
    </row>
    <row r="9" ht="22.5" customHeight="1">
      <c r="A9" s="48"/>
      <c r="B9" s="50"/>
      <c r="C9" s="35"/>
      <c r="D9" s="36"/>
      <c r="E9" s="50"/>
      <c r="F9" s="35"/>
      <c r="G9" s="35"/>
      <c r="H9" s="35"/>
      <c r="I9" s="36"/>
      <c r="J9" s="50"/>
      <c r="K9" s="36"/>
    </row>
    <row r="10" ht="22.5" customHeight="1">
      <c r="A10" s="48"/>
      <c r="B10" s="59"/>
      <c r="C10" s="10"/>
      <c r="D10" s="19"/>
      <c r="E10" s="59"/>
      <c r="F10" s="10"/>
      <c r="G10" s="10"/>
      <c r="H10" s="10"/>
      <c r="I10" s="19"/>
      <c r="J10" s="50"/>
      <c r="K10" s="36"/>
    </row>
    <row r="11" ht="22.5" customHeight="1">
      <c r="A11" s="48"/>
      <c r="B11" s="62"/>
      <c r="C11" s="35"/>
      <c r="D11" s="36"/>
      <c r="E11" s="65"/>
      <c r="F11" s="35"/>
      <c r="G11" s="35"/>
      <c r="H11" s="35"/>
      <c r="I11" s="36"/>
      <c r="J11" s="50"/>
      <c r="K11" s="36"/>
    </row>
    <row r="12" ht="22.5" customHeight="1">
      <c r="A12" s="70"/>
      <c r="B12" s="62"/>
      <c r="C12" s="35"/>
      <c r="D12" s="36"/>
      <c r="E12" s="65"/>
      <c r="F12" s="35"/>
      <c r="G12" s="35"/>
      <c r="H12" s="35"/>
      <c r="I12" s="36"/>
      <c r="J12" s="50"/>
      <c r="K12" s="36"/>
    </row>
    <row r="13" ht="22.5" customHeight="1">
      <c r="A13" s="79"/>
      <c r="B13" s="83"/>
      <c r="C13" s="35"/>
      <c r="D13" s="36"/>
      <c r="E13" s="87"/>
      <c r="F13" s="35"/>
      <c r="G13" s="35"/>
      <c r="H13" s="35"/>
      <c r="I13" s="36"/>
      <c r="J13" s="50"/>
      <c r="K13" s="36"/>
    </row>
    <row r="14" ht="22.5" customHeight="1">
      <c r="A14" s="91"/>
      <c r="B14" s="92"/>
      <c r="C14" s="92"/>
      <c r="D14" s="92"/>
      <c r="E14" s="92"/>
      <c r="F14" s="92"/>
      <c r="G14" s="92"/>
      <c r="H14" s="92"/>
      <c r="I14" s="92"/>
      <c r="J14" s="92"/>
      <c r="K14" s="94"/>
    </row>
    <row r="15" ht="22.5" customHeight="1">
      <c r="A15" s="91"/>
      <c r="B15" s="92"/>
      <c r="C15" s="92"/>
      <c r="D15" s="92"/>
      <c r="E15" s="92"/>
      <c r="F15" s="92"/>
      <c r="G15" s="92"/>
      <c r="H15" s="92"/>
      <c r="I15" s="92"/>
      <c r="J15" s="92"/>
      <c r="K15" s="94"/>
    </row>
    <row r="16" ht="22.5" customHeight="1">
      <c r="A16" s="91"/>
      <c r="B16" s="92"/>
      <c r="C16" s="92"/>
      <c r="D16" s="92"/>
      <c r="E16" s="92"/>
      <c r="F16" s="92"/>
      <c r="G16" s="92"/>
      <c r="H16" s="92"/>
      <c r="I16" s="92"/>
      <c r="J16" s="92"/>
      <c r="K16" s="94"/>
    </row>
    <row r="17" ht="22.5" customHeight="1">
      <c r="A17" s="91"/>
      <c r="B17" s="92"/>
      <c r="C17" s="92"/>
      <c r="D17" s="92"/>
      <c r="E17" s="92"/>
      <c r="F17" s="92"/>
      <c r="G17" s="92"/>
      <c r="H17" s="92"/>
      <c r="I17" s="92"/>
      <c r="J17" s="92"/>
      <c r="K17" s="94"/>
    </row>
    <row r="18" ht="22.5" customHeight="1">
      <c r="A18" s="91"/>
      <c r="B18" s="92"/>
      <c r="C18" s="92"/>
      <c r="D18" s="92"/>
      <c r="E18" s="92"/>
      <c r="F18" s="92"/>
      <c r="G18" s="92"/>
      <c r="H18" s="92"/>
      <c r="I18" s="92"/>
      <c r="J18" s="92"/>
      <c r="K18" s="94"/>
    </row>
    <row r="19" ht="22.5" customHeight="1">
      <c r="A19" s="91"/>
      <c r="B19" s="92"/>
      <c r="C19" s="92"/>
      <c r="D19" s="92"/>
      <c r="E19" s="92"/>
      <c r="F19" s="92"/>
      <c r="G19" s="92"/>
      <c r="H19" s="92"/>
      <c r="I19" s="92"/>
      <c r="J19" s="92"/>
      <c r="K19" s="94"/>
    </row>
    <row r="20" ht="22.5" customHeight="1">
      <c r="A20" s="91"/>
      <c r="B20" s="92"/>
      <c r="C20" s="92"/>
      <c r="D20" s="92"/>
      <c r="E20" s="92"/>
      <c r="F20" s="92"/>
      <c r="G20" s="92"/>
      <c r="H20" s="92"/>
      <c r="I20" s="92"/>
      <c r="J20" s="92"/>
      <c r="K20" s="94"/>
    </row>
    <row r="21" ht="22.5" customHeight="1">
      <c r="A21" s="98"/>
      <c r="B21" s="99"/>
      <c r="C21" s="99"/>
      <c r="D21" s="99"/>
      <c r="E21" s="99"/>
      <c r="F21" s="99"/>
      <c r="G21" s="99"/>
      <c r="H21" s="99"/>
      <c r="I21" s="99"/>
      <c r="J21" s="99"/>
      <c r="K21" s="100"/>
    </row>
  </sheetData>
  <mergeCells count="30">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outlineLevelRow="1"/>
  <cols>
    <col customWidth="1" min="1" max="1" width="15.0"/>
    <col customWidth="1" min="2" max="2" width="25.5"/>
    <col customWidth="1" min="3" max="3" width="6.88"/>
    <col customWidth="1" min="4" max="5" width="4.88"/>
    <col customWidth="1" min="6" max="6" width="9.63"/>
    <col customWidth="1" min="7" max="7" width="5.13"/>
    <col customWidth="1" min="8" max="8" width="6.13"/>
    <col customWidth="1" min="9" max="9" width="7.0"/>
    <col customWidth="1" min="10" max="10" width="10.63"/>
    <col customWidth="1" min="11" max="17" width="1.88"/>
    <col customWidth="1" min="18" max="18" width="2.0"/>
    <col customWidth="1" min="19" max="103" width="1.88"/>
  </cols>
  <sheetData>
    <row r="1">
      <c r="A1" s="8"/>
      <c r="B1" s="10"/>
      <c r="C1" s="13" t="s">
        <v>4</v>
      </c>
      <c r="D1" s="10"/>
      <c r="E1" s="10"/>
      <c r="F1" s="10"/>
      <c r="G1" s="10"/>
      <c r="H1" s="10"/>
      <c r="I1" s="10"/>
      <c r="J1" s="10"/>
      <c r="K1" s="10"/>
      <c r="L1" s="10"/>
      <c r="M1" s="10"/>
      <c r="N1" s="10"/>
      <c r="O1" s="10"/>
      <c r="P1" s="10"/>
      <c r="Q1" s="10"/>
      <c r="R1" s="17" t="s">
        <v>5</v>
      </c>
      <c r="S1" s="10"/>
      <c r="T1" s="10"/>
      <c r="U1" s="10"/>
      <c r="V1" s="10"/>
      <c r="W1" s="10"/>
      <c r="X1" s="10"/>
      <c r="Y1" s="10"/>
      <c r="Z1" s="10"/>
      <c r="AA1" s="10"/>
      <c r="AB1" s="10"/>
      <c r="AC1" s="10"/>
      <c r="AD1" s="10"/>
      <c r="AE1" s="10"/>
      <c r="AF1" s="10"/>
      <c r="AG1" s="19"/>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row>
    <row r="2">
      <c r="A2" s="21"/>
      <c r="C2" s="21"/>
      <c r="R2" s="25" t="s">
        <v>7</v>
      </c>
      <c r="AG2" s="27"/>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row>
    <row r="3">
      <c r="A3" s="21"/>
      <c r="C3" s="21"/>
      <c r="R3" s="29" t="s">
        <v>9</v>
      </c>
      <c r="S3" s="52"/>
      <c r="T3" s="52"/>
      <c r="U3" s="52"/>
      <c r="V3" s="52"/>
      <c r="W3" s="52"/>
      <c r="X3" s="52"/>
      <c r="Y3" s="52"/>
      <c r="Z3" s="52"/>
      <c r="AA3" s="52"/>
      <c r="AB3" s="52"/>
      <c r="AC3" s="52"/>
      <c r="AD3" s="52"/>
      <c r="AE3" s="52"/>
      <c r="AF3" s="52"/>
      <c r="AG3" s="30"/>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row>
    <row r="4">
      <c r="A4" s="34" t="s">
        <v>10</v>
      </c>
      <c r="B4" s="35"/>
      <c r="C4" s="35"/>
      <c r="D4" s="35"/>
      <c r="E4" s="35"/>
      <c r="F4" s="35"/>
      <c r="G4" s="35"/>
      <c r="H4" s="35"/>
      <c r="I4" s="35"/>
      <c r="J4" s="35"/>
      <c r="K4" s="35"/>
      <c r="L4" s="35"/>
      <c r="M4" s="35"/>
      <c r="N4" s="35"/>
      <c r="O4" s="35"/>
      <c r="P4" s="35"/>
      <c r="Q4" s="36"/>
      <c r="R4" s="38" t="s">
        <v>14</v>
      </c>
      <c r="S4" s="52"/>
      <c r="T4" s="52"/>
      <c r="U4" s="52"/>
      <c r="V4" s="52"/>
      <c r="W4" s="52"/>
      <c r="X4" s="52"/>
      <c r="Y4" s="52"/>
      <c r="Z4" s="52"/>
      <c r="AA4" s="52"/>
      <c r="AB4" s="52"/>
      <c r="AC4" s="52"/>
      <c r="AD4" s="52"/>
      <c r="AE4" s="52"/>
      <c r="AF4" s="52"/>
      <c r="AG4" s="30"/>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row>
    <row r="5">
      <c r="A5" s="11"/>
      <c r="B5" s="12"/>
      <c r="C5" s="68"/>
      <c r="D5" s="93"/>
      <c r="E5" s="93"/>
      <c r="F5" s="93"/>
      <c r="G5" s="93"/>
      <c r="H5" s="93"/>
      <c r="I5" s="95"/>
      <c r="J5" s="23"/>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row>
    <row r="6">
      <c r="A6" s="104" t="s">
        <v>48</v>
      </c>
      <c r="B6" s="104"/>
      <c r="C6" s="107"/>
      <c r="D6" s="109"/>
      <c r="E6" s="109"/>
      <c r="F6" s="109"/>
      <c r="G6" s="109"/>
      <c r="H6" s="109"/>
      <c r="I6" s="110"/>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c r="BY6" s="111"/>
      <c r="BZ6" s="111"/>
      <c r="CA6" s="111"/>
      <c r="CB6" s="111"/>
      <c r="CC6" s="111"/>
      <c r="CD6" s="111"/>
      <c r="CE6" s="111"/>
      <c r="CF6" s="111"/>
      <c r="CG6" s="111"/>
      <c r="CH6" s="111"/>
      <c r="CI6" s="111"/>
      <c r="CJ6" s="111"/>
      <c r="CK6" s="111"/>
      <c r="CL6" s="111"/>
      <c r="CM6" s="111"/>
      <c r="CN6" s="111"/>
      <c r="CO6" s="111"/>
      <c r="CP6" s="111"/>
      <c r="CQ6" s="111"/>
      <c r="CR6" s="111"/>
      <c r="CS6" s="111"/>
      <c r="CT6" s="111"/>
      <c r="CU6" s="111"/>
      <c r="CV6" s="111"/>
      <c r="CW6" s="111"/>
      <c r="CX6" s="111"/>
      <c r="CY6" s="111"/>
    </row>
    <row r="7">
      <c r="A7" s="114" t="s">
        <v>51</v>
      </c>
      <c r="B7" s="116"/>
      <c r="C7" s="117"/>
      <c r="D7" s="118" t="s">
        <v>2</v>
      </c>
      <c r="E7" s="120" t="s">
        <v>8</v>
      </c>
      <c r="F7" s="121"/>
      <c r="G7" s="122"/>
      <c r="H7" s="123"/>
      <c r="I7" s="125"/>
      <c r="J7" s="126"/>
      <c r="K7" s="126"/>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26"/>
      <c r="BL7" s="126"/>
      <c r="BM7" s="126"/>
      <c r="BN7" s="126"/>
      <c r="BO7" s="126"/>
      <c r="BP7" s="126"/>
      <c r="BQ7" s="126"/>
      <c r="BR7" s="126"/>
      <c r="BS7" s="126"/>
      <c r="BT7" s="126"/>
      <c r="BU7" s="126"/>
      <c r="BV7" s="126"/>
      <c r="BW7" s="126"/>
      <c r="BX7" s="126"/>
      <c r="BY7" s="126"/>
      <c r="BZ7" s="126"/>
      <c r="CA7" s="126"/>
      <c r="CB7" s="126"/>
      <c r="CC7" s="126"/>
      <c r="CD7" s="126"/>
      <c r="CE7" s="126"/>
      <c r="CF7" s="126"/>
      <c r="CG7" s="126"/>
      <c r="CH7" s="126"/>
      <c r="CI7" s="126"/>
      <c r="CJ7" s="126"/>
      <c r="CK7" s="126"/>
      <c r="CL7" s="126"/>
      <c r="CM7" s="126"/>
      <c r="CN7" s="126"/>
      <c r="CO7" s="126"/>
      <c r="CP7" s="126"/>
      <c r="CQ7" s="126"/>
      <c r="CR7" s="126"/>
      <c r="CS7" s="126"/>
      <c r="CT7" s="126"/>
      <c r="CU7" s="126"/>
      <c r="CV7" s="126"/>
      <c r="CW7" s="126"/>
      <c r="CX7" s="126"/>
      <c r="CY7" s="126"/>
    </row>
    <row r="8">
      <c r="A8" s="114" t="s">
        <v>55</v>
      </c>
      <c r="B8" s="129"/>
      <c r="C8" s="107"/>
      <c r="D8" s="133">
        <f>MIN(D14:D45)</f>
        <v>0</v>
      </c>
      <c r="E8" s="133">
        <f>MAX(E14:E45)</f>
        <v>0</v>
      </c>
      <c r="F8" s="109"/>
      <c r="G8" s="122"/>
      <c r="H8" s="123"/>
      <c r="I8" s="110"/>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c r="CY8" s="111"/>
    </row>
    <row r="9">
      <c r="A9" s="114" t="s">
        <v>61</v>
      </c>
      <c r="B9" s="114"/>
      <c r="C9" s="107"/>
      <c r="D9" s="109"/>
      <c r="E9" s="109"/>
      <c r="F9" s="109"/>
      <c r="G9" s="122"/>
      <c r="H9" s="123"/>
      <c r="I9" s="110"/>
      <c r="J9" s="111"/>
      <c r="K9" s="144" t="str">
        <f t="shared" ref="K9:CY9" si="1">IF(K13=TODAY(),"TODAY","")</f>
        <v/>
      </c>
      <c r="L9" s="144" t="str">
        <f t="shared" si="1"/>
        <v/>
      </c>
      <c r="M9" s="144" t="str">
        <f t="shared" si="1"/>
        <v/>
      </c>
      <c r="N9" s="144" t="str">
        <f t="shared" si="1"/>
        <v/>
      </c>
      <c r="O9" s="144" t="str">
        <f t="shared" si="1"/>
        <v/>
      </c>
      <c r="P9" s="144" t="str">
        <f t="shared" si="1"/>
        <v/>
      </c>
      <c r="Q9" s="144" t="str">
        <f t="shared" si="1"/>
        <v/>
      </c>
      <c r="R9" s="144" t="str">
        <f t="shared" si="1"/>
        <v/>
      </c>
      <c r="S9" s="144" t="str">
        <f t="shared" si="1"/>
        <v/>
      </c>
      <c r="T9" s="144" t="str">
        <f t="shared" si="1"/>
        <v/>
      </c>
      <c r="U9" s="144" t="str">
        <f t="shared" si="1"/>
        <v/>
      </c>
      <c r="V9" s="144" t="str">
        <f t="shared" si="1"/>
        <v/>
      </c>
      <c r="W9" s="144" t="str">
        <f t="shared" si="1"/>
        <v/>
      </c>
      <c r="X9" s="144" t="str">
        <f t="shared" si="1"/>
        <v/>
      </c>
      <c r="Y9" s="144" t="str">
        <f t="shared" si="1"/>
        <v/>
      </c>
      <c r="Z9" s="144" t="str">
        <f t="shared" si="1"/>
        <v/>
      </c>
      <c r="AA9" s="144" t="str">
        <f t="shared" si="1"/>
        <v/>
      </c>
      <c r="AB9" s="144" t="str">
        <f t="shared" si="1"/>
        <v/>
      </c>
      <c r="AC9" s="144" t="str">
        <f t="shared" si="1"/>
        <v/>
      </c>
      <c r="AD9" s="144" t="str">
        <f t="shared" si="1"/>
        <v/>
      </c>
      <c r="AE9" s="144" t="str">
        <f t="shared" si="1"/>
        <v/>
      </c>
      <c r="AF9" s="144" t="str">
        <f t="shared" si="1"/>
        <v/>
      </c>
      <c r="AG9" s="144" t="str">
        <f t="shared" si="1"/>
        <v/>
      </c>
      <c r="AH9" s="144" t="str">
        <f t="shared" si="1"/>
        <v/>
      </c>
      <c r="AI9" s="144" t="str">
        <f t="shared" si="1"/>
        <v/>
      </c>
      <c r="AJ9" s="144" t="str">
        <f t="shared" si="1"/>
        <v/>
      </c>
      <c r="AK9" s="144" t="str">
        <f t="shared" si="1"/>
        <v/>
      </c>
      <c r="AL9" s="144" t="str">
        <f t="shared" si="1"/>
        <v/>
      </c>
      <c r="AM9" s="144" t="str">
        <f t="shared" si="1"/>
        <v/>
      </c>
      <c r="AN9" s="144" t="str">
        <f t="shared" si="1"/>
        <v/>
      </c>
      <c r="AO9" s="144" t="str">
        <f t="shared" si="1"/>
        <v/>
      </c>
      <c r="AP9" s="144" t="str">
        <f t="shared" si="1"/>
        <v/>
      </c>
      <c r="AQ9" s="144" t="str">
        <f t="shared" si="1"/>
        <v/>
      </c>
      <c r="AR9" s="144" t="str">
        <f t="shared" si="1"/>
        <v/>
      </c>
      <c r="AS9" s="144" t="str">
        <f t="shared" si="1"/>
        <v/>
      </c>
      <c r="AT9" s="144" t="str">
        <f t="shared" si="1"/>
        <v/>
      </c>
      <c r="AU9" s="144" t="str">
        <f t="shared" si="1"/>
        <v/>
      </c>
      <c r="AV9" s="144" t="str">
        <f t="shared" si="1"/>
        <v/>
      </c>
      <c r="AW9" s="144" t="str">
        <f t="shared" si="1"/>
        <v/>
      </c>
      <c r="AX9" s="144" t="str">
        <f t="shared" si="1"/>
        <v/>
      </c>
      <c r="AY9" s="144" t="str">
        <f t="shared" si="1"/>
        <v/>
      </c>
      <c r="AZ9" s="144" t="str">
        <f t="shared" si="1"/>
        <v/>
      </c>
      <c r="BA9" s="144" t="str">
        <f t="shared" si="1"/>
        <v/>
      </c>
      <c r="BB9" s="144" t="str">
        <f t="shared" si="1"/>
        <v/>
      </c>
      <c r="BC9" s="144" t="str">
        <f t="shared" si="1"/>
        <v/>
      </c>
      <c r="BD9" s="144" t="str">
        <f t="shared" si="1"/>
        <v/>
      </c>
      <c r="BE9" s="144" t="str">
        <f t="shared" si="1"/>
        <v/>
      </c>
      <c r="BF9" s="144" t="str">
        <f t="shared" si="1"/>
        <v/>
      </c>
      <c r="BG9" s="144" t="str">
        <f t="shared" si="1"/>
        <v/>
      </c>
      <c r="BH9" s="144" t="str">
        <f t="shared" si="1"/>
        <v/>
      </c>
      <c r="BI9" s="144" t="str">
        <f t="shared" si="1"/>
        <v/>
      </c>
      <c r="BJ9" s="144" t="str">
        <f t="shared" si="1"/>
        <v/>
      </c>
      <c r="BK9" s="144" t="str">
        <f t="shared" si="1"/>
        <v/>
      </c>
      <c r="BL9" s="144" t="str">
        <f t="shared" si="1"/>
        <v/>
      </c>
      <c r="BM9" s="144" t="str">
        <f t="shared" si="1"/>
        <v/>
      </c>
      <c r="BN9" s="144" t="str">
        <f t="shared" si="1"/>
        <v/>
      </c>
      <c r="BO9" s="144" t="str">
        <f t="shared" si="1"/>
        <v/>
      </c>
      <c r="BP9" s="144" t="str">
        <f t="shared" si="1"/>
        <v/>
      </c>
      <c r="BQ9" s="144" t="str">
        <f t="shared" si="1"/>
        <v/>
      </c>
      <c r="BR9" s="144" t="str">
        <f t="shared" si="1"/>
        <v/>
      </c>
      <c r="BS9" s="144" t="str">
        <f t="shared" si="1"/>
        <v/>
      </c>
      <c r="BT9" s="144" t="str">
        <f t="shared" si="1"/>
        <v/>
      </c>
      <c r="BU9" s="144" t="str">
        <f t="shared" si="1"/>
        <v/>
      </c>
      <c r="BV9" s="144" t="str">
        <f t="shared" si="1"/>
        <v/>
      </c>
      <c r="BW9" s="144" t="str">
        <f t="shared" si="1"/>
        <v/>
      </c>
      <c r="BX9" s="144" t="str">
        <f t="shared" si="1"/>
        <v/>
      </c>
      <c r="BY9" s="144" t="str">
        <f t="shared" si="1"/>
        <v/>
      </c>
      <c r="BZ9" s="144" t="str">
        <f t="shared" si="1"/>
        <v/>
      </c>
      <c r="CA9" s="144" t="str">
        <f t="shared" si="1"/>
        <v/>
      </c>
      <c r="CB9" s="144" t="str">
        <f t="shared" si="1"/>
        <v/>
      </c>
      <c r="CC9" s="144" t="str">
        <f t="shared" si="1"/>
        <v/>
      </c>
      <c r="CD9" s="144" t="str">
        <f t="shared" si="1"/>
        <v/>
      </c>
      <c r="CE9" s="144" t="str">
        <f t="shared" si="1"/>
        <v/>
      </c>
      <c r="CF9" s="144" t="str">
        <f t="shared" si="1"/>
        <v/>
      </c>
      <c r="CG9" s="144" t="str">
        <f t="shared" si="1"/>
        <v/>
      </c>
      <c r="CH9" s="144" t="str">
        <f t="shared" si="1"/>
        <v/>
      </c>
      <c r="CI9" s="144" t="str">
        <f t="shared" si="1"/>
        <v/>
      </c>
      <c r="CJ9" s="144" t="str">
        <f t="shared" si="1"/>
        <v/>
      </c>
      <c r="CK9" s="144" t="str">
        <f t="shared" si="1"/>
        <v/>
      </c>
      <c r="CL9" s="144" t="str">
        <f t="shared" si="1"/>
        <v/>
      </c>
      <c r="CM9" s="144" t="str">
        <f t="shared" si="1"/>
        <v/>
      </c>
      <c r="CN9" s="144" t="str">
        <f t="shared" si="1"/>
        <v/>
      </c>
      <c r="CO9" s="144" t="str">
        <f t="shared" si="1"/>
        <v/>
      </c>
      <c r="CP9" s="144" t="str">
        <f t="shared" si="1"/>
        <v/>
      </c>
      <c r="CQ9" s="144" t="str">
        <f t="shared" si="1"/>
        <v/>
      </c>
      <c r="CR9" s="144" t="str">
        <f t="shared" si="1"/>
        <v/>
      </c>
      <c r="CS9" s="144" t="str">
        <f t="shared" si="1"/>
        <v/>
      </c>
      <c r="CT9" s="144" t="str">
        <f t="shared" si="1"/>
        <v/>
      </c>
      <c r="CU9" s="144" t="str">
        <f t="shared" si="1"/>
        <v/>
      </c>
      <c r="CV9" s="144" t="str">
        <f t="shared" si="1"/>
        <v/>
      </c>
      <c r="CW9" s="144" t="str">
        <f t="shared" si="1"/>
        <v/>
      </c>
      <c r="CX9" s="144" t="str">
        <f t="shared" si="1"/>
        <v/>
      </c>
      <c r="CY9" s="144" t="str">
        <f t="shared" si="1"/>
        <v/>
      </c>
    </row>
    <row r="10">
      <c r="A10" s="114"/>
      <c r="B10" s="161"/>
      <c r="C10" s="107"/>
      <c r="D10" s="109"/>
      <c r="E10" s="109"/>
      <c r="F10" s="109"/>
      <c r="G10" s="109"/>
      <c r="H10" s="109"/>
      <c r="I10" s="110"/>
      <c r="J10" s="111"/>
    </row>
    <row r="11">
      <c r="A11" s="162"/>
      <c r="B11" s="162"/>
      <c r="C11" s="107"/>
      <c r="D11" s="164"/>
      <c r="E11" s="164"/>
      <c r="F11" s="164"/>
      <c r="G11" s="164"/>
      <c r="H11" s="164"/>
      <c r="I11" s="110"/>
      <c r="J11" s="111"/>
    </row>
    <row r="12">
      <c r="A12" s="167"/>
      <c r="B12" s="169"/>
      <c r="C12" s="107"/>
      <c r="D12" s="111"/>
      <c r="E12" s="111"/>
      <c r="F12" s="170" t="s">
        <v>26</v>
      </c>
      <c r="G12" s="111"/>
      <c r="H12" s="170" t="s">
        <v>26</v>
      </c>
      <c r="I12" s="110"/>
      <c r="J12" s="111"/>
      <c r="K12" s="178" t="str">
        <f>IF(Month(K13)=Month(L13),"",Month(K13))</f>
        <v/>
      </c>
      <c r="L12" s="178" t="str">
        <f t="shared" ref="L12:CY12" si="2">IF(Month(L13)=Month(K13),"",Month(L13))</f>
        <v/>
      </c>
      <c r="M12" s="178">
        <f t="shared" si="2"/>
        <v>1</v>
      </c>
      <c r="N12" s="178" t="str">
        <f t="shared" si="2"/>
        <v/>
      </c>
      <c r="O12" s="178" t="str">
        <f t="shared" si="2"/>
        <v/>
      </c>
      <c r="P12" s="178" t="str">
        <f t="shared" si="2"/>
        <v/>
      </c>
      <c r="Q12" s="178" t="str">
        <f t="shared" si="2"/>
        <v/>
      </c>
      <c r="R12" s="178" t="str">
        <f t="shared" si="2"/>
        <v/>
      </c>
      <c r="S12" s="178" t="str">
        <f t="shared" si="2"/>
        <v/>
      </c>
      <c r="T12" s="178" t="str">
        <f t="shared" si="2"/>
        <v/>
      </c>
      <c r="U12" s="178" t="str">
        <f t="shared" si="2"/>
        <v/>
      </c>
      <c r="V12" s="178" t="str">
        <f t="shared" si="2"/>
        <v/>
      </c>
      <c r="W12" s="178" t="str">
        <f t="shared" si="2"/>
        <v/>
      </c>
      <c r="X12" s="178" t="str">
        <f t="shared" si="2"/>
        <v/>
      </c>
      <c r="Y12" s="178" t="str">
        <f t="shared" si="2"/>
        <v/>
      </c>
      <c r="Z12" s="178" t="str">
        <f t="shared" si="2"/>
        <v/>
      </c>
      <c r="AA12" s="178" t="str">
        <f t="shared" si="2"/>
        <v/>
      </c>
      <c r="AB12" s="178" t="str">
        <f t="shared" si="2"/>
        <v/>
      </c>
      <c r="AC12" s="178" t="str">
        <f t="shared" si="2"/>
        <v/>
      </c>
      <c r="AD12" s="178" t="str">
        <f t="shared" si="2"/>
        <v/>
      </c>
      <c r="AE12" s="178" t="str">
        <f t="shared" si="2"/>
        <v/>
      </c>
      <c r="AF12" s="178" t="str">
        <f t="shared" si="2"/>
        <v/>
      </c>
      <c r="AG12" s="178" t="str">
        <f t="shared" si="2"/>
        <v/>
      </c>
      <c r="AH12" s="178" t="str">
        <f t="shared" si="2"/>
        <v/>
      </c>
      <c r="AI12" s="178" t="str">
        <f t="shared" si="2"/>
        <v/>
      </c>
      <c r="AJ12" s="178" t="str">
        <f t="shared" si="2"/>
        <v/>
      </c>
      <c r="AK12" s="178" t="str">
        <f t="shared" si="2"/>
        <v/>
      </c>
      <c r="AL12" s="178" t="str">
        <f t="shared" si="2"/>
        <v/>
      </c>
      <c r="AM12" s="178" t="str">
        <f t="shared" si="2"/>
        <v/>
      </c>
      <c r="AN12" s="178" t="str">
        <f t="shared" si="2"/>
        <v/>
      </c>
      <c r="AO12" s="178" t="str">
        <f t="shared" si="2"/>
        <v/>
      </c>
      <c r="AP12" s="178" t="str">
        <f t="shared" si="2"/>
        <v/>
      </c>
      <c r="AQ12" s="178" t="str">
        <f t="shared" si="2"/>
        <v/>
      </c>
      <c r="AR12" s="178">
        <f t="shared" si="2"/>
        <v>2</v>
      </c>
      <c r="AS12" s="178" t="str">
        <f t="shared" si="2"/>
        <v/>
      </c>
      <c r="AT12" s="178" t="str">
        <f t="shared" si="2"/>
        <v/>
      </c>
      <c r="AU12" s="178" t="str">
        <f t="shared" si="2"/>
        <v/>
      </c>
      <c r="AV12" s="178" t="str">
        <f t="shared" si="2"/>
        <v/>
      </c>
      <c r="AW12" s="178" t="str">
        <f t="shared" si="2"/>
        <v/>
      </c>
      <c r="AX12" s="178" t="str">
        <f t="shared" si="2"/>
        <v/>
      </c>
      <c r="AY12" s="178" t="str">
        <f t="shared" si="2"/>
        <v/>
      </c>
      <c r="AZ12" s="178" t="str">
        <f t="shared" si="2"/>
        <v/>
      </c>
      <c r="BA12" s="178" t="str">
        <f t="shared" si="2"/>
        <v/>
      </c>
      <c r="BB12" s="178" t="str">
        <f t="shared" si="2"/>
        <v/>
      </c>
      <c r="BC12" s="178" t="str">
        <f t="shared" si="2"/>
        <v/>
      </c>
      <c r="BD12" s="178" t="str">
        <f t="shared" si="2"/>
        <v/>
      </c>
      <c r="BE12" s="178" t="str">
        <f t="shared" si="2"/>
        <v/>
      </c>
      <c r="BF12" s="178" t="str">
        <f t="shared" si="2"/>
        <v/>
      </c>
      <c r="BG12" s="178" t="str">
        <f t="shared" si="2"/>
        <v/>
      </c>
      <c r="BH12" s="178" t="str">
        <f t="shared" si="2"/>
        <v/>
      </c>
      <c r="BI12" s="178" t="str">
        <f t="shared" si="2"/>
        <v/>
      </c>
      <c r="BJ12" s="178" t="str">
        <f t="shared" si="2"/>
        <v/>
      </c>
      <c r="BK12" s="178" t="str">
        <f t="shared" si="2"/>
        <v/>
      </c>
      <c r="BL12" s="178" t="str">
        <f t="shared" si="2"/>
        <v/>
      </c>
      <c r="BM12" s="178" t="str">
        <f t="shared" si="2"/>
        <v/>
      </c>
      <c r="BN12" s="178" t="str">
        <f t="shared" si="2"/>
        <v/>
      </c>
      <c r="BO12" s="178" t="str">
        <f t="shared" si="2"/>
        <v/>
      </c>
      <c r="BP12" s="178" t="str">
        <f t="shared" si="2"/>
        <v/>
      </c>
      <c r="BQ12" s="178" t="str">
        <f t="shared" si="2"/>
        <v/>
      </c>
      <c r="BR12" s="178" t="str">
        <f t="shared" si="2"/>
        <v/>
      </c>
      <c r="BS12" s="178" t="str">
        <f t="shared" si="2"/>
        <v/>
      </c>
      <c r="BT12" s="178">
        <f t="shared" si="2"/>
        <v>3</v>
      </c>
      <c r="BU12" s="178" t="str">
        <f t="shared" si="2"/>
        <v/>
      </c>
      <c r="BV12" s="178" t="str">
        <f t="shared" si="2"/>
        <v/>
      </c>
      <c r="BW12" s="178" t="str">
        <f t="shared" si="2"/>
        <v/>
      </c>
      <c r="BX12" s="178" t="str">
        <f t="shared" si="2"/>
        <v/>
      </c>
      <c r="BY12" s="178" t="str">
        <f t="shared" si="2"/>
        <v/>
      </c>
      <c r="BZ12" s="178" t="str">
        <f t="shared" si="2"/>
        <v/>
      </c>
      <c r="CA12" s="178" t="str">
        <f t="shared" si="2"/>
        <v/>
      </c>
      <c r="CB12" s="178" t="str">
        <f t="shared" si="2"/>
        <v/>
      </c>
      <c r="CC12" s="178" t="str">
        <f t="shared" si="2"/>
        <v/>
      </c>
      <c r="CD12" s="178" t="str">
        <f t="shared" si="2"/>
        <v/>
      </c>
      <c r="CE12" s="178" t="str">
        <f t="shared" si="2"/>
        <v/>
      </c>
      <c r="CF12" s="178" t="str">
        <f t="shared" si="2"/>
        <v/>
      </c>
      <c r="CG12" s="178" t="str">
        <f t="shared" si="2"/>
        <v/>
      </c>
      <c r="CH12" s="178" t="str">
        <f t="shared" si="2"/>
        <v/>
      </c>
      <c r="CI12" s="178" t="str">
        <f t="shared" si="2"/>
        <v/>
      </c>
      <c r="CJ12" s="178" t="str">
        <f t="shared" si="2"/>
        <v/>
      </c>
      <c r="CK12" s="178" t="str">
        <f t="shared" si="2"/>
        <v/>
      </c>
      <c r="CL12" s="178" t="str">
        <f t="shared" si="2"/>
        <v/>
      </c>
      <c r="CM12" s="178" t="str">
        <f t="shared" si="2"/>
        <v/>
      </c>
      <c r="CN12" s="178" t="str">
        <f t="shared" si="2"/>
        <v/>
      </c>
      <c r="CO12" s="178" t="str">
        <f t="shared" si="2"/>
        <v/>
      </c>
      <c r="CP12" s="178" t="str">
        <f t="shared" si="2"/>
        <v/>
      </c>
      <c r="CQ12" s="178" t="str">
        <f t="shared" si="2"/>
        <v/>
      </c>
      <c r="CR12" s="178" t="str">
        <f t="shared" si="2"/>
        <v/>
      </c>
      <c r="CS12" s="178" t="str">
        <f t="shared" si="2"/>
        <v/>
      </c>
      <c r="CT12" s="178" t="str">
        <f t="shared" si="2"/>
        <v/>
      </c>
      <c r="CU12" s="178" t="str">
        <f t="shared" si="2"/>
        <v/>
      </c>
      <c r="CV12" s="178" t="str">
        <f t="shared" si="2"/>
        <v/>
      </c>
      <c r="CW12" s="178" t="str">
        <f t="shared" si="2"/>
        <v/>
      </c>
      <c r="CX12" s="178" t="str">
        <f t="shared" si="2"/>
        <v/>
      </c>
      <c r="CY12" s="178">
        <f t="shared" si="2"/>
        <v>4</v>
      </c>
    </row>
    <row r="13">
      <c r="A13" s="209" t="s">
        <v>106</v>
      </c>
      <c r="B13" s="212" t="s">
        <v>110</v>
      </c>
      <c r="C13" s="212" t="s">
        <v>80</v>
      </c>
      <c r="D13" s="216" t="str">
        <f t="shared" ref="D13:E13" si="3">D7</f>
        <v>Start</v>
      </c>
      <c r="E13" s="217" t="str">
        <f t="shared" si="3"/>
        <v>End</v>
      </c>
      <c r="F13" s="219" t="s">
        <v>112</v>
      </c>
      <c r="G13" s="220" t="s">
        <v>115</v>
      </c>
      <c r="H13" s="221" t="s">
        <v>116</v>
      </c>
      <c r="I13" s="222" t="s">
        <v>117</v>
      </c>
      <c r="J13" s="223" t="s">
        <v>118</v>
      </c>
      <c r="K13" s="226">
        <f>D8</f>
        <v>0</v>
      </c>
      <c r="L13" s="226">
        <f t="shared" ref="L13:CY13" si="4">K13+1</f>
        <v>1</v>
      </c>
      <c r="M13" s="226">
        <f t="shared" si="4"/>
        <v>2</v>
      </c>
      <c r="N13" s="226">
        <f t="shared" si="4"/>
        <v>3</v>
      </c>
      <c r="O13" s="226">
        <f t="shared" si="4"/>
        <v>4</v>
      </c>
      <c r="P13" s="226">
        <f t="shared" si="4"/>
        <v>5</v>
      </c>
      <c r="Q13" s="226">
        <f t="shared" si="4"/>
        <v>6</v>
      </c>
      <c r="R13" s="226">
        <f t="shared" si="4"/>
        <v>7</v>
      </c>
      <c r="S13" s="226">
        <f t="shared" si="4"/>
        <v>8</v>
      </c>
      <c r="T13" s="226">
        <f t="shared" si="4"/>
        <v>9</v>
      </c>
      <c r="U13" s="226">
        <f t="shared" si="4"/>
        <v>10</v>
      </c>
      <c r="V13" s="226">
        <f t="shared" si="4"/>
        <v>11</v>
      </c>
      <c r="W13" s="226">
        <f t="shared" si="4"/>
        <v>12</v>
      </c>
      <c r="X13" s="226">
        <f t="shared" si="4"/>
        <v>13</v>
      </c>
      <c r="Y13" s="226">
        <f t="shared" si="4"/>
        <v>14</v>
      </c>
      <c r="Z13" s="226">
        <f t="shared" si="4"/>
        <v>15</v>
      </c>
      <c r="AA13" s="226">
        <f t="shared" si="4"/>
        <v>16</v>
      </c>
      <c r="AB13" s="226">
        <f t="shared" si="4"/>
        <v>17</v>
      </c>
      <c r="AC13" s="226">
        <f t="shared" si="4"/>
        <v>18</v>
      </c>
      <c r="AD13" s="226">
        <f t="shared" si="4"/>
        <v>19</v>
      </c>
      <c r="AE13" s="226">
        <f t="shared" si="4"/>
        <v>20</v>
      </c>
      <c r="AF13" s="226">
        <f t="shared" si="4"/>
        <v>21</v>
      </c>
      <c r="AG13" s="226">
        <f t="shared" si="4"/>
        <v>22</v>
      </c>
      <c r="AH13" s="226">
        <f t="shared" si="4"/>
        <v>23</v>
      </c>
      <c r="AI13" s="226">
        <f t="shared" si="4"/>
        <v>24</v>
      </c>
      <c r="AJ13" s="226">
        <f t="shared" si="4"/>
        <v>25</v>
      </c>
      <c r="AK13" s="226">
        <f t="shared" si="4"/>
        <v>26</v>
      </c>
      <c r="AL13" s="226">
        <f t="shared" si="4"/>
        <v>27</v>
      </c>
      <c r="AM13" s="226">
        <f t="shared" si="4"/>
        <v>28</v>
      </c>
      <c r="AN13" s="226">
        <f t="shared" si="4"/>
        <v>29</v>
      </c>
      <c r="AO13" s="226">
        <f t="shared" si="4"/>
        <v>30</v>
      </c>
      <c r="AP13" s="226">
        <f t="shared" si="4"/>
        <v>31</v>
      </c>
      <c r="AQ13" s="226">
        <f t="shared" si="4"/>
        <v>32</v>
      </c>
      <c r="AR13" s="226">
        <f t="shared" si="4"/>
        <v>33</v>
      </c>
      <c r="AS13" s="226">
        <f t="shared" si="4"/>
        <v>34</v>
      </c>
      <c r="AT13" s="226">
        <f t="shared" si="4"/>
        <v>35</v>
      </c>
      <c r="AU13" s="226">
        <f t="shared" si="4"/>
        <v>36</v>
      </c>
      <c r="AV13" s="226">
        <f t="shared" si="4"/>
        <v>37</v>
      </c>
      <c r="AW13" s="226">
        <f t="shared" si="4"/>
        <v>38</v>
      </c>
      <c r="AX13" s="226">
        <f t="shared" si="4"/>
        <v>39</v>
      </c>
      <c r="AY13" s="226">
        <f t="shared" si="4"/>
        <v>40</v>
      </c>
      <c r="AZ13" s="226">
        <f t="shared" si="4"/>
        <v>41</v>
      </c>
      <c r="BA13" s="226">
        <f t="shared" si="4"/>
        <v>42</v>
      </c>
      <c r="BB13" s="226">
        <f t="shared" si="4"/>
        <v>43</v>
      </c>
      <c r="BC13" s="226">
        <f t="shared" si="4"/>
        <v>44</v>
      </c>
      <c r="BD13" s="226">
        <f t="shared" si="4"/>
        <v>45</v>
      </c>
      <c r="BE13" s="226">
        <f t="shared" si="4"/>
        <v>46</v>
      </c>
      <c r="BF13" s="226">
        <f t="shared" si="4"/>
        <v>47</v>
      </c>
      <c r="BG13" s="226">
        <f t="shared" si="4"/>
        <v>48</v>
      </c>
      <c r="BH13" s="226">
        <f t="shared" si="4"/>
        <v>49</v>
      </c>
      <c r="BI13" s="226">
        <f t="shared" si="4"/>
        <v>50</v>
      </c>
      <c r="BJ13" s="226">
        <f t="shared" si="4"/>
        <v>51</v>
      </c>
      <c r="BK13" s="226">
        <f t="shared" si="4"/>
        <v>52</v>
      </c>
      <c r="BL13" s="226">
        <f t="shared" si="4"/>
        <v>53</v>
      </c>
      <c r="BM13" s="226">
        <f t="shared" si="4"/>
        <v>54</v>
      </c>
      <c r="BN13" s="226">
        <f t="shared" si="4"/>
        <v>55</v>
      </c>
      <c r="BO13" s="226">
        <f t="shared" si="4"/>
        <v>56</v>
      </c>
      <c r="BP13" s="226">
        <f t="shared" si="4"/>
        <v>57</v>
      </c>
      <c r="BQ13" s="226">
        <f t="shared" si="4"/>
        <v>58</v>
      </c>
      <c r="BR13" s="226">
        <f t="shared" si="4"/>
        <v>59</v>
      </c>
      <c r="BS13" s="226">
        <f t="shared" si="4"/>
        <v>60</v>
      </c>
      <c r="BT13" s="226">
        <f t="shared" si="4"/>
        <v>61</v>
      </c>
      <c r="BU13" s="226">
        <f t="shared" si="4"/>
        <v>62</v>
      </c>
      <c r="BV13" s="226">
        <f t="shared" si="4"/>
        <v>63</v>
      </c>
      <c r="BW13" s="226">
        <f t="shared" si="4"/>
        <v>64</v>
      </c>
      <c r="BX13" s="226">
        <f t="shared" si="4"/>
        <v>65</v>
      </c>
      <c r="BY13" s="226">
        <f t="shared" si="4"/>
        <v>66</v>
      </c>
      <c r="BZ13" s="226">
        <f t="shared" si="4"/>
        <v>67</v>
      </c>
      <c r="CA13" s="226">
        <f t="shared" si="4"/>
        <v>68</v>
      </c>
      <c r="CB13" s="226">
        <f t="shared" si="4"/>
        <v>69</v>
      </c>
      <c r="CC13" s="226">
        <f t="shared" si="4"/>
        <v>70</v>
      </c>
      <c r="CD13" s="226">
        <f t="shared" si="4"/>
        <v>71</v>
      </c>
      <c r="CE13" s="226">
        <f t="shared" si="4"/>
        <v>72</v>
      </c>
      <c r="CF13" s="226">
        <f t="shared" si="4"/>
        <v>73</v>
      </c>
      <c r="CG13" s="226">
        <f t="shared" si="4"/>
        <v>74</v>
      </c>
      <c r="CH13" s="226">
        <f t="shared" si="4"/>
        <v>75</v>
      </c>
      <c r="CI13" s="226">
        <f t="shared" si="4"/>
        <v>76</v>
      </c>
      <c r="CJ13" s="226">
        <f t="shared" si="4"/>
        <v>77</v>
      </c>
      <c r="CK13" s="226">
        <f t="shared" si="4"/>
        <v>78</v>
      </c>
      <c r="CL13" s="226">
        <f t="shared" si="4"/>
        <v>79</v>
      </c>
      <c r="CM13" s="226">
        <f t="shared" si="4"/>
        <v>80</v>
      </c>
      <c r="CN13" s="226">
        <f t="shared" si="4"/>
        <v>81</v>
      </c>
      <c r="CO13" s="226">
        <f t="shared" si="4"/>
        <v>82</v>
      </c>
      <c r="CP13" s="226">
        <f t="shared" si="4"/>
        <v>83</v>
      </c>
      <c r="CQ13" s="226">
        <f t="shared" si="4"/>
        <v>84</v>
      </c>
      <c r="CR13" s="226">
        <f t="shared" si="4"/>
        <v>85</v>
      </c>
      <c r="CS13" s="226">
        <f t="shared" si="4"/>
        <v>86</v>
      </c>
      <c r="CT13" s="226">
        <f t="shared" si="4"/>
        <v>87</v>
      </c>
      <c r="CU13" s="226">
        <f t="shared" si="4"/>
        <v>88</v>
      </c>
      <c r="CV13" s="226">
        <f t="shared" si="4"/>
        <v>89</v>
      </c>
      <c r="CW13" s="226">
        <f t="shared" si="4"/>
        <v>90</v>
      </c>
      <c r="CX13" s="226">
        <f t="shared" si="4"/>
        <v>91</v>
      </c>
      <c r="CY13" s="226">
        <f t="shared" si="4"/>
        <v>92</v>
      </c>
    </row>
    <row r="14">
      <c r="A14" s="233"/>
      <c r="B14" s="235"/>
      <c r="C14" s="236"/>
      <c r="D14" s="237"/>
      <c r="E14" s="239"/>
      <c r="F14" s="240"/>
      <c r="G14" s="241" t="s">
        <v>184</v>
      </c>
      <c r="H14" s="241"/>
      <c r="I14" s="242"/>
      <c r="J14" s="243"/>
      <c r="K14" s="242"/>
      <c r="L14" s="242"/>
      <c r="M14" s="242"/>
      <c r="N14" s="242"/>
      <c r="O14" s="242"/>
      <c r="P14" s="242"/>
      <c r="Q14" s="242"/>
      <c r="R14" s="242"/>
      <c r="S14" s="242"/>
      <c r="T14" s="242"/>
      <c r="U14" s="242"/>
      <c r="V14" s="242"/>
      <c r="W14" s="242"/>
      <c r="X14" s="242"/>
      <c r="Y14" s="242"/>
      <c r="Z14" s="242"/>
      <c r="AA14" s="242"/>
      <c r="AB14" s="242"/>
      <c r="AC14" s="242"/>
      <c r="AD14" s="242"/>
      <c r="AE14" s="242"/>
      <c r="AF14" s="242"/>
      <c r="AG14" s="242"/>
      <c r="AH14" s="242"/>
      <c r="AI14" s="242"/>
      <c r="AJ14" s="242"/>
      <c r="AK14" s="242"/>
      <c r="AL14" s="242"/>
      <c r="AM14" s="242"/>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2"/>
      <c r="BK14" s="242"/>
      <c r="BL14" s="242"/>
      <c r="BM14" s="242"/>
      <c r="BN14" s="242"/>
      <c r="BO14" s="242"/>
      <c r="BP14" s="242"/>
      <c r="BQ14" s="242"/>
      <c r="BR14" s="242"/>
      <c r="BS14" s="242"/>
      <c r="BT14" s="242"/>
      <c r="BU14" s="242"/>
      <c r="BV14" s="242"/>
      <c r="BW14" s="242"/>
      <c r="BX14" s="242"/>
      <c r="BY14" s="242"/>
      <c r="BZ14" s="242"/>
      <c r="CA14" s="242"/>
      <c r="CB14" s="242"/>
      <c r="CC14" s="242"/>
      <c r="CD14" s="242"/>
      <c r="CE14" s="242"/>
      <c r="CF14" s="242"/>
      <c r="CG14" s="242"/>
      <c r="CH14" s="242"/>
      <c r="CI14" s="242"/>
      <c r="CJ14" s="242"/>
      <c r="CK14" s="242"/>
      <c r="CL14" s="242"/>
      <c r="CM14" s="242"/>
      <c r="CN14" s="242"/>
      <c r="CO14" s="242"/>
      <c r="CP14" s="242"/>
      <c r="CQ14" s="242"/>
      <c r="CR14" s="242"/>
      <c r="CS14" s="242"/>
      <c r="CT14" s="242"/>
      <c r="CU14" s="242"/>
      <c r="CV14" s="242"/>
      <c r="CW14" s="242"/>
      <c r="CX14" s="242"/>
      <c r="CY14" s="242"/>
    </row>
    <row r="15">
      <c r="A15" s="245"/>
      <c r="B15" s="246"/>
      <c r="C15" s="248"/>
      <c r="D15" s="237"/>
      <c r="E15" s="239"/>
      <c r="F15" s="250"/>
      <c r="G15" s="251"/>
      <c r="H15" s="241"/>
      <c r="I15" s="242"/>
      <c r="J15" s="243"/>
      <c r="K15" s="242"/>
      <c r="L15" s="242"/>
      <c r="M15" s="242"/>
      <c r="N15" s="242"/>
      <c r="O15" s="242"/>
      <c r="P15" s="242"/>
      <c r="Q15" s="242"/>
      <c r="R15" s="242"/>
      <c r="S15" s="242"/>
      <c r="T15" s="242"/>
      <c r="U15" s="242"/>
      <c r="V15" s="242"/>
      <c r="W15" s="242"/>
      <c r="X15" s="242"/>
      <c r="Y15" s="242"/>
      <c r="Z15" s="242"/>
      <c r="AA15" s="242"/>
      <c r="AB15" s="242"/>
      <c r="AC15" s="242"/>
      <c r="AD15" s="242"/>
      <c r="AE15" s="242"/>
      <c r="AF15" s="242"/>
      <c r="AG15" s="242"/>
      <c r="AH15" s="242"/>
      <c r="AI15" s="242"/>
      <c r="AJ15" s="242"/>
      <c r="AK15" s="242"/>
      <c r="AL15" s="242"/>
      <c r="AM15" s="242"/>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2"/>
      <c r="BT15" s="242"/>
      <c r="BU15" s="242"/>
      <c r="BV15" s="242"/>
      <c r="BW15" s="242"/>
      <c r="BX15" s="242"/>
      <c r="BY15" s="242"/>
      <c r="BZ15" s="242"/>
      <c r="CA15" s="242"/>
      <c r="CB15" s="242"/>
      <c r="CC15" s="242"/>
      <c r="CD15" s="242"/>
      <c r="CE15" s="242"/>
      <c r="CF15" s="242"/>
      <c r="CG15" s="242"/>
      <c r="CH15" s="242"/>
      <c r="CI15" s="242"/>
      <c r="CJ15" s="242"/>
      <c r="CK15" s="242"/>
      <c r="CL15" s="242"/>
      <c r="CM15" s="242"/>
      <c r="CN15" s="242"/>
      <c r="CO15" s="242"/>
      <c r="CP15" s="242"/>
      <c r="CQ15" s="242"/>
      <c r="CR15" s="242"/>
      <c r="CS15" s="242"/>
      <c r="CT15" s="242"/>
      <c r="CU15" s="242"/>
      <c r="CV15" s="242"/>
      <c r="CW15" s="242"/>
      <c r="CX15" s="242"/>
      <c r="CY15" s="242"/>
    </row>
    <row r="16">
      <c r="A16" s="233"/>
      <c r="B16" s="246"/>
      <c r="C16" s="248"/>
      <c r="D16" s="237"/>
      <c r="E16" s="239"/>
      <c r="F16" s="253"/>
      <c r="G16" s="251"/>
      <c r="H16" s="241"/>
      <c r="I16" s="242"/>
      <c r="J16" s="243"/>
      <c r="K16" s="242"/>
      <c r="L16" s="242"/>
      <c r="M16" s="242"/>
      <c r="N16" s="242"/>
      <c r="O16" s="242"/>
      <c r="P16" s="242"/>
      <c r="Q16" s="242"/>
      <c r="R16" s="242"/>
      <c r="S16" s="242"/>
      <c r="T16" s="242"/>
      <c r="U16" s="242"/>
      <c r="V16" s="242"/>
      <c r="W16" s="242"/>
      <c r="X16" s="242"/>
      <c r="Y16" s="242"/>
      <c r="Z16" s="242"/>
      <c r="AA16" s="242"/>
      <c r="AB16" s="242"/>
      <c r="AC16" s="242"/>
      <c r="AD16" s="242"/>
      <c r="AE16" s="242"/>
      <c r="AF16" s="242"/>
      <c r="AG16" s="242"/>
      <c r="AH16" s="242"/>
      <c r="AI16" s="242"/>
      <c r="AJ16" s="242"/>
      <c r="AK16" s="242"/>
      <c r="AL16" s="242"/>
      <c r="AM16" s="242"/>
      <c r="AN16" s="242"/>
      <c r="AO16" s="242"/>
      <c r="AP16" s="242"/>
      <c r="AQ16" s="242"/>
      <c r="AR16" s="242"/>
      <c r="AS16" s="242"/>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row>
    <row r="17">
      <c r="A17" s="233"/>
      <c r="B17" s="246"/>
      <c r="C17" s="248"/>
      <c r="D17" s="256"/>
      <c r="E17" s="239"/>
      <c r="F17" s="253"/>
      <c r="G17" s="251"/>
      <c r="H17" s="241"/>
      <c r="I17" s="242"/>
      <c r="J17" s="243"/>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2"/>
      <c r="BK17" s="242"/>
      <c r="BL17" s="242"/>
      <c r="BM17" s="242"/>
      <c r="BN17" s="242"/>
      <c r="BO17" s="242"/>
      <c r="BP17" s="242"/>
      <c r="BQ17" s="242"/>
      <c r="BR17" s="242"/>
      <c r="BS17" s="242"/>
      <c r="BT17" s="242"/>
      <c r="BU17" s="242"/>
      <c r="BV17" s="242"/>
      <c r="BW17" s="242"/>
      <c r="BX17" s="242"/>
      <c r="BY17" s="242"/>
      <c r="BZ17" s="242"/>
      <c r="CA17" s="242"/>
      <c r="CB17" s="242"/>
      <c r="CC17" s="242"/>
      <c r="CD17" s="242"/>
      <c r="CE17" s="242"/>
      <c r="CF17" s="242"/>
      <c r="CG17" s="242"/>
      <c r="CH17" s="242"/>
      <c r="CI17" s="242"/>
      <c r="CJ17" s="242"/>
      <c r="CK17" s="242"/>
      <c r="CL17" s="242"/>
      <c r="CM17" s="242"/>
      <c r="CN17" s="242"/>
      <c r="CO17" s="242"/>
      <c r="CP17" s="242"/>
      <c r="CQ17" s="242"/>
      <c r="CR17" s="242"/>
      <c r="CS17" s="242"/>
      <c r="CT17" s="242"/>
      <c r="CU17" s="242"/>
      <c r="CV17" s="242"/>
      <c r="CW17" s="242"/>
      <c r="CX17" s="242"/>
      <c r="CY17" s="242"/>
    </row>
    <row r="18">
      <c r="A18" s="233"/>
      <c r="B18" s="246"/>
      <c r="C18" s="248"/>
      <c r="D18" s="256"/>
      <c r="E18" s="239"/>
      <c r="F18" s="253"/>
      <c r="G18" s="251"/>
      <c r="H18" s="241"/>
      <c r="I18" s="242"/>
      <c r="J18" s="243"/>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2"/>
      <c r="AR18" s="242"/>
      <c r="AS18" s="242"/>
      <c r="AT18" s="242"/>
      <c r="AU18" s="242"/>
      <c r="AV18" s="242"/>
      <c r="AW18" s="242"/>
      <c r="AX18" s="242"/>
      <c r="AY18" s="242"/>
      <c r="AZ18" s="242"/>
      <c r="BA18" s="242"/>
      <c r="BB18" s="242"/>
      <c r="BC18" s="242"/>
      <c r="BD18" s="242"/>
      <c r="BE18" s="242"/>
      <c r="BF18" s="242"/>
      <c r="BG18" s="242"/>
      <c r="BH18" s="242"/>
      <c r="BI18" s="242"/>
      <c r="BJ18" s="242"/>
      <c r="BK18" s="242"/>
      <c r="BL18" s="242"/>
      <c r="BM18" s="242"/>
      <c r="BN18" s="242"/>
      <c r="BO18" s="242"/>
      <c r="BP18" s="242"/>
      <c r="BQ18" s="242"/>
      <c r="BR18" s="242"/>
      <c r="BS18" s="242"/>
      <c r="BT18" s="242"/>
      <c r="BU18" s="242"/>
      <c r="BV18" s="242"/>
      <c r="BW18" s="242"/>
      <c r="BX18" s="242"/>
      <c r="BY18" s="242"/>
      <c r="BZ18" s="242"/>
      <c r="CA18" s="242"/>
      <c r="CB18" s="242"/>
      <c r="CC18" s="242"/>
      <c r="CD18" s="242"/>
      <c r="CE18" s="242"/>
      <c r="CF18" s="242"/>
      <c r="CG18" s="242"/>
      <c r="CH18" s="242"/>
      <c r="CI18" s="242"/>
      <c r="CJ18" s="242"/>
      <c r="CK18" s="242"/>
      <c r="CL18" s="242"/>
      <c r="CM18" s="242"/>
      <c r="CN18" s="242"/>
      <c r="CO18" s="242"/>
      <c r="CP18" s="242"/>
      <c r="CQ18" s="242"/>
      <c r="CR18" s="242"/>
      <c r="CS18" s="242"/>
      <c r="CT18" s="242"/>
      <c r="CU18" s="242"/>
      <c r="CV18" s="242"/>
      <c r="CW18" s="242"/>
      <c r="CX18" s="242"/>
      <c r="CY18" s="242"/>
    </row>
    <row r="19">
      <c r="A19" s="257"/>
      <c r="B19" s="258"/>
      <c r="C19" s="259"/>
      <c r="D19" s="256"/>
      <c r="E19" s="239"/>
      <c r="F19" s="260"/>
      <c r="G19" s="261"/>
      <c r="H19" s="262"/>
      <c r="I19" s="263"/>
      <c r="J19" s="243"/>
      <c r="K19" s="242"/>
      <c r="L19" s="242"/>
      <c r="M19" s="242"/>
      <c r="N19" s="242"/>
      <c r="O19" s="242"/>
      <c r="P19" s="242"/>
      <c r="Q19" s="242"/>
      <c r="R19" s="242"/>
      <c r="S19" s="242"/>
      <c r="T19" s="242"/>
      <c r="U19" s="242"/>
      <c r="V19" s="242"/>
      <c r="W19" s="242"/>
      <c r="X19" s="242"/>
      <c r="Y19" s="242"/>
      <c r="Z19" s="242"/>
      <c r="AA19" s="242"/>
      <c r="AB19" s="242"/>
      <c r="AC19" s="242"/>
      <c r="AD19" s="242"/>
      <c r="AE19" s="242"/>
      <c r="AF19" s="242"/>
      <c r="AG19" s="242"/>
      <c r="AH19" s="242"/>
      <c r="AI19" s="242"/>
      <c r="AJ19" s="242"/>
      <c r="AK19" s="242"/>
      <c r="AL19" s="242"/>
      <c r="AM19" s="242"/>
      <c r="AN19" s="242"/>
      <c r="AO19" s="242"/>
      <c r="AP19" s="242"/>
      <c r="AQ19" s="242"/>
      <c r="AR19" s="242"/>
      <c r="AS19" s="242"/>
      <c r="AT19" s="242"/>
      <c r="AU19" s="242"/>
      <c r="AV19" s="242"/>
      <c r="AW19" s="242"/>
      <c r="AX19" s="242"/>
      <c r="AY19" s="242"/>
      <c r="AZ19" s="242"/>
      <c r="BA19" s="242"/>
      <c r="BB19" s="242"/>
      <c r="BC19" s="242"/>
      <c r="BD19" s="242"/>
      <c r="BE19" s="242"/>
      <c r="BF19" s="242"/>
      <c r="BG19" s="242"/>
      <c r="BH19" s="242"/>
      <c r="BI19" s="242"/>
      <c r="BJ19" s="242"/>
      <c r="BK19" s="242"/>
      <c r="BL19" s="242"/>
      <c r="BM19" s="242"/>
      <c r="BN19" s="242"/>
      <c r="BO19" s="242"/>
      <c r="BP19" s="242"/>
      <c r="BQ19" s="242"/>
      <c r="BR19" s="242"/>
      <c r="BS19" s="242"/>
      <c r="BT19" s="242"/>
      <c r="BU19" s="242"/>
      <c r="BV19" s="242"/>
      <c r="BW19" s="242"/>
      <c r="BX19" s="242"/>
      <c r="BY19" s="242"/>
      <c r="BZ19" s="242"/>
      <c r="CA19" s="242"/>
      <c r="CB19" s="242"/>
      <c r="CC19" s="242"/>
      <c r="CD19" s="242"/>
      <c r="CE19" s="242"/>
      <c r="CF19" s="242"/>
      <c r="CG19" s="242"/>
      <c r="CH19" s="242"/>
      <c r="CI19" s="242"/>
      <c r="CJ19" s="242"/>
      <c r="CK19" s="242"/>
      <c r="CL19" s="242"/>
      <c r="CM19" s="242"/>
      <c r="CN19" s="242"/>
      <c r="CO19" s="242"/>
      <c r="CP19" s="242"/>
      <c r="CQ19" s="242"/>
      <c r="CR19" s="242"/>
      <c r="CS19" s="242"/>
      <c r="CT19" s="242"/>
      <c r="CU19" s="242"/>
      <c r="CV19" s="242"/>
      <c r="CW19" s="242"/>
      <c r="CX19" s="242"/>
      <c r="CY19" s="242"/>
    </row>
    <row r="20">
      <c r="A20" s="264"/>
      <c r="B20" s="246"/>
      <c r="C20" s="265"/>
      <c r="D20" s="256"/>
      <c r="E20" s="239"/>
      <c r="F20" s="253"/>
      <c r="G20" s="251"/>
      <c r="H20" s="241"/>
      <c r="I20" s="242"/>
      <c r="J20" s="243"/>
      <c r="K20" s="242"/>
      <c r="L20" s="242"/>
      <c r="M20" s="242"/>
      <c r="N20" s="242"/>
      <c r="O20" s="242"/>
      <c r="P20" s="242"/>
      <c r="Q20" s="242"/>
      <c r="R20" s="242"/>
      <c r="S20" s="242"/>
      <c r="T20" s="242"/>
      <c r="U20" s="242"/>
      <c r="V20" s="242"/>
      <c r="W20" s="242"/>
      <c r="X20" s="242"/>
      <c r="Y20" s="242"/>
      <c r="Z20" s="242"/>
      <c r="AA20" s="242"/>
      <c r="AB20" s="242"/>
      <c r="AC20" s="242"/>
      <c r="AD20" s="242"/>
      <c r="AE20" s="242"/>
      <c r="AF20" s="242"/>
      <c r="AG20" s="242"/>
      <c r="AH20" s="242"/>
      <c r="AI20" s="242"/>
      <c r="AJ20" s="242"/>
      <c r="AK20" s="242"/>
      <c r="AL20" s="242"/>
      <c r="AM20" s="242"/>
      <c r="AN20" s="242"/>
      <c r="AO20" s="242"/>
      <c r="AP20" s="242"/>
      <c r="AQ20" s="242"/>
      <c r="AR20" s="242"/>
      <c r="AS20" s="242"/>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row>
    <row r="21">
      <c r="A21" s="264"/>
      <c r="B21" s="246"/>
      <c r="C21" s="266"/>
      <c r="D21" s="256"/>
      <c r="E21" s="239"/>
      <c r="F21" s="250"/>
      <c r="G21" s="267"/>
      <c r="H21" s="268"/>
      <c r="I21" s="269"/>
      <c r="J21" s="243"/>
      <c r="K21" s="242"/>
      <c r="L21" s="242"/>
      <c r="M21" s="242"/>
      <c r="N21" s="242"/>
      <c r="O21" s="242"/>
      <c r="P21" s="242"/>
      <c r="Q21" s="242"/>
      <c r="R21" s="242"/>
      <c r="S21" s="242"/>
      <c r="T21" s="242"/>
      <c r="U21" s="242"/>
      <c r="V21" s="242"/>
      <c r="W21" s="242"/>
      <c r="X21" s="242"/>
      <c r="Y21" s="242"/>
      <c r="Z21" s="242"/>
      <c r="AA21" s="242"/>
      <c r="AB21" s="242"/>
      <c r="AC21" s="242"/>
      <c r="AD21" s="242"/>
      <c r="AE21" s="242"/>
      <c r="AF21" s="242"/>
      <c r="AG21" s="242"/>
      <c r="AH21" s="242"/>
      <c r="AI21" s="242"/>
      <c r="AJ21" s="242"/>
      <c r="AK21" s="242"/>
      <c r="AL21" s="242"/>
      <c r="AM21" s="242"/>
      <c r="AN21" s="242"/>
      <c r="AO21" s="242"/>
      <c r="AP21" s="242"/>
      <c r="AQ21" s="242"/>
      <c r="AR21" s="242"/>
      <c r="AS21" s="242"/>
      <c r="AT21" s="242"/>
      <c r="AU21" s="242"/>
      <c r="AV21" s="242"/>
      <c r="AW21" s="242"/>
      <c r="AX21" s="242"/>
      <c r="AY21" s="242"/>
      <c r="AZ21" s="242"/>
      <c r="BA21" s="242"/>
      <c r="BB21" s="242"/>
      <c r="BC21" s="242"/>
      <c r="BD21" s="242"/>
      <c r="BE21" s="242"/>
      <c r="BF21" s="242"/>
      <c r="BG21" s="242"/>
      <c r="BH21" s="242"/>
      <c r="BI21" s="242"/>
      <c r="BJ21" s="242"/>
      <c r="BK21" s="242"/>
      <c r="BL21" s="242"/>
      <c r="BM21" s="242"/>
      <c r="BN21" s="242"/>
      <c r="BO21" s="242"/>
      <c r="BP21" s="242"/>
      <c r="BQ21" s="242"/>
      <c r="BR21" s="242"/>
      <c r="BS21" s="242"/>
      <c r="BT21" s="242"/>
      <c r="BU21" s="242"/>
      <c r="BV21" s="242"/>
      <c r="BW21" s="242"/>
      <c r="BX21" s="242"/>
      <c r="BY21" s="242"/>
      <c r="BZ21" s="242"/>
      <c r="CA21" s="242"/>
      <c r="CB21" s="242"/>
      <c r="CC21" s="242"/>
      <c r="CD21" s="242"/>
      <c r="CE21" s="242"/>
      <c r="CF21" s="242"/>
      <c r="CG21" s="242"/>
      <c r="CH21" s="242"/>
      <c r="CI21" s="242"/>
      <c r="CJ21" s="242"/>
      <c r="CK21" s="242"/>
      <c r="CL21" s="242"/>
      <c r="CM21" s="242"/>
      <c r="CN21" s="242"/>
      <c r="CO21" s="242"/>
      <c r="CP21" s="242"/>
      <c r="CQ21" s="242"/>
      <c r="CR21" s="242"/>
      <c r="CS21" s="242"/>
      <c r="CT21" s="242"/>
      <c r="CU21" s="242"/>
      <c r="CV21" s="242"/>
      <c r="CW21" s="242"/>
      <c r="CX21" s="242"/>
      <c r="CY21" s="242"/>
    </row>
    <row r="22">
      <c r="A22" s="264"/>
      <c r="B22" s="235"/>
      <c r="C22" s="266"/>
      <c r="D22" s="256"/>
      <c r="E22" s="239"/>
      <c r="F22" s="250"/>
      <c r="G22" s="270"/>
      <c r="H22" s="241"/>
      <c r="I22" s="271"/>
      <c r="J22" s="243"/>
      <c r="K22" s="242"/>
      <c r="L22" s="242"/>
      <c r="M22" s="242"/>
      <c r="N22" s="242"/>
      <c r="O22" s="242"/>
      <c r="P22" s="242"/>
      <c r="Q22" s="242"/>
      <c r="R22" s="242"/>
      <c r="S22" s="242"/>
      <c r="T22" s="242"/>
      <c r="U22" s="242"/>
      <c r="V22" s="242"/>
      <c r="W22" s="242"/>
      <c r="X22" s="242"/>
      <c r="Y22" s="242"/>
      <c r="Z22" s="242"/>
      <c r="AA22" s="242"/>
      <c r="AB22" s="242"/>
      <c r="AC22" s="242"/>
      <c r="AD22" s="242"/>
      <c r="AE22" s="242"/>
      <c r="AF22" s="242"/>
      <c r="AG22" s="242"/>
      <c r="AH22" s="242"/>
      <c r="AI22" s="242"/>
      <c r="AJ22" s="242"/>
      <c r="AK22" s="242"/>
      <c r="AL22" s="242"/>
      <c r="AM22" s="242"/>
      <c r="AN22" s="242"/>
      <c r="AO22" s="242"/>
      <c r="AP22" s="242"/>
      <c r="AQ22" s="242"/>
      <c r="AR22" s="242"/>
      <c r="AS22" s="242"/>
      <c r="AT22" s="242"/>
      <c r="AU22" s="242"/>
      <c r="AV22" s="242"/>
      <c r="AW22" s="242"/>
      <c r="AX22" s="242"/>
      <c r="AY22" s="242"/>
      <c r="AZ22" s="242"/>
      <c r="BA22" s="242"/>
      <c r="BB22" s="242"/>
      <c r="BC22" s="242"/>
      <c r="BD22" s="242"/>
      <c r="BE22" s="242"/>
      <c r="BF22" s="242"/>
      <c r="BG22" s="242"/>
      <c r="BH22" s="242"/>
      <c r="BI22" s="242"/>
      <c r="BJ22" s="242"/>
      <c r="BK22" s="242"/>
      <c r="BL22" s="242"/>
      <c r="BM22" s="242"/>
      <c r="BN22" s="242"/>
      <c r="BO22" s="242"/>
      <c r="BP22" s="242"/>
      <c r="BQ22" s="242"/>
      <c r="BR22" s="242"/>
      <c r="BS22" s="242"/>
      <c r="BT22" s="242"/>
      <c r="BU22" s="242"/>
      <c r="BV22" s="242"/>
      <c r="BW22" s="242"/>
      <c r="BX22" s="242"/>
      <c r="BY22" s="242"/>
      <c r="BZ22" s="242"/>
      <c r="CA22" s="242"/>
      <c r="CB22" s="242"/>
      <c r="CC22" s="242"/>
      <c r="CD22" s="242"/>
      <c r="CE22" s="242"/>
      <c r="CF22" s="242"/>
      <c r="CG22" s="242"/>
      <c r="CH22" s="242"/>
      <c r="CI22" s="242"/>
      <c r="CJ22" s="242"/>
      <c r="CK22" s="242"/>
      <c r="CL22" s="242"/>
      <c r="CM22" s="242"/>
      <c r="CN22" s="242"/>
      <c r="CO22" s="242"/>
      <c r="CP22" s="242"/>
      <c r="CQ22" s="242"/>
      <c r="CR22" s="242"/>
      <c r="CS22" s="242"/>
      <c r="CT22" s="242"/>
      <c r="CU22" s="242"/>
      <c r="CV22" s="242"/>
      <c r="CW22" s="242"/>
      <c r="CX22" s="242"/>
      <c r="CY22" s="242"/>
    </row>
    <row r="23">
      <c r="A23" s="272"/>
      <c r="B23" s="273"/>
      <c r="C23" s="265"/>
      <c r="D23" s="274"/>
      <c r="E23" s="239"/>
      <c r="F23" s="275"/>
      <c r="G23" s="270"/>
      <c r="H23" s="276"/>
      <c r="I23" s="271"/>
      <c r="J23" s="243"/>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row>
    <row r="24">
      <c r="A24" s="264"/>
      <c r="B24" s="273"/>
      <c r="C24" s="266"/>
      <c r="D24" s="274"/>
      <c r="E24" s="239"/>
      <c r="F24" s="275"/>
      <c r="G24" s="267"/>
      <c r="H24" s="268"/>
      <c r="I24" s="269"/>
      <c r="J24" s="243"/>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row>
    <row r="25">
      <c r="A25" s="280"/>
      <c r="B25" s="281"/>
      <c r="C25" s="266"/>
      <c r="D25" s="274"/>
      <c r="E25" s="239"/>
      <c r="F25" s="282"/>
      <c r="G25" s="283"/>
      <c r="H25" s="284"/>
      <c r="I25" s="242"/>
      <c r="J25" s="243"/>
      <c r="K25" s="242"/>
      <c r="L25" s="242"/>
      <c r="M25" s="242"/>
      <c r="N25" s="242"/>
      <c r="O25" s="242"/>
      <c r="P25" s="242"/>
      <c r="Q25" s="242"/>
      <c r="R25" s="242"/>
      <c r="S25" s="242"/>
      <c r="T25" s="242"/>
      <c r="U25" s="242"/>
      <c r="V25" s="242"/>
      <c r="W25" s="242"/>
      <c r="X25" s="242"/>
      <c r="Y25" s="242"/>
      <c r="Z25" s="242"/>
      <c r="AA25" s="242"/>
      <c r="AB25" s="242"/>
      <c r="AC25" s="242"/>
      <c r="AD25" s="242"/>
      <c r="AE25" s="242"/>
      <c r="AF25" s="242"/>
      <c r="AG25" s="242"/>
      <c r="AH25" s="242"/>
      <c r="AI25" s="242"/>
      <c r="AJ25" s="242"/>
      <c r="AK25" s="242"/>
      <c r="AL25" s="242"/>
      <c r="AM25" s="242"/>
      <c r="AN25" s="242"/>
      <c r="AO25" s="242"/>
      <c r="AP25" s="242"/>
      <c r="AQ25" s="242"/>
      <c r="AR25" s="242"/>
      <c r="AS25" s="242"/>
      <c r="AT25" s="242"/>
      <c r="AU25" s="242"/>
      <c r="AV25" s="242"/>
      <c r="AW25" s="242"/>
      <c r="AX25" s="242"/>
      <c r="AY25" s="242"/>
      <c r="AZ25" s="242"/>
      <c r="BA25" s="242"/>
      <c r="BB25" s="242"/>
      <c r="BC25" s="242"/>
      <c r="BD25" s="242"/>
      <c r="BE25" s="242"/>
      <c r="BF25" s="242"/>
      <c r="BG25" s="242"/>
      <c r="BH25" s="242"/>
      <c r="BI25" s="242"/>
      <c r="BJ25" s="242"/>
      <c r="BK25" s="242"/>
      <c r="BL25" s="242"/>
      <c r="BM25" s="242"/>
      <c r="BN25" s="242"/>
      <c r="BO25" s="242"/>
      <c r="BP25" s="242"/>
      <c r="BQ25" s="242"/>
      <c r="BR25" s="242"/>
      <c r="BS25" s="242"/>
      <c r="BT25" s="242"/>
      <c r="BU25" s="242"/>
      <c r="BV25" s="242"/>
      <c r="BW25" s="242"/>
      <c r="BX25" s="242"/>
      <c r="BY25" s="242"/>
      <c r="BZ25" s="242"/>
      <c r="CA25" s="242"/>
      <c r="CB25" s="242"/>
      <c r="CC25" s="242"/>
      <c r="CD25" s="242"/>
      <c r="CE25" s="242"/>
      <c r="CF25" s="242"/>
      <c r="CG25" s="242"/>
      <c r="CH25" s="242"/>
      <c r="CI25" s="242"/>
      <c r="CJ25" s="242"/>
      <c r="CK25" s="242"/>
      <c r="CL25" s="242"/>
      <c r="CM25" s="242"/>
      <c r="CN25" s="242"/>
      <c r="CO25" s="242"/>
      <c r="CP25" s="242"/>
      <c r="CQ25" s="242"/>
      <c r="CR25" s="242"/>
      <c r="CS25" s="242"/>
      <c r="CT25" s="242"/>
      <c r="CU25" s="242"/>
      <c r="CV25" s="242"/>
      <c r="CW25" s="242"/>
      <c r="CX25" s="242"/>
      <c r="CY25" s="242"/>
    </row>
    <row r="26">
      <c r="A26" s="286"/>
      <c r="B26" s="287"/>
      <c r="C26" s="259"/>
      <c r="D26" s="274"/>
      <c r="E26" s="239"/>
      <c r="F26" s="288"/>
      <c r="G26" s="267"/>
      <c r="H26" s="241"/>
      <c r="I26" s="269"/>
      <c r="J26" s="243"/>
      <c r="K26" s="242"/>
      <c r="L26" s="242"/>
      <c r="M26" s="242"/>
      <c r="N26" s="242"/>
      <c r="O26" s="242"/>
      <c r="P26" s="242"/>
      <c r="Q26" s="242"/>
      <c r="R26" s="242"/>
      <c r="S26" s="242"/>
      <c r="T26" s="242"/>
      <c r="U26" s="242"/>
      <c r="V26" s="242"/>
      <c r="W26" s="242"/>
      <c r="X26" s="242"/>
      <c r="Y26" s="242"/>
      <c r="Z26" s="242"/>
      <c r="AA26" s="242"/>
      <c r="AB26" s="242"/>
      <c r="AC26" s="242"/>
      <c r="AD26" s="242"/>
      <c r="AE26" s="242"/>
      <c r="AF26" s="242"/>
      <c r="AG26" s="242"/>
      <c r="AH26" s="242"/>
      <c r="AI26" s="242"/>
      <c r="AJ26" s="242"/>
      <c r="AK26" s="242"/>
      <c r="AL26" s="242"/>
      <c r="AM26" s="242"/>
      <c r="AN26" s="242"/>
      <c r="AO26" s="242"/>
      <c r="AP26" s="242"/>
      <c r="AQ26" s="242"/>
      <c r="AR26" s="242"/>
      <c r="AS26" s="242"/>
      <c r="AT26" s="242"/>
      <c r="AU26" s="242"/>
      <c r="AV26" s="242"/>
      <c r="AW26" s="242"/>
      <c r="AX26" s="242"/>
      <c r="AY26" s="242"/>
      <c r="AZ26" s="242"/>
      <c r="BA26" s="242"/>
      <c r="BB26" s="242"/>
      <c r="BC26" s="242"/>
      <c r="BD26" s="242"/>
      <c r="BE26" s="242"/>
      <c r="BF26" s="242"/>
      <c r="BG26" s="242"/>
      <c r="BH26" s="242"/>
      <c r="BI26" s="242"/>
      <c r="BJ26" s="242"/>
      <c r="BK26" s="242"/>
      <c r="BL26" s="242"/>
      <c r="BM26" s="242"/>
      <c r="BN26" s="242"/>
      <c r="BO26" s="242"/>
      <c r="BP26" s="242"/>
      <c r="BQ26" s="242"/>
      <c r="BR26" s="242"/>
      <c r="BS26" s="242"/>
      <c r="BT26" s="242"/>
      <c r="BU26" s="242"/>
      <c r="BV26" s="242"/>
      <c r="BW26" s="242"/>
      <c r="BX26" s="242"/>
      <c r="BY26" s="242"/>
      <c r="BZ26" s="242"/>
      <c r="CA26" s="242"/>
      <c r="CB26" s="242"/>
      <c r="CC26" s="242"/>
      <c r="CD26" s="242"/>
      <c r="CE26" s="242"/>
      <c r="CF26" s="242"/>
      <c r="CG26" s="242"/>
      <c r="CH26" s="242"/>
      <c r="CI26" s="242"/>
      <c r="CJ26" s="242"/>
      <c r="CK26" s="242"/>
      <c r="CL26" s="242"/>
      <c r="CM26" s="242"/>
      <c r="CN26" s="242"/>
      <c r="CO26" s="242"/>
      <c r="CP26" s="242"/>
      <c r="CQ26" s="242"/>
      <c r="CR26" s="242"/>
      <c r="CS26" s="242"/>
      <c r="CT26" s="242"/>
      <c r="CU26" s="242"/>
      <c r="CV26" s="242"/>
      <c r="CW26" s="242"/>
      <c r="CX26" s="242"/>
      <c r="CY26" s="242"/>
    </row>
    <row r="27">
      <c r="A27" s="290"/>
      <c r="B27" s="291"/>
      <c r="C27" s="292"/>
      <c r="D27" s="274"/>
      <c r="E27" s="239"/>
      <c r="F27" s="288"/>
      <c r="G27" s="267"/>
      <c r="H27" s="241"/>
      <c r="I27" s="269"/>
      <c r="J27" s="243"/>
      <c r="K27" s="242"/>
      <c r="L27" s="242"/>
      <c r="M27" s="242"/>
      <c r="N27" s="242"/>
      <c r="O27" s="242"/>
      <c r="P27" s="242"/>
      <c r="Q27" s="242"/>
      <c r="R27" s="242"/>
      <c r="S27" s="242"/>
      <c r="T27" s="242"/>
      <c r="U27" s="242"/>
      <c r="V27" s="242"/>
      <c r="W27" s="242"/>
      <c r="X27" s="242"/>
      <c r="Y27" s="242"/>
      <c r="Z27" s="242"/>
      <c r="AA27" s="242"/>
      <c r="AB27" s="242"/>
      <c r="AC27" s="242"/>
      <c r="AD27" s="242"/>
      <c r="AE27" s="242"/>
      <c r="AF27" s="242"/>
      <c r="AG27" s="242"/>
      <c r="AH27" s="242"/>
      <c r="AI27" s="242"/>
      <c r="AJ27" s="242"/>
      <c r="AK27" s="242"/>
      <c r="AL27" s="242"/>
      <c r="AM27" s="242"/>
      <c r="AN27" s="242"/>
      <c r="AO27" s="242"/>
      <c r="AP27" s="242"/>
      <c r="AQ27" s="242"/>
      <c r="AR27" s="242"/>
      <c r="AS27" s="242"/>
      <c r="AT27" s="242"/>
      <c r="AU27" s="242"/>
      <c r="AV27" s="242"/>
      <c r="AW27" s="242"/>
      <c r="AX27" s="242"/>
      <c r="AY27" s="242"/>
      <c r="AZ27" s="242"/>
      <c r="BA27" s="242"/>
      <c r="BB27" s="242"/>
      <c r="BC27" s="242"/>
      <c r="BD27" s="242"/>
      <c r="BE27" s="242"/>
      <c r="BF27" s="242"/>
      <c r="BG27" s="242"/>
      <c r="BH27" s="242"/>
      <c r="BI27" s="242"/>
      <c r="BJ27" s="242"/>
      <c r="BK27" s="242"/>
      <c r="BL27" s="242"/>
      <c r="BM27" s="242"/>
      <c r="BN27" s="242"/>
      <c r="BO27" s="242"/>
      <c r="BP27" s="242"/>
      <c r="BQ27" s="242"/>
      <c r="BR27" s="242"/>
      <c r="BS27" s="242"/>
      <c r="BT27" s="242"/>
      <c r="BU27" s="242"/>
      <c r="BV27" s="242"/>
      <c r="BW27" s="242"/>
      <c r="BX27" s="242"/>
      <c r="BY27" s="242"/>
      <c r="BZ27" s="242"/>
      <c r="CA27" s="242"/>
      <c r="CB27" s="242"/>
      <c r="CC27" s="242"/>
      <c r="CD27" s="242"/>
      <c r="CE27" s="242"/>
      <c r="CF27" s="242"/>
      <c r="CG27" s="242"/>
      <c r="CH27" s="242"/>
      <c r="CI27" s="242"/>
      <c r="CJ27" s="242"/>
      <c r="CK27" s="242"/>
      <c r="CL27" s="242"/>
      <c r="CM27" s="242"/>
      <c r="CN27" s="242"/>
      <c r="CO27" s="242"/>
      <c r="CP27" s="242"/>
      <c r="CQ27" s="242"/>
      <c r="CR27" s="242"/>
      <c r="CS27" s="242"/>
      <c r="CT27" s="242"/>
      <c r="CU27" s="242"/>
      <c r="CV27" s="242"/>
      <c r="CW27" s="242"/>
      <c r="CX27" s="242"/>
      <c r="CY27" s="242"/>
    </row>
    <row r="28">
      <c r="A28" s="294"/>
      <c r="B28" s="287"/>
      <c r="C28" s="259"/>
      <c r="D28" s="274"/>
      <c r="E28" s="239"/>
      <c r="F28" s="288"/>
      <c r="G28" s="267"/>
      <c r="H28" s="241"/>
      <c r="I28" s="269"/>
      <c r="J28" s="243"/>
      <c r="K28" s="242"/>
      <c r="L28" s="242"/>
      <c r="M28" s="242"/>
      <c r="N28" s="242"/>
      <c r="O28" s="242"/>
      <c r="P28" s="242"/>
      <c r="Q28" s="242"/>
      <c r="R28" s="242"/>
      <c r="S28" s="242"/>
      <c r="T28" s="242"/>
      <c r="U28" s="242"/>
      <c r="V28" s="242"/>
      <c r="W28" s="242"/>
      <c r="X28" s="242"/>
      <c r="Y28" s="242"/>
      <c r="Z28" s="242"/>
      <c r="AA28" s="242"/>
      <c r="AB28" s="242"/>
      <c r="AC28" s="242"/>
      <c r="AD28" s="242"/>
      <c r="AE28" s="242"/>
      <c r="AF28" s="242"/>
      <c r="AG28" s="242"/>
      <c r="AH28" s="242"/>
      <c r="AI28" s="242"/>
      <c r="AJ28" s="242"/>
      <c r="AK28" s="242"/>
      <c r="AL28" s="242"/>
      <c r="AM28" s="242"/>
      <c r="AN28" s="242"/>
      <c r="AO28" s="242"/>
      <c r="AP28" s="242"/>
      <c r="AQ28" s="242"/>
      <c r="AR28" s="242"/>
      <c r="AS28" s="242"/>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row>
    <row r="29">
      <c r="A29" s="290"/>
      <c r="B29" s="291"/>
      <c r="C29" s="292"/>
      <c r="D29" s="274"/>
      <c r="E29" s="239"/>
      <c r="F29" s="275"/>
      <c r="G29" s="267"/>
      <c r="H29" s="302"/>
      <c r="I29" s="269"/>
      <c r="J29" s="243"/>
      <c r="K29" s="242"/>
      <c r="L29" s="242"/>
      <c r="M29" s="242"/>
      <c r="N29" s="242"/>
      <c r="O29" s="242"/>
      <c r="P29" s="242"/>
      <c r="Q29" s="242"/>
      <c r="R29" s="242"/>
      <c r="S29" s="242"/>
      <c r="T29" s="242"/>
      <c r="U29" s="242"/>
      <c r="V29" s="242"/>
      <c r="W29" s="242"/>
      <c r="X29" s="242"/>
      <c r="Y29" s="242"/>
      <c r="Z29" s="242"/>
      <c r="AA29" s="242"/>
      <c r="AB29" s="242"/>
      <c r="AC29" s="242"/>
      <c r="AD29" s="242"/>
      <c r="AE29" s="242"/>
      <c r="AF29" s="242"/>
      <c r="AG29" s="242"/>
      <c r="AH29" s="242"/>
      <c r="AI29" s="242"/>
      <c r="AJ29" s="242"/>
      <c r="AK29" s="242"/>
      <c r="AL29" s="242"/>
      <c r="AM29" s="242"/>
      <c r="AN29" s="242"/>
      <c r="AO29" s="242"/>
      <c r="AP29" s="242"/>
      <c r="AQ29" s="242"/>
      <c r="AR29" s="242"/>
      <c r="AS29" s="242"/>
      <c r="AT29" s="242"/>
      <c r="AU29" s="242"/>
      <c r="AV29" s="242"/>
      <c r="AW29" s="242"/>
      <c r="AX29" s="242"/>
      <c r="AY29" s="242"/>
      <c r="AZ29" s="242"/>
      <c r="BA29" s="242"/>
      <c r="BB29" s="242"/>
      <c r="BC29" s="242"/>
      <c r="BD29" s="242"/>
      <c r="BE29" s="242"/>
      <c r="BF29" s="242"/>
      <c r="BG29" s="242"/>
      <c r="BH29" s="242"/>
      <c r="BI29" s="242"/>
      <c r="BJ29" s="242"/>
      <c r="BK29" s="242"/>
      <c r="BL29" s="242"/>
      <c r="BM29" s="242"/>
      <c r="BN29" s="242"/>
      <c r="BO29" s="242"/>
      <c r="BP29" s="242"/>
      <c r="BQ29" s="242"/>
      <c r="BR29" s="242"/>
      <c r="BS29" s="242"/>
      <c r="BT29" s="242"/>
      <c r="BU29" s="242"/>
      <c r="BV29" s="242"/>
      <c r="BW29" s="242"/>
      <c r="BX29" s="242"/>
      <c r="BY29" s="242"/>
      <c r="BZ29" s="242"/>
      <c r="CA29" s="242"/>
      <c r="CB29" s="242"/>
      <c r="CC29" s="242"/>
      <c r="CD29" s="242"/>
      <c r="CE29" s="242"/>
      <c r="CF29" s="242"/>
      <c r="CG29" s="242"/>
      <c r="CH29" s="242"/>
      <c r="CI29" s="242"/>
      <c r="CJ29" s="242"/>
      <c r="CK29" s="242"/>
      <c r="CL29" s="242"/>
      <c r="CM29" s="242"/>
      <c r="CN29" s="242"/>
      <c r="CO29" s="242"/>
      <c r="CP29" s="242"/>
      <c r="CQ29" s="242"/>
      <c r="CR29" s="242"/>
      <c r="CS29" s="242"/>
      <c r="CT29" s="242"/>
      <c r="CU29" s="242"/>
      <c r="CV29" s="242"/>
      <c r="CW29" s="242"/>
      <c r="CX29" s="242"/>
      <c r="CY29" s="242"/>
    </row>
    <row r="30">
      <c r="A30" s="307"/>
      <c r="B30" s="281"/>
      <c r="C30" s="308"/>
      <c r="D30" s="274"/>
      <c r="E30" s="239"/>
      <c r="F30" s="282"/>
      <c r="G30" s="283"/>
      <c r="H30" s="284"/>
      <c r="I30" s="242"/>
      <c r="J30" s="243"/>
      <c r="K30" s="242"/>
      <c r="L30" s="242"/>
      <c r="M30" s="242"/>
      <c r="N30" s="242"/>
      <c r="O30" s="242"/>
      <c r="P30" s="242"/>
      <c r="Q30" s="242"/>
      <c r="R30" s="242"/>
      <c r="S30" s="242"/>
      <c r="T30" s="242"/>
      <c r="U30" s="242"/>
      <c r="V30" s="242"/>
      <c r="W30" s="242"/>
      <c r="X30" s="242"/>
      <c r="Y30" s="242"/>
      <c r="Z30" s="242"/>
      <c r="AA30" s="242"/>
      <c r="AB30" s="242"/>
      <c r="AC30" s="242"/>
      <c r="AD30" s="242"/>
      <c r="AE30" s="242"/>
      <c r="AF30" s="242"/>
      <c r="AG30" s="242"/>
      <c r="AH30" s="242"/>
      <c r="AI30" s="242"/>
      <c r="AJ30" s="242"/>
      <c r="AK30" s="242"/>
      <c r="AL30" s="242"/>
      <c r="AM30" s="242"/>
      <c r="AN30" s="242"/>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2"/>
      <c r="BK30" s="242"/>
      <c r="BL30" s="242"/>
      <c r="BM30" s="242"/>
      <c r="BN30" s="242"/>
      <c r="BO30" s="242"/>
      <c r="BP30" s="242"/>
      <c r="BQ30" s="242"/>
      <c r="BR30" s="242"/>
      <c r="BS30" s="242"/>
      <c r="BT30" s="242"/>
      <c r="BU30" s="242"/>
      <c r="BV30" s="242"/>
      <c r="BW30" s="242"/>
      <c r="BX30" s="242"/>
      <c r="BY30" s="242"/>
      <c r="BZ30" s="242"/>
      <c r="CA30" s="242"/>
      <c r="CB30" s="242"/>
      <c r="CC30" s="242"/>
      <c r="CD30" s="242"/>
      <c r="CE30" s="242"/>
      <c r="CF30" s="242"/>
      <c r="CG30" s="242"/>
      <c r="CH30" s="242"/>
      <c r="CI30" s="242"/>
      <c r="CJ30" s="242"/>
      <c r="CK30" s="242"/>
      <c r="CL30" s="242"/>
      <c r="CM30" s="242"/>
      <c r="CN30" s="242"/>
      <c r="CO30" s="242"/>
      <c r="CP30" s="242"/>
      <c r="CQ30" s="242"/>
      <c r="CR30" s="242"/>
      <c r="CS30" s="242"/>
      <c r="CT30" s="242"/>
      <c r="CU30" s="242"/>
      <c r="CV30" s="242"/>
      <c r="CW30" s="242"/>
      <c r="CX30" s="242"/>
      <c r="CY30" s="242"/>
    </row>
    <row r="31">
      <c r="A31" s="310"/>
      <c r="B31" s="312"/>
      <c r="C31" s="313"/>
      <c r="D31" s="274"/>
      <c r="E31" s="239"/>
      <c r="F31" s="253"/>
      <c r="G31" s="251"/>
      <c r="H31" s="241"/>
      <c r="I31" s="242"/>
      <c r="J31" s="243"/>
      <c r="K31" s="242"/>
      <c r="L31" s="242"/>
      <c r="M31" s="242"/>
      <c r="N31" s="242"/>
      <c r="O31" s="242"/>
      <c r="P31" s="242"/>
      <c r="Q31" s="242"/>
      <c r="R31" s="242"/>
      <c r="S31" s="242"/>
      <c r="T31" s="242"/>
      <c r="U31" s="242"/>
      <c r="V31" s="242"/>
      <c r="W31" s="242"/>
      <c r="X31" s="242"/>
      <c r="Y31" s="242"/>
      <c r="Z31" s="242"/>
      <c r="AA31" s="242"/>
      <c r="AB31" s="242"/>
      <c r="AC31" s="242"/>
      <c r="AD31" s="242"/>
      <c r="AE31" s="242"/>
      <c r="AF31" s="242"/>
      <c r="AG31" s="242"/>
      <c r="AH31" s="242"/>
      <c r="AI31" s="242"/>
      <c r="AJ31" s="242"/>
      <c r="AK31" s="242"/>
      <c r="AL31" s="242"/>
      <c r="AM31" s="242"/>
      <c r="AN31" s="242"/>
      <c r="AO31" s="242"/>
      <c r="AP31" s="242"/>
      <c r="AQ31" s="242"/>
      <c r="AR31" s="242"/>
      <c r="AS31" s="242"/>
      <c r="AT31" s="242"/>
      <c r="AU31" s="242"/>
      <c r="AV31" s="242"/>
      <c r="AW31" s="242"/>
      <c r="AX31" s="242"/>
      <c r="AY31" s="242"/>
      <c r="AZ31" s="242"/>
      <c r="BA31" s="242"/>
      <c r="BB31" s="242"/>
      <c r="BC31" s="242"/>
      <c r="BD31" s="242"/>
      <c r="BE31" s="242"/>
      <c r="BF31" s="242"/>
      <c r="BG31" s="242"/>
      <c r="BH31" s="242"/>
      <c r="BI31" s="242"/>
      <c r="BJ31" s="242"/>
      <c r="BK31" s="242"/>
      <c r="BL31" s="242"/>
      <c r="BM31" s="242"/>
      <c r="BN31" s="242"/>
      <c r="BO31" s="242"/>
      <c r="BP31" s="242"/>
      <c r="BQ31" s="242"/>
      <c r="BR31" s="242"/>
      <c r="BS31" s="242"/>
      <c r="BT31" s="242"/>
      <c r="BU31" s="242"/>
      <c r="BV31" s="242"/>
      <c r="BW31" s="242"/>
      <c r="BX31" s="242"/>
      <c r="BY31" s="242"/>
      <c r="BZ31" s="242"/>
      <c r="CA31" s="242"/>
      <c r="CB31" s="242"/>
      <c r="CC31" s="242"/>
      <c r="CD31" s="242"/>
      <c r="CE31" s="242"/>
      <c r="CF31" s="242"/>
      <c r="CG31" s="242"/>
      <c r="CH31" s="242"/>
      <c r="CI31" s="242"/>
      <c r="CJ31" s="242"/>
      <c r="CK31" s="242"/>
      <c r="CL31" s="242"/>
      <c r="CM31" s="242"/>
      <c r="CN31" s="242"/>
      <c r="CO31" s="242"/>
      <c r="CP31" s="242"/>
      <c r="CQ31" s="242"/>
      <c r="CR31" s="242"/>
      <c r="CS31" s="242"/>
      <c r="CT31" s="242"/>
      <c r="CU31" s="242"/>
      <c r="CV31" s="242"/>
      <c r="CW31" s="242"/>
      <c r="CX31" s="242"/>
      <c r="CY31" s="242"/>
    </row>
    <row r="32">
      <c r="A32" s="318"/>
      <c r="B32" s="281"/>
      <c r="C32" s="319"/>
      <c r="D32" s="274"/>
      <c r="E32" s="239"/>
      <c r="F32" s="253"/>
      <c r="G32" s="251"/>
      <c r="H32" s="241"/>
      <c r="I32" s="242"/>
      <c r="J32" s="243"/>
      <c r="K32" s="242"/>
      <c r="L32" s="242"/>
      <c r="M32" s="242"/>
      <c r="N32" s="242"/>
      <c r="O32" s="242"/>
      <c r="P32" s="242"/>
      <c r="Q32" s="242"/>
      <c r="R32" s="242"/>
      <c r="S32" s="242"/>
      <c r="T32" s="242"/>
      <c r="U32" s="242"/>
      <c r="V32" s="242"/>
      <c r="W32" s="242"/>
      <c r="X32" s="242"/>
      <c r="Y32" s="242"/>
      <c r="Z32" s="242"/>
      <c r="AA32" s="242"/>
      <c r="AB32" s="242"/>
      <c r="AC32" s="242"/>
      <c r="AD32" s="242"/>
      <c r="AE32" s="242"/>
      <c r="AF32" s="242"/>
      <c r="AG32" s="242"/>
      <c r="AH32" s="242"/>
      <c r="AI32" s="242"/>
      <c r="AJ32" s="242"/>
      <c r="AK32" s="242"/>
      <c r="AL32" s="242"/>
      <c r="AM32" s="242"/>
      <c r="AN32" s="242"/>
      <c r="AO32" s="242"/>
      <c r="AP32" s="242"/>
      <c r="AQ32" s="242"/>
      <c r="AR32" s="242"/>
      <c r="AS32" s="242"/>
      <c r="AT32" s="242"/>
      <c r="AU32" s="242"/>
      <c r="AV32" s="242"/>
      <c r="AW32" s="242"/>
      <c r="AX32" s="242"/>
      <c r="AY32" s="242"/>
      <c r="AZ32" s="242"/>
      <c r="BA32" s="242"/>
      <c r="BB32" s="242"/>
      <c r="BC32" s="242"/>
      <c r="BD32" s="242"/>
      <c r="BE32" s="242"/>
      <c r="BF32" s="242"/>
      <c r="BG32" s="242"/>
      <c r="BH32" s="242"/>
      <c r="BI32" s="242"/>
      <c r="BJ32" s="242"/>
      <c r="BK32" s="242"/>
      <c r="BL32" s="242"/>
      <c r="BM32" s="242"/>
      <c r="BN32" s="242"/>
      <c r="BO32" s="242"/>
      <c r="BP32" s="242"/>
      <c r="BQ32" s="242"/>
      <c r="BR32" s="242"/>
      <c r="BS32" s="242"/>
      <c r="BT32" s="242"/>
      <c r="BU32" s="242"/>
      <c r="BV32" s="242"/>
      <c r="BW32" s="242"/>
      <c r="BX32" s="242"/>
      <c r="BY32" s="242"/>
      <c r="BZ32" s="242"/>
      <c r="CA32" s="242"/>
      <c r="CB32" s="242"/>
      <c r="CC32" s="242"/>
      <c r="CD32" s="242"/>
      <c r="CE32" s="242"/>
      <c r="CF32" s="242"/>
      <c r="CG32" s="242"/>
      <c r="CH32" s="242"/>
      <c r="CI32" s="242"/>
      <c r="CJ32" s="242"/>
      <c r="CK32" s="242"/>
      <c r="CL32" s="242"/>
      <c r="CM32" s="242"/>
      <c r="CN32" s="242"/>
      <c r="CO32" s="242"/>
      <c r="CP32" s="242"/>
      <c r="CQ32" s="242"/>
      <c r="CR32" s="242"/>
      <c r="CS32" s="242"/>
      <c r="CT32" s="242"/>
      <c r="CU32" s="242"/>
      <c r="CV32" s="242"/>
      <c r="CW32" s="242"/>
      <c r="CX32" s="242"/>
      <c r="CY32" s="242"/>
    </row>
    <row r="33">
      <c r="A33" s="324"/>
      <c r="B33" s="325"/>
      <c r="C33" s="313"/>
      <c r="D33" s="274"/>
      <c r="E33" s="239"/>
      <c r="F33" s="288"/>
      <c r="G33" s="267"/>
      <c r="H33" s="268"/>
      <c r="I33" s="269"/>
      <c r="J33" s="243"/>
      <c r="K33" s="242"/>
      <c r="L33" s="242"/>
      <c r="M33" s="242"/>
      <c r="N33" s="242"/>
      <c r="O33" s="242"/>
      <c r="P33" s="242"/>
      <c r="Q33" s="242"/>
      <c r="R33" s="242"/>
      <c r="S33" s="242"/>
      <c r="T33" s="242"/>
      <c r="U33" s="242"/>
      <c r="V33" s="242"/>
      <c r="W33" s="242"/>
      <c r="X33" s="242"/>
      <c r="Y33" s="242"/>
      <c r="Z33" s="242"/>
      <c r="AA33" s="242"/>
      <c r="AB33" s="242"/>
      <c r="AC33" s="242"/>
      <c r="AD33" s="242"/>
      <c r="AE33" s="242"/>
      <c r="AF33" s="242"/>
      <c r="AG33" s="242"/>
      <c r="AH33" s="242"/>
      <c r="AI33" s="242"/>
      <c r="AJ33" s="242"/>
      <c r="AK33" s="242"/>
      <c r="AL33" s="242"/>
      <c r="AM33" s="242"/>
      <c r="AN33" s="242"/>
      <c r="AO33" s="242"/>
      <c r="AP33" s="242"/>
      <c r="AQ33" s="242"/>
      <c r="AR33" s="242"/>
      <c r="AS33" s="242"/>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row>
    <row r="34">
      <c r="A34" s="328"/>
      <c r="B34" s="281"/>
      <c r="C34" s="329"/>
      <c r="D34" s="274"/>
      <c r="E34" s="239"/>
      <c r="F34" s="288"/>
      <c r="G34" s="267"/>
      <c r="H34" s="268"/>
      <c r="I34" s="269"/>
      <c r="J34" s="243"/>
      <c r="K34" s="242"/>
      <c r="L34" s="242"/>
      <c r="M34" s="242"/>
      <c r="N34" s="242"/>
      <c r="O34" s="242"/>
      <c r="P34" s="242"/>
      <c r="Q34" s="242"/>
      <c r="R34" s="242"/>
      <c r="S34" s="242"/>
      <c r="T34" s="242"/>
      <c r="U34" s="242"/>
      <c r="V34" s="242"/>
      <c r="W34" s="242"/>
      <c r="X34" s="242"/>
      <c r="Y34" s="242"/>
      <c r="Z34" s="242"/>
      <c r="AA34" s="242"/>
      <c r="AB34" s="242"/>
      <c r="AC34" s="242"/>
      <c r="AD34" s="242"/>
      <c r="AE34" s="242"/>
      <c r="AF34" s="242"/>
      <c r="AG34" s="242"/>
      <c r="AH34" s="242"/>
      <c r="AI34" s="242"/>
      <c r="AJ34" s="242"/>
      <c r="AK34" s="242"/>
      <c r="AL34" s="242"/>
      <c r="AM34" s="242"/>
      <c r="AN34" s="242"/>
      <c r="AO34" s="242"/>
      <c r="AP34" s="242"/>
      <c r="AQ34" s="242"/>
      <c r="AR34" s="242"/>
      <c r="AS34" s="242"/>
      <c r="AT34" s="242"/>
      <c r="AU34" s="242"/>
      <c r="AV34" s="242"/>
      <c r="AW34" s="242"/>
      <c r="AX34" s="242"/>
      <c r="AY34" s="242"/>
      <c r="AZ34" s="242"/>
      <c r="BA34" s="242"/>
      <c r="BB34" s="242"/>
      <c r="BC34" s="242"/>
      <c r="BD34" s="242"/>
      <c r="BE34" s="242"/>
      <c r="BF34" s="242"/>
      <c r="BG34" s="242"/>
      <c r="BH34" s="242"/>
      <c r="BI34" s="242"/>
      <c r="BJ34" s="242"/>
      <c r="BK34" s="242"/>
      <c r="BL34" s="242"/>
      <c r="BM34" s="242"/>
      <c r="BN34" s="242"/>
      <c r="BO34" s="242"/>
      <c r="BP34" s="242"/>
      <c r="BQ34" s="242"/>
      <c r="BR34" s="242"/>
      <c r="BS34" s="242"/>
      <c r="BT34" s="242"/>
      <c r="BU34" s="242"/>
      <c r="BV34" s="242"/>
      <c r="BW34" s="242"/>
      <c r="BX34" s="242"/>
      <c r="BY34" s="242"/>
      <c r="BZ34" s="242"/>
      <c r="CA34" s="242"/>
      <c r="CB34" s="242"/>
      <c r="CC34" s="242"/>
      <c r="CD34" s="242"/>
      <c r="CE34" s="242"/>
      <c r="CF34" s="242"/>
      <c r="CG34" s="242"/>
      <c r="CH34" s="242"/>
      <c r="CI34" s="242"/>
      <c r="CJ34" s="242"/>
      <c r="CK34" s="242"/>
      <c r="CL34" s="242"/>
      <c r="CM34" s="242"/>
      <c r="CN34" s="242"/>
      <c r="CO34" s="242"/>
      <c r="CP34" s="242"/>
      <c r="CQ34" s="242"/>
      <c r="CR34" s="242"/>
      <c r="CS34" s="242"/>
      <c r="CT34" s="242"/>
      <c r="CU34" s="242"/>
      <c r="CV34" s="242"/>
      <c r="CW34" s="242"/>
      <c r="CX34" s="242"/>
      <c r="CY34" s="242"/>
    </row>
    <row r="35">
      <c r="A35" s="324"/>
      <c r="B35" s="325"/>
      <c r="C35" s="313"/>
      <c r="D35" s="274"/>
      <c r="E35" s="239"/>
      <c r="F35" s="288"/>
      <c r="G35" s="267"/>
      <c r="H35" s="268"/>
      <c r="I35" s="269"/>
      <c r="J35" s="243"/>
      <c r="K35" s="242"/>
      <c r="L35" s="242"/>
      <c r="M35" s="242"/>
      <c r="N35" s="242"/>
      <c r="O35" s="242"/>
      <c r="P35" s="242"/>
      <c r="Q35" s="242"/>
      <c r="R35" s="242"/>
      <c r="S35" s="242"/>
      <c r="T35" s="242"/>
      <c r="U35" s="242"/>
      <c r="V35" s="242"/>
      <c r="W35" s="242"/>
      <c r="X35" s="242"/>
      <c r="Y35" s="242"/>
      <c r="Z35" s="242"/>
      <c r="AA35" s="242"/>
      <c r="AB35" s="242"/>
      <c r="AC35" s="242"/>
      <c r="AD35" s="242"/>
      <c r="AE35" s="242"/>
      <c r="AF35" s="242"/>
      <c r="AG35" s="242"/>
      <c r="AH35" s="242"/>
      <c r="AI35" s="242"/>
      <c r="AJ35" s="242"/>
      <c r="AK35" s="242"/>
      <c r="AL35" s="242"/>
      <c r="AM35" s="242"/>
      <c r="AN35" s="242"/>
      <c r="AO35" s="242"/>
      <c r="AP35" s="242"/>
      <c r="AQ35" s="242"/>
      <c r="AR35" s="242"/>
      <c r="AS35" s="242"/>
      <c r="AT35" s="242"/>
      <c r="AU35" s="242"/>
      <c r="AV35" s="242"/>
      <c r="AW35" s="242"/>
      <c r="AX35" s="242"/>
      <c r="AY35" s="242"/>
      <c r="AZ35" s="242"/>
      <c r="BA35" s="242"/>
      <c r="BB35" s="242"/>
      <c r="BC35" s="242"/>
      <c r="BD35" s="242"/>
      <c r="BE35" s="242"/>
      <c r="BF35" s="242"/>
      <c r="BG35" s="242"/>
      <c r="BH35" s="242"/>
      <c r="BI35" s="242"/>
      <c r="BJ35" s="242"/>
      <c r="BK35" s="242"/>
      <c r="BL35" s="242"/>
      <c r="BM35" s="242"/>
      <c r="BN35" s="242"/>
      <c r="BO35" s="242"/>
      <c r="BP35" s="242"/>
      <c r="BQ35" s="242"/>
      <c r="BR35" s="242"/>
      <c r="BS35" s="242"/>
      <c r="BT35" s="242"/>
      <c r="BU35" s="242"/>
      <c r="BV35" s="242"/>
      <c r="BW35" s="242"/>
      <c r="BX35" s="242"/>
      <c r="BY35" s="242"/>
      <c r="BZ35" s="242"/>
      <c r="CA35" s="242"/>
      <c r="CB35" s="242"/>
      <c r="CC35" s="242"/>
      <c r="CD35" s="242"/>
      <c r="CE35" s="242"/>
      <c r="CF35" s="242"/>
      <c r="CG35" s="242"/>
      <c r="CH35" s="242"/>
      <c r="CI35" s="242"/>
      <c r="CJ35" s="242"/>
      <c r="CK35" s="242"/>
      <c r="CL35" s="242"/>
      <c r="CM35" s="242"/>
      <c r="CN35" s="242"/>
      <c r="CO35" s="242"/>
      <c r="CP35" s="242"/>
      <c r="CQ35" s="242"/>
      <c r="CR35" s="242"/>
      <c r="CS35" s="242"/>
      <c r="CT35" s="242"/>
      <c r="CU35" s="242"/>
      <c r="CV35" s="242"/>
      <c r="CW35" s="242"/>
      <c r="CX35" s="242"/>
      <c r="CY35" s="242"/>
    </row>
    <row r="36">
      <c r="A36" s="324"/>
      <c r="B36" s="330"/>
      <c r="C36" s="313"/>
      <c r="D36" s="274"/>
      <c r="E36" s="239"/>
      <c r="F36" s="288"/>
      <c r="G36" s="267"/>
      <c r="H36" s="268"/>
      <c r="I36" s="269"/>
      <c r="J36" s="243"/>
      <c r="K36" s="242"/>
      <c r="L36" s="242"/>
      <c r="M36" s="242"/>
      <c r="N36" s="242"/>
      <c r="O36" s="242"/>
      <c r="P36" s="242"/>
      <c r="Q36" s="242"/>
      <c r="R36" s="242"/>
      <c r="S36" s="242"/>
      <c r="T36" s="242"/>
      <c r="U36" s="242"/>
      <c r="V36" s="242"/>
      <c r="W36" s="242"/>
      <c r="X36" s="242"/>
      <c r="Y36" s="242"/>
      <c r="Z36" s="242"/>
      <c r="AA36" s="242"/>
      <c r="AB36" s="242"/>
      <c r="AC36" s="242"/>
      <c r="AD36" s="242"/>
      <c r="AE36" s="242"/>
      <c r="AF36" s="242"/>
      <c r="AG36" s="242"/>
      <c r="AH36" s="242"/>
      <c r="AI36" s="242"/>
      <c r="AJ36" s="242"/>
      <c r="AK36" s="242"/>
      <c r="AL36" s="242"/>
      <c r="AM36" s="242"/>
      <c r="AN36" s="242"/>
      <c r="AO36" s="242"/>
      <c r="AP36" s="242"/>
      <c r="AQ36" s="242"/>
      <c r="AR36" s="242"/>
      <c r="AS36" s="242"/>
      <c r="AT36" s="242"/>
      <c r="AU36" s="242"/>
      <c r="AV36" s="242"/>
      <c r="AW36" s="242"/>
      <c r="AX36" s="242"/>
      <c r="AY36" s="242"/>
      <c r="AZ36" s="242"/>
      <c r="BA36" s="242"/>
      <c r="BB36" s="242"/>
      <c r="BC36" s="242"/>
      <c r="BD36" s="242"/>
      <c r="BE36" s="242"/>
      <c r="BF36" s="242"/>
      <c r="BG36" s="242"/>
      <c r="BH36" s="242"/>
      <c r="BI36" s="242"/>
      <c r="BJ36" s="242"/>
      <c r="BK36" s="242"/>
      <c r="BL36" s="242"/>
      <c r="BM36" s="242"/>
      <c r="BN36" s="242"/>
      <c r="BO36" s="242"/>
      <c r="BP36" s="242"/>
      <c r="BQ36" s="242"/>
      <c r="BR36" s="242"/>
      <c r="BS36" s="242"/>
      <c r="BT36" s="242"/>
      <c r="BU36" s="242"/>
      <c r="BV36" s="242"/>
      <c r="BW36" s="242"/>
      <c r="BX36" s="242"/>
      <c r="BY36" s="242"/>
      <c r="BZ36" s="242"/>
      <c r="CA36" s="242"/>
      <c r="CB36" s="242"/>
      <c r="CC36" s="242"/>
      <c r="CD36" s="242"/>
      <c r="CE36" s="242"/>
      <c r="CF36" s="242"/>
      <c r="CG36" s="242"/>
      <c r="CH36" s="242"/>
      <c r="CI36" s="242"/>
      <c r="CJ36" s="242"/>
      <c r="CK36" s="242"/>
      <c r="CL36" s="242"/>
      <c r="CM36" s="242"/>
      <c r="CN36" s="242"/>
      <c r="CO36" s="242"/>
      <c r="CP36" s="242"/>
      <c r="CQ36" s="242"/>
      <c r="CR36" s="242"/>
      <c r="CS36" s="242"/>
      <c r="CT36" s="242"/>
      <c r="CU36" s="242"/>
      <c r="CV36" s="242"/>
      <c r="CW36" s="242"/>
      <c r="CX36" s="242"/>
      <c r="CY36" s="242"/>
    </row>
    <row r="37">
      <c r="A37" s="334"/>
      <c r="B37" s="334"/>
      <c r="C37" s="336"/>
      <c r="D37" s="274"/>
      <c r="E37" s="239"/>
      <c r="F37" s="288"/>
      <c r="G37" s="270"/>
      <c r="H37" s="337"/>
      <c r="I37" s="338"/>
      <c r="J37" s="339"/>
      <c r="K37" s="242"/>
      <c r="L37" s="242"/>
      <c r="M37" s="242"/>
      <c r="N37" s="242"/>
      <c r="O37" s="242"/>
      <c r="P37" s="242"/>
      <c r="Q37" s="242"/>
      <c r="R37" s="242"/>
      <c r="S37" s="242"/>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row>
    <row r="38">
      <c r="A38" s="340"/>
      <c r="B38" s="341"/>
      <c r="C38" s="313"/>
      <c r="D38" s="274"/>
      <c r="E38" s="239"/>
      <c r="F38" s="288"/>
      <c r="G38" s="267"/>
      <c r="H38" s="268"/>
      <c r="I38" s="269"/>
      <c r="J38" s="243"/>
      <c r="K38" s="242"/>
      <c r="L38" s="242"/>
      <c r="M38" s="242"/>
      <c r="N38" s="242"/>
      <c r="O38" s="242"/>
      <c r="P38" s="242"/>
      <c r="Q38" s="242"/>
      <c r="R38" s="242"/>
      <c r="S38" s="242"/>
      <c r="T38" s="242"/>
      <c r="U38" s="242"/>
      <c r="V38" s="242"/>
      <c r="W38" s="242"/>
      <c r="X38" s="242"/>
      <c r="Y38" s="242"/>
      <c r="Z38" s="242"/>
      <c r="AA38" s="242"/>
      <c r="AB38" s="242"/>
      <c r="AC38" s="242"/>
      <c r="AD38" s="242"/>
      <c r="AE38" s="242"/>
      <c r="AF38" s="242"/>
      <c r="AG38" s="242"/>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242"/>
      <c r="BJ38" s="242"/>
      <c r="BK38" s="242"/>
      <c r="BL38" s="242"/>
      <c r="BM38" s="242"/>
      <c r="BN38" s="242"/>
      <c r="BO38" s="242"/>
      <c r="BP38" s="242"/>
      <c r="BQ38" s="242"/>
      <c r="BR38" s="242"/>
      <c r="BS38" s="242"/>
      <c r="BT38" s="242"/>
      <c r="BU38" s="242"/>
      <c r="BV38" s="242"/>
      <c r="BW38" s="242"/>
      <c r="BX38" s="242"/>
      <c r="BY38" s="242"/>
      <c r="BZ38" s="242"/>
      <c r="CA38" s="242"/>
      <c r="CB38" s="242"/>
      <c r="CC38" s="242"/>
      <c r="CD38" s="242"/>
      <c r="CE38" s="242"/>
      <c r="CF38" s="242"/>
      <c r="CG38" s="242"/>
      <c r="CH38" s="242"/>
      <c r="CI38" s="242"/>
      <c r="CJ38" s="242"/>
      <c r="CK38" s="242"/>
      <c r="CL38" s="242"/>
      <c r="CM38" s="242"/>
      <c r="CN38" s="242"/>
      <c r="CO38" s="242"/>
      <c r="CP38" s="242"/>
      <c r="CQ38" s="242"/>
      <c r="CR38" s="242"/>
      <c r="CS38" s="242"/>
      <c r="CT38" s="242"/>
      <c r="CU38" s="242"/>
      <c r="CV38" s="242"/>
      <c r="CW38" s="242"/>
      <c r="CX38" s="242"/>
      <c r="CY38" s="242"/>
    </row>
    <row r="39">
      <c r="A39" s="343"/>
      <c r="B39" s="341"/>
      <c r="C39" s="313"/>
      <c r="D39" s="274"/>
      <c r="E39" s="239"/>
      <c r="F39" s="288"/>
      <c r="G39" s="267"/>
      <c r="H39" s="268"/>
      <c r="I39" s="269"/>
      <c r="J39" s="243"/>
      <c r="K39" s="242"/>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2"/>
      <c r="AI39" s="242"/>
      <c r="AJ39" s="242"/>
      <c r="AK39" s="242"/>
      <c r="AL39" s="242"/>
      <c r="AM39" s="242"/>
      <c r="AN39" s="242"/>
      <c r="AO39" s="242"/>
      <c r="AP39" s="242"/>
      <c r="AQ39" s="242"/>
      <c r="AR39" s="242"/>
      <c r="AS39" s="242"/>
      <c r="AT39" s="242"/>
      <c r="AU39" s="242"/>
      <c r="AV39" s="242"/>
      <c r="AW39" s="242"/>
      <c r="AX39" s="242"/>
      <c r="AY39" s="242"/>
      <c r="AZ39" s="242"/>
      <c r="BA39" s="242"/>
      <c r="BB39" s="242"/>
      <c r="BC39" s="242"/>
      <c r="BD39" s="242"/>
      <c r="BE39" s="242"/>
      <c r="BF39" s="242"/>
      <c r="BG39" s="242"/>
      <c r="BH39" s="242"/>
      <c r="BI39" s="242"/>
      <c r="BJ39" s="242"/>
      <c r="BK39" s="242"/>
      <c r="BL39" s="242"/>
      <c r="BM39" s="242"/>
      <c r="BN39" s="242"/>
      <c r="BO39" s="242"/>
      <c r="BP39" s="242"/>
      <c r="BQ39" s="242"/>
      <c r="BR39" s="242"/>
      <c r="BS39" s="242"/>
      <c r="BT39" s="242"/>
      <c r="BU39" s="242"/>
      <c r="BV39" s="242"/>
      <c r="BW39" s="242"/>
      <c r="BX39" s="242"/>
      <c r="BY39" s="242"/>
      <c r="BZ39" s="242"/>
      <c r="CA39" s="242"/>
      <c r="CB39" s="242"/>
      <c r="CC39" s="242"/>
      <c r="CD39" s="242"/>
      <c r="CE39" s="242"/>
      <c r="CF39" s="242"/>
      <c r="CG39" s="242"/>
      <c r="CH39" s="242"/>
      <c r="CI39" s="242"/>
      <c r="CJ39" s="242"/>
      <c r="CK39" s="242"/>
      <c r="CL39" s="242"/>
      <c r="CM39" s="242"/>
      <c r="CN39" s="242"/>
      <c r="CO39" s="242"/>
      <c r="CP39" s="242"/>
      <c r="CQ39" s="242"/>
      <c r="CR39" s="242"/>
      <c r="CS39" s="242"/>
      <c r="CT39" s="242"/>
      <c r="CU39" s="242"/>
      <c r="CV39" s="242"/>
      <c r="CW39" s="242"/>
      <c r="CX39" s="242"/>
      <c r="CY39" s="242"/>
    </row>
    <row r="40">
      <c r="A40" s="345"/>
      <c r="B40" s="341"/>
      <c r="C40" s="313"/>
      <c r="D40" s="274"/>
      <c r="E40" s="239"/>
      <c r="F40" s="288"/>
      <c r="G40" s="267"/>
      <c r="H40" s="268"/>
      <c r="I40" s="269"/>
      <c r="J40" s="243"/>
      <c r="K40" s="242"/>
      <c r="L40" s="242"/>
      <c r="M40" s="242"/>
      <c r="N40" s="242"/>
      <c r="O40" s="242"/>
      <c r="P40" s="242"/>
      <c r="Q40" s="242"/>
      <c r="R40" s="242"/>
      <c r="S40" s="242"/>
      <c r="T40" s="242"/>
      <c r="U40" s="242"/>
      <c r="V40" s="242"/>
      <c r="W40" s="242"/>
      <c r="X40" s="242"/>
      <c r="Y40" s="242"/>
      <c r="Z40" s="242"/>
      <c r="AA40" s="242"/>
      <c r="AB40" s="242"/>
      <c r="AC40" s="242"/>
      <c r="AD40" s="242"/>
      <c r="AE40" s="242"/>
      <c r="AF40" s="242"/>
      <c r="AG40" s="242"/>
      <c r="AH40" s="242"/>
      <c r="AI40" s="242"/>
      <c r="AJ40" s="242"/>
      <c r="AK40" s="242"/>
      <c r="AL40" s="242"/>
      <c r="AM40" s="242"/>
      <c r="AN40" s="242"/>
      <c r="AO40" s="242"/>
      <c r="AP40" s="242"/>
      <c r="AQ40" s="242"/>
      <c r="AR40" s="242"/>
      <c r="AS40" s="242"/>
      <c r="AT40" s="242"/>
      <c r="AU40" s="242"/>
      <c r="AV40" s="242"/>
      <c r="AW40" s="242"/>
      <c r="AX40" s="242"/>
      <c r="AY40" s="242"/>
      <c r="AZ40" s="242"/>
      <c r="BA40" s="242"/>
      <c r="BB40" s="242"/>
      <c r="BC40" s="242"/>
      <c r="BD40" s="242"/>
      <c r="BE40" s="242"/>
      <c r="BF40" s="242"/>
      <c r="BG40" s="242"/>
      <c r="BH40" s="242"/>
      <c r="BI40" s="242"/>
      <c r="BJ40" s="242"/>
      <c r="BK40" s="242"/>
      <c r="BL40" s="242"/>
      <c r="BM40" s="242"/>
      <c r="BN40" s="242"/>
      <c r="BO40" s="242"/>
      <c r="BP40" s="242"/>
      <c r="BQ40" s="242"/>
      <c r="BR40" s="242"/>
      <c r="BS40" s="242"/>
      <c r="BT40" s="242"/>
      <c r="BU40" s="242"/>
      <c r="BV40" s="242"/>
      <c r="BW40" s="242"/>
      <c r="BX40" s="242"/>
      <c r="BY40" s="242"/>
      <c r="BZ40" s="242"/>
      <c r="CA40" s="242"/>
      <c r="CB40" s="242"/>
      <c r="CC40" s="242"/>
      <c r="CD40" s="242"/>
      <c r="CE40" s="242"/>
      <c r="CF40" s="242"/>
      <c r="CG40" s="242"/>
      <c r="CH40" s="242"/>
      <c r="CI40" s="242"/>
      <c r="CJ40" s="242"/>
      <c r="CK40" s="242"/>
      <c r="CL40" s="242"/>
      <c r="CM40" s="242"/>
      <c r="CN40" s="242"/>
      <c r="CO40" s="242"/>
      <c r="CP40" s="242"/>
      <c r="CQ40" s="242"/>
      <c r="CR40" s="242"/>
      <c r="CS40" s="242"/>
      <c r="CT40" s="242"/>
      <c r="CU40" s="242"/>
      <c r="CV40" s="242"/>
      <c r="CW40" s="242"/>
      <c r="CX40" s="242"/>
      <c r="CY40" s="242"/>
    </row>
    <row r="41">
      <c r="A41" s="349"/>
      <c r="B41" s="349"/>
      <c r="C41" s="107"/>
      <c r="D41" s="111"/>
      <c r="E41" s="111"/>
      <c r="F41" s="111"/>
      <c r="G41" s="111"/>
      <c r="H41" s="111"/>
      <c r="I41" s="110"/>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354"/>
      <c r="BW41" s="354"/>
      <c r="BX41" s="354"/>
      <c r="BY41" s="354"/>
      <c r="BZ41" s="354"/>
      <c r="CA41" s="354"/>
      <c r="CB41" s="354"/>
      <c r="CC41" s="354"/>
      <c r="CD41" s="354"/>
      <c r="CE41" s="354"/>
      <c r="CF41" s="354"/>
      <c r="CG41" s="354"/>
      <c r="CH41" s="354"/>
      <c r="CI41" s="354"/>
      <c r="CJ41" s="354"/>
      <c r="CK41" s="354"/>
      <c r="CL41" s="354"/>
      <c r="CM41" s="354"/>
      <c r="CN41" s="354"/>
      <c r="CO41" s="354"/>
      <c r="CP41" s="354"/>
      <c r="CQ41" s="354"/>
      <c r="CR41" s="354"/>
      <c r="CS41" s="354"/>
      <c r="CT41" s="354"/>
      <c r="CU41" s="354"/>
      <c r="CV41" s="354"/>
      <c r="CW41" s="354"/>
      <c r="CX41" s="354"/>
      <c r="CY41" s="354"/>
    </row>
    <row r="42">
      <c r="A42" s="349"/>
      <c r="B42" s="349"/>
      <c r="C42" s="107"/>
      <c r="D42" s="111"/>
      <c r="E42" s="111"/>
      <c r="F42" s="111"/>
      <c r="G42" s="111"/>
      <c r="H42" s="111"/>
      <c r="I42" s="110"/>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354"/>
      <c r="BW42" s="354"/>
      <c r="BX42" s="354"/>
      <c r="BY42" s="354"/>
      <c r="BZ42" s="354"/>
      <c r="CA42" s="354"/>
      <c r="CB42" s="354"/>
      <c r="CC42" s="354"/>
      <c r="CD42" s="354"/>
      <c r="CE42" s="354"/>
      <c r="CF42" s="354"/>
      <c r="CG42" s="354"/>
      <c r="CH42" s="354"/>
      <c r="CI42" s="354"/>
      <c r="CJ42" s="354"/>
      <c r="CK42" s="354"/>
      <c r="CL42" s="354"/>
      <c r="CM42" s="354"/>
      <c r="CN42" s="354"/>
      <c r="CO42" s="354"/>
      <c r="CP42" s="354"/>
      <c r="CQ42" s="354"/>
      <c r="CR42" s="354"/>
      <c r="CS42" s="354"/>
      <c r="CT42" s="354"/>
      <c r="CU42" s="354"/>
      <c r="CV42" s="354"/>
      <c r="CW42" s="354"/>
      <c r="CX42" s="354"/>
      <c r="CY42" s="354"/>
    </row>
    <row r="43">
      <c r="A43" s="349"/>
      <c r="B43" s="349"/>
      <c r="C43" s="107"/>
      <c r="D43" s="111"/>
      <c r="E43" s="111"/>
      <c r="F43" s="111"/>
      <c r="G43" s="111"/>
      <c r="H43" s="111"/>
      <c r="I43" s="110"/>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354"/>
      <c r="BW43" s="354"/>
      <c r="BX43" s="354"/>
      <c r="BY43" s="354"/>
      <c r="BZ43" s="354"/>
      <c r="CA43" s="354"/>
      <c r="CB43" s="354"/>
      <c r="CC43" s="354"/>
      <c r="CD43" s="354"/>
      <c r="CE43" s="354"/>
      <c r="CF43" s="354"/>
      <c r="CG43" s="354"/>
      <c r="CH43" s="354"/>
      <c r="CI43" s="354"/>
      <c r="CJ43" s="354"/>
      <c r="CK43" s="354"/>
      <c r="CL43" s="354"/>
      <c r="CM43" s="354"/>
      <c r="CN43" s="354"/>
      <c r="CO43" s="354"/>
      <c r="CP43" s="354"/>
      <c r="CQ43" s="354"/>
      <c r="CR43" s="354"/>
      <c r="CS43" s="354"/>
      <c r="CT43" s="354"/>
      <c r="CU43" s="354"/>
      <c r="CV43" s="354"/>
      <c r="CW43" s="354"/>
      <c r="CX43" s="354"/>
      <c r="CY43" s="354"/>
    </row>
    <row r="44">
      <c r="A44" s="349"/>
      <c r="B44" s="349"/>
      <c r="C44" s="107"/>
      <c r="D44" s="111"/>
      <c r="E44" s="111"/>
      <c r="F44" s="111"/>
      <c r="G44" s="111"/>
      <c r="H44" s="111"/>
      <c r="I44" s="110"/>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354"/>
      <c r="BW44" s="354"/>
      <c r="BX44" s="354"/>
      <c r="BY44" s="354"/>
      <c r="BZ44" s="354"/>
      <c r="CA44" s="354"/>
      <c r="CB44" s="354"/>
      <c r="CC44" s="354"/>
      <c r="CD44" s="354"/>
      <c r="CE44" s="354"/>
      <c r="CF44" s="354"/>
      <c r="CG44" s="354"/>
      <c r="CH44" s="354"/>
      <c r="CI44" s="354"/>
      <c r="CJ44" s="354"/>
      <c r="CK44" s="354"/>
      <c r="CL44" s="354"/>
      <c r="CM44" s="354"/>
      <c r="CN44" s="354"/>
      <c r="CO44" s="354"/>
      <c r="CP44" s="354"/>
      <c r="CQ44" s="354"/>
      <c r="CR44" s="354"/>
      <c r="CS44" s="354"/>
      <c r="CT44" s="354"/>
      <c r="CU44" s="354"/>
      <c r="CV44" s="354"/>
      <c r="CW44" s="354"/>
      <c r="CX44" s="354"/>
      <c r="CY44" s="354"/>
    </row>
    <row r="45">
      <c r="A45" s="349"/>
      <c r="B45" s="349"/>
      <c r="C45" s="107"/>
      <c r="D45" s="111"/>
      <c r="E45" s="111"/>
      <c r="F45" s="111"/>
      <c r="G45" s="111"/>
      <c r="H45" s="111"/>
      <c r="I45" s="110"/>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354"/>
      <c r="BW45" s="354"/>
      <c r="BX45" s="354"/>
      <c r="BY45" s="354"/>
      <c r="BZ45" s="354"/>
      <c r="CA45" s="354"/>
      <c r="CB45" s="354"/>
      <c r="CC45" s="354"/>
      <c r="CD45" s="354"/>
      <c r="CE45" s="354"/>
      <c r="CF45" s="354"/>
      <c r="CG45" s="354"/>
      <c r="CH45" s="354"/>
      <c r="CI45" s="354"/>
      <c r="CJ45" s="354"/>
      <c r="CK45" s="354"/>
      <c r="CL45" s="354"/>
      <c r="CM45" s="354"/>
      <c r="CN45" s="354"/>
      <c r="CO45" s="354"/>
      <c r="CP45" s="354"/>
      <c r="CQ45" s="354"/>
      <c r="CR45" s="354"/>
      <c r="CS45" s="354"/>
      <c r="CT45" s="354"/>
      <c r="CU45" s="354"/>
      <c r="CV45" s="354"/>
      <c r="CW45" s="354"/>
      <c r="CX45" s="354"/>
      <c r="CY45" s="354"/>
    </row>
  </sheetData>
  <customSheetViews>
    <customSheetView guid="{AD1FC08A-126A-47F9-AFE1-A109C2AA0699}" filter="1" showAutoFilter="1">
      <autoFilter ref="$C$6:$C$45">
        <filterColumn colId="0">
          <filters/>
        </filterColumn>
      </autoFilter>
    </customSheetView>
    <customSheetView guid="{402F93E8-2940-4EC7-9ED6-390B4858E4F9}" filter="1" showAutoFilter="1">
      <autoFilter ref="$C$6:$C$45"/>
    </customSheetView>
    <customSheetView guid="{642FE709-EA32-4BE0-8C5A-7F5ABD26F792}" filter="1" showAutoFilter="1">
      <autoFilter ref="$C$6:$C$45">
        <filterColumn colId="0">
          <filters/>
        </filterColumn>
      </autoFilter>
    </customSheetView>
    <customSheetView guid="{39A01C87-4386-4D86-A6FD-A24592FD85E2}" filter="1" showAutoFilter="1">
      <autoFilter ref="$C$6:$C$45">
        <filterColumn colId="0">
          <filters/>
        </filterColumn>
      </autoFilter>
    </customSheetView>
    <customSheetView guid="{B1FC7DAC-4864-4F9E-8234-F148D9894BF9}" filter="1" showAutoFilter="1">
      <autoFilter ref="$C$6:$C$45">
        <filterColumn colId="0">
          <filters/>
        </filterColumn>
      </autoFilter>
    </customSheetView>
    <customSheetView guid="{AAFA9614-E95D-4D80-96B6-67B33CFD72A0}" filter="1" showAutoFilter="1">
      <autoFilter ref="$I$6:$I$45">
        <filterColumn colId="0">
          <filters/>
        </filterColumn>
      </autoFilter>
    </customSheetView>
  </customSheetViews>
  <mergeCells count="100">
    <mergeCell ref="BA9:BA11"/>
    <mergeCell ref="BB9:BB11"/>
    <mergeCell ref="BC9:BC11"/>
    <mergeCell ref="BD9:BD11"/>
    <mergeCell ref="BE9:BE11"/>
    <mergeCell ref="BF9:BF11"/>
    <mergeCell ref="BG9:BG11"/>
    <mergeCell ref="BH9:BH11"/>
    <mergeCell ref="BI9:BI11"/>
    <mergeCell ref="BJ9:BJ11"/>
    <mergeCell ref="BK9:BK11"/>
    <mergeCell ref="BL9:BL11"/>
    <mergeCell ref="BM9:BM11"/>
    <mergeCell ref="BN9:BN11"/>
    <mergeCell ref="BO9:BO11"/>
    <mergeCell ref="BP9:BP11"/>
    <mergeCell ref="BQ9:BQ11"/>
    <mergeCell ref="BR9:BR11"/>
    <mergeCell ref="BS9:BS11"/>
    <mergeCell ref="BT9:BT11"/>
    <mergeCell ref="BU9:BU11"/>
    <mergeCell ref="BV9:BV11"/>
    <mergeCell ref="BW9:BW11"/>
    <mergeCell ref="BX9:BX11"/>
    <mergeCell ref="BY9:BY11"/>
    <mergeCell ref="BZ9:BZ11"/>
    <mergeCell ref="CA9:CA11"/>
    <mergeCell ref="CB9:CB11"/>
    <mergeCell ref="CC9:CC11"/>
    <mergeCell ref="CD9:CD11"/>
    <mergeCell ref="CE9:CE11"/>
    <mergeCell ref="CF9:CF11"/>
    <mergeCell ref="CG9:CG11"/>
    <mergeCell ref="CH9:CH11"/>
    <mergeCell ref="CI9:CI11"/>
    <mergeCell ref="CJ9:CJ11"/>
    <mergeCell ref="CK9:CK11"/>
    <mergeCell ref="CL9:CL11"/>
    <mergeCell ref="CM9:CM11"/>
    <mergeCell ref="CN9:CN11"/>
    <mergeCell ref="CO9:CO11"/>
    <mergeCell ref="CP9:CP11"/>
    <mergeCell ref="CX9:CX11"/>
    <mergeCell ref="CY9:CY11"/>
    <mergeCell ref="CQ9:CQ11"/>
    <mergeCell ref="CR9:CR11"/>
    <mergeCell ref="CS9:CS11"/>
    <mergeCell ref="CT9:CT11"/>
    <mergeCell ref="CU9:CU11"/>
    <mergeCell ref="CV9:CV11"/>
    <mergeCell ref="CW9:CW11"/>
    <mergeCell ref="A1:B3"/>
    <mergeCell ref="C1:Q3"/>
    <mergeCell ref="R1:AG1"/>
    <mergeCell ref="R2:AG2"/>
    <mergeCell ref="R3:AG3"/>
    <mergeCell ref="A4:Q4"/>
    <mergeCell ref="R4:AG4"/>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J9:AJ11"/>
    <mergeCell ref="AK9:AK11"/>
    <mergeCell ref="AL9:AL11"/>
    <mergeCell ref="AM9:AM11"/>
    <mergeCell ref="AN9:AN11"/>
    <mergeCell ref="AO9:AO11"/>
    <mergeCell ref="AP9:AP11"/>
    <mergeCell ref="AQ9:AQ11"/>
    <mergeCell ref="AR9:AR11"/>
    <mergeCell ref="AS9:AS11"/>
    <mergeCell ref="AT9:AT11"/>
    <mergeCell ref="AU9:AU11"/>
    <mergeCell ref="AV9:AV11"/>
    <mergeCell ref="AW9:AW11"/>
    <mergeCell ref="AX9:AX11"/>
    <mergeCell ref="AY9:AY11"/>
    <mergeCell ref="AZ9:AZ11"/>
  </mergeCells>
  <conditionalFormatting sqref="K13:CY13">
    <cfRule type="expression" dxfId="2" priority="1">
      <formula>MOD(K$13,7)=0</formula>
    </cfRule>
  </conditionalFormatting>
  <conditionalFormatting sqref="K13:CY13">
    <cfRule type="expression" dxfId="2" priority="2">
      <formula>MOD(K$13,7)=1</formula>
    </cfRule>
  </conditionalFormatting>
  <conditionalFormatting sqref="K14:CY45">
    <cfRule type="expression" dxfId="3" priority="3">
      <formula>AND(K14&lt;&gt;"",INDIRECT("General!$P$13")=$C14)</formula>
    </cfRule>
  </conditionalFormatting>
  <conditionalFormatting sqref="K14:CY40">
    <cfRule type="expression" dxfId="4" priority="4">
      <formula>AND(K14&lt;&gt;"",INDIRECT("General!$P$11")=$C14)</formula>
    </cfRule>
  </conditionalFormatting>
  <conditionalFormatting sqref="K14:CY40">
    <cfRule type="expression" dxfId="5" priority="5">
      <formula>AND(K14&lt;&gt;"",INDIRECT("General!$P$8")=$C14)</formula>
    </cfRule>
  </conditionalFormatting>
  <conditionalFormatting sqref="K14:CY40">
    <cfRule type="expression" dxfId="6" priority="6">
      <formula>AND(K14&lt;&gt;"",INDIRECT("General!$P$9")=$C14)</formula>
    </cfRule>
  </conditionalFormatting>
  <conditionalFormatting sqref="K14:CY40">
    <cfRule type="expression" dxfId="7" priority="7">
      <formula>AND(K14&lt;&gt;"",INDIRECT("General!$P$10")=$C14)</formula>
    </cfRule>
  </conditionalFormatting>
  <conditionalFormatting sqref="I14:I40">
    <cfRule type="expression" dxfId="8" priority="8">
      <formula>INDIRECT("General!$C$8")=I14</formula>
    </cfRule>
  </conditionalFormatting>
  <conditionalFormatting sqref="I14:I40">
    <cfRule type="expression" dxfId="9" priority="9">
      <formula>INDIRECT("General!$C$9")=I14</formula>
    </cfRule>
  </conditionalFormatting>
  <conditionalFormatting sqref="I14:I40">
    <cfRule type="expression" dxfId="10" priority="10">
      <formula>INDIRECT("General!$C$10")=I14</formula>
    </cfRule>
  </conditionalFormatting>
  <conditionalFormatting sqref="I14:I40">
    <cfRule type="expression" dxfId="11" priority="11">
      <formula>INDIRECT("General!$C$12")=I14</formula>
    </cfRule>
  </conditionalFormatting>
  <conditionalFormatting sqref="K14:CY40">
    <cfRule type="expression" dxfId="12" priority="12">
      <formula>AND(K14&lt;&gt;"",INDIRECT("General!$P$12")=$C14)</formula>
    </cfRule>
  </conditionalFormatting>
  <conditionalFormatting sqref="K12:CY40">
    <cfRule type="expression" dxfId="13" priority="13">
      <formula>K$13=TODAY()</formula>
    </cfRule>
  </conditionalFormatting>
  <conditionalFormatting sqref="K14:CY40">
    <cfRule type="expression" dxfId="14" priority="14">
      <formula>MOD(K$13,7)=1</formula>
    </cfRule>
  </conditionalFormatting>
  <conditionalFormatting sqref="K14:CY40">
    <cfRule type="expression" dxfId="14" priority="15">
      <formula>MOD(K$13,7)=0</formula>
    </cfRule>
  </conditionalFormatting>
  <conditionalFormatting sqref="K12:CY12">
    <cfRule type="notContainsBlanks" dxfId="15" priority="16">
      <formula>LEN(TRIM(K12))&gt;0</formula>
    </cfRule>
  </conditionalFormatting>
  <conditionalFormatting sqref="C14:C40">
    <cfRule type="expression" dxfId="5" priority="17">
      <formula>INDIRECT("General!$P$8")=C14</formula>
    </cfRule>
  </conditionalFormatting>
  <conditionalFormatting sqref="C14:C40">
    <cfRule type="expression" dxfId="6" priority="18">
      <formula>INDIRECT("General!$P$9")=C14</formula>
    </cfRule>
  </conditionalFormatting>
  <conditionalFormatting sqref="C14:C40">
    <cfRule type="expression" dxfId="16" priority="19">
      <formula>INDIRECT("General!$P$10")=C14</formula>
    </cfRule>
  </conditionalFormatting>
  <conditionalFormatting sqref="C14:C40">
    <cfRule type="expression" dxfId="4" priority="20">
      <formula>INDIRECT("General!$P$11")=C14</formula>
    </cfRule>
  </conditionalFormatting>
  <conditionalFormatting sqref="I14:I40">
    <cfRule type="expression" dxfId="17" priority="21">
      <formula>INDIRECT("General!$C$11")=I14</formula>
    </cfRule>
  </conditionalFormatting>
  <conditionalFormatting sqref="C14:C40">
    <cfRule type="expression" dxfId="3" priority="22">
      <formula>INDIRECT("General!$P$13")=C14</formula>
    </cfRule>
  </conditionalFormatting>
  <conditionalFormatting sqref="C14:C40">
    <cfRule type="expression" dxfId="12" priority="23">
      <formula>INDIRECT("General!$P$12")=C14</formula>
    </cfRule>
  </conditionalFormatting>
  <conditionalFormatting sqref="I14:I40">
    <cfRule type="expression" dxfId="18" priority="24">
      <formula>INDIRECT("General!$C$14")=I14</formula>
    </cfRule>
  </conditionalFormatting>
  <conditionalFormatting sqref="I14:I40">
    <cfRule type="expression" dxfId="19" priority="25">
      <formula>INDIRECT("General!$C$16")=I14</formula>
    </cfRule>
  </conditionalFormatting>
  <conditionalFormatting sqref="I12">
    <cfRule type="notContainsBlanks" dxfId="1" priority="26">
      <formula>LEN(TRIM(I12))&gt;0</formula>
    </cfRule>
  </conditionalFormatting>
  <conditionalFormatting sqref="L14">
    <cfRule type="notContainsBlanks" dxfId="1" priority="27">
      <formula>LEN(TRIM(L14))&gt;0</formula>
    </cfRule>
  </conditionalFormatting>
  <conditionalFormatting sqref="K13:CY40">
    <cfRule type="expression" dxfId="14" priority="28">
      <formula>COUNTIF(INDIRECT("General!U8:U20"),K$13)&gt;0</formula>
    </cfRule>
  </conditionalFormatting>
  <dataValidations>
    <dataValidation type="list" allowBlank="1" sqref="I32">
      <formula1>General!$C$13:$C$23</formula1>
    </dataValidation>
    <dataValidation type="list" allowBlank="1" sqref="I30:I31">
      <formula1>General!$C$13:$C$23</formula1>
    </dataValidation>
    <dataValidation type="list" allowBlank="1" sqref="C14:C40">
      <formula1>General!$P$13:$P$23</formula1>
    </dataValidation>
    <dataValidation type="list" allowBlank="1" sqref="G14:G22 G26:G29 G31:G40">
      <formula1>General!$H$13:$H$44</formula1>
    </dataValidation>
    <dataValidation type="custom" allowBlank="1" showDropDown="1" sqref="D17:D40">
      <formula1>OR(NOT(ISERROR(DATEVALUE(D17))), AND(ISNUMBER(D17), LEFT(CELL("format", D17))="D"))</formula1>
    </dataValidation>
    <dataValidation type="list" allowBlank="1" sqref="I19">
      <formula1>General!$C$13:$C$23</formula1>
    </dataValidation>
    <dataValidation type="list" allowBlank="1" sqref="I14:I18 I20:I29 I33:I40">
      <formula1>General!$C$13:$C$23</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outlineLevelRow="1"/>
  <cols>
    <col customWidth="1" min="1" max="1" width="3.5"/>
    <col customWidth="1" min="2" max="2" width="18.5"/>
    <col customWidth="1" min="3" max="3" width="9.38"/>
    <col customWidth="1" min="4" max="5" width="23.38"/>
    <col customWidth="1" min="6" max="7" width="29.63"/>
    <col customWidth="1" min="8" max="9" width="36.25"/>
    <col customWidth="1" min="10" max="11" width="7.0"/>
    <col customWidth="1" min="12" max="12" width="6.75"/>
    <col customWidth="1" min="13" max="14" width="6.38"/>
    <col customWidth="1" min="15" max="15" width="6.88"/>
    <col customWidth="1" min="16" max="16" width="5.25"/>
    <col customWidth="1" min="17" max="17" width="11.25"/>
    <col customWidth="1" min="18" max="18" width="9.25"/>
  </cols>
  <sheetData>
    <row r="1">
      <c r="A1" s="1"/>
      <c r="B1" s="2" t="s">
        <v>0</v>
      </c>
      <c r="C1" s="3"/>
      <c r="D1" s="3"/>
      <c r="E1" s="3"/>
      <c r="F1" s="4"/>
      <c r="G1" s="4"/>
      <c r="H1" s="4"/>
      <c r="I1" s="4"/>
      <c r="J1" s="4"/>
      <c r="K1" s="4"/>
      <c r="L1" s="4"/>
      <c r="M1" s="4"/>
      <c r="N1" s="4"/>
      <c r="O1" s="4"/>
      <c r="P1" s="4"/>
      <c r="Q1" s="4"/>
      <c r="R1" s="5"/>
    </row>
    <row r="2" outlineLevel="1">
      <c r="A2" s="1"/>
      <c r="B2" s="6" t="s">
        <v>1</v>
      </c>
      <c r="C2" s="4"/>
      <c r="D2" s="4"/>
      <c r="E2" s="4"/>
      <c r="F2" s="4"/>
      <c r="G2" s="4"/>
      <c r="H2" s="4"/>
      <c r="I2" s="4"/>
      <c r="J2" s="7" t="s">
        <v>2</v>
      </c>
      <c r="K2" s="5"/>
      <c r="L2" s="16" t="str">
        <f>MIN(#REF!)</f>
        <v>#REF!</v>
      </c>
      <c r="M2" s="5"/>
      <c r="N2" s="5"/>
      <c r="O2" s="4"/>
      <c r="P2" s="4"/>
      <c r="Q2" s="4"/>
      <c r="R2" s="20"/>
    </row>
    <row r="3" outlineLevel="1">
      <c r="A3" s="22"/>
      <c r="B3" s="6" t="s">
        <v>6</v>
      </c>
      <c r="C3" s="24"/>
      <c r="D3" s="24"/>
      <c r="E3" s="24"/>
      <c r="F3" s="4"/>
      <c r="G3" s="4"/>
      <c r="H3" s="4"/>
      <c r="I3" s="4"/>
      <c r="J3" s="28" t="s">
        <v>8</v>
      </c>
      <c r="K3" s="5"/>
      <c r="L3" s="16" t="str">
        <f>MAX(#REF!)</f>
        <v>#REF!</v>
      </c>
      <c r="M3" s="5"/>
      <c r="N3" s="5"/>
      <c r="O3" s="4"/>
      <c r="P3" s="4"/>
      <c r="Q3" s="4"/>
      <c r="R3" s="5"/>
    </row>
    <row r="4" outlineLevel="1">
      <c r="A4" s="22"/>
      <c r="B4" s="6" t="s">
        <v>11</v>
      </c>
      <c r="C4" s="31"/>
      <c r="D4" s="31"/>
      <c r="E4" s="31"/>
      <c r="F4" s="32"/>
      <c r="G4" s="32"/>
      <c r="H4" s="32"/>
      <c r="I4" s="32"/>
      <c r="J4" s="31" t="s">
        <v>12</v>
      </c>
      <c r="K4" s="5"/>
      <c r="L4" s="31">
        <v>0.3</v>
      </c>
      <c r="M4" s="4"/>
      <c r="N4" s="4"/>
      <c r="O4" s="4"/>
      <c r="P4" s="4"/>
      <c r="Q4" s="4"/>
      <c r="R4" s="5"/>
    </row>
    <row r="5" outlineLevel="1">
      <c r="A5" s="6"/>
      <c r="B5" s="6" t="s">
        <v>13</v>
      </c>
      <c r="C5" s="33"/>
      <c r="D5" s="37">
        <f>SUM(Q16:Q42)</f>
        <v>554</v>
      </c>
      <c r="E5" s="33"/>
      <c r="F5" s="41">
        <f t="shared" ref="F5:F6" si="1">D5/160</f>
        <v>3.4625</v>
      </c>
      <c r="G5" s="41"/>
      <c r="H5" s="31"/>
      <c r="I5" s="31"/>
      <c r="J5" s="31" t="s">
        <v>16</v>
      </c>
      <c r="K5" s="4"/>
      <c r="L5" s="31">
        <v>0.7</v>
      </c>
      <c r="M5" s="4"/>
      <c r="N5" s="4"/>
      <c r="O5" s="4"/>
      <c r="P5" s="4"/>
      <c r="Q5" s="4"/>
      <c r="R5" s="5"/>
    </row>
    <row r="6" outlineLevel="1">
      <c r="A6" s="22"/>
      <c r="B6" s="6" t="s">
        <v>17</v>
      </c>
      <c r="C6" s="33"/>
      <c r="D6" s="37">
        <f>SUM(P16:P42)</f>
        <v>193.9</v>
      </c>
      <c r="E6" s="33"/>
      <c r="F6" s="41">
        <f t="shared" si="1"/>
        <v>1.211875</v>
      </c>
      <c r="G6" s="41"/>
      <c r="H6" s="31"/>
      <c r="I6" s="31"/>
      <c r="J6" s="31" t="s">
        <v>20</v>
      </c>
      <c r="K6" s="4"/>
      <c r="L6" s="31">
        <v>0.8</v>
      </c>
      <c r="M6" s="4"/>
      <c r="N6" s="4"/>
      <c r="O6" s="4"/>
      <c r="P6" s="4"/>
      <c r="Q6" s="4"/>
      <c r="R6" s="5"/>
    </row>
    <row r="7" outlineLevel="1">
      <c r="A7" s="22"/>
      <c r="B7" s="45" t="s">
        <v>21</v>
      </c>
      <c r="C7" s="5"/>
      <c r="D7" s="5"/>
      <c r="E7" s="5"/>
      <c r="F7" s="5"/>
      <c r="G7" s="5"/>
      <c r="H7" s="46"/>
      <c r="I7" s="46"/>
      <c r="J7" s="31"/>
      <c r="K7" s="4"/>
      <c r="L7" s="31"/>
      <c r="M7" s="47"/>
      <c r="N7" s="47"/>
      <c r="O7" s="47"/>
      <c r="P7" s="47"/>
      <c r="Q7" s="47"/>
      <c r="R7" s="5"/>
    </row>
    <row r="8" outlineLevel="1">
      <c r="A8" s="22"/>
      <c r="B8" s="49"/>
      <c r="G8" s="49"/>
      <c r="H8" s="46"/>
      <c r="I8" s="46"/>
      <c r="J8" s="31"/>
      <c r="K8" s="4"/>
      <c r="L8" s="31"/>
      <c r="M8" s="47"/>
      <c r="N8" s="47"/>
      <c r="O8" s="47"/>
      <c r="P8" s="47"/>
      <c r="Q8" s="47"/>
      <c r="R8" s="5"/>
    </row>
    <row r="9" outlineLevel="1">
      <c r="A9" s="22"/>
      <c r="B9" s="51"/>
      <c r="G9" s="51"/>
      <c r="H9" s="46"/>
      <c r="I9" s="46"/>
      <c r="J9" s="31" t="s">
        <v>25</v>
      </c>
      <c r="K9" s="4"/>
      <c r="L9" s="31">
        <v>0.7</v>
      </c>
      <c r="M9" s="47"/>
      <c r="N9" s="47"/>
      <c r="O9" s="47"/>
      <c r="P9" s="47"/>
      <c r="Q9" s="47"/>
      <c r="R9" s="5"/>
    </row>
    <row r="10" outlineLevel="1">
      <c r="A10" s="22"/>
      <c r="B10" s="22"/>
      <c r="C10" s="5"/>
      <c r="D10" s="5"/>
      <c r="E10" s="5"/>
      <c r="F10" s="5"/>
      <c r="G10" s="5"/>
      <c r="H10" s="5"/>
      <c r="I10" s="5"/>
      <c r="J10" s="5"/>
      <c r="K10" s="5"/>
      <c r="L10" s="53" t="s">
        <v>26</v>
      </c>
      <c r="M10" s="47" t="s">
        <v>27</v>
      </c>
      <c r="N10" s="47" t="s">
        <v>27</v>
      </c>
      <c r="O10" s="47" t="s">
        <v>27</v>
      </c>
      <c r="P10" s="47"/>
      <c r="Q10" s="47" t="s">
        <v>27</v>
      </c>
      <c r="R10" s="5"/>
    </row>
    <row r="11">
      <c r="A11" s="55" t="s">
        <v>28</v>
      </c>
      <c r="B11" s="56" t="s">
        <v>29</v>
      </c>
      <c r="C11" s="57" t="s">
        <v>30</v>
      </c>
      <c r="D11" s="57" t="s">
        <v>31</v>
      </c>
      <c r="E11" s="57" t="s">
        <v>32</v>
      </c>
      <c r="F11" s="58" t="s">
        <v>33</v>
      </c>
      <c r="G11" s="58" t="s">
        <v>34</v>
      </c>
      <c r="H11" s="58" t="s">
        <v>35</v>
      </c>
      <c r="I11" s="58"/>
      <c r="J11" s="61" t="str">
        <f>J2</f>
        <v>Start</v>
      </c>
      <c r="K11" s="63" t="str">
        <f>J3</f>
        <v>End</v>
      </c>
      <c r="L11" s="64" t="s">
        <v>36</v>
      </c>
      <c r="M11" s="64" t="s">
        <v>37</v>
      </c>
      <c r="N11" s="64" t="s">
        <v>38</v>
      </c>
      <c r="O11" s="66" t="s">
        <v>39</v>
      </c>
      <c r="P11" s="64" t="s">
        <v>40</v>
      </c>
      <c r="Q11" s="66" t="s">
        <v>41</v>
      </c>
      <c r="R11" s="69" t="s">
        <v>42</v>
      </c>
    </row>
    <row r="12">
      <c r="A12" s="72">
        <v>1.0</v>
      </c>
      <c r="B12" s="74" t="s">
        <v>44</v>
      </c>
      <c r="C12" s="76">
        <v>2.15</v>
      </c>
      <c r="D12" s="78" t="s">
        <v>45</v>
      </c>
      <c r="E12" s="81"/>
      <c r="F12" s="78"/>
      <c r="G12" s="81"/>
      <c r="H12" s="78" t="s">
        <v>46</v>
      </c>
      <c r="I12" s="85"/>
      <c r="J12" s="88"/>
      <c r="K12" s="88"/>
      <c r="L12" s="90">
        <v>60.0</v>
      </c>
      <c r="M12" s="96">
        <f t="shared" ref="M12:M42" si="2">$L12 * 0.7</f>
        <v>42</v>
      </c>
      <c r="N12" s="97">
        <f t="shared" ref="N12:N42" si="3">$L12 * 0.3</f>
        <v>18</v>
      </c>
      <c r="O12" s="97">
        <f t="shared" ref="O12:O42" si="4">L12*$L$6</f>
        <v>48</v>
      </c>
      <c r="P12" s="101">
        <f t="shared" ref="P12:P42" si="5">$L12 * 0.7</f>
        <v>42</v>
      </c>
      <c r="Q12" s="106">
        <f t="shared" ref="Q12:Q42" si="6">SUM($L12:$N12)</f>
        <v>120</v>
      </c>
      <c r="R12" s="108"/>
    </row>
    <row r="13">
      <c r="A13" s="72">
        <v>2.0</v>
      </c>
      <c r="B13" s="74" t="s">
        <v>49</v>
      </c>
      <c r="C13" s="76">
        <v>3.18</v>
      </c>
      <c r="D13" s="78" t="s">
        <v>50</v>
      </c>
      <c r="E13" s="81"/>
      <c r="F13" s="78"/>
      <c r="G13" s="81"/>
      <c r="H13" s="112"/>
      <c r="I13" s="85"/>
      <c r="J13" s="88"/>
      <c r="K13" s="88"/>
      <c r="L13" s="90">
        <v>40.0</v>
      </c>
      <c r="M13" s="96">
        <f t="shared" si="2"/>
        <v>28</v>
      </c>
      <c r="N13" s="97">
        <f t="shared" si="3"/>
        <v>12</v>
      </c>
      <c r="O13" s="97">
        <f t="shared" si="4"/>
        <v>32</v>
      </c>
      <c r="P13" s="101">
        <f t="shared" si="5"/>
        <v>28</v>
      </c>
      <c r="Q13" s="106">
        <f t="shared" si="6"/>
        <v>80</v>
      </c>
      <c r="R13" s="108"/>
    </row>
    <row r="14">
      <c r="A14" s="124">
        <v>3.0</v>
      </c>
      <c r="B14" s="127" t="s">
        <v>53</v>
      </c>
      <c r="C14" s="76">
        <v>4.1</v>
      </c>
      <c r="D14" s="78" t="s">
        <v>54</v>
      </c>
      <c r="E14" s="81"/>
      <c r="F14" s="78"/>
      <c r="G14" s="81"/>
      <c r="H14" s="112"/>
      <c r="I14" s="85"/>
      <c r="J14" s="88"/>
      <c r="K14" s="88"/>
      <c r="L14" s="90">
        <v>16.0</v>
      </c>
      <c r="M14" s="96">
        <f t="shared" si="2"/>
        <v>11.2</v>
      </c>
      <c r="N14" s="97">
        <f t="shared" si="3"/>
        <v>4.8</v>
      </c>
      <c r="O14" s="97">
        <f t="shared" si="4"/>
        <v>12.8</v>
      </c>
      <c r="P14" s="101">
        <f t="shared" si="5"/>
        <v>11.2</v>
      </c>
      <c r="Q14" s="106">
        <f t="shared" si="6"/>
        <v>32</v>
      </c>
      <c r="R14" s="108"/>
    </row>
    <row r="15">
      <c r="A15" s="128"/>
      <c r="B15" s="128"/>
      <c r="C15" s="76">
        <v>4.2</v>
      </c>
      <c r="D15" s="78" t="s">
        <v>56</v>
      </c>
      <c r="E15" s="81"/>
      <c r="F15" s="78"/>
      <c r="G15" s="81"/>
      <c r="H15" s="112"/>
      <c r="I15" s="85"/>
      <c r="J15" s="88"/>
      <c r="K15" s="88"/>
      <c r="L15" s="90">
        <v>8.0</v>
      </c>
      <c r="M15" s="96">
        <f t="shared" si="2"/>
        <v>5.6</v>
      </c>
      <c r="N15" s="97">
        <f t="shared" si="3"/>
        <v>2.4</v>
      </c>
      <c r="O15" s="97">
        <f t="shared" si="4"/>
        <v>6.4</v>
      </c>
      <c r="P15" s="101">
        <f t="shared" si="5"/>
        <v>5.6</v>
      </c>
      <c r="Q15" s="106">
        <f t="shared" si="6"/>
        <v>16</v>
      </c>
      <c r="R15" s="108"/>
    </row>
    <row r="16">
      <c r="A16" s="128"/>
      <c r="B16" s="128"/>
      <c r="C16" s="134">
        <v>4.3</v>
      </c>
      <c r="D16" s="135" t="s">
        <v>59</v>
      </c>
      <c r="E16" s="138"/>
      <c r="F16" s="139" t="s">
        <v>60</v>
      </c>
      <c r="G16" s="140"/>
      <c r="H16" s="112"/>
      <c r="I16" s="85"/>
      <c r="J16" s="88"/>
      <c r="K16" s="88"/>
      <c r="L16" s="90">
        <v>8.0</v>
      </c>
      <c r="M16" s="96">
        <f t="shared" si="2"/>
        <v>5.6</v>
      </c>
      <c r="N16" s="97">
        <f t="shared" si="3"/>
        <v>2.4</v>
      </c>
      <c r="O16" s="97">
        <f t="shared" si="4"/>
        <v>6.4</v>
      </c>
      <c r="P16" s="101">
        <f t="shared" si="5"/>
        <v>5.6</v>
      </c>
      <c r="Q16" s="106">
        <f t="shared" si="6"/>
        <v>16</v>
      </c>
      <c r="R16" s="108">
        <f>sum(Q16)</f>
        <v>16</v>
      </c>
    </row>
    <row r="17">
      <c r="A17" s="128"/>
      <c r="B17" s="128"/>
      <c r="C17" s="128"/>
      <c r="D17" s="128"/>
      <c r="E17" s="128"/>
      <c r="F17" s="139" t="s">
        <v>62</v>
      </c>
      <c r="G17" s="140"/>
      <c r="H17" s="112"/>
      <c r="I17" s="85"/>
      <c r="J17" s="88"/>
      <c r="K17" s="88"/>
      <c r="L17" s="90">
        <v>4.0</v>
      </c>
      <c r="M17" s="96">
        <f t="shared" si="2"/>
        <v>2.8</v>
      </c>
      <c r="N17" s="97">
        <f t="shared" si="3"/>
        <v>1.2</v>
      </c>
      <c r="O17" s="97">
        <f t="shared" si="4"/>
        <v>3.2</v>
      </c>
      <c r="P17" s="101">
        <f t="shared" si="5"/>
        <v>2.8</v>
      </c>
      <c r="Q17" s="106">
        <f t="shared" si="6"/>
        <v>8</v>
      </c>
      <c r="R17" s="108"/>
    </row>
    <row r="18">
      <c r="A18" s="128"/>
      <c r="B18" s="128"/>
      <c r="C18" s="128"/>
      <c r="D18" s="128"/>
      <c r="E18" s="128"/>
      <c r="F18" s="139" t="s">
        <v>63</v>
      </c>
      <c r="G18" s="140"/>
      <c r="H18" s="112"/>
      <c r="I18" s="85"/>
      <c r="J18" s="88"/>
      <c r="K18" s="88"/>
      <c r="L18" s="90">
        <v>4.0</v>
      </c>
      <c r="M18" s="96">
        <f t="shared" si="2"/>
        <v>2.8</v>
      </c>
      <c r="N18" s="97">
        <f t="shared" si="3"/>
        <v>1.2</v>
      </c>
      <c r="O18" s="97">
        <f t="shared" si="4"/>
        <v>3.2</v>
      </c>
      <c r="P18" s="101">
        <f t="shared" si="5"/>
        <v>2.8</v>
      </c>
      <c r="Q18" s="106">
        <f t="shared" si="6"/>
        <v>8</v>
      </c>
      <c r="R18" s="108"/>
    </row>
    <row r="19">
      <c r="A19" s="128"/>
      <c r="B19" s="128"/>
      <c r="C19" s="128"/>
      <c r="D19" s="148"/>
      <c r="E19" s="148"/>
      <c r="F19" s="139" t="s">
        <v>64</v>
      </c>
      <c r="G19" s="140"/>
      <c r="H19" s="112"/>
      <c r="I19" s="85"/>
      <c r="J19" s="88"/>
      <c r="K19" s="88"/>
      <c r="L19" s="90">
        <v>4.0</v>
      </c>
      <c r="M19" s="96">
        <f t="shared" si="2"/>
        <v>2.8</v>
      </c>
      <c r="N19" s="97">
        <f t="shared" si="3"/>
        <v>1.2</v>
      </c>
      <c r="O19" s="97">
        <f t="shared" si="4"/>
        <v>3.2</v>
      </c>
      <c r="P19" s="101">
        <f t="shared" si="5"/>
        <v>2.8</v>
      </c>
      <c r="Q19" s="106">
        <f t="shared" si="6"/>
        <v>8</v>
      </c>
      <c r="R19" s="108"/>
    </row>
    <row r="20">
      <c r="A20" s="128"/>
      <c r="B20" s="128"/>
      <c r="C20" s="128"/>
      <c r="D20" s="135" t="s">
        <v>65</v>
      </c>
      <c r="E20" s="138"/>
      <c r="F20" s="139" t="s">
        <v>66</v>
      </c>
      <c r="G20" s="140"/>
      <c r="H20" s="112"/>
      <c r="I20" s="85"/>
      <c r="J20" s="88"/>
      <c r="K20" s="88"/>
      <c r="L20" s="90">
        <v>8.0</v>
      </c>
      <c r="M20" s="96">
        <f t="shared" si="2"/>
        <v>5.6</v>
      </c>
      <c r="N20" s="97">
        <f t="shared" si="3"/>
        <v>2.4</v>
      </c>
      <c r="O20" s="97">
        <f t="shared" si="4"/>
        <v>6.4</v>
      </c>
      <c r="P20" s="101">
        <f t="shared" si="5"/>
        <v>5.6</v>
      </c>
      <c r="Q20" s="106">
        <f t="shared" si="6"/>
        <v>16</v>
      </c>
      <c r="R20" s="108"/>
    </row>
    <row r="21">
      <c r="A21" s="128"/>
      <c r="B21" s="128"/>
      <c r="C21" s="128"/>
      <c r="D21" s="128"/>
      <c r="E21" s="128"/>
      <c r="F21" s="139" t="s">
        <v>67</v>
      </c>
      <c r="G21" s="140"/>
      <c r="H21" s="112"/>
      <c r="I21" s="85"/>
      <c r="J21" s="88"/>
      <c r="K21" s="88"/>
      <c r="L21" s="90">
        <v>4.0</v>
      </c>
      <c r="M21" s="96">
        <f t="shared" si="2"/>
        <v>2.8</v>
      </c>
      <c r="N21" s="97">
        <f t="shared" si="3"/>
        <v>1.2</v>
      </c>
      <c r="O21" s="97">
        <f t="shared" si="4"/>
        <v>3.2</v>
      </c>
      <c r="P21" s="101">
        <f t="shared" si="5"/>
        <v>2.8</v>
      </c>
      <c r="Q21" s="106">
        <f t="shared" si="6"/>
        <v>8</v>
      </c>
      <c r="R21" s="108"/>
    </row>
    <row r="22">
      <c r="A22" s="128"/>
      <c r="B22" s="128"/>
      <c r="C22" s="128"/>
      <c r="D22" s="128"/>
      <c r="E22" s="128"/>
      <c r="F22" s="139" t="s">
        <v>68</v>
      </c>
      <c r="G22" s="140"/>
      <c r="H22" s="112"/>
      <c r="I22" s="85"/>
      <c r="J22" s="88"/>
      <c r="K22" s="88"/>
      <c r="L22" s="90">
        <v>4.0</v>
      </c>
      <c r="M22" s="96">
        <f t="shared" si="2"/>
        <v>2.8</v>
      </c>
      <c r="N22" s="97">
        <f t="shared" si="3"/>
        <v>1.2</v>
      </c>
      <c r="O22" s="97">
        <f t="shared" si="4"/>
        <v>3.2</v>
      </c>
      <c r="P22" s="101">
        <f t="shared" si="5"/>
        <v>2.8</v>
      </c>
      <c r="Q22" s="106">
        <f t="shared" si="6"/>
        <v>8</v>
      </c>
      <c r="R22" s="108"/>
    </row>
    <row r="23">
      <c r="A23" s="128"/>
      <c r="B23" s="128"/>
      <c r="C23" s="148"/>
      <c r="D23" s="148"/>
      <c r="E23" s="148"/>
      <c r="F23" s="139" t="s">
        <v>69</v>
      </c>
      <c r="G23" s="140"/>
      <c r="H23" s="112"/>
      <c r="I23" s="85"/>
      <c r="J23" s="88"/>
      <c r="K23" s="88"/>
      <c r="L23" s="90">
        <v>4.0</v>
      </c>
      <c r="M23" s="96">
        <f t="shared" si="2"/>
        <v>2.8</v>
      </c>
      <c r="N23" s="97">
        <f t="shared" si="3"/>
        <v>1.2</v>
      </c>
      <c r="O23" s="97">
        <f t="shared" si="4"/>
        <v>3.2</v>
      </c>
      <c r="P23" s="101">
        <f t="shared" si="5"/>
        <v>2.8</v>
      </c>
      <c r="Q23" s="106">
        <f t="shared" si="6"/>
        <v>8</v>
      </c>
      <c r="R23" s="108"/>
    </row>
    <row r="24">
      <c r="A24" s="128"/>
      <c r="B24" s="128"/>
      <c r="C24" s="155">
        <v>4.4</v>
      </c>
      <c r="D24" s="139" t="s">
        <v>70</v>
      </c>
      <c r="E24" s="140"/>
      <c r="F24" s="139"/>
      <c r="G24" s="140"/>
      <c r="H24" s="112"/>
      <c r="I24" s="85"/>
      <c r="J24" s="88"/>
      <c r="K24" s="88"/>
      <c r="L24" s="90">
        <v>8.0</v>
      </c>
      <c r="M24" s="96">
        <f t="shared" si="2"/>
        <v>5.6</v>
      </c>
      <c r="N24" s="97">
        <f t="shared" si="3"/>
        <v>2.4</v>
      </c>
      <c r="O24" s="97">
        <f t="shared" si="4"/>
        <v>6.4</v>
      </c>
      <c r="P24" s="101">
        <f t="shared" si="5"/>
        <v>5.6</v>
      </c>
      <c r="Q24" s="106">
        <f t="shared" si="6"/>
        <v>16</v>
      </c>
      <c r="R24" s="108"/>
    </row>
    <row r="25">
      <c r="A25" s="128"/>
      <c r="B25" s="128"/>
      <c r="C25" s="134">
        <v>4.5</v>
      </c>
      <c r="D25" s="135" t="s">
        <v>71</v>
      </c>
      <c r="E25" s="138"/>
      <c r="F25" s="139" t="s">
        <v>72</v>
      </c>
      <c r="G25" s="140"/>
      <c r="H25" s="112"/>
      <c r="I25" s="85"/>
      <c r="J25" s="88"/>
      <c r="K25" s="88"/>
      <c r="L25" s="90">
        <v>8.0</v>
      </c>
      <c r="M25" s="96">
        <f t="shared" si="2"/>
        <v>5.6</v>
      </c>
      <c r="N25" s="97">
        <f t="shared" si="3"/>
        <v>2.4</v>
      </c>
      <c r="O25" s="97">
        <f t="shared" si="4"/>
        <v>6.4</v>
      </c>
      <c r="P25" s="101">
        <f t="shared" si="5"/>
        <v>5.6</v>
      </c>
      <c r="Q25" s="106">
        <f t="shared" si="6"/>
        <v>16</v>
      </c>
      <c r="R25" s="108"/>
    </row>
    <row r="26">
      <c r="A26" s="128"/>
      <c r="B26" s="128"/>
      <c r="C26" s="128"/>
      <c r="D26" s="128"/>
      <c r="E26" s="128"/>
      <c r="F26" s="139" t="s">
        <v>73</v>
      </c>
      <c r="G26" s="140"/>
      <c r="H26" s="112"/>
      <c r="I26" s="85"/>
      <c r="J26" s="88"/>
      <c r="K26" s="88"/>
      <c r="L26" s="90">
        <v>16.0</v>
      </c>
      <c r="M26" s="96">
        <f t="shared" si="2"/>
        <v>11.2</v>
      </c>
      <c r="N26" s="97">
        <f t="shared" si="3"/>
        <v>4.8</v>
      </c>
      <c r="O26" s="97">
        <f t="shared" si="4"/>
        <v>12.8</v>
      </c>
      <c r="P26" s="101">
        <f t="shared" si="5"/>
        <v>11.2</v>
      </c>
      <c r="Q26" s="106">
        <f t="shared" si="6"/>
        <v>32</v>
      </c>
      <c r="R26" s="108"/>
    </row>
    <row r="27">
      <c r="A27" s="128"/>
      <c r="B27" s="128"/>
      <c r="C27" s="128"/>
      <c r="D27" s="128"/>
      <c r="E27" s="128"/>
      <c r="F27" s="139" t="s">
        <v>74</v>
      </c>
      <c r="G27" s="140"/>
      <c r="H27" s="112"/>
      <c r="I27" s="85"/>
      <c r="J27" s="88"/>
      <c r="K27" s="88"/>
      <c r="L27" s="90">
        <v>8.0</v>
      </c>
      <c r="M27" s="96">
        <f t="shared" si="2"/>
        <v>5.6</v>
      </c>
      <c r="N27" s="97">
        <f t="shared" si="3"/>
        <v>2.4</v>
      </c>
      <c r="O27" s="97">
        <f t="shared" si="4"/>
        <v>6.4</v>
      </c>
      <c r="P27" s="101">
        <f t="shared" si="5"/>
        <v>5.6</v>
      </c>
      <c r="Q27" s="106">
        <f t="shared" si="6"/>
        <v>16</v>
      </c>
      <c r="R27" s="108"/>
    </row>
    <row r="28">
      <c r="A28" s="128"/>
      <c r="B28" s="128"/>
      <c r="C28" s="148"/>
      <c r="D28" s="148"/>
      <c r="E28" s="148"/>
      <c r="F28" s="139" t="s">
        <v>75</v>
      </c>
      <c r="G28" s="140"/>
      <c r="H28" s="112"/>
      <c r="I28" s="85"/>
      <c r="J28" s="88"/>
      <c r="K28" s="88"/>
      <c r="L28" s="90">
        <v>4.0</v>
      </c>
      <c r="M28" s="96">
        <f t="shared" si="2"/>
        <v>2.8</v>
      </c>
      <c r="N28" s="97">
        <f t="shared" si="3"/>
        <v>1.2</v>
      </c>
      <c r="O28" s="97">
        <f t="shared" si="4"/>
        <v>3.2</v>
      </c>
      <c r="P28" s="101">
        <f t="shared" si="5"/>
        <v>2.8</v>
      </c>
      <c r="Q28" s="106">
        <f t="shared" si="6"/>
        <v>8</v>
      </c>
      <c r="R28" s="108"/>
    </row>
    <row r="29">
      <c r="A29" s="128"/>
      <c r="B29" s="128"/>
      <c r="C29" s="134">
        <v>4.6</v>
      </c>
      <c r="D29" s="135" t="s">
        <v>77</v>
      </c>
      <c r="E29" s="138"/>
      <c r="F29" s="139" t="s">
        <v>78</v>
      </c>
      <c r="G29" s="140"/>
      <c r="H29" s="112"/>
      <c r="I29" s="85"/>
      <c r="J29" s="88"/>
      <c r="K29" s="88"/>
      <c r="L29" s="90">
        <v>8.0</v>
      </c>
      <c r="M29" s="96">
        <f t="shared" si="2"/>
        <v>5.6</v>
      </c>
      <c r="N29" s="97">
        <f t="shared" si="3"/>
        <v>2.4</v>
      </c>
      <c r="O29" s="97">
        <f t="shared" si="4"/>
        <v>6.4</v>
      </c>
      <c r="P29" s="101">
        <f t="shared" si="5"/>
        <v>5.6</v>
      </c>
      <c r="Q29" s="106">
        <f t="shared" si="6"/>
        <v>16</v>
      </c>
      <c r="R29" s="108"/>
    </row>
    <row r="30">
      <c r="A30" s="128"/>
      <c r="B30" s="128"/>
      <c r="C30" s="128"/>
      <c r="D30" s="128"/>
      <c r="E30" s="128"/>
      <c r="F30" s="139" t="s">
        <v>79</v>
      </c>
      <c r="G30" s="140"/>
      <c r="H30" s="112"/>
      <c r="I30" s="85"/>
      <c r="J30" s="88"/>
      <c r="K30" s="88"/>
      <c r="L30" s="90">
        <v>16.0</v>
      </c>
      <c r="M30" s="96">
        <f t="shared" si="2"/>
        <v>11.2</v>
      </c>
      <c r="N30" s="97">
        <f t="shared" si="3"/>
        <v>4.8</v>
      </c>
      <c r="O30" s="97">
        <f t="shared" si="4"/>
        <v>12.8</v>
      </c>
      <c r="P30" s="101">
        <f t="shared" si="5"/>
        <v>11.2</v>
      </c>
      <c r="Q30" s="106">
        <f t="shared" si="6"/>
        <v>32</v>
      </c>
      <c r="R30" s="108"/>
    </row>
    <row r="31">
      <c r="A31" s="128"/>
      <c r="B31" s="128"/>
      <c r="C31" s="128"/>
      <c r="D31" s="128"/>
      <c r="E31" s="128"/>
      <c r="F31" s="139" t="s">
        <v>82</v>
      </c>
      <c r="G31" s="140"/>
      <c r="H31" s="112"/>
      <c r="I31" s="85"/>
      <c r="J31" s="88"/>
      <c r="K31" s="88"/>
      <c r="L31" s="90">
        <v>8.0</v>
      </c>
      <c r="M31" s="96">
        <f t="shared" si="2"/>
        <v>5.6</v>
      </c>
      <c r="N31" s="97">
        <f t="shared" si="3"/>
        <v>2.4</v>
      </c>
      <c r="O31" s="97">
        <f t="shared" si="4"/>
        <v>6.4</v>
      </c>
      <c r="P31" s="101">
        <f t="shared" si="5"/>
        <v>5.6</v>
      </c>
      <c r="Q31" s="106">
        <f t="shared" si="6"/>
        <v>16</v>
      </c>
      <c r="R31" s="108"/>
    </row>
    <row r="32">
      <c r="A32" s="128"/>
      <c r="B32" s="128"/>
      <c r="C32" s="148"/>
      <c r="D32" s="148"/>
      <c r="E32" s="148"/>
      <c r="F32" s="139" t="s">
        <v>84</v>
      </c>
      <c r="G32" s="140"/>
      <c r="H32" s="112"/>
      <c r="I32" s="85"/>
      <c r="J32" s="88"/>
      <c r="K32" s="88"/>
      <c r="L32" s="90">
        <v>4.0</v>
      </c>
      <c r="M32" s="96">
        <f t="shared" si="2"/>
        <v>2.8</v>
      </c>
      <c r="N32" s="97">
        <f t="shared" si="3"/>
        <v>1.2</v>
      </c>
      <c r="O32" s="97">
        <f t="shared" si="4"/>
        <v>3.2</v>
      </c>
      <c r="P32" s="101">
        <f t="shared" si="5"/>
        <v>2.8</v>
      </c>
      <c r="Q32" s="106">
        <f t="shared" si="6"/>
        <v>8</v>
      </c>
      <c r="R32" s="108"/>
    </row>
    <row r="33">
      <c r="A33" s="128"/>
      <c r="B33" s="128"/>
      <c r="C33" s="134">
        <v>4.7</v>
      </c>
      <c r="D33" s="135" t="s">
        <v>85</v>
      </c>
      <c r="E33" s="181" t="s">
        <v>87</v>
      </c>
      <c r="F33" s="139" t="s">
        <v>90</v>
      </c>
      <c r="G33" s="140"/>
      <c r="H33" s="112"/>
      <c r="I33" s="85"/>
      <c r="J33" s="88"/>
      <c r="K33" s="88"/>
      <c r="L33" s="90">
        <v>8.0</v>
      </c>
      <c r="M33" s="96">
        <f t="shared" si="2"/>
        <v>5.6</v>
      </c>
      <c r="N33" s="97">
        <f t="shared" si="3"/>
        <v>2.4</v>
      </c>
      <c r="O33" s="97">
        <f t="shared" si="4"/>
        <v>6.4</v>
      </c>
      <c r="P33" s="101">
        <f t="shared" si="5"/>
        <v>5.6</v>
      </c>
      <c r="Q33" s="106">
        <f t="shared" si="6"/>
        <v>16</v>
      </c>
      <c r="R33" s="108"/>
    </row>
    <row r="34">
      <c r="A34" s="128"/>
      <c r="B34" s="128"/>
      <c r="C34" s="128"/>
      <c r="D34" s="128"/>
      <c r="E34" s="128"/>
      <c r="F34" s="139" t="s">
        <v>93</v>
      </c>
      <c r="G34" s="140"/>
      <c r="H34" s="112"/>
      <c r="I34" s="85"/>
      <c r="J34" s="88"/>
      <c r="K34" s="88"/>
      <c r="L34" s="90">
        <v>32.0</v>
      </c>
      <c r="M34" s="96">
        <f t="shared" si="2"/>
        <v>22.4</v>
      </c>
      <c r="N34" s="97">
        <f t="shared" si="3"/>
        <v>9.6</v>
      </c>
      <c r="O34" s="97">
        <f t="shared" si="4"/>
        <v>25.6</v>
      </c>
      <c r="P34" s="101">
        <f t="shared" si="5"/>
        <v>22.4</v>
      </c>
      <c r="Q34" s="106">
        <f t="shared" si="6"/>
        <v>64</v>
      </c>
      <c r="R34" s="108"/>
    </row>
    <row r="35">
      <c r="A35" s="128"/>
      <c r="B35" s="128"/>
      <c r="C35" s="128"/>
      <c r="D35" s="128"/>
      <c r="E35" s="128"/>
      <c r="F35" s="139" t="s">
        <v>94</v>
      </c>
      <c r="G35" s="140"/>
      <c r="H35" s="112"/>
      <c r="I35" s="85"/>
      <c r="J35" s="88"/>
      <c r="K35" s="88"/>
      <c r="L35" s="90">
        <v>8.0</v>
      </c>
      <c r="M35" s="96">
        <f t="shared" si="2"/>
        <v>5.6</v>
      </c>
      <c r="N35" s="97">
        <f t="shared" si="3"/>
        <v>2.4</v>
      </c>
      <c r="O35" s="97">
        <f t="shared" si="4"/>
        <v>6.4</v>
      </c>
      <c r="P35" s="101">
        <f t="shared" si="5"/>
        <v>5.6</v>
      </c>
      <c r="Q35" s="106">
        <f t="shared" si="6"/>
        <v>16</v>
      </c>
      <c r="R35" s="108"/>
    </row>
    <row r="36">
      <c r="A36" s="128"/>
      <c r="B36" s="128"/>
      <c r="C36" s="148"/>
      <c r="D36" s="148"/>
      <c r="E36" s="148"/>
      <c r="F36" s="139" t="s">
        <v>95</v>
      </c>
      <c r="G36" s="140"/>
      <c r="H36" s="112"/>
      <c r="I36" s="85"/>
      <c r="J36" s="88"/>
      <c r="K36" s="88"/>
      <c r="L36" s="90">
        <v>4.0</v>
      </c>
      <c r="M36" s="96">
        <f t="shared" si="2"/>
        <v>2.8</v>
      </c>
      <c r="N36" s="97">
        <f t="shared" si="3"/>
        <v>1.2</v>
      </c>
      <c r="O36" s="97">
        <f t="shared" si="4"/>
        <v>3.2</v>
      </c>
      <c r="P36" s="101">
        <f t="shared" si="5"/>
        <v>2.8</v>
      </c>
      <c r="Q36" s="106">
        <f t="shared" si="6"/>
        <v>8</v>
      </c>
      <c r="R36" s="108"/>
    </row>
    <row r="37">
      <c r="A37" s="148"/>
      <c r="B37" s="148"/>
      <c r="C37" s="155">
        <v>4.8</v>
      </c>
      <c r="D37" s="139" t="s">
        <v>97</v>
      </c>
      <c r="E37" s="140"/>
      <c r="F37" s="139"/>
      <c r="G37" s="140"/>
      <c r="H37" s="112"/>
      <c r="I37" s="85"/>
      <c r="J37" s="88"/>
      <c r="K37" s="88"/>
      <c r="L37" s="90">
        <v>32.0</v>
      </c>
      <c r="M37" s="96">
        <f t="shared" si="2"/>
        <v>22.4</v>
      </c>
      <c r="N37" s="97">
        <f t="shared" si="3"/>
        <v>9.6</v>
      </c>
      <c r="O37" s="97">
        <f t="shared" si="4"/>
        <v>25.6</v>
      </c>
      <c r="P37" s="101">
        <f t="shared" si="5"/>
        <v>22.4</v>
      </c>
      <c r="Q37" s="106">
        <f t="shared" si="6"/>
        <v>64</v>
      </c>
      <c r="R37" s="108"/>
    </row>
    <row r="38">
      <c r="A38" s="124">
        <v>4.0</v>
      </c>
      <c r="B38" s="127" t="s">
        <v>98</v>
      </c>
      <c r="C38" s="190">
        <v>5.1</v>
      </c>
      <c r="D38" s="192" t="s">
        <v>99</v>
      </c>
      <c r="E38" s="194" t="s">
        <v>100</v>
      </c>
      <c r="F38" s="78" t="s">
        <v>101</v>
      </c>
      <c r="G38" s="81"/>
      <c r="H38" s="112"/>
      <c r="I38" s="85"/>
      <c r="J38" s="88"/>
      <c r="K38" s="88"/>
      <c r="L38" s="90">
        <v>12.0</v>
      </c>
      <c r="M38" s="96">
        <f t="shared" si="2"/>
        <v>8.4</v>
      </c>
      <c r="N38" s="97">
        <f t="shared" si="3"/>
        <v>3.6</v>
      </c>
      <c r="O38" s="97">
        <f t="shared" si="4"/>
        <v>9.6</v>
      </c>
      <c r="P38" s="101">
        <f t="shared" si="5"/>
        <v>8.4</v>
      </c>
      <c r="Q38" s="106">
        <f t="shared" si="6"/>
        <v>24</v>
      </c>
      <c r="R38" s="200">
        <f>sum(Q38:Q40)</f>
        <v>136</v>
      </c>
    </row>
    <row r="39">
      <c r="A39" s="128"/>
      <c r="B39" s="128"/>
      <c r="C39" s="27"/>
      <c r="D39" s="27"/>
      <c r="E39" s="148"/>
      <c r="F39" s="78" t="s">
        <v>104</v>
      </c>
      <c r="G39" s="81"/>
      <c r="H39" s="112"/>
      <c r="I39" s="85"/>
      <c r="J39" s="88"/>
      <c r="K39" s="88"/>
      <c r="L39" s="90">
        <v>32.0</v>
      </c>
      <c r="M39" s="96">
        <f t="shared" si="2"/>
        <v>22.4</v>
      </c>
      <c r="N39" s="97">
        <f t="shared" si="3"/>
        <v>9.6</v>
      </c>
      <c r="O39" s="97">
        <f t="shared" si="4"/>
        <v>25.6</v>
      </c>
      <c r="P39" s="101">
        <f t="shared" si="5"/>
        <v>22.4</v>
      </c>
      <c r="Q39" s="106">
        <f t="shared" si="6"/>
        <v>64</v>
      </c>
      <c r="R39" s="210"/>
    </row>
    <row r="40">
      <c r="A40" s="128"/>
      <c r="B40" s="128"/>
      <c r="C40" s="30"/>
      <c r="D40" s="30"/>
      <c r="E40" s="215" t="s">
        <v>111</v>
      </c>
      <c r="F40" s="78"/>
      <c r="G40" s="81"/>
      <c r="H40" s="112"/>
      <c r="I40" s="85"/>
      <c r="J40" s="88"/>
      <c r="K40" s="88"/>
      <c r="L40" s="90">
        <v>24.0</v>
      </c>
      <c r="M40" s="96">
        <f t="shared" si="2"/>
        <v>16.8</v>
      </c>
      <c r="N40" s="97">
        <f t="shared" si="3"/>
        <v>7.2</v>
      </c>
      <c r="O40" s="97">
        <f t="shared" si="4"/>
        <v>19.2</v>
      </c>
      <c r="P40" s="101">
        <f t="shared" si="5"/>
        <v>16.8</v>
      </c>
      <c r="Q40" s="106">
        <f t="shared" si="6"/>
        <v>48</v>
      </c>
      <c r="R40" s="218"/>
    </row>
    <row r="41">
      <c r="A41" s="128"/>
      <c r="B41" s="128"/>
      <c r="C41" s="190">
        <v>5.2</v>
      </c>
      <c r="D41" s="192" t="s">
        <v>113</v>
      </c>
      <c r="E41" s="215" t="s">
        <v>114</v>
      </c>
      <c r="F41" s="78"/>
      <c r="G41" s="81"/>
      <c r="H41" s="112"/>
      <c r="I41" s="85"/>
      <c r="J41" s="88"/>
      <c r="K41" s="88"/>
      <c r="L41" s="90">
        <v>4.0</v>
      </c>
      <c r="M41" s="96">
        <f t="shared" si="2"/>
        <v>2.8</v>
      </c>
      <c r="N41" s="97">
        <f t="shared" si="3"/>
        <v>1.2</v>
      </c>
      <c r="O41" s="97">
        <f t="shared" si="4"/>
        <v>3.2</v>
      </c>
      <c r="P41" s="101">
        <f t="shared" si="5"/>
        <v>2.8</v>
      </c>
      <c r="Q41" s="106">
        <f t="shared" si="6"/>
        <v>8</v>
      </c>
      <c r="R41" s="108"/>
    </row>
    <row r="42">
      <c r="A42" s="148"/>
      <c r="B42" s="148"/>
      <c r="C42" s="30"/>
      <c r="D42" s="30"/>
      <c r="E42" s="215" t="s">
        <v>119</v>
      </c>
      <c r="F42" s="78"/>
      <c r="G42" s="81"/>
      <c r="H42" s="112"/>
      <c r="I42" s="85"/>
      <c r="J42" s="88"/>
      <c r="K42" s="88"/>
      <c r="L42" s="90">
        <v>1.0</v>
      </c>
      <c r="M42" s="96">
        <f t="shared" si="2"/>
        <v>0.7</v>
      </c>
      <c r="N42" s="97">
        <f t="shared" si="3"/>
        <v>0.3</v>
      </c>
      <c r="O42" s="97">
        <f t="shared" si="4"/>
        <v>0.8</v>
      </c>
      <c r="P42" s="101">
        <f t="shared" si="5"/>
        <v>0.7</v>
      </c>
      <c r="Q42" s="106">
        <f t="shared" si="6"/>
        <v>2</v>
      </c>
      <c r="R42" s="108"/>
    </row>
  </sheetData>
  <mergeCells count="26">
    <mergeCell ref="D20:D23"/>
    <mergeCell ref="E20:E23"/>
    <mergeCell ref="C25:C28"/>
    <mergeCell ref="D25:D28"/>
    <mergeCell ref="C16:C23"/>
    <mergeCell ref="C29:C32"/>
    <mergeCell ref="D29:D32"/>
    <mergeCell ref="E29:E32"/>
    <mergeCell ref="C33:C36"/>
    <mergeCell ref="D33:D36"/>
    <mergeCell ref="B38:B42"/>
    <mergeCell ref="C38:C40"/>
    <mergeCell ref="D38:D40"/>
    <mergeCell ref="R38:R40"/>
    <mergeCell ref="C41:C42"/>
    <mergeCell ref="D41:D42"/>
    <mergeCell ref="A14:A37"/>
    <mergeCell ref="A38:A42"/>
    <mergeCell ref="B8:F8"/>
    <mergeCell ref="B9:F9"/>
    <mergeCell ref="B14:B37"/>
    <mergeCell ref="D16:D19"/>
    <mergeCell ref="E16:E19"/>
    <mergeCell ref="E25:E28"/>
    <mergeCell ref="E33:E36"/>
    <mergeCell ref="E38:E39"/>
  </mergeCells>
  <conditionalFormatting sqref="A12:I42">
    <cfRule type="expression" dxfId="0" priority="1">
      <formula>COUNTIF(ARRAYFORMULA(#REF!&amp;#REF!&amp;#REF!&amp;#REF!),$B12&amp;$D12&amp;$F12&amp;$H12)&gt;1</formula>
    </cfRule>
  </conditionalFormatting>
  <conditionalFormatting sqref="A1">
    <cfRule type="notContainsBlanks" dxfId="1" priority="2">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outlineLevelRow="1"/>
  <cols>
    <col customWidth="1" min="1" max="1" width="3.5"/>
    <col customWidth="1" min="2" max="2" width="18.5"/>
    <col customWidth="1" min="3" max="4" width="23.38"/>
    <col customWidth="1" min="5" max="6" width="29.63"/>
    <col customWidth="1" min="7" max="8" width="36.25"/>
    <col customWidth="1" min="9" max="10" width="7.0"/>
    <col customWidth="1" min="11" max="11" width="6.75"/>
    <col customWidth="1" min="12" max="13" width="6.38"/>
    <col customWidth="1" min="14" max="14" width="6.88"/>
    <col customWidth="1" min="15" max="15" width="5.25"/>
    <col customWidth="1" min="16" max="16" width="11.25"/>
    <col customWidth="1" min="17" max="17" width="9.25"/>
    <col customWidth="1" min="18" max="18" width="8.25"/>
  </cols>
  <sheetData>
    <row r="1">
      <c r="A1" s="1"/>
      <c r="B1" s="130" t="s">
        <v>0</v>
      </c>
      <c r="C1" s="131"/>
      <c r="D1" s="131"/>
      <c r="E1" s="132"/>
      <c r="F1" s="132"/>
      <c r="G1" s="132"/>
      <c r="H1" s="132"/>
      <c r="I1" s="132"/>
      <c r="J1" s="132"/>
      <c r="K1" s="132"/>
      <c r="L1" s="132"/>
      <c r="M1" s="132"/>
      <c r="N1" s="132"/>
      <c r="O1" s="132"/>
      <c r="P1" s="132"/>
      <c r="Q1" s="136"/>
      <c r="R1" s="136">
        <f>countif(R12:R923,"◉")</f>
        <v>79</v>
      </c>
    </row>
    <row r="2" outlineLevel="1">
      <c r="A2" s="1"/>
      <c r="B2" s="141" t="s">
        <v>1</v>
      </c>
      <c r="C2" s="132"/>
      <c r="D2" s="132"/>
      <c r="E2" s="132"/>
      <c r="F2" s="132"/>
      <c r="G2" s="132"/>
      <c r="H2" s="132"/>
      <c r="I2" s="142" t="s">
        <v>2</v>
      </c>
      <c r="J2" s="136"/>
      <c r="K2" s="143">
        <f>MIN(I14:I88)</f>
        <v>0</v>
      </c>
      <c r="L2" s="136"/>
      <c r="M2" s="136"/>
      <c r="N2" s="132"/>
      <c r="O2" s="132"/>
      <c r="P2" s="132"/>
      <c r="Q2" s="145"/>
      <c r="R2" s="145"/>
    </row>
    <row r="3" outlineLevel="1">
      <c r="A3" s="22"/>
      <c r="B3" s="146" t="s">
        <v>6</v>
      </c>
      <c r="C3" s="147"/>
      <c r="D3" s="147"/>
      <c r="E3" s="132"/>
      <c r="F3" s="132"/>
      <c r="G3" s="132"/>
      <c r="H3" s="132"/>
      <c r="I3" s="149" t="s">
        <v>8</v>
      </c>
      <c r="J3" s="136"/>
      <c r="K3" s="143">
        <f>MAX(J14:J88)</f>
        <v>0</v>
      </c>
      <c r="L3" s="136"/>
      <c r="M3" s="136"/>
      <c r="N3" s="132"/>
      <c r="O3" s="132"/>
      <c r="P3" s="132"/>
      <c r="Q3" s="136"/>
      <c r="R3" s="136"/>
    </row>
    <row r="4" outlineLevel="1">
      <c r="A4" s="22"/>
      <c r="B4" s="146" t="s">
        <v>11</v>
      </c>
      <c r="C4" s="150"/>
      <c r="D4" s="150"/>
      <c r="E4" s="151"/>
      <c r="F4" s="151"/>
      <c r="G4" s="151"/>
      <c r="H4" s="151"/>
      <c r="I4" s="150" t="s">
        <v>12</v>
      </c>
      <c r="J4" s="136"/>
      <c r="K4" s="150">
        <v>0.3</v>
      </c>
      <c r="L4" s="132"/>
      <c r="M4" s="132"/>
      <c r="N4" s="132"/>
      <c r="O4" s="132"/>
      <c r="P4" s="132"/>
      <c r="Q4" s="136"/>
      <c r="R4" s="136"/>
    </row>
    <row r="5" outlineLevel="1">
      <c r="A5" s="6"/>
      <c r="B5" s="146" t="s">
        <v>13</v>
      </c>
      <c r="C5" s="152">
        <f>SUM(P14:P289)</f>
        <v>2648</v>
      </c>
      <c r="D5" s="153"/>
      <c r="E5" s="154">
        <f t="shared" ref="E5:E6" si="1">C5/160</f>
        <v>16.55</v>
      </c>
      <c r="F5" s="154"/>
      <c r="G5" s="150"/>
      <c r="H5" s="150"/>
      <c r="I5" s="150" t="s">
        <v>16</v>
      </c>
      <c r="J5" s="132"/>
      <c r="K5" s="150">
        <v>0.7</v>
      </c>
      <c r="L5" s="132"/>
      <c r="M5" s="132"/>
      <c r="N5" s="132"/>
      <c r="O5" s="132"/>
      <c r="P5" s="132"/>
      <c r="Q5" s="136"/>
      <c r="R5" s="136"/>
    </row>
    <row r="6" outlineLevel="1">
      <c r="A6" s="22"/>
      <c r="B6" s="146" t="s">
        <v>17</v>
      </c>
      <c r="C6" s="152">
        <f>SUM(O14:O289)</f>
        <v>926.8</v>
      </c>
      <c r="D6" s="153"/>
      <c r="E6" s="154">
        <f t="shared" si="1"/>
        <v>5.7925</v>
      </c>
      <c r="F6" s="154"/>
      <c r="G6" s="150"/>
      <c r="H6" s="150"/>
      <c r="I6" s="150" t="s">
        <v>20</v>
      </c>
      <c r="J6" s="132"/>
      <c r="K6" s="150">
        <v>0.0</v>
      </c>
      <c r="L6" s="132"/>
      <c r="M6" s="132"/>
      <c r="N6" s="132"/>
      <c r="O6" s="132"/>
      <c r="P6" s="132"/>
      <c r="Q6" s="136"/>
      <c r="R6" s="136"/>
    </row>
    <row r="7" outlineLevel="1">
      <c r="A7" s="22"/>
      <c r="B7" s="156" t="s">
        <v>21</v>
      </c>
      <c r="C7" s="136"/>
      <c r="D7" s="136"/>
      <c r="E7" s="136"/>
      <c r="F7" s="136"/>
      <c r="G7" s="157"/>
      <c r="H7" s="157"/>
      <c r="I7" s="150"/>
      <c r="J7" s="132"/>
      <c r="K7" s="150"/>
      <c r="L7" s="158"/>
      <c r="M7" s="158"/>
      <c r="N7" s="158"/>
      <c r="O7" s="158"/>
      <c r="P7" s="158"/>
      <c r="Q7" s="136"/>
      <c r="R7" s="136"/>
    </row>
    <row r="8" outlineLevel="1">
      <c r="A8" s="22"/>
      <c r="B8" s="159"/>
      <c r="F8" s="159"/>
      <c r="G8" s="157"/>
      <c r="H8" s="157"/>
      <c r="I8" s="150"/>
      <c r="J8" s="132"/>
      <c r="K8" s="150"/>
      <c r="L8" s="158"/>
      <c r="M8" s="158"/>
      <c r="N8" s="158"/>
      <c r="O8" s="158"/>
      <c r="P8" s="158"/>
      <c r="Q8" s="136"/>
      <c r="R8" s="136"/>
    </row>
    <row r="9" outlineLevel="1">
      <c r="A9" s="22"/>
      <c r="B9" s="51"/>
      <c r="F9" s="51"/>
      <c r="G9" s="157"/>
      <c r="H9" s="157"/>
      <c r="I9" s="150" t="s">
        <v>25</v>
      </c>
      <c r="J9" s="132"/>
      <c r="K9" s="150">
        <v>0.7</v>
      </c>
      <c r="L9" s="158"/>
      <c r="M9" s="158"/>
      <c r="N9" s="158"/>
      <c r="O9" s="158"/>
      <c r="P9" s="158"/>
      <c r="Q9" s="136"/>
      <c r="R9" s="136"/>
    </row>
    <row r="10" outlineLevel="1">
      <c r="A10" s="22"/>
      <c r="B10" s="160"/>
      <c r="C10" s="136"/>
      <c r="D10" s="136"/>
      <c r="E10" s="136"/>
      <c r="F10" s="136"/>
      <c r="G10" s="5"/>
      <c r="H10" s="5"/>
      <c r="I10" s="5"/>
      <c r="J10" s="5"/>
      <c r="K10" s="53" t="s">
        <v>26</v>
      </c>
      <c r="L10" s="47" t="s">
        <v>27</v>
      </c>
      <c r="M10" s="47" t="s">
        <v>27</v>
      </c>
      <c r="N10" s="47" t="s">
        <v>27</v>
      </c>
      <c r="O10" s="47"/>
      <c r="P10" s="47" t="s">
        <v>27</v>
      </c>
      <c r="Q10" s="5"/>
      <c r="R10" s="5"/>
    </row>
    <row r="11">
      <c r="A11" s="55" t="s">
        <v>28</v>
      </c>
      <c r="B11" s="56" t="s">
        <v>76</v>
      </c>
      <c r="C11" s="57" t="s">
        <v>31</v>
      </c>
      <c r="D11" s="57" t="s">
        <v>32</v>
      </c>
      <c r="E11" s="58" t="s">
        <v>33</v>
      </c>
      <c r="F11" s="58" t="s">
        <v>34</v>
      </c>
      <c r="G11" s="58" t="s">
        <v>35</v>
      </c>
      <c r="H11" s="58"/>
      <c r="I11" s="61" t="str">
        <f>I2</f>
        <v>Start</v>
      </c>
      <c r="J11" s="63" t="str">
        <f>I3</f>
        <v>End</v>
      </c>
      <c r="K11" s="64" t="s">
        <v>36</v>
      </c>
      <c r="L11" s="64" t="s">
        <v>37</v>
      </c>
      <c r="M11" s="64" t="s">
        <v>38</v>
      </c>
      <c r="N11" s="66" t="s">
        <v>39</v>
      </c>
      <c r="O11" s="64" t="s">
        <v>40</v>
      </c>
      <c r="P11" s="66" t="s">
        <v>41</v>
      </c>
      <c r="Q11" s="69" t="s">
        <v>80</v>
      </c>
      <c r="R11" s="163" t="s">
        <v>81</v>
      </c>
    </row>
    <row r="12">
      <c r="A12" s="165"/>
      <c r="B12" s="166" t="s">
        <v>83</v>
      </c>
      <c r="C12" s="168"/>
      <c r="D12" s="168"/>
      <c r="E12" s="168"/>
      <c r="F12" s="168"/>
      <c r="G12" s="168"/>
      <c r="H12" s="168"/>
      <c r="I12" s="168"/>
      <c r="J12" s="171"/>
      <c r="K12" s="171"/>
      <c r="L12" s="172"/>
      <c r="M12" s="172"/>
      <c r="N12" s="173"/>
      <c r="O12" s="174"/>
      <c r="P12" s="174"/>
      <c r="Q12" s="175"/>
      <c r="R12" s="176"/>
    </row>
    <row r="13">
      <c r="A13" s="177">
        <v>84.0</v>
      </c>
      <c r="B13" s="179" t="s">
        <v>86</v>
      </c>
      <c r="C13" s="180" t="s">
        <v>88</v>
      </c>
      <c r="D13" s="182" t="s">
        <v>89</v>
      </c>
      <c r="E13" s="180" t="s">
        <v>91</v>
      </c>
      <c r="F13" s="182" t="s">
        <v>92</v>
      </c>
      <c r="G13" s="180"/>
      <c r="H13" s="183"/>
      <c r="I13" s="184"/>
      <c r="J13" s="184"/>
      <c r="K13" s="185">
        <v>16.0</v>
      </c>
      <c r="L13" s="186">
        <f>IF(K13&gt;0,K13*$K$5,"")</f>
        <v>11.2</v>
      </c>
      <c r="M13" s="187">
        <f>IF(K13&gt;0,K13*$K$4,"")</f>
        <v>4.8</v>
      </c>
      <c r="N13" s="189"/>
      <c r="O13" s="189">
        <f>IF(L13&gt;0,K13*$K$9,"")</f>
        <v>11.2</v>
      </c>
      <c r="P13" s="189">
        <f>IF(SUM(K13:M13)&gt;0,SUM(K13:M13),"")</f>
        <v>32</v>
      </c>
      <c r="Q13" s="193"/>
      <c r="R13" s="201" t="str">
        <f>vlookup(A13,'機能要件'!$B$3:$K$1000,10,0)</f>
        <v>#REF!</v>
      </c>
    </row>
    <row r="14">
      <c r="A14" s="202">
        <v>89.0</v>
      </c>
      <c r="B14" s="203" t="s">
        <v>86</v>
      </c>
      <c r="C14" s="205" t="s">
        <v>105</v>
      </c>
      <c r="D14" s="207" t="s">
        <v>107</v>
      </c>
      <c r="E14" s="208"/>
      <c r="F14" s="207"/>
      <c r="G14" s="205" t="s">
        <v>108</v>
      </c>
      <c r="H14" s="207" t="s">
        <v>109</v>
      </c>
      <c r="I14" s="211"/>
      <c r="J14" s="211"/>
      <c r="K14" s="213">
        <v>24.0</v>
      </c>
      <c r="L14" s="96">
        <v>16.799999999999997</v>
      </c>
      <c r="M14" s="97">
        <v>7.199999999999999</v>
      </c>
      <c r="N14" s="101"/>
      <c r="O14" s="101">
        <v>16.799999999999997</v>
      </c>
      <c r="P14" s="106">
        <v>48.0</v>
      </c>
      <c r="Q14" s="224"/>
      <c r="R14" s="225" t="s">
        <v>120</v>
      </c>
    </row>
    <row r="15">
      <c r="A15" s="202">
        <v>91.0</v>
      </c>
      <c r="B15" s="203" t="s">
        <v>86</v>
      </c>
      <c r="C15" s="205" t="s">
        <v>121</v>
      </c>
      <c r="D15" s="207" t="s">
        <v>122</v>
      </c>
      <c r="E15" s="205" t="s">
        <v>123</v>
      </c>
      <c r="F15" s="207" t="s">
        <v>124</v>
      </c>
      <c r="G15" s="205" t="s">
        <v>125</v>
      </c>
      <c r="H15" s="227" t="s">
        <v>126</v>
      </c>
      <c r="I15" s="211"/>
      <c r="J15" s="211"/>
      <c r="K15" s="213">
        <v>80.0</v>
      </c>
      <c r="L15" s="96">
        <v>56.0</v>
      </c>
      <c r="M15" s="97">
        <v>24.0</v>
      </c>
      <c r="N15" s="97"/>
      <c r="O15" s="101">
        <v>56.0</v>
      </c>
      <c r="P15" s="106">
        <v>160.0</v>
      </c>
      <c r="Q15" s="224"/>
      <c r="R15" s="225" t="s">
        <v>120</v>
      </c>
    </row>
    <row r="16">
      <c r="A16" s="202">
        <v>92.0</v>
      </c>
      <c r="B16" s="203" t="s">
        <v>86</v>
      </c>
      <c r="C16" s="205" t="s">
        <v>127</v>
      </c>
      <c r="D16" s="207" t="s">
        <v>128</v>
      </c>
      <c r="E16" s="205"/>
      <c r="F16" s="207"/>
      <c r="G16" s="228" t="s">
        <v>129</v>
      </c>
      <c r="H16" s="229" t="s">
        <v>130</v>
      </c>
      <c r="I16" s="211"/>
      <c r="J16" s="211"/>
      <c r="K16" s="213">
        <v>32.0</v>
      </c>
      <c r="L16" s="96">
        <v>22.4</v>
      </c>
      <c r="M16" s="97">
        <v>9.6</v>
      </c>
      <c r="N16" s="97"/>
      <c r="O16" s="101">
        <v>22.4</v>
      </c>
      <c r="P16" s="106">
        <v>64.0</v>
      </c>
      <c r="Q16" s="224"/>
      <c r="R16" s="225" t="s">
        <v>120</v>
      </c>
    </row>
    <row r="17">
      <c r="A17" s="202">
        <v>93.0</v>
      </c>
      <c r="B17" s="203" t="s">
        <v>86</v>
      </c>
      <c r="C17" s="205" t="s">
        <v>131</v>
      </c>
      <c r="D17" s="207" t="s">
        <v>132</v>
      </c>
      <c r="E17" s="228"/>
      <c r="F17" s="230"/>
      <c r="G17" s="228" t="s">
        <v>133</v>
      </c>
      <c r="H17" s="229" t="s">
        <v>134</v>
      </c>
      <c r="I17" s="231"/>
      <c r="J17" s="231"/>
      <c r="K17" s="96">
        <v>16.0</v>
      </c>
      <c r="L17" s="232">
        <v>11.2</v>
      </c>
      <c r="M17" s="97">
        <v>4.8</v>
      </c>
      <c r="N17" s="101"/>
      <c r="O17" s="101">
        <v>11.2</v>
      </c>
      <c r="P17" s="106">
        <v>32.0</v>
      </c>
      <c r="Q17" s="224"/>
      <c r="R17" s="225" t="s">
        <v>120</v>
      </c>
    </row>
    <row r="18">
      <c r="A18" s="202">
        <v>96.0</v>
      </c>
      <c r="B18" s="203"/>
      <c r="C18" s="205" t="s">
        <v>135</v>
      </c>
      <c r="D18" s="207" t="s">
        <v>136</v>
      </c>
      <c r="E18" s="205"/>
      <c r="F18" s="207"/>
      <c r="G18" s="205"/>
      <c r="H18" s="227"/>
      <c r="I18" s="231"/>
      <c r="J18" s="231"/>
      <c r="K18" s="96">
        <v>8.0</v>
      </c>
      <c r="L18" s="232">
        <v>5.6</v>
      </c>
      <c r="M18" s="97">
        <v>2.4</v>
      </c>
      <c r="N18" s="101"/>
      <c r="O18" s="101">
        <v>5.6</v>
      </c>
      <c r="P18" s="106">
        <v>16.0</v>
      </c>
      <c r="Q18" s="224"/>
      <c r="R18" s="225" t="s">
        <v>120</v>
      </c>
    </row>
    <row r="19">
      <c r="A19" s="202">
        <v>98.0</v>
      </c>
      <c r="B19" s="203" t="s">
        <v>137</v>
      </c>
      <c r="C19" s="205"/>
      <c r="D19" s="207"/>
      <c r="E19" s="205" t="s">
        <v>138</v>
      </c>
      <c r="F19" s="207" t="s">
        <v>139</v>
      </c>
      <c r="G19" s="205" t="s">
        <v>140</v>
      </c>
      <c r="H19" s="227" t="s">
        <v>141</v>
      </c>
      <c r="I19" s="231"/>
      <c r="J19" s="231"/>
      <c r="K19" s="213">
        <v>24.0</v>
      </c>
      <c r="L19" s="232">
        <v>16.799999999999997</v>
      </c>
      <c r="M19" s="97">
        <v>7.199999999999999</v>
      </c>
      <c r="N19" s="101"/>
      <c r="O19" s="101">
        <v>16.799999999999997</v>
      </c>
      <c r="P19" s="106">
        <v>48.0</v>
      </c>
      <c r="Q19" s="224"/>
      <c r="R19" s="225" t="s">
        <v>120</v>
      </c>
    </row>
    <row r="20">
      <c r="A20" s="202">
        <v>99.0</v>
      </c>
      <c r="B20" s="203" t="s">
        <v>137</v>
      </c>
      <c r="C20" s="205"/>
      <c r="D20" s="207"/>
      <c r="E20" s="205" t="s">
        <v>142</v>
      </c>
      <c r="F20" s="207" t="s">
        <v>143</v>
      </c>
      <c r="G20" s="205"/>
      <c r="H20" s="227"/>
      <c r="I20" s="231"/>
      <c r="J20" s="231"/>
      <c r="K20" s="213">
        <v>24.0</v>
      </c>
      <c r="L20" s="232">
        <v>16.799999999999997</v>
      </c>
      <c r="M20" s="97">
        <v>7.199999999999999</v>
      </c>
      <c r="N20" s="101"/>
      <c r="O20" s="101">
        <v>16.799999999999997</v>
      </c>
      <c r="P20" s="106">
        <v>48.0</v>
      </c>
      <c r="Q20" s="224"/>
      <c r="R20" s="225" t="s">
        <v>120</v>
      </c>
    </row>
    <row r="21">
      <c r="A21" s="202">
        <v>100.0</v>
      </c>
      <c r="B21" s="203" t="s">
        <v>137</v>
      </c>
      <c r="C21" s="205"/>
      <c r="D21" s="207"/>
      <c r="E21" s="205" t="s">
        <v>144</v>
      </c>
      <c r="F21" s="207" t="s">
        <v>145</v>
      </c>
      <c r="G21" s="228"/>
      <c r="H21" s="229"/>
      <c r="I21" s="231"/>
      <c r="J21" s="231"/>
      <c r="K21" s="213">
        <v>24.0</v>
      </c>
      <c r="L21" s="232">
        <v>16.799999999999997</v>
      </c>
      <c r="M21" s="97">
        <v>7.199999999999999</v>
      </c>
      <c r="N21" s="101"/>
      <c r="O21" s="101">
        <v>16.799999999999997</v>
      </c>
      <c r="P21" s="106">
        <v>48.0</v>
      </c>
      <c r="Q21" s="224"/>
      <c r="R21" s="225" t="s">
        <v>120</v>
      </c>
    </row>
    <row r="22">
      <c r="A22" s="202">
        <v>101.0</v>
      </c>
      <c r="B22" s="203" t="s">
        <v>137</v>
      </c>
      <c r="C22" s="205"/>
      <c r="D22" s="227"/>
      <c r="E22" s="205" t="s">
        <v>146</v>
      </c>
      <c r="F22" s="207" t="s">
        <v>147</v>
      </c>
      <c r="G22" s="228" t="s">
        <v>140</v>
      </c>
      <c r="H22" s="229" t="s">
        <v>141</v>
      </c>
      <c r="I22" s="231"/>
      <c r="J22" s="231"/>
      <c r="K22" s="213">
        <v>24.0</v>
      </c>
      <c r="L22" s="232">
        <v>16.799999999999997</v>
      </c>
      <c r="M22" s="97">
        <v>7.199999999999999</v>
      </c>
      <c r="N22" s="101"/>
      <c r="O22" s="101">
        <v>16.799999999999997</v>
      </c>
      <c r="P22" s="106">
        <v>48.0</v>
      </c>
      <c r="Q22" s="224"/>
      <c r="R22" s="225" t="s">
        <v>120</v>
      </c>
    </row>
    <row r="23">
      <c r="A23" s="202">
        <v>102.0</v>
      </c>
      <c r="B23" s="203" t="s">
        <v>86</v>
      </c>
      <c r="C23" s="205" t="s">
        <v>148</v>
      </c>
      <c r="D23" s="207" t="s">
        <v>149</v>
      </c>
      <c r="E23" s="205"/>
      <c r="F23" s="207"/>
      <c r="G23" s="228" t="s">
        <v>150</v>
      </c>
      <c r="H23" s="229" t="s">
        <v>151</v>
      </c>
      <c r="I23" s="231"/>
      <c r="J23" s="231"/>
      <c r="K23" s="213">
        <v>24.0</v>
      </c>
      <c r="L23" s="232">
        <v>16.799999999999997</v>
      </c>
      <c r="M23" s="97">
        <v>7.199999999999999</v>
      </c>
      <c r="N23" s="101"/>
      <c r="O23" s="101">
        <v>16.799999999999997</v>
      </c>
      <c r="P23" s="106">
        <v>48.0</v>
      </c>
      <c r="Q23" s="224"/>
      <c r="R23" s="225" t="s">
        <v>120</v>
      </c>
    </row>
    <row r="24">
      <c r="A24" s="202">
        <v>103.0</v>
      </c>
      <c r="B24" s="203" t="s">
        <v>86</v>
      </c>
      <c r="C24" s="205" t="s">
        <v>152</v>
      </c>
      <c r="D24" s="205" t="s">
        <v>153</v>
      </c>
      <c r="E24" s="205"/>
      <c r="F24" s="205"/>
      <c r="G24" s="205" t="s">
        <v>154</v>
      </c>
      <c r="H24" s="205" t="s">
        <v>155</v>
      </c>
      <c r="I24" s="231"/>
      <c r="J24" s="231"/>
      <c r="K24" s="213">
        <v>24.0</v>
      </c>
      <c r="L24" s="232">
        <v>16.799999999999997</v>
      </c>
      <c r="M24" s="97">
        <v>7.199999999999999</v>
      </c>
      <c r="N24" s="101"/>
      <c r="O24" s="101">
        <v>16.799999999999997</v>
      </c>
      <c r="P24" s="106">
        <v>48.0</v>
      </c>
      <c r="Q24" s="224"/>
      <c r="R24" s="225" t="s">
        <v>120</v>
      </c>
    </row>
    <row r="25">
      <c r="A25" s="202">
        <v>106.0</v>
      </c>
      <c r="B25" s="203" t="s">
        <v>86</v>
      </c>
      <c r="C25" s="205" t="s">
        <v>156</v>
      </c>
      <c r="D25" s="205" t="s">
        <v>157</v>
      </c>
      <c r="E25" s="205" t="s">
        <v>158</v>
      </c>
      <c r="F25" s="205" t="s">
        <v>159</v>
      </c>
      <c r="G25" s="205"/>
      <c r="H25" s="205"/>
      <c r="I25" s="231"/>
      <c r="J25" s="231"/>
      <c r="K25" s="213">
        <v>4.0</v>
      </c>
      <c r="L25" s="232">
        <v>2.8</v>
      </c>
      <c r="M25" s="97">
        <v>1.2</v>
      </c>
      <c r="N25" s="101"/>
      <c r="O25" s="101">
        <v>2.8</v>
      </c>
      <c r="P25" s="106">
        <v>8.0</v>
      </c>
      <c r="Q25" s="224"/>
      <c r="R25" s="225" t="s">
        <v>120</v>
      </c>
    </row>
    <row r="26">
      <c r="A26" s="202">
        <v>107.0</v>
      </c>
      <c r="B26" s="203" t="s">
        <v>86</v>
      </c>
      <c r="C26" s="205"/>
      <c r="D26" s="207"/>
      <c r="E26" s="205" t="s">
        <v>160</v>
      </c>
      <c r="F26" s="207" t="s">
        <v>161</v>
      </c>
      <c r="G26" s="228" t="s">
        <v>162</v>
      </c>
      <c r="H26" s="229" t="s">
        <v>163</v>
      </c>
      <c r="I26" s="231"/>
      <c r="J26" s="231"/>
      <c r="K26" s="213">
        <v>24.0</v>
      </c>
      <c r="L26" s="232">
        <v>16.799999999999997</v>
      </c>
      <c r="M26" s="97">
        <v>7.199999999999999</v>
      </c>
      <c r="N26" s="101"/>
      <c r="O26" s="101">
        <v>16.799999999999997</v>
      </c>
      <c r="P26" s="106">
        <v>48.0</v>
      </c>
      <c r="Q26" s="224"/>
      <c r="R26" s="225" t="s">
        <v>120</v>
      </c>
    </row>
    <row r="27">
      <c r="A27" s="202">
        <v>109.0</v>
      </c>
      <c r="B27" s="203" t="s">
        <v>86</v>
      </c>
      <c r="C27" s="205"/>
      <c r="D27" s="207"/>
      <c r="E27" s="205" t="s">
        <v>164</v>
      </c>
      <c r="F27" s="207" t="s">
        <v>165</v>
      </c>
      <c r="G27" s="228" t="s">
        <v>166</v>
      </c>
      <c r="H27" s="229" t="s">
        <v>167</v>
      </c>
      <c r="I27" s="231"/>
      <c r="J27" s="231"/>
      <c r="K27" s="213">
        <v>16.0</v>
      </c>
      <c r="L27" s="232">
        <v>11.2</v>
      </c>
      <c r="M27" s="97">
        <v>4.8</v>
      </c>
      <c r="N27" s="101"/>
      <c r="O27" s="101">
        <v>11.2</v>
      </c>
      <c r="P27" s="106">
        <v>32.0</v>
      </c>
      <c r="Q27" s="224"/>
      <c r="R27" s="225" t="s">
        <v>120</v>
      </c>
    </row>
    <row r="28">
      <c r="A28" s="202">
        <v>110.0</v>
      </c>
      <c r="B28" s="234" t="s">
        <v>86</v>
      </c>
      <c r="C28" s="205"/>
      <c r="D28" s="207"/>
      <c r="E28" s="205" t="s">
        <v>168</v>
      </c>
      <c r="F28" s="207" t="s">
        <v>169</v>
      </c>
      <c r="G28" s="228" t="s">
        <v>170</v>
      </c>
      <c r="H28" s="229" t="s">
        <v>171</v>
      </c>
      <c r="I28" s="231"/>
      <c r="J28" s="231"/>
      <c r="K28" s="213">
        <v>16.0</v>
      </c>
      <c r="L28" s="232">
        <v>11.2</v>
      </c>
      <c r="M28" s="97">
        <v>4.8</v>
      </c>
      <c r="N28" s="101"/>
      <c r="O28" s="101">
        <v>11.2</v>
      </c>
      <c r="P28" s="106">
        <v>32.0</v>
      </c>
      <c r="Q28" s="224"/>
      <c r="R28" s="225" t="s">
        <v>120</v>
      </c>
    </row>
    <row r="29">
      <c r="A29" s="202">
        <v>113.0</v>
      </c>
      <c r="B29" s="203" t="s">
        <v>86</v>
      </c>
      <c r="C29" s="205"/>
      <c r="D29" s="207"/>
      <c r="E29" s="205" t="s">
        <v>172</v>
      </c>
      <c r="F29" s="207" t="s">
        <v>173</v>
      </c>
      <c r="G29" s="205"/>
      <c r="H29" s="227"/>
      <c r="I29" s="231"/>
      <c r="J29" s="231"/>
      <c r="K29" s="213">
        <v>4.0</v>
      </c>
      <c r="L29" s="232">
        <v>2.8</v>
      </c>
      <c r="M29" s="97">
        <v>1.2</v>
      </c>
      <c r="N29" s="101"/>
      <c r="O29" s="101">
        <v>2.8</v>
      </c>
      <c r="P29" s="106">
        <v>8.0</v>
      </c>
      <c r="Q29" s="224"/>
      <c r="R29" s="225" t="s">
        <v>120</v>
      </c>
    </row>
    <row r="30">
      <c r="A30" s="202">
        <v>115.0</v>
      </c>
      <c r="B30" s="203" t="s">
        <v>137</v>
      </c>
      <c r="C30" s="205" t="s">
        <v>174</v>
      </c>
      <c r="D30" s="207" t="s">
        <v>175</v>
      </c>
      <c r="E30" s="205" t="s">
        <v>176</v>
      </c>
      <c r="F30" s="207" t="s">
        <v>177</v>
      </c>
      <c r="G30" s="205"/>
      <c r="H30" s="227"/>
      <c r="I30" s="238"/>
      <c r="J30" s="238"/>
      <c r="K30" s="213">
        <v>8.0</v>
      </c>
      <c r="L30" s="232">
        <v>5.6</v>
      </c>
      <c r="M30" s="97">
        <v>2.4</v>
      </c>
      <c r="N30" s="101"/>
      <c r="O30" s="101">
        <v>5.6</v>
      </c>
      <c r="P30" s="106">
        <v>16.0</v>
      </c>
      <c r="Q30" s="224"/>
      <c r="R30" s="225" t="s">
        <v>120</v>
      </c>
    </row>
    <row r="31">
      <c r="A31" s="202">
        <v>116.0</v>
      </c>
      <c r="B31" s="203" t="s">
        <v>137</v>
      </c>
      <c r="C31" s="205" t="s">
        <v>178</v>
      </c>
      <c r="D31" s="207" t="s">
        <v>179</v>
      </c>
      <c r="E31" s="205" t="s">
        <v>180</v>
      </c>
      <c r="F31" s="207" t="s">
        <v>181</v>
      </c>
      <c r="G31" s="205" t="s">
        <v>182</v>
      </c>
      <c r="H31" s="227" t="s">
        <v>183</v>
      </c>
      <c r="I31" s="238"/>
      <c r="J31" s="238"/>
      <c r="K31" s="213">
        <v>16.0</v>
      </c>
      <c r="L31" s="232">
        <v>11.2</v>
      </c>
      <c r="M31" s="97">
        <v>4.8</v>
      </c>
      <c r="N31" s="101"/>
      <c r="O31" s="101">
        <v>11.2</v>
      </c>
      <c r="P31" s="106">
        <v>32.0</v>
      </c>
      <c r="Q31" s="224"/>
      <c r="R31" s="225" t="s">
        <v>120</v>
      </c>
    </row>
    <row r="32">
      <c r="A32" s="202">
        <v>117.0</v>
      </c>
      <c r="B32" s="203" t="s">
        <v>137</v>
      </c>
      <c r="C32" s="205" t="s">
        <v>185</v>
      </c>
      <c r="D32" s="207" t="s">
        <v>186</v>
      </c>
      <c r="E32" s="205" t="s">
        <v>187</v>
      </c>
      <c r="F32" s="207" t="s">
        <v>188</v>
      </c>
      <c r="G32" s="228"/>
      <c r="H32" s="229"/>
      <c r="I32" s="231"/>
      <c r="J32" s="231"/>
      <c r="K32" s="213">
        <v>16.0</v>
      </c>
      <c r="L32" s="232">
        <v>11.2</v>
      </c>
      <c r="M32" s="97">
        <v>4.8</v>
      </c>
      <c r="N32" s="101"/>
      <c r="O32" s="101">
        <v>11.2</v>
      </c>
      <c r="P32" s="106">
        <v>32.0</v>
      </c>
      <c r="Q32" s="224"/>
      <c r="R32" s="225" t="s">
        <v>120</v>
      </c>
    </row>
    <row r="33">
      <c r="A33" s="202">
        <v>118.0</v>
      </c>
      <c r="B33" s="203" t="s">
        <v>137</v>
      </c>
      <c r="C33" s="205" t="s">
        <v>189</v>
      </c>
      <c r="D33" s="207" t="s">
        <v>190</v>
      </c>
      <c r="E33" s="205" t="s">
        <v>191</v>
      </c>
      <c r="F33" s="207" t="s">
        <v>192</v>
      </c>
      <c r="G33" s="228" t="s">
        <v>193</v>
      </c>
      <c r="H33" s="229" t="s">
        <v>194</v>
      </c>
      <c r="I33" s="231"/>
      <c r="J33" s="231"/>
      <c r="K33" s="213">
        <v>16.0</v>
      </c>
      <c r="L33" s="232">
        <v>11.2</v>
      </c>
      <c r="M33" s="97">
        <v>4.8</v>
      </c>
      <c r="N33" s="101"/>
      <c r="O33" s="101">
        <v>11.2</v>
      </c>
      <c r="P33" s="106">
        <v>32.0</v>
      </c>
      <c r="Q33" s="224"/>
      <c r="R33" s="225" t="s">
        <v>120</v>
      </c>
    </row>
    <row r="34">
      <c r="A34" s="202">
        <v>119.0</v>
      </c>
      <c r="B34" s="203" t="s">
        <v>137</v>
      </c>
      <c r="C34" s="205" t="s">
        <v>196</v>
      </c>
      <c r="D34" s="207" t="s">
        <v>197</v>
      </c>
      <c r="E34" s="205" t="s">
        <v>198</v>
      </c>
      <c r="F34" s="207" t="s">
        <v>199</v>
      </c>
      <c r="G34" s="205" t="s">
        <v>200</v>
      </c>
      <c r="H34" s="227" t="s">
        <v>201</v>
      </c>
      <c r="I34" s="231"/>
      <c r="J34" s="231"/>
      <c r="K34" s="213">
        <v>16.0</v>
      </c>
      <c r="L34" s="232">
        <v>11.2</v>
      </c>
      <c r="M34" s="97">
        <v>4.8</v>
      </c>
      <c r="N34" s="101"/>
      <c r="O34" s="101">
        <v>11.2</v>
      </c>
      <c r="P34" s="106">
        <v>32.0</v>
      </c>
      <c r="Q34" s="224"/>
      <c r="R34" s="225" t="s">
        <v>120</v>
      </c>
    </row>
    <row r="35">
      <c r="A35" s="202">
        <v>120.0</v>
      </c>
      <c r="B35" s="203" t="s">
        <v>137</v>
      </c>
      <c r="C35" s="205" t="s">
        <v>202</v>
      </c>
      <c r="D35" s="207" t="s">
        <v>203</v>
      </c>
      <c r="E35" s="205" t="s">
        <v>204</v>
      </c>
      <c r="F35" s="207" t="s">
        <v>205</v>
      </c>
      <c r="G35" s="205" t="s">
        <v>206</v>
      </c>
      <c r="H35" s="227" t="s">
        <v>207</v>
      </c>
      <c r="I35" s="238"/>
      <c r="J35" s="238"/>
      <c r="K35" s="213">
        <v>32.0</v>
      </c>
      <c r="L35" s="232">
        <v>22.4</v>
      </c>
      <c r="M35" s="97">
        <v>9.6</v>
      </c>
      <c r="N35" s="101"/>
      <c r="O35" s="101">
        <v>22.4</v>
      </c>
      <c r="P35" s="106">
        <v>64.0</v>
      </c>
      <c r="Q35" s="224"/>
      <c r="R35" s="225" t="s">
        <v>120</v>
      </c>
    </row>
    <row r="36">
      <c r="A36" s="202">
        <v>121.0</v>
      </c>
      <c r="B36" s="203" t="s">
        <v>137</v>
      </c>
      <c r="C36" s="205" t="s">
        <v>209</v>
      </c>
      <c r="D36" s="207" t="s">
        <v>210</v>
      </c>
      <c r="E36" s="205" t="s">
        <v>211</v>
      </c>
      <c r="F36" s="207" t="s">
        <v>212</v>
      </c>
      <c r="G36" s="205" t="s">
        <v>140</v>
      </c>
      <c r="H36" s="227" t="s">
        <v>141</v>
      </c>
      <c r="I36" s="249"/>
      <c r="J36" s="249"/>
      <c r="K36" s="213">
        <v>16.0</v>
      </c>
      <c r="L36" s="232">
        <v>11.2</v>
      </c>
      <c r="M36" s="97">
        <v>4.8</v>
      </c>
      <c r="N36" s="101"/>
      <c r="O36" s="101">
        <v>11.2</v>
      </c>
      <c r="P36" s="106">
        <v>32.0</v>
      </c>
      <c r="Q36" s="224"/>
      <c r="R36" s="225" t="s">
        <v>120</v>
      </c>
    </row>
    <row r="37">
      <c r="A37" s="202">
        <v>122.0</v>
      </c>
      <c r="B37" s="252" t="s">
        <v>137</v>
      </c>
      <c r="C37" s="205" t="s">
        <v>213</v>
      </c>
      <c r="D37" s="207" t="s">
        <v>214</v>
      </c>
      <c r="E37" s="205" t="s">
        <v>215</v>
      </c>
      <c r="F37" s="207" t="s">
        <v>216</v>
      </c>
      <c r="G37" s="205" t="s">
        <v>217</v>
      </c>
      <c r="H37" s="227" t="s">
        <v>218</v>
      </c>
      <c r="I37" s="249"/>
      <c r="J37" s="249"/>
      <c r="K37" s="213">
        <v>40.0</v>
      </c>
      <c r="L37" s="232">
        <v>28.0</v>
      </c>
      <c r="M37" s="97">
        <v>12.0</v>
      </c>
      <c r="N37" s="101"/>
      <c r="O37" s="101">
        <v>28.0</v>
      </c>
      <c r="P37" s="106">
        <v>80.0</v>
      </c>
      <c r="Q37" s="224"/>
      <c r="R37" s="225" t="s">
        <v>120</v>
      </c>
    </row>
    <row r="38">
      <c r="A38" s="202">
        <v>124.0</v>
      </c>
      <c r="B38" s="203"/>
      <c r="C38" s="205" t="s">
        <v>219</v>
      </c>
      <c r="D38" s="207" t="s">
        <v>220</v>
      </c>
      <c r="E38" s="205"/>
      <c r="F38" s="207"/>
      <c r="G38" s="205" t="s">
        <v>219</v>
      </c>
      <c r="H38" s="227" t="s">
        <v>220</v>
      </c>
      <c r="I38" s="249"/>
      <c r="J38" s="249"/>
      <c r="K38" s="213">
        <v>8.0</v>
      </c>
      <c r="L38" s="232">
        <v>5.6</v>
      </c>
      <c r="M38" s="97">
        <v>2.4</v>
      </c>
      <c r="N38" s="101"/>
      <c r="O38" s="101">
        <v>5.6</v>
      </c>
      <c r="P38" s="106">
        <v>16.0</v>
      </c>
      <c r="Q38" s="224"/>
      <c r="R38" s="225" t="s">
        <v>120</v>
      </c>
    </row>
    <row r="39">
      <c r="A39" s="202">
        <v>125.0</v>
      </c>
      <c r="B39" s="234" t="s">
        <v>221</v>
      </c>
      <c r="C39" s="205" t="s">
        <v>222</v>
      </c>
      <c r="D39" s="207" t="s">
        <v>223</v>
      </c>
      <c r="E39" s="205"/>
      <c r="F39" s="207"/>
      <c r="G39" s="205"/>
      <c r="H39" s="227"/>
      <c r="I39" s="249"/>
      <c r="J39" s="249"/>
      <c r="K39" s="213">
        <v>16.0</v>
      </c>
      <c r="L39" s="232">
        <v>11.2</v>
      </c>
      <c r="M39" s="97">
        <v>4.8</v>
      </c>
      <c r="N39" s="101"/>
      <c r="O39" s="101">
        <v>11.2</v>
      </c>
      <c r="P39" s="106">
        <v>32.0</v>
      </c>
      <c r="Q39" s="224"/>
      <c r="R39" s="225" t="s">
        <v>120</v>
      </c>
    </row>
    <row r="40">
      <c r="A40" s="202">
        <v>127.0</v>
      </c>
      <c r="B40" s="234" t="s">
        <v>221</v>
      </c>
      <c r="C40" s="205" t="s">
        <v>224</v>
      </c>
      <c r="D40" s="205" t="s">
        <v>225</v>
      </c>
      <c r="E40" s="205"/>
      <c r="F40" s="205"/>
      <c r="G40" s="205"/>
      <c r="H40" s="205"/>
      <c r="I40" s="249"/>
      <c r="J40" s="249"/>
      <c r="K40" s="213">
        <v>8.0</v>
      </c>
      <c r="L40" s="232">
        <v>5.6</v>
      </c>
      <c r="M40" s="97">
        <v>2.4</v>
      </c>
      <c r="N40" s="101"/>
      <c r="O40" s="101">
        <v>5.6</v>
      </c>
      <c r="P40" s="106">
        <v>16.0</v>
      </c>
      <c r="Q40" s="224"/>
      <c r="R40" s="225" t="s">
        <v>120</v>
      </c>
    </row>
    <row r="41">
      <c r="A41" s="202">
        <v>128.0</v>
      </c>
      <c r="B41" s="234" t="s">
        <v>221</v>
      </c>
      <c r="C41" s="205" t="s">
        <v>226</v>
      </c>
      <c r="D41" s="227" t="s">
        <v>227</v>
      </c>
      <c r="E41" s="205"/>
      <c r="F41" s="207"/>
      <c r="G41" s="205" t="s">
        <v>228</v>
      </c>
      <c r="H41" s="227" t="s">
        <v>229</v>
      </c>
      <c r="I41" s="249"/>
      <c r="J41" s="249"/>
      <c r="K41" s="213">
        <v>32.0</v>
      </c>
      <c r="L41" s="232">
        <v>22.4</v>
      </c>
      <c r="M41" s="97">
        <v>9.6</v>
      </c>
      <c r="N41" s="101"/>
      <c r="O41" s="101">
        <v>22.4</v>
      </c>
      <c r="P41" s="106">
        <v>64.0</v>
      </c>
      <c r="Q41" s="224"/>
      <c r="R41" s="225" t="s">
        <v>120</v>
      </c>
    </row>
    <row r="42">
      <c r="A42" s="202">
        <v>129.0</v>
      </c>
      <c r="B42" s="234" t="s">
        <v>221</v>
      </c>
      <c r="C42" s="205" t="s">
        <v>230</v>
      </c>
      <c r="D42" s="207" t="s">
        <v>231</v>
      </c>
      <c r="E42" s="205"/>
      <c r="F42" s="207"/>
      <c r="G42" s="254"/>
      <c r="H42" s="227"/>
      <c r="I42" s="249"/>
      <c r="J42" s="249"/>
      <c r="K42" s="255">
        <v>16.0</v>
      </c>
      <c r="L42" s="232">
        <v>11.2</v>
      </c>
      <c r="M42" s="97">
        <v>4.8</v>
      </c>
      <c r="N42" s="101"/>
      <c r="O42" s="101">
        <v>11.2</v>
      </c>
      <c r="P42" s="106">
        <v>32.0</v>
      </c>
      <c r="Q42" s="224"/>
      <c r="R42" s="225" t="s">
        <v>120</v>
      </c>
    </row>
    <row r="43">
      <c r="A43" s="202">
        <v>130.0</v>
      </c>
      <c r="B43" s="203" t="s">
        <v>232</v>
      </c>
      <c r="C43" s="205" t="s">
        <v>233</v>
      </c>
      <c r="D43" s="207" t="s">
        <v>234</v>
      </c>
      <c r="E43" s="205"/>
      <c r="F43" s="207"/>
      <c r="G43" s="205" t="s">
        <v>233</v>
      </c>
      <c r="H43" s="227" t="s">
        <v>234</v>
      </c>
      <c r="I43" s="249"/>
      <c r="J43" s="249"/>
      <c r="K43" s="255">
        <v>16.0</v>
      </c>
      <c r="L43" s="232">
        <v>11.2</v>
      </c>
      <c r="M43" s="97">
        <v>4.8</v>
      </c>
      <c r="N43" s="101"/>
      <c r="O43" s="101">
        <v>11.2</v>
      </c>
      <c r="P43" s="106">
        <v>32.0</v>
      </c>
      <c r="Q43" s="224"/>
      <c r="R43" s="225" t="s">
        <v>120</v>
      </c>
    </row>
    <row r="44">
      <c r="A44" s="202">
        <v>134.0</v>
      </c>
      <c r="B44" s="203" t="s">
        <v>235</v>
      </c>
      <c r="C44" s="205" t="s">
        <v>236</v>
      </c>
      <c r="D44" s="207" t="s">
        <v>237</v>
      </c>
      <c r="E44" s="205"/>
      <c r="F44" s="207"/>
      <c r="G44" s="205"/>
      <c r="H44" s="227"/>
      <c r="I44" s="249"/>
      <c r="J44" s="249"/>
      <c r="K44" s="255">
        <v>8.0</v>
      </c>
      <c r="L44" s="232">
        <v>5.6</v>
      </c>
      <c r="M44" s="97">
        <v>2.4</v>
      </c>
      <c r="N44" s="101"/>
      <c r="O44" s="101">
        <v>5.6</v>
      </c>
      <c r="P44" s="106">
        <v>16.0</v>
      </c>
      <c r="Q44" s="224"/>
      <c r="R44" s="225" t="s">
        <v>120</v>
      </c>
    </row>
    <row r="45">
      <c r="A45" s="202">
        <v>135.0</v>
      </c>
      <c r="B45" s="203" t="s">
        <v>235</v>
      </c>
      <c r="C45" s="205" t="s">
        <v>238</v>
      </c>
      <c r="D45" s="207" t="s">
        <v>239</v>
      </c>
      <c r="E45" s="205"/>
      <c r="F45" s="207"/>
      <c r="G45" s="205" t="s">
        <v>238</v>
      </c>
      <c r="H45" s="227" t="s">
        <v>239</v>
      </c>
      <c r="I45" s="249"/>
      <c r="J45" s="249"/>
      <c r="K45" s="255">
        <v>24.0</v>
      </c>
      <c r="L45" s="232">
        <v>16.799999999999997</v>
      </c>
      <c r="M45" s="97">
        <v>7.199999999999999</v>
      </c>
      <c r="N45" s="101"/>
      <c r="O45" s="101">
        <v>16.799999999999997</v>
      </c>
      <c r="P45" s="106">
        <v>48.0</v>
      </c>
      <c r="Q45" s="224"/>
      <c r="R45" s="225" t="s">
        <v>120</v>
      </c>
    </row>
    <row r="46">
      <c r="A46" s="202">
        <v>137.0</v>
      </c>
      <c r="B46" s="234" t="s">
        <v>86</v>
      </c>
      <c r="C46" s="205" t="s">
        <v>240</v>
      </c>
      <c r="D46" s="207" t="s">
        <v>241</v>
      </c>
      <c r="E46" s="205"/>
      <c r="F46" s="207"/>
      <c r="G46" s="205" t="s">
        <v>242</v>
      </c>
      <c r="H46" s="227" t="s">
        <v>243</v>
      </c>
      <c r="I46" s="249"/>
      <c r="J46" s="249"/>
      <c r="K46" s="213">
        <v>8.0</v>
      </c>
      <c r="L46" s="232">
        <v>5.6</v>
      </c>
      <c r="M46" s="97">
        <v>2.4</v>
      </c>
      <c r="N46" s="101"/>
      <c r="O46" s="101">
        <v>5.6</v>
      </c>
      <c r="P46" s="106">
        <v>16.0</v>
      </c>
      <c r="Q46" s="224"/>
      <c r="R46" s="225" t="s">
        <v>120</v>
      </c>
    </row>
    <row r="47">
      <c r="A47" s="202">
        <v>144.0</v>
      </c>
      <c r="B47" s="234" t="s">
        <v>244</v>
      </c>
      <c r="C47" s="205" t="s">
        <v>245</v>
      </c>
      <c r="D47" s="207" t="s">
        <v>246</v>
      </c>
      <c r="E47" s="205"/>
      <c r="F47" s="207"/>
      <c r="G47" s="205" t="s">
        <v>247</v>
      </c>
      <c r="H47" s="227" t="s">
        <v>248</v>
      </c>
      <c r="I47" s="249"/>
      <c r="J47" s="249"/>
      <c r="K47" s="213">
        <v>8.0</v>
      </c>
      <c r="L47" s="232">
        <v>5.6</v>
      </c>
      <c r="M47" s="97">
        <v>2.4</v>
      </c>
      <c r="N47" s="101"/>
      <c r="O47" s="101">
        <v>5.6</v>
      </c>
      <c r="P47" s="106">
        <v>16.0</v>
      </c>
      <c r="Q47" s="224"/>
      <c r="R47" s="225" t="s">
        <v>120</v>
      </c>
    </row>
    <row r="48">
      <c r="A48" s="202">
        <v>147.0</v>
      </c>
      <c r="B48" s="203"/>
      <c r="C48" s="205" t="s">
        <v>249</v>
      </c>
      <c r="D48" s="205" t="s">
        <v>250</v>
      </c>
      <c r="E48" s="205"/>
      <c r="F48" s="207"/>
      <c r="G48" s="205" t="s">
        <v>251</v>
      </c>
      <c r="H48" s="207" t="s">
        <v>252</v>
      </c>
      <c r="I48" s="249"/>
      <c r="J48" s="249"/>
      <c r="K48" s="213">
        <v>4.0</v>
      </c>
      <c r="L48" s="232">
        <v>2.8</v>
      </c>
      <c r="M48" s="97">
        <v>1.2</v>
      </c>
      <c r="N48" s="101"/>
      <c r="O48" s="101">
        <v>2.8</v>
      </c>
      <c r="P48" s="106">
        <v>8.0</v>
      </c>
      <c r="Q48" s="224"/>
      <c r="R48" s="225" t="s">
        <v>120</v>
      </c>
    </row>
    <row r="49">
      <c r="A49" s="202">
        <v>149.0</v>
      </c>
      <c r="B49" s="203"/>
      <c r="C49" s="205" t="s">
        <v>253</v>
      </c>
      <c r="D49" s="207" t="s">
        <v>254</v>
      </c>
      <c r="E49" s="205" t="s">
        <v>255</v>
      </c>
      <c r="F49" s="207" t="s">
        <v>256</v>
      </c>
      <c r="G49" s="205" t="s">
        <v>257</v>
      </c>
      <c r="H49" s="227" t="s">
        <v>258</v>
      </c>
      <c r="I49" s="249"/>
      <c r="J49" s="249"/>
      <c r="K49" s="213">
        <v>16.0</v>
      </c>
      <c r="L49" s="232">
        <v>11.2</v>
      </c>
      <c r="M49" s="97">
        <v>4.8</v>
      </c>
      <c r="N49" s="101"/>
      <c r="O49" s="101">
        <v>11.2</v>
      </c>
      <c r="P49" s="106">
        <v>32.0</v>
      </c>
      <c r="Q49" s="224"/>
      <c r="R49" s="225" t="s">
        <v>120</v>
      </c>
    </row>
    <row r="50">
      <c r="A50" s="202">
        <v>150.0</v>
      </c>
      <c r="B50" s="203"/>
      <c r="C50" s="205" t="s">
        <v>259</v>
      </c>
      <c r="D50" s="207" t="s">
        <v>260</v>
      </c>
      <c r="E50" s="205" t="s">
        <v>261</v>
      </c>
      <c r="F50" s="207" t="s">
        <v>262</v>
      </c>
      <c r="G50" s="205" t="s">
        <v>263</v>
      </c>
      <c r="H50" s="227" t="s">
        <v>264</v>
      </c>
      <c r="I50" s="249"/>
      <c r="J50" s="249"/>
      <c r="K50" s="213">
        <v>16.0</v>
      </c>
      <c r="L50" s="232">
        <v>11.2</v>
      </c>
      <c r="M50" s="97">
        <v>4.8</v>
      </c>
      <c r="N50" s="101"/>
      <c r="O50" s="101">
        <v>11.2</v>
      </c>
      <c r="P50" s="106">
        <v>32.0</v>
      </c>
      <c r="Q50" s="224"/>
      <c r="R50" s="225" t="s">
        <v>120</v>
      </c>
    </row>
    <row r="51">
      <c r="A51" s="202">
        <v>151.0</v>
      </c>
      <c r="B51" s="203"/>
      <c r="C51" s="205" t="s">
        <v>265</v>
      </c>
      <c r="D51" s="207" t="s">
        <v>266</v>
      </c>
      <c r="E51" s="205" t="s">
        <v>267</v>
      </c>
      <c r="F51" s="207" t="s">
        <v>268</v>
      </c>
      <c r="G51" s="205" t="s">
        <v>269</v>
      </c>
      <c r="H51" s="227" t="s">
        <v>270</v>
      </c>
      <c r="I51" s="249"/>
      <c r="J51" s="249"/>
      <c r="K51" s="213">
        <v>32.0</v>
      </c>
      <c r="L51" s="232">
        <v>22.4</v>
      </c>
      <c r="M51" s="97">
        <v>9.6</v>
      </c>
      <c r="N51" s="101"/>
      <c r="O51" s="101">
        <v>22.4</v>
      </c>
      <c r="P51" s="106">
        <v>64.0</v>
      </c>
      <c r="Q51" s="224"/>
      <c r="R51" s="225" t="s">
        <v>120</v>
      </c>
    </row>
    <row r="52">
      <c r="A52" s="202">
        <v>152.0</v>
      </c>
      <c r="B52" s="203"/>
      <c r="C52" s="205" t="s">
        <v>271</v>
      </c>
      <c r="D52" s="207" t="s">
        <v>272</v>
      </c>
      <c r="E52" s="205"/>
      <c r="F52" s="207"/>
      <c r="G52" s="205" t="s">
        <v>273</v>
      </c>
      <c r="H52" s="227" t="s">
        <v>274</v>
      </c>
      <c r="I52" s="249"/>
      <c r="J52" s="249"/>
      <c r="K52" s="213">
        <v>32.0</v>
      </c>
      <c r="L52" s="232">
        <v>22.4</v>
      </c>
      <c r="M52" s="97">
        <v>9.6</v>
      </c>
      <c r="N52" s="101"/>
      <c r="O52" s="101">
        <v>22.4</v>
      </c>
      <c r="P52" s="106">
        <v>64.0</v>
      </c>
      <c r="Q52" s="224"/>
      <c r="R52" s="225" t="s">
        <v>120</v>
      </c>
    </row>
    <row r="53">
      <c r="A53" s="202">
        <v>153.0</v>
      </c>
      <c r="B53" s="234"/>
      <c r="C53" s="205" t="s">
        <v>275</v>
      </c>
      <c r="D53" s="207" t="s">
        <v>276</v>
      </c>
      <c r="E53" s="205"/>
      <c r="F53" s="207"/>
      <c r="G53" s="205" t="s">
        <v>277</v>
      </c>
      <c r="H53" s="227" t="s">
        <v>278</v>
      </c>
      <c r="I53" s="249"/>
      <c r="J53" s="249"/>
      <c r="K53" s="213">
        <v>32.0</v>
      </c>
      <c r="L53" s="232">
        <v>22.4</v>
      </c>
      <c r="M53" s="97">
        <v>9.6</v>
      </c>
      <c r="N53" s="101"/>
      <c r="O53" s="101">
        <v>22.4</v>
      </c>
      <c r="P53" s="106">
        <v>64.0</v>
      </c>
      <c r="Q53" s="224"/>
      <c r="R53" s="225" t="s">
        <v>120</v>
      </c>
    </row>
    <row r="54">
      <c r="A54" s="202">
        <v>154.0</v>
      </c>
      <c r="B54" s="203"/>
      <c r="C54" s="205" t="s">
        <v>279</v>
      </c>
      <c r="D54" s="207" t="s">
        <v>280</v>
      </c>
      <c r="E54" s="205"/>
      <c r="F54" s="207"/>
      <c r="G54" s="205"/>
      <c r="H54" s="227"/>
      <c r="I54" s="249"/>
      <c r="J54" s="249"/>
      <c r="K54" s="213">
        <v>16.0</v>
      </c>
      <c r="L54" s="232">
        <v>11.2</v>
      </c>
      <c r="M54" s="97">
        <v>4.8</v>
      </c>
      <c r="N54" s="101"/>
      <c r="O54" s="101">
        <v>11.2</v>
      </c>
      <c r="P54" s="106">
        <v>32.0</v>
      </c>
      <c r="Q54" s="224"/>
      <c r="R54" s="225" t="s">
        <v>120</v>
      </c>
    </row>
    <row r="55">
      <c r="A55" s="202">
        <v>155.0</v>
      </c>
      <c r="B55" s="234"/>
      <c r="C55" s="205" t="s">
        <v>281</v>
      </c>
      <c r="D55" s="207" t="s">
        <v>282</v>
      </c>
      <c r="E55" s="205"/>
      <c r="F55" s="207"/>
      <c r="G55" s="205" t="s">
        <v>283</v>
      </c>
      <c r="H55" s="227" t="s">
        <v>284</v>
      </c>
      <c r="I55" s="249"/>
      <c r="J55" s="249"/>
      <c r="K55" s="213">
        <v>16.0</v>
      </c>
      <c r="L55" s="232">
        <v>11.2</v>
      </c>
      <c r="M55" s="97">
        <v>4.8</v>
      </c>
      <c r="N55" s="101"/>
      <c r="O55" s="101">
        <v>11.2</v>
      </c>
      <c r="P55" s="106">
        <v>32.0</v>
      </c>
      <c r="Q55" s="224"/>
      <c r="R55" s="225" t="s">
        <v>120</v>
      </c>
    </row>
    <row r="56">
      <c r="A56" s="202">
        <v>157.0</v>
      </c>
      <c r="B56" s="234" t="s">
        <v>285</v>
      </c>
      <c r="C56" s="205" t="s">
        <v>286</v>
      </c>
      <c r="D56" s="207" t="s">
        <v>287</v>
      </c>
      <c r="E56" s="205" t="s">
        <v>288</v>
      </c>
      <c r="F56" s="207" t="s">
        <v>289</v>
      </c>
      <c r="G56" s="205" t="s">
        <v>290</v>
      </c>
      <c r="H56" s="227" t="s">
        <v>291</v>
      </c>
      <c r="I56" s="249"/>
      <c r="J56" s="249"/>
      <c r="K56" s="213">
        <v>16.0</v>
      </c>
      <c r="L56" s="232">
        <v>11.2</v>
      </c>
      <c r="M56" s="97">
        <v>4.8</v>
      </c>
      <c r="N56" s="101"/>
      <c r="O56" s="101">
        <v>11.2</v>
      </c>
      <c r="P56" s="106">
        <v>32.0</v>
      </c>
      <c r="Q56" s="224"/>
      <c r="R56" s="225" t="s">
        <v>120</v>
      </c>
    </row>
    <row r="57">
      <c r="A57" s="202">
        <v>158.0</v>
      </c>
      <c r="B57" s="234" t="s">
        <v>285</v>
      </c>
      <c r="C57" s="205" t="s">
        <v>292</v>
      </c>
      <c r="D57" s="207" t="s">
        <v>293</v>
      </c>
      <c r="E57" s="205" t="s">
        <v>294</v>
      </c>
      <c r="F57" s="207" t="s">
        <v>295</v>
      </c>
      <c r="G57" s="205"/>
      <c r="H57" s="227"/>
      <c r="I57" s="249"/>
      <c r="J57" s="249"/>
      <c r="K57" s="213">
        <v>16.0</v>
      </c>
      <c r="L57" s="232">
        <v>11.2</v>
      </c>
      <c r="M57" s="97">
        <v>4.8</v>
      </c>
      <c r="N57" s="101"/>
      <c r="O57" s="101">
        <v>11.2</v>
      </c>
      <c r="P57" s="106">
        <v>32.0</v>
      </c>
      <c r="Q57" s="224"/>
      <c r="R57" s="225" t="s">
        <v>120</v>
      </c>
    </row>
    <row r="58">
      <c r="A58" s="202">
        <v>159.0</v>
      </c>
      <c r="B58" s="234" t="s">
        <v>285</v>
      </c>
      <c r="C58" s="205" t="s">
        <v>296</v>
      </c>
      <c r="D58" s="207" t="s">
        <v>297</v>
      </c>
      <c r="E58" s="205" t="s">
        <v>298</v>
      </c>
      <c r="F58" s="207" t="s">
        <v>299</v>
      </c>
      <c r="G58" s="205"/>
      <c r="H58" s="227"/>
      <c r="I58" s="249"/>
      <c r="J58" s="249"/>
      <c r="K58" s="213">
        <v>32.0</v>
      </c>
      <c r="L58" s="232">
        <v>22.4</v>
      </c>
      <c r="M58" s="97">
        <v>9.6</v>
      </c>
      <c r="N58" s="101"/>
      <c r="O58" s="101">
        <v>22.4</v>
      </c>
      <c r="P58" s="106">
        <v>64.0</v>
      </c>
      <c r="Q58" s="224"/>
      <c r="R58" s="225" t="s">
        <v>120</v>
      </c>
    </row>
    <row r="59">
      <c r="A59" s="202">
        <v>160.0</v>
      </c>
      <c r="B59" s="234" t="s">
        <v>285</v>
      </c>
      <c r="C59" s="205" t="s">
        <v>300</v>
      </c>
      <c r="D59" s="207" t="s">
        <v>301</v>
      </c>
      <c r="E59" s="205" t="s">
        <v>302</v>
      </c>
      <c r="F59" s="207" t="s">
        <v>303</v>
      </c>
      <c r="G59" s="205"/>
      <c r="H59" s="227"/>
      <c r="I59" s="249"/>
      <c r="J59" s="249"/>
      <c r="K59" s="213">
        <v>16.0</v>
      </c>
      <c r="L59" s="232">
        <v>11.2</v>
      </c>
      <c r="M59" s="97">
        <v>4.8</v>
      </c>
      <c r="N59" s="101"/>
      <c r="O59" s="101">
        <v>11.2</v>
      </c>
      <c r="P59" s="106">
        <v>32.0</v>
      </c>
      <c r="Q59" s="224"/>
      <c r="R59" s="225" t="s">
        <v>120</v>
      </c>
    </row>
    <row r="60">
      <c r="A60" s="202">
        <v>161.0</v>
      </c>
      <c r="B60" s="234" t="s">
        <v>285</v>
      </c>
      <c r="C60" s="205" t="s">
        <v>304</v>
      </c>
      <c r="D60" s="207" t="s">
        <v>305</v>
      </c>
      <c r="E60" s="205" t="s">
        <v>306</v>
      </c>
      <c r="F60" s="207" t="s">
        <v>307</v>
      </c>
      <c r="G60" s="205"/>
      <c r="H60" s="227"/>
      <c r="I60" s="249"/>
      <c r="J60" s="249"/>
      <c r="K60" s="213">
        <v>8.0</v>
      </c>
      <c r="L60" s="232">
        <v>5.6</v>
      </c>
      <c r="M60" s="97">
        <v>2.4</v>
      </c>
      <c r="N60" s="101"/>
      <c r="O60" s="101">
        <v>5.6</v>
      </c>
      <c r="P60" s="106">
        <v>16.0</v>
      </c>
      <c r="Q60" s="224"/>
      <c r="R60" s="225" t="s">
        <v>120</v>
      </c>
    </row>
    <row r="61">
      <c r="A61" s="202">
        <v>162.0</v>
      </c>
      <c r="B61" s="234" t="s">
        <v>285</v>
      </c>
      <c r="C61" s="205" t="s">
        <v>308</v>
      </c>
      <c r="D61" s="207" t="s">
        <v>309</v>
      </c>
      <c r="E61" s="205" t="s">
        <v>310</v>
      </c>
      <c r="F61" s="207" t="s">
        <v>311</v>
      </c>
      <c r="G61" s="205" t="s">
        <v>312</v>
      </c>
      <c r="H61" s="227" t="s">
        <v>313</v>
      </c>
      <c r="I61" s="249"/>
      <c r="J61" s="249"/>
      <c r="K61" s="213">
        <v>24.0</v>
      </c>
      <c r="L61" s="232">
        <v>16.799999999999997</v>
      </c>
      <c r="M61" s="97">
        <v>7.199999999999999</v>
      </c>
      <c r="N61" s="101"/>
      <c r="O61" s="101">
        <v>16.799999999999997</v>
      </c>
      <c r="P61" s="106">
        <v>48.0</v>
      </c>
      <c r="Q61" s="224"/>
      <c r="R61" s="225" t="s">
        <v>120</v>
      </c>
    </row>
    <row r="62">
      <c r="A62" s="202">
        <v>163.0</v>
      </c>
      <c r="B62" s="234" t="s">
        <v>285</v>
      </c>
      <c r="C62" s="205" t="s">
        <v>314</v>
      </c>
      <c r="D62" s="207" t="s">
        <v>315</v>
      </c>
      <c r="E62" s="205" t="s">
        <v>211</v>
      </c>
      <c r="F62" s="207" t="s">
        <v>212</v>
      </c>
      <c r="G62" s="205" t="s">
        <v>140</v>
      </c>
      <c r="H62" s="227" t="s">
        <v>141</v>
      </c>
      <c r="I62" s="249"/>
      <c r="J62" s="249"/>
      <c r="K62" s="213">
        <v>24.0</v>
      </c>
      <c r="L62" s="232">
        <v>16.799999999999997</v>
      </c>
      <c r="M62" s="97">
        <v>7.199999999999999</v>
      </c>
      <c r="N62" s="101"/>
      <c r="O62" s="101">
        <v>16.799999999999997</v>
      </c>
      <c r="P62" s="106">
        <v>48.0</v>
      </c>
      <c r="Q62" s="224"/>
      <c r="R62" s="225" t="s">
        <v>120</v>
      </c>
    </row>
    <row r="63">
      <c r="A63" s="202">
        <v>164.0</v>
      </c>
      <c r="B63" s="234" t="s">
        <v>285</v>
      </c>
      <c r="C63" s="205"/>
      <c r="D63" s="207"/>
      <c r="E63" s="205" t="s">
        <v>316</v>
      </c>
      <c r="F63" s="207" t="s">
        <v>317</v>
      </c>
      <c r="G63" s="205" t="s">
        <v>140</v>
      </c>
      <c r="H63" s="227" t="s">
        <v>141</v>
      </c>
      <c r="I63" s="249"/>
      <c r="J63" s="249"/>
      <c r="K63" s="213">
        <v>24.0</v>
      </c>
      <c r="L63" s="232">
        <v>16.799999999999997</v>
      </c>
      <c r="M63" s="97">
        <v>7.199999999999999</v>
      </c>
      <c r="N63" s="101"/>
      <c r="O63" s="101">
        <v>16.799999999999997</v>
      </c>
      <c r="P63" s="106">
        <v>48.0</v>
      </c>
      <c r="Q63" s="224"/>
      <c r="R63" s="225" t="s">
        <v>120</v>
      </c>
    </row>
    <row r="64">
      <c r="A64" s="202">
        <v>165.0</v>
      </c>
      <c r="B64" s="234" t="s">
        <v>285</v>
      </c>
      <c r="C64" s="205"/>
      <c r="D64" s="227"/>
      <c r="E64" s="205" t="s">
        <v>138</v>
      </c>
      <c r="F64" s="207" t="s">
        <v>139</v>
      </c>
      <c r="G64" s="205" t="s">
        <v>140</v>
      </c>
      <c r="H64" s="227" t="s">
        <v>141</v>
      </c>
      <c r="I64" s="249"/>
      <c r="J64" s="249"/>
      <c r="K64" s="255">
        <v>24.0</v>
      </c>
      <c r="L64" s="232">
        <v>16.799999999999997</v>
      </c>
      <c r="M64" s="97">
        <v>7.199999999999999</v>
      </c>
      <c r="N64" s="101"/>
      <c r="O64" s="101">
        <v>16.799999999999997</v>
      </c>
      <c r="P64" s="106">
        <v>48.0</v>
      </c>
      <c r="Q64" s="224"/>
      <c r="R64" s="225" t="s">
        <v>120</v>
      </c>
    </row>
    <row r="65">
      <c r="A65" s="202">
        <v>166.0</v>
      </c>
      <c r="B65" s="234" t="s">
        <v>285</v>
      </c>
      <c r="C65" s="205"/>
      <c r="D65" s="227"/>
      <c r="E65" s="205" t="s">
        <v>142</v>
      </c>
      <c r="F65" s="207" t="s">
        <v>143</v>
      </c>
      <c r="G65" s="205"/>
      <c r="H65" s="227"/>
      <c r="I65" s="249"/>
      <c r="J65" s="249"/>
      <c r="K65" s="213">
        <v>24.0</v>
      </c>
      <c r="L65" s="232">
        <v>16.799999999999997</v>
      </c>
      <c r="M65" s="97">
        <v>7.199999999999999</v>
      </c>
      <c r="N65" s="101"/>
      <c r="O65" s="101">
        <v>16.799999999999997</v>
      </c>
      <c r="P65" s="106">
        <v>48.0</v>
      </c>
      <c r="Q65" s="224"/>
      <c r="R65" s="225" t="s">
        <v>120</v>
      </c>
    </row>
    <row r="66">
      <c r="A66" s="202">
        <v>167.0</v>
      </c>
      <c r="B66" s="234" t="s">
        <v>285</v>
      </c>
      <c r="C66" s="205"/>
      <c r="D66" s="227"/>
      <c r="E66" s="205" t="s">
        <v>318</v>
      </c>
      <c r="F66" s="207" t="s">
        <v>319</v>
      </c>
      <c r="G66" s="205" t="s">
        <v>320</v>
      </c>
      <c r="H66" s="227" t="s">
        <v>321</v>
      </c>
      <c r="I66" s="249"/>
      <c r="J66" s="249"/>
      <c r="K66" s="213">
        <v>40.0</v>
      </c>
      <c r="L66" s="232">
        <v>28.0</v>
      </c>
      <c r="M66" s="97">
        <v>12.0</v>
      </c>
      <c r="N66" s="101"/>
      <c r="O66" s="101">
        <v>28.0</v>
      </c>
      <c r="P66" s="106">
        <v>80.0</v>
      </c>
      <c r="Q66" s="224"/>
      <c r="R66" s="225" t="s">
        <v>120</v>
      </c>
    </row>
    <row r="67">
      <c r="A67" s="202">
        <v>168.0</v>
      </c>
      <c r="B67" s="234" t="s">
        <v>285</v>
      </c>
      <c r="C67" s="205"/>
      <c r="D67" s="227"/>
      <c r="E67" s="205" t="s">
        <v>322</v>
      </c>
      <c r="F67" s="207" t="s">
        <v>145</v>
      </c>
      <c r="G67" s="205"/>
      <c r="H67" s="227"/>
      <c r="I67" s="249"/>
      <c r="J67" s="249"/>
      <c r="K67" s="213">
        <v>16.0</v>
      </c>
      <c r="L67" s="232">
        <v>11.2</v>
      </c>
      <c r="M67" s="97">
        <v>4.8</v>
      </c>
      <c r="N67" s="101"/>
      <c r="O67" s="101">
        <v>11.2</v>
      </c>
      <c r="P67" s="106">
        <v>32.0</v>
      </c>
      <c r="Q67" s="224"/>
      <c r="R67" s="225" t="s">
        <v>120</v>
      </c>
    </row>
    <row r="68">
      <c r="A68" s="202">
        <v>169.0</v>
      </c>
      <c r="B68" s="234" t="s">
        <v>285</v>
      </c>
      <c r="C68" s="205"/>
      <c r="D68" s="227"/>
      <c r="E68" s="205" t="s">
        <v>146</v>
      </c>
      <c r="F68" s="207" t="s">
        <v>147</v>
      </c>
      <c r="G68" s="205" t="s">
        <v>140</v>
      </c>
      <c r="H68" s="227" t="s">
        <v>141</v>
      </c>
      <c r="I68" s="249"/>
      <c r="J68" s="249"/>
      <c r="K68" s="213">
        <v>24.0</v>
      </c>
      <c r="L68" s="232">
        <v>16.799999999999997</v>
      </c>
      <c r="M68" s="97">
        <v>7.199999999999999</v>
      </c>
      <c r="N68" s="101"/>
      <c r="O68" s="101">
        <v>16.799999999999997</v>
      </c>
      <c r="P68" s="106">
        <v>48.0</v>
      </c>
      <c r="Q68" s="224"/>
      <c r="R68" s="225" t="s">
        <v>120</v>
      </c>
    </row>
    <row r="69">
      <c r="A69" s="202">
        <v>170.0</v>
      </c>
      <c r="B69" s="234" t="s">
        <v>285</v>
      </c>
      <c r="C69" s="205"/>
      <c r="D69" s="207"/>
      <c r="E69" s="205" t="s">
        <v>323</v>
      </c>
      <c r="F69" s="277" t="s">
        <v>324</v>
      </c>
      <c r="G69" s="205"/>
      <c r="H69" s="227"/>
      <c r="I69" s="249"/>
      <c r="J69" s="249"/>
      <c r="K69" s="213">
        <v>4.0</v>
      </c>
      <c r="L69" s="232">
        <v>2.8</v>
      </c>
      <c r="M69" s="97">
        <v>1.2</v>
      </c>
      <c r="N69" s="101"/>
      <c r="O69" s="101">
        <v>2.8</v>
      </c>
      <c r="P69" s="106">
        <v>8.0</v>
      </c>
      <c r="Q69" s="224"/>
      <c r="R69" s="225" t="s">
        <v>120</v>
      </c>
    </row>
    <row r="70">
      <c r="A70" s="202">
        <v>171.0</v>
      </c>
      <c r="B70" s="234" t="s">
        <v>285</v>
      </c>
      <c r="C70" s="205"/>
      <c r="D70" s="207"/>
      <c r="E70" s="205" t="s">
        <v>325</v>
      </c>
      <c r="F70" s="207" t="s">
        <v>326</v>
      </c>
      <c r="G70" s="205"/>
      <c r="H70" s="227"/>
      <c r="I70" s="249"/>
      <c r="J70" s="249"/>
      <c r="K70" s="213">
        <v>4.0</v>
      </c>
      <c r="L70" s="232">
        <v>2.8</v>
      </c>
      <c r="M70" s="97">
        <v>1.2</v>
      </c>
      <c r="N70" s="101"/>
      <c r="O70" s="101">
        <v>2.8</v>
      </c>
      <c r="P70" s="106">
        <v>8.0</v>
      </c>
      <c r="Q70" s="224"/>
      <c r="R70" s="225" t="s">
        <v>120</v>
      </c>
    </row>
    <row r="71">
      <c r="A71" s="202">
        <v>172.0</v>
      </c>
      <c r="B71" s="234" t="s">
        <v>285</v>
      </c>
      <c r="C71" s="205"/>
      <c r="D71" s="207"/>
      <c r="E71" s="205" t="s">
        <v>328</v>
      </c>
      <c r="F71" s="207" t="s">
        <v>329</v>
      </c>
      <c r="G71" s="205" t="s">
        <v>330</v>
      </c>
      <c r="H71" s="227" t="s">
        <v>331</v>
      </c>
      <c r="I71" s="249"/>
      <c r="J71" s="249"/>
      <c r="K71" s="213">
        <v>4.0</v>
      </c>
      <c r="L71" s="232">
        <v>2.8</v>
      </c>
      <c r="M71" s="97">
        <v>1.2</v>
      </c>
      <c r="N71" s="101"/>
      <c r="O71" s="101">
        <v>2.8</v>
      </c>
      <c r="P71" s="106">
        <v>8.0</v>
      </c>
      <c r="Q71" s="224"/>
      <c r="R71" s="225" t="s">
        <v>120</v>
      </c>
    </row>
    <row r="72">
      <c r="A72" s="202">
        <v>173.0</v>
      </c>
      <c r="B72" s="203" t="s">
        <v>285</v>
      </c>
      <c r="C72" s="205"/>
      <c r="D72" s="207"/>
      <c r="E72" s="205" t="s">
        <v>332</v>
      </c>
      <c r="F72" s="207" t="s">
        <v>333</v>
      </c>
      <c r="G72" s="205" t="s">
        <v>334</v>
      </c>
      <c r="H72" s="227" t="s">
        <v>335</v>
      </c>
      <c r="I72" s="249"/>
      <c r="J72" s="249"/>
      <c r="K72" s="213">
        <v>16.0</v>
      </c>
      <c r="L72" s="232">
        <v>11.2</v>
      </c>
      <c r="M72" s="97">
        <v>4.8</v>
      </c>
      <c r="N72" s="101"/>
      <c r="O72" s="101">
        <v>11.2</v>
      </c>
      <c r="P72" s="106">
        <v>32.0</v>
      </c>
      <c r="Q72" s="224"/>
      <c r="R72" s="225" t="s">
        <v>120</v>
      </c>
    </row>
    <row r="73">
      <c r="A73" s="202">
        <v>174.0</v>
      </c>
      <c r="B73" s="203" t="s">
        <v>285</v>
      </c>
      <c r="C73" s="205"/>
      <c r="D73" s="207"/>
      <c r="E73" s="205" t="s">
        <v>336</v>
      </c>
      <c r="F73" s="207" t="s">
        <v>337</v>
      </c>
      <c r="G73" s="205" t="s">
        <v>334</v>
      </c>
      <c r="H73" s="227" t="s">
        <v>335</v>
      </c>
      <c r="I73" s="249"/>
      <c r="J73" s="249"/>
      <c r="K73" s="213">
        <v>16.0</v>
      </c>
      <c r="L73" s="232">
        <v>11.2</v>
      </c>
      <c r="M73" s="97">
        <v>4.8</v>
      </c>
      <c r="N73" s="101"/>
      <c r="O73" s="101">
        <v>11.2</v>
      </c>
      <c r="P73" s="106">
        <v>32.0</v>
      </c>
      <c r="Q73" s="224"/>
      <c r="R73" s="225" t="s">
        <v>120</v>
      </c>
    </row>
    <row r="74">
      <c r="A74" s="202">
        <v>175.0</v>
      </c>
      <c r="B74" s="203" t="s">
        <v>285</v>
      </c>
      <c r="C74" s="205"/>
      <c r="D74" s="207"/>
      <c r="E74" s="205" t="s">
        <v>338</v>
      </c>
      <c r="F74" s="207" t="s">
        <v>339</v>
      </c>
      <c r="G74" s="205" t="s">
        <v>330</v>
      </c>
      <c r="H74" s="227" t="s">
        <v>331</v>
      </c>
      <c r="I74" s="249"/>
      <c r="J74" s="249"/>
      <c r="K74" s="213">
        <v>4.0</v>
      </c>
      <c r="L74" s="232">
        <v>2.8</v>
      </c>
      <c r="M74" s="97">
        <v>1.2</v>
      </c>
      <c r="N74" s="101"/>
      <c r="O74" s="101">
        <v>2.8</v>
      </c>
      <c r="P74" s="106">
        <v>8.0</v>
      </c>
      <c r="Q74" s="224"/>
      <c r="R74" s="225" t="s">
        <v>120</v>
      </c>
    </row>
    <row r="75">
      <c r="A75" s="202">
        <v>176.0</v>
      </c>
      <c r="B75" s="252" t="s">
        <v>285</v>
      </c>
      <c r="C75" s="205"/>
      <c r="D75" s="207"/>
      <c r="E75" s="205" t="s">
        <v>340</v>
      </c>
      <c r="F75" s="207" t="s">
        <v>341</v>
      </c>
      <c r="G75" s="205" t="s">
        <v>342</v>
      </c>
      <c r="H75" s="227" t="s">
        <v>343</v>
      </c>
      <c r="I75" s="249"/>
      <c r="J75" s="249"/>
      <c r="K75" s="213">
        <v>8.0</v>
      </c>
      <c r="L75" s="232">
        <v>5.6</v>
      </c>
      <c r="M75" s="97">
        <v>2.4</v>
      </c>
      <c r="N75" s="101"/>
      <c r="O75" s="101">
        <v>5.6</v>
      </c>
      <c r="P75" s="106">
        <v>16.0</v>
      </c>
      <c r="Q75" s="224"/>
      <c r="R75" s="225" t="s">
        <v>120</v>
      </c>
    </row>
    <row r="76">
      <c r="A76" s="202">
        <v>177.0</v>
      </c>
      <c r="B76" s="234" t="s">
        <v>285</v>
      </c>
      <c r="C76" s="205"/>
      <c r="D76" s="207"/>
      <c r="E76" s="205" t="s">
        <v>344</v>
      </c>
      <c r="F76" s="207" t="s">
        <v>345</v>
      </c>
      <c r="G76" s="205"/>
      <c r="H76" s="227"/>
      <c r="I76" s="249"/>
      <c r="J76" s="249"/>
      <c r="K76" s="213">
        <v>4.0</v>
      </c>
      <c r="L76" s="232">
        <v>2.8</v>
      </c>
      <c r="M76" s="97">
        <v>1.2</v>
      </c>
      <c r="N76" s="101"/>
      <c r="O76" s="101">
        <v>2.8</v>
      </c>
      <c r="P76" s="106">
        <v>8.0</v>
      </c>
      <c r="Q76" s="224"/>
      <c r="R76" s="225" t="s">
        <v>120</v>
      </c>
    </row>
    <row r="77">
      <c r="A77" s="202">
        <v>178.0</v>
      </c>
      <c r="B77" s="252" t="s">
        <v>285</v>
      </c>
      <c r="C77" s="205"/>
      <c r="D77" s="207"/>
      <c r="E77" s="205" t="s">
        <v>346</v>
      </c>
      <c r="F77" s="207" t="s">
        <v>347</v>
      </c>
      <c r="G77" s="205"/>
      <c r="H77" s="227"/>
      <c r="I77" s="249"/>
      <c r="J77" s="249"/>
      <c r="K77" s="213">
        <v>4.0</v>
      </c>
      <c r="L77" s="232">
        <v>2.8</v>
      </c>
      <c r="M77" s="97">
        <v>1.2</v>
      </c>
      <c r="N77" s="101"/>
      <c r="O77" s="101">
        <v>2.8</v>
      </c>
      <c r="P77" s="106">
        <v>8.0</v>
      </c>
      <c r="Q77" s="224"/>
      <c r="R77" s="225" t="s">
        <v>120</v>
      </c>
    </row>
    <row r="78">
      <c r="A78" s="202">
        <v>179.0</v>
      </c>
      <c r="B78" s="234" t="s">
        <v>285</v>
      </c>
      <c r="C78" s="205"/>
      <c r="D78" s="207"/>
      <c r="E78" s="205" t="s">
        <v>348</v>
      </c>
      <c r="F78" s="207" t="s">
        <v>349</v>
      </c>
      <c r="G78" s="205"/>
      <c r="H78" s="227"/>
      <c r="I78" s="249"/>
      <c r="J78" s="249"/>
      <c r="K78" s="213">
        <v>4.0</v>
      </c>
      <c r="L78" s="232">
        <v>2.8</v>
      </c>
      <c r="M78" s="97">
        <v>1.2</v>
      </c>
      <c r="N78" s="101"/>
      <c r="O78" s="101">
        <v>2.8</v>
      </c>
      <c r="P78" s="106">
        <v>8.0</v>
      </c>
      <c r="Q78" s="224"/>
      <c r="R78" s="225" t="s">
        <v>120</v>
      </c>
    </row>
    <row r="79">
      <c r="A79" s="202">
        <v>180.0</v>
      </c>
      <c r="B79" s="234" t="s">
        <v>285</v>
      </c>
      <c r="C79" s="205"/>
      <c r="D79" s="207"/>
      <c r="E79" s="205" t="s">
        <v>350</v>
      </c>
      <c r="F79" s="207" t="s">
        <v>351</v>
      </c>
      <c r="G79" s="205" t="s">
        <v>352</v>
      </c>
      <c r="H79" s="227" t="s">
        <v>353</v>
      </c>
      <c r="I79" s="249"/>
      <c r="J79" s="249"/>
      <c r="K79" s="213">
        <v>16.0</v>
      </c>
      <c r="L79" s="232">
        <v>11.2</v>
      </c>
      <c r="M79" s="97">
        <v>4.8</v>
      </c>
      <c r="N79" s="101"/>
      <c r="O79" s="101">
        <v>11.2</v>
      </c>
      <c r="P79" s="106">
        <v>32.0</v>
      </c>
      <c r="Q79" s="224"/>
      <c r="R79" s="225" t="s">
        <v>120</v>
      </c>
    </row>
    <row r="80">
      <c r="A80" s="202">
        <v>181.0</v>
      </c>
      <c r="B80" s="234" t="s">
        <v>285</v>
      </c>
      <c r="C80" s="205"/>
      <c r="D80" s="207"/>
      <c r="E80" s="205" t="s">
        <v>354</v>
      </c>
      <c r="F80" s="207" t="s">
        <v>355</v>
      </c>
      <c r="G80" s="205"/>
      <c r="H80" s="227"/>
      <c r="I80" s="249"/>
      <c r="J80" s="249"/>
      <c r="K80" s="213">
        <v>8.0</v>
      </c>
      <c r="L80" s="232">
        <v>5.6</v>
      </c>
      <c r="M80" s="97">
        <v>2.4</v>
      </c>
      <c r="N80" s="101"/>
      <c r="O80" s="101">
        <v>5.6</v>
      </c>
      <c r="P80" s="106">
        <v>16.0</v>
      </c>
      <c r="Q80" s="224"/>
      <c r="R80" s="225" t="s">
        <v>120</v>
      </c>
    </row>
    <row r="81">
      <c r="A81" s="202">
        <v>182.0</v>
      </c>
      <c r="B81" s="234" t="s">
        <v>285</v>
      </c>
      <c r="C81" s="205"/>
      <c r="D81" s="205"/>
      <c r="E81" s="205" t="s">
        <v>356</v>
      </c>
      <c r="F81" s="205" t="s">
        <v>357</v>
      </c>
      <c r="G81" s="205"/>
      <c r="H81" s="205"/>
      <c r="I81" s="249"/>
      <c r="J81" s="249"/>
      <c r="K81" s="285">
        <v>4.0</v>
      </c>
      <c r="L81" s="232">
        <v>2.8</v>
      </c>
      <c r="M81" s="97">
        <v>1.2</v>
      </c>
      <c r="N81" s="101"/>
      <c r="O81" s="101">
        <v>2.8</v>
      </c>
      <c r="P81" s="106">
        <v>8.0</v>
      </c>
      <c r="Q81" s="224"/>
      <c r="R81" s="225" t="s">
        <v>120</v>
      </c>
    </row>
    <row r="82">
      <c r="A82" s="202">
        <v>183.0</v>
      </c>
      <c r="B82" s="234" t="s">
        <v>285</v>
      </c>
      <c r="C82" s="205"/>
      <c r="D82" s="207"/>
      <c r="E82" s="205" t="s">
        <v>358</v>
      </c>
      <c r="F82" s="207" t="s">
        <v>359</v>
      </c>
      <c r="G82" s="205"/>
      <c r="H82" s="227"/>
      <c r="I82" s="249"/>
      <c r="J82" s="249"/>
      <c r="K82" s="213">
        <v>4.0</v>
      </c>
      <c r="L82" s="232">
        <v>2.8</v>
      </c>
      <c r="M82" s="97">
        <v>1.2</v>
      </c>
      <c r="N82" s="101"/>
      <c r="O82" s="101">
        <v>2.8</v>
      </c>
      <c r="P82" s="106">
        <v>8.0</v>
      </c>
      <c r="Q82" s="224"/>
      <c r="R82" s="225" t="s">
        <v>120</v>
      </c>
    </row>
    <row r="83">
      <c r="A83" s="202">
        <v>184.0</v>
      </c>
      <c r="B83" s="234" t="s">
        <v>285</v>
      </c>
      <c r="C83" s="205"/>
      <c r="D83" s="207"/>
      <c r="E83" s="205" t="s">
        <v>360</v>
      </c>
      <c r="F83" s="207" t="s">
        <v>361</v>
      </c>
      <c r="G83" s="205"/>
      <c r="H83" s="227"/>
      <c r="I83" s="249"/>
      <c r="J83" s="249"/>
      <c r="K83" s="213">
        <v>4.0</v>
      </c>
      <c r="L83" s="232">
        <v>2.8</v>
      </c>
      <c r="M83" s="97">
        <v>1.2</v>
      </c>
      <c r="N83" s="101"/>
      <c r="O83" s="101">
        <v>2.8</v>
      </c>
      <c r="P83" s="106">
        <v>8.0</v>
      </c>
      <c r="Q83" s="224"/>
      <c r="R83" s="225" t="s">
        <v>120</v>
      </c>
    </row>
    <row r="84">
      <c r="A84" s="202">
        <v>185.0</v>
      </c>
      <c r="B84" s="234" t="s">
        <v>285</v>
      </c>
      <c r="C84" s="205"/>
      <c r="D84" s="207"/>
      <c r="E84" s="205" t="s">
        <v>362</v>
      </c>
      <c r="F84" s="207" t="s">
        <v>363</v>
      </c>
      <c r="G84" s="205" t="s">
        <v>364</v>
      </c>
      <c r="H84" s="227" t="s">
        <v>365</v>
      </c>
      <c r="I84" s="249"/>
      <c r="J84" s="249"/>
      <c r="K84" s="213">
        <v>4.0</v>
      </c>
      <c r="L84" s="232">
        <v>2.8</v>
      </c>
      <c r="M84" s="97">
        <v>1.2</v>
      </c>
      <c r="N84" s="101"/>
      <c r="O84" s="101">
        <v>2.8</v>
      </c>
      <c r="P84" s="106">
        <v>8.0</v>
      </c>
      <c r="Q84" s="224"/>
      <c r="R84" s="225" t="s">
        <v>120</v>
      </c>
    </row>
    <row r="85">
      <c r="A85" s="202">
        <v>187.0</v>
      </c>
      <c r="B85" s="234" t="s">
        <v>244</v>
      </c>
      <c r="C85" s="205" t="s">
        <v>366</v>
      </c>
      <c r="D85" s="207" t="s">
        <v>367</v>
      </c>
      <c r="E85" s="205"/>
      <c r="F85" s="207"/>
      <c r="G85" s="205" t="s">
        <v>368</v>
      </c>
      <c r="H85" s="227" t="s">
        <v>369</v>
      </c>
      <c r="I85" s="249"/>
      <c r="J85" s="249"/>
      <c r="K85" s="213">
        <v>24.0</v>
      </c>
      <c r="L85" s="232">
        <v>16.799999999999997</v>
      </c>
      <c r="M85" s="97">
        <v>7.199999999999999</v>
      </c>
      <c r="N85" s="101"/>
      <c r="O85" s="101">
        <v>16.799999999999997</v>
      </c>
      <c r="P85" s="106">
        <v>48.0</v>
      </c>
      <c r="Q85" s="224"/>
      <c r="R85" s="225" t="s">
        <v>120</v>
      </c>
    </row>
    <row r="86">
      <c r="A86" s="202">
        <v>188.0</v>
      </c>
      <c r="B86" s="234" t="s">
        <v>244</v>
      </c>
      <c r="C86" s="205" t="s">
        <v>370</v>
      </c>
      <c r="D86" s="207" t="s">
        <v>371</v>
      </c>
      <c r="E86" s="205" t="s">
        <v>372</v>
      </c>
      <c r="F86" s="207" t="s">
        <v>373</v>
      </c>
      <c r="G86" s="205" t="s">
        <v>374</v>
      </c>
      <c r="H86" s="227" t="s">
        <v>375</v>
      </c>
      <c r="I86" s="289"/>
      <c r="J86" s="289"/>
      <c r="K86" s="213"/>
      <c r="L86" s="232"/>
      <c r="M86" s="97"/>
      <c r="N86" s="101"/>
      <c r="O86" s="101">
        <v>0.0</v>
      </c>
      <c r="P86" s="106"/>
      <c r="Q86" s="224"/>
      <c r="R86" s="225" t="s">
        <v>120</v>
      </c>
    </row>
    <row r="87">
      <c r="A87" s="202">
        <v>190.0</v>
      </c>
      <c r="B87" s="234"/>
      <c r="C87" s="205" t="s">
        <v>376</v>
      </c>
      <c r="D87" s="207" t="s">
        <v>377</v>
      </c>
      <c r="E87" s="205"/>
      <c r="F87" s="207"/>
      <c r="G87" s="205" t="s">
        <v>378</v>
      </c>
      <c r="H87" s="227" t="s">
        <v>379</v>
      </c>
      <c r="I87" s="289"/>
      <c r="J87" s="289"/>
      <c r="K87" s="213">
        <v>4.0</v>
      </c>
      <c r="L87" s="232">
        <v>2.8</v>
      </c>
      <c r="M87" s="97">
        <v>1.2</v>
      </c>
      <c r="N87" s="101"/>
      <c r="O87" s="101">
        <v>2.8</v>
      </c>
      <c r="P87" s="106">
        <v>8.0</v>
      </c>
      <c r="Q87" s="224"/>
      <c r="R87" s="225" t="s">
        <v>120</v>
      </c>
    </row>
    <row r="88">
      <c r="A88" s="202">
        <v>191.0</v>
      </c>
      <c r="B88" s="234"/>
      <c r="C88" s="205" t="s">
        <v>380</v>
      </c>
      <c r="D88" s="207" t="s">
        <v>381</v>
      </c>
      <c r="E88" s="205"/>
      <c r="F88" s="207"/>
      <c r="G88" s="205" t="s">
        <v>382</v>
      </c>
      <c r="H88" s="227" t="s">
        <v>383</v>
      </c>
      <c r="I88" s="289"/>
      <c r="J88" s="289"/>
      <c r="K88" s="213">
        <v>16.0</v>
      </c>
      <c r="L88" s="232">
        <v>11.2</v>
      </c>
      <c r="M88" s="97">
        <v>4.8</v>
      </c>
      <c r="N88" s="101"/>
      <c r="O88" s="101">
        <v>11.2</v>
      </c>
      <c r="P88" s="106">
        <v>32.0</v>
      </c>
      <c r="Q88" s="293"/>
      <c r="R88" s="225" t="s">
        <v>120</v>
      </c>
    </row>
    <row r="89">
      <c r="A89" s="202">
        <v>192.0</v>
      </c>
      <c r="B89" s="234"/>
      <c r="C89" s="205" t="s">
        <v>384</v>
      </c>
      <c r="D89" s="207" t="s">
        <v>385</v>
      </c>
      <c r="E89" s="205"/>
      <c r="F89" s="207"/>
      <c r="G89" s="205" t="s">
        <v>386</v>
      </c>
      <c r="H89" s="227" t="s">
        <v>387</v>
      </c>
      <c r="I89" s="289"/>
      <c r="J89" s="289"/>
      <c r="K89" s="213">
        <v>16.0</v>
      </c>
      <c r="L89" s="232">
        <v>11.2</v>
      </c>
      <c r="M89" s="97">
        <v>4.8</v>
      </c>
      <c r="N89" s="101"/>
      <c r="O89" s="101">
        <v>11.2</v>
      </c>
      <c r="P89" s="106">
        <v>32.0</v>
      </c>
      <c r="Q89" s="293"/>
      <c r="R89" s="225" t="s">
        <v>120</v>
      </c>
    </row>
    <row r="90">
      <c r="A90" s="202">
        <v>196.0</v>
      </c>
      <c r="B90" s="234" t="s">
        <v>388</v>
      </c>
      <c r="C90" s="205" t="s">
        <v>389</v>
      </c>
      <c r="D90" s="207" t="s">
        <v>390</v>
      </c>
      <c r="E90" s="205"/>
      <c r="F90" s="207"/>
      <c r="G90" s="205" t="s">
        <v>391</v>
      </c>
      <c r="H90" s="227" t="s">
        <v>392</v>
      </c>
      <c r="I90" s="289"/>
      <c r="J90" s="289"/>
      <c r="K90" s="295">
        <v>8.0</v>
      </c>
      <c r="L90" s="232">
        <v>5.6</v>
      </c>
      <c r="M90" s="97">
        <v>2.4</v>
      </c>
      <c r="N90" s="296"/>
      <c r="O90" s="297">
        <v>5.6</v>
      </c>
      <c r="P90" s="297">
        <v>16.0</v>
      </c>
      <c r="Q90" s="293"/>
      <c r="R90" s="225" t="s">
        <v>120</v>
      </c>
    </row>
    <row r="91">
      <c r="A91" s="202">
        <v>202.0</v>
      </c>
      <c r="B91" s="234"/>
      <c r="C91" s="205" t="s">
        <v>393</v>
      </c>
      <c r="D91" s="207" t="s">
        <v>394</v>
      </c>
      <c r="E91" s="205"/>
      <c r="F91" s="207"/>
      <c r="G91" s="205"/>
      <c r="H91" s="227"/>
      <c r="I91" s="289"/>
      <c r="J91" s="289"/>
      <c r="K91" s="298">
        <v>8.0</v>
      </c>
      <c r="L91" s="232">
        <v>5.6</v>
      </c>
      <c r="M91" s="97">
        <v>2.4</v>
      </c>
      <c r="N91" s="296"/>
      <c r="O91" s="296">
        <v>5.6</v>
      </c>
      <c r="P91" s="296">
        <v>16.0</v>
      </c>
      <c r="Q91" s="293"/>
      <c r="R91" s="225" t="s">
        <v>120</v>
      </c>
    </row>
    <row r="92">
      <c r="A92" s="202">
        <v>207.0</v>
      </c>
      <c r="B92" s="299" t="s">
        <v>395</v>
      </c>
      <c r="C92" s="228" t="s">
        <v>396</v>
      </c>
      <c r="D92" s="230" t="s">
        <v>397</v>
      </c>
      <c r="E92" s="228"/>
      <c r="F92" s="230"/>
      <c r="G92" s="228" t="s">
        <v>398</v>
      </c>
      <c r="H92" s="229" t="s">
        <v>399</v>
      </c>
      <c r="I92" s="289"/>
      <c r="J92" s="289"/>
      <c r="K92" s="298">
        <v>16.0</v>
      </c>
      <c r="L92" s="232">
        <v>11.2</v>
      </c>
      <c r="M92" s="97">
        <v>4.8</v>
      </c>
      <c r="N92" s="296"/>
      <c r="O92" s="296">
        <v>11.2</v>
      </c>
      <c r="P92" s="296">
        <v>32.0</v>
      </c>
      <c r="Q92" s="301"/>
      <c r="R92" s="225" t="s">
        <v>120</v>
      </c>
    </row>
    <row r="93">
      <c r="A93" s="202"/>
      <c r="B93" s="299"/>
      <c r="C93" s="228"/>
      <c r="D93" s="230"/>
      <c r="E93" s="228"/>
      <c r="F93" s="230"/>
      <c r="G93" s="228"/>
      <c r="H93" s="229"/>
      <c r="I93" s="289"/>
      <c r="J93" s="289"/>
      <c r="K93" s="298"/>
      <c r="L93" s="232"/>
      <c r="M93" s="97"/>
      <c r="N93" s="296"/>
      <c r="O93" s="296"/>
      <c r="P93" s="296"/>
      <c r="Q93" s="301"/>
      <c r="R93" s="225"/>
    </row>
    <row r="94">
      <c r="A94" s="202"/>
      <c r="B94" s="299"/>
      <c r="C94" s="228"/>
      <c r="D94" s="230"/>
      <c r="E94" s="228"/>
      <c r="F94" s="230"/>
      <c r="G94" s="228"/>
      <c r="H94" s="229"/>
      <c r="I94" s="289"/>
      <c r="J94" s="289"/>
      <c r="K94" s="298"/>
      <c r="L94" s="232"/>
      <c r="M94" s="97"/>
      <c r="N94" s="296"/>
      <c r="O94" s="296"/>
      <c r="P94" s="296"/>
      <c r="Q94" s="301"/>
      <c r="R94" s="225"/>
    </row>
    <row r="95">
      <c r="A95" s="202"/>
      <c r="B95" s="304"/>
      <c r="C95" s="228"/>
      <c r="D95" s="230"/>
      <c r="E95" s="228"/>
      <c r="F95" s="230"/>
      <c r="G95" s="228"/>
      <c r="H95" s="229"/>
      <c r="I95" s="289"/>
      <c r="J95" s="289"/>
      <c r="K95" s="298"/>
      <c r="L95" s="232"/>
      <c r="M95" s="97"/>
      <c r="N95" s="296"/>
      <c r="O95" s="296"/>
      <c r="P95" s="296"/>
      <c r="Q95" s="301"/>
      <c r="R95" s="225"/>
    </row>
    <row r="96">
      <c r="A96" s="202"/>
      <c r="B96" s="299"/>
      <c r="C96" s="228"/>
      <c r="D96" s="230"/>
      <c r="E96" s="228"/>
      <c r="F96" s="230"/>
      <c r="G96" s="228"/>
      <c r="H96" s="229"/>
      <c r="I96" s="289"/>
      <c r="J96" s="289"/>
      <c r="K96" s="298"/>
      <c r="L96" s="232"/>
      <c r="M96" s="97"/>
      <c r="N96" s="296"/>
      <c r="O96" s="296"/>
      <c r="P96" s="296"/>
      <c r="Q96" s="301"/>
      <c r="R96" s="225"/>
    </row>
    <row r="97">
      <c r="A97" s="202"/>
      <c r="B97" s="299"/>
      <c r="C97" s="228"/>
      <c r="D97" s="230"/>
      <c r="E97" s="228"/>
      <c r="F97" s="230"/>
      <c r="G97" s="228"/>
      <c r="H97" s="229"/>
      <c r="I97" s="289"/>
      <c r="J97" s="289"/>
      <c r="K97" s="298"/>
      <c r="L97" s="232"/>
      <c r="M97" s="97"/>
      <c r="N97" s="296"/>
      <c r="O97" s="296"/>
      <c r="P97" s="296"/>
      <c r="Q97" s="301"/>
      <c r="R97" s="225"/>
    </row>
    <row r="98">
      <c r="A98" s="202"/>
      <c r="B98" s="299"/>
      <c r="C98" s="228"/>
      <c r="D98" s="230"/>
      <c r="E98" s="228"/>
      <c r="F98" s="230"/>
      <c r="G98" s="228"/>
      <c r="H98" s="229"/>
      <c r="I98" s="289"/>
      <c r="J98" s="289"/>
      <c r="K98" s="298"/>
      <c r="L98" s="232"/>
      <c r="M98" s="97"/>
      <c r="N98" s="296"/>
      <c r="O98" s="296"/>
      <c r="P98" s="296"/>
      <c r="Q98" s="301"/>
      <c r="R98" s="225"/>
    </row>
    <row r="99">
      <c r="A99" s="202"/>
      <c r="B99" s="299"/>
      <c r="C99" s="228"/>
      <c r="D99" s="230"/>
      <c r="E99" s="228"/>
      <c r="F99" s="230"/>
      <c r="G99" s="228"/>
      <c r="H99" s="229"/>
      <c r="I99" s="289"/>
      <c r="J99" s="289"/>
      <c r="K99" s="298"/>
      <c r="L99" s="232"/>
      <c r="M99" s="97"/>
      <c r="N99" s="296"/>
      <c r="O99" s="296"/>
      <c r="P99" s="296"/>
      <c r="Q99" s="301"/>
      <c r="R99" s="225"/>
    </row>
    <row r="100">
      <c r="A100" s="202"/>
      <c r="B100" s="299"/>
      <c r="C100" s="228"/>
      <c r="D100" s="230"/>
      <c r="E100" s="228"/>
      <c r="F100" s="230"/>
      <c r="G100" s="228"/>
      <c r="H100" s="229"/>
      <c r="I100" s="289"/>
      <c r="J100" s="289"/>
      <c r="K100" s="298"/>
      <c r="L100" s="232"/>
      <c r="M100" s="97"/>
      <c r="N100" s="296"/>
      <c r="O100" s="296"/>
      <c r="P100" s="296"/>
      <c r="Q100" s="301"/>
      <c r="R100" s="225"/>
    </row>
    <row r="101">
      <c r="A101" s="202"/>
      <c r="B101" s="299"/>
      <c r="C101" s="228"/>
      <c r="D101" s="228"/>
      <c r="E101" s="228"/>
      <c r="F101" s="228"/>
      <c r="G101" s="228"/>
      <c r="H101" s="228"/>
      <c r="I101" s="289"/>
      <c r="J101" s="289"/>
      <c r="K101" s="298"/>
      <c r="L101" s="232"/>
      <c r="M101" s="97"/>
      <c r="N101" s="296"/>
      <c r="O101" s="296"/>
      <c r="P101" s="296"/>
      <c r="Q101" s="301"/>
      <c r="R101" s="225"/>
    </row>
    <row r="102">
      <c r="A102" s="202"/>
      <c r="B102" s="299"/>
      <c r="C102" s="228"/>
      <c r="D102" s="230"/>
      <c r="E102" s="228"/>
      <c r="F102" s="230"/>
      <c r="G102" s="228"/>
      <c r="H102" s="229"/>
      <c r="I102" s="289"/>
      <c r="J102" s="289"/>
      <c r="K102" s="298"/>
      <c r="L102" s="232"/>
      <c r="M102" s="97"/>
      <c r="N102" s="296"/>
      <c r="O102" s="296"/>
      <c r="P102" s="296"/>
      <c r="Q102" s="301"/>
      <c r="R102" s="225"/>
    </row>
    <row r="103">
      <c r="A103" s="202"/>
      <c r="B103" s="299"/>
      <c r="C103" s="228"/>
      <c r="D103" s="229"/>
      <c r="E103" s="228"/>
      <c r="F103" s="230"/>
      <c r="G103" s="228"/>
      <c r="H103" s="229"/>
      <c r="I103" s="289"/>
      <c r="J103" s="289"/>
      <c r="K103" s="298"/>
      <c r="L103" s="232"/>
      <c r="M103" s="97"/>
      <c r="N103" s="296"/>
      <c r="O103" s="296"/>
      <c r="P103" s="296"/>
      <c r="Q103" s="301"/>
      <c r="R103" s="225"/>
    </row>
    <row r="104">
      <c r="A104" s="202"/>
      <c r="B104" s="299"/>
      <c r="C104" s="228"/>
      <c r="D104" s="230"/>
      <c r="E104" s="228"/>
      <c r="F104" s="230"/>
      <c r="G104" s="228"/>
      <c r="H104" s="229"/>
      <c r="I104" s="289"/>
      <c r="J104" s="289"/>
      <c r="K104" s="298"/>
      <c r="L104" s="232"/>
      <c r="M104" s="97"/>
      <c r="N104" s="296"/>
      <c r="O104" s="296"/>
      <c r="P104" s="296"/>
      <c r="Q104" s="301"/>
      <c r="R104" s="225"/>
    </row>
    <row r="105">
      <c r="A105" s="202"/>
      <c r="B105" s="299"/>
      <c r="C105" s="228"/>
      <c r="D105" s="230"/>
      <c r="E105" s="228"/>
      <c r="F105" s="230"/>
      <c r="G105" s="228"/>
      <c r="H105" s="229"/>
      <c r="I105" s="289"/>
      <c r="J105" s="289"/>
      <c r="K105" s="298"/>
      <c r="L105" s="232"/>
      <c r="M105" s="97"/>
      <c r="N105" s="296"/>
      <c r="O105" s="296"/>
      <c r="P105" s="296"/>
      <c r="Q105" s="301"/>
      <c r="R105" s="225"/>
    </row>
    <row r="106">
      <c r="A106" s="202"/>
      <c r="B106" s="299"/>
      <c r="C106" s="228"/>
      <c r="D106" s="230"/>
      <c r="E106" s="228"/>
      <c r="F106" s="230"/>
      <c r="G106" s="228"/>
      <c r="H106" s="229"/>
      <c r="I106" s="289"/>
      <c r="J106" s="289"/>
      <c r="K106" s="298"/>
      <c r="L106" s="232"/>
      <c r="M106" s="97"/>
      <c r="N106" s="296"/>
      <c r="O106" s="296"/>
      <c r="P106" s="296"/>
      <c r="Q106" s="301"/>
      <c r="R106" s="225"/>
    </row>
    <row r="107">
      <c r="A107" s="202"/>
      <c r="B107" s="299"/>
      <c r="C107" s="228"/>
      <c r="D107" s="230"/>
      <c r="E107" s="228"/>
      <c r="F107" s="230"/>
      <c r="G107" s="309"/>
      <c r="H107" s="311"/>
      <c r="I107" s="289"/>
      <c r="J107" s="289"/>
      <c r="K107" s="298"/>
      <c r="L107" s="232"/>
      <c r="M107" s="97"/>
      <c r="N107" s="296"/>
      <c r="O107" s="296"/>
      <c r="P107" s="296"/>
      <c r="Q107" s="301"/>
      <c r="R107" s="225"/>
    </row>
    <row r="108">
      <c r="A108" s="202"/>
      <c r="B108" s="299"/>
      <c r="C108" s="314"/>
      <c r="D108" s="315"/>
      <c r="E108" s="228"/>
      <c r="F108" s="230"/>
      <c r="G108" s="228"/>
      <c r="H108" s="229"/>
      <c r="I108" s="289"/>
      <c r="J108" s="289"/>
      <c r="K108" s="298"/>
      <c r="L108" s="232"/>
      <c r="M108" s="97"/>
      <c r="N108" s="296"/>
      <c r="O108" s="296"/>
      <c r="P108" s="296"/>
      <c r="Q108" s="301"/>
      <c r="R108" s="225"/>
    </row>
    <row r="109">
      <c r="A109" s="202"/>
      <c r="B109" s="299"/>
      <c r="C109" s="228"/>
      <c r="D109" s="230"/>
      <c r="E109" s="228"/>
      <c r="F109" s="230"/>
      <c r="G109" s="228"/>
      <c r="H109" s="229"/>
      <c r="I109" s="289"/>
      <c r="J109" s="289"/>
      <c r="K109" s="298"/>
      <c r="L109" s="232"/>
      <c r="M109" s="97"/>
      <c r="N109" s="296"/>
      <c r="O109" s="296"/>
      <c r="P109" s="296"/>
      <c r="Q109" s="301"/>
      <c r="R109" s="225"/>
    </row>
    <row r="110">
      <c r="A110" s="202"/>
      <c r="B110" s="299"/>
      <c r="C110" s="228"/>
      <c r="D110" s="230"/>
      <c r="E110" s="228"/>
      <c r="F110" s="230"/>
      <c r="G110" s="228"/>
      <c r="H110" s="229"/>
      <c r="I110" s="289"/>
      <c r="J110" s="289"/>
      <c r="K110" s="298"/>
      <c r="L110" s="232"/>
      <c r="M110" s="97"/>
      <c r="N110" s="296"/>
      <c r="O110" s="296"/>
      <c r="P110" s="296"/>
      <c r="Q110" s="301"/>
      <c r="R110" s="225"/>
    </row>
    <row r="111">
      <c r="A111" s="202"/>
      <c r="B111" s="299"/>
      <c r="C111" s="228"/>
      <c r="D111" s="230"/>
      <c r="E111" s="228"/>
      <c r="F111" s="230"/>
      <c r="G111" s="228"/>
      <c r="H111" s="229"/>
      <c r="I111" s="289"/>
      <c r="J111" s="289"/>
      <c r="K111" s="298"/>
      <c r="L111" s="232"/>
      <c r="M111" s="97"/>
      <c r="N111" s="296"/>
      <c r="O111" s="296"/>
      <c r="P111" s="296"/>
      <c r="Q111" s="301"/>
      <c r="R111" s="225"/>
    </row>
    <row r="112">
      <c r="A112" s="202"/>
      <c r="B112" s="299"/>
      <c r="C112" s="228"/>
      <c r="D112" s="230"/>
      <c r="E112" s="228"/>
      <c r="F112" s="230"/>
      <c r="G112" s="228"/>
      <c r="H112" s="229"/>
      <c r="I112" s="289"/>
      <c r="J112" s="289"/>
      <c r="K112" s="298"/>
      <c r="L112" s="232"/>
      <c r="M112" s="97"/>
      <c r="N112" s="296"/>
      <c r="O112" s="296"/>
      <c r="P112" s="296"/>
      <c r="Q112" s="301"/>
      <c r="R112" s="225"/>
    </row>
    <row r="113">
      <c r="A113" s="202"/>
      <c r="B113" s="299"/>
      <c r="C113" s="228"/>
      <c r="D113" s="230"/>
      <c r="E113" s="228"/>
      <c r="F113" s="230"/>
      <c r="G113" s="228"/>
      <c r="H113" s="229"/>
      <c r="I113" s="289"/>
      <c r="J113" s="289"/>
      <c r="K113" s="298"/>
      <c r="L113" s="232"/>
      <c r="M113" s="97"/>
      <c r="N113" s="296"/>
      <c r="O113" s="296"/>
      <c r="P113" s="296"/>
      <c r="Q113" s="301"/>
      <c r="R113" s="225"/>
    </row>
    <row r="114">
      <c r="A114" s="202"/>
      <c r="B114" s="299"/>
      <c r="C114" s="228"/>
      <c r="D114" s="230"/>
      <c r="E114" s="228"/>
      <c r="F114" s="230"/>
      <c r="G114" s="228"/>
      <c r="H114" s="229"/>
      <c r="I114" s="289"/>
      <c r="J114" s="289"/>
      <c r="K114" s="298"/>
      <c r="L114" s="232"/>
      <c r="M114" s="97"/>
      <c r="N114" s="296"/>
      <c r="O114" s="296"/>
      <c r="P114" s="296"/>
      <c r="Q114" s="301"/>
      <c r="R114" s="225"/>
    </row>
    <row r="115">
      <c r="A115" s="202"/>
      <c r="B115" s="299"/>
      <c r="C115" s="228"/>
      <c r="D115" s="228"/>
      <c r="E115" s="228"/>
      <c r="F115" s="230"/>
      <c r="G115" s="228"/>
      <c r="H115" s="229"/>
      <c r="I115" s="289"/>
      <c r="J115" s="289"/>
      <c r="K115" s="298"/>
      <c r="L115" s="232"/>
      <c r="M115" s="97"/>
      <c r="N115" s="296"/>
      <c r="O115" s="296"/>
      <c r="P115" s="296"/>
      <c r="Q115" s="301"/>
      <c r="R115" s="225"/>
    </row>
    <row r="116">
      <c r="A116" s="202"/>
      <c r="B116" s="299"/>
      <c r="C116" s="228"/>
      <c r="D116" s="230"/>
      <c r="E116" s="228"/>
      <c r="F116" s="230"/>
      <c r="G116" s="228"/>
      <c r="H116" s="229"/>
      <c r="I116" s="289"/>
      <c r="J116" s="289"/>
      <c r="K116" s="298"/>
      <c r="L116" s="232"/>
      <c r="M116" s="97"/>
      <c r="N116" s="296"/>
      <c r="O116" s="296"/>
      <c r="P116" s="296"/>
      <c r="Q116" s="301"/>
      <c r="R116" s="225"/>
    </row>
    <row r="117">
      <c r="A117" s="202"/>
      <c r="B117" s="299"/>
      <c r="C117" s="228"/>
      <c r="D117" s="228"/>
      <c r="E117" s="228"/>
      <c r="F117" s="230"/>
      <c r="G117" s="228"/>
      <c r="H117" s="229"/>
      <c r="I117" s="289"/>
      <c r="J117" s="289"/>
      <c r="K117" s="298"/>
      <c r="L117" s="232"/>
      <c r="M117" s="97"/>
      <c r="N117" s="296"/>
      <c r="O117" s="296"/>
      <c r="P117" s="296"/>
      <c r="Q117" s="301"/>
      <c r="R117" s="225"/>
    </row>
    <row r="118">
      <c r="A118" s="202"/>
      <c r="B118" s="299"/>
      <c r="C118" s="320"/>
      <c r="D118" s="321"/>
      <c r="E118" s="228"/>
      <c r="F118" s="230"/>
      <c r="G118" s="228"/>
      <c r="H118" s="229"/>
      <c r="I118" s="289"/>
      <c r="J118" s="289"/>
      <c r="K118" s="298"/>
      <c r="L118" s="232"/>
      <c r="M118" s="97"/>
      <c r="N118" s="296"/>
      <c r="O118" s="296"/>
      <c r="P118" s="296"/>
      <c r="Q118" s="301"/>
      <c r="R118" s="225"/>
    </row>
    <row r="119">
      <c r="A119" s="202"/>
      <c r="B119" s="299"/>
      <c r="C119" s="322"/>
      <c r="D119" s="323"/>
      <c r="E119" s="228"/>
      <c r="F119" s="230"/>
      <c r="G119" s="228"/>
      <c r="H119" s="229"/>
      <c r="I119" s="289"/>
      <c r="J119" s="289"/>
      <c r="K119" s="298"/>
      <c r="L119" s="232"/>
      <c r="M119" s="97"/>
      <c r="N119" s="296"/>
      <c r="O119" s="296"/>
      <c r="P119" s="296"/>
      <c r="Q119" s="301"/>
      <c r="R119" s="225"/>
    </row>
    <row r="120">
      <c r="A120" s="202"/>
      <c r="B120" s="299"/>
      <c r="C120" s="322"/>
      <c r="D120" s="323"/>
      <c r="E120" s="228"/>
      <c r="F120" s="230"/>
      <c r="G120" s="228"/>
      <c r="H120" s="229"/>
      <c r="I120" s="289"/>
      <c r="J120" s="289"/>
      <c r="K120" s="298"/>
      <c r="L120" s="232"/>
      <c r="M120" s="97"/>
      <c r="N120" s="296"/>
      <c r="O120" s="296"/>
      <c r="P120" s="296"/>
      <c r="Q120" s="301"/>
      <c r="R120" s="225"/>
    </row>
    <row r="121">
      <c r="A121" s="202"/>
      <c r="B121" s="299"/>
      <c r="C121" s="322"/>
      <c r="D121" s="323"/>
      <c r="E121" s="228"/>
      <c r="F121" s="230"/>
      <c r="G121" s="228"/>
      <c r="H121" s="229"/>
      <c r="I121" s="289"/>
      <c r="J121" s="289"/>
      <c r="K121" s="298"/>
      <c r="L121" s="232"/>
      <c r="M121" s="97"/>
      <c r="N121" s="296"/>
      <c r="O121" s="296"/>
      <c r="P121" s="296"/>
      <c r="Q121" s="301"/>
      <c r="R121" s="225"/>
    </row>
    <row r="122">
      <c r="A122" s="202"/>
      <c r="B122" s="299"/>
      <c r="C122" s="322"/>
      <c r="D122" s="323"/>
      <c r="E122" s="228"/>
      <c r="F122" s="230"/>
      <c r="G122" s="228"/>
      <c r="H122" s="229"/>
      <c r="I122" s="289"/>
      <c r="J122" s="289"/>
      <c r="K122" s="298"/>
      <c r="L122" s="232"/>
      <c r="M122" s="97"/>
      <c r="N122" s="296"/>
      <c r="O122" s="296"/>
      <c r="P122" s="296"/>
      <c r="Q122" s="301"/>
      <c r="R122" s="225"/>
    </row>
    <row r="123">
      <c r="A123" s="202"/>
      <c r="B123" s="299"/>
      <c r="C123" s="322"/>
      <c r="D123" s="323"/>
      <c r="E123" s="228"/>
      <c r="F123" s="230"/>
      <c r="G123" s="208"/>
      <c r="H123" s="227"/>
      <c r="I123" s="289"/>
      <c r="J123" s="289"/>
      <c r="K123" s="298"/>
      <c r="L123" s="232"/>
      <c r="M123" s="97"/>
      <c r="N123" s="296"/>
      <c r="O123" s="296"/>
      <c r="P123" s="296"/>
      <c r="Q123" s="301"/>
      <c r="R123" s="225"/>
    </row>
    <row r="124">
      <c r="A124" s="202"/>
      <c r="B124" s="299"/>
      <c r="C124" s="322"/>
      <c r="D124" s="323"/>
      <c r="E124" s="228"/>
      <c r="F124" s="230"/>
      <c r="G124" s="228"/>
      <c r="H124" s="229"/>
      <c r="I124" s="289"/>
      <c r="J124" s="289"/>
      <c r="K124" s="298"/>
      <c r="L124" s="232"/>
      <c r="M124" s="97"/>
      <c r="N124" s="296"/>
      <c r="O124" s="296"/>
      <c r="P124" s="296"/>
      <c r="Q124" s="301"/>
      <c r="R124" s="225"/>
    </row>
    <row r="125">
      <c r="A125" s="202"/>
      <c r="B125" s="299"/>
      <c r="C125" s="326"/>
      <c r="D125" s="327"/>
      <c r="E125" s="228"/>
      <c r="F125" s="230"/>
      <c r="G125" s="228"/>
      <c r="H125" s="229"/>
      <c r="I125" s="289"/>
      <c r="J125" s="289"/>
      <c r="K125" s="298"/>
      <c r="L125" s="232"/>
      <c r="M125" s="97"/>
      <c r="N125" s="296"/>
      <c r="O125" s="296"/>
      <c r="P125" s="296"/>
      <c r="Q125" s="301"/>
      <c r="R125" s="225"/>
    </row>
    <row r="126">
      <c r="A126" s="202"/>
      <c r="B126" s="299"/>
      <c r="C126" s="228"/>
      <c r="D126" s="230"/>
      <c r="E126" s="228"/>
      <c r="F126" s="230"/>
      <c r="G126" s="228"/>
      <c r="H126" s="229"/>
      <c r="I126" s="289"/>
      <c r="J126" s="289"/>
      <c r="K126" s="298"/>
      <c r="L126" s="232"/>
      <c r="M126" s="97"/>
      <c r="N126" s="296"/>
      <c r="O126" s="296"/>
      <c r="P126" s="296"/>
      <c r="Q126" s="301"/>
      <c r="R126" s="225"/>
    </row>
    <row r="127">
      <c r="A127" s="202"/>
      <c r="B127" s="299"/>
      <c r="C127" s="228"/>
      <c r="D127" s="230"/>
      <c r="E127" s="228"/>
      <c r="F127" s="230"/>
      <c r="G127" s="228"/>
      <c r="H127" s="229"/>
      <c r="I127" s="289"/>
      <c r="J127" s="289"/>
      <c r="K127" s="298"/>
      <c r="L127" s="232"/>
      <c r="M127" s="97"/>
      <c r="N127" s="296"/>
      <c r="O127" s="296"/>
      <c r="P127" s="296"/>
      <c r="Q127" s="301"/>
      <c r="R127" s="225"/>
    </row>
    <row r="128">
      <c r="A128" s="202"/>
      <c r="B128" s="299"/>
      <c r="C128" s="228"/>
      <c r="D128" s="230"/>
      <c r="E128" s="228"/>
      <c r="F128" s="230"/>
      <c r="G128" s="228"/>
      <c r="H128" s="229"/>
      <c r="I128" s="289"/>
      <c r="J128" s="289"/>
      <c r="K128" s="298"/>
      <c r="L128" s="232"/>
      <c r="M128" s="97"/>
      <c r="N128" s="296"/>
      <c r="O128" s="296"/>
      <c r="P128" s="296"/>
      <c r="Q128" s="301"/>
      <c r="R128" s="225"/>
    </row>
    <row r="129">
      <c r="A129" s="202"/>
      <c r="B129" s="299"/>
      <c r="C129" s="228"/>
      <c r="D129" s="230"/>
      <c r="E129" s="228"/>
      <c r="F129" s="230"/>
      <c r="G129" s="228"/>
      <c r="H129" s="229"/>
      <c r="I129" s="289"/>
      <c r="J129" s="289"/>
      <c r="K129" s="298"/>
      <c r="L129" s="232"/>
      <c r="M129" s="97"/>
      <c r="N129" s="296"/>
      <c r="O129" s="296"/>
      <c r="P129" s="296"/>
      <c r="Q129" s="301"/>
      <c r="R129" s="225"/>
    </row>
    <row r="130">
      <c r="A130" s="202"/>
      <c r="B130" s="299"/>
      <c r="C130" s="228"/>
      <c r="D130" s="228"/>
      <c r="E130" s="228"/>
      <c r="F130" s="228"/>
      <c r="G130" s="228"/>
      <c r="H130" s="228"/>
      <c r="I130" s="289"/>
      <c r="J130" s="289"/>
      <c r="K130" s="298"/>
      <c r="L130" s="232"/>
      <c r="M130" s="97"/>
      <c r="N130" s="296"/>
      <c r="O130" s="296"/>
      <c r="P130" s="296"/>
      <c r="Q130" s="301"/>
      <c r="R130" s="225"/>
    </row>
    <row r="131">
      <c r="A131" s="202"/>
      <c r="B131" s="299"/>
      <c r="C131" s="228"/>
      <c r="D131" s="230"/>
      <c r="E131" s="228"/>
      <c r="F131" s="230"/>
      <c r="G131" s="228"/>
      <c r="H131" s="229"/>
      <c r="I131" s="289"/>
      <c r="J131" s="289"/>
      <c r="K131" s="298"/>
      <c r="L131" s="232"/>
      <c r="M131" s="97"/>
      <c r="N131" s="296"/>
      <c r="O131" s="296"/>
      <c r="P131" s="296"/>
      <c r="Q131" s="301"/>
      <c r="R131" s="225"/>
    </row>
    <row r="132">
      <c r="A132" s="202"/>
      <c r="B132" s="299"/>
      <c r="C132" s="228"/>
      <c r="D132" s="230"/>
      <c r="E132" s="228"/>
      <c r="F132" s="230"/>
      <c r="G132" s="228"/>
      <c r="H132" s="229"/>
      <c r="I132" s="289"/>
      <c r="J132" s="289"/>
      <c r="K132" s="298"/>
      <c r="L132" s="232"/>
      <c r="M132" s="97"/>
      <c r="N132" s="296"/>
      <c r="O132" s="296"/>
      <c r="P132" s="296"/>
      <c r="Q132" s="301"/>
      <c r="R132" s="225"/>
    </row>
    <row r="133">
      <c r="A133" s="202"/>
      <c r="B133" s="299"/>
      <c r="C133" s="228"/>
      <c r="D133" s="230"/>
      <c r="E133" s="228"/>
      <c r="F133" s="230"/>
      <c r="G133" s="228"/>
      <c r="H133" s="229"/>
      <c r="I133" s="289"/>
      <c r="J133" s="289"/>
      <c r="K133" s="298"/>
      <c r="L133" s="232"/>
      <c r="M133" s="97"/>
      <c r="N133" s="296"/>
      <c r="O133" s="296"/>
      <c r="P133" s="296"/>
      <c r="Q133" s="301"/>
      <c r="R133" s="225"/>
    </row>
    <row r="134">
      <c r="A134" s="202"/>
      <c r="B134" s="299"/>
      <c r="C134" s="228"/>
      <c r="D134" s="230"/>
      <c r="E134" s="228"/>
      <c r="F134" s="230"/>
      <c r="G134" s="228"/>
      <c r="H134" s="229"/>
      <c r="I134" s="289"/>
      <c r="J134" s="289"/>
      <c r="K134" s="298"/>
      <c r="L134" s="232"/>
      <c r="M134" s="97"/>
      <c r="N134" s="296"/>
      <c r="O134" s="296"/>
      <c r="P134" s="296"/>
      <c r="Q134" s="301"/>
      <c r="R134" s="225"/>
    </row>
    <row r="135">
      <c r="A135" s="202"/>
      <c r="B135" s="299"/>
      <c r="C135" s="228"/>
      <c r="D135" s="230"/>
      <c r="E135" s="228"/>
      <c r="F135" s="230"/>
      <c r="G135" s="228"/>
      <c r="H135" s="229"/>
      <c r="I135" s="289"/>
      <c r="J135" s="289"/>
      <c r="K135" s="298"/>
      <c r="L135" s="232"/>
      <c r="M135" s="97"/>
      <c r="N135" s="296"/>
      <c r="O135" s="296"/>
      <c r="P135" s="296"/>
      <c r="Q135" s="301"/>
      <c r="R135" s="225"/>
    </row>
    <row r="136">
      <c r="A136" s="202"/>
      <c r="B136" s="299"/>
      <c r="C136" s="228"/>
      <c r="D136" s="230"/>
      <c r="E136" s="228"/>
      <c r="F136" s="230"/>
      <c r="G136" s="228"/>
      <c r="H136" s="229"/>
      <c r="I136" s="289"/>
      <c r="J136" s="289"/>
      <c r="K136" s="298"/>
      <c r="L136" s="232"/>
      <c r="M136" s="97"/>
      <c r="N136" s="296"/>
      <c r="O136" s="296"/>
      <c r="P136" s="296"/>
      <c r="Q136" s="301"/>
      <c r="R136" s="225"/>
    </row>
    <row r="137">
      <c r="A137" s="202"/>
      <c r="B137" s="299"/>
      <c r="C137" s="228"/>
      <c r="D137" s="230"/>
      <c r="E137" s="228"/>
      <c r="F137" s="230"/>
      <c r="G137" s="228"/>
      <c r="H137" s="229"/>
      <c r="I137" s="289"/>
      <c r="J137" s="289"/>
      <c r="K137" s="298"/>
      <c r="L137" s="232"/>
      <c r="M137" s="97"/>
      <c r="N137" s="296"/>
      <c r="O137" s="296"/>
      <c r="P137" s="296"/>
      <c r="Q137" s="301"/>
      <c r="R137" s="225"/>
    </row>
    <row r="138">
      <c r="A138" s="202"/>
      <c r="B138" s="299"/>
      <c r="C138" s="228"/>
      <c r="D138" s="230"/>
      <c r="E138" s="228"/>
      <c r="F138" s="230"/>
      <c r="G138" s="228"/>
      <c r="H138" s="229"/>
      <c r="I138" s="289"/>
      <c r="J138" s="289"/>
      <c r="K138" s="298"/>
      <c r="L138" s="232"/>
      <c r="M138" s="97"/>
      <c r="N138" s="296"/>
      <c r="O138" s="296"/>
      <c r="P138" s="296"/>
      <c r="Q138" s="301"/>
      <c r="R138" s="225"/>
    </row>
    <row r="139">
      <c r="A139" s="202"/>
      <c r="B139" s="299"/>
      <c r="C139" s="228"/>
      <c r="D139" s="230"/>
      <c r="E139" s="228"/>
      <c r="F139" s="230"/>
      <c r="G139" s="228"/>
      <c r="H139" s="229"/>
      <c r="I139" s="289"/>
      <c r="J139" s="289"/>
      <c r="K139" s="298"/>
      <c r="L139" s="232"/>
      <c r="M139" s="97"/>
      <c r="N139" s="296"/>
      <c r="O139" s="296"/>
      <c r="P139" s="296"/>
      <c r="Q139" s="301"/>
      <c r="R139" s="225"/>
    </row>
    <row r="140">
      <c r="A140" s="202"/>
      <c r="B140" s="299"/>
      <c r="C140" s="228"/>
      <c r="D140" s="230"/>
      <c r="E140" s="228"/>
      <c r="F140" s="230"/>
      <c r="G140" s="228"/>
      <c r="H140" s="229"/>
      <c r="I140" s="289"/>
      <c r="J140" s="289"/>
      <c r="K140" s="298"/>
      <c r="L140" s="232"/>
      <c r="M140" s="97"/>
      <c r="N140" s="296"/>
      <c r="O140" s="296"/>
      <c r="P140" s="296"/>
      <c r="Q140" s="301"/>
      <c r="R140" s="225"/>
    </row>
    <row r="141">
      <c r="A141" s="202"/>
      <c r="B141" s="299"/>
      <c r="C141" s="228"/>
      <c r="D141" s="230"/>
      <c r="E141" s="228"/>
      <c r="F141" s="230"/>
      <c r="G141" s="228"/>
      <c r="H141" s="229"/>
      <c r="I141" s="289"/>
      <c r="J141" s="289"/>
      <c r="K141" s="298"/>
      <c r="L141" s="232"/>
      <c r="M141" s="97"/>
      <c r="N141" s="296"/>
      <c r="O141" s="296"/>
      <c r="P141" s="296"/>
      <c r="Q141" s="301"/>
      <c r="R141" s="225"/>
    </row>
    <row r="142">
      <c r="A142" s="202"/>
      <c r="B142" s="299"/>
      <c r="C142" s="228"/>
      <c r="D142" s="228"/>
      <c r="E142" s="228"/>
      <c r="F142" s="228"/>
      <c r="G142" s="228"/>
      <c r="H142" s="228"/>
      <c r="I142" s="289"/>
      <c r="J142" s="289"/>
      <c r="K142" s="298"/>
      <c r="L142" s="232"/>
      <c r="M142" s="97"/>
      <c r="N142" s="296"/>
      <c r="O142" s="296"/>
      <c r="P142" s="296"/>
      <c r="Q142" s="301"/>
      <c r="R142" s="225"/>
    </row>
    <row r="143">
      <c r="A143" s="202"/>
      <c r="B143" s="299"/>
      <c r="C143" s="228"/>
      <c r="D143" s="230"/>
      <c r="E143" s="228"/>
      <c r="F143" s="230"/>
      <c r="G143" s="228"/>
      <c r="H143" s="229"/>
      <c r="I143" s="289"/>
      <c r="J143" s="289"/>
      <c r="K143" s="298"/>
      <c r="L143" s="232"/>
      <c r="M143" s="97"/>
      <c r="N143" s="296"/>
      <c r="O143" s="296"/>
      <c r="P143" s="296"/>
      <c r="Q143" s="301"/>
      <c r="R143" s="225"/>
    </row>
    <row r="144">
      <c r="A144" s="202"/>
      <c r="B144" s="299"/>
      <c r="C144" s="228"/>
      <c r="D144" s="230"/>
      <c r="E144" s="228"/>
      <c r="F144" s="230"/>
      <c r="G144" s="228"/>
      <c r="H144" s="230"/>
      <c r="I144" s="289"/>
      <c r="J144" s="289"/>
      <c r="K144" s="298"/>
      <c r="L144" s="232"/>
      <c r="M144" s="97"/>
      <c r="N144" s="296"/>
      <c r="O144" s="296"/>
      <c r="P144" s="296"/>
      <c r="Q144" s="301"/>
      <c r="R144" s="225"/>
    </row>
    <row r="145">
      <c r="A145" s="202"/>
      <c r="B145" s="299"/>
      <c r="C145" s="228"/>
      <c r="D145" s="230"/>
      <c r="E145" s="228"/>
      <c r="F145" s="230"/>
      <c r="G145" s="228"/>
      <c r="H145" s="229"/>
      <c r="I145" s="289"/>
      <c r="J145" s="289"/>
      <c r="K145" s="298"/>
      <c r="L145" s="232"/>
      <c r="M145" s="97"/>
      <c r="N145" s="296"/>
      <c r="O145" s="296"/>
      <c r="P145" s="296"/>
      <c r="Q145" s="301"/>
      <c r="R145" s="225"/>
    </row>
    <row r="146">
      <c r="A146" s="202"/>
      <c r="B146" s="299"/>
      <c r="C146" s="228"/>
      <c r="D146" s="230"/>
      <c r="E146" s="228"/>
      <c r="F146" s="230"/>
      <c r="G146" s="228"/>
      <c r="H146" s="229"/>
      <c r="I146" s="289"/>
      <c r="J146" s="289"/>
      <c r="K146" s="298"/>
      <c r="L146" s="232"/>
      <c r="M146" s="97"/>
      <c r="N146" s="296"/>
      <c r="O146" s="296"/>
      <c r="P146" s="296"/>
      <c r="Q146" s="301"/>
      <c r="R146" s="225"/>
    </row>
    <row r="147">
      <c r="A147" s="202"/>
      <c r="B147" s="299"/>
      <c r="C147" s="228"/>
      <c r="D147" s="230"/>
      <c r="E147" s="228"/>
      <c r="F147" s="230"/>
      <c r="G147" s="228"/>
      <c r="H147" s="229"/>
      <c r="I147" s="289"/>
      <c r="J147" s="289"/>
      <c r="K147" s="298"/>
      <c r="L147" s="232"/>
      <c r="M147" s="97"/>
      <c r="N147" s="296"/>
      <c r="O147" s="296"/>
      <c r="P147" s="296"/>
      <c r="Q147" s="301"/>
      <c r="R147" s="225"/>
    </row>
    <row r="148">
      <c r="A148" s="202"/>
      <c r="B148" s="299"/>
      <c r="C148" s="228"/>
      <c r="D148" s="230"/>
      <c r="E148" s="228"/>
      <c r="F148" s="230"/>
      <c r="G148" s="228"/>
      <c r="H148" s="229"/>
      <c r="I148" s="289"/>
      <c r="J148" s="289"/>
      <c r="K148" s="298"/>
      <c r="L148" s="232"/>
      <c r="M148" s="97"/>
      <c r="N148" s="296"/>
      <c r="O148" s="296"/>
      <c r="P148" s="296"/>
      <c r="Q148" s="301"/>
      <c r="R148" s="225"/>
    </row>
    <row r="149">
      <c r="A149" s="202"/>
      <c r="B149" s="299"/>
      <c r="C149" s="228"/>
      <c r="D149" s="230"/>
      <c r="E149" s="228"/>
      <c r="F149" s="230"/>
      <c r="G149" s="228"/>
      <c r="H149" s="229"/>
      <c r="I149" s="289"/>
      <c r="J149" s="289"/>
      <c r="K149" s="298"/>
      <c r="L149" s="232"/>
      <c r="M149" s="97"/>
      <c r="N149" s="296"/>
      <c r="O149" s="296"/>
      <c r="P149" s="296"/>
      <c r="Q149" s="301"/>
      <c r="R149" s="225"/>
    </row>
    <row r="150">
      <c r="A150" s="202"/>
      <c r="B150" s="299"/>
      <c r="C150" s="228"/>
      <c r="D150" s="230"/>
      <c r="E150" s="228"/>
      <c r="F150" s="230"/>
      <c r="G150" s="228"/>
      <c r="H150" s="229"/>
      <c r="I150" s="289"/>
      <c r="J150" s="289"/>
      <c r="K150" s="298"/>
      <c r="L150" s="232"/>
      <c r="M150" s="97"/>
      <c r="N150" s="296"/>
      <c r="O150" s="296"/>
      <c r="P150" s="296"/>
      <c r="Q150" s="301"/>
      <c r="R150" s="225"/>
    </row>
    <row r="151">
      <c r="A151" s="202"/>
      <c r="B151" s="299"/>
      <c r="C151" s="228"/>
      <c r="D151" s="230"/>
      <c r="E151" s="228"/>
      <c r="F151" s="230"/>
      <c r="G151" s="228"/>
      <c r="H151" s="229"/>
      <c r="I151" s="289"/>
      <c r="J151" s="289"/>
      <c r="K151" s="298"/>
      <c r="L151" s="232"/>
      <c r="M151" s="97"/>
      <c r="N151" s="296"/>
      <c r="O151" s="296"/>
      <c r="P151" s="296"/>
      <c r="Q151" s="301"/>
      <c r="R151" s="225"/>
    </row>
    <row r="152">
      <c r="A152" s="202"/>
      <c r="B152" s="299"/>
      <c r="C152" s="228"/>
      <c r="D152" s="230"/>
      <c r="E152" s="228"/>
      <c r="F152" s="230"/>
      <c r="G152" s="228"/>
      <c r="H152" s="229"/>
      <c r="I152" s="289"/>
      <c r="J152" s="289"/>
      <c r="K152" s="298"/>
      <c r="L152" s="232"/>
      <c r="M152" s="97"/>
      <c r="N152" s="296"/>
      <c r="O152" s="296"/>
      <c r="P152" s="296"/>
      <c r="Q152" s="301"/>
      <c r="R152" s="225"/>
    </row>
    <row r="153">
      <c r="A153" s="202"/>
      <c r="B153" s="299"/>
      <c r="C153" s="228"/>
      <c r="D153" s="230"/>
      <c r="E153" s="228"/>
      <c r="F153" s="230"/>
      <c r="G153" s="228"/>
      <c r="H153" s="229"/>
      <c r="I153" s="289"/>
      <c r="J153" s="289"/>
      <c r="K153" s="298"/>
      <c r="L153" s="232"/>
      <c r="M153" s="97"/>
      <c r="N153" s="296"/>
      <c r="O153" s="296"/>
      <c r="P153" s="296"/>
      <c r="Q153" s="301"/>
      <c r="R153" s="225"/>
    </row>
    <row r="154">
      <c r="A154" s="202"/>
      <c r="B154" s="299"/>
      <c r="C154" s="228"/>
      <c r="D154" s="228"/>
      <c r="E154" s="228"/>
      <c r="F154" s="228"/>
      <c r="G154" s="228"/>
      <c r="H154" s="228"/>
      <c r="I154" s="289"/>
      <c r="J154" s="289"/>
      <c r="K154" s="298"/>
      <c r="L154" s="232"/>
      <c r="M154" s="97"/>
      <c r="N154" s="296"/>
      <c r="O154" s="296"/>
      <c r="P154" s="296"/>
      <c r="Q154" s="301"/>
      <c r="R154" s="225"/>
    </row>
    <row r="155">
      <c r="A155" s="202"/>
      <c r="B155" s="299"/>
      <c r="C155" s="228"/>
      <c r="D155" s="228"/>
      <c r="E155" s="228"/>
      <c r="F155" s="228"/>
      <c r="G155" s="228"/>
      <c r="H155" s="228"/>
      <c r="I155" s="289"/>
      <c r="J155" s="289"/>
      <c r="K155" s="335"/>
      <c r="L155" s="232"/>
      <c r="M155" s="97"/>
      <c r="N155" s="296"/>
      <c r="O155" s="296"/>
      <c r="P155" s="296"/>
      <c r="Q155" s="301"/>
      <c r="R155" s="225"/>
    </row>
    <row r="156">
      <c r="A156" s="202"/>
      <c r="B156" s="299"/>
      <c r="C156" s="228"/>
      <c r="D156" s="230"/>
      <c r="E156" s="228"/>
      <c r="F156" s="230"/>
      <c r="G156" s="228"/>
      <c r="H156" s="229"/>
      <c r="I156" s="289"/>
      <c r="J156" s="289"/>
      <c r="K156" s="298"/>
      <c r="L156" s="232"/>
      <c r="M156" s="97"/>
      <c r="N156" s="296"/>
      <c r="O156" s="296"/>
      <c r="P156" s="296"/>
      <c r="Q156" s="301"/>
      <c r="R156" s="225"/>
    </row>
    <row r="157">
      <c r="A157" s="202"/>
      <c r="B157" s="299"/>
      <c r="C157" s="228"/>
      <c r="D157" s="230"/>
      <c r="E157" s="228"/>
      <c r="F157" s="230"/>
      <c r="G157" s="228"/>
      <c r="H157" s="229"/>
      <c r="I157" s="289"/>
      <c r="J157" s="289"/>
      <c r="K157" s="298"/>
      <c r="L157" s="232"/>
      <c r="M157" s="97"/>
      <c r="N157" s="296"/>
      <c r="O157" s="296"/>
      <c r="P157" s="296"/>
      <c r="Q157" s="301"/>
      <c r="R157" s="225"/>
    </row>
    <row r="158">
      <c r="A158" s="202"/>
      <c r="B158" s="299"/>
      <c r="C158" s="228"/>
      <c r="D158" s="228"/>
      <c r="E158" s="228"/>
      <c r="F158" s="228"/>
      <c r="G158" s="228"/>
      <c r="H158" s="228"/>
      <c r="I158" s="289"/>
      <c r="J158" s="289"/>
      <c r="K158" s="335"/>
      <c r="L158" s="232"/>
      <c r="M158" s="97"/>
      <c r="N158" s="296"/>
      <c r="O158" s="296"/>
      <c r="P158" s="296"/>
      <c r="Q158" s="301"/>
      <c r="R158" s="225"/>
    </row>
    <row r="159">
      <c r="A159" s="202"/>
      <c r="B159" s="299"/>
      <c r="C159" s="228"/>
      <c r="D159" s="230"/>
      <c r="E159" s="228"/>
      <c r="F159" s="230"/>
      <c r="G159" s="228"/>
      <c r="H159" s="229"/>
      <c r="I159" s="289"/>
      <c r="J159" s="289"/>
      <c r="K159" s="298"/>
      <c r="L159" s="232"/>
      <c r="M159" s="97"/>
      <c r="N159" s="296"/>
      <c r="O159" s="296"/>
      <c r="P159" s="296"/>
      <c r="Q159" s="301"/>
      <c r="R159" s="225"/>
    </row>
    <row r="160">
      <c r="A160" s="202"/>
      <c r="B160" s="299"/>
      <c r="C160" s="228"/>
      <c r="D160" s="230"/>
      <c r="E160" s="228"/>
      <c r="F160" s="230"/>
      <c r="G160" s="228"/>
      <c r="H160" s="229"/>
      <c r="I160" s="289"/>
      <c r="J160" s="289"/>
      <c r="K160" s="298"/>
      <c r="L160" s="232"/>
      <c r="M160" s="97"/>
      <c r="N160" s="296"/>
      <c r="O160" s="296"/>
      <c r="P160" s="296"/>
      <c r="Q160" s="301"/>
      <c r="R160" s="225"/>
    </row>
    <row r="161">
      <c r="A161" s="202"/>
      <c r="B161" s="299"/>
      <c r="C161" s="228"/>
      <c r="D161" s="230"/>
      <c r="E161" s="228"/>
      <c r="F161" s="230"/>
      <c r="G161" s="228"/>
      <c r="H161" s="229"/>
      <c r="I161" s="289"/>
      <c r="J161" s="289"/>
      <c r="K161" s="298"/>
      <c r="L161" s="232"/>
      <c r="M161" s="97"/>
      <c r="N161" s="296"/>
      <c r="O161" s="296"/>
      <c r="P161" s="296"/>
      <c r="Q161" s="301"/>
      <c r="R161" s="225"/>
    </row>
    <row r="162">
      <c r="A162" s="202"/>
      <c r="B162" s="299"/>
      <c r="C162" s="228"/>
      <c r="D162" s="230"/>
      <c r="E162" s="228"/>
      <c r="F162" s="230"/>
      <c r="G162" s="228"/>
      <c r="H162" s="229"/>
      <c r="I162" s="289"/>
      <c r="J162" s="289"/>
      <c r="K162" s="298"/>
      <c r="L162" s="232"/>
      <c r="M162" s="97"/>
      <c r="N162" s="296"/>
      <c r="O162" s="296"/>
      <c r="P162" s="296"/>
      <c r="Q162" s="301"/>
      <c r="R162" s="225"/>
    </row>
    <row r="163">
      <c r="A163" s="202"/>
      <c r="B163" s="299"/>
      <c r="C163" s="228"/>
      <c r="D163" s="230"/>
      <c r="E163" s="228"/>
      <c r="F163" s="230"/>
      <c r="G163" s="228"/>
      <c r="H163" s="229"/>
      <c r="I163" s="289"/>
      <c r="J163" s="289"/>
      <c r="K163" s="298"/>
      <c r="L163" s="232"/>
      <c r="M163" s="97"/>
      <c r="N163" s="296"/>
      <c r="O163" s="296"/>
      <c r="P163" s="296"/>
      <c r="Q163" s="301"/>
      <c r="R163" s="225"/>
    </row>
    <row r="164">
      <c r="A164" s="202"/>
      <c r="B164" s="299"/>
      <c r="C164" s="228"/>
      <c r="D164" s="230"/>
      <c r="E164" s="228"/>
      <c r="F164" s="230"/>
      <c r="G164" s="228"/>
      <c r="H164" s="229"/>
      <c r="I164" s="289"/>
      <c r="J164" s="289"/>
      <c r="K164" s="298"/>
      <c r="L164" s="232"/>
      <c r="M164" s="97"/>
      <c r="N164" s="296"/>
      <c r="O164" s="296"/>
      <c r="P164" s="296"/>
      <c r="Q164" s="301"/>
      <c r="R164" s="225"/>
    </row>
    <row r="165">
      <c r="A165" s="202"/>
      <c r="B165" s="299"/>
      <c r="C165" s="228"/>
      <c r="D165" s="230"/>
      <c r="E165" s="228"/>
      <c r="F165" s="230"/>
      <c r="G165" s="228"/>
      <c r="H165" s="229"/>
      <c r="I165" s="289"/>
      <c r="J165" s="289"/>
      <c r="K165" s="298"/>
      <c r="L165" s="232"/>
      <c r="M165" s="97"/>
      <c r="N165" s="296"/>
      <c r="O165" s="296"/>
      <c r="P165" s="296"/>
      <c r="Q165" s="301"/>
      <c r="R165" s="225"/>
    </row>
    <row r="166">
      <c r="A166" s="202"/>
      <c r="B166" s="299"/>
      <c r="C166" s="228"/>
      <c r="D166" s="230"/>
      <c r="E166" s="228"/>
      <c r="F166" s="230"/>
      <c r="G166" s="228"/>
      <c r="H166" s="229"/>
      <c r="I166" s="289"/>
      <c r="J166" s="289"/>
      <c r="K166" s="298"/>
      <c r="L166" s="232"/>
      <c r="M166" s="97"/>
      <c r="N166" s="296"/>
      <c r="O166" s="296"/>
      <c r="P166" s="296"/>
      <c r="Q166" s="301"/>
      <c r="R166" s="225"/>
    </row>
    <row r="167">
      <c r="A167" s="202"/>
      <c r="B167" s="299"/>
      <c r="C167" s="228"/>
      <c r="D167" s="230"/>
      <c r="E167" s="228"/>
      <c r="F167" s="230"/>
      <c r="G167" s="228"/>
      <c r="H167" s="229"/>
      <c r="I167" s="289"/>
      <c r="J167" s="289"/>
      <c r="K167" s="298"/>
      <c r="L167" s="232"/>
      <c r="M167" s="97"/>
      <c r="N167" s="296"/>
      <c r="O167" s="296"/>
      <c r="P167" s="296"/>
      <c r="Q167" s="301"/>
      <c r="R167" s="225"/>
    </row>
    <row r="168">
      <c r="A168" s="202"/>
      <c r="B168" s="304"/>
      <c r="C168" s="228"/>
      <c r="D168" s="230"/>
      <c r="E168" s="228"/>
      <c r="F168" s="230"/>
      <c r="G168" s="228"/>
      <c r="H168" s="229"/>
      <c r="I168" s="289"/>
      <c r="J168" s="289"/>
      <c r="K168" s="298"/>
      <c r="L168" s="232"/>
      <c r="M168" s="97"/>
      <c r="N168" s="296"/>
      <c r="O168" s="296"/>
      <c r="P168" s="296"/>
      <c r="Q168" s="301"/>
      <c r="R168" s="225"/>
    </row>
    <row r="169">
      <c r="A169" s="202"/>
      <c r="B169" s="299"/>
      <c r="C169" s="228"/>
      <c r="D169" s="230"/>
      <c r="E169" s="228"/>
      <c r="F169" s="230"/>
      <c r="G169" s="228"/>
      <c r="H169" s="229"/>
      <c r="I169" s="289"/>
      <c r="J169" s="289"/>
      <c r="K169" s="298"/>
      <c r="L169" s="232"/>
      <c r="M169" s="97"/>
      <c r="N169" s="296"/>
      <c r="O169" s="296"/>
      <c r="P169" s="296"/>
      <c r="Q169" s="301"/>
      <c r="R169" s="225"/>
    </row>
    <row r="170">
      <c r="A170" s="202"/>
      <c r="B170" s="299"/>
      <c r="C170" s="228"/>
      <c r="D170" s="230"/>
      <c r="E170" s="228"/>
      <c r="F170" s="230"/>
      <c r="G170" s="228"/>
      <c r="H170" s="229"/>
      <c r="I170" s="289"/>
      <c r="J170" s="289"/>
      <c r="K170" s="298"/>
      <c r="L170" s="232"/>
      <c r="M170" s="97"/>
      <c r="N170" s="296"/>
      <c r="O170" s="296"/>
      <c r="P170" s="296"/>
      <c r="Q170" s="301"/>
      <c r="R170" s="225"/>
    </row>
    <row r="171">
      <c r="A171" s="202"/>
      <c r="B171" s="299"/>
      <c r="C171" s="228"/>
      <c r="D171" s="230"/>
      <c r="E171" s="228"/>
      <c r="F171" s="230"/>
      <c r="G171" s="228"/>
      <c r="H171" s="229"/>
      <c r="I171" s="289"/>
      <c r="J171" s="289"/>
      <c r="K171" s="298"/>
      <c r="L171" s="232"/>
      <c r="M171" s="97"/>
      <c r="N171" s="296"/>
      <c r="O171" s="296"/>
      <c r="P171" s="296"/>
      <c r="Q171" s="301"/>
      <c r="R171" s="225"/>
    </row>
    <row r="172">
      <c r="A172" s="202"/>
      <c r="B172" s="299"/>
      <c r="C172" s="228"/>
      <c r="D172" s="230"/>
      <c r="E172" s="228"/>
      <c r="F172" s="230"/>
      <c r="G172" s="228"/>
      <c r="H172" s="229"/>
      <c r="I172" s="289"/>
      <c r="J172" s="289"/>
      <c r="K172" s="298"/>
      <c r="L172" s="232"/>
      <c r="M172" s="97"/>
      <c r="N172" s="296"/>
      <c r="O172" s="296"/>
      <c r="P172" s="296"/>
      <c r="Q172" s="301"/>
      <c r="R172" s="225"/>
    </row>
    <row r="173">
      <c r="A173" s="202"/>
      <c r="B173" s="299"/>
      <c r="C173" s="228"/>
      <c r="D173" s="230"/>
      <c r="E173" s="228"/>
      <c r="F173" s="230"/>
      <c r="G173" s="228"/>
      <c r="H173" s="229"/>
      <c r="I173" s="289"/>
      <c r="J173" s="289"/>
      <c r="K173" s="298"/>
      <c r="L173" s="232"/>
      <c r="M173" s="97"/>
      <c r="N173" s="296"/>
      <c r="O173" s="296"/>
      <c r="P173" s="296"/>
      <c r="Q173" s="301"/>
      <c r="R173" s="225"/>
    </row>
    <row r="174">
      <c r="A174" s="202"/>
      <c r="B174" s="299"/>
      <c r="C174" s="228"/>
      <c r="D174" s="230"/>
      <c r="E174" s="228"/>
      <c r="F174" s="230"/>
      <c r="G174" s="228"/>
      <c r="H174" s="229"/>
      <c r="I174" s="289"/>
      <c r="J174" s="289"/>
      <c r="K174" s="298"/>
      <c r="L174" s="232"/>
      <c r="M174" s="97"/>
      <c r="N174" s="296"/>
      <c r="O174" s="296"/>
      <c r="P174" s="296"/>
      <c r="Q174" s="301"/>
      <c r="R174" s="225"/>
    </row>
    <row r="175">
      <c r="A175" s="202"/>
      <c r="B175" s="299"/>
      <c r="C175" s="320"/>
      <c r="D175" s="321"/>
      <c r="E175" s="228"/>
      <c r="F175" s="230"/>
      <c r="G175" s="228"/>
      <c r="H175" s="229"/>
      <c r="I175" s="289"/>
      <c r="J175" s="289"/>
      <c r="K175" s="298"/>
      <c r="L175" s="232"/>
      <c r="M175" s="97"/>
      <c r="N175" s="296"/>
      <c r="O175" s="296"/>
      <c r="P175" s="296"/>
      <c r="Q175" s="301"/>
      <c r="R175" s="225"/>
    </row>
    <row r="176">
      <c r="A176" s="202"/>
      <c r="B176" s="299"/>
      <c r="C176" s="322"/>
      <c r="D176" s="321"/>
      <c r="E176" s="228"/>
      <c r="F176" s="230"/>
      <c r="G176" s="228"/>
      <c r="H176" s="229"/>
      <c r="I176" s="289"/>
      <c r="J176" s="289"/>
      <c r="K176" s="298"/>
      <c r="L176" s="232"/>
      <c r="M176" s="97"/>
      <c r="N176" s="296"/>
      <c r="O176" s="296"/>
      <c r="P176" s="296"/>
      <c r="Q176" s="301"/>
      <c r="R176" s="225"/>
    </row>
    <row r="177">
      <c r="A177" s="202"/>
      <c r="B177" s="299"/>
      <c r="C177" s="322"/>
      <c r="D177" s="321"/>
      <c r="E177" s="228"/>
      <c r="F177" s="230"/>
      <c r="G177" s="228"/>
      <c r="H177" s="229"/>
      <c r="I177" s="289"/>
      <c r="J177" s="289"/>
      <c r="K177" s="298"/>
      <c r="L177" s="232"/>
      <c r="M177" s="97"/>
      <c r="N177" s="296"/>
      <c r="O177" s="296"/>
      <c r="P177" s="296"/>
      <c r="Q177" s="301"/>
      <c r="R177" s="225"/>
    </row>
    <row r="178">
      <c r="A178" s="202"/>
      <c r="B178" s="299"/>
      <c r="C178" s="322"/>
      <c r="D178" s="321"/>
      <c r="E178" s="228"/>
      <c r="F178" s="230"/>
      <c r="G178" s="228"/>
      <c r="H178" s="229"/>
      <c r="I178" s="289"/>
      <c r="J178" s="289"/>
      <c r="K178" s="298"/>
      <c r="L178" s="232"/>
      <c r="M178" s="97"/>
      <c r="N178" s="296"/>
      <c r="O178" s="296"/>
      <c r="P178" s="296"/>
      <c r="Q178" s="301"/>
      <c r="R178" s="225"/>
    </row>
    <row r="179">
      <c r="A179" s="202"/>
      <c r="B179" s="299"/>
      <c r="C179" s="322"/>
      <c r="D179" s="321"/>
      <c r="E179" s="228"/>
      <c r="F179" s="230"/>
      <c r="G179" s="228"/>
      <c r="H179" s="229"/>
      <c r="I179" s="289"/>
      <c r="J179" s="289"/>
      <c r="K179" s="298"/>
      <c r="L179" s="232"/>
      <c r="M179" s="97"/>
      <c r="N179" s="296"/>
      <c r="O179" s="296"/>
      <c r="P179" s="296"/>
      <c r="Q179" s="301"/>
      <c r="R179" s="225"/>
    </row>
    <row r="180">
      <c r="A180" s="202"/>
      <c r="B180" s="299"/>
      <c r="C180" s="322"/>
      <c r="D180" s="321"/>
      <c r="E180" s="228"/>
      <c r="F180" s="230"/>
      <c r="G180" s="228"/>
      <c r="H180" s="229"/>
      <c r="I180" s="289"/>
      <c r="J180" s="289"/>
      <c r="K180" s="298"/>
      <c r="L180" s="232"/>
      <c r="M180" s="97"/>
      <c r="N180" s="296"/>
      <c r="O180" s="296"/>
      <c r="P180" s="296"/>
      <c r="Q180" s="301"/>
      <c r="R180" s="225"/>
    </row>
    <row r="181">
      <c r="A181" s="202"/>
      <c r="B181" s="299"/>
      <c r="C181" s="228"/>
      <c r="D181" s="230"/>
      <c r="E181" s="228"/>
      <c r="F181" s="230"/>
      <c r="G181" s="228"/>
      <c r="H181" s="229"/>
      <c r="I181" s="289"/>
      <c r="J181" s="289"/>
      <c r="K181" s="298"/>
      <c r="L181" s="232"/>
      <c r="M181" s="97"/>
      <c r="N181" s="296"/>
      <c r="O181" s="296"/>
      <c r="P181" s="296"/>
      <c r="Q181" s="301"/>
      <c r="R181" s="225"/>
    </row>
    <row r="182">
      <c r="A182" s="202"/>
      <c r="B182" s="299"/>
      <c r="C182" s="322"/>
      <c r="D182" s="323"/>
      <c r="E182" s="228"/>
      <c r="F182" s="230"/>
      <c r="G182" s="228"/>
      <c r="H182" s="229"/>
      <c r="I182" s="289"/>
      <c r="J182" s="289"/>
      <c r="K182" s="298"/>
      <c r="L182" s="232"/>
      <c r="M182" s="97"/>
      <c r="N182" s="296"/>
      <c r="O182" s="296"/>
      <c r="P182" s="296"/>
      <c r="Q182" s="301"/>
      <c r="R182" s="225"/>
    </row>
    <row r="183">
      <c r="A183" s="202"/>
      <c r="B183" s="299"/>
      <c r="C183" s="322"/>
      <c r="D183" s="323"/>
      <c r="E183" s="228"/>
      <c r="F183" s="230"/>
      <c r="G183" s="228"/>
      <c r="H183" s="229"/>
      <c r="I183" s="289"/>
      <c r="J183" s="289"/>
      <c r="K183" s="298"/>
      <c r="L183" s="232"/>
      <c r="M183" s="97"/>
      <c r="N183" s="296"/>
      <c r="O183" s="296"/>
      <c r="P183" s="296"/>
      <c r="Q183" s="301"/>
      <c r="R183" s="225"/>
    </row>
    <row r="184">
      <c r="A184" s="202"/>
      <c r="B184" s="299"/>
      <c r="C184" s="322"/>
      <c r="D184" s="323"/>
      <c r="E184" s="228"/>
      <c r="F184" s="230"/>
      <c r="G184" s="228"/>
      <c r="H184" s="229"/>
      <c r="I184" s="289"/>
      <c r="J184" s="289"/>
      <c r="K184" s="298"/>
      <c r="L184" s="232"/>
      <c r="M184" s="97"/>
      <c r="N184" s="296"/>
      <c r="O184" s="296"/>
      <c r="P184" s="296"/>
      <c r="Q184" s="301"/>
      <c r="R184" s="225"/>
    </row>
    <row r="185">
      <c r="A185" s="202"/>
      <c r="B185" s="299"/>
      <c r="C185" s="322"/>
      <c r="D185" s="323"/>
      <c r="E185" s="228"/>
      <c r="F185" s="230"/>
      <c r="G185" s="228"/>
      <c r="H185" s="229"/>
      <c r="I185" s="289"/>
      <c r="J185" s="289"/>
      <c r="K185" s="298"/>
      <c r="L185" s="232"/>
      <c r="M185" s="97"/>
      <c r="N185" s="296"/>
      <c r="O185" s="296"/>
      <c r="P185" s="296"/>
      <c r="Q185" s="301"/>
      <c r="R185" s="225"/>
    </row>
    <row r="186">
      <c r="A186" s="202"/>
      <c r="B186" s="299"/>
      <c r="C186" s="322"/>
      <c r="D186" s="323"/>
      <c r="E186" s="228"/>
      <c r="F186" s="230"/>
      <c r="G186" s="228"/>
      <c r="H186" s="229"/>
      <c r="I186" s="289"/>
      <c r="J186" s="289"/>
      <c r="K186" s="298"/>
      <c r="L186" s="232"/>
      <c r="M186" s="97"/>
      <c r="N186" s="296"/>
      <c r="O186" s="296"/>
      <c r="P186" s="296"/>
      <c r="Q186" s="301"/>
      <c r="R186" s="225"/>
    </row>
    <row r="187">
      <c r="A187" s="202"/>
      <c r="B187" s="299"/>
      <c r="C187" s="322"/>
      <c r="D187" s="323"/>
      <c r="E187" s="228"/>
      <c r="F187" s="230"/>
      <c r="G187" s="228"/>
      <c r="H187" s="229"/>
      <c r="I187" s="289"/>
      <c r="J187" s="289"/>
      <c r="K187" s="298"/>
      <c r="L187" s="232"/>
      <c r="M187" s="97"/>
      <c r="N187" s="296"/>
      <c r="O187" s="296"/>
      <c r="P187" s="296"/>
      <c r="Q187" s="301"/>
      <c r="R187" s="225"/>
    </row>
    <row r="188">
      <c r="A188" s="202"/>
      <c r="B188" s="299"/>
      <c r="C188" s="322"/>
      <c r="D188" s="323"/>
      <c r="E188" s="228"/>
      <c r="F188" s="230"/>
      <c r="G188" s="228"/>
      <c r="H188" s="229"/>
      <c r="I188" s="289"/>
      <c r="J188" s="289"/>
      <c r="K188" s="298"/>
      <c r="L188" s="232"/>
      <c r="M188" s="97"/>
      <c r="N188" s="296"/>
      <c r="O188" s="296"/>
      <c r="P188" s="296"/>
      <c r="Q188" s="301"/>
      <c r="R188" s="225"/>
    </row>
    <row r="189">
      <c r="A189" s="202"/>
      <c r="B189" s="299"/>
      <c r="C189" s="322"/>
      <c r="D189" s="323"/>
      <c r="E189" s="228"/>
      <c r="F189" s="230"/>
      <c r="G189" s="228"/>
      <c r="H189" s="229"/>
      <c r="I189" s="289"/>
      <c r="J189" s="289"/>
      <c r="K189" s="298"/>
      <c r="L189" s="232"/>
      <c r="M189" s="97"/>
      <c r="N189" s="296"/>
      <c r="O189" s="296"/>
      <c r="P189" s="296"/>
      <c r="Q189" s="301"/>
      <c r="R189" s="225"/>
    </row>
    <row r="190">
      <c r="A190" s="202"/>
      <c r="B190" s="299"/>
      <c r="C190" s="322"/>
      <c r="D190" s="323"/>
      <c r="E190" s="228"/>
      <c r="F190" s="230"/>
      <c r="G190" s="228"/>
      <c r="H190" s="229"/>
      <c r="I190" s="289"/>
      <c r="J190" s="289"/>
      <c r="K190" s="298"/>
      <c r="L190" s="232"/>
      <c r="M190" s="97"/>
      <c r="N190" s="296"/>
      <c r="O190" s="296"/>
      <c r="P190" s="296"/>
      <c r="Q190" s="301"/>
      <c r="R190" s="225"/>
    </row>
    <row r="191">
      <c r="A191" s="202"/>
      <c r="B191" s="299"/>
      <c r="C191" s="322"/>
      <c r="D191" s="323"/>
      <c r="E191" s="228"/>
      <c r="F191" s="230"/>
      <c r="G191" s="228"/>
      <c r="H191" s="229"/>
      <c r="I191" s="289"/>
      <c r="J191" s="289"/>
      <c r="K191" s="298"/>
      <c r="L191" s="232"/>
      <c r="M191" s="97"/>
      <c r="N191" s="296"/>
      <c r="O191" s="296"/>
      <c r="P191" s="296"/>
      <c r="Q191" s="301"/>
      <c r="R191" s="225"/>
    </row>
    <row r="192">
      <c r="A192" s="202"/>
      <c r="B192" s="299"/>
      <c r="C192" s="322"/>
      <c r="D192" s="323"/>
      <c r="E192" s="228"/>
      <c r="F192" s="230"/>
      <c r="G192" s="228"/>
      <c r="H192" s="229"/>
      <c r="I192" s="289"/>
      <c r="J192" s="289"/>
      <c r="K192" s="298"/>
      <c r="L192" s="232"/>
      <c r="M192" s="97"/>
      <c r="N192" s="296"/>
      <c r="O192" s="296"/>
      <c r="P192" s="296"/>
      <c r="Q192" s="301"/>
      <c r="R192" s="225"/>
    </row>
    <row r="193">
      <c r="A193" s="202"/>
      <c r="B193" s="299"/>
      <c r="C193" s="322"/>
      <c r="D193" s="323"/>
      <c r="E193" s="228"/>
      <c r="F193" s="230"/>
      <c r="G193" s="228"/>
      <c r="H193" s="229"/>
      <c r="I193" s="289"/>
      <c r="J193" s="289"/>
      <c r="K193" s="298"/>
      <c r="L193" s="232"/>
      <c r="M193" s="97"/>
      <c r="N193" s="296"/>
      <c r="O193" s="296"/>
      <c r="P193" s="296"/>
      <c r="Q193" s="301"/>
      <c r="R193" s="225"/>
    </row>
    <row r="194">
      <c r="A194" s="202"/>
      <c r="B194" s="299"/>
      <c r="C194" s="322"/>
      <c r="D194" s="323"/>
      <c r="E194" s="228"/>
      <c r="F194" s="230"/>
      <c r="G194" s="228"/>
      <c r="H194" s="229"/>
      <c r="I194" s="289"/>
      <c r="J194" s="289"/>
      <c r="K194" s="298"/>
      <c r="L194" s="232"/>
      <c r="M194" s="97"/>
      <c r="N194" s="296"/>
      <c r="O194" s="296"/>
      <c r="P194" s="296"/>
      <c r="Q194" s="301"/>
      <c r="R194" s="225"/>
    </row>
    <row r="195">
      <c r="A195" s="202"/>
      <c r="B195" s="299"/>
      <c r="C195" s="322"/>
      <c r="D195" s="323"/>
      <c r="E195" s="228"/>
      <c r="F195" s="230"/>
      <c r="G195" s="228"/>
      <c r="H195" s="229"/>
      <c r="I195" s="289"/>
      <c r="J195" s="289"/>
      <c r="K195" s="298"/>
      <c r="L195" s="232"/>
      <c r="M195" s="97"/>
      <c r="N195" s="296"/>
      <c r="O195" s="296"/>
      <c r="P195" s="296"/>
      <c r="Q195" s="301"/>
      <c r="R195" s="225"/>
    </row>
    <row r="196">
      <c r="A196" s="202"/>
      <c r="B196" s="299"/>
      <c r="C196" s="322"/>
      <c r="D196" s="323"/>
      <c r="E196" s="228"/>
      <c r="F196" s="230"/>
      <c r="G196" s="228"/>
      <c r="H196" s="229"/>
      <c r="I196" s="289"/>
      <c r="J196" s="289"/>
      <c r="K196" s="298"/>
      <c r="L196" s="232"/>
      <c r="M196" s="97"/>
      <c r="N196" s="296"/>
      <c r="O196" s="296"/>
      <c r="P196" s="296"/>
      <c r="Q196" s="301"/>
      <c r="R196" s="225"/>
    </row>
    <row r="197">
      <c r="A197" s="202"/>
      <c r="B197" s="299"/>
      <c r="C197" s="228"/>
      <c r="D197" s="327"/>
      <c r="E197" s="228"/>
      <c r="F197" s="230"/>
      <c r="G197" s="228"/>
      <c r="H197" s="229"/>
      <c r="I197" s="289"/>
      <c r="J197" s="289"/>
      <c r="K197" s="298"/>
      <c r="L197" s="232"/>
      <c r="M197" s="97"/>
      <c r="N197" s="296"/>
      <c r="O197" s="296"/>
      <c r="P197" s="296"/>
      <c r="Q197" s="301"/>
      <c r="R197" s="225"/>
    </row>
    <row r="198">
      <c r="A198" s="202"/>
      <c r="B198" s="299"/>
      <c r="C198" s="228"/>
      <c r="D198" s="230"/>
      <c r="E198" s="228"/>
      <c r="F198" s="230"/>
      <c r="G198" s="228"/>
      <c r="H198" s="229"/>
      <c r="I198" s="289"/>
      <c r="J198" s="289"/>
      <c r="K198" s="298"/>
      <c r="L198" s="232"/>
      <c r="M198" s="97"/>
      <c r="N198" s="296"/>
      <c r="O198" s="296"/>
      <c r="P198" s="296"/>
      <c r="Q198" s="301"/>
      <c r="R198" s="225"/>
    </row>
    <row r="199">
      <c r="A199" s="202"/>
      <c r="B199" s="299"/>
      <c r="C199" s="228"/>
      <c r="D199" s="230"/>
      <c r="E199" s="228"/>
      <c r="F199" s="230"/>
      <c r="G199" s="228"/>
      <c r="H199" s="229"/>
      <c r="I199" s="289"/>
      <c r="J199" s="289"/>
      <c r="K199" s="298"/>
      <c r="L199" s="232"/>
      <c r="M199" s="97"/>
      <c r="N199" s="296"/>
      <c r="O199" s="296"/>
      <c r="P199" s="296"/>
      <c r="Q199" s="301"/>
      <c r="R199" s="225"/>
    </row>
    <row r="200">
      <c r="A200" s="202"/>
      <c r="B200" s="299"/>
      <c r="C200" s="228"/>
      <c r="D200" s="228"/>
      <c r="E200" s="228"/>
      <c r="F200" s="228"/>
      <c r="G200" s="228"/>
      <c r="H200" s="228"/>
      <c r="I200" s="289"/>
      <c r="J200" s="289"/>
      <c r="K200" s="335"/>
      <c r="L200" s="232"/>
      <c r="M200" s="97"/>
      <c r="N200" s="296"/>
      <c r="O200" s="296"/>
      <c r="P200" s="296"/>
      <c r="Q200" s="301"/>
      <c r="R200" s="225"/>
    </row>
    <row r="201">
      <c r="A201" s="202"/>
      <c r="B201" s="299"/>
      <c r="C201" s="228"/>
      <c r="D201" s="229"/>
      <c r="E201" s="228"/>
      <c r="F201" s="230"/>
      <c r="G201" s="228"/>
      <c r="H201" s="229"/>
      <c r="I201" s="289"/>
      <c r="J201" s="289"/>
      <c r="K201" s="298"/>
      <c r="L201" s="232"/>
      <c r="M201" s="97"/>
      <c r="N201" s="296"/>
      <c r="O201" s="296"/>
      <c r="P201" s="296"/>
      <c r="Q201" s="301"/>
      <c r="R201" s="225"/>
    </row>
    <row r="202">
      <c r="A202" s="202"/>
      <c r="B202" s="299"/>
      <c r="C202" s="228"/>
      <c r="D202" s="230"/>
      <c r="E202" s="228"/>
      <c r="F202" s="230"/>
      <c r="G202" s="228"/>
      <c r="H202" s="229"/>
      <c r="I202" s="289"/>
      <c r="J202" s="289"/>
      <c r="K202" s="298"/>
      <c r="L202" s="232"/>
      <c r="M202" s="97"/>
      <c r="N202" s="296"/>
      <c r="O202" s="296"/>
      <c r="P202" s="296"/>
      <c r="Q202" s="301"/>
      <c r="R202" s="225"/>
    </row>
    <row r="203">
      <c r="A203" s="202"/>
      <c r="B203" s="299"/>
      <c r="C203" s="228"/>
      <c r="D203" s="230"/>
      <c r="E203" s="228"/>
      <c r="F203" s="230"/>
      <c r="G203" s="228"/>
      <c r="H203" s="229"/>
      <c r="I203" s="289"/>
      <c r="J203" s="289"/>
      <c r="K203" s="298"/>
      <c r="L203" s="232"/>
      <c r="M203" s="97"/>
      <c r="N203" s="296"/>
      <c r="O203" s="296"/>
      <c r="P203" s="296"/>
      <c r="Q203" s="301"/>
      <c r="R203" s="225"/>
    </row>
    <row r="204">
      <c r="A204" s="202"/>
      <c r="B204" s="299"/>
      <c r="C204" s="228"/>
      <c r="D204" s="230"/>
      <c r="E204" s="228"/>
      <c r="F204" s="230"/>
      <c r="G204" s="228"/>
      <c r="H204" s="229"/>
      <c r="I204" s="289"/>
      <c r="J204" s="289"/>
      <c r="K204" s="298"/>
      <c r="L204" s="232"/>
      <c r="M204" s="97"/>
      <c r="N204" s="296"/>
      <c r="O204" s="296"/>
      <c r="P204" s="296"/>
      <c r="Q204" s="301"/>
      <c r="R204" s="225"/>
    </row>
    <row r="205">
      <c r="A205" s="202"/>
      <c r="B205" s="299"/>
      <c r="C205" s="228"/>
      <c r="D205" s="230"/>
      <c r="E205" s="228"/>
      <c r="F205" s="230"/>
      <c r="G205" s="228"/>
      <c r="H205" s="229"/>
      <c r="I205" s="289"/>
      <c r="J205" s="289"/>
      <c r="K205" s="298"/>
      <c r="L205" s="232"/>
      <c r="M205" s="97"/>
      <c r="N205" s="296"/>
      <c r="O205" s="296"/>
      <c r="P205" s="296"/>
      <c r="Q205" s="301"/>
      <c r="R205" s="225"/>
    </row>
    <row r="206">
      <c r="A206" s="202"/>
      <c r="B206" s="299"/>
      <c r="C206" s="228"/>
      <c r="D206" s="230"/>
      <c r="E206" s="228"/>
      <c r="F206" s="230"/>
      <c r="G206" s="228"/>
      <c r="H206" s="229"/>
      <c r="I206" s="289"/>
      <c r="J206" s="289"/>
      <c r="K206" s="298"/>
      <c r="L206" s="232"/>
      <c r="M206" s="97"/>
      <c r="N206" s="296"/>
      <c r="O206" s="296"/>
      <c r="P206" s="296"/>
      <c r="Q206" s="301"/>
      <c r="R206" s="225"/>
    </row>
    <row r="207">
      <c r="A207" s="202"/>
      <c r="B207" s="304"/>
      <c r="C207" s="228"/>
      <c r="D207" s="230"/>
      <c r="E207" s="228"/>
      <c r="F207" s="230"/>
      <c r="G207" s="228"/>
      <c r="H207" s="229"/>
      <c r="I207" s="289"/>
      <c r="J207" s="289"/>
      <c r="K207" s="298"/>
      <c r="L207" s="232"/>
      <c r="M207" s="97"/>
      <c r="N207" s="296"/>
      <c r="O207" s="296"/>
      <c r="P207" s="296"/>
      <c r="Q207" s="301"/>
      <c r="R207" s="225"/>
    </row>
    <row r="208">
      <c r="A208" s="202"/>
      <c r="B208" s="299"/>
      <c r="C208" s="228"/>
      <c r="D208" s="230"/>
      <c r="E208" s="228"/>
      <c r="F208" s="230"/>
      <c r="G208" s="228"/>
      <c r="H208" s="229"/>
      <c r="I208" s="289"/>
      <c r="J208" s="289"/>
      <c r="K208" s="298"/>
      <c r="L208" s="232"/>
      <c r="M208" s="97"/>
      <c r="N208" s="296"/>
      <c r="O208" s="296"/>
      <c r="P208" s="296"/>
      <c r="Q208" s="301"/>
      <c r="R208" s="225"/>
    </row>
    <row r="209">
      <c r="A209" s="202"/>
      <c r="B209" s="299"/>
      <c r="C209" s="228"/>
      <c r="D209" s="230"/>
      <c r="E209" s="228"/>
      <c r="F209" s="230"/>
      <c r="G209" s="228"/>
      <c r="H209" s="229"/>
      <c r="I209" s="289"/>
      <c r="J209" s="289"/>
      <c r="K209" s="298"/>
      <c r="L209" s="232"/>
      <c r="M209" s="97"/>
      <c r="N209" s="296"/>
      <c r="O209" s="296"/>
      <c r="P209" s="296"/>
      <c r="Q209" s="301"/>
      <c r="R209" s="225"/>
    </row>
    <row r="210">
      <c r="A210" s="202"/>
      <c r="B210" s="299"/>
      <c r="C210" s="228"/>
      <c r="D210" s="230"/>
      <c r="E210" s="228"/>
      <c r="F210" s="230"/>
      <c r="G210" s="228"/>
      <c r="H210" s="229"/>
      <c r="I210" s="289"/>
      <c r="J210" s="289"/>
      <c r="K210" s="298"/>
      <c r="L210" s="232"/>
      <c r="M210" s="97"/>
      <c r="N210" s="296"/>
      <c r="O210" s="296"/>
      <c r="P210" s="296"/>
      <c r="Q210" s="301"/>
      <c r="R210" s="225"/>
    </row>
    <row r="211">
      <c r="A211" s="202"/>
      <c r="B211" s="299"/>
      <c r="C211" s="228"/>
      <c r="D211" s="230"/>
      <c r="E211" s="228"/>
      <c r="F211" s="230"/>
      <c r="G211" s="314"/>
      <c r="H211" s="315"/>
      <c r="I211" s="289"/>
      <c r="J211" s="289"/>
      <c r="K211" s="298"/>
      <c r="L211" s="232"/>
      <c r="M211" s="97"/>
      <c r="N211" s="296"/>
      <c r="O211" s="296"/>
      <c r="P211" s="296"/>
      <c r="Q211" s="301"/>
      <c r="R211" s="225"/>
    </row>
    <row r="212">
      <c r="A212" s="202"/>
      <c r="B212" s="299"/>
      <c r="C212" s="228"/>
      <c r="D212" s="230"/>
      <c r="E212" s="228"/>
      <c r="F212" s="230"/>
      <c r="G212" s="228"/>
      <c r="H212" s="229"/>
      <c r="I212" s="289"/>
      <c r="J212" s="289"/>
      <c r="K212" s="298"/>
      <c r="L212" s="232"/>
      <c r="M212" s="97"/>
      <c r="N212" s="296"/>
      <c r="O212" s="296"/>
      <c r="P212" s="296"/>
      <c r="Q212" s="301"/>
      <c r="R212" s="225"/>
    </row>
    <row r="213">
      <c r="A213" s="202"/>
      <c r="B213" s="299"/>
      <c r="C213" s="228"/>
      <c r="D213" s="230"/>
      <c r="E213" s="228"/>
      <c r="F213" s="230"/>
      <c r="G213" s="228"/>
      <c r="H213" s="229"/>
      <c r="I213" s="289"/>
      <c r="J213" s="289"/>
      <c r="K213" s="298"/>
      <c r="L213" s="232"/>
      <c r="M213" s="97"/>
      <c r="N213" s="296"/>
      <c r="O213" s="296"/>
      <c r="P213" s="296"/>
      <c r="Q213" s="301"/>
      <c r="R213" s="225"/>
    </row>
    <row r="214">
      <c r="A214" s="202"/>
      <c r="B214" s="299"/>
      <c r="C214" s="228"/>
      <c r="D214" s="230"/>
      <c r="E214" s="228"/>
      <c r="F214" s="230"/>
      <c r="G214" s="228"/>
      <c r="H214" s="229"/>
      <c r="I214" s="289"/>
      <c r="J214" s="289"/>
      <c r="K214" s="298"/>
      <c r="L214" s="232"/>
      <c r="M214" s="97"/>
      <c r="N214" s="296"/>
      <c r="O214" s="296"/>
      <c r="P214" s="296"/>
      <c r="Q214" s="301"/>
      <c r="R214" s="225"/>
    </row>
    <row r="215">
      <c r="A215" s="202"/>
      <c r="B215" s="299"/>
      <c r="C215" s="228"/>
      <c r="D215" s="230"/>
      <c r="E215" s="228"/>
      <c r="F215" s="230"/>
      <c r="G215" s="228"/>
      <c r="H215" s="229"/>
      <c r="I215" s="289"/>
      <c r="J215" s="289"/>
      <c r="K215" s="298"/>
      <c r="L215" s="232"/>
      <c r="M215" s="97"/>
      <c r="N215" s="296"/>
      <c r="O215" s="296"/>
      <c r="P215" s="296"/>
      <c r="Q215" s="301"/>
      <c r="R215" s="225"/>
    </row>
    <row r="216">
      <c r="A216" s="202"/>
      <c r="B216" s="299"/>
      <c r="C216" s="228"/>
      <c r="D216" s="230"/>
      <c r="E216" s="228"/>
      <c r="F216" s="230"/>
      <c r="G216" s="228"/>
      <c r="H216" s="229"/>
      <c r="I216" s="289"/>
      <c r="J216" s="289"/>
      <c r="K216" s="298"/>
      <c r="L216" s="232"/>
      <c r="M216" s="97"/>
      <c r="N216" s="296"/>
      <c r="O216" s="296"/>
      <c r="P216" s="296"/>
      <c r="Q216" s="301"/>
      <c r="R216" s="225"/>
    </row>
    <row r="217">
      <c r="A217" s="202"/>
      <c r="B217" s="299"/>
      <c r="C217" s="228"/>
      <c r="D217" s="230"/>
      <c r="E217" s="228"/>
      <c r="F217" s="230"/>
      <c r="G217" s="228"/>
      <c r="H217" s="229"/>
      <c r="I217" s="289"/>
      <c r="J217" s="289"/>
      <c r="K217" s="298"/>
      <c r="L217" s="232"/>
      <c r="M217" s="97"/>
      <c r="N217" s="296"/>
      <c r="O217" s="296"/>
      <c r="P217" s="296"/>
      <c r="Q217" s="301"/>
      <c r="R217" s="225"/>
    </row>
    <row r="218">
      <c r="A218" s="202"/>
      <c r="B218" s="299"/>
      <c r="C218" s="228"/>
      <c r="D218" s="230"/>
      <c r="E218" s="228"/>
      <c r="F218" s="230"/>
      <c r="G218" s="228"/>
      <c r="H218" s="229"/>
      <c r="I218" s="289"/>
      <c r="J218" s="289"/>
      <c r="K218" s="298"/>
      <c r="L218" s="232"/>
      <c r="M218" s="97"/>
      <c r="N218" s="296"/>
      <c r="O218" s="296"/>
      <c r="P218" s="296"/>
      <c r="Q218" s="301"/>
      <c r="R218" s="225"/>
    </row>
    <row r="219">
      <c r="A219" s="202"/>
      <c r="B219" s="299"/>
      <c r="C219" s="228"/>
      <c r="D219" s="230"/>
      <c r="E219" s="228"/>
      <c r="F219" s="230"/>
      <c r="G219" s="228"/>
      <c r="H219" s="229"/>
      <c r="I219" s="289"/>
      <c r="J219" s="289"/>
      <c r="K219" s="298"/>
      <c r="L219" s="232"/>
      <c r="M219" s="97"/>
      <c r="N219" s="296"/>
      <c r="O219" s="296"/>
      <c r="P219" s="296"/>
      <c r="Q219" s="301"/>
      <c r="R219" s="225"/>
    </row>
    <row r="220">
      <c r="A220" s="202"/>
      <c r="B220" s="299"/>
      <c r="C220" s="228"/>
      <c r="D220" s="230"/>
      <c r="E220" s="228"/>
      <c r="F220" s="230"/>
      <c r="G220" s="228"/>
      <c r="H220" s="229"/>
      <c r="I220" s="289"/>
      <c r="J220" s="289"/>
      <c r="K220" s="298"/>
      <c r="L220" s="232"/>
      <c r="M220" s="97"/>
      <c r="N220" s="296"/>
      <c r="O220" s="296"/>
      <c r="P220" s="296"/>
      <c r="Q220" s="301"/>
      <c r="R220" s="225"/>
    </row>
    <row r="221">
      <c r="A221" s="202"/>
      <c r="B221" s="299"/>
      <c r="C221" s="228"/>
      <c r="D221" s="230"/>
      <c r="E221" s="228"/>
      <c r="F221" s="230"/>
      <c r="G221" s="228"/>
      <c r="H221" s="229"/>
      <c r="I221" s="289"/>
      <c r="J221" s="289"/>
      <c r="K221" s="298"/>
      <c r="L221" s="232"/>
      <c r="M221" s="97"/>
      <c r="N221" s="296"/>
      <c r="O221" s="296"/>
      <c r="P221" s="296"/>
      <c r="Q221" s="301"/>
      <c r="R221" s="225"/>
    </row>
    <row r="222">
      <c r="A222" s="202"/>
      <c r="B222" s="299"/>
      <c r="C222" s="228"/>
      <c r="D222" s="230"/>
      <c r="E222" s="228"/>
      <c r="F222" s="230"/>
      <c r="G222" s="228"/>
      <c r="H222" s="229"/>
      <c r="I222" s="289"/>
      <c r="J222" s="289"/>
      <c r="K222" s="298"/>
      <c r="L222" s="232"/>
      <c r="M222" s="97"/>
      <c r="N222" s="296"/>
      <c r="O222" s="296"/>
      <c r="P222" s="296"/>
      <c r="Q222" s="301"/>
      <c r="R222" s="225"/>
    </row>
    <row r="223">
      <c r="A223" s="202"/>
      <c r="B223" s="299"/>
      <c r="C223" s="228"/>
      <c r="D223" s="230"/>
      <c r="E223" s="228"/>
      <c r="F223" s="230"/>
      <c r="G223" s="228"/>
      <c r="H223" s="229"/>
      <c r="I223" s="289"/>
      <c r="J223" s="289"/>
      <c r="K223" s="298"/>
      <c r="L223" s="232"/>
      <c r="M223" s="97"/>
      <c r="N223" s="296"/>
      <c r="O223" s="296"/>
      <c r="P223" s="296"/>
      <c r="Q223" s="301"/>
      <c r="R223" s="225"/>
    </row>
    <row r="224">
      <c r="A224" s="202"/>
      <c r="B224" s="299"/>
      <c r="C224" s="228"/>
      <c r="D224" s="230"/>
      <c r="E224" s="228"/>
      <c r="F224" s="230"/>
      <c r="G224" s="228"/>
      <c r="H224" s="229"/>
      <c r="I224" s="289"/>
      <c r="J224" s="289"/>
      <c r="K224" s="298"/>
      <c r="L224" s="232"/>
      <c r="M224" s="97"/>
      <c r="N224" s="296"/>
      <c r="O224" s="296"/>
      <c r="P224" s="296"/>
      <c r="Q224" s="301"/>
      <c r="R224" s="225"/>
    </row>
    <row r="225">
      <c r="A225" s="202"/>
      <c r="B225" s="299"/>
      <c r="C225" s="228"/>
      <c r="D225" s="230"/>
      <c r="E225" s="228"/>
      <c r="F225" s="230"/>
      <c r="G225" s="228"/>
      <c r="H225" s="229"/>
      <c r="I225" s="289"/>
      <c r="J225" s="289"/>
      <c r="K225" s="298"/>
      <c r="L225" s="232"/>
      <c r="M225" s="97"/>
      <c r="N225" s="296"/>
      <c r="O225" s="296"/>
      <c r="P225" s="296"/>
      <c r="Q225" s="301"/>
      <c r="R225" s="225"/>
    </row>
    <row r="226">
      <c r="A226" s="202"/>
      <c r="B226" s="299"/>
      <c r="C226" s="228"/>
      <c r="D226" s="230"/>
      <c r="E226" s="228"/>
      <c r="F226" s="230"/>
      <c r="G226" s="228"/>
      <c r="H226" s="229"/>
      <c r="I226" s="289"/>
      <c r="J226" s="289"/>
      <c r="K226" s="298"/>
      <c r="L226" s="232"/>
      <c r="M226" s="97"/>
      <c r="N226" s="296"/>
      <c r="O226" s="296"/>
      <c r="P226" s="296"/>
      <c r="Q226" s="301"/>
      <c r="R226" s="225"/>
    </row>
    <row r="227">
      <c r="A227" s="202"/>
      <c r="B227" s="299"/>
      <c r="C227" s="228"/>
      <c r="D227" s="230"/>
      <c r="E227" s="228"/>
      <c r="F227" s="230"/>
      <c r="G227" s="228"/>
      <c r="H227" s="229"/>
      <c r="I227" s="289"/>
      <c r="J227" s="289"/>
      <c r="K227" s="298"/>
      <c r="L227" s="232"/>
      <c r="M227" s="97"/>
      <c r="N227" s="296"/>
      <c r="O227" s="296"/>
      <c r="P227" s="296"/>
      <c r="Q227" s="301"/>
      <c r="R227" s="225"/>
    </row>
    <row r="228">
      <c r="A228" s="202"/>
      <c r="B228" s="299"/>
      <c r="C228" s="228"/>
      <c r="D228" s="230"/>
      <c r="E228" s="228"/>
      <c r="F228" s="230"/>
      <c r="G228" s="228"/>
      <c r="H228" s="229"/>
      <c r="I228" s="289"/>
      <c r="J228" s="289"/>
      <c r="K228" s="298"/>
      <c r="L228" s="232"/>
      <c r="M228" s="97"/>
      <c r="N228" s="296"/>
      <c r="O228" s="296"/>
      <c r="P228" s="296"/>
      <c r="Q228" s="301"/>
      <c r="R228" s="225"/>
    </row>
    <row r="229">
      <c r="A229" s="202"/>
      <c r="B229" s="299"/>
      <c r="C229" s="228"/>
      <c r="D229" s="230"/>
      <c r="E229" s="228"/>
      <c r="F229" s="230"/>
      <c r="G229" s="228"/>
      <c r="H229" s="229"/>
      <c r="I229" s="289"/>
      <c r="J229" s="289"/>
      <c r="K229" s="298"/>
      <c r="L229" s="232"/>
      <c r="M229" s="97"/>
      <c r="N229" s="296"/>
      <c r="O229" s="296"/>
      <c r="P229" s="296"/>
      <c r="Q229" s="301"/>
      <c r="R229" s="225"/>
    </row>
    <row r="230">
      <c r="A230" s="202"/>
      <c r="B230" s="299"/>
      <c r="C230" s="228"/>
      <c r="D230" s="230"/>
      <c r="E230" s="228"/>
      <c r="F230" s="230"/>
      <c r="G230" s="228"/>
      <c r="H230" s="229"/>
      <c r="I230" s="289"/>
      <c r="J230" s="289"/>
      <c r="K230" s="298"/>
      <c r="L230" s="232"/>
      <c r="M230" s="97"/>
      <c r="N230" s="296"/>
      <c r="O230" s="296"/>
      <c r="P230" s="296"/>
      <c r="Q230" s="301"/>
      <c r="R230" s="225"/>
    </row>
    <row r="231">
      <c r="A231" s="202"/>
      <c r="B231" s="299"/>
      <c r="C231" s="228"/>
      <c r="D231" s="230"/>
      <c r="E231" s="228"/>
      <c r="F231" s="230"/>
      <c r="G231" s="228"/>
      <c r="H231" s="229"/>
      <c r="I231" s="289"/>
      <c r="J231" s="289"/>
      <c r="K231" s="298"/>
      <c r="L231" s="232"/>
      <c r="M231" s="97"/>
      <c r="N231" s="296"/>
      <c r="O231" s="296"/>
      <c r="P231" s="296"/>
      <c r="Q231" s="301"/>
      <c r="R231" s="225"/>
    </row>
    <row r="232">
      <c r="A232" s="202"/>
      <c r="B232" s="299"/>
      <c r="C232" s="228"/>
      <c r="D232" s="229"/>
      <c r="E232" s="228"/>
      <c r="F232" s="230"/>
      <c r="G232" s="228"/>
      <c r="H232" s="229"/>
      <c r="I232" s="289"/>
      <c r="J232" s="289"/>
      <c r="K232" s="298"/>
      <c r="L232" s="232"/>
      <c r="M232" s="97"/>
      <c r="N232" s="296"/>
      <c r="O232" s="296"/>
      <c r="P232" s="296"/>
      <c r="Q232" s="301"/>
      <c r="R232" s="225"/>
    </row>
    <row r="233">
      <c r="A233" s="202"/>
      <c r="B233" s="299"/>
      <c r="C233" s="228"/>
      <c r="D233" s="230"/>
      <c r="E233" s="228"/>
      <c r="F233" s="230"/>
      <c r="G233" s="228"/>
      <c r="H233" s="230"/>
      <c r="I233" s="289"/>
      <c r="J233" s="289"/>
      <c r="K233" s="298"/>
      <c r="L233" s="232"/>
      <c r="M233" s="97"/>
      <c r="N233" s="296"/>
      <c r="O233" s="296"/>
      <c r="P233" s="296"/>
      <c r="Q233" s="301"/>
      <c r="R233" s="225"/>
    </row>
    <row r="234">
      <c r="A234" s="202"/>
      <c r="B234" s="299"/>
      <c r="C234" s="228"/>
      <c r="D234" s="230"/>
      <c r="E234" s="228"/>
      <c r="F234" s="230"/>
      <c r="G234" s="228"/>
      <c r="H234" s="229"/>
      <c r="I234" s="289"/>
      <c r="J234" s="289"/>
      <c r="K234" s="298"/>
      <c r="L234" s="232"/>
      <c r="M234" s="97"/>
      <c r="N234" s="296"/>
      <c r="O234" s="296"/>
      <c r="P234" s="296"/>
      <c r="Q234" s="301"/>
      <c r="R234" s="225"/>
    </row>
    <row r="235">
      <c r="A235" s="202"/>
      <c r="B235" s="299"/>
      <c r="C235" s="228"/>
      <c r="D235" s="230"/>
      <c r="E235" s="228"/>
      <c r="F235" s="230"/>
      <c r="G235" s="228"/>
      <c r="H235" s="229"/>
      <c r="I235" s="289"/>
      <c r="J235" s="289"/>
      <c r="K235" s="298"/>
      <c r="L235" s="232"/>
      <c r="M235" s="97"/>
      <c r="N235" s="296"/>
      <c r="O235" s="296"/>
      <c r="P235" s="296"/>
      <c r="Q235" s="301"/>
      <c r="R235" s="225"/>
    </row>
    <row r="236">
      <c r="A236" s="202"/>
      <c r="B236" s="299"/>
      <c r="C236" s="228"/>
      <c r="D236" s="230"/>
      <c r="E236" s="228"/>
      <c r="F236" s="230"/>
      <c r="G236" s="228"/>
      <c r="H236" s="229"/>
      <c r="I236" s="289"/>
      <c r="J236" s="289"/>
      <c r="K236" s="298"/>
      <c r="L236" s="232"/>
      <c r="M236" s="97"/>
      <c r="N236" s="296"/>
      <c r="O236" s="296"/>
      <c r="P236" s="296"/>
      <c r="Q236" s="301"/>
      <c r="R236" s="225"/>
    </row>
    <row r="237">
      <c r="A237" s="202"/>
      <c r="B237" s="299"/>
      <c r="C237" s="228"/>
      <c r="D237" s="230"/>
      <c r="E237" s="228"/>
      <c r="F237" s="230"/>
      <c r="G237" s="228"/>
      <c r="H237" s="229"/>
      <c r="I237" s="289"/>
      <c r="J237" s="289"/>
      <c r="K237" s="298"/>
      <c r="L237" s="232"/>
      <c r="M237" s="97"/>
      <c r="N237" s="296"/>
      <c r="O237" s="296"/>
      <c r="P237" s="296"/>
      <c r="Q237" s="301"/>
      <c r="R237" s="225"/>
    </row>
    <row r="238">
      <c r="A238" s="202"/>
      <c r="B238" s="299"/>
      <c r="C238" s="228"/>
      <c r="D238" s="230"/>
      <c r="E238" s="228"/>
      <c r="F238" s="230"/>
      <c r="G238" s="228"/>
      <c r="H238" s="229"/>
      <c r="I238" s="362"/>
      <c r="J238" s="289"/>
      <c r="K238" s="298"/>
      <c r="L238" s="232"/>
      <c r="M238" s="97"/>
      <c r="N238" s="296"/>
      <c r="O238" s="296"/>
      <c r="P238" s="296"/>
      <c r="Q238" s="301"/>
      <c r="R238" s="225"/>
    </row>
    <row r="239">
      <c r="A239" s="202"/>
      <c r="B239" s="299"/>
      <c r="C239" s="228"/>
      <c r="D239" s="230"/>
      <c r="E239" s="228"/>
      <c r="F239" s="230"/>
      <c r="G239" s="228"/>
      <c r="H239" s="229"/>
      <c r="I239" s="289"/>
      <c r="J239" s="289"/>
      <c r="K239" s="298"/>
      <c r="L239" s="232"/>
      <c r="M239" s="97"/>
      <c r="N239" s="296"/>
      <c r="O239" s="296"/>
      <c r="P239" s="296"/>
      <c r="Q239" s="301"/>
      <c r="R239" s="225"/>
    </row>
    <row r="240">
      <c r="A240" s="202"/>
      <c r="B240" s="299"/>
      <c r="C240" s="228"/>
      <c r="D240" s="230"/>
      <c r="E240" s="228"/>
      <c r="F240" s="230"/>
      <c r="G240" s="228"/>
      <c r="H240" s="229"/>
      <c r="I240" s="289"/>
      <c r="J240" s="289"/>
      <c r="K240" s="298"/>
      <c r="L240" s="232"/>
      <c r="M240" s="97"/>
      <c r="N240" s="296"/>
      <c r="O240" s="296"/>
      <c r="P240" s="296"/>
      <c r="Q240" s="301"/>
      <c r="R240" s="225"/>
    </row>
    <row r="241">
      <c r="A241" s="202"/>
      <c r="B241" s="299"/>
      <c r="C241" s="228"/>
      <c r="D241" s="230"/>
      <c r="E241" s="228"/>
      <c r="F241" s="230"/>
      <c r="G241" s="228"/>
      <c r="H241" s="229"/>
      <c r="I241" s="289"/>
      <c r="J241" s="289"/>
      <c r="K241" s="298"/>
      <c r="L241" s="232"/>
      <c r="M241" s="97"/>
      <c r="N241" s="296"/>
      <c r="O241" s="296"/>
      <c r="P241" s="296"/>
      <c r="Q241" s="301"/>
      <c r="R241" s="225"/>
    </row>
    <row r="242">
      <c r="A242" s="202"/>
      <c r="B242" s="299"/>
      <c r="C242" s="228"/>
      <c r="D242" s="230"/>
      <c r="E242" s="228"/>
      <c r="F242" s="230"/>
      <c r="G242" s="228"/>
      <c r="H242" s="229"/>
      <c r="I242" s="289"/>
      <c r="J242" s="289"/>
      <c r="K242" s="298"/>
      <c r="L242" s="232"/>
      <c r="M242" s="97"/>
      <c r="N242" s="296"/>
      <c r="O242" s="296"/>
      <c r="P242" s="296"/>
      <c r="Q242" s="301"/>
      <c r="R242" s="225"/>
    </row>
    <row r="243">
      <c r="A243" s="202"/>
      <c r="B243" s="299"/>
      <c r="C243" s="228"/>
      <c r="D243" s="230"/>
      <c r="E243" s="228"/>
      <c r="F243" s="230"/>
      <c r="G243" s="228"/>
      <c r="H243" s="229"/>
      <c r="I243" s="289"/>
      <c r="J243" s="289"/>
      <c r="K243" s="298"/>
      <c r="L243" s="232"/>
      <c r="M243" s="97"/>
      <c r="N243" s="296"/>
      <c r="O243" s="296"/>
      <c r="P243" s="296"/>
      <c r="Q243" s="301"/>
      <c r="R243" s="225"/>
    </row>
    <row r="244">
      <c r="A244" s="202"/>
      <c r="B244" s="299"/>
      <c r="C244" s="228"/>
      <c r="D244" s="230"/>
      <c r="E244" s="228"/>
      <c r="F244" s="230"/>
      <c r="G244" s="228"/>
      <c r="H244" s="229"/>
      <c r="I244" s="289"/>
      <c r="J244" s="289"/>
      <c r="K244" s="298"/>
      <c r="L244" s="232"/>
      <c r="M244" s="97"/>
      <c r="N244" s="296"/>
      <c r="O244" s="296"/>
      <c r="P244" s="296"/>
      <c r="Q244" s="301"/>
      <c r="R244" s="225"/>
    </row>
    <row r="245">
      <c r="A245" s="202"/>
      <c r="B245" s="299"/>
      <c r="C245" s="228"/>
      <c r="D245" s="230"/>
      <c r="E245" s="228"/>
      <c r="F245" s="230"/>
      <c r="G245" s="228"/>
      <c r="H245" s="229"/>
      <c r="I245" s="289"/>
      <c r="J245" s="289"/>
      <c r="K245" s="298"/>
      <c r="L245" s="232"/>
      <c r="M245" s="97"/>
      <c r="N245" s="296"/>
      <c r="O245" s="296"/>
      <c r="P245" s="296"/>
      <c r="Q245" s="301"/>
      <c r="R245" s="225"/>
    </row>
    <row r="246">
      <c r="A246" s="202"/>
      <c r="B246" s="299"/>
      <c r="C246" s="228"/>
      <c r="D246" s="230"/>
      <c r="E246" s="228"/>
      <c r="F246" s="230"/>
      <c r="G246" s="228"/>
      <c r="H246" s="229"/>
      <c r="I246" s="289"/>
      <c r="J246" s="289"/>
      <c r="K246" s="298"/>
      <c r="L246" s="232"/>
      <c r="M246" s="97"/>
      <c r="N246" s="296"/>
      <c r="O246" s="296"/>
      <c r="P246" s="296"/>
      <c r="Q246" s="301"/>
      <c r="R246" s="225"/>
    </row>
    <row r="247">
      <c r="A247" s="202"/>
      <c r="B247" s="299"/>
      <c r="C247" s="228"/>
      <c r="D247" s="230"/>
      <c r="E247" s="228"/>
      <c r="F247" s="230"/>
      <c r="G247" s="228"/>
      <c r="H247" s="229"/>
      <c r="I247" s="289"/>
      <c r="J247" s="289"/>
      <c r="K247" s="298"/>
      <c r="L247" s="232"/>
      <c r="M247" s="97"/>
      <c r="N247" s="296"/>
      <c r="O247" s="296"/>
      <c r="P247" s="296"/>
      <c r="Q247" s="301"/>
      <c r="R247" s="225"/>
    </row>
    <row r="248">
      <c r="A248" s="202"/>
      <c r="B248" s="299"/>
      <c r="C248" s="228"/>
      <c r="D248" s="230"/>
      <c r="E248" s="228"/>
      <c r="F248" s="230"/>
      <c r="G248" s="228"/>
      <c r="H248" s="229"/>
      <c r="I248" s="289"/>
      <c r="J248" s="289"/>
      <c r="K248" s="298"/>
      <c r="L248" s="232"/>
      <c r="M248" s="97"/>
      <c r="N248" s="296"/>
      <c r="O248" s="296"/>
      <c r="P248" s="296"/>
      <c r="Q248" s="301"/>
      <c r="R248" s="225"/>
    </row>
    <row r="249">
      <c r="A249" s="202"/>
      <c r="B249" s="299"/>
      <c r="C249" s="228"/>
      <c r="D249" s="230"/>
      <c r="E249" s="228"/>
      <c r="F249" s="230"/>
      <c r="G249" s="228"/>
      <c r="H249" s="229"/>
      <c r="I249" s="289"/>
      <c r="J249" s="289"/>
      <c r="K249" s="298"/>
      <c r="L249" s="232"/>
      <c r="M249" s="97"/>
      <c r="N249" s="296"/>
      <c r="O249" s="296"/>
      <c r="P249" s="296"/>
      <c r="Q249" s="301"/>
      <c r="R249" s="225"/>
    </row>
    <row r="250">
      <c r="A250" s="202"/>
      <c r="B250" s="299"/>
      <c r="C250" s="228"/>
      <c r="D250" s="230"/>
      <c r="E250" s="228"/>
      <c r="F250" s="230"/>
      <c r="G250" s="228"/>
      <c r="H250" s="229"/>
      <c r="I250" s="289"/>
      <c r="J250" s="289"/>
      <c r="K250" s="298"/>
      <c r="L250" s="232"/>
      <c r="M250" s="97"/>
      <c r="N250" s="296"/>
      <c r="O250" s="296"/>
      <c r="P250" s="296"/>
      <c r="Q250" s="301"/>
      <c r="R250" s="225"/>
    </row>
    <row r="251">
      <c r="A251" s="202"/>
      <c r="B251" s="299"/>
      <c r="C251" s="228"/>
      <c r="D251" s="230"/>
      <c r="E251" s="228"/>
      <c r="F251" s="230"/>
      <c r="G251" s="228"/>
      <c r="H251" s="229"/>
      <c r="I251" s="289"/>
      <c r="J251" s="289"/>
      <c r="K251" s="298"/>
      <c r="L251" s="232"/>
      <c r="M251" s="97"/>
      <c r="N251" s="296"/>
      <c r="O251" s="296"/>
      <c r="P251" s="296"/>
      <c r="Q251" s="301"/>
      <c r="R251" s="225"/>
    </row>
    <row r="252">
      <c r="A252" s="202"/>
      <c r="B252" s="299"/>
      <c r="C252" s="228"/>
      <c r="D252" s="230"/>
      <c r="E252" s="228"/>
      <c r="F252" s="230"/>
      <c r="G252" s="228"/>
      <c r="H252" s="229"/>
      <c r="I252" s="289"/>
      <c r="J252" s="289"/>
      <c r="K252" s="298"/>
      <c r="L252" s="232"/>
      <c r="M252" s="97"/>
      <c r="N252" s="296"/>
      <c r="O252" s="296"/>
      <c r="P252" s="296"/>
      <c r="Q252" s="301"/>
      <c r="R252" s="225"/>
    </row>
    <row r="253">
      <c r="A253" s="202"/>
      <c r="B253" s="299"/>
      <c r="C253" s="228"/>
      <c r="D253" s="230"/>
      <c r="E253" s="228"/>
      <c r="F253" s="230"/>
      <c r="G253" s="228"/>
      <c r="H253" s="229"/>
      <c r="I253" s="289"/>
      <c r="J253" s="289"/>
      <c r="K253" s="298"/>
      <c r="L253" s="232"/>
      <c r="M253" s="97"/>
      <c r="N253" s="296"/>
      <c r="O253" s="296"/>
      <c r="P253" s="296"/>
      <c r="Q253" s="301"/>
      <c r="R253" s="225"/>
    </row>
    <row r="254">
      <c r="A254" s="202"/>
      <c r="B254" s="299"/>
      <c r="C254" s="228"/>
      <c r="D254" s="230"/>
      <c r="E254" s="228"/>
      <c r="F254" s="230"/>
      <c r="G254" s="228"/>
      <c r="H254" s="229"/>
      <c r="I254" s="289"/>
      <c r="J254" s="289"/>
      <c r="K254" s="298"/>
      <c r="L254" s="232"/>
      <c r="M254" s="97"/>
      <c r="N254" s="296"/>
      <c r="O254" s="296"/>
      <c r="P254" s="296"/>
      <c r="Q254" s="301"/>
      <c r="R254" s="225"/>
    </row>
    <row r="255">
      <c r="A255" s="202"/>
      <c r="B255" s="299"/>
      <c r="C255" s="228"/>
      <c r="D255" s="230"/>
      <c r="E255" s="228"/>
      <c r="F255" s="230"/>
      <c r="G255" s="228"/>
      <c r="H255" s="229"/>
      <c r="I255" s="289"/>
      <c r="J255" s="289"/>
      <c r="K255" s="298"/>
      <c r="L255" s="232"/>
      <c r="M255" s="97"/>
      <c r="N255" s="296"/>
      <c r="O255" s="296"/>
      <c r="P255" s="296"/>
      <c r="Q255" s="301"/>
      <c r="R255" s="225"/>
    </row>
    <row r="256">
      <c r="A256" s="202"/>
      <c r="B256" s="299"/>
      <c r="C256" s="228"/>
      <c r="D256" s="230"/>
      <c r="E256" s="228"/>
      <c r="F256" s="230"/>
      <c r="G256" s="228"/>
      <c r="H256" s="229"/>
      <c r="I256" s="289"/>
      <c r="J256" s="289"/>
      <c r="K256" s="298"/>
      <c r="L256" s="232"/>
      <c r="M256" s="97"/>
      <c r="N256" s="296"/>
      <c r="O256" s="296"/>
      <c r="P256" s="296"/>
      <c r="Q256" s="301"/>
      <c r="R256" s="225"/>
    </row>
    <row r="257">
      <c r="A257" s="202"/>
      <c r="B257" s="299"/>
      <c r="C257" s="228"/>
      <c r="D257" s="230"/>
      <c r="E257" s="228"/>
      <c r="F257" s="230"/>
      <c r="G257" s="228"/>
      <c r="H257" s="229"/>
      <c r="I257" s="289"/>
      <c r="J257" s="289"/>
      <c r="K257" s="298"/>
      <c r="L257" s="232"/>
      <c r="M257" s="97"/>
      <c r="N257" s="296"/>
      <c r="O257" s="296"/>
      <c r="P257" s="296"/>
      <c r="Q257" s="301"/>
      <c r="R257" s="225"/>
    </row>
    <row r="258">
      <c r="A258" s="202"/>
      <c r="B258" s="299"/>
      <c r="C258" s="228"/>
      <c r="D258" s="228"/>
      <c r="E258" s="228"/>
      <c r="F258" s="228"/>
      <c r="G258" s="228"/>
      <c r="H258" s="228"/>
      <c r="I258" s="289"/>
      <c r="J258" s="289"/>
      <c r="K258" s="335"/>
      <c r="L258" s="232"/>
      <c r="M258" s="97"/>
      <c r="N258" s="296"/>
      <c r="O258" s="296"/>
      <c r="P258" s="296"/>
      <c r="Q258" s="301"/>
      <c r="R258" s="225"/>
    </row>
    <row r="259">
      <c r="A259" s="202"/>
      <c r="B259" s="299"/>
      <c r="C259" s="228"/>
      <c r="D259" s="228"/>
      <c r="E259" s="228"/>
      <c r="F259" s="228"/>
      <c r="G259" s="228"/>
      <c r="H259" s="228"/>
      <c r="I259" s="289"/>
      <c r="J259" s="289"/>
      <c r="K259" s="298"/>
      <c r="L259" s="232"/>
      <c r="M259" s="97"/>
      <c r="N259" s="296"/>
      <c r="O259" s="296"/>
      <c r="P259" s="296"/>
      <c r="Q259" s="301"/>
      <c r="R259" s="225"/>
    </row>
    <row r="260">
      <c r="A260" s="202"/>
      <c r="B260" s="299"/>
      <c r="C260" s="228"/>
      <c r="D260" s="228"/>
      <c r="E260" s="228"/>
      <c r="F260" s="228"/>
      <c r="G260" s="228"/>
      <c r="H260" s="228"/>
      <c r="I260" s="289"/>
      <c r="J260" s="289"/>
      <c r="K260" s="298"/>
      <c r="L260" s="232"/>
      <c r="M260" s="97"/>
      <c r="N260" s="296"/>
      <c r="O260" s="296"/>
      <c r="P260" s="296"/>
      <c r="Q260" s="301"/>
      <c r="R260" s="225"/>
    </row>
    <row r="261">
      <c r="A261" s="202"/>
      <c r="B261" s="299"/>
      <c r="C261" s="228"/>
      <c r="D261" s="228"/>
      <c r="E261" s="228"/>
      <c r="F261" s="228"/>
      <c r="G261" s="228"/>
      <c r="H261" s="228"/>
      <c r="I261" s="289"/>
      <c r="J261" s="289"/>
      <c r="K261" s="335"/>
      <c r="L261" s="232"/>
      <c r="M261" s="97"/>
      <c r="N261" s="296"/>
      <c r="O261" s="296"/>
      <c r="P261" s="296"/>
      <c r="Q261" s="301"/>
      <c r="R261" s="225"/>
    </row>
    <row r="262">
      <c r="A262" s="202"/>
      <c r="B262" s="299"/>
      <c r="C262" s="228"/>
      <c r="D262" s="230"/>
      <c r="E262" s="228"/>
      <c r="F262" s="230"/>
      <c r="G262" s="228"/>
      <c r="H262" s="229"/>
      <c r="I262" s="289"/>
      <c r="J262" s="289"/>
      <c r="K262" s="298"/>
      <c r="L262" s="232"/>
      <c r="M262" s="97"/>
      <c r="N262" s="296"/>
      <c r="O262" s="296"/>
      <c r="P262" s="296"/>
      <c r="Q262" s="301"/>
      <c r="R262" s="225"/>
    </row>
    <row r="263">
      <c r="A263" s="202"/>
      <c r="B263" s="299"/>
      <c r="C263" s="228"/>
      <c r="D263" s="230"/>
      <c r="E263" s="228"/>
      <c r="F263" s="230"/>
      <c r="G263" s="228"/>
      <c r="H263" s="229"/>
      <c r="I263" s="289"/>
      <c r="J263" s="289"/>
      <c r="K263" s="298"/>
      <c r="L263" s="232"/>
      <c r="M263" s="97"/>
      <c r="N263" s="296"/>
      <c r="O263" s="296"/>
      <c r="P263" s="296"/>
      <c r="Q263" s="301"/>
      <c r="R263" s="225"/>
    </row>
    <row r="264">
      <c r="A264" s="202"/>
      <c r="B264" s="299"/>
      <c r="C264" s="228"/>
      <c r="D264" s="230"/>
      <c r="E264" s="228"/>
      <c r="F264" s="230"/>
      <c r="G264" s="228"/>
      <c r="H264" s="229"/>
      <c r="I264" s="289"/>
      <c r="J264" s="289"/>
      <c r="K264" s="298"/>
      <c r="L264" s="232"/>
      <c r="M264" s="97"/>
      <c r="N264" s="296"/>
      <c r="O264" s="296"/>
      <c r="P264" s="296"/>
      <c r="Q264" s="301"/>
      <c r="R264" s="225"/>
    </row>
    <row r="265">
      <c r="A265" s="202"/>
      <c r="B265" s="299"/>
      <c r="C265" s="228"/>
      <c r="D265" s="230"/>
      <c r="E265" s="228"/>
      <c r="F265" s="230"/>
      <c r="G265" s="363"/>
      <c r="H265" s="229"/>
      <c r="I265" s="289"/>
      <c r="J265" s="289"/>
      <c r="K265" s="298"/>
      <c r="L265" s="232"/>
      <c r="M265" s="97"/>
      <c r="N265" s="296"/>
      <c r="O265" s="296"/>
      <c r="P265" s="296"/>
      <c r="Q265" s="301"/>
      <c r="R265" s="225"/>
    </row>
    <row r="266">
      <c r="A266" s="202"/>
      <c r="B266" s="299"/>
      <c r="C266" s="228"/>
      <c r="D266" s="230"/>
      <c r="E266" s="228"/>
      <c r="F266" s="230"/>
      <c r="G266" s="228"/>
      <c r="H266" s="229"/>
      <c r="I266" s="289"/>
      <c r="J266" s="289"/>
      <c r="K266" s="298"/>
      <c r="L266" s="232"/>
      <c r="M266" s="97"/>
      <c r="N266" s="296"/>
      <c r="O266" s="296"/>
      <c r="P266" s="296"/>
      <c r="Q266" s="301"/>
      <c r="R266" s="225"/>
    </row>
    <row r="267">
      <c r="A267" s="202"/>
      <c r="B267" s="299"/>
      <c r="C267" s="228"/>
      <c r="D267" s="230"/>
      <c r="E267" s="228"/>
      <c r="F267" s="230"/>
      <c r="G267" s="228"/>
      <c r="H267" s="229"/>
      <c r="I267" s="289"/>
      <c r="J267" s="289"/>
      <c r="K267" s="298"/>
      <c r="L267" s="232"/>
      <c r="M267" s="97"/>
      <c r="N267" s="296"/>
      <c r="O267" s="296"/>
      <c r="P267" s="296"/>
      <c r="Q267" s="301"/>
      <c r="R267" s="225"/>
    </row>
    <row r="268">
      <c r="A268" s="202"/>
      <c r="B268" s="299"/>
      <c r="C268" s="228"/>
      <c r="D268" s="230"/>
      <c r="E268" s="228"/>
      <c r="F268" s="230"/>
      <c r="G268" s="228"/>
      <c r="H268" s="229"/>
      <c r="I268" s="289"/>
      <c r="J268" s="289"/>
      <c r="K268" s="298"/>
      <c r="L268" s="232"/>
      <c r="M268" s="97"/>
      <c r="N268" s="296"/>
      <c r="O268" s="296"/>
      <c r="P268" s="296"/>
      <c r="Q268" s="301"/>
      <c r="R268" s="225"/>
    </row>
    <row r="269">
      <c r="A269" s="202"/>
      <c r="B269" s="299"/>
      <c r="C269" s="228"/>
      <c r="D269" s="230"/>
      <c r="E269" s="228"/>
      <c r="F269" s="230"/>
      <c r="G269" s="228"/>
      <c r="H269" s="229"/>
      <c r="I269" s="289"/>
      <c r="J269" s="289"/>
      <c r="K269" s="298"/>
      <c r="L269" s="232"/>
      <c r="M269" s="97"/>
      <c r="N269" s="296"/>
      <c r="O269" s="296"/>
      <c r="P269" s="296"/>
      <c r="Q269" s="301"/>
      <c r="R269" s="225"/>
    </row>
    <row r="270">
      <c r="A270" s="202"/>
      <c r="B270" s="299"/>
      <c r="C270" s="228"/>
      <c r="D270" s="230"/>
      <c r="E270" s="228"/>
      <c r="F270" s="230"/>
      <c r="G270" s="228"/>
      <c r="H270" s="229"/>
      <c r="I270" s="289"/>
      <c r="J270" s="289"/>
      <c r="K270" s="298"/>
      <c r="L270" s="232"/>
      <c r="M270" s="97"/>
      <c r="N270" s="296"/>
      <c r="O270" s="296"/>
      <c r="P270" s="296"/>
      <c r="Q270" s="301"/>
      <c r="R270" s="225"/>
    </row>
    <row r="271">
      <c r="A271" s="202"/>
      <c r="B271" s="299"/>
      <c r="C271" s="228"/>
      <c r="D271" s="230"/>
      <c r="E271" s="228"/>
      <c r="F271" s="230"/>
      <c r="G271" s="228"/>
      <c r="H271" s="229"/>
      <c r="I271" s="289"/>
      <c r="J271" s="289"/>
      <c r="K271" s="298"/>
      <c r="L271" s="232"/>
      <c r="M271" s="97"/>
      <c r="N271" s="296"/>
      <c r="O271" s="296"/>
      <c r="P271" s="296"/>
      <c r="Q271" s="301"/>
      <c r="R271" s="225"/>
    </row>
    <row r="272">
      <c r="A272" s="202"/>
      <c r="B272" s="299"/>
      <c r="C272" s="228"/>
      <c r="D272" s="230"/>
      <c r="E272" s="228"/>
      <c r="F272" s="230"/>
      <c r="G272" s="228"/>
      <c r="H272" s="229"/>
      <c r="I272" s="289"/>
      <c r="J272" s="289"/>
      <c r="K272" s="298"/>
      <c r="L272" s="232"/>
      <c r="M272" s="97"/>
      <c r="N272" s="296"/>
      <c r="O272" s="296"/>
      <c r="P272" s="296"/>
      <c r="Q272" s="301"/>
      <c r="R272" s="225"/>
    </row>
    <row r="273">
      <c r="A273" s="202"/>
      <c r="B273" s="299"/>
      <c r="C273" s="228"/>
      <c r="D273" s="230"/>
      <c r="E273" s="228"/>
      <c r="F273" s="230"/>
      <c r="G273" s="228"/>
      <c r="H273" s="229"/>
      <c r="I273" s="289"/>
      <c r="J273" s="289"/>
      <c r="K273" s="298"/>
      <c r="L273" s="232"/>
      <c r="M273" s="97"/>
      <c r="N273" s="296"/>
      <c r="O273" s="296"/>
      <c r="P273" s="296"/>
      <c r="Q273" s="301"/>
      <c r="R273" s="225"/>
    </row>
    <row r="274">
      <c r="A274" s="202"/>
      <c r="B274" s="299"/>
      <c r="C274" s="228"/>
      <c r="D274" s="230"/>
      <c r="E274" s="228"/>
      <c r="F274" s="230"/>
      <c r="G274" s="228"/>
      <c r="H274" s="229"/>
      <c r="I274" s="289"/>
      <c r="J274" s="289"/>
      <c r="K274" s="298"/>
      <c r="L274" s="232"/>
      <c r="M274" s="97"/>
      <c r="N274" s="296"/>
      <c r="O274" s="296"/>
      <c r="P274" s="296"/>
      <c r="Q274" s="301"/>
      <c r="R274" s="225"/>
    </row>
    <row r="275">
      <c r="A275" s="202"/>
      <c r="B275" s="299"/>
      <c r="C275" s="228"/>
      <c r="D275" s="230"/>
      <c r="E275" s="228"/>
      <c r="F275" s="230"/>
      <c r="G275" s="228"/>
      <c r="H275" s="229"/>
      <c r="I275" s="289"/>
      <c r="J275" s="289"/>
      <c r="K275" s="298"/>
      <c r="L275" s="232"/>
      <c r="M275" s="97"/>
      <c r="N275" s="296"/>
      <c r="O275" s="296"/>
      <c r="P275" s="296"/>
      <c r="Q275" s="301"/>
      <c r="R275" s="225"/>
    </row>
    <row r="276">
      <c r="A276" s="202"/>
      <c r="B276" s="299"/>
      <c r="C276" s="228"/>
      <c r="D276" s="230"/>
      <c r="E276" s="228"/>
      <c r="F276" s="230"/>
      <c r="G276" s="228"/>
      <c r="H276" s="229"/>
      <c r="I276" s="289"/>
      <c r="J276" s="289"/>
      <c r="K276" s="298"/>
      <c r="L276" s="232"/>
      <c r="M276" s="97"/>
      <c r="N276" s="296"/>
      <c r="O276" s="296"/>
      <c r="P276" s="296"/>
      <c r="Q276" s="301"/>
      <c r="R276" s="225"/>
    </row>
    <row r="277">
      <c r="A277" s="202"/>
      <c r="B277" s="367"/>
      <c r="C277" s="228"/>
      <c r="D277" s="230"/>
      <c r="E277" s="228"/>
      <c r="F277" s="230"/>
      <c r="G277" s="228"/>
      <c r="H277" s="229"/>
      <c r="I277" s="289"/>
      <c r="J277" s="289"/>
      <c r="K277" s="298"/>
      <c r="L277" s="232"/>
      <c r="M277" s="97"/>
      <c r="N277" s="296"/>
      <c r="O277" s="296"/>
      <c r="P277" s="296"/>
      <c r="Q277" s="301"/>
      <c r="R277" s="225"/>
    </row>
    <row r="278">
      <c r="A278" s="202"/>
      <c r="B278" s="299"/>
      <c r="C278" s="228"/>
      <c r="D278" s="228"/>
      <c r="E278" s="228"/>
      <c r="F278" s="228"/>
      <c r="G278" s="228"/>
      <c r="H278" s="228"/>
      <c r="I278" s="289"/>
      <c r="J278" s="289"/>
      <c r="K278" s="335"/>
      <c r="L278" s="232"/>
      <c r="M278" s="97"/>
      <c r="N278" s="296"/>
      <c r="O278" s="296"/>
      <c r="P278" s="296"/>
      <c r="Q278" s="301"/>
      <c r="R278" s="225"/>
    </row>
    <row r="279">
      <c r="A279" s="202"/>
      <c r="B279" s="299"/>
      <c r="C279" s="228"/>
      <c r="D279" s="230"/>
      <c r="E279" s="228"/>
      <c r="F279" s="230"/>
      <c r="G279" s="228"/>
      <c r="H279" s="229"/>
      <c r="I279" s="289"/>
      <c r="J279" s="289"/>
      <c r="K279" s="298"/>
      <c r="L279" s="232"/>
      <c r="M279" s="97"/>
      <c r="N279" s="296"/>
      <c r="O279" s="296"/>
      <c r="P279" s="296"/>
      <c r="Q279" s="301"/>
      <c r="R279" s="225"/>
    </row>
    <row r="280">
      <c r="A280" s="202"/>
      <c r="B280" s="299"/>
      <c r="C280" s="228"/>
      <c r="D280" s="230"/>
      <c r="E280" s="228"/>
      <c r="F280" s="230"/>
      <c r="G280" s="228"/>
      <c r="H280" s="229"/>
      <c r="I280" s="289"/>
      <c r="J280" s="289"/>
      <c r="K280" s="298"/>
      <c r="L280" s="232"/>
      <c r="M280" s="97"/>
      <c r="N280" s="296"/>
      <c r="O280" s="296"/>
      <c r="P280" s="296"/>
      <c r="Q280" s="301"/>
      <c r="R280" s="225"/>
    </row>
    <row r="281">
      <c r="A281" s="202"/>
      <c r="B281" s="299"/>
      <c r="C281" s="228"/>
      <c r="D281" s="230"/>
      <c r="E281" s="228"/>
      <c r="F281" s="230"/>
      <c r="G281" s="228"/>
      <c r="H281" s="229"/>
      <c r="I281" s="289"/>
      <c r="J281" s="289"/>
      <c r="K281" s="298"/>
      <c r="L281" s="232"/>
      <c r="M281" s="97"/>
      <c r="N281" s="296"/>
      <c r="O281" s="296"/>
      <c r="P281" s="296"/>
      <c r="Q281" s="301"/>
      <c r="R281" s="225"/>
    </row>
    <row r="282">
      <c r="A282" s="202"/>
      <c r="B282" s="299"/>
      <c r="C282" s="228"/>
      <c r="D282" s="230"/>
      <c r="E282" s="228"/>
      <c r="F282" s="230"/>
      <c r="G282" s="228"/>
      <c r="H282" s="229"/>
      <c r="I282" s="289"/>
      <c r="J282" s="289"/>
      <c r="K282" s="298"/>
      <c r="L282" s="232"/>
      <c r="M282" s="97"/>
      <c r="N282" s="296"/>
      <c r="O282" s="296"/>
      <c r="P282" s="296"/>
      <c r="Q282" s="301"/>
      <c r="R282" s="225"/>
    </row>
    <row r="283">
      <c r="A283" s="202"/>
      <c r="B283" s="299"/>
      <c r="C283" s="228"/>
      <c r="D283" s="230"/>
      <c r="E283" s="228"/>
      <c r="F283" s="230"/>
      <c r="G283" s="228"/>
      <c r="H283" s="230"/>
      <c r="I283" s="289"/>
      <c r="J283" s="289"/>
      <c r="K283" s="298"/>
      <c r="L283" s="232"/>
      <c r="M283" s="97"/>
      <c r="N283" s="296"/>
      <c r="O283" s="296"/>
      <c r="P283" s="296"/>
      <c r="Q283" s="301"/>
      <c r="R283" s="225"/>
    </row>
    <row r="284">
      <c r="A284" s="202"/>
      <c r="B284" s="299"/>
      <c r="C284" s="363"/>
      <c r="D284" s="363"/>
      <c r="E284" s="363"/>
      <c r="F284" s="363"/>
      <c r="G284" s="363"/>
      <c r="H284" s="363"/>
      <c r="I284" s="289"/>
      <c r="J284" s="289"/>
      <c r="K284" s="335"/>
      <c r="L284" s="232"/>
      <c r="M284" s="97"/>
      <c r="N284" s="296"/>
      <c r="O284" s="296"/>
      <c r="P284" s="296"/>
      <c r="Q284" s="301"/>
      <c r="R284" s="225"/>
    </row>
    <row r="285">
      <c r="A285" s="202"/>
      <c r="B285" s="299"/>
      <c r="C285" s="228"/>
      <c r="D285" s="228"/>
      <c r="E285" s="228"/>
      <c r="F285" s="228"/>
      <c r="G285" s="228"/>
      <c r="H285" s="228"/>
      <c r="I285" s="289"/>
      <c r="J285" s="289"/>
      <c r="K285" s="335"/>
      <c r="L285" s="232"/>
      <c r="M285" s="97"/>
      <c r="N285" s="296"/>
      <c r="O285" s="296"/>
      <c r="P285" s="296"/>
      <c r="Q285" s="301"/>
      <c r="R285" s="225"/>
    </row>
    <row r="286">
      <c r="A286" s="202"/>
      <c r="B286" s="299"/>
      <c r="C286" s="228"/>
      <c r="D286" s="228"/>
      <c r="E286" s="228"/>
      <c r="F286" s="228"/>
      <c r="G286" s="228"/>
      <c r="H286" s="228"/>
      <c r="I286" s="289"/>
      <c r="J286" s="289"/>
      <c r="K286" s="298"/>
      <c r="L286" s="232"/>
      <c r="M286" s="97"/>
      <c r="N286" s="296"/>
      <c r="O286" s="296"/>
      <c r="P286" s="296"/>
      <c r="Q286" s="301"/>
      <c r="R286" s="225"/>
    </row>
    <row r="287">
      <c r="A287" s="202"/>
      <c r="B287" s="299"/>
      <c r="C287" s="228"/>
      <c r="D287" s="228"/>
      <c r="E287" s="228"/>
      <c r="F287" s="228"/>
      <c r="G287" s="228"/>
      <c r="H287" s="228"/>
      <c r="I287" s="289"/>
      <c r="J287" s="289"/>
      <c r="K287" s="335"/>
      <c r="L287" s="232"/>
      <c r="M287" s="97"/>
      <c r="N287" s="296"/>
      <c r="O287" s="296"/>
      <c r="P287" s="296"/>
      <c r="Q287" s="301"/>
      <c r="R287" s="225"/>
    </row>
    <row r="288">
      <c r="A288" s="202"/>
      <c r="B288" s="299"/>
      <c r="C288" s="228"/>
      <c r="D288" s="228"/>
      <c r="E288" s="228"/>
      <c r="F288" s="228"/>
      <c r="G288" s="228"/>
      <c r="H288" s="228"/>
      <c r="I288" s="289"/>
      <c r="J288" s="289"/>
      <c r="K288" s="298"/>
      <c r="L288" s="232"/>
      <c r="M288" s="97"/>
      <c r="N288" s="296"/>
      <c r="O288" s="296"/>
      <c r="P288" s="296"/>
      <c r="Q288" s="301"/>
      <c r="R288" s="225"/>
    </row>
    <row r="289">
      <c r="A289" s="373"/>
      <c r="B289" s="299"/>
      <c r="C289" s="228"/>
      <c r="D289" s="228"/>
      <c r="E289" s="228"/>
      <c r="F289" s="228"/>
      <c r="G289" s="228"/>
      <c r="H289" s="228"/>
      <c r="I289" s="289"/>
      <c r="J289" s="289"/>
      <c r="K289" s="335"/>
      <c r="L289" s="232"/>
      <c r="M289" s="97"/>
      <c r="N289" s="296"/>
      <c r="O289" s="296"/>
      <c r="P289" s="296"/>
      <c r="Q289" s="301"/>
      <c r="R289" s="225"/>
    </row>
  </sheetData>
  <mergeCells count="2">
    <mergeCell ref="B8:E8"/>
    <mergeCell ref="B9:E9"/>
  </mergeCells>
  <conditionalFormatting sqref="A13:H289">
    <cfRule type="expression" dxfId="0" priority="1">
      <formula>COUNTIF(ARRAYFORMULA(#REF!&amp;#REF!&amp;#REF!&amp;#REF!),$B13&amp;$C13&amp;$E13&amp;$G13)&gt;1</formula>
    </cfRule>
  </conditionalFormatting>
  <conditionalFormatting sqref="Q13:Q92">
    <cfRule type="expression" dxfId="5" priority="2">
      <formula>INDIRECT("General!$P$8")=Q13</formula>
    </cfRule>
  </conditionalFormatting>
  <conditionalFormatting sqref="Q13:Q92">
    <cfRule type="expression" dxfId="6" priority="3">
      <formula>INDIRECT("General!$P$9")=Q13</formula>
    </cfRule>
  </conditionalFormatting>
  <conditionalFormatting sqref="Q13:Q92">
    <cfRule type="expression" dxfId="16" priority="4">
      <formula>INDIRECT("General!$P$10")=Q13</formula>
    </cfRule>
  </conditionalFormatting>
  <conditionalFormatting sqref="Q13:Q92">
    <cfRule type="expression" dxfId="4" priority="5">
      <formula>INDIRECT("General!$P$11")=Q13</formula>
    </cfRule>
  </conditionalFormatting>
  <conditionalFormatting sqref="A1">
    <cfRule type="notContainsBlanks" dxfId="1" priority="6">
      <formula>LEN(TRIM(A1))&gt;0</formula>
    </cfRule>
  </conditionalFormatting>
  <dataValidations>
    <dataValidation type="list" allowBlank="1" sqref="Q14:Q91">
      <formula1>#REF!</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outlineLevelRow="1"/>
  <cols>
    <col customWidth="1" min="1" max="3" width="2.13"/>
    <col customWidth="1" min="4" max="4" width="7.38"/>
    <col customWidth="1" min="5" max="5" width="2.13"/>
    <col customWidth="1" min="6" max="6" width="6.0"/>
    <col customWidth="1" min="7" max="7" width="5.25"/>
    <col customWidth="1" min="8" max="8" width="2.13"/>
    <col customWidth="1" min="9" max="9" width="7.0"/>
    <col customWidth="1" min="10" max="10" width="2.13"/>
    <col customWidth="1" min="11" max="11" width="6.75"/>
    <col customWidth="1" min="12" max="12" width="2.13"/>
    <col customWidth="1" min="13" max="13" width="4.63"/>
    <col customWidth="1" min="14" max="22" width="2.13"/>
    <col customWidth="1" min="23" max="23" width="2.25"/>
    <col customWidth="1" min="24" max="25" width="2.13"/>
    <col customWidth="1" min="26" max="26" width="9.13"/>
    <col customWidth="1" min="27" max="27" width="2.13"/>
    <col customWidth="1" min="28" max="28" width="9.25"/>
    <col customWidth="1" min="29" max="30" width="2.13"/>
    <col customWidth="1" min="31" max="31" width="7.75"/>
    <col customWidth="1" min="32" max="32" width="2.13"/>
    <col customWidth="1" min="33" max="33" width="6.0"/>
    <col customWidth="1" min="34" max="34" width="2.13"/>
    <col customWidth="1" min="35" max="35" width="8.25"/>
    <col customWidth="1" min="36" max="46" width="2.13"/>
    <col customWidth="1" min="47" max="47" width="6.63"/>
    <col customWidth="1" min="48" max="48" width="4.5"/>
    <col customWidth="1" min="49" max="49" width="7.38"/>
    <col customWidth="1" min="50" max="51" width="2.13"/>
    <col customWidth="1" min="52" max="52" width="8.63"/>
    <col customWidth="1" min="53" max="53" width="2.13"/>
    <col customWidth="1" min="54" max="54" width="6.5"/>
    <col customWidth="1" min="55" max="55" width="2.13"/>
    <col customWidth="1" min="56" max="56" width="7.13"/>
    <col customWidth="1" min="57" max="61" width="2.13"/>
    <col customWidth="1" min="62" max="62" width="3.25"/>
    <col customWidth="1" min="63" max="67" width="2.13"/>
    <col customWidth="1" min="68" max="68" width="12.63"/>
    <col customWidth="1" min="69" max="70" width="2.13"/>
    <col customWidth="1" min="71" max="71" width="8.25"/>
    <col customWidth="1" min="72" max="72" width="9.25"/>
    <col customWidth="1" min="73" max="82" width="2.13"/>
    <col customWidth="1" min="83" max="83" width="5.88"/>
    <col customWidth="1" min="84" max="89" width="2.13"/>
    <col customWidth="1" min="90" max="90" width="6.5"/>
    <col customWidth="1" min="91" max="91" width="2.13"/>
    <col customWidth="1" min="92" max="92" width="7.88"/>
    <col customWidth="1" min="93" max="96" width="2.13"/>
    <col customWidth="1" min="97" max="97" width="6.88"/>
    <col customWidth="1" min="98" max="98" width="2.13"/>
    <col customWidth="1" min="99" max="99" width="8.0"/>
    <col customWidth="1" min="100" max="104" width="2.13"/>
    <col customWidth="1" min="105" max="105" width="5.25"/>
    <col customWidth="1" min="106" max="111" width="2.13"/>
    <col customWidth="1" min="112" max="112" width="9.88"/>
    <col customWidth="1" min="113" max="113" width="2.13"/>
    <col customWidth="1" min="114" max="114" width="8.88"/>
    <col customWidth="1" min="115" max="118" width="2.13"/>
    <col customWidth="1" min="119" max="119" width="7.13"/>
    <col customWidth="1" min="120" max="120" width="2.13"/>
    <col customWidth="1" min="121" max="121" width="9.5"/>
    <col customWidth="1" min="122" max="123" width="2.13"/>
    <col customWidth="1" min="124" max="124" width="15.13"/>
    <col customWidth="1" min="125" max="144" width="2.13"/>
    <col customWidth="1" min="145" max="145" width="8.38"/>
    <col customWidth="1" min="146" max="164" width="2.13"/>
    <col customWidth="1" min="165" max="165" width="3.88"/>
    <col customWidth="1" min="166" max="166" width="2.13"/>
    <col customWidth="1" min="167" max="167" width="6.0"/>
    <col customWidth="1" min="168" max="178" width="2.13"/>
    <col customWidth="1" min="179" max="179" width="3.25"/>
    <col customWidth="1" min="180" max="182" width="2.13"/>
    <col customWidth="1" min="183" max="183" width="5.0"/>
    <col customWidth="1" min="184" max="186" width="2.13"/>
    <col customWidth="1" min="187" max="187" width="5.25"/>
    <col customWidth="1" min="188" max="188" width="2.13"/>
    <col customWidth="1" min="189" max="189" width="6.5"/>
    <col customWidth="1" min="190" max="210" width="2.13"/>
    <col customWidth="1" min="211" max="211" width="3.75"/>
    <col customWidth="1" min="212" max="222" width="2.13"/>
    <col customWidth="1" min="223" max="223" width="3.38"/>
    <col customWidth="1" min="224" max="230" width="2.13"/>
    <col customWidth="1" min="231" max="231" width="5.13"/>
    <col customWidth="1" min="232" max="232" width="2.13"/>
    <col customWidth="1" min="233" max="233" width="4.0"/>
    <col customWidth="1" min="234" max="237" width="2.13"/>
  </cols>
  <sheetData>
    <row r="1" ht="12.75" customHeight="1">
      <c r="A1" s="300"/>
      <c r="B1" s="303" t="s">
        <v>400</v>
      </c>
      <c r="C1" s="305"/>
      <c r="D1" s="305"/>
      <c r="E1" s="305"/>
      <c r="F1" s="305"/>
      <c r="G1" s="305"/>
      <c r="H1" s="305"/>
      <c r="I1" s="305"/>
      <c r="J1" s="305"/>
      <c r="K1" s="305"/>
      <c r="L1" s="305"/>
      <c r="M1" s="305"/>
      <c r="N1" s="305"/>
      <c r="O1" s="305"/>
      <c r="P1" s="305"/>
      <c r="Q1" s="305"/>
      <c r="R1" s="305"/>
      <c r="S1" s="306"/>
      <c r="T1" s="300"/>
      <c r="U1" s="300"/>
      <c r="V1" s="300"/>
      <c r="W1" s="300"/>
      <c r="X1" s="303" t="s">
        <v>401</v>
      </c>
      <c r="Y1" s="305"/>
      <c r="Z1" s="305"/>
      <c r="AA1" s="305"/>
      <c r="AB1" s="305"/>
      <c r="AC1" s="305"/>
      <c r="AD1" s="305"/>
      <c r="AE1" s="305"/>
      <c r="AF1" s="305"/>
      <c r="AG1" s="305"/>
      <c r="AH1" s="305"/>
      <c r="AI1" s="305"/>
      <c r="AJ1" s="305"/>
      <c r="AK1" s="305"/>
      <c r="AL1" s="305"/>
      <c r="AM1" s="305"/>
      <c r="AN1" s="305"/>
      <c r="AO1" s="306"/>
      <c r="AP1" s="300"/>
      <c r="AQ1" s="300"/>
      <c r="AR1" s="300"/>
      <c r="AS1" s="300"/>
      <c r="AT1" s="303" t="s">
        <v>402</v>
      </c>
      <c r="AU1" s="305"/>
      <c r="AV1" s="305"/>
      <c r="AW1" s="305"/>
      <c r="AX1" s="305"/>
      <c r="AY1" s="305"/>
      <c r="AZ1" s="305"/>
      <c r="BA1" s="305"/>
      <c r="BB1" s="305"/>
      <c r="BC1" s="305"/>
      <c r="BD1" s="305"/>
      <c r="BE1" s="305"/>
      <c r="BF1" s="305"/>
      <c r="BG1" s="305"/>
      <c r="BH1" s="305"/>
      <c r="BI1" s="306"/>
      <c r="BJ1" s="300"/>
      <c r="BK1" s="300"/>
      <c r="BL1" s="300"/>
      <c r="BM1" s="300"/>
      <c r="BN1" s="303" t="s">
        <v>403</v>
      </c>
      <c r="BO1" s="305"/>
      <c r="BP1" s="305"/>
      <c r="BQ1" s="305"/>
      <c r="BR1" s="305"/>
      <c r="BS1" s="305"/>
      <c r="BT1" s="305"/>
      <c r="BU1" s="305"/>
      <c r="BV1" s="305"/>
      <c r="BW1" s="305"/>
      <c r="BX1" s="305"/>
      <c r="BY1" s="305"/>
      <c r="BZ1" s="305"/>
      <c r="CA1" s="305"/>
      <c r="CB1" s="305"/>
      <c r="CC1" s="305"/>
      <c r="CD1" s="305"/>
      <c r="CE1" s="306"/>
      <c r="CF1" s="300"/>
      <c r="CG1" s="300"/>
      <c r="CH1" s="300"/>
      <c r="CI1" s="300"/>
      <c r="CJ1" s="303" t="s">
        <v>405</v>
      </c>
      <c r="CK1" s="305"/>
      <c r="CL1" s="305"/>
      <c r="CM1" s="305"/>
      <c r="CN1" s="305"/>
      <c r="CO1" s="305"/>
      <c r="CP1" s="305"/>
      <c r="CQ1" s="305"/>
      <c r="CR1" s="305"/>
      <c r="CS1" s="305"/>
      <c r="CT1" s="305"/>
      <c r="CU1" s="305"/>
      <c r="CV1" s="305"/>
      <c r="CW1" s="305"/>
      <c r="CX1" s="305"/>
      <c r="CY1" s="305"/>
      <c r="CZ1" s="305"/>
      <c r="DA1" s="306"/>
      <c r="DB1" s="300"/>
      <c r="DC1" s="300"/>
      <c r="DD1" s="300"/>
      <c r="DE1" s="300"/>
      <c r="DF1" s="303" t="s">
        <v>406</v>
      </c>
      <c r="DG1" s="305"/>
      <c r="DH1" s="305"/>
      <c r="DI1" s="305"/>
      <c r="DJ1" s="305"/>
      <c r="DK1" s="305"/>
      <c r="DL1" s="305"/>
      <c r="DM1" s="305"/>
      <c r="DN1" s="305"/>
      <c r="DO1" s="305"/>
      <c r="DP1" s="305"/>
      <c r="DQ1" s="305"/>
      <c r="DR1" s="305"/>
      <c r="DS1" s="305"/>
      <c r="DT1" s="305"/>
      <c r="DU1" s="305"/>
      <c r="DV1" s="305"/>
      <c r="DW1" s="306"/>
      <c r="DX1" s="300"/>
      <c r="DY1" s="300"/>
      <c r="DZ1" s="300"/>
      <c r="EA1" s="300"/>
      <c r="EB1" s="303" t="s">
        <v>407</v>
      </c>
      <c r="EC1" s="305"/>
      <c r="ED1" s="305"/>
      <c r="EE1" s="305"/>
      <c r="EF1" s="305"/>
      <c r="EG1" s="305"/>
      <c r="EH1" s="305"/>
      <c r="EI1" s="305"/>
      <c r="EJ1" s="305"/>
      <c r="EK1" s="305"/>
      <c r="EL1" s="305"/>
      <c r="EM1" s="305"/>
      <c r="EN1" s="305"/>
      <c r="EO1" s="305"/>
      <c r="EP1" s="305"/>
      <c r="EQ1" s="305"/>
      <c r="ER1" s="305"/>
      <c r="ES1" s="306"/>
      <c r="ET1" s="300"/>
      <c r="EU1" s="300"/>
      <c r="EV1" s="300"/>
      <c r="EW1" s="300"/>
      <c r="EX1" s="300"/>
      <c r="EY1" s="300"/>
      <c r="EZ1" s="300"/>
      <c r="FA1" s="300"/>
      <c r="FB1" s="300"/>
      <c r="FC1" s="300"/>
      <c r="FD1" s="300"/>
      <c r="FE1" s="300"/>
      <c r="FF1" s="300"/>
      <c r="FG1" s="300"/>
      <c r="FH1" s="300"/>
      <c r="FI1" s="300"/>
      <c r="FJ1" s="300"/>
      <c r="FK1" s="300"/>
      <c r="FL1" s="300"/>
      <c r="FM1" s="300"/>
      <c r="FN1" s="300"/>
      <c r="FO1" s="300"/>
      <c r="FP1" s="300"/>
      <c r="FQ1" s="300"/>
      <c r="FR1" s="300"/>
      <c r="FS1" s="300"/>
      <c r="FT1" s="300"/>
      <c r="FU1" s="300"/>
      <c r="FV1" s="300"/>
      <c r="FW1" s="300"/>
      <c r="FX1" s="300"/>
      <c r="FY1" s="300"/>
      <c r="FZ1" s="300"/>
      <c r="GA1" s="300"/>
      <c r="GB1" s="300"/>
      <c r="GC1" s="300"/>
      <c r="GD1" s="300"/>
      <c r="GE1" s="300"/>
      <c r="GF1" s="300"/>
      <c r="GG1" s="300"/>
      <c r="GH1" s="300"/>
      <c r="GI1" s="300"/>
      <c r="GJ1" s="300"/>
      <c r="GK1" s="300"/>
      <c r="GL1" s="300"/>
      <c r="GM1" s="300"/>
      <c r="GN1" s="300"/>
      <c r="GO1" s="300"/>
      <c r="GP1" s="300"/>
      <c r="GQ1" s="300"/>
      <c r="GR1" s="300"/>
      <c r="GS1" s="300"/>
      <c r="GT1" s="300"/>
      <c r="GU1" s="300"/>
      <c r="GV1" s="300"/>
      <c r="GW1" s="300"/>
      <c r="GX1" s="300"/>
      <c r="GY1" s="300"/>
      <c r="GZ1" s="300"/>
      <c r="HA1" s="300"/>
      <c r="HB1" s="300"/>
      <c r="HC1" s="300"/>
      <c r="HD1" s="300"/>
      <c r="HE1" s="300"/>
      <c r="HF1" s="300"/>
      <c r="HG1" s="300"/>
      <c r="HH1" s="300"/>
      <c r="HI1" s="300"/>
      <c r="HJ1" s="300"/>
      <c r="HK1" s="300"/>
      <c r="HL1" s="300"/>
      <c r="HM1" s="300"/>
      <c r="HN1" s="300"/>
      <c r="HO1" s="300"/>
      <c r="HP1" s="300"/>
      <c r="HQ1" s="300"/>
      <c r="HR1" s="300"/>
      <c r="HS1" s="300"/>
      <c r="HT1" s="300"/>
      <c r="HU1" s="300"/>
      <c r="HV1" s="300"/>
      <c r="HW1" s="300"/>
      <c r="HX1" s="300"/>
      <c r="HY1" s="300"/>
      <c r="HZ1" s="300"/>
      <c r="IA1" s="300"/>
      <c r="IB1" s="300"/>
      <c r="IC1" s="300"/>
    </row>
    <row r="2" ht="12.75" customHeight="1">
      <c r="A2" s="300"/>
      <c r="B2" s="331"/>
      <c r="C2" s="332"/>
      <c r="D2" s="332"/>
      <c r="E2" s="332"/>
      <c r="F2" s="332"/>
      <c r="G2" s="332"/>
      <c r="H2" s="332"/>
      <c r="I2" s="332"/>
      <c r="J2" s="332"/>
      <c r="K2" s="332"/>
      <c r="L2" s="332"/>
      <c r="M2" s="332"/>
      <c r="N2" s="332"/>
      <c r="O2" s="332"/>
      <c r="P2" s="332"/>
      <c r="Q2" s="332"/>
      <c r="R2" s="332"/>
      <c r="S2" s="333"/>
      <c r="T2" s="300"/>
      <c r="U2" s="300"/>
      <c r="V2" s="300"/>
      <c r="W2" s="300"/>
      <c r="X2" s="331"/>
      <c r="Y2" s="332"/>
      <c r="Z2" s="332"/>
      <c r="AA2" s="332"/>
      <c r="AB2" s="332"/>
      <c r="AC2" s="332"/>
      <c r="AD2" s="332"/>
      <c r="AE2" s="332"/>
      <c r="AF2" s="332"/>
      <c r="AG2" s="332"/>
      <c r="AH2" s="332"/>
      <c r="AI2" s="332"/>
      <c r="AJ2" s="332"/>
      <c r="AK2" s="332"/>
      <c r="AL2" s="332"/>
      <c r="AM2" s="332"/>
      <c r="AN2" s="332"/>
      <c r="AO2" s="333"/>
      <c r="AP2" s="300"/>
      <c r="AQ2" s="300"/>
      <c r="AR2" s="300"/>
      <c r="AS2" s="300"/>
      <c r="AT2" s="331"/>
      <c r="AU2" s="332"/>
      <c r="AV2" s="332"/>
      <c r="AW2" s="332"/>
      <c r="AX2" s="332"/>
      <c r="AY2" s="332"/>
      <c r="AZ2" s="332"/>
      <c r="BA2" s="332"/>
      <c r="BB2" s="332"/>
      <c r="BC2" s="332"/>
      <c r="BD2" s="332"/>
      <c r="BE2" s="332"/>
      <c r="BF2" s="332"/>
      <c r="BG2" s="332"/>
      <c r="BH2" s="332"/>
      <c r="BI2" s="333"/>
      <c r="BJ2" s="300"/>
      <c r="BK2" s="300"/>
      <c r="BL2" s="300"/>
      <c r="BM2" s="300"/>
      <c r="BN2" s="331"/>
      <c r="BO2" s="332"/>
      <c r="BP2" s="332"/>
      <c r="BQ2" s="332"/>
      <c r="BR2" s="332"/>
      <c r="BS2" s="332"/>
      <c r="BT2" s="332"/>
      <c r="BU2" s="332"/>
      <c r="BV2" s="332"/>
      <c r="BW2" s="332"/>
      <c r="BX2" s="332"/>
      <c r="BY2" s="332"/>
      <c r="BZ2" s="332"/>
      <c r="CA2" s="332"/>
      <c r="CB2" s="332"/>
      <c r="CC2" s="332"/>
      <c r="CD2" s="332"/>
      <c r="CE2" s="333"/>
      <c r="CF2" s="300"/>
      <c r="CG2" s="300"/>
      <c r="CH2" s="300"/>
      <c r="CI2" s="300"/>
      <c r="CJ2" s="331"/>
      <c r="CK2" s="332"/>
      <c r="CL2" s="332"/>
      <c r="CM2" s="332"/>
      <c r="CN2" s="332"/>
      <c r="CO2" s="332"/>
      <c r="CP2" s="332"/>
      <c r="CQ2" s="332"/>
      <c r="CR2" s="332"/>
      <c r="CS2" s="332"/>
      <c r="CT2" s="332"/>
      <c r="CU2" s="332"/>
      <c r="CV2" s="332"/>
      <c r="CW2" s="332"/>
      <c r="CX2" s="332"/>
      <c r="CY2" s="332"/>
      <c r="CZ2" s="332"/>
      <c r="DA2" s="333"/>
      <c r="DB2" s="300"/>
      <c r="DC2" s="300"/>
      <c r="DD2" s="300"/>
      <c r="DE2" s="300"/>
      <c r="DF2" s="331"/>
      <c r="DG2" s="332"/>
      <c r="DH2" s="332"/>
      <c r="DI2" s="332"/>
      <c r="DJ2" s="332"/>
      <c r="DK2" s="332"/>
      <c r="DL2" s="332"/>
      <c r="DM2" s="332"/>
      <c r="DN2" s="332"/>
      <c r="DO2" s="332"/>
      <c r="DP2" s="332"/>
      <c r="DQ2" s="332"/>
      <c r="DR2" s="332"/>
      <c r="DS2" s="332"/>
      <c r="DT2" s="332"/>
      <c r="DU2" s="332"/>
      <c r="DV2" s="332"/>
      <c r="DW2" s="333"/>
      <c r="DX2" s="300"/>
      <c r="DY2" s="300"/>
      <c r="DZ2" s="300"/>
      <c r="EA2" s="300"/>
      <c r="EB2" s="331"/>
      <c r="EC2" s="332"/>
      <c r="ED2" s="332"/>
      <c r="EE2" s="332"/>
      <c r="EF2" s="332"/>
      <c r="EG2" s="332"/>
      <c r="EH2" s="332"/>
      <c r="EI2" s="332"/>
      <c r="EJ2" s="332"/>
      <c r="EK2" s="332"/>
      <c r="EL2" s="332"/>
      <c r="EM2" s="332"/>
      <c r="EN2" s="332"/>
      <c r="EO2" s="332"/>
      <c r="EP2" s="332"/>
      <c r="EQ2" s="332"/>
      <c r="ER2" s="332"/>
      <c r="ES2" s="333"/>
      <c r="ET2" s="300"/>
      <c r="EU2" s="300"/>
      <c r="EV2" s="300"/>
      <c r="EW2" s="300"/>
      <c r="EX2" s="300"/>
      <c r="EY2" s="300"/>
      <c r="EZ2" s="300"/>
      <c r="FA2" s="300"/>
      <c r="FB2" s="300"/>
      <c r="FC2" s="300"/>
      <c r="FD2" s="300"/>
      <c r="FE2" s="300"/>
      <c r="FF2" s="300"/>
      <c r="FG2" s="300"/>
      <c r="FH2" s="300"/>
      <c r="FI2" s="300"/>
      <c r="FJ2" s="300"/>
      <c r="FK2" s="300"/>
      <c r="FL2" s="300"/>
      <c r="FM2" s="300"/>
      <c r="FN2" s="300"/>
      <c r="FO2" s="300"/>
      <c r="FP2" s="300"/>
      <c r="FQ2" s="300"/>
      <c r="FR2" s="300"/>
      <c r="FS2" s="300"/>
      <c r="FT2" s="300"/>
      <c r="FU2" s="300"/>
      <c r="FV2" s="300"/>
      <c r="FW2" s="300"/>
      <c r="FX2" s="300"/>
      <c r="FY2" s="300"/>
      <c r="FZ2" s="300"/>
      <c r="GA2" s="300"/>
      <c r="GB2" s="300"/>
      <c r="GC2" s="300"/>
      <c r="GD2" s="300"/>
      <c r="GE2" s="300"/>
      <c r="GF2" s="300"/>
      <c r="GG2" s="300"/>
      <c r="GH2" s="300"/>
      <c r="GI2" s="300"/>
      <c r="GJ2" s="300"/>
      <c r="GK2" s="300"/>
      <c r="GL2" s="300"/>
      <c r="GM2" s="300"/>
      <c r="GN2" s="300"/>
      <c r="GO2" s="300"/>
      <c r="GP2" s="300"/>
      <c r="GQ2" s="300"/>
      <c r="GR2" s="300"/>
      <c r="GS2" s="300"/>
      <c r="GT2" s="300"/>
      <c r="GU2" s="300"/>
      <c r="GV2" s="300"/>
      <c r="GW2" s="300"/>
      <c r="GX2" s="300"/>
      <c r="GY2" s="300"/>
      <c r="GZ2" s="300"/>
      <c r="HA2" s="300"/>
      <c r="HB2" s="300"/>
      <c r="HC2" s="300"/>
      <c r="HD2" s="300"/>
      <c r="HE2" s="300"/>
      <c r="HF2" s="300"/>
      <c r="HG2" s="300"/>
      <c r="HH2" s="300"/>
      <c r="HI2" s="300"/>
      <c r="HJ2" s="300"/>
      <c r="HK2" s="300"/>
      <c r="HL2" s="300"/>
      <c r="HM2" s="300"/>
      <c r="HN2" s="300"/>
      <c r="HO2" s="300"/>
      <c r="HP2" s="300"/>
      <c r="HQ2" s="300"/>
      <c r="HR2" s="300"/>
      <c r="HS2" s="300"/>
      <c r="HT2" s="300"/>
      <c r="HU2" s="300"/>
      <c r="HV2" s="300"/>
      <c r="HW2" s="300"/>
      <c r="HX2" s="300"/>
      <c r="HY2" s="300"/>
      <c r="HZ2" s="300"/>
      <c r="IA2" s="300"/>
      <c r="IB2" s="300"/>
      <c r="IC2" s="300"/>
    </row>
    <row r="3" ht="12.75" customHeight="1">
      <c r="A3" s="300"/>
      <c r="B3" s="300" t="s">
        <v>408</v>
      </c>
      <c r="C3" s="300"/>
      <c r="D3" s="342"/>
      <c r="E3" s="342"/>
      <c r="F3" s="342"/>
      <c r="G3" s="342"/>
      <c r="H3" s="342"/>
      <c r="I3" s="342"/>
      <c r="J3" s="342"/>
      <c r="K3" s="342"/>
      <c r="L3" s="342"/>
      <c r="M3" s="342"/>
      <c r="N3" s="342"/>
      <c r="O3" s="342"/>
      <c r="P3" s="342"/>
      <c r="Q3" s="342"/>
      <c r="R3" s="342"/>
      <c r="S3" s="300"/>
      <c r="T3" s="300"/>
      <c r="U3" s="300"/>
      <c r="V3" s="300"/>
      <c r="W3" s="300"/>
      <c r="X3" s="300" t="s">
        <v>409</v>
      </c>
      <c r="Y3" s="300"/>
      <c r="Z3" s="342"/>
      <c r="AA3" s="342"/>
      <c r="AB3" s="342"/>
      <c r="AC3" s="342"/>
      <c r="AD3" s="342"/>
      <c r="AE3" s="342"/>
      <c r="AF3" s="342"/>
      <c r="AG3" s="342"/>
      <c r="AH3" s="342"/>
      <c r="AI3" s="342"/>
      <c r="AJ3" s="342"/>
      <c r="AK3" s="342"/>
      <c r="AL3" s="342"/>
      <c r="AM3" s="342"/>
      <c r="AN3" s="342"/>
      <c r="AO3" s="300"/>
      <c r="AP3" s="300"/>
      <c r="AQ3" s="300"/>
      <c r="AR3" s="300"/>
      <c r="AS3" s="300"/>
      <c r="AT3" s="300" t="s">
        <v>410</v>
      </c>
      <c r="AU3" s="342"/>
      <c r="AV3" s="342"/>
      <c r="AW3" s="342"/>
      <c r="AX3" s="342"/>
      <c r="AY3" s="342"/>
      <c r="AZ3" s="342"/>
      <c r="BA3" s="342"/>
      <c r="BB3" s="342"/>
      <c r="BC3" s="342"/>
      <c r="BD3" s="342"/>
      <c r="BE3" s="342"/>
      <c r="BF3" s="342"/>
      <c r="BG3" s="342"/>
      <c r="BH3" s="342"/>
      <c r="BI3" s="300"/>
      <c r="BJ3" s="300"/>
      <c r="BK3" s="300"/>
      <c r="BL3" s="300"/>
      <c r="BM3" s="300"/>
      <c r="BN3" s="300" t="s">
        <v>411</v>
      </c>
      <c r="BO3" s="300"/>
      <c r="BP3" s="342"/>
      <c r="BQ3" s="342"/>
      <c r="BR3" s="342"/>
      <c r="BS3" s="342"/>
      <c r="BT3" s="342"/>
      <c r="BU3" s="342"/>
      <c r="BV3" s="342"/>
      <c r="BW3" s="342"/>
      <c r="BX3" s="342"/>
      <c r="BY3" s="342"/>
      <c r="BZ3" s="342"/>
      <c r="CA3" s="342"/>
      <c r="CB3" s="342"/>
      <c r="CC3" s="342"/>
      <c r="CD3" s="342"/>
      <c r="CE3" s="300"/>
      <c r="CF3" s="300"/>
      <c r="CG3" s="300"/>
      <c r="CH3" s="300"/>
      <c r="CI3" s="300"/>
      <c r="CJ3" s="300" t="s">
        <v>412</v>
      </c>
      <c r="CK3" s="300"/>
      <c r="CL3" s="342"/>
      <c r="CM3" s="342"/>
      <c r="CN3" s="342"/>
      <c r="CO3" s="342"/>
      <c r="CP3" s="342"/>
      <c r="CQ3" s="342"/>
      <c r="CR3" s="342"/>
      <c r="CS3" s="342"/>
      <c r="CT3" s="342"/>
      <c r="CU3" s="342"/>
      <c r="CV3" s="342"/>
      <c r="CW3" s="342"/>
      <c r="CX3" s="342"/>
      <c r="CY3" s="342"/>
      <c r="CZ3" s="300"/>
      <c r="DA3" s="300"/>
      <c r="DB3" s="300"/>
      <c r="DC3" s="300"/>
      <c r="DD3" s="300"/>
      <c r="DE3" s="300"/>
      <c r="DF3" s="300" t="s">
        <v>414</v>
      </c>
      <c r="DG3" s="300"/>
      <c r="DH3" s="342"/>
      <c r="DI3" s="342"/>
      <c r="DJ3" s="342"/>
      <c r="DK3" s="342"/>
      <c r="DL3" s="342"/>
      <c r="DM3" s="342"/>
      <c r="DN3" s="342"/>
      <c r="DO3" s="342"/>
      <c r="DP3" s="342"/>
      <c r="DQ3" s="342"/>
      <c r="DR3" s="342"/>
      <c r="DS3" s="342"/>
      <c r="DT3" s="342"/>
      <c r="DU3" s="342"/>
      <c r="DV3" s="300"/>
      <c r="DW3" s="300"/>
      <c r="DX3" s="300"/>
      <c r="DY3" s="300"/>
      <c r="DZ3" s="300"/>
      <c r="EA3" s="300"/>
      <c r="EB3" s="300" t="s">
        <v>415</v>
      </c>
      <c r="EC3" s="300"/>
      <c r="ED3" s="300"/>
      <c r="EE3" s="300"/>
      <c r="EF3" s="300"/>
      <c r="EG3" s="300"/>
      <c r="EH3" s="300"/>
      <c r="EI3" s="300"/>
      <c r="EJ3" s="300"/>
      <c r="EK3" s="300"/>
      <c r="EL3" s="300"/>
      <c r="EM3" s="300"/>
      <c r="EN3" s="300"/>
      <c r="EO3" s="300"/>
      <c r="EP3" s="300"/>
      <c r="EQ3" s="300"/>
      <c r="ER3" s="300"/>
      <c r="ES3" s="300"/>
      <c r="ET3" s="300"/>
      <c r="EU3" s="300"/>
      <c r="EV3" s="300"/>
      <c r="EW3" s="300"/>
      <c r="EX3" s="300"/>
      <c r="EY3" s="300"/>
      <c r="EZ3" s="300"/>
      <c r="FA3" s="300"/>
      <c r="FB3" s="300"/>
      <c r="FC3" s="300"/>
      <c r="FD3" s="300"/>
      <c r="FE3" s="300"/>
      <c r="FF3" s="300"/>
      <c r="FG3" s="300"/>
      <c r="FH3" s="300"/>
      <c r="FI3" s="300"/>
      <c r="FJ3" s="300"/>
      <c r="FK3" s="300"/>
      <c r="FL3" s="300"/>
      <c r="FM3" s="300"/>
      <c r="FN3" s="300"/>
      <c r="FO3" s="300"/>
      <c r="FP3" s="300"/>
      <c r="FQ3" s="300"/>
      <c r="FR3" s="300"/>
      <c r="FS3" s="300"/>
      <c r="FT3" s="300"/>
      <c r="FU3" s="300"/>
      <c r="FV3" s="300"/>
      <c r="FW3" s="300"/>
      <c r="FX3" s="300"/>
      <c r="FY3" s="300"/>
      <c r="FZ3" s="300"/>
      <c r="GA3" s="300"/>
      <c r="GB3" s="300"/>
      <c r="GC3" s="300"/>
      <c r="GD3" s="300"/>
      <c r="GE3" s="300"/>
      <c r="GF3" s="300"/>
      <c r="GG3" s="300"/>
      <c r="GH3" s="300"/>
      <c r="GI3" s="300"/>
      <c r="GJ3" s="300"/>
      <c r="GK3" s="300"/>
      <c r="GL3" s="300"/>
      <c r="GM3" s="300"/>
      <c r="GN3" s="300"/>
      <c r="GO3" s="300"/>
      <c r="GP3" s="300"/>
      <c r="GQ3" s="300"/>
      <c r="GR3" s="300"/>
      <c r="GS3" s="300"/>
      <c r="GT3" s="300"/>
      <c r="GU3" s="300"/>
      <c r="GV3" s="300"/>
      <c r="GW3" s="300"/>
      <c r="GX3" s="300"/>
      <c r="GY3" s="300"/>
      <c r="GZ3" s="300"/>
      <c r="HA3" s="300"/>
      <c r="HB3" s="300"/>
      <c r="HC3" s="300"/>
      <c r="HD3" s="300"/>
      <c r="HE3" s="300"/>
      <c r="HF3" s="300"/>
      <c r="HG3" s="300"/>
      <c r="HH3" s="300"/>
      <c r="HI3" s="300"/>
      <c r="HJ3" s="300"/>
      <c r="HK3" s="300"/>
      <c r="HL3" s="300"/>
      <c r="HM3" s="300"/>
      <c r="HN3" s="300"/>
      <c r="HO3" s="300"/>
      <c r="HP3" s="300"/>
      <c r="HQ3" s="300"/>
      <c r="HR3" s="300"/>
      <c r="HS3" s="300"/>
      <c r="HT3" s="300"/>
      <c r="HU3" s="300"/>
      <c r="HV3" s="300"/>
      <c r="HW3" s="300"/>
      <c r="HX3" s="300"/>
      <c r="HY3" s="300"/>
      <c r="HZ3" s="300"/>
      <c r="IA3" s="300"/>
      <c r="IB3" s="300"/>
      <c r="IC3" s="300"/>
    </row>
    <row r="4" ht="12.75" customHeight="1">
      <c r="A4" s="300"/>
      <c r="B4" s="300"/>
      <c r="C4" s="300" t="s">
        <v>421</v>
      </c>
      <c r="D4" s="342"/>
      <c r="E4" s="342"/>
      <c r="F4" s="342"/>
      <c r="G4" s="342"/>
      <c r="H4" s="342"/>
      <c r="I4" s="342"/>
      <c r="J4" s="342"/>
      <c r="K4" s="342"/>
      <c r="L4" s="342"/>
      <c r="M4" s="342"/>
      <c r="N4" s="342"/>
      <c r="O4" s="342"/>
      <c r="P4" s="342"/>
      <c r="Q4" s="342"/>
      <c r="R4" s="342"/>
      <c r="S4" s="300"/>
      <c r="T4" s="300"/>
      <c r="U4" s="300"/>
      <c r="V4" s="300"/>
      <c r="W4" s="300"/>
      <c r="X4" s="300"/>
      <c r="Y4" s="300" t="s">
        <v>422</v>
      </c>
      <c r="Z4" s="342"/>
      <c r="AA4" s="342"/>
      <c r="AB4" s="342"/>
      <c r="AC4" s="342"/>
      <c r="AD4" s="342"/>
      <c r="AE4" s="342"/>
      <c r="AF4" s="342"/>
      <c r="AG4" s="342"/>
      <c r="AH4" s="342"/>
      <c r="AI4" s="342"/>
      <c r="AJ4" s="342"/>
      <c r="AK4" s="342"/>
      <c r="AL4" s="342"/>
      <c r="AM4" s="342"/>
      <c r="AN4" s="342"/>
      <c r="AO4" s="300"/>
      <c r="AP4" s="300"/>
      <c r="AQ4" s="300"/>
      <c r="AR4" s="300"/>
      <c r="AS4" s="300"/>
      <c r="AT4" s="300"/>
      <c r="AU4" s="342"/>
      <c r="AV4" s="342"/>
      <c r="AW4" s="342"/>
      <c r="AX4" s="342"/>
      <c r="AY4" s="342"/>
      <c r="AZ4" s="342"/>
      <c r="BA4" s="342"/>
      <c r="BB4" s="342"/>
      <c r="BC4" s="342"/>
      <c r="BD4" s="342"/>
      <c r="BE4" s="342"/>
      <c r="BF4" s="342"/>
      <c r="BG4" s="342"/>
      <c r="BH4" s="342"/>
      <c r="BI4" s="300"/>
      <c r="BJ4" s="300"/>
      <c r="BK4" s="300"/>
      <c r="BL4" s="300"/>
      <c r="BM4" s="300"/>
      <c r="BN4" s="300"/>
      <c r="BO4" s="300" t="s">
        <v>423</v>
      </c>
      <c r="BP4" s="342"/>
      <c r="BQ4" s="342"/>
      <c r="BR4" s="342"/>
      <c r="BS4" s="342"/>
      <c r="BT4" s="342"/>
      <c r="BU4" s="342"/>
      <c r="BV4" s="342"/>
      <c r="BW4" s="342"/>
      <c r="BX4" s="342"/>
      <c r="BY4" s="342"/>
      <c r="BZ4" s="342"/>
      <c r="CA4" s="342"/>
      <c r="CB4" s="342"/>
      <c r="CC4" s="342"/>
      <c r="CD4" s="342"/>
      <c r="CE4" s="300"/>
      <c r="CF4" s="300"/>
      <c r="CG4" s="300"/>
      <c r="CH4" s="300"/>
      <c r="CI4" s="300"/>
      <c r="CJ4" s="300"/>
      <c r="CK4" s="300" t="s">
        <v>424</v>
      </c>
      <c r="CL4" s="342"/>
      <c r="CM4" s="342"/>
      <c r="CN4" s="342"/>
      <c r="CO4" s="342"/>
      <c r="CP4" s="342"/>
      <c r="CQ4" s="342"/>
      <c r="CR4" s="342"/>
      <c r="CS4" s="342"/>
      <c r="CT4" s="342"/>
      <c r="CU4" s="342"/>
      <c r="CV4" s="342"/>
      <c r="CW4" s="342"/>
      <c r="CX4" s="342"/>
      <c r="CY4" s="342"/>
      <c r="CZ4" s="300"/>
      <c r="DA4" s="300"/>
      <c r="DB4" s="300"/>
      <c r="DC4" s="300"/>
      <c r="DD4" s="300"/>
      <c r="DE4" s="300"/>
      <c r="DF4" s="300"/>
      <c r="DG4" s="300" t="s">
        <v>425</v>
      </c>
      <c r="DH4" s="342"/>
      <c r="DI4" s="342"/>
      <c r="DJ4" s="342"/>
      <c r="DK4" s="342"/>
      <c r="DL4" s="342"/>
      <c r="DM4" s="342"/>
      <c r="DN4" s="342"/>
      <c r="DO4" s="342"/>
      <c r="DP4" s="342"/>
      <c r="DQ4" s="342"/>
      <c r="DR4" s="342"/>
      <c r="DS4" s="342"/>
      <c r="DT4" s="342"/>
      <c r="DU4" s="342"/>
      <c r="DV4" s="300"/>
      <c r="DW4" s="300"/>
      <c r="DX4" s="300"/>
      <c r="DY4" s="300"/>
      <c r="DZ4" s="300"/>
      <c r="EA4" s="300"/>
      <c r="EB4" s="300"/>
      <c r="EC4" s="300"/>
      <c r="ED4" s="300"/>
      <c r="EE4" s="300"/>
      <c r="EF4" s="300"/>
      <c r="EG4" s="300"/>
      <c r="EH4" s="300"/>
      <c r="EI4" s="300"/>
      <c r="EJ4" s="300"/>
      <c r="EK4" s="300"/>
      <c r="EL4" s="300"/>
      <c r="EM4" s="300"/>
      <c r="EN4" s="300"/>
      <c r="EO4" s="300"/>
      <c r="EP4" s="300"/>
      <c r="EQ4" s="300"/>
      <c r="ER4" s="300"/>
      <c r="ES4" s="300"/>
      <c r="ET4" s="300"/>
      <c r="EU4" s="300"/>
      <c r="EV4" s="300"/>
      <c r="EW4" s="300"/>
      <c r="EX4" s="300"/>
      <c r="EY4" s="300"/>
      <c r="EZ4" s="300"/>
      <c r="FA4" s="300"/>
      <c r="FB4" s="300"/>
      <c r="FC4" s="300"/>
      <c r="FD4" s="300"/>
      <c r="FE4" s="300"/>
      <c r="FF4" s="300"/>
      <c r="FG4" s="300"/>
      <c r="FH4" s="300"/>
      <c r="FI4" s="300"/>
      <c r="FJ4" s="300"/>
      <c r="FK4" s="300"/>
      <c r="FL4" s="300"/>
      <c r="FM4" s="300"/>
      <c r="FN4" s="300"/>
      <c r="FO4" s="300"/>
      <c r="FP4" s="300"/>
      <c r="FQ4" s="300"/>
      <c r="FR4" s="300"/>
      <c r="FS4" s="300"/>
      <c r="FT4" s="300"/>
      <c r="FU4" s="300"/>
      <c r="FV4" s="300"/>
      <c r="FW4" s="300"/>
      <c r="FX4" s="300"/>
      <c r="FY4" s="300"/>
      <c r="FZ4" s="300"/>
      <c r="GA4" s="300"/>
      <c r="GB4" s="300"/>
      <c r="GC4" s="300"/>
      <c r="GD4" s="300"/>
      <c r="GE4" s="300"/>
      <c r="GF4" s="300"/>
      <c r="GG4" s="300"/>
      <c r="GH4" s="300"/>
      <c r="GI4" s="300"/>
      <c r="GJ4" s="300"/>
      <c r="GK4" s="300"/>
      <c r="GL4" s="300"/>
      <c r="GM4" s="300"/>
      <c r="GN4" s="300"/>
      <c r="GO4" s="300"/>
      <c r="GP4" s="300"/>
      <c r="GQ4" s="300"/>
      <c r="GR4" s="300"/>
      <c r="GS4" s="300"/>
      <c r="GT4" s="300"/>
      <c r="GU4" s="300"/>
      <c r="GV4" s="300"/>
      <c r="GW4" s="300"/>
      <c r="GX4" s="300"/>
      <c r="GY4" s="300"/>
      <c r="GZ4" s="300"/>
      <c r="HA4" s="300"/>
      <c r="HB4" s="300"/>
      <c r="HC4" s="300"/>
      <c r="HD4" s="300"/>
      <c r="HE4" s="300"/>
      <c r="HF4" s="300"/>
      <c r="HG4" s="300"/>
      <c r="HH4" s="300"/>
      <c r="HI4" s="300"/>
      <c r="HJ4" s="300"/>
      <c r="HK4" s="300"/>
      <c r="HL4" s="300"/>
      <c r="HM4" s="300"/>
      <c r="HN4" s="300"/>
      <c r="HO4" s="300"/>
      <c r="HP4" s="300"/>
      <c r="HQ4" s="300"/>
      <c r="HR4" s="300"/>
      <c r="HS4" s="300"/>
      <c r="HT4" s="300"/>
      <c r="HU4" s="300"/>
      <c r="HV4" s="300"/>
      <c r="HW4" s="300"/>
      <c r="HX4" s="300"/>
      <c r="HY4" s="300"/>
      <c r="HZ4" s="300"/>
      <c r="IA4" s="300"/>
      <c r="IB4" s="300"/>
      <c r="IC4" s="300"/>
    </row>
    <row r="5" ht="12.75" customHeight="1">
      <c r="A5" s="300"/>
      <c r="B5" s="300" t="s">
        <v>426</v>
      </c>
      <c r="C5" s="300"/>
      <c r="D5" s="342"/>
      <c r="E5" s="342"/>
      <c r="F5" s="342"/>
      <c r="G5" s="342"/>
      <c r="H5" s="342"/>
      <c r="I5" s="342"/>
      <c r="J5" s="342"/>
      <c r="K5" s="342"/>
      <c r="L5" s="342"/>
      <c r="M5" s="342"/>
      <c r="N5" s="342"/>
      <c r="O5" s="342"/>
      <c r="P5" s="342"/>
      <c r="Q5" s="342"/>
      <c r="R5" s="342"/>
      <c r="S5" s="300"/>
      <c r="T5" s="300"/>
      <c r="U5" s="300"/>
      <c r="V5" s="300"/>
      <c r="W5" s="300"/>
      <c r="X5" s="300" t="s">
        <v>427</v>
      </c>
      <c r="Y5" s="300"/>
      <c r="Z5" s="342"/>
      <c r="AA5" s="342"/>
      <c r="AB5" s="342"/>
      <c r="AC5" s="342"/>
      <c r="AD5" s="342"/>
      <c r="AE5" s="342"/>
      <c r="AF5" s="342"/>
      <c r="AG5" s="342"/>
      <c r="AH5" s="342"/>
      <c r="AI5" s="342"/>
      <c r="AJ5" s="342"/>
      <c r="AK5" s="342"/>
      <c r="AL5" s="342"/>
      <c r="AM5" s="342"/>
      <c r="AN5" s="342"/>
      <c r="AO5" s="300"/>
      <c r="AP5" s="300"/>
      <c r="AQ5" s="300"/>
      <c r="AR5" s="300"/>
      <c r="AS5" s="300"/>
      <c r="AT5" s="300" t="s">
        <v>428</v>
      </c>
      <c r="AU5" s="342"/>
      <c r="AV5" s="342"/>
      <c r="AW5" s="342"/>
      <c r="AX5" s="342"/>
      <c r="AY5" s="342"/>
      <c r="AZ5" s="342"/>
      <c r="BA5" s="342"/>
      <c r="BB5" s="342"/>
      <c r="BC5" s="342"/>
      <c r="BD5" s="342"/>
      <c r="BE5" s="342"/>
      <c r="BF5" s="342"/>
      <c r="BG5" s="342"/>
      <c r="BH5" s="342"/>
      <c r="BI5" s="300"/>
      <c r="BJ5" s="300"/>
      <c r="BK5" s="300"/>
      <c r="BL5" s="300"/>
      <c r="BM5" s="300"/>
      <c r="BN5" s="300"/>
      <c r="BO5" s="300"/>
      <c r="BP5" s="342"/>
      <c r="BQ5" s="342"/>
      <c r="BR5" s="342"/>
      <c r="BS5" s="342"/>
      <c r="BT5" s="342"/>
      <c r="BU5" s="342"/>
      <c r="BV5" s="342"/>
      <c r="BW5" s="342"/>
      <c r="BX5" s="342"/>
      <c r="BY5" s="342"/>
      <c r="BZ5" s="342"/>
      <c r="CA5" s="342"/>
      <c r="CB5" s="342"/>
      <c r="CC5" s="342"/>
      <c r="CD5" s="342"/>
      <c r="CE5" s="300"/>
      <c r="CF5" s="300"/>
      <c r="CG5" s="300"/>
      <c r="CH5" s="300"/>
      <c r="CI5" s="300"/>
      <c r="CJ5" s="300" t="s">
        <v>429</v>
      </c>
      <c r="CK5" s="300"/>
      <c r="CL5" s="342"/>
      <c r="CM5" s="342"/>
      <c r="CN5" s="342"/>
      <c r="CO5" s="342"/>
      <c r="CP5" s="342"/>
      <c r="CQ5" s="342"/>
      <c r="CR5" s="342"/>
      <c r="CS5" s="342"/>
      <c r="CT5" s="342"/>
      <c r="CU5" s="342"/>
      <c r="CV5" s="342"/>
      <c r="CW5" s="342"/>
      <c r="CX5" s="342"/>
      <c r="CY5" s="342"/>
      <c r="CZ5" s="300"/>
      <c r="DA5" s="300"/>
      <c r="DB5" s="300"/>
      <c r="DC5" s="300"/>
      <c r="DD5" s="300"/>
      <c r="DE5" s="300"/>
      <c r="DF5" s="300"/>
      <c r="DG5" s="300"/>
      <c r="DH5" s="342"/>
      <c r="DI5" s="342"/>
      <c r="DJ5" s="342"/>
      <c r="DK5" s="342"/>
      <c r="DL5" s="342"/>
      <c r="DM5" s="342"/>
      <c r="DN5" s="342"/>
      <c r="DO5" s="342"/>
      <c r="DP5" s="342"/>
      <c r="DQ5" s="342"/>
      <c r="DR5" s="342"/>
      <c r="DS5" s="342"/>
      <c r="DT5" s="342"/>
      <c r="DU5" s="342"/>
      <c r="DV5" s="300"/>
      <c r="DW5" s="300"/>
      <c r="DX5" s="300"/>
      <c r="DY5" s="300"/>
      <c r="DZ5" s="300"/>
      <c r="EA5" s="300"/>
      <c r="EB5" s="300" t="s">
        <v>430</v>
      </c>
      <c r="EC5" s="300"/>
      <c r="ED5" s="300"/>
      <c r="EE5" s="300"/>
      <c r="EF5" s="300"/>
      <c r="EG5" s="300"/>
      <c r="EH5" s="300"/>
      <c r="EI5" s="300"/>
      <c r="EJ5" s="300"/>
      <c r="EK5" s="300"/>
      <c r="EL5" s="300"/>
      <c r="EM5" s="300"/>
      <c r="EN5" s="300"/>
      <c r="EO5" s="300"/>
      <c r="EP5" s="300"/>
      <c r="EQ5" s="300"/>
      <c r="ER5" s="300"/>
      <c r="ES5" s="300"/>
      <c r="ET5" s="300"/>
      <c r="EU5" s="300"/>
      <c r="EV5" s="300"/>
      <c r="EW5" s="300"/>
      <c r="EX5" s="300"/>
      <c r="EY5" s="300"/>
      <c r="EZ5" s="300"/>
      <c r="FA5" s="300"/>
      <c r="FB5" s="300"/>
      <c r="FC5" s="300"/>
      <c r="FD5" s="300"/>
      <c r="FE5" s="300"/>
      <c r="FF5" s="300"/>
      <c r="FG5" s="300"/>
      <c r="FH5" s="300"/>
      <c r="FI5" s="300"/>
      <c r="FJ5" s="300"/>
      <c r="FK5" s="300"/>
      <c r="FL5" s="300"/>
      <c r="FM5" s="300"/>
      <c r="FN5" s="300"/>
      <c r="FO5" s="300"/>
      <c r="FP5" s="300"/>
      <c r="FQ5" s="300"/>
      <c r="FR5" s="300"/>
      <c r="FS5" s="300"/>
      <c r="FT5" s="300"/>
      <c r="FU5" s="300"/>
      <c r="FV5" s="300"/>
      <c r="FW5" s="300"/>
      <c r="FX5" s="300"/>
      <c r="FY5" s="300"/>
      <c r="FZ5" s="300"/>
      <c r="GA5" s="300"/>
      <c r="GB5" s="300"/>
      <c r="GC5" s="300"/>
      <c r="GD5" s="300"/>
      <c r="GE5" s="300"/>
      <c r="GF5" s="300"/>
      <c r="GG5" s="300"/>
      <c r="GH5" s="300"/>
      <c r="GI5" s="300"/>
      <c r="GJ5" s="300"/>
      <c r="GK5" s="300"/>
      <c r="GL5" s="300"/>
      <c r="GM5" s="300"/>
      <c r="GN5" s="300"/>
      <c r="GO5" s="300"/>
      <c r="GP5" s="300"/>
      <c r="GQ5" s="300"/>
      <c r="GR5" s="300"/>
      <c r="GS5" s="300"/>
      <c r="GT5" s="300"/>
      <c r="GU5" s="300"/>
      <c r="GV5" s="300"/>
      <c r="GW5" s="300"/>
      <c r="GX5" s="300"/>
      <c r="GY5" s="300"/>
      <c r="GZ5" s="300"/>
      <c r="HA5" s="300"/>
      <c r="HB5" s="300"/>
      <c r="HC5" s="300"/>
      <c r="HD5" s="300"/>
      <c r="HE5" s="300"/>
      <c r="HF5" s="300"/>
      <c r="HG5" s="300"/>
      <c r="HH5" s="300"/>
      <c r="HI5" s="300"/>
      <c r="HJ5" s="300"/>
      <c r="HK5" s="300"/>
      <c r="HL5" s="300"/>
      <c r="HM5" s="300"/>
      <c r="HN5" s="300"/>
      <c r="HO5" s="300"/>
      <c r="HP5" s="300"/>
      <c r="HQ5" s="300"/>
      <c r="HR5" s="300"/>
      <c r="HS5" s="300"/>
      <c r="HT5" s="300"/>
      <c r="HU5" s="300"/>
      <c r="HV5" s="300"/>
      <c r="HW5" s="300"/>
      <c r="HX5" s="300"/>
      <c r="HY5" s="300"/>
      <c r="HZ5" s="300"/>
      <c r="IA5" s="300"/>
      <c r="IB5" s="300"/>
      <c r="IC5" s="300"/>
    </row>
    <row r="6" ht="12.75" customHeight="1">
      <c r="A6" s="300"/>
      <c r="B6" s="300"/>
      <c r="C6" s="300"/>
      <c r="D6" s="342"/>
      <c r="E6" s="342"/>
      <c r="F6" s="342"/>
      <c r="G6" s="342"/>
      <c r="H6" s="342"/>
      <c r="I6" s="342"/>
      <c r="J6" s="342"/>
      <c r="K6" s="342"/>
      <c r="L6" s="342"/>
      <c r="M6" s="342"/>
      <c r="N6" s="342"/>
      <c r="O6" s="342"/>
      <c r="P6" s="342"/>
      <c r="Q6" s="342"/>
      <c r="R6" s="342"/>
      <c r="S6" s="300"/>
      <c r="T6" s="300"/>
      <c r="U6" s="300"/>
      <c r="V6" s="300"/>
      <c r="W6" s="300"/>
      <c r="X6" s="300"/>
      <c r="Y6" s="300" t="s">
        <v>431</v>
      </c>
      <c r="Z6" s="342"/>
      <c r="AA6" s="342"/>
      <c r="AB6" s="342"/>
      <c r="AC6" s="342"/>
      <c r="AD6" s="342"/>
      <c r="AE6" s="342"/>
      <c r="AF6" s="342"/>
      <c r="AG6" s="342"/>
      <c r="AH6" s="342"/>
      <c r="AI6" s="342"/>
      <c r="AJ6" s="342"/>
      <c r="AK6" s="342"/>
      <c r="AL6" s="342"/>
      <c r="AM6" s="342"/>
      <c r="AN6" s="342"/>
      <c r="AO6" s="300"/>
      <c r="AP6" s="300"/>
      <c r="AQ6" s="300"/>
      <c r="AR6" s="300"/>
      <c r="AS6" s="300"/>
      <c r="AT6" s="300"/>
      <c r="AU6" s="342"/>
      <c r="AV6" s="342"/>
      <c r="AW6" s="342"/>
      <c r="AX6" s="342"/>
      <c r="AY6" s="342"/>
      <c r="AZ6" s="342"/>
      <c r="BA6" s="342"/>
      <c r="BB6" s="342"/>
      <c r="BC6" s="342"/>
      <c r="BD6" s="342"/>
      <c r="BE6" s="342"/>
      <c r="BF6" s="342"/>
      <c r="BG6" s="342"/>
      <c r="BH6" s="342"/>
      <c r="BI6" s="300"/>
      <c r="BJ6" s="300"/>
      <c r="BK6" s="300"/>
      <c r="BL6" s="300"/>
      <c r="BM6" s="300"/>
      <c r="BN6" s="300"/>
      <c r="BO6" s="300"/>
      <c r="BP6" s="342"/>
      <c r="BQ6" s="342"/>
      <c r="BR6" s="342"/>
      <c r="BS6" s="342"/>
      <c r="BT6" s="342"/>
      <c r="BU6" s="342"/>
      <c r="BV6" s="342"/>
      <c r="BW6" s="342"/>
      <c r="BX6" s="342"/>
      <c r="BY6" s="342"/>
      <c r="BZ6" s="342"/>
      <c r="CA6" s="342"/>
      <c r="CB6" s="342"/>
      <c r="CC6" s="342"/>
      <c r="CD6" s="342"/>
      <c r="CE6" s="300"/>
      <c r="CF6" s="300"/>
      <c r="CG6" s="300"/>
      <c r="CH6" s="300"/>
      <c r="CI6" s="300"/>
      <c r="CJ6" s="300"/>
      <c r="CK6" s="300"/>
      <c r="CL6" s="342"/>
      <c r="CM6" s="342"/>
      <c r="CN6" s="342"/>
      <c r="CO6" s="342"/>
      <c r="CP6" s="342"/>
      <c r="CQ6" s="342"/>
      <c r="CR6" s="342"/>
      <c r="CS6" s="342"/>
      <c r="CT6" s="342"/>
      <c r="CU6" s="342"/>
      <c r="CV6" s="342"/>
      <c r="CW6" s="342"/>
      <c r="CX6" s="342"/>
      <c r="CY6" s="342"/>
      <c r="CZ6" s="300"/>
      <c r="DA6" s="300"/>
      <c r="DB6" s="300"/>
      <c r="DC6" s="300"/>
      <c r="DD6" s="300"/>
      <c r="DE6" s="300"/>
      <c r="DF6" s="300"/>
      <c r="DG6" s="300"/>
      <c r="DH6" s="342"/>
      <c r="DI6" s="342"/>
      <c r="DJ6" s="342"/>
      <c r="DK6" s="342"/>
      <c r="DL6" s="342"/>
      <c r="DM6" s="342"/>
      <c r="DN6" s="342"/>
      <c r="DO6" s="342"/>
      <c r="DP6" s="342"/>
      <c r="DQ6" s="342"/>
      <c r="DR6" s="342"/>
      <c r="DS6" s="342"/>
      <c r="DT6" s="342"/>
      <c r="DU6" s="342"/>
      <c r="DV6" s="300"/>
      <c r="DW6" s="300"/>
      <c r="DX6" s="300"/>
      <c r="DY6" s="300"/>
      <c r="DZ6" s="300"/>
      <c r="EA6" s="300"/>
      <c r="EB6" s="300"/>
      <c r="EC6" s="300"/>
      <c r="ED6" s="300"/>
      <c r="EE6" s="300"/>
      <c r="EF6" s="300"/>
      <c r="EG6" s="300"/>
      <c r="EH6" s="300"/>
      <c r="EI6" s="300"/>
      <c r="EJ6" s="300"/>
      <c r="EK6" s="300"/>
      <c r="EL6" s="300"/>
      <c r="EM6" s="300"/>
      <c r="EN6" s="300"/>
      <c r="EO6" s="300"/>
      <c r="EP6" s="300"/>
      <c r="EQ6" s="300"/>
      <c r="ER6" s="300"/>
      <c r="ES6" s="300"/>
      <c r="ET6" s="300"/>
      <c r="EU6" s="300"/>
      <c r="EV6" s="300"/>
      <c r="EW6" s="300"/>
      <c r="EX6" s="300"/>
      <c r="EY6" s="300"/>
      <c r="EZ6" s="300"/>
      <c r="FA6" s="300"/>
      <c r="FB6" s="300"/>
      <c r="FC6" s="300"/>
      <c r="FD6" s="300"/>
      <c r="FE6" s="300"/>
      <c r="FF6" s="300"/>
      <c r="FG6" s="300"/>
      <c r="FH6" s="300"/>
      <c r="FI6" s="300"/>
      <c r="FJ6" s="300"/>
      <c r="FK6" s="300"/>
      <c r="FL6" s="300"/>
      <c r="FM6" s="300"/>
      <c r="FN6" s="300"/>
      <c r="FO6" s="300"/>
      <c r="FP6" s="300"/>
      <c r="FQ6" s="300"/>
      <c r="FR6" s="300"/>
      <c r="FS6" s="300"/>
      <c r="FT6" s="300"/>
      <c r="FU6" s="300"/>
      <c r="FV6" s="300"/>
      <c r="FW6" s="300"/>
      <c r="FX6" s="300"/>
      <c r="FY6" s="300"/>
      <c r="FZ6" s="300"/>
      <c r="GA6" s="300"/>
      <c r="GB6" s="300"/>
      <c r="GC6" s="300"/>
      <c r="GD6" s="300"/>
      <c r="GE6" s="300"/>
      <c r="GF6" s="300"/>
      <c r="GG6" s="300"/>
      <c r="GH6" s="300"/>
      <c r="GI6" s="300"/>
      <c r="GJ6" s="300"/>
      <c r="GK6" s="300"/>
      <c r="GL6" s="300"/>
      <c r="GM6" s="300"/>
      <c r="GN6" s="300"/>
      <c r="GO6" s="300"/>
      <c r="GP6" s="300"/>
      <c r="GQ6" s="300"/>
      <c r="GR6" s="300"/>
      <c r="GS6" s="300"/>
      <c r="GT6" s="300"/>
      <c r="GU6" s="300"/>
      <c r="GV6" s="300"/>
      <c r="GW6" s="300"/>
      <c r="GX6" s="300"/>
      <c r="GY6" s="300"/>
      <c r="GZ6" s="300"/>
      <c r="HA6" s="300"/>
      <c r="HB6" s="300"/>
      <c r="HC6" s="300"/>
      <c r="HD6" s="300"/>
      <c r="HE6" s="300"/>
      <c r="HF6" s="300"/>
      <c r="HG6" s="300"/>
      <c r="HH6" s="300"/>
      <c r="HI6" s="300"/>
      <c r="HJ6" s="300"/>
      <c r="HK6" s="300"/>
      <c r="HL6" s="300"/>
      <c r="HM6" s="300"/>
      <c r="HN6" s="300"/>
      <c r="HO6" s="300"/>
      <c r="HP6" s="300"/>
      <c r="HQ6" s="300"/>
      <c r="HR6" s="300"/>
      <c r="HS6" s="300"/>
      <c r="HT6" s="300"/>
      <c r="HU6" s="300"/>
      <c r="HV6" s="300"/>
      <c r="HW6" s="300"/>
      <c r="HX6" s="300"/>
      <c r="HY6" s="300"/>
      <c r="HZ6" s="300"/>
      <c r="IA6" s="300"/>
      <c r="IB6" s="300"/>
      <c r="IC6" s="300"/>
    </row>
    <row r="7" ht="12.75" customHeight="1">
      <c r="A7" s="300"/>
      <c r="B7" s="300"/>
      <c r="C7" s="300"/>
      <c r="D7" s="342"/>
      <c r="E7" s="342"/>
      <c r="F7" s="342"/>
      <c r="G7" s="342"/>
      <c r="H7" s="342"/>
      <c r="I7" s="342"/>
      <c r="J7" s="342"/>
      <c r="K7" s="342"/>
      <c r="L7" s="342"/>
      <c r="M7" s="342"/>
      <c r="N7" s="342"/>
      <c r="O7" s="342"/>
      <c r="P7" s="342"/>
      <c r="Q7" s="342"/>
      <c r="R7" s="342"/>
      <c r="S7" s="300"/>
      <c r="T7" s="300"/>
      <c r="U7" s="300"/>
      <c r="V7" s="300"/>
      <c r="W7" s="300"/>
      <c r="X7" s="300" t="s">
        <v>432</v>
      </c>
      <c r="Y7" s="300"/>
      <c r="Z7" s="342"/>
      <c r="AA7" s="342"/>
      <c r="AB7" s="342"/>
      <c r="AC7" s="342"/>
      <c r="AD7" s="342"/>
      <c r="AE7" s="342"/>
      <c r="AF7" s="342"/>
      <c r="AG7" s="342"/>
      <c r="AH7" s="342"/>
      <c r="AI7" s="342"/>
      <c r="AJ7" s="342"/>
      <c r="AK7" s="342"/>
      <c r="AL7" s="342"/>
      <c r="AM7" s="342"/>
      <c r="AN7" s="342"/>
      <c r="AO7" s="300"/>
      <c r="AP7" s="300"/>
      <c r="AQ7" s="300"/>
      <c r="AR7" s="300"/>
      <c r="AS7" s="300"/>
      <c r="AT7" s="300" t="s">
        <v>433</v>
      </c>
      <c r="AU7" s="342"/>
      <c r="AV7" s="342"/>
      <c r="AW7" s="342"/>
      <c r="AX7" s="342"/>
      <c r="AY7" s="342"/>
      <c r="AZ7" s="342"/>
      <c r="BA7" s="342"/>
      <c r="BB7" s="342"/>
      <c r="BC7" s="342"/>
      <c r="BD7" s="342"/>
      <c r="BE7" s="342"/>
      <c r="BF7" s="342"/>
      <c r="BG7" s="342"/>
      <c r="BH7" s="342"/>
      <c r="BI7" s="300"/>
      <c r="BJ7" s="300"/>
      <c r="BK7" s="300"/>
      <c r="BL7" s="300"/>
      <c r="BM7" s="300"/>
      <c r="BN7" s="300"/>
      <c r="BO7" s="300"/>
      <c r="BP7" s="342"/>
      <c r="BQ7" s="342"/>
      <c r="BR7" s="342"/>
      <c r="BS7" s="342"/>
      <c r="BT7" s="342"/>
      <c r="BU7" s="342"/>
      <c r="BV7" s="342"/>
      <c r="BW7" s="342"/>
      <c r="BX7" s="342"/>
      <c r="BY7" s="342"/>
      <c r="BZ7" s="342"/>
      <c r="CA7" s="342"/>
      <c r="CB7" s="342"/>
      <c r="CC7" s="342"/>
      <c r="CD7" s="342"/>
      <c r="CE7" s="300"/>
      <c r="CF7" s="300"/>
      <c r="CG7" s="300"/>
      <c r="CH7" s="300"/>
      <c r="CI7" s="300"/>
      <c r="CJ7" s="300"/>
      <c r="CK7" s="300"/>
      <c r="CL7" s="342"/>
      <c r="CM7" s="342"/>
      <c r="CN7" s="342"/>
      <c r="CO7" s="342"/>
      <c r="CP7" s="342"/>
      <c r="CQ7" s="342"/>
      <c r="CR7" s="342"/>
      <c r="CS7" s="342"/>
      <c r="CT7" s="342"/>
      <c r="CU7" s="342"/>
      <c r="CV7" s="342"/>
      <c r="CW7" s="342"/>
      <c r="CX7" s="342"/>
      <c r="CY7" s="342"/>
      <c r="CZ7" s="300"/>
      <c r="DA7" s="300"/>
      <c r="DB7" s="300"/>
      <c r="DC7" s="300"/>
      <c r="DD7" s="300"/>
      <c r="DE7" s="300"/>
      <c r="DF7" s="300"/>
      <c r="DG7" s="300"/>
      <c r="DH7" s="342"/>
      <c r="DI7" s="342"/>
      <c r="DJ7" s="342"/>
      <c r="DK7" s="342"/>
      <c r="DL7" s="342"/>
      <c r="DM7" s="342"/>
      <c r="DN7" s="342"/>
      <c r="DO7" s="342"/>
      <c r="DP7" s="342"/>
      <c r="DQ7" s="342"/>
      <c r="DR7" s="342"/>
      <c r="DS7" s="342"/>
      <c r="DT7" s="342"/>
      <c r="DU7" s="342"/>
      <c r="DV7" s="300"/>
      <c r="DW7" s="300"/>
      <c r="DX7" s="300"/>
      <c r="DY7" s="300"/>
      <c r="DZ7" s="300"/>
      <c r="EA7" s="300"/>
      <c r="EB7" s="300" t="s">
        <v>434</v>
      </c>
      <c r="EC7" s="300"/>
      <c r="ED7" s="300"/>
      <c r="EE7" s="300"/>
      <c r="EF7" s="300"/>
      <c r="EG7" s="300"/>
      <c r="EH7" s="300"/>
      <c r="EI7" s="300"/>
      <c r="EJ7" s="300"/>
      <c r="EK7" s="300"/>
      <c r="EL7" s="300"/>
      <c r="EM7" s="300"/>
      <c r="EN7" s="300"/>
      <c r="EO7" s="300"/>
      <c r="EP7" s="300"/>
      <c r="EQ7" s="300"/>
      <c r="ER7" s="300"/>
      <c r="ES7" s="300"/>
      <c r="ET7" s="300"/>
      <c r="EU7" s="300"/>
      <c r="EV7" s="300"/>
      <c r="EW7" s="300"/>
      <c r="EX7" s="300"/>
      <c r="EY7" s="300"/>
      <c r="EZ7" s="300"/>
      <c r="FA7" s="300"/>
      <c r="FB7" s="300"/>
      <c r="FC7" s="300"/>
      <c r="FD7" s="300"/>
      <c r="FE7" s="300"/>
      <c r="FF7" s="300"/>
      <c r="FG7" s="300"/>
      <c r="FH7" s="300"/>
      <c r="FI7" s="300"/>
      <c r="FJ7" s="300"/>
      <c r="FK7" s="300"/>
      <c r="FL7" s="300"/>
      <c r="FM7" s="300"/>
      <c r="FN7" s="300"/>
      <c r="FO7" s="300"/>
      <c r="FP7" s="300"/>
      <c r="FQ7" s="300"/>
      <c r="FR7" s="300"/>
      <c r="FS7" s="300"/>
      <c r="FT7" s="300"/>
      <c r="FU7" s="300"/>
      <c r="FV7" s="300"/>
      <c r="FW7" s="300"/>
      <c r="FX7" s="300"/>
      <c r="FY7" s="300"/>
      <c r="FZ7" s="300"/>
      <c r="GA7" s="300"/>
      <c r="GB7" s="300"/>
      <c r="GC7" s="300"/>
      <c r="GD7" s="300"/>
      <c r="GE7" s="300"/>
      <c r="GF7" s="300"/>
      <c r="GG7" s="300"/>
      <c r="GH7" s="300"/>
      <c r="GI7" s="300"/>
      <c r="GJ7" s="300"/>
      <c r="GK7" s="300"/>
      <c r="GL7" s="300"/>
      <c r="GM7" s="300"/>
      <c r="GN7" s="300"/>
      <c r="GO7" s="300"/>
      <c r="GP7" s="300"/>
      <c r="GQ7" s="300"/>
      <c r="GR7" s="300"/>
      <c r="GS7" s="300"/>
      <c r="GT7" s="300"/>
      <c r="GU7" s="300"/>
      <c r="GV7" s="300"/>
      <c r="GW7" s="300"/>
      <c r="GX7" s="300"/>
      <c r="GY7" s="300"/>
      <c r="GZ7" s="300"/>
      <c r="HA7" s="300"/>
      <c r="HB7" s="300"/>
      <c r="HC7" s="300"/>
      <c r="HD7" s="300"/>
      <c r="HE7" s="300"/>
      <c r="HF7" s="300"/>
      <c r="HG7" s="300"/>
      <c r="HH7" s="300"/>
      <c r="HI7" s="300"/>
      <c r="HJ7" s="300"/>
      <c r="HK7" s="300"/>
      <c r="HL7" s="300"/>
      <c r="HM7" s="300"/>
      <c r="HN7" s="300"/>
      <c r="HO7" s="300"/>
      <c r="HP7" s="300"/>
      <c r="HQ7" s="300"/>
      <c r="HR7" s="300"/>
      <c r="HS7" s="300"/>
      <c r="HT7" s="300"/>
      <c r="HU7" s="300"/>
      <c r="HV7" s="300"/>
      <c r="HW7" s="300"/>
      <c r="HX7" s="300"/>
      <c r="HY7" s="300"/>
      <c r="HZ7" s="300"/>
      <c r="IA7" s="300"/>
      <c r="IB7" s="300"/>
      <c r="IC7" s="300"/>
    </row>
    <row r="8" ht="12.75" customHeight="1">
      <c r="A8" s="300"/>
      <c r="B8" s="300"/>
      <c r="C8" s="300"/>
      <c r="D8" s="342"/>
      <c r="E8" s="342"/>
      <c r="F8" s="342"/>
      <c r="G8" s="342"/>
      <c r="H8" s="342"/>
      <c r="I8" s="342"/>
      <c r="J8" s="342"/>
      <c r="K8" s="342"/>
      <c r="L8" s="342"/>
      <c r="M8" s="342"/>
      <c r="N8" s="342"/>
      <c r="O8" s="342"/>
      <c r="P8" s="342"/>
      <c r="Q8" s="342"/>
      <c r="R8" s="342"/>
      <c r="S8" s="300"/>
      <c r="T8" s="300"/>
      <c r="U8" s="300"/>
      <c r="V8" s="300"/>
      <c r="W8" s="300"/>
      <c r="X8" s="300"/>
      <c r="Y8" s="300" t="s">
        <v>435</v>
      </c>
      <c r="Z8" s="342"/>
      <c r="AA8" s="342"/>
      <c r="AB8" s="342"/>
      <c r="AC8" s="342"/>
      <c r="AD8" s="342"/>
      <c r="AE8" s="342"/>
      <c r="AF8" s="342"/>
      <c r="AG8" s="342"/>
      <c r="AH8" s="342"/>
      <c r="AI8" s="342"/>
      <c r="AJ8" s="342"/>
      <c r="AK8" s="342"/>
      <c r="AL8" s="342"/>
      <c r="AM8" s="342"/>
      <c r="AN8" s="342"/>
      <c r="AO8" s="300"/>
      <c r="AP8" s="300"/>
      <c r="AQ8" s="300"/>
      <c r="AR8" s="300"/>
      <c r="AS8" s="300"/>
      <c r="AT8" s="300"/>
      <c r="AU8" s="342"/>
      <c r="AV8" s="342"/>
      <c r="AW8" s="342"/>
      <c r="AX8" s="342"/>
      <c r="AY8" s="342"/>
      <c r="AZ8" s="342"/>
      <c r="BA8" s="342"/>
      <c r="BB8" s="342"/>
      <c r="BC8" s="342"/>
      <c r="BD8" s="342"/>
      <c r="BE8" s="342"/>
      <c r="BF8" s="342"/>
      <c r="BG8" s="342"/>
      <c r="BH8" s="342"/>
      <c r="BI8" s="300"/>
      <c r="BJ8" s="300"/>
      <c r="BK8" s="300"/>
      <c r="BL8" s="300"/>
      <c r="BM8" s="300"/>
      <c r="BN8" s="300"/>
      <c r="BO8" s="300"/>
      <c r="BP8" s="342"/>
      <c r="BQ8" s="342"/>
      <c r="BR8" s="342"/>
      <c r="BS8" s="342"/>
      <c r="BT8" s="342"/>
      <c r="BU8" s="342"/>
      <c r="BV8" s="342"/>
      <c r="BW8" s="342"/>
      <c r="BX8" s="342"/>
      <c r="BY8" s="342"/>
      <c r="BZ8" s="342"/>
      <c r="CA8" s="342"/>
      <c r="CB8" s="342"/>
      <c r="CC8" s="342"/>
      <c r="CD8" s="342"/>
      <c r="CE8" s="300"/>
      <c r="CF8" s="300"/>
      <c r="CG8" s="300"/>
      <c r="CH8" s="300"/>
      <c r="CI8" s="300"/>
      <c r="CJ8" s="300"/>
      <c r="CK8" s="300"/>
      <c r="CL8" s="342"/>
      <c r="CM8" s="342"/>
      <c r="CN8" s="342"/>
      <c r="CO8" s="342"/>
      <c r="CP8" s="342"/>
      <c r="CQ8" s="342"/>
      <c r="CR8" s="342"/>
      <c r="CS8" s="342"/>
      <c r="CT8" s="342"/>
      <c r="CU8" s="342"/>
      <c r="CV8" s="342"/>
      <c r="CW8" s="342"/>
      <c r="CX8" s="342"/>
      <c r="CY8" s="342"/>
      <c r="CZ8" s="300"/>
      <c r="DA8" s="300"/>
      <c r="DB8" s="300"/>
      <c r="DC8" s="300"/>
      <c r="DD8" s="300"/>
      <c r="DE8" s="300"/>
      <c r="DF8" s="300"/>
      <c r="DG8" s="300"/>
      <c r="DH8" s="342"/>
      <c r="DI8" s="342"/>
      <c r="DJ8" s="342"/>
      <c r="DK8" s="342"/>
      <c r="DL8" s="342"/>
      <c r="DM8" s="342"/>
      <c r="DN8" s="342"/>
      <c r="DO8" s="342"/>
      <c r="DP8" s="342"/>
      <c r="DQ8" s="342"/>
      <c r="DR8" s="342"/>
      <c r="DS8" s="342"/>
      <c r="DT8" s="342"/>
      <c r="DU8" s="342"/>
      <c r="DV8" s="300"/>
      <c r="DW8" s="300"/>
      <c r="DX8" s="300"/>
      <c r="DY8" s="300"/>
      <c r="DZ8" s="300"/>
      <c r="EA8" s="300"/>
      <c r="EB8" s="300"/>
      <c r="EC8" s="300"/>
      <c r="ED8" s="300"/>
      <c r="EE8" s="300"/>
      <c r="EF8" s="300"/>
      <c r="EG8" s="300"/>
      <c r="EH8" s="300"/>
      <c r="EI8" s="300"/>
      <c r="EJ8" s="300"/>
      <c r="EK8" s="300"/>
      <c r="EL8" s="300"/>
      <c r="EM8" s="300"/>
      <c r="EN8" s="300"/>
      <c r="EO8" s="300"/>
      <c r="EP8" s="300"/>
      <c r="EQ8" s="300"/>
      <c r="ER8" s="300"/>
      <c r="ES8" s="300"/>
      <c r="ET8" s="300"/>
      <c r="EU8" s="300"/>
      <c r="EV8" s="300"/>
      <c r="EW8" s="300"/>
      <c r="EX8" s="300"/>
      <c r="EY8" s="300"/>
      <c r="EZ8" s="300"/>
      <c r="FA8" s="300"/>
      <c r="FB8" s="300"/>
      <c r="FC8" s="300"/>
      <c r="FD8" s="300"/>
      <c r="FE8" s="300"/>
      <c r="FF8" s="300"/>
      <c r="FG8" s="300"/>
      <c r="FH8" s="300"/>
      <c r="FI8" s="300"/>
      <c r="FJ8" s="300"/>
      <c r="FK8" s="300"/>
      <c r="FL8" s="300"/>
      <c r="FM8" s="300"/>
      <c r="FN8" s="300"/>
      <c r="FO8" s="300"/>
      <c r="FP8" s="300"/>
      <c r="FQ8" s="300"/>
      <c r="FR8" s="300"/>
      <c r="FS8" s="300"/>
      <c r="FT8" s="300"/>
      <c r="FU8" s="300"/>
      <c r="FV8" s="300"/>
      <c r="FW8" s="300"/>
      <c r="FX8" s="300"/>
      <c r="FY8" s="300"/>
      <c r="FZ8" s="300"/>
      <c r="GA8" s="300"/>
      <c r="GB8" s="300"/>
      <c r="GC8" s="300"/>
      <c r="GD8" s="300"/>
      <c r="GE8" s="300"/>
      <c r="GF8" s="300"/>
      <c r="GG8" s="300"/>
      <c r="GH8" s="300"/>
      <c r="GI8" s="300"/>
      <c r="GJ8" s="300"/>
      <c r="GK8" s="300"/>
      <c r="GL8" s="300"/>
      <c r="GM8" s="300"/>
      <c r="GN8" s="300"/>
      <c r="GO8" s="300"/>
      <c r="GP8" s="300"/>
      <c r="GQ8" s="300"/>
      <c r="GR8" s="300"/>
      <c r="GS8" s="300"/>
      <c r="GT8" s="300"/>
      <c r="GU8" s="300"/>
      <c r="GV8" s="300"/>
      <c r="GW8" s="300"/>
      <c r="GX8" s="300"/>
      <c r="GY8" s="300"/>
      <c r="GZ8" s="300"/>
      <c r="HA8" s="300"/>
      <c r="HB8" s="300"/>
      <c r="HC8" s="300"/>
      <c r="HD8" s="300"/>
      <c r="HE8" s="300"/>
      <c r="HF8" s="300"/>
      <c r="HG8" s="300"/>
      <c r="HH8" s="300"/>
      <c r="HI8" s="300"/>
      <c r="HJ8" s="300"/>
      <c r="HK8" s="300"/>
      <c r="HL8" s="300"/>
      <c r="HM8" s="300"/>
      <c r="HN8" s="300"/>
      <c r="HO8" s="300"/>
      <c r="HP8" s="300"/>
      <c r="HQ8" s="300"/>
      <c r="HR8" s="300"/>
      <c r="HS8" s="300"/>
      <c r="HT8" s="300"/>
      <c r="HU8" s="300"/>
      <c r="HV8" s="300"/>
      <c r="HW8" s="300"/>
      <c r="HX8" s="300"/>
      <c r="HY8" s="300"/>
      <c r="HZ8" s="300"/>
      <c r="IA8" s="300"/>
      <c r="IB8" s="300"/>
      <c r="IC8" s="300"/>
    </row>
    <row r="9" ht="12.75" customHeight="1">
      <c r="A9" s="300"/>
      <c r="B9" s="300"/>
      <c r="C9" s="300"/>
      <c r="D9" s="342"/>
      <c r="E9" s="342"/>
      <c r="F9" s="342"/>
      <c r="G9" s="342"/>
      <c r="H9" s="342"/>
      <c r="I9" s="342"/>
      <c r="J9" s="342"/>
      <c r="K9" s="342"/>
      <c r="L9" s="342"/>
      <c r="M9" s="342"/>
      <c r="N9" s="342"/>
      <c r="O9" s="342"/>
      <c r="P9" s="342"/>
      <c r="Q9" s="342"/>
      <c r="R9" s="342"/>
      <c r="S9" s="300"/>
      <c r="T9" s="300"/>
      <c r="U9" s="300"/>
      <c r="V9" s="300"/>
      <c r="W9" s="300"/>
      <c r="X9" s="300" t="s">
        <v>436</v>
      </c>
      <c r="Y9" s="300"/>
      <c r="Z9" s="342"/>
      <c r="AA9" s="342"/>
      <c r="AB9" s="342"/>
      <c r="AC9" s="342"/>
      <c r="AD9" s="342"/>
      <c r="AE9" s="342"/>
      <c r="AF9" s="342"/>
      <c r="AG9" s="342"/>
      <c r="AH9" s="342"/>
      <c r="AI9" s="342"/>
      <c r="AJ9" s="342"/>
      <c r="AK9" s="342"/>
      <c r="AL9" s="342"/>
      <c r="AM9" s="342"/>
      <c r="AN9" s="342"/>
      <c r="AO9" s="300"/>
      <c r="AP9" s="300"/>
      <c r="AQ9" s="300"/>
      <c r="AR9" s="300"/>
      <c r="AS9" s="300"/>
      <c r="AT9" s="300"/>
      <c r="AU9" s="342"/>
      <c r="AV9" s="342"/>
      <c r="AW9" s="342"/>
      <c r="AX9" s="342"/>
      <c r="AY9" s="342"/>
      <c r="AZ9" s="342"/>
      <c r="BA9" s="342"/>
      <c r="BB9" s="342"/>
      <c r="BC9" s="342"/>
      <c r="BD9" s="342"/>
      <c r="BE9" s="342"/>
      <c r="BF9" s="342"/>
      <c r="BG9" s="342"/>
      <c r="BH9" s="342"/>
      <c r="BI9" s="300"/>
      <c r="BJ9" s="300"/>
      <c r="BK9" s="300"/>
      <c r="BL9" s="300"/>
      <c r="BM9" s="300"/>
      <c r="BN9" s="300"/>
      <c r="BO9" s="300"/>
      <c r="BP9" s="342"/>
      <c r="BQ9" s="342"/>
      <c r="BR9" s="342"/>
      <c r="BS9" s="342"/>
      <c r="BT9" s="342"/>
      <c r="BU9" s="342"/>
      <c r="BV9" s="342"/>
      <c r="BW9" s="342"/>
      <c r="BX9" s="342"/>
      <c r="BY9" s="342"/>
      <c r="BZ9" s="342"/>
      <c r="CA9" s="342"/>
      <c r="CB9" s="342"/>
      <c r="CC9" s="342"/>
      <c r="CD9" s="342"/>
      <c r="CE9" s="300"/>
      <c r="CF9" s="300"/>
      <c r="CG9" s="300"/>
      <c r="CH9" s="300"/>
      <c r="CI9" s="300"/>
      <c r="CJ9" s="300"/>
      <c r="CK9" s="300"/>
      <c r="CL9" s="342"/>
      <c r="CM9" s="342"/>
      <c r="CN9" s="342"/>
      <c r="CO9" s="342"/>
      <c r="CP9" s="342"/>
      <c r="CQ9" s="342"/>
      <c r="CR9" s="342"/>
      <c r="CS9" s="342"/>
      <c r="CT9" s="342"/>
      <c r="CU9" s="342"/>
      <c r="CV9" s="342"/>
      <c r="CW9" s="342"/>
      <c r="CX9" s="342"/>
      <c r="CY9" s="342"/>
      <c r="CZ9" s="300"/>
      <c r="DA9" s="300"/>
      <c r="DB9" s="300"/>
      <c r="DC9" s="300"/>
      <c r="DD9" s="300"/>
      <c r="DE9" s="300"/>
      <c r="DF9" s="300"/>
      <c r="DG9" s="300"/>
      <c r="DH9" s="342"/>
      <c r="DI9" s="342"/>
      <c r="DJ9" s="342"/>
      <c r="DK9" s="342"/>
      <c r="DL9" s="342"/>
      <c r="DM9" s="342"/>
      <c r="DN9" s="342"/>
      <c r="DO9" s="342"/>
      <c r="DP9" s="342"/>
      <c r="DQ9" s="342"/>
      <c r="DR9" s="342"/>
      <c r="DS9" s="342"/>
      <c r="DT9" s="342"/>
      <c r="DU9" s="342"/>
      <c r="DV9" s="300"/>
      <c r="DW9" s="300"/>
      <c r="DX9" s="300"/>
      <c r="DY9" s="300"/>
      <c r="DZ9" s="300"/>
      <c r="EA9" s="300"/>
      <c r="EB9" s="300" t="s">
        <v>438</v>
      </c>
      <c r="EC9" s="300"/>
      <c r="ED9" s="300"/>
      <c r="EE9" s="300"/>
      <c r="EF9" s="300"/>
      <c r="EG9" s="300"/>
      <c r="EH9" s="300"/>
      <c r="EI9" s="300"/>
      <c r="EJ9" s="300"/>
      <c r="EK9" s="300"/>
      <c r="EL9" s="300"/>
      <c r="EM9" s="300"/>
      <c r="EN9" s="300"/>
      <c r="EO9" s="300"/>
      <c r="EP9" s="300"/>
      <c r="EQ9" s="300"/>
      <c r="ER9" s="300"/>
      <c r="ES9" s="300"/>
      <c r="ET9" s="300"/>
      <c r="EU9" s="300"/>
      <c r="EV9" s="300"/>
      <c r="EW9" s="300"/>
      <c r="EX9" s="300"/>
      <c r="EY9" s="300"/>
      <c r="EZ9" s="300"/>
      <c r="FA9" s="300"/>
      <c r="FB9" s="300"/>
      <c r="FC9" s="300"/>
      <c r="FD9" s="300"/>
      <c r="FE9" s="300"/>
      <c r="FF9" s="300"/>
      <c r="FG9" s="300"/>
      <c r="FH9" s="300"/>
      <c r="FI9" s="300"/>
      <c r="FJ9" s="300"/>
      <c r="FK9" s="300"/>
      <c r="FL9" s="300"/>
      <c r="FM9" s="300"/>
      <c r="FN9" s="300"/>
      <c r="FO9" s="300"/>
      <c r="FP9" s="300"/>
      <c r="FQ9" s="300"/>
      <c r="FR9" s="300"/>
      <c r="FS9" s="300"/>
      <c r="FT9" s="300"/>
      <c r="FU9" s="300"/>
      <c r="FV9" s="300"/>
      <c r="FW9" s="300"/>
      <c r="FX9" s="300"/>
      <c r="FY9" s="300"/>
      <c r="FZ9" s="300"/>
      <c r="GA9" s="300"/>
      <c r="GB9" s="300"/>
      <c r="GC9" s="300"/>
      <c r="GD9" s="300"/>
      <c r="GE9" s="300"/>
      <c r="GF9" s="300"/>
      <c r="GG9" s="300"/>
      <c r="GH9" s="300"/>
      <c r="GI9" s="300"/>
      <c r="GJ9" s="300"/>
      <c r="GK9" s="300"/>
      <c r="GL9" s="300"/>
      <c r="GM9" s="300"/>
      <c r="GN9" s="300"/>
      <c r="GO9" s="300"/>
      <c r="GP9" s="300"/>
      <c r="GQ9" s="300"/>
      <c r="GR9" s="300"/>
      <c r="GS9" s="300"/>
      <c r="GT9" s="300"/>
      <c r="GU9" s="300"/>
      <c r="GV9" s="300"/>
      <c r="GW9" s="300"/>
      <c r="GX9" s="300"/>
      <c r="GY9" s="300"/>
      <c r="GZ9" s="300"/>
      <c r="HA9" s="300"/>
      <c r="HB9" s="300"/>
      <c r="HC9" s="300"/>
      <c r="HD9" s="300"/>
      <c r="HE9" s="300"/>
      <c r="HF9" s="300"/>
      <c r="HG9" s="300"/>
      <c r="HH9" s="300"/>
      <c r="HI9" s="300"/>
      <c r="HJ9" s="300"/>
      <c r="HK9" s="300"/>
      <c r="HL9" s="300"/>
      <c r="HM9" s="300"/>
      <c r="HN9" s="300"/>
      <c r="HO9" s="300"/>
      <c r="HP9" s="300"/>
      <c r="HQ9" s="300"/>
      <c r="HR9" s="300"/>
      <c r="HS9" s="300"/>
      <c r="HT9" s="300"/>
      <c r="HU9" s="300"/>
      <c r="HV9" s="300"/>
      <c r="HW9" s="300"/>
      <c r="HX9" s="300"/>
      <c r="HY9" s="300"/>
      <c r="HZ9" s="300"/>
      <c r="IA9" s="300"/>
      <c r="IB9" s="300"/>
      <c r="IC9" s="300"/>
    </row>
    <row r="10" ht="12.75" customHeight="1">
      <c r="A10" s="300"/>
      <c r="B10" s="300"/>
      <c r="C10" s="300"/>
      <c r="D10" s="342"/>
      <c r="E10" s="342"/>
      <c r="F10" s="342"/>
      <c r="G10" s="342"/>
      <c r="H10" s="342"/>
      <c r="I10" s="342"/>
      <c r="J10" s="342"/>
      <c r="K10" s="342"/>
      <c r="L10" s="342"/>
      <c r="M10" s="342"/>
      <c r="N10" s="342"/>
      <c r="O10" s="342"/>
      <c r="P10" s="342"/>
      <c r="Q10" s="342"/>
      <c r="R10" s="342"/>
      <c r="S10" s="300"/>
      <c r="T10" s="300"/>
      <c r="U10" s="300"/>
      <c r="V10" s="300"/>
      <c r="W10" s="300"/>
      <c r="X10" s="300" t="s">
        <v>440</v>
      </c>
      <c r="Y10" s="300"/>
      <c r="Z10" s="342"/>
      <c r="AA10" s="342"/>
      <c r="AB10" s="342"/>
      <c r="AC10" s="342"/>
      <c r="AD10" s="342"/>
      <c r="AE10" s="342"/>
      <c r="AF10" s="342"/>
      <c r="AG10" s="342"/>
      <c r="AH10" s="342"/>
      <c r="AI10" s="342"/>
      <c r="AJ10" s="342"/>
      <c r="AK10" s="342"/>
      <c r="AL10" s="342"/>
      <c r="AM10" s="342"/>
      <c r="AN10" s="342"/>
      <c r="AO10" s="300"/>
      <c r="AP10" s="300"/>
      <c r="AQ10" s="300"/>
      <c r="AR10" s="300"/>
      <c r="AS10" s="300"/>
      <c r="AT10" s="300"/>
      <c r="AU10" s="342"/>
      <c r="AV10" s="342"/>
      <c r="AW10" s="342"/>
      <c r="AX10" s="342"/>
      <c r="AY10" s="342"/>
      <c r="AZ10" s="342"/>
      <c r="BA10" s="342"/>
      <c r="BB10" s="342"/>
      <c r="BC10" s="342"/>
      <c r="BD10" s="342"/>
      <c r="BE10" s="342"/>
      <c r="BF10" s="342"/>
      <c r="BG10" s="342"/>
      <c r="BH10" s="342"/>
      <c r="BI10" s="300"/>
      <c r="BJ10" s="300"/>
      <c r="BK10" s="300"/>
      <c r="BL10" s="300"/>
      <c r="BM10" s="300"/>
      <c r="BN10" s="376" t="s">
        <v>441</v>
      </c>
      <c r="BO10" s="378"/>
      <c r="BP10" s="378"/>
      <c r="BQ10" s="378"/>
      <c r="BR10" s="378"/>
      <c r="BS10" s="378"/>
      <c r="BT10" s="378"/>
      <c r="BU10" s="378"/>
      <c r="BV10" s="378"/>
      <c r="BW10" s="378"/>
      <c r="BX10" s="378"/>
      <c r="BY10" s="378"/>
      <c r="BZ10" s="378"/>
      <c r="CA10" s="378"/>
      <c r="CB10" s="378"/>
      <c r="CC10" s="378"/>
      <c r="CD10" s="378"/>
      <c r="CE10" s="380"/>
      <c r="CF10" s="300"/>
      <c r="CG10" s="300"/>
      <c r="CH10" s="300"/>
      <c r="CI10" s="300"/>
      <c r="CJ10" s="300"/>
      <c r="CK10" s="300"/>
      <c r="CL10" s="342"/>
      <c r="CM10" s="342"/>
      <c r="CN10" s="342"/>
      <c r="CO10" s="342"/>
      <c r="CP10" s="342"/>
      <c r="CQ10" s="342"/>
      <c r="CR10" s="342"/>
      <c r="CS10" s="342"/>
      <c r="CT10" s="342"/>
      <c r="CU10" s="342"/>
      <c r="CV10" s="342"/>
      <c r="CW10" s="342"/>
      <c r="CX10" s="342"/>
      <c r="CY10" s="342"/>
      <c r="CZ10" s="300"/>
      <c r="DA10" s="300"/>
      <c r="DB10" s="300"/>
      <c r="DC10" s="300"/>
      <c r="DD10" s="300"/>
      <c r="DE10" s="300"/>
      <c r="DF10" s="300"/>
      <c r="DG10" s="300"/>
      <c r="DH10" s="342"/>
      <c r="DI10" s="342"/>
      <c r="DJ10" s="342"/>
      <c r="DK10" s="342"/>
      <c r="DL10" s="342"/>
      <c r="DM10" s="342"/>
      <c r="DN10" s="342"/>
      <c r="DO10" s="342"/>
      <c r="DP10" s="342"/>
      <c r="DQ10" s="342"/>
      <c r="DR10" s="342"/>
      <c r="DS10" s="342"/>
      <c r="DT10" s="342"/>
      <c r="DU10" s="342"/>
      <c r="DV10" s="300"/>
      <c r="DW10" s="300"/>
      <c r="DX10" s="300"/>
      <c r="DY10" s="300"/>
      <c r="DZ10" s="300"/>
      <c r="EA10" s="300"/>
      <c r="EB10" s="300" t="s">
        <v>442</v>
      </c>
      <c r="EC10" s="300"/>
      <c r="ED10" s="300"/>
      <c r="EE10" s="300"/>
      <c r="EF10" s="300"/>
      <c r="EG10" s="300"/>
      <c r="EH10" s="300"/>
      <c r="EI10" s="300"/>
      <c r="EJ10" s="300"/>
      <c r="EK10" s="300"/>
      <c r="EL10" s="300"/>
      <c r="EM10" s="300"/>
      <c r="EN10" s="300"/>
      <c r="EO10" s="300"/>
      <c r="EP10" s="300"/>
      <c r="EQ10" s="300"/>
      <c r="ER10" s="300"/>
      <c r="ES10" s="300"/>
      <c r="ET10" s="300"/>
      <c r="EU10" s="300"/>
      <c r="EV10" s="300"/>
      <c r="EW10" s="300"/>
      <c r="EX10" s="300"/>
      <c r="EY10" s="300"/>
      <c r="EZ10" s="300"/>
      <c r="FA10" s="300"/>
      <c r="FB10" s="300"/>
      <c r="FC10" s="300"/>
      <c r="FD10" s="300"/>
      <c r="FE10" s="300"/>
      <c r="FF10" s="300"/>
      <c r="FG10" s="300"/>
      <c r="FH10" s="300"/>
      <c r="FI10" s="300"/>
      <c r="FJ10" s="300"/>
      <c r="FK10" s="300"/>
      <c r="FL10" s="300"/>
      <c r="FM10" s="300"/>
      <c r="FN10" s="300"/>
      <c r="FO10" s="300"/>
      <c r="FP10" s="300"/>
      <c r="FQ10" s="300"/>
      <c r="FR10" s="300"/>
      <c r="FS10" s="300"/>
      <c r="FT10" s="300"/>
      <c r="FU10" s="300"/>
      <c r="FV10" s="300"/>
      <c r="FW10" s="300"/>
      <c r="FX10" s="300"/>
      <c r="FY10" s="300"/>
      <c r="FZ10" s="300"/>
      <c r="GA10" s="300"/>
      <c r="GB10" s="300"/>
      <c r="GC10" s="300"/>
      <c r="GD10" s="300"/>
      <c r="GE10" s="300"/>
      <c r="GF10" s="300"/>
      <c r="GG10" s="300"/>
      <c r="GH10" s="300"/>
      <c r="GI10" s="300"/>
      <c r="GJ10" s="300"/>
      <c r="GK10" s="300"/>
      <c r="GL10" s="300"/>
      <c r="GM10" s="300"/>
      <c r="GN10" s="300"/>
      <c r="GO10" s="300"/>
      <c r="GP10" s="300"/>
      <c r="GQ10" s="300"/>
      <c r="GR10" s="300"/>
      <c r="GS10" s="300"/>
      <c r="GT10" s="300"/>
      <c r="GU10" s="300"/>
      <c r="GV10" s="300"/>
      <c r="GW10" s="300"/>
      <c r="GX10" s="300"/>
      <c r="GY10" s="300"/>
      <c r="GZ10" s="300"/>
      <c r="HA10" s="300"/>
      <c r="HB10" s="300"/>
      <c r="HC10" s="300"/>
      <c r="HD10" s="300"/>
      <c r="HE10" s="300"/>
      <c r="HF10" s="300"/>
      <c r="HG10" s="300"/>
      <c r="HH10" s="300"/>
      <c r="HI10" s="300"/>
      <c r="HJ10" s="300"/>
      <c r="HK10" s="300"/>
      <c r="HL10" s="300"/>
      <c r="HM10" s="300"/>
      <c r="HN10" s="300"/>
      <c r="HO10" s="300"/>
      <c r="HP10" s="300"/>
      <c r="HQ10" s="300"/>
      <c r="HR10" s="300"/>
      <c r="HS10" s="300"/>
      <c r="HT10" s="300"/>
      <c r="HU10" s="300"/>
      <c r="HV10" s="300"/>
      <c r="HW10" s="300"/>
      <c r="HX10" s="300"/>
      <c r="HY10" s="300"/>
      <c r="HZ10" s="300"/>
      <c r="IA10" s="300"/>
      <c r="IB10" s="300"/>
      <c r="IC10" s="300"/>
    </row>
    <row r="11" ht="12.75" customHeight="1">
      <c r="A11" s="300"/>
      <c r="B11" s="300"/>
      <c r="C11" s="300"/>
      <c r="D11" s="342"/>
      <c r="E11" s="342"/>
      <c r="F11" s="342"/>
      <c r="G11" s="342"/>
      <c r="H11" s="342"/>
      <c r="I11" s="342"/>
      <c r="J11" s="342"/>
      <c r="K11" s="342"/>
      <c r="L11" s="342"/>
      <c r="M11" s="342"/>
      <c r="N11" s="342"/>
      <c r="O11" s="342"/>
      <c r="P11" s="342"/>
      <c r="Q11" s="342"/>
      <c r="R11" s="342"/>
      <c r="S11" s="300"/>
      <c r="T11" s="300"/>
      <c r="U11" s="300"/>
      <c r="V11" s="300"/>
      <c r="W11" s="300"/>
      <c r="X11" s="300"/>
      <c r="Y11" s="300"/>
      <c r="Z11" s="342"/>
      <c r="AA11" s="342"/>
      <c r="AB11" s="342"/>
      <c r="AC11" s="342"/>
      <c r="AD11" s="342"/>
      <c r="AE11" s="342"/>
      <c r="AF11" s="342"/>
      <c r="AG11" s="342"/>
      <c r="AH11" s="342"/>
      <c r="AI11" s="342"/>
      <c r="AJ11" s="342"/>
      <c r="AK11" s="342"/>
      <c r="AL11" s="342"/>
      <c r="AM11" s="342"/>
      <c r="AN11" s="342"/>
      <c r="AO11" s="300"/>
      <c r="AP11" s="300"/>
      <c r="AQ11" s="300"/>
      <c r="AR11" s="300"/>
      <c r="AS11" s="300"/>
      <c r="AT11" s="300"/>
      <c r="AU11" s="342"/>
      <c r="AV11" s="342"/>
      <c r="AW11" s="342"/>
      <c r="AX11" s="342"/>
      <c r="AY11" s="342"/>
      <c r="AZ11" s="342"/>
      <c r="BA11" s="342"/>
      <c r="BB11" s="342"/>
      <c r="BC11" s="342"/>
      <c r="BD11" s="342"/>
      <c r="BE11" s="342"/>
      <c r="BF11" s="342"/>
      <c r="BG11" s="342"/>
      <c r="BH11" s="342"/>
      <c r="BI11" s="300"/>
      <c r="BJ11" s="300"/>
      <c r="BK11" s="300"/>
      <c r="BL11" s="300"/>
      <c r="BM11" s="300"/>
      <c r="BN11" s="385"/>
      <c r="BO11" s="387"/>
      <c r="BP11" s="387"/>
      <c r="BQ11" s="387"/>
      <c r="BR11" s="387"/>
      <c r="BS11" s="387"/>
      <c r="BT11" s="387"/>
      <c r="BU11" s="387"/>
      <c r="BV11" s="387"/>
      <c r="BW11" s="387"/>
      <c r="BX11" s="387"/>
      <c r="BY11" s="387"/>
      <c r="BZ11" s="387"/>
      <c r="CA11" s="387"/>
      <c r="CB11" s="387"/>
      <c r="CC11" s="387"/>
      <c r="CD11" s="387"/>
      <c r="CE11" s="389"/>
      <c r="CF11" s="300"/>
      <c r="CG11" s="300"/>
      <c r="CH11" s="300"/>
      <c r="CI11" s="300"/>
      <c r="CJ11" s="300"/>
      <c r="CK11" s="300"/>
      <c r="CL11" s="342"/>
      <c r="CM11" s="342"/>
      <c r="CN11" s="342"/>
      <c r="CO11" s="342"/>
      <c r="CP11" s="342"/>
      <c r="CQ11" s="342"/>
      <c r="CR11" s="342"/>
      <c r="CS11" s="342"/>
      <c r="CT11" s="342"/>
      <c r="CU11" s="342"/>
      <c r="CV11" s="342"/>
      <c r="CW11" s="342"/>
      <c r="CX11" s="342"/>
      <c r="CY11" s="342"/>
      <c r="CZ11" s="300"/>
      <c r="DA11" s="300"/>
      <c r="DB11" s="300"/>
      <c r="DC11" s="300"/>
      <c r="DD11" s="300"/>
      <c r="DE11" s="300"/>
      <c r="DF11" s="300"/>
      <c r="DG11" s="300"/>
      <c r="DH11" s="342"/>
      <c r="DI11" s="342"/>
      <c r="DJ11" s="342"/>
      <c r="DK11" s="342"/>
      <c r="DL11" s="342"/>
      <c r="DM11" s="342"/>
      <c r="DN11" s="342"/>
      <c r="DO11" s="342"/>
      <c r="DP11" s="342"/>
      <c r="DQ11" s="342"/>
      <c r="DR11" s="342"/>
      <c r="DS11" s="342"/>
      <c r="DT11" s="342"/>
      <c r="DU11" s="342"/>
      <c r="DV11" s="300"/>
      <c r="DW11" s="300"/>
      <c r="DX11" s="300"/>
      <c r="DY11" s="300"/>
      <c r="DZ11" s="300"/>
      <c r="EA11" s="300"/>
      <c r="EB11" s="300" t="s">
        <v>443</v>
      </c>
      <c r="EC11" s="300"/>
      <c r="ED11" s="300"/>
      <c r="EE11" s="300"/>
      <c r="EF11" s="300"/>
      <c r="EG11" s="300"/>
      <c r="EH11" s="300"/>
      <c r="EI11" s="300"/>
      <c r="EJ11" s="300"/>
      <c r="EK11" s="300"/>
      <c r="EL11" s="300"/>
      <c r="EM11" s="300"/>
      <c r="EN11" s="300"/>
      <c r="EO11" s="300"/>
      <c r="EP11" s="300"/>
      <c r="EQ11" s="300"/>
      <c r="ER11" s="300"/>
      <c r="ES11" s="300"/>
      <c r="ET11" s="300"/>
      <c r="EU11" s="300"/>
      <c r="EV11" s="300"/>
      <c r="EW11" s="300"/>
      <c r="EX11" s="300"/>
      <c r="EY11" s="300"/>
      <c r="EZ11" s="300"/>
      <c r="FA11" s="300"/>
      <c r="FB11" s="300"/>
      <c r="FC11" s="300"/>
      <c r="FD11" s="300"/>
      <c r="FE11" s="300"/>
      <c r="FF11" s="300"/>
      <c r="FG11" s="300"/>
      <c r="FH11" s="300"/>
      <c r="FI11" s="300"/>
      <c r="FJ11" s="300"/>
      <c r="FK11" s="300"/>
      <c r="FL11" s="300"/>
      <c r="FM11" s="300"/>
      <c r="FN11" s="300"/>
      <c r="FO11" s="300"/>
      <c r="FP11" s="300"/>
      <c r="FQ11" s="300"/>
      <c r="FR11" s="300"/>
      <c r="FS11" s="300"/>
      <c r="FT11" s="300"/>
      <c r="FU11" s="300"/>
      <c r="FV11" s="300"/>
      <c r="FW11" s="300"/>
      <c r="FX11" s="300"/>
      <c r="FY11" s="300"/>
      <c r="FZ11" s="300"/>
      <c r="GA11" s="300"/>
      <c r="GB11" s="300"/>
      <c r="GC11" s="300"/>
      <c r="GD11" s="300"/>
      <c r="GE11" s="300"/>
      <c r="GF11" s="300"/>
      <c r="GG11" s="300"/>
      <c r="GH11" s="300"/>
      <c r="GI11" s="300"/>
      <c r="GJ11" s="300"/>
      <c r="GK11" s="300"/>
      <c r="GL11" s="300"/>
      <c r="GM11" s="300"/>
      <c r="GN11" s="300"/>
      <c r="GO11" s="300"/>
      <c r="GP11" s="300"/>
      <c r="GQ11" s="300"/>
      <c r="GR11" s="300"/>
      <c r="GS11" s="300"/>
      <c r="GT11" s="300"/>
      <c r="GU11" s="300"/>
      <c r="GV11" s="300"/>
      <c r="GW11" s="300"/>
      <c r="GX11" s="300"/>
      <c r="GY11" s="300"/>
      <c r="GZ11" s="300"/>
      <c r="HA11" s="300"/>
      <c r="HB11" s="300"/>
      <c r="HC11" s="300"/>
      <c r="HD11" s="300"/>
      <c r="HE11" s="300"/>
      <c r="HF11" s="300"/>
      <c r="HG11" s="300"/>
      <c r="HH11" s="300"/>
      <c r="HI11" s="300"/>
      <c r="HJ11" s="300"/>
      <c r="HK11" s="300"/>
      <c r="HL11" s="300"/>
      <c r="HM11" s="300"/>
      <c r="HN11" s="300"/>
      <c r="HO11" s="300"/>
      <c r="HP11" s="300"/>
      <c r="HQ11" s="300"/>
      <c r="HR11" s="300"/>
      <c r="HS11" s="300"/>
      <c r="HT11" s="300"/>
      <c r="HU11" s="300"/>
      <c r="HV11" s="300"/>
      <c r="HW11" s="300"/>
      <c r="HX11" s="300"/>
      <c r="HY11" s="300"/>
      <c r="HZ11" s="300"/>
      <c r="IA11" s="300"/>
      <c r="IB11" s="300"/>
      <c r="IC11" s="300"/>
    </row>
    <row r="12" ht="12.75" customHeight="1">
      <c r="A12" s="300"/>
      <c r="B12" s="300"/>
      <c r="C12" s="300"/>
      <c r="D12" s="342"/>
      <c r="E12" s="342"/>
      <c r="F12" s="342"/>
      <c r="G12" s="342"/>
      <c r="H12" s="342"/>
      <c r="I12" s="342"/>
      <c r="J12" s="342"/>
      <c r="K12" s="342"/>
      <c r="L12" s="342"/>
      <c r="M12" s="342"/>
      <c r="N12" s="342"/>
      <c r="O12" s="342"/>
      <c r="P12" s="342"/>
      <c r="Q12" s="342"/>
      <c r="R12" s="342"/>
      <c r="S12" s="300"/>
      <c r="T12" s="300"/>
      <c r="U12" s="300"/>
      <c r="V12" s="300"/>
      <c r="W12" s="300"/>
      <c r="X12" s="300"/>
      <c r="Y12" s="300"/>
      <c r="Z12" s="342"/>
      <c r="AA12" s="342"/>
      <c r="AB12" s="342"/>
      <c r="AC12" s="342"/>
      <c r="AD12" s="342"/>
      <c r="AE12" s="342"/>
      <c r="AF12" s="342"/>
      <c r="AG12" s="342"/>
      <c r="AH12" s="342"/>
      <c r="AI12" s="342"/>
      <c r="AJ12" s="342"/>
      <c r="AK12" s="342"/>
      <c r="AL12" s="342"/>
      <c r="AM12" s="342"/>
      <c r="AN12" s="342"/>
      <c r="AO12" s="300"/>
      <c r="AP12" s="300"/>
      <c r="AQ12" s="300"/>
      <c r="AR12" s="300"/>
      <c r="AS12" s="300"/>
      <c r="AT12" s="300"/>
      <c r="AU12" s="342"/>
      <c r="AV12" s="342"/>
      <c r="AW12" s="342"/>
      <c r="AX12" s="342"/>
      <c r="AY12" s="342"/>
      <c r="AZ12" s="342"/>
      <c r="BA12" s="342"/>
      <c r="BB12" s="342"/>
      <c r="BC12" s="342"/>
      <c r="BD12" s="342"/>
      <c r="BE12" s="342"/>
      <c r="BF12" s="342"/>
      <c r="BG12" s="342"/>
      <c r="BH12" s="342"/>
      <c r="BI12" s="300"/>
      <c r="BJ12" s="300"/>
      <c r="BK12" s="300"/>
      <c r="BL12" s="300"/>
      <c r="BM12" s="300"/>
      <c r="BN12" s="391" t="s">
        <v>444</v>
      </c>
      <c r="BO12" s="10"/>
      <c r="BP12" s="10"/>
      <c r="BQ12" s="10"/>
      <c r="BR12" s="392" t="s">
        <v>445</v>
      </c>
      <c r="BS12" s="10"/>
      <c r="BT12" s="10"/>
      <c r="BU12" s="10"/>
      <c r="BV12" s="10"/>
      <c r="BW12" s="10"/>
      <c r="BX12" s="10"/>
      <c r="BY12" s="10"/>
      <c r="BZ12" s="10"/>
      <c r="CA12" s="10"/>
      <c r="CB12" s="393" t="s">
        <v>446</v>
      </c>
      <c r="CC12" s="10"/>
      <c r="CD12" s="10"/>
      <c r="CE12" s="19"/>
      <c r="CF12" s="300"/>
      <c r="CG12" s="300"/>
      <c r="CH12" s="300"/>
      <c r="CI12" s="300"/>
      <c r="CJ12" s="300"/>
      <c r="CK12" s="300"/>
      <c r="CL12" s="342"/>
      <c r="CM12" s="342"/>
      <c r="CN12" s="342"/>
      <c r="CO12" s="342"/>
      <c r="CP12" s="342"/>
      <c r="CQ12" s="342"/>
      <c r="CR12" s="342"/>
      <c r="CS12" s="342"/>
      <c r="CT12" s="342"/>
      <c r="CU12" s="342"/>
      <c r="CV12" s="342"/>
      <c r="CW12" s="342"/>
      <c r="CX12" s="342"/>
      <c r="CY12" s="342"/>
      <c r="CZ12" s="300"/>
      <c r="DA12" s="300"/>
      <c r="DB12" s="300"/>
      <c r="DC12" s="300"/>
      <c r="DD12" s="300"/>
      <c r="DE12" s="300"/>
      <c r="DF12" s="300"/>
      <c r="DG12" s="300"/>
      <c r="DH12" s="342"/>
      <c r="DI12" s="342"/>
      <c r="DJ12" s="342"/>
      <c r="DK12" s="342"/>
      <c r="DL12" s="342"/>
      <c r="DM12" s="342"/>
      <c r="DN12" s="342"/>
      <c r="DO12" s="342"/>
      <c r="DP12" s="342"/>
      <c r="DQ12" s="342"/>
      <c r="DR12" s="342"/>
      <c r="DS12" s="342"/>
      <c r="DT12" s="342"/>
      <c r="DU12" s="342"/>
      <c r="DV12" s="300"/>
      <c r="DW12" s="300"/>
      <c r="DX12" s="300"/>
      <c r="DY12" s="300"/>
      <c r="DZ12" s="300"/>
      <c r="EA12" s="300"/>
      <c r="EB12" s="300" t="s">
        <v>447</v>
      </c>
      <c r="EC12" s="300"/>
      <c r="ED12" s="300"/>
      <c r="EE12" s="300"/>
      <c r="EF12" s="300"/>
      <c r="EG12" s="300"/>
      <c r="EH12" s="300"/>
      <c r="EI12" s="300"/>
      <c r="EJ12" s="300"/>
      <c r="EK12" s="300"/>
      <c r="EL12" s="300"/>
      <c r="EM12" s="300"/>
      <c r="EN12" s="300"/>
      <c r="EO12" s="300"/>
      <c r="EP12" s="300"/>
      <c r="EQ12" s="300"/>
      <c r="ER12" s="300"/>
      <c r="ES12" s="300"/>
      <c r="ET12" s="300"/>
      <c r="EU12" s="300"/>
      <c r="EV12" s="300"/>
      <c r="EW12" s="300"/>
      <c r="EX12" s="300"/>
      <c r="EY12" s="300"/>
      <c r="EZ12" s="300"/>
      <c r="FA12" s="300"/>
      <c r="FB12" s="300"/>
      <c r="FC12" s="300"/>
      <c r="FD12" s="300"/>
      <c r="FE12" s="300"/>
      <c r="FF12" s="300"/>
      <c r="FG12" s="300"/>
      <c r="FH12" s="300"/>
      <c r="FI12" s="300"/>
      <c r="FJ12" s="300"/>
      <c r="FK12" s="300"/>
      <c r="FL12" s="300"/>
      <c r="FM12" s="300"/>
      <c r="FN12" s="300"/>
      <c r="FO12" s="300"/>
      <c r="FP12" s="300"/>
      <c r="FQ12" s="300"/>
      <c r="FR12" s="300"/>
      <c r="FS12" s="300"/>
      <c r="FT12" s="300"/>
      <c r="FU12" s="300"/>
      <c r="FV12" s="300"/>
      <c r="FW12" s="300"/>
      <c r="FX12" s="300"/>
      <c r="FY12" s="300"/>
      <c r="FZ12" s="300"/>
      <c r="GA12" s="300"/>
      <c r="GB12" s="300"/>
      <c r="GC12" s="300"/>
      <c r="GD12" s="300"/>
      <c r="GE12" s="300"/>
      <c r="GF12" s="300"/>
      <c r="GG12" s="300"/>
      <c r="GH12" s="300"/>
      <c r="GI12" s="300"/>
      <c r="GJ12" s="300"/>
      <c r="GK12" s="300"/>
      <c r="GL12" s="300"/>
      <c r="GM12" s="300"/>
      <c r="GN12" s="300"/>
      <c r="GO12" s="300"/>
      <c r="GP12" s="300"/>
      <c r="GQ12" s="300"/>
      <c r="GR12" s="300"/>
      <c r="GS12" s="300"/>
      <c r="GT12" s="300"/>
      <c r="GU12" s="300"/>
      <c r="GV12" s="300"/>
      <c r="GW12" s="300"/>
      <c r="GX12" s="300"/>
      <c r="GY12" s="300"/>
      <c r="GZ12" s="300"/>
      <c r="HA12" s="300"/>
      <c r="HB12" s="300"/>
      <c r="HC12" s="300"/>
      <c r="HD12" s="300"/>
      <c r="HE12" s="300"/>
      <c r="HF12" s="300"/>
      <c r="HG12" s="300"/>
      <c r="HH12" s="300"/>
      <c r="HI12" s="300"/>
      <c r="HJ12" s="300"/>
      <c r="HK12" s="300"/>
      <c r="HL12" s="300"/>
      <c r="HM12" s="300"/>
      <c r="HN12" s="300"/>
      <c r="HO12" s="300"/>
      <c r="HP12" s="300"/>
      <c r="HQ12" s="300"/>
      <c r="HR12" s="300"/>
      <c r="HS12" s="300"/>
      <c r="HT12" s="300"/>
      <c r="HU12" s="300"/>
      <c r="HV12" s="300"/>
      <c r="HW12" s="300"/>
      <c r="HX12" s="300"/>
      <c r="HY12" s="300"/>
      <c r="HZ12" s="300"/>
      <c r="IA12" s="300"/>
      <c r="IB12" s="300"/>
      <c r="IC12" s="300"/>
    </row>
    <row r="13" ht="12.75" customHeight="1">
      <c r="A13" s="300"/>
      <c r="B13" s="300"/>
      <c r="C13" s="300"/>
      <c r="D13" s="342"/>
      <c r="E13" s="342"/>
      <c r="F13" s="342"/>
      <c r="G13" s="342"/>
      <c r="H13" s="342"/>
      <c r="I13" s="342"/>
      <c r="J13" s="342"/>
      <c r="K13" s="342"/>
      <c r="L13" s="342"/>
      <c r="M13" s="342"/>
      <c r="N13" s="342"/>
      <c r="O13" s="342"/>
      <c r="P13" s="342"/>
      <c r="Q13" s="342"/>
      <c r="R13" s="342"/>
      <c r="S13" s="300"/>
      <c r="T13" s="300"/>
      <c r="U13" s="300"/>
      <c r="V13" s="300"/>
      <c r="W13" s="300"/>
      <c r="X13" s="300"/>
      <c r="Y13" s="300"/>
      <c r="Z13" s="342"/>
      <c r="AA13" s="342"/>
      <c r="AB13" s="342"/>
      <c r="AC13" s="342"/>
      <c r="AD13" s="342"/>
      <c r="AE13" s="342"/>
      <c r="AF13" s="342"/>
      <c r="AG13" s="342"/>
      <c r="AH13" s="342"/>
      <c r="AI13" s="342"/>
      <c r="AJ13" s="342"/>
      <c r="AK13" s="342"/>
      <c r="AL13" s="342"/>
      <c r="AM13" s="342"/>
      <c r="AN13" s="342"/>
      <c r="AO13" s="300"/>
      <c r="AP13" s="300"/>
      <c r="AQ13" s="300"/>
      <c r="AR13" s="300"/>
      <c r="AS13" s="300"/>
      <c r="AT13" s="300"/>
      <c r="AU13" s="342"/>
      <c r="AV13" s="342"/>
      <c r="AW13" s="342"/>
      <c r="AX13" s="342"/>
      <c r="AY13" s="342"/>
      <c r="AZ13" s="342"/>
      <c r="BA13" s="342"/>
      <c r="BB13" s="342"/>
      <c r="BC13" s="342"/>
      <c r="BD13" s="342"/>
      <c r="BE13" s="342"/>
      <c r="BF13" s="342"/>
      <c r="BG13" s="342"/>
      <c r="BH13" s="342"/>
      <c r="BI13" s="300"/>
      <c r="BJ13" s="300"/>
      <c r="BK13" s="300"/>
      <c r="BL13" s="300"/>
      <c r="BM13" s="300"/>
      <c r="BN13" s="394"/>
      <c r="BO13" s="52"/>
      <c r="BP13" s="52"/>
      <c r="BQ13" s="52"/>
      <c r="BR13" s="52"/>
      <c r="BS13" s="52"/>
      <c r="BT13" s="52"/>
      <c r="BU13" s="52"/>
      <c r="BV13" s="52"/>
      <c r="BW13" s="52"/>
      <c r="BX13" s="52"/>
      <c r="BY13" s="52"/>
      <c r="BZ13" s="52"/>
      <c r="CA13" s="52"/>
      <c r="CB13" s="52"/>
      <c r="CC13" s="52"/>
      <c r="CD13" s="52"/>
      <c r="CE13" s="30"/>
      <c r="CF13" s="300"/>
      <c r="CG13" s="300"/>
      <c r="CH13" s="300"/>
      <c r="CI13" s="300"/>
      <c r="CJ13" s="300"/>
      <c r="CK13" s="300"/>
      <c r="CL13" s="342"/>
      <c r="CM13" s="342"/>
      <c r="CN13" s="342"/>
      <c r="CO13" s="342"/>
      <c r="CP13" s="342"/>
      <c r="CQ13" s="342"/>
      <c r="CR13" s="342"/>
      <c r="CS13" s="342"/>
      <c r="CT13" s="342"/>
      <c r="CU13" s="342"/>
      <c r="CV13" s="342"/>
      <c r="CW13" s="342"/>
      <c r="CX13" s="342"/>
      <c r="CY13" s="342"/>
      <c r="CZ13" s="300"/>
      <c r="DA13" s="300"/>
      <c r="DB13" s="300"/>
      <c r="DC13" s="300"/>
      <c r="DD13" s="300"/>
      <c r="DE13" s="300"/>
      <c r="DF13" s="300"/>
      <c r="DG13" s="300"/>
      <c r="DH13" s="342"/>
      <c r="DI13" s="342"/>
      <c r="DJ13" s="342"/>
      <c r="DK13" s="342"/>
      <c r="DL13" s="342"/>
      <c r="DM13" s="342"/>
      <c r="DN13" s="342"/>
      <c r="DO13" s="342"/>
      <c r="DP13" s="342"/>
      <c r="DQ13" s="342"/>
      <c r="DR13" s="342"/>
      <c r="DS13" s="342"/>
      <c r="DT13" s="342"/>
      <c r="DU13" s="342"/>
      <c r="DV13" s="300"/>
      <c r="DW13" s="300"/>
      <c r="DX13" s="300"/>
      <c r="DY13" s="300"/>
      <c r="DZ13" s="300"/>
      <c r="EA13" s="300"/>
      <c r="EB13" s="300" t="s">
        <v>448</v>
      </c>
      <c r="EC13" s="300"/>
      <c r="ED13" s="300"/>
      <c r="EE13" s="300"/>
      <c r="EF13" s="300"/>
      <c r="EG13" s="300"/>
      <c r="EH13" s="300"/>
      <c r="EI13" s="300"/>
      <c r="EJ13" s="300"/>
      <c r="EK13" s="300"/>
      <c r="EL13" s="300"/>
      <c r="EM13" s="300"/>
      <c r="EN13" s="300"/>
      <c r="EO13" s="300"/>
      <c r="EP13" s="300"/>
      <c r="EQ13" s="300"/>
      <c r="ER13" s="300"/>
      <c r="ES13" s="300"/>
      <c r="ET13" s="300"/>
      <c r="EU13" s="300"/>
      <c r="EV13" s="300"/>
      <c r="EW13" s="300"/>
      <c r="EX13" s="300"/>
      <c r="EY13" s="300"/>
      <c r="EZ13" s="300"/>
      <c r="FA13" s="300"/>
      <c r="FB13" s="300"/>
      <c r="FC13" s="300"/>
      <c r="FD13" s="300"/>
      <c r="FE13" s="300"/>
      <c r="FF13" s="300"/>
      <c r="FG13" s="300"/>
      <c r="FH13" s="300"/>
      <c r="FI13" s="300"/>
      <c r="FJ13" s="300"/>
      <c r="FK13" s="300"/>
      <c r="FL13" s="300"/>
      <c r="FM13" s="300"/>
      <c r="FN13" s="300"/>
      <c r="FO13" s="300"/>
      <c r="FP13" s="300"/>
      <c r="FQ13" s="300"/>
      <c r="FR13" s="300"/>
      <c r="FS13" s="300"/>
      <c r="FT13" s="300"/>
      <c r="FU13" s="300"/>
      <c r="FV13" s="300"/>
      <c r="FW13" s="300"/>
      <c r="FX13" s="300"/>
      <c r="FY13" s="300"/>
      <c r="FZ13" s="300"/>
      <c r="GA13" s="300"/>
      <c r="GB13" s="300"/>
      <c r="GC13" s="300"/>
      <c r="GD13" s="300"/>
      <c r="GE13" s="300"/>
      <c r="GF13" s="300"/>
      <c r="GG13" s="300"/>
      <c r="GH13" s="300"/>
      <c r="GI13" s="300"/>
      <c r="GJ13" s="300"/>
      <c r="GK13" s="300"/>
      <c r="GL13" s="300"/>
      <c r="GM13" s="300"/>
      <c r="GN13" s="300"/>
      <c r="GO13" s="300"/>
      <c r="GP13" s="300"/>
      <c r="GQ13" s="300"/>
      <c r="GR13" s="300"/>
      <c r="GS13" s="300"/>
      <c r="GT13" s="300"/>
      <c r="GU13" s="300"/>
      <c r="GV13" s="300"/>
      <c r="GW13" s="300"/>
      <c r="GX13" s="300"/>
      <c r="GY13" s="300"/>
      <c r="GZ13" s="300"/>
      <c r="HA13" s="300"/>
      <c r="HB13" s="300"/>
      <c r="HC13" s="300"/>
      <c r="HD13" s="300"/>
      <c r="HE13" s="300"/>
      <c r="HF13" s="300"/>
      <c r="HG13" s="300"/>
      <c r="HH13" s="300"/>
      <c r="HI13" s="300"/>
      <c r="HJ13" s="300"/>
      <c r="HK13" s="300"/>
      <c r="HL13" s="300"/>
      <c r="HM13" s="300"/>
      <c r="HN13" s="300"/>
      <c r="HO13" s="300"/>
      <c r="HP13" s="300"/>
      <c r="HQ13" s="300"/>
      <c r="HR13" s="300"/>
      <c r="HS13" s="300"/>
      <c r="HT13" s="300"/>
      <c r="HU13" s="300"/>
      <c r="HV13" s="300"/>
      <c r="HW13" s="300"/>
      <c r="HX13" s="300"/>
      <c r="HY13" s="300"/>
      <c r="HZ13" s="300"/>
      <c r="IA13" s="300"/>
      <c r="IB13" s="300"/>
      <c r="IC13" s="300"/>
    </row>
    <row r="14" ht="12.75" customHeight="1">
      <c r="A14" s="300"/>
      <c r="B14" s="300"/>
      <c r="C14" s="300"/>
      <c r="D14" s="300"/>
      <c r="E14" s="300"/>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76"/>
      <c r="BO14" s="378"/>
      <c r="BP14" s="378"/>
      <c r="BQ14" s="378"/>
      <c r="BR14" s="378"/>
      <c r="BS14" s="378"/>
      <c r="BT14" s="378"/>
      <c r="BU14" s="378"/>
      <c r="BV14" s="378"/>
      <c r="BW14" s="378"/>
      <c r="BX14" s="378"/>
      <c r="BY14" s="378"/>
      <c r="BZ14" s="378"/>
      <c r="CA14" s="378"/>
      <c r="CB14" s="378"/>
      <c r="CC14" s="378"/>
      <c r="CD14" s="378"/>
      <c r="CE14" s="380"/>
      <c r="CF14" s="300"/>
      <c r="CG14" s="300"/>
      <c r="CH14" s="300"/>
      <c r="CI14" s="300"/>
      <c r="CJ14" s="300"/>
      <c r="CK14" s="300"/>
      <c r="CL14" s="300"/>
      <c r="CM14" s="300"/>
      <c r="CN14" s="300"/>
      <c r="CO14" s="300"/>
      <c r="CP14" s="300"/>
      <c r="CQ14" s="300"/>
      <c r="CR14" s="300"/>
      <c r="CS14" s="300"/>
      <c r="CT14" s="300"/>
      <c r="CU14" s="300"/>
      <c r="CV14" s="300"/>
      <c r="CW14" s="300"/>
      <c r="CX14" s="300"/>
      <c r="CY14" s="300"/>
      <c r="CZ14" s="300"/>
      <c r="DA14" s="300"/>
      <c r="DB14" s="300"/>
      <c r="DC14" s="300"/>
      <c r="DD14" s="300"/>
      <c r="DE14" s="300"/>
      <c r="DF14" s="300"/>
      <c r="DG14" s="300"/>
      <c r="DH14" s="300"/>
      <c r="DI14" s="300"/>
      <c r="DJ14" s="300"/>
      <c r="DK14" s="300"/>
      <c r="DL14" s="300"/>
      <c r="DM14" s="300"/>
      <c r="DN14" s="300"/>
      <c r="DO14" s="300"/>
      <c r="DP14" s="300"/>
      <c r="DQ14" s="300"/>
      <c r="DR14" s="300"/>
      <c r="DS14" s="300"/>
      <c r="DT14" s="300"/>
      <c r="DU14" s="300"/>
      <c r="DV14" s="300"/>
      <c r="DW14" s="300"/>
      <c r="DX14" s="300"/>
      <c r="DY14" s="300"/>
      <c r="DZ14" s="300"/>
      <c r="EA14" s="300"/>
      <c r="EB14" s="300" t="s">
        <v>449</v>
      </c>
      <c r="EC14" s="300"/>
      <c r="ED14" s="300"/>
      <c r="EE14" s="300"/>
      <c r="EF14" s="300"/>
      <c r="EG14" s="300"/>
      <c r="EH14" s="300"/>
      <c r="EI14" s="300"/>
      <c r="EJ14" s="300"/>
      <c r="EK14" s="300"/>
      <c r="EL14" s="300"/>
      <c r="EM14" s="300"/>
      <c r="EN14" s="300"/>
      <c r="EO14" s="300"/>
      <c r="EP14" s="300"/>
      <c r="EQ14" s="300"/>
      <c r="ER14" s="300"/>
      <c r="ES14" s="300"/>
      <c r="ET14" s="300"/>
      <c r="EU14" s="300"/>
      <c r="EV14" s="300"/>
      <c r="EW14" s="300"/>
      <c r="EX14" s="300"/>
      <c r="EY14" s="300"/>
      <c r="EZ14" s="300"/>
      <c r="FA14" s="300"/>
      <c r="FB14" s="300"/>
      <c r="FC14" s="300"/>
      <c r="FD14" s="300"/>
      <c r="FE14" s="300"/>
      <c r="FF14" s="300"/>
      <c r="FG14" s="300"/>
      <c r="FH14" s="300"/>
      <c r="FI14" s="300"/>
      <c r="FJ14" s="300"/>
      <c r="FK14" s="300"/>
      <c r="FL14" s="300"/>
      <c r="FM14" s="300"/>
      <c r="FN14" s="300"/>
      <c r="FO14" s="300"/>
      <c r="FP14" s="300"/>
      <c r="FQ14" s="300"/>
      <c r="FR14" s="300"/>
      <c r="FS14" s="300"/>
      <c r="FT14" s="300"/>
      <c r="FU14" s="300"/>
      <c r="FV14" s="300"/>
      <c r="FW14" s="300"/>
      <c r="FX14" s="300"/>
      <c r="FY14" s="300"/>
      <c r="FZ14" s="300"/>
      <c r="GA14" s="300"/>
      <c r="GB14" s="300"/>
      <c r="GC14" s="300"/>
      <c r="GD14" s="300"/>
      <c r="GE14" s="300"/>
      <c r="GF14" s="300"/>
      <c r="GG14" s="300"/>
      <c r="GH14" s="300"/>
      <c r="GI14" s="300"/>
      <c r="GJ14" s="300"/>
      <c r="GK14" s="300"/>
      <c r="GL14" s="300"/>
      <c r="GM14" s="300"/>
      <c r="GN14" s="300"/>
      <c r="GO14" s="300"/>
      <c r="GP14" s="300"/>
      <c r="GQ14" s="300"/>
      <c r="GR14" s="300"/>
      <c r="GS14" s="300"/>
      <c r="GT14" s="300"/>
      <c r="GU14" s="300"/>
      <c r="GV14" s="300"/>
      <c r="GW14" s="300"/>
      <c r="GX14" s="300"/>
      <c r="GY14" s="300"/>
      <c r="GZ14" s="300"/>
      <c r="HA14" s="300"/>
      <c r="HB14" s="300"/>
      <c r="HC14" s="300"/>
      <c r="HD14" s="300"/>
      <c r="HE14" s="300"/>
      <c r="HF14" s="300"/>
      <c r="HG14" s="300"/>
      <c r="HH14" s="300"/>
      <c r="HI14" s="300"/>
      <c r="HJ14" s="300"/>
      <c r="HK14" s="300"/>
      <c r="HL14" s="300"/>
      <c r="HM14" s="300"/>
      <c r="HN14" s="300"/>
      <c r="HO14" s="300"/>
      <c r="HP14" s="300"/>
      <c r="HQ14" s="300"/>
      <c r="HR14" s="300"/>
      <c r="HS14" s="300"/>
      <c r="HT14" s="300"/>
      <c r="HU14" s="300"/>
      <c r="HV14" s="300"/>
      <c r="HW14" s="300"/>
      <c r="HX14" s="300"/>
      <c r="HY14" s="300"/>
      <c r="HZ14" s="300"/>
      <c r="IA14" s="300"/>
      <c r="IB14" s="300"/>
      <c r="IC14" s="300"/>
    </row>
    <row r="15" ht="12.75" customHeight="1">
      <c r="A15" s="300"/>
      <c r="B15" s="300"/>
      <c r="C15" s="300"/>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96"/>
      <c r="BO15" s="300"/>
      <c r="BP15" s="300"/>
      <c r="BQ15" s="397" t="s">
        <v>450</v>
      </c>
      <c r="BR15" s="10"/>
      <c r="BS15" s="10"/>
      <c r="BT15" s="10"/>
      <c r="BU15" s="10"/>
      <c r="BV15" s="10"/>
      <c r="BW15" s="10"/>
      <c r="BX15" s="10"/>
      <c r="BY15" s="10"/>
      <c r="BZ15" s="10"/>
      <c r="CA15" s="10"/>
      <c r="CB15" s="19"/>
      <c r="CC15" s="300"/>
      <c r="CD15" s="300"/>
      <c r="CE15" s="398"/>
      <c r="CF15" s="300"/>
      <c r="CG15" s="300"/>
      <c r="CH15" s="300"/>
      <c r="CI15" s="300"/>
      <c r="CJ15" s="300"/>
      <c r="CK15" s="300"/>
      <c r="CL15" s="300"/>
      <c r="CM15" s="300"/>
      <c r="CN15" s="300"/>
      <c r="CO15" s="300"/>
      <c r="CP15" s="300"/>
      <c r="CQ15" s="300"/>
      <c r="CR15" s="300"/>
      <c r="CS15" s="300"/>
      <c r="CT15" s="300"/>
      <c r="CU15" s="300"/>
      <c r="CV15" s="300"/>
      <c r="CW15" s="300"/>
      <c r="CX15" s="300"/>
      <c r="CY15" s="300"/>
      <c r="CZ15" s="300"/>
      <c r="DA15" s="300"/>
      <c r="DB15" s="300"/>
      <c r="DC15" s="300"/>
      <c r="DD15" s="300"/>
      <c r="DE15" s="300"/>
      <c r="DF15" s="300"/>
      <c r="DG15" s="300"/>
      <c r="DH15" s="300"/>
      <c r="DI15" s="300"/>
      <c r="DJ15" s="300"/>
      <c r="DK15" s="300"/>
      <c r="DL15" s="300"/>
      <c r="DM15" s="300"/>
      <c r="DN15" s="300"/>
      <c r="DO15" s="300"/>
      <c r="DP15" s="300"/>
      <c r="DQ15" s="300"/>
      <c r="DR15" s="300"/>
      <c r="DS15" s="300"/>
      <c r="DT15" s="300"/>
      <c r="DU15" s="300"/>
      <c r="DV15" s="300"/>
      <c r="DW15" s="300"/>
      <c r="DX15" s="300"/>
      <c r="DY15" s="300"/>
      <c r="DZ15" s="300"/>
      <c r="EA15" s="300"/>
      <c r="EB15" s="300" t="s">
        <v>451</v>
      </c>
      <c r="EC15" s="300"/>
      <c r="ED15" s="300"/>
      <c r="EE15" s="300"/>
      <c r="EF15" s="300"/>
      <c r="EG15" s="300"/>
      <c r="EH15" s="300"/>
      <c r="EI15" s="300"/>
      <c r="EJ15" s="300"/>
      <c r="EK15" s="300"/>
      <c r="EL15" s="300"/>
      <c r="EM15" s="300"/>
      <c r="EN15" s="300"/>
      <c r="EO15" s="300"/>
      <c r="EP15" s="300"/>
      <c r="EQ15" s="300"/>
      <c r="ER15" s="300"/>
      <c r="ES15" s="300"/>
      <c r="ET15" s="300"/>
      <c r="EU15" s="300"/>
      <c r="EV15" s="300"/>
      <c r="EW15" s="300"/>
      <c r="EX15" s="300"/>
      <c r="EY15" s="300"/>
      <c r="EZ15" s="399"/>
      <c r="FA15" s="300"/>
      <c r="FB15" s="300"/>
      <c r="FC15" s="300"/>
      <c r="FD15" s="300"/>
      <c r="FE15" s="300"/>
      <c r="FF15" s="300"/>
      <c r="FG15" s="300"/>
      <c r="FH15" s="300"/>
      <c r="FI15" s="300"/>
      <c r="FJ15" s="300"/>
      <c r="FK15" s="300"/>
      <c r="FL15" s="300"/>
      <c r="FM15" s="300"/>
      <c r="FN15" s="300"/>
      <c r="FO15" s="300"/>
      <c r="FP15" s="300"/>
      <c r="FQ15" s="300"/>
      <c r="FR15" s="300"/>
      <c r="FS15" s="300"/>
      <c r="FT15" s="300"/>
      <c r="FU15" s="300"/>
      <c r="FV15" s="300"/>
      <c r="FW15" s="300"/>
      <c r="FX15" s="300"/>
      <c r="FY15" s="300"/>
      <c r="FZ15" s="300"/>
      <c r="GA15" s="300"/>
      <c r="GB15" s="300"/>
      <c r="GC15" s="300"/>
      <c r="GD15" s="300"/>
      <c r="GE15" s="300"/>
      <c r="GF15" s="300"/>
      <c r="GG15" s="300"/>
      <c r="GH15" s="300"/>
      <c r="GI15" s="300"/>
      <c r="GJ15" s="300"/>
      <c r="GK15" s="300"/>
      <c r="GL15" s="300"/>
      <c r="GM15" s="300"/>
      <c r="GN15" s="300"/>
      <c r="GO15" s="300"/>
      <c r="GP15" s="300"/>
      <c r="GQ15" s="300"/>
      <c r="GR15" s="300"/>
      <c r="GS15" s="300"/>
      <c r="GT15" s="300"/>
      <c r="GU15" s="300"/>
      <c r="GV15" s="300"/>
      <c r="GW15" s="300"/>
      <c r="GX15" s="300"/>
      <c r="GY15" s="300"/>
      <c r="GZ15" s="300"/>
      <c r="HA15" s="300"/>
      <c r="HB15" s="300"/>
      <c r="HC15" s="300"/>
      <c r="HD15" s="300"/>
      <c r="HE15" s="300"/>
      <c r="HF15" s="300"/>
      <c r="HG15" s="300"/>
      <c r="HH15" s="300"/>
      <c r="HI15" s="300"/>
      <c r="HJ15" s="300"/>
      <c r="HK15" s="300"/>
      <c r="HL15" s="300"/>
      <c r="HM15" s="300"/>
      <c r="HN15" s="300"/>
      <c r="HO15" s="300"/>
      <c r="HP15" s="300"/>
      <c r="HQ15" s="300"/>
      <c r="HR15" s="300"/>
      <c r="HS15" s="300"/>
      <c r="HT15" s="300"/>
      <c r="HU15" s="300"/>
      <c r="HV15" s="300"/>
      <c r="HW15" s="300"/>
      <c r="HX15" s="300"/>
      <c r="HY15" s="300"/>
      <c r="HZ15" s="300"/>
      <c r="IA15" s="300"/>
      <c r="IB15" s="300"/>
      <c r="IC15" s="300"/>
    </row>
    <row r="16" ht="12.75" customHeight="1">
      <c r="A16" s="300"/>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96"/>
      <c r="BO16" s="300"/>
      <c r="BP16" s="300"/>
      <c r="BQ16" s="394"/>
      <c r="BR16" s="52"/>
      <c r="BS16" s="52"/>
      <c r="BT16" s="52"/>
      <c r="BU16" s="52"/>
      <c r="BV16" s="52"/>
      <c r="BW16" s="52"/>
      <c r="BX16" s="52"/>
      <c r="BY16" s="52"/>
      <c r="BZ16" s="52"/>
      <c r="CA16" s="52"/>
      <c r="CB16" s="30"/>
      <c r="CC16" s="300"/>
      <c r="CD16" s="300"/>
      <c r="CE16" s="398"/>
      <c r="CF16" s="300"/>
      <c r="CG16" s="300"/>
      <c r="CH16" s="300"/>
      <c r="CI16" s="300"/>
      <c r="CJ16" s="300"/>
      <c r="CK16" s="300"/>
      <c r="CL16" s="300"/>
      <c r="CM16" s="300"/>
      <c r="CN16" s="300"/>
      <c r="CO16" s="300"/>
      <c r="CP16" s="300"/>
      <c r="CQ16" s="300"/>
      <c r="CR16" s="300"/>
      <c r="CS16" s="300"/>
      <c r="CT16" s="300"/>
      <c r="CU16" s="300"/>
      <c r="CV16" s="300"/>
      <c r="CW16" s="300"/>
      <c r="CX16" s="300"/>
      <c r="CY16" s="300"/>
      <c r="CZ16" s="300"/>
      <c r="DA16" s="300"/>
      <c r="DB16" s="300"/>
      <c r="DC16" s="300"/>
      <c r="DD16" s="300"/>
      <c r="DE16" s="300"/>
      <c r="DF16" s="300"/>
      <c r="DG16" s="300"/>
      <c r="DH16" s="300"/>
      <c r="DI16" s="300"/>
      <c r="DJ16" s="300"/>
      <c r="DK16" s="300"/>
      <c r="DL16" s="300"/>
      <c r="DM16" s="300"/>
      <c r="DN16" s="300"/>
      <c r="DO16" s="300"/>
      <c r="DP16" s="300"/>
      <c r="DQ16" s="300"/>
      <c r="DR16" s="300"/>
      <c r="DS16" s="300"/>
      <c r="DT16" s="300"/>
      <c r="DU16" s="300"/>
      <c r="DV16" s="300"/>
      <c r="DW16" s="300"/>
      <c r="DX16" s="300"/>
      <c r="DY16" s="300"/>
      <c r="DZ16" s="300"/>
      <c r="EA16" s="300"/>
      <c r="EB16" s="300" t="s">
        <v>453</v>
      </c>
      <c r="EC16" s="300"/>
      <c r="ED16" s="300"/>
      <c r="EE16" s="300"/>
      <c r="EF16" s="300"/>
      <c r="EG16" s="300"/>
      <c r="EH16" s="300"/>
      <c r="EI16" s="300"/>
      <c r="EJ16" s="300"/>
      <c r="EK16" s="300"/>
      <c r="EL16" s="300"/>
      <c r="EM16" s="300"/>
      <c r="EN16" s="300"/>
      <c r="EO16" s="300"/>
      <c r="EP16" s="300"/>
      <c r="EQ16" s="300"/>
      <c r="ER16" s="300"/>
      <c r="ES16" s="300"/>
      <c r="ET16" s="300"/>
      <c r="EU16" s="300"/>
      <c r="EV16" s="300"/>
      <c r="EW16" s="300"/>
      <c r="EX16" s="300"/>
      <c r="EY16" s="300"/>
      <c r="EZ16" s="300"/>
      <c r="FA16" s="300"/>
      <c r="FB16" s="300"/>
      <c r="FC16" s="300"/>
      <c r="FD16" s="300"/>
      <c r="FE16" s="300"/>
      <c r="FF16" s="300"/>
      <c r="FG16" s="300"/>
      <c r="FH16" s="300"/>
      <c r="FI16" s="300"/>
      <c r="FJ16" s="300"/>
      <c r="FK16" s="300"/>
      <c r="FL16" s="300"/>
      <c r="FM16" s="300"/>
      <c r="FN16" s="300"/>
      <c r="FO16" s="300"/>
      <c r="FP16" s="300"/>
      <c r="FQ16" s="300"/>
      <c r="FR16" s="300"/>
      <c r="FS16" s="300"/>
      <c r="FT16" s="300"/>
      <c r="FU16" s="300"/>
      <c r="FV16" s="300"/>
      <c r="FW16" s="300"/>
      <c r="FX16" s="300"/>
      <c r="FY16" s="300"/>
      <c r="FZ16" s="300"/>
      <c r="GA16" s="300"/>
      <c r="GB16" s="300"/>
      <c r="GC16" s="300"/>
      <c r="GD16" s="300"/>
      <c r="GE16" s="300"/>
      <c r="GF16" s="300"/>
      <c r="GG16" s="300"/>
      <c r="GH16" s="300"/>
      <c r="GI16" s="300"/>
      <c r="GJ16" s="300"/>
      <c r="GK16" s="300"/>
      <c r="GL16" s="300"/>
      <c r="GM16" s="300"/>
      <c r="GN16" s="300"/>
      <c r="GO16" s="300"/>
      <c r="GP16" s="300"/>
      <c r="GQ16" s="300"/>
      <c r="GR16" s="300"/>
      <c r="GS16" s="300"/>
      <c r="GT16" s="300"/>
      <c r="GU16" s="300"/>
      <c r="GV16" s="300"/>
      <c r="GW16" s="300"/>
      <c r="GX16" s="300"/>
      <c r="GY16" s="300"/>
      <c r="GZ16" s="300"/>
      <c r="HA16" s="300"/>
      <c r="HB16" s="300"/>
      <c r="HC16" s="300"/>
      <c r="HD16" s="300"/>
      <c r="HE16" s="300"/>
      <c r="HF16" s="300"/>
      <c r="HG16" s="300"/>
      <c r="HH16" s="300"/>
      <c r="HI16" s="300"/>
      <c r="HJ16" s="300"/>
      <c r="HK16" s="300"/>
      <c r="HL16" s="300"/>
      <c r="HM16" s="300"/>
      <c r="HN16" s="300"/>
      <c r="HO16" s="300"/>
      <c r="HP16" s="300"/>
      <c r="HQ16" s="300"/>
      <c r="HR16" s="300"/>
      <c r="HS16" s="300"/>
      <c r="HT16" s="300"/>
      <c r="HU16" s="300"/>
      <c r="HV16" s="300"/>
      <c r="HW16" s="300"/>
      <c r="HX16" s="300"/>
      <c r="HY16" s="300"/>
      <c r="HZ16" s="300"/>
      <c r="IA16" s="300"/>
      <c r="IB16" s="300"/>
      <c r="IC16" s="300"/>
    </row>
    <row r="17" ht="12.75" customHeight="1">
      <c r="A17" s="300"/>
      <c r="B17" s="300"/>
      <c r="C17" s="300"/>
      <c r="D17" s="300"/>
      <c r="E17" s="300"/>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96"/>
      <c r="BO17" s="300"/>
      <c r="BP17" s="300"/>
      <c r="BQ17" s="300"/>
      <c r="BR17" s="300"/>
      <c r="BS17" s="300"/>
      <c r="BT17" s="300"/>
      <c r="BU17" s="300"/>
      <c r="BV17" s="300"/>
      <c r="BW17" s="300"/>
      <c r="BX17" s="300"/>
      <c r="BY17" s="300"/>
      <c r="BZ17" s="300"/>
      <c r="CA17" s="300"/>
      <c r="CB17" s="300"/>
      <c r="CC17" s="300"/>
      <c r="CD17" s="300"/>
      <c r="CE17" s="398"/>
      <c r="CF17" s="300"/>
      <c r="CG17" s="300"/>
      <c r="CH17" s="300"/>
      <c r="CI17" s="300"/>
      <c r="CJ17" s="300"/>
      <c r="CK17" s="300"/>
      <c r="CL17" s="300"/>
      <c r="CM17" s="300"/>
      <c r="CN17" s="300"/>
      <c r="CO17" s="300"/>
      <c r="CP17" s="300"/>
      <c r="CQ17" s="300"/>
      <c r="CR17" s="300"/>
      <c r="CS17" s="300"/>
      <c r="CT17" s="300"/>
      <c r="CU17" s="300"/>
      <c r="CV17" s="300"/>
      <c r="CW17" s="300"/>
      <c r="CX17" s="300"/>
      <c r="CY17" s="300"/>
      <c r="CZ17" s="300"/>
      <c r="DA17" s="300"/>
      <c r="DB17" s="300"/>
      <c r="DC17" s="300"/>
      <c r="DD17" s="300"/>
      <c r="DE17" s="300"/>
      <c r="DF17" s="300"/>
      <c r="DG17" s="300"/>
      <c r="DH17" s="300"/>
      <c r="DI17" s="300"/>
      <c r="DJ17" s="300"/>
      <c r="DK17" s="300"/>
      <c r="DL17" s="300"/>
      <c r="DM17" s="300"/>
      <c r="DN17" s="300"/>
      <c r="DO17" s="300"/>
      <c r="DP17" s="300"/>
      <c r="DQ17" s="300"/>
      <c r="DR17" s="300"/>
      <c r="DS17" s="300"/>
      <c r="DT17" s="300"/>
      <c r="DU17" s="300"/>
      <c r="DV17" s="300"/>
      <c r="DW17" s="300"/>
      <c r="DX17" s="300"/>
      <c r="DY17" s="300"/>
      <c r="DZ17" s="300"/>
      <c r="EA17" s="300"/>
      <c r="EB17" s="300" t="s">
        <v>456</v>
      </c>
      <c r="EC17" s="300"/>
      <c r="ED17" s="300"/>
      <c r="EE17" s="300"/>
      <c r="EF17" s="300"/>
      <c r="EG17" s="300"/>
      <c r="EH17" s="300"/>
      <c r="EI17" s="300"/>
      <c r="EJ17" s="300"/>
      <c r="EK17" s="300"/>
      <c r="EL17" s="300"/>
      <c r="EM17" s="300"/>
      <c r="EN17" s="300"/>
      <c r="EO17" s="300"/>
      <c r="EP17" s="300"/>
      <c r="EQ17" s="300"/>
      <c r="ER17" s="300"/>
      <c r="ES17" s="300"/>
      <c r="ET17" s="300"/>
      <c r="EU17" s="300"/>
      <c r="EV17" s="300"/>
      <c r="EW17" s="300"/>
      <c r="EX17" s="300"/>
      <c r="EY17" s="300"/>
      <c r="EZ17" s="300"/>
      <c r="FA17" s="300"/>
      <c r="FB17" s="300"/>
      <c r="FC17" s="300"/>
      <c r="FD17" s="300"/>
      <c r="FE17" s="300"/>
      <c r="FF17" s="300"/>
      <c r="FG17" s="300"/>
      <c r="FH17" s="300"/>
      <c r="FI17" s="300"/>
      <c r="FJ17" s="300"/>
      <c r="FK17" s="300"/>
      <c r="FL17" s="300"/>
      <c r="FM17" s="300"/>
      <c r="FN17" s="300"/>
      <c r="FO17" s="300"/>
      <c r="FP17" s="300"/>
      <c r="FQ17" s="300"/>
      <c r="FR17" s="300"/>
      <c r="FS17" s="300"/>
      <c r="FT17" s="300"/>
      <c r="FU17" s="300"/>
      <c r="FV17" s="300"/>
      <c r="FW17" s="300"/>
      <c r="FX17" s="300"/>
      <c r="FY17" s="300"/>
      <c r="FZ17" s="300"/>
      <c r="GA17" s="300"/>
      <c r="GB17" s="300"/>
      <c r="GC17" s="300"/>
      <c r="GD17" s="300"/>
      <c r="GE17" s="300"/>
      <c r="GF17" s="300"/>
      <c r="GG17" s="300"/>
      <c r="GH17" s="300"/>
      <c r="GI17" s="300"/>
      <c r="GJ17" s="300"/>
      <c r="GK17" s="300"/>
      <c r="GL17" s="300"/>
      <c r="GM17" s="300"/>
      <c r="GN17" s="300"/>
      <c r="GO17" s="300"/>
      <c r="GP17" s="300"/>
      <c r="GQ17" s="300"/>
      <c r="GR17" s="300"/>
      <c r="GS17" s="300"/>
      <c r="GT17" s="300"/>
      <c r="GU17" s="300"/>
      <c r="GV17" s="300"/>
      <c r="GW17" s="300"/>
      <c r="GX17" s="300"/>
      <c r="GY17" s="300"/>
      <c r="GZ17" s="300"/>
      <c r="HA17" s="300"/>
      <c r="HB17" s="300"/>
      <c r="HC17" s="300"/>
      <c r="HD17" s="300"/>
      <c r="HE17" s="300"/>
      <c r="HF17" s="300"/>
      <c r="HG17" s="300"/>
      <c r="HH17" s="300"/>
      <c r="HI17" s="300"/>
      <c r="HJ17" s="300"/>
      <c r="HK17" s="300"/>
      <c r="HL17" s="300"/>
      <c r="HM17" s="300"/>
      <c r="HN17" s="300"/>
      <c r="HO17" s="300"/>
      <c r="HP17" s="300"/>
      <c r="HQ17" s="300"/>
      <c r="HR17" s="300"/>
      <c r="HS17" s="300"/>
      <c r="HT17" s="300"/>
      <c r="HU17" s="300"/>
      <c r="HV17" s="300"/>
      <c r="HW17" s="300"/>
      <c r="HX17" s="300"/>
      <c r="HY17" s="300"/>
      <c r="HZ17" s="300"/>
      <c r="IA17" s="300"/>
      <c r="IB17" s="300"/>
      <c r="IC17" s="300"/>
    </row>
    <row r="18" ht="12.75" customHeight="1">
      <c r="A18" s="300"/>
      <c r="B18" s="300"/>
      <c r="C18" s="300"/>
      <c r="D18" s="300"/>
      <c r="E18" s="300"/>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96"/>
      <c r="BO18" s="300"/>
      <c r="BP18" s="300"/>
      <c r="BQ18" s="413" t="s">
        <v>459</v>
      </c>
      <c r="BR18" s="305"/>
      <c r="BS18" s="305"/>
      <c r="BT18" s="305"/>
      <c r="BU18" s="305"/>
      <c r="BV18" s="305"/>
      <c r="BW18" s="305"/>
      <c r="BX18" s="305"/>
      <c r="BY18" s="305"/>
      <c r="BZ18" s="305"/>
      <c r="CA18" s="305"/>
      <c r="CB18" s="306"/>
      <c r="CC18" s="300"/>
      <c r="CD18" s="300"/>
      <c r="CE18" s="398"/>
      <c r="CF18" s="300"/>
      <c r="CG18" s="300"/>
      <c r="CH18" s="300"/>
      <c r="CI18" s="300"/>
      <c r="CJ18" s="300"/>
      <c r="CK18" s="300"/>
      <c r="CL18" s="300"/>
      <c r="CM18" s="300"/>
      <c r="CN18" s="300"/>
      <c r="CO18" s="300"/>
      <c r="CP18" s="300"/>
      <c r="CQ18" s="300"/>
      <c r="CR18" s="300"/>
      <c r="CS18" s="300"/>
      <c r="CT18" s="300"/>
      <c r="CU18" s="300"/>
      <c r="CV18" s="300"/>
      <c r="CW18" s="300"/>
      <c r="CX18" s="300"/>
      <c r="CY18" s="300"/>
      <c r="CZ18" s="300"/>
      <c r="DA18" s="300"/>
      <c r="DB18" s="300"/>
      <c r="DC18" s="300"/>
      <c r="DD18" s="300"/>
      <c r="DE18" s="300"/>
      <c r="DF18" s="300"/>
      <c r="DG18" s="300"/>
      <c r="DH18" s="300"/>
      <c r="DI18" s="300"/>
      <c r="DJ18" s="300"/>
      <c r="DK18" s="300"/>
      <c r="DL18" s="300"/>
      <c r="DM18" s="300"/>
      <c r="DN18" s="300"/>
      <c r="DO18" s="300"/>
      <c r="DP18" s="300"/>
      <c r="DQ18" s="300"/>
      <c r="DR18" s="300"/>
      <c r="DS18" s="300"/>
      <c r="DT18" s="300"/>
      <c r="DU18" s="300"/>
      <c r="DV18" s="300"/>
      <c r="DW18" s="300"/>
      <c r="DX18" s="300"/>
      <c r="DY18" s="300"/>
      <c r="DZ18" s="300"/>
      <c r="EA18" s="300"/>
      <c r="EB18" s="300" t="s">
        <v>460</v>
      </c>
      <c r="EC18" s="300"/>
      <c r="ED18" s="300"/>
      <c r="EE18" s="300"/>
      <c r="EF18" s="300"/>
      <c r="EG18" s="300"/>
      <c r="EH18" s="300"/>
      <c r="EI18" s="300"/>
      <c r="EJ18" s="300"/>
      <c r="EK18" s="300"/>
      <c r="EL18" s="300"/>
      <c r="EM18" s="300"/>
      <c r="EN18" s="300"/>
      <c r="EO18" s="300"/>
      <c r="EP18" s="300"/>
      <c r="EQ18" s="300"/>
      <c r="ER18" s="300"/>
      <c r="ES18" s="300"/>
      <c r="ET18" s="300"/>
      <c r="EU18" s="300"/>
      <c r="EV18" s="300"/>
      <c r="EW18" s="300"/>
      <c r="EX18" s="300"/>
      <c r="EY18" s="300"/>
      <c r="EZ18" s="300"/>
      <c r="FA18" s="300"/>
      <c r="FB18" s="300"/>
      <c r="FC18" s="300"/>
      <c r="FD18" s="300"/>
      <c r="FE18" s="300"/>
      <c r="FF18" s="300"/>
      <c r="FG18" s="300"/>
      <c r="FH18" s="300"/>
      <c r="FI18" s="300"/>
      <c r="FJ18" s="300"/>
      <c r="FK18" s="300"/>
      <c r="FL18" s="300"/>
      <c r="FM18" s="300"/>
      <c r="FN18" s="300"/>
      <c r="FO18" s="300"/>
      <c r="FP18" s="300"/>
      <c r="FQ18" s="300"/>
      <c r="FR18" s="300"/>
      <c r="FS18" s="300"/>
      <c r="FT18" s="300"/>
      <c r="FU18" s="300"/>
      <c r="FV18" s="300"/>
      <c r="FW18" s="300"/>
      <c r="FX18" s="300"/>
      <c r="FY18" s="300"/>
      <c r="FZ18" s="300"/>
      <c r="GA18" s="300"/>
      <c r="GB18" s="300"/>
      <c r="GC18" s="300"/>
      <c r="GD18" s="300"/>
      <c r="GE18" s="300"/>
      <c r="GF18" s="300"/>
      <c r="GG18" s="300"/>
      <c r="GH18" s="300"/>
      <c r="GI18" s="300"/>
      <c r="GJ18" s="300"/>
      <c r="GK18" s="300"/>
      <c r="GL18" s="300"/>
      <c r="GM18" s="300"/>
      <c r="GN18" s="300"/>
      <c r="GO18" s="300"/>
      <c r="GP18" s="300"/>
      <c r="GQ18" s="300"/>
      <c r="GR18" s="300"/>
      <c r="GS18" s="300"/>
      <c r="GT18" s="300"/>
      <c r="GU18" s="300"/>
      <c r="GV18" s="300"/>
      <c r="GW18" s="300"/>
      <c r="GX18" s="300"/>
      <c r="GY18" s="300"/>
      <c r="GZ18" s="300"/>
      <c r="HA18" s="300"/>
      <c r="HB18" s="300"/>
      <c r="HC18" s="300"/>
      <c r="HD18" s="300"/>
      <c r="HE18" s="300"/>
      <c r="HF18" s="300"/>
      <c r="HG18" s="300"/>
      <c r="HH18" s="300"/>
      <c r="HI18" s="300"/>
      <c r="HJ18" s="300"/>
      <c r="HK18" s="300"/>
      <c r="HL18" s="300"/>
      <c r="HM18" s="300"/>
      <c r="HN18" s="300"/>
      <c r="HO18" s="300"/>
      <c r="HP18" s="300"/>
      <c r="HQ18" s="300"/>
      <c r="HR18" s="300"/>
      <c r="HS18" s="300"/>
      <c r="HT18" s="300"/>
      <c r="HU18" s="300"/>
      <c r="HV18" s="300"/>
      <c r="HW18" s="300"/>
      <c r="HX18" s="300"/>
      <c r="HY18" s="300"/>
      <c r="HZ18" s="300"/>
      <c r="IA18" s="300"/>
      <c r="IB18" s="300"/>
      <c r="IC18" s="300"/>
    </row>
    <row r="19" ht="12.75" customHeight="1">
      <c r="A19" s="300"/>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t="s">
        <v>469</v>
      </c>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96"/>
      <c r="BO19" s="300"/>
      <c r="BP19" s="300"/>
      <c r="BQ19" s="331"/>
      <c r="BR19" s="332"/>
      <c r="BS19" s="332"/>
      <c r="BT19" s="332"/>
      <c r="BU19" s="332"/>
      <c r="BV19" s="332"/>
      <c r="BW19" s="332"/>
      <c r="BX19" s="332"/>
      <c r="BY19" s="332"/>
      <c r="BZ19" s="332"/>
      <c r="CA19" s="332"/>
      <c r="CB19" s="333"/>
      <c r="CC19" s="300"/>
      <c r="CD19" s="300"/>
      <c r="CE19" s="398"/>
      <c r="CF19" s="300"/>
      <c r="CG19" s="300"/>
      <c r="CH19" s="300"/>
      <c r="CI19" s="300"/>
      <c r="CJ19" s="300"/>
      <c r="CK19" s="300"/>
      <c r="CL19" s="300"/>
      <c r="CM19" s="300"/>
      <c r="CN19" s="300"/>
      <c r="CO19" s="300"/>
      <c r="CP19" s="300"/>
      <c r="CQ19" s="300"/>
      <c r="CR19" s="300"/>
      <c r="CS19" s="300"/>
      <c r="CT19" s="300"/>
      <c r="CU19" s="300"/>
      <c r="CV19" s="300"/>
      <c r="CW19" s="300"/>
      <c r="CX19" s="300"/>
      <c r="CY19" s="300"/>
      <c r="CZ19" s="300"/>
      <c r="DA19" s="300"/>
      <c r="DB19" s="300"/>
      <c r="DC19" s="300"/>
      <c r="DD19" s="300"/>
      <c r="DE19" s="300"/>
      <c r="DF19" s="300"/>
      <c r="DG19" s="300"/>
      <c r="DH19" s="300"/>
      <c r="DI19" s="300"/>
      <c r="DJ19" s="300"/>
      <c r="DK19" s="300"/>
      <c r="DL19" s="300"/>
      <c r="DM19" s="300"/>
      <c r="DN19" s="300"/>
      <c r="DO19" s="300"/>
      <c r="DP19" s="300"/>
      <c r="DQ19" s="300"/>
      <c r="DR19" s="300"/>
      <c r="DS19" s="300"/>
      <c r="DT19" s="300"/>
      <c r="DU19" s="300"/>
      <c r="DV19" s="300"/>
      <c r="DW19" s="300"/>
      <c r="DX19" s="300"/>
      <c r="DY19" s="300"/>
      <c r="DZ19" s="300"/>
      <c r="EA19" s="300"/>
      <c r="EB19" s="300" t="s">
        <v>471</v>
      </c>
      <c r="EC19" s="300"/>
      <c r="ED19" s="300"/>
      <c r="EE19" s="300"/>
      <c r="EF19" s="300"/>
      <c r="EG19" s="300"/>
      <c r="EH19" s="300"/>
      <c r="EI19" s="300"/>
      <c r="EJ19" s="300"/>
      <c r="EK19" s="300"/>
      <c r="EL19" s="300"/>
      <c r="EM19" s="300"/>
      <c r="EN19" s="300"/>
      <c r="EO19" s="300"/>
      <c r="EP19" s="300"/>
      <c r="EQ19" s="300"/>
      <c r="ER19" s="300"/>
      <c r="ES19" s="300"/>
      <c r="ET19" s="300"/>
      <c r="EU19" s="300"/>
      <c r="EV19" s="300"/>
      <c r="EW19" s="300"/>
      <c r="EX19" s="300"/>
      <c r="EY19" s="300"/>
      <c r="EZ19" s="300"/>
      <c r="FA19" s="300"/>
      <c r="FB19" s="300"/>
      <c r="FC19" s="300"/>
      <c r="FD19" s="300"/>
      <c r="FE19" s="300"/>
      <c r="FF19" s="300"/>
      <c r="FG19" s="300"/>
      <c r="FH19" s="300"/>
      <c r="FI19" s="300"/>
      <c r="FJ19" s="300"/>
      <c r="FK19" s="300"/>
      <c r="FL19" s="300"/>
      <c r="FM19" s="300"/>
      <c r="FN19" s="300"/>
      <c r="FO19" s="300"/>
      <c r="FP19" s="300"/>
      <c r="FQ19" s="300"/>
      <c r="FR19" s="300"/>
      <c r="FS19" s="300"/>
      <c r="FT19" s="300"/>
      <c r="FU19" s="300"/>
      <c r="FV19" s="300"/>
      <c r="FW19" s="300"/>
      <c r="FX19" s="300"/>
      <c r="FY19" s="300"/>
      <c r="FZ19" s="300"/>
      <c r="GA19" s="300"/>
      <c r="GB19" s="300"/>
      <c r="GC19" s="300"/>
      <c r="GD19" s="300"/>
      <c r="GE19" s="300"/>
      <c r="GF19" s="300"/>
      <c r="GG19" s="300"/>
      <c r="GH19" s="300"/>
      <c r="GI19" s="300"/>
      <c r="GJ19" s="300"/>
      <c r="GK19" s="300"/>
      <c r="GL19" s="300"/>
      <c r="GM19" s="300"/>
      <c r="GN19" s="300"/>
      <c r="GO19" s="300"/>
      <c r="GP19" s="300"/>
      <c r="GQ19" s="300"/>
      <c r="GR19" s="300"/>
      <c r="GS19" s="300"/>
      <c r="GT19" s="300"/>
      <c r="GU19" s="300"/>
      <c r="GV19" s="300"/>
      <c r="GW19" s="300"/>
      <c r="GX19" s="300"/>
      <c r="GY19" s="300"/>
      <c r="GZ19" s="300"/>
      <c r="HA19" s="300"/>
      <c r="HB19" s="300"/>
      <c r="HC19" s="300"/>
      <c r="HD19" s="300"/>
      <c r="HE19" s="300"/>
      <c r="HF19" s="300"/>
      <c r="HG19" s="300"/>
      <c r="HH19" s="300"/>
      <c r="HI19" s="300"/>
      <c r="HJ19" s="300"/>
      <c r="HK19" s="300"/>
      <c r="HL19" s="300"/>
      <c r="HM19" s="300"/>
      <c r="HN19" s="300"/>
      <c r="HO19" s="300"/>
      <c r="HP19" s="300"/>
      <c r="HQ19" s="300"/>
      <c r="HR19" s="300"/>
      <c r="HS19" s="300"/>
      <c r="HT19" s="300"/>
      <c r="HU19" s="300"/>
      <c r="HV19" s="300"/>
      <c r="HW19" s="300"/>
      <c r="HX19" s="300"/>
      <c r="HY19" s="300"/>
      <c r="HZ19" s="300"/>
      <c r="IA19" s="300"/>
      <c r="IB19" s="300"/>
      <c r="IC19" s="300"/>
    </row>
    <row r="20" ht="12.75" customHeight="1">
      <c r="A20" s="300"/>
      <c r="B20" s="300"/>
      <c r="C20" s="300"/>
      <c r="D20" s="300"/>
      <c r="E20" s="300"/>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96"/>
      <c r="BO20" s="300"/>
      <c r="BP20" s="300"/>
      <c r="BQ20" s="300"/>
      <c r="BR20" s="300"/>
      <c r="BS20" s="300"/>
      <c r="BT20" s="300"/>
      <c r="BU20" s="300"/>
      <c r="BV20" s="300"/>
      <c r="BW20" s="300"/>
      <c r="BX20" s="300"/>
      <c r="BY20" s="300"/>
      <c r="BZ20" s="300"/>
      <c r="CA20" s="300"/>
      <c r="CB20" s="300"/>
      <c r="CC20" s="300"/>
      <c r="CD20" s="300"/>
      <c r="CE20" s="398"/>
      <c r="CF20" s="300"/>
      <c r="CG20" s="300"/>
      <c r="CH20" s="300"/>
      <c r="CI20" s="300"/>
      <c r="CJ20" s="300"/>
      <c r="CK20" s="300"/>
      <c r="CL20" s="300"/>
      <c r="CM20" s="300"/>
      <c r="CN20" s="300"/>
      <c r="CO20" s="300"/>
      <c r="CP20" s="300"/>
      <c r="CQ20" s="300"/>
      <c r="CR20" s="300"/>
      <c r="CS20" s="300"/>
      <c r="CT20" s="300"/>
      <c r="CU20" s="300"/>
      <c r="CV20" s="300"/>
      <c r="CW20" s="300"/>
      <c r="CX20" s="300"/>
      <c r="CY20" s="300"/>
      <c r="CZ20" s="300"/>
      <c r="DA20" s="300"/>
      <c r="DB20" s="300"/>
      <c r="DC20" s="300"/>
      <c r="DD20" s="300"/>
      <c r="DE20" s="300"/>
      <c r="DF20" s="300"/>
      <c r="DG20" s="300"/>
      <c r="DH20" s="300"/>
      <c r="DI20" s="300"/>
      <c r="DJ20" s="300"/>
      <c r="DK20" s="300"/>
      <c r="DL20" s="300"/>
      <c r="DM20" s="300"/>
      <c r="DN20" s="300"/>
      <c r="DO20" s="300"/>
      <c r="DP20" s="300"/>
      <c r="DQ20" s="300"/>
      <c r="DR20" s="300"/>
      <c r="DS20" s="300"/>
      <c r="DT20" s="300"/>
      <c r="DU20" s="300"/>
      <c r="DV20" s="300"/>
      <c r="DW20" s="300"/>
      <c r="DX20" s="300"/>
      <c r="DY20" s="300"/>
      <c r="DZ20" s="300"/>
      <c r="EA20" s="300"/>
      <c r="EB20" s="300" t="s">
        <v>481</v>
      </c>
      <c r="EC20" s="300"/>
      <c r="ED20" s="300"/>
      <c r="EE20" s="300"/>
      <c r="EF20" s="300"/>
      <c r="EG20" s="300"/>
      <c r="EH20" s="300"/>
      <c r="EI20" s="300"/>
      <c r="EJ20" s="300"/>
      <c r="EK20" s="300"/>
      <c r="EL20" s="300"/>
      <c r="EM20" s="300"/>
      <c r="EN20" s="300"/>
      <c r="EO20" s="300"/>
      <c r="EP20" s="300"/>
      <c r="EQ20" s="300"/>
      <c r="ER20" s="300"/>
      <c r="ES20" s="300"/>
      <c r="ET20" s="300"/>
      <c r="EU20" s="300"/>
      <c r="EV20" s="300"/>
      <c r="EW20" s="300"/>
      <c r="EX20" s="300"/>
      <c r="EY20" s="300"/>
      <c r="EZ20" s="300"/>
      <c r="FA20" s="300"/>
      <c r="FB20" s="300"/>
      <c r="FC20" s="300"/>
      <c r="FD20" s="300"/>
      <c r="FE20" s="300"/>
      <c r="FF20" s="300"/>
      <c r="FG20" s="300"/>
      <c r="FH20" s="300"/>
      <c r="FI20" s="300"/>
      <c r="FJ20" s="300"/>
      <c r="FK20" s="300"/>
      <c r="FL20" s="300"/>
      <c r="FM20" s="300"/>
      <c r="FN20" s="300"/>
      <c r="FO20" s="300"/>
      <c r="FP20" s="300"/>
      <c r="FQ20" s="300"/>
      <c r="FR20" s="300"/>
      <c r="FS20" s="300"/>
      <c r="FT20" s="300"/>
      <c r="FU20" s="300"/>
      <c r="FV20" s="300"/>
      <c r="FW20" s="300"/>
      <c r="FX20" s="300"/>
      <c r="FY20" s="300"/>
      <c r="FZ20" s="300"/>
      <c r="GA20" s="300"/>
      <c r="GB20" s="300"/>
      <c r="GC20" s="300"/>
      <c r="GD20" s="300"/>
      <c r="GE20" s="300"/>
      <c r="GF20" s="300"/>
      <c r="GG20" s="300"/>
      <c r="GH20" s="300"/>
      <c r="GI20" s="300"/>
      <c r="GJ20" s="300"/>
      <c r="GK20" s="300"/>
      <c r="GL20" s="300"/>
      <c r="GM20" s="300"/>
      <c r="GN20" s="300"/>
      <c r="GO20" s="300"/>
      <c r="GP20" s="300"/>
      <c r="GQ20" s="300"/>
      <c r="GR20" s="300"/>
      <c r="GS20" s="300"/>
      <c r="GT20" s="300"/>
      <c r="GU20" s="300"/>
      <c r="GV20" s="300"/>
      <c r="GW20" s="300"/>
      <c r="GX20" s="300"/>
      <c r="GY20" s="300"/>
      <c r="GZ20" s="300"/>
      <c r="HA20" s="300"/>
      <c r="HB20" s="300"/>
      <c r="HC20" s="300"/>
      <c r="HD20" s="300"/>
      <c r="HE20" s="300"/>
      <c r="HF20" s="300"/>
      <c r="HG20" s="300"/>
      <c r="HH20" s="300"/>
      <c r="HI20" s="300"/>
      <c r="HJ20" s="300"/>
      <c r="HK20" s="300"/>
      <c r="HL20" s="300"/>
      <c r="HM20" s="300"/>
      <c r="HN20" s="300"/>
      <c r="HO20" s="300"/>
      <c r="HP20" s="300"/>
      <c r="HQ20" s="300"/>
      <c r="HR20" s="300"/>
      <c r="HS20" s="300"/>
      <c r="HT20" s="300"/>
      <c r="HU20" s="300"/>
      <c r="HV20" s="300"/>
      <c r="HW20" s="300"/>
      <c r="HX20" s="300"/>
      <c r="HY20" s="300"/>
      <c r="HZ20" s="300"/>
      <c r="IA20" s="300"/>
      <c r="IB20" s="300"/>
      <c r="IC20" s="300"/>
    </row>
    <row r="21" ht="12.75" customHeight="1">
      <c r="A21" s="300"/>
      <c r="B21" s="300"/>
      <c r="C21" s="300"/>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96"/>
      <c r="BO21" s="300"/>
      <c r="BP21" s="420" t="s">
        <v>483</v>
      </c>
      <c r="BQ21" s="300"/>
      <c r="BR21" s="300"/>
      <c r="BS21" s="423" t="s">
        <v>464</v>
      </c>
      <c r="BT21" s="425"/>
      <c r="BU21" s="300"/>
      <c r="BV21" s="300"/>
      <c r="BW21" s="300"/>
      <c r="BX21" s="300"/>
      <c r="BY21" s="300"/>
      <c r="BZ21" s="300"/>
      <c r="CA21" s="300"/>
      <c r="CB21" s="300"/>
      <c r="CC21" s="300"/>
      <c r="CD21" s="300"/>
      <c r="CE21" s="398"/>
      <c r="CF21" s="300"/>
      <c r="CG21" s="300"/>
      <c r="CH21" s="300"/>
      <c r="CI21" s="300"/>
      <c r="CJ21" s="300"/>
      <c r="CK21" s="300"/>
      <c r="CL21" s="300"/>
      <c r="CM21" s="300"/>
      <c r="CN21" s="300"/>
      <c r="CO21" s="300"/>
      <c r="CP21" s="300"/>
      <c r="CQ21" s="300"/>
      <c r="CR21" s="300"/>
      <c r="CS21" s="300"/>
      <c r="CT21" s="300"/>
      <c r="CU21" s="300"/>
      <c r="CV21" s="300"/>
      <c r="CW21" s="300"/>
      <c r="CX21" s="300"/>
      <c r="CY21" s="300"/>
      <c r="CZ21" s="300"/>
      <c r="DA21" s="300"/>
      <c r="DB21" s="300"/>
      <c r="DC21" s="300"/>
      <c r="DD21" s="300"/>
      <c r="DE21" s="300"/>
      <c r="DF21" s="300"/>
      <c r="DG21" s="300"/>
      <c r="DH21" s="300"/>
      <c r="DI21" s="300"/>
      <c r="DJ21" s="300"/>
      <c r="DK21" s="300"/>
      <c r="DL21" s="300"/>
      <c r="DM21" s="300"/>
      <c r="DN21" s="300"/>
      <c r="DO21" s="300"/>
      <c r="DP21" s="300"/>
      <c r="DQ21" s="300"/>
      <c r="DR21" s="300"/>
      <c r="DS21" s="300"/>
      <c r="DT21" s="300"/>
      <c r="DU21" s="300"/>
      <c r="DV21" s="300"/>
      <c r="DW21" s="300"/>
      <c r="DX21" s="300"/>
      <c r="DY21" s="300"/>
      <c r="DZ21" s="300"/>
      <c r="EA21" s="300"/>
      <c r="EB21" s="300" t="s">
        <v>485</v>
      </c>
      <c r="EC21" s="300"/>
      <c r="ED21" s="300"/>
      <c r="EE21" s="300"/>
      <c r="EF21" s="300"/>
      <c r="EG21" s="300"/>
      <c r="EH21" s="300"/>
      <c r="EI21" s="300"/>
      <c r="EJ21" s="300"/>
      <c r="EK21" s="300"/>
      <c r="EL21" s="300"/>
      <c r="EM21" s="300"/>
      <c r="EN21" s="300"/>
      <c r="EO21" s="300"/>
      <c r="EP21" s="300"/>
      <c r="EQ21" s="300"/>
      <c r="ER21" s="300"/>
      <c r="ES21" s="300"/>
      <c r="ET21" s="300"/>
      <c r="EU21" s="300"/>
      <c r="EV21" s="300"/>
      <c r="EW21" s="300"/>
      <c r="EX21" s="300"/>
      <c r="EY21" s="300"/>
      <c r="EZ21" s="300"/>
      <c r="FA21" s="300"/>
      <c r="FB21" s="300"/>
      <c r="FC21" s="300"/>
      <c r="FD21" s="300"/>
      <c r="FE21" s="300"/>
      <c r="FF21" s="300"/>
      <c r="FG21" s="300"/>
      <c r="FH21" s="300"/>
      <c r="FI21" s="300"/>
      <c r="FJ21" s="300"/>
      <c r="FK21" s="300"/>
      <c r="FL21" s="300"/>
      <c r="FM21" s="300"/>
      <c r="FN21" s="300"/>
      <c r="FO21" s="300"/>
      <c r="FP21" s="300"/>
      <c r="FQ21" s="300"/>
      <c r="FR21" s="300"/>
      <c r="FS21" s="300"/>
      <c r="FT21" s="300"/>
      <c r="FU21" s="300"/>
      <c r="FV21" s="300"/>
      <c r="FW21" s="300"/>
      <c r="FX21" s="300"/>
      <c r="FY21" s="300"/>
      <c r="FZ21" s="300"/>
      <c r="GA21" s="300"/>
      <c r="GB21" s="300"/>
      <c r="GC21" s="300"/>
      <c r="GD21" s="300"/>
      <c r="GE21" s="300"/>
      <c r="GF21" s="300"/>
      <c r="GG21" s="300"/>
      <c r="GH21" s="300"/>
      <c r="GI21" s="300"/>
      <c r="GJ21" s="300"/>
      <c r="GK21" s="300"/>
      <c r="GL21" s="300"/>
      <c r="GM21" s="300"/>
      <c r="GN21" s="300"/>
      <c r="GO21" s="300"/>
      <c r="GP21" s="300"/>
      <c r="GQ21" s="300"/>
      <c r="GR21" s="300"/>
      <c r="GS21" s="300"/>
      <c r="GT21" s="300"/>
      <c r="GU21" s="300"/>
      <c r="GV21" s="300"/>
      <c r="GW21" s="300"/>
      <c r="GX21" s="300"/>
      <c r="GY21" s="300"/>
      <c r="GZ21" s="300"/>
      <c r="HA21" s="300"/>
      <c r="HB21" s="300"/>
      <c r="HC21" s="300"/>
      <c r="HD21" s="300"/>
      <c r="HE21" s="300"/>
      <c r="HF21" s="300"/>
      <c r="HG21" s="300"/>
      <c r="HH21" s="300"/>
      <c r="HI21" s="300"/>
      <c r="HJ21" s="300"/>
      <c r="HK21" s="300"/>
      <c r="HL21" s="300"/>
      <c r="HM21" s="300"/>
      <c r="HN21" s="300"/>
      <c r="HO21" s="300"/>
      <c r="HP21" s="300"/>
      <c r="HQ21" s="300"/>
      <c r="HR21" s="300"/>
      <c r="HS21" s="300"/>
      <c r="HT21" s="300"/>
      <c r="HU21" s="300"/>
      <c r="HV21" s="300"/>
      <c r="HW21" s="300"/>
      <c r="HX21" s="300"/>
      <c r="HY21" s="300"/>
      <c r="HZ21" s="300"/>
      <c r="IA21" s="300"/>
      <c r="IB21" s="300"/>
      <c r="IC21" s="300"/>
    </row>
    <row r="22" ht="12.75" customHeight="1">
      <c r="A22" s="300"/>
      <c r="B22" s="300"/>
      <c r="C22" s="300"/>
      <c r="D22" s="300"/>
      <c r="E22" s="300"/>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96"/>
      <c r="BO22" s="300"/>
      <c r="BP22" s="447" t="s">
        <v>491</v>
      </c>
      <c r="BQ22" s="10"/>
      <c r="BR22" s="10"/>
      <c r="BS22" s="10"/>
      <c r="BT22" s="10"/>
      <c r="BU22" s="10"/>
      <c r="BV22" s="10"/>
      <c r="BW22" s="10"/>
      <c r="BX22" s="10"/>
      <c r="BY22" s="10"/>
      <c r="BZ22" s="10"/>
      <c r="CA22" s="10"/>
      <c r="CB22" s="10"/>
      <c r="CC22" s="19"/>
      <c r="CD22" s="467"/>
      <c r="CE22" s="398"/>
      <c r="CF22" s="300"/>
      <c r="CG22" s="300"/>
      <c r="CH22" s="300"/>
      <c r="CI22" s="300"/>
      <c r="CJ22" s="300"/>
      <c r="CK22" s="300"/>
      <c r="CL22" s="300"/>
      <c r="CM22" s="300"/>
      <c r="CN22" s="300"/>
      <c r="CO22" s="300"/>
      <c r="CP22" s="300"/>
      <c r="CQ22" s="300"/>
      <c r="CR22" s="300"/>
      <c r="CS22" s="300"/>
      <c r="CT22" s="300"/>
      <c r="CU22" s="300"/>
      <c r="CV22" s="300"/>
      <c r="CW22" s="300"/>
      <c r="CX22" s="300"/>
      <c r="CY22" s="300"/>
      <c r="CZ22" s="300"/>
      <c r="DA22" s="300"/>
      <c r="DB22" s="300"/>
      <c r="DC22" s="300"/>
      <c r="DD22" s="300"/>
      <c r="DE22" s="300"/>
      <c r="DF22" s="300"/>
      <c r="DG22" s="300"/>
      <c r="DH22" s="300"/>
      <c r="DI22" s="300"/>
      <c r="DJ22" s="300"/>
      <c r="DK22" s="300"/>
      <c r="DL22" s="300"/>
      <c r="DM22" s="300"/>
      <c r="DN22" s="300"/>
      <c r="DO22" s="300"/>
      <c r="DP22" s="300"/>
      <c r="DQ22" s="300"/>
      <c r="DR22" s="300"/>
      <c r="DS22" s="300"/>
      <c r="DT22" s="300"/>
      <c r="DU22" s="300"/>
      <c r="DV22" s="300"/>
      <c r="DW22" s="300"/>
      <c r="DX22" s="300"/>
      <c r="DY22" s="300"/>
      <c r="DZ22" s="300"/>
      <c r="EA22" s="300"/>
      <c r="EB22" s="300" t="s">
        <v>494</v>
      </c>
      <c r="EC22" s="300"/>
      <c r="ED22" s="300"/>
      <c r="EE22" s="300"/>
      <c r="EF22" s="300"/>
      <c r="EG22" s="300"/>
      <c r="EH22" s="300"/>
      <c r="EI22" s="300"/>
      <c r="EJ22" s="300"/>
      <c r="EK22" s="300"/>
      <c r="EL22" s="300"/>
      <c r="EM22" s="300"/>
      <c r="EN22" s="300"/>
      <c r="EO22" s="300"/>
      <c r="EP22" s="300"/>
      <c r="EQ22" s="300"/>
      <c r="ER22" s="300"/>
      <c r="ES22" s="300"/>
      <c r="ET22" s="300"/>
      <c r="EU22" s="300"/>
      <c r="EV22" s="300"/>
      <c r="EW22" s="300"/>
      <c r="EX22" s="300"/>
      <c r="EY22" s="300"/>
      <c r="EZ22" s="300"/>
      <c r="FA22" s="300"/>
      <c r="FB22" s="300"/>
      <c r="FC22" s="300"/>
      <c r="FD22" s="300"/>
      <c r="FE22" s="300"/>
      <c r="FF22" s="300"/>
      <c r="FG22" s="300"/>
      <c r="FH22" s="300"/>
      <c r="FI22" s="300"/>
      <c r="FJ22" s="300"/>
      <c r="FK22" s="300"/>
      <c r="FL22" s="300"/>
      <c r="FM22" s="300"/>
      <c r="FN22" s="300"/>
      <c r="FO22" s="300"/>
      <c r="FP22" s="300"/>
      <c r="FQ22" s="300"/>
      <c r="FR22" s="300"/>
      <c r="FS22" s="300"/>
      <c r="FT22" s="300"/>
      <c r="FU22" s="300"/>
      <c r="FV22" s="300"/>
      <c r="FW22" s="300"/>
      <c r="FX22" s="300"/>
      <c r="FY22" s="300"/>
      <c r="FZ22" s="300"/>
      <c r="GA22" s="300"/>
      <c r="GB22" s="300"/>
      <c r="GC22" s="300"/>
      <c r="GD22" s="300"/>
      <c r="GE22" s="300"/>
      <c r="GF22" s="300"/>
      <c r="GG22" s="300"/>
      <c r="GH22" s="300"/>
      <c r="GI22" s="300"/>
      <c r="GJ22" s="300"/>
      <c r="GK22" s="300"/>
      <c r="GL22" s="300"/>
      <c r="GM22" s="300"/>
      <c r="GN22" s="300"/>
      <c r="GO22" s="300"/>
      <c r="GP22" s="300"/>
      <c r="GQ22" s="300"/>
      <c r="GR22" s="300"/>
      <c r="GS22" s="300"/>
      <c r="GT22" s="300"/>
      <c r="GU22" s="300"/>
      <c r="GV22" s="300"/>
      <c r="GW22" s="300"/>
      <c r="GX22" s="300"/>
      <c r="GY22" s="300"/>
      <c r="GZ22" s="300"/>
      <c r="HA22" s="300"/>
      <c r="HB22" s="300"/>
      <c r="HC22" s="300"/>
      <c r="HD22" s="300"/>
      <c r="HE22" s="300"/>
      <c r="HF22" s="300"/>
      <c r="HG22" s="300"/>
      <c r="HH22" s="300"/>
      <c r="HI22" s="300"/>
      <c r="HJ22" s="300"/>
      <c r="HK22" s="300"/>
      <c r="HL22" s="300"/>
      <c r="HM22" s="300"/>
      <c r="HN22" s="300"/>
      <c r="HO22" s="300"/>
      <c r="HP22" s="300"/>
      <c r="HQ22" s="300"/>
      <c r="HR22" s="300"/>
      <c r="HS22" s="300"/>
      <c r="HT22" s="300"/>
      <c r="HU22" s="300"/>
      <c r="HV22" s="300"/>
      <c r="HW22" s="300"/>
      <c r="HX22" s="300"/>
      <c r="HY22" s="300"/>
      <c r="HZ22" s="300"/>
      <c r="IA22" s="300"/>
      <c r="IB22" s="300"/>
      <c r="IC22" s="300"/>
    </row>
    <row r="23" ht="12.75" customHeight="1">
      <c r="A23" s="300"/>
      <c r="B23" s="300"/>
      <c r="C23" s="300"/>
      <c r="D23" s="300"/>
      <c r="E23" s="300"/>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c r="AF23" s="300"/>
      <c r="AG23" s="300"/>
      <c r="AH23" s="300"/>
      <c r="AI23" s="300"/>
      <c r="AJ23" s="300"/>
      <c r="AK23" s="300"/>
      <c r="AL23" s="300"/>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96"/>
      <c r="BO23" s="300"/>
      <c r="BP23" s="394"/>
      <c r="BQ23" s="52"/>
      <c r="BR23" s="52"/>
      <c r="BS23" s="52"/>
      <c r="BT23" s="52"/>
      <c r="BU23" s="52"/>
      <c r="BV23" s="52"/>
      <c r="BW23" s="52"/>
      <c r="BX23" s="52"/>
      <c r="BY23" s="52"/>
      <c r="BZ23" s="52"/>
      <c r="CA23" s="52"/>
      <c r="CB23" s="52"/>
      <c r="CC23" s="30"/>
      <c r="CD23" s="467"/>
      <c r="CE23" s="398"/>
      <c r="CF23" s="300"/>
      <c r="CG23" s="300"/>
      <c r="CH23" s="300"/>
      <c r="CI23" s="300"/>
      <c r="CJ23" s="300"/>
      <c r="CK23" s="300"/>
      <c r="CL23" s="300"/>
      <c r="CM23" s="300"/>
      <c r="CN23" s="300"/>
      <c r="CO23" s="300"/>
      <c r="CP23" s="300"/>
      <c r="CQ23" s="300"/>
      <c r="CR23" s="300"/>
      <c r="CS23" s="300"/>
      <c r="CT23" s="300"/>
      <c r="CU23" s="300"/>
      <c r="CV23" s="300"/>
      <c r="CW23" s="300"/>
      <c r="CX23" s="300"/>
      <c r="CY23" s="300"/>
      <c r="CZ23" s="300"/>
      <c r="DA23" s="300"/>
      <c r="DB23" s="300"/>
      <c r="DC23" s="300"/>
      <c r="DD23" s="300"/>
      <c r="DE23" s="300"/>
      <c r="DF23" s="300"/>
      <c r="DG23" s="300"/>
      <c r="DH23" s="300"/>
      <c r="DI23" s="300"/>
      <c r="DJ23" s="300"/>
      <c r="DK23" s="300"/>
      <c r="DL23" s="300"/>
      <c r="DM23" s="300"/>
      <c r="DN23" s="300"/>
      <c r="DO23" s="300"/>
      <c r="DP23" s="300"/>
      <c r="DQ23" s="300"/>
      <c r="DR23" s="300"/>
      <c r="DS23" s="300"/>
      <c r="DT23" s="300"/>
      <c r="DU23" s="300"/>
      <c r="DV23" s="300"/>
      <c r="DW23" s="300"/>
      <c r="DX23" s="300"/>
      <c r="DY23" s="300"/>
      <c r="DZ23" s="300"/>
      <c r="EA23" s="300"/>
      <c r="EB23" s="300"/>
      <c r="EC23" s="300"/>
      <c r="ED23" s="300"/>
      <c r="EE23" s="300"/>
      <c r="EF23" s="300"/>
      <c r="EG23" s="300"/>
      <c r="EH23" s="300"/>
      <c r="EI23" s="300"/>
      <c r="EJ23" s="300"/>
      <c r="EK23" s="300"/>
      <c r="EL23" s="300"/>
      <c r="EM23" s="300"/>
      <c r="EN23" s="300"/>
      <c r="EO23" s="300"/>
      <c r="EP23" s="300"/>
      <c r="EQ23" s="300"/>
      <c r="ER23" s="300"/>
      <c r="ES23" s="300"/>
      <c r="ET23" s="300"/>
      <c r="EU23" s="300"/>
      <c r="EV23" s="300"/>
      <c r="EW23" s="300"/>
      <c r="EX23" s="300"/>
      <c r="EY23" s="300"/>
      <c r="EZ23" s="300"/>
      <c r="FA23" s="300"/>
      <c r="FB23" s="300"/>
      <c r="FC23" s="300"/>
      <c r="FD23" s="300"/>
      <c r="FE23" s="300"/>
      <c r="FF23" s="300"/>
      <c r="FG23" s="300"/>
      <c r="FH23" s="300"/>
      <c r="FI23" s="300"/>
      <c r="FJ23" s="300"/>
      <c r="FK23" s="300"/>
      <c r="FL23" s="300"/>
      <c r="FM23" s="300"/>
      <c r="FN23" s="300"/>
      <c r="FO23" s="300"/>
      <c r="FP23" s="300"/>
      <c r="FQ23" s="300"/>
      <c r="FR23" s="300"/>
      <c r="FS23" s="300"/>
      <c r="FT23" s="300"/>
      <c r="FU23" s="300"/>
      <c r="FV23" s="300"/>
      <c r="FW23" s="300"/>
      <c r="FX23" s="300"/>
      <c r="FY23" s="300"/>
      <c r="FZ23" s="300"/>
      <c r="GA23" s="300"/>
      <c r="GB23" s="300"/>
      <c r="GC23" s="300"/>
      <c r="GD23" s="300"/>
      <c r="GE23" s="300"/>
      <c r="GF23" s="300"/>
      <c r="GG23" s="300"/>
      <c r="GH23" s="300"/>
      <c r="GI23" s="300"/>
      <c r="GJ23" s="300"/>
      <c r="GK23" s="300"/>
      <c r="GL23" s="300"/>
      <c r="GM23" s="300"/>
      <c r="GN23" s="300"/>
      <c r="GO23" s="300"/>
      <c r="GP23" s="300"/>
      <c r="GQ23" s="300"/>
      <c r="GR23" s="300"/>
      <c r="GS23" s="300"/>
      <c r="GT23" s="300"/>
      <c r="GU23" s="300"/>
      <c r="GV23" s="300"/>
      <c r="GW23" s="300"/>
      <c r="GX23" s="300"/>
      <c r="GY23" s="300"/>
      <c r="GZ23" s="300"/>
      <c r="HA23" s="300"/>
      <c r="HB23" s="300"/>
      <c r="HC23" s="300"/>
      <c r="HD23" s="300"/>
      <c r="HE23" s="300"/>
      <c r="HF23" s="300"/>
      <c r="HG23" s="300"/>
      <c r="HH23" s="300"/>
      <c r="HI23" s="300"/>
      <c r="HJ23" s="300"/>
      <c r="HK23" s="300"/>
      <c r="HL23" s="300"/>
      <c r="HM23" s="300"/>
      <c r="HN23" s="300"/>
      <c r="HO23" s="300"/>
      <c r="HP23" s="300"/>
      <c r="HQ23" s="300"/>
      <c r="HR23" s="300"/>
      <c r="HS23" s="300"/>
      <c r="HT23" s="300"/>
      <c r="HU23" s="300"/>
      <c r="HV23" s="300"/>
      <c r="HW23" s="300"/>
      <c r="HX23" s="300"/>
      <c r="HY23" s="300"/>
      <c r="HZ23" s="300"/>
      <c r="IA23" s="300"/>
      <c r="IB23" s="300"/>
      <c r="IC23" s="300"/>
    </row>
    <row r="24" ht="12.75" customHeight="1">
      <c r="A24" s="300"/>
      <c r="B24" s="300"/>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96"/>
      <c r="BO24" s="300"/>
      <c r="BP24" s="300"/>
      <c r="BQ24" s="300"/>
      <c r="BR24" s="300"/>
      <c r="BS24" s="300"/>
      <c r="BT24" s="300"/>
      <c r="BU24" s="300"/>
      <c r="BV24" s="300"/>
      <c r="BW24" s="300"/>
      <c r="BX24" s="300"/>
      <c r="BY24" s="300"/>
      <c r="BZ24" s="300"/>
      <c r="CA24" s="300"/>
      <c r="CB24" s="300"/>
      <c r="CC24" s="300"/>
      <c r="CD24" s="300"/>
      <c r="CE24" s="398"/>
      <c r="CF24" s="300"/>
      <c r="CG24" s="300"/>
      <c r="CH24" s="300"/>
      <c r="CI24" s="300"/>
      <c r="CJ24" s="300"/>
      <c r="CK24" s="300"/>
      <c r="CL24" s="300"/>
      <c r="CM24" s="300"/>
      <c r="CN24" s="300"/>
      <c r="CO24" s="300"/>
      <c r="CP24" s="300"/>
      <c r="CQ24" s="300"/>
      <c r="CR24" s="300"/>
      <c r="CS24" s="300"/>
      <c r="CT24" s="300"/>
      <c r="CU24" s="300"/>
      <c r="CV24" s="300"/>
      <c r="CW24" s="300"/>
      <c r="CX24" s="300"/>
      <c r="CY24" s="300"/>
      <c r="CZ24" s="300"/>
      <c r="DA24" s="300"/>
      <c r="DB24" s="300"/>
      <c r="DC24" s="300"/>
      <c r="DD24" s="300"/>
      <c r="DE24" s="300"/>
      <c r="DF24" s="300"/>
      <c r="DG24" s="300"/>
      <c r="DH24" s="300"/>
      <c r="DI24" s="300"/>
      <c r="DJ24" s="300"/>
      <c r="DK24" s="300"/>
      <c r="DL24" s="300"/>
      <c r="DM24" s="300"/>
      <c r="DN24" s="300"/>
      <c r="DO24" s="300"/>
      <c r="DP24" s="300"/>
      <c r="DQ24" s="300"/>
      <c r="DR24" s="300"/>
      <c r="DS24" s="300"/>
      <c r="DT24" s="300"/>
      <c r="DU24" s="300"/>
      <c r="DV24" s="300"/>
      <c r="DW24" s="300"/>
      <c r="DX24" s="300"/>
      <c r="DY24" s="300"/>
      <c r="DZ24" s="300"/>
      <c r="EA24" s="300"/>
      <c r="EB24" s="300"/>
      <c r="EC24" s="300"/>
      <c r="ED24" s="300"/>
      <c r="EE24" s="300"/>
      <c r="EF24" s="300"/>
      <c r="EG24" s="300"/>
      <c r="EH24" s="300"/>
      <c r="EI24" s="300"/>
      <c r="EJ24" s="300"/>
      <c r="EK24" s="300"/>
      <c r="EL24" s="300"/>
      <c r="EM24" s="300"/>
      <c r="EN24" s="300"/>
      <c r="EO24" s="300"/>
      <c r="EP24" s="300"/>
      <c r="EQ24" s="300"/>
      <c r="ER24" s="300"/>
      <c r="ES24" s="300"/>
      <c r="ET24" s="300"/>
      <c r="EU24" s="300"/>
      <c r="EV24" s="300"/>
      <c r="EW24" s="300"/>
      <c r="EX24" s="300"/>
      <c r="EY24" s="300"/>
      <c r="EZ24" s="300"/>
      <c r="FA24" s="300"/>
      <c r="FB24" s="300"/>
      <c r="FC24" s="300"/>
      <c r="FD24" s="300"/>
      <c r="FE24" s="300"/>
      <c r="FF24" s="300"/>
      <c r="FG24" s="300"/>
      <c r="FH24" s="300"/>
      <c r="FI24" s="300"/>
      <c r="FJ24" s="300"/>
      <c r="FK24" s="300"/>
      <c r="FL24" s="300"/>
      <c r="FM24" s="300"/>
      <c r="FN24" s="300"/>
      <c r="FO24" s="300"/>
      <c r="FP24" s="300"/>
      <c r="FQ24" s="300"/>
      <c r="FR24" s="300"/>
      <c r="FS24" s="300"/>
      <c r="FT24" s="300"/>
      <c r="FU24" s="300"/>
      <c r="FV24" s="300"/>
      <c r="FW24" s="300"/>
      <c r="FX24" s="300"/>
      <c r="FY24" s="300"/>
      <c r="FZ24" s="300"/>
      <c r="GA24" s="300"/>
      <c r="GB24" s="300"/>
      <c r="GC24" s="300"/>
      <c r="GD24" s="300"/>
      <c r="GE24" s="300"/>
      <c r="GF24" s="300"/>
      <c r="GG24" s="300"/>
      <c r="GH24" s="300"/>
      <c r="GI24" s="300"/>
      <c r="GJ24" s="300"/>
      <c r="GK24" s="300"/>
      <c r="GL24" s="300"/>
      <c r="GM24" s="300"/>
      <c r="GN24" s="300"/>
      <c r="GO24" s="300"/>
      <c r="GP24" s="300"/>
      <c r="GQ24" s="300"/>
      <c r="GR24" s="300"/>
      <c r="GS24" s="300"/>
      <c r="GT24" s="300"/>
      <c r="GU24" s="300"/>
      <c r="GV24" s="300"/>
      <c r="GW24" s="300"/>
      <c r="GX24" s="300"/>
      <c r="GY24" s="300"/>
      <c r="GZ24" s="300"/>
      <c r="HA24" s="300"/>
      <c r="HB24" s="300"/>
      <c r="HC24" s="300"/>
      <c r="HD24" s="300"/>
      <c r="HE24" s="300"/>
      <c r="HF24" s="300"/>
      <c r="HG24" s="300"/>
      <c r="HH24" s="300"/>
      <c r="HI24" s="300"/>
      <c r="HJ24" s="300"/>
      <c r="HK24" s="300"/>
      <c r="HL24" s="300"/>
      <c r="HM24" s="300"/>
      <c r="HN24" s="300"/>
      <c r="HO24" s="300"/>
      <c r="HP24" s="300"/>
      <c r="HQ24" s="300"/>
      <c r="HR24" s="300"/>
      <c r="HS24" s="300"/>
      <c r="HT24" s="300"/>
      <c r="HU24" s="300"/>
      <c r="HV24" s="300"/>
      <c r="HW24" s="300"/>
      <c r="HX24" s="300"/>
      <c r="HY24" s="300"/>
      <c r="HZ24" s="300"/>
      <c r="IA24" s="300"/>
      <c r="IB24" s="300"/>
      <c r="IC24" s="300"/>
    </row>
    <row r="25" ht="12.75" customHeight="1">
      <c r="A25" s="300"/>
      <c r="B25" s="300"/>
      <c r="C25" s="300"/>
      <c r="D25" s="300"/>
      <c r="E25" s="300"/>
      <c r="F25" s="300"/>
      <c r="G25" s="300"/>
      <c r="H25" s="300"/>
      <c r="I25" s="300"/>
      <c r="J25" s="300"/>
      <c r="K25" s="300"/>
      <c r="L25" s="300"/>
      <c r="M25" s="300"/>
      <c r="N25" s="300"/>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0"/>
      <c r="BD25" s="300"/>
      <c r="BE25" s="300"/>
      <c r="BF25" s="300"/>
      <c r="BG25" s="300"/>
      <c r="BH25" s="300"/>
      <c r="BI25" s="300"/>
      <c r="BJ25" s="300"/>
      <c r="BK25" s="300"/>
      <c r="BL25" s="300"/>
      <c r="BM25" s="300"/>
      <c r="BN25" s="396"/>
      <c r="BO25" s="300"/>
      <c r="BP25" s="420" t="s">
        <v>498</v>
      </c>
      <c r="BQ25" s="300"/>
      <c r="BR25" s="300"/>
      <c r="BS25" s="300"/>
      <c r="BT25" s="300"/>
      <c r="BU25" s="300"/>
      <c r="BV25" s="300"/>
      <c r="BW25" s="300"/>
      <c r="BX25" s="300"/>
      <c r="BY25" s="300"/>
      <c r="BZ25" s="300"/>
      <c r="CA25" s="300"/>
      <c r="CB25" s="300"/>
      <c r="CC25" s="300"/>
      <c r="CD25" s="300"/>
      <c r="CE25" s="398"/>
      <c r="CF25" s="300"/>
      <c r="CG25" s="300"/>
      <c r="CH25" s="300"/>
      <c r="CI25" s="300"/>
      <c r="CJ25" s="300"/>
      <c r="CK25" s="300"/>
      <c r="CL25" s="300"/>
      <c r="CM25" s="300"/>
      <c r="CN25" s="300"/>
      <c r="CO25" s="300"/>
      <c r="CP25" s="300"/>
      <c r="CQ25" s="300"/>
      <c r="CR25" s="300"/>
      <c r="CS25" s="300"/>
      <c r="CT25" s="300"/>
      <c r="CU25" s="300"/>
      <c r="CV25" s="300"/>
      <c r="CW25" s="300"/>
      <c r="CX25" s="300"/>
      <c r="CY25" s="300"/>
      <c r="CZ25" s="300"/>
      <c r="DA25" s="300"/>
      <c r="DB25" s="300"/>
      <c r="DC25" s="300"/>
      <c r="DD25" s="300"/>
      <c r="DE25" s="300"/>
      <c r="DF25" s="300"/>
      <c r="DG25" s="300"/>
      <c r="DH25" s="300"/>
      <c r="DI25" s="300"/>
      <c r="DJ25" s="300"/>
      <c r="DK25" s="300"/>
      <c r="DL25" s="300"/>
      <c r="DM25" s="300"/>
      <c r="DN25" s="300"/>
      <c r="DO25" s="300"/>
      <c r="DP25" s="300"/>
      <c r="DQ25" s="300"/>
      <c r="DR25" s="300"/>
      <c r="DS25" s="300"/>
      <c r="DT25" s="300"/>
      <c r="DU25" s="300"/>
      <c r="DV25" s="300"/>
      <c r="DW25" s="300"/>
      <c r="DX25" s="300"/>
      <c r="DY25" s="300"/>
      <c r="DZ25" s="300"/>
      <c r="EA25" s="300"/>
      <c r="EB25" s="300"/>
      <c r="EC25" s="300"/>
      <c r="ED25" s="300"/>
      <c r="EE25" s="300"/>
      <c r="EF25" s="300"/>
      <c r="EG25" s="300"/>
      <c r="EH25" s="300"/>
      <c r="EI25" s="300"/>
      <c r="EJ25" s="300"/>
      <c r="EK25" s="300"/>
      <c r="EL25" s="300"/>
      <c r="EM25" s="300"/>
      <c r="EN25" s="300"/>
      <c r="EO25" s="300"/>
      <c r="EP25" s="300"/>
      <c r="EQ25" s="300"/>
      <c r="ER25" s="300"/>
      <c r="ES25" s="300"/>
      <c r="ET25" s="300"/>
      <c r="EU25" s="300"/>
      <c r="EV25" s="300"/>
      <c r="EW25" s="300"/>
      <c r="EX25" s="300"/>
      <c r="EY25" s="300"/>
      <c r="EZ25" s="300"/>
      <c r="FA25" s="300"/>
      <c r="FB25" s="300"/>
      <c r="FC25" s="300"/>
      <c r="FD25" s="300"/>
      <c r="FE25" s="300"/>
      <c r="FF25" s="300"/>
      <c r="FG25" s="300"/>
      <c r="FH25" s="300"/>
      <c r="FI25" s="300"/>
      <c r="FJ25" s="300"/>
      <c r="FK25" s="300"/>
      <c r="FL25" s="300"/>
      <c r="FM25" s="300"/>
      <c r="FN25" s="300"/>
      <c r="FO25" s="300"/>
      <c r="FP25" s="300"/>
      <c r="FQ25" s="300"/>
      <c r="FR25" s="300"/>
      <c r="FS25" s="300"/>
      <c r="FT25" s="300"/>
      <c r="FU25" s="300"/>
      <c r="FV25" s="300"/>
      <c r="FW25" s="300"/>
      <c r="FX25" s="300"/>
      <c r="FY25" s="300"/>
      <c r="FZ25" s="300"/>
      <c r="GA25" s="300"/>
      <c r="GB25" s="300"/>
      <c r="GC25" s="300"/>
      <c r="GD25" s="300"/>
      <c r="GE25" s="300"/>
      <c r="GF25" s="300"/>
      <c r="GG25" s="300"/>
      <c r="GH25" s="300"/>
      <c r="GI25" s="300"/>
      <c r="GJ25" s="300"/>
      <c r="GK25" s="300"/>
      <c r="GL25" s="300"/>
      <c r="GM25" s="300"/>
      <c r="GN25" s="300"/>
      <c r="GO25" s="300"/>
      <c r="GP25" s="300"/>
      <c r="GQ25" s="300"/>
      <c r="GR25" s="300"/>
      <c r="GS25" s="300"/>
      <c r="GT25" s="300"/>
      <c r="GU25" s="300"/>
      <c r="GV25" s="300"/>
      <c r="GW25" s="300"/>
      <c r="GX25" s="300"/>
      <c r="GY25" s="300"/>
      <c r="GZ25" s="300"/>
      <c r="HA25" s="300"/>
      <c r="HB25" s="300"/>
      <c r="HC25" s="300"/>
      <c r="HD25" s="300"/>
      <c r="HE25" s="300"/>
      <c r="HF25" s="300"/>
      <c r="HG25" s="300"/>
      <c r="HH25" s="300"/>
      <c r="HI25" s="300"/>
      <c r="HJ25" s="300"/>
      <c r="HK25" s="300"/>
      <c r="HL25" s="300"/>
      <c r="HM25" s="300"/>
      <c r="HN25" s="300"/>
      <c r="HO25" s="300"/>
      <c r="HP25" s="300"/>
      <c r="HQ25" s="300"/>
      <c r="HR25" s="300"/>
      <c r="HS25" s="300"/>
      <c r="HT25" s="300"/>
      <c r="HU25" s="300"/>
      <c r="HV25" s="300"/>
      <c r="HW25" s="300"/>
      <c r="HX25" s="300"/>
      <c r="HY25" s="300"/>
      <c r="HZ25" s="300"/>
      <c r="IA25" s="300"/>
      <c r="IB25" s="300"/>
      <c r="IC25" s="300"/>
    </row>
    <row r="26" ht="12.75" customHeight="1">
      <c r="A26" s="300"/>
      <c r="B26" s="376" t="s">
        <v>441</v>
      </c>
      <c r="C26" s="378"/>
      <c r="D26" s="378"/>
      <c r="E26" s="378"/>
      <c r="F26" s="378"/>
      <c r="G26" s="378"/>
      <c r="H26" s="378"/>
      <c r="I26" s="378"/>
      <c r="J26" s="378"/>
      <c r="K26" s="378"/>
      <c r="L26" s="378"/>
      <c r="M26" s="378"/>
      <c r="N26" s="378"/>
      <c r="O26" s="378"/>
      <c r="P26" s="378"/>
      <c r="Q26" s="378"/>
      <c r="R26" s="378"/>
      <c r="S26" s="380"/>
      <c r="T26" s="300"/>
      <c r="U26" s="300"/>
      <c r="V26" s="300"/>
      <c r="W26" s="300"/>
      <c r="X26" s="376" t="s">
        <v>441</v>
      </c>
      <c r="Y26" s="378"/>
      <c r="Z26" s="378"/>
      <c r="AA26" s="378"/>
      <c r="AB26" s="378"/>
      <c r="AC26" s="378"/>
      <c r="AD26" s="378"/>
      <c r="AE26" s="378"/>
      <c r="AF26" s="378"/>
      <c r="AG26" s="378"/>
      <c r="AH26" s="378"/>
      <c r="AI26" s="378"/>
      <c r="AJ26" s="378"/>
      <c r="AK26" s="378"/>
      <c r="AL26" s="378"/>
      <c r="AM26" s="378"/>
      <c r="AN26" s="378"/>
      <c r="AO26" s="380"/>
      <c r="AP26" s="300"/>
      <c r="AQ26" s="300"/>
      <c r="AR26" s="300"/>
      <c r="AS26" s="376" t="s">
        <v>441</v>
      </c>
      <c r="AT26" s="378"/>
      <c r="AU26" s="378"/>
      <c r="AV26" s="378"/>
      <c r="AW26" s="378"/>
      <c r="AX26" s="378"/>
      <c r="AY26" s="378"/>
      <c r="AZ26" s="378"/>
      <c r="BA26" s="378"/>
      <c r="BB26" s="378"/>
      <c r="BC26" s="378"/>
      <c r="BD26" s="378"/>
      <c r="BE26" s="378"/>
      <c r="BF26" s="378"/>
      <c r="BG26" s="378"/>
      <c r="BH26" s="378"/>
      <c r="BI26" s="378"/>
      <c r="BJ26" s="380"/>
      <c r="BK26" s="300"/>
      <c r="BL26" s="300"/>
      <c r="BM26" s="300"/>
      <c r="BN26" s="396"/>
      <c r="BO26" s="300"/>
      <c r="BP26" s="447"/>
      <c r="BQ26" s="10"/>
      <c r="BR26" s="10"/>
      <c r="BS26" s="10"/>
      <c r="BT26" s="10"/>
      <c r="BU26" s="10"/>
      <c r="BV26" s="10"/>
      <c r="BW26" s="10"/>
      <c r="BX26" s="10"/>
      <c r="BY26" s="10"/>
      <c r="BZ26" s="10"/>
      <c r="CA26" s="10"/>
      <c r="CB26" s="10"/>
      <c r="CC26" s="19"/>
      <c r="CD26" s="467"/>
      <c r="CE26" s="398"/>
      <c r="CF26" s="300"/>
      <c r="CG26" s="300"/>
      <c r="CH26" s="300"/>
      <c r="CI26" s="300"/>
      <c r="CJ26" s="376" t="s">
        <v>441</v>
      </c>
      <c r="CK26" s="378"/>
      <c r="CL26" s="378"/>
      <c r="CM26" s="378"/>
      <c r="CN26" s="378"/>
      <c r="CO26" s="378"/>
      <c r="CP26" s="378"/>
      <c r="CQ26" s="378"/>
      <c r="CR26" s="378"/>
      <c r="CS26" s="378"/>
      <c r="CT26" s="378"/>
      <c r="CU26" s="378"/>
      <c r="CV26" s="378"/>
      <c r="CW26" s="378"/>
      <c r="CX26" s="378"/>
      <c r="CY26" s="378"/>
      <c r="CZ26" s="378"/>
      <c r="DA26" s="380"/>
      <c r="DB26" s="300"/>
      <c r="DC26" s="300"/>
      <c r="DD26" s="300"/>
      <c r="DE26" s="300"/>
      <c r="DF26" s="376" t="s">
        <v>441</v>
      </c>
      <c r="DG26" s="378"/>
      <c r="DH26" s="378"/>
      <c r="DI26" s="378"/>
      <c r="DJ26" s="378"/>
      <c r="DK26" s="378"/>
      <c r="DL26" s="378"/>
      <c r="DM26" s="378"/>
      <c r="DN26" s="378"/>
      <c r="DO26" s="378"/>
      <c r="DP26" s="378"/>
      <c r="DQ26" s="378"/>
      <c r="DR26" s="378"/>
      <c r="DS26" s="378"/>
      <c r="DT26" s="378"/>
      <c r="DU26" s="378"/>
      <c r="DV26" s="378"/>
      <c r="DW26" s="380"/>
      <c r="DX26" s="300"/>
      <c r="DY26" s="300"/>
      <c r="DZ26" s="300"/>
      <c r="EA26" s="300"/>
      <c r="EB26" s="376" t="s">
        <v>441</v>
      </c>
      <c r="EC26" s="378"/>
      <c r="ED26" s="378"/>
      <c r="EE26" s="378"/>
      <c r="EF26" s="378"/>
      <c r="EG26" s="378"/>
      <c r="EH26" s="378"/>
      <c r="EI26" s="378"/>
      <c r="EJ26" s="378"/>
      <c r="EK26" s="378"/>
      <c r="EL26" s="378"/>
      <c r="EM26" s="378"/>
      <c r="EN26" s="378"/>
      <c r="EO26" s="378"/>
      <c r="EP26" s="378"/>
      <c r="EQ26" s="378"/>
      <c r="ER26" s="378"/>
      <c r="ES26" s="380"/>
      <c r="ET26" s="300"/>
      <c r="EU26" s="300"/>
      <c r="EV26" s="300"/>
      <c r="EW26" s="300"/>
      <c r="EX26" s="300"/>
      <c r="EY26" s="300"/>
      <c r="EZ26" s="300"/>
      <c r="FA26" s="300"/>
      <c r="FB26" s="300"/>
      <c r="FC26" s="300"/>
      <c r="FD26" s="300"/>
      <c r="FE26" s="300"/>
      <c r="FF26" s="300"/>
      <c r="FG26" s="300"/>
      <c r="FH26" s="300"/>
      <c r="FI26" s="300"/>
      <c r="FJ26" s="300"/>
      <c r="FK26" s="300"/>
      <c r="FL26" s="300"/>
      <c r="FM26" s="300"/>
      <c r="FN26" s="300"/>
      <c r="FO26" s="300"/>
      <c r="FP26" s="300"/>
      <c r="FQ26" s="300"/>
      <c r="FR26" s="300"/>
      <c r="FS26" s="300"/>
      <c r="FT26" s="300"/>
      <c r="FU26" s="300"/>
      <c r="FV26" s="300"/>
      <c r="FW26" s="300"/>
      <c r="FX26" s="300"/>
      <c r="FY26" s="300"/>
      <c r="FZ26" s="300"/>
      <c r="GA26" s="300"/>
      <c r="GB26" s="300"/>
      <c r="GC26" s="300"/>
      <c r="GD26" s="300"/>
      <c r="GE26" s="300"/>
      <c r="GF26" s="300"/>
      <c r="GG26" s="300"/>
      <c r="GH26" s="300"/>
      <c r="GI26" s="300"/>
      <c r="GJ26" s="300"/>
      <c r="GK26" s="300"/>
      <c r="GL26" s="300"/>
      <c r="GM26" s="300"/>
      <c r="GN26" s="300"/>
      <c r="GO26" s="300"/>
      <c r="GP26" s="300"/>
      <c r="GQ26" s="300"/>
      <c r="GR26" s="300"/>
      <c r="GS26" s="300"/>
      <c r="GT26" s="300"/>
      <c r="GU26" s="300"/>
      <c r="GV26" s="300"/>
      <c r="GW26" s="300"/>
      <c r="GX26" s="300"/>
      <c r="GY26" s="300"/>
      <c r="GZ26" s="300"/>
      <c r="HA26" s="300"/>
      <c r="HB26" s="300"/>
      <c r="HC26" s="300"/>
      <c r="HD26" s="300"/>
      <c r="HE26" s="300"/>
      <c r="HF26" s="300"/>
      <c r="HG26" s="300"/>
      <c r="HH26" s="300"/>
      <c r="HI26" s="300"/>
      <c r="HJ26" s="300"/>
      <c r="HK26" s="300"/>
      <c r="HL26" s="300"/>
      <c r="HM26" s="300"/>
      <c r="HN26" s="300"/>
      <c r="HO26" s="300"/>
      <c r="HP26" s="300"/>
      <c r="HQ26" s="300"/>
      <c r="HR26" s="300"/>
      <c r="HS26" s="300"/>
      <c r="HT26" s="300"/>
      <c r="HU26" s="300"/>
      <c r="HV26" s="300"/>
      <c r="HW26" s="300"/>
      <c r="HX26" s="300"/>
      <c r="HY26" s="300"/>
      <c r="HZ26" s="300"/>
      <c r="IA26" s="300"/>
      <c r="IB26" s="300"/>
      <c r="IC26" s="300"/>
    </row>
    <row r="27" ht="12.75" customHeight="1">
      <c r="A27" s="300"/>
      <c r="B27" s="385"/>
      <c r="C27" s="387"/>
      <c r="D27" s="387"/>
      <c r="E27" s="387"/>
      <c r="F27" s="387"/>
      <c r="G27" s="387"/>
      <c r="H27" s="387"/>
      <c r="I27" s="387"/>
      <c r="J27" s="387"/>
      <c r="K27" s="387"/>
      <c r="L27" s="387"/>
      <c r="M27" s="387"/>
      <c r="N27" s="387"/>
      <c r="O27" s="387"/>
      <c r="P27" s="387"/>
      <c r="Q27" s="387"/>
      <c r="R27" s="387"/>
      <c r="S27" s="389"/>
      <c r="T27" s="300"/>
      <c r="U27" s="300"/>
      <c r="V27" s="300"/>
      <c r="W27" s="300"/>
      <c r="X27" s="385"/>
      <c r="Y27" s="387"/>
      <c r="Z27" s="387"/>
      <c r="AA27" s="387"/>
      <c r="AB27" s="387"/>
      <c r="AC27" s="387"/>
      <c r="AD27" s="387"/>
      <c r="AE27" s="387"/>
      <c r="AF27" s="387"/>
      <c r="AG27" s="387"/>
      <c r="AH27" s="387"/>
      <c r="AI27" s="387"/>
      <c r="AJ27" s="387"/>
      <c r="AK27" s="387"/>
      <c r="AL27" s="387"/>
      <c r="AM27" s="387"/>
      <c r="AN27" s="387"/>
      <c r="AO27" s="389"/>
      <c r="AP27" s="300"/>
      <c r="AQ27" s="300"/>
      <c r="AR27" s="300"/>
      <c r="AS27" s="385"/>
      <c r="AT27" s="387"/>
      <c r="AU27" s="387"/>
      <c r="AV27" s="387"/>
      <c r="AW27" s="387"/>
      <c r="AX27" s="387"/>
      <c r="AY27" s="387"/>
      <c r="AZ27" s="387"/>
      <c r="BA27" s="387"/>
      <c r="BB27" s="387"/>
      <c r="BC27" s="387"/>
      <c r="BD27" s="387"/>
      <c r="BE27" s="387"/>
      <c r="BF27" s="387"/>
      <c r="BG27" s="387"/>
      <c r="BH27" s="387"/>
      <c r="BI27" s="387"/>
      <c r="BJ27" s="389"/>
      <c r="BK27" s="300"/>
      <c r="BL27" s="300"/>
      <c r="BM27" s="300"/>
      <c r="BN27" s="396"/>
      <c r="BO27" s="300"/>
      <c r="BP27" s="394"/>
      <c r="BQ27" s="52"/>
      <c r="BR27" s="52"/>
      <c r="BS27" s="52"/>
      <c r="BT27" s="52"/>
      <c r="BU27" s="52"/>
      <c r="BV27" s="52"/>
      <c r="BW27" s="52"/>
      <c r="BX27" s="52"/>
      <c r="BY27" s="52"/>
      <c r="BZ27" s="52"/>
      <c r="CA27" s="52"/>
      <c r="CB27" s="52"/>
      <c r="CC27" s="30"/>
      <c r="CD27" s="467"/>
      <c r="CE27" s="398"/>
      <c r="CF27" s="300"/>
      <c r="CG27" s="300"/>
      <c r="CH27" s="300"/>
      <c r="CI27" s="300"/>
      <c r="CJ27" s="385"/>
      <c r="CK27" s="387"/>
      <c r="CL27" s="387"/>
      <c r="CM27" s="387"/>
      <c r="CN27" s="387"/>
      <c r="CO27" s="387"/>
      <c r="CP27" s="387"/>
      <c r="CQ27" s="387"/>
      <c r="CR27" s="387"/>
      <c r="CS27" s="387"/>
      <c r="CT27" s="387"/>
      <c r="CU27" s="387"/>
      <c r="CV27" s="387"/>
      <c r="CW27" s="387"/>
      <c r="CX27" s="387"/>
      <c r="CY27" s="387"/>
      <c r="CZ27" s="387"/>
      <c r="DA27" s="389"/>
      <c r="DB27" s="300"/>
      <c r="DC27" s="300"/>
      <c r="DD27" s="300"/>
      <c r="DE27" s="300"/>
      <c r="DF27" s="385"/>
      <c r="DG27" s="387"/>
      <c r="DH27" s="387"/>
      <c r="DI27" s="387"/>
      <c r="DJ27" s="387"/>
      <c r="DK27" s="387"/>
      <c r="DL27" s="387"/>
      <c r="DM27" s="387"/>
      <c r="DN27" s="387"/>
      <c r="DO27" s="387"/>
      <c r="DP27" s="387"/>
      <c r="DQ27" s="387"/>
      <c r="DR27" s="387"/>
      <c r="DS27" s="387"/>
      <c r="DT27" s="387"/>
      <c r="DU27" s="387"/>
      <c r="DV27" s="387"/>
      <c r="DW27" s="389"/>
      <c r="DX27" s="300"/>
      <c r="DY27" s="300"/>
      <c r="DZ27" s="300"/>
      <c r="EA27" s="300"/>
      <c r="EB27" s="385"/>
      <c r="EC27" s="387"/>
      <c r="ED27" s="387"/>
      <c r="EE27" s="387"/>
      <c r="EF27" s="387"/>
      <c r="EG27" s="387"/>
      <c r="EH27" s="387"/>
      <c r="EI27" s="387"/>
      <c r="EJ27" s="387"/>
      <c r="EK27" s="387"/>
      <c r="EL27" s="387"/>
      <c r="EM27" s="387"/>
      <c r="EN27" s="387"/>
      <c r="EO27" s="387"/>
      <c r="EP27" s="387"/>
      <c r="EQ27" s="387"/>
      <c r="ER27" s="387"/>
      <c r="ES27" s="389"/>
      <c r="ET27" s="300"/>
      <c r="EU27" s="300"/>
      <c r="EV27" s="300"/>
      <c r="EW27" s="300"/>
      <c r="EX27" s="300"/>
      <c r="EY27" s="300"/>
      <c r="EZ27" s="300"/>
      <c r="FA27" s="300"/>
      <c r="FB27" s="300"/>
      <c r="FC27" s="300"/>
      <c r="FD27" s="300"/>
      <c r="FE27" s="300"/>
      <c r="FF27" s="300"/>
      <c r="FG27" s="300"/>
      <c r="FH27" s="300"/>
      <c r="FI27" s="300"/>
      <c r="FJ27" s="300"/>
      <c r="FK27" s="300"/>
      <c r="FL27" s="300"/>
      <c r="FM27" s="300"/>
      <c r="FN27" s="300"/>
      <c r="FO27" s="300"/>
      <c r="FP27" s="300"/>
      <c r="FQ27" s="300"/>
      <c r="FR27" s="300"/>
      <c r="FS27" s="300"/>
      <c r="FT27" s="300"/>
      <c r="FU27" s="300"/>
      <c r="FV27" s="300"/>
      <c r="FW27" s="300"/>
      <c r="FX27" s="300"/>
      <c r="FY27" s="300"/>
      <c r="FZ27" s="300"/>
      <c r="GA27" s="300"/>
      <c r="GB27" s="300"/>
      <c r="GC27" s="300"/>
      <c r="GD27" s="300"/>
      <c r="GE27" s="300"/>
      <c r="GF27" s="300"/>
      <c r="GG27" s="300"/>
      <c r="GH27" s="300"/>
      <c r="GI27" s="300"/>
      <c r="GJ27" s="300"/>
      <c r="GK27" s="300"/>
      <c r="GL27" s="300"/>
      <c r="GM27" s="300"/>
      <c r="GN27" s="300"/>
      <c r="GO27" s="300"/>
      <c r="GP27" s="300"/>
      <c r="GQ27" s="300"/>
      <c r="GR27" s="300"/>
      <c r="GS27" s="300"/>
      <c r="GT27" s="300"/>
      <c r="GU27" s="300"/>
      <c r="GV27" s="300"/>
      <c r="GW27" s="300"/>
      <c r="GX27" s="300"/>
      <c r="GY27" s="300"/>
      <c r="GZ27" s="300"/>
      <c r="HA27" s="300"/>
      <c r="HB27" s="300"/>
      <c r="HC27" s="300"/>
      <c r="HD27" s="300"/>
      <c r="HE27" s="300"/>
      <c r="HF27" s="300"/>
      <c r="HG27" s="300"/>
      <c r="HH27" s="300"/>
      <c r="HI27" s="300"/>
      <c r="HJ27" s="300"/>
      <c r="HK27" s="300"/>
      <c r="HL27" s="300"/>
      <c r="HM27" s="300"/>
      <c r="HN27" s="300"/>
      <c r="HO27" s="300"/>
      <c r="HP27" s="300"/>
      <c r="HQ27" s="300"/>
      <c r="HR27" s="300"/>
      <c r="HS27" s="300"/>
      <c r="HT27" s="300"/>
      <c r="HU27" s="300"/>
      <c r="HV27" s="300"/>
      <c r="HW27" s="300"/>
      <c r="HX27" s="300"/>
      <c r="HY27" s="300"/>
      <c r="HZ27" s="300"/>
      <c r="IA27" s="300"/>
      <c r="IB27" s="300"/>
      <c r="IC27" s="300"/>
    </row>
    <row r="28" ht="12.75" customHeight="1">
      <c r="A28" s="300"/>
      <c r="B28" s="498" t="s">
        <v>503</v>
      </c>
      <c r="C28" s="10"/>
      <c r="D28" s="10"/>
      <c r="E28" s="10"/>
      <c r="F28" s="392" t="s">
        <v>445</v>
      </c>
      <c r="G28" s="10"/>
      <c r="H28" s="10"/>
      <c r="I28" s="10"/>
      <c r="J28" s="10"/>
      <c r="K28" s="10"/>
      <c r="L28" s="10"/>
      <c r="M28" s="10"/>
      <c r="N28" s="10"/>
      <c r="O28" s="10"/>
      <c r="P28" s="502" t="s">
        <v>505</v>
      </c>
      <c r="Q28" s="10"/>
      <c r="R28" s="10"/>
      <c r="S28" s="19"/>
      <c r="T28" s="300"/>
      <c r="U28" s="300"/>
      <c r="V28" s="300"/>
      <c r="W28" s="300"/>
      <c r="X28" s="498" t="s">
        <v>503</v>
      </c>
      <c r="Y28" s="10"/>
      <c r="Z28" s="10"/>
      <c r="AA28" s="10"/>
      <c r="AB28" s="392" t="s">
        <v>445</v>
      </c>
      <c r="AC28" s="10"/>
      <c r="AD28" s="10"/>
      <c r="AE28" s="10"/>
      <c r="AF28" s="10"/>
      <c r="AG28" s="10"/>
      <c r="AH28" s="10"/>
      <c r="AI28" s="10"/>
      <c r="AJ28" s="10"/>
      <c r="AK28" s="10"/>
      <c r="AL28" s="502" t="s">
        <v>506</v>
      </c>
      <c r="AM28" s="10"/>
      <c r="AN28" s="10"/>
      <c r="AO28" s="19"/>
      <c r="AP28" s="300"/>
      <c r="AQ28" s="300"/>
      <c r="AR28" s="300"/>
      <c r="AS28" s="391" t="s">
        <v>444</v>
      </c>
      <c r="AT28" s="10"/>
      <c r="AU28" s="10"/>
      <c r="AV28" s="10"/>
      <c r="AW28" s="392" t="s">
        <v>507</v>
      </c>
      <c r="AX28" s="10"/>
      <c r="AY28" s="10"/>
      <c r="AZ28" s="10"/>
      <c r="BA28" s="10"/>
      <c r="BB28" s="10"/>
      <c r="BC28" s="10"/>
      <c r="BD28" s="10"/>
      <c r="BE28" s="10"/>
      <c r="BF28" s="10"/>
      <c r="BG28" s="393" t="s">
        <v>446</v>
      </c>
      <c r="BH28" s="10"/>
      <c r="BI28" s="10"/>
      <c r="BJ28" s="19"/>
      <c r="BK28" s="300"/>
      <c r="BL28" s="300"/>
      <c r="BM28" s="300"/>
      <c r="BN28" s="396"/>
      <c r="BO28" s="300"/>
      <c r="BP28" s="300"/>
      <c r="BQ28" s="300"/>
      <c r="BR28" s="300"/>
      <c r="BS28" s="300"/>
      <c r="BT28" s="300"/>
      <c r="BU28" s="300"/>
      <c r="BV28" s="300"/>
      <c r="BW28" s="300"/>
      <c r="BX28" s="300"/>
      <c r="BY28" s="300"/>
      <c r="BZ28" s="300"/>
      <c r="CA28" s="300"/>
      <c r="CB28" s="300"/>
      <c r="CC28" s="300"/>
      <c r="CD28" s="300"/>
      <c r="CE28" s="398"/>
      <c r="CF28" s="300"/>
      <c r="CG28" s="300"/>
      <c r="CH28" s="300"/>
      <c r="CI28" s="300"/>
      <c r="CJ28" s="391" t="s">
        <v>444</v>
      </c>
      <c r="CK28" s="10"/>
      <c r="CL28" s="10"/>
      <c r="CM28" s="10"/>
      <c r="CN28" s="392" t="s">
        <v>445</v>
      </c>
      <c r="CO28" s="10"/>
      <c r="CP28" s="10"/>
      <c r="CQ28" s="10"/>
      <c r="CR28" s="10"/>
      <c r="CS28" s="10"/>
      <c r="CT28" s="10"/>
      <c r="CU28" s="10"/>
      <c r="CV28" s="10"/>
      <c r="CW28" s="10"/>
      <c r="CX28" s="393" t="s">
        <v>446</v>
      </c>
      <c r="CY28" s="10"/>
      <c r="CZ28" s="10"/>
      <c r="DA28" s="19"/>
      <c r="DB28" s="300"/>
      <c r="DC28" s="300"/>
      <c r="DD28" s="300"/>
      <c r="DE28" s="300"/>
      <c r="DF28" s="391" t="s">
        <v>444</v>
      </c>
      <c r="DG28" s="10"/>
      <c r="DH28" s="10"/>
      <c r="DI28" s="10"/>
      <c r="DJ28" s="392" t="s">
        <v>445</v>
      </c>
      <c r="DK28" s="10"/>
      <c r="DL28" s="10"/>
      <c r="DM28" s="10"/>
      <c r="DN28" s="10"/>
      <c r="DO28" s="10"/>
      <c r="DP28" s="10"/>
      <c r="DQ28" s="10"/>
      <c r="DR28" s="10"/>
      <c r="DS28" s="10"/>
      <c r="DT28" s="393" t="s">
        <v>446</v>
      </c>
      <c r="DU28" s="10"/>
      <c r="DV28" s="10"/>
      <c r="DW28" s="19"/>
      <c r="DX28" s="300"/>
      <c r="DY28" s="300"/>
      <c r="DZ28" s="300"/>
      <c r="EA28" s="300"/>
      <c r="EB28" s="504" t="s">
        <v>508</v>
      </c>
      <c r="EC28" s="10"/>
      <c r="ED28" s="10"/>
      <c r="EE28" s="10"/>
      <c r="EF28" s="392" t="s">
        <v>509</v>
      </c>
      <c r="EG28" s="10"/>
      <c r="EH28" s="10"/>
      <c r="EI28" s="10"/>
      <c r="EJ28" s="10"/>
      <c r="EK28" s="10"/>
      <c r="EL28" s="10"/>
      <c r="EM28" s="10"/>
      <c r="EN28" s="10"/>
      <c r="EO28" s="10"/>
      <c r="EP28" s="505" t="s">
        <v>510</v>
      </c>
      <c r="EQ28" s="10"/>
      <c r="ER28" s="10"/>
      <c r="ES28" s="19"/>
      <c r="ET28" s="300"/>
      <c r="EU28" s="300"/>
      <c r="EV28" s="300"/>
      <c r="EW28" s="300"/>
      <c r="EX28" s="300"/>
      <c r="EY28" s="300"/>
      <c r="EZ28" s="300"/>
      <c r="FA28" s="300"/>
      <c r="FB28" s="300"/>
      <c r="FC28" s="300"/>
      <c r="FD28" s="300"/>
      <c r="FE28" s="300"/>
      <c r="FF28" s="300"/>
      <c r="FG28" s="300"/>
      <c r="FH28" s="300"/>
      <c r="FI28" s="300"/>
      <c r="FJ28" s="300"/>
      <c r="FK28" s="300"/>
      <c r="FL28" s="300"/>
      <c r="FM28" s="300"/>
      <c r="FN28" s="300"/>
      <c r="FO28" s="300"/>
      <c r="FP28" s="300"/>
      <c r="FQ28" s="300"/>
      <c r="FR28" s="300"/>
      <c r="FS28" s="300"/>
      <c r="FT28" s="300"/>
      <c r="FU28" s="300"/>
      <c r="FV28" s="300"/>
      <c r="FW28" s="300"/>
      <c r="FX28" s="300"/>
      <c r="FY28" s="300"/>
      <c r="FZ28" s="300"/>
      <c r="GA28" s="300"/>
      <c r="GB28" s="300"/>
      <c r="GC28" s="300"/>
      <c r="GD28" s="300"/>
      <c r="GE28" s="300"/>
      <c r="GF28" s="300"/>
      <c r="GG28" s="300"/>
      <c r="GH28" s="300"/>
      <c r="GI28" s="300"/>
      <c r="GJ28" s="300"/>
      <c r="GK28" s="300"/>
      <c r="GL28" s="300"/>
      <c r="GM28" s="300"/>
      <c r="GN28" s="300"/>
      <c r="GO28" s="300"/>
      <c r="GP28" s="300"/>
      <c r="GQ28" s="300"/>
      <c r="GR28" s="300"/>
      <c r="GS28" s="300"/>
      <c r="GT28" s="300"/>
      <c r="GU28" s="300"/>
      <c r="GV28" s="300"/>
      <c r="GW28" s="300"/>
      <c r="GX28" s="300"/>
      <c r="GY28" s="300"/>
      <c r="GZ28" s="300"/>
      <c r="HA28" s="300"/>
      <c r="HB28" s="300"/>
      <c r="HC28" s="300"/>
      <c r="HD28" s="300"/>
      <c r="HE28" s="300"/>
      <c r="HF28" s="300"/>
      <c r="HG28" s="300"/>
      <c r="HH28" s="300"/>
      <c r="HI28" s="300"/>
      <c r="HJ28" s="300"/>
      <c r="HK28" s="300"/>
      <c r="HL28" s="300"/>
      <c r="HM28" s="300"/>
      <c r="HN28" s="300"/>
      <c r="HO28" s="300"/>
      <c r="HP28" s="300"/>
      <c r="HQ28" s="300"/>
      <c r="HR28" s="300"/>
      <c r="HS28" s="300"/>
      <c r="HT28" s="300"/>
      <c r="HU28" s="300"/>
      <c r="HV28" s="300"/>
      <c r="HW28" s="300"/>
      <c r="HX28" s="300"/>
      <c r="HY28" s="300"/>
      <c r="HZ28" s="300"/>
      <c r="IA28" s="300"/>
      <c r="IB28" s="300"/>
      <c r="IC28" s="300"/>
    </row>
    <row r="29" ht="12.75" customHeight="1">
      <c r="A29" s="300"/>
      <c r="B29" s="394"/>
      <c r="C29" s="52"/>
      <c r="D29" s="52"/>
      <c r="E29" s="52"/>
      <c r="F29" s="52"/>
      <c r="G29" s="52"/>
      <c r="H29" s="52"/>
      <c r="I29" s="52"/>
      <c r="J29" s="52"/>
      <c r="K29" s="52"/>
      <c r="L29" s="52"/>
      <c r="M29" s="52"/>
      <c r="N29" s="52"/>
      <c r="O29" s="52"/>
      <c r="P29" s="52"/>
      <c r="Q29" s="52"/>
      <c r="R29" s="52"/>
      <c r="S29" s="30"/>
      <c r="T29" s="300"/>
      <c r="U29" s="300"/>
      <c r="V29" s="300"/>
      <c r="W29" s="300"/>
      <c r="X29" s="394"/>
      <c r="Y29" s="52"/>
      <c r="Z29" s="52"/>
      <c r="AA29" s="52"/>
      <c r="AB29" s="52"/>
      <c r="AC29" s="52"/>
      <c r="AD29" s="52"/>
      <c r="AE29" s="52"/>
      <c r="AF29" s="52"/>
      <c r="AG29" s="52"/>
      <c r="AH29" s="52"/>
      <c r="AI29" s="52"/>
      <c r="AJ29" s="52"/>
      <c r="AK29" s="52"/>
      <c r="AL29" s="52"/>
      <c r="AM29" s="52"/>
      <c r="AN29" s="52"/>
      <c r="AO29" s="30"/>
      <c r="AP29" s="300"/>
      <c r="AQ29" s="300"/>
      <c r="AR29" s="300"/>
      <c r="AS29" s="394"/>
      <c r="AT29" s="52"/>
      <c r="AU29" s="52"/>
      <c r="AV29" s="52"/>
      <c r="AW29" s="52"/>
      <c r="AX29" s="52"/>
      <c r="AY29" s="52"/>
      <c r="AZ29" s="52"/>
      <c r="BA29" s="52"/>
      <c r="BB29" s="52"/>
      <c r="BC29" s="52"/>
      <c r="BD29" s="52"/>
      <c r="BE29" s="52"/>
      <c r="BF29" s="52"/>
      <c r="BG29" s="52"/>
      <c r="BH29" s="52"/>
      <c r="BI29" s="52"/>
      <c r="BJ29" s="30"/>
      <c r="BK29" s="300"/>
      <c r="BL29" s="300"/>
      <c r="BM29" s="300"/>
      <c r="BN29" s="396"/>
      <c r="BO29" s="300"/>
      <c r="BP29" s="420" t="s">
        <v>511</v>
      </c>
      <c r="BQ29" s="300"/>
      <c r="BR29" s="300"/>
      <c r="BS29" s="300"/>
      <c r="BT29" s="300"/>
      <c r="BU29" s="300"/>
      <c r="BV29" s="300"/>
      <c r="BW29" s="300"/>
      <c r="BX29" s="300"/>
      <c r="BY29" s="300"/>
      <c r="BZ29" s="300"/>
      <c r="CA29" s="300"/>
      <c r="CB29" s="300"/>
      <c r="CC29" s="300"/>
      <c r="CD29" s="300"/>
      <c r="CE29" s="398"/>
      <c r="CF29" s="300"/>
      <c r="CG29" s="300"/>
      <c r="CH29" s="300"/>
      <c r="CI29" s="300"/>
      <c r="CJ29" s="394"/>
      <c r="CK29" s="52"/>
      <c r="CL29" s="52"/>
      <c r="CM29" s="52"/>
      <c r="CN29" s="52"/>
      <c r="CO29" s="52"/>
      <c r="CP29" s="52"/>
      <c r="CQ29" s="52"/>
      <c r="CR29" s="52"/>
      <c r="CS29" s="52"/>
      <c r="CT29" s="52"/>
      <c r="CU29" s="52"/>
      <c r="CV29" s="52"/>
      <c r="CW29" s="52"/>
      <c r="CX29" s="52"/>
      <c r="CY29" s="52"/>
      <c r="CZ29" s="52"/>
      <c r="DA29" s="30"/>
      <c r="DB29" s="300"/>
      <c r="DC29" s="300"/>
      <c r="DD29" s="300"/>
      <c r="DE29" s="300"/>
      <c r="DF29" s="394"/>
      <c r="DG29" s="52"/>
      <c r="DH29" s="52"/>
      <c r="DI29" s="52"/>
      <c r="DJ29" s="52"/>
      <c r="DK29" s="52"/>
      <c r="DL29" s="52"/>
      <c r="DM29" s="52"/>
      <c r="DN29" s="52"/>
      <c r="DO29" s="52"/>
      <c r="DP29" s="52"/>
      <c r="DQ29" s="52"/>
      <c r="DR29" s="52"/>
      <c r="DS29" s="52"/>
      <c r="DT29" s="52"/>
      <c r="DU29" s="52"/>
      <c r="DV29" s="52"/>
      <c r="DW29" s="30"/>
      <c r="DX29" s="300"/>
      <c r="DY29" s="300"/>
      <c r="DZ29" s="300"/>
      <c r="EA29" s="300"/>
      <c r="EB29" s="394"/>
      <c r="EC29" s="52"/>
      <c r="ED29" s="52"/>
      <c r="EE29" s="52"/>
      <c r="EF29" s="52"/>
      <c r="EG29" s="52"/>
      <c r="EH29" s="52"/>
      <c r="EI29" s="52"/>
      <c r="EJ29" s="52"/>
      <c r="EK29" s="52"/>
      <c r="EL29" s="52"/>
      <c r="EM29" s="52"/>
      <c r="EN29" s="52"/>
      <c r="EO29" s="52"/>
      <c r="EP29" s="506"/>
      <c r="EQ29" s="52"/>
      <c r="ER29" s="52"/>
      <c r="ES29" s="30"/>
      <c r="ET29" s="300"/>
      <c r="EU29" s="300"/>
      <c r="EV29" s="300"/>
      <c r="EW29" s="300"/>
      <c r="EX29" s="300"/>
      <c r="EY29" s="300"/>
      <c r="EZ29" s="300"/>
      <c r="FA29" s="300"/>
      <c r="FB29" s="300"/>
      <c r="FC29" s="300"/>
      <c r="FD29" s="300"/>
      <c r="FE29" s="300"/>
      <c r="FF29" s="300"/>
      <c r="FG29" s="300"/>
      <c r="FH29" s="300"/>
      <c r="FI29" s="300"/>
      <c r="FJ29" s="300"/>
      <c r="FK29" s="300"/>
      <c r="FL29" s="300"/>
      <c r="FM29" s="300"/>
      <c r="FN29" s="300"/>
      <c r="FO29" s="300"/>
      <c r="FP29" s="300"/>
      <c r="FQ29" s="300"/>
      <c r="FR29" s="300"/>
      <c r="FS29" s="300"/>
      <c r="FT29" s="300"/>
      <c r="FU29" s="300"/>
      <c r="FV29" s="300"/>
      <c r="FW29" s="300"/>
      <c r="FX29" s="300"/>
      <c r="FY29" s="300"/>
      <c r="FZ29" s="300"/>
      <c r="GA29" s="300"/>
      <c r="GB29" s="300"/>
      <c r="GC29" s="300"/>
      <c r="GD29" s="300"/>
      <c r="GE29" s="300"/>
      <c r="GF29" s="300"/>
      <c r="GG29" s="300"/>
      <c r="GH29" s="300"/>
      <c r="GI29" s="300"/>
      <c r="GJ29" s="300"/>
      <c r="GK29" s="300"/>
      <c r="GL29" s="300"/>
      <c r="GM29" s="300"/>
      <c r="GN29" s="300"/>
      <c r="GO29" s="300"/>
      <c r="GP29" s="300"/>
      <c r="GQ29" s="300"/>
      <c r="GR29" s="300"/>
      <c r="GS29" s="300"/>
      <c r="GT29" s="300"/>
      <c r="GU29" s="300"/>
      <c r="GV29" s="300"/>
      <c r="GW29" s="300"/>
      <c r="GX29" s="300"/>
      <c r="GY29" s="300"/>
      <c r="GZ29" s="300"/>
      <c r="HA29" s="300"/>
      <c r="HB29" s="300"/>
      <c r="HC29" s="300"/>
      <c r="HD29" s="300"/>
      <c r="HE29" s="300"/>
      <c r="HF29" s="300"/>
      <c r="HG29" s="300"/>
      <c r="HH29" s="300"/>
      <c r="HI29" s="300"/>
      <c r="HJ29" s="300"/>
      <c r="HK29" s="300"/>
      <c r="HL29" s="300"/>
      <c r="HM29" s="300"/>
      <c r="HN29" s="300"/>
      <c r="HO29" s="300"/>
      <c r="HP29" s="300"/>
      <c r="HQ29" s="300"/>
      <c r="HR29" s="300"/>
      <c r="HS29" s="300"/>
      <c r="HT29" s="300"/>
      <c r="HU29" s="300"/>
      <c r="HV29" s="300"/>
      <c r="HW29" s="300"/>
      <c r="HX29" s="300"/>
      <c r="HY29" s="300"/>
      <c r="HZ29" s="300"/>
      <c r="IA29" s="300"/>
      <c r="IB29" s="300"/>
      <c r="IC29" s="300"/>
    </row>
    <row r="30" ht="12.75" customHeight="1">
      <c r="A30" s="300"/>
      <c r="B30" s="396"/>
      <c r="C30" s="300"/>
      <c r="D30" s="300"/>
      <c r="E30" s="300"/>
      <c r="F30" s="300"/>
      <c r="G30" s="300"/>
      <c r="H30" s="300"/>
      <c r="I30" s="300"/>
      <c r="J30" s="300"/>
      <c r="K30" s="300"/>
      <c r="L30" s="300"/>
      <c r="M30" s="300"/>
      <c r="N30" s="300"/>
      <c r="O30" s="300"/>
      <c r="P30" s="300"/>
      <c r="Q30" s="300"/>
      <c r="R30" s="300"/>
      <c r="S30" s="398"/>
      <c r="T30" s="300"/>
      <c r="U30" s="300"/>
      <c r="V30" s="300"/>
      <c r="W30" s="300"/>
      <c r="X30" s="376"/>
      <c r="Y30" s="378"/>
      <c r="Z30" s="378"/>
      <c r="AA30" s="378"/>
      <c r="AB30" s="378"/>
      <c r="AC30" s="378"/>
      <c r="AD30" s="378"/>
      <c r="AE30" s="378"/>
      <c r="AF30" s="378"/>
      <c r="AG30" s="378"/>
      <c r="AH30" s="378"/>
      <c r="AI30" s="378"/>
      <c r="AJ30" s="378"/>
      <c r="AK30" s="378"/>
      <c r="AL30" s="378"/>
      <c r="AM30" s="378"/>
      <c r="AN30" s="378"/>
      <c r="AO30" s="380"/>
      <c r="AP30" s="300"/>
      <c r="AQ30" s="300"/>
      <c r="AR30" s="300"/>
      <c r="AS30" s="376"/>
      <c r="AT30" s="378"/>
      <c r="AU30" s="378"/>
      <c r="AV30" s="378"/>
      <c r="AW30" s="378"/>
      <c r="AX30" s="378"/>
      <c r="AY30" s="378"/>
      <c r="AZ30" s="378"/>
      <c r="BA30" s="378"/>
      <c r="BB30" s="378"/>
      <c r="BC30" s="378"/>
      <c r="BD30" s="378"/>
      <c r="BE30" s="378"/>
      <c r="BF30" s="378"/>
      <c r="BG30" s="378"/>
      <c r="BH30" s="378"/>
      <c r="BI30" s="378"/>
      <c r="BJ30" s="380"/>
      <c r="BK30" s="300"/>
      <c r="BL30" s="300"/>
      <c r="BM30" s="300"/>
      <c r="BN30" s="396"/>
      <c r="BO30" s="300"/>
      <c r="BP30" s="447"/>
      <c r="BQ30" s="10"/>
      <c r="BR30" s="10"/>
      <c r="BS30" s="10"/>
      <c r="BT30" s="10"/>
      <c r="BU30" s="10"/>
      <c r="BV30" s="10"/>
      <c r="BW30" s="10"/>
      <c r="BX30" s="10"/>
      <c r="BY30" s="10"/>
      <c r="BZ30" s="10"/>
      <c r="CA30" s="10"/>
      <c r="CB30" s="10"/>
      <c r="CC30" s="19"/>
      <c r="CD30" s="467"/>
      <c r="CE30" s="398"/>
      <c r="CF30" s="300"/>
      <c r="CG30" s="300"/>
      <c r="CH30" s="300"/>
      <c r="CI30" s="300"/>
      <c r="CJ30" s="376"/>
      <c r="CK30" s="378"/>
      <c r="CL30" s="378"/>
      <c r="CM30" s="378"/>
      <c r="CN30" s="378"/>
      <c r="CO30" s="378"/>
      <c r="CP30" s="378"/>
      <c r="CQ30" s="378"/>
      <c r="CR30" s="378"/>
      <c r="CS30" s="378"/>
      <c r="CT30" s="378"/>
      <c r="CU30" s="378"/>
      <c r="CV30" s="378"/>
      <c r="CW30" s="378"/>
      <c r="CX30" s="378"/>
      <c r="CY30" s="378"/>
      <c r="CZ30" s="378"/>
      <c r="DA30" s="380"/>
      <c r="DB30" s="300"/>
      <c r="DC30" s="300"/>
      <c r="DD30" s="300"/>
      <c r="DE30" s="300"/>
      <c r="DF30" s="376"/>
      <c r="DG30" s="378"/>
      <c r="DH30" s="378"/>
      <c r="DI30" s="378"/>
      <c r="DJ30" s="378"/>
      <c r="DK30" s="378"/>
      <c r="DL30" s="378"/>
      <c r="DM30" s="378"/>
      <c r="DN30" s="378"/>
      <c r="DO30" s="378"/>
      <c r="DP30" s="378"/>
      <c r="DQ30" s="378"/>
      <c r="DR30" s="378"/>
      <c r="DS30" s="378"/>
      <c r="DT30" s="378"/>
      <c r="DU30" s="378"/>
      <c r="DV30" s="378"/>
      <c r="DW30" s="380"/>
      <c r="DX30" s="300"/>
      <c r="DY30" s="300"/>
      <c r="DZ30" s="300"/>
      <c r="EA30" s="300"/>
      <c r="EB30" s="376"/>
      <c r="EC30" s="378"/>
      <c r="ED30" s="378"/>
      <c r="EE30" s="378"/>
      <c r="EF30" s="378"/>
      <c r="EG30" s="378"/>
      <c r="EH30" s="378"/>
      <c r="EI30" s="378"/>
      <c r="EJ30" s="378"/>
      <c r="EK30" s="378"/>
      <c r="EL30" s="378"/>
      <c r="EM30" s="378"/>
      <c r="EN30" s="378"/>
      <c r="EO30" s="378"/>
      <c r="EP30" s="378"/>
      <c r="EQ30" s="378"/>
      <c r="ER30" s="378"/>
      <c r="ES30" s="380"/>
      <c r="ET30" s="300"/>
      <c r="EU30" s="300"/>
      <c r="EV30" s="300"/>
      <c r="EW30" s="300"/>
      <c r="EX30" s="300"/>
      <c r="EY30" s="300"/>
      <c r="EZ30" s="300"/>
      <c r="FA30" s="300"/>
      <c r="FB30" s="300"/>
      <c r="FC30" s="300"/>
      <c r="FD30" s="300"/>
      <c r="FE30" s="300"/>
      <c r="FF30" s="300"/>
      <c r="FG30" s="300"/>
      <c r="FH30" s="300"/>
      <c r="FI30" s="300"/>
      <c r="FJ30" s="300"/>
      <c r="FK30" s="300"/>
      <c r="FL30" s="300"/>
      <c r="FM30" s="300"/>
      <c r="FN30" s="300"/>
      <c r="FO30" s="300"/>
      <c r="FP30" s="300"/>
      <c r="FQ30" s="300"/>
      <c r="FR30" s="300"/>
      <c r="FS30" s="300"/>
      <c r="FT30" s="300"/>
      <c r="FU30" s="300"/>
      <c r="FV30" s="300"/>
      <c r="FW30" s="300"/>
      <c r="FX30" s="300"/>
      <c r="FY30" s="300"/>
      <c r="FZ30" s="300"/>
      <c r="GA30" s="300"/>
      <c r="GB30" s="300"/>
      <c r="GC30" s="300"/>
      <c r="GD30" s="300"/>
      <c r="GE30" s="300"/>
      <c r="GF30" s="300"/>
      <c r="GG30" s="300"/>
      <c r="GH30" s="300"/>
      <c r="GI30" s="300"/>
      <c r="GJ30" s="300"/>
      <c r="GK30" s="300"/>
      <c r="GL30" s="300"/>
      <c r="GM30" s="300"/>
      <c r="GN30" s="300"/>
      <c r="GO30" s="300"/>
      <c r="GP30" s="300"/>
      <c r="GQ30" s="300"/>
      <c r="GR30" s="300"/>
      <c r="GS30" s="300"/>
      <c r="GT30" s="300"/>
      <c r="GU30" s="300"/>
      <c r="GV30" s="300"/>
      <c r="GW30" s="300"/>
      <c r="GX30" s="300"/>
      <c r="GY30" s="300"/>
      <c r="GZ30" s="300"/>
      <c r="HA30" s="300"/>
      <c r="HB30" s="300"/>
      <c r="HC30" s="300"/>
      <c r="HD30" s="300"/>
      <c r="HE30" s="300"/>
      <c r="HF30" s="300"/>
      <c r="HG30" s="300"/>
      <c r="HH30" s="300"/>
      <c r="HI30" s="300"/>
      <c r="HJ30" s="300"/>
      <c r="HK30" s="300"/>
      <c r="HL30" s="300"/>
      <c r="HM30" s="300"/>
      <c r="HN30" s="300"/>
      <c r="HO30" s="300"/>
      <c r="HP30" s="300"/>
      <c r="HQ30" s="300"/>
      <c r="HR30" s="300"/>
      <c r="HS30" s="300"/>
      <c r="HT30" s="300"/>
      <c r="HU30" s="300"/>
      <c r="HV30" s="300"/>
      <c r="HW30" s="300"/>
      <c r="HX30" s="300"/>
      <c r="HY30" s="300"/>
      <c r="HZ30" s="300"/>
      <c r="IA30" s="300"/>
      <c r="IB30" s="300"/>
      <c r="IC30" s="300"/>
    </row>
    <row r="31" ht="12.75" customHeight="1">
      <c r="A31" s="300"/>
      <c r="B31" s="396"/>
      <c r="C31" s="300"/>
      <c r="D31" s="300"/>
      <c r="E31" s="507" t="s">
        <v>455</v>
      </c>
      <c r="F31" s="10"/>
      <c r="G31" s="10"/>
      <c r="H31" s="10"/>
      <c r="I31" s="10"/>
      <c r="J31" s="10"/>
      <c r="K31" s="10"/>
      <c r="L31" s="10"/>
      <c r="M31" s="10"/>
      <c r="N31" s="10"/>
      <c r="O31" s="10"/>
      <c r="P31" s="19"/>
      <c r="Q31" s="300"/>
      <c r="R31" s="300"/>
      <c r="S31" s="398"/>
      <c r="T31" s="300"/>
      <c r="U31" s="300"/>
      <c r="V31" s="300"/>
      <c r="W31" s="300"/>
      <c r="X31" s="396"/>
      <c r="Y31" s="300"/>
      <c r="Z31" s="300"/>
      <c r="AA31" s="507" t="s">
        <v>455</v>
      </c>
      <c r="AB31" s="10"/>
      <c r="AC31" s="10"/>
      <c r="AD31" s="10"/>
      <c r="AE31" s="10"/>
      <c r="AF31" s="10"/>
      <c r="AG31" s="10"/>
      <c r="AH31" s="10"/>
      <c r="AI31" s="10"/>
      <c r="AJ31" s="10"/>
      <c r="AK31" s="10"/>
      <c r="AL31" s="19"/>
      <c r="AM31" s="300"/>
      <c r="AN31" s="300"/>
      <c r="AO31" s="398"/>
      <c r="AP31" s="300"/>
      <c r="AQ31" s="300"/>
      <c r="AR31" s="300"/>
      <c r="AS31" s="396"/>
      <c r="AT31" s="300"/>
      <c r="AU31" s="300"/>
      <c r="AV31" s="397" t="s">
        <v>450</v>
      </c>
      <c r="AW31" s="10"/>
      <c r="AX31" s="10"/>
      <c r="AY31" s="10"/>
      <c r="AZ31" s="10"/>
      <c r="BA31" s="10"/>
      <c r="BB31" s="10"/>
      <c r="BC31" s="10"/>
      <c r="BD31" s="10"/>
      <c r="BE31" s="10"/>
      <c r="BF31" s="10"/>
      <c r="BG31" s="19"/>
      <c r="BH31" s="300"/>
      <c r="BI31" s="300"/>
      <c r="BJ31" s="398"/>
      <c r="BK31" s="300"/>
      <c r="BL31" s="300"/>
      <c r="BM31" s="300"/>
      <c r="BN31" s="396"/>
      <c r="BO31" s="300"/>
      <c r="BP31" s="394"/>
      <c r="BQ31" s="52"/>
      <c r="BR31" s="52"/>
      <c r="BS31" s="52"/>
      <c r="BT31" s="52"/>
      <c r="BU31" s="52"/>
      <c r="BV31" s="52"/>
      <c r="BW31" s="52"/>
      <c r="BX31" s="52"/>
      <c r="BY31" s="52"/>
      <c r="BZ31" s="52"/>
      <c r="CA31" s="52"/>
      <c r="CB31" s="52"/>
      <c r="CC31" s="30"/>
      <c r="CD31" s="467"/>
      <c r="CE31" s="398"/>
      <c r="CF31" s="300"/>
      <c r="CG31" s="300"/>
      <c r="CH31" s="300"/>
      <c r="CI31" s="300"/>
      <c r="CJ31" s="396"/>
      <c r="CK31" s="300"/>
      <c r="CL31" s="300"/>
      <c r="CM31" s="397" t="s">
        <v>450</v>
      </c>
      <c r="CN31" s="10"/>
      <c r="CO31" s="10"/>
      <c r="CP31" s="10"/>
      <c r="CQ31" s="10"/>
      <c r="CR31" s="10"/>
      <c r="CS31" s="10"/>
      <c r="CT31" s="10"/>
      <c r="CU31" s="10"/>
      <c r="CV31" s="10"/>
      <c r="CW31" s="10"/>
      <c r="CX31" s="19"/>
      <c r="CY31" s="300"/>
      <c r="CZ31" s="300"/>
      <c r="DA31" s="398"/>
      <c r="DB31" s="300"/>
      <c r="DC31" s="300"/>
      <c r="DD31" s="300"/>
      <c r="DE31" s="300"/>
      <c r="DF31" s="396"/>
      <c r="DG31" s="300"/>
      <c r="DH31" s="300"/>
      <c r="DI31" s="397" t="s">
        <v>450</v>
      </c>
      <c r="DJ31" s="10"/>
      <c r="DK31" s="10"/>
      <c r="DL31" s="10"/>
      <c r="DM31" s="10"/>
      <c r="DN31" s="10"/>
      <c r="DO31" s="10"/>
      <c r="DP31" s="10"/>
      <c r="DQ31" s="10"/>
      <c r="DR31" s="10"/>
      <c r="DS31" s="10"/>
      <c r="DT31" s="19"/>
      <c r="DU31" s="300"/>
      <c r="DV31" s="300"/>
      <c r="DW31" s="398"/>
      <c r="DX31" s="300"/>
      <c r="DY31" s="300"/>
      <c r="DZ31" s="300"/>
      <c r="EA31" s="300"/>
      <c r="EB31" s="396"/>
      <c r="EC31" s="300"/>
      <c r="ED31" s="300"/>
      <c r="EE31" s="300"/>
      <c r="EF31" s="300"/>
      <c r="EG31" s="300"/>
      <c r="EH31" s="300"/>
      <c r="EI31" s="300"/>
      <c r="EJ31" s="300"/>
      <c r="EK31" s="300"/>
      <c r="EL31" s="300"/>
      <c r="EM31" s="300"/>
      <c r="EN31" s="300"/>
      <c r="EO31" s="300"/>
      <c r="EP31" s="300"/>
      <c r="EQ31" s="300"/>
      <c r="ER31" s="300"/>
      <c r="ES31" s="398"/>
      <c r="ET31" s="300"/>
      <c r="EU31" s="300"/>
      <c r="EV31" s="300"/>
      <c r="EW31" s="300"/>
      <c r="EX31" s="300"/>
      <c r="EY31" s="300"/>
      <c r="EZ31" s="300"/>
      <c r="FA31" s="300"/>
      <c r="FB31" s="300"/>
      <c r="FC31" s="300"/>
      <c r="FD31" s="300"/>
      <c r="FE31" s="300"/>
      <c r="FF31" s="300"/>
      <c r="FG31" s="300"/>
      <c r="FH31" s="300"/>
      <c r="FI31" s="300"/>
      <c r="FJ31" s="300"/>
      <c r="FK31" s="300"/>
      <c r="FL31" s="300"/>
      <c r="FM31" s="300"/>
      <c r="FN31" s="300"/>
      <c r="FO31" s="300"/>
      <c r="FP31" s="300"/>
      <c r="FQ31" s="300"/>
      <c r="FR31" s="300"/>
      <c r="FS31" s="300"/>
      <c r="FT31" s="300"/>
      <c r="FU31" s="300"/>
      <c r="FV31" s="300"/>
      <c r="FW31" s="300"/>
      <c r="FX31" s="300"/>
      <c r="FY31" s="300"/>
      <c r="FZ31" s="300"/>
      <c r="GA31" s="300"/>
      <c r="GB31" s="300"/>
      <c r="GC31" s="300"/>
      <c r="GD31" s="300"/>
      <c r="GE31" s="300"/>
      <c r="GF31" s="300"/>
      <c r="GG31" s="300"/>
      <c r="GH31" s="300"/>
      <c r="GI31" s="300"/>
      <c r="GJ31" s="300"/>
      <c r="GK31" s="300"/>
      <c r="GL31" s="300"/>
      <c r="GM31" s="300"/>
      <c r="GN31" s="300"/>
      <c r="GO31" s="300"/>
      <c r="GP31" s="300"/>
      <c r="GQ31" s="300"/>
      <c r="GR31" s="300"/>
      <c r="GS31" s="300"/>
      <c r="GT31" s="300"/>
      <c r="GU31" s="300"/>
      <c r="GV31" s="300"/>
      <c r="GW31" s="300"/>
      <c r="GX31" s="300"/>
      <c r="GY31" s="300"/>
      <c r="GZ31" s="300"/>
      <c r="HA31" s="300"/>
      <c r="HB31" s="300"/>
      <c r="HC31" s="300"/>
      <c r="HD31" s="300"/>
      <c r="HE31" s="300"/>
      <c r="HF31" s="300"/>
      <c r="HG31" s="300"/>
      <c r="HH31" s="300"/>
      <c r="HI31" s="300"/>
      <c r="HJ31" s="300"/>
      <c r="HK31" s="300"/>
      <c r="HL31" s="300"/>
      <c r="HM31" s="300"/>
      <c r="HN31" s="300"/>
      <c r="HO31" s="300"/>
      <c r="HP31" s="300"/>
      <c r="HQ31" s="300"/>
      <c r="HR31" s="300"/>
      <c r="HS31" s="300"/>
      <c r="HT31" s="300"/>
      <c r="HU31" s="300"/>
      <c r="HV31" s="300"/>
      <c r="HW31" s="300"/>
      <c r="HX31" s="300"/>
      <c r="HY31" s="300"/>
      <c r="HZ31" s="300"/>
      <c r="IA31" s="300"/>
      <c r="IB31" s="300"/>
      <c r="IC31" s="300"/>
    </row>
    <row r="32" ht="12.75" customHeight="1">
      <c r="A32" s="300"/>
      <c r="B32" s="396"/>
      <c r="C32" s="300"/>
      <c r="D32" s="300"/>
      <c r="E32" s="394"/>
      <c r="F32" s="52"/>
      <c r="G32" s="52"/>
      <c r="H32" s="52"/>
      <c r="I32" s="52"/>
      <c r="J32" s="52"/>
      <c r="K32" s="52"/>
      <c r="L32" s="52"/>
      <c r="M32" s="52"/>
      <c r="N32" s="52"/>
      <c r="O32" s="52"/>
      <c r="P32" s="30"/>
      <c r="Q32" s="300"/>
      <c r="R32" s="300"/>
      <c r="S32" s="398"/>
      <c r="T32" s="300"/>
      <c r="U32" s="300"/>
      <c r="V32" s="300"/>
      <c r="W32" s="300"/>
      <c r="X32" s="396"/>
      <c r="Y32" s="300"/>
      <c r="Z32" s="300"/>
      <c r="AA32" s="394"/>
      <c r="AB32" s="52"/>
      <c r="AC32" s="52"/>
      <c r="AD32" s="52"/>
      <c r="AE32" s="52"/>
      <c r="AF32" s="52"/>
      <c r="AG32" s="52"/>
      <c r="AH32" s="52"/>
      <c r="AI32" s="52"/>
      <c r="AJ32" s="52"/>
      <c r="AK32" s="52"/>
      <c r="AL32" s="30"/>
      <c r="AM32" s="300"/>
      <c r="AN32" s="300"/>
      <c r="AO32" s="398"/>
      <c r="AP32" s="300"/>
      <c r="AQ32" s="300"/>
      <c r="AR32" s="300"/>
      <c r="AS32" s="396"/>
      <c r="AT32" s="300"/>
      <c r="AU32" s="300"/>
      <c r="AV32" s="394"/>
      <c r="AW32" s="52"/>
      <c r="AX32" s="52"/>
      <c r="AY32" s="52"/>
      <c r="AZ32" s="52"/>
      <c r="BA32" s="52"/>
      <c r="BB32" s="52"/>
      <c r="BC32" s="52"/>
      <c r="BD32" s="52"/>
      <c r="BE32" s="52"/>
      <c r="BF32" s="52"/>
      <c r="BG32" s="30"/>
      <c r="BH32" s="300"/>
      <c r="BI32" s="300"/>
      <c r="BJ32" s="398"/>
      <c r="BK32" s="300"/>
      <c r="BL32" s="300"/>
      <c r="BM32" s="300"/>
      <c r="BN32" s="396"/>
      <c r="BO32" s="300"/>
      <c r="BP32" s="300"/>
      <c r="BQ32" s="300"/>
      <c r="BR32" s="300"/>
      <c r="BS32" s="300"/>
      <c r="BT32" s="300"/>
      <c r="BU32" s="300"/>
      <c r="BV32" s="300"/>
      <c r="BW32" s="300"/>
      <c r="BX32" s="300"/>
      <c r="BY32" s="300"/>
      <c r="BZ32" s="300"/>
      <c r="CA32" s="300"/>
      <c r="CB32" s="300"/>
      <c r="CC32" s="300"/>
      <c r="CD32" s="300"/>
      <c r="CE32" s="398"/>
      <c r="CF32" s="300"/>
      <c r="CG32" s="300"/>
      <c r="CH32" s="300"/>
      <c r="CI32" s="300"/>
      <c r="CJ32" s="396"/>
      <c r="CK32" s="300"/>
      <c r="CL32" s="300"/>
      <c r="CM32" s="394"/>
      <c r="CN32" s="52"/>
      <c r="CO32" s="52"/>
      <c r="CP32" s="52"/>
      <c r="CQ32" s="52"/>
      <c r="CR32" s="52"/>
      <c r="CS32" s="52"/>
      <c r="CT32" s="52"/>
      <c r="CU32" s="52"/>
      <c r="CV32" s="52"/>
      <c r="CW32" s="52"/>
      <c r="CX32" s="30"/>
      <c r="CY32" s="300"/>
      <c r="CZ32" s="300"/>
      <c r="DA32" s="398"/>
      <c r="DB32" s="300"/>
      <c r="DC32" s="300"/>
      <c r="DD32" s="300"/>
      <c r="DE32" s="300"/>
      <c r="DF32" s="396"/>
      <c r="DG32" s="300"/>
      <c r="DH32" s="300"/>
      <c r="DI32" s="394"/>
      <c r="DJ32" s="52"/>
      <c r="DK32" s="52"/>
      <c r="DL32" s="52"/>
      <c r="DM32" s="52"/>
      <c r="DN32" s="52"/>
      <c r="DO32" s="52"/>
      <c r="DP32" s="52"/>
      <c r="DQ32" s="52"/>
      <c r="DR32" s="52"/>
      <c r="DS32" s="52"/>
      <c r="DT32" s="30"/>
      <c r="DU32" s="300"/>
      <c r="DV32" s="300"/>
      <c r="DW32" s="398"/>
      <c r="DX32" s="300"/>
      <c r="DY32" s="300"/>
      <c r="DZ32" s="300"/>
      <c r="EA32" s="300"/>
      <c r="EB32" s="396"/>
      <c r="EC32" s="300"/>
      <c r="ED32" s="300"/>
      <c r="EE32" s="300"/>
      <c r="EF32" s="300"/>
      <c r="EG32" s="300"/>
      <c r="EH32" s="300"/>
      <c r="EI32" s="300"/>
      <c r="EJ32" s="300"/>
      <c r="EK32" s="300"/>
      <c r="EL32" s="300"/>
      <c r="EM32" s="300"/>
      <c r="EN32" s="300"/>
      <c r="EO32" s="300"/>
      <c r="EP32" s="300"/>
      <c r="EQ32" s="300"/>
      <c r="ER32" s="300"/>
      <c r="ES32" s="398"/>
      <c r="ET32" s="300"/>
      <c r="EU32" s="300"/>
      <c r="EV32" s="300"/>
      <c r="EW32" s="300"/>
      <c r="EX32" s="300"/>
      <c r="EY32" s="300"/>
      <c r="EZ32" s="300"/>
      <c r="FA32" s="300"/>
      <c r="FB32" s="300"/>
      <c r="FC32" s="300"/>
      <c r="FD32" s="300"/>
      <c r="FE32" s="300"/>
      <c r="FF32" s="300"/>
      <c r="FG32" s="300"/>
      <c r="FH32" s="300"/>
      <c r="FI32" s="300"/>
      <c r="FJ32" s="300"/>
      <c r="FK32" s="300"/>
      <c r="FL32" s="300"/>
      <c r="FM32" s="300"/>
      <c r="FN32" s="300"/>
      <c r="FO32" s="300"/>
      <c r="FP32" s="300"/>
      <c r="FQ32" s="300"/>
      <c r="FR32" s="300"/>
      <c r="FS32" s="300"/>
      <c r="FT32" s="300"/>
      <c r="FU32" s="300"/>
      <c r="FV32" s="300"/>
      <c r="FW32" s="300"/>
      <c r="FX32" s="300"/>
      <c r="FY32" s="300"/>
      <c r="FZ32" s="300"/>
      <c r="GA32" s="300"/>
      <c r="GB32" s="300"/>
      <c r="GC32" s="300"/>
      <c r="GD32" s="300"/>
      <c r="GE32" s="300"/>
      <c r="GF32" s="300"/>
      <c r="GG32" s="300"/>
      <c r="GH32" s="300"/>
      <c r="GI32" s="300"/>
      <c r="GJ32" s="300"/>
      <c r="GK32" s="300"/>
      <c r="GL32" s="300"/>
      <c r="GM32" s="300"/>
      <c r="GN32" s="300"/>
      <c r="GO32" s="300"/>
      <c r="GP32" s="300"/>
      <c r="GQ32" s="300"/>
      <c r="GR32" s="300"/>
      <c r="GS32" s="300"/>
      <c r="GT32" s="300"/>
      <c r="GU32" s="300"/>
      <c r="GV32" s="300"/>
      <c r="GW32" s="300"/>
      <c r="GX32" s="300"/>
      <c r="GY32" s="300"/>
      <c r="GZ32" s="300"/>
      <c r="HA32" s="300"/>
      <c r="HB32" s="300"/>
      <c r="HC32" s="300"/>
      <c r="HD32" s="300"/>
      <c r="HE32" s="300"/>
      <c r="HF32" s="300"/>
      <c r="HG32" s="300"/>
      <c r="HH32" s="300"/>
      <c r="HI32" s="300"/>
      <c r="HJ32" s="300"/>
      <c r="HK32" s="300"/>
      <c r="HL32" s="300"/>
      <c r="HM32" s="300"/>
      <c r="HN32" s="300"/>
      <c r="HO32" s="300"/>
      <c r="HP32" s="300"/>
      <c r="HQ32" s="300"/>
      <c r="HR32" s="300"/>
      <c r="HS32" s="300"/>
      <c r="HT32" s="300"/>
      <c r="HU32" s="300"/>
      <c r="HV32" s="300"/>
      <c r="HW32" s="300"/>
      <c r="HX32" s="300"/>
      <c r="HY32" s="300"/>
      <c r="HZ32" s="300"/>
      <c r="IA32" s="300"/>
      <c r="IB32" s="300"/>
      <c r="IC32" s="300"/>
    </row>
    <row r="33" ht="12.75" customHeight="1">
      <c r="A33" s="300"/>
      <c r="B33" s="396"/>
      <c r="C33" s="300"/>
      <c r="D33" s="300"/>
      <c r="E33" s="300"/>
      <c r="F33" s="300"/>
      <c r="G33" s="300"/>
      <c r="H33" s="300"/>
      <c r="I33" s="300"/>
      <c r="J33" s="300"/>
      <c r="K33" s="300"/>
      <c r="L33" s="300"/>
      <c r="M33" s="300"/>
      <c r="N33" s="300"/>
      <c r="O33" s="300"/>
      <c r="P33" s="300"/>
      <c r="Q33" s="300"/>
      <c r="R33" s="300"/>
      <c r="S33" s="398"/>
      <c r="T33" s="300"/>
      <c r="U33" s="300"/>
      <c r="V33" s="300"/>
      <c r="W33" s="300"/>
      <c r="X33" s="396"/>
      <c r="Y33" s="300"/>
      <c r="Z33" s="300"/>
      <c r="AA33" s="300"/>
      <c r="AB33" s="300"/>
      <c r="AC33" s="300"/>
      <c r="AD33" s="300"/>
      <c r="AE33" s="300"/>
      <c r="AF33" s="300"/>
      <c r="AG33" s="300"/>
      <c r="AH33" s="300"/>
      <c r="AI33" s="300"/>
      <c r="AJ33" s="300"/>
      <c r="AK33" s="300"/>
      <c r="AL33" s="300"/>
      <c r="AM33" s="300"/>
      <c r="AN33" s="300"/>
      <c r="AO33" s="398"/>
      <c r="AP33" s="300"/>
      <c r="AQ33" s="300"/>
      <c r="AR33" s="300"/>
      <c r="AS33" s="396"/>
      <c r="AT33" s="300"/>
      <c r="AU33" s="300"/>
      <c r="AV33" s="300"/>
      <c r="AW33" s="300"/>
      <c r="AX33" s="300"/>
      <c r="AY33" s="300"/>
      <c r="AZ33" s="300"/>
      <c r="BA33" s="300"/>
      <c r="BB33" s="300"/>
      <c r="BC33" s="300"/>
      <c r="BD33" s="300"/>
      <c r="BE33" s="300"/>
      <c r="BF33" s="300"/>
      <c r="BG33" s="300"/>
      <c r="BH33" s="300"/>
      <c r="BI33" s="300"/>
      <c r="BJ33" s="398"/>
      <c r="BK33" s="300"/>
      <c r="BL33" s="300"/>
      <c r="BM33" s="300"/>
      <c r="BN33" s="396"/>
      <c r="BO33" s="300"/>
      <c r="BP33" s="420" t="s">
        <v>512</v>
      </c>
      <c r="BQ33" s="300"/>
      <c r="BR33" s="300"/>
      <c r="BS33" s="300"/>
      <c r="BT33" s="300"/>
      <c r="BU33" s="300"/>
      <c r="BV33" s="300"/>
      <c r="BW33" s="300"/>
      <c r="BX33" s="300"/>
      <c r="BY33" s="300"/>
      <c r="BZ33" s="300"/>
      <c r="CA33" s="300"/>
      <c r="CB33" s="300"/>
      <c r="CC33" s="300"/>
      <c r="CD33" s="300"/>
      <c r="CE33" s="398"/>
      <c r="CF33" s="300"/>
      <c r="CG33" s="300"/>
      <c r="CH33" s="300"/>
      <c r="CI33" s="300"/>
      <c r="CJ33" s="396"/>
      <c r="CK33" s="300"/>
      <c r="CL33" s="300"/>
      <c r="CM33" s="300"/>
      <c r="CN33" s="300"/>
      <c r="CO33" s="300"/>
      <c r="CP33" s="300"/>
      <c r="CQ33" s="300"/>
      <c r="CR33" s="300"/>
      <c r="CS33" s="300"/>
      <c r="CT33" s="300"/>
      <c r="CU33" s="300"/>
      <c r="CV33" s="300"/>
      <c r="CW33" s="300"/>
      <c r="CX33" s="300"/>
      <c r="CY33" s="300"/>
      <c r="CZ33" s="300"/>
      <c r="DA33" s="398"/>
      <c r="DB33" s="300"/>
      <c r="DC33" s="300"/>
      <c r="DD33" s="300"/>
      <c r="DE33" s="300"/>
      <c r="DF33" s="396"/>
      <c r="DG33" s="300"/>
      <c r="DH33" s="300"/>
      <c r="DI33" s="300"/>
      <c r="DJ33" s="300"/>
      <c r="DK33" s="300"/>
      <c r="DL33" s="300"/>
      <c r="DM33" s="300"/>
      <c r="DN33" s="300"/>
      <c r="DO33" s="300"/>
      <c r="DP33" s="300"/>
      <c r="DQ33" s="300"/>
      <c r="DR33" s="300"/>
      <c r="DS33" s="300"/>
      <c r="DT33" s="300"/>
      <c r="DU33" s="300"/>
      <c r="DV33" s="300"/>
      <c r="DW33" s="398"/>
      <c r="DX33" s="300"/>
      <c r="DY33" s="300"/>
      <c r="DZ33" s="300"/>
      <c r="EA33" s="300"/>
      <c r="EB33" s="396"/>
      <c r="EC33" s="300"/>
      <c r="ED33" s="300"/>
      <c r="EE33" s="300"/>
      <c r="EF33" s="300"/>
      <c r="EG33" s="300"/>
      <c r="EH33" s="300"/>
      <c r="EI33" s="300"/>
      <c r="EJ33" s="300"/>
      <c r="EK33" s="300"/>
      <c r="EL33" s="300"/>
      <c r="EM33" s="300"/>
      <c r="EN33" s="300"/>
      <c r="EO33" s="300"/>
      <c r="EP33" s="300"/>
      <c r="EQ33" s="300"/>
      <c r="ER33" s="300"/>
      <c r="ES33" s="398"/>
      <c r="ET33" s="300"/>
      <c r="EU33" s="300"/>
      <c r="EV33" s="300"/>
      <c r="EW33" s="300"/>
      <c r="EX33" s="300"/>
      <c r="EY33" s="300"/>
      <c r="EZ33" s="300"/>
      <c r="FA33" s="300"/>
      <c r="FB33" s="300"/>
      <c r="FC33" s="300"/>
      <c r="FD33" s="300"/>
      <c r="FE33" s="300"/>
      <c r="FF33" s="300"/>
      <c r="FG33" s="300"/>
      <c r="FH33" s="300"/>
      <c r="FI33" s="300"/>
      <c r="FJ33" s="300"/>
      <c r="FK33" s="300"/>
      <c r="FL33" s="300"/>
      <c r="FM33" s="300"/>
      <c r="FN33" s="300"/>
      <c r="FO33" s="300"/>
      <c r="FP33" s="300"/>
      <c r="FQ33" s="300"/>
      <c r="FR33" s="300"/>
      <c r="FS33" s="300"/>
      <c r="FT33" s="300"/>
      <c r="FU33" s="300"/>
      <c r="FV33" s="300"/>
      <c r="FW33" s="300"/>
      <c r="FX33" s="300"/>
      <c r="FY33" s="300"/>
      <c r="FZ33" s="300"/>
      <c r="GA33" s="300"/>
      <c r="GB33" s="300"/>
      <c r="GC33" s="300"/>
      <c r="GD33" s="300"/>
      <c r="GE33" s="300"/>
      <c r="GF33" s="300"/>
      <c r="GG33" s="300"/>
      <c r="GH33" s="300"/>
      <c r="GI33" s="300"/>
      <c r="GJ33" s="300"/>
      <c r="GK33" s="300"/>
      <c r="GL33" s="300"/>
      <c r="GM33" s="300"/>
      <c r="GN33" s="300"/>
      <c r="GO33" s="300"/>
      <c r="GP33" s="300"/>
      <c r="GQ33" s="300"/>
      <c r="GR33" s="300"/>
      <c r="GS33" s="300"/>
      <c r="GT33" s="300"/>
      <c r="GU33" s="300"/>
      <c r="GV33" s="300"/>
      <c r="GW33" s="300"/>
      <c r="GX33" s="300"/>
      <c r="GY33" s="300"/>
      <c r="GZ33" s="300"/>
      <c r="HA33" s="300"/>
      <c r="HB33" s="300"/>
      <c r="HC33" s="300"/>
      <c r="HD33" s="300"/>
      <c r="HE33" s="300"/>
      <c r="HF33" s="300"/>
      <c r="HG33" s="300"/>
      <c r="HH33" s="300"/>
      <c r="HI33" s="300"/>
      <c r="HJ33" s="300"/>
      <c r="HK33" s="300"/>
      <c r="HL33" s="300"/>
      <c r="HM33" s="300"/>
      <c r="HN33" s="300"/>
      <c r="HO33" s="300"/>
      <c r="HP33" s="300"/>
      <c r="HQ33" s="300"/>
      <c r="HR33" s="300"/>
      <c r="HS33" s="300"/>
      <c r="HT33" s="300"/>
      <c r="HU33" s="300"/>
      <c r="HV33" s="300"/>
      <c r="HW33" s="300"/>
      <c r="HX33" s="300"/>
      <c r="HY33" s="300"/>
      <c r="HZ33" s="300"/>
      <c r="IA33" s="300"/>
      <c r="IB33" s="300"/>
      <c r="IC33" s="300"/>
    </row>
    <row r="34" ht="12.75" customHeight="1">
      <c r="A34" s="300"/>
      <c r="B34" s="396"/>
      <c r="C34" s="300"/>
      <c r="D34" s="300"/>
      <c r="E34" s="406" t="s">
        <v>457</v>
      </c>
      <c r="F34" s="305"/>
      <c r="G34" s="305"/>
      <c r="H34" s="305"/>
      <c r="I34" s="305"/>
      <c r="J34" s="305"/>
      <c r="K34" s="305"/>
      <c r="L34" s="305"/>
      <c r="M34" s="305"/>
      <c r="N34" s="305"/>
      <c r="O34" s="305"/>
      <c r="P34" s="306"/>
      <c r="Q34" s="300"/>
      <c r="R34" s="300"/>
      <c r="S34" s="398"/>
      <c r="T34" s="300"/>
      <c r="U34" s="300"/>
      <c r="V34" s="300"/>
      <c r="W34" s="300"/>
      <c r="X34" s="396"/>
      <c r="Y34" s="300"/>
      <c r="Z34" s="300"/>
      <c r="AA34" s="406" t="s">
        <v>457</v>
      </c>
      <c r="AB34" s="305"/>
      <c r="AC34" s="305"/>
      <c r="AD34" s="305"/>
      <c r="AE34" s="305"/>
      <c r="AF34" s="305"/>
      <c r="AG34" s="305"/>
      <c r="AH34" s="305"/>
      <c r="AI34" s="305"/>
      <c r="AJ34" s="305"/>
      <c r="AK34" s="305"/>
      <c r="AL34" s="306"/>
      <c r="AM34" s="300"/>
      <c r="AN34" s="300"/>
      <c r="AO34" s="398"/>
      <c r="AP34" s="300"/>
      <c r="AQ34" s="300"/>
      <c r="AR34" s="300"/>
      <c r="AS34" s="396"/>
      <c r="AT34" s="300"/>
      <c r="AU34" s="300"/>
      <c r="AV34" s="413" t="s">
        <v>459</v>
      </c>
      <c r="AW34" s="305"/>
      <c r="AX34" s="305"/>
      <c r="AY34" s="305"/>
      <c r="AZ34" s="305"/>
      <c r="BA34" s="305"/>
      <c r="BB34" s="305"/>
      <c r="BC34" s="305"/>
      <c r="BD34" s="305"/>
      <c r="BE34" s="305"/>
      <c r="BF34" s="305"/>
      <c r="BG34" s="306"/>
      <c r="BH34" s="300"/>
      <c r="BI34" s="300"/>
      <c r="BJ34" s="398"/>
      <c r="BK34" s="300"/>
      <c r="BL34" s="300"/>
      <c r="BM34" s="300"/>
      <c r="BN34" s="396"/>
      <c r="BO34" s="300"/>
      <c r="BP34" s="447"/>
      <c r="BQ34" s="10"/>
      <c r="BR34" s="10"/>
      <c r="BS34" s="10"/>
      <c r="BT34" s="10"/>
      <c r="BU34" s="10"/>
      <c r="BV34" s="10"/>
      <c r="BW34" s="10"/>
      <c r="BX34" s="10"/>
      <c r="BY34" s="10"/>
      <c r="BZ34" s="10"/>
      <c r="CA34" s="10"/>
      <c r="CB34" s="10"/>
      <c r="CC34" s="19"/>
      <c r="CD34" s="467"/>
      <c r="CE34" s="398"/>
      <c r="CF34" s="300"/>
      <c r="CG34" s="300"/>
      <c r="CH34" s="300"/>
      <c r="CI34" s="300"/>
      <c r="CJ34" s="396"/>
      <c r="CK34" s="300"/>
      <c r="CL34" s="300"/>
      <c r="CM34" s="413" t="s">
        <v>459</v>
      </c>
      <c r="CN34" s="305"/>
      <c r="CO34" s="305"/>
      <c r="CP34" s="305"/>
      <c r="CQ34" s="305"/>
      <c r="CR34" s="305"/>
      <c r="CS34" s="305"/>
      <c r="CT34" s="305"/>
      <c r="CU34" s="305"/>
      <c r="CV34" s="305"/>
      <c r="CW34" s="305"/>
      <c r="CX34" s="306"/>
      <c r="CY34" s="300"/>
      <c r="CZ34" s="300"/>
      <c r="DA34" s="398"/>
      <c r="DB34" s="300"/>
      <c r="DC34" s="300"/>
      <c r="DD34" s="300"/>
      <c r="DE34" s="300"/>
      <c r="DF34" s="396"/>
      <c r="DG34" s="300"/>
      <c r="DH34" s="300"/>
      <c r="DI34" s="413" t="s">
        <v>459</v>
      </c>
      <c r="DJ34" s="305"/>
      <c r="DK34" s="305"/>
      <c r="DL34" s="305"/>
      <c r="DM34" s="305"/>
      <c r="DN34" s="305"/>
      <c r="DO34" s="305"/>
      <c r="DP34" s="305"/>
      <c r="DQ34" s="305"/>
      <c r="DR34" s="305"/>
      <c r="DS34" s="305"/>
      <c r="DT34" s="306"/>
      <c r="DU34" s="300"/>
      <c r="DV34" s="300"/>
      <c r="DW34" s="398"/>
      <c r="DX34" s="300"/>
      <c r="DY34" s="300"/>
      <c r="DZ34" s="300"/>
      <c r="EA34" s="300"/>
      <c r="EB34" s="396"/>
      <c r="EC34" s="300"/>
      <c r="ED34" s="300"/>
      <c r="EE34" s="300"/>
      <c r="EF34" s="300"/>
      <c r="EG34" s="300"/>
      <c r="EH34" s="300"/>
      <c r="EI34" s="300"/>
      <c r="EJ34" s="300"/>
      <c r="EK34" s="300"/>
      <c r="EL34" s="300"/>
      <c r="EM34" s="300"/>
      <c r="EN34" s="300"/>
      <c r="EO34" s="300"/>
      <c r="EP34" s="300"/>
      <c r="EQ34" s="300"/>
      <c r="ER34" s="300"/>
      <c r="ES34" s="398"/>
      <c r="ET34" s="300"/>
      <c r="EU34" s="300"/>
      <c r="EV34" s="300"/>
      <c r="EW34" s="300"/>
      <c r="EX34" s="300"/>
      <c r="EY34" s="300"/>
      <c r="EZ34" s="300"/>
      <c r="FA34" s="300"/>
      <c r="FB34" s="300"/>
      <c r="FC34" s="300"/>
      <c r="FD34" s="300"/>
      <c r="FE34" s="300"/>
      <c r="FF34" s="300"/>
      <c r="FG34" s="300"/>
      <c r="FH34" s="300"/>
      <c r="FI34" s="300"/>
      <c r="FJ34" s="300"/>
      <c r="FK34" s="300"/>
      <c r="FL34" s="300"/>
      <c r="FM34" s="300"/>
      <c r="FN34" s="300"/>
      <c r="FO34" s="300"/>
      <c r="FP34" s="300"/>
      <c r="FQ34" s="300"/>
      <c r="FR34" s="300"/>
      <c r="FS34" s="300"/>
      <c r="FT34" s="300"/>
      <c r="FU34" s="300"/>
      <c r="FV34" s="300"/>
      <c r="FW34" s="300"/>
      <c r="FX34" s="300"/>
      <c r="FY34" s="300"/>
      <c r="FZ34" s="300"/>
      <c r="GA34" s="300"/>
      <c r="GB34" s="300"/>
      <c r="GC34" s="300"/>
      <c r="GD34" s="300"/>
      <c r="GE34" s="300"/>
      <c r="GF34" s="300"/>
      <c r="GG34" s="300"/>
      <c r="GH34" s="300"/>
      <c r="GI34" s="300"/>
      <c r="GJ34" s="300"/>
      <c r="GK34" s="300"/>
      <c r="GL34" s="300"/>
      <c r="GM34" s="300"/>
      <c r="GN34" s="300"/>
      <c r="GO34" s="300"/>
      <c r="GP34" s="300"/>
      <c r="GQ34" s="300"/>
      <c r="GR34" s="300"/>
      <c r="GS34" s="300"/>
      <c r="GT34" s="300"/>
      <c r="GU34" s="300"/>
      <c r="GV34" s="300"/>
      <c r="GW34" s="300"/>
      <c r="GX34" s="300"/>
      <c r="GY34" s="300"/>
      <c r="GZ34" s="300"/>
      <c r="HA34" s="300"/>
      <c r="HB34" s="300"/>
      <c r="HC34" s="300"/>
      <c r="HD34" s="300"/>
      <c r="HE34" s="300"/>
      <c r="HF34" s="300"/>
      <c r="HG34" s="300"/>
      <c r="HH34" s="300"/>
      <c r="HI34" s="300"/>
      <c r="HJ34" s="300"/>
      <c r="HK34" s="300"/>
      <c r="HL34" s="300"/>
      <c r="HM34" s="300"/>
      <c r="HN34" s="300"/>
      <c r="HO34" s="300"/>
      <c r="HP34" s="300"/>
      <c r="HQ34" s="300"/>
      <c r="HR34" s="300"/>
      <c r="HS34" s="300"/>
      <c r="HT34" s="300"/>
      <c r="HU34" s="300"/>
      <c r="HV34" s="300"/>
      <c r="HW34" s="300"/>
      <c r="HX34" s="300"/>
      <c r="HY34" s="300"/>
      <c r="HZ34" s="300"/>
      <c r="IA34" s="300"/>
      <c r="IB34" s="300"/>
      <c r="IC34" s="300"/>
    </row>
    <row r="35" ht="12.75" customHeight="1">
      <c r="A35" s="300"/>
      <c r="B35" s="396"/>
      <c r="C35" s="300"/>
      <c r="D35" s="300"/>
      <c r="E35" s="331"/>
      <c r="F35" s="332"/>
      <c r="G35" s="332"/>
      <c r="H35" s="332"/>
      <c r="I35" s="332"/>
      <c r="J35" s="332"/>
      <c r="K35" s="332"/>
      <c r="L35" s="332"/>
      <c r="M35" s="332"/>
      <c r="N35" s="332"/>
      <c r="O35" s="332"/>
      <c r="P35" s="333"/>
      <c r="Q35" s="300"/>
      <c r="R35" s="300"/>
      <c r="S35" s="398"/>
      <c r="T35" s="300"/>
      <c r="U35" s="300"/>
      <c r="V35" s="300"/>
      <c r="W35" s="300"/>
      <c r="X35" s="396"/>
      <c r="Y35" s="300"/>
      <c r="Z35" s="300"/>
      <c r="AA35" s="331"/>
      <c r="AB35" s="332"/>
      <c r="AC35" s="332"/>
      <c r="AD35" s="332"/>
      <c r="AE35" s="332"/>
      <c r="AF35" s="332"/>
      <c r="AG35" s="332"/>
      <c r="AH35" s="332"/>
      <c r="AI35" s="332"/>
      <c r="AJ35" s="332"/>
      <c r="AK35" s="332"/>
      <c r="AL35" s="333"/>
      <c r="AM35" s="300"/>
      <c r="AN35" s="300"/>
      <c r="AO35" s="398"/>
      <c r="AP35" s="300"/>
      <c r="AQ35" s="300"/>
      <c r="AR35" s="300"/>
      <c r="AS35" s="396"/>
      <c r="AT35" s="300"/>
      <c r="AU35" s="300"/>
      <c r="AV35" s="331"/>
      <c r="AW35" s="332"/>
      <c r="AX35" s="332"/>
      <c r="AY35" s="332"/>
      <c r="AZ35" s="332"/>
      <c r="BA35" s="332"/>
      <c r="BB35" s="332"/>
      <c r="BC35" s="332"/>
      <c r="BD35" s="332"/>
      <c r="BE35" s="332"/>
      <c r="BF35" s="332"/>
      <c r="BG35" s="333"/>
      <c r="BH35" s="300"/>
      <c r="BI35" s="300"/>
      <c r="BJ35" s="398"/>
      <c r="BK35" s="300"/>
      <c r="BL35" s="300"/>
      <c r="BM35" s="300"/>
      <c r="BN35" s="396"/>
      <c r="BO35" s="300"/>
      <c r="BP35" s="394"/>
      <c r="BQ35" s="52"/>
      <c r="BR35" s="52"/>
      <c r="BS35" s="52"/>
      <c r="BT35" s="52"/>
      <c r="BU35" s="52"/>
      <c r="BV35" s="52"/>
      <c r="BW35" s="52"/>
      <c r="BX35" s="52"/>
      <c r="BY35" s="52"/>
      <c r="BZ35" s="52"/>
      <c r="CA35" s="52"/>
      <c r="CB35" s="52"/>
      <c r="CC35" s="30"/>
      <c r="CD35" s="467"/>
      <c r="CE35" s="398"/>
      <c r="CF35" s="300"/>
      <c r="CG35" s="300"/>
      <c r="CH35" s="300"/>
      <c r="CI35" s="300"/>
      <c r="CJ35" s="396"/>
      <c r="CK35" s="300"/>
      <c r="CL35" s="300"/>
      <c r="CM35" s="331"/>
      <c r="CN35" s="332"/>
      <c r="CO35" s="332"/>
      <c r="CP35" s="332"/>
      <c r="CQ35" s="332"/>
      <c r="CR35" s="332"/>
      <c r="CS35" s="332"/>
      <c r="CT35" s="332"/>
      <c r="CU35" s="332"/>
      <c r="CV35" s="332"/>
      <c r="CW35" s="332"/>
      <c r="CX35" s="333"/>
      <c r="CY35" s="300"/>
      <c r="CZ35" s="300"/>
      <c r="DA35" s="398"/>
      <c r="DB35" s="300"/>
      <c r="DC35" s="300"/>
      <c r="DD35" s="300"/>
      <c r="DE35" s="300"/>
      <c r="DF35" s="396"/>
      <c r="DG35" s="300"/>
      <c r="DH35" s="300"/>
      <c r="DI35" s="331"/>
      <c r="DJ35" s="332"/>
      <c r="DK35" s="332"/>
      <c r="DL35" s="332"/>
      <c r="DM35" s="332"/>
      <c r="DN35" s="332"/>
      <c r="DO35" s="332"/>
      <c r="DP35" s="332"/>
      <c r="DQ35" s="332"/>
      <c r="DR35" s="332"/>
      <c r="DS35" s="332"/>
      <c r="DT35" s="333"/>
      <c r="DU35" s="300"/>
      <c r="DV35" s="300"/>
      <c r="DW35" s="398"/>
      <c r="DX35" s="300"/>
      <c r="DY35" s="300"/>
      <c r="DZ35" s="300"/>
      <c r="EA35" s="300"/>
      <c r="EB35" s="396"/>
      <c r="EC35" s="300"/>
      <c r="ED35" s="300"/>
      <c r="EE35" s="300"/>
      <c r="EF35" s="300"/>
      <c r="EG35" s="300"/>
      <c r="EH35" s="300"/>
      <c r="EI35" s="300"/>
      <c r="EJ35" s="300"/>
      <c r="EK35" s="300"/>
      <c r="EL35" s="300"/>
      <c r="EM35" s="300"/>
      <c r="EN35" s="300"/>
      <c r="EO35" s="300"/>
      <c r="EP35" s="300"/>
      <c r="EQ35" s="300"/>
      <c r="ER35" s="300"/>
      <c r="ES35" s="398"/>
      <c r="ET35" s="300"/>
      <c r="EU35" s="300"/>
      <c r="EV35" s="300"/>
      <c r="EW35" s="300"/>
      <c r="EX35" s="300"/>
      <c r="EY35" s="300"/>
      <c r="EZ35" s="300"/>
      <c r="FA35" s="300"/>
      <c r="FB35" s="300"/>
      <c r="FC35" s="300"/>
      <c r="FD35" s="300"/>
      <c r="FE35" s="300"/>
      <c r="FF35" s="300"/>
      <c r="FG35" s="300"/>
      <c r="FH35" s="300"/>
      <c r="FI35" s="300"/>
      <c r="FJ35" s="300"/>
      <c r="FK35" s="300"/>
      <c r="FL35" s="300"/>
      <c r="FM35" s="300"/>
      <c r="FN35" s="300"/>
      <c r="FO35" s="300"/>
      <c r="FP35" s="300"/>
      <c r="FQ35" s="300"/>
      <c r="FR35" s="300"/>
      <c r="FS35" s="300"/>
      <c r="FT35" s="300"/>
      <c r="FU35" s="300"/>
      <c r="FV35" s="300"/>
      <c r="FW35" s="300"/>
      <c r="FX35" s="300"/>
      <c r="FY35" s="300"/>
      <c r="FZ35" s="300"/>
      <c r="GA35" s="300"/>
      <c r="GB35" s="300"/>
      <c r="GC35" s="300"/>
      <c r="GD35" s="300"/>
      <c r="GE35" s="300"/>
      <c r="GF35" s="300"/>
      <c r="GG35" s="300"/>
      <c r="GH35" s="300"/>
      <c r="GI35" s="300"/>
      <c r="GJ35" s="300"/>
      <c r="GK35" s="300"/>
      <c r="GL35" s="300"/>
      <c r="GM35" s="300"/>
      <c r="GN35" s="300"/>
      <c r="GO35" s="300"/>
      <c r="GP35" s="300"/>
      <c r="GQ35" s="300"/>
      <c r="GR35" s="300"/>
      <c r="GS35" s="300"/>
      <c r="GT35" s="300"/>
      <c r="GU35" s="300"/>
      <c r="GV35" s="300"/>
      <c r="GW35" s="300"/>
      <c r="GX35" s="300"/>
      <c r="GY35" s="300"/>
      <c r="GZ35" s="300"/>
      <c r="HA35" s="300"/>
      <c r="HB35" s="300"/>
      <c r="HC35" s="300"/>
      <c r="HD35" s="300"/>
      <c r="HE35" s="300"/>
      <c r="HF35" s="300"/>
      <c r="HG35" s="300"/>
      <c r="HH35" s="300"/>
      <c r="HI35" s="300"/>
      <c r="HJ35" s="300"/>
      <c r="HK35" s="300"/>
      <c r="HL35" s="300"/>
      <c r="HM35" s="300"/>
      <c r="HN35" s="300"/>
      <c r="HO35" s="300"/>
      <c r="HP35" s="300"/>
      <c r="HQ35" s="300"/>
      <c r="HR35" s="300"/>
      <c r="HS35" s="300"/>
      <c r="HT35" s="300"/>
      <c r="HU35" s="300"/>
      <c r="HV35" s="300"/>
      <c r="HW35" s="300"/>
      <c r="HX35" s="300"/>
      <c r="HY35" s="300"/>
      <c r="HZ35" s="300"/>
      <c r="IA35" s="300"/>
      <c r="IB35" s="300"/>
      <c r="IC35" s="300"/>
    </row>
    <row r="36" ht="12.75" customHeight="1">
      <c r="A36" s="300"/>
      <c r="B36" s="396"/>
      <c r="C36" s="300"/>
      <c r="D36" s="300"/>
      <c r="E36" s="300"/>
      <c r="F36" s="300"/>
      <c r="G36" s="300"/>
      <c r="H36" s="300"/>
      <c r="I36" s="300"/>
      <c r="J36" s="300"/>
      <c r="K36" s="300"/>
      <c r="L36" s="300"/>
      <c r="M36" s="300"/>
      <c r="N36" s="300"/>
      <c r="O36" s="300"/>
      <c r="P36" s="300"/>
      <c r="Q36" s="300"/>
      <c r="R36" s="300"/>
      <c r="S36" s="398"/>
      <c r="T36" s="300"/>
      <c r="U36" s="300"/>
      <c r="V36" s="300"/>
      <c r="W36" s="300"/>
      <c r="X36" s="396"/>
      <c r="Y36" s="300"/>
      <c r="Z36" s="300"/>
      <c r="AA36" s="300"/>
      <c r="AB36" s="300"/>
      <c r="AC36" s="300"/>
      <c r="AD36" s="300"/>
      <c r="AE36" s="300"/>
      <c r="AF36" s="300"/>
      <c r="AG36" s="300"/>
      <c r="AH36" s="300"/>
      <c r="AI36" s="300"/>
      <c r="AJ36" s="300"/>
      <c r="AK36" s="300"/>
      <c r="AL36" s="300"/>
      <c r="AM36" s="300"/>
      <c r="AN36" s="300"/>
      <c r="AO36" s="398"/>
      <c r="AP36" s="300"/>
      <c r="AQ36" s="300"/>
      <c r="AR36" s="300"/>
      <c r="AS36" s="396"/>
      <c r="AT36" s="300"/>
      <c r="AU36" s="300"/>
      <c r="AV36" s="300"/>
      <c r="AW36" s="300"/>
      <c r="AX36" s="300"/>
      <c r="AY36" s="300"/>
      <c r="AZ36" s="300"/>
      <c r="BA36" s="300"/>
      <c r="BB36" s="300"/>
      <c r="BC36" s="300"/>
      <c r="BD36" s="300"/>
      <c r="BE36" s="300"/>
      <c r="BF36" s="300"/>
      <c r="BG36" s="300"/>
      <c r="BH36" s="300"/>
      <c r="BI36" s="300"/>
      <c r="BJ36" s="398"/>
      <c r="BK36" s="300"/>
      <c r="BL36" s="300"/>
      <c r="BM36" s="300"/>
      <c r="BN36" s="396"/>
      <c r="BO36" s="300"/>
      <c r="BP36" s="300"/>
      <c r="BQ36" s="300"/>
      <c r="BR36" s="300"/>
      <c r="BS36" s="300"/>
      <c r="BT36" s="300"/>
      <c r="BU36" s="300"/>
      <c r="BV36" s="300"/>
      <c r="BW36" s="300"/>
      <c r="BX36" s="300"/>
      <c r="BY36" s="300"/>
      <c r="BZ36" s="300"/>
      <c r="CA36" s="300"/>
      <c r="CB36" s="300"/>
      <c r="CC36" s="300"/>
      <c r="CD36" s="300"/>
      <c r="CE36" s="398"/>
      <c r="CF36" s="300"/>
      <c r="CG36" s="300"/>
      <c r="CH36" s="300"/>
      <c r="CI36" s="300"/>
      <c r="CJ36" s="396"/>
      <c r="CK36" s="300"/>
      <c r="CL36" s="300"/>
      <c r="CM36" s="300"/>
      <c r="CN36" s="300"/>
      <c r="CO36" s="300"/>
      <c r="CP36" s="300"/>
      <c r="CQ36" s="300"/>
      <c r="CR36" s="300"/>
      <c r="CS36" s="300"/>
      <c r="CT36" s="300"/>
      <c r="CU36" s="300"/>
      <c r="CV36" s="300"/>
      <c r="CW36" s="300"/>
      <c r="CX36" s="300"/>
      <c r="CY36" s="300"/>
      <c r="CZ36" s="300"/>
      <c r="DA36" s="398"/>
      <c r="DB36" s="300"/>
      <c r="DC36" s="300"/>
      <c r="DD36" s="300"/>
      <c r="DE36" s="300"/>
      <c r="DF36" s="396"/>
      <c r="DG36" s="300"/>
      <c r="DH36" s="300"/>
      <c r="DI36" s="300"/>
      <c r="DJ36" s="300"/>
      <c r="DK36" s="300"/>
      <c r="DL36" s="300"/>
      <c r="DM36" s="300"/>
      <c r="DN36" s="300"/>
      <c r="DO36" s="300"/>
      <c r="DP36" s="300"/>
      <c r="DQ36" s="300"/>
      <c r="DR36" s="300"/>
      <c r="DS36" s="300"/>
      <c r="DT36" s="300"/>
      <c r="DU36" s="300"/>
      <c r="DV36" s="300"/>
      <c r="DW36" s="398"/>
      <c r="DX36" s="300"/>
      <c r="DY36" s="300"/>
      <c r="DZ36" s="300"/>
      <c r="EA36" s="300"/>
      <c r="EB36" s="396"/>
      <c r="EC36" s="300"/>
      <c r="ED36" s="300"/>
      <c r="EE36" s="300"/>
      <c r="EF36" s="300"/>
      <c r="EG36" s="300"/>
      <c r="EH36" s="300"/>
      <c r="EI36" s="300"/>
      <c r="EJ36" s="300"/>
      <c r="EK36" s="300"/>
      <c r="EL36" s="300"/>
      <c r="EM36" s="300"/>
      <c r="EN36" s="300"/>
      <c r="EO36" s="300"/>
      <c r="EP36" s="300"/>
      <c r="EQ36" s="300"/>
      <c r="ER36" s="300"/>
      <c r="ES36" s="398"/>
      <c r="ET36" s="300"/>
      <c r="EU36" s="300"/>
      <c r="EV36" s="300"/>
      <c r="EW36" s="300"/>
      <c r="EX36" s="300"/>
      <c r="EY36" s="300"/>
      <c r="EZ36" s="300"/>
      <c r="FA36" s="300"/>
      <c r="FB36" s="300"/>
      <c r="FC36" s="300"/>
      <c r="FD36" s="300"/>
      <c r="FE36" s="300"/>
      <c r="FF36" s="300"/>
      <c r="FG36" s="300"/>
      <c r="FH36" s="300"/>
      <c r="FI36" s="300"/>
      <c r="FJ36" s="300"/>
      <c r="FK36" s="300"/>
      <c r="FL36" s="300"/>
      <c r="FM36" s="300"/>
      <c r="FN36" s="300"/>
      <c r="FO36" s="300"/>
      <c r="FP36" s="300"/>
      <c r="FQ36" s="300"/>
      <c r="FR36" s="300"/>
      <c r="FS36" s="300"/>
      <c r="FT36" s="300"/>
      <c r="FU36" s="300"/>
      <c r="FV36" s="300"/>
      <c r="FW36" s="300"/>
      <c r="FX36" s="300"/>
      <c r="FY36" s="300"/>
      <c r="FZ36" s="300"/>
      <c r="GA36" s="300"/>
      <c r="GB36" s="300"/>
      <c r="GC36" s="300"/>
      <c r="GD36" s="300"/>
      <c r="GE36" s="300"/>
      <c r="GF36" s="300"/>
      <c r="GG36" s="300"/>
      <c r="GH36" s="300"/>
      <c r="GI36" s="300"/>
      <c r="GJ36" s="300"/>
      <c r="GK36" s="300"/>
      <c r="GL36" s="300"/>
      <c r="GM36" s="300"/>
      <c r="GN36" s="300"/>
      <c r="GO36" s="300"/>
      <c r="GP36" s="300"/>
      <c r="GQ36" s="300"/>
      <c r="GR36" s="300"/>
      <c r="GS36" s="300"/>
      <c r="GT36" s="300"/>
      <c r="GU36" s="300"/>
      <c r="GV36" s="300"/>
      <c r="GW36" s="300"/>
      <c r="GX36" s="300"/>
      <c r="GY36" s="300"/>
      <c r="GZ36" s="300"/>
      <c r="HA36" s="300"/>
      <c r="HB36" s="300"/>
      <c r="HC36" s="300"/>
      <c r="HD36" s="300"/>
      <c r="HE36" s="300"/>
      <c r="HF36" s="300"/>
      <c r="HG36" s="300"/>
      <c r="HH36" s="300"/>
      <c r="HI36" s="300"/>
      <c r="HJ36" s="300"/>
      <c r="HK36" s="300"/>
      <c r="HL36" s="300"/>
      <c r="HM36" s="300"/>
      <c r="HN36" s="300"/>
      <c r="HO36" s="300"/>
      <c r="HP36" s="300"/>
      <c r="HQ36" s="300"/>
      <c r="HR36" s="300"/>
      <c r="HS36" s="300"/>
      <c r="HT36" s="300"/>
      <c r="HU36" s="300"/>
      <c r="HV36" s="300"/>
      <c r="HW36" s="300"/>
      <c r="HX36" s="300"/>
      <c r="HY36" s="300"/>
      <c r="HZ36" s="300"/>
      <c r="IA36" s="300"/>
      <c r="IB36" s="300"/>
      <c r="IC36" s="300"/>
    </row>
    <row r="37" ht="29.25" customHeight="1">
      <c r="A37" s="300"/>
      <c r="B37" s="396"/>
      <c r="C37" s="300"/>
      <c r="D37" s="508" t="s">
        <v>462</v>
      </c>
      <c r="E37" s="509" t="s">
        <v>513</v>
      </c>
      <c r="F37" s="425"/>
      <c r="G37" s="300"/>
      <c r="H37" s="300"/>
      <c r="I37" s="300"/>
      <c r="J37" s="300"/>
      <c r="K37" s="508" t="s">
        <v>468</v>
      </c>
      <c r="L37" s="509" t="s">
        <v>513</v>
      </c>
      <c r="M37" s="425"/>
      <c r="N37" s="300"/>
      <c r="O37" s="300"/>
      <c r="P37" s="300"/>
      <c r="Q37" s="300"/>
      <c r="R37" s="300"/>
      <c r="S37" s="398"/>
      <c r="T37" s="300"/>
      <c r="U37" s="300"/>
      <c r="V37" s="300"/>
      <c r="W37" s="300"/>
      <c r="X37" s="396"/>
      <c r="Y37" s="300"/>
      <c r="Z37" s="420" t="s">
        <v>462</v>
      </c>
      <c r="AA37" s="423" t="s">
        <v>464</v>
      </c>
      <c r="AB37" s="425"/>
      <c r="AC37" s="300"/>
      <c r="AD37" s="300"/>
      <c r="AE37" s="300"/>
      <c r="AF37" s="300"/>
      <c r="AG37" s="420" t="s">
        <v>468</v>
      </c>
      <c r="AH37" s="423" t="s">
        <v>464</v>
      </c>
      <c r="AI37" s="425"/>
      <c r="AJ37" s="300"/>
      <c r="AK37" s="300"/>
      <c r="AL37" s="300"/>
      <c r="AM37" s="300"/>
      <c r="AN37" s="300"/>
      <c r="AO37" s="398"/>
      <c r="AP37" s="300"/>
      <c r="AQ37" s="300"/>
      <c r="AR37" s="300"/>
      <c r="AS37" s="396"/>
      <c r="AT37" s="300"/>
      <c r="AU37" s="420" t="s">
        <v>462</v>
      </c>
      <c r="AV37" s="423" t="s">
        <v>464</v>
      </c>
      <c r="AW37" s="425"/>
      <c r="AX37" s="300"/>
      <c r="AY37" s="300"/>
      <c r="AZ37" s="300"/>
      <c r="BA37" s="300"/>
      <c r="BB37" s="420" t="s">
        <v>468</v>
      </c>
      <c r="BC37" s="423" t="s">
        <v>464</v>
      </c>
      <c r="BD37" s="425"/>
      <c r="BE37" s="300"/>
      <c r="BF37" s="300"/>
      <c r="BG37" s="300"/>
      <c r="BH37" s="300"/>
      <c r="BI37" s="300"/>
      <c r="BJ37" s="398"/>
      <c r="BK37" s="300"/>
      <c r="BL37" s="300"/>
      <c r="BM37" s="300"/>
      <c r="BN37" s="396"/>
      <c r="BO37" s="300"/>
      <c r="BP37" s="420" t="s">
        <v>462</v>
      </c>
      <c r="BQ37" s="510"/>
      <c r="BR37" s="510"/>
      <c r="BS37" s="300"/>
      <c r="BT37" s="300"/>
      <c r="BU37" s="300"/>
      <c r="BV37" s="300"/>
      <c r="BW37" s="420" t="s">
        <v>468</v>
      </c>
      <c r="BX37" s="510"/>
      <c r="BY37" s="510"/>
      <c r="BZ37" s="300"/>
      <c r="CA37" s="300"/>
      <c r="CB37" s="300"/>
      <c r="CC37" s="300"/>
      <c r="CD37" s="300"/>
      <c r="CE37" s="398"/>
      <c r="CF37" s="300"/>
      <c r="CG37" s="300"/>
      <c r="CH37" s="300"/>
      <c r="CI37" s="300"/>
      <c r="CJ37" s="396"/>
      <c r="CK37" s="300"/>
      <c r="CL37" s="420" t="s">
        <v>462</v>
      </c>
      <c r="CM37" s="423" t="s">
        <v>464</v>
      </c>
      <c r="CN37" s="425"/>
      <c r="CO37" s="300"/>
      <c r="CP37" s="300"/>
      <c r="CQ37" s="300"/>
      <c r="CR37" s="300"/>
      <c r="CS37" s="420" t="s">
        <v>468</v>
      </c>
      <c r="CT37" s="423" t="s">
        <v>464</v>
      </c>
      <c r="CU37" s="425"/>
      <c r="CV37" s="300"/>
      <c r="CW37" s="300"/>
      <c r="CX37" s="300"/>
      <c r="CY37" s="300"/>
      <c r="CZ37" s="300"/>
      <c r="DA37" s="398"/>
      <c r="DB37" s="300"/>
      <c r="DC37" s="300"/>
      <c r="DD37" s="300"/>
      <c r="DE37" s="300"/>
      <c r="DF37" s="396"/>
      <c r="DG37" s="300"/>
      <c r="DH37" s="420" t="s">
        <v>462</v>
      </c>
      <c r="DI37" s="423" t="s">
        <v>464</v>
      </c>
      <c r="DJ37" s="425"/>
      <c r="DK37" s="300"/>
      <c r="DL37" s="300"/>
      <c r="DM37" s="300"/>
      <c r="DN37" s="300"/>
      <c r="DO37" s="420" t="s">
        <v>468</v>
      </c>
      <c r="DP37" s="423" t="s">
        <v>464</v>
      </c>
      <c r="DQ37" s="425"/>
      <c r="DR37" s="300"/>
      <c r="DS37" s="300"/>
      <c r="DT37" s="300"/>
      <c r="DU37" s="300"/>
      <c r="DV37" s="300"/>
      <c r="DW37" s="398"/>
      <c r="DX37" s="300"/>
      <c r="DY37" s="300"/>
      <c r="DZ37" s="300"/>
      <c r="EA37" s="300"/>
      <c r="EB37" s="396"/>
      <c r="EC37" s="300"/>
      <c r="ED37" s="300"/>
      <c r="EE37" s="300"/>
      <c r="EF37" s="300"/>
      <c r="EG37" s="300"/>
      <c r="EH37" s="300"/>
      <c r="EI37" s="300"/>
      <c r="EJ37" s="300"/>
      <c r="EK37" s="300"/>
      <c r="EL37" s="300"/>
      <c r="EM37" s="300"/>
      <c r="EN37" s="300"/>
      <c r="EO37" s="300"/>
      <c r="EP37" s="300"/>
      <c r="EQ37" s="300"/>
      <c r="ER37" s="300"/>
      <c r="ES37" s="398"/>
      <c r="ET37" s="300"/>
      <c r="EU37" s="300"/>
      <c r="EV37" s="300"/>
      <c r="EW37" s="300"/>
      <c r="EX37" s="300"/>
      <c r="EY37" s="300"/>
      <c r="EZ37" s="300"/>
      <c r="FA37" s="300"/>
      <c r="FB37" s="300"/>
      <c r="FC37" s="300"/>
      <c r="FD37" s="300"/>
      <c r="FE37" s="300"/>
      <c r="FF37" s="300"/>
      <c r="FG37" s="300"/>
      <c r="FH37" s="300"/>
      <c r="FI37" s="300"/>
      <c r="FJ37" s="300"/>
      <c r="FK37" s="300"/>
      <c r="FL37" s="300"/>
      <c r="FM37" s="300"/>
      <c r="FN37" s="300"/>
      <c r="FO37" s="300"/>
      <c r="FP37" s="300"/>
      <c r="FQ37" s="300"/>
      <c r="FR37" s="300"/>
      <c r="FS37" s="300"/>
      <c r="FT37" s="300"/>
      <c r="FU37" s="300"/>
      <c r="FV37" s="300"/>
      <c r="FW37" s="300"/>
      <c r="FX37" s="300"/>
      <c r="FY37" s="300"/>
      <c r="FZ37" s="300"/>
      <c r="GA37" s="300"/>
      <c r="GB37" s="300"/>
      <c r="GC37" s="300"/>
      <c r="GD37" s="300"/>
      <c r="GE37" s="300"/>
      <c r="GF37" s="300"/>
      <c r="GG37" s="300"/>
      <c r="GH37" s="300"/>
      <c r="GI37" s="300"/>
      <c r="GJ37" s="300"/>
      <c r="GK37" s="300"/>
      <c r="GL37" s="300"/>
      <c r="GM37" s="300"/>
      <c r="GN37" s="300"/>
      <c r="GO37" s="300"/>
      <c r="GP37" s="300"/>
      <c r="GQ37" s="300"/>
      <c r="GR37" s="300"/>
      <c r="GS37" s="300"/>
      <c r="GT37" s="300"/>
      <c r="GU37" s="300"/>
      <c r="GV37" s="300"/>
      <c r="GW37" s="300"/>
      <c r="GX37" s="300"/>
      <c r="GY37" s="300"/>
      <c r="GZ37" s="300"/>
      <c r="HA37" s="300"/>
      <c r="HB37" s="300"/>
      <c r="HC37" s="300"/>
      <c r="HD37" s="300"/>
      <c r="HE37" s="300"/>
      <c r="HF37" s="300"/>
      <c r="HG37" s="300"/>
      <c r="HH37" s="300"/>
      <c r="HI37" s="300"/>
      <c r="HJ37" s="300"/>
      <c r="HK37" s="300"/>
      <c r="HL37" s="300"/>
      <c r="HM37" s="300"/>
      <c r="HN37" s="300"/>
      <c r="HO37" s="300"/>
      <c r="HP37" s="300"/>
      <c r="HQ37" s="300"/>
      <c r="HR37" s="300"/>
      <c r="HS37" s="300"/>
      <c r="HT37" s="300"/>
      <c r="HU37" s="300"/>
      <c r="HV37" s="300"/>
      <c r="HW37" s="300"/>
      <c r="HX37" s="300"/>
      <c r="HY37" s="300"/>
      <c r="HZ37" s="300"/>
      <c r="IA37" s="300"/>
      <c r="IB37" s="300"/>
      <c r="IC37" s="300"/>
    </row>
    <row r="38" ht="12.75" customHeight="1">
      <c r="A38" s="300"/>
      <c r="B38" s="396"/>
      <c r="C38" s="300"/>
      <c r="D38" s="376"/>
      <c r="E38" s="10"/>
      <c r="F38" s="10"/>
      <c r="G38" s="10"/>
      <c r="H38" s="10"/>
      <c r="I38" s="19"/>
      <c r="J38" s="300"/>
      <c r="K38" s="376"/>
      <c r="L38" s="10"/>
      <c r="M38" s="10"/>
      <c r="N38" s="10"/>
      <c r="O38" s="10"/>
      <c r="P38" s="19"/>
      <c r="Q38" s="300"/>
      <c r="R38" s="300"/>
      <c r="S38" s="398"/>
      <c r="T38" s="300"/>
      <c r="U38" s="300"/>
      <c r="V38" s="300"/>
      <c r="W38" s="300"/>
      <c r="X38" s="396"/>
      <c r="Y38" s="300"/>
      <c r="Z38" s="376"/>
      <c r="AA38" s="10"/>
      <c r="AB38" s="10"/>
      <c r="AC38" s="10"/>
      <c r="AD38" s="10"/>
      <c r="AE38" s="19"/>
      <c r="AF38" s="300"/>
      <c r="AG38" s="376"/>
      <c r="AH38" s="10"/>
      <c r="AI38" s="10"/>
      <c r="AJ38" s="10"/>
      <c r="AK38" s="10"/>
      <c r="AL38" s="19"/>
      <c r="AM38" s="300"/>
      <c r="AN38" s="300"/>
      <c r="AO38" s="398"/>
      <c r="AP38" s="300"/>
      <c r="AQ38" s="300"/>
      <c r="AR38" s="300"/>
      <c r="AS38" s="396"/>
      <c r="AT38" s="300"/>
      <c r="AU38" s="376"/>
      <c r="AV38" s="10"/>
      <c r="AW38" s="10"/>
      <c r="AX38" s="10"/>
      <c r="AY38" s="10"/>
      <c r="AZ38" s="19"/>
      <c r="BA38" s="300"/>
      <c r="BB38" s="376"/>
      <c r="BC38" s="10"/>
      <c r="BD38" s="10"/>
      <c r="BE38" s="10"/>
      <c r="BF38" s="10"/>
      <c r="BG38" s="19"/>
      <c r="BH38" s="300"/>
      <c r="BI38" s="300"/>
      <c r="BJ38" s="398"/>
      <c r="BK38" s="300"/>
      <c r="BL38" s="300"/>
      <c r="BM38" s="300"/>
      <c r="BN38" s="396"/>
      <c r="BO38" s="300"/>
      <c r="BP38" s="376"/>
      <c r="BQ38" s="10"/>
      <c r="BR38" s="10"/>
      <c r="BS38" s="10"/>
      <c r="BT38" s="10"/>
      <c r="BU38" s="19"/>
      <c r="BV38" s="300"/>
      <c r="BW38" s="376"/>
      <c r="BX38" s="10"/>
      <c r="BY38" s="10"/>
      <c r="BZ38" s="10"/>
      <c r="CA38" s="10"/>
      <c r="CB38" s="19"/>
      <c r="CC38" s="300"/>
      <c r="CD38" s="300"/>
      <c r="CE38" s="398"/>
      <c r="CF38" s="300"/>
      <c r="CG38" s="300"/>
      <c r="CH38" s="300"/>
      <c r="CI38" s="300"/>
      <c r="CJ38" s="396"/>
      <c r="CK38" s="300"/>
      <c r="CL38" s="376"/>
      <c r="CM38" s="10"/>
      <c r="CN38" s="10"/>
      <c r="CO38" s="10"/>
      <c r="CP38" s="10"/>
      <c r="CQ38" s="19"/>
      <c r="CR38" s="300"/>
      <c r="CS38" s="376"/>
      <c r="CT38" s="10"/>
      <c r="CU38" s="10"/>
      <c r="CV38" s="10"/>
      <c r="CW38" s="10"/>
      <c r="CX38" s="19"/>
      <c r="CY38" s="300"/>
      <c r="CZ38" s="300"/>
      <c r="DA38" s="398"/>
      <c r="DB38" s="300"/>
      <c r="DC38" s="300"/>
      <c r="DD38" s="300"/>
      <c r="DE38" s="300"/>
      <c r="DF38" s="396"/>
      <c r="DG38" s="300"/>
      <c r="DH38" s="376"/>
      <c r="DI38" s="10"/>
      <c r="DJ38" s="10"/>
      <c r="DK38" s="10"/>
      <c r="DL38" s="10"/>
      <c r="DM38" s="19"/>
      <c r="DN38" s="300"/>
      <c r="DO38" s="376"/>
      <c r="DP38" s="10"/>
      <c r="DQ38" s="10"/>
      <c r="DR38" s="10"/>
      <c r="DS38" s="10"/>
      <c r="DT38" s="19"/>
      <c r="DU38" s="300"/>
      <c r="DV38" s="300"/>
      <c r="DW38" s="398"/>
      <c r="DX38" s="300"/>
      <c r="DY38" s="300"/>
      <c r="DZ38" s="300"/>
      <c r="EA38" s="300"/>
      <c r="EB38" s="396"/>
      <c r="EC38" s="300"/>
      <c r="ED38" s="300"/>
      <c r="EE38" s="300"/>
      <c r="EF38" s="300"/>
      <c r="EG38" s="300"/>
      <c r="EH38" s="300"/>
      <c r="EI38" s="300"/>
      <c r="EJ38" s="300"/>
      <c r="EK38" s="300"/>
      <c r="EL38" s="300"/>
      <c r="EM38" s="300"/>
      <c r="EN38" s="300"/>
      <c r="EO38" s="300"/>
      <c r="EP38" s="300"/>
      <c r="EQ38" s="300"/>
      <c r="ER38" s="300"/>
      <c r="ES38" s="398"/>
      <c r="ET38" s="300"/>
      <c r="EU38" s="300"/>
      <c r="EV38" s="300"/>
      <c r="EW38" s="300"/>
      <c r="EX38" s="300"/>
      <c r="EY38" s="300"/>
      <c r="EZ38" s="300"/>
      <c r="FA38" s="300"/>
      <c r="FB38" s="300"/>
      <c r="FC38" s="300"/>
      <c r="FD38" s="300"/>
      <c r="FE38" s="300"/>
      <c r="FF38" s="300"/>
      <c r="FG38" s="300"/>
      <c r="FH38" s="300"/>
      <c r="FI38" s="300"/>
      <c r="FJ38" s="300"/>
      <c r="FK38" s="300"/>
      <c r="FL38" s="300"/>
      <c r="FM38" s="300"/>
      <c r="FN38" s="300"/>
      <c r="FO38" s="300"/>
      <c r="FP38" s="300"/>
      <c r="FQ38" s="300"/>
      <c r="FR38" s="300"/>
      <c r="FS38" s="300"/>
      <c r="FT38" s="300"/>
      <c r="FU38" s="300"/>
      <c r="FV38" s="300"/>
      <c r="FW38" s="300"/>
      <c r="FX38" s="300"/>
      <c r="FY38" s="300"/>
      <c r="FZ38" s="300"/>
      <c r="GA38" s="300"/>
      <c r="GB38" s="300"/>
      <c r="GC38" s="300"/>
      <c r="GD38" s="300"/>
      <c r="GE38" s="300"/>
      <c r="GF38" s="300"/>
      <c r="GG38" s="300"/>
      <c r="GH38" s="300"/>
      <c r="GI38" s="300"/>
      <c r="GJ38" s="300"/>
      <c r="GK38" s="300"/>
      <c r="GL38" s="300"/>
      <c r="GM38" s="300"/>
      <c r="GN38" s="300"/>
      <c r="GO38" s="300"/>
      <c r="GP38" s="300"/>
      <c r="GQ38" s="300"/>
      <c r="GR38" s="300"/>
      <c r="GS38" s="300"/>
      <c r="GT38" s="300"/>
      <c r="GU38" s="300"/>
      <c r="GV38" s="300"/>
      <c r="GW38" s="300"/>
      <c r="GX38" s="300"/>
      <c r="GY38" s="300"/>
      <c r="GZ38" s="300"/>
      <c r="HA38" s="300"/>
      <c r="HB38" s="300"/>
      <c r="HC38" s="300"/>
      <c r="HD38" s="300"/>
      <c r="HE38" s="300"/>
      <c r="HF38" s="300"/>
      <c r="HG38" s="300"/>
      <c r="HH38" s="300"/>
      <c r="HI38" s="300"/>
      <c r="HJ38" s="300"/>
      <c r="HK38" s="300"/>
      <c r="HL38" s="300"/>
      <c r="HM38" s="300"/>
      <c r="HN38" s="300"/>
      <c r="HO38" s="300"/>
      <c r="HP38" s="300"/>
      <c r="HQ38" s="300"/>
      <c r="HR38" s="300"/>
      <c r="HS38" s="300"/>
      <c r="HT38" s="300"/>
      <c r="HU38" s="300"/>
      <c r="HV38" s="300"/>
      <c r="HW38" s="300"/>
      <c r="HX38" s="300"/>
      <c r="HY38" s="300"/>
      <c r="HZ38" s="300"/>
      <c r="IA38" s="300"/>
      <c r="IB38" s="300"/>
      <c r="IC38" s="300"/>
    </row>
    <row r="39" ht="12.75" customHeight="1">
      <c r="A39" s="300"/>
      <c r="B39" s="396"/>
      <c r="C39" s="300"/>
      <c r="D39" s="394"/>
      <c r="E39" s="52"/>
      <c r="F39" s="52"/>
      <c r="G39" s="52"/>
      <c r="H39" s="52"/>
      <c r="I39" s="30"/>
      <c r="J39" s="300"/>
      <c r="K39" s="394"/>
      <c r="L39" s="52"/>
      <c r="M39" s="52"/>
      <c r="N39" s="52"/>
      <c r="O39" s="52"/>
      <c r="P39" s="30"/>
      <c r="Q39" s="300"/>
      <c r="R39" s="300"/>
      <c r="S39" s="398"/>
      <c r="T39" s="300"/>
      <c r="U39" s="300"/>
      <c r="V39" s="300"/>
      <c r="W39" s="300"/>
      <c r="X39" s="396"/>
      <c r="Y39" s="300"/>
      <c r="Z39" s="394"/>
      <c r="AA39" s="52"/>
      <c r="AB39" s="52"/>
      <c r="AC39" s="52"/>
      <c r="AD39" s="52"/>
      <c r="AE39" s="30"/>
      <c r="AF39" s="300"/>
      <c r="AG39" s="394"/>
      <c r="AH39" s="52"/>
      <c r="AI39" s="52"/>
      <c r="AJ39" s="52"/>
      <c r="AK39" s="52"/>
      <c r="AL39" s="30"/>
      <c r="AM39" s="300"/>
      <c r="AN39" s="300"/>
      <c r="AO39" s="398"/>
      <c r="AP39" s="300"/>
      <c r="AQ39" s="300"/>
      <c r="AR39" s="300"/>
      <c r="AS39" s="396"/>
      <c r="AT39" s="300"/>
      <c r="AU39" s="394"/>
      <c r="AV39" s="52"/>
      <c r="AW39" s="52"/>
      <c r="AX39" s="52"/>
      <c r="AY39" s="52"/>
      <c r="AZ39" s="30"/>
      <c r="BA39" s="300"/>
      <c r="BB39" s="394"/>
      <c r="BC39" s="52"/>
      <c r="BD39" s="52"/>
      <c r="BE39" s="52"/>
      <c r="BF39" s="52"/>
      <c r="BG39" s="30"/>
      <c r="BH39" s="300"/>
      <c r="BI39" s="300"/>
      <c r="BJ39" s="398"/>
      <c r="BK39" s="300"/>
      <c r="BL39" s="300"/>
      <c r="BM39" s="300"/>
      <c r="BN39" s="396"/>
      <c r="BO39" s="300"/>
      <c r="BP39" s="394"/>
      <c r="BQ39" s="52"/>
      <c r="BR39" s="52"/>
      <c r="BS39" s="52"/>
      <c r="BT39" s="52"/>
      <c r="BU39" s="30"/>
      <c r="BV39" s="300"/>
      <c r="BW39" s="394"/>
      <c r="BX39" s="52"/>
      <c r="BY39" s="52"/>
      <c r="BZ39" s="52"/>
      <c r="CA39" s="52"/>
      <c r="CB39" s="30"/>
      <c r="CC39" s="300"/>
      <c r="CD39" s="300"/>
      <c r="CE39" s="398"/>
      <c r="CF39" s="300"/>
      <c r="CG39" s="300"/>
      <c r="CH39" s="300"/>
      <c r="CI39" s="300"/>
      <c r="CJ39" s="396"/>
      <c r="CK39" s="300"/>
      <c r="CL39" s="394"/>
      <c r="CM39" s="52"/>
      <c r="CN39" s="52"/>
      <c r="CO39" s="52"/>
      <c r="CP39" s="52"/>
      <c r="CQ39" s="30"/>
      <c r="CR39" s="300"/>
      <c r="CS39" s="394"/>
      <c r="CT39" s="52"/>
      <c r="CU39" s="52"/>
      <c r="CV39" s="52"/>
      <c r="CW39" s="52"/>
      <c r="CX39" s="30"/>
      <c r="CY39" s="300"/>
      <c r="CZ39" s="300"/>
      <c r="DA39" s="398"/>
      <c r="DB39" s="300"/>
      <c r="DC39" s="300"/>
      <c r="DD39" s="300"/>
      <c r="DE39" s="300"/>
      <c r="DF39" s="396"/>
      <c r="DG39" s="300"/>
      <c r="DH39" s="394"/>
      <c r="DI39" s="52"/>
      <c r="DJ39" s="52"/>
      <c r="DK39" s="52"/>
      <c r="DL39" s="52"/>
      <c r="DM39" s="30"/>
      <c r="DN39" s="300"/>
      <c r="DO39" s="394"/>
      <c r="DP39" s="52"/>
      <c r="DQ39" s="52"/>
      <c r="DR39" s="52"/>
      <c r="DS39" s="52"/>
      <c r="DT39" s="30"/>
      <c r="DU39" s="300"/>
      <c r="DV39" s="300"/>
      <c r="DW39" s="398"/>
      <c r="DX39" s="300"/>
      <c r="DY39" s="300"/>
      <c r="DZ39" s="300"/>
      <c r="EA39" s="300"/>
      <c r="EB39" s="396"/>
      <c r="EC39" s="300"/>
      <c r="ED39" s="300"/>
      <c r="EE39" s="300"/>
      <c r="EF39" s="300"/>
      <c r="EG39" s="300"/>
      <c r="EH39" s="300"/>
      <c r="EI39" s="300"/>
      <c r="EJ39" s="300"/>
      <c r="EK39" s="300"/>
      <c r="EL39" s="300"/>
      <c r="EM39" s="300"/>
      <c r="EN39" s="300"/>
      <c r="EO39" s="300"/>
      <c r="EP39" s="300"/>
      <c r="EQ39" s="300"/>
      <c r="ER39" s="300"/>
      <c r="ES39" s="398"/>
      <c r="ET39" s="300"/>
      <c r="EU39" s="300"/>
      <c r="EV39" s="300"/>
      <c r="EW39" s="300"/>
      <c r="EX39" s="300"/>
      <c r="EY39" s="300"/>
      <c r="EZ39" s="300"/>
      <c r="FA39" s="300"/>
      <c r="FB39" s="300"/>
      <c r="FC39" s="300"/>
      <c r="FD39" s="300"/>
      <c r="FE39" s="300"/>
      <c r="FF39" s="300"/>
      <c r="FG39" s="300"/>
      <c r="FH39" s="300"/>
      <c r="FI39" s="300"/>
      <c r="FJ39" s="300"/>
      <c r="FK39" s="300"/>
      <c r="FL39" s="300"/>
      <c r="FM39" s="300"/>
      <c r="FN39" s="300"/>
      <c r="FO39" s="300"/>
      <c r="FP39" s="300"/>
      <c r="FQ39" s="300"/>
      <c r="FR39" s="300"/>
      <c r="FS39" s="300"/>
      <c r="FT39" s="300"/>
      <c r="FU39" s="300"/>
      <c r="FV39" s="300"/>
      <c r="FW39" s="300"/>
      <c r="FX39" s="300"/>
      <c r="FY39" s="300"/>
      <c r="FZ39" s="300"/>
      <c r="GA39" s="300"/>
      <c r="GB39" s="300"/>
      <c r="GC39" s="300"/>
      <c r="GD39" s="300"/>
      <c r="GE39" s="300"/>
      <c r="GF39" s="300"/>
      <c r="GG39" s="300"/>
      <c r="GH39" s="300"/>
      <c r="GI39" s="300"/>
      <c r="GJ39" s="300"/>
      <c r="GK39" s="300"/>
      <c r="GL39" s="300"/>
      <c r="GM39" s="300"/>
      <c r="GN39" s="300"/>
      <c r="GO39" s="300"/>
      <c r="GP39" s="300"/>
      <c r="GQ39" s="300"/>
      <c r="GR39" s="300"/>
      <c r="GS39" s="300"/>
      <c r="GT39" s="300"/>
      <c r="GU39" s="300"/>
      <c r="GV39" s="300"/>
      <c r="GW39" s="300"/>
      <c r="GX39" s="300"/>
      <c r="GY39" s="300"/>
      <c r="GZ39" s="300"/>
      <c r="HA39" s="300"/>
      <c r="HB39" s="300"/>
      <c r="HC39" s="300"/>
      <c r="HD39" s="300"/>
      <c r="HE39" s="300"/>
      <c r="HF39" s="300"/>
      <c r="HG39" s="300"/>
      <c r="HH39" s="300"/>
      <c r="HI39" s="300"/>
      <c r="HJ39" s="300"/>
      <c r="HK39" s="300"/>
      <c r="HL39" s="300"/>
      <c r="HM39" s="300"/>
      <c r="HN39" s="300"/>
      <c r="HO39" s="300"/>
      <c r="HP39" s="300"/>
      <c r="HQ39" s="300"/>
      <c r="HR39" s="300"/>
      <c r="HS39" s="300"/>
      <c r="HT39" s="300"/>
      <c r="HU39" s="300"/>
      <c r="HV39" s="300"/>
      <c r="HW39" s="300"/>
      <c r="HX39" s="300"/>
      <c r="HY39" s="300"/>
      <c r="HZ39" s="300"/>
      <c r="IA39" s="300"/>
      <c r="IB39" s="300"/>
      <c r="IC39" s="300"/>
    </row>
    <row r="40" ht="12.75" customHeight="1">
      <c r="A40" s="300"/>
      <c r="B40" s="396"/>
      <c r="C40" s="300"/>
      <c r="D40" s="300"/>
      <c r="E40" s="300"/>
      <c r="F40" s="300"/>
      <c r="G40" s="300"/>
      <c r="H40" s="300"/>
      <c r="I40" s="300"/>
      <c r="J40" s="300"/>
      <c r="K40" s="300"/>
      <c r="L40" s="300"/>
      <c r="M40" s="300"/>
      <c r="N40" s="300"/>
      <c r="O40" s="300"/>
      <c r="P40" s="300"/>
      <c r="Q40" s="300"/>
      <c r="R40" s="300"/>
      <c r="S40" s="398"/>
      <c r="T40" s="300"/>
      <c r="U40" s="300"/>
      <c r="V40" s="300"/>
      <c r="W40" s="300"/>
      <c r="X40" s="396"/>
      <c r="Y40" s="300"/>
      <c r="Z40" s="300"/>
      <c r="AA40" s="300"/>
      <c r="AB40" s="300"/>
      <c r="AC40" s="300"/>
      <c r="AD40" s="300"/>
      <c r="AE40" s="300"/>
      <c r="AF40" s="300"/>
      <c r="AG40" s="300"/>
      <c r="AH40" s="300"/>
      <c r="AI40" s="300"/>
      <c r="AJ40" s="300"/>
      <c r="AK40" s="300"/>
      <c r="AL40" s="300"/>
      <c r="AM40" s="300"/>
      <c r="AN40" s="300"/>
      <c r="AO40" s="398"/>
      <c r="AP40" s="300"/>
      <c r="AQ40" s="300"/>
      <c r="AR40" s="300"/>
      <c r="AS40" s="396"/>
      <c r="AT40" s="300"/>
      <c r="AU40" s="300"/>
      <c r="AV40" s="300"/>
      <c r="AW40" s="300"/>
      <c r="AX40" s="300"/>
      <c r="AY40" s="300"/>
      <c r="AZ40" s="300"/>
      <c r="BA40" s="300"/>
      <c r="BB40" s="300"/>
      <c r="BC40" s="300"/>
      <c r="BD40" s="300"/>
      <c r="BE40" s="300"/>
      <c r="BF40" s="300"/>
      <c r="BG40" s="300"/>
      <c r="BH40" s="300"/>
      <c r="BI40" s="300"/>
      <c r="BJ40" s="398"/>
      <c r="BK40" s="300"/>
      <c r="BL40" s="300"/>
      <c r="BM40" s="300"/>
      <c r="BN40" s="396"/>
      <c r="BO40" s="300"/>
      <c r="BP40" s="300"/>
      <c r="BQ40" s="300"/>
      <c r="BR40" s="300"/>
      <c r="BS40" s="300"/>
      <c r="BT40" s="300"/>
      <c r="BU40" s="300"/>
      <c r="BV40" s="300"/>
      <c r="BW40" s="300"/>
      <c r="BX40" s="300"/>
      <c r="BY40" s="300"/>
      <c r="BZ40" s="300"/>
      <c r="CA40" s="300"/>
      <c r="CB40" s="300"/>
      <c r="CC40" s="300"/>
      <c r="CD40" s="300"/>
      <c r="CE40" s="398"/>
      <c r="CF40" s="300"/>
      <c r="CG40" s="300"/>
      <c r="CH40" s="300"/>
      <c r="CI40" s="300"/>
      <c r="CJ40" s="396"/>
      <c r="CK40" s="300"/>
      <c r="CL40" s="300"/>
      <c r="CM40" s="300"/>
      <c r="CN40" s="300"/>
      <c r="CO40" s="300"/>
      <c r="CP40" s="300"/>
      <c r="CQ40" s="300"/>
      <c r="CR40" s="300"/>
      <c r="CS40" s="300"/>
      <c r="CT40" s="300"/>
      <c r="CU40" s="300"/>
      <c r="CV40" s="300"/>
      <c r="CW40" s="300"/>
      <c r="CX40" s="300"/>
      <c r="CY40" s="300"/>
      <c r="CZ40" s="300"/>
      <c r="DA40" s="398"/>
      <c r="DB40" s="300"/>
      <c r="DC40" s="300"/>
      <c r="DD40" s="300"/>
      <c r="DE40" s="300"/>
      <c r="DF40" s="396"/>
      <c r="DG40" s="300"/>
      <c r="DH40" s="300"/>
      <c r="DI40" s="300"/>
      <c r="DJ40" s="300"/>
      <c r="DK40" s="300"/>
      <c r="DL40" s="300"/>
      <c r="DM40" s="300"/>
      <c r="DN40" s="300"/>
      <c r="DO40" s="300"/>
      <c r="DP40" s="300"/>
      <c r="DQ40" s="300"/>
      <c r="DR40" s="300"/>
      <c r="DS40" s="300"/>
      <c r="DT40" s="300"/>
      <c r="DU40" s="300"/>
      <c r="DV40" s="300"/>
      <c r="DW40" s="398"/>
      <c r="DX40" s="300"/>
      <c r="DY40" s="300"/>
      <c r="DZ40" s="300"/>
      <c r="EA40" s="300"/>
      <c r="EB40" s="396"/>
      <c r="EC40" s="300"/>
      <c r="ED40" s="300"/>
      <c r="EE40" s="300"/>
      <c r="EF40" s="300"/>
      <c r="EG40" s="300"/>
      <c r="EH40" s="300"/>
      <c r="EI40" s="300"/>
      <c r="EJ40" s="300"/>
      <c r="EK40" s="300"/>
      <c r="EL40" s="300"/>
      <c r="EM40" s="300"/>
      <c r="EN40" s="300"/>
      <c r="EO40" s="300"/>
      <c r="EP40" s="300"/>
      <c r="EQ40" s="300"/>
      <c r="ER40" s="300"/>
      <c r="ES40" s="398"/>
      <c r="ET40" s="300"/>
      <c r="EU40" s="300"/>
      <c r="EV40" s="300"/>
      <c r="EW40" s="300"/>
      <c r="EX40" s="300"/>
      <c r="EY40" s="300"/>
      <c r="EZ40" s="300"/>
      <c r="FA40" s="300"/>
      <c r="FB40" s="300"/>
      <c r="FC40" s="300"/>
      <c r="FD40" s="300"/>
      <c r="FE40" s="300"/>
      <c r="FF40" s="300"/>
      <c r="FG40" s="300"/>
      <c r="FH40" s="300"/>
      <c r="FI40" s="300"/>
      <c r="FJ40" s="300"/>
      <c r="FK40" s="300"/>
      <c r="FL40" s="300"/>
      <c r="FM40" s="300"/>
      <c r="FN40" s="300"/>
      <c r="FO40" s="300"/>
      <c r="FP40" s="300"/>
      <c r="FQ40" s="300"/>
      <c r="FR40" s="300"/>
      <c r="FS40" s="300"/>
      <c r="FT40" s="300"/>
      <c r="FU40" s="300"/>
      <c r="FV40" s="300"/>
      <c r="FW40" s="300"/>
      <c r="FX40" s="300"/>
      <c r="FY40" s="300"/>
      <c r="FZ40" s="300"/>
      <c r="GA40" s="300"/>
      <c r="GB40" s="300"/>
      <c r="GC40" s="300"/>
      <c r="GD40" s="300"/>
      <c r="GE40" s="300"/>
      <c r="GF40" s="300"/>
      <c r="GG40" s="300"/>
      <c r="GH40" s="300"/>
      <c r="GI40" s="300"/>
      <c r="GJ40" s="300"/>
      <c r="GK40" s="300"/>
      <c r="GL40" s="300"/>
      <c r="GM40" s="300"/>
      <c r="GN40" s="300"/>
      <c r="GO40" s="300"/>
      <c r="GP40" s="300"/>
      <c r="GQ40" s="300"/>
      <c r="GR40" s="300"/>
      <c r="GS40" s="300"/>
      <c r="GT40" s="300"/>
      <c r="GU40" s="300"/>
      <c r="GV40" s="300"/>
      <c r="GW40" s="300"/>
      <c r="GX40" s="300"/>
      <c r="GY40" s="300"/>
      <c r="GZ40" s="300"/>
      <c r="HA40" s="300"/>
      <c r="HB40" s="300"/>
      <c r="HC40" s="300"/>
      <c r="HD40" s="300"/>
      <c r="HE40" s="300"/>
      <c r="HF40" s="300"/>
      <c r="HG40" s="300"/>
      <c r="HH40" s="300"/>
      <c r="HI40" s="300"/>
      <c r="HJ40" s="300"/>
      <c r="HK40" s="300"/>
      <c r="HL40" s="300"/>
      <c r="HM40" s="300"/>
      <c r="HN40" s="300"/>
      <c r="HO40" s="300"/>
      <c r="HP40" s="300"/>
      <c r="HQ40" s="300"/>
      <c r="HR40" s="300"/>
      <c r="HS40" s="300"/>
      <c r="HT40" s="300"/>
      <c r="HU40" s="300"/>
      <c r="HV40" s="300"/>
      <c r="HW40" s="300"/>
      <c r="HX40" s="300"/>
      <c r="HY40" s="300"/>
      <c r="HZ40" s="300"/>
      <c r="IA40" s="300"/>
      <c r="IB40" s="300"/>
      <c r="IC40" s="300"/>
    </row>
    <row r="41" ht="12.75" customHeight="1">
      <c r="A41" s="300"/>
      <c r="B41" s="396"/>
      <c r="C41" s="300"/>
      <c r="D41" s="300"/>
      <c r="E41" s="406" t="s">
        <v>514</v>
      </c>
      <c r="F41" s="305"/>
      <c r="G41" s="305"/>
      <c r="H41" s="305"/>
      <c r="I41" s="305"/>
      <c r="J41" s="305"/>
      <c r="K41" s="305"/>
      <c r="L41" s="305"/>
      <c r="M41" s="305"/>
      <c r="N41" s="305"/>
      <c r="O41" s="305"/>
      <c r="P41" s="306"/>
      <c r="Q41" s="300"/>
      <c r="R41" s="300"/>
      <c r="S41" s="398"/>
      <c r="T41" s="300"/>
      <c r="U41" s="300"/>
      <c r="V41" s="300"/>
      <c r="W41" s="300"/>
      <c r="X41" s="396"/>
      <c r="Y41" s="300"/>
      <c r="Z41" s="300"/>
      <c r="AA41" s="413" t="s">
        <v>515</v>
      </c>
      <c r="AB41" s="305"/>
      <c r="AC41" s="305"/>
      <c r="AD41" s="305"/>
      <c r="AE41" s="305"/>
      <c r="AF41" s="305"/>
      <c r="AG41" s="305"/>
      <c r="AH41" s="305"/>
      <c r="AI41" s="305"/>
      <c r="AJ41" s="305"/>
      <c r="AK41" s="305"/>
      <c r="AL41" s="306"/>
      <c r="AM41" s="300"/>
      <c r="AN41" s="300"/>
      <c r="AO41" s="398"/>
      <c r="AP41" s="300"/>
      <c r="AQ41" s="300"/>
      <c r="AR41" s="300"/>
      <c r="AS41" s="396"/>
      <c r="AT41" s="300"/>
      <c r="AU41" s="300"/>
      <c r="AV41" s="413" t="s">
        <v>515</v>
      </c>
      <c r="AW41" s="305"/>
      <c r="AX41" s="305"/>
      <c r="AY41" s="305"/>
      <c r="AZ41" s="305"/>
      <c r="BA41" s="305"/>
      <c r="BB41" s="305"/>
      <c r="BC41" s="305"/>
      <c r="BD41" s="305"/>
      <c r="BE41" s="305"/>
      <c r="BF41" s="305"/>
      <c r="BG41" s="306"/>
      <c r="BH41" s="300"/>
      <c r="BI41" s="300"/>
      <c r="BJ41" s="398"/>
      <c r="BK41" s="300"/>
      <c r="BL41" s="300"/>
      <c r="BM41" s="300"/>
      <c r="BN41" s="396"/>
      <c r="BO41" s="300"/>
      <c r="BP41" s="300"/>
      <c r="BQ41" s="300"/>
      <c r="BR41" s="300"/>
      <c r="BS41" s="300"/>
      <c r="BT41" s="300"/>
      <c r="BU41" s="300"/>
      <c r="BV41" s="300"/>
      <c r="BW41" s="300"/>
      <c r="BX41" s="300"/>
      <c r="BY41" s="300"/>
      <c r="BZ41" s="300"/>
      <c r="CA41" s="300"/>
      <c r="CB41" s="300"/>
      <c r="CC41" s="300"/>
      <c r="CD41" s="300"/>
      <c r="CE41" s="398"/>
      <c r="CF41" s="300"/>
      <c r="CG41" s="300"/>
      <c r="CH41" s="300"/>
      <c r="CI41" s="300"/>
      <c r="CJ41" s="396"/>
      <c r="CK41" s="300"/>
      <c r="CL41" s="300"/>
      <c r="CM41" s="413" t="s">
        <v>515</v>
      </c>
      <c r="CN41" s="305"/>
      <c r="CO41" s="305"/>
      <c r="CP41" s="305"/>
      <c r="CQ41" s="305"/>
      <c r="CR41" s="305"/>
      <c r="CS41" s="305"/>
      <c r="CT41" s="305"/>
      <c r="CU41" s="305"/>
      <c r="CV41" s="305"/>
      <c r="CW41" s="305"/>
      <c r="CX41" s="306"/>
      <c r="CY41" s="300"/>
      <c r="CZ41" s="300"/>
      <c r="DA41" s="398"/>
      <c r="DB41" s="300"/>
      <c r="DC41" s="300"/>
      <c r="DD41" s="300"/>
      <c r="DE41" s="300"/>
      <c r="DF41" s="396"/>
      <c r="DG41" s="300"/>
      <c r="DH41" s="420" t="s">
        <v>516</v>
      </c>
      <c r="DI41" s="300"/>
      <c r="DJ41" s="300"/>
      <c r="DK41" s="300"/>
      <c r="DL41" s="300"/>
      <c r="DM41" s="300"/>
      <c r="DN41" s="300"/>
      <c r="DO41" s="420" t="s">
        <v>517</v>
      </c>
      <c r="DP41" s="300"/>
      <c r="DQ41" s="300"/>
      <c r="DR41" s="300"/>
      <c r="DS41" s="300"/>
      <c r="DT41" s="300"/>
      <c r="DU41" s="300"/>
      <c r="DV41" s="300"/>
      <c r="DW41" s="398"/>
      <c r="DX41" s="300"/>
      <c r="DY41" s="300"/>
      <c r="DZ41" s="300"/>
      <c r="EA41" s="300"/>
      <c r="EB41" s="396"/>
      <c r="EC41" s="300"/>
      <c r="ED41" s="300"/>
      <c r="EE41" s="300"/>
      <c r="EF41" s="300"/>
      <c r="EG41" s="300"/>
      <c r="EH41" s="300"/>
      <c r="EI41" s="300"/>
      <c r="EJ41" s="300"/>
      <c r="EK41" s="300"/>
      <c r="EL41" s="300"/>
      <c r="EM41" s="300"/>
      <c r="EN41" s="300"/>
      <c r="EO41" s="300"/>
      <c r="EP41" s="300"/>
      <c r="EQ41" s="300"/>
      <c r="ER41" s="300"/>
      <c r="ES41" s="398"/>
      <c r="ET41" s="300"/>
      <c r="EU41" s="300"/>
      <c r="EV41" s="300"/>
      <c r="EW41" s="300"/>
      <c r="EX41" s="300"/>
      <c r="EY41" s="300"/>
      <c r="EZ41" s="300"/>
      <c r="FA41" s="300"/>
      <c r="FB41" s="300"/>
      <c r="FC41" s="300"/>
      <c r="FD41" s="300"/>
      <c r="FE41" s="300"/>
      <c r="FF41" s="300"/>
      <c r="FG41" s="300"/>
      <c r="FH41" s="300"/>
      <c r="FI41" s="300"/>
      <c r="FJ41" s="300"/>
      <c r="FK41" s="300"/>
      <c r="FL41" s="300"/>
      <c r="FM41" s="300"/>
      <c r="FN41" s="300"/>
      <c r="FO41" s="300"/>
      <c r="FP41" s="300"/>
      <c r="FQ41" s="300"/>
      <c r="FR41" s="300"/>
      <c r="FS41" s="300"/>
      <c r="FT41" s="300"/>
      <c r="FU41" s="300"/>
      <c r="FV41" s="300"/>
      <c r="FW41" s="300"/>
      <c r="FX41" s="300"/>
      <c r="FY41" s="300"/>
      <c r="FZ41" s="300"/>
      <c r="GA41" s="300"/>
      <c r="GB41" s="300"/>
      <c r="GC41" s="300"/>
      <c r="GD41" s="300"/>
      <c r="GE41" s="300"/>
      <c r="GF41" s="300"/>
      <c r="GG41" s="300"/>
      <c r="GH41" s="300"/>
      <c r="GI41" s="300"/>
      <c r="GJ41" s="300"/>
      <c r="GK41" s="300"/>
      <c r="GL41" s="300"/>
      <c r="GM41" s="300"/>
      <c r="GN41" s="300"/>
      <c r="GO41" s="300"/>
      <c r="GP41" s="300"/>
      <c r="GQ41" s="300"/>
      <c r="GR41" s="300"/>
      <c r="GS41" s="300"/>
      <c r="GT41" s="300"/>
      <c r="GU41" s="300"/>
      <c r="GV41" s="300"/>
      <c r="GW41" s="300"/>
      <c r="GX41" s="300"/>
      <c r="GY41" s="300"/>
      <c r="GZ41" s="300"/>
      <c r="HA41" s="300"/>
      <c r="HB41" s="300"/>
      <c r="HC41" s="300"/>
      <c r="HD41" s="300"/>
      <c r="HE41" s="300"/>
      <c r="HF41" s="300"/>
      <c r="HG41" s="300"/>
      <c r="HH41" s="300"/>
      <c r="HI41" s="300"/>
      <c r="HJ41" s="300"/>
      <c r="HK41" s="300"/>
      <c r="HL41" s="300"/>
      <c r="HM41" s="300"/>
      <c r="HN41" s="300"/>
      <c r="HO41" s="300"/>
      <c r="HP41" s="300"/>
      <c r="HQ41" s="300"/>
      <c r="HR41" s="300"/>
      <c r="HS41" s="300"/>
      <c r="HT41" s="300"/>
      <c r="HU41" s="300"/>
      <c r="HV41" s="300"/>
      <c r="HW41" s="300"/>
      <c r="HX41" s="300"/>
      <c r="HY41" s="300"/>
      <c r="HZ41" s="300"/>
      <c r="IA41" s="300"/>
      <c r="IB41" s="300"/>
      <c r="IC41" s="300"/>
    </row>
    <row r="42" ht="12.75" customHeight="1">
      <c r="A42" s="300"/>
      <c r="B42" s="396"/>
      <c r="C42" s="300"/>
      <c r="D42" s="300"/>
      <c r="E42" s="331"/>
      <c r="F42" s="332"/>
      <c r="G42" s="332"/>
      <c r="H42" s="332"/>
      <c r="I42" s="332"/>
      <c r="J42" s="332"/>
      <c r="K42" s="332"/>
      <c r="L42" s="332"/>
      <c r="M42" s="332"/>
      <c r="N42" s="332"/>
      <c r="O42" s="332"/>
      <c r="P42" s="333"/>
      <c r="Q42" s="300"/>
      <c r="R42" s="300"/>
      <c r="S42" s="398"/>
      <c r="T42" s="300"/>
      <c r="U42" s="300"/>
      <c r="V42" s="300"/>
      <c r="W42" s="300"/>
      <c r="X42" s="396"/>
      <c r="Y42" s="300"/>
      <c r="Z42" s="300"/>
      <c r="AA42" s="331"/>
      <c r="AB42" s="332"/>
      <c r="AC42" s="332"/>
      <c r="AD42" s="332"/>
      <c r="AE42" s="332"/>
      <c r="AF42" s="332"/>
      <c r="AG42" s="332"/>
      <c r="AH42" s="332"/>
      <c r="AI42" s="332"/>
      <c r="AJ42" s="332"/>
      <c r="AK42" s="332"/>
      <c r="AL42" s="333"/>
      <c r="AM42" s="300"/>
      <c r="AN42" s="300"/>
      <c r="AO42" s="398"/>
      <c r="AP42" s="300"/>
      <c r="AQ42" s="300"/>
      <c r="AR42" s="300"/>
      <c r="AS42" s="396"/>
      <c r="AT42" s="300"/>
      <c r="AU42" s="300"/>
      <c r="AV42" s="331"/>
      <c r="AW42" s="332"/>
      <c r="AX42" s="332"/>
      <c r="AY42" s="332"/>
      <c r="AZ42" s="332"/>
      <c r="BA42" s="332"/>
      <c r="BB42" s="332"/>
      <c r="BC42" s="332"/>
      <c r="BD42" s="332"/>
      <c r="BE42" s="332"/>
      <c r="BF42" s="332"/>
      <c r="BG42" s="333"/>
      <c r="BH42" s="300"/>
      <c r="BI42" s="300"/>
      <c r="BJ42" s="398"/>
      <c r="BK42" s="300"/>
      <c r="BL42" s="300"/>
      <c r="BM42" s="300"/>
      <c r="BN42" s="396"/>
      <c r="BO42" s="300"/>
      <c r="BP42" s="300"/>
      <c r="BQ42" s="300"/>
      <c r="BR42" s="300"/>
      <c r="BS42" s="300"/>
      <c r="BT42" s="300"/>
      <c r="BU42" s="300"/>
      <c r="BV42" s="300"/>
      <c r="BW42" s="300"/>
      <c r="BX42" s="300"/>
      <c r="BY42" s="300"/>
      <c r="BZ42" s="300"/>
      <c r="CA42" s="300"/>
      <c r="CB42" s="300"/>
      <c r="CC42" s="300"/>
      <c r="CD42" s="300"/>
      <c r="CE42" s="398"/>
      <c r="CF42" s="300"/>
      <c r="CG42" s="300"/>
      <c r="CH42" s="300"/>
      <c r="CI42" s="300"/>
      <c r="CJ42" s="396"/>
      <c r="CK42" s="300"/>
      <c r="CL42" s="300"/>
      <c r="CM42" s="331"/>
      <c r="CN42" s="332"/>
      <c r="CO42" s="332"/>
      <c r="CP42" s="332"/>
      <c r="CQ42" s="332"/>
      <c r="CR42" s="332"/>
      <c r="CS42" s="332"/>
      <c r="CT42" s="332"/>
      <c r="CU42" s="332"/>
      <c r="CV42" s="332"/>
      <c r="CW42" s="332"/>
      <c r="CX42" s="333"/>
      <c r="CY42" s="300"/>
      <c r="CZ42" s="300"/>
      <c r="DA42" s="398"/>
      <c r="DB42" s="300"/>
      <c r="DC42" s="300"/>
      <c r="DD42" s="300"/>
      <c r="DE42" s="300"/>
      <c r="DF42" s="396"/>
      <c r="DG42" s="300"/>
      <c r="DH42" s="376"/>
      <c r="DI42" s="10"/>
      <c r="DJ42" s="10"/>
      <c r="DK42" s="10"/>
      <c r="DL42" s="10"/>
      <c r="DM42" s="19"/>
      <c r="DN42" s="300"/>
      <c r="DO42" s="376"/>
      <c r="DP42" s="10"/>
      <c r="DQ42" s="10"/>
      <c r="DR42" s="10"/>
      <c r="DS42" s="10"/>
      <c r="DT42" s="19"/>
      <c r="DU42" s="300"/>
      <c r="DV42" s="300"/>
      <c r="DW42" s="398"/>
      <c r="DX42" s="300"/>
      <c r="DY42" s="300"/>
      <c r="DZ42" s="300"/>
      <c r="EA42" s="300"/>
      <c r="EB42" s="396"/>
      <c r="EC42" s="300"/>
      <c r="ED42" s="300"/>
      <c r="EE42" s="300"/>
      <c r="EF42" s="300"/>
      <c r="EG42" s="300"/>
      <c r="EH42" s="300"/>
      <c r="EI42" s="300"/>
      <c r="EJ42" s="300"/>
      <c r="EK42" s="300"/>
      <c r="EL42" s="300"/>
      <c r="EM42" s="300"/>
      <c r="EN42" s="300"/>
      <c r="EO42" s="300"/>
      <c r="EP42" s="300"/>
      <c r="EQ42" s="300"/>
      <c r="ER42" s="300"/>
      <c r="ES42" s="398"/>
      <c r="ET42" s="300"/>
      <c r="EU42" s="300"/>
      <c r="EV42" s="300"/>
      <c r="EW42" s="300"/>
      <c r="EX42" s="300"/>
      <c r="EY42" s="300"/>
      <c r="EZ42" s="300"/>
      <c r="FA42" s="300"/>
      <c r="FB42" s="300"/>
      <c r="FC42" s="300"/>
      <c r="FD42" s="300"/>
      <c r="FE42" s="300"/>
      <c r="FF42" s="300"/>
      <c r="FG42" s="300"/>
      <c r="FH42" s="300"/>
      <c r="FI42" s="300"/>
      <c r="FJ42" s="300"/>
      <c r="FK42" s="300"/>
      <c r="FL42" s="300"/>
      <c r="FM42" s="300"/>
      <c r="FN42" s="300"/>
      <c r="FO42" s="300"/>
      <c r="FP42" s="300"/>
      <c r="FQ42" s="300"/>
      <c r="FR42" s="300"/>
      <c r="FS42" s="300"/>
      <c r="FT42" s="300"/>
      <c r="FU42" s="300"/>
      <c r="FV42" s="300"/>
      <c r="FW42" s="300"/>
      <c r="FX42" s="300"/>
      <c r="FY42" s="300"/>
      <c r="FZ42" s="300"/>
      <c r="GA42" s="300"/>
      <c r="GB42" s="300"/>
      <c r="GC42" s="300"/>
      <c r="GD42" s="300"/>
      <c r="GE42" s="300"/>
      <c r="GF42" s="300"/>
      <c r="GG42" s="300"/>
      <c r="GH42" s="300"/>
      <c r="GI42" s="300"/>
      <c r="GJ42" s="300"/>
      <c r="GK42" s="300"/>
      <c r="GL42" s="300"/>
      <c r="GM42" s="300"/>
      <c r="GN42" s="300"/>
      <c r="GO42" s="300"/>
      <c r="GP42" s="300"/>
      <c r="GQ42" s="300"/>
      <c r="GR42" s="300"/>
      <c r="GS42" s="300"/>
      <c r="GT42" s="300"/>
      <c r="GU42" s="300"/>
      <c r="GV42" s="300"/>
      <c r="GW42" s="300"/>
      <c r="GX42" s="300"/>
      <c r="GY42" s="300"/>
      <c r="GZ42" s="300"/>
      <c r="HA42" s="300"/>
      <c r="HB42" s="300"/>
      <c r="HC42" s="300"/>
      <c r="HD42" s="300"/>
      <c r="HE42" s="300"/>
      <c r="HF42" s="300"/>
      <c r="HG42" s="300"/>
      <c r="HH42" s="300"/>
      <c r="HI42" s="300"/>
      <c r="HJ42" s="300"/>
      <c r="HK42" s="300"/>
      <c r="HL42" s="300"/>
      <c r="HM42" s="300"/>
      <c r="HN42" s="300"/>
      <c r="HO42" s="300"/>
      <c r="HP42" s="300"/>
      <c r="HQ42" s="300"/>
      <c r="HR42" s="300"/>
      <c r="HS42" s="300"/>
      <c r="HT42" s="300"/>
      <c r="HU42" s="300"/>
      <c r="HV42" s="300"/>
      <c r="HW42" s="300"/>
      <c r="HX42" s="300"/>
      <c r="HY42" s="300"/>
      <c r="HZ42" s="300"/>
      <c r="IA42" s="300"/>
      <c r="IB42" s="300"/>
      <c r="IC42" s="300"/>
    </row>
    <row r="43" ht="12.75" customHeight="1">
      <c r="A43" s="300"/>
      <c r="B43" s="396"/>
      <c r="C43" s="300"/>
      <c r="D43" s="300"/>
      <c r="E43" s="300"/>
      <c r="F43" s="300"/>
      <c r="G43" s="300"/>
      <c r="H43" s="300"/>
      <c r="I43" s="300"/>
      <c r="J43" s="300"/>
      <c r="K43" s="300"/>
      <c r="L43" s="300"/>
      <c r="M43" s="300"/>
      <c r="N43" s="300"/>
      <c r="O43" s="300"/>
      <c r="P43" s="300"/>
      <c r="Q43" s="300"/>
      <c r="R43" s="300"/>
      <c r="S43" s="398"/>
      <c r="T43" s="300"/>
      <c r="U43" s="300"/>
      <c r="V43" s="300"/>
      <c r="W43" s="300"/>
      <c r="X43" s="396"/>
      <c r="Y43" s="300"/>
      <c r="Z43" s="300"/>
      <c r="AA43" s="300"/>
      <c r="AB43" s="300"/>
      <c r="AC43" s="300"/>
      <c r="AD43" s="300"/>
      <c r="AE43" s="300"/>
      <c r="AF43" s="300"/>
      <c r="AG43" s="300"/>
      <c r="AH43" s="300"/>
      <c r="AI43" s="300"/>
      <c r="AJ43" s="300"/>
      <c r="AK43" s="300"/>
      <c r="AL43" s="300"/>
      <c r="AM43" s="300"/>
      <c r="AN43" s="300"/>
      <c r="AO43" s="398"/>
      <c r="AP43" s="300"/>
      <c r="AQ43" s="300"/>
      <c r="AR43" s="300"/>
      <c r="AS43" s="396"/>
      <c r="AT43" s="300"/>
      <c r="AU43" s="300"/>
      <c r="AV43" s="300"/>
      <c r="AW43" s="300"/>
      <c r="AX43" s="300"/>
      <c r="AY43" s="300"/>
      <c r="AZ43" s="300"/>
      <c r="BA43" s="300"/>
      <c r="BB43" s="300"/>
      <c r="BC43" s="300"/>
      <c r="BD43" s="300"/>
      <c r="BE43" s="300"/>
      <c r="BF43" s="300"/>
      <c r="BG43" s="300"/>
      <c r="BH43" s="300"/>
      <c r="BI43" s="300"/>
      <c r="BJ43" s="398"/>
      <c r="BK43" s="300"/>
      <c r="BL43" s="300"/>
      <c r="BM43" s="300"/>
      <c r="BN43" s="396"/>
      <c r="BO43" s="300"/>
      <c r="BP43" s="300"/>
      <c r="BQ43" s="300"/>
      <c r="BR43" s="300"/>
      <c r="BS43" s="300"/>
      <c r="BT43" s="300"/>
      <c r="BU43" s="300"/>
      <c r="BV43" s="300"/>
      <c r="BW43" s="300"/>
      <c r="BX43" s="300"/>
      <c r="BY43" s="300"/>
      <c r="BZ43" s="300"/>
      <c r="CA43" s="300"/>
      <c r="CB43" s="300"/>
      <c r="CC43" s="300"/>
      <c r="CD43" s="300"/>
      <c r="CE43" s="398"/>
      <c r="CF43" s="300"/>
      <c r="CG43" s="300"/>
      <c r="CH43" s="300"/>
      <c r="CI43" s="300"/>
      <c r="CJ43" s="396"/>
      <c r="CK43" s="300"/>
      <c r="CL43" s="300"/>
      <c r="CM43" s="300"/>
      <c r="CN43" s="300"/>
      <c r="CO43" s="300"/>
      <c r="CP43" s="300"/>
      <c r="CQ43" s="300"/>
      <c r="CR43" s="300"/>
      <c r="CS43" s="300"/>
      <c r="CT43" s="300"/>
      <c r="CU43" s="300"/>
      <c r="CV43" s="300"/>
      <c r="CW43" s="300"/>
      <c r="CX43" s="300"/>
      <c r="CY43" s="300"/>
      <c r="CZ43" s="300"/>
      <c r="DA43" s="398"/>
      <c r="DB43" s="300"/>
      <c r="DC43" s="300"/>
      <c r="DD43" s="300"/>
      <c r="DE43" s="300"/>
      <c r="DF43" s="396"/>
      <c r="DG43" s="300"/>
      <c r="DH43" s="394"/>
      <c r="DI43" s="52"/>
      <c r="DJ43" s="52"/>
      <c r="DK43" s="52"/>
      <c r="DL43" s="52"/>
      <c r="DM43" s="30"/>
      <c r="DN43" s="300"/>
      <c r="DO43" s="394"/>
      <c r="DP43" s="52"/>
      <c r="DQ43" s="52"/>
      <c r="DR43" s="52"/>
      <c r="DS43" s="52"/>
      <c r="DT43" s="30"/>
      <c r="DU43" s="300"/>
      <c r="DV43" s="300"/>
      <c r="DW43" s="398"/>
      <c r="DX43" s="300"/>
      <c r="DY43" s="300"/>
      <c r="DZ43" s="300"/>
      <c r="EA43" s="300"/>
      <c r="EB43" s="396"/>
      <c r="EC43" s="300"/>
      <c r="ED43" s="300"/>
      <c r="EE43" s="300"/>
      <c r="EF43" s="300"/>
      <c r="EG43" s="300"/>
      <c r="EH43" s="300"/>
      <c r="EI43" s="300"/>
      <c r="EJ43" s="300"/>
      <c r="EK43" s="300"/>
      <c r="EL43" s="300"/>
      <c r="EM43" s="300"/>
      <c r="EN43" s="300"/>
      <c r="EO43" s="300"/>
      <c r="EP43" s="300"/>
      <c r="EQ43" s="300"/>
      <c r="ER43" s="300"/>
      <c r="ES43" s="398"/>
      <c r="ET43" s="300"/>
      <c r="EU43" s="300"/>
      <c r="EV43" s="300"/>
      <c r="EW43" s="300"/>
      <c r="EX43" s="300"/>
      <c r="EY43" s="300"/>
      <c r="EZ43" s="300"/>
      <c r="FA43" s="300"/>
      <c r="FB43" s="300"/>
      <c r="FC43" s="300"/>
      <c r="FD43" s="300"/>
      <c r="FE43" s="300"/>
      <c r="FF43" s="300"/>
      <c r="FG43" s="300"/>
      <c r="FH43" s="300"/>
      <c r="FI43" s="300"/>
      <c r="FJ43" s="300"/>
      <c r="FK43" s="300"/>
      <c r="FL43" s="300"/>
      <c r="FM43" s="300"/>
      <c r="FN43" s="300"/>
      <c r="FO43" s="300"/>
      <c r="FP43" s="300"/>
      <c r="FQ43" s="300"/>
      <c r="FR43" s="300"/>
      <c r="FS43" s="300"/>
      <c r="FT43" s="300"/>
      <c r="FU43" s="300"/>
      <c r="FV43" s="300"/>
      <c r="FW43" s="300"/>
      <c r="FX43" s="300"/>
      <c r="FY43" s="300"/>
      <c r="FZ43" s="300"/>
      <c r="GA43" s="300"/>
      <c r="GB43" s="300"/>
      <c r="GC43" s="300"/>
      <c r="GD43" s="300"/>
      <c r="GE43" s="300"/>
      <c r="GF43" s="300"/>
      <c r="GG43" s="300"/>
      <c r="GH43" s="300"/>
      <c r="GI43" s="300"/>
      <c r="GJ43" s="300"/>
      <c r="GK43" s="300"/>
      <c r="GL43" s="300"/>
      <c r="GM43" s="300"/>
      <c r="GN43" s="300"/>
      <c r="GO43" s="300"/>
      <c r="GP43" s="300"/>
      <c r="GQ43" s="300"/>
      <c r="GR43" s="300"/>
      <c r="GS43" s="300"/>
      <c r="GT43" s="300"/>
      <c r="GU43" s="300"/>
      <c r="GV43" s="300"/>
      <c r="GW43" s="300"/>
      <c r="GX43" s="300"/>
      <c r="GY43" s="300"/>
      <c r="GZ43" s="300"/>
      <c r="HA43" s="300"/>
      <c r="HB43" s="300"/>
      <c r="HC43" s="300"/>
      <c r="HD43" s="300"/>
      <c r="HE43" s="300"/>
      <c r="HF43" s="300"/>
      <c r="HG43" s="300"/>
      <c r="HH43" s="300"/>
      <c r="HI43" s="300"/>
      <c r="HJ43" s="300"/>
      <c r="HK43" s="300"/>
      <c r="HL43" s="300"/>
      <c r="HM43" s="300"/>
      <c r="HN43" s="300"/>
      <c r="HO43" s="300"/>
      <c r="HP43" s="300"/>
      <c r="HQ43" s="300"/>
      <c r="HR43" s="300"/>
      <c r="HS43" s="300"/>
      <c r="HT43" s="300"/>
      <c r="HU43" s="300"/>
      <c r="HV43" s="300"/>
      <c r="HW43" s="300"/>
      <c r="HX43" s="300"/>
      <c r="HY43" s="300"/>
      <c r="HZ43" s="300"/>
      <c r="IA43" s="300"/>
      <c r="IB43" s="300"/>
      <c r="IC43" s="300"/>
    </row>
    <row r="44" ht="12.75" customHeight="1">
      <c r="A44" s="300"/>
      <c r="B44" s="396"/>
      <c r="C44" s="300"/>
      <c r="D44" s="300"/>
      <c r="E44" s="413" t="s">
        <v>476</v>
      </c>
      <c r="F44" s="305"/>
      <c r="G44" s="305"/>
      <c r="H44" s="305"/>
      <c r="I44" s="305"/>
      <c r="J44" s="305"/>
      <c r="K44" s="305"/>
      <c r="L44" s="305"/>
      <c r="M44" s="305"/>
      <c r="N44" s="305"/>
      <c r="O44" s="305"/>
      <c r="P44" s="306"/>
      <c r="Q44" s="300"/>
      <c r="R44" s="300"/>
      <c r="S44" s="398"/>
      <c r="T44" s="300"/>
      <c r="U44" s="300"/>
      <c r="V44" s="300"/>
      <c r="W44" s="300"/>
      <c r="X44" s="396"/>
      <c r="Y44" s="300"/>
      <c r="Z44" s="300"/>
      <c r="AA44" s="413" t="s">
        <v>476</v>
      </c>
      <c r="AB44" s="305"/>
      <c r="AC44" s="305"/>
      <c r="AD44" s="305"/>
      <c r="AE44" s="305"/>
      <c r="AF44" s="305"/>
      <c r="AG44" s="305"/>
      <c r="AH44" s="305"/>
      <c r="AI44" s="305"/>
      <c r="AJ44" s="305"/>
      <c r="AK44" s="305"/>
      <c r="AL44" s="306"/>
      <c r="AM44" s="300"/>
      <c r="AN44" s="300"/>
      <c r="AO44" s="398"/>
      <c r="AP44" s="300"/>
      <c r="AQ44" s="300"/>
      <c r="AR44" s="300"/>
      <c r="AS44" s="396"/>
      <c r="AT44" s="300"/>
      <c r="AU44" s="300"/>
      <c r="AV44" s="413" t="s">
        <v>476</v>
      </c>
      <c r="AW44" s="305"/>
      <c r="AX44" s="305"/>
      <c r="AY44" s="305"/>
      <c r="AZ44" s="305"/>
      <c r="BA44" s="305"/>
      <c r="BB44" s="305"/>
      <c r="BC44" s="305"/>
      <c r="BD44" s="305"/>
      <c r="BE44" s="305"/>
      <c r="BF44" s="305"/>
      <c r="BG44" s="306"/>
      <c r="BH44" s="300"/>
      <c r="BI44" s="300"/>
      <c r="BJ44" s="398"/>
      <c r="BK44" s="300"/>
      <c r="BL44" s="300"/>
      <c r="BM44" s="300"/>
      <c r="BN44" s="396"/>
      <c r="BO44" s="300"/>
      <c r="BP44" s="300"/>
      <c r="BQ44" s="413" t="s">
        <v>476</v>
      </c>
      <c r="BR44" s="305"/>
      <c r="BS44" s="305"/>
      <c r="BT44" s="305"/>
      <c r="BU44" s="305"/>
      <c r="BV44" s="305"/>
      <c r="BW44" s="305"/>
      <c r="BX44" s="305"/>
      <c r="BY44" s="305"/>
      <c r="BZ44" s="305"/>
      <c r="CA44" s="305"/>
      <c r="CB44" s="306"/>
      <c r="CC44" s="300"/>
      <c r="CD44" s="300"/>
      <c r="CE44" s="398"/>
      <c r="CF44" s="300"/>
      <c r="CG44" s="300"/>
      <c r="CH44" s="300"/>
      <c r="CI44" s="300"/>
      <c r="CJ44" s="396"/>
      <c r="CK44" s="300"/>
      <c r="CL44" s="300"/>
      <c r="CM44" s="413" t="s">
        <v>476</v>
      </c>
      <c r="CN44" s="305"/>
      <c r="CO44" s="305"/>
      <c r="CP44" s="305"/>
      <c r="CQ44" s="305"/>
      <c r="CR44" s="305"/>
      <c r="CS44" s="305"/>
      <c r="CT44" s="305"/>
      <c r="CU44" s="305"/>
      <c r="CV44" s="305"/>
      <c r="CW44" s="305"/>
      <c r="CX44" s="306"/>
      <c r="CY44" s="300"/>
      <c r="CZ44" s="300"/>
      <c r="DA44" s="398"/>
      <c r="DB44" s="300"/>
      <c r="DC44" s="300"/>
      <c r="DD44" s="300"/>
      <c r="DE44" s="300"/>
      <c r="DF44" s="396"/>
      <c r="DG44" s="300"/>
      <c r="DH44" s="300"/>
      <c r="DI44" s="300"/>
      <c r="DJ44" s="300"/>
      <c r="DK44" s="300"/>
      <c r="DL44" s="300"/>
      <c r="DM44" s="300"/>
      <c r="DN44" s="300"/>
      <c r="DO44" s="300"/>
      <c r="DP44" s="300"/>
      <c r="DQ44" s="300"/>
      <c r="DR44" s="300"/>
      <c r="DS44" s="300"/>
      <c r="DT44" s="300"/>
      <c r="DU44" s="300"/>
      <c r="DV44" s="300"/>
      <c r="DW44" s="398"/>
      <c r="DX44" s="300"/>
      <c r="DY44" s="300"/>
      <c r="DZ44" s="300"/>
      <c r="EA44" s="300"/>
      <c r="EB44" s="396"/>
      <c r="EC44" s="300"/>
      <c r="ED44" s="300"/>
      <c r="EE44" s="300"/>
      <c r="EF44" s="300"/>
      <c r="EG44" s="300"/>
      <c r="EH44" s="300"/>
      <c r="EI44" s="300"/>
      <c r="EJ44" s="300"/>
      <c r="EK44" s="300"/>
      <c r="EL44" s="300"/>
      <c r="EM44" s="300"/>
      <c r="EN44" s="300"/>
      <c r="EO44" s="300"/>
      <c r="EP44" s="300"/>
      <c r="EQ44" s="300"/>
      <c r="ER44" s="300"/>
      <c r="ES44" s="398"/>
      <c r="ET44" s="300"/>
      <c r="EU44" s="300"/>
      <c r="EV44" s="300"/>
      <c r="EW44" s="300"/>
      <c r="EX44" s="300"/>
      <c r="EY44" s="300"/>
      <c r="EZ44" s="300"/>
      <c r="FA44" s="300"/>
      <c r="FB44" s="300"/>
      <c r="FC44" s="300"/>
      <c r="FD44" s="300"/>
      <c r="FE44" s="300"/>
      <c r="FF44" s="300"/>
      <c r="FG44" s="300"/>
      <c r="FH44" s="300"/>
      <c r="FI44" s="300"/>
      <c r="FJ44" s="300"/>
      <c r="FK44" s="300"/>
      <c r="FL44" s="300"/>
      <c r="FM44" s="300"/>
      <c r="FN44" s="300"/>
      <c r="FO44" s="300"/>
      <c r="FP44" s="300"/>
      <c r="FQ44" s="300"/>
      <c r="FR44" s="300"/>
      <c r="FS44" s="300"/>
      <c r="FT44" s="300"/>
      <c r="FU44" s="300"/>
      <c r="FV44" s="300"/>
      <c r="FW44" s="300"/>
      <c r="FX44" s="300"/>
      <c r="FY44" s="300"/>
      <c r="FZ44" s="300"/>
      <c r="GA44" s="300"/>
      <c r="GB44" s="300"/>
      <c r="GC44" s="300"/>
      <c r="GD44" s="300"/>
      <c r="GE44" s="300"/>
      <c r="GF44" s="300"/>
      <c r="GG44" s="300"/>
      <c r="GH44" s="300"/>
      <c r="GI44" s="300"/>
      <c r="GJ44" s="300"/>
      <c r="GK44" s="300"/>
      <c r="GL44" s="300"/>
      <c r="GM44" s="300"/>
      <c r="GN44" s="300"/>
      <c r="GO44" s="300"/>
      <c r="GP44" s="300"/>
      <c r="GQ44" s="300"/>
      <c r="GR44" s="300"/>
      <c r="GS44" s="300"/>
      <c r="GT44" s="300"/>
      <c r="GU44" s="300"/>
      <c r="GV44" s="300"/>
      <c r="GW44" s="300"/>
      <c r="GX44" s="300"/>
      <c r="GY44" s="300"/>
      <c r="GZ44" s="300"/>
      <c r="HA44" s="300"/>
      <c r="HB44" s="300"/>
      <c r="HC44" s="300"/>
      <c r="HD44" s="300"/>
      <c r="HE44" s="300"/>
      <c r="HF44" s="300"/>
      <c r="HG44" s="300"/>
      <c r="HH44" s="300"/>
      <c r="HI44" s="300"/>
      <c r="HJ44" s="300"/>
      <c r="HK44" s="300"/>
      <c r="HL44" s="300"/>
      <c r="HM44" s="300"/>
      <c r="HN44" s="300"/>
      <c r="HO44" s="300"/>
      <c r="HP44" s="300"/>
      <c r="HQ44" s="300"/>
      <c r="HR44" s="300"/>
      <c r="HS44" s="300"/>
      <c r="HT44" s="300"/>
      <c r="HU44" s="300"/>
      <c r="HV44" s="300"/>
      <c r="HW44" s="300"/>
      <c r="HX44" s="300"/>
      <c r="HY44" s="300"/>
      <c r="HZ44" s="300"/>
      <c r="IA44" s="300"/>
      <c r="IB44" s="300"/>
      <c r="IC44" s="300"/>
    </row>
    <row r="45" ht="12.75" customHeight="1">
      <c r="A45" s="300"/>
      <c r="B45" s="396"/>
      <c r="C45" s="300"/>
      <c r="D45" s="300"/>
      <c r="E45" s="331"/>
      <c r="F45" s="332"/>
      <c r="G45" s="332"/>
      <c r="H45" s="332"/>
      <c r="I45" s="332"/>
      <c r="J45" s="332"/>
      <c r="K45" s="332"/>
      <c r="L45" s="332"/>
      <c r="M45" s="332"/>
      <c r="N45" s="332"/>
      <c r="O45" s="332"/>
      <c r="P45" s="333"/>
      <c r="Q45" s="300"/>
      <c r="R45" s="300"/>
      <c r="S45" s="398"/>
      <c r="T45" s="300"/>
      <c r="U45" s="300"/>
      <c r="V45" s="300"/>
      <c r="W45" s="300"/>
      <c r="X45" s="396"/>
      <c r="Y45" s="300"/>
      <c r="Z45" s="300"/>
      <c r="AA45" s="331"/>
      <c r="AB45" s="332"/>
      <c r="AC45" s="332"/>
      <c r="AD45" s="332"/>
      <c r="AE45" s="332"/>
      <c r="AF45" s="332"/>
      <c r="AG45" s="332"/>
      <c r="AH45" s="332"/>
      <c r="AI45" s="332"/>
      <c r="AJ45" s="332"/>
      <c r="AK45" s="332"/>
      <c r="AL45" s="333"/>
      <c r="AM45" s="300"/>
      <c r="AN45" s="300"/>
      <c r="AO45" s="398"/>
      <c r="AP45" s="300"/>
      <c r="AQ45" s="300"/>
      <c r="AR45" s="300"/>
      <c r="AS45" s="396"/>
      <c r="AT45" s="300"/>
      <c r="AU45" s="300"/>
      <c r="AV45" s="331"/>
      <c r="AW45" s="332"/>
      <c r="AX45" s="332"/>
      <c r="AY45" s="332"/>
      <c r="AZ45" s="332"/>
      <c r="BA45" s="332"/>
      <c r="BB45" s="332"/>
      <c r="BC45" s="332"/>
      <c r="BD45" s="332"/>
      <c r="BE45" s="332"/>
      <c r="BF45" s="332"/>
      <c r="BG45" s="333"/>
      <c r="BH45" s="300"/>
      <c r="BI45" s="300"/>
      <c r="BJ45" s="398"/>
      <c r="BK45" s="300"/>
      <c r="BL45" s="300"/>
      <c r="BM45" s="300"/>
      <c r="BN45" s="396"/>
      <c r="BO45" s="300"/>
      <c r="BP45" s="300"/>
      <c r="BQ45" s="331"/>
      <c r="BR45" s="332"/>
      <c r="BS45" s="332"/>
      <c r="BT45" s="332"/>
      <c r="BU45" s="332"/>
      <c r="BV45" s="332"/>
      <c r="BW45" s="332"/>
      <c r="BX45" s="332"/>
      <c r="BY45" s="332"/>
      <c r="BZ45" s="332"/>
      <c r="CA45" s="332"/>
      <c r="CB45" s="333"/>
      <c r="CC45" s="300"/>
      <c r="CD45" s="300"/>
      <c r="CE45" s="398"/>
      <c r="CF45" s="300"/>
      <c r="CG45" s="300"/>
      <c r="CH45" s="300"/>
      <c r="CI45" s="300"/>
      <c r="CJ45" s="396"/>
      <c r="CK45" s="300"/>
      <c r="CL45" s="300"/>
      <c r="CM45" s="331"/>
      <c r="CN45" s="332"/>
      <c r="CO45" s="332"/>
      <c r="CP45" s="332"/>
      <c r="CQ45" s="332"/>
      <c r="CR45" s="332"/>
      <c r="CS45" s="332"/>
      <c r="CT45" s="332"/>
      <c r="CU45" s="332"/>
      <c r="CV45" s="332"/>
      <c r="CW45" s="332"/>
      <c r="CX45" s="333"/>
      <c r="CY45" s="300"/>
      <c r="CZ45" s="300"/>
      <c r="DA45" s="398"/>
      <c r="DB45" s="300"/>
      <c r="DC45" s="300"/>
      <c r="DD45" s="300"/>
      <c r="DE45" s="300"/>
      <c r="DF45" s="396"/>
      <c r="DG45" s="300"/>
      <c r="DH45" s="300"/>
      <c r="DI45" s="300"/>
      <c r="DJ45" s="300"/>
      <c r="DK45" s="300"/>
      <c r="DL45" s="300"/>
      <c r="DM45" s="300"/>
      <c r="DN45" s="300"/>
      <c r="DO45" s="420" t="s">
        <v>518</v>
      </c>
      <c r="DP45" s="300"/>
      <c r="DQ45" s="300"/>
      <c r="DR45" s="300"/>
      <c r="DS45" s="300"/>
      <c r="DT45" s="300"/>
      <c r="DU45" s="300"/>
      <c r="DV45" s="300"/>
      <c r="DW45" s="398"/>
      <c r="DX45" s="300"/>
      <c r="DY45" s="300"/>
      <c r="DZ45" s="300"/>
      <c r="EA45" s="300"/>
      <c r="EB45" s="396"/>
      <c r="EC45" s="300"/>
      <c r="ED45" s="300"/>
      <c r="EE45" s="300"/>
      <c r="EF45" s="300"/>
      <c r="EG45" s="300"/>
      <c r="EH45" s="300"/>
      <c r="EI45" s="300"/>
      <c r="EJ45" s="300"/>
      <c r="EK45" s="300"/>
      <c r="EL45" s="300"/>
      <c r="EM45" s="300"/>
      <c r="EN45" s="300"/>
      <c r="EO45" s="300"/>
      <c r="EP45" s="300"/>
      <c r="EQ45" s="300"/>
      <c r="ER45" s="300"/>
      <c r="ES45" s="398"/>
      <c r="ET45" s="300"/>
      <c r="EU45" s="300"/>
      <c r="EV45" s="300"/>
      <c r="EW45" s="300"/>
      <c r="EX45" s="300"/>
      <c r="EY45" s="300"/>
      <c r="EZ45" s="300"/>
      <c r="FA45" s="300"/>
      <c r="FB45" s="300"/>
      <c r="FC45" s="300"/>
      <c r="FD45" s="300"/>
      <c r="FE45" s="300"/>
      <c r="FF45" s="300"/>
      <c r="FG45" s="300"/>
      <c r="FH45" s="300"/>
      <c r="FI45" s="300"/>
      <c r="FJ45" s="300"/>
      <c r="FK45" s="300"/>
      <c r="FL45" s="300"/>
      <c r="FM45" s="300"/>
      <c r="FN45" s="300"/>
      <c r="FO45" s="300"/>
      <c r="FP45" s="300"/>
      <c r="FQ45" s="300"/>
      <c r="FR45" s="300"/>
      <c r="FS45" s="300"/>
      <c r="FT45" s="300"/>
      <c r="FU45" s="300"/>
      <c r="FV45" s="300"/>
      <c r="FW45" s="300"/>
      <c r="FX45" s="300"/>
      <c r="FY45" s="300"/>
      <c r="FZ45" s="300"/>
      <c r="GA45" s="300"/>
      <c r="GB45" s="300"/>
      <c r="GC45" s="300"/>
      <c r="GD45" s="300"/>
      <c r="GE45" s="300"/>
      <c r="GF45" s="300"/>
      <c r="GG45" s="300"/>
      <c r="GH45" s="300"/>
      <c r="GI45" s="300"/>
      <c r="GJ45" s="300"/>
      <c r="GK45" s="300"/>
      <c r="GL45" s="300"/>
      <c r="GM45" s="300"/>
      <c r="GN45" s="300"/>
      <c r="GO45" s="300"/>
      <c r="GP45" s="300"/>
      <c r="GQ45" s="300"/>
      <c r="GR45" s="300"/>
      <c r="GS45" s="300"/>
      <c r="GT45" s="300"/>
      <c r="GU45" s="300"/>
      <c r="GV45" s="300"/>
      <c r="GW45" s="300"/>
      <c r="GX45" s="300"/>
      <c r="GY45" s="300"/>
      <c r="GZ45" s="300"/>
      <c r="HA45" s="300"/>
      <c r="HB45" s="300"/>
      <c r="HC45" s="300"/>
      <c r="HD45" s="300"/>
      <c r="HE45" s="300"/>
      <c r="HF45" s="300"/>
      <c r="HG45" s="300"/>
      <c r="HH45" s="300"/>
      <c r="HI45" s="300"/>
      <c r="HJ45" s="300"/>
      <c r="HK45" s="300"/>
      <c r="HL45" s="300"/>
      <c r="HM45" s="300"/>
      <c r="HN45" s="300"/>
      <c r="HO45" s="300"/>
      <c r="HP45" s="300"/>
      <c r="HQ45" s="300"/>
      <c r="HR45" s="300"/>
      <c r="HS45" s="300"/>
      <c r="HT45" s="300"/>
      <c r="HU45" s="300"/>
      <c r="HV45" s="300"/>
      <c r="HW45" s="300"/>
      <c r="HX45" s="300"/>
      <c r="HY45" s="300"/>
      <c r="HZ45" s="300"/>
      <c r="IA45" s="300"/>
      <c r="IB45" s="300"/>
      <c r="IC45" s="300"/>
    </row>
    <row r="46" ht="12.75" customHeight="1">
      <c r="A46" s="300"/>
      <c r="B46" s="396"/>
      <c r="C46" s="300"/>
      <c r="D46" s="300"/>
      <c r="E46" s="300"/>
      <c r="F46" s="300"/>
      <c r="G46" s="300"/>
      <c r="H46" s="300"/>
      <c r="I46" s="300"/>
      <c r="J46" s="300"/>
      <c r="K46" s="300"/>
      <c r="L46" s="300"/>
      <c r="M46" s="300"/>
      <c r="N46" s="300"/>
      <c r="O46" s="300"/>
      <c r="P46" s="300"/>
      <c r="Q46" s="300"/>
      <c r="R46" s="300"/>
      <c r="S46" s="398"/>
      <c r="T46" s="300"/>
      <c r="U46" s="300"/>
      <c r="V46" s="300"/>
      <c r="W46" s="300"/>
      <c r="X46" s="396"/>
      <c r="Y46" s="300"/>
      <c r="Z46" s="300"/>
      <c r="AA46" s="300"/>
      <c r="AB46" s="300"/>
      <c r="AC46" s="300"/>
      <c r="AD46" s="300"/>
      <c r="AE46" s="300"/>
      <c r="AF46" s="300"/>
      <c r="AG46" s="300"/>
      <c r="AH46" s="300"/>
      <c r="AI46" s="300"/>
      <c r="AJ46" s="300"/>
      <c r="AK46" s="300"/>
      <c r="AL46" s="300"/>
      <c r="AM46" s="300"/>
      <c r="AN46" s="300"/>
      <c r="AO46" s="398"/>
      <c r="AP46" s="300"/>
      <c r="AQ46" s="300"/>
      <c r="AR46" s="300"/>
      <c r="AS46" s="396"/>
      <c r="AT46" s="300"/>
      <c r="AU46" s="300"/>
      <c r="AV46" s="300"/>
      <c r="AW46" s="300"/>
      <c r="AX46" s="300"/>
      <c r="AY46" s="300"/>
      <c r="AZ46" s="300"/>
      <c r="BA46" s="300"/>
      <c r="BB46" s="300"/>
      <c r="BC46" s="300"/>
      <c r="BD46" s="300"/>
      <c r="BE46" s="300"/>
      <c r="BF46" s="300"/>
      <c r="BG46" s="300"/>
      <c r="BH46" s="300"/>
      <c r="BI46" s="300"/>
      <c r="BJ46" s="398"/>
      <c r="BK46" s="300"/>
      <c r="BL46" s="300"/>
      <c r="BM46" s="300"/>
      <c r="BN46" s="396"/>
      <c r="BO46" s="300"/>
      <c r="BP46" s="300"/>
      <c r="BQ46" s="300"/>
      <c r="BR46" s="300"/>
      <c r="BS46" s="300"/>
      <c r="BT46" s="300"/>
      <c r="BU46" s="300"/>
      <c r="BV46" s="300"/>
      <c r="BW46" s="300"/>
      <c r="BX46" s="300"/>
      <c r="BY46" s="300"/>
      <c r="BZ46" s="300"/>
      <c r="CA46" s="300"/>
      <c r="CB46" s="300"/>
      <c r="CC46" s="300"/>
      <c r="CD46" s="300"/>
      <c r="CE46" s="398"/>
      <c r="CF46" s="300"/>
      <c r="CG46" s="300"/>
      <c r="CH46" s="300"/>
      <c r="CI46" s="300"/>
      <c r="CJ46" s="396"/>
      <c r="CK46" s="300"/>
      <c r="CL46" s="300"/>
      <c r="CM46" s="300"/>
      <c r="CN46" s="300"/>
      <c r="CO46" s="300"/>
      <c r="CP46" s="300"/>
      <c r="CQ46" s="300"/>
      <c r="CR46" s="300"/>
      <c r="CS46" s="300"/>
      <c r="CT46" s="300"/>
      <c r="CU46" s="300"/>
      <c r="CV46" s="300"/>
      <c r="CW46" s="300"/>
      <c r="CX46" s="300"/>
      <c r="CY46" s="300"/>
      <c r="CZ46" s="300"/>
      <c r="DA46" s="398"/>
      <c r="DB46" s="300"/>
      <c r="DC46" s="300"/>
      <c r="DD46" s="300"/>
      <c r="DE46" s="300"/>
      <c r="DF46" s="396"/>
      <c r="DG46" s="300"/>
      <c r="DH46" s="300"/>
      <c r="DI46" s="300"/>
      <c r="DJ46" s="300"/>
      <c r="DK46" s="300"/>
      <c r="DL46" s="300"/>
      <c r="DM46" s="300"/>
      <c r="DN46" s="300"/>
      <c r="DO46" s="376"/>
      <c r="DP46" s="10"/>
      <c r="DQ46" s="10"/>
      <c r="DR46" s="10"/>
      <c r="DS46" s="10"/>
      <c r="DT46" s="19"/>
      <c r="DU46" s="300"/>
      <c r="DV46" s="300"/>
      <c r="DW46" s="398"/>
      <c r="DX46" s="300"/>
      <c r="DY46" s="300"/>
      <c r="DZ46" s="300"/>
      <c r="EA46" s="300"/>
      <c r="EB46" s="396"/>
      <c r="EC46" s="300"/>
      <c r="ED46" s="300"/>
      <c r="EE46" s="300"/>
      <c r="EF46" s="300"/>
      <c r="EG46" s="300"/>
      <c r="EH46" s="300"/>
      <c r="EI46" s="300"/>
      <c r="EJ46" s="300"/>
      <c r="EK46" s="300"/>
      <c r="EL46" s="300"/>
      <c r="EM46" s="300"/>
      <c r="EN46" s="300"/>
      <c r="EO46" s="300"/>
      <c r="EP46" s="300"/>
      <c r="EQ46" s="300"/>
      <c r="ER46" s="300"/>
      <c r="ES46" s="398"/>
      <c r="ET46" s="300"/>
      <c r="EU46" s="300"/>
      <c r="EV46" s="300"/>
      <c r="EW46" s="300"/>
      <c r="EX46" s="300"/>
      <c r="EY46" s="300"/>
      <c r="EZ46" s="300"/>
      <c r="FA46" s="300"/>
      <c r="FB46" s="300"/>
      <c r="FC46" s="300"/>
      <c r="FD46" s="300"/>
      <c r="FE46" s="300"/>
      <c r="FF46" s="300"/>
      <c r="FG46" s="300"/>
      <c r="FH46" s="300"/>
      <c r="FI46" s="300"/>
      <c r="FJ46" s="300"/>
      <c r="FK46" s="300"/>
      <c r="FL46" s="300"/>
      <c r="FM46" s="300"/>
      <c r="FN46" s="300"/>
      <c r="FO46" s="300"/>
      <c r="FP46" s="300"/>
      <c r="FQ46" s="300"/>
      <c r="FR46" s="300"/>
      <c r="FS46" s="300"/>
      <c r="FT46" s="300"/>
      <c r="FU46" s="300"/>
      <c r="FV46" s="300"/>
      <c r="FW46" s="300"/>
      <c r="FX46" s="300"/>
      <c r="FY46" s="300"/>
      <c r="FZ46" s="300"/>
      <c r="GA46" s="300"/>
      <c r="GB46" s="300"/>
      <c r="GC46" s="300"/>
      <c r="GD46" s="300"/>
      <c r="GE46" s="300"/>
      <c r="GF46" s="300"/>
      <c r="GG46" s="300"/>
      <c r="GH46" s="300"/>
      <c r="GI46" s="300"/>
      <c r="GJ46" s="300"/>
      <c r="GK46" s="300"/>
      <c r="GL46" s="300"/>
      <c r="GM46" s="300"/>
      <c r="GN46" s="300"/>
      <c r="GO46" s="300"/>
      <c r="GP46" s="300"/>
      <c r="GQ46" s="300"/>
      <c r="GR46" s="300"/>
      <c r="GS46" s="300"/>
      <c r="GT46" s="300"/>
      <c r="GU46" s="300"/>
      <c r="GV46" s="300"/>
      <c r="GW46" s="300"/>
      <c r="GX46" s="300"/>
      <c r="GY46" s="300"/>
      <c r="GZ46" s="300"/>
      <c r="HA46" s="300"/>
      <c r="HB46" s="300"/>
      <c r="HC46" s="300"/>
      <c r="HD46" s="300"/>
      <c r="HE46" s="300"/>
      <c r="HF46" s="300"/>
      <c r="HG46" s="300"/>
      <c r="HH46" s="300"/>
      <c r="HI46" s="300"/>
      <c r="HJ46" s="300"/>
      <c r="HK46" s="300"/>
      <c r="HL46" s="300"/>
      <c r="HM46" s="300"/>
      <c r="HN46" s="300"/>
      <c r="HO46" s="300"/>
      <c r="HP46" s="300"/>
      <c r="HQ46" s="300"/>
      <c r="HR46" s="300"/>
      <c r="HS46" s="300"/>
      <c r="HT46" s="300"/>
      <c r="HU46" s="300"/>
      <c r="HV46" s="300"/>
      <c r="HW46" s="300"/>
      <c r="HX46" s="300"/>
      <c r="HY46" s="300"/>
      <c r="HZ46" s="300"/>
      <c r="IA46" s="300"/>
      <c r="IB46" s="300"/>
      <c r="IC46" s="300"/>
    </row>
    <row r="47" ht="24.75" customHeight="1">
      <c r="A47" s="300"/>
      <c r="B47" s="396"/>
      <c r="C47" s="300"/>
      <c r="D47" s="420" t="s">
        <v>482</v>
      </c>
      <c r="E47" s="300"/>
      <c r="F47" s="300"/>
      <c r="G47" s="300"/>
      <c r="H47" s="509" t="s">
        <v>513</v>
      </c>
      <c r="I47" s="425"/>
      <c r="J47" s="300"/>
      <c r="K47" s="300"/>
      <c r="L47" s="300"/>
      <c r="M47" s="300"/>
      <c r="N47" s="300"/>
      <c r="O47" s="300"/>
      <c r="P47" s="300"/>
      <c r="Q47" s="300"/>
      <c r="R47" s="300"/>
      <c r="S47" s="398"/>
      <c r="T47" s="300"/>
      <c r="U47" s="300"/>
      <c r="V47" s="300"/>
      <c r="W47" s="300"/>
      <c r="X47" s="396"/>
      <c r="Y47" s="300"/>
      <c r="Z47" s="420" t="s">
        <v>482</v>
      </c>
      <c r="AA47" s="300"/>
      <c r="AB47" s="300"/>
      <c r="AC47" s="300"/>
      <c r="AD47" s="423" t="s">
        <v>464</v>
      </c>
      <c r="AE47" s="425"/>
      <c r="AF47" s="300"/>
      <c r="AG47" s="300"/>
      <c r="AH47" s="300"/>
      <c r="AI47" s="300"/>
      <c r="AJ47" s="300"/>
      <c r="AK47" s="300"/>
      <c r="AL47" s="300"/>
      <c r="AM47" s="300"/>
      <c r="AN47" s="300"/>
      <c r="AO47" s="398"/>
      <c r="AP47" s="300"/>
      <c r="AQ47" s="300"/>
      <c r="AR47" s="300"/>
      <c r="AS47" s="396"/>
      <c r="AT47" s="300"/>
      <c r="AU47" s="420" t="s">
        <v>482</v>
      </c>
      <c r="AV47" s="300"/>
      <c r="AW47" s="300"/>
      <c r="AX47" s="300"/>
      <c r="AY47" s="423" t="s">
        <v>464</v>
      </c>
      <c r="AZ47" s="425"/>
      <c r="BA47" s="300"/>
      <c r="BB47" s="300"/>
      <c r="BC47" s="300"/>
      <c r="BD47" s="300"/>
      <c r="BE47" s="300"/>
      <c r="BF47" s="300"/>
      <c r="BG47" s="300"/>
      <c r="BH47" s="300"/>
      <c r="BI47" s="300"/>
      <c r="BJ47" s="398"/>
      <c r="BK47" s="300"/>
      <c r="BL47" s="300"/>
      <c r="BM47" s="300"/>
      <c r="BN47" s="396"/>
      <c r="BO47" s="300"/>
      <c r="BP47" s="420" t="s">
        <v>482</v>
      </c>
      <c r="BQ47" s="300"/>
      <c r="BR47" s="300"/>
      <c r="BS47" s="300"/>
      <c r="BT47" s="423" t="s">
        <v>464</v>
      </c>
      <c r="BU47" s="425"/>
      <c r="BV47" s="300"/>
      <c r="BW47" s="300"/>
      <c r="BX47" s="300"/>
      <c r="BY47" s="300"/>
      <c r="BZ47" s="300"/>
      <c r="CA47" s="300"/>
      <c r="CB47" s="300"/>
      <c r="CC47" s="300"/>
      <c r="CD47" s="300"/>
      <c r="CE47" s="398"/>
      <c r="CF47" s="300"/>
      <c r="CG47" s="300"/>
      <c r="CH47" s="300"/>
      <c r="CI47" s="300"/>
      <c r="CJ47" s="396"/>
      <c r="CK47" s="300"/>
      <c r="CL47" s="511" t="s">
        <v>519</v>
      </c>
      <c r="CM47" s="300"/>
      <c r="CN47" s="300"/>
      <c r="CO47" s="300"/>
      <c r="CP47" s="300"/>
      <c r="CQ47" s="300"/>
      <c r="CR47" s="300"/>
      <c r="CS47" s="300"/>
      <c r="CT47" s="300"/>
      <c r="CU47" s="300"/>
      <c r="CV47" s="300"/>
      <c r="CW47" s="300"/>
      <c r="CX47" s="300"/>
      <c r="CY47" s="300"/>
      <c r="CZ47" s="300"/>
      <c r="DA47" s="398"/>
      <c r="DB47" s="300"/>
      <c r="DC47" s="300"/>
      <c r="DD47" s="300"/>
      <c r="DE47" s="300"/>
      <c r="DF47" s="396"/>
      <c r="DG47" s="300"/>
      <c r="DH47" s="300"/>
      <c r="DI47" s="300"/>
      <c r="DJ47" s="300"/>
      <c r="DK47" s="300"/>
      <c r="DL47" s="300"/>
      <c r="DM47" s="300"/>
      <c r="DN47" s="300"/>
      <c r="DO47" s="394"/>
      <c r="DP47" s="52"/>
      <c r="DQ47" s="52"/>
      <c r="DR47" s="52"/>
      <c r="DS47" s="52"/>
      <c r="DT47" s="30"/>
      <c r="DU47" s="300"/>
      <c r="DV47" s="300"/>
      <c r="DW47" s="398"/>
      <c r="DX47" s="300"/>
      <c r="DY47" s="300"/>
      <c r="DZ47" s="300"/>
      <c r="EA47" s="300"/>
      <c r="EB47" s="396"/>
      <c r="EC47" s="300"/>
      <c r="ED47" s="300"/>
      <c r="EE47" s="300"/>
      <c r="EF47" s="300"/>
      <c r="EG47" s="300"/>
      <c r="EH47" s="300"/>
      <c r="EI47" s="300"/>
      <c r="EJ47" s="300"/>
      <c r="EK47" s="300"/>
      <c r="EL47" s="300"/>
      <c r="EM47" s="300"/>
      <c r="EN47" s="300"/>
      <c r="EO47" s="300"/>
      <c r="EP47" s="300"/>
      <c r="EQ47" s="300"/>
      <c r="ER47" s="300"/>
      <c r="ES47" s="398"/>
      <c r="ET47" s="300"/>
      <c r="EU47" s="300"/>
      <c r="EV47" s="300"/>
      <c r="EW47" s="300"/>
      <c r="EX47" s="300"/>
      <c r="EY47" s="300"/>
      <c r="EZ47" s="300"/>
      <c r="FA47" s="300"/>
      <c r="FB47" s="300"/>
      <c r="FC47" s="300"/>
      <c r="FD47" s="300"/>
      <c r="FE47" s="300"/>
      <c r="FF47" s="300"/>
      <c r="FG47" s="300"/>
      <c r="FH47" s="300"/>
      <c r="FI47" s="300"/>
      <c r="FJ47" s="300"/>
      <c r="FK47" s="300"/>
      <c r="FL47" s="300"/>
      <c r="FM47" s="300"/>
      <c r="FN47" s="300"/>
      <c r="FO47" s="300"/>
      <c r="FP47" s="300"/>
      <c r="FQ47" s="300"/>
      <c r="FR47" s="300"/>
      <c r="FS47" s="300"/>
      <c r="FT47" s="300"/>
      <c r="FU47" s="300"/>
      <c r="FV47" s="300"/>
      <c r="FW47" s="300"/>
      <c r="FX47" s="300"/>
      <c r="FY47" s="300"/>
      <c r="FZ47" s="300"/>
      <c r="GA47" s="300"/>
      <c r="GB47" s="300"/>
      <c r="GC47" s="300"/>
      <c r="GD47" s="300"/>
      <c r="GE47" s="300"/>
      <c r="GF47" s="300"/>
      <c r="GG47" s="300"/>
      <c r="GH47" s="300"/>
      <c r="GI47" s="300"/>
      <c r="GJ47" s="300"/>
      <c r="GK47" s="300"/>
      <c r="GL47" s="300"/>
      <c r="GM47" s="300"/>
      <c r="GN47" s="300"/>
      <c r="GO47" s="300"/>
      <c r="GP47" s="300"/>
      <c r="GQ47" s="300"/>
      <c r="GR47" s="300"/>
      <c r="GS47" s="300"/>
      <c r="GT47" s="300"/>
      <c r="GU47" s="300"/>
      <c r="GV47" s="300"/>
      <c r="GW47" s="300"/>
      <c r="GX47" s="300"/>
      <c r="GY47" s="300"/>
      <c r="GZ47" s="300"/>
      <c r="HA47" s="300"/>
      <c r="HB47" s="300"/>
      <c r="HC47" s="300"/>
      <c r="HD47" s="300"/>
      <c r="HE47" s="300"/>
      <c r="HF47" s="300"/>
      <c r="HG47" s="300"/>
      <c r="HH47" s="300"/>
      <c r="HI47" s="300"/>
      <c r="HJ47" s="300"/>
      <c r="HK47" s="300"/>
      <c r="HL47" s="300"/>
      <c r="HM47" s="300"/>
      <c r="HN47" s="300"/>
      <c r="HO47" s="300"/>
      <c r="HP47" s="300"/>
      <c r="HQ47" s="300"/>
      <c r="HR47" s="300"/>
      <c r="HS47" s="300"/>
      <c r="HT47" s="300"/>
      <c r="HU47" s="300"/>
      <c r="HV47" s="300"/>
      <c r="HW47" s="300"/>
      <c r="HX47" s="300"/>
      <c r="HY47" s="300"/>
      <c r="HZ47" s="300"/>
      <c r="IA47" s="300"/>
      <c r="IB47" s="300"/>
      <c r="IC47" s="300"/>
    </row>
    <row r="48" ht="12.75" customHeight="1">
      <c r="A48" s="300"/>
      <c r="B48" s="396"/>
      <c r="C48" s="300"/>
      <c r="D48" s="512" t="s">
        <v>520</v>
      </c>
      <c r="E48" s="10"/>
      <c r="F48" s="10"/>
      <c r="G48" s="10"/>
      <c r="H48" s="10"/>
      <c r="I48" s="19"/>
      <c r="J48" s="450"/>
      <c r="K48" s="300"/>
      <c r="L48" s="300"/>
      <c r="M48" s="300"/>
      <c r="N48" s="300"/>
      <c r="O48" s="300"/>
      <c r="P48" s="300"/>
      <c r="Q48" s="300"/>
      <c r="R48" s="300"/>
      <c r="S48" s="398"/>
      <c r="T48" s="300"/>
      <c r="U48" s="300"/>
      <c r="V48" s="300"/>
      <c r="W48" s="300"/>
      <c r="X48" s="396"/>
      <c r="Y48" s="300"/>
      <c r="Z48" s="447">
        <v>1000005.0</v>
      </c>
      <c r="AA48" s="10"/>
      <c r="AB48" s="10"/>
      <c r="AC48" s="10"/>
      <c r="AD48" s="10"/>
      <c r="AE48" s="19"/>
      <c r="AF48" s="450"/>
      <c r="AG48" s="300"/>
      <c r="AH48" s="300"/>
      <c r="AI48" s="300"/>
      <c r="AJ48" s="300"/>
      <c r="AK48" s="300"/>
      <c r="AL48" s="300"/>
      <c r="AM48" s="300"/>
      <c r="AN48" s="300"/>
      <c r="AO48" s="398"/>
      <c r="AP48" s="300"/>
      <c r="AQ48" s="300"/>
      <c r="AR48" s="300"/>
      <c r="AS48" s="396"/>
      <c r="AT48" s="300"/>
      <c r="AU48" s="447">
        <v>1000005.0</v>
      </c>
      <c r="AV48" s="10"/>
      <c r="AW48" s="10"/>
      <c r="AX48" s="10"/>
      <c r="AY48" s="10"/>
      <c r="AZ48" s="19"/>
      <c r="BA48" s="450"/>
      <c r="BB48" s="300"/>
      <c r="BC48" s="300"/>
      <c r="BD48" s="300"/>
      <c r="BE48" s="300"/>
      <c r="BF48" s="300"/>
      <c r="BG48" s="300"/>
      <c r="BH48" s="300"/>
      <c r="BI48" s="300"/>
      <c r="BJ48" s="398"/>
      <c r="BK48" s="300"/>
      <c r="BL48" s="300"/>
      <c r="BM48" s="300"/>
      <c r="BN48" s="396"/>
      <c r="BO48" s="300"/>
      <c r="BP48" s="447">
        <v>1000005.0</v>
      </c>
      <c r="BQ48" s="10"/>
      <c r="BR48" s="10"/>
      <c r="BS48" s="10"/>
      <c r="BT48" s="10"/>
      <c r="BU48" s="19"/>
      <c r="BV48" s="450"/>
      <c r="BW48" s="300"/>
      <c r="BX48" s="300"/>
      <c r="BY48" s="300"/>
      <c r="BZ48" s="300"/>
      <c r="CA48" s="300"/>
      <c r="CB48" s="300"/>
      <c r="CC48" s="300"/>
      <c r="CD48" s="300"/>
      <c r="CE48" s="398"/>
      <c r="CF48" s="300"/>
      <c r="CG48" s="300"/>
      <c r="CH48" s="300"/>
      <c r="CI48" s="300"/>
      <c r="CJ48" s="396"/>
      <c r="CK48" s="300"/>
      <c r="CL48" s="513" t="s">
        <v>521</v>
      </c>
      <c r="CM48" s="514"/>
      <c r="CN48" s="514"/>
      <c r="CO48" s="514"/>
      <c r="CP48" s="514"/>
      <c r="CQ48" s="514"/>
      <c r="CR48" s="514"/>
      <c r="CS48" s="514"/>
      <c r="CT48" s="514"/>
      <c r="CU48" s="514"/>
      <c r="CV48" s="514"/>
      <c r="CW48" s="514"/>
      <c r="CX48" s="515"/>
      <c r="CY48" s="300"/>
      <c r="CZ48" s="300"/>
      <c r="DA48" s="398"/>
      <c r="DB48" s="300"/>
      <c r="DC48" s="300"/>
      <c r="DD48" s="300"/>
      <c r="DE48" s="300"/>
      <c r="DF48" s="396"/>
      <c r="DG48" s="300"/>
      <c r="DH48" s="300"/>
      <c r="DI48" s="300"/>
      <c r="DJ48" s="300"/>
      <c r="DK48" s="300"/>
      <c r="DL48" s="300"/>
      <c r="DM48" s="300"/>
      <c r="DN48" s="300"/>
      <c r="DO48" s="300"/>
      <c r="DP48" s="300"/>
      <c r="DQ48" s="300"/>
      <c r="DR48" s="300"/>
      <c r="DS48" s="300"/>
      <c r="DT48" s="300"/>
      <c r="DU48" s="300"/>
      <c r="DV48" s="300"/>
      <c r="DW48" s="398"/>
      <c r="DX48" s="300"/>
      <c r="DY48" s="300"/>
      <c r="DZ48" s="300"/>
      <c r="EA48" s="300"/>
      <c r="EB48" s="396"/>
      <c r="EC48" s="300"/>
      <c r="ED48" s="300"/>
      <c r="EE48" s="300"/>
      <c r="EF48" s="300"/>
      <c r="EG48" s="300"/>
      <c r="EH48" s="300"/>
      <c r="EI48" s="300"/>
      <c r="EJ48" s="300"/>
      <c r="EK48" s="300"/>
      <c r="EL48" s="300"/>
      <c r="EM48" s="300"/>
      <c r="EN48" s="300"/>
      <c r="EO48" s="300"/>
      <c r="EP48" s="300"/>
      <c r="EQ48" s="300"/>
      <c r="ER48" s="300"/>
      <c r="ES48" s="398"/>
      <c r="ET48" s="300"/>
      <c r="EU48" s="300"/>
      <c r="EV48" s="300"/>
      <c r="EW48" s="300"/>
      <c r="EX48" s="300"/>
      <c r="EY48" s="300"/>
      <c r="EZ48" s="300"/>
      <c r="FA48" s="300"/>
      <c r="FB48" s="300"/>
      <c r="FC48" s="300"/>
      <c r="FD48" s="300"/>
      <c r="FE48" s="300"/>
      <c r="FF48" s="300"/>
      <c r="FG48" s="300"/>
      <c r="FH48" s="300"/>
      <c r="FI48" s="300"/>
      <c r="FJ48" s="300"/>
      <c r="FK48" s="300"/>
      <c r="FL48" s="300"/>
      <c r="FM48" s="300"/>
      <c r="FN48" s="300"/>
      <c r="FO48" s="300"/>
      <c r="FP48" s="300"/>
      <c r="FQ48" s="300"/>
      <c r="FR48" s="300"/>
      <c r="FS48" s="300"/>
      <c r="FT48" s="300"/>
      <c r="FU48" s="300"/>
      <c r="FV48" s="300"/>
      <c r="FW48" s="300"/>
      <c r="FX48" s="300"/>
      <c r="FY48" s="300"/>
      <c r="FZ48" s="300"/>
      <c r="GA48" s="300"/>
      <c r="GB48" s="300"/>
      <c r="GC48" s="300"/>
      <c r="GD48" s="300"/>
      <c r="GE48" s="300"/>
      <c r="GF48" s="300"/>
      <c r="GG48" s="300"/>
      <c r="GH48" s="300"/>
      <c r="GI48" s="300"/>
      <c r="GJ48" s="300"/>
      <c r="GK48" s="300"/>
      <c r="GL48" s="300"/>
      <c r="GM48" s="300"/>
      <c r="GN48" s="300"/>
      <c r="GO48" s="300"/>
      <c r="GP48" s="300"/>
      <c r="GQ48" s="300"/>
      <c r="GR48" s="300"/>
      <c r="GS48" s="300"/>
      <c r="GT48" s="300"/>
      <c r="GU48" s="300"/>
      <c r="GV48" s="300"/>
      <c r="GW48" s="300"/>
      <c r="GX48" s="300"/>
      <c r="GY48" s="300"/>
      <c r="GZ48" s="300"/>
      <c r="HA48" s="300"/>
      <c r="HB48" s="300"/>
      <c r="HC48" s="300"/>
      <c r="HD48" s="300"/>
      <c r="HE48" s="300"/>
      <c r="HF48" s="300"/>
      <c r="HG48" s="300"/>
      <c r="HH48" s="300"/>
      <c r="HI48" s="300"/>
      <c r="HJ48" s="300"/>
      <c r="HK48" s="300"/>
      <c r="HL48" s="300"/>
      <c r="HM48" s="300"/>
      <c r="HN48" s="300"/>
      <c r="HO48" s="300"/>
      <c r="HP48" s="300"/>
      <c r="HQ48" s="300"/>
      <c r="HR48" s="300"/>
      <c r="HS48" s="300"/>
      <c r="HT48" s="300"/>
      <c r="HU48" s="300"/>
      <c r="HV48" s="300"/>
      <c r="HW48" s="300"/>
      <c r="HX48" s="300"/>
      <c r="HY48" s="300"/>
      <c r="HZ48" s="300"/>
      <c r="IA48" s="300"/>
      <c r="IB48" s="300"/>
      <c r="IC48" s="300"/>
    </row>
    <row r="49" ht="12.75" customHeight="1">
      <c r="A49" s="300"/>
      <c r="B49" s="396"/>
      <c r="C49" s="300"/>
      <c r="D49" s="394"/>
      <c r="E49" s="52"/>
      <c r="F49" s="52"/>
      <c r="G49" s="52"/>
      <c r="H49" s="52"/>
      <c r="I49" s="30"/>
      <c r="J49" s="450"/>
      <c r="K49" s="300"/>
      <c r="L49" s="300"/>
      <c r="M49" s="300"/>
      <c r="N49" s="300"/>
      <c r="O49" s="300"/>
      <c r="P49" s="300"/>
      <c r="Q49" s="300"/>
      <c r="R49" s="300"/>
      <c r="S49" s="398"/>
      <c r="T49" s="300"/>
      <c r="U49" s="300"/>
      <c r="V49" s="300"/>
      <c r="W49" s="300"/>
      <c r="X49" s="396"/>
      <c r="Y49" s="300"/>
      <c r="Z49" s="394"/>
      <c r="AA49" s="52"/>
      <c r="AB49" s="52"/>
      <c r="AC49" s="52"/>
      <c r="AD49" s="52"/>
      <c r="AE49" s="30"/>
      <c r="AF49" s="450"/>
      <c r="AG49" s="300"/>
      <c r="AH49" s="300"/>
      <c r="AI49" s="300"/>
      <c r="AJ49" s="300"/>
      <c r="AK49" s="300"/>
      <c r="AL49" s="300"/>
      <c r="AM49" s="300"/>
      <c r="AN49" s="300"/>
      <c r="AO49" s="398"/>
      <c r="AP49" s="300"/>
      <c r="AQ49" s="300"/>
      <c r="AR49" s="300"/>
      <c r="AS49" s="396"/>
      <c r="AT49" s="300"/>
      <c r="AU49" s="394"/>
      <c r="AV49" s="52"/>
      <c r="AW49" s="52"/>
      <c r="AX49" s="52"/>
      <c r="AY49" s="52"/>
      <c r="AZ49" s="30"/>
      <c r="BA49" s="450"/>
      <c r="BB49" s="300"/>
      <c r="BC49" s="300"/>
      <c r="BD49" s="300"/>
      <c r="BE49" s="300"/>
      <c r="BF49" s="300"/>
      <c r="BG49" s="300"/>
      <c r="BH49" s="300"/>
      <c r="BI49" s="300"/>
      <c r="BJ49" s="398"/>
      <c r="BK49" s="300"/>
      <c r="BL49" s="300"/>
      <c r="BM49" s="300"/>
      <c r="BN49" s="396"/>
      <c r="BO49" s="300"/>
      <c r="BP49" s="394"/>
      <c r="BQ49" s="52"/>
      <c r="BR49" s="52"/>
      <c r="BS49" s="52"/>
      <c r="BT49" s="52"/>
      <c r="BU49" s="30"/>
      <c r="BV49" s="450"/>
      <c r="BW49" s="300"/>
      <c r="BX49" s="300"/>
      <c r="BY49" s="300"/>
      <c r="BZ49" s="300"/>
      <c r="CA49" s="300"/>
      <c r="CB49" s="300"/>
      <c r="CC49" s="300"/>
      <c r="CD49" s="300"/>
      <c r="CE49" s="398"/>
      <c r="CF49" s="300"/>
      <c r="CG49" s="300"/>
      <c r="CH49" s="300"/>
      <c r="CI49" s="300"/>
      <c r="CJ49" s="396"/>
      <c r="CK49" s="300"/>
      <c r="CL49" s="420" t="s">
        <v>462</v>
      </c>
      <c r="CM49" s="300"/>
      <c r="CN49" s="300"/>
      <c r="CO49" s="300"/>
      <c r="CP49" s="300"/>
      <c r="CQ49" s="300"/>
      <c r="CR49" s="300"/>
      <c r="CS49" s="420" t="s">
        <v>468</v>
      </c>
      <c r="CT49" s="300"/>
      <c r="CU49" s="300"/>
      <c r="CV49" s="300"/>
      <c r="CW49" s="300"/>
      <c r="CX49" s="300"/>
      <c r="CY49" s="300"/>
      <c r="CZ49" s="300"/>
      <c r="DA49" s="398"/>
      <c r="DB49" s="300"/>
      <c r="DC49" s="300"/>
      <c r="DD49" s="300"/>
      <c r="DE49" s="300"/>
      <c r="DF49" s="396"/>
      <c r="DG49" s="300"/>
      <c r="DH49" s="300"/>
      <c r="DI49" s="413" t="s">
        <v>515</v>
      </c>
      <c r="DJ49" s="305"/>
      <c r="DK49" s="305"/>
      <c r="DL49" s="305"/>
      <c r="DM49" s="305"/>
      <c r="DN49" s="305"/>
      <c r="DO49" s="305"/>
      <c r="DP49" s="305"/>
      <c r="DQ49" s="305"/>
      <c r="DR49" s="305"/>
      <c r="DS49" s="305"/>
      <c r="DT49" s="306"/>
      <c r="DU49" s="300"/>
      <c r="DV49" s="300"/>
      <c r="DW49" s="398"/>
      <c r="DX49" s="300"/>
      <c r="DY49" s="300"/>
      <c r="DZ49" s="300"/>
      <c r="EA49" s="300"/>
      <c r="EB49" s="396"/>
      <c r="EC49" s="300"/>
      <c r="ED49" s="300"/>
      <c r="EE49" s="300"/>
      <c r="EF49" s="300"/>
      <c r="EG49" s="300"/>
      <c r="EH49" s="300"/>
      <c r="EI49" s="300"/>
      <c r="EJ49" s="300"/>
      <c r="EK49" s="300"/>
      <c r="EL49" s="300"/>
      <c r="EM49" s="300"/>
      <c r="EN49" s="300"/>
      <c r="EO49" s="300"/>
      <c r="EP49" s="300"/>
      <c r="EQ49" s="300"/>
      <c r="ER49" s="300"/>
      <c r="ES49" s="398"/>
      <c r="ET49" s="300"/>
      <c r="EU49" s="300"/>
      <c r="EV49" s="300"/>
      <c r="EW49" s="300"/>
      <c r="EX49" s="300"/>
      <c r="EY49" s="300"/>
      <c r="EZ49" s="300"/>
      <c r="FA49" s="300"/>
      <c r="FB49" s="300"/>
      <c r="FC49" s="300"/>
      <c r="FD49" s="300"/>
      <c r="FE49" s="300"/>
      <c r="FF49" s="300"/>
      <c r="FG49" s="300"/>
      <c r="FH49" s="300"/>
      <c r="FI49" s="300"/>
      <c r="FJ49" s="300"/>
      <c r="FK49" s="300"/>
      <c r="FL49" s="300"/>
      <c r="FM49" s="300"/>
      <c r="FN49" s="300"/>
      <c r="FO49" s="300"/>
      <c r="FP49" s="300"/>
      <c r="FQ49" s="300"/>
      <c r="FR49" s="300"/>
      <c r="FS49" s="300"/>
      <c r="FT49" s="300"/>
      <c r="FU49" s="300"/>
      <c r="FV49" s="300"/>
      <c r="FW49" s="300"/>
      <c r="FX49" s="300"/>
      <c r="FY49" s="300"/>
      <c r="FZ49" s="300"/>
      <c r="GA49" s="300"/>
      <c r="GB49" s="300"/>
      <c r="GC49" s="300"/>
      <c r="GD49" s="300"/>
      <c r="GE49" s="300"/>
      <c r="GF49" s="300"/>
      <c r="GG49" s="300"/>
      <c r="GH49" s="300"/>
      <c r="GI49" s="300"/>
      <c r="GJ49" s="300"/>
      <c r="GK49" s="300"/>
      <c r="GL49" s="300"/>
      <c r="GM49" s="300"/>
      <c r="GN49" s="300"/>
      <c r="GO49" s="300"/>
      <c r="GP49" s="300"/>
      <c r="GQ49" s="300"/>
      <c r="GR49" s="300"/>
      <c r="GS49" s="300"/>
      <c r="GT49" s="300"/>
      <c r="GU49" s="300"/>
      <c r="GV49" s="300"/>
      <c r="GW49" s="300"/>
      <c r="GX49" s="300"/>
      <c r="GY49" s="300"/>
      <c r="GZ49" s="300"/>
      <c r="HA49" s="300"/>
      <c r="HB49" s="300"/>
      <c r="HC49" s="300"/>
      <c r="HD49" s="300"/>
      <c r="HE49" s="300"/>
      <c r="HF49" s="300"/>
      <c r="HG49" s="300"/>
      <c r="HH49" s="300"/>
      <c r="HI49" s="300"/>
      <c r="HJ49" s="300"/>
      <c r="HK49" s="300"/>
      <c r="HL49" s="300"/>
      <c r="HM49" s="300"/>
      <c r="HN49" s="300"/>
      <c r="HO49" s="300"/>
      <c r="HP49" s="300"/>
      <c r="HQ49" s="300"/>
      <c r="HR49" s="300"/>
      <c r="HS49" s="300"/>
      <c r="HT49" s="300"/>
      <c r="HU49" s="300"/>
      <c r="HV49" s="300"/>
      <c r="HW49" s="300"/>
      <c r="HX49" s="300"/>
      <c r="HY49" s="300"/>
      <c r="HZ49" s="300"/>
      <c r="IA49" s="300"/>
      <c r="IB49" s="300"/>
      <c r="IC49" s="300"/>
    </row>
    <row r="50" ht="12.75" customHeight="1">
      <c r="A50" s="300"/>
      <c r="B50" s="396"/>
      <c r="C50" s="300"/>
      <c r="D50" s="300"/>
      <c r="E50" s="300"/>
      <c r="F50" s="300"/>
      <c r="G50" s="300"/>
      <c r="H50" s="300"/>
      <c r="I50" s="300"/>
      <c r="J50" s="300"/>
      <c r="K50" s="300"/>
      <c r="L50" s="300"/>
      <c r="M50" s="300"/>
      <c r="N50" s="300"/>
      <c r="O50" s="300"/>
      <c r="P50" s="300"/>
      <c r="Q50" s="300"/>
      <c r="R50" s="300"/>
      <c r="S50" s="398"/>
      <c r="T50" s="300"/>
      <c r="U50" s="300"/>
      <c r="V50" s="300"/>
      <c r="W50" s="300"/>
      <c r="X50" s="396"/>
      <c r="Y50" s="300"/>
      <c r="Z50" s="300"/>
      <c r="AA50" s="300"/>
      <c r="AB50" s="300"/>
      <c r="AC50" s="300"/>
      <c r="AD50" s="300"/>
      <c r="AE50" s="300"/>
      <c r="AF50" s="300"/>
      <c r="AG50" s="300"/>
      <c r="AH50" s="300"/>
      <c r="AI50" s="300"/>
      <c r="AJ50" s="300"/>
      <c r="AK50" s="300"/>
      <c r="AL50" s="300"/>
      <c r="AM50" s="300"/>
      <c r="AN50" s="300"/>
      <c r="AO50" s="398"/>
      <c r="AP50" s="300"/>
      <c r="AQ50" s="300"/>
      <c r="AR50" s="300"/>
      <c r="AS50" s="396"/>
      <c r="AT50" s="300"/>
      <c r="AU50" s="300"/>
      <c r="AV50" s="300"/>
      <c r="AW50" s="300"/>
      <c r="AX50" s="300"/>
      <c r="AY50" s="300"/>
      <c r="AZ50" s="300"/>
      <c r="BA50" s="300"/>
      <c r="BB50" s="300"/>
      <c r="BC50" s="300"/>
      <c r="BD50" s="300"/>
      <c r="BE50" s="300"/>
      <c r="BF50" s="300"/>
      <c r="BG50" s="300"/>
      <c r="BH50" s="300"/>
      <c r="BI50" s="300"/>
      <c r="BJ50" s="398"/>
      <c r="BK50" s="300"/>
      <c r="BL50" s="300"/>
      <c r="BM50" s="300"/>
      <c r="BN50" s="396"/>
      <c r="BO50" s="300"/>
      <c r="BP50" s="300"/>
      <c r="BQ50" s="300"/>
      <c r="BR50" s="300"/>
      <c r="BS50" s="300"/>
      <c r="BT50" s="300"/>
      <c r="BU50" s="300"/>
      <c r="BV50" s="300"/>
      <c r="BW50" s="300"/>
      <c r="BX50" s="300"/>
      <c r="BY50" s="300"/>
      <c r="BZ50" s="300"/>
      <c r="CA50" s="300"/>
      <c r="CB50" s="300"/>
      <c r="CC50" s="300"/>
      <c r="CD50" s="300"/>
      <c r="CE50" s="398"/>
      <c r="CF50" s="300"/>
      <c r="CG50" s="300"/>
      <c r="CH50" s="300"/>
      <c r="CI50" s="300"/>
      <c r="CJ50" s="396"/>
      <c r="CK50" s="300"/>
      <c r="CL50" s="376"/>
      <c r="CM50" s="10"/>
      <c r="CN50" s="10"/>
      <c r="CO50" s="10"/>
      <c r="CP50" s="10"/>
      <c r="CQ50" s="19"/>
      <c r="CR50" s="300"/>
      <c r="CS50" s="376"/>
      <c r="CT50" s="10"/>
      <c r="CU50" s="10"/>
      <c r="CV50" s="10"/>
      <c r="CW50" s="10"/>
      <c r="CX50" s="19"/>
      <c r="CY50" s="300"/>
      <c r="CZ50" s="300"/>
      <c r="DA50" s="398"/>
      <c r="DB50" s="300"/>
      <c r="DC50" s="300"/>
      <c r="DD50" s="300"/>
      <c r="DE50" s="300"/>
      <c r="DF50" s="396"/>
      <c r="DG50" s="300"/>
      <c r="DH50" s="300"/>
      <c r="DI50" s="331"/>
      <c r="DJ50" s="332"/>
      <c r="DK50" s="332"/>
      <c r="DL50" s="332"/>
      <c r="DM50" s="332"/>
      <c r="DN50" s="332"/>
      <c r="DO50" s="332"/>
      <c r="DP50" s="332"/>
      <c r="DQ50" s="332"/>
      <c r="DR50" s="332"/>
      <c r="DS50" s="332"/>
      <c r="DT50" s="333"/>
      <c r="DU50" s="300"/>
      <c r="DV50" s="300"/>
      <c r="DW50" s="398"/>
      <c r="DX50" s="300"/>
      <c r="DY50" s="300"/>
      <c r="DZ50" s="300"/>
      <c r="EA50" s="300"/>
      <c r="EB50" s="396"/>
      <c r="EC50" s="300"/>
      <c r="ED50" s="300"/>
      <c r="EE50" s="300"/>
      <c r="EF50" s="300"/>
      <c r="EG50" s="300"/>
      <c r="EH50" s="300"/>
      <c r="EI50" s="300"/>
      <c r="EJ50" s="300"/>
      <c r="EK50" s="300"/>
      <c r="EL50" s="300"/>
      <c r="EM50" s="300"/>
      <c r="EN50" s="300"/>
      <c r="EO50" s="300"/>
      <c r="EP50" s="300"/>
      <c r="EQ50" s="300"/>
      <c r="ER50" s="300"/>
      <c r="ES50" s="398"/>
      <c r="ET50" s="300"/>
      <c r="EU50" s="300"/>
      <c r="EV50" s="300"/>
      <c r="EW50" s="300"/>
      <c r="EX50" s="300"/>
      <c r="EY50" s="300"/>
      <c r="EZ50" s="300"/>
      <c r="FA50" s="300"/>
      <c r="FB50" s="300"/>
      <c r="FC50" s="300"/>
      <c r="FD50" s="300"/>
      <c r="FE50" s="300"/>
      <c r="FF50" s="300"/>
      <c r="FG50" s="300"/>
      <c r="FH50" s="300"/>
      <c r="FI50" s="300"/>
      <c r="FJ50" s="300"/>
      <c r="FK50" s="300"/>
      <c r="FL50" s="300"/>
      <c r="FM50" s="300"/>
      <c r="FN50" s="300"/>
      <c r="FO50" s="300"/>
      <c r="FP50" s="300"/>
      <c r="FQ50" s="300"/>
      <c r="FR50" s="300"/>
      <c r="FS50" s="300"/>
      <c r="FT50" s="300"/>
      <c r="FU50" s="300"/>
      <c r="FV50" s="300"/>
      <c r="FW50" s="300"/>
      <c r="FX50" s="300"/>
      <c r="FY50" s="300"/>
      <c r="FZ50" s="300"/>
      <c r="GA50" s="300"/>
      <c r="GB50" s="300"/>
      <c r="GC50" s="300"/>
      <c r="GD50" s="300"/>
      <c r="GE50" s="300"/>
      <c r="GF50" s="300"/>
      <c r="GG50" s="300"/>
      <c r="GH50" s="300"/>
      <c r="GI50" s="300"/>
      <c r="GJ50" s="300"/>
      <c r="GK50" s="300"/>
      <c r="GL50" s="300"/>
      <c r="GM50" s="300"/>
      <c r="GN50" s="300"/>
      <c r="GO50" s="300"/>
      <c r="GP50" s="300"/>
      <c r="GQ50" s="300"/>
      <c r="GR50" s="300"/>
      <c r="GS50" s="300"/>
      <c r="GT50" s="300"/>
      <c r="GU50" s="300"/>
      <c r="GV50" s="300"/>
      <c r="GW50" s="300"/>
      <c r="GX50" s="300"/>
      <c r="GY50" s="300"/>
      <c r="GZ50" s="300"/>
      <c r="HA50" s="300"/>
      <c r="HB50" s="300"/>
      <c r="HC50" s="300"/>
      <c r="HD50" s="300"/>
      <c r="HE50" s="300"/>
      <c r="HF50" s="300"/>
      <c r="HG50" s="300"/>
      <c r="HH50" s="300"/>
      <c r="HI50" s="300"/>
      <c r="HJ50" s="300"/>
      <c r="HK50" s="300"/>
      <c r="HL50" s="300"/>
      <c r="HM50" s="300"/>
      <c r="HN50" s="300"/>
      <c r="HO50" s="300"/>
      <c r="HP50" s="300"/>
      <c r="HQ50" s="300"/>
      <c r="HR50" s="300"/>
      <c r="HS50" s="300"/>
      <c r="HT50" s="300"/>
      <c r="HU50" s="300"/>
      <c r="HV50" s="300"/>
      <c r="HW50" s="300"/>
      <c r="HX50" s="300"/>
      <c r="HY50" s="300"/>
      <c r="HZ50" s="300"/>
      <c r="IA50" s="300"/>
      <c r="IB50" s="300"/>
      <c r="IC50" s="300"/>
    </row>
    <row r="51" ht="30.0" customHeight="1">
      <c r="A51" s="300"/>
      <c r="B51" s="396"/>
      <c r="C51" s="300"/>
      <c r="D51" s="508" t="s">
        <v>522</v>
      </c>
      <c r="E51" s="300"/>
      <c r="F51" s="509" t="s">
        <v>513</v>
      </c>
      <c r="G51" s="425"/>
      <c r="H51" s="300"/>
      <c r="I51" s="300"/>
      <c r="J51" s="300"/>
      <c r="K51" s="300"/>
      <c r="L51" s="300"/>
      <c r="M51" s="300"/>
      <c r="N51" s="300"/>
      <c r="O51" s="300"/>
      <c r="P51" s="300"/>
      <c r="Q51" s="300"/>
      <c r="R51" s="300"/>
      <c r="S51" s="398"/>
      <c r="T51" s="300"/>
      <c r="U51" s="300"/>
      <c r="V51" s="300"/>
      <c r="W51" s="300"/>
      <c r="X51" s="396"/>
      <c r="Y51" s="300"/>
      <c r="Z51" s="420" t="s">
        <v>486</v>
      </c>
      <c r="AA51" s="300"/>
      <c r="AB51" s="423" t="s">
        <v>464</v>
      </c>
      <c r="AC51" s="425"/>
      <c r="AD51" s="300"/>
      <c r="AE51" s="300"/>
      <c r="AF51" s="300"/>
      <c r="AG51" s="300"/>
      <c r="AH51" s="300"/>
      <c r="AI51" s="300"/>
      <c r="AJ51" s="300"/>
      <c r="AK51" s="300"/>
      <c r="AL51" s="300"/>
      <c r="AM51" s="300"/>
      <c r="AN51" s="300"/>
      <c r="AO51" s="398"/>
      <c r="AP51" s="300"/>
      <c r="AQ51" s="300"/>
      <c r="AR51" s="300"/>
      <c r="AS51" s="396"/>
      <c r="AT51" s="300"/>
      <c r="AU51" s="420" t="s">
        <v>486</v>
      </c>
      <c r="AV51" s="300"/>
      <c r="AW51" s="423" t="s">
        <v>464</v>
      </c>
      <c r="AX51" s="425"/>
      <c r="AY51" s="300"/>
      <c r="AZ51" s="300"/>
      <c r="BA51" s="300"/>
      <c r="BB51" s="300"/>
      <c r="BC51" s="300"/>
      <c r="BD51" s="300"/>
      <c r="BE51" s="300"/>
      <c r="BF51" s="300"/>
      <c r="BG51" s="300"/>
      <c r="BH51" s="300"/>
      <c r="BI51" s="300"/>
      <c r="BJ51" s="398"/>
      <c r="BK51" s="300"/>
      <c r="BL51" s="300"/>
      <c r="BM51" s="300"/>
      <c r="BN51" s="396"/>
      <c r="BO51" s="300"/>
      <c r="BP51" s="420" t="s">
        <v>486</v>
      </c>
      <c r="BQ51" s="300"/>
      <c r="BR51" s="423" t="s">
        <v>464</v>
      </c>
      <c r="BS51" s="425"/>
      <c r="BT51" s="300"/>
      <c r="BU51" s="300"/>
      <c r="BV51" s="300"/>
      <c r="BW51" s="300"/>
      <c r="BX51" s="300"/>
      <c r="BY51" s="300"/>
      <c r="BZ51" s="300"/>
      <c r="CA51" s="300"/>
      <c r="CB51" s="300"/>
      <c r="CC51" s="300"/>
      <c r="CD51" s="300"/>
      <c r="CE51" s="398"/>
      <c r="CF51" s="300"/>
      <c r="CG51" s="300"/>
      <c r="CH51" s="300"/>
      <c r="CI51" s="300"/>
      <c r="CJ51" s="396"/>
      <c r="CK51" s="300"/>
      <c r="CL51" s="394"/>
      <c r="CM51" s="52"/>
      <c r="CN51" s="52"/>
      <c r="CO51" s="52"/>
      <c r="CP51" s="52"/>
      <c r="CQ51" s="30"/>
      <c r="CR51" s="300"/>
      <c r="CS51" s="394"/>
      <c r="CT51" s="52"/>
      <c r="CU51" s="52"/>
      <c r="CV51" s="52"/>
      <c r="CW51" s="52"/>
      <c r="CX51" s="30"/>
      <c r="CY51" s="300"/>
      <c r="CZ51" s="300"/>
      <c r="DA51" s="398"/>
      <c r="DB51" s="300"/>
      <c r="DC51" s="300"/>
      <c r="DD51" s="300"/>
      <c r="DE51" s="300"/>
      <c r="DF51" s="396"/>
      <c r="DG51" s="300"/>
      <c r="DH51" s="300"/>
      <c r="DI51" s="300"/>
      <c r="DJ51" s="300"/>
      <c r="DK51" s="300"/>
      <c r="DL51" s="300"/>
      <c r="DM51" s="300"/>
      <c r="DN51" s="300"/>
      <c r="DO51" s="300"/>
      <c r="DP51" s="300"/>
      <c r="DQ51" s="300"/>
      <c r="DR51" s="300"/>
      <c r="DS51" s="300"/>
      <c r="DT51" s="300"/>
      <c r="DU51" s="300"/>
      <c r="DV51" s="300"/>
      <c r="DW51" s="398"/>
      <c r="DX51" s="300"/>
      <c r="DY51" s="300"/>
      <c r="DZ51" s="300"/>
      <c r="EA51" s="300"/>
      <c r="EB51" s="396"/>
      <c r="EC51" s="300"/>
      <c r="ED51" s="300"/>
      <c r="EE51" s="300"/>
      <c r="EF51" s="300"/>
      <c r="EG51" s="300"/>
      <c r="EH51" s="300"/>
      <c r="EI51" s="300"/>
      <c r="EJ51" s="300"/>
      <c r="EK51" s="300"/>
      <c r="EL51" s="300"/>
      <c r="EM51" s="300"/>
      <c r="EN51" s="300"/>
      <c r="EO51" s="300"/>
      <c r="EP51" s="300"/>
      <c r="EQ51" s="300"/>
      <c r="ER51" s="300"/>
      <c r="ES51" s="398"/>
      <c r="ET51" s="300"/>
      <c r="EU51" s="300"/>
      <c r="EV51" s="300"/>
      <c r="EW51" s="300"/>
      <c r="EX51" s="300"/>
      <c r="EY51" s="300"/>
      <c r="EZ51" s="300"/>
      <c r="FA51" s="300"/>
      <c r="FB51" s="300"/>
      <c r="FC51" s="300"/>
      <c r="FD51" s="300"/>
      <c r="FE51" s="300"/>
      <c r="FF51" s="300"/>
      <c r="FG51" s="300"/>
      <c r="FH51" s="300"/>
      <c r="FI51" s="300"/>
      <c r="FJ51" s="300"/>
      <c r="FK51" s="300"/>
      <c r="FL51" s="300"/>
      <c r="FM51" s="300"/>
      <c r="FN51" s="300"/>
      <c r="FO51" s="300"/>
      <c r="FP51" s="300"/>
      <c r="FQ51" s="300"/>
      <c r="FR51" s="300"/>
      <c r="FS51" s="300"/>
      <c r="FT51" s="300"/>
      <c r="FU51" s="300"/>
      <c r="FV51" s="300"/>
      <c r="FW51" s="300"/>
      <c r="FX51" s="300"/>
      <c r="FY51" s="300"/>
      <c r="FZ51" s="300"/>
      <c r="GA51" s="300"/>
      <c r="GB51" s="300"/>
      <c r="GC51" s="300"/>
      <c r="GD51" s="300"/>
      <c r="GE51" s="300"/>
      <c r="GF51" s="300"/>
      <c r="GG51" s="300"/>
      <c r="GH51" s="300"/>
      <c r="GI51" s="300"/>
      <c r="GJ51" s="300"/>
      <c r="GK51" s="300"/>
      <c r="GL51" s="300"/>
      <c r="GM51" s="300"/>
      <c r="GN51" s="300"/>
      <c r="GO51" s="300"/>
      <c r="GP51" s="300"/>
      <c r="GQ51" s="300"/>
      <c r="GR51" s="300"/>
      <c r="GS51" s="300"/>
      <c r="GT51" s="300"/>
      <c r="GU51" s="300"/>
      <c r="GV51" s="300"/>
      <c r="GW51" s="300"/>
      <c r="GX51" s="300"/>
      <c r="GY51" s="300"/>
      <c r="GZ51" s="300"/>
      <c r="HA51" s="300"/>
      <c r="HB51" s="300"/>
      <c r="HC51" s="300"/>
      <c r="HD51" s="300"/>
      <c r="HE51" s="300"/>
      <c r="HF51" s="300"/>
      <c r="HG51" s="300"/>
      <c r="HH51" s="300"/>
      <c r="HI51" s="300"/>
      <c r="HJ51" s="300"/>
      <c r="HK51" s="300"/>
      <c r="HL51" s="300"/>
      <c r="HM51" s="300"/>
      <c r="HN51" s="300"/>
      <c r="HO51" s="300"/>
      <c r="HP51" s="300"/>
      <c r="HQ51" s="300"/>
      <c r="HR51" s="300"/>
      <c r="HS51" s="300"/>
      <c r="HT51" s="300"/>
      <c r="HU51" s="300"/>
      <c r="HV51" s="300"/>
      <c r="HW51" s="300"/>
      <c r="HX51" s="300"/>
      <c r="HY51" s="300"/>
      <c r="HZ51" s="300"/>
      <c r="IA51" s="300"/>
      <c r="IB51" s="300"/>
      <c r="IC51" s="300"/>
    </row>
    <row r="52" ht="12.75" customHeight="1">
      <c r="A52" s="300"/>
      <c r="B52" s="396"/>
      <c r="C52" s="300"/>
      <c r="D52" s="512" t="s">
        <v>523</v>
      </c>
      <c r="E52" s="10"/>
      <c r="F52" s="10"/>
      <c r="G52" s="10"/>
      <c r="H52" s="10"/>
      <c r="I52" s="10"/>
      <c r="J52" s="10"/>
      <c r="K52" s="10"/>
      <c r="L52" s="10"/>
      <c r="M52" s="10"/>
      <c r="N52" s="10"/>
      <c r="O52" s="10"/>
      <c r="P52" s="10"/>
      <c r="Q52" s="19"/>
      <c r="R52" s="516"/>
      <c r="S52" s="398"/>
      <c r="T52" s="300"/>
      <c r="U52" s="300"/>
      <c r="V52" s="300"/>
      <c r="W52" s="300"/>
      <c r="X52" s="396"/>
      <c r="Y52" s="300"/>
      <c r="Z52" s="447" t="s">
        <v>488</v>
      </c>
      <c r="AA52" s="10"/>
      <c r="AB52" s="10"/>
      <c r="AC52" s="10"/>
      <c r="AD52" s="10"/>
      <c r="AE52" s="10"/>
      <c r="AF52" s="10"/>
      <c r="AG52" s="10"/>
      <c r="AH52" s="10"/>
      <c r="AI52" s="10"/>
      <c r="AJ52" s="10"/>
      <c r="AK52" s="10"/>
      <c r="AL52" s="10"/>
      <c r="AM52" s="19"/>
      <c r="AN52" s="467"/>
      <c r="AO52" s="398"/>
      <c r="AP52" s="300"/>
      <c r="AQ52" s="300"/>
      <c r="AR52" s="300"/>
      <c r="AS52" s="396"/>
      <c r="AT52" s="300"/>
      <c r="AU52" s="447" t="s">
        <v>488</v>
      </c>
      <c r="AV52" s="10"/>
      <c r="AW52" s="10"/>
      <c r="AX52" s="10"/>
      <c r="AY52" s="10"/>
      <c r="AZ52" s="10"/>
      <c r="BA52" s="10"/>
      <c r="BB52" s="10"/>
      <c r="BC52" s="10"/>
      <c r="BD52" s="10"/>
      <c r="BE52" s="10"/>
      <c r="BF52" s="10"/>
      <c r="BG52" s="10"/>
      <c r="BH52" s="19"/>
      <c r="BI52" s="300"/>
      <c r="BJ52" s="398"/>
      <c r="BK52" s="300"/>
      <c r="BL52" s="300"/>
      <c r="BM52" s="300"/>
      <c r="BN52" s="396"/>
      <c r="BO52" s="300"/>
      <c r="BP52" s="447" t="s">
        <v>488</v>
      </c>
      <c r="BQ52" s="10"/>
      <c r="BR52" s="10"/>
      <c r="BS52" s="10"/>
      <c r="BT52" s="10"/>
      <c r="BU52" s="10"/>
      <c r="BV52" s="10"/>
      <c r="BW52" s="10"/>
      <c r="BX52" s="10"/>
      <c r="BY52" s="10"/>
      <c r="BZ52" s="10"/>
      <c r="CA52" s="10"/>
      <c r="CB52" s="10"/>
      <c r="CC52" s="19"/>
      <c r="CD52" s="467"/>
      <c r="CE52" s="398"/>
      <c r="CF52" s="300"/>
      <c r="CG52" s="300"/>
      <c r="CH52" s="300"/>
      <c r="CI52" s="300"/>
      <c r="CJ52" s="396"/>
      <c r="CK52" s="300"/>
      <c r="CL52" s="300"/>
      <c r="CM52" s="300"/>
      <c r="CN52" s="300"/>
      <c r="CO52" s="300"/>
      <c r="CP52" s="300"/>
      <c r="CQ52" s="300"/>
      <c r="CR52" s="300"/>
      <c r="CS52" s="300"/>
      <c r="CT52" s="300"/>
      <c r="CU52" s="300"/>
      <c r="CV52" s="300"/>
      <c r="CW52" s="300"/>
      <c r="CX52" s="300"/>
      <c r="CY52" s="300"/>
      <c r="CZ52" s="300"/>
      <c r="DA52" s="398"/>
      <c r="DB52" s="300"/>
      <c r="DC52" s="300"/>
      <c r="DD52" s="300"/>
      <c r="DE52" s="300"/>
      <c r="DF52" s="396"/>
      <c r="DG52" s="300"/>
      <c r="DH52" s="300"/>
      <c r="DI52" s="413" t="s">
        <v>476</v>
      </c>
      <c r="DJ52" s="305"/>
      <c r="DK52" s="305"/>
      <c r="DL52" s="305"/>
      <c r="DM52" s="305"/>
      <c r="DN52" s="305"/>
      <c r="DO52" s="305"/>
      <c r="DP52" s="305"/>
      <c r="DQ52" s="305"/>
      <c r="DR52" s="305"/>
      <c r="DS52" s="305"/>
      <c r="DT52" s="306"/>
      <c r="DU52" s="300"/>
      <c r="DV52" s="300"/>
      <c r="DW52" s="398"/>
      <c r="DX52" s="300"/>
      <c r="DY52" s="300"/>
      <c r="DZ52" s="300"/>
      <c r="EA52" s="300"/>
      <c r="EB52" s="396"/>
      <c r="EC52" s="300"/>
      <c r="ED52" s="300"/>
      <c r="EE52" s="300"/>
      <c r="EF52" s="300"/>
      <c r="EG52" s="300"/>
      <c r="EH52" s="300"/>
      <c r="EI52" s="300"/>
      <c r="EJ52" s="300"/>
      <c r="EK52" s="300"/>
      <c r="EL52" s="300"/>
      <c r="EM52" s="300"/>
      <c r="EN52" s="300"/>
      <c r="EO52" s="300"/>
      <c r="EP52" s="300"/>
      <c r="EQ52" s="300"/>
      <c r="ER52" s="300"/>
      <c r="ES52" s="398"/>
      <c r="ET52" s="300"/>
      <c r="EU52" s="300"/>
      <c r="EV52" s="300"/>
      <c r="EW52" s="300"/>
      <c r="EX52" s="300"/>
      <c r="EY52" s="300"/>
      <c r="EZ52" s="300"/>
      <c r="FA52" s="300"/>
      <c r="FB52" s="300"/>
      <c r="FC52" s="300"/>
      <c r="FD52" s="300"/>
      <c r="FE52" s="300"/>
      <c r="FF52" s="300"/>
      <c r="FG52" s="300"/>
      <c r="FH52" s="300"/>
      <c r="FI52" s="300"/>
      <c r="FJ52" s="300"/>
      <c r="FK52" s="300"/>
      <c r="FL52" s="300"/>
      <c r="FM52" s="300"/>
      <c r="FN52" s="300"/>
      <c r="FO52" s="300"/>
      <c r="FP52" s="300"/>
      <c r="FQ52" s="300"/>
      <c r="FR52" s="300"/>
      <c r="FS52" s="300"/>
      <c r="FT52" s="300"/>
      <c r="FU52" s="300"/>
      <c r="FV52" s="300"/>
      <c r="FW52" s="300"/>
      <c r="FX52" s="300"/>
      <c r="FY52" s="300"/>
      <c r="FZ52" s="300"/>
      <c r="GA52" s="300"/>
      <c r="GB52" s="300"/>
      <c r="GC52" s="300"/>
      <c r="GD52" s="300"/>
      <c r="GE52" s="300"/>
      <c r="GF52" s="300"/>
      <c r="GG52" s="300"/>
      <c r="GH52" s="300"/>
      <c r="GI52" s="300"/>
      <c r="GJ52" s="300"/>
      <c r="GK52" s="300"/>
      <c r="GL52" s="300"/>
      <c r="GM52" s="300"/>
      <c r="GN52" s="300"/>
      <c r="GO52" s="300"/>
      <c r="GP52" s="300"/>
      <c r="GQ52" s="300"/>
      <c r="GR52" s="300"/>
      <c r="GS52" s="300"/>
      <c r="GT52" s="300"/>
      <c r="GU52" s="300"/>
      <c r="GV52" s="300"/>
      <c r="GW52" s="300"/>
      <c r="GX52" s="300"/>
      <c r="GY52" s="300"/>
      <c r="GZ52" s="300"/>
      <c r="HA52" s="300"/>
      <c r="HB52" s="300"/>
      <c r="HC52" s="300"/>
      <c r="HD52" s="300"/>
      <c r="HE52" s="300"/>
      <c r="HF52" s="300"/>
      <c r="HG52" s="300"/>
      <c r="HH52" s="300"/>
      <c r="HI52" s="300"/>
      <c r="HJ52" s="300"/>
      <c r="HK52" s="300"/>
      <c r="HL52" s="300"/>
      <c r="HM52" s="300"/>
      <c r="HN52" s="300"/>
      <c r="HO52" s="300"/>
      <c r="HP52" s="300"/>
      <c r="HQ52" s="300"/>
      <c r="HR52" s="300"/>
      <c r="HS52" s="300"/>
      <c r="HT52" s="300"/>
      <c r="HU52" s="300"/>
      <c r="HV52" s="300"/>
      <c r="HW52" s="300"/>
      <c r="HX52" s="300"/>
      <c r="HY52" s="300"/>
      <c r="HZ52" s="300"/>
      <c r="IA52" s="300"/>
      <c r="IB52" s="300"/>
      <c r="IC52" s="300"/>
    </row>
    <row r="53" ht="12.75" customHeight="1">
      <c r="A53" s="300"/>
      <c r="B53" s="396"/>
      <c r="C53" s="300"/>
      <c r="D53" s="394"/>
      <c r="E53" s="52"/>
      <c r="F53" s="52"/>
      <c r="G53" s="52"/>
      <c r="H53" s="52"/>
      <c r="I53" s="52"/>
      <c r="J53" s="52"/>
      <c r="K53" s="52"/>
      <c r="L53" s="52"/>
      <c r="M53" s="52"/>
      <c r="N53" s="52"/>
      <c r="O53" s="52"/>
      <c r="P53" s="52"/>
      <c r="Q53" s="30"/>
      <c r="R53" s="516"/>
      <c r="S53" s="398"/>
      <c r="T53" s="300"/>
      <c r="U53" s="300"/>
      <c r="V53" s="300"/>
      <c r="W53" s="300"/>
      <c r="X53" s="396"/>
      <c r="Y53" s="300"/>
      <c r="Z53" s="394"/>
      <c r="AA53" s="52"/>
      <c r="AB53" s="52"/>
      <c r="AC53" s="52"/>
      <c r="AD53" s="52"/>
      <c r="AE53" s="52"/>
      <c r="AF53" s="52"/>
      <c r="AG53" s="52"/>
      <c r="AH53" s="52"/>
      <c r="AI53" s="52"/>
      <c r="AJ53" s="52"/>
      <c r="AK53" s="52"/>
      <c r="AL53" s="52"/>
      <c r="AM53" s="30"/>
      <c r="AN53" s="467"/>
      <c r="AO53" s="398"/>
      <c r="AP53" s="300"/>
      <c r="AQ53" s="300"/>
      <c r="AR53" s="300"/>
      <c r="AS53" s="396"/>
      <c r="AT53" s="300"/>
      <c r="AU53" s="394"/>
      <c r="AV53" s="52"/>
      <c r="AW53" s="52"/>
      <c r="AX53" s="52"/>
      <c r="AY53" s="52"/>
      <c r="AZ53" s="52"/>
      <c r="BA53" s="52"/>
      <c r="BB53" s="52"/>
      <c r="BC53" s="52"/>
      <c r="BD53" s="52"/>
      <c r="BE53" s="52"/>
      <c r="BF53" s="52"/>
      <c r="BG53" s="52"/>
      <c r="BH53" s="30"/>
      <c r="BI53" s="300"/>
      <c r="BJ53" s="398"/>
      <c r="BK53" s="300"/>
      <c r="BL53" s="300"/>
      <c r="BM53" s="300"/>
      <c r="BN53" s="396"/>
      <c r="BO53" s="300"/>
      <c r="BP53" s="394"/>
      <c r="BQ53" s="52"/>
      <c r="BR53" s="52"/>
      <c r="BS53" s="52"/>
      <c r="BT53" s="52"/>
      <c r="BU53" s="52"/>
      <c r="BV53" s="52"/>
      <c r="BW53" s="52"/>
      <c r="BX53" s="52"/>
      <c r="BY53" s="52"/>
      <c r="BZ53" s="52"/>
      <c r="CA53" s="52"/>
      <c r="CB53" s="52"/>
      <c r="CC53" s="30"/>
      <c r="CD53" s="467"/>
      <c r="CE53" s="398"/>
      <c r="CF53" s="300"/>
      <c r="CG53" s="300"/>
      <c r="CH53" s="300"/>
      <c r="CI53" s="300"/>
      <c r="CJ53" s="396"/>
      <c r="CK53" s="300"/>
      <c r="CL53" s="513" t="s">
        <v>524</v>
      </c>
      <c r="CM53" s="514"/>
      <c r="CN53" s="514"/>
      <c r="CO53" s="514"/>
      <c r="CP53" s="514"/>
      <c r="CQ53" s="514"/>
      <c r="CR53" s="514"/>
      <c r="CS53" s="514"/>
      <c r="CT53" s="514"/>
      <c r="CU53" s="514"/>
      <c r="CV53" s="514"/>
      <c r="CW53" s="514"/>
      <c r="CX53" s="515"/>
      <c r="CY53" s="300"/>
      <c r="CZ53" s="300"/>
      <c r="DA53" s="398"/>
      <c r="DB53" s="300"/>
      <c r="DC53" s="300"/>
      <c r="DD53" s="300"/>
      <c r="DE53" s="300"/>
      <c r="DF53" s="396"/>
      <c r="DG53" s="300"/>
      <c r="DH53" s="300"/>
      <c r="DI53" s="331"/>
      <c r="DJ53" s="332"/>
      <c r="DK53" s="332"/>
      <c r="DL53" s="332"/>
      <c r="DM53" s="332"/>
      <c r="DN53" s="332"/>
      <c r="DO53" s="332"/>
      <c r="DP53" s="332"/>
      <c r="DQ53" s="332"/>
      <c r="DR53" s="332"/>
      <c r="DS53" s="332"/>
      <c r="DT53" s="333"/>
      <c r="DU53" s="300"/>
      <c r="DV53" s="300"/>
      <c r="DW53" s="398"/>
      <c r="DX53" s="300"/>
      <c r="DY53" s="300"/>
      <c r="DZ53" s="300"/>
      <c r="EA53" s="300"/>
      <c r="EB53" s="396"/>
      <c r="EC53" s="300"/>
      <c r="ED53" s="300"/>
      <c r="EE53" s="300"/>
      <c r="EF53" s="300"/>
      <c r="EG53" s="300"/>
      <c r="EH53" s="300"/>
      <c r="EI53" s="300"/>
      <c r="EJ53" s="300"/>
      <c r="EK53" s="300"/>
      <c r="EL53" s="300"/>
      <c r="EM53" s="300"/>
      <c r="EN53" s="300"/>
      <c r="EO53" s="300"/>
      <c r="EP53" s="300"/>
      <c r="EQ53" s="300"/>
      <c r="ER53" s="300"/>
      <c r="ES53" s="398"/>
      <c r="ET53" s="300"/>
      <c r="EU53" s="300"/>
      <c r="EV53" s="300"/>
      <c r="EW53" s="300"/>
      <c r="EX53" s="300"/>
      <c r="EY53" s="300"/>
      <c r="EZ53" s="300"/>
      <c r="FA53" s="300"/>
      <c r="FB53" s="300"/>
      <c r="FC53" s="300"/>
      <c r="FD53" s="300"/>
      <c r="FE53" s="300"/>
      <c r="FF53" s="300"/>
      <c r="FG53" s="300"/>
      <c r="FH53" s="300"/>
      <c r="FI53" s="300"/>
      <c r="FJ53" s="300"/>
      <c r="FK53" s="300"/>
      <c r="FL53" s="300"/>
      <c r="FM53" s="300"/>
      <c r="FN53" s="300"/>
      <c r="FO53" s="300"/>
      <c r="FP53" s="300"/>
      <c r="FQ53" s="300"/>
      <c r="FR53" s="300"/>
      <c r="FS53" s="300"/>
      <c r="FT53" s="300"/>
      <c r="FU53" s="300"/>
      <c r="FV53" s="300"/>
      <c r="FW53" s="300"/>
      <c r="FX53" s="300"/>
      <c r="FY53" s="300"/>
      <c r="FZ53" s="300"/>
      <c r="GA53" s="300"/>
      <c r="GB53" s="300"/>
      <c r="GC53" s="300"/>
      <c r="GD53" s="300"/>
      <c r="GE53" s="300"/>
      <c r="GF53" s="300"/>
      <c r="GG53" s="300"/>
      <c r="GH53" s="300"/>
      <c r="GI53" s="300"/>
      <c r="GJ53" s="300"/>
      <c r="GK53" s="300"/>
      <c r="GL53" s="300"/>
      <c r="GM53" s="300"/>
      <c r="GN53" s="300"/>
      <c r="GO53" s="300"/>
      <c r="GP53" s="300"/>
      <c r="GQ53" s="300"/>
      <c r="GR53" s="300"/>
      <c r="GS53" s="300"/>
      <c r="GT53" s="300"/>
      <c r="GU53" s="300"/>
      <c r="GV53" s="300"/>
      <c r="GW53" s="300"/>
      <c r="GX53" s="300"/>
      <c r="GY53" s="300"/>
      <c r="GZ53" s="300"/>
      <c r="HA53" s="300"/>
      <c r="HB53" s="300"/>
      <c r="HC53" s="300"/>
      <c r="HD53" s="300"/>
      <c r="HE53" s="300"/>
      <c r="HF53" s="300"/>
      <c r="HG53" s="300"/>
      <c r="HH53" s="300"/>
      <c r="HI53" s="300"/>
      <c r="HJ53" s="300"/>
      <c r="HK53" s="300"/>
      <c r="HL53" s="300"/>
      <c r="HM53" s="300"/>
      <c r="HN53" s="300"/>
      <c r="HO53" s="300"/>
      <c r="HP53" s="300"/>
      <c r="HQ53" s="300"/>
      <c r="HR53" s="300"/>
      <c r="HS53" s="300"/>
      <c r="HT53" s="300"/>
      <c r="HU53" s="300"/>
      <c r="HV53" s="300"/>
      <c r="HW53" s="300"/>
      <c r="HX53" s="300"/>
      <c r="HY53" s="300"/>
      <c r="HZ53" s="300"/>
      <c r="IA53" s="300"/>
      <c r="IB53" s="300"/>
      <c r="IC53" s="300"/>
    </row>
    <row r="54" ht="12.75" customHeight="1">
      <c r="A54" s="300"/>
      <c r="B54" s="396"/>
      <c r="C54" s="300"/>
      <c r="D54" s="517"/>
      <c r="E54" s="517"/>
      <c r="F54" s="517"/>
      <c r="G54" s="517"/>
      <c r="H54" s="517"/>
      <c r="I54" s="517"/>
      <c r="J54" s="517"/>
      <c r="K54" s="518"/>
      <c r="L54" s="518"/>
      <c r="M54" s="518"/>
      <c r="N54" s="518"/>
      <c r="O54" s="518"/>
      <c r="P54" s="518"/>
      <c r="Q54" s="518"/>
      <c r="R54" s="516"/>
      <c r="S54" s="398"/>
      <c r="T54" s="300"/>
      <c r="U54" s="300"/>
      <c r="V54" s="300"/>
      <c r="W54" s="300"/>
      <c r="X54" s="396"/>
      <c r="Y54" s="300"/>
      <c r="Z54" s="465"/>
      <c r="AA54" s="465"/>
      <c r="AB54" s="465"/>
      <c r="AC54" s="465"/>
      <c r="AD54" s="465"/>
      <c r="AE54" s="465"/>
      <c r="AF54" s="465"/>
      <c r="AG54" s="466"/>
      <c r="AH54" s="466"/>
      <c r="AI54" s="466"/>
      <c r="AJ54" s="466"/>
      <c r="AK54" s="466"/>
      <c r="AL54" s="466"/>
      <c r="AM54" s="466"/>
      <c r="AN54" s="467"/>
      <c r="AO54" s="398"/>
      <c r="AP54" s="300"/>
      <c r="AQ54" s="300"/>
      <c r="AR54" s="300"/>
      <c r="AS54" s="396"/>
      <c r="AT54" s="300"/>
      <c r="AU54" s="519"/>
      <c r="AV54" s="519"/>
      <c r="AW54" s="519"/>
      <c r="AX54" s="519"/>
      <c r="AY54" s="519"/>
      <c r="AZ54" s="519"/>
      <c r="BA54" s="519"/>
      <c r="BB54" s="520"/>
      <c r="BC54" s="520"/>
      <c r="BD54" s="520"/>
      <c r="BE54" s="520"/>
      <c r="BF54" s="520"/>
      <c r="BG54" s="520"/>
      <c r="BH54" s="520"/>
      <c r="BI54" s="300"/>
      <c r="BJ54" s="398"/>
      <c r="BK54" s="300"/>
      <c r="BL54" s="300"/>
      <c r="BM54" s="300"/>
      <c r="BN54" s="396"/>
      <c r="BO54" s="300"/>
      <c r="BP54" s="465"/>
      <c r="BQ54" s="465"/>
      <c r="BR54" s="465"/>
      <c r="BS54" s="465"/>
      <c r="BT54" s="465"/>
      <c r="BU54" s="465"/>
      <c r="BV54" s="465"/>
      <c r="BW54" s="466"/>
      <c r="BX54" s="466"/>
      <c r="BY54" s="466"/>
      <c r="BZ54" s="466"/>
      <c r="CA54" s="466"/>
      <c r="CB54" s="466"/>
      <c r="CC54" s="466"/>
      <c r="CD54" s="467"/>
      <c r="CE54" s="398"/>
      <c r="CF54" s="300"/>
      <c r="CG54" s="300"/>
      <c r="CH54" s="300"/>
      <c r="CI54" s="300"/>
      <c r="CJ54" s="396"/>
      <c r="CK54" s="300"/>
      <c r="CL54" s="420" t="s">
        <v>462</v>
      </c>
      <c r="CM54" s="300"/>
      <c r="CN54" s="300"/>
      <c r="CO54" s="300"/>
      <c r="CP54" s="300"/>
      <c r="CQ54" s="300"/>
      <c r="CR54" s="300"/>
      <c r="CS54" s="420" t="s">
        <v>468</v>
      </c>
      <c r="CT54" s="300"/>
      <c r="CU54" s="300"/>
      <c r="CV54" s="300"/>
      <c r="CW54" s="300"/>
      <c r="CX54" s="300"/>
      <c r="CY54" s="300"/>
      <c r="CZ54" s="300"/>
      <c r="DA54" s="398"/>
      <c r="DB54" s="300"/>
      <c r="DC54" s="300"/>
      <c r="DD54" s="300"/>
      <c r="DE54" s="300"/>
      <c r="DF54" s="396"/>
      <c r="DG54" s="300"/>
      <c r="DH54" s="300"/>
      <c r="DI54" s="300"/>
      <c r="DJ54" s="300"/>
      <c r="DK54" s="300"/>
      <c r="DL54" s="300"/>
      <c r="DM54" s="300"/>
      <c r="DN54" s="300"/>
      <c r="DO54" s="300"/>
      <c r="DP54" s="300"/>
      <c r="DQ54" s="300"/>
      <c r="DR54" s="300"/>
      <c r="DS54" s="300"/>
      <c r="DT54" s="300"/>
      <c r="DU54" s="300"/>
      <c r="DV54" s="300"/>
      <c r="DW54" s="398"/>
      <c r="DX54" s="300"/>
      <c r="DY54" s="300"/>
      <c r="DZ54" s="300"/>
      <c r="EA54" s="300"/>
      <c r="EB54" s="385"/>
      <c r="EC54" s="387"/>
      <c r="ED54" s="387"/>
      <c r="EE54" s="387"/>
      <c r="EF54" s="387"/>
      <c r="EG54" s="387"/>
      <c r="EH54" s="387"/>
      <c r="EI54" s="387"/>
      <c r="EJ54" s="387"/>
      <c r="EK54" s="387"/>
      <c r="EL54" s="387"/>
      <c r="EM54" s="387"/>
      <c r="EN54" s="387"/>
      <c r="EO54" s="387"/>
      <c r="EP54" s="387"/>
      <c r="EQ54" s="387"/>
      <c r="ER54" s="387"/>
      <c r="ES54" s="389"/>
      <c r="ET54" s="300"/>
      <c r="EU54" s="300"/>
      <c r="EV54" s="300"/>
      <c r="EW54" s="300"/>
      <c r="EX54" s="300"/>
      <c r="EY54" s="300"/>
      <c r="EZ54" s="300"/>
      <c r="FA54" s="300"/>
      <c r="FB54" s="300"/>
      <c r="FC54" s="300"/>
      <c r="FD54" s="300"/>
      <c r="FE54" s="300"/>
      <c r="FF54" s="300"/>
      <c r="FG54" s="300"/>
      <c r="FH54" s="300"/>
      <c r="FI54" s="300"/>
      <c r="FJ54" s="300"/>
      <c r="FK54" s="300"/>
      <c r="FL54" s="300"/>
      <c r="FM54" s="300"/>
      <c r="FN54" s="300"/>
      <c r="FO54" s="300"/>
      <c r="FP54" s="300"/>
      <c r="FQ54" s="300"/>
      <c r="FR54" s="300"/>
      <c r="FS54" s="300"/>
      <c r="FT54" s="300"/>
      <c r="FU54" s="300"/>
      <c r="FV54" s="300"/>
      <c r="FW54" s="300"/>
      <c r="FX54" s="300"/>
      <c r="FY54" s="300"/>
      <c r="FZ54" s="300"/>
      <c r="GA54" s="300"/>
      <c r="GB54" s="300"/>
      <c r="GC54" s="300"/>
      <c r="GD54" s="300"/>
      <c r="GE54" s="300"/>
      <c r="GF54" s="300"/>
      <c r="GG54" s="300"/>
      <c r="GH54" s="300"/>
      <c r="GI54" s="300"/>
      <c r="GJ54" s="300"/>
      <c r="GK54" s="300"/>
      <c r="GL54" s="300"/>
      <c r="GM54" s="300"/>
      <c r="GN54" s="300"/>
      <c r="GO54" s="300"/>
      <c r="GP54" s="300"/>
      <c r="GQ54" s="300"/>
      <c r="GR54" s="300"/>
      <c r="GS54" s="300"/>
      <c r="GT54" s="300"/>
      <c r="GU54" s="300"/>
      <c r="GV54" s="300"/>
      <c r="GW54" s="300"/>
      <c r="GX54" s="300"/>
      <c r="GY54" s="300"/>
      <c r="GZ54" s="300"/>
      <c r="HA54" s="300"/>
      <c r="HB54" s="300"/>
      <c r="HC54" s="300"/>
      <c r="HD54" s="300"/>
      <c r="HE54" s="300"/>
      <c r="HF54" s="300"/>
      <c r="HG54" s="300"/>
      <c r="HH54" s="300"/>
      <c r="HI54" s="300"/>
      <c r="HJ54" s="300"/>
      <c r="HK54" s="300"/>
      <c r="HL54" s="300"/>
      <c r="HM54" s="300"/>
      <c r="HN54" s="300"/>
      <c r="HO54" s="300"/>
      <c r="HP54" s="300"/>
      <c r="HQ54" s="300"/>
      <c r="HR54" s="300"/>
      <c r="HS54" s="300"/>
      <c r="HT54" s="300"/>
      <c r="HU54" s="300"/>
      <c r="HV54" s="300"/>
      <c r="HW54" s="300"/>
      <c r="HX54" s="300"/>
      <c r="HY54" s="300"/>
      <c r="HZ54" s="300"/>
      <c r="IA54" s="300"/>
      <c r="IB54" s="300"/>
      <c r="IC54" s="300"/>
    </row>
    <row r="55" ht="12.75" customHeight="1">
      <c r="A55" s="300"/>
      <c r="B55" s="396"/>
      <c r="C55" s="300"/>
      <c r="D55" s="512" t="s">
        <v>525</v>
      </c>
      <c r="E55" s="10"/>
      <c r="F55" s="10"/>
      <c r="G55" s="10"/>
      <c r="H55" s="10"/>
      <c r="I55" s="10"/>
      <c r="J55" s="10"/>
      <c r="K55" s="10"/>
      <c r="L55" s="10"/>
      <c r="M55" s="10"/>
      <c r="N55" s="10"/>
      <c r="O55" s="10"/>
      <c r="P55" s="10"/>
      <c r="Q55" s="19"/>
      <c r="R55" s="516"/>
      <c r="S55" s="398"/>
      <c r="T55" s="300"/>
      <c r="U55" s="300"/>
      <c r="V55" s="300"/>
      <c r="W55" s="300"/>
      <c r="X55" s="396"/>
      <c r="Y55" s="300"/>
      <c r="Z55" s="447" t="s">
        <v>493</v>
      </c>
      <c r="AA55" s="10"/>
      <c r="AB55" s="10"/>
      <c r="AC55" s="10"/>
      <c r="AD55" s="10"/>
      <c r="AE55" s="10"/>
      <c r="AF55" s="10"/>
      <c r="AG55" s="10"/>
      <c r="AH55" s="10"/>
      <c r="AI55" s="10"/>
      <c r="AJ55" s="10"/>
      <c r="AK55" s="10"/>
      <c r="AL55" s="10"/>
      <c r="AM55" s="19"/>
      <c r="AN55" s="467"/>
      <c r="AO55" s="398"/>
      <c r="AP55" s="300"/>
      <c r="AQ55" s="300"/>
      <c r="AR55" s="300"/>
      <c r="AS55" s="396"/>
      <c r="AT55" s="300"/>
      <c r="AU55" s="521"/>
      <c r="AV55" s="522"/>
      <c r="AW55" s="522"/>
      <c r="AX55" s="522"/>
      <c r="AY55" s="522"/>
      <c r="AZ55" s="522"/>
      <c r="BA55" s="522"/>
      <c r="BB55" s="522"/>
      <c r="BC55" s="522"/>
      <c r="BD55" s="522"/>
      <c r="BE55" s="522"/>
      <c r="BF55" s="522"/>
      <c r="BG55" s="522"/>
      <c r="BH55" s="523"/>
      <c r="BI55" s="300"/>
      <c r="BJ55" s="398"/>
      <c r="BK55" s="300"/>
      <c r="BL55" s="300"/>
      <c r="BM55" s="300"/>
      <c r="BN55" s="396"/>
      <c r="BO55" s="300"/>
      <c r="BP55" s="447" t="s">
        <v>493</v>
      </c>
      <c r="BQ55" s="10"/>
      <c r="BR55" s="10"/>
      <c r="BS55" s="10"/>
      <c r="BT55" s="10"/>
      <c r="BU55" s="10"/>
      <c r="BV55" s="10"/>
      <c r="BW55" s="10"/>
      <c r="BX55" s="10"/>
      <c r="BY55" s="10"/>
      <c r="BZ55" s="10"/>
      <c r="CA55" s="10"/>
      <c r="CB55" s="10"/>
      <c r="CC55" s="19"/>
      <c r="CD55" s="467"/>
      <c r="CE55" s="398"/>
      <c r="CF55" s="300"/>
      <c r="CG55" s="300"/>
      <c r="CH55" s="300"/>
      <c r="CI55" s="300"/>
      <c r="CJ55" s="396"/>
      <c r="CK55" s="300"/>
      <c r="CL55" s="376"/>
      <c r="CM55" s="10"/>
      <c r="CN55" s="10"/>
      <c r="CO55" s="10"/>
      <c r="CP55" s="10"/>
      <c r="CQ55" s="19"/>
      <c r="CR55" s="300"/>
      <c r="CS55" s="376"/>
      <c r="CT55" s="10"/>
      <c r="CU55" s="10"/>
      <c r="CV55" s="10"/>
      <c r="CW55" s="10"/>
      <c r="CX55" s="19"/>
      <c r="CY55" s="300"/>
      <c r="CZ55" s="300"/>
      <c r="DA55" s="398"/>
      <c r="DB55" s="300"/>
      <c r="DC55" s="300"/>
      <c r="DD55" s="300"/>
      <c r="DE55" s="300"/>
      <c r="DF55" s="396"/>
      <c r="DG55" s="300"/>
      <c r="DH55" s="511" t="s">
        <v>519</v>
      </c>
      <c r="DI55" s="300"/>
      <c r="DJ55" s="300"/>
      <c r="DK55" s="300"/>
      <c r="DL55" s="300"/>
      <c r="DM55" s="300"/>
      <c r="DN55" s="300"/>
      <c r="DO55" s="300"/>
      <c r="DP55" s="300"/>
      <c r="DQ55" s="300"/>
      <c r="DR55" s="300"/>
      <c r="DS55" s="300"/>
      <c r="DT55" s="300"/>
      <c r="DU55" s="300"/>
      <c r="DV55" s="300"/>
      <c r="DW55" s="398"/>
      <c r="DX55" s="300"/>
      <c r="DY55" s="300"/>
      <c r="DZ55" s="300"/>
      <c r="EA55" s="300"/>
      <c r="EB55" s="376"/>
      <c r="EC55" s="378"/>
      <c r="ED55" s="380"/>
      <c r="EE55" s="376"/>
      <c r="EF55" s="378"/>
      <c r="EG55" s="380"/>
      <c r="EH55" s="376"/>
      <c r="EI55" s="378"/>
      <c r="EJ55" s="380"/>
      <c r="EK55" s="376"/>
      <c r="EL55" s="378"/>
      <c r="EM55" s="380"/>
      <c r="EN55" s="376"/>
      <c r="EO55" s="378"/>
      <c r="EP55" s="380"/>
      <c r="EQ55" s="378"/>
      <c r="ER55" s="378"/>
      <c r="ES55" s="380"/>
      <c r="ET55" s="300"/>
      <c r="EU55" s="300"/>
      <c r="EV55" s="300"/>
      <c r="EW55" s="300"/>
      <c r="EX55" s="300"/>
      <c r="EY55" s="300"/>
      <c r="EZ55" s="300"/>
      <c r="FA55" s="300"/>
      <c r="FB55" s="300"/>
      <c r="FC55" s="300"/>
      <c r="FD55" s="300"/>
      <c r="FE55" s="300"/>
      <c r="FF55" s="300"/>
      <c r="FG55" s="300"/>
      <c r="FH55" s="300"/>
      <c r="FI55" s="300"/>
      <c r="FJ55" s="300"/>
      <c r="FK55" s="300"/>
      <c r="FL55" s="300"/>
      <c r="FM55" s="300"/>
      <c r="FN55" s="300"/>
      <c r="FO55" s="300"/>
      <c r="FP55" s="300"/>
      <c r="FQ55" s="300"/>
      <c r="FR55" s="300"/>
      <c r="FS55" s="300"/>
      <c r="FT55" s="300"/>
      <c r="FU55" s="300"/>
      <c r="FV55" s="300"/>
      <c r="FW55" s="300"/>
      <c r="FX55" s="300"/>
      <c r="FY55" s="300"/>
      <c r="FZ55" s="300"/>
      <c r="GA55" s="300"/>
      <c r="GB55" s="300"/>
      <c r="GC55" s="300"/>
      <c r="GD55" s="300"/>
      <c r="GE55" s="300"/>
      <c r="GF55" s="300"/>
      <c r="GG55" s="300"/>
      <c r="GH55" s="300"/>
      <c r="GI55" s="300"/>
      <c r="GJ55" s="300"/>
      <c r="GK55" s="300"/>
      <c r="GL55" s="300"/>
      <c r="GM55" s="300"/>
      <c r="GN55" s="300"/>
      <c r="GO55" s="300"/>
      <c r="GP55" s="300"/>
      <c r="GQ55" s="300"/>
      <c r="GR55" s="300"/>
      <c r="GS55" s="300"/>
      <c r="GT55" s="300"/>
      <c r="GU55" s="300"/>
      <c r="GV55" s="300"/>
      <c r="GW55" s="300"/>
      <c r="GX55" s="300"/>
      <c r="GY55" s="300"/>
      <c r="GZ55" s="300"/>
      <c r="HA55" s="300"/>
      <c r="HB55" s="300"/>
      <c r="HC55" s="300"/>
      <c r="HD55" s="300"/>
      <c r="HE55" s="300"/>
      <c r="HF55" s="300"/>
      <c r="HG55" s="300"/>
      <c r="HH55" s="300"/>
      <c r="HI55" s="300"/>
      <c r="HJ55" s="300"/>
      <c r="HK55" s="300"/>
      <c r="HL55" s="300"/>
      <c r="HM55" s="300"/>
      <c r="HN55" s="300"/>
      <c r="HO55" s="300"/>
      <c r="HP55" s="300"/>
      <c r="HQ55" s="300"/>
      <c r="HR55" s="300"/>
      <c r="HS55" s="300"/>
      <c r="HT55" s="300"/>
      <c r="HU55" s="300"/>
      <c r="HV55" s="300"/>
      <c r="HW55" s="300"/>
      <c r="HX55" s="300"/>
      <c r="HY55" s="300"/>
      <c r="HZ55" s="300"/>
      <c r="IA55" s="300"/>
      <c r="IB55" s="300"/>
      <c r="IC55" s="300"/>
    </row>
    <row r="56" ht="12.75" customHeight="1">
      <c r="A56" s="300"/>
      <c r="B56" s="396"/>
      <c r="C56" s="300"/>
      <c r="D56" s="394"/>
      <c r="E56" s="52"/>
      <c r="F56" s="52"/>
      <c r="G56" s="52"/>
      <c r="H56" s="52"/>
      <c r="I56" s="52"/>
      <c r="J56" s="52"/>
      <c r="K56" s="52"/>
      <c r="L56" s="52"/>
      <c r="M56" s="52"/>
      <c r="N56" s="52"/>
      <c r="O56" s="52"/>
      <c r="P56" s="52"/>
      <c r="Q56" s="30"/>
      <c r="R56" s="516"/>
      <c r="S56" s="398"/>
      <c r="T56" s="300"/>
      <c r="U56" s="300"/>
      <c r="V56" s="300"/>
      <c r="W56" s="300"/>
      <c r="X56" s="396"/>
      <c r="Y56" s="300"/>
      <c r="Z56" s="394"/>
      <c r="AA56" s="52"/>
      <c r="AB56" s="52"/>
      <c r="AC56" s="52"/>
      <c r="AD56" s="52"/>
      <c r="AE56" s="52"/>
      <c r="AF56" s="52"/>
      <c r="AG56" s="52"/>
      <c r="AH56" s="52"/>
      <c r="AI56" s="52"/>
      <c r="AJ56" s="52"/>
      <c r="AK56" s="52"/>
      <c r="AL56" s="52"/>
      <c r="AM56" s="30"/>
      <c r="AN56" s="467"/>
      <c r="AO56" s="398"/>
      <c r="AP56" s="300"/>
      <c r="AQ56" s="300"/>
      <c r="AR56" s="300"/>
      <c r="AS56" s="396"/>
      <c r="AT56" s="300"/>
      <c r="AU56" s="524"/>
      <c r="AV56" s="525"/>
      <c r="AW56" s="525"/>
      <c r="AX56" s="525"/>
      <c r="AY56" s="525"/>
      <c r="AZ56" s="525"/>
      <c r="BA56" s="525"/>
      <c r="BB56" s="525"/>
      <c r="BC56" s="525"/>
      <c r="BD56" s="525"/>
      <c r="BE56" s="525"/>
      <c r="BF56" s="525"/>
      <c r="BG56" s="525"/>
      <c r="BH56" s="526"/>
      <c r="BI56" s="300"/>
      <c r="BJ56" s="398"/>
      <c r="BK56" s="300"/>
      <c r="BL56" s="300"/>
      <c r="BM56" s="300"/>
      <c r="BN56" s="396"/>
      <c r="BO56" s="300"/>
      <c r="BP56" s="394"/>
      <c r="BQ56" s="52"/>
      <c r="BR56" s="52"/>
      <c r="BS56" s="52"/>
      <c r="BT56" s="52"/>
      <c r="BU56" s="52"/>
      <c r="BV56" s="52"/>
      <c r="BW56" s="52"/>
      <c r="BX56" s="52"/>
      <c r="BY56" s="52"/>
      <c r="BZ56" s="52"/>
      <c r="CA56" s="52"/>
      <c r="CB56" s="52"/>
      <c r="CC56" s="30"/>
      <c r="CD56" s="467"/>
      <c r="CE56" s="398"/>
      <c r="CF56" s="300"/>
      <c r="CG56" s="300"/>
      <c r="CH56" s="300"/>
      <c r="CI56" s="300"/>
      <c r="CJ56" s="396"/>
      <c r="CK56" s="300"/>
      <c r="CL56" s="394"/>
      <c r="CM56" s="52"/>
      <c r="CN56" s="52"/>
      <c r="CO56" s="52"/>
      <c r="CP56" s="52"/>
      <c r="CQ56" s="30"/>
      <c r="CR56" s="300"/>
      <c r="CS56" s="394"/>
      <c r="CT56" s="52"/>
      <c r="CU56" s="52"/>
      <c r="CV56" s="52"/>
      <c r="CW56" s="52"/>
      <c r="CX56" s="30"/>
      <c r="CY56" s="300"/>
      <c r="CZ56" s="300"/>
      <c r="DA56" s="398"/>
      <c r="DB56" s="300"/>
      <c r="DC56" s="300"/>
      <c r="DD56" s="300"/>
      <c r="DE56" s="300"/>
      <c r="DF56" s="396"/>
      <c r="DG56" s="300"/>
      <c r="DH56" s="513" t="s">
        <v>521</v>
      </c>
      <c r="DI56" s="514"/>
      <c r="DJ56" s="514"/>
      <c r="DK56" s="514"/>
      <c r="DL56" s="514"/>
      <c r="DM56" s="514"/>
      <c r="DN56" s="514"/>
      <c r="DO56" s="514"/>
      <c r="DP56" s="514"/>
      <c r="DQ56" s="514"/>
      <c r="DR56" s="514"/>
      <c r="DS56" s="514"/>
      <c r="DT56" s="515"/>
      <c r="DU56" s="300"/>
      <c r="DV56" s="300"/>
      <c r="DW56" s="398"/>
      <c r="DX56" s="300"/>
      <c r="DY56" s="300"/>
      <c r="DZ56" s="300"/>
      <c r="EA56" s="300"/>
      <c r="EB56" s="396"/>
      <c r="EC56" s="300"/>
      <c r="ED56" s="398"/>
      <c r="EE56" s="396"/>
      <c r="EF56" s="300"/>
      <c r="EG56" s="398"/>
      <c r="EH56" s="396"/>
      <c r="EI56" s="300"/>
      <c r="EJ56" s="398"/>
      <c r="EK56" s="396"/>
      <c r="EL56" s="300"/>
      <c r="EM56" s="398"/>
      <c r="EN56" s="396"/>
      <c r="EO56" s="300"/>
      <c r="EP56" s="398"/>
      <c r="EQ56" s="300"/>
      <c r="ER56" s="300"/>
      <c r="ES56" s="398"/>
      <c r="ET56" s="300"/>
      <c r="EU56" s="300"/>
      <c r="EV56" s="300"/>
      <c r="EW56" s="300"/>
      <c r="EX56" s="300"/>
      <c r="EY56" s="300"/>
      <c r="EZ56" s="300"/>
      <c r="FA56" s="300"/>
      <c r="FB56" s="300"/>
      <c r="FC56" s="300"/>
      <c r="FD56" s="300"/>
      <c r="FE56" s="300"/>
      <c r="FF56" s="300"/>
      <c r="FG56" s="300"/>
      <c r="FH56" s="300"/>
      <c r="FI56" s="300"/>
      <c r="FJ56" s="300"/>
      <c r="FK56" s="300"/>
      <c r="FL56" s="300"/>
      <c r="FM56" s="300"/>
      <c r="FN56" s="300"/>
      <c r="FO56" s="300"/>
      <c r="FP56" s="300"/>
      <c r="FQ56" s="300"/>
      <c r="FR56" s="300"/>
      <c r="FS56" s="300"/>
      <c r="FT56" s="300"/>
      <c r="FU56" s="300"/>
      <c r="FV56" s="300"/>
      <c r="FW56" s="300"/>
      <c r="FX56" s="300"/>
      <c r="FY56" s="300"/>
      <c r="FZ56" s="300"/>
      <c r="GA56" s="300"/>
      <c r="GB56" s="300"/>
      <c r="GC56" s="300"/>
      <c r="GD56" s="300"/>
      <c r="GE56" s="300"/>
      <c r="GF56" s="300"/>
      <c r="GG56" s="300"/>
      <c r="GH56" s="300"/>
      <c r="GI56" s="300"/>
      <c r="GJ56" s="300"/>
      <c r="GK56" s="300"/>
      <c r="GL56" s="300"/>
      <c r="GM56" s="300"/>
      <c r="GN56" s="300"/>
      <c r="GO56" s="300"/>
      <c r="GP56" s="300"/>
      <c r="GQ56" s="300"/>
      <c r="GR56" s="300"/>
      <c r="GS56" s="300"/>
      <c r="GT56" s="300"/>
      <c r="GU56" s="300"/>
      <c r="GV56" s="300"/>
      <c r="GW56" s="300"/>
      <c r="GX56" s="300"/>
      <c r="GY56" s="300"/>
      <c r="GZ56" s="300"/>
      <c r="HA56" s="300"/>
      <c r="HB56" s="300"/>
      <c r="HC56" s="300"/>
      <c r="HD56" s="300"/>
      <c r="HE56" s="300"/>
      <c r="HF56" s="300"/>
      <c r="HG56" s="300"/>
      <c r="HH56" s="300"/>
      <c r="HI56" s="300"/>
      <c r="HJ56" s="300"/>
      <c r="HK56" s="300"/>
      <c r="HL56" s="300"/>
      <c r="HM56" s="300"/>
      <c r="HN56" s="300"/>
      <c r="HO56" s="300"/>
      <c r="HP56" s="300"/>
      <c r="HQ56" s="300"/>
      <c r="HR56" s="300"/>
      <c r="HS56" s="300"/>
      <c r="HT56" s="300"/>
      <c r="HU56" s="300"/>
      <c r="HV56" s="300"/>
      <c r="HW56" s="300"/>
      <c r="HX56" s="300"/>
      <c r="HY56" s="300"/>
      <c r="HZ56" s="300"/>
      <c r="IA56" s="300"/>
      <c r="IB56" s="300"/>
      <c r="IC56" s="300"/>
    </row>
    <row r="57" ht="12.75" customHeight="1">
      <c r="A57" s="300"/>
      <c r="B57" s="396"/>
      <c r="C57" s="300"/>
      <c r="D57" s="517"/>
      <c r="E57" s="517"/>
      <c r="F57" s="517"/>
      <c r="G57" s="517"/>
      <c r="H57" s="517"/>
      <c r="I57" s="517"/>
      <c r="J57" s="517"/>
      <c r="K57" s="518"/>
      <c r="L57" s="518"/>
      <c r="M57" s="518"/>
      <c r="N57" s="518"/>
      <c r="O57" s="518"/>
      <c r="P57" s="518"/>
      <c r="Q57" s="518"/>
      <c r="R57" s="516"/>
      <c r="S57" s="398"/>
      <c r="T57" s="300"/>
      <c r="U57" s="300"/>
      <c r="V57" s="300"/>
      <c r="W57" s="300"/>
      <c r="X57" s="396"/>
      <c r="Y57" s="300"/>
      <c r="Z57" s="465"/>
      <c r="AA57" s="465"/>
      <c r="AB57" s="465"/>
      <c r="AC57" s="465"/>
      <c r="AD57" s="465"/>
      <c r="AE57" s="465"/>
      <c r="AF57" s="465"/>
      <c r="AG57" s="466"/>
      <c r="AH57" s="466"/>
      <c r="AI57" s="466"/>
      <c r="AJ57" s="466"/>
      <c r="AK57" s="466"/>
      <c r="AL57" s="466"/>
      <c r="AM57" s="466"/>
      <c r="AN57" s="467"/>
      <c r="AO57" s="398"/>
      <c r="AP57" s="300"/>
      <c r="AQ57" s="300"/>
      <c r="AR57" s="300"/>
      <c r="AS57" s="396"/>
      <c r="AT57" s="300"/>
      <c r="AU57" s="527" t="s">
        <v>526</v>
      </c>
      <c r="AV57" s="528"/>
      <c r="AW57" s="528"/>
      <c r="AX57" s="528"/>
      <c r="AY57" s="528"/>
      <c r="AZ57" s="528"/>
      <c r="BA57" s="528"/>
      <c r="BB57" s="467"/>
      <c r="BC57" s="467"/>
      <c r="BD57" s="467"/>
      <c r="BE57" s="467"/>
      <c r="BF57" s="467"/>
      <c r="BG57" s="467"/>
      <c r="BH57" s="467"/>
      <c r="BI57" s="300"/>
      <c r="BJ57" s="398"/>
      <c r="BK57" s="300"/>
      <c r="BL57" s="300"/>
      <c r="BM57" s="300"/>
      <c r="BN57" s="396"/>
      <c r="BO57" s="300"/>
      <c r="BP57" s="465"/>
      <c r="BQ57" s="465"/>
      <c r="BR57" s="465"/>
      <c r="BS57" s="465"/>
      <c r="BT57" s="465"/>
      <c r="BU57" s="465"/>
      <c r="BV57" s="465"/>
      <c r="BW57" s="466"/>
      <c r="BX57" s="466"/>
      <c r="BY57" s="466"/>
      <c r="BZ57" s="466"/>
      <c r="CA57" s="466"/>
      <c r="CB57" s="466"/>
      <c r="CC57" s="466"/>
      <c r="CD57" s="467"/>
      <c r="CE57" s="398"/>
      <c r="CF57" s="300"/>
      <c r="CG57" s="300"/>
      <c r="CH57" s="300"/>
      <c r="CI57" s="300"/>
      <c r="CJ57" s="396"/>
      <c r="CK57" s="300"/>
      <c r="CL57" s="300"/>
      <c r="CM57" s="300"/>
      <c r="CN57" s="300"/>
      <c r="CO57" s="300"/>
      <c r="CP57" s="300"/>
      <c r="CQ57" s="300"/>
      <c r="CR57" s="300"/>
      <c r="CS57" s="300"/>
      <c r="CT57" s="300"/>
      <c r="CU57" s="300"/>
      <c r="CV57" s="300"/>
      <c r="CW57" s="300"/>
      <c r="CX57" s="300"/>
      <c r="CY57" s="300"/>
      <c r="CZ57" s="300"/>
      <c r="DA57" s="398"/>
      <c r="DB57" s="300"/>
      <c r="DC57" s="300"/>
      <c r="DD57" s="300"/>
      <c r="DE57" s="300"/>
      <c r="DF57" s="396"/>
      <c r="DG57" s="300"/>
      <c r="DH57" s="420" t="s">
        <v>462</v>
      </c>
      <c r="DI57" s="300"/>
      <c r="DJ57" s="300"/>
      <c r="DK57" s="300"/>
      <c r="DL57" s="300"/>
      <c r="DM57" s="300"/>
      <c r="DN57" s="300"/>
      <c r="DO57" s="420" t="s">
        <v>468</v>
      </c>
      <c r="DP57" s="300"/>
      <c r="DQ57" s="300"/>
      <c r="DR57" s="300"/>
      <c r="DS57" s="300"/>
      <c r="DT57" s="300"/>
      <c r="DU57" s="300"/>
      <c r="DV57" s="300"/>
      <c r="DW57" s="398"/>
      <c r="DX57" s="300"/>
      <c r="DY57" s="300"/>
      <c r="DZ57" s="300"/>
      <c r="EA57" s="300"/>
      <c r="EB57" s="385"/>
      <c r="EC57" s="387"/>
      <c r="ED57" s="389"/>
      <c r="EE57" s="385"/>
      <c r="EF57" s="387"/>
      <c r="EG57" s="389"/>
      <c r="EH57" s="385"/>
      <c r="EI57" s="387"/>
      <c r="EJ57" s="389"/>
      <c r="EK57" s="385"/>
      <c r="EL57" s="387"/>
      <c r="EM57" s="389"/>
      <c r="EN57" s="385"/>
      <c r="EO57" s="387"/>
      <c r="EP57" s="389"/>
      <c r="EQ57" s="387"/>
      <c r="ER57" s="387"/>
      <c r="ES57" s="389"/>
      <c r="ET57" s="300"/>
      <c r="EU57" s="300"/>
      <c r="EV57" s="300"/>
      <c r="EW57" s="300"/>
      <c r="EX57" s="300"/>
      <c r="EY57" s="300"/>
      <c r="EZ57" s="300"/>
      <c r="FA57" s="300"/>
      <c r="FB57" s="300"/>
      <c r="FC57" s="300"/>
      <c r="FD57" s="300"/>
      <c r="FE57" s="300"/>
      <c r="FF57" s="300"/>
      <c r="FG57" s="300"/>
      <c r="FH57" s="300"/>
      <c r="FI57" s="300"/>
      <c r="FJ57" s="300"/>
      <c r="FK57" s="300"/>
      <c r="FL57" s="300"/>
      <c r="FM57" s="300"/>
      <c r="FN57" s="300"/>
      <c r="FO57" s="300"/>
      <c r="FP57" s="300"/>
      <c r="FQ57" s="300"/>
      <c r="FR57" s="300"/>
      <c r="FS57" s="300"/>
      <c r="FT57" s="300"/>
      <c r="FU57" s="300"/>
      <c r="FV57" s="300"/>
      <c r="FW57" s="300"/>
      <c r="FX57" s="300"/>
      <c r="FY57" s="300"/>
      <c r="FZ57" s="300"/>
      <c r="GA57" s="300"/>
      <c r="GB57" s="300"/>
      <c r="GC57" s="300"/>
      <c r="GD57" s="300"/>
      <c r="GE57" s="300"/>
      <c r="GF57" s="300"/>
      <c r="GG57" s="300"/>
      <c r="GH57" s="300"/>
      <c r="GI57" s="300"/>
      <c r="GJ57" s="300"/>
      <c r="GK57" s="300"/>
      <c r="GL57" s="300"/>
      <c r="GM57" s="300"/>
      <c r="GN57" s="300"/>
      <c r="GO57" s="300"/>
      <c r="GP57" s="300"/>
      <c r="GQ57" s="300"/>
      <c r="GR57" s="300"/>
      <c r="GS57" s="300"/>
      <c r="GT57" s="300"/>
      <c r="GU57" s="300"/>
      <c r="GV57" s="300"/>
      <c r="GW57" s="300"/>
      <c r="GX57" s="300"/>
      <c r="GY57" s="300"/>
      <c r="GZ57" s="300"/>
      <c r="HA57" s="300"/>
      <c r="HB57" s="300"/>
      <c r="HC57" s="300"/>
      <c r="HD57" s="300"/>
      <c r="HE57" s="300"/>
      <c r="HF57" s="300"/>
      <c r="HG57" s="300"/>
      <c r="HH57" s="300"/>
      <c r="HI57" s="300"/>
      <c r="HJ57" s="300"/>
      <c r="HK57" s="300"/>
      <c r="HL57" s="300"/>
      <c r="HM57" s="300"/>
      <c r="HN57" s="300"/>
      <c r="HO57" s="300"/>
      <c r="HP57" s="300"/>
      <c r="HQ57" s="300"/>
      <c r="HR57" s="300"/>
      <c r="HS57" s="300"/>
      <c r="HT57" s="300"/>
      <c r="HU57" s="300"/>
      <c r="HV57" s="300"/>
      <c r="HW57" s="300"/>
      <c r="HX57" s="300"/>
      <c r="HY57" s="300"/>
      <c r="HZ57" s="300"/>
      <c r="IA57" s="300"/>
      <c r="IB57" s="300"/>
      <c r="IC57" s="300"/>
    </row>
    <row r="58" ht="12.75" customHeight="1">
      <c r="A58" s="300"/>
      <c r="B58" s="396"/>
      <c r="C58" s="300"/>
      <c r="D58" s="529" t="s">
        <v>527</v>
      </c>
      <c r="E58" s="10"/>
      <c r="F58" s="10"/>
      <c r="G58" s="10"/>
      <c r="H58" s="10"/>
      <c r="I58" s="10"/>
      <c r="J58" s="10"/>
      <c r="K58" s="10"/>
      <c r="L58" s="10"/>
      <c r="M58" s="10"/>
      <c r="N58" s="10"/>
      <c r="O58" s="10"/>
      <c r="P58" s="10"/>
      <c r="Q58" s="19"/>
      <c r="R58" s="530"/>
      <c r="S58" s="398"/>
      <c r="T58" s="300"/>
      <c r="U58" s="300"/>
      <c r="V58" s="300"/>
      <c r="W58" s="300"/>
      <c r="X58" s="396"/>
      <c r="Y58" s="300"/>
      <c r="Z58" s="531" t="s">
        <v>528</v>
      </c>
      <c r="AA58" s="10"/>
      <c r="AB58" s="10"/>
      <c r="AC58" s="10"/>
      <c r="AD58" s="10"/>
      <c r="AE58" s="10"/>
      <c r="AF58" s="10"/>
      <c r="AG58" s="10"/>
      <c r="AH58" s="10"/>
      <c r="AI58" s="10"/>
      <c r="AJ58" s="10"/>
      <c r="AK58" s="10"/>
      <c r="AL58" s="10"/>
      <c r="AM58" s="19"/>
      <c r="AN58" s="532"/>
      <c r="AO58" s="398"/>
      <c r="AP58" s="300"/>
      <c r="AQ58" s="300"/>
      <c r="AR58" s="300"/>
      <c r="AS58" s="396"/>
      <c r="AT58" s="300"/>
      <c r="AU58" s="531" t="s">
        <v>528</v>
      </c>
      <c r="AV58" s="10"/>
      <c r="AW58" s="10"/>
      <c r="AX58" s="10"/>
      <c r="AY58" s="10"/>
      <c r="AZ58" s="10"/>
      <c r="BA58" s="10"/>
      <c r="BB58" s="10"/>
      <c r="BC58" s="10"/>
      <c r="BD58" s="10"/>
      <c r="BE58" s="10"/>
      <c r="BF58" s="10"/>
      <c r="BG58" s="10"/>
      <c r="BH58" s="19"/>
      <c r="BI58" s="300"/>
      <c r="BJ58" s="398"/>
      <c r="BK58" s="300"/>
      <c r="BL58" s="300"/>
      <c r="BM58" s="300"/>
      <c r="BN58" s="396"/>
      <c r="BO58" s="300"/>
      <c r="BP58" s="531" t="s">
        <v>528</v>
      </c>
      <c r="BQ58" s="10"/>
      <c r="BR58" s="10"/>
      <c r="BS58" s="10"/>
      <c r="BT58" s="10"/>
      <c r="BU58" s="10"/>
      <c r="BV58" s="10"/>
      <c r="BW58" s="10"/>
      <c r="BX58" s="10"/>
      <c r="BY58" s="10"/>
      <c r="BZ58" s="10"/>
      <c r="CA58" s="10"/>
      <c r="CB58" s="10"/>
      <c r="CC58" s="19"/>
      <c r="CD58" s="532"/>
      <c r="CE58" s="398"/>
      <c r="CF58" s="300"/>
      <c r="CG58" s="300"/>
      <c r="CH58" s="300"/>
      <c r="CI58" s="300"/>
      <c r="CJ58" s="396"/>
      <c r="CK58" s="300"/>
      <c r="CL58" s="513" t="s">
        <v>529</v>
      </c>
      <c r="CM58" s="514"/>
      <c r="CN58" s="514"/>
      <c r="CO58" s="514"/>
      <c r="CP58" s="514"/>
      <c r="CQ58" s="514"/>
      <c r="CR58" s="514"/>
      <c r="CS58" s="514"/>
      <c r="CT58" s="514"/>
      <c r="CU58" s="514"/>
      <c r="CV58" s="514"/>
      <c r="CW58" s="514"/>
      <c r="CX58" s="515"/>
      <c r="CY58" s="300"/>
      <c r="CZ58" s="300"/>
      <c r="DA58" s="398"/>
      <c r="DB58" s="300"/>
      <c r="DC58" s="300"/>
      <c r="DD58" s="300"/>
      <c r="DE58" s="300"/>
      <c r="DF58" s="396"/>
      <c r="DG58" s="300"/>
      <c r="DH58" s="376"/>
      <c r="DI58" s="10"/>
      <c r="DJ58" s="10"/>
      <c r="DK58" s="10"/>
      <c r="DL58" s="10"/>
      <c r="DM58" s="19"/>
      <c r="DN58" s="300"/>
      <c r="DO58" s="376"/>
      <c r="DP58" s="10"/>
      <c r="DQ58" s="10"/>
      <c r="DR58" s="10"/>
      <c r="DS58" s="10"/>
      <c r="DT58" s="19"/>
      <c r="DU58" s="300"/>
      <c r="DV58" s="300"/>
      <c r="DW58" s="398"/>
      <c r="DX58" s="300"/>
      <c r="DY58" s="300"/>
      <c r="DZ58" s="300"/>
      <c r="EA58" s="300"/>
      <c r="EB58" s="376" t="s">
        <v>499</v>
      </c>
      <c r="EC58" s="378"/>
      <c r="ED58" s="378"/>
      <c r="EE58" s="378"/>
      <c r="EF58" s="378"/>
      <c r="EG58" s="378"/>
      <c r="EH58" s="378"/>
      <c r="EI58" s="378"/>
      <c r="EJ58" s="378"/>
      <c r="EK58" s="378"/>
      <c r="EL58" s="378"/>
      <c r="EM58" s="378"/>
      <c r="EN58" s="378"/>
      <c r="EO58" s="378"/>
      <c r="EP58" s="378"/>
      <c r="EQ58" s="378"/>
      <c r="ER58" s="378"/>
      <c r="ES58" s="380"/>
      <c r="ET58" s="300"/>
      <c r="EU58" s="300"/>
      <c r="EV58" s="300"/>
      <c r="EW58" s="300"/>
      <c r="EX58" s="300"/>
      <c r="EY58" s="300"/>
      <c r="EZ58" s="300"/>
      <c r="FA58" s="300"/>
      <c r="FB58" s="300"/>
      <c r="FC58" s="300"/>
      <c r="FD58" s="300"/>
      <c r="FE58" s="300"/>
      <c r="FF58" s="300"/>
      <c r="FG58" s="300"/>
      <c r="FH58" s="300"/>
      <c r="FI58" s="300"/>
      <c r="FJ58" s="300"/>
      <c r="FK58" s="300"/>
      <c r="FL58" s="300"/>
      <c r="FM58" s="300"/>
      <c r="FN58" s="300"/>
      <c r="FO58" s="300"/>
      <c r="FP58" s="300"/>
      <c r="FQ58" s="300"/>
      <c r="FR58" s="300"/>
      <c r="FS58" s="300"/>
      <c r="FT58" s="300"/>
      <c r="FU58" s="300"/>
      <c r="FV58" s="300"/>
      <c r="FW58" s="300"/>
      <c r="FX58" s="300"/>
      <c r="FY58" s="300"/>
      <c r="FZ58" s="300"/>
      <c r="GA58" s="300"/>
      <c r="GB58" s="300"/>
      <c r="GC58" s="300"/>
      <c r="GD58" s="300"/>
      <c r="GE58" s="300"/>
      <c r="GF58" s="300"/>
      <c r="GG58" s="300"/>
      <c r="GH58" s="300"/>
      <c r="GI58" s="300"/>
      <c r="GJ58" s="300"/>
      <c r="GK58" s="300"/>
      <c r="GL58" s="300"/>
      <c r="GM58" s="300"/>
      <c r="GN58" s="300"/>
      <c r="GO58" s="300"/>
      <c r="GP58" s="300"/>
      <c r="GQ58" s="300"/>
      <c r="GR58" s="300"/>
      <c r="GS58" s="300"/>
      <c r="GT58" s="300"/>
      <c r="GU58" s="300"/>
      <c r="GV58" s="300"/>
      <c r="GW58" s="300"/>
      <c r="GX58" s="300"/>
      <c r="GY58" s="300"/>
      <c r="GZ58" s="300"/>
      <c r="HA58" s="300"/>
      <c r="HB58" s="300"/>
      <c r="HC58" s="300"/>
      <c r="HD58" s="300"/>
      <c r="HE58" s="300"/>
      <c r="HF58" s="300"/>
      <c r="HG58" s="300"/>
      <c r="HH58" s="300"/>
      <c r="HI58" s="300"/>
      <c r="HJ58" s="300"/>
      <c r="HK58" s="300"/>
      <c r="HL58" s="300"/>
      <c r="HM58" s="300"/>
      <c r="HN58" s="300"/>
      <c r="HO58" s="300"/>
      <c r="HP58" s="300"/>
      <c r="HQ58" s="300"/>
      <c r="HR58" s="300"/>
      <c r="HS58" s="300"/>
      <c r="HT58" s="300"/>
      <c r="HU58" s="300"/>
      <c r="HV58" s="300"/>
      <c r="HW58" s="300"/>
      <c r="HX58" s="300"/>
      <c r="HY58" s="300"/>
      <c r="HZ58" s="300"/>
      <c r="IA58" s="300"/>
      <c r="IB58" s="300"/>
      <c r="IC58" s="300"/>
    </row>
    <row r="59" ht="12.75" customHeight="1">
      <c r="A59" s="300"/>
      <c r="B59" s="396"/>
      <c r="C59" s="300"/>
      <c r="D59" s="394"/>
      <c r="E59" s="52"/>
      <c r="F59" s="52"/>
      <c r="G59" s="52"/>
      <c r="H59" s="52"/>
      <c r="I59" s="52"/>
      <c r="J59" s="52"/>
      <c r="K59" s="52"/>
      <c r="L59" s="52"/>
      <c r="M59" s="52"/>
      <c r="N59" s="52"/>
      <c r="O59" s="52"/>
      <c r="P59" s="52"/>
      <c r="Q59" s="30"/>
      <c r="R59" s="530"/>
      <c r="S59" s="398"/>
      <c r="T59" s="300"/>
      <c r="U59" s="300"/>
      <c r="V59" s="300"/>
      <c r="W59" s="300"/>
      <c r="X59" s="396"/>
      <c r="Y59" s="300"/>
      <c r="Z59" s="394"/>
      <c r="AA59" s="52"/>
      <c r="AB59" s="52"/>
      <c r="AC59" s="52"/>
      <c r="AD59" s="52"/>
      <c r="AE59" s="52"/>
      <c r="AF59" s="52"/>
      <c r="AG59" s="52"/>
      <c r="AH59" s="52"/>
      <c r="AI59" s="52"/>
      <c r="AJ59" s="52"/>
      <c r="AK59" s="52"/>
      <c r="AL59" s="52"/>
      <c r="AM59" s="30"/>
      <c r="AN59" s="532"/>
      <c r="AO59" s="398"/>
      <c r="AP59" s="300"/>
      <c r="AQ59" s="300"/>
      <c r="AR59" s="300"/>
      <c r="AS59" s="396"/>
      <c r="AT59" s="300"/>
      <c r="AU59" s="394"/>
      <c r="AV59" s="52"/>
      <c r="AW59" s="52"/>
      <c r="AX59" s="52"/>
      <c r="AY59" s="52"/>
      <c r="AZ59" s="52"/>
      <c r="BA59" s="52"/>
      <c r="BB59" s="52"/>
      <c r="BC59" s="52"/>
      <c r="BD59" s="52"/>
      <c r="BE59" s="52"/>
      <c r="BF59" s="52"/>
      <c r="BG59" s="52"/>
      <c r="BH59" s="30"/>
      <c r="BI59" s="300"/>
      <c r="BJ59" s="398"/>
      <c r="BK59" s="300"/>
      <c r="BL59" s="300"/>
      <c r="BM59" s="300"/>
      <c r="BN59" s="396"/>
      <c r="BO59" s="300"/>
      <c r="BP59" s="394"/>
      <c r="BQ59" s="52"/>
      <c r="BR59" s="52"/>
      <c r="BS59" s="52"/>
      <c r="BT59" s="52"/>
      <c r="BU59" s="52"/>
      <c r="BV59" s="52"/>
      <c r="BW59" s="52"/>
      <c r="BX59" s="52"/>
      <c r="BY59" s="52"/>
      <c r="BZ59" s="52"/>
      <c r="CA59" s="52"/>
      <c r="CB59" s="52"/>
      <c r="CC59" s="30"/>
      <c r="CD59" s="532"/>
      <c r="CE59" s="398"/>
      <c r="CF59" s="300"/>
      <c r="CG59" s="300"/>
      <c r="CH59" s="300"/>
      <c r="CI59" s="300"/>
      <c r="CJ59" s="396"/>
      <c r="CK59" s="300"/>
      <c r="CL59" s="420" t="s">
        <v>462</v>
      </c>
      <c r="CM59" s="300"/>
      <c r="CN59" s="300"/>
      <c r="CO59" s="300"/>
      <c r="CP59" s="300"/>
      <c r="CQ59" s="300"/>
      <c r="CR59" s="300"/>
      <c r="CS59" s="420" t="s">
        <v>468</v>
      </c>
      <c r="CT59" s="300"/>
      <c r="CU59" s="300"/>
      <c r="CV59" s="300"/>
      <c r="CW59" s="300"/>
      <c r="CX59" s="300"/>
      <c r="CY59" s="300"/>
      <c r="CZ59" s="300"/>
      <c r="DA59" s="398"/>
      <c r="DB59" s="300"/>
      <c r="DC59" s="300"/>
      <c r="DD59" s="300"/>
      <c r="DE59" s="300"/>
      <c r="DF59" s="396"/>
      <c r="DG59" s="300"/>
      <c r="DH59" s="394"/>
      <c r="DI59" s="52"/>
      <c r="DJ59" s="52"/>
      <c r="DK59" s="52"/>
      <c r="DL59" s="52"/>
      <c r="DM59" s="30"/>
      <c r="DN59" s="300"/>
      <c r="DO59" s="394"/>
      <c r="DP59" s="52"/>
      <c r="DQ59" s="52"/>
      <c r="DR59" s="52"/>
      <c r="DS59" s="52"/>
      <c r="DT59" s="30"/>
      <c r="DU59" s="300"/>
      <c r="DV59" s="300"/>
      <c r="DW59" s="398"/>
      <c r="DX59" s="300"/>
      <c r="DY59" s="300"/>
      <c r="DZ59" s="300"/>
      <c r="EA59" s="300"/>
      <c r="EB59" s="385"/>
      <c r="EC59" s="387"/>
      <c r="ED59" s="387"/>
      <c r="EE59" s="387"/>
      <c r="EF59" s="387"/>
      <c r="EG59" s="387"/>
      <c r="EH59" s="387"/>
      <c r="EI59" s="387"/>
      <c r="EJ59" s="387"/>
      <c r="EK59" s="387"/>
      <c r="EL59" s="387"/>
      <c r="EM59" s="387"/>
      <c r="EN59" s="387"/>
      <c r="EO59" s="387"/>
      <c r="EP59" s="387"/>
      <c r="EQ59" s="387"/>
      <c r="ER59" s="387"/>
      <c r="ES59" s="389"/>
      <c r="ET59" s="300"/>
      <c r="EU59" s="300"/>
      <c r="EV59" s="300"/>
      <c r="EW59" s="300"/>
      <c r="EX59" s="300"/>
      <c r="EY59" s="300"/>
      <c r="EZ59" s="300"/>
      <c r="FA59" s="300"/>
      <c r="FB59" s="300"/>
      <c r="FC59" s="300"/>
      <c r="FD59" s="300"/>
      <c r="FE59" s="300"/>
      <c r="FF59" s="300"/>
      <c r="FG59" s="300"/>
      <c r="FH59" s="300"/>
      <c r="FI59" s="300"/>
      <c r="FJ59" s="300"/>
      <c r="FK59" s="300"/>
      <c r="FL59" s="300"/>
      <c r="FM59" s="300"/>
      <c r="FN59" s="300"/>
      <c r="FO59" s="300"/>
      <c r="FP59" s="300"/>
      <c r="FQ59" s="300"/>
      <c r="FR59" s="300"/>
      <c r="FS59" s="300"/>
      <c r="FT59" s="300"/>
      <c r="FU59" s="300"/>
      <c r="FV59" s="300"/>
      <c r="FW59" s="300"/>
      <c r="FX59" s="300"/>
      <c r="FY59" s="300"/>
      <c r="FZ59" s="300"/>
      <c r="GA59" s="300"/>
      <c r="GB59" s="300"/>
      <c r="GC59" s="300"/>
      <c r="GD59" s="300"/>
      <c r="GE59" s="300"/>
      <c r="GF59" s="300"/>
      <c r="GG59" s="300"/>
      <c r="GH59" s="300"/>
      <c r="GI59" s="300"/>
      <c r="GJ59" s="300"/>
      <c r="GK59" s="300"/>
      <c r="GL59" s="300"/>
      <c r="GM59" s="300"/>
      <c r="GN59" s="300"/>
      <c r="GO59" s="300"/>
      <c r="GP59" s="300"/>
      <c r="GQ59" s="300"/>
      <c r="GR59" s="300"/>
      <c r="GS59" s="300"/>
      <c r="GT59" s="300"/>
      <c r="GU59" s="300"/>
      <c r="GV59" s="300"/>
      <c r="GW59" s="300"/>
      <c r="GX59" s="300"/>
      <c r="GY59" s="300"/>
      <c r="GZ59" s="300"/>
      <c r="HA59" s="300"/>
      <c r="HB59" s="300"/>
      <c r="HC59" s="300"/>
      <c r="HD59" s="300"/>
      <c r="HE59" s="300"/>
      <c r="HF59" s="300"/>
      <c r="HG59" s="300"/>
      <c r="HH59" s="300"/>
      <c r="HI59" s="300"/>
      <c r="HJ59" s="300"/>
      <c r="HK59" s="300"/>
      <c r="HL59" s="300"/>
      <c r="HM59" s="300"/>
      <c r="HN59" s="300"/>
      <c r="HO59" s="300"/>
      <c r="HP59" s="300"/>
      <c r="HQ59" s="300"/>
      <c r="HR59" s="300"/>
      <c r="HS59" s="300"/>
      <c r="HT59" s="300"/>
      <c r="HU59" s="300"/>
      <c r="HV59" s="300"/>
      <c r="HW59" s="300"/>
      <c r="HX59" s="300"/>
      <c r="HY59" s="300"/>
      <c r="HZ59" s="300"/>
      <c r="IA59" s="300"/>
      <c r="IB59" s="300"/>
      <c r="IC59" s="300"/>
    </row>
    <row r="60" ht="12.75" customHeight="1">
      <c r="A60" s="300"/>
      <c r="B60" s="396"/>
      <c r="C60" s="300"/>
      <c r="D60" s="533"/>
      <c r="E60" s="533"/>
      <c r="F60" s="533"/>
      <c r="G60" s="533"/>
      <c r="H60" s="533"/>
      <c r="I60" s="533"/>
      <c r="J60" s="533"/>
      <c r="K60" s="534"/>
      <c r="L60" s="534"/>
      <c r="M60" s="534"/>
      <c r="N60" s="534"/>
      <c r="O60" s="534"/>
      <c r="P60" s="534"/>
      <c r="Q60" s="534"/>
      <c r="R60" s="530"/>
      <c r="S60" s="398"/>
      <c r="T60" s="300"/>
      <c r="U60" s="300"/>
      <c r="V60" s="300"/>
      <c r="W60" s="300"/>
      <c r="X60" s="396"/>
      <c r="Y60" s="300"/>
      <c r="Z60" s="535"/>
      <c r="AA60" s="535"/>
      <c r="AB60" s="535"/>
      <c r="AC60" s="535"/>
      <c r="AD60" s="535"/>
      <c r="AE60" s="535"/>
      <c r="AF60" s="535"/>
      <c r="AG60" s="536"/>
      <c r="AH60" s="536"/>
      <c r="AI60" s="536"/>
      <c r="AJ60" s="536"/>
      <c r="AK60" s="536"/>
      <c r="AL60" s="536"/>
      <c r="AM60" s="536"/>
      <c r="AN60" s="532"/>
      <c r="AO60" s="398"/>
      <c r="AP60" s="300"/>
      <c r="AQ60" s="300"/>
      <c r="AR60" s="300"/>
      <c r="AS60" s="396"/>
      <c r="AT60" s="300"/>
      <c r="AU60" s="535"/>
      <c r="AV60" s="535"/>
      <c r="AW60" s="535"/>
      <c r="AX60" s="535"/>
      <c r="AY60" s="535"/>
      <c r="AZ60" s="535"/>
      <c r="BA60" s="535"/>
      <c r="BB60" s="536"/>
      <c r="BC60" s="536"/>
      <c r="BD60" s="536"/>
      <c r="BE60" s="536"/>
      <c r="BF60" s="536"/>
      <c r="BG60" s="536"/>
      <c r="BH60" s="536"/>
      <c r="BI60" s="300"/>
      <c r="BJ60" s="398"/>
      <c r="BK60" s="300"/>
      <c r="BL60" s="300"/>
      <c r="BM60" s="300"/>
      <c r="BN60" s="396"/>
      <c r="BO60" s="300"/>
      <c r="BP60" s="535"/>
      <c r="BQ60" s="535"/>
      <c r="BR60" s="535"/>
      <c r="BS60" s="535"/>
      <c r="BT60" s="535"/>
      <c r="BU60" s="535"/>
      <c r="BV60" s="535"/>
      <c r="BW60" s="536"/>
      <c r="BX60" s="536"/>
      <c r="BY60" s="536"/>
      <c r="BZ60" s="536"/>
      <c r="CA60" s="536"/>
      <c r="CB60" s="536"/>
      <c r="CC60" s="536"/>
      <c r="CD60" s="532"/>
      <c r="CE60" s="398"/>
      <c r="CF60" s="300"/>
      <c r="CG60" s="300"/>
      <c r="CH60" s="300"/>
      <c r="CI60" s="300"/>
      <c r="CJ60" s="396"/>
      <c r="CK60" s="300"/>
      <c r="CL60" s="376"/>
      <c r="CM60" s="10"/>
      <c r="CN60" s="10"/>
      <c r="CO60" s="10"/>
      <c r="CP60" s="10"/>
      <c r="CQ60" s="19"/>
      <c r="CR60" s="300"/>
      <c r="CS60" s="376"/>
      <c r="CT60" s="10"/>
      <c r="CU60" s="10"/>
      <c r="CV60" s="10"/>
      <c r="CW60" s="10"/>
      <c r="CX60" s="19"/>
      <c r="CY60" s="300"/>
      <c r="CZ60" s="300"/>
      <c r="DA60" s="398"/>
      <c r="DB60" s="300"/>
      <c r="DC60" s="300"/>
      <c r="DD60" s="300"/>
      <c r="DE60" s="300"/>
      <c r="DF60" s="396"/>
      <c r="DG60" s="300"/>
      <c r="DH60" s="300"/>
      <c r="DI60" s="300"/>
      <c r="DJ60" s="300"/>
      <c r="DK60" s="300"/>
      <c r="DL60" s="300"/>
      <c r="DM60" s="300"/>
      <c r="DN60" s="300"/>
      <c r="DO60" s="300"/>
      <c r="DP60" s="300"/>
      <c r="DQ60" s="300"/>
      <c r="DR60" s="300"/>
      <c r="DS60" s="300"/>
      <c r="DT60" s="300"/>
      <c r="DU60" s="300"/>
      <c r="DV60" s="300"/>
      <c r="DW60" s="398"/>
      <c r="DX60" s="300"/>
      <c r="DY60" s="300"/>
      <c r="DZ60" s="300"/>
      <c r="EA60" s="300"/>
      <c r="EB60" s="300"/>
      <c r="EC60" s="300"/>
      <c r="ED60" s="300"/>
      <c r="EE60" s="300"/>
      <c r="EF60" s="300"/>
      <c r="EG60" s="300"/>
      <c r="EH60" s="300"/>
      <c r="EI60" s="300"/>
      <c r="EJ60" s="300"/>
      <c r="EK60" s="300"/>
      <c r="EL60" s="300"/>
      <c r="EM60" s="300"/>
      <c r="EN60" s="300"/>
      <c r="EO60" s="300"/>
      <c r="EP60" s="300"/>
      <c r="EQ60" s="300"/>
      <c r="ER60" s="300"/>
      <c r="ES60" s="300"/>
      <c r="ET60" s="300"/>
      <c r="EU60" s="300"/>
      <c r="EV60" s="300"/>
      <c r="EW60" s="300"/>
      <c r="EX60" s="300"/>
      <c r="EY60" s="300"/>
      <c r="EZ60" s="300"/>
      <c r="FA60" s="300"/>
      <c r="FB60" s="300"/>
      <c r="FC60" s="300"/>
      <c r="FD60" s="300"/>
      <c r="FE60" s="300"/>
      <c r="FF60" s="300"/>
      <c r="FG60" s="300"/>
      <c r="FH60" s="300"/>
      <c r="FI60" s="300"/>
      <c r="FJ60" s="300"/>
      <c r="FK60" s="300"/>
      <c r="FL60" s="300"/>
      <c r="FM60" s="300"/>
      <c r="FN60" s="300"/>
      <c r="FO60" s="300"/>
      <c r="FP60" s="300"/>
      <c r="FQ60" s="300"/>
      <c r="FR60" s="300"/>
      <c r="FS60" s="300"/>
      <c r="FT60" s="300"/>
      <c r="FU60" s="300"/>
      <c r="FV60" s="300"/>
      <c r="FW60" s="300"/>
      <c r="FX60" s="300"/>
      <c r="FY60" s="300"/>
      <c r="FZ60" s="300"/>
      <c r="GA60" s="300"/>
      <c r="GB60" s="300"/>
      <c r="GC60" s="300"/>
      <c r="GD60" s="300"/>
      <c r="GE60" s="300"/>
      <c r="GF60" s="300"/>
      <c r="GG60" s="300"/>
      <c r="GH60" s="300"/>
      <c r="GI60" s="300"/>
      <c r="GJ60" s="300"/>
      <c r="GK60" s="300"/>
      <c r="GL60" s="300"/>
      <c r="GM60" s="300"/>
      <c r="GN60" s="300"/>
      <c r="GO60" s="300"/>
      <c r="GP60" s="300"/>
      <c r="GQ60" s="300"/>
      <c r="GR60" s="300"/>
      <c r="GS60" s="300"/>
      <c r="GT60" s="300"/>
      <c r="GU60" s="300"/>
      <c r="GV60" s="300"/>
      <c r="GW60" s="300"/>
      <c r="GX60" s="300"/>
      <c r="GY60" s="300"/>
      <c r="GZ60" s="300"/>
      <c r="HA60" s="300"/>
      <c r="HB60" s="300"/>
      <c r="HC60" s="300"/>
      <c r="HD60" s="300"/>
      <c r="HE60" s="300"/>
      <c r="HF60" s="300"/>
      <c r="HG60" s="300"/>
      <c r="HH60" s="300"/>
      <c r="HI60" s="300"/>
      <c r="HJ60" s="300"/>
      <c r="HK60" s="300"/>
      <c r="HL60" s="300"/>
      <c r="HM60" s="300"/>
      <c r="HN60" s="300"/>
      <c r="HO60" s="300"/>
      <c r="HP60" s="300"/>
      <c r="HQ60" s="300"/>
      <c r="HR60" s="300"/>
      <c r="HS60" s="300"/>
      <c r="HT60" s="300"/>
      <c r="HU60" s="300"/>
      <c r="HV60" s="300"/>
      <c r="HW60" s="300"/>
      <c r="HX60" s="300"/>
      <c r="HY60" s="300"/>
      <c r="HZ60" s="300"/>
      <c r="IA60" s="300"/>
      <c r="IB60" s="300"/>
      <c r="IC60" s="300"/>
    </row>
    <row r="61" ht="12.75" customHeight="1">
      <c r="A61" s="300"/>
      <c r="B61" s="396"/>
      <c r="C61" s="300"/>
      <c r="D61" s="529" t="s">
        <v>530</v>
      </c>
      <c r="E61" s="10"/>
      <c r="F61" s="10"/>
      <c r="G61" s="10"/>
      <c r="H61" s="10"/>
      <c r="I61" s="10"/>
      <c r="J61" s="10"/>
      <c r="K61" s="10"/>
      <c r="L61" s="10"/>
      <c r="M61" s="10"/>
      <c r="N61" s="10"/>
      <c r="O61" s="10"/>
      <c r="P61" s="10"/>
      <c r="Q61" s="19"/>
      <c r="R61" s="530"/>
      <c r="S61" s="398"/>
      <c r="T61" s="300"/>
      <c r="U61" s="300"/>
      <c r="V61" s="300"/>
      <c r="W61" s="300"/>
      <c r="X61" s="396"/>
      <c r="Y61" s="300"/>
      <c r="Z61" s="531"/>
      <c r="AA61" s="10"/>
      <c r="AB61" s="10"/>
      <c r="AC61" s="10"/>
      <c r="AD61" s="10"/>
      <c r="AE61" s="10"/>
      <c r="AF61" s="10"/>
      <c r="AG61" s="10"/>
      <c r="AH61" s="10"/>
      <c r="AI61" s="10"/>
      <c r="AJ61" s="10"/>
      <c r="AK61" s="10"/>
      <c r="AL61" s="10"/>
      <c r="AM61" s="19"/>
      <c r="AN61" s="532"/>
      <c r="AO61" s="398"/>
      <c r="AP61" s="300"/>
      <c r="AQ61" s="300"/>
      <c r="AR61" s="300"/>
      <c r="AS61" s="396"/>
      <c r="AT61" s="300"/>
      <c r="AU61" s="531"/>
      <c r="AV61" s="10"/>
      <c r="AW61" s="10"/>
      <c r="AX61" s="10"/>
      <c r="AY61" s="10"/>
      <c r="AZ61" s="10"/>
      <c r="BA61" s="10"/>
      <c r="BB61" s="10"/>
      <c r="BC61" s="10"/>
      <c r="BD61" s="10"/>
      <c r="BE61" s="10"/>
      <c r="BF61" s="10"/>
      <c r="BG61" s="10"/>
      <c r="BH61" s="19"/>
      <c r="BI61" s="300"/>
      <c r="BJ61" s="398"/>
      <c r="BK61" s="300"/>
      <c r="BL61" s="300"/>
      <c r="BM61" s="300"/>
      <c r="BN61" s="396"/>
      <c r="BO61" s="300"/>
      <c r="BP61" s="531" t="s">
        <v>532</v>
      </c>
      <c r="BQ61" s="10"/>
      <c r="BR61" s="10"/>
      <c r="BS61" s="10"/>
      <c r="BT61" s="10"/>
      <c r="BU61" s="10"/>
      <c r="BV61" s="10"/>
      <c r="BW61" s="10"/>
      <c r="BX61" s="10"/>
      <c r="BY61" s="10"/>
      <c r="BZ61" s="10"/>
      <c r="CA61" s="10"/>
      <c r="CB61" s="10"/>
      <c r="CC61" s="19"/>
      <c r="CD61" s="532"/>
      <c r="CE61" s="398"/>
      <c r="CF61" s="300"/>
      <c r="CG61" s="300"/>
      <c r="CH61" s="300"/>
      <c r="CI61" s="300"/>
      <c r="CJ61" s="396"/>
      <c r="CK61" s="300"/>
      <c r="CL61" s="394"/>
      <c r="CM61" s="52"/>
      <c r="CN61" s="52"/>
      <c r="CO61" s="52"/>
      <c r="CP61" s="52"/>
      <c r="CQ61" s="30"/>
      <c r="CR61" s="300"/>
      <c r="CS61" s="394"/>
      <c r="CT61" s="52"/>
      <c r="CU61" s="52"/>
      <c r="CV61" s="52"/>
      <c r="CW61" s="52"/>
      <c r="CX61" s="30"/>
      <c r="CY61" s="300"/>
      <c r="CZ61" s="300"/>
      <c r="DA61" s="398"/>
      <c r="DB61" s="300"/>
      <c r="DC61" s="300"/>
      <c r="DD61" s="300"/>
      <c r="DE61" s="300"/>
      <c r="DF61" s="396"/>
      <c r="DG61" s="300"/>
      <c r="DH61" s="420" t="s">
        <v>516</v>
      </c>
      <c r="DI61" s="300"/>
      <c r="DJ61" s="300"/>
      <c r="DK61" s="300"/>
      <c r="DL61" s="300"/>
      <c r="DM61" s="300"/>
      <c r="DN61" s="300"/>
      <c r="DO61" s="420" t="s">
        <v>517</v>
      </c>
      <c r="DP61" s="300"/>
      <c r="DQ61" s="300"/>
      <c r="DR61" s="300"/>
      <c r="DS61" s="300"/>
      <c r="DT61" s="300"/>
      <c r="DU61" s="300"/>
      <c r="DV61" s="300"/>
      <c r="DW61" s="398"/>
      <c r="DX61" s="300"/>
      <c r="DY61" s="300"/>
      <c r="DZ61" s="300"/>
      <c r="EA61" s="300"/>
      <c r="EB61" s="300"/>
      <c r="EC61" s="300"/>
      <c r="ED61" s="300"/>
      <c r="EE61" s="300"/>
      <c r="EF61" s="300"/>
      <c r="EG61" s="300"/>
      <c r="EH61" s="300"/>
      <c r="EI61" s="300"/>
      <c r="EJ61" s="300"/>
      <c r="EK61" s="300"/>
      <c r="EL61" s="300"/>
      <c r="EM61" s="300"/>
      <c r="EN61" s="300"/>
      <c r="EO61" s="300"/>
      <c r="EP61" s="300"/>
      <c r="EQ61" s="300"/>
      <c r="ER61" s="300"/>
      <c r="ES61" s="300"/>
      <c r="ET61" s="300"/>
      <c r="EU61" s="300"/>
      <c r="EV61" s="300"/>
      <c r="EW61" s="300"/>
      <c r="EX61" s="300"/>
      <c r="EY61" s="300"/>
      <c r="EZ61" s="300"/>
      <c r="FA61" s="300"/>
      <c r="FB61" s="300"/>
      <c r="FC61" s="300"/>
      <c r="FD61" s="300"/>
      <c r="FE61" s="300"/>
      <c r="FF61" s="300"/>
      <c r="FG61" s="300"/>
      <c r="FH61" s="300"/>
      <c r="FI61" s="300"/>
      <c r="FJ61" s="300"/>
      <c r="FK61" s="300"/>
      <c r="FL61" s="300"/>
      <c r="FM61" s="300"/>
      <c r="FN61" s="300"/>
      <c r="FO61" s="300"/>
      <c r="FP61" s="300"/>
      <c r="FQ61" s="300"/>
      <c r="FR61" s="300"/>
      <c r="FS61" s="300"/>
      <c r="FT61" s="300"/>
      <c r="FU61" s="300"/>
      <c r="FV61" s="300"/>
      <c r="FW61" s="300"/>
      <c r="FX61" s="300"/>
      <c r="FY61" s="300"/>
      <c r="FZ61" s="300"/>
      <c r="GA61" s="300"/>
      <c r="GB61" s="300"/>
      <c r="GC61" s="300"/>
      <c r="GD61" s="300"/>
      <c r="GE61" s="300"/>
      <c r="GF61" s="300"/>
      <c r="GG61" s="300"/>
      <c r="GH61" s="300"/>
      <c r="GI61" s="300"/>
      <c r="GJ61" s="300"/>
      <c r="GK61" s="300"/>
      <c r="GL61" s="300"/>
      <c r="GM61" s="300"/>
      <c r="GN61" s="300"/>
      <c r="GO61" s="300"/>
      <c r="GP61" s="300"/>
      <c r="GQ61" s="300"/>
      <c r="GR61" s="300"/>
      <c r="GS61" s="300"/>
      <c r="GT61" s="300"/>
      <c r="GU61" s="300"/>
      <c r="GV61" s="300"/>
      <c r="GW61" s="300"/>
      <c r="GX61" s="300"/>
      <c r="GY61" s="300"/>
      <c r="GZ61" s="300"/>
      <c r="HA61" s="300"/>
      <c r="HB61" s="300"/>
      <c r="HC61" s="300"/>
      <c r="HD61" s="300"/>
      <c r="HE61" s="300"/>
      <c r="HF61" s="300"/>
      <c r="HG61" s="300"/>
      <c r="HH61" s="300"/>
      <c r="HI61" s="300"/>
      <c r="HJ61" s="300"/>
      <c r="HK61" s="300"/>
      <c r="HL61" s="300"/>
      <c r="HM61" s="300"/>
      <c r="HN61" s="300"/>
      <c r="HO61" s="300"/>
      <c r="HP61" s="300"/>
      <c r="HQ61" s="300"/>
      <c r="HR61" s="300"/>
      <c r="HS61" s="300"/>
      <c r="HT61" s="300"/>
      <c r="HU61" s="300"/>
      <c r="HV61" s="300"/>
      <c r="HW61" s="300"/>
      <c r="HX61" s="300"/>
      <c r="HY61" s="300"/>
      <c r="HZ61" s="300"/>
      <c r="IA61" s="300"/>
      <c r="IB61" s="300"/>
      <c r="IC61" s="300"/>
    </row>
    <row r="62" ht="12.75" customHeight="1">
      <c r="A62" s="300"/>
      <c r="B62" s="396"/>
      <c r="C62" s="300"/>
      <c r="D62" s="394"/>
      <c r="E62" s="52"/>
      <c r="F62" s="52"/>
      <c r="G62" s="52"/>
      <c r="H62" s="52"/>
      <c r="I62" s="52"/>
      <c r="J62" s="52"/>
      <c r="K62" s="52"/>
      <c r="L62" s="52"/>
      <c r="M62" s="52"/>
      <c r="N62" s="52"/>
      <c r="O62" s="52"/>
      <c r="P62" s="52"/>
      <c r="Q62" s="30"/>
      <c r="R62" s="530"/>
      <c r="S62" s="398"/>
      <c r="T62" s="300"/>
      <c r="U62" s="300"/>
      <c r="V62" s="300"/>
      <c r="W62" s="300"/>
      <c r="X62" s="396"/>
      <c r="Y62" s="300"/>
      <c r="Z62" s="394"/>
      <c r="AA62" s="52"/>
      <c r="AB62" s="52"/>
      <c r="AC62" s="52"/>
      <c r="AD62" s="52"/>
      <c r="AE62" s="52"/>
      <c r="AF62" s="52"/>
      <c r="AG62" s="52"/>
      <c r="AH62" s="52"/>
      <c r="AI62" s="52"/>
      <c r="AJ62" s="52"/>
      <c r="AK62" s="52"/>
      <c r="AL62" s="52"/>
      <c r="AM62" s="30"/>
      <c r="AN62" s="532"/>
      <c r="AO62" s="398"/>
      <c r="AP62" s="300"/>
      <c r="AQ62" s="300"/>
      <c r="AR62" s="300"/>
      <c r="AS62" s="396"/>
      <c r="AT62" s="300"/>
      <c r="AU62" s="394"/>
      <c r="AV62" s="52"/>
      <c r="AW62" s="52"/>
      <c r="AX62" s="52"/>
      <c r="AY62" s="52"/>
      <c r="AZ62" s="52"/>
      <c r="BA62" s="52"/>
      <c r="BB62" s="52"/>
      <c r="BC62" s="52"/>
      <c r="BD62" s="52"/>
      <c r="BE62" s="52"/>
      <c r="BF62" s="52"/>
      <c r="BG62" s="52"/>
      <c r="BH62" s="30"/>
      <c r="BI62" s="300"/>
      <c r="BJ62" s="398"/>
      <c r="BK62" s="300"/>
      <c r="BL62" s="300"/>
      <c r="BM62" s="300"/>
      <c r="BN62" s="396"/>
      <c r="BO62" s="300"/>
      <c r="BP62" s="394"/>
      <c r="BQ62" s="52"/>
      <c r="BR62" s="52"/>
      <c r="BS62" s="52"/>
      <c r="BT62" s="52"/>
      <c r="BU62" s="52"/>
      <c r="BV62" s="52"/>
      <c r="BW62" s="52"/>
      <c r="BX62" s="52"/>
      <c r="BY62" s="52"/>
      <c r="BZ62" s="52"/>
      <c r="CA62" s="52"/>
      <c r="CB62" s="52"/>
      <c r="CC62" s="30"/>
      <c r="CD62" s="532"/>
      <c r="CE62" s="398"/>
      <c r="CF62" s="300"/>
      <c r="CG62" s="300"/>
      <c r="CH62" s="300"/>
      <c r="CI62" s="300"/>
      <c r="CJ62" s="396"/>
      <c r="CK62" s="300"/>
      <c r="CL62" s="300"/>
      <c r="CM62" s="300"/>
      <c r="CN62" s="300"/>
      <c r="CO62" s="300"/>
      <c r="CP62" s="300"/>
      <c r="CQ62" s="300"/>
      <c r="CR62" s="300"/>
      <c r="CS62" s="300"/>
      <c r="CT62" s="300"/>
      <c r="CU62" s="300"/>
      <c r="CV62" s="300"/>
      <c r="CW62" s="300"/>
      <c r="CX62" s="300"/>
      <c r="CY62" s="300"/>
      <c r="CZ62" s="300"/>
      <c r="DA62" s="398"/>
      <c r="DB62" s="300"/>
      <c r="DC62" s="300"/>
      <c r="DD62" s="300"/>
      <c r="DE62" s="300"/>
      <c r="DF62" s="396"/>
      <c r="DG62" s="300"/>
      <c r="DH62" s="376"/>
      <c r="DI62" s="10"/>
      <c r="DJ62" s="10"/>
      <c r="DK62" s="10"/>
      <c r="DL62" s="10"/>
      <c r="DM62" s="19"/>
      <c r="DN62" s="300"/>
      <c r="DO62" s="376"/>
      <c r="DP62" s="10"/>
      <c r="DQ62" s="10"/>
      <c r="DR62" s="10"/>
      <c r="DS62" s="10"/>
      <c r="DT62" s="19"/>
      <c r="DU62" s="300"/>
      <c r="DV62" s="300"/>
      <c r="DW62" s="398"/>
      <c r="DX62" s="300"/>
      <c r="DY62" s="300"/>
      <c r="DZ62" s="300"/>
      <c r="EA62" s="300"/>
      <c r="EB62" s="300"/>
      <c r="EC62" s="300"/>
      <c r="ED62" s="300"/>
      <c r="EE62" s="300"/>
      <c r="EF62" s="300"/>
      <c r="EG62" s="300"/>
      <c r="EH62" s="300"/>
      <c r="EI62" s="300"/>
      <c r="EJ62" s="300"/>
      <c r="EK62" s="300"/>
      <c r="EL62" s="300"/>
      <c r="EM62" s="300"/>
      <c r="EN62" s="300"/>
      <c r="EO62" s="300"/>
      <c r="EP62" s="300"/>
      <c r="EQ62" s="300"/>
      <c r="ER62" s="300"/>
      <c r="ES62" s="300"/>
      <c r="ET62" s="300"/>
      <c r="EU62" s="300"/>
      <c r="EV62" s="300"/>
      <c r="EW62" s="300"/>
      <c r="EX62" s="300"/>
      <c r="EY62" s="300"/>
      <c r="EZ62" s="300"/>
      <c r="FA62" s="300"/>
      <c r="FB62" s="300"/>
      <c r="FC62" s="300"/>
      <c r="FD62" s="300"/>
      <c r="FE62" s="300"/>
      <c r="FF62" s="300"/>
      <c r="FG62" s="300"/>
      <c r="FH62" s="300"/>
      <c r="FI62" s="300"/>
      <c r="FJ62" s="300"/>
      <c r="FK62" s="300"/>
      <c r="FL62" s="300"/>
      <c r="FM62" s="300"/>
      <c r="FN62" s="300"/>
      <c r="FO62" s="300"/>
      <c r="FP62" s="300"/>
      <c r="FQ62" s="300"/>
      <c r="FR62" s="300"/>
      <c r="FS62" s="300"/>
      <c r="FT62" s="300"/>
      <c r="FU62" s="300"/>
      <c r="FV62" s="300"/>
      <c r="FW62" s="300"/>
      <c r="FX62" s="300"/>
      <c r="FY62" s="300"/>
      <c r="FZ62" s="300"/>
      <c r="GA62" s="300"/>
      <c r="GB62" s="300"/>
      <c r="GC62" s="300"/>
      <c r="GD62" s="300"/>
      <c r="GE62" s="300"/>
      <c r="GF62" s="300"/>
      <c r="GG62" s="300"/>
      <c r="GH62" s="300"/>
      <c r="GI62" s="300"/>
      <c r="GJ62" s="300"/>
      <c r="GK62" s="300"/>
      <c r="GL62" s="300"/>
      <c r="GM62" s="300"/>
      <c r="GN62" s="300"/>
      <c r="GO62" s="300"/>
      <c r="GP62" s="300"/>
      <c r="GQ62" s="300"/>
      <c r="GR62" s="300"/>
      <c r="GS62" s="300"/>
      <c r="GT62" s="300"/>
      <c r="GU62" s="300"/>
      <c r="GV62" s="300"/>
      <c r="GW62" s="300"/>
      <c r="GX62" s="300"/>
      <c r="GY62" s="300"/>
      <c r="GZ62" s="300"/>
      <c r="HA62" s="300"/>
      <c r="HB62" s="300"/>
      <c r="HC62" s="300"/>
      <c r="HD62" s="300"/>
      <c r="HE62" s="300"/>
      <c r="HF62" s="300"/>
      <c r="HG62" s="300"/>
      <c r="HH62" s="300"/>
      <c r="HI62" s="300"/>
      <c r="HJ62" s="300"/>
      <c r="HK62" s="300"/>
      <c r="HL62" s="300"/>
      <c r="HM62" s="300"/>
      <c r="HN62" s="300"/>
      <c r="HO62" s="300"/>
      <c r="HP62" s="300"/>
      <c r="HQ62" s="300"/>
      <c r="HR62" s="300"/>
      <c r="HS62" s="300"/>
      <c r="HT62" s="300"/>
      <c r="HU62" s="300"/>
      <c r="HV62" s="300"/>
      <c r="HW62" s="300"/>
      <c r="HX62" s="300"/>
      <c r="HY62" s="300"/>
      <c r="HZ62" s="300"/>
      <c r="IA62" s="300"/>
      <c r="IB62" s="300"/>
      <c r="IC62" s="300"/>
    </row>
    <row r="63" ht="12.75" customHeight="1">
      <c r="A63" s="300"/>
      <c r="B63" s="396"/>
      <c r="C63" s="300"/>
      <c r="D63" s="300"/>
      <c r="E63" s="300"/>
      <c r="F63" s="300"/>
      <c r="G63" s="300"/>
      <c r="H63" s="300"/>
      <c r="I63" s="300"/>
      <c r="J63" s="300"/>
      <c r="K63" s="300"/>
      <c r="L63" s="300"/>
      <c r="M63" s="300"/>
      <c r="N63" s="300"/>
      <c r="O63" s="300"/>
      <c r="P63" s="300"/>
      <c r="Q63" s="300"/>
      <c r="R63" s="300"/>
      <c r="S63" s="398"/>
      <c r="T63" s="300"/>
      <c r="U63" s="300"/>
      <c r="V63" s="300"/>
      <c r="W63" s="300"/>
      <c r="X63" s="396"/>
      <c r="Y63" s="300"/>
      <c r="Z63" s="300"/>
      <c r="AA63" s="300"/>
      <c r="AB63" s="300"/>
      <c r="AC63" s="300"/>
      <c r="AD63" s="300"/>
      <c r="AE63" s="300"/>
      <c r="AF63" s="300"/>
      <c r="AG63" s="300"/>
      <c r="AH63" s="300"/>
      <c r="AI63" s="300"/>
      <c r="AJ63" s="300"/>
      <c r="AK63" s="300"/>
      <c r="AL63" s="300"/>
      <c r="AM63" s="300"/>
      <c r="AN63" s="300"/>
      <c r="AO63" s="398"/>
      <c r="AP63" s="300"/>
      <c r="AQ63" s="300"/>
      <c r="AR63" s="300"/>
      <c r="AS63" s="396"/>
      <c r="AT63" s="300"/>
      <c r="AU63" s="300"/>
      <c r="AV63" s="300"/>
      <c r="AW63" s="300"/>
      <c r="AX63" s="300"/>
      <c r="AY63" s="300"/>
      <c r="AZ63" s="300"/>
      <c r="BA63" s="300"/>
      <c r="BB63" s="300"/>
      <c r="BC63" s="300"/>
      <c r="BD63" s="300"/>
      <c r="BE63" s="300"/>
      <c r="BF63" s="300"/>
      <c r="BG63" s="300"/>
      <c r="BH63" s="300"/>
      <c r="BI63" s="300"/>
      <c r="BJ63" s="398"/>
      <c r="BK63" s="300"/>
      <c r="BL63" s="300"/>
      <c r="BM63" s="300"/>
      <c r="BN63" s="396"/>
      <c r="BO63" s="300"/>
      <c r="BP63" s="300"/>
      <c r="BQ63" s="300"/>
      <c r="BR63" s="300"/>
      <c r="BS63" s="300"/>
      <c r="BT63" s="300"/>
      <c r="BU63" s="300"/>
      <c r="BV63" s="300"/>
      <c r="BW63" s="300"/>
      <c r="BX63" s="300"/>
      <c r="BY63" s="300"/>
      <c r="BZ63" s="300"/>
      <c r="CA63" s="300"/>
      <c r="CB63" s="300"/>
      <c r="CC63" s="300"/>
      <c r="CD63" s="300"/>
      <c r="CE63" s="398"/>
      <c r="CF63" s="300"/>
      <c r="CG63" s="300"/>
      <c r="CH63" s="300"/>
      <c r="CI63" s="300"/>
      <c r="CJ63" s="396"/>
      <c r="CK63" s="300"/>
      <c r="CL63" s="513" t="s">
        <v>533</v>
      </c>
      <c r="CM63" s="514"/>
      <c r="CN63" s="514"/>
      <c r="CO63" s="514"/>
      <c r="CP63" s="514"/>
      <c r="CQ63" s="514"/>
      <c r="CR63" s="514"/>
      <c r="CS63" s="514"/>
      <c r="CT63" s="514"/>
      <c r="CU63" s="514"/>
      <c r="CV63" s="514"/>
      <c r="CW63" s="514"/>
      <c r="CX63" s="515"/>
      <c r="CY63" s="300"/>
      <c r="CZ63" s="300"/>
      <c r="DA63" s="398"/>
      <c r="DB63" s="300"/>
      <c r="DC63" s="300"/>
      <c r="DD63" s="300"/>
      <c r="DE63" s="300"/>
      <c r="DF63" s="396"/>
      <c r="DG63" s="300"/>
      <c r="DH63" s="394"/>
      <c r="DI63" s="52"/>
      <c r="DJ63" s="52"/>
      <c r="DK63" s="52"/>
      <c r="DL63" s="52"/>
      <c r="DM63" s="30"/>
      <c r="DN63" s="300"/>
      <c r="DO63" s="394"/>
      <c r="DP63" s="52"/>
      <c r="DQ63" s="52"/>
      <c r="DR63" s="52"/>
      <c r="DS63" s="52"/>
      <c r="DT63" s="30"/>
      <c r="DU63" s="300"/>
      <c r="DV63" s="300"/>
      <c r="DW63" s="398"/>
      <c r="DX63" s="300"/>
      <c r="DY63" s="300"/>
      <c r="DZ63" s="300"/>
      <c r="EA63" s="300"/>
      <c r="EB63" s="551" t="s">
        <v>415</v>
      </c>
      <c r="ET63" s="300"/>
      <c r="EU63" s="300"/>
      <c r="EV63" s="300"/>
      <c r="EW63" s="300"/>
      <c r="EX63" s="551" t="s">
        <v>430</v>
      </c>
      <c r="FP63" s="300"/>
      <c r="FQ63" s="300"/>
      <c r="FR63" s="300"/>
      <c r="FS63" s="300"/>
      <c r="FT63" s="551" t="s">
        <v>434</v>
      </c>
      <c r="GL63" s="300"/>
      <c r="GM63" s="300"/>
      <c r="GN63" s="300"/>
      <c r="GO63" s="300"/>
      <c r="GP63" s="551" t="s">
        <v>438</v>
      </c>
      <c r="HH63" s="300"/>
      <c r="HI63" s="300"/>
      <c r="HJ63" s="300"/>
      <c r="HK63" s="300"/>
      <c r="HL63" s="551" t="s">
        <v>442</v>
      </c>
    </row>
    <row r="64" ht="12.75" customHeight="1">
      <c r="A64" s="300"/>
      <c r="B64" s="396"/>
      <c r="C64" s="300"/>
      <c r="D64" s="420" t="s">
        <v>534</v>
      </c>
      <c r="E64" s="300"/>
      <c r="F64" s="300"/>
      <c r="G64" s="300"/>
      <c r="H64" s="300"/>
      <c r="I64" s="300"/>
      <c r="J64" s="300"/>
      <c r="K64" s="300"/>
      <c r="L64" s="300"/>
      <c r="M64" s="300"/>
      <c r="N64" s="300"/>
      <c r="O64" s="300"/>
      <c r="P64" s="300"/>
      <c r="Q64" s="300"/>
      <c r="R64" s="300"/>
      <c r="S64" s="398"/>
      <c r="T64" s="300"/>
      <c r="U64" s="300"/>
      <c r="V64" s="300"/>
      <c r="W64" s="300"/>
      <c r="X64" s="396"/>
      <c r="Y64" s="300"/>
      <c r="Z64" s="420" t="s">
        <v>534</v>
      </c>
      <c r="AA64" s="300"/>
      <c r="AB64" s="300"/>
      <c r="AC64" s="300"/>
      <c r="AD64" s="300"/>
      <c r="AE64" s="300"/>
      <c r="AF64" s="300"/>
      <c r="AG64" s="300"/>
      <c r="AH64" s="300"/>
      <c r="AI64" s="300"/>
      <c r="AJ64" s="300"/>
      <c r="AK64" s="300"/>
      <c r="AL64" s="300"/>
      <c r="AM64" s="300"/>
      <c r="AN64" s="300"/>
      <c r="AO64" s="398"/>
      <c r="AP64" s="300"/>
      <c r="AQ64" s="300"/>
      <c r="AR64" s="300"/>
      <c r="AS64" s="396"/>
      <c r="AT64" s="300"/>
      <c r="AU64" s="420" t="s">
        <v>534</v>
      </c>
      <c r="AV64" s="300"/>
      <c r="AW64" s="300"/>
      <c r="AX64" s="300"/>
      <c r="AY64" s="300"/>
      <c r="AZ64" s="300"/>
      <c r="BA64" s="300"/>
      <c r="BB64" s="300"/>
      <c r="BC64" s="300"/>
      <c r="BD64" s="300"/>
      <c r="BE64" s="300"/>
      <c r="BF64" s="300"/>
      <c r="BG64" s="300"/>
      <c r="BH64" s="300"/>
      <c r="BI64" s="300"/>
      <c r="BJ64" s="398"/>
      <c r="BK64" s="300"/>
      <c r="BL64" s="300"/>
      <c r="BM64" s="300"/>
      <c r="BN64" s="396"/>
      <c r="BO64" s="300"/>
      <c r="BP64" s="420" t="s">
        <v>534</v>
      </c>
      <c r="BQ64" s="300"/>
      <c r="BR64" s="300"/>
      <c r="BS64" s="300"/>
      <c r="BT64" s="300"/>
      <c r="BU64" s="300"/>
      <c r="BV64" s="300"/>
      <c r="BW64" s="300"/>
      <c r="BX64" s="300"/>
      <c r="BY64" s="300"/>
      <c r="BZ64" s="300"/>
      <c r="CA64" s="300"/>
      <c r="CB64" s="300"/>
      <c r="CC64" s="300"/>
      <c r="CD64" s="300"/>
      <c r="CE64" s="398"/>
      <c r="CF64" s="300"/>
      <c r="CG64" s="300"/>
      <c r="CH64" s="300"/>
      <c r="CI64" s="300"/>
      <c r="CJ64" s="396"/>
      <c r="CK64" s="300"/>
      <c r="CL64" s="420" t="s">
        <v>462</v>
      </c>
      <c r="CM64" s="300"/>
      <c r="CN64" s="300"/>
      <c r="CO64" s="300"/>
      <c r="CP64" s="300"/>
      <c r="CQ64" s="300"/>
      <c r="CR64" s="300"/>
      <c r="CS64" s="420" t="s">
        <v>468</v>
      </c>
      <c r="CT64" s="300"/>
      <c r="CU64" s="300"/>
      <c r="CV64" s="300"/>
      <c r="CW64" s="300"/>
      <c r="CX64" s="300"/>
      <c r="CY64" s="300"/>
      <c r="CZ64" s="300"/>
      <c r="DA64" s="398"/>
      <c r="DB64" s="300"/>
      <c r="DC64" s="300"/>
      <c r="DD64" s="300"/>
      <c r="DE64" s="300"/>
      <c r="DF64" s="396"/>
      <c r="DG64" s="300"/>
      <c r="DH64" s="300"/>
      <c r="DI64" s="300"/>
      <c r="DJ64" s="300"/>
      <c r="DK64" s="300"/>
      <c r="DL64" s="300"/>
      <c r="DM64" s="300"/>
      <c r="DN64" s="300"/>
      <c r="DO64" s="300"/>
      <c r="DP64" s="300"/>
      <c r="DQ64" s="300"/>
      <c r="DR64" s="300"/>
      <c r="DS64" s="300"/>
      <c r="DT64" s="300"/>
      <c r="DU64" s="300"/>
      <c r="DV64" s="300"/>
      <c r="DW64" s="398"/>
      <c r="DX64" s="300"/>
      <c r="DY64" s="300"/>
      <c r="DZ64" s="300"/>
      <c r="EA64" s="300"/>
      <c r="EB64" s="52"/>
      <c r="EC64" s="52"/>
      <c r="ED64" s="52"/>
      <c r="EE64" s="52"/>
      <c r="EF64" s="52"/>
      <c r="EG64" s="52"/>
      <c r="EH64" s="52"/>
      <c r="EI64" s="52"/>
      <c r="EJ64" s="52"/>
      <c r="EK64" s="52"/>
      <c r="EL64" s="52"/>
      <c r="EM64" s="52"/>
      <c r="EN64" s="52"/>
      <c r="EO64" s="52"/>
      <c r="EP64" s="52"/>
      <c r="EQ64" s="52"/>
      <c r="ER64" s="52"/>
      <c r="ES64" s="52"/>
      <c r="ET64" s="300"/>
      <c r="EU64" s="300"/>
      <c r="EV64" s="300"/>
      <c r="EW64" s="300"/>
      <c r="EX64" s="52"/>
      <c r="EY64" s="52"/>
      <c r="EZ64" s="52"/>
      <c r="FA64" s="52"/>
      <c r="FB64" s="52"/>
      <c r="FC64" s="52"/>
      <c r="FD64" s="52"/>
      <c r="FE64" s="52"/>
      <c r="FF64" s="52"/>
      <c r="FG64" s="52"/>
      <c r="FH64" s="52"/>
      <c r="FI64" s="52"/>
      <c r="FJ64" s="52"/>
      <c r="FK64" s="52"/>
      <c r="FL64" s="52"/>
      <c r="FM64" s="52"/>
      <c r="FN64" s="52"/>
      <c r="FO64" s="52"/>
      <c r="FP64" s="300"/>
      <c r="FQ64" s="300"/>
      <c r="FR64" s="300"/>
      <c r="FS64" s="300"/>
      <c r="FT64" s="52"/>
      <c r="FU64" s="52"/>
      <c r="FV64" s="52"/>
      <c r="FW64" s="52"/>
      <c r="FX64" s="52"/>
      <c r="FY64" s="52"/>
      <c r="FZ64" s="52"/>
      <c r="GA64" s="52"/>
      <c r="GB64" s="52"/>
      <c r="GC64" s="52"/>
      <c r="GD64" s="52"/>
      <c r="GE64" s="52"/>
      <c r="GF64" s="52"/>
      <c r="GG64" s="52"/>
      <c r="GH64" s="52"/>
      <c r="GI64" s="52"/>
      <c r="GJ64" s="52"/>
      <c r="GK64" s="52"/>
      <c r="GL64" s="300"/>
      <c r="GM64" s="300"/>
      <c r="GN64" s="300"/>
      <c r="GO64" s="300"/>
      <c r="GP64" s="52"/>
      <c r="GQ64" s="52"/>
      <c r="GR64" s="52"/>
      <c r="GS64" s="52"/>
      <c r="GT64" s="52"/>
      <c r="GU64" s="52"/>
      <c r="GV64" s="52"/>
      <c r="GW64" s="52"/>
      <c r="GX64" s="52"/>
      <c r="GY64" s="52"/>
      <c r="GZ64" s="52"/>
      <c r="HA64" s="52"/>
      <c r="HB64" s="52"/>
      <c r="HC64" s="52"/>
      <c r="HD64" s="52"/>
      <c r="HE64" s="52"/>
      <c r="HF64" s="52"/>
      <c r="HG64" s="52"/>
      <c r="HH64" s="300"/>
      <c r="HI64" s="300"/>
      <c r="HJ64" s="300"/>
      <c r="HK64" s="300"/>
      <c r="HL64" s="52"/>
      <c r="HM64" s="52"/>
      <c r="HN64" s="52"/>
      <c r="HO64" s="52"/>
      <c r="HP64" s="52"/>
      <c r="HQ64" s="52"/>
      <c r="HR64" s="52"/>
      <c r="HS64" s="52"/>
      <c r="HT64" s="52"/>
      <c r="HU64" s="52"/>
      <c r="HV64" s="52"/>
      <c r="HW64" s="52"/>
      <c r="HX64" s="52"/>
      <c r="HY64" s="52"/>
      <c r="HZ64" s="52"/>
      <c r="IA64" s="52"/>
      <c r="IB64" s="52"/>
      <c r="IC64" s="52"/>
    </row>
    <row r="65" ht="12.75" customHeight="1">
      <c r="A65" s="300"/>
      <c r="B65" s="396"/>
      <c r="C65" s="300"/>
      <c r="D65" s="531"/>
      <c r="E65" s="10"/>
      <c r="F65" s="10"/>
      <c r="G65" s="19"/>
      <c r="H65" s="552" t="s">
        <v>535</v>
      </c>
      <c r="I65" s="447"/>
      <c r="J65" s="10"/>
      <c r="K65" s="10"/>
      <c r="L65" s="19"/>
      <c r="M65" s="552" t="s">
        <v>535</v>
      </c>
      <c r="N65" s="447"/>
      <c r="O65" s="10"/>
      <c r="P65" s="10"/>
      <c r="Q65" s="19"/>
      <c r="R65" s="467"/>
      <c r="S65" s="398"/>
      <c r="T65" s="300"/>
      <c r="U65" s="300"/>
      <c r="V65" s="300"/>
      <c r="W65" s="300"/>
      <c r="X65" s="396"/>
      <c r="Y65" s="300"/>
      <c r="Z65" s="531" t="s">
        <v>536</v>
      </c>
      <c r="AA65" s="10"/>
      <c r="AB65" s="10"/>
      <c r="AC65" s="19"/>
      <c r="AD65" s="552" t="s">
        <v>535</v>
      </c>
      <c r="AE65" s="447">
        <v>1234.0</v>
      </c>
      <c r="AF65" s="10"/>
      <c r="AG65" s="10"/>
      <c r="AH65" s="19"/>
      <c r="AI65" s="552" t="s">
        <v>535</v>
      </c>
      <c r="AJ65" s="447">
        <v>5678.0</v>
      </c>
      <c r="AK65" s="10"/>
      <c r="AL65" s="10"/>
      <c r="AM65" s="19"/>
      <c r="AN65" s="467"/>
      <c r="AO65" s="398"/>
      <c r="AP65" s="300"/>
      <c r="AQ65" s="300"/>
      <c r="AR65" s="300"/>
      <c r="AS65" s="396"/>
      <c r="AT65" s="300"/>
      <c r="AU65" s="531" t="s">
        <v>536</v>
      </c>
      <c r="AV65" s="10"/>
      <c r="AW65" s="10"/>
      <c r="AX65" s="19"/>
      <c r="AY65" s="552" t="s">
        <v>535</v>
      </c>
      <c r="AZ65" s="447">
        <v>1234.0</v>
      </c>
      <c r="BA65" s="10"/>
      <c r="BB65" s="10"/>
      <c r="BC65" s="19"/>
      <c r="BD65" s="552" t="s">
        <v>535</v>
      </c>
      <c r="BE65" s="447">
        <v>5678.0</v>
      </c>
      <c r="BF65" s="10"/>
      <c r="BG65" s="10"/>
      <c r="BH65" s="19"/>
      <c r="BI65" s="300"/>
      <c r="BJ65" s="398"/>
      <c r="BK65" s="300"/>
      <c r="BL65" s="300"/>
      <c r="BM65" s="300"/>
      <c r="BN65" s="396"/>
      <c r="BO65" s="300"/>
      <c r="BP65" s="531" t="s">
        <v>536</v>
      </c>
      <c r="BQ65" s="10"/>
      <c r="BR65" s="10"/>
      <c r="BS65" s="19"/>
      <c r="BT65" s="552" t="s">
        <v>535</v>
      </c>
      <c r="BU65" s="447">
        <v>1234.0</v>
      </c>
      <c r="BV65" s="10"/>
      <c r="BW65" s="10"/>
      <c r="BX65" s="19"/>
      <c r="BY65" s="552" t="s">
        <v>535</v>
      </c>
      <c r="BZ65" s="447">
        <v>5678.0</v>
      </c>
      <c r="CA65" s="10"/>
      <c r="CB65" s="10"/>
      <c r="CC65" s="19"/>
      <c r="CD65" s="467"/>
      <c r="CE65" s="398"/>
      <c r="CF65" s="300"/>
      <c r="CG65" s="300"/>
      <c r="CH65" s="300"/>
      <c r="CI65" s="300"/>
      <c r="CJ65" s="396"/>
      <c r="CK65" s="300"/>
      <c r="CL65" s="376"/>
      <c r="CM65" s="10"/>
      <c r="CN65" s="10"/>
      <c r="CO65" s="10"/>
      <c r="CP65" s="10"/>
      <c r="CQ65" s="19"/>
      <c r="CR65" s="300"/>
      <c r="CS65" s="376"/>
      <c r="CT65" s="10"/>
      <c r="CU65" s="10"/>
      <c r="CV65" s="10"/>
      <c r="CW65" s="10"/>
      <c r="CX65" s="19"/>
      <c r="CY65" s="300"/>
      <c r="CZ65" s="300"/>
      <c r="DA65" s="398"/>
      <c r="DB65" s="300"/>
      <c r="DC65" s="300"/>
      <c r="DD65" s="300"/>
      <c r="DE65" s="300"/>
      <c r="DF65" s="396"/>
      <c r="DG65" s="300"/>
      <c r="DH65" s="300"/>
      <c r="DI65" s="300"/>
      <c r="DJ65" s="300"/>
      <c r="DK65" s="300"/>
      <c r="DL65" s="300"/>
      <c r="DM65" s="300"/>
      <c r="DN65" s="300"/>
      <c r="DO65" s="420" t="s">
        <v>518</v>
      </c>
      <c r="DP65" s="300"/>
      <c r="DQ65" s="300"/>
      <c r="DR65" s="300"/>
      <c r="DS65" s="300"/>
      <c r="DT65" s="300"/>
      <c r="DU65" s="300"/>
      <c r="DV65" s="300"/>
      <c r="DW65" s="398"/>
      <c r="DX65" s="300"/>
      <c r="DY65" s="300"/>
      <c r="DZ65" s="300"/>
      <c r="EA65" s="300"/>
      <c r="EB65" s="376" t="s">
        <v>441</v>
      </c>
      <c r="EC65" s="378"/>
      <c r="ED65" s="378"/>
      <c r="EE65" s="378"/>
      <c r="EF65" s="378"/>
      <c r="EG65" s="378"/>
      <c r="EH65" s="378"/>
      <c r="EI65" s="378"/>
      <c r="EJ65" s="378"/>
      <c r="EK65" s="378"/>
      <c r="EL65" s="378"/>
      <c r="EM65" s="378"/>
      <c r="EN65" s="378"/>
      <c r="EO65" s="378"/>
      <c r="EP65" s="378"/>
      <c r="EQ65" s="378"/>
      <c r="ER65" s="378"/>
      <c r="ES65" s="380"/>
      <c r="ET65" s="300"/>
      <c r="EU65" s="300"/>
      <c r="EV65" s="300"/>
      <c r="EW65" s="300"/>
      <c r="EX65" s="376" t="s">
        <v>441</v>
      </c>
      <c r="EY65" s="378"/>
      <c r="EZ65" s="378"/>
      <c r="FA65" s="378"/>
      <c r="FB65" s="378"/>
      <c r="FC65" s="378"/>
      <c r="FD65" s="378"/>
      <c r="FE65" s="378"/>
      <c r="FF65" s="378"/>
      <c r="FG65" s="378"/>
      <c r="FH65" s="378"/>
      <c r="FI65" s="378"/>
      <c r="FJ65" s="378"/>
      <c r="FK65" s="378"/>
      <c r="FL65" s="378"/>
      <c r="FM65" s="378"/>
      <c r="FN65" s="378"/>
      <c r="FO65" s="380"/>
      <c r="FP65" s="300"/>
      <c r="FQ65" s="300"/>
      <c r="FR65" s="300"/>
      <c r="FS65" s="300"/>
      <c r="FT65" s="376" t="s">
        <v>441</v>
      </c>
      <c r="FU65" s="378"/>
      <c r="FV65" s="378"/>
      <c r="FW65" s="378"/>
      <c r="FX65" s="378"/>
      <c r="FY65" s="378"/>
      <c r="FZ65" s="378"/>
      <c r="GA65" s="378"/>
      <c r="GB65" s="378"/>
      <c r="GC65" s="378"/>
      <c r="GD65" s="378"/>
      <c r="GE65" s="378"/>
      <c r="GF65" s="378"/>
      <c r="GG65" s="378"/>
      <c r="GH65" s="378"/>
      <c r="GI65" s="378"/>
      <c r="GJ65" s="378"/>
      <c r="GK65" s="380"/>
      <c r="GL65" s="300"/>
      <c r="GM65" s="300"/>
      <c r="GN65" s="300"/>
      <c r="GO65" s="300"/>
      <c r="GP65" s="376" t="s">
        <v>441</v>
      </c>
      <c r="GQ65" s="378"/>
      <c r="GR65" s="378"/>
      <c r="GS65" s="378"/>
      <c r="GT65" s="378"/>
      <c r="GU65" s="378"/>
      <c r="GV65" s="378"/>
      <c r="GW65" s="378"/>
      <c r="GX65" s="378"/>
      <c r="GY65" s="378"/>
      <c r="GZ65" s="378"/>
      <c r="HA65" s="378"/>
      <c r="HB65" s="378"/>
      <c r="HC65" s="378"/>
      <c r="HD65" s="378"/>
      <c r="HE65" s="378"/>
      <c r="HF65" s="378"/>
      <c r="HG65" s="380"/>
      <c r="HH65" s="300"/>
      <c r="HI65" s="300"/>
      <c r="HJ65" s="300"/>
      <c r="HK65" s="300"/>
      <c r="HL65" s="376" t="s">
        <v>441</v>
      </c>
      <c r="HM65" s="378"/>
      <c r="HN65" s="378"/>
      <c r="HO65" s="378"/>
      <c r="HP65" s="378"/>
      <c r="HQ65" s="378"/>
      <c r="HR65" s="378"/>
      <c r="HS65" s="378"/>
      <c r="HT65" s="378"/>
      <c r="HU65" s="378"/>
      <c r="HV65" s="378"/>
      <c r="HW65" s="378"/>
      <c r="HX65" s="378"/>
      <c r="HY65" s="378"/>
      <c r="HZ65" s="378"/>
      <c r="IA65" s="378"/>
      <c r="IB65" s="378"/>
      <c r="IC65" s="380"/>
    </row>
    <row r="66" ht="12.75" customHeight="1">
      <c r="A66" s="300"/>
      <c r="B66" s="396"/>
      <c r="C66" s="300"/>
      <c r="D66" s="394"/>
      <c r="E66" s="52"/>
      <c r="F66" s="52"/>
      <c r="G66" s="30"/>
      <c r="H66" s="128"/>
      <c r="I66" s="394"/>
      <c r="J66" s="52"/>
      <c r="K66" s="52"/>
      <c r="L66" s="30"/>
      <c r="M66" s="128"/>
      <c r="N66" s="394"/>
      <c r="O66" s="52"/>
      <c r="P66" s="52"/>
      <c r="Q66" s="30"/>
      <c r="R66" s="467"/>
      <c r="S66" s="398"/>
      <c r="T66" s="300"/>
      <c r="U66" s="300"/>
      <c r="V66" s="300"/>
      <c r="W66" s="300"/>
      <c r="X66" s="396"/>
      <c r="Y66" s="300"/>
      <c r="Z66" s="394"/>
      <c r="AA66" s="52"/>
      <c r="AB66" s="52"/>
      <c r="AC66" s="30"/>
      <c r="AD66" s="128"/>
      <c r="AE66" s="394"/>
      <c r="AF66" s="52"/>
      <c r="AG66" s="52"/>
      <c r="AH66" s="30"/>
      <c r="AI66" s="128"/>
      <c r="AJ66" s="394"/>
      <c r="AK66" s="52"/>
      <c r="AL66" s="52"/>
      <c r="AM66" s="30"/>
      <c r="AN66" s="467"/>
      <c r="AO66" s="398"/>
      <c r="AP66" s="300"/>
      <c r="AQ66" s="300"/>
      <c r="AR66" s="300"/>
      <c r="AS66" s="396"/>
      <c r="AT66" s="300"/>
      <c r="AU66" s="394"/>
      <c r="AV66" s="52"/>
      <c r="AW66" s="52"/>
      <c r="AX66" s="30"/>
      <c r="AY66" s="128"/>
      <c r="AZ66" s="394"/>
      <c r="BA66" s="52"/>
      <c r="BB66" s="52"/>
      <c r="BC66" s="30"/>
      <c r="BD66" s="128"/>
      <c r="BE66" s="394"/>
      <c r="BF66" s="52"/>
      <c r="BG66" s="52"/>
      <c r="BH66" s="30"/>
      <c r="BI66" s="300"/>
      <c r="BJ66" s="398"/>
      <c r="BK66" s="300"/>
      <c r="BL66" s="300"/>
      <c r="BM66" s="300"/>
      <c r="BN66" s="396"/>
      <c r="BO66" s="300"/>
      <c r="BP66" s="394"/>
      <c r="BQ66" s="52"/>
      <c r="BR66" s="52"/>
      <c r="BS66" s="30"/>
      <c r="BT66" s="128"/>
      <c r="BU66" s="394"/>
      <c r="BV66" s="52"/>
      <c r="BW66" s="52"/>
      <c r="BX66" s="30"/>
      <c r="BY66" s="128"/>
      <c r="BZ66" s="394"/>
      <c r="CA66" s="52"/>
      <c r="CB66" s="52"/>
      <c r="CC66" s="30"/>
      <c r="CD66" s="467"/>
      <c r="CE66" s="398"/>
      <c r="CF66" s="300"/>
      <c r="CG66" s="300"/>
      <c r="CH66" s="300"/>
      <c r="CI66" s="300"/>
      <c r="CJ66" s="396"/>
      <c r="CK66" s="300"/>
      <c r="CL66" s="394"/>
      <c r="CM66" s="52"/>
      <c r="CN66" s="52"/>
      <c r="CO66" s="52"/>
      <c r="CP66" s="52"/>
      <c r="CQ66" s="30"/>
      <c r="CR66" s="300"/>
      <c r="CS66" s="394"/>
      <c r="CT66" s="52"/>
      <c r="CU66" s="52"/>
      <c r="CV66" s="52"/>
      <c r="CW66" s="52"/>
      <c r="CX66" s="30"/>
      <c r="CY66" s="300"/>
      <c r="CZ66" s="300"/>
      <c r="DA66" s="398"/>
      <c r="DB66" s="300"/>
      <c r="DC66" s="300"/>
      <c r="DD66" s="300"/>
      <c r="DE66" s="300"/>
      <c r="DF66" s="396"/>
      <c r="DG66" s="300"/>
      <c r="DH66" s="300"/>
      <c r="DI66" s="300"/>
      <c r="DJ66" s="300"/>
      <c r="DK66" s="300"/>
      <c r="DL66" s="300"/>
      <c r="DM66" s="300"/>
      <c r="DN66" s="300"/>
      <c r="DO66" s="376"/>
      <c r="DP66" s="10"/>
      <c r="DQ66" s="10"/>
      <c r="DR66" s="10"/>
      <c r="DS66" s="10"/>
      <c r="DT66" s="19"/>
      <c r="DU66" s="300"/>
      <c r="DV66" s="300"/>
      <c r="DW66" s="398"/>
      <c r="DX66" s="300"/>
      <c r="DY66" s="300"/>
      <c r="DZ66" s="300"/>
      <c r="EA66" s="300"/>
      <c r="EB66" s="385"/>
      <c r="EC66" s="387"/>
      <c r="ED66" s="387"/>
      <c r="EE66" s="387"/>
      <c r="EF66" s="387"/>
      <c r="EG66" s="387"/>
      <c r="EH66" s="387"/>
      <c r="EI66" s="387"/>
      <c r="EJ66" s="387"/>
      <c r="EK66" s="387"/>
      <c r="EL66" s="387"/>
      <c r="EM66" s="387"/>
      <c r="EN66" s="387"/>
      <c r="EO66" s="387"/>
      <c r="EP66" s="387"/>
      <c r="EQ66" s="387"/>
      <c r="ER66" s="387"/>
      <c r="ES66" s="389"/>
      <c r="ET66" s="300"/>
      <c r="EU66" s="300"/>
      <c r="EV66" s="300"/>
      <c r="EW66" s="300"/>
      <c r="EX66" s="385"/>
      <c r="EY66" s="387"/>
      <c r="EZ66" s="387"/>
      <c r="FA66" s="387"/>
      <c r="FB66" s="387"/>
      <c r="FC66" s="387"/>
      <c r="FD66" s="387"/>
      <c r="FE66" s="387"/>
      <c r="FF66" s="387"/>
      <c r="FG66" s="387"/>
      <c r="FH66" s="387"/>
      <c r="FI66" s="387"/>
      <c r="FJ66" s="387"/>
      <c r="FK66" s="387"/>
      <c r="FL66" s="387"/>
      <c r="FM66" s="387"/>
      <c r="FN66" s="387"/>
      <c r="FO66" s="389"/>
      <c r="FP66" s="300"/>
      <c r="FQ66" s="300"/>
      <c r="FR66" s="300"/>
      <c r="FS66" s="300"/>
      <c r="FT66" s="385"/>
      <c r="FU66" s="387"/>
      <c r="FV66" s="387"/>
      <c r="FW66" s="387"/>
      <c r="FX66" s="387"/>
      <c r="FY66" s="387"/>
      <c r="FZ66" s="387"/>
      <c r="GA66" s="387"/>
      <c r="GB66" s="387"/>
      <c r="GC66" s="387"/>
      <c r="GD66" s="387"/>
      <c r="GE66" s="387"/>
      <c r="GF66" s="387"/>
      <c r="GG66" s="387"/>
      <c r="GH66" s="387"/>
      <c r="GI66" s="387"/>
      <c r="GJ66" s="387"/>
      <c r="GK66" s="389"/>
      <c r="GL66" s="300"/>
      <c r="GM66" s="300"/>
      <c r="GN66" s="300"/>
      <c r="GO66" s="300"/>
      <c r="GP66" s="385"/>
      <c r="GQ66" s="387"/>
      <c r="GR66" s="387"/>
      <c r="GS66" s="387"/>
      <c r="GT66" s="387"/>
      <c r="GU66" s="387"/>
      <c r="GV66" s="387"/>
      <c r="GW66" s="387"/>
      <c r="GX66" s="387"/>
      <c r="GY66" s="387"/>
      <c r="GZ66" s="387"/>
      <c r="HA66" s="387"/>
      <c r="HB66" s="387"/>
      <c r="HC66" s="387"/>
      <c r="HD66" s="387"/>
      <c r="HE66" s="387"/>
      <c r="HF66" s="387"/>
      <c r="HG66" s="389"/>
      <c r="HH66" s="300"/>
      <c r="HI66" s="300"/>
      <c r="HJ66" s="300"/>
      <c r="HK66" s="300"/>
      <c r="HL66" s="385"/>
      <c r="HM66" s="387"/>
      <c r="HN66" s="387"/>
      <c r="HO66" s="387"/>
      <c r="HP66" s="387"/>
      <c r="HQ66" s="387"/>
      <c r="HR66" s="387"/>
      <c r="HS66" s="387"/>
      <c r="HT66" s="387"/>
      <c r="HU66" s="387"/>
      <c r="HV66" s="387"/>
      <c r="HW66" s="387"/>
      <c r="HX66" s="387"/>
      <c r="HY66" s="387"/>
      <c r="HZ66" s="387"/>
      <c r="IA66" s="387"/>
      <c r="IB66" s="387"/>
      <c r="IC66" s="389"/>
    </row>
    <row r="67" ht="12.75" customHeight="1">
      <c r="A67" s="300"/>
      <c r="B67" s="396"/>
      <c r="C67" s="300"/>
      <c r="D67" s="300"/>
      <c r="E67" s="300"/>
      <c r="F67" s="300"/>
      <c r="G67" s="300"/>
      <c r="H67" s="300"/>
      <c r="I67" s="300"/>
      <c r="J67" s="300"/>
      <c r="K67" s="300"/>
      <c r="L67" s="300"/>
      <c r="M67" s="300"/>
      <c r="N67" s="300"/>
      <c r="O67" s="300"/>
      <c r="P67" s="300"/>
      <c r="Q67" s="300"/>
      <c r="R67" s="300"/>
      <c r="S67" s="398"/>
      <c r="T67" s="300"/>
      <c r="U67" s="300"/>
      <c r="V67" s="300"/>
      <c r="W67" s="300"/>
      <c r="X67" s="396"/>
      <c r="Y67" s="300"/>
      <c r="Z67" s="300"/>
      <c r="AA67" s="300"/>
      <c r="AB67" s="300"/>
      <c r="AC67" s="300"/>
      <c r="AD67" s="300"/>
      <c r="AE67" s="300"/>
      <c r="AF67" s="300"/>
      <c r="AG67" s="300"/>
      <c r="AH67" s="300"/>
      <c r="AI67" s="300"/>
      <c r="AJ67" s="300"/>
      <c r="AK67" s="300"/>
      <c r="AL67" s="300"/>
      <c r="AM67" s="300"/>
      <c r="AN67" s="300"/>
      <c r="AO67" s="398"/>
      <c r="AP67" s="300"/>
      <c r="AQ67" s="300"/>
      <c r="AR67" s="300"/>
      <c r="AS67" s="396"/>
      <c r="AT67" s="300"/>
      <c r="AU67" s="300"/>
      <c r="AV67" s="300"/>
      <c r="AW67" s="300"/>
      <c r="AX67" s="300"/>
      <c r="AY67" s="300"/>
      <c r="AZ67" s="300"/>
      <c r="BA67" s="300"/>
      <c r="BB67" s="300"/>
      <c r="BC67" s="300"/>
      <c r="BD67" s="300"/>
      <c r="BE67" s="300"/>
      <c r="BF67" s="300"/>
      <c r="BG67" s="300"/>
      <c r="BH67" s="300"/>
      <c r="BI67" s="300"/>
      <c r="BJ67" s="398"/>
      <c r="BK67" s="300"/>
      <c r="BL67" s="300"/>
      <c r="BM67" s="300"/>
      <c r="BN67" s="396"/>
      <c r="BO67" s="300"/>
      <c r="BP67" s="300"/>
      <c r="BQ67" s="300"/>
      <c r="BR67" s="300"/>
      <c r="BS67" s="300"/>
      <c r="BT67" s="300"/>
      <c r="BU67" s="300"/>
      <c r="BV67" s="300"/>
      <c r="BW67" s="300"/>
      <c r="BX67" s="300"/>
      <c r="BY67" s="300"/>
      <c r="BZ67" s="300"/>
      <c r="CA67" s="300"/>
      <c r="CB67" s="300"/>
      <c r="CC67" s="300"/>
      <c r="CD67" s="300"/>
      <c r="CE67" s="398"/>
      <c r="CF67" s="300"/>
      <c r="CG67" s="300"/>
      <c r="CH67" s="300"/>
      <c r="CI67" s="300"/>
      <c r="CJ67" s="396"/>
      <c r="CK67" s="300"/>
      <c r="CL67" s="300"/>
      <c r="CM67" s="300"/>
      <c r="CN67" s="300"/>
      <c r="CO67" s="300"/>
      <c r="CP67" s="300"/>
      <c r="CQ67" s="300"/>
      <c r="CR67" s="300"/>
      <c r="CS67" s="300"/>
      <c r="CT67" s="300"/>
      <c r="CU67" s="300"/>
      <c r="CV67" s="300"/>
      <c r="CW67" s="300"/>
      <c r="CX67" s="300"/>
      <c r="CY67" s="300"/>
      <c r="CZ67" s="300"/>
      <c r="DA67" s="398"/>
      <c r="DB67" s="300"/>
      <c r="DC67" s="300"/>
      <c r="DD67" s="300"/>
      <c r="DE67" s="300"/>
      <c r="DF67" s="396"/>
      <c r="DG67" s="300"/>
      <c r="DH67" s="300"/>
      <c r="DI67" s="300"/>
      <c r="DJ67" s="300"/>
      <c r="DK67" s="300"/>
      <c r="DL67" s="300"/>
      <c r="DM67" s="300"/>
      <c r="DN67" s="300"/>
      <c r="DO67" s="394"/>
      <c r="DP67" s="52"/>
      <c r="DQ67" s="52"/>
      <c r="DR67" s="52"/>
      <c r="DS67" s="52"/>
      <c r="DT67" s="30"/>
      <c r="DU67" s="300"/>
      <c r="DV67" s="300"/>
      <c r="DW67" s="398"/>
      <c r="DX67" s="300"/>
      <c r="DY67" s="300"/>
      <c r="DZ67" s="300"/>
      <c r="EA67" s="300"/>
      <c r="EB67" s="504" t="s">
        <v>537</v>
      </c>
      <c r="EC67" s="10"/>
      <c r="ED67" s="10"/>
      <c r="EE67" s="10"/>
      <c r="EF67" s="392" t="s">
        <v>509</v>
      </c>
      <c r="EG67" s="10"/>
      <c r="EH67" s="10"/>
      <c r="EI67" s="10"/>
      <c r="EJ67" s="10"/>
      <c r="EK67" s="10"/>
      <c r="EL67" s="10"/>
      <c r="EM67" s="10"/>
      <c r="EN67" s="10"/>
      <c r="EO67" s="10"/>
      <c r="EP67" s="505" t="s">
        <v>510</v>
      </c>
      <c r="EQ67" s="10"/>
      <c r="ER67" s="10"/>
      <c r="ES67" s="19"/>
      <c r="ET67" s="300"/>
      <c r="EU67" s="300"/>
      <c r="EV67" s="300"/>
      <c r="EW67" s="300"/>
      <c r="EX67" s="504" t="s">
        <v>538</v>
      </c>
      <c r="EY67" s="10"/>
      <c r="EZ67" s="10"/>
      <c r="FA67" s="10"/>
      <c r="FB67" s="392" t="s">
        <v>509</v>
      </c>
      <c r="FC67" s="10"/>
      <c r="FD67" s="10"/>
      <c r="FE67" s="10"/>
      <c r="FF67" s="10"/>
      <c r="FG67" s="10"/>
      <c r="FH67" s="10"/>
      <c r="FI67" s="10"/>
      <c r="FJ67" s="10"/>
      <c r="FK67" s="10"/>
      <c r="FL67" s="505" t="s">
        <v>510</v>
      </c>
      <c r="FM67" s="10"/>
      <c r="FN67" s="10"/>
      <c r="FO67" s="19"/>
      <c r="FP67" s="300"/>
      <c r="FQ67" s="300"/>
      <c r="FR67" s="300"/>
      <c r="FS67" s="300"/>
      <c r="FT67" s="504" t="s">
        <v>539</v>
      </c>
      <c r="FU67" s="10"/>
      <c r="FV67" s="10"/>
      <c r="FW67" s="10"/>
      <c r="FX67" s="392" t="s">
        <v>509</v>
      </c>
      <c r="FY67" s="10"/>
      <c r="FZ67" s="10"/>
      <c r="GA67" s="10"/>
      <c r="GB67" s="10"/>
      <c r="GC67" s="10"/>
      <c r="GD67" s="10"/>
      <c r="GE67" s="10"/>
      <c r="GF67" s="10"/>
      <c r="GG67" s="10"/>
      <c r="GH67" s="505" t="s">
        <v>510</v>
      </c>
      <c r="GI67" s="10"/>
      <c r="GJ67" s="10"/>
      <c r="GK67" s="19"/>
      <c r="GL67" s="300"/>
      <c r="GM67" s="300"/>
      <c r="GN67" s="300"/>
      <c r="GO67" s="300"/>
      <c r="GP67" s="504" t="s">
        <v>540</v>
      </c>
      <c r="GQ67" s="10"/>
      <c r="GR67" s="10"/>
      <c r="GS67" s="10"/>
      <c r="GT67" s="392" t="s">
        <v>509</v>
      </c>
      <c r="GU67" s="10"/>
      <c r="GV67" s="10"/>
      <c r="GW67" s="10"/>
      <c r="GX67" s="10"/>
      <c r="GY67" s="10"/>
      <c r="GZ67" s="10"/>
      <c r="HA67" s="10"/>
      <c r="HB67" s="10"/>
      <c r="HC67" s="10"/>
      <c r="HD67" s="505" t="s">
        <v>510</v>
      </c>
      <c r="HE67" s="10"/>
      <c r="HF67" s="10"/>
      <c r="HG67" s="19"/>
      <c r="HH67" s="300"/>
      <c r="HI67" s="300"/>
      <c r="HJ67" s="300"/>
      <c r="HK67" s="300"/>
      <c r="HL67" s="504" t="s">
        <v>541</v>
      </c>
      <c r="HM67" s="10"/>
      <c r="HN67" s="10"/>
      <c r="HO67" s="10"/>
      <c r="HP67" s="392" t="s">
        <v>509</v>
      </c>
      <c r="HQ67" s="10"/>
      <c r="HR67" s="10"/>
      <c r="HS67" s="10"/>
      <c r="HT67" s="10"/>
      <c r="HU67" s="10"/>
      <c r="HV67" s="10"/>
      <c r="HW67" s="10"/>
      <c r="HX67" s="10"/>
      <c r="HY67" s="10"/>
      <c r="HZ67" s="505" t="s">
        <v>510</v>
      </c>
      <c r="IA67" s="10"/>
      <c r="IB67" s="10"/>
      <c r="IC67" s="19"/>
    </row>
    <row r="68" ht="12.75" customHeight="1">
      <c r="A68" s="300"/>
      <c r="B68" s="396"/>
      <c r="C68" s="300"/>
      <c r="D68" s="420" t="s">
        <v>542</v>
      </c>
      <c r="E68" s="300"/>
      <c r="F68" s="300"/>
      <c r="G68" s="300"/>
      <c r="H68" s="300"/>
      <c r="I68" s="300"/>
      <c r="J68" s="300"/>
      <c r="K68" s="300"/>
      <c r="L68" s="300"/>
      <c r="M68" s="300"/>
      <c r="N68" s="300"/>
      <c r="O68" s="300"/>
      <c r="P68" s="300"/>
      <c r="Q68" s="300"/>
      <c r="R68" s="300"/>
      <c r="S68" s="398"/>
      <c r="T68" s="300"/>
      <c r="U68" s="300"/>
      <c r="V68" s="300"/>
      <c r="W68" s="300"/>
      <c r="X68" s="396"/>
      <c r="Y68" s="300"/>
      <c r="Z68" s="420" t="s">
        <v>542</v>
      </c>
      <c r="AA68" s="300"/>
      <c r="AB68" s="300"/>
      <c r="AC68" s="300"/>
      <c r="AD68" s="300"/>
      <c r="AE68" s="300"/>
      <c r="AF68" s="300"/>
      <c r="AG68" s="300"/>
      <c r="AH68" s="300"/>
      <c r="AI68" s="300"/>
      <c r="AJ68" s="300"/>
      <c r="AK68" s="300"/>
      <c r="AL68" s="300"/>
      <c r="AM68" s="300"/>
      <c r="AN68" s="300"/>
      <c r="AO68" s="398"/>
      <c r="AP68" s="300"/>
      <c r="AQ68" s="300"/>
      <c r="AR68" s="300"/>
      <c r="AS68" s="396"/>
      <c r="AT68" s="300"/>
      <c r="AU68" s="420" t="s">
        <v>542</v>
      </c>
      <c r="AV68" s="300"/>
      <c r="AW68" s="300"/>
      <c r="AX68" s="300"/>
      <c r="AY68" s="300"/>
      <c r="AZ68" s="300"/>
      <c r="BA68" s="300"/>
      <c r="BB68" s="300"/>
      <c r="BC68" s="300"/>
      <c r="BD68" s="300"/>
      <c r="BE68" s="300"/>
      <c r="BF68" s="300"/>
      <c r="BG68" s="300"/>
      <c r="BH68" s="300"/>
      <c r="BI68" s="300"/>
      <c r="BJ68" s="398"/>
      <c r="BK68" s="300"/>
      <c r="BL68" s="300"/>
      <c r="BM68" s="300"/>
      <c r="BN68" s="396"/>
      <c r="BO68" s="300"/>
      <c r="BP68" s="420" t="s">
        <v>542</v>
      </c>
      <c r="BQ68" s="300"/>
      <c r="BR68" s="300"/>
      <c r="BS68" s="300"/>
      <c r="BT68" s="300"/>
      <c r="BU68" s="300"/>
      <c r="BV68" s="300"/>
      <c r="BW68" s="300"/>
      <c r="BX68" s="300"/>
      <c r="BY68" s="300"/>
      <c r="BZ68" s="300"/>
      <c r="CA68" s="300"/>
      <c r="CB68" s="300"/>
      <c r="CC68" s="300"/>
      <c r="CD68" s="300"/>
      <c r="CE68" s="398"/>
      <c r="CF68" s="300"/>
      <c r="CG68" s="300"/>
      <c r="CH68" s="300"/>
      <c r="CI68" s="300"/>
      <c r="CJ68" s="396"/>
      <c r="CK68" s="300"/>
      <c r="CL68" s="513" t="s">
        <v>543</v>
      </c>
      <c r="CM68" s="514"/>
      <c r="CN68" s="514"/>
      <c r="CO68" s="514"/>
      <c r="CP68" s="514"/>
      <c r="CQ68" s="514"/>
      <c r="CR68" s="514"/>
      <c r="CS68" s="514"/>
      <c r="CT68" s="514"/>
      <c r="CU68" s="514"/>
      <c r="CV68" s="514"/>
      <c r="CW68" s="514"/>
      <c r="CX68" s="515"/>
      <c r="CY68" s="300"/>
      <c r="CZ68" s="300"/>
      <c r="DA68" s="398"/>
      <c r="DB68" s="300"/>
      <c r="DC68" s="300"/>
      <c r="DD68" s="300"/>
      <c r="DE68" s="300"/>
      <c r="DF68" s="396"/>
      <c r="DG68" s="300"/>
      <c r="DH68" s="300"/>
      <c r="DI68" s="300"/>
      <c r="DJ68" s="300"/>
      <c r="DK68" s="300"/>
      <c r="DL68" s="300"/>
      <c r="DM68" s="300"/>
      <c r="DN68" s="300"/>
      <c r="DO68" s="300"/>
      <c r="DP68" s="300"/>
      <c r="DQ68" s="300"/>
      <c r="DR68" s="300"/>
      <c r="DS68" s="300"/>
      <c r="DT68" s="300"/>
      <c r="DU68" s="300"/>
      <c r="DV68" s="300"/>
      <c r="DW68" s="398"/>
      <c r="DX68" s="300"/>
      <c r="DY68" s="300"/>
      <c r="DZ68" s="300"/>
      <c r="EA68" s="300"/>
      <c r="EB68" s="394"/>
      <c r="EC68" s="52"/>
      <c r="ED68" s="52"/>
      <c r="EE68" s="52"/>
      <c r="EF68" s="52"/>
      <c r="EG68" s="52"/>
      <c r="EH68" s="52"/>
      <c r="EI68" s="52"/>
      <c r="EJ68" s="52"/>
      <c r="EK68" s="52"/>
      <c r="EL68" s="52"/>
      <c r="EM68" s="52"/>
      <c r="EN68" s="52"/>
      <c r="EO68" s="52"/>
      <c r="EP68" s="506"/>
      <c r="EQ68" s="52"/>
      <c r="ER68" s="52"/>
      <c r="ES68" s="30"/>
      <c r="ET68" s="300"/>
      <c r="EU68" s="300"/>
      <c r="EV68" s="300"/>
      <c r="EW68" s="300"/>
      <c r="EX68" s="394"/>
      <c r="EY68" s="52"/>
      <c r="EZ68" s="52"/>
      <c r="FA68" s="52"/>
      <c r="FB68" s="52"/>
      <c r="FC68" s="52"/>
      <c r="FD68" s="52"/>
      <c r="FE68" s="52"/>
      <c r="FF68" s="52"/>
      <c r="FG68" s="52"/>
      <c r="FH68" s="52"/>
      <c r="FI68" s="52"/>
      <c r="FJ68" s="52"/>
      <c r="FK68" s="52"/>
      <c r="FL68" s="506"/>
      <c r="FM68" s="52"/>
      <c r="FN68" s="52"/>
      <c r="FO68" s="30"/>
      <c r="FP68" s="300"/>
      <c r="FQ68" s="300"/>
      <c r="FR68" s="300"/>
      <c r="FS68" s="300"/>
      <c r="FT68" s="394"/>
      <c r="FU68" s="52"/>
      <c r="FV68" s="52"/>
      <c r="FW68" s="52"/>
      <c r="FX68" s="52"/>
      <c r="FY68" s="52"/>
      <c r="FZ68" s="52"/>
      <c r="GA68" s="52"/>
      <c r="GB68" s="52"/>
      <c r="GC68" s="52"/>
      <c r="GD68" s="52"/>
      <c r="GE68" s="52"/>
      <c r="GF68" s="52"/>
      <c r="GG68" s="52"/>
      <c r="GH68" s="506"/>
      <c r="GI68" s="52"/>
      <c r="GJ68" s="52"/>
      <c r="GK68" s="30"/>
      <c r="GL68" s="300"/>
      <c r="GM68" s="300"/>
      <c r="GN68" s="300"/>
      <c r="GO68" s="300"/>
      <c r="GP68" s="394"/>
      <c r="GQ68" s="52"/>
      <c r="GR68" s="52"/>
      <c r="GS68" s="52"/>
      <c r="GT68" s="52"/>
      <c r="GU68" s="52"/>
      <c r="GV68" s="52"/>
      <c r="GW68" s="52"/>
      <c r="GX68" s="52"/>
      <c r="GY68" s="52"/>
      <c r="GZ68" s="52"/>
      <c r="HA68" s="52"/>
      <c r="HB68" s="52"/>
      <c r="HC68" s="52"/>
      <c r="HD68" s="506"/>
      <c r="HE68" s="52"/>
      <c r="HF68" s="52"/>
      <c r="HG68" s="30"/>
      <c r="HH68" s="300"/>
      <c r="HI68" s="300"/>
      <c r="HJ68" s="300"/>
      <c r="HK68" s="300"/>
      <c r="HL68" s="394"/>
      <c r="HM68" s="52"/>
      <c r="HN68" s="52"/>
      <c r="HO68" s="52"/>
      <c r="HP68" s="52"/>
      <c r="HQ68" s="52"/>
      <c r="HR68" s="52"/>
      <c r="HS68" s="52"/>
      <c r="HT68" s="52"/>
      <c r="HU68" s="52"/>
      <c r="HV68" s="52"/>
      <c r="HW68" s="52"/>
      <c r="HX68" s="52"/>
      <c r="HY68" s="52"/>
      <c r="HZ68" s="506"/>
      <c r="IA68" s="52"/>
      <c r="IB68" s="52"/>
      <c r="IC68" s="30"/>
    </row>
    <row r="69" ht="12.75" customHeight="1">
      <c r="A69" s="300"/>
      <c r="B69" s="396"/>
      <c r="C69" s="300"/>
      <c r="D69" s="401"/>
      <c r="E69" s="10"/>
      <c r="F69" s="10"/>
      <c r="G69" s="10"/>
      <c r="H69" s="10"/>
      <c r="I69" s="10"/>
      <c r="J69" s="10"/>
      <c r="K69" s="10"/>
      <c r="L69" s="10"/>
      <c r="M69" s="10"/>
      <c r="N69" s="10"/>
      <c r="O69" s="10"/>
      <c r="P69" s="10"/>
      <c r="Q69" s="19"/>
      <c r="R69" s="395"/>
      <c r="S69" s="398"/>
      <c r="T69" s="300"/>
      <c r="U69" s="300"/>
      <c r="V69" s="300"/>
      <c r="W69" s="300"/>
      <c r="X69" s="396"/>
      <c r="Y69" s="300"/>
      <c r="Z69" s="401" t="s">
        <v>544</v>
      </c>
      <c r="AA69" s="10"/>
      <c r="AB69" s="10"/>
      <c r="AC69" s="10"/>
      <c r="AD69" s="10"/>
      <c r="AE69" s="10"/>
      <c r="AF69" s="10"/>
      <c r="AG69" s="10"/>
      <c r="AH69" s="10"/>
      <c r="AI69" s="10"/>
      <c r="AJ69" s="10"/>
      <c r="AK69" s="10"/>
      <c r="AL69" s="10"/>
      <c r="AM69" s="19"/>
      <c r="AN69" s="395"/>
      <c r="AO69" s="398"/>
      <c r="AP69" s="300"/>
      <c r="AQ69" s="300"/>
      <c r="AR69" s="300"/>
      <c r="AS69" s="396"/>
      <c r="AT69" s="300"/>
      <c r="AU69" s="401"/>
      <c r="AV69" s="10"/>
      <c r="AW69" s="10"/>
      <c r="AX69" s="10"/>
      <c r="AY69" s="10"/>
      <c r="AZ69" s="10"/>
      <c r="BA69" s="10"/>
      <c r="BB69" s="10"/>
      <c r="BC69" s="10"/>
      <c r="BD69" s="10"/>
      <c r="BE69" s="10"/>
      <c r="BF69" s="10"/>
      <c r="BG69" s="10"/>
      <c r="BH69" s="19"/>
      <c r="BI69" s="300"/>
      <c r="BJ69" s="398"/>
      <c r="BK69" s="300"/>
      <c r="BL69" s="300"/>
      <c r="BM69" s="300"/>
      <c r="BN69" s="396"/>
      <c r="BO69" s="300"/>
      <c r="BP69" s="401" t="s">
        <v>544</v>
      </c>
      <c r="BQ69" s="10"/>
      <c r="BR69" s="10"/>
      <c r="BS69" s="10"/>
      <c r="BT69" s="10"/>
      <c r="BU69" s="10"/>
      <c r="BV69" s="10"/>
      <c r="BW69" s="10"/>
      <c r="BX69" s="10"/>
      <c r="BY69" s="10"/>
      <c r="BZ69" s="10"/>
      <c r="CA69" s="10"/>
      <c r="CB69" s="10"/>
      <c r="CC69" s="19"/>
      <c r="CD69" s="395"/>
      <c r="CE69" s="398"/>
      <c r="CF69" s="300"/>
      <c r="CG69" s="300"/>
      <c r="CH69" s="300"/>
      <c r="CI69" s="300"/>
      <c r="CJ69" s="396"/>
      <c r="CK69" s="300"/>
      <c r="CL69" s="420" t="s">
        <v>462</v>
      </c>
      <c r="CM69" s="300"/>
      <c r="CN69" s="300"/>
      <c r="CO69" s="300"/>
      <c r="CP69" s="300"/>
      <c r="CQ69" s="300"/>
      <c r="CR69" s="300"/>
      <c r="CS69" s="420" t="s">
        <v>468</v>
      </c>
      <c r="CT69" s="300"/>
      <c r="CU69" s="300"/>
      <c r="CV69" s="300"/>
      <c r="CW69" s="300"/>
      <c r="CX69" s="300"/>
      <c r="CY69" s="300"/>
      <c r="CZ69" s="300"/>
      <c r="DA69" s="398"/>
      <c r="DB69" s="300"/>
      <c r="DC69" s="300"/>
      <c r="DD69" s="300"/>
      <c r="DE69" s="300"/>
      <c r="DF69" s="396"/>
      <c r="DG69" s="300"/>
      <c r="DH69" s="300"/>
      <c r="DI69" s="413" t="s">
        <v>545</v>
      </c>
      <c r="DJ69" s="305"/>
      <c r="DK69" s="305"/>
      <c r="DL69" s="305"/>
      <c r="DM69" s="305"/>
      <c r="DN69" s="305"/>
      <c r="DO69" s="305"/>
      <c r="DP69" s="305"/>
      <c r="DQ69" s="305"/>
      <c r="DR69" s="305"/>
      <c r="DS69" s="305"/>
      <c r="DT69" s="306"/>
      <c r="DU69" s="300"/>
      <c r="DV69" s="300"/>
      <c r="DW69" s="398"/>
      <c r="DX69" s="300"/>
      <c r="DY69" s="300"/>
      <c r="DZ69" s="300"/>
      <c r="EA69" s="300"/>
      <c r="EB69" s="553" t="s">
        <v>546</v>
      </c>
      <c r="EC69" s="10"/>
      <c r="ED69" s="10"/>
      <c r="EE69" s="10"/>
      <c r="EF69" s="10"/>
      <c r="EG69" s="10"/>
      <c r="EH69" s="10"/>
      <c r="EI69" s="10"/>
      <c r="EJ69" s="10"/>
      <c r="EK69" s="10"/>
      <c r="EL69" s="10"/>
      <c r="EM69" s="10"/>
      <c r="EN69" s="10"/>
      <c r="EO69" s="10"/>
      <c r="EP69" s="10"/>
      <c r="EQ69" s="10"/>
      <c r="ER69" s="10"/>
      <c r="ES69" s="19"/>
      <c r="ET69" s="300"/>
      <c r="EU69" s="300"/>
      <c r="EV69" s="300"/>
      <c r="EW69" s="300"/>
      <c r="EX69" s="553" t="s">
        <v>546</v>
      </c>
      <c r="EY69" s="10"/>
      <c r="EZ69" s="10"/>
      <c r="FA69" s="10"/>
      <c r="FB69" s="10"/>
      <c r="FC69" s="10"/>
      <c r="FD69" s="10"/>
      <c r="FE69" s="10"/>
      <c r="FF69" s="10"/>
      <c r="FG69" s="10"/>
      <c r="FH69" s="10"/>
      <c r="FI69" s="10"/>
      <c r="FJ69" s="10"/>
      <c r="FK69" s="10"/>
      <c r="FL69" s="10"/>
      <c r="FM69" s="10"/>
      <c r="FN69" s="10"/>
      <c r="FO69" s="19"/>
      <c r="FP69" s="300"/>
      <c r="FQ69" s="300"/>
      <c r="FR69" s="300"/>
      <c r="FS69" s="300"/>
      <c r="FT69" s="553" t="s">
        <v>546</v>
      </c>
      <c r="FU69" s="10"/>
      <c r="FV69" s="10"/>
      <c r="FW69" s="10"/>
      <c r="FX69" s="10"/>
      <c r="FY69" s="10"/>
      <c r="FZ69" s="10"/>
      <c r="GA69" s="10"/>
      <c r="GB69" s="10"/>
      <c r="GC69" s="10"/>
      <c r="GD69" s="10"/>
      <c r="GE69" s="10"/>
      <c r="GF69" s="10"/>
      <c r="GG69" s="10"/>
      <c r="GH69" s="10"/>
      <c r="GI69" s="10"/>
      <c r="GJ69" s="10"/>
      <c r="GK69" s="19"/>
      <c r="GL69" s="300"/>
      <c r="GM69" s="300"/>
      <c r="GN69" s="300"/>
      <c r="GO69" s="300"/>
      <c r="GP69" s="553" t="s">
        <v>547</v>
      </c>
      <c r="GQ69" s="10"/>
      <c r="GR69" s="10"/>
      <c r="GS69" s="10"/>
      <c r="GT69" s="10"/>
      <c r="GU69" s="10"/>
      <c r="GV69" s="10"/>
      <c r="GW69" s="10"/>
      <c r="GX69" s="10"/>
      <c r="GY69" s="10"/>
      <c r="GZ69" s="10"/>
      <c r="HA69" s="10"/>
      <c r="HB69" s="10"/>
      <c r="HC69" s="10"/>
      <c r="HD69" s="10"/>
      <c r="HE69" s="10"/>
      <c r="HF69" s="10"/>
      <c r="HG69" s="19"/>
      <c r="HH69" s="300"/>
      <c r="HI69" s="300"/>
      <c r="HJ69" s="300"/>
      <c r="HK69" s="300"/>
      <c r="HL69" s="554" t="s">
        <v>548</v>
      </c>
      <c r="HM69" s="10"/>
      <c r="HN69" s="10"/>
      <c r="HO69" s="10"/>
      <c r="HP69" s="10"/>
      <c r="HQ69" s="10"/>
      <c r="HR69" s="10"/>
      <c r="HS69" s="10"/>
      <c r="HT69" s="10"/>
      <c r="HU69" s="10"/>
      <c r="HV69" s="10"/>
      <c r="HW69" s="10"/>
      <c r="HX69" s="10"/>
      <c r="HY69" s="10"/>
      <c r="HZ69" s="10"/>
      <c r="IA69" s="10"/>
      <c r="IB69" s="10"/>
      <c r="IC69" s="19"/>
    </row>
    <row r="70" ht="12.75" customHeight="1">
      <c r="A70" s="300"/>
      <c r="B70" s="396"/>
      <c r="C70" s="300"/>
      <c r="D70" s="394"/>
      <c r="E70" s="52"/>
      <c r="F70" s="52"/>
      <c r="G70" s="52"/>
      <c r="H70" s="52"/>
      <c r="I70" s="52"/>
      <c r="J70" s="52"/>
      <c r="K70" s="52"/>
      <c r="L70" s="52"/>
      <c r="M70" s="52"/>
      <c r="N70" s="52"/>
      <c r="O70" s="52"/>
      <c r="P70" s="52"/>
      <c r="Q70" s="30"/>
      <c r="R70" s="395"/>
      <c r="S70" s="398"/>
      <c r="T70" s="300"/>
      <c r="U70" s="300"/>
      <c r="V70" s="300"/>
      <c r="W70" s="300"/>
      <c r="X70" s="396"/>
      <c r="Y70" s="300"/>
      <c r="Z70" s="394"/>
      <c r="AA70" s="52"/>
      <c r="AB70" s="52"/>
      <c r="AC70" s="52"/>
      <c r="AD70" s="52"/>
      <c r="AE70" s="52"/>
      <c r="AF70" s="52"/>
      <c r="AG70" s="52"/>
      <c r="AH70" s="52"/>
      <c r="AI70" s="52"/>
      <c r="AJ70" s="52"/>
      <c r="AK70" s="52"/>
      <c r="AL70" s="52"/>
      <c r="AM70" s="30"/>
      <c r="AN70" s="395"/>
      <c r="AO70" s="398"/>
      <c r="AP70" s="300"/>
      <c r="AQ70" s="300"/>
      <c r="AR70" s="300"/>
      <c r="AS70" s="396"/>
      <c r="AT70" s="300"/>
      <c r="AU70" s="394"/>
      <c r="AV70" s="52"/>
      <c r="AW70" s="52"/>
      <c r="AX70" s="52"/>
      <c r="AY70" s="52"/>
      <c r="AZ70" s="52"/>
      <c r="BA70" s="52"/>
      <c r="BB70" s="52"/>
      <c r="BC70" s="52"/>
      <c r="BD70" s="52"/>
      <c r="BE70" s="52"/>
      <c r="BF70" s="52"/>
      <c r="BG70" s="52"/>
      <c r="BH70" s="30"/>
      <c r="BI70" s="300"/>
      <c r="BJ70" s="398"/>
      <c r="BK70" s="300"/>
      <c r="BL70" s="300"/>
      <c r="BM70" s="300"/>
      <c r="BN70" s="396"/>
      <c r="BO70" s="300"/>
      <c r="BP70" s="394"/>
      <c r="BQ70" s="52"/>
      <c r="BR70" s="52"/>
      <c r="BS70" s="52"/>
      <c r="BT70" s="52"/>
      <c r="BU70" s="52"/>
      <c r="BV70" s="52"/>
      <c r="BW70" s="52"/>
      <c r="BX70" s="52"/>
      <c r="BY70" s="52"/>
      <c r="BZ70" s="52"/>
      <c r="CA70" s="52"/>
      <c r="CB70" s="52"/>
      <c r="CC70" s="30"/>
      <c r="CD70" s="395"/>
      <c r="CE70" s="398"/>
      <c r="CF70" s="300"/>
      <c r="CG70" s="300"/>
      <c r="CH70" s="300"/>
      <c r="CI70" s="300"/>
      <c r="CJ70" s="396"/>
      <c r="CK70" s="300"/>
      <c r="CL70" s="376"/>
      <c r="CM70" s="10"/>
      <c r="CN70" s="10"/>
      <c r="CO70" s="10"/>
      <c r="CP70" s="10"/>
      <c r="CQ70" s="19"/>
      <c r="CR70" s="300"/>
      <c r="CS70" s="376"/>
      <c r="CT70" s="10"/>
      <c r="CU70" s="10"/>
      <c r="CV70" s="10"/>
      <c r="CW70" s="10"/>
      <c r="CX70" s="19"/>
      <c r="CY70" s="300"/>
      <c r="CZ70" s="300"/>
      <c r="DA70" s="398"/>
      <c r="DB70" s="300"/>
      <c r="DC70" s="300"/>
      <c r="DD70" s="300"/>
      <c r="DE70" s="300"/>
      <c r="DF70" s="396"/>
      <c r="DG70" s="300"/>
      <c r="DH70" s="300"/>
      <c r="DI70" s="331"/>
      <c r="DJ70" s="332"/>
      <c r="DK70" s="332"/>
      <c r="DL70" s="332"/>
      <c r="DM70" s="332"/>
      <c r="DN70" s="332"/>
      <c r="DO70" s="332"/>
      <c r="DP70" s="332"/>
      <c r="DQ70" s="332"/>
      <c r="DR70" s="332"/>
      <c r="DS70" s="332"/>
      <c r="DT70" s="333"/>
      <c r="DU70" s="300"/>
      <c r="DV70" s="300"/>
      <c r="DW70" s="398"/>
      <c r="DX70" s="300"/>
      <c r="DY70" s="300"/>
      <c r="DZ70" s="300"/>
      <c r="EA70" s="300"/>
      <c r="EB70" s="21"/>
      <c r="ES70" s="27"/>
      <c r="ET70" s="300"/>
      <c r="EU70" s="300"/>
      <c r="EV70" s="300"/>
      <c r="EW70" s="300"/>
      <c r="EX70" s="21"/>
      <c r="FO70" s="27"/>
      <c r="FP70" s="300"/>
      <c r="FQ70" s="300"/>
      <c r="FR70" s="300"/>
      <c r="FS70" s="300"/>
      <c r="FT70" s="21"/>
      <c r="GK70" s="27"/>
      <c r="GL70" s="300"/>
      <c r="GM70" s="300"/>
      <c r="GN70" s="300"/>
      <c r="GO70" s="300"/>
      <c r="GP70" s="21"/>
      <c r="HG70" s="27"/>
      <c r="HH70" s="300"/>
      <c r="HI70" s="300"/>
      <c r="HJ70" s="300"/>
      <c r="HK70" s="300"/>
      <c r="HL70" s="21"/>
      <c r="IC70" s="27"/>
    </row>
    <row r="71" ht="12.75" customHeight="1">
      <c r="A71" s="300"/>
      <c r="B71" s="396"/>
      <c r="C71" s="300"/>
      <c r="D71" s="300"/>
      <c r="E71" s="300"/>
      <c r="F71" s="300"/>
      <c r="G71" s="300"/>
      <c r="H71" s="300"/>
      <c r="I71" s="300"/>
      <c r="J71" s="300"/>
      <c r="K71" s="300"/>
      <c r="L71" s="300"/>
      <c r="M71" s="300"/>
      <c r="N71" s="300"/>
      <c r="O71" s="300"/>
      <c r="P71" s="300"/>
      <c r="Q71" s="300"/>
      <c r="R71" s="300"/>
      <c r="S71" s="398"/>
      <c r="T71" s="300"/>
      <c r="U71" s="300"/>
      <c r="V71" s="300"/>
      <c r="W71" s="300"/>
      <c r="X71" s="396"/>
      <c r="Y71" s="300"/>
      <c r="Z71" s="300"/>
      <c r="AA71" s="300"/>
      <c r="AB71" s="300"/>
      <c r="AC71" s="300"/>
      <c r="AD71" s="300"/>
      <c r="AE71" s="300"/>
      <c r="AF71" s="300"/>
      <c r="AG71" s="300"/>
      <c r="AH71" s="300"/>
      <c r="AI71" s="300"/>
      <c r="AJ71" s="300"/>
      <c r="AK71" s="300"/>
      <c r="AL71" s="300"/>
      <c r="AM71" s="300"/>
      <c r="AN71" s="300"/>
      <c r="AO71" s="398"/>
      <c r="AP71" s="300"/>
      <c r="AQ71" s="300"/>
      <c r="AR71" s="300"/>
      <c r="AS71" s="396"/>
      <c r="AT71" s="300"/>
      <c r="AU71" s="300"/>
      <c r="AV71" s="300"/>
      <c r="AW71" s="300"/>
      <c r="AX71" s="300"/>
      <c r="AY71" s="300"/>
      <c r="AZ71" s="300"/>
      <c r="BA71" s="300"/>
      <c r="BB71" s="300"/>
      <c r="BC71" s="300"/>
      <c r="BD71" s="300"/>
      <c r="BE71" s="300"/>
      <c r="BF71" s="300"/>
      <c r="BG71" s="300"/>
      <c r="BH71" s="300"/>
      <c r="BI71" s="300"/>
      <c r="BJ71" s="398"/>
      <c r="BK71" s="300"/>
      <c r="BL71" s="300"/>
      <c r="BM71" s="300"/>
      <c r="BN71" s="396"/>
      <c r="BO71" s="300"/>
      <c r="BP71" s="300"/>
      <c r="BQ71" s="300"/>
      <c r="BR71" s="300"/>
      <c r="BS71" s="300"/>
      <c r="BT71" s="300"/>
      <c r="BU71" s="300"/>
      <c r="BV71" s="300"/>
      <c r="BW71" s="300"/>
      <c r="BX71" s="300"/>
      <c r="BY71" s="300"/>
      <c r="BZ71" s="300"/>
      <c r="CA71" s="300"/>
      <c r="CB71" s="300"/>
      <c r="CC71" s="300"/>
      <c r="CD71" s="300"/>
      <c r="CE71" s="398"/>
      <c r="CF71" s="300"/>
      <c r="CG71" s="300"/>
      <c r="CH71" s="300"/>
      <c r="CI71" s="300"/>
      <c r="CJ71" s="396"/>
      <c r="CK71" s="300"/>
      <c r="CL71" s="394"/>
      <c r="CM71" s="52"/>
      <c r="CN71" s="52"/>
      <c r="CO71" s="52"/>
      <c r="CP71" s="52"/>
      <c r="CQ71" s="30"/>
      <c r="CR71" s="300"/>
      <c r="CS71" s="394"/>
      <c r="CT71" s="52"/>
      <c r="CU71" s="52"/>
      <c r="CV71" s="52"/>
      <c r="CW71" s="52"/>
      <c r="CX71" s="30"/>
      <c r="CY71" s="300"/>
      <c r="CZ71" s="300"/>
      <c r="DA71" s="398"/>
      <c r="DB71" s="300"/>
      <c r="DC71" s="300"/>
      <c r="DD71" s="300"/>
      <c r="DE71" s="300"/>
      <c r="DF71" s="396"/>
      <c r="DG71" s="300"/>
      <c r="DH71" s="300"/>
      <c r="DI71" s="300"/>
      <c r="DJ71" s="300"/>
      <c r="DK71" s="300"/>
      <c r="DL71" s="300"/>
      <c r="DM71" s="300"/>
      <c r="DN71" s="300"/>
      <c r="DO71" s="300"/>
      <c r="DP71" s="300"/>
      <c r="DQ71" s="300"/>
      <c r="DR71" s="300"/>
      <c r="DS71" s="300"/>
      <c r="DT71" s="300"/>
      <c r="DU71" s="300"/>
      <c r="DV71" s="300"/>
      <c r="DW71" s="398"/>
      <c r="DX71" s="300"/>
      <c r="DY71" s="300"/>
      <c r="DZ71" s="300"/>
      <c r="EA71" s="300"/>
      <c r="EB71" s="21"/>
      <c r="ES71" s="27"/>
      <c r="ET71" s="300"/>
      <c r="EU71" s="300"/>
      <c r="EV71" s="300"/>
      <c r="EW71" s="300"/>
      <c r="EX71" s="21"/>
      <c r="FO71" s="27"/>
      <c r="FP71" s="300"/>
      <c r="FQ71" s="300"/>
      <c r="FR71" s="300"/>
      <c r="FS71" s="300"/>
      <c r="FT71" s="21"/>
      <c r="GK71" s="27"/>
      <c r="GL71" s="300"/>
      <c r="GM71" s="300"/>
      <c r="GN71" s="300"/>
      <c r="GO71" s="300"/>
      <c r="GP71" s="21"/>
      <c r="HG71" s="27"/>
      <c r="HH71" s="300"/>
      <c r="HI71" s="300"/>
      <c r="HJ71" s="300"/>
      <c r="HK71" s="300"/>
      <c r="HL71" s="21"/>
      <c r="IC71" s="27"/>
    </row>
    <row r="72" ht="12.75" customHeight="1">
      <c r="A72" s="300"/>
      <c r="B72" s="396"/>
      <c r="C72" s="300"/>
      <c r="D72" s="420" t="s">
        <v>549</v>
      </c>
      <c r="E72" s="300"/>
      <c r="F72" s="300"/>
      <c r="G72" s="300"/>
      <c r="H72" s="300"/>
      <c r="I72" s="300"/>
      <c r="J72" s="300"/>
      <c r="K72" s="300"/>
      <c r="L72" s="300"/>
      <c r="M72" s="300"/>
      <c r="N72" s="300"/>
      <c r="O72" s="300"/>
      <c r="P72" s="300"/>
      <c r="Q72" s="300"/>
      <c r="R72" s="300"/>
      <c r="S72" s="398"/>
      <c r="T72" s="300"/>
      <c r="U72" s="300"/>
      <c r="V72" s="300"/>
      <c r="W72" s="300"/>
      <c r="X72" s="396"/>
      <c r="Y72" s="300"/>
      <c r="Z72" s="420" t="s">
        <v>549</v>
      </c>
      <c r="AA72" s="300"/>
      <c r="AB72" s="300"/>
      <c r="AC72" s="300"/>
      <c r="AD72" s="300"/>
      <c r="AE72" s="300"/>
      <c r="AF72" s="300"/>
      <c r="AG72" s="300"/>
      <c r="AH72" s="300"/>
      <c r="AI72" s="300"/>
      <c r="AJ72" s="300"/>
      <c r="AK72" s="300"/>
      <c r="AL72" s="300"/>
      <c r="AM72" s="300"/>
      <c r="AN72" s="300"/>
      <c r="AO72" s="398"/>
      <c r="AP72" s="300"/>
      <c r="AQ72" s="300"/>
      <c r="AR72" s="300"/>
      <c r="AS72" s="396"/>
      <c r="AT72" s="300"/>
      <c r="AU72" s="420" t="s">
        <v>549</v>
      </c>
      <c r="AV72" s="300"/>
      <c r="AW72" s="300"/>
      <c r="AX72" s="300"/>
      <c r="AY72" s="300"/>
      <c r="AZ72" s="300"/>
      <c r="BA72" s="300"/>
      <c r="BB72" s="300"/>
      <c r="BC72" s="300"/>
      <c r="BD72" s="300"/>
      <c r="BE72" s="300"/>
      <c r="BF72" s="300"/>
      <c r="BG72" s="300"/>
      <c r="BH72" s="300"/>
      <c r="BI72" s="300"/>
      <c r="BJ72" s="398"/>
      <c r="BK72" s="300"/>
      <c r="BL72" s="300"/>
      <c r="BM72" s="300"/>
      <c r="BN72" s="396"/>
      <c r="BO72" s="300"/>
      <c r="BP72" s="420" t="s">
        <v>549</v>
      </c>
      <c r="BQ72" s="300"/>
      <c r="BR72" s="300"/>
      <c r="BS72" s="300"/>
      <c r="BT72" s="300"/>
      <c r="BU72" s="300"/>
      <c r="BV72" s="300"/>
      <c r="BW72" s="300"/>
      <c r="BX72" s="300"/>
      <c r="BY72" s="300"/>
      <c r="BZ72" s="300"/>
      <c r="CA72" s="300"/>
      <c r="CB72" s="300"/>
      <c r="CC72" s="300"/>
      <c r="CD72" s="300"/>
      <c r="CE72" s="398"/>
      <c r="CF72" s="300"/>
      <c r="CG72" s="300"/>
      <c r="CH72" s="300"/>
      <c r="CI72" s="300"/>
      <c r="CJ72" s="396"/>
      <c r="CK72" s="300"/>
      <c r="CL72" s="300"/>
      <c r="CM72" s="300"/>
      <c r="CN72" s="300"/>
      <c r="CO72" s="300"/>
      <c r="CP72" s="300"/>
      <c r="CQ72" s="300"/>
      <c r="CR72" s="300"/>
      <c r="CS72" s="300"/>
      <c r="CT72" s="300"/>
      <c r="CU72" s="300"/>
      <c r="CV72" s="300"/>
      <c r="CW72" s="300"/>
      <c r="CX72" s="300"/>
      <c r="CY72" s="300"/>
      <c r="CZ72" s="300"/>
      <c r="DA72" s="398"/>
      <c r="DB72" s="300"/>
      <c r="DC72" s="300"/>
      <c r="DD72" s="300"/>
      <c r="DE72" s="300"/>
      <c r="DF72" s="396"/>
      <c r="DG72" s="300"/>
      <c r="DH72" s="513" t="s">
        <v>524</v>
      </c>
      <c r="DI72" s="514"/>
      <c r="DJ72" s="514"/>
      <c r="DK72" s="514"/>
      <c r="DL72" s="514"/>
      <c r="DM72" s="514"/>
      <c r="DN72" s="514"/>
      <c r="DO72" s="514"/>
      <c r="DP72" s="514"/>
      <c r="DQ72" s="514"/>
      <c r="DR72" s="514"/>
      <c r="DS72" s="514"/>
      <c r="DT72" s="515"/>
      <c r="DU72" s="300"/>
      <c r="DV72" s="300"/>
      <c r="DW72" s="398"/>
      <c r="DX72" s="300"/>
      <c r="DY72" s="300"/>
      <c r="DZ72" s="300"/>
      <c r="EA72" s="300"/>
      <c r="EB72" s="21"/>
      <c r="ES72" s="27"/>
      <c r="ET72" s="300"/>
      <c r="EU72" s="300"/>
      <c r="EV72" s="300"/>
      <c r="EW72" s="300"/>
      <c r="EX72" s="21"/>
      <c r="FO72" s="27"/>
      <c r="FP72" s="300"/>
      <c r="FQ72" s="300"/>
      <c r="FR72" s="300"/>
      <c r="FS72" s="300"/>
      <c r="FT72" s="21"/>
      <c r="GK72" s="27"/>
      <c r="GL72" s="300"/>
      <c r="GM72" s="300"/>
      <c r="GN72" s="300"/>
      <c r="GO72" s="300"/>
      <c r="GP72" s="21"/>
      <c r="HG72" s="27"/>
      <c r="HH72" s="300"/>
      <c r="HI72" s="300"/>
      <c r="HJ72" s="300"/>
      <c r="HK72" s="300"/>
      <c r="HL72" s="554" t="s">
        <v>550</v>
      </c>
      <c r="HM72" s="10"/>
      <c r="HN72" s="10"/>
      <c r="HO72" s="10"/>
      <c r="HP72" s="10"/>
      <c r="HQ72" s="10"/>
      <c r="HR72" s="10"/>
      <c r="HS72" s="10"/>
      <c r="HT72" s="10"/>
      <c r="HU72" s="10"/>
      <c r="HV72" s="10"/>
      <c r="HW72" s="10"/>
      <c r="HX72" s="10"/>
      <c r="HY72" s="10"/>
      <c r="HZ72" s="10"/>
      <c r="IA72" s="10"/>
      <c r="IB72" s="10"/>
      <c r="IC72" s="19"/>
    </row>
    <row r="73" ht="12.75" customHeight="1">
      <c r="A73" s="300"/>
      <c r="B73" s="396"/>
      <c r="C73" s="300"/>
      <c r="D73" s="401"/>
      <c r="E73" s="10"/>
      <c r="F73" s="10"/>
      <c r="G73" s="10"/>
      <c r="H73" s="10"/>
      <c r="I73" s="10"/>
      <c r="J73" s="10"/>
      <c r="K73" s="10"/>
      <c r="L73" s="10"/>
      <c r="M73" s="10"/>
      <c r="N73" s="10"/>
      <c r="O73" s="10"/>
      <c r="P73" s="10"/>
      <c r="Q73" s="19"/>
      <c r="R73" s="395"/>
      <c r="S73" s="398"/>
      <c r="T73" s="300"/>
      <c r="U73" s="300"/>
      <c r="V73" s="300"/>
      <c r="W73" s="300"/>
      <c r="X73" s="396"/>
      <c r="Y73" s="300"/>
      <c r="Z73" s="401"/>
      <c r="AA73" s="10"/>
      <c r="AB73" s="10"/>
      <c r="AC73" s="10"/>
      <c r="AD73" s="10"/>
      <c r="AE73" s="10"/>
      <c r="AF73" s="10"/>
      <c r="AG73" s="10"/>
      <c r="AH73" s="10"/>
      <c r="AI73" s="10"/>
      <c r="AJ73" s="10"/>
      <c r="AK73" s="10"/>
      <c r="AL73" s="10"/>
      <c r="AM73" s="19"/>
      <c r="AN73" s="395"/>
      <c r="AO73" s="398"/>
      <c r="AP73" s="300"/>
      <c r="AQ73" s="300"/>
      <c r="AR73" s="300"/>
      <c r="AS73" s="396"/>
      <c r="AT73" s="300"/>
      <c r="AU73" s="401"/>
      <c r="AV73" s="10"/>
      <c r="AW73" s="10"/>
      <c r="AX73" s="10"/>
      <c r="AY73" s="10"/>
      <c r="AZ73" s="10"/>
      <c r="BA73" s="10"/>
      <c r="BB73" s="10"/>
      <c r="BC73" s="10"/>
      <c r="BD73" s="10"/>
      <c r="BE73" s="10"/>
      <c r="BF73" s="10"/>
      <c r="BG73" s="10"/>
      <c r="BH73" s="19"/>
      <c r="BI73" s="300"/>
      <c r="BJ73" s="398"/>
      <c r="BK73" s="300"/>
      <c r="BL73" s="300"/>
      <c r="BM73" s="300"/>
      <c r="BN73" s="396"/>
      <c r="BO73" s="300"/>
      <c r="BP73" s="401"/>
      <c r="BQ73" s="10"/>
      <c r="BR73" s="10"/>
      <c r="BS73" s="10"/>
      <c r="BT73" s="10"/>
      <c r="BU73" s="10"/>
      <c r="BV73" s="10"/>
      <c r="BW73" s="10"/>
      <c r="BX73" s="10"/>
      <c r="BY73" s="10"/>
      <c r="BZ73" s="10"/>
      <c r="CA73" s="10"/>
      <c r="CB73" s="10"/>
      <c r="CC73" s="19"/>
      <c r="CD73" s="395"/>
      <c r="CE73" s="398"/>
      <c r="CF73" s="300"/>
      <c r="CG73" s="300"/>
      <c r="CH73" s="300"/>
      <c r="CI73" s="300"/>
      <c r="CJ73" s="396"/>
      <c r="CK73" s="300"/>
      <c r="CL73" s="513" t="s">
        <v>551</v>
      </c>
      <c r="CM73" s="514"/>
      <c r="CN73" s="514"/>
      <c r="CO73" s="514"/>
      <c r="CP73" s="514"/>
      <c r="CQ73" s="514"/>
      <c r="CR73" s="514"/>
      <c r="CS73" s="514"/>
      <c r="CT73" s="514"/>
      <c r="CU73" s="514"/>
      <c r="CV73" s="514"/>
      <c r="CW73" s="514"/>
      <c r="CX73" s="515"/>
      <c r="CY73" s="300"/>
      <c r="CZ73" s="300"/>
      <c r="DA73" s="398"/>
      <c r="DB73" s="300"/>
      <c r="DC73" s="300"/>
      <c r="DD73" s="300"/>
      <c r="DE73" s="300"/>
      <c r="DF73" s="396"/>
      <c r="DG73" s="300"/>
      <c r="DH73" s="420" t="s">
        <v>462</v>
      </c>
      <c r="DI73" s="300"/>
      <c r="DJ73" s="300"/>
      <c r="DK73" s="300"/>
      <c r="DL73" s="300"/>
      <c r="DM73" s="300"/>
      <c r="DN73" s="300"/>
      <c r="DO73" s="420" t="s">
        <v>468</v>
      </c>
      <c r="DP73" s="300"/>
      <c r="DQ73" s="300"/>
      <c r="DR73" s="300"/>
      <c r="DS73" s="300"/>
      <c r="DT73" s="300"/>
      <c r="DU73" s="300"/>
      <c r="DV73" s="300"/>
      <c r="DW73" s="398"/>
      <c r="DX73" s="300"/>
      <c r="DY73" s="300"/>
      <c r="DZ73" s="300"/>
      <c r="EA73" s="300"/>
      <c r="EB73" s="21"/>
      <c r="ES73" s="27"/>
      <c r="ET73" s="300"/>
      <c r="EU73" s="300"/>
      <c r="EV73" s="300"/>
      <c r="EW73" s="300"/>
      <c r="EX73" s="21"/>
      <c r="FO73" s="27"/>
      <c r="FP73" s="300"/>
      <c r="FQ73" s="300"/>
      <c r="FR73" s="300"/>
      <c r="FS73" s="300"/>
      <c r="FT73" s="21"/>
      <c r="GK73" s="27"/>
      <c r="GL73" s="300"/>
      <c r="GM73" s="300"/>
      <c r="GN73" s="300"/>
      <c r="GO73" s="300"/>
      <c r="GP73" s="21"/>
      <c r="HG73" s="27"/>
      <c r="HH73" s="300"/>
      <c r="HI73" s="300"/>
      <c r="HJ73" s="300"/>
      <c r="HK73" s="300"/>
      <c r="HL73" s="21"/>
      <c r="IC73" s="27"/>
    </row>
    <row r="74" ht="12.75" customHeight="1">
      <c r="A74" s="300"/>
      <c r="B74" s="396"/>
      <c r="C74" s="300"/>
      <c r="D74" s="394"/>
      <c r="E74" s="52"/>
      <c r="F74" s="52"/>
      <c r="G74" s="52"/>
      <c r="H74" s="52"/>
      <c r="I74" s="52"/>
      <c r="J74" s="52"/>
      <c r="K74" s="52"/>
      <c r="L74" s="52"/>
      <c r="M74" s="52"/>
      <c r="N74" s="52"/>
      <c r="O74" s="52"/>
      <c r="P74" s="52"/>
      <c r="Q74" s="30"/>
      <c r="R74" s="395"/>
      <c r="S74" s="398"/>
      <c r="T74" s="300"/>
      <c r="U74" s="300"/>
      <c r="V74" s="300"/>
      <c r="W74" s="300"/>
      <c r="X74" s="396"/>
      <c r="Y74" s="300"/>
      <c r="Z74" s="394"/>
      <c r="AA74" s="52"/>
      <c r="AB74" s="52"/>
      <c r="AC74" s="52"/>
      <c r="AD74" s="52"/>
      <c r="AE74" s="52"/>
      <c r="AF74" s="52"/>
      <c r="AG74" s="52"/>
      <c r="AH74" s="52"/>
      <c r="AI74" s="52"/>
      <c r="AJ74" s="52"/>
      <c r="AK74" s="52"/>
      <c r="AL74" s="52"/>
      <c r="AM74" s="30"/>
      <c r="AN74" s="395"/>
      <c r="AO74" s="398"/>
      <c r="AP74" s="300"/>
      <c r="AQ74" s="300"/>
      <c r="AR74" s="300"/>
      <c r="AS74" s="396"/>
      <c r="AT74" s="300"/>
      <c r="AU74" s="394"/>
      <c r="AV74" s="52"/>
      <c r="AW74" s="52"/>
      <c r="AX74" s="52"/>
      <c r="AY74" s="52"/>
      <c r="AZ74" s="52"/>
      <c r="BA74" s="52"/>
      <c r="BB74" s="52"/>
      <c r="BC74" s="52"/>
      <c r="BD74" s="52"/>
      <c r="BE74" s="52"/>
      <c r="BF74" s="52"/>
      <c r="BG74" s="52"/>
      <c r="BH74" s="30"/>
      <c r="BI74" s="300"/>
      <c r="BJ74" s="398"/>
      <c r="BK74" s="300"/>
      <c r="BL74" s="300"/>
      <c r="BM74" s="300"/>
      <c r="BN74" s="396"/>
      <c r="BO74" s="300"/>
      <c r="BP74" s="394"/>
      <c r="BQ74" s="52"/>
      <c r="BR74" s="52"/>
      <c r="BS74" s="52"/>
      <c r="BT74" s="52"/>
      <c r="BU74" s="52"/>
      <c r="BV74" s="52"/>
      <c r="BW74" s="52"/>
      <c r="BX74" s="52"/>
      <c r="BY74" s="52"/>
      <c r="BZ74" s="52"/>
      <c r="CA74" s="52"/>
      <c r="CB74" s="52"/>
      <c r="CC74" s="30"/>
      <c r="CD74" s="395"/>
      <c r="CE74" s="398"/>
      <c r="CF74" s="300"/>
      <c r="CG74" s="300"/>
      <c r="CH74" s="300"/>
      <c r="CI74" s="300"/>
      <c r="CJ74" s="396"/>
      <c r="CK74" s="300"/>
      <c r="CL74" s="420" t="s">
        <v>462</v>
      </c>
      <c r="CM74" s="300"/>
      <c r="CN74" s="300"/>
      <c r="CO74" s="300"/>
      <c r="CP74" s="300"/>
      <c r="CQ74" s="300"/>
      <c r="CR74" s="300"/>
      <c r="CS74" s="420" t="s">
        <v>468</v>
      </c>
      <c r="CT74" s="300"/>
      <c r="CU74" s="300"/>
      <c r="CV74" s="300"/>
      <c r="CW74" s="300"/>
      <c r="CX74" s="300"/>
      <c r="CY74" s="300"/>
      <c r="CZ74" s="300"/>
      <c r="DA74" s="398"/>
      <c r="DB74" s="300"/>
      <c r="DC74" s="300"/>
      <c r="DD74" s="300"/>
      <c r="DE74" s="300"/>
      <c r="DF74" s="396"/>
      <c r="DG74" s="300"/>
      <c r="DH74" s="376"/>
      <c r="DI74" s="10"/>
      <c r="DJ74" s="10"/>
      <c r="DK74" s="10"/>
      <c r="DL74" s="10"/>
      <c r="DM74" s="19"/>
      <c r="DN74" s="300"/>
      <c r="DO74" s="376"/>
      <c r="DP74" s="10"/>
      <c r="DQ74" s="10"/>
      <c r="DR74" s="10"/>
      <c r="DS74" s="10"/>
      <c r="DT74" s="19"/>
      <c r="DU74" s="300"/>
      <c r="DV74" s="300"/>
      <c r="DW74" s="398"/>
      <c r="DX74" s="300"/>
      <c r="DY74" s="300"/>
      <c r="DZ74" s="300"/>
      <c r="EA74" s="300"/>
      <c r="EB74" s="21"/>
      <c r="ES74" s="27"/>
      <c r="ET74" s="300"/>
      <c r="EU74" s="300"/>
      <c r="EV74" s="300"/>
      <c r="EW74" s="300"/>
      <c r="EX74" s="21"/>
      <c r="FO74" s="27"/>
      <c r="FP74" s="300"/>
      <c r="FQ74" s="300"/>
      <c r="FR74" s="300"/>
      <c r="FS74" s="300"/>
      <c r="FT74" s="21"/>
      <c r="GK74" s="27"/>
      <c r="GL74" s="300"/>
      <c r="GM74" s="300"/>
      <c r="GN74" s="300"/>
      <c r="GO74" s="300"/>
      <c r="GP74" s="21"/>
      <c r="HG74" s="27"/>
      <c r="HH74" s="300"/>
      <c r="HI74" s="300"/>
      <c r="HJ74" s="300"/>
      <c r="HK74" s="300"/>
      <c r="HL74" s="21"/>
      <c r="IC74" s="27"/>
    </row>
    <row r="75" ht="12.75" customHeight="1">
      <c r="A75" s="300"/>
      <c r="B75" s="396"/>
      <c r="C75" s="300"/>
      <c r="D75" s="300"/>
      <c r="E75" s="300"/>
      <c r="F75" s="300"/>
      <c r="G75" s="300"/>
      <c r="H75" s="300"/>
      <c r="I75" s="300"/>
      <c r="J75" s="300"/>
      <c r="K75" s="300"/>
      <c r="L75" s="300"/>
      <c r="M75" s="300"/>
      <c r="N75" s="300"/>
      <c r="O75" s="300"/>
      <c r="P75" s="300"/>
      <c r="Q75" s="300"/>
      <c r="R75" s="300"/>
      <c r="S75" s="398"/>
      <c r="T75" s="300"/>
      <c r="U75" s="300"/>
      <c r="V75" s="300"/>
      <c r="W75" s="300"/>
      <c r="X75" s="396"/>
      <c r="Y75" s="300"/>
      <c r="Z75" s="300"/>
      <c r="AA75" s="300"/>
      <c r="AB75" s="300"/>
      <c r="AC75" s="300"/>
      <c r="AD75" s="300"/>
      <c r="AE75" s="300"/>
      <c r="AF75" s="300"/>
      <c r="AG75" s="300"/>
      <c r="AH75" s="300"/>
      <c r="AI75" s="300"/>
      <c r="AJ75" s="300"/>
      <c r="AK75" s="300"/>
      <c r="AL75" s="300"/>
      <c r="AM75" s="300"/>
      <c r="AN75" s="300"/>
      <c r="AO75" s="398"/>
      <c r="AP75" s="300"/>
      <c r="AQ75" s="300"/>
      <c r="AR75" s="300"/>
      <c r="AS75" s="396"/>
      <c r="AT75" s="300"/>
      <c r="AU75" s="300"/>
      <c r="AV75" s="300"/>
      <c r="AW75" s="300"/>
      <c r="AX75" s="300"/>
      <c r="AY75" s="300"/>
      <c r="AZ75" s="300"/>
      <c r="BA75" s="300"/>
      <c r="BB75" s="300"/>
      <c r="BC75" s="300"/>
      <c r="BD75" s="300"/>
      <c r="BE75" s="300"/>
      <c r="BF75" s="300"/>
      <c r="BG75" s="300"/>
      <c r="BH75" s="300"/>
      <c r="BI75" s="300"/>
      <c r="BJ75" s="398"/>
      <c r="BK75" s="300"/>
      <c r="BL75" s="300"/>
      <c r="BM75" s="300"/>
      <c r="BN75" s="396"/>
      <c r="BO75" s="300"/>
      <c r="BP75" s="300"/>
      <c r="BQ75" s="300"/>
      <c r="BR75" s="300"/>
      <c r="BS75" s="300"/>
      <c r="BT75" s="300"/>
      <c r="BU75" s="300"/>
      <c r="BV75" s="300"/>
      <c r="BW75" s="300"/>
      <c r="BX75" s="300"/>
      <c r="BY75" s="300"/>
      <c r="BZ75" s="300"/>
      <c r="CA75" s="300"/>
      <c r="CB75" s="300"/>
      <c r="CC75" s="300"/>
      <c r="CD75" s="300"/>
      <c r="CE75" s="398"/>
      <c r="CF75" s="300"/>
      <c r="CG75" s="300"/>
      <c r="CH75" s="300"/>
      <c r="CI75" s="300"/>
      <c r="CJ75" s="396"/>
      <c r="CK75" s="300"/>
      <c r="CL75" s="376"/>
      <c r="CM75" s="10"/>
      <c r="CN75" s="10"/>
      <c r="CO75" s="10"/>
      <c r="CP75" s="10"/>
      <c r="CQ75" s="19"/>
      <c r="CR75" s="300"/>
      <c r="CS75" s="376"/>
      <c r="CT75" s="10"/>
      <c r="CU75" s="10"/>
      <c r="CV75" s="10"/>
      <c r="CW75" s="10"/>
      <c r="CX75" s="19"/>
      <c r="CY75" s="300"/>
      <c r="CZ75" s="300"/>
      <c r="DA75" s="398"/>
      <c r="DB75" s="300"/>
      <c r="DC75" s="300"/>
      <c r="DD75" s="300"/>
      <c r="DE75" s="300"/>
      <c r="DF75" s="396"/>
      <c r="DG75" s="300"/>
      <c r="DH75" s="394"/>
      <c r="DI75" s="52"/>
      <c r="DJ75" s="52"/>
      <c r="DK75" s="52"/>
      <c r="DL75" s="52"/>
      <c r="DM75" s="30"/>
      <c r="DN75" s="300"/>
      <c r="DO75" s="394"/>
      <c r="DP75" s="52"/>
      <c r="DQ75" s="52"/>
      <c r="DR75" s="52"/>
      <c r="DS75" s="52"/>
      <c r="DT75" s="30"/>
      <c r="DU75" s="300"/>
      <c r="DV75" s="300"/>
      <c r="DW75" s="398"/>
      <c r="DX75" s="300"/>
      <c r="DY75" s="300"/>
      <c r="DZ75" s="300"/>
      <c r="EA75" s="300"/>
      <c r="EB75" s="394"/>
      <c r="EC75" s="52"/>
      <c r="ED75" s="52"/>
      <c r="EE75" s="52"/>
      <c r="EF75" s="52"/>
      <c r="EG75" s="52"/>
      <c r="EH75" s="52"/>
      <c r="EI75" s="52"/>
      <c r="EJ75" s="52"/>
      <c r="EK75" s="52"/>
      <c r="EL75" s="52"/>
      <c r="EM75" s="52"/>
      <c r="EN75" s="52"/>
      <c r="EO75" s="52"/>
      <c r="EP75" s="52"/>
      <c r="EQ75" s="52"/>
      <c r="ER75" s="52"/>
      <c r="ES75" s="30"/>
      <c r="ET75" s="300"/>
      <c r="EU75" s="300"/>
      <c r="EV75" s="300"/>
      <c r="EW75" s="300"/>
      <c r="EX75" s="394"/>
      <c r="EY75" s="52"/>
      <c r="EZ75" s="52"/>
      <c r="FA75" s="52"/>
      <c r="FB75" s="52"/>
      <c r="FC75" s="52"/>
      <c r="FD75" s="52"/>
      <c r="FE75" s="52"/>
      <c r="FF75" s="52"/>
      <c r="FG75" s="52"/>
      <c r="FH75" s="52"/>
      <c r="FI75" s="52"/>
      <c r="FJ75" s="52"/>
      <c r="FK75" s="52"/>
      <c r="FL75" s="52"/>
      <c r="FM75" s="52"/>
      <c r="FN75" s="52"/>
      <c r="FO75" s="30"/>
      <c r="FP75" s="300"/>
      <c r="FQ75" s="300"/>
      <c r="FR75" s="300"/>
      <c r="FS75" s="300"/>
      <c r="FT75" s="394"/>
      <c r="FU75" s="52"/>
      <c r="FV75" s="52"/>
      <c r="FW75" s="52"/>
      <c r="FX75" s="52"/>
      <c r="FY75" s="52"/>
      <c r="FZ75" s="52"/>
      <c r="GA75" s="52"/>
      <c r="GB75" s="52"/>
      <c r="GC75" s="52"/>
      <c r="GD75" s="52"/>
      <c r="GE75" s="52"/>
      <c r="GF75" s="52"/>
      <c r="GG75" s="52"/>
      <c r="GH75" s="52"/>
      <c r="GI75" s="52"/>
      <c r="GJ75" s="52"/>
      <c r="GK75" s="30"/>
      <c r="GL75" s="300"/>
      <c r="GM75" s="300"/>
      <c r="GN75" s="300"/>
      <c r="GO75" s="300"/>
      <c r="GP75" s="394"/>
      <c r="GQ75" s="52"/>
      <c r="GR75" s="52"/>
      <c r="GS75" s="52"/>
      <c r="GT75" s="52"/>
      <c r="GU75" s="52"/>
      <c r="GV75" s="52"/>
      <c r="GW75" s="52"/>
      <c r="GX75" s="52"/>
      <c r="GY75" s="52"/>
      <c r="GZ75" s="52"/>
      <c r="HA75" s="52"/>
      <c r="HB75" s="52"/>
      <c r="HC75" s="52"/>
      <c r="HD75" s="52"/>
      <c r="HE75" s="52"/>
      <c r="HF75" s="52"/>
      <c r="HG75" s="30"/>
      <c r="HH75" s="300"/>
      <c r="HI75" s="300"/>
      <c r="HJ75" s="300"/>
      <c r="HK75" s="300"/>
      <c r="HL75" s="555" t="s">
        <v>552</v>
      </c>
      <c r="HM75" s="35"/>
      <c r="HN75" s="35"/>
      <c r="HO75" s="35"/>
      <c r="HP75" s="35"/>
      <c r="HQ75" s="35"/>
      <c r="HR75" s="35"/>
      <c r="HS75" s="35"/>
      <c r="HT75" s="35"/>
      <c r="HU75" s="35"/>
      <c r="HV75" s="35"/>
      <c r="HW75" s="35"/>
      <c r="HX75" s="35"/>
      <c r="HY75" s="35"/>
      <c r="HZ75" s="35"/>
      <c r="IA75" s="35"/>
      <c r="IB75" s="35"/>
      <c r="IC75" s="36"/>
    </row>
    <row r="76" ht="12.75" customHeight="1">
      <c r="A76" s="300"/>
      <c r="B76" s="396"/>
      <c r="C76" s="300"/>
      <c r="D76" s="300"/>
      <c r="E76" s="413" t="s">
        <v>553</v>
      </c>
      <c r="F76" s="305"/>
      <c r="G76" s="305"/>
      <c r="H76" s="305"/>
      <c r="I76" s="305"/>
      <c r="J76" s="305"/>
      <c r="K76" s="305"/>
      <c r="L76" s="305"/>
      <c r="M76" s="305"/>
      <c r="N76" s="305"/>
      <c r="O76" s="305"/>
      <c r="P76" s="306"/>
      <c r="Q76" s="300"/>
      <c r="R76" s="300"/>
      <c r="S76" s="398"/>
      <c r="T76" s="300"/>
      <c r="U76" s="300"/>
      <c r="V76" s="300"/>
      <c r="W76" s="300"/>
      <c r="X76" s="396"/>
      <c r="Y76" s="300"/>
      <c r="Z76" s="300"/>
      <c r="AA76" s="413" t="s">
        <v>553</v>
      </c>
      <c r="AB76" s="305"/>
      <c r="AC76" s="305"/>
      <c r="AD76" s="305"/>
      <c r="AE76" s="305"/>
      <c r="AF76" s="305"/>
      <c r="AG76" s="305"/>
      <c r="AH76" s="305"/>
      <c r="AI76" s="305"/>
      <c r="AJ76" s="305"/>
      <c r="AK76" s="305"/>
      <c r="AL76" s="306"/>
      <c r="AM76" s="300"/>
      <c r="AN76" s="300"/>
      <c r="AO76" s="398"/>
      <c r="AP76" s="300"/>
      <c r="AQ76" s="300"/>
      <c r="AR76" s="300"/>
      <c r="AS76" s="396"/>
      <c r="AT76" s="300"/>
      <c r="AU76" s="300"/>
      <c r="AV76" s="413" t="s">
        <v>553</v>
      </c>
      <c r="AW76" s="305"/>
      <c r="AX76" s="305"/>
      <c r="AY76" s="305"/>
      <c r="AZ76" s="305"/>
      <c r="BA76" s="305"/>
      <c r="BB76" s="305"/>
      <c r="BC76" s="305"/>
      <c r="BD76" s="305"/>
      <c r="BE76" s="305"/>
      <c r="BF76" s="305"/>
      <c r="BG76" s="306"/>
      <c r="BH76" s="300"/>
      <c r="BI76" s="300"/>
      <c r="BJ76" s="398"/>
      <c r="BK76" s="300"/>
      <c r="BL76" s="300"/>
      <c r="BM76" s="300"/>
      <c r="BN76" s="396"/>
      <c r="BO76" s="300"/>
      <c r="BP76" s="300"/>
      <c r="BQ76" s="413" t="s">
        <v>553</v>
      </c>
      <c r="BR76" s="305"/>
      <c r="BS76" s="305"/>
      <c r="BT76" s="305"/>
      <c r="BU76" s="305"/>
      <c r="BV76" s="305"/>
      <c r="BW76" s="305"/>
      <c r="BX76" s="305"/>
      <c r="BY76" s="305"/>
      <c r="BZ76" s="305"/>
      <c r="CA76" s="305"/>
      <c r="CB76" s="306"/>
      <c r="CC76" s="300"/>
      <c r="CD76" s="300"/>
      <c r="CE76" s="398"/>
      <c r="CF76" s="300"/>
      <c r="CG76" s="300"/>
      <c r="CH76" s="300"/>
      <c r="CI76" s="300"/>
      <c r="CJ76" s="396"/>
      <c r="CK76" s="300"/>
      <c r="CL76" s="394"/>
      <c r="CM76" s="52"/>
      <c r="CN76" s="52"/>
      <c r="CO76" s="52"/>
      <c r="CP76" s="52"/>
      <c r="CQ76" s="30"/>
      <c r="CR76" s="300"/>
      <c r="CS76" s="394"/>
      <c r="CT76" s="52"/>
      <c r="CU76" s="52"/>
      <c r="CV76" s="52"/>
      <c r="CW76" s="52"/>
      <c r="CX76" s="30"/>
      <c r="CY76" s="300"/>
      <c r="CZ76" s="300"/>
      <c r="DA76" s="398"/>
      <c r="DB76" s="300"/>
      <c r="DC76" s="300"/>
      <c r="DD76" s="300"/>
      <c r="DE76" s="300"/>
      <c r="DF76" s="396"/>
      <c r="DG76" s="300"/>
      <c r="DH76" s="300"/>
      <c r="DI76" s="300"/>
      <c r="DJ76" s="300"/>
      <c r="DK76" s="300"/>
      <c r="DL76" s="300"/>
      <c r="DM76" s="300"/>
      <c r="DN76" s="300"/>
      <c r="DO76" s="300"/>
      <c r="DP76" s="300"/>
      <c r="DQ76" s="300"/>
      <c r="DR76" s="300"/>
      <c r="DS76" s="300"/>
      <c r="DT76" s="300"/>
      <c r="DU76" s="300"/>
      <c r="DV76" s="300"/>
      <c r="DW76" s="398"/>
      <c r="DX76" s="300"/>
      <c r="DY76" s="300"/>
      <c r="DZ76" s="300"/>
      <c r="EA76" s="300"/>
      <c r="EB76" s="376"/>
      <c r="EC76" s="378"/>
      <c r="ED76" s="378"/>
      <c r="EE76" s="378"/>
      <c r="EF76" s="378"/>
      <c r="EG76" s="378"/>
      <c r="EH76" s="378"/>
      <c r="EI76" s="378"/>
      <c r="EJ76" s="378"/>
      <c r="EK76" s="378"/>
      <c r="EL76" s="378"/>
      <c r="EM76" s="378"/>
      <c r="EN76" s="378"/>
      <c r="EO76" s="378"/>
      <c r="EP76" s="378"/>
      <c r="EQ76" s="378"/>
      <c r="ER76" s="378"/>
      <c r="ES76" s="380"/>
      <c r="ET76" s="300"/>
      <c r="EU76" s="300"/>
      <c r="EV76" s="300"/>
      <c r="EW76" s="300"/>
      <c r="EX76" s="376"/>
      <c r="EY76" s="378"/>
      <c r="EZ76" s="378"/>
      <c r="FA76" s="378"/>
      <c r="FB76" s="378"/>
      <c r="FC76" s="378"/>
      <c r="FD76" s="378"/>
      <c r="FE76" s="378"/>
      <c r="FF76" s="378"/>
      <c r="FG76" s="378"/>
      <c r="FH76" s="378"/>
      <c r="FI76" s="378"/>
      <c r="FJ76" s="378"/>
      <c r="FK76" s="378"/>
      <c r="FL76" s="378"/>
      <c r="FM76" s="378"/>
      <c r="FN76" s="378"/>
      <c r="FO76" s="380"/>
      <c r="FP76" s="300"/>
      <c r="FQ76" s="300"/>
      <c r="FR76" s="300"/>
      <c r="FS76" s="300"/>
      <c r="FT76" s="376"/>
      <c r="FU76" s="378"/>
      <c r="FV76" s="378"/>
      <c r="FW76" s="378"/>
      <c r="FX76" s="378"/>
      <c r="FY76" s="378"/>
      <c r="FZ76" s="378"/>
      <c r="GA76" s="378"/>
      <c r="GB76" s="378"/>
      <c r="GC76" s="378"/>
      <c r="GD76" s="378"/>
      <c r="GE76" s="378"/>
      <c r="GF76" s="378"/>
      <c r="GG76" s="378"/>
      <c r="GH76" s="378"/>
      <c r="GI76" s="378"/>
      <c r="GJ76" s="378"/>
      <c r="GK76" s="380"/>
      <c r="GL76" s="300"/>
      <c r="GM76" s="300"/>
      <c r="GN76" s="300"/>
      <c r="GO76" s="300"/>
      <c r="GP76" s="376"/>
      <c r="GQ76" s="378"/>
      <c r="GR76" s="378"/>
      <c r="GS76" s="378"/>
      <c r="GT76" s="378"/>
      <c r="GU76" s="378"/>
      <c r="GV76" s="378"/>
      <c r="GW76" s="378"/>
      <c r="GX76" s="378"/>
      <c r="GY76" s="378"/>
      <c r="GZ76" s="378"/>
      <c r="HA76" s="378"/>
      <c r="HB76" s="378"/>
      <c r="HC76" s="378"/>
      <c r="HD76" s="378"/>
      <c r="HE76" s="378"/>
      <c r="HF76" s="378"/>
      <c r="HG76" s="380"/>
      <c r="HH76" s="300"/>
      <c r="HI76" s="300"/>
      <c r="HJ76" s="300"/>
      <c r="HK76" s="300"/>
      <c r="HL76" s="376"/>
      <c r="HM76" s="378"/>
      <c r="HN76" s="378"/>
      <c r="HO76" s="378"/>
      <c r="HP76" s="378"/>
      <c r="HQ76" s="378"/>
      <c r="HR76" s="378"/>
      <c r="HS76" s="378"/>
      <c r="HT76" s="378"/>
      <c r="HU76" s="378"/>
      <c r="HV76" s="378"/>
      <c r="HW76" s="378"/>
      <c r="HX76" s="378"/>
      <c r="HY76" s="378"/>
      <c r="HZ76" s="378"/>
      <c r="IA76" s="378"/>
      <c r="IB76" s="378"/>
      <c r="IC76" s="380"/>
    </row>
    <row r="77" ht="12.75" customHeight="1">
      <c r="A77" s="300"/>
      <c r="B77" s="396"/>
      <c r="C77" s="300"/>
      <c r="D77" s="300"/>
      <c r="E77" s="331"/>
      <c r="F77" s="332"/>
      <c r="G77" s="332"/>
      <c r="H77" s="332"/>
      <c r="I77" s="332"/>
      <c r="J77" s="332"/>
      <c r="K77" s="332"/>
      <c r="L77" s="332"/>
      <c r="M77" s="332"/>
      <c r="N77" s="332"/>
      <c r="O77" s="332"/>
      <c r="P77" s="333"/>
      <c r="Q77" s="300"/>
      <c r="R77" s="300"/>
      <c r="S77" s="398"/>
      <c r="T77" s="300"/>
      <c r="U77" s="300"/>
      <c r="V77" s="300"/>
      <c r="W77" s="300"/>
      <c r="X77" s="396"/>
      <c r="Y77" s="300"/>
      <c r="Z77" s="300"/>
      <c r="AA77" s="331"/>
      <c r="AB77" s="332"/>
      <c r="AC77" s="332"/>
      <c r="AD77" s="332"/>
      <c r="AE77" s="332"/>
      <c r="AF77" s="332"/>
      <c r="AG77" s="332"/>
      <c r="AH77" s="332"/>
      <c r="AI77" s="332"/>
      <c r="AJ77" s="332"/>
      <c r="AK77" s="332"/>
      <c r="AL77" s="333"/>
      <c r="AM77" s="300"/>
      <c r="AN77" s="300"/>
      <c r="AO77" s="398"/>
      <c r="AP77" s="300"/>
      <c r="AQ77" s="300"/>
      <c r="AR77" s="300"/>
      <c r="AS77" s="396"/>
      <c r="AT77" s="300"/>
      <c r="AU77" s="300"/>
      <c r="AV77" s="331"/>
      <c r="AW77" s="332"/>
      <c r="AX77" s="332"/>
      <c r="AY77" s="332"/>
      <c r="AZ77" s="332"/>
      <c r="BA77" s="332"/>
      <c r="BB77" s="332"/>
      <c r="BC77" s="332"/>
      <c r="BD77" s="332"/>
      <c r="BE77" s="332"/>
      <c r="BF77" s="332"/>
      <c r="BG77" s="333"/>
      <c r="BH77" s="300"/>
      <c r="BI77" s="300"/>
      <c r="BJ77" s="398"/>
      <c r="BK77" s="300"/>
      <c r="BL77" s="300"/>
      <c r="BM77" s="300"/>
      <c r="BN77" s="396"/>
      <c r="BO77" s="300"/>
      <c r="BP77" s="300"/>
      <c r="BQ77" s="331"/>
      <c r="BR77" s="332"/>
      <c r="BS77" s="332"/>
      <c r="BT77" s="332"/>
      <c r="BU77" s="332"/>
      <c r="BV77" s="332"/>
      <c r="BW77" s="332"/>
      <c r="BX77" s="332"/>
      <c r="BY77" s="332"/>
      <c r="BZ77" s="332"/>
      <c r="CA77" s="332"/>
      <c r="CB77" s="333"/>
      <c r="CC77" s="300"/>
      <c r="CD77" s="300"/>
      <c r="CE77" s="398"/>
      <c r="CF77" s="300"/>
      <c r="CG77" s="300"/>
      <c r="CH77" s="300"/>
      <c r="CI77" s="300"/>
      <c r="CJ77" s="300"/>
      <c r="CK77" s="300"/>
      <c r="CL77" s="300"/>
      <c r="CM77" s="300"/>
      <c r="CN77" s="300"/>
      <c r="CO77" s="300"/>
      <c r="CP77" s="300"/>
      <c r="CQ77" s="300"/>
      <c r="CR77" s="300"/>
      <c r="CS77" s="300"/>
      <c r="CT77" s="300"/>
      <c r="CU77" s="300"/>
      <c r="CV77" s="300"/>
      <c r="CW77" s="300"/>
      <c r="CX77" s="300"/>
      <c r="CY77" s="300"/>
      <c r="CZ77" s="300"/>
      <c r="DA77" s="300"/>
      <c r="DB77" s="300"/>
      <c r="DC77" s="300"/>
      <c r="DD77" s="300"/>
      <c r="DE77" s="300"/>
      <c r="DF77" s="396"/>
      <c r="DG77" s="300"/>
      <c r="DH77" s="420" t="s">
        <v>516</v>
      </c>
      <c r="DI77" s="300"/>
      <c r="DJ77" s="300"/>
      <c r="DK77" s="300"/>
      <c r="DL77" s="300"/>
      <c r="DM77" s="300"/>
      <c r="DN77" s="300"/>
      <c r="DO77" s="420" t="s">
        <v>517</v>
      </c>
      <c r="DP77" s="300"/>
      <c r="DQ77" s="300"/>
      <c r="DR77" s="300"/>
      <c r="DS77" s="300"/>
      <c r="DT77" s="300"/>
      <c r="DU77" s="300"/>
      <c r="DV77" s="300"/>
      <c r="DW77" s="398"/>
      <c r="DX77" s="300"/>
      <c r="DY77" s="300"/>
      <c r="DZ77" s="300"/>
      <c r="EA77" s="300"/>
      <c r="EB77" s="556"/>
      <c r="EC77" s="557"/>
      <c r="ED77" s="19"/>
      <c r="EE77" s="300"/>
      <c r="EF77" s="558"/>
      <c r="EG77" s="19"/>
      <c r="EH77" s="300"/>
      <c r="EI77" s="559"/>
      <c r="EJ77" s="19"/>
      <c r="EK77" s="300"/>
      <c r="EL77" s="560"/>
      <c r="EM77" s="19"/>
      <c r="EN77" s="300"/>
      <c r="EO77" s="561"/>
      <c r="EP77" s="19"/>
      <c r="EQ77" s="300"/>
      <c r="ER77" s="562"/>
      <c r="ES77" s="19"/>
      <c r="ET77" s="300"/>
      <c r="EU77" s="300"/>
      <c r="EV77" s="300"/>
      <c r="EW77" s="300"/>
      <c r="EX77" s="396"/>
      <c r="EY77" s="498" t="s">
        <v>554</v>
      </c>
      <c r="EZ77" s="10"/>
      <c r="FA77" s="19"/>
      <c r="FB77" s="300"/>
      <c r="FC77" s="498" t="s">
        <v>555</v>
      </c>
      <c r="FD77" s="10"/>
      <c r="FE77" s="19"/>
      <c r="FF77" s="395"/>
      <c r="FG77" s="498" t="s">
        <v>556</v>
      </c>
      <c r="FH77" s="10"/>
      <c r="FI77" s="19"/>
      <c r="FJ77" s="300"/>
      <c r="FK77" s="391" t="s">
        <v>557</v>
      </c>
      <c r="FL77" s="10"/>
      <c r="FM77" s="19"/>
      <c r="FN77" s="300"/>
      <c r="FO77" s="563"/>
      <c r="FP77" s="300"/>
      <c r="FQ77" s="300"/>
      <c r="FR77" s="300"/>
      <c r="FS77" s="300"/>
      <c r="FT77" s="396"/>
      <c r="FU77" s="498" t="s">
        <v>558</v>
      </c>
      <c r="FV77" s="10"/>
      <c r="FW77" s="19"/>
      <c r="FX77" s="300"/>
      <c r="FY77" s="498" t="s">
        <v>559</v>
      </c>
      <c r="FZ77" s="10"/>
      <c r="GA77" s="19"/>
      <c r="GB77" s="395"/>
      <c r="GC77" s="498" t="s">
        <v>560</v>
      </c>
      <c r="GD77" s="10"/>
      <c r="GE77" s="19"/>
      <c r="GF77" s="300"/>
      <c r="GG77" s="498" t="s">
        <v>561</v>
      </c>
      <c r="GH77" s="10"/>
      <c r="GI77" s="19"/>
      <c r="GJ77" s="300"/>
      <c r="GK77" s="563"/>
      <c r="GL77" s="300"/>
      <c r="GM77" s="300"/>
      <c r="GN77" s="300"/>
      <c r="GO77" s="300"/>
      <c r="GP77" s="396"/>
      <c r="GQ77" s="391"/>
      <c r="GR77" s="10"/>
      <c r="GS77" s="10"/>
      <c r="GT77" s="19"/>
      <c r="GU77" s="395"/>
      <c r="GV77" s="300"/>
      <c r="GW77" s="391"/>
      <c r="GX77" s="10"/>
      <c r="GY77" s="10"/>
      <c r="GZ77" s="19"/>
      <c r="HA77" s="395"/>
      <c r="HB77" s="300"/>
      <c r="HC77" s="564"/>
      <c r="HD77" s="10"/>
      <c r="HE77" s="10"/>
      <c r="HF77" s="19"/>
      <c r="HG77" s="479"/>
      <c r="HH77" s="300"/>
      <c r="HI77" s="300"/>
      <c r="HJ77" s="300"/>
      <c r="HK77" s="300"/>
      <c r="HL77" s="396"/>
      <c r="HM77" s="565" t="s">
        <v>556</v>
      </c>
      <c r="HN77" s="10"/>
      <c r="HO77" s="19"/>
      <c r="HP77" s="300"/>
      <c r="HQ77" s="498" t="s">
        <v>562</v>
      </c>
      <c r="HR77" s="10"/>
      <c r="HS77" s="19"/>
      <c r="HT77" s="395"/>
      <c r="HU77" s="498" t="s">
        <v>563</v>
      </c>
      <c r="HV77" s="10"/>
      <c r="HW77" s="19"/>
      <c r="HX77" s="300"/>
      <c r="HY77" s="391" t="s">
        <v>564</v>
      </c>
      <c r="HZ77" s="10"/>
      <c r="IA77" s="19"/>
      <c r="IB77" s="300"/>
      <c r="IC77" s="563"/>
    </row>
    <row r="78" ht="12.75" customHeight="1">
      <c r="A78" s="300"/>
      <c r="B78" s="396"/>
      <c r="C78" s="300"/>
      <c r="D78" s="300"/>
      <c r="E78" s="300"/>
      <c r="F78" s="300"/>
      <c r="G78" s="300"/>
      <c r="H78" s="300"/>
      <c r="I78" s="300"/>
      <c r="J78" s="300"/>
      <c r="K78" s="300"/>
      <c r="L78" s="300"/>
      <c r="M78" s="300"/>
      <c r="N78" s="300"/>
      <c r="O78" s="300"/>
      <c r="P78" s="300"/>
      <c r="Q78" s="300"/>
      <c r="R78" s="300"/>
      <c r="S78" s="398"/>
      <c r="T78" s="300"/>
      <c r="U78" s="300"/>
      <c r="V78" s="300"/>
      <c r="W78" s="300"/>
      <c r="X78" s="396"/>
      <c r="Y78" s="300"/>
      <c r="Z78" s="300"/>
      <c r="AA78" s="300"/>
      <c r="AB78" s="300"/>
      <c r="AC78" s="300"/>
      <c r="AD78" s="300"/>
      <c r="AE78" s="300"/>
      <c r="AF78" s="300"/>
      <c r="AG78" s="300"/>
      <c r="AH78" s="300"/>
      <c r="AI78" s="300"/>
      <c r="AJ78" s="300"/>
      <c r="AK78" s="300"/>
      <c r="AL78" s="300"/>
      <c r="AM78" s="300"/>
      <c r="AN78" s="300"/>
      <c r="AO78" s="398"/>
      <c r="AP78" s="300"/>
      <c r="AQ78" s="300"/>
      <c r="AR78" s="300"/>
      <c r="AS78" s="396"/>
      <c r="AT78" s="300"/>
      <c r="AU78" s="300"/>
      <c r="AV78" s="300"/>
      <c r="AW78" s="300"/>
      <c r="AX78" s="300"/>
      <c r="AY78" s="300"/>
      <c r="AZ78" s="300"/>
      <c r="BA78" s="300"/>
      <c r="BB78" s="300"/>
      <c r="BC78" s="300"/>
      <c r="BD78" s="300"/>
      <c r="BE78" s="300"/>
      <c r="BF78" s="300"/>
      <c r="BG78" s="300"/>
      <c r="BH78" s="300"/>
      <c r="BI78" s="300"/>
      <c r="BJ78" s="398"/>
      <c r="BK78" s="300"/>
      <c r="BL78" s="300"/>
      <c r="BM78" s="300"/>
      <c r="BN78" s="396"/>
      <c r="BO78" s="300"/>
      <c r="BP78" s="300"/>
      <c r="BQ78" s="300"/>
      <c r="BR78" s="300"/>
      <c r="BS78" s="300"/>
      <c r="BT78" s="300"/>
      <c r="BU78" s="300"/>
      <c r="BV78" s="300"/>
      <c r="BW78" s="300"/>
      <c r="BX78" s="300"/>
      <c r="BY78" s="300"/>
      <c r="BZ78" s="300"/>
      <c r="CA78" s="300"/>
      <c r="CB78" s="300"/>
      <c r="CC78" s="300"/>
      <c r="CD78" s="300"/>
      <c r="CE78" s="398"/>
      <c r="CF78" s="300"/>
      <c r="CG78" s="300"/>
      <c r="CH78" s="300"/>
      <c r="CI78" s="300"/>
      <c r="CJ78" s="300"/>
      <c r="CK78" s="300"/>
      <c r="CL78" s="300"/>
      <c r="CM78" s="300"/>
      <c r="CN78" s="300"/>
      <c r="CO78" s="300"/>
      <c r="CP78" s="300"/>
      <c r="CQ78" s="300"/>
      <c r="CR78" s="300"/>
      <c r="CS78" s="300"/>
      <c r="CT78" s="300"/>
      <c r="CU78" s="300"/>
      <c r="CV78" s="300"/>
      <c r="CW78" s="300"/>
      <c r="CX78" s="300"/>
      <c r="CY78" s="300"/>
      <c r="CZ78" s="300"/>
      <c r="DA78" s="300"/>
      <c r="DB78" s="300"/>
      <c r="DC78" s="300"/>
      <c r="DD78" s="300"/>
      <c r="DE78" s="300"/>
      <c r="DF78" s="396"/>
      <c r="DG78" s="300"/>
      <c r="DH78" s="376"/>
      <c r="DI78" s="10"/>
      <c r="DJ78" s="10"/>
      <c r="DK78" s="10"/>
      <c r="DL78" s="10"/>
      <c r="DM78" s="19"/>
      <c r="DN78" s="300"/>
      <c r="DO78" s="376"/>
      <c r="DP78" s="10"/>
      <c r="DQ78" s="10"/>
      <c r="DR78" s="10"/>
      <c r="DS78" s="10"/>
      <c r="DT78" s="19"/>
      <c r="DU78" s="300"/>
      <c r="DV78" s="300"/>
      <c r="DW78" s="398"/>
      <c r="DX78" s="300"/>
      <c r="DY78" s="300"/>
      <c r="DZ78" s="300"/>
      <c r="EA78" s="300"/>
      <c r="EB78" s="396"/>
      <c r="EC78" s="394"/>
      <c r="ED78" s="30"/>
      <c r="EE78" s="300"/>
      <c r="EF78" s="394"/>
      <c r="EG78" s="30"/>
      <c r="EH78" s="300"/>
      <c r="EI78" s="394"/>
      <c r="EJ78" s="30"/>
      <c r="EK78" s="300"/>
      <c r="EL78" s="394"/>
      <c r="EM78" s="30"/>
      <c r="EN78" s="300"/>
      <c r="EO78" s="394"/>
      <c r="EP78" s="30"/>
      <c r="EQ78" s="300"/>
      <c r="ER78" s="394"/>
      <c r="ES78" s="30"/>
      <c r="ET78" s="300"/>
      <c r="EU78" s="300"/>
      <c r="EV78" s="300"/>
      <c r="EW78" s="300"/>
      <c r="EX78" s="396"/>
      <c r="EY78" s="394"/>
      <c r="EZ78" s="52"/>
      <c r="FA78" s="30"/>
      <c r="FB78" s="395"/>
      <c r="FC78" s="394"/>
      <c r="FD78" s="52"/>
      <c r="FE78" s="30"/>
      <c r="FF78" s="395"/>
      <c r="FG78" s="394"/>
      <c r="FH78" s="52"/>
      <c r="FI78" s="30"/>
      <c r="FJ78" s="300"/>
      <c r="FK78" s="394"/>
      <c r="FL78" s="52"/>
      <c r="FM78" s="30"/>
      <c r="FN78" s="395"/>
      <c r="FO78" s="566"/>
      <c r="FP78" s="300"/>
      <c r="FQ78" s="300"/>
      <c r="FR78" s="300"/>
      <c r="FS78" s="300"/>
      <c r="FT78" s="396"/>
      <c r="FU78" s="394"/>
      <c r="FV78" s="52"/>
      <c r="FW78" s="30"/>
      <c r="FX78" s="395"/>
      <c r="FY78" s="394"/>
      <c r="FZ78" s="52"/>
      <c r="GA78" s="30"/>
      <c r="GB78" s="395"/>
      <c r="GC78" s="394"/>
      <c r="GD78" s="52"/>
      <c r="GE78" s="30"/>
      <c r="GF78" s="300"/>
      <c r="GG78" s="394"/>
      <c r="GH78" s="52"/>
      <c r="GI78" s="30"/>
      <c r="GJ78" s="395"/>
      <c r="GK78" s="566"/>
      <c r="GL78" s="300"/>
      <c r="GM78" s="300"/>
      <c r="GN78" s="300"/>
      <c r="GO78" s="300"/>
      <c r="GP78" s="396"/>
      <c r="GQ78" s="394"/>
      <c r="GR78" s="52"/>
      <c r="GS78" s="52"/>
      <c r="GT78" s="30"/>
      <c r="GU78" s="395"/>
      <c r="GV78" s="300"/>
      <c r="GW78" s="394"/>
      <c r="GX78" s="52"/>
      <c r="GY78" s="52"/>
      <c r="GZ78" s="30"/>
      <c r="HA78" s="395"/>
      <c r="HB78" s="300"/>
      <c r="HC78" s="394"/>
      <c r="HD78" s="52"/>
      <c r="HE78" s="52"/>
      <c r="HF78" s="30"/>
      <c r="HG78" s="479"/>
      <c r="HH78" s="300"/>
      <c r="HI78" s="300"/>
      <c r="HJ78" s="300"/>
      <c r="HK78" s="300"/>
      <c r="HL78" s="396"/>
      <c r="HM78" s="394"/>
      <c r="HN78" s="52"/>
      <c r="HO78" s="30"/>
      <c r="HP78" s="395"/>
      <c r="HQ78" s="394"/>
      <c r="HR78" s="52"/>
      <c r="HS78" s="30"/>
      <c r="HT78" s="395"/>
      <c r="HU78" s="394"/>
      <c r="HV78" s="52"/>
      <c r="HW78" s="30"/>
      <c r="HX78" s="300"/>
      <c r="HY78" s="394"/>
      <c r="HZ78" s="52"/>
      <c r="IA78" s="30"/>
      <c r="IB78" s="395"/>
      <c r="IC78" s="566"/>
    </row>
    <row r="79" ht="12.75" customHeight="1">
      <c r="A79" s="300"/>
      <c r="B79" s="396"/>
      <c r="C79" s="300"/>
      <c r="D79" s="300"/>
      <c r="E79" s="485" t="s">
        <v>444</v>
      </c>
      <c r="F79" s="305"/>
      <c r="G79" s="305"/>
      <c r="H79" s="305"/>
      <c r="I79" s="306"/>
      <c r="J79" s="300"/>
      <c r="K79" s="300"/>
      <c r="L79" s="485" t="s">
        <v>446</v>
      </c>
      <c r="M79" s="305"/>
      <c r="N79" s="305"/>
      <c r="O79" s="305"/>
      <c r="P79" s="306"/>
      <c r="Q79" s="300"/>
      <c r="R79" s="300"/>
      <c r="S79" s="398"/>
      <c r="T79" s="300"/>
      <c r="U79" s="300"/>
      <c r="V79" s="300"/>
      <c r="W79" s="300"/>
      <c r="X79" s="396"/>
      <c r="Y79" s="300"/>
      <c r="Z79" s="300"/>
      <c r="AA79" s="485" t="s">
        <v>444</v>
      </c>
      <c r="AB79" s="305"/>
      <c r="AC79" s="305"/>
      <c r="AD79" s="305"/>
      <c r="AE79" s="306"/>
      <c r="AF79" s="300"/>
      <c r="AG79" s="300"/>
      <c r="AH79" s="485" t="s">
        <v>446</v>
      </c>
      <c r="AI79" s="305"/>
      <c r="AJ79" s="305"/>
      <c r="AK79" s="305"/>
      <c r="AL79" s="306"/>
      <c r="AM79" s="300"/>
      <c r="AN79" s="300"/>
      <c r="AO79" s="398"/>
      <c r="AP79" s="300"/>
      <c r="AQ79" s="300"/>
      <c r="AR79" s="300"/>
      <c r="AS79" s="396"/>
      <c r="AT79" s="300"/>
      <c r="AU79" s="300"/>
      <c r="AV79" s="485" t="s">
        <v>444</v>
      </c>
      <c r="AW79" s="305"/>
      <c r="AX79" s="305"/>
      <c r="AY79" s="305"/>
      <c r="AZ79" s="306"/>
      <c r="BA79" s="300"/>
      <c r="BB79" s="300"/>
      <c r="BC79" s="485" t="s">
        <v>446</v>
      </c>
      <c r="BD79" s="305"/>
      <c r="BE79" s="305"/>
      <c r="BF79" s="305"/>
      <c r="BG79" s="306"/>
      <c r="BH79" s="300"/>
      <c r="BI79" s="300"/>
      <c r="BJ79" s="398"/>
      <c r="BK79" s="300"/>
      <c r="BL79" s="300"/>
      <c r="BM79" s="300"/>
      <c r="BN79" s="396"/>
      <c r="BO79" s="300"/>
      <c r="BP79" s="300"/>
      <c r="BQ79" s="485" t="s">
        <v>444</v>
      </c>
      <c r="BR79" s="305"/>
      <c r="BS79" s="305"/>
      <c r="BT79" s="305"/>
      <c r="BU79" s="306"/>
      <c r="BV79" s="300"/>
      <c r="BW79" s="300"/>
      <c r="BX79" s="485" t="s">
        <v>446</v>
      </c>
      <c r="BY79" s="305"/>
      <c r="BZ79" s="305"/>
      <c r="CA79" s="305"/>
      <c r="CB79" s="306"/>
      <c r="CC79" s="300"/>
      <c r="CD79" s="300"/>
      <c r="CE79" s="398"/>
      <c r="CF79" s="300"/>
      <c r="CG79" s="300"/>
      <c r="CH79" s="300"/>
      <c r="CI79" s="300"/>
      <c r="CJ79" s="300"/>
      <c r="CK79" s="300"/>
      <c r="CL79" s="300"/>
      <c r="CM79" s="300"/>
      <c r="CN79" s="300"/>
      <c r="CO79" s="300"/>
      <c r="CP79" s="300"/>
      <c r="CQ79" s="300"/>
      <c r="CR79" s="300"/>
      <c r="CS79" s="300"/>
      <c r="CT79" s="300"/>
      <c r="CU79" s="300"/>
      <c r="CV79" s="300"/>
      <c r="CW79" s="300"/>
      <c r="CX79" s="300"/>
      <c r="CY79" s="300"/>
      <c r="CZ79" s="300"/>
      <c r="DA79" s="300"/>
      <c r="DB79" s="300"/>
      <c r="DC79" s="300"/>
      <c r="DD79" s="300"/>
      <c r="DE79" s="300"/>
      <c r="DF79" s="396"/>
      <c r="DG79" s="300"/>
      <c r="DH79" s="394"/>
      <c r="DI79" s="52"/>
      <c r="DJ79" s="52"/>
      <c r="DK79" s="52"/>
      <c r="DL79" s="52"/>
      <c r="DM79" s="30"/>
      <c r="DN79" s="300"/>
      <c r="DO79" s="394"/>
      <c r="DP79" s="52"/>
      <c r="DQ79" s="52"/>
      <c r="DR79" s="52"/>
      <c r="DS79" s="52"/>
      <c r="DT79" s="30"/>
      <c r="DU79" s="300"/>
      <c r="DV79" s="300"/>
      <c r="DW79" s="398"/>
      <c r="DX79" s="300"/>
      <c r="DY79" s="300"/>
      <c r="DZ79" s="300"/>
      <c r="EA79" s="300"/>
      <c r="EB79" s="385"/>
      <c r="EC79" s="387"/>
      <c r="ED79" s="387"/>
      <c r="EE79" s="387"/>
      <c r="EF79" s="387"/>
      <c r="EG79" s="387"/>
      <c r="EH79" s="387"/>
      <c r="EI79" s="387"/>
      <c r="EJ79" s="387"/>
      <c r="EK79" s="387"/>
      <c r="EL79" s="387"/>
      <c r="EM79" s="387"/>
      <c r="EN79" s="387"/>
      <c r="EO79" s="387"/>
      <c r="EP79" s="387"/>
      <c r="EQ79" s="387"/>
      <c r="ER79" s="387"/>
      <c r="ES79" s="389"/>
      <c r="ET79" s="300"/>
      <c r="EU79" s="300"/>
      <c r="EV79" s="300"/>
      <c r="EW79" s="300"/>
      <c r="EX79" s="385"/>
      <c r="EY79" s="387"/>
      <c r="EZ79" s="387"/>
      <c r="FA79" s="387"/>
      <c r="FB79" s="387"/>
      <c r="FC79" s="387"/>
      <c r="FD79" s="387"/>
      <c r="FE79" s="387"/>
      <c r="FF79" s="387"/>
      <c r="FG79" s="387"/>
      <c r="FH79" s="387"/>
      <c r="FI79" s="387"/>
      <c r="FJ79" s="387"/>
      <c r="FK79" s="387"/>
      <c r="FL79" s="387"/>
      <c r="FM79" s="387"/>
      <c r="FN79" s="387"/>
      <c r="FO79" s="389"/>
      <c r="FP79" s="300"/>
      <c r="FQ79" s="300"/>
      <c r="FR79" s="300"/>
      <c r="FS79" s="300"/>
      <c r="FT79" s="385"/>
      <c r="FU79" s="387"/>
      <c r="FV79" s="387"/>
      <c r="FW79" s="387"/>
      <c r="FX79" s="387"/>
      <c r="FY79" s="387"/>
      <c r="FZ79" s="387"/>
      <c r="GA79" s="387"/>
      <c r="GB79" s="387"/>
      <c r="GC79" s="387"/>
      <c r="GD79" s="387"/>
      <c r="GE79" s="387"/>
      <c r="GF79" s="387"/>
      <c r="GG79" s="387"/>
      <c r="GH79" s="387"/>
      <c r="GI79" s="387"/>
      <c r="GJ79" s="387"/>
      <c r="GK79" s="389"/>
      <c r="GL79" s="300"/>
      <c r="GM79" s="300"/>
      <c r="GN79" s="300"/>
      <c r="GO79" s="300"/>
      <c r="GP79" s="385"/>
      <c r="GQ79" s="387"/>
      <c r="GR79" s="387"/>
      <c r="GS79" s="387"/>
      <c r="GT79" s="387"/>
      <c r="GU79" s="387"/>
      <c r="GV79" s="387"/>
      <c r="GW79" s="387"/>
      <c r="GX79" s="387"/>
      <c r="GY79" s="387"/>
      <c r="GZ79" s="387"/>
      <c r="HA79" s="387"/>
      <c r="HB79" s="387"/>
      <c r="HC79" s="387"/>
      <c r="HD79" s="387"/>
      <c r="HE79" s="387"/>
      <c r="HF79" s="387"/>
      <c r="HG79" s="389"/>
      <c r="HH79" s="300"/>
      <c r="HI79" s="300"/>
      <c r="HJ79" s="300"/>
      <c r="HK79" s="300"/>
      <c r="HL79" s="385"/>
      <c r="HM79" s="387"/>
      <c r="HN79" s="387"/>
      <c r="HO79" s="387"/>
      <c r="HP79" s="387"/>
      <c r="HQ79" s="387"/>
      <c r="HR79" s="387"/>
      <c r="HS79" s="387"/>
      <c r="HT79" s="387"/>
      <c r="HU79" s="387"/>
      <c r="HV79" s="387"/>
      <c r="HW79" s="387"/>
      <c r="HX79" s="387"/>
      <c r="HY79" s="387"/>
      <c r="HZ79" s="387"/>
      <c r="IA79" s="387"/>
      <c r="IB79" s="387"/>
      <c r="IC79" s="389"/>
    </row>
    <row r="80" ht="12.75" customHeight="1">
      <c r="A80" s="300"/>
      <c r="B80" s="396"/>
      <c r="C80" s="300"/>
      <c r="D80" s="300"/>
      <c r="E80" s="331"/>
      <c r="F80" s="332"/>
      <c r="G80" s="332"/>
      <c r="H80" s="332"/>
      <c r="I80" s="333"/>
      <c r="J80" s="300"/>
      <c r="K80" s="300"/>
      <c r="L80" s="331"/>
      <c r="M80" s="332"/>
      <c r="N80" s="332"/>
      <c r="O80" s="332"/>
      <c r="P80" s="333"/>
      <c r="Q80" s="300"/>
      <c r="R80" s="300"/>
      <c r="S80" s="398"/>
      <c r="T80" s="300"/>
      <c r="U80" s="300"/>
      <c r="V80" s="300"/>
      <c r="W80" s="300"/>
      <c r="X80" s="396"/>
      <c r="Y80" s="300"/>
      <c r="Z80" s="300"/>
      <c r="AA80" s="331"/>
      <c r="AB80" s="332"/>
      <c r="AC80" s="332"/>
      <c r="AD80" s="332"/>
      <c r="AE80" s="333"/>
      <c r="AF80" s="300"/>
      <c r="AG80" s="300"/>
      <c r="AH80" s="331"/>
      <c r="AI80" s="332"/>
      <c r="AJ80" s="332"/>
      <c r="AK80" s="332"/>
      <c r="AL80" s="333"/>
      <c r="AM80" s="300"/>
      <c r="AN80" s="300"/>
      <c r="AO80" s="398"/>
      <c r="AP80" s="300"/>
      <c r="AQ80" s="300"/>
      <c r="AR80" s="300"/>
      <c r="AS80" s="396"/>
      <c r="AT80" s="300"/>
      <c r="AU80" s="300"/>
      <c r="AV80" s="331"/>
      <c r="AW80" s="332"/>
      <c r="AX80" s="332"/>
      <c r="AY80" s="332"/>
      <c r="AZ80" s="333"/>
      <c r="BA80" s="300"/>
      <c r="BB80" s="300"/>
      <c r="BC80" s="331"/>
      <c r="BD80" s="332"/>
      <c r="BE80" s="332"/>
      <c r="BF80" s="332"/>
      <c r="BG80" s="333"/>
      <c r="BH80" s="300"/>
      <c r="BI80" s="300"/>
      <c r="BJ80" s="398"/>
      <c r="BK80" s="300"/>
      <c r="BL80" s="300"/>
      <c r="BM80" s="300"/>
      <c r="BN80" s="396"/>
      <c r="BO80" s="300"/>
      <c r="BP80" s="300"/>
      <c r="BQ80" s="331"/>
      <c r="BR80" s="332"/>
      <c r="BS80" s="332"/>
      <c r="BT80" s="332"/>
      <c r="BU80" s="333"/>
      <c r="BV80" s="300"/>
      <c r="BW80" s="300"/>
      <c r="BX80" s="331"/>
      <c r="BY80" s="332"/>
      <c r="BZ80" s="332"/>
      <c r="CA80" s="332"/>
      <c r="CB80" s="333"/>
      <c r="CC80" s="300"/>
      <c r="CD80" s="300"/>
      <c r="CE80" s="398"/>
      <c r="CF80" s="300"/>
      <c r="CG80" s="300"/>
      <c r="CH80" s="300"/>
      <c r="CI80" s="300"/>
      <c r="CJ80" s="300"/>
      <c r="CK80" s="300"/>
      <c r="CL80" s="300"/>
      <c r="CM80" s="300"/>
      <c r="CN80" s="300"/>
      <c r="CO80" s="300"/>
      <c r="CP80" s="300"/>
      <c r="CQ80" s="300"/>
      <c r="CR80" s="300"/>
      <c r="CS80" s="300"/>
      <c r="CT80" s="300"/>
      <c r="CU80" s="300"/>
      <c r="CV80" s="300"/>
      <c r="CW80" s="300"/>
      <c r="CX80" s="300"/>
      <c r="CY80" s="300"/>
      <c r="CZ80" s="300"/>
      <c r="DA80" s="300"/>
      <c r="DB80" s="300"/>
      <c r="DC80" s="300"/>
      <c r="DD80" s="300"/>
      <c r="DE80" s="300"/>
      <c r="DF80" s="396"/>
      <c r="DG80" s="300"/>
      <c r="DH80" s="300"/>
      <c r="DI80" s="300"/>
      <c r="DJ80" s="300"/>
      <c r="DK80" s="300"/>
      <c r="DL80" s="300"/>
      <c r="DM80" s="300"/>
      <c r="DN80" s="300"/>
      <c r="DO80" s="300"/>
      <c r="DP80" s="300"/>
      <c r="DQ80" s="300"/>
      <c r="DR80" s="300"/>
      <c r="DS80" s="300"/>
      <c r="DT80" s="300"/>
      <c r="DU80" s="300"/>
      <c r="DV80" s="300"/>
      <c r="DW80" s="398"/>
      <c r="DX80" s="300"/>
      <c r="DY80" s="300"/>
      <c r="DZ80" s="300"/>
      <c r="EA80" s="300"/>
      <c r="EB80" s="567" t="s">
        <v>565</v>
      </c>
      <c r="EC80" s="10"/>
      <c r="ED80" s="10"/>
      <c r="EE80" s="19"/>
      <c r="EF80" s="391" t="s">
        <v>566</v>
      </c>
      <c r="EG80" s="10"/>
      <c r="EH80" s="10"/>
      <c r="EI80" s="19"/>
      <c r="EJ80" s="498" t="s">
        <v>567</v>
      </c>
      <c r="EK80" s="10"/>
      <c r="EL80" s="10"/>
      <c r="EM80" s="19"/>
      <c r="EN80" s="568" t="s">
        <v>568</v>
      </c>
      <c r="EO80" s="10"/>
      <c r="EP80" s="10"/>
      <c r="EQ80" s="19"/>
      <c r="ER80" s="569" t="s">
        <v>564</v>
      </c>
      <c r="ES80" s="19"/>
      <c r="ET80" s="300"/>
      <c r="EU80" s="300"/>
      <c r="EV80" s="300"/>
      <c r="EW80" s="300"/>
      <c r="EX80" s="570" t="s">
        <v>565</v>
      </c>
      <c r="EY80" s="10"/>
      <c r="EZ80" s="10"/>
      <c r="FA80" s="19"/>
      <c r="FB80" s="565" t="s">
        <v>569</v>
      </c>
      <c r="FC80" s="10"/>
      <c r="FD80" s="10"/>
      <c r="FE80" s="19"/>
      <c r="FF80" s="498" t="s">
        <v>567</v>
      </c>
      <c r="FG80" s="10"/>
      <c r="FH80" s="10"/>
      <c r="FI80" s="19"/>
      <c r="FJ80" s="568" t="s">
        <v>568</v>
      </c>
      <c r="FK80" s="10"/>
      <c r="FL80" s="10"/>
      <c r="FM80" s="19"/>
      <c r="FN80" s="569" t="s">
        <v>564</v>
      </c>
      <c r="FO80" s="19"/>
      <c r="FP80" s="300"/>
      <c r="FQ80" s="300"/>
      <c r="FR80" s="300"/>
      <c r="FS80" s="300"/>
      <c r="FT80" s="570" t="s">
        <v>565</v>
      </c>
      <c r="FU80" s="10"/>
      <c r="FV80" s="10"/>
      <c r="FW80" s="19"/>
      <c r="FX80" s="567" t="s">
        <v>566</v>
      </c>
      <c r="FY80" s="10"/>
      <c r="FZ80" s="10"/>
      <c r="GA80" s="19"/>
      <c r="GB80" s="498" t="s">
        <v>567</v>
      </c>
      <c r="GC80" s="10"/>
      <c r="GD80" s="10"/>
      <c r="GE80" s="19"/>
      <c r="GF80" s="568" t="s">
        <v>568</v>
      </c>
      <c r="GG80" s="10"/>
      <c r="GH80" s="10"/>
      <c r="GI80" s="19"/>
      <c r="GJ80" s="569" t="s">
        <v>564</v>
      </c>
      <c r="GK80" s="19"/>
      <c r="GL80" s="300"/>
      <c r="GM80" s="300"/>
      <c r="GN80" s="300"/>
      <c r="GO80" s="300"/>
      <c r="GP80" s="570" t="s">
        <v>565</v>
      </c>
      <c r="GQ80" s="10"/>
      <c r="GR80" s="10"/>
      <c r="GS80" s="19"/>
      <c r="GT80" s="391" t="s">
        <v>566</v>
      </c>
      <c r="GU80" s="10"/>
      <c r="GV80" s="10"/>
      <c r="GW80" s="19"/>
      <c r="GX80" s="565" t="s">
        <v>567</v>
      </c>
      <c r="GY80" s="10"/>
      <c r="GZ80" s="10"/>
      <c r="HA80" s="19"/>
      <c r="HB80" s="568" t="s">
        <v>568</v>
      </c>
      <c r="HC80" s="10"/>
      <c r="HD80" s="10"/>
      <c r="HE80" s="19"/>
      <c r="HF80" s="569" t="s">
        <v>564</v>
      </c>
      <c r="HG80" s="19"/>
      <c r="HH80" s="300"/>
      <c r="HI80" s="300"/>
      <c r="HJ80" s="300"/>
      <c r="HK80" s="300"/>
      <c r="HL80" s="570" t="s">
        <v>565</v>
      </c>
      <c r="HM80" s="10"/>
      <c r="HN80" s="10"/>
      <c r="HO80" s="19"/>
      <c r="HP80" s="391" t="s">
        <v>566</v>
      </c>
      <c r="HQ80" s="10"/>
      <c r="HR80" s="10"/>
      <c r="HS80" s="19"/>
      <c r="HT80" s="498" t="s">
        <v>567</v>
      </c>
      <c r="HU80" s="10"/>
      <c r="HV80" s="10"/>
      <c r="HW80" s="19"/>
      <c r="HX80" s="565" t="s">
        <v>568</v>
      </c>
      <c r="HY80" s="10"/>
      <c r="HZ80" s="10"/>
      <c r="IA80" s="19"/>
      <c r="IB80" s="569" t="s">
        <v>564</v>
      </c>
      <c r="IC80" s="19"/>
    </row>
    <row r="81" ht="12.75" customHeight="1">
      <c r="A81" s="300"/>
      <c r="B81" s="396"/>
      <c r="C81" s="300"/>
      <c r="D81" s="300"/>
      <c r="E81" s="300"/>
      <c r="F81" s="300"/>
      <c r="G81" s="300"/>
      <c r="H81" s="300"/>
      <c r="I81" s="300"/>
      <c r="J81" s="300"/>
      <c r="K81" s="300"/>
      <c r="L81" s="300"/>
      <c r="M81" s="300"/>
      <c r="N81" s="300"/>
      <c r="O81" s="300"/>
      <c r="P81" s="300"/>
      <c r="Q81" s="300"/>
      <c r="R81" s="300"/>
      <c r="S81" s="398"/>
      <c r="T81" s="300"/>
      <c r="U81" s="300"/>
      <c r="V81" s="300"/>
      <c r="W81" s="300"/>
      <c r="X81" s="385"/>
      <c r="Y81" s="387"/>
      <c r="Z81" s="387"/>
      <c r="AA81" s="387"/>
      <c r="AB81" s="387"/>
      <c r="AC81" s="387"/>
      <c r="AD81" s="387"/>
      <c r="AE81" s="387"/>
      <c r="AF81" s="387"/>
      <c r="AG81" s="387"/>
      <c r="AH81" s="387"/>
      <c r="AI81" s="387"/>
      <c r="AJ81" s="387"/>
      <c r="AK81" s="387"/>
      <c r="AL81" s="387"/>
      <c r="AM81" s="387"/>
      <c r="AN81" s="387"/>
      <c r="AO81" s="389"/>
      <c r="AP81" s="300"/>
      <c r="AQ81" s="300"/>
      <c r="AR81" s="300"/>
      <c r="AS81" s="385"/>
      <c r="AT81" s="387"/>
      <c r="AU81" s="387"/>
      <c r="AV81" s="387"/>
      <c r="AW81" s="387"/>
      <c r="AX81" s="387"/>
      <c r="AY81" s="387"/>
      <c r="AZ81" s="387"/>
      <c r="BA81" s="387"/>
      <c r="BB81" s="387"/>
      <c r="BC81" s="387"/>
      <c r="BD81" s="387"/>
      <c r="BE81" s="387"/>
      <c r="BF81" s="387"/>
      <c r="BG81" s="387"/>
      <c r="BH81" s="387"/>
      <c r="BI81" s="387"/>
      <c r="BJ81" s="389"/>
      <c r="BK81" s="300"/>
      <c r="BL81" s="300"/>
      <c r="BM81" s="300"/>
      <c r="BN81" s="385"/>
      <c r="BO81" s="387"/>
      <c r="BP81" s="387"/>
      <c r="BQ81" s="387"/>
      <c r="BR81" s="387"/>
      <c r="BS81" s="387"/>
      <c r="BT81" s="387"/>
      <c r="BU81" s="387"/>
      <c r="BV81" s="387"/>
      <c r="BW81" s="387"/>
      <c r="BX81" s="387"/>
      <c r="BY81" s="387"/>
      <c r="BZ81" s="387"/>
      <c r="CA81" s="387"/>
      <c r="CB81" s="387"/>
      <c r="CC81" s="387"/>
      <c r="CD81" s="387"/>
      <c r="CE81" s="389"/>
      <c r="CF81" s="300"/>
      <c r="CG81" s="300"/>
      <c r="CH81" s="300"/>
      <c r="CI81" s="300"/>
      <c r="CJ81" s="300"/>
      <c r="CK81" s="300"/>
      <c r="CL81" s="300"/>
      <c r="CM81" s="300"/>
      <c r="CN81" s="300"/>
      <c r="CO81" s="300"/>
      <c r="CP81" s="300"/>
      <c r="CQ81" s="300"/>
      <c r="CR81" s="300"/>
      <c r="CS81" s="300"/>
      <c r="CT81" s="300"/>
      <c r="CU81" s="300"/>
      <c r="CV81" s="300"/>
      <c r="CW81" s="300"/>
      <c r="CX81" s="300"/>
      <c r="CY81" s="300"/>
      <c r="CZ81" s="300"/>
      <c r="DA81" s="300"/>
      <c r="DB81" s="300"/>
      <c r="DC81" s="300"/>
      <c r="DD81" s="300"/>
      <c r="DE81" s="300"/>
      <c r="DF81" s="396"/>
      <c r="DG81" s="300"/>
      <c r="DH81" s="300"/>
      <c r="DI81" s="300"/>
      <c r="DJ81" s="300"/>
      <c r="DK81" s="300"/>
      <c r="DL81" s="300"/>
      <c r="DM81" s="300"/>
      <c r="DN81" s="300"/>
      <c r="DO81" s="420" t="s">
        <v>518</v>
      </c>
      <c r="DP81" s="300"/>
      <c r="DQ81" s="300"/>
      <c r="DR81" s="300"/>
      <c r="DS81" s="300"/>
      <c r="DT81" s="300"/>
      <c r="DU81" s="300"/>
      <c r="DV81" s="300"/>
      <c r="DW81" s="398"/>
      <c r="DX81" s="300"/>
      <c r="DY81" s="300"/>
      <c r="DZ81" s="300"/>
      <c r="EA81" s="300"/>
      <c r="EB81" s="21"/>
      <c r="EE81" s="27"/>
      <c r="EF81" s="21"/>
      <c r="EI81" s="27"/>
      <c r="EJ81" s="21"/>
      <c r="EM81" s="27"/>
      <c r="EN81" s="21"/>
      <c r="EQ81" s="27"/>
      <c r="ER81" s="21"/>
      <c r="ES81" s="27"/>
      <c r="ET81" s="300"/>
      <c r="EU81" s="300"/>
      <c r="EV81" s="300"/>
      <c r="EW81" s="300"/>
      <c r="EX81" s="21"/>
      <c r="FA81" s="27"/>
      <c r="FB81" s="21"/>
      <c r="FE81" s="27"/>
      <c r="FF81" s="21"/>
      <c r="FI81" s="27"/>
      <c r="FJ81" s="21"/>
      <c r="FM81" s="27"/>
      <c r="FN81" s="21"/>
      <c r="FO81" s="27"/>
      <c r="FP81" s="300"/>
      <c r="FQ81" s="300"/>
      <c r="FR81" s="300"/>
      <c r="FS81" s="300"/>
      <c r="FT81" s="21"/>
      <c r="FW81" s="27"/>
      <c r="FX81" s="21"/>
      <c r="GA81" s="27"/>
      <c r="GB81" s="21"/>
      <c r="GE81" s="27"/>
      <c r="GF81" s="21"/>
      <c r="GI81" s="27"/>
      <c r="GJ81" s="21"/>
      <c r="GK81" s="27"/>
      <c r="GL81" s="300"/>
      <c r="GM81" s="300"/>
      <c r="GN81" s="300"/>
      <c r="GO81" s="300"/>
      <c r="GP81" s="21"/>
      <c r="GS81" s="27"/>
      <c r="GT81" s="21"/>
      <c r="GW81" s="27"/>
      <c r="GX81" s="21"/>
      <c r="HA81" s="27"/>
      <c r="HB81" s="21"/>
      <c r="HE81" s="27"/>
      <c r="HF81" s="21"/>
      <c r="HG81" s="27"/>
      <c r="HH81" s="300"/>
      <c r="HI81" s="300"/>
      <c r="HJ81" s="300"/>
      <c r="HK81" s="300"/>
      <c r="HL81" s="21"/>
      <c r="HO81" s="27"/>
      <c r="HP81" s="21"/>
      <c r="HS81" s="27"/>
      <c r="HT81" s="21"/>
      <c r="HW81" s="27"/>
      <c r="HX81" s="21"/>
      <c r="IA81" s="27"/>
      <c r="IB81" s="21"/>
      <c r="IC81" s="27"/>
    </row>
    <row r="82" ht="12.75" customHeight="1">
      <c r="A82" s="300"/>
      <c r="B82" s="376" t="s">
        <v>499</v>
      </c>
      <c r="C82" s="378"/>
      <c r="D82" s="378"/>
      <c r="E82" s="378"/>
      <c r="F82" s="378"/>
      <c r="G82" s="378"/>
      <c r="H82" s="378"/>
      <c r="I82" s="378"/>
      <c r="J82" s="378"/>
      <c r="K82" s="378"/>
      <c r="L82" s="378"/>
      <c r="M82" s="378"/>
      <c r="N82" s="378"/>
      <c r="O82" s="378"/>
      <c r="P82" s="378"/>
      <c r="Q82" s="378"/>
      <c r="R82" s="378"/>
      <c r="S82" s="380"/>
      <c r="T82" s="300"/>
      <c r="U82" s="300"/>
      <c r="V82" s="300"/>
      <c r="W82" s="300"/>
      <c r="X82" s="376" t="s">
        <v>499</v>
      </c>
      <c r="Y82" s="378"/>
      <c r="Z82" s="378"/>
      <c r="AA82" s="378"/>
      <c r="AB82" s="378"/>
      <c r="AC82" s="378"/>
      <c r="AD82" s="378"/>
      <c r="AE82" s="378"/>
      <c r="AF82" s="378"/>
      <c r="AG82" s="378"/>
      <c r="AH82" s="378"/>
      <c r="AI82" s="378"/>
      <c r="AJ82" s="378"/>
      <c r="AK82" s="378"/>
      <c r="AL82" s="378"/>
      <c r="AM82" s="378"/>
      <c r="AN82" s="378"/>
      <c r="AO82" s="380"/>
      <c r="AP82" s="300"/>
      <c r="AQ82" s="300"/>
      <c r="AR82" s="300"/>
      <c r="AS82" s="376" t="s">
        <v>499</v>
      </c>
      <c r="AT82" s="378"/>
      <c r="AU82" s="378"/>
      <c r="AV82" s="378"/>
      <c r="AW82" s="378"/>
      <c r="AX82" s="378"/>
      <c r="AY82" s="378"/>
      <c r="AZ82" s="378"/>
      <c r="BA82" s="378"/>
      <c r="BB82" s="378"/>
      <c r="BC82" s="378"/>
      <c r="BD82" s="378"/>
      <c r="BE82" s="378"/>
      <c r="BF82" s="378"/>
      <c r="BG82" s="378"/>
      <c r="BH82" s="378"/>
      <c r="BI82" s="378"/>
      <c r="BJ82" s="380"/>
      <c r="BK82" s="300"/>
      <c r="BL82" s="300"/>
      <c r="BM82" s="300"/>
      <c r="BN82" s="376" t="s">
        <v>499</v>
      </c>
      <c r="BO82" s="378"/>
      <c r="BP82" s="378"/>
      <c r="BQ82" s="378"/>
      <c r="BR82" s="378"/>
      <c r="BS82" s="378"/>
      <c r="BT82" s="378"/>
      <c r="BU82" s="378"/>
      <c r="BV82" s="378"/>
      <c r="BW82" s="378"/>
      <c r="BX82" s="378"/>
      <c r="BY82" s="378"/>
      <c r="BZ82" s="378"/>
      <c r="CA82" s="378"/>
      <c r="CB82" s="378"/>
      <c r="CC82" s="378"/>
      <c r="CD82" s="378"/>
      <c r="CE82" s="380"/>
      <c r="CF82" s="300"/>
      <c r="CG82" s="300"/>
      <c r="CH82" s="300"/>
      <c r="CI82" s="300"/>
      <c r="CJ82" s="300"/>
      <c r="CK82" s="300"/>
      <c r="CL82" s="300"/>
      <c r="CM82" s="300"/>
      <c r="CN82" s="300"/>
      <c r="CO82" s="300"/>
      <c r="CP82" s="300"/>
      <c r="CQ82" s="300"/>
      <c r="CR82" s="300"/>
      <c r="CS82" s="300"/>
      <c r="CT82" s="300"/>
      <c r="CU82" s="300"/>
      <c r="CV82" s="300"/>
      <c r="CW82" s="300"/>
      <c r="CX82" s="300"/>
      <c r="CY82" s="300"/>
      <c r="CZ82" s="300"/>
      <c r="DA82" s="300"/>
      <c r="DB82" s="300"/>
      <c r="DC82" s="300"/>
      <c r="DD82" s="300"/>
      <c r="DE82" s="300"/>
      <c r="DF82" s="396"/>
      <c r="DG82" s="300"/>
      <c r="DH82" s="300"/>
      <c r="DI82" s="300"/>
      <c r="DJ82" s="300"/>
      <c r="DK82" s="300"/>
      <c r="DL82" s="300"/>
      <c r="DM82" s="300"/>
      <c r="DN82" s="300"/>
      <c r="DO82" s="376"/>
      <c r="DP82" s="10"/>
      <c r="DQ82" s="10"/>
      <c r="DR82" s="10"/>
      <c r="DS82" s="10"/>
      <c r="DT82" s="19"/>
      <c r="DU82" s="300"/>
      <c r="DV82" s="300"/>
      <c r="DW82" s="398"/>
      <c r="DX82" s="300"/>
      <c r="DY82" s="300"/>
      <c r="DZ82" s="300"/>
      <c r="EA82" s="300"/>
      <c r="EB82" s="394"/>
      <c r="EC82" s="52"/>
      <c r="ED82" s="52"/>
      <c r="EE82" s="30"/>
      <c r="EF82" s="394"/>
      <c r="EG82" s="52"/>
      <c r="EH82" s="52"/>
      <c r="EI82" s="30"/>
      <c r="EJ82" s="394"/>
      <c r="EK82" s="52"/>
      <c r="EL82" s="52"/>
      <c r="EM82" s="30"/>
      <c r="EN82" s="394"/>
      <c r="EO82" s="52"/>
      <c r="EP82" s="52"/>
      <c r="EQ82" s="30"/>
      <c r="ER82" s="394"/>
      <c r="ES82" s="30"/>
      <c r="ET82" s="300"/>
      <c r="EU82" s="300"/>
      <c r="EV82" s="300"/>
      <c r="EW82" s="300"/>
      <c r="EX82" s="394"/>
      <c r="EY82" s="52"/>
      <c r="EZ82" s="52"/>
      <c r="FA82" s="30"/>
      <c r="FB82" s="394"/>
      <c r="FC82" s="52"/>
      <c r="FD82" s="52"/>
      <c r="FE82" s="30"/>
      <c r="FF82" s="394"/>
      <c r="FG82" s="52"/>
      <c r="FH82" s="52"/>
      <c r="FI82" s="30"/>
      <c r="FJ82" s="394"/>
      <c r="FK82" s="52"/>
      <c r="FL82" s="52"/>
      <c r="FM82" s="30"/>
      <c r="FN82" s="394"/>
      <c r="FO82" s="30"/>
      <c r="FP82" s="300"/>
      <c r="FQ82" s="300"/>
      <c r="FR82" s="300"/>
      <c r="FS82" s="300"/>
      <c r="FT82" s="394"/>
      <c r="FU82" s="52"/>
      <c r="FV82" s="52"/>
      <c r="FW82" s="30"/>
      <c r="FX82" s="394"/>
      <c r="FY82" s="52"/>
      <c r="FZ82" s="52"/>
      <c r="GA82" s="30"/>
      <c r="GB82" s="394"/>
      <c r="GC82" s="52"/>
      <c r="GD82" s="52"/>
      <c r="GE82" s="30"/>
      <c r="GF82" s="394"/>
      <c r="GG82" s="52"/>
      <c r="GH82" s="52"/>
      <c r="GI82" s="30"/>
      <c r="GJ82" s="394"/>
      <c r="GK82" s="30"/>
      <c r="GL82" s="300"/>
      <c r="GM82" s="300"/>
      <c r="GN82" s="300"/>
      <c r="GO82" s="300"/>
      <c r="GP82" s="394"/>
      <c r="GQ82" s="52"/>
      <c r="GR82" s="52"/>
      <c r="GS82" s="30"/>
      <c r="GT82" s="394"/>
      <c r="GU82" s="52"/>
      <c r="GV82" s="52"/>
      <c r="GW82" s="30"/>
      <c r="GX82" s="394"/>
      <c r="GY82" s="52"/>
      <c r="GZ82" s="52"/>
      <c r="HA82" s="30"/>
      <c r="HB82" s="394"/>
      <c r="HC82" s="52"/>
      <c r="HD82" s="52"/>
      <c r="HE82" s="30"/>
      <c r="HF82" s="394"/>
      <c r="HG82" s="30"/>
      <c r="HH82" s="300"/>
      <c r="HI82" s="300"/>
      <c r="HJ82" s="300"/>
      <c r="HK82" s="300"/>
      <c r="HL82" s="394"/>
      <c r="HM82" s="52"/>
      <c r="HN82" s="52"/>
      <c r="HO82" s="30"/>
      <c r="HP82" s="394"/>
      <c r="HQ82" s="52"/>
      <c r="HR82" s="52"/>
      <c r="HS82" s="30"/>
      <c r="HT82" s="394"/>
      <c r="HU82" s="52"/>
      <c r="HV82" s="52"/>
      <c r="HW82" s="30"/>
      <c r="HX82" s="394"/>
      <c r="HY82" s="52"/>
      <c r="HZ82" s="52"/>
      <c r="IA82" s="30"/>
      <c r="IB82" s="394"/>
      <c r="IC82" s="30"/>
    </row>
    <row r="83" ht="12.75" customHeight="1">
      <c r="A83" s="300"/>
      <c r="B83" s="385"/>
      <c r="C83" s="387"/>
      <c r="D83" s="387"/>
      <c r="E83" s="387"/>
      <c r="F83" s="387"/>
      <c r="G83" s="387"/>
      <c r="H83" s="387"/>
      <c r="I83" s="387"/>
      <c r="J83" s="387"/>
      <c r="K83" s="387"/>
      <c r="L83" s="387"/>
      <c r="M83" s="387"/>
      <c r="N83" s="387"/>
      <c r="O83" s="387"/>
      <c r="P83" s="387"/>
      <c r="Q83" s="387"/>
      <c r="R83" s="387"/>
      <c r="S83" s="389"/>
      <c r="T83" s="300"/>
      <c r="U83" s="300"/>
      <c r="V83" s="300"/>
      <c r="W83" s="300"/>
      <c r="X83" s="385"/>
      <c r="Y83" s="387"/>
      <c r="Z83" s="387"/>
      <c r="AA83" s="387"/>
      <c r="AB83" s="387"/>
      <c r="AC83" s="387"/>
      <c r="AD83" s="387"/>
      <c r="AE83" s="387"/>
      <c r="AF83" s="387"/>
      <c r="AG83" s="387"/>
      <c r="AH83" s="387"/>
      <c r="AI83" s="387"/>
      <c r="AJ83" s="387"/>
      <c r="AK83" s="387"/>
      <c r="AL83" s="387"/>
      <c r="AM83" s="387"/>
      <c r="AN83" s="387"/>
      <c r="AO83" s="389"/>
      <c r="AP83" s="300"/>
      <c r="AQ83" s="300"/>
      <c r="AR83" s="300"/>
      <c r="AS83" s="385"/>
      <c r="AT83" s="387"/>
      <c r="AU83" s="387"/>
      <c r="AV83" s="387"/>
      <c r="AW83" s="387"/>
      <c r="AX83" s="387"/>
      <c r="AY83" s="387"/>
      <c r="AZ83" s="387"/>
      <c r="BA83" s="387"/>
      <c r="BB83" s="387"/>
      <c r="BC83" s="387"/>
      <c r="BD83" s="387"/>
      <c r="BE83" s="387"/>
      <c r="BF83" s="387"/>
      <c r="BG83" s="387"/>
      <c r="BH83" s="387"/>
      <c r="BI83" s="387"/>
      <c r="BJ83" s="389"/>
      <c r="BK83" s="300"/>
      <c r="BL83" s="300"/>
      <c r="BM83" s="300"/>
      <c r="BN83" s="385"/>
      <c r="BO83" s="387"/>
      <c r="BP83" s="387"/>
      <c r="BQ83" s="387"/>
      <c r="BR83" s="387"/>
      <c r="BS83" s="387"/>
      <c r="BT83" s="387"/>
      <c r="BU83" s="387"/>
      <c r="BV83" s="387"/>
      <c r="BW83" s="387"/>
      <c r="BX83" s="387"/>
      <c r="BY83" s="387"/>
      <c r="BZ83" s="387"/>
      <c r="CA83" s="387"/>
      <c r="CB83" s="387"/>
      <c r="CC83" s="387"/>
      <c r="CD83" s="387"/>
      <c r="CE83" s="389"/>
      <c r="CF83" s="300"/>
      <c r="CG83" s="300"/>
      <c r="CH83" s="300"/>
      <c r="CI83" s="300"/>
      <c r="CJ83" s="300"/>
      <c r="CK83" s="300"/>
      <c r="CL83" s="300"/>
      <c r="CM83" s="300"/>
      <c r="CN83" s="300"/>
      <c r="CO83" s="300"/>
      <c r="CP83" s="300"/>
      <c r="CQ83" s="300"/>
      <c r="CR83" s="300"/>
      <c r="CS83" s="300"/>
      <c r="CT83" s="300"/>
      <c r="CU83" s="300"/>
      <c r="CV83" s="300"/>
      <c r="CW83" s="300"/>
      <c r="CX83" s="300"/>
      <c r="CY83" s="300"/>
      <c r="CZ83" s="300"/>
      <c r="DA83" s="300"/>
      <c r="DB83" s="300"/>
      <c r="DC83" s="300"/>
      <c r="DD83" s="300"/>
      <c r="DE83" s="300"/>
      <c r="DF83" s="396"/>
      <c r="DG83" s="300"/>
      <c r="DH83" s="300"/>
      <c r="DI83" s="300"/>
      <c r="DJ83" s="300"/>
      <c r="DK83" s="300"/>
      <c r="DL83" s="300"/>
      <c r="DM83" s="300"/>
      <c r="DN83" s="300"/>
      <c r="DO83" s="394"/>
      <c r="DP83" s="52"/>
      <c r="DQ83" s="52"/>
      <c r="DR83" s="52"/>
      <c r="DS83" s="52"/>
      <c r="DT83" s="30"/>
      <c r="DU83" s="300"/>
      <c r="DV83" s="300"/>
      <c r="DW83" s="398"/>
      <c r="DX83" s="300"/>
      <c r="DY83" s="300"/>
      <c r="DZ83" s="300"/>
      <c r="EA83" s="300"/>
      <c r="EB83" s="396"/>
      <c r="EC83" s="300"/>
      <c r="ED83" s="300"/>
      <c r="EE83" s="300"/>
      <c r="EF83" s="300"/>
      <c r="EG83" s="300"/>
      <c r="EH83" s="300"/>
      <c r="EI83" s="300"/>
      <c r="EJ83" s="300"/>
      <c r="EK83" s="300"/>
      <c r="EL83" s="300"/>
      <c r="EM83" s="300"/>
      <c r="EN83" s="300"/>
      <c r="EO83" s="300"/>
      <c r="EP83" s="300"/>
      <c r="EQ83" s="300"/>
      <c r="ER83" s="300"/>
      <c r="ES83" s="398"/>
      <c r="ET83" s="300"/>
      <c r="EU83" s="300"/>
      <c r="EV83" s="300"/>
      <c r="EW83" s="300"/>
      <c r="EX83" s="396"/>
      <c r="EY83" s="300"/>
      <c r="EZ83" s="300"/>
      <c r="FA83" s="300"/>
      <c r="FB83" s="300"/>
      <c r="FC83" s="300"/>
      <c r="FD83" s="300"/>
      <c r="FE83" s="300"/>
      <c r="FF83" s="300"/>
      <c r="FG83" s="300"/>
      <c r="FH83" s="300"/>
      <c r="FI83" s="300"/>
      <c r="FJ83" s="300"/>
      <c r="FK83" s="300"/>
      <c r="FL83" s="300"/>
      <c r="FM83" s="300"/>
      <c r="FN83" s="300"/>
      <c r="FO83" s="398"/>
      <c r="FP83" s="300"/>
      <c r="FQ83" s="300"/>
      <c r="FR83" s="300"/>
      <c r="FS83" s="300"/>
      <c r="FT83" s="396"/>
      <c r="FU83" s="300"/>
      <c r="FV83" s="300"/>
      <c r="FW83" s="300"/>
      <c r="FX83" s="300"/>
      <c r="FY83" s="300"/>
      <c r="FZ83" s="300"/>
      <c r="GA83" s="300"/>
      <c r="GB83" s="300"/>
      <c r="GC83" s="300"/>
      <c r="GD83" s="300"/>
      <c r="GE83" s="300"/>
      <c r="GF83" s="300"/>
      <c r="GG83" s="300"/>
      <c r="GH83" s="300"/>
      <c r="GI83" s="300"/>
      <c r="GJ83" s="300"/>
      <c r="GK83" s="398"/>
      <c r="GL83" s="300"/>
      <c r="GM83" s="300"/>
      <c r="GN83" s="300"/>
      <c r="GO83" s="300"/>
      <c r="GP83" s="396"/>
      <c r="GQ83" s="300"/>
      <c r="GR83" s="300"/>
      <c r="GS83" s="300"/>
      <c r="GT83" s="300"/>
      <c r="GU83" s="300"/>
      <c r="GV83" s="300"/>
      <c r="GW83" s="300"/>
      <c r="GX83" s="300"/>
      <c r="GY83" s="300"/>
      <c r="GZ83" s="300"/>
      <c r="HA83" s="300"/>
      <c r="HB83" s="300"/>
      <c r="HC83" s="300"/>
      <c r="HD83" s="300"/>
      <c r="HE83" s="300"/>
      <c r="HF83" s="300"/>
      <c r="HG83" s="398"/>
      <c r="HH83" s="300"/>
      <c r="HI83" s="300"/>
      <c r="HJ83" s="300"/>
      <c r="HK83" s="300"/>
      <c r="HL83" s="396"/>
      <c r="HM83" s="300"/>
      <c r="HN83" s="300"/>
      <c r="HO83" s="300"/>
      <c r="HP83" s="300"/>
      <c r="HQ83" s="300"/>
      <c r="HR83" s="300"/>
      <c r="HS83" s="300"/>
      <c r="HT83" s="300"/>
      <c r="HU83" s="300"/>
      <c r="HV83" s="300"/>
      <c r="HW83" s="300"/>
      <c r="HX83" s="300"/>
      <c r="HY83" s="300"/>
      <c r="HZ83" s="300"/>
      <c r="IA83" s="300"/>
      <c r="IB83" s="300"/>
      <c r="IC83" s="398"/>
    </row>
    <row r="84" ht="12.75" customHeight="1">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0"/>
      <c r="BN84" s="300"/>
      <c r="BO84" s="300"/>
      <c r="BP84" s="300"/>
      <c r="BQ84" s="300"/>
      <c r="BR84" s="300"/>
      <c r="BS84" s="300"/>
      <c r="BT84" s="300"/>
      <c r="BU84" s="300"/>
      <c r="BV84" s="300"/>
      <c r="BW84" s="300"/>
      <c r="BX84" s="300"/>
      <c r="BY84" s="300"/>
      <c r="BZ84" s="300"/>
      <c r="CA84" s="300"/>
      <c r="CB84" s="300"/>
      <c r="CC84" s="300"/>
      <c r="CD84" s="300"/>
      <c r="CE84" s="300"/>
      <c r="CF84" s="300"/>
      <c r="CG84" s="300"/>
      <c r="CH84" s="300"/>
      <c r="CI84" s="300"/>
      <c r="CJ84" s="300"/>
      <c r="CK84" s="300"/>
      <c r="CL84" s="300"/>
      <c r="CM84" s="300"/>
      <c r="CN84" s="300"/>
      <c r="CO84" s="300"/>
      <c r="CP84" s="300"/>
      <c r="CQ84" s="300"/>
      <c r="CR84" s="300"/>
      <c r="CS84" s="300"/>
      <c r="CT84" s="300"/>
      <c r="CU84" s="300"/>
      <c r="CV84" s="300"/>
      <c r="CW84" s="300"/>
      <c r="CX84" s="300"/>
      <c r="CY84" s="300"/>
      <c r="CZ84" s="300"/>
      <c r="DA84" s="300"/>
      <c r="DB84" s="300"/>
      <c r="DC84" s="300"/>
      <c r="DD84" s="300"/>
      <c r="DE84" s="300"/>
      <c r="DF84" s="396"/>
      <c r="DG84" s="300"/>
      <c r="DH84" s="300"/>
      <c r="DI84" s="300"/>
      <c r="DJ84" s="300"/>
      <c r="DK84" s="300"/>
      <c r="DL84" s="300"/>
      <c r="DM84" s="300"/>
      <c r="DN84" s="300"/>
      <c r="DO84" s="300"/>
      <c r="DP84" s="300"/>
      <c r="DQ84" s="300"/>
      <c r="DR84" s="300"/>
      <c r="DS84" s="300"/>
      <c r="DT84" s="300"/>
      <c r="DU84" s="300"/>
      <c r="DV84" s="300"/>
      <c r="DW84" s="398"/>
      <c r="DX84" s="300"/>
      <c r="DY84" s="300"/>
      <c r="DZ84" s="300"/>
      <c r="EA84" s="300"/>
      <c r="EB84" s="396"/>
      <c r="EC84" s="300"/>
      <c r="ED84" s="300"/>
      <c r="EE84" s="300"/>
      <c r="EF84" s="300"/>
      <c r="EG84" s="300"/>
      <c r="EH84" s="300"/>
      <c r="EI84" s="300"/>
      <c r="EJ84" s="300"/>
      <c r="EK84" s="300"/>
      <c r="EL84" s="300"/>
      <c r="EM84" s="300"/>
      <c r="EN84" s="300"/>
      <c r="EO84" s="300"/>
      <c r="EP84" s="300"/>
      <c r="EQ84" s="300"/>
      <c r="ER84" s="300"/>
      <c r="ES84" s="398"/>
      <c r="ET84" s="300"/>
      <c r="EU84" s="300"/>
      <c r="EV84" s="300"/>
      <c r="EW84" s="300"/>
      <c r="EX84" s="396"/>
      <c r="EY84" s="300"/>
      <c r="EZ84" s="300"/>
      <c r="FA84" s="300"/>
      <c r="FB84" s="300"/>
      <c r="FC84" s="300"/>
      <c r="FD84" s="300"/>
      <c r="FE84" s="300"/>
      <c r="FF84" s="300"/>
      <c r="FG84" s="300"/>
      <c r="FH84" s="300"/>
      <c r="FI84" s="300"/>
      <c r="FJ84" s="300"/>
      <c r="FK84" s="300"/>
      <c r="FL84" s="300"/>
      <c r="FM84" s="300"/>
      <c r="FN84" s="300"/>
      <c r="FO84" s="398"/>
      <c r="FP84" s="300"/>
      <c r="FQ84" s="300"/>
      <c r="FR84" s="300"/>
      <c r="FS84" s="300"/>
      <c r="FT84" s="396"/>
      <c r="FU84" s="300"/>
      <c r="FV84" s="300"/>
      <c r="FW84" s="300"/>
      <c r="FX84" s="300"/>
      <c r="FY84" s="300"/>
      <c r="FZ84" s="300"/>
      <c r="GA84" s="300"/>
      <c r="GB84" s="300"/>
      <c r="GC84" s="300"/>
      <c r="GD84" s="300"/>
      <c r="GE84" s="300"/>
      <c r="GF84" s="300"/>
      <c r="GG84" s="300"/>
      <c r="GH84" s="300"/>
      <c r="GI84" s="300"/>
      <c r="GJ84" s="300"/>
      <c r="GK84" s="398"/>
      <c r="GL84" s="300"/>
      <c r="GM84" s="300"/>
      <c r="GN84" s="300"/>
      <c r="GO84" s="300"/>
      <c r="GP84" s="396"/>
      <c r="GQ84" s="300"/>
      <c r="GR84" s="300"/>
      <c r="GS84" s="300"/>
      <c r="GT84" s="300"/>
      <c r="GU84" s="300"/>
      <c r="GV84" s="300"/>
      <c r="GW84" s="300"/>
      <c r="GX84" s="300"/>
      <c r="GY84" s="300"/>
      <c r="GZ84" s="300"/>
      <c r="HA84" s="300"/>
      <c r="HB84" s="300"/>
      <c r="HC84" s="300"/>
      <c r="HD84" s="300"/>
      <c r="HE84" s="300"/>
      <c r="HF84" s="300"/>
      <c r="HG84" s="398"/>
      <c r="HH84" s="300"/>
      <c r="HI84" s="300"/>
      <c r="HJ84" s="300"/>
      <c r="HK84" s="300"/>
      <c r="HL84" s="396"/>
      <c r="HM84" s="300"/>
      <c r="HN84" s="300"/>
      <c r="HO84" s="300"/>
      <c r="HP84" s="300"/>
      <c r="HQ84" s="300"/>
      <c r="HR84" s="300"/>
      <c r="HS84" s="300"/>
      <c r="HT84" s="300"/>
      <c r="HU84" s="300"/>
      <c r="HV84" s="300"/>
      <c r="HW84" s="300"/>
      <c r="HX84" s="300"/>
      <c r="HY84" s="300"/>
      <c r="HZ84" s="300"/>
      <c r="IA84" s="300"/>
      <c r="IB84" s="300"/>
      <c r="IC84" s="398"/>
    </row>
    <row r="85" ht="12.75" customHeight="1">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c r="BM85" s="300"/>
      <c r="BN85" s="300"/>
      <c r="BO85" s="300"/>
      <c r="BP85" s="300"/>
      <c r="BQ85" s="300"/>
      <c r="BR85" s="300"/>
      <c r="BS85" s="300"/>
      <c r="BT85" s="300"/>
      <c r="BU85" s="300"/>
      <c r="BV85" s="300"/>
      <c r="BW85" s="300"/>
      <c r="BX85" s="300"/>
      <c r="BY85" s="300"/>
      <c r="BZ85" s="300"/>
      <c r="CA85" s="300"/>
      <c r="CB85" s="300"/>
      <c r="CC85" s="300"/>
      <c r="CD85" s="300"/>
      <c r="CE85" s="300"/>
      <c r="CF85" s="300"/>
      <c r="CG85" s="300"/>
      <c r="CH85" s="300"/>
      <c r="CI85" s="300"/>
      <c r="CJ85" s="300"/>
      <c r="CK85" s="300"/>
      <c r="CL85" s="300"/>
      <c r="CM85" s="300"/>
      <c r="CN85" s="300"/>
      <c r="CO85" s="300"/>
      <c r="CP85" s="300"/>
      <c r="CQ85" s="300"/>
      <c r="CR85" s="300"/>
      <c r="CS85" s="300"/>
      <c r="CT85" s="300"/>
      <c r="CU85" s="300"/>
      <c r="CV85" s="300"/>
      <c r="CW85" s="300"/>
      <c r="CX85" s="300"/>
      <c r="CY85" s="300"/>
      <c r="CZ85" s="300"/>
      <c r="DA85" s="300"/>
      <c r="DB85" s="300"/>
      <c r="DC85" s="300"/>
      <c r="DD85" s="300"/>
      <c r="DE85" s="300"/>
      <c r="DF85" s="396"/>
      <c r="DG85" s="300"/>
      <c r="DH85" s="300"/>
      <c r="DI85" s="413" t="s">
        <v>570</v>
      </c>
      <c r="DJ85" s="305"/>
      <c r="DK85" s="305"/>
      <c r="DL85" s="305"/>
      <c r="DM85" s="305"/>
      <c r="DN85" s="305"/>
      <c r="DO85" s="305"/>
      <c r="DP85" s="305"/>
      <c r="DQ85" s="305"/>
      <c r="DR85" s="305"/>
      <c r="DS85" s="305"/>
      <c r="DT85" s="306"/>
      <c r="DU85" s="300"/>
      <c r="DV85" s="300"/>
      <c r="DW85" s="398"/>
      <c r="DX85" s="300"/>
      <c r="DY85" s="300"/>
      <c r="DZ85" s="300"/>
      <c r="EA85" s="300"/>
      <c r="EB85" s="396"/>
      <c r="EC85" s="300"/>
      <c r="ED85" s="300"/>
      <c r="EE85" s="300"/>
      <c r="EF85" s="300"/>
      <c r="EG85" s="300"/>
      <c r="EH85" s="300"/>
      <c r="EI85" s="300"/>
      <c r="EJ85" s="300"/>
      <c r="EK85" s="300"/>
      <c r="EL85" s="300"/>
      <c r="EM85" s="300"/>
      <c r="EN85" s="300"/>
      <c r="EO85" s="300"/>
      <c r="EP85" s="300"/>
      <c r="EQ85" s="300"/>
      <c r="ER85" s="300"/>
      <c r="ES85" s="398"/>
      <c r="ET85" s="300"/>
      <c r="EU85" s="300"/>
      <c r="EV85" s="300"/>
      <c r="EW85" s="300"/>
      <c r="EX85" s="396"/>
      <c r="EY85" s="300"/>
      <c r="EZ85" s="300"/>
      <c r="FA85" s="300"/>
      <c r="FB85" s="300"/>
      <c r="FC85" s="300"/>
      <c r="FD85" s="300"/>
      <c r="FE85" s="300"/>
      <c r="FF85" s="300"/>
      <c r="FG85" s="300"/>
      <c r="FH85" s="300"/>
      <c r="FI85" s="300"/>
      <c r="FJ85" s="300"/>
      <c r="FK85" s="300"/>
      <c r="FL85" s="300"/>
      <c r="FM85" s="300"/>
      <c r="FN85" s="300"/>
      <c r="FO85" s="398"/>
      <c r="FP85" s="300"/>
      <c r="FQ85" s="300"/>
      <c r="FR85" s="300"/>
      <c r="FS85" s="300"/>
      <c r="FT85" s="396"/>
      <c r="FU85" s="300"/>
      <c r="FV85" s="300"/>
      <c r="FW85" s="300"/>
      <c r="FX85" s="300"/>
      <c r="FY85" s="300"/>
      <c r="FZ85" s="300"/>
      <c r="GA85" s="300"/>
      <c r="GB85" s="300"/>
      <c r="GC85" s="300"/>
      <c r="GD85" s="300"/>
      <c r="GE85" s="300"/>
      <c r="GF85" s="300"/>
      <c r="GG85" s="300"/>
      <c r="GH85" s="300"/>
      <c r="GI85" s="300"/>
      <c r="GJ85" s="300"/>
      <c r="GK85" s="398"/>
      <c r="GL85" s="300"/>
      <c r="GM85" s="300"/>
      <c r="GN85" s="300"/>
      <c r="GO85" s="300"/>
      <c r="GP85" s="396"/>
      <c r="GQ85" s="300"/>
      <c r="GR85" s="300"/>
      <c r="GS85" s="300"/>
      <c r="GT85" s="300"/>
      <c r="GU85" s="300"/>
      <c r="GV85" s="300"/>
      <c r="GW85" s="300"/>
      <c r="GX85" s="300"/>
      <c r="GY85" s="300"/>
      <c r="GZ85" s="300"/>
      <c r="HA85" s="300"/>
      <c r="HB85" s="300"/>
      <c r="HC85" s="300"/>
      <c r="HD85" s="300"/>
      <c r="HE85" s="300"/>
      <c r="HF85" s="300"/>
      <c r="HG85" s="398"/>
      <c r="HH85" s="300"/>
      <c r="HI85" s="300"/>
      <c r="HJ85" s="300"/>
      <c r="HK85" s="300"/>
      <c r="HL85" s="396"/>
      <c r="HM85" s="300"/>
      <c r="HN85" s="300"/>
      <c r="HO85" s="300"/>
      <c r="HP85" s="300"/>
      <c r="HQ85" s="300"/>
      <c r="HR85" s="300"/>
      <c r="HS85" s="300"/>
      <c r="HT85" s="300"/>
      <c r="HU85" s="300"/>
      <c r="HV85" s="300"/>
      <c r="HW85" s="300"/>
      <c r="HX85" s="300"/>
      <c r="HY85" s="300"/>
      <c r="HZ85" s="300"/>
      <c r="IA85" s="300"/>
      <c r="IB85" s="300"/>
      <c r="IC85" s="398"/>
    </row>
    <row r="86" ht="12.75" customHeight="1">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0"/>
      <c r="BQ86" s="300"/>
      <c r="BR86" s="300"/>
      <c r="BS86" s="300"/>
      <c r="BT86" s="300"/>
      <c r="BU86" s="300"/>
      <c r="BV86" s="300"/>
      <c r="BW86" s="300"/>
      <c r="BX86" s="300"/>
      <c r="BY86" s="300"/>
      <c r="BZ86" s="300"/>
      <c r="CA86" s="300"/>
      <c r="CB86" s="300"/>
      <c r="CC86" s="300"/>
      <c r="CD86" s="300"/>
      <c r="CE86" s="300"/>
      <c r="CF86" s="300"/>
      <c r="CG86" s="300"/>
      <c r="CH86" s="300"/>
      <c r="CI86" s="300"/>
      <c r="CJ86" s="300"/>
      <c r="CK86" s="300"/>
      <c r="CL86" s="300"/>
      <c r="CM86" s="300"/>
      <c r="CN86" s="300"/>
      <c r="CO86" s="300"/>
      <c r="CP86" s="300"/>
      <c r="CQ86" s="300"/>
      <c r="CR86" s="300"/>
      <c r="CS86" s="300"/>
      <c r="CT86" s="300"/>
      <c r="CU86" s="300"/>
      <c r="CV86" s="300"/>
      <c r="CW86" s="300"/>
      <c r="CX86" s="300"/>
      <c r="CY86" s="300"/>
      <c r="CZ86" s="300"/>
      <c r="DA86" s="300"/>
      <c r="DB86" s="300"/>
      <c r="DC86" s="300"/>
      <c r="DD86" s="300"/>
      <c r="DE86" s="300"/>
      <c r="DF86" s="396"/>
      <c r="DG86" s="300"/>
      <c r="DH86" s="300"/>
      <c r="DI86" s="331"/>
      <c r="DJ86" s="332"/>
      <c r="DK86" s="332"/>
      <c r="DL86" s="332"/>
      <c r="DM86" s="332"/>
      <c r="DN86" s="332"/>
      <c r="DO86" s="332"/>
      <c r="DP86" s="332"/>
      <c r="DQ86" s="332"/>
      <c r="DR86" s="332"/>
      <c r="DS86" s="332"/>
      <c r="DT86" s="333"/>
      <c r="DU86" s="300"/>
      <c r="DV86" s="300"/>
      <c r="DW86" s="398"/>
      <c r="DX86" s="300"/>
      <c r="DY86" s="300"/>
      <c r="DZ86" s="300"/>
      <c r="EA86" s="300"/>
      <c r="EB86" s="396"/>
      <c r="EC86" s="300"/>
      <c r="ED86" s="300"/>
      <c r="EE86" s="300"/>
      <c r="EF86" s="300"/>
      <c r="EG86" s="300"/>
      <c r="EH86" s="300"/>
      <c r="EI86" s="300"/>
      <c r="EJ86" s="300"/>
      <c r="EK86" s="300"/>
      <c r="EL86" s="300"/>
      <c r="EM86" s="300"/>
      <c r="EN86" s="300"/>
      <c r="EO86" s="300"/>
      <c r="EP86" s="300"/>
      <c r="EQ86" s="300"/>
      <c r="ER86" s="300"/>
      <c r="ES86" s="398"/>
      <c r="ET86" s="300"/>
      <c r="EU86" s="300"/>
      <c r="EV86" s="300"/>
      <c r="EW86" s="300"/>
      <c r="EX86" s="396"/>
      <c r="EY86" s="300"/>
      <c r="EZ86" s="300"/>
      <c r="FA86" s="300"/>
      <c r="FB86" s="300"/>
      <c r="FC86" s="300"/>
      <c r="FD86" s="300"/>
      <c r="FE86" s="300"/>
      <c r="FF86" s="300"/>
      <c r="FG86" s="300"/>
      <c r="FH86" s="300"/>
      <c r="FI86" s="300"/>
      <c r="FJ86" s="300"/>
      <c r="FK86" s="300"/>
      <c r="FL86" s="300"/>
      <c r="FM86" s="300"/>
      <c r="FN86" s="300"/>
      <c r="FO86" s="398"/>
      <c r="FP86" s="300"/>
      <c r="FQ86" s="300"/>
      <c r="FR86" s="300"/>
      <c r="FS86" s="300"/>
      <c r="FT86" s="396"/>
      <c r="FU86" s="300"/>
      <c r="FV86" s="300"/>
      <c r="FW86" s="300"/>
      <c r="FX86" s="300"/>
      <c r="FY86" s="300"/>
      <c r="FZ86" s="300"/>
      <c r="GA86" s="300"/>
      <c r="GB86" s="300"/>
      <c r="GC86" s="300"/>
      <c r="GD86" s="300"/>
      <c r="GE86" s="300"/>
      <c r="GF86" s="300"/>
      <c r="GG86" s="300"/>
      <c r="GH86" s="300"/>
      <c r="GI86" s="300"/>
      <c r="GJ86" s="300"/>
      <c r="GK86" s="398"/>
      <c r="GL86" s="300"/>
      <c r="GM86" s="300"/>
      <c r="GN86" s="300"/>
      <c r="GO86" s="300"/>
      <c r="GP86" s="396"/>
      <c r="GQ86" s="300"/>
      <c r="GR86" s="300"/>
      <c r="GS86" s="300"/>
      <c r="GT86" s="300"/>
      <c r="GU86" s="300"/>
      <c r="GV86" s="300"/>
      <c r="GW86" s="300"/>
      <c r="GX86" s="300"/>
      <c r="GY86" s="300"/>
      <c r="GZ86" s="300"/>
      <c r="HA86" s="300"/>
      <c r="HB86" s="300"/>
      <c r="HC86" s="300"/>
      <c r="HD86" s="300"/>
      <c r="HE86" s="300"/>
      <c r="HF86" s="300"/>
      <c r="HG86" s="398"/>
      <c r="HH86" s="300"/>
      <c r="HI86" s="300"/>
      <c r="HJ86" s="300"/>
      <c r="HK86" s="300"/>
      <c r="HL86" s="396"/>
      <c r="HM86" s="300"/>
      <c r="HN86" s="300"/>
      <c r="HO86" s="300"/>
      <c r="HP86" s="300"/>
      <c r="HQ86" s="300"/>
      <c r="HR86" s="300"/>
      <c r="HS86" s="300"/>
      <c r="HT86" s="300"/>
      <c r="HU86" s="300"/>
      <c r="HV86" s="300"/>
      <c r="HW86" s="300"/>
      <c r="HX86" s="300"/>
      <c r="HY86" s="300"/>
      <c r="HZ86" s="300"/>
      <c r="IA86" s="300"/>
      <c r="IB86" s="300"/>
      <c r="IC86" s="398"/>
    </row>
    <row r="87" ht="12.75" customHeight="1">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300"/>
      <c r="BJ87" s="300"/>
      <c r="BK87" s="300"/>
      <c r="BL87" s="300"/>
      <c r="BM87" s="300"/>
      <c r="BN87" s="300"/>
      <c r="BO87" s="300"/>
      <c r="BP87" s="300"/>
      <c r="BQ87" s="300"/>
      <c r="BR87" s="300"/>
      <c r="BS87" s="300"/>
      <c r="BT87" s="300"/>
      <c r="BU87" s="300"/>
      <c r="BV87" s="300"/>
      <c r="BW87" s="300"/>
      <c r="BX87" s="300"/>
      <c r="BY87" s="300"/>
      <c r="BZ87" s="300"/>
      <c r="CA87" s="300"/>
      <c r="CB87" s="300"/>
      <c r="CC87" s="300"/>
      <c r="CD87" s="300"/>
      <c r="CE87" s="300"/>
      <c r="CF87" s="300"/>
      <c r="CG87" s="300"/>
      <c r="CH87" s="300"/>
      <c r="CI87" s="300"/>
      <c r="CJ87" s="300"/>
      <c r="CK87" s="300"/>
      <c r="CL87" s="300"/>
      <c r="CM87" s="300"/>
      <c r="CN87" s="300"/>
      <c r="CO87" s="300"/>
      <c r="CP87" s="300"/>
      <c r="CQ87" s="300"/>
      <c r="CR87" s="300"/>
      <c r="CS87" s="300"/>
      <c r="CT87" s="300"/>
      <c r="CU87" s="300"/>
      <c r="CV87" s="300"/>
      <c r="CW87" s="300"/>
      <c r="CX87" s="300"/>
      <c r="CY87" s="300"/>
      <c r="CZ87" s="300"/>
      <c r="DA87" s="300"/>
      <c r="DB87" s="300"/>
      <c r="DC87" s="300"/>
      <c r="DD87" s="300"/>
      <c r="DE87" s="300"/>
      <c r="DF87" s="396"/>
      <c r="DG87" s="300"/>
      <c r="DH87" s="300"/>
      <c r="DI87" s="300"/>
      <c r="DJ87" s="300"/>
      <c r="DK87" s="300"/>
      <c r="DL87" s="300"/>
      <c r="DM87" s="300"/>
      <c r="DN87" s="300"/>
      <c r="DO87" s="300"/>
      <c r="DP87" s="300"/>
      <c r="DQ87" s="300"/>
      <c r="DR87" s="300"/>
      <c r="DS87" s="300"/>
      <c r="DT87" s="300"/>
      <c r="DU87" s="300"/>
      <c r="DV87" s="300"/>
      <c r="DW87" s="398"/>
      <c r="DX87" s="300"/>
      <c r="DY87" s="300"/>
      <c r="DZ87" s="300"/>
      <c r="EA87" s="300"/>
      <c r="EB87" s="396"/>
      <c r="EC87" s="300"/>
      <c r="ED87" s="300"/>
      <c r="EE87" s="300"/>
      <c r="EF87" s="300"/>
      <c r="EG87" s="300"/>
      <c r="EH87" s="300"/>
      <c r="EI87" s="300"/>
      <c r="EJ87" s="300"/>
      <c r="EK87" s="300"/>
      <c r="EL87" s="300"/>
      <c r="EM87" s="300"/>
      <c r="EN87" s="300"/>
      <c r="EO87" s="300"/>
      <c r="EP87" s="300"/>
      <c r="EQ87" s="300"/>
      <c r="ER87" s="300"/>
      <c r="ES87" s="398"/>
      <c r="ET87" s="300"/>
      <c r="EU87" s="300"/>
      <c r="EV87" s="300"/>
      <c r="EW87" s="300"/>
      <c r="EX87" s="396"/>
      <c r="EY87" s="300"/>
      <c r="EZ87" s="300"/>
      <c r="FA87" s="300"/>
      <c r="FB87" s="300"/>
      <c r="FC87" s="300"/>
      <c r="FD87" s="300"/>
      <c r="FE87" s="300"/>
      <c r="FF87" s="300"/>
      <c r="FG87" s="300"/>
      <c r="FH87" s="300"/>
      <c r="FI87" s="300"/>
      <c r="FJ87" s="300"/>
      <c r="FK87" s="300"/>
      <c r="FL87" s="300"/>
      <c r="FM87" s="300"/>
      <c r="FN87" s="300"/>
      <c r="FO87" s="398"/>
      <c r="FP87" s="300"/>
      <c r="FQ87" s="300"/>
      <c r="FR87" s="300"/>
      <c r="FS87" s="300"/>
      <c r="FT87" s="396"/>
      <c r="FU87" s="300"/>
      <c r="FV87" s="300"/>
      <c r="FW87" s="300"/>
      <c r="FX87" s="300"/>
      <c r="FY87" s="300"/>
      <c r="FZ87" s="300"/>
      <c r="GA87" s="300"/>
      <c r="GB87" s="300"/>
      <c r="GC87" s="300"/>
      <c r="GD87" s="300"/>
      <c r="GE87" s="300"/>
      <c r="GF87" s="300"/>
      <c r="GG87" s="300"/>
      <c r="GH87" s="300"/>
      <c r="GI87" s="300"/>
      <c r="GJ87" s="300"/>
      <c r="GK87" s="398"/>
      <c r="GL87" s="300"/>
      <c r="GM87" s="300"/>
      <c r="GN87" s="300"/>
      <c r="GO87" s="300"/>
      <c r="GP87" s="396"/>
      <c r="GQ87" s="300"/>
      <c r="GR87" s="300"/>
      <c r="GS87" s="300"/>
      <c r="GT87" s="300"/>
      <c r="GU87" s="300"/>
      <c r="GV87" s="300"/>
      <c r="GW87" s="300"/>
      <c r="GX87" s="300"/>
      <c r="GY87" s="300"/>
      <c r="GZ87" s="300"/>
      <c r="HA87" s="300"/>
      <c r="HB87" s="300"/>
      <c r="HC87" s="300"/>
      <c r="HD87" s="300"/>
      <c r="HE87" s="300"/>
      <c r="HF87" s="300"/>
      <c r="HG87" s="398"/>
      <c r="HH87" s="300"/>
      <c r="HI87" s="300"/>
      <c r="HJ87" s="300"/>
      <c r="HK87" s="300"/>
      <c r="HL87" s="396"/>
      <c r="HM87" s="300"/>
      <c r="HN87" s="300"/>
      <c r="HO87" s="300"/>
      <c r="HP87" s="300"/>
      <c r="HQ87" s="300"/>
      <c r="HR87" s="300"/>
      <c r="HS87" s="300"/>
      <c r="HT87" s="300"/>
      <c r="HU87" s="300"/>
      <c r="HV87" s="300"/>
      <c r="HW87" s="300"/>
      <c r="HX87" s="300"/>
      <c r="HY87" s="300"/>
      <c r="HZ87" s="300"/>
      <c r="IA87" s="300"/>
      <c r="IB87" s="300"/>
      <c r="IC87" s="398"/>
    </row>
    <row r="88" ht="12.75" customHeight="1">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300"/>
      <c r="BJ88" s="300"/>
      <c r="BK88" s="300"/>
      <c r="BL88" s="300"/>
      <c r="BM88" s="300"/>
      <c r="BN88" s="300"/>
      <c r="BO88" s="300"/>
      <c r="BP88" s="300"/>
      <c r="BQ88" s="300"/>
      <c r="BR88" s="300"/>
      <c r="BS88" s="300"/>
      <c r="BT88" s="300"/>
      <c r="BU88" s="300"/>
      <c r="BV88" s="300"/>
      <c r="BW88" s="300"/>
      <c r="BX88" s="300"/>
      <c r="BY88" s="300"/>
      <c r="BZ88" s="300"/>
      <c r="CA88" s="300"/>
      <c r="CB88" s="300"/>
      <c r="CC88" s="300"/>
      <c r="CD88" s="300"/>
      <c r="CE88" s="300"/>
      <c r="CF88" s="300"/>
      <c r="CG88" s="300"/>
      <c r="CH88" s="300"/>
      <c r="CI88" s="300"/>
      <c r="CJ88" s="300"/>
      <c r="CK88" s="300"/>
      <c r="CL88" s="300"/>
      <c r="CM88" s="300"/>
      <c r="CN88" s="300"/>
      <c r="CO88" s="300"/>
      <c r="CP88" s="300"/>
      <c r="CQ88" s="300"/>
      <c r="CR88" s="300"/>
      <c r="CS88" s="300"/>
      <c r="CT88" s="300"/>
      <c r="CU88" s="300"/>
      <c r="CV88" s="300"/>
      <c r="CW88" s="300"/>
      <c r="CX88" s="300"/>
      <c r="CY88" s="300"/>
      <c r="CZ88" s="300"/>
      <c r="DA88" s="300"/>
      <c r="DB88" s="300"/>
      <c r="DC88" s="300"/>
      <c r="DD88" s="300"/>
      <c r="DE88" s="300"/>
      <c r="DF88" s="396"/>
      <c r="DG88" s="300"/>
      <c r="DH88" s="300"/>
      <c r="DI88" s="300"/>
      <c r="DJ88" s="300"/>
      <c r="DK88" s="300"/>
      <c r="DL88" s="300"/>
      <c r="DM88" s="300"/>
      <c r="DN88" s="300"/>
      <c r="DO88" s="300"/>
      <c r="DP88" s="300"/>
      <c r="DQ88" s="300"/>
      <c r="DR88" s="300"/>
      <c r="DS88" s="300"/>
      <c r="DT88" s="300"/>
      <c r="DU88" s="300"/>
      <c r="DV88" s="300"/>
      <c r="DW88" s="398"/>
      <c r="DX88" s="300"/>
      <c r="DY88" s="300"/>
      <c r="DZ88" s="300"/>
      <c r="EA88" s="300"/>
      <c r="EB88" s="396"/>
      <c r="EC88" s="300"/>
      <c r="ED88" s="300"/>
      <c r="EE88" s="300"/>
      <c r="EF88" s="300"/>
      <c r="EG88" s="300"/>
      <c r="EH88" s="300"/>
      <c r="EI88" s="300"/>
      <c r="EJ88" s="300"/>
      <c r="EK88" s="300"/>
      <c r="EL88" s="300"/>
      <c r="EM88" s="300"/>
      <c r="EN88" s="300"/>
      <c r="EO88" s="300"/>
      <c r="EP88" s="300"/>
      <c r="EQ88" s="300"/>
      <c r="ER88" s="300"/>
      <c r="ES88" s="398"/>
      <c r="ET88" s="300"/>
      <c r="EU88" s="300"/>
      <c r="EV88" s="300"/>
      <c r="EW88" s="300"/>
      <c r="EX88" s="396"/>
      <c r="EY88" s="300"/>
      <c r="EZ88" s="300"/>
      <c r="FA88" s="300"/>
      <c r="FB88" s="300"/>
      <c r="FC88" s="300"/>
      <c r="FD88" s="300"/>
      <c r="FE88" s="300"/>
      <c r="FF88" s="300"/>
      <c r="FG88" s="300"/>
      <c r="FH88" s="300"/>
      <c r="FI88" s="300"/>
      <c r="FJ88" s="300"/>
      <c r="FK88" s="300"/>
      <c r="FL88" s="300"/>
      <c r="FM88" s="300"/>
      <c r="FN88" s="300"/>
      <c r="FO88" s="398"/>
      <c r="FP88" s="300"/>
      <c r="FQ88" s="300"/>
      <c r="FR88" s="300"/>
      <c r="FS88" s="300"/>
      <c r="FT88" s="396"/>
      <c r="FU88" s="300"/>
      <c r="FV88" s="300"/>
      <c r="FW88" s="300"/>
      <c r="FX88" s="300"/>
      <c r="FY88" s="300"/>
      <c r="FZ88" s="300"/>
      <c r="GA88" s="300"/>
      <c r="GB88" s="300"/>
      <c r="GC88" s="300"/>
      <c r="GD88" s="300"/>
      <c r="GE88" s="300"/>
      <c r="GF88" s="300"/>
      <c r="GG88" s="300"/>
      <c r="GH88" s="300"/>
      <c r="GI88" s="300"/>
      <c r="GJ88" s="300"/>
      <c r="GK88" s="398"/>
      <c r="GL88" s="300"/>
      <c r="GM88" s="300"/>
      <c r="GN88" s="300"/>
      <c r="GO88" s="300"/>
      <c r="GP88" s="396"/>
      <c r="GQ88" s="300"/>
      <c r="GR88" s="300"/>
      <c r="GS88" s="300"/>
      <c r="GT88" s="300"/>
      <c r="GU88" s="300"/>
      <c r="GV88" s="300"/>
      <c r="GW88" s="300"/>
      <c r="GX88" s="300"/>
      <c r="GY88" s="300"/>
      <c r="GZ88" s="300"/>
      <c r="HA88" s="300"/>
      <c r="HB88" s="300"/>
      <c r="HC88" s="300"/>
      <c r="HD88" s="300"/>
      <c r="HE88" s="300"/>
      <c r="HF88" s="300"/>
      <c r="HG88" s="398"/>
      <c r="HH88" s="300"/>
      <c r="HI88" s="300"/>
      <c r="HJ88" s="300"/>
      <c r="HK88" s="300"/>
      <c r="HL88" s="396"/>
      <c r="HM88" s="300"/>
      <c r="HN88" s="300"/>
      <c r="HO88" s="300"/>
      <c r="HP88" s="300"/>
      <c r="HQ88" s="300"/>
      <c r="HR88" s="300"/>
      <c r="HS88" s="300"/>
      <c r="HT88" s="300"/>
      <c r="HU88" s="300"/>
      <c r="HV88" s="300"/>
      <c r="HW88" s="300"/>
      <c r="HX88" s="300"/>
      <c r="HY88" s="300"/>
      <c r="HZ88" s="300"/>
      <c r="IA88" s="300"/>
      <c r="IB88" s="300"/>
      <c r="IC88" s="398"/>
    </row>
    <row r="89" ht="12.75" customHeight="1">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300"/>
      <c r="BJ89" s="300"/>
      <c r="BK89" s="300"/>
      <c r="BL89" s="300"/>
      <c r="BM89" s="300"/>
      <c r="BN89" s="300"/>
      <c r="BO89" s="300"/>
      <c r="BP89" s="300"/>
      <c r="BQ89" s="300"/>
      <c r="BR89" s="300"/>
      <c r="BS89" s="300"/>
      <c r="BT89" s="300"/>
      <c r="BU89" s="300"/>
      <c r="BV89" s="300"/>
      <c r="BW89" s="300"/>
      <c r="BX89" s="300"/>
      <c r="BY89" s="300"/>
      <c r="BZ89" s="300"/>
      <c r="CA89" s="300"/>
      <c r="CB89" s="300"/>
      <c r="CC89" s="300"/>
      <c r="CD89" s="300"/>
      <c r="CE89" s="300"/>
      <c r="CF89" s="300"/>
      <c r="CG89" s="300"/>
      <c r="CH89" s="300"/>
      <c r="CI89" s="300"/>
      <c r="CJ89" s="300"/>
      <c r="CK89" s="300"/>
      <c r="CL89" s="300"/>
      <c r="CM89" s="300"/>
      <c r="CN89" s="300"/>
      <c r="CO89" s="300"/>
      <c r="CP89" s="300"/>
      <c r="CQ89" s="300"/>
      <c r="CR89" s="300"/>
      <c r="CS89" s="300"/>
      <c r="CT89" s="300"/>
      <c r="CU89" s="300"/>
      <c r="CV89" s="300"/>
      <c r="CW89" s="300"/>
      <c r="CX89" s="300"/>
      <c r="CY89" s="300"/>
      <c r="CZ89" s="300"/>
      <c r="DA89" s="300"/>
      <c r="DB89" s="300"/>
      <c r="DC89" s="300"/>
      <c r="DD89" s="300"/>
      <c r="DE89" s="300"/>
      <c r="DF89" s="396"/>
      <c r="DG89" s="300"/>
      <c r="DH89" s="420" t="s">
        <v>482</v>
      </c>
      <c r="DI89" s="300"/>
      <c r="DJ89" s="300"/>
      <c r="DK89" s="423" t="s">
        <v>464</v>
      </c>
      <c r="DL89" s="425"/>
      <c r="DM89" s="300"/>
      <c r="DN89" s="300"/>
      <c r="DO89" s="300"/>
      <c r="DP89" s="300"/>
      <c r="DQ89" s="300"/>
      <c r="DR89" s="300"/>
      <c r="DS89" s="300"/>
      <c r="DT89" s="300"/>
      <c r="DU89" s="300"/>
      <c r="DV89" s="300"/>
      <c r="DW89" s="398"/>
      <c r="DX89" s="300"/>
      <c r="DY89" s="300"/>
      <c r="DZ89" s="300"/>
      <c r="EA89" s="300"/>
      <c r="EB89" s="396"/>
      <c r="EC89" s="300"/>
      <c r="ED89" s="300"/>
      <c r="EE89" s="300"/>
      <c r="EF89" s="300"/>
      <c r="EG89" s="300"/>
      <c r="EH89" s="300"/>
      <c r="EI89" s="300"/>
      <c r="EJ89" s="300"/>
      <c r="EK89" s="300"/>
      <c r="EL89" s="300"/>
      <c r="EM89" s="300"/>
      <c r="EN89" s="300"/>
      <c r="EO89" s="300"/>
      <c r="EP89" s="300"/>
      <c r="EQ89" s="300"/>
      <c r="ER89" s="300"/>
      <c r="ES89" s="398"/>
      <c r="ET89" s="300"/>
      <c r="EU89" s="300"/>
      <c r="EV89" s="300"/>
      <c r="EW89" s="300"/>
      <c r="EX89" s="396"/>
      <c r="EY89" s="300"/>
      <c r="EZ89" s="300"/>
      <c r="FA89" s="300"/>
      <c r="FB89" s="300"/>
      <c r="FC89" s="300"/>
      <c r="FD89" s="300"/>
      <c r="FE89" s="300"/>
      <c r="FF89" s="300"/>
      <c r="FG89" s="300"/>
      <c r="FH89" s="300"/>
      <c r="FI89" s="300"/>
      <c r="FJ89" s="300"/>
      <c r="FK89" s="300"/>
      <c r="FL89" s="300"/>
      <c r="FM89" s="300"/>
      <c r="FN89" s="300"/>
      <c r="FO89" s="398"/>
      <c r="FP89" s="300"/>
      <c r="FQ89" s="300"/>
      <c r="FR89" s="300"/>
      <c r="FS89" s="300"/>
      <c r="FT89" s="396"/>
      <c r="FU89" s="300"/>
      <c r="FV89" s="300"/>
      <c r="FW89" s="300"/>
      <c r="FX89" s="300"/>
      <c r="FY89" s="300"/>
      <c r="FZ89" s="300"/>
      <c r="GA89" s="300"/>
      <c r="GB89" s="300"/>
      <c r="GC89" s="300"/>
      <c r="GD89" s="300"/>
      <c r="GE89" s="300"/>
      <c r="GF89" s="300"/>
      <c r="GG89" s="300"/>
      <c r="GH89" s="300"/>
      <c r="GI89" s="300"/>
      <c r="GJ89" s="300"/>
      <c r="GK89" s="398"/>
      <c r="GL89" s="300"/>
      <c r="GM89" s="300"/>
      <c r="GN89" s="300"/>
      <c r="GO89" s="300"/>
      <c r="GP89" s="396"/>
      <c r="GQ89" s="300"/>
      <c r="GR89" s="300"/>
      <c r="GS89" s="300"/>
      <c r="GT89" s="300"/>
      <c r="GU89" s="300"/>
      <c r="GV89" s="300"/>
      <c r="GW89" s="300"/>
      <c r="GX89" s="300"/>
      <c r="GY89" s="300"/>
      <c r="GZ89" s="300"/>
      <c r="HA89" s="300"/>
      <c r="HB89" s="300"/>
      <c r="HC89" s="300"/>
      <c r="HD89" s="300"/>
      <c r="HE89" s="300"/>
      <c r="HF89" s="300"/>
      <c r="HG89" s="398"/>
      <c r="HH89" s="300"/>
      <c r="HI89" s="300"/>
      <c r="HJ89" s="300"/>
      <c r="HK89" s="300"/>
      <c r="HL89" s="396"/>
      <c r="HM89" s="300"/>
      <c r="HN89" s="300"/>
      <c r="HO89" s="300"/>
      <c r="HP89" s="300"/>
      <c r="HQ89" s="300"/>
      <c r="HR89" s="300"/>
      <c r="HS89" s="300"/>
      <c r="HT89" s="300"/>
      <c r="HU89" s="300"/>
      <c r="HV89" s="300"/>
      <c r="HW89" s="300"/>
      <c r="HX89" s="300"/>
      <c r="HY89" s="300"/>
      <c r="HZ89" s="300"/>
      <c r="IA89" s="300"/>
      <c r="IB89" s="300"/>
      <c r="IC89" s="398"/>
    </row>
    <row r="90" ht="12.75" customHeight="1">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300"/>
      <c r="BJ90" s="300"/>
      <c r="BK90" s="300"/>
      <c r="BL90" s="300"/>
      <c r="BM90" s="300"/>
      <c r="BN90" s="300"/>
      <c r="BO90" s="300"/>
      <c r="BP90" s="300"/>
      <c r="BQ90" s="300"/>
      <c r="BR90" s="300"/>
      <c r="BS90" s="300"/>
      <c r="BT90" s="300"/>
      <c r="BU90" s="300"/>
      <c r="BV90" s="300"/>
      <c r="BW90" s="300"/>
      <c r="BX90" s="300"/>
      <c r="BY90" s="300"/>
      <c r="BZ90" s="300"/>
      <c r="CA90" s="300"/>
      <c r="CB90" s="300"/>
      <c r="CC90" s="300"/>
      <c r="CD90" s="300"/>
      <c r="CE90" s="300"/>
      <c r="CF90" s="300"/>
      <c r="CG90" s="300"/>
      <c r="CH90" s="300"/>
      <c r="CI90" s="300"/>
      <c r="CJ90" s="300"/>
      <c r="CK90" s="300"/>
      <c r="CL90" s="300"/>
      <c r="CM90" s="300"/>
      <c r="CN90" s="300"/>
      <c r="CO90" s="300"/>
      <c r="CP90" s="300"/>
      <c r="CQ90" s="300"/>
      <c r="CR90" s="300"/>
      <c r="CS90" s="300"/>
      <c r="CT90" s="300"/>
      <c r="CU90" s="300"/>
      <c r="CV90" s="300"/>
      <c r="CW90" s="300"/>
      <c r="CX90" s="300"/>
      <c r="CY90" s="300"/>
      <c r="CZ90" s="300"/>
      <c r="DA90" s="300"/>
      <c r="DB90" s="300"/>
      <c r="DC90" s="300"/>
      <c r="DD90" s="300"/>
      <c r="DE90" s="300"/>
      <c r="DF90" s="396"/>
      <c r="DG90" s="300"/>
      <c r="DH90" s="447">
        <v>1000005.0</v>
      </c>
      <c r="DI90" s="10"/>
      <c r="DJ90" s="10"/>
      <c r="DK90" s="10"/>
      <c r="DL90" s="10"/>
      <c r="DM90" s="19"/>
      <c r="DN90" s="450"/>
      <c r="DO90" s="300"/>
      <c r="DP90" s="300"/>
      <c r="DQ90" s="300"/>
      <c r="DR90" s="300"/>
      <c r="DS90" s="300"/>
      <c r="DT90" s="300"/>
      <c r="DU90" s="300"/>
      <c r="DV90" s="300"/>
      <c r="DW90" s="398"/>
      <c r="DX90" s="300"/>
      <c r="DY90" s="300"/>
      <c r="DZ90" s="300"/>
      <c r="EA90" s="300"/>
      <c r="EB90" s="396"/>
      <c r="EC90" s="300"/>
      <c r="ED90" s="300"/>
      <c r="EE90" s="300"/>
      <c r="EF90" s="300"/>
      <c r="EG90" s="300"/>
      <c r="EH90" s="300"/>
      <c r="EI90" s="300"/>
      <c r="EJ90" s="300"/>
      <c r="EK90" s="300"/>
      <c r="EL90" s="300"/>
      <c r="EM90" s="300"/>
      <c r="EN90" s="300"/>
      <c r="EO90" s="300"/>
      <c r="EP90" s="300"/>
      <c r="EQ90" s="300"/>
      <c r="ER90" s="300"/>
      <c r="ES90" s="398"/>
      <c r="ET90" s="300"/>
      <c r="EU90" s="300"/>
      <c r="EV90" s="300"/>
      <c r="EW90" s="300"/>
      <c r="EX90" s="396"/>
      <c r="EY90" s="300"/>
      <c r="EZ90" s="300"/>
      <c r="FA90" s="300"/>
      <c r="FB90" s="300"/>
      <c r="FC90" s="300"/>
      <c r="FD90" s="300"/>
      <c r="FE90" s="300"/>
      <c r="FF90" s="300"/>
      <c r="FG90" s="300"/>
      <c r="FH90" s="300"/>
      <c r="FI90" s="300"/>
      <c r="FJ90" s="300"/>
      <c r="FK90" s="300"/>
      <c r="FL90" s="300"/>
      <c r="FM90" s="300"/>
      <c r="FN90" s="300"/>
      <c r="FO90" s="398"/>
      <c r="FP90" s="300"/>
      <c r="FQ90" s="300"/>
      <c r="FR90" s="300"/>
      <c r="FS90" s="300"/>
      <c r="FT90" s="396"/>
      <c r="FU90" s="300"/>
      <c r="FV90" s="300"/>
      <c r="FW90" s="300"/>
      <c r="FX90" s="300"/>
      <c r="FY90" s="300"/>
      <c r="FZ90" s="300"/>
      <c r="GA90" s="300"/>
      <c r="GB90" s="300"/>
      <c r="GC90" s="300"/>
      <c r="GD90" s="300"/>
      <c r="GE90" s="300"/>
      <c r="GF90" s="300"/>
      <c r="GG90" s="300"/>
      <c r="GH90" s="300"/>
      <c r="GI90" s="300"/>
      <c r="GJ90" s="300"/>
      <c r="GK90" s="398"/>
      <c r="GL90" s="300"/>
      <c r="GM90" s="300"/>
      <c r="GN90" s="300"/>
      <c r="GO90" s="300"/>
      <c r="GP90" s="396"/>
      <c r="GQ90" s="300"/>
      <c r="GR90" s="300"/>
      <c r="GS90" s="300"/>
      <c r="GT90" s="300"/>
      <c r="GU90" s="300"/>
      <c r="GV90" s="300"/>
      <c r="GW90" s="300"/>
      <c r="GX90" s="300"/>
      <c r="GY90" s="300"/>
      <c r="GZ90" s="300"/>
      <c r="HA90" s="300"/>
      <c r="HB90" s="300"/>
      <c r="HC90" s="300"/>
      <c r="HD90" s="300"/>
      <c r="HE90" s="300"/>
      <c r="HF90" s="300"/>
      <c r="HG90" s="398"/>
      <c r="HH90" s="300"/>
      <c r="HI90" s="300"/>
      <c r="HJ90" s="300"/>
      <c r="HK90" s="300"/>
      <c r="HL90" s="396"/>
      <c r="HM90" s="300"/>
      <c r="HN90" s="300"/>
      <c r="HO90" s="300"/>
      <c r="HP90" s="300"/>
      <c r="HQ90" s="300"/>
      <c r="HR90" s="300"/>
      <c r="HS90" s="300"/>
      <c r="HT90" s="300"/>
      <c r="HU90" s="300"/>
      <c r="HV90" s="300"/>
      <c r="HW90" s="300"/>
      <c r="HX90" s="300"/>
      <c r="HY90" s="300"/>
      <c r="HZ90" s="300"/>
      <c r="IA90" s="300"/>
      <c r="IB90" s="300"/>
      <c r="IC90" s="398"/>
    </row>
    <row r="91" ht="12.75" customHeight="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300"/>
      <c r="BJ91" s="300"/>
      <c r="BK91" s="300"/>
      <c r="BL91" s="300"/>
      <c r="BM91" s="300"/>
      <c r="BN91" s="300"/>
      <c r="BO91" s="300"/>
      <c r="BP91" s="300"/>
      <c r="BQ91" s="300"/>
      <c r="BR91" s="300"/>
      <c r="BS91" s="300"/>
      <c r="BT91" s="300"/>
      <c r="BU91" s="300"/>
      <c r="BV91" s="300"/>
      <c r="BW91" s="300"/>
      <c r="BX91" s="300"/>
      <c r="BY91" s="300"/>
      <c r="BZ91" s="300"/>
      <c r="CA91" s="300"/>
      <c r="CB91" s="300"/>
      <c r="CC91" s="300"/>
      <c r="CD91" s="300"/>
      <c r="CE91" s="300"/>
      <c r="CF91" s="300"/>
      <c r="CG91" s="300"/>
      <c r="CH91" s="300"/>
      <c r="CI91" s="300"/>
      <c r="CJ91" s="300"/>
      <c r="CK91" s="300"/>
      <c r="CL91" s="300"/>
      <c r="CM91" s="300"/>
      <c r="CN91" s="300"/>
      <c r="CO91" s="300"/>
      <c r="CP91" s="300"/>
      <c r="CQ91" s="300"/>
      <c r="CR91" s="300"/>
      <c r="CS91" s="300"/>
      <c r="CT91" s="300"/>
      <c r="CU91" s="300"/>
      <c r="CV91" s="300"/>
      <c r="CW91" s="300"/>
      <c r="CX91" s="300"/>
      <c r="CY91" s="300"/>
      <c r="CZ91" s="300"/>
      <c r="DA91" s="300"/>
      <c r="DB91" s="300"/>
      <c r="DC91" s="300"/>
      <c r="DD91" s="300"/>
      <c r="DE91" s="300"/>
      <c r="DF91" s="396"/>
      <c r="DG91" s="300"/>
      <c r="DH91" s="394"/>
      <c r="DI91" s="52"/>
      <c r="DJ91" s="52"/>
      <c r="DK91" s="52"/>
      <c r="DL91" s="52"/>
      <c r="DM91" s="30"/>
      <c r="DN91" s="450"/>
      <c r="DO91" s="300"/>
      <c r="DP91" s="300"/>
      <c r="DQ91" s="300"/>
      <c r="DR91" s="300"/>
      <c r="DS91" s="300"/>
      <c r="DT91" s="300"/>
      <c r="DU91" s="300"/>
      <c r="DV91" s="300"/>
      <c r="DW91" s="398"/>
      <c r="DX91" s="300"/>
      <c r="DY91" s="300"/>
      <c r="DZ91" s="300"/>
      <c r="EA91" s="300"/>
      <c r="EB91" s="396"/>
      <c r="EC91" s="300"/>
      <c r="ED91" s="300"/>
      <c r="EE91" s="300"/>
      <c r="EF91" s="300"/>
      <c r="EG91" s="300"/>
      <c r="EH91" s="300"/>
      <c r="EI91" s="300"/>
      <c r="EJ91" s="300"/>
      <c r="EK91" s="300"/>
      <c r="EL91" s="300"/>
      <c r="EM91" s="300"/>
      <c r="EN91" s="300"/>
      <c r="EO91" s="300"/>
      <c r="EP91" s="300"/>
      <c r="EQ91" s="300"/>
      <c r="ER91" s="300"/>
      <c r="ES91" s="398"/>
      <c r="ET91" s="300"/>
      <c r="EU91" s="300"/>
      <c r="EV91" s="300"/>
      <c r="EW91" s="300"/>
      <c r="EX91" s="396"/>
      <c r="EY91" s="300"/>
      <c r="EZ91" s="300"/>
      <c r="FA91" s="300"/>
      <c r="FB91" s="300"/>
      <c r="FC91" s="300"/>
      <c r="FD91" s="300"/>
      <c r="FE91" s="300"/>
      <c r="FF91" s="300"/>
      <c r="FG91" s="300"/>
      <c r="FH91" s="300"/>
      <c r="FI91" s="300"/>
      <c r="FJ91" s="300"/>
      <c r="FK91" s="300"/>
      <c r="FL91" s="300"/>
      <c r="FM91" s="300"/>
      <c r="FN91" s="300"/>
      <c r="FO91" s="398"/>
      <c r="FP91" s="300"/>
      <c r="FQ91" s="300"/>
      <c r="FR91" s="300"/>
      <c r="FS91" s="300"/>
      <c r="FT91" s="396"/>
      <c r="FU91" s="300"/>
      <c r="FV91" s="300"/>
      <c r="FW91" s="300"/>
      <c r="FX91" s="300"/>
      <c r="FY91" s="300"/>
      <c r="FZ91" s="300"/>
      <c r="GA91" s="300"/>
      <c r="GB91" s="300"/>
      <c r="GC91" s="300"/>
      <c r="GD91" s="300"/>
      <c r="GE91" s="300"/>
      <c r="GF91" s="300"/>
      <c r="GG91" s="300"/>
      <c r="GH91" s="300"/>
      <c r="GI91" s="300"/>
      <c r="GJ91" s="300"/>
      <c r="GK91" s="398"/>
      <c r="GL91" s="300"/>
      <c r="GM91" s="300"/>
      <c r="GN91" s="300"/>
      <c r="GO91" s="300"/>
      <c r="GP91" s="396"/>
      <c r="GQ91" s="300"/>
      <c r="GR91" s="300"/>
      <c r="GS91" s="300"/>
      <c r="GT91" s="300"/>
      <c r="GU91" s="300"/>
      <c r="GV91" s="300"/>
      <c r="GW91" s="300"/>
      <c r="GX91" s="300"/>
      <c r="GY91" s="300"/>
      <c r="GZ91" s="300"/>
      <c r="HA91" s="300"/>
      <c r="HB91" s="300"/>
      <c r="HC91" s="300"/>
      <c r="HD91" s="300"/>
      <c r="HE91" s="300"/>
      <c r="HF91" s="300"/>
      <c r="HG91" s="398"/>
      <c r="HH91" s="300"/>
      <c r="HI91" s="300"/>
      <c r="HJ91" s="300"/>
      <c r="HK91" s="300"/>
      <c r="HL91" s="396"/>
      <c r="HM91" s="300"/>
      <c r="HN91" s="300"/>
      <c r="HO91" s="300"/>
      <c r="HP91" s="300"/>
      <c r="HQ91" s="300"/>
      <c r="HR91" s="300"/>
      <c r="HS91" s="300"/>
      <c r="HT91" s="300"/>
      <c r="HU91" s="300"/>
      <c r="HV91" s="300"/>
      <c r="HW91" s="300"/>
      <c r="HX91" s="300"/>
      <c r="HY91" s="300"/>
      <c r="HZ91" s="300"/>
      <c r="IA91" s="300"/>
      <c r="IB91" s="300"/>
      <c r="IC91" s="398"/>
    </row>
    <row r="92" ht="12.75" customHeight="1">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300"/>
      <c r="BJ92" s="300"/>
      <c r="BK92" s="300"/>
      <c r="BL92" s="300"/>
      <c r="BM92" s="300"/>
      <c r="BN92" s="300"/>
      <c r="BO92" s="300"/>
      <c r="BP92" s="300"/>
      <c r="BQ92" s="300"/>
      <c r="BR92" s="300"/>
      <c r="BS92" s="300"/>
      <c r="BT92" s="300"/>
      <c r="BU92" s="300"/>
      <c r="BV92" s="300"/>
      <c r="BW92" s="300"/>
      <c r="BX92" s="300"/>
      <c r="BY92" s="300"/>
      <c r="BZ92" s="300"/>
      <c r="CA92" s="300"/>
      <c r="CB92" s="300"/>
      <c r="CC92" s="300"/>
      <c r="CD92" s="300"/>
      <c r="CE92" s="300"/>
      <c r="CF92" s="300"/>
      <c r="CG92" s="300"/>
      <c r="CH92" s="300"/>
      <c r="CI92" s="300"/>
      <c r="CJ92" s="300"/>
      <c r="CK92" s="300"/>
      <c r="CL92" s="300"/>
      <c r="CM92" s="300"/>
      <c r="CN92" s="300"/>
      <c r="CO92" s="300"/>
      <c r="CP92" s="300"/>
      <c r="CQ92" s="300"/>
      <c r="CR92" s="300"/>
      <c r="CS92" s="300"/>
      <c r="CT92" s="300"/>
      <c r="CU92" s="300"/>
      <c r="CV92" s="300"/>
      <c r="CW92" s="300"/>
      <c r="CX92" s="300"/>
      <c r="CY92" s="300"/>
      <c r="CZ92" s="300"/>
      <c r="DA92" s="300"/>
      <c r="DB92" s="300"/>
      <c r="DC92" s="300"/>
      <c r="DD92" s="300"/>
      <c r="DE92" s="300"/>
      <c r="DF92" s="396"/>
      <c r="DG92" s="300"/>
      <c r="DH92" s="300"/>
      <c r="DI92" s="300"/>
      <c r="DJ92" s="300"/>
      <c r="DK92" s="300"/>
      <c r="DL92" s="300"/>
      <c r="DM92" s="300"/>
      <c r="DN92" s="300"/>
      <c r="DO92" s="300"/>
      <c r="DP92" s="300"/>
      <c r="DQ92" s="300"/>
      <c r="DR92" s="300"/>
      <c r="DS92" s="300"/>
      <c r="DT92" s="300"/>
      <c r="DU92" s="300"/>
      <c r="DV92" s="300"/>
      <c r="DW92" s="398"/>
      <c r="DX92" s="300"/>
      <c r="DY92" s="300"/>
      <c r="DZ92" s="300"/>
      <c r="EA92" s="300"/>
      <c r="EB92" s="396"/>
      <c r="EC92" s="300"/>
      <c r="ED92" s="300"/>
      <c r="EE92" s="300"/>
      <c r="EF92" s="300"/>
      <c r="EG92" s="300"/>
      <c r="EH92" s="300"/>
      <c r="EI92" s="300"/>
      <c r="EJ92" s="300"/>
      <c r="EK92" s="300"/>
      <c r="EL92" s="300"/>
      <c r="EM92" s="300"/>
      <c r="EN92" s="300"/>
      <c r="EO92" s="300"/>
      <c r="EP92" s="300"/>
      <c r="EQ92" s="300"/>
      <c r="ER92" s="300"/>
      <c r="ES92" s="398"/>
      <c r="ET92" s="300"/>
      <c r="EU92" s="300"/>
      <c r="EV92" s="300"/>
      <c r="EW92" s="300"/>
      <c r="EX92" s="396"/>
      <c r="EY92" s="300"/>
      <c r="EZ92" s="300"/>
      <c r="FA92" s="300"/>
      <c r="FB92" s="300"/>
      <c r="FC92" s="300"/>
      <c r="FD92" s="300"/>
      <c r="FE92" s="300"/>
      <c r="FF92" s="300"/>
      <c r="FG92" s="300"/>
      <c r="FH92" s="300"/>
      <c r="FI92" s="300"/>
      <c r="FJ92" s="300"/>
      <c r="FK92" s="300"/>
      <c r="FL92" s="300"/>
      <c r="FM92" s="300"/>
      <c r="FN92" s="300"/>
      <c r="FO92" s="398"/>
      <c r="FP92" s="300"/>
      <c r="FQ92" s="300"/>
      <c r="FR92" s="300"/>
      <c r="FS92" s="300"/>
      <c r="FT92" s="396"/>
      <c r="FU92" s="300"/>
      <c r="FV92" s="300"/>
      <c r="FW92" s="300"/>
      <c r="FX92" s="300"/>
      <c r="FY92" s="300"/>
      <c r="FZ92" s="300"/>
      <c r="GA92" s="300"/>
      <c r="GB92" s="300"/>
      <c r="GC92" s="300"/>
      <c r="GD92" s="300"/>
      <c r="GE92" s="300"/>
      <c r="GF92" s="300"/>
      <c r="GG92" s="300"/>
      <c r="GH92" s="300"/>
      <c r="GI92" s="300"/>
      <c r="GJ92" s="300"/>
      <c r="GK92" s="398"/>
      <c r="GL92" s="300"/>
      <c r="GM92" s="300"/>
      <c r="GN92" s="300"/>
      <c r="GO92" s="300"/>
      <c r="GP92" s="396"/>
      <c r="GQ92" s="300"/>
      <c r="GR92" s="300"/>
      <c r="GS92" s="300"/>
      <c r="GT92" s="300"/>
      <c r="GU92" s="300"/>
      <c r="GV92" s="300"/>
      <c r="GW92" s="300"/>
      <c r="GX92" s="300"/>
      <c r="GY92" s="300"/>
      <c r="GZ92" s="300"/>
      <c r="HA92" s="300"/>
      <c r="HB92" s="300"/>
      <c r="HC92" s="300"/>
      <c r="HD92" s="300"/>
      <c r="HE92" s="300"/>
      <c r="HF92" s="300"/>
      <c r="HG92" s="398"/>
      <c r="HH92" s="300"/>
      <c r="HI92" s="300"/>
      <c r="HJ92" s="300"/>
      <c r="HK92" s="300"/>
      <c r="HL92" s="396"/>
      <c r="HM92" s="300"/>
      <c r="HN92" s="300"/>
      <c r="HO92" s="300"/>
      <c r="HP92" s="300"/>
      <c r="HQ92" s="300"/>
      <c r="HR92" s="300"/>
      <c r="HS92" s="300"/>
      <c r="HT92" s="300"/>
      <c r="HU92" s="300"/>
      <c r="HV92" s="300"/>
      <c r="HW92" s="300"/>
      <c r="HX92" s="300"/>
      <c r="HY92" s="300"/>
      <c r="HZ92" s="300"/>
      <c r="IA92" s="300"/>
      <c r="IB92" s="300"/>
      <c r="IC92" s="398"/>
    </row>
    <row r="93" ht="12.75" customHeight="1">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300"/>
      <c r="BJ93" s="300"/>
      <c r="BK93" s="300"/>
      <c r="BL93" s="300"/>
      <c r="BM93" s="300"/>
      <c r="BN93" s="300"/>
      <c r="BO93" s="300"/>
      <c r="BP93" s="300"/>
      <c r="BQ93" s="300"/>
      <c r="BR93" s="300"/>
      <c r="BS93" s="300"/>
      <c r="BT93" s="300"/>
      <c r="BU93" s="300"/>
      <c r="BV93" s="300"/>
      <c r="BW93" s="300"/>
      <c r="BX93" s="300"/>
      <c r="BY93" s="300"/>
      <c r="BZ93" s="300"/>
      <c r="CA93" s="300"/>
      <c r="CB93" s="300"/>
      <c r="CC93" s="300"/>
      <c r="CD93" s="300"/>
      <c r="CE93" s="300"/>
      <c r="CF93" s="300"/>
      <c r="CG93" s="300"/>
      <c r="CH93" s="300"/>
      <c r="CI93" s="300"/>
      <c r="CJ93" s="300"/>
      <c r="CK93" s="300"/>
      <c r="CL93" s="300"/>
      <c r="CM93" s="300"/>
      <c r="CN93" s="300"/>
      <c r="CO93" s="300"/>
      <c r="CP93" s="300"/>
      <c r="CQ93" s="300"/>
      <c r="CR93" s="300"/>
      <c r="CS93" s="300"/>
      <c r="CT93" s="300"/>
      <c r="CU93" s="300"/>
      <c r="CV93" s="300"/>
      <c r="CW93" s="300"/>
      <c r="CX93" s="300"/>
      <c r="CY93" s="300"/>
      <c r="CZ93" s="300"/>
      <c r="DA93" s="300"/>
      <c r="DB93" s="300"/>
      <c r="DC93" s="300"/>
      <c r="DD93" s="300"/>
      <c r="DE93" s="300"/>
      <c r="DF93" s="396"/>
      <c r="DG93" s="300"/>
      <c r="DH93" s="420" t="s">
        <v>486</v>
      </c>
      <c r="DI93" s="300"/>
      <c r="DJ93" s="423" t="s">
        <v>464</v>
      </c>
      <c r="DK93" s="425"/>
      <c r="DL93" s="300"/>
      <c r="DM93" s="300"/>
      <c r="DN93" s="300"/>
      <c r="DO93" s="300"/>
      <c r="DP93" s="300"/>
      <c r="DQ93" s="300"/>
      <c r="DR93" s="300"/>
      <c r="DS93" s="300"/>
      <c r="DT93" s="300"/>
      <c r="DU93" s="300"/>
      <c r="DV93" s="300"/>
      <c r="DW93" s="398"/>
      <c r="DX93" s="300"/>
      <c r="DY93" s="300"/>
      <c r="DZ93" s="300"/>
      <c r="EA93" s="300"/>
      <c r="EB93" s="385"/>
      <c r="EC93" s="387"/>
      <c r="ED93" s="387"/>
      <c r="EE93" s="387"/>
      <c r="EF93" s="387"/>
      <c r="EG93" s="387"/>
      <c r="EH93" s="387"/>
      <c r="EI93" s="387"/>
      <c r="EJ93" s="387"/>
      <c r="EK93" s="387"/>
      <c r="EL93" s="387"/>
      <c r="EM93" s="387"/>
      <c r="EN93" s="387"/>
      <c r="EO93" s="387"/>
      <c r="EP93" s="387"/>
      <c r="EQ93" s="387"/>
      <c r="ER93" s="387"/>
      <c r="ES93" s="389"/>
      <c r="ET93" s="300"/>
      <c r="EU93" s="300"/>
      <c r="EV93" s="300"/>
      <c r="EW93" s="300"/>
      <c r="EX93" s="385"/>
      <c r="EY93" s="387"/>
      <c r="EZ93" s="387"/>
      <c r="FA93" s="387"/>
      <c r="FB93" s="387"/>
      <c r="FC93" s="387"/>
      <c r="FD93" s="387"/>
      <c r="FE93" s="387"/>
      <c r="FF93" s="387"/>
      <c r="FG93" s="387"/>
      <c r="FH93" s="387"/>
      <c r="FI93" s="387"/>
      <c r="FJ93" s="387"/>
      <c r="FK93" s="387"/>
      <c r="FL93" s="387"/>
      <c r="FM93" s="387"/>
      <c r="FN93" s="387"/>
      <c r="FO93" s="389"/>
      <c r="FP93" s="300"/>
      <c r="FQ93" s="300"/>
      <c r="FR93" s="300"/>
      <c r="FS93" s="300"/>
      <c r="FT93" s="385"/>
      <c r="FU93" s="387"/>
      <c r="FV93" s="387"/>
      <c r="FW93" s="387"/>
      <c r="FX93" s="387"/>
      <c r="FY93" s="387"/>
      <c r="FZ93" s="387"/>
      <c r="GA93" s="387"/>
      <c r="GB93" s="387"/>
      <c r="GC93" s="387"/>
      <c r="GD93" s="387"/>
      <c r="GE93" s="387"/>
      <c r="GF93" s="387"/>
      <c r="GG93" s="387"/>
      <c r="GH93" s="387"/>
      <c r="GI93" s="387"/>
      <c r="GJ93" s="387"/>
      <c r="GK93" s="389"/>
      <c r="GL93" s="300"/>
      <c r="GM93" s="300"/>
      <c r="GN93" s="300"/>
      <c r="GO93" s="300"/>
      <c r="GP93" s="385"/>
      <c r="GQ93" s="387"/>
      <c r="GR93" s="387"/>
      <c r="GS93" s="387"/>
      <c r="GT93" s="387"/>
      <c r="GU93" s="387"/>
      <c r="GV93" s="387"/>
      <c r="GW93" s="387"/>
      <c r="GX93" s="387"/>
      <c r="GY93" s="387"/>
      <c r="GZ93" s="387"/>
      <c r="HA93" s="387"/>
      <c r="HB93" s="387"/>
      <c r="HC93" s="387"/>
      <c r="HD93" s="387"/>
      <c r="HE93" s="387"/>
      <c r="HF93" s="387"/>
      <c r="HG93" s="389"/>
      <c r="HH93" s="300"/>
      <c r="HI93" s="300"/>
      <c r="HJ93" s="300"/>
      <c r="HK93" s="300"/>
      <c r="HL93" s="385"/>
      <c r="HM93" s="387"/>
      <c r="HN93" s="387"/>
      <c r="HO93" s="387"/>
      <c r="HP93" s="387"/>
      <c r="HQ93" s="387"/>
      <c r="HR93" s="387"/>
      <c r="HS93" s="387"/>
      <c r="HT93" s="387"/>
      <c r="HU93" s="387"/>
      <c r="HV93" s="387"/>
      <c r="HW93" s="387"/>
      <c r="HX93" s="387"/>
      <c r="HY93" s="387"/>
      <c r="HZ93" s="387"/>
      <c r="IA93" s="387"/>
      <c r="IB93" s="387"/>
      <c r="IC93" s="389"/>
    </row>
    <row r="94" ht="12.75" customHeight="1">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300"/>
      <c r="BJ94" s="300"/>
      <c r="BK94" s="300"/>
      <c r="BL94" s="300"/>
      <c r="BM94" s="300"/>
      <c r="BN94" s="300"/>
      <c r="BO94" s="300"/>
      <c r="BP94" s="300"/>
      <c r="BQ94" s="300"/>
      <c r="BR94" s="300"/>
      <c r="BS94" s="300"/>
      <c r="BT94" s="300"/>
      <c r="BU94" s="300"/>
      <c r="BV94" s="300"/>
      <c r="BW94" s="300"/>
      <c r="BX94" s="300"/>
      <c r="BY94" s="300"/>
      <c r="BZ94" s="300"/>
      <c r="CA94" s="300"/>
      <c r="CB94" s="300"/>
      <c r="CC94" s="300"/>
      <c r="CD94" s="300"/>
      <c r="CE94" s="300"/>
      <c r="CF94" s="300"/>
      <c r="CG94" s="300"/>
      <c r="CH94" s="300"/>
      <c r="CI94" s="300"/>
      <c r="CJ94" s="300"/>
      <c r="CK94" s="300"/>
      <c r="CL94" s="300"/>
      <c r="CM94" s="300"/>
      <c r="CN94" s="300"/>
      <c r="CO94" s="300"/>
      <c r="CP94" s="300"/>
      <c r="CQ94" s="300"/>
      <c r="CR94" s="300"/>
      <c r="CS94" s="300"/>
      <c r="CT94" s="300"/>
      <c r="CU94" s="300"/>
      <c r="CV94" s="300"/>
      <c r="CW94" s="300"/>
      <c r="CX94" s="300"/>
      <c r="CY94" s="300"/>
      <c r="CZ94" s="300"/>
      <c r="DA94" s="300"/>
      <c r="DB94" s="300"/>
      <c r="DC94" s="300"/>
      <c r="DD94" s="300"/>
      <c r="DE94" s="300"/>
      <c r="DF94" s="396"/>
      <c r="DG94" s="300"/>
      <c r="DH94" s="447" t="s">
        <v>488</v>
      </c>
      <c r="DI94" s="10"/>
      <c r="DJ94" s="10"/>
      <c r="DK94" s="10"/>
      <c r="DL94" s="10"/>
      <c r="DM94" s="10"/>
      <c r="DN94" s="10"/>
      <c r="DO94" s="10"/>
      <c r="DP94" s="10"/>
      <c r="DQ94" s="10"/>
      <c r="DR94" s="10"/>
      <c r="DS94" s="10"/>
      <c r="DT94" s="10"/>
      <c r="DU94" s="19"/>
      <c r="DV94" s="300"/>
      <c r="DW94" s="398"/>
      <c r="DX94" s="300"/>
      <c r="DY94" s="300"/>
      <c r="DZ94" s="300"/>
      <c r="EA94" s="300"/>
      <c r="EB94" s="376"/>
      <c r="EC94" s="378"/>
      <c r="ED94" s="378"/>
      <c r="EE94" s="378"/>
      <c r="EF94" s="378"/>
      <c r="EG94" s="378"/>
      <c r="EH94" s="378"/>
      <c r="EI94" s="378"/>
      <c r="EJ94" s="378"/>
      <c r="EK94" s="378"/>
      <c r="EL94" s="378"/>
      <c r="EM94" s="378"/>
      <c r="EN94" s="378"/>
      <c r="EO94" s="378"/>
      <c r="EP94" s="378"/>
      <c r="EQ94" s="378"/>
      <c r="ER94" s="378"/>
      <c r="ES94" s="380"/>
      <c r="ET94" s="300"/>
      <c r="EU94" s="300"/>
      <c r="EV94" s="300"/>
      <c r="EW94" s="300"/>
      <c r="EX94" s="376"/>
      <c r="EY94" s="378"/>
      <c r="EZ94" s="378"/>
      <c r="FA94" s="378"/>
      <c r="FB94" s="378"/>
      <c r="FC94" s="378"/>
      <c r="FD94" s="378"/>
      <c r="FE94" s="378"/>
      <c r="FF94" s="378"/>
      <c r="FG94" s="378"/>
      <c r="FH94" s="378"/>
      <c r="FI94" s="378"/>
      <c r="FJ94" s="378"/>
      <c r="FK94" s="378"/>
      <c r="FL94" s="378"/>
      <c r="FM94" s="378"/>
      <c r="FN94" s="378"/>
      <c r="FO94" s="380"/>
      <c r="FP94" s="300"/>
      <c r="FQ94" s="300"/>
      <c r="FR94" s="300"/>
      <c r="FS94" s="300"/>
      <c r="FT94" s="376"/>
      <c r="FU94" s="378"/>
      <c r="FV94" s="378"/>
      <c r="FW94" s="378"/>
      <c r="FX94" s="378"/>
      <c r="FY94" s="378"/>
      <c r="FZ94" s="378"/>
      <c r="GA94" s="378"/>
      <c r="GB94" s="378"/>
      <c r="GC94" s="378"/>
      <c r="GD94" s="378"/>
      <c r="GE94" s="378"/>
      <c r="GF94" s="378"/>
      <c r="GG94" s="378"/>
      <c r="GH94" s="378"/>
      <c r="GI94" s="378"/>
      <c r="GJ94" s="378"/>
      <c r="GK94" s="380"/>
      <c r="GL94" s="300"/>
      <c r="GM94" s="300"/>
      <c r="GN94" s="300"/>
      <c r="GO94" s="300"/>
      <c r="GP94" s="376"/>
      <c r="GQ94" s="378"/>
      <c r="GR94" s="378"/>
      <c r="GS94" s="378"/>
      <c r="GT94" s="378"/>
      <c r="GU94" s="378"/>
      <c r="GV94" s="378"/>
      <c r="GW94" s="378"/>
      <c r="GX94" s="378"/>
      <c r="GY94" s="378"/>
      <c r="GZ94" s="378"/>
      <c r="HA94" s="378"/>
      <c r="HB94" s="378"/>
      <c r="HC94" s="378"/>
      <c r="HD94" s="378"/>
      <c r="HE94" s="378"/>
      <c r="HF94" s="378"/>
      <c r="HG94" s="380"/>
      <c r="HH94" s="300"/>
      <c r="HI94" s="300"/>
      <c r="HJ94" s="300"/>
      <c r="HK94" s="300"/>
      <c r="HL94" s="376"/>
      <c r="HM94" s="378"/>
      <c r="HN94" s="378"/>
      <c r="HO94" s="378"/>
      <c r="HP94" s="378"/>
      <c r="HQ94" s="378"/>
      <c r="HR94" s="378"/>
      <c r="HS94" s="378"/>
      <c r="HT94" s="378"/>
      <c r="HU94" s="378"/>
      <c r="HV94" s="378"/>
      <c r="HW94" s="378"/>
      <c r="HX94" s="378"/>
      <c r="HY94" s="378"/>
      <c r="HZ94" s="378"/>
      <c r="IA94" s="378"/>
      <c r="IB94" s="378"/>
      <c r="IC94" s="380"/>
    </row>
    <row r="95" ht="12.75" customHeight="1">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300"/>
      <c r="BJ95" s="300"/>
      <c r="BK95" s="300"/>
      <c r="BL95" s="300"/>
      <c r="BM95" s="300"/>
      <c r="BN95" s="300"/>
      <c r="BO95" s="300"/>
      <c r="BP95" s="300"/>
      <c r="BQ95" s="300"/>
      <c r="BR95" s="300"/>
      <c r="BS95" s="300"/>
      <c r="BT95" s="300"/>
      <c r="BU95" s="300"/>
      <c r="BV95" s="300"/>
      <c r="BW95" s="300"/>
      <c r="BX95" s="300"/>
      <c r="BY95" s="300"/>
      <c r="BZ95" s="300"/>
      <c r="CA95" s="300"/>
      <c r="CB95" s="300"/>
      <c r="CC95" s="300"/>
      <c r="CD95" s="300"/>
      <c r="CE95" s="300"/>
      <c r="CF95" s="300"/>
      <c r="CG95" s="300"/>
      <c r="CH95" s="300"/>
      <c r="CI95" s="300"/>
      <c r="CJ95" s="300"/>
      <c r="CK95" s="300"/>
      <c r="CL95" s="300"/>
      <c r="CM95" s="300"/>
      <c r="CN95" s="300"/>
      <c r="CO95" s="300"/>
      <c r="CP95" s="300"/>
      <c r="CQ95" s="300"/>
      <c r="CR95" s="300"/>
      <c r="CS95" s="300"/>
      <c r="CT95" s="300"/>
      <c r="CU95" s="300"/>
      <c r="CV95" s="300"/>
      <c r="CW95" s="300"/>
      <c r="CX95" s="300"/>
      <c r="CY95" s="300"/>
      <c r="CZ95" s="300"/>
      <c r="DA95" s="300"/>
      <c r="DB95" s="300"/>
      <c r="DC95" s="300"/>
      <c r="DD95" s="300"/>
      <c r="DE95" s="300"/>
      <c r="DF95" s="396"/>
      <c r="DG95" s="300"/>
      <c r="DH95" s="394"/>
      <c r="DI95" s="52"/>
      <c r="DJ95" s="52"/>
      <c r="DK95" s="52"/>
      <c r="DL95" s="52"/>
      <c r="DM95" s="52"/>
      <c r="DN95" s="52"/>
      <c r="DO95" s="52"/>
      <c r="DP95" s="52"/>
      <c r="DQ95" s="52"/>
      <c r="DR95" s="52"/>
      <c r="DS95" s="52"/>
      <c r="DT95" s="52"/>
      <c r="DU95" s="30"/>
      <c r="DV95" s="300"/>
      <c r="DW95" s="398"/>
      <c r="DX95" s="300"/>
      <c r="DY95" s="300"/>
      <c r="DZ95" s="300"/>
      <c r="EA95" s="300"/>
      <c r="EB95" s="396"/>
      <c r="EC95" s="300"/>
      <c r="ED95" s="300"/>
      <c r="EE95" s="300"/>
      <c r="EF95" s="300"/>
      <c r="EG95" s="300"/>
      <c r="EH95" s="300"/>
      <c r="EI95" s="300"/>
      <c r="EJ95" s="300"/>
      <c r="EK95" s="300"/>
      <c r="EL95" s="300"/>
      <c r="EM95" s="300"/>
      <c r="EN95" s="300"/>
      <c r="EO95" s="300"/>
      <c r="EP95" s="300"/>
      <c r="EQ95" s="300"/>
      <c r="ER95" s="300"/>
      <c r="ES95" s="398"/>
      <c r="ET95" s="300"/>
      <c r="EU95" s="300"/>
      <c r="EV95" s="300"/>
      <c r="EW95" s="300"/>
      <c r="EX95" s="396"/>
      <c r="EY95" s="300"/>
      <c r="EZ95" s="300"/>
      <c r="FA95" s="300"/>
      <c r="FB95" s="300"/>
      <c r="FC95" s="300"/>
      <c r="FD95" s="300"/>
      <c r="FE95" s="300"/>
      <c r="FF95" s="300"/>
      <c r="FG95" s="300"/>
      <c r="FH95" s="300"/>
      <c r="FI95" s="300"/>
      <c r="FJ95" s="300"/>
      <c r="FK95" s="300"/>
      <c r="FL95" s="300"/>
      <c r="FM95" s="300"/>
      <c r="FN95" s="300"/>
      <c r="FO95" s="398"/>
      <c r="FP95" s="300"/>
      <c r="FQ95" s="300"/>
      <c r="FR95" s="300"/>
      <c r="FS95" s="300"/>
      <c r="FT95" s="396"/>
      <c r="FU95" s="300"/>
      <c r="FV95" s="300"/>
      <c r="FW95" s="300"/>
      <c r="FX95" s="300"/>
      <c r="FY95" s="300"/>
      <c r="FZ95" s="300"/>
      <c r="GA95" s="300"/>
      <c r="GB95" s="300"/>
      <c r="GC95" s="300"/>
      <c r="GD95" s="300"/>
      <c r="GE95" s="300"/>
      <c r="GF95" s="300"/>
      <c r="GG95" s="300"/>
      <c r="GH95" s="300"/>
      <c r="GI95" s="300"/>
      <c r="GJ95" s="300"/>
      <c r="GK95" s="398"/>
      <c r="GL95" s="300"/>
      <c r="GM95" s="300"/>
      <c r="GN95" s="300"/>
      <c r="GO95" s="300"/>
      <c r="GP95" s="396"/>
      <c r="GQ95" s="300"/>
      <c r="GR95" s="300"/>
      <c r="GS95" s="300"/>
      <c r="GT95" s="300"/>
      <c r="GU95" s="300"/>
      <c r="GV95" s="300"/>
      <c r="GW95" s="300"/>
      <c r="GX95" s="300"/>
      <c r="GY95" s="300"/>
      <c r="GZ95" s="300"/>
      <c r="HA95" s="300"/>
      <c r="HB95" s="300"/>
      <c r="HC95" s="300"/>
      <c r="HD95" s="300"/>
      <c r="HE95" s="300"/>
      <c r="HF95" s="300"/>
      <c r="HG95" s="398"/>
      <c r="HH95" s="300"/>
      <c r="HI95" s="300"/>
      <c r="HJ95" s="300"/>
      <c r="HK95" s="300"/>
      <c r="HL95" s="396"/>
      <c r="HM95" s="300"/>
      <c r="HN95" s="300"/>
      <c r="HO95" s="300"/>
      <c r="HP95" s="300"/>
      <c r="HQ95" s="300"/>
      <c r="HR95" s="300"/>
      <c r="HS95" s="300"/>
      <c r="HT95" s="300"/>
      <c r="HU95" s="300"/>
      <c r="HV95" s="300"/>
      <c r="HW95" s="300"/>
      <c r="HX95" s="300"/>
      <c r="HY95" s="300"/>
      <c r="HZ95" s="300"/>
      <c r="IA95" s="300"/>
      <c r="IB95" s="300"/>
      <c r="IC95" s="398"/>
    </row>
    <row r="96" ht="12.75" customHeight="1">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300"/>
      <c r="BJ96" s="300"/>
      <c r="BK96" s="300"/>
      <c r="BL96" s="300"/>
      <c r="BM96" s="300"/>
      <c r="BN96" s="300"/>
      <c r="BO96" s="300"/>
      <c r="BP96" s="300"/>
      <c r="BQ96" s="300"/>
      <c r="BR96" s="300"/>
      <c r="BS96" s="300"/>
      <c r="BT96" s="300"/>
      <c r="BU96" s="300"/>
      <c r="BV96" s="300"/>
      <c r="BW96" s="300"/>
      <c r="BX96" s="300"/>
      <c r="BY96" s="300"/>
      <c r="BZ96" s="300"/>
      <c r="CA96" s="300"/>
      <c r="CB96" s="300"/>
      <c r="CC96" s="300"/>
      <c r="CD96" s="300"/>
      <c r="CE96" s="300"/>
      <c r="CF96" s="300"/>
      <c r="CG96" s="300"/>
      <c r="CH96" s="300"/>
      <c r="CI96" s="300"/>
      <c r="CJ96" s="300"/>
      <c r="CK96" s="300"/>
      <c r="CL96" s="300"/>
      <c r="CM96" s="300"/>
      <c r="CN96" s="300"/>
      <c r="CO96" s="300"/>
      <c r="CP96" s="300"/>
      <c r="CQ96" s="300"/>
      <c r="CR96" s="300"/>
      <c r="CS96" s="300"/>
      <c r="CT96" s="300"/>
      <c r="CU96" s="300"/>
      <c r="CV96" s="300"/>
      <c r="CW96" s="300"/>
      <c r="CX96" s="300"/>
      <c r="CY96" s="300"/>
      <c r="CZ96" s="300"/>
      <c r="DA96" s="300"/>
      <c r="DB96" s="300"/>
      <c r="DC96" s="300"/>
      <c r="DD96" s="300"/>
      <c r="DE96" s="300"/>
      <c r="DF96" s="396"/>
      <c r="DG96" s="300"/>
      <c r="DH96" s="465"/>
      <c r="DI96" s="465"/>
      <c r="DJ96" s="465"/>
      <c r="DK96" s="465"/>
      <c r="DL96" s="465"/>
      <c r="DM96" s="465"/>
      <c r="DN96" s="465"/>
      <c r="DO96" s="466"/>
      <c r="DP96" s="466"/>
      <c r="DQ96" s="466"/>
      <c r="DR96" s="466"/>
      <c r="DS96" s="466"/>
      <c r="DT96" s="466"/>
      <c r="DU96" s="466"/>
      <c r="DV96" s="300"/>
      <c r="DW96" s="398"/>
      <c r="DX96" s="300"/>
      <c r="DY96" s="300"/>
      <c r="DZ96" s="300"/>
      <c r="EA96" s="300"/>
      <c r="EB96" s="385"/>
      <c r="EC96" s="387"/>
      <c r="ED96" s="387"/>
      <c r="EE96" s="387"/>
      <c r="EF96" s="387"/>
      <c r="EG96" s="387"/>
      <c r="EH96" s="387"/>
      <c r="EI96" s="387"/>
      <c r="EJ96" s="387"/>
      <c r="EK96" s="387"/>
      <c r="EL96" s="387"/>
      <c r="EM96" s="387"/>
      <c r="EN96" s="387"/>
      <c r="EO96" s="387"/>
      <c r="EP96" s="387"/>
      <c r="EQ96" s="387"/>
      <c r="ER96" s="387"/>
      <c r="ES96" s="389"/>
      <c r="ET96" s="300"/>
      <c r="EU96" s="300"/>
      <c r="EV96" s="300"/>
      <c r="EW96" s="300"/>
      <c r="EX96" s="385"/>
      <c r="EY96" s="387"/>
      <c r="EZ96" s="387"/>
      <c r="FA96" s="387"/>
      <c r="FB96" s="387"/>
      <c r="FC96" s="387"/>
      <c r="FD96" s="387"/>
      <c r="FE96" s="387"/>
      <c r="FF96" s="387"/>
      <c r="FG96" s="387"/>
      <c r="FH96" s="387"/>
      <c r="FI96" s="387"/>
      <c r="FJ96" s="387"/>
      <c r="FK96" s="387"/>
      <c r="FL96" s="387"/>
      <c r="FM96" s="387"/>
      <c r="FN96" s="387"/>
      <c r="FO96" s="389"/>
      <c r="FP96" s="300"/>
      <c r="FQ96" s="300"/>
      <c r="FR96" s="300"/>
      <c r="FS96" s="300"/>
      <c r="FT96" s="385"/>
      <c r="FU96" s="387"/>
      <c r="FV96" s="387"/>
      <c r="FW96" s="387"/>
      <c r="FX96" s="387"/>
      <c r="FY96" s="387"/>
      <c r="FZ96" s="387"/>
      <c r="GA96" s="387"/>
      <c r="GB96" s="387"/>
      <c r="GC96" s="387"/>
      <c r="GD96" s="387"/>
      <c r="GE96" s="387"/>
      <c r="GF96" s="387"/>
      <c r="GG96" s="387"/>
      <c r="GH96" s="387"/>
      <c r="GI96" s="387"/>
      <c r="GJ96" s="387"/>
      <c r="GK96" s="389"/>
      <c r="GL96" s="300"/>
      <c r="GM96" s="300"/>
      <c r="GN96" s="300"/>
      <c r="GO96" s="300"/>
      <c r="GP96" s="385"/>
      <c r="GQ96" s="387"/>
      <c r="GR96" s="387"/>
      <c r="GS96" s="387"/>
      <c r="GT96" s="387"/>
      <c r="GU96" s="387"/>
      <c r="GV96" s="387"/>
      <c r="GW96" s="387"/>
      <c r="GX96" s="387"/>
      <c r="GY96" s="387"/>
      <c r="GZ96" s="387"/>
      <c r="HA96" s="387"/>
      <c r="HB96" s="387"/>
      <c r="HC96" s="387"/>
      <c r="HD96" s="387"/>
      <c r="HE96" s="387"/>
      <c r="HF96" s="387"/>
      <c r="HG96" s="389"/>
      <c r="HH96" s="300"/>
      <c r="HI96" s="300"/>
      <c r="HJ96" s="300"/>
      <c r="HK96" s="300"/>
      <c r="HL96" s="385"/>
      <c r="HM96" s="387"/>
      <c r="HN96" s="387"/>
      <c r="HO96" s="387"/>
      <c r="HP96" s="387"/>
      <c r="HQ96" s="387"/>
      <c r="HR96" s="387"/>
      <c r="HS96" s="387"/>
      <c r="HT96" s="387"/>
      <c r="HU96" s="387"/>
      <c r="HV96" s="387"/>
      <c r="HW96" s="387"/>
      <c r="HX96" s="387"/>
      <c r="HY96" s="387"/>
      <c r="HZ96" s="387"/>
      <c r="IA96" s="387"/>
      <c r="IB96" s="387"/>
      <c r="IC96" s="389"/>
    </row>
    <row r="97" ht="12.75" customHeight="1">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300"/>
      <c r="BJ97" s="300"/>
      <c r="BK97" s="300"/>
      <c r="BL97" s="300"/>
      <c r="BM97" s="300"/>
      <c r="BN97" s="300"/>
      <c r="BO97" s="300"/>
      <c r="BP97" s="300"/>
      <c r="BQ97" s="300"/>
      <c r="BR97" s="300"/>
      <c r="BS97" s="300"/>
      <c r="BT97" s="300"/>
      <c r="BU97" s="300"/>
      <c r="BV97" s="300"/>
      <c r="BW97" s="300"/>
      <c r="BX97" s="300"/>
      <c r="BY97" s="300"/>
      <c r="BZ97" s="300"/>
      <c r="CA97" s="300"/>
      <c r="CB97" s="300"/>
      <c r="CC97" s="300"/>
      <c r="CD97" s="300"/>
      <c r="CE97" s="300"/>
      <c r="CF97" s="300"/>
      <c r="CG97" s="300"/>
      <c r="CH97" s="300"/>
      <c r="CI97" s="300"/>
      <c r="CJ97" s="300"/>
      <c r="CK97" s="300"/>
      <c r="CL97" s="300"/>
      <c r="CM97" s="300"/>
      <c r="CN97" s="300"/>
      <c r="CO97" s="300"/>
      <c r="CP97" s="300"/>
      <c r="CQ97" s="300"/>
      <c r="CR97" s="300"/>
      <c r="CS97" s="300"/>
      <c r="CT97" s="300"/>
      <c r="CU97" s="300"/>
      <c r="CV97" s="300"/>
      <c r="CW97" s="300"/>
      <c r="CX97" s="300"/>
      <c r="CY97" s="300"/>
      <c r="CZ97" s="300"/>
      <c r="DA97" s="300"/>
      <c r="DB97" s="300"/>
      <c r="DC97" s="300"/>
      <c r="DD97" s="300"/>
      <c r="DE97" s="300"/>
      <c r="DF97" s="396"/>
      <c r="DG97" s="300"/>
      <c r="DH97" s="447" t="s">
        <v>493</v>
      </c>
      <c r="DI97" s="10"/>
      <c r="DJ97" s="10"/>
      <c r="DK97" s="10"/>
      <c r="DL97" s="10"/>
      <c r="DM97" s="10"/>
      <c r="DN97" s="10"/>
      <c r="DO97" s="10"/>
      <c r="DP97" s="10"/>
      <c r="DQ97" s="10"/>
      <c r="DR97" s="10"/>
      <c r="DS97" s="10"/>
      <c r="DT97" s="10"/>
      <c r="DU97" s="19"/>
      <c r="DV97" s="300"/>
      <c r="DW97" s="398"/>
      <c r="DX97" s="300"/>
      <c r="DY97" s="300"/>
      <c r="DZ97" s="300"/>
      <c r="EA97" s="300"/>
      <c r="EB97" s="376" t="s">
        <v>499</v>
      </c>
      <c r="EC97" s="378"/>
      <c r="ED97" s="378"/>
      <c r="EE97" s="378"/>
      <c r="EF97" s="378"/>
      <c r="EG97" s="378"/>
      <c r="EH97" s="378"/>
      <c r="EI97" s="378"/>
      <c r="EJ97" s="378"/>
      <c r="EK97" s="378"/>
      <c r="EL97" s="378"/>
      <c r="EM97" s="378"/>
      <c r="EN97" s="378"/>
      <c r="EO97" s="378"/>
      <c r="EP97" s="378"/>
      <c r="EQ97" s="378"/>
      <c r="ER97" s="378"/>
      <c r="ES97" s="380"/>
      <c r="ET97" s="300"/>
      <c r="EU97" s="300"/>
      <c r="EV97" s="300"/>
      <c r="EW97" s="300"/>
      <c r="EX97" s="376" t="s">
        <v>499</v>
      </c>
      <c r="EY97" s="378"/>
      <c r="EZ97" s="378"/>
      <c r="FA97" s="378"/>
      <c r="FB97" s="378"/>
      <c r="FC97" s="378"/>
      <c r="FD97" s="378"/>
      <c r="FE97" s="378"/>
      <c r="FF97" s="378"/>
      <c r="FG97" s="378"/>
      <c r="FH97" s="378"/>
      <c r="FI97" s="378"/>
      <c r="FJ97" s="378"/>
      <c r="FK97" s="378"/>
      <c r="FL97" s="378"/>
      <c r="FM97" s="378"/>
      <c r="FN97" s="378"/>
      <c r="FO97" s="380"/>
      <c r="FP97" s="300"/>
      <c r="FQ97" s="300"/>
      <c r="FR97" s="300"/>
      <c r="FS97" s="300"/>
      <c r="FT97" s="376" t="s">
        <v>499</v>
      </c>
      <c r="FU97" s="378"/>
      <c r="FV97" s="378"/>
      <c r="FW97" s="378"/>
      <c r="FX97" s="378"/>
      <c r="FY97" s="378"/>
      <c r="FZ97" s="378"/>
      <c r="GA97" s="378"/>
      <c r="GB97" s="378"/>
      <c r="GC97" s="378"/>
      <c r="GD97" s="378"/>
      <c r="GE97" s="378"/>
      <c r="GF97" s="378"/>
      <c r="GG97" s="378"/>
      <c r="GH97" s="378"/>
      <c r="GI97" s="378"/>
      <c r="GJ97" s="378"/>
      <c r="GK97" s="380"/>
      <c r="GL97" s="300"/>
      <c r="GM97" s="300"/>
      <c r="GN97" s="300"/>
      <c r="GO97" s="300"/>
      <c r="GP97" s="376" t="s">
        <v>499</v>
      </c>
      <c r="GQ97" s="378"/>
      <c r="GR97" s="378"/>
      <c r="GS97" s="378"/>
      <c r="GT97" s="378"/>
      <c r="GU97" s="378"/>
      <c r="GV97" s="378"/>
      <c r="GW97" s="378"/>
      <c r="GX97" s="378"/>
      <c r="GY97" s="378"/>
      <c r="GZ97" s="378"/>
      <c r="HA97" s="378"/>
      <c r="HB97" s="378"/>
      <c r="HC97" s="378"/>
      <c r="HD97" s="378"/>
      <c r="HE97" s="378"/>
      <c r="HF97" s="378"/>
      <c r="HG97" s="380"/>
      <c r="HH97" s="300"/>
      <c r="HI97" s="300"/>
      <c r="HJ97" s="300"/>
      <c r="HK97" s="300"/>
      <c r="HL97" s="376" t="s">
        <v>499</v>
      </c>
      <c r="HM97" s="378"/>
      <c r="HN97" s="378"/>
      <c r="HO97" s="378"/>
      <c r="HP97" s="378"/>
      <c r="HQ97" s="378"/>
      <c r="HR97" s="378"/>
      <c r="HS97" s="378"/>
      <c r="HT97" s="378"/>
      <c r="HU97" s="378"/>
      <c r="HV97" s="378"/>
      <c r="HW97" s="378"/>
      <c r="HX97" s="378"/>
      <c r="HY97" s="378"/>
      <c r="HZ97" s="378"/>
      <c r="IA97" s="378"/>
      <c r="IB97" s="378"/>
      <c r="IC97" s="380"/>
    </row>
    <row r="98" ht="12.75" customHeight="1">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300"/>
      <c r="BJ98" s="300"/>
      <c r="BK98" s="300"/>
      <c r="BL98" s="300"/>
      <c r="BM98" s="300"/>
      <c r="BN98" s="300"/>
      <c r="BO98" s="300"/>
      <c r="BP98" s="300"/>
      <c r="BQ98" s="300"/>
      <c r="BR98" s="300"/>
      <c r="BS98" s="300"/>
      <c r="BT98" s="300"/>
      <c r="BU98" s="300"/>
      <c r="BV98" s="300"/>
      <c r="BW98" s="300"/>
      <c r="BX98" s="300"/>
      <c r="BY98" s="300"/>
      <c r="BZ98" s="300"/>
      <c r="CA98" s="300"/>
      <c r="CB98" s="300"/>
      <c r="CC98" s="300"/>
      <c r="CD98" s="300"/>
      <c r="CE98" s="300"/>
      <c r="CF98" s="300"/>
      <c r="CG98" s="300"/>
      <c r="CH98" s="300"/>
      <c r="CI98" s="300"/>
      <c r="CJ98" s="300"/>
      <c r="CK98" s="300"/>
      <c r="CL98" s="300"/>
      <c r="CM98" s="300"/>
      <c r="CN98" s="300"/>
      <c r="CO98" s="300"/>
      <c r="CP98" s="300"/>
      <c r="CQ98" s="300"/>
      <c r="CR98" s="300"/>
      <c r="CS98" s="300"/>
      <c r="CT98" s="300"/>
      <c r="CU98" s="300"/>
      <c r="CV98" s="300"/>
      <c r="CW98" s="300"/>
      <c r="CX98" s="300"/>
      <c r="CY98" s="300"/>
      <c r="CZ98" s="300"/>
      <c r="DA98" s="300"/>
      <c r="DB98" s="300"/>
      <c r="DC98" s="300"/>
      <c r="DD98" s="300"/>
      <c r="DE98" s="300"/>
      <c r="DF98" s="396"/>
      <c r="DG98" s="300"/>
      <c r="DH98" s="394"/>
      <c r="DI98" s="52"/>
      <c r="DJ98" s="52"/>
      <c r="DK98" s="52"/>
      <c r="DL98" s="52"/>
      <c r="DM98" s="52"/>
      <c r="DN98" s="52"/>
      <c r="DO98" s="52"/>
      <c r="DP98" s="52"/>
      <c r="DQ98" s="52"/>
      <c r="DR98" s="52"/>
      <c r="DS98" s="52"/>
      <c r="DT98" s="52"/>
      <c r="DU98" s="30"/>
      <c r="DV98" s="300"/>
      <c r="DW98" s="398"/>
      <c r="DX98" s="300"/>
      <c r="DY98" s="300"/>
      <c r="DZ98" s="300"/>
      <c r="EA98" s="300"/>
      <c r="EB98" s="385"/>
      <c r="EC98" s="387"/>
      <c r="ED98" s="387"/>
      <c r="EE98" s="387"/>
      <c r="EF98" s="387"/>
      <c r="EG98" s="387"/>
      <c r="EH98" s="387"/>
      <c r="EI98" s="387"/>
      <c r="EJ98" s="387"/>
      <c r="EK98" s="387"/>
      <c r="EL98" s="387"/>
      <c r="EM98" s="387"/>
      <c r="EN98" s="387"/>
      <c r="EO98" s="387"/>
      <c r="EP98" s="387"/>
      <c r="EQ98" s="387"/>
      <c r="ER98" s="387"/>
      <c r="ES98" s="389"/>
      <c r="ET98" s="300"/>
      <c r="EU98" s="300"/>
      <c r="EV98" s="300"/>
      <c r="EW98" s="300"/>
      <c r="EX98" s="385"/>
      <c r="EY98" s="387"/>
      <c r="EZ98" s="387"/>
      <c r="FA98" s="387"/>
      <c r="FB98" s="387"/>
      <c r="FC98" s="387"/>
      <c r="FD98" s="387"/>
      <c r="FE98" s="387"/>
      <c r="FF98" s="387"/>
      <c r="FG98" s="387"/>
      <c r="FH98" s="387"/>
      <c r="FI98" s="387"/>
      <c r="FJ98" s="387"/>
      <c r="FK98" s="387"/>
      <c r="FL98" s="387"/>
      <c r="FM98" s="387"/>
      <c r="FN98" s="387"/>
      <c r="FO98" s="389"/>
      <c r="FP98" s="300"/>
      <c r="FQ98" s="300"/>
      <c r="FR98" s="300"/>
      <c r="FS98" s="300"/>
      <c r="FT98" s="385"/>
      <c r="FU98" s="387"/>
      <c r="FV98" s="387"/>
      <c r="FW98" s="387"/>
      <c r="FX98" s="387"/>
      <c r="FY98" s="387"/>
      <c r="FZ98" s="387"/>
      <c r="GA98" s="387"/>
      <c r="GB98" s="387"/>
      <c r="GC98" s="387"/>
      <c r="GD98" s="387"/>
      <c r="GE98" s="387"/>
      <c r="GF98" s="387"/>
      <c r="GG98" s="387"/>
      <c r="GH98" s="387"/>
      <c r="GI98" s="387"/>
      <c r="GJ98" s="387"/>
      <c r="GK98" s="389"/>
      <c r="GL98" s="300"/>
      <c r="GM98" s="300"/>
      <c r="GN98" s="300"/>
      <c r="GO98" s="300"/>
      <c r="GP98" s="385"/>
      <c r="GQ98" s="387"/>
      <c r="GR98" s="387"/>
      <c r="GS98" s="387"/>
      <c r="GT98" s="387"/>
      <c r="GU98" s="387"/>
      <c r="GV98" s="387"/>
      <c r="GW98" s="387"/>
      <c r="GX98" s="387"/>
      <c r="GY98" s="387"/>
      <c r="GZ98" s="387"/>
      <c r="HA98" s="387"/>
      <c r="HB98" s="387"/>
      <c r="HC98" s="387"/>
      <c r="HD98" s="387"/>
      <c r="HE98" s="387"/>
      <c r="HF98" s="387"/>
      <c r="HG98" s="389"/>
      <c r="HH98" s="300"/>
      <c r="HI98" s="300"/>
      <c r="HJ98" s="300"/>
      <c r="HK98" s="300"/>
      <c r="HL98" s="385"/>
      <c r="HM98" s="387"/>
      <c r="HN98" s="387"/>
      <c r="HO98" s="387"/>
      <c r="HP98" s="387"/>
      <c r="HQ98" s="387"/>
      <c r="HR98" s="387"/>
      <c r="HS98" s="387"/>
      <c r="HT98" s="387"/>
      <c r="HU98" s="387"/>
      <c r="HV98" s="387"/>
      <c r="HW98" s="387"/>
      <c r="HX98" s="387"/>
      <c r="HY98" s="387"/>
      <c r="HZ98" s="387"/>
      <c r="IA98" s="387"/>
      <c r="IB98" s="387"/>
      <c r="IC98" s="389"/>
    </row>
    <row r="99" ht="12.75" customHeight="1">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300"/>
      <c r="BJ99" s="300"/>
      <c r="BK99" s="300"/>
      <c r="BL99" s="300"/>
      <c r="BM99" s="300"/>
      <c r="BN99" s="300"/>
      <c r="BO99" s="300"/>
      <c r="BP99" s="300"/>
      <c r="BQ99" s="300"/>
      <c r="BR99" s="300"/>
      <c r="BS99" s="300"/>
      <c r="BT99" s="300"/>
      <c r="BU99" s="300"/>
      <c r="BV99" s="300"/>
      <c r="BW99" s="300"/>
      <c r="BX99" s="300"/>
      <c r="BY99" s="300"/>
      <c r="BZ99" s="300"/>
      <c r="CA99" s="300"/>
      <c r="CB99" s="300"/>
      <c r="CC99" s="300"/>
      <c r="CD99" s="300"/>
      <c r="CE99" s="300"/>
      <c r="CF99" s="300"/>
      <c r="CG99" s="300"/>
      <c r="CH99" s="300"/>
      <c r="CI99" s="300"/>
      <c r="CJ99" s="300"/>
      <c r="CK99" s="300"/>
      <c r="CL99" s="300"/>
      <c r="CM99" s="300"/>
      <c r="CN99" s="300"/>
      <c r="CO99" s="300"/>
      <c r="CP99" s="300"/>
      <c r="CQ99" s="300"/>
      <c r="CR99" s="300"/>
      <c r="CS99" s="300"/>
      <c r="CT99" s="300"/>
      <c r="CU99" s="300"/>
      <c r="CV99" s="300"/>
      <c r="CW99" s="300"/>
      <c r="CX99" s="300"/>
      <c r="CY99" s="300"/>
      <c r="CZ99" s="300"/>
      <c r="DA99" s="300"/>
      <c r="DB99" s="300"/>
      <c r="DC99" s="300"/>
      <c r="DD99" s="300"/>
      <c r="DE99" s="300"/>
      <c r="DF99" s="396"/>
      <c r="DG99" s="300"/>
      <c r="DH99" s="465"/>
      <c r="DI99" s="465"/>
      <c r="DJ99" s="465"/>
      <c r="DK99" s="465"/>
      <c r="DL99" s="465"/>
      <c r="DM99" s="465"/>
      <c r="DN99" s="465"/>
      <c r="DO99" s="466"/>
      <c r="DP99" s="466"/>
      <c r="DQ99" s="466"/>
      <c r="DR99" s="466"/>
      <c r="DS99" s="466"/>
      <c r="DT99" s="466"/>
      <c r="DU99" s="466"/>
      <c r="DV99" s="300"/>
      <c r="DW99" s="398"/>
      <c r="DX99" s="300"/>
      <c r="DY99" s="300"/>
      <c r="DZ99" s="300"/>
      <c r="EA99" s="300"/>
      <c r="EB99" s="300"/>
      <c r="EC99" s="300"/>
      <c r="ED99" s="300"/>
      <c r="EE99" s="300"/>
      <c r="EF99" s="300"/>
      <c r="EG99" s="300"/>
      <c r="EH99" s="300"/>
      <c r="EI99" s="300"/>
      <c r="EJ99" s="300"/>
      <c r="EK99" s="300"/>
      <c r="EL99" s="300"/>
      <c r="EM99" s="300"/>
      <c r="EN99" s="300"/>
      <c r="EO99" s="300"/>
      <c r="EP99" s="300"/>
      <c r="EQ99" s="300"/>
      <c r="ER99" s="300"/>
      <c r="ES99" s="300"/>
      <c r="ET99" s="300"/>
      <c r="EU99" s="300"/>
      <c r="EV99" s="300"/>
      <c r="EW99" s="300"/>
      <c r="EX99" s="300"/>
      <c r="EY99" s="300"/>
      <c r="EZ99" s="300"/>
      <c r="FA99" s="300"/>
      <c r="FB99" s="300"/>
      <c r="FC99" s="300"/>
      <c r="FD99" s="300"/>
      <c r="FE99" s="300"/>
      <c r="FF99" s="300"/>
      <c r="FG99" s="300"/>
      <c r="FH99" s="300"/>
      <c r="FI99" s="300"/>
      <c r="FJ99" s="300"/>
      <c r="FK99" s="300"/>
      <c r="FL99" s="300"/>
      <c r="FM99" s="300"/>
      <c r="FN99" s="300"/>
      <c r="FO99" s="300"/>
      <c r="FP99" s="300"/>
      <c r="FQ99" s="300"/>
      <c r="FR99" s="300"/>
      <c r="FS99" s="300"/>
      <c r="FT99" s="300"/>
      <c r="FU99" s="300"/>
      <c r="FV99" s="300"/>
      <c r="FW99" s="300"/>
      <c r="FX99" s="300"/>
      <c r="FY99" s="300"/>
      <c r="FZ99" s="300"/>
      <c r="GA99" s="300"/>
      <c r="GB99" s="300"/>
      <c r="GC99" s="300"/>
      <c r="GD99" s="300"/>
      <c r="GE99" s="300"/>
      <c r="GF99" s="300"/>
      <c r="GG99" s="300"/>
      <c r="GH99" s="300"/>
      <c r="GI99" s="300"/>
      <c r="GJ99" s="300"/>
      <c r="GK99" s="300"/>
      <c r="GL99" s="300"/>
      <c r="GM99" s="300"/>
      <c r="GN99" s="300"/>
      <c r="GO99" s="300"/>
      <c r="GP99" s="300"/>
      <c r="GQ99" s="300"/>
      <c r="GR99" s="300"/>
      <c r="GS99" s="300"/>
      <c r="GT99" s="300"/>
      <c r="GU99" s="300"/>
      <c r="GV99" s="300"/>
      <c r="GW99" s="300"/>
      <c r="GX99" s="300"/>
      <c r="GY99" s="300"/>
      <c r="GZ99" s="300"/>
      <c r="HA99" s="300"/>
      <c r="HB99" s="300"/>
      <c r="HC99" s="300"/>
      <c r="HD99" s="300"/>
      <c r="HE99" s="300"/>
      <c r="HF99" s="300"/>
      <c r="HG99" s="300"/>
      <c r="HH99" s="300"/>
      <c r="HI99" s="300"/>
      <c r="HJ99" s="300"/>
      <c r="HK99" s="300"/>
      <c r="HL99" s="300"/>
      <c r="HM99" s="300"/>
      <c r="HN99" s="300"/>
      <c r="HO99" s="300"/>
      <c r="HP99" s="300"/>
      <c r="HQ99" s="300"/>
      <c r="HR99" s="300"/>
      <c r="HS99" s="300"/>
      <c r="HT99" s="300"/>
      <c r="HU99" s="300"/>
      <c r="HV99" s="300"/>
      <c r="HW99" s="300"/>
      <c r="HX99" s="300"/>
      <c r="HY99" s="300"/>
      <c r="HZ99" s="300"/>
      <c r="IA99" s="300"/>
      <c r="IB99" s="300"/>
      <c r="IC99" s="300"/>
    </row>
    <row r="100" ht="12.75" customHeight="1">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300"/>
      <c r="BJ100" s="300"/>
      <c r="BK100" s="300"/>
      <c r="BL100" s="300"/>
      <c r="BM100" s="300"/>
      <c r="BN100" s="300"/>
      <c r="BO100" s="300"/>
      <c r="BP100" s="300"/>
      <c r="BQ100" s="300"/>
      <c r="BR100" s="300"/>
      <c r="BS100" s="300"/>
      <c r="BT100" s="300"/>
      <c r="BU100" s="300"/>
      <c r="BV100" s="300"/>
      <c r="BW100" s="300"/>
      <c r="BX100" s="300"/>
      <c r="BY100" s="300"/>
      <c r="BZ100" s="300"/>
      <c r="CA100" s="300"/>
      <c r="CB100" s="300"/>
      <c r="CC100" s="300"/>
      <c r="CD100" s="300"/>
      <c r="CE100" s="300"/>
      <c r="CF100" s="300"/>
      <c r="CG100" s="300"/>
      <c r="CH100" s="300"/>
      <c r="CI100" s="300"/>
      <c r="CJ100" s="300"/>
      <c r="CK100" s="300"/>
      <c r="CL100" s="300"/>
      <c r="CM100" s="300"/>
      <c r="CN100" s="300"/>
      <c r="CO100" s="300"/>
      <c r="CP100" s="300"/>
      <c r="CQ100" s="300"/>
      <c r="CR100" s="300"/>
      <c r="CS100" s="300"/>
      <c r="CT100" s="300"/>
      <c r="CU100" s="300"/>
      <c r="CV100" s="300"/>
      <c r="CW100" s="300"/>
      <c r="CX100" s="300"/>
      <c r="CY100" s="300"/>
      <c r="CZ100" s="300"/>
      <c r="DA100" s="300"/>
      <c r="DB100" s="300"/>
      <c r="DC100" s="300"/>
      <c r="DD100" s="300"/>
      <c r="DE100" s="300"/>
      <c r="DF100" s="396"/>
      <c r="DG100" s="300"/>
      <c r="DH100" s="531" t="s">
        <v>528</v>
      </c>
      <c r="DI100" s="10"/>
      <c r="DJ100" s="10"/>
      <c r="DK100" s="10"/>
      <c r="DL100" s="10"/>
      <c r="DM100" s="10"/>
      <c r="DN100" s="10"/>
      <c r="DO100" s="10"/>
      <c r="DP100" s="10"/>
      <c r="DQ100" s="10"/>
      <c r="DR100" s="10"/>
      <c r="DS100" s="10"/>
      <c r="DT100" s="10"/>
      <c r="DU100" s="19"/>
      <c r="DV100" s="300"/>
      <c r="DW100" s="398"/>
      <c r="DX100" s="300"/>
      <c r="DY100" s="300"/>
      <c r="DZ100" s="300"/>
      <c r="EA100" s="300"/>
      <c r="EB100" s="300"/>
      <c r="EC100" s="300"/>
      <c r="ED100" s="300"/>
      <c r="EE100" s="300"/>
      <c r="EF100" s="300"/>
      <c r="EG100" s="300"/>
      <c r="EH100" s="300"/>
      <c r="EI100" s="300"/>
      <c r="EJ100" s="300"/>
      <c r="EK100" s="300"/>
      <c r="EL100" s="300"/>
      <c r="EM100" s="300"/>
      <c r="EN100" s="300"/>
      <c r="EO100" s="300"/>
      <c r="EP100" s="300"/>
      <c r="EQ100" s="300"/>
      <c r="ER100" s="300"/>
      <c r="ES100" s="300"/>
      <c r="ET100" s="300"/>
      <c r="EU100" s="300"/>
      <c r="EV100" s="300"/>
      <c r="EW100" s="300"/>
      <c r="EX100" s="300"/>
      <c r="EY100" s="300"/>
      <c r="EZ100" s="300"/>
      <c r="FA100" s="300"/>
      <c r="FB100" s="300"/>
      <c r="FC100" s="300"/>
      <c r="FD100" s="300"/>
      <c r="FE100" s="300"/>
      <c r="FF100" s="300"/>
      <c r="FG100" s="300"/>
      <c r="FH100" s="300"/>
      <c r="FI100" s="300"/>
      <c r="FJ100" s="300"/>
      <c r="FK100" s="300"/>
      <c r="FL100" s="300"/>
      <c r="FM100" s="300"/>
      <c r="FN100" s="300"/>
      <c r="FO100" s="300"/>
      <c r="FP100" s="300"/>
      <c r="FQ100" s="300"/>
      <c r="FR100" s="300"/>
      <c r="FS100" s="300"/>
      <c r="FT100" s="300"/>
      <c r="FU100" s="300"/>
      <c r="FV100" s="300"/>
      <c r="FW100" s="300"/>
      <c r="FX100" s="300"/>
      <c r="FY100" s="300"/>
      <c r="FZ100" s="300"/>
      <c r="GA100" s="300"/>
      <c r="GB100" s="300"/>
      <c r="GC100" s="300"/>
      <c r="GD100" s="300"/>
      <c r="GE100" s="300"/>
      <c r="GF100" s="300"/>
      <c r="GG100" s="300"/>
      <c r="GH100" s="300"/>
      <c r="GI100" s="300"/>
      <c r="GJ100" s="300"/>
      <c r="GK100" s="300"/>
      <c r="GL100" s="300"/>
      <c r="GM100" s="300"/>
      <c r="GN100" s="300"/>
      <c r="GO100" s="300"/>
      <c r="GP100" s="300"/>
      <c r="GQ100" s="300"/>
      <c r="GR100" s="300"/>
      <c r="GS100" s="300"/>
      <c r="GT100" s="300"/>
      <c r="GU100" s="300"/>
      <c r="GV100" s="300"/>
      <c r="GW100" s="300"/>
      <c r="GX100" s="300"/>
      <c r="GY100" s="300"/>
      <c r="GZ100" s="300"/>
      <c r="HA100" s="300"/>
      <c r="HB100" s="300"/>
      <c r="HC100" s="300"/>
      <c r="HD100" s="300"/>
      <c r="HE100" s="300"/>
      <c r="HF100" s="300"/>
      <c r="HG100" s="300"/>
      <c r="HH100" s="300"/>
      <c r="HI100" s="300"/>
      <c r="HJ100" s="300"/>
      <c r="HK100" s="300"/>
      <c r="HL100" s="300"/>
      <c r="HM100" s="300"/>
      <c r="HN100" s="300"/>
      <c r="HO100" s="300"/>
      <c r="HP100" s="300"/>
      <c r="HQ100" s="300"/>
      <c r="HR100" s="300"/>
      <c r="HS100" s="300"/>
      <c r="HT100" s="300"/>
      <c r="HU100" s="300"/>
      <c r="HV100" s="300"/>
      <c r="HW100" s="300"/>
      <c r="HX100" s="300"/>
      <c r="HY100" s="300"/>
      <c r="HZ100" s="300"/>
      <c r="IA100" s="300"/>
      <c r="IB100" s="300"/>
      <c r="IC100" s="300"/>
    </row>
    <row r="101" ht="12.75" customHeight="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300"/>
      <c r="BJ101" s="300"/>
      <c r="BK101" s="300"/>
      <c r="BL101" s="300"/>
      <c r="BM101" s="300"/>
      <c r="BN101" s="300"/>
      <c r="BO101" s="300"/>
      <c r="BP101" s="300"/>
      <c r="BQ101" s="300"/>
      <c r="BR101" s="300"/>
      <c r="BS101" s="300"/>
      <c r="BT101" s="300"/>
      <c r="BU101" s="300"/>
      <c r="BV101" s="300"/>
      <c r="BW101" s="300"/>
      <c r="BX101" s="300"/>
      <c r="BY101" s="300"/>
      <c r="BZ101" s="300"/>
      <c r="CA101" s="300"/>
      <c r="CB101" s="300"/>
      <c r="CC101" s="300"/>
      <c r="CD101" s="300"/>
      <c r="CE101" s="300"/>
      <c r="CF101" s="300"/>
      <c r="CG101" s="300"/>
      <c r="CH101" s="300"/>
      <c r="CI101" s="300"/>
      <c r="CJ101" s="300"/>
      <c r="CK101" s="300"/>
      <c r="CL101" s="300"/>
      <c r="CM101" s="300"/>
      <c r="CN101" s="300"/>
      <c r="CO101" s="300"/>
      <c r="CP101" s="300"/>
      <c r="CQ101" s="300"/>
      <c r="CR101" s="300"/>
      <c r="CS101" s="300"/>
      <c r="CT101" s="300"/>
      <c r="CU101" s="300"/>
      <c r="CV101" s="300"/>
      <c r="CW101" s="300"/>
      <c r="CX101" s="300"/>
      <c r="CY101" s="300"/>
      <c r="CZ101" s="300"/>
      <c r="DA101" s="300"/>
      <c r="DB101" s="300"/>
      <c r="DC101" s="300"/>
      <c r="DD101" s="300"/>
      <c r="DE101" s="300"/>
      <c r="DF101" s="396"/>
      <c r="DG101" s="300"/>
      <c r="DH101" s="394"/>
      <c r="DI101" s="52"/>
      <c r="DJ101" s="52"/>
      <c r="DK101" s="52"/>
      <c r="DL101" s="52"/>
      <c r="DM101" s="52"/>
      <c r="DN101" s="52"/>
      <c r="DO101" s="52"/>
      <c r="DP101" s="52"/>
      <c r="DQ101" s="52"/>
      <c r="DR101" s="52"/>
      <c r="DS101" s="52"/>
      <c r="DT101" s="52"/>
      <c r="DU101" s="30"/>
      <c r="DV101" s="300"/>
      <c r="DW101" s="398"/>
      <c r="DX101" s="300"/>
      <c r="DY101" s="300"/>
      <c r="DZ101" s="300"/>
      <c r="EA101" s="300"/>
      <c r="EB101" s="300"/>
      <c r="EC101" s="300"/>
      <c r="ED101" s="300"/>
      <c r="EE101" s="300"/>
      <c r="EF101" s="300"/>
      <c r="EG101" s="300"/>
      <c r="EH101" s="300"/>
      <c r="EI101" s="300"/>
      <c r="EJ101" s="300"/>
      <c r="EK101" s="300"/>
      <c r="EL101" s="300"/>
      <c r="EM101" s="300"/>
      <c r="EN101" s="300"/>
      <c r="EO101" s="300"/>
      <c r="EP101" s="300"/>
      <c r="EQ101" s="300"/>
      <c r="ER101" s="300"/>
      <c r="ES101" s="300"/>
      <c r="ET101" s="300"/>
      <c r="EU101" s="300"/>
      <c r="EV101" s="300"/>
      <c r="EW101" s="300"/>
      <c r="EX101" s="300"/>
      <c r="EY101" s="300"/>
      <c r="EZ101" s="300"/>
      <c r="FA101" s="300"/>
      <c r="FB101" s="300"/>
      <c r="FC101" s="300"/>
      <c r="FD101" s="300"/>
      <c r="FE101" s="300"/>
      <c r="FF101" s="300"/>
      <c r="FG101" s="300"/>
      <c r="FH101" s="300"/>
      <c r="FI101" s="300"/>
      <c r="FJ101" s="300"/>
      <c r="FK101" s="300"/>
      <c r="FL101" s="300"/>
      <c r="FM101" s="300"/>
      <c r="FN101" s="300"/>
      <c r="FO101" s="300"/>
      <c r="FP101" s="300"/>
      <c r="FQ101" s="300"/>
      <c r="FR101" s="300"/>
      <c r="FS101" s="300"/>
      <c r="FT101" s="300"/>
      <c r="FU101" s="300"/>
      <c r="FV101" s="300"/>
      <c r="FW101" s="300"/>
      <c r="FX101" s="300"/>
      <c r="FY101" s="300"/>
      <c r="FZ101" s="300"/>
      <c r="GA101" s="300"/>
      <c r="GB101" s="300"/>
      <c r="GC101" s="300"/>
      <c r="GD101" s="300"/>
      <c r="GE101" s="300"/>
      <c r="GF101" s="300"/>
      <c r="GG101" s="300"/>
      <c r="GH101" s="300"/>
      <c r="GI101" s="300"/>
      <c r="GJ101" s="300"/>
      <c r="GK101" s="300"/>
      <c r="GL101" s="300"/>
      <c r="GM101" s="300"/>
      <c r="GN101" s="300"/>
      <c r="GO101" s="300"/>
      <c r="GP101" s="300"/>
      <c r="GQ101" s="300"/>
      <c r="GR101" s="300"/>
      <c r="GS101" s="300"/>
      <c r="GT101" s="300"/>
      <c r="GU101" s="300"/>
      <c r="GV101" s="300"/>
      <c r="GW101" s="300"/>
      <c r="GX101" s="300"/>
      <c r="GY101" s="300"/>
      <c r="GZ101" s="300"/>
      <c r="HA101" s="300"/>
      <c r="HB101" s="300"/>
      <c r="HC101" s="300"/>
      <c r="HD101" s="300"/>
      <c r="HE101" s="300"/>
      <c r="HF101" s="300"/>
      <c r="HG101" s="300"/>
      <c r="HH101" s="300"/>
      <c r="HI101" s="300"/>
      <c r="HJ101" s="300"/>
      <c r="HK101" s="300"/>
      <c r="HL101" s="300"/>
      <c r="HM101" s="300"/>
      <c r="HN101" s="300"/>
      <c r="HO101" s="300"/>
      <c r="HP101" s="300"/>
      <c r="HQ101" s="300"/>
      <c r="HR101" s="300"/>
      <c r="HS101" s="300"/>
      <c r="HT101" s="300"/>
      <c r="HU101" s="300"/>
      <c r="HV101" s="300"/>
      <c r="HW101" s="300"/>
      <c r="HX101" s="300"/>
      <c r="HY101" s="300"/>
      <c r="HZ101" s="300"/>
      <c r="IA101" s="300"/>
      <c r="IB101" s="300"/>
      <c r="IC101" s="300"/>
    </row>
    <row r="102" ht="12.75" customHeight="1">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300"/>
      <c r="BJ102" s="300"/>
      <c r="BK102" s="300"/>
      <c r="BL102" s="300"/>
      <c r="BM102" s="300"/>
      <c r="BN102" s="300"/>
      <c r="BO102" s="300"/>
      <c r="BP102" s="300"/>
      <c r="BQ102" s="300"/>
      <c r="BR102" s="300"/>
      <c r="BS102" s="300"/>
      <c r="BT102" s="300"/>
      <c r="BU102" s="300"/>
      <c r="BV102" s="300"/>
      <c r="BW102" s="300"/>
      <c r="BX102" s="300"/>
      <c r="BY102" s="300"/>
      <c r="BZ102" s="300"/>
      <c r="CA102" s="300"/>
      <c r="CB102" s="300"/>
      <c r="CC102" s="300"/>
      <c r="CD102" s="300"/>
      <c r="CE102" s="300"/>
      <c r="CF102" s="300"/>
      <c r="CG102" s="300"/>
      <c r="CH102" s="300"/>
      <c r="CI102" s="300"/>
      <c r="CJ102" s="300"/>
      <c r="CK102" s="300"/>
      <c r="CL102" s="300"/>
      <c r="CM102" s="300"/>
      <c r="CN102" s="300"/>
      <c r="CO102" s="300"/>
      <c r="CP102" s="300"/>
      <c r="CQ102" s="300"/>
      <c r="CR102" s="300"/>
      <c r="CS102" s="300"/>
      <c r="CT102" s="300"/>
      <c r="CU102" s="300"/>
      <c r="CV102" s="300"/>
      <c r="CW102" s="300"/>
      <c r="CX102" s="300"/>
      <c r="CY102" s="300"/>
      <c r="CZ102" s="300"/>
      <c r="DA102" s="300"/>
      <c r="DB102" s="300"/>
      <c r="DC102" s="300"/>
      <c r="DD102" s="300"/>
      <c r="DE102" s="300"/>
      <c r="DF102" s="396"/>
      <c r="DG102" s="300"/>
      <c r="DH102" s="535"/>
      <c r="DI102" s="535"/>
      <c r="DJ102" s="535"/>
      <c r="DK102" s="535"/>
      <c r="DL102" s="535"/>
      <c r="DM102" s="535"/>
      <c r="DN102" s="535"/>
      <c r="DO102" s="536"/>
      <c r="DP102" s="536"/>
      <c r="DQ102" s="536"/>
      <c r="DR102" s="536"/>
      <c r="DS102" s="536"/>
      <c r="DT102" s="536"/>
      <c r="DU102" s="536"/>
      <c r="DV102" s="300"/>
      <c r="DW102" s="398"/>
      <c r="DX102" s="300"/>
      <c r="DY102" s="300"/>
      <c r="DZ102" s="300"/>
      <c r="EA102" s="300"/>
      <c r="EB102" s="300"/>
      <c r="EC102" s="300"/>
      <c r="ED102" s="300"/>
      <c r="EE102" s="300"/>
      <c r="EF102" s="300"/>
      <c r="EG102" s="300"/>
      <c r="EH102" s="300"/>
      <c r="EI102" s="300"/>
      <c r="EJ102" s="300"/>
      <c r="EK102" s="300"/>
      <c r="EL102" s="300"/>
      <c r="EM102" s="300"/>
      <c r="EN102" s="300"/>
      <c r="EO102" s="300"/>
      <c r="EP102" s="300"/>
      <c r="EQ102" s="300"/>
      <c r="ER102" s="300"/>
      <c r="ES102" s="300"/>
      <c r="ET102" s="300"/>
      <c r="EU102" s="300"/>
      <c r="EV102" s="300"/>
      <c r="EW102" s="300"/>
      <c r="EX102" s="300"/>
      <c r="EY102" s="300"/>
      <c r="EZ102" s="300"/>
      <c r="FA102" s="300"/>
      <c r="FB102" s="300"/>
      <c r="FC102" s="300"/>
      <c r="FD102" s="300"/>
      <c r="FE102" s="300"/>
      <c r="FF102" s="300"/>
      <c r="FG102" s="300"/>
      <c r="FH102" s="300"/>
      <c r="FI102" s="300"/>
      <c r="FJ102" s="300"/>
      <c r="FK102" s="300"/>
      <c r="FL102" s="300"/>
      <c r="FM102" s="300"/>
      <c r="FN102" s="300"/>
      <c r="FO102" s="300"/>
      <c r="FP102" s="300"/>
      <c r="FQ102" s="300"/>
      <c r="FR102" s="300"/>
      <c r="FS102" s="300"/>
      <c r="FT102" s="300"/>
      <c r="FU102" s="300"/>
      <c r="FV102" s="300"/>
      <c r="FW102" s="300"/>
      <c r="FX102" s="300"/>
      <c r="FY102" s="300"/>
      <c r="FZ102" s="300"/>
      <c r="GA102" s="300"/>
      <c r="GB102" s="300"/>
      <c r="GC102" s="300"/>
      <c r="GD102" s="300"/>
      <c r="GE102" s="300"/>
      <c r="GF102" s="300"/>
      <c r="GG102" s="300"/>
      <c r="GH102" s="300"/>
      <c r="GI102" s="300"/>
      <c r="GJ102" s="300"/>
      <c r="GK102" s="300"/>
      <c r="GL102" s="300"/>
      <c r="GM102" s="300"/>
      <c r="GN102" s="300"/>
      <c r="GO102" s="300"/>
      <c r="GP102" s="300"/>
      <c r="GQ102" s="300"/>
      <c r="GR102" s="300"/>
      <c r="GS102" s="300"/>
      <c r="GT102" s="300"/>
      <c r="GU102" s="300"/>
      <c r="GV102" s="300"/>
      <c r="GW102" s="300"/>
      <c r="GX102" s="300"/>
      <c r="GY102" s="300"/>
      <c r="GZ102" s="300"/>
      <c r="HA102" s="300"/>
      <c r="HB102" s="300"/>
      <c r="HC102" s="300"/>
      <c r="HD102" s="300"/>
      <c r="HE102" s="300"/>
      <c r="HF102" s="300"/>
      <c r="HG102" s="300"/>
      <c r="HH102" s="300"/>
      <c r="HI102" s="300"/>
      <c r="HJ102" s="300"/>
      <c r="HK102" s="300"/>
      <c r="HL102" s="300"/>
      <c r="HM102" s="300"/>
      <c r="HN102" s="300"/>
      <c r="HO102" s="300"/>
      <c r="HP102" s="300"/>
      <c r="HQ102" s="300"/>
      <c r="HR102" s="300"/>
      <c r="HS102" s="300"/>
      <c r="HT102" s="300"/>
      <c r="HU102" s="300"/>
      <c r="HV102" s="300"/>
      <c r="HW102" s="300"/>
      <c r="HX102" s="300"/>
      <c r="HY102" s="300"/>
      <c r="HZ102" s="300"/>
      <c r="IA102" s="300"/>
      <c r="IB102" s="300"/>
      <c r="IC102" s="300"/>
    </row>
    <row r="103" ht="12.75" customHeight="1">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300"/>
      <c r="BJ103" s="300"/>
      <c r="BK103" s="300"/>
      <c r="BL103" s="300"/>
      <c r="BM103" s="300"/>
      <c r="BN103" s="300"/>
      <c r="BO103" s="300"/>
      <c r="BP103" s="300"/>
      <c r="BQ103" s="300"/>
      <c r="BR103" s="300"/>
      <c r="BS103" s="300"/>
      <c r="BT103" s="300"/>
      <c r="BU103" s="300"/>
      <c r="BV103" s="300"/>
      <c r="BW103" s="300"/>
      <c r="BX103" s="300"/>
      <c r="BY103" s="300"/>
      <c r="BZ103" s="300"/>
      <c r="CA103" s="300"/>
      <c r="CB103" s="300"/>
      <c r="CC103" s="300"/>
      <c r="CD103" s="300"/>
      <c r="CE103" s="300"/>
      <c r="CF103" s="300"/>
      <c r="CG103" s="300"/>
      <c r="CH103" s="300"/>
      <c r="CI103" s="300"/>
      <c r="CJ103" s="300"/>
      <c r="CK103" s="300"/>
      <c r="CL103" s="300"/>
      <c r="CM103" s="300"/>
      <c r="CN103" s="300"/>
      <c r="CO103" s="300"/>
      <c r="CP103" s="300"/>
      <c r="CQ103" s="300"/>
      <c r="CR103" s="300"/>
      <c r="CS103" s="300"/>
      <c r="CT103" s="300"/>
      <c r="CU103" s="300"/>
      <c r="CV103" s="300"/>
      <c r="CW103" s="300"/>
      <c r="CX103" s="300"/>
      <c r="CY103" s="300"/>
      <c r="CZ103" s="300"/>
      <c r="DA103" s="300"/>
      <c r="DB103" s="300"/>
      <c r="DC103" s="300"/>
      <c r="DD103" s="300"/>
      <c r="DE103" s="300"/>
      <c r="DF103" s="396"/>
      <c r="DG103" s="300"/>
      <c r="DH103" s="531"/>
      <c r="DI103" s="10"/>
      <c r="DJ103" s="10"/>
      <c r="DK103" s="10"/>
      <c r="DL103" s="10"/>
      <c r="DM103" s="10"/>
      <c r="DN103" s="10"/>
      <c r="DO103" s="10"/>
      <c r="DP103" s="10"/>
      <c r="DQ103" s="10"/>
      <c r="DR103" s="10"/>
      <c r="DS103" s="10"/>
      <c r="DT103" s="10"/>
      <c r="DU103" s="19"/>
      <c r="DV103" s="300"/>
      <c r="DW103" s="398"/>
      <c r="DX103" s="300"/>
      <c r="DY103" s="300"/>
      <c r="DZ103" s="300"/>
      <c r="EA103" s="300"/>
      <c r="EB103" s="300"/>
      <c r="EC103" s="300"/>
      <c r="ED103" s="300"/>
      <c r="EE103" s="300"/>
      <c r="EF103" s="300"/>
      <c r="EG103" s="300"/>
      <c r="EH103" s="300"/>
      <c r="EI103" s="300"/>
      <c r="EJ103" s="300"/>
      <c r="EK103" s="300"/>
      <c r="EL103" s="300"/>
      <c r="EM103" s="300"/>
      <c r="EN103" s="300"/>
      <c r="EO103" s="300"/>
      <c r="EP103" s="300"/>
      <c r="EQ103" s="300"/>
      <c r="ER103" s="300"/>
      <c r="ES103" s="300"/>
      <c r="ET103" s="300"/>
      <c r="EU103" s="300"/>
      <c r="EV103" s="300"/>
      <c r="EW103" s="300"/>
      <c r="EX103" s="300"/>
      <c r="EY103" s="300"/>
      <c r="EZ103" s="300"/>
      <c r="FA103" s="300"/>
      <c r="FB103" s="300"/>
      <c r="FC103" s="300"/>
      <c r="FD103" s="300"/>
      <c r="FE103" s="300"/>
      <c r="FF103" s="300"/>
      <c r="FG103" s="300"/>
      <c r="FH103" s="300"/>
      <c r="FI103" s="300"/>
      <c r="FJ103" s="300"/>
      <c r="FK103" s="300"/>
      <c r="FL103" s="300"/>
      <c r="FM103" s="300"/>
      <c r="FN103" s="300"/>
      <c r="FO103" s="300"/>
      <c r="FP103" s="300"/>
      <c r="FQ103" s="300"/>
      <c r="FR103" s="300"/>
      <c r="FS103" s="300"/>
      <c r="FT103" s="300"/>
      <c r="FU103" s="300"/>
      <c r="FV103" s="300"/>
      <c r="FW103" s="300"/>
      <c r="FX103" s="300"/>
      <c r="FY103" s="300"/>
      <c r="FZ103" s="300"/>
      <c r="GA103" s="300"/>
      <c r="GB103" s="300"/>
      <c r="GC103" s="300"/>
      <c r="GD103" s="300"/>
      <c r="GE103" s="300"/>
      <c r="GF103" s="300"/>
      <c r="GG103" s="300"/>
      <c r="GH103" s="300"/>
      <c r="GI103" s="300"/>
      <c r="GJ103" s="300"/>
      <c r="GK103" s="300"/>
      <c r="GL103" s="300"/>
      <c r="GM103" s="300"/>
      <c r="GN103" s="300"/>
      <c r="GO103" s="300"/>
      <c r="GP103" s="300"/>
      <c r="GQ103" s="300"/>
      <c r="GR103" s="300"/>
      <c r="GS103" s="300"/>
      <c r="GT103" s="300"/>
      <c r="GU103" s="300"/>
      <c r="GV103" s="300"/>
      <c r="GW103" s="300"/>
      <c r="GX103" s="300"/>
      <c r="GY103" s="300"/>
      <c r="GZ103" s="300"/>
      <c r="HA103" s="300"/>
      <c r="HB103" s="300"/>
      <c r="HC103" s="300"/>
      <c r="HD103" s="300"/>
      <c r="HE103" s="300"/>
      <c r="HF103" s="300"/>
      <c r="HG103" s="300"/>
      <c r="HH103" s="300"/>
      <c r="HI103" s="300"/>
      <c r="HJ103" s="300"/>
      <c r="HK103" s="300"/>
      <c r="HL103" s="300"/>
      <c r="HM103" s="300"/>
      <c r="HN103" s="300"/>
      <c r="HO103" s="300"/>
      <c r="HP103" s="300"/>
      <c r="HQ103" s="300"/>
      <c r="HR103" s="300"/>
      <c r="HS103" s="300"/>
      <c r="HT103" s="300"/>
      <c r="HU103" s="300"/>
      <c r="HV103" s="300"/>
      <c r="HW103" s="300"/>
      <c r="HX103" s="300"/>
      <c r="HY103" s="300"/>
      <c r="HZ103" s="300"/>
      <c r="IA103" s="300"/>
      <c r="IB103" s="300"/>
      <c r="IC103" s="300"/>
    </row>
    <row r="104" ht="12.75" customHeight="1">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0"/>
      <c r="BQ104" s="300"/>
      <c r="BR104" s="300"/>
      <c r="BS104" s="300"/>
      <c r="BT104" s="300"/>
      <c r="BU104" s="300"/>
      <c r="BV104" s="300"/>
      <c r="BW104" s="300"/>
      <c r="BX104" s="300"/>
      <c r="BY104" s="300"/>
      <c r="BZ104" s="300"/>
      <c r="CA104" s="300"/>
      <c r="CB104" s="300"/>
      <c r="CC104" s="300"/>
      <c r="CD104" s="300"/>
      <c r="CE104" s="300"/>
      <c r="CF104" s="300"/>
      <c r="CG104" s="300"/>
      <c r="CH104" s="300"/>
      <c r="CI104" s="300"/>
      <c r="CJ104" s="300"/>
      <c r="CK104" s="300"/>
      <c r="CL104" s="300"/>
      <c r="CM104" s="300"/>
      <c r="CN104" s="300"/>
      <c r="CO104" s="300"/>
      <c r="CP104" s="300"/>
      <c r="CQ104" s="300"/>
      <c r="CR104" s="300"/>
      <c r="CS104" s="300"/>
      <c r="CT104" s="300"/>
      <c r="CU104" s="300"/>
      <c r="CV104" s="300"/>
      <c r="CW104" s="300"/>
      <c r="CX104" s="300"/>
      <c r="CY104" s="300"/>
      <c r="CZ104" s="300"/>
      <c r="DA104" s="300"/>
      <c r="DB104" s="300"/>
      <c r="DC104" s="300"/>
      <c r="DD104" s="300"/>
      <c r="DE104" s="300"/>
      <c r="DF104" s="396"/>
      <c r="DG104" s="300"/>
      <c r="DH104" s="394"/>
      <c r="DI104" s="52"/>
      <c r="DJ104" s="52"/>
      <c r="DK104" s="52"/>
      <c r="DL104" s="52"/>
      <c r="DM104" s="52"/>
      <c r="DN104" s="52"/>
      <c r="DO104" s="52"/>
      <c r="DP104" s="52"/>
      <c r="DQ104" s="52"/>
      <c r="DR104" s="52"/>
      <c r="DS104" s="52"/>
      <c r="DT104" s="52"/>
      <c r="DU104" s="30"/>
      <c r="DV104" s="300"/>
      <c r="DW104" s="398"/>
      <c r="DX104" s="300"/>
      <c r="DY104" s="300"/>
      <c r="DZ104" s="300"/>
      <c r="EA104" s="300"/>
      <c r="EB104" s="300"/>
      <c r="EC104" s="300"/>
      <c r="ED104" s="300"/>
      <c r="EE104" s="300"/>
      <c r="EF104" s="300"/>
      <c r="EG104" s="300"/>
      <c r="EH104" s="300"/>
      <c r="EI104" s="300"/>
      <c r="EJ104" s="300"/>
      <c r="EK104" s="300"/>
      <c r="EL104" s="300"/>
      <c r="EM104" s="300"/>
      <c r="EN104" s="300"/>
      <c r="EO104" s="300"/>
      <c r="EP104" s="300"/>
      <c r="EQ104" s="300"/>
      <c r="ER104" s="300"/>
      <c r="ES104" s="300"/>
      <c r="ET104" s="300"/>
      <c r="EU104" s="300"/>
      <c r="EV104" s="300"/>
      <c r="EW104" s="300"/>
      <c r="EX104" s="300"/>
      <c r="EY104" s="300"/>
      <c r="EZ104" s="300"/>
      <c r="FA104" s="300"/>
      <c r="FB104" s="300"/>
      <c r="FC104" s="300"/>
      <c r="FD104" s="300"/>
      <c r="FE104" s="300"/>
      <c r="FF104" s="300"/>
      <c r="FG104" s="300"/>
      <c r="FH104" s="300"/>
      <c r="FI104" s="300"/>
      <c r="FJ104" s="300"/>
      <c r="FK104" s="300"/>
      <c r="FL104" s="300"/>
      <c r="FM104" s="300"/>
      <c r="FN104" s="300"/>
      <c r="FO104" s="300"/>
      <c r="FP104" s="300"/>
      <c r="FQ104" s="300"/>
      <c r="FR104" s="300"/>
      <c r="FS104" s="300"/>
      <c r="FT104" s="300"/>
      <c r="FU104" s="300"/>
      <c r="FV104" s="300"/>
      <c r="FW104" s="300"/>
      <c r="FX104" s="300"/>
      <c r="FY104" s="300"/>
      <c r="FZ104" s="300"/>
      <c r="GA104" s="300"/>
      <c r="GB104" s="300"/>
      <c r="GC104" s="300"/>
      <c r="GD104" s="300"/>
      <c r="GE104" s="300"/>
      <c r="GF104" s="300"/>
      <c r="GG104" s="300"/>
      <c r="GH104" s="300"/>
      <c r="GI104" s="300"/>
      <c r="GJ104" s="300"/>
      <c r="GK104" s="300"/>
      <c r="GL104" s="300"/>
      <c r="GM104" s="300"/>
      <c r="GN104" s="300"/>
      <c r="GO104" s="300"/>
      <c r="GP104" s="300"/>
      <c r="GQ104" s="300"/>
      <c r="GR104" s="300"/>
      <c r="GS104" s="300"/>
      <c r="GT104" s="300"/>
      <c r="GU104" s="300"/>
      <c r="GV104" s="300"/>
      <c r="GW104" s="300"/>
      <c r="GX104" s="300"/>
      <c r="GY104" s="300"/>
      <c r="GZ104" s="300"/>
      <c r="HA104" s="300"/>
      <c r="HB104" s="300"/>
      <c r="HC104" s="300"/>
      <c r="HD104" s="300"/>
      <c r="HE104" s="300"/>
      <c r="HF104" s="300"/>
      <c r="HG104" s="300"/>
      <c r="HH104" s="300"/>
      <c r="HI104" s="300"/>
      <c r="HJ104" s="300"/>
      <c r="HK104" s="300"/>
      <c r="HL104" s="300"/>
      <c r="HM104" s="300"/>
      <c r="HN104" s="300"/>
      <c r="HO104" s="300"/>
      <c r="HP104" s="300"/>
      <c r="HQ104" s="300"/>
      <c r="HR104" s="300"/>
      <c r="HS104" s="300"/>
      <c r="HT104" s="300"/>
      <c r="HU104" s="300"/>
      <c r="HV104" s="300"/>
      <c r="HW104" s="300"/>
      <c r="HX104" s="300"/>
      <c r="HY104" s="300"/>
      <c r="HZ104" s="300"/>
      <c r="IA104" s="300"/>
      <c r="IB104" s="300"/>
      <c r="IC104" s="300"/>
    </row>
    <row r="105" ht="12.75" customHeight="1">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300"/>
      <c r="BJ105" s="300"/>
      <c r="BK105" s="300"/>
      <c r="BL105" s="300"/>
      <c r="BM105" s="300"/>
      <c r="BN105" s="300"/>
      <c r="BO105" s="300"/>
      <c r="BP105" s="300"/>
      <c r="BQ105" s="300"/>
      <c r="BR105" s="300"/>
      <c r="BS105" s="300"/>
      <c r="BT105" s="300"/>
      <c r="BU105" s="300"/>
      <c r="BV105" s="300"/>
      <c r="BW105" s="300"/>
      <c r="BX105" s="300"/>
      <c r="BY105" s="300"/>
      <c r="BZ105" s="300"/>
      <c r="CA105" s="300"/>
      <c r="CB105" s="300"/>
      <c r="CC105" s="300"/>
      <c r="CD105" s="300"/>
      <c r="CE105" s="300"/>
      <c r="CF105" s="300"/>
      <c r="CG105" s="300"/>
      <c r="CH105" s="300"/>
      <c r="CI105" s="300"/>
      <c r="CJ105" s="300"/>
      <c r="CK105" s="300"/>
      <c r="CL105" s="300"/>
      <c r="CM105" s="300"/>
      <c r="CN105" s="300"/>
      <c r="CO105" s="300"/>
      <c r="CP105" s="300"/>
      <c r="CQ105" s="300"/>
      <c r="CR105" s="300"/>
      <c r="CS105" s="300"/>
      <c r="CT105" s="300"/>
      <c r="CU105" s="300"/>
      <c r="CV105" s="300"/>
      <c r="CW105" s="300"/>
      <c r="CX105" s="300"/>
      <c r="CY105" s="300"/>
      <c r="CZ105" s="300"/>
      <c r="DA105" s="300"/>
      <c r="DB105" s="300"/>
      <c r="DC105" s="300"/>
      <c r="DD105" s="300"/>
      <c r="DE105" s="300"/>
      <c r="DF105" s="396"/>
      <c r="DG105" s="300"/>
      <c r="DH105" s="300"/>
      <c r="DI105" s="300"/>
      <c r="DJ105" s="300"/>
      <c r="DK105" s="300"/>
      <c r="DL105" s="300"/>
      <c r="DM105" s="300"/>
      <c r="DN105" s="300"/>
      <c r="DO105" s="300"/>
      <c r="DP105" s="300"/>
      <c r="DQ105" s="300"/>
      <c r="DR105" s="300"/>
      <c r="DS105" s="300"/>
      <c r="DT105" s="300"/>
      <c r="DU105" s="300"/>
      <c r="DV105" s="300"/>
      <c r="DW105" s="398"/>
      <c r="DX105" s="300"/>
      <c r="DY105" s="300"/>
      <c r="DZ105" s="300"/>
      <c r="EA105" s="300"/>
      <c r="EB105" s="300"/>
      <c r="EC105" s="300"/>
      <c r="ED105" s="300"/>
      <c r="EE105" s="300"/>
      <c r="EF105" s="300"/>
      <c r="EG105" s="300"/>
      <c r="EH105" s="300"/>
      <c r="EI105" s="300"/>
      <c r="EJ105" s="300"/>
      <c r="EK105" s="300"/>
      <c r="EL105" s="300"/>
      <c r="EM105" s="300"/>
      <c r="EN105" s="300"/>
      <c r="EO105" s="300"/>
      <c r="EP105" s="300"/>
      <c r="EQ105" s="300"/>
      <c r="ER105" s="300"/>
      <c r="ES105" s="300"/>
      <c r="ET105" s="300"/>
      <c r="EU105" s="300"/>
      <c r="EV105" s="300"/>
      <c r="EW105" s="300"/>
      <c r="EX105" s="300"/>
      <c r="EY105" s="300"/>
      <c r="EZ105" s="300"/>
      <c r="FA105" s="300"/>
      <c r="FB105" s="300"/>
      <c r="FC105" s="300"/>
      <c r="FD105" s="300"/>
      <c r="FE105" s="300"/>
      <c r="FF105" s="300"/>
      <c r="FG105" s="300"/>
      <c r="FH105" s="300"/>
      <c r="FI105" s="300"/>
      <c r="FJ105" s="300"/>
      <c r="FK105" s="300"/>
      <c r="FL105" s="300"/>
      <c r="FM105" s="300"/>
      <c r="FN105" s="300"/>
      <c r="FO105" s="300"/>
      <c r="FP105" s="300"/>
      <c r="FQ105" s="300"/>
      <c r="FR105" s="300"/>
      <c r="FS105" s="300"/>
      <c r="FT105" s="300"/>
      <c r="FU105" s="300"/>
      <c r="FV105" s="300"/>
      <c r="FW105" s="300"/>
      <c r="FX105" s="300"/>
      <c r="FY105" s="300"/>
      <c r="FZ105" s="300"/>
      <c r="GA105" s="300"/>
      <c r="GB105" s="300"/>
      <c r="GC105" s="300"/>
      <c r="GD105" s="300"/>
      <c r="GE105" s="300"/>
      <c r="GF105" s="300"/>
      <c r="GG105" s="300"/>
      <c r="GH105" s="300"/>
      <c r="GI105" s="300"/>
      <c r="GJ105" s="300"/>
      <c r="GK105" s="300"/>
      <c r="GL105" s="300"/>
      <c r="GM105" s="300"/>
      <c r="GN105" s="300"/>
      <c r="GO105" s="300"/>
      <c r="GP105" s="300"/>
      <c r="GQ105" s="300"/>
      <c r="GR105" s="300"/>
      <c r="GS105" s="300"/>
      <c r="GT105" s="300"/>
      <c r="GU105" s="300"/>
      <c r="GV105" s="300"/>
      <c r="GW105" s="300"/>
      <c r="GX105" s="300"/>
      <c r="GY105" s="300"/>
      <c r="GZ105" s="300"/>
      <c r="HA105" s="300"/>
      <c r="HB105" s="300"/>
      <c r="HC105" s="300"/>
      <c r="HD105" s="300"/>
      <c r="HE105" s="300"/>
      <c r="HF105" s="300"/>
      <c r="HG105" s="300"/>
      <c r="HH105" s="300"/>
      <c r="HI105" s="300"/>
      <c r="HJ105" s="300"/>
      <c r="HK105" s="300"/>
      <c r="HL105" s="300"/>
      <c r="HM105" s="300"/>
      <c r="HN105" s="300"/>
      <c r="HO105" s="300"/>
      <c r="HP105" s="300"/>
      <c r="HQ105" s="300"/>
      <c r="HR105" s="300"/>
      <c r="HS105" s="300"/>
      <c r="HT105" s="300"/>
      <c r="HU105" s="300"/>
      <c r="HV105" s="300"/>
      <c r="HW105" s="300"/>
      <c r="HX105" s="300"/>
      <c r="HY105" s="300"/>
      <c r="HZ105" s="300"/>
      <c r="IA105" s="300"/>
      <c r="IB105" s="300"/>
      <c r="IC105" s="300"/>
    </row>
    <row r="106" ht="12.75" customHeight="1">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300"/>
      <c r="BJ106" s="300"/>
      <c r="BK106" s="300"/>
      <c r="BL106" s="300"/>
      <c r="BM106" s="300"/>
      <c r="BN106" s="300"/>
      <c r="BO106" s="300"/>
      <c r="BP106" s="300"/>
      <c r="BQ106" s="300"/>
      <c r="BR106" s="300"/>
      <c r="BS106" s="300"/>
      <c r="BT106" s="300"/>
      <c r="BU106" s="300"/>
      <c r="BV106" s="300"/>
      <c r="BW106" s="300"/>
      <c r="BX106" s="300"/>
      <c r="BY106" s="300"/>
      <c r="BZ106" s="300"/>
      <c r="CA106" s="300"/>
      <c r="CB106" s="300"/>
      <c r="CC106" s="300"/>
      <c r="CD106" s="300"/>
      <c r="CE106" s="300"/>
      <c r="CF106" s="300"/>
      <c r="CG106" s="300"/>
      <c r="CH106" s="300"/>
      <c r="CI106" s="300"/>
      <c r="CJ106" s="300"/>
      <c r="CK106" s="300"/>
      <c r="CL106" s="300"/>
      <c r="CM106" s="300"/>
      <c r="CN106" s="300"/>
      <c r="CO106" s="300"/>
      <c r="CP106" s="300"/>
      <c r="CQ106" s="300"/>
      <c r="CR106" s="300"/>
      <c r="CS106" s="300"/>
      <c r="CT106" s="300"/>
      <c r="CU106" s="300"/>
      <c r="CV106" s="300"/>
      <c r="CW106" s="300"/>
      <c r="CX106" s="300"/>
      <c r="CY106" s="300"/>
      <c r="CZ106" s="300"/>
      <c r="DA106" s="300"/>
      <c r="DB106" s="300"/>
      <c r="DC106" s="300"/>
      <c r="DD106" s="300"/>
      <c r="DE106" s="300"/>
      <c r="DF106" s="396"/>
      <c r="DG106" s="300"/>
      <c r="DH106" s="420" t="s">
        <v>534</v>
      </c>
      <c r="DI106" s="300"/>
      <c r="DJ106" s="300"/>
      <c r="DK106" s="300"/>
      <c r="DL106" s="300"/>
      <c r="DM106" s="300"/>
      <c r="DN106" s="300"/>
      <c r="DO106" s="300"/>
      <c r="DP106" s="300"/>
      <c r="DQ106" s="300"/>
      <c r="DR106" s="300"/>
      <c r="DS106" s="300"/>
      <c r="DT106" s="300"/>
      <c r="DU106" s="300"/>
      <c r="DV106" s="300"/>
      <c r="DW106" s="398"/>
      <c r="DX106" s="300"/>
      <c r="DY106" s="300"/>
      <c r="DZ106" s="300"/>
      <c r="EA106" s="300"/>
      <c r="EB106" s="300"/>
      <c r="EC106" s="300"/>
      <c r="ED106" s="300"/>
      <c r="EE106" s="300"/>
      <c r="EF106" s="300"/>
      <c r="EG106" s="300"/>
      <c r="EH106" s="300"/>
      <c r="EI106" s="300"/>
      <c r="EJ106" s="300"/>
      <c r="EK106" s="300"/>
      <c r="EL106" s="300"/>
      <c r="EM106" s="300"/>
      <c r="EN106" s="300"/>
      <c r="EO106" s="300"/>
      <c r="EP106" s="300"/>
      <c r="EQ106" s="300"/>
      <c r="ER106" s="300"/>
      <c r="ES106" s="300"/>
      <c r="ET106" s="300"/>
      <c r="EU106" s="300"/>
      <c r="EV106" s="300"/>
      <c r="EW106" s="300"/>
      <c r="EX106" s="300"/>
      <c r="EY106" s="300"/>
      <c r="EZ106" s="300"/>
      <c r="FA106" s="300"/>
      <c r="FB106" s="300"/>
      <c r="FC106" s="300"/>
      <c r="FD106" s="300"/>
      <c r="FE106" s="300"/>
      <c r="FF106" s="300"/>
      <c r="FG106" s="300"/>
      <c r="FH106" s="300"/>
      <c r="FI106" s="300"/>
      <c r="FJ106" s="300"/>
      <c r="FK106" s="300"/>
      <c r="FL106" s="300"/>
      <c r="FM106" s="300"/>
      <c r="FN106" s="300"/>
      <c r="FO106" s="300"/>
      <c r="FP106" s="300"/>
      <c r="FQ106" s="300"/>
      <c r="FR106" s="300"/>
      <c r="FS106" s="300"/>
      <c r="FT106" s="300"/>
      <c r="FU106" s="300"/>
      <c r="FV106" s="300"/>
      <c r="FW106" s="300"/>
      <c r="FX106" s="300"/>
      <c r="FY106" s="300"/>
      <c r="FZ106" s="300"/>
      <c r="GA106" s="300"/>
      <c r="GB106" s="300"/>
      <c r="GC106" s="300"/>
      <c r="GD106" s="300"/>
      <c r="GE106" s="300"/>
      <c r="GF106" s="300"/>
      <c r="GG106" s="300"/>
      <c r="GH106" s="300"/>
      <c r="GI106" s="300"/>
      <c r="GJ106" s="300"/>
      <c r="GK106" s="300"/>
      <c r="GL106" s="300"/>
      <c r="GM106" s="300"/>
      <c r="GN106" s="300"/>
      <c r="GO106" s="300"/>
      <c r="GP106" s="300"/>
      <c r="GQ106" s="300"/>
      <c r="GR106" s="300"/>
      <c r="GS106" s="300"/>
      <c r="GT106" s="300"/>
      <c r="GU106" s="300"/>
      <c r="GV106" s="300"/>
      <c r="GW106" s="300"/>
      <c r="GX106" s="300"/>
      <c r="GY106" s="300"/>
      <c r="GZ106" s="300"/>
      <c r="HA106" s="300"/>
      <c r="HB106" s="300"/>
      <c r="HC106" s="300"/>
      <c r="HD106" s="300"/>
      <c r="HE106" s="300"/>
      <c r="HF106" s="300"/>
      <c r="HG106" s="300"/>
      <c r="HH106" s="300"/>
      <c r="HI106" s="300"/>
      <c r="HJ106" s="300"/>
      <c r="HK106" s="300"/>
      <c r="HL106" s="300"/>
      <c r="HM106" s="300"/>
      <c r="HN106" s="300"/>
      <c r="HO106" s="300"/>
      <c r="HP106" s="300"/>
      <c r="HQ106" s="300"/>
      <c r="HR106" s="300"/>
      <c r="HS106" s="300"/>
      <c r="HT106" s="300"/>
      <c r="HU106" s="300"/>
      <c r="HV106" s="300"/>
      <c r="HW106" s="300"/>
      <c r="HX106" s="300"/>
      <c r="HY106" s="300"/>
      <c r="HZ106" s="300"/>
      <c r="IA106" s="300"/>
      <c r="IB106" s="300"/>
      <c r="IC106" s="300"/>
    </row>
    <row r="107" ht="12.75" customHeight="1">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c r="BB107" s="300"/>
      <c r="BC107" s="300"/>
      <c r="BD107" s="300"/>
      <c r="BE107" s="300"/>
      <c r="BF107" s="300"/>
      <c r="BG107" s="300"/>
      <c r="BH107" s="300"/>
      <c r="BI107" s="300"/>
      <c r="BJ107" s="300"/>
      <c r="BK107" s="300"/>
      <c r="BL107" s="300"/>
      <c r="BM107" s="300"/>
      <c r="BN107" s="300"/>
      <c r="BO107" s="300"/>
      <c r="BP107" s="300"/>
      <c r="BQ107" s="300"/>
      <c r="BR107" s="300"/>
      <c r="BS107" s="300"/>
      <c r="BT107" s="300"/>
      <c r="BU107" s="300"/>
      <c r="BV107" s="300"/>
      <c r="BW107" s="300"/>
      <c r="BX107" s="300"/>
      <c r="BY107" s="300"/>
      <c r="BZ107" s="300"/>
      <c r="CA107" s="300"/>
      <c r="CB107" s="300"/>
      <c r="CC107" s="300"/>
      <c r="CD107" s="300"/>
      <c r="CE107" s="300"/>
      <c r="CF107" s="300"/>
      <c r="CG107" s="300"/>
      <c r="CH107" s="300"/>
      <c r="CI107" s="300"/>
      <c r="CJ107" s="300"/>
      <c r="CK107" s="300"/>
      <c r="CL107" s="300"/>
      <c r="CM107" s="300"/>
      <c r="CN107" s="300"/>
      <c r="CO107" s="300"/>
      <c r="CP107" s="300"/>
      <c r="CQ107" s="300"/>
      <c r="CR107" s="300"/>
      <c r="CS107" s="300"/>
      <c r="CT107" s="300"/>
      <c r="CU107" s="300"/>
      <c r="CV107" s="300"/>
      <c r="CW107" s="300"/>
      <c r="CX107" s="300"/>
      <c r="CY107" s="300"/>
      <c r="CZ107" s="300"/>
      <c r="DA107" s="300"/>
      <c r="DB107" s="300"/>
      <c r="DC107" s="300"/>
      <c r="DD107" s="300"/>
      <c r="DE107" s="300"/>
      <c r="DF107" s="396"/>
      <c r="DG107" s="300"/>
      <c r="DH107" s="531" t="s">
        <v>536</v>
      </c>
      <c r="DI107" s="10"/>
      <c r="DJ107" s="10"/>
      <c r="DK107" s="19"/>
      <c r="DL107" s="552" t="s">
        <v>535</v>
      </c>
      <c r="DM107" s="447">
        <v>1234.0</v>
      </c>
      <c r="DN107" s="10"/>
      <c r="DO107" s="10"/>
      <c r="DP107" s="19"/>
      <c r="DQ107" s="552" t="s">
        <v>535</v>
      </c>
      <c r="DR107" s="447">
        <v>5678.0</v>
      </c>
      <c r="DS107" s="10"/>
      <c r="DT107" s="10"/>
      <c r="DU107" s="19"/>
      <c r="DV107" s="300"/>
      <c r="DW107" s="398"/>
      <c r="DX107" s="300"/>
      <c r="DY107" s="300"/>
      <c r="DZ107" s="300"/>
      <c r="EA107" s="300"/>
      <c r="EB107" s="300"/>
      <c r="EC107" s="300"/>
      <c r="ED107" s="300"/>
      <c r="EE107" s="300"/>
      <c r="EF107" s="300"/>
      <c r="EG107" s="300"/>
      <c r="EH107" s="300"/>
      <c r="EI107" s="300"/>
      <c r="EJ107" s="300"/>
      <c r="EK107" s="300"/>
      <c r="EL107" s="300"/>
      <c r="EM107" s="300"/>
      <c r="EN107" s="300"/>
      <c r="EO107" s="300"/>
      <c r="EP107" s="300"/>
      <c r="EQ107" s="300"/>
      <c r="ER107" s="300"/>
      <c r="ES107" s="300"/>
      <c r="ET107" s="300"/>
      <c r="EU107" s="300"/>
      <c r="EV107" s="300"/>
      <c r="EW107" s="300"/>
      <c r="EX107" s="300"/>
      <c r="EY107" s="300"/>
      <c r="EZ107" s="300"/>
      <c r="FA107" s="300"/>
      <c r="FB107" s="300"/>
      <c r="FC107" s="300"/>
      <c r="FD107" s="300"/>
      <c r="FE107" s="300"/>
      <c r="FF107" s="300"/>
      <c r="FG107" s="300"/>
      <c r="FH107" s="300"/>
      <c r="FI107" s="300"/>
      <c r="FJ107" s="300"/>
      <c r="FK107" s="300"/>
      <c r="FL107" s="300"/>
      <c r="FM107" s="300"/>
      <c r="FN107" s="300"/>
      <c r="FO107" s="300"/>
      <c r="FP107" s="300"/>
      <c r="FQ107" s="300"/>
      <c r="FR107" s="300"/>
      <c r="FS107" s="300"/>
      <c r="FT107" s="300"/>
      <c r="FU107" s="300"/>
      <c r="FV107" s="300"/>
      <c r="FW107" s="300"/>
      <c r="FX107" s="300"/>
      <c r="FY107" s="300"/>
      <c r="FZ107" s="300"/>
      <c r="GA107" s="300"/>
      <c r="GB107" s="300"/>
      <c r="GC107" s="300"/>
      <c r="GD107" s="300"/>
      <c r="GE107" s="300"/>
      <c r="GF107" s="300"/>
      <c r="GG107" s="300"/>
      <c r="GH107" s="300"/>
      <c r="GI107" s="300"/>
      <c r="GJ107" s="300"/>
      <c r="GK107" s="300"/>
      <c r="GL107" s="300"/>
      <c r="GM107" s="300"/>
      <c r="GN107" s="300"/>
      <c r="GO107" s="300"/>
      <c r="GP107" s="300"/>
      <c r="GQ107" s="300"/>
      <c r="GR107" s="300"/>
      <c r="GS107" s="300"/>
      <c r="GT107" s="300"/>
      <c r="GU107" s="300"/>
      <c r="GV107" s="300"/>
      <c r="GW107" s="300"/>
      <c r="GX107" s="300"/>
      <c r="GY107" s="300"/>
      <c r="GZ107" s="300"/>
      <c r="HA107" s="300"/>
      <c r="HB107" s="300"/>
      <c r="HC107" s="300"/>
      <c r="HD107" s="300"/>
      <c r="HE107" s="300"/>
      <c r="HF107" s="300"/>
      <c r="HG107" s="300"/>
      <c r="HH107" s="300"/>
      <c r="HI107" s="300"/>
      <c r="HJ107" s="300"/>
      <c r="HK107" s="300"/>
      <c r="HL107" s="300"/>
      <c r="HM107" s="300"/>
      <c r="HN107" s="300"/>
      <c r="HO107" s="300"/>
      <c r="HP107" s="300"/>
      <c r="HQ107" s="300"/>
      <c r="HR107" s="300"/>
      <c r="HS107" s="300"/>
      <c r="HT107" s="300"/>
      <c r="HU107" s="300"/>
      <c r="HV107" s="300"/>
      <c r="HW107" s="300"/>
      <c r="HX107" s="300"/>
      <c r="HY107" s="300"/>
      <c r="HZ107" s="300"/>
      <c r="IA107" s="300"/>
      <c r="IB107" s="300"/>
      <c r="IC107" s="300"/>
    </row>
    <row r="108" ht="12.75" customHeight="1">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c r="BB108" s="300"/>
      <c r="BC108" s="300"/>
      <c r="BD108" s="300"/>
      <c r="BE108" s="300"/>
      <c r="BF108" s="300"/>
      <c r="BG108" s="300"/>
      <c r="BH108" s="300"/>
      <c r="BI108" s="300"/>
      <c r="BJ108" s="300"/>
      <c r="BK108" s="300"/>
      <c r="BL108" s="300"/>
      <c r="BM108" s="300"/>
      <c r="BN108" s="300"/>
      <c r="BO108" s="300"/>
      <c r="BP108" s="300"/>
      <c r="BQ108" s="300"/>
      <c r="BR108" s="300"/>
      <c r="BS108" s="300"/>
      <c r="BT108" s="300"/>
      <c r="BU108" s="300"/>
      <c r="BV108" s="300"/>
      <c r="BW108" s="300"/>
      <c r="BX108" s="300"/>
      <c r="BY108" s="300"/>
      <c r="BZ108" s="300"/>
      <c r="CA108" s="300"/>
      <c r="CB108" s="300"/>
      <c r="CC108" s="300"/>
      <c r="CD108" s="300"/>
      <c r="CE108" s="300"/>
      <c r="CF108" s="300"/>
      <c r="CG108" s="300"/>
      <c r="CH108" s="300"/>
      <c r="CI108" s="300"/>
      <c r="CJ108" s="300"/>
      <c r="CK108" s="300"/>
      <c r="CL108" s="300"/>
      <c r="CM108" s="300"/>
      <c r="CN108" s="300"/>
      <c r="CO108" s="300"/>
      <c r="CP108" s="300"/>
      <c r="CQ108" s="300"/>
      <c r="CR108" s="300"/>
      <c r="CS108" s="300"/>
      <c r="CT108" s="300"/>
      <c r="CU108" s="300"/>
      <c r="CV108" s="300"/>
      <c r="CW108" s="300"/>
      <c r="CX108" s="300"/>
      <c r="CY108" s="300"/>
      <c r="CZ108" s="300"/>
      <c r="DA108" s="300"/>
      <c r="DB108" s="300"/>
      <c r="DC108" s="300"/>
      <c r="DD108" s="300"/>
      <c r="DE108" s="300"/>
      <c r="DF108" s="396"/>
      <c r="DG108" s="300"/>
      <c r="DH108" s="394"/>
      <c r="DI108" s="52"/>
      <c r="DJ108" s="52"/>
      <c r="DK108" s="30"/>
      <c r="DL108" s="128"/>
      <c r="DM108" s="394"/>
      <c r="DN108" s="52"/>
      <c r="DO108" s="52"/>
      <c r="DP108" s="30"/>
      <c r="DQ108" s="128"/>
      <c r="DR108" s="394"/>
      <c r="DS108" s="52"/>
      <c r="DT108" s="52"/>
      <c r="DU108" s="30"/>
      <c r="DV108" s="300"/>
      <c r="DW108" s="398"/>
      <c r="DX108" s="300"/>
      <c r="DY108" s="300"/>
      <c r="DZ108" s="300"/>
      <c r="EA108" s="300"/>
      <c r="EB108" s="300"/>
      <c r="EC108" s="300"/>
      <c r="ED108" s="300"/>
      <c r="EE108" s="300"/>
      <c r="EF108" s="300"/>
      <c r="EG108" s="300"/>
      <c r="EH108" s="300"/>
      <c r="EI108" s="300"/>
      <c r="EJ108" s="300"/>
      <c r="EK108" s="300"/>
      <c r="EL108" s="300"/>
      <c r="EM108" s="300"/>
      <c r="EN108" s="300"/>
      <c r="EO108" s="300"/>
      <c r="EP108" s="300"/>
      <c r="EQ108" s="300"/>
      <c r="ER108" s="300"/>
      <c r="ES108" s="300"/>
      <c r="ET108" s="300"/>
      <c r="EU108" s="300"/>
      <c r="EV108" s="300"/>
      <c r="EW108" s="300"/>
      <c r="EX108" s="300"/>
      <c r="EY108" s="300"/>
      <c r="EZ108" s="300"/>
      <c r="FA108" s="300"/>
      <c r="FB108" s="300"/>
      <c r="FC108" s="300"/>
      <c r="FD108" s="300"/>
      <c r="FE108" s="300"/>
      <c r="FF108" s="300"/>
      <c r="FG108" s="300"/>
      <c r="FH108" s="300"/>
      <c r="FI108" s="300"/>
      <c r="FJ108" s="300"/>
      <c r="FK108" s="300"/>
      <c r="FL108" s="300"/>
      <c r="FM108" s="300"/>
      <c r="FN108" s="300"/>
      <c r="FO108" s="300"/>
      <c r="FP108" s="300"/>
      <c r="FQ108" s="300"/>
      <c r="FR108" s="300"/>
      <c r="FS108" s="300"/>
      <c r="FT108" s="300"/>
      <c r="FU108" s="300"/>
      <c r="FV108" s="300"/>
      <c r="FW108" s="300"/>
      <c r="FX108" s="300"/>
      <c r="FY108" s="300"/>
      <c r="FZ108" s="300"/>
      <c r="GA108" s="300"/>
      <c r="GB108" s="300"/>
      <c r="GC108" s="300"/>
      <c r="GD108" s="300"/>
      <c r="GE108" s="300"/>
      <c r="GF108" s="300"/>
      <c r="GG108" s="300"/>
      <c r="GH108" s="300"/>
      <c r="GI108" s="300"/>
      <c r="GJ108" s="300"/>
      <c r="GK108" s="300"/>
      <c r="GL108" s="300"/>
      <c r="GM108" s="300"/>
      <c r="GN108" s="300"/>
      <c r="GO108" s="300"/>
      <c r="GP108" s="300"/>
      <c r="GQ108" s="300"/>
      <c r="GR108" s="300"/>
      <c r="GS108" s="300"/>
      <c r="GT108" s="300"/>
      <c r="GU108" s="300"/>
      <c r="GV108" s="300"/>
      <c r="GW108" s="300"/>
      <c r="GX108" s="300"/>
      <c r="GY108" s="300"/>
      <c r="GZ108" s="300"/>
      <c r="HA108" s="300"/>
      <c r="HB108" s="300"/>
      <c r="HC108" s="300"/>
      <c r="HD108" s="300"/>
      <c r="HE108" s="300"/>
      <c r="HF108" s="300"/>
      <c r="HG108" s="300"/>
      <c r="HH108" s="300"/>
      <c r="HI108" s="300"/>
      <c r="HJ108" s="300"/>
      <c r="HK108" s="300"/>
      <c r="HL108" s="300"/>
      <c r="HM108" s="300"/>
      <c r="HN108" s="300"/>
      <c r="HO108" s="300"/>
      <c r="HP108" s="300"/>
      <c r="HQ108" s="300"/>
      <c r="HR108" s="300"/>
      <c r="HS108" s="300"/>
      <c r="HT108" s="300"/>
      <c r="HU108" s="300"/>
      <c r="HV108" s="300"/>
      <c r="HW108" s="300"/>
      <c r="HX108" s="300"/>
      <c r="HY108" s="300"/>
      <c r="HZ108" s="300"/>
      <c r="IA108" s="300"/>
      <c r="IB108" s="300"/>
      <c r="IC108" s="300"/>
    </row>
    <row r="109" ht="12.75" customHeight="1">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300"/>
      <c r="BD109" s="300"/>
      <c r="BE109" s="300"/>
      <c r="BF109" s="300"/>
      <c r="BG109" s="300"/>
      <c r="BH109" s="300"/>
      <c r="BI109" s="300"/>
      <c r="BJ109" s="300"/>
      <c r="BK109" s="300"/>
      <c r="BL109" s="300"/>
      <c r="BM109" s="300"/>
      <c r="BN109" s="300"/>
      <c r="BO109" s="300"/>
      <c r="BP109" s="300"/>
      <c r="BQ109" s="300"/>
      <c r="BR109" s="300"/>
      <c r="BS109" s="300"/>
      <c r="BT109" s="300"/>
      <c r="BU109" s="300"/>
      <c r="BV109" s="300"/>
      <c r="BW109" s="300"/>
      <c r="BX109" s="300"/>
      <c r="BY109" s="300"/>
      <c r="BZ109" s="300"/>
      <c r="CA109" s="300"/>
      <c r="CB109" s="300"/>
      <c r="CC109" s="300"/>
      <c r="CD109" s="300"/>
      <c r="CE109" s="300"/>
      <c r="CF109" s="300"/>
      <c r="CG109" s="300"/>
      <c r="CH109" s="300"/>
      <c r="CI109" s="300"/>
      <c r="CJ109" s="300"/>
      <c r="CK109" s="300"/>
      <c r="CL109" s="300"/>
      <c r="CM109" s="300"/>
      <c r="CN109" s="300"/>
      <c r="CO109" s="300"/>
      <c r="CP109" s="300"/>
      <c r="CQ109" s="300"/>
      <c r="CR109" s="300"/>
      <c r="CS109" s="300"/>
      <c r="CT109" s="300"/>
      <c r="CU109" s="300"/>
      <c r="CV109" s="300"/>
      <c r="CW109" s="300"/>
      <c r="CX109" s="300"/>
      <c r="CY109" s="300"/>
      <c r="CZ109" s="300"/>
      <c r="DA109" s="300"/>
      <c r="DB109" s="300"/>
      <c r="DC109" s="300"/>
      <c r="DD109" s="300"/>
      <c r="DE109" s="300"/>
      <c r="DF109" s="396"/>
      <c r="DG109" s="300"/>
      <c r="DH109" s="300"/>
      <c r="DI109" s="300"/>
      <c r="DJ109" s="300"/>
      <c r="DK109" s="300"/>
      <c r="DL109" s="300"/>
      <c r="DM109" s="300"/>
      <c r="DN109" s="300"/>
      <c r="DO109" s="300"/>
      <c r="DP109" s="300"/>
      <c r="DQ109" s="300"/>
      <c r="DR109" s="300"/>
      <c r="DS109" s="300"/>
      <c r="DT109" s="300"/>
      <c r="DU109" s="300"/>
      <c r="DV109" s="300"/>
      <c r="DW109" s="398"/>
      <c r="DX109" s="300"/>
      <c r="DY109" s="300"/>
      <c r="DZ109" s="300"/>
      <c r="EA109" s="300"/>
      <c r="EB109" s="300"/>
      <c r="EC109" s="300"/>
      <c r="ED109" s="300"/>
      <c r="EE109" s="300"/>
      <c r="EF109" s="300"/>
      <c r="EG109" s="300"/>
      <c r="EH109" s="300"/>
      <c r="EI109" s="300"/>
      <c r="EJ109" s="300"/>
      <c r="EK109" s="300"/>
      <c r="EL109" s="300"/>
      <c r="EM109" s="300"/>
      <c r="EN109" s="300"/>
      <c r="EO109" s="300"/>
      <c r="EP109" s="300"/>
      <c r="EQ109" s="300"/>
      <c r="ER109" s="300"/>
      <c r="ES109" s="300"/>
      <c r="ET109" s="300"/>
      <c r="EU109" s="300"/>
      <c r="EV109" s="300"/>
      <c r="EW109" s="300"/>
      <c r="EX109" s="300"/>
      <c r="EY109" s="300"/>
      <c r="EZ109" s="300"/>
      <c r="FA109" s="300"/>
      <c r="FB109" s="300"/>
      <c r="FC109" s="300"/>
      <c r="FD109" s="300"/>
      <c r="FE109" s="300"/>
      <c r="FF109" s="300"/>
      <c r="FG109" s="300"/>
      <c r="FH109" s="300"/>
      <c r="FI109" s="300"/>
      <c r="FJ109" s="300"/>
      <c r="FK109" s="300"/>
      <c r="FL109" s="300"/>
      <c r="FM109" s="300"/>
      <c r="FN109" s="300"/>
      <c r="FO109" s="300"/>
      <c r="FP109" s="300"/>
      <c r="FQ109" s="300"/>
      <c r="FR109" s="300"/>
      <c r="FS109" s="300"/>
      <c r="FT109" s="300"/>
      <c r="FU109" s="300"/>
      <c r="FV109" s="300"/>
      <c r="FW109" s="300"/>
      <c r="FX109" s="300"/>
      <c r="FY109" s="300"/>
      <c r="FZ109" s="300"/>
      <c r="GA109" s="300"/>
      <c r="GB109" s="300"/>
      <c r="GC109" s="300"/>
      <c r="GD109" s="300"/>
      <c r="GE109" s="300"/>
      <c r="GF109" s="300"/>
      <c r="GG109" s="300"/>
      <c r="GH109" s="300"/>
      <c r="GI109" s="300"/>
      <c r="GJ109" s="300"/>
      <c r="GK109" s="300"/>
      <c r="GL109" s="300"/>
      <c r="GM109" s="300"/>
      <c r="GN109" s="300"/>
      <c r="GO109" s="300"/>
      <c r="GP109" s="300"/>
      <c r="GQ109" s="300"/>
      <c r="GR109" s="300"/>
      <c r="GS109" s="300"/>
      <c r="GT109" s="300"/>
      <c r="GU109" s="300"/>
      <c r="GV109" s="300"/>
      <c r="GW109" s="300"/>
      <c r="GX109" s="300"/>
      <c r="GY109" s="300"/>
      <c r="GZ109" s="300"/>
      <c r="HA109" s="300"/>
      <c r="HB109" s="300"/>
      <c r="HC109" s="300"/>
      <c r="HD109" s="300"/>
      <c r="HE109" s="300"/>
      <c r="HF109" s="300"/>
      <c r="HG109" s="300"/>
      <c r="HH109" s="300"/>
      <c r="HI109" s="300"/>
      <c r="HJ109" s="300"/>
      <c r="HK109" s="300"/>
      <c r="HL109" s="300"/>
      <c r="HM109" s="300"/>
      <c r="HN109" s="300"/>
      <c r="HO109" s="300"/>
      <c r="HP109" s="300"/>
      <c r="HQ109" s="300"/>
      <c r="HR109" s="300"/>
      <c r="HS109" s="300"/>
      <c r="HT109" s="300"/>
      <c r="HU109" s="300"/>
      <c r="HV109" s="300"/>
      <c r="HW109" s="300"/>
      <c r="HX109" s="300"/>
      <c r="HY109" s="300"/>
      <c r="HZ109" s="300"/>
      <c r="IA109" s="300"/>
      <c r="IB109" s="300"/>
      <c r="IC109" s="300"/>
    </row>
    <row r="110" ht="12.75" customHeight="1">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0"/>
      <c r="BF110" s="300"/>
      <c r="BG110" s="300"/>
      <c r="BH110" s="300"/>
      <c r="BI110" s="300"/>
      <c r="BJ110" s="300"/>
      <c r="BK110" s="300"/>
      <c r="BL110" s="300"/>
      <c r="BM110" s="300"/>
      <c r="BN110" s="300"/>
      <c r="BO110" s="300"/>
      <c r="BP110" s="300"/>
      <c r="BQ110" s="300"/>
      <c r="BR110" s="300"/>
      <c r="BS110" s="300"/>
      <c r="BT110" s="300"/>
      <c r="BU110" s="300"/>
      <c r="BV110" s="300"/>
      <c r="BW110" s="300"/>
      <c r="BX110" s="300"/>
      <c r="BY110" s="300"/>
      <c r="BZ110" s="300"/>
      <c r="CA110" s="300"/>
      <c r="CB110" s="300"/>
      <c r="CC110" s="300"/>
      <c r="CD110" s="300"/>
      <c r="CE110" s="300"/>
      <c r="CF110" s="300"/>
      <c r="CG110" s="300"/>
      <c r="CH110" s="300"/>
      <c r="CI110" s="300"/>
      <c r="CJ110" s="300"/>
      <c r="CK110" s="300"/>
      <c r="CL110" s="300"/>
      <c r="CM110" s="300"/>
      <c r="CN110" s="300"/>
      <c r="CO110" s="300"/>
      <c r="CP110" s="300"/>
      <c r="CQ110" s="300"/>
      <c r="CR110" s="300"/>
      <c r="CS110" s="300"/>
      <c r="CT110" s="300"/>
      <c r="CU110" s="300"/>
      <c r="CV110" s="300"/>
      <c r="CW110" s="300"/>
      <c r="CX110" s="300"/>
      <c r="CY110" s="300"/>
      <c r="CZ110" s="300"/>
      <c r="DA110" s="300"/>
      <c r="DB110" s="300"/>
      <c r="DC110" s="300"/>
      <c r="DD110" s="300"/>
      <c r="DE110" s="300"/>
      <c r="DF110" s="396"/>
      <c r="DG110" s="300"/>
      <c r="DH110" s="420" t="s">
        <v>542</v>
      </c>
      <c r="DI110" s="300"/>
      <c r="DJ110" s="300"/>
      <c r="DK110" s="300"/>
      <c r="DL110" s="300"/>
      <c r="DM110" s="300"/>
      <c r="DN110" s="300"/>
      <c r="DO110" s="300"/>
      <c r="DP110" s="300"/>
      <c r="DQ110" s="300"/>
      <c r="DR110" s="300"/>
      <c r="DS110" s="300"/>
      <c r="DT110" s="300"/>
      <c r="DU110" s="300"/>
      <c r="DV110" s="300"/>
      <c r="DW110" s="398"/>
      <c r="DX110" s="300"/>
      <c r="DY110" s="300"/>
      <c r="DZ110" s="300"/>
      <c r="EA110" s="300"/>
      <c r="EB110" s="300"/>
      <c r="EC110" s="300"/>
      <c r="ED110" s="300"/>
      <c r="EE110" s="300"/>
      <c r="EF110" s="300"/>
      <c r="EG110" s="300"/>
      <c r="EH110" s="300"/>
      <c r="EI110" s="300"/>
      <c r="EJ110" s="300"/>
      <c r="EK110" s="300"/>
      <c r="EL110" s="300"/>
      <c r="EM110" s="300"/>
      <c r="EN110" s="300"/>
      <c r="EO110" s="300"/>
      <c r="EP110" s="300"/>
      <c r="EQ110" s="300"/>
      <c r="ER110" s="300"/>
      <c r="ES110" s="300"/>
      <c r="ET110" s="300"/>
      <c r="EU110" s="300"/>
      <c r="EV110" s="300"/>
      <c r="EW110" s="300"/>
      <c r="EX110" s="300"/>
      <c r="EY110" s="300"/>
      <c r="EZ110" s="300"/>
      <c r="FA110" s="300"/>
      <c r="FB110" s="300"/>
      <c r="FC110" s="300"/>
      <c r="FD110" s="300"/>
      <c r="FE110" s="300"/>
      <c r="FF110" s="300"/>
      <c r="FG110" s="300"/>
      <c r="FH110" s="300"/>
      <c r="FI110" s="300"/>
      <c r="FJ110" s="300"/>
      <c r="FK110" s="300"/>
      <c r="FL110" s="300"/>
      <c r="FM110" s="300"/>
      <c r="FN110" s="300"/>
      <c r="FO110" s="300"/>
      <c r="FP110" s="300"/>
      <c r="FQ110" s="300"/>
      <c r="FR110" s="300"/>
      <c r="FS110" s="300"/>
      <c r="FT110" s="300"/>
      <c r="FU110" s="300"/>
      <c r="FV110" s="300"/>
      <c r="FW110" s="300"/>
      <c r="FX110" s="300"/>
      <c r="FY110" s="300"/>
      <c r="FZ110" s="300"/>
      <c r="GA110" s="300"/>
      <c r="GB110" s="300"/>
      <c r="GC110" s="300"/>
      <c r="GD110" s="300"/>
      <c r="GE110" s="300"/>
      <c r="GF110" s="300"/>
      <c r="GG110" s="300"/>
      <c r="GH110" s="300"/>
      <c r="GI110" s="300"/>
      <c r="GJ110" s="300"/>
      <c r="GK110" s="300"/>
      <c r="GL110" s="300"/>
      <c r="GM110" s="300"/>
      <c r="GN110" s="300"/>
      <c r="GO110" s="300"/>
      <c r="GP110" s="300"/>
      <c r="GQ110" s="300"/>
      <c r="GR110" s="300"/>
      <c r="GS110" s="300"/>
      <c r="GT110" s="300"/>
      <c r="GU110" s="300"/>
      <c r="GV110" s="300"/>
      <c r="GW110" s="300"/>
      <c r="GX110" s="300"/>
      <c r="GY110" s="300"/>
      <c r="GZ110" s="300"/>
      <c r="HA110" s="300"/>
      <c r="HB110" s="300"/>
      <c r="HC110" s="300"/>
      <c r="HD110" s="300"/>
      <c r="HE110" s="300"/>
      <c r="HF110" s="300"/>
      <c r="HG110" s="300"/>
      <c r="HH110" s="300"/>
      <c r="HI110" s="300"/>
      <c r="HJ110" s="300"/>
      <c r="HK110" s="300"/>
      <c r="HL110" s="300"/>
      <c r="HM110" s="300"/>
      <c r="HN110" s="300"/>
      <c r="HO110" s="300"/>
      <c r="HP110" s="300"/>
      <c r="HQ110" s="300"/>
      <c r="HR110" s="300"/>
      <c r="HS110" s="300"/>
      <c r="HT110" s="300"/>
      <c r="HU110" s="300"/>
      <c r="HV110" s="300"/>
      <c r="HW110" s="300"/>
      <c r="HX110" s="300"/>
      <c r="HY110" s="300"/>
      <c r="HZ110" s="300"/>
      <c r="IA110" s="300"/>
      <c r="IB110" s="300"/>
      <c r="IC110" s="300"/>
    </row>
    <row r="111" ht="12.75" customHeight="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c r="BB111" s="300"/>
      <c r="BC111" s="300"/>
      <c r="BD111" s="300"/>
      <c r="BE111" s="300"/>
      <c r="BF111" s="300"/>
      <c r="BG111" s="300"/>
      <c r="BH111" s="300"/>
      <c r="BI111" s="300"/>
      <c r="BJ111" s="300"/>
      <c r="BK111" s="300"/>
      <c r="BL111" s="300"/>
      <c r="BM111" s="300"/>
      <c r="BN111" s="300"/>
      <c r="BO111" s="300"/>
      <c r="BP111" s="300"/>
      <c r="BQ111" s="300"/>
      <c r="BR111" s="300"/>
      <c r="BS111" s="300"/>
      <c r="BT111" s="300"/>
      <c r="BU111" s="300"/>
      <c r="BV111" s="300"/>
      <c r="BW111" s="300"/>
      <c r="BX111" s="300"/>
      <c r="BY111" s="300"/>
      <c r="BZ111" s="300"/>
      <c r="CA111" s="300"/>
      <c r="CB111" s="300"/>
      <c r="CC111" s="300"/>
      <c r="CD111" s="300"/>
      <c r="CE111" s="300"/>
      <c r="CF111" s="300"/>
      <c r="CG111" s="300"/>
      <c r="CH111" s="300"/>
      <c r="CI111" s="300"/>
      <c r="CJ111" s="300"/>
      <c r="CK111" s="300"/>
      <c r="CL111" s="300"/>
      <c r="CM111" s="300"/>
      <c r="CN111" s="300"/>
      <c r="CO111" s="300"/>
      <c r="CP111" s="300"/>
      <c r="CQ111" s="300"/>
      <c r="CR111" s="300"/>
      <c r="CS111" s="300"/>
      <c r="CT111" s="300"/>
      <c r="CU111" s="300"/>
      <c r="CV111" s="300"/>
      <c r="CW111" s="300"/>
      <c r="CX111" s="300"/>
      <c r="CY111" s="300"/>
      <c r="CZ111" s="300"/>
      <c r="DA111" s="300"/>
      <c r="DB111" s="300"/>
      <c r="DC111" s="300"/>
      <c r="DD111" s="300"/>
      <c r="DE111" s="300"/>
      <c r="DF111" s="396"/>
      <c r="DG111" s="300"/>
      <c r="DH111" s="401" t="s">
        <v>544</v>
      </c>
      <c r="DI111" s="10"/>
      <c r="DJ111" s="10"/>
      <c r="DK111" s="10"/>
      <c r="DL111" s="10"/>
      <c r="DM111" s="10"/>
      <c r="DN111" s="10"/>
      <c r="DO111" s="10"/>
      <c r="DP111" s="10"/>
      <c r="DQ111" s="10"/>
      <c r="DR111" s="10"/>
      <c r="DS111" s="10"/>
      <c r="DT111" s="10"/>
      <c r="DU111" s="19"/>
      <c r="DV111" s="300"/>
      <c r="DW111" s="398"/>
      <c r="DX111" s="300"/>
      <c r="DY111" s="300"/>
      <c r="DZ111" s="300"/>
      <c r="EA111" s="300"/>
      <c r="EB111" s="300"/>
      <c r="EC111" s="300"/>
      <c r="ED111" s="300"/>
      <c r="EE111" s="300"/>
      <c r="EF111" s="300"/>
      <c r="EG111" s="300"/>
      <c r="EH111" s="300"/>
      <c r="EI111" s="300"/>
      <c r="EJ111" s="300"/>
      <c r="EK111" s="300"/>
      <c r="EL111" s="300"/>
      <c r="EM111" s="300"/>
      <c r="EN111" s="300"/>
      <c r="EO111" s="300"/>
      <c r="EP111" s="300"/>
      <c r="EQ111" s="300"/>
      <c r="ER111" s="300"/>
      <c r="ES111" s="300"/>
      <c r="ET111" s="300"/>
      <c r="EU111" s="300"/>
      <c r="EV111" s="300"/>
      <c r="EW111" s="300"/>
      <c r="EX111" s="300"/>
      <c r="EY111" s="300"/>
      <c r="EZ111" s="300"/>
      <c r="FA111" s="300"/>
      <c r="FB111" s="300"/>
      <c r="FC111" s="300"/>
      <c r="FD111" s="300"/>
      <c r="FE111" s="300"/>
      <c r="FF111" s="300"/>
      <c r="FG111" s="300"/>
      <c r="FH111" s="300"/>
      <c r="FI111" s="300"/>
      <c r="FJ111" s="300"/>
      <c r="FK111" s="300"/>
      <c r="FL111" s="300"/>
      <c r="FM111" s="300"/>
      <c r="FN111" s="300"/>
      <c r="FO111" s="300"/>
      <c r="FP111" s="300"/>
      <c r="FQ111" s="300"/>
      <c r="FR111" s="300"/>
      <c r="FS111" s="300"/>
      <c r="FT111" s="300"/>
      <c r="FU111" s="300"/>
      <c r="FV111" s="300"/>
      <c r="FW111" s="300"/>
      <c r="FX111" s="300"/>
      <c r="FY111" s="300"/>
      <c r="FZ111" s="300"/>
      <c r="GA111" s="300"/>
      <c r="GB111" s="300"/>
      <c r="GC111" s="300"/>
      <c r="GD111" s="300"/>
      <c r="GE111" s="300"/>
      <c r="GF111" s="300"/>
      <c r="GG111" s="300"/>
      <c r="GH111" s="300"/>
      <c r="GI111" s="300"/>
      <c r="GJ111" s="300"/>
      <c r="GK111" s="300"/>
      <c r="GL111" s="300"/>
      <c r="GM111" s="300"/>
      <c r="GN111" s="300"/>
      <c r="GO111" s="300"/>
      <c r="GP111" s="300"/>
      <c r="GQ111" s="300"/>
      <c r="GR111" s="300"/>
      <c r="GS111" s="300"/>
      <c r="GT111" s="300"/>
      <c r="GU111" s="300"/>
      <c r="GV111" s="300"/>
      <c r="GW111" s="300"/>
      <c r="GX111" s="300"/>
      <c r="GY111" s="300"/>
      <c r="GZ111" s="300"/>
      <c r="HA111" s="300"/>
      <c r="HB111" s="300"/>
      <c r="HC111" s="300"/>
      <c r="HD111" s="300"/>
      <c r="HE111" s="300"/>
      <c r="HF111" s="300"/>
      <c r="HG111" s="300"/>
      <c r="HH111" s="300"/>
      <c r="HI111" s="300"/>
      <c r="HJ111" s="300"/>
      <c r="HK111" s="300"/>
      <c r="HL111" s="300"/>
      <c r="HM111" s="300"/>
      <c r="HN111" s="300"/>
      <c r="HO111" s="300"/>
      <c r="HP111" s="300"/>
      <c r="HQ111" s="300"/>
      <c r="HR111" s="300"/>
      <c r="HS111" s="300"/>
      <c r="HT111" s="300"/>
      <c r="HU111" s="300"/>
      <c r="HV111" s="300"/>
      <c r="HW111" s="300"/>
      <c r="HX111" s="300"/>
      <c r="HY111" s="300"/>
      <c r="HZ111" s="300"/>
      <c r="IA111" s="300"/>
      <c r="IB111" s="300"/>
      <c r="IC111" s="300"/>
    </row>
    <row r="112" ht="12.75" customHeight="1">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300"/>
      <c r="BD112" s="300"/>
      <c r="BE112" s="300"/>
      <c r="BF112" s="300"/>
      <c r="BG112" s="300"/>
      <c r="BH112" s="300"/>
      <c r="BI112" s="300"/>
      <c r="BJ112" s="300"/>
      <c r="BK112" s="300"/>
      <c r="BL112" s="300"/>
      <c r="BM112" s="300"/>
      <c r="BN112" s="300"/>
      <c r="BO112" s="300"/>
      <c r="BP112" s="300"/>
      <c r="BQ112" s="300"/>
      <c r="BR112" s="300"/>
      <c r="BS112" s="300"/>
      <c r="BT112" s="300"/>
      <c r="BU112" s="300"/>
      <c r="BV112" s="300"/>
      <c r="BW112" s="300"/>
      <c r="BX112" s="300"/>
      <c r="BY112" s="300"/>
      <c r="BZ112" s="300"/>
      <c r="CA112" s="300"/>
      <c r="CB112" s="300"/>
      <c r="CC112" s="300"/>
      <c r="CD112" s="300"/>
      <c r="CE112" s="300"/>
      <c r="CF112" s="300"/>
      <c r="CG112" s="300"/>
      <c r="CH112" s="300"/>
      <c r="CI112" s="300"/>
      <c r="CJ112" s="300"/>
      <c r="CK112" s="300"/>
      <c r="CL112" s="300"/>
      <c r="CM112" s="300"/>
      <c r="CN112" s="300"/>
      <c r="CO112" s="300"/>
      <c r="CP112" s="300"/>
      <c r="CQ112" s="300"/>
      <c r="CR112" s="300"/>
      <c r="CS112" s="300"/>
      <c r="CT112" s="300"/>
      <c r="CU112" s="300"/>
      <c r="CV112" s="300"/>
      <c r="CW112" s="300"/>
      <c r="CX112" s="300"/>
      <c r="CY112" s="300"/>
      <c r="CZ112" s="300"/>
      <c r="DA112" s="300"/>
      <c r="DB112" s="300"/>
      <c r="DC112" s="300"/>
      <c r="DD112" s="300"/>
      <c r="DE112" s="300"/>
      <c r="DF112" s="396"/>
      <c r="DG112" s="300"/>
      <c r="DH112" s="394"/>
      <c r="DI112" s="52"/>
      <c r="DJ112" s="52"/>
      <c r="DK112" s="52"/>
      <c r="DL112" s="52"/>
      <c r="DM112" s="52"/>
      <c r="DN112" s="52"/>
      <c r="DO112" s="52"/>
      <c r="DP112" s="52"/>
      <c r="DQ112" s="52"/>
      <c r="DR112" s="52"/>
      <c r="DS112" s="52"/>
      <c r="DT112" s="52"/>
      <c r="DU112" s="30"/>
      <c r="DV112" s="300"/>
      <c r="DW112" s="398"/>
      <c r="DX112" s="300"/>
      <c r="DY112" s="300"/>
      <c r="DZ112" s="300"/>
      <c r="EA112" s="300"/>
      <c r="EB112" s="300"/>
      <c r="EC112" s="300"/>
      <c r="ED112" s="300"/>
      <c r="EE112" s="300"/>
      <c r="EF112" s="300"/>
      <c r="EG112" s="300"/>
      <c r="EH112" s="300"/>
      <c r="EI112" s="300"/>
      <c r="EJ112" s="300"/>
      <c r="EK112" s="300"/>
      <c r="EL112" s="300"/>
      <c r="EM112" s="300"/>
      <c r="EN112" s="300"/>
      <c r="EO112" s="300"/>
      <c r="EP112" s="300"/>
      <c r="EQ112" s="300"/>
      <c r="ER112" s="300"/>
      <c r="ES112" s="300"/>
      <c r="ET112" s="300"/>
      <c r="EU112" s="300"/>
      <c r="EV112" s="300"/>
      <c r="EW112" s="300"/>
      <c r="EX112" s="300"/>
      <c r="EY112" s="300"/>
      <c r="EZ112" s="300"/>
      <c r="FA112" s="300"/>
      <c r="FB112" s="300"/>
      <c r="FC112" s="300"/>
      <c r="FD112" s="300"/>
      <c r="FE112" s="300"/>
      <c r="FF112" s="300"/>
      <c r="FG112" s="300"/>
      <c r="FH112" s="300"/>
      <c r="FI112" s="300"/>
      <c r="FJ112" s="300"/>
      <c r="FK112" s="300"/>
      <c r="FL112" s="300"/>
      <c r="FM112" s="300"/>
      <c r="FN112" s="300"/>
      <c r="FO112" s="300"/>
      <c r="FP112" s="300"/>
      <c r="FQ112" s="300"/>
      <c r="FR112" s="300"/>
      <c r="FS112" s="300"/>
      <c r="FT112" s="300"/>
      <c r="FU112" s="300"/>
      <c r="FV112" s="300"/>
      <c r="FW112" s="300"/>
      <c r="FX112" s="300"/>
      <c r="FY112" s="300"/>
      <c r="FZ112" s="300"/>
      <c r="GA112" s="300"/>
      <c r="GB112" s="300"/>
      <c r="GC112" s="300"/>
      <c r="GD112" s="300"/>
      <c r="GE112" s="300"/>
      <c r="GF112" s="300"/>
      <c r="GG112" s="300"/>
      <c r="GH112" s="300"/>
      <c r="GI112" s="300"/>
      <c r="GJ112" s="300"/>
      <c r="GK112" s="300"/>
      <c r="GL112" s="300"/>
      <c r="GM112" s="300"/>
      <c r="GN112" s="300"/>
      <c r="GO112" s="300"/>
      <c r="GP112" s="300"/>
      <c r="GQ112" s="300"/>
      <c r="GR112" s="300"/>
      <c r="GS112" s="300"/>
      <c r="GT112" s="300"/>
      <c r="GU112" s="300"/>
      <c r="GV112" s="300"/>
      <c r="GW112" s="300"/>
      <c r="GX112" s="300"/>
      <c r="GY112" s="300"/>
      <c r="GZ112" s="300"/>
      <c r="HA112" s="300"/>
      <c r="HB112" s="300"/>
      <c r="HC112" s="300"/>
      <c r="HD112" s="300"/>
      <c r="HE112" s="300"/>
      <c r="HF112" s="300"/>
      <c r="HG112" s="300"/>
      <c r="HH112" s="300"/>
      <c r="HI112" s="300"/>
      <c r="HJ112" s="300"/>
      <c r="HK112" s="300"/>
      <c r="HL112" s="300"/>
      <c r="HM112" s="300"/>
      <c r="HN112" s="300"/>
      <c r="HO112" s="300"/>
      <c r="HP112" s="300"/>
      <c r="HQ112" s="300"/>
      <c r="HR112" s="300"/>
      <c r="HS112" s="300"/>
      <c r="HT112" s="300"/>
      <c r="HU112" s="300"/>
      <c r="HV112" s="300"/>
      <c r="HW112" s="300"/>
      <c r="HX112" s="300"/>
      <c r="HY112" s="300"/>
      <c r="HZ112" s="300"/>
      <c r="IA112" s="300"/>
      <c r="IB112" s="300"/>
      <c r="IC112" s="300"/>
    </row>
    <row r="113" ht="12.75" customHeight="1">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300"/>
      <c r="BJ113" s="300"/>
      <c r="BK113" s="300"/>
      <c r="BL113" s="300"/>
      <c r="BM113" s="300"/>
      <c r="BN113" s="300"/>
      <c r="BO113" s="300"/>
      <c r="BP113" s="300"/>
      <c r="BQ113" s="300"/>
      <c r="BR113" s="300"/>
      <c r="BS113" s="300"/>
      <c r="BT113" s="300"/>
      <c r="BU113" s="300"/>
      <c r="BV113" s="300"/>
      <c r="BW113" s="300"/>
      <c r="BX113" s="300"/>
      <c r="BY113" s="300"/>
      <c r="BZ113" s="300"/>
      <c r="CA113" s="300"/>
      <c r="CB113" s="300"/>
      <c r="CC113" s="300"/>
      <c r="CD113" s="300"/>
      <c r="CE113" s="300"/>
      <c r="CF113" s="300"/>
      <c r="CG113" s="300"/>
      <c r="CH113" s="300"/>
      <c r="CI113" s="300"/>
      <c r="CJ113" s="300"/>
      <c r="CK113" s="300"/>
      <c r="CL113" s="300"/>
      <c r="CM113" s="300"/>
      <c r="CN113" s="300"/>
      <c r="CO113" s="300"/>
      <c r="CP113" s="300"/>
      <c r="CQ113" s="300"/>
      <c r="CR113" s="300"/>
      <c r="CS113" s="300"/>
      <c r="CT113" s="300"/>
      <c r="CU113" s="300"/>
      <c r="CV113" s="300"/>
      <c r="CW113" s="300"/>
      <c r="CX113" s="300"/>
      <c r="CY113" s="300"/>
      <c r="CZ113" s="300"/>
      <c r="DA113" s="300"/>
      <c r="DB113" s="300"/>
      <c r="DC113" s="300"/>
      <c r="DD113" s="300"/>
      <c r="DE113" s="300"/>
      <c r="DF113" s="396"/>
      <c r="DG113" s="300"/>
      <c r="DH113" s="300"/>
      <c r="DI113" s="300"/>
      <c r="DJ113" s="300"/>
      <c r="DK113" s="300"/>
      <c r="DL113" s="300"/>
      <c r="DM113" s="300"/>
      <c r="DN113" s="300"/>
      <c r="DO113" s="300"/>
      <c r="DP113" s="300"/>
      <c r="DQ113" s="300"/>
      <c r="DR113" s="300"/>
      <c r="DS113" s="300"/>
      <c r="DT113" s="300"/>
      <c r="DU113" s="300"/>
      <c r="DV113" s="300"/>
      <c r="DW113" s="398"/>
      <c r="DX113" s="300"/>
      <c r="DY113" s="300"/>
      <c r="DZ113" s="300"/>
      <c r="EA113" s="300"/>
      <c r="EB113" s="300"/>
      <c r="EC113" s="300"/>
      <c r="ED113" s="300"/>
      <c r="EE113" s="300"/>
      <c r="EF113" s="300"/>
      <c r="EG113" s="300"/>
      <c r="EH113" s="300"/>
      <c r="EI113" s="300"/>
      <c r="EJ113" s="300"/>
      <c r="EK113" s="300"/>
      <c r="EL113" s="300"/>
      <c r="EM113" s="300"/>
      <c r="EN113" s="300"/>
      <c r="EO113" s="300"/>
      <c r="EP113" s="300"/>
      <c r="EQ113" s="300"/>
      <c r="ER113" s="300"/>
      <c r="ES113" s="300"/>
      <c r="ET113" s="300"/>
      <c r="EU113" s="300"/>
      <c r="EV113" s="300"/>
      <c r="EW113" s="300"/>
      <c r="EX113" s="300"/>
      <c r="EY113" s="300"/>
      <c r="EZ113" s="300"/>
      <c r="FA113" s="300"/>
      <c r="FB113" s="300"/>
      <c r="FC113" s="300"/>
      <c r="FD113" s="300"/>
      <c r="FE113" s="300"/>
      <c r="FF113" s="300"/>
      <c r="FG113" s="300"/>
      <c r="FH113" s="300"/>
      <c r="FI113" s="300"/>
      <c r="FJ113" s="300"/>
      <c r="FK113" s="300"/>
      <c r="FL113" s="300"/>
      <c r="FM113" s="300"/>
      <c r="FN113" s="300"/>
      <c r="FO113" s="300"/>
      <c r="FP113" s="300"/>
      <c r="FQ113" s="300"/>
      <c r="FR113" s="300"/>
      <c r="FS113" s="300"/>
      <c r="FT113" s="300"/>
      <c r="FU113" s="300"/>
      <c r="FV113" s="300"/>
      <c r="FW113" s="300"/>
      <c r="FX113" s="300"/>
      <c r="FY113" s="300"/>
      <c r="FZ113" s="300"/>
      <c r="GA113" s="300"/>
      <c r="GB113" s="300"/>
      <c r="GC113" s="300"/>
      <c r="GD113" s="300"/>
      <c r="GE113" s="300"/>
      <c r="GF113" s="300"/>
      <c r="GG113" s="300"/>
      <c r="GH113" s="300"/>
      <c r="GI113" s="300"/>
      <c r="GJ113" s="300"/>
      <c r="GK113" s="300"/>
      <c r="GL113" s="300"/>
      <c r="GM113" s="300"/>
      <c r="GN113" s="300"/>
      <c r="GO113" s="300"/>
      <c r="GP113" s="300"/>
      <c r="GQ113" s="300"/>
      <c r="GR113" s="300"/>
      <c r="GS113" s="300"/>
      <c r="GT113" s="300"/>
      <c r="GU113" s="300"/>
      <c r="GV113" s="300"/>
      <c r="GW113" s="300"/>
      <c r="GX113" s="300"/>
      <c r="GY113" s="300"/>
      <c r="GZ113" s="300"/>
      <c r="HA113" s="300"/>
      <c r="HB113" s="300"/>
      <c r="HC113" s="300"/>
      <c r="HD113" s="300"/>
      <c r="HE113" s="300"/>
      <c r="HF113" s="300"/>
      <c r="HG113" s="300"/>
      <c r="HH113" s="300"/>
      <c r="HI113" s="300"/>
      <c r="HJ113" s="300"/>
      <c r="HK113" s="300"/>
      <c r="HL113" s="300"/>
      <c r="HM113" s="300"/>
      <c r="HN113" s="300"/>
      <c r="HO113" s="300"/>
      <c r="HP113" s="300"/>
      <c r="HQ113" s="300"/>
      <c r="HR113" s="300"/>
      <c r="HS113" s="300"/>
      <c r="HT113" s="300"/>
      <c r="HU113" s="300"/>
      <c r="HV113" s="300"/>
      <c r="HW113" s="300"/>
      <c r="HX113" s="300"/>
      <c r="HY113" s="300"/>
      <c r="HZ113" s="300"/>
      <c r="IA113" s="300"/>
      <c r="IB113" s="300"/>
      <c r="IC113" s="300"/>
    </row>
    <row r="114" ht="12.75" customHeight="1">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300"/>
      <c r="BJ114" s="300"/>
      <c r="BK114" s="300"/>
      <c r="BL114" s="300"/>
      <c r="BM114" s="300"/>
      <c r="BN114" s="300"/>
      <c r="BO114" s="300"/>
      <c r="BP114" s="300"/>
      <c r="BQ114" s="300"/>
      <c r="BR114" s="300"/>
      <c r="BS114" s="300"/>
      <c r="BT114" s="300"/>
      <c r="BU114" s="300"/>
      <c r="BV114" s="300"/>
      <c r="BW114" s="300"/>
      <c r="BX114" s="300"/>
      <c r="BY114" s="300"/>
      <c r="BZ114" s="300"/>
      <c r="CA114" s="300"/>
      <c r="CB114" s="300"/>
      <c r="CC114" s="300"/>
      <c r="CD114" s="300"/>
      <c r="CE114" s="300"/>
      <c r="CF114" s="300"/>
      <c r="CG114" s="300"/>
      <c r="CH114" s="300"/>
      <c r="CI114" s="300"/>
      <c r="CJ114" s="300"/>
      <c r="CK114" s="300"/>
      <c r="CL114" s="300"/>
      <c r="CM114" s="300"/>
      <c r="CN114" s="300"/>
      <c r="CO114" s="300"/>
      <c r="CP114" s="300"/>
      <c r="CQ114" s="300"/>
      <c r="CR114" s="300"/>
      <c r="CS114" s="300"/>
      <c r="CT114" s="300"/>
      <c r="CU114" s="300"/>
      <c r="CV114" s="300"/>
      <c r="CW114" s="300"/>
      <c r="CX114" s="300"/>
      <c r="CY114" s="300"/>
      <c r="CZ114" s="300"/>
      <c r="DA114" s="300"/>
      <c r="DB114" s="300"/>
      <c r="DC114" s="300"/>
      <c r="DD114" s="300"/>
      <c r="DE114" s="300"/>
      <c r="DF114" s="396"/>
      <c r="DG114" s="300"/>
      <c r="DH114" s="420" t="s">
        <v>549</v>
      </c>
      <c r="DI114" s="300"/>
      <c r="DJ114" s="300"/>
      <c r="DK114" s="300"/>
      <c r="DL114" s="300"/>
      <c r="DM114" s="300"/>
      <c r="DN114" s="300"/>
      <c r="DO114" s="300"/>
      <c r="DP114" s="300"/>
      <c r="DQ114" s="300"/>
      <c r="DR114" s="300"/>
      <c r="DS114" s="300"/>
      <c r="DT114" s="300"/>
      <c r="DU114" s="300"/>
      <c r="DV114" s="300"/>
      <c r="DW114" s="398"/>
      <c r="DX114" s="300"/>
      <c r="DY114" s="300"/>
      <c r="DZ114" s="300"/>
      <c r="EA114" s="300"/>
      <c r="EB114" s="300"/>
      <c r="EC114" s="300"/>
      <c r="ED114" s="300"/>
      <c r="EE114" s="300"/>
      <c r="EF114" s="300"/>
      <c r="EG114" s="300"/>
      <c r="EH114" s="300"/>
      <c r="EI114" s="300"/>
      <c r="EJ114" s="300"/>
      <c r="EK114" s="300"/>
      <c r="EL114" s="300"/>
      <c r="EM114" s="300"/>
      <c r="EN114" s="300"/>
      <c r="EO114" s="300"/>
      <c r="EP114" s="300"/>
      <c r="EQ114" s="300"/>
      <c r="ER114" s="300"/>
      <c r="ES114" s="300"/>
      <c r="ET114" s="300"/>
      <c r="EU114" s="300"/>
      <c r="EV114" s="300"/>
      <c r="EW114" s="300"/>
      <c r="EX114" s="300"/>
      <c r="EY114" s="300"/>
      <c r="EZ114" s="300"/>
      <c r="FA114" s="300"/>
      <c r="FB114" s="300"/>
      <c r="FC114" s="300"/>
      <c r="FD114" s="300"/>
      <c r="FE114" s="300"/>
      <c r="FF114" s="300"/>
      <c r="FG114" s="300"/>
      <c r="FH114" s="300"/>
      <c r="FI114" s="300"/>
      <c r="FJ114" s="300"/>
      <c r="FK114" s="300"/>
      <c r="FL114" s="300"/>
      <c r="FM114" s="300"/>
      <c r="FN114" s="300"/>
      <c r="FO114" s="300"/>
      <c r="FP114" s="300"/>
      <c r="FQ114" s="300"/>
      <c r="FR114" s="300"/>
      <c r="FS114" s="300"/>
      <c r="FT114" s="300"/>
      <c r="FU114" s="300"/>
      <c r="FV114" s="300"/>
      <c r="FW114" s="300"/>
      <c r="FX114" s="300"/>
      <c r="FY114" s="300"/>
      <c r="FZ114" s="300"/>
      <c r="GA114" s="300"/>
      <c r="GB114" s="300"/>
      <c r="GC114" s="300"/>
      <c r="GD114" s="300"/>
      <c r="GE114" s="300"/>
      <c r="GF114" s="300"/>
      <c r="GG114" s="300"/>
      <c r="GH114" s="300"/>
      <c r="GI114" s="300"/>
      <c r="GJ114" s="300"/>
      <c r="GK114" s="300"/>
      <c r="GL114" s="300"/>
      <c r="GM114" s="300"/>
      <c r="GN114" s="300"/>
      <c r="GO114" s="300"/>
      <c r="GP114" s="300"/>
      <c r="GQ114" s="300"/>
      <c r="GR114" s="300"/>
      <c r="GS114" s="300"/>
      <c r="GT114" s="300"/>
      <c r="GU114" s="300"/>
      <c r="GV114" s="300"/>
      <c r="GW114" s="300"/>
      <c r="GX114" s="300"/>
      <c r="GY114" s="300"/>
      <c r="GZ114" s="300"/>
      <c r="HA114" s="300"/>
      <c r="HB114" s="300"/>
      <c r="HC114" s="300"/>
      <c r="HD114" s="300"/>
      <c r="HE114" s="300"/>
      <c r="HF114" s="300"/>
      <c r="HG114" s="300"/>
      <c r="HH114" s="300"/>
      <c r="HI114" s="300"/>
      <c r="HJ114" s="300"/>
      <c r="HK114" s="300"/>
      <c r="HL114" s="300"/>
      <c r="HM114" s="300"/>
      <c r="HN114" s="300"/>
      <c r="HO114" s="300"/>
      <c r="HP114" s="300"/>
      <c r="HQ114" s="300"/>
      <c r="HR114" s="300"/>
      <c r="HS114" s="300"/>
      <c r="HT114" s="300"/>
      <c r="HU114" s="300"/>
      <c r="HV114" s="300"/>
      <c r="HW114" s="300"/>
      <c r="HX114" s="300"/>
      <c r="HY114" s="300"/>
      <c r="HZ114" s="300"/>
      <c r="IA114" s="300"/>
      <c r="IB114" s="300"/>
      <c r="IC114" s="300"/>
    </row>
    <row r="115" ht="12.75" customHeight="1">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300"/>
      <c r="BJ115" s="300"/>
      <c r="BK115" s="300"/>
      <c r="BL115" s="300"/>
      <c r="BM115" s="300"/>
      <c r="BN115" s="300"/>
      <c r="BO115" s="300"/>
      <c r="BP115" s="300"/>
      <c r="BQ115" s="300"/>
      <c r="BR115" s="300"/>
      <c r="BS115" s="300"/>
      <c r="BT115" s="300"/>
      <c r="BU115" s="300"/>
      <c r="BV115" s="300"/>
      <c r="BW115" s="300"/>
      <c r="BX115" s="300"/>
      <c r="BY115" s="300"/>
      <c r="BZ115" s="300"/>
      <c r="CA115" s="300"/>
      <c r="CB115" s="300"/>
      <c r="CC115" s="300"/>
      <c r="CD115" s="300"/>
      <c r="CE115" s="300"/>
      <c r="CF115" s="300"/>
      <c r="CG115" s="300"/>
      <c r="CH115" s="300"/>
      <c r="CI115" s="300"/>
      <c r="CJ115" s="300"/>
      <c r="CK115" s="300"/>
      <c r="CL115" s="300"/>
      <c r="CM115" s="300"/>
      <c r="CN115" s="300"/>
      <c r="CO115" s="300"/>
      <c r="CP115" s="300"/>
      <c r="CQ115" s="300"/>
      <c r="CR115" s="300"/>
      <c r="CS115" s="300"/>
      <c r="CT115" s="300"/>
      <c r="CU115" s="300"/>
      <c r="CV115" s="300"/>
      <c r="CW115" s="300"/>
      <c r="CX115" s="300"/>
      <c r="CY115" s="300"/>
      <c r="CZ115" s="300"/>
      <c r="DA115" s="300"/>
      <c r="DB115" s="300"/>
      <c r="DC115" s="300"/>
      <c r="DD115" s="300"/>
      <c r="DE115" s="300"/>
      <c r="DF115" s="396"/>
      <c r="DG115" s="300"/>
      <c r="DH115" s="401"/>
      <c r="DI115" s="10"/>
      <c r="DJ115" s="10"/>
      <c r="DK115" s="10"/>
      <c r="DL115" s="10"/>
      <c r="DM115" s="10"/>
      <c r="DN115" s="10"/>
      <c r="DO115" s="10"/>
      <c r="DP115" s="10"/>
      <c r="DQ115" s="10"/>
      <c r="DR115" s="10"/>
      <c r="DS115" s="10"/>
      <c r="DT115" s="10"/>
      <c r="DU115" s="19"/>
      <c r="DV115" s="300"/>
      <c r="DW115" s="398"/>
      <c r="DX115" s="300"/>
      <c r="DY115" s="300"/>
      <c r="DZ115" s="300"/>
      <c r="EA115" s="300"/>
      <c r="EB115" s="300"/>
      <c r="EC115" s="300"/>
      <c r="ED115" s="300"/>
      <c r="EE115" s="300"/>
      <c r="EF115" s="300"/>
      <c r="EG115" s="300"/>
      <c r="EH115" s="300"/>
      <c r="EI115" s="300"/>
      <c r="EJ115" s="300"/>
      <c r="EK115" s="300"/>
      <c r="EL115" s="300"/>
      <c r="EM115" s="300"/>
      <c r="EN115" s="300"/>
      <c r="EO115" s="300"/>
      <c r="EP115" s="300"/>
      <c r="EQ115" s="300"/>
      <c r="ER115" s="300"/>
      <c r="ES115" s="300"/>
      <c r="ET115" s="300"/>
      <c r="EU115" s="300"/>
      <c r="EV115" s="300"/>
      <c r="EW115" s="300"/>
      <c r="EX115" s="300"/>
      <c r="EY115" s="300"/>
      <c r="EZ115" s="300"/>
      <c r="FA115" s="300"/>
      <c r="FB115" s="300"/>
      <c r="FC115" s="300"/>
      <c r="FD115" s="300"/>
      <c r="FE115" s="300"/>
      <c r="FF115" s="300"/>
      <c r="FG115" s="300"/>
      <c r="FH115" s="300"/>
      <c r="FI115" s="300"/>
      <c r="FJ115" s="300"/>
      <c r="FK115" s="300"/>
      <c r="FL115" s="300"/>
      <c r="FM115" s="300"/>
      <c r="FN115" s="300"/>
      <c r="FO115" s="300"/>
      <c r="FP115" s="300"/>
      <c r="FQ115" s="300"/>
      <c r="FR115" s="300"/>
      <c r="FS115" s="300"/>
      <c r="FT115" s="300"/>
      <c r="FU115" s="300"/>
      <c r="FV115" s="300"/>
      <c r="FW115" s="300"/>
      <c r="FX115" s="300"/>
      <c r="FY115" s="300"/>
      <c r="FZ115" s="300"/>
      <c r="GA115" s="300"/>
      <c r="GB115" s="300"/>
      <c r="GC115" s="300"/>
      <c r="GD115" s="300"/>
      <c r="GE115" s="300"/>
      <c r="GF115" s="300"/>
      <c r="GG115" s="300"/>
      <c r="GH115" s="300"/>
      <c r="GI115" s="300"/>
      <c r="GJ115" s="300"/>
      <c r="GK115" s="300"/>
      <c r="GL115" s="300"/>
      <c r="GM115" s="300"/>
      <c r="GN115" s="300"/>
      <c r="GO115" s="300"/>
      <c r="GP115" s="300"/>
      <c r="GQ115" s="300"/>
      <c r="GR115" s="300"/>
      <c r="GS115" s="300"/>
      <c r="GT115" s="300"/>
      <c r="GU115" s="300"/>
      <c r="GV115" s="300"/>
      <c r="GW115" s="300"/>
      <c r="GX115" s="300"/>
      <c r="GY115" s="300"/>
      <c r="GZ115" s="300"/>
      <c r="HA115" s="300"/>
      <c r="HB115" s="300"/>
      <c r="HC115" s="300"/>
      <c r="HD115" s="300"/>
      <c r="HE115" s="300"/>
      <c r="HF115" s="300"/>
      <c r="HG115" s="300"/>
      <c r="HH115" s="300"/>
      <c r="HI115" s="300"/>
      <c r="HJ115" s="300"/>
      <c r="HK115" s="300"/>
      <c r="HL115" s="300"/>
      <c r="HM115" s="300"/>
      <c r="HN115" s="300"/>
      <c r="HO115" s="300"/>
      <c r="HP115" s="300"/>
      <c r="HQ115" s="300"/>
      <c r="HR115" s="300"/>
      <c r="HS115" s="300"/>
      <c r="HT115" s="300"/>
      <c r="HU115" s="300"/>
      <c r="HV115" s="300"/>
      <c r="HW115" s="300"/>
      <c r="HX115" s="300"/>
      <c r="HY115" s="300"/>
      <c r="HZ115" s="300"/>
      <c r="IA115" s="300"/>
      <c r="IB115" s="300"/>
      <c r="IC115" s="300"/>
    </row>
    <row r="116" ht="12.75" customHeight="1">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300"/>
      <c r="BJ116" s="300"/>
      <c r="BK116" s="300"/>
      <c r="BL116" s="300"/>
      <c r="BM116" s="300"/>
      <c r="BN116" s="300"/>
      <c r="BO116" s="300"/>
      <c r="BP116" s="300"/>
      <c r="BQ116" s="300"/>
      <c r="BR116" s="300"/>
      <c r="BS116" s="300"/>
      <c r="BT116" s="300"/>
      <c r="BU116" s="300"/>
      <c r="BV116" s="300"/>
      <c r="BW116" s="300"/>
      <c r="BX116" s="300"/>
      <c r="BY116" s="300"/>
      <c r="BZ116" s="300"/>
      <c r="CA116" s="300"/>
      <c r="CB116" s="300"/>
      <c r="CC116" s="300"/>
      <c r="CD116" s="300"/>
      <c r="CE116" s="300"/>
      <c r="CF116" s="300"/>
      <c r="CG116" s="300"/>
      <c r="CH116" s="300"/>
      <c r="CI116" s="300"/>
      <c r="CJ116" s="300"/>
      <c r="CK116" s="300"/>
      <c r="CL116" s="300"/>
      <c r="CM116" s="300"/>
      <c r="CN116" s="300"/>
      <c r="CO116" s="300"/>
      <c r="CP116" s="300"/>
      <c r="CQ116" s="300"/>
      <c r="CR116" s="300"/>
      <c r="CS116" s="300"/>
      <c r="CT116" s="300"/>
      <c r="CU116" s="300"/>
      <c r="CV116" s="300"/>
      <c r="CW116" s="300"/>
      <c r="CX116" s="300"/>
      <c r="CY116" s="300"/>
      <c r="CZ116" s="300"/>
      <c r="DA116" s="300"/>
      <c r="DB116" s="300"/>
      <c r="DC116" s="300"/>
      <c r="DD116" s="300"/>
      <c r="DE116" s="300"/>
      <c r="DF116" s="396"/>
      <c r="DG116" s="300"/>
      <c r="DH116" s="394"/>
      <c r="DI116" s="52"/>
      <c r="DJ116" s="52"/>
      <c r="DK116" s="52"/>
      <c r="DL116" s="52"/>
      <c r="DM116" s="52"/>
      <c r="DN116" s="52"/>
      <c r="DO116" s="52"/>
      <c r="DP116" s="52"/>
      <c r="DQ116" s="52"/>
      <c r="DR116" s="52"/>
      <c r="DS116" s="52"/>
      <c r="DT116" s="52"/>
      <c r="DU116" s="30"/>
      <c r="DV116" s="300"/>
      <c r="DW116" s="398"/>
      <c r="DX116" s="300"/>
      <c r="DY116" s="300"/>
      <c r="DZ116" s="300"/>
      <c r="EA116" s="300"/>
      <c r="EB116" s="300"/>
      <c r="EC116" s="300"/>
      <c r="ED116" s="300"/>
      <c r="EE116" s="300"/>
      <c r="EF116" s="300"/>
      <c r="EG116" s="300"/>
      <c r="EH116" s="300"/>
      <c r="EI116" s="300"/>
      <c r="EJ116" s="300"/>
      <c r="EK116" s="300"/>
      <c r="EL116" s="300"/>
      <c r="EM116" s="300"/>
      <c r="EN116" s="300"/>
      <c r="EO116" s="300"/>
      <c r="EP116" s="300"/>
      <c r="EQ116" s="300"/>
      <c r="ER116" s="300"/>
      <c r="ES116" s="300"/>
      <c r="ET116" s="300"/>
      <c r="EU116" s="300"/>
      <c r="EV116" s="300"/>
      <c r="EW116" s="300"/>
      <c r="EX116" s="300"/>
      <c r="EY116" s="300"/>
      <c r="EZ116" s="300"/>
      <c r="FA116" s="300"/>
      <c r="FB116" s="300"/>
      <c r="FC116" s="300"/>
      <c r="FD116" s="300"/>
      <c r="FE116" s="300"/>
      <c r="FF116" s="300"/>
      <c r="FG116" s="300"/>
      <c r="FH116" s="300"/>
      <c r="FI116" s="300"/>
      <c r="FJ116" s="300"/>
      <c r="FK116" s="300"/>
      <c r="FL116" s="300"/>
      <c r="FM116" s="300"/>
      <c r="FN116" s="300"/>
      <c r="FO116" s="300"/>
      <c r="FP116" s="300"/>
      <c r="FQ116" s="300"/>
      <c r="FR116" s="300"/>
      <c r="FS116" s="300"/>
      <c r="FT116" s="300"/>
      <c r="FU116" s="300"/>
      <c r="FV116" s="300"/>
      <c r="FW116" s="300"/>
      <c r="FX116" s="300"/>
      <c r="FY116" s="300"/>
      <c r="FZ116" s="300"/>
      <c r="GA116" s="300"/>
      <c r="GB116" s="300"/>
      <c r="GC116" s="300"/>
      <c r="GD116" s="300"/>
      <c r="GE116" s="300"/>
      <c r="GF116" s="300"/>
      <c r="GG116" s="300"/>
      <c r="GH116" s="300"/>
      <c r="GI116" s="300"/>
      <c r="GJ116" s="300"/>
      <c r="GK116" s="300"/>
      <c r="GL116" s="300"/>
      <c r="GM116" s="300"/>
      <c r="GN116" s="300"/>
      <c r="GO116" s="300"/>
      <c r="GP116" s="300"/>
      <c r="GQ116" s="300"/>
      <c r="GR116" s="300"/>
      <c r="GS116" s="300"/>
      <c r="GT116" s="300"/>
      <c r="GU116" s="300"/>
      <c r="GV116" s="300"/>
      <c r="GW116" s="300"/>
      <c r="GX116" s="300"/>
      <c r="GY116" s="300"/>
      <c r="GZ116" s="300"/>
      <c r="HA116" s="300"/>
      <c r="HB116" s="300"/>
      <c r="HC116" s="300"/>
      <c r="HD116" s="300"/>
      <c r="HE116" s="300"/>
      <c r="HF116" s="300"/>
      <c r="HG116" s="300"/>
      <c r="HH116" s="300"/>
      <c r="HI116" s="300"/>
      <c r="HJ116" s="300"/>
      <c r="HK116" s="300"/>
      <c r="HL116" s="300"/>
      <c r="HM116" s="300"/>
      <c r="HN116" s="300"/>
      <c r="HO116" s="300"/>
      <c r="HP116" s="300"/>
      <c r="HQ116" s="300"/>
      <c r="HR116" s="300"/>
      <c r="HS116" s="300"/>
      <c r="HT116" s="300"/>
      <c r="HU116" s="300"/>
      <c r="HV116" s="300"/>
      <c r="HW116" s="300"/>
      <c r="HX116" s="300"/>
      <c r="HY116" s="300"/>
      <c r="HZ116" s="300"/>
      <c r="IA116" s="300"/>
      <c r="IB116" s="300"/>
      <c r="IC116" s="300"/>
    </row>
    <row r="117" ht="12.75" customHeight="1">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300"/>
      <c r="BJ117" s="300"/>
      <c r="BK117" s="300"/>
      <c r="BL117" s="300"/>
      <c r="BM117" s="300"/>
      <c r="BN117" s="300"/>
      <c r="BO117" s="300"/>
      <c r="BP117" s="300"/>
      <c r="BQ117" s="300"/>
      <c r="BR117" s="300"/>
      <c r="BS117" s="300"/>
      <c r="BT117" s="300"/>
      <c r="BU117" s="300"/>
      <c r="BV117" s="300"/>
      <c r="BW117" s="300"/>
      <c r="BX117" s="300"/>
      <c r="BY117" s="300"/>
      <c r="BZ117" s="300"/>
      <c r="CA117" s="300"/>
      <c r="CB117" s="300"/>
      <c r="CC117" s="300"/>
      <c r="CD117" s="300"/>
      <c r="CE117" s="300"/>
      <c r="CF117" s="300"/>
      <c r="CG117" s="300"/>
      <c r="CH117" s="300"/>
      <c r="CI117" s="300"/>
      <c r="CJ117" s="300"/>
      <c r="CK117" s="300"/>
      <c r="CL117" s="300"/>
      <c r="CM117" s="300"/>
      <c r="CN117" s="300"/>
      <c r="CO117" s="300"/>
      <c r="CP117" s="300"/>
      <c r="CQ117" s="300"/>
      <c r="CR117" s="300"/>
      <c r="CS117" s="300"/>
      <c r="CT117" s="300"/>
      <c r="CU117" s="300"/>
      <c r="CV117" s="300"/>
      <c r="CW117" s="300"/>
      <c r="CX117" s="300"/>
      <c r="CY117" s="300"/>
      <c r="CZ117" s="300"/>
      <c r="DA117" s="300"/>
      <c r="DB117" s="300"/>
      <c r="DC117" s="300"/>
      <c r="DD117" s="300"/>
      <c r="DE117" s="300"/>
      <c r="DF117" s="396"/>
      <c r="DG117" s="300"/>
      <c r="DH117" s="300"/>
      <c r="DI117" s="300"/>
      <c r="DJ117" s="300"/>
      <c r="DK117" s="300"/>
      <c r="DL117" s="300"/>
      <c r="DM117" s="300"/>
      <c r="DN117" s="300"/>
      <c r="DO117" s="300"/>
      <c r="DP117" s="300"/>
      <c r="DQ117" s="300"/>
      <c r="DR117" s="300"/>
      <c r="DS117" s="300"/>
      <c r="DT117" s="300"/>
      <c r="DU117" s="300"/>
      <c r="DV117" s="300"/>
      <c r="DW117" s="398"/>
      <c r="DX117" s="300"/>
      <c r="DY117" s="300"/>
      <c r="DZ117" s="300"/>
      <c r="EA117" s="300"/>
      <c r="EB117" s="300"/>
      <c r="EC117" s="300"/>
      <c r="ED117" s="300"/>
      <c r="EE117" s="300"/>
      <c r="EF117" s="300"/>
      <c r="EG117" s="300"/>
      <c r="EH117" s="300"/>
      <c r="EI117" s="300"/>
      <c r="EJ117" s="300"/>
      <c r="EK117" s="300"/>
      <c r="EL117" s="300"/>
      <c r="EM117" s="300"/>
      <c r="EN117" s="300"/>
      <c r="EO117" s="300"/>
      <c r="EP117" s="300"/>
      <c r="EQ117" s="300"/>
      <c r="ER117" s="300"/>
      <c r="ES117" s="300"/>
      <c r="ET117" s="300"/>
      <c r="EU117" s="300"/>
      <c r="EV117" s="300"/>
      <c r="EW117" s="300"/>
      <c r="EX117" s="300"/>
      <c r="EY117" s="300"/>
      <c r="EZ117" s="300"/>
      <c r="FA117" s="300"/>
      <c r="FB117" s="300"/>
      <c r="FC117" s="300"/>
      <c r="FD117" s="300"/>
      <c r="FE117" s="300"/>
      <c r="FF117" s="300"/>
      <c r="FG117" s="300"/>
      <c r="FH117" s="300"/>
      <c r="FI117" s="300"/>
      <c r="FJ117" s="300"/>
      <c r="FK117" s="300"/>
      <c r="FL117" s="300"/>
      <c r="FM117" s="300"/>
      <c r="FN117" s="300"/>
      <c r="FO117" s="300"/>
      <c r="FP117" s="300"/>
      <c r="FQ117" s="300"/>
      <c r="FR117" s="300"/>
      <c r="FS117" s="300"/>
      <c r="FT117" s="300"/>
      <c r="FU117" s="300"/>
      <c r="FV117" s="300"/>
      <c r="FW117" s="300"/>
      <c r="FX117" s="300"/>
      <c r="FY117" s="300"/>
      <c r="FZ117" s="300"/>
      <c r="GA117" s="300"/>
      <c r="GB117" s="300"/>
      <c r="GC117" s="300"/>
      <c r="GD117" s="300"/>
      <c r="GE117" s="300"/>
      <c r="GF117" s="300"/>
      <c r="GG117" s="300"/>
      <c r="GH117" s="300"/>
      <c r="GI117" s="300"/>
      <c r="GJ117" s="300"/>
      <c r="GK117" s="300"/>
      <c r="GL117" s="300"/>
      <c r="GM117" s="300"/>
      <c r="GN117" s="300"/>
      <c r="GO117" s="300"/>
      <c r="GP117" s="300"/>
      <c r="GQ117" s="300"/>
      <c r="GR117" s="300"/>
      <c r="GS117" s="300"/>
      <c r="GT117" s="300"/>
      <c r="GU117" s="300"/>
      <c r="GV117" s="300"/>
      <c r="GW117" s="300"/>
      <c r="GX117" s="300"/>
      <c r="GY117" s="300"/>
      <c r="GZ117" s="300"/>
      <c r="HA117" s="300"/>
      <c r="HB117" s="300"/>
      <c r="HC117" s="300"/>
      <c r="HD117" s="300"/>
      <c r="HE117" s="300"/>
      <c r="HF117" s="300"/>
      <c r="HG117" s="300"/>
      <c r="HH117" s="300"/>
      <c r="HI117" s="300"/>
      <c r="HJ117" s="300"/>
      <c r="HK117" s="300"/>
      <c r="HL117" s="300"/>
      <c r="HM117" s="300"/>
      <c r="HN117" s="300"/>
      <c r="HO117" s="300"/>
      <c r="HP117" s="300"/>
      <c r="HQ117" s="300"/>
      <c r="HR117" s="300"/>
      <c r="HS117" s="300"/>
      <c r="HT117" s="300"/>
      <c r="HU117" s="300"/>
      <c r="HV117" s="300"/>
      <c r="HW117" s="300"/>
      <c r="HX117" s="300"/>
      <c r="HY117" s="300"/>
      <c r="HZ117" s="300"/>
      <c r="IA117" s="300"/>
      <c r="IB117" s="300"/>
      <c r="IC117" s="300"/>
    </row>
    <row r="118" ht="12.75" customHeight="1">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300"/>
      <c r="BJ118" s="300"/>
      <c r="BK118" s="300"/>
      <c r="BL118" s="300"/>
      <c r="BM118" s="300"/>
      <c r="BN118" s="300"/>
      <c r="BO118" s="300"/>
      <c r="BP118" s="300"/>
      <c r="BQ118" s="300"/>
      <c r="BR118" s="300"/>
      <c r="BS118" s="300"/>
      <c r="BT118" s="300"/>
      <c r="BU118" s="300"/>
      <c r="BV118" s="300"/>
      <c r="BW118" s="300"/>
      <c r="BX118" s="300"/>
      <c r="BY118" s="300"/>
      <c r="BZ118" s="300"/>
      <c r="CA118" s="300"/>
      <c r="CB118" s="300"/>
      <c r="CC118" s="300"/>
      <c r="CD118" s="300"/>
      <c r="CE118" s="300"/>
      <c r="CF118" s="300"/>
      <c r="CG118" s="300"/>
      <c r="CH118" s="300"/>
      <c r="CI118" s="300"/>
      <c r="CJ118" s="300"/>
      <c r="CK118" s="300"/>
      <c r="CL118" s="300"/>
      <c r="CM118" s="300"/>
      <c r="CN118" s="300"/>
      <c r="CO118" s="300"/>
      <c r="CP118" s="300"/>
      <c r="CQ118" s="300"/>
      <c r="CR118" s="300"/>
      <c r="CS118" s="300"/>
      <c r="CT118" s="300"/>
      <c r="CU118" s="300"/>
      <c r="CV118" s="300"/>
      <c r="CW118" s="300"/>
      <c r="CX118" s="300"/>
      <c r="CY118" s="300"/>
      <c r="CZ118" s="300"/>
      <c r="DA118" s="300"/>
      <c r="DB118" s="300"/>
      <c r="DC118" s="300"/>
      <c r="DD118" s="300"/>
      <c r="DE118" s="300"/>
      <c r="DF118" s="396"/>
      <c r="DG118" s="300"/>
      <c r="DH118" s="300"/>
      <c r="DI118" s="413" t="s">
        <v>553</v>
      </c>
      <c r="DJ118" s="305"/>
      <c r="DK118" s="305"/>
      <c r="DL118" s="305"/>
      <c r="DM118" s="305"/>
      <c r="DN118" s="305"/>
      <c r="DO118" s="305"/>
      <c r="DP118" s="305"/>
      <c r="DQ118" s="305"/>
      <c r="DR118" s="305"/>
      <c r="DS118" s="305"/>
      <c r="DT118" s="306"/>
      <c r="DU118" s="300"/>
      <c r="DV118" s="300"/>
      <c r="DW118" s="398"/>
      <c r="DX118" s="300"/>
      <c r="DY118" s="300"/>
      <c r="DZ118" s="300"/>
      <c r="EA118" s="300"/>
      <c r="EB118" s="300"/>
      <c r="EC118" s="300"/>
      <c r="ED118" s="300"/>
      <c r="EE118" s="300"/>
      <c r="EF118" s="300"/>
      <c r="EG118" s="300"/>
      <c r="EH118" s="300"/>
      <c r="EI118" s="300"/>
      <c r="EJ118" s="300"/>
      <c r="EK118" s="300"/>
      <c r="EL118" s="300"/>
      <c r="EM118" s="300"/>
      <c r="EN118" s="300"/>
      <c r="EO118" s="300"/>
      <c r="EP118" s="300"/>
      <c r="EQ118" s="300"/>
      <c r="ER118" s="300"/>
      <c r="ES118" s="300"/>
      <c r="ET118" s="300"/>
      <c r="EU118" s="300"/>
      <c r="EV118" s="300"/>
      <c r="EW118" s="300"/>
      <c r="EX118" s="300"/>
      <c r="EY118" s="300"/>
      <c r="EZ118" s="300"/>
      <c r="FA118" s="300"/>
      <c r="FB118" s="300"/>
      <c r="FC118" s="300"/>
      <c r="FD118" s="300"/>
      <c r="FE118" s="300"/>
      <c r="FF118" s="300"/>
      <c r="FG118" s="300"/>
      <c r="FH118" s="300"/>
      <c r="FI118" s="300"/>
      <c r="FJ118" s="300"/>
      <c r="FK118" s="300"/>
      <c r="FL118" s="300"/>
      <c r="FM118" s="300"/>
      <c r="FN118" s="300"/>
      <c r="FO118" s="300"/>
      <c r="FP118" s="300"/>
      <c r="FQ118" s="300"/>
      <c r="FR118" s="300"/>
      <c r="FS118" s="300"/>
      <c r="FT118" s="300"/>
      <c r="FU118" s="300"/>
      <c r="FV118" s="300"/>
      <c r="FW118" s="300"/>
      <c r="FX118" s="300"/>
      <c r="FY118" s="300"/>
      <c r="FZ118" s="300"/>
      <c r="GA118" s="300"/>
      <c r="GB118" s="300"/>
      <c r="GC118" s="300"/>
      <c r="GD118" s="300"/>
      <c r="GE118" s="300"/>
      <c r="GF118" s="300"/>
      <c r="GG118" s="300"/>
      <c r="GH118" s="300"/>
      <c r="GI118" s="300"/>
      <c r="GJ118" s="300"/>
      <c r="GK118" s="300"/>
      <c r="GL118" s="300"/>
      <c r="GM118" s="300"/>
      <c r="GN118" s="300"/>
      <c r="GO118" s="300"/>
      <c r="GP118" s="300"/>
      <c r="GQ118" s="300"/>
      <c r="GR118" s="300"/>
      <c r="GS118" s="300"/>
      <c r="GT118" s="300"/>
      <c r="GU118" s="300"/>
      <c r="GV118" s="300"/>
      <c r="GW118" s="300"/>
      <c r="GX118" s="300"/>
      <c r="GY118" s="300"/>
      <c r="GZ118" s="300"/>
      <c r="HA118" s="300"/>
      <c r="HB118" s="300"/>
      <c r="HC118" s="300"/>
      <c r="HD118" s="300"/>
      <c r="HE118" s="300"/>
      <c r="HF118" s="300"/>
      <c r="HG118" s="300"/>
      <c r="HH118" s="300"/>
      <c r="HI118" s="300"/>
      <c r="HJ118" s="300"/>
      <c r="HK118" s="300"/>
      <c r="HL118" s="300"/>
      <c r="HM118" s="300"/>
      <c r="HN118" s="300"/>
      <c r="HO118" s="300"/>
      <c r="HP118" s="300"/>
      <c r="HQ118" s="300"/>
      <c r="HR118" s="300"/>
      <c r="HS118" s="300"/>
      <c r="HT118" s="300"/>
      <c r="HU118" s="300"/>
      <c r="HV118" s="300"/>
      <c r="HW118" s="300"/>
      <c r="HX118" s="300"/>
      <c r="HY118" s="300"/>
      <c r="HZ118" s="300"/>
      <c r="IA118" s="300"/>
      <c r="IB118" s="300"/>
      <c r="IC118" s="300"/>
    </row>
    <row r="119" ht="12.75" customHeight="1">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300"/>
      <c r="BJ119" s="300"/>
      <c r="BK119" s="300"/>
      <c r="BL119" s="300"/>
      <c r="BM119" s="300"/>
      <c r="BN119" s="300"/>
      <c r="BO119" s="300"/>
      <c r="BP119" s="300"/>
      <c r="BQ119" s="300"/>
      <c r="BR119" s="300"/>
      <c r="BS119" s="300"/>
      <c r="BT119" s="300"/>
      <c r="BU119" s="300"/>
      <c r="BV119" s="300"/>
      <c r="BW119" s="300"/>
      <c r="BX119" s="300"/>
      <c r="BY119" s="300"/>
      <c r="BZ119" s="300"/>
      <c r="CA119" s="300"/>
      <c r="CB119" s="300"/>
      <c r="CC119" s="300"/>
      <c r="CD119" s="300"/>
      <c r="CE119" s="300"/>
      <c r="CF119" s="300"/>
      <c r="CG119" s="300"/>
      <c r="CH119" s="300"/>
      <c r="CI119" s="300"/>
      <c r="CJ119" s="300"/>
      <c r="CK119" s="300"/>
      <c r="CL119" s="300"/>
      <c r="CM119" s="300"/>
      <c r="CN119" s="300"/>
      <c r="CO119" s="300"/>
      <c r="CP119" s="300"/>
      <c r="CQ119" s="300"/>
      <c r="CR119" s="300"/>
      <c r="CS119" s="300"/>
      <c r="CT119" s="300"/>
      <c r="CU119" s="300"/>
      <c r="CV119" s="300"/>
      <c r="CW119" s="300"/>
      <c r="CX119" s="300"/>
      <c r="CY119" s="300"/>
      <c r="CZ119" s="300"/>
      <c r="DA119" s="300"/>
      <c r="DB119" s="300"/>
      <c r="DC119" s="300"/>
      <c r="DD119" s="300"/>
      <c r="DE119" s="300"/>
      <c r="DF119" s="396"/>
      <c r="DG119" s="300"/>
      <c r="DH119" s="300"/>
      <c r="DI119" s="331"/>
      <c r="DJ119" s="332"/>
      <c r="DK119" s="332"/>
      <c r="DL119" s="332"/>
      <c r="DM119" s="332"/>
      <c r="DN119" s="332"/>
      <c r="DO119" s="332"/>
      <c r="DP119" s="332"/>
      <c r="DQ119" s="332"/>
      <c r="DR119" s="332"/>
      <c r="DS119" s="332"/>
      <c r="DT119" s="333"/>
      <c r="DU119" s="300"/>
      <c r="DV119" s="300"/>
      <c r="DW119" s="398"/>
      <c r="DX119" s="300"/>
      <c r="DY119" s="300"/>
      <c r="DZ119" s="300"/>
      <c r="EA119" s="300"/>
      <c r="EB119" s="300"/>
      <c r="EC119" s="300"/>
      <c r="ED119" s="300"/>
      <c r="EE119" s="300"/>
      <c r="EF119" s="300"/>
      <c r="EG119" s="300"/>
      <c r="EH119" s="300"/>
      <c r="EI119" s="300"/>
      <c r="EJ119" s="300"/>
      <c r="EK119" s="300"/>
      <c r="EL119" s="300"/>
      <c r="EM119" s="300"/>
      <c r="EN119" s="300"/>
      <c r="EO119" s="300"/>
      <c r="EP119" s="300"/>
      <c r="EQ119" s="300"/>
      <c r="ER119" s="300"/>
      <c r="ES119" s="300"/>
      <c r="ET119" s="300"/>
      <c r="EU119" s="300"/>
      <c r="EV119" s="300"/>
      <c r="EW119" s="300"/>
      <c r="EX119" s="300"/>
      <c r="EY119" s="300"/>
      <c r="EZ119" s="300"/>
      <c r="FA119" s="300"/>
      <c r="FB119" s="300"/>
      <c r="FC119" s="300"/>
      <c r="FD119" s="300"/>
      <c r="FE119" s="300"/>
      <c r="FF119" s="300"/>
      <c r="FG119" s="300"/>
      <c r="FH119" s="300"/>
      <c r="FI119" s="300"/>
      <c r="FJ119" s="300"/>
      <c r="FK119" s="300"/>
      <c r="FL119" s="300"/>
      <c r="FM119" s="300"/>
      <c r="FN119" s="300"/>
      <c r="FO119" s="300"/>
      <c r="FP119" s="300"/>
      <c r="FQ119" s="300"/>
      <c r="FR119" s="300"/>
      <c r="FS119" s="300"/>
      <c r="FT119" s="300"/>
      <c r="FU119" s="300"/>
      <c r="FV119" s="300"/>
      <c r="FW119" s="300"/>
      <c r="FX119" s="300"/>
      <c r="FY119" s="300"/>
      <c r="FZ119" s="300"/>
      <c r="GA119" s="300"/>
      <c r="GB119" s="300"/>
      <c r="GC119" s="300"/>
      <c r="GD119" s="300"/>
      <c r="GE119" s="300"/>
      <c r="GF119" s="300"/>
      <c r="GG119" s="300"/>
      <c r="GH119" s="300"/>
      <c r="GI119" s="300"/>
      <c r="GJ119" s="300"/>
      <c r="GK119" s="300"/>
      <c r="GL119" s="300"/>
      <c r="GM119" s="300"/>
      <c r="GN119" s="300"/>
      <c r="GO119" s="300"/>
      <c r="GP119" s="300"/>
      <c r="GQ119" s="300"/>
      <c r="GR119" s="300"/>
      <c r="GS119" s="300"/>
      <c r="GT119" s="300"/>
      <c r="GU119" s="300"/>
      <c r="GV119" s="300"/>
      <c r="GW119" s="300"/>
      <c r="GX119" s="300"/>
      <c r="GY119" s="300"/>
      <c r="GZ119" s="300"/>
      <c r="HA119" s="300"/>
      <c r="HB119" s="300"/>
      <c r="HC119" s="300"/>
      <c r="HD119" s="300"/>
      <c r="HE119" s="300"/>
      <c r="HF119" s="300"/>
      <c r="HG119" s="300"/>
      <c r="HH119" s="300"/>
      <c r="HI119" s="300"/>
      <c r="HJ119" s="300"/>
      <c r="HK119" s="300"/>
      <c r="HL119" s="300"/>
      <c r="HM119" s="300"/>
      <c r="HN119" s="300"/>
      <c r="HO119" s="300"/>
      <c r="HP119" s="300"/>
      <c r="HQ119" s="300"/>
      <c r="HR119" s="300"/>
      <c r="HS119" s="300"/>
      <c r="HT119" s="300"/>
      <c r="HU119" s="300"/>
      <c r="HV119" s="300"/>
      <c r="HW119" s="300"/>
      <c r="HX119" s="300"/>
      <c r="HY119" s="300"/>
      <c r="HZ119" s="300"/>
      <c r="IA119" s="300"/>
      <c r="IB119" s="300"/>
      <c r="IC119" s="300"/>
    </row>
    <row r="120" ht="12.75" customHeight="1">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300"/>
      <c r="BJ120" s="300"/>
      <c r="BK120" s="300"/>
      <c r="BL120" s="300"/>
      <c r="BM120" s="300"/>
      <c r="BN120" s="300"/>
      <c r="BO120" s="300"/>
      <c r="BP120" s="300"/>
      <c r="BQ120" s="300"/>
      <c r="BR120" s="300"/>
      <c r="BS120" s="300"/>
      <c r="BT120" s="300"/>
      <c r="BU120" s="300"/>
      <c r="BV120" s="300"/>
      <c r="BW120" s="300"/>
      <c r="BX120" s="300"/>
      <c r="BY120" s="300"/>
      <c r="BZ120" s="300"/>
      <c r="CA120" s="300"/>
      <c r="CB120" s="300"/>
      <c r="CC120" s="300"/>
      <c r="CD120" s="300"/>
      <c r="CE120" s="300"/>
      <c r="CF120" s="300"/>
      <c r="CG120" s="300"/>
      <c r="CH120" s="300"/>
      <c r="CI120" s="300"/>
      <c r="CJ120" s="300"/>
      <c r="CK120" s="300"/>
      <c r="CL120" s="300"/>
      <c r="CM120" s="300"/>
      <c r="CN120" s="300"/>
      <c r="CO120" s="300"/>
      <c r="CP120" s="300"/>
      <c r="CQ120" s="300"/>
      <c r="CR120" s="300"/>
      <c r="CS120" s="300"/>
      <c r="CT120" s="300"/>
      <c r="CU120" s="300"/>
      <c r="CV120" s="300"/>
      <c r="CW120" s="300"/>
      <c r="CX120" s="300"/>
      <c r="CY120" s="300"/>
      <c r="CZ120" s="300"/>
      <c r="DA120" s="300"/>
      <c r="DB120" s="300"/>
      <c r="DC120" s="300"/>
      <c r="DD120" s="300"/>
      <c r="DE120" s="300"/>
      <c r="DF120" s="396"/>
      <c r="DG120" s="300"/>
      <c r="DH120" s="300"/>
      <c r="DI120" s="300"/>
      <c r="DJ120" s="300"/>
      <c r="DK120" s="300"/>
      <c r="DL120" s="300"/>
      <c r="DM120" s="300"/>
      <c r="DN120" s="300"/>
      <c r="DO120" s="300"/>
      <c r="DP120" s="300"/>
      <c r="DQ120" s="300"/>
      <c r="DR120" s="300"/>
      <c r="DS120" s="300"/>
      <c r="DT120" s="300"/>
      <c r="DU120" s="300"/>
      <c r="DV120" s="300"/>
      <c r="DW120" s="398"/>
      <c r="DX120" s="300"/>
      <c r="DY120" s="300"/>
      <c r="DZ120" s="300"/>
      <c r="EA120" s="300"/>
      <c r="EB120" s="300"/>
      <c r="EC120" s="300"/>
      <c r="ED120" s="300"/>
      <c r="EE120" s="300"/>
      <c r="EF120" s="300"/>
      <c r="EG120" s="300"/>
      <c r="EH120" s="300"/>
      <c r="EI120" s="300"/>
      <c r="EJ120" s="300"/>
      <c r="EK120" s="300"/>
      <c r="EL120" s="300"/>
      <c r="EM120" s="300"/>
      <c r="EN120" s="300"/>
      <c r="EO120" s="300"/>
      <c r="EP120" s="300"/>
      <c r="EQ120" s="300"/>
      <c r="ER120" s="300"/>
      <c r="ES120" s="300"/>
      <c r="ET120" s="300"/>
      <c r="EU120" s="300"/>
      <c r="EV120" s="300"/>
      <c r="EW120" s="300"/>
      <c r="EX120" s="300"/>
      <c r="EY120" s="300"/>
      <c r="EZ120" s="300"/>
      <c r="FA120" s="300"/>
      <c r="FB120" s="300"/>
      <c r="FC120" s="300"/>
      <c r="FD120" s="300"/>
      <c r="FE120" s="300"/>
      <c r="FF120" s="300"/>
      <c r="FG120" s="300"/>
      <c r="FH120" s="300"/>
      <c r="FI120" s="300"/>
      <c r="FJ120" s="300"/>
      <c r="FK120" s="300"/>
      <c r="FL120" s="300"/>
      <c r="FM120" s="300"/>
      <c r="FN120" s="300"/>
      <c r="FO120" s="300"/>
      <c r="FP120" s="300"/>
      <c r="FQ120" s="300"/>
      <c r="FR120" s="300"/>
      <c r="FS120" s="300"/>
      <c r="FT120" s="300"/>
      <c r="FU120" s="300"/>
      <c r="FV120" s="300"/>
      <c r="FW120" s="300"/>
      <c r="FX120" s="300"/>
      <c r="FY120" s="300"/>
      <c r="FZ120" s="300"/>
      <c r="GA120" s="300"/>
      <c r="GB120" s="300"/>
      <c r="GC120" s="300"/>
      <c r="GD120" s="300"/>
      <c r="GE120" s="300"/>
      <c r="GF120" s="300"/>
      <c r="GG120" s="300"/>
      <c r="GH120" s="300"/>
      <c r="GI120" s="300"/>
      <c r="GJ120" s="300"/>
      <c r="GK120" s="300"/>
      <c r="GL120" s="300"/>
      <c r="GM120" s="300"/>
      <c r="GN120" s="300"/>
      <c r="GO120" s="300"/>
      <c r="GP120" s="300"/>
      <c r="GQ120" s="300"/>
      <c r="GR120" s="300"/>
      <c r="GS120" s="300"/>
      <c r="GT120" s="300"/>
      <c r="GU120" s="300"/>
      <c r="GV120" s="300"/>
      <c r="GW120" s="300"/>
      <c r="GX120" s="300"/>
      <c r="GY120" s="300"/>
      <c r="GZ120" s="300"/>
      <c r="HA120" s="300"/>
      <c r="HB120" s="300"/>
      <c r="HC120" s="300"/>
      <c r="HD120" s="300"/>
      <c r="HE120" s="300"/>
      <c r="HF120" s="300"/>
      <c r="HG120" s="300"/>
      <c r="HH120" s="300"/>
      <c r="HI120" s="300"/>
      <c r="HJ120" s="300"/>
      <c r="HK120" s="300"/>
      <c r="HL120" s="300"/>
      <c r="HM120" s="300"/>
      <c r="HN120" s="300"/>
      <c r="HO120" s="300"/>
      <c r="HP120" s="300"/>
      <c r="HQ120" s="300"/>
      <c r="HR120" s="300"/>
      <c r="HS120" s="300"/>
      <c r="HT120" s="300"/>
      <c r="HU120" s="300"/>
      <c r="HV120" s="300"/>
      <c r="HW120" s="300"/>
      <c r="HX120" s="300"/>
      <c r="HY120" s="300"/>
      <c r="HZ120" s="300"/>
      <c r="IA120" s="300"/>
      <c r="IB120" s="300"/>
      <c r="IC120" s="300"/>
    </row>
    <row r="121" ht="12.75" customHeight="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300"/>
      <c r="BJ121" s="300"/>
      <c r="BK121" s="300"/>
      <c r="BL121" s="300"/>
      <c r="BM121" s="300"/>
      <c r="BN121" s="300"/>
      <c r="BO121" s="300"/>
      <c r="BP121" s="300"/>
      <c r="BQ121" s="300"/>
      <c r="BR121" s="300"/>
      <c r="BS121" s="300"/>
      <c r="BT121" s="300"/>
      <c r="BU121" s="300"/>
      <c r="BV121" s="300"/>
      <c r="BW121" s="300"/>
      <c r="BX121" s="300"/>
      <c r="BY121" s="300"/>
      <c r="BZ121" s="300"/>
      <c r="CA121" s="300"/>
      <c r="CB121" s="300"/>
      <c r="CC121" s="300"/>
      <c r="CD121" s="300"/>
      <c r="CE121" s="300"/>
      <c r="CF121" s="300"/>
      <c r="CG121" s="300"/>
      <c r="CH121" s="300"/>
      <c r="CI121" s="300"/>
      <c r="CJ121" s="300"/>
      <c r="CK121" s="300"/>
      <c r="CL121" s="300"/>
      <c r="CM121" s="300"/>
      <c r="CN121" s="300"/>
      <c r="CO121" s="300"/>
      <c r="CP121" s="300"/>
      <c r="CQ121" s="300"/>
      <c r="CR121" s="300"/>
      <c r="CS121" s="300"/>
      <c r="CT121" s="300"/>
      <c r="CU121" s="300"/>
      <c r="CV121" s="300"/>
      <c r="CW121" s="300"/>
      <c r="CX121" s="300"/>
      <c r="CY121" s="300"/>
      <c r="CZ121" s="300"/>
      <c r="DA121" s="300"/>
      <c r="DB121" s="300"/>
      <c r="DC121" s="300"/>
      <c r="DD121" s="300"/>
      <c r="DE121" s="300"/>
      <c r="DF121" s="396"/>
      <c r="DG121" s="300"/>
      <c r="DH121" s="300"/>
      <c r="DI121" s="485" t="s">
        <v>444</v>
      </c>
      <c r="DJ121" s="305"/>
      <c r="DK121" s="305"/>
      <c r="DL121" s="305"/>
      <c r="DM121" s="306"/>
      <c r="DN121" s="300"/>
      <c r="DO121" s="300"/>
      <c r="DP121" s="485" t="s">
        <v>446</v>
      </c>
      <c r="DQ121" s="305"/>
      <c r="DR121" s="305"/>
      <c r="DS121" s="305"/>
      <c r="DT121" s="306"/>
      <c r="DU121" s="300"/>
      <c r="DV121" s="300"/>
      <c r="DW121" s="398"/>
      <c r="DX121" s="300"/>
      <c r="DY121" s="300"/>
      <c r="DZ121" s="300"/>
      <c r="EA121" s="300"/>
      <c r="EB121" s="300"/>
      <c r="EC121" s="300"/>
      <c r="ED121" s="300"/>
      <c r="EE121" s="300"/>
      <c r="EF121" s="300"/>
      <c r="EG121" s="300"/>
      <c r="EH121" s="300"/>
      <c r="EI121" s="300"/>
      <c r="EJ121" s="300"/>
      <c r="EK121" s="300"/>
      <c r="EL121" s="300"/>
      <c r="EM121" s="300"/>
      <c r="EN121" s="300"/>
      <c r="EO121" s="300"/>
      <c r="EP121" s="300"/>
      <c r="EQ121" s="300"/>
      <c r="ER121" s="300"/>
      <c r="ES121" s="300"/>
      <c r="ET121" s="300"/>
      <c r="EU121" s="300"/>
      <c r="EV121" s="300"/>
      <c r="EW121" s="300"/>
      <c r="EX121" s="300"/>
      <c r="EY121" s="300"/>
      <c r="EZ121" s="300"/>
      <c r="FA121" s="300"/>
      <c r="FB121" s="300"/>
      <c r="FC121" s="300"/>
      <c r="FD121" s="300"/>
      <c r="FE121" s="300"/>
      <c r="FF121" s="300"/>
      <c r="FG121" s="300"/>
      <c r="FH121" s="300"/>
      <c r="FI121" s="300"/>
      <c r="FJ121" s="300"/>
      <c r="FK121" s="300"/>
      <c r="FL121" s="300"/>
      <c r="FM121" s="300"/>
      <c r="FN121" s="300"/>
      <c r="FO121" s="300"/>
      <c r="FP121" s="300"/>
      <c r="FQ121" s="300"/>
      <c r="FR121" s="300"/>
      <c r="FS121" s="300"/>
      <c r="FT121" s="300"/>
      <c r="FU121" s="300"/>
      <c r="FV121" s="300"/>
      <c r="FW121" s="300"/>
      <c r="FX121" s="300"/>
      <c r="FY121" s="300"/>
      <c r="FZ121" s="300"/>
      <c r="GA121" s="300"/>
      <c r="GB121" s="300"/>
      <c r="GC121" s="300"/>
      <c r="GD121" s="300"/>
      <c r="GE121" s="300"/>
      <c r="GF121" s="300"/>
      <c r="GG121" s="300"/>
      <c r="GH121" s="300"/>
      <c r="GI121" s="300"/>
      <c r="GJ121" s="300"/>
      <c r="GK121" s="300"/>
      <c r="GL121" s="300"/>
      <c r="GM121" s="300"/>
      <c r="GN121" s="300"/>
      <c r="GO121" s="300"/>
      <c r="GP121" s="300"/>
      <c r="GQ121" s="300"/>
      <c r="GR121" s="300"/>
      <c r="GS121" s="300"/>
      <c r="GT121" s="300"/>
      <c r="GU121" s="300"/>
      <c r="GV121" s="300"/>
      <c r="GW121" s="300"/>
      <c r="GX121" s="300"/>
      <c r="GY121" s="300"/>
      <c r="GZ121" s="300"/>
      <c r="HA121" s="300"/>
      <c r="HB121" s="300"/>
      <c r="HC121" s="300"/>
      <c r="HD121" s="300"/>
      <c r="HE121" s="300"/>
      <c r="HF121" s="300"/>
      <c r="HG121" s="300"/>
      <c r="HH121" s="300"/>
      <c r="HI121" s="300"/>
      <c r="HJ121" s="300"/>
      <c r="HK121" s="300"/>
      <c r="HL121" s="300"/>
      <c r="HM121" s="300"/>
      <c r="HN121" s="300"/>
      <c r="HO121" s="300"/>
      <c r="HP121" s="300"/>
      <c r="HQ121" s="300"/>
      <c r="HR121" s="300"/>
      <c r="HS121" s="300"/>
      <c r="HT121" s="300"/>
      <c r="HU121" s="300"/>
      <c r="HV121" s="300"/>
      <c r="HW121" s="300"/>
      <c r="HX121" s="300"/>
      <c r="HY121" s="300"/>
      <c r="HZ121" s="300"/>
      <c r="IA121" s="300"/>
      <c r="IB121" s="300"/>
      <c r="IC121" s="300"/>
    </row>
    <row r="122" ht="12.75" customHeight="1">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300"/>
      <c r="BJ122" s="300"/>
      <c r="BK122" s="300"/>
      <c r="BL122" s="300"/>
      <c r="BM122" s="300"/>
      <c r="BN122" s="300"/>
      <c r="BO122" s="300"/>
      <c r="BP122" s="300"/>
      <c r="BQ122" s="300"/>
      <c r="BR122" s="300"/>
      <c r="BS122" s="300"/>
      <c r="BT122" s="300"/>
      <c r="BU122" s="300"/>
      <c r="BV122" s="300"/>
      <c r="BW122" s="300"/>
      <c r="BX122" s="300"/>
      <c r="BY122" s="300"/>
      <c r="BZ122" s="300"/>
      <c r="CA122" s="300"/>
      <c r="CB122" s="300"/>
      <c r="CC122" s="300"/>
      <c r="CD122" s="300"/>
      <c r="CE122" s="300"/>
      <c r="CF122" s="300"/>
      <c r="CG122" s="300"/>
      <c r="CH122" s="300"/>
      <c r="CI122" s="300"/>
      <c r="CJ122" s="300"/>
      <c r="CK122" s="300"/>
      <c r="CL122" s="300"/>
      <c r="CM122" s="300"/>
      <c r="CN122" s="300"/>
      <c r="CO122" s="300"/>
      <c r="CP122" s="300"/>
      <c r="CQ122" s="300"/>
      <c r="CR122" s="300"/>
      <c r="CS122" s="300"/>
      <c r="CT122" s="300"/>
      <c r="CU122" s="300"/>
      <c r="CV122" s="300"/>
      <c r="CW122" s="300"/>
      <c r="CX122" s="300"/>
      <c r="CY122" s="300"/>
      <c r="CZ122" s="300"/>
      <c r="DA122" s="300"/>
      <c r="DB122" s="300"/>
      <c r="DC122" s="300"/>
      <c r="DD122" s="300"/>
      <c r="DE122" s="300"/>
      <c r="DF122" s="396"/>
      <c r="DG122" s="300"/>
      <c r="DH122" s="300"/>
      <c r="DI122" s="331"/>
      <c r="DJ122" s="332"/>
      <c r="DK122" s="332"/>
      <c r="DL122" s="332"/>
      <c r="DM122" s="333"/>
      <c r="DN122" s="300"/>
      <c r="DO122" s="300"/>
      <c r="DP122" s="331"/>
      <c r="DQ122" s="332"/>
      <c r="DR122" s="332"/>
      <c r="DS122" s="332"/>
      <c r="DT122" s="333"/>
      <c r="DU122" s="300"/>
      <c r="DV122" s="300"/>
      <c r="DW122" s="398"/>
      <c r="DX122" s="300"/>
      <c r="DY122" s="300"/>
      <c r="DZ122" s="300"/>
      <c r="EA122" s="300"/>
      <c r="EB122" s="300"/>
      <c r="EC122" s="300"/>
      <c r="ED122" s="300"/>
      <c r="EE122" s="300"/>
      <c r="EF122" s="300"/>
      <c r="EG122" s="300"/>
      <c r="EH122" s="300"/>
      <c r="EI122" s="300"/>
      <c r="EJ122" s="300"/>
      <c r="EK122" s="300"/>
      <c r="EL122" s="300"/>
      <c r="EM122" s="300"/>
      <c r="EN122" s="300"/>
      <c r="EO122" s="300"/>
      <c r="EP122" s="300"/>
      <c r="EQ122" s="300"/>
      <c r="ER122" s="300"/>
      <c r="ES122" s="300"/>
      <c r="ET122" s="300"/>
      <c r="EU122" s="300"/>
      <c r="EV122" s="300"/>
      <c r="EW122" s="300"/>
      <c r="EX122" s="300"/>
      <c r="EY122" s="300"/>
      <c r="EZ122" s="300"/>
      <c r="FA122" s="300"/>
      <c r="FB122" s="300"/>
      <c r="FC122" s="300"/>
      <c r="FD122" s="300"/>
      <c r="FE122" s="300"/>
      <c r="FF122" s="300"/>
      <c r="FG122" s="300"/>
      <c r="FH122" s="300"/>
      <c r="FI122" s="300"/>
      <c r="FJ122" s="300"/>
      <c r="FK122" s="300"/>
      <c r="FL122" s="300"/>
      <c r="FM122" s="300"/>
      <c r="FN122" s="300"/>
      <c r="FO122" s="300"/>
      <c r="FP122" s="300"/>
      <c r="FQ122" s="300"/>
      <c r="FR122" s="300"/>
      <c r="FS122" s="300"/>
      <c r="FT122" s="300"/>
      <c r="FU122" s="300"/>
      <c r="FV122" s="300"/>
      <c r="FW122" s="300"/>
      <c r="FX122" s="300"/>
      <c r="FY122" s="300"/>
      <c r="FZ122" s="300"/>
      <c r="GA122" s="300"/>
      <c r="GB122" s="300"/>
      <c r="GC122" s="300"/>
      <c r="GD122" s="300"/>
      <c r="GE122" s="300"/>
      <c r="GF122" s="300"/>
      <c r="GG122" s="300"/>
      <c r="GH122" s="300"/>
      <c r="GI122" s="300"/>
      <c r="GJ122" s="300"/>
      <c r="GK122" s="300"/>
      <c r="GL122" s="300"/>
      <c r="GM122" s="300"/>
      <c r="GN122" s="300"/>
      <c r="GO122" s="300"/>
      <c r="GP122" s="300"/>
      <c r="GQ122" s="300"/>
      <c r="GR122" s="300"/>
      <c r="GS122" s="300"/>
      <c r="GT122" s="300"/>
      <c r="GU122" s="300"/>
      <c r="GV122" s="300"/>
      <c r="GW122" s="300"/>
      <c r="GX122" s="300"/>
      <c r="GY122" s="300"/>
      <c r="GZ122" s="300"/>
      <c r="HA122" s="300"/>
      <c r="HB122" s="300"/>
      <c r="HC122" s="300"/>
      <c r="HD122" s="300"/>
      <c r="HE122" s="300"/>
      <c r="HF122" s="300"/>
      <c r="HG122" s="300"/>
      <c r="HH122" s="300"/>
      <c r="HI122" s="300"/>
      <c r="HJ122" s="300"/>
      <c r="HK122" s="300"/>
      <c r="HL122" s="300"/>
      <c r="HM122" s="300"/>
      <c r="HN122" s="300"/>
      <c r="HO122" s="300"/>
      <c r="HP122" s="300"/>
      <c r="HQ122" s="300"/>
      <c r="HR122" s="300"/>
      <c r="HS122" s="300"/>
      <c r="HT122" s="300"/>
      <c r="HU122" s="300"/>
      <c r="HV122" s="300"/>
      <c r="HW122" s="300"/>
      <c r="HX122" s="300"/>
      <c r="HY122" s="300"/>
      <c r="HZ122" s="300"/>
      <c r="IA122" s="300"/>
      <c r="IB122" s="300"/>
      <c r="IC122" s="300"/>
    </row>
    <row r="123" ht="12.75" customHeight="1">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300"/>
      <c r="BJ123" s="300"/>
      <c r="BK123" s="300"/>
      <c r="BL123" s="300"/>
      <c r="BM123" s="300"/>
      <c r="BN123" s="300"/>
      <c r="BO123" s="300"/>
      <c r="BP123" s="300"/>
      <c r="BQ123" s="300"/>
      <c r="BR123" s="300"/>
      <c r="BS123" s="300"/>
      <c r="BT123" s="300"/>
      <c r="BU123" s="300"/>
      <c r="BV123" s="300"/>
      <c r="BW123" s="300"/>
      <c r="BX123" s="300"/>
      <c r="BY123" s="300"/>
      <c r="BZ123" s="300"/>
      <c r="CA123" s="300"/>
      <c r="CB123" s="300"/>
      <c r="CC123" s="300"/>
      <c r="CD123" s="300"/>
      <c r="CE123" s="300"/>
      <c r="CF123" s="300"/>
      <c r="CG123" s="300"/>
      <c r="CH123" s="300"/>
      <c r="CI123" s="300"/>
      <c r="CJ123" s="300"/>
      <c r="CK123" s="300"/>
      <c r="CL123" s="300"/>
      <c r="CM123" s="300"/>
      <c r="CN123" s="300"/>
      <c r="CO123" s="300"/>
      <c r="CP123" s="300"/>
      <c r="CQ123" s="300"/>
      <c r="CR123" s="300"/>
      <c r="CS123" s="300"/>
      <c r="CT123" s="300"/>
      <c r="CU123" s="300"/>
      <c r="CV123" s="300"/>
      <c r="CW123" s="300"/>
      <c r="CX123" s="300"/>
      <c r="CY123" s="300"/>
      <c r="CZ123" s="300"/>
      <c r="DA123" s="300"/>
      <c r="DB123" s="300"/>
      <c r="DC123" s="300"/>
      <c r="DD123" s="300"/>
      <c r="DE123" s="300"/>
      <c r="DF123" s="385"/>
      <c r="DG123" s="387"/>
      <c r="DH123" s="387"/>
      <c r="DI123" s="387"/>
      <c r="DJ123" s="387"/>
      <c r="DK123" s="387"/>
      <c r="DL123" s="387"/>
      <c r="DM123" s="387"/>
      <c r="DN123" s="387"/>
      <c r="DO123" s="387"/>
      <c r="DP123" s="387"/>
      <c r="DQ123" s="387"/>
      <c r="DR123" s="387"/>
      <c r="DS123" s="387"/>
      <c r="DT123" s="387"/>
      <c r="DU123" s="387"/>
      <c r="DV123" s="387"/>
      <c r="DW123" s="389"/>
      <c r="DX123" s="300"/>
      <c r="DY123" s="300"/>
      <c r="DZ123" s="300"/>
      <c r="EA123" s="300"/>
      <c r="EB123" s="300"/>
      <c r="EC123" s="300"/>
      <c r="ED123" s="300"/>
      <c r="EE123" s="300"/>
      <c r="EF123" s="300"/>
      <c r="EG123" s="300"/>
      <c r="EH123" s="300"/>
      <c r="EI123" s="300"/>
      <c r="EJ123" s="300"/>
      <c r="EK123" s="300"/>
      <c r="EL123" s="300"/>
      <c r="EM123" s="300"/>
      <c r="EN123" s="300"/>
      <c r="EO123" s="300"/>
      <c r="EP123" s="300"/>
      <c r="EQ123" s="300"/>
      <c r="ER123" s="300"/>
      <c r="ES123" s="300"/>
      <c r="ET123" s="300"/>
      <c r="EU123" s="300"/>
      <c r="EV123" s="300"/>
      <c r="EW123" s="300"/>
      <c r="EX123" s="300"/>
      <c r="EY123" s="300"/>
      <c r="EZ123" s="300"/>
      <c r="FA123" s="300"/>
      <c r="FB123" s="300"/>
      <c r="FC123" s="300"/>
      <c r="FD123" s="300"/>
      <c r="FE123" s="300"/>
      <c r="FF123" s="300"/>
      <c r="FG123" s="300"/>
      <c r="FH123" s="300"/>
      <c r="FI123" s="300"/>
      <c r="FJ123" s="300"/>
      <c r="FK123" s="300"/>
      <c r="FL123" s="300"/>
      <c r="FM123" s="300"/>
      <c r="FN123" s="300"/>
      <c r="FO123" s="300"/>
      <c r="FP123" s="300"/>
      <c r="FQ123" s="300"/>
      <c r="FR123" s="300"/>
      <c r="FS123" s="300"/>
      <c r="FT123" s="300"/>
      <c r="FU123" s="300"/>
      <c r="FV123" s="300"/>
      <c r="FW123" s="300"/>
      <c r="FX123" s="300"/>
      <c r="FY123" s="300"/>
      <c r="FZ123" s="300"/>
      <c r="GA123" s="300"/>
      <c r="GB123" s="300"/>
      <c r="GC123" s="300"/>
      <c r="GD123" s="300"/>
      <c r="GE123" s="300"/>
      <c r="GF123" s="300"/>
      <c r="GG123" s="300"/>
      <c r="GH123" s="300"/>
      <c r="GI123" s="300"/>
      <c r="GJ123" s="300"/>
      <c r="GK123" s="300"/>
      <c r="GL123" s="300"/>
      <c r="GM123" s="300"/>
      <c r="GN123" s="300"/>
      <c r="GO123" s="300"/>
      <c r="GP123" s="300"/>
      <c r="GQ123" s="300"/>
      <c r="GR123" s="300"/>
      <c r="GS123" s="300"/>
      <c r="GT123" s="300"/>
      <c r="GU123" s="300"/>
      <c r="GV123" s="300"/>
      <c r="GW123" s="300"/>
      <c r="GX123" s="300"/>
      <c r="GY123" s="300"/>
      <c r="GZ123" s="300"/>
      <c r="HA123" s="300"/>
      <c r="HB123" s="300"/>
      <c r="HC123" s="300"/>
      <c r="HD123" s="300"/>
      <c r="HE123" s="300"/>
      <c r="HF123" s="300"/>
      <c r="HG123" s="300"/>
      <c r="HH123" s="300"/>
      <c r="HI123" s="300"/>
      <c r="HJ123" s="300"/>
      <c r="HK123" s="300"/>
      <c r="HL123" s="300"/>
      <c r="HM123" s="300"/>
      <c r="HN123" s="300"/>
      <c r="HO123" s="300"/>
      <c r="HP123" s="300"/>
      <c r="HQ123" s="300"/>
      <c r="HR123" s="300"/>
      <c r="HS123" s="300"/>
      <c r="HT123" s="300"/>
      <c r="HU123" s="300"/>
      <c r="HV123" s="300"/>
      <c r="HW123" s="300"/>
      <c r="HX123" s="300"/>
      <c r="HY123" s="300"/>
      <c r="HZ123" s="300"/>
      <c r="IA123" s="300"/>
      <c r="IB123" s="300"/>
      <c r="IC123" s="300"/>
    </row>
    <row r="124" ht="12.75" customHeight="1">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300"/>
      <c r="BJ124" s="300"/>
      <c r="BK124" s="300"/>
      <c r="BL124" s="300"/>
      <c r="BM124" s="300"/>
      <c r="BN124" s="300"/>
      <c r="BO124" s="300"/>
      <c r="BP124" s="300"/>
      <c r="BQ124" s="300"/>
      <c r="BR124" s="300"/>
      <c r="BS124" s="300"/>
      <c r="BT124" s="300"/>
      <c r="BU124" s="300"/>
      <c r="BV124" s="300"/>
      <c r="BW124" s="300"/>
      <c r="BX124" s="300"/>
      <c r="BY124" s="300"/>
      <c r="BZ124" s="300"/>
      <c r="CA124" s="300"/>
      <c r="CB124" s="300"/>
      <c r="CC124" s="300"/>
      <c r="CD124" s="300"/>
      <c r="CE124" s="300"/>
      <c r="CF124" s="300"/>
      <c r="CG124" s="300"/>
      <c r="CH124" s="300"/>
      <c r="CI124" s="300"/>
      <c r="CJ124" s="300"/>
      <c r="CK124" s="300"/>
      <c r="CL124" s="300"/>
      <c r="CM124" s="300"/>
      <c r="CN124" s="300"/>
      <c r="CO124" s="300"/>
      <c r="CP124" s="300"/>
      <c r="CQ124" s="300"/>
      <c r="CR124" s="300"/>
      <c r="CS124" s="300"/>
      <c r="CT124" s="300"/>
      <c r="CU124" s="300"/>
      <c r="CV124" s="300"/>
      <c r="CW124" s="300"/>
      <c r="CX124" s="300"/>
      <c r="CY124" s="300"/>
      <c r="CZ124" s="300"/>
      <c r="DA124" s="300"/>
      <c r="DB124" s="300"/>
      <c r="DC124" s="300"/>
      <c r="DD124" s="300"/>
      <c r="DE124" s="300"/>
      <c r="DF124" s="376" t="s">
        <v>499</v>
      </c>
      <c r="DG124" s="378"/>
      <c r="DH124" s="378"/>
      <c r="DI124" s="378"/>
      <c r="DJ124" s="378"/>
      <c r="DK124" s="378"/>
      <c r="DL124" s="378"/>
      <c r="DM124" s="378"/>
      <c r="DN124" s="378"/>
      <c r="DO124" s="378"/>
      <c r="DP124" s="378"/>
      <c r="DQ124" s="378"/>
      <c r="DR124" s="378"/>
      <c r="DS124" s="378"/>
      <c r="DT124" s="378"/>
      <c r="DU124" s="378"/>
      <c r="DV124" s="378"/>
      <c r="DW124" s="380"/>
      <c r="DX124" s="300"/>
      <c r="DY124" s="300"/>
      <c r="DZ124" s="300"/>
      <c r="EA124" s="300"/>
      <c r="EB124" s="300"/>
      <c r="EC124" s="300"/>
      <c r="ED124" s="300"/>
      <c r="EE124" s="300"/>
      <c r="EF124" s="300"/>
      <c r="EG124" s="300"/>
      <c r="EH124" s="300"/>
      <c r="EI124" s="300"/>
      <c r="EJ124" s="300"/>
      <c r="EK124" s="300"/>
      <c r="EL124" s="300"/>
      <c r="EM124" s="300"/>
      <c r="EN124" s="300"/>
      <c r="EO124" s="300"/>
      <c r="EP124" s="300"/>
      <c r="EQ124" s="300"/>
      <c r="ER124" s="300"/>
      <c r="ES124" s="300"/>
      <c r="ET124" s="300"/>
      <c r="EU124" s="300"/>
      <c r="EV124" s="300"/>
      <c r="EW124" s="300"/>
      <c r="EX124" s="300"/>
      <c r="EY124" s="300"/>
      <c r="EZ124" s="300"/>
      <c r="FA124" s="300"/>
      <c r="FB124" s="300"/>
      <c r="FC124" s="300"/>
      <c r="FD124" s="300"/>
      <c r="FE124" s="300"/>
      <c r="FF124" s="300"/>
      <c r="FG124" s="300"/>
      <c r="FH124" s="300"/>
      <c r="FI124" s="300"/>
      <c r="FJ124" s="300"/>
      <c r="FK124" s="300"/>
      <c r="FL124" s="300"/>
      <c r="FM124" s="300"/>
      <c r="FN124" s="300"/>
      <c r="FO124" s="300"/>
      <c r="FP124" s="300"/>
      <c r="FQ124" s="300"/>
      <c r="FR124" s="300"/>
      <c r="FS124" s="300"/>
      <c r="FT124" s="300"/>
      <c r="FU124" s="300"/>
      <c r="FV124" s="300"/>
      <c r="FW124" s="300"/>
      <c r="FX124" s="300"/>
      <c r="FY124" s="300"/>
      <c r="FZ124" s="300"/>
      <c r="GA124" s="300"/>
      <c r="GB124" s="300"/>
      <c r="GC124" s="300"/>
      <c r="GD124" s="300"/>
      <c r="GE124" s="300"/>
      <c r="GF124" s="300"/>
      <c r="GG124" s="300"/>
      <c r="GH124" s="300"/>
      <c r="GI124" s="300"/>
      <c r="GJ124" s="300"/>
      <c r="GK124" s="300"/>
      <c r="GL124" s="300"/>
      <c r="GM124" s="300"/>
      <c r="GN124" s="300"/>
      <c r="GO124" s="300"/>
      <c r="GP124" s="300"/>
      <c r="GQ124" s="300"/>
      <c r="GR124" s="300"/>
      <c r="GS124" s="300"/>
      <c r="GT124" s="300"/>
      <c r="GU124" s="300"/>
      <c r="GV124" s="300"/>
      <c r="GW124" s="300"/>
      <c r="GX124" s="300"/>
      <c r="GY124" s="300"/>
      <c r="GZ124" s="300"/>
      <c r="HA124" s="300"/>
      <c r="HB124" s="300"/>
      <c r="HC124" s="300"/>
      <c r="HD124" s="300"/>
      <c r="HE124" s="300"/>
      <c r="HF124" s="300"/>
      <c r="HG124" s="300"/>
      <c r="HH124" s="300"/>
      <c r="HI124" s="300"/>
      <c r="HJ124" s="300"/>
      <c r="HK124" s="300"/>
      <c r="HL124" s="300"/>
      <c r="HM124" s="300"/>
      <c r="HN124" s="300"/>
      <c r="HO124" s="300"/>
      <c r="HP124" s="300"/>
      <c r="HQ124" s="300"/>
      <c r="HR124" s="300"/>
      <c r="HS124" s="300"/>
      <c r="HT124" s="300"/>
      <c r="HU124" s="300"/>
      <c r="HV124" s="300"/>
      <c r="HW124" s="300"/>
      <c r="HX124" s="300"/>
      <c r="HY124" s="300"/>
      <c r="HZ124" s="300"/>
      <c r="IA124" s="300"/>
      <c r="IB124" s="300"/>
      <c r="IC124" s="300"/>
    </row>
    <row r="125" ht="12.75" customHeight="1">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300"/>
      <c r="BJ125" s="300"/>
      <c r="BK125" s="300"/>
      <c r="BL125" s="300"/>
      <c r="BM125" s="300"/>
      <c r="BN125" s="300"/>
      <c r="BO125" s="300"/>
      <c r="BP125" s="300"/>
      <c r="BQ125" s="300"/>
      <c r="BR125" s="300"/>
      <c r="BS125" s="300"/>
      <c r="BT125" s="300"/>
      <c r="BU125" s="300"/>
      <c r="BV125" s="300"/>
      <c r="BW125" s="300"/>
      <c r="BX125" s="300"/>
      <c r="BY125" s="300"/>
      <c r="BZ125" s="300"/>
      <c r="CA125" s="300"/>
      <c r="CB125" s="300"/>
      <c r="CC125" s="300"/>
      <c r="CD125" s="300"/>
      <c r="CE125" s="300"/>
      <c r="CF125" s="300"/>
      <c r="CG125" s="300"/>
      <c r="CH125" s="300"/>
      <c r="CI125" s="300"/>
      <c r="CJ125" s="300"/>
      <c r="CK125" s="300"/>
      <c r="CL125" s="300"/>
      <c r="CM125" s="300"/>
      <c r="CN125" s="300"/>
      <c r="CO125" s="300"/>
      <c r="CP125" s="300"/>
      <c r="CQ125" s="300"/>
      <c r="CR125" s="300"/>
      <c r="CS125" s="300"/>
      <c r="CT125" s="300"/>
      <c r="CU125" s="300"/>
      <c r="CV125" s="300"/>
      <c r="CW125" s="300"/>
      <c r="CX125" s="300"/>
      <c r="CY125" s="300"/>
      <c r="CZ125" s="300"/>
      <c r="DA125" s="300"/>
      <c r="DB125" s="300"/>
      <c r="DC125" s="300"/>
      <c r="DD125" s="300"/>
      <c r="DE125" s="300"/>
      <c r="DF125" s="385"/>
      <c r="DG125" s="387"/>
      <c r="DH125" s="387"/>
      <c r="DI125" s="387"/>
      <c r="DJ125" s="387"/>
      <c r="DK125" s="387"/>
      <c r="DL125" s="387"/>
      <c r="DM125" s="387"/>
      <c r="DN125" s="387"/>
      <c r="DO125" s="387"/>
      <c r="DP125" s="387"/>
      <c r="DQ125" s="387"/>
      <c r="DR125" s="387"/>
      <c r="DS125" s="387"/>
      <c r="DT125" s="387"/>
      <c r="DU125" s="387"/>
      <c r="DV125" s="387"/>
      <c r="DW125" s="389"/>
      <c r="DX125" s="300"/>
      <c r="DY125" s="300"/>
      <c r="DZ125" s="300"/>
      <c r="EA125" s="300"/>
      <c r="EB125" s="300"/>
      <c r="EC125" s="300"/>
      <c r="ED125" s="300"/>
      <c r="EE125" s="300"/>
      <c r="EF125" s="300"/>
      <c r="EG125" s="300"/>
      <c r="EH125" s="300"/>
      <c r="EI125" s="300"/>
      <c r="EJ125" s="300"/>
      <c r="EK125" s="300"/>
      <c r="EL125" s="300"/>
      <c r="EM125" s="300"/>
      <c r="EN125" s="300"/>
      <c r="EO125" s="300"/>
      <c r="EP125" s="300"/>
      <c r="EQ125" s="300"/>
      <c r="ER125" s="300"/>
      <c r="ES125" s="300"/>
      <c r="ET125" s="300"/>
      <c r="EU125" s="300"/>
      <c r="EV125" s="300"/>
      <c r="EW125" s="300"/>
      <c r="EX125" s="300"/>
      <c r="EY125" s="300"/>
      <c r="EZ125" s="300"/>
      <c r="FA125" s="300"/>
      <c r="FB125" s="300"/>
      <c r="FC125" s="300"/>
      <c r="FD125" s="300"/>
      <c r="FE125" s="300"/>
      <c r="FF125" s="300"/>
      <c r="FG125" s="300"/>
      <c r="FH125" s="300"/>
      <c r="FI125" s="300"/>
      <c r="FJ125" s="300"/>
      <c r="FK125" s="300"/>
      <c r="FL125" s="300"/>
      <c r="FM125" s="300"/>
      <c r="FN125" s="300"/>
      <c r="FO125" s="300"/>
      <c r="FP125" s="300"/>
      <c r="FQ125" s="300"/>
      <c r="FR125" s="300"/>
      <c r="FS125" s="300"/>
      <c r="FT125" s="300"/>
      <c r="FU125" s="300"/>
      <c r="FV125" s="300"/>
      <c r="FW125" s="300"/>
      <c r="FX125" s="300"/>
      <c r="FY125" s="300"/>
      <c r="FZ125" s="300"/>
      <c r="GA125" s="300"/>
      <c r="GB125" s="300"/>
      <c r="GC125" s="300"/>
      <c r="GD125" s="300"/>
      <c r="GE125" s="300"/>
      <c r="GF125" s="300"/>
      <c r="GG125" s="300"/>
      <c r="GH125" s="300"/>
      <c r="GI125" s="300"/>
      <c r="GJ125" s="300"/>
      <c r="GK125" s="300"/>
      <c r="GL125" s="300"/>
      <c r="GM125" s="300"/>
      <c r="GN125" s="300"/>
      <c r="GO125" s="300"/>
      <c r="GP125" s="300"/>
      <c r="GQ125" s="300"/>
      <c r="GR125" s="300"/>
      <c r="GS125" s="300"/>
      <c r="GT125" s="300"/>
      <c r="GU125" s="300"/>
      <c r="GV125" s="300"/>
      <c r="GW125" s="300"/>
      <c r="GX125" s="300"/>
      <c r="GY125" s="300"/>
      <c r="GZ125" s="300"/>
      <c r="HA125" s="300"/>
      <c r="HB125" s="300"/>
      <c r="HC125" s="300"/>
      <c r="HD125" s="300"/>
      <c r="HE125" s="300"/>
      <c r="HF125" s="300"/>
      <c r="HG125" s="300"/>
      <c r="HH125" s="300"/>
      <c r="HI125" s="300"/>
      <c r="HJ125" s="300"/>
      <c r="HK125" s="300"/>
      <c r="HL125" s="300"/>
      <c r="HM125" s="300"/>
      <c r="HN125" s="300"/>
      <c r="HO125" s="300"/>
      <c r="HP125" s="300"/>
      <c r="HQ125" s="300"/>
      <c r="HR125" s="300"/>
      <c r="HS125" s="300"/>
      <c r="HT125" s="300"/>
      <c r="HU125" s="300"/>
      <c r="HV125" s="300"/>
      <c r="HW125" s="300"/>
      <c r="HX125" s="300"/>
      <c r="HY125" s="300"/>
      <c r="HZ125" s="300"/>
      <c r="IA125" s="300"/>
      <c r="IB125" s="300"/>
      <c r="IC125" s="300"/>
    </row>
  </sheetData>
  <mergeCells count="271">
    <mergeCell ref="B1:S2"/>
    <mergeCell ref="X1:AO2"/>
    <mergeCell ref="AT1:BI2"/>
    <mergeCell ref="BN1:CE2"/>
    <mergeCell ref="CJ1:DA2"/>
    <mergeCell ref="DF1:DW2"/>
    <mergeCell ref="EB1:ES2"/>
    <mergeCell ref="BN12:BQ13"/>
    <mergeCell ref="BR12:CA13"/>
    <mergeCell ref="CB12:CE13"/>
    <mergeCell ref="BQ15:CB16"/>
    <mergeCell ref="BQ18:CB19"/>
    <mergeCell ref="BS21:BT21"/>
    <mergeCell ref="BP22:CC23"/>
    <mergeCell ref="BP26:CC27"/>
    <mergeCell ref="B28:E29"/>
    <mergeCell ref="F28:O29"/>
    <mergeCell ref="P28:S29"/>
    <mergeCell ref="X28:AA29"/>
    <mergeCell ref="AB28:AK29"/>
    <mergeCell ref="AL28:AO29"/>
    <mergeCell ref="EB28:EE29"/>
    <mergeCell ref="EF28:EO29"/>
    <mergeCell ref="EP28:ES29"/>
    <mergeCell ref="BG28:BJ29"/>
    <mergeCell ref="CJ28:CM29"/>
    <mergeCell ref="CN28:CW29"/>
    <mergeCell ref="CX28:DA29"/>
    <mergeCell ref="DF28:DI29"/>
    <mergeCell ref="DJ28:DS29"/>
    <mergeCell ref="DT28:DW29"/>
    <mergeCell ref="AS28:AV29"/>
    <mergeCell ref="AW28:BF29"/>
    <mergeCell ref="BP30:CC31"/>
    <mergeCell ref="AA31:AL32"/>
    <mergeCell ref="AV31:BG32"/>
    <mergeCell ref="CM31:CX32"/>
    <mergeCell ref="DI31:DT32"/>
    <mergeCell ref="E31:P32"/>
    <mergeCell ref="E34:P35"/>
    <mergeCell ref="AA34:AL35"/>
    <mergeCell ref="AV34:BG35"/>
    <mergeCell ref="BP34:CC35"/>
    <mergeCell ref="CM34:CX35"/>
    <mergeCell ref="DI34:DT35"/>
    <mergeCell ref="CT37:CU37"/>
    <mergeCell ref="DI37:DJ37"/>
    <mergeCell ref="DP37:DQ37"/>
    <mergeCell ref="E37:F37"/>
    <mergeCell ref="L37:M37"/>
    <mergeCell ref="AA37:AB37"/>
    <mergeCell ref="AH37:AI37"/>
    <mergeCell ref="AV37:AW37"/>
    <mergeCell ref="BC37:BD37"/>
    <mergeCell ref="CM37:CN37"/>
    <mergeCell ref="BW38:CB39"/>
    <mergeCell ref="CL38:CQ39"/>
    <mergeCell ref="CS38:CX39"/>
    <mergeCell ref="DH38:DM39"/>
    <mergeCell ref="DO38:DT39"/>
    <mergeCell ref="D38:I39"/>
    <mergeCell ref="K38:P39"/>
    <mergeCell ref="Z38:AE39"/>
    <mergeCell ref="AG38:AL39"/>
    <mergeCell ref="AU38:AZ39"/>
    <mergeCell ref="BB38:BG39"/>
    <mergeCell ref="BP38:BU39"/>
    <mergeCell ref="AV41:BG42"/>
    <mergeCell ref="AV44:BG45"/>
    <mergeCell ref="E41:P42"/>
    <mergeCell ref="AA41:AL42"/>
    <mergeCell ref="DH42:DM43"/>
    <mergeCell ref="DO42:DT43"/>
    <mergeCell ref="E44:P45"/>
    <mergeCell ref="AA44:AL45"/>
    <mergeCell ref="BQ44:CB45"/>
    <mergeCell ref="CS50:CX51"/>
    <mergeCell ref="CL53:CX53"/>
    <mergeCell ref="CM41:CX42"/>
    <mergeCell ref="CM44:CX45"/>
    <mergeCell ref="DO46:DT47"/>
    <mergeCell ref="CL48:CX48"/>
    <mergeCell ref="DI49:DT50"/>
    <mergeCell ref="CL50:CQ51"/>
    <mergeCell ref="DI52:DT53"/>
    <mergeCell ref="Z52:AM53"/>
    <mergeCell ref="Z55:AM56"/>
    <mergeCell ref="Z58:AM59"/>
    <mergeCell ref="AU58:BH59"/>
    <mergeCell ref="BP58:CC59"/>
    <mergeCell ref="Z61:AM62"/>
    <mergeCell ref="BP61:CC62"/>
    <mergeCell ref="AU61:BH62"/>
    <mergeCell ref="BD65:BD66"/>
    <mergeCell ref="BE65:BH66"/>
    <mergeCell ref="BP65:BS66"/>
    <mergeCell ref="BT65:BT66"/>
    <mergeCell ref="BU65:BX66"/>
    <mergeCell ref="BY65:BY66"/>
    <mergeCell ref="GT67:HC68"/>
    <mergeCell ref="HD67:HG68"/>
    <mergeCell ref="HL69:IC71"/>
    <mergeCell ref="HL72:IC74"/>
    <mergeCell ref="HL75:IC75"/>
    <mergeCell ref="FB67:FK68"/>
    <mergeCell ref="EX69:FO75"/>
    <mergeCell ref="FT69:GK75"/>
    <mergeCell ref="GP69:HG75"/>
    <mergeCell ref="EX67:FA68"/>
    <mergeCell ref="FL67:FO68"/>
    <mergeCell ref="FT67:FW68"/>
    <mergeCell ref="FX67:GG68"/>
    <mergeCell ref="GH67:GK68"/>
    <mergeCell ref="GP67:GS68"/>
    <mergeCell ref="EB69:ES75"/>
    <mergeCell ref="H47:I47"/>
    <mergeCell ref="AD47:AE47"/>
    <mergeCell ref="AY47:AZ47"/>
    <mergeCell ref="BT47:BU47"/>
    <mergeCell ref="Z48:AE49"/>
    <mergeCell ref="AU48:AZ49"/>
    <mergeCell ref="BP48:BU49"/>
    <mergeCell ref="D48:I49"/>
    <mergeCell ref="F51:G51"/>
    <mergeCell ref="AB51:AC51"/>
    <mergeCell ref="AW51:AX51"/>
    <mergeCell ref="D52:Q53"/>
    <mergeCell ref="AU52:BH53"/>
    <mergeCell ref="AU55:BH56"/>
    <mergeCell ref="BR51:BS51"/>
    <mergeCell ref="BP52:CC53"/>
    <mergeCell ref="BP55:CC56"/>
    <mergeCell ref="CL55:CQ56"/>
    <mergeCell ref="CS55:CX56"/>
    <mergeCell ref="DH56:DT56"/>
    <mergeCell ref="CL58:CX58"/>
    <mergeCell ref="EB63:ES64"/>
    <mergeCell ref="EX63:FO64"/>
    <mergeCell ref="FT63:GK64"/>
    <mergeCell ref="GP63:HG64"/>
    <mergeCell ref="HL63:IC64"/>
    <mergeCell ref="DH58:DM59"/>
    <mergeCell ref="DO58:DT59"/>
    <mergeCell ref="CL60:CQ61"/>
    <mergeCell ref="CS60:CX61"/>
    <mergeCell ref="DH62:DM63"/>
    <mergeCell ref="DO62:DT63"/>
    <mergeCell ref="CL63:CX63"/>
    <mergeCell ref="D55:Q56"/>
    <mergeCell ref="D58:Q59"/>
    <mergeCell ref="D61:Q62"/>
    <mergeCell ref="D65:G66"/>
    <mergeCell ref="H65:H66"/>
    <mergeCell ref="I65:L66"/>
    <mergeCell ref="M65:M66"/>
    <mergeCell ref="HL67:HO68"/>
    <mergeCell ref="HP67:HY68"/>
    <mergeCell ref="HZ67:IC68"/>
    <mergeCell ref="BZ65:CC66"/>
    <mergeCell ref="CL65:CQ66"/>
    <mergeCell ref="CS65:CX66"/>
    <mergeCell ref="DO66:DT67"/>
    <mergeCell ref="EB67:EE68"/>
    <mergeCell ref="EF67:EO68"/>
    <mergeCell ref="EP67:ES68"/>
    <mergeCell ref="CL68:CX68"/>
    <mergeCell ref="AY65:AY66"/>
    <mergeCell ref="AZ65:BC66"/>
    <mergeCell ref="N65:Q66"/>
    <mergeCell ref="Z65:AC66"/>
    <mergeCell ref="AD65:AD66"/>
    <mergeCell ref="AE65:AH66"/>
    <mergeCell ref="AI65:AI66"/>
    <mergeCell ref="AJ65:AM66"/>
    <mergeCell ref="AU65:AX66"/>
    <mergeCell ref="Z69:AM70"/>
    <mergeCell ref="AU69:BH70"/>
    <mergeCell ref="BP69:CC70"/>
    <mergeCell ref="DI69:DT70"/>
    <mergeCell ref="CL70:CQ71"/>
    <mergeCell ref="CS70:CX71"/>
    <mergeCell ref="CL73:CX73"/>
    <mergeCell ref="AV76:BG77"/>
    <mergeCell ref="BQ76:CB77"/>
    <mergeCell ref="DH72:DT72"/>
    <mergeCell ref="DH74:DM75"/>
    <mergeCell ref="DO74:DT75"/>
    <mergeCell ref="CL75:CQ76"/>
    <mergeCell ref="CS75:CX76"/>
    <mergeCell ref="EC77:ED78"/>
    <mergeCell ref="EF77:EG78"/>
    <mergeCell ref="HC77:HF78"/>
    <mergeCell ref="HM77:HO78"/>
    <mergeCell ref="E79:I80"/>
    <mergeCell ref="L79:P80"/>
    <mergeCell ref="AA79:AE80"/>
    <mergeCell ref="AH79:AL80"/>
    <mergeCell ref="AV79:AZ80"/>
    <mergeCell ref="BC79:BG80"/>
    <mergeCell ref="BQ79:BU80"/>
    <mergeCell ref="BX79:CB80"/>
    <mergeCell ref="D69:Q70"/>
    <mergeCell ref="D73:Q74"/>
    <mergeCell ref="Z73:AM74"/>
    <mergeCell ref="AU73:BH74"/>
    <mergeCell ref="BP73:CC74"/>
    <mergeCell ref="E76:P77"/>
    <mergeCell ref="AA76:AL77"/>
    <mergeCell ref="DO82:DT83"/>
    <mergeCell ref="DI85:DT86"/>
    <mergeCell ref="DK89:DL89"/>
    <mergeCell ref="DH90:DM91"/>
    <mergeCell ref="DJ93:DK93"/>
    <mergeCell ref="DH94:DU95"/>
    <mergeCell ref="DH97:DU98"/>
    <mergeCell ref="DH111:DU112"/>
    <mergeCell ref="DH115:DU116"/>
    <mergeCell ref="DI118:DT119"/>
    <mergeCell ref="DI121:DM122"/>
    <mergeCell ref="DP121:DT122"/>
    <mergeCell ref="DH100:DU101"/>
    <mergeCell ref="DH103:DU104"/>
    <mergeCell ref="DH107:DK108"/>
    <mergeCell ref="DL107:DL108"/>
    <mergeCell ref="DM107:DP108"/>
    <mergeCell ref="DQ107:DQ108"/>
    <mergeCell ref="DR107:DU108"/>
    <mergeCell ref="HQ77:HS78"/>
    <mergeCell ref="HU77:HW78"/>
    <mergeCell ref="HY77:IA78"/>
    <mergeCell ref="FK77:FM78"/>
    <mergeCell ref="FU77:FW78"/>
    <mergeCell ref="FY77:GA78"/>
    <mergeCell ref="GC77:GE78"/>
    <mergeCell ref="GG77:GI78"/>
    <mergeCell ref="GQ77:GT78"/>
    <mergeCell ref="GW77:GZ78"/>
    <mergeCell ref="EI77:EJ78"/>
    <mergeCell ref="EL77:EM78"/>
    <mergeCell ref="EO77:EP78"/>
    <mergeCell ref="ER77:ES78"/>
    <mergeCell ref="EY77:FA78"/>
    <mergeCell ref="FC77:FE78"/>
    <mergeCell ref="FG77:FI78"/>
    <mergeCell ref="EX80:FA82"/>
    <mergeCell ref="FB80:FE82"/>
    <mergeCell ref="FF80:FI82"/>
    <mergeCell ref="FJ80:FM82"/>
    <mergeCell ref="FN80:FO82"/>
    <mergeCell ref="FT80:FW82"/>
    <mergeCell ref="FX80:GA82"/>
    <mergeCell ref="HF80:HG82"/>
    <mergeCell ref="HL80:HO82"/>
    <mergeCell ref="HP80:HS82"/>
    <mergeCell ref="HT80:HW82"/>
    <mergeCell ref="HX80:IA82"/>
    <mergeCell ref="IB80:IC82"/>
    <mergeCell ref="GB80:GE82"/>
    <mergeCell ref="GF80:GI82"/>
    <mergeCell ref="GJ80:GK82"/>
    <mergeCell ref="GP80:GS82"/>
    <mergeCell ref="GT80:GW82"/>
    <mergeCell ref="GX80:HA82"/>
    <mergeCell ref="HB80:HE82"/>
    <mergeCell ref="DH78:DM79"/>
    <mergeCell ref="DO78:DT79"/>
    <mergeCell ref="EB80:EE82"/>
    <mergeCell ref="EF80:EI82"/>
    <mergeCell ref="EJ80:EM82"/>
    <mergeCell ref="EN80:EQ82"/>
    <mergeCell ref="ER80:ES82"/>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outlineLevelRow="1"/>
  <cols>
    <col customWidth="1" min="1" max="21" width="2.13"/>
    <col customWidth="1" min="22" max="22" width="7.75"/>
    <col customWidth="1" min="23" max="23" width="2.13"/>
    <col customWidth="1" min="24" max="24" width="7.13"/>
    <col customWidth="1" min="25" max="26" width="2.13"/>
    <col customWidth="1" min="27" max="27" width="7.13"/>
    <col customWidth="1" min="28" max="28" width="2.13"/>
    <col customWidth="1" min="29" max="29" width="5.75"/>
    <col customWidth="1" min="30" max="30" width="2.13"/>
    <col customWidth="1" min="31" max="31" width="7.0"/>
    <col customWidth="1" min="32" max="33" width="2.13"/>
    <col customWidth="1" min="34" max="34" width="4.88"/>
    <col customWidth="1" min="35" max="37" width="2.13"/>
  </cols>
  <sheetData>
    <row r="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5"/>
      <c r="AH1" s="395"/>
      <c r="AI1" s="395"/>
      <c r="AJ1" s="395"/>
      <c r="AK1" s="395"/>
    </row>
    <row r="2">
      <c r="A2" s="395"/>
      <c r="B2" s="395"/>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c r="AC2" s="395"/>
      <c r="AD2" s="395"/>
      <c r="AE2" s="395"/>
      <c r="AF2" s="395"/>
      <c r="AG2" s="395"/>
      <c r="AH2" s="395"/>
      <c r="AI2" s="395"/>
      <c r="AJ2" s="395"/>
      <c r="AK2" s="395"/>
    </row>
    <row r="3">
      <c r="A3" s="395"/>
      <c r="B3" s="391" t="s">
        <v>441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9"/>
    </row>
    <row r="4">
      <c r="A4" s="395"/>
      <c r="B4" s="394"/>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30"/>
    </row>
    <row r="5" ht="13.5" customHeight="1">
      <c r="A5" s="395"/>
      <c r="B5" s="400" t="s">
        <v>452</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9"/>
    </row>
    <row r="6">
      <c r="A6" s="395"/>
      <c r="B6" s="394"/>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30"/>
    </row>
    <row r="7">
      <c r="A7" s="395"/>
      <c r="B7" s="401"/>
      <c r="C7" s="402"/>
      <c r="D7" s="402"/>
      <c r="E7" s="395"/>
      <c r="F7" s="395"/>
      <c r="G7" s="395"/>
      <c r="H7" s="395"/>
      <c r="I7" s="395"/>
      <c r="J7" s="395"/>
      <c r="K7" s="395"/>
      <c r="L7" s="395"/>
      <c r="M7" s="395"/>
      <c r="N7" s="395"/>
      <c r="O7" s="395"/>
      <c r="P7" s="395"/>
      <c r="Q7" s="395"/>
      <c r="R7" s="395"/>
      <c r="S7" s="395"/>
      <c r="T7" s="396"/>
      <c r="U7" s="300"/>
      <c r="V7" s="300"/>
      <c r="W7" s="300"/>
      <c r="X7" s="300"/>
      <c r="Y7" s="300"/>
      <c r="Z7" s="300"/>
      <c r="AA7" s="300"/>
      <c r="AB7" s="300"/>
      <c r="AC7" s="300"/>
      <c r="AD7" s="300"/>
      <c r="AE7" s="300"/>
      <c r="AF7" s="300"/>
      <c r="AG7" s="300"/>
      <c r="AH7" s="300"/>
      <c r="AI7" s="300"/>
      <c r="AJ7" s="398"/>
      <c r="AK7" s="404" t="s">
        <v>454</v>
      </c>
    </row>
    <row r="8">
      <c r="A8" s="395"/>
      <c r="B8" s="405"/>
      <c r="C8" s="395"/>
      <c r="D8" s="395"/>
      <c r="E8" s="395"/>
      <c r="F8" s="395"/>
      <c r="G8" s="395"/>
      <c r="H8" s="395"/>
      <c r="I8" s="395"/>
      <c r="J8" s="395"/>
      <c r="K8" s="395"/>
      <c r="L8" s="395"/>
      <c r="M8" s="395"/>
      <c r="N8" s="395"/>
      <c r="O8" s="395"/>
      <c r="P8" s="395"/>
      <c r="Q8" s="395"/>
      <c r="R8" s="395"/>
      <c r="S8" s="395"/>
      <c r="T8" s="396"/>
      <c r="U8" s="300"/>
      <c r="V8" s="300"/>
      <c r="W8" s="406" t="s">
        <v>455</v>
      </c>
      <c r="X8" s="305"/>
      <c r="Y8" s="305"/>
      <c r="Z8" s="305"/>
      <c r="AA8" s="305"/>
      <c r="AB8" s="305"/>
      <c r="AC8" s="305"/>
      <c r="AD8" s="305"/>
      <c r="AE8" s="305"/>
      <c r="AF8" s="305"/>
      <c r="AG8" s="305"/>
      <c r="AH8" s="306"/>
      <c r="AI8" s="300"/>
      <c r="AJ8" s="398"/>
      <c r="AK8" s="407"/>
    </row>
    <row r="9">
      <c r="A9" s="395"/>
      <c r="B9" s="405"/>
      <c r="C9" s="395"/>
      <c r="D9" s="395"/>
      <c r="E9" s="395"/>
      <c r="F9" s="395"/>
      <c r="G9" s="395"/>
      <c r="H9" s="395"/>
      <c r="I9" s="395"/>
      <c r="J9" s="395"/>
      <c r="K9" s="395"/>
      <c r="L9" s="395"/>
      <c r="M9" s="395"/>
      <c r="N9" s="395"/>
      <c r="O9" s="395"/>
      <c r="P9" s="395"/>
      <c r="Q9" s="395"/>
      <c r="R9" s="395"/>
      <c r="S9" s="395"/>
      <c r="T9" s="396"/>
      <c r="U9" s="300"/>
      <c r="V9" s="300"/>
      <c r="W9" s="331"/>
      <c r="X9" s="332"/>
      <c r="Y9" s="332"/>
      <c r="Z9" s="332"/>
      <c r="AA9" s="332"/>
      <c r="AB9" s="332"/>
      <c r="AC9" s="332"/>
      <c r="AD9" s="332"/>
      <c r="AE9" s="332"/>
      <c r="AF9" s="332"/>
      <c r="AG9" s="332"/>
      <c r="AH9" s="333"/>
      <c r="AI9" s="300"/>
      <c r="AJ9" s="398"/>
      <c r="AK9" s="407"/>
    </row>
    <row r="10">
      <c r="A10" s="395"/>
      <c r="B10" s="405"/>
      <c r="C10" s="395"/>
      <c r="D10" s="395"/>
      <c r="E10" s="395"/>
      <c r="F10" s="395"/>
      <c r="G10" s="395"/>
      <c r="H10" s="395"/>
      <c r="I10" s="395"/>
      <c r="J10" s="395"/>
      <c r="K10" s="395"/>
      <c r="L10" s="395"/>
      <c r="M10" s="395"/>
      <c r="N10" s="395"/>
      <c r="O10" s="395"/>
      <c r="P10" s="395"/>
      <c r="Q10" s="395"/>
      <c r="R10" s="395"/>
      <c r="S10" s="395"/>
      <c r="T10" s="396"/>
      <c r="U10" s="300"/>
      <c r="V10" s="300"/>
      <c r="W10" s="300"/>
      <c r="X10" s="300"/>
      <c r="Y10" s="300"/>
      <c r="Z10" s="300"/>
      <c r="AA10" s="300"/>
      <c r="AB10" s="300"/>
      <c r="AC10" s="300"/>
      <c r="AD10" s="300"/>
      <c r="AE10" s="300"/>
      <c r="AF10" s="300"/>
      <c r="AG10" s="300"/>
      <c r="AH10" s="300"/>
      <c r="AI10" s="300"/>
      <c r="AJ10" s="398"/>
      <c r="AK10" s="407"/>
    </row>
    <row r="11">
      <c r="A11" s="395"/>
      <c r="B11" s="405"/>
      <c r="C11" s="395"/>
      <c r="D11" s="395"/>
      <c r="E11" s="395"/>
      <c r="F11" s="395"/>
      <c r="G11" s="395"/>
      <c r="H11" s="395"/>
      <c r="I11" s="395"/>
      <c r="J11" s="395"/>
      <c r="K11" s="395"/>
      <c r="L11" s="395"/>
      <c r="M11" s="395"/>
      <c r="N11" s="395"/>
      <c r="O11" s="395"/>
      <c r="P11" s="395"/>
      <c r="Q11" s="395"/>
      <c r="R11" s="395"/>
      <c r="S11" s="395"/>
      <c r="T11" s="396"/>
      <c r="U11" s="300"/>
      <c r="V11" s="300"/>
      <c r="W11" s="406" t="s">
        <v>457</v>
      </c>
      <c r="X11" s="305"/>
      <c r="Y11" s="305"/>
      <c r="Z11" s="305"/>
      <c r="AA11" s="305"/>
      <c r="AB11" s="305"/>
      <c r="AC11" s="305"/>
      <c r="AD11" s="305"/>
      <c r="AE11" s="305"/>
      <c r="AF11" s="305"/>
      <c r="AG11" s="305"/>
      <c r="AH11" s="306"/>
      <c r="AI11" s="300"/>
      <c r="AJ11" s="398"/>
      <c r="AK11" s="407"/>
    </row>
    <row r="12">
      <c r="A12" s="395"/>
      <c r="B12" s="405"/>
      <c r="C12" s="395"/>
      <c r="D12" s="395"/>
      <c r="E12" s="395"/>
      <c r="F12" s="395"/>
      <c r="G12" s="395"/>
      <c r="H12" s="395"/>
      <c r="I12" s="395"/>
      <c r="J12" s="395"/>
      <c r="K12" s="395"/>
      <c r="L12" s="395"/>
      <c r="M12" s="395"/>
      <c r="N12" s="395"/>
      <c r="O12" s="395"/>
      <c r="P12" s="395"/>
      <c r="Q12" s="395"/>
      <c r="R12" s="395"/>
      <c r="S12" s="395"/>
      <c r="T12" s="396"/>
      <c r="U12" s="300"/>
      <c r="V12" s="300"/>
      <c r="W12" s="331"/>
      <c r="X12" s="332"/>
      <c r="Y12" s="332"/>
      <c r="Z12" s="332"/>
      <c r="AA12" s="332"/>
      <c r="AB12" s="332"/>
      <c r="AC12" s="332"/>
      <c r="AD12" s="332"/>
      <c r="AE12" s="332"/>
      <c r="AF12" s="332"/>
      <c r="AG12" s="332"/>
      <c r="AH12" s="333"/>
      <c r="AI12" s="300"/>
      <c r="AJ12" s="398"/>
      <c r="AK12" s="407"/>
    </row>
    <row r="13">
      <c r="A13" s="395"/>
      <c r="B13" s="405"/>
      <c r="C13" s="395"/>
      <c r="D13" s="395"/>
      <c r="E13" s="395"/>
      <c r="F13" s="395"/>
      <c r="G13" s="395"/>
      <c r="H13" s="395"/>
      <c r="I13" s="395"/>
      <c r="J13" s="395"/>
      <c r="K13" s="395"/>
      <c r="L13" s="395"/>
      <c r="M13" s="395"/>
      <c r="N13" s="395"/>
      <c r="O13" s="395"/>
      <c r="P13" s="395"/>
      <c r="Q13" s="395"/>
      <c r="R13" s="395"/>
      <c r="S13" s="395"/>
      <c r="T13" s="396"/>
      <c r="U13" s="300"/>
      <c r="V13" s="300"/>
      <c r="W13" s="300"/>
      <c r="X13" s="300"/>
      <c r="Y13" s="300"/>
      <c r="Z13" s="300"/>
      <c r="AA13" s="300"/>
      <c r="AB13" s="300"/>
      <c r="AC13" s="300"/>
      <c r="AD13" s="300"/>
      <c r="AE13" s="300"/>
      <c r="AF13" s="300"/>
      <c r="AG13" s="300"/>
      <c r="AH13" s="300"/>
      <c r="AI13" s="300"/>
      <c r="AJ13" s="398"/>
      <c r="AK13" s="417"/>
    </row>
    <row r="14">
      <c r="A14" s="395"/>
      <c r="B14" s="405"/>
      <c r="C14" s="395"/>
      <c r="D14" s="395"/>
      <c r="E14" s="395"/>
      <c r="F14" s="395"/>
      <c r="G14" s="395"/>
      <c r="H14" s="395"/>
      <c r="I14" s="395"/>
      <c r="J14" s="395"/>
      <c r="K14" s="395"/>
      <c r="L14" s="395"/>
      <c r="M14" s="395"/>
      <c r="N14" s="395"/>
      <c r="O14" s="395"/>
      <c r="P14" s="395"/>
      <c r="Q14" s="395"/>
      <c r="R14" s="395"/>
      <c r="S14" s="395"/>
      <c r="T14" s="396"/>
      <c r="U14" s="300"/>
      <c r="V14" s="420" t="s">
        <v>462</v>
      </c>
      <c r="W14" s="423" t="s">
        <v>464</v>
      </c>
      <c r="X14" s="425"/>
      <c r="Y14" s="300"/>
      <c r="Z14" s="300"/>
      <c r="AA14" s="300"/>
      <c r="AB14" s="300"/>
      <c r="AC14" s="420" t="s">
        <v>468</v>
      </c>
      <c r="AD14" s="423" t="s">
        <v>464</v>
      </c>
      <c r="AE14" s="425"/>
      <c r="AF14" s="300"/>
      <c r="AG14" s="300"/>
      <c r="AH14" s="300"/>
      <c r="AI14" s="300"/>
      <c r="AJ14" s="398"/>
      <c r="AK14" s="417"/>
    </row>
    <row r="15">
      <c r="A15" s="395"/>
      <c r="B15" s="405"/>
      <c r="C15" s="395"/>
      <c r="D15" s="395"/>
      <c r="E15" s="395"/>
      <c r="F15" s="395"/>
      <c r="G15" s="395"/>
      <c r="H15" s="395"/>
      <c r="I15" s="395"/>
      <c r="J15" s="395"/>
      <c r="K15" s="395"/>
      <c r="L15" s="395"/>
      <c r="M15" s="395"/>
      <c r="N15" s="395"/>
      <c r="O15" s="395"/>
      <c r="P15" s="395"/>
      <c r="Q15" s="395"/>
      <c r="R15" s="395"/>
      <c r="S15" s="395"/>
      <c r="T15" s="396"/>
      <c r="U15" s="300"/>
      <c r="V15" s="376"/>
      <c r="W15" s="10"/>
      <c r="X15" s="10"/>
      <c r="Y15" s="10"/>
      <c r="Z15" s="10"/>
      <c r="AA15" s="19"/>
      <c r="AB15" s="300"/>
      <c r="AC15" s="376"/>
      <c r="AD15" s="10"/>
      <c r="AE15" s="10"/>
      <c r="AF15" s="10"/>
      <c r="AG15" s="10"/>
      <c r="AH15" s="19"/>
      <c r="AI15" s="300"/>
      <c r="AJ15" s="398"/>
      <c r="AK15" s="417"/>
    </row>
    <row r="16">
      <c r="A16" s="395"/>
      <c r="B16" s="405"/>
      <c r="C16" s="395"/>
      <c r="D16" s="395"/>
      <c r="E16" s="395"/>
      <c r="F16" s="395"/>
      <c r="G16" s="395"/>
      <c r="H16" s="395"/>
      <c r="I16" s="395"/>
      <c r="J16" s="395"/>
      <c r="K16" s="395"/>
      <c r="L16" s="395"/>
      <c r="M16" s="395"/>
      <c r="N16" s="395"/>
      <c r="O16" s="395"/>
      <c r="P16" s="395"/>
      <c r="Q16" s="395"/>
      <c r="R16" s="395"/>
      <c r="S16" s="395"/>
      <c r="T16" s="396"/>
      <c r="U16" s="300"/>
      <c r="V16" s="394"/>
      <c r="W16" s="52"/>
      <c r="X16" s="52"/>
      <c r="Y16" s="52"/>
      <c r="Z16" s="52"/>
      <c r="AA16" s="30"/>
      <c r="AB16" s="300"/>
      <c r="AC16" s="394"/>
      <c r="AD16" s="52"/>
      <c r="AE16" s="52"/>
      <c r="AF16" s="52"/>
      <c r="AG16" s="52"/>
      <c r="AH16" s="30"/>
      <c r="AI16" s="300"/>
      <c r="AJ16" s="398"/>
      <c r="AK16" s="417"/>
    </row>
    <row r="17">
      <c r="A17" s="395"/>
      <c r="B17" s="405"/>
      <c r="C17" s="395"/>
      <c r="D17" s="395"/>
      <c r="E17" s="395"/>
      <c r="F17" s="395"/>
      <c r="G17" s="395"/>
      <c r="H17" s="395"/>
      <c r="I17" s="395"/>
      <c r="J17" s="395"/>
      <c r="K17" s="395"/>
      <c r="L17" s="395"/>
      <c r="M17" s="395"/>
      <c r="N17" s="395"/>
      <c r="O17" s="395"/>
      <c r="P17" s="395"/>
      <c r="Q17" s="395"/>
      <c r="R17" s="395"/>
      <c r="S17" s="395"/>
      <c r="T17" s="396"/>
      <c r="U17" s="300"/>
      <c r="V17" s="300"/>
      <c r="W17" s="300"/>
      <c r="X17" s="300"/>
      <c r="Y17" s="300"/>
      <c r="Z17" s="300"/>
      <c r="AA17" s="300"/>
      <c r="AB17" s="300"/>
      <c r="AC17" s="300"/>
      <c r="AD17" s="300"/>
      <c r="AE17" s="300"/>
      <c r="AF17" s="300"/>
      <c r="AG17" s="300"/>
      <c r="AH17" s="300"/>
      <c r="AI17" s="300"/>
      <c r="AJ17" s="398"/>
      <c r="AK17" s="417"/>
    </row>
    <row r="18">
      <c r="A18" s="395"/>
      <c r="B18" s="405"/>
      <c r="C18" s="395"/>
      <c r="D18" s="395"/>
      <c r="E18" s="395"/>
      <c r="F18" s="395"/>
      <c r="G18" s="395"/>
      <c r="H18" s="395"/>
      <c r="I18" s="395"/>
      <c r="J18" s="395"/>
      <c r="K18" s="395"/>
      <c r="L18" s="395"/>
      <c r="M18" s="395"/>
      <c r="N18" s="395"/>
      <c r="O18" s="395"/>
      <c r="P18" s="395"/>
      <c r="Q18" s="395"/>
      <c r="R18" s="395"/>
      <c r="S18" s="395"/>
      <c r="T18" s="396"/>
      <c r="U18" s="300"/>
      <c r="V18" s="300"/>
      <c r="W18" s="413" t="s">
        <v>476</v>
      </c>
      <c r="X18" s="305"/>
      <c r="Y18" s="305"/>
      <c r="Z18" s="305"/>
      <c r="AA18" s="305"/>
      <c r="AB18" s="305"/>
      <c r="AC18" s="305"/>
      <c r="AD18" s="305"/>
      <c r="AE18" s="305"/>
      <c r="AF18" s="305"/>
      <c r="AG18" s="305"/>
      <c r="AH18" s="306"/>
      <c r="AI18" s="300"/>
      <c r="AJ18" s="398"/>
      <c r="AK18" s="417"/>
    </row>
    <row r="19">
      <c r="A19" s="395"/>
      <c r="B19" s="405"/>
      <c r="C19" s="395"/>
      <c r="D19" s="395"/>
      <c r="E19" s="395"/>
      <c r="F19" s="395"/>
      <c r="G19" s="395"/>
      <c r="H19" s="395"/>
      <c r="I19" s="395"/>
      <c r="J19" s="395"/>
      <c r="K19" s="395"/>
      <c r="L19" s="395"/>
      <c r="M19" s="395"/>
      <c r="N19" s="395"/>
      <c r="O19" s="395"/>
      <c r="P19" s="395"/>
      <c r="Q19" s="395"/>
      <c r="R19" s="395"/>
      <c r="S19" s="395"/>
      <c r="T19" s="396"/>
      <c r="U19" s="300"/>
      <c r="V19" s="300"/>
      <c r="W19" s="331"/>
      <c r="X19" s="332"/>
      <c r="Y19" s="332"/>
      <c r="Z19" s="332"/>
      <c r="AA19" s="332"/>
      <c r="AB19" s="332"/>
      <c r="AC19" s="332"/>
      <c r="AD19" s="332"/>
      <c r="AE19" s="332"/>
      <c r="AF19" s="332"/>
      <c r="AG19" s="332"/>
      <c r="AH19" s="333"/>
      <c r="AI19" s="300"/>
      <c r="AJ19" s="398"/>
      <c r="AK19" s="417"/>
    </row>
    <row r="20">
      <c r="A20" s="395"/>
      <c r="B20" s="405"/>
      <c r="C20" s="395"/>
      <c r="D20" s="395"/>
      <c r="E20" s="395"/>
      <c r="F20" s="395"/>
      <c r="G20" s="395"/>
      <c r="H20" s="395"/>
      <c r="I20" s="395"/>
      <c r="J20" s="395"/>
      <c r="K20" s="395"/>
      <c r="L20" s="395"/>
      <c r="M20" s="395"/>
      <c r="N20" s="395"/>
      <c r="O20" s="395"/>
      <c r="P20" s="395"/>
      <c r="Q20" s="395"/>
      <c r="R20" s="395"/>
      <c r="S20" s="395"/>
      <c r="T20" s="396"/>
      <c r="U20" s="300"/>
      <c r="V20" s="300"/>
      <c r="W20" s="300"/>
      <c r="X20" s="300"/>
      <c r="Y20" s="300"/>
      <c r="Z20" s="300"/>
      <c r="AA20" s="300"/>
      <c r="AB20" s="300"/>
      <c r="AC20" s="300"/>
      <c r="AD20" s="300"/>
      <c r="AE20" s="300"/>
      <c r="AF20" s="300"/>
      <c r="AG20" s="300"/>
      <c r="AH20" s="300"/>
      <c r="AI20" s="300"/>
      <c r="AJ20" s="398"/>
      <c r="AK20" s="417"/>
    </row>
    <row r="21">
      <c r="A21" s="395"/>
      <c r="B21" s="405"/>
      <c r="C21" s="395"/>
      <c r="D21" s="395"/>
      <c r="E21" s="395"/>
      <c r="F21" s="395"/>
      <c r="G21" s="395"/>
      <c r="H21" s="395"/>
      <c r="I21" s="395"/>
      <c r="J21" s="395"/>
      <c r="K21" s="395"/>
      <c r="L21" s="395"/>
      <c r="M21" s="395"/>
      <c r="N21" s="395"/>
      <c r="O21" s="395"/>
      <c r="P21" s="395"/>
      <c r="Q21" s="395"/>
      <c r="R21" s="395"/>
      <c r="S21" s="395"/>
      <c r="T21" s="396"/>
      <c r="U21" s="300"/>
      <c r="V21" s="420" t="s">
        <v>482</v>
      </c>
      <c r="W21" s="300"/>
      <c r="X21" s="300"/>
      <c r="Y21" s="395"/>
      <c r="Z21" s="423" t="s">
        <v>464</v>
      </c>
      <c r="AA21" s="425"/>
      <c r="AB21" s="300"/>
      <c r="AC21" s="300"/>
      <c r="AD21" s="300"/>
      <c r="AE21" s="300"/>
      <c r="AF21" s="395"/>
      <c r="AG21" s="395"/>
      <c r="AH21" s="300"/>
      <c r="AI21" s="300"/>
      <c r="AJ21" s="398"/>
      <c r="AK21" s="417"/>
    </row>
    <row r="22">
      <c r="A22" s="395"/>
      <c r="B22" s="405"/>
      <c r="C22" s="395"/>
      <c r="D22" s="395"/>
      <c r="E22" s="395"/>
      <c r="F22" s="395"/>
      <c r="G22" s="395"/>
      <c r="H22" s="395"/>
      <c r="I22" s="395"/>
      <c r="J22" s="395"/>
      <c r="K22" s="395"/>
      <c r="L22" s="395"/>
      <c r="M22" s="395"/>
      <c r="N22" s="395"/>
      <c r="O22" s="395"/>
      <c r="P22" s="395"/>
      <c r="Q22" s="395"/>
      <c r="R22" s="395"/>
      <c r="S22" s="395"/>
      <c r="T22" s="396"/>
      <c r="U22" s="300"/>
      <c r="V22" s="447">
        <v>1000005.0</v>
      </c>
      <c r="W22" s="10"/>
      <c r="X22" s="10"/>
      <c r="Y22" s="10"/>
      <c r="Z22" s="10"/>
      <c r="AA22" s="19"/>
      <c r="AB22" s="450"/>
      <c r="AC22" s="300"/>
      <c r="AD22" s="300"/>
      <c r="AE22" s="300"/>
      <c r="AF22" s="300"/>
      <c r="AG22" s="300"/>
      <c r="AH22" s="300"/>
      <c r="AI22" s="300"/>
      <c r="AJ22" s="398"/>
      <c r="AK22" s="417"/>
    </row>
    <row r="23">
      <c r="A23" s="395"/>
      <c r="B23" s="405"/>
      <c r="C23" s="395"/>
      <c r="D23" s="395"/>
      <c r="E23" s="395"/>
      <c r="F23" s="395"/>
      <c r="G23" s="395"/>
      <c r="H23" s="395"/>
      <c r="I23" s="395"/>
      <c r="J23" s="395"/>
      <c r="K23" s="395"/>
      <c r="L23" s="395"/>
      <c r="M23" s="395"/>
      <c r="N23" s="395"/>
      <c r="O23" s="395"/>
      <c r="P23" s="395"/>
      <c r="Q23" s="395"/>
      <c r="R23" s="395"/>
      <c r="S23" s="395"/>
      <c r="T23" s="396"/>
      <c r="U23" s="300"/>
      <c r="V23" s="394"/>
      <c r="W23" s="52"/>
      <c r="X23" s="52"/>
      <c r="Y23" s="52"/>
      <c r="Z23" s="52"/>
      <c r="AA23" s="30"/>
      <c r="AB23" s="450"/>
      <c r="AC23" s="300"/>
      <c r="AD23" s="300"/>
      <c r="AE23" s="300"/>
      <c r="AF23" s="300"/>
      <c r="AG23" s="300"/>
      <c r="AH23" s="300"/>
      <c r="AI23" s="300"/>
      <c r="AJ23" s="398"/>
      <c r="AK23" s="417"/>
    </row>
    <row r="24">
      <c r="A24" s="395"/>
      <c r="B24" s="405"/>
      <c r="C24" s="395"/>
      <c r="D24" s="395"/>
      <c r="E24" s="395"/>
      <c r="F24" s="395"/>
      <c r="G24" s="395"/>
      <c r="H24" s="395"/>
      <c r="I24" s="395"/>
      <c r="J24" s="395"/>
      <c r="K24" s="395"/>
      <c r="L24" s="395"/>
      <c r="M24" s="395"/>
      <c r="N24" s="395"/>
      <c r="O24" s="395"/>
      <c r="P24" s="395"/>
      <c r="Q24" s="395"/>
      <c r="R24" s="395"/>
      <c r="S24" s="395"/>
      <c r="T24" s="396"/>
      <c r="U24" s="300"/>
      <c r="V24" s="300"/>
      <c r="W24" s="300"/>
      <c r="X24" s="300"/>
      <c r="Y24" s="300"/>
      <c r="Z24" s="300"/>
      <c r="AA24" s="300"/>
      <c r="AB24" s="300"/>
      <c r="AC24" s="300"/>
      <c r="AD24" s="300"/>
      <c r="AE24" s="300"/>
      <c r="AF24" s="300"/>
      <c r="AG24" s="300"/>
      <c r="AH24" s="300"/>
      <c r="AI24" s="300"/>
      <c r="AJ24" s="398"/>
      <c r="AK24" s="417"/>
    </row>
    <row r="25">
      <c r="A25" s="395"/>
      <c r="B25" s="405"/>
      <c r="C25" s="395"/>
      <c r="D25" s="395"/>
      <c r="E25" s="395"/>
      <c r="F25" s="395"/>
      <c r="G25" s="395"/>
      <c r="H25" s="395"/>
      <c r="I25" s="395"/>
      <c r="J25" s="395"/>
      <c r="K25" s="395"/>
      <c r="L25" s="395"/>
      <c r="M25" s="395"/>
      <c r="N25" s="395"/>
      <c r="O25" s="395"/>
      <c r="P25" s="395"/>
      <c r="Q25" s="395"/>
      <c r="R25" s="395"/>
      <c r="S25" s="395"/>
      <c r="T25" s="396"/>
      <c r="U25" s="300"/>
      <c r="V25" s="420" t="s">
        <v>486</v>
      </c>
      <c r="W25" s="300"/>
      <c r="X25" s="423" t="s">
        <v>464</v>
      </c>
      <c r="Y25" s="425"/>
      <c r="Z25" s="300"/>
      <c r="AA25" s="300"/>
      <c r="AB25" s="300"/>
      <c r="AC25" s="300"/>
      <c r="AD25" s="300"/>
      <c r="AE25" s="300"/>
      <c r="AF25" s="300"/>
      <c r="AG25" s="300"/>
      <c r="AH25" s="300"/>
      <c r="AI25" s="300"/>
      <c r="AJ25" s="398"/>
      <c r="AK25" s="417"/>
    </row>
    <row r="26">
      <c r="A26" s="395"/>
      <c r="B26" s="405"/>
      <c r="C26" s="395"/>
      <c r="D26" s="395"/>
      <c r="E26" s="395"/>
      <c r="F26" s="395"/>
      <c r="G26" s="395"/>
      <c r="H26" s="395"/>
      <c r="I26" s="395"/>
      <c r="J26" s="395"/>
      <c r="K26" s="395"/>
      <c r="L26" s="395"/>
      <c r="M26" s="395"/>
      <c r="N26" s="395"/>
      <c r="O26" s="395"/>
      <c r="P26" s="395"/>
      <c r="Q26" s="395"/>
      <c r="R26" s="395"/>
      <c r="S26" s="395"/>
      <c r="T26" s="396"/>
      <c r="U26" s="300"/>
      <c r="V26" s="447" t="s">
        <v>488</v>
      </c>
      <c r="W26" s="10"/>
      <c r="X26" s="10"/>
      <c r="Y26" s="10"/>
      <c r="Z26" s="10"/>
      <c r="AA26" s="10"/>
      <c r="AB26" s="10"/>
      <c r="AC26" s="10"/>
      <c r="AD26" s="10"/>
      <c r="AE26" s="10"/>
      <c r="AF26" s="10"/>
      <c r="AG26" s="10"/>
      <c r="AH26" s="10"/>
      <c r="AI26" s="19"/>
      <c r="AJ26" s="398"/>
      <c r="AK26" s="417"/>
    </row>
    <row r="27">
      <c r="A27" s="395"/>
      <c r="B27" s="405"/>
      <c r="C27" s="395"/>
      <c r="D27" s="395"/>
      <c r="E27" s="395"/>
      <c r="F27" s="395"/>
      <c r="G27" s="395"/>
      <c r="H27" s="395"/>
      <c r="I27" s="395"/>
      <c r="J27" s="395"/>
      <c r="K27" s="395"/>
      <c r="L27" s="395"/>
      <c r="M27" s="395"/>
      <c r="N27" s="395"/>
      <c r="O27" s="395"/>
      <c r="P27" s="395"/>
      <c r="Q27" s="395"/>
      <c r="R27" s="395"/>
      <c r="S27" s="395"/>
      <c r="T27" s="396"/>
      <c r="U27" s="300"/>
      <c r="V27" s="394"/>
      <c r="W27" s="52"/>
      <c r="X27" s="52"/>
      <c r="Y27" s="52"/>
      <c r="Z27" s="52"/>
      <c r="AA27" s="52"/>
      <c r="AB27" s="52"/>
      <c r="AC27" s="52"/>
      <c r="AD27" s="52"/>
      <c r="AE27" s="52"/>
      <c r="AF27" s="52"/>
      <c r="AG27" s="52"/>
      <c r="AH27" s="52"/>
      <c r="AI27" s="30"/>
      <c r="AJ27" s="398"/>
      <c r="AK27" s="417"/>
    </row>
    <row r="28">
      <c r="A28" s="395"/>
      <c r="B28" s="405"/>
      <c r="C28" s="395"/>
      <c r="D28" s="395"/>
      <c r="E28" s="395"/>
      <c r="F28" s="395"/>
      <c r="G28" s="395"/>
      <c r="H28" s="395"/>
      <c r="I28" s="395"/>
      <c r="J28" s="395"/>
      <c r="K28" s="395"/>
      <c r="L28" s="395"/>
      <c r="M28" s="395"/>
      <c r="N28" s="395"/>
      <c r="O28" s="395"/>
      <c r="P28" s="395"/>
      <c r="Q28" s="395"/>
      <c r="R28" s="395"/>
      <c r="S28" s="395"/>
      <c r="T28" s="396"/>
      <c r="U28" s="300"/>
      <c r="V28" s="465"/>
      <c r="W28" s="465"/>
      <c r="X28" s="465"/>
      <c r="Y28" s="465"/>
      <c r="Z28" s="465"/>
      <c r="AA28" s="465"/>
      <c r="AB28" s="465"/>
      <c r="AC28" s="466"/>
      <c r="AD28" s="466"/>
      <c r="AE28" s="466"/>
      <c r="AF28" s="466"/>
      <c r="AG28" s="466"/>
      <c r="AH28" s="466"/>
      <c r="AI28" s="466"/>
      <c r="AJ28" s="398"/>
      <c r="AK28" s="417"/>
    </row>
    <row r="29">
      <c r="A29" s="395"/>
      <c r="B29" s="405"/>
      <c r="C29" s="395"/>
      <c r="D29" s="395"/>
      <c r="E29" s="395"/>
      <c r="F29" s="395"/>
      <c r="G29" s="395"/>
      <c r="H29" s="395"/>
      <c r="I29" s="395"/>
      <c r="J29" s="395"/>
      <c r="K29" s="395"/>
      <c r="L29" s="395"/>
      <c r="M29" s="395"/>
      <c r="N29" s="395"/>
      <c r="O29" s="395"/>
      <c r="P29" s="395"/>
      <c r="Q29" s="395"/>
      <c r="R29" s="395"/>
      <c r="S29" s="395"/>
      <c r="T29" s="396"/>
      <c r="U29" s="300"/>
      <c r="V29" s="447" t="s">
        <v>493</v>
      </c>
      <c r="W29" s="10"/>
      <c r="X29" s="10"/>
      <c r="Y29" s="10"/>
      <c r="Z29" s="10"/>
      <c r="AA29" s="10"/>
      <c r="AB29" s="10"/>
      <c r="AC29" s="10"/>
      <c r="AD29" s="10"/>
      <c r="AE29" s="10"/>
      <c r="AF29" s="10"/>
      <c r="AG29" s="10"/>
      <c r="AH29" s="10"/>
      <c r="AI29" s="19"/>
      <c r="AJ29" s="398"/>
      <c r="AK29" s="417"/>
    </row>
    <row r="30">
      <c r="A30" s="395"/>
      <c r="B30" s="405"/>
      <c r="C30" s="395"/>
      <c r="D30" s="395"/>
      <c r="E30" s="395"/>
      <c r="F30" s="395"/>
      <c r="G30" s="395"/>
      <c r="H30" s="395"/>
      <c r="I30" s="395"/>
      <c r="J30" s="395"/>
      <c r="K30" s="395"/>
      <c r="L30" s="395"/>
      <c r="M30" s="395"/>
      <c r="N30" s="395"/>
      <c r="O30" s="395"/>
      <c r="P30" s="395"/>
      <c r="Q30" s="395"/>
      <c r="R30" s="395"/>
      <c r="S30" s="395"/>
      <c r="T30" s="396"/>
      <c r="U30" s="300"/>
      <c r="V30" s="394"/>
      <c r="W30" s="52"/>
      <c r="X30" s="52"/>
      <c r="Y30" s="52"/>
      <c r="Z30" s="52"/>
      <c r="AA30" s="52"/>
      <c r="AB30" s="52"/>
      <c r="AC30" s="52"/>
      <c r="AD30" s="52"/>
      <c r="AE30" s="52"/>
      <c r="AF30" s="52"/>
      <c r="AG30" s="52"/>
      <c r="AH30" s="52"/>
      <c r="AI30" s="30"/>
      <c r="AJ30" s="398"/>
      <c r="AK30" s="417"/>
    </row>
    <row r="31">
      <c r="A31" s="395"/>
      <c r="B31" s="474"/>
      <c r="C31" s="475"/>
      <c r="D31" s="475"/>
      <c r="E31" s="475"/>
      <c r="F31" s="475"/>
      <c r="G31" s="475"/>
      <c r="H31" s="475"/>
      <c r="I31" s="475"/>
      <c r="J31" s="475"/>
      <c r="K31" s="475"/>
      <c r="L31" s="475"/>
      <c r="M31" s="475"/>
      <c r="N31" s="475"/>
      <c r="O31" s="475"/>
      <c r="P31" s="475"/>
      <c r="Q31" s="475"/>
      <c r="R31" s="475"/>
      <c r="S31" s="475"/>
      <c r="T31" s="385"/>
      <c r="U31" s="387"/>
      <c r="V31" s="465"/>
      <c r="W31" s="465"/>
      <c r="X31" s="465"/>
      <c r="Y31" s="465"/>
      <c r="Z31" s="465"/>
      <c r="AA31" s="465"/>
      <c r="AB31" s="465"/>
      <c r="AC31" s="466"/>
      <c r="AD31" s="466"/>
      <c r="AE31" s="466"/>
      <c r="AF31" s="466"/>
      <c r="AG31" s="466"/>
      <c r="AH31" s="466"/>
      <c r="AI31" s="466"/>
      <c r="AJ31" s="389"/>
      <c r="AK31" s="404" t="s">
        <v>496</v>
      </c>
    </row>
    <row r="32">
      <c r="A32" s="395"/>
      <c r="B32" s="376"/>
      <c r="C32" s="378"/>
      <c r="D32" s="380"/>
      <c r="E32" s="376"/>
      <c r="F32" s="378"/>
      <c r="G32" s="380"/>
      <c r="H32" s="376"/>
      <c r="I32" s="378"/>
      <c r="J32" s="380"/>
      <c r="K32" s="376"/>
      <c r="L32" s="378"/>
      <c r="M32" s="380"/>
      <c r="N32" s="376"/>
      <c r="O32" s="378"/>
      <c r="P32" s="380"/>
      <c r="Q32" s="378"/>
      <c r="R32" s="378"/>
      <c r="S32" s="380"/>
      <c r="T32" s="396"/>
      <c r="U32" s="300"/>
      <c r="V32" s="300"/>
      <c r="W32" s="300"/>
      <c r="X32" s="300"/>
      <c r="Y32" s="300"/>
      <c r="Z32" s="300"/>
      <c r="AA32" s="300"/>
      <c r="AB32" s="300"/>
      <c r="AC32" s="300"/>
      <c r="AD32" s="300"/>
      <c r="AE32" s="300"/>
      <c r="AF32" s="300"/>
      <c r="AG32" s="300"/>
      <c r="AH32" s="300"/>
      <c r="AI32" s="300"/>
      <c r="AJ32" s="300"/>
      <c r="AK32" s="479"/>
    </row>
    <row r="33">
      <c r="A33" s="395"/>
      <c r="B33" s="396"/>
      <c r="C33" s="300"/>
      <c r="D33" s="398"/>
      <c r="E33" s="396"/>
      <c r="F33" s="300"/>
      <c r="G33" s="398"/>
      <c r="H33" s="396"/>
      <c r="I33" s="300"/>
      <c r="J33" s="398"/>
      <c r="K33" s="396"/>
      <c r="L33" s="300"/>
      <c r="M33" s="398"/>
      <c r="N33" s="396"/>
      <c r="O33" s="300"/>
      <c r="P33" s="398"/>
      <c r="Q33" s="300"/>
      <c r="R33" s="300"/>
      <c r="S33" s="398"/>
      <c r="T33" s="396"/>
      <c r="U33" s="300"/>
      <c r="V33" s="413" t="s">
        <v>497</v>
      </c>
      <c r="W33" s="305"/>
      <c r="X33" s="305"/>
      <c r="Y33" s="305"/>
      <c r="Z33" s="305"/>
      <c r="AA33" s="305"/>
      <c r="AB33" s="305"/>
      <c r="AC33" s="305"/>
      <c r="AD33" s="305"/>
      <c r="AE33" s="305"/>
      <c r="AF33" s="305"/>
      <c r="AG33" s="305"/>
      <c r="AH33" s="305"/>
      <c r="AI33" s="306"/>
      <c r="AJ33" s="300"/>
      <c r="AK33" s="479"/>
    </row>
    <row r="34">
      <c r="A34" s="395"/>
      <c r="B34" s="385"/>
      <c r="C34" s="387"/>
      <c r="D34" s="389"/>
      <c r="E34" s="385"/>
      <c r="F34" s="387"/>
      <c r="G34" s="389"/>
      <c r="H34" s="385"/>
      <c r="I34" s="387"/>
      <c r="J34" s="389"/>
      <c r="K34" s="385"/>
      <c r="L34" s="387"/>
      <c r="M34" s="389"/>
      <c r="N34" s="385"/>
      <c r="O34" s="387"/>
      <c r="P34" s="389"/>
      <c r="Q34" s="387"/>
      <c r="R34" s="387"/>
      <c r="S34" s="389"/>
      <c r="T34" s="396"/>
      <c r="U34" s="300"/>
      <c r="V34" s="331"/>
      <c r="W34" s="332"/>
      <c r="X34" s="332"/>
      <c r="Y34" s="332"/>
      <c r="Z34" s="332"/>
      <c r="AA34" s="332"/>
      <c r="AB34" s="332"/>
      <c r="AC34" s="332"/>
      <c r="AD34" s="332"/>
      <c r="AE34" s="332"/>
      <c r="AF34" s="332"/>
      <c r="AG34" s="332"/>
      <c r="AH34" s="332"/>
      <c r="AI34" s="333"/>
      <c r="AJ34" s="300"/>
      <c r="AK34" s="479"/>
    </row>
    <row r="35">
      <c r="A35" s="395"/>
      <c r="B35" s="405"/>
      <c r="C35" s="395"/>
      <c r="D35" s="395"/>
      <c r="E35" s="395"/>
      <c r="F35" s="395"/>
      <c r="G35" s="395"/>
      <c r="H35" s="395"/>
      <c r="I35" s="395"/>
      <c r="J35" s="395"/>
      <c r="K35" s="395"/>
      <c r="L35" s="395"/>
      <c r="M35" s="395"/>
      <c r="N35" s="395"/>
      <c r="O35" s="395"/>
      <c r="P35" s="395"/>
      <c r="Q35" s="395"/>
      <c r="R35" s="395"/>
      <c r="S35" s="395"/>
      <c r="T35" s="396"/>
      <c r="U35" s="300"/>
      <c r="V35" s="300"/>
      <c r="W35" s="300"/>
      <c r="X35" s="300"/>
      <c r="Y35" s="300"/>
      <c r="Z35" s="300"/>
      <c r="AA35" s="300"/>
      <c r="AB35" s="300"/>
      <c r="AC35" s="300"/>
      <c r="AD35" s="300"/>
      <c r="AE35" s="300"/>
      <c r="AF35" s="300"/>
      <c r="AG35" s="300"/>
      <c r="AH35" s="300"/>
      <c r="AI35" s="300"/>
      <c r="AJ35" s="300"/>
      <c r="AK35" s="479"/>
    </row>
    <row r="36">
      <c r="A36" s="395"/>
      <c r="B36" s="405"/>
      <c r="C36" s="485" t="s">
        <v>444</v>
      </c>
      <c r="D36" s="305"/>
      <c r="E36" s="305"/>
      <c r="F36" s="305"/>
      <c r="G36" s="306"/>
      <c r="H36" s="395"/>
      <c r="I36" s="395"/>
      <c r="J36" s="395"/>
      <c r="K36" s="395"/>
      <c r="L36" s="395"/>
      <c r="M36" s="395"/>
      <c r="N36" s="395"/>
      <c r="O36" s="395"/>
      <c r="P36" s="395"/>
      <c r="Q36" s="395"/>
      <c r="R36" s="395"/>
      <c r="S36" s="395"/>
      <c r="T36" s="396"/>
      <c r="U36" s="300"/>
      <c r="V36" s="300"/>
      <c r="W36" s="395"/>
      <c r="X36" s="395"/>
      <c r="Y36" s="395"/>
      <c r="Z36" s="395"/>
      <c r="AA36" s="395"/>
      <c r="AB36" s="300"/>
      <c r="AC36" s="300"/>
      <c r="AD36" s="395"/>
      <c r="AE36" s="485" t="s">
        <v>446</v>
      </c>
      <c r="AF36" s="305"/>
      <c r="AG36" s="305"/>
      <c r="AH36" s="305"/>
      <c r="AI36" s="306"/>
      <c r="AJ36" s="300"/>
      <c r="AK36" s="479"/>
    </row>
    <row r="37">
      <c r="A37" s="395"/>
      <c r="B37" s="405"/>
      <c r="C37" s="331"/>
      <c r="D37" s="332"/>
      <c r="E37" s="332"/>
      <c r="F37" s="332"/>
      <c r="G37" s="333"/>
      <c r="H37" s="395"/>
      <c r="I37" s="395"/>
      <c r="J37" s="395"/>
      <c r="K37" s="395"/>
      <c r="L37" s="395"/>
      <c r="M37" s="395"/>
      <c r="N37" s="395"/>
      <c r="O37" s="395"/>
      <c r="P37" s="395"/>
      <c r="Q37" s="395"/>
      <c r="R37" s="395"/>
      <c r="S37" s="395"/>
      <c r="T37" s="396"/>
      <c r="U37" s="300"/>
      <c r="V37" s="300"/>
      <c r="W37" s="395"/>
      <c r="X37" s="395"/>
      <c r="Y37" s="395"/>
      <c r="Z37" s="395"/>
      <c r="AA37" s="395"/>
      <c r="AB37" s="300"/>
      <c r="AC37" s="300"/>
      <c r="AD37" s="395"/>
      <c r="AE37" s="331"/>
      <c r="AF37" s="332"/>
      <c r="AG37" s="332"/>
      <c r="AH37" s="332"/>
      <c r="AI37" s="333"/>
      <c r="AJ37" s="300"/>
      <c r="AK37" s="479"/>
    </row>
    <row r="38">
      <c r="A38" s="395"/>
      <c r="B38" s="474"/>
      <c r="C38" s="475"/>
      <c r="D38" s="475"/>
      <c r="E38" s="395"/>
      <c r="F38" s="395"/>
      <c r="G38" s="395"/>
      <c r="H38" s="395"/>
      <c r="I38" s="395"/>
      <c r="J38" s="395"/>
      <c r="K38" s="395"/>
      <c r="L38" s="395"/>
      <c r="M38" s="395"/>
      <c r="N38" s="395"/>
      <c r="O38" s="395"/>
      <c r="P38" s="395"/>
      <c r="Q38" s="395"/>
      <c r="R38" s="395"/>
      <c r="S38" s="395"/>
      <c r="T38" s="385"/>
      <c r="U38" s="387"/>
      <c r="V38" s="387"/>
      <c r="W38" s="387"/>
      <c r="X38" s="387"/>
      <c r="Y38" s="387"/>
      <c r="Z38" s="387"/>
      <c r="AA38" s="387"/>
      <c r="AB38" s="387"/>
      <c r="AC38" s="387"/>
      <c r="AD38" s="387"/>
      <c r="AE38" s="387"/>
      <c r="AF38" s="387"/>
      <c r="AG38" s="387"/>
      <c r="AH38" s="387"/>
      <c r="AI38" s="387"/>
      <c r="AJ38" s="387"/>
      <c r="AK38" s="492"/>
    </row>
    <row r="39">
      <c r="A39" s="395"/>
      <c r="B39" s="391" t="s">
        <v>499</v>
      </c>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9"/>
    </row>
    <row r="40">
      <c r="A40" s="395"/>
      <c r="B40" s="394"/>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30"/>
    </row>
    <row r="41">
      <c r="A41" s="395"/>
      <c r="B41" s="395"/>
      <c r="C41" s="395"/>
      <c r="D41" s="395"/>
      <c r="E41" s="395"/>
      <c r="F41" s="395"/>
      <c r="G41" s="395"/>
      <c r="H41" s="395"/>
      <c r="I41" s="395"/>
      <c r="J41" s="395"/>
      <c r="K41" s="395"/>
      <c r="L41" s="395"/>
      <c r="M41" s="395"/>
      <c r="N41" s="395"/>
      <c r="O41" s="395"/>
      <c r="P41" s="395"/>
      <c r="Q41" s="395"/>
      <c r="R41" s="395"/>
      <c r="S41" s="395"/>
      <c r="T41" s="395"/>
      <c r="U41" s="395"/>
      <c r="V41" s="395"/>
      <c r="W41" s="395"/>
      <c r="X41" s="395"/>
      <c r="Y41" s="395"/>
      <c r="Z41" s="395"/>
      <c r="AA41" s="395"/>
      <c r="AB41" s="395"/>
      <c r="AC41" s="395"/>
      <c r="AD41" s="395"/>
      <c r="AE41" s="395"/>
      <c r="AF41" s="395"/>
      <c r="AG41" s="395"/>
      <c r="AH41" s="395"/>
      <c r="AI41" s="395"/>
      <c r="AJ41" s="395"/>
      <c r="AK41" s="395"/>
    </row>
    <row r="42">
      <c r="A42" s="395"/>
      <c r="B42" s="395"/>
      <c r="C42" s="395"/>
      <c r="D42" s="395"/>
      <c r="E42" s="395"/>
      <c r="F42" s="395"/>
      <c r="G42" s="395"/>
      <c r="H42" s="395"/>
      <c r="I42" s="395"/>
      <c r="J42" s="395"/>
      <c r="K42" s="395"/>
      <c r="L42" s="395"/>
      <c r="M42" s="395"/>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395"/>
    </row>
    <row r="43">
      <c r="A43" s="395"/>
      <c r="B43" s="395"/>
      <c r="C43" s="395"/>
      <c r="D43" s="395"/>
      <c r="E43" s="395"/>
      <c r="F43" s="395"/>
      <c r="G43" s="395"/>
      <c r="H43" s="395"/>
      <c r="I43" s="395"/>
      <c r="J43" s="395"/>
      <c r="K43" s="395"/>
      <c r="L43" s="395"/>
      <c r="M43" s="395"/>
      <c r="N43" s="395"/>
      <c r="O43" s="395"/>
      <c r="P43" s="395"/>
      <c r="Q43" s="395"/>
      <c r="R43" s="395"/>
      <c r="S43" s="395"/>
      <c r="T43" s="395"/>
      <c r="U43" s="395"/>
      <c r="V43" s="395"/>
      <c r="W43" s="395"/>
      <c r="X43" s="395"/>
      <c r="Y43" s="395"/>
      <c r="Z43" s="395"/>
      <c r="AA43" s="395"/>
      <c r="AB43" s="395"/>
      <c r="AC43" s="395"/>
      <c r="AD43" s="395"/>
      <c r="AE43" s="395"/>
      <c r="AF43" s="395"/>
      <c r="AG43" s="395"/>
      <c r="AH43" s="395"/>
      <c r="AI43" s="395"/>
      <c r="AJ43" s="395"/>
      <c r="AK43" s="395"/>
    </row>
    <row r="44">
      <c r="A44" s="395"/>
      <c r="B44" s="395"/>
      <c r="C44" s="395"/>
      <c r="D44" s="395"/>
      <c r="E44" s="395"/>
      <c r="F44" s="395"/>
      <c r="G44" s="395"/>
      <c r="H44" s="395"/>
      <c r="I44" s="395"/>
      <c r="J44" s="395"/>
      <c r="K44" s="395"/>
      <c r="L44" s="395"/>
      <c r="M44" s="39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395"/>
    </row>
    <row r="45">
      <c r="A45" s="395"/>
      <c r="B45" s="395"/>
      <c r="C45" s="395"/>
      <c r="D45" s="395"/>
      <c r="E45" s="395"/>
      <c r="F45" s="395"/>
      <c r="G45" s="395"/>
      <c r="H45" s="395"/>
      <c r="I45" s="395"/>
      <c r="J45" s="395"/>
      <c r="K45" s="395"/>
      <c r="L45" s="395"/>
      <c r="M45" s="395"/>
      <c r="N45" s="395"/>
      <c r="O45" s="395"/>
      <c r="P45" s="395"/>
      <c r="Q45" s="395"/>
      <c r="R45" s="395"/>
      <c r="S45" s="395"/>
      <c r="T45" s="395"/>
      <c r="U45" s="395"/>
      <c r="V45" s="395"/>
      <c r="W45" s="395"/>
      <c r="X45" s="395"/>
      <c r="Y45" s="395"/>
      <c r="Z45" s="395"/>
      <c r="AA45" s="395"/>
      <c r="AB45" s="395"/>
      <c r="AC45" s="395"/>
      <c r="AD45" s="395"/>
      <c r="AE45" s="395"/>
      <c r="AF45" s="395"/>
      <c r="AG45" s="395"/>
      <c r="AH45" s="395"/>
      <c r="AI45" s="395"/>
      <c r="AJ45" s="395"/>
      <c r="AK45" s="395"/>
    </row>
    <row r="46">
      <c r="A46" s="395"/>
      <c r="B46" s="395"/>
      <c r="C46" s="395"/>
      <c r="D46" s="395"/>
      <c r="E46" s="395"/>
      <c r="F46" s="395"/>
      <c r="G46" s="395"/>
      <c r="H46" s="395"/>
      <c r="I46" s="395"/>
      <c r="J46" s="395"/>
      <c r="K46" s="395"/>
      <c r="L46" s="395"/>
      <c r="M46" s="395"/>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row>
    <row r="47">
      <c r="A47" s="395"/>
      <c r="B47" s="395"/>
      <c r="C47" s="395"/>
      <c r="D47" s="395"/>
      <c r="E47" s="395"/>
      <c r="F47" s="395"/>
      <c r="G47" s="395"/>
      <c r="H47" s="395"/>
      <c r="I47" s="395"/>
      <c r="J47" s="395"/>
      <c r="K47" s="395"/>
      <c r="L47" s="395"/>
      <c r="M47" s="395"/>
      <c r="N47" s="395"/>
      <c r="O47" s="395"/>
      <c r="P47" s="395"/>
      <c r="Q47" s="395"/>
      <c r="R47" s="395"/>
      <c r="S47" s="395"/>
      <c r="T47" s="395"/>
      <c r="U47" s="395"/>
      <c r="V47" s="395"/>
      <c r="W47" s="395"/>
      <c r="X47" s="395"/>
      <c r="Y47" s="395"/>
      <c r="Z47" s="395"/>
      <c r="AA47" s="395"/>
      <c r="AB47" s="395"/>
      <c r="AC47" s="395"/>
      <c r="AD47" s="395"/>
      <c r="AE47" s="395"/>
      <c r="AF47" s="395"/>
      <c r="AG47" s="395"/>
      <c r="AH47" s="395"/>
      <c r="AI47" s="395"/>
      <c r="AJ47" s="395"/>
      <c r="AK47" s="395"/>
    </row>
    <row r="48">
      <c r="A48" s="395"/>
      <c r="B48" s="395"/>
      <c r="C48" s="395"/>
      <c r="D48" s="395"/>
      <c r="E48" s="395"/>
      <c r="F48" s="395"/>
      <c r="G48" s="395"/>
      <c r="H48" s="395"/>
      <c r="I48" s="395"/>
      <c r="J48" s="395"/>
      <c r="K48" s="395"/>
      <c r="L48" s="395"/>
      <c r="M48" s="395"/>
      <c r="N48" s="395"/>
      <c r="O48" s="395"/>
      <c r="P48" s="395"/>
      <c r="Q48" s="395"/>
      <c r="R48" s="395"/>
      <c r="S48" s="395"/>
      <c r="T48" s="395"/>
      <c r="U48" s="395"/>
      <c r="V48" s="395"/>
      <c r="W48" s="395"/>
      <c r="X48" s="395"/>
      <c r="Y48" s="395"/>
      <c r="Z48" s="395"/>
      <c r="AA48" s="395"/>
      <c r="AB48" s="395"/>
      <c r="AC48" s="395"/>
      <c r="AD48" s="395"/>
      <c r="AE48" s="395"/>
      <c r="AF48" s="395"/>
      <c r="AG48" s="395"/>
      <c r="AH48" s="395"/>
      <c r="AI48" s="395"/>
      <c r="AJ48" s="395"/>
      <c r="AK48" s="395"/>
    </row>
    <row r="49">
      <c r="A49" s="395"/>
      <c r="B49" s="395"/>
      <c r="C49" s="395"/>
      <c r="D49" s="395"/>
      <c r="E49" s="395"/>
      <c r="F49" s="395"/>
      <c r="G49" s="395"/>
      <c r="H49" s="395"/>
      <c r="I49" s="395"/>
      <c r="J49" s="395"/>
      <c r="K49" s="395"/>
      <c r="L49" s="395"/>
      <c r="M49" s="395"/>
      <c r="N49" s="395"/>
      <c r="O49" s="395"/>
      <c r="P49" s="395"/>
      <c r="Q49" s="395"/>
      <c r="R49" s="395"/>
      <c r="S49" s="395"/>
      <c r="T49" s="395"/>
      <c r="U49" s="395"/>
      <c r="V49" s="395"/>
      <c r="W49" s="395"/>
      <c r="X49" s="395"/>
      <c r="Y49" s="395"/>
      <c r="Z49" s="395"/>
      <c r="AA49" s="395"/>
      <c r="AB49" s="395"/>
      <c r="AC49" s="395"/>
      <c r="AD49" s="395"/>
      <c r="AE49" s="395"/>
      <c r="AF49" s="395"/>
      <c r="AG49" s="395"/>
      <c r="AH49" s="395"/>
      <c r="AI49" s="395"/>
      <c r="AJ49" s="395"/>
      <c r="AK49" s="395"/>
    </row>
    <row r="50">
      <c r="A50" s="395"/>
      <c r="B50" s="395"/>
      <c r="C50" s="395"/>
      <c r="D50" s="395"/>
      <c r="E50" s="395"/>
      <c r="F50" s="395"/>
      <c r="G50" s="395"/>
      <c r="H50" s="395"/>
      <c r="I50" s="395"/>
      <c r="J50" s="395"/>
      <c r="K50" s="395"/>
      <c r="L50" s="395"/>
      <c r="M50" s="395"/>
      <c r="N50" s="395"/>
      <c r="O50" s="395"/>
      <c r="P50" s="395"/>
      <c r="Q50" s="395"/>
      <c r="R50" s="395"/>
      <c r="S50" s="395"/>
      <c r="T50" s="395"/>
      <c r="U50" s="395"/>
      <c r="V50" s="395"/>
      <c r="W50" s="395"/>
      <c r="X50" s="395"/>
      <c r="Y50" s="395"/>
      <c r="Z50" s="395"/>
      <c r="AA50" s="395"/>
      <c r="AB50" s="395"/>
      <c r="AC50" s="395"/>
      <c r="AD50" s="395"/>
      <c r="AE50" s="395"/>
      <c r="AF50" s="395"/>
      <c r="AG50" s="395"/>
      <c r="AH50" s="395"/>
      <c r="AI50" s="395"/>
      <c r="AJ50" s="395"/>
      <c r="AK50" s="395"/>
    </row>
    <row r="51">
      <c r="A51" s="395"/>
      <c r="B51" s="395"/>
      <c r="C51" s="395"/>
      <c r="D51" s="395"/>
      <c r="E51" s="395"/>
      <c r="F51" s="395"/>
      <c r="G51" s="395"/>
      <c r="H51" s="395"/>
      <c r="I51" s="395"/>
      <c r="J51" s="395"/>
      <c r="K51" s="395"/>
      <c r="L51" s="395"/>
      <c r="M51" s="395"/>
      <c r="N51" s="395"/>
      <c r="O51" s="395"/>
      <c r="P51" s="395"/>
      <c r="Q51" s="395"/>
      <c r="R51" s="395"/>
      <c r="S51" s="395"/>
      <c r="T51" s="395"/>
      <c r="U51" s="395"/>
      <c r="V51" s="395"/>
      <c r="W51" s="395"/>
      <c r="X51" s="395"/>
      <c r="Y51" s="395"/>
      <c r="Z51" s="395"/>
      <c r="AA51" s="395"/>
      <c r="AB51" s="395"/>
      <c r="AC51" s="395"/>
      <c r="AD51" s="395"/>
      <c r="AE51" s="395"/>
      <c r="AF51" s="395"/>
      <c r="AG51" s="395"/>
      <c r="AH51" s="395"/>
      <c r="AI51" s="395"/>
      <c r="AJ51" s="395"/>
      <c r="AK51" s="395"/>
    </row>
    <row r="52">
      <c r="A52" s="395"/>
      <c r="B52" s="395"/>
      <c r="C52" s="395"/>
      <c r="D52" s="395"/>
      <c r="E52" s="395"/>
      <c r="F52" s="395"/>
      <c r="G52" s="395"/>
      <c r="H52" s="395"/>
      <c r="I52" s="395"/>
      <c r="J52" s="395"/>
      <c r="K52" s="395"/>
      <c r="L52" s="395"/>
      <c r="M52" s="395"/>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row>
    <row r="53">
      <c r="A53" s="395"/>
      <c r="B53" s="395"/>
      <c r="C53" s="395"/>
      <c r="D53" s="395"/>
      <c r="E53" s="395"/>
      <c r="F53" s="395"/>
      <c r="G53" s="395"/>
      <c r="H53" s="395"/>
      <c r="I53" s="395"/>
      <c r="J53" s="395"/>
      <c r="K53" s="395"/>
      <c r="L53" s="395"/>
      <c r="M53" s="395"/>
      <c r="N53" s="395"/>
      <c r="O53" s="395"/>
      <c r="P53" s="395"/>
      <c r="Q53" s="395"/>
      <c r="R53" s="395"/>
      <c r="S53" s="395"/>
      <c r="T53" s="395"/>
      <c r="U53" s="395"/>
      <c r="V53" s="395"/>
      <c r="W53" s="395"/>
      <c r="X53" s="395"/>
      <c r="Y53" s="395"/>
      <c r="Z53" s="395"/>
      <c r="AA53" s="395"/>
      <c r="AB53" s="395"/>
      <c r="AC53" s="395"/>
      <c r="AD53" s="395"/>
      <c r="AE53" s="395"/>
      <c r="AF53" s="395"/>
      <c r="AG53" s="395"/>
      <c r="AH53" s="395"/>
      <c r="AI53" s="395"/>
      <c r="AJ53" s="395"/>
      <c r="AK53" s="395"/>
    </row>
    <row r="54">
      <c r="A54" s="395"/>
      <c r="B54" s="395"/>
      <c r="C54" s="395"/>
      <c r="D54" s="395"/>
      <c r="E54" s="395"/>
      <c r="F54" s="395"/>
      <c r="G54" s="395"/>
      <c r="H54" s="395"/>
      <c r="I54" s="395"/>
      <c r="J54" s="395"/>
      <c r="K54" s="395"/>
      <c r="L54" s="395"/>
      <c r="M54" s="395"/>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row>
    <row r="55">
      <c r="A55" s="395"/>
      <c r="B55" s="395"/>
      <c r="C55" s="395"/>
      <c r="D55" s="395"/>
      <c r="E55" s="395"/>
      <c r="F55" s="395"/>
      <c r="G55" s="395"/>
      <c r="H55" s="395"/>
      <c r="I55" s="395"/>
      <c r="J55" s="395"/>
      <c r="K55" s="395"/>
      <c r="L55" s="395"/>
      <c r="M55" s="395"/>
      <c r="N55" s="395"/>
      <c r="O55" s="395"/>
      <c r="P55" s="395"/>
      <c r="Q55" s="395"/>
      <c r="R55" s="395"/>
      <c r="S55" s="395"/>
      <c r="T55" s="395"/>
      <c r="U55" s="395"/>
      <c r="V55" s="395"/>
      <c r="W55" s="395"/>
      <c r="X55" s="395"/>
      <c r="Y55" s="395"/>
      <c r="Z55" s="395"/>
      <c r="AA55" s="395"/>
      <c r="AB55" s="395"/>
      <c r="AC55" s="395"/>
      <c r="AD55" s="395"/>
      <c r="AE55" s="395"/>
      <c r="AF55" s="395"/>
      <c r="AG55" s="395"/>
      <c r="AH55" s="395"/>
      <c r="AI55" s="395"/>
      <c r="AJ55" s="395"/>
      <c r="AK55" s="395"/>
    </row>
    <row r="56">
      <c r="A56" s="395"/>
      <c r="B56" s="395"/>
      <c r="C56" s="395"/>
      <c r="D56" s="395"/>
      <c r="E56" s="395"/>
      <c r="F56" s="395"/>
      <c r="G56" s="395"/>
      <c r="H56" s="395"/>
      <c r="I56" s="395"/>
      <c r="J56" s="395"/>
      <c r="K56" s="395"/>
      <c r="L56" s="395"/>
      <c r="M56" s="395"/>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row>
    <row r="57">
      <c r="A57" s="395"/>
      <c r="B57" s="395"/>
      <c r="C57" s="395"/>
      <c r="D57" s="395"/>
      <c r="E57" s="395"/>
      <c r="F57" s="395"/>
      <c r="G57" s="395"/>
      <c r="H57" s="395"/>
      <c r="I57" s="395"/>
      <c r="J57" s="395"/>
      <c r="K57" s="395"/>
      <c r="L57" s="395"/>
      <c r="M57" s="395"/>
      <c r="N57" s="395"/>
      <c r="O57" s="395"/>
      <c r="P57" s="395"/>
      <c r="Q57" s="395"/>
      <c r="R57" s="395"/>
      <c r="S57" s="395"/>
      <c r="T57" s="395"/>
      <c r="U57" s="395"/>
      <c r="V57" s="395"/>
      <c r="W57" s="395"/>
      <c r="X57" s="395"/>
      <c r="Y57" s="395"/>
      <c r="Z57" s="395"/>
      <c r="AA57" s="395"/>
      <c r="AB57" s="395"/>
      <c r="AC57" s="395"/>
      <c r="AD57" s="395"/>
      <c r="AE57" s="395"/>
      <c r="AF57" s="395"/>
      <c r="AG57" s="395"/>
      <c r="AH57" s="395"/>
      <c r="AI57" s="395"/>
      <c r="AJ57" s="395"/>
      <c r="AK57" s="395"/>
    </row>
    <row r="58">
      <c r="A58" s="395"/>
      <c r="B58" s="395"/>
      <c r="C58" s="395"/>
      <c r="D58" s="395"/>
      <c r="E58" s="395"/>
      <c r="F58" s="395"/>
      <c r="G58" s="395"/>
      <c r="H58" s="395"/>
      <c r="I58" s="395"/>
      <c r="J58" s="395"/>
      <c r="K58" s="395"/>
      <c r="L58" s="395"/>
      <c r="M58" s="395"/>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row>
    <row r="59">
      <c r="A59" s="395"/>
      <c r="B59" s="395"/>
      <c r="C59" s="395"/>
      <c r="D59" s="395"/>
      <c r="E59" s="395"/>
      <c r="F59" s="395"/>
      <c r="G59" s="395"/>
      <c r="H59" s="395"/>
      <c r="I59" s="395"/>
      <c r="J59" s="395"/>
      <c r="K59" s="395"/>
      <c r="L59" s="395"/>
      <c r="M59" s="395"/>
      <c r="N59" s="395"/>
      <c r="O59" s="395"/>
      <c r="P59" s="395"/>
      <c r="Q59" s="395"/>
      <c r="R59" s="395"/>
      <c r="S59" s="395"/>
      <c r="T59" s="395"/>
      <c r="U59" s="395"/>
      <c r="V59" s="395"/>
      <c r="W59" s="395"/>
      <c r="X59" s="395"/>
      <c r="Y59" s="395"/>
      <c r="Z59" s="395"/>
      <c r="AA59" s="395"/>
      <c r="AB59" s="395"/>
      <c r="AC59" s="395"/>
      <c r="AD59" s="395"/>
      <c r="AE59" s="395"/>
      <c r="AF59" s="395"/>
      <c r="AG59" s="395"/>
      <c r="AH59" s="395"/>
      <c r="AI59" s="395"/>
      <c r="AJ59" s="395"/>
      <c r="AK59" s="395"/>
    </row>
    <row r="60">
      <c r="A60" s="395"/>
      <c r="B60" s="395"/>
      <c r="C60" s="395"/>
      <c r="D60" s="395"/>
      <c r="E60" s="395"/>
      <c r="F60" s="395"/>
      <c r="G60" s="395"/>
      <c r="H60" s="395"/>
      <c r="I60" s="395"/>
      <c r="J60" s="395"/>
      <c r="K60" s="395"/>
      <c r="L60" s="395"/>
      <c r="M60" s="395"/>
      <c r="N60" s="395"/>
      <c r="O60" s="395"/>
      <c r="P60" s="395"/>
      <c r="Q60" s="395"/>
      <c r="R60" s="395"/>
      <c r="S60" s="395"/>
      <c r="T60" s="395"/>
      <c r="U60" s="395"/>
      <c r="V60" s="395"/>
      <c r="W60" s="395"/>
      <c r="X60" s="395"/>
      <c r="Y60" s="395"/>
      <c r="Z60" s="395"/>
      <c r="AA60" s="395"/>
      <c r="AB60" s="395"/>
      <c r="AC60" s="395"/>
      <c r="AD60" s="395"/>
      <c r="AE60" s="395"/>
      <c r="AF60" s="395"/>
      <c r="AG60" s="395"/>
      <c r="AH60" s="395"/>
      <c r="AI60" s="395"/>
      <c r="AJ60" s="395"/>
      <c r="AK60" s="395"/>
    </row>
    <row r="61">
      <c r="A61" s="395"/>
      <c r="B61" s="395"/>
      <c r="C61" s="395"/>
      <c r="D61" s="395"/>
      <c r="E61" s="395"/>
      <c r="F61" s="395"/>
      <c r="G61" s="395"/>
      <c r="H61" s="395"/>
      <c r="I61" s="395"/>
      <c r="J61" s="395"/>
      <c r="K61" s="395"/>
      <c r="L61" s="395"/>
      <c r="M61" s="395"/>
      <c r="N61" s="395"/>
      <c r="O61" s="395"/>
      <c r="P61" s="395"/>
      <c r="Q61" s="395"/>
      <c r="R61" s="395"/>
      <c r="S61" s="395"/>
      <c r="T61" s="395"/>
      <c r="U61" s="395"/>
      <c r="V61" s="395"/>
      <c r="W61" s="395"/>
      <c r="X61" s="395"/>
      <c r="Y61" s="395"/>
      <c r="Z61" s="395"/>
      <c r="AA61" s="395"/>
      <c r="AB61" s="395"/>
      <c r="AC61" s="395"/>
      <c r="AD61" s="395"/>
      <c r="AE61" s="395"/>
      <c r="AF61" s="395"/>
      <c r="AG61" s="395"/>
      <c r="AH61" s="395"/>
      <c r="AI61" s="395"/>
      <c r="AJ61" s="395"/>
      <c r="AK61" s="395"/>
    </row>
    <row r="62">
      <c r="A62" s="395"/>
      <c r="B62" s="395"/>
      <c r="C62" s="395"/>
      <c r="D62" s="395"/>
      <c r="E62" s="395"/>
      <c r="F62" s="395"/>
      <c r="G62" s="395"/>
      <c r="H62" s="395"/>
      <c r="I62" s="395"/>
      <c r="J62" s="395"/>
      <c r="K62" s="395"/>
      <c r="L62" s="395"/>
      <c r="M62" s="395"/>
      <c r="N62" s="395"/>
      <c r="O62" s="395"/>
      <c r="P62" s="395"/>
      <c r="Q62" s="395"/>
      <c r="R62" s="395"/>
      <c r="S62" s="395"/>
      <c r="T62" s="395"/>
      <c r="U62" s="395"/>
      <c r="V62" s="395"/>
      <c r="W62" s="395"/>
      <c r="X62" s="395"/>
      <c r="Y62" s="395"/>
      <c r="Z62" s="395"/>
      <c r="AA62" s="395"/>
      <c r="AB62" s="395"/>
      <c r="AC62" s="395"/>
      <c r="AD62" s="395"/>
      <c r="AE62" s="395"/>
      <c r="AF62" s="395"/>
      <c r="AG62" s="395"/>
      <c r="AH62" s="395"/>
      <c r="AI62" s="395"/>
      <c r="AJ62" s="395"/>
      <c r="AK62" s="395"/>
    </row>
    <row r="63">
      <c r="A63" s="395"/>
      <c r="B63" s="395"/>
      <c r="C63" s="395"/>
      <c r="D63" s="395"/>
      <c r="E63" s="395"/>
      <c r="F63" s="395"/>
      <c r="G63" s="395"/>
      <c r="H63" s="395"/>
      <c r="I63" s="395"/>
      <c r="J63" s="395"/>
      <c r="K63" s="395"/>
      <c r="L63" s="395"/>
      <c r="M63" s="395"/>
      <c r="N63" s="395"/>
      <c r="O63" s="395"/>
      <c r="P63" s="395"/>
      <c r="Q63" s="395"/>
      <c r="R63" s="395"/>
      <c r="S63" s="395"/>
      <c r="T63" s="395"/>
      <c r="U63" s="395"/>
      <c r="V63" s="395"/>
      <c r="W63" s="395"/>
      <c r="X63" s="395"/>
      <c r="Y63" s="395"/>
      <c r="Z63" s="395"/>
      <c r="AA63" s="395"/>
      <c r="AB63" s="395"/>
      <c r="AC63" s="395"/>
      <c r="AD63" s="395"/>
      <c r="AE63" s="395"/>
      <c r="AF63" s="395"/>
      <c r="AG63" s="395"/>
      <c r="AH63" s="395"/>
      <c r="AI63" s="395"/>
      <c r="AJ63" s="395"/>
      <c r="AK63" s="395"/>
    </row>
    <row r="64">
      <c r="A64" s="395"/>
      <c r="B64" s="395"/>
      <c r="C64" s="395"/>
      <c r="D64" s="395"/>
      <c r="E64" s="395"/>
      <c r="F64" s="395"/>
      <c r="G64" s="395"/>
      <c r="H64" s="395"/>
      <c r="I64" s="395"/>
      <c r="J64" s="395"/>
      <c r="K64" s="395"/>
      <c r="L64" s="395"/>
      <c r="M64" s="395"/>
      <c r="N64" s="395"/>
      <c r="O64" s="395"/>
      <c r="P64" s="395"/>
      <c r="Q64" s="395"/>
      <c r="R64" s="395"/>
      <c r="S64" s="395"/>
      <c r="T64" s="395"/>
      <c r="U64" s="395"/>
      <c r="V64" s="395"/>
      <c r="W64" s="395"/>
      <c r="X64" s="395"/>
      <c r="Y64" s="395"/>
      <c r="Z64" s="395"/>
      <c r="AA64" s="395"/>
      <c r="AB64" s="395"/>
      <c r="AC64" s="395"/>
      <c r="AD64" s="395"/>
      <c r="AE64" s="395"/>
      <c r="AF64" s="395"/>
      <c r="AG64" s="395"/>
      <c r="AH64" s="395"/>
      <c r="AI64" s="395"/>
      <c r="AJ64" s="395"/>
      <c r="AK64" s="395"/>
    </row>
    <row r="65">
      <c r="A65" s="395"/>
      <c r="B65" s="395"/>
      <c r="C65" s="395"/>
      <c r="D65" s="395"/>
      <c r="E65" s="395"/>
      <c r="F65" s="395"/>
      <c r="G65" s="395"/>
      <c r="H65" s="395"/>
      <c r="I65" s="395"/>
      <c r="J65" s="395"/>
      <c r="K65" s="395"/>
      <c r="L65" s="395"/>
      <c r="M65" s="395"/>
      <c r="N65" s="395"/>
      <c r="O65" s="395"/>
      <c r="P65" s="395"/>
      <c r="Q65" s="395"/>
      <c r="R65" s="395"/>
      <c r="S65" s="395"/>
      <c r="T65" s="395"/>
      <c r="U65" s="395"/>
      <c r="V65" s="395"/>
      <c r="W65" s="395"/>
      <c r="X65" s="395"/>
      <c r="Y65" s="395"/>
      <c r="Z65" s="395"/>
      <c r="AA65" s="395"/>
      <c r="AB65" s="395"/>
      <c r="AC65" s="395"/>
      <c r="AD65" s="395"/>
      <c r="AE65" s="395"/>
      <c r="AF65" s="395"/>
      <c r="AG65" s="395"/>
      <c r="AH65" s="395"/>
      <c r="AI65" s="395"/>
      <c r="AJ65" s="395"/>
      <c r="AK65" s="395"/>
    </row>
    <row r="66">
      <c r="A66" s="395"/>
      <c r="B66" s="395"/>
      <c r="C66" s="395"/>
      <c r="D66" s="395"/>
      <c r="E66" s="395"/>
      <c r="F66" s="395"/>
      <c r="G66" s="395"/>
      <c r="H66" s="395"/>
      <c r="I66" s="395"/>
      <c r="J66" s="395"/>
      <c r="K66" s="395"/>
      <c r="L66" s="395"/>
      <c r="M66" s="395"/>
      <c r="N66" s="395"/>
      <c r="O66" s="395"/>
      <c r="P66" s="395"/>
      <c r="Q66" s="395"/>
      <c r="R66" s="395"/>
      <c r="S66" s="395"/>
      <c r="T66" s="395"/>
      <c r="U66" s="395"/>
      <c r="V66" s="395"/>
      <c r="W66" s="395"/>
      <c r="X66" s="395"/>
      <c r="Y66" s="395"/>
      <c r="Z66" s="395"/>
      <c r="AA66" s="395"/>
      <c r="AB66" s="395"/>
      <c r="AC66" s="395"/>
      <c r="AD66" s="395"/>
      <c r="AE66" s="395"/>
      <c r="AF66" s="395"/>
      <c r="AG66" s="395"/>
      <c r="AH66" s="395"/>
      <c r="AI66" s="395"/>
      <c r="AJ66" s="395"/>
      <c r="AK66" s="395"/>
    </row>
    <row r="67">
      <c r="A67" s="395"/>
      <c r="B67" s="395"/>
      <c r="C67" s="395"/>
      <c r="D67" s="395"/>
      <c r="E67" s="395"/>
      <c r="F67" s="395"/>
      <c r="G67" s="395"/>
      <c r="H67" s="395"/>
      <c r="I67" s="395"/>
      <c r="J67" s="395"/>
      <c r="K67" s="395"/>
      <c r="L67" s="395"/>
      <c r="M67" s="395"/>
      <c r="N67" s="395"/>
      <c r="O67" s="395"/>
      <c r="P67" s="395"/>
      <c r="Q67" s="395"/>
      <c r="R67" s="395"/>
      <c r="S67" s="395"/>
      <c r="T67" s="395"/>
      <c r="U67" s="395"/>
      <c r="V67" s="395"/>
      <c r="W67" s="395"/>
      <c r="X67" s="395"/>
      <c r="Y67" s="395"/>
      <c r="Z67" s="395"/>
      <c r="AA67" s="395"/>
      <c r="AB67" s="395"/>
      <c r="AC67" s="395"/>
      <c r="AD67" s="395"/>
      <c r="AE67" s="395"/>
      <c r="AF67" s="395"/>
      <c r="AG67" s="395"/>
      <c r="AH67" s="395"/>
      <c r="AI67" s="395"/>
      <c r="AJ67" s="395"/>
      <c r="AK67" s="395"/>
    </row>
    <row r="68">
      <c r="A68" s="395"/>
      <c r="B68" s="395"/>
      <c r="C68" s="395"/>
      <c r="D68" s="395"/>
      <c r="E68" s="395"/>
      <c r="F68" s="395"/>
      <c r="G68" s="395"/>
      <c r="H68" s="395"/>
      <c r="I68" s="395"/>
      <c r="J68" s="395"/>
      <c r="K68" s="395"/>
      <c r="L68" s="395"/>
      <c r="M68" s="395"/>
      <c r="N68" s="395"/>
      <c r="O68" s="395"/>
      <c r="P68" s="395"/>
      <c r="Q68" s="395"/>
      <c r="R68" s="395"/>
      <c r="S68" s="395"/>
      <c r="T68" s="395"/>
      <c r="U68" s="395"/>
      <c r="V68" s="395"/>
      <c r="W68" s="395"/>
      <c r="X68" s="395"/>
      <c r="Y68" s="395"/>
      <c r="Z68" s="395"/>
      <c r="AA68" s="395"/>
      <c r="AB68" s="395"/>
      <c r="AC68" s="395"/>
      <c r="AD68" s="395"/>
      <c r="AE68" s="395"/>
      <c r="AF68" s="395"/>
      <c r="AG68" s="395"/>
      <c r="AH68" s="395"/>
      <c r="AI68" s="395"/>
      <c r="AJ68" s="395"/>
      <c r="AK68" s="395"/>
    </row>
    <row r="69">
      <c r="A69" s="395"/>
      <c r="B69" s="395"/>
      <c r="C69" s="395"/>
      <c r="D69" s="395"/>
      <c r="E69" s="395"/>
      <c r="F69" s="395"/>
      <c r="G69" s="395"/>
      <c r="H69" s="395"/>
      <c r="I69" s="395"/>
      <c r="J69" s="395"/>
      <c r="K69" s="395"/>
      <c r="L69" s="395"/>
      <c r="M69" s="395"/>
      <c r="N69" s="395"/>
      <c r="O69" s="395"/>
      <c r="P69" s="395"/>
      <c r="Q69" s="395"/>
      <c r="R69" s="395"/>
      <c r="S69" s="395"/>
      <c r="T69" s="395"/>
      <c r="U69" s="395"/>
      <c r="V69" s="395"/>
      <c r="W69" s="395"/>
      <c r="X69" s="395"/>
      <c r="Y69" s="395"/>
      <c r="Z69" s="395"/>
      <c r="AA69" s="395"/>
      <c r="AB69" s="395"/>
      <c r="AC69" s="395"/>
      <c r="AD69" s="395"/>
      <c r="AE69" s="395"/>
      <c r="AF69" s="395"/>
      <c r="AG69" s="395"/>
      <c r="AH69" s="395"/>
      <c r="AI69" s="395"/>
      <c r="AJ69" s="395"/>
      <c r="AK69" s="395"/>
    </row>
    <row r="70">
      <c r="A70" s="395"/>
      <c r="B70" s="395"/>
      <c r="C70" s="395"/>
      <c r="D70" s="395"/>
      <c r="E70" s="395"/>
      <c r="F70" s="395"/>
      <c r="G70" s="395"/>
      <c r="H70" s="395"/>
      <c r="I70" s="395"/>
      <c r="J70" s="395"/>
      <c r="K70" s="395"/>
      <c r="L70" s="395"/>
      <c r="M70" s="395"/>
      <c r="N70" s="395"/>
      <c r="O70" s="395"/>
      <c r="P70" s="395"/>
      <c r="Q70" s="395"/>
      <c r="R70" s="395"/>
      <c r="S70" s="395"/>
      <c r="T70" s="395"/>
      <c r="U70" s="395"/>
      <c r="V70" s="395"/>
      <c r="W70" s="395"/>
      <c r="X70" s="395"/>
      <c r="Y70" s="395"/>
      <c r="Z70" s="395"/>
      <c r="AA70" s="395"/>
      <c r="AB70" s="395"/>
      <c r="AC70" s="395"/>
      <c r="AD70" s="395"/>
      <c r="AE70" s="395"/>
      <c r="AF70" s="395"/>
      <c r="AG70" s="395"/>
      <c r="AH70" s="395"/>
      <c r="AI70" s="395"/>
      <c r="AJ70" s="395"/>
      <c r="AK70" s="395"/>
    </row>
    <row r="71">
      <c r="A71" s="395"/>
      <c r="B71" s="395"/>
      <c r="C71" s="395"/>
      <c r="D71" s="395"/>
      <c r="E71" s="395"/>
      <c r="F71" s="395"/>
      <c r="G71" s="395"/>
      <c r="H71" s="395"/>
      <c r="I71" s="395"/>
      <c r="J71" s="395"/>
      <c r="K71" s="395"/>
      <c r="L71" s="395"/>
      <c r="M71" s="395"/>
      <c r="N71" s="395"/>
      <c r="O71" s="395"/>
      <c r="P71" s="395"/>
      <c r="Q71" s="395"/>
      <c r="R71" s="395"/>
      <c r="S71" s="395"/>
      <c r="T71" s="395"/>
      <c r="U71" s="395"/>
      <c r="V71" s="395"/>
      <c r="W71" s="395"/>
      <c r="X71" s="395"/>
      <c r="Y71" s="395"/>
      <c r="Z71" s="395"/>
      <c r="AA71" s="395"/>
      <c r="AB71" s="395"/>
      <c r="AC71" s="395"/>
      <c r="AD71" s="395"/>
      <c r="AE71" s="395"/>
      <c r="AF71" s="395"/>
      <c r="AG71" s="395"/>
      <c r="AH71" s="395"/>
      <c r="AI71" s="395"/>
      <c r="AJ71" s="395"/>
      <c r="AK71" s="395"/>
    </row>
    <row r="72">
      <c r="A72" s="395"/>
      <c r="B72" s="395"/>
      <c r="C72" s="395"/>
      <c r="D72" s="395"/>
      <c r="E72" s="395"/>
      <c r="F72" s="395"/>
      <c r="G72" s="395"/>
      <c r="H72" s="395"/>
      <c r="I72" s="395"/>
      <c r="J72" s="395"/>
      <c r="K72" s="395"/>
      <c r="L72" s="395"/>
      <c r="M72" s="395"/>
      <c r="N72" s="395"/>
      <c r="O72" s="395"/>
      <c r="P72" s="395"/>
      <c r="Q72" s="395"/>
      <c r="R72" s="395"/>
      <c r="S72" s="395"/>
      <c r="T72" s="395"/>
      <c r="U72" s="395"/>
      <c r="V72" s="395"/>
      <c r="W72" s="395"/>
      <c r="X72" s="395"/>
      <c r="Y72" s="395"/>
      <c r="Z72" s="395"/>
      <c r="AA72" s="395"/>
      <c r="AB72" s="395"/>
      <c r="AC72" s="395"/>
      <c r="AD72" s="395"/>
      <c r="AE72" s="395"/>
      <c r="AF72" s="395"/>
      <c r="AG72" s="395"/>
      <c r="AH72" s="395"/>
      <c r="AI72" s="395"/>
      <c r="AJ72" s="395"/>
      <c r="AK72" s="395"/>
    </row>
    <row r="73">
      <c r="A73" s="395"/>
      <c r="B73" s="395"/>
      <c r="C73" s="395"/>
      <c r="D73" s="395"/>
      <c r="E73" s="395"/>
      <c r="F73" s="395"/>
      <c r="G73" s="395"/>
      <c r="H73" s="395"/>
      <c r="I73" s="395"/>
      <c r="J73" s="395"/>
      <c r="K73" s="395"/>
      <c r="L73" s="395"/>
      <c r="M73" s="395"/>
      <c r="N73" s="395"/>
      <c r="O73" s="395"/>
      <c r="P73" s="395"/>
      <c r="Q73" s="395"/>
      <c r="R73" s="395"/>
      <c r="S73" s="395"/>
      <c r="T73" s="395"/>
      <c r="U73" s="395"/>
      <c r="V73" s="395"/>
      <c r="W73" s="395"/>
      <c r="X73" s="395"/>
      <c r="Y73" s="395"/>
      <c r="Z73" s="395"/>
      <c r="AA73" s="395"/>
      <c r="AB73" s="395"/>
      <c r="AC73" s="395"/>
      <c r="AD73" s="395"/>
      <c r="AE73" s="395"/>
      <c r="AF73" s="395"/>
      <c r="AG73" s="395"/>
      <c r="AH73" s="395"/>
      <c r="AI73" s="395"/>
      <c r="AJ73" s="395"/>
      <c r="AK73" s="395"/>
    </row>
    <row r="74">
      <c r="A74" s="395"/>
      <c r="B74" s="395"/>
      <c r="C74" s="395"/>
      <c r="D74" s="395"/>
      <c r="E74" s="395"/>
      <c r="F74" s="395"/>
      <c r="G74" s="395"/>
      <c r="H74" s="395"/>
      <c r="I74" s="395"/>
      <c r="J74" s="395"/>
      <c r="K74" s="395"/>
      <c r="L74" s="395"/>
      <c r="M74" s="395"/>
      <c r="N74" s="395"/>
      <c r="O74" s="395"/>
      <c r="P74" s="395"/>
      <c r="Q74" s="395"/>
      <c r="R74" s="395"/>
      <c r="S74" s="395"/>
      <c r="T74" s="395"/>
      <c r="U74" s="395"/>
      <c r="V74" s="395"/>
      <c r="W74" s="395"/>
      <c r="X74" s="395"/>
      <c r="Y74" s="395"/>
      <c r="Z74" s="395"/>
      <c r="AA74" s="395"/>
      <c r="AB74" s="395"/>
      <c r="AC74" s="395"/>
      <c r="AD74" s="395"/>
      <c r="AE74" s="395"/>
      <c r="AF74" s="395"/>
      <c r="AG74" s="395"/>
      <c r="AH74" s="395"/>
      <c r="AI74" s="395"/>
      <c r="AJ74" s="395"/>
      <c r="AK74" s="395"/>
    </row>
    <row r="75">
      <c r="A75" s="395"/>
      <c r="B75" s="395"/>
      <c r="C75" s="395"/>
      <c r="D75" s="395"/>
      <c r="E75" s="395"/>
      <c r="F75" s="395"/>
      <c r="G75" s="395"/>
      <c r="H75" s="395"/>
      <c r="I75" s="395"/>
      <c r="J75" s="395"/>
      <c r="K75" s="395"/>
      <c r="L75" s="395"/>
      <c r="M75" s="395"/>
      <c r="N75" s="395"/>
      <c r="O75" s="395"/>
      <c r="P75" s="395"/>
      <c r="Q75" s="395"/>
      <c r="R75" s="395"/>
      <c r="S75" s="395"/>
      <c r="T75" s="395"/>
      <c r="U75" s="395"/>
      <c r="V75" s="395"/>
      <c r="W75" s="395"/>
      <c r="X75" s="395"/>
      <c r="Y75" s="395"/>
      <c r="Z75" s="395"/>
      <c r="AA75" s="395"/>
      <c r="AB75" s="395"/>
      <c r="AC75" s="395"/>
      <c r="AD75" s="395"/>
      <c r="AE75" s="395"/>
      <c r="AF75" s="395"/>
      <c r="AG75" s="395"/>
      <c r="AH75" s="395"/>
      <c r="AI75" s="395"/>
      <c r="AJ75" s="395"/>
      <c r="AK75" s="395"/>
    </row>
    <row r="76">
      <c r="A76" s="395"/>
      <c r="B76" s="395"/>
      <c r="C76" s="395"/>
      <c r="D76" s="395"/>
      <c r="E76" s="395"/>
      <c r="F76" s="395"/>
      <c r="G76" s="395"/>
      <c r="H76" s="395"/>
      <c r="I76" s="395"/>
      <c r="J76" s="395"/>
      <c r="K76" s="395"/>
      <c r="L76" s="395"/>
      <c r="M76" s="395"/>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row>
    <row r="77">
      <c r="A77" s="395"/>
      <c r="B77" s="395"/>
      <c r="C77" s="395"/>
      <c r="D77" s="395"/>
      <c r="E77" s="395"/>
      <c r="F77" s="395"/>
      <c r="G77" s="395"/>
      <c r="H77" s="395"/>
      <c r="I77" s="395"/>
      <c r="J77" s="395"/>
      <c r="K77" s="395"/>
      <c r="L77" s="395"/>
      <c r="M77" s="395"/>
      <c r="N77" s="395"/>
      <c r="O77" s="395"/>
      <c r="P77" s="395"/>
      <c r="Q77" s="395"/>
      <c r="R77" s="395"/>
      <c r="S77" s="395"/>
      <c r="T77" s="395"/>
      <c r="U77" s="395"/>
      <c r="V77" s="395"/>
      <c r="W77" s="395"/>
      <c r="X77" s="395"/>
      <c r="Y77" s="395"/>
      <c r="Z77" s="395"/>
      <c r="AA77" s="395"/>
      <c r="AB77" s="395"/>
      <c r="AC77" s="395"/>
      <c r="AD77" s="395"/>
      <c r="AE77" s="395"/>
      <c r="AF77" s="395"/>
      <c r="AG77" s="395"/>
      <c r="AH77" s="395"/>
      <c r="AI77" s="395"/>
      <c r="AJ77" s="395"/>
      <c r="AK77" s="395"/>
    </row>
    <row r="78">
      <c r="A78" s="395"/>
      <c r="B78" s="395"/>
      <c r="C78" s="395"/>
      <c r="D78" s="395"/>
      <c r="E78" s="395"/>
      <c r="F78" s="395"/>
      <c r="G78" s="395"/>
      <c r="H78" s="395"/>
      <c r="I78" s="395"/>
      <c r="J78" s="395"/>
      <c r="K78" s="395"/>
      <c r="L78" s="395"/>
      <c r="M78" s="395"/>
      <c r="N78" s="395"/>
      <c r="O78" s="395"/>
      <c r="P78" s="395"/>
      <c r="Q78" s="395"/>
      <c r="R78" s="395"/>
      <c r="S78" s="395"/>
      <c r="T78" s="395"/>
      <c r="U78" s="395"/>
      <c r="V78" s="395"/>
      <c r="W78" s="395"/>
      <c r="X78" s="395"/>
      <c r="Y78" s="395"/>
      <c r="Z78" s="395"/>
      <c r="AA78" s="395"/>
      <c r="AB78" s="395"/>
      <c r="AC78" s="395"/>
      <c r="AD78" s="395"/>
      <c r="AE78" s="395"/>
      <c r="AF78" s="395"/>
      <c r="AG78" s="395"/>
      <c r="AH78" s="395"/>
      <c r="AI78" s="395"/>
      <c r="AJ78" s="395"/>
      <c r="AK78" s="395"/>
    </row>
    <row r="79">
      <c r="A79" s="395"/>
      <c r="B79" s="395"/>
      <c r="C79" s="395"/>
      <c r="D79" s="395"/>
      <c r="E79" s="395"/>
      <c r="F79" s="395"/>
      <c r="G79" s="395"/>
      <c r="H79" s="395"/>
      <c r="I79" s="395"/>
      <c r="J79" s="395"/>
      <c r="K79" s="395"/>
      <c r="L79" s="395"/>
      <c r="M79" s="395"/>
      <c r="N79" s="395"/>
      <c r="O79" s="395"/>
      <c r="P79" s="395"/>
      <c r="Q79" s="395"/>
      <c r="R79" s="395"/>
      <c r="S79" s="395"/>
      <c r="T79" s="395"/>
      <c r="U79" s="395"/>
      <c r="V79" s="395"/>
      <c r="W79" s="395"/>
      <c r="X79" s="395"/>
      <c r="Y79" s="395"/>
      <c r="Z79" s="395"/>
      <c r="AA79" s="395"/>
      <c r="AB79" s="395"/>
      <c r="AC79" s="395"/>
      <c r="AD79" s="395"/>
      <c r="AE79" s="395"/>
      <c r="AF79" s="395"/>
      <c r="AG79" s="395"/>
      <c r="AH79" s="395"/>
      <c r="AI79" s="395"/>
      <c r="AJ79" s="395"/>
      <c r="AK79" s="395"/>
    </row>
    <row r="80">
      <c r="A80" s="395"/>
      <c r="B80" s="395"/>
      <c r="C80" s="395"/>
      <c r="D80" s="395"/>
      <c r="E80" s="395"/>
      <c r="F80" s="395"/>
      <c r="G80" s="395"/>
      <c r="H80" s="395"/>
      <c r="I80" s="395"/>
      <c r="J80" s="395"/>
      <c r="K80" s="395"/>
      <c r="L80" s="395"/>
      <c r="M80" s="395"/>
      <c r="N80" s="395"/>
      <c r="O80" s="395"/>
      <c r="P80" s="395"/>
      <c r="Q80" s="395"/>
      <c r="R80" s="395"/>
      <c r="S80" s="395"/>
      <c r="T80" s="395"/>
      <c r="U80" s="395"/>
      <c r="V80" s="395"/>
      <c r="W80" s="395"/>
      <c r="X80" s="395"/>
      <c r="Y80" s="395"/>
      <c r="Z80" s="395"/>
      <c r="AA80" s="395"/>
      <c r="AB80" s="395"/>
      <c r="AC80" s="395"/>
      <c r="AD80" s="395"/>
      <c r="AE80" s="395"/>
      <c r="AF80" s="395"/>
      <c r="AG80" s="395"/>
      <c r="AH80" s="395"/>
      <c r="AI80" s="395"/>
      <c r="AJ80" s="395"/>
      <c r="AK80" s="395"/>
    </row>
    <row r="81">
      <c r="A81" s="395"/>
      <c r="B81" s="395"/>
      <c r="C81" s="395"/>
      <c r="D81" s="395"/>
      <c r="E81" s="395"/>
      <c r="F81" s="395"/>
      <c r="G81" s="395"/>
      <c r="H81" s="395"/>
      <c r="I81" s="395"/>
      <c r="J81" s="395"/>
      <c r="K81" s="395"/>
      <c r="L81" s="395"/>
      <c r="M81" s="395"/>
      <c r="N81" s="395"/>
      <c r="O81" s="395"/>
      <c r="P81" s="395"/>
      <c r="Q81" s="395"/>
      <c r="R81" s="395"/>
      <c r="S81" s="395"/>
      <c r="T81" s="395"/>
      <c r="U81" s="395"/>
      <c r="V81" s="395"/>
      <c r="W81" s="395"/>
      <c r="X81" s="395"/>
      <c r="Y81" s="395"/>
      <c r="Z81" s="395"/>
      <c r="AA81" s="395"/>
      <c r="AB81" s="395"/>
      <c r="AC81" s="395"/>
      <c r="AD81" s="395"/>
      <c r="AE81" s="395"/>
      <c r="AF81" s="395"/>
      <c r="AG81" s="395"/>
      <c r="AH81" s="395"/>
      <c r="AI81" s="395"/>
      <c r="AJ81" s="395"/>
      <c r="AK81" s="395"/>
    </row>
    <row r="82">
      <c r="A82" s="395"/>
      <c r="B82" s="395"/>
      <c r="C82" s="395"/>
      <c r="D82" s="395"/>
      <c r="E82" s="395"/>
      <c r="F82" s="395"/>
      <c r="G82" s="395"/>
      <c r="H82" s="395"/>
      <c r="I82" s="395"/>
      <c r="J82" s="395"/>
      <c r="K82" s="395"/>
      <c r="L82" s="395"/>
      <c r="M82" s="395"/>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row>
    <row r="83">
      <c r="A83" s="395"/>
      <c r="B83" s="395"/>
      <c r="C83" s="395"/>
      <c r="D83" s="395"/>
      <c r="E83" s="395"/>
      <c r="F83" s="395"/>
      <c r="G83" s="395"/>
      <c r="H83" s="395"/>
      <c r="I83" s="395"/>
      <c r="J83" s="395"/>
      <c r="K83" s="395"/>
      <c r="L83" s="395"/>
      <c r="M83" s="395"/>
      <c r="N83" s="395"/>
      <c r="O83" s="395"/>
      <c r="P83" s="395"/>
      <c r="Q83" s="395"/>
      <c r="R83" s="395"/>
      <c r="S83" s="395"/>
      <c r="T83" s="395"/>
      <c r="U83" s="395"/>
      <c r="V83" s="395"/>
      <c r="W83" s="395"/>
      <c r="X83" s="395"/>
      <c r="Y83" s="395"/>
      <c r="Z83" s="395"/>
      <c r="AA83" s="395"/>
      <c r="AB83" s="395"/>
      <c r="AC83" s="395"/>
      <c r="AD83" s="395"/>
      <c r="AE83" s="395"/>
      <c r="AF83" s="395"/>
      <c r="AG83" s="395"/>
      <c r="AH83" s="395"/>
      <c r="AI83" s="395"/>
      <c r="AJ83" s="395"/>
      <c r="AK83" s="395"/>
    </row>
    <row r="84">
      <c r="A84" s="395"/>
      <c r="B84" s="395"/>
      <c r="C84" s="395"/>
      <c r="D84" s="395"/>
      <c r="E84" s="395"/>
      <c r="F84" s="395"/>
      <c r="G84" s="395"/>
      <c r="H84" s="395"/>
      <c r="I84" s="395"/>
      <c r="J84" s="395"/>
      <c r="K84" s="395"/>
      <c r="L84" s="395"/>
      <c r="M84" s="395"/>
      <c r="N84" s="395"/>
      <c r="O84" s="395"/>
      <c r="P84" s="395"/>
      <c r="Q84" s="395"/>
      <c r="R84" s="395"/>
      <c r="S84" s="395"/>
      <c r="T84" s="395"/>
      <c r="U84" s="395"/>
      <c r="V84" s="395"/>
      <c r="W84" s="395"/>
      <c r="X84" s="395"/>
      <c r="Y84" s="395"/>
      <c r="Z84" s="395"/>
      <c r="AA84" s="395"/>
      <c r="AB84" s="395"/>
      <c r="AC84" s="395"/>
      <c r="AD84" s="395"/>
      <c r="AE84" s="395"/>
      <c r="AF84" s="395"/>
      <c r="AG84" s="395"/>
      <c r="AH84" s="395"/>
      <c r="AI84" s="395"/>
      <c r="AJ84" s="395"/>
      <c r="AK84" s="395"/>
    </row>
    <row r="85">
      <c r="A85" s="395"/>
      <c r="B85" s="395"/>
      <c r="C85" s="395"/>
      <c r="D85" s="395"/>
      <c r="E85" s="395"/>
      <c r="F85" s="395"/>
      <c r="G85" s="395"/>
      <c r="H85" s="395"/>
      <c r="I85" s="395"/>
      <c r="J85" s="395"/>
      <c r="K85" s="395"/>
      <c r="L85" s="395"/>
      <c r="M85" s="395"/>
      <c r="N85" s="395"/>
      <c r="O85" s="395"/>
      <c r="P85" s="395"/>
      <c r="Q85" s="395"/>
      <c r="R85" s="395"/>
      <c r="S85" s="395"/>
      <c r="T85" s="395"/>
      <c r="U85" s="395"/>
      <c r="V85" s="395"/>
      <c r="W85" s="395"/>
      <c r="X85" s="395"/>
      <c r="Y85" s="395"/>
      <c r="Z85" s="395"/>
      <c r="AA85" s="395"/>
      <c r="AB85" s="395"/>
      <c r="AC85" s="395"/>
      <c r="AD85" s="395"/>
      <c r="AE85" s="395"/>
      <c r="AF85" s="395"/>
      <c r="AG85" s="395"/>
      <c r="AH85" s="395"/>
      <c r="AI85" s="395"/>
      <c r="AJ85" s="395"/>
      <c r="AK85" s="395"/>
    </row>
    <row r="86">
      <c r="A86" s="395"/>
      <c r="B86" s="395"/>
      <c r="C86" s="395"/>
      <c r="D86" s="395"/>
      <c r="E86" s="395"/>
      <c r="F86" s="395"/>
      <c r="G86" s="395"/>
      <c r="H86" s="395"/>
      <c r="I86" s="395"/>
      <c r="J86" s="395"/>
      <c r="K86" s="395"/>
      <c r="L86" s="395"/>
      <c r="M86" s="395"/>
      <c r="N86" s="395"/>
      <c r="O86" s="395"/>
      <c r="P86" s="395"/>
      <c r="Q86" s="395"/>
      <c r="R86" s="395"/>
      <c r="S86" s="395"/>
      <c r="T86" s="395"/>
      <c r="U86" s="395"/>
      <c r="V86" s="395"/>
      <c r="W86" s="395"/>
      <c r="X86" s="395"/>
      <c r="Y86" s="395"/>
      <c r="Z86" s="395"/>
      <c r="AA86" s="395"/>
      <c r="AB86" s="395"/>
      <c r="AC86" s="395"/>
      <c r="AD86" s="395"/>
      <c r="AE86" s="395"/>
      <c r="AF86" s="395"/>
      <c r="AG86" s="395"/>
      <c r="AH86" s="395"/>
      <c r="AI86" s="395"/>
      <c r="AJ86" s="395"/>
      <c r="AK86" s="395"/>
    </row>
    <row r="87">
      <c r="A87" s="395"/>
      <c r="B87" s="395"/>
      <c r="C87" s="395"/>
      <c r="D87" s="395"/>
      <c r="E87" s="395"/>
      <c r="F87" s="395"/>
      <c r="G87" s="395"/>
      <c r="H87" s="395"/>
      <c r="I87" s="395"/>
      <c r="J87" s="395"/>
      <c r="K87" s="395"/>
      <c r="L87" s="395"/>
      <c r="M87" s="395"/>
      <c r="N87" s="395"/>
      <c r="O87" s="395"/>
      <c r="P87" s="395"/>
      <c r="Q87" s="395"/>
      <c r="R87" s="395"/>
      <c r="S87" s="395"/>
      <c r="T87" s="395"/>
      <c r="U87" s="395"/>
      <c r="V87" s="395"/>
      <c r="W87" s="395"/>
      <c r="X87" s="395"/>
      <c r="Y87" s="395"/>
      <c r="Z87" s="395"/>
      <c r="AA87" s="395"/>
      <c r="AB87" s="395"/>
      <c r="AC87" s="395"/>
      <c r="AD87" s="395"/>
      <c r="AE87" s="395"/>
      <c r="AF87" s="395"/>
      <c r="AG87" s="395"/>
      <c r="AH87" s="395"/>
      <c r="AI87" s="395"/>
      <c r="AJ87" s="395"/>
      <c r="AK87" s="395"/>
    </row>
    <row r="88">
      <c r="A88" s="395"/>
      <c r="B88" s="395"/>
      <c r="C88" s="395"/>
      <c r="D88" s="395"/>
      <c r="E88" s="395"/>
      <c r="F88" s="395"/>
      <c r="G88" s="395"/>
      <c r="H88" s="395"/>
      <c r="I88" s="395"/>
      <c r="J88" s="395"/>
      <c r="K88" s="395"/>
      <c r="L88" s="395"/>
      <c r="M88" s="395"/>
      <c r="N88" s="395"/>
      <c r="O88" s="395"/>
      <c r="P88" s="395"/>
      <c r="Q88" s="395"/>
      <c r="R88" s="395"/>
      <c r="S88" s="395"/>
      <c r="T88" s="395"/>
      <c r="U88" s="395"/>
      <c r="V88" s="395"/>
      <c r="W88" s="395"/>
      <c r="X88" s="395"/>
      <c r="Y88" s="395"/>
      <c r="Z88" s="395"/>
      <c r="AA88" s="395"/>
      <c r="AB88" s="395"/>
      <c r="AC88" s="395"/>
      <c r="AD88" s="395"/>
      <c r="AE88" s="395"/>
      <c r="AF88" s="395"/>
      <c r="AG88" s="395"/>
      <c r="AH88" s="395"/>
      <c r="AI88" s="395"/>
      <c r="AJ88" s="395"/>
      <c r="AK88" s="395"/>
    </row>
    <row r="89">
      <c r="A89" s="395"/>
      <c r="B89" s="395"/>
      <c r="C89" s="395"/>
      <c r="D89" s="395"/>
      <c r="E89" s="395"/>
      <c r="F89" s="395"/>
      <c r="G89" s="395"/>
      <c r="H89" s="395"/>
      <c r="I89" s="395"/>
      <c r="J89" s="395"/>
      <c r="K89" s="395"/>
      <c r="L89" s="395"/>
      <c r="M89" s="395"/>
      <c r="N89" s="395"/>
      <c r="O89" s="395"/>
      <c r="P89" s="395"/>
      <c r="Q89" s="395"/>
      <c r="R89" s="395"/>
      <c r="S89" s="395"/>
      <c r="T89" s="395"/>
      <c r="U89" s="395"/>
      <c r="V89" s="395"/>
      <c r="W89" s="395"/>
      <c r="X89" s="395"/>
      <c r="Y89" s="395"/>
      <c r="Z89" s="395"/>
      <c r="AA89" s="395"/>
      <c r="AB89" s="395"/>
      <c r="AC89" s="395"/>
      <c r="AD89" s="395"/>
      <c r="AE89" s="395"/>
      <c r="AF89" s="395"/>
      <c r="AG89" s="395"/>
      <c r="AH89" s="395"/>
      <c r="AI89" s="395"/>
      <c r="AJ89" s="395"/>
      <c r="AK89" s="395"/>
    </row>
    <row r="90">
      <c r="A90" s="395"/>
      <c r="B90" s="395"/>
      <c r="C90" s="395"/>
      <c r="D90" s="395"/>
      <c r="E90" s="395"/>
      <c r="F90" s="395"/>
      <c r="G90" s="395"/>
      <c r="H90" s="395"/>
      <c r="I90" s="395"/>
      <c r="J90" s="395"/>
      <c r="K90" s="395"/>
      <c r="L90" s="395"/>
      <c r="M90" s="395"/>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row>
    <row r="91">
      <c r="A91" s="395"/>
      <c r="B91" s="395"/>
      <c r="C91" s="395"/>
      <c r="D91" s="395"/>
      <c r="E91" s="395"/>
      <c r="F91" s="395"/>
      <c r="G91" s="395"/>
      <c r="H91" s="395"/>
      <c r="I91" s="395"/>
      <c r="J91" s="395"/>
      <c r="K91" s="395"/>
      <c r="L91" s="395"/>
      <c r="M91" s="395"/>
      <c r="N91" s="395"/>
      <c r="O91" s="395"/>
      <c r="P91" s="395"/>
      <c r="Q91" s="395"/>
      <c r="R91" s="395"/>
      <c r="S91" s="395"/>
      <c r="T91" s="395"/>
      <c r="U91" s="395"/>
      <c r="V91" s="395"/>
      <c r="W91" s="395"/>
      <c r="X91" s="395"/>
      <c r="Y91" s="395"/>
      <c r="Z91" s="395"/>
      <c r="AA91" s="395"/>
      <c r="AB91" s="395"/>
      <c r="AC91" s="395"/>
      <c r="AD91" s="395"/>
      <c r="AE91" s="395"/>
      <c r="AF91" s="395"/>
      <c r="AG91" s="395"/>
      <c r="AH91" s="395"/>
      <c r="AI91" s="395"/>
      <c r="AJ91" s="395"/>
      <c r="AK91" s="395"/>
    </row>
    <row r="92">
      <c r="A92" s="395"/>
      <c r="B92" s="395"/>
      <c r="C92" s="395"/>
      <c r="D92" s="395"/>
      <c r="E92" s="395"/>
      <c r="F92" s="395"/>
      <c r="G92" s="395"/>
      <c r="H92" s="395"/>
      <c r="I92" s="395"/>
      <c r="J92" s="395"/>
      <c r="K92" s="395"/>
      <c r="L92" s="395"/>
      <c r="M92" s="395"/>
      <c r="N92" s="395"/>
      <c r="O92" s="395"/>
      <c r="P92" s="395"/>
      <c r="Q92" s="395"/>
      <c r="R92" s="395"/>
      <c r="S92" s="395"/>
      <c r="T92" s="395"/>
      <c r="U92" s="395"/>
      <c r="V92" s="395"/>
      <c r="W92" s="395"/>
      <c r="X92" s="395"/>
      <c r="Y92" s="395"/>
      <c r="Z92" s="395"/>
      <c r="AA92" s="395"/>
      <c r="AB92" s="395"/>
      <c r="AC92" s="395"/>
      <c r="AD92" s="395"/>
      <c r="AE92" s="395"/>
      <c r="AF92" s="395"/>
      <c r="AG92" s="395"/>
      <c r="AH92" s="395"/>
      <c r="AI92" s="395"/>
      <c r="AJ92" s="395"/>
      <c r="AK92" s="395"/>
    </row>
    <row r="93">
      <c r="A93" s="395"/>
      <c r="B93" s="395"/>
      <c r="C93" s="395"/>
      <c r="D93" s="395"/>
      <c r="E93" s="395"/>
      <c r="F93" s="395"/>
      <c r="G93" s="395"/>
      <c r="H93" s="395"/>
      <c r="I93" s="395"/>
      <c r="J93" s="395"/>
      <c r="K93" s="395"/>
      <c r="L93" s="395"/>
      <c r="M93" s="395"/>
      <c r="N93" s="395"/>
      <c r="O93" s="395"/>
      <c r="P93" s="395"/>
      <c r="Q93" s="395"/>
      <c r="R93" s="395"/>
      <c r="S93" s="395"/>
      <c r="T93" s="395"/>
      <c r="U93" s="395"/>
      <c r="V93" s="395"/>
      <c r="W93" s="395"/>
      <c r="X93" s="395"/>
      <c r="Y93" s="395"/>
      <c r="Z93" s="395"/>
      <c r="AA93" s="395"/>
      <c r="AB93" s="395"/>
      <c r="AC93" s="395"/>
      <c r="AD93" s="395"/>
      <c r="AE93" s="395"/>
      <c r="AF93" s="395"/>
      <c r="AG93" s="395"/>
      <c r="AH93" s="395"/>
      <c r="AI93" s="395"/>
      <c r="AJ93" s="395"/>
      <c r="AK93" s="395"/>
    </row>
    <row r="94">
      <c r="A94" s="395"/>
      <c r="B94" s="395"/>
      <c r="C94" s="395"/>
      <c r="D94" s="395"/>
      <c r="E94" s="395"/>
      <c r="F94" s="395"/>
      <c r="G94" s="395"/>
      <c r="H94" s="395"/>
      <c r="I94" s="395"/>
      <c r="J94" s="395"/>
      <c r="K94" s="395"/>
      <c r="L94" s="395"/>
      <c r="M94" s="395"/>
      <c r="N94" s="395"/>
      <c r="O94" s="395"/>
      <c r="P94" s="395"/>
      <c r="Q94" s="395"/>
      <c r="R94" s="395"/>
      <c r="S94" s="395"/>
      <c r="T94" s="395"/>
      <c r="U94" s="395"/>
      <c r="V94" s="395"/>
      <c r="W94" s="395"/>
      <c r="X94" s="395"/>
      <c r="Y94" s="395"/>
      <c r="Z94" s="395"/>
      <c r="AA94" s="395"/>
      <c r="AB94" s="395"/>
      <c r="AC94" s="395"/>
      <c r="AD94" s="395"/>
      <c r="AE94" s="395"/>
      <c r="AF94" s="395"/>
      <c r="AG94" s="395"/>
      <c r="AH94" s="395"/>
      <c r="AI94" s="395"/>
      <c r="AJ94" s="395"/>
      <c r="AK94" s="395"/>
    </row>
    <row r="95">
      <c r="A95" s="395"/>
      <c r="B95" s="395"/>
      <c r="C95" s="395"/>
      <c r="D95" s="395"/>
      <c r="E95" s="395"/>
      <c r="F95" s="395"/>
      <c r="G95" s="395"/>
      <c r="H95" s="395"/>
      <c r="I95" s="395"/>
      <c r="J95" s="395"/>
      <c r="K95" s="395"/>
      <c r="L95" s="395"/>
      <c r="M95" s="395"/>
      <c r="N95" s="395"/>
      <c r="O95" s="395"/>
      <c r="P95" s="395"/>
      <c r="Q95" s="395"/>
      <c r="R95" s="395"/>
      <c r="S95" s="395"/>
      <c r="T95" s="395"/>
      <c r="U95" s="395"/>
      <c r="V95" s="395"/>
      <c r="W95" s="395"/>
      <c r="X95" s="395"/>
      <c r="Y95" s="395"/>
      <c r="Z95" s="395"/>
      <c r="AA95" s="395"/>
      <c r="AB95" s="395"/>
      <c r="AC95" s="395"/>
      <c r="AD95" s="395"/>
      <c r="AE95" s="395"/>
      <c r="AF95" s="395"/>
      <c r="AG95" s="395"/>
      <c r="AH95" s="395"/>
      <c r="AI95" s="395"/>
      <c r="AJ95" s="395"/>
      <c r="AK95" s="395"/>
    </row>
    <row r="96">
      <c r="A96" s="395"/>
      <c r="B96" s="395"/>
      <c r="C96" s="395"/>
      <c r="D96" s="395"/>
      <c r="E96" s="395"/>
      <c r="F96" s="395"/>
      <c r="G96" s="395"/>
      <c r="H96" s="395"/>
      <c r="I96" s="395"/>
      <c r="J96" s="395"/>
      <c r="K96" s="395"/>
      <c r="L96" s="395"/>
      <c r="M96" s="395"/>
      <c r="N96" s="395"/>
      <c r="O96" s="395"/>
      <c r="P96" s="395"/>
      <c r="Q96" s="395"/>
      <c r="R96" s="395"/>
      <c r="S96" s="395"/>
      <c r="T96" s="395"/>
      <c r="U96" s="395"/>
      <c r="V96" s="395"/>
      <c r="W96" s="395"/>
      <c r="X96" s="395"/>
      <c r="Y96" s="395"/>
      <c r="Z96" s="395"/>
      <c r="AA96" s="395"/>
      <c r="AB96" s="395"/>
      <c r="AC96" s="395"/>
      <c r="AD96" s="395"/>
      <c r="AE96" s="395"/>
      <c r="AF96" s="395"/>
      <c r="AG96" s="395"/>
      <c r="AH96" s="395"/>
      <c r="AI96" s="395"/>
      <c r="AJ96" s="395"/>
      <c r="AK96" s="395"/>
    </row>
    <row r="97">
      <c r="A97" s="395"/>
      <c r="B97" s="395"/>
      <c r="C97" s="395"/>
      <c r="D97" s="395"/>
      <c r="E97" s="395"/>
      <c r="F97" s="395"/>
      <c r="G97" s="395"/>
      <c r="H97" s="395"/>
      <c r="I97" s="395"/>
      <c r="J97" s="395"/>
      <c r="K97" s="395"/>
      <c r="L97" s="395"/>
      <c r="M97" s="395"/>
      <c r="N97" s="395"/>
      <c r="O97" s="395"/>
      <c r="P97" s="395"/>
      <c r="Q97" s="395"/>
      <c r="R97" s="395"/>
      <c r="S97" s="395"/>
      <c r="T97" s="395"/>
      <c r="U97" s="395"/>
      <c r="V97" s="395"/>
      <c r="W97" s="395"/>
      <c r="X97" s="395"/>
      <c r="Y97" s="395"/>
      <c r="Z97" s="395"/>
      <c r="AA97" s="395"/>
      <c r="AB97" s="395"/>
      <c r="AC97" s="395"/>
      <c r="AD97" s="395"/>
      <c r="AE97" s="395"/>
      <c r="AF97" s="395"/>
      <c r="AG97" s="395"/>
      <c r="AH97" s="395"/>
      <c r="AI97" s="395"/>
      <c r="AJ97" s="395"/>
      <c r="AK97" s="395"/>
    </row>
    <row r="98">
      <c r="A98" s="395"/>
      <c r="B98" s="395"/>
      <c r="C98" s="395"/>
      <c r="D98" s="395"/>
      <c r="E98" s="395"/>
      <c r="F98" s="395"/>
      <c r="G98" s="395"/>
      <c r="H98" s="395"/>
      <c r="I98" s="395"/>
      <c r="J98" s="395"/>
      <c r="K98" s="395"/>
      <c r="L98" s="395"/>
      <c r="M98" s="395"/>
      <c r="N98" s="395"/>
      <c r="O98" s="395"/>
      <c r="P98" s="395"/>
      <c r="Q98" s="395"/>
      <c r="R98" s="395"/>
      <c r="S98" s="395"/>
      <c r="T98" s="395"/>
      <c r="U98" s="395"/>
      <c r="V98" s="395"/>
      <c r="W98" s="395"/>
      <c r="X98" s="395"/>
      <c r="Y98" s="395"/>
      <c r="Z98" s="395"/>
      <c r="AA98" s="395"/>
      <c r="AB98" s="395"/>
      <c r="AC98" s="395"/>
      <c r="AD98" s="395"/>
      <c r="AE98" s="395"/>
      <c r="AF98" s="395"/>
      <c r="AG98" s="395"/>
      <c r="AH98" s="395"/>
      <c r="AI98" s="395"/>
      <c r="AJ98" s="395"/>
      <c r="AK98" s="395"/>
    </row>
    <row r="99">
      <c r="A99" s="395"/>
      <c r="B99" s="395"/>
      <c r="C99" s="395"/>
      <c r="D99" s="395"/>
      <c r="E99" s="395"/>
      <c r="F99" s="395"/>
      <c r="G99" s="395"/>
      <c r="H99" s="395"/>
      <c r="I99" s="395"/>
      <c r="J99" s="395"/>
      <c r="K99" s="395"/>
      <c r="L99" s="395"/>
      <c r="M99" s="395"/>
      <c r="N99" s="395"/>
      <c r="O99" s="395"/>
      <c r="P99" s="395"/>
      <c r="Q99" s="395"/>
      <c r="R99" s="395"/>
      <c r="S99" s="395"/>
      <c r="T99" s="395"/>
      <c r="U99" s="395"/>
      <c r="V99" s="395"/>
      <c r="W99" s="395"/>
      <c r="X99" s="395"/>
      <c r="Y99" s="395"/>
      <c r="Z99" s="395"/>
      <c r="AA99" s="395"/>
      <c r="AB99" s="395"/>
      <c r="AC99" s="395"/>
      <c r="AD99" s="395"/>
      <c r="AE99" s="395"/>
      <c r="AF99" s="395"/>
      <c r="AG99" s="395"/>
      <c r="AH99" s="395"/>
      <c r="AI99" s="395"/>
      <c r="AJ99" s="395"/>
      <c r="AK99" s="395"/>
    </row>
    <row r="100">
      <c r="A100" s="395"/>
      <c r="B100" s="395"/>
      <c r="C100" s="395"/>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c r="AA100" s="395"/>
      <c r="AB100" s="395"/>
      <c r="AC100" s="395"/>
      <c r="AD100" s="395"/>
      <c r="AE100" s="395"/>
      <c r="AF100" s="395"/>
      <c r="AG100" s="395"/>
      <c r="AH100" s="395"/>
      <c r="AI100" s="395"/>
      <c r="AJ100" s="395"/>
      <c r="AK100" s="395"/>
    </row>
    <row r="101">
      <c r="A101" s="395"/>
      <c r="B101" s="395"/>
      <c r="C101" s="395"/>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c r="AA101" s="395"/>
      <c r="AB101" s="395"/>
      <c r="AC101" s="395"/>
      <c r="AD101" s="395"/>
      <c r="AE101" s="395"/>
      <c r="AF101" s="395"/>
      <c r="AG101" s="395"/>
      <c r="AH101" s="395"/>
      <c r="AI101" s="395"/>
      <c r="AJ101" s="395"/>
      <c r="AK101" s="395"/>
    </row>
    <row r="102">
      <c r="A102" s="395"/>
      <c r="B102" s="395"/>
      <c r="C102" s="395"/>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c r="AA102" s="395"/>
      <c r="AB102" s="395"/>
      <c r="AC102" s="395"/>
      <c r="AD102" s="395"/>
      <c r="AE102" s="395"/>
      <c r="AF102" s="395"/>
      <c r="AG102" s="395"/>
      <c r="AH102" s="395"/>
      <c r="AI102" s="395"/>
      <c r="AJ102" s="395"/>
      <c r="AK102" s="395"/>
    </row>
    <row r="103">
      <c r="A103" s="395"/>
      <c r="B103" s="395"/>
      <c r="C103" s="395"/>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c r="AA103" s="395"/>
      <c r="AB103" s="395"/>
      <c r="AC103" s="395"/>
      <c r="AD103" s="395"/>
      <c r="AE103" s="395"/>
      <c r="AF103" s="395"/>
      <c r="AG103" s="395"/>
      <c r="AH103" s="395"/>
      <c r="AI103" s="395"/>
      <c r="AJ103" s="395"/>
      <c r="AK103" s="395"/>
    </row>
    <row r="104">
      <c r="A104" s="395"/>
      <c r="B104" s="395"/>
      <c r="C104" s="395"/>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c r="AA104" s="395"/>
      <c r="AB104" s="395"/>
      <c r="AC104" s="395"/>
      <c r="AD104" s="395"/>
      <c r="AE104" s="395"/>
      <c r="AF104" s="395"/>
      <c r="AG104" s="395"/>
      <c r="AH104" s="395"/>
      <c r="AI104" s="395"/>
      <c r="AJ104" s="395"/>
      <c r="AK104" s="395"/>
    </row>
    <row r="105">
      <c r="A105" s="395"/>
      <c r="B105" s="395"/>
      <c r="C105" s="395"/>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c r="AA105" s="395"/>
      <c r="AB105" s="395"/>
      <c r="AC105" s="395"/>
      <c r="AD105" s="395"/>
      <c r="AE105" s="395"/>
      <c r="AF105" s="395"/>
      <c r="AG105" s="395"/>
      <c r="AH105" s="395"/>
      <c r="AI105" s="395"/>
      <c r="AJ105" s="395"/>
      <c r="AK105" s="395"/>
    </row>
    <row r="106">
      <c r="A106" s="395"/>
      <c r="B106" s="395"/>
      <c r="C106" s="395"/>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c r="AA106" s="395"/>
      <c r="AB106" s="395"/>
      <c r="AC106" s="395"/>
      <c r="AD106" s="395"/>
      <c r="AE106" s="395"/>
      <c r="AF106" s="395"/>
      <c r="AG106" s="395"/>
      <c r="AH106" s="395"/>
      <c r="AI106" s="395"/>
      <c r="AJ106" s="395"/>
      <c r="AK106" s="395"/>
    </row>
    <row r="107">
      <c r="A107" s="395"/>
      <c r="B107" s="395"/>
      <c r="C107" s="395"/>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c r="AA107" s="395"/>
      <c r="AB107" s="395"/>
      <c r="AC107" s="395"/>
      <c r="AD107" s="395"/>
      <c r="AE107" s="395"/>
      <c r="AF107" s="395"/>
      <c r="AG107" s="395"/>
      <c r="AH107" s="395"/>
      <c r="AI107" s="395"/>
      <c r="AJ107" s="395"/>
      <c r="AK107" s="395"/>
    </row>
    <row r="108">
      <c r="A108" s="395"/>
      <c r="B108" s="395"/>
      <c r="C108" s="395"/>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row>
    <row r="109">
      <c r="A109" s="395"/>
      <c r="B109" s="395"/>
      <c r="C109" s="395"/>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c r="AA109" s="395"/>
      <c r="AB109" s="395"/>
      <c r="AC109" s="395"/>
      <c r="AD109" s="395"/>
      <c r="AE109" s="395"/>
      <c r="AF109" s="395"/>
      <c r="AG109" s="395"/>
      <c r="AH109" s="395"/>
      <c r="AI109" s="395"/>
      <c r="AJ109" s="395"/>
      <c r="AK109" s="395"/>
    </row>
    <row r="110">
      <c r="A110" s="395"/>
      <c r="B110" s="395"/>
      <c r="C110" s="395"/>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c r="AA110" s="395"/>
      <c r="AB110" s="395"/>
      <c r="AC110" s="395"/>
      <c r="AD110" s="395"/>
      <c r="AE110" s="395"/>
      <c r="AF110" s="395"/>
      <c r="AG110" s="395"/>
      <c r="AH110" s="395"/>
      <c r="AI110" s="395"/>
      <c r="AJ110" s="395"/>
      <c r="AK110" s="395"/>
    </row>
    <row r="111">
      <c r="A111" s="395"/>
      <c r="B111" s="395"/>
      <c r="C111" s="395"/>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c r="AA111" s="395"/>
      <c r="AB111" s="395"/>
      <c r="AC111" s="395"/>
      <c r="AD111" s="395"/>
      <c r="AE111" s="395"/>
      <c r="AF111" s="395"/>
      <c r="AG111" s="395"/>
      <c r="AH111" s="395"/>
      <c r="AI111" s="395"/>
      <c r="AJ111" s="395"/>
      <c r="AK111" s="395"/>
    </row>
    <row r="112">
      <c r="A112" s="395"/>
      <c r="B112" s="395"/>
      <c r="C112" s="395"/>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c r="AA112" s="395"/>
      <c r="AB112" s="395"/>
      <c r="AC112" s="395"/>
      <c r="AD112" s="395"/>
      <c r="AE112" s="395"/>
      <c r="AF112" s="395"/>
      <c r="AG112" s="395"/>
      <c r="AH112" s="395"/>
      <c r="AI112" s="395"/>
      <c r="AJ112" s="395"/>
      <c r="AK112" s="395"/>
    </row>
    <row r="113">
      <c r="A113" s="395"/>
      <c r="B113" s="395"/>
      <c r="C113" s="395"/>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c r="AA113" s="395"/>
      <c r="AB113" s="395"/>
      <c r="AC113" s="395"/>
      <c r="AD113" s="395"/>
      <c r="AE113" s="395"/>
      <c r="AF113" s="395"/>
      <c r="AG113" s="395"/>
      <c r="AH113" s="395"/>
      <c r="AI113" s="395"/>
      <c r="AJ113" s="395"/>
      <c r="AK113" s="395"/>
    </row>
    <row r="114">
      <c r="A114" s="395"/>
      <c r="B114" s="395"/>
      <c r="C114" s="395"/>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c r="AA114" s="395"/>
      <c r="AB114" s="395"/>
      <c r="AC114" s="395"/>
      <c r="AD114" s="395"/>
      <c r="AE114" s="395"/>
      <c r="AF114" s="395"/>
      <c r="AG114" s="395"/>
      <c r="AH114" s="395"/>
      <c r="AI114" s="395"/>
      <c r="AJ114" s="395"/>
      <c r="AK114" s="395"/>
    </row>
    <row r="115">
      <c r="A115" s="395"/>
      <c r="B115" s="395"/>
      <c r="C115" s="395"/>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c r="AA115" s="395"/>
      <c r="AB115" s="395"/>
      <c r="AC115" s="395"/>
      <c r="AD115" s="395"/>
      <c r="AE115" s="395"/>
      <c r="AF115" s="395"/>
      <c r="AG115" s="395"/>
      <c r="AH115" s="395"/>
      <c r="AI115" s="395"/>
      <c r="AJ115" s="395"/>
      <c r="AK115" s="395"/>
    </row>
    <row r="116">
      <c r="A116" s="395"/>
      <c r="B116" s="395"/>
      <c r="C116" s="395"/>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c r="AA116" s="395"/>
      <c r="AB116" s="395"/>
      <c r="AC116" s="395"/>
      <c r="AD116" s="395"/>
      <c r="AE116" s="395"/>
      <c r="AF116" s="395"/>
      <c r="AG116" s="395"/>
      <c r="AH116" s="395"/>
      <c r="AI116" s="395"/>
      <c r="AJ116" s="395"/>
      <c r="AK116" s="395"/>
    </row>
    <row r="117">
      <c r="A117" s="395"/>
      <c r="B117" s="395"/>
      <c r="C117" s="395"/>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c r="AA117" s="395"/>
      <c r="AB117" s="395"/>
      <c r="AC117" s="395"/>
      <c r="AD117" s="395"/>
      <c r="AE117" s="395"/>
      <c r="AF117" s="395"/>
      <c r="AG117" s="395"/>
      <c r="AH117" s="395"/>
      <c r="AI117" s="395"/>
      <c r="AJ117" s="395"/>
      <c r="AK117" s="395"/>
    </row>
    <row r="118">
      <c r="A118" s="395"/>
      <c r="B118" s="395"/>
      <c r="C118" s="395"/>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c r="AA118" s="395"/>
      <c r="AB118" s="395"/>
      <c r="AC118" s="395"/>
      <c r="AD118" s="395"/>
      <c r="AE118" s="395"/>
      <c r="AF118" s="395"/>
      <c r="AG118" s="395"/>
      <c r="AH118" s="395"/>
      <c r="AI118" s="395"/>
      <c r="AJ118" s="395"/>
      <c r="AK118" s="395"/>
    </row>
    <row r="119">
      <c r="A119" s="395"/>
      <c r="B119" s="395"/>
      <c r="C119" s="395"/>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c r="AA119" s="395"/>
      <c r="AB119" s="395"/>
      <c r="AC119" s="395"/>
      <c r="AD119" s="395"/>
      <c r="AE119" s="395"/>
      <c r="AF119" s="395"/>
      <c r="AG119" s="395"/>
      <c r="AH119" s="395"/>
      <c r="AI119" s="395"/>
      <c r="AJ119" s="395"/>
      <c r="AK119" s="395"/>
    </row>
    <row r="120">
      <c r="A120" s="395"/>
      <c r="B120" s="395"/>
      <c r="C120" s="395"/>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c r="AA120" s="395"/>
      <c r="AB120" s="395"/>
      <c r="AC120" s="395"/>
      <c r="AD120" s="395"/>
      <c r="AE120" s="395"/>
      <c r="AF120" s="395"/>
      <c r="AG120" s="395"/>
      <c r="AH120" s="395"/>
      <c r="AI120" s="395"/>
      <c r="AJ120" s="395"/>
      <c r="AK120" s="395"/>
    </row>
    <row r="121">
      <c r="A121" s="395"/>
      <c r="B121" s="395"/>
      <c r="C121" s="395"/>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c r="AA121" s="395"/>
      <c r="AB121" s="395"/>
      <c r="AC121" s="395"/>
      <c r="AD121" s="395"/>
      <c r="AE121" s="395"/>
      <c r="AF121" s="395"/>
      <c r="AG121" s="395"/>
      <c r="AH121" s="395"/>
      <c r="AI121" s="395"/>
      <c r="AJ121" s="395"/>
      <c r="AK121" s="395"/>
    </row>
    <row r="122">
      <c r="A122" s="395"/>
      <c r="B122" s="395"/>
      <c r="C122" s="395"/>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c r="AA122" s="395"/>
      <c r="AB122" s="395"/>
      <c r="AC122" s="395"/>
      <c r="AD122" s="395"/>
      <c r="AE122" s="395"/>
      <c r="AF122" s="395"/>
      <c r="AG122" s="395"/>
      <c r="AH122" s="395"/>
      <c r="AI122" s="395"/>
      <c r="AJ122" s="395"/>
      <c r="AK122" s="395"/>
    </row>
    <row r="123">
      <c r="A123" s="395"/>
      <c r="B123" s="395"/>
      <c r="C123" s="395"/>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c r="AA123" s="395"/>
      <c r="AB123" s="395"/>
      <c r="AC123" s="395"/>
      <c r="AD123" s="395"/>
      <c r="AE123" s="395"/>
      <c r="AF123" s="395"/>
      <c r="AG123" s="395"/>
      <c r="AH123" s="395"/>
      <c r="AI123" s="395"/>
      <c r="AJ123" s="395"/>
      <c r="AK123" s="395"/>
    </row>
    <row r="124">
      <c r="A124" s="395"/>
      <c r="B124" s="395"/>
      <c r="C124" s="395"/>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c r="AA124" s="395"/>
      <c r="AB124" s="395"/>
      <c r="AC124" s="395"/>
      <c r="AD124" s="395"/>
      <c r="AE124" s="395"/>
      <c r="AF124" s="395"/>
      <c r="AG124" s="395"/>
      <c r="AH124" s="395"/>
      <c r="AI124" s="395"/>
      <c r="AJ124" s="395"/>
      <c r="AK124" s="395"/>
    </row>
    <row r="125">
      <c r="A125" s="395"/>
      <c r="B125" s="395"/>
      <c r="C125" s="395"/>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c r="AA125" s="395"/>
      <c r="AB125" s="395"/>
      <c r="AC125" s="395"/>
      <c r="AD125" s="395"/>
      <c r="AE125" s="395"/>
      <c r="AF125" s="395"/>
      <c r="AG125" s="395"/>
      <c r="AH125" s="395"/>
      <c r="AI125" s="395"/>
      <c r="AJ125" s="395"/>
      <c r="AK125" s="395"/>
    </row>
    <row r="126">
      <c r="A126" s="395"/>
      <c r="B126" s="395"/>
      <c r="C126" s="395"/>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c r="AA126" s="395"/>
      <c r="AB126" s="395"/>
      <c r="AC126" s="395"/>
      <c r="AD126" s="395"/>
      <c r="AE126" s="395"/>
      <c r="AF126" s="395"/>
      <c r="AG126" s="395"/>
      <c r="AH126" s="395"/>
      <c r="AI126" s="395"/>
      <c r="AJ126" s="395"/>
      <c r="AK126" s="395"/>
    </row>
    <row r="127">
      <c r="A127" s="395"/>
      <c r="B127" s="395"/>
      <c r="C127" s="395"/>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c r="AA127" s="395"/>
      <c r="AB127" s="395"/>
      <c r="AC127" s="395"/>
      <c r="AD127" s="395"/>
      <c r="AE127" s="395"/>
      <c r="AF127" s="395"/>
      <c r="AG127" s="395"/>
      <c r="AH127" s="395"/>
      <c r="AI127" s="395"/>
      <c r="AJ127" s="395"/>
      <c r="AK127" s="395"/>
    </row>
    <row r="128">
      <c r="A128" s="395"/>
      <c r="B128" s="395"/>
      <c r="C128" s="395"/>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c r="AA128" s="395"/>
      <c r="AB128" s="395"/>
      <c r="AC128" s="395"/>
      <c r="AD128" s="395"/>
      <c r="AE128" s="395"/>
      <c r="AF128" s="395"/>
      <c r="AG128" s="395"/>
      <c r="AH128" s="395"/>
      <c r="AI128" s="395"/>
      <c r="AJ128" s="395"/>
      <c r="AK128" s="395"/>
    </row>
    <row r="129">
      <c r="A129" s="395"/>
      <c r="B129" s="395"/>
      <c r="C129" s="395"/>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c r="AA129" s="395"/>
      <c r="AB129" s="395"/>
      <c r="AC129" s="395"/>
      <c r="AD129" s="395"/>
      <c r="AE129" s="395"/>
      <c r="AF129" s="395"/>
      <c r="AG129" s="395"/>
      <c r="AH129" s="395"/>
      <c r="AI129" s="395"/>
      <c r="AJ129" s="395"/>
      <c r="AK129" s="395"/>
    </row>
    <row r="130">
      <c r="A130" s="395"/>
      <c r="B130" s="395"/>
      <c r="C130" s="395"/>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c r="AA130" s="395"/>
      <c r="AB130" s="395"/>
      <c r="AC130" s="395"/>
      <c r="AD130" s="395"/>
      <c r="AE130" s="395"/>
      <c r="AF130" s="395"/>
      <c r="AG130" s="395"/>
      <c r="AH130" s="395"/>
      <c r="AI130" s="395"/>
      <c r="AJ130" s="395"/>
      <c r="AK130" s="395"/>
    </row>
    <row r="131">
      <c r="A131" s="395"/>
      <c r="B131" s="395"/>
      <c r="C131" s="395"/>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c r="AA131" s="395"/>
      <c r="AB131" s="395"/>
      <c r="AC131" s="395"/>
      <c r="AD131" s="395"/>
      <c r="AE131" s="395"/>
      <c r="AF131" s="395"/>
      <c r="AG131" s="395"/>
      <c r="AH131" s="395"/>
      <c r="AI131" s="395"/>
      <c r="AJ131" s="395"/>
      <c r="AK131" s="395"/>
    </row>
    <row r="132">
      <c r="A132" s="395"/>
      <c r="B132" s="395"/>
      <c r="C132" s="395"/>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c r="AA132" s="395"/>
      <c r="AB132" s="395"/>
      <c r="AC132" s="395"/>
      <c r="AD132" s="395"/>
      <c r="AE132" s="395"/>
      <c r="AF132" s="395"/>
      <c r="AG132" s="395"/>
      <c r="AH132" s="395"/>
      <c r="AI132" s="395"/>
      <c r="AJ132" s="395"/>
      <c r="AK132" s="395"/>
    </row>
    <row r="133">
      <c r="A133" s="395"/>
      <c r="B133" s="395"/>
      <c r="C133" s="395"/>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c r="AA133" s="395"/>
      <c r="AB133" s="395"/>
      <c r="AC133" s="395"/>
      <c r="AD133" s="395"/>
      <c r="AE133" s="395"/>
      <c r="AF133" s="395"/>
      <c r="AG133" s="395"/>
      <c r="AH133" s="395"/>
      <c r="AI133" s="395"/>
      <c r="AJ133" s="395"/>
      <c r="AK133" s="395"/>
    </row>
    <row r="134">
      <c r="A134" s="395"/>
      <c r="B134" s="395"/>
      <c r="C134" s="395"/>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c r="AA134" s="395"/>
      <c r="AB134" s="395"/>
      <c r="AC134" s="395"/>
      <c r="AD134" s="395"/>
      <c r="AE134" s="395"/>
      <c r="AF134" s="395"/>
      <c r="AG134" s="395"/>
      <c r="AH134" s="395"/>
      <c r="AI134" s="395"/>
      <c r="AJ134" s="395"/>
      <c r="AK134" s="395"/>
    </row>
    <row r="135">
      <c r="A135" s="395"/>
      <c r="B135" s="395"/>
      <c r="C135" s="395"/>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c r="AA135" s="395"/>
      <c r="AB135" s="395"/>
      <c r="AC135" s="395"/>
      <c r="AD135" s="395"/>
      <c r="AE135" s="395"/>
      <c r="AF135" s="395"/>
      <c r="AG135" s="395"/>
      <c r="AH135" s="395"/>
      <c r="AI135" s="395"/>
      <c r="AJ135" s="395"/>
      <c r="AK135" s="395"/>
    </row>
    <row r="136">
      <c r="A136" s="395"/>
      <c r="B136" s="395"/>
      <c r="C136" s="395"/>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row>
    <row r="137">
      <c r="A137" s="395"/>
      <c r="B137" s="395"/>
      <c r="C137" s="395"/>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c r="AA137" s="395"/>
      <c r="AB137" s="395"/>
      <c r="AC137" s="395"/>
      <c r="AD137" s="395"/>
      <c r="AE137" s="395"/>
      <c r="AF137" s="395"/>
      <c r="AG137" s="395"/>
      <c r="AH137" s="395"/>
      <c r="AI137" s="395"/>
      <c r="AJ137" s="395"/>
      <c r="AK137" s="395"/>
    </row>
    <row r="138">
      <c r="A138" s="395"/>
      <c r="B138" s="395"/>
      <c r="C138" s="395"/>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c r="AA138" s="395"/>
      <c r="AB138" s="395"/>
      <c r="AC138" s="395"/>
      <c r="AD138" s="395"/>
      <c r="AE138" s="395"/>
      <c r="AF138" s="395"/>
      <c r="AG138" s="395"/>
      <c r="AH138" s="395"/>
      <c r="AI138" s="395"/>
      <c r="AJ138" s="395"/>
      <c r="AK138" s="395"/>
    </row>
    <row r="139">
      <c r="A139" s="395"/>
      <c r="B139" s="395"/>
      <c r="C139" s="395"/>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c r="AA139" s="395"/>
      <c r="AB139" s="395"/>
      <c r="AC139" s="395"/>
      <c r="AD139" s="395"/>
      <c r="AE139" s="395"/>
      <c r="AF139" s="395"/>
      <c r="AG139" s="395"/>
      <c r="AH139" s="395"/>
      <c r="AI139" s="395"/>
      <c r="AJ139" s="395"/>
      <c r="AK139" s="395"/>
    </row>
    <row r="140">
      <c r="A140" s="395"/>
      <c r="B140" s="395"/>
      <c r="C140" s="395"/>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c r="AA140" s="395"/>
      <c r="AB140" s="395"/>
      <c r="AC140" s="395"/>
      <c r="AD140" s="395"/>
      <c r="AE140" s="395"/>
      <c r="AF140" s="395"/>
      <c r="AG140" s="395"/>
      <c r="AH140" s="395"/>
      <c r="AI140" s="395"/>
      <c r="AJ140" s="395"/>
      <c r="AK140" s="395"/>
    </row>
    <row r="141">
      <c r="A141" s="395"/>
      <c r="B141" s="395"/>
      <c r="C141" s="395"/>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c r="AA141" s="395"/>
      <c r="AB141" s="395"/>
      <c r="AC141" s="395"/>
      <c r="AD141" s="395"/>
      <c r="AE141" s="395"/>
      <c r="AF141" s="395"/>
      <c r="AG141" s="395"/>
      <c r="AH141" s="395"/>
      <c r="AI141" s="395"/>
      <c r="AJ141" s="395"/>
      <c r="AK141" s="395"/>
    </row>
    <row r="142">
      <c r="A142" s="395"/>
      <c r="B142" s="395"/>
      <c r="C142" s="395"/>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c r="AA142" s="395"/>
      <c r="AB142" s="395"/>
      <c r="AC142" s="395"/>
      <c r="AD142" s="395"/>
      <c r="AE142" s="395"/>
      <c r="AF142" s="395"/>
      <c r="AG142" s="395"/>
      <c r="AH142" s="395"/>
      <c r="AI142" s="395"/>
      <c r="AJ142" s="395"/>
      <c r="AK142" s="395"/>
    </row>
    <row r="143">
      <c r="A143" s="395"/>
      <c r="B143" s="395"/>
      <c r="C143" s="395"/>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c r="AA143" s="395"/>
      <c r="AB143" s="395"/>
      <c r="AC143" s="395"/>
      <c r="AD143" s="395"/>
      <c r="AE143" s="395"/>
      <c r="AF143" s="395"/>
      <c r="AG143" s="395"/>
      <c r="AH143" s="395"/>
      <c r="AI143" s="395"/>
      <c r="AJ143" s="395"/>
      <c r="AK143" s="395"/>
    </row>
    <row r="144">
      <c r="A144" s="395"/>
      <c r="B144" s="395"/>
      <c r="C144" s="395"/>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c r="AA144" s="395"/>
      <c r="AB144" s="395"/>
      <c r="AC144" s="395"/>
      <c r="AD144" s="395"/>
      <c r="AE144" s="395"/>
      <c r="AF144" s="395"/>
      <c r="AG144" s="395"/>
      <c r="AH144" s="395"/>
      <c r="AI144" s="395"/>
      <c r="AJ144" s="395"/>
      <c r="AK144" s="395"/>
    </row>
    <row r="145">
      <c r="A145" s="395"/>
      <c r="B145" s="395"/>
      <c r="C145" s="395"/>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c r="AA145" s="395"/>
      <c r="AB145" s="395"/>
      <c r="AC145" s="395"/>
      <c r="AD145" s="395"/>
      <c r="AE145" s="395"/>
      <c r="AF145" s="395"/>
      <c r="AG145" s="395"/>
      <c r="AH145" s="395"/>
      <c r="AI145" s="395"/>
      <c r="AJ145" s="395"/>
      <c r="AK145" s="395"/>
    </row>
    <row r="146">
      <c r="A146" s="395"/>
      <c r="B146" s="395"/>
      <c r="C146" s="395"/>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c r="AA146" s="395"/>
      <c r="AB146" s="395"/>
      <c r="AC146" s="395"/>
      <c r="AD146" s="395"/>
      <c r="AE146" s="395"/>
      <c r="AF146" s="395"/>
      <c r="AG146" s="395"/>
      <c r="AH146" s="395"/>
      <c r="AI146" s="395"/>
      <c r="AJ146" s="395"/>
      <c r="AK146" s="395"/>
    </row>
    <row r="147">
      <c r="A147" s="395"/>
      <c r="B147" s="395"/>
      <c r="C147" s="395"/>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c r="AA147" s="395"/>
      <c r="AB147" s="395"/>
      <c r="AC147" s="395"/>
      <c r="AD147" s="395"/>
      <c r="AE147" s="395"/>
      <c r="AF147" s="395"/>
      <c r="AG147" s="395"/>
      <c r="AH147" s="395"/>
      <c r="AI147" s="395"/>
      <c r="AJ147" s="395"/>
      <c r="AK147" s="395"/>
    </row>
    <row r="148">
      <c r="A148" s="395"/>
      <c r="B148" s="395"/>
      <c r="C148" s="395"/>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c r="AA148" s="395"/>
      <c r="AB148" s="395"/>
      <c r="AC148" s="395"/>
      <c r="AD148" s="395"/>
      <c r="AE148" s="395"/>
      <c r="AF148" s="395"/>
      <c r="AG148" s="395"/>
      <c r="AH148" s="395"/>
      <c r="AI148" s="395"/>
      <c r="AJ148" s="395"/>
      <c r="AK148" s="395"/>
    </row>
    <row r="149">
      <c r="A149" s="395"/>
      <c r="B149" s="395"/>
      <c r="C149" s="395"/>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c r="AA149" s="395"/>
      <c r="AB149" s="395"/>
      <c r="AC149" s="395"/>
      <c r="AD149" s="395"/>
      <c r="AE149" s="395"/>
      <c r="AF149" s="395"/>
      <c r="AG149" s="395"/>
      <c r="AH149" s="395"/>
      <c r="AI149" s="395"/>
      <c r="AJ149" s="395"/>
      <c r="AK149" s="395"/>
    </row>
    <row r="150">
      <c r="A150" s="395"/>
      <c r="B150" s="395"/>
      <c r="C150" s="395"/>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c r="AA150" s="395"/>
      <c r="AB150" s="395"/>
      <c r="AC150" s="395"/>
      <c r="AD150" s="395"/>
      <c r="AE150" s="395"/>
      <c r="AF150" s="395"/>
      <c r="AG150" s="395"/>
      <c r="AH150" s="395"/>
      <c r="AI150" s="395"/>
      <c r="AJ150" s="395"/>
      <c r="AK150" s="395"/>
    </row>
    <row r="151">
      <c r="A151" s="395"/>
      <c r="B151" s="395"/>
      <c r="C151" s="395"/>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c r="AA151" s="395"/>
      <c r="AB151" s="395"/>
      <c r="AC151" s="395"/>
      <c r="AD151" s="395"/>
      <c r="AE151" s="395"/>
      <c r="AF151" s="395"/>
      <c r="AG151" s="395"/>
      <c r="AH151" s="395"/>
      <c r="AI151" s="395"/>
      <c r="AJ151" s="395"/>
      <c r="AK151" s="395"/>
    </row>
    <row r="152">
      <c r="A152" s="395"/>
      <c r="B152" s="395"/>
      <c r="C152" s="395"/>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c r="AA152" s="395"/>
      <c r="AB152" s="395"/>
      <c r="AC152" s="395"/>
      <c r="AD152" s="395"/>
      <c r="AE152" s="395"/>
      <c r="AF152" s="395"/>
      <c r="AG152" s="395"/>
      <c r="AH152" s="395"/>
      <c r="AI152" s="395"/>
      <c r="AJ152" s="395"/>
      <c r="AK152" s="395"/>
    </row>
    <row r="153">
      <c r="A153" s="395"/>
      <c r="B153" s="395"/>
      <c r="C153" s="395"/>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c r="AA153" s="395"/>
      <c r="AB153" s="395"/>
      <c r="AC153" s="395"/>
      <c r="AD153" s="395"/>
      <c r="AE153" s="395"/>
      <c r="AF153" s="395"/>
      <c r="AG153" s="395"/>
      <c r="AH153" s="395"/>
      <c r="AI153" s="395"/>
      <c r="AJ153" s="395"/>
      <c r="AK153" s="395"/>
    </row>
    <row r="154">
      <c r="A154" s="395"/>
      <c r="B154" s="395"/>
      <c r="C154" s="395"/>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c r="AA154" s="395"/>
      <c r="AB154" s="395"/>
      <c r="AC154" s="395"/>
      <c r="AD154" s="395"/>
      <c r="AE154" s="395"/>
      <c r="AF154" s="395"/>
      <c r="AG154" s="395"/>
      <c r="AH154" s="395"/>
      <c r="AI154" s="395"/>
      <c r="AJ154" s="395"/>
      <c r="AK154" s="395"/>
    </row>
    <row r="155">
      <c r="A155" s="395"/>
      <c r="B155" s="395"/>
      <c r="C155" s="395"/>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c r="AA155" s="395"/>
      <c r="AB155" s="395"/>
      <c r="AC155" s="395"/>
      <c r="AD155" s="395"/>
      <c r="AE155" s="395"/>
      <c r="AF155" s="395"/>
      <c r="AG155" s="395"/>
      <c r="AH155" s="395"/>
      <c r="AI155" s="395"/>
      <c r="AJ155" s="395"/>
      <c r="AK155" s="395"/>
    </row>
    <row r="156">
      <c r="A156" s="395"/>
      <c r="B156" s="395"/>
      <c r="C156" s="395"/>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c r="AA156" s="395"/>
      <c r="AB156" s="395"/>
      <c r="AC156" s="395"/>
      <c r="AD156" s="395"/>
      <c r="AE156" s="395"/>
      <c r="AF156" s="395"/>
      <c r="AG156" s="395"/>
      <c r="AH156" s="395"/>
      <c r="AI156" s="395"/>
      <c r="AJ156" s="395"/>
      <c r="AK156" s="395"/>
    </row>
    <row r="157">
      <c r="A157" s="395"/>
      <c r="B157" s="395"/>
      <c r="C157" s="395"/>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c r="AA157" s="395"/>
      <c r="AB157" s="395"/>
      <c r="AC157" s="395"/>
      <c r="AD157" s="395"/>
      <c r="AE157" s="395"/>
      <c r="AF157" s="395"/>
      <c r="AG157" s="395"/>
      <c r="AH157" s="395"/>
      <c r="AI157" s="395"/>
      <c r="AJ157" s="395"/>
      <c r="AK157" s="395"/>
    </row>
    <row r="158">
      <c r="A158" s="395"/>
      <c r="B158" s="395"/>
      <c r="C158" s="395"/>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c r="AA158" s="395"/>
      <c r="AB158" s="395"/>
      <c r="AC158" s="395"/>
      <c r="AD158" s="395"/>
      <c r="AE158" s="395"/>
      <c r="AF158" s="395"/>
      <c r="AG158" s="395"/>
      <c r="AH158" s="395"/>
      <c r="AI158" s="395"/>
      <c r="AJ158" s="395"/>
      <c r="AK158" s="395"/>
    </row>
    <row r="159">
      <c r="A159" s="395"/>
      <c r="B159" s="395"/>
      <c r="C159" s="395"/>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c r="AA159" s="395"/>
      <c r="AB159" s="395"/>
      <c r="AC159" s="395"/>
      <c r="AD159" s="395"/>
      <c r="AE159" s="395"/>
      <c r="AF159" s="395"/>
      <c r="AG159" s="395"/>
      <c r="AH159" s="395"/>
      <c r="AI159" s="395"/>
      <c r="AJ159" s="395"/>
      <c r="AK159" s="395"/>
    </row>
    <row r="160">
      <c r="A160" s="395"/>
      <c r="B160" s="395"/>
      <c r="C160" s="395"/>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c r="AA160" s="395"/>
      <c r="AB160" s="395"/>
      <c r="AC160" s="395"/>
      <c r="AD160" s="395"/>
      <c r="AE160" s="395"/>
      <c r="AF160" s="395"/>
      <c r="AG160" s="395"/>
      <c r="AH160" s="395"/>
      <c r="AI160" s="395"/>
      <c r="AJ160" s="395"/>
      <c r="AK160" s="395"/>
    </row>
    <row r="161">
      <c r="A161" s="395"/>
      <c r="B161" s="395"/>
      <c r="C161" s="395"/>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c r="AA161" s="395"/>
      <c r="AB161" s="395"/>
      <c r="AC161" s="395"/>
      <c r="AD161" s="395"/>
      <c r="AE161" s="395"/>
      <c r="AF161" s="395"/>
      <c r="AG161" s="395"/>
      <c r="AH161" s="395"/>
      <c r="AI161" s="395"/>
      <c r="AJ161" s="395"/>
      <c r="AK161" s="395"/>
    </row>
    <row r="162">
      <c r="A162" s="395"/>
      <c r="B162" s="395"/>
      <c r="C162" s="395"/>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c r="AA162" s="395"/>
      <c r="AB162" s="395"/>
      <c r="AC162" s="395"/>
      <c r="AD162" s="395"/>
      <c r="AE162" s="395"/>
      <c r="AF162" s="395"/>
      <c r="AG162" s="395"/>
      <c r="AH162" s="395"/>
      <c r="AI162" s="395"/>
      <c r="AJ162" s="395"/>
      <c r="AK162" s="395"/>
    </row>
    <row r="163">
      <c r="A163" s="395"/>
      <c r="B163" s="395"/>
      <c r="C163" s="395"/>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c r="AA163" s="395"/>
      <c r="AB163" s="395"/>
      <c r="AC163" s="395"/>
      <c r="AD163" s="395"/>
      <c r="AE163" s="395"/>
      <c r="AF163" s="395"/>
      <c r="AG163" s="395"/>
      <c r="AH163" s="395"/>
      <c r="AI163" s="395"/>
      <c r="AJ163" s="395"/>
      <c r="AK163" s="395"/>
    </row>
    <row r="164">
      <c r="A164" s="395"/>
      <c r="B164" s="395"/>
      <c r="C164" s="395"/>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row>
    <row r="165">
      <c r="A165" s="395"/>
      <c r="B165" s="395"/>
      <c r="C165" s="395"/>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c r="AA165" s="395"/>
      <c r="AB165" s="395"/>
      <c r="AC165" s="395"/>
      <c r="AD165" s="395"/>
      <c r="AE165" s="395"/>
      <c r="AF165" s="395"/>
      <c r="AG165" s="395"/>
      <c r="AH165" s="395"/>
      <c r="AI165" s="395"/>
      <c r="AJ165" s="395"/>
      <c r="AK165" s="395"/>
    </row>
    <row r="166">
      <c r="A166" s="395"/>
      <c r="B166" s="395"/>
      <c r="C166" s="395"/>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c r="AA166" s="395"/>
      <c r="AB166" s="395"/>
      <c r="AC166" s="395"/>
      <c r="AD166" s="395"/>
      <c r="AE166" s="395"/>
      <c r="AF166" s="395"/>
      <c r="AG166" s="395"/>
      <c r="AH166" s="395"/>
      <c r="AI166" s="395"/>
      <c r="AJ166" s="395"/>
      <c r="AK166" s="395"/>
    </row>
    <row r="167">
      <c r="A167" s="395"/>
      <c r="B167" s="395"/>
      <c r="C167" s="395"/>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row>
    <row r="168">
      <c r="A168" s="395"/>
      <c r="B168" s="395"/>
      <c r="C168" s="395"/>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c r="AA168" s="395"/>
      <c r="AB168" s="395"/>
      <c r="AC168" s="395"/>
      <c r="AD168" s="395"/>
      <c r="AE168" s="395"/>
      <c r="AF168" s="395"/>
      <c r="AG168" s="395"/>
      <c r="AH168" s="395"/>
      <c r="AI168" s="395"/>
      <c r="AJ168" s="395"/>
      <c r="AK168" s="395"/>
    </row>
    <row r="169">
      <c r="A169" s="395"/>
      <c r="B169" s="395"/>
      <c r="C169" s="395"/>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c r="AA169" s="395"/>
      <c r="AB169" s="395"/>
      <c r="AC169" s="395"/>
      <c r="AD169" s="395"/>
      <c r="AE169" s="395"/>
      <c r="AF169" s="395"/>
      <c r="AG169" s="395"/>
      <c r="AH169" s="395"/>
      <c r="AI169" s="395"/>
      <c r="AJ169" s="395"/>
      <c r="AK169" s="395"/>
    </row>
    <row r="170">
      <c r="A170" s="395"/>
      <c r="B170" s="395"/>
      <c r="C170" s="395"/>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c r="AA170" s="395"/>
      <c r="AB170" s="395"/>
      <c r="AC170" s="395"/>
      <c r="AD170" s="395"/>
      <c r="AE170" s="395"/>
      <c r="AF170" s="395"/>
      <c r="AG170" s="395"/>
      <c r="AH170" s="395"/>
      <c r="AI170" s="395"/>
      <c r="AJ170" s="395"/>
      <c r="AK170" s="395"/>
    </row>
    <row r="171">
      <c r="A171" s="395"/>
      <c r="B171" s="395"/>
      <c r="C171" s="395"/>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c r="AA171" s="395"/>
      <c r="AB171" s="395"/>
      <c r="AC171" s="395"/>
      <c r="AD171" s="395"/>
      <c r="AE171" s="395"/>
      <c r="AF171" s="395"/>
      <c r="AG171" s="395"/>
      <c r="AH171" s="395"/>
      <c r="AI171" s="395"/>
      <c r="AJ171" s="395"/>
      <c r="AK171" s="395"/>
    </row>
    <row r="172">
      <c r="A172" s="395"/>
      <c r="B172" s="395"/>
      <c r="C172" s="395"/>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c r="AA172" s="395"/>
      <c r="AB172" s="395"/>
      <c r="AC172" s="395"/>
      <c r="AD172" s="395"/>
      <c r="AE172" s="395"/>
      <c r="AF172" s="395"/>
      <c r="AG172" s="395"/>
      <c r="AH172" s="395"/>
      <c r="AI172" s="395"/>
      <c r="AJ172" s="395"/>
      <c r="AK172" s="395"/>
    </row>
    <row r="173">
      <c r="A173" s="395"/>
      <c r="B173" s="395"/>
      <c r="C173" s="395"/>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c r="AA173" s="395"/>
      <c r="AB173" s="395"/>
      <c r="AC173" s="395"/>
      <c r="AD173" s="395"/>
      <c r="AE173" s="395"/>
      <c r="AF173" s="395"/>
      <c r="AG173" s="395"/>
      <c r="AH173" s="395"/>
      <c r="AI173" s="395"/>
      <c r="AJ173" s="395"/>
      <c r="AK173" s="395"/>
    </row>
    <row r="174">
      <c r="A174" s="395"/>
      <c r="B174" s="395"/>
      <c r="C174" s="395"/>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c r="AA174" s="395"/>
      <c r="AB174" s="395"/>
      <c r="AC174" s="395"/>
      <c r="AD174" s="395"/>
      <c r="AE174" s="395"/>
      <c r="AF174" s="395"/>
      <c r="AG174" s="395"/>
      <c r="AH174" s="395"/>
      <c r="AI174" s="395"/>
      <c r="AJ174" s="395"/>
      <c r="AK174" s="395"/>
    </row>
    <row r="175">
      <c r="A175" s="395"/>
      <c r="B175" s="395"/>
      <c r="C175" s="395"/>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c r="AA175" s="395"/>
      <c r="AB175" s="395"/>
      <c r="AC175" s="395"/>
      <c r="AD175" s="395"/>
      <c r="AE175" s="395"/>
      <c r="AF175" s="395"/>
      <c r="AG175" s="395"/>
      <c r="AH175" s="395"/>
      <c r="AI175" s="395"/>
      <c r="AJ175" s="395"/>
      <c r="AK175" s="395"/>
    </row>
    <row r="176">
      <c r="A176" s="395"/>
      <c r="B176" s="395"/>
      <c r="C176" s="395"/>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c r="AA176" s="395"/>
      <c r="AB176" s="395"/>
      <c r="AC176" s="395"/>
      <c r="AD176" s="395"/>
      <c r="AE176" s="395"/>
      <c r="AF176" s="395"/>
      <c r="AG176" s="395"/>
      <c r="AH176" s="395"/>
      <c r="AI176" s="395"/>
      <c r="AJ176" s="395"/>
      <c r="AK176" s="395"/>
    </row>
    <row r="177">
      <c r="A177" s="395"/>
      <c r="B177" s="395"/>
      <c r="C177" s="395"/>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c r="AA177" s="395"/>
      <c r="AB177" s="395"/>
      <c r="AC177" s="395"/>
      <c r="AD177" s="395"/>
      <c r="AE177" s="395"/>
      <c r="AF177" s="395"/>
      <c r="AG177" s="395"/>
      <c r="AH177" s="395"/>
      <c r="AI177" s="395"/>
      <c r="AJ177" s="395"/>
      <c r="AK177" s="395"/>
    </row>
    <row r="178">
      <c r="A178" s="395"/>
      <c r="B178" s="395"/>
      <c r="C178" s="395"/>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c r="AA178" s="395"/>
      <c r="AB178" s="395"/>
      <c r="AC178" s="395"/>
      <c r="AD178" s="395"/>
      <c r="AE178" s="395"/>
      <c r="AF178" s="395"/>
      <c r="AG178" s="395"/>
      <c r="AH178" s="395"/>
      <c r="AI178" s="395"/>
      <c r="AJ178" s="395"/>
      <c r="AK178" s="395"/>
    </row>
    <row r="179">
      <c r="A179" s="395"/>
      <c r="B179" s="395"/>
      <c r="C179" s="395"/>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c r="AA179" s="395"/>
      <c r="AB179" s="395"/>
      <c r="AC179" s="395"/>
      <c r="AD179" s="395"/>
      <c r="AE179" s="395"/>
      <c r="AF179" s="395"/>
      <c r="AG179" s="395"/>
      <c r="AH179" s="395"/>
      <c r="AI179" s="395"/>
      <c r="AJ179" s="395"/>
      <c r="AK179" s="395"/>
    </row>
    <row r="180">
      <c r="A180" s="395"/>
      <c r="B180" s="395"/>
      <c r="C180" s="395"/>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c r="AA180" s="395"/>
      <c r="AB180" s="395"/>
      <c r="AC180" s="395"/>
      <c r="AD180" s="395"/>
      <c r="AE180" s="395"/>
      <c r="AF180" s="395"/>
      <c r="AG180" s="395"/>
      <c r="AH180" s="395"/>
      <c r="AI180" s="395"/>
      <c r="AJ180" s="395"/>
      <c r="AK180" s="395"/>
    </row>
    <row r="181">
      <c r="A181" s="395"/>
      <c r="B181" s="395"/>
      <c r="C181" s="395"/>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c r="AA181" s="395"/>
      <c r="AB181" s="395"/>
      <c r="AC181" s="395"/>
      <c r="AD181" s="395"/>
      <c r="AE181" s="395"/>
      <c r="AF181" s="395"/>
      <c r="AG181" s="395"/>
      <c r="AH181" s="395"/>
      <c r="AI181" s="395"/>
      <c r="AJ181" s="395"/>
      <c r="AK181" s="395"/>
    </row>
    <row r="182">
      <c r="A182" s="395"/>
      <c r="B182" s="395"/>
      <c r="C182" s="395"/>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c r="AA182" s="395"/>
      <c r="AB182" s="395"/>
      <c r="AC182" s="395"/>
      <c r="AD182" s="395"/>
      <c r="AE182" s="395"/>
      <c r="AF182" s="395"/>
      <c r="AG182" s="395"/>
      <c r="AH182" s="395"/>
      <c r="AI182" s="395"/>
      <c r="AJ182" s="395"/>
      <c r="AK182" s="395"/>
    </row>
    <row r="183">
      <c r="A183" s="395"/>
      <c r="B183" s="395"/>
      <c r="C183" s="395"/>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c r="AA183" s="395"/>
      <c r="AB183" s="395"/>
      <c r="AC183" s="395"/>
      <c r="AD183" s="395"/>
      <c r="AE183" s="395"/>
      <c r="AF183" s="395"/>
      <c r="AG183" s="395"/>
      <c r="AH183" s="395"/>
      <c r="AI183" s="395"/>
      <c r="AJ183" s="395"/>
      <c r="AK183" s="395"/>
    </row>
    <row r="184">
      <c r="A184" s="395"/>
      <c r="B184" s="395"/>
      <c r="C184" s="395"/>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c r="AA184" s="395"/>
      <c r="AB184" s="395"/>
      <c r="AC184" s="395"/>
      <c r="AD184" s="395"/>
      <c r="AE184" s="395"/>
      <c r="AF184" s="395"/>
      <c r="AG184" s="395"/>
      <c r="AH184" s="395"/>
      <c r="AI184" s="395"/>
      <c r="AJ184" s="395"/>
      <c r="AK184" s="395"/>
    </row>
    <row r="185">
      <c r="A185" s="395"/>
      <c r="B185" s="395"/>
      <c r="C185" s="395"/>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c r="AA185" s="395"/>
      <c r="AB185" s="395"/>
      <c r="AC185" s="395"/>
      <c r="AD185" s="395"/>
      <c r="AE185" s="395"/>
      <c r="AF185" s="395"/>
      <c r="AG185" s="395"/>
      <c r="AH185" s="395"/>
      <c r="AI185" s="395"/>
      <c r="AJ185" s="395"/>
      <c r="AK185" s="395"/>
    </row>
    <row r="186">
      <c r="A186" s="395"/>
      <c r="B186" s="395"/>
      <c r="C186" s="395"/>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c r="AA186" s="395"/>
      <c r="AB186" s="395"/>
      <c r="AC186" s="395"/>
      <c r="AD186" s="395"/>
      <c r="AE186" s="395"/>
      <c r="AF186" s="395"/>
      <c r="AG186" s="395"/>
      <c r="AH186" s="395"/>
      <c r="AI186" s="395"/>
      <c r="AJ186" s="395"/>
      <c r="AK186" s="395"/>
    </row>
    <row r="187">
      <c r="A187" s="395"/>
      <c r="B187" s="395"/>
      <c r="C187" s="395"/>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c r="AA187" s="395"/>
      <c r="AB187" s="395"/>
      <c r="AC187" s="395"/>
      <c r="AD187" s="395"/>
      <c r="AE187" s="395"/>
      <c r="AF187" s="395"/>
      <c r="AG187" s="395"/>
      <c r="AH187" s="395"/>
      <c r="AI187" s="395"/>
      <c r="AJ187" s="395"/>
      <c r="AK187" s="395"/>
    </row>
    <row r="188">
      <c r="A188" s="395"/>
      <c r="B188" s="395"/>
      <c r="C188" s="395"/>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c r="AA188" s="395"/>
      <c r="AB188" s="395"/>
      <c r="AC188" s="395"/>
      <c r="AD188" s="395"/>
      <c r="AE188" s="395"/>
      <c r="AF188" s="395"/>
      <c r="AG188" s="395"/>
      <c r="AH188" s="395"/>
      <c r="AI188" s="395"/>
      <c r="AJ188" s="395"/>
      <c r="AK188" s="395"/>
    </row>
    <row r="189">
      <c r="A189" s="395"/>
      <c r="B189" s="395"/>
      <c r="C189" s="395"/>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c r="AA189" s="395"/>
      <c r="AB189" s="395"/>
      <c r="AC189" s="395"/>
      <c r="AD189" s="395"/>
      <c r="AE189" s="395"/>
      <c r="AF189" s="395"/>
      <c r="AG189" s="395"/>
      <c r="AH189" s="395"/>
      <c r="AI189" s="395"/>
      <c r="AJ189" s="395"/>
      <c r="AK189" s="395"/>
    </row>
    <row r="190">
      <c r="A190" s="395"/>
      <c r="B190" s="395"/>
      <c r="C190" s="395"/>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c r="AA190" s="395"/>
      <c r="AB190" s="395"/>
      <c r="AC190" s="395"/>
      <c r="AD190" s="395"/>
      <c r="AE190" s="395"/>
      <c r="AF190" s="395"/>
      <c r="AG190" s="395"/>
      <c r="AH190" s="395"/>
      <c r="AI190" s="395"/>
      <c r="AJ190" s="395"/>
      <c r="AK190" s="395"/>
    </row>
    <row r="191">
      <c r="A191" s="395"/>
      <c r="B191" s="395"/>
      <c r="C191" s="395"/>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c r="AA191" s="395"/>
      <c r="AB191" s="395"/>
      <c r="AC191" s="395"/>
      <c r="AD191" s="395"/>
      <c r="AE191" s="395"/>
      <c r="AF191" s="395"/>
      <c r="AG191" s="395"/>
      <c r="AH191" s="395"/>
      <c r="AI191" s="395"/>
      <c r="AJ191" s="395"/>
      <c r="AK191" s="395"/>
    </row>
    <row r="192">
      <c r="A192" s="395"/>
      <c r="B192" s="395"/>
      <c r="C192" s="395"/>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c r="AA192" s="395"/>
      <c r="AB192" s="395"/>
      <c r="AC192" s="395"/>
      <c r="AD192" s="395"/>
      <c r="AE192" s="395"/>
      <c r="AF192" s="395"/>
      <c r="AG192" s="395"/>
      <c r="AH192" s="395"/>
      <c r="AI192" s="395"/>
      <c r="AJ192" s="395"/>
      <c r="AK192" s="395"/>
    </row>
    <row r="193">
      <c r="A193" s="395"/>
      <c r="B193" s="395"/>
      <c r="C193" s="395"/>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c r="AA193" s="395"/>
      <c r="AB193" s="395"/>
      <c r="AC193" s="395"/>
      <c r="AD193" s="395"/>
      <c r="AE193" s="395"/>
      <c r="AF193" s="395"/>
      <c r="AG193" s="395"/>
      <c r="AH193" s="395"/>
      <c r="AI193" s="395"/>
      <c r="AJ193" s="395"/>
      <c r="AK193" s="395"/>
    </row>
    <row r="194">
      <c r="A194" s="395"/>
      <c r="B194" s="395"/>
      <c r="C194" s="395"/>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c r="AA194" s="395"/>
      <c r="AB194" s="395"/>
      <c r="AC194" s="395"/>
      <c r="AD194" s="395"/>
      <c r="AE194" s="395"/>
      <c r="AF194" s="395"/>
      <c r="AG194" s="395"/>
      <c r="AH194" s="395"/>
      <c r="AI194" s="395"/>
      <c r="AJ194" s="395"/>
      <c r="AK194" s="395"/>
    </row>
    <row r="195">
      <c r="A195" s="395"/>
      <c r="B195" s="395"/>
      <c r="C195" s="395"/>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c r="AA195" s="395"/>
      <c r="AB195" s="395"/>
      <c r="AC195" s="395"/>
      <c r="AD195" s="395"/>
      <c r="AE195" s="395"/>
      <c r="AF195" s="395"/>
      <c r="AG195" s="395"/>
      <c r="AH195" s="395"/>
      <c r="AI195" s="395"/>
      <c r="AJ195" s="395"/>
      <c r="AK195" s="395"/>
    </row>
    <row r="196">
      <c r="A196" s="395"/>
      <c r="B196" s="395"/>
      <c r="C196" s="395"/>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c r="AA196" s="395"/>
      <c r="AB196" s="395"/>
      <c r="AC196" s="395"/>
      <c r="AD196" s="395"/>
      <c r="AE196" s="395"/>
      <c r="AF196" s="395"/>
      <c r="AG196" s="395"/>
      <c r="AH196" s="395"/>
      <c r="AI196" s="395"/>
      <c r="AJ196" s="395"/>
      <c r="AK196" s="395"/>
    </row>
    <row r="197">
      <c r="A197" s="395"/>
      <c r="B197" s="395"/>
      <c r="C197" s="395"/>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c r="AA197" s="395"/>
      <c r="AB197" s="395"/>
      <c r="AC197" s="395"/>
      <c r="AD197" s="395"/>
      <c r="AE197" s="395"/>
      <c r="AF197" s="395"/>
      <c r="AG197" s="395"/>
      <c r="AH197" s="395"/>
      <c r="AI197" s="395"/>
      <c r="AJ197" s="395"/>
      <c r="AK197" s="395"/>
    </row>
    <row r="198">
      <c r="A198" s="395"/>
      <c r="B198" s="395"/>
      <c r="C198" s="395"/>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c r="AA198" s="395"/>
      <c r="AB198" s="395"/>
      <c r="AC198" s="395"/>
      <c r="AD198" s="395"/>
      <c r="AE198" s="395"/>
      <c r="AF198" s="395"/>
      <c r="AG198" s="395"/>
      <c r="AH198" s="395"/>
      <c r="AI198" s="395"/>
      <c r="AJ198" s="395"/>
      <c r="AK198" s="395"/>
    </row>
    <row r="199">
      <c r="A199" s="395"/>
      <c r="B199" s="395"/>
      <c r="C199" s="395"/>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c r="AA199" s="395"/>
      <c r="AB199" s="395"/>
      <c r="AC199" s="395"/>
      <c r="AD199" s="395"/>
      <c r="AE199" s="395"/>
      <c r="AF199" s="395"/>
      <c r="AG199" s="395"/>
      <c r="AH199" s="395"/>
      <c r="AI199" s="395"/>
      <c r="AJ199" s="395"/>
      <c r="AK199" s="395"/>
    </row>
    <row r="200">
      <c r="A200" s="395"/>
      <c r="B200" s="395"/>
      <c r="C200" s="395"/>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c r="AA200" s="395"/>
      <c r="AB200" s="395"/>
      <c r="AC200" s="395"/>
      <c r="AD200" s="395"/>
      <c r="AE200" s="395"/>
      <c r="AF200" s="395"/>
      <c r="AG200" s="395"/>
      <c r="AH200" s="395"/>
      <c r="AI200" s="395"/>
      <c r="AJ200" s="395"/>
      <c r="AK200" s="395"/>
    </row>
    <row r="201">
      <c r="A201" s="395"/>
      <c r="B201" s="395"/>
      <c r="C201" s="395"/>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c r="AA201" s="395"/>
      <c r="AB201" s="395"/>
      <c r="AC201" s="395"/>
      <c r="AD201" s="395"/>
      <c r="AE201" s="395"/>
      <c r="AF201" s="395"/>
      <c r="AG201" s="395"/>
      <c r="AH201" s="395"/>
      <c r="AI201" s="395"/>
      <c r="AJ201" s="395"/>
      <c r="AK201" s="395"/>
    </row>
    <row r="202">
      <c r="A202" s="395"/>
      <c r="B202" s="395"/>
      <c r="C202" s="395"/>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c r="AA202" s="395"/>
      <c r="AB202" s="395"/>
      <c r="AC202" s="395"/>
      <c r="AD202" s="395"/>
      <c r="AE202" s="395"/>
      <c r="AF202" s="395"/>
      <c r="AG202" s="395"/>
      <c r="AH202" s="395"/>
      <c r="AI202" s="395"/>
      <c r="AJ202" s="395"/>
      <c r="AK202" s="395"/>
    </row>
    <row r="203">
      <c r="A203" s="395"/>
      <c r="B203" s="395"/>
      <c r="C203" s="395"/>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c r="AA203" s="395"/>
      <c r="AB203" s="395"/>
      <c r="AC203" s="395"/>
      <c r="AD203" s="395"/>
      <c r="AE203" s="395"/>
      <c r="AF203" s="395"/>
      <c r="AG203" s="395"/>
      <c r="AH203" s="395"/>
      <c r="AI203" s="395"/>
      <c r="AJ203" s="395"/>
      <c r="AK203" s="395"/>
    </row>
    <row r="204">
      <c r="A204" s="395"/>
      <c r="B204" s="395"/>
      <c r="C204" s="395"/>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c r="AA204" s="395"/>
      <c r="AB204" s="395"/>
      <c r="AC204" s="395"/>
      <c r="AD204" s="395"/>
      <c r="AE204" s="395"/>
      <c r="AF204" s="395"/>
      <c r="AG204" s="395"/>
      <c r="AH204" s="395"/>
      <c r="AI204" s="395"/>
      <c r="AJ204" s="395"/>
      <c r="AK204" s="395"/>
    </row>
    <row r="205">
      <c r="A205" s="395"/>
      <c r="B205" s="395"/>
      <c r="C205" s="395"/>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c r="AA205" s="395"/>
      <c r="AB205" s="395"/>
      <c r="AC205" s="395"/>
      <c r="AD205" s="395"/>
      <c r="AE205" s="395"/>
      <c r="AF205" s="395"/>
      <c r="AG205" s="395"/>
      <c r="AH205" s="395"/>
      <c r="AI205" s="395"/>
      <c r="AJ205" s="395"/>
      <c r="AK205" s="395"/>
    </row>
    <row r="206">
      <c r="A206" s="395"/>
      <c r="B206" s="395"/>
      <c r="C206" s="395"/>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c r="AA206" s="395"/>
      <c r="AB206" s="395"/>
      <c r="AC206" s="395"/>
      <c r="AD206" s="395"/>
      <c r="AE206" s="395"/>
      <c r="AF206" s="395"/>
      <c r="AG206" s="395"/>
      <c r="AH206" s="395"/>
      <c r="AI206" s="395"/>
      <c r="AJ206" s="395"/>
      <c r="AK206" s="395"/>
    </row>
    <row r="207">
      <c r="A207" s="395"/>
      <c r="B207" s="395"/>
      <c r="C207" s="395"/>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c r="AA207" s="395"/>
      <c r="AB207" s="395"/>
      <c r="AC207" s="395"/>
      <c r="AD207" s="395"/>
      <c r="AE207" s="395"/>
      <c r="AF207" s="395"/>
      <c r="AG207" s="395"/>
      <c r="AH207" s="395"/>
      <c r="AI207" s="395"/>
      <c r="AJ207" s="395"/>
      <c r="AK207" s="395"/>
    </row>
    <row r="208">
      <c r="A208" s="395"/>
      <c r="B208" s="395"/>
      <c r="C208" s="395"/>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c r="AA208" s="395"/>
      <c r="AB208" s="395"/>
      <c r="AC208" s="395"/>
      <c r="AD208" s="395"/>
      <c r="AE208" s="395"/>
      <c r="AF208" s="395"/>
      <c r="AG208" s="395"/>
      <c r="AH208" s="395"/>
      <c r="AI208" s="395"/>
      <c r="AJ208" s="395"/>
      <c r="AK208" s="395"/>
    </row>
    <row r="209">
      <c r="A209" s="395"/>
      <c r="B209" s="395"/>
      <c r="C209" s="395"/>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c r="AA209" s="395"/>
      <c r="AB209" s="395"/>
      <c r="AC209" s="395"/>
      <c r="AD209" s="395"/>
      <c r="AE209" s="395"/>
      <c r="AF209" s="395"/>
      <c r="AG209" s="395"/>
      <c r="AH209" s="395"/>
      <c r="AI209" s="395"/>
      <c r="AJ209" s="395"/>
      <c r="AK209" s="395"/>
    </row>
    <row r="210">
      <c r="A210" s="395"/>
      <c r="B210" s="395"/>
      <c r="C210" s="395"/>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c r="AA210" s="395"/>
      <c r="AB210" s="395"/>
      <c r="AC210" s="395"/>
      <c r="AD210" s="395"/>
      <c r="AE210" s="395"/>
      <c r="AF210" s="395"/>
      <c r="AG210" s="395"/>
      <c r="AH210" s="395"/>
      <c r="AI210" s="395"/>
      <c r="AJ210" s="395"/>
      <c r="AK210" s="395"/>
    </row>
    <row r="211">
      <c r="A211" s="395"/>
      <c r="B211" s="395"/>
      <c r="C211" s="395"/>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c r="AA211" s="395"/>
      <c r="AB211" s="395"/>
      <c r="AC211" s="395"/>
      <c r="AD211" s="395"/>
      <c r="AE211" s="395"/>
      <c r="AF211" s="395"/>
      <c r="AG211" s="395"/>
      <c r="AH211" s="395"/>
      <c r="AI211" s="395"/>
      <c r="AJ211" s="395"/>
      <c r="AK211" s="395"/>
    </row>
    <row r="212">
      <c r="A212" s="395"/>
      <c r="B212" s="395"/>
      <c r="C212" s="395"/>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c r="AA212" s="395"/>
      <c r="AB212" s="395"/>
      <c r="AC212" s="395"/>
      <c r="AD212" s="395"/>
      <c r="AE212" s="395"/>
      <c r="AF212" s="395"/>
      <c r="AG212" s="395"/>
      <c r="AH212" s="395"/>
      <c r="AI212" s="395"/>
      <c r="AJ212" s="395"/>
      <c r="AK212" s="395"/>
    </row>
    <row r="213">
      <c r="A213" s="395"/>
      <c r="B213" s="395"/>
      <c r="C213" s="395"/>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c r="AA213" s="395"/>
      <c r="AB213" s="395"/>
      <c r="AC213" s="395"/>
      <c r="AD213" s="395"/>
      <c r="AE213" s="395"/>
      <c r="AF213" s="395"/>
      <c r="AG213" s="395"/>
      <c r="AH213" s="395"/>
      <c r="AI213" s="395"/>
      <c r="AJ213" s="395"/>
      <c r="AK213" s="395"/>
    </row>
    <row r="214">
      <c r="A214" s="395"/>
      <c r="B214" s="395"/>
      <c r="C214" s="395"/>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c r="AA214" s="395"/>
      <c r="AB214" s="395"/>
      <c r="AC214" s="395"/>
      <c r="AD214" s="395"/>
      <c r="AE214" s="395"/>
      <c r="AF214" s="395"/>
      <c r="AG214" s="395"/>
      <c r="AH214" s="395"/>
      <c r="AI214" s="395"/>
      <c r="AJ214" s="395"/>
      <c r="AK214" s="395"/>
    </row>
    <row r="215">
      <c r="A215" s="395"/>
      <c r="B215" s="395"/>
      <c r="C215" s="395"/>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c r="AA215" s="395"/>
      <c r="AB215" s="395"/>
      <c r="AC215" s="395"/>
      <c r="AD215" s="395"/>
      <c r="AE215" s="395"/>
      <c r="AF215" s="395"/>
      <c r="AG215" s="395"/>
      <c r="AH215" s="395"/>
      <c r="AI215" s="395"/>
      <c r="AJ215" s="395"/>
      <c r="AK215" s="395"/>
    </row>
    <row r="216">
      <c r="A216" s="395"/>
      <c r="B216" s="395"/>
      <c r="C216" s="395"/>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c r="AA216" s="395"/>
      <c r="AB216" s="395"/>
      <c r="AC216" s="395"/>
      <c r="AD216" s="395"/>
      <c r="AE216" s="395"/>
      <c r="AF216" s="395"/>
      <c r="AG216" s="395"/>
      <c r="AH216" s="395"/>
      <c r="AI216" s="395"/>
      <c r="AJ216" s="395"/>
      <c r="AK216" s="395"/>
    </row>
    <row r="217">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c r="AA217" s="395"/>
      <c r="AB217" s="395"/>
      <c r="AC217" s="395"/>
      <c r="AD217" s="395"/>
      <c r="AE217" s="395"/>
      <c r="AF217" s="395"/>
      <c r="AG217" s="395"/>
      <c r="AH217" s="395"/>
      <c r="AI217" s="395"/>
      <c r="AJ217" s="395"/>
      <c r="AK217" s="395"/>
    </row>
    <row r="218">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c r="AA218" s="395"/>
      <c r="AB218" s="395"/>
      <c r="AC218" s="395"/>
      <c r="AD218" s="395"/>
      <c r="AE218" s="395"/>
      <c r="AF218" s="395"/>
      <c r="AG218" s="395"/>
      <c r="AH218" s="395"/>
      <c r="AI218" s="395"/>
      <c r="AJ218" s="395"/>
      <c r="AK218" s="395"/>
    </row>
    <row r="219">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c r="AA219" s="395"/>
      <c r="AB219" s="395"/>
      <c r="AC219" s="395"/>
      <c r="AD219" s="395"/>
      <c r="AE219" s="395"/>
      <c r="AF219" s="395"/>
      <c r="AG219" s="395"/>
      <c r="AH219" s="395"/>
      <c r="AI219" s="395"/>
      <c r="AJ219" s="395"/>
      <c r="AK219" s="395"/>
    </row>
    <row r="220">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c r="AA220" s="395"/>
      <c r="AB220" s="395"/>
      <c r="AC220" s="395"/>
      <c r="AD220" s="395"/>
      <c r="AE220" s="395"/>
      <c r="AF220" s="395"/>
      <c r="AG220" s="395"/>
      <c r="AH220" s="395"/>
      <c r="AI220" s="395"/>
      <c r="AJ220" s="395"/>
      <c r="AK220" s="395"/>
    </row>
    <row r="22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c r="AA221" s="395"/>
      <c r="AB221" s="395"/>
      <c r="AC221" s="395"/>
      <c r="AD221" s="395"/>
      <c r="AE221" s="395"/>
      <c r="AF221" s="395"/>
      <c r="AG221" s="395"/>
      <c r="AH221" s="395"/>
      <c r="AI221" s="395"/>
      <c r="AJ221" s="395"/>
      <c r="AK221" s="395"/>
    </row>
    <row r="222">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c r="AA222" s="395"/>
      <c r="AB222" s="395"/>
      <c r="AC222" s="395"/>
      <c r="AD222" s="395"/>
      <c r="AE222" s="395"/>
      <c r="AF222" s="395"/>
      <c r="AG222" s="395"/>
      <c r="AH222" s="395"/>
      <c r="AI222" s="395"/>
      <c r="AJ222" s="395"/>
      <c r="AK222" s="395"/>
    </row>
    <row r="223">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c r="AA223" s="395"/>
      <c r="AB223" s="395"/>
      <c r="AC223" s="395"/>
      <c r="AD223" s="395"/>
      <c r="AE223" s="395"/>
      <c r="AF223" s="395"/>
      <c r="AG223" s="395"/>
      <c r="AH223" s="395"/>
      <c r="AI223" s="395"/>
      <c r="AJ223" s="395"/>
      <c r="AK223" s="395"/>
    </row>
    <row r="224">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c r="AA224" s="395"/>
      <c r="AB224" s="395"/>
      <c r="AC224" s="395"/>
      <c r="AD224" s="395"/>
      <c r="AE224" s="395"/>
      <c r="AF224" s="395"/>
      <c r="AG224" s="395"/>
      <c r="AH224" s="395"/>
      <c r="AI224" s="395"/>
      <c r="AJ224" s="395"/>
      <c r="AK224" s="395"/>
    </row>
    <row r="225">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c r="AA225" s="395"/>
      <c r="AB225" s="395"/>
      <c r="AC225" s="395"/>
      <c r="AD225" s="395"/>
      <c r="AE225" s="395"/>
      <c r="AF225" s="395"/>
      <c r="AG225" s="395"/>
      <c r="AH225" s="395"/>
      <c r="AI225" s="395"/>
      <c r="AJ225" s="395"/>
      <c r="AK225" s="395"/>
    </row>
    <row r="226">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c r="AA226" s="395"/>
      <c r="AB226" s="395"/>
      <c r="AC226" s="395"/>
      <c r="AD226" s="395"/>
      <c r="AE226" s="395"/>
      <c r="AF226" s="395"/>
      <c r="AG226" s="395"/>
      <c r="AH226" s="395"/>
      <c r="AI226" s="395"/>
      <c r="AJ226" s="395"/>
      <c r="AK226" s="395"/>
    </row>
    <row r="227">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c r="AA227" s="395"/>
      <c r="AB227" s="395"/>
      <c r="AC227" s="395"/>
      <c r="AD227" s="395"/>
      <c r="AE227" s="395"/>
      <c r="AF227" s="395"/>
      <c r="AG227" s="395"/>
      <c r="AH227" s="395"/>
      <c r="AI227" s="395"/>
      <c r="AJ227" s="395"/>
      <c r="AK227" s="395"/>
    </row>
    <row r="228">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c r="AA228" s="395"/>
      <c r="AB228" s="395"/>
      <c r="AC228" s="395"/>
      <c r="AD228" s="395"/>
      <c r="AE228" s="395"/>
      <c r="AF228" s="395"/>
      <c r="AG228" s="395"/>
      <c r="AH228" s="395"/>
      <c r="AI228" s="395"/>
      <c r="AJ228" s="395"/>
      <c r="AK228" s="395"/>
    </row>
    <row r="229">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c r="AA229" s="395"/>
      <c r="AB229" s="395"/>
      <c r="AC229" s="395"/>
      <c r="AD229" s="395"/>
      <c r="AE229" s="395"/>
      <c r="AF229" s="395"/>
      <c r="AG229" s="395"/>
      <c r="AH229" s="395"/>
      <c r="AI229" s="395"/>
      <c r="AJ229" s="395"/>
      <c r="AK229" s="395"/>
    </row>
    <row r="230">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c r="AA230" s="395"/>
      <c r="AB230" s="395"/>
      <c r="AC230" s="395"/>
      <c r="AD230" s="395"/>
      <c r="AE230" s="395"/>
      <c r="AF230" s="395"/>
      <c r="AG230" s="395"/>
      <c r="AH230" s="395"/>
      <c r="AI230" s="395"/>
      <c r="AJ230" s="395"/>
      <c r="AK230" s="395"/>
    </row>
    <row r="23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c r="AA231" s="395"/>
      <c r="AB231" s="395"/>
      <c r="AC231" s="395"/>
      <c r="AD231" s="395"/>
      <c r="AE231" s="395"/>
      <c r="AF231" s="395"/>
      <c r="AG231" s="395"/>
      <c r="AH231" s="395"/>
      <c r="AI231" s="395"/>
      <c r="AJ231" s="395"/>
      <c r="AK231" s="395"/>
    </row>
    <row r="232">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c r="AA232" s="395"/>
      <c r="AB232" s="395"/>
      <c r="AC232" s="395"/>
      <c r="AD232" s="395"/>
      <c r="AE232" s="395"/>
      <c r="AF232" s="395"/>
      <c r="AG232" s="395"/>
      <c r="AH232" s="395"/>
      <c r="AI232" s="395"/>
      <c r="AJ232" s="395"/>
      <c r="AK232" s="395"/>
    </row>
    <row r="233">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c r="AA233" s="395"/>
      <c r="AB233" s="395"/>
      <c r="AC233" s="395"/>
      <c r="AD233" s="395"/>
      <c r="AE233" s="395"/>
      <c r="AF233" s="395"/>
      <c r="AG233" s="395"/>
      <c r="AH233" s="395"/>
      <c r="AI233" s="395"/>
      <c r="AJ233" s="395"/>
      <c r="AK233" s="395"/>
    </row>
    <row r="234">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c r="AA234" s="395"/>
      <c r="AB234" s="395"/>
      <c r="AC234" s="395"/>
      <c r="AD234" s="395"/>
      <c r="AE234" s="395"/>
      <c r="AF234" s="395"/>
      <c r="AG234" s="395"/>
      <c r="AH234" s="395"/>
      <c r="AI234" s="395"/>
      <c r="AJ234" s="395"/>
      <c r="AK234" s="395"/>
    </row>
    <row r="235">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c r="AA235" s="395"/>
      <c r="AB235" s="395"/>
      <c r="AC235" s="395"/>
      <c r="AD235" s="395"/>
      <c r="AE235" s="395"/>
      <c r="AF235" s="395"/>
      <c r="AG235" s="395"/>
      <c r="AH235" s="395"/>
      <c r="AI235" s="395"/>
      <c r="AJ235" s="395"/>
      <c r="AK235" s="395"/>
    </row>
    <row r="236">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c r="AA236" s="395"/>
      <c r="AB236" s="395"/>
      <c r="AC236" s="395"/>
      <c r="AD236" s="395"/>
      <c r="AE236" s="395"/>
      <c r="AF236" s="395"/>
      <c r="AG236" s="395"/>
      <c r="AH236" s="395"/>
      <c r="AI236" s="395"/>
      <c r="AJ236" s="395"/>
      <c r="AK236" s="395"/>
    </row>
    <row r="237">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c r="AA237" s="395"/>
      <c r="AB237" s="395"/>
      <c r="AC237" s="395"/>
      <c r="AD237" s="395"/>
      <c r="AE237" s="395"/>
      <c r="AF237" s="395"/>
      <c r="AG237" s="395"/>
      <c r="AH237" s="395"/>
      <c r="AI237" s="395"/>
      <c r="AJ237" s="395"/>
      <c r="AK237" s="395"/>
    </row>
    <row r="238">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c r="AA238" s="395"/>
      <c r="AB238" s="395"/>
      <c r="AC238" s="395"/>
      <c r="AD238" s="395"/>
      <c r="AE238" s="395"/>
      <c r="AF238" s="395"/>
      <c r="AG238" s="395"/>
      <c r="AH238" s="395"/>
      <c r="AI238" s="395"/>
      <c r="AJ238" s="395"/>
      <c r="AK238" s="395"/>
    </row>
    <row r="239">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c r="AA239" s="395"/>
      <c r="AB239" s="395"/>
      <c r="AC239" s="395"/>
      <c r="AD239" s="395"/>
      <c r="AE239" s="395"/>
      <c r="AF239" s="395"/>
      <c r="AG239" s="395"/>
      <c r="AH239" s="395"/>
      <c r="AI239" s="395"/>
      <c r="AJ239" s="395"/>
      <c r="AK239" s="395"/>
    </row>
    <row r="240">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c r="AA240" s="395"/>
      <c r="AB240" s="395"/>
      <c r="AC240" s="395"/>
      <c r="AD240" s="395"/>
      <c r="AE240" s="395"/>
      <c r="AF240" s="395"/>
      <c r="AG240" s="395"/>
      <c r="AH240" s="395"/>
      <c r="AI240" s="395"/>
      <c r="AJ240" s="395"/>
      <c r="AK240" s="395"/>
    </row>
    <row r="24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c r="AA241" s="395"/>
      <c r="AB241" s="395"/>
      <c r="AC241" s="395"/>
      <c r="AD241" s="395"/>
      <c r="AE241" s="395"/>
      <c r="AF241" s="395"/>
      <c r="AG241" s="395"/>
      <c r="AH241" s="395"/>
      <c r="AI241" s="395"/>
      <c r="AJ241" s="395"/>
      <c r="AK241" s="395"/>
    </row>
    <row r="242">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c r="AA242" s="395"/>
      <c r="AB242" s="395"/>
      <c r="AC242" s="395"/>
      <c r="AD242" s="395"/>
      <c r="AE242" s="395"/>
      <c r="AF242" s="395"/>
      <c r="AG242" s="395"/>
      <c r="AH242" s="395"/>
      <c r="AI242" s="395"/>
      <c r="AJ242" s="395"/>
      <c r="AK242" s="395"/>
    </row>
    <row r="243">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c r="AA243" s="395"/>
      <c r="AB243" s="395"/>
      <c r="AC243" s="395"/>
      <c r="AD243" s="395"/>
      <c r="AE243" s="395"/>
      <c r="AF243" s="395"/>
      <c r="AG243" s="395"/>
      <c r="AH243" s="395"/>
      <c r="AI243" s="395"/>
      <c r="AJ243" s="395"/>
      <c r="AK243" s="395"/>
    </row>
    <row r="244">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c r="AA244" s="395"/>
      <c r="AB244" s="395"/>
      <c r="AC244" s="395"/>
      <c r="AD244" s="395"/>
      <c r="AE244" s="395"/>
      <c r="AF244" s="395"/>
      <c r="AG244" s="395"/>
      <c r="AH244" s="395"/>
      <c r="AI244" s="395"/>
      <c r="AJ244" s="395"/>
      <c r="AK244" s="395"/>
    </row>
    <row r="245">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c r="AA245" s="395"/>
      <c r="AB245" s="395"/>
      <c r="AC245" s="395"/>
      <c r="AD245" s="395"/>
      <c r="AE245" s="395"/>
      <c r="AF245" s="395"/>
      <c r="AG245" s="395"/>
      <c r="AH245" s="395"/>
      <c r="AI245" s="395"/>
      <c r="AJ245" s="395"/>
      <c r="AK245" s="395"/>
    </row>
    <row r="246">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c r="AA246" s="395"/>
      <c r="AB246" s="395"/>
      <c r="AC246" s="395"/>
      <c r="AD246" s="395"/>
      <c r="AE246" s="395"/>
      <c r="AF246" s="395"/>
      <c r="AG246" s="395"/>
      <c r="AH246" s="395"/>
      <c r="AI246" s="395"/>
      <c r="AJ246" s="395"/>
      <c r="AK246" s="395"/>
    </row>
    <row r="247">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c r="AA247" s="395"/>
      <c r="AB247" s="395"/>
      <c r="AC247" s="395"/>
      <c r="AD247" s="395"/>
      <c r="AE247" s="395"/>
      <c r="AF247" s="395"/>
      <c r="AG247" s="395"/>
      <c r="AH247" s="395"/>
      <c r="AI247" s="395"/>
      <c r="AJ247" s="395"/>
      <c r="AK247" s="395"/>
    </row>
    <row r="248">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c r="AA248" s="395"/>
      <c r="AB248" s="395"/>
      <c r="AC248" s="395"/>
      <c r="AD248" s="395"/>
      <c r="AE248" s="395"/>
      <c r="AF248" s="395"/>
      <c r="AG248" s="395"/>
      <c r="AH248" s="395"/>
      <c r="AI248" s="395"/>
      <c r="AJ248" s="395"/>
      <c r="AK248" s="395"/>
    </row>
    <row r="249">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c r="AA249" s="395"/>
      <c r="AB249" s="395"/>
      <c r="AC249" s="395"/>
      <c r="AD249" s="395"/>
      <c r="AE249" s="395"/>
      <c r="AF249" s="395"/>
      <c r="AG249" s="395"/>
      <c r="AH249" s="395"/>
      <c r="AI249" s="395"/>
      <c r="AJ249" s="395"/>
      <c r="AK249" s="395"/>
    </row>
    <row r="250">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c r="AA250" s="395"/>
      <c r="AB250" s="395"/>
      <c r="AC250" s="395"/>
      <c r="AD250" s="395"/>
      <c r="AE250" s="395"/>
      <c r="AF250" s="395"/>
      <c r="AG250" s="395"/>
      <c r="AH250" s="395"/>
      <c r="AI250" s="395"/>
      <c r="AJ250" s="395"/>
      <c r="AK250" s="395"/>
    </row>
    <row r="25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c r="AA251" s="395"/>
      <c r="AB251" s="395"/>
      <c r="AC251" s="395"/>
      <c r="AD251" s="395"/>
      <c r="AE251" s="395"/>
      <c r="AF251" s="395"/>
      <c r="AG251" s="395"/>
      <c r="AH251" s="395"/>
      <c r="AI251" s="395"/>
      <c r="AJ251" s="395"/>
      <c r="AK251" s="395"/>
    </row>
    <row r="252">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c r="AA252" s="395"/>
      <c r="AB252" s="395"/>
      <c r="AC252" s="395"/>
      <c r="AD252" s="395"/>
      <c r="AE252" s="395"/>
      <c r="AF252" s="395"/>
      <c r="AG252" s="395"/>
      <c r="AH252" s="395"/>
      <c r="AI252" s="395"/>
      <c r="AJ252" s="395"/>
      <c r="AK252" s="395"/>
    </row>
    <row r="253">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c r="AA253" s="395"/>
      <c r="AB253" s="395"/>
      <c r="AC253" s="395"/>
      <c r="AD253" s="395"/>
      <c r="AE253" s="395"/>
      <c r="AF253" s="395"/>
      <c r="AG253" s="395"/>
      <c r="AH253" s="395"/>
      <c r="AI253" s="395"/>
      <c r="AJ253" s="395"/>
      <c r="AK253" s="395"/>
    </row>
    <row r="254">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c r="AA254" s="395"/>
      <c r="AB254" s="395"/>
      <c r="AC254" s="395"/>
      <c r="AD254" s="395"/>
      <c r="AE254" s="395"/>
      <c r="AF254" s="395"/>
      <c r="AG254" s="395"/>
      <c r="AH254" s="395"/>
      <c r="AI254" s="395"/>
      <c r="AJ254" s="395"/>
      <c r="AK254" s="395"/>
    </row>
    <row r="255">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c r="AA255" s="395"/>
      <c r="AB255" s="395"/>
      <c r="AC255" s="395"/>
      <c r="AD255" s="395"/>
      <c r="AE255" s="395"/>
      <c r="AF255" s="395"/>
      <c r="AG255" s="395"/>
      <c r="AH255" s="395"/>
      <c r="AI255" s="395"/>
      <c r="AJ255" s="395"/>
      <c r="AK255" s="395"/>
    </row>
    <row r="256">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c r="AA256" s="395"/>
      <c r="AB256" s="395"/>
      <c r="AC256" s="395"/>
      <c r="AD256" s="395"/>
      <c r="AE256" s="395"/>
      <c r="AF256" s="395"/>
      <c r="AG256" s="395"/>
      <c r="AH256" s="395"/>
      <c r="AI256" s="395"/>
      <c r="AJ256" s="395"/>
      <c r="AK256" s="395"/>
    </row>
    <row r="257">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c r="AA257" s="395"/>
      <c r="AB257" s="395"/>
      <c r="AC257" s="395"/>
      <c r="AD257" s="395"/>
      <c r="AE257" s="395"/>
      <c r="AF257" s="395"/>
      <c r="AG257" s="395"/>
      <c r="AH257" s="395"/>
      <c r="AI257" s="395"/>
      <c r="AJ257" s="395"/>
      <c r="AK257" s="395"/>
    </row>
    <row r="258">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c r="AA258" s="395"/>
      <c r="AB258" s="395"/>
      <c r="AC258" s="395"/>
      <c r="AD258" s="395"/>
      <c r="AE258" s="395"/>
      <c r="AF258" s="395"/>
      <c r="AG258" s="395"/>
      <c r="AH258" s="395"/>
      <c r="AI258" s="395"/>
      <c r="AJ258" s="395"/>
      <c r="AK258" s="395"/>
    </row>
    <row r="259">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c r="AA259" s="395"/>
      <c r="AB259" s="395"/>
      <c r="AC259" s="395"/>
      <c r="AD259" s="395"/>
      <c r="AE259" s="395"/>
      <c r="AF259" s="395"/>
      <c r="AG259" s="395"/>
      <c r="AH259" s="395"/>
      <c r="AI259" s="395"/>
      <c r="AJ259" s="395"/>
      <c r="AK259" s="395"/>
    </row>
    <row r="260">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c r="AA260" s="395"/>
      <c r="AB260" s="395"/>
      <c r="AC260" s="395"/>
      <c r="AD260" s="395"/>
      <c r="AE260" s="395"/>
      <c r="AF260" s="395"/>
      <c r="AG260" s="395"/>
      <c r="AH260" s="395"/>
      <c r="AI260" s="395"/>
      <c r="AJ260" s="395"/>
      <c r="AK260" s="395"/>
    </row>
    <row r="26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c r="AA261" s="395"/>
      <c r="AB261" s="395"/>
      <c r="AC261" s="395"/>
      <c r="AD261" s="395"/>
      <c r="AE261" s="395"/>
      <c r="AF261" s="395"/>
      <c r="AG261" s="395"/>
      <c r="AH261" s="395"/>
      <c r="AI261" s="395"/>
      <c r="AJ261" s="395"/>
      <c r="AK261" s="395"/>
    </row>
    <row r="262">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c r="AA262" s="395"/>
      <c r="AB262" s="395"/>
      <c r="AC262" s="395"/>
      <c r="AD262" s="395"/>
      <c r="AE262" s="395"/>
      <c r="AF262" s="395"/>
      <c r="AG262" s="395"/>
      <c r="AH262" s="395"/>
      <c r="AI262" s="395"/>
      <c r="AJ262" s="395"/>
      <c r="AK262" s="395"/>
    </row>
    <row r="263">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c r="AA263" s="395"/>
      <c r="AB263" s="395"/>
      <c r="AC263" s="395"/>
      <c r="AD263" s="395"/>
      <c r="AE263" s="395"/>
      <c r="AF263" s="395"/>
      <c r="AG263" s="395"/>
      <c r="AH263" s="395"/>
      <c r="AI263" s="395"/>
      <c r="AJ263" s="395"/>
      <c r="AK263" s="395"/>
    </row>
    <row r="264">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c r="AA264" s="395"/>
      <c r="AB264" s="395"/>
      <c r="AC264" s="395"/>
      <c r="AD264" s="395"/>
      <c r="AE264" s="395"/>
      <c r="AF264" s="395"/>
      <c r="AG264" s="395"/>
      <c r="AH264" s="395"/>
      <c r="AI264" s="395"/>
      <c r="AJ264" s="395"/>
      <c r="AK264" s="395"/>
    </row>
    <row r="265">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c r="AA265" s="395"/>
      <c r="AB265" s="395"/>
      <c r="AC265" s="395"/>
      <c r="AD265" s="395"/>
      <c r="AE265" s="395"/>
      <c r="AF265" s="395"/>
      <c r="AG265" s="395"/>
      <c r="AH265" s="395"/>
      <c r="AI265" s="395"/>
      <c r="AJ265" s="395"/>
      <c r="AK265" s="395"/>
    </row>
    <row r="266">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c r="AA266" s="395"/>
      <c r="AB266" s="395"/>
      <c r="AC266" s="395"/>
      <c r="AD266" s="395"/>
      <c r="AE266" s="395"/>
      <c r="AF266" s="395"/>
      <c r="AG266" s="395"/>
      <c r="AH266" s="395"/>
      <c r="AI266" s="395"/>
      <c r="AJ266" s="395"/>
      <c r="AK266" s="395"/>
    </row>
    <row r="267">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c r="AA267" s="395"/>
      <c r="AB267" s="395"/>
      <c r="AC267" s="395"/>
      <c r="AD267" s="395"/>
      <c r="AE267" s="395"/>
      <c r="AF267" s="395"/>
      <c r="AG267" s="395"/>
      <c r="AH267" s="395"/>
      <c r="AI267" s="395"/>
      <c r="AJ267" s="395"/>
      <c r="AK267" s="395"/>
    </row>
    <row r="268">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c r="AA268" s="395"/>
      <c r="AB268" s="395"/>
      <c r="AC268" s="395"/>
      <c r="AD268" s="395"/>
      <c r="AE268" s="395"/>
      <c r="AF268" s="395"/>
      <c r="AG268" s="395"/>
      <c r="AH268" s="395"/>
      <c r="AI268" s="395"/>
      <c r="AJ268" s="395"/>
      <c r="AK268" s="395"/>
    </row>
    <row r="269">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c r="AA269" s="395"/>
      <c r="AB269" s="395"/>
      <c r="AC269" s="395"/>
      <c r="AD269" s="395"/>
      <c r="AE269" s="395"/>
      <c r="AF269" s="395"/>
      <c r="AG269" s="395"/>
      <c r="AH269" s="395"/>
      <c r="AI269" s="395"/>
      <c r="AJ269" s="395"/>
      <c r="AK269" s="395"/>
    </row>
    <row r="270">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c r="AA270" s="395"/>
      <c r="AB270" s="395"/>
      <c r="AC270" s="395"/>
      <c r="AD270" s="395"/>
      <c r="AE270" s="395"/>
      <c r="AF270" s="395"/>
      <c r="AG270" s="395"/>
      <c r="AH270" s="395"/>
      <c r="AI270" s="395"/>
      <c r="AJ270" s="395"/>
      <c r="AK270" s="395"/>
    </row>
    <row r="27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c r="AA271" s="395"/>
      <c r="AB271" s="395"/>
      <c r="AC271" s="395"/>
      <c r="AD271" s="395"/>
      <c r="AE271" s="395"/>
      <c r="AF271" s="395"/>
      <c r="AG271" s="395"/>
      <c r="AH271" s="395"/>
      <c r="AI271" s="395"/>
      <c r="AJ271" s="395"/>
      <c r="AK271" s="395"/>
    </row>
    <row r="272">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c r="AA272" s="395"/>
      <c r="AB272" s="395"/>
      <c r="AC272" s="395"/>
      <c r="AD272" s="395"/>
      <c r="AE272" s="395"/>
      <c r="AF272" s="395"/>
      <c r="AG272" s="395"/>
      <c r="AH272" s="395"/>
      <c r="AI272" s="395"/>
      <c r="AJ272" s="395"/>
      <c r="AK272" s="395"/>
    </row>
    <row r="273">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c r="AA273" s="395"/>
      <c r="AB273" s="395"/>
      <c r="AC273" s="395"/>
      <c r="AD273" s="395"/>
      <c r="AE273" s="395"/>
      <c r="AF273" s="395"/>
      <c r="AG273" s="395"/>
      <c r="AH273" s="395"/>
      <c r="AI273" s="395"/>
      <c r="AJ273" s="395"/>
      <c r="AK273" s="395"/>
    </row>
    <row r="274">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c r="AA274" s="395"/>
      <c r="AB274" s="395"/>
      <c r="AC274" s="395"/>
      <c r="AD274" s="395"/>
      <c r="AE274" s="395"/>
      <c r="AF274" s="395"/>
      <c r="AG274" s="395"/>
      <c r="AH274" s="395"/>
      <c r="AI274" s="395"/>
      <c r="AJ274" s="395"/>
      <c r="AK274" s="395"/>
    </row>
    <row r="275">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c r="AA275" s="395"/>
      <c r="AB275" s="395"/>
      <c r="AC275" s="395"/>
      <c r="AD275" s="395"/>
      <c r="AE275" s="395"/>
      <c r="AF275" s="395"/>
      <c r="AG275" s="395"/>
      <c r="AH275" s="395"/>
      <c r="AI275" s="395"/>
      <c r="AJ275" s="395"/>
      <c r="AK275" s="395"/>
    </row>
    <row r="276">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c r="AA276" s="395"/>
      <c r="AB276" s="395"/>
      <c r="AC276" s="395"/>
      <c r="AD276" s="395"/>
      <c r="AE276" s="395"/>
      <c r="AF276" s="395"/>
      <c r="AG276" s="395"/>
      <c r="AH276" s="395"/>
      <c r="AI276" s="395"/>
      <c r="AJ276" s="395"/>
      <c r="AK276" s="395"/>
    </row>
    <row r="277">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c r="AA277" s="395"/>
      <c r="AB277" s="395"/>
      <c r="AC277" s="395"/>
      <c r="AD277" s="395"/>
      <c r="AE277" s="395"/>
      <c r="AF277" s="395"/>
      <c r="AG277" s="395"/>
      <c r="AH277" s="395"/>
      <c r="AI277" s="395"/>
      <c r="AJ277" s="395"/>
      <c r="AK277" s="395"/>
    </row>
    <row r="278">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c r="AA278" s="395"/>
      <c r="AB278" s="395"/>
      <c r="AC278" s="395"/>
      <c r="AD278" s="395"/>
      <c r="AE278" s="395"/>
      <c r="AF278" s="395"/>
      <c r="AG278" s="395"/>
      <c r="AH278" s="395"/>
      <c r="AI278" s="395"/>
      <c r="AJ278" s="395"/>
      <c r="AK278" s="395"/>
    </row>
    <row r="279">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c r="AA279" s="395"/>
      <c r="AB279" s="395"/>
      <c r="AC279" s="395"/>
      <c r="AD279" s="395"/>
      <c r="AE279" s="395"/>
      <c r="AF279" s="395"/>
      <c r="AG279" s="395"/>
      <c r="AH279" s="395"/>
      <c r="AI279" s="395"/>
      <c r="AJ279" s="395"/>
      <c r="AK279" s="395"/>
    </row>
    <row r="280">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c r="AA280" s="395"/>
      <c r="AB280" s="395"/>
      <c r="AC280" s="395"/>
      <c r="AD280" s="395"/>
      <c r="AE280" s="395"/>
      <c r="AF280" s="395"/>
      <c r="AG280" s="395"/>
      <c r="AH280" s="395"/>
      <c r="AI280" s="395"/>
      <c r="AJ280" s="395"/>
      <c r="AK280" s="395"/>
    </row>
    <row r="28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c r="AA281" s="395"/>
      <c r="AB281" s="395"/>
      <c r="AC281" s="395"/>
      <c r="AD281" s="395"/>
      <c r="AE281" s="395"/>
      <c r="AF281" s="395"/>
      <c r="AG281" s="395"/>
      <c r="AH281" s="395"/>
      <c r="AI281" s="395"/>
      <c r="AJ281" s="395"/>
      <c r="AK281" s="395"/>
    </row>
    <row r="282">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c r="AA282" s="395"/>
      <c r="AB282" s="395"/>
      <c r="AC282" s="395"/>
      <c r="AD282" s="395"/>
      <c r="AE282" s="395"/>
      <c r="AF282" s="395"/>
      <c r="AG282" s="395"/>
      <c r="AH282" s="395"/>
      <c r="AI282" s="395"/>
      <c r="AJ282" s="395"/>
      <c r="AK282" s="395"/>
    </row>
    <row r="283">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c r="AA283" s="395"/>
      <c r="AB283" s="395"/>
      <c r="AC283" s="395"/>
      <c r="AD283" s="395"/>
      <c r="AE283" s="395"/>
      <c r="AF283" s="395"/>
      <c r="AG283" s="395"/>
      <c r="AH283" s="395"/>
      <c r="AI283" s="395"/>
      <c r="AJ283" s="395"/>
      <c r="AK283" s="395"/>
    </row>
    <row r="284">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c r="AA284" s="395"/>
      <c r="AB284" s="395"/>
      <c r="AC284" s="395"/>
      <c r="AD284" s="395"/>
      <c r="AE284" s="395"/>
      <c r="AF284" s="395"/>
      <c r="AG284" s="395"/>
      <c r="AH284" s="395"/>
      <c r="AI284" s="395"/>
      <c r="AJ284" s="395"/>
      <c r="AK284" s="395"/>
    </row>
    <row r="285">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c r="AA285" s="395"/>
      <c r="AB285" s="395"/>
      <c r="AC285" s="395"/>
      <c r="AD285" s="395"/>
      <c r="AE285" s="395"/>
      <c r="AF285" s="395"/>
      <c r="AG285" s="395"/>
      <c r="AH285" s="395"/>
      <c r="AI285" s="395"/>
      <c r="AJ285" s="395"/>
      <c r="AK285" s="395"/>
    </row>
    <row r="286">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c r="AA286" s="395"/>
      <c r="AB286" s="395"/>
      <c r="AC286" s="395"/>
      <c r="AD286" s="395"/>
      <c r="AE286" s="395"/>
      <c r="AF286" s="395"/>
      <c r="AG286" s="395"/>
      <c r="AH286" s="395"/>
      <c r="AI286" s="395"/>
      <c r="AJ286" s="395"/>
      <c r="AK286" s="395"/>
    </row>
    <row r="287">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c r="AA287" s="395"/>
      <c r="AB287" s="395"/>
      <c r="AC287" s="395"/>
      <c r="AD287" s="395"/>
      <c r="AE287" s="395"/>
      <c r="AF287" s="395"/>
      <c r="AG287" s="395"/>
      <c r="AH287" s="395"/>
      <c r="AI287" s="395"/>
      <c r="AJ287" s="395"/>
      <c r="AK287" s="395"/>
    </row>
    <row r="288">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c r="AA288" s="395"/>
      <c r="AB288" s="395"/>
      <c r="AC288" s="395"/>
      <c r="AD288" s="395"/>
      <c r="AE288" s="395"/>
      <c r="AF288" s="395"/>
      <c r="AG288" s="395"/>
      <c r="AH288" s="395"/>
      <c r="AI288" s="395"/>
      <c r="AJ288" s="395"/>
      <c r="AK288" s="395"/>
    </row>
    <row r="289">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c r="AA289" s="395"/>
      <c r="AB289" s="395"/>
      <c r="AC289" s="395"/>
      <c r="AD289" s="395"/>
      <c r="AE289" s="395"/>
      <c r="AF289" s="395"/>
      <c r="AG289" s="395"/>
      <c r="AH289" s="395"/>
      <c r="AI289" s="395"/>
      <c r="AJ289" s="395"/>
      <c r="AK289" s="395"/>
    </row>
    <row r="290">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c r="AA290" s="395"/>
      <c r="AB290" s="395"/>
      <c r="AC290" s="395"/>
      <c r="AD290" s="395"/>
      <c r="AE290" s="395"/>
      <c r="AF290" s="395"/>
      <c r="AG290" s="395"/>
      <c r="AH290" s="395"/>
      <c r="AI290" s="395"/>
      <c r="AJ290" s="395"/>
      <c r="AK290" s="395"/>
    </row>
    <row r="29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c r="AA291" s="395"/>
      <c r="AB291" s="395"/>
      <c r="AC291" s="395"/>
      <c r="AD291" s="395"/>
      <c r="AE291" s="395"/>
      <c r="AF291" s="395"/>
      <c r="AG291" s="395"/>
      <c r="AH291" s="395"/>
      <c r="AI291" s="395"/>
      <c r="AJ291" s="395"/>
      <c r="AK291" s="395"/>
    </row>
    <row r="292">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c r="AA292" s="395"/>
      <c r="AB292" s="395"/>
      <c r="AC292" s="395"/>
      <c r="AD292" s="395"/>
      <c r="AE292" s="395"/>
      <c r="AF292" s="395"/>
      <c r="AG292" s="395"/>
      <c r="AH292" s="395"/>
      <c r="AI292" s="395"/>
      <c r="AJ292" s="395"/>
      <c r="AK292" s="395"/>
    </row>
    <row r="293">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c r="AA293" s="395"/>
      <c r="AB293" s="395"/>
      <c r="AC293" s="395"/>
      <c r="AD293" s="395"/>
      <c r="AE293" s="395"/>
      <c r="AF293" s="395"/>
      <c r="AG293" s="395"/>
      <c r="AH293" s="395"/>
      <c r="AI293" s="395"/>
      <c r="AJ293" s="395"/>
      <c r="AK293" s="395"/>
    </row>
    <row r="294">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c r="AA294" s="395"/>
      <c r="AB294" s="395"/>
      <c r="AC294" s="395"/>
      <c r="AD294" s="395"/>
      <c r="AE294" s="395"/>
      <c r="AF294" s="395"/>
      <c r="AG294" s="395"/>
      <c r="AH294" s="395"/>
      <c r="AI294" s="395"/>
      <c r="AJ294" s="395"/>
      <c r="AK294" s="395"/>
    </row>
    <row r="295">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c r="AA295" s="395"/>
      <c r="AB295" s="395"/>
      <c r="AC295" s="395"/>
      <c r="AD295" s="395"/>
      <c r="AE295" s="395"/>
      <c r="AF295" s="395"/>
      <c r="AG295" s="395"/>
      <c r="AH295" s="395"/>
      <c r="AI295" s="395"/>
      <c r="AJ295" s="395"/>
      <c r="AK295" s="395"/>
    </row>
    <row r="296">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c r="AA296" s="395"/>
      <c r="AB296" s="395"/>
      <c r="AC296" s="395"/>
      <c r="AD296" s="395"/>
      <c r="AE296" s="395"/>
      <c r="AF296" s="395"/>
      <c r="AG296" s="395"/>
      <c r="AH296" s="395"/>
      <c r="AI296" s="395"/>
      <c r="AJ296" s="395"/>
      <c r="AK296" s="395"/>
    </row>
    <row r="297">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c r="AA297" s="395"/>
      <c r="AB297" s="395"/>
      <c r="AC297" s="395"/>
      <c r="AD297" s="395"/>
      <c r="AE297" s="395"/>
      <c r="AF297" s="395"/>
      <c r="AG297" s="395"/>
      <c r="AH297" s="395"/>
      <c r="AI297" s="395"/>
      <c r="AJ297" s="395"/>
      <c r="AK297" s="395"/>
    </row>
    <row r="298">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c r="AA298" s="395"/>
      <c r="AB298" s="395"/>
      <c r="AC298" s="395"/>
      <c r="AD298" s="395"/>
      <c r="AE298" s="395"/>
      <c r="AF298" s="395"/>
      <c r="AG298" s="395"/>
      <c r="AH298" s="395"/>
      <c r="AI298" s="395"/>
      <c r="AJ298" s="395"/>
      <c r="AK298" s="395"/>
    </row>
    <row r="299">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c r="AA299" s="395"/>
      <c r="AB299" s="395"/>
      <c r="AC299" s="395"/>
      <c r="AD299" s="395"/>
      <c r="AE299" s="395"/>
      <c r="AF299" s="395"/>
      <c r="AG299" s="395"/>
      <c r="AH299" s="395"/>
      <c r="AI299" s="395"/>
      <c r="AJ299" s="395"/>
      <c r="AK299" s="395"/>
    </row>
    <row r="300">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c r="AA300" s="395"/>
      <c r="AB300" s="395"/>
      <c r="AC300" s="395"/>
      <c r="AD300" s="395"/>
      <c r="AE300" s="395"/>
      <c r="AF300" s="395"/>
      <c r="AG300" s="395"/>
      <c r="AH300" s="395"/>
      <c r="AI300" s="395"/>
      <c r="AJ300" s="395"/>
      <c r="AK300" s="395"/>
    </row>
    <row r="30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c r="AA301" s="395"/>
      <c r="AB301" s="395"/>
      <c r="AC301" s="395"/>
      <c r="AD301" s="395"/>
      <c r="AE301" s="395"/>
      <c r="AF301" s="395"/>
      <c r="AG301" s="395"/>
      <c r="AH301" s="395"/>
      <c r="AI301" s="395"/>
      <c r="AJ301" s="395"/>
      <c r="AK301" s="395"/>
    </row>
    <row r="302">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c r="AA302" s="395"/>
      <c r="AB302" s="395"/>
      <c r="AC302" s="395"/>
      <c r="AD302" s="395"/>
      <c r="AE302" s="395"/>
      <c r="AF302" s="395"/>
      <c r="AG302" s="395"/>
      <c r="AH302" s="395"/>
      <c r="AI302" s="395"/>
      <c r="AJ302" s="395"/>
      <c r="AK302" s="395"/>
    </row>
    <row r="303">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c r="AA303" s="395"/>
      <c r="AB303" s="395"/>
      <c r="AC303" s="395"/>
      <c r="AD303" s="395"/>
      <c r="AE303" s="395"/>
      <c r="AF303" s="395"/>
      <c r="AG303" s="395"/>
      <c r="AH303" s="395"/>
      <c r="AI303" s="395"/>
      <c r="AJ303" s="395"/>
      <c r="AK303" s="395"/>
    </row>
    <row r="304">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c r="AA304" s="395"/>
      <c r="AB304" s="395"/>
      <c r="AC304" s="395"/>
      <c r="AD304" s="395"/>
      <c r="AE304" s="395"/>
      <c r="AF304" s="395"/>
      <c r="AG304" s="395"/>
      <c r="AH304" s="395"/>
      <c r="AI304" s="395"/>
      <c r="AJ304" s="395"/>
      <c r="AK304" s="395"/>
    </row>
    <row r="305">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c r="AA305" s="395"/>
      <c r="AB305" s="395"/>
      <c r="AC305" s="395"/>
      <c r="AD305" s="395"/>
      <c r="AE305" s="395"/>
      <c r="AF305" s="395"/>
      <c r="AG305" s="395"/>
      <c r="AH305" s="395"/>
      <c r="AI305" s="395"/>
      <c r="AJ305" s="395"/>
      <c r="AK305" s="395"/>
    </row>
    <row r="306">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c r="AA306" s="395"/>
      <c r="AB306" s="395"/>
      <c r="AC306" s="395"/>
      <c r="AD306" s="395"/>
      <c r="AE306" s="395"/>
      <c r="AF306" s="395"/>
      <c r="AG306" s="395"/>
      <c r="AH306" s="395"/>
      <c r="AI306" s="395"/>
      <c r="AJ306" s="395"/>
      <c r="AK306" s="395"/>
    </row>
    <row r="307">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c r="AA307" s="395"/>
      <c r="AB307" s="395"/>
      <c r="AC307" s="395"/>
      <c r="AD307" s="395"/>
      <c r="AE307" s="395"/>
      <c r="AF307" s="395"/>
      <c r="AG307" s="395"/>
      <c r="AH307" s="395"/>
      <c r="AI307" s="395"/>
      <c r="AJ307" s="395"/>
      <c r="AK307" s="395"/>
    </row>
    <row r="308">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c r="AA308" s="395"/>
      <c r="AB308" s="395"/>
      <c r="AC308" s="395"/>
      <c r="AD308" s="395"/>
      <c r="AE308" s="395"/>
      <c r="AF308" s="395"/>
      <c r="AG308" s="395"/>
      <c r="AH308" s="395"/>
      <c r="AI308" s="395"/>
      <c r="AJ308" s="395"/>
      <c r="AK308" s="395"/>
    </row>
    <row r="309">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c r="AA309" s="395"/>
      <c r="AB309" s="395"/>
      <c r="AC309" s="395"/>
      <c r="AD309" s="395"/>
      <c r="AE309" s="395"/>
      <c r="AF309" s="395"/>
      <c r="AG309" s="395"/>
      <c r="AH309" s="395"/>
      <c r="AI309" s="395"/>
      <c r="AJ309" s="395"/>
      <c r="AK309" s="395"/>
    </row>
    <row r="310">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c r="AA310" s="395"/>
      <c r="AB310" s="395"/>
      <c r="AC310" s="395"/>
      <c r="AD310" s="395"/>
      <c r="AE310" s="395"/>
      <c r="AF310" s="395"/>
      <c r="AG310" s="395"/>
      <c r="AH310" s="395"/>
      <c r="AI310" s="395"/>
      <c r="AJ310" s="395"/>
      <c r="AK310" s="395"/>
    </row>
    <row r="31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c r="AA311" s="395"/>
      <c r="AB311" s="395"/>
      <c r="AC311" s="395"/>
      <c r="AD311" s="395"/>
      <c r="AE311" s="395"/>
      <c r="AF311" s="395"/>
      <c r="AG311" s="395"/>
      <c r="AH311" s="395"/>
      <c r="AI311" s="395"/>
      <c r="AJ311" s="395"/>
      <c r="AK311" s="395"/>
    </row>
    <row r="312">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c r="AA312" s="395"/>
      <c r="AB312" s="395"/>
      <c r="AC312" s="395"/>
      <c r="AD312" s="395"/>
      <c r="AE312" s="395"/>
      <c r="AF312" s="395"/>
      <c r="AG312" s="395"/>
      <c r="AH312" s="395"/>
      <c r="AI312" s="395"/>
      <c r="AJ312" s="395"/>
      <c r="AK312" s="395"/>
    </row>
    <row r="313">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c r="AA313" s="395"/>
      <c r="AB313" s="395"/>
      <c r="AC313" s="395"/>
      <c r="AD313" s="395"/>
      <c r="AE313" s="395"/>
      <c r="AF313" s="395"/>
      <c r="AG313" s="395"/>
      <c r="AH313" s="395"/>
      <c r="AI313" s="395"/>
      <c r="AJ313" s="395"/>
      <c r="AK313" s="395"/>
    </row>
    <row r="314">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c r="AA314" s="395"/>
      <c r="AB314" s="395"/>
      <c r="AC314" s="395"/>
      <c r="AD314" s="395"/>
      <c r="AE314" s="395"/>
      <c r="AF314" s="395"/>
      <c r="AG314" s="395"/>
      <c r="AH314" s="395"/>
      <c r="AI314" s="395"/>
      <c r="AJ314" s="395"/>
      <c r="AK314" s="395"/>
    </row>
    <row r="315">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c r="AA315" s="395"/>
      <c r="AB315" s="395"/>
      <c r="AC315" s="395"/>
      <c r="AD315" s="395"/>
      <c r="AE315" s="395"/>
      <c r="AF315" s="395"/>
      <c r="AG315" s="395"/>
      <c r="AH315" s="395"/>
      <c r="AI315" s="395"/>
      <c r="AJ315" s="395"/>
      <c r="AK315" s="395"/>
    </row>
    <row r="316">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c r="AA316" s="395"/>
      <c r="AB316" s="395"/>
      <c r="AC316" s="395"/>
      <c r="AD316" s="395"/>
      <c r="AE316" s="395"/>
      <c r="AF316" s="395"/>
      <c r="AG316" s="395"/>
      <c r="AH316" s="395"/>
      <c r="AI316" s="395"/>
      <c r="AJ316" s="395"/>
      <c r="AK316" s="395"/>
    </row>
    <row r="317">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c r="AA317" s="395"/>
      <c r="AB317" s="395"/>
      <c r="AC317" s="395"/>
      <c r="AD317" s="395"/>
      <c r="AE317" s="395"/>
      <c r="AF317" s="395"/>
      <c r="AG317" s="395"/>
      <c r="AH317" s="395"/>
      <c r="AI317" s="395"/>
      <c r="AJ317" s="395"/>
      <c r="AK317" s="395"/>
    </row>
    <row r="318">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c r="AA318" s="395"/>
      <c r="AB318" s="395"/>
      <c r="AC318" s="395"/>
      <c r="AD318" s="395"/>
      <c r="AE318" s="395"/>
      <c r="AF318" s="395"/>
      <c r="AG318" s="395"/>
      <c r="AH318" s="395"/>
      <c r="AI318" s="395"/>
      <c r="AJ318" s="395"/>
      <c r="AK318" s="395"/>
    </row>
    <row r="319">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c r="AA319" s="395"/>
      <c r="AB319" s="395"/>
      <c r="AC319" s="395"/>
      <c r="AD319" s="395"/>
      <c r="AE319" s="395"/>
      <c r="AF319" s="395"/>
      <c r="AG319" s="395"/>
      <c r="AH319" s="395"/>
      <c r="AI319" s="395"/>
      <c r="AJ319" s="395"/>
      <c r="AK319" s="395"/>
    </row>
    <row r="320">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c r="AA320" s="395"/>
      <c r="AB320" s="395"/>
      <c r="AC320" s="395"/>
      <c r="AD320" s="395"/>
      <c r="AE320" s="395"/>
      <c r="AF320" s="395"/>
      <c r="AG320" s="395"/>
      <c r="AH320" s="395"/>
      <c r="AI320" s="395"/>
      <c r="AJ320" s="395"/>
      <c r="AK320" s="395"/>
    </row>
    <row r="32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c r="AA321" s="395"/>
      <c r="AB321" s="395"/>
      <c r="AC321" s="395"/>
      <c r="AD321" s="395"/>
      <c r="AE321" s="395"/>
      <c r="AF321" s="395"/>
      <c r="AG321" s="395"/>
      <c r="AH321" s="395"/>
      <c r="AI321" s="395"/>
      <c r="AJ321" s="395"/>
      <c r="AK321" s="395"/>
    </row>
    <row r="322">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c r="AA322" s="395"/>
      <c r="AB322" s="395"/>
      <c r="AC322" s="395"/>
      <c r="AD322" s="395"/>
      <c r="AE322" s="395"/>
      <c r="AF322" s="395"/>
      <c r="AG322" s="395"/>
      <c r="AH322" s="395"/>
      <c r="AI322" s="395"/>
      <c r="AJ322" s="395"/>
      <c r="AK322" s="395"/>
    </row>
    <row r="323">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c r="AA323" s="395"/>
      <c r="AB323" s="395"/>
      <c r="AC323" s="395"/>
      <c r="AD323" s="395"/>
      <c r="AE323" s="395"/>
      <c r="AF323" s="395"/>
      <c r="AG323" s="395"/>
      <c r="AH323" s="395"/>
      <c r="AI323" s="395"/>
      <c r="AJ323" s="395"/>
      <c r="AK323" s="395"/>
    </row>
    <row r="324">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c r="AA324" s="395"/>
      <c r="AB324" s="395"/>
      <c r="AC324" s="395"/>
      <c r="AD324" s="395"/>
      <c r="AE324" s="395"/>
      <c r="AF324" s="395"/>
      <c r="AG324" s="395"/>
      <c r="AH324" s="395"/>
      <c r="AI324" s="395"/>
      <c r="AJ324" s="395"/>
      <c r="AK324" s="395"/>
    </row>
    <row r="325">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c r="AA325" s="395"/>
      <c r="AB325" s="395"/>
      <c r="AC325" s="395"/>
      <c r="AD325" s="395"/>
      <c r="AE325" s="395"/>
      <c r="AF325" s="395"/>
      <c r="AG325" s="395"/>
      <c r="AH325" s="395"/>
      <c r="AI325" s="395"/>
      <c r="AJ325" s="395"/>
      <c r="AK325" s="395"/>
    </row>
    <row r="326">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c r="AA326" s="395"/>
      <c r="AB326" s="395"/>
      <c r="AC326" s="395"/>
      <c r="AD326" s="395"/>
      <c r="AE326" s="395"/>
      <c r="AF326" s="395"/>
      <c r="AG326" s="395"/>
      <c r="AH326" s="395"/>
      <c r="AI326" s="395"/>
      <c r="AJ326" s="395"/>
      <c r="AK326" s="395"/>
    </row>
    <row r="327">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c r="AA327" s="395"/>
      <c r="AB327" s="395"/>
      <c r="AC327" s="395"/>
      <c r="AD327" s="395"/>
      <c r="AE327" s="395"/>
      <c r="AF327" s="395"/>
      <c r="AG327" s="395"/>
      <c r="AH327" s="395"/>
      <c r="AI327" s="395"/>
      <c r="AJ327" s="395"/>
      <c r="AK327" s="395"/>
    </row>
    <row r="328">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c r="AA328" s="395"/>
      <c r="AB328" s="395"/>
      <c r="AC328" s="395"/>
      <c r="AD328" s="395"/>
      <c r="AE328" s="395"/>
      <c r="AF328" s="395"/>
      <c r="AG328" s="395"/>
      <c r="AH328" s="395"/>
      <c r="AI328" s="395"/>
      <c r="AJ328" s="395"/>
      <c r="AK328" s="395"/>
    </row>
    <row r="329">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c r="AA329" s="395"/>
      <c r="AB329" s="395"/>
      <c r="AC329" s="395"/>
      <c r="AD329" s="395"/>
      <c r="AE329" s="395"/>
      <c r="AF329" s="395"/>
      <c r="AG329" s="395"/>
      <c r="AH329" s="395"/>
      <c r="AI329" s="395"/>
      <c r="AJ329" s="395"/>
      <c r="AK329" s="395"/>
    </row>
    <row r="330">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c r="AA330" s="395"/>
      <c r="AB330" s="395"/>
      <c r="AC330" s="395"/>
      <c r="AD330" s="395"/>
      <c r="AE330" s="395"/>
      <c r="AF330" s="395"/>
      <c r="AG330" s="395"/>
      <c r="AH330" s="395"/>
      <c r="AI330" s="395"/>
      <c r="AJ330" s="395"/>
      <c r="AK330" s="395"/>
    </row>
    <row r="33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c r="AA331" s="395"/>
      <c r="AB331" s="395"/>
      <c r="AC331" s="395"/>
      <c r="AD331" s="395"/>
      <c r="AE331" s="395"/>
      <c r="AF331" s="395"/>
      <c r="AG331" s="395"/>
      <c r="AH331" s="395"/>
      <c r="AI331" s="395"/>
      <c r="AJ331" s="395"/>
      <c r="AK331" s="395"/>
    </row>
    <row r="332">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c r="AA332" s="395"/>
      <c r="AB332" s="395"/>
      <c r="AC332" s="395"/>
      <c r="AD332" s="395"/>
      <c r="AE332" s="395"/>
      <c r="AF332" s="395"/>
      <c r="AG332" s="395"/>
      <c r="AH332" s="395"/>
      <c r="AI332" s="395"/>
      <c r="AJ332" s="395"/>
      <c r="AK332" s="395"/>
    </row>
    <row r="333">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c r="AA333" s="395"/>
      <c r="AB333" s="395"/>
      <c r="AC333" s="395"/>
      <c r="AD333" s="395"/>
      <c r="AE333" s="395"/>
      <c r="AF333" s="395"/>
      <c r="AG333" s="395"/>
      <c r="AH333" s="395"/>
      <c r="AI333" s="395"/>
      <c r="AJ333" s="395"/>
      <c r="AK333" s="395"/>
    </row>
    <row r="334">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c r="AA334" s="395"/>
      <c r="AB334" s="395"/>
      <c r="AC334" s="395"/>
      <c r="AD334" s="395"/>
      <c r="AE334" s="395"/>
      <c r="AF334" s="395"/>
      <c r="AG334" s="395"/>
      <c r="AH334" s="395"/>
      <c r="AI334" s="395"/>
      <c r="AJ334" s="395"/>
      <c r="AK334" s="395"/>
    </row>
    <row r="335">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c r="AA335" s="395"/>
      <c r="AB335" s="395"/>
      <c r="AC335" s="395"/>
      <c r="AD335" s="395"/>
      <c r="AE335" s="395"/>
      <c r="AF335" s="395"/>
      <c r="AG335" s="395"/>
      <c r="AH335" s="395"/>
      <c r="AI335" s="395"/>
      <c r="AJ335" s="395"/>
      <c r="AK335" s="395"/>
    </row>
    <row r="336">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c r="AA336" s="395"/>
      <c r="AB336" s="395"/>
      <c r="AC336" s="395"/>
      <c r="AD336" s="395"/>
      <c r="AE336" s="395"/>
      <c r="AF336" s="395"/>
      <c r="AG336" s="395"/>
      <c r="AH336" s="395"/>
      <c r="AI336" s="395"/>
      <c r="AJ336" s="395"/>
      <c r="AK336" s="395"/>
    </row>
    <row r="337">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c r="AA337" s="395"/>
      <c r="AB337" s="395"/>
      <c r="AC337" s="395"/>
      <c r="AD337" s="395"/>
      <c r="AE337" s="395"/>
      <c r="AF337" s="395"/>
      <c r="AG337" s="395"/>
      <c r="AH337" s="395"/>
      <c r="AI337" s="395"/>
      <c r="AJ337" s="395"/>
      <c r="AK337" s="395"/>
    </row>
    <row r="338">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c r="AA338" s="395"/>
      <c r="AB338" s="395"/>
      <c r="AC338" s="395"/>
      <c r="AD338" s="395"/>
      <c r="AE338" s="395"/>
      <c r="AF338" s="395"/>
      <c r="AG338" s="395"/>
      <c r="AH338" s="395"/>
      <c r="AI338" s="395"/>
      <c r="AJ338" s="395"/>
      <c r="AK338" s="395"/>
    </row>
    <row r="339">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c r="AA339" s="395"/>
      <c r="AB339" s="395"/>
      <c r="AC339" s="395"/>
      <c r="AD339" s="395"/>
      <c r="AE339" s="395"/>
      <c r="AF339" s="395"/>
      <c r="AG339" s="395"/>
      <c r="AH339" s="395"/>
      <c r="AI339" s="395"/>
      <c r="AJ339" s="395"/>
      <c r="AK339" s="395"/>
    </row>
    <row r="340">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c r="AA340" s="395"/>
      <c r="AB340" s="395"/>
      <c r="AC340" s="395"/>
      <c r="AD340" s="395"/>
      <c r="AE340" s="395"/>
      <c r="AF340" s="395"/>
      <c r="AG340" s="395"/>
      <c r="AH340" s="395"/>
      <c r="AI340" s="395"/>
      <c r="AJ340" s="395"/>
      <c r="AK340" s="395"/>
    </row>
    <row r="34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c r="AA341" s="395"/>
      <c r="AB341" s="395"/>
      <c r="AC341" s="395"/>
      <c r="AD341" s="395"/>
      <c r="AE341" s="395"/>
      <c r="AF341" s="395"/>
      <c r="AG341" s="395"/>
      <c r="AH341" s="395"/>
      <c r="AI341" s="395"/>
      <c r="AJ341" s="395"/>
      <c r="AK341" s="395"/>
    </row>
    <row r="342">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c r="AA342" s="395"/>
      <c r="AB342" s="395"/>
      <c r="AC342" s="395"/>
      <c r="AD342" s="395"/>
      <c r="AE342" s="395"/>
      <c r="AF342" s="395"/>
      <c r="AG342" s="395"/>
      <c r="AH342" s="395"/>
      <c r="AI342" s="395"/>
      <c r="AJ342" s="395"/>
      <c r="AK342" s="395"/>
    </row>
    <row r="343">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c r="AA343" s="395"/>
      <c r="AB343" s="395"/>
      <c r="AC343" s="395"/>
      <c r="AD343" s="395"/>
      <c r="AE343" s="395"/>
      <c r="AF343" s="395"/>
      <c r="AG343" s="395"/>
      <c r="AH343" s="395"/>
      <c r="AI343" s="395"/>
      <c r="AJ343" s="395"/>
      <c r="AK343" s="395"/>
    </row>
    <row r="344">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c r="AA344" s="395"/>
      <c r="AB344" s="395"/>
      <c r="AC344" s="395"/>
      <c r="AD344" s="395"/>
      <c r="AE344" s="395"/>
      <c r="AF344" s="395"/>
      <c r="AG344" s="395"/>
      <c r="AH344" s="395"/>
      <c r="AI344" s="395"/>
      <c r="AJ344" s="395"/>
      <c r="AK344" s="395"/>
    </row>
    <row r="345">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c r="AA345" s="395"/>
      <c r="AB345" s="395"/>
      <c r="AC345" s="395"/>
      <c r="AD345" s="395"/>
      <c r="AE345" s="395"/>
      <c r="AF345" s="395"/>
      <c r="AG345" s="395"/>
      <c r="AH345" s="395"/>
      <c r="AI345" s="395"/>
      <c r="AJ345" s="395"/>
      <c r="AK345" s="395"/>
    </row>
    <row r="346">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c r="AA346" s="395"/>
      <c r="AB346" s="395"/>
      <c r="AC346" s="395"/>
      <c r="AD346" s="395"/>
      <c r="AE346" s="395"/>
      <c r="AF346" s="395"/>
      <c r="AG346" s="395"/>
      <c r="AH346" s="395"/>
      <c r="AI346" s="395"/>
      <c r="AJ346" s="395"/>
      <c r="AK346" s="395"/>
    </row>
    <row r="347">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c r="AA347" s="395"/>
      <c r="AB347" s="395"/>
      <c r="AC347" s="395"/>
      <c r="AD347" s="395"/>
      <c r="AE347" s="395"/>
      <c r="AF347" s="395"/>
      <c r="AG347" s="395"/>
      <c r="AH347" s="395"/>
      <c r="AI347" s="395"/>
      <c r="AJ347" s="395"/>
      <c r="AK347" s="395"/>
    </row>
    <row r="348">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c r="AA348" s="395"/>
      <c r="AB348" s="395"/>
      <c r="AC348" s="395"/>
      <c r="AD348" s="395"/>
      <c r="AE348" s="395"/>
      <c r="AF348" s="395"/>
      <c r="AG348" s="395"/>
      <c r="AH348" s="395"/>
      <c r="AI348" s="395"/>
      <c r="AJ348" s="395"/>
      <c r="AK348" s="395"/>
    </row>
    <row r="349">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c r="AA349" s="395"/>
      <c r="AB349" s="395"/>
      <c r="AC349" s="395"/>
      <c r="AD349" s="395"/>
      <c r="AE349" s="395"/>
      <c r="AF349" s="395"/>
      <c r="AG349" s="395"/>
      <c r="AH349" s="395"/>
      <c r="AI349" s="395"/>
      <c r="AJ349" s="395"/>
      <c r="AK349" s="395"/>
    </row>
    <row r="350">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c r="AA350" s="395"/>
      <c r="AB350" s="395"/>
      <c r="AC350" s="395"/>
      <c r="AD350" s="395"/>
      <c r="AE350" s="395"/>
      <c r="AF350" s="395"/>
      <c r="AG350" s="395"/>
      <c r="AH350" s="395"/>
      <c r="AI350" s="395"/>
      <c r="AJ350" s="395"/>
      <c r="AK350" s="395"/>
    </row>
    <row r="35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c r="AA351" s="395"/>
      <c r="AB351" s="395"/>
      <c r="AC351" s="395"/>
      <c r="AD351" s="395"/>
      <c r="AE351" s="395"/>
      <c r="AF351" s="395"/>
      <c r="AG351" s="395"/>
      <c r="AH351" s="395"/>
      <c r="AI351" s="395"/>
      <c r="AJ351" s="395"/>
      <c r="AK351" s="395"/>
    </row>
    <row r="352">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c r="AA352" s="395"/>
      <c r="AB352" s="395"/>
      <c r="AC352" s="395"/>
      <c r="AD352" s="395"/>
      <c r="AE352" s="395"/>
      <c r="AF352" s="395"/>
      <c r="AG352" s="395"/>
      <c r="AH352" s="395"/>
      <c r="AI352" s="395"/>
      <c r="AJ352" s="395"/>
      <c r="AK352" s="395"/>
    </row>
    <row r="353">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c r="AA353" s="395"/>
      <c r="AB353" s="395"/>
      <c r="AC353" s="395"/>
      <c r="AD353" s="395"/>
      <c r="AE353" s="395"/>
      <c r="AF353" s="395"/>
      <c r="AG353" s="395"/>
      <c r="AH353" s="395"/>
      <c r="AI353" s="395"/>
      <c r="AJ353" s="395"/>
      <c r="AK353" s="395"/>
    </row>
    <row r="354">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c r="AA354" s="395"/>
      <c r="AB354" s="395"/>
      <c r="AC354" s="395"/>
      <c r="AD354" s="395"/>
      <c r="AE354" s="395"/>
      <c r="AF354" s="395"/>
      <c r="AG354" s="395"/>
      <c r="AH354" s="395"/>
      <c r="AI354" s="395"/>
      <c r="AJ354" s="395"/>
      <c r="AK354" s="395"/>
    </row>
    <row r="355">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c r="AA355" s="395"/>
      <c r="AB355" s="395"/>
      <c r="AC355" s="395"/>
      <c r="AD355" s="395"/>
      <c r="AE355" s="395"/>
      <c r="AF355" s="395"/>
      <c r="AG355" s="395"/>
      <c r="AH355" s="395"/>
      <c r="AI355" s="395"/>
      <c r="AJ355" s="395"/>
      <c r="AK355" s="395"/>
    </row>
    <row r="356">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c r="AA356" s="395"/>
      <c r="AB356" s="395"/>
      <c r="AC356" s="395"/>
      <c r="AD356" s="395"/>
      <c r="AE356" s="395"/>
      <c r="AF356" s="395"/>
      <c r="AG356" s="395"/>
      <c r="AH356" s="395"/>
      <c r="AI356" s="395"/>
      <c r="AJ356" s="395"/>
      <c r="AK356" s="395"/>
    </row>
    <row r="357">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c r="AA357" s="395"/>
      <c r="AB357" s="395"/>
      <c r="AC357" s="395"/>
      <c r="AD357" s="395"/>
      <c r="AE357" s="395"/>
      <c r="AF357" s="395"/>
      <c r="AG357" s="395"/>
      <c r="AH357" s="395"/>
      <c r="AI357" s="395"/>
      <c r="AJ357" s="395"/>
      <c r="AK357" s="395"/>
    </row>
    <row r="358">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c r="AA358" s="395"/>
      <c r="AB358" s="395"/>
      <c r="AC358" s="395"/>
      <c r="AD358" s="395"/>
      <c r="AE358" s="395"/>
      <c r="AF358" s="395"/>
      <c r="AG358" s="395"/>
      <c r="AH358" s="395"/>
      <c r="AI358" s="395"/>
      <c r="AJ358" s="395"/>
      <c r="AK358" s="395"/>
    </row>
    <row r="359">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c r="AA359" s="395"/>
      <c r="AB359" s="395"/>
      <c r="AC359" s="395"/>
      <c r="AD359" s="395"/>
      <c r="AE359" s="395"/>
      <c r="AF359" s="395"/>
      <c r="AG359" s="395"/>
      <c r="AH359" s="395"/>
      <c r="AI359" s="395"/>
      <c r="AJ359" s="395"/>
      <c r="AK359" s="395"/>
    </row>
    <row r="360">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c r="AA360" s="395"/>
      <c r="AB360" s="395"/>
      <c r="AC360" s="395"/>
      <c r="AD360" s="395"/>
      <c r="AE360" s="395"/>
      <c r="AF360" s="395"/>
      <c r="AG360" s="395"/>
      <c r="AH360" s="395"/>
      <c r="AI360" s="395"/>
      <c r="AJ360" s="395"/>
      <c r="AK360" s="395"/>
    </row>
    <row r="36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c r="AA361" s="395"/>
      <c r="AB361" s="395"/>
      <c r="AC361" s="395"/>
      <c r="AD361" s="395"/>
      <c r="AE361" s="395"/>
      <c r="AF361" s="395"/>
      <c r="AG361" s="395"/>
      <c r="AH361" s="395"/>
      <c r="AI361" s="395"/>
      <c r="AJ361" s="395"/>
      <c r="AK361" s="395"/>
    </row>
    <row r="362">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c r="AA362" s="395"/>
      <c r="AB362" s="395"/>
      <c r="AC362" s="395"/>
      <c r="AD362" s="395"/>
      <c r="AE362" s="395"/>
      <c r="AF362" s="395"/>
      <c r="AG362" s="395"/>
      <c r="AH362" s="395"/>
      <c r="AI362" s="395"/>
      <c r="AJ362" s="395"/>
      <c r="AK362" s="395"/>
    </row>
    <row r="363">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c r="AA363" s="395"/>
      <c r="AB363" s="395"/>
      <c r="AC363" s="395"/>
      <c r="AD363" s="395"/>
      <c r="AE363" s="395"/>
      <c r="AF363" s="395"/>
      <c r="AG363" s="395"/>
      <c r="AH363" s="395"/>
      <c r="AI363" s="395"/>
      <c r="AJ363" s="395"/>
      <c r="AK363" s="395"/>
    </row>
    <row r="364">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c r="AA364" s="395"/>
      <c r="AB364" s="395"/>
      <c r="AC364" s="395"/>
      <c r="AD364" s="395"/>
      <c r="AE364" s="395"/>
      <c r="AF364" s="395"/>
      <c r="AG364" s="395"/>
      <c r="AH364" s="395"/>
      <c r="AI364" s="395"/>
      <c r="AJ364" s="395"/>
      <c r="AK364" s="395"/>
    </row>
    <row r="365">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5"/>
      <c r="AB365" s="395"/>
      <c r="AC365" s="395"/>
      <c r="AD365" s="395"/>
      <c r="AE365" s="395"/>
      <c r="AF365" s="395"/>
      <c r="AG365" s="395"/>
      <c r="AH365" s="395"/>
      <c r="AI365" s="395"/>
      <c r="AJ365" s="395"/>
      <c r="AK365" s="395"/>
    </row>
    <row r="366">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c r="AA366" s="395"/>
      <c r="AB366" s="395"/>
      <c r="AC366" s="395"/>
      <c r="AD366" s="395"/>
      <c r="AE366" s="395"/>
      <c r="AF366" s="395"/>
      <c r="AG366" s="395"/>
      <c r="AH366" s="395"/>
      <c r="AI366" s="395"/>
      <c r="AJ366" s="395"/>
      <c r="AK366" s="395"/>
    </row>
    <row r="367">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c r="AA367" s="395"/>
      <c r="AB367" s="395"/>
      <c r="AC367" s="395"/>
      <c r="AD367" s="395"/>
      <c r="AE367" s="395"/>
      <c r="AF367" s="395"/>
      <c r="AG367" s="395"/>
      <c r="AH367" s="395"/>
      <c r="AI367" s="395"/>
      <c r="AJ367" s="395"/>
      <c r="AK367" s="395"/>
    </row>
    <row r="368">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c r="AA368" s="395"/>
      <c r="AB368" s="395"/>
      <c r="AC368" s="395"/>
      <c r="AD368" s="395"/>
      <c r="AE368" s="395"/>
      <c r="AF368" s="395"/>
      <c r="AG368" s="395"/>
      <c r="AH368" s="395"/>
      <c r="AI368" s="395"/>
      <c r="AJ368" s="395"/>
      <c r="AK368" s="395"/>
    </row>
    <row r="369">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c r="AA369" s="395"/>
      <c r="AB369" s="395"/>
      <c r="AC369" s="395"/>
      <c r="AD369" s="395"/>
      <c r="AE369" s="395"/>
      <c r="AF369" s="395"/>
      <c r="AG369" s="395"/>
      <c r="AH369" s="395"/>
      <c r="AI369" s="395"/>
      <c r="AJ369" s="395"/>
      <c r="AK369" s="395"/>
    </row>
    <row r="370">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5"/>
      <c r="AB370" s="395"/>
      <c r="AC370" s="395"/>
      <c r="AD370" s="395"/>
      <c r="AE370" s="395"/>
      <c r="AF370" s="395"/>
      <c r="AG370" s="395"/>
      <c r="AH370" s="395"/>
      <c r="AI370" s="395"/>
      <c r="AJ370" s="395"/>
      <c r="AK370" s="395"/>
    </row>
    <row r="37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c r="AA371" s="395"/>
      <c r="AB371" s="395"/>
      <c r="AC371" s="395"/>
      <c r="AD371" s="395"/>
      <c r="AE371" s="395"/>
      <c r="AF371" s="395"/>
      <c r="AG371" s="395"/>
      <c r="AH371" s="395"/>
      <c r="AI371" s="395"/>
      <c r="AJ371" s="395"/>
      <c r="AK371" s="395"/>
    </row>
    <row r="372">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c r="AA372" s="395"/>
      <c r="AB372" s="395"/>
      <c r="AC372" s="395"/>
      <c r="AD372" s="395"/>
      <c r="AE372" s="395"/>
      <c r="AF372" s="395"/>
      <c r="AG372" s="395"/>
      <c r="AH372" s="395"/>
      <c r="AI372" s="395"/>
      <c r="AJ372" s="395"/>
      <c r="AK372" s="395"/>
    </row>
    <row r="373">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c r="AA373" s="395"/>
      <c r="AB373" s="395"/>
      <c r="AC373" s="395"/>
      <c r="AD373" s="395"/>
      <c r="AE373" s="395"/>
      <c r="AF373" s="395"/>
      <c r="AG373" s="395"/>
      <c r="AH373" s="395"/>
      <c r="AI373" s="395"/>
      <c r="AJ373" s="395"/>
      <c r="AK373" s="395"/>
    </row>
    <row r="374">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c r="AA374" s="395"/>
      <c r="AB374" s="395"/>
      <c r="AC374" s="395"/>
      <c r="AD374" s="395"/>
      <c r="AE374" s="395"/>
      <c r="AF374" s="395"/>
      <c r="AG374" s="395"/>
      <c r="AH374" s="395"/>
      <c r="AI374" s="395"/>
      <c r="AJ374" s="395"/>
      <c r="AK374" s="395"/>
    </row>
    <row r="375">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c r="AA375" s="395"/>
      <c r="AB375" s="395"/>
      <c r="AC375" s="395"/>
      <c r="AD375" s="395"/>
      <c r="AE375" s="395"/>
      <c r="AF375" s="395"/>
      <c r="AG375" s="395"/>
      <c r="AH375" s="395"/>
      <c r="AI375" s="395"/>
      <c r="AJ375" s="395"/>
      <c r="AK375" s="395"/>
    </row>
    <row r="376">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c r="AA376" s="395"/>
      <c r="AB376" s="395"/>
      <c r="AC376" s="395"/>
      <c r="AD376" s="395"/>
      <c r="AE376" s="395"/>
      <c r="AF376" s="395"/>
      <c r="AG376" s="395"/>
      <c r="AH376" s="395"/>
      <c r="AI376" s="395"/>
      <c r="AJ376" s="395"/>
      <c r="AK376" s="395"/>
    </row>
    <row r="377">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c r="AA377" s="395"/>
      <c r="AB377" s="395"/>
      <c r="AC377" s="395"/>
      <c r="AD377" s="395"/>
      <c r="AE377" s="395"/>
      <c r="AF377" s="395"/>
      <c r="AG377" s="395"/>
      <c r="AH377" s="395"/>
      <c r="AI377" s="395"/>
      <c r="AJ377" s="395"/>
      <c r="AK377" s="395"/>
    </row>
    <row r="378">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c r="AA378" s="395"/>
      <c r="AB378" s="395"/>
      <c r="AC378" s="395"/>
      <c r="AD378" s="395"/>
      <c r="AE378" s="395"/>
      <c r="AF378" s="395"/>
      <c r="AG378" s="395"/>
      <c r="AH378" s="395"/>
      <c r="AI378" s="395"/>
      <c r="AJ378" s="395"/>
      <c r="AK378" s="395"/>
    </row>
    <row r="379">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c r="AA379" s="395"/>
      <c r="AB379" s="395"/>
      <c r="AC379" s="395"/>
      <c r="AD379" s="395"/>
      <c r="AE379" s="395"/>
      <c r="AF379" s="395"/>
      <c r="AG379" s="395"/>
      <c r="AH379" s="395"/>
      <c r="AI379" s="395"/>
      <c r="AJ379" s="395"/>
      <c r="AK379" s="395"/>
    </row>
    <row r="380">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c r="AA380" s="395"/>
      <c r="AB380" s="395"/>
      <c r="AC380" s="395"/>
      <c r="AD380" s="395"/>
      <c r="AE380" s="395"/>
      <c r="AF380" s="395"/>
      <c r="AG380" s="395"/>
      <c r="AH380" s="395"/>
      <c r="AI380" s="395"/>
      <c r="AJ380" s="395"/>
      <c r="AK380" s="395"/>
    </row>
    <row r="38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c r="AA381" s="395"/>
      <c r="AB381" s="395"/>
      <c r="AC381" s="395"/>
      <c r="AD381" s="395"/>
      <c r="AE381" s="395"/>
      <c r="AF381" s="395"/>
      <c r="AG381" s="395"/>
      <c r="AH381" s="395"/>
      <c r="AI381" s="395"/>
      <c r="AJ381" s="395"/>
      <c r="AK381" s="395"/>
    </row>
    <row r="382">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c r="AA382" s="395"/>
      <c r="AB382" s="395"/>
      <c r="AC382" s="395"/>
      <c r="AD382" s="395"/>
      <c r="AE382" s="395"/>
      <c r="AF382" s="395"/>
      <c r="AG382" s="395"/>
      <c r="AH382" s="395"/>
      <c r="AI382" s="395"/>
      <c r="AJ382" s="395"/>
      <c r="AK382" s="395"/>
    </row>
    <row r="383">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c r="AA383" s="395"/>
      <c r="AB383" s="395"/>
      <c r="AC383" s="395"/>
      <c r="AD383" s="395"/>
      <c r="AE383" s="395"/>
      <c r="AF383" s="395"/>
      <c r="AG383" s="395"/>
      <c r="AH383" s="395"/>
      <c r="AI383" s="395"/>
      <c r="AJ383" s="395"/>
      <c r="AK383" s="395"/>
    </row>
    <row r="384">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c r="AA384" s="395"/>
      <c r="AB384" s="395"/>
      <c r="AC384" s="395"/>
      <c r="AD384" s="395"/>
      <c r="AE384" s="395"/>
      <c r="AF384" s="395"/>
      <c r="AG384" s="395"/>
      <c r="AH384" s="395"/>
      <c r="AI384" s="395"/>
      <c r="AJ384" s="395"/>
      <c r="AK384" s="395"/>
    </row>
    <row r="385">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c r="AA385" s="395"/>
      <c r="AB385" s="395"/>
      <c r="AC385" s="395"/>
      <c r="AD385" s="395"/>
      <c r="AE385" s="395"/>
      <c r="AF385" s="395"/>
      <c r="AG385" s="395"/>
      <c r="AH385" s="395"/>
      <c r="AI385" s="395"/>
      <c r="AJ385" s="395"/>
      <c r="AK385" s="395"/>
    </row>
    <row r="386">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c r="AA386" s="395"/>
      <c r="AB386" s="395"/>
      <c r="AC386" s="395"/>
      <c r="AD386" s="395"/>
      <c r="AE386" s="395"/>
      <c r="AF386" s="395"/>
      <c r="AG386" s="395"/>
      <c r="AH386" s="395"/>
      <c r="AI386" s="395"/>
      <c r="AJ386" s="395"/>
      <c r="AK386" s="395"/>
    </row>
    <row r="387">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5"/>
      <c r="AB387" s="395"/>
      <c r="AC387" s="395"/>
      <c r="AD387" s="395"/>
      <c r="AE387" s="395"/>
      <c r="AF387" s="395"/>
      <c r="AG387" s="395"/>
      <c r="AH387" s="395"/>
      <c r="AI387" s="395"/>
      <c r="AJ387" s="395"/>
      <c r="AK387" s="395"/>
    </row>
    <row r="388">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5"/>
      <c r="AB388" s="395"/>
      <c r="AC388" s="395"/>
      <c r="AD388" s="395"/>
      <c r="AE388" s="395"/>
      <c r="AF388" s="395"/>
      <c r="AG388" s="395"/>
      <c r="AH388" s="395"/>
      <c r="AI388" s="395"/>
      <c r="AJ388" s="395"/>
      <c r="AK388" s="395"/>
    </row>
    <row r="389">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c r="AA389" s="395"/>
      <c r="AB389" s="395"/>
      <c r="AC389" s="395"/>
      <c r="AD389" s="395"/>
      <c r="AE389" s="395"/>
      <c r="AF389" s="395"/>
      <c r="AG389" s="395"/>
      <c r="AH389" s="395"/>
      <c r="AI389" s="395"/>
      <c r="AJ389" s="395"/>
      <c r="AK389" s="395"/>
    </row>
    <row r="390">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c r="AA390" s="395"/>
      <c r="AB390" s="395"/>
      <c r="AC390" s="395"/>
      <c r="AD390" s="395"/>
      <c r="AE390" s="395"/>
      <c r="AF390" s="395"/>
      <c r="AG390" s="395"/>
      <c r="AH390" s="395"/>
      <c r="AI390" s="395"/>
      <c r="AJ390" s="395"/>
      <c r="AK390" s="395"/>
    </row>
    <row r="39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c r="AA391" s="395"/>
      <c r="AB391" s="395"/>
      <c r="AC391" s="395"/>
      <c r="AD391" s="395"/>
      <c r="AE391" s="395"/>
      <c r="AF391" s="395"/>
      <c r="AG391" s="395"/>
      <c r="AH391" s="395"/>
      <c r="AI391" s="395"/>
      <c r="AJ391" s="395"/>
      <c r="AK391" s="395"/>
    </row>
    <row r="392">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c r="AA392" s="395"/>
      <c r="AB392" s="395"/>
      <c r="AC392" s="395"/>
      <c r="AD392" s="395"/>
      <c r="AE392" s="395"/>
      <c r="AF392" s="395"/>
      <c r="AG392" s="395"/>
      <c r="AH392" s="395"/>
      <c r="AI392" s="395"/>
      <c r="AJ392" s="395"/>
      <c r="AK392" s="395"/>
    </row>
    <row r="393">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c r="AA393" s="395"/>
      <c r="AB393" s="395"/>
      <c r="AC393" s="395"/>
      <c r="AD393" s="395"/>
      <c r="AE393" s="395"/>
      <c r="AF393" s="395"/>
      <c r="AG393" s="395"/>
      <c r="AH393" s="395"/>
      <c r="AI393" s="395"/>
      <c r="AJ393" s="395"/>
      <c r="AK393" s="395"/>
    </row>
    <row r="394">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c r="AA394" s="395"/>
      <c r="AB394" s="395"/>
      <c r="AC394" s="395"/>
      <c r="AD394" s="395"/>
      <c r="AE394" s="395"/>
      <c r="AF394" s="395"/>
      <c r="AG394" s="395"/>
      <c r="AH394" s="395"/>
      <c r="AI394" s="395"/>
      <c r="AJ394" s="395"/>
      <c r="AK394" s="395"/>
    </row>
    <row r="395">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c r="AA395" s="395"/>
      <c r="AB395" s="395"/>
      <c r="AC395" s="395"/>
      <c r="AD395" s="395"/>
      <c r="AE395" s="395"/>
      <c r="AF395" s="395"/>
      <c r="AG395" s="395"/>
      <c r="AH395" s="395"/>
      <c r="AI395" s="395"/>
      <c r="AJ395" s="395"/>
      <c r="AK395" s="395"/>
    </row>
    <row r="396">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c r="AA396" s="395"/>
      <c r="AB396" s="395"/>
      <c r="AC396" s="395"/>
      <c r="AD396" s="395"/>
      <c r="AE396" s="395"/>
      <c r="AF396" s="395"/>
      <c r="AG396" s="395"/>
      <c r="AH396" s="395"/>
      <c r="AI396" s="395"/>
      <c r="AJ396" s="395"/>
      <c r="AK396" s="395"/>
    </row>
    <row r="397">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c r="AA397" s="395"/>
      <c r="AB397" s="395"/>
      <c r="AC397" s="395"/>
      <c r="AD397" s="395"/>
      <c r="AE397" s="395"/>
      <c r="AF397" s="395"/>
      <c r="AG397" s="395"/>
      <c r="AH397" s="395"/>
      <c r="AI397" s="395"/>
      <c r="AJ397" s="395"/>
      <c r="AK397" s="395"/>
    </row>
    <row r="398">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c r="AA398" s="395"/>
      <c r="AB398" s="395"/>
      <c r="AC398" s="395"/>
      <c r="AD398" s="395"/>
      <c r="AE398" s="395"/>
      <c r="AF398" s="395"/>
      <c r="AG398" s="395"/>
      <c r="AH398" s="395"/>
      <c r="AI398" s="395"/>
      <c r="AJ398" s="395"/>
      <c r="AK398" s="395"/>
    </row>
    <row r="399">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c r="AA399" s="395"/>
      <c r="AB399" s="395"/>
      <c r="AC399" s="395"/>
      <c r="AD399" s="395"/>
      <c r="AE399" s="395"/>
      <c r="AF399" s="395"/>
      <c r="AG399" s="395"/>
      <c r="AH399" s="395"/>
      <c r="AI399" s="395"/>
      <c r="AJ399" s="395"/>
      <c r="AK399" s="395"/>
    </row>
    <row r="400">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c r="AA400" s="395"/>
      <c r="AB400" s="395"/>
      <c r="AC400" s="395"/>
      <c r="AD400" s="395"/>
      <c r="AE400" s="395"/>
      <c r="AF400" s="395"/>
      <c r="AG400" s="395"/>
      <c r="AH400" s="395"/>
      <c r="AI400" s="395"/>
      <c r="AJ400" s="395"/>
      <c r="AK400" s="395"/>
    </row>
    <row r="40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c r="AA401" s="395"/>
      <c r="AB401" s="395"/>
      <c r="AC401" s="395"/>
      <c r="AD401" s="395"/>
      <c r="AE401" s="395"/>
      <c r="AF401" s="395"/>
      <c r="AG401" s="395"/>
      <c r="AH401" s="395"/>
      <c r="AI401" s="395"/>
      <c r="AJ401" s="395"/>
      <c r="AK401" s="395"/>
    </row>
    <row r="402">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c r="AA402" s="395"/>
      <c r="AB402" s="395"/>
      <c r="AC402" s="395"/>
      <c r="AD402" s="395"/>
      <c r="AE402" s="395"/>
      <c r="AF402" s="395"/>
      <c r="AG402" s="395"/>
      <c r="AH402" s="395"/>
      <c r="AI402" s="395"/>
      <c r="AJ402" s="395"/>
      <c r="AK402" s="395"/>
    </row>
    <row r="403">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c r="AA403" s="395"/>
      <c r="AB403" s="395"/>
      <c r="AC403" s="395"/>
      <c r="AD403" s="395"/>
      <c r="AE403" s="395"/>
      <c r="AF403" s="395"/>
      <c r="AG403" s="395"/>
      <c r="AH403" s="395"/>
      <c r="AI403" s="395"/>
      <c r="AJ403" s="395"/>
      <c r="AK403" s="395"/>
    </row>
    <row r="404">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c r="AA404" s="395"/>
      <c r="AB404" s="395"/>
      <c r="AC404" s="395"/>
      <c r="AD404" s="395"/>
      <c r="AE404" s="395"/>
      <c r="AF404" s="395"/>
      <c r="AG404" s="395"/>
      <c r="AH404" s="395"/>
      <c r="AI404" s="395"/>
      <c r="AJ404" s="395"/>
      <c r="AK404" s="395"/>
    </row>
    <row r="405">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c r="AA405" s="395"/>
      <c r="AB405" s="395"/>
      <c r="AC405" s="395"/>
      <c r="AD405" s="395"/>
      <c r="AE405" s="395"/>
      <c r="AF405" s="395"/>
      <c r="AG405" s="395"/>
      <c r="AH405" s="395"/>
      <c r="AI405" s="395"/>
      <c r="AJ405" s="395"/>
      <c r="AK405" s="395"/>
    </row>
    <row r="406">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c r="AA406" s="395"/>
      <c r="AB406" s="395"/>
      <c r="AC406" s="395"/>
      <c r="AD406" s="395"/>
      <c r="AE406" s="395"/>
      <c r="AF406" s="395"/>
      <c r="AG406" s="395"/>
      <c r="AH406" s="395"/>
      <c r="AI406" s="395"/>
      <c r="AJ406" s="395"/>
      <c r="AK406" s="395"/>
    </row>
    <row r="407">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c r="AA407" s="395"/>
      <c r="AB407" s="395"/>
      <c r="AC407" s="395"/>
      <c r="AD407" s="395"/>
      <c r="AE407" s="395"/>
      <c r="AF407" s="395"/>
      <c r="AG407" s="395"/>
      <c r="AH407" s="395"/>
      <c r="AI407" s="395"/>
      <c r="AJ407" s="395"/>
      <c r="AK407" s="395"/>
    </row>
    <row r="408">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c r="AA408" s="395"/>
      <c r="AB408" s="395"/>
      <c r="AC408" s="395"/>
      <c r="AD408" s="395"/>
      <c r="AE408" s="395"/>
      <c r="AF408" s="395"/>
      <c r="AG408" s="395"/>
      <c r="AH408" s="395"/>
      <c r="AI408" s="395"/>
      <c r="AJ408" s="395"/>
      <c r="AK408" s="395"/>
    </row>
    <row r="409">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c r="AA409" s="395"/>
      <c r="AB409" s="395"/>
      <c r="AC409" s="395"/>
      <c r="AD409" s="395"/>
      <c r="AE409" s="395"/>
      <c r="AF409" s="395"/>
      <c r="AG409" s="395"/>
      <c r="AH409" s="395"/>
      <c r="AI409" s="395"/>
      <c r="AJ409" s="395"/>
      <c r="AK409" s="395"/>
    </row>
    <row r="410">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c r="AA410" s="395"/>
      <c r="AB410" s="395"/>
      <c r="AC410" s="395"/>
      <c r="AD410" s="395"/>
      <c r="AE410" s="395"/>
      <c r="AF410" s="395"/>
      <c r="AG410" s="395"/>
      <c r="AH410" s="395"/>
      <c r="AI410" s="395"/>
      <c r="AJ410" s="395"/>
      <c r="AK410" s="395"/>
    </row>
    <row r="41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c r="AA411" s="395"/>
      <c r="AB411" s="395"/>
      <c r="AC411" s="395"/>
      <c r="AD411" s="395"/>
      <c r="AE411" s="395"/>
      <c r="AF411" s="395"/>
      <c r="AG411" s="395"/>
      <c r="AH411" s="395"/>
      <c r="AI411" s="395"/>
      <c r="AJ411" s="395"/>
      <c r="AK411" s="395"/>
    </row>
    <row r="412">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c r="AA412" s="395"/>
      <c r="AB412" s="395"/>
      <c r="AC412" s="395"/>
      <c r="AD412" s="395"/>
      <c r="AE412" s="395"/>
      <c r="AF412" s="395"/>
      <c r="AG412" s="395"/>
      <c r="AH412" s="395"/>
      <c r="AI412" s="395"/>
      <c r="AJ412" s="395"/>
      <c r="AK412" s="395"/>
    </row>
    <row r="413">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c r="AA413" s="395"/>
      <c r="AB413" s="395"/>
      <c r="AC413" s="395"/>
      <c r="AD413" s="395"/>
      <c r="AE413" s="395"/>
      <c r="AF413" s="395"/>
      <c r="AG413" s="395"/>
      <c r="AH413" s="395"/>
      <c r="AI413" s="395"/>
      <c r="AJ413" s="395"/>
      <c r="AK413" s="395"/>
    </row>
    <row r="414">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c r="AA414" s="395"/>
      <c r="AB414" s="395"/>
      <c r="AC414" s="395"/>
      <c r="AD414" s="395"/>
      <c r="AE414" s="395"/>
      <c r="AF414" s="395"/>
      <c r="AG414" s="395"/>
      <c r="AH414" s="395"/>
      <c r="AI414" s="395"/>
      <c r="AJ414" s="395"/>
      <c r="AK414" s="395"/>
    </row>
    <row r="415">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c r="AA415" s="395"/>
      <c r="AB415" s="395"/>
      <c r="AC415" s="395"/>
      <c r="AD415" s="395"/>
      <c r="AE415" s="395"/>
      <c r="AF415" s="395"/>
      <c r="AG415" s="395"/>
      <c r="AH415" s="395"/>
      <c r="AI415" s="395"/>
      <c r="AJ415" s="395"/>
      <c r="AK415" s="395"/>
    </row>
    <row r="416">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c r="AA416" s="395"/>
      <c r="AB416" s="395"/>
      <c r="AC416" s="395"/>
      <c r="AD416" s="395"/>
      <c r="AE416" s="395"/>
      <c r="AF416" s="395"/>
      <c r="AG416" s="395"/>
      <c r="AH416" s="395"/>
      <c r="AI416" s="395"/>
      <c r="AJ416" s="395"/>
      <c r="AK416" s="395"/>
    </row>
    <row r="417">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c r="AA417" s="395"/>
      <c r="AB417" s="395"/>
      <c r="AC417" s="395"/>
      <c r="AD417" s="395"/>
      <c r="AE417" s="395"/>
      <c r="AF417" s="395"/>
      <c r="AG417" s="395"/>
      <c r="AH417" s="395"/>
      <c r="AI417" s="395"/>
      <c r="AJ417" s="395"/>
      <c r="AK417" s="395"/>
    </row>
    <row r="418">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c r="AA418" s="395"/>
      <c r="AB418" s="395"/>
      <c r="AC418" s="395"/>
      <c r="AD418" s="395"/>
      <c r="AE418" s="395"/>
      <c r="AF418" s="395"/>
      <c r="AG418" s="395"/>
      <c r="AH418" s="395"/>
      <c r="AI418" s="395"/>
      <c r="AJ418" s="395"/>
      <c r="AK418" s="395"/>
    </row>
    <row r="419">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c r="AA419" s="395"/>
      <c r="AB419" s="395"/>
      <c r="AC419" s="395"/>
      <c r="AD419" s="395"/>
      <c r="AE419" s="395"/>
      <c r="AF419" s="395"/>
      <c r="AG419" s="395"/>
      <c r="AH419" s="395"/>
      <c r="AI419" s="395"/>
      <c r="AJ419" s="395"/>
      <c r="AK419" s="395"/>
    </row>
    <row r="420">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c r="AA420" s="395"/>
      <c r="AB420" s="395"/>
      <c r="AC420" s="395"/>
      <c r="AD420" s="395"/>
      <c r="AE420" s="395"/>
      <c r="AF420" s="395"/>
      <c r="AG420" s="395"/>
      <c r="AH420" s="395"/>
      <c r="AI420" s="395"/>
      <c r="AJ420" s="395"/>
      <c r="AK420" s="395"/>
    </row>
    <row r="42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c r="AA421" s="395"/>
      <c r="AB421" s="395"/>
      <c r="AC421" s="395"/>
      <c r="AD421" s="395"/>
      <c r="AE421" s="395"/>
      <c r="AF421" s="395"/>
      <c r="AG421" s="395"/>
      <c r="AH421" s="395"/>
      <c r="AI421" s="395"/>
      <c r="AJ421" s="395"/>
      <c r="AK421" s="395"/>
    </row>
    <row r="422">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c r="AA422" s="395"/>
      <c r="AB422" s="395"/>
      <c r="AC422" s="395"/>
      <c r="AD422" s="395"/>
      <c r="AE422" s="395"/>
      <c r="AF422" s="395"/>
      <c r="AG422" s="395"/>
      <c r="AH422" s="395"/>
      <c r="AI422" s="395"/>
      <c r="AJ422" s="395"/>
      <c r="AK422" s="395"/>
    </row>
    <row r="423">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c r="AA423" s="395"/>
      <c r="AB423" s="395"/>
      <c r="AC423" s="395"/>
      <c r="AD423" s="395"/>
      <c r="AE423" s="395"/>
      <c r="AF423" s="395"/>
      <c r="AG423" s="395"/>
      <c r="AH423" s="395"/>
      <c r="AI423" s="395"/>
      <c r="AJ423" s="395"/>
      <c r="AK423" s="395"/>
    </row>
    <row r="424">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c r="AA424" s="395"/>
      <c r="AB424" s="395"/>
      <c r="AC424" s="395"/>
      <c r="AD424" s="395"/>
      <c r="AE424" s="395"/>
      <c r="AF424" s="395"/>
      <c r="AG424" s="395"/>
      <c r="AH424" s="395"/>
      <c r="AI424" s="395"/>
      <c r="AJ424" s="395"/>
      <c r="AK424" s="395"/>
    </row>
    <row r="425">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c r="AA425" s="395"/>
      <c r="AB425" s="395"/>
      <c r="AC425" s="395"/>
      <c r="AD425" s="395"/>
      <c r="AE425" s="395"/>
      <c r="AF425" s="395"/>
      <c r="AG425" s="395"/>
      <c r="AH425" s="395"/>
      <c r="AI425" s="395"/>
      <c r="AJ425" s="395"/>
      <c r="AK425" s="395"/>
    </row>
    <row r="426">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c r="AA426" s="395"/>
      <c r="AB426" s="395"/>
      <c r="AC426" s="395"/>
      <c r="AD426" s="395"/>
      <c r="AE426" s="395"/>
      <c r="AF426" s="395"/>
      <c r="AG426" s="395"/>
      <c r="AH426" s="395"/>
      <c r="AI426" s="395"/>
      <c r="AJ426" s="395"/>
      <c r="AK426" s="395"/>
    </row>
    <row r="427">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c r="AA427" s="395"/>
      <c r="AB427" s="395"/>
      <c r="AC427" s="395"/>
      <c r="AD427" s="395"/>
      <c r="AE427" s="395"/>
      <c r="AF427" s="395"/>
      <c r="AG427" s="395"/>
      <c r="AH427" s="395"/>
      <c r="AI427" s="395"/>
      <c r="AJ427" s="395"/>
      <c r="AK427" s="395"/>
    </row>
    <row r="428">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c r="AA428" s="395"/>
      <c r="AB428" s="395"/>
      <c r="AC428" s="395"/>
      <c r="AD428" s="395"/>
      <c r="AE428" s="395"/>
      <c r="AF428" s="395"/>
      <c r="AG428" s="395"/>
      <c r="AH428" s="395"/>
      <c r="AI428" s="395"/>
      <c r="AJ428" s="395"/>
      <c r="AK428" s="395"/>
    </row>
    <row r="429">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c r="AA429" s="395"/>
      <c r="AB429" s="395"/>
      <c r="AC429" s="395"/>
      <c r="AD429" s="395"/>
      <c r="AE429" s="395"/>
      <c r="AF429" s="395"/>
      <c r="AG429" s="395"/>
      <c r="AH429" s="395"/>
      <c r="AI429" s="395"/>
      <c r="AJ429" s="395"/>
      <c r="AK429" s="395"/>
    </row>
    <row r="430">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c r="AA430" s="395"/>
      <c r="AB430" s="395"/>
      <c r="AC430" s="395"/>
      <c r="AD430" s="395"/>
      <c r="AE430" s="395"/>
      <c r="AF430" s="395"/>
      <c r="AG430" s="395"/>
      <c r="AH430" s="395"/>
      <c r="AI430" s="395"/>
      <c r="AJ430" s="395"/>
      <c r="AK430" s="395"/>
    </row>
    <row r="43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c r="AA431" s="395"/>
      <c r="AB431" s="395"/>
      <c r="AC431" s="395"/>
      <c r="AD431" s="395"/>
      <c r="AE431" s="395"/>
      <c r="AF431" s="395"/>
      <c r="AG431" s="395"/>
      <c r="AH431" s="395"/>
      <c r="AI431" s="395"/>
      <c r="AJ431" s="395"/>
      <c r="AK431" s="395"/>
    </row>
    <row r="432">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c r="AA432" s="395"/>
      <c r="AB432" s="395"/>
      <c r="AC432" s="395"/>
      <c r="AD432" s="395"/>
      <c r="AE432" s="395"/>
      <c r="AF432" s="395"/>
      <c r="AG432" s="395"/>
      <c r="AH432" s="395"/>
      <c r="AI432" s="395"/>
      <c r="AJ432" s="395"/>
      <c r="AK432" s="395"/>
    </row>
    <row r="433">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c r="AA433" s="395"/>
      <c r="AB433" s="395"/>
      <c r="AC433" s="395"/>
      <c r="AD433" s="395"/>
      <c r="AE433" s="395"/>
      <c r="AF433" s="395"/>
      <c r="AG433" s="395"/>
      <c r="AH433" s="395"/>
      <c r="AI433" s="395"/>
      <c r="AJ433" s="395"/>
      <c r="AK433" s="395"/>
    </row>
    <row r="434">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c r="AA434" s="395"/>
      <c r="AB434" s="395"/>
      <c r="AC434" s="395"/>
      <c r="AD434" s="395"/>
      <c r="AE434" s="395"/>
      <c r="AF434" s="395"/>
      <c r="AG434" s="395"/>
      <c r="AH434" s="395"/>
      <c r="AI434" s="395"/>
      <c r="AJ434" s="395"/>
      <c r="AK434" s="395"/>
    </row>
    <row r="435">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c r="AA435" s="395"/>
      <c r="AB435" s="395"/>
      <c r="AC435" s="395"/>
      <c r="AD435" s="395"/>
      <c r="AE435" s="395"/>
      <c r="AF435" s="395"/>
      <c r="AG435" s="395"/>
      <c r="AH435" s="395"/>
      <c r="AI435" s="395"/>
      <c r="AJ435" s="395"/>
      <c r="AK435" s="395"/>
    </row>
    <row r="436">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c r="AA436" s="395"/>
      <c r="AB436" s="395"/>
      <c r="AC436" s="395"/>
      <c r="AD436" s="395"/>
      <c r="AE436" s="395"/>
      <c r="AF436" s="395"/>
      <c r="AG436" s="395"/>
      <c r="AH436" s="395"/>
      <c r="AI436" s="395"/>
      <c r="AJ436" s="395"/>
      <c r="AK436" s="395"/>
    </row>
    <row r="437">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c r="AA437" s="395"/>
      <c r="AB437" s="395"/>
      <c r="AC437" s="395"/>
      <c r="AD437" s="395"/>
      <c r="AE437" s="395"/>
      <c r="AF437" s="395"/>
      <c r="AG437" s="395"/>
      <c r="AH437" s="395"/>
      <c r="AI437" s="395"/>
      <c r="AJ437" s="395"/>
      <c r="AK437" s="395"/>
    </row>
    <row r="438">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c r="AA438" s="395"/>
      <c r="AB438" s="395"/>
      <c r="AC438" s="395"/>
      <c r="AD438" s="395"/>
      <c r="AE438" s="395"/>
      <c r="AF438" s="395"/>
      <c r="AG438" s="395"/>
      <c r="AH438" s="395"/>
      <c r="AI438" s="395"/>
      <c r="AJ438" s="395"/>
      <c r="AK438" s="395"/>
    </row>
    <row r="439">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c r="AA439" s="395"/>
      <c r="AB439" s="395"/>
      <c r="AC439" s="395"/>
      <c r="AD439" s="395"/>
      <c r="AE439" s="395"/>
      <c r="AF439" s="395"/>
      <c r="AG439" s="395"/>
      <c r="AH439" s="395"/>
      <c r="AI439" s="395"/>
      <c r="AJ439" s="395"/>
      <c r="AK439" s="395"/>
    </row>
    <row r="440">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c r="AA440" s="395"/>
      <c r="AB440" s="395"/>
      <c r="AC440" s="395"/>
      <c r="AD440" s="395"/>
      <c r="AE440" s="395"/>
      <c r="AF440" s="395"/>
      <c r="AG440" s="395"/>
      <c r="AH440" s="395"/>
      <c r="AI440" s="395"/>
      <c r="AJ440" s="395"/>
      <c r="AK440" s="395"/>
    </row>
    <row r="44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c r="AA441" s="395"/>
      <c r="AB441" s="395"/>
      <c r="AC441" s="395"/>
      <c r="AD441" s="395"/>
      <c r="AE441" s="395"/>
      <c r="AF441" s="395"/>
      <c r="AG441" s="395"/>
      <c r="AH441" s="395"/>
      <c r="AI441" s="395"/>
      <c r="AJ441" s="395"/>
      <c r="AK441" s="395"/>
    </row>
    <row r="442">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c r="AA442" s="395"/>
      <c r="AB442" s="395"/>
      <c r="AC442" s="395"/>
      <c r="AD442" s="395"/>
      <c r="AE442" s="395"/>
      <c r="AF442" s="395"/>
      <c r="AG442" s="395"/>
      <c r="AH442" s="395"/>
      <c r="AI442" s="395"/>
      <c r="AJ442" s="395"/>
      <c r="AK442" s="395"/>
    </row>
    <row r="443">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c r="AA443" s="395"/>
      <c r="AB443" s="395"/>
      <c r="AC443" s="395"/>
      <c r="AD443" s="395"/>
      <c r="AE443" s="395"/>
      <c r="AF443" s="395"/>
      <c r="AG443" s="395"/>
      <c r="AH443" s="395"/>
      <c r="AI443" s="395"/>
      <c r="AJ443" s="395"/>
      <c r="AK443" s="395"/>
    </row>
    <row r="444">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c r="AA444" s="395"/>
      <c r="AB444" s="395"/>
      <c r="AC444" s="395"/>
      <c r="AD444" s="395"/>
      <c r="AE444" s="395"/>
      <c r="AF444" s="395"/>
      <c r="AG444" s="395"/>
      <c r="AH444" s="395"/>
      <c r="AI444" s="395"/>
      <c r="AJ444" s="395"/>
      <c r="AK444" s="395"/>
    </row>
    <row r="445">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c r="AA445" s="395"/>
      <c r="AB445" s="395"/>
      <c r="AC445" s="395"/>
      <c r="AD445" s="395"/>
      <c r="AE445" s="395"/>
      <c r="AF445" s="395"/>
      <c r="AG445" s="395"/>
      <c r="AH445" s="395"/>
      <c r="AI445" s="395"/>
      <c r="AJ445" s="395"/>
      <c r="AK445" s="395"/>
    </row>
    <row r="446">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c r="AA446" s="395"/>
      <c r="AB446" s="395"/>
      <c r="AC446" s="395"/>
      <c r="AD446" s="395"/>
      <c r="AE446" s="395"/>
      <c r="AF446" s="395"/>
      <c r="AG446" s="395"/>
      <c r="AH446" s="395"/>
      <c r="AI446" s="395"/>
      <c r="AJ446" s="395"/>
      <c r="AK446" s="395"/>
    </row>
    <row r="447">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c r="AA447" s="395"/>
      <c r="AB447" s="395"/>
      <c r="AC447" s="395"/>
      <c r="AD447" s="395"/>
      <c r="AE447" s="395"/>
      <c r="AF447" s="395"/>
      <c r="AG447" s="395"/>
      <c r="AH447" s="395"/>
      <c r="AI447" s="395"/>
      <c r="AJ447" s="395"/>
      <c r="AK447" s="395"/>
    </row>
    <row r="448">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c r="AA448" s="395"/>
      <c r="AB448" s="395"/>
      <c r="AC448" s="395"/>
      <c r="AD448" s="395"/>
      <c r="AE448" s="395"/>
      <c r="AF448" s="395"/>
      <c r="AG448" s="395"/>
      <c r="AH448" s="395"/>
      <c r="AI448" s="395"/>
      <c r="AJ448" s="395"/>
      <c r="AK448" s="395"/>
    </row>
    <row r="449">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c r="AA449" s="395"/>
      <c r="AB449" s="395"/>
      <c r="AC449" s="395"/>
      <c r="AD449" s="395"/>
      <c r="AE449" s="395"/>
      <c r="AF449" s="395"/>
      <c r="AG449" s="395"/>
      <c r="AH449" s="395"/>
      <c r="AI449" s="395"/>
      <c r="AJ449" s="395"/>
      <c r="AK449" s="395"/>
    </row>
    <row r="450">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c r="AA450" s="395"/>
      <c r="AB450" s="395"/>
      <c r="AC450" s="395"/>
      <c r="AD450" s="395"/>
      <c r="AE450" s="395"/>
      <c r="AF450" s="395"/>
      <c r="AG450" s="395"/>
      <c r="AH450" s="395"/>
      <c r="AI450" s="395"/>
      <c r="AJ450" s="395"/>
      <c r="AK450" s="395"/>
    </row>
    <row r="45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c r="AA451" s="395"/>
      <c r="AB451" s="395"/>
      <c r="AC451" s="395"/>
      <c r="AD451" s="395"/>
      <c r="AE451" s="395"/>
      <c r="AF451" s="395"/>
      <c r="AG451" s="395"/>
      <c r="AH451" s="395"/>
      <c r="AI451" s="395"/>
      <c r="AJ451" s="395"/>
      <c r="AK451" s="395"/>
    </row>
    <row r="452">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c r="AA452" s="395"/>
      <c r="AB452" s="395"/>
      <c r="AC452" s="395"/>
      <c r="AD452" s="395"/>
      <c r="AE452" s="395"/>
      <c r="AF452" s="395"/>
      <c r="AG452" s="395"/>
      <c r="AH452" s="395"/>
      <c r="AI452" s="395"/>
      <c r="AJ452" s="395"/>
      <c r="AK452" s="395"/>
    </row>
    <row r="453">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c r="AA453" s="395"/>
      <c r="AB453" s="395"/>
      <c r="AC453" s="395"/>
      <c r="AD453" s="395"/>
      <c r="AE453" s="395"/>
      <c r="AF453" s="395"/>
      <c r="AG453" s="395"/>
      <c r="AH453" s="395"/>
      <c r="AI453" s="395"/>
      <c r="AJ453" s="395"/>
      <c r="AK453" s="395"/>
    </row>
    <row r="454">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c r="AA454" s="395"/>
      <c r="AB454" s="395"/>
      <c r="AC454" s="395"/>
      <c r="AD454" s="395"/>
      <c r="AE454" s="395"/>
      <c r="AF454" s="395"/>
      <c r="AG454" s="395"/>
      <c r="AH454" s="395"/>
      <c r="AI454" s="395"/>
      <c r="AJ454" s="395"/>
      <c r="AK454" s="395"/>
    </row>
    <row r="455">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c r="AA455" s="395"/>
      <c r="AB455" s="395"/>
      <c r="AC455" s="395"/>
      <c r="AD455" s="395"/>
      <c r="AE455" s="395"/>
      <c r="AF455" s="395"/>
      <c r="AG455" s="395"/>
      <c r="AH455" s="395"/>
      <c r="AI455" s="395"/>
      <c r="AJ455" s="395"/>
      <c r="AK455" s="395"/>
    </row>
    <row r="456">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c r="AA456" s="395"/>
      <c r="AB456" s="395"/>
      <c r="AC456" s="395"/>
      <c r="AD456" s="395"/>
      <c r="AE456" s="395"/>
      <c r="AF456" s="395"/>
      <c r="AG456" s="395"/>
      <c r="AH456" s="395"/>
      <c r="AI456" s="395"/>
      <c r="AJ456" s="395"/>
      <c r="AK456" s="395"/>
    </row>
    <row r="457">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c r="AA457" s="395"/>
      <c r="AB457" s="395"/>
      <c r="AC457" s="395"/>
      <c r="AD457" s="395"/>
      <c r="AE457" s="395"/>
      <c r="AF457" s="395"/>
      <c r="AG457" s="395"/>
      <c r="AH457" s="395"/>
      <c r="AI457" s="395"/>
      <c r="AJ457" s="395"/>
      <c r="AK457" s="395"/>
    </row>
    <row r="458">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c r="AA458" s="395"/>
      <c r="AB458" s="395"/>
      <c r="AC458" s="395"/>
      <c r="AD458" s="395"/>
      <c r="AE458" s="395"/>
      <c r="AF458" s="395"/>
      <c r="AG458" s="395"/>
      <c r="AH458" s="395"/>
      <c r="AI458" s="395"/>
      <c r="AJ458" s="395"/>
      <c r="AK458" s="395"/>
    </row>
    <row r="459">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c r="AA459" s="395"/>
      <c r="AB459" s="395"/>
      <c r="AC459" s="395"/>
      <c r="AD459" s="395"/>
      <c r="AE459" s="395"/>
      <c r="AF459" s="395"/>
      <c r="AG459" s="395"/>
      <c r="AH459" s="395"/>
      <c r="AI459" s="395"/>
      <c r="AJ459" s="395"/>
      <c r="AK459" s="395"/>
    </row>
    <row r="460">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c r="AA460" s="395"/>
      <c r="AB460" s="395"/>
      <c r="AC460" s="395"/>
      <c r="AD460" s="395"/>
      <c r="AE460" s="395"/>
      <c r="AF460" s="395"/>
      <c r="AG460" s="395"/>
      <c r="AH460" s="395"/>
      <c r="AI460" s="395"/>
      <c r="AJ460" s="395"/>
      <c r="AK460" s="395"/>
    </row>
    <row r="46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c r="AA461" s="395"/>
      <c r="AB461" s="395"/>
      <c r="AC461" s="395"/>
      <c r="AD461" s="395"/>
      <c r="AE461" s="395"/>
      <c r="AF461" s="395"/>
      <c r="AG461" s="395"/>
      <c r="AH461" s="395"/>
      <c r="AI461" s="395"/>
      <c r="AJ461" s="395"/>
      <c r="AK461" s="395"/>
    </row>
    <row r="462">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c r="AA462" s="395"/>
      <c r="AB462" s="395"/>
      <c r="AC462" s="395"/>
      <c r="AD462" s="395"/>
      <c r="AE462" s="395"/>
      <c r="AF462" s="395"/>
      <c r="AG462" s="395"/>
      <c r="AH462" s="395"/>
      <c r="AI462" s="395"/>
      <c r="AJ462" s="395"/>
      <c r="AK462" s="395"/>
    </row>
    <row r="463">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c r="AA463" s="395"/>
      <c r="AB463" s="395"/>
      <c r="AC463" s="395"/>
      <c r="AD463" s="395"/>
      <c r="AE463" s="395"/>
      <c r="AF463" s="395"/>
      <c r="AG463" s="395"/>
      <c r="AH463" s="395"/>
      <c r="AI463" s="395"/>
      <c r="AJ463" s="395"/>
      <c r="AK463" s="395"/>
    </row>
    <row r="464">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c r="AA464" s="395"/>
      <c r="AB464" s="395"/>
      <c r="AC464" s="395"/>
      <c r="AD464" s="395"/>
      <c r="AE464" s="395"/>
      <c r="AF464" s="395"/>
      <c r="AG464" s="395"/>
      <c r="AH464" s="395"/>
      <c r="AI464" s="395"/>
      <c r="AJ464" s="395"/>
      <c r="AK464" s="395"/>
    </row>
    <row r="465">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c r="AA465" s="395"/>
      <c r="AB465" s="395"/>
      <c r="AC465" s="395"/>
      <c r="AD465" s="395"/>
      <c r="AE465" s="395"/>
      <c r="AF465" s="395"/>
      <c r="AG465" s="395"/>
      <c r="AH465" s="395"/>
      <c r="AI465" s="395"/>
      <c r="AJ465" s="395"/>
      <c r="AK465" s="395"/>
    </row>
    <row r="466">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c r="AA466" s="395"/>
      <c r="AB466" s="395"/>
      <c r="AC466" s="395"/>
      <c r="AD466" s="395"/>
      <c r="AE466" s="395"/>
      <c r="AF466" s="395"/>
      <c r="AG466" s="395"/>
      <c r="AH466" s="395"/>
      <c r="AI466" s="395"/>
      <c r="AJ466" s="395"/>
      <c r="AK466" s="395"/>
    </row>
    <row r="467">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c r="AA467" s="395"/>
      <c r="AB467" s="395"/>
      <c r="AC467" s="395"/>
      <c r="AD467" s="395"/>
      <c r="AE467" s="395"/>
      <c r="AF467" s="395"/>
      <c r="AG467" s="395"/>
      <c r="AH467" s="395"/>
      <c r="AI467" s="395"/>
      <c r="AJ467" s="395"/>
      <c r="AK467" s="395"/>
    </row>
    <row r="468">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c r="AA468" s="395"/>
      <c r="AB468" s="395"/>
      <c r="AC468" s="395"/>
      <c r="AD468" s="395"/>
      <c r="AE468" s="395"/>
      <c r="AF468" s="395"/>
      <c r="AG468" s="395"/>
      <c r="AH468" s="395"/>
      <c r="AI468" s="395"/>
      <c r="AJ468" s="395"/>
      <c r="AK468" s="395"/>
    </row>
    <row r="469">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c r="AA469" s="395"/>
      <c r="AB469" s="395"/>
      <c r="AC469" s="395"/>
      <c r="AD469" s="395"/>
      <c r="AE469" s="395"/>
      <c r="AF469" s="395"/>
      <c r="AG469" s="395"/>
      <c r="AH469" s="395"/>
      <c r="AI469" s="395"/>
      <c r="AJ469" s="395"/>
      <c r="AK469" s="395"/>
    </row>
    <row r="470">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c r="AA470" s="395"/>
      <c r="AB470" s="395"/>
      <c r="AC470" s="395"/>
      <c r="AD470" s="395"/>
      <c r="AE470" s="395"/>
      <c r="AF470" s="395"/>
      <c r="AG470" s="395"/>
      <c r="AH470" s="395"/>
      <c r="AI470" s="395"/>
      <c r="AJ470" s="395"/>
      <c r="AK470" s="395"/>
    </row>
    <row r="47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c r="AA471" s="395"/>
      <c r="AB471" s="395"/>
      <c r="AC471" s="395"/>
      <c r="AD471" s="395"/>
      <c r="AE471" s="395"/>
      <c r="AF471" s="395"/>
      <c r="AG471" s="395"/>
      <c r="AH471" s="395"/>
      <c r="AI471" s="395"/>
      <c r="AJ471" s="395"/>
      <c r="AK471" s="395"/>
    </row>
    <row r="472">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c r="AA472" s="395"/>
      <c r="AB472" s="395"/>
      <c r="AC472" s="395"/>
      <c r="AD472" s="395"/>
      <c r="AE472" s="395"/>
      <c r="AF472" s="395"/>
      <c r="AG472" s="395"/>
      <c r="AH472" s="395"/>
      <c r="AI472" s="395"/>
      <c r="AJ472" s="395"/>
      <c r="AK472" s="395"/>
    </row>
    <row r="473">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c r="AA473" s="395"/>
      <c r="AB473" s="395"/>
      <c r="AC473" s="395"/>
      <c r="AD473" s="395"/>
      <c r="AE473" s="395"/>
      <c r="AF473" s="395"/>
      <c r="AG473" s="395"/>
      <c r="AH473" s="395"/>
      <c r="AI473" s="395"/>
      <c r="AJ473" s="395"/>
      <c r="AK473" s="395"/>
    </row>
    <row r="474">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c r="AA474" s="395"/>
      <c r="AB474" s="395"/>
      <c r="AC474" s="395"/>
      <c r="AD474" s="395"/>
      <c r="AE474" s="395"/>
      <c r="AF474" s="395"/>
      <c r="AG474" s="395"/>
      <c r="AH474" s="395"/>
      <c r="AI474" s="395"/>
      <c r="AJ474" s="395"/>
      <c r="AK474" s="395"/>
    </row>
    <row r="475">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c r="AA475" s="395"/>
      <c r="AB475" s="395"/>
      <c r="AC475" s="395"/>
      <c r="AD475" s="395"/>
      <c r="AE475" s="395"/>
      <c r="AF475" s="395"/>
      <c r="AG475" s="395"/>
      <c r="AH475" s="395"/>
      <c r="AI475" s="395"/>
      <c r="AJ475" s="395"/>
      <c r="AK475" s="395"/>
    </row>
    <row r="476">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c r="AA476" s="395"/>
      <c r="AB476" s="395"/>
      <c r="AC476" s="395"/>
      <c r="AD476" s="395"/>
      <c r="AE476" s="395"/>
      <c r="AF476" s="395"/>
      <c r="AG476" s="395"/>
      <c r="AH476" s="395"/>
      <c r="AI476" s="395"/>
      <c r="AJ476" s="395"/>
      <c r="AK476" s="395"/>
    </row>
    <row r="477">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c r="AA477" s="395"/>
      <c r="AB477" s="395"/>
      <c r="AC477" s="395"/>
      <c r="AD477" s="395"/>
      <c r="AE477" s="395"/>
      <c r="AF477" s="395"/>
      <c r="AG477" s="395"/>
      <c r="AH477" s="395"/>
      <c r="AI477" s="395"/>
      <c r="AJ477" s="395"/>
      <c r="AK477" s="395"/>
    </row>
    <row r="478">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c r="AA478" s="395"/>
      <c r="AB478" s="395"/>
      <c r="AC478" s="395"/>
      <c r="AD478" s="395"/>
      <c r="AE478" s="395"/>
      <c r="AF478" s="395"/>
      <c r="AG478" s="395"/>
      <c r="AH478" s="395"/>
      <c r="AI478" s="395"/>
      <c r="AJ478" s="395"/>
      <c r="AK478" s="395"/>
    </row>
    <row r="479">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c r="AA479" s="395"/>
      <c r="AB479" s="395"/>
      <c r="AC479" s="395"/>
      <c r="AD479" s="395"/>
      <c r="AE479" s="395"/>
      <c r="AF479" s="395"/>
      <c r="AG479" s="395"/>
      <c r="AH479" s="395"/>
      <c r="AI479" s="395"/>
      <c r="AJ479" s="395"/>
      <c r="AK479" s="395"/>
    </row>
    <row r="480">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c r="AA480" s="395"/>
      <c r="AB480" s="395"/>
      <c r="AC480" s="395"/>
      <c r="AD480" s="395"/>
      <c r="AE480" s="395"/>
      <c r="AF480" s="395"/>
      <c r="AG480" s="395"/>
      <c r="AH480" s="395"/>
      <c r="AI480" s="395"/>
      <c r="AJ480" s="395"/>
      <c r="AK480" s="395"/>
    </row>
    <row r="48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c r="AA481" s="395"/>
      <c r="AB481" s="395"/>
      <c r="AC481" s="395"/>
      <c r="AD481" s="395"/>
      <c r="AE481" s="395"/>
      <c r="AF481" s="395"/>
      <c r="AG481" s="395"/>
      <c r="AH481" s="395"/>
      <c r="AI481" s="395"/>
      <c r="AJ481" s="395"/>
      <c r="AK481" s="395"/>
    </row>
    <row r="482">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c r="AA482" s="395"/>
      <c r="AB482" s="395"/>
      <c r="AC482" s="395"/>
      <c r="AD482" s="395"/>
      <c r="AE482" s="395"/>
      <c r="AF482" s="395"/>
      <c r="AG482" s="395"/>
      <c r="AH482" s="395"/>
      <c r="AI482" s="395"/>
      <c r="AJ482" s="395"/>
      <c r="AK482" s="395"/>
    </row>
    <row r="483">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c r="AA483" s="395"/>
      <c r="AB483" s="395"/>
      <c r="AC483" s="395"/>
      <c r="AD483" s="395"/>
      <c r="AE483" s="395"/>
      <c r="AF483" s="395"/>
      <c r="AG483" s="395"/>
      <c r="AH483" s="395"/>
      <c r="AI483" s="395"/>
      <c r="AJ483" s="395"/>
      <c r="AK483" s="395"/>
    </row>
    <row r="484">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c r="AA484" s="395"/>
      <c r="AB484" s="395"/>
      <c r="AC484" s="395"/>
      <c r="AD484" s="395"/>
      <c r="AE484" s="395"/>
      <c r="AF484" s="395"/>
      <c r="AG484" s="395"/>
      <c r="AH484" s="395"/>
      <c r="AI484" s="395"/>
      <c r="AJ484" s="395"/>
      <c r="AK484" s="395"/>
    </row>
    <row r="485">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c r="AA485" s="395"/>
      <c r="AB485" s="395"/>
      <c r="AC485" s="395"/>
      <c r="AD485" s="395"/>
      <c r="AE485" s="395"/>
      <c r="AF485" s="395"/>
      <c r="AG485" s="395"/>
      <c r="AH485" s="395"/>
      <c r="AI485" s="395"/>
      <c r="AJ485" s="395"/>
      <c r="AK485" s="395"/>
    </row>
    <row r="486">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c r="AA486" s="395"/>
      <c r="AB486" s="395"/>
      <c r="AC486" s="395"/>
      <c r="AD486" s="395"/>
      <c r="AE486" s="395"/>
      <c r="AF486" s="395"/>
      <c r="AG486" s="395"/>
      <c r="AH486" s="395"/>
      <c r="AI486" s="395"/>
      <c r="AJ486" s="395"/>
      <c r="AK486" s="395"/>
    </row>
    <row r="487">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c r="AA487" s="395"/>
      <c r="AB487" s="395"/>
      <c r="AC487" s="395"/>
      <c r="AD487" s="395"/>
      <c r="AE487" s="395"/>
      <c r="AF487" s="395"/>
      <c r="AG487" s="395"/>
      <c r="AH487" s="395"/>
      <c r="AI487" s="395"/>
      <c r="AJ487" s="395"/>
      <c r="AK487" s="395"/>
    </row>
    <row r="488">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c r="AA488" s="395"/>
      <c r="AB488" s="395"/>
      <c r="AC488" s="395"/>
      <c r="AD488" s="395"/>
      <c r="AE488" s="395"/>
      <c r="AF488" s="395"/>
      <c r="AG488" s="395"/>
      <c r="AH488" s="395"/>
      <c r="AI488" s="395"/>
      <c r="AJ488" s="395"/>
      <c r="AK488" s="395"/>
    </row>
    <row r="489">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c r="AA489" s="395"/>
      <c r="AB489" s="395"/>
      <c r="AC489" s="395"/>
      <c r="AD489" s="395"/>
      <c r="AE489" s="395"/>
      <c r="AF489" s="395"/>
      <c r="AG489" s="395"/>
      <c r="AH489" s="395"/>
      <c r="AI489" s="395"/>
      <c r="AJ489" s="395"/>
      <c r="AK489" s="395"/>
    </row>
    <row r="490">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c r="AA490" s="395"/>
      <c r="AB490" s="395"/>
      <c r="AC490" s="395"/>
      <c r="AD490" s="395"/>
      <c r="AE490" s="395"/>
      <c r="AF490" s="395"/>
      <c r="AG490" s="395"/>
      <c r="AH490" s="395"/>
      <c r="AI490" s="395"/>
      <c r="AJ490" s="395"/>
      <c r="AK490" s="395"/>
    </row>
    <row r="49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c r="AA491" s="395"/>
      <c r="AB491" s="395"/>
      <c r="AC491" s="395"/>
      <c r="AD491" s="395"/>
      <c r="AE491" s="395"/>
      <c r="AF491" s="395"/>
      <c r="AG491" s="395"/>
      <c r="AH491" s="395"/>
      <c r="AI491" s="395"/>
      <c r="AJ491" s="395"/>
      <c r="AK491" s="395"/>
    </row>
    <row r="492">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c r="AA492" s="395"/>
      <c r="AB492" s="395"/>
      <c r="AC492" s="395"/>
      <c r="AD492" s="395"/>
      <c r="AE492" s="395"/>
      <c r="AF492" s="395"/>
      <c r="AG492" s="395"/>
      <c r="AH492" s="395"/>
      <c r="AI492" s="395"/>
      <c r="AJ492" s="395"/>
      <c r="AK492" s="395"/>
    </row>
    <row r="493">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c r="AA493" s="395"/>
      <c r="AB493" s="395"/>
      <c r="AC493" s="395"/>
      <c r="AD493" s="395"/>
      <c r="AE493" s="395"/>
      <c r="AF493" s="395"/>
      <c r="AG493" s="395"/>
      <c r="AH493" s="395"/>
      <c r="AI493" s="395"/>
      <c r="AJ493" s="395"/>
      <c r="AK493" s="395"/>
    </row>
    <row r="494">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c r="AA494" s="395"/>
      <c r="AB494" s="395"/>
      <c r="AC494" s="395"/>
      <c r="AD494" s="395"/>
      <c r="AE494" s="395"/>
      <c r="AF494" s="395"/>
      <c r="AG494" s="395"/>
      <c r="AH494" s="395"/>
      <c r="AI494" s="395"/>
      <c r="AJ494" s="395"/>
      <c r="AK494" s="395"/>
    </row>
    <row r="495">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c r="AA495" s="395"/>
      <c r="AB495" s="395"/>
      <c r="AC495" s="395"/>
      <c r="AD495" s="395"/>
      <c r="AE495" s="395"/>
      <c r="AF495" s="395"/>
      <c r="AG495" s="395"/>
      <c r="AH495" s="395"/>
      <c r="AI495" s="395"/>
      <c r="AJ495" s="395"/>
      <c r="AK495" s="395"/>
    </row>
    <row r="496">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c r="AA496" s="395"/>
      <c r="AB496" s="395"/>
      <c r="AC496" s="395"/>
      <c r="AD496" s="395"/>
      <c r="AE496" s="395"/>
      <c r="AF496" s="395"/>
      <c r="AG496" s="395"/>
      <c r="AH496" s="395"/>
      <c r="AI496" s="395"/>
      <c r="AJ496" s="395"/>
      <c r="AK496" s="395"/>
    </row>
    <row r="497">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c r="AA497" s="395"/>
      <c r="AB497" s="395"/>
      <c r="AC497" s="395"/>
      <c r="AD497" s="395"/>
      <c r="AE497" s="395"/>
      <c r="AF497" s="395"/>
      <c r="AG497" s="395"/>
      <c r="AH497" s="395"/>
      <c r="AI497" s="395"/>
      <c r="AJ497" s="395"/>
      <c r="AK497" s="395"/>
    </row>
    <row r="498">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c r="AA498" s="395"/>
      <c r="AB498" s="395"/>
      <c r="AC498" s="395"/>
      <c r="AD498" s="395"/>
      <c r="AE498" s="395"/>
      <c r="AF498" s="395"/>
      <c r="AG498" s="395"/>
      <c r="AH498" s="395"/>
      <c r="AI498" s="395"/>
      <c r="AJ498" s="395"/>
      <c r="AK498" s="395"/>
    </row>
    <row r="499">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c r="AA499" s="395"/>
      <c r="AB499" s="395"/>
      <c r="AC499" s="395"/>
      <c r="AD499" s="395"/>
      <c r="AE499" s="395"/>
      <c r="AF499" s="395"/>
      <c r="AG499" s="395"/>
      <c r="AH499" s="395"/>
      <c r="AI499" s="395"/>
      <c r="AJ499" s="395"/>
      <c r="AK499" s="395"/>
    </row>
    <row r="500">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c r="AA500" s="395"/>
      <c r="AB500" s="395"/>
      <c r="AC500" s="395"/>
      <c r="AD500" s="395"/>
      <c r="AE500" s="395"/>
      <c r="AF500" s="395"/>
      <c r="AG500" s="395"/>
      <c r="AH500" s="395"/>
      <c r="AI500" s="395"/>
      <c r="AJ500" s="395"/>
      <c r="AK500" s="395"/>
    </row>
    <row r="50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c r="AA501" s="395"/>
      <c r="AB501" s="395"/>
      <c r="AC501" s="395"/>
      <c r="AD501" s="395"/>
      <c r="AE501" s="395"/>
      <c r="AF501" s="395"/>
      <c r="AG501" s="395"/>
      <c r="AH501" s="395"/>
      <c r="AI501" s="395"/>
      <c r="AJ501" s="395"/>
      <c r="AK501" s="395"/>
    </row>
    <row r="502">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c r="AA502" s="395"/>
      <c r="AB502" s="395"/>
      <c r="AC502" s="395"/>
      <c r="AD502" s="395"/>
      <c r="AE502" s="395"/>
      <c r="AF502" s="395"/>
      <c r="AG502" s="395"/>
      <c r="AH502" s="395"/>
      <c r="AI502" s="395"/>
      <c r="AJ502" s="395"/>
      <c r="AK502" s="395"/>
    </row>
    <row r="503">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c r="AA503" s="395"/>
      <c r="AB503" s="395"/>
      <c r="AC503" s="395"/>
      <c r="AD503" s="395"/>
      <c r="AE503" s="395"/>
      <c r="AF503" s="395"/>
      <c r="AG503" s="395"/>
      <c r="AH503" s="395"/>
      <c r="AI503" s="395"/>
      <c r="AJ503" s="395"/>
      <c r="AK503" s="395"/>
    </row>
    <row r="504">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c r="AA504" s="395"/>
      <c r="AB504" s="395"/>
      <c r="AC504" s="395"/>
      <c r="AD504" s="395"/>
      <c r="AE504" s="395"/>
      <c r="AF504" s="395"/>
      <c r="AG504" s="395"/>
      <c r="AH504" s="395"/>
      <c r="AI504" s="395"/>
      <c r="AJ504" s="395"/>
      <c r="AK504" s="395"/>
    </row>
    <row r="505">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c r="AA505" s="395"/>
      <c r="AB505" s="395"/>
      <c r="AC505" s="395"/>
      <c r="AD505" s="395"/>
      <c r="AE505" s="395"/>
      <c r="AF505" s="395"/>
      <c r="AG505" s="395"/>
      <c r="AH505" s="395"/>
      <c r="AI505" s="395"/>
      <c r="AJ505" s="395"/>
      <c r="AK505" s="395"/>
    </row>
    <row r="506">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c r="AA506" s="395"/>
      <c r="AB506" s="395"/>
      <c r="AC506" s="395"/>
      <c r="AD506" s="395"/>
      <c r="AE506" s="395"/>
      <c r="AF506" s="395"/>
      <c r="AG506" s="395"/>
      <c r="AH506" s="395"/>
      <c r="AI506" s="395"/>
      <c r="AJ506" s="395"/>
      <c r="AK506" s="395"/>
    </row>
    <row r="507">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c r="AA507" s="395"/>
      <c r="AB507" s="395"/>
      <c r="AC507" s="395"/>
      <c r="AD507" s="395"/>
      <c r="AE507" s="395"/>
      <c r="AF507" s="395"/>
      <c r="AG507" s="395"/>
      <c r="AH507" s="395"/>
      <c r="AI507" s="395"/>
      <c r="AJ507" s="395"/>
      <c r="AK507" s="395"/>
    </row>
    <row r="508">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c r="AA508" s="395"/>
      <c r="AB508" s="395"/>
      <c r="AC508" s="395"/>
      <c r="AD508" s="395"/>
      <c r="AE508" s="395"/>
      <c r="AF508" s="395"/>
      <c r="AG508" s="395"/>
      <c r="AH508" s="395"/>
      <c r="AI508" s="395"/>
      <c r="AJ508" s="395"/>
      <c r="AK508" s="395"/>
    </row>
    <row r="509">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c r="AA509" s="395"/>
      <c r="AB509" s="395"/>
      <c r="AC509" s="395"/>
      <c r="AD509" s="395"/>
      <c r="AE509" s="395"/>
      <c r="AF509" s="395"/>
      <c r="AG509" s="395"/>
      <c r="AH509" s="395"/>
      <c r="AI509" s="395"/>
      <c r="AJ509" s="395"/>
      <c r="AK509" s="395"/>
    </row>
    <row r="510">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c r="AA510" s="395"/>
      <c r="AB510" s="395"/>
      <c r="AC510" s="395"/>
      <c r="AD510" s="395"/>
      <c r="AE510" s="395"/>
      <c r="AF510" s="395"/>
      <c r="AG510" s="395"/>
      <c r="AH510" s="395"/>
      <c r="AI510" s="395"/>
      <c r="AJ510" s="395"/>
      <c r="AK510" s="395"/>
    </row>
    <row r="51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c r="AA511" s="395"/>
      <c r="AB511" s="395"/>
      <c r="AC511" s="395"/>
      <c r="AD511" s="395"/>
      <c r="AE511" s="395"/>
      <c r="AF511" s="395"/>
      <c r="AG511" s="395"/>
      <c r="AH511" s="395"/>
      <c r="AI511" s="395"/>
      <c r="AJ511" s="395"/>
      <c r="AK511" s="395"/>
    </row>
    <row r="512">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c r="AA512" s="395"/>
      <c r="AB512" s="395"/>
      <c r="AC512" s="395"/>
      <c r="AD512" s="395"/>
      <c r="AE512" s="395"/>
      <c r="AF512" s="395"/>
      <c r="AG512" s="395"/>
      <c r="AH512" s="395"/>
      <c r="AI512" s="395"/>
      <c r="AJ512" s="395"/>
      <c r="AK512" s="395"/>
    </row>
    <row r="513">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c r="AA513" s="395"/>
      <c r="AB513" s="395"/>
      <c r="AC513" s="395"/>
      <c r="AD513" s="395"/>
      <c r="AE513" s="395"/>
      <c r="AF513" s="395"/>
      <c r="AG513" s="395"/>
      <c r="AH513" s="395"/>
      <c r="AI513" s="395"/>
      <c r="AJ513" s="395"/>
      <c r="AK513" s="395"/>
    </row>
    <row r="514">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c r="AA514" s="395"/>
      <c r="AB514" s="395"/>
      <c r="AC514" s="395"/>
      <c r="AD514" s="395"/>
      <c r="AE514" s="395"/>
      <c r="AF514" s="395"/>
      <c r="AG514" s="395"/>
      <c r="AH514" s="395"/>
      <c r="AI514" s="395"/>
      <c r="AJ514" s="395"/>
      <c r="AK514" s="395"/>
    </row>
    <row r="515">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c r="AA515" s="395"/>
      <c r="AB515" s="395"/>
      <c r="AC515" s="395"/>
      <c r="AD515" s="395"/>
      <c r="AE515" s="395"/>
      <c r="AF515" s="395"/>
      <c r="AG515" s="395"/>
      <c r="AH515" s="395"/>
      <c r="AI515" s="395"/>
      <c r="AJ515" s="395"/>
      <c r="AK515" s="395"/>
    </row>
    <row r="516">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c r="AA516" s="395"/>
      <c r="AB516" s="395"/>
      <c r="AC516" s="395"/>
      <c r="AD516" s="395"/>
      <c r="AE516" s="395"/>
      <c r="AF516" s="395"/>
      <c r="AG516" s="395"/>
      <c r="AH516" s="395"/>
      <c r="AI516" s="395"/>
      <c r="AJ516" s="395"/>
      <c r="AK516" s="395"/>
    </row>
    <row r="517">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c r="AA517" s="395"/>
      <c r="AB517" s="395"/>
      <c r="AC517" s="395"/>
      <c r="AD517" s="395"/>
      <c r="AE517" s="395"/>
      <c r="AF517" s="395"/>
      <c r="AG517" s="395"/>
      <c r="AH517" s="395"/>
      <c r="AI517" s="395"/>
      <c r="AJ517" s="395"/>
      <c r="AK517" s="395"/>
    </row>
    <row r="518">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c r="AA518" s="395"/>
      <c r="AB518" s="395"/>
      <c r="AC518" s="395"/>
      <c r="AD518" s="395"/>
      <c r="AE518" s="395"/>
      <c r="AF518" s="395"/>
      <c r="AG518" s="395"/>
      <c r="AH518" s="395"/>
      <c r="AI518" s="395"/>
      <c r="AJ518" s="395"/>
      <c r="AK518" s="395"/>
    </row>
    <row r="519">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c r="AA519" s="395"/>
      <c r="AB519" s="395"/>
      <c r="AC519" s="395"/>
      <c r="AD519" s="395"/>
      <c r="AE519" s="395"/>
      <c r="AF519" s="395"/>
      <c r="AG519" s="395"/>
      <c r="AH519" s="395"/>
      <c r="AI519" s="395"/>
      <c r="AJ519" s="395"/>
      <c r="AK519" s="395"/>
    </row>
    <row r="520">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c r="AA520" s="395"/>
      <c r="AB520" s="395"/>
      <c r="AC520" s="395"/>
      <c r="AD520" s="395"/>
      <c r="AE520" s="395"/>
      <c r="AF520" s="395"/>
      <c r="AG520" s="395"/>
      <c r="AH520" s="395"/>
      <c r="AI520" s="395"/>
      <c r="AJ520" s="395"/>
      <c r="AK520" s="395"/>
    </row>
    <row r="52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c r="AA521" s="395"/>
      <c r="AB521" s="395"/>
      <c r="AC521" s="395"/>
      <c r="AD521" s="395"/>
      <c r="AE521" s="395"/>
      <c r="AF521" s="395"/>
      <c r="AG521" s="395"/>
      <c r="AH521" s="395"/>
      <c r="AI521" s="395"/>
      <c r="AJ521" s="395"/>
      <c r="AK521" s="395"/>
    </row>
    <row r="522">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c r="AA522" s="395"/>
      <c r="AB522" s="395"/>
      <c r="AC522" s="395"/>
      <c r="AD522" s="395"/>
      <c r="AE522" s="395"/>
      <c r="AF522" s="395"/>
      <c r="AG522" s="395"/>
      <c r="AH522" s="395"/>
      <c r="AI522" s="395"/>
      <c r="AJ522" s="395"/>
      <c r="AK522" s="395"/>
    </row>
    <row r="523">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c r="AA523" s="395"/>
      <c r="AB523" s="395"/>
      <c r="AC523" s="395"/>
      <c r="AD523" s="395"/>
      <c r="AE523" s="395"/>
      <c r="AF523" s="395"/>
      <c r="AG523" s="395"/>
      <c r="AH523" s="395"/>
      <c r="AI523" s="395"/>
      <c r="AJ523" s="395"/>
      <c r="AK523" s="395"/>
    </row>
    <row r="524">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c r="AA524" s="395"/>
      <c r="AB524" s="395"/>
      <c r="AC524" s="395"/>
      <c r="AD524" s="395"/>
      <c r="AE524" s="395"/>
      <c r="AF524" s="395"/>
      <c r="AG524" s="395"/>
      <c r="AH524" s="395"/>
      <c r="AI524" s="395"/>
      <c r="AJ524" s="395"/>
      <c r="AK524" s="395"/>
    </row>
    <row r="525">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c r="AA525" s="395"/>
      <c r="AB525" s="395"/>
      <c r="AC525" s="395"/>
      <c r="AD525" s="395"/>
      <c r="AE525" s="395"/>
      <c r="AF525" s="395"/>
      <c r="AG525" s="395"/>
      <c r="AH525" s="395"/>
      <c r="AI525" s="395"/>
      <c r="AJ525" s="395"/>
      <c r="AK525" s="395"/>
    </row>
    <row r="526">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c r="AA526" s="395"/>
      <c r="AB526" s="395"/>
      <c r="AC526" s="395"/>
      <c r="AD526" s="395"/>
      <c r="AE526" s="395"/>
      <c r="AF526" s="395"/>
      <c r="AG526" s="395"/>
      <c r="AH526" s="395"/>
      <c r="AI526" s="395"/>
      <c r="AJ526" s="395"/>
      <c r="AK526" s="395"/>
    </row>
    <row r="527">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c r="AA527" s="395"/>
      <c r="AB527" s="395"/>
      <c r="AC527" s="395"/>
      <c r="AD527" s="395"/>
      <c r="AE527" s="395"/>
      <c r="AF527" s="395"/>
      <c r="AG527" s="395"/>
      <c r="AH527" s="395"/>
      <c r="AI527" s="395"/>
      <c r="AJ527" s="395"/>
      <c r="AK527" s="395"/>
    </row>
    <row r="528">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c r="AA528" s="395"/>
      <c r="AB528" s="395"/>
      <c r="AC528" s="395"/>
      <c r="AD528" s="395"/>
      <c r="AE528" s="395"/>
      <c r="AF528" s="395"/>
      <c r="AG528" s="395"/>
      <c r="AH528" s="395"/>
      <c r="AI528" s="395"/>
      <c r="AJ528" s="395"/>
      <c r="AK528" s="395"/>
    </row>
    <row r="529">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c r="AA529" s="395"/>
      <c r="AB529" s="395"/>
      <c r="AC529" s="395"/>
      <c r="AD529" s="395"/>
      <c r="AE529" s="395"/>
      <c r="AF529" s="395"/>
      <c r="AG529" s="395"/>
      <c r="AH529" s="395"/>
      <c r="AI529" s="395"/>
      <c r="AJ529" s="395"/>
      <c r="AK529" s="395"/>
    </row>
    <row r="530">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c r="AA530" s="395"/>
      <c r="AB530" s="395"/>
      <c r="AC530" s="395"/>
      <c r="AD530" s="395"/>
      <c r="AE530" s="395"/>
      <c r="AF530" s="395"/>
      <c r="AG530" s="395"/>
      <c r="AH530" s="395"/>
      <c r="AI530" s="395"/>
      <c r="AJ530" s="395"/>
      <c r="AK530" s="395"/>
    </row>
    <row r="53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c r="AA531" s="395"/>
      <c r="AB531" s="395"/>
      <c r="AC531" s="395"/>
      <c r="AD531" s="395"/>
      <c r="AE531" s="395"/>
      <c r="AF531" s="395"/>
      <c r="AG531" s="395"/>
      <c r="AH531" s="395"/>
      <c r="AI531" s="395"/>
      <c r="AJ531" s="395"/>
      <c r="AK531" s="395"/>
    </row>
    <row r="532">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c r="AA532" s="395"/>
      <c r="AB532" s="395"/>
      <c r="AC532" s="395"/>
      <c r="AD532" s="395"/>
      <c r="AE532" s="395"/>
      <c r="AF532" s="395"/>
      <c r="AG532" s="395"/>
      <c r="AH532" s="395"/>
      <c r="AI532" s="395"/>
      <c r="AJ532" s="395"/>
      <c r="AK532" s="395"/>
    </row>
    <row r="533">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c r="AA533" s="395"/>
      <c r="AB533" s="395"/>
      <c r="AC533" s="395"/>
      <c r="AD533" s="395"/>
      <c r="AE533" s="395"/>
      <c r="AF533" s="395"/>
      <c r="AG533" s="395"/>
      <c r="AH533" s="395"/>
      <c r="AI533" s="395"/>
      <c r="AJ533" s="395"/>
      <c r="AK533" s="395"/>
    </row>
    <row r="534">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c r="AA534" s="395"/>
      <c r="AB534" s="395"/>
      <c r="AC534" s="395"/>
      <c r="AD534" s="395"/>
      <c r="AE534" s="395"/>
      <c r="AF534" s="395"/>
      <c r="AG534" s="395"/>
      <c r="AH534" s="395"/>
      <c r="AI534" s="395"/>
      <c r="AJ534" s="395"/>
      <c r="AK534" s="395"/>
    </row>
    <row r="535">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c r="AA535" s="395"/>
      <c r="AB535" s="395"/>
      <c r="AC535" s="395"/>
      <c r="AD535" s="395"/>
      <c r="AE535" s="395"/>
      <c r="AF535" s="395"/>
      <c r="AG535" s="395"/>
      <c r="AH535" s="395"/>
      <c r="AI535" s="395"/>
      <c r="AJ535" s="395"/>
      <c r="AK535" s="395"/>
    </row>
    <row r="536">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c r="AA536" s="395"/>
      <c r="AB536" s="395"/>
      <c r="AC536" s="395"/>
      <c r="AD536" s="395"/>
      <c r="AE536" s="395"/>
      <c r="AF536" s="395"/>
      <c r="AG536" s="395"/>
      <c r="AH536" s="395"/>
      <c r="AI536" s="395"/>
      <c r="AJ536" s="395"/>
      <c r="AK536" s="395"/>
    </row>
    <row r="537">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c r="AA537" s="395"/>
      <c r="AB537" s="395"/>
      <c r="AC537" s="395"/>
      <c r="AD537" s="395"/>
      <c r="AE537" s="395"/>
      <c r="AF537" s="395"/>
      <c r="AG537" s="395"/>
      <c r="AH537" s="395"/>
      <c r="AI537" s="395"/>
      <c r="AJ537" s="395"/>
      <c r="AK537" s="395"/>
    </row>
    <row r="538">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c r="AA538" s="395"/>
      <c r="AB538" s="395"/>
      <c r="AC538" s="395"/>
      <c r="AD538" s="395"/>
      <c r="AE538" s="395"/>
      <c r="AF538" s="395"/>
      <c r="AG538" s="395"/>
      <c r="AH538" s="395"/>
      <c r="AI538" s="395"/>
      <c r="AJ538" s="395"/>
      <c r="AK538" s="395"/>
    </row>
    <row r="539">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c r="AA539" s="395"/>
      <c r="AB539" s="395"/>
      <c r="AC539" s="395"/>
      <c r="AD539" s="395"/>
      <c r="AE539" s="395"/>
      <c r="AF539" s="395"/>
      <c r="AG539" s="395"/>
      <c r="AH539" s="395"/>
      <c r="AI539" s="395"/>
      <c r="AJ539" s="395"/>
      <c r="AK539" s="395"/>
    </row>
    <row r="540">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c r="AA540" s="395"/>
      <c r="AB540" s="395"/>
      <c r="AC540" s="395"/>
      <c r="AD540" s="395"/>
      <c r="AE540" s="395"/>
      <c r="AF540" s="395"/>
      <c r="AG540" s="395"/>
      <c r="AH540" s="395"/>
      <c r="AI540" s="395"/>
      <c r="AJ540" s="395"/>
      <c r="AK540" s="395"/>
    </row>
    <row r="54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c r="AA541" s="395"/>
      <c r="AB541" s="395"/>
      <c r="AC541" s="395"/>
      <c r="AD541" s="395"/>
      <c r="AE541" s="395"/>
      <c r="AF541" s="395"/>
      <c r="AG541" s="395"/>
      <c r="AH541" s="395"/>
      <c r="AI541" s="395"/>
      <c r="AJ541" s="395"/>
      <c r="AK541" s="395"/>
    </row>
    <row r="542">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c r="AA542" s="395"/>
      <c r="AB542" s="395"/>
      <c r="AC542" s="395"/>
      <c r="AD542" s="395"/>
      <c r="AE542" s="395"/>
      <c r="AF542" s="395"/>
      <c r="AG542" s="395"/>
      <c r="AH542" s="395"/>
      <c r="AI542" s="395"/>
      <c r="AJ542" s="395"/>
      <c r="AK542" s="395"/>
    </row>
    <row r="543">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c r="AA543" s="395"/>
      <c r="AB543" s="395"/>
      <c r="AC543" s="395"/>
      <c r="AD543" s="395"/>
      <c r="AE543" s="395"/>
      <c r="AF543" s="395"/>
      <c r="AG543" s="395"/>
      <c r="AH543" s="395"/>
      <c r="AI543" s="395"/>
      <c r="AJ543" s="395"/>
      <c r="AK543" s="395"/>
    </row>
    <row r="544">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c r="AA544" s="395"/>
      <c r="AB544" s="395"/>
      <c r="AC544" s="395"/>
      <c r="AD544" s="395"/>
      <c r="AE544" s="395"/>
      <c r="AF544" s="395"/>
      <c r="AG544" s="395"/>
      <c r="AH544" s="395"/>
      <c r="AI544" s="395"/>
      <c r="AJ544" s="395"/>
      <c r="AK544" s="395"/>
    </row>
    <row r="545">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c r="AA545" s="395"/>
      <c r="AB545" s="395"/>
      <c r="AC545" s="395"/>
      <c r="AD545" s="395"/>
      <c r="AE545" s="395"/>
      <c r="AF545" s="395"/>
      <c r="AG545" s="395"/>
      <c r="AH545" s="395"/>
      <c r="AI545" s="395"/>
      <c r="AJ545" s="395"/>
      <c r="AK545" s="395"/>
    </row>
    <row r="546">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c r="AA546" s="395"/>
      <c r="AB546" s="395"/>
      <c r="AC546" s="395"/>
      <c r="AD546" s="395"/>
      <c r="AE546" s="395"/>
      <c r="AF546" s="395"/>
      <c r="AG546" s="395"/>
      <c r="AH546" s="395"/>
      <c r="AI546" s="395"/>
      <c r="AJ546" s="395"/>
      <c r="AK546" s="395"/>
    </row>
    <row r="547">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c r="AA547" s="395"/>
      <c r="AB547" s="395"/>
      <c r="AC547" s="395"/>
      <c r="AD547" s="395"/>
      <c r="AE547" s="395"/>
      <c r="AF547" s="395"/>
      <c r="AG547" s="395"/>
      <c r="AH547" s="395"/>
      <c r="AI547" s="395"/>
      <c r="AJ547" s="395"/>
      <c r="AK547" s="395"/>
    </row>
    <row r="548">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c r="AA548" s="395"/>
      <c r="AB548" s="395"/>
      <c r="AC548" s="395"/>
      <c r="AD548" s="395"/>
      <c r="AE548" s="395"/>
      <c r="AF548" s="395"/>
      <c r="AG548" s="395"/>
      <c r="AH548" s="395"/>
      <c r="AI548" s="395"/>
      <c r="AJ548" s="395"/>
      <c r="AK548" s="395"/>
    </row>
    <row r="549">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c r="AA549" s="395"/>
      <c r="AB549" s="395"/>
      <c r="AC549" s="395"/>
      <c r="AD549" s="395"/>
      <c r="AE549" s="395"/>
      <c r="AF549" s="395"/>
      <c r="AG549" s="395"/>
      <c r="AH549" s="395"/>
      <c r="AI549" s="395"/>
      <c r="AJ549" s="395"/>
      <c r="AK549" s="395"/>
    </row>
    <row r="550">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c r="AA550" s="395"/>
      <c r="AB550" s="395"/>
      <c r="AC550" s="395"/>
      <c r="AD550" s="395"/>
      <c r="AE550" s="395"/>
      <c r="AF550" s="395"/>
      <c r="AG550" s="395"/>
      <c r="AH550" s="395"/>
      <c r="AI550" s="395"/>
      <c r="AJ550" s="395"/>
      <c r="AK550" s="395"/>
    </row>
    <row r="55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c r="AA551" s="395"/>
      <c r="AB551" s="395"/>
      <c r="AC551" s="395"/>
      <c r="AD551" s="395"/>
      <c r="AE551" s="395"/>
      <c r="AF551" s="395"/>
      <c r="AG551" s="395"/>
      <c r="AH551" s="395"/>
      <c r="AI551" s="395"/>
      <c r="AJ551" s="395"/>
      <c r="AK551" s="395"/>
    </row>
    <row r="552">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c r="AA552" s="395"/>
      <c r="AB552" s="395"/>
      <c r="AC552" s="395"/>
      <c r="AD552" s="395"/>
      <c r="AE552" s="395"/>
      <c r="AF552" s="395"/>
      <c r="AG552" s="395"/>
      <c r="AH552" s="395"/>
      <c r="AI552" s="395"/>
      <c r="AJ552" s="395"/>
      <c r="AK552" s="395"/>
    </row>
    <row r="553">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c r="AA553" s="395"/>
      <c r="AB553" s="395"/>
      <c r="AC553" s="395"/>
      <c r="AD553" s="395"/>
      <c r="AE553" s="395"/>
      <c r="AF553" s="395"/>
      <c r="AG553" s="395"/>
      <c r="AH553" s="395"/>
      <c r="AI553" s="395"/>
      <c r="AJ553" s="395"/>
      <c r="AK553" s="395"/>
    </row>
    <row r="554">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c r="AA554" s="395"/>
      <c r="AB554" s="395"/>
      <c r="AC554" s="395"/>
      <c r="AD554" s="395"/>
      <c r="AE554" s="395"/>
      <c r="AF554" s="395"/>
      <c r="AG554" s="395"/>
      <c r="AH554" s="395"/>
      <c r="AI554" s="395"/>
      <c r="AJ554" s="395"/>
      <c r="AK554" s="395"/>
    </row>
    <row r="555">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c r="AA555" s="395"/>
      <c r="AB555" s="395"/>
      <c r="AC555" s="395"/>
      <c r="AD555" s="395"/>
      <c r="AE555" s="395"/>
      <c r="AF555" s="395"/>
      <c r="AG555" s="395"/>
      <c r="AH555" s="395"/>
      <c r="AI555" s="395"/>
      <c r="AJ555" s="395"/>
      <c r="AK555" s="395"/>
    </row>
    <row r="556">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c r="AA556" s="395"/>
      <c r="AB556" s="395"/>
      <c r="AC556" s="395"/>
      <c r="AD556" s="395"/>
      <c r="AE556" s="395"/>
      <c r="AF556" s="395"/>
      <c r="AG556" s="395"/>
      <c r="AH556" s="395"/>
      <c r="AI556" s="395"/>
      <c r="AJ556" s="395"/>
      <c r="AK556" s="395"/>
    </row>
    <row r="557">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c r="AA557" s="395"/>
      <c r="AB557" s="395"/>
      <c r="AC557" s="395"/>
      <c r="AD557" s="395"/>
      <c r="AE557" s="395"/>
      <c r="AF557" s="395"/>
      <c r="AG557" s="395"/>
      <c r="AH557" s="395"/>
      <c r="AI557" s="395"/>
      <c r="AJ557" s="395"/>
      <c r="AK557" s="395"/>
    </row>
    <row r="558">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c r="AA558" s="395"/>
      <c r="AB558" s="395"/>
      <c r="AC558" s="395"/>
      <c r="AD558" s="395"/>
      <c r="AE558" s="395"/>
      <c r="AF558" s="395"/>
      <c r="AG558" s="395"/>
      <c r="AH558" s="395"/>
      <c r="AI558" s="395"/>
      <c r="AJ558" s="395"/>
      <c r="AK558" s="395"/>
    </row>
    <row r="559">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c r="AA559" s="395"/>
      <c r="AB559" s="395"/>
      <c r="AC559" s="395"/>
      <c r="AD559" s="395"/>
      <c r="AE559" s="395"/>
      <c r="AF559" s="395"/>
      <c r="AG559" s="395"/>
      <c r="AH559" s="395"/>
      <c r="AI559" s="395"/>
      <c r="AJ559" s="395"/>
      <c r="AK559" s="395"/>
    </row>
    <row r="560">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c r="AA560" s="395"/>
      <c r="AB560" s="395"/>
      <c r="AC560" s="395"/>
      <c r="AD560" s="395"/>
      <c r="AE560" s="395"/>
      <c r="AF560" s="395"/>
      <c r="AG560" s="395"/>
      <c r="AH560" s="395"/>
      <c r="AI560" s="395"/>
      <c r="AJ560" s="395"/>
      <c r="AK560" s="395"/>
    </row>
    <row r="56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c r="AA561" s="395"/>
      <c r="AB561" s="395"/>
      <c r="AC561" s="395"/>
      <c r="AD561" s="395"/>
      <c r="AE561" s="395"/>
      <c r="AF561" s="395"/>
      <c r="AG561" s="395"/>
      <c r="AH561" s="395"/>
      <c r="AI561" s="395"/>
      <c r="AJ561" s="395"/>
      <c r="AK561" s="395"/>
    </row>
    <row r="562">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c r="AA562" s="395"/>
      <c r="AB562" s="395"/>
      <c r="AC562" s="395"/>
      <c r="AD562" s="395"/>
      <c r="AE562" s="395"/>
      <c r="AF562" s="395"/>
      <c r="AG562" s="395"/>
      <c r="AH562" s="395"/>
      <c r="AI562" s="395"/>
      <c r="AJ562" s="395"/>
      <c r="AK562" s="395"/>
    </row>
    <row r="563">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c r="AA563" s="395"/>
      <c r="AB563" s="395"/>
      <c r="AC563" s="395"/>
      <c r="AD563" s="395"/>
      <c r="AE563" s="395"/>
      <c r="AF563" s="395"/>
      <c r="AG563" s="395"/>
      <c r="AH563" s="395"/>
      <c r="AI563" s="395"/>
      <c r="AJ563" s="395"/>
      <c r="AK563" s="395"/>
    </row>
    <row r="564">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c r="AA564" s="395"/>
      <c r="AB564" s="395"/>
      <c r="AC564" s="395"/>
      <c r="AD564" s="395"/>
      <c r="AE564" s="395"/>
      <c r="AF564" s="395"/>
      <c r="AG564" s="395"/>
      <c r="AH564" s="395"/>
      <c r="AI564" s="395"/>
      <c r="AJ564" s="395"/>
      <c r="AK564" s="395"/>
    </row>
    <row r="565">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c r="AA565" s="395"/>
      <c r="AB565" s="395"/>
      <c r="AC565" s="395"/>
      <c r="AD565" s="395"/>
      <c r="AE565" s="395"/>
      <c r="AF565" s="395"/>
      <c r="AG565" s="395"/>
      <c r="AH565" s="395"/>
      <c r="AI565" s="395"/>
      <c r="AJ565" s="395"/>
      <c r="AK565" s="395"/>
    </row>
    <row r="566">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c r="AA566" s="395"/>
      <c r="AB566" s="395"/>
      <c r="AC566" s="395"/>
      <c r="AD566" s="395"/>
      <c r="AE566" s="395"/>
      <c r="AF566" s="395"/>
      <c r="AG566" s="395"/>
      <c r="AH566" s="395"/>
      <c r="AI566" s="395"/>
      <c r="AJ566" s="395"/>
      <c r="AK566" s="395"/>
    </row>
    <row r="567">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c r="AA567" s="395"/>
      <c r="AB567" s="395"/>
      <c r="AC567" s="395"/>
      <c r="AD567" s="395"/>
      <c r="AE567" s="395"/>
      <c r="AF567" s="395"/>
      <c r="AG567" s="395"/>
      <c r="AH567" s="395"/>
      <c r="AI567" s="395"/>
      <c r="AJ567" s="395"/>
      <c r="AK567" s="395"/>
    </row>
    <row r="568">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c r="AA568" s="395"/>
      <c r="AB568" s="395"/>
      <c r="AC568" s="395"/>
      <c r="AD568" s="395"/>
      <c r="AE568" s="395"/>
      <c r="AF568" s="395"/>
      <c r="AG568" s="395"/>
      <c r="AH568" s="395"/>
      <c r="AI568" s="395"/>
      <c r="AJ568" s="395"/>
      <c r="AK568" s="395"/>
    </row>
    <row r="569">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c r="AA569" s="395"/>
      <c r="AB569" s="395"/>
      <c r="AC569" s="395"/>
      <c r="AD569" s="395"/>
      <c r="AE569" s="395"/>
      <c r="AF569" s="395"/>
      <c r="AG569" s="395"/>
      <c r="AH569" s="395"/>
      <c r="AI569" s="395"/>
      <c r="AJ569" s="395"/>
      <c r="AK569" s="395"/>
    </row>
    <row r="570">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c r="AA570" s="395"/>
      <c r="AB570" s="395"/>
      <c r="AC570" s="395"/>
      <c r="AD570" s="395"/>
      <c r="AE570" s="395"/>
      <c r="AF570" s="395"/>
      <c r="AG570" s="395"/>
      <c r="AH570" s="395"/>
      <c r="AI570" s="395"/>
      <c r="AJ570" s="395"/>
      <c r="AK570" s="395"/>
    </row>
    <row r="57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c r="AA571" s="395"/>
      <c r="AB571" s="395"/>
      <c r="AC571" s="395"/>
      <c r="AD571" s="395"/>
      <c r="AE571" s="395"/>
      <c r="AF571" s="395"/>
      <c r="AG571" s="395"/>
      <c r="AH571" s="395"/>
      <c r="AI571" s="395"/>
      <c r="AJ571" s="395"/>
      <c r="AK571" s="395"/>
    </row>
    <row r="572">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c r="AA572" s="395"/>
      <c r="AB572" s="395"/>
      <c r="AC572" s="395"/>
      <c r="AD572" s="395"/>
      <c r="AE572" s="395"/>
      <c r="AF572" s="395"/>
      <c r="AG572" s="395"/>
      <c r="AH572" s="395"/>
      <c r="AI572" s="395"/>
      <c r="AJ572" s="395"/>
      <c r="AK572" s="395"/>
    </row>
    <row r="573">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c r="AA573" s="395"/>
      <c r="AB573" s="395"/>
      <c r="AC573" s="395"/>
      <c r="AD573" s="395"/>
      <c r="AE573" s="395"/>
      <c r="AF573" s="395"/>
      <c r="AG573" s="395"/>
      <c r="AH573" s="395"/>
      <c r="AI573" s="395"/>
      <c r="AJ573" s="395"/>
      <c r="AK573" s="395"/>
    </row>
    <row r="574">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c r="AA574" s="395"/>
      <c r="AB574" s="395"/>
      <c r="AC574" s="395"/>
      <c r="AD574" s="395"/>
      <c r="AE574" s="395"/>
      <c r="AF574" s="395"/>
      <c r="AG574" s="395"/>
      <c r="AH574" s="395"/>
      <c r="AI574" s="395"/>
      <c r="AJ574" s="395"/>
      <c r="AK574" s="395"/>
    </row>
    <row r="575">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c r="AA575" s="395"/>
      <c r="AB575" s="395"/>
      <c r="AC575" s="395"/>
      <c r="AD575" s="395"/>
      <c r="AE575" s="395"/>
      <c r="AF575" s="395"/>
      <c r="AG575" s="395"/>
      <c r="AH575" s="395"/>
      <c r="AI575" s="395"/>
      <c r="AJ575" s="395"/>
      <c r="AK575" s="395"/>
    </row>
    <row r="576">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c r="AA576" s="395"/>
      <c r="AB576" s="395"/>
      <c r="AC576" s="395"/>
      <c r="AD576" s="395"/>
      <c r="AE576" s="395"/>
      <c r="AF576" s="395"/>
      <c r="AG576" s="395"/>
      <c r="AH576" s="395"/>
      <c r="AI576" s="395"/>
      <c r="AJ576" s="395"/>
      <c r="AK576" s="395"/>
    </row>
    <row r="577">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c r="AA577" s="395"/>
      <c r="AB577" s="395"/>
      <c r="AC577" s="395"/>
      <c r="AD577" s="395"/>
      <c r="AE577" s="395"/>
      <c r="AF577" s="395"/>
      <c r="AG577" s="395"/>
      <c r="AH577" s="395"/>
      <c r="AI577" s="395"/>
      <c r="AJ577" s="395"/>
      <c r="AK577" s="395"/>
    </row>
    <row r="578">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c r="AA578" s="395"/>
      <c r="AB578" s="395"/>
      <c r="AC578" s="395"/>
      <c r="AD578" s="395"/>
      <c r="AE578" s="395"/>
      <c r="AF578" s="395"/>
      <c r="AG578" s="395"/>
      <c r="AH578" s="395"/>
      <c r="AI578" s="395"/>
      <c r="AJ578" s="395"/>
      <c r="AK578" s="395"/>
    </row>
    <row r="579">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c r="AA579" s="395"/>
      <c r="AB579" s="395"/>
      <c r="AC579" s="395"/>
      <c r="AD579" s="395"/>
      <c r="AE579" s="395"/>
      <c r="AF579" s="395"/>
      <c r="AG579" s="395"/>
      <c r="AH579" s="395"/>
      <c r="AI579" s="395"/>
      <c r="AJ579" s="395"/>
      <c r="AK579" s="395"/>
    </row>
    <row r="580">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c r="AA580" s="395"/>
      <c r="AB580" s="395"/>
      <c r="AC580" s="395"/>
      <c r="AD580" s="395"/>
      <c r="AE580" s="395"/>
      <c r="AF580" s="395"/>
      <c r="AG580" s="395"/>
      <c r="AH580" s="395"/>
      <c r="AI580" s="395"/>
      <c r="AJ580" s="395"/>
      <c r="AK580" s="395"/>
    </row>
    <row r="58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c r="AA581" s="395"/>
      <c r="AB581" s="395"/>
      <c r="AC581" s="395"/>
      <c r="AD581" s="395"/>
      <c r="AE581" s="395"/>
      <c r="AF581" s="395"/>
      <c r="AG581" s="395"/>
      <c r="AH581" s="395"/>
      <c r="AI581" s="395"/>
      <c r="AJ581" s="395"/>
      <c r="AK581" s="395"/>
    </row>
    <row r="582">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c r="AA582" s="395"/>
      <c r="AB582" s="395"/>
      <c r="AC582" s="395"/>
      <c r="AD582" s="395"/>
      <c r="AE582" s="395"/>
      <c r="AF582" s="395"/>
      <c r="AG582" s="395"/>
      <c r="AH582" s="395"/>
      <c r="AI582" s="395"/>
      <c r="AJ582" s="395"/>
      <c r="AK582" s="395"/>
    </row>
    <row r="583">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c r="AA583" s="395"/>
      <c r="AB583" s="395"/>
      <c r="AC583" s="395"/>
      <c r="AD583" s="395"/>
      <c r="AE583" s="395"/>
      <c r="AF583" s="395"/>
      <c r="AG583" s="395"/>
      <c r="AH583" s="395"/>
      <c r="AI583" s="395"/>
      <c r="AJ583" s="395"/>
      <c r="AK583" s="395"/>
    </row>
    <row r="584">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c r="AA584" s="395"/>
      <c r="AB584" s="395"/>
      <c r="AC584" s="395"/>
      <c r="AD584" s="395"/>
      <c r="AE584" s="395"/>
      <c r="AF584" s="395"/>
      <c r="AG584" s="395"/>
      <c r="AH584" s="395"/>
      <c r="AI584" s="395"/>
      <c r="AJ584" s="395"/>
      <c r="AK584" s="395"/>
    </row>
    <row r="585">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c r="AA585" s="395"/>
      <c r="AB585" s="395"/>
      <c r="AC585" s="395"/>
      <c r="AD585" s="395"/>
      <c r="AE585" s="395"/>
      <c r="AF585" s="395"/>
      <c r="AG585" s="395"/>
      <c r="AH585" s="395"/>
      <c r="AI585" s="395"/>
      <c r="AJ585" s="395"/>
      <c r="AK585" s="395"/>
    </row>
    <row r="586">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c r="AA586" s="395"/>
      <c r="AB586" s="395"/>
      <c r="AC586" s="395"/>
      <c r="AD586" s="395"/>
      <c r="AE586" s="395"/>
      <c r="AF586" s="395"/>
      <c r="AG586" s="395"/>
      <c r="AH586" s="395"/>
      <c r="AI586" s="395"/>
      <c r="AJ586" s="395"/>
      <c r="AK586" s="395"/>
    </row>
    <row r="587">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c r="AA587" s="395"/>
      <c r="AB587" s="395"/>
      <c r="AC587" s="395"/>
      <c r="AD587" s="395"/>
      <c r="AE587" s="395"/>
      <c r="AF587" s="395"/>
      <c r="AG587" s="395"/>
      <c r="AH587" s="395"/>
      <c r="AI587" s="395"/>
      <c r="AJ587" s="395"/>
      <c r="AK587" s="395"/>
    </row>
    <row r="588">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c r="AA588" s="395"/>
      <c r="AB588" s="395"/>
      <c r="AC588" s="395"/>
      <c r="AD588" s="395"/>
      <c r="AE588" s="395"/>
      <c r="AF588" s="395"/>
      <c r="AG588" s="395"/>
      <c r="AH588" s="395"/>
      <c r="AI588" s="395"/>
      <c r="AJ588" s="395"/>
      <c r="AK588" s="395"/>
    </row>
    <row r="589">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c r="AA589" s="395"/>
      <c r="AB589" s="395"/>
      <c r="AC589" s="395"/>
      <c r="AD589" s="395"/>
      <c r="AE589" s="395"/>
      <c r="AF589" s="395"/>
      <c r="AG589" s="395"/>
      <c r="AH589" s="395"/>
      <c r="AI589" s="395"/>
      <c r="AJ589" s="395"/>
      <c r="AK589" s="395"/>
    </row>
    <row r="590">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c r="AA590" s="395"/>
      <c r="AB590" s="395"/>
      <c r="AC590" s="395"/>
      <c r="AD590" s="395"/>
      <c r="AE590" s="395"/>
      <c r="AF590" s="395"/>
      <c r="AG590" s="395"/>
      <c r="AH590" s="395"/>
      <c r="AI590" s="395"/>
      <c r="AJ590" s="395"/>
      <c r="AK590" s="395"/>
    </row>
    <row r="59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c r="AA591" s="395"/>
      <c r="AB591" s="395"/>
      <c r="AC591" s="395"/>
      <c r="AD591" s="395"/>
      <c r="AE591" s="395"/>
      <c r="AF591" s="395"/>
      <c r="AG591" s="395"/>
      <c r="AH591" s="395"/>
      <c r="AI591" s="395"/>
      <c r="AJ591" s="395"/>
      <c r="AK591" s="395"/>
    </row>
    <row r="592">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c r="AA592" s="395"/>
      <c r="AB592" s="395"/>
      <c r="AC592" s="395"/>
      <c r="AD592" s="395"/>
      <c r="AE592" s="395"/>
      <c r="AF592" s="395"/>
      <c r="AG592" s="395"/>
      <c r="AH592" s="395"/>
      <c r="AI592" s="395"/>
      <c r="AJ592" s="395"/>
      <c r="AK592" s="395"/>
    </row>
    <row r="593">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c r="AA593" s="395"/>
      <c r="AB593" s="395"/>
      <c r="AC593" s="395"/>
      <c r="AD593" s="395"/>
      <c r="AE593" s="395"/>
      <c r="AF593" s="395"/>
      <c r="AG593" s="395"/>
      <c r="AH593" s="395"/>
      <c r="AI593" s="395"/>
      <c r="AJ593" s="395"/>
      <c r="AK593" s="395"/>
    </row>
    <row r="594">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c r="AA594" s="395"/>
      <c r="AB594" s="395"/>
      <c r="AC594" s="395"/>
      <c r="AD594" s="395"/>
      <c r="AE594" s="395"/>
      <c r="AF594" s="395"/>
      <c r="AG594" s="395"/>
      <c r="AH594" s="395"/>
      <c r="AI594" s="395"/>
      <c r="AJ594" s="395"/>
      <c r="AK594" s="395"/>
    </row>
    <row r="595">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c r="AA595" s="395"/>
      <c r="AB595" s="395"/>
      <c r="AC595" s="395"/>
      <c r="AD595" s="395"/>
      <c r="AE595" s="395"/>
      <c r="AF595" s="395"/>
      <c r="AG595" s="395"/>
      <c r="AH595" s="395"/>
      <c r="AI595" s="395"/>
      <c r="AJ595" s="395"/>
      <c r="AK595" s="395"/>
    </row>
    <row r="596">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c r="AA596" s="395"/>
      <c r="AB596" s="395"/>
      <c r="AC596" s="395"/>
      <c r="AD596" s="395"/>
      <c r="AE596" s="395"/>
      <c r="AF596" s="395"/>
      <c r="AG596" s="395"/>
      <c r="AH596" s="395"/>
      <c r="AI596" s="395"/>
      <c r="AJ596" s="395"/>
      <c r="AK596" s="395"/>
    </row>
    <row r="597">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c r="AA597" s="395"/>
      <c r="AB597" s="395"/>
      <c r="AC597" s="395"/>
      <c r="AD597" s="395"/>
      <c r="AE597" s="395"/>
      <c r="AF597" s="395"/>
      <c r="AG597" s="395"/>
      <c r="AH597" s="395"/>
      <c r="AI597" s="395"/>
      <c r="AJ597" s="395"/>
      <c r="AK597" s="395"/>
    </row>
    <row r="598">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c r="AA598" s="395"/>
      <c r="AB598" s="395"/>
      <c r="AC598" s="395"/>
      <c r="AD598" s="395"/>
      <c r="AE598" s="395"/>
      <c r="AF598" s="395"/>
      <c r="AG598" s="395"/>
      <c r="AH598" s="395"/>
      <c r="AI598" s="395"/>
      <c r="AJ598" s="395"/>
      <c r="AK598" s="395"/>
    </row>
    <row r="599">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c r="AA599" s="395"/>
      <c r="AB599" s="395"/>
      <c r="AC599" s="395"/>
      <c r="AD599" s="395"/>
      <c r="AE599" s="395"/>
      <c r="AF599" s="395"/>
      <c r="AG599" s="395"/>
      <c r="AH599" s="395"/>
      <c r="AI599" s="395"/>
      <c r="AJ599" s="395"/>
      <c r="AK599" s="395"/>
    </row>
    <row r="600">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c r="AA600" s="395"/>
      <c r="AB600" s="395"/>
      <c r="AC600" s="395"/>
      <c r="AD600" s="395"/>
      <c r="AE600" s="395"/>
      <c r="AF600" s="395"/>
      <c r="AG600" s="395"/>
      <c r="AH600" s="395"/>
      <c r="AI600" s="395"/>
      <c r="AJ600" s="395"/>
      <c r="AK600" s="395"/>
    </row>
    <row r="60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c r="AA601" s="395"/>
      <c r="AB601" s="395"/>
      <c r="AC601" s="395"/>
      <c r="AD601" s="395"/>
      <c r="AE601" s="395"/>
      <c r="AF601" s="395"/>
      <c r="AG601" s="395"/>
      <c r="AH601" s="395"/>
      <c r="AI601" s="395"/>
      <c r="AJ601" s="395"/>
      <c r="AK601" s="395"/>
    </row>
    <row r="602">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c r="AA602" s="395"/>
      <c r="AB602" s="395"/>
      <c r="AC602" s="395"/>
      <c r="AD602" s="395"/>
      <c r="AE602" s="395"/>
      <c r="AF602" s="395"/>
      <c r="AG602" s="395"/>
      <c r="AH602" s="395"/>
      <c r="AI602" s="395"/>
      <c r="AJ602" s="395"/>
      <c r="AK602" s="395"/>
    </row>
    <row r="603">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c r="AA603" s="395"/>
      <c r="AB603" s="395"/>
      <c r="AC603" s="395"/>
      <c r="AD603" s="395"/>
      <c r="AE603" s="395"/>
      <c r="AF603" s="395"/>
      <c r="AG603" s="395"/>
      <c r="AH603" s="395"/>
      <c r="AI603" s="395"/>
      <c r="AJ603" s="395"/>
      <c r="AK603" s="395"/>
    </row>
    <row r="604">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c r="AA604" s="395"/>
      <c r="AB604" s="395"/>
      <c r="AC604" s="395"/>
      <c r="AD604" s="395"/>
      <c r="AE604" s="395"/>
      <c r="AF604" s="395"/>
      <c r="AG604" s="395"/>
      <c r="AH604" s="395"/>
      <c r="AI604" s="395"/>
      <c r="AJ604" s="395"/>
      <c r="AK604" s="395"/>
    </row>
    <row r="605">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c r="AA605" s="395"/>
      <c r="AB605" s="395"/>
      <c r="AC605" s="395"/>
      <c r="AD605" s="395"/>
      <c r="AE605" s="395"/>
      <c r="AF605" s="395"/>
      <c r="AG605" s="395"/>
      <c r="AH605" s="395"/>
      <c r="AI605" s="395"/>
      <c r="AJ605" s="395"/>
      <c r="AK605" s="395"/>
    </row>
    <row r="606">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c r="AA606" s="395"/>
      <c r="AB606" s="395"/>
      <c r="AC606" s="395"/>
      <c r="AD606" s="395"/>
      <c r="AE606" s="395"/>
      <c r="AF606" s="395"/>
      <c r="AG606" s="395"/>
      <c r="AH606" s="395"/>
      <c r="AI606" s="395"/>
      <c r="AJ606" s="395"/>
      <c r="AK606" s="395"/>
    </row>
    <row r="607">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c r="AA607" s="395"/>
      <c r="AB607" s="395"/>
      <c r="AC607" s="395"/>
      <c r="AD607" s="395"/>
      <c r="AE607" s="395"/>
      <c r="AF607" s="395"/>
      <c r="AG607" s="395"/>
      <c r="AH607" s="395"/>
      <c r="AI607" s="395"/>
      <c r="AJ607" s="395"/>
      <c r="AK607" s="395"/>
    </row>
    <row r="608">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c r="AA608" s="395"/>
      <c r="AB608" s="395"/>
      <c r="AC608" s="395"/>
      <c r="AD608" s="395"/>
      <c r="AE608" s="395"/>
      <c r="AF608" s="395"/>
      <c r="AG608" s="395"/>
      <c r="AH608" s="395"/>
      <c r="AI608" s="395"/>
      <c r="AJ608" s="395"/>
      <c r="AK608" s="395"/>
    </row>
    <row r="609">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c r="AA609" s="395"/>
      <c r="AB609" s="395"/>
      <c r="AC609" s="395"/>
      <c r="AD609" s="395"/>
      <c r="AE609" s="395"/>
      <c r="AF609" s="395"/>
      <c r="AG609" s="395"/>
      <c r="AH609" s="395"/>
      <c r="AI609" s="395"/>
      <c r="AJ609" s="395"/>
      <c r="AK609" s="395"/>
    </row>
    <row r="610">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c r="AA610" s="395"/>
      <c r="AB610" s="395"/>
      <c r="AC610" s="395"/>
      <c r="AD610" s="395"/>
      <c r="AE610" s="395"/>
      <c r="AF610" s="395"/>
      <c r="AG610" s="395"/>
      <c r="AH610" s="395"/>
      <c r="AI610" s="395"/>
      <c r="AJ610" s="395"/>
      <c r="AK610" s="395"/>
    </row>
    <row r="61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c r="AA611" s="395"/>
      <c r="AB611" s="395"/>
      <c r="AC611" s="395"/>
      <c r="AD611" s="395"/>
      <c r="AE611" s="395"/>
      <c r="AF611" s="395"/>
      <c r="AG611" s="395"/>
      <c r="AH611" s="395"/>
      <c r="AI611" s="395"/>
      <c r="AJ611" s="395"/>
      <c r="AK611" s="395"/>
    </row>
    <row r="612">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c r="AA612" s="395"/>
      <c r="AB612" s="395"/>
      <c r="AC612" s="395"/>
      <c r="AD612" s="395"/>
      <c r="AE612" s="395"/>
      <c r="AF612" s="395"/>
      <c r="AG612" s="395"/>
      <c r="AH612" s="395"/>
      <c r="AI612" s="395"/>
      <c r="AJ612" s="395"/>
      <c r="AK612" s="395"/>
    </row>
    <row r="613">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c r="AA613" s="395"/>
      <c r="AB613" s="395"/>
      <c r="AC613" s="395"/>
      <c r="AD613" s="395"/>
      <c r="AE613" s="395"/>
      <c r="AF613" s="395"/>
      <c r="AG613" s="395"/>
      <c r="AH613" s="395"/>
      <c r="AI613" s="395"/>
      <c r="AJ613" s="395"/>
      <c r="AK613" s="395"/>
    </row>
    <row r="614">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c r="AA614" s="395"/>
      <c r="AB614" s="395"/>
      <c r="AC614" s="395"/>
      <c r="AD614" s="395"/>
      <c r="AE614" s="395"/>
      <c r="AF614" s="395"/>
      <c r="AG614" s="395"/>
      <c r="AH614" s="395"/>
      <c r="AI614" s="395"/>
      <c r="AJ614" s="395"/>
      <c r="AK614" s="395"/>
    </row>
    <row r="615">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c r="AA615" s="395"/>
      <c r="AB615" s="395"/>
      <c r="AC615" s="395"/>
      <c r="AD615" s="395"/>
      <c r="AE615" s="395"/>
      <c r="AF615" s="395"/>
      <c r="AG615" s="395"/>
      <c r="AH615" s="395"/>
      <c r="AI615" s="395"/>
      <c r="AJ615" s="395"/>
      <c r="AK615" s="395"/>
    </row>
    <row r="616">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c r="AA616" s="395"/>
      <c r="AB616" s="395"/>
      <c r="AC616" s="395"/>
      <c r="AD616" s="395"/>
      <c r="AE616" s="395"/>
      <c r="AF616" s="395"/>
      <c r="AG616" s="395"/>
      <c r="AH616" s="395"/>
      <c r="AI616" s="395"/>
      <c r="AJ616" s="395"/>
      <c r="AK616" s="395"/>
    </row>
    <row r="617">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c r="AA617" s="395"/>
      <c r="AB617" s="395"/>
      <c r="AC617" s="395"/>
      <c r="AD617" s="395"/>
      <c r="AE617" s="395"/>
      <c r="AF617" s="395"/>
      <c r="AG617" s="395"/>
      <c r="AH617" s="395"/>
      <c r="AI617" s="395"/>
      <c r="AJ617" s="395"/>
      <c r="AK617" s="395"/>
    </row>
    <row r="618">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c r="AA618" s="395"/>
      <c r="AB618" s="395"/>
      <c r="AC618" s="395"/>
      <c r="AD618" s="395"/>
      <c r="AE618" s="395"/>
      <c r="AF618" s="395"/>
      <c r="AG618" s="395"/>
      <c r="AH618" s="395"/>
      <c r="AI618" s="395"/>
      <c r="AJ618" s="395"/>
      <c r="AK618" s="395"/>
    </row>
    <row r="619">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c r="AA619" s="395"/>
      <c r="AB619" s="395"/>
      <c r="AC619" s="395"/>
      <c r="AD619" s="395"/>
      <c r="AE619" s="395"/>
      <c r="AF619" s="395"/>
      <c r="AG619" s="395"/>
      <c r="AH619" s="395"/>
      <c r="AI619" s="395"/>
      <c r="AJ619" s="395"/>
      <c r="AK619" s="395"/>
    </row>
    <row r="620">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c r="AA620" s="395"/>
      <c r="AB620" s="395"/>
      <c r="AC620" s="395"/>
      <c r="AD620" s="395"/>
      <c r="AE620" s="395"/>
      <c r="AF620" s="395"/>
      <c r="AG620" s="395"/>
      <c r="AH620" s="395"/>
      <c r="AI620" s="395"/>
      <c r="AJ620" s="395"/>
      <c r="AK620" s="395"/>
    </row>
    <row r="62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c r="AA621" s="395"/>
      <c r="AB621" s="395"/>
      <c r="AC621" s="395"/>
      <c r="AD621" s="395"/>
      <c r="AE621" s="395"/>
      <c r="AF621" s="395"/>
      <c r="AG621" s="395"/>
      <c r="AH621" s="395"/>
      <c r="AI621" s="395"/>
      <c r="AJ621" s="395"/>
      <c r="AK621" s="395"/>
    </row>
    <row r="622">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c r="AA622" s="395"/>
      <c r="AB622" s="395"/>
      <c r="AC622" s="395"/>
      <c r="AD622" s="395"/>
      <c r="AE622" s="395"/>
      <c r="AF622" s="395"/>
      <c r="AG622" s="395"/>
      <c r="AH622" s="395"/>
      <c r="AI622" s="395"/>
      <c r="AJ622" s="395"/>
      <c r="AK622" s="395"/>
    </row>
    <row r="623">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c r="AA623" s="395"/>
      <c r="AB623" s="395"/>
      <c r="AC623" s="395"/>
      <c r="AD623" s="395"/>
      <c r="AE623" s="395"/>
      <c r="AF623" s="395"/>
      <c r="AG623" s="395"/>
      <c r="AH623" s="395"/>
      <c r="AI623" s="395"/>
      <c r="AJ623" s="395"/>
      <c r="AK623" s="395"/>
    </row>
    <row r="624">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c r="AA624" s="395"/>
      <c r="AB624" s="395"/>
      <c r="AC624" s="395"/>
      <c r="AD624" s="395"/>
      <c r="AE624" s="395"/>
      <c r="AF624" s="395"/>
      <c r="AG624" s="395"/>
      <c r="AH624" s="395"/>
      <c r="AI624" s="395"/>
      <c r="AJ624" s="395"/>
      <c r="AK624" s="395"/>
    </row>
    <row r="625">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c r="AA625" s="395"/>
      <c r="AB625" s="395"/>
      <c r="AC625" s="395"/>
      <c r="AD625" s="395"/>
      <c r="AE625" s="395"/>
      <c r="AF625" s="395"/>
      <c r="AG625" s="395"/>
      <c r="AH625" s="395"/>
      <c r="AI625" s="395"/>
      <c r="AJ625" s="395"/>
      <c r="AK625" s="395"/>
    </row>
    <row r="626">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c r="AA626" s="395"/>
      <c r="AB626" s="395"/>
      <c r="AC626" s="395"/>
      <c r="AD626" s="395"/>
      <c r="AE626" s="395"/>
      <c r="AF626" s="395"/>
      <c r="AG626" s="395"/>
      <c r="AH626" s="395"/>
      <c r="AI626" s="395"/>
      <c r="AJ626" s="395"/>
      <c r="AK626" s="395"/>
    </row>
    <row r="627">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c r="AA627" s="395"/>
      <c r="AB627" s="395"/>
      <c r="AC627" s="395"/>
      <c r="AD627" s="395"/>
      <c r="AE627" s="395"/>
      <c r="AF627" s="395"/>
      <c r="AG627" s="395"/>
      <c r="AH627" s="395"/>
      <c r="AI627" s="395"/>
      <c r="AJ627" s="395"/>
      <c r="AK627" s="395"/>
    </row>
    <row r="628">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c r="AA628" s="395"/>
      <c r="AB628" s="395"/>
      <c r="AC628" s="395"/>
      <c r="AD628" s="395"/>
      <c r="AE628" s="395"/>
      <c r="AF628" s="395"/>
      <c r="AG628" s="395"/>
      <c r="AH628" s="395"/>
      <c r="AI628" s="395"/>
      <c r="AJ628" s="395"/>
      <c r="AK628" s="395"/>
    </row>
    <row r="629">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c r="AA629" s="395"/>
      <c r="AB629" s="395"/>
      <c r="AC629" s="395"/>
      <c r="AD629" s="395"/>
      <c r="AE629" s="395"/>
      <c r="AF629" s="395"/>
      <c r="AG629" s="395"/>
      <c r="AH629" s="395"/>
      <c r="AI629" s="395"/>
      <c r="AJ629" s="395"/>
      <c r="AK629" s="395"/>
    </row>
    <row r="630">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c r="AA630" s="395"/>
      <c r="AB630" s="395"/>
      <c r="AC630" s="395"/>
      <c r="AD630" s="395"/>
      <c r="AE630" s="395"/>
      <c r="AF630" s="395"/>
      <c r="AG630" s="395"/>
      <c r="AH630" s="395"/>
      <c r="AI630" s="395"/>
      <c r="AJ630" s="395"/>
      <c r="AK630" s="395"/>
    </row>
    <row r="63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c r="AA631" s="395"/>
      <c r="AB631" s="395"/>
      <c r="AC631" s="395"/>
      <c r="AD631" s="395"/>
      <c r="AE631" s="395"/>
      <c r="AF631" s="395"/>
      <c r="AG631" s="395"/>
      <c r="AH631" s="395"/>
      <c r="AI631" s="395"/>
      <c r="AJ631" s="395"/>
      <c r="AK631" s="395"/>
    </row>
    <row r="632">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c r="AA632" s="395"/>
      <c r="AB632" s="395"/>
      <c r="AC632" s="395"/>
      <c r="AD632" s="395"/>
      <c r="AE632" s="395"/>
      <c r="AF632" s="395"/>
      <c r="AG632" s="395"/>
      <c r="AH632" s="395"/>
      <c r="AI632" s="395"/>
      <c r="AJ632" s="395"/>
      <c r="AK632" s="395"/>
    </row>
    <row r="633">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c r="AA633" s="395"/>
      <c r="AB633" s="395"/>
      <c r="AC633" s="395"/>
      <c r="AD633" s="395"/>
      <c r="AE633" s="395"/>
      <c r="AF633" s="395"/>
      <c r="AG633" s="395"/>
      <c r="AH633" s="395"/>
      <c r="AI633" s="395"/>
      <c r="AJ633" s="395"/>
      <c r="AK633" s="395"/>
    </row>
    <row r="634">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c r="AA634" s="395"/>
      <c r="AB634" s="395"/>
      <c r="AC634" s="395"/>
      <c r="AD634" s="395"/>
      <c r="AE634" s="395"/>
      <c r="AF634" s="395"/>
      <c r="AG634" s="395"/>
      <c r="AH634" s="395"/>
      <c r="AI634" s="395"/>
      <c r="AJ634" s="395"/>
      <c r="AK634" s="395"/>
    </row>
    <row r="635">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c r="AA635" s="395"/>
      <c r="AB635" s="395"/>
      <c r="AC635" s="395"/>
      <c r="AD635" s="395"/>
      <c r="AE635" s="395"/>
      <c r="AF635" s="395"/>
      <c r="AG635" s="395"/>
      <c r="AH635" s="395"/>
      <c r="AI635" s="395"/>
      <c r="AJ635" s="395"/>
      <c r="AK635" s="395"/>
    </row>
    <row r="636">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c r="AA636" s="395"/>
      <c r="AB636" s="395"/>
      <c r="AC636" s="395"/>
      <c r="AD636" s="395"/>
      <c r="AE636" s="395"/>
      <c r="AF636" s="395"/>
      <c r="AG636" s="395"/>
      <c r="AH636" s="395"/>
      <c r="AI636" s="395"/>
      <c r="AJ636" s="395"/>
      <c r="AK636" s="395"/>
    </row>
    <row r="637">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c r="AA637" s="395"/>
      <c r="AB637" s="395"/>
      <c r="AC637" s="395"/>
      <c r="AD637" s="395"/>
      <c r="AE637" s="395"/>
      <c r="AF637" s="395"/>
      <c r="AG637" s="395"/>
      <c r="AH637" s="395"/>
      <c r="AI637" s="395"/>
      <c r="AJ637" s="395"/>
      <c r="AK637" s="395"/>
    </row>
    <row r="638">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c r="AA638" s="395"/>
      <c r="AB638" s="395"/>
      <c r="AC638" s="395"/>
      <c r="AD638" s="395"/>
      <c r="AE638" s="395"/>
      <c r="AF638" s="395"/>
      <c r="AG638" s="395"/>
      <c r="AH638" s="395"/>
      <c r="AI638" s="395"/>
      <c r="AJ638" s="395"/>
      <c r="AK638" s="395"/>
    </row>
    <row r="639">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c r="AA639" s="395"/>
      <c r="AB639" s="395"/>
      <c r="AC639" s="395"/>
      <c r="AD639" s="395"/>
      <c r="AE639" s="395"/>
      <c r="AF639" s="395"/>
      <c r="AG639" s="395"/>
      <c r="AH639" s="395"/>
      <c r="AI639" s="395"/>
      <c r="AJ639" s="395"/>
      <c r="AK639" s="395"/>
    </row>
    <row r="640">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c r="AA640" s="395"/>
      <c r="AB640" s="395"/>
      <c r="AC640" s="395"/>
      <c r="AD640" s="395"/>
      <c r="AE640" s="395"/>
      <c r="AF640" s="395"/>
      <c r="AG640" s="395"/>
      <c r="AH640" s="395"/>
      <c r="AI640" s="395"/>
      <c r="AJ640" s="395"/>
      <c r="AK640" s="395"/>
    </row>
    <row r="64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c r="AA641" s="395"/>
      <c r="AB641" s="395"/>
      <c r="AC641" s="395"/>
      <c r="AD641" s="395"/>
      <c r="AE641" s="395"/>
      <c r="AF641" s="395"/>
      <c r="AG641" s="395"/>
      <c r="AH641" s="395"/>
      <c r="AI641" s="395"/>
      <c r="AJ641" s="395"/>
      <c r="AK641" s="395"/>
    </row>
    <row r="642">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c r="AA642" s="395"/>
      <c r="AB642" s="395"/>
      <c r="AC642" s="395"/>
      <c r="AD642" s="395"/>
      <c r="AE642" s="395"/>
      <c r="AF642" s="395"/>
      <c r="AG642" s="395"/>
      <c r="AH642" s="395"/>
      <c r="AI642" s="395"/>
      <c r="AJ642" s="395"/>
      <c r="AK642" s="395"/>
    </row>
    <row r="643">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c r="AA643" s="395"/>
      <c r="AB643" s="395"/>
      <c r="AC643" s="395"/>
      <c r="AD643" s="395"/>
      <c r="AE643" s="395"/>
      <c r="AF643" s="395"/>
      <c r="AG643" s="395"/>
      <c r="AH643" s="395"/>
      <c r="AI643" s="395"/>
      <c r="AJ643" s="395"/>
      <c r="AK643" s="395"/>
    </row>
    <row r="644">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c r="AA644" s="395"/>
      <c r="AB644" s="395"/>
      <c r="AC644" s="395"/>
      <c r="AD644" s="395"/>
      <c r="AE644" s="395"/>
      <c r="AF644" s="395"/>
      <c r="AG644" s="395"/>
      <c r="AH644" s="395"/>
      <c r="AI644" s="395"/>
      <c r="AJ644" s="395"/>
      <c r="AK644" s="395"/>
    </row>
    <row r="645">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c r="AA645" s="395"/>
      <c r="AB645" s="395"/>
      <c r="AC645" s="395"/>
      <c r="AD645" s="395"/>
      <c r="AE645" s="395"/>
      <c r="AF645" s="395"/>
      <c r="AG645" s="395"/>
      <c r="AH645" s="395"/>
      <c r="AI645" s="395"/>
      <c r="AJ645" s="395"/>
      <c r="AK645" s="395"/>
    </row>
    <row r="646">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c r="AA646" s="395"/>
      <c r="AB646" s="395"/>
      <c r="AC646" s="395"/>
      <c r="AD646" s="395"/>
      <c r="AE646" s="395"/>
      <c r="AF646" s="395"/>
      <c r="AG646" s="395"/>
      <c r="AH646" s="395"/>
      <c r="AI646" s="395"/>
      <c r="AJ646" s="395"/>
      <c r="AK646" s="395"/>
    </row>
    <row r="647">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c r="AA647" s="395"/>
      <c r="AB647" s="395"/>
      <c r="AC647" s="395"/>
      <c r="AD647" s="395"/>
      <c r="AE647" s="395"/>
      <c r="AF647" s="395"/>
      <c r="AG647" s="395"/>
      <c r="AH647" s="395"/>
      <c r="AI647" s="395"/>
      <c r="AJ647" s="395"/>
      <c r="AK647" s="395"/>
    </row>
    <row r="648">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c r="AA648" s="395"/>
      <c r="AB648" s="395"/>
      <c r="AC648" s="395"/>
      <c r="AD648" s="395"/>
      <c r="AE648" s="395"/>
      <c r="AF648" s="395"/>
      <c r="AG648" s="395"/>
      <c r="AH648" s="395"/>
      <c r="AI648" s="395"/>
      <c r="AJ648" s="395"/>
      <c r="AK648" s="395"/>
    </row>
    <row r="649">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c r="AA649" s="395"/>
      <c r="AB649" s="395"/>
      <c r="AC649" s="395"/>
      <c r="AD649" s="395"/>
      <c r="AE649" s="395"/>
      <c r="AF649" s="395"/>
      <c r="AG649" s="395"/>
      <c r="AH649" s="395"/>
      <c r="AI649" s="395"/>
      <c r="AJ649" s="395"/>
      <c r="AK649" s="395"/>
    </row>
    <row r="650">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c r="AA650" s="395"/>
      <c r="AB650" s="395"/>
      <c r="AC650" s="395"/>
      <c r="AD650" s="395"/>
      <c r="AE650" s="395"/>
      <c r="AF650" s="395"/>
      <c r="AG650" s="395"/>
      <c r="AH650" s="395"/>
      <c r="AI650" s="395"/>
      <c r="AJ650" s="395"/>
      <c r="AK650" s="395"/>
    </row>
    <row r="65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c r="AA651" s="395"/>
      <c r="AB651" s="395"/>
      <c r="AC651" s="395"/>
      <c r="AD651" s="395"/>
      <c r="AE651" s="395"/>
      <c r="AF651" s="395"/>
      <c r="AG651" s="395"/>
      <c r="AH651" s="395"/>
      <c r="AI651" s="395"/>
      <c r="AJ651" s="395"/>
      <c r="AK651" s="395"/>
    </row>
    <row r="652">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c r="AA652" s="395"/>
      <c r="AB652" s="395"/>
      <c r="AC652" s="395"/>
      <c r="AD652" s="395"/>
      <c r="AE652" s="395"/>
      <c r="AF652" s="395"/>
      <c r="AG652" s="395"/>
      <c r="AH652" s="395"/>
      <c r="AI652" s="395"/>
      <c r="AJ652" s="395"/>
      <c r="AK652" s="395"/>
    </row>
    <row r="653">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c r="AA653" s="395"/>
      <c r="AB653" s="395"/>
      <c r="AC653" s="395"/>
      <c r="AD653" s="395"/>
      <c r="AE653" s="395"/>
      <c r="AF653" s="395"/>
      <c r="AG653" s="395"/>
      <c r="AH653" s="395"/>
      <c r="AI653" s="395"/>
      <c r="AJ653" s="395"/>
      <c r="AK653" s="395"/>
    </row>
    <row r="654">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c r="AA654" s="395"/>
      <c r="AB654" s="395"/>
      <c r="AC654" s="395"/>
      <c r="AD654" s="395"/>
      <c r="AE654" s="395"/>
      <c r="AF654" s="395"/>
      <c r="AG654" s="395"/>
      <c r="AH654" s="395"/>
      <c r="AI654" s="395"/>
      <c r="AJ654" s="395"/>
      <c r="AK654" s="395"/>
    </row>
    <row r="655">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c r="AA655" s="395"/>
      <c r="AB655" s="395"/>
      <c r="AC655" s="395"/>
      <c r="AD655" s="395"/>
      <c r="AE655" s="395"/>
      <c r="AF655" s="395"/>
      <c r="AG655" s="395"/>
      <c r="AH655" s="395"/>
      <c r="AI655" s="395"/>
      <c r="AJ655" s="395"/>
      <c r="AK655" s="395"/>
    </row>
    <row r="656">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c r="AA656" s="395"/>
      <c r="AB656" s="395"/>
      <c r="AC656" s="395"/>
      <c r="AD656" s="395"/>
      <c r="AE656" s="395"/>
      <c r="AF656" s="395"/>
      <c r="AG656" s="395"/>
      <c r="AH656" s="395"/>
      <c r="AI656" s="395"/>
      <c r="AJ656" s="395"/>
      <c r="AK656" s="395"/>
    </row>
    <row r="657">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c r="AA657" s="395"/>
      <c r="AB657" s="395"/>
      <c r="AC657" s="395"/>
      <c r="AD657" s="395"/>
      <c r="AE657" s="395"/>
      <c r="AF657" s="395"/>
      <c r="AG657" s="395"/>
      <c r="AH657" s="395"/>
      <c r="AI657" s="395"/>
      <c r="AJ657" s="395"/>
      <c r="AK657" s="395"/>
    </row>
    <row r="658">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c r="AA658" s="395"/>
      <c r="AB658" s="395"/>
      <c r="AC658" s="395"/>
      <c r="AD658" s="395"/>
      <c r="AE658" s="395"/>
      <c r="AF658" s="395"/>
      <c r="AG658" s="395"/>
      <c r="AH658" s="395"/>
      <c r="AI658" s="395"/>
      <c r="AJ658" s="395"/>
      <c r="AK658" s="395"/>
    </row>
    <row r="659">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c r="AA659" s="395"/>
      <c r="AB659" s="395"/>
      <c r="AC659" s="395"/>
      <c r="AD659" s="395"/>
      <c r="AE659" s="395"/>
      <c r="AF659" s="395"/>
      <c r="AG659" s="395"/>
      <c r="AH659" s="395"/>
      <c r="AI659" s="395"/>
      <c r="AJ659" s="395"/>
      <c r="AK659" s="395"/>
    </row>
    <row r="660">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c r="AA660" s="395"/>
      <c r="AB660" s="395"/>
      <c r="AC660" s="395"/>
      <c r="AD660" s="395"/>
      <c r="AE660" s="395"/>
      <c r="AF660" s="395"/>
      <c r="AG660" s="395"/>
      <c r="AH660" s="395"/>
      <c r="AI660" s="395"/>
      <c r="AJ660" s="395"/>
      <c r="AK660" s="395"/>
    </row>
    <row r="66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c r="AA661" s="395"/>
      <c r="AB661" s="395"/>
      <c r="AC661" s="395"/>
      <c r="AD661" s="395"/>
      <c r="AE661" s="395"/>
      <c r="AF661" s="395"/>
      <c r="AG661" s="395"/>
      <c r="AH661" s="395"/>
      <c r="AI661" s="395"/>
      <c r="AJ661" s="395"/>
      <c r="AK661" s="395"/>
    </row>
    <row r="662">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c r="AA662" s="395"/>
      <c r="AB662" s="395"/>
      <c r="AC662" s="395"/>
      <c r="AD662" s="395"/>
      <c r="AE662" s="395"/>
      <c r="AF662" s="395"/>
      <c r="AG662" s="395"/>
      <c r="AH662" s="395"/>
      <c r="AI662" s="395"/>
      <c r="AJ662" s="395"/>
      <c r="AK662" s="395"/>
    </row>
    <row r="663">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c r="AA663" s="395"/>
      <c r="AB663" s="395"/>
      <c r="AC663" s="395"/>
      <c r="AD663" s="395"/>
      <c r="AE663" s="395"/>
      <c r="AF663" s="395"/>
      <c r="AG663" s="395"/>
      <c r="AH663" s="395"/>
      <c r="AI663" s="395"/>
      <c r="AJ663" s="395"/>
      <c r="AK663" s="395"/>
    </row>
    <row r="664">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c r="AA664" s="395"/>
      <c r="AB664" s="395"/>
      <c r="AC664" s="395"/>
      <c r="AD664" s="395"/>
      <c r="AE664" s="395"/>
      <c r="AF664" s="395"/>
      <c r="AG664" s="395"/>
      <c r="AH664" s="395"/>
      <c r="AI664" s="395"/>
      <c r="AJ664" s="395"/>
      <c r="AK664" s="395"/>
    </row>
    <row r="665">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c r="AA665" s="395"/>
      <c r="AB665" s="395"/>
      <c r="AC665" s="395"/>
      <c r="AD665" s="395"/>
      <c r="AE665" s="395"/>
      <c r="AF665" s="395"/>
      <c r="AG665" s="395"/>
      <c r="AH665" s="395"/>
      <c r="AI665" s="395"/>
      <c r="AJ665" s="395"/>
      <c r="AK665" s="395"/>
    </row>
    <row r="666">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c r="AA666" s="395"/>
      <c r="AB666" s="395"/>
      <c r="AC666" s="395"/>
      <c r="AD666" s="395"/>
      <c r="AE666" s="395"/>
      <c r="AF666" s="395"/>
      <c r="AG666" s="395"/>
      <c r="AH666" s="395"/>
      <c r="AI666" s="395"/>
      <c r="AJ666" s="395"/>
      <c r="AK666" s="395"/>
    </row>
    <row r="667">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c r="AA667" s="395"/>
      <c r="AB667" s="395"/>
      <c r="AC667" s="395"/>
      <c r="AD667" s="395"/>
      <c r="AE667" s="395"/>
      <c r="AF667" s="395"/>
      <c r="AG667" s="395"/>
      <c r="AH667" s="395"/>
      <c r="AI667" s="395"/>
      <c r="AJ667" s="395"/>
      <c r="AK667" s="395"/>
    </row>
    <row r="668">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c r="AA668" s="395"/>
      <c r="AB668" s="395"/>
      <c r="AC668" s="395"/>
      <c r="AD668" s="395"/>
      <c r="AE668" s="395"/>
      <c r="AF668" s="395"/>
      <c r="AG668" s="395"/>
      <c r="AH668" s="395"/>
      <c r="AI668" s="395"/>
      <c r="AJ668" s="395"/>
      <c r="AK668" s="395"/>
    </row>
    <row r="669">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c r="AA669" s="395"/>
      <c r="AB669" s="395"/>
      <c r="AC669" s="395"/>
      <c r="AD669" s="395"/>
      <c r="AE669" s="395"/>
      <c r="AF669" s="395"/>
      <c r="AG669" s="395"/>
      <c r="AH669" s="395"/>
      <c r="AI669" s="395"/>
      <c r="AJ669" s="395"/>
      <c r="AK669" s="395"/>
    </row>
    <row r="670">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c r="AA670" s="395"/>
      <c r="AB670" s="395"/>
      <c r="AC670" s="395"/>
      <c r="AD670" s="395"/>
      <c r="AE670" s="395"/>
      <c r="AF670" s="395"/>
      <c r="AG670" s="395"/>
      <c r="AH670" s="395"/>
      <c r="AI670" s="395"/>
      <c r="AJ670" s="395"/>
      <c r="AK670" s="395"/>
    </row>
    <row r="67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c r="AA671" s="395"/>
      <c r="AB671" s="395"/>
      <c r="AC671" s="395"/>
      <c r="AD671" s="395"/>
      <c r="AE671" s="395"/>
      <c r="AF671" s="395"/>
      <c r="AG671" s="395"/>
      <c r="AH671" s="395"/>
      <c r="AI671" s="395"/>
      <c r="AJ671" s="395"/>
      <c r="AK671" s="395"/>
    </row>
    <row r="672">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c r="AA672" s="395"/>
      <c r="AB672" s="395"/>
      <c r="AC672" s="395"/>
      <c r="AD672" s="395"/>
      <c r="AE672" s="395"/>
      <c r="AF672" s="395"/>
      <c r="AG672" s="395"/>
      <c r="AH672" s="395"/>
      <c r="AI672" s="395"/>
      <c r="AJ672" s="395"/>
      <c r="AK672" s="395"/>
    </row>
    <row r="673">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c r="AA673" s="395"/>
      <c r="AB673" s="395"/>
      <c r="AC673" s="395"/>
      <c r="AD673" s="395"/>
      <c r="AE673" s="395"/>
      <c r="AF673" s="395"/>
      <c r="AG673" s="395"/>
      <c r="AH673" s="395"/>
      <c r="AI673" s="395"/>
      <c r="AJ673" s="395"/>
      <c r="AK673" s="395"/>
    </row>
    <row r="674">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c r="AA674" s="395"/>
      <c r="AB674" s="395"/>
      <c r="AC674" s="395"/>
      <c r="AD674" s="395"/>
      <c r="AE674" s="395"/>
      <c r="AF674" s="395"/>
      <c r="AG674" s="395"/>
      <c r="AH674" s="395"/>
      <c r="AI674" s="395"/>
      <c r="AJ674" s="395"/>
      <c r="AK674" s="395"/>
    </row>
    <row r="675">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c r="AA675" s="395"/>
      <c r="AB675" s="395"/>
      <c r="AC675" s="395"/>
      <c r="AD675" s="395"/>
      <c r="AE675" s="395"/>
      <c r="AF675" s="395"/>
      <c r="AG675" s="395"/>
      <c r="AH675" s="395"/>
      <c r="AI675" s="395"/>
      <c r="AJ675" s="395"/>
      <c r="AK675" s="395"/>
    </row>
    <row r="676">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c r="AA676" s="395"/>
      <c r="AB676" s="395"/>
      <c r="AC676" s="395"/>
      <c r="AD676" s="395"/>
      <c r="AE676" s="395"/>
      <c r="AF676" s="395"/>
      <c r="AG676" s="395"/>
      <c r="AH676" s="395"/>
      <c r="AI676" s="395"/>
      <c r="AJ676" s="395"/>
      <c r="AK676" s="395"/>
    </row>
    <row r="677">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c r="AA677" s="395"/>
      <c r="AB677" s="395"/>
      <c r="AC677" s="395"/>
      <c r="AD677" s="395"/>
      <c r="AE677" s="395"/>
      <c r="AF677" s="395"/>
      <c r="AG677" s="395"/>
      <c r="AH677" s="395"/>
      <c r="AI677" s="395"/>
      <c r="AJ677" s="395"/>
      <c r="AK677" s="395"/>
    </row>
    <row r="678">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c r="AA678" s="395"/>
      <c r="AB678" s="395"/>
      <c r="AC678" s="395"/>
      <c r="AD678" s="395"/>
      <c r="AE678" s="395"/>
      <c r="AF678" s="395"/>
      <c r="AG678" s="395"/>
      <c r="AH678" s="395"/>
      <c r="AI678" s="395"/>
      <c r="AJ678" s="395"/>
      <c r="AK678" s="395"/>
    </row>
    <row r="679">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c r="AA679" s="395"/>
      <c r="AB679" s="395"/>
      <c r="AC679" s="395"/>
      <c r="AD679" s="395"/>
      <c r="AE679" s="395"/>
      <c r="AF679" s="395"/>
      <c r="AG679" s="395"/>
      <c r="AH679" s="395"/>
      <c r="AI679" s="395"/>
      <c r="AJ679" s="395"/>
      <c r="AK679" s="395"/>
    </row>
    <row r="680">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c r="AA680" s="395"/>
      <c r="AB680" s="395"/>
      <c r="AC680" s="395"/>
      <c r="AD680" s="395"/>
      <c r="AE680" s="395"/>
      <c r="AF680" s="395"/>
      <c r="AG680" s="395"/>
      <c r="AH680" s="395"/>
      <c r="AI680" s="395"/>
      <c r="AJ680" s="395"/>
      <c r="AK680" s="395"/>
    </row>
    <row r="68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c r="AA681" s="395"/>
      <c r="AB681" s="395"/>
      <c r="AC681" s="395"/>
      <c r="AD681" s="395"/>
      <c r="AE681" s="395"/>
      <c r="AF681" s="395"/>
      <c r="AG681" s="395"/>
      <c r="AH681" s="395"/>
      <c r="AI681" s="395"/>
      <c r="AJ681" s="395"/>
      <c r="AK681" s="395"/>
    </row>
    <row r="682">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c r="AA682" s="395"/>
      <c r="AB682" s="395"/>
      <c r="AC682" s="395"/>
      <c r="AD682" s="395"/>
      <c r="AE682" s="395"/>
      <c r="AF682" s="395"/>
      <c r="AG682" s="395"/>
      <c r="AH682" s="395"/>
      <c r="AI682" s="395"/>
      <c r="AJ682" s="395"/>
      <c r="AK682" s="395"/>
    </row>
    <row r="683">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c r="AA683" s="395"/>
      <c r="AB683" s="395"/>
      <c r="AC683" s="395"/>
      <c r="AD683" s="395"/>
      <c r="AE683" s="395"/>
      <c r="AF683" s="395"/>
      <c r="AG683" s="395"/>
      <c r="AH683" s="395"/>
      <c r="AI683" s="395"/>
      <c r="AJ683" s="395"/>
      <c r="AK683" s="395"/>
    </row>
    <row r="684">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c r="AA684" s="395"/>
      <c r="AB684" s="395"/>
      <c r="AC684" s="395"/>
      <c r="AD684" s="395"/>
      <c r="AE684" s="395"/>
      <c r="AF684" s="395"/>
      <c r="AG684" s="395"/>
      <c r="AH684" s="395"/>
      <c r="AI684" s="395"/>
      <c r="AJ684" s="395"/>
      <c r="AK684" s="395"/>
    </row>
    <row r="685">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c r="AA685" s="395"/>
      <c r="AB685" s="395"/>
      <c r="AC685" s="395"/>
      <c r="AD685" s="395"/>
      <c r="AE685" s="395"/>
      <c r="AF685" s="395"/>
      <c r="AG685" s="395"/>
      <c r="AH685" s="395"/>
      <c r="AI685" s="395"/>
      <c r="AJ685" s="395"/>
      <c r="AK685" s="395"/>
    </row>
    <row r="686">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c r="AA686" s="395"/>
      <c r="AB686" s="395"/>
      <c r="AC686" s="395"/>
      <c r="AD686" s="395"/>
      <c r="AE686" s="395"/>
      <c r="AF686" s="395"/>
      <c r="AG686" s="395"/>
      <c r="AH686" s="395"/>
      <c r="AI686" s="395"/>
      <c r="AJ686" s="395"/>
      <c r="AK686" s="395"/>
    </row>
    <row r="687">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c r="AA687" s="395"/>
      <c r="AB687" s="395"/>
      <c r="AC687" s="395"/>
      <c r="AD687" s="395"/>
      <c r="AE687" s="395"/>
      <c r="AF687" s="395"/>
      <c r="AG687" s="395"/>
      <c r="AH687" s="395"/>
      <c r="AI687" s="395"/>
      <c r="AJ687" s="395"/>
      <c r="AK687" s="395"/>
    </row>
    <row r="688">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c r="AA688" s="395"/>
      <c r="AB688" s="395"/>
      <c r="AC688" s="395"/>
      <c r="AD688" s="395"/>
      <c r="AE688" s="395"/>
      <c r="AF688" s="395"/>
      <c r="AG688" s="395"/>
      <c r="AH688" s="395"/>
      <c r="AI688" s="395"/>
      <c r="AJ688" s="395"/>
      <c r="AK688" s="395"/>
    </row>
    <row r="689">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c r="AA689" s="395"/>
      <c r="AB689" s="395"/>
      <c r="AC689" s="395"/>
      <c r="AD689" s="395"/>
      <c r="AE689" s="395"/>
      <c r="AF689" s="395"/>
      <c r="AG689" s="395"/>
      <c r="AH689" s="395"/>
      <c r="AI689" s="395"/>
      <c r="AJ689" s="395"/>
      <c r="AK689" s="395"/>
    </row>
    <row r="690">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c r="AA690" s="395"/>
      <c r="AB690" s="395"/>
      <c r="AC690" s="395"/>
      <c r="AD690" s="395"/>
      <c r="AE690" s="395"/>
      <c r="AF690" s="395"/>
      <c r="AG690" s="395"/>
      <c r="AH690" s="395"/>
      <c r="AI690" s="395"/>
      <c r="AJ690" s="395"/>
      <c r="AK690" s="395"/>
    </row>
    <row r="69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c r="AA691" s="395"/>
      <c r="AB691" s="395"/>
      <c r="AC691" s="395"/>
      <c r="AD691" s="395"/>
      <c r="AE691" s="395"/>
      <c r="AF691" s="395"/>
      <c r="AG691" s="395"/>
      <c r="AH691" s="395"/>
      <c r="AI691" s="395"/>
      <c r="AJ691" s="395"/>
      <c r="AK691" s="395"/>
    </row>
    <row r="692">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c r="AA692" s="395"/>
      <c r="AB692" s="395"/>
      <c r="AC692" s="395"/>
      <c r="AD692" s="395"/>
      <c r="AE692" s="395"/>
      <c r="AF692" s="395"/>
      <c r="AG692" s="395"/>
      <c r="AH692" s="395"/>
      <c r="AI692" s="395"/>
      <c r="AJ692" s="395"/>
      <c r="AK692" s="395"/>
    </row>
    <row r="693">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c r="AA693" s="395"/>
      <c r="AB693" s="395"/>
      <c r="AC693" s="395"/>
      <c r="AD693" s="395"/>
      <c r="AE693" s="395"/>
      <c r="AF693" s="395"/>
      <c r="AG693" s="395"/>
      <c r="AH693" s="395"/>
      <c r="AI693" s="395"/>
      <c r="AJ693" s="395"/>
      <c r="AK693" s="395"/>
    </row>
    <row r="694">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c r="AA694" s="395"/>
      <c r="AB694" s="395"/>
      <c r="AC694" s="395"/>
      <c r="AD694" s="395"/>
      <c r="AE694" s="395"/>
      <c r="AF694" s="395"/>
      <c r="AG694" s="395"/>
      <c r="AH694" s="395"/>
      <c r="AI694" s="395"/>
      <c r="AJ694" s="395"/>
      <c r="AK694" s="395"/>
    </row>
    <row r="695">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c r="AA695" s="395"/>
      <c r="AB695" s="395"/>
      <c r="AC695" s="395"/>
      <c r="AD695" s="395"/>
      <c r="AE695" s="395"/>
      <c r="AF695" s="395"/>
      <c r="AG695" s="395"/>
      <c r="AH695" s="395"/>
      <c r="AI695" s="395"/>
      <c r="AJ695" s="395"/>
      <c r="AK695" s="395"/>
    </row>
    <row r="696">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c r="AA696" s="395"/>
      <c r="AB696" s="395"/>
      <c r="AC696" s="395"/>
      <c r="AD696" s="395"/>
      <c r="AE696" s="395"/>
      <c r="AF696" s="395"/>
      <c r="AG696" s="395"/>
      <c r="AH696" s="395"/>
      <c r="AI696" s="395"/>
      <c r="AJ696" s="395"/>
      <c r="AK696" s="395"/>
    </row>
    <row r="697">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c r="AA697" s="395"/>
      <c r="AB697" s="395"/>
      <c r="AC697" s="395"/>
      <c r="AD697" s="395"/>
      <c r="AE697" s="395"/>
      <c r="AF697" s="395"/>
      <c r="AG697" s="395"/>
      <c r="AH697" s="395"/>
      <c r="AI697" s="395"/>
      <c r="AJ697" s="395"/>
      <c r="AK697" s="395"/>
    </row>
    <row r="698">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c r="AA698" s="395"/>
      <c r="AB698" s="395"/>
      <c r="AC698" s="395"/>
      <c r="AD698" s="395"/>
      <c r="AE698" s="395"/>
      <c r="AF698" s="395"/>
      <c r="AG698" s="395"/>
      <c r="AH698" s="395"/>
      <c r="AI698" s="395"/>
      <c r="AJ698" s="395"/>
      <c r="AK698" s="395"/>
    </row>
    <row r="699">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c r="AA699" s="395"/>
      <c r="AB699" s="395"/>
      <c r="AC699" s="395"/>
      <c r="AD699" s="395"/>
      <c r="AE699" s="395"/>
      <c r="AF699" s="395"/>
      <c r="AG699" s="395"/>
      <c r="AH699" s="395"/>
      <c r="AI699" s="395"/>
      <c r="AJ699" s="395"/>
      <c r="AK699" s="395"/>
    </row>
    <row r="700">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c r="AA700" s="395"/>
      <c r="AB700" s="395"/>
      <c r="AC700" s="395"/>
      <c r="AD700" s="395"/>
      <c r="AE700" s="395"/>
      <c r="AF700" s="395"/>
      <c r="AG700" s="395"/>
      <c r="AH700" s="395"/>
      <c r="AI700" s="395"/>
      <c r="AJ700" s="395"/>
      <c r="AK700" s="395"/>
    </row>
    <row r="70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c r="AA701" s="395"/>
      <c r="AB701" s="395"/>
      <c r="AC701" s="395"/>
      <c r="AD701" s="395"/>
      <c r="AE701" s="395"/>
      <c r="AF701" s="395"/>
      <c r="AG701" s="395"/>
      <c r="AH701" s="395"/>
      <c r="AI701" s="395"/>
      <c r="AJ701" s="395"/>
      <c r="AK701" s="395"/>
    </row>
    <row r="702">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c r="AA702" s="395"/>
      <c r="AB702" s="395"/>
      <c r="AC702" s="395"/>
      <c r="AD702" s="395"/>
      <c r="AE702" s="395"/>
      <c r="AF702" s="395"/>
      <c r="AG702" s="395"/>
      <c r="AH702" s="395"/>
      <c r="AI702" s="395"/>
      <c r="AJ702" s="395"/>
      <c r="AK702" s="395"/>
    </row>
    <row r="703">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c r="AA703" s="395"/>
      <c r="AB703" s="395"/>
      <c r="AC703" s="395"/>
      <c r="AD703" s="395"/>
      <c r="AE703" s="395"/>
      <c r="AF703" s="395"/>
      <c r="AG703" s="395"/>
      <c r="AH703" s="395"/>
      <c r="AI703" s="395"/>
      <c r="AJ703" s="395"/>
      <c r="AK703" s="395"/>
    </row>
    <row r="704">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c r="AA704" s="395"/>
      <c r="AB704" s="395"/>
      <c r="AC704" s="395"/>
      <c r="AD704" s="395"/>
      <c r="AE704" s="395"/>
      <c r="AF704" s="395"/>
      <c r="AG704" s="395"/>
      <c r="AH704" s="395"/>
      <c r="AI704" s="395"/>
      <c r="AJ704" s="395"/>
      <c r="AK704" s="395"/>
    </row>
    <row r="705">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c r="AA705" s="395"/>
      <c r="AB705" s="395"/>
      <c r="AC705" s="395"/>
      <c r="AD705" s="395"/>
      <c r="AE705" s="395"/>
      <c r="AF705" s="395"/>
      <c r="AG705" s="395"/>
      <c r="AH705" s="395"/>
      <c r="AI705" s="395"/>
      <c r="AJ705" s="395"/>
      <c r="AK705" s="395"/>
    </row>
    <row r="706">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c r="AA706" s="395"/>
      <c r="AB706" s="395"/>
      <c r="AC706" s="395"/>
      <c r="AD706" s="395"/>
      <c r="AE706" s="395"/>
      <c r="AF706" s="395"/>
      <c r="AG706" s="395"/>
      <c r="AH706" s="395"/>
      <c r="AI706" s="395"/>
      <c r="AJ706" s="395"/>
      <c r="AK706" s="395"/>
    </row>
    <row r="707">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c r="AA707" s="395"/>
      <c r="AB707" s="395"/>
      <c r="AC707" s="395"/>
      <c r="AD707" s="395"/>
      <c r="AE707" s="395"/>
      <c r="AF707" s="395"/>
      <c r="AG707" s="395"/>
      <c r="AH707" s="395"/>
      <c r="AI707" s="395"/>
      <c r="AJ707" s="395"/>
      <c r="AK707" s="395"/>
    </row>
    <row r="708">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c r="AA708" s="395"/>
      <c r="AB708" s="395"/>
      <c r="AC708" s="395"/>
      <c r="AD708" s="395"/>
      <c r="AE708" s="395"/>
      <c r="AF708" s="395"/>
      <c r="AG708" s="395"/>
      <c r="AH708" s="395"/>
      <c r="AI708" s="395"/>
      <c r="AJ708" s="395"/>
      <c r="AK708" s="395"/>
    </row>
    <row r="709">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c r="AA709" s="395"/>
      <c r="AB709" s="395"/>
      <c r="AC709" s="395"/>
      <c r="AD709" s="395"/>
      <c r="AE709" s="395"/>
      <c r="AF709" s="395"/>
      <c r="AG709" s="395"/>
      <c r="AH709" s="395"/>
      <c r="AI709" s="395"/>
      <c r="AJ709" s="395"/>
      <c r="AK709" s="395"/>
    </row>
    <row r="710">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c r="AA710" s="395"/>
      <c r="AB710" s="395"/>
      <c r="AC710" s="395"/>
      <c r="AD710" s="395"/>
      <c r="AE710" s="395"/>
      <c r="AF710" s="395"/>
      <c r="AG710" s="395"/>
      <c r="AH710" s="395"/>
      <c r="AI710" s="395"/>
      <c r="AJ710" s="395"/>
      <c r="AK710" s="395"/>
    </row>
    <row r="71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c r="AA711" s="395"/>
      <c r="AB711" s="395"/>
      <c r="AC711" s="395"/>
      <c r="AD711" s="395"/>
      <c r="AE711" s="395"/>
      <c r="AF711" s="395"/>
      <c r="AG711" s="395"/>
      <c r="AH711" s="395"/>
      <c r="AI711" s="395"/>
      <c r="AJ711" s="395"/>
      <c r="AK711" s="395"/>
    </row>
    <row r="712">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c r="AA712" s="395"/>
      <c r="AB712" s="395"/>
      <c r="AC712" s="395"/>
      <c r="AD712" s="395"/>
      <c r="AE712" s="395"/>
      <c r="AF712" s="395"/>
      <c r="AG712" s="395"/>
      <c r="AH712" s="395"/>
      <c r="AI712" s="395"/>
      <c r="AJ712" s="395"/>
      <c r="AK712" s="395"/>
    </row>
    <row r="713">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c r="AA713" s="395"/>
      <c r="AB713" s="395"/>
      <c r="AC713" s="395"/>
      <c r="AD713" s="395"/>
      <c r="AE713" s="395"/>
      <c r="AF713" s="395"/>
      <c r="AG713" s="395"/>
      <c r="AH713" s="395"/>
      <c r="AI713" s="395"/>
      <c r="AJ713" s="395"/>
      <c r="AK713" s="395"/>
    </row>
    <row r="714">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c r="AA714" s="395"/>
      <c r="AB714" s="395"/>
      <c r="AC714" s="395"/>
      <c r="AD714" s="395"/>
      <c r="AE714" s="395"/>
      <c r="AF714" s="395"/>
      <c r="AG714" s="395"/>
      <c r="AH714" s="395"/>
      <c r="AI714" s="395"/>
      <c r="AJ714" s="395"/>
      <c r="AK714" s="395"/>
    </row>
    <row r="715">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c r="AA715" s="395"/>
      <c r="AB715" s="395"/>
      <c r="AC715" s="395"/>
      <c r="AD715" s="395"/>
      <c r="AE715" s="395"/>
      <c r="AF715" s="395"/>
      <c r="AG715" s="395"/>
      <c r="AH715" s="395"/>
      <c r="AI715" s="395"/>
      <c r="AJ715" s="395"/>
      <c r="AK715" s="395"/>
    </row>
    <row r="716">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c r="AA716" s="395"/>
      <c r="AB716" s="395"/>
      <c r="AC716" s="395"/>
      <c r="AD716" s="395"/>
      <c r="AE716" s="395"/>
      <c r="AF716" s="395"/>
      <c r="AG716" s="395"/>
      <c r="AH716" s="395"/>
      <c r="AI716" s="395"/>
      <c r="AJ716" s="395"/>
      <c r="AK716" s="395"/>
    </row>
    <row r="717">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c r="AA717" s="395"/>
      <c r="AB717" s="395"/>
      <c r="AC717" s="395"/>
      <c r="AD717" s="395"/>
      <c r="AE717" s="395"/>
      <c r="AF717" s="395"/>
      <c r="AG717" s="395"/>
      <c r="AH717" s="395"/>
      <c r="AI717" s="395"/>
      <c r="AJ717" s="395"/>
      <c r="AK717" s="395"/>
    </row>
    <row r="718">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c r="AA718" s="395"/>
      <c r="AB718" s="395"/>
      <c r="AC718" s="395"/>
      <c r="AD718" s="395"/>
      <c r="AE718" s="395"/>
      <c r="AF718" s="395"/>
      <c r="AG718" s="395"/>
      <c r="AH718" s="395"/>
      <c r="AI718" s="395"/>
      <c r="AJ718" s="395"/>
      <c r="AK718" s="395"/>
    </row>
    <row r="719">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c r="AA719" s="395"/>
      <c r="AB719" s="395"/>
      <c r="AC719" s="395"/>
      <c r="AD719" s="395"/>
      <c r="AE719" s="395"/>
      <c r="AF719" s="395"/>
      <c r="AG719" s="395"/>
      <c r="AH719" s="395"/>
      <c r="AI719" s="395"/>
      <c r="AJ719" s="395"/>
      <c r="AK719" s="395"/>
    </row>
    <row r="720">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c r="AA720" s="395"/>
      <c r="AB720" s="395"/>
      <c r="AC720" s="395"/>
      <c r="AD720" s="395"/>
      <c r="AE720" s="395"/>
      <c r="AF720" s="395"/>
      <c r="AG720" s="395"/>
      <c r="AH720" s="395"/>
      <c r="AI720" s="395"/>
      <c r="AJ720" s="395"/>
      <c r="AK720" s="395"/>
    </row>
    <row r="72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c r="AA721" s="395"/>
      <c r="AB721" s="395"/>
      <c r="AC721" s="395"/>
      <c r="AD721" s="395"/>
      <c r="AE721" s="395"/>
      <c r="AF721" s="395"/>
      <c r="AG721" s="395"/>
      <c r="AH721" s="395"/>
      <c r="AI721" s="395"/>
      <c r="AJ721" s="395"/>
      <c r="AK721" s="395"/>
    </row>
    <row r="722">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c r="AA722" s="395"/>
      <c r="AB722" s="395"/>
      <c r="AC722" s="395"/>
      <c r="AD722" s="395"/>
      <c r="AE722" s="395"/>
      <c r="AF722" s="395"/>
      <c r="AG722" s="395"/>
      <c r="AH722" s="395"/>
      <c r="AI722" s="395"/>
      <c r="AJ722" s="395"/>
      <c r="AK722" s="395"/>
    </row>
    <row r="723">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c r="AA723" s="395"/>
      <c r="AB723" s="395"/>
      <c r="AC723" s="395"/>
      <c r="AD723" s="395"/>
      <c r="AE723" s="395"/>
      <c r="AF723" s="395"/>
      <c r="AG723" s="395"/>
      <c r="AH723" s="395"/>
      <c r="AI723" s="395"/>
      <c r="AJ723" s="395"/>
      <c r="AK723" s="395"/>
    </row>
    <row r="724">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c r="AA724" s="395"/>
      <c r="AB724" s="395"/>
      <c r="AC724" s="395"/>
      <c r="AD724" s="395"/>
      <c r="AE724" s="395"/>
      <c r="AF724" s="395"/>
      <c r="AG724" s="395"/>
      <c r="AH724" s="395"/>
      <c r="AI724" s="395"/>
      <c r="AJ724" s="395"/>
      <c r="AK724" s="395"/>
    </row>
    <row r="725">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c r="AA725" s="395"/>
      <c r="AB725" s="395"/>
      <c r="AC725" s="395"/>
      <c r="AD725" s="395"/>
      <c r="AE725" s="395"/>
      <c r="AF725" s="395"/>
      <c r="AG725" s="395"/>
      <c r="AH725" s="395"/>
      <c r="AI725" s="395"/>
      <c r="AJ725" s="395"/>
      <c r="AK725" s="395"/>
    </row>
    <row r="726">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c r="AA726" s="395"/>
      <c r="AB726" s="395"/>
      <c r="AC726" s="395"/>
      <c r="AD726" s="395"/>
      <c r="AE726" s="395"/>
      <c r="AF726" s="395"/>
      <c r="AG726" s="395"/>
      <c r="AH726" s="395"/>
      <c r="AI726" s="395"/>
      <c r="AJ726" s="395"/>
      <c r="AK726" s="395"/>
    </row>
    <row r="727">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c r="AA727" s="395"/>
      <c r="AB727" s="395"/>
      <c r="AC727" s="395"/>
      <c r="AD727" s="395"/>
      <c r="AE727" s="395"/>
      <c r="AF727" s="395"/>
      <c r="AG727" s="395"/>
      <c r="AH727" s="395"/>
      <c r="AI727" s="395"/>
      <c r="AJ727" s="395"/>
      <c r="AK727" s="395"/>
    </row>
    <row r="728">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c r="AA728" s="395"/>
      <c r="AB728" s="395"/>
      <c r="AC728" s="395"/>
      <c r="AD728" s="395"/>
      <c r="AE728" s="395"/>
      <c r="AF728" s="395"/>
      <c r="AG728" s="395"/>
      <c r="AH728" s="395"/>
      <c r="AI728" s="395"/>
      <c r="AJ728" s="395"/>
      <c r="AK728" s="395"/>
    </row>
    <row r="729">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c r="AA729" s="395"/>
      <c r="AB729" s="395"/>
      <c r="AC729" s="395"/>
      <c r="AD729" s="395"/>
      <c r="AE729" s="395"/>
      <c r="AF729" s="395"/>
      <c r="AG729" s="395"/>
      <c r="AH729" s="395"/>
      <c r="AI729" s="395"/>
      <c r="AJ729" s="395"/>
      <c r="AK729" s="395"/>
    </row>
    <row r="730">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c r="AA730" s="395"/>
      <c r="AB730" s="395"/>
      <c r="AC730" s="395"/>
      <c r="AD730" s="395"/>
      <c r="AE730" s="395"/>
      <c r="AF730" s="395"/>
      <c r="AG730" s="395"/>
      <c r="AH730" s="395"/>
      <c r="AI730" s="395"/>
      <c r="AJ730" s="395"/>
      <c r="AK730" s="395"/>
    </row>
    <row r="73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c r="AA731" s="395"/>
      <c r="AB731" s="395"/>
      <c r="AC731" s="395"/>
      <c r="AD731" s="395"/>
      <c r="AE731" s="395"/>
      <c r="AF731" s="395"/>
      <c r="AG731" s="395"/>
      <c r="AH731" s="395"/>
      <c r="AI731" s="395"/>
      <c r="AJ731" s="395"/>
      <c r="AK731" s="395"/>
    </row>
    <row r="732">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c r="AA732" s="395"/>
      <c r="AB732" s="395"/>
      <c r="AC732" s="395"/>
      <c r="AD732" s="395"/>
      <c r="AE732" s="395"/>
      <c r="AF732" s="395"/>
      <c r="AG732" s="395"/>
      <c r="AH732" s="395"/>
      <c r="AI732" s="395"/>
      <c r="AJ732" s="395"/>
      <c r="AK732" s="395"/>
    </row>
    <row r="733">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c r="AA733" s="395"/>
      <c r="AB733" s="395"/>
      <c r="AC733" s="395"/>
      <c r="AD733" s="395"/>
      <c r="AE733" s="395"/>
      <c r="AF733" s="395"/>
      <c r="AG733" s="395"/>
      <c r="AH733" s="395"/>
      <c r="AI733" s="395"/>
      <c r="AJ733" s="395"/>
      <c r="AK733" s="395"/>
    </row>
    <row r="734">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c r="AA734" s="395"/>
      <c r="AB734" s="395"/>
      <c r="AC734" s="395"/>
      <c r="AD734" s="395"/>
      <c r="AE734" s="395"/>
      <c r="AF734" s="395"/>
      <c r="AG734" s="395"/>
      <c r="AH734" s="395"/>
      <c r="AI734" s="395"/>
      <c r="AJ734" s="395"/>
      <c r="AK734" s="395"/>
    </row>
    <row r="735">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c r="AA735" s="395"/>
      <c r="AB735" s="395"/>
      <c r="AC735" s="395"/>
      <c r="AD735" s="395"/>
      <c r="AE735" s="395"/>
      <c r="AF735" s="395"/>
      <c r="AG735" s="395"/>
      <c r="AH735" s="395"/>
      <c r="AI735" s="395"/>
      <c r="AJ735" s="395"/>
      <c r="AK735" s="395"/>
    </row>
    <row r="736">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c r="AA736" s="395"/>
      <c r="AB736" s="395"/>
      <c r="AC736" s="395"/>
      <c r="AD736" s="395"/>
      <c r="AE736" s="395"/>
      <c r="AF736" s="395"/>
      <c r="AG736" s="395"/>
      <c r="AH736" s="395"/>
      <c r="AI736" s="395"/>
      <c r="AJ736" s="395"/>
      <c r="AK736" s="395"/>
    </row>
    <row r="737">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c r="AA737" s="395"/>
      <c r="AB737" s="395"/>
      <c r="AC737" s="395"/>
      <c r="AD737" s="395"/>
      <c r="AE737" s="395"/>
      <c r="AF737" s="395"/>
      <c r="AG737" s="395"/>
      <c r="AH737" s="395"/>
      <c r="AI737" s="395"/>
      <c r="AJ737" s="395"/>
      <c r="AK737" s="395"/>
    </row>
    <row r="738">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c r="AA738" s="395"/>
      <c r="AB738" s="395"/>
      <c r="AC738" s="395"/>
      <c r="AD738" s="395"/>
      <c r="AE738" s="395"/>
      <c r="AF738" s="395"/>
      <c r="AG738" s="395"/>
      <c r="AH738" s="395"/>
      <c r="AI738" s="395"/>
      <c r="AJ738" s="395"/>
      <c r="AK738" s="395"/>
    </row>
    <row r="739">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c r="AA739" s="395"/>
      <c r="AB739" s="395"/>
      <c r="AC739" s="395"/>
      <c r="AD739" s="395"/>
      <c r="AE739" s="395"/>
      <c r="AF739" s="395"/>
      <c r="AG739" s="395"/>
      <c r="AH739" s="395"/>
      <c r="AI739" s="395"/>
      <c r="AJ739" s="395"/>
      <c r="AK739" s="395"/>
    </row>
    <row r="740">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c r="AA740" s="395"/>
      <c r="AB740" s="395"/>
      <c r="AC740" s="395"/>
      <c r="AD740" s="395"/>
      <c r="AE740" s="395"/>
      <c r="AF740" s="395"/>
      <c r="AG740" s="395"/>
      <c r="AH740" s="395"/>
      <c r="AI740" s="395"/>
      <c r="AJ740" s="395"/>
      <c r="AK740" s="395"/>
    </row>
    <row r="74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c r="AA741" s="395"/>
      <c r="AB741" s="395"/>
      <c r="AC741" s="395"/>
      <c r="AD741" s="395"/>
      <c r="AE741" s="395"/>
      <c r="AF741" s="395"/>
      <c r="AG741" s="395"/>
      <c r="AH741" s="395"/>
      <c r="AI741" s="395"/>
      <c r="AJ741" s="395"/>
      <c r="AK741" s="395"/>
    </row>
    <row r="742">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c r="AA742" s="395"/>
      <c r="AB742" s="395"/>
      <c r="AC742" s="395"/>
      <c r="AD742" s="395"/>
      <c r="AE742" s="395"/>
      <c r="AF742" s="395"/>
      <c r="AG742" s="395"/>
      <c r="AH742" s="395"/>
      <c r="AI742" s="395"/>
      <c r="AJ742" s="395"/>
      <c r="AK742" s="395"/>
    </row>
    <row r="743">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c r="AA743" s="395"/>
      <c r="AB743" s="395"/>
      <c r="AC743" s="395"/>
      <c r="AD743" s="395"/>
      <c r="AE743" s="395"/>
      <c r="AF743" s="395"/>
      <c r="AG743" s="395"/>
      <c r="AH743" s="395"/>
      <c r="AI743" s="395"/>
      <c r="AJ743" s="395"/>
      <c r="AK743" s="395"/>
    </row>
    <row r="744">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c r="AA744" s="395"/>
      <c r="AB744" s="395"/>
      <c r="AC744" s="395"/>
      <c r="AD744" s="395"/>
      <c r="AE744" s="395"/>
      <c r="AF744" s="395"/>
      <c r="AG744" s="395"/>
      <c r="AH744" s="395"/>
      <c r="AI744" s="395"/>
      <c r="AJ744" s="395"/>
      <c r="AK744" s="395"/>
    </row>
    <row r="745">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c r="AA745" s="395"/>
      <c r="AB745" s="395"/>
      <c r="AC745" s="395"/>
      <c r="AD745" s="395"/>
      <c r="AE745" s="395"/>
      <c r="AF745" s="395"/>
      <c r="AG745" s="395"/>
      <c r="AH745" s="395"/>
      <c r="AI745" s="395"/>
      <c r="AJ745" s="395"/>
      <c r="AK745" s="395"/>
    </row>
    <row r="746">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c r="AA746" s="395"/>
      <c r="AB746" s="395"/>
      <c r="AC746" s="395"/>
      <c r="AD746" s="395"/>
      <c r="AE746" s="395"/>
      <c r="AF746" s="395"/>
      <c r="AG746" s="395"/>
      <c r="AH746" s="395"/>
      <c r="AI746" s="395"/>
      <c r="AJ746" s="395"/>
      <c r="AK746" s="395"/>
    </row>
    <row r="747">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c r="AA747" s="395"/>
      <c r="AB747" s="395"/>
      <c r="AC747" s="395"/>
      <c r="AD747" s="395"/>
      <c r="AE747" s="395"/>
      <c r="AF747" s="395"/>
      <c r="AG747" s="395"/>
      <c r="AH747" s="395"/>
      <c r="AI747" s="395"/>
      <c r="AJ747" s="395"/>
      <c r="AK747" s="395"/>
    </row>
    <row r="748">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c r="AA748" s="395"/>
      <c r="AB748" s="395"/>
      <c r="AC748" s="395"/>
      <c r="AD748" s="395"/>
      <c r="AE748" s="395"/>
      <c r="AF748" s="395"/>
      <c r="AG748" s="395"/>
      <c r="AH748" s="395"/>
      <c r="AI748" s="395"/>
      <c r="AJ748" s="395"/>
      <c r="AK748" s="395"/>
    </row>
    <row r="749">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c r="AA749" s="395"/>
      <c r="AB749" s="395"/>
      <c r="AC749" s="395"/>
      <c r="AD749" s="395"/>
      <c r="AE749" s="395"/>
      <c r="AF749" s="395"/>
      <c r="AG749" s="395"/>
      <c r="AH749" s="395"/>
      <c r="AI749" s="395"/>
      <c r="AJ749" s="395"/>
      <c r="AK749" s="395"/>
    </row>
    <row r="750">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c r="AA750" s="395"/>
      <c r="AB750" s="395"/>
      <c r="AC750" s="395"/>
      <c r="AD750" s="395"/>
      <c r="AE750" s="395"/>
      <c r="AF750" s="395"/>
      <c r="AG750" s="395"/>
      <c r="AH750" s="395"/>
      <c r="AI750" s="395"/>
      <c r="AJ750" s="395"/>
      <c r="AK750" s="395"/>
    </row>
    <row r="75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c r="AA751" s="395"/>
      <c r="AB751" s="395"/>
      <c r="AC751" s="395"/>
      <c r="AD751" s="395"/>
      <c r="AE751" s="395"/>
      <c r="AF751" s="395"/>
      <c r="AG751" s="395"/>
      <c r="AH751" s="395"/>
      <c r="AI751" s="395"/>
      <c r="AJ751" s="395"/>
      <c r="AK751" s="395"/>
    </row>
    <row r="752">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c r="AA752" s="395"/>
      <c r="AB752" s="395"/>
      <c r="AC752" s="395"/>
      <c r="AD752" s="395"/>
      <c r="AE752" s="395"/>
      <c r="AF752" s="395"/>
      <c r="AG752" s="395"/>
      <c r="AH752" s="395"/>
      <c r="AI752" s="395"/>
      <c r="AJ752" s="395"/>
      <c r="AK752" s="395"/>
    </row>
    <row r="753">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c r="AA753" s="395"/>
      <c r="AB753" s="395"/>
      <c r="AC753" s="395"/>
      <c r="AD753" s="395"/>
      <c r="AE753" s="395"/>
      <c r="AF753" s="395"/>
      <c r="AG753" s="395"/>
      <c r="AH753" s="395"/>
      <c r="AI753" s="395"/>
      <c r="AJ753" s="395"/>
      <c r="AK753" s="395"/>
    </row>
    <row r="754">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c r="AA754" s="395"/>
      <c r="AB754" s="395"/>
      <c r="AC754" s="395"/>
      <c r="AD754" s="395"/>
      <c r="AE754" s="395"/>
      <c r="AF754" s="395"/>
      <c r="AG754" s="395"/>
      <c r="AH754" s="395"/>
      <c r="AI754" s="395"/>
      <c r="AJ754" s="395"/>
      <c r="AK754" s="395"/>
    </row>
    <row r="755">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c r="AA755" s="395"/>
      <c r="AB755" s="395"/>
      <c r="AC755" s="395"/>
      <c r="AD755" s="395"/>
      <c r="AE755" s="395"/>
      <c r="AF755" s="395"/>
      <c r="AG755" s="395"/>
      <c r="AH755" s="395"/>
      <c r="AI755" s="395"/>
      <c r="AJ755" s="395"/>
      <c r="AK755" s="395"/>
    </row>
    <row r="756">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c r="AA756" s="395"/>
      <c r="AB756" s="395"/>
      <c r="AC756" s="395"/>
      <c r="AD756" s="395"/>
      <c r="AE756" s="395"/>
      <c r="AF756" s="395"/>
      <c r="AG756" s="395"/>
      <c r="AH756" s="395"/>
      <c r="AI756" s="395"/>
      <c r="AJ756" s="395"/>
      <c r="AK756" s="395"/>
    </row>
    <row r="757">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c r="AA757" s="395"/>
      <c r="AB757" s="395"/>
      <c r="AC757" s="395"/>
      <c r="AD757" s="395"/>
      <c r="AE757" s="395"/>
      <c r="AF757" s="395"/>
      <c r="AG757" s="395"/>
      <c r="AH757" s="395"/>
      <c r="AI757" s="395"/>
      <c r="AJ757" s="395"/>
      <c r="AK757" s="395"/>
    </row>
    <row r="758">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c r="AA758" s="395"/>
      <c r="AB758" s="395"/>
      <c r="AC758" s="395"/>
      <c r="AD758" s="395"/>
      <c r="AE758" s="395"/>
      <c r="AF758" s="395"/>
      <c r="AG758" s="395"/>
      <c r="AH758" s="395"/>
      <c r="AI758" s="395"/>
      <c r="AJ758" s="395"/>
      <c r="AK758" s="395"/>
    </row>
    <row r="759">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c r="AA759" s="395"/>
      <c r="AB759" s="395"/>
      <c r="AC759" s="395"/>
      <c r="AD759" s="395"/>
      <c r="AE759" s="395"/>
      <c r="AF759" s="395"/>
      <c r="AG759" s="395"/>
      <c r="AH759" s="395"/>
      <c r="AI759" s="395"/>
      <c r="AJ759" s="395"/>
      <c r="AK759" s="395"/>
    </row>
    <row r="760">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c r="AA760" s="395"/>
      <c r="AB760" s="395"/>
      <c r="AC760" s="395"/>
      <c r="AD760" s="395"/>
      <c r="AE760" s="395"/>
      <c r="AF760" s="395"/>
      <c r="AG760" s="395"/>
      <c r="AH760" s="395"/>
      <c r="AI760" s="395"/>
      <c r="AJ760" s="395"/>
      <c r="AK760" s="395"/>
    </row>
    <row r="76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c r="AA761" s="395"/>
      <c r="AB761" s="395"/>
      <c r="AC761" s="395"/>
      <c r="AD761" s="395"/>
      <c r="AE761" s="395"/>
      <c r="AF761" s="395"/>
      <c r="AG761" s="395"/>
      <c r="AH761" s="395"/>
      <c r="AI761" s="395"/>
      <c r="AJ761" s="395"/>
      <c r="AK761" s="395"/>
    </row>
    <row r="762">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c r="AA762" s="395"/>
      <c r="AB762" s="395"/>
      <c r="AC762" s="395"/>
      <c r="AD762" s="395"/>
      <c r="AE762" s="395"/>
      <c r="AF762" s="395"/>
      <c r="AG762" s="395"/>
      <c r="AH762" s="395"/>
      <c r="AI762" s="395"/>
      <c r="AJ762" s="395"/>
      <c r="AK762" s="395"/>
    </row>
    <row r="763">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c r="AA763" s="395"/>
      <c r="AB763" s="395"/>
      <c r="AC763" s="395"/>
      <c r="AD763" s="395"/>
      <c r="AE763" s="395"/>
      <c r="AF763" s="395"/>
      <c r="AG763" s="395"/>
      <c r="AH763" s="395"/>
      <c r="AI763" s="395"/>
      <c r="AJ763" s="395"/>
      <c r="AK763" s="395"/>
    </row>
    <row r="764">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c r="AA764" s="395"/>
      <c r="AB764" s="395"/>
      <c r="AC764" s="395"/>
      <c r="AD764" s="395"/>
      <c r="AE764" s="395"/>
      <c r="AF764" s="395"/>
      <c r="AG764" s="395"/>
      <c r="AH764" s="395"/>
      <c r="AI764" s="395"/>
      <c r="AJ764" s="395"/>
      <c r="AK764" s="395"/>
    </row>
    <row r="765">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c r="AA765" s="395"/>
      <c r="AB765" s="395"/>
      <c r="AC765" s="395"/>
      <c r="AD765" s="395"/>
      <c r="AE765" s="395"/>
      <c r="AF765" s="395"/>
      <c r="AG765" s="395"/>
      <c r="AH765" s="395"/>
      <c r="AI765" s="395"/>
      <c r="AJ765" s="395"/>
      <c r="AK765" s="395"/>
    </row>
    <row r="766">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c r="AA766" s="395"/>
      <c r="AB766" s="395"/>
      <c r="AC766" s="395"/>
      <c r="AD766" s="395"/>
      <c r="AE766" s="395"/>
      <c r="AF766" s="395"/>
      <c r="AG766" s="395"/>
      <c r="AH766" s="395"/>
      <c r="AI766" s="395"/>
      <c r="AJ766" s="395"/>
      <c r="AK766" s="395"/>
    </row>
    <row r="767">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c r="AA767" s="395"/>
      <c r="AB767" s="395"/>
      <c r="AC767" s="395"/>
      <c r="AD767" s="395"/>
      <c r="AE767" s="395"/>
      <c r="AF767" s="395"/>
      <c r="AG767" s="395"/>
      <c r="AH767" s="395"/>
      <c r="AI767" s="395"/>
      <c r="AJ767" s="395"/>
      <c r="AK767" s="395"/>
    </row>
    <row r="768">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c r="AA768" s="395"/>
      <c r="AB768" s="395"/>
      <c r="AC768" s="395"/>
      <c r="AD768" s="395"/>
      <c r="AE768" s="395"/>
      <c r="AF768" s="395"/>
      <c r="AG768" s="395"/>
      <c r="AH768" s="395"/>
      <c r="AI768" s="395"/>
      <c r="AJ768" s="395"/>
      <c r="AK768" s="395"/>
    </row>
    <row r="769">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c r="AA769" s="395"/>
      <c r="AB769" s="395"/>
      <c r="AC769" s="395"/>
      <c r="AD769" s="395"/>
      <c r="AE769" s="395"/>
      <c r="AF769" s="395"/>
      <c r="AG769" s="395"/>
      <c r="AH769" s="395"/>
      <c r="AI769" s="395"/>
      <c r="AJ769" s="395"/>
      <c r="AK769" s="395"/>
    </row>
    <row r="770">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c r="AA770" s="395"/>
      <c r="AB770" s="395"/>
      <c r="AC770" s="395"/>
      <c r="AD770" s="395"/>
      <c r="AE770" s="395"/>
      <c r="AF770" s="395"/>
      <c r="AG770" s="395"/>
      <c r="AH770" s="395"/>
      <c r="AI770" s="395"/>
      <c r="AJ770" s="395"/>
      <c r="AK770" s="395"/>
    </row>
    <row r="77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c r="AA771" s="395"/>
      <c r="AB771" s="395"/>
      <c r="AC771" s="395"/>
      <c r="AD771" s="395"/>
      <c r="AE771" s="395"/>
      <c r="AF771" s="395"/>
      <c r="AG771" s="395"/>
      <c r="AH771" s="395"/>
      <c r="AI771" s="395"/>
      <c r="AJ771" s="395"/>
      <c r="AK771" s="395"/>
    </row>
    <row r="772">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c r="AA772" s="395"/>
      <c r="AB772" s="395"/>
      <c r="AC772" s="395"/>
      <c r="AD772" s="395"/>
      <c r="AE772" s="395"/>
      <c r="AF772" s="395"/>
      <c r="AG772" s="395"/>
      <c r="AH772" s="395"/>
      <c r="AI772" s="395"/>
      <c r="AJ772" s="395"/>
      <c r="AK772" s="395"/>
    </row>
    <row r="773">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c r="AA773" s="395"/>
      <c r="AB773" s="395"/>
      <c r="AC773" s="395"/>
      <c r="AD773" s="395"/>
      <c r="AE773" s="395"/>
      <c r="AF773" s="395"/>
      <c r="AG773" s="395"/>
      <c r="AH773" s="395"/>
      <c r="AI773" s="395"/>
      <c r="AJ773" s="395"/>
      <c r="AK773" s="395"/>
    </row>
    <row r="774">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c r="AA774" s="395"/>
      <c r="AB774" s="395"/>
      <c r="AC774" s="395"/>
      <c r="AD774" s="395"/>
      <c r="AE774" s="395"/>
      <c r="AF774" s="395"/>
      <c r="AG774" s="395"/>
      <c r="AH774" s="395"/>
      <c r="AI774" s="395"/>
      <c r="AJ774" s="395"/>
      <c r="AK774" s="395"/>
    </row>
    <row r="775">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c r="AA775" s="395"/>
      <c r="AB775" s="395"/>
      <c r="AC775" s="395"/>
      <c r="AD775" s="395"/>
      <c r="AE775" s="395"/>
      <c r="AF775" s="395"/>
      <c r="AG775" s="395"/>
      <c r="AH775" s="395"/>
      <c r="AI775" s="395"/>
      <c r="AJ775" s="395"/>
      <c r="AK775" s="395"/>
    </row>
    <row r="776">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c r="AA776" s="395"/>
      <c r="AB776" s="395"/>
      <c r="AC776" s="395"/>
      <c r="AD776" s="395"/>
      <c r="AE776" s="395"/>
      <c r="AF776" s="395"/>
      <c r="AG776" s="395"/>
      <c r="AH776" s="395"/>
      <c r="AI776" s="395"/>
      <c r="AJ776" s="395"/>
      <c r="AK776" s="395"/>
    </row>
    <row r="777">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c r="AA777" s="395"/>
      <c r="AB777" s="395"/>
      <c r="AC777" s="395"/>
      <c r="AD777" s="395"/>
      <c r="AE777" s="395"/>
      <c r="AF777" s="395"/>
      <c r="AG777" s="395"/>
      <c r="AH777" s="395"/>
      <c r="AI777" s="395"/>
      <c r="AJ777" s="395"/>
      <c r="AK777" s="395"/>
    </row>
    <row r="778">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c r="AA778" s="395"/>
      <c r="AB778" s="395"/>
      <c r="AC778" s="395"/>
      <c r="AD778" s="395"/>
      <c r="AE778" s="395"/>
      <c r="AF778" s="395"/>
      <c r="AG778" s="395"/>
      <c r="AH778" s="395"/>
      <c r="AI778" s="395"/>
      <c r="AJ778" s="395"/>
      <c r="AK778" s="395"/>
    </row>
    <row r="779">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c r="AA779" s="395"/>
      <c r="AB779" s="395"/>
      <c r="AC779" s="395"/>
      <c r="AD779" s="395"/>
      <c r="AE779" s="395"/>
      <c r="AF779" s="395"/>
      <c r="AG779" s="395"/>
      <c r="AH779" s="395"/>
      <c r="AI779" s="395"/>
      <c r="AJ779" s="395"/>
      <c r="AK779" s="395"/>
    </row>
    <row r="780">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c r="AA780" s="395"/>
      <c r="AB780" s="395"/>
      <c r="AC780" s="395"/>
      <c r="AD780" s="395"/>
      <c r="AE780" s="395"/>
      <c r="AF780" s="395"/>
      <c r="AG780" s="395"/>
      <c r="AH780" s="395"/>
      <c r="AI780" s="395"/>
      <c r="AJ780" s="395"/>
      <c r="AK780" s="395"/>
    </row>
    <row r="78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c r="AA781" s="395"/>
      <c r="AB781" s="395"/>
      <c r="AC781" s="395"/>
      <c r="AD781" s="395"/>
      <c r="AE781" s="395"/>
      <c r="AF781" s="395"/>
      <c r="AG781" s="395"/>
      <c r="AH781" s="395"/>
      <c r="AI781" s="395"/>
      <c r="AJ781" s="395"/>
      <c r="AK781" s="395"/>
    </row>
    <row r="782">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c r="AA782" s="395"/>
      <c r="AB782" s="395"/>
      <c r="AC782" s="395"/>
      <c r="AD782" s="395"/>
      <c r="AE782" s="395"/>
      <c r="AF782" s="395"/>
      <c r="AG782" s="395"/>
      <c r="AH782" s="395"/>
      <c r="AI782" s="395"/>
      <c r="AJ782" s="395"/>
      <c r="AK782" s="395"/>
    </row>
    <row r="783">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c r="AA783" s="395"/>
      <c r="AB783" s="395"/>
      <c r="AC783" s="395"/>
      <c r="AD783" s="395"/>
      <c r="AE783" s="395"/>
      <c r="AF783" s="395"/>
      <c r="AG783" s="395"/>
      <c r="AH783" s="395"/>
      <c r="AI783" s="395"/>
      <c r="AJ783" s="395"/>
      <c r="AK783" s="395"/>
    </row>
    <row r="784">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c r="AA784" s="395"/>
      <c r="AB784" s="395"/>
      <c r="AC784" s="395"/>
      <c r="AD784" s="395"/>
      <c r="AE784" s="395"/>
      <c r="AF784" s="395"/>
      <c r="AG784" s="395"/>
      <c r="AH784" s="395"/>
      <c r="AI784" s="395"/>
      <c r="AJ784" s="395"/>
      <c r="AK784" s="395"/>
    </row>
    <row r="785">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c r="AA785" s="395"/>
      <c r="AB785" s="395"/>
      <c r="AC785" s="395"/>
      <c r="AD785" s="395"/>
      <c r="AE785" s="395"/>
      <c r="AF785" s="395"/>
      <c r="AG785" s="395"/>
      <c r="AH785" s="395"/>
      <c r="AI785" s="395"/>
      <c r="AJ785" s="395"/>
      <c r="AK785" s="395"/>
    </row>
    <row r="786">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c r="AA786" s="395"/>
      <c r="AB786" s="395"/>
      <c r="AC786" s="395"/>
      <c r="AD786" s="395"/>
      <c r="AE786" s="395"/>
      <c r="AF786" s="395"/>
      <c r="AG786" s="395"/>
      <c r="AH786" s="395"/>
      <c r="AI786" s="395"/>
      <c r="AJ786" s="395"/>
      <c r="AK786" s="395"/>
    </row>
    <row r="787">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c r="AA787" s="395"/>
      <c r="AB787" s="395"/>
      <c r="AC787" s="395"/>
      <c r="AD787" s="395"/>
      <c r="AE787" s="395"/>
      <c r="AF787" s="395"/>
      <c r="AG787" s="395"/>
      <c r="AH787" s="395"/>
      <c r="AI787" s="395"/>
      <c r="AJ787" s="395"/>
      <c r="AK787" s="395"/>
    </row>
    <row r="788">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c r="AA788" s="395"/>
      <c r="AB788" s="395"/>
      <c r="AC788" s="395"/>
      <c r="AD788" s="395"/>
      <c r="AE788" s="395"/>
      <c r="AF788" s="395"/>
      <c r="AG788" s="395"/>
      <c r="AH788" s="395"/>
      <c r="AI788" s="395"/>
      <c r="AJ788" s="395"/>
      <c r="AK788" s="395"/>
    </row>
    <row r="789">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c r="AA789" s="395"/>
      <c r="AB789" s="395"/>
      <c r="AC789" s="395"/>
      <c r="AD789" s="395"/>
      <c r="AE789" s="395"/>
      <c r="AF789" s="395"/>
      <c r="AG789" s="395"/>
      <c r="AH789" s="395"/>
      <c r="AI789" s="395"/>
      <c r="AJ789" s="395"/>
      <c r="AK789" s="395"/>
    </row>
    <row r="790">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c r="AA790" s="395"/>
      <c r="AB790" s="395"/>
      <c r="AC790" s="395"/>
      <c r="AD790" s="395"/>
      <c r="AE790" s="395"/>
      <c r="AF790" s="395"/>
      <c r="AG790" s="395"/>
      <c r="AH790" s="395"/>
      <c r="AI790" s="395"/>
      <c r="AJ790" s="395"/>
      <c r="AK790" s="395"/>
    </row>
    <row r="79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c r="AA791" s="395"/>
      <c r="AB791" s="395"/>
      <c r="AC791" s="395"/>
      <c r="AD791" s="395"/>
      <c r="AE791" s="395"/>
      <c r="AF791" s="395"/>
      <c r="AG791" s="395"/>
      <c r="AH791" s="395"/>
      <c r="AI791" s="395"/>
      <c r="AJ791" s="395"/>
      <c r="AK791" s="395"/>
    </row>
    <row r="792">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c r="AA792" s="395"/>
      <c r="AB792" s="395"/>
      <c r="AC792" s="395"/>
      <c r="AD792" s="395"/>
      <c r="AE792" s="395"/>
      <c r="AF792" s="395"/>
      <c r="AG792" s="395"/>
      <c r="AH792" s="395"/>
      <c r="AI792" s="395"/>
      <c r="AJ792" s="395"/>
      <c r="AK792" s="395"/>
    </row>
    <row r="793">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c r="AA793" s="395"/>
      <c r="AB793" s="395"/>
      <c r="AC793" s="395"/>
      <c r="AD793" s="395"/>
      <c r="AE793" s="395"/>
      <c r="AF793" s="395"/>
      <c r="AG793" s="395"/>
      <c r="AH793" s="395"/>
      <c r="AI793" s="395"/>
      <c r="AJ793" s="395"/>
      <c r="AK793" s="395"/>
    </row>
    <row r="794">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c r="AA794" s="395"/>
      <c r="AB794" s="395"/>
      <c r="AC794" s="395"/>
      <c r="AD794" s="395"/>
      <c r="AE794" s="395"/>
      <c r="AF794" s="395"/>
      <c r="AG794" s="395"/>
      <c r="AH794" s="395"/>
      <c r="AI794" s="395"/>
      <c r="AJ794" s="395"/>
      <c r="AK794" s="395"/>
    </row>
    <row r="795">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c r="AA795" s="395"/>
      <c r="AB795" s="395"/>
      <c r="AC795" s="395"/>
      <c r="AD795" s="395"/>
      <c r="AE795" s="395"/>
      <c r="AF795" s="395"/>
      <c r="AG795" s="395"/>
      <c r="AH795" s="395"/>
      <c r="AI795" s="395"/>
      <c r="AJ795" s="395"/>
      <c r="AK795" s="395"/>
    </row>
    <row r="796">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c r="AA796" s="395"/>
      <c r="AB796" s="395"/>
      <c r="AC796" s="395"/>
      <c r="AD796" s="395"/>
      <c r="AE796" s="395"/>
      <c r="AF796" s="395"/>
      <c r="AG796" s="395"/>
      <c r="AH796" s="395"/>
      <c r="AI796" s="395"/>
      <c r="AJ796" s="395"/>
      <c r="AK796" s="395"/>
    </row>
    <row r="797">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c r="AA797" s="395"/>
      <c r="AB797" s="395"/>
      <c r="AC797" s="395"/>
      <c r="AD797" s="395"/>
      <c r="AE797" s="395"/>
      <c r="AF797" s="395"/>
      <c r="AG797" s="395"/>
      <c r="AH797" s="395"/>
      <c r="AI797" s="395"/>
      <c r="AJ797" s="395"/>
      <c r="AK797" s="395"/>
    </row>
    <row r="798">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c r="AA798" s="395"/>
      <c r="AB798" s="395"/>
      <c r="AC798" s="395"/>
      <c r="AD798" s="395"/>
      <c r="AE798" s="395"/>
      <c r="AF798" s="395"/>
      <c r="AG798" s="395"/>
      <c r="AH798" s="395"/>
      <c r="AI798" s="395"/>
      <c r="AJ798" s="395"/>
      <c r="AK798" s="395"/>
    </row>
    <row r="799">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c r="AA799" s="395"/>
      <c r="AB799" s="395"/>
      <c r="AC799" s="395"/>
      <c r="AD799" s="395"/>
      <c r="AE799" s="395"/>
      <c r="AF799" s="395"/>
      <c r="AG799" s="395"/>
      <c r="AH799" s="395"/>
      <c r="AI799" s="395"/>
      <c r="AJ799" s="395"/>
      <c r="AK799" s="395"/>
    </row>
    <row r="800">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c r="AA800" s="395"/>
      <c r="AB800" s="395"/>
      <c r="AC800" s="395"/>
      <c r="AD800" s="395"/>
      <c r="AE800" s="395"/>
      <c r="AF800" s="395"/>
      <c r="AG800" s="395"/>
      <c r="AH800" s="395"/>
      <c r="AI800" s="395"/>
      <c r="AJ800" s="395"/>
      <c r="AK800" s="395"/>
    </row>
    <row r="80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c r="AA801" s="395"/>
      <c r="AB801" s="395"/>
      <c r="AC801" s="395"/>
      <c r="AD801" s="395"/>
      <c r="AE801" s="395"/>
      <c r="AF801" s="395"/>
      <c r="AG801" s="395"/>
      <c r="AH801" s="395"/>
      <c r="AI801" s="395"/>
      <c r="AJ801" s="395"/>
      <c r="AK801" s="395"/>
    </row>
    <row r="802">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c r="AA802" s="395"/>
      <c r="AB802" s="395"/>
      <c r="AC802" s="395"/>
      <c r="AD802" s="395"/>
      <c r="AE802" s="395"/>
      <c r="AF802" s="395"/>
      <c r="AG802" s="395"/>
      <c r="AH802" s="395"/>
      <c r="AI802" s="395"/>
      <c r="AJ802" s="395"/>
      <c r="AK802" s="395"/>
    </row>
    <row r="803">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c r="AA803" s="395"/>
      <c r="AB803" s="395"/>
      <c r="AC803" s="395"/>
      <c r="AD803" s="395"/>
      <c r="AE803" s="395"/>
      <c r="AF803" s="395"/>
      <c r="AG803" s="395"/>
      <c r="AH803" s="395"/>
      <c r="AI803" s="395"/>
      <c r="AJ803" s="395"/>
      <c r="AK803" s="395"/>
    </row>
    <row r="804">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c r="AA804" s="395"/>
      <c r="AB804" s="395"/>
      <c r="AC804" s="395"/>
      <c r="AD804" s="395"/>
      <c r="AE804" s="395"/>
      <c r="AF804" s="395"/>
      <c r="AG804" s="395"/>
      <c r="AH804" s="395"/>
      <c r="AI804" s="395"/>
      <c r="AJ804" s="395"/>
      <c r="AK804" s="395"/>
    </row>
    <row r="805">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c r="AA805" s="395"/>
      <c r="AB805" s="395"/>
      <c r="AC805" s="395"/>
      <c r="AD805" s="395"/>
      <c r="AE805" s="395"/>
      <c r="AF805" s="395"/>
      <c r="AG805" s="395"/>
      <c r="AH805" s="395"/>
      <c r="AI805" s="395"/>
      <c r="AJ805" s="395"/>
      <c r="AK805" s="395"/>
    </row>
    <row r="806">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c r="AA806" s="395"/>
      <c r="AB806" s="395"/>
      <c r="AC806" s="395"/>
      <c r="AD806" s="395"/>
      <c r="AE806" s="395"/>
      <c r="AF806" s="395"/>
      <c r="AG806" s="395"/>
      <c r="AH806" s="395"/>
      <c r="AI806" s="395"/>
      <c r="AJ806" s="395"/>
      <c r="AK806" s="395"/>
    </row>
    <row r="807">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c r="AA807" s="395"/>
      <c r="AB807" s="395"/>
      <c r="AC807" s="395"/>
      <c r="AD807" s="395"/>
      <c r="AE807" s="395"/>
      <c r="AF807" s="395"/>
      <c r="AG807" s="395"/>
      <c r="AH807" s="395"/>
      <c r="AI807" s="395"/>
      <c r="AJ807" s="395"/>
      <c r="AK807" s="395"/>
    </row>
    <row r="808">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c r="AA808" s="395"/>
      <c r="AB808" s="395"/>
      <c r="AC808" s="395"/>
      <c r="AD808" s="395"/>
      <c r="AE808" s="395"/>
      <c r="AF808" s="395"/>
      <c r="AG808" s="395"/>
      <c r="AH808" s="395"/>
      <c r="AI808" s="395"/>
      <c r="AJ808" s="395"/>
      <c r="AK808" s="395"/>
    </row>
    <row r="809">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c r="AA809" s="395"/>
      <c r="AB809" s="395"/>
      <c r="AC809" s="395"/>
      <c r="AD809" s="395"/>
      <c r="AE809" s="395"/>
      <c r="AF809" s="395"/>
      <c r="AG809" s="395"/>
      <c r="AH809" s="395"/>
      <c r="AI809" s="395"/>
      <c r="AJ809" s="395"/>
      <c r="AK809" s="395"/>
    </row>
    <row r="810">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c r="AA810" s="395"/>
      <c r="AB810" s="395"/>
      <c r="AC810" s="395"/>
      <c r="AD810" s="395"/>
      <c r="AE810" s="395"/>
      <c r="AF810" s="395"/>
      <c r="AG810" s="395"/>
      <c r="AH810" s="395"/>
      <c r="AI810" s="395"/>
      <c r="AJ810" s="395"/>
      <c r="AK810" s="395"/>
    </row>
    <row r="81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c r="AA811" s="395"/>
      <c r="AB811" s="395"/>
      <c r="AC811" s="395"/>
      <c r="AD811" s="395"/>
      <c r="AE811" s="395"/>
      <c r="AF811" s="395"/>
      <c r="AG811" s="395"/>
      <c r="AH811" s="395"/>
      <c r="AI811" s="395"/>
      <c r="AJ811" s="395"/>
      <c r="AK811" s="395"/>
    </row>
    <row r="812">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c r="AA812" s="395"/>
      <c r="AB812" s="395"/>
      <c r="AC812" s="395"/>
      <c r="AD812" s="395"/>
      <c r="AE812" s="395"/>
      <c r="AF812" s="395"/>
      <c r="AG812" s="395"/>
      <c r="AH812" s="395"/>
      <c r="AI812" s="395"/>
      <c r="AJ812" s="395"/>
      <c r="AK812" s="395"/>
    </row>
    <row r="813">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c r="AA813" s="395"/>
      <c r="AB813" s="395"/>
      <c r="AC813" s="395"/>
      <c r="AD813" s="395"/>
      <c r="AE813" s="395"/>
      <c r="AF813" s="395"/>
      <c r="AG813" s="395"/>
      <c r="AH813" s="395"/>
      <c r="AI813" s="395"/>
      <c r="AJ813" s="395"/>
      <c r="AK813" s="395"/>
    </row>
    <row r="814">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c r="AA814" s="395"/>
      <c r="AB814" s="395"/>
      <c r="AC814" s="395"/>
      <c r="AD814" s="395"/>
      <c r="AE814" s="395"/>
      <c r="AF814" s="395"/>
      <c r="AG814" s="395"/>
      <c r="AH814" s="395"/>
      <c r="AI814" s="395"/>
      <c r="AJ814" s="395"/>
      <c r="AK814" s="395"/>
    </row>
    <row r="815">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c r="AA815" s="395"/>
      <c r="AB815" s="395"/>
      <c r="AC815" s="395"/>
      <c r="AD815" s="395"/>
      <c r="AE815" s="395"/>
      <c r="AF815" s="395"/>
      <c r="AG815" s="395"/>
      <c r="AH815" s="395"/>
      <c r="AI815" s="395"/>
      <c r="AJ815" s="395"/>
      <c r="AK815" s="395"/>
    </row>
    <row r="816">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c r="AA816" s="395"/>
      <c r="AB816" s="395"/>
      <c r="AC816" s="395"/>
      <c r="AD816" s="395"/>
      <c r="AE816" s="395"/>
      <c r="AF816" s="395"/>
      <c r="AG816" s="395"/>
      <c r="AH816" s="395"/>
      <c r="AI816" s="395"/>
      <c r="AJ816" s="395"/>
      <c r="AK816" s="395"/>
    </row>
    <row r="817">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c r="AA817" s="395"/>
      <c r="AB817" s="395"/>
      <c r="AC817" s="395"/>
      <c r="AD817" s="395"/>
      <c r="AE817" s="395"/>
      <c r="AF817" s="395"/>
      <c r="AG817" s="395"/>
      <c r="AH817" s="395"/>
      <c r="AI817" s="395"/>
      <c r="AJ817" s="395"/>
      <c r="AK817" s="395"/>
    </row>
    <row r="818">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c r="AA818" s="395"/>
      <c r="AB818" s="395"/>
      <c r="AC818" s="395"/>
      <c r="AD818" s="395"/>
      <c r="AE818" s="395"/>
      <c r="AF818" s="395"/>
      <c r="AG818" s="395"/>
      <c r="AH818" s="395"/>
      <c r="AI818" s="395"/>
      <c r="AJ818" s="395"/>
      <c r="AK818" s="395"/>
    </row>
    <row r="819">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c r="AA819" s="395"/>
      <c r="AB819" s="395"/>
      <c r="AC819" s="395"/>
      <c r="AD819" s="395"/>
      <c r="AE819" s="395"/>
      <c r="AF819" s="395"/>
      <c r="AG819" s="395"/>
      <c r="AH819" s="395"/>
      <c r="AI819" s="395"/>
      <c r="AJ819" s="395"/>
      <c r="AK819" s="395"/>
    </row>
    <row r="820">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c r="AA820" s="395"/>
      <c r="AB820" s="395"/>
      <c r="AC820" s="395"/>
      <c r="AD820" s="395"/>
      <c r="AE820" s="395"/>
      <c r="AF820" s="395"/>
      <c r="AG820" s="395"/>
      <c r="AH820" s="395"/>
      <c r="AI820" s="395"/>
      <c r="AJ820" s="395"/>
      <c r="AK820" s="395"/>
    </row>
    <row r="82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c r="AA821" s="395"/>
      <c r="AB821" s="395"/>
      <c r="AC821" s="395"/>
      <c r="AD821" s="395"/>
      <c r="AE821" s="395"/>
      <c r="AF821" s="395"/>
      <c r="AG821" s="395"/>
      <c r="AH821" s="395"/>
      <c r="AI821" s="395"/>
      <c r="AJ821" s="395"/>
      <c r="AK821" s="395"/>
    </row>
    <row r="822">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c r="AA822" s="395"/>
      <c r="AB822" s="395"/>
      <c r="AC822" s="395"/>
      <c r="AD822" s="395"/>
      <c r="AE822" s="395"/>
      <c r="AF822" s="395"/>
      <c r="AG822" s="395"/>
      <c r="AH822" s="395"/>
      <c r="AI822" s="395"/>
      <c r="AJ822" s="395"/>
      <c r="AK822" s="395"/>
    </row>
    <row r="823">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c r="AA823" s="395"/>
      <c r="AB823" s="395"/>
      <c r="AC823" s="395"/>
      <c r="AD823" s="395"/>
      <c r="AE823" s="395"/>
      <c r="AF823" s="395"/>
      <c r="AG823" s="395"/>
      <c r="AH823" s="395"/>
      <c r="AI823" s="395"/>
      <c r="AJ823" s="395"/>
      <c r="AK823" s="395"/>
    </row>
    <row r="824">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c r="AA824" s="395"/>
      <c r="AB824" s="395"/>
      <c r="AC824" s="395"/>
      <c r="AD824" s="395"/>
      <c r="AE824" s="395"/>
      <c r="AF824" s="395"/>
      <c r="AG824" s="395"/>
      <c r="AH824" s="395"/>
      <c r="AI824" s="395"/>
      <c r="AJ824" s="395"/>
      <c r="AK824" s="395"/>
    </row>
    <row r="825">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c r="AA825" s="395"/>
      <c r="AB825" s="395"/>
      <c r="AC825" s="395"/>
      <c r="AD825" s="395"/>
      <c r="AE825" s="395"/>
      <c r="AF825" s="395"/>
      <c r="AG825" s="395"/>
      <c r="AH825" s="395"/>
      <c r="AI825" s="395"/>
      <c r="AJ825" s="395"/>
      <c r="AK825" s="395"/>
    </row>
    <row r="826">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c r="AA826" s="395"/>
      <c r="AB826" s="395"/>
      <c r="AC826" s="395"/>
      <c r="AD826" s="395"/>
      <c r="AE826" s="395"/>
      <c r="AF826" s="395"/>
      <c r="AG826" s="395"/>
      <c r="AH826" s="395"/>
      <c r="AI826" s="395"/>
      <c r="AJ826" s="395"/>
      <c r="AK826" s="395"/>
    </row>
    <row r="827">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c r="AA827" s="395"/>
      <c r="AB827" s="395"/>
      <c r="AC827" s="395"/>
      <c r="AD827" s="395"/>
      <c r="AE827" s="395"/>
      <c r="AF827" s="395"/>
      <c r="AG827" s="395"/>
      <c r="AH827" s="395"/>
      <c r="AI827" s="395"/>
      <c r="AJ827" s="395"/>
      <c r="AK827" s="395"/>
    </row>
    <row r="828">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c r="AA828" s="395"/>
      <c r="AB828" s="395"/>
      <c r="AC828" s="395"/>
      <c r="AD828" s="395"/>
      <c r="AE828" s="395"/>
      <c r="AF828" s="395"/>
      <c r="AG828" s="395"/>
      <c r="AH828" s="395"/>
      <c r="AI828" s="395"/>
      <c r="AJ828" s="395"/>
      <c r="AK828" s="395"/>
    </row>
    <row r="829">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c r="AA829" s="395"/>
      <c r="AB829" s="395"/>
      <c r="AC829" s="395"/>
      <c r="AD829" s="395"/>
      <c r="AE829" s="395"/>
      <c r="AF829" s="395"/>
      <c r="AG829" s="395"/>
      <c r="AH829" s="395"/>
      <c r="AI829" s="395"/>
      <c r="AJ829" s="395"/>
      <c r="AK829" s="395"/>
    </row>
    <row r="830">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c r="AA830" s="395"/>
      <c r="AB830" s="395"/>
      <c r="AC830" s="395"/>
      <c r="AD830" s="395"/>
      <c r="AE830" s="395"/>
      <c r="AF830" s="395"/>
      <c r="AG830" s="395"/>
      <c r="AH830" s="395"/>
      <c r="AI830" s="395"/>
      <c r="AJ830" s="395"/>
      <c r="AK830" s="395"/>
    </row>
    <row r="83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c r="AA831" s="395"/>
      <c r="AB831" s="395"/>
      <c r="AC831" s="395"/>
      <c r="AD831" s="395"/>
      <c r="AE831" s="395"/>
      <c r="AF831" s="395"/>
      <c r="AG831" s="395"/>
      <c r="AH831" s="395"/>
      <c r="AI831" s="395"/>
      <c r="AJ831" s="395"/>
      <c r="AK831" s="395"/>
    </row>
    <row r="832">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c r="AA832" s="395"/>
      <c r="AB832" s="395"/>
      <c r="AC832" s="395"/>
      <c r="AD832" s="395"/>
      <c r="AE832" s="395"/>
      <c r="AF832" s="395"/>
      <c r="AG832" s="395"/>
      <c r="AH832" s="395"/>
      <c r="AI832" s="395"/>
      <c r="AJ832" s="395"/>
      <c r="AK832" s="395"/>
    </row>
    <row r="833">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c r="AA833" s="395"/>
      <c r="AB833" s="395"/>
      <c r="AC833" s="395"/>
      <c r="AD833" s="395"/>
      <c r="AE833" s="395"/>
      <c r="AF833" s="395"/>
      <c r="AG833" s="395"/>
      <c r="AH833" s="395"/>
      <c r="AI833" s="395"/>
      <c r="AJ833" s="395"/>
      <c r="AK833" s="395"/>
    </row>
    <row r="834">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c r="AA834" s="395"/>
      <c r="AB834" s="395"/>
      <c r="AC834" s="395"/>
      <c r="AD834" s="395"/>
      <c r="AE834" s="395"/>
      <c r="AF834" s="395"/>
      <c r="AG834" s="395"/>
      <c r="AH834" s="395"/>
      <c r="AI834" s="395"/>
      <c r="AJ834" s="395"/>
      <c r="AK834" s="395"/>
    </row>
    <row r="835">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c r="AA835" s="395"/>
      <c r="AB835" s="395"/>
      <c r="AC835" s="395"/>
      <c r="AD835" s="395"/>
      <c r="AE835" s="395"/>
      <c r="AF835" s="395"/>
      <c r="AG835" s="395"/>
      <c r="AH835" s="395"/>
      <c r="AI835" s="395"/>
      <c r="AJ835" s="395"/>
      <c r="AK835" s="395"/>
    </row>
    <row r="836">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c r="AA836" s="395"/>
      <c r="AB836" s="395"/>
      <c r="AC836" s="395"/>
      <c r="AD836" s="395"/>
      <c r="AE836" s="395"/>
      <c r="AF836" s="395"/>
      <c r="AG836" s="395"/>
      <c r="AH836" s="395"/>
      <c r="AI836" s="395"/>
      <c r="AJ836" s="395"/>
      <c r="AK836" s="395"/>
    </row>
    <row r="837">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c r="AA837" s="395"/>
      <c r="AB837" s="395"/>
      <c r="AC837" s="395"/>
      <c r="AD837" s="395"/>
      <c r="AE837" s="395"/>
      <c r="AF837" s="395"/>
      <c r="AG837" s="395"/>
      <c r="AH837" s="395"/>
      <c r="AI837" s="395"/>
      <c r="AJ837" s="395"/>
      <c r="AK837" s="395"/>
    </row>
    <row r="838">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c r="AA838" s="395"/>
      <c r="AB838" s="395"/>
      <c r="AC838" s="395"/>
      <c r="AD838" s="395"/>
      <c r="AE838" s="395"/>
      <c r="AF838" s="395"/>
      <c r="AG838" s="395"/>
      <c r="AH838" s="395"/>
      <c r="AI838" s="395"/>
      <c r="AJ838" s="395"/>
      <c r="AK838" s="395"/>
    </row>
    <row r="839">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c r="AA839" s="395"/>
      <c r="AB839" s="395"/>
      <c r="AC839" s="395"/>
      <c r="AD839" s="395"/>
      <c r="AE839" s="395"/>
      <c r="AF839" s="395"/>
      <c r="AG839" s="395"/>
      <c r="AH839" s="395"/>
      <c r="AI839" s="395"/>
      <c r="AJ839" s="395"/>
      <c r="AK839" s="395"/>
    </row>
    <row r="840">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c r="AA840" s="395"/>
      <c r="AB840" s="395"/>
      <c r="AC840" s="395"/>
      <c r="AD840" s="395"/>
      <c r="AE840" s="395"/>
      <c r="AF840" s="395"/>
      <c r="AG840" s="395"/>
      <c r="AH840" s="395"/>
      <c r="AI840" s="395"/>
      <c r="AJ840" s="395"/>
      <c r="AK840" s="395"/>
    </row>
    <row r="84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c r="AA841" s="395"/>
      <c r="AB841" s="395"/>
      <c r="AC841" s="395"/>
      <c r="AD841" s="395"/>
      <c r="AE841" s="395"/>
      <c r="AF841" s="395"/>
      <c r="AG841" s="395"/>
      <c r="AH841" s="395"/>
      <c r="AI841" s="395"/>
      <c r="AJ841" s="395"/>
      <c r="AK841" s="395"/>
    </row>
    <row r="842">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c r="AA842" s="395"/>
      <c r="AB842" s="395"/>
      <c r="AC842" s="395"/>
      <c r="AD842" s="395"/>
      <c r="AE842" s="395"/>
      <c r="AF842" s="395"/>
      <c r="AG842" s="395"/>
      <c r="AH842" s="395"/>
      <c r="AI842" s="395"/>
      <c r="AJ842" s="395"/>
      <c r="AK842" s="395"/>
    </row>
    <row r="843">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c r="AA843" s="395"/>
      <c r="AB843" s="395"/>
      <c r="AC843" s="395"/>
      <c r="AD843" s="395"/>
      <c r="AE843" s="395"/>
      <c r="AF843" s="395"/>
      <c r="AG843" s="395"/>
      <c r="AH843" s="395"/>
      <c r="AI843" s="395"/>
      <c r="AJ843" s="395"/>
      <c r="AK843" s="395"/>
    </row>
    <row r="844">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c r="AA844" s="395"/>
      <c r="AB844" s="395"/>
      <c r="AC844" s="395"/>
      <c r="AD844" s="395"/>
      <c r="AE844" s="395"/>
      <c r="AF844" s="395"/>
      <c r="AG844" s="395"/>
      <c r="AH844" s="395"/>
      <c r="AI844" s="395"/>
      <c r="AJ844" s="395"/>
      <c r="AK844" s="395"/>
    </row>
    <row r="845">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c r="AA845" s="395"/>
      <c r="AB845" s="395"/>
      <c r="AC845" s="395"/>
      <c r="AD845" s="395"/>
      <c r="AE845" s="395"/>
      <c r="AF845" s="395"/>
      <c r="AG845" s="395"/>
      <c r="AH845" s="395"/>
      <c r="AI845" s="395"/>
      <c r="AJ845" s="395"/>
      <c r="AK845" s="395"/>
    </row>
    <row r="846">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c r="AA846" s="395"/>
      <c r="AB846" s="395"/>
      <c r="AC846" s="395"/>
      <c r="AD846" s="395"/>
      <c r="AE846" s="395"/>
      <c r="AF846" s="395"/>
      <c r="AG846" s="395"/>
      <c r="AH846" s="395"/>
      <c r="AI846" s="395"/>
      <c r="AJ846" s="395"/>
      <c r="AK846" s="395"/>
    </row>
    <row r="847">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c r="AA847" s="395"/>
      <c r="AB847" s="395"/>
      <c r="AC847" s="395"/>
      <c r="AD847" s="395"/>
      <c r="AE847" s="395"/>
      <c r="AF847" s="395"/>
      <c r="AG847" s="395"/>
      <c r="AH847" s="395"/>
      <c r="AI847" s="395"/>
      <c r="AJ847" s="395"/>
      <c r="AK847" s="395"/>
    </row>
    <row r="848">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c r="AA848" s="395"/>
      <c r="AB848" s="395"/>
      <c r="AC848" s="395"/>
      <c r="AD848" s="395"/>
      <c r="AE848" s="395"/>
      <c r="AF848" s="395"/>
      <c r="AG848" s="395"/>
      <c r="AH848" s="395"/>
      <c r="AI848" s="395"/>
      <c r="AJ848" s="395"/>
      <c r="AK848" s="395"/>
    </row>
    <row r="849">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c r="AA849" s="395"/>
      <c r="AB849" s="395"/>
      <c r="AC849" s="395"/>
      <c r="AD849" s="395"/>
      <c r="AE849" s="395"/>
      <c r="AF849" s="395"/>
      <c r="AG849" s="395"/>
      <c r="AH849" s="395"/>
      <c r="AI849" s="395"/>
      <c r="AJ849" s="395"/>
      <c r="AK849" s="395"/>
    </row>
    <row r="850">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c r="AA850" s="395"/>
      <c r="AB850" s="395"/>
      <c r="AC850" s="395"/>
      <c r="AD850" s="395"/>
      <c r="AE850" s="395"/>
      <c r="AF850" s="395"/>
      <c r="AG850" s="395"/>
      <c r="AH850" s="395"/>
      <c r="AI850" s="395"/>
      <c r="AJ850" s="395"/>
      <c r="AK850" s="395"/>
    </row>
    <row r="85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c r="AA851" s="395"/>
      <c r="AB851" s="395"/>
      <c r="AC851" s="395"/>
      <c r="AD851" s="395"/>
      <c r="AE851" s="395"/>
      <c r="AF851" s="395"/>
      <c r="AG851" s="395"/>
      <c r="AH851" s="395"/>
      <c r="AI851" s="395"/>
      <c r="AJ851" s="395"/>
      <c r="AK851" s="395"/>
    </row>
    <row r="852">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c r="AA852" s="395"/>
      <c r="AB852" s="395"/>
      <c r="AC852" s="395"/>
      <c r="AD852" s="395"/>
      <c r="AE852" s="395"/>
      <c r="AF852" s="395"/>
      <c r="AG852" s="395"/>
      <c r="AH852" s="395"/>
      <c r="AI852" s="395"/>
      <c r="AJ852" s="395"/>
      <c r="AK852" s="395"/>
    </row>
    <row r="853">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c r="AA853" s="395"/>
      <c r="AB853" s="395"/>
      <c r="AC853" s="395"/>
      <c r="AD853" s="395"/>
      <c r="AE853" s="395"/>
      <c r="AF853" s="395"/>
      <c r="AG853" s="395"/>
      <c r="AH853" s="395"/>
      <c r="AI853" s="395"/>
      <c r="AJ853" s="395"/>
      <c r="AK853" s="395"/>
    </row>
    <row r="854">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c r="AA854" s="395"/>
      <c r="AB854" s="395"/>
      <c r="AC854" s="395"/>
      <c r="AD854" s="395"/>
      <c r="AE854" s="395"/>
      <c r="AF854" s="395"/>
      <c r="AG854" s="395"/>
      <c r="AH854" s="395"/>
      <c r="AI854" s="395"/>
      <c r="AJ854" s="395"/>
      <c r="AK854" s="395"/>
    </row>
    <row r="855">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c r="AA855" s="395"/>
      <c r="AB855" s="395"/>
      <c r="AC855" s="395"/>
      <c r="AD855" s="395"/>
      <c r="AE855" s="395"/>
      <c r="AF855" s="395"/>
      <c r="AG855" s="395"/>
      <c r="AH855" s="395"/>
      <c r="AI855" s="395"/>
      <c r="AJ855" s="395"/>
      <c r="AK855" s="395"/>
    </row>
    <row r="856">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c r="AA856" s="395"/>
      <c r="AB856" s="395"/>
      <c r="AC856" s="395"/>
      <c r="AD856" s="395"/>
      <c r="AE856" s="395"/>
      <c r="AF856" s="395"/>
      <c r="AG856" s="395"/>
      <c r="AH856" s="395"/>
      <c r="AI856" s="395"/>
      <c r="AJ856" s="395"/>
      <c r="AK856" s="395"/>
    </row>
    <row r="857">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c r="AA857" s="395"/>
      <c r="AB857" s="395"/>
      <c r="AC857" s="395"/>
      <c r="AD857" s="395"/>
      <c r="AE857" s="395"/>
      <c r="AF857" s="395"/>
      <c r="AG857" s="395"/>
      <c r="AH857" s="395"/>
      <c r="AI857" s="395"/>
      <c r="AJ857" s="395"/>
      <c r="AK857" s="395"/>
    </row>
    <row r="858">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c r="AA858" s="395"/>
      <c r="AB858" s="395"/>
      <c r="AC858" s="395"/>
      <c r="AD858" s="395"/>
      <c r="AE858" s="395"/>
      <c r="AF858" s="395"/>
      <c r="AG858" s="395"/>
      <c r="AH858" s="395"/>
      <c r="AI858" s="395"/>
      <c r="AJ858" s="395"/>
      <c r="AK858" s="395"/>
    </row>
    <row r="859">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c r="AA859" s="395"/>
      <c r="AB859" s="395"/>
      <c r="AC859" s="395"/>
      <c r="AD859" s="395"/>
      <c r="AE859" s="395"/>
      <c r="AF859" s="395"/>
      <c r="AG859" s="395"/>
      <c r="AH859" s="395"/>
      <c r="AI859" s="395"/>
      <c r="AJ859" s="395"/>
      <c r="AK859" s="395"/>
    </row>
    <row r="860">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c r="AA860" s="395"/>
      <c r="AB860" s="395"/>
      <c r="AC860" s="395"/>
      <c r="AD860" s="395"/>
      <c r="AE860" s="395"/>
      <c r="AF860" s="395"/>
      <c r="AG860" s="395"/>
      <c r="AH860" s="395"/>
      <c r="AI860" s="395"/>
      <c r="AJ860" s="395"/>
      <c r="AK860" s="395"/>
    </row>
    <row r="86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c r="AA861" s="395"/>
      <c r="AB861" s="395"/>
      <c r="AC861" s="395"/>
      <c r="AD861" s="395"/>
      <c r="AE861" s="395"/>
      <c r="AF861" s="395"/>
      <c r="AG861" s="395"/>
      <c r="AH861" s="395"/>
      <c r="AI861" s="395"/>
      <c r="AJ861" s="395"/>
      <c r="AK861" s="395"/>
    </row>
    <row r="862">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c r="AA862" s="395"/>
      <c r="AB862" s="395"/>
      <c r="AC862" s="395"/>
      <c r="AD862" s="395"/>
      <c r="AE862" s="395"/>
      <c r="AF862" s="395"/>
      <c r="AG862" s="395"/>
      <c r="AH862" s="395"/>
      <c r="AI862" s="395"/>
      <c r="AJ862" s="395"/>
      <c r="AK862" s="395"/>
    </row>
    <row r="863">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c r="AA863" s="395"/>
      <c r="AB863" s="395"/>
      <c r="AC863" s="395"/>
      <c r="AD863" s="395"/>
      <c r="AE863" s="395"/>
      <c r="AF863" s="395"/>
      <c r="AG863" s="395"/>
      <c r="AH863" s="395"/>
      <c r="AI863" s="395"/>
      <c r="AJ863" s="395"/>
      <c r="AK863" s="395"/>
    </row>
    <row r="864">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c r="AA864" s="395"/>
      <c r="AB864" s="395"/>
      <c r="AC864" s="395"/>
      <c r="AD864" s="395"/>
      <c r="AE864" s="395"/>
      <c r="AF864" s="395"/>
      <c r="AG864" s="395"/>
      <c r="AH864" s="395"/>
      <c r="AI864" s="395"/>
      <c r="AJ864" s="395"/>
      <c r="AK864" s="395"/>
    </row>
    <row r="865">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c r="AA865" s="395"/>
      <c r="AB865" s="395"/>
      <c r="AC865" s="395"/>
      <c r="AD865" s="395"/>
      <c r="AE865" s="395"/>
      <c r="AF865" s="395"/>
      <c r="AG865" s="395"/>
      <c r="AH865" s="395"/>
      <c r="AI865" s="395"/>
      <c r="AJ865" s="395"/>
      <c r="AK865" s="395"/>
    </row>
    <row r="866">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c r="AA866" s="395"/>
      <c r="AB866" s="395"/>
      <c r="AC866" s="395"/>
      <c r="AD866" s="395"/>
      <c r="AE866" s="395"/>
      <c r="AF866" s="395"/>
      <c r="AG866" s="395"/>
      <c r="AH866" s="395"/>
      <c r="AI866" s="395"/>
      <c r="AJ866" s="395"/>
      <c r="AK866" s="395"/>
    </row>
    <row r="867">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c r="AA867" s="395"/>
      <c r="AB867" s="395"/>
      <c r="AC867" s="395"/>
      <c r="AD867" s="395"/>
      <c r="AE867" s="395"/>
      <c r="AF867" s="395"/>
      <c r="AG867" s="395"/>
      <c r="AH867" s="395"/>
      <c r="AI867" s="395"/>
      <c r="AJ867" s="395"/>
      <c r="AK867" s="395"/>
    </row>
    <row r="868">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c r="AA868" s="395"/>
      <c r="AB868" s="395"/>
      <c r="AC868" s="395"/>
      <c r="AD868" s="395"/>
      <c r="AE868" s="395"/>
      <c r="AF868" s="395"/>
      <c r="AG868" s="395"/>
      <c r="AH868" s="395"/>
      <c r="AI868" s="395"/>
      <c r="AJ868" s="395"/>
      <c r="AK868" s="395"/>
    </row>
    <row r="869">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c r="AA869" s="395"/>
      <c r="AB869" s="395"/>
      <c r="AC869" s="395"/>
      <c r="AD869" s="395"/>
      <c r="AE869" s="395"/>
      <c r="AF869" s="395"/>
      <c r="AG869" s="395"/>
      <c r="AH869" s="395"/>
      <c r="AI869" s="395"/>
      <c r="AJ869" s="395"/>
      <c r="AK869" s="395"/>
    </row>
    <row r="870">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c r="AA870" s="395"/>
      <c r="AB870" s="395"/>
      <c r="AC870" s="395"/>
      <c r="AD870" s="395"/>
      <c r="AE870" s="395"/>
      <c r="AF870" s="395"/>
      <c r="AG870" s="395"/>
      <c r="AH870" s="395"/>
      <c r="AI870" s="395"/>
      <c r="AJ870" s="395"/>
      <c r="AK870" s="395"/>
    </row>
    <row r="87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c r="AA871" s="395"/>
      <c r="AB871" s="395"/>
      <c r="AC871" s="395"/>
      <c r="AD871" s="395"/>
      <c r="AE871" s="395"/>
      <c r="AF871" s="395"/>
      <c r="AG871" s="395"/>
      <c r="AH871" s="395"/>
      <c r="AI871" s="395"/>
      <c r="AJ871" s="395"/>
      <c r="AK871" s="395"/>
    </row>
    <row r="872">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c r="AA872" s="395"/>
      <c r="AB872" s="395"/>
      <c r="AC872" s="395"/>
      <c r="AD872" s="395"/>
      <c r="AE872" s="395"/>
      <c r="AF872" s="395"/>
      <c r="AG872" s="395"/>
      <c r="AH872" s="395"/>
      <c r="AI872" s="395"/>
      <c r="AJ872" s="395"/>
      <c r="AK872" s="395"/>
    </row>
    <row r="873">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c r="AA873" s="395"/>
      <c r="AB873" s="395"/>
      <c r="AC873" s="395"/>
      <c r="AD873" s="395"/>
      <c r="AE873" s="395"/>
      <c r="AF873" s="395"/>
      <c r="AG873" s="395"/>
      <c r="AH873" s="395"/>
      <c r="AI873" s="395"/>
      <c r="AJ873" s="395"/>
      <c r="AK873" s="395"/>
    </row>
    <row r="874">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c r="AA874" s="395"/>
      <c r="AB874" s="395"/>
      <c r="AC874" s="395"/>
      <c r="AD874" s="395"/>
      <c r="AE874" s="395"/>
      <c r="AF874" s="395"/>
      <c r="AG874" s="395"/>
      <c r="AH874" s="395"/>
      <c r="AI874" s="395"/>
      <c r="AJ874" s="395"/>
      <c r="AK874" s="395"/>
    </row>
    <row r="875">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c r="AA875" s="395"/>
      <c r="AB875" s="395"/>
      <c r="AC875" s="395"/>
      <c r="AD875" s="395"/>
      <c r="AE875" s="395"/>
      <c r="AF875" s="395"/>
      <c r="AG875" s="395"/>
      <c r="AH875" s="395"/>
      <c r="AI875" s="395"/>
      <c r="AJ875" s="395"/>
      <c r="AK875" s="395"/>
    </row>
    <row r="876">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c r="AA876" s="395"/>
      <c r="AB876" s="395"/>
      <c r="AC876" s="395"/>
      <c r="AD876" s="395"/>
      <c r="AE876" s="395"/>
      <c r="AF876" s="395"/>
      <c r="AG876" s="395"/>
      <c r="AH876" s="395"/>
      <c r="AI876" s="395"/>
      <c r="AJ876" s="395"/>
      <c r="AK876" s="395"/>
    </row>
    <row r="877">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c r="AA877" s="395"/>
      <c r="AB877" s="395"/>
      <c r="AC877" s="395"/>
      <c r="AD877" s="395"/>
      <c r="AE877" s="395"/>
      <c r="AF877" s="395"/>
      <c r="AG877" s="395"/>
      <c r="AH877" s="395"/>
      <c r="AI877" s="395"/>
      <c r="AJ877" s="395"/>
      <c r="AK877" s="395"/>
    </row>
    <row r="878">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c r="AA878" s="395"/>
      <c r="AB878" s="395"/>
      <c r="AC878" s="395"/>
      <c r="AD878" s="395"/>
      <c r="AE878" s="395"/>
      <c r="AF878" s="395"/>
      <c r="AG878" s="395"/>
      <c r="AH878" s="395"/>
      <c r="AI878" s="395"/>
      <c r="AJ878" s="395"/>
      <c r="AK878" s="395"/>
    </row>
    <row r="879">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c r="AA879" s="395"/>
      <c r="AB879" s="395"/>
      <c r="AC879" s="395"/>
      <c r="AD879" s="395"/>
      <c r="AE879" s="395"/>
      <c r="AF879" s="395"/>
      <c r="AG879" s="395"/>
      <c r="AH879" s="395"/>
      <c r="AI879" s="395"/>
      <c r="AJ879" s="395"/>
      <c r="AK879" s="395"/>
    </row>
    <row r="880">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c r="AA880" s="395"/>
      <c r="AB880" s="395"/>
      <c r="AC880" s="395"/>
      <c r="AD880" s="395"/>
      <c r="AE880" s="395"/>
      <c r="AF880" s="395"/>
      <c r="AG880" s="395"/>
      <c r="AH880" s="395"/>
      <c r="AI880" s="395"/>
      <c r="AJ880" s="395"/>
      <c r="AK880" s="395"/>
    </row>
    <row r="88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c r="AA881" s="395"/>
      <c r="AB881" s="395"/>
      <c r="AC881" s="395"/>
      <c r="AD881" s="395"/>
      <c r="AE881" s="395"/>
      <c r="AF881" s="395"/>
      <c r="AG881" s="395"/>
      <c r="AH881" s="395"/>
      <c r="AI881" s="395"/>
      <c r="AJ881" s="395"/>
      <c r="AK881" s="395"/>
    </row>
    <row r="882">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c r="AA882" s="395"/>
      <c r="AB882" s="395"/>
      <c r="AC882" s="395"/>
      <c r="AD882" s="395"/>
      <c r="AE882" s="395"/>
      <c r="AF882" s="395"/>
      <c r="AG882" s="395"/>
      <c r="AH882" s="395"/>
      <c r="AI882" s="395"/>
      <c r="AJ882" s="395"/>
      <c r="AK882" s="395"/>
    </row>
    <row r="883">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c r="AA883" s="395"/>
      <c r="AB883" s="395"/>
      <c r="AC883" s="395"/>
      <c r="AD883" s="395"/>
      <c r="AE883" s="395"/>
      <c r="AF883" s="395"/>
      <c r="AG883" s="395"/>
      <c r="AH883" s="395"/>
      <c r="AI883" s="395"/>
      <c r="AJ883" s="395"/>
      <c r="AK883" s="395"/>
    </row>
    <row r="884">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c r="AA884" s="395"/>
      <c r="AB884" s="395"/>
      <c r="AC884" s="395"/>
      <c r="AD884" s="395"/>
      <c r="AE884" s="395"/>
      <c r="AF884" s="395"/>
      <c r="AG884" s="395"/>
      <c r="AH884" s="395"/>
      <c r="AI884" s="395"/>
      <c r="AJ884" s="395"/>
      <c r="AK884" s="395"/>
    </row>
    <row r="885">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c r="AA885" s="395"/>
      <c r="AB885" s="395"/>
      <c r="AC885" s="395"/>
      <c r="AD885" s="395"/>
      <c r="AE885" s="395"/>
      <c r="AF885" s="395"/>
      <c r="AG885" s="395"/>
      <c r="AH885" s="395"/>
      <c r="AI885" s="395"/>
      <c r="AJ885" s="395"/>
      <c r="AK885" s="395"/>
    </row>
    <row r="886">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c r="AA886" s="395"/>
      <c r="AB886" s="395"/>
      <c r="AC886" s="395"/>
      <c r="AD886" s="395"/>
      <c r="AE886" s="395"/>
      <c r="AF886" s="395"/>
      <c r="AG886" s="395"/>
      <c r="AH886" s="395"/>
      <c r="AI886" s="395"/>
      <c r="AJ886" s="395"/>
      <c r="AK886" s="395"/>
    </row>
    <row r="887">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c r="AA887" s="395"/>
      <c r="AB887" s="395"/>
      <c r="AC887" s="395"/>
      <c r="AD887" s="395"/>
      <c r="AE887" s="395"/>
      <c r="AF887" s="395"/>
      <c r="AG887" s="395"/>
      <c r="AH887" s="395"/>
      <c r="AI887" s="395"/>
      <c r="AJ887" s="395"/>
      <c r="AK887" s="395"/>
    </row>
    <row r="888">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c r="AA888" s="395"/>
      <c r="AB888" s="395"/>
      <c r="AC888" s="395"/>
      <c r="AD888" s="395"/>
      <c r="AE888" s="395"/>
      <c r="AF888" s="395"/>
      <c r="AG888" s="395"/>
      <c r="AH888" s="395"/>
      <c r="AI888" s="395"/>
      <c r="AJ888" s="395"/>
      <c r="AK888" s="395"/>
    </row>
    <row r="889">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c r="AA889" s="395"/>
      <c r="AB889" s="395"/>
      <c r="AC889" s="395"/>
      <c r="AD889" s="395"/>
      <c r="AE889" s="395"/>
      <c r="AF889" s="395"/>
      <c r="AG889" s="395"/>
      <c r="AH889" s="395"/>
      <c r="AI889" s="395"/>
      <c r="AJ889" s="395"/>
      <c r="AK889" s="395"/>
    </row>
    <row r="890">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c r="AA890" s="395"/>
      <c r="AB890" s="395"/>
      <c r="AC890" s="395"/>
      <c r="AD890" s="395"/>
      <c r="AE890" s="395"/>
      <c r="AF890" s="395"/>
      <c r="AG890" s="395"/>
      <c r="AH890" s="395"/>
      <c r="AI890" s="395"/>
      <c r="AJ890" s="395"/>
      <c r="AK890" s="395"/>
    </row>
    <row r="89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c r="AA891" s="395"/>
      <c r="AB891" s="395"/>
      <c r="AC891" s="395"/>
      <c r="AD891" s="395"/>
      <c r="AE891" s="395"/>
      <c r="AF891" s="395"/>
      <c r="AG891" s="395"/>
      <c r="AH891" s="395"/>
      <c r="AI891" s="395"/>
      <c r="AJ891" s="395"/>
      <c r="AK891" s="395"/>
    </row>
    <row r="892">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c r="AA892" s="395"/>
      <c r="AB892" s="395"/>
      <c r="AC892" s="395"/>
      <c r="AD892" s="395"/>
      <c r="AE892" s="395"/>
      <c r="AF892" s="395"/>
      <c r="AG892" s="395"/>
      <c r="AH892" s="395"/>
      <c r="AI892" s="395"/>
      <c r="AJ892" s="395"/>
      <c r="AK892" s="395"/>
    </row>
    <row r="893">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c r="AA893" s="395"/>
      <c r="AB893" s="395"/>
      <c r="AC893" s="395"/>
      <c r="AD893" s="395"/>
      <c r="AE893" s="395"/>
      <c r="AF893" s="395"/>
      <c r="AG893" s="395"/>
      <c r="AH893" s="395"/>
      <c r="AI893" s="395"/>
      <c r="AJ893" s="395"/>
      <c r="AK893" s="395"/>
    </row>
    <row r="894">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c r="AA894" s="395"/>
      <c r="AB894" s="395"/>
      <c r="AC894" s="395"/>
      <c r="AD894" s="395"/>
      <c r="AE894" s="395"/>
      <c r="AF894" s="395"/>
      <c r="AG894" s="395"/>
      <c r="AH894" s="395"/>
      <c r="AI894" s="395"/>
      <c r="AJ894" s="395"/>
      <c r="AK894" s="395"/>
    </row>
    <row r="895">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c r="AA895" s="395"/>
      <c r="AB895" s="395"/>
      <c r="AC895" s="395"/>
      <c r="AD895" s="395"/>
      <c r="AE895" s="395"/>
      <c r="AF895" s="395"/>
      <c r="AG895" s="395"/>
      <c r="AH895" s="395"/>
      <c r="AI895" s="395"/>
      <c r="AJ895" s="395"/>
      <c r="AK895" s="395"/>
    </row>
    <row r="896">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c r="AA896" s="395"/>
      <c r="AB896" s="395"/>
      <c r="AC896" s="395"/>
      <c r="AD896" s="395"/>
      <c r="AE896" s="395"/>
      <c r="AF896" s="395"/>
      <c r="AG896" s="395"/>
      <c r="AH896" s="395"/>
      <c r="AI896" s="395"/>
      <c r="AJ896" s="395"/>
      <c r="AK896" s="395"/>
    </row>
    <row r="897">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c r="AA897" s="395"/>
      <c r="AB897" s="395"/>
      <c r="AC897" s="395"/>
      <c r="AD897" s="395"/>
      <c r="AE897" s="395"/>
      <c r="AF897" s="395"/>
      <c r="AG897" s="395"/>
      <c r="AH897" s="395"/>
      <c r="AI897" s="395"/>
      <c r="AJ897" s="395"/>
      <c r="AK897" s="395"/>
    </row>
    <row r="898">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c r="AA898" s="395"/>
      <c r="AB898" s="395"/>
      <c r="AC898" s="395"/>
      <c r="AD898" s="395"/>
      <c r="AE898" s="395"/>
      <c r="AF898" s="395"/>
      <c r="AG898" s="395"/>
      <c r="AH898" s="395"/>
      <c r="AI898" s="395"/>
      <c r="AJ898" s="395"/>
      <c r="AK898" s="395"/>
    </row>
    <row r="899">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c r="AA899" s="395"/>
      <c r="AB899" s="395"/>
      <c r="AC899" s="395"/>
      <c r="AD899" s="395"/>
      <c r="AE899" s="395"/>
      <c r="AF899" s="395"/>
      <c r="AG899" s="395"/>
      <c r="AH899" s="395"/>
      <c r="AI899" s="395"/>
      <c r="AJ899" s="395"/>
      <c r="AK899" s="395"/>
    </row>
    <row r="900">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c r="AA900" s="395"/>
      <c r="AB900" s="395"/>
      <c r="AC900" s="395"/>
      <c r="AD900" s="395"/>
      <c r="AE900" s="395"/>
      <c r="AF900" s="395"/>
      <c r="AG900" s="395"/>
      <c r="AH900" s="395"/>
      <c r="AI900" s="395"/>
      <c r="AJ900" s="395"/>
      <c r="AK900" s="395"/>
    </row>
    <row r="90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c r="AA901" s="395"/>
      <c r="AB901" s="395"/>
      <c r="AC901" s="395"/>
      <c r="AD901" s="395"/>
      <c r="AE901" s="395"/>
      <c r="AF901" s="395"/>
      <c r="AG901" s="395"/>
      <c r="AH901" s="395"/>
      <c r="AI901" s="395"/>
      <c r="AJ901" s="395"/>
      <c r="AK901" s="395"/>
    </row>
    <row r="902">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c r="AA902" s="395"/>
      <c r="AB902" s="395"/>
      <c r="AC902" s="395"/>
      <c r="AD902" s="395"/>
      <c r="AE902" s="395"/>
      <c r="AF902" s="395"/>
      <c r="AG902" s="395"/>
      <c r="AH902" s="395"/>
      <c r="AI902" s="395"/>
      <c r="AJ902" s="395"/>
      <c r="AK902" s="395"/>
    </row>
    <row r="903">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c r="AA903" s="395"/>
      <c r="AB903" s="395"/>
      <c r="AC903" s="395"/>
      <c r="AD903" s="395"/>
      <c r="AE903" s="395"/>
      <c r="AF903" s="395"/>
      <c r="AG903" s="395"/>
      <c r="AH903" s="395"/>
      <c r="AI903" s="395"/>
      <c r="AJ903" s="395"/>
      <c r="AK903" s="395"/>
    </row>
    <row r="904">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c r="AA904" s="395"/>
      <c r="AB904" s="395"/>
      <c r="AC904" s="395"/>
      <c r="AD904" s="395"/>
      <c r="AE904" s="395"/>
      <c r="AF904" s="395"/>
      <c r="AG904" s="395"/>
      <c r="AH904" s="395"/>
      <c r="AI904" s="395"/>
      <c r="AJ904" s="395"/>
      <c r="AK904" s="395"/>
    </row>
    <row r="905">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c r="AA905" s="395"/>
      <c r="AB905" s="395"/>
      <c r="AC905" s="395"/>
      <c r="AD905" s="395"/>
      <c r="AE905" s="395"/>
      <c r="AF905" s="395"/>
      <c r="AG905" s="395"/>
      <c r="AH905" s="395"/>
      <c r="AI905" s="395"/>
      <c r="AJ905" s="395"/>
      <c r="AK905" s="395"/>
    </row>
    <row r="906">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c r="AA906" s="395"/>
      <c r="AB906" s="395"/>
      <c r="AC906" s="395"/>
      <c r="AD906" s="395"/>
      <c r="AE906" s="395"/>
      <c r="AF906" s="395"/>
      <c r="AG906" s="395"/>
      <c r="AH906" s="395"/>
      <c r="AI906" s="395"/>
      <c r="AJ906" s="395"/>
      <c r="AK906" s="395"/>
    </row>
    <row r="907">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c r="AA907" s="395"/>
      <c r="AB907" s="395"/>
      <c r="AC907" s="395"/>
      <c r="AD907" s="395"/>
      <c r="AE907" s="395"/>
      <c r="AF907" s="395"/>
      <c r="AG907" s="395"/>
      <c r="AH907" s="395"/>
      <c r="AI907" s="395"/>
      <c r="AJ907" s="395"/>
      <c r="AK907" s="395"/>
    </row>
    <row r="908">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c r="AA908" s="395"/>
      <c r="AB908" s="395"/>
      <c r="AC908" s="395"/>
      <c r="AD908" s="395"/>
      <c r="AE908" s="395"/>
      <c r="AF908" s="395"/>
      <c r="AG908" s="395"/>
      <c r="AH908" s="395"/>
      <c r="AI908" s="395"/>
      <c r="AJ908" s="395"/>
      <c r="AK908" s="395"/>
    </row>
    <row r="909">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c r="AA909" s="395"/>
      <c r="AB909" s="395"/>
      <c r="AC909" s="395"/>
      <c r="AD909" s="395"/>
      <c r="AE909" s="395"/>
      <c r="AF909" s="395"/>
      <c r="AG909" s="395"/>
      <c r="AH909" s="395"/>
      <c r="AI909" s="395"/>
      <c r="AJ909" s="395"/>
      <c r="AK909" s="395"/>
    </row>
    <row r="910">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c r="AA910" s="395"/>
      <c r="AB910" s="395"/>
      <c r="AC910" s="395"/>
      <c r="AD910" s="395"/>
      <c r="AE910" s="395"/>
      <c r="AF910" s="395"/>
      <c r="AG910" s="395"/>
      <c r="AH910" s="395"/>
      <c r="AI910" s="395"/>
      <c r="AJ910" s="395"/>
      <c r="AK910" s="395"/>
    </row>
    <row r="91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c r="AA911" s="395"/>
      <c r="AB911" s="395"/>
      <c r="AC911" s="395"/>
      <c r="AD911" s="395"/>
      <c r="AE911" s="395"/>
      <c r="AF911" s="395"/>
      <c r="AG911" s="395"/>
      <c r="AH911" s="395"/>
      <c r="AI911" s="395"/>
      <c r="AJ911" s="395"/>
      <c r="AK911" s="395"/>
    </row>
    <row r="912">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c r="AA912" s="395"/>
      <c r="AB912" s="395"/>
      <c r="AC912" s="395"/>
      <c r="AD912" s="395"/>
      <c r="AE912" s="395"/>
      <c r="AF912" s="395"/>
      <c r="AG912" s="395"/>
      <c r="AH912" s="395"/>
      <c r="AI912" s="395"/>
      <c r="AJ912" s="395"/>
      <c r="AK912" s="395"/>
    </row>
    <row r="913">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c r="AA913" s="395"/>
      <c r="AB913" s="395"/>
      <c r="AC913" s="395"/>
      <c r="AD913" s="395"/>
      <c r="AE913" s="395"/>
      <c r="AF913" s="395"/>
      <c r="AG913" s="395"/>
      <c r="AH913" s="395"/>
      <c r="AI913" s="395"/>
      <c r="AJ913" s="395"/>
      <c r="AK913" s="395"/>
    </row>
    <row r="914">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c r="AA914" s="395"/>
      <c r="AB914" s="395"/>
      <c r="AC914" s="395"/>
      <c r="AD914" s="395"/>
      <c r="AE914" s="395"/>
      <c r="AF914" s="395"/>
      <c r="AG914" s="395"/>
      <c r="AH914" s="395"/>
      <c r="AI914" s="395"/>
      <c r="AJ914" s="395"/>
      <c r="AK914" s="395"/>
    </row>
    <row r="915">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c r="AA915" s="395"/>
      <c r="AB915" s="395"/>
      <c r="AC915" s="395"/>
      <c r="AD915" s="395"/>
      <c r="AE915" s="395"/>
      <c r="AF915" s="395"/>
      <c r="AG915" s="395"/>
      <c r="AH915" s="395"/>
      <c r="AI915" s="395"/>
      <c r="AJ915" s="395"/>
      <c r="AK915" s="395"/>
    </row>
    <row r="916">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c r="AA916" s="395"/>
      <c r="AB916" s="395"/>
      <c r="AC916" s="395"/>
      <c r="AD916" s="395"/>
      <c r="AE916" s="395"/>
      <c r="AF916" s="395"/>
      <c r="AG916" s="395"/>
      <c r="AH916" s="395"/>
      <c r="AI916" s="395"/>
      <c r="AJ916" s="395"/>
      <c r="AK916" s="395"/>
    </row>
    <row r="917">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c r="AA917" s="395"/>
      <c r="AB917" s="395"/>
      <c r="AC917" s="395"/>
      <c r="AD917" s="395"/>
      <c r="AE917" s="395"/>
      <c r="AF917" s="395"/>
      <c r="AG917" s="395"/>
      <c r="AH917" s="395"/>
      <c r="AI917" s="395"/>
      <c r="AJ917" s="395"/>
      <c r="AK917" s="395"/>
    </row>
    <row r="918">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c r="AA918" s="395"/>
      <c r="AB918" s="395"/>
      <c r="AC918" s="395"/>
      <c r="AD918" s="395"/>
      <c r="AE918" s="395"/>
      <c r="AF918" s="395"/>
      <c r="AG918" s="395"/>
      <c r="AH918" s="395"/>
      <c r="AI918" s="395"/>
      <c r="AJ918" s="395"/>
      <c r="AK918" s="395"/>
    </row>
    <row r="919">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c r="AA919" s="395"/>
      <c r="AB919" s="395"/>
      <c r="AC919" s="395"/>
      <c r="AD919" s="395"/>
      <c r="AE919" s="395"/>
      <c r="AF919" s="395"/>
      <c r="AG919" s="395"/>
      <c r="AH919" s="395"/>
      <c r="AI919" s="395"/>
      <c r="AJ919" s="395"/>
      <c r="AK919" s="395"/>
    </row>
    <row r="920">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c r="AA920" s="395"/>
      <c r="AB920" s="395"/>
      <c r="AC920" s="395"/>
      <c r="AD920" s="395"/>
      <c r="AE920" s="395"/>
      <c r="AF920" s="395"/>
      <c r="AG920" s="395"/>
      <c r="AH920" s="395"/>
      <c r="AI920" s="395"/>
      <c r="AJ920" s="395"/>
      <c r="AK920" s="395"/>
    </row>
    <row r="92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c r="AA921" s="395"/>
      <c r="AB921" s="395"/>
      <c r="AC921" s="395"/>
      <c r="AD921" s="395"/>
      <c r="AE921" s="395"/>
      <c r="AF921" s="395"/>
      <c r="AG921" s="395"/>
      <c r="AH921" s="395"/>
      <c r="AI921" s="395"/>
      <c r="AJ921" s="395"/>
      <c r="AK921" s="395"/>
    </row>
    <row r="922">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c r="AA922" s="395"/>
      <c r="AB922" s="395"/>
      <c r="AC922" s="395"/>
      <c r="AD922" s="395"/>
      <c r="AE922" s="395"/>
      <c r="AF922" s="395"/>
      <c r="AG922" s="395"/>
      <c r="AH922" s="395"/>
      <c r="AI922" s="395"/>
      <c r="AJ922" s="395"/>
      <c r="AK922" s="395"/>
    </row>
    <row r="923">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c r="AA923" s="395"/>
      <c r="AB923" s="395"/>
      <c r="AC923" s="395"/>
      <c r="AD923" s="395"/>
      <c r="AE923" s="395"/>
      <c r="AF923" s="395"/>
      <c r="AG923" s="395"/>
      <c r="AH923" s="395"/>
      <c r="AI923" s="395"/>
      <c r="AJ923" s="395"/>
      <c r="AK923" s="395"/>
    </row>
    <row r="924">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c r="AA924" s="395"/>
      <c r="AB924" s="395"/>
      <c r="AC924" s="395"/>
      <c r="AD924" s="395"/>
      <c r="AE924" s="395"/>
      <c r="AF924" s="395"/>
      <c r="AG924" s="395"/>
      <c r="AH924" s="395"/>
      <c r="AI924" s="395"/>
      <c r="AJ924" s="395"/>
      <c r="AK924" s="395"/>
    </row>
    <row r="925">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c r="AA925" s="395"/>
      <c r="AB925" s="395"/>
      <c r="AC925" s="395"/>
      <c r="AD925" s="395"/>
      <c r="AE925" s="395"/>
      <c r="AF925" s="395"/>
      <c r="AG925" s="395"/>
      <c r="AH925" s="395"/>
      <c r="AI925" s="395"/>
      <c r="AJ925" s="395"/>
      <c r="AK925" s="395"/>
    </row>
    <row r="926">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c r="AA926" s="395"/>
      <c r="AB926" s="395"/>
      <c r="AC926" s="395"/>
      <c r="AD926" s="395"/>
      <c r="AE926" s="395"/>
      <c r="AF926" s="395"/>
      <c r="AG926" s="395"/>
      <c r="AH926" s="395"/>
      <c r="AI926" s="395"/>
      <c r="AJ926" s="395"/>
      <c r="AK926" s="395"/>
    </row>
    <row r="927">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c r="AA927" s="395"/>
      <c r="AB927" s="395"/>
      <c r="AC927" s="395"/>
      <c r="AD927" s="395"/>
      <c r="AE927" s="395"/>
      <c r="AF927" s="395"/>
      <c r="AG927" s="395"/>
      <c r="AH927" s="395"/>
      <c r="AI927" s="395"/>
      <c r="AJ927" s="395"/>
      <c r="AK927" s="395"/>
    </row>
    <row r="928">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c r="AA928" s="395"/>
      <c r="AB928" s="395"/>
      <c r="AC928" s="395"/>
      <c r="AD928" s="395"/>
      <c r="AE928" s="395"/>
      <c r="AF928" s="395"/>
      <c r="AG928" s="395"/>
      <c r="AH928" s="395"/>
      <c r="AI928" s="395"/>
      <c r="AJ928" s="395"/>
      <c r="AK928" s="395"/>
    </row>
    <row r="929">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c r="AA929" s="395"/>
      <c r="AB929" s="395"/>
      <c r="AC929" s="395"/>
      <c r="AD929" s="395"/>
      <c r="AE929" s="395"/>
      <c r="AF929" s="395"/>
      <c r="AG929" s="395"/>
      <c r="AH929" s="395"/>
      <c r="AI929" s="395"/>
      <c r="AJ929" s="395"/>
      <c r="AK929" s="395"/>
    </row>
    <row r="930">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c r="AA930" s="395"/>
      <c r="AB930" s="395"/>
      <c r="AC930" s="395"/>
      <c r="AD930" s="395"/>
      <c r="AE930" s="395"/>
      <c r="AF930" s="395"/>
      <c r="AG930" s="395"/>
      <c r="AH930" s="395"/>
      <c r="AI930" s="395"/>
      <c r="AJ930" s="395"/>
      <c r="AK930" s="395"/>
    </row>
    <row r="93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c r="AA931" s="395"/>
      <c r="AB931" s="395"/>
      <c r="AC931" s="395"/>
      <c r="AD931" s="395"/>
      <c r="AE931" s="395"/>
      <c r="AF931" s="395"/>
      <c r="AG931" s="395"/>
      <c r="AH931" s="395"/>
      <c r="AI931" s="395"/>
      <c r="AJ931" s="395"/>
      <c r="AK931" s="395"/>
    </row>
    <row r="932">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c r="AA932" s="395"/>
      <c r="AB932" s="395"/>
      <c r="AC932" s="395"/>
      <c r="AD932" s="395"/>
      <c r="AE932" s="395"/>
      <c r="AF932" s="395"/>
      <c r="AG932" s="395"/>
      <c r="AH932" s="395"/>
      <c r="AI932" s="395"/>
      <c r="AJ932" s="395"/>
      <c r="AK932" s="395"/>
    </row>
    <row r="933">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c r="AA933" s="395"/>
      <c r="AB933" s="395"/>
      <c r="AC933" s="395"/>
      <c r="AD933" s="395"/>
      <c r="AE933" s="395"/>
      <c r="AF933" s="395"/>
      <c r="AG933" s="395"/>
      <c r="AH933" s="395"/>
      <c r="AI933" s="395"/>
      <c r="AJ933" s="395"/>
      <c r="AK933" s="395"/>
    </row>
    <row r="934">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c r="AA934" s="395"/>
      <c r="AB934" s="395"/>
      <c r="AC934" s="395"/>
      <c r="AD934" s="395"/>
      <c r="AE934" s="395"/>
      <c r="AF934" s="395"/>
      <c r="AG934" s="395"/>
      <c r="AH934" s="395"/>
      <c r="AI934" s="395"/>
      <c r="AJ934" s="395"/>
      <c r="AK934" s="395"/>
    </row>
    <row r="935">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c r="AA935" s="395"/>
      <c r="AB935" s="395"/>
      <c r="AC935" s="395"/>
      <c r="AD935" s="395"/>
      <c r="AE935" s="395"/>
      <c r="AF935" s="395"/>
      <c r="AG935" s="395"/>
      <c r="AH935" s="395"/>
      <c r="AI935" s="395"/>
      <c r="AJ935" s="395"/>
      <c r="AK935" s="395"/>
    </row>
    <row r="936">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c r="AA936" s="395"/>
      <c r="AB936" s="395"/>
      <c r="AC936" s="395"/>
      <c r="AD936" s="395"/>
      <c r="AE936" s="395"/>
      <c r="AF936" s="395"/>
      <c r="AG936" s="395"/>
      <c r="AH936" s="395"/>
      <c r="AI936" s="395"/>
      <c r="AJ936" s="395"/>
      <c r="AK936" s="395"/>
    </row>
    <row r="937">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c r="AA937" s="395"/>
      <c r="AB937" s="395"/>
      <c r="AC937" s="395"/>
      <c r="AD937" s="395"/>
      <c r="AE937" s="395"/>
      <c r="AF937" s="395"/>
      <c r="AG937" s="395"/>
      <c r="AH937" s="395"/>
      <c r="AI937" s="395"/>
      <c r="AJ937" s="395"/>
      <c r="AK937" s="395"/>
    </row>
    <row r="938">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c r="AA938" s="395"/>
      <c r="AB938" s="395"/>
      <c r="AC938" s="395"/>
      <c r="AD938" s="395"/>
      <c r="AE938" s="395"/>
      <c r="AF938" s="395"/>
      <c r="AG938" s="395"/>
      <c r="AH938" s="395"/>
      <c r="AI938" s="395"/>
      <c r="AJ938" s="395"/>
      <c r="AK938" s="395"/>
    </row>
    <row r="939">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c r="AA939" s="395"/>
      <c r="AB939" s="395"/>
      <c r="AC939" s="395"/>
      <c r="AD939" s="395"/>
      <c r="AE939" s="395"/>
      <c r="AF939" s="395"/>
      <c r="AG939" s="395"/>
      <c r="AH939" s="395"/>
      <c r="AI939" s="395"/>
      <c r="AJ939" s="395"/>
      <c r="AK939" s="395"/>
    </row>
    <row r="940">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c r="AA940" s="395"/>
      <c r="AB940" s="395"/>
      <c r="AC940" s="395"/>
      <c r="AD940" s="395"/>
      <c r="AE940" s="395"/>
      <c r="AF940" s="395"/>
      <c r="AG940" s="395"/>
      <c r="AH940" s="395"/>
      <c r="AI940" s="395"/>
      <c r="AJ940" s="395"/>
      <c r="AK940" s="395"/>
    </row>
    <row r="94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c r="AA941" s="395"/>
      <c r="AB941" s="395"/>
      <c r="AC941" s="395"/>
      <c r="AD941" s="395"/>
      <c r="AE941" s="395"/>
      <c r="AF941" s="395"/>
      <c r="AG941" s="395"/>
      <c r="AH941" s="395"/>
      <c r="AI941" s="395"/>
      <c r="AJ941" s="395"/>
      <c r="AK941" s="395"/>
    </row>
    <row r="942">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c r="AA942" s="395"/>
      <c r="AB942" s="395"/>
      <c r="AC942" s="395"/>
      <c r="AD942" s="395"/>
      <c r="AE942" s="395"/>
      <c r="AF942" s="395"/>
      <c r="AG942" s="395"/>
      <c r="AH942" s="395"/>
      <c r="AI942" s="395"/>
      <c r="AJ942" s="395"/>
      <c r="AK942" s="395"/>
    </row>
    <row r="943">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c r="AA943" s="395"/>
      <c r="AB943" s="395"/>
      <c r="AC943" s="395"/>
      <c r="AD943" s="395"/>
      <c r="AE943" s="395"/>
      <c r="AF943" s="395"/>
      <c r="AG943" s="395"/>
      <c r="AH943" s="395"/>
      <c r="AI943" s="395"/>
      <c r="AJ943" s="395"/>
      <c r="AK943" s="395"/>
    </row>
    <row r="944">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c r="AA944" s="395"/>
      <c r="AB944" s="395"/>
      <c r="AC944" s="395"/>
      <c r="AD944" s="395"/>
      <c r="AE944" s="395"/>
      <c r="AF944" s="395"/>
      <c r="AG944" s="395"/>
      <c r="AH944" s="395"/>
      <c r="AI944" s="395"/>
      <c r="AJ944" s="395"/>
      <c r="AK944" s="395"/>
    </row>
    <row r="945">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c r="AA945" s="395"/>
      <c r="AB945" s="395"/>
      <c r="AC945" s="395"/>
      <c r="AD945" s="395"/>
      <c r="AE945" s="395"/>
      <c r="AF945" s="395"/>
      <c r="AG945" s="395"/>
      <c r="AH945" s="395"/>
      <c r="AI945" s="395"/>
      <c r="AJ945" s="395"/>
      <c r="AK945" s="395"/>
    </row>
    <row r="946">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c r="AA946" s="395"/>
      <c r="AB946" s="395"/>
      <c r="AC946" s="395"/>
      <c r="AD946" s="395"/>
      <c r="AE946" s="395"/>
      <c r="AF946" s="395"/>
      <c r="AG946" s="395"/>
      <c r="AH946" s="395"/>
      <c r="AI946" s="395"/>
      <c r="AJ946" s="395"/>
      <c r="AK946" s="395"/>
    </row>
    <row r="947">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c r="AA947" s="395"/>
      <c r="AB947" s="395"/>
      <c r="AC947" s="395"/>
      <c r="AD947" s="395"/>
      <c r="AE947" s="395"/>
      <c r="AF947" s="395"/>
      <c r="AG947" s="395"/>
      <c r="AH947" s="395"/>
      <c r="AI947" s="395"/>
      <c r="AJ947" s="395"/>
      <c r="AK947" s="395"/>
    </row>
    <row r="948">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c r="AA948" s="395"/>
      <c r="AB948" s="395"/>
      <c r="AC948" s="395"/>
      <c r="AD948" s="395"/>
      <c r="AE948" s="395"/>
      <c r="AF948" s="395"/>
      <c r="AG948" s="395"/>
      <c r="AH948" s="395"/>
      <c r="AI948" s="395"/>
      <c r="AJ948" s="395"/>
      <c r="AK948" s="395"/>
    </row>
    <row r="949">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c r="AA949" s="395"/>
      <c r="AB949" s="395"/>
      <c r="AC949" s="395"/>
      <c r="AD949" s="395"/>
      <c r="AE949" s="395"/>
      <c r="AF949" s="395"/>
      <c r="AG949" s="395"/>
      <c r="AH949" s="395"/>
      <c r="AI949" s="395"/>
      <c r="AJ949" s="395"/>
      <c r="AK949" s="395"/>
    </row>
    <row r="950">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c r="AA950" s="395"/>
      <c r="AB950" s="395"/>
      <c r="AC950" s="395"/>
      <c r="AD950" s="395"/>
      <c r="AE950" s="395"/>
      <c r="AF950" s="395"/>
      <c r="AG950" s="395"/>
      <c r="AH950" s="395"/>
      <c r="AI950" s="395"/>
      <c r="AJ950" s="395"/>
      <c r="AK950" s="395"/>
    </row>
    <row r="95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c r="AA951" s="395"/>
      <c r="AB951" s="395"/>
      <c r="AC951" s="395"/>
      <c r="AD951" s="395"/>
      <c r="AE951" s="395"/>
      <c r="AF951" s="395"/>
      <c r="AG951" s="395"/>
      <c r="AH951" s="395"/>
      <c r="AI951" s="395"/>
      <c r="AJ951" s="395"/>
      <c r="AK951" s="395"/>
    </row>
    <row r="952">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c r="AA952" s="395"/>
      <c r="AB952" s="395"/>
      <c r="AC952" s="395"/>
      <c r="AD952" s="395"/>
      <c r="AE952" s="395"/>
      <c r="AF952" s="395"/>
      <c r="AG952" s="395"/>
      <c r="AH952" s="395"/>
      <c r="AI952" s="395"/>
      <c r="AJ952" s="395"/>
      <c r="AK952" s="395"/>
    </row>
    <row r="953">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c r="AA953" s="395"/>
      <c r="AB953" s="395"/>
      <c r="AC953" s="395"/>
      <c r="AD953" s="395"/>
      <c r="AE953" s="395"/>
      <c r="AF953" s="395"/>
      <c r="AG953" s="395"/>
      <c r="AH953" s="395"/>
      <c r="AI953" s="395"/>
      <c r="AJ953" s="395"/>
      <c r="AK953" s="395"/>
    </row>
    <row r="954">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c r="AA954" s="395"/>
      <c r="AB954" s="395"/>
      <c r="AC954" s="395"/>
      <c r="AD954" s="395"/>
      <c r="AE954" s="395"/>
      <c r="AF954" s="395"/>
      <c r="AG954" s="395"/>
      <c r="AH954" s="395"/>
      <c r="AI954" s="395"/>
      <c r="AJ954" s="395"/>
      <c r="AK954" s="395"/>
    </row>
    <row r="955">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c r="AA955" s="395"/>
      <c r="AB955" s="395"/>
      <c r="AC955" s="395"/>
      <c r="AD955" s="395"/>
      <c r="AE955" s="395"/>
      <c r="AF955" s="395"/>
      <c r="AG955" s="395"/>
      <c r="AH955" s="395"/>
      <c r="AI955" s="395"/>
      <c r="AJ955" s="395"/>
      <c r="AK955" s="395"/>
    </row>
    <row r="956">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c r="AA956" s="395"/>
      <c r="AB956" s="395"/>
      <c r="AC956" s="395"/>
      <c r="AD956" s="395"/>
      <c r="AE956" s="395"/>
      <c r="AF956" s="395"/>
      <c r="AG956" s="395"/>
      <c r="AH956" s="395"/>
      <c r="AI956" s="395"/>
      <c r="AJ956" s="395"/>
      <c r="AK956" s="395"/>
    </row>
    <row r="957">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c r="AA957" s="395"/>
      <c r="AB957" s="395"/>
      <c r="AC957" s="395"/>
      <c r="AD957" s="395"/>
      <c r="AE957" s="395"/>
      <c r="AF957" s="395"/>
      <c r="AG957" s="395"/>
      <c r="AH957" s="395"/>
      <c r="AI957" s="395"/>
      <c r="AJ957" s="395"/>
      <c r="AK957" s="395"/>
    </row>
    <row r="958">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c r="AA958" s="395"/>
      <c r="AB958" s="395"/>
      <c r="AC958" s="395"/>
      <c r="AD958" s="395"/>
      <c r="AE958" s="395"/>
      <c r="AF958" s="395"/>
      <c r="AG958" s="395"/>
      <c r="AH958" s="395"/>
      <c r="AI958" s="395"/>
      <c r="AJ958" s="395"/>
      <c r="AK958" s="395"/>
    </row>
    <row r="959">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c r="AA959" s="395"/>
      <c r="AB959" s="395"/>
      <c r="AC959" s="395"/>
      <c r="AD959" s="395"/>
      <c r="AE959" s="395"/>
      <c r="AF959" s="395"/>
      <c r="AG959" s="395"/>
      <c r="AH959" s="395"/>
      <c r="AI959" s="395"/>
      <c r="AJ959" s="395"/>
      <c r="AK959" s="395"/>
    </row>
    <row r="960">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c r="AA960" s="395"/>
      <c r="AB960" s="395"/>
      <c r="AC960" s="395"/>
      <c r="AD960" s="395"/>
      <c r="AE960" s="395"/>
      <c r="AF960" s="395"/>
      <c r="AG960" s="395"/>
      <c r="AH960" s="395"/>
      <c r="AI960" s="395"/>
      <c r="AJ960" s="395"/>
      <c r="AK960" s="395"/>
    </row>
    <row r="96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c r="AA961" s="395"/>
      <c r="AB961" s="395"/>
      <c r="AC961" s="395"/>
      <c r="AD961" s="395"/>
      <c r="AE961" s="395"/>
      <c r="AF961" s="395"/>
      <c r="AG961" s="395"/>
      <c r="AH961" s="395"/>
      <c r="AI961" s="395"/>
      <c r="AJ961" s="395"/>
      <c r="AK961" s="395"/>
    </row>
    <row r="962">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c r="AA962" s="395"/>
      <c r="AB962" s="395"/>
      <c r="AC962" s="395"/>
      <c r="AD962" s="395"/>
      <c r="AE962" s="395"/>
      <c r="AF962" s="395"/>
      <c r="AG962" s="395"/>
      <c r="AH962" s="395"/>
      <c r="AI962" s="395"/>
      <c r="AJ962" s="395"/>
      <c r="AK962" s="395"/>
    </row>
    <row r="963">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c r="AA963" s="395"/>
      <c r="AB963" s="395"/>
      <c r="AC963" s="395"/>
      <c r="AD963" s="395"/>
      <c r="AE963" s="395"/>
      <c r="AF963" s="395"/>
      <c r="AG963" s="395"/>
      <c r="AH963" s="395"/>
      <c r="AI963" s="395"/>
      <c r="AJ963" s="395"/>
      <c r="AK963" s="395"/>
    </row>
    <row r="964">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c r="AA964" s="395"/>
      <c r="AB964" s="395"/>
      <c r="AC964" s="395"/>
      <c r="AD964" s="395"/>
      <c r="AE964" s="395"/>
      <c r="AF964" s="395"/>
      <c r="AG964" s="395"/>
      <c r="AH964" s="395"/>
      <c r="AI964" s="395"/>
      <c r="AJ964" s="395"/>
      <c r="AK964" s="395"/>
    </row>
    <row r="965">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c r="AA965" s="395"/>
      <c r="AB965" s="395"/>
      <c r="AC965" s="395"/>
      <c r="AD965" s="395"/>
      <c r="AE965" s="395"/>
      <c r="AF965" s="395"/>
      <c r="AG965" s="395"/>
      <c r="AH965" s="395"/>
      <c r="AI965" s="395"/>
      <c r="AJ965" s="395"/>
      <c r="AK965" s="395"/>
    </row>
    <row r="966">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c r="AA966" s="395"/>
      <c r="AB966" s="395"/>
      <c r="AC966" s="395"/>
      <c r="AD966" s="395"/>
      <c r="AE966" s="395"/>
      <c r="AF966" s="395"/>
      <c r="AG966" s="395"/>
      <c r="AH966" s="395"/>
      <c r="AI966" s="395"/>
      <c r="AJ966" s="395"/>
      <c r="AK966" s="395"/>
    </row>
    <row r="967">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c r="AA967" s="395"/>
      <c r="AB967" s="395"/>
      <c r="AC967" s="395"/>
      <c r="AD967" s="395"/>
      <c r="AE967" s="395"/>
      <c r="AF967" s="395"/>
      <c r="AG967" s="395"/>
      <c r="AH967" s="395"/>
      <c r="AI967" s="395"/>
      <c r="AJ967" s="395"/>
      <c r="AK967" s="395"/>
    </row>
    <row r="968">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c r="AA968" s="395"/>
      <c r="AB968" s="395"/>
      <c r="AC968" s="395"/>
      <c r="AD968" s="395"/>
      <c r="AE968" s="395"/>
      <c r="AF968" s="395"/>
      <c r="AG968" s="395"/>
      <c r="AH968" s="395"/>
      <c r="AI968" s="395"/>
      <c r="AJ968" s="395"/>
      <c r="AK968" s="395"/>
    </row>
    <row r="969">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c r="AA969" s="395"/>
      <c r="AB969" s="395"/>
      <c r="AC969" s="395"/>
      <c r="AD969" s="395"/>
      <c r="AE969" s="395"/>
      <c r="AF969" s="395"/>
      <c r="AG969" s="395"/>
      <c r="AH969" s="395"/>
      <c r="AI969" s="395"/>
      <c r="AJ969" s="395"/>
      <c r="AK969" s="395"/>
    </row>
    <row r="970">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c r="AA970" s="395"/>
      <c r="AB970" s="395"/>
      <c r="AC970" s="395"/>
      <c r="AD970" s="395"/>
      <c r="AE970" s="395"/>
      <c r="AF970" s="395"/>
      <c r="AG970" s="395"/>
      <c r="AH970" s="395"/>
      <c r="AI970" s="395"/>
      <c r="AJ970" s="395"/>
      <c r="AK970" s="395"/>
    </row>
    <row r="97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c r="AA971" s="395"/>
      <c r="AB971" s="395"/>
      <c r="AC971" s="395"/>
      <c r="AD971" s="395"/>
      <c r="AE971" s="395"/>
      <c r="AF971" s="395"/>
      <c r="AG971" s="395"/>
      <c r="AH971" s="395"/>
      <c r="AI971" s="395"/>
      <c r="AJ971" s="395"/>
      <c r="AK971" s="395"/>
    </row>
    <row r="972">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c r="AA972" s="395"/>
      <c r="AB972" s="395"/>
      <c r="AC972" s="395"/>
      <c r="AD972" s="395"/>
      <c r="AE972" s="395"/>
      <c r="AF972" s="395"/>
      <c r="AG972" s="395"/>
      <c r="AH972" s="395"/>
      <c r="AI972" s="395"/>
      <c r="AJ972" s="395"/>
      <c r="AK972" s="395"/>
    </row>
    <row r="973">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c r="AA973" s="395"/>
      <c r="AB973" s="395"/>
      <c r="AC973" s="395"/>
      <c r="AD973" s="395"/>
      <c r="AE973" s="395"/>
      <c r="AF973" s="395"/>
      <c r="AG973" s="395"/>
      <c r="AH973" s="395"/>
      <c r="AI973" s="395"/>
      <c r="AJ973" s="395"/>
      <c r="AK973" s="395"/>
    </row>
    <row r="974">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c r="AA974" s="395"/>
      <c r="AB974" s="395"/>
      <c r="AC974" s="395"/>
      <c r="AD974" s="395"/>
      <c r="AE974" s="395"/>
      <c r="AF974" s="395"/>
      <c r="AG974" s="395"/>
      <c r="AH974" s="395"/>
      <c r="AI974" s="395"/>
      <c r="AJ974" s="395"/>
      <c r="AK974" s="395"/>
    </row>
    <row r="975">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c r="AA975" s="395"/>
      <c r="AB975" s="395"/>
      <c r="AC975" s="395"/>
      <c r="AD975" s="395"/>
      <c r="AE975" s="395"/>
      <c r="AF975" s="395"/>
      <c r="AG975" s="395"/>
      <c r="AH975" s="395"/>
      <c r="AI975" s="395"/>
      <c r="AJ975" s="395"/>
      <c r="AK975" s="395"/>
    </row>
    <row r="976">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c r="AA976" s="395"/>
      <c r="AB976" s="395"/>
      <c r="AC976" s="395"/>
      <c r="AD976" s="395"/>
      <c r="AE976" s="395"/>
      <c r="AF976" s="395"/>
      <c r="AG976" s="395"/>
      <c r="AH976" s="395"/>
      <c r="AI976" s="395"/>
      <c r="AJ976" s="395"/>
      <c r="AK976" s="395"/>
    </row>
    <row r="977">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c r="AA977" s="395"/>
      <c r="AB977" s="395"/>
      <c r="AC977" s="395"/>
      <c r="AD977" s="395"/>
      <c r="AE977" s="395"/>
      <c r="AF977" s="395"/>
      <c r="AG977" s="395"/>
      <c r="AH977" s="395"/>
      <c r="AI977" s="395"/>
      <c r="AJ977" s="395"/>
      <c r="AK977" s="395"/>
    </row>
    <row r="978">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c r="AA978" s="395"/>
      <c r="AB978" s="395"/>
      <c r="AC978" s="395"/>
      <c r="AD978" s="395"/>
      <c r="AE978" s="395"/>
      <c r="AF978" s="395"/>
      <c r="AG978" s="395"/>
      <c r="AH978" s="395"/>
      <c r="AI978" s="395"/>
      <c r="AJ978" s="395"/>
      <c r="AK978" s="395"/>
    </row>
    <row r="979">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c r="AA979" s="395"/>
      <c r="AB979" s="395"/>
      <c r="AC979" s="395"/>
      <c r="AD979" s="395"/>
      <c r="AE979" s="395"/>
      <c r="AF979" s="395"/>
      <c r="AG979" s="395"/>
      <c r="AH979" s="395"/>
      <c r="AI979" s="395"/>
      <c r="AJ979" s="395"/>
      <c r="AK979" s="395"/>
    </row>
    <row r="980">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c r="AA980" s="395"/>
      <c r="AB980" s="395"/>
      <c r="AC980" s="395"/>
      <c r="AD980" s="395"/>
      <c r="AE980" s="395"/>
      <c r="AF980" s="395"/>
      <c r="AG980" s="395"/>
      <c r="AH980" s="395"/>
      <c r="AI980" s="395"/>
      <c r="AJ980" s="395"/>
      <c r="AK980" s="395"/>
    </row>
    <row r="98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c r="AA981" s="395"/>
      <c r="AB981" s="395"/>
      <c r="AC981" s="395"/>
      <c r="AD981" s="395"/>
      <c r="AE981" s="395"/>
      <c r="AF981" s="395"/>
      <c r="AG981" s="395"/>
      <c r="AH981" s="395"/>
      <c r="AI981" s="395"/>
      <c r="AJ981" s="395"/>
      <c r="AK981" s="395"/>
    </row>
    <row r="982">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c r="AA982" s="395"/>
      <c r="AB982" s="395"/>
      <c r="AC982" s="395"/>
      <c r="AD982" s="395"/>
      <c r="AE982" s="395"/>
      <c r="AF982" s="395"/>
      <c r="AG982" s="395"/>
      <c r="AH982" s="395"/>
      <c r="AI982" s="395"/>
      <c r="AJ982" s="395"/>
      <c r="AK982" s="395"/>
    </row>
    <row r="983">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c r="AA983" s="395"/>
      <c r="AB983" s="395"/>
      <c r="AC983" s="395"/>
      <c r="AD983" s="395"/>
      <c r="AE983" s="395"/>
      <c r="AF983" s="395"/>
      <c r="AG983" s="395"/>
      <c r="AH983" s="395"/>
      <c r="AI983" s="395"/>
      <c r="AJ983" s="395"/>
      <c r="AK983" s="395"/>
    </row>
    <row r="984">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c r="AA984" s="395"/>
      <c r="AB984" s="395"/>
      <c r="AC984" s="395"/>
      <c r="AD984" s="395"/>
      <c r="AE984" s="395"/>
      <c r="AF984" s="395"/>
      <c r="AG984" s="395"/>
      <c r="AH984" s="395"/>
      <c r="AI984" s="395"/>
      <c r="AJ984" s="395"/>
      <c r="AK984" s="395"/>
    </row>
    <row r="985">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c r="AA985" s="395"/>
      <c r="AB985" s="395"/>
      <c r="AC985" s="395"/>
      <c r="AD985" s="395"/>
      <c r="AE985" s="395"/>
      <c r="AF985" s="395"/>
      <c r="AG985" s="395"/>
      <c r="AH985" s="395"/>
      <c r="AI985" s="395"/>
      <c r="AJ985" s="395"/>
      <c r="AK985" s="395"/>
    </row>
    <row r="986">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c r="AA986" s="395"/>
      <c r="AB986" s="395"/>
      <c r="AC986" s="395"/>
      <c r="AD986" s="395"/>
      <c r="AE986" s="395"/>
      <c r="AF986" s="395"/>
      <c r="AG986" s="395"/>
      <c r="AH986" s="395"/>
      <c r="AI986" s="395"/>
      <c r="AJ986" s="395"/>
      <c r="AK986" s="395"/>
    </row>
    <row r="987">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c r="AA987" s="395"/>
      <c r="AB987" s="395"/>
      <c r="AC987" s="395"/>
      <c r="AD987" s="395"/>
      <c r="AE987" s="395"/>
      <c r="AF987" s="395"/>
      <c r="AG987" s="395"/>
      <c r="AH987" s="395"/>
      <c r="AI987" s="395"/>
      <c r="AJ987" s="395"/>
      <c r="AK987" s="395"/>
    </row>
    <row r="988">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c r="AA988" s="395"/>
      <c r="AB988" s="395"/>
      <c r="AC988" s="395"/>
      <c r="AD988" s="395"/>
      <c r="AE988" s="395"/>
      <c r="AF988" s="395"/>
      <c r="AG988" s="395"/>
      <c r="AH988" s="395"/>
      <c r="AI988" s="395"/>
      <c r="AJ988" s="395"/>
      <c r="AK988" s="395"/>
    </row>
    <row r="989">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c r="AA989" s="395"/>
      <c r="AB989" s="395"/>
      <c r="AC989" s="395"/>
      <c r="AD989" s="395"/>
      <c r="AE989" s="395"/>
      <c r="AF989" s="395"/>
      <c r="AG989" s="395"/>
      <c r="AH989" s="395"/>
      <c r="AI989" s="395"/>
      <c r="AJ989" s="395"/>
      <c r="AK989" s="395"/>
    </row>
    <row r="990">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c r="AA990" s="395"/>
      <c r="AB990" s="395"/>
      <c r="AC990" s="395"/>
      <c r="AD990" s="395"/>
      <c r="AE990" s="395"/>
      <c r="AF990" s="395"/>
      <c r="AG990" s="395"/>
      <c r="AH990" s="395"/>
      <c r="AI990" s="395"/>
      <c r="AJ990" s="395"/>
      <c r="AK990" s="395"/>
    </row>
    <row r="99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c r="AA991" s="395"/>
      <c r="AB991" s="395"/>
      <c r="AC991" s="395"/>
      <c r="AD991" s="395"/>
      <c r="AE991" s="395"/>
      <c r="AF991" s="395"/>
      <c r="AG991" s="395"/>
      <c r="AH991" s="395"/>
      <c r="AI991" s="395"/>
      <c r="AJ991" s="395"/>
      <c r="AK991" s="395"/>
    </row>
    <row r="992">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c r="AA992" s="395"/>
      <c r="AB992" s="395"/>
      <c r="AC992" s="395"/>
      <c r="AD992" s="395"/>
      <c r="AE992" s="395"/>
      <c r="AF992" s="395"/>
      <c r="AG992" s="395"/>
      <c r="AH992" s="395"/>
      <c r="AI992" s="395"/>
      <c r="AJ992" s="395"/>
      <c r="AK992" s="395"/>
    </row>
    <row r="993">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c r="AA993" s="395"/>
      <c r="AB993" s="395"/>
      <c r="AC993" s="395"/>
      <c r="AD993" s="395"/>
      <c r="AE993" s="395"/>
      <c r="AF993" s="395"/>
      <c r="AG993" s="395"/>
      <c r="AH993" s="395"/>
      <c r="AI993" s="395"/>
      <c r="AJ993" s="395"/>
      <c r="AK993" s="395"/>
    </row>
    <row r="994">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c r="AA994" s="395"/>
      <c r="AB994" s="395"/>
      <c r="AC994" s="395"/>
      <c r="AD994" s="395"/>
      <c r="AE994" s="395"/>
      <c r="AF994" s="395"/>
      <c r="AG994" s="395"/>
      <c r="AH994" s="395"/>
      <c r="AI994" s="395"/>
      <c r="AJ994" s="395"/>
      <c r="AK994" s="395"/>
    </row>
    <row r="995">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c r="AA995" s="395"/>
      <c r="AB995" s="395"/>
      <c r="AC995" s="395"/>
      <c r="AD995" s="395"/>
      <c r="AE995" s="395"/>
      <c r="AF995" s="395"/>
      <c r="AG995" s="395"/>
      <c r="AH995" s="395"/>
      <c r="AI995" s="395"/>
      <c r="AJ995" s="395"/>
      <c r="AK995" s="395"/>
    </row>
    <row r="996">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c r="AA996" s="395"/>
      <c r="AB996" s="395"/>
      <c r="AC996" s="395"/>
      <c r="AD996" s="395"/>
      <c r="AE996" s="395"/>
      <c r="AF996" s="395"/>
      <c r="AG996" s="395"/>
      <c r="AH996" s="395"/>
      <c r="AI996" s="395"/>
      <c r="AJ996" s="395"/>
      <c r="AK996" s="395"/>
    </row>
    <row r="997">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c r="AA997" s="395"/>
      <c r="AB997" s="395"/>
      <c r="AC997" s="395"/>
      <c r="AD997" s="395"/>
      <c r="AE997" s="395"/>
      <c r="AF997" s="395"/>
      <c r="AG997" s="395"/>
      <c r="AH997" s="395"/>
      <c r="AI997" s="395"/>
      <c r="AJ997" s="395"/>
      <c r="AK997" s="395"/>
    </row>
    <row r="998">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c r="AA998" s="395"/>
      <c r="AB998" s="395"/>
      <c r="AC998" s="395"/>
      <c r="AD998" s="395"/>
      <c r="AE998" s="395"/>
      <c r="AF998" s="395"/>
      <c r="AG998" s="395"/>
      <c r="AH998" s="395"/>
      <c r="AI998" s="395"/>
      <c r="AJ998" s="395"/>
      <c r="AK998" s="395"/>
    </row>
    <row r="999">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c r="AA999" s="395"/>
      <c r="AB999" s="395"/>
      <c r="AC999" s="395"/>
      <c r="AD999" s="395"/>
      <c r="AE999" s="395"/>
      <c r="AF999" s="395"/>
      <c r="AG999" s="395"/>
      <c r="AH999" s="395"/>
      <c r="AI999" s="395"/>
      <c r="AJ999" s="395"/>
      <c r="AK999" s="395"/>
    </row>
    <row r="1000">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c r="AA1000" s="395"/>
      <c r="AB1000" s="395"/>
      <c r="AC1000" s="395"/>
      <c r="AD1000" s="395"/>
      <c r="AE1000" s="395"/>
      <c r="AF1000" s="395"/>
      <c r="AG1000" s="395"/>
      <c r="AH1000" s="395"/>
      <c r="AI1000" s="395"/>
      <c r="AJ1000" s="395"/>
      <c r="AK1000" s="395"/>
    </row>
  </sheetData>
  <mergeCells count="18">
    <mergeCell ref="B3:AK4"/>
    <mergeCell ref="B5:AK6"/>
    <mergeCell ref="W8:AH9"/>
    <mergeCell ref="W11:AH12"/>
    <mergeCell ref="W14:X14"/>
    <mergeCell ref="AD14:AE14"/>
    <mergeCell ref="V15:AA16"/>
    <mergeCell ref="V33:AI34"/>
    <mergeCell ref="C36:G37"/>
    <mergeCell ref="AE36:AI37"/>
    <mergeCell ref="B39:AK40"/>
    <mergeCell ref="AC15:AH16"/>
    <mergeCell ref="W18:AH19"/>
    <mergeCell ref="Z21:AA21"/>
    <mergeCell ref="V22:AA23"/>
    <mergeCell ref="X25:Y25"/>
    <mergeCell ref="V26:AI27"/>
    <mergeCell ref="V29:AI3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1.5"/>
    <col customWidth="1" min="2" max="2" width="4.38"/>
    <col customWidth="1" min="3" max="3" width="14.75"/>
    <col customWidth="1" min="4" max="5" width="12.88"/>
    <col customWidth="1" min="6" max="6" width="8.38"/>
    <col customWidth="1" min="7" max="7" width="16.0"/>
    <col customWidth="1" min="8" max="8" width="10.13"/>
    <col customWidth="1" min="9" max="9" width="8.0"/>
    <col customWidth="1" min="10" max="10" width="2.25"/>
    <col customWidth="1" min="11" max="11" width="5.38"/>
    <col customWidth="1" min="12" max="12" width="11.75"/>
    <col customWidth="1" min="14" max="14" width="3.25"/>
    <col customWidth="1" min="15" max="15" width="5.13"/>
    <col customWidth="1" min="16" max="16" width="8.75"/>
    <col customWidth="1" min="17" max="17" width="6.88"/>
    <col customWidth="1" min="18" max="18" width="12.63"/>
    <col customWidth="1" min="20" max="20" width="6.75"/>
    <col customWidth="1" min="22" max="22" width="15.63"/>
  </cols>
  <sheetData>
    <row r="1">
      <c r="A1" s="8"/>
      <c r="B1" s="10"/>
      <c r="C1" s="10"/>
      <c r="D1" s="10"/>
      <c r="E1" s="13" t="s">
        <v>4</v>
      </c>
      <c r="F1" s="10"/>
      <c r="G1" s="10"/>
      <c r="H1" s="10"/>
      <c r="I1" s="10"/>
      <c r="J1" s="10"/>
      <c r="K1" s="10"/>
      <c r="L1" s="10"/>
      <c r="M1" s="10"/>
      <c r="N1" s="10"/>
      <c r="O1" s="10"/>
      <c r="P1" s="10"/>
      <c r="Q1" s="10"/>
      <c r="R1" s="17" t="s">
        <v>5</v>
      </c>
      <c r="S1" s="10"/>
      <c r="T1" s="19"/>
      <c r="U1" s="403"/>
      <c r="V1" s="403"/>
      <c r="W1" s="403"/>
      <c r="X1" s="403"/>
      <c r="Y1" s="403"/>
      <c r="Z1" s="403"/>
      <c r="AA1" s="403"/>
      <c r="AB1" s="403"/>
      <c r="AC1" s="403"/>
      <c r="AD1" s="403"/>
      <c r="AE1" s="403"/>
      <c r="AF1" s="403"/>
      <c r="AG1" s="403"/>
    </row>
    <row r="2">
      <c r="A2" s="21"/>
      <c r="E2" s="21"/>
      <c r="R2" s="25" t="s">
        <v>7</v>
      </c>
      <c r="T2" s="27"/>
      <c r="U2" s="403"/>
      <c r="V2" s="403"/>
      <c r="W2" s="403"/>
      <c r="X2" s="403"/>
      <c r="Y2" s="403"/>
      <c r="Z2" s="403"/>
      <c r="AA2" s="403"/>
      <c r="AB2" s="403"/>
      <c r="AC2" s="403"/>
      <c r="AD2" s="403"/>
      <c r="AE2" s="403"/>
      <c r="AF2" s="403"/>
      <c r="AG2" s="403"/>
    </row>
    <row r="3">
      <c r="A3" s="21"/>
      <c r="E3" s="21"/>
      <c r="R3" s="29" t="s">
        <v>9</v>
      </c>
      <c r="S3" s="52"/>
      <c r="T3" s="30"/>
      <c r="U3" s="403"/>
      <c r="V3" s="403"/>
      <c r="W3" s="403"/>
      <c r="X3" s="403"/>
      <c r="Y3" s="403"/>
      <c r="Z3" s="403"/>
      <c r="AA3" s="403"/>
      <c r="AB3" s="403"/>
      <c r="AC3" s="403"/>
      <c r="AD3" s="403"/>
      <c r="AE3" s="403"/>
      <c r="AF3" s="403"/>
      <c r="AG3" s="403"/>
    </row>
    <row r="4">
      <c r="A4" s="34" t="s">
        <v>10</v>
      </c>
      <c r="B4" s="35"/>
      <c r="C4" s="35"/>
      <c r="D4" s="35"/>
      <c r="E4" s="35"/>
      <c r="F4" s="35"/>
      <c r="G4" s="35"/>
      <c r="H4" s="35"/>
      <c r="I4" s="35"/>
      <c r="J4" s="35"/>
      <c r="K4" s="35"/>
      <c r="L4" s="35"/>
      <c r="M4" s="35"/>
      <c r="N4" s="35"/>
      <c r="O4" s="35"/>
      <c r="P4" s="35"/>
      <c r="Q4" s="36"/>
      <c r="R4" s="38" t="s">
        <v>14</v>
      </c>
      <c r="S4" s="52"/>
      <c r="T4" s="30"/>
      <c r="U4" s="403"/>
      <c r="V4" s="403"/>
      <c r="W4" s="403"/>
      <c r="X4" s="403"/>
      <c r="Y4" s="403"/>
      <c r="Z4" s="403"/>
      <c r="AA4" s="403"/>
      <c r="AB4" s="403"/>
      <c r="AC4" s="403"/>
      <c r="AD4" s="403"/>
      <c r="AE4" s="403"/>
      <c r="AF4" s="403"/>
      <c r="AG4" s="403"/>
    </row>
    <row r="5">
      <c r="A5" s="408"/>
      <c r="B5" s="409"/>
      <c r="C5" s="408"/>
      <c r="D5" s="408"/>
      <c r="E5" s="410"/>
      <c r="F5" s="410"/>
      <c r="G5" s="410"/>
      <c r="H5" s="410"/>
      <c r="I5" s="410"/>
      <c r="J5" s="410"/>
      <c r="K5" s="410"/>
      <c r="L5" s="410"/>
      <c r="M5" s="410"/>
      <c r="N5" s="410"/>
      <c r="O5" s="410"/>
      <c r="P5" s="410"/>
      <c r="Q5" s="410"/>
    </row>
    <row r="6">
      <c r="A6" s="408"/>
      <c r="B6" s="411" t="s">
        <v>458</v>
      </c>
      <c r="C6" s="408"/>
      <c r="D6" s="408"/>
      <c r="E6" s="410"/>
      <c r="F6" s="410"/>
      <c r="G6" s="410"/>
      <c r="H6" s="410"/>
      <c r="I6" s="410"/>
      <c r="J6" s="410"/>
      <c r="K6" s="410"/>
      <c r="L6" s="410"/>
      <c r="M6" s="410"/>
      <c r="N6" s="410"/>
      <c r="O6" s="410"/>
      <c r="P6" s="410"/>
      <c r="Q6" s="410"/>
    </row>
    <row r="7">
      <c r="A7" s="408"/>
      <c r="B7" s="408"/>
      <c r="C7" s="412"/>
      <c r="D7" s="408"/>
      <c r="E7" s="410"/>
      <c r="F7" s="410"/>
      <c r="G7" s="410"/>
      <c r="H7" s="412"/>
      <c r="I7" s="410"/>
      <c r="J7" s="410"/>
      <c r="K7" s="410"/>
      <c r="L7" s="412"/>
      <c r="M7" s="410"/>
      <c r="N7" s="410"/>
      <c r="O7" s="410"/>
      <c r="P7" s="410"/>
      <c r="Q7" s="410"/>
    </row>
    <row r="8" ht="9.75" customHeight="1">
      <c r="A8" s="408"/>
      <c r="B8" s="414"/>
      <c r="C8" s="415"/>
      <c r="D8" s="414"/>
      <c r="E8" s="416"/>
      <c r="F8" s="416"/>
      <c r="G8" s="416"/>
      <c r="H8" s="415"/>
      <c r="I8" s="416"/>
      <c r="J8" s="416"/>
      <c r="K8" s="416"/>
      <c r="L8" s="415"/>
      <c r="M8" s="416"/>
      <c r="N8" s="416"/>
      <c r="O8" s="416"/>
      <c r="P8" s="416"/>
      <c r="Q8" s="416"/>
      <c r="R8" s="416"/>
      <c r="S8" s="416"/>
    </row>
    <row r="9" ht="6.0" customHeight="1">
      <c r="A9" s="418"/>
      <c r="B9" s="418"/>
      <c r="C9" s="418"/>
      <c r="D9" s="418"/>
    </row>
    <row r="10">
      <c r="B10" s="419" t="s">
        <v>461</v>
      </c>
      <c r="C10" s="412"/>
      <c r="D10" s="408"/>
      <c r="E10" s="408"/>
      <c r="G10" s="421" t="s">
        <v>463</v>
      </c>
      <c r="H10" s="412"/>
      <c r="I10" s="410"/>
      <c r="K10" s="421" t="s">
        <v>465</v>
      </c>
      <c r="L10" s="412"/>
      <c r="M10" s="410"/>
      <c r="O10" s="422" t="s">
        <v>80</v>
      </c>
      <c r="P10" s="412"/>
      <c r="Q10" s="408"/>
      <c r="R10" s="408"/>
      <c r="T10" s="410" t="s">
        <v>466</v>
      </c>
      <c r="U10" s="410"/>
      <c r="V10" s="410"/>
      <c r="W10" s="424" t="s">
        <v>467</v>
      </c>
    </row>
    <row r="11" ht="6.0" customHeight="1">
      <c r="B11" s="426"/>
      <c r="C11" s="427"/>
      <c r="D11" s="426"/>
      <c r="E11" s="426"/>
      <c r="G11" s="428"/>
      <c r="H11" s="427"/>
      <c r="I11" s="428"/>
      <c r="K11" s="428"/>
      <c r="L11" s="427"/>
      <c r="M11" s="428"/>
      <c r="O11" s="426"/>
      <c r="P11" s="427"/>
      <c r="Q11" s="426"/>
      <c r="R11" s="426"/>
      <c r="T11" s="428"/>
      <c r="U11" s="428"/>
      <c r="V11" s="428"/>
    </row>
    <row r="12">
      <c r="B12" s="429" t="s">
        <v>470</v>
      </c>
      <c r="C12" s="430" t="s">
        <v>117</v>
      </c>
      <c r="D12" s="431" t="s">
        <v>472</v>
      </c>
      <c r="E12" s="431" t="s">
        <v>473</v>
      </c>
      <c r="G12" s="432" t="s">
        <v>470</v>
      </c>
      <c r="H12" s="433" t="s">
        <v>474</v>
      </c>
      <c r="I12" s="433" t="s">
        <v>475</v>
      </c>
      <c r="K12" s="434" t="s">
        <v>470</v>
      </c>
      <c r="L12" s="435" t="s">
        <v>465</v>
      </c>
      <c r="M12" s="435" t="s">
        <v>477</v>
      </c>
      <c r="O12" s="429" t="s">
        <v>470</v>
      </c>
      <c r="P12" s="436" t="s">
        <v>478</v>
      </c>
      <c r="Q12" s="436" t="s">
        <v>475</v>
      </c>
      <c r="R12" s="431" t="s">
        <v>473</v>
      </c>
      <c r="T12" s="437" t="s">
        <v>470</v>
      </c>
      <c r="U12" s="438" t="s">
        <v>479</v>
      </c>
      <c r="V12" s="438" t="s">
        <v>473</v>
      </c>
      <c r="W12" s="429" t="s">
        <v>470</v>
      </c>
      <c r="X12" s="436" t="s">
        <v>478</v>
      </c>
    </row>
    <row r="13">
      <c r="B13" s="439">
        <v>1.0</v>
      </c>
      <c r="C13" s="440" t="s">
        <v>480</v>
      </c>
      <c r="D13" s="441">
        <f t="shared" ref="D13:D23" si="1">COUNTIF(INDIRECT("Planning Dev!"&amp;"N10:N61"),C13)</f>
        <v>0</v>
      </c>
      <c r="E13" s="442"/>
      <c r="G13" s="439">
        <v>1.0</v>
      </c>
      <c r="H13" s="443" t="s">
        <v>184</v>
      </c>
      <c r="I13" s="444"/>
      <c r="K13" s="445">
        <v>1.0</v>
      </c>
      <c r="L13" s="446"/>
      <c r="M13" s="448"/>
      <c r="O13" s="439">
        <v>1.0</v>
      </c>
      <c r="P13" s="449"/>
      <c r="Q13" s="441"/>
      <c r="R13" s="451"/>
      <c r="T13" s="452">
        <v>1.0</v>
      </c>
      <c r="U13" s="453"/>
      <c r="V13" s="454"/>
      <c r="W13" s="439"/>
      <c r="X13" s="449"/>
    </row>
    <row r="14">
      <c r="B14" s="455">
        <v>2.0</v>
      </c>
      <c r="C14" s="456" t="s">
        <v>484</v>
      </c>
      <c r="D14" s="441">
        <f t="shared" si="1"/>
        <v>0</v>
      </c>
      <c r="E14" s="457"/>
      <c r="G14" s="458">
        <v>2.0</v>
      </c>
      <c r="H14" s="443" t="s">
        <v>487</v>
      </c>
      <c r="I14" s="444"/>
      <c r="O14" s="455">
        <v>2.0</v>
      </c>
      <c r="P14" s="459"/>
      <c r="Q14" s="441"/>
      <c r="R14" s="460"/>
      <c r="T14" s="461">
        <v>2.0</v>
      </c>
      <c r="U14" s="462"/>
      <c r="V14" s="463"/>
      <c r="W14" s="455"/>
      <c r="X14" s="459"/>
    </row>
    <row r="15">
      <c r="B15" s="439">
        <v>3.0</v>
      </c>
      <c r="C15" s="440" t="s">
        <v>489</v>
      </c>
      <c r="D15" s="441">
        <f t="shared" si="1"/>
        <v>0</v>
      </c>
      <c r="E15" s="442"/>
      <c r="G15" s="439">
        <v>3.0</v>
      </c>
      <c r="H15" s="464" t="s">
        <v>490</v>
      </c>
      <c r="I15" s="444"/>
      <c r="O15" s="439">
        <v>3.0</v>
      </c>
      <c r="P15" s="449"/>
      <c r="Q15" s="441"/>
      <c r="R15" s="451"/>
      <c r="T15" s="452">
        <v>3.0</v>
      </c>
      <c r="U15" s="453"/>
      <c r="V15" s="454"/>
      <c r="W15" s="439"/>
      <c r="X15" s="449"/>
    </row>
    <row r="16">
      <c r="B16" s="455">
        <v>4.0</v>
      </c>
      <c r="C16" s="459" t="s">
        <v>492</v>
      </c>
      <c r="D16" s="441">
        <f t="shared" si="1"/>
        <v>0</v>
      </c>
      <c r="E16" s="457"/>
      <c r="G16" s="458">
        <v>4.0</v>
      </c>
      <c r="H16" s="468"/>
      <c r="I16" s="444"/>
      <c r="O16" s="455">
        <v>4.0</v>
      </c>
      <c r="P16" s="449"/>
      <c r="Q16" s="441"/>
      <c r="R16" s="451"/>
      <c r="T16" s="461">
        <v>4.0</v>
      </c>
      <c r="U16" s="462"/>
      <c r="V16" s="463"/>
      <c r="W16" s="455"/>
      <c r="X16" s="459"/>
    </row>
    <row r="17">
      <c r="B17" s="439">
        <v>5.0</v>
      </c>
      <c r="C17" s="449" t="s">
        <v>495</v>
      </c>
      <c r="D17" s="441">
        <f t="shared" si="1"/>
        <v>0</v>
      </c>
      <c r="E17" s="442"/>
      <c r="G17" s="469">
        <v>5.0</v>
      </c>
      <c r="H17" s="464"/>
      <c r="I17" s="444"/>
      <c r="O17" s="439">
        <v>5.0</v>
      </c>
      <c r="P17" s="470"/>
      <c r="Q17" s="471"/>
      <c r="R17" s="472"/>
      <c r="T17" s="473"/>
      <c r="U17" s="453"/>
      <c r="V17" s="454"/>
      <c r="W17" s="439"/>
      <c r="X17" s="449"/>
    </row>
    <row r="18">
      <c r="B18" s="455">
        <v>6.0</v>
      </c>
      <c r="C18" s="456"/>
      <c r="D18" s="441">
        <f t="shared" si="1"/>
        <v>0</v>
      </c>
      <c r="E18" s="457"/>
      <c r="G18" s="476">
        <v>6.0</v>
      </c>
      <c r="H18" s="468"/>
      <c r="I18" s="444"/>
      <c r="O18" s="455">
        <v>6.0</v>
      </c>
      <c r="P18" s="477"/>
      <c r="Q18" s="477"/>
      <c r="R18" s="477"/>
      <c r="T18" s="461"/>
      <c r="U18" s="462"/>
      <c r="V18" s="463"/>
      <c r="W18" s="455"/>
      <c r="X18" s="459"/>
    </row>
    <row r="19">
      <c r="B19" s="439">
        <v>7.0</v>
      </c>
      <c r="C19" s="440"/>
      <c r="D19" s="441">
        <f t="shared" si="1"/>
        <v>0</v>
      </c>
      <c r="E19" s="442"/>
      <c r="G19" s="469">
        <v>7.0</v>
      </c>
      <c r="H19" s="464"/>
      <c r="I19" s="444"/>
      <c r="O19" s="439">
        <v>7.0</v>
      </c>
      <c r="P19" s="477"/>
      <c r="Q19" s="471"/>
      <c r="R19" s="478"/>
      <c r="T19" s="473"/>
      <c r="U19" s="453"/>
      <c r="V19" s="454"/>
    </row>
    <row r="20">
      <c r="B20" s="480">
        <v>8.0</v>
      </c>
      <c r="C20" s="459"/>
      <c r="D20" s="441">
        <f t="shared" si="1"/>
        <v>0</v>
      </c>
      <c r="E20" s="457"/>
      <c r="G20" s="476">
        <v>8.0</v>
      </c>
      <c r="H20" s="468"/>
      <c r="I20" s="444"/>
      <c r="O20" s="480">
        <v>8.0</v>
      </c>
      <c r="P20" s="470"/>
      <c r="Q20" s="471"/>
      <c r="R20" s="481"/>
      <c r="T20" s="461"/>
      <c r="U20" s="462"/>
      <c r="V20" s="482"/>
    </row>
    <row r="21">
      <c r="B21" s="469">
        <v>9.0</v>
      </c>
      <c r="C21" s="449"/>
      <c r="D21" s="441">
        <f t="shared" si="1"/>
        <v>0</v>
      </c>
      <c r="E21" s="442"/>
      <c r="G21" s="469">
        <v>9.0</v>
      </c>
      <c r="H21" s="464"/>
      <c r="I21" s="444"/>
      <c r="O21" s="469">
        <v>9.0</v>
      </c>
      <c r="P21" s="483"/>
      <c r="Q21" s="471"/>
      <c r="R21" s="444"/>
      <c r="T21" s="473"/>
      <c r="U21" s="453"/>
      <c r="V21" s="454"/>
    </row>
    <row r="22">
      <c r="B22" s="455">
        <v>10.0</v>
      </c>
      <c r="C22" s="456"/>
      <c r="D22" s="441">
        <f t="shared" si="1"/>
        <v>0</v>
      </c>
      <c r="E22" s="457"/>
      <c r="G22" s="476">
        <v>10.0</v>
      </c>
      <c r="H22" s="468"/>
      <c r="I22" s="444"/>
      <c r="O22" s="455">
        <v>10.0</v>
      </c>
      <c r="P22" s="456"/>
      <c r="Q22" s="441"/>
      <c r="R22" s="457"/>
      <c r="T22" s="461"/>
      <c r="U22" s="462"/>
      <c r="V22" s="482"/>
    </row>
    <row r="23">
      <c r="B23" s="439">
        <v>11.0</v>
      </c>
      <c r="C23" s="440"/>
      <c r="D23" s="441">
        <f t="shared" si="1"/>
        <v>0</v>
      </c>
      <c r="E23" s="442"/>
      <c r="G23" s="469">
        <v>11.0</v>
      </c>
      <c r="H23" s="464"/>
      <c r="I23" s="444"/>
      <c r="O23" s="439">
        <v>11.0</v>
      </c>
      <c r="P23" s="440"/>
      <c r="Q23" s="441"/>
      <c r="R23" s="442"/>
      <c r="T23" s="473"/>
      <c r="U23" s="484"/>
      <c r="V23" s="486"/>
    </row>
    <row r="24">
      <c r="B24" s="487"/>
      <c r="G24" s="476">
        <v>12.0</v>
      </c>
      <c r="H24" s="468"/>
      <c r="I24" s="444"/>
      <c r="T24" s="461"/>
      <c r="U24" s="488"/>
      <c r="V24" s="489"/>
    </row>
    <row r="25">
      <c r="B25" s="487"/>
      <c r="G25" s="469">
        <v>13.0</v>
      </c>
      <c r="H25" s="477"/>
      <c r="I25" s="444"/>
      <c r="T25" s="473"/>
      <c r="U25" s="484"/>
      <c r="V25" s="486"/>
    </row>
    <row r="26">
      <c r="B26" s="487"/>
      <c r="G26" s="476">
        <v>14.0</v>
      </c>
      <c r="H26" s="477"/>
      <c r="I26" s="444"/>
      <c r="T26" s="461"/>
      <c r="U26" s="488"/>
      <c r="V26" s="489"/>
    </row>
    <row r="27">
      <c r="B27" s="487"/>
      <c r="G27" s="469">
        <v>15.0</v>
      </c>
      <c r="H27" s="490"/>
      <c r="I27" s="444"/>
    </row>
    <row r="28">
      <c r="B28" s="487"/>
      <c r="G28" s="476">
        <v>16.0</v>
      </c>
      <c r="H28" s="491"/>
      <c r="I28" s="444"/>
    </row>
    <row r="29">
      <c r="B29" s="487"/>
      <c r="G29" s="469">
        <v>17.0</v>
      </c>
      <c r="H29" s="493"/>
      <c r="I29" s="442"/>
    </row>
    <row r="30">
      <c r="B30" s="494"/>
      <c r="G30" s="476">
        <v>18.0</v>
      </c>
      <c r="H30" s="495"/>
      <c r="I30" s="442"/>
    </row>
    <row r="31">
      <c r="B31" s="494"/>
      <c r="G31" s="469">
        <v>19.0</v>
      </c>
      <c r="H31" s="493"/>
      <c r="I31" s="442"/>
    </row>
    <row r="32">
      <c r="B32" s="494"/>
      <c r="G32" s="476">
        <v>20.0</v>
      </c>
      <c r="H32" s="495"/>
      <c r="I32" s="442"/>
    </row>
    <row r="33">
      <c r="B33" s="494"/>
      <c r="G33" s="469">
        <v>21.0</v>
      </c>
      <c r="H33" s="493"/>
      <c r="I33" s="442"/>
    </row>
    <row r="34">
      <c r="B34" s="494"/>
      <c r="G34" s="476">
        <v>22.0</v>
      </c>
      <c r="H34" s="495"/>
      <c r="I34" s="442"/>
    </row>
    <row r="35">
      <c r="B35" s="494"/>
      <c r="G35" s="469">
        <v>23.0</v>
      </c>
      <c r="H35" s="493"/>
      <c r="I35" s="442"/>
    </row>
    <row r="36">
      <c r="B36" s="494"/>
      <c r="G36" s="476">
        <v>24.0</v>
      </c>
      <c r="H36" s="495"/>
      <c r="I36" s="442"/>
    </row>
    <row r="37">
      <c r="B37" s="494"/>
      <c r="G37" s="469">
        <v>25.0</v>
      </c>
      <c r="H37" s="493"/>
      <c r="I37" s="442"/>
    </row>
    <row r="38">
      <c r="B38" s="494"/>
      <c r="G38" s="476">
        <v>26.0</v>
      </c>
      <c r="H38" s="495"/>
      <c r="I38" s="442"/>
    </row>
    <row r="39">
      <c r="B39" s="494"/>
      <c r="G39" s="469">
        <v>27.0</v>
      </c>
      <c r="H39" s="493"/>
      <c r="I39" s="442"/>
    </row>
    <row r="40">
      <c r="B40" s="494"/>
      <c r="G40" s="476">
        <v>28.0</v>
      </c>
      <c r="H40" s="495"/>
      <c r="I40" s="442"/>
    </row>
    <row r="41">
      <c r="B41" s="494"/>
      <c r="G41" s="469">
        <v>29.0</v>
      </c>
      <c r="H41" s="493"/>
      <c r="I41" s="442"/>
    </row>
    <row r="42">
      <c r="B42" s="494"/>
      <c r="G42" s="476">
        <v>30.0</v>
      </c>
      <c r="H42" s="495"/>
      <c r="I42" s="442"/>
    </row>
    <row r="43">
      <c r="B43" s="494"/>
      <c r="G43" s="469">
        <v>31.0</v>
      </c>
      <c r="H43" s="493"/>
      <c r="I43" s="442"/>
    </row>
    <row r="44">
      <c r="B44" s="494"/>
      <c r="G44" s="476">
        <v>32.0</v>
      </c>
      <c r="H44" s="495"/>
      <c r="I44" s="442"/>
    </row>
    <row r="45">
      <c r="A45" s="494"/>
    </row>
    <row r="46">
      <c r="A46" s="494"/>
    </row>
    <row r="47">
      <c r="A47" s="494"/>
    </row>
    <row r="48">
      <c r="A48" s="494"/>
      <c r="B48" s="496" t="s">
        <v>500</v>
      </c>
    </row>
    <row r="49">
      <c r="A49" s="494"/>
      <c r="B49" s="497" t="s">
        <v>470</v>
      </c>
      <c r="C49" s="497" t="s">
        <v>501</v>
      </c>
      <c r="D49" s="497" t="s">
        <v>502</v>
      </c>
      <c r="E49" s="497" t="s">
        <v>504</v>
      </c>
      <c r="F49" s="497" t="s">
        <v>475</v>
      </c>
      <c r="G49" s="497" t="s">
        <v>117</v>
      </c>
    </row>
    <row r="50">
      <c r="A50" s="494"/>
      <c r="B50" s="499">
        <v>1.0</v>
      </c>
      <c r="C50" s="499"/>
      <c r="D50" s="500"/>
      <c r="E50" s="500"/>
      <c r="F50" s="501"/>
      <c r="G50" s="499"/>
    </row>
    <row r="51">
      <c r="A51" s="494"/>
      <c r="B51" s="499">
        <v>2.0</v>
      </c>
      <c r="C51" s="499"/>
      <c r="D51" s="500"/>
      <c r="E51" s="500"/>
      <c r="F51" s="501"/>
      <c r="G51" s="499"/>
    </row>
    <row r="52">
      <c r="A52" s="494"/>
      <c r="B52" s="499">
        <v>3.0</v>
      </c>
      <c r="C52" s="499"/>
      <c r="D52" s="500"/>
      <c r="E52" s="500"/>
      <c r="F52" s="501"/>
      <c r="G52" s="499"/>
    </row>
    <row r="53">
      <c r="A53" s="494"/>
      <c r="B53" s="499">
        <v>4.0</v>
      </c>
      <c r="C53" s="499"/>
      <c r="D53" s="500"/>
      <c r="E53" s="500"/>
      <c r="F53" s="501"/>
      <c r="G53" s="499"/>
    </row>
    <row r="54">
      <c r="A54" s="494"/>
      <c r="B54" s="499">
        <v>5.0</v>
      </c>
      <c r="C54" s="499"/>
      <c r="D54" s="500"/>
      <c r="E54" s="500"/>
      <c r="F54" s="501"/>
      <c r="G54" s="499"/>
    </row>
    <row r="55">
      <c r="A55" s="494"/>
      <c r="B55" s="499">
        <v>6.0</v>
      </c>
      <c r="C55" s="499"/>
      <c r="D55" s="500"/>
      <c r="E55" s="500"/>
      <c r="F55" s="501"/>
      <c r="G55" s="499"/>
    </row>
    <row r="56">
      <c r="A56" s="494"/>
      <c r="B56" s="499">
        <v>7.0</v>
      </c>
      <c r="C56" s="499"/>
      <c r="D56" s="500"/>
      <c r="E56" s="500"/>
      <c r="F56" s="501"/>
      <c r="G56" s="499"/>
    </row>
    <row r="57">
      <c r="A57" s="494"/>
      <c r="B57" s="499">
        <v>8.0</v>
      </c>
      <c r="C57" s="499"/>
      <c r="D57" s="503"/>
      <c r="E57" s="503"/>
      <c r="F57" s="501"/>
      <c r="G57" s="501"/>
    </row>
    <row r="58">
      <c r="A58" s="494"/>
      <c r="B58" s="499">
        <v>9.0</v>
      </c>
      <c r="C58" s="499"/>
      <c r="D58" s="503"/>
      <c r="E58" s="503"/>
      <c r="F58" s="501"/>
      <c r="G58" s="501"/>
    </row>
    <row r="59">
      <c r="A59" s="494"/>
      <c r="B59" s="499">
        <v>10.0</v>
      </c>
      <c r="C59" s="499"/>
      <c r="D59" s="503"/>
      <c r="E59" s="503"/>
      <c r="F59" s="501"/>
      <c r="G59" s="501"/>
    </row>
    <row r="60">
      <c r="A60" s="494"/>
      <c r="B60" s="499">
        <v>11.0</v>
      </c>
      <c r="C60" s="499"/>
      <c r="D60" s="503"/>
      <c r="E60" s="503"/>
      <c r="F60" s="501"/>
      <c r="G60" s="501"/>
    </row>
    <row r="61">
      <c r="A61" s="494"/>
      <c r="B61" s="499">
        <v>12.0</v>
      </c>
      <c r="C61" s="499"/>
      <c r="D61" s="503"/>
      <c r="E61" s="503"/>
      <c r="F61" s="501"/>
      <c r="G61" s="501"/>
    </row>
    <row r="62">
      <c r="A62" s="494"/>
      <c r="B62" s="499">
        <v>13.0</v>
      </c>
      <c r="C62" s="499"/>
      <c r="D62" s="503"/>
      <c r="E62" s="503"/>
      <c r="F62" s="501"/>
      <c r="G62" s="501"/>
    </row>
    <row r="63">
      <c r="A63" s="494"/>
      <c r="B63" s="499">
        <v>14.0</v>
      </c>
      <c r="C63" s="499"/>
      <c r="D63" s="503"/>
      <c r="E63" s="503"/>
      <c r="F63" s="501"/>
      <c r="G63" s="501"/>
    </row>
    <row r="64">
      <c r="A64" s="494"/>
      <c r="B64" s="501"/>
      <c r="C64" s="501"/>
      <c r="D64" s="503"/>
      <c r="E64" s="503"/>
      <c r="F64" s="501"/>
      <c r="G64" s="501"/>
    </row>
    <row r="65">
      <c r="A65" s="494"/>
    </row>
    <row r="66">
      <c r="A66" s="494"/>
    </row>
    <row r="67">
      <c r="A67" s="494"/>
    </row>
    <row r="68">
      <c r="A68" s="494"/>
    </row>
    <row r="69">
      <c r="A69" s="494"/>
    </row>
    <row r="70">
      <c r="A70" s="494"/>
    </row>
    <row r="71">
      <c r="A71" s="494"/>
    </row>
    <row r="72">
      <c r="A72" s="494"/>
    </row>
    <row r="73">
      <c r="A73" s="494"/>
    </row>
    <row r="74">
      <c r="A74" s="494"/>
    </row>
    <row r="75">
      <c r="A75" s="494"/>
    </row>
    <row r="76">
      <c r="A76" s="494"/>
    </row>
    <row r="77">
      <c r="A77" s="494"/>
    </row>
    <row r="78">
      <c r="A78" s="494"/>
    </row>
    <row r="79">
      <c r="A79" s="494"/>
    </row>
    <row r="80">
      <c r="A80" s="494"/>
    </row>
    <row r="81">
      <c r="A81" s="494"/>
    </row>
    <row r="82">
      <c r="A82" s="494"/>
    </row>
    <row r="83">
      <c r="A83" s="494"/>
    </row>
    <row r="84">
      <c r="A84" s="494"/>
    </row>
    <row r="85">
      <c r="A85" s="494"/>
    </row>
    <row r="86">
      <c r="A86" s="494"/>
    </row>
    <row r="87">
      <c r="A87" s="494"/>
    </row>
    <row r="88">
      <c r="A88" s="494"/>
    </row>
    <row r="89">
      <c r="A89" s="494"/>
    </row>
    <row r="90">
      <c r="A90" s="494"/>
    </row>
    <row r="91">
      <c r="A91" s="494"/>
    </row>
    <row r="92">
      <c r="A92" s="494"/>
    </row>
    <row r="93">
      <c r="A93" s="494"/>
    </row>
    <row r="94">
      <c r="A94" s="494"/>
    </row>
    <row r="95">
      <c r="A95" s="494"/>
    </row>
    <row r="96">
      <c r="A96" s="494"/>
    </row>
    <row r="97">
      <c r="A97" s="494"/>
    </row>
    <row r="98">
      <c r="A98" s="494"/>
    </row>
    <row r="99">
      <c r="A99" s="494"/>
    </row>
    <row r="100">
      <c r="A100" s="494"/>
    </row>
    <row r="101">
      <c r="A101" s="494"/>
    </row>
    <row r="102">
      <c r="A102" s="494"/>
    </row>
    <row r="103">
      <c r="A103" s="494"/>
    </row>
    <row r="104">
      <c r="A104" s="494"/>
    </row>
    <row r="105">
      <c r="A105" s="494"/>
    </row>
    <row r="106">
      <c r="A106" s="494"/>
    </row>
    <row r="107">
      <c r="A107" s="494"/>
    </row>
    <row r="108">
      <c r="A108" s="494"/>
    </row>
    <row r="109">
      <c r="A109" s="494"/>
    </row>
    <row r="110">
      <c r="A110" s="494"/>
    </row>
    <row r="111">
      <c r="A111" s="494"/>
    </row>
    <row r="112">
      <c r="A112" s="494"/>
    </row>
    <row r="113">
      <c r="A113" s="494"/>
    </row>
    <row r="114">
      <c r="A114" s="494"/>
    </row>
    <row r="115">
      <c r="A115" s="494"/>
    </row>
    <row r="116">
      <c r="A116" s="494"/>
    </row>
    <row r="117">
      <c r="A117" s="494"/>
    </row>
    <row r="118">
      <c r="A118" s="494"/>
    </row>
    <row r="119">
      <c r="A119" s="494"/>
    </row>
    <row r="120">
      <c r="A120" s="494"/>
    </row>
    <row r="121">
      <c r="A121" s="494"/>
    </row>
    <row r="122">
      <c r="A122" s="494"/>
    </row>
    <row r="123">
      <c r="A123" s="494"/>
    </row>
    <row r="124">
      <c r="A124" s="494"/>
    </row>
    <row r="125">
      <c r="A125" s="494"/>
    </row>
    <row r="126">
      <c r="A126" s="494"/>
    </row>
    <row r="127">
      <c r="A127" s="494"/>
    </row>
    <row r="128">
      <c r="A128" s="494"/>
    </row>
    <row r="129">
      <c r="A129" s="494"/>
    </row>
    <row r="130">
      <c r="A130" s="494"/>
    </row>
    <row r="131">
      <c r="A131" s="494"/>
    </row>
    <row r="132">
      <c r="A132" s="494"/>
    </row>
    <row r="133">
      <c r="A133" s="494"/>
    </row>
    <row r="134">
      <c r="A134" s="494"/>
    </row>
    <row r="135">
      <c r="A135" s="494"/>
    </row>
    <row r="136">
      <c r="A136" s="494"/>
    </row>
    <row r="137">
      <c r="A137" s="494"/>
    </row>
    <row r="138">
      <c r="A138" s="494"/>
    </row>
    <row r="139">
      <c r="A139" s="494"/>
    </row>
    <row r="140">
      <c r="A140" s="494"/>
    </row>
    <row r="141">
      <c r="A141" s="494"/>
    </row>
    <row r="142">
      <c r="A142" s="494"/>
    </row>
    <row r="143">
      <c r="A143" s="494"/>
    </row>
    <row r="144">
      <c r="A144" s="494"/>
    </row>
    <row r="145">
      <c r="A145" s="494"/>
    </row>
    <row r="146">
      <c r="A146" s="494"/>
    </row>
    <row r="147">
      <c r="A147" s="494"/>
    </row>
    <row r="148">
      <c r="A148" s="494"/>
    </row>
    <row r="149">
      <c r="A149" s="494"/>
    </row>
    <row r="150">
      <c r="A150" s="494"/>
    </row>
    <row r="151">
      <c r="A151" s="494"/>
    </row>
    <row r="152">
      <c r="A152" s="494"/>
    </row>
    <row r="153">
      <c r="A153" s="494"/>
    </row>
    <row r="154">
      <c r="A154" s="494"/>
    </row>
    <row r="155">
      <c r="A155" s="494"/>
    </row>
    <row r="156">
      <c r="A156" s="494"/>
    </row>
    <row r="157">
      <c r="A157" s="494"/>
    </row>
    <row r="158">
      <c r="A158" s="494"/>
    </row>
    <row r="159">
      <c r="A159" s="494"/>
    </row>
    <row r="160">
      <c r="A160" s="494"/>
    </row>
    <row r="161">
      <c r="A161" s="494"/>
    </row>
    <row r="162">
      <c r="A162" s="494"/>
    </row>
    <row r="163">
      <c r="A163" s="494"/>
    </row>
    <row r="164">
      <c r="A164" s="494"/>
    </row>
    <row r="165">
      <c r="A165" s="494"/>
    </row>
    <row r="166">
      <c r="A166" s="494"/>
    </row>
    <row r="167">
      <c r="A167" s="494"/>
    </row>
    <row r="168">
      <c r="A168" s="494"/>
    </row>
    <row r="169">
      <c r="A169" s="494"/>
    </row>
    <row r="170">
      <c r="A170" s="494"/>
    </row>
    <row r="171">
      <c r="A171" s="494"/>
    </row>
    <row r="172">
      <c r="A172" s="494"/>
    </row>
    <row r="173">
      <c r="A173" s="494"/>
    </row>
    <row r="174">
      <c r="A174" s="494"/>
    </row>
    <row r="175">
      <c r="A175" s="494"/>
    </row>
    <row r="176">
      <c r="A176" s="494"/>
    </row>
    <row r="177">
      <c r="A177" s="494"/>
    </row>
    <row r="178">
      <c r="A178" s="494"/>
    </row>
    <row r="179">
      <c r="A179" s="494"/>
    </row>
    <row r="180">
      <c r="A180" s="494"/>
    </row>
    <row r="181">
      <c r="A181" s="494"/>
    </row>
    <row r="182">
      <c r="A182" s="494"/>
    </row>
    <row r="183">
      <c r="A183" s="494"/>
    </row>
    <row r="184">
      <c r="A184" s="494"/>
    </row>
    <row r="185">
      <c r="A185" s="494"/>
    </row>
    <row r="186">
      <c r="A186" s="494"/>
    </row>
    <row r="187">
      <c r="A187" s="494"/>
    </row>
    <row r="188">
      <c r="A188" s="494"/>
    </row>
    <row r="189">
      <c r="A189" s="494"/>
    </row>
    <row r="190">
      <c r="A190" s="494"/>
    </row>
    <row r="191">
      <c r="A191" s="494"/>
    </row>
    <row r="192">
      <c r="A192" s="494"/>
    </row>
    <row r="193">
      <c r="A193" s="494"/>
    </row>
    <row r="194">
      <c r="A194" s="494"/>
    </row>
    <row r="195">
      <c r="A195" s="494"/>
    </row>
    <row r="196">
      <c r="A196" s="494"/>
    </row>
    <row r="197">
      <c r="A197" s="494"/>
    </row>
    <row r="198">
      <c r="A198" s="494"/>
    </row>
    <row r="199">
      <c r="A199" s="494"/>
    </row>
    <row r="200">
      <c r="A200" s="494"/>
    </row>
    <row r="201">
      <c r="A201" s="494"/>
    </row>
    <row r="202">
      <c r="A202" s="494"/>
    </row>
    <row r="203">
      <c r="A203" s="494"/>
    </row>
    <row r="204">
      <c r="A204" s="494"/>
    </row>
    <row r="205">
      <c r="A205" s="494"/>
    </row>
    <row r="206">
      <c r="A206" s="494"/>
    </row>
    <row r="207">
      <c r="A207" s="494"/>
    </row>
    <row r="208">
      <c r="A208" s="494"/>
    </row>
    <row r="209">
      <c r="A209" s="494"/>
    </row>
    <row r="210">
      <c r="A210" s="494"/>
    </row>
    <row r="211">
      <c r="A211" s="494"/>
    </row>
    <row r="212">
      <c r="A212" s="494"/>
    </row>
    <row r="213">
      <c r="A213" s="494"/>
    </row>
    <row r="214">
      <c r="A214" s="494"/>
    </row>
    <row r="215">
      <c r="A215" s="494"/>
    </row>
    <row r="216">
      <c r="A216" s="494"/>
    </row>
    <row r="217">
      <c r="A217" s="494"/>
    </row>
    <row r="218">
      <c r="A218" s="494"/>
    </row>
    <row r="219">
      <c r="A219" s="494"/>
    </row>
    <row r="220">
      <c r="A220" s="494"/>
    </row>
    <row r="221">
      <c r="A221" s="494"/>
    </row>
    <row r="222">
      <c r="A222" s="494"/>
    </row>
    <row r="223">
      <c r="A223" s="494"/>
    </row>
    <row r="224">
      <c r="A224" s="494"/>
    </row>
    <row r="225">
      <c r="A225" s="494"/>
    </row>
    <row r="226">
      <c r="A226" s="494"/>
    </row>
    <row r="227">
      <c r="A227" s="494"/>
    </row>
    <row r="228">
      <c r="A228" s="494"/>
    </row>
    <row r="229">
      <c r="A229" s="494"/>
    </row>
    <row r="230">
      <c r="A230" s="494"/>
    </row>
    <row r="231">
      <c r="A231" s="494"/>
    </row>
    <row r="232">
      <c r="A232" s="494"/>
    </row>
    <row r="233">
      <c r="A233" s="494"/>
    </row>
    <row r="234">
      <c r="A234" s="494"/>
    </row>
    <row r="235">
      <c r="A235" s="494"/>
    </row>
    <row r="236">
      <c r="A236" s="494"/>
    </row>
    <row r="237">
      <c r="A237" s="494"/>
    </row>
    <row r="238">
      <c r="A238" s="494"/>
    </row>
    <row r="239">
      <c r="A239" s="494"/>
    </row>
    <row r="240">
      <c r="A240" s="494"/>
    </row>
    <row r="241">
      <c r="A241" s="494"/>
    </row>
    <row r="242">
      <c r="A242" s="494"/>
    </row>
    <row r="243">
      <c r="A243" s="494"/>
    </row>
    <row r="244">
      <c r="A244" s="494"/>
    </row>
    <row r="245">
      <c r="A245" s="494"/>
    </row>
    <row r="246">
      <c r="A246" s="494"/>
    </row>
    <row r="247">
      <c r="A247" s="494"/>
    </row>
    <row r="248">
      <c r="A248" s="494"/>
    </row>
    <row r="249">
      <c r="A249" s="494"/>
    </row>
    <row r="250">
      <c r="A250" s="494"/>
    </row>
    <row r="251">
      <c r="A251" s="494"/>
    </row>
    <row r="252">
      <c r="A252" s="494"/>
    </row>
    <row r="253">
      <c r="A253" s="494"/>
    </row>
    <row r="254">
      <c r="A254" s="494"/>
    </row>
    <row r="255">
      <c r="A255" s="494"/>
    </row>
    <row r="256">
      <c r="A256" s="494"/>
    </row>
    <row r="257">
      <c r="A257" s="494"/>
    </row>
    <row r="258">
      <c r="A258" s="494"/>
    </row>
    <row r="259">
      <c r="A259" s="494"/>
    </row>
    <row r="260">
      <c r="A260" s="494"/>
    </row>
    <row r="261">
      <c r="A261" s="494"/>
    </row>
    <row r="262">
      <c r="A262" s="494"/>
    </row>
    <row r="263">
      <c r="A263" s="494"/>
    </row>
    <row r="264">
      <c r="A264" s="494"/>
    </row>
    <row r="265">
      <c r="A265" s="494"/>
    </row>
    <row r="266">
      <c r="A266" s="494"/>
    </row>
    <row r="267">
      <c r="A267" s="494"/>
    </row>
    <row r="268">
      <c r="A268" s="494"/>
    </row>
    <row r="269">
      <c r="A269" s="494"/>
    </row>
    <row r="270">
      <c r="A270" s="494"/>
    </row>
    <row r="271">
      <c r="A271" s="494"/>
    </row>
    <row r="272">
      <c r="A272" s="494"/>
    </row>
    <row r="273">
      <c r="A273" s="494"/>
    </row>
    <row r="274">
      <c r="A274" s="494"/>
    </row>
    <row r="275">
      <c r="A275" s="494"/>
    </row>
    <row r="276">
      <c r="A276" s="494"/>
    </row>
    <row r="277">
      <c r="A277" s="494"/>
    </row>
    <row r="278">
      <c r="A278" s="494"/>
    </row>
    <row r="279">
      <c r="A279" s="494"/>
    </row>
    <row r="280">
      <c r="A280" s="494"/>
    </row>
    <row r="281">
      <c r="A281" s="494"/>
    </row>
    <row r="282">
      <c r="A282" s="494"/>
    </row>
    <row r="283">
      <c r="A283" s="494"/>
    </row>
    <row r="284">
      <c r="A284" s="494"/>
    </row>
    <row r="285">
      <c r="A285" s="494"/>
    </row>
    <row r="286">
      <c r="A286" s="494"/>
    </row>
    <row r="287">
      <c r="A287" s="494"/>
    </row>
    <row r="288">
      <c r="A288" s="494"/>
    </row>
    <row r="289">
      <c r="A289" s="494"/>
    </row>
    <row r="290">
      <c r="A290" s="494"/>
    </row>
    <row r="291">
      <c r="A291" s="494"/>
    </row>
    <row r="292">
      <c r="A292" s="494"/>
    </row>
    <row r="293">
      <c r="A293" s="494"/>
    </row>
    <row r="294">
      <c r="A294" s="494"/>
    </row>
    <row r="295">
      <c r="A295" s="494"/>
    </row>
    <row r="296">
      <c r="A296" s="494"/>
    </row>
    <row r="297">
      <c r="A297" s="494"/>
    </row>
    <row r="298">
      <c r="A298" s="494"/>
    </row>
    <row r="299">
      <c r="A299" s="494"/>
    </row>
    <row r="300">
      <c r="A300" s="494"/>
    </row>
    <row r="301">
      <c r="A301" s="494"/>
    </row>
    <row r="302">
      <c r="A302" s="494"/>
    </row>
    <row r="303">
      <c r="A303" s="494"/>
    </row>
    <row r="304">
      <c r="A304" s="494"/>
    </row>
    <row r="305">
      <c r="A305" s="494"/>
    </row>
    <row r="306">
      <c r="A306" s="494"/>
    </row>
    <row r="307">
      <c r="A307" s="494"/>
    </row>
    <row r="308">
      <c r="A308" s="494"/>
    </row>
    <row r="309">
      <c r="A309" s="494"/>
    </row>
    <row r="310">
      <c r="A310" s="494"/>
    </row>
    <row r="311">
      <c r="A311" s="494"/>
    </row>
    <row r="312">
      <c r="A312" s="494"/>
    </row>
    <row r="313">
      <c r="A313" s="494"/>
    </row>
    <row r="314">
      <c r="A314" s="494"/>
    </row>
    <row r="315">
      <c r="A315" s="494"/>
    </row>
    <row r="316">
      <c r="A316" s="494"/>
    </row>
    <row r="317">
      <c r="A317" s="494"/>
    </row>
    <row r="318">
      <c r="A318" s="494"/>
    </row>
    <row r="319">
      <c r="A319" s="494"/>
    </row>
    <row r="320">
      <c r="A320" s="494"/>
    </row>
    <row r="321">
      <c r="A321" s="494"/>
    </row>
    <row r="322">
      <c r="A322" s="494"/>
    </row>
    <row r="323">
      <c r="A323" s="494"/>
    </row>
    <row r="324">
      <c r="A324" s="494"/>
    </row>
    <row r="325">
      <c r="A325" s="494"/>
    </row>
    <row r="326">
      <c r="A326" s="494"/>
    </row>
    <row r="327">
      <c r="A327" s="494"/>
    </row>
    <row r="328">
      <c r="A328" s="494"/>
    </row>
    <row r="329">
      <c r="A329" s="494"/>
    </row>
    <row r="330">
      <c r="A330" s="494"/>
    </row>
    <row r="331">
      <c r="A331" s="494"/>
    </row>
    <row r="332">
      <c r="A332" s="494"/>
    </row>
    <row r="333">
      <c r="A333" s="494"/>
    </row>
    <row r="334">
      <c r="A334" s="494"/>
    </row>
    <row r="335">
      <c r="A335" s="494"/>
    </row>
    <row r="336">
      <c r="A336" s="494"/>
    </row>
    <row r="337">
      <c r="A337" s="494"/>
    </row>
    <row r="338">
      <c r="A338" s="494"/>
    </row>
    <row r="339">
      <c r="A339" s="494"/>
    </row>
    <row r="340">
      <c r="A340" s="494"/>
    </row>
    <row r="341">
      <c r="A341" s="494"/>
    </row>
    <row r="342">
      <c r="A342" s="494"/>
    </row>
    <row r="343">
      <c r="A343" s="494"/>
    </row>
    <row r="344">
      <c r="A344" s="494"/>
    </row>
    <row r="345">
      <c r="A345" s="494"/>
    </row>
    <row r="346">
      <c r="A346" s="494"/>
    </row>
    <row r="347">
      <c r="A347" s="494"/>
    </row>
    <row r="348">
      <c r="A348" s="494"/>
    </row>
    <row r="349">
      <c r="A349" s="494"/>
    </row>
    <row r="350">
      <c r="A350" s="494"/>
    </row>
    <row r="351">
      <c r="A351" s="494"/>
    </row>
    <row r="352">
      <c r="A352" s="494"/>
    </row>
    <row r="353">
      <c r="A353" s="494"/>
    </row>
    <row r="354">
      <c r="A354" s="494"/>
    </row>
    <row r="355">
      <c r="A355" s="494"/>
    </row>
    <row r="356">
      <c r="A356" s="494"/>
    </row>
    <row r="357">
      <c r="A357" s="494"/>
    </row>
    <row r="358">
      <c r="A358" s="494"/>
    </row>
    <row r="359">
      <c r="A359" s="494"/>
    </row>
    <row r="360">
      <c r="A360" s="494"/>
    </row>
    <row r="361">
      <c r="A361" s="494"/>
    </row>
    <row r="362">
      <c r="A362" s="494"/>
    </row>
    <row r="363">
      <c r="A363" s="494"/>
    </row>
    <row r="364">
      <c r="A364" s="494"/>
    </row>
    <row r="365">
      <c r="A365" s="494"/>
    </row>
    <row r="366">
      <c r="A366" s="494"/>
    </row>
    <row r="367">
      <c r="A367" s="494"/>
    </row>
    <row r="368">
      <c r="A368" s="494"/>
    </row>
    <row r="369">
      <c r="A369" s="494"/>
    </row>
    <row r="370">
      <c r="A370" s="494"/>
    </row>
    <row r="371">
      <c r="A371" s="494"/>
    </row>
    <row r="372">
      <c r="A372" s="494"/>
    </row>
    <row r="373">
      <c r="A373" s="494"/>
    </row>
    <row r="374">
      <c r="A374" s="494"/>
    </row>
    <row r="375">
      <c r="A375" s="494"/>
    </row>
    <row r="376">
      <c r="A376" s="494"/>
    </row>
    <row r="377">
      <c r="A377" s="494"/>
    </row>
    <row r="378">
      <c r="A378" s="494"/>
    </row>
    <row r="379">
      <c r="A379" s="494"/>
    </row>
    <row r="380">
      <c r="A380" s="494"/>
    </row>
    <row r="381">
      <c r="A381" s="494"/>
    </row>
    <row r="382">
      <c r="A382" s="494"/>
    </row>
    <row r="383">
      <c r="A383" s="494"/>
    </row>
    <row r="384">
      <c r="A384" s="494"/>
    </row>
    <row r="385">
      <c r="A385" s="494"/>
    </row>
    <row r="386">
      <c r="A386" s="494"/>
    </row>
    <row r="387">
      <c r="A387" s="494"/>
    </row>
    <row r="388">
      <c r="A388" s="494"/>
    </row>
    <row r="389">
      <c r="A389" s="494"/>
    </row>
    <row r="390">
      <c r="A390" s="494"/>
    </row>
    <row r="391">
      <c r="A391" s="494"/>
    </row>
    <row r="392">
      <c r="A392" s="494"/>
    </row>
    <row r="393">
      <c r="A393" s="494"/>
    </row>
    <row r="394">
      <c r="A394" s="494"/>
    </row>
    <row r="395">
      <c r="A395" s="494"/>
    </row>
    <row r="396">
      <c r="A396" s="494"/>
    </row>
    <row r="397">
      <c r="A397" s="494"/>
    </row>
    <row r="398">
      <c r="A398" s="494"/>
    </row>
    <row r="399">
      <c r="A399" s="494"/>
    </row>
    <row r="400">
      <c r="A400" s="494"/>
    </row>
    <row r="401">
      <c r="A401" s="494"/>
    </row>
    <row r="402">
      <c r="A402" s="494"/>
    </row>
    <row r="403">
      <c r="A403" s="494"/>
    </row>
    <row r="404">
      <c r="A404" s="494"/>
    </row>
    <row r="405">
      <c r="A405" s="494"/>
    </row>
    <row r="406">
      <c r="A406" s="494"/>
    </row>
    <row r="407">
      <c r="A407" s="494"/>
    </row>
    <row r="408">
      <c r="A408" s="494"/>
    </row>
    <row r="409">
      <c r="A409" s="494"/>
    </row>
    <row r="410">
      <c r="A410" s="494"/>
    </row>
    <row r="411">
      <c r="A411" s="494"/>
    </row>
    <row r="412">
      <c r="A412" s="494"/>
    </row>
    <row r="413">
      <c r="A413" s="494"/>
    </row>
    <row r="414">
      <c r="A414" s="494"/>
    </row>
    <row r="415">
      <c r="A415" s="494"/>
    </row>
    <row r="416">
      <c r="A416" s="494"/>
    </row>
    <row r="417">
      <c r="A417" s="494"/>
    </row>
    <row r="418">
      <c r="A418" s="494"/>
    </row>
    <row r="419">
      <c r="A419" s="494"/>
    </row>
    <row r="420">
      <c r="A420" s="494"/>
    </row>
    <row r="421">
      <c r="A421" s="494"/>
    </row>
    <row r="422">
      <c r="A422" s="494"/>
    </row>
    <row r="423">
      <c r="A423" s="494"/>
    </row>
    <row r="424">
      <c r="A424" s="494"/>
    </row>
    <row r="425">
      <c r="A425" s="494"/>
    </row>
    <row r="426">
      <c r="A426" s="494"/>
    </row>
    <row r="427">
      <c r="A427" s="494"/>
    </row>
    <row r="428">
      <c r="A428" s="494"/>
    </row>
    <row r="429">
      <c r="A429" s="494"/>
    </row>
    <row r="430">
      <c r="A430" s="494"/>
    </row>
    <row r="431">
      <c r="A431" s="494"/>
    </row>
    <row r="432">
      <c r="A432" s="494"/>
    </row>
    <row r="433">
      <c r="A433" s="494"/>
    </row>
    <row r="434">
      <c r="A434" s="494"/>
    </row>
    <row r="435">
      <c r="A435" s="494"/>
    </row>
    <row r="436">
      <c r="A436" s="494"/>
    </row>
    <row r="437">
      <c r="A437" s="494"/>
    </row>
    <row r="438">
      <c r="A438" s="494"/>
    </row>
    <row r="439">
      <c r="A439" s="494"/>
    </row>
    <row r="440">
      <c r="A440" s="494"/>
    </row>
    <row r="441">
      <c r="A441" s="494"/>
    </row>
    <row r="442">
      <c r="A442" s="494"/>
    </row>
    <row r="443">
      <c r="A443" s="494"/>
    </row>
    <row r="444">
      <c r="A444" s="494"/>
    </row>
    <row r="445">
      <c r="A445" s="494"/>
    </row>
    <row r="446">
      <c r="A446" s="494"/>
    </row>
    <row r="447">
      <c r="A447" s="494"/>
    </row>
    <row r="448">
      <c r="A448" s="494"/>
    </row>
    <row r="449">
      <c r="A449" s="494"/>
    </row>
    <row r="450">
      <c r="A450" s="494"/>
    </row>
    <row r="451">
      <c r="A451" s="494"/>
    </row>
    <row r="452">
      <c r="A452" s="494"/>
    </row>
    <row r="453">
      <c r="A453" s="494"/>
    </row>
    <row r="454">
      <c r="A454" s="494"/>
    </row>
    <row r="455">
      <c r="A455" s="494"/>
    </row>
    <row r="456">
      <c r="A456" s="494"/>
    </row>
    <row r="457">
      <c r="A457" s="494"/>
    </row>
    <row r="458">
      <c r="A458" s="494"/>
    </row>
    <row r="459">
      <c r="A459" s="494"/>
    </row>
    <row r="460">
      <c r="A460" s="494"/>
    </row>
    <row r="461">
      <c r="A461" s="494"/>
    </row>
    <row r="462">
      <c r="A462" s="494"/>
    </row>
    <row r="463">
      <c r="A463" s="494"/>
    </row>
    <row r="464">
      <c r="A464" s="494"/>
    </row>
    <row r="465">
      <c r="A465" s="494"/>
    </row>
    <row r="466">
      <c r="A466" s="494"/>
    </row>
    <row r="467">
      <c r="A467" s="494"/>
    </row>
    <row r="468">
      <c r="A468" s="494"/>
    </row>
    <row r="469">
      <c r="A469" s="494"/>
    </row>
    <row r="470">
      <c r="A470" s="494"/>
    </row>
    <row r="471">
      <c r="A471" s="494"/>
    </row>
    <row r="472">
      <c r="A472" s="494"/>
    </row>
    <row r="473">
      <c r="A473" s="494"/>
    </row>
    <row r="474">
      <c r="A474" s="494"/>
    </row>
    <row r="475">
      <c r="A475" s="494"/>
    </row>
    <row r="476">
      <c r="A476" s="494"/>
    </row>
    <row r="477">
      <c r="A477" s="494"/>
    </row>
    <row r="478">
      <c r="A478" s="494"/>
    </row>
    <row r="479">
      <c r="A479" s="494"/>
    </row>
    <row r="480">
      <c r="A480" s="494"/>
    </row>
    <row r="481">
      <c r="A481" s="494"/>
    </row>
    <row r="482">
      <c r="A482" s="494"/>
    </row>
    <row r="483">
      <c r="A483" s="494"/>
    </row>
    <row r="484">
      <c r="A484" s="494"/>
    </row>
    <row r="485">
      <c r="A485" s="494"/>
    </row>
    <row r="486">
      <c r="A486" s="494"/>
    </row>
    <row r="487">
      <c r="A487" s="494"/>
    </row>
    <row r="488">
      <c r="A488" s="494"/>
    </row>
    <row r="489">
      <c r="A489" s="494"/>
    </row>
    <row r="490">
      <c r="A490" s="494"/>
    </row>
    <row r="491">
      <c r="A491" s="494"/>
    </row>
    <row r="492">
      <c r="A492" s="494"/>
    </row>
    <row r="493">
      <c r="A493" s="494"/>
    </row>
    <row r="494">
      <c r="A494" s="494"/>
    </row>
    <row r="495">
      <c r="A495" s="494"/>
    </row>
    <row r="496">
      <c r="A496" s="494"/>
    </row>
    <row r="497">
      <c r="A497" s="494"/>
    </row>
    <row r="498">
      <c r="A498" s="494"/>
    </row>
    <row r="499">
      <c r="A499" s="494"/>
    </row>
    <row r="500">
      <c r="A500" s="494"/>
    </row>
    <row r="501">
      <c r="A501" s="494"/>
    </row>
    <row r="502">
      <c r="A502" s="494"/>
    </row>
    <row r="503">
      <c r="A503" s="494"/>
    </row>
    <row r="504">
      <c r="A504" s="494"/>
    </row>
    <row r="505">
      <c r="A505" s="494"/>
    </row>
    <row r="506">
      <c r="A506" s="494"/>
    </row>
    <row r="507">
      <c r="A507" s="494"/>
    </row>
    <row r="508">
      <c r="A508" s="494"/>
    </row>
    <row r="509">
      <c r="A509" s="494"/>
    </row>
    <row r="510">
      <c r="A510" s="494"/>
    </row>
    <row r="511">
      <c r="A511" s="494"/>
    </row>
    <row r="512">
      <c r="A512" s="494"/>
    </row>
    <row r="513">
      <c r="A513" s="494"/>
    </row>
    <row r="514">
      <c r="A514" s="494"/>
    </row>
    <row r="515">
      <c r="A515" s="494"/>
    </row>
    <row r="516">
      <c r="A516" s="494"/>
    </row>
    <row r="517">
      <c r="A517" s="494"/>
    </row>
    <row r="518">
      <c r="A518" s="494"/>
    </row>
    <row r="519">
      <c r="A519" s="494"/>
    </row>
    <row r="520">
      <c r="A520" s="494"/>
    </row>
    <row r="521">
      <c r="A521" s="494"/>
    </row>
    <row r="522">
      <c r="A522" s="494"/>
    </row>
    <row r="523">
      <c r="A523" s="494"/>
    </row>
    <row r="524">
      <c r="A524" s="494"/>
    </row>
    <row r="525">
      <c r="A525" s="494"/>
    </row>
    <row r="526">
      <c r="A526" s="494"/>
    </row>
    <row r="527">
      <c r="A527" s="494"/>
    </row>
    <row r="528">
      <c r="A528" s="494"/>
    </row>
    <row r="529">
      <c r="A529" s="494"/>
    </row>
    <row r="530">
      <c r="A530" s="494"/>
    </row>
    <row r="531">
      <c r="A531" s="494"/>
    </row>
    <row r="532">
      <c r="A532" s="494"/>
    </row>
    <row r="533">
      <c r="A533" s="494"/>
    </row>
    <row r="534">
      <c r="A534" s="494"/>
    </row>
    <row r="535">
      <c r="A535" s="494"/>
    </row>
    <row r="536">
      <c r="A536" s="494"/>
    </row>
    <row r="537">
      <c r="A537" s="494"/>
    </row>
    <row r="538">
      <c r="A538" s="494"/>
    </row>
    <row r="539">
      <c r="A539" s="494"/>
    </row>
    <row r="540">
      <c r="A540" s="494"/>
    </row>
    <row r="541">
      <c r="A541" s="494"/>
    </row>
    <row r="542">
      <c r="A542" s="494"/>
    </row>
    <row r="543">
      <c r="A543" s="494"/>
    </row>
    <row r="544">
      <c r="A544" s="494"/>
    </row>
    <row r="545">
      <c r="A545" s="494"/>
    </row>
    <row r="546">
      <c r="A546" s="494"/>
    </row>
    <row r="547">
      <c r="A547" s="494"/>
    </row>
    <row r="548">
      <c r="A548" s="494"/>
    </row>
    <row r="549">
      <c r="A549" s="494"/>
    </row>
    <row r="550">
      <c r="A550" s="494"/>
    </row>
    <row r="551">
      <c r="A551" s="494"/>
    </row>
    <row r="552">
      <c r="A552" s="494"/>
    </row>
    <row r="553">
      <c r="A553" s="494"/>
    </row>
    <row r="554">
      <c r="A554" s="494"/>
    </row>
    <row r="555">
      <c r="A555" s="494"/>
    </row>
    <row r="556">
      <c r="A556" s="494"/>
    </row>
    <row r="557">
      <c r="A557" s="494"/>
    </row>
    <row r="558">
      <c r="A558" s="494"/>
    </row>
    <row r="559">
      <c r="A559" s="494"/>
    </row>
    <row r="560">
      <c r="A560" s="494"/>
    </row>
    <row r="561">
      <c r="A561" s="494"/>
    </row>
    <row r="562">
      <c r="A562" s="494"/>
    </row>
    <row r="563">
      <c r="A563" s="494"/>
    </row>
    <row r="564">
      <c r="A564" s="494"/>
    </row>
    <row r="565">
      <c r="A565" s="494"/>
    </row>
    <row r="566">
      <c r="A566" s="494"/>
    </row>
    <row r="567">
      <c r="A567" s="494"/>
    </row>
    <row r="568">
      <c r="A568" s="494"/>
    </row>
    <row r="569">
      <c r="A569" s="494"/>
    </row>
    <row r="570">
      <c r="A570" s="494"/>
    </row>
    <row r="571">
      <c r="A571" s="494"/>
    </row>
    <row r="572">
      <c r="A572" s="494"/>
    </row>
    <row r="573">
      <c r="A573" s="494"/>
    </row>
    <row r="574">
      <c r="A574" s="494"/>
    </row>
    <row r="575">
      <c r="A575" s="494"/>
    </row>
    <row r="576">
      <c r="A576" s="494"/>
    </row>
    <row r="577">
      <c r="A577" s="494"/>
    </row>
    <row r="578">
      <c r="A578" s="494"/>
    </row>
    <row r="579">
      <c r="A579" s="494"/>
    </row>
    <row r="580">
      <c r="A580" s="494"/>
    </row>
    <row r="581">
      <c r="A581" s="494"/>
    </row>
    <row r="582">
      <c r="A582" s="494"/>
    </row>
    <row r="583">
      <c r="A583" s="494"/>
    </row>
    <row r="584">
      <c r="A584" s="494"/>
    </row>
    <row r="585">
      <c r="A585" s="494"/>
    </row>
    <row r="586">
      <c r="A586" s="494"/>
    </row>
    <row r="587">
      <c r="A587" s="494"/>
    </row>
    <row r="588">
      <c r="A588" s="494"/>
    </row>
    <row r="589">
      <c r="A589" s="494"/>
    </row>
    <row r="590">
      <c r="A590" s="494"/>
    </row>
    <row r="591">
      <c r="A591" s="494"/>
    </row>
    <row r="592">
      <c r="A592" s="494"/>
    </row>
    <row r="593">
      <c r="A593" s="494"/>
    </row>
    <row r="594">
      <c r="A594" s="494"/>
    </row>
    <row r="595">
      <c r="A595" s="494"/>
    </row>
    <row r="596">
      <c r="A596" s="494"/>
    </row>
    <row r="597">
      <c r="A597" s="494"/>
    </row>
    <row r="598">
      <c r="A598" s="494"/>
    </row>
    <row r="599">
      <c r="A599" s="494"/>
    </row>
    <row r="600">
      <c r="A600" s="494"/>
    </row>
    <row r="601">
      <c r="A601" s="494"/>
    </row>
    <row r="602">
      <c r="A602" s="494"/>
    </row>
    <row r="603">
      <c r="A603" s="494"/>
    </row>
    <row r="604">
      <c r="A604" s="494"/>
    </row>
    <row r="605">
      <c r="A605" s="494"/>
    </row>
    <row r="606">
      <c r="A606" s="494"/>
    </row>
    <row r="607">
      <c r="A607" s="494"/>
    </row>
    <row r="608">
      <c r="A608" s="494"/>
    </row>
    <row r="609">
      <c r="A609" s="494"/>
    </row>
    <row r="610">
      <c r="A610" s="494"/>
    </row>
    <row r="611">
      <c r="A611" s="494"/>
    </row>
    <row r="612">
      <c r="A612" s="494"/>
    </row>
    <row r="613">
      <c r="A613" s="494"/>
    </row>
    <row r="614">
      <c r="A614" s="494"/>
    </row>
    <row r="615">
      <c r="A615" s="494"/>
    </row>
    <row r="616">
      <c r="A616" s="494"/>
    </row>
    <row r="617">
      <c r="A617" s="494"/>
    </row>
    <row r="618">
      <c r="A618" s="494"/>
    </row>
    <row r="619">
      <c r="A619" s="494"/>
    </row>
    <row r="620">
      <c r="A620" s="494"/>
    </row>
    <row r="621">
      <c r="A621" s="494"/>
    </row>
    <row r="622">
      <c r="A622" s="494"/>
    </row>
    <row r="623">
      <c r="A623" s="494"/>
    </row>
    <row r="624">
      <c r="A624" s="494"/>
    </row>
    <row r="625">
      <c r="A625" s="494"/>
    </row>
    <row r="626">
      <c r="A626" s="494"/>
    </row>
    <row r="627">
      <c r="A627" s="494"/>
    </row>
    <row r="628">
      <c r="A628" s="494"/>
    </row>
    <row r="629">
      <c r="A629" s="494"/>
    </row>
    <row r="630">
      <c r="A630" s="494"/>
    </row>
    <row r="631">
      <c r="A631" s="494"/>
    </row>
    <row r="632">
      <c r="A632" s="494"/>
    </row>
    <row r="633">
      <c r="A633" s="494"/>
    </row>
    <row r="634">
      <c r="A634" s="494"/>
    </row>
    <row r="635">
      <c r="A635" s="494"/>
    </row>
    <row r="636">
      <c r="A636" s="494"/>
    </row>
    <row r="637">
      <c r="A637" s="494"/>
    </row>
    <row r="638">
      <c r="A638" s="494"/>
    </row>
    <row r="639">
      <c r="A639" s="494"/>
    </row>
    <row r="640">
      <c r="A640" s="494"/>
    </row>
    <row r="641">
      <c r="A641" s="494"/>
    </row>
    <row r="642">
      <c r="A642" s="494"/>
    </row>
    <row r="643">
      <c r="A643" s="494"/>
    </row>
    <row r="644">
      <c r="A644" s="494"/>
    </row>
    <row r="645">
      <c r="A645" s="494"/>
    </row>
    <row r="646">
      <c r="A646" s="494"/>
    </row>
    <row r="647">
      <c r="A647" s="494"/>
    </row>
    <row r="648">
      <c r="A648" s="494"/>
    </row>
    <row r="649">
      <c r="A649" s="494"/>
    </row>
    <row r="650">
      <c r="A650" s="494"/>
    </row>
    <row r="651">
      <c r="A651" s="494"/>
    </row>
    <row r="652">
      <c r="A652" s="494"/>
    </row>
    <row r="653">
      <c r="A653" s="494"/>
    </row>
    <row r="654">
      <c r="A654" s="494"/>
    </row>
    <row r="655">
      <c r="A655" s="494"/>
    </row>
    <row r="656">
      <c r="A656" s="494"/>
    </row>
    <row r="657">
      <c r="A657" s="494"/>
    </row>
    <row r="658">
      <c r="A658" s="494"/>
    </row>
    <row r="659">
      <c r="A659" s="494"/>
    </row>
    <row r="660">
      <c r="A660" s="494"/>
    </row>
    <row r="661">
      <c r="A661" s="494"/>
    </row>
    <row r="662">
      <c r="A662" s="494"/>
    </row>
    <row r="663">
      <c r="A663" s="494"/>
    </row>
    <row r="664">
      <c r="A664" s="494"/>
    </row>
    <row r="665">
      <c r="A665" s="494"/>
    </row>
    <row r="666">
      <c r="A666" s="494"/>
    </row>
    <row r="667">
      <c r="A667" s="494"/>
    </row>
    <row r="668">
      <c r="A668" s="494"/>
    </row>
    <row r="669">
      <c r="A669" s="494"/>
    </row>
    <row r="670">
      <c r="A670" s="494"/>
    </row>
    <row r="671">
      <c r="A671" s="494"/>
    </row>
    <row r="672">
      <c r="A672" s="494"/>
    </row>
    <row r="673">
      <c r="A673" s="494"/>
    </row>
    <row r="674">
      <c r="A674" s="494"/>
    </row>
    <row r="675">
      <c r="A675" s="494"/>
    </row>
    <row r="676">
      <c r="A676" s="494"/>
    </row>
    <row r="677">
      <c r="A677" s="494"/>
    </row>
    <row r="678">
      <c r="A678" s="494"/>
    </row>
    <row r="679">
      <c r="A679" s="494"/>
    </row>
    <row r="680">
      <c r="A680" s="494"/>
    </row>
    <row r="681">
      <c r="A681" s="494"/>
    </row>
    <row r="682">
      <c r="A682" s="494"/>
    </row>
    <row r="683">
      <c r="A683" s="494"/>
    </row>
    <row r="684">
      <c r="A684" s="494"/>
    </row>
    <row r="685">
      <c r="A685" s="494"/>
    </row>
    <row r="686">
      <c r="A686" s="494"/>
    </row>
    <row r="687">
      <c r="A687" s="494"/>
    </row>
    <row r="688">
      <c r="A688" s="494"/>
    </row>
    <row r="689">
      <c r="A689" s="494"/>
    </row>
    <row r="690">
      <c r="A690" s="494"/>
    </row>
    <row r="691">
      <c r="A691" s="494"/>
    </row>
    <row r="692">
      <c r="A692" s="494"/>
    </row>
    <row r="693">
      <c r="A693" s="494"/>
    </row>
    <row r="694">
      <c r="A694" s="494"/>
    </row>
    <row r="695">
      <c r="A695" s="494"/>
    </row>
    <row r="696">
      <c r="A696" s="494"/>
    </row>
    <row r="697">
      <c r="A697" s="494"/>
    </row>
    <row r="698">
      <c r="A698" s="494"/>
    </row>
    <row r="699">
      <c r="A699" s="494"/>
    </row>
    <row r="700">
      <c r="A700" s="494"/>
    </row>
    <row r="701">
      <c r="A701" s="494"/>
    </row>
    <row r="702">
      <c r="A702" s="494"/>
    </row>
    <row r="703">
      <c r="A703" s="494"/>
    </row>
    <row r="704">
      <c r="A704" s="494"/>
    </row>
    <row r="705">
      <c r="A705" s="494"/>
    </row>
    <row r="706">
      <c r="A706" s="494"/>
    </row>
    <row r="707">
      <c r="A707" s="494"/>
    </row>
    <row r="708">
      <c r="A708" s="494"/>
    </row>
    <row r="709">
      <c r="A709" s="494"/>
    </row>
    <row r="710">
      <c r="A710" s="494"/>
    </row>
    <row r="711">
      <c r="A711" s="494"/>
    </row>
    <row r="712">
      <c r="A712" s="494"/>
    </row>
    <row r="713">
      <c r="A713" s="494"/>
    </row>
    <row r="714">
      <c r="A714" s="494"/>
    </row>
    <row r="715">
      <c r="A715" s="494"/>
    </row>
    <row r="716">
      <c r="A716" s="494"/>
    </row>
    <row r="717">
      <c r="A717" s="494"/>
    </row>
    <row r="718">
      <c r="A718" s="494"/>
    </row>
    <row r="719">
      <c r="A719" s="494"/>
    </row>
    <row r="720">
      <c r="A720" s="494"/>
    </row>
    <row r="721">
      <c r="A721" s="494"/>
    </row>
    <row r="722">
      <c r="A722" s="494"/>
    </row>
    <row r="723">
      <c r="A723" s="494"/>
    </row>
    <row r="724">
      <c r="A724" s="494"/>
    </row>
    <row r="725">
      <c r="A725" s="494"/>
    </row>
    <row r="726">
      <c r="A726" s="494"/>
    </row>
    <row r="727">
      <c r="A727" s="494"/>
    </row>
    <row r="728">
      <c r="A728" s="494"/>
    </row>
    <row r="729">
      <c r="A729" s="494"/>
    </row>
    <row r="730">
      <c r="A730" s="494"/>
    </row>
    <row r="731">
      <c r="A731" s="494"/>
    </row>
    <row r="732">
      <c r="A732" s="494"/>
    </row>
    <row r="733">
      <c r="A733" s="494"/>
    </row>
    <row r="734">
      <c r="A734" s="494"/>
    </row>
    <row r="735">
      <c r="A735" s="494"/>
    </row>
    <row r="736">
      <c r="A736" s="494"/>
    </row>
    <row r="737">
      <c r="A737" s="494"/>
    </row>
    <row r="738">
      <c r="A738" s="494"/>
    </row>
    <row r="739">
      <c r="A739" s="494"/>
    </row>
    <row r="740">
      <c r="A740" s="494"/>
    </row>
    <row r="741">
      <c r="A741" s="494"/>
    </row>
    <row r="742">
      <c r="A742" s="494"/>
    </row>
    <row r="743">
      <c r="A743" s="494"/>
    </row>
    <row r="744">
      <c r="A744" s="494"/>
    </row>
    <row r="745">
      <c r="A745" s="494"/>
    </row>
    <row r="746">
      <c r="A746" s="494"/>
    </row>
    <row r="747">
      <c r="A747" s="494"/>
    </row>
    <row r="748">
      <c r="A748" s="494"/>
    </row>
    <row r="749">
      <c r="A749" s="494"/>
    </row>
    <row r="750">
      <c r="A750" s="494"/>
    </row>
    <row r="751">
      <c r="A751" s="494"/>
    </row>
    <row r="752">
      <c r="A752" s="494"/>
    </row>
    <row r="753">
      <c r="A753" s="494"/>
    </row>
    <row r="754">
      <c r="A754" s="494"/>
    </row>
    <row r="755">
      <c r="A755" s="494"/>
    </row>
    <row r="756">
      <c r="A756" s="494"/>
    </row>
    <row r="757">
      <c r="A757" s="494"/>
    </row>
    <row r="758">
      <c r="A758" s="494"/>
    </row>
    <row r="759">
      <c r="A759" s="494"/>
    </row>
    <row r="760">
      <c r="A760" s="494"/>
    </row>
    <row r="761">
      <c r="A761" s="494"/>
    </row>
    <row r="762">
      <c r="A762" s="494"/>
    </row>
    <row r="763">
      <c r="A763" s="494"/>
    </row>
    <row r="764">
      <c r="A764" s="494"/>
    </row>
    <row r="765">
      <c r="A765" s="494"/>
    </row>
    <row r="766">
      <c r="A766" s="494"/>
    </row>
    <row r="767">
      <c r="A767" s="494"/>
    </row>
    <row r="768">
      <c r="A768" s="494"/>
    </row>
    <row r="769">
      <c r="A769" s="494"/>
    </row>
    <row r="770">
      <c r="A770" s="494"/>
    </row>
    <row r="771">
      <c r="A771" s="494"/>
    </row>
    <row r="772">
      <c r="A772" s="494"/>
    </row>
    <row r="773">
      <c r="A773" s="494"/>
    </row>
    <row r="774">
      <c r="A774" s="494"/>
    </row>
    <row r="775">
      <c r="A775" s="494"/>
    </row>
    <row r="776">
      <c r="A776" s="494"/>
    </row>
    <row r="777">
      <c r="A777" s="494"/>
    </row>
    <row r="778">
      <c r="A778" s="494"/>
    </row>
    <row r="779">
      <c r="A779" s="494"/>
    </row>
    <row r="780">
      <c r="A780" s="494"/>
    </row>
    <row r="781">
      <c r="A781" s="494"/>
    </row>
    <row r="782">
      <c r="A782" s="494"/>
    </row>
    <row r="783">
      <c r="A783" s="494"/>
    </row>
    <row r="784">
      <c r="A784" s="494"/>
    </row>
    <row r="785">
      <c r="A785" s="494"/>
    </row>
    <row r="786">
      <c r="A786" s="494"/>
    </row>
    <row r="787">
      <c r="A787" s="494"/>
    </row>
    <row r="788">
      <c r="A788" s="494"/>
    </row>
    <row r="789">
      <c r="A789" s="494"/>
    </row>
    <row r="790">
      <c r="A790" s="494"/>
    </row>
    <row r="791">
      <c r="A791" s="494"/>
    </row>
    <row r="792">
      <c r="A792" s="494"/>
    </row>
    <row r="793">
      <c r="A793" s="494"/>
    </row>
    <row r="794">
      <c r="A794" s="494"/>
    </row>
    <row r="795">
      <c r="A795" s="494"/>
    </row>
    <row r="796">
      <c r="A796" s="494"/>
    </row>
    <row r="797">
      <c r="A797" s="494"/>
    </row>
    <row r="798">
      <c r="A798" s="494"/>
    </row>
    <row r="799">
      <c r="A799" s="494"/>
    </row>
    <row r="800">
      <c r="A800" s="494"/>
    </row>
    <row r="801">
      <c r="A801" s="494"/>
    </row>
    <row r="802">
      <c r="A802" s="494"/>
    </row>
    <row r="803">
      <c r="A803" s="494"/>
    </row>
    <row r="804">
      <c r="A804" s="494"/>
    </row>
    <row r="805">
      <c r="A805" s="494"/>
    </row>
    <row r="806">
      <c r="A806" s="494"/>
    </row>
    <row r="807">
      <c r="A807" s="494"/>
    </row>
    <row r="808">
      <c r="A808" s="494"/>
    </row>
    <row r="809">
      <c r="A809" s="494"/>
    </row>
    <row r="810">
      <c r="A810" s="494"/>
    </row>
    <row r="811">
      <c r="A811" s="494"/>
    </row>
    <row r="812">
      <c r="A812" s="494"/>
    </row>
    <row r="813">
      <c r="A813" s="494"/>
    </row>
    <row r="814">
      <c r="A814" s="494"/>
    </row>
    <row r="815">
      <c r="A815" s="494"/>
    </row>
    <row r="816">
      <c r="A816" s="494"/>
    </row>
    <row r="817">
      <c r="A817" s="494"/>
    </row>
    <row r="818">
      <c r="A818" s="494"/>
    </row>
    <row r="819">
      <c r="A819" s="494"/>
    </row>
    <row r="820">
      <c r="A820" s="494"/>
    </row>
    <row r="821">
      <c r="A821" s="494"/>
    </row>
    <row r="822">
      <c r="A822" s="494"/>
    </row>
    <row r="823">
      <c r="A823" s="494"/>
    </row>
    <row r="824">
      <c r="A824" s="494"/>
    </row>
    <row r="825">
      <c r="A825" s="494"/>
    </row>
    <row r="826">
      <c r="A826" s="494"/>
    </row>
    <row r="827">
      <c r="A827" s="494"/>
    </row>
    <row r="828">
      <c r="A828" s="494"/>
    </row>
    <row r="829">
      <c r="A829" s="494"/>
    </row>
    <row r="830">
      <c r="A830" s="494"/>
    </row>
    <row r="831">
      <c r="A831" s="494"/>
    </row>
    <row r="832">
      <c r="A832" s="494"/>
    </row>
    <row r="833">
      <c r="A833" s="494"/>
    </row>
    <row r="834">
      <c r="A834" s="494"/>
    </row>
    <row r="835">
      <c r="A835" s="494"/>
    </row>
    <row r="836">
      <c r="A836" s="494"/>
    </row>
    <row r="837">
      <c r="A837" s="494"/>
    </row>
    <row r="838">
      <c r="A838" s="494"/>
    </row>
    <row r="839">
      <c r="A839" s="494"/>
    </row>
    <row r="840">
      <c r="A840" s="494"/>
    </row>
    <row r="841">
      <c r="A841" s="494"/>
    </row>
    <row r="842">
      <c r="A842" s="494"/>
    </row>
    <row r="843">
      <c r="A843" s="494"/>
    </row>
    <row r="844">
      <c r="A844" s="494"/>
    </row>
    <row r="845">
      <c r="A845" s="494"/>
    </row>
    <row r="846">
      <c r="A846" s="494"/>
    </row>
    <row r="847">
      <c r="A847" s="494"/>
    </row>
    <row r="848">
      <c r="A848" s="494"/>
    </row>
    <row r="849">
      <c r="A849" s="494"/>
    </row>
    <row r="850">
      <c r="A850" s="494"/>
    </row>
    <row r="851">
      <c r="A851" s="494"/>
    </row>
    <row r="852">
      <c r="A852" s="494"/>
    </row>
    <row r="853">
      <c r="A853" s="494"/>
    </row>
    <row r="854">
      <c r="A854" s="494"/>
    </row>
    <row r="855">
      <c r="A855" s="494"/>
    </row>
    <row r="856">
      <c r="A856" s="494"/>
    </row>
    <row r="857">
      <c r="A857" s="494"/>
    </row>
    <row r="858">
      <c r="A858" s="494"/>
    </row>
    <row r="859">
      <c r="A859" s="494"/>
    </row>
    <row r="860">
      <c r="A860" s="494"/>
    </row>
    <row r="861">
      <c r="A861" s="494"/>
    </row>
    <row r="862">
      <c r="A862" s="494"/>
    </row>
    <row r="863">
      <c r="A863" s="494"/>
    </row>
    <row r="864">
      <c r="A864" s="494"/>
    </row>
    <row r="865">
      <c r="A865" s="494"/>
    </row>
    <row r="866">
      <c r="A866" s="494"/>
    </row>
    <row r="867">
      <c r="A867" s="494"/>
    </row>
    <row r="868">
      <c r="A868" s="494"/>
    </row>
    <row r="869">
      <c r="A869" s="494"/>
    </row>
    <row r="870">
      <c r="A870" s="494"/>
    </row>
    <row r="871">
      <c r="A871" s="494"/>
    </row>
    <row r="872">
      <c r="A872" s="494"/>
    </row>
    <row r="873">
      <c r="A873" s="494"/>
    </row>
    <row r="874">
      <c r="A874" s="494"/>
    </row>
    <row r="875">
      <c r="A875" s="494"/>
    </row>
    <row r="876">
      <c r="A876" s="494"/>
    </row>
    <row r="877">
      <c r="A877" s="494"/>
    </row>
    <row r="878">
      <c r="A878" s="494"/>
    </row>
    <row r="879">
      <c r="A879" s="494"/>
    </row>
    <row r="880">
      <c r="A880" s="494"/>
    </row>
    <row r="881">
      <c r="A881" s="494"/>
    </row>
    <row r="882">
      <c r="A882" s="494"/>
    </row>
    <row r="883">
      <c r="A883" s="494"/>
    </row>
    <row r="884">
      <c r="A884" s="494"/>
    </row>
    <row r="885">
      <c r="A885" s="494"/>
    </row>
    <row r="886">
      <c r="A886" s="494"/>
    </row>
    <row r="887">
      <c r="A887" s="494"/>
    </row>
    <row r="888">
      <c r="A888" s="494"/>
    </row>
    <row r="889">
      <c r="A889" s="494"/>
    </row>
    <row r="890">
      <c r="A890" s="494"/>
    </row>
    <row r="891">
      <c r="A891" s="494"/>
    </row>
    <row r="892">
      <c r="A892" s="494"/>
    </row>
    <row r="893">
      <c r="A893" s="494"/>
    </row>
    <row r="894">
      <c r="A894" s="494"/>
    </row>
    <row r="895">
      <c r="A895" s="494"/>
    </row>
    <row r="896">
      <c r="A896" s="494"/>
    </row>
    <row r="897">
      <c r="A897" s="494"/>
    </row>
    <row r="898">
      <c r="A898" s="494"/>
    </row>
    <row r="899">
      <c r="A899" s="494"/>
    </row>
    <row r="900">
      <c r="A900" s="494"/>
    </row>
    <row r="901">
      <c r="A901" s="494"/>
    </row>
    <row r="902">
      <c r="A902" s="494"/>
    </row>
    <row r="903">
      <c r="A903" s="494"/>
    </row>
    <row r="904">
      <c r="A904" s="494"/>
    </row>
    <row r="905">
      <c r="A905" s="494"/>
    </row>
    <row r="906">
      <c r="A906" s="494"/>
    </row>
    <row r="907">
      <c r="A907" s="494"/>
    </row>
    <row r="908">
      <c r="A908" s="494"/>
    </row>
    <row r="909">
      <c r="A909" s="494"/>
    </row>
    <row r="910">
      <c r="A910" s="494"/>
    </row>
    <row r="911">
      <c r="A911" s="494"/>
    </row>
    <row r="912">
      <c r="A912" s="494"/>
    </row>
    <row r="913">
      <c r="A913" s="494"/>
    </row>
    <row r="914">
      <c r="A914" s="494"/>
    </row>
    <row r="915">
      <c r="A915" s="494"/>
    </row>
    <row r="916">
      <c r="A916" s="494"/>
    </row>
    <row r="917">
      <c r="A917" s="494"/>
    </row>
    <row r="918">
      <c r="A918" s="494"/>
    </row>
    <row r="919">
      <c r="A919" s="494"/>
    </row>
    <row r="920">
      <c r="A920" s="494"/>
    </row>
    <row r="921">
      <c r="A921" s="494"/>
    </row>
    <row r="922">
      <c r="A922" s="494"/>
    </row>
    <row r="923">
      <c r="A923" s="494"/>
    </row>
    <row r="924">
      <c r="A924" s="494"/>
    </row>
    <row r="925">
      <c r="A925" s="494"/>
    </row>
    <row r="926">
      <c r="A926" s="494"/>
    </row>
    <row r="927">
      <c r="A927" s="494"/>
    </row>
    <row r="928">
      <c r="A928" s="494"/>
    </row>
    <row r="929">
      <c r="A929" s="494"/>
    </row>
    <row r="930">
      <c r="A930" s="494"/>
    </row>
    <row r="931">
      <c r="A931" s="494"/>
    </row>
    <row r="932">
      <c r="A932" s="494"/>
    </row>
    <row r="933">
      <c r="A933" s="494"/>
    </row>
    <row r="934">
      <c r="A934" s="494"/>
    </row>
    <row r="935">
      <c r="A935" s="494"/>
    </row>
    <row r="936">
      <c r="A936" s="494"/>
    </row>
    <row r="937">
      <c r="A937" s="494"/>
    </row>
    <row r="938">
      <c r="A938" s="494"/>
    </row>
    <row r="939">
      <c r="A939" s="494"/>
    </row>
    <row r="940">
      <c r="A940" s="494"/>
    </row>
    <row r="941">
      <c r="A941" s="494"/>
    </row>
    <row r="942">
      <c r="A942" s="494"/>
    </row>
    <row r="943">
      <c r="A943" s="494"/>
    </row>
    <row r="944">
      <c r="A944" s="494"/>
    </row>
    <row r="945">
      <c r="A945" s="494"/>
    </row>
    <row r="946">
      <c r="A946" s="494"/>
    </row>
    <row r="947">
      <c r="A947" s="494"/>
    </row>
    <row r="948">
      <c r="A948" s="494"/>
    </row>
    <row r="949">
      <c r="A949" s="494"/>
    </row>
    <row r="950">
      <c r="A950" s="494"/>
    </row>
    <row r="951">
      <c r="A951" s="494"/>
    </row>
    <row r="952">
      <c r="A952" s="494"/>
    </row>
    <row r="953">
      <c r="A953" s="494"/>
    </row>
    <row r="954">
      <c r="A954" s="494"/>
    </row>
    <row r="955">
      <c r="A955" s="494"/>
    </row>
    <row r="956">
      <c r="A956" s="494"/>
    </row>
    <row r="957">
      <c r="A957" s="494"/>
    </row>
    <row r="958">
      <c r="A958" s="494"/>
    </row>
    <row r="959">
      <c r="A959" s="494"/>
    </row>
    <row r="960">
      <c r="A960" s="494"/>
    </row>
    <row r="961">
      <c r="A961" s="494"/>
    </row>
    <row r="962">
      <c r="A962" s="494"/>
    </row>
    <row r="963">
      <c r="A963" s="494"/>
    </row>
    <row r="964">
      <c r="A964" s="494"/>
    </row>
    <row r="965">
      <c r="A965" s="494"/>
    </row>
    <row r="966">
      <c r="A966" s="494"/>
    </row>
    <row r="967">
      <c r="A967" s="494"/>
    </row>
    <row r="968">
      <c r="A968" s="494"/>
    </row>
    <row r="969">
      <c r="A969" s="494"/>
    </row>
    <row r="970">
      <c r="A970" s="494"/>
    </row>
    <row r="971">
      <c r="A971" s="494"/>
    </row>
    <row r="972">
      <c r="A972" s="494"/>
    </row>
    <row r="973">
      <c r="A973" s="494"/>
    </row>
    <row r="974">
      <c r="A974" s="494"/>
    </row>
    <row r="975">
      <c r="A975" s="494"/>
    </row>
    <row r="976">
      <c r="A976" s="494"/>
    </row>
    <row r="977">
      <c r="A977" s="494"/>
    </row>
    <row r="978">
      <c r="A978" s="494"/>
    </row>
    <row r="979">
      <c r="A979" s="494"/>
    </row>
    <row r="980">
      <c r="A980" s="494"/>
    </row>
    <row r="981">
      <c r="A981" s="494"/>
    </row>
    <row r="982">
      <c r="A982" s="494"/>
    </row>
    <row r="983">
      <c r="A983" s="494"/>
    </row>
    <row r="984">
      <c r="A984" s="494"/>
    </row>
    <row r="985">
      <c r="A985" s="494"/>
    </row>
    <row r="986">
      <c r="A986" s="494"/>
    </row>
    <row r="987">
      <c r="A987" s="494"/>
    </row>
    <row r="988">
      <c r="A988" s="494"/>
    </row>
    <row r="989">
      <c r="A989" s="494"/>
    </row>
    <row r="990">
      <c r="A990" s="494"/>
    </row>
    <row r="991">
      <c r="A991" s="494"/>
    </row>
    <row r="992">
      <c r="A992" s="494"/>
    </row>
    <row r="993">
      <c r="A993" s="494"/>
    </row>
    <row r="994">
      <c r="A994" s="494"/>
    </row>
    <row r="995">
      <c r="A995" s="494"/>
    </row>
    <row r="996">
      <c r="A996" s="494"/>
    </row>
    <row r="997">
      <c r="A997" s="494"/>
    </row>
    <row r="998">
      <c r="A998" s="494"/>
    </row>
    <row r="999">
      <c r="A999" s="494"/>
    </row>
    <row r="1000">
      <c r="A1000" s="494"/>
    </row>
    <row r="1001">
      <c r="A1001" s="494"/>
    </row>
    <row r="1002">
      <c r="A1002" s="494"/>
    </row>
    <row r="1003">
      <c r="A1003" s="494"/>
    </row>
    <row r="1004">
      <c r="A1004" s="494"/>
    </row>
    <row r="1005">
      <c r="A1005" s="494"/>
    </row>
    <row r="1006">
      <c r="A1006" s="494"/>
    </row>
    <row r="1007">
      <c r="A1007" s="494"/>
    </row>
    <row r="1008">
      <c r="A1008" s="494"/>
    </row>
    <row r="1009">
      <c r="A1009" s="494"/>
    </row>
    <row r="1010">
      <c r="A1010" s="494"/>
    </row>
    <row r="1011">
      <c r="A1011" s="494"/>
    </row>
  </sheetData>
  <mergeCells count="7">
    <mergeCell ref="A1:D3"/>
    <mergeCell ref="E1:Q3"/>
    <mergeCell ref="R1:T1"/>
    <mergeCell ref="R2:T2"/>
    <mergeCell ref="R3:T3"/>
    <mergeCell ref="A4:Q4"/>
    <mergeCell ref="R4:T4"/>
  </mergeCells>
  <dataValidations>
    <dataValidation type="list" allowBlank="1" sqref="G50:G63">
      <formula1>General!$C$13:$C$23</formula1>
    </dataValidation>
  </dataValidations>
  <drawing r:id="rId1"/>
  <tableParts count="5">
    <tablePart r:id="rId7"/>
    <tablePart r:id="rId8"/>
    <tablePart r:id="rId9"/>
    <tablePart r:id="rId10"/>
    <tablePart r:id="rId11"/>
  </tableParts>
</worksheet>
</file>