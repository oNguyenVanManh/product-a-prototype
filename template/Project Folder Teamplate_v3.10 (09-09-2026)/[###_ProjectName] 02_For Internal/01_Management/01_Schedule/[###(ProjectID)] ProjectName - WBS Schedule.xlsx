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4"/>
    <sheet state="visible" name="WBS Schedule" sheetId="2" r:id="rId5"/>
    <sheet state="visible" name="General" sheetId="3" r:id="rId6"/>
  </sheets>
  <definedNames>
    <definedName localSheetId="2" name="StatusList">General!$C$13:$C$23</definedName>
    <definedName localSheetId="1" name="SprintList">#REF!</definedName>
    <definedName localSheetId="2" name="MemberList">General!$H$13:$H$44</definedName>
    <definedName localSheetId="2" name="RoleList">General!$Q$13:$Q$23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can't change, only set at start of project</t>
      </text>
    </comment>
    <comment authorId="0" ref="L14">
      <text>
        <t xml:space="preserve">Person in charge</t>
      </text>
    </comment>
  </commentList>
</comments>
</file>

<file path=xl/sharedStrings.xml><?xml version="1.0" encoding="utf-8"?>
<sst xmlns="http://schemas.openxmlformats.org/spreadsheetml/2006/main" count="89" uniqueCount="66">
  <si>
    <t>WBS Schedule</t>
  </si>
  <si>
    <t>No: BM-2-901-07</t>
  </si>
  <si>
    <t>Version: 2.1</t>
  </si>
  <si>
    <t>Issue Date: 05/04/2021</t>
  </si>
  <si>
    <t>SUN ASTERISK VIETNAM CO., LTD</t>
  </si>
  <si>
    <t>ISO/IEC 27001:2013&amp;ISO 9001:2015</t>
  </si>
  <si>
    <t>HISTORY OF CHANGES</t>
  </si>
  <si>
    <t>No</t>
  </si>
  <si>
    <t>Change Item</t>
  </si>
  <si>
    <t>Description of changes</t>
  </si>
  <si>
    <t>Change Date</t>
  </si>
  <si>
    <t>Update format</t>
  </si>
  <si>
    <t>Project M</t>
  </si>
  <si>
    <t xml:space="preserve">Team : </t>
  </si>
  <si>
    <t>Start</t>
  </si>
  <si>
    <t>End</t>
  </si>
  <si>
    <t xml:space="preserve">Bug fixing </t>
  </si>
  <si>
    <t>Last update</t>
  </si>
  <si>
    <t>Management</t>
  </si>
  <si>
    <t>Updated by</t>
  </si>
  <si>
    <t>RSpec</t>
  </si>
  <si>
    <t>Total point</t>
  </si>
  <si>
    <t>must fill</t>
  </si>
  <si>
    <t>(auto)</t>
  </si>
  <si>
    <t>M</t>
  </si>
  <si>
    <t>＃</t>
  </si>
  <si>
    <t>Story</t>
  </si>
  <si>
    <t>Task</t>
  </si>
  <si>
    <t>Subtask</t>
  </si>
  <si>
    <t>Milestone</t>
  </si>
  <si>
    <t>Time</t>
  </si>
  <si>
    <t>UT</t>
  </si>
  <si>
    <t>Fix bug</t>
  </si>
  <si>
    <t>Total</t>
  </si>
  <si>
    <t>PIC</t>
  </si>
  <si>
    <t>Assign</t>
  </si>
  <si>
    <t>Status</t>
  </si>
  <si>
    <t>Progress</t>
  </si>
  <si>
    <t>Role</t>
  </si>
  <si>
    <t>Current point</t>
  </si>
  <si>
    <t>Check deadline</t>
  </si>
  <si>
    <t>D</t>
  </si>
  <si>
    <t>General</t>
  </si>
  <si>
    <t>Task status</t>
  </si>
  <si>
    <t>Member list</t>
  </si>
  <si>
    <t>Config</t>
  </si>
  <si>
    <t>#</t>
  </si>
  <si>
    <t>Statitics</t>
  </si>
  <si>
    <t>Description</t>
  </si>
  <si>
    <t>Name</t>
  </si>
  <si>
    <t>Effort</t>
  </si>
  <si>
    <t>Color</t>
  </si>
  <si>
    <t>Key</t>
  </si>
  <si>
    <t>Value</t>
  </si>
  <si>
    <t>Title</t>
  </si>
  <si>
    <t>New</t>
  </si>
  <si>
    <t>In Progress</t>
  </si>
  <si>
    <t>Done</t>
  </si>
  <si>
    <t>Testing</t>
  </si>
  <si>
    <t>Resolved</t>
  </si>
  <si>
    <t>Reopen</t>
  </si>
  <si>
    <t>Closed</t>
  </si>
  <si>
    <t>Feedback</t>
  </si>
  <si>
    <t>Holiday</t>
  </si>
  <si>
    <t>Date</t>
  </si>
  <si>
    <t>Ngày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</si>
</sst>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#,##0.0"/>
    <numFmt numFmtId="166" formatCode="M/d/yyyy"/>
    <numFmt numFmtId="167" formatCode="dd&quot;/&quot;mm"/>
    <numFmt numFmtId="168" formatCode="dd"/>
  </numFmts>
  <fonts count="30">
    <font>
      <sz val="10.0"/>
      <color rgb="FF000000"/>
      <name val="Arial"/>
    </font>
    <font>
      <b/>
      <sz val="24.0"/>
      <name val="Times New Roman"/>
    </font>
    <font/>
    <font>
      <sz val="12.0"/>
      <name val="Times New Roman"/>
    </font>
    <font>
      <sz val="12.0"/>
      <color rgb="FF000000"/>
      <name val="Times New Roman"/>
    </font>
    <font>
      <b/>
      <sz val="10.0"/>
      <name val="Times New Roman"/>
    </font>
    <font>
      <b/>
      <sz val="14.0"/>
      <name val="Times New Roman"/>
    </font>
    <font>
      <b/>
      <sz val="12.0"/>
      <name val="Arial"/>
    </font>
    <font>
      <b/>
      <sz val="10.0"/>
      <name val="Arial"/>
    </font>
    <font>
      <sz val="10.0"/>
      <name val="Arial"/>
    </font>
    <font>
      <b/>
      <sz val="10.0"/>
      <color rgb="FF000000"/>
      <name val="Arial"/>
    </font>
    <font>
      <b/>
      <sz val="10.0"/>
      <color rgb="FFFF0000"/>
      <name val="Arial"/>
    </font>
    <font>
      <sz val="10.0"/>
      <color rgb="FFFF0000"/>
      <name val="Arial"/>
    </font>
    <font>
      <color rgb="FF000000"/>
    </font>
    <font>
      <sz val="9.0"/>
    </font>
    <font>
      <b/>
      <sz val="14.0"/>
      <name val="Arial"/>
    </font>
    <font>
      <b/>
      <sz val="14.0"/>
      <color rgb="FF000000"/>
      <name val="Bree Serif"/>
    </font>
    <font>
      <b/>
      <sz val="20.0"/>
      <color rgb="FF000000"/>
      <name val="Bree Serif"/>
    </font>
    <font>
      <b/>
      <sz val="12.0"/>
      <name val="Times New Roman"/>
    </font>
    <font>
      <b/>
      <sz val="12.0"/>
      <color rgb="FF000000"/>
      <name val="Times New Roman"/>
    </font>
    <font>
      <b/>
      <sz val="12.0"/>
      <color rgb="FFFFFFFF"/>
      <name val="Times New Roman"/>
    </font>
    <font>
      <b/>
      <sz val="12.0"/>
      <color rgb="FFE69138"/>
      <name val="Times New Roman"/>
    </font>
    <font>
      <b/>
      <sz val="12.0"/>
      <color rgb="FFFF0000"/>
      <name val="Times New Roman"/>
    </font>
    <font>
      <sz val="12.0"/>
      <color rgb="FFFFFFFF"/>
      <name val="Times New Roman"/>
    </font>
    <font>
      <b/>
      <sz val="18.0"/>
      <name val="Times New Roman"/>
    </font>
    <font>
      <name val="Arial"/>
    </font>
    <font>
      <b/>
      <sz val="18.0"/>
      <color rgb="FF1C4587"/>
      <name val="Bree Serif"/>
    </font>
    <font>
      <b/>
      <sz val="12.0"/>
      <color rgb="FF1C4587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</fonts>
  <fills count="31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CC4125"/>
        <bgColor rgb="FFCC4125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1155CC"/>
        <bgColor rgb="FF1155CC"/>
      </patternFill>
    </fill>
    <fill>
      <patternFill patternType="solid">
        <fgColor rgb="FFFFC0CB"/>
        <bgColor rgb="FFFFC0CB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666666"/>
        <bgColor rgb="FF666666"/>
      </patternFill>
    </fill>
    <fill>
      <patternFill patternType="solid">
        <fgColor rgb="FF1C4587"/>
        <bgColor rgb="FF1C4587"/>
      </patternFill>
    </fill>
    <fill>
      <patternFill patternType="solid">
        <fgColor rgb="FF5B95F9"/>
        <bgColor rgb="FF5B95F9"/>
      </patternFill>
    </fill>
    <fill>
      <patternFill patternType="solid">
        <fgColor rgb="FFF46524"/>
        <bgColor rgb="FFF46524"/>
      </patternFill>
    </fill>
    <fill>
      <patternFill patternType="solid">
        <fgColor rgb="FFE8F0FE"/>
        <bgColor rgb="FFE8F0FE"/>
      </patternFill>
    </fill>
    <fill>
      <patternFill patternType="solid">
        <fgColor rgb="FFFFE6DD"/>
        <bgColor rgb="FFFFE6DD"/>
      </patternFill>
    </fill>
    <fill>
      <patternFill patternType="solid">
        <fgColor rgb="FFBF9000"/>
        <bgColor rgb="FFBF90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</fills>
  <borders count="3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000000"/>
      </bottom>
    </border>
    <border>
      <left style="thin">
        <color rgb="FF666666"/>
      </left>
      <top style="thin">
        <color rgb="FF666666"/>
      </top>
    </border>
    <border>
      <left style="hair">
        <color rgb="FF666666"/>
      </left>
      <right style="hair">
        <color rgb="FF666666"/>
      </right>
      <bottom style="hair">
        <color rgb="FF666666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hair">
        <color rgb="FF666666"/>
      </right>
      <top style="thin">
        <color rgb="FF000000"/>
      </top>
      <bottom style="hair">
        <color rgb="FF666666"/>
      </bottom>
    </border>
    <border>
      <right style="hair">
        <color rgb="FF000000"/>
      </right>
      <top style="thin">
        <color rgb="FF000000"/>
      </top>
      <bottom style="hair">
        <color rgb="FF666666"/>
      </bottom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hair">
        <color rgb="FF666666"/>
      </right>
      <bottom style="hair">
        <color rgb="FF666666"/>
      </bottom>
    </border>
    <border>
      <right style="hair">
        <color rgb="FF000000"/>
      </right>
      <bottom style="hair">
        <color rgb="FF666666"/>
      </bottom>
    </border>
    <border>
      <left style="hair">
        <color rgb="FF666666"/>
      </left>
      <top style="hair">
        <color rgb="FF666666"/>
      </top>
      <bottom style="hair">
        <color rgb="FF666666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vertical="center"/>
    </xf>
    <xf borderId="3" fillId="0" fontId="2" numFmtId="0" xfId="0" applyBorder="1" applyFont="1"/>
    <xf borderId="4" fillId="0" fontId="2" numFmtId="0" xfId="0" applyBorder="1" applyFont="1"/>
    <xf borderId="4" fillId="0" fontId="4" numFmtId="0" xfId="0" applyAlignment="1" applyBorder="1" applyFont="1">
      <alignment readingOrder="0" vertical="center"/>
    </xf>
    <xf borderId="5" fillId="0" fontId="2" numFmtId="0" xfId="0" applyBorder="1" applyFont="1"/>
    <xf borderId="6" fillId="0" fontId="4" numFmtId="0" xfId="0" applyAlignment="1" applyBorder="1" applyFont="1">
      <alignment readingOrder="0" shrinkToFit="0" vertical="center" wrapText="0"/>
    </xf>
    <xf borderId="7" fillId="0" fontId="2" numFmtId="0" xfId="0" applyBorder="1" applyFont="1"/>
    <xf borderId="8" fillId="0" fontId="5" numFmtId="0" xfId="0" applyAlignment="1" applyBorder="1" applyFont="1">
      <alignment readingOrder="0" vertical="center"/>
    </xf>
    <xf borderId="9" fillId="0" fontId="2" numFmtId="0" xfId="0" applyBorder="1" applyFont="1"/>
    <xf borderId="10" fillId="0" fontId="2" numFmtId="0" xfId="0" applyBorder="1" applyFont="1"/>
    <xf borderId="6" fillId="0" fontId="5" numFmtId="0" xfId="0" applyAlignment="1" applyBorder="1" applyFont="1">
      <alignment horizontal="right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1" fillId="0" fontId="7" numFmtId="0" xfId="0" applyAlignment="1" applyBorder="1" applyFont="1">
      <alignment horizontal="center" readingOrder="0" shrinkToFit="0" vertical="center" wrapText="1"/>
    </xf>
    <xf borderId="13" fillId="2" fontId="8" numFmtId="0" xfId="0" applyAlignment="1" applyBorder="1" applyFill="1" applyFont="1">
      <alignment horizontal="center" readingOrder="0" shrinkToFit="0" vertical="center" wrapText="1"/>
    </xf>
    <xf borderId="8" fillId="2" fontId="8" numFmtId="0" xfId="0" applyAlignment="1" applyBorder="1" applyFill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left" readingOrder="0" shrinkToFit="0" vertical="center" wrapText="1"/>
    </xf>
    <xf borderId="8" fillId="0" fontId="9" numFmtId="164" xfId="0" applyAlignment="1" applyBorder="1" applyFont="1" applyNumberForma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9" fillId="0" fontId="0" numFmtId="0" xfId="0" applyAlignment="1" applyBorder="1" applyFont="1">
      <alignment horizontal="left" readingOrder="0" shrinkToFit="0" vertical="center" wrapText="1"/>
    </xf>
    <xf borderId="8" fillId="0" fontId="0" numFmtId="0" xfId="0" applyAlignment="1" applyBorder="1" applyFont="1">
      <alignment horizontal="left" readingOrder="0" shrinkToFit="0" vertical="center" wrapText="1"/>
    </xf>
    <xf borderId="13" fillId="0" fontId="10" numFmtId="0" xfId="0" applyAlignment="1" applyBorder="1" applyFont="1">
      <alignment horizontal="center" readingOrder="0" shrinkToFit="0" vertical="center" wrapText="1"/>
    </xf>
    <xf borderId="13" fillId="0" fontId="11" numFmtId="0" xfId="0" applyAlignment="1" applyBorder="1" applyFont="1">
      <alignment horizontal="center" readingOrder="0" shrinkToFit="0" vertical="center" wrapText="1"/>
    </xf>
    <xf borderId="8" fillId="0" fontId="12" numFmtId="0" xfId="0" applyAlignment="1" applyBorder="1" applyFont="1">
      <alignment horizontal="left" readingOrder="0" shrinkToFit="0" vertical="center" wrapText="1"/>
    </xf>
    <xf borderId="8" fillId="0" fontId="11" numFmtId="49" xfId="0" applyAlignment="1" applyBorder="1" applyFont="1" applyNumberFormat="1">
      <alignment horizontal="left" readingOrder="0" shrinkToFit="0" vertical="center" wrapText="1"/>
    </xf>
    <xf borderId="11" fillId="0" fontId="6" numFmtId="49" xfId="0" applyAlignment="1" applyBorder="1" applyFont="1" applyNumberFormat="1">
      <alignment horizontal="left" readingOrder="0" shrinkToFit="0" vertical="center" wrapText="1"/>
    </xf>
    <xf borderId="0" fillId="0" fontId="6" numFmtId="49" xfId="0" applyAlignment="1" applyFont="1" applyNumberFormat="1">
      <alignment horizontal="left" readingOrder="0" shrinkToFit="0" vertical="center" wrapText="1"/>
    </xf>
    <xf borderId="12" fillId="0" fontId="6" numFmtId="49" xfId="0" applyAlignment="1" applyBorder="1" applyFont="1" applyNumberFormat="1">
      <alignment horizontal="left" readingOrder="0" shrinkToFit="0" vertical="center" wrapText="1"/>
    </xf>
    <xf borderId="14" fillId="0" fontId="6" numFmtId="49" xfId="0" applyAlignment="1" applyBorder="1" applyFont="1" applyNumberFormat="1">
      <alignment horizontal="left" readingOrder="0" shrinkToFit="0" vertical="center" wrapText="1"/>
    </xf>
    <xf borderId="15" fillId="0" fontId="6" numFmtId="49" xfId="0" applyAlignment="1" applyBorder="1" applyFont="1" applyNumberFormat="1">
      <alignment horizontal="left" readingOrder="0" shrinkToFit="0" vertical="center" wrapText="1"/>
    </xf>
    <xf borderId="16" fillId="0" fontId="6" numFmtId="49" xfId="0" applyAlignment="1" applyBorder="1" applyFont="1" applyNumberFormat="1">
      <alignment horizontal="left" readingOrder="0" shrinkToFit="0" vertical="center" wrapText="1"/>
    </xf>
    <xf borderId="0" fillId="0" fontId="13" numFmtId="0" xfId="0" applyFont="1"/>
    <xf borderId="0" fillId="0" fontId="2" numFmtId="0" xfId="0" applyAlignment="1" applyFont="1">
      <alignment horizontal="center"/>
    </xf>
    <xf borderId="0" fillId="0" fontId="14" numFmtId="0" xfId="0" applyAlignment="1" applyFont="1">
      <alignment horizontal="center"/>
    </xf>
    <xf borderId="6" fillId="0" fontId="2" numFmtId="0" xfId="0" applyBorder="1" applyFont="1"/>
    <xf borderId="17" fillId="0" fontId="2" numFmtId="0" xfId="0" applyBorder="1" applyFont="1"/>
    <xf borderId="8" fillId="0" fontId="5" numFmtId="0" xfId="0" applyAlignment="1" applyBorder="1" applyFont="1">
      <alignment readingOrder="0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 vertical="bottom"/>
    </xf>
    <xf borderId="0" fillId="0" fontId="13" numFmtId="165" xfId="0" applyAlignment="1" applyFont="1" applyNumberFormat="1">
      <alignment vertical="top"/>
    </xf>
    <xf borderId="0" fillId="0" fontId="18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0" fillId="0" fontId="4" numFmtId="0" xfId="0" applyFont="1"/>
    <xf borderId="0" fillId="0" fontId="19" numFmtId="0" xfId="0" applyFont="1"/>
    <xf borderId="0" fillId="3" fontId="19" numFmtId="0" xfId="0" applyAlignment="1" applyFill="1" applyFont="1">
      <alignment horizontal="center" readingOrder="0" vertical="bottom"/>
    </xf>
    <xf borderId="0" fillId="4" fontId="19" numFmtId="0" xfId="0" applyAlignment="1" applyFill="1" applyFont="1">
      <alignment horizontal="center" readingOrder="0" vertical="bottom"/>
    </xf>
    <xf borderId="0" fillId="0" fontId="19" numFmtId="165" xfId="0" applyAlignment="1" applyFont="1" applyNumberFormat="1">
      <alignment vertical="top"/>
    </xf>
    <xf borderId="0" fillId="0" fontId="20" numFmtId="0" xfId="0" applyAlignment="1" applyFont="1">
      <alignment readingOrder="0"/>
    </xf>
    <xf borderId="0" fillId="0" fontId="20" numFmtId="9" xfId="0" applyAlignment="1" applyFont="1" applyNumberFormat="1">
      <alignment readingOrder="0"/>
    </xf>
    <xf borderId="0" fillId="0" fontId="18" numFmtId="0" xfId="0" applyFont="1"/>
    <xf borderId="0" fillId="0" fontId="18" numFmtId="0" xfId="0" applyAlignment="1" applyFont="1">
      <alignment horizontal="center"/>
    </xf>
    <xf borderId="0" fillId="0" fontId="3" numFmtId="0" xfId="0" applyFont="1"/>
    <xf borderId="0" fillId="0" fontId="19" numFmtId="0" xfId="0" applyAlignment="1" applyFont="1">
      <alignment readingOrder="0"/>
    </xf>
    <xf borderId="0" fillId="0" fontId="19" numFmtId="166" xfId="0" applyAlignment="1" applyFont="1" applyNumberFormat="1">
      <alignment horizontal="left" readingOrder="0" vertical="bottom"/>
    </xf>
    <xf borderId="0" fillId="0" fontId="4" numFmtId="167" xfId="0" applyAlignment="1" applyFont="1" applyNumberFormat="1">
      <alignment horizontal="right" readingOrder="0" vertical="bottom"/>
    </xf>
    <xf borderId="0" fillId="0" fontId="4" numFmtId="167" xfId="0" applyAlignment="1" applyFont="1" applyNumberFormat="1">
      <alignment horizontal="right" vertical="bottom"/>
    </xf>
    <xf borderId="0" fillId="0" fontId="4" numFmtId="165" xfId="0" applyAlignment="1" applyFont="1" applyNumberFormat="1">
      <alignment vertical="top"/>
    </xf>
    <xf borderId="0" fillId="0" fontId="3" numFmtId="0" xfId="0" applyAlignment="1" applyFont="1">
      <alignment horizontal="center"/>
    </xf>
    <xf borderId="0" fillId="5" fontId="3" numFmtId="0" xfId="0" applyAlignment="1" applyFill="1" applyFont="1">
      <alignment horizontal="center" readingOrder="0"/>
    </xf>
    <xf borderId="0" fillId="0" fontId="21" numFmtId="0" xfId="0" applyAlignment="1" applyFont="1">
      <alignment horizontal="center" shrinkToFit="0" textRotation="180" vertical="center" wrapText="0"/>
    </xf>
    <xf borderId="0" fillId="0" fontId="4" numFmtId="0" xfId="0" applyAlignment="1" applyFont="1">
      <alignment readingOrder="0"/>
    </xf>
    <xf borderId="0" fillId="0" fontId="19" numFmtId="0" xfId="0" applyAlignment="1" applyFont="1">
      <alignment horizontal="left"/>
    </xf>
    <xf borderId="0" fillId="6" fontId="3" numFmtId="0" xfId="0" applyFill="1" applyFont="1"/>
    <xf borderId="0" fillId="6" fontId="3" numFmtId="165" xfId="0" applyAlignment="1" applyFill="1" applyFont="1" applyNumberFormat="1">
      <alignment vertical="top"/>
    </xf>
    <xf borderId="0" fillId="0" fontId="18" numFmtId="0" xfId="0" applyAlignment="1" applyFont="1">
      <alignment readingOrder="0"/>
    </xf>
    <xf borderId="0" fillId="0" fontId="18" numFmtId="9" xfId="0" applyAlignment="1" applyFont="1" applyNumberFormat="1">
      <alignment readingOrder="0"/>
    </xf>
    <xf borderId="0" fillId="0" fontId="22" numFmtId="165" xfId="0" applyAlignment="1" applyFont="1" applyNumberFormat="1">
      <alignment horizontal="center" readingOrder="0" vertical="top"/>
    </xf>
    <xf borderId="0" fillId="0" fontId="3" numFmtId="0" xfId="0" applyAlignment="1" applyFont="1">
      <alignment horizontal="center" readingOrder="0"/>
    </xf>
    <xf borderId="0" fillId="0" fontId="22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18" numFmtId="0" xfId="0" applyAlignment="1" applyFont="1">
      <alignment readingOrder="0" vertical="center"/>
    </xf>
    <xf borderId="0" fillId="0" fontId="18" numFmtId="9" xfId="0" applyAlignment="1" applyFont="1" applyNumberForma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22" numFmtId="0" xfId="0" applyAlignment="1" applyFont="1">
      <alignment readingOrder="0" vertical="center"/>
    </xf>
    <xf borderId="18" fillId="7" fontId="18" numFmtId="0" xfId="0" applyAlignment="1" applyBorder="1" applyFill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13" fillId="8" fontId="18" numFmtId="0" xfId="0" applyAlignment="1" applyBorder="1" applyFill="1" applyFont="1">
      <alignment horizontal="center" readingOrder="0" vertical="center"/>
    </xf>
    <xf borderId="13" fillId="9" fontId="18" numFmtId="0" xfId="0" applyAlignment="1" applyBorder="1" applyFill="1" applyFont="1">
      <alignment horizontal="center" readingOrder="0" vertical="center"/>
    </xf>
    <xf borderId="13" fillId="7" fontId="18" numFmtId="0" xfId="0" applyAlignment="1" applyBorder="1" applyFill="1" applyFont="1">
      <alignment horizontal="center" readingOrder="0" vertical="center"/>
    </xf>
    <xf borderId="13" fillId="10" fontId="18" numFmtId="0" xfId="0" applyAlignment="1" applyBorder="1" applyFill="1" applyFont="1">
      <alignment horizontal="center" readingOrder="0" shrinkToFit="0" vertical="center" wrapText="1"/>
    </xf>
    <xf borderId="13" fillId="11" fontId="18" numFmtId="0" xfId="0" applyAlignment="1" applyBorder="1" applyFill="1" applyFont="1">
      <alignment horizontal="center" readingOrder="0" vertical="center"/>
    </xf>
    <xf borderId="13" fillId="3" fontId="18" numFmtId="0" xfId="0" applyAlignment="1" applyBorder="1" applyFill="1" applyFont="1">
      <alignment horizontal="center" vertical="center"/>
    </xf>
    <xf borderId="13" fillId="4" fontId="18" numFmtId="0" xfId="0" applyAlignment="1" applyBorder="1" applyFill="1" applyFont="1">
      <alignment horizontal="center" vertical="center"/>
    </xf>
    <xf borderId="13" fillId="12" fontId="18" numFmtId="165" xfId="0" applyAlignment="1" applyBorder="1" applyFill="1" applyFont="1" applyNumberFormat="1">
      <alignment horizontal="center" readingOrder="0" shrinkToFit="0" vertical="top" wrapText="1"/>
    </xf>
    <xf borderId="13" fillId="13" fontId="18" numFmtId="0" xfId="0" applyAlignment="1" applyBorder="1" applyFill="1" applyFont="1">
      <alignment horizontal="center" readingOrder="0" shrinkToFit="0" vertical="center" wrapText="1"/>
    </xf>
    <xf borderId="13" fillId="14" fontId="18" numFmtId="0" xfId="0" applyAlignment="1" applyBorder="1" applyFill="1" applyFont="1">
      <alignment horizontal="center" readingOrder="0" shrinkToFit="0" vertical="center" wrapText="1"/>
    </xf>
    <xf borderId="13" fillId="15" fontId="18" numFmtId="0" xfId="0" applyAlignment="1" applyBorder="1" applyFill="1" applyFont="1">
      <alignment horizontal="center" readingOrder="0" shrinkToFit="0" textRotation="0" vertical="center" wrapText="0"/>
    </xf>
    <xf borderId="13" fillId="16" fontId="18" numFmtId="0" xfId="0" applyAlignment="1" applyBorder="1" applyFill="1" applyFont="1">
      <alignment horizontal="center" readingOrder="0" vertical="center"/>
    </xf>
    <xf borderId="13" fillId="12" fontId="18" numFmtId="0" xfId="0" applyAlignment="1" applyBorder="1" applyFill="1" applyFont="1">
      <alignment horizontal="center" readingOrder="0" shrinkToFit="0" textRotation="0" vertical="center" wrapText="0"/>
    </xf>
    <xf borderId="13" fillId="14" fontId="18" numFmtId="0" xfId="0" applyAlignment="1" applyBorder="1" applyFill="1" applyFont="1">
      <alignment horizontal="center" readingOrder="0" vertical="center"/>
    </xf>
    <xf borderId="13" fillId="7" fontId="18" numFmtId="0" xfId="0" applyAlignment="1" applyBorder="1" applyFill="1" applyFont="1">
      <alignment horizontal="center" readingOrder="0" shrinkToFit="0" vertical="center" wrapText="1"/>
    </xf>
    <xf borderId="13" fillId="7" fontId="18" numFmtId="0" xfId="0" applyAlignment="1" applyBorder="1" applyFill="1" applyFont="1">
      <alignment horizontal="center" readingOrder="0"/>
    </xf>
    <xf borderId="13" fillId="14" fontId="18" numFmtId="168" xfId="0" applyAlignment="1" applyBorder="1" applyFill="1" applyFont="1" applyNumberFormat="1">
      <alignment horizontal="center" vertical="bottom"/>
    </xf>
    <xf borderId="10" fillId="14" fontId="18" numFmtId="168" xfId="0" applyAlignment="1" applyBorder="1" applyFill="1" applyFont="1" applyNumberFormat="1">
      <alignment horizontal="center" vertical="bottom"/>
    </xf>
    <xf borderId="0" fillId="14" fontId="18" numFmtId="168" xfId="0" applyAlignment="1" applyFill="1" applyFont="1" applyNumberFormat="1">
      <alignment horizontal="center" vertical="bottom"/>
    </xf>
    <xf borderId="19" fillId="0" fontId="3" numFmtId="0" xfId="0" applyAlignment="1" applyBorder="1" applyFont="1">
      <alignment horizontal="center" vertical="top"/>
    </xf>
    <xf borderId="19" fillId="0" fontId="4" numFmtId="0" xfId="0" applyAlignment="1" applyBorder="1" applyFont="1">
      <alignment readingOrder="0" shrinkToFit="0" vertical="top" wrapText="1"/>
    </xf>
    <xf borderId="20" fillId="5" fontId="18" numFmtId="0" xfId="0" applyAlignment="1" applyBorder="1" applyFill="1" applyFont="1">
      <alignment horizontal="center" shrinkToFit="0" vertical="top" wrapText="1"/>
    </xf>
    <xf borderId="21" fillId="5" fontId="3" numFmtId="0" xfId="0" applyAlignment="1" applyBorder="1" applyFill="1" applyFont="1">
      <alignment shrinkToFit="0" vertical="bottom" wrapText="1"/>
    </xf>
    <xf borderId="20" fillId="17" fontId="3" numFmtId="0" xfId="0" applyAlignment="1" applyBorder="1" applyFill="1" applyFont="1">
      <alignment horizontal="center" vertical="top"/>
    </xf>
    <xf borderId="21" fillId="0" fontId="3" numFmtId="167" xfId="0" applyAlignment="1" applyBorder="1" applyFont="1" applyNumberFormat="1">
      <alignment horizontal="center" readingOrder="0" vertical="top"/>
    </xf>
    <xf borderId="21" fillId="0" fontId="3" numFmtId="167" xfId="0" applyAlignment="1" applyBorder="1" applyFont="1" applyNumberFormat="1">
      <alignment horizontal="right" readingOrder="0" vertical="top"/>
    </xf>
    <xf borderId="21" fillId="0" fontId="3" numFmtId="165" xfId="0" applyAlignment="1" applyBorder="1" applyFont="1" applyNumberFormat="1">
      <alignment horizontal="right" readingOrder="0" vertical="top"/>
    </xf>
    <xf borderId="22" fillId="0" fontId="3" numFmtId="3" xfId="0" applyAlignment="1" applyBorder="1" applyFont="1" applyNumberFormat="1">
      <alignment horizontal="right" vertical="top"/>
    </xf>
    <xf borderId="22" fillId="0" fontId="3" numFmtId="165" xfId="0" applyAlignment="1" applyBorder="1" applyFont="1" applyNumberFormat="1">
      <alignment horizontal="right" vertical="top"/>
    </xf>
    <xf borderId="23" fillId="0" fontId="3" numFmtId="165" xfId="0" applyAlignment="1" applyBorder="1" applyFont="1" applyNumberFormat="1">
      <alignment horizontal="right" vertical="top"/>
    </xf>
    <xf borderId="21" fillId="18" fontId="23" numFmtId="0" xfId="0" applyAlignment="1" applyBorder="1" applyFill="1" applyFont="1">
      <alignment horizontal="center" readingOrder="0" vertical="top"/>
    </xf>
    <xf borderId="22" fillId="0" fontId="3" numFmtId="0" xfId="0" applyAlignment="1" applyBorder="1" applyFont="1">
      <alignment horizontal="right" vertical="top"/>
    </xf>
    <xf borderId="22" fillId="4" fontId="3" numFmtId="0" xfId="0" applyAlignment="1" applyBorder="1" applyFill="1" applyFont="1">
      <alignment readingOrder="0" vertical="top"/>
    </xf>
    <xf borderId="23" fillId="0" fontId="3" numFmtId="9" xfId="0" applyAlignment="1" applyBorder="1" applyFont="1" applyNumberFormat="1">
      <alignment horizontal="right" readingOrder="0" vertical="top"/>
    </xf>
    <xf borderId="21" fillId="9" fontId="23" numFmtId="4" xfId="0" applyAlignment="1" applyBorder="1" applyFill="1" applyFont="1" applyNumberFormat="1">
      <alignment horizontal="center" vertical="top"/>
    </xf>
    <xf borderId="19" fillId="0" fontId="3" numFmtId="4" xfId="0" applyAlignment="1" applyBorder="1" applyFont="1" applyNumberFormat="1">
      <alignment vertical="top"/>
    </xf>
    <xf borderId="19" fillId="9" fontId="3" numFmtId="0" xfId="0" applyAlignment="1" applyBorder="1" applyFill="1" applyFont="1">
      <alignment horizontal="left" readingOrder="0"/>
    </xf>
    <xf borderId="19" fillId="0" fontId="23" numFmtId="0" xfId="0" applyAlignment="1" applyBorder="1" applyFont="1">
      <alignment horizontal="center" readingOrder="0" vertical="center"/>
    </xf>
    <xf borderId="19" fillId="19" fontId="23" numFmtId="0" xfId="0" applyAlignment="1" applyBorder="1" applyFill="1" applyFont="1">
      <alignment horizontal="center" readingOrder="0" vertical="center"/>
    </xf>
    <xf borderId="19" fillId="18" fontId="23" numFmtId="0" xfId="0" applyAlignment="1" applyBorder="1" applyFill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24" fillId="0" fontId="3" numFmtId="0" xfId="0" applyAlignment="1" applyBorder="1" applyFont="1">
      <alignment vertical="top"/>
    </xf>
    <xf borderId="25" fillId="5" fontId="18" numFmtId="0" xfId="0" applyAlignment="1" applyBorder="1" applyFill="1" applyFont="1">
      <alignment horizontal="center" shrinkToFit="0" vertical="top" wrapText="1"/>
    </xf>
    <xf borderId="26" fillId="5" fontId="3" numFmtId="0" xfId="0" applyAlignment="1" applyBorder="1" applyFill="1" applyFont="1">
      <alignment shrinkToFit="0" vertical="bottom" wrapText="1"/>
    </xf>
    <xf borderId="25" fillId="17" fontId="3" numFmtId="0" xfId="0" applyAlignment="1" applyBorder="1" applyFill="1" applyFont="1">
      <alignment horizontal="center" vertical="top"/>
    </xf>
    <xf borderId="26" fillId="0" fontId="3" numFmtId="167" xfId="0" applyAlignment="1" applyBorder="1" applyFont="1" applyNumberFormat="1">
      <alignment horizontal="center" readingOrder="0" vertical="top"/>
    </xf>
    <xf borderId="26" fillId="0" fontId="3" numFmtId="165" xfId="0" applyAlignment="1" applyBorder="1" applyFont="1" applyNumberFormat="1">
      <alignment horizontal="right" readingOrder="0" vertical="top"/>
    </xf>
    <xf borderId="27" fillId="0" fontId="3" numFmtId="3" xfId="0" applyAlignment="1" applyBorder="1" applyFont="1" applyNumberFormat="1">
      <alignment horizontal="right" vertical="top"/>
    </xf>
    <xf borderId="27" fillId="0" fontId="3" numFmtId="165" xfId="0" applyAlignment="1" applyBorder="1" applyFont="1" applyNumberFormat="1">
      <alignment horizontal="right" vertical="top"/>
    </xf>
    <xf borderId="26" fillId="20" fontId="23" numFmtId="0" xfId="0" applyAlignment="1" applyBorder="1" applyFill="1" applyFont="1">
      <alignment horizontal="center" readingOrder="0" vertical="top"/>
    </xf>
    <xf borderId="27" fillId="0" fontId="3" numFmtId="0" xfId="0" applyAlignment="1" applyBorder="1" applyFont="1">
      <alignment horizontal="right" readingOrder="0" vertical="top"/>
    </xf>
    <xf borderId="28" fillId="0" fontId="3" numFmtId="9" xfId="0" applyAlignment="1" applyBorder="1" applyFont="1" applyNumberFormat="1">
      <alignment horizontal="right" readingOrder="0" vertical="top"/>
    </xf>
    <xf borderId="26" fillId="12" fontId="23" numFmtId="4" xfId="0" applyAlignment="1" applyBorder="1" applyFill="1" applyFont="1" applyNumberFormat="1">
      <alignment horizontal="center" vertical="top"/>
    </xf>
    <xf borderId="24" fillId="0" fontId="3" numFmtId="4" xfId="0" applyAlignment="1" applyBorder="1" applyFont="1" applyNumberFormat="1">
      <alignment vertical="top"/>
    </xf>
    <xf borderId="24" fillId="0" fontId="3" numFmtId="0" xfId="0" applyAlignment="1" applyBorder="1" applyFont="1">
      <alignment horizontal="left"/>
    </xf>
    <xf borderId="24" fillId="20" fontId="23" numFmtId="0" xfId="0" applyAlignment="1" applyBorder="1" applyFill="1" applyFont="1">
      <alignment horizontal="center" readingOrder="0" vertical="center"/>
    </xf>
    <xf borderId="24" fillId="0" fontId="23" numFmtId="0" xfId="0" applyAlignment="1" applyBorder="1" applyFont="1">
      <alignment horizontal="center" readingOrder="0" vertical="center"/>
    </xf>
    <xf borderId="24" fillId="19" fontId="23" numFmtId="0" xfId="0" applyAlignment="1" applyBorder="1" applyFill="1" applyFont="1">
      <alignment horizontal="center" readingOrder="0" vertical="center"/>
    </xf>
    <xf borderId="26" fillId="5" fontId="3" numFmtId="0" xfId="0" applyAlignment="1" applyBorder="1" applyFill="1" applyFont="1">
      <alignment shrinkToFit="0" vertical="bottom" wrapText="1"/>
    </xf>
    <xf borderId="26" fillId="21" fontId="23" numFmtId="0" xfId="0" applyAlignment="1" applyBorder="1" applyFill="1" applyFont="1">
      <alignment horizontal="center" readingOrder="0" vertical="top"/>
    </xf>
    <xf borderId="28" fillId="0" fontId="3" numFmtId="9" xfId="0" applyAlignment="1" applyBorder="1" applyFont="1" applyNumberFormat="1">
      <alignment horizontal="right" vertical="top"/>
    </xf>
    <xf borderId="26" fillId="0" fontId="3" numFmtId="4" xfId="0" applyAlignment="1" applyBorder="1" applyFont="1" applyNumberFormat="1">
      <alignment horizontal="center" readingOrder="0" vertical="top"/>
    </xf>
    <xf borderId="24" fillId="21" fontId="23" numFmtId="0" xfId="0" applyAlignment="1" applyBorder="1" applyFill="1" applyFont="1">
      <alignment horizontal="center" readingOrder="0" vertical="center"/>
    </xf>
    <xf borderId="26" fillId="22" fontId="23" numFmtId="0" xfId="0" applyAlignment="1" applyBorder="1" applyFill="1" applyFont="1">
      <alignment horizontal="center" readingOrder="0" vertical="top"/>
    </xf>
    <xf borderId="27" fillId="0" fontId="3" numFmtId="0" xfId="0" applyAlignment="1" applyBorder="1" applyFont="1">
      <alignment horizontal="right" vertical="top"/>
    </xf>
    <xf borderId="26" fillId="9" fontId="23" numFmtId="4" xfId="0" applyAlignment="1" applyBorder="1" applyFill="1" applyFont="1" applyNumberFormat="1">
      <alignment horizontal="center" readingOrder="0" vertical="top"/>
    </xf>
    <xf borderId="24" fillId="22" fontId="23" numFmtId="0" xfId="0" applyAlignment="1" applyBorder="1" applyFill="1" applyFont="1">
      <alignment horizontal="center" readingOrder="0" vertical="center"/>
    </xf>
    <xf borderId="29" fillId="0" fontId="3" numFmtId="0" xfId="0" applyAlignment="1" applyBorder="1" applyFont="1">
      <alignment vertical="top"/>
    </xf>
    <xf borderId="30" fillId="5" fontId="19" numFmtId="0" xfId="0" applyAlignment="1" applyBorder="1" applyFill="1" applyFont="1">
      <alignment horizontal="left" readingOrder="0"/>
    </xf>
    <xf borderId="26" fillId="5" fontId="3" numFmtId="0" xfId="0" applyAlignment="1" applyBorder="1" applyFill="1" applyFont="1">
      <alignment readingOrder="0" shrinkToFit="0" vertical="bottom" wrapText="1"/>
    </xf>
    <xf borderId="25" fillId="17" fontId="3" numFmtId="0" xfId="0" applyAlignment="1" applyBorder="1" applyFill="1" applyFont="1">
      <alignment vertical="top"/>
    </xf>
    <xf borderId="1" fillId="0" fontId="2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right" readingOrder="0" shrinkToFit="0" vertical="center" wrapText="1"/>
    </xf>
    <xf borderId="0" fillId="0" fontId="25" numFmtId="0" xfId="0" applyAlignment="1" applyFont="1">
      <alignment vertical="bottom"/>
    </xf>
    <xf borderId="0" fillId="0" fontId="26" numFmtId="0" xfId="0" applyAlignment="1" applyFont="1">
      <alignment shrinkToFit="0" vertical="bottom" wrapText="0"/>
    </xf>
    <xf borderId="0" fillId="0" fontId="25" numFmtId="0" xfId="0" applyAlignment="1" applyFont="1">
      <alignment vertical="bottom"/>
    </xf>
    <xf borderId="0" fillId="0" fontId="3" numFmtId="0" xfId="0" applyAlignment="1" applyFont="1">
      <alignment vertical="bottom"/>
    </xf>
    <xf borderId="31" fillId="0" fontId="27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9" xfId="0" applyAlignment="1" applyFont="1" applyNumberFormat="1">
      <alignment vertical="bottom"/>
    </xf>
    <xf borderId="0" fillId="23" fontId="3" numFmtId="0" xfId="0" applyAlignment="1" applyFill="1" applyFont="1">
      <alignment vertical="bottom"/>
    </xf>
    <xf borderId="0" fillId="23" fontId="3" numFmtId="9" xfId="0" applyAlignment="1" applyFill="1" applyFont="1" applyNumberFormat="1">
      <alignment vertical="bottom"/>
    </xf>
    <xf borderId="0" fillId="23" fontId="3" numFmtId="0" xfId="0" applyAlignment="1" applyFill="1" applyFont="1">
      <alignment vertical="bottom"/>
    </xf>
    <xf borderId="0" fillId="0" fontId="18" numFmtId="0" xfId="0" applyAlignment="1" applyFont="1">
      <alignment horizontal="center" readingOrder="0"/>
    </xf>
    <xf borderId="31" fillId="0" fontId="18" numFmtId="0" xfId="0" applyAlignment="1" applyBorder="1" applyFont="1">
      <alignment shrinkToFit="0" vertical="bottom" wrapText="0"/>
    </xf>
    <xf borderId="31" fillId="0" fontId="18" numFmtId="0" xfId="0" applyAlignment="1" applyBorder="1" applyFont="1">
      <alignment shrinkToFit="0" vertical="bottom" wrapText="0"/>
    </xf>
    <xf borderId="31" fillId="0" fontId="18" numFmtId="0" xfId="0" applyAlignment="1" applyBorder="1" applyFont="1">
      <alignment readingOrder="0" shrinkToFit="0" vertical="bottom" wrapText="0"/>
    </xf>
    <xf borderId="17" fillId="0" fontId="3" numFmtId="0" xfId="0" applyAlignment="1" applyBorder="1" applyFont="1">
      <alignment vertical="bottom"/>
    </xf>
    <xf borderId="17" fillId="0" fontId="3" numFmtId="9" xfId="0" applyAlignment="1" applyBorder="1" applyFont="1" applyNumberFormat="1">
      <alignment vertical="bottom"/>
    </xf>
    <xf borderId="17" fillId="0" fontId="3" numFmtId="0" xfId="0" applyAlignment="1" applyBorder="1" applyFont="1">
      <alignment vertical="bottom"/>
    </xf>
    <xf borderId="32" fillId="24" fontId="20" numFmtId="0" xfId="0" applyAlignment="1" applyBorder="1" applyFill="1" applyFont="1">
      <alignment horizontal="center" vertical="bottom"/>
    </xf>
    <xf borderId="7" fillId="24" fontId="20" numFmtId="9" xfId="0" applyAlignment="1" applyBorder="1" applyFill="1" applyFont="1" applyNumberFormat="1">
      <alignment horizontal="center" vertical="bottom"/>
    </xf>
    <xf borderId="7" fillId="24" fontId="20" numFmtId="0" xfId="0" applyAlignment="1" applyBorder="1" applyFill="1" applyFont="1">
      <alignment horizontal="center" vertical="bottom"/>
    </xf>
    <xf borderId="32" fillId="25" fontId="20" numFmtId="0" xfId="0" applyAlignment="1" applyBorder="1" applyFill="1" applyFont="1">
      <alignment horizontal="center" vertical="bottom"/>
    </xf>
    <xf borderId="7" fillId="25" fontId="20" numFmtId="0" xfId="0" applyAlignment="1" applyBorder="1" applyFill="1" applyFont="1">
      <alignment horizontal="center" readingOrder="0" vertical="bottom"/>
    </xf>
    <xf borderId="13" fillId="25" fontId="20" numFmtId="0" xfId="0" applyAlignment="1" applyBorder="1" applyFill="1" applyFont="1">
      <alignment horizontal="center" readingOrder="0" vertical="bottom"/>
    </xf>
    <xf borderId="32" fillId="25" fontId="20" numFmtId="0" xfId="0" applyAlignment="1" applyBorder="1" applyFill="1" applyFont="1">
      <alignment horizontal="center" vertical="bottom"/>
    </xf>
    <xf borderId="7" fillId="24" fontId="20" numFmtId="0" xfId="0" applyAlignment="1" applyBorder="1" applyFill="1" applyFont="1">
      <alignment horizontal="center" readingOrder="0" vertical="bottom"/>
    </xf>
    <xf borderId="32" fillId="5" fontId="3" numFmtId="0" xfId="0" applyAlignment="1" applyBorder="1" applyFill="1" applyFont="1">
      <alignment horizontal="center" vertical="bottom"/>
    </xf>
    <xf borderId="7" fillId="5" fontId="3" numFmtId="9" xfId="0" applyAlignment="1" applyBorder="1" applyFill="1" applyFont="1" applyNumberFormat="1">
      <alignment vertical="bottom"/>
    </xf>
    <xf borderId="7" fillId="5" fontId="3" numFmtId="0" xfId="0" applyAlignment="1" applyBorder="1" applyFill="1" applyFont="1">
      <alignment horizontal="right" vertical="bottom"/>
    </xf>
    <xf borderId="7" fillId="5" fontId="3" numFmtId="0" xfId="0" applyAlignment="1" applyBorder="1" applyFill="1" applyFont="1">
      <alignment vertical="bottom"/>
    </xf>
    <xf borderId="7" fillId="5" fontId="3" numFmtId="0" xfId="0" applyAlignment="1" applyBorder="1" applyFill="1" applyFont="1">
      <alignment readingOrder="0" vertical="bottom"/>
    </xf>
    <xf borderId="13" fillId="20" fontId="3" numFmtId="0" xfId="0" applyAlignment="1" applyBorder="1" applyFill="1" applyFont="1">
      <alignment vertical="bottom"/>
    </xf>
    <xf borderId="13" fillId="5" fontId="3" numFmtId="0" xfId="0" applyAlignment="1" applyBorder="1" applyFill="1" applyFont="1">
      <alignment horizontal="center" shrinkToFit="0" vertical="bottom" wrapText="0"/>
    </xf>
    <xf borderId="13" fillId="5" fontId="28" numFmtId="0" xfId="0" applyAlignment="1" applyBorder="1" applyFill="1" applyFont="1">
      <alignment readingOrder="0" shrinkToFit="0" vertical="bottom" wrapText="0"/>
    </xf>
    <xf borderId="13" fillId="5" fontId="3" numFmtId="0" xfId="0" applyAlignment="1" applyBorder="1" applyFill="1" applyFont="1">
      <alignment readingOrder="0" shrinkToFit="0" vertical="bottom" wrapText="0"/>
    </xf>
    <xf borderId="32" fillId="26" fontId="3" numFmtId="0" xfId="0" applyAlignment="1" applyBorder="1" applyFill="1" applyFont="1">
      <alignment horizontal="center" vertical="bottom"/>
    </xf>
    <xf borderId="7" fillId="26" fontId="3" numFmtId="9" xfId="0" applyAlignment="1" applyBorder="1" applyFill="1" applyFont="1" applyNumberFormat="1">
      <alignment vertical="bottom"/>
    </xf>
    <xf borderId="7" fillId="26" fontId="3" numFmtId="0" xfId="0" applyAlignment="1" applyBorder="1" applyFill="1" applyFont="1">
      <alignment vertical="bottom"/>
    </xf>
    <xf borderId="32" fillId="27" fontId="3" numFmtId="0" xfId="0" applyAlignment="1" applyBorder="1" applyFill="1" applyFont="1">
      <alignment horizontal="center" vertical="bottom"/>
    </xf>
    <xf borderId="7" fillId="27" fontId="3" numFmtId="0" xfId="0" applyAlignment="1" applyBorder="1" applyFill="1" applyFont="1">
      <alignment readingOrder="0" vertical="bottom"/>
    </xf>
    <xf borderId="13" fillId="18" fontId="3" numFmtId="0" xfId="0" applyAlignment="1" applyBorder="1" applyFill="1" applyFont="1">
      <alignment vertical="bottom"/>
    </xf>
    <xf borderId="13" fillId="5" fontId="3" numFmtId="0" xfId="0" applyAlignment="1" applyBorder="1" applyFill="1" applyFont="1">
      <alignment horizontal="center" readingOrder="0" shrinkToFit="0" vertical="bottom" wrapText="0"/>
    </xf>
    <xf borderId="13" fillId="5" fontId="3" numFmtId="0" xfId="0" applyAlignment="1" applyBorder="1" applyFill="1" applyFont="1">
      <alignment shrinkToFit="0" vertical="bottom" wrapText="0"/>
    </xf>
    <xf borderId="7" fillId="26" fontId="3" numFmtId="0" xfId="0" applyAlignment="1" applyBorder="1" applyFill="1" applyFont="1">
      <alignment readingOrder="0" vertical="bottom"/>
    </xf>
    <xf borderId="13" fillId="28" fontId="3" numFmtId="0" xfId="0" applyAlignment="1" applyBorder="1" applyFill="1" applyFont="1">
      <alignment vertical="bottom"/>
    </xf>
    <xf borderId="13" fillId="5" fontId="29" numFmtId="0" xfId="0" applyAlignment="1" applyBorder="1" applyFill="1" applyFont="1">
      <alignment readingOrder="0" shrinkToFit="0" vertical="bottom" wrapText="0"/>
    </xf>
    <xf borderId="13" fillId="29" fontId="3" numFmtId="0" xfId="0" applyAlignment="1" applyBorder="1" applyFill="1" applyFont="1">
      <alignment vertical="bottom"/>
    </xf>
    <xf borderId="13" fillId="0" fontId="3" numFmtId="0" xfId="0" applyAlignment="1" applyBorder="1" applyFont="1">
      <alignment readingOrder="0"/>
    </xf>
    <xf borderId="13" fillId="0" fontId="3" numFmtId="0" xfId="0" applyBorder="1" applyFont="1"/>
    <xf borderId="32" fillId="5" fontId="3" numFmtId="0" xfId="0" applyAlignment="1" applyBorder="1" applyFill="1" applyFont="1">
      <alignment horizontal="center" vertical="bottom"/>
    </xf>
    <xf borderId="13" fillId="21" fontId="3" numFmtId="0" xfId="0" applyAlignment="1" applyBorder="1" applyFill="1" applyFont="1">
      <alignment vertical="bottom"/>
    </xf>
    <xf borderId="32" fillId="27" fontId="3" numFmtId="0" xfId="0" applyAlignment="1" applyBorder="1" applyFill="1" applyFont="1">
      <alignment horizontal="center" vertical="bottom"/>
    </xf>
    <xf borderId="13" fillId="30" fontId="3" numFmtId="0" xfId="0" applyAlignment="1" applyBorder="1" applyFill="1" applyFont="1">
      <alignment vertical="bottom"/>
    </xf>
    <xf borderId="13" fillId="22" fontId="3" numFmtId="0" xfId="0" applyAlignment="1" applyBorder="1" applyFill="1" applyFont="1">
      <alignment vertical="bottom"/>
    </xf>
    <xf borderId="32" fillId="26" fontId="3" numFmtId="0" xfId="0" applyAlignment="1" applyBorder="1" applyFill="1" applyFont="1">
      <alignment horizontal="center" vertical="bottom"/>
    </xf>
    <xf borderId="13" fillId="5" fontId="3" numFmtId="0" xfId="0" applyAlignment="1" applyBorder="1" applyFill="1" applyFont="1">
      <alignment vertical="bottom"/>
    </xf>
    <xf borderId="7" fillId="27" fontId="3" numFmtId="0" xfId="0" applyAlignment="1" applyBorder="1" applyFill="1" applyFont="1">
      <alignment vertical="bottom"/>
    </xf>
    <xf borderId="0" fillId="0" fontId="18" numFmtId="0" xfId="0" applyAlignment="1" applyFont="1">
      <alignment horizontal="center" readingOrder="0" shrinkToFit="0" vertical="bottom" wrapText="1"/>
    </xf>
    <xf borderId="7" fillId="27" fontId="3" numFmtId="9" xfId="0" applyAlignment="1" applyBorder="1" applyFill="1" applyFont="1" applyNumberFormat="1">
      <alignment vertical="bottom"/>
    </xf>
    <xf borderId="32" fillId="24" fontId="20" numFmtId="0" xfId="0" applyAlignment="1" applyBorder="1" applyFill="1" applyFont="1">
      <alignment horizontal="center" vertical="bottom"/>
    </xf>
    <xf borderId="7" fillId="24" fontId="20" numFmtId="0" xfId="0" applyAlignment="1" applyBorder="1" applyFill="1" applyFont="1">
      <alignment horizontal="center" readingOrder="0" vertical="bottom"/>
    </xf>
    <xf borderId="17" fillId="24" fontId="20" numFmtId="0" xfId="0" applyAlignment="1" applyBorder="1" applyFill="1" applyFont="1">
      <alignment horizontal="center" vertical="bottom"/>
    </xf>
    <xf borderId="7" fillId="24" fontId="2" numFmtId="0" xfId="0" applyBorder="1" applyFill="1" applyFont="1"/>
    <xf borderId="32" fillId="5" fontId="3" numFmtId="0" xfId="0" applyAlignment="1" applyBorder="1" applyFill="1" applyFont="1">
      <alignment horizontal="center" vertical="bottom"/>
    </xf>
    <xf borderId="7" fillId="5" fontId="3" numFmtId="166" xfId="0" applyAlignment="1" applyBorder="1" applyFill="1" applyFont="1" applyNumberFormat="1">
      <alignment horizontal="center" readingOrder="0" vertical="bottom"/>
    </xf>
    <xf borderId="17" fillId="5" fontId="3" numFmtId="0" xfId="0" applyAlignment="1" applyBorder="1" applyFill="1" applyFont="1">
      <alignment horizontal="left" readingOrder="0" vertical="bottom"/>
    </xf>
    <xf borderId="7" fillId="5" fontId="2" numFmtId="0" xfId="0" applyBorder="1" applyFill="1" applyFont="1"/>
    <xf borderId="32" fillId="26" fontId="3" numFmtId="0" xfId="0" applyAlignment="1" applyBorder="1" applyFill="1" applyFont="1">
      <alignment horizontal="center" vertical="bottom"/>
    </xf>
    <xf borderId="7" fillId="26" fontId="3" numFmtId="166" xfId="0" applyAlignment="1" applyBorder="1" applyFill="1" applyFont="1" applyNumberFormat="1">
      <alignment horizontal="center" vertical="bottom"/>
    </xf>
    <xf borderId="17" fillId="26" fontId="3" numFmtId="0" xfId="0" applyAlignment="1" applyBorder="1" applyFill="1" applyFont="1">
      <alignment horizontal="left" vertical="bottom"/>
    </xf>
    <xf borderId="7" fillId="26" fontId="2" numFmtId="0" xfId="0" applyBorder="1" applyFill="1" applyFont="1"/>
    <xf borderId="7" fillId="5" fontId="3" numFmtId="166" xfId="0" applyAlignment="1" applyBorder="1" applyFill="1" applyFont="1" applyNumberFormat="1">
      <alignment horizontal="center" vertical="bottom"/>
    </xf>
    <xf borderId="17" fillId="5" fontId="3" numFmtId="0" xfId="0" applyAlignment="1" applyBorder="1" applyFill="1" applyFont="1">
      <alignment horizontal="left" vertical="bottom"/>
    </xf>
    <xf borderId="32" fillId="26" fontId="3" numFmtId="0" xfId="0" applyAlignment="1" applyBorder="1" applyFill="1" applyFont="1">
      <alignment horizontal="center" vertical="bottom"/>
    </xf>
    <xf borderId="7" fillId="26" fontId="3" numFmtId="166" xfId="0" applyAlignment="1" applyBorder="1" applyFill="1" applyFont="1" applyNumberFormat="1">
      <alignment horizontal="center" readingOrder="0" vertical="bottom"/>
    </xf>
    <xf borderId="32" fillId="5" fontId="3" numFmtId="0" xfId="0" applyAlignment="1" applyBorder="1" applyFill="1" applyFont="1">
      <alignment horizontal="center" vertical="bottom"/>
    </xf>
  </cellXfs>
  <cellStyles count="1">
    <cellStyle xfId="0" name="Normal" builtinId="0"/>
  </cellStyles>
  <dxfs count="30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>
        <color rgb="FFFFFFFF"/>
      </font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>
        <color rgb="FFFFFFFF"/>
      </font>
      <fill>
        <patternFill patternType="solid">
          <fgColor rgb="FF6D9EEB"/>
          <bgColor rgb="FF6D9EEB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4">
    <tableStyle count="3" pivot="0" name="General-style">
      <tableStyleElement dxfId="25" type="headerRow"/>
      <tableStyleElement dxfId="26" type="firstRowStripe"/>
      <tableStyleElement dxfId="27" type="secondRowStripe"/>
    </tableStyle>
    <tableStyle count="3" pivot="0" name="General-style 2">
      <tableStyleElement dxfId="28" type="headerRow"/>
      <tableStyleElement dxfId="26" type="firstRowStripe"/>
      <tableStyleElement dxfId="29" type="secondRowStripe"/>
    </tableStyle>
    <tableStyle count="3" pivot="0" name="General-style 3">
      <tableStyleElement dxfId="28" type="headerRow"/>
      <tableStyleElement dxfId="26" type="firstRowStripe"/>
      <tableStyleElement dxfId="29" type="secondRowStripe"/>
    </tableStyle>
    <tableStyle count="3" pivot="0" name="General-style 4">
      <tableStyleElement dxfId="25" type="headerRow"/>
      <tableStyleElement dxfId="26" type="firstRowStripe"/>
      <tableStyleElement dxfId="2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66700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" cy="571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2:E23" displayName="Table_1" name="Table_1" id="1">
  <tableColumns count="4">
    <tableColumn name="#" id="1"/>
    <tableColumn name="Status" id="2"/>
    <tableColumn name="Statitics" id="3"/>
    <tableColumn name="Description" id="4"/>
  </tableColumns>
  <tableStyleInfo name="General-style" showColumnStripes="0" showFirstColumn="1" showLastColumn="1" showRowStripes="1"/>
</table>
</file>

<file path=xl/tables/table2.xml><?xml version="1.0" encoding="utf-8"?>
<table xmlns="http://schemas.openxmlformats.org/spreadsheetml/2006/main" ref="G12:J44" displayName="Table_2" name="Table_2" id="2">
  <tableColumns count="4">
    <tableColumn name="#" id="1"/>
    <tableColumn name="Name" id="2"/>
    <tableColumn name="Effort" id="3"/>
    <tableColumn name="Color" id="4"/>
  </tableColumns>
  <tableStyleInfo name="General-style 2" showColumnStripes="0" showFirstColumn="1" showLastColumn="1" showRowStripes="1"/>
</table>
</file>

<file path=xl/tables/table3.xml><?xml version="1.0" encoding="utf-8"?>
<table xmlns="http://schemas.openxmlformats.org/spreadsheetml/2006/main" ref="L12:N15" displayName="Table_3" name="Table_3" id="3">
  <tableColumns count="3">
    <tableColumn name="#" id="1"/>
    <tableColumn name="Key" id="2"/>
    <tableColumn name="Value" id="3"/>
  </tableColumns>
  <tableStyleInfo name="General-style 3" showColumnStripes="0" showFirstColumn="1" showLastColumn="1" showRowStripes="1"/>
</table>
</file>

<file path=xl/tables/table4.xml><?xml version="1.0" encoding="utf-8"?>
<table xmlns="http://schemas.openxmlformats.org/spreadsheetml/2006/main" ref="P12:S23" displayName="Table_4" name="Table_4" id="4">
  <tableColumns count="4">
    <tableColumn name="#" id="1"/>
    <tableColumn name="Title" id="2"/>
    <tableColumn name="Effort" id="3"/>
    <tableColumn name="Description" id="4"/>
  </tableColumns>
  <tableStyleInfo name="General-style 4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3.5"/>
    <col customWidth="1" min="5" max="9" width="9.75"/>
    <col customWidth="1" min="10" max="10" width="13.75"/>
    <col customWidth="1" min="11" max="11" width="18.25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0"/>
    </row>
    <row r="4" ht="22.5" customHeight="1">
      <c r="A4" s="11" t="s">
        <v>4</v>
      </c>
      <c r="B4" s="12"/>
      <c r="C4" s="12"/>
      <c r="D4" s="12"/>
      <c r="E4" s="12"/>
      <c r="F4" s="12"/>
      <c r="G4" s="12"/>
      <c r="H4" s="12"/>
      <c r="I4" s="13"/>
      <c r="J4" s="14" t="s">
        <v>5</v>
      </c>
      <c r="K4" s="10"/>
    </row>
    <row r="5" ht="16.5" customHeight="1">
      <c r="A5" s="15"/>
      <c r="K5" s="16"/>
    </row>
    <row r="6" ht="31.5" customHeight="1">
      <c r="A6" s="17" t="s">
        <v>6</v>
      </c>
      <c r="K6" s="16"/>
    </row>
    <row r="7" ht="20.25" customHeight="1">
      <c r="A7" s="18" t="s">
        <v>7</v>
      </c>
      <c r="B7" s="19" t="s">
        <v>8</v>
      </c>
      <c r="C7" s="12"/>
      <c r="D7" s="13"/>
      <c r="E7" s="19" t="s">
        <v>9</v>
      </c>
      <c r="F7" s="12"/>
      <c r="G7" s="12"/>
      <c r="H7" s="12"/>
      <c r="I7" s="13"/>
      <c r="J7" s="19" t="s">
        <v>10</v>
      </c>
      <c r="K7" s="13"/>
    </row>
    <row r="8" ht="22.5" customHeight="1">
      <c r="A8" s="20">
        <v>1.0</v>
      </c>
      <c r="B8" s="21"/>
      <c r="C8" s="12"/>
      <c r="D8" s="13"/>
      <c r="E8" s="21" t="s">
        <v>11</v>
      </c>
      <c r="F8" s="12"/>
      <c r="G8" s="12"/>
      <c r="H8" s="12"/>
      <c r="I8" s="13"/>
      <c r="J8" s="22">
        <v>44320.0</v>
      </c>
      <c r="K8" s="13"/>
    </row>
    <row r="9" ht="22.5" customHeight="1">
      <c r="A9" s="20"/>
      <c r="B9" s="21"/>
      <c r="C9" s="12"/>
      <c r="D9" s="13"/>
      <c r="E9" s="21"/>
      <c r="F9" s="12"/>
      <c r="G9" s="12"/>
      <c r="H9" s="12"/>
      <c r="I9" s="13"/>
      <c r="J9" s="21"/>
      <c r="K9" s="13"/>
    </row>
    <row r="10" ht="22.5" customHeight="1">
      <c r="A10" s="20"/>
      <c r="B10" s="23"/>
      <c r="C10" s="2"/>
      <c r="D10" s="5"/>
      <c r="E10" s="23"/>
      <c r="F10" s="2"/>
      <c r="G10" s="2"/>
      <c r="H10" s="2"/>
      <c r="I10" s="5"/>
      <c r="J10" s="21"/>
      <c r="K10" s="13"/>
    </row>
    <row r="11" ht="22.5" customHeight="1">
      <c r="A11" s="20"/>
      <c r="B11" s="24"/>
      <c r="C11" s="12"/>
      <c r="D11" s="13"/>
      <c r="E11" s="25"/>
      <c r="F11" s="12"/>
      <c r="G11" s="12"/>
      <c r="H11" s="12"/>
      <c r="I11" s="13"/>
      <c r="J11" s="21"/>
      <c r="K11" s="13"/>
    </row>
    <row r="12" ht="22.5" customHeight="1">
      <c r="A12" s="26"/>
      <c r="B12" s="24"/>
      <c r="C12" s="12"/>
      <c r="D12" s="13"/>
      <c r="E12" s="25"/>
      <c r="F12" s="12"/>
      <c r="G12" s="12"/>
      <c r="H12" s="12"/>
      <c r="I12" s="13"/>
      <c r="J12" s="21"/>
      <c r="K12" s="13"/>
    </row>
    <row r="13" ht="22.5" customHeight="1">
      <c r="A13" s="27"/>
      <c r="B13" s="28"/>
      <c r="C13" s="12"/>
      <c r="D13" s="13"/>
      <c r="E13" s="29"/>
      <c r="F13" s="12"/>
      <c r="G13" s="12"/>
      <c r="H13" s="12"/>
      <c r="I13" s="13"/>
      <c r="J13" s="21"/>
      <c r="K13" s="13"/>
    </row>
    <row r="14" ht="22.5" customHeight="1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2"/>
    </row>
    <row r="15" ht="22.5" customHeight="1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2"/>
    </row>
    <row r="16" ht="22.5" customHeight="1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2"/>
    </row>
    <row r="17" ht="22.5" customHeight="1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2"/>
    </row>
    <row r="18" ht="22.5" customHeight="1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2"/>
    </row>
    <row r="19" ht="22.5" customHeight="1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2"/>
    </row>
    <row r="20" ht="22.5" customHeight="1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2"/>
    </row>
    <row r="21" ht="22.5" customHeight="1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5"/>
    </row>
  </sheetData>
  <mergeCells count="30">
    <mergeCell ref="A1:D3"/>
    <mergeCell ref="E1:I3"/>
    <mergeCell ref="J1:K1"/>
    <mergeCell ref="J2:K2"/>
    <mergeCell ref="J3:K3"/>
    <mergeCell ref="A4:I4"/>
    <mergeCell ref="J4:K4"/>
    <mergeCell ref="A5:K5"/>
    <mergeCell ref="A6:K6"/>
    <mergeCell ref="B7:D7"/>
    <mergeCell ref="E7:I7"/>
    <mergeCell ref="J7:K7"/>
    <mergeCell ref="E8:I8"/>
    <mergeCell ref="J8:K8"/>
    <mergeCell ref="B8:D8"/>
    <mergeCell ref="B9:D9"/>
    <mergeCell ref="E9:I9"/>
    <mergeCell ref="J9:K9"/>
    <mergeCell ref="B10:D10"/>
    <mergeCell ref="E10:I10"/>
    <mergeCell ref="J10:K10"/>
    <mergeCell ref="E13:I13"/>
    <mergeCell ref="J13:K13"/>
    <mergeCell ref="B11:D11"/>
    <mergeCell ref="E11:I11"/>
    <mergeCell ref="J11:K11"/>
    <mergeCell ref="B12:D12"/>
    <mergeCell ref="E12:I12"/>
    <mergeCell ref="J12:K12"/>
    <mergeCell ref="B13:D1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3.5"/>
    <col customWidth="1" min="2" max="2" width="9.0"/>
    <col customWidth="1" min="3" max="3" width="15.13"/>
    <col customWidth="1" min="4" max="4" width="34.88"/>
    <col customWidth="1" min="5" max="5" width="8.75"/>
    <col customWidth="1" min="6" max="6" width="4.88"/>
    <col customWidth="1" min="7" max="7" width="5.38"/>
    <col customWidth="1" min="8" max="8" width="6.0"/>
    <col customWidth="1" min="9" max="9" width="9.25"/>
    <col customWidth="1" min="10" max="10" width="6.38"/>
    <col customWidth="1" min="11" max="11" width="5.25"/>
    <col customWidth="1" min="12" max="12" width="10.38"/>
    <col customWidth="1" min="13" max="13" width="6.13"/>
    <col customWidth="1" min="14" max="14" width="9.88"/>
    <col customWidth="1" min="15" max="15" width="7.25"/>
    <col customWidth="1" min="16" max="16" width="8.88"/>
    <col customWidth="1" min="17" max="17" width="8.13"/>
    <col customWidth="1" hidden="1" min="18" max="18" width="8.13"/>
    <col customWidth="1" min="19" max="19" width="3.75"/>
    <col customWidth="1" min="20" max="160" width="1.88"/>
  </cols>
  <sheetData>
    <row r="1">
      <c r="A1" s="1"/>
      <c r="B1" s="5"/>
      <c r="C1" s="1" t="s">
        <v>0</v>
      </c>
      <c r="D1" s="5"/>
      <c r="E1" s="4" t="s">
        <v>1</v>
      </c>
      <c r="F1" s="2"/>
      <c r="G1" s="2"/>
      <c r="H1" s="2"/>
      <c r="I1" s="2"/>
      <c r="J1" s="5"/>
      <c r="K1" s="36"/>
      <c r="L1" s="36"/>
      <c r="M1" s="36"/>
      <c r="N1" s="36"/>
      <c r="T1" s="37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</row>
    <row r="2">
      <c r="A2" s="6"/>
      <c r="B2" s="8"/>
      <c r="C2" s="6"/>
      <c r="D2" s="8"/>
      <c r="E2" s="7" t="s">
        <v>2</v>
      </c>
      <c r="J2" s="8"/>
      <c r="K2" s="36"/>
      <c r="L2" s="36"/>
      <c r="M2" s="36"/>
      <c r="N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</row>
    <row r="3">
      <c r="A3" s="39"/>
      <c r="B3" s="10"/>
      <c r="C3" s="39"/>
      <c r="D3" s="10"/>
      <c r="E3" s="9" t="s">
        <v>3</v>
      </c>
      <c r="F3" s="40"/>
      <c r="G3" s="40"/>
      <c r="H3" s="40"/>
      <c r="I3" s="40"/>
      <c r="J3" s="10"/>
      <c r="K3" s="36"/>
      <c r="L3" s="36"/>
      <c r="M3" s="36"/>
      <c r="N3" s="36"/>
      <c r="T3" s="37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</row>
    <row r="4">
      <c r="A4" s="41" t="s">
        <v>4</v>
      </c>
      <c r="B4" s="12"/>
      <c r="C4" s="12"/>
      <c r="D4" s="13"/>
      <c r="E4" s="14" t="s">
        <v>5</v>
      </c>
      <c r="F4" s="40"/>
      <c r="G4" s="40"/>
      <c r="H4" s="40"/>
      <c r="I4" s="40"/>
      <c r="J4" s="10"/>
      <c r="K4" s="36"/>
      <c r="L4" s="36"/>
      <c r="M4" s="36"/>
      <c r="N4" s="36"/>
      <c r="T4" s="37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</row>
    <row r="5">
      <c r="A5" s="42"/>
      <c r="B5" s="42"/>
      <c r="C5" s="43"/>
      <c r="D5" s="44"/>
      <c r="E5" s="36"/>
      <c r="F5" s="36"/>
      <c r="G5" s="36"/>
      <c r="H5" s="36"/>
      <c r="I5" s="45"/>
      <c r="J5" s="36"/>
      <c r="K5" s="36"/>
      <c r="L5" s="36"/>
      <c r="M5" s="36"/>
      <c r="N5" s="36"/>
      <c r="T5" s="37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</row>
    <row r="6">
      <c r="A6" s="42"/>
      <c r="B6" s="42"/>
      <c r="C6" s="43" t="s">
        <v>12</v>
      </c>
      <c r="D6" s="44"/>
      <c r="E6" s="36"/>
      <c r="F6" s="36"/>
      <c r="G6" s="36"/>
      <c r="H6" s="36"/>
      <c r="I6" s="45"/>
      <c r="J6" s="36"/>
      <c r="K6" s="36"/>
      <c r="L6" s="36"/>
      <c r="M6" s="36"/>
      <c r="N6" s="36"/>
      <c r="T6" s="37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</row>
    <row r="7">
      <c r="A7" s="46"/>
      <c r="B7" s="47" t="s">
        <v>13</v>
      </c>
      <c r="C7" s="48"/>
      <c r="D7" s="48"/>
      <c r="E7" s="49"/>
      <c r="F7" s="50" t="s">
        <v>14</v>
      </c>
      <c r="G7" s="51" t="s">
        <v>15</v>
      </c>
      <c r="H7" s="52"/>
      <c r="I7" s="49"/>
      <c r="J7" s="48"/>
      <c r="K7" s="48"/>
      <c r="L7" s="53" t="s">
        <v>16</v>
      </c>
      <c r="M7" s="54">
        <v>0.1</v>
      </c>
      <c r="N7" s="55"/>
      <c r="O7" s="55"/>
      <c r="P7" s="55"/>
      <c r="Q7" s="55"/>
      <c r="R7" s="55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</row>
    <row r="8">
      <c r="A8" s="57"/>
      <c r="B8" s="58" t="s">
        <v>17</v>
      </c>
      <c r="C8" s="59"/>
      <c r="D8" s="48"/>
      <c r="E8" s="48"/>
      <c r="F8" s="60"/>
      <c r="G8" s="61"/>
      <c r="H8" s="62"/>
      <c r="I8" s="48"/>
      <c r="J8" s="48"/>
      <c r="K8" s="48"/>
      <c r="L8" s="53" t="s">
        <v>18</v>
      </c>
      <c r="M8" s="54">
        <v>0.2</v>
      </c>
      <c r="N8" s="57"/>
      <c r="O8" s="57"/>
      <c r="P8" s="57"/>
      <c r="Q8" s="57"/>
      <c r="R8" s="57"/>
      <c r="S8" s="63"/>
      <c r="T8" s="64"/>
      <c r="U8" s="64"/>
      <c r="V8" s="64"/>
      <c r="W8" s="64"/>
      <c r="X8" s="64"/>
      <c r="Y8" s="65" t="str">
        <f t="shared" ref="Y8:Z8" si="1">IF(Y13=TODAY(),"TODAY","")</f>
        <v/>
      </c>
      <c r="Z8" s="65" t="str">
        <f t="shared" si="1"/>
        <v/>
      </c>
      <c r="AA8" s="64"/>
      <c r="AB8" s="64"/>
      <c r="AC8" s="64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3"/>
      <c r="DD8" s="63"/>
      <c r="DE8" s="63"/>
      <c r="DF8" s="63"/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3"/>
      <c r="EK8" s="63"/>
      <c r="EL8" s="63"/>
      <c r="EM8" s="63"/>
      <c r="EN8" s="63"/>
      <c r="EO8" s="63"/>
      <c r="EP8" s="63"/>
      <c r="EQ8" s="63"/>
      <c r="ER8" s="63"/>
      <c r="ES8" s="63"/>
      <c r="ET8" s="63"/>
      <c r="EU8" s="63"/>
      <c r="EV8" s="63"/>
      <c r="EW8" s="63"/>
      <c r="EX8" s="63"/>
      <c r="EY8" s="63"/>
      <c r="EZ8" s="63"/>
      <c r="FA8" s="63"/>
      <c r="FB8" s="63"/>
      <c r="FC8" s="63"/>
      <c r="FD8" s="63"/>
    </row>
    <row r="9">
      <c r="A9" s="57"/>
      <c r="B9" s="58" t="s">
        <v>19</v>
      </c>
      <c r="C9" s="58"/>
      <c r="D9" s="66"/>
      <c r="E9" s="48"/>
      <c r="F9" s="48"/>
      <c r="G9" s="48"/>
      <c r="H9" s="62"/>
      <c r="I9" s="48"/>
      <c r="J9" s="48"/>
      <c r="K9" s="48"/>
      <c r="L9" s="53" t="s">
        <v>20</v>
      </c>
      <c r="M9" s="54">
        <v>0.3</v>
      </c>
      <c r="N9" s="57"/>
      <c r="O9" s="57"/>
      <c r="P9" s="57"/>
      <c r="Q9" s="57"/>
      <c r="R9" s="57"/>
      <c r="S9" s="65" t="str">
        <f t="shared" ref="S9:X9" si="2">IF(S14=TODAY(),"TODAY","")</f>
        <v/>
      </c>
      <c r="T9" s="65" t="str">
        <f t="shared" si="2"/>
        <v/>
      </c>
      <c r="U9" s="65" t="str">
        <f t="shared" si="2"/>
        <v/>
      </c>
      <c r="V9" s="65" t="str">
        <f t="shared" si="2"/>
        <v/>
      </c>
      <c r="W9" s="65" t="str">
        <f t="shared" si="2"/>
        <v/>
      </c>
      <c r="X9" s="65" t="str">
        <f t="shared" si="2"/>
        <v/>
      </c>
      <c r="Z9" s="65" t="str">
        <f t="shared" ref="Z9:FC9" si="3">IF(Z14=TODAY(),"TODAY","")</f>
        <v/>
      </c>
      <c r="AA9" s="65" t="str">
        <f t="shared" si="3"/>
        <v/>
      </c>
      <c r="AB9" s="65" t="str">
        <f t="shared" si="3"/>
        <v/>
      </c>
      <c r="AC9" s="65" t="str">
        <f t="shared" si="3"/>
        <v/>
      </c>
      <c r="AD9" s="65" t="str">
        <f t="shared" si="3"/>
        <v/>
      </c>
      <c r="AE9" s="65" t="str">
        <f t="shared" si="3"/>
        <v/>
      </c>
      <c r="AF9" s="65" t="str">
        <f t="shared" si="3"/>
        <v/>
      </c>
      <c r="AG9" s="65" t="str">
        <f t="shared" si="3"/>
        <v/>
      </c>
      <c r="AH9" s="65" t="str">
        <f t="shared" si="3"/>
        <v/>
      </c>
      <c r="AI9" s="65" t="str">
        <f t="shared" si="3"/>
        <v/>
      </c>
      <c r="AJ9" s="65" t="str">
        <f t="shared" si="3"/>
        <v/>
      </c>
      <c r="AK9" s="65" t="str">
        <f t="shared" si="3"/>
        <v/>
      </c>
      <c r="AL9" s="65" t="str">
        <f t="shared" si="3"/>
        <v/>
      </c>
      <c r="AM9" s="65" t="str">
        <f t="shared" si="3"/>
        <v/>
      </c>
      <c r="AN9" s="65" t="str">
        <f t="shared" si="3"/>
        <v/>
      </c>
      <c r="AO9" s="65" t="str">
        <f t="shared" si="3"/>
        <v/>
      </c>
      <c r="AP9" s="65" t="str">
        <f t="shared" si="3"/>
        <v/>
      </c>
      <c r="AQ9" s="65" t="str">
        <f t="shared" si="3"/>
        <v/>
      </c>
      <c r="AR9" s="65" t="str">
        <f t="shared" si="3"/>
        <v/>
      </c>
      <c r="AS9" s="65" t="str">
        <f t="shared" si="3"/>
        <v/>
      </c>
      <c r="AT9" s="65" t="str">
        <f t="shared" si="3"/>
        <v/>
      </c>
      <c r="AU9" s="65" t="str">
        <f t="shared" si="3"/>
        <v/>
      </c>
      <c r="AV9" s="65" t="str">
        <f t="shared" si="3"/>
        <v/>
      </c>
      <c r="AW9" s="65" t="str">
        <f t="shared" si="3"/>
        <v/>
      </c>
      <c r="AX9" s="65" t="str">
        <f t="shared" si="3"/>
        <v/>
      </c>
      <c r="AY9" s="65" t="str">
        <f t="shared" si="3"/>
        <v/>
      </c>
      <c r="AZ9" s="65" t="str">
        <f t="shared" si="3"/>
        <v/>
      </c>
      <c r="BA9" s="65" t="str">
        <f t="shared" si="3"/>
        <v/>
      </c>
      <c r="BB9" s="65" t="str">
        <f t="shared" si="3"/>
        <v/>
      </c>
      <c r="BC9" s="65" t="str">
        <f t="shared" si="3"/>
        <v/>
      </c>
      <c r="BD9" s="65" t="str">
        <f t="shared" si="3"/>
        <v/>
      </c>
      <c r="BE9" s="65" t="str">
        <f t="shared" si="3"/>
        <v/>
      </c>
      <c r="BF9" s="65" t="str">
        <f t="shared" si="3"/>
        <v/>
      </c>
      <c r="BG9" s="65" t="str">
        <f t="shared" si="3"/>
        <v/>
      </c>
      <c r="BH9" s="65" t="str">
        <f t="shared" si="3"/>
        <v/>
      </c>
      <c r="BI9" s="65" t="str">
        <f t="shared" si="3"/>
        <v/>
      </c>
      <c r="BJ9" s="65" t="str">
        <f t="shared" si="3"/>
        <v/>
      </c>
      <c r="BK9" s="65" t="str">
        <f t="shared" si="3"/>
        <v/>
      </c>
      <c r="BL9" s="65" t="str">
        <f t="shared" si="3"/>
        <v/>
      </c>
      <c r="BM9" s="65" t="str">
        <f t="shared" si="3"/>
        <v/>
      </c>
      <c r="BN9" s="65" t="str">
        <f t="shared" si="3"/>
        <v/>
      </c>
      <c r="BO9" s="65" t="str">
        <f t="shared" si="3"/>
        <v/>
      </c>
      <c r="BP9" s="65" t="str">
        <f t="shared" si="3"/>
        <v/>
      </c>
      <c r="BQ9" s="65" t="str">
        <f t="shared" si="3"/>
        <v/>
      </c>
      <c r="BR9" s="65" t="str">
        <f t="shared" si="3"/>
        <v/>
      </c>
      <c r="BS9" s="65" t="str">
        <f t="shared" si="3"/>
        <v/>
      </c>
      <c r="BT9" s="65" t="str">
        <f t="shared" si="3"/>
        <v/>
      </c>
      <c r="BU9" s="65" t="str">
        <f t="shared" si="3"/>
        <v/>
      </c>
      <c r="BV9" s="65" t="str">
        <f t="shared" si="3"/>
        <v/>
      </c>
      <c r="BW9" s="65" t="str">
        <f t="shared" si="3"/>
        <v/>
      </c>
      <c r="BX9" s="65" t="str">
        <f t="shared" si="3"/>
        <v/>
      </c>
      <c r="BY9" s="65" t="str">
        <f t="shared" si="3"/>
        <v/>
      </c>
      <c r="BZ9" s="65" t="str">
        <f t="shared" si="3"/>
        <v/>
      </c>
      <c r="CA9" s="65" t="str">
        <f t="shared" si="3"/>
        <v/>
      </c>
      <c r="CB9" s="65" t="str">
        <f t="shared" si="3"/>
        <v/>
      </c>
      <c r="CC9" s="65" t="str">
        <f t="shared" si="3"/>
        <v/>
      </c>
      <c r="CD9" s="65" t="str">
        <f t="shared" si="3"/>
        <v/>
      </c>
      <c r="CE9" s="65" t="str">
        <f t="shared" si="3"/>
        <v/>
      </c>
      <c r="CF9" s="65" t="str">
        <f t="shared" si="3"/>
        <v/>
      </c>
      <c r="CG9" s="65" t="str">
        <f t="shared" si="3"/>
        <v/>
      </c>
      <c r="CH9" s="65" t="str">
        <f t="shared" si="3"/>
        <v/>
      </c>
      <c r="CI9" s="65" t="str">
        <f t="shared" si="3"/>
        <v/>
      </c>
      <c r="CJ9" s="65" t="str">
        <f t="shared" si="3"/>
        <v/>
      </c>
      <c r="CK9" s="65" t="str">
        <f t="shared" si="3"/>
        <v/>
      </c>
      <c r="CL9" s="65" t="str">
        <f t="shared" si="3"/>
        <v/>
      </c>
      <c r="CM9" s="65" t="str">
        <f t="shared" si="3"/>
        <v/>
      </c>
      <c r="CN9" s="65" t="str">
        <f t="shared" si="3"/>
        <v/>
      </c>
      <c r="CO9" s="65" t="str">
        <f t="shared" si="3"/>
        <v/>
      </c>
      <c r="CP9" s="65" t="str">
        <f t="shared" si="3"/>
        <v/>
      </c>
      <c r="CQ9" s="65" t="str">
        <f t="shared" si="3"/>
        <v/>
      </c>
      <c r="CR9" s="65" t="str">
        <f t="shared" si="3"/>
        <v/>
      </c>
      <c r="CS9" s="65" t="str">
        <f t="shared" si="3"/>
        <v/>
      </c>
      <c r="CT9" s="65" t="str">
        <f t="shared" si="3"/>
        <v/>
      </c>
      <c r="CU9" s="65" t="str">
        <f t="shared" si="3"/>
        <v/>
      </c>
      <c r="CV9" s="65" t="str">
        <f t="shared" si="3"/>
        <v/>
      </c>
      <c r="CW9" s="65" t="str">
        <f t="shared" si="3"/>
        <v/>
      </c>
      <c r="CX9" s="65" t="str">
        <f t="shared" si="3"/>
        <v/>
      </c>
      <c r="CY9" s="65" t="str">
        <f t="shared" si="3"/>
        <v/>
      </c>
      <c r="CZ9" s="65" t="str">
        <f t="shared" si="3"/>
        <v/>
      </c>
      <c r="DA9" s="65" t="str">
        <f t="shared" si="3"/>
        <v/>
      </c>
      <c r="DB9" s="65" t="str">
        <f t="shared" si="3"/>
        <v/>
      </c>
      <c r="DC9" s="65" t="str">
        <f t="shared" si="3"/>
        <v/>
      </c>
      <c r="DD9" s="65" t="str">
        <f t="shared" si="3"/>
        <v/>
      </c>
      <c r="DE9" s="65" t="str">
        <f t="shared" si="3"/>
        <v/>
      </c>
      <c r="DF9" s="65" t="str">
        <f t="shared" si="3"/>
        <v/>
      </c>
      <c r="DG9" s="65" t="str">
        <f t="shared" si="3"/>
        <v/>
      </c>
      <c r="DH9" s="65" t="str">
        <f t="shared" si="3"/>
        <v/>
      </c>
      <c r="DI9" s="65" t="str">
        <f t="shared" si="3"/>
        <v/>
      </c>
      <c r="DJ9" s="65" t="str">
        <f t="shared" si="3"/>
        <v/>
      </c>
      <c r="DK9" s="65" t="str">
        <f t="shared" si="3"/>
        <v/>
      </c>
      <c r="DL9" s="65" t="str">
        <f t="shared" si="3"/>
        <v/>
      </c>
      <c r="DM9" s="65" t="str">
        <f t="shared" si="3"/>
        <v/>
      </c>
      <c r="DN9" s="65" t="str">
        <f t="shared" si="3"/>
        <v/>
      </c>
      <c r="DO9" s="65" t="str">
        <f t="shared" si="3"/>
        <v/>
      </c>
      <c r="DP9" s="65" t="str">
        <f t="shared" si="3"/>
        <v/>
      </c>
      <c r="DQ9" s="65" t="str">
        <f t="shared" si="3"/>
        <v/>
      </c>
      <c r="DR9" s="65" t="str">
        <f t="shared" si="3"/>
        <v/>
      </c>
      <c r="DS9" s="65" t="str">
        <f t="shared" si="3"/>
        <v/>
      </c>
      <c r="DT9" s="65" t="str">
        <f t="shared" si="3"/>
        <v/>
      </c>
      <c r="DU9" s="65" t="str">
        <f t="shared" si="3"/>
        <v/>
      </c>
      <c r="DV9" s="65" t="str">
        <f t="shared" si="3"/>
        <v/>
      </c>
      <c r="DW9" s="65" t="str">
        <f t="shared" si="3"/>
        <v/>
      </c>
      <c r="DX9" s="65" t="str">
        <f t="shared" si="3"/>
        <v/>
      </c>
      <c r="DY9" s="65" t="str">
        <f t="shared" si="3"/>
        <v/>
      </c>
      <c r="DZ9" s="65" t="str">
        <f t="shared" si="3"/>
        <v/>
      </c>
      <c r="EA9" s="65" t="str">
        <f t="shared" si="3"/>
        <v/>
      </c>
      <c r="EB9" s="65" t="str">
        <f t="shared" si="3"/>
        <v/>
      </c>
      <c r="EC9" s="65" t="str">
        <f t="shared" si="3"/>
        <v/>
      </c>
      <c r="ED9" s="65" t="str">
        <f t="shared" si="3"/>
        <v/>
      </c>
      <c r="EE9" s="65" t="str">
        <f t="shared" si="3"/>
        <v/>
      </c>
      <c r="EF9" s="65" t="str">
        <f t="shared" si="3"/>
        <v/>
      </c>
      <c r="EG9" s="65" t="str">
        <f t="shared" si="3"/>
        <v/>
      </c>
      <c r="EH9" s="65" t="str">
        <f t="shared" si="3"/>
        <v/>
      </c>
      <c r="EI9" s="65" t="str">
        <f t="shared" si="3"/>
        <v/>
      </c>
      <c r="EJ9" s="65" t="str">
        <f t="shared" si="3"/>
        <v/>
      </c>
      <c r="EK9" s="65" t="str">
        <f t="shared" si="3"/>
        <v/>
      </c>
      <c r="EL9" s="65" t="str">
        <f t="shared" si="3"/>
        <v/>
      </c>
      <c r="EM9" s="65" t="str">
        <f t="shared" si="3"/>
        <v/>
      </c>
      <c r="EN9" s="65" t="str">
        <f t="shared" si="3"/>
        <v/>
      </c>
      <c r="EO9" s="65" t="str">
        <f t="shared" si="3"/>
        <v/>
      </c>
      <c r="EP9" s="65" t="str">
        <f t="shared" si="3"/>
        <v/>
      </c>
      <c r="EQ9" s="65" t="str">
        <f t="shared" si="3"/>
        <v/>
      </c>
      <c r="ER9" s="65" t="str">
        <f t="shared" si="3"/>
        <v/>
      </c>
      <c r="ES9" s="65" t="str">
        <f t="shared" si="3"/>
        <v/>
      </c>
      <c r="ET9" s="65" t="str">
        <f t="shared" si="3"/>
        <v/>
      </c>
      <c r="EU9" s="65" t="str">
        <f t="shared" si="3"/>
        <v/>
      </c>
      <c r="EV9" s="65" t="str">
        <f t="shared" si="3"/>
        <v/>
      </c>
      <c r="EW9" s="65" t="str">
        <f t="shared" si="3"/>
        <v/>
      </c>
      <c r="EX9" s="65" t="str">
        <f t="shared" si="3"/>
        <v/>
      </c>
      <c r="EY9" s="65" t="str">
        <f t="shared" si="3"/>
        <v/>
      </c>
      <c r="EZ9" s="65" t="str">
        <f t="shared" si="3"/>
        <v/>
      </c>
      <c r="FA9" s="65" t="str">
        <f t="shared" si="3"/>
        <v/>
      </c>
      <c r="FB9" s="65" t="str">
        <f t="shared" si="3"/>
        <v/>
      </c>
      <c r="FC9" s="65" t="str">
        <f t="shared" si="3"/>
        <v/>
      </c>
      <c r="FD9" s="65"/>
    </row>
    <row r="10">
      <c r="A10" s="57"/>
      <c r="B10" s="58" t="s">
        <v>21</v>
      </c>
      <c r="C10" s="67"/>
      <c r="D10" s="58"/>
      <c r="E10" s="48"/>
      <c r="F10" s="66"/>
      <c r="G10" s="48"/>
      <c r="H10" s="62"/>
      <c r="I10" s="48"/>
      <c r="J10" s="48"/>
      <c r="K10" s="48"/>
      <c r="L10" s="48"/>
      <c r="M10" s="48"/>
      <c r="N10" s="57"/>
      <c r="O10" s="57"/>
      <c r="P10" s="57"/>
      <c r="Q10" s="57"/>
      <c r="R10" s="57"/>
      <c r="FD10" s="65"/>
    </row>
    <row r="11">
      <c r="A11" s="57"/>
      <c r="B11" s="68"/>
      <c r="C11" s="68"/>
      <c r="D11" s="68"/>
      <c r="E11" s="68"/>
      <c r="F11" s="68"/>
      <c r="G11" s="68"/>
      <c r="H11" s="69"/>
      <c r="I11" s="68"/>
      <c r="J11" s="68"/>
      <c r="K11" s="68"/>
      <c r="L11" s="68"/>
      <c r="M11" s="68"/>
      <c r="N11" s="57"/>
      <c r="O11" s="57"/>
      <c r="P11" s="57"/>
      <c r="Q11" s="57"/>
      <c r="R11" s="57"/>
      <c r="FD11" s="65"/>
    </row>
    <row r="12">
      <c r="A12" s="57"/>
      <c r="B12" s="70"/>
      <c r="C12" s="71"/>
      <c r="D12" s="57"/>
      <c r="E12" s="57"/>
      <c r="F12" s="57"/>
      <c r="G12" s="57"/>
      <c r="H12" s="72"/>
      <c r="I12" s="73">
        <v>0.7</v>
      </c>
      <c r="J12" s="73">
        <v>0.3</v>
      </c>
      <c r="K12" s="73"/>
      <c r="L12" s="57"/>
      <c r="M12" s="74"/>
      <c r="N12" s="57"/>
      <c r="O12" s="57"/>
      <c r="P12" s="57"/>
      <c r="Q12" s="57"/>
      <c r="R12" s="57"/>
      <c r="Y12" s="65"/>
      <c r="FD12" s="65"/>
    </row>
    <row r="13">
      <c r="A13" s="75"/>
      <c r="B13" s="76"/>
      <c r="C13" s="77"/>
      <c r="D13" s="75"/>
      <c r="E13" s="75"/>
      <c r="F13" s="75"/>
      <c r="G13" s="75"/>
      <c r="H13" s="72" t="s">
        <v>22</v>
      </c>
      <c r="I13" s="78" t="s">
        <v>23</v>
      </c>
      <c r="J13" s="78" t="s">
        <v>23</v>
      </c>
      <c r="K13" s="78"/>
      <c r="L13" s="75"/>
      <c r="M13" s="79" t="s">
        <v>22</v>
      </c>
      <c r="N13" s="75"/>
      <c r="O13" s="75"/>
      <c r="P13" s="75"/>
      <c r="Q13" s="75"/>
      <c r="R13" s="75"/>
      <c r="S13" s="80" t="s">
        <v>24</v>
      </c>
      <c r="T13" s="81" t="str">
        <f>IF(Month(T14)=Month(U14),"",Month(T14))</f>
        <v/>
      </c>
      <c r="U13" s="81" t="str">
        <f t="shared" ref="U13:FC13" si="4">IF(Month(U14)=Month(T14),"",Month(U14))</f>
        <v/>
      </c>
      <c r="V13" s="81">
        <f t="shared" si="4"/>
        <v>1</v>
      </c>
      <c r="W13" s="81" t="str">
        <f t="shared" si="4"/>
        <v/>
      </c>
      <c r="X13" s="81" t="str">
        <f t="shared" si="4"/>
        <v/>
      </c>
      <c r="Y13" s="81" t="str">
        <f t="shared" si="4"/>
        <v/>
      </c>
      <c r="Z13" s="81" t="str">
        <f t="shared" si="4"/>
        <v/>
      </c>
      <c r="AA13" s="81" t="str">
        <f t="shared" si="4"/>
        <v/>
      </c>
      <c r="AB13" s="81" t="str">
        <f t="shared" si="4"/>
        <v/>
      </c>
      <c r="AC13" s="81" t="str">
        <f t="shared" si="4"/>
        <v/>
      </c>
      <c r="AD13" s="81" t="str">
        <f t="shared" si="4"/>
        <v/>
      </c>
      <c r="AE13" s="81" t="str">
        <f t="shared" si="4"/>
        <v/>
      </c>
      <c r="AF13" s="81" t="str">
        <f t="shared" si="4"/>
        <v/>
      </c>
      <c r="AG13" s="81" t="str">
        <f t="shared" si="4"/>
        <v/>
      </c>
      <c r="AH13" s="81" t="str">
        <f t="shared" si="4"/>
        <v/>
      </c>
      <c r="AI13" s="81" t="str">
        <f t="shared" si="4"/>
        <v/>
      </c>
      <c r="AJ13" s="81" t="str">
        <f t="shared" si="4"/>
        <v/>
      </c>
      <c r="AK13" s="81" t="str">
        <f t="shared" si="4"/>
        <v/>
      </c>
      <c r="AL13" s="81" t="str">
        <f t="shared" si="4"/>
        <v/>
      </c>
      <c r="AM13" s="81" t="str">
        <f t="shared" si="4"/>
        <v/>
      </c>
      <c r="AN13" s="81" t="str">
        <f t="shared" si="4"/>
        <v/>
      </c>
      <c r="AO13" s="81" t="str">
        <f t="shared" si="4"/>
        <v/>
      </c>
      <c r="AP13" s="81" t="str">
        <f t="shared" si="4"/>
        <v/>
      </c>
      <c r="AQ13" s="81" t="str">
        <f t="shared" si="4"/>
        <v/>
      </c>
      <c r="AR13" s="81" t="str">
        <f t="shared" si="4"/>
        <v/>
      </c>
      <c r="AS13" s="81" t="str">
        <f t="shared" si="4"/>
        <v/>
      </c>
      <c r="AT13" s="81" t="str">
        <f t="shared" si="4"/>
        <v/>
      </c>
      <c r="AU13" s="81" t="str">
        <f t="shared" si="4"/>
        <v/>
      </c>
      <c r="AV13" s="81" t="str">
        <f t="shared" si="4"/>
        <v/>
      </c>
      <c r="AW13" s="81" t="str">
        <f t="shared" si="4"/>
        <v/>
      </c>
      <c r="AX13" s="81" t="str">
        <f t="shared" si="4"/>
        <v/>
      </c>
      <c r="AY13" s="81" t="str">
        <f t="shared" si="4"/>
        <v/>
      </c>
      <c r="AZ13" s="81" t="str">
        <f t="shared" si="4"/>
        <v/>
      </c>
      <c r="BA13" s="81">
        <f t="shared" si="4"/>
        <v>2</v>
      </c>
      <c r="BB13" s="81" t="str">
        <f t="shared" si="4"/>
        <v/>
      </c>
      <c r="BC13" s="81" t="str">
        <f t="shared" si="4"/>
        <v/>
      </c>
      <c r="BD13" s="81" t="str">
        <f t="shared" si="4"/>
        <v/>
      </c>
      <c r="BE13" s="81" t="str">
        <f t="shared" si="4"/>
        <v/>
      </c>
      <c r="BF13" s="81" t="str">
        <f t="shared" si="4"/>
        <v/>
      </c>
      <c r="BG13" s="81" t="str">
        <f t="shared" si="4"/>
        <v/>
      </c>
      <c r="BH13" s="81" t="str">
        <f t="shared" si="4"/>
        <v/>
      </c>
      <c r="BI13" s="81" t="str">
        <f t="shared" si="4"/>
        <v/>
      </c>
      <c r="BJ13" s="81" t="str">
        <f t="shared" si="4"/>
        <v/>
      </c>
      <c r="BK13" s="81" t="str">
        <f t="shared" si="4"/>
        <v/>
      </c>
      <c r="BL13" s="81" t="str">
        <f t="shared" si="4"/>
        <v/>
      </c>
      <c r="BM13" s="81" t="str">
        <f t="shared" si="4"/>
        <v/>
      </c>
      <c r="BN13" s="81" t="str">
        <f t="shared" si="4"/>
        <v/>
      </c>
      <c r="BO13" s="81" t="str">
        <f t="shared" si="4"/>
        <v/>
      </c>
      <c r="BP13" s="81" t="str">
        <f t="shared" si="4"/>
        <v/>
      </c>
      <c r="BQ13" s="81" t="str">
        <f t="shared" si="4"/>
        <v/>
      </c>
      <c r="BR13" s="81" t="str">
        <f t="shared" si="4"/>
        <v/>
      </c>
      <c r="BS13" s="81" t="str">
        <f t="shared" si="4"/>
        <v/>
      </c>
      <c r="BT13" s="81" t="str">
        <f t="shared" si="4"/>
        <v/>
      </c>
      <c r="BU13" s="81" t="str">
        <f t="shared" si="4"/>
        <v/>
      </c>
      <c r="BV13" s="81" t="str">
        <f t="shared" si="4"/>
        <v/>
      </c>
      <c r="BW13" s="81" t="str">
        <f t="shared" si="4"/>
        <v/>
      </c>
      <c r="BX13" s="81" t="str">
        <f t="shared" si="4"/>
        <v/>
      </c>
      <c r="BY13" s="81" t="str">
        <f t="shared" si="4"/>
        <v/>
      </c>
      <c r="BZ13" s="81" t="str">
        <f t="shared" si="4"/>
        <v/>
      </c>
      <c r="CA13" s="81" t="str">
        <f t="shared" si="4"/>
        <v/>
      </c>
      <c r="CB13" s="81" t="str">
        <f t="shared" si="4"/>
        <v/>
      </c>
      <c r="CC13" s="81">
        <f t="shared" si="4"/>
        <v>3</v>
      </c>
      <c r="CD13" s="81" t="str">
        <f t="shared" si="4"/>
        <v/>
      </c>
      <c r="CE13" s="81" t="str">
        <f t="shared" si="4"/>
        <v/>
      </c>
      <c r="CF13" s="81" t="str">
        <f t="shared" si="4"/>
        <v/>
      </c>
      <c r="CG13" s="81" t="str">
        <f t="shared" si="4"/>
        <v/>
      </c>
      <c r="CH13" s="81" t="str">
        <f t="shared" si="4"/>
        <v/>
      </c>
      <c r="CI13" s="81" t="str">
        <f t="shared" si="4"/>
        <v/>
      </c>
      <c r="CJ13" s="81" t="str">
        <f t="shared" si="4"/>
        <v/>
      </c>
      <c r="CK13" s="81" t="str">
        <f t="shared" si="4"/>
        <v/>
      </c>
      <c r="CL13" s="81" t="str">
        <f t="shared" si="4"/>
        <v/>
      </c>
      <c r="CM13" s="81" t="str">
        <f t="shared" si="4"/>
        <v/>
      </c>
      <c r="CN13" s="81" t="str">
        <f t="shared" si="4"/>
        <v/>
      </c>
      <c r="CO13" s="81" t="str">
        <f t="shared" si="4"/>
        <v/>
      </c>
      <c r="CP13" s="81" t="str">
        <f t="shared" si="4"/>
        <v/>
      </c>
      <c r="CQ13" s="81" t="str">
        <f t="shared" si="4"/>
        <v/>
      </c>
      <c r="CR13" s="81" t="str">
        <f t="shared" si="4"/>
        <v/>
      </c>
      <c r="CS13" s="81" t="str">
        <f t="shared" si="4"/>
        <v/>
      </c>
      <c r="CT13" s="81" t="str">
        <f t="shared" si="4"/>
        <v/>
      </c>
      <c r="CU13" s="81" t="str">
        <f t="shared" si="4"/>
        <v/>
      </c>
      <c r="CV13" s="81" t="str">
        <f t="shared" si="4"/>
        <v/>
      </c>
      <c r="CW13" s="81" t="str">
        <f t="shared" si="4"/>
        <v/>
      </c>
      <c r="CX13" s="81" t="str">
        <f t="shared" si="4"/>
        <v/>
      </c>
      <c r="CY13" s="81" t="str">
        <f t="shared" si="4"/>
        <v/>
      </c>
      <c r="CZ13" s="81" t="str">
        <f t="shared" si="4"/>
        <v/>
      </c>
      <c r="DA13" s="81" t="str">
        <f t="shared" si="4"/>
        <v/>
      </c>
      <c r="DB13" s="81" t="str">
        <f t="shared" si="4"/>
        <v/>
      </c>
      <c r="DC13" s="81" t="str">
        <f t="shared" si="4"/>
        <v/>
      </c>
      <c r="DD13" s="81" t="str">
        <f t="shared" si="4"/>
        <v/>
      </c>
      <c r="DE13" s="81" t="str">
        <f t="shared" si="4"/>
        <v/>
      </c>
      <c r="DF13" s="81" t="str">
        <f t="shared" si="4"/>
        <v/>
      </c>
      <c r="DG13" s="81" t="str">
        <f t="shared" si="4"/>
        <v/>
      </c>
      <c r="DH13" s="81">
        <f t="shared" si="4"/>
        <v>4</v>
      </c>
      <c r="DI13" s="81" t="str">
        <f t="shared" si="4"/>
        <v/>
      </c>
      <c r="DJ13" s="81" t="str">
        <f t="shared" si="4"/>
        <v/>
      </c>
      <c r="DK13" s="81" t="str">
        <f t="shared" si="4"/>
        <v/>
      </c>
      <c r="DL13" s="81" t="str">
        <f t="shared" si="4"/>
        <v/>
      </c>
      <c r="DM13" s="81" t="str">
        <f t="shared" si="4"/>
        <v/>
      </c>
      <c r="DN13" s="81" t="str">
        <f t="shared" si="4"/>
        <v/>
      </c>
      <c r="DO13" s="81" t="str">
        <f t="shared" si="4"/>
        <v/>
      </c>
      <c r="DP13" s="81" t="str">
        <f t="shared" si="4"/>
        <v/>
      </c>
      <c r="DQ13" s="81" t="str">
        <f t="shared" si="4"/>
        <v/>
      </c>
      <c r="DR13" s="81" t="str">
        <f t="shared" si="4"/>
        <v/>
      </c>
      <c r="DS13" s="81" t="str">
        <f t="shared" si="4"/>
        <v/>
      </c>
      <c r="DT13" s="81" t="str">
        <f t="shared" si="4"/>
        <v/>
      </c>
      <c r="DU13" s="81" t="str">
        <f t="shared" si="4"/>
        <v/>
      </c>
      <c r="DV13" s="81" t="str">
        <f t="shared" si="4"/>
        <v/>
      </c>
      <c r="DW13" s="81" t="str">
        <f t="shared" si="4"/>
        <v/>
      </c>
      <c r="DX13" s="81" t="str">
        <f t="shared" si="4"/>
        <v/>
      </c>
      <c r="DY13" s="81" t="str">
        <f t="shared" si="4"/>
        <v/>
      </c>
      <c r="DZ13" s="81" t="str">
        <f t="shared" si="4"/>
        <v/>
      </c>
      <c r="EA13" s="81" t="str">
        <f t="shared" si="4"/>
        <v/>
      </c>
      <c r="EB13" s="81" t="str">
        <f t="shared" si="4"/>
        <v/>
      </c>
      <c r="EC13" s="81" t="str">
        <f t="shared" si="4"/>
        <v/>
      </c>
      <c r="ED13" s="81" t="str">
        <f t="shared" si="4"/>
        <v/>
      </c>
      <c r="EE13" s="81" t="str">
        <f t="shared" si="4"/>
        <v/>
      </c>
      <c r="EF13" s="81" t="str">
        <f t="shared" si="4"/>
        <v/>
      </c>
      <c r="EG13" s="81" t="str">
        <f t="shared" si="4"/>
        <v/>
      </c>
      <c r="EH13" s="81" t="str">
        <f t="shared" si="4"/>
        <v/>
      </c>
      <c r="EI13" s="81" t="str">
        <f t="shared" si="4"/>
        <v/>
      </c>
      <c r="EJ13" s="81" t="str">
        <f t="shared" si="4"/>
        <v/>
      </c>
      <c r="EK13" s="81" t="str">
        <f t="shared" si="4"/>
        <v/>
      </c>
      <c r="EL13" s="81">
        <f t="shared" si="4"/>
        <v>5</v>
      </c>
      <c r="EM13" s="81" t="str">
        <f t="shared" si="4"/>
        <v/>
      </c>
      <c r="EN13" s="81" t="str">
        <f t="shared" si="4"/>
        <v/>
      </c>
      <c r="EO13" s="81" t="str">
        <f t="shared" si="4"/>
        <v/>
      </c>
      <c r="EP13" s="81" t="str">
        <f t="shared" si="4"/>
        <v/>
      </c>
      <c r="EQ13" s="81" t="str">
        <f t="shared" si="4"/>
        <v/>
      </c>
      <c r="ER13" s="81" t="str">
        <f t="shared" si="4"/>
        <v/>
      </c>
      <c r="ES13" s="81" t="str">
        <f t="shared" si="4"/>
        <v/>
      </c>
      <c r="ET13" s="81" t="str">
        <f t="shared" si="4"/>
        <v/>
      </c>
      <c r="EU13" s="81" t="str">
        <f t="shared" si="4"/>
        <v/>
      </c>
      <c r="EV13" s="81" t="str">
        <f t="shared" si="4"/>
        <v/>
      </c>
      <c r="EW13" s="81" t="str">
        <f t="shared" si="4"/>
        <v/>
      </c>
      <c r="EX13" s="81" t="str">
        <f t="shared" si="4"/>
        <v/>
      </c>
      <c r="EY13" s="81" t="str">
        <f t="shared" si="4"/>
        <v/>
      </c>
      <c r="EZ13" s="81" t="str">
        <f t="shared" si="4"/>
        <v/>
      </c>
      <c r="FA13" s="81" t="str">
        <f t="shared" si="4"/>
        <v/>
      </c>
      <c r="FB13" s="81" t="str">
        <f t="shared" si="4"/>
        <v/>
      </c>
      <c r="FC13" s="81" t="str">
        <f t="shared" si="4"/>
        <v/>
      </c>
      <c r="FD13" s="81"/>
    </row>
    <row r="14">
      <c r="A14" s="82" t="s">
        <v>25</v>
      </c>
      <c r="B14" s="83" t="s">
        <v>26</v>
      </c>
      <c r="C14" s="84" t="s">
        <v>27</v>
      </c>
      <c r="D14" s="85" t="s">
        <v>28</v>
      </c>
      <c r="E14" s="86" t="s">
        <v>29</v>
      </c>
      <c r="F14" s="87" t="str">
        <f t="shared" ref="F14:G14" si="5">F7</f>
        <v>Start</v>
      </c>
      <c r="G14" s="88" t="str">
        <f t="shared" si="5"/>
        <v>End</v>
      </c>
      <c r="H14" s="89" t="s">
        <v>30</v>
      </c>
      <c r="I14" s="90" t="s">
        <v>31</v>
      </c>
      <c r="J14" s="91" t="s">
        <v>32</v>
      </c>
      <c r="K14" s="92" t="s">
        <v>33</v>
      </c>
      <c r="L14" s="93" t="s">
        <v>34</v>
      </c>
      <c r="M14" s="94" t="s">
        <v>35</v>
      </c>
      <c r="N14" s="84" t="s">
        <v>36</v>
      </c>
      <c r="O14" s="95" t="s">
        <v>37</v>
      </c>
      <c r="P14" s="96" t="s">
        <v>38</v>
      </c>
      <c r="Q14" s="96" t="s">
        <v>39</v>
      </c>
      <c r="R14" s="96" t="s">
        <v>40</v>
      </c>
      <c r="S14" s="97" t="s">
        <v>41</v>
      </c>
      <c r="T14" s="98" t="str">
        <f>F8</f>
        <v/>
      </c>
      <c r="U14" s="99">
        <f t="shared" ref="U14:FC14" si="6">T14+1</f>
        <v>1</v>
      </c>
      <c r="V14" s="99">
        <f t="shared" si="6"/>
        <v>2</v>
      </c>
      <c r="W14" s="99">
        <f t="shared" si="6"/>
        <v>3</v>
      </c>
      <c r="X14" s="99">
        <f t="shared" si="6"/>
        <v>4</v>
      </c>
      <c r="Y14" s="99">
        <f t="shared" si="6"/>
        <v>5</v>
      </c>
      <c r="Z14" s="99">
        <f t="shared" si="6"/>
        <v>6</v>
      </c>
      <c r="AA14" s="99">
        <f t="shared" si="6"/>
        <v>7</v>
      </c>
      <c r="AB14" s="99">
        <f t="shared" si="6"/>
        <v>8</v>
      </c>
      <c r="AC14" s="99">
        <f t="shared" si="6"/>
        <v>9</v>
      </c>
      <c r="AD14" s="99">
        <f t="shared" si="6"/>
        <v>10</v>
      </c>
      <c r="AE14" s="99">
        <f t="shared" si="6"/>
        <v>11</v>
      </c>
      <c r="AF14" s="99">
        <f t="shared" si="6"/>
        <v>12</v>
      </c>
      <c r="AG14" s="99">
        <f t="shared" si="6"/>
        <v>13</v>
      </c>
      <c r="AH14" s="99">
        <f t="shared" si="6"/>
        <v>14</v>
      </c>
      <c r="AI14" s="99">
        <f t="shared" si="6"/>
        <v>15</v>
      </c>
      <c r="AJ14" s="99">
        <f t="shared" si="6"/>
        <v>16</v>
      </c>
      <c r="AK14" s="99">
        <f t="shared" si="6"/>
        <v>17</v>
      </c>
      <c r="AL14" s="99">
        <f t="shared" si="6"/>
        <v>18</v>
      </c>
      <c r="AM14" s="99">
        <f t="shared" si="6"/>
        <v>19</v>
      </c>
      <c r="AN14" s="99">
        <f t="shared" si="6"/>
        <v>20</v>
      </c>
      <c r="AO14" s="99">
        <f t="shared" si="6"/>
        <v>21</v>
      </c>
      <c r="AP14" s="99">
        <f t="shared" si="6"/>
        <v>22</v>
      </c>
      <c r="AQ14" s="99">
        <f t="shared" si="6"/>
        <v>23</v>
      </c>
      <c r="AR14" s="99">
        <f t="shared" si="6"/>
        <v>24</v>
      </c>
      <c r="AS14" s="99">
        <f t="shared" si="6"/>
        <v>25</v>
      </c>
      <c r="AT14" s="99">
        <f t="shared" si="6"/>
        <v>26</v>
      </c>
      <c r="AU14" s="99">
        <f t="shared" si="6"/>
        <v>27</v>
      </c>
      <c r="AV14" s="99">
        <f t="shared" si="6"/>
        <v>28</v>
      </c>
      <c r="AW14" s="99">
        <f t="shared" si="6"/>
        <v>29</v>
      </c>
      <c r="AX14" s="99">
        <f t="shared" si="6"/>
        <v>30</v>
      </c>
      <c r="AY14" s="99">
        <f t="shared" si="6"/>
        <v>31</v>
      </c>
      <c r="AZ14" s="99">
        <f t="shared" si="6"/>
        <v>32</v>
      </c>
      <c r="BA14" s="99">
        <f t="shared" si="6"/>
        <v>33</v>
      </c>
      <c r="BB14" s="99">
        <f t="shared" si="6"/>
        <v>34</v>
      </c>
      <c r="BC14" s="99">
        <f t="shared" si="6"/>
        <v>35</v>
      </c>
      <c r="BD14" s="99">
        <f t="shared" si="6"/>
        <v>36</v>
      </c>
      <c r="BE14" s="99">
        <f t="shared" si="6"/>
        <v>37</v>
      </c>
      <c r="BF14" s="99">
        <f t="shared" si="6"/>
        <v>38</v>
      </c>
      <c r="BG14" s="99">
        <f t="shared" si="6"/>
        <v>39</v>
      </c>
      <c r="BH14" s="99">
        <f t="shared" si="6"/>
        <v>40</v>
      </c>
      <c r="BI14" s="99">
        <f t="shared" si="6"/>
        <v>41</v>
      </c>
      <c r="BJ14" s="99">
        <f t="shared" si="6"/>
        <v>42</v>
      </c>
      <c r="BK14" s="99">
        <f t="shared" si="6"/>
        <v>43</v>
      </c>
      <c r="BL14" s="99">
        <f t="shared" si="6"/>
        <v>44</v>
      </c>
      <c r="BM14" s="99">
        <f t="shared" si="6"/>
        <v>45</v>
      </c>
      <c r="BN14" s="99">
        <f t="shared" si="6"/>
        <v>46</v>
      </c>
      <c r="BO14" s="99">
        <f t="shared" si="6"/>
        <v>47</v>
      </c>
      <c r="BP14" s="99">
        <f t="shared" si="6"/>
        <v>48</v>
      </c>
      <c r="BQ14" s="99">
        <f t="shared" si="6"/>
        <v>49</v>
      </c>
      <c r="BR14" s="99">
        <f t="shared" si="6"/>
        <v>50</v>
      </c>
      <c r="BS14" s="99">
        <f t="shared" si="6"/>
        <v>51</v>
      </c>
      <c r="BT14" s="99">
        <f t="shared" si="6"/>
        <v>52</v>
      </c>
      <c r="BU14" s="99">
        <f t="shared" si="6"/>
        <v>53</v>
      </c>
      <c r="BV14" s="99">
        <f t="shared" si="6"/>
        <v>54</v>
      </c>
      <c r="BW14" s="99">
        <f t="shared" si="6"/>
        <v>55</v>
      </c>
      <c r="BX14" s="99">
        <f t="shared" si="6"/>
        <v>56</v>
      </c>
      <c r="BY14" s="99">
        <f t="shared" si="6"/>
        <v>57</v>
      </c>
      <c r="BZ14" s="99">
        <f t="shared" si="6"/>
        <v>58</v>
      </c>
      <c r="CA14" s="99">
        <f t="shared" si="6"/>
        <v>59</v>
      </c>
      <c r="CB14" s="99">
        <f t="shared" si="6"/>
        <v>60</v>
      </c>
      <c r="CC14" s="99">
        <f t="shared" si="6"/>
        <v>61</v>
      </c>
      <c r="CD14" s="99">
        <f t="shared" si="6"/>
        <v>62</v>
      </c>
      <c r="CE14" s="99">
        <f t="shared" si="6"/>
        <v>63</v>
      </c>
      <c r="CF14" s="99">
        <f t="shared" si="6"/>
        <v>64</v>
      </c>
      <c r="CG14" s="99">
        <f t="shared" si="6"/>
        <v>65</v>
      </c>
      <c r="CH14" s="99">
        <f t="shared" si="6"/>
        <v>66</v>
      </c>
      <c r="CI14" s="99">
        <f t="shared" si="6"/>
        <v>67</v>
      </c>
      <c r="CJ14" s="99">
        <f t="shared" si="6"/>
        <v>68</v>
      </c>
      <c r="CK14" s="99">
        <f t="shared" si="6"/>
        <v>69</v>
      </c>
      <c r="CL14" s="99">
        <f t="shared" si="6"/>
        <v>70</v>
      </c>
      <c r="CM14" s="99">
        <f t="shared" si="6"/>
        <v>71</v>
      </c>
      <c r="CN14" s="99">
        <f t="shared" si="6"/>
        <v>72</v>
      </c>
      <c r="CO14" s="99">
        <f t="shared" si="6"/>
        <v>73</v>
      </c>
      <c r="CP14" s="99">
        <f t="shared" si="6"/>
        <v>74</v>
      </c>
      <c r="CQ14" s="99">
        <f t="shared" si="6"/>
        <v>75</v>
      </c>
      <c r="CR14" s="99">
        <f t="shared" si="6"/>
        <v>76</v>
      </c>
      <c r="CS14" s="99">
        <f t="shared" si="6"/>
        <v>77</v>
      </c>
      <c r="CT14" s="99">
        <f t="shared" si="6"/>
        <v>78</v>
      </c>
      <c r="CU14" s="99">
        <f t="shared" si="6"/>
        <v>79</v>
      </c>
      <c r="CV14" s="99">
        <f t="shared" si="6"/>
        <v>80</v>
      </c>
      <c r="CW14" s="99">
        <f t="shared" si="6"/>
        <v>81</v>
      </c>
      <c r="CX14" s="99">
        <f t="shared" si="6"/>
        <v>82</v>
      </c>
      <c r="CY14" s="99">
        <f t="shared" si="6"/>
        <v>83</v>
      </c>
      <c r="CZ14" s="99">
        <f t="shared" si="6"/>
        <v>84</v>
      </c>
      <c r="DA14" s="99">
        <f t="shared" si="6"/>
        <v>85</v>
      </c>
      <c r="DB14" s="99">
        <f t="shared" si="6"/>
        <v>86</v>
      </c>
      <c r="DC14" s="99">
        <f t="shared" si="6"/>
        <v>87</v>
      </c>
      <c r="DD14" s="99">
        <f t="shared" si="6"/>
        <v>88</v>
      </c>
      <c r="DE14" s="99">
        <f t="shared" si="6"/>
        <v>89</v>
      </c>
      <c r="DF14" s="99">
        <f t="shared" si="6"/>
        <v>90</v>
      </c>
      <c r="DG14" s="99">
        <f t="shared" si="6"/>
        <v>91</v>
      </c>
      <c r="DH14" s="99">
        <f t="shared" si="6"/>
        <v>92</v>
      </c>
      <c r="DI14" s="99">
        <f t="shared" si="6"/>
        <v>93</v>
      </c>
      <c r="DJ14" s="99">
        <f t="shared" si="6"/>
        <v>94</v>
      </c>
      <c r="DK14" s="99">
        <f t="shared" si="6"/>
        <v>95</v>
      </c>
      <c r="DL14" s="99">
        <f t="shared" si="6"/>
        <v>96</v>
      </c>
      <c r="DM14" s="99">
        <f t="shared" si="6"/>
        <v>97</v>
      </c>
      <c r="DN14" s="99">
        <f t="shared" si="6"/>
        <v>98</v>
      </c>
      <c r="DO14" s="99">
        <f t="shared" si="6"/>
        <v>99</v>
      </c>
      <c r="DP14" s="99">
        <f t="shared" si="6"/>
        <v>100</v>
      </c>
      <c r="DQ14" s="99">
        <f t="shared" si="6"/>
        <v>101</v>
      </c>
      <c r="DR14" s="99">
        <f t="shared" si="6"/>
        <v>102</v>
      </c>
      <c r="DS14" s="99">
        <f t="shared" si="6"/>
        <v>103</v>
      </c>
      <c r="DT14" s="99">
        <f t="shared" si="6"/>
        <v>104</v>
      </c>
      <c r="DU14" s="99">
        <f t="shared" si="6"/>
        <v>105</v>
      </c>
      <c r="DV14" s="99">
        <f t="shared" si="6"/>
        <v>106</v>
      </c>
      <c r="DW14" s="99">
        <f t="shared" si="6"/>
        <v>107</v>
      </c>
      <c r="DX14" s="99">
        <f t="shared" si="6"/>
        <v>108</v>
      </c>
      <c r="DY14" s="99">
        <f t="shared" si="6"/>
        <v>109</v>
      </c>
      <c r="DZ14" s="99">
        <f t="shared" si="6"/>
        <v>110</v>
      </c>
      <c r="EA14" s="99">
        <f t="shared" si="6"/>
        <v>111</v>
      </c>
      <c r="EB14" s="99">
        <f t="shared" si="6"/>
        <v>112</v>
      </c>
      <c r="EC14" s="99">
        <f t="shared" si="6"/>
        <v>113</v>
      </c>
      <c r="ED14" s="99">
        <f t="shared" si="6"/>
        <v>114</v>
      </c>
      <c r="EE14" s="99">
        <f t="shared" si="6"/>
        <v>115</v>
      </c>
      <c r="EF14" s="99">
        <f t="shared" si="6"/>
        <v>116</v>
      </c>
      <c r="EG14" s="99">
        <f t="shared" si="6"/>
        <v>117</v>
      </c>
      <c r="EH14" s="99">
        <f t="shared" si="6"/>
        <v>118</v>
      </c>
      <c r="EI14" s="99">
        <f t="shared" si="6"/>
        <v>119</v>
      </c>
      <c r="EJ14" s="99">
        <f t="shared" si="6"/>
        <v>120</v>
      </c>
      <c r="EK14" s="99">
        <f t="shared" si="6"/>
        <v>121</v>
      </c>
      <c r="EL14" s="99">
        <f t="shared" si="6"/>
        <v>122</v>
      </c>
      <c r="EM14" s="99">
        <f t="shared" si="6"/>
        <v>123</v>
      </c>
      <c r="EN14" s="99">
        <f t="shared" si="6"/>
        <v>124</v>
      </c>
      <c r="EO14" s="99">
        <f t="shared" si="6"/>
        <v>125</v>
      </c>
      <c r="EP14" s="99">
        <f t="shared" si="6"/>
        <v>126</v>
      </c>
      <c r="EQ14" s="99">
        <f t="shared" si="6"/>
        <v>127</v>
      </c>
      <c r="ER14" s="99">
        <f t="shared" si="6"/>
        <v>128</v>
      </c>
      <c r="ES14" s="99">
        <f t="shared" si="6"/>
        <v>129</v>
      </c>
      <c r="ET14" s="99">
        <f t="shared" si="6"/>
        <v>130</v>
      </c>
      <c r="EU14" s="99">
        <f t="shared" si="6"/>
        <v>131</v>
      </c>
      <c r="EV14" s="99">
        <f t="shared" si="6"/>
        <v>132</v>
      </c>
      <c r="EW14" s="99">
        <f t="shared" si="6"/>
        <v>133</v>
      </c>
      <c r="EX14" s="99">
        <f t="shared" si="6"/>
        <v>134</v>
      </c>
      <c r="EY14" s="99">
        <f t="shared" si="6"/>
        <v>135</v>
      </c>
      <c r="EZ14" s="99">
        <f t="shared" si="6"/>
        <v>136</v>
      </c>
      <c r="FA14" s="99">
        <f t="shared" si="6"/>
        <v>137</v>
      </c>
      <c r="FB14" s="99">
        <f t="shared" si="6"/>
        <v>138</v>
      </c>
      <c r="FC14" s="99">
        <f t="shared" si="6"/>
        <v>139</v>
      </c>
      <c r="FD14" s="100"/>
    </row>
    <row r="15">
      <c r="A15" s="101"/>
      <c r="B15" s="102"/>
      <c r="C15" s="103"/>
      <c r="D15" s="104"/>
      <c r="E15" s="105"/>
      <c r="F15" s="106"/>
      <c r="G15" s="107"/>
      <c r="H15" s="108"/>
      <c r="I15" s="109"/>
      <c r="J15" s="110"/>
      <c r="K15" s="111"/>
      <c r="L15" s="112"/>
      <c r="M15" s="113"/>
      <c r="N15" s="114"/>
      <c r="O15" s="115"/>
      <c r="P15" s="116"/>
      <c r="Q15" s="117"/>
      <c r="R15" s="117"/>
      <c r="S15" s="118"/>
      <c r="T15" s="119"/>
      <c r="U15" s="119"/>
      <c r="V15" s="119"/>
      <c r="W15" s="119"/>
      <c r="X15" s="119"/>
      <c r="Y15" s="120"/>
      <c r="Z15" s="120"/>
      <c r="AA15" s="119"/>
      <c r="AB15" s="119"/>
      <c r="AC15" s="119"/>
      <c r="AD15" s="119"/>
      <c r="AE15" s="119"/>
      <c r="AF15" s="120"/>
      <c r="AG15" s="120"/>
      <c r="AH15" s="119"/>
      <c r="AI15" s="119"/>
      <c r="AJ15" s="119"/>
      <c r="AK15" s="119"/>
      <c r="AL15" s="119"/>
      <c r="AM15" s="120"/>
      <c r="AN15" s="120"/>
      <c r="AO15" s="119"/>
      <c r="AP15" s="119"/>
      <c r="AQ15" s="119"/>
      <c r="AR15" s="119"/>
      <c r="AS15" s="121"/>
      <c r="AT15" s="120"/>
      <c r="AU15" s="120"/>
      <c r="AV15" s="121"/>
      <c r="AW15" s="121"/>
      <c r="AX15" s="119"/>
      <c r="AY15" s="119"/>
      <c r="AZ15" s="119"/>
      <c r="BA15" s="120"/>
      <c r="BB15" s="120"/>
      <c r="BC15" s="119"/>
      <c r="BD15" s="119"/>
      <c r="BE15" s="119"/>
      <c r="BF15" s="119"/>
      <c r="BG15" s="119"/>
      <c r="BH15" s="120"/>
      <c r="BI15" s="120"/>
      <c r="BJ15" s="119"/>
      <c r="BK15" s="119"/>
      <c r="BL15" s="119"/>
      <c r="BM15" s="119"/>
      <c r="BN15" s="119"/>
      <c r="BO15" s="120"/>
      <c r="BP15" s="120"/>
      <c r="BQ15" s="119"/>
      <c r="BR15" s="119"/>
      <c r="BS15" s="119"/>
      <c r="BT15" s="119"/>
      <c r="BU15" s="119"/>
      <c r="BV15" s="120"/>
      <c r="BW15" s="120"/>
      <c r="BX15" s="119"/>
      <c r="BY15" s="119"/>
      <c r="BZ15" s="119"/>
      <c r="CA15" s="119"/>
      <c r="CB15" s="119"/>
      <c r="CC15" s="120"/>
      <c r="CD15" s="120"/>
      <c r="CE15" s="119"/>
      <c r="CF15" s="119"/>
      <c r="CG15" s="119"/>
      <c r="CH15" s="119"/>
      <c r="CI15" s="119"/>
      <c r="CJ15" s="120"/>
      <c r="CK15" s="120"/>
      <c r="CL15" s="119"/>
      <c r="CM15" s="119"/>
      <c r="CN15" s="119"/>
      <c r="CO15" s="119"/>
      <c r="CP15" s="119"/>
      <c r="CQ15" s="120"/>
      <c r="CR15" s="120"/>
      <c r="CS15" s="119"/>
      <c r="CT15" s="119"/>
      <c r="CU15" s="119"/>
      <c r="CV15" s="119"/>
      <c r="CW15" s="119"/>
      <c r="CX15" s="120"/>
      <c r="CY15" s="120"/>
      <c r="CZ15" s="119"/>
      <c r="DA15" s="119"/>
      <c r="DB15" s="119"/>
      <c r="DC15" s="119"/>
      <c r="DD15" s="119"/>
      <c r="DE15" s="120"/>
      <c r="DF15" s="120"/>
      <c r="DG15" s="119"/>
      <c r="DH15" s="119"/>
      <c r="DI15" s="119"/>
      <c r="DJ15" s="119"/>
      <c r="DK15" s="119"/>
      <c r="DL15" s="120"/>
      <c r="DM15" s="120"/>
      <c r="DN15" s="119"/>
      <c r="DO15" s="119"/>
      <c r="DP15" s="119"/>
      <c r="DQ15" s="119"/>
      <c r="DR15" s="119"/>
      <c r="DS15" s="120"/>
      <c r="DT15" s="120"/>
      <c r="DU15" s="119"/>
      <c r="DV15" s="119"/>
      <c r="DW15" s="119"/>
      <c r="DX15" s="119"/>
      <c r="DY15" s="119"/>
      <c r="DZ15" s="120"/>
      <c r="EA15" s="120"/>
      <c r="EB15" s="119"/>
      <c r="EC15" s="119"/>
      <c r="ED15" s="119"/>
      <c r="EE15" s="119"/>
      <c r="EF15" s="119"/>
      <c r="EG15" s="120"/>
      <c r="EH15" s="120"/>
      <c r="EI15" s="119"/>
      <c r="EJ15" s="119"/>
      <c r="EK15" s="119"/>
      <c r="EL15" s="119"/>
      <c r="EM15" s="119"/>
      <c r="EN15" s="120"/>
      <c r="EO15" s="120"/>
      <c r="EP15" s="119"/>
      <c r="EQ15" s="119"/>
      <c r="ER15" s="119"/>
      <c r="ES15" s="119"/>
      <c r="ET15" s="119"/>
      <c r="EU15" s="120"/>
      <c r="EV15" s="120"/>
      <c r="EW15" s="119"/>
      <c r="EX15" s="119"/>
      <c r="EY15" s="119"/>
      <c r="EZ15" s="119"/>
      <c r="FA15" s="119"/>
      <c r="FB15" s="120"/>
      <c r="FC15" s="120"/>
      <c r="FD15" s="122"/>
    </row>
    <row r="16">
      <c r="A16" s="123"/>
      <c r="B16" s="123"/>
      <c r="C16" s="124"/>
      <c r="D16" s="125"/>
      <c r="E16" s="126"/>
      <c r="F16" s="127"/>
      <c r="G16" s="107"/>
      <c r="H16" s="128"/>
      <c r="I16" s="129"/>
      <c r="J16" s="130"/>
      <c r="K16" s="111"/>
      <c r="L16" s="131"/>
      <c r="M16" s="132"/>
      <c r="N16" s="114"/>
      <c r="O16" s="133"/>
      <c r="P16" s="134"/>
      <c r="Q16" s="135"/>
      <c r="R16" s="135"/>
      <c r="S16" s="136"/>
      <c r="T16" s="137"/>
      <c r="U16" s="137"/>
      <c r="V16" s="137"/>
      <c r="W16" s="137"/>
      <c r="X16" s="138"/>
      <c r="Y16" s="139"/>
      <c r="Z16" s="139"/>
      <c r="AA16" s="138"/>
      <c r="AB16" s="138"/>
      <c r="AC16" s="138"/>
      <c r="AD16" s="138"/>
      <c r="AE16" s="138"/>
      <c r="AF16" s="139"/>
      <c r="AG16" s="139"/>
      <c r="AH16" s="138"/>
      <c r="AI16" s="138"/>
      <c r="AJ16" s="138"/>
      <c r="AK16" s="138"/>
      <c r="AL16" s="138"/>
      <c r="AM16" s="139"/>
      <c r="AN16" s="139"/>
      <c r="AO16" s="138"/>
      <c r="AP16" s="138"/>
      <c r="AQ16" s="138"/>
      <c r="AR16" s="138"/>
      <c r="AS16" s="138"/>
      <c r="AT16" s="139"/>
      <c r="AU16" s="139"/>
      <c r="AV16" s="138"/>
      <c r="AW16" s="138"/>
      <c r="AX16" s="138"/>
      <c r="AY16" s="138"/>
      <c r="AZ16" s="138"/>
      <c r="BA16" s="139"/>
      <c r="BB16" s="139"/>
      <c r="BC16" s="138"/>
      <c r="BD16" s="138"/>
      <c r="BE16" s="138"/>
      <c r="BF16" s="138"/>
      <c r="BG16" s="138"/>
      <c r="BH16" s="139"/>
      <c r="BI16" s="139"/>
      <c r="BJ16" s="138"/>
      <c r="BK16" s="138"/>
      <c r="BL16" s="138"/>
      <c r="BM16" s="138"/>
      <c r="BN16" s="138"/>
      <c r="BO16" s="139"/>
      <c r="BP16" s="139"/>
      <c r="BQ16" s="138"/>
      <c r="BR16" s="138"/>
      <c r="BS16" s="138"/>
      <c r="BT16" s="138"/>
      <c r="BU16" s="138"/>
      <c r="BV16" s="139"/>
      <c r="BW16" s="139"/>
      <c r="BX16" s="138"/>
      <c r="BY16" s="138"/>
      <c r="BZ16" s="138"/>
      <c r="CA16" s="138"/>
      <c r="CB16" s="138"/>
      <c r="CC16" s="139"/>
      <c r="CD16" s="139"/>
      <c r="CE16" s="138"/>
      <c r="CF16" s="138"/>
      <c r="CG16" s="138"/>
      <c r="CH16" s="138"/>
      <c r="CI16" s="138"/>
      <c r="CJ16" s="139"/>
      <c r="CK16" s="139"/>
      <c r="CL16" s="138"/>
      <c r="CM16" s="138"/>
      <c r="CN16" s="138"/>
      <c r="CO16" s="138"/>
      <c r="CP16" s="138"/>
      <c r="CQ16" s="139"/>
      <c r="CR16" s="139"/>
      <c r="CS16" s="138"/>
      <c r="CT16" s="138"/>
      <c r="CU16" s="138"/>
      <c r="CV16" s="138"/>
      <c r="CW16" s="138"/>
      <c r="CX16" s="139"/>
      <c r="CY16" s="139"/>
      <c r="CZ16" s="138"/>
      <c r="DA16" s="138"/>
      <c r="DB16" s="138"/>
      <c r="DC16" s="138"/>
      <c r="DD16" s="138"/>
      <c r="DE16" s="139"/>
      <c r="DF16" s="139"/>
      <c r="DG16" s="138"/>
      <c r="DH16" s="138"/>
      <c r="DI16" s="138"/>
      <c r="DJ16" s="138"/>
      <c r="DK16" s="138"/>
      <c r="DL16" s="139"/>
      <c r="DM16" s="139"/>
      <c r="DN16" s="138"/>
      <c r="DO16" s="138"/>
      <c r="DP16" s="138"/>
      <c r="DQ16" s="138"/>
      <c r="DR16" s="138"/>
      <c r="DS16" s="139"/>
      <c r="DT16" s="139"/>
      <c r="DU16" s="138"/>
      <c r="DV16" s="138"/>
      <c r="DW16" s="138"/>
      <c r="DX16" s="138"/>
      <c r="DY16" s="138"/>
      <c r="DZ16" s="139"/>
      <c r="EA16" s="139"/>
      <c r="EB16" s="138"/>
      <c r="EC16" s="138"/>
      <c r="ED16" s="138"/>
      <c r="EE16" s="138"/>
      <c r="EF16" s="138"/>
      <c r="EG16" s="139"/>
      <c r="EH16" s="139"/>
      <c r="EI16" s="138"/>
      <c r="EJ16" s="138"/>
      <c r="EK16" s="138"/>
      <c r="EL16" s="138"/>
      <c r="EM16" s="138"/>
      <c r="EN16" s="139"/>
      <c r="EO16" s="139"/>
      <c r="EP16" s="138"/>
      <c r="EQ16" s="138"/>
      <c r="ER16" s="138"/>
      <c r="ES16" s="138"/>
      <c r="ET16" s="138"/>
      <c r="EU16" s="139"/>
      <c r="EV16" s="139"/>
      <c r="EW16" s="138"/>
      <c r="EX16" s="138"/>
      <c r="EY16" s="138"/>
      <c r="EZ16" s="138"/>
      <c r="FA16" s="138"/>
      <c r="FB16" s="139"/>
      <c r="FC16" s="139"/>
      <c r="FD16" s="122"/>
    </row>
    <row r="17">
      <c r="A17" s="123"/>
      <c r="B17" s="123"/>
      <c r="C17" s="124"/>
      <c r="D17" s="140"/>
      <c r="E17" s="126"/>
      <c r="F17" s="127"/>
      <c r="G17" s="107"/>
      <c r="H17" s="128"/>
      <c r="I17" s="129"/>
      <c r="J17" s="130"/>
      <c r="K17" s="111"/>
      <c r="L17" s="141"/>
      <c r="M17" s="132"/>
      <c r="N17" s="114"/>
      <c r="O17" s="142"/>
      <c r="P17" s="143"/>
      <c r="Q17" s="135"/>
      <c r="R17" s="135"/>
      <c r="S17" s="136"/>
      <c r="T17" s="138"/>
      <c r="U17" s="138"/>
      <c r="V17" s="144"/>
      <c r="W17" s="144"/>
      <c r="X17" s="138"/>
      <c r="Y17" s="139"/>
      <c r="Z17" s="139"/>
      <c r="AA17" s="138"/>
      <c r="AB17" s="138"/>
      <c r="AC17" s="138"/>
      <c r="AD17" s="138"/>
      <c r="AE17" s="138"/>
      <c r="AF17" s="139"/>
      <c r="AG17" s="139"/>
      <c r="AH17" s="138"/>
      <c r="AI17" s="138"/>
      <c r="AJ17" s="138"/>
      <c r="AK17" s="138"/>
      <c r="AL17" s="138"/>
      <c r="AM17" s="139"/>
      <c r="AN17" s="139"/>
      <c r="AO17" s="138"/>
      <c r="AP17" s="138"/>
      <c r="AQ17" s="138"/>
      <c r="AR17" s="138"/>
      <c r="AS17" s="138"/>
      <c r="AT17" s="139"/>
      <c r="AU17" s="139"/>
      <c r="AV17" s="138"/>
      <c r="AW17" s="138"/>
      <c r="AX17" s="138"/>
      <c r="AY17" s="138"/>
      <c r="AZ17" s="138"/>
      <c r="BA17" s="139"/>
      <c r="BB17" s="139"/>
      <c r="BC17" s="138"/>
      <c r="BD17" s="138"/>
      <c r="BE17" s="138"/>
      <c r="BF17" s="138"/>
      <c r="BG17" s="138"/>
      <c r="BH17" s="139"/>
      <c r="BI17" s="139"/>
      <c r="BJ17" s="138"/>
      <c r="BK17" s="138"/>
      <c r="BL17" s="138"/>
      <c r="BM17" s="138"/>
      <c r="BN17" s="138"/>
      <c r="BO17" s="139"/>
      <c r="BP17" s="139"/>
      <c r="BQ17" s="138"/>
      <c r="BR17" s="138"/>
      <c r="BS17" s="138"/>
      <c r="BT17" s="138"/>
      <c r="BU17" s="138"/>
      <c r="BV17" s="139"/>
      <c r="BW17" s="139"/>
      <c r="BX17" s="138"/>
      <c r="BY17" s="138"/>
      <c r="BZ17" s="138"/>
      <c r="CA17" s="138"/>
      <c r="CB17" s="138"/>
      <c r="CC17" s="139"/>
      <c r="CD17" s="139"/>
      <c r="CE17" s="138"/>
      <c r="CF17" s="138"/>
      <c r="CG17" s="138"/>
      <c r="CH17" s="138"/>
      <c r="CI17" s="138"/>
      <c r="CJ17" s="139"/>
      <c r="CK17" s="139"/>
      <c r="CL17" s="138"/>
      <c r="CM17" s="138"/>
      <c r="CN17" s="138"/>
      <c r="CO17" s="138"/>
      <c r="CP17" s="138"/>
      <c r="CQ17" s="139"/>
      <c r="CR17" s="139"/>
      <c r="CS17" s="138"/>
      <c r="CT17" s="138"/>
      <c r="CU17" s="138"/>
      <c r="CV17" s="138"/>
      <c r="CW17" s="138"/>
      <c r="CX17" s="139"/>
      <c r="CY17" s="139"/>
      <c r="CZ17" s="138"/>
      <c r="DA17" s="138"/>
      <c r="DB17" s="138"/>
      <c r="DC17" s="138"/>
      <c r="DD17" s="138"/>
      <c r="DE17" s="139"/>
      <c r="DF17" s="139"/>
      <c r="DG17" s="138"/>
      <c r="DH17" s="138"/>
      <c r="DI17" s="138"/>
      <c r="DJ17" s="138"/>
      <c r="DK17" s="138"/>
      <c r="DL17" s="139"/>
      <c r="DM17" s="139"/>
      <c r="DN17" s="138"/>
      <c r="DO17" s="138"/>
      <c r="DP17" s="138"/>
      <c r="DQ17" s="138"/>
      <c r="DR17" s="138"/>
      <c r="DS17" s="139"/>
      <c r="DT17" s="139"/>
      <c r="DU17" s="138"/>
      <c r="DV17" s="138"/>
      <c r="DW17" s="138"/>
      <c r="DX17" s="138"/>
      <c r="DY17" s="138"/>
      <c r="DZ17" s="139"/>
      <c r="EA17" s="139"/>
      <c r="EB17" s="138"/>
      <c r="EC17" s="138"/>
      <c r="ED17" s="138"/>
      <c r="EE17" s="138"/>
      <c r="EF17" s="138"/>
      <c r="EG17" s="139"/>
      <c r="EH17" s="139"/>
      <c r="EI17" s="138"/>
      <c r="EJ17" s="138"/>
      <c r="EK17" s="138"/>
      <c r="EL17" s="138"/>
      <c r="EM17" s="138"/>
      <c r="EN17" s="139"/>
      <c r="EO17" s="139"/>
      <c r="EP17" s="138"/>
      <c r="EQ17" s="138"/>
      <c r="ER17" s="138"/>
      <c r="ES17" s="138"/>
      <c r="ET17" s="138"/>
      <c r="EU17" s="139"/>
      <c r="EV17" s="139"/>
      <c r="EW17" s="138"/>
      <c r="EX17" s="138"/>
      <c r="EY17" s="138"/>
      <c r="EZ17" s="138"/>
      <c r="FA17" s="138"/>
      <c r="FB17" s="139"/>
      <c r="FC17" s="139"/>
      <c r="FD17" s="122"/>
    </row>
    <row r="18">
      <c r="A18" s="123"/>
      <c r="B18" s="123"/>
      <c r="C18" s="124"/>
      <c r="D18" s="140"/>
      <c r="E18" s="126"/>
      <c r="F18" s="127"/>
      <c r="G18" s="107"/>
      <c r="H18" s="128"/>
      <c r="I18" s="129"/>
      <c r="J18" s="130"/>
      <c r="K18" s="111"/>
      <c r="L18" s="145"/>
      <c r="M18" s="146"/>
      <c r="N18" s="114"/>
      <c r="O18" s="142"/>
      <c r="P18" s="147"/>
      <c r="Q18" s="135"/>
      <c r="R18" s="135"/>
      <c r="S18" s="136"/>
      <c r="T18" s="138"/>
      <c r="U18" s="148"/>
      <c r="V18" s="148"/>
      <c r="W18" s="148"/>
      <c r="X18" s="138"/>
      <c r="Y18" s="139"/>
      <c r="Z18" s="139"/>
      <c r="AA18" s="138"/>
      <c r="AB18" s="138"/>
      <c r="AC18" s="138"/>
      <c r="AD18" s="138"/>
      <c r="AE18" s="138"/>
      <c r="AF18" s="139"/>
      <c r="AG18" s="139"/>
      <c r="AH18" s="138"/>
      <c r="AI18" s="138"/>
      <c r="AJ18" s="138"/>
      <c r="AK18" s="138"/>
      <c r="AL18" s="138"/>
      <c r="AM18" s="139"/>
      <c r="AN18" s="139"/>
      <c r="AO18" s="138"/>
      <c r="AP18" s="138"/>
      <c r="AQ18" s="138"/>
      <c r="AR18" s="138"/>
      <c r="AS18" s="138"/>
      <c r="AT18" s="139"/>
      <c r="AU18" s="139"/>
      <c r="AV18" s="138"/>
      <c r="AW18" s="138"/>
      <c r="AX18" s="138"/>
      <c r="AY18" s="138"/>
      <c r="AZ18" s="138"/>
      <c r="BA18" s="139"/>
      <c r="BB18" s="139"/>
      <c r="BC18" s="138"/>
      <c r="BD18" s="138"/>
      <c r="BE18" s="138"/>
      <c r="BF18" s="138"/>
      <c r="BG18" s="138"/>
      <c r="BH18" s="139"/>
      <c r="BI18" s="139"/>
      <c r="BJ18" s="138"/>
      <c r="BK18" s="138"/>
      <c r="BL18" s="138"/>
      <c r="BM18" s="138"/>
      <c r="BN18" s="138"/>
      <c r="BO18" s="139"/>
      <c r="BP18" s="139"/>
      <c r="BQ18" s="138"/>
      <c r="BR18" s="138"/>
      <c r="BS18" s="138"/>
      <c r="BT18" s="138"/>
      <c r="BU18" s="138"/>
      <c r="BV18" s="139"/>
      <c r="BW18" s="139"/>
      <c r="BX18" s="138"/>
      <c r="BY18" s="138"/>
      <c r="BZ18" s="138"/>
      <c r="CA18" s="138"/>
      <c r="CB18" s="138"/>
      <c r="CC18" s="139"/>
      <c r="CD18" s="139"/>
      <c r="CE18" s="138"/>
      <c r="CF18" s="138"/>
      <c r="CG18" s="138"/>
      <c r="CH18" s="138"/>
      <c r="CI18" s="138"/>
      <c r="CJ18" s="139"/>
      <c r="CK18" s="139"/>
      <c r="CL18" s="138"/>
      <c r="CM18" s="138"/>
      <c r="CN18" s="138"/>
      <c r="CO18" s="138"/>
      <c r="CP18" s="138"/>
      <c r="CQ18" s="139"/>
      <c r="CR18" s="139"/>
      <c r="CS18" s="138"/>
      <c r="CT18" s="138"/>
      <c r="CU18" s="138"/>
      <c r="CV18" s="138"/>
      <c r="CW18" s="138"/>
      <c r="CX18" s="139"/>
      <c r="CY18" s="139"/>
      <c r="CZ18" s="138"/>
      <c r="DA18" s="138"/>
      <c r="DB18" s="138"/>
      <c r="DC18" s="138"/>
      <c r="DD18" s="138"/>
      <c r="DE18" s="139"/>
      <c r="DF18" s="139"/>
      <c r="DG18" s="138"/>
      <c r="DH18" s="138"/>
      <c r="DI18" s="138"/>
      <c r="DJ18" s="138"/>
      <c r="DK18" s="138"/>
      <c r="DL18" s="139"/>
      <c r="DM18" s="139"/>
      <c r="DN18" s="138"/>
      <c r="DO18" s="138"/>
      <c r="DP18" s="138"/>
      <c r="DQ18" s="138"/>
      <c r="DR18" s="138"/>
      <c r="DS18" s="139"/>
      <c r="DT18" s="139"/>
      <c r="DU18" s="138"/>
      <c r="DV18" s="138"/>
      <c r="DW18" s="138"/>
      <c r="DX18" s="138"/>
      <c r="DY18" s="138"/>
      <c r="DZ18" s="139"/>
      <c r="EA18" s="139"/>
      <c r="EB18" s="138"/>
      <c r="EC18" s="138"/>
      <c r="ED18" s="138"/>
      <c r="EE18" s="138"/>
      <c r="EF18" s="138"/>
      <c r="EG18" s="139"/>
      <c r="EH18" s="139"/>
      <c r="EI18" s="138"/>
      <c r="EJ18" s="138"/>
      <c r="EK18" s="138"/>
      <c r="EL18" s="138"/>
      <c r="EM18" s="138"/>
      <c r="EN18" s="139"/>
      <c r="EO18" s="139"/>
      <c r="EP18" s="138"/>
      <c r="EQ18" s="138"/>
      <c r="ER18" s="138"/>
      <c r="ES18" s="138"/>
      <c r="ET18" s="138"/>
      <c r="EU18" s="139"/>
      <c r="EV18" s="139"/>
      <c r="EW18" s="138"/>
      <c r="EX18" s="138"/>
      <c r="EY18" s="138"/>
      <c r="EZ18" s="138"/>
      <c r="FA18" s="138"/>
      <c r="FB18" s="139"/>
      <c r="FC18" s="139"/>
      <c r="FD18" s="122"/>
    </row>
    <row r="19">
      <c r="A19" s="123"/>
      <c r="B19" s="149"/>
      <c r="C19" s="150"/>
      <c r="D19" s="151"/>
      <c r="E19" s="152"/>
      <c r="F19" s="127"/>
      <c r="G19" s="107"/>
      <c r="H19" s="128"/>
      <c r="I19" s="129"/>
      <c r="J19" s="130"/>
      <c r="K19" s="111"/>
      <c r="L19" s="131"/>
      <c r="M19" s="146"/>
      <c r="N19" s="114"/>
      <c r="O19" s="142"/>
      <c r="P19" s="147"/>
      <c r="Q19" s="135"/>
      <c r="R19" s="135"/>
      <c r="S19" s="136"/>
      <c r="T19" s="138"/>
      <c r="U19" s="138"/>
      <c r="V19" s="138"/>
      <c r="W19" s="137"/>
      <c r="X19" s="137"/>
      <c r="Y19" s="139"/>
      <c r="Z19" s="139"/>
      <c r="AA19" s="137"/>
      <c r="AB19" s="137"/>
      <c r="AC19" s="137"/>
      <c r="AD19" s="138"/>
      <c r="AE19" s="138"/>
      <c r="AF19" s="139"/>
      <c r="AG19" s="139"/>
      <c r="AH19" s="138"/>
      <c r="AI19" s="138"/>
      <c r="AJ19" s="138"/>
      <c r="AK19" s="138"/>
      <c r="AL19" s="138"/>
      <c r="AM19" s="139"/>
      <c r="AN19" s="139"/>
      <c r="AO19" s="138"/>
      <c r="AP19" s="138"/>
      <c r="AQ19" s="138"/>
      <c r="AR19" s="138"/>
      <c r="AS19" s="138"/>
      <c r="AT19" s="139"/>
      <c r="AU19" s="139"/>
      <c r="AV19" s="138"/>
      <c r="AW19" s="138"/>
      <c r="AX19" s="138"/>
      <c r="AY19" s="138"/>
      <c r="AZ19" s="138"/>
      <c r="BA19" s="139"/>
      <c r="BB19" s="139"/>
      <c r="BC19" s="138"/>
      <c r="BD19" s="138"/>
      <c r="BE19" s="138"/>
      <c r="BF19" s="138"/>
      <c r="BG19" s="138"/>
      <c r="BH19" s="139"/>
      <c r="BI19" s="139"/>
      <c r="BJ19" s="138"/>
      <c r="BK19" s="138"/>
      <c r="BL19" s="138"/>
      <c r="BM19" s="138"/>
      <c r="BN19" s="138"/>
      <c r="BO19" s="139"/>
      <c r="BP19" s="139"/>
      <c r="BQ19" s="138"/>
      <c r="BR19" s="138"/>
      <c r="BS19" s="138"/>
      <c r="BT19" s="138"/>
      <c r="BU19" s="138"/>
      <c r="BV19" s="139"/>
      <c r="BW19" s="139"/>
      <c r="BX19" s="138"/>
      <c r="BY19" s="138"/>
      <c r="BZ19" s="138"/>
      <c r="CA19" s="138"/>
      <c r="CB19" s="138"/>
      <c r="CC19" s="139"/>
      <c r="CD19" s="139"/>
      <c r="CE19" s="138"/>
      <c r="CF19" s="138"/>
      <c r="CG19" s="138"/>
      <c r="CH19" s="138"/>
      <c r="CI19" s="138"/>
      <c r="CJ19" s="139"/>
      <c r="CK19" s="139"/>
      <c r="CL19" s="138"/>
      <c r="CM19" s="138"/>
      <c r="CN19" s="138"/>
      <c r="CO19" s="138"/>
      <c r="CP19" s="138"/>
      <c r="CQ19" s="139"/>
      <c r="CR19" s="139"/>
      <c r="CS19" s="138"/>
      <c r="CT19" s="138"/>
      <c r="CU19" s="138"/>
      <c r="CV19" s="138"/>
      <c r="CW19" s="138"/>
      <c r="CX19" s="139"/>
      <c r="CY19" s="139"/>
      <c r="CZ19" s="138"/>
      <c r="DA19" s="138"/>
      <c r="DB19" s="138"/>
      <c r="DC19" s="138"/>
      <c r="DD19" s="138"/>
      <c r="DE19" s="139"/>
      <c r="DF19" s="139"/>
      <c r="DG19" s="138"/>
      <c r="DH19" s="138"/>
      <c r="DI19" s="138"/>
      <c r="DJ19" s="138"/>
      <c r="DK19" s="138"/>
      <c r="DL19" s="139"/>
      <c r="DM19" s="139"/>
      <c r="DN19" s="138"/>
      <c r="DO19" s="138"/>
      <c r="DP19" s="138"/>
      <c r="DQ19" s="138"/>
      <c r="DR19" s="138"/>
      <c r="DS19" s="139"/>
      <c r="DT19" s="139"/>
      <c r="DU19" s="138"/>
      <c r="DV19" s="138"/>
      <c r="DW19" s="138"/>
      <c r="DX19" s="138"/>
      <c r="DY19" s="138"/>
      <c r="DZ19" s="139"/>
      <c r="EA19" s="139"/>
      <c r="EB19" s="138"/>
      <c r="EC19" s="138"/>
      <c r="ED19" s="138"/>
      <c r="EE19" s="138"/>
      <c r="EF19" s="138"/>
      <c r="EG19" s="139"/>
      <c r="EH19" s="139"/>
      <c r="EI19" s="138"/>
      <c r="EJ19" s="138"/>
      <c r="EK19" s="138"/>
      <c r="EL19" s="138"/>
      <c r="EM19" s="138"/>
      <c r="EN19" s="139"/>
      <c r="EO19" s="139"/>
      <c r="EP19" s="138"/>
      <c r="EQ19" s="138"/>
      <c r="ER19" s="138"/>
      <c r="ES19" s="138"/>
      <c r="ET19" s="138"/>
      <c r="EU19" s="139"/>
      <c r="EV19" s="139"/>
      <c r="EW19" s="138"/>
      <c r="EX19" s="138"/>
      <c r="EY19" s="138"/>
      <c r="EZ19" s="138"/>
      <c r="FA19" s="138"/>
      <c r="FB19" s="139"/>
      <c r="FC19" s="139"/>
      <c r="FD19" s="122"/>
    </row>
  </sheetData>
  <mergeCells count="148">
    <mergeCell ref="A1:B3"/>
    <mergeCell ref="C1:D3"/>
    <mergeCell ref="E1:J1"/>
    <mergeCell ref="E2:J2"/>
    <mergeCell ref="E3:J3"/>
    <mergeCell ref="A4:D4"/>
    <mergeCell ref="E4:J4"/>
    <mergeCell ref="Y8:Y11"/>
    <mergeCell ref="S9:S12"/>
    <mergeCell ref="T9:T12"/>
    <mergeCell ref="U9:U12"/>
    <mergeCell ref="V9:V12"/>
    <mergeCell ref="W9:W12"/>
    <mergeCell ref="X9:X12"/>
    <mergeCell ref="Z9:Z12"/>
    <mergeCell ref="AA9:AA12"/>
    <mergeCell ref="AB9:AB12"/>
    <mergeCell ref="AC9:AC12"/>
    <mergeCell ref="AD9:AD12"/>
    <mergeCell ref="AE9:AE12"/>
    <mergeCell ref="AF9:AF12"/>
    <mergeCell ref="AG9:AG12"/>
    <mergeCell ref="AH9:AH12"/>
    <mergeCell ref="AI9:AI12"/>
    <mergeCell ref="AJ9:AJ12"/>
    <mergeCell ref="AK9:AK12"/>
    <mergeCell ref="AL9:AL12"/>
    <mergeCell ref="AM9:AM12"/>
    <mergeCell ref="AN9:AN12"/>
    <mergeCell ref="AO9:AO12"/>
    <mergeCell ref="AP9:AP12"/>
    <mergeCell ref="AQ9:AQ12"/>
    <mergeCell ref="AR9:AR12"/>
    <mergeCell ref="AS9:AS12"/>
    <mergeCell ref="AT9:AT12"/>
    <mergeCell ref="AU9:AU12"/>
    <mergeCell ref="AV9:AV12"/>
    <mergeCell ref="AW9:AW12"/>
    <mergeCell ref="AX9:AX12"/>
    <mergeCell ref="AY9:AY12"/>
    <mergeCell ref="AZ9:AZ12"/>
    <mergeCell ref="BA9:BA12"/>
    <mergeCell ref="BB9:BB12"/>
    <mergeCell ref="BC9:BC12"/>
    <mergeCell ref="BD9:BD12"/>
    <mergeCell ref="BE9:BE12"/>
    <mergeCell ref="BF9:BF12"/>
    <mergeCell ref="BG9:BG12"/>
    <mergeCell ref="BH9:BH12"/>
    <mergeCell ref="DF9:DF12"/>
    <mergeCell ref="DG9:DG12"/>
    <mergeCell ref="DH9:DH12"/>
    <mergeCell ref="DI9:DI12"/>
    <mergeCell ref="DJ9:DJ12"/>
    <mergeCell ref="DK9:DK12"/>
    <mergeCell ref="DL9:DL12"/>
    <mergeCell ref="DM9:DM12"/>
    <mergeCell ref="DN9:DN12"/>
    <mergeCell ref="DO9:DO12"/>
    <mergeCell ref="DP9:DP12"/>
    <mergeCell ref="DQ9:DQ12"/>
    <mergeCell ref="DR9:DR12"/>
    <mergeCell ref="DS9:DS12"/>
    <mergeCell ref="DT9:DT12"/>
    <mergeCell ref="DU9:DU12"/>
    <mergeCell ref="DV9:DV12"/>
    <mergeCell ref="DW9:DW12"/>
    <mergeCell ref="DX9:DX12"/>
    <mergeCell ref="DY9:DY12"/>
    <mergeCell ref="DZ9:DZ12"/>
    <mergeCell ref="EA9:EA12"/>
    <mergeCell ref="EB9:EB12"/>
    <mergeCell ref="EC9:EC12"/>
    <mergeCell ref="ED9:ED12"/>
    <mergeCell ref="EE9:EE12"/>
    <mergeCell ref="EF9:EF12"/>
    <mergeCell ref="EG9:EG12"/>
    <mergeCell ref="EH9:EH12"/>
    <mergeCell ref="EI9:EI12"/>
    <mergeCell ref="EJ9:EJ12"/>
    <mergeCell ref="EK9:EK12"/>
    <mergeCell ref="EL9:EL12"/>
    <mergeCell ref="EM9:EM12"/>
    <mergeCell ref="EN9:EN12"/>
    <mergeCell ref="EV9:EV12"/>
    <mergeCell ref="EW9:EW12"/>
    <mergeCell ref="EX9:EX12"/>
    <mergeCell ref="EY9:EY12"/>
    <mergeCell ref="EZ9:EZ12"/>
    <mergeCell ref="FA9:FA12"/>
    <mergeCell ref="FB9:FB12"/>
    <mergeCell ref="FC9:FC12"/>
    <mergeCell ref="EO9:EO12"/>
    <mergeCell ref="EP9:EP12"/>
    <mergeCell ref="EQ9:EQ12"/>
    <mergeCell ref="ER9:ER12"/>
    <mergeCell ref="ES9:ES12"/>
    <mergeCell ref="ET9:ET12"/>
    <mergeCell ref="EU9:EU12"/>
    <mergeCell ref="BI9:BI12"/>
    <mergeCell ref="BJ9:BJ12"/>
    <mergeCell ref="BK9:BK12"/>
    <mergeCell ref="BL9:BL12"/>
    <mergeCell ref="BM9:BM12"/>
    <mergeCell ref="BN9:BN12"/>
    <mergeCell ref="BO9:BO12"/>
    <mergeCell ref="BP9:BP12"/>
    <mergeCell ref="BQ9:BQ12"/>
    <mergeCell ref="BR9:BR12"/>
    <mergeCell ref="BS9:BS12"/>
    <mergeCell ref="BT9:BT12"/>
    <mergeCell ref="BU9:BU12"/>
    <mergeCell ref="BV9:BV12"/>
    <mergeCell ref="BW9:BW12"/>
    <mergeCell ref="BX9:BX12"/>
    <mergeCell ref="BY9:BY12"/>
    <mergeCell ref="BZ9:BZ12"/>
    <mergeCell ref="CA9:CA12"/>
    <mergeCell ref="CB9:CB12"/>
    <mergeCell ref="CC9:CC12"/>
    <mergeCell ref="CD9:CD12"/>
    <mergeCell ref="CE9:CE12"/>
    <mergeCell ref="CF9:CF12"/>
    <mergeCell ref="CG9:CG12"/>
    <mergeCell ref="CH9:CH12"/>
    <mergeCell ref="CI9:CI12"/>
    <mergeCell ref="CJ9:CJ12"/>
    <mergeCell ref="CK9:CK12"/>
    <mergeCell ref="CL9:CL12"/>
    <mergeCell ref="CM9:CM12"/>
    <mergeCell ref="CN9:CN12"/>
    <mergeCell ref="CO9:CO12"/>
    <mergeCell ref="CP9:CP12"/>
    <mergeCell ref="CQ9:CQ12"/>
    <mergeCell ref="CR9:CR12"/>
    <mergeCell ref="CS9:CS12"/>
    <mergeCell ref="CT9:CT12"/>
    <mergeCell ref="CU9:CU12"/>
    <mergeCell ref="CV9:CV12"/>
    <mergeCell ref="CW9:CW12"/>
    <mergeCell ref="CX9:CX12"/>
    <mergeCell ref="CY9:CY12"/>
    <mergeCell ref="CZ9:CZ12"/>
    <mergeCell ref="DA9:DA12"/>
    <mergeCell ref="DB9:DB12"/>
    <mergeCell ref="DC9:DC12"/>
    <mergeCell ref="DD9:DD12"/>
    <mergeCell ref="DE9:DE12"/>
  </mergeCells>
  <conditionalFormatting sqref="T14:FD14">
    <cfRule type="expression" dxfId="0" priority="1">
      <formula>MOD(T$14,7)=0</formula>
    </cfRule>
  </conditionalFormatting>
  <conditionalFormatting sqref="T14:FD14">
    <cfRule type="expression" dxfId="0" priority="2">
      <formula>MOD(T$14,7)=1</formula>
    </cfRule>
  </conditionalFormatting>
  <conditionalFormatting sqref="N15:N19">
    <cfRule type="expression" dxfId="1" priority="3">
      <formula>INDIRECT("General!$C$8")=N15</formula>
    </cfRule>
  </conditionalFormatting>
  <conditionalFormatting sqref="N15:N19">
    <cfRule type="expression" dxfId="2" priority="4">
      <formula>INDIRECT("General!$C$9")=N15</formula>
    </cfRule>
  </conditionalFormatting>
  <conditionalFormatting sqref="S15:S19">
    <cfRule type="notContainsBlanks" dxfId="3" priority="5">
      <formula>LEN(TRIM(S15))&gt;0</formula>
    </cfRule>
  </conditionalFormatting>
  <conditionalFormatting sqref="N15:N19">
    <cfRule type="expression" dxfId="4" priority="6">
      <formula>INDIRECT("General!$C$10")=N15</formula>
    </cfRule>
  </conditionalFormatting>
  <conditionalFormatting sqref="N15:N19">
    <cfRule type="expression" dxfId="5" priority="7">
      <formula>INDIRECT("General!$C$12")=N15</formula>
    </cfRule>
  </conditionalFormatting>
  <conditionalFormatting sqref="T13:FD14">
    <cfRule type="expression" dxfId="6" priority="8">
      <formula>T$14=TODAY()</formula>
    </cfRule>
  </conditionalFormatting>
  <conditionalFormatting sqref="A15:D19">
    <cfRule type="expression" dxfId="1" priority="9">
      <formula>$R15=TRUE</formula>
    </cfRule>
  </conditionalFormatting>
  <conditionalFormatting sqref="T13:FD13">
    <cfRule type="notContainsBlanks" dxfId="7" priority="10">
      <formula>LEN(TRIM(T13))&gt;0</formula>
    </cfRule>
  </conditionalFormatting>
  <conditionalFormatting sqref="F5:F6 E7:E19">
    <cfRule type="expression" dxfId="8" priority="11">
      <formula>F5=#REF!</formula>
    </cfRule>
  </conditionalFormatting>
  <conditionalFormatting sqref="F5:F6 E7:E19">
    <cfRule type="expression" dxfId="9" priority="12">
      <formula>F5=#REF!</formula>
    </cfRule>
  </conditionalFormatting>
  <conditionalFormatting sqref="F5:F6 E7:E19">
    <cfRule type="expression" dxfId="10" priority="13">
      <formula>F5=#REF!</formula>
    </cfRule>
  </conditionalFormatting>
  <conditionalFormatting sqref="F5:F6 E7:E19">
    <cfRule type="expression" dxfId="11" priority="14">
      <formula>F5=#REF!</formula>
    </cfRule>
  </conditionalFormatting>
  <conditionalFormatting sqref="F5:F6 E7:E19">
    <cfRule type="expression" dxfId="12" priority="15">
      <formula>F5=#REF!</formula>
    </cfRule>
  </conditionalFormatting>
  <conditionalFormatting sqref="F5:F6 E7:E19">
    <cfRule type="expression" dxfId="13" priority="16">
      <formula>F5=#REF!</formula>
    </cfRule>
  </conditionalFormatting>
  <conditionalFormatting sqref="F5:F6 E7:E19">
    <cfRule type="expression" dxfId="14" priority="17">
      <formula>F5=#REF!</formula>
    </cfRule>
  </conditionalFormatting>
  <conditionalFormatting sqref="F5:F6 E7:E19">
    <cfRule type="expression" dxfId="1" priority="18">
      <formula>F5=#REF!</formula>
    </cfRule>
  </conditionalFormatting>
  <conditionalFormatting sqref="F5:F6 E7:E19">
    <cfRule type="expression" dxfId="15" priority="19">
      <formula>F5=#REF!</formula>
    </cfRule>
  </conditionalFormatting>
  <conditionalFormatting sqref="F5:F6 E7:E19">
    <cfRule type="expression" dxfId="16" priority="20">
      <formula>F5=#REF!</formula>
    </cfRule>
  </conditionalFormatting>
  <conditionalFormatting sqref="F5:F6 E7:E19">
    <cfRule type="expression" dxfId="4" priority="21">
      <formula>F5=#REF!</formula>
    </cfRule>
  </conditionalFormatting>
  <conditionalFormatting sqref="F5:F6 E7:E19">
    <cfRule type="expression" dxfId="17" priority="22">
      <formula>F5=#REF!</formula>
    </cfRule>
  </conditionalFormatting>
  <conditionalFormatting sqref="F5:F6 E7:E19">
    <cfRule type="expression" dxfId="18" priority="23">
      <formula>F5=#REF!</formula>
    </cfRule>
  </conditionalFormatting>
  <conditionalFormatting sqref="P15:P19">
    <cfRule type="expression" dxfId="19" priority="24">
      <formula>INDIRECT("General!$P$8")=P15</formula>
    </cfRule>
  </conditionalFormatting>
  <conditionalFormatting sqref="P15:P19">
    <cfRule type="expression" dxfId="20" priority="25">
      <formula>INDIRECT("General!$P$9")=P15</formula>
    </cfRule>
  </conditionalFormatting>
  <conditionalFormatting sqref="P15:P19">
    <cfRule type="expression" dxfId="21" priority="26">
      <formula>INDIRECT("General!$P$10")=P15</formula>
    </cfRule>
  </conditionalFormatting>
  <conditionalFormatting sqref="P15:P19">
    <cfRule type="expression" dxfId="22" priority="27">
      <formula>INDIRECT("General!$P$11")=P15</formula>
    </cfRule>
  </conditionalFormatting>
  <conditionalFormatting sqref="N15:N19">
    <cfRule type="expression" dxfId="23" priority="28">
      <formula>INDIRECT("General!$C$11")=N15</formula>
    </cfRule>
  </conditionalFormatting>
  <conditionalFormatting sqref="AG19">
    <cfRule type="notContainsBlanks" dxfId="3" priority="29">
      <formula>LEN(TRIM(AG19))&gt;0</formula>
    </cfRule>
  </conditionalFormatting>
  <dataValidations>
    <dataValidation type="list" allowBlank="1" showErrorMessage="1" sqref="E15:E19">
      <formula1>#REF!</formula1>
    </dataValidation>
    <dataValidation type="list" allowBlank="1" sqref="O15:O19">
      <formula1>"0%,10%,20%,30%,40%,50%,60%,70%,80%,90%,100%"</formula1>
    </dataValidation>
    <dataValidation type="list" allowBlank="1" sqref="L15:L19">
      <formula1>General!$H$13:$H$20</formula1>
    </dataValidation>
    <dataValidation type="list" allowBlank="1" showErrorMessage="1" sqref="P15:P19">
      <formula1>General!$Q$13:$Q$18</formula1>
    </dataValidation>
    <dataValidation type="list" allowBlank="1" showErrorMessage="1" sqref="N15:N19">
      <formula1>General!$C$13:$C$20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2" max="2" width="4.38"/>
    <col customWidth="1" min="3" max="3" width="14.75"/>
    <col customWidth="1" min="4" max="4" width="7.63"/>
    <col customWidth="1" min="6" max="6" width="2.75"/>
    <col customWidth="1" min="7" max="7" width="5.5"/>
    <col customWidth="1" min="8" max="8" width="10.13"/>
    <col customWidth="1" min="9" max="10" width="8.0"/>
    <col customWidth="1" min="11" max="11" width="2.25"/>
    <col customWidth="1" min="12" max="12" width="5.38"/>
    <col customWidth="1" min="13" max="13" width="18.25"/>
    <col customWidth="1" min="15" max="15" width="3.25"/>
    <col customWidth="1" min="16" max="16" width="5.13"/>
    <col customWidth="1" min="17" max="17" width="8.75"/>
    <col customWidth="1" min="18" max="18" width="6.88"/>
    <col customWidth="1" min="19" max="19" width="12.63"/>
  </cols>
  <sheetData>
    <row r="1">
      <c r="A1" s="1"/>
      <c r="B1" s="2"/>
      <c r="C1" s="2"/>
      <c r="D1" s="2"/>
      <c r="E1" s="153" t="s">
        <v>0</v>
      </c>
      <c r="F1" s="2"/>
      <c r="G1" s="2"/>
      <c r="H1" s="2"/>
      <c r="I1" s="2"/>
      <c r="J1" s="4" t="s">
        <v>1</v>
      </c>
      <c r="K1" s="2"/>
      <c r="L1" s="2"/>
      <c r="M1" s="5"/>
      <c r="N1" s="154"/>
      <c r="O1" s="154"/>
      <c r="P1" s="155"/>
      <c r="Q1" s="155"/>
      <c r="R1" s="155"/>
      <c r="S1" s="155"/>
      <c r="T1" s="155"/>
      <c r="U1" s="156"/>
    </row>
    <row r="2">
      <c r="A2" s="6"/>
      <c r="E2" s="6"/>
      <c r="J2" s="7" t="s">
        <v>2</v>
      </c>
      <c r="M2" s="8"/>
      <c r="N2" s="154"/>
      <c r="O2" s="154"/>
      <c r="P2" s="155"/>
      <c r="Q2" s="155"/>
      <c r="R2" s="155"/>
      <c r="S2" s="155"/>
      <c r="T2" s="155"/>
      <c r="U2" s="157"/>
    </row>
    <row r="3">
      <c r="A3" s="6"/>
      <c r="E3" s="6"/>
      <c r="J3" s="9" t="s">
        <v>3</v>
      </c>
      <c r="K3" s="40"/>
      <c r="L3" s="40"/>
      <c r="M3" s="10"/>
      <c r="N3" s="154"/>
      <c r="O3" s="154"/>
      <c r="P3" s="155"/>
      <c r="Q3" s="155"/>
      <c r="R3" s="155"/>
      <c r="S3" s="155"/>
      <c r="T3" s="155"/>
      <c r="U3" s="158"/>
    </row>
    <row r="4">
      <c r="A4" s="11" t="s">
        <v>4</v>
      </c>
      <c r="B4" s="12"/>
      <c r="C4" s="12"/>
      <c r="D4" s="12"/>
      <c r="E4" s="12"/>
      <c r="F4" s="12"/>
      <c r="G4" s="12"/>
      <c r="H4" s="12"/>
      <c r="I4" s="13"/>
      <c r="J4" s="14" t="s">
        <v>5</v>
      </c>
      <c r="K4" s="40"/>
      <c r="L4" s="40"/>
      <c r="M4" s="10"/>
      <c r="N4" s="159"/>
      <c r="O4" s="159"/>
      <c r="P4" s="159"/>
      <c r="Q4" s="159"/>
      <c r="R4" s="159"/>
      <c r="S4" s="159"/>
      <c r="T4" s="159"/>
      <c r="U4" s="160"/>
    </row>
    <row r="5">
      <c r="A5" s="161"/>
      <c r="B5" s="162"/>
      <c r="C5" s="161"/>
      <c r="D5" s="161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</row>
    <row r="6">
      <c r="A6" s="164"/>
      <c r="B6" s="165" t="s">
        <v>42</v>
      </c>
      <c r="C6" s="164"/>
      <c r="D6" s="164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57"/>
      <c r="T6" s="57"/>
      <c r="U6" s="57"/>
      <c r="V6" s="57"/>
      <c r="W6" s="57"/>
      <c r="X6" s="57"/>
      <c r="Y6" s="57"/>
      <c r="Z6" s="57"/>
    </row>
    <row r="7">
      <c r="A7" s="164"/>
      <c r="B7" s="164"/>
      <c r="C7" s="167"/>
      <c r="D7" s="164"/>
      <c r="E7" s="166"/>
      <c r="F7" s="166"/>
      <c r="G7" s="166"/>
      <c r="H7" s="167"/>
      <c r="I7" s="166"/>
      <c r="J7" s="166"/>
      <c r="K7" s="166"/>
      <c r="L7" s="166"/>
      <c r="M7" s="167"/>
      <c r="N7" s="166"/>
      <c r="O7" s="166"/>
      <c r="P7" s="166"/>
      <c r="Q7" s="166"/>
      <c r="R7" s="166"/>
      <c r="S7" s="57"/>
      <c r="T7" s="57"/>
      <c r="U7" s="57"/>
      <c r="V7" s="57"/>
      <c r="W7" s="57"/>
      <c r="X7" s="57"/>
      <c r="Y7" s="57"/>
      <c r="Z7" s="57"/>
    </row>
    <row r="8" ht="9.75" customHeight="1">
      <c r="A8" s="164"/>
      <c r="B8" s="168"/>
      <c r="C8" s="169"/>
      <c r="D8" s="168"/>
      <c r="E8" s="170"/>
      <c r="F8" s="170"/>
      <c r="G8" s="170"/>
      <c r="H8" s="169"/>
      <c r="I8" s="170"/>
      <c r="J8" s="170"/>
      <c r="K8" s="170"/>
      <c r="L8" s="170"/>
      <c r="M8" s="169"/>
      <c r="N8" s="170"/>
      <c r="O8" s="170"/>
      <c r="P8" s="170"/>
      <c r="Q8" s="170"/>
      <c r="R8" s="170"/>
      <c r="S8" s="170"/>
      <c r="T8" s="170"/>
      <c r="U8" s="57"/>
      <c r="V8" s="57"/>
      <c r="W8" s="57"/>
      <c r="X8" s="57"/>
      <c r="Y8" s="57"/>
      <c r="Z8" s="57"/>
    </row>
    <row r="9" ht="6.0" customHeight="1">
      <c r="A9" s="171"/>
      <c r="B9" s="171"/>
      <c r="C9" s="171"/>
      <c r="D9" s="171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57"/>
      <c r="B10" s="172" t="s">
        <v>43</v>
      </c>
      <c r="C10" s="167"/>
      <c r="D10" s="164"/>
      <c r="E10" s="164"/>
      <c r="F10" s="57"/>
      <c r="G10" s="173" t="s">
        <v>44</v>
      </c>
      <c r="H10" s="167"/>
      <c r="I10" s="166"/>
      <c r="J10" s="166"/>
      <c r="K10" s="57"/>
      <c r="L10" s="174" t="s">
        <v>45</v>
      </c>
      <c r="M10" s="167"/>
      <c r="N10" s="166"/>
      <c r="O10" s="57"/>
      <c r="P10" s="174" t="s">
        <v>38</v>
      </c>
      <c r="Q10" s="167"/>
      <c r="R10" s="164"/>
      <c r="S10" s="164"/>
      <c r="T10" s="57"/>
      <c r="U10" s="57"/>
      <c r="V10" s="57"/>
      <c r="W10" s="57"/>
      <c r="X10" s="57"/>
      <c r="Y10" s="57"/>
      <c r="Z10" s="57"/>
    </row>
    <row r="11" ht="6.0" customHeight="1">
      <c r="A11" s="57"/>
      <c r="B11" s="175"/>
      <c r="C11" s="176"/>
      <c r="D11" s="175"/>
      <c r="E11" s="175"/>
      <c r="F11" s="57"/>
      <c r="G11" s="177"/>
      <c r="H11" s="176"/>
      <c r="I11" s="177"/>
      <c r="J11" s="166"/>
      <c r="K11" s="57"/>
      <c r="L11" s="177"/>
      <c r="M11" s="176"/>
      <c r="N11" s="177"/>
      <c r="O11" s="57"/>
      <c r="P11" s="175"/>
      <c r="Q11" s="176"/>
      <c r="R11" s="175"/>
      <c r="S11" s="175"/>
      <c r="T11" s="57"/>
      <c r="U11" s="57"/>
      <c r="V11" s="57"/>
      <c r="W11" s="57"/>
      <c r="X11" s="57"/>
      <c r="Y11" s="57"/>
      <c r="Z11" s="57"/>
    </row>
    <row r="12">
      <c r="A12" s="57"/>
      <c r="B12" s="178" t="s">
        <v>46</v>
      </c>
      <c r="C12" s="179" t="s">
        <v>36</v>
      </c>
      <c r="D12" s="180" t="s">
        <v>47</v>
      </c>
      <c r="E12" s="180" t="s">
        <v>48</v>
      </c>
      <c r="F12" s="57"/>
      <c r="G12" s="181" t="s">
        <v>46</v>
      </c>
      <c r="H12" s="182" t="s">
        <v>49</v>
      </c>
      <c r="I12" s="182" t="s">
        <v>50</v>
      </c>
      <c r="J12" s="183" t="s">
        <v>51</v>
      </c>
      <c r="K12" s="57"/>
      <c r="L12" s="184" t="s">
        <v>46</v>
      </c>
      <c r="M12" s="182" t="s">
        <v>52</v>
      </c>
      <c r="N12" s="182" t="s">
        <v>53</v>
      </c>
      <c r="O12" s="57"/>
      <c r="P12" s="178" t="s">
        <v>46</v>
      </c>
      <c r="Q12" s="185" t="s">
        <v>54</v>
      </c>
      <c r="R12" s="185" t="s">
        <v>50</v>
      </c>
      <c r="S12" s="180" t="s">
        <v>48</v>
      </c>
      <c r="T12" s="57"/>
      <c r="U12" s="57"/>
      <c r="V12" s="57"/>
      <c r="W12" s="57"/>
      <c r="X12" s="57"/>
      <c r="Y12" s="57"/>
      <c r="Z12" s="57"/>
    </row>
    <row r="13">
      <c r="A13" s="57"/>
      <c r="B13" s="186">
        <v>1.0</v>
      </c>
      <c r="C13" s="187" t="s">
        <v>55</v>
      </c>
      <c r="D13" s="188">
        <f t="shared" ref="D13:D23" si="1">COUNTIF(INDIRECT("Android Receipt!"&amp;"N10:N61"),C13)</f>
        <v>0</v>
      </c>
      <c r="E13" s="189"/>
      <c r="F13" s="57"/>
      <c r="G13" s="186">
        <v>1.0</v>
      </c>
      <c r="H13" s="190"/>
      <c r="I13" s="189"/>
      <c r="J13" s="191"/>
      <c r="K13" s="57"/>
      <c r="L13" s="192">
        <v>1.0</v>
      </c>
      <c r="M13" s="193"/>
      <c r="N13" s="194"/>
      <c r="O13" s="57"/>
      <c r="P13" s="186">
        <v>1.0</v>
      </c>
      <c r="Q13" s="190"/>
      <c r="R13" s="188"/>
      <c r="S13" s="190"/>
      <c r="T13" s="57"/>
      <c r="U13" s="57"/>
      <c r="V13" s="57"/>
      <c r="W13" s="57"/>
      <c r="X13" s="57"/>
      <c r="Y13" s="57"/>
      <c r="Z13" s="57"/>
    </row>
    <row r="14">
      <c r="A14" s="57"/>
      <c r="B14" s="195">
        <v>2.0</v>
      </c>
      <c r="C14" s="196" t="s">
        <v>56</v>
      </c>
      <c r="D14" s="188">
        <f t="shared" si="1"/>
        <v>0</v>
      </c>
      <c r="E14" s="197"/>
      <c r="F14" s="57"/>
      <c r="G14" s="198">
        <v>2.0</v>
      </c>
      <c r="H14" s="199"/>
      <c r="I14" s="189"/>
      <c r="J14" s="200"/>
      <c r="K14" s="57"/>
      <c r="L14" s="201">
        <v>2.0</v>
      </c>
      <c r="M14" s="193"/>
      <c r="N14" s="202"/>
      <c r="O14" s="57"/>
      <c r="P14" s="195">
        <v>2.0</v>
      </c>
      <c r="Q14" s="203"/>
      <c r="R14" s="188"/>
      <c r="S14" s="203"/>
      <c r="T14" s="57"/>
      <c r="U14" s="57"/>
      <c r="V14" s="57"/>
      <c r="W14" s="57"/>
      <c r="X14" s="57"/>
      <c r="Y14" s="57"/>
      <c r="Z14" s="57"/>
    </row>
    <row r="15">
      <c r="A15" s="57"/>
      <c r="B15" s="186">
        <v>3.0</v>
      </c>
      <c r="C15" s="187" t="s">
        <v>57</v>
      </c>
      <c r="D15" s="188">
        <f t="shared" si="1"/>
        <v>0</v>
      </c>
      <c r="E15" s="189"/>
      <c r="F15" s="57"/>
      <c r="G15" s="186">
        <v>3.0</v>
      </c>
      <c r="H15" s="190"/>
      <c r="I15" s="189"/>
      <c r="J15" s="204"/>
      <c r="K15" s="57"/>
      <c r="L15" s="201">
        <v>3.0</v>
      </c>
      <c r="M15" s="205"/>
      <c r="N15" s="202"/>
      <c r="O15" s="57"/>
      <c r="P15" s="186">
        <v>3.0</v>
      </c>
      <c r="Q15" s="190"/>
      <c r="R15" s="188"/>
      <c r="S15" s="190"/>
      <c r="T15" s="57"/>
      <c r="U15" s="57"/>
      <c r="V15" s="57"/>
      <c r="W15" s="57"/>
      <c r="X15" s="57"/>
      <c r="Y15" s="57"/>
      <c r="Z15" s="57"/>
    </row>
    <row r="16">
      <c r="A16" s="57"/>
      <c r="B16" s="195">
        <v>4.0</v>
      </c>
      <c r="C16" s="196" t="s">
        <v>58</v>
      </c>
      <c r="D16" s="188">
        <f t="shared" si="1"/>
        <v>0</v>
      </c>
      <c r="E16" s="197"/>
      <c r="F16" s="57"/>
      <c r="G16" s="198">
        <v>4.0</v>
      </c>
      <c r="H16" s="199"/>
      <c r="I16" s="189"/>
      <c r="J16" s="206"/>
      <c r="K16" s="57"/>
      <c r="L16" s="207"/>
      <c r="M16" s="208"/>
      <c r="N16" s="208"/>
      <c r="O16" s="57"/>
      <c r="P16" s="195">
        <v>4.0</v>
      </c>
      <c r="Q16" s="203"/>
      <c r="R16" s="188"/>
      <c r="S16" s="203"/>
      <c r="T16" s="57"/>
      <c r="U16" s="57"/>
      <c r="V16" s="57"/>
      <c r="W16" s="57"/>
      <c r="X16" s="57"/>
      <c r="Y16" s="57"/>
      <c r="Z16" s="57"/>
    </row>
    <row r="17">
      <c r="A17" s="57"/>
      <c r="B17" s="186">
        <v>5.0</v>
      </c>
      <c r="C17" s="187" t="s">
        <v>59</v>
      </c>
      <c r="D17" s="188">
        <f t="shared" si="1"/>
        <v>0</v>
      </c>
      <c r="E17" s="189"/>
      <c r="F17" s="57"/>
      <c r="G17" s="209">
        <v>5.0</v>
      </c>
      <c r="H17" s="190"/>
      <c r="I17" s="189"/>
      <c r="J17" s="210"/>
      <c r="K17" s="57"/>
      <c r="L17" s="208"/>
      <c r="M17" s="208"/>
      <c r="N17" s="208"/>
      <c r="O17" s="57"/>
      <c r="P17" s="186">
        <v>5.0</v>
      </c>
      <c r="Q17" s="190"/>
      <c r="R17" s="188"/>
      <c r="S17" s="190"/>
      <c r="T17" s="57"/>
      <c r="U17" s="57"/>
      <c r="V17" s="57"/>
      <c r="W17" s="57"/>
      <c r="X17" s="57"/>
      <c r="Y17" s="57"/>
      <c r="Z17" s="57"/>
    </row>
    <row r="18">
      <c r="A18" s="57"/>
      <c r="B18" s="195">
        <v>6.0</v>
      </c>
      <c r="C18" s="196" t="s">
        <v>60</v>
      </c>
      <c r="D18" s="188">
        <f t="shared" si="1"/>
        <v>0</v>
      </c>
      <c r="E18" s="197"/>
      <c r="F18" s="57"/>
      <c r="G18" s="211">
        <v>6.0</v>
      </c>
      <c r="H18" s="199"/>
      <c r="I18" s="189"/>
      <c r="J18" s="212"/>
      <c r="K18" s="57"/>
      <c r="L18" s="208"/>
      <c r="M18" s="208"/>
      <c r="N18" s="208"/>
      <c r="O18" s="57"/>
      <c r="P18" s="195">
        <v>6.0</v>
      </c>
      <c r="Q18" s="196"/>
      <c r="R18" s="188"/>
      <c r="S18" s="197"/>
      <c r="T18" s="57"/>
      <c r="U18" s="57"/>
      <c r="V18" s="57"/>
      <c r="W18" s="57"/>
      <c r="X18" s="57"/>
      <c r="Y18" s="57"/>
      <c r="Z18" s="57"/>
    </row>
    <row r="19">
      <c r="A19" s="57"/>
      <c r="B19" s="186">
        <v>7.0</v>
      </c>
      <c r="C19" s="187" t="s">
        <v>61</v>
      </c>
      <c r="D19" s="188">
        <f t="shared" si="1"/>
        <v>0</v>
      </c>
      <c r="E19" s="189"/>
      <c r="F19" s="57"/>
      <c r="G19" s="209">
        <v>7.0</v>
      </c>
      <c r="H19" s="190"/>
      <c r="I19" s="189"/>
      <c r="J19" s="213"/>
      <c r="K19" s="57"/>
      <c r="L19" s="208"/>
      <c r="M19" s="208"/>
      <c r="N19" s="208"/>
      <c r="O19" s="57"/>
      <c r="P19" s="186">
        <v>7.0</v>
      </c>
      <c r="Q19" s="187"/>
      <c r="R19" s="188"/>
      <c r="S19" s="189"/>
      <c r="T19" s="57"/>
      <c r="U19" s="57"/>
      <c r="V19" s="57"/>
      <c r="W19" s="57"/>
      <c r="X19" s="57"/>
      <c r="Y19" s="57"/>
      <c r="Z19" s="57"/>
    </row>
    <row r="20">
      <c r="A20" s="57"/>
      <c r="B20" s="214">
        <v>8.0</v>
      </c>
      <c r="C20" s="203" t="s">
        <v>62</v>
      </c>
      <c r="D20" s="188">
        <f t="shared" si="1"/>
        <v>0</v>
      </c>
      <c r="E20" s="197"/>
      <c r="F20" s="57"/>
      <c r="G20" s="211">
        <v>8.0</v>
      </c>
      <c r="H20" s="199"/>
      <c r="I20" s="189"/>
      <c r="J20" s="215"/>
      <c r="K20" s="57"/>
      <c r="L20" s="57"/>
      <c r="M20" s="57"/>
      <c r="N20" s="57"/>
      <c r="O20" s="57"/>
      <c r="P20" s="214">
        <v>8.0</v>
      </c>
      <c r="Q20" s="203"/>
      <c r="R20" s="188"/>
      <c r="S20" s="197"/>
      <c r="T20" s="57"/>
      <c r="U20" s="57"/>
      <c r="V20" s="57"/>
      <c r="W20" s="57"/>
      <c r="X20" s="57"/>
      <c r="Y20" s="57"/>
      <c r="Z20" s="57"/>
    </row>
    <row r="21">
      <c r="A21" s="57"/>
      <c r="B21" s="209">
        <v>9.0</v>
      </c>
      <c r="C21" s="187"/>
      <c r="D21" s="188">
        <f t="shared" si="1"/>
        <v>0</v>
      </c>
      <c r="E21" s="189"/>
      <c r="F21" s="57"/>
      <c r="G21" s="209">
        <v>9.0</v>
      </c>
      <c r="H21" s="189"/>
      <c r="I21" s="189"/>
      <c r="J21" s="215"/>
      <c r="K21" s="57"/>
      <c r="L21" s="57"/>
      <c r="M21" s="57"/>
      <c r="N21" s="57"/>
      <c r="O21" s="57"/>
      <c r="P21" s="209">
        <v>9.0</v>
      </c>
      <c r="Q21" s="187"/>
      <c r="R21" s="188"/>
      <c r="S21" s="189"/>
      <c r="T21" s="57"/>
      <c r="U21" s="57"/>
      <c r="V21" s="57"/>
      <c r="W21" s="57"/>
      <c r="X21" s="57"/>
      <c r="Y21" s="57"/>
      <c r="Z21" s="57"/>
    </row>
    <row r="22">
      <c r="A22" s="57"/>
      <c r="B22" s="195">
        <v>10.0</v>
      </c>
      <c r="C22" s="196"/>
      <c r="D22" s="188">
        <f t="shared" si="1"/>
        <v>0</v>
      </c>
      <c r="E22" s="197"/>
      <c r="F22" s="57"/>
      <c r="G22" s="211">
        <v>10.0</v>
      </c>
      <c r="H22" s="216"/>
      <c r="I22" s="189"/>
      <c r="J22" s="215"/>
      <c r="K22" s="57"/>
      <c r="L22" s="57"/>
      <c r="M22" s="57"/>
      <c r="N22" s="57"/>
      <c r="O22" s="57"/>
      <c r="P22" s="195">
        <v>10.0</v>
      </c>
      <c r="Q22" s="196"/>
      <c r="R22" s="188"/>
      <c r="S22" s="197"/>
      <c r="T22" s="57"/>
      <c r="U22" s="57"/>
      <c r="V22" s="57"/>
      <c r="W22" s="57"/>
      <c r="X22" s="57"/>
      <c r="Y22" s="57"/>
      <c r="Z22" s="57"/>
    </row>
    <row r="23">
      <c r="A23" s="57"/>
      <c r="B23" s="186">
        <v>11.0</v>
      </c>
      <c r="C23" s="187"/>
      <c r="D23" s="188">
        <f t="shared" si="1"/>
        <v>0</v>
      </c>
      <c r="E23" s="189"/>
      <c r="F23" s="57"/>
      <c r="G23" s="209">
        <v>11.0</v>
      </c>
      <c r="H23" s="187"/>
      <c r="I23" s="189"/>
      <c r="J23" s="215"/>
      <c r="K23" s="57"/>
      <c r="L23" s="57"/>
      <c r="M23" s="57"/>
      <c r="N23" s="57"/>
      <c r="O23" s="57"/>
      <c r="P23" s="186">
        <v>11.0</v>
      </c>
      <c r="Q23" s="187"/>
      <c r="R23" s="188"/>
      <c r="S23" s="189"/>
      <c r="T23" s="57"/>
      <c r="U23" s="57"/>
      <c r="V23" s="57"/>
      <c r="W23" s="57"/>
      <c r="X23" s="57"/>
      <c r="Y23" s="57"/>
      <c r="Z23" s="57"/>
    </row>
    <row r="24">
      <c r="A24" s="57"/>
      <c r="B24" s="217"/>
      <c r="C24" s="57"/>
      <c r="D24" s="57"/>
      <c r="E24" s="57"/>
      <c r="F24" s="57"/>
      <c r="G24" s="211">
        <v>12.0</v>
      </c>
      <c r="H24" s="218"/>
      <c r="I24" s="189"/>
      <c r="J24" s="215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>
      <c r="A25" s="57"/>
      <c r="B25" s="174" t="s">
        <v>63</v>
      </c>
      <c r="C25" s="167"/>
      <c r="D25" s="164"/>
      <c r="E25" s="164"/>
      <c r="F25" s="57"/>
      <c r="G25" s="209">
        <v>13.0</v>
      </c>
      <c r="H25" s="187"/>
      <c r="I25" s="189"/>
      <c r="J25" s="215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>
      <c r="A26" s="57"/>
      <c r="B26" s="175"/>
      <c r="C26" s="176"/>
      <c r="D26" s="175"/>
      <c r="E26" s="175"/>
      <c r="F26" s="57"/>
      <c r="G26" s="211">
        <v>14.0</v>
      </c>
      <c r="H26" s="218"/>
      <c r="I26" s="189"/>
      <c r="J26" s="215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57"/>
      <c r="B27" s="219" t="s">
        <v>46</v>
      </c>
      <c r="C27" s="220" t="s">
        <v>64</v>
      </c>
      <c r="D27" s="221" t="s">
        <v>48</v>
      </c>
      <c r="E27" s="222"/>
      <c r="F27" s="57"/>
      <c r="G27" s="209">
        <v>15.0</v>
      </c>
      <c r="H27" s="187"/>
      <c r="I27" s="189"/>
      <c r="J27" s="215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57"/>
      <c r="B28" s="223">
        <v>1.0</v>
      </c>
      <c r="C28" s="224">
        <v>43245.0</v>
      </c>
      <c r="D28" s="225" t="s">
        <v>65</v>
      </c>
      <c r="E28" s="226"/>
      <c r="F28" s="57"/>
      <c r="G28" s="211">
        <v>16.0</v>
      </c>
      <c r="H28" s="218"/>
      <c r="I28" s="189"/>
      <c r="J28" s="215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>
      <c r="A29" s="57"/>
      <c r="B29" s="227">
        <v>2.0</v>
      </c>
      <c r="C29" s="228"/>
      <c r="D29" s="229"/>
      <c r="E29" s="230"/>
      <c r="F29" s="57"/>
      <c r="G29" s="209">
        <v>17.0</v>
      </c>
      <c r="H29" s="187"/>
      <c r="I29" s="189"/>
      <c r="J29" s="215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>
      <c r="A30" s="57"/>
      <c r="B30" s="223">
        <v>3.0</v>
      </c>
      <c r="C30" s="231"/>
      <c r="D30" s="232"/>
      <c r="E30" s="226"/>
      <c r="F30" s="57"/>
      <c r="G30" s="211">
        <v>18.0</v>
      </c>
      <c r="H30" s="218"/>
      <c r="I30" s="189"/>
      <c r="J30" s="215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57"/>
      <c r="B31" s="227">
        <v>4.0</v>
      </c>
      <c r="C31" s="228"/>
      <c r="D31" s="229"/>
      <c r="E31" s="230"/>
      <c r="F31" s="57"/>
      <c r="G31" s="209">
        <v>19.0</v>
      </c>
      <c r="H31" s="187"/>
      <c r="I31" s="189"/>
      <c r="J31" s="215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57"/>
      <c r="B32" s="223">
        <v>5.0</v>
      </c>
      <c r="C32" s="231"/>
      <c r="D32" s="232"/>
      <c r="E32" s="226"/>
      <c r="F32" s="57"/>
      <c r="G32" s="211">
        <v>20.0</v>
      </c>
      <c r="H32" s="218"/>
      <c r="I32" s="189"/>
      <c r="J32" s="215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57"/>
      <c r="B33" s="227">
        <v>6.0</v>
      </c>
      <c r="C33" s="228"/>
      <c r="D33" s="229"/>
      <c r="E33" s="230"/>
      <c r="F33" s="57"/>
      <c r="G33" s="209">
        <v>21.0</v>
      </c>
      <c r="H33" s="187"/>
      <c r="I33" s="189"/>
      <c r="J33" s="215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57"/>
      <c r="B34" s="223">
        <v>7.0</v>
      </c>
      <c r="C34" s="231"/>
      <c r="D34" s="232"/>
      <c r="E34" s="226"/>
      <c r="F34" s="57"/>
      <c r="G34" s="211">
        <v>22.0</v>
      </c>
      <c r="H34" s="218"/>
      <c r="I34" s="189"/>
      <c r="J34" s="215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57"/>
      <c r="B35" s="233">
        <v>8.0</v>
      </c>
      <c r="C35" s="234"/>
      <c r="D35" s="229"/>
      <c r="E35" s="230"/>
      <c r="F35" s="57"/>
      <c r="G35" s="209">
        <v>23.0</v>
      </c>
      <c r="H35" s="187"/>
      <c r="I35" s="189"/>
      <c r="J35" s="215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57"/>
      <c r="B36" s="235">
        <v>9.0</v>
      </c>
      <c r="C36" s="231"/>
      <c r="D36" s="232"/>
      <c r="E36" s="226"/>
      <c r="F36" s="57"/>
      <c r="G36" s="211">
        <v>24.0</v>
      </c>
      <c r="H36" s="218"/>
      <c r="I36" s="189"/>
      <c r="J36" s="215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57"/>
      <c r="B37" s="227">
        <v>10.0</v>
      </c>
      <c r="C37" s="228"/>
      <c r="D37" s="229"/>
      <c r="E37" s="230"/>
      <c r="F37" s="57"/>
      <c r="G37" s="209">
        <v>25.0</v>
      </c>
      <c r="H37" s="187"/>
      <c r="I37" s="189"/>
      <c r="J37" s="215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57"/>
      <c r="B38" s="223">
        <v>11.0</v>
      </c>
      <c r="C38" s="231"/>
      <c r="D38" s="232"/>
      <c r="E38" s="226"/>
      <c r="F38" s="57"/>
      <c r="G38" s="211">
        <v>26.0</v>
      </c>
      <c r="H38" s="218"/>
      <c r="I38" s="189"/>
      <c r="J38" s="215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>
      <c r="A39" s="57"/>
      <c r="B39" s="63"/>
      <c r="C39" s="57"/>
      <c r="D39" s="57"/>
      <c r="E39" s="57"/>
      <c r="F39" s="57"/>
      <c r="G39" s="209">
        <v>27.0</v>
      </c>
      <c r="H39" s="187"/>
      <c r="I39" s="189"/>
      <c r="J39" s="215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>
      <c r="A40" s="57"/>
      <c r="B40" s="63"/>
      <c r="C40" s="57"/>
      <c r="D40" s="57"/>
      <c r="E40" s="57"/>
      <c r="F40" s="57"/>
      <c r="G40" s="211">
        <v>28.0</v>
      </c>
      <c r="H40" s="218"/>
      <c r="I40" s="189"/>
      <c r="J40" s="215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>
      <c r="A41" s="57"/>
      <c r="B41" s="63"/>
      <c r="C41" s="57"/>
      <c r="D41" s="57"/>
      <c r="E41" s="57"/>
      <c r="F41" s="57"/>
      <c r="G41" s="209">
        <v>29.0</v>
      </c>
      <c r="H41" s="187"/>
      <c r="I41" s="189"/>
      <c r="J41" s="215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>
      <c r="A42" s="57"/>
      <c r="B42" s="63"/>
      <c r="C42" s="57"/>
      <c r="D42" s="57"/>
      <c r="E42" s="57"/>
      <c r="F42" s="57"/>
      <c r="G42" s="211">
        <v>30.0</v>
      </c>
      <c r="H42" s="218"/>
      <c r="I42" s="189"/>
      <c r="J42" s="215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57"/>
      <c r="B43" s="63"/>
      <c r="C43" s="57"/>
      <c r="D43" s="57"/>
      <c r="E43" s="57"/>
      <c r="F43" s="57"/>
      <c r="G43" s="209">
        <v>31.0</v>
      </c>
      <c r="H43" s="187"/>
      <c r="I43" s="189"/>
      <c r="J43" s="215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57"/>
      <c r="B44" s="63"/>
      <c r="C44" s="57"/>
      <c r="D44" s="57"/>
      <c r="E44" s="57"/>
      <c r="F44" s="57"/>
      <c r="G44" s="211">
        <v>32.0</v>
      </c>
      <c r="H44" s="218"/>
      <c r="I44" s="189"/>
      <c r="J44" s="215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>
      <c r="A45" s="63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>
      <c r="A46" s="63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>
      <c r="A47" s="63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>
      <c r="A48" s="63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>
      <c r="A49" s="63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>
      <c r="A50" s="63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>
      <c r="A51" s="63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37"/>
    </row>
    <row r="53">
      <c r="A53" s="37"/>
    </row>
    <row r="54">
      <c r="A54" s="37"/>
    </row>
    <row r="55">
      <c r="A55" s="37"/>
    </row>
    <row r="56">
      <c r="A56" s="37"/>
    </row>
    <row r="57">
      <c r="A57" s="37"/>
    </row>
    <row r="58">
      <c r="A58" s="37"/>
    </row>
    <row r="59">
      <c r="A59" s="37"/>
    </row>
    <row r="60">
      <c r="A60" s="37"/>
    </row>
    <row r="61">
      <c r="A61" s="37"/>
    </row>
    <row r="62">
      <c r="A62" s="37"/>
    </row>
    <row r="63">
      <c r="A63" s="37"/>
    </row>
    <row r="64">
      <c r="A64" s="37"/>
    </row>
    <row r="65">
      <c r="A65" s="37"/>
    </row>
    <row r="66">
      <c r="A66" s="37"/>
    </row>
    <row r="67">
      <c r="A67" s="37"/>
    </row>
    <row r="68">
      <c r="A68" s="37"/>
    </row>
    <row r="69">
      <c r="A69" s="37"/>
    </row>
    <row r="70">
      <c r="A70" s="37"/>
    </row>
    <row r="71">
      <c r="A71" s="37"/>
    </row>
    <row r="72">
      <c r="A72" s="37"/>
    </row>
    <row r="73">
      <c r="A73" s="37"/>
    </row>
    <row r="74">
      <c r="A74" s="37"/>
    </row>
    <row r="75">
      <c r="A75" s="37"/>
    </row>
    <row r="76">
      <c r="A76" s="37"/>
    </row>
    <row r="77">
      <c r="A77" s="37"/>
    </row>
    <row r="78">
      <c r="A78" s="37"/>
    </row>
    <row r="79">
      <c r="A79" s="37"/>
    </row>
    <row r="80">
      <c r="A80" s="37"/>
    </row>
    <row r="81">
      <c r="A81" s="37"/>
    </row>
    <row r="82">
      <c r="A82" s="37"/>
    </row>
    <row r="83">
      <c r="A83" s="37"/>
    </row>
    <row r="84">
      <c r="A84" s="37"/>
    </row>
    <row r="85">
      <c r="A85" s="37"/>
    </row>
    <row r="86">
      <c r="A86" s="37"/>
    </row>
    <row r="87">
      <c r="A87" s="37"/>
    </row>
    <row r="88">
      <c r="A88" s="37"/>
    </row>
    <row r="89">
      <c r="A89" s="37"/>
    </row>
    <row r="90">
      <c r="A90" s="37"/>
    </row>
    <row r="91">
      <c r="A91" s="37"/>
    </row>
    <row r="92">
      <c r="A92" s="37"/>
    </row>
    <row r="93">
      <c r="A93" s="37"/>
    </row>
    <row r="94">
      <c r="A94" s="37"/>
    </row>
    <row r="95">
      <c r="A95" s="37"/>
    </row>
    <row r="96">
      <c r="A96" s="37"/>
    </row>
    <row r="97">
      <c r="A97" s="37"/>
    </row>
    <row r="98">
      <c r="A98" s="37"/>
    </row>
    <row r="99">
      <c r="A99" s="37"/>
    </row>
    <row r="100">
      <c r="A100" s="37"/>
    </row>
    <row r="101">
      <c r="A101" s="37"/>
    </row>
    <row r="102">
      <c r="A102" s="37"/>
    </row>
    <row r="103">
      <c r="A103" s="37"/>
    </row>
    <row r="104">
      <c r="A104" s="37"/>
    </row>
    <row r="105">
      <c r="A105" s="37"/>
    </row>
    <row r="106">
      <c r="A106" s="37"/>
    </row>
    <row r="107">
      <c r="A107" s="37"/>
    </row>
    <row r="108">
      <c r="A108" s="37"/>
    </row>
    <row r="109">
      <c r="A109" s="37"/>
    </row>
    <row r="110">
      <c r="A110" s="37"/>
    </row>
    <row r="111">
      <c r="A111" s="37"/>
    </row>
    <row r="112">
      <c r="A112" s="37"/>
    </row>
    <row r="113">
      <c r="A113" s="37"/>
    </row>
    <row r="114">
      <c r="A114" s="37"/>
    </row>
    <row r="115">
      <c r="A115" s="37"/>
    </row>
    <row r="116">
      <c r="A116" s="37"/>
    </row>
    <row r="117">
      <c r="A117" s="37"/>
    </row>
    <row r="118">
      <c r="A118" s="37"/>
    </row>
    <row r="119">
      <c r="A119" s="37"/>
    </row>
    <row r="120">
      <c r="A120" s="37"/>
    </row>
    <row r="121">
      <c r="A121" s="37"/>
    </row>
    <row r="122">
      <c r="A122" s="37"/>
    </row>
    <row r="123">
      <c r="A123" s="37"/>
    </row>
    <row r="124">
      <c r="A124" s="37"/>
    </row>
    <row r="125">
      <c r="A125" s="37"/>
    </row>
    <row r="126">
      <c r="A126" s="37"/>
    </row>
    <row r="127">
      <c r="A127" s="37"/>
    </row>
    <row r="128">
      <c r="A128" s="37"/>
    </row>
    <row r="129">
      <c r="A129" s="37"/>
    </row>
    <row r="130">
      <c r="A130" s="37"/>
    </row>
    <row r="131">
      <c r="A131" s="37"/>
    </row>
    <row r="132">
      <c r="A132" s="37"/>
    </row>
    <row r="133">
      <c r="A133" s="37"/>
    </row>
    <row r="134">
      <c r="A134" s="37"/>
    </row>
    <row r="135">
      <c r="A135" s="37"/>
    </row>
    <row r="136">
      <c r="A136" s="37"/>
    </row>
    <row r="137">
      <c r="A137" s="37"/>
    </row>
    <row r="138">
      <c r="A138" s="37"/>
    </row>
    <row r="139">
      <c r="A139" s="37"/>
    </row>
    <row r="140">
      <c r="A140" s="37"/>
    </row>
    <row r="141">
      <c r="A141" s="37"/>
    </row>
    <row r="142">
      <c r="A142" s="37"/>
    </row>
    <row r="143">
      <c r="A143" s="37"/>
    </row>
    <row r="144">
      <c r="A144" s="37"/>
    </row>
    <row r="145">
      <c r="A145" s="37"/>
    </row>
    <row r="146">
      <c r="A146" s="37"/>
    </row>
    <row r="147">
      <c r="A147" s="37"/>
    </row>
    <row r="148">
      <c r="A148" s="37"/>
    </row>
    <row r="149">
      <c r="A149" s="37"/>
    </row>
    <row r="150">
      <c r="A150" s="37"/>
    </row>
    <row r="151">
      <c r="A151" s="37"/>
    </row>
    <row r="152">
      <c r="A152" s="37"/>
    </row>
    <row r="153">
      <c r="A153" s="37"/>
    </row>
    <row r="154">
      <c r="A154" s="37"/>
    </row>
    <row r="155">
      <c r="A155" s="37"/>
    </row>
    <row r="156">
      <c r="A156" s="37"/>
    </row>
    <row r="157">
      <c r="A157" s="37"/>
    </row>
    <row r="158">
      <c r="A158" s="37"/>
    </row>
    <row r="159">
      <c r="A159" s="37"/>
    </row>
    <row r="160">
      <c r="A160" s="37"/>
    </row>
    <row r="161">
      <c r="A161" s="37"/>
    </row>
    <row r="162">
      <c r="A162" s="37"/>
    </row>
    <row r="163">
      <c r="A163" s="37"/>
    </row>
    <row r="164">
      <c r="A164" s="37"/>
    </row>
    <row r="165">
      <c r="A165" s="37"/>
    </row>
    <row r="166">
      <c r="A166" s="37"/>
    </row>
    <row r="167">
      <c r="A167" s="37"/>
    </row>
    <row r="168">
      <c r="A168" s="37"/>
    </row>
    <row r="169">
      <c r="A169" s="37"/>
    </row>
    <row r="170">
      <c r="A170" s="37"/>
    </row>
    <row r="171">
      <c r="A171" s="37"/>
    </row>
    <row r="172">
      <c r="A172" s="37"/>
    </row>
    <row r="173">
      <c r="A173" s="37"/>
    </row>
    <row r="174">
      <c r="A174" s="37"/>
    </row>
    <row r="175">
      <c r="A175" s="37"/>
    </row>
    <row r="176">
      <c r="A176" s="37"/>
    </row>
    <row r="177">
      <c r="A177" s="37"/>
    </row>
    <row r="178">
      <c r="A178" s="37"/>
    </row>
    <row r="179">
      <c r="A179" s="37"/>
    </row>
    <row r="180">
      <c r="A180" s="37"/>
    </row>
    <row r="181">
      <c r="A181" s="37"/>
    </row>
    <row r="182">
      <c r="A182" s="37"/>
    </row>
    <row r="183">
      <c r="A183" s="37"/>
    </row>
    <row r="184">
      <c r="A184" s="37"/>
    </row>
    <row r="185">
      <c r="A185" s="37"/>
    </row>
    <row r="186">
      <c r="A186" s="37"/>
    </row>
    <row r="187">
      <c r="A187" s="37"/>
    </row>
    <row r="188">
      <c r="A188" s="37"/>
    </row>
    <row r="189">
      <c r="A189" s="37"/>
    </row>
    <row r="190">
      <c r="A190" s="37"/>
    </row>
    <row r="191">
      <c r="A191" s="37"/>
    </row>
    <row r="192">
      <c r="A192" s="37"/>
    </row>
    <row r="193">
      <c r="A193" s="37"/>
    </row>
    <row r="194">
      <c r="A194" s="37"/>
    </row>
    <row r="195">
      <c r="A195" s="37"/>
    </row>
    <row r="196">
      <c r="A196" s="37"/>
    </row>
    <row r="197">
      <c r="A197" s="37"/>
    </row>
    <row r="198">
      <c r="A198" s="37"/>
    </row>
    <row r="199">
      <c r="A199" s="37"/>
    </row>
    <row r="200">
      <c r="A200" s="37"/>
    </row>
    <row r="201">
      <c r="A201" s="37"/>
    </row>
    <row r="202">
      <c r="A202" s="37"/>
    </row>
    <row r="203">
      <c r="A203" s="37"/>
    </row>
    <row r="204">
      <c r="A204" s="37"/>
    </row>
    <row r="205">
      <c r="A205" s="37"/>
    </row>
    <row r="206">
      <c r="A206" s="37"/>
    </row>
    <row r="207">
      <c r="A207" s="37"/>
    </row>
    <row r="208">
      <c r="A208" s="37"/>
    </row>
    <row r="209">
      <c r="A209" s="37"/>
    </row>
    <row r="210">
      <c r="A210" s="37"/>
    </row>
    <row r="211">
      <c r="A211" s="37"/>
    </row>
    <row r="212">
      <c r="A212" s="37"/>
    </row>
    <row r="213">
      <c r="A213" s="37"/>
    </row>
    <row r="214">
      <c r="A214" s="37"/>
    </row>
    <row r="215">
      <c r="A215" s="37"/>
    </row>
    <row r="216">
      <c r="A216" s="37"/>
    </row>
    <row r="217">
      <c r="A217" s="37"/>
    </row>
    <row r="218">
      <c r="A218" s="37"/>
    </row>
    <row r="219">
      <c r="A219" s="37"/>
    </row>
    <row r="220">
      <c r="A220" s="37"/>
    </row>
    <row r="221">
      <c r="A221" s="37"/>
    </row>
    <row r="222">
      <c r="A222" s="37"/>
    </row>
    <row r="223">
      <c r="A223" s="37"/>
    </row>
    <row r="224">
      <c r="A224" s="37"/>
    </row>
    <row r="225">
      <c r="A225" s="37"/>
    </row>
    <row r="226">
      <c r="A226" s="37"/>
    </row>
    <row r="227">
      <c r="A227" s="37"/>
    </row>
    <row r="228">
      <c r="A228" s="37"/>
    </row>
    <row r="229">
      <c r="A229" s="37"/>
    </row>
    <row r="230">
      <c r="A230" s="37"/>
    </row>
    <row r="231">
      <c r="A231" s="37"/>
    </row>
    <row r="232">
      <c r="A232" s="37"/>
    </row>
    <row r="233">
      <c r="A233" s="37"/>
    </row>
    <row r="234">
      <c r="A234" s="37"/>
    </row>
    <row r="235">
      <c r="A235" s="37"/>
    </row>
    <row r="236">
      <c r="A236" s="37"/>
    </row>
    <row r="237">
      <c r="A237" s="37"/>
    </row>
    <row r="238">
      <c r="A238" s="37"/>
    </row>
    <row r="239">
      <c r="A239" s="37"/>
    </row>
    <row r="240">
      <c r="A240" s="37"/>
    </row>
    <row r="241">
      <c r="A241" s="37"/>
    </row>
    <row r="242">
      <c r="A242" s="37"/>
    </row>
    <row r="243">
      <c r="A243" s="37"/>
    </row>
    <row r="244">
      <c r="A244" s="37"/>
    </row>
    <row r="245">
      <c r="A245" s="37"/>
    </row>
    <row r="246">
      <c r="A246" s="37"/>
    </row>
    <row r="247">
      <c r="A247" s="37"/>
    </row>
    <row r="248">
      <c r="A248" s="37"/>
    </row>
    <row r="249">
      <c r="A249" s="37"/>
    </row>
    <row r="250">
      <c r="A250" s="37"/>
    </row>
    <row r="251">
      <c r="A251" s="37"/>
    </row>
    <row r="252">
      <c r="A252" s="37"/>
    </row>
    <row r="253">
      <c r="A253" s="37"/>
    </row>
    <row r="254">
      <c r="A254" s="37"/>
    </row>
    <row r="255">
      <c r="A255" s="37"/>
    </row>
    <row r="256">
      <c r="A256" s="37"/>
    </row>
    <row r="257">
      <c r="A257" s="37"/>
    </row>
    <row r="258">
      <c r="A258" s="37"/>
    </row>
    <row r="259">
      <c r="A259" s="37"/>
    </row>
    <row r="260">
      <c r="A260" s="37"/>
    </row>
    <row r="261">
      <c r="A261" s="37"/>
    </row>
    <row r="262">
      <c r="A262" s="37"/>
    </row>
    <row r="263">
      <c r="A263" s="37"/>
    </row>
    <row r="264">
      <c r="A264" s="37"/>
    </row>
    <row r="265">
      <c r="A265" s="37"/>
    </row>
    <row r="266">
      <c r="A266" s="37"/>
    </row>
    <row r="267">
      <c r="A267" s="37"/>
    </row>
    <row r="268">
      <c r="A268" s="37"/>
    </row>
    <row r="269">
      <c r="A269" s="37"/>
    </row>
    <row r="270">
      <c r="A270" s="37"/>
    </row>
    <row r="271">
      <c r="A271" s="37"/>
    </row>
    <row r="272">
      <c r="A272" s="37"/>
    </row>
    <row r="273">
      <c r="A273" s="37"/>
    </row>
    <row r="274">
      <c r="A274" s="37"/>
    </row>
    <row r="275">
      <c r="A275" s="37"/>
    </row>
    <row r="276">
      <c r="A276" s="37"/>
    </row>
    <row r="277">
      <c r="A277" s="37"/>
    </row>
    <row r="278">
      <c r="A278" s="37"/>
    </row>
    <row r="279">
      <c r="A279" s="37"/>
    </row>
    <row r="280">
      <c r="A280" s="37"/>
    </row>
    <row r="281">
      <c r="A281" s="37"/>
    </row>
    <row r="282">
      <c r="A282" s="37"/>
    </row>
    <row r="283">
      <c r="A283" s="37"/>
    </row>
    <row r="284">
      <c r="A284" s="37"/>
    </row>
    <row r="285">
      <c r="A285" s="37"/>
    </row>
    <row r="286">
      <c r="A286" s="37"/>
    </row>
    <row r="287">
      <c r="A287" s="37"/>
    </row>
    <row r="288">
      <c r="A288" s="37"/>
    </row>
    <row r="289">
      <c r="A289" s="37"/>
    </row>
    <row r="290">
      <c r="A290" s="37"/>
    </row>
    <row r="291">
      <c r="A291" s="37"/>
    </row>
    <row r="292">
      <c r="A292" s="37"/>
    </row>
    <row r="293">
      <c r="A293" s="37"/>
    </row>
    <row r="294">
      <c r="A294" s="37"/>
    </row>
    <row r="295">
      <c r="A295" s="37"/>
    </row>
    <row r="296">
      <c r="A296" s="37"/>
    </row>
    <row r="297">
      <c r="A297" s="37"/>
    </row>
    <row r="298">
      <c r="A298" s="37"/>
    </row>
    <row r="299">
      <c r="A299" s="37"/>
    </row>
    <row r="300">
      <c r="A300" s="37"/>
    </row>
    <row r="301">
      <c r="A301" s="37"/>
    </row>
    <row r="302">
      <c r="A302" s="37"/>
    </row>
    <row r="303">
      <c r="A303" s="37"/>
    </row>
    <row r="304">
      <c r="A304" s="37"/>
    </row>
    <row r="305">
      <c r="A305" s="37"/>
    </row>
    <row r="306">
      <c r="A306" s="37"/>
    </row>
    <row r="307">
      <c r="A307" s="37"/>
    </row>
    <row r="308">
      <c r="A308" s="37"/>
    </row>
    <row r="309">
      <c r="A309" s="37"/>
    </row>
    <row r="310">
      <c r="A310" s="37"/>
    </row>
    <row r="311">
      <c r="A311" s="37"/>
    </row>
    <row r="312">
      <c r="A312" s="37"/>
    </row>
    <row r="313">
      <c r="A313" s="37"/>
    </row>
    <row r="314">
      <c r="A314" s="37"/>
    </row>
    <row r="315">
      <c r="A315" s="37"/>
    </row>
    <row r="316">
      <c r="A316" s="37"/>
    </row>
    <row r="317">
      <c r="A317" s="37"/>
    </row>
    <row r="318">
      <c r="A318" s="37"/>
    </row>
    <row r="319">
      <c r="A319" s="37"/>
    </row>
    <row r="320">
      <c r="A320" s="37"/>
    </row>
    <row r="321">
      <c r="A321" s="37"/>
    </row>
    <row r="322">
      <c r="A322" s="37"/>
    </row>
    <row r="323">
      <c r="A323" s="37"/>
    </row>
    <row r="324">
      <c r="A324" s="37"/>
    </row>
    <row r="325">
      <c r="A325" s="37"/>
    </row>
    <row r="326">
      <c r="A326" s="37"/>
    </row>
    <row r="327">
      <c r="A327" s="37"/>
    </row>
    <row r="328">
      <c r="A328" s="37"/>
    </row>
    <row r="329">
      <c r="A329" s="37"/>
    </row>
    <row r="330">
      <c r="A330" s="37"/>
    </row>
    <row r="331">
      <c r="A331" s="37"/>
    </row>
    <row r="332">
      <c r="A332" s="37"/>
    </row>
    <row r="333">
      <c r="A333" s="37"/>
    </row>
    <row r="334">
      <c r="A334" s="37"/>
    </row>
    <row r="335">
      <c r="A335" s="37"/>
    </row>
    <row r="336">
      <c r="A336" s="37"/>
    </row>
    <row r="337">
      <c r="A337" s="37"/>
    </row>
    <row r="338">
      <c r="A338" s="37"/>
    </row>
    <row r="339">
      <c r="A339" s="37"/>
    </row>
    <row r="340">
      <c r="A340" s="37"/>
    </row>
    <row r="341">
      <c r="A341" s="37"/>
    </row>
    <row r="342">
      <c r="A342" s="37"/>
    </row>
    <row r="343">
      <c r="A343" s="37"/>
    </row>
    <row r="344">
      <c r="A344" s="37"/>
    </row>
    <row r="345">
      <c r="A345" s="37"/>
    </row>
    <row r="346">
      <c r="A346" s="37"/>
    </row>
    <row r="347">
      <c r="A347" s="37"/>
    </row>
    <row r="348">
      <c r="A348" s="37"/>
    </row>
    <row r="349">
      <c r="A349" s="37"/>
    </row>
    <row r="350">
      <c r="A350" s="37"/>
    </row>
    <row r="351">
      <c r="A351" s="37"/>
    </row>
    <row r="352">
      <c r="A352" s="37"/>
    </row>
    <row r="353">
      <c r="A353" s="37"/>
    </row>
    <row r="354">
      <c r="A354" s="37"/>
    </row>
    <row r="355">
      <c r="A355" s="37"/>
    </row>
    <row r="356">
      <c r="A356" s="37"/>
    </row>
    <row r="357">
      <c r="A357" s="37"/>
    </row>
    <row r="358">
      <c r="A358" s="37"/>
    </row>
    <row r="359">
      <c r="A359" s="37"/>
    </row>
    <row r="360">
      <c r="A360" s="37"/>
    </row>
    <row r="361">
      <c r="A361" s="37"/>
    </row>
    <row r="362">
      <c r="A362" s="37"/>
    </row>
    <row r="363">
      <c r="A363" s="37"/>
    </row>
    <row r="364">
      <c r="A364" s="37"/>
    </row>
    <row r="365">
      <c r="A365" s="37"/>
    </row>
    <row r="366">
      <c r="A366" s="37"/>
    </row>
    <row r="367">
      <c r="A367" s="37"/>
    </row>
    <row r="368">
      <c r="A368" s="37"/>
    </row>
    <row r="369">
      <c r="A369" s="37"/>
    </row>
    <row r="370">
      <c r="A370" s="37"/>
    </row>
    <row r="371">
      <c r="A371" s="37"/>
    </row>
    <row r="372">
      <c r="A372" s="37"/>
    </row>
    <row r="373">
      <c r="A373" s="37"/>
    </row>
    <row r="374">
      <c r="A374" s="37"/>
    </row>
    <row r="375">
      <c r="A375" s="37"/>
    </row>
    <row r="376">
      <c r="A376" s="37"/>
    </row>
    <row r="377">
      <c r="A377" s="37"/>
    </row>
    <row r="378">
      <c r="A378" s="37"/>
    </row>
    <row r="379">
      <c r="A379" s="37"/>
    </row>
    <row r="380">
      <c r="A380" s="37"/>
    </row>
    <row r="381">
      <c r="A381" s="37"/>
    </row>
    <row r="382">
      <c r="A382" s="37"/>
    </row>
    <row r="383">
      <c r="A383" s="37"/>
    </row>
    <row r="384">
      <c r="A384" s="37"/>
    </row>
    <row r="385">
      <c r="A385" s="37"/>
    </row>
    <row r="386">
      <c r="A386" s="37"/>
    </row>
    <row r="387">
      <c r="A387" s="37"/>
    </row>
    <row r="388">
      <c r="A388" s="37"/>
    </row>
    <row r="389">
      <c r="A389" s="37"/>
    </row>
    <row r="390">
      <c r="A390" s="37"/>
    </row>
    <row r="391">
      <c r="A391" s="37"/>
    </row>
    <row r="392">
      <c r="A392" s="37"/>
    </row>
    <row r="393">
      <c r="A393" s="37"/>
    </row>
    <row r="394">
      <c r="A394" s="37"/>
    </row>
    <row r="395">
      <c r="A395" s="37"/>
    </row>
    <row r="396">
      <c r="A396" s="37"/>
    </row>
    <row r="397">
      <c r="A397" s="37"/>
    </row>
    <row r="398">
      <c r="A398" s="37"/>
    </row>
    <row r="399">
      <c r="A399" s="37"/>
    </row>
    <row r="400">
      <c r="A400" s="37"/>
    </row>
    <row r="401">
      <c r="A401" s="37"/>
    </row>
    <row r="402">
      <c r="A402" s="37"/>
    </row>
    <row r="403">
      <c r="A403" s="37"/>
    </row>
    <row r="404">
      <c r="A404" s="37"/>
    </row>
    <row r="405">
      <c r="A405" s="37"/>
    </row>
    <row r="406">
      <c r="A406" s="37"/>
    </row>
    <row r="407">
      <c r="A407" s="37"/>
    </row>
    <row r="408">
      <c r="A408" s="37"/>
    </row>
    <row r="409">
      <c r="A409" s="37"/>
    </row>
    <row r="410">
      <c r="A410" s="37"/>
    </row>
    <row r="411">
      <c r="A411" s="37"/>
    </row>
    <row r="412">
      <c r="A412" s="37"/>
    </row>
    <row r="413">
      <c r="A413" s="37"/>
    </row>
    <row r="414">
      <c r="A414" s="37"/>
    </row>
    <row r="415">
      <c r="A415" s="37"/>
    </row>
    <row r="416">
      <c r="A416" s="37"/>
    </row>
    <row r="417">
      <c r="A417" s="37"/>
    </row>
    <row r="418">
      <c r="A418" s="37"/>
    </row>
    <row r="419">
      <c r="A419" s="37"/>
    </row>
    <row r="420">
      <c r="A420" s="37"/>
    </row>
    <row r="421">
      <c r="A421" s="37"/>
    </row>
    <row r="422">
      <c r="A422" s="37"/>
    </row>
    <row r="423">
      <c r="A423" s="37"/>
    </row>
    <row r="424">
      <c r="A424" s="37"/>
    </row>
    <row r="425">
      <c r="A425" s="37"/>
    </row>
    <row r="426">
      <c r="A426" s="37"/>
    </row>
    <row r="427">
      <c r="A427" s="37"/>
    </row>
    <row r="428">
      <c r="A428" s="37"/>
    </row>
    <row r="429">
      <c r="A429" s="37"/>
    </row>
    <row r="430">
      <c r="A430" s="37"/>
    </row>
    <row r="431">
      <c r="A431" s="37"/>
    </row>
    <row r="432">
      <c r="A432" s="37"/>
    </row>
    <row r="433">
      <c r="A433" s="37"/>
    </row>
    <row r="434">
      <c r="A434" s="37"/>
    </row>
    <row r="435">
      <c r="A435" s="37"/>
    </row>
    <row r="436">
      <c r="A436" s="37"/>
    </row>
    <row r="437">
      <c r="A437" s="37"/>
    </row>
    <row r="438">
      <c r="A438" s="37"/>
    </row>
    <row r="439">
      <c r="A439" s="37"/>
    </row>
    <row r="440">
      <c r="A440" s="37"/>
    </row>
    <row r="441">
      <c r="A441" s="37"/>
    </row>
    <row r="442">
      <c r="A442" s="37"/>
    </row>
    <row r="443">
      <c r="A443" s="37"/>
    </row>
    <row r="444">
      <c r="A444" s="37"/>
    </row>
    <row r="445">
      <c r="A445" s="37"/>
    </row>
    <row r="446">
      <c r="A446" s="37"/>
    </row>
    <row r="447">
      <c r="A447" s="37"/>
    </row>
    <row r="448">
      <c r="A448" s="37"/>
    </row>
    <row r="449">
      <c r="A449" s="37"/>
    </row>
    <row r="450">
      <c r="A450" s="37"/>
    </row>
    <row r="451">
      <c r="A451" s="37"/>
    </row>
    <row r="452">
      <c r="A452" s="37"/>
    </row>
    <row r="453">
      <c r="A453" s="37"/>
    </row>
    <row r="454">
      <c r="A454" s="37"/>
    </row>
    <row r="455">
      <c r="A455" s="37"/>
    </row>
    <row r="456">
      <c r="A456" s="37"/>
    </row>
    <row r="457">
      <c r="A457" s="37"/>
    </row>
    <row r="458">
      <c r="A458" s="37"/>
    </row>
    <row r="459">
      <c r="A459" s="37"/>
    </row>
    <row r="460">
      <c r="A460" s="37"/>
    </row>
    <row r="461">
      <c r="A461" s="37"/>
    </row>
    <row r="462">
      <c r="A462" s="37"/>
    </row>
    <row r="463">
      <c r="A463" s="37"/>
    </row>
    <row r="464">
      <c r="A464" s="37"/>
    </row>
    <row r="465">
      <c r="A465" s="37"/>
    </row>
    <row r="466">
      <c r="A466" s="37"/>
    </row>
    <row r="467">
      <c r="A467" s="37"/>
    </row>
    <row r="468">
      <c r="A468" s="37"/>
    </row>
    <row r="469">
      <c r="A469" s="37"/>
    </row>
    <row r="470">
      <c r="A470" s="37"/>
    </row>
    <row r="471">
      <c r="A471" s="37"/>
    </row>
    <row r="472">
      <c r="A472" s="37"/>
    </row>
    <row r="473">
      <c r="A473" s="37"/>
    </row>
    <row r="474">
      <c r="A474" s="37"/>
    </row>
    <row r="475">
      <c r="A475" s="37"/>
    </row>
    <row r="476">
      <c r="A476" s="37"/>
    </row>
    <row r="477">
      <c r="A477" s="37"/>
    </row>
    <row r="478">
      <c r="A478" s="37"/>
    </row>
    <row r="479">
      <c r="A479" s="37"/>
    </row>
    <row r="480">
      <c r="A480" s="37"/>
    </row>
    <row r="481">
      <c r="A481" s="37"/>
    </row>
    <row r="482">
      <c r="A482" s="37"/>
    </row>
    <row r="483">
      <c r="A483" s="37"/>
    </row>
    <row r="484">
      <c r="A484" s="37"/>
    </row>
    <row r="485">
      <c r="A485" s="37"/>
    </row>
    <row r="486">
      <c r="A486" s="37"/>
    </row>
    <row r="487">
      <c r="A487" s="37"/>
    </row>
    <row r="488">
      <c r="A488" s="37"/>
    </row>
    <row r="489">
      <c r="A489" s="37"/>
    </row>
    <row r="490">
      <c r="A490" s="37"/>
    </row>
    <row r="491">
      <c r="A491" s="37"/>
    </row>
    <row r="492">
      <c r="A492" s="37"/>
    </row>
    <row r="493">
      <c r="A493" s="37"/>
    </row>
    <row r="494">
      <c r="A494" s="37"/>
    </row>
    <row r="495">
      <c r="A495" s="37"/>
    </row>
    <row r="496">
      <c r="A496" s="37"/>
    </row>
    <row r="497">
      <c r="A497" s="37"/>
    </row>
    <row r="498">
      <c r="A498" s="37"/>
    </row>
    <row r="499">
      <c r="A499" s="37"/>
    </row>
    <row r="500">
      <c r="A500" s="37"/>
    </row>
    <row r="501">
      <c r="A501" s="37"/>
    </row>
    <row r="502">
      <c r="A502" s="37"/>
    </row>
    <row r="503">
      <c r="A503" s="37"/>
    </row>
    <row r="504">
      <c r="A504" s="37"/>
    </row>
    <row r="505">
      <c r="A505" s="37"/>
    </row>
    <row r="506">
      <c r="A506" s="37"/>
    </row>
    <row r="507">
      <c r="A507" s="37"/>
    </row>
    <row r="508">
      <c r="A508" s="37"/>
    </row>
    <row r="509">
      <c r="A509" s="37"/>
    </row>
    <row r="510">
      <c r="A510" s="37"/>
    </row>
    <row r="511">
      <c r="A511" s="37"/>
    </row>
    <row r="512">
      <c r="A512" s="37"/>
    </row>
    <row r="513">
      <c r="A513" s="37"/>
    </row>
    <row r="514">
      <c r="A514" s="37"/>
    </row>
    <row r="515">
      <c r="A515" s="37"/>
    </row>
    <row r="516">
      <c r="A516" s="37"/>
    </row>
    <row r="517">
      <c r="A517" s="37"/>
    </row>
    <row r="518">
      <c r="A518" s="37"/>
    </row>
    <row r="519">
      <c r="A519" s="37"/>
    </row>
    <row r="520">
      <c r="A520" s="37"/>
    </row>
    <row r="521">
      <c r="A521" s="37"/>
    </row>
    <row r="522">
      <c r="A522" s="37"/>
    </row>
    <row r="523">
      <c r="A523" s="37"/>
    </row>
    <row r="524">
      <c r="A524" s="37"/>
    </row>
    <row r="525">
      <c r="A525" s="37"/>
    </row>
    <row r="526">
      <c r="A526" s="37"/>
    </row>
    <row r="527">
      <c r="A527" s="37"/>
    </row>
    <row r="528">
      <c r="A528" s="37"/>
    </row>
    <row r="529">
      <c r="A529" s="37"/>
    </row>
    <row r="530">
      <c r="A530" s="37"/>
    </row>
    <row r="531">
      <c r="A531" s="37"/>
    </row>
    <row r="532">
      <c r="A532" s="37"/>
    </row>
    <row r="533">
      <c r="A533" s="37"/>
    </row>
    <row r="534">
      <c r="A534" s="37"/>
    </row>
    <row r="535">
      <c r="A535" s="37"/>
    </row>
    <row r="536">
      <c r="A536" s="37"/>
    </row>
    <row r="537">
      <c r="A537" s="37"/>
    </row>
    <row r="538">
      <c r="A538" s="37"/>
    </row>
    <row r="539">
      <c r="A539" s="37"/>
    </row>
    <row r="540">
      <c r="A540" s="37"/>
    </row>
    <row r="541">
      <c r="A541" s="37"/>
    </row>
    <row r="542">
      <c r="A542" s="37"/>
    </row>
    <row r="543">
      <c r="A543" s="37"/>
    </row>
    <row r="544">
      <c r="A544" s="37"/>
    </row>
    <row r="545">
      <c r="A545" s="37"/>
    </row>
    <row r="546">
      <c r="A546" s="37"/>
    </row>
    <row r="547">
      <c r="A547" s="37"/>
    </row>
    <row r="548">
      <c r="A548" s="37"/>
    </row>
    <row r="549">
      <c r="A549" s="37"/>
    </row>
    <row r="550">
      <c r="A550" s="37"/>
    </row>
    <row r="551">
      <c r="A551" s="37"/>
    </row>
    <row r="552">
      <c r="A552" s="37"/>
    </row>
    <row r="553">
      <c r="A553" s="37"/>
    </row>
    <row r="554">
      <c r="A554" s="37"/>
    </row>
    <row r="555">
      <c r="A555" s="37"/>
    </row>
    <row r="556">
      <c r="A556" s="37"/>
    </row>
    <row r="557">
      <c r="A557" s="37"/>
    </row>
    <row r="558">
      <c r="A558" s="37"/>
    </row>
    <row r="559">
      <c r="A559" s="37"/>
    </row>
    <row r="560">
      <c r="A560" s="37"/>
    </row>
    <row r="561">
      <c r="A561" s="37"/>
    </row>
    <row r="562">
      <c r="A562" s="37"/>
    </row>
    <row r="563">
      <c r="A563" s="37"/>
    </row>
    <row r="564">
      <c r="A564" s="37"/>
    </row>
    <row r="565">
      <c r="A565" s="37"/>
    </row>
    <row r="566">
      <c r="A566" s="37"/>
    </row>
    <row r="567">
      <c r="A567" s="37"/>
    </row>
    <row r="568">
      <c r="A568" s="37"/>
    </row>
    <row r="569">
      <c r="A569" s="37"/>
    </row>
    <row r="570">
      <c r="A570" s="37"/>
    </row>
    <row r="571">
      <c r="A571" s="37"/>
    </row>
    <row r="572">
      <c r="A572" s="37"/>
    </row>
    <row r="573">
      <c r="A573" s="37"/>
    </row>
    <row r="574">
      <c r="A574" s="37"/>
    </row>
    <row r="575">
      <c r="A575" s="37"/>
    </row>
    <row r="576">
      <c r="A576" s="37"/>
    </row>
    <row r="577">
      <c r="A577" s="37"/>
    </row>
    <row r="578">
      <c r="A578" s="37"/>
    </row>
    <row r="579">
      <c r="A579" s="37"/>
    </row>
    <row r="580">
      <c r="A580" s="37"/>
    </row>
    <row r="581">
      <c r="A581" s="37"/>
    </row>
    <row r="582">
      <c r="A582" s="37"/>
    </row>
    <row r="583">
      <c r="A583" s="37"/>
    </row>
    <row r="584">
      <c r="A584" s="37"/>
    </row>
    <row r="585">
      <c r="A585" s="37"/>
    </row>
    <row r="586">
      <c r="A586" s="37"/>
    </row>
    <row r="587">
      <c r="A587" s="37"/>
    </row>
    <row r="588">
      <c r="A588" s="37"/>
    </row>
    <row r="589">
      <c r="A589" s="37"/>
    </row>
    <row r="590">
      <c r="A590" s="37"/>
    </row>
    <row r="591">
      <c r="A591" s="37"/>
    </row>
    <row r="592">
      <c r="A592" s="37"/>
    </row>
    <row r="593">
      <c r="A593" s="37"/>
    </row>
    <row r="594">
      <c r="A594" s="37"/>
    </row>
    <row r="595">
      <c r="A595" s="37"/>
    </row>
    <row r="596">
      <c r="A596" s="37"/>
    </row>
    <row r="597">
      <c r="A597" s="37"/>
    </row>
    <row r="598">
      <c r="A598" s="37"/>
    </row>
    <row r="599">
      <c r="A599" s="37"/>
    </row>
    <row r="600">
      <c r="A600" s="37"/>
    </row>
    <row r="601">
      <c r="A601" s="37"/>
    </row>
    <row r="602">
      <c r="A602" s="37"/>
    </row>
    <row r="603">
      <c r="A603" s="37"/>
    </row>
    <row r="604">
      <c r="A604" s="37"/>
    </row>
    <row r="605">
      <c r="A605" s="37"/>
    </row>
    <row r="606">
      <c r="A606" s="37"/>
    </row>
    <row r="607">
      <c r="A607" s="37"/>
    </row>
    <row r="608">
      <c r="A608" s="37"/>
    </row>
    <row r="609">
      <c r="A609" s="37"/>
    </row>
    <row r="610">
      <c r="A610" s="37"/>
    </row>
    <row r="611">
      <c r="A611" s="37"/>
    </row>
    <row r="612">
      <c r="A612" s="37"/>
    </row>
    <row r="613">
      <c r="A613" s="37"/>
    </row>
    <row r="614">
      <c r="A614" s="37"/>
    </row>
    <row r="615">
      <c r="A615" s="37"/>
    </row>
    <row r="616">
      <c r="A616" s="37"/>
    </row>
    <row r="617">
      <c r="A617" s="37"/>
    </row>
    <row r="618">
      <c r="A618" s="37"/>
    </row>
    <row r="619">
      <c r="A619" s="37"/>
    </row>
    <row r="620">
      <c r="A620" s="37"/>
    </row>
    <row r="621">
      <c r="A621" s="37"/>
    </row>
    <row r="622">
      <c r="A622" s="37"/>
    </row>
    <row r="623">
      <c r="A623" s="37"/>
    </row>
    <row r="624">
      <c r="A624" s="37"/>
    </row>
    <row r="625">
      <c r="A625" s="37"/>
    </row>
    <row r="626">
      <c r="A626" s="37"/>
    </row>
    <row r="627">
      <c r="A627" s="37"/>
    </row>
    <row r="628">
      <c r="A628" s="37"/>
    </row>
    <row r="629">
      <c r="A629" s="37"/>
    </row>
    <row r="630">
      <c r="A630" s="37"/>
    </row>
    <row r="631">
      <c r="A631" s="37"/>
    </row>
    <row r="632">
      <c r="A632" s="37"/>
    </row>
    <row r="633">
      <c r="A633" s="37"/>
    </row>
    <row r="634">
      <c r="A634" s="37"/>
    </row>
    <row r="635">
      <c r="A635" s="37"/>
    </row>
    <row r="636">
      <c r="A636" s="37"/>
    </row>
    <row r="637">
      <c r="A637" s="37"/>
    </row>
    <row r="638">
      <c r="A638" s="37"/>
    </row>
    <row r="639">
      <c r="A639" s="37"/>
    </row>
    <row r="640">
      <c r="A640" s="37"/>
    </row>
    <row r="641">
      <c r="A641" s="37"/>
    </row>
    <row r="642">
      <c r="A642" s="37"/>
    </row>
    <row r="643">
      <c r="A643" s="37"/>
    </row>
    <row r="644">
      <c r="A644" s="37"/>
    </row>
    <row r="645">
      <c r="A645" s="37"/>
    </row>
    <row r="646">
      <c r="A646" s="37"/>
    </row>
    <row r="647">
      <c r="A647" s="37"/>
    </row>
    <row r="648">
      <c r="A648" s="37"/>
    </row>
    <row r="649">
      <c r="A649" s="37"/>
    </row>
    <row r="650">
      <c r="A650" s="37"/>
    </row>
    <row r="651">
      <c r="A651" s="37"/>
    </row>
    <row r="652">
      <c r="A652" s="37"/>
    </row>
    <row r="653">
      <c r="A653" s="37"/>
    </row>
    <row r="654">
      <c r="A654" s="37"/>
    </row>
    <row r="655">
      <c r="A655" s="37"/>
    </row>
    <row r="656">
      <c r="A656" s="37"/>
    </row>
    <row r="657">
      <c r="A657" s="37"/>
    </row>
    <row r="658">
      <c r="A658" s="37"/>
    </row>
    <row r="659">
      <c r="A659" s="37"/>
    </row>
    <row r="660">
      <c r="A660" s="37"/>
    </row>
    <row r="661">
      <c r="A661" s="37"/>
    </row>
    <row r="662">
      <c r="A662" s="37"/>
    </row>
    <row r="663">
      <c r="A663" s="37"/>
    </row>
    <row r="664">
      <c r="A664" s="37"/>
    </row>
    <row r="665">
      <c r="A665" s="37"/>
    </row>
    <row r="666">
      <c r="A666" s="37"/>
    </row>
    <row r="667">
      <c r="A667" s="37"/>
    </row>
    <row r="668">
      <c r="A668" s="37"/>
    </row>
    <row r="669">
      <c r="A669" s="37"/>
    </row>
    <row r="670">
      <c r="A670" s="37"/>
    </row>
    <row r="671">
      <c r="A671" s="37"/>
    </row>
    <row r="672">
      <c r="A672" s="37"/>
    </row>
    <row r="673">
      <c r="A673" s="37"/>
    </row>
    <row r="674">
      <c r="A674" s="37"/>
    </row>
    <row r="675">
      <c r="A675" s="37"/>
    </row>
    <row r="676">
      <c r="A676" s="37"/>
    </row>
    <row r="677">
      <c r="A677" s="37"/>
    </row>
    <row r="678">
      <c r="A678" s="37"/>
    </row>
    <row r="679">
      <c r="A679" s="37"/>
    </row>
    <row r="680">
      <c r="A680" s="37"/>
    </row>
    <row r="681">
      <c r="A681" s="37"/>
    </row>
    <row r="682">
      <c r="A682" s="37"/>
    </row>
    <row r="683">
      <c r="A683" s="37"/>
    </row>
    <row r="684">
      <c r="A684" s="37"/>
    </row>
    <row r="685">
      <c r="A685" s="37"/>
    </row>
    <row r="686">
      <c r="A686" s="37"/>
    </row>
    <row r="687">
      <c r="A687" s="37"/>
    </row>
    <row r="688">
      <c r="A688" s="37"/>
    </row>
    <row r="689">
      <c r="A689" s="37"/>
    </row>
    <row r="690">
      <c r="A690" s="37"/>
    </row>
    <row r="691">
      <c r="A691" s="37"/>
    </row>
    <row r="692">
      <c r="A692" s="37"/>
    </row>
    <row r="693">
      <c r="A693" s="37"/>
    </row>
    <row r="694">
      <c r="A694" s="37"/>
    </row>
    <row r="695">
      <c r="A695" s="37"/>
    </row>
    <row r="696">
      <c r="A696" s="37"/>
    </row>
    <row r="697">
      <c r="A697" s="37"/>
    </row>
    <row r="698">
      <c r="A698" s="37"/>
    </row>
    <row r="699">
      <c r="A699" s="37"/>
    </row>
    <row r="700">
      <c r="A700" s="37"/>
    </row>
    <row r="701">
      <c r="A701" s="37"/>
    </row>
    <row r="702">
      <c r="A702" s="37"/>
    </row>
    <row r="703">
      <c r="A703" s="37"/>
    </row>
    <row r="704">
      <c r="A704" s="37"/>
    </row>
    <row r="705">
      <c r="A705" s="37"/>
    </row>
    <row r="706">
      <c r="A706" s="37"/>
    </row>
    <row r="707">
      <c r="A707" s="37"/>
    </row>
    <row r="708">
      <c r="A708" s="37"/>
    </row>
    <row r="709">
      <c r="A709" s="37"/>
    </row>
    <row r="710">
      <c r="A710" s="37"/>
    </row>
    <row r="711">
      <c r="A711" s="37"/>
    </row>
    <row r="712">
      <c r="A712" s="37"/>
    </row>
    <row r="713">
      <c r="A713" s="37"/>
    </row>
    <row r="714">
      <c r="A714" s="37"/>
    </row>
    <row r="715">
      <c r="A715" s="37"/>
    </row>
    <row r="716">
      <c r="A716" s="37"/>
    </row>
    <row r="717">
      <c r="A717" s="37"/>
    </row>
    <row r="718">
      <c r="A718" s="37"/>
    </row>
    <row r="719">
      <c r="A719" s="37"/>
    </row>
    <row r="720">
      <c r="A720" s="37"/>
    </row>
    <row r="721">
      <c r="A721" s="37"/>
    </row>
    <row r="722">
      <c r="A722" s="37"/>
    </row>
    <row r="723">
      <c r="A723" s="37"/>
    </row>
    <row r="724">
      <c r="A724" s="37"/>
    </row>
    <row r="725">
      <c r="A725" s="37"/>
    </row>
    <row r="726">
      <c r="A726" s="37"/>
    </row>
    <row r="727">
      <c r="A727" s="37"/>
    </row>
    <row r="728">
      <c r="A728" s="37"/>
    </row>
    <row r="729">
      <c r="A729" s="37"/>
    </row>
    <row r="730">
      <c r="A730" s="37"/>
    </row>
    <row r="731">
      <c r="A731" s="37"/>
    </row>
    <row r="732">
      <c r="A732" s="37"/>
    </row>
    <row r="733">
      <c r="A733" s="37"/>
    </row>
    <row r="734">
      <c r="A734" s="37"/>
    </row>
    <row r="735">
      <c r="A735" s="37"/>
    </row>
    <row r="736">
      <c r="A736" s="37"/>
    </row>
    <row r="737">
      <c r="A737" s="37"/>
    </row>
    <row r="738">
      <c r="A738" s="37"/>
    </row>
    <row r="739">
      <c r="A739" s="37"/>
    </row>
    <row r="740">
      <c r="A740" s="37"/>
    </row>
    <row r="741">
      <c r="A741" s="37"/>
    </row>
    <row r="742">
      <c r="A742" s="37"/>
    </row>
    <row r="743">
      <c r="A743" s="37"/>
    </row>
    <row r="744">
      <c r="A744" s="37"/>
    </row>
    <row r="745">
      <c r="A745" s="37"/>
    </row>
    <row r="746">
      <c r="A746" s="37"/>
    </row>
    <row r="747">
      <c r="A747" s="37"/>
    </row>
    <row r="748">
      <c r="A748" s="37"/>
    </row>
    <row r="749">
      <c r="A749" s="37"/>
    </row>
    <row r="750">
      <c r="A750" s="37"/>
    </row>
    <row r="751">
      <c r="A751" s="37"/>
    </row>
    <row r="752">
      <c r="A752" s="37"/>
    </row>
    <row r="753">
      <c r="A753" s="37"/>
    </row>
    <row r="754">
      <c r="A754" s="37"/>
    </row>
    <row r="755">
      <c r="A755" s="37"/>
    </row>
    <row r="756">
      <c r="A756" s="37"/>
    </row>
    <row r="757">
      <c r="A757" s="37"/>
    </row>
    <row r="758">
      <c r="A758" s="37"/>
    </row>
    <row r="759">
      <c r="A759" s="37"/>
    </row>
    <row r="760">
      <c r="A760" s="37"/>
    </row>
    <row r="761">
      <c r="A761" s="37"/>
    </row>
    <row r="762">
      <c r="A762" s="37"/>
    </row>
    <row r="763">
      <c r="A763" s="37"/>
    </row>
    <row r="764">
      <c r="A764" s="37"/>
    </row>
    <row r="765">
      <c r="A765" s="37"/>
    </row>
    <row r="766">
      <c r="A766" s="37"/>
    </row>
    <row r="767">
      <c r="A767" s="37"/>
    </row>
    <row r="768">
      <c r="A768" s="37"/>
    </row>
    <row r="769">
      <c r="A769" s="37"/>
    </row>
    <row r="770">
      <c r="A770" s="37"/>
    </row>
    <row r="771">
      <c r="A771" s="37"/>
    </row>
    <row r="772">
      <c r="A772" s="37"/>
    </row>
    <row r="773">
      <c r="A773" s="37"/>
    </row>
    <row r="774">
      <c r="A774" s="37"/>
    </row>
    <row r="775">
      <c r="A775" s="37"/>
    </row>
    <row r="776">
      <c r="A776" s="37"/>
    </row>
    <row r="777">
      <c r="A777" s="37"/>
    </row>
    <row r="778">
      <c r="A778" s="37"/>
    </row>
    <row r="779">
      <c r="A779" s="37"/>
    </row>
    <row r="780">
      <c r="A780" s="37"/>
    </row>
    <row r="781">
      <c r="A781" s="37"/>
    </row>
    <row r="782">
      <c r="A782" s="37"/>
    </row>
    <row r="783">
      <c r="A783" s="37"/>
    </row>
    <row r="784">
      <c r="A784" s="37"/>
    </row>
    <row r="785">
      <c r="A785" s="37"/>
    </row>
    <row r="786">
      <c r="A786" s="37"/>
    </row>
    <row r="787">
      <c r="A787" s="37"/>
    </row>
    <row r="788">
      <c r="A788" s="37"/>
    </row>
    <row r="789">
      <c r="A789" s="37"/>
    </row>
    <row r="790">
      <c r="A790" s="37"/>
    </row>
    <row r="791">
      <c r="A791" s="37"/>
    </row>
    <row r="792">
      <c r="A792" s="37"/>
    </row>
    <row r="793">
      <c r="A793" s="37"/>
    </row>
    <row r="794">
      <c r="A794" s="37"/>
    </row>
    <row r="795">
      <c r="A795" s="37"/>
    </row>
    <row r="796">
      <c r="A796" s="37"/>
    </row>
    <row r="797">
      <c r="A797" s="37"/>
    </row>
    <row r="798">
      <c r="A798" s="37"/>
    </row>
    <row r="799">
      <c r="A799" s="37"/>
    </row>
    <row r="800">
      <c r="A800" s="37"/>
    </row>
    <row r="801">
      <c r="A801" s="37"/>
    </row>
    <row r="802">
      <c r="A802" s="37"/>
    </row>
    <row r="803">
      <c r="A803" s="37"/>
    </row>
    <row r="804">
      <c r="A804" s="37"/>
    </row>
    <row r="805">
      <c r="A805" s="37"/>
    </row>
    <row r="806">
      <c r="A806" s="37"/>
    </row>
    <row r="807">
      <c r="A807" s="37"/>
    </row>
    <row r="808">
      <c r="A808" s="37"/>
    </row>
    <row r="809">
      <c r="A809" s="37"/>
    </row>
    <row r="810">
      <c r="A810" s="37"/>
    </row>
    <row r="811">
      <c r="A811" s="37"/>
    </row>
    <row r="812">
      <c r="A812" s="37"/>
    </row>
    <row r="813">
      <c r="A813" s="37"/>
    </row>
    <row r="814">
      <c r="A814" s="37"/>
    </row>
    <row r="815">
      <c r="A815" s="37"/>
    </row>
    <row r="816">
      <c r="A816" s="37"/>
    </row>
    <row r="817">
      <c r="A817" s="37"/>
    </row>
    <row r="818">
      <c r="A818" s="37"/>
    </row>
    <row r="819">
      <c r="A819" s="37"/>
    </row>
    <row r="820">
      <c r="A820" s="37"/>
    </row>
    <row r="821">
      <c r="A821" s="37"/>
    </row>
    <row r="822">
      <c r="A822" s="37"/>
    </row>
    <row r="823">
      <c r="A823" s="37"/>
    </row>
    <row r="824">
      <c r="A824" s="37"/>
    </row>
    <row r="825">
      <c r="A825" s="37"/>
    </row>
    <row r="826">
      <c r="A826" s="37"/>
    </row>
    <row r="827">
      <c r="A827" s="37"/>
    </row>
    <row r="828">
      <c r="A828" s="37"/>
    </row>
    <row r="829">
      <c r="A829" s="37"/>
    </row>
    <row r="830">
      <c r="A830" s="37"/>
    </row>
    <row r="831">
      <c r="A831" s="37"/>
    </row>
    <row r="832">
      <c r="A832" s="37"/>
    </row>
    <row r="833">
      <c r="A833" s="37"/>
    </row>
    <row r="834">
      <c r="A834" s="37"/>
    </row>
    <row r="835">
      <c r="A835" s="37"/>
    </row>
    <row r="836">
      <c r="A836" s="37"/>
    </row>
    <row r="837">
      <c r="A837" s="37"/>
    </row>
    <row r="838">
      <c r="A838" s="37"/>
    </row>
    <row r="839">
      <c r="A839" s="37"/>
    </row>
    <row r="840">
      <c r="A840" s="37"/>
    </row>
    <row r="841">
      <c r="A841" s="37"/>
    </row>
    <row r="842">
      <c r="A842" s="37"/>
    </row>
    <row r="843">
      <c r="A843" s="37"/>
    </row>
    <row r="844">
      <c r="A844" s="37"/>
    </row>
    <row r="845">
      <c r="A845" s="37"/>
    </row>
    <row r="846">
      <c r="A846" s="37"/>
    </row>
    <row r="847">
      <c r="A847" s="37"/>
    </row>
    <row r="848">
      <c r="A848" s="37"/>
    </row>
    <row r="849">
      <c r="A849" s="37"/>
    </row>
    <row r="850">
      <c r="A850" s="37"/>
    </row>
    <row r="851">
      <c r="A851" s="37"/>
    </row>
    <row r="852">
      <c r="A852" s="37"/>
    </row>
    <row r="853">
      <c r="A853" s="37"/>
    </row>
    <row r="854">
      <c r="A854" s="37"/>
    </row>
    <row r="855">
      <c r="A855" s="37"/>
    </row>
    <row r="856">
      <c r="A856" s="37"/>
    </row>
    <row r="857">
      <c r="A857" s="37"/>
    </row>
    <row r="858">
      <c r="A858" s="37"/>
    </row>
    <row r="859">
      <c r="A859" s="37"/>
    </row>
    <row r="860">
      <c r="A860" s="37"/>
    </row>
    <row r="861">
      <c r="A861" s="37"/>
    </row>
    <row r="862">
      <c r="A862" s="37"/>
    </row>
    <row r="863">
      <c r="A863" s="37"/>
    </row>
    <row r="864">
      <c r="A864" s="37"/>
    </row>
    <row r="865">
      <c r="A865" s="37"/>
    </row>
    <row r="866">
      <c r="A866" s="37"/>
    </row>
    <row r="867">
      <c r="A867" s="37"/>
    </row>
    <row r="868">
      <c r="A868" s="37"/>
    </row>
    <row r="869">
      <c r="A869" s="37"/>
    </row>
    <row r="870">
      <c r="A870" s="37"/>
    </row>
    <row r="871">
      <c r="A871" s="37"/>
    </row>
    <row r="872">
      <c r="A872" s="37"/>
    </row>
    <row r="873">
      <c r="A873" s="37"/>
    </row>
    <row r="874">
      <c r="A874" s="37"/>
    </row>
    <row r="875">
      <c r="A875" s="37"/>
    </row>
    <row r="876">
      <c r="A876" s="37"/>
    </row>
    <row r="877">
      <c r="A877" s="37"/>
    </row>
    <row r="878">
      <c r="A878" s="37"/>
    </row>
    <row r="879">
      <c r="A879" s="37"/>
    </row>
    <row r="880">
      <c r="A880" s="37"/>
    </row>
    <row r="881">
      <c r="A881" s="37"/>
    </row>
    <row r="882">
      <c r="A882" s="37"/>
    </row>
    <row r="883">
      <c r="A883" s="37"/>
    </row>
    <row r="884">
      <c r="A884" s="37"/>
    </row>
    <row r="885">
      <c r="A885" s="37"/>
    </row>
    <row r="886">
      <c r="A886" s="37"/>
    </row>
    <row r="887">
      <c r="A887" s="37"/>
    </row>
    <row r="888">
      <c r="A888" s="37"/>
    </row>
    <row r="889">
      <c r="A889" s="37"/>
    </row>
    <row r="890">
      <c r="A890" s="37"/>
    </row>
    <row r="891">
      <c r="A891" s="37"/>
    </row>
    <row r="892">
      <c r="A892" s="37"/>
    </row>
    <row r="893">
      <c r="A893" s="37"/>
    </row>
    <row r="894">
      <c r="A894" s="37"/>
    </row>
    <row r="895">
      <c r="A895" s="37"/>
    </row>
    <row r="896">
      <c r="A896" s="37"/>
    </row>
    <row r="897">
      <c r="A897" s="37"/>
    </row>
    <row r="898">
      <c r="A898" s="37"/>
    </row>
    <row r="899">
      <c r="A899" s="37"/>
    </row>
    <row r="900">
      <c r="A900" s="37"/>
    </row>
    <row r="901">
      <c r="A901" s="37"/>
    </row>
    <row r="902">
      <c r="A902" s="37"/>
    </row>
    <row r="903">
      <c r="A903" s="37"/>
    </row>
    <row r="904">
      <c r="A904" s="37"/>
    </row>
    <row r="905">
      <c r="A905" s="37"/>
    </row>
    <row r="906">
      <c r="A906" s="37"/>
    </row>
    <row r="907">
      <c r="A907" s="37"/>
    </row>
    <row r="908">
      <c r="A908" s="37"/>
    </row>
    <row r="909">
      <c r="A909" s="37"/>
    </row>
    <row r="910">
      <c r="A910" s="37"/>
    </row>
    <row r="911">
      <c r="A911" s="37"/>
    </row>
    <row r="912">
      <c r="A912" s="37"/>
    </row>
    <row r="913">
      <c r="A913" s="37"/>
    </row>
    <row r="914">
      <c r="A914" s="37"/>
    </row>
    <row r="915">
      <c r="A915" s="37"/>
    </row>
    <row r="916">
      <c r="A916" s="37"/>
    </row>
    <row r="917">
      <c r="A917" s="37"/>
    </row>
    <row r="918">
      <c r="A918" s="37"/>
    </row>
    <row r="919">
      <c r="A919" s="37"/>
    </row>
    <row r="920">
      <c r="A920" s="37"/>
    </row>
    <row r="921">
      <c r="A921" s="37"/>
    </row>
    <row r="922">
      <c r="A922" s="37"/>
    </row>
    <row r="923">
      <c r="A923" s="37"/>
    </row>
    <row r="924">
      <c r="A924" s="37"/>
    </row>
    <row r="925">
      <c r="A925" s="37"/>
    </row>
    <row r="926">
      <c r="A926" s="37"/>
    </row>
    <row r="927">
      <c r="A927" s="37"/>
    </row>
    <row r="928">
      <c r="A928" s="37"/>
    </row>
    <row r="929">
      <c r="A929" s="37"/>
    </row>
    <row r="930">
      <c r="A930" s="37"/>
    </row>
    <row r="931">
      <c r="A931" s="37"/>
    </row>
    <row r="932">
      <c r="A932" s="37"/>
    </row>
    <row r="933">
      <c r="A933" s="37"/>
    </row>
    <row r="934">
      <c r="A934" s="37"/>
    </row>
    <row r="935">
      <c r="A935" s="37"/>
    </row>
    <row r="936">
      <c r="A936" s="37"/>
    </row>
    <row r="937">
      <c r="A937" s="37"/>
    </row>
    <row r="938">
      <c r="A938" s="37"/>
    </row>
    <row r="939">
      <c r="A939" s="37"/>
    </row>
    <row r="940">
      <c r="A940" s="37"/>
    </row>
    <row r="941">
      <c r="A941" s="37"/>
    </row>
    <row r="942">
      <c r="A942" s="37"/>
    </row>
    <row r="943">
      <c r="A943" s="37"/>
    </row>
    <row r="944">
      <c r="A944" s="37"/>
    </row>
    <row r="945">
      <c r="A945" s="37"/>
    </row>
    <row r="946">
      <c r="A946" s="37"/>
    </row>
    <row r="947">
      <c r="A947" s="37"/>
    </row>
    <row r="948">
      <c r="A948" s="37"/>
    </row>
    <row r="949">
      <c r="A949" s="37"/>
    </row>
    <row r="950">
      <c r="A950" s="37"/>
    </row>
    <row r="951">
      <c r="A951" s="37"/>
    </row>
    <row r="952">
      <c r="A952" s="37"/>
    </row>
    <row r="953">
      <c r="A953" s="37"/>
    </row>
    <row r="954">
      <c r="A954" s="37"/>
    </row>
    <row r="955">
      <c r="A955" s="37"/>
    </row>
    <row r="956">
      <c r="A956" s="37"/>
    </row>
    <row r="957">
      <c r="A957" s="37"/>
    </row>
    <row r="958">
      <c r="A958" s="37"/>
    </row>
    <row r="959">
      <c r="A959" s="37"/>
    </row>
    <row r="960">
      <c r="A960" s="37"/>
    </row>
    <row r="961">
      <c r="A961" s="37"/>
    </row>
    <row r="962">
      <c r="A962" s="37"/>
    </row>
    <row r="963">
      <c r="A963" s="37"/>
    </row>
    <row r="964">
      <c r="A964" s="37"/>
    </row>
    <row r="965">
      <c r="A965" s="37"/>
    </row>
    <row r="966">
      <c r="A966" s="37"/>
    </row>
    <row r="967">
      <c r="A967" s="37"/>
    </row>
    <row r="968">
      <c r="A968" s="37"/>
    </row>
    <row r="969">
      <c r="A969" s="37"/>
    </row>
    <row r="970">
      <c r="A970" s="37"/>
    </row>
    <row r="971">
      <c r="A971" s="37"/>
    </row>
    <row r="972">
      <c r="A972" s="37"/>
    </row>
    <row r="973">
      <c r="A973" s="37"/>
    </row>
    <row r="974">
      <c r="A974" s="37"/>
    </row>
    <row r="975">
      <c r="A975" s="37"/>
    </row>
    <row r="976">
      <c r="A976" s="37"/>
    </row>
    <row r="977">
      <c r="A977" s="37"/>
    </row>
    <row r="978">
      <c r="A978" s="37"/>
    </row>
    <row r="979">
      <c r="A979" s="37"/>
    </row>
    <row r="980">
      <c r="A980" s="37"/>
    </row>
    <row r="981">
      <c r="A981" s="37"/>
    </row>
    <row r="982">
      <c r="A982" s="37"/>
    </row>
    <row r="983">
      <c r="A983" s="37"/>
    </row>
    <row r="984">
      <c r="A984" s="37"/>
    </row>
    <row r="985">
      <c r="A985" s="37"/>
    </row>
    <row r="986">
      <c r="A986" s="37"/>
    </row>
    <row r="987">
      <c r="A987" s="37"/>
    </row>
    <row r="988">
      <c r="A988" s="37"/>
    </row>
    <row r="989">
      <c r="A989" s="37"/>
    </row>
    <row r="990">
      <c r="A990" s="37"/>
    </row>
    <row r="991">
      <c r="A991" s="37"/>
    </row>
    <row r="992">
      <c r="A992" s="37"/>
    </row>
    <row r="993">
      <c r="A993" s="37"/>
    </row>
    <row r="994">
      <c r="A994" s="37"/>
    </row>
    <row r="995">
      <c r="A995" s="37"/>
    </row>
    <row r="996">
      <c r="A996" s="37"/>
    </row>
    <row r="997">
      <c r="A997" s="37"/>
    </row>
    <row r="998">
      <c r="A998" s="37"/>
    </row>
    <row r="999">
      <c r="A999" s="37"/>
    </row>
    <row r="1000">
      <c r="A1000" s="37"/>
    </row>
    <row r="1001">
      <c r="A1001" s="37"/>
    </row>
    <row r="1002">
      <c r="A1002" s="37"/>
    </row>
    <row r="1003">
      <c r="A1003" s="37"/>
    </row>
    <row r="1004">
      <c r="A1004" s="37"/>
    </row>
    <row r="1005">
      <c r="A1005" s="37"/>
    </row>
    <row r="1006">
      <c r="A1006" s="37"/>
    </row>
    <row r="1007">
      <c r="A1007" s="37"/>
    </row>
    <row r="1008">
      <c r="A1008" s="37"/>
    </row>
    <row r="1009">
      <c r="A1009" s="37"/>
    </row>
    <row r="1010">
      <c r="A1010" s="37"/>
    </row>
    <row r="1011">
      <c r="A1011" s="37"/>
    </row>
  </sheetData>
  <mergeCells count="23">
    <mergeCell ref="A1:D3"/>
    <mergeCell ref="J1:M1"/>
    <mergeCell ref="U1:V1"/>
    <mergeCell ref="J2:M2"/>
    <mergeCell ref="U2:V2"/>
    <mergeCell ref="J3:M3"/>
    <mergeCell ref="U3:V3"/>
    <mergeCell ref="U4:V4"/>
    <mergeCell ref="D31:E31"/>
    <mergeCell ref="D32:E32"/>
    <mergeCell ref="D33:E33"/>
    <mergeCell ref="D34:E34"/>
    <mergeCell ref="D35:E35"/>
    <mergeCell ref="D36:E36"/>
    <mergeCell ref="D37:E37"/>
    <mergeCell ref="D38:E38"/>
    <mergeCell ref="E1:I3"/>
    <mergeCell ref="A4:I4"/>
    <mergeCell ref="J4:M4"/>
    <mergeCell ref="D27:E27"/>
    <mergeCell ref="D28:E28"/>
    <mergeCell ref="D29:E29"/>
    <mergeCell ref="D30:E30"/>
  </mergeCells>
  <drawing r:id="rId1"/>
  <tableParts count="4">
    <tablePart r:id="rId6"/>
    <tablePart r:id="rId7"/>
    <tablePart r:id="rId8"/>
    <tablePart r:id="rId9"/>
  </tableParts>
</worksheet>
</file>